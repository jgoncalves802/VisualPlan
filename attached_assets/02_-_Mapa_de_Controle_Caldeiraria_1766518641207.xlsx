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lplanengenharia-my.sharepoint.com/personal/junior_silva_milplan_com_br/Documents/Área de Trabalho/Controle de cabos/"/>
    </mc:Choice>
  </mc:AlternateContent>
  <xr:revisionPtr revIDLastSave="72" documentId="8_{71F9F000-73E9-4BEE-A663-CAAC6AACBB60}" xr6:coauthVersionLast="47" xr6:coauthVersionMax="47" xr10:uidLastSave="{2F639014-E559-421D-B02E-5B8862907086}"/>
  <bookViews>
    <workbookView xWindow="28680" yWindow="-120" windowWidth="24240" windowHeight="13020" firstSheet="6" activeTab="7" xr2:uid="{00000000-000D-0000-FFFF-FFFF00000000}"/>
  </bookViews>
  <sheets>
    <sheet name="PQ" sheetId="15" state="hidden" r:id="rId1"/>
    <sheet name="ITEM PQ" sheetId="4" state="hidden" r:id="rId2"/>
    <sheet name="CMS" sheetId="5" state="hidden" r:id="rId3"/>
    <sheet name="FAM 12-06" sheetId="6" state="hidden" r:id="rId4"/>
    <sheet name="DASHBOARD" sheetId="16" state="hidden" r:id="rId5"/>
    <sheet name="DADOS" sheetId="17" state="hidden" r:id="rId6"/>
    <sheet name="RESUMO" sheetId="23" r:id="rId7"/>
    <sheet name="MAPA DE CALDEIRARIA" sheetId="19" r:id="rId8"/>
    <sheet name="Planilha2" sheetId="14" state="hidden" r:id="rId9"/>
    <sheet name="MAPA DE THALES" sheetId="13" state="hidden" r:id="rId10"/>
    <sheet name="CALENDARIO" sheetId="11" state="hidden" r:id="rId11"/>
  </sheets>
  <externalReferences>
    <externalReference r:id="rId12"/>
    <externalReference r:id="rId13"/>
    <externalReference r:id="rId14"/>
    <externalReference r:id="rId15"/>
  </externalReferences>
  <definedNames>
    <definedName name="_________ago1" hidden="1">{"'gráf jan00'!$A$1:$AK$41"}</definedName>
    <definedName name="_________ago10" hidden="1">{"'gráf jan00'!$A$1:$AK$41"}</definedName>
    <definedName name="_________ago2" hidden="1">{"'gráf jan00'!$A$1:$AK$41"}</definedName>
    <definedName name="_________ago3" hidden="1">{"'gráf jan00'!$A$1:$AK$41"}</definedName>
    <definedName name="_________ago4" hidden="1">{"'gráf jan00'!$A$1:$AK$41"}</definedName>
    <definedName name="_________ago5" hidden="1">{"'gráf jan00'!$A$1:$AK$41"}</definedName>
    <definedName name="_________ago6" hidden="1">{"'gráf jan00'!$A$1:$AK$41"}</definedName>
    <definedName name="_________ago7" hidden="1">{"'gráf jan00'!$A$1:$AK$41"}</definedName>
    <definedName name="_________ago8" hidden="1">{"'gráf jan00'!$A$1:$AK$41"}</definedName>
    <definedName name="_________ago9" hidden="1">{"'gráf jan00'!$A$1:$AK$41"}</definedName>
    <definedName name="_________efc10" hidden="1">{"'RR'!$A$2:$E$81"}</definedName>
    <definedName name="_________EFC2" hidden="1">{"'RR'!$A$2:$E$81"}</definedName>
    <definedName name="_________EFC3" hidden="1">{"'RR'!$A$2:$E$81"}</definedName>
    <definedName name="_________EFC4" hidden="1">{"'RR'!$A$2:$E$81"}</definedName>
    <definedName name="_________n2" hidden="1">{#N/A,#N/A,FALSE,"PCOL"}</definedName>
    <definedName name="_________r" hidden="1">{#N/A,#N/A,FALSE,"PCOL"}</definedName>
    <definedName name="________ago99999" hidden="1">{"'gráf jan00'!$A$1:$AK$41"}</definedName>
    <definedName name="________DEF2" hidden="1">{#N/A,#N/A,FALSE,"DEF1";#N/A,#N/A,FALSE,"DEF2";#N/A,#N/A,FALSE,"DEF3"}</definedName>
    <definedName name="________DEF3" hidden="1">{#N/A,#N/A,FALSE,"DEF1";#N/A,#N/A,FALSE,"DEF2";#N/A,#N/A,FALSE,"DEF3"}</definedName>
    <definedName name="________ffp16" hidden="1">{"'gráf jan00'!$A$1:$AK$41"}</definedName>
    <definedName name="________ffp4589" hidden="1">{"'gráf jan00'!$A$1:$AK$41"}</definedName>
    <definedName name="________jun04" hidden="1">{"'gráf jan00'!$A$1:$AK$41"}</definedName>
    <definedName name="________MOA1" hidden="1">{#N/A,#N/A,FALSE,"DEF1";#N/A,#N/A,FALSE,"DEF2";#N/A,#N/A,FALSE,"DEF3"}</definedName>
    <definedName name="________MOA2" hidden="1">{#N/A,#N/A,FALSE,"DEF1";#N/A,#N/A,FALSE,"DEF2";#N/A,#N/A,FALSE,"DEF3"}</definedName>
    <definedName name="________PN10" hidden="1">{"'gráf jan00'!$A$1:$AK$41"}</definedName>
    <definedName name="_______ago1" hidden="1">{"'gráf jan00'!$A$1:$AK$41"}</definedName>
    <definedName name="_______ago10" hidden="1">{"'gráf jan00'!$A$1:$AK$41"}</definedName>
    <definedName name="_______ago2" hidden="1">{"'gráf jan00'!$A$1:$AK$41"}</definedName>
    <definedName name="_______ago3" hidden="1">{"'gráf jan00'!$A$1:$AK$41"}</definedName>
    <definedName name="_______ago4" hidden="1">{"'gráf jan00'!$A$1:$AK$41"}</definedName>
    <definedName name="_______ago5" hidden="1">{"'gráf jan00'!$A$1:$AK$41"}</definedName>
    <definedName name="_______ago6" hidden="1">{"'gráf jan00'!$A$1:$AK$41"}</definedName>
    <definedName name="_______ago7" hidden="1">{"'gráf jan00'!$A$1:$AK$41"}</definedName>
    <definedName name="_______ago8" hidden="1">{"'gráf jan00'!$A$1:$AK$41"}</definedName>
    <definedName name="_______ago9" hidden="1">{"'gráf jan00'!$A$1:$AK$41"}</definedName>
    <definedName name="_______efc10" hidden="1">{"'RR'!$A$2:$E$81"}</definedName>
    <definedName name="_______EFC2" hidden="1">{"'RR'!$A$2:$E$81"}</definedName>
    <definedName name="_______EFC3" hidden="1">{"'RR'!$A$2:$E$81"}</definedName>
    <definedName name="_______EFC4" hidden="1">{"'RR'!$A$2:$E$81"}</definedName>
    <definedName name="_______n2" hidden="1">{#N/A,#N/A,FALSE,"PCOL"}</definedName>
    <definedName name="_______r" hidden="1">{#N/A,#N/A,FALSE,"PCOL"}</definedName>
    <definedName name="______ago1" hidden="1">{"'gráf jan00'!$A$1:$AK$41"}</definedName>
    <definedName name="______ago10" hidden="1">{"'gráf jan00'!$A$1:$AK$41"}</definedName>
    <definedName name="______ago2" hidden="1">{"'gráf jan00'!$A$1:$AK$41"}</definedName>
    <definedName name="______ago3" hidden="1">{"'gráf jan00'!$A$1:$AK$41"}</definedName>
    <definedName name="______ago4" hidden="1">{"'gráf jan00'!$A$1:$AK$41"}</definedName>
    <definedName name="______ago5" hidden="1">{"'gráf jan00'!$A$1:$AK$41"}</definedName>
    <definedName name="______ago6" hidden="1">{"'gráf jan00'!$A$1:$AK$41"}</definedName>
    <definedName name="______ago7" hidden="1">{"'gráf jan00'!$A$1:$AK$41"}</definedName>
    <definedName name="______ago8" hidden="1">{"'gráf jan00'!$A$1:$AK$41"}</definedName>
    <definedName name="______ago9" hidden="1">{"'gráf jan00'!$A$1:$AK$41"}</definedName>
    <definedName name="______ago99999" hidden="1">{"'gráf jan00'!$A$1:$AK$41"}</definedName>
    <definedName name="______DEF2" hidden="1">{#N/A,#N/A,FALSE,"DEF1";#N/A,#N/A,FALSE,"DEF2";#N/A,#N/A,FALSE,"DEF3"}</definedName>
    <definedName name="______DEF3" hidden="1">{#N/A,#N/A,FALSE,"DEF1";#N/A,#N/A,FALSE,"DEF2";#N/A,#N/A,FALSE,"DEF3"}</definedName>
    <definedName name="______efc10" hidden="1">{"'RR'!$A$2:$E$81"}</definedName>
    <definedName name="______EFC2" hidden="1">{"'RR'!$A$2:$E$81"}</definedName>
    <definedName name="______EFC3" hidden="1">{"'RR'!$A$2:$E$81"}</definedName>
    <definedName name="______EFC4" hidden="1">{"'RR'!$A$2:$E$81"}</definedName>
    <definedName name="______ffp16" hidden="1">{"'gráf jan00'!$A$1:$AK$41"}</definedName>
    <definedName name="______ffp4589" hidden="1">{"'gráf jan00'!$A$1:$AK$41"}</definedName>
    <definedName name="______jun04" hidden="1">{"'gráf jan00'!$A$1:$AK$41"}</definedName>
    <definedName name="______MOA1" hidden="1">{#N/A,#N/A,FALSE,"DEF1";#N/A,#N/A,FALSE,"DEF2";#N/A,#N/A,FALSE,"DEF3"}</definedName>
    <definedName name="______MOA2" hidden="1">{#N/A,#N/A,FALSE,"DEF1";#N/A,#N/A,FALSE,"DEF2";#N/A,#N/A,FALSE,"DEF3"}</definedName>
    <definedName name="______n2" hidden="1">{#N/A,#N/A,FALSE,"PCOL"}</definedName>
    <definedName name="______PN10" hidden="1">{"'gráf jan00'!$A$1:$AK$41"}</definedName>
    <definedName name="______r" hidden="1">{#N/A,#N/A,FALSE,"PCOL"}</definedName>
    <definedName name="_____ago1" hidden="1">{"'gráf jan00'!$A$1:$AK$41"}</definedName>
    <definedName name="_____ago10" hidden="1">{"'gráf jan00'!$A$1:$AK$41"}</definedName>
    <definedName name="_____ago2" hidden="1">{"'gráf jan00'!$A$1:$AK$41"}</definedName>
    <definedName name="_____ago3" hidden="1">{"'gráf jan00'!$A$1:$AK$41"}</definedName>
    <definedName name="_____ago4" hidden="1">{"'gráf jan00'!$A$1:$AK$41"}</definedName>
    <definedName name="_____ago5" hidden="1">{"'gráf jan00'!$A$1:$AK$41"}</definedName>
    <definedName name="_____ago6" hidden="1">{"'gráf jan00'!$A$1:$AK$41"}</definedName>
    <definedName name="_____ago7" hidden="1">{"'gráf jan00'!$A$1:$AK$41"}</definedName>
    <definedName name="_____ago8" hidden="1">{"'gráf jan00'!$A$1:$AK$41"}</definedName>
    <definedName name="_____ago9" hidden="1">{"'gráf jan00'!$A$1:$AK$41"}</definedName>
    <definedName name="_____ago99999" hidden="1">{"'gráf jan00'!$A$1:$AK$41"}</definedName>
    <definedName name="_____arq1" hidden="1">{"'REL CUSTODIF'!$B$1:$H$72"}</definedName>
    <definedName name="_____DEF2" hidden="1">{#N/A,#N/A,FALSE,"DEF1";#N/A,#N/A,FALSE,"DEF2";#N/A,#N/A,FALSE,"DEF3"}</definedName>
    <definedName name="_____DEF3" hidden="1">{#N/A,#N/A,FALSE,"DEF1";#N/A,#N/A,FALSE,"DEF2";#N/A,#N/A,FALSE,"DEF3"}</definedName>
    <definedName name="_____efc10" hidden="1">{"'RR'!$A$2:$E$81"}</definedName>
    <definedName name="_____EFC2" hidden="1">{"'RR'!$A$2:$E$81"}</definedName>
    <definedName name="_____EFC3" hidden="1">{"'RR'!$A$2:$E$81"}</definedName>
    <definedName name="_____EFC4" hidden="1">{"'RR'!$A$2:$E$81"}</definedName>
    <definedName name="_____ffp16" hidden="1">{"'gráf jan00'!$A$1:$AK$41"}</definedName>
    <definedName name="_____ffp4589" hidden="1">{"'gráf jan00'!$A$1:$AK$41"}</definedName>
    <definedName name="_____jun04" hidden="1">{"'gráf jan00'!$A$1:$AK$41"}</definedName>
    <definedName name="_____MOA1" hidden="1">{#N/A,#N/A,FALSE,"DEF1";#N/A,#N/A,FALSE,"DEF2";#N/A,#N/A,FALSE,"DEF3"}</definedName>
    <definedName name="_____MOA2" hidden="1">{#N/A,#N/A,FALSE,"DEF1";#N/A,#N/A,FALSE,"DEF2";#N/A,#N/A,FALSE,"DEF3"}</definedName>
    <definedName name="_____n2" hidden="1">{#N/A,#N/A,FALSE,"PCOL"}</definedName>
    <definedName name="_____PN10" hidden="1">{"'gráf jan00'!$A$1:$AK$41"}</definedName>
    <definedName name="_____r" hidden="1">{#N/A,#N/A,FALSE,"PCOL"}</definedName>
    <definedName name="_____v1" hidden="1">{"'REL CUSTODIF'!$B$1:$H$72"}</definedName>
    <definedName name="_____x1" hidden="1">{"'REL CUSTODIF'!$B$1:$H$72"}</definedName>
    <definedName name="_____x10" hidden="1">{"'REL CUSTODIF'!$B$1:$H$72"}</definedName>
    <definedName name="_____x11" hidden="1">{"'REL CUSTODIF'!$B$1:$H$72"}</definedName>
    <definedName name="_____x12" hidden="1">{#N/A,#N/A,FALSE,"Suprimentos";#N/A,#N/A,FALSE,"Medicina e Segurança";#N/A,#N/A,FALSE,"Administração";#N/A,#N/A,FALSE,"Meio Ambiente";#N/A,#N/A,FALSE,"Operação (Mina)";#N/A,#N/A,FALSE,"Operação (Porto)"}</definedName>
    <definedName name="_____x13" hidden="1">{"'REL CUSTODIF'!$B$1:$H$72"}</definedName>
    <definedName name="_____x2" hidden="1">{"'REL CUSTODIF'!$B$1:$H$72"}</definedName>
    <definedName name="_____x20" hidden="1">{#N/A,#N/A,FALSE,"Suprimentos";#N/A,#N/A,FALSE,"Medicina e Segurança";#N/A,#N/A,FALSE,"Administração";#N/A,#N/A,FALSE,"Meio Ambiente";#N/A,#N/A,FALSE,"Operação (Mina)";#N/A,#N/A,FALSE,"Operação (Porto)"}</definedName>
    <definedName name="_____x3" hidden="1">{"'REL CUSTODIF'!$B$1:$H$72"}</definedName>
    <definedName name="_____x4" hidden="1">{"'REL CUSTODIF'!$B$1:$H$72"}</definedName>
    <definedName name="_____x5" hidden="1">{"'REL CUSTODIF'!$B$1:$H$72"}</definedName>
    <definedName name="_____x6" hidden="1">{#N/A,#N/A,FALSE,"Suprimentos";#N/A,#N/A,FALSE,"Medicina e Segurança";#N/A,#N/A,FALSE,"Administração";#N/A,#N/A,FALSE,"Meio Ambiente";#N/A,#N/A,FALSE,"Operação (Mina)";#N/A,#N/A,FALSE,"Operação (Porto)"}</definedName>
    <definedName name="_____x7" hidden="1">{"'REL CUSTODIF'!$B$1:$H$72"}</definedName>
    <definedName name="_____x8" hidden="1">{"'REL CUSTODIF'!$B$1:$H$72"}</definedName>
    <definedName name="____ago1" hidden="1">{"'gráf jan00'!$A$1:$AK$41"}</definedName>
    <definedName name="____ago10" hidden="1">{"'gráf jan00'!$A$1:$AK$41"}</definedName>
    <definedName name="____ago2" hidden="1">{"'gráf jan00'!$A$1:$AK$41"}</definedName>
    <definedName name="____ago3" hidden="1">{"'gráf jan00'!$A$1:$AK$41"}</definedName>
    <definedName name="____ago4" hidden="1">{"'gráf jan00'!$A$1:$AK$41"}</definedName>
    <definedName name="____ago5" hidden="1">{"'gráf jan00'!$A$1:$AK$41"}</definedName>
    <definedName name="____ago6" hidden="1">{"'gráf jan00'!$A$1:$AK$41"}</definedName>
    <definedName name="____ago7" hidden="1">{"'gráf jan00'!$A$1:$AK$41"}</definedName>
    <definedName name="____ago8" hidden="1">{"'gráf jan00'!$A$1:$AK$41"}</definedName>
    <definedName name="____ago9" hidden="1">{"'gráf jan00'!$A$1:$AK$41"}</definedName>
    <definedName name="____ago99999" hidden="1">{"'gráf jan00'!$A$1:$AK$41"}</definedName>
    <definedName name="____DEF2" hidden="1">{#N/A,#N/A,FALSE,"DEF1";#N/A,#N/A,FALSE,"DEF2";#N/A,#N/A,FALSE,"DEF3"}</definedName>
    <definedName name="____DEF3" hidden="1">{#N/A,#N/A,FALSE,"DEF1";#N/A,#N/A,FALSE,"DEF2";#N/A,#N/A,FALSE,"DEF3"}</definedName>
    <definedName name="____efc10" hidden="1">{"'RR'!$A$2:$E$81"}</definedName>
    <definedName name="____EFC2" hidden="1">{"'RR'!$A$2:$E$81"}</definedName>
    <definedName name="____EFC3" hidden="1">{"'RR'!$A$2:$E$81"}</definedName>
    <definedName name="____EFC4" hidden="1">{"'RR'!$A$2:$E$81"}</definedName>
    <definedName name="____ffp16" hidden="1">{"'gráf jan00'!$A$1:$AK$41"}</definedName>
    <definedName name="____ffp4589" hidden="1">{"'gráf jan00'!$A$1:$AK$41"}</definedName>
    <definedName name="____jun04" hidden="1">{"'gráf jan00'!$A$1:$AK$41"}</definedName>
    <definedName name="____MOA1" hidden="1">{#N/A,#N/A,FALSE,"DEF1";#N/A,#N/A,FALSE,"DEF2";#N/A,#N/A,FALSE,"DEF3"}</definedName>
    <definedName name="____MOA2" hidden="1">{#N/A,#N/A,FALSE,"DEF1";#N/A,#N/A,FALSE,"DEF2";#N/A,#N/A,FALSE,"DEF3"}</definedName>
    <definedName name="____n2" hidden="1">{#N/A,#N/A,FALSE,"PCOL"}</definedName>
    <definedName name="____PN10" hidden="1">{"'gráf jan00'!$A$1:$AK$41"}</definedName>
    <definedName name="___ago1" hidden="1">{"'gráf jan00'!$A$1:$AK$41"}</definedName>
    <definedName name="___ago10" hidden="1">{"'gráf jan00'!$A$1:$AK$41"}</definedName>
    <definedName name="___ago2" hidden="1">{"'gráf jan00'!$A$1:$AK$41"}</definedName>
    <definedName name="___ago3" hidden="1">{"'gráf jan00'!$A$1:$AK$41"}</definedName>
    <definedName name="___ago4" hidden="1">{"'gráf jan00'!$A$1:$AK$41"}</definedName>
    <definedName name="___ago5" hidden="1">{"'gráf jan00'!$A$1:$AK$41"}</definedName>
    <definedName name="___ago6" hidden="1">{"'gráf jan00'!$A$1:$AK$41"}</definedName>
    <definedName name="___ago7" hidden="1">{"'gráf jan00'!$A$1:$AK$41"}</definedName>
    <definedName name="___ago8" hidden="1">{"'gráf jan00'!$A$1:$AK$41"}</definedName>
    <definedName name="___ago9" hidden="1">{"'gráf jan00'!$A$1:$AK$41"}</definedName>
    <definedName name="___ago99999" hidden="1">{"'gráf jan00'!$A$1:$AK$41"}</definedName>
    <definedName name="___arq1" hidden="1">{"'REL CUSTODIF'!$B$1:$H$72"}</definedName>
    <definedName name="___DEF2" hidden="1">{#N/A,#N/A,FALSE,"DEF1";#N/A,#N/A,FALSE,"DEF2";#N/A,#N/A,FALSE,"DEF3"}</definedName>
    <definedName name="___DEF3" hidden="1">{#N/A,#N/A,FALSE,"DEF1";#N/A,#N/A,FALSE,"DEF2";#N/A,#N/A,FALSE,"DEF3"}</definedName>
    <definedName name="___efc10" hidden="1">{"'RR'!$A$2:$E$81"}</definedName>
    <definedName name="___EFC2" hidden="1">{"'RR'!$A$2:$E$81"}</definedName>
    <definedName name="___EFC3" hidden="1">{"'RR'!$A$2:$E$81"}</definedName>
    <definedName name="___EFC4" hidden="1">{"'RR'!$A$2:$E$81"}</definedName>
    <definedName name="___ffp16" hidden="1">{"'gráf jan00'!$A$1:$AK$41"}</definedName>
    <definedName name="___ffp4589" hidden="1">{"'gráf jan00'!$A$1:$AK$41"}</definedName>
    <definedName name="___jun04" hidden="1">{"'gráf jan00'!$A$1:$AK$41"}</definedName>
    <definedName name="___MOA1" hidden="1">{#N/A,#N/A,FALSE,"DEF1";#N/A,#N/A,FALSE,"DEF2";#N/A,#N/A,FALSE,"DEF3"}</definedName>
    <definedName name="___MOA2" hidden="1">{#N/A,#N/A,FALSE,"DEF1";#N/A,#N/A,FALSE,"DEF2";#N/A,#N/A,FALSE,"DEF3"}</definedName>
    <definedName name="___n2" hidden="1">{#N/A,#N/A,FALSE,"PCOL"}</definedName>
    <definedName name="___PN10" hidden="1">{"'gráf jan00'!$A$1:$AK$41"}</definedName>
    <definedName name="___r" hidden="1">{#N/A,#N/A,FALSE,"PCOL"}</definedName>
    <definedName name="___v1" hidden="1">{"'REL CUSTODIF'!$B$1:$H$72"}</definedName>
    <definedName name="___x1" hidden="1">{"'REL CUSTODIF'!$B$1:$H$72"}</definedName>
    <definedName name="___x10" hidden="1">{"'REL CUSTODIF'!$B$1:$H$72"}</definedName>
    <definedName name="___x11" hidden="1">{"'REL CUSTODIF'!$B$1:$H$72"}</definedName>
    <definedName name="___x12" hidden="1">{#N/A,#N/A,FALSE,"Suprimentos";#N/A,#N/A,FALSE,"Medicina e Segurança";#N/A,#N/A,FALSE,"Administração";#N/A,#N/A,FALSE,"Meio Ambiente";#N/A,#N/A,FALSE,"Operação (Mina)";#N/A,#N/A,FALSE,"Operação (Porto)"}</definedName>
    <definedName name="___x13" hidden="1">{"'REL CUSTODIF'!$B$1:$H$72"}</definedName>
    <definedName name="___x2" hidden="1">{"'REL CUSTODIF'!$B$1:$H$72"}</definedName>
    <definedName name="___x20" hidden="1">{#N/A,#N/A,FALSE,"Suprimentos";#N/A,#N/A,FALSE,"Medicina e Segurança";#N/A,#N/A,FALSE,"Administração";#N/A,#N/A,FALSE,"Meio Ambiente";#N/A,#N/A,FALSE,"Operação (Mina)";#N/A,#N/A,FALSE,"Operação (Porto)"}</definedName>
    <definedName name="___x3" hidden="1">{"'REL CUSTODIF'!$B$1:$H$72"}</definedName>
    <definedName name="___x4" hidden="1">{"'REL CUSTODIF'!$B$1:$H$72"}</definedName>
    <definedName name="___x5" hidden="1">{"'REL CUSTODIF'!$B$1:$H$72"}</definedName>
    <definedName name="___x6" hidden="1">{#N/A,#N/A,FALSE,"Suprimentos";#N/A,#N/A,FALSE,"Medicina e Segurança";#N/A,#N/A,FALSE,"Administração";#N/A,#N/A,FALSE,"Meio Ambiente";#N/A,#N/A,FALSE,"Operação (Mina)";#N/A,#N/A,FALSE,"Operação (Porto)"}</definedName>
    <definedName name="___x7" hidden="1">{"'REL CUSTODIF'!$B$1:$H$72"}</definedName>
    <definedName name="___x8" hidden="1">{"'REL CUSTODIF'!$B$1:$H$72"}</definedName>
    <definedName name="__ago1" hidden="1">{"'gráf jan00'!$A$1:$AK$41"}</definedName>
    <definedName name="__ago10" hidden="1">{"'gráf jan00'!$A$1:$AK$41"}</definedName>
    <definedName name="__ago2" hidden="1">{"'gráf jan00'!$A$1:$AK$41"}</definedName>
    <definedName name="__ago3" hidden="1">{"'gráf jan00'!$A$1:$AK$41"}</definedName>
    <definedName name="__ago4" hidden="1">{"'gráf jan00'!$A$1:$AK$41"}</definedName>
    <definedName name="__ago5" hidden="1">{"'gráf jan00'!$A$1:$AK$41"}</definedName>
    <definedName name="__ago6" hidden="1">{"'gráf jan00'!$A$1:$AK$41"}</definedName>
    <definedName name="__ago7" hidden="1">{"'gráf jan00'!$A$1:$AK$41"}</definedName>
    <definedName name="__ago8" hidden="1">{"'gráf jan00'!$A$1:$AK$41"}</definedName>
    <definedName name="__ago9" hidden="1">{"'gráf jan00'!$A$1:$AK$41"}</definedName>
    <definedName name="__ago99999" hidden="1">{"'gráf jan00'!$A$1:$AK$41"}</definedName>
    <definedName name="__arq1" hidden="1">{"'REL CUSTODIF'!$B$1:$H$72"}</definedName>
    <definedName name="__DEF2" hidden="1">{#N/A,#N/A,FALSE,"DEF1";#N/A,#N/A,FALSE,"DEF2";#N/A,#N/A,FALSE,"DEF3"}</definedName>
    <definedName name="__DEF3" hidden="1">{#N/A,#N/A,FALSE,"DEF1";#N/A,#N/A,FALSE,"DEF2";#N/A,#N/A,FALSE,"DEF3"}</definedName>
    <definedName name="__efc10" hidden="1">{"'RR'!$A$2:$E$81"}</definedName>
    <definedName name="__EFC2" hidden="1">{"'RR'!$A$2:$E$81"}</definedName>
    <definedName name="__EFC3" hidden="1">{"'RR'!$A$2:$E$81"}</definedName>
    <definedName name="__EFC4" hidden="1">{"'RR'!$A$2:$E$81"}</definedName>
    <definedName name="__ffp16" hidden="1">{"'gráf jan00'!$A$1:$AK$41"}</definedName>
    <definedName name="__ffp4589" hidden="1">{"'gráf jan00'!$A$1:$AK$41"}</definedName>
    <definedName name="__jun04" hidden="1">{"'gráf jan00'!$A$1:$AK$41"}</definedName>
    <definedName name="__MOA1" hidden="1">{#N/A,#N/A,FALSE,"DEF1";#N/A,#N/A,FALSE,"DEF2";#N/A,#N/A,FALSE,"DEF3"}</definedName>
    <definedName name="__MOA2" hidden="1">{#N/A,#N/A,FALSE,"DEF1";#N/A,#N/A,FALSE,"DEF2";#N/A,#N/A,FALSE,"DEF3"}</definedName>
    <definedName name="__n2" hidden="1">{#N/A,#N/A,FALSE,"PCOL"}</definedName>
    <definedName name="__PN10" hidden="1">{"'gráf jan00'!$A$1:$AK$41"}</definedName>
    <definedName name="__v1" hidden="1">{"'REL CUSTODIF'!$B$1:$H$72"}</definedName>
    <definedName name="__x1" hidden="1">{"'REL CUSTODIF'!$B$1:$H$72"}</definedName>
    <definedName name="__x10" hidden="1">{"'REL CUSTODIF'!$B$1:$H$72"}</definedName>
    <definedName name="__x11" hidden="1">{"'REL CUSTODIF'!$B$1:$H$72"}</definedName>
    <definedName name="__x12" hidden="1">{#N/A,#N/A,FALSE,"Suprimentos";#N/A,#N/A,FALSE,"Medicina e Segurança";#N/A,#N/A,FALSE,"Administração";#N/A,#N/A,FALSE,"Meio Ambiente";#N/A,#N/A,FALSE,"Operação (Mina)";#N/A,#N/A,FALSE,"Operação (Porto)"}</definedName>
    <definedName name="__x13" hidden="1">{"'REL CUSTODIF'!$B$1:$H$72"}</definedName>
    <definedName name="__x2" hidden="1">{"'REL CUSTODIF'!$B$1:$H$72"}</definedName>
    <definedName name="__x20" hidden="1">{#N/A,#N/A,FALSE,"Suprimentos";#N/A,#N/A,FALSE,"Medicina e Segurança";#N/A,#N/A,FALSE,"Administração";#N/A,#N/A,FALSE,"Meio Ambiente";#N/A,#N/A,FALSE,"Operação (Mina)";#N/A,#N/A,FALSE,"Operação (Porto)"}</definedName>
    <definedName name="__x3" hidden="1">{"'REL CUSTODIF'!$B$1:$H$72"}</definedName>
    <definedName name="__x4" hidden="1">{"'REL CUSTODIF'!$B$1:$H$72"}</definedName>
    <definedName name="__x5" hidden="1">{"'REL CUSTODIF'!$B$1:$H$72"}</definedName>
    <definedName name="__x6" hidden="1">{#N/A,#N/A,FALSE,"Suprimentos";#N/A,#N/A,FALSE,"Medicina e Segurança";#N/A,#N/A,FALSE,"Administração";#N/A,#N/A,FALSE,"Meio Ambiente";#N/A,#N/A,FALSE,"Operação (Mina)";#N/A,#N/A,FALSE,"Operação (Porto)"}</definedName>
    <definedName name="__x7" hidden="1">{"'REL CUSTODIF'!$B$1:$H$72"}</definedName>
    <definedName name="__x8" hidden="1">{"'REL CUSTODIF'!$B$1:$H$72"}</definedName>
    <definedName name="__xlfn.AVERAGEIF" hidden="1">#NAME?</definedName>
    <definedName name="__xlfn.RTD" hidden="1">#NAME?</definedName>
    <definedName name="_1__123Graph_ACHART_1" hidden="1">[1]EAIGESEN!$O$8:$O$8</definedName>
    <definedName name="_2__123Graph_ACHART_3" hidden="1">[1]EAIGESEN!$O$16:$O$17</definedName>
    <definedName name="_5__123Graph_ACHART_3" hidden="1">[2]EAIGESEN!$O$11:$O$12</definedName>
    <definedName name="_9__123Graph_ACHART_3" hidden="1">[2]EAIGESEN!$O$11:$O$12</definedName>
    <definedName name="_ago1" hidden="1">{"'gráf jan00'!$A$1:$AK$41"}</definedName>
    <definedName name="_ago10" hidden="1">{"'gráf jan00'!$A$1:$AK$41"}</definedName>
    <definedName name="_ago2" hidden="1">{"'gráf jan00'!$A$1:$AK$41"}</definedName>
    <definedName name="_ago3" hidden="1">{"'gráf jan00'!$A$1:$AK$41"}</definedName>
    <definedName name="_ago4" hidden="1">{"'gráf jan00'!$A$1:$AK$41"}</definedName>
    <definedName name="_ago5" hidden="1">{"'gráf jan00'!$A$1:$AK$41"}</definedName>
    <definedName name="_ago6" hidden="1">{"'gráf jan00'!$A$1:$AK$41"}</definedName>
    <definedName name="_ago7" hidden="1">{"'gráf jan00'!$A$1:$AK$41"}</definedName>
    <definedName name="_ago8" hidden="1">{"'gráf jan00'!$A$1:$AK$41"}</definedName>
    <definedName name="_ago9" hidden="1">{"'gráf jan00'!$A$1:$AK$41"}</definedName>
    <definedName name="_ago99999" hidden="1">{"'gráf jan00'!$A$1:$AK$41"}</definedName>
    <definedName name="_arq1" hidden="1">{"'REL CUSTODIF'!$B$1:$H$72"}</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DEF2" hidden="1">{#N/A,#N/A,FALSE,"DEF1";#N/A,#N/A,FALSE,"DEF2";#N/A,#N/A,FALSE,"DEF3"}</definedName>
    <definedName name="_DEF3" hidden="1">{#N/A,#N/A,FALSE,"DEF1";#N/A,#N/A,FALSE,"DEF2";#N/A,#N/A,FALSE,"DEF3"}</definedName>
    <definedName name="_efc10" hidden="1">{"'RR'!$A$2:$E$81"}</definedName>
    <definedName name="_EFC2" hidden="1">{"'RR'!$A$2:$E$81"}</definedName>
    <definedName name="_EFC3" hidden="1">{"'RR'!$A$2:$E$81"}</definedName>
    <definedName name="_EFC4" hidden="1">{"'RR'!$A$2:$E$81"}</definedName>
    <definedName name="_ffp16" hidden="1">{"'gráf jan00'!$A$1:$AK$41"}</definedName>
    <definedName name="_ffp4589" hidden="1">{"'gráf jan00'!$A$1:$AK$41"}</definedName>
    <definedName name="_Fill" localSheetId="0" hidden="1">#REF!</definedName>
    <definedName name="_Fill" hidden="1">#REF!</definedName>
    <definedName name="_xlnm._FilterDatabase" localSheetId="10" hidden="1">CALENDARIO!$B$1:$M$903</definedName>
    <definedName name="_xlnm._FilterDatabase" localSheetId="3" hidden="1">'FAM 12-06'!$A$3:$L$1945</definedName>
    <definedName name="_xlnm._FilterDatabase" localSheetId="1" hidden="1">'ITEM PQ'!$A$1:$K$3106</definedName>
    <definedName name="_xlnm._FilterDatabase" localSheetId="7" hidden="1">'MAPA DE CALDEIRARIA'!$A$4:$AN$1278</definedName>
    <definedName name="_xlnm._FilterDatabase" localSheetId="9" hidden="1">'MAPA DE THALES'!$B$4:$S$128</definedName>
    <definedName name="_xlnm._FilterDatabase" localSheetId="0" hidden="1">PQ!$A$7:$Q$764</definedName>
    <definedName name="_jun04" hidden="1">{"'gráf jan00'!$A$1:$AK$41"}</definedName>
    <definedName name="_MatMult_B" hidden="1">#REF!</definedName>
    <definedName name="_MOA1" hidden="1">{#N/A,#N/A,FALSE,"DEF1";#N/A,#N/A,FALSE,"DEF2";#N/A,#N/A,FALSE,"DEF3"}</definedName>
    <definedName name="_MOA2" hidden="1">{#N/A,#N/A,FALSE,"DEF1";#N/A,#N/A,FALSE,"DEF2";#N/A,#N/A,FALSE,"DEF3"}</definedName>
    <definedName name="_n2" hidden="1">{#N/A,#N/A,FALSE,"PCOL"}</definedName>
    <definedName name="_Order1" hidden="1">255</definedName>
    <definedName name="_Order2" hidden="1">0</definedName>
    <definedName name="_PN10" hidden="1">{"'gráf jan00'!$A$1:$AK$41"}</definedName>
    <definedName name="_v1" hidden="1">{"'REL CUSTODIF'!$B$1:$H$72"}</definedName>
    <definedName name="_x1" hidden="1">{"'REL CUSTODIF'!$B$1:$H$72"}</definedName>
    <definedName name="_x10" hidden="1">{"'REL CUSTODIF'!$B$1:$H$72"}</definedName>
    <definedName name="_x11" hidden="1">{"'REL CUSTODIF'!$B$1:$H$72"}</definedName>
    <definedName name="_x12" hidden="1">{#N/A,#N/A,FALSE,"Suprimentos";#N/A,#N/A,FALSE,"Medicina e Segurança";#N/A,#N/A,FALSE,"Administração";#N/A,#N/A,FALSE,"Meio Ambiente";#N/A,#N/A,FALSE,"Operação (Mina)";#N/A,#N/A,FALSE,"Operação (Porto)"}</definedName>
    <definedName name="_x13" hidden="1">{"'REL CUSTODIF'!$B$1:$H$72"}</definedName>
    <definedName name="_x2" hidden="1">{"'REL CUSTODIF'!$B$1:$H$72"}</definedName>
    <definedName name="_x20" hidden="1">{#N/A,#N/A,FALSE,"Suprimentos";#N/A,#N/A,FALSE,"Medicina e Segurança";#N/A,#N/A,FALSE,"Administração";#N/A,#N/A,FALSE,"Meio Ambiente";#N/A,#N/A,FALSE,"Operação (Mina)";#N/A,#N/A,FALSE,"Operação (Porto)"}</definedName>
    <definedName name="_x3" hidden="1">{"'REL CUSTODIF'!$B$1:$H$72"}</definedName>
    <definedName name="_x4" hidden="1">{"'REL CUSTODIF'!$B$1:$H$72"}</definedName>
    <definedName name="_x5" hidden="1">{"'REL CUSTODIF'!$B$1:$H$72"}</definedName>
    <definedName name="_x6" hidden="1">{#N/A,#N/A,FALSE,"Suprimentos";#N/A,#N/A,FALSE,"Medicina e Segurança";#N/A,#N/A,FALSE,"Administração";#N/A,#N/A,FALSE,"Meio Ambiente";#N/A,#N/A,FALSE,"Operação (Mina)";#N/A,#N/A,FALSE,"Operação (Porto)"}</definedName>
    <definedName name="_x7" hidden="1">{"'REL CUSTODIF'!$B$1:$H$72"}</definedName>
    <definedName name="_x8" hidden="1">{"'REL CUSTODIF'!$B$1:$H$72"}</definedName>
    <definedName name="A_SD" hidden="1">{#N/A,#N/A,FALSE,"GERAL";#N/A,#N/A,FALSE,"012-96";#N/A,#N/A,FALSE,"018-96";#N/A,#N/A,FALSE,"027-96";#N/A,#N/A,FALSE,"059-96";#N/A,#N/A,FALSE,"076-96";#N/A,#N/A,FALSE,"019-97";#N/A,#N/A,FALSE,"021-97";#N/A,#N/A,FALSE,"022-97";#N/A,#N/A,FALSE,"028-97"}</definedName>
    <definedName name="aa" hidden="1">{#N/A,#N/A,FALSE,"GERAL";#N/A,#N/A,FALSE,"012-96";#N/A,#N/A,FALSE,"018-96";#N/A,#N/A,FALSE,"027-96";#N/A,#N/A,FALSE,"059-96";#N/A,#N/A,FALSE,"076-96";#N/A,#N/A,FALSE,"019-97";#N/A,#N/A,FALSE,"021-97";#N/A,#N/A,FALSE,"022-97";#N/A,#N/A,FALSE,"028-97"}</definedName>
    <definedName name="aaaaa" hidden="1">{"'gráf jan00'!$A$1:$AK$41"}</definedName>
    <definedName name="aaas" hidden="1">{"'gráf jan00'!$A$1:$AK$41"}</definedName>
    <definedName name="aasaasas" hidden="1">{#N/A,#N/A,TRUE,"indice";#N/A,#N/A,TRUE,"indicadores";#N/A,#N/A,TRUE,"comentarios"}</definedName>
    <definedName name="AB" hidden="1">{"'gráf jan00'!$A$1:$AK$41"}</definedName>
    <definedName name="ABARTH" hidden="1">{#N/A,#N/A,FALSE,"TEC-01";#N/A,#N/A,FALSE,"TEC - 02";#N/A,#N/A,FALSE,"TEC - 03";#N/A,#N/A,FALSE,"TEC - 04";#N/A,#N/A,FALSE,"TEC-07";#N/A,#N/A,FALSE,"TEC-08";#N/A,#N/A,FALSE,"TEC - 09A";#N/A,#N/A,FALSE,"TEC - 09B";#N/A,#N/A,FALSE,"TEC - 09C";#N/A,#N/A,FALSE,"TEC - 10";#N/A,#N/A,FALSE,"TEC-11"}</definedName>
    <definedName name="abc" hidden="1">{#N/A,#N/A,FALSE,"PCOL"}</definedName>
    <definedName name="ABC.XLS" hidden="1">{"'Quadro'!$A$4:$BG$78"}</definedName>
    <definedName name="abcd" hidden="1">{#N/A,#N/A,FALSE,"PCOL"}</definedName>
    <definedName name="abcde" hidden="1">{#N/A,#N/A,FALSE,"PCOL"}</definedName>
    <definedName name="abobora.xls" hidden="1">{"'Quadro'!$A$4:$BG$78"}</definedName>
    <definedName name="ACESITA" hidden="1">{#N/A,#N/A,FALSE,"GERAL";#N/A,#N/A,FALSE,"012-96";#N/A,#N/A,FALSE,"018-96";#N/A,#N/A,FALSE,"027-96";#N/A,#N/A,FALSE,"059-96";#N/A,#N/A,FALSE,"076-96";#N/A,#N/A,FALSE,"019-97";#N/A,#N/A,FALSE,"021-97";#N/A,#N/A,FALSE,"022-97";#N/A,#N/A,FALSE,"028-97"}</definedName>
    <definedName name="Acidente" hidden="1">{"'gráf jan00'!$A$1:$AK$41"}</definedName>
    <definedName name="adasdad" hidden="1">{"'gráf jan00'!$A$1:$AK$41"}</definedName>
    <definedName name="ADED" hidden="1">{"'gráf jan00'!$A$1:$AK$41"}</definedName>
    <definedName name="Adequaqção" hidden="1">{"'gráf jan00'!$A$1:$AK$41"}</definedName>
    <definedName name="aditivo" hidden="1">{#N/A,#N/A,FALSE,"PCOL"}</definedName>
    <definedName name="adsf" hidden="1">{"'gráf jan00'!$A$1:$AK$41"}</definedName>
    <definedName name="afds" hidden="1">{"'gráf jan00'!$A$1:$AK$41"}</definedName>
    <definedName name="AGAKLJDFK" hidden="1">{"'gráf jan00'!$A$1:$AK$41"}</definedName>
    <definedName name="ago" hidden="1">{"'gráf jan00'!$A$1:$AK$41"}</definedName>
    <definedName name="agost5" hidden="1">{"'gráf jan00'!$A$1:$AK$41"}</definedName>
    <definedName name="Agosto" hidden="1">{#N/A,#N/A,FALSE,"SITUAÇÃO DIÁRIA ";#N/A,#N/A,FALSE,"7 à 7"}</definedName>
    <definedName name="AHA" hidden="1">{"'RR'!$A$2:$E$81"}</definedName>
    <definedName name="aina" hidden="1">{#N/A,#N/A,FALSE,"PCOL"}</definedName>
    <definedName name="AMV" hidden="1">{"'gráf jan00'!$A$1:$AK$41"}</definedName>
    <definedName name="ANEXO1" hidden="1">{"'teste'!$B$2:$R$49"}</definedName>
    <definedName name="ANEXO2" hidden="1">{"'teste'!$B$2:$R$49"}</definedName>
    <definedName name="ans" hidden="1">{#N/A,#N/A,FALSE,"PCOL"}</definedName>
    <definedName name="anscount" hidden="1">1</definedName>
    <definedName name="AR" hidden="1">{"'Quadro'!$A$4:$BG$78"}</definedName>
    <definedName name="Arara" hidden="1">{#N/A,#N/A,FALSE,"PCOL"}</definedName>
    <definedName name="_xlnm.Print_Area" localSheetId="0">PQ!$A$1:$Q$764</definedName>
    <definedName name="AREAMADEIRITE">2.44*0.122</definedName>
    <definedName name="AREATABUA">0.75</definedName>
    <definedName name="AREEWR" hidden="1">{"'Quadro'!$A$4:$BG$78"}</definedName>
    <definedName name="as" hidden="1">{"'IndicadoresRH'!$AA$50:$AP$67"}</definedName>
    <definedName name="AS2DocOpenMode" hidden="1">"AS2DocumentEdit"</definedName>
    <definedName name="AS2NamedRange" hidden="1">18</definedName>
    <definedName name="asaasaas" hidden="1">{#N/A,#N/A,TRUE,"indice";#N/A,#N/A,TRUE,"indicadores";#N/A,#N/A,TRUE,"comentarios"}</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 hidden="1">{#N/A,#N/A,FALSE,"GERAL";#N/A,#N/A,FALSE,"012-96";#N/A,#N/A,FALSE,"018-96";#N/A,#N/A,FALSE,"027-96";#N/A,#N/A,FALSE,"059-96";#N/A,#N/A,FALSE,"076-96";#N/A,#N/A,FALSE,"019-97";#N/A,#N/A,FALSE,"021-97";#N/A,#N/A,FALSE,"022-97";#N/A,#N/A,FALSE,"028-97"}</definedName>
    <definedName name="asdad" hidden="1">{"'gráf jan00'!$A$1:$AK$41"}</definedName>
    <definedName name="asdadadad" hidden="1">{"'gráf jan00'!$A$1:$AK$41"}</definedName>
    <definedName name="asdasdasdas" hidden="1">{"'gráf jan00'!$A$1:$AK$41"}</definedName>
    <definedName name="asdf" hidden="1">{"'Quadro'!$A$4:$BG$78"}</definedName>
    <definedName name="asdfasfsafasf" hidden="1">{"'CptDifn'!$AA$32:$AG$32"}</definedName>
    <definedName name="asdg" hidden="1">{"'gráf jan00'!$A$1:$AK$41"}</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D" hidden="1">{"'Quadro'!$A$4:$BG$78"}</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WEFGQ3" hidden="1">{"'gráf jan00'!$A$1:$AK$41"}</definedName>
    <definedName name="AT" hidden="1">{"'Quadro'!$A$4:$BG$78"}</definedName>
    <definedName name="AW" hidden="1">{"'Quadro'!$A$4:$BG$78"}</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b" hidden="1">{#N/A,#N/A,FALSE,"GERAL";#N/A,#N/A,FALSE,"012-96";#N/A,#N/A,FALSE,"018-96";#N/A,#N/A,FALSE,"027-96";#N/A,#N/A,FALSE,"059-96";#N/A,#N/A,FALSE,"076-96";#N/A,#N/A,FALSE,"019-97";#N/A,#N/A,FALSE,"021-97";#N/A,#N/A,FALSE,"022-97";#N/A,#N/A,FALSE,"028-97"}</definedName>
    <definedName name="bbb" hidden="1">{#N/A,#N/A,FALSE,"CW Summary";#N/A,#N/A,FALSE,"Weekly Tracking";#N/A,#N/A,FALSE,"MSA";#N/A,#N/A,FALSE,"Parts";#N/A,#N/A,FALSE,"RS";#N/A,#N/A,FALSE,"Mods";#N/A,#N/A,FALSE,"GEVISA";#N/A,#N/A,FALSE,"HQ"}</definedName>
    <definedName name="bbbb" hidden="1">{#N/A,#N/A,FALSE,"PCOL"}</definedName>
    <definedName name="bbbbbbbbbbbbbbbbbbbbbbbbbbbbbbbb" hidden="1">{"'REL CUSTODIF'!$B$1:$H$72"}</definedName>
    <definedName name="Bbn" hidden="1">{"'IndicadoresRH'!$AA$50:$AP$67"}</definedName>
    <definedName name="bd" hidden="1">{"'IndicadoresRH'!$AA$50:$AP$67"}</definedName>
    <definedName name="BLPH200001" hidden="1">'[3]Stock Chart'!$B$5</definedName>
    <definedName name="BRITAGEM" localSheetId="0"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XF" hidden="1">{"'Quadro'!$A$4:$BG$78"}</definedName>
    <definedName name="ç" hidden="1">{"'gráf jan00'!$A$1:$AK$41"}</definedName>
    <definedName name="c_c" hidden="1">{"'REL CUSTODIF'!$B$1:$H$72"}</definedName>
    <definedName name="CAPA" hidden="1">{#N/A,#N/A,FALSE,"GERAL";#N/A,#N/A,FALSE,"012-96";#N/A,#N/A,FALSE,"018-96";#N/A,#N/A,FALSE,"027-96";#N/A,#N/A,FALSE,"059-96";#N/A,#N/A,FALSE,"076-96";#N/A,#N/A,FALSE,"019-97";#N/A,#N/A,FALSE,"021-97";#N/A,#N/A,FALSE,"022-97";#N/A,#N/A,FALSE,"028-97"}</definedName>
    <definedName name="capacitação" hidden="1">{"'gráf jan00'!$A$1:$AK$41"}</definedName>
    <definedName name="CAPTAÇÃO" hidden="1">{#N/A,#N/A,FALSE,"GERAL";#N/A,#N/A,FALSE,"012-96";#N/A,#N/A,FALSE,"018-96";#N/A,#N/A,FALSE,"027-96";#N/A,#N/A,FALSE,"059-96";#N/A,#N/A,FALSE,"076-96";#N/A,#N/A,FALSE,"019-97";#N/A,#N/A,FALSE,"021-97";#N/A,#N/A,FALSE,"022-97";#N/A,#N/A,FALSE,"028-97"}</definedName>
    <definedName name="car" hidden="1">{#N/A,#N/A,FALSE,"PCOL"}</definedName>
    <definedName name="çç" hidden="1">{"'REL CUSTODIF'!$B$1:$H$72"}</definedName>
    <definedName name="ccc" hidden="1">{#N/A,#N/A,FALSE,"CW Summary";#N/A,#N/A,FALSE,"Weekly Tracking";#N/A,#N/A,FALSE,"MSA";#N/A,#N/A,FALSE,"Parts";#N/A,#N/A,FALSE,"RS";#N/A,#N/A,FALSE,"Mods";#N/A,#N/A,FALSE,"GEVISA"}</definedName>
    <definedName name="ccccc" hidden="1">{#N/A,#N/A,FALSE,"GERAL";#N/A,#N/A,FALSE,"012-96";#N/A,#N/A,FALSE,"018-96";#N/A,#N/A,FALSE,"027-96";#N/A,#N/A,FALSE,"059-96";#N/A,#N/A,FALSE,"076-96";#N/A,#N/A,FALSE,"019-97";#N/A,#N/A,FALSE,"021-97";#N/A,#N/A,FALSE,"022-97";#N/A,#N/A,FALSE,"028-97"}</definedName>
    <definedName name="ccccccccc"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fartaetfE" hidden="1">{"'REL CUSTODIF'!$B$1:$H$72"}</definedName>
    <definedName name="charles" hidden="1">{"'gráf jan00'!$A$1:$AK$41"}</definedName>
    <definedName name="CHECKSSO_OUT" hidden="1">{"'Quadro'!$A$4:$BG$78"}</definedName>
    <definedName name="ciclos" hidden="1">{"'RR'!$A$2:$E$81"}</definedName>
    <definedName name="cida" hidden="1">{#N/A,#N/A,FALSE,"PCOL"}</definedName>
    <definedName name="ÇL" hidden="1">{"'Quadro'!$A$4:$BG$78"}</definedName>
    <definedName name="claudio" hidden="1">{"'gráf jan00'!$A$1:$AK$41"}</definedName>
    <definedName name="çlçl" hidden="1">{"'Quadro'!$A$4:$BG$78"}</definedName>
    <definedName name="CMC" hidden="1">{"'Quadro'!$A$4:$BG$78"}</definedName>
    <definedName name="Cobra" hidden="1">{#N/A,#N/A,FALSE,"PCOL"}</definedName>
    <definedName name="Cobre" hidden="1">{"'CptDifn'!$AA$32:$AG$32"}</definedName>
    <definedName name="CONCEL" hidden="1">{#N/A,#N/A,FALSE,"GERAL";#N/A,#N/A,FALSE,"012-96";#N/A,#N/A,FALSE,"018-96";#N/A,#N/A,FALSE,"027-96";#N/A,#N/A,FALSE,"059-96";#N/A,#N/A,FALSE,"076-96";#N/A,#N/A,FALSE,"019-97";#N/A,#N/A,FALSE,"021-97";#N/A,#N/A,FALSE,"022-97";#N/A,#N/A,FALSE,"028-97"}</definedName>
    <definedName name="Concentrado_Cobre" hidden="1">{"'CptDifn'!$AA$32:$AG$32"}</definedName>
    <definedName name="Copia" hidden="1">{#N/A,#N/A,FALSE,"PCOL"}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 hidden="1">{"'gráf jan00'!$A$1:$AK$41"}</definedName>
    <definedName name="Cronograma2" hidden="1">{#N/A,#N/A,TRUE,"indice";#N/A,#N/A,TRUE,"indicadores";#N/A,#N/A,TRUE,"comentarios"}</definedName>
    <definedName name="cvagf" hidden="1">{"'REL CUSTODIF'!$B$1:$H$72"}</definedName>
    <definedName name="cxz" hidden="1">{"'gráf jan00'!$A$1:$AK$41"}</definedName>
    <definedName name="da" hidden="1">{#N/A,#N/A,FALSE,"TEC-01";#N/A,#N/A,FALSE,"TEC - 02";#N/A,#N/A,FALSE,"TEC - 03";#N/A,#N/A,FALSE,"TEC - 04";#N/A,#N/A,FALSE,"TEC-07";#N/A,#N/A,FALSE,"TEC-08";#N/A,#N/A,FALSE,"TEC - 09A";#N/A,#N/A,FALSE,"TEC - 09B";#N/A,#N/A,FALSE,"TEC - 09C";#N/A,#N/A,FALSE,"TEC - 10";#N/A,#N/A,FALSE,"TEC-11"}</definedName>
    <definedName name="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vid" hidden="1">{"'gráf jan00'!$A$1:$AK$41"}</definedName>
    <definedName name="david1" hidden="1">{"'gráf jan00'!$A$1:$AK$41"}</definedName>
    <definedName name="dcDCEDSDFV" hidden="1">{"'REL CUSTODIF'!$B$1:$H$72"}</definedName>
    <definedName name="DD" localSheetId="0" hidden="1">{#N/A,#N/A,FALSE,"GERAL";#N/A,#N/A,FALSE,"012-96";#N/A,#N/A,FALSE,"018-96";#N/A,#N/A,FALSE,"027-96";#N/A,#N/A,FALSE,"059-96";#N/A,#N/A,FALSE,"076-96";#N/A,#N/A,FALSE,"019-97";#N/A,#N/A,FALSE,"021-97";#N/A,#N/A,FALSE,"022-97";#N/A,#N/A,FALSE,"028-97"}</definedName>
    <definedName name="DD" hidden="1">{#N/A,#N/A,FALSE,"GERAL";#N/A,#N/A,FALSE,"012-96";#N/A,#N/A,FALSE,"018-96";#N/A,#N/A,FALSE,"027-96";#N/A,#N/A,FALSE,"059-96";#N/A,#N/A,FALSE,"076-96";#N/A,#N/A,FALSE,"019-97";#N/A,#N/A,FALSE,"021-97";#N/A,#N/A,FALSE,"022-97";#N/A,#N/A,FALSE,"028-97"}</definedName>
    <definedName name="dddd" localSheetId="0" hidden="1">{#N/A,#N/A,FALSE,"GERAL";#N/A,#N/A,FALSE,"012-96";#N/A,#N/A,FALSE,"018-96";#N/A,#N/A,FALSE,"027-96";#N/A,#N/A,FALSE,"059-96";#N/A,#N/A,FALSE,"076-96";#N/A,#N/A,FALSE,"019-97";#N/A,#N/A,FALSE,"021-97";#N/A,#N/A,FALSE,"022-97";#N/A,#N/A,FALSE,"028-97"}</definedName>
    <definedName name="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EEERE" hidden="1">{"'gráf jan00'!$A$1:$AK$41"}</definedName>
    <definedName name="DEAM" hidden="1">{"'CptDifn'!$AA$32:$AG$32"}</definedName>
    <definedName name="DEAS" hidden="1">{"'CptDifn'!$AA$32:$AG$32"}</definedName>
    <definedName name="DECG" hidden="1">{"'CptDifn'!$AA$32:$AG$32"}</definedName>
    <definedName name="deees" hidden="1">{#N/A,#N/A,FALSE,"GERAL";#N/A,#N/A,FALSE,"012-96";#N/A,#N/A,FALSE,"018-96";#N/A,#N/A,FALSE,"027-96";#N/A,#N/A,FALSE,"059-96";#N/A,#N/A,FALSE,"076-96";#N/A,#N/A,FALSE,"019-97";#N/A,#N/A,FALSE,"021-97";#N/A,#N/A,FALSE,"022-97";#N/A,#N/A,FALSE,"028-97"}</definedName>
    <definedName name="DEFef" hidden="1">{#N/A,#N/A,FALSE,"GERAL";#N/A,#N/A,FALSE,"012-96";#N/A,#N/A,FALSE,"018-96";#N/A,#N/A,FALSE,"027-96";#N/A,#N/A,FALSE,"059-96";#N/A,#N/A,FALSE,"076-96";#N/A,#N/A,FALSE,"019-97";#N/A,#N/A,FALSE,"021-97";#N/A,#N/A,FALSE,"022-97";#N/A,#N/A,FALSE,"028-97"}</definedName>
    <definedName name="defwe" hidden="1">{"'Quadro'!$A$4:$BG$78"}</definedName>
    <definedName name="DEGL" hidden="1">{"'CptDifn'!$AA$32:$AG$32"}</definedName>
    <definedName name="deqwrfqe" hidden="1">{"'REL CUSTODIF'!$B$1:$H$72"}</definedName>
    <definedName name="DESCOR" hidden="1">{"'gráf jan00'!$A$1:$AK$41"}</definedName>
    <definedName name="descrisão" hidden="1">{"'gráf jan00'!$A$1:$AK$41"}</definedName>
    <definedName name="Detalhe" hidden="1">{"'Resumo'!$A$4:$N$60"}</definedName>
    <definedName name="DEVOLVER" hidden="1">{#N/A,#N/A,FALSE,"CPV";#N/A,#N/A,FALSE,"Pareto";#N/A,#N/A,FALSE,"Gráficos"}</definedName>
    <definedName name="DEWD" hidden="1">{"'REL CUSTODIF'!$B$1:$H$72"}</definedName>
    <definedName name="DFADFD" hidden="1">{"'REL CUSTODIF'!$B$1:$H$72"}</definedName>
    <definedName name="dfadsfsadf" hidden="1">{"'gráf jan00'!$A$1:$AK$41"}</definedName>
    <definedName name="dfawefe" hidden="1">{#N/A,#N/A,FALSE,"GERAL";#N/A,#N/A,FALSE,"012-96";#N/A,#N/A,FALSE,"018-96";#N/A,#N/A,FALSE,"027-96";#N/A,#N/A,FALSE,"059-96";#N/A,#N/A,FALSE,"076-96";#N/A,#N/A,FALSE,"019-97";#N/A,#N/A,FALSE,"021-97";#N/A,#N/A,FALSE,"022-97";#N/A,#N/A,FALSE,"028-97"}</definedName>
    <definedName name="dfdafdsf" hidden="1">{"'REL CUSTODIF'!$B$1:$H$72"}</definedName>
    <definedName name="dfdef" hidden="1">{#N/A,#N/A,FALSE,"GERAL";#N/A,#N/A,FALSE,"012-96";#N/A,#N/A,FALSE,"018-96";#N/A,#N/A,FALSE,"027-96";#N/A,#N/A,FALSE,"059-96";#N/A,#N/A,FALSE,"076-96";#N/A,#N/A,FALSE,"019-97";#N/A,#N/A,FALSE,"021-97";#N/A,#N/A,FALSE,"022-97";#N/A,#N/A,FALSE,"028-97"}</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a" hidden="1">{"'REL CUSTODIF'!$B$1:$H$72"}</definedName>
    <definedName name="DFDFDF" hidden="1">{"'gráf jan00'!$A$1:$AK$41"}</definedName>
    <definedName name="DFEDFE" hidden="1">{"'REL CUSTODIF'!$B$1:$H$72"}</definedName>
    <definedName name="DFEFE" hidden="1">{"'REL CUSTODIF'!$B$1:$H$72"}</definedName>
    <definedName name="DFefEFGREQT" hidden="1">{#N/A,#N/A,FALSE,"GERAL";#N/A,#N/A,FALSE,"012-96";#N/A,#N/A,FALSE,"018-96";#N/A,#N/A,FALSE,"027-96";#N/A,#N/A,FALSE,"059-96";#N/A,#N/A,FALSE,"076-96";#N/A,#N/A,FALSE,"019-97";#N/A,#N/A,FALSE,"021-97";#N/A,#N/A,FALSE,"022-97";#N/A,#N/A,FALSE,"028-97"}</definedName>
    <definedName name="dferf" hidden="1">{"'REL CUSTODIF'!$B$1:$H$72"}</definedName>
    <definedName name="dferfewf" hidden="1">{"'REL CUSTODIF'!$B$1:$H$72"}</definedName>
    <definedName name="DFEWFEW" hidden="1">{"'REL CUSTODIF'!$B$1:$H$72"}</definedName>
    <definedName name="dffasf" hidden="1">{#N/A,#N/A,TRUE,"indice";#N/A,#N/A,TRUE,"indicadores";#N/A,#N/A,TRUE,"comentarios"}</definedName>
    <definedName name="DFGADET" hidden="1">{"'gráf jan00'!$A$1:$AK$41"}</definedName>
    <definedName name="DFGDFGD" hidden="1">{"'Quadro'!$A$4:$BG$78"}</definedName>
    <definedName name="dfhgdf" hidden="1">{#N/A,#N/A,TRUE,"indice";#N/A,#N/A,TRUE,"indicadores";#N/A,#N/A,TRUE,"comentarios"}</definedName>
    <definedName name="dfqefefqef" hidden="1">{"'REL CUSTODIF'!$B$1:$H$72"}</definedName>
    <definedName name="DFQEFEWFE" hidden="1">{"'REL CUSTODIF'!$B$1:$H$72"}</definedName>
    <definedName name="DFQFEWF" hidden="1">{"'REL CUSTODIF'!$B$1:$H$72"}</definedName>
    <definedName name="DFS" hidden="1">{"'REL CUSTODIF'!$B$1:$H$72"}</definedName>
    <definedName name="dfuil" hidden="1">{"'RR'!$A$2:$E$81"}</definedName>
    <definedName name="DGFAERFE" hidden="1">{"'REL CUSTODIF'!$B$1:$H$72"}</definedName>
    <definedName name="DILO_Ferrovia" hidden="1">{"'Quadro'!$A$4:$BG$78"}</definedName>
    <definedName name="disp1" hidden="1">{"'RR'!$A$2:$E$81"}</definedName>
    <definedName name="Displocopaul1" hidden="1">{"'gráf jan00'!$A$1:$AK$41"}</definedName>
    <definedName name="disppaul" hidden="1">{"'gráf jan00'!$A$1:$AK$41"}</definedName>
    <definedName name="Disppaul1" hidden="1">{"'gráf jan00'!$A$1:$AK$41"}</definedName>
    <definedName name="disppaul10" hidden="1">{"'gráf jan00'!$A$1:$AK$41"}</definedName>
    <definedName name="disppaul100" hidden="1">{"'gráf jan00'!$A$1:$AK$41"}</definedName>
    <definedName name="disppaul11" hidden="1">{"'Quadro'!$A$4:$BG$78"}</definedName>
    <definedName name="disppaul12" hidden="1">{"'gráf jan00'!$A$1:$AK$41"}</definedName>
    <definedName name="disppaul13" hidden="1">{"'gráf jan00'!$A$1:$AK$41"}</definedName>
    <definedName name="disppaul14" hidden="1">{"'gráf jan00'!$A$1:$AK$41"}</definedName>
    <definedName name="disppaul15" hidden="1">{"'gráf jan00'!$A$1:$AK$41"}</definedName>
    <definedName name="disppaul2" hidden="1">{"'gráf jan00'!$A$1:$AK$41"}</definedName>
    <definedName name="disppaul4" hidden="1">{"'gráf jan00'!$A$1:$AK$41"}</definedName>
    <definedName name="DispTelGASAG" hidden="1">{"'teste'!$B$2:$R$49"}</definedName>
    <definedName name="ditf" hidden="1">{"'CptDifn'!$AA$32:$AG$32"}</definedName>
    <definedName name="dksojd" hidden="1">{#N/A,#N/A,FALSE,"PCOL"}</definedName>
    <definedName name="dng" hidden="1">{#N/A,#N/A,FALSE,"GERAL";#N/A,#N/A,FALSE,"012-96";#N/A,#N/A,FALSE,"018-96";#N/A,#N/A,FALSE,"027-96";#N/A,#N/A,FALSE,"059-96";#N/A,#N/A,FALSE,"076-96";#N/A,#N/A,FALSE,"019-97";#N/A,#N/A,FALSE,"021-97";#N/A,#N/A,FALSE,"022-97";#N/A,#N/A,FALSE,"028-97"}</definedName>
    <definedName name="DOIS" hidden="1">{#N/A,#N/A,FALSE,"GERAL";#N/A,#N/A,FALSE,"012-96";#N/A,#N/A,FALSE,"018-96";#N/A,#N/A,FALSE,"027-96";#N/A,#N/A,FALSE,"059-96";#N/A,#N/A,FALSE,"076-96";#N/A,#N/A,FALSE,"019-97";#N/A,#N/A,FALSE,"021-97";#N/A,#N/A,FALSE,"022-97";#N/A,#N/A,FALSE,"028-97"}</definedName>
    <definedName name="DRENAGEM" hidden="1">{#N/A,#N/A,FALSE,"GERAL";#N/A,#N/A,FALSE,"012-96";#N/A,#N/A,FALSE,"018-96";#N/A,#N/A,FALSE,"027-96";#N/A,#N/A,FALSE,"059-96";#N/A,#N/A,FALSE,"076-96";#N/A,#N/A,FALSE,"019-97";#N/A,#N/A,FALSE,"021-97";#N/A,#N/A,FALSE,"022-97";#N/A,#N/A,FALSE,"028-97"}</definedName>
    <definedName name="DS" hidden="1">{"'Quadro'!$A$4:$BG$78"}</definedName>
    <definedName name="DSAD" hidden="1">{"'REL CUSTODIF'!$B$1:$H$72"}</definedName>
    <definedName name="dsadswd" hidden="1">{"'REL CUSTODIF'!$B$1:$H$72"}</definedName>
    <definedName name="dsda" hidden="1">{#N/A,#N/A,TRUE,"indice";#N/A,#N/A,TRUE,"indicadores";#N/A,#N/A,TRUE,"comentarios"}</definedName>
    <definedName name="DSFASDFDasf" hidden="1">{"'REL CUSTODIF'!$B$1:$H$72"}</definedName>
    <definedName name="dsfed" hidden="1">{"'REL CUSTODIF'!$B$1:$H$72"}</definedName>
    <definedName name="dsipaul" hidden="1">{"'gráf jan00'!$A$1:$AK$41"}</definedName>
    <definedName name="dssssss" hidden="1">{"'gráf jan00'!$A$1:$AK$41"}</definedName>
    <definedName name="DV" hidden="1">{"'Quadro'!$A$4:$BG$78"}</definedName>
    <definedName name="DVASDV" hidden="1">{"'REL CUSTODIF'!$B$1:$H$72"}</definedName>
    <definedName name="DVGFAZD" hidden="1">{"'REL CUSTODIF'!$B$1:$H$72"}</definedName>
    <definedName name="dvmdknvkndk" hidden="1">{#N/A,#N/A,FALSE,"GERAL";#N/A,#N/A,FALSE,"012-96";#N/A,#N/A,FALSE,"018-96";#N/A,#N/A,FALSE,"027-96";#N/A,#N/A,FALSE,"059-96";#N/A,#N/A,FALSE,"076-96";#N/A,#N/A,FALSE,"019-97";#N/A,#N/A,FALSE,"021-97";#N/A,#N/A,FALSE,"022-97";#N/A,#N/A,FALSE,"028-97"}</definedName>
    <definedName name="dwd" hidden="1">{"'Quadro'!$A$4:$BG$78"}</definedName>
    <definedName name="dwsdad" hidden="1">{"'ReceitaLiquidaME'!$AA$25:$AN$32"}</definedName>
    <definedName name="dxdxdx" hidden="1">{"'RR'!$A$2:$E$81"}</definedName>
    <definedName name="e"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DFREWRF" hidden="1">{"'REL CUSTODIF'!$B$1:$H$72"}</definedName>
    <definedName name="e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E" hidden="1">{"'gráf jan00'!$A$1:$AK$41"}</definedName>
    <definedName name="eesdd" hidden="1">{#N/A,#N/A,TRUE,"indice";#N/A,#N/A,TRUE,"indicadores";#N/A,#N/A,TRUE,"comentarios"}</definedName>
    <definedName name="EFC" hidden="1">{"'RR'!$A$2:$E$81"}</definedName>
    <definedName name="EFCEletron" hidden="1">{"'RR'!$A$2:$E$81"}</definedName>
    <definedName name="EFEQF" hidden="1">{"'REL CUSTODIF'!$B$1:$H$72"}</definedName>
    <definedName name="EFVM" hidden="1">{"'RR'!$A$2:$E$81"}</definedName>
    <definedName name="EFVM2" hidden="1">{"'RR'!$A$2:$E$81"}</definedName>
    <definedName name="EFVM3" hidden="1">{"'RR'!$A$2:$E$81"}</definedName>
    <definedName name="EJI" hidden="1">{"'Quadro'!$A$4:$BG$78"}</definedName>
    <definedName name="Elton" hidden="1">{"'RR'!$A$2:$E$81"}</definedName>
    <definedName name="Energia" hidden="1">{#N/A,#N/A,FALSE,"Suprimentos";#N/A,#N/A,FALSE,"Medicina e Segurança";#N/A,#N/A,FALSE,"Administração";#N/A,#N/A,FALSE,"Meio Ambiente";#N/A,#N/A,FALSE,"Operação (Mina)";#N/A,#N/A,FALSE,"Operação (Porto)"}</definedName>
    <definedName name="erb" hidden="1">{"'Quadro'!$A$4:$BG$78"}</definedName>
    <definedName name="erc" hidden="1">{"'RR'!$A$2:$E$81"}</definedName>
    <definedName name="ERDQWD" hidden="1">{"'REL CUSTODIF'!$B$1:$H$72"}</definedName>
    <definedName name="erika" hidden="1">{#N/A,#N/A,FALSE,"ET-CAPA";#N/A,#N/A,FALSE,"ET-PAG1";#N/A,#N/A,FALSE,"ET-PAG2";#N/A,#N/A,FALSE,"ET-PAG3";#N/A,#N/A,FALSE,"ET-PAG4";#N/A,#N/A,FALSE,"ET-PAG5"}</definedName>
    <definedName name="ERQ4TRWER" hidden="1">{"'REL CUSTODIF'!$B$1:$H$72"}</definedName>
    <definedName name="ERQEER" hidden="1">{"'REL CUSTODIF'!$B$1:$H$72"}</definedName>
    <definedName name="ERRO" hidden="1">{"'CptDifn'!$AA$32:$AG$32"}</definedName>
    <definedName name="ERRO1" hidden="1">{"'CptDifn'!$AA$32:$AG$32"}</definedName>
    <definedName name="ERRO3" hidden="1">{"'CptDifn'!$AA$32:$AG$32"}</definedName>
    <definedName name="ERRO4" hidden="1">{"'CptDifn'!$AA$32:$AG$32"}</definedName>
    <definedName name="ERRO5" hidden="1">{"'CptDifn'!$AA$32:$AG$32"}</definedName>
    <definedName name="ERRO6" hidden="1">{"'CptDifn'!$AA$32:$AG$32"}</definedName>
    <definedName name="ERRRRRRRRRRRRRRRO" hidden="1">{"'CptDifn'!$AA$32:$AG$32"}</definedName>
    <definedName name="ERWGF2R3GF" hidden="1">{"'REL CUSTODIF'!$B$1:$H$72"}</definedName>
    <definedName name="ESPESSAMENTO" localSheetId="0"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_B" hidden="1">{#N/A,#N/A,FALSE,"PCOL"}</definedName>
    <definedName name="ESTRADA" hidden="1">{#N/A,#N/A,FALSE,"GERAL";#N/A,#N/A,FALSE,"012-96";#N/A,#N/A,FALSE,"018-96";#N/A,#N/A,FALSE,"027-96";#N/A,#N/A,FALSE,"059-96";#N/A,#N/A,FALSE,"076-96";#N/A,#N/A,FALSE,"019-97";#N/A,#N/A,FALSE,"021-97";#N/A,#N/A,FALSE,"022-97";#N/A,#N/A,FALSE,"028-97"}</definedName>
    <definedName name="eU" hidden="1">{#N/A,#N/A,FALSE,"PCOL"}</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pansao" hidden="1">{"'CptDifn'!$AA$32:$AG$32"}</definedName>
    <definedName name="EXPLOSIVOS" localSheetId="0" hidden="1">{#N/A,#N/A,FALSE,"GERAL";#N/A,#N/A,FALSE,"012-96";#N/A,#N/A,FALSE,"018-96";#N/A,#N/A,FALSE,"027-96";#N/A,#N/A,FALSE,"059-96";#N/A,#N/A,FALSE,"076-96";#N/A,#N/A,FALSE,"019-97";#N/A,#N/A,FALSE,"021-97";#N/A,#N/A,FALSE,"022-97";#N/A,#N/A,FALSE,"028-97"}</definedName>
    <definedName name="EXPLOSIVOS" hidden="1">{#N/A,#N/A,FALSE,"GERAL";#N/A,#N/A,FALSE,"012-96";#N/A,#N/A,FALSE,"018-96";#N/A,#N/A,FALSE,"027-96";#N/A,#N/A,FALSE,"059-96";#N/A,#N/A,FALSE,"076-96";#N/A,#N/A,FALSE,"019-97";#N/A,#N/A,FALSE,"021-97";#N/A,#N/A,FALSE,"022-97";#N/A,#N/A,FALSE,"028-97"}</definedName>
    <definedName name="f" hidden="1">{#N/A,#N/A,FALSE,"GERAL";#N/A,#N/A,FALSE,"012-96";#N/A,#N/A,FALSE,"018-96";#N/A,#N/A,FALSE,"027-96";#N/A,#N/A,FALSE,"059-96";#N/A,#N/A,FALSE,"076-96";#N/A,#N/A,FALSE,"019-97";#N/A,#N/A,FALSE,"021-97";#N/A,#N/A,FALSE,"022-97";#N/A,#N/A,FALSE,"028-97"}</definedName>
    <definedName name="fabrici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aca" hidden="1">{#N/A,#N/A,FALSE,"GERAL";#N/A,#N/A,FALSE,"012-96";#N/A,#N/A,FALSE,"018-96";#N/A,#N/A,FALSE,"027-96";#N/A,#N/A,FALSE,"059-96";#N/A,#N/A,FALSE,"076-96";#N/A,#N/A,FALSE,"019-97";#N/A,#N/A,FALSE,"021-97";#N/A,#N/A,FALSE,"022-97";#N/A,#N/A,FALSE,"028-97"}</definedName>
    <definedName name="FADSFDS" hidden="1">{"'REL CUSTODIF'!$B$1:$H$72"}</definedName>
    <definedName name="FAEFRQERF" hidden="1">{#N/A,#N/A,FALSE,"GERAL";#N/A,#N/A,FALSE,"012-96";#N/A,#N/A,FALSE,"018-96";#N/A,#N/A,FALSE,"027-96";#N/A,#N/A,FALSE,"059-96";#N/A,#N/A,FALSE,"076-96";#N/A,#N/A,FALSE,"019-97";#N/A,#N/A,FALSE,"021-97";#N/A,#N/A,FALSE,"022-97";#N/A,#N/A,FALSE,"028-97"}</definedName>
    <definedName name="FAROL_2" hidden="1">{"'gráf jan00'!$A$1:$AK$41"}</definedName>
    <definedName name="fasdfasfdadsf" hidden="1">{"'gráf jan00'!$A$1:$AK$41"}</definedName>
    <definedName name="fd" hidden="1">{"'Quadro'!$A$4:$BG$78"}</definedName>
    <definedName name="FDeded" hidden="1">{"'REL CUSTODIF'!$B$1:$H$72"}</definedName>
    <definedName name="FDEFDSF" hidden="1">{"'REL CUSTODIF'!$B$1:$H$72"}</definedName>
    <definedName name="FDFDFDFDF" hidden="1">{"'gráf jan00'!$A$1:$AK$41"}</definedName>
    <definedName name="fdfng" hidden="1">{#N/A,#N/A,FALSE,"GERAL";#N/A,#N/A,FALSE,"012-96";#N/A,#N/A,FALSE,"018-96";#N/A,#N/A,FALSE,"027-96";#N/A,#N/A,FALSE,"059-96";#N/A,#N/A,FALSE,"076-96";#N/A,#N/A,FALSE,"019-97";#N/A,#N/A,FALSE,"021-97";#N/A,#N/A,FALSE,"022-97";#N/A,#N/A,FALSE,"028-97"}</definedName>
    <definedName name="fds" hidden="1">{"'gráf jan00'!$A$1:$AK$41"}</definedName>
    <definedName name="FDSAFDSAF" hidden="1">{#N/A,#N/A,FALSE,"GERAL";#N/A,#N/A,FALSE,"012-96";#N/A,#N/A,FALSE,"018-96";#N/A,#N/A,FALSE,"027-96";#N/A,#N/A,FALSE,"059-96";#N/A,#N/A,FALSE,"076-96";#N/A,#N/A,FALSE,"019-97";#N/A,#N/A,FALSE,"021-97";#N/A,#N/A,FALSE,"022-97";#N/A,#N/A,FALSE,"028-97"}</definedName>
    <definedName name="FdsfdF" hidden="1">{"'REL CUSTODIF'!$B$1:$H$72"}</definedName>
    <definedName name="FDSFSD" hidden="1">{"'gráf jan00'!$A$1:$AK$41"}</definedName>
    <definedName name="FEFRQEFEFD" hidden="1">{"'REL CUSTODIF'!$B$1:$H$72"}</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anda" hidden="1">{#N/A,#N/A,FALSE,"GERAL";#N/A,#N/A,FALSE,"012-96";#N/A,#N/A,FALSE,"018-96";#N/A,#N/A,FALSE,"027-96";#N/A,#N/A,FALSE,"059-96";#N/A,#N/A,FALSE,"076-96";#N/A,#N/A,FALSE,"019-97";#N/A,#N/A,FALSE,"021-97";#N/A,#N/A,FALSE,"022-97";#N/A,#N/A,FALSE,"028-97"}</definedName>
    <definedName name="Fevereiro" hidden="1">{"'Quadro'!$A$4:$BG$78"}</definedName>
    <definedName name="ff" hidden="1">{"'gráf jan00'!$A$1:$AK$41"}</definedName>
    <definedName name="fff" hidden="1">{#N/A,#N/A,FALSE,"TEC-01";#N/A,#N/A,FALSE,"TEC - 02";#N/A,#N/A,FALSE,"TEC - 03";#N/A,#N/A,FALSE,"TEC - 04";#N/A,#N/A,FALSE,"TEC-07";#N/A,#N/A,FALSE,"TEC-08";#N/A,#N/A,FALSE,"TEC - 09A";#N/A,#N/A,FALSE,"TEC - 09B";#N/A,#N/A,FALSE,"TEC - 09C";#N/A,#N/A,FALSE,"TEC - 10";#N/A,#N/A,FALSE,"TEC-11"}</definedName>
    <definedName name="FFVP" hidden="1">{"'gráf jan00'!$A$1:$AK$41"}</definedName>
    <definedName name="FFVP1" hidden="1">{"'gráf jan00'!$A$1:$AK$41"}</definedName>
    <definedName name="FFVP10" hidden="1">{"'gráf jan00'!$A$1:$AK$41"}</definedName>
    <definedName name="FFVP11" hidden="1">{"'gráf jan00'!$A$1:$AK$41"}</definedName>
    <definedName name="FFVP12" hidden="1">{"'gráf jan00'!$A$1:$AK$41"}</definedName>
    <definedName name="FFVP13" hidden="1">{"'gráf jan00'!$A$1:$AK$41"}</definedName>
    <definedName name="FFVP14" hidden="1">{"'gráf jan00'!$A$1:$AK$41"}</definedName>
    <definedName name="FFVP15" hidden="1">{"'gráf jan00'!$A$1:$AK$41"}</definedName>
    <definedName name="FFVP16" hidden="1">{"'gráf jan00'!$A$1:$AK$41"}</definedName>
    <definedName name="FFVP2" hidden="1">{"'gráf jan00'!$A$1:$AK$41"}</definedName>
    <definedName name="FFVP3" hidden="1">{"'gráf jan00'!$A$1:$AK$41"}</definedName>
    <definedName name="FFVP4" hidden="1">{"'gráf jan00'!$A$1:$AK$41"}</definedName>
    <definedName name="ffvp43" hidden="1">{"'gráf jan00'!$A$1:$AK$41"}</definedName>
    <definedName name="FFVP5" hidden="1">{"'gráf jan00'!$A$1:$AK$41"}</definedName>
    <definedName name="FFVP6" hidden="1">{"'gráf jan00'!$A$1:$AK$41"}</definedName>
    <definedName name="FFVP7" hidden="1">{"'gráf jan00'!$A$1:$AK$41"}</definedName>
    <definedName name="FFVP8" hidden="1">{"'gráf jan00'!$A$1:$AK$41"}</definedName>
    <definedName name="FFVP9" hidden="1">{"'gráf jan00'!$A$1:$AK$41"}</definedName>
    <definedName name="fgfsgrgq" hidden="1">{"'REL CUSTODIF'!$B$1:$H$72"}</definedName>
    <definedName name="fgs" hidden="1">{"'gráf jan00'!$A$1:$AK$41"}</definedName>
    <definedName name="fgwgA" hidden="1">{#N/A,#N/A,FALSE,"GERAL";#N/A,#N/A,FALSE,"012-96";#N/A,#N/A,FALSE,"018-96";#N/A,#N/A,FALSE,"027-96";#N/A,#N/A,FALSE,"059-96";#N/A,#N/A,FALSE,"076-96";#N/A,#N/A,FALSE,"019-97";#N/A,#N/A,FALSE,"021-97";#N/A,#N/A,FALSE,"022-97";#N/A,#N/A,FALSE,"028-97"}</definedName>
    <definedName name="FHDZ" hidden="1">{"'gráf jan00'!$A$1:$AK$41"}</definedName>
    <definedName name="filtragem" localSheetId="0"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LTRO" hidden="1">{#N/A,#N/A,FALSE,"GERAL";#N/A,#N/A,FALSE,"012-96";#N/A,#N/A,FALSE,"018-96";#N/A,#N/A,FALSE,"027-96";#N/A,#N/A,FALSE,"059-96";#N/A,#N/A,FALSE,"076-96";#N/A,#N/A,FALSE,"019-97";#N/A,#N/A,FALSE,"021-97";#N/A,#N/A,FALSE,"022-97";#N/A,#N/A,FALSE,"028-97"}</definedName>
    <definedName name="FJASLJFIL" hidden="1">{"'gráf jan00'!$A$1:$AK$41"}</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LOT" localSheetId="0"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olResumoFlorestas" hidden="1">{"'REL CUSTODIF'!$B$1:$H$72"}</definedName>
    <definedName name="FQEWRFEWF" hidden="1">{"'REL CUSTODIF'!$B$1:$H$72"}</definedName>
    <definedName name="FRWAESR" hidden="1">{"'Quadro'!$A$4:$BG$78"}</definedName>
    <definedName name="FRWER" hidden="1">{"'REL CUSTODIF'!$B$1:$H$72"}</definedName>
    <definedName name="FSA" hidden="1">{"'Quadro'!$A$4:$BG$78"}</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d" hidden="1">{"'gráf jan00'!$A$1:$AK$41"}</definedName>
    <definedName name="FSDF" hidden="1">{"'Quadro'!$A$4:$BG$78"}</definedName>
    <definedName name="FSDS" hidden="1">{"'gráf jan00'!$A$1:$AK$41"}</definedName>
    <definedName name="FTU" hidden="1">{"'Quadro'!$A$4:$BG$78"}</definedName>
    <definedName name="GAMAN" hidden="1">{#N/A,#N/A,FALSE,"PCOL"}</definedName>
    <definedName name="GAMAR" hidden="1">{"'CptDifn'!$AA$32:$AG$32"}</definedName>
    <definedName name="GAMAR1" hidden="1">{"'CptDifn'!$AA$32:$AG$32"}</definedName>
    <definedName name="gamen" hidden="1">{#N/A,#N/A,FALSE,"PCOL"}</definedName>
    <definedName name="garug01" hidden="1">{"'REL CUSTODIF'!$B$1:$H$72"}</definedName>
    <definedName name="garug1" hidden="1">{#N/A,#N/A,FALSE,"PCOL"}</definedName>
    <definedName name="GASEG" hidden="1">{"'Quadro'!$A$4:$BG$78"}</definedName>
    <definedName name="GAVTG" hidden="1">{"'gráf jan00'!$A$1:$AK$41"}</definedName>
    <definedName name="gdf" hidden="1">{#N/A,#N/A,FALSE,"GERAL";#N/A,#N/A,FALSE,"012-96";#N/A,#N/A,FALSE,"018-96";#N/A,#N/A,FALSE,"027-96";#N/A,#N/A,FALSE,"059-96";#N/A,#N/A,FALSE,"076-96";#N/A,#N/A,FALSE,"019-97";#N/A,#N/A,FALSE,"021-97";#N/A,#N/A,FALSE,"022-97";#N/A,#N/A,FALSE,"028-97"}</definedName>
    <definedName name="gdfg" hidden="1">{"'gráf jan00'!$A$1:$AK$41"}</definedName>
    <definedName name="GDS" hidden="1">{"'Quadro'!$A$4:$BG$78"}</definedName>
    <definedName name="gemin" hidden="1">{#N/A,#N/A,FALSE,"PCOL"}</definedName>
    <definedName name="Gemop" hidden="1">{#N/A,#N/A,TRUE,"indice";#N/A,#N/A,TRUE,"indicadores";#N/A,#N/A,TRUE,"comentarios"}</definedName>
    <definedName name="GERMINAÇÃO" hidden="1">{#N/A,#N/A,FALSE,"GERAL";#N/A,#N/A,FALSE,"012-96";#N/A,#N/A,FALSE,"018-96";#N/A,#N/A,FALSE,"027-96";#N/A,#N/A,FALSE,"059-96";#N/A,#N/A,FALSE,"076-96";#N/A,#N/A,FALSE,"019-97";#N/A,#N/A,FALSE,"021-97";#N/A,#N/A,FALSE,"022-97";#N/A,#N/A,FALSE,"028-97"}</definedName>
    <definedName name="Gerrot" hidden="1">{"'Quadro'!$A$4:$BG$78"}</definedName>
    <definedName name="getep" hidden="1">{#N/A,#N/A,TRUE,"indice";#N/A,#N/A,TRUE,"indicadores";#N/A,#N/A,TRUE,"comentarios"}</definedName>
    <definedName name="GFD" hidden="1">{"'gráf jan00'!$A$1:$AK$41"}</definedName>
    <definedName name="gfdddf" hidden="1">{"'CptDifn'!$AA$32:$AG$32"}</definedName>
    <definedName name="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ggggggggggg" hidden="1">{"'Quadro'!$A$4:$BG$78"}</definedName>
    <definedName name="gggggggggggggggggggggggg" hidden="1">{#N/A,#N/A,FALSE,"TEC-01";#N/A,#N/A,FALSE,"TEC - 02";#N/A,#N/A,FALSE,"TEC - 03";#N/A,#N/A,FALSE,"TEC - 04";#N/A,#N/A,FALSE,"TEC-07";#N/A,#N/A,FALSE,"TEC-08";#N/A,#N/A,FALSE,"TEC - 09A";#N/A,#N/A,FALSE,"TEC - 09B";#N/A,#N/A,FALSE,"TEC - 09C";#N/A,#N/A,FALSE,"TEC - 10";#N/A,#N/A,FALSE,"TEC-11"}</definedName>
    <definedName name="ggggggggggggggggggggggggg" hidden="1">{#N/A,#N/A,FALSE,"TEC-01";#N/A,#N/A,FALSE,"TEC - 02";#N/A,#N/A,FALSE,"TEC - 03";#N/A,#N/A,FALSE,"TEC - 04";#N/A,#N/A,FALSE,"TEC-07";#N/A,#N/A,FALSE,"TEC-08";#N/A,#N/A,FALSE,"TEC - 09A";#N/A,#N/A,FALSE,"TEC - 09B";#N/A,#N/A,FALSE,"TEC - 09C";#N/A,#N/A,FALSE,"TEC - 10";#N/A,#N/A,FALSE,"TEC-11"}</definedName>
    <definedName name="ggggggggggggggggggggggggggg" hidden="1">{#N/A,#N/A,FALSE,"TEC-01";#N/A,#N/A,FALSE,"TEC - 02";#N/A,#N/A,FALSE,"TEC - 03";#N/A,#N/A,FALSE,"TEC - 04";#N/A,#N/A,FALSE,"TEC-07";#N/A,#N/A,FALSE,"TEC-08";#N/A,#N/A,FALSE,"TEC - 09A";#N/A,#N/A,FALSE,"TEC - 09B";#N/A,#N/A,FALSE,"TEC - 09C";#N/A,#N/A,FALSE,"TEC - 10";#N/A,#N/A,FALSE,"TEC-11"}</definedName>
    <definedName name="ggtggg" hidden="1">{#N/A,#N/A,FALSE,"DEF1";#N/A,#N/A,FALSE,"DEF2";#N/A,#N/A,FALSE,"DEF3"}</definedName>
    <definedName name="GHFG" hidden="1">{"'RR'!$A$2:$E$81"}</definedName>
    <definedName name="GHJJKGK" hidden="1">{"'gráf jan00'!$A$1:$AK$41"}</definedName>
    <definedName name="gjgh" hidden="1">{#N/A,#N/A,FALSE,"GERAL";#N/A,#N/A,FALSE,"012-96";#N/A,#N/A,FALSE,"018-96";#N/A,#N/A,FALSE,"027-96";#N/A,#N/A,FALSE,"059-96";#N/A,#N/A,FALSE,"076-96";#N/A,#N/A,FALSE,"019-97";#N/A,#N/A,FALSE,"021-97";#N/A,#N/A,FALSE,"022-97";#N/A,#N/A,FALSE,"028-97"}</definedName>
    <definedName name="GRAF_10A" hidden="1">{#N/A,#N/A,FALSE,"SITUAÇÃO DIÁRIA ";#N/A,#N/A,FALSE,"7 à 7"}</definedName>
    <definedName name="GRAF_11A" hidden="1">{#N/A,#N/A,FALSE,"SITUAÇÃO DIÁRIA ";#N/A,#N/A,FALSE,"7 à 7"}</definedName>
    <definedName name="GRAF_12A" hidden="1">{#N/A,#N/A,FALSE,"SITUAÇÃO DIÁRIA ";#N/A,#N/A,FALSE,"7 à 7"}</definedName>
    <definedName name="GRAF_21" hidden="1">{#N/A,#N/A,FALSE,"SITUAÇÃO DIÁRIA ";#N/A,#N/A,FALSE,"7 à 7"}</definedName>
    <definedName name="graf_3" hidden="1">{#N/A,#N/A,FALSE,"SITUAÇÃO DIÁRIA ";#N/A,#N/A,FALSE,"7 à 7"}</definedName>
    <definedName name="GráficoICD" hidden="1">#N/A</definedName>
    <definedName name="grtgert" hidden="1">{#N/A,#N/A,TRUE,"indice";#N/A,#N/A,TRUE,"indicadores";#N/A,#N/A,TRUE,"comentarios"}</definedName>
    <definedName name="GTFHST" hidden="1">{#N/A,#N/A,FALSE,"GERAL";#N/A,#N/A,FALSE,"012-96";#N/A,#N/A,FALSE,"018-96";#N/A,#N/A,FALSE,"027-96";#N/A,#N/A,FALSE,"059-96";#N/A,#N/A,FALSE,"076-96";#N/A,#N/A,FALSE,"019-97";#N/A,#N/A,FALSE,"021-97";#N/A,#N/A,FALSE,"022-97";#N/A,#N/A,FALSE,"028-97"}</definedName>
    <definedName name="Gupob01Real" hidden="1">{#N/A,#N/A,FALSE,"Suprimentos";#N/A,#N/A,FALSE,"Medicina e Segurança";#N/A,#N/A,FALSE,"Administração";#N/A,#N/A,FALSE,"Meio Ambiente";#N/A,#N/A,FALSE,"Operação (Mina)";#N/A,#N/A,FALSE,"Operação (Porto)"}</definedName>
    <definedName name="Gurjão" hidden="1">{"'gráf jan00'!$A$1:$AK$41"}</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DHDGD" hidden="1">{#N/A,#N/A,FALSE,"GERAL";#N/A,#N/A,FALSE,"012-96";#N/A,#N/A,FALSE,"018-96";#N/A,#N/A,FALSE,"027-96";#N/A,#N/A,FALSE,"059-96";#N/A,#N/A,FALSE,"076-96";#N/A,#N/A,FALSE,"019-97";#N/A,#N/A,FALSE,"021-97";#N/A,#N/A,FALSE,"022-97";#N/A,#N/A,FALSE,"028-97"}</definedName>
    <definedName name="HEQ" hidden="1">{#N/A,#N/A,FALSE,"GERAL";#N/A,#N/A,FALSE,"012-96";#N/A,#N/A,FALSE,"018-96";#N/A,#N/A,FALSE,"027-96";#N/A,#N/A,FALSE,"059-96";#N/A,#N/A,FALSE,"076-96";#N/A,#N/A,FALSE,"019-97";#N/A,#N/A,FALSE,"021-97";#N/A,#N/A,FALSE,"022-97";#N/A,#N/A,FALSE,"028-97"}</definedName>
    <definedName name="hfs" hidden="1">{"'gráf jan00'!$A$1:$AK$41"}</definedName>
    <definedName name="HGH" hidden="1">{"'gráf jan00'!$A$1:$AK$41"}</definedName>
    <definedName name="HGHJ" hidden="1">{"'Quadro'!$A$4:$BG$78"}</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oo" hidden="1">{#N/A,#N/A,FALSE,"TEC-01";#N/A,#N/A,FALSE,"TEC - 02";#N/A,#N/A,FALSE,"TEC - 03";#N/A,#N/A,FALSE,"TEC - 04";#N/A,#N/A,FALSE,"TEC-07";#N/A,#N/A,FALSE,"TEC-08";#N/A,#N/A,FALSE,"TEC - 09A";#N/A,#N/A,FALSE,"TEC - 09B";#N/A,#N/A,FALSE,"TEC - 09C";#N/A,#N/A,FALSE,"TEC - 10";#N/A,#N/A,FALSE,"TEC-11"}</definedName>
    <definedName name="hidrosemeadura" hidden="1">{#N/A,#N/A,FALSE,"GERAL";#N/A,#N/A,FALSE,"012-96";#N/A,#N/A,FALSE,"018-96";#N/A,#N/A,FALSE,"027-96";#N/A,#N/A,FALSE,"059-96";#N/A,#N/A,FALSE,"076-96";#N/A,#N/A,FALSE,"019-97";#N/A,#N/A,FALSE,"021-97";#N/A,#N/A,FALSE,"022-97";#N/A,#N/A,FALSE,"028-97"}</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TO" hidden="1">{#N/A,#N/A,FALSE,"GERAL";#N/A,#N/A,FALSE,"012-96";#N/A,#N/A,FALSE,"018-96";#N/A,#N/A,FALSE,"027-96";#N/A,#N/A,FALSE,"059-96";#N/A,#N/A,FALSE,"076-96";#N/A,#N/A,FALSE,"019-97";#N/A,#N/A,FALSE,"021-97";#N/A,#N/A,FALSE,"022-97";#N/A,#N/A,FALSE,"028-97"}</definedName>
    <definedName name="HJF" hidden="1">{"'RR'!$A$2:$E$81"}</definedName>
    <definedName name="hlç" hidden="1">{"'Quadro'!$A$4:$BG$78"}</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tmal_control3" hidden="1">{"'RR'!$A$2:$E$81"}</definedName>
    <definedName name="htmal_control4" hidden="1">{"'RR'!$A$2:$E$81"}</definedName>
    <definedName name="htmal_control5" hidden="1">{"'RR'!$A$2:$E$81"}</definedName>
    <definedName name="htmal_control6" hidden="1">{"'RR'!$A$2:$E$81"}</definedName>
    <definedName name="htmal_control7" hidden="1">{"'RR'!$A$2:$E$81"}</definedName>
    <definedName name="htmal_control8" hidden="1">{"'RR'!$A$2:$E$81"}</definedName>
    <definedName name="HTML_C" hidden="1">{"'RR'!$A$2:$E$81"}</definedName>
    <definedName name="HTML_CodePage" hidden="1">1252</definedName>
    <definedName name="HTML_Control" hidden="1">{"'IndicadoresRH'!$AA$50:$AP$67"}</definedName>
    <definedName name="HTML_Control_2" hidden="1">{"'ReceitaLiquidaME'!$AA$25:$AN$32"}</definedName>
    <definedName name="html_control10" hidden="1">{"'RR'!$A$2:$E$81"}</definedName>
    <definedName name="html_control11" hidden="1">{"'RR'!$A$2:$E$81"}</definedName>
    <definedName name="html_control12" hidden="1">{"'RR'!$A$2:$E$81"}</definedName>
    <definedName name="html_control13" hidden="1">{"'RR'!$A$2:$E$81"}</definedName>
    <definedName name="html_control14" hidden="1">{"'RR'!$A$2:$E$81"}</definedName>
    <definedName name="html_control2" hidden="1">{"'RR'!$A$2:$E$81"}</definedName>
    <definedName name="HTML_CONTROL20" hidden="1">{"'RR'!$A$2:$E$81"}</definedName>
    <definedName name="HTML_CONTROL21" hidden="1">{"'RR'!$A$2:$E$81"}</definedName>
    <definedName name="HTML_Description" hidden="1">""</definedName>
    <definedName name="HTML_Email" hidden="1">""</definedName>
    <definedName name="HTML_Header" hidden="1">""</definedName>
    <definedName name="HTML_LastUpdate" hidden="1">"15/08/2000 (Atualização Mensal)"</definedName>
    <definedName name="HTML_LineAfter" hidden="1">FALSE</definedName>
    <definedName name="HTML_LineBefore" hidden="1">FALSE</definedName>
    <definedName name="HTML_Name" hidden="1">"GACON (866-4325)"</definedName>
    <definedName name="HTML_OBDlg2" hidden="1">TRUE</definedName>
    <definedName name="HTML_OBDlg4" hidden="1">TRUE</definedName>
    <definedName name="HTML_OS" hidden="1">0</definedName>
    <definedName name="HTML_PathFile" hidden="1">"C:\Performance_Intranet\outrosindicadores\indicadoresrh.htm"</definedName>
    <definedName name="HTML_Title" hidden="1">""</definedName>
    <definedName name="HU" hidden="1">{"'gráf jan00'!$A$1:$AK$41"}</definedName>
    <definedName name="IdentCausas_pareto" hidden="1">{"'RR'!$A$2:$E$81"}</definedName>
    <definedName name="immmm" hidden="1">{#N/A,#N/A,FALSE,"DEF1";#N/A,#N/A,FALSE,"DEF2";#N/A,#N/A,FALSE,"DEF3"}</definedName>
    <definedName name="in" hidden="1">{#N/A,#N/A,FALSE,"DEF1";#N/A,#N/A,FALSE,"DEF2";#N/A,#N/A,FALSE,"DEF3"}</definedName>
    <definedName name="int" hidden="1">{#N/A,#N/A,FALSE,"General";#N/A,#N/A,FALSE,"DMU";#N/A,#N/A,FALSE,"Breakdown";#N/A,#N/A,FALSE,"Traction";#N/A,#N/A,FALSE,"Bogie &amp; Carbody";#N/A,#N/A,FALSE,"Auxiliaries";#N/A,#N/A,FALSE,"Braking";#N/A,#N/A,FALSE,"Electric";#N/A,#N/A,FALSE,"Comfort";#N/A,#N/A,FALSE,"Interiors";#N/A,#N/A,FALSE,"Exterior"}</definedName>
    <definedName name="Intran" hidden="1">{"'teste'!$B$2:$R$49"}</definedName>
    <definedName name="IntroPrintArea" hidden="1">#REF!</definedName>
    <definedName name="INV_ECON_MENSAL" hidden="1">{#N/A,#N/A,FALSE,"DEF1";#N/A,#N/A,FALSE,"DEF2";#N/A,#N/A,FALSE,"DEF3"}</definedName>
    <definedName name="inv_financ_Mensal_desemb" hidden="1">{#N/A,#N/A,FALSE,"DEF1";#N/A,#N/A,FALSE,"DEF2";#N/A,#N/A,FALSE,"DEF3"}</definedName>
    <definedName name="InvJustificativas6" hidden="1">{"'REL CUSTODIF'!$B$1:$H$72"}</definedName>
    <definedName name="InvJustificativas9" hidden="1">{"'REL CUSTODIF'!$B$1:$H$72"}</definedName>
    <definedName name="IUO" hidden="1">{"'Quadro'!$A$4:$BG$78"}</definedName>
    <definedName name="j" hidden="1">{#N/A,#N/A,FALSE,"PCOL"}</definedName>
    <definedName name="jçkj" hidden="1">{"'CptDifn'!$AA$32:$AG$32"}</definedName>
    <definedName name="jjjj" hidden="1">{"'REL CUSTODIF'!$B$1:$H$72"}</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ujk" hidden="1">{#N/A,#N/A,FALSE,"PCOL"}</definedName>
    <definedName name="Julio" hidden="1">{"'CptDifn'!$AA$32:$AG$32"}</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hgjk" hidden="1">{"'gráf jan00'!$A$1:$AK$41"}</definedName>
    <definedName name="kkkk" hidden="1">{#N/A,#N/A,FALSE,"PCOL"}</definedName>
    <definedName name="ko" hidden="1">{#N/A,#N/A,FALSE,"PCOL"}</definedName>
    <definedName name="lab" hidden="1">{"'gráf jan00'!$A$1:$AK$41"}</definedName>
    <definedName name="LAPEL" hidden="1">{"'RR'!$A$2:$E$81"}</definedName>
    <definedName name="LCV" hidden="1">{#N/A,#N/A,FALSE,"TEC-01";#N/A,#N/A,FALSE,"TEC - 02";#N/A,#N/A,FALSE,"TEC - 03";#N/A,#N/A,FALSE,"TEC - 04";#N/A,#N/A,FALSE,"TEC-07";#N/A,#N/A,FALSE,"TEC-08";#N/A,#N/A,FALSE,"TEC - 09A";#N/A,#N/A,FALSE,"TEC - 09B";#N/A,#N/A,FALSE,"TEC - 09C";#N/A,#N/A,FALSE,"TEC - 10";#N/A,#N/A,FALSE,"TEC-11"}</definedName>
    <definedName name="leo" hidden="1">{"'CptDifn'!$AA$32:$AG$32"}</definedName>
    <definedName name="leonardo" hidden="1">{"'gráf jan00'!$A$1:$AK$41"}</definedName>
    <definedName name="let" hidden="1">"Quadro Logistico Maio"</definedName>
    <definedName name="lixo" localSheetId="0"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J" hidden="1">{"'Quadro'!$A$4:$BG$78"}</definedName>
    <definedName name="lllllllllllllllllllllllllllllllllllll" hidden="1">{#N/A,#N/A,FALSE,"TEC-01";#N/A,#N/A,FALSE,"TEC - 02";#N/A,#N/A,FALSE,"TEC - 03";#N/A,#N/A,FALSE,"TEC - 04";#N/A,#N/A,FALSE,"TEC-07";#N/A,#N/A,FALSE,"TEC-08";#N/A,#N/A,FALSE,"TEC - 09A";#N/A,#N/A,FALSE,"TEC - 09B";#N/A,#N/A,FALSE,"TEC - 09C";#N/A,#N/A,FALSE,"TEC - 10";#N/A,#N/A,FALSE,"TEC-11"}</definedName>
    <definedName name="LOCAL" hidden="1">{"'gráf jan00'!$A$1:$AK$41"}</definedName>
    <definedName name="LoteBonito2" hidden="1">{"'Resumo2'!$B$2:$J$23"}</definedName>
    <definedName name="LU" hidden="1">{"'gráf jan00'!$A$1:$AK$41"}</definedName>
    <definedName name="luis" hidden="1">{"'Plan1 (2)'!$A$5:$F$63"}</definedName>
    <definedName name="LUSI" hidden="1">{#N/A,#N/A,FALSE,"ET-CAPA";#N/A,#N/A,FALSE,"ET-PAG1";#N/A,#N/A,FALSE,"ET-PAG2";#N/A,#N/A,FALSE,"ET-PAG3";#N/A,#N/A,FALSE,"ET-PAG4";#N/A,#N/A,FALSE,"ET-PAG5"}</definedName>
    <definedName name="man" hidden="1">{"'gráf jan00'!$A$1:$AK$41"}</definedName>
    <definedName name="Manoel" hidden="1">{"'Quadro'!$A$4:$BG$78"}</definedName>
    <definedName name="manut" hidden="1">{"'gráf jan00'!$A$1:$AK$41"}</definedName>
    <definedName name="marcelo" hidden="1">{"'gráf jan00'!$A$1:$AK$41"}</definedName>
    <definedName name="marcos" hidden="1">{#N/A,#N/A,FALSE,"SITUAÇÃO DIÁRIA ";#N/A,#N/A,FALSE,"7 à 7"}</definedName>
    <definedName name="MARIA" hidden="1">{"'gráf jan00'!$A$1:$AK$41"}</definedName>
    <definedName name="mattubcust" hidden="1">{#N/A,#N/A,FALSE,"GERAL";#N/A,#N/A,FALSE,"012-96";#N/A,#N/A,FALSE,"018-96";#N/A,#N/A,FALSE,"027-96";#N/A,#N/A,FALSE,"059-96";#N/A,#N/A,FALSE,"076-96";#N/A,#N/A,FALSE,"019-97";#N/A,#N/A,FALSE,"021-97";#N/A,#N/A,FALSE,"022-97";#N/A,#N/A,FALSE,"028-97"}</definedName>
    <definedName name="Memória" hidden="1">{#N/A,#N/A,FALSE,"TEC-01";#N/A,#N/A,FALSE,"TEC - 02";#N/A,#N/A,FALSE,"TEC - 03";#N/A,#N/A,FALSE,"TEC - 04";#N/A,#N/A,FALSE,"TEC-07";#N/A,#N/A,FALSE,"TEC-08";#N/A,#N/A,FALSE,"TEC - 09A";#N/A,#N/A,FALSE,"TEC - 09B";#N/A,#N/A,FALSE,"TEC - 09C";#N/A,#N/A,FALSE,"TEC - 10";#N/A,#N/A,FALSE,"TEC-11"}</definedName>
    <definedName name="mercia" hidden="1">{"'REL CUSTODIF'!$B$1:$H$72"}</definedName>
    <definedName name="metasantigas" hidden="1">{"'gráf jan00'!$A$1:$AK$41"}</definedName>
    <definedName name="miner" hidden="1">{#N/A,#N/A,FALSE,"ET-CAPA";#N/A,#N/A,FALSE,"ET-PAG1";#N/A,#N/A,FALSE,"ET-PAG2";#N/A,#N/A,FALSE,"ET-PAG3";#N/A,#N/A,FALSE,"ET-PAG4";#N/A,#N/A,FALSE,"ET-PAG5"}</definedName>
    <definedName name="MM" hidden="1">{#N/A,#N/A,FALSE,"GERAL";#N/A,#N/A,FALSE,"012-96";#N/A,#N/A,FALSE,"018-96";#N/A,#N/A,FALSE,"027-96";#N/A,#N/A,FALSE,"059-96";#N/A,#N/A,FALSE,"076-96";#N/A,#N/A,FALSE,"019-97";#N/A,#N/A,FALSE,"021-97";#N/A,#N/A,FALSE,"022-97";#N/A,#N/A,FALSE,"028-97"}</definedName>
    <definedName name="MMM" hidden="1">{"'gráf jan00'!$A$1:$AK$41"}</definedName>
    <definedName name="MOA" hidden="1">{#N/A,#N/A,FALSE,"DEF1";#N/A,#N/A,FALSE,"DEF2";#N/A,#N/A,FALSE,"DEF3"}</definedName>
    <definedName name="MODELO" hidden="1">{#N/A,#N/A,FALSE,"SITUAÇÃO DIÁRIA ";#N/A,#N/A,FALSE,"7 à 7"}</definedName>
    <definedName name="MULHRT" hidden="1">{"'gráf jan00'!$A$1:$AK$41"}</definedName>
    <definedName name="N.Ferrosos" hidden="1">{"'CptDifn'!$AA$32:$AG$32"}</definedName>
    <definedName name="nada" hidden="1">{"'Quadro'!$A$4:$BG$78"}</definedName>
    <definedName name="negócio" hidden="1">{"'gráf jan00'!$A$1:$AK$41"}</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VO" hidden="1">{#N/A,#N/A,FALSE,"GERAL";#N/A,#N/A,FALSE,"012-96";#N/A,#N/A,FALSE,"018-96";#N/A,#N/A,FALSE,"027-96";#N/A,#N/A,FALSE,"059-96";#N/A,#N/A,FALSE,"076-96";#N/A,#N/A,FALSE,"019-97";#N/A,#N/A,FALSE,"021-97";#N/A,#N/A,FALSE,"022-97";#N/A,#N/A,FALSE,"028-97"}</definedName>
    <definedName name="OK" hidden="1">{#N/A,#N/A,FALSE,"GERAL";#N/A,#N/A,FALSE,"012-96";#N/A,#N/A,FALSE,"018-96";#N/A,#N/A,FALSE,"027-96";#N/A,#N/A,FALSE,"059-96";#N/A,#N/A,FALSE,"076-96";#N/A,#N/A,FALSE,"019-97";#N/A,#N/A,FALSE,"021-97";#N/A,#N/A,FALSE,"022-97";#N/A,#N/A,FALSE,"028-97"}</definedName>
    <definedName name="OOOOO" hidden="1">{#N/A,#N/A,FALSE,"GERAL";#N/A,#N/A,FALSE,"012-96";#N/A,#N/A,FALSE,"018-96";#N/A,#N/A,FALSE,"027-96";#N/A,#N/A,FALSE,"059-96";#N/A,#N/A,FALSE,"076-96";#N/A,#N/A,FALSE,"019-97";#N/A,#N/A,FALSE,"021-97";#N/A,#N/A,FALSE,"022-97";#N/A,#N/A,FALSE,"028-97"}</definedName>
    <definedName name="OPIOKKL" hidden="1">{#N/A,#N/A,FALSE,"Suprimentos";#N/A,#N/A,FALSE,"Medicina e Segurança";#N/A,#N/A,FALSE,"Administração";#N/A,#N/A,FALSE,"Meio Ambiente";#N/A,#N/A,FALSE,"Operação (Mina)";#N/A,#N/A,FALSE,"Operação (Porto)"}</definedName>
    <definedName name="OUTUBRO" hidden="1">{#N/A,#N/A,FALSE,"SITUAÇÃO DIÁRIA ";#N/A,#N/A,FALSE,"7 à 7"}</definedName>
    <definedName name="p" hidden="1">{#N/A,#N/A,FALSE,"GERAL";#N/A,#N/A,FALSE,"012-96";#N/A,#N/A,FALSE,"018-96";#N/A,#N/A,FALSE,"027-96";#N/A,#N/A,FALSE,"059-96";#N/A,#N/A,FALSE,"076-96";#N/A,#N/A,FALSE,"019-97";#N/A,#N/A,FALSE,"021-97";#N/A,#N/A,FALSE,"022-97";#N/A,#N/A,FALSE,"028-97"}</definedName>
    <definedName name="padrao" localSheetId="0" hidden="1">{#N/A,#N/A,FALSE,"GERAL";#N/A,#N/A,FALSE,"012-96";#N/A,#N/A,FALSE,"018-96";#N/A,#N/A,FALSE,"027-96";#N/A,#N/A,FALSE,"059-96";#N/A,#N/A,FALSE,"076-96";#N/A,#N/A,FALSE,"019-97";#N/A,#N/A,FALSE,"021-97";#N/A,#N/A,FALSE,"022-97";#N/A,#N/A,FALSE,"028-97"}</definedName>
    <definedName name="padrao" hidden="1">{#N/A,#N/A,FALSE,"GERAL";#N/A,#N/A,FALSE,"012-96";#N/A,#N/A,FALSE,"018-96";#N/A,#N/A,FALSE,"027-96";#N/A,#N/A,FALSE,"059-96";#N/A,#N/A,FALSE,"076-96";#N/A,#N/A,FALSE,"019-97";#N/A,#N/A,FALSE,"021-97";#N/A,#N/A,FALSE,"022-97";#N/A,#N/A,FALSE,"028-97"}</definedName>
    <definedName name="PARETOATIV" hidden="1">{#N/A,#N/A,FALSE,"CPV";#N/A,#N/A,FALSE,"Pareto";#N/A,#N/A,FALSE,"Gráficos"}</definedName>
    <definedName name="pata" hidden="1">{#N/A,#N/A,FALSE,"SITUAÇÃO DIÁRIA ";#N/A,#N/A,FALSE,"7 à 7"}</definedName>
    <definedName name="PAZ.COM.N" hidden="1">{"'TelRDAV'!$A$1:$T$20"}</definedName>
    <definedName name="PDCA" hidden="1">{"'RR'!$A$2:$E$81"}</definedName>
    <definedName name="Pendências" hidden="1">{#N/A,#N/A,FALSE,"GERAL";#N/A,#N/A,FALSE,"012-96";#N/A,#N/A,FALSE,"018-96";#N/A,#N/A,FALSE,"027-96";#N/A,#N/A,FALSE,"059-96";#N/A,#N/A,FALSE,"076-96";#N/A,#N/A,FALSE,"019-97";#N/A,#N/A,FALSE,"021-97";#N/A,#N/A,FALSE,"022-97";#N/A,#N/A,FALSE,"028-97"}</definedName>
    <definedName name="Pendências2" localSheetId="0"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0"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V" hidden="1">{"'Quadro'!$A$4:$BG$78"}</definedName>
    <definedName name="Planilha_2a_Versao_Orc2008" hidden="1">{#N/A,#N/A,FALSE,"DEF1";#N/A,#N/A,FALSE,"DEF2";#N/A,#N/A,FALSE,"DEF3"}</definedName>
    <definedName name="pnow" hidden="1">{"'gráf jan00'!$A$1:$AK$41"}</definedName>
    <definedName name="POIUYT" hidden="1">{"'REL CUSTODIF'!$B$1:$H$72"}</definedName>
    <definedName name="Portos1" hidden="1">{"'RR'!$A$2:$E$81"}</definedName>
    <definedName name="PORTU" hidden="1">{"'REL CUSTODIF'!$B$1:$H$72"}</definedName>
    <definedName name="ppla" hidden="1">{#N/A,#N/A,FALSE,"GERAL";#N/A,#N/A,FALSE,"012-96";#N/A,#N/A,FALSE,"018-96";#N/A,#N/A,FALSE,"027-96";#N/A,#N/A,FALSE,"059-96";#N/A,#N/A,FALSE,"076-96";#N/A,#N/A,FALSE,"019-97";#N/A,#N/A,FALSE,"021-97";#N/A,#N/A,FALSE,"022-97";#N/A,#N/A,FALSE,"028-97"}</definedName>
    <definedName name="PPRA" hidden="1">{"'CptDifn'!$AA$32:$AG$32"}</definedName>
    <definedName name="PPSA2" hidden="1">{"'REL CUSTODIF'!$B$1:$H$72"}</definedName>
    <definedName name="PQ_Memoria" hidden="1">{#N/A,#N/A,FALSE,"GERAL";#N/A,#N/A,FALSE,"012-96";#N/A,#N/A,FALSE,"018-96";#N/A,#N/A,FALSE,"027-96";#N/A,#N/A,FALSE,"059-96";#N/A,#N/A,FALSE,"076-96";#N/A,#N/A,FALSE,"019-97";#N/A,#N/A,FALSE,"021-97";#N/A,#N/A,FALSE,"022-97";#N/A,#N/A,FALSE,"028-97"}</definedName>
    <definedName name="Produção" hidden="1">{"'REL CUSTODIF'!$B$1:$H$72"}</definedName>
    <definedName name="Prog.Excel._Set" hidden="1">{"'teste'!$B$2:$R$49"}</definedName>
    <definedName name="proposta" hidden="1">{"'Quadro'!$A$4:$BG$78"}</definedName>
    <definedName name="PRRA" hidden="1">{"'CptDifn'!$AA$32:$AG$32"}</definedName>
    <definedName name="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2test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 hidden="1">{"'gráf jan00'!$A$1:$AK$41"}</definedName>
    <definedName name="QQP" hidden="1">{#N/A,#N/A,FALSE,"GERAL";#N/A,#N/A,FALSE,"012-96";#N/A,#N/A,FALSE,"018-96";#N/A,#N/A,FALSE,"027-96";#N/A,#N/A,FALSE,"059-96";#N/A,#N/A,FALSE,"076-96";#N/A,#N/A,FALSE,"019-97";#N/A,#N/A,FALSE,"021-97";#N/A,#N/A,FALSE,"022-97";#N/A,#N/A,FALSE,"028-97"}</definedName>
    <definedName name="qq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QQ" hidden="1">{"'gráf jan00'!$A$1:$AK$41"}</definedName>
    <definedName name="qqqqqq" hidden="1">{"'gráf jan00'!$A$1:$AK$41"}</definedName>
    <definedName name="que" hidden="1">{#N/A,#N/A,FALSE,"PCOL"}</definedName>
    <definedName name="QUQT" hidden="1">{"'gráf jan00'!$A$1:$AK$41"}</definedName>
    <definedName name="QWE" hidden="1">{"'gráf jan00'!$A$1:$AK$41"}</definedName>
    <definedName name="qweeererr" hidden="1">{"'RR'!$A$2:$E$81"}</definedName>
    <definedName name="qwqq" hidden="1">{#N/A,#N/A,FALSE,"PCOL"}</definedName>
    <definedName name="qwqw" hidden="1">{#N/A,#N/A,FALSE,"PCOL"}</definedName>
    <definedName name="qwqweq" hidden="1">{#N/A,#N/A,FALSE,"PCOL"}</definedName>
    <definedName name="qwqwq" hidden="1">{#N/A,#N/A,FALSE,"PCOL"}</definedName>
    <definedName name="qwqwsq" hidden="1">{#N/A,#N/A,FALSE,"PCOL"}</definedName>
    <definedName name="RA" hidden="1">{"'Quadro'!$A$4:$BG$78"}</definedName>
    <definedName name="rdff" hidden="1">{#N/A,#N/A,TRUE,"indice";#N/A,#N/A,TRUE,"indicadores";#N/A,#N/A,TRUE,"comentarios"}</definedName>
    <definedName name="RDTEA" hidden="1">{"'Quadro'!$A$4:$BG$78"}</definedName>
    <definedName name="relatori" hidden="1">{#N/A,#N/A,FALSE,"GERAL";#N/A,#N/A,FALSE,"012-96";#N/A,#N/A,FALSE,"018-96";#N/A,#N/A,FALSE,"027-96";#N/A,#N/A,FALSE,"059-96";#N/A,#N/A,FALSE,"076-96";#N/A,#N/A,FALSE,"019-97";#N/A,#N/A,FALSE,"021-97";#N/A,#N/A,FALSE,"022-97";#N/A,#N/A,FALSE,"028-97"}</definedName>
    <definedName name="RES" hidden="1">{"'Quadro'!$A$4:$BG$78"}</definedName>
    <definedName name="Resumo1" hidden="1">{"'teste'!$B$2:$R$49"}</definedName>
    <definedName name="RET" hidden="1">{"'Quadro'!$A$4:$BG$78"}</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FTY" hidden="1">{"'Quadro'!$A$4:$BG$78"}</definedName>
    <definedName name="RGDRGDS" hidden="1">{#N/A,#N/A,FALSE,"GERAL";#N/A,#N/A,FALSE,"012-96";#N/A,#N/A,FALSE,"018-96";#N/A,#N/A,FALSE,"027-96";#N/A,#N/A,FALSE,"059-96";#N/A,#N/A,FALSE,"076-96";#N/A,#N/A,FALSE,"019-97";#N/A,#N/A,FALSE,"021-97";#N/A,#N/A,FALSE,"022-97";#N/A,#N/A,FALSE,"028-97"}</definedName>
    <definedName name="RiskAfterRecalcMacro" hidden="1">""</definedName>
    <definedName name="RiskAfterSimMacro" hidden="1">""</definedName>
    <definedName name="RiskBeforeRecalcMacro" hidden="1">""</definedName>
    <definedName name="RiskBeforeSimMacro" hidden="1">""</definedName>
    <definedName name="rr" hidden="1">{"'CptDifn'!$AA$32:$AG$32"}</definedName>
    <definedName name="RRR"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rrrrrrrrrrrr" hidden="1">{#N/A,#N/A,FALSE,"GERAL";#N/A,#N/A,FALSE,"012-96";#N/A,#N/A,FALSE,"018-96";#N/A,#N/A,FALSE,"027-96";#N/A,#N/A,FALSE,"059-96";#N/A,#N/A,FALSE,"076-96";#N/A,#N/A,FALSE,"019-97";#N/A,#N/A,FALSE,"021-97";#N/A,#N/A,FALSE,"022-97";#N/A,#N/A,FALSE,"028-97"}</definedName>
    <definedName name="SAAF" hidden="1">{"'Quadro'!$A$4:$BG$78"}</definedName>
    <definedName name="sabrin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c" hidden="1">{#N/A,#N/A,FALSE,"PCOL"}</definedName>
    <definedName name="SAFDASFD" hidden="1">{"'REL CUSTODIF'!$B$1:$H$72"}</definedName>
    <definedName name="SAPBEXdnldView" hidden="1">"45PQXFK1FNU8V8F6EX8BUJ292"</definedName>
    <definedName name="SAPBEXsysID" hidden="1">"BIP"</definedName>
    <definedName name="saquinho" hidden="1">{#N/A,#N/A,FALSE,"PCOL"}</definedName>
    <definedName name="SAR" hidden="1">{"'Quadro'!$A$4:$BG$78"}</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a" hidden="1">{"'gráf jan00'!$A$1:$AK$41"}</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Cs" hidden="1">{"'REL CUSTODIF'!$B$1:$H$72"}</definedName>
    <definedName name="SDadsd" hidden="1">{"'REL CUSTODIF'!$B$1:$H$72"}</definedName>
    <definedName name="sdcsadSD" hidden="1">{"'REL CUSTODIF'!$B$1:$H$72"}</definedName>
    <definedName name="SDds" hidden="1">{"'REL CUSTODIF'!$B$1:$H$72"}</definedName>
    <definedName name="SDF" hidden="1">{"'REL CUSTODIF'!$B$1:$H$72"}</definedName>
    <definedName name="SDFFDFDF" hidden="1">{"'gráf jan00'!$A$1:$AK$41"}</definedName>
    <definedName name="sdSDsd" hidden="1">{#N/A,#N/A,FALSE,"GERAL";#N/A,#N/A,FALSE,"012-96";#N/A,#N/A,FALSE,"018-96";#N/A,#N/A,FALSE,"027-96";#N/A,#N/A,FALSE,"059-96";#N/A,#N/A,FALSE,"076-96";#N/A,#N/A,FALSE,"019-97";#N/A,#N/A,FALSE,"021-97";#N/A,#N/A,FALSE,"022-97";#N/A,#N/A,FALSE,"028-97"}</definedName>
    <definedName name="SDXsad" hidden="1">{"'REL CUSTODIF'!$B$1:$H$72"}</definedName>
    <definedName name="SE" hidden="1">{#N/A,#N/A,FALSE,"GERAL";#N/A,#N/A,FALSE,"012-96";#N/A,#N/A,FALSE,"018-96";#N/A,#N/A,FALSE,"027-96";#N/A,#N/A,FALSE,"059-96";#N/A,#N/A,FALSE,"076-96";#N/A,#N/A,FALSE,"019-97";#N/A,#N/A,FALSE,"021-97";#N/A,#N/A,FALSE,"022-97";#N/A,#N/A,FALSE,"028-97"}</definedName>
    <definedName name="SER" hidden="1">{"'Quadro'!$A$4:$BG$78"}</definedName>
    <definedName name="SF" hidden="1">{"'Quadro'!$A$4:$BG$78"}</definedName>
    <definedName name="SFD" hidden="1">{"'Quadro'!$A$4:$BG$78"}</definedName>
    <definedName name="sfderfEW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J" hidden="1">{"'Quadro'!$A$4:$BG$78"}</definedName>
    <definedName name="sfqefewfqeRW" hidden="1">{"'REL CUSTODIF'!$B$1:$H$72"}</definedName>
    <definedName name="SFQET" hidden="1">{"'REL CUSTODIF'!$B$1:$H$72"}</definedName>
    <definedName name="SFR" hidden="1">{"'Quadro'!$A$4:$BG$78"}</definedName>
    <definedName name="SGRGR" hidden="1">{#N/A,#N/A,FALSE,"GERAL";#N/A,#N/A,FALSE,"012-96";#N/A,#N/A,FALSE,"018-96";#N/A,#N/A,FALSE,"027-96";#N/A,#N/A,FALSE,"059-96";#N/A,#N/A,FALSE,"076-96";#N/A,#N/A,FALSE,"019-97";#N/A,#N/A,FALSE,"021-97";#N/A,#N/A,FALSE,"022-97";#N/A,#N/A,FALSE,"028-97"}</definedName>
    <definedName name="SHHHHJ" hidden="1">{"'RR'!$A$2:$E$81"}</definedName>
    <definedName name="sof" hidden="1">{#N/A,#N/A,FALSE,"PCOL"}</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DF" hidden="1">{"'Quadro'!$A$4:$BG$78"}</definedName>
    <definedName name="SSS" hidden="1">{#N/A,#N/A,FALSE,"GERAL";#N/A,#N/A,FALSE,"012-96";#N/A,#N/A,FALSE,"018-96";#N/A,#N/A,FALSE,"027-96";#N/A,#N/A,FALSE,"059-96";#N/A,#N/A,FALSE,"076-96";#N/A,#N/A,FALSE,"019-97";#N/A,#N/A,FALSE,"021-97";#N/A,#N/A,FALSE,"022-97";#N/A,#N/A,FALSE,"028-97"}</definedName>
    <definedName name="sss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WE" hidden="1">{"'Quadro'!$A$4:$BG$78"}</definedName>
    <definedName name="SWR" hidden="1">{"'Quadro'!$A$4:$BG$78"}</definedName>
    <definedName name="TEMP" hidden="1">{#N/A,#N/A,FALSE,"PCOL"}</definedName>
    <definedName name="teste3" hidden="1">{"'gráf jan00'!$A$1:$AK$41"}</definedName>
    <definedName name="TextRefCopyRangeCount" hidden="1">1</definedName>
    <definedName name="THR" hidden="1">{"'gráf jan00'!$A$1:$AK$41"}</definedName>
    <definedName name="THTRHT" hidden="1">{"'gráf jan00'!$A$1:$AK$41"}</definedName>
    <definedName name="_xlnm.Print_Titles" localSheetId="0">PQ!$1:$7</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ran" hidden="1">{"'Quadro'!$A$4:$BG$78"}</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m" hidden="1">{"'gráf jan00'!$A$1:$AK$41"}</definedName>
    <definedName name="TRES" hidden="1">{#N/A,#N/A,FALSE,"GERAL";#N/A,#N/A,FALSE,"012-96";#N/A,#N/A,FALSE,"018-96";#N/A,#N/A,FALSE,"027-96";#N/A,#N/A,FALSE,"059-96";#N/A,#N/A,FALSE,"076-96";#N/A,#N/A,FALSE,"019-97";#N/A,#N/A,FALSE,"021-97";#N/A,#N/A,FALSE,"022-97";#N/A,#N/A,FALSE,"028-97"}</definedName>
    <definedName name="trezeabril" hidden="1">{"'gráf jan00'!$A$1:$AK$41"}</definedName>
    <definedName name="TREZEABRILL" hidden="1">{"'gráf jan00'!$A$1:$AK$41"}</definedName>
    <definedName name="trezeagosto" hidden="1">{"'gráf jan00'!$A$1:$AK$41"}</definedName>
    <definedName name="trezeagosto2" hidden="1">{"'gráf jan00'!$A$1:$AK$41"}</definedName>
    <definedName name="trezeagosto3" hidden="1">{"'gráf jan00'!$A$1:$AK$41"}</definedName>
    <definedName name="trezeagosto4" hidden="1">{"'gráf jan00'!$A$1:$AK$41"}</definedName>
    <definedName name="trezeagosto5" hidden="1">{"'gráf jan00'!$A$1:$AK$41"}</definedName>
    <definedName name="trezeagosto6" hidden="1">{"'gráf jan00'!$A$1:$AK$41"}</definedName>
    <definedName name="trezeagosto7" hidden="1">{"'gráf jan00'!$A$1:$AK$41"}</definedName>
    <definedName name="trezeagosto8" hidden="1">{"'gráf jan00'!$A$1:$AK$41"}</definedName>
    <definedName name="trezejulho" hidden="1">{"'gráf jan00'!$A$1:$AK$41"}</definedName>
    <definedName name="trezejulho2" hidden="1">{"'gráf jan00'!$A$1:$AK$41"}</definedName>
    <definedName name="trezejulho3" hidden="1">{"'gráf jan00'!$A$1:$AK$41"}</definedName>
    <definedName name="trezejun" hidden="1">{"'gráf jan00'!$A$1:$AK$41"}</definedName>
    <definedName name="trezejunho" hidden="1">{"'gráf jan00'!$A$1:$AK$41"}</definedName>
    <definedName name="trezejunnho" hidden="1">{"'gráf jan00'!$A$1:$AK$41"}</definedName>
    <definedName name="trezemarço" hidden="1">{"'gráf jan00'!$A$1:$AK$41"}</definedName>
    <definedName name="TROCA" hidden="1">{#N/A,#N/A,FALSE,"GERAL";#N/A,#N/A,FALSE,"012-96";#N/A,#N/A,FALSE,"018-96";#N/A,#N/A,FALSE,"027-96";#N/A,#N/A,FALSE,"059-96";#N/A,#N/A,FALSE,"076-96";#N/A,#N/A,FALSE,"019-97";#N/A,#N/A,FALSE,"021-97";#N/A,#N/A,FALSE,"022-97";#N/A,#N/A,FALSE,"028-97"}</definedName>
    <definedName name="trt" hidden="1">{"'gráf jan00'!$A$1:$AK$41"}</definedName>
    <definedName name="TRYGTRHGASR" hidden="1">{#N/A,#N/A,FALSE,"Suprimentos";#N/A,#N/A,FALSE,"Medicina e Segurança";#N/A,#N/A,FALSE,"Administração";#N/A,#N/A,FALSE,"Meio Ambiente";#N/A,#N/A,FALSE,"Operação (Mina)";#N/A,#N/A,FALSE,"Operação (Porto)"}</definedName>
    <definedName name="TRYU" hidden="1">{"'Quadro'!$A$4:$BG$78"}</definedName>
    <definedName name="tste" hidden="1">{#N/A,#N/A,FALSE,"TEC-01";#N/A,#N/A,FALSE,"TEC - 02";#N/A,#N/A,FALSE,"TEC - 03";#N/A,#N/A,FALSE,"TEC - 04";#N/A,#N/A,FALSE,"TEC-07";#N/A,#N/A,FALSE,"TEC-08";#N/A,#N/A,FALSE,"TEC - 09A";#N/A,#N/A,FALSE,"TEC - 09B";#N/A,#N/A,FALSE,"TEC - 09C";#N/A,#N/A,FALSE,"TEC - 10";#N/A,#N/A,FALSE,"TEC-11"}</definedName>
    <definedName name="TTER" hidden="1">{"'Quadro'!$A$4:$BG$78"}</definedName>
    <definedName name="TTRGHTR" hidden="1">{#N/A,#N/A,FALSE,"GERAL";#N/A,#N/A,FALSE,"012-96";#N/A,#N/A,FALSE,"018-96";#N/A,#N/A,FALSE,"027-96";#N/A,#N/A,FALSE,"059-96";#N/A,#N/A,FALSE,"076-96";#N/A,#N/A,FALSE,"019-97";#N/A,#N/A,FALSE,"021-97";#N/A,#N/A,FALSE,"022-97";#N/A,#N/A,FALSE,"028-97"}</definedName>
    <definedName name="TTT" hidden="1">{"'gráf jan00'!$A$1:$AK$41"}</definedName>
    <definedName name="TTTT" hidden="1">{"'gráf jan00'!$A$1:$AK$41"}</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U" hidden="1">{"'Quadro'!$A$4:$BG$78"}</definedName>
    <definedName name="U" hidden="1">{"'gráf jan00'!$A$1:$AK$41"}</definedName>
    <definedName name="uoluyk" hidden="1">{#N/A,#N/A,TRUE,"indice";#N/A,#N/A,TRUE,"indicadores";#N/A,#N/A,TRUE,"comentarios"}</definedName>
    <definedName name="uu" hidden="1">{"'REL CUSTODIF'!$B$1:$H$72"}</definedName>
    <definedName name="UUUUUUU" hidden="1">{#N/A,#N/A,FALSE,"GERAL";#N/A,#N/A,FALSE,"012-96";#N/A,#N/A,FALSE,"018-96";#N/A,#N/A,FALSE,"027-96";#N/A,#N/A,FALSE,"059-96";#N/A,#N/A,FALSE,"076-96";#N/A,#N/A,FALSE,"019-97";#N/A,#N/A,FALSE,"021-97";#N/A,#N/A,FALSE,"022-97";#N/A,#N/A,FALSE,"028-97"}</definedName>
    <definedName name="v" hidden="1">{#N/A,#N/A,FALSE,"PCOL"}</definedName>
    <definedName name="VADSV" hidden="1">{"'REL CUSTODIF'!$B$1:$H$72"}</definedName>
    <definedName name="Verba" hidden="1">{#N/A,#N/A,FALSE,"GERAL";#N/A,#N/A,FALSE,"012-96";#N/A,#N/A,FALSE,"018-96";#N/A,#N/A,FALSE,"027-96";#N/A,#N/A,FALSE,"059-96";#N/A,#N/A,FALSE,"076-96";#N/A,#N/A,FALSE,"019-97";#N/A,#N/A,FALSE,"021-97";#N/A,#N/A,FALSE,"022-97";#N/A,#N/A,FALSE,"028-97"}</definedName>
    <definedName name="VFGS" hidden="1">{#N/A,#N/A,FALSE,"GERAL";#N/A,#N/A,FALSE,"012-96";#N/A,#N/A,FALSE,"018-96";#N/A,#N/A,FALSE,"027-96";#N/A,#N/A,FALSE,"059-96";#N/A,#N/A,FALSE,"076-96";#N/A,#N/A,FALSE,"019-97";#N/A,#N/A,FALSE,"021-97";#N/A,#N/A,FALSE,"022-97";#N/A,#N/A,FALSE,"028-97"}</definedName>
    <definedName name="VI" localSheetId="0"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p" hidden="1">{"'Quadro'!$A$4:$BG$78"}</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xs" hidden="1">{"'RR'!$A$2:$E$81"}</definedName>
    <definedName name="w" localSheetId="0" hidden="1">{#N/A,#N/A,FALSE,"GERAL";#N/A,#N/A,FALSE,"012-96";#N/A,#N/A,FALSE,"018-96";#N/A,#N/A,FALSE,"027-96";#N/A,#N/A,FALSE,"059-96";#N/A,#N/A,FALSE,"076-96";#N/A,#N/A,FALSE,"019-97";#N/A,#N/A,FALSE,"021-97";#N/A,#N/A,FALSE,"022-97";#N/A,#N/A,FALSE,"028-97"}</definedName>
    <definedName name="w" hidden="1">{#N/A,#N/A,FALSE,"PCOL"}</definedName>
    <definedName name="wadfaw" hidden="1">{#N/A,#N/A,TRUE,"indice";#N/A,#N/A,TRUE,"indicadores";#N/A,#N/A,TRUE,"comentarios"}</definedName>
    <definedName name="WDASD"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dewdwd" hidden="1">{#N/A,#N/A,FALSE,"PCOL"}</definedName>
    <definedName name="wdwd" hidden="1">{#N/A,#N/A,FALSE,"PCOL"}</definedName>
    <definedName name="wedwedw" hidden="1">{#N/A,#N/A,FALSE,"PCOL"}</definedName>
    <definedName name="wedwew" hidden="1">{#N/A,#N/A,FALSE,"PCOL"}</definedName>
    <definedName name="wewe" hidden="1">{#N/A,#N/A,FALSE,"PCOL"}</definedName>
    <definedName name="wewedwedw" hidden="1">{#N/A,#N/A,FALSE,"PCOL"}</definedName>
    <definedName name="wewew" hidden="1">{#N/A,#N/A,FALSE,"PCOL"}</definedName>
    <definedName name="WR" hidden="1">{"'Quadro'!$A$4:$BG$78"}</definedName>
    <definedName name="wrn.Aging._.and._.Trend._.Analysis." hidden="1">{#N/A,#N/A,FALSE,"Aging Summary";#N/A,#N/A,FALSE,"Ratio Analysis";#N/A,#N/A,FALSE,"Test 120 Day Accts";#N/A,#N/A,FALSE,"Tickmarks"}</definedName>
    <definedName name="wrn.All._.Tabs._.for._.Ken." hidden="1">{#N/A,#N/A,FALSE,"CW Summary";#N/A,#N/A,FALSE,"Weekly Tracking";#N/A,#N/A,FALSE,"MSA";#N/A,#N/A,FALSE,"Parts";#N/A,#N/A,FALSE,"RS";#N/A,#N/A,FALSE,"Mods";#N/A,#N/A,FALSE,"GEVISA";#N/A,#N/A,FALSE,"HQ"}</definedName>
    <definedName name="wrn.comentario." hidden="1">{#N/A,#N/A,FALSE,"PCOL"}</definedName>
    <definedName name="wrn.Comparaison._.DMU." hidden="1">{#N/A,#N/A,FALSE,"General";#N/A,#N/A,FALSE,"DMU";#N/A,#N/A,FALSE,"Breakdown";#N/A,#N/A,FALSE,"Traction";#N/A,#N/A,FALSE,"Bogie &amp; Carbody";#N/A,#N/A,FALSE,"Auxiliaries";#N/A,#N/A,FALSE,"Braking";#N/A,#N/A,FALSE,"Electric";#N/A,#N/A,FALSE,"Comfort";#N/A,#N/A,FALSE,"Interiors";#N/A,#N/A,FALSE,"Exterior"}</definedName>
    <definedName name="wrn.def9806." hidden="1">{#N/A,#N/A,FALSE,"DEF1";#N/A,#N/A,FALSE,"DEF2";#N/A,#N/A,FALSE,"DEF3"}</definedName>
    <definedName name="wrn.DESDOBRE." hidden="1">{#N/A,#N/A,FALSE,"CPV";#N/A,#N/A,FALSE,"Pareto";#N/A,#N/A,FALSE,"Gráficos"}</definedName>
    <definedName name="wrn.GERAL." hidden="1">{#N/A,#N/A,FALSE,"ET-CAPA";#N/A,#N/A,FALSE,"ET-PAG1";#N/A,#N/A,FALSE,"ET-PAG2";#N/A,#N/A,FALSE,"ET-PAG3";#N/A,#N/A,FALSE,"ET-PAG4";#N/A,#N/A,FALSE,"ET-PAG5"}</definedName>
    <definedName name="wrn.gere." hidden="1">{#N/A,#N/A,FALSE,"GQGEMPRE"}</definedName>
    <definedName name="wrn.geren." hidden="1">{#N/A,#N/A,FALSE,"EXPORTAC";#N/A,#N/A,FALSE,"SUPEL94"}</definedName>
    <definedName name="wrn.INFORMETEC." hidden="1">{#N/A,#N/A,FALSE,"TEC-01";#N/A,#N/A,FALSE,"TEC - 02";#N/A,#N/A,FALSE,"TEC - 03";#N/A,#N/A,FALSE,"TEC - 04";#N/A,#N/A,FALSE,"TEC-07";#N/A,#N/A,FALSE,"TEC-08";#N/A,#N/A,FALSE,"TEC - 09A";#N/A,#N/A,FALSE,"TEC - 09B";#N/A,#N/A,FALSE,"TEC - 09C";#N/A,#N/A,FALSE,"TEC - 10";#N/A,#N/A,FALSE,"TEC-11"}</definedName>
    <definedName name="wrn.INVESTIMENTOS._.CORRENTES." hidden="1">{#N/A,#N/A,FALSE,"Suprimentos";#N/A,#N/A,FALSE,"Medicina e Segurança";#N/A,#N/A,FALSE,"Administração";#N/A,#N/A,FALSE,"Meio Ambiente";#N/A,#N/A,FALSE,"Operação (Mina)";#N/A,#N/A,FALSE,"Operação (Porto)"}</definedName>
    <definedName name="wrn.PENDENC."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1." hidden="1">{#N/A,#N/A,FALSE,"GERAL";#N/A,#N/A,FALSE,"012-96";#N/A,#N/A,FALSE,"018-96";#N/A,#N/A,FALSE,"027-96";#N/A,#N/A,FALSE,"059-96";#N/A,#N/A,FALSE,"076-96";#N/A,#N/A,FALSE,"019-97";#N/A,#N/A,FALSE,"021-97";#N/A,#N/A,FALSE,"022-97";#N/A,#N/A,FALSE,"028-97"}</definedName>
    <definedName name="wrn.PENDENCIAS2" hidden="1">{#N/A,#N/A,FALSE,"GERAL";#N/A,#N/A,FALSE,"012-96";#N/A,#N/A,FALSE,"018-96";#N/A,#N/A,FALSE,"027-96";#N/A,#N/A,FALSE,"059-96";#N/A,#N/A,FALSE,"076-96";#N/A,#N/A,FALSE,"019-97";#N/A,#N/A,FALSE,"021-97";#N/A,#N/A,FALSE,"022-97";#N/A,#N/A,FALSE,"028-97"}</definedName>
    <definedName name="wrn.Print._.All."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wrn.Print._.PL._.Reports." hidden="1">{#N/A,#N/A,FALSE,"P&amp;L Reports";#N/A,#N/A,FALSE,"Locomotives";#N/A,#N/A,FALSE,"Modernizations";#N/A,#N/A,FALSE,"Repair Services";#N/A,#N/A,FALSE,"Parts";#N/A,#N/A,FALSE,"Signaling Projects";#N/A,#N/A,FALSE,"Signaling Products";#N/A,#N/A,FALSE,"MSA";#N/A,#N/A,FALSE,"Gevisa"}</definedName>
    <definedName name="wrn.Print._.Summary." hidden="1">{#N/A,#N/A,FALSE,"Summary Intro";#N/A,#N/A,FALSE,"Summary";#N/A,#N/A,FALSE,"TY (formulas)";#N/A,#N/A,FALSE,"Q1 (ACT)";#N/A,#N/A,FALSE,"Q2 (Act)";#N/A,#N/A,FALSE,"Q3 (IOP)";#N/A,#N/A,FALSE,"Q4 (IOP)"}</definedName>
    <definedName name="wrn.Print._.TST._.Reports." hidden="1">{#N/A,#N/A,FALSE,"TST Reports";#N/A,#N/A,FALSE,"BNSF";#N/A,#N/A,FALSE,"NS";#N/A,#N/A,FALSE,"UP";#N/A,#N/A,FALSE,"CXS";#N/A,#N/A,FALSE,"CP";#N/A,#N/A,FALSE,"CN";#N/A,#N/A,FALSE,"Latin America";#N/A,#N/A,FALSE,"Other US Shortlines";#N/A,#N/A,FALSE,"NA Passenger";#N/A,#N/A,FALSE,"WE, Africa, ME";#N/A,#N/A,FALSE,"Eastern Europe, Russia";#N/A,#N/A,FALSE,"India &amp; W Asia";#N/A,#N/A,FALSE,"SE Asia"}</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ma."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wrn.SITUAÇÃO._.DIÁRIA." hidden="1">{#N/A,#N/A,FALSE,"SITUAÇÃO DIÁRIA ";#N/A,#N/A,FALSE,"7 à 7"}</definedName>
    <definedName name="wrn.Tabs._.for._.Dave." hidden="1">{#N/A,#N/A,FALSE,"CW Summary";#N/A,#N/A,FALSE,"Weekly Tracking";#N/A,#N/A,FALSE,"MSA";#N/A,#N/A,FALSE,"Parts";#N/A,#N/A,FALSE,"RS";#N/A,#N/A,FALSE,"Mods";#N/A,#N/A,FALSE,"GEVISA"}</definedName>
    <definedName name="wrn.teste." hidden="1">{#N/A,#N/A,TRUE,"indice";#N/A,#N/A,TRUE,"indicadores";#N/A,#N/A,TRUE,"comentarios"}</definedName>
    <definedName name="WSDWS" hidden="1">{#N/A,#N/A,FALSE,"GERAL";#N/A,#N/A,FALSE,"012-96";#N/A,#N/A,FALSE,"018-96";#N/A,#N/A,FALSE,"027-96";#N/A,#N/A,FALSE,"059-96";#N/A,#N/A,FALSE,"076-96";#N/A,#N/A,FALSE,"019-97";#N/A,#N/A,FALSE,"021-97";#N/A,#N/A,FALSE,"022-97";#N/A,#N/A,FALSE,"028-97"}</definedName>
    <definedName name="wsewew" hidden="1">{#N/A,#N/A,FALSE,"PCOL"}</definedName>
    <definedName name="ww" hidden="1">{#N/A,#N/A,FALSE,"GERAL";#N/A,#N/A,FALSE,"012-96";#N/A,#N/A,FALSE,"018-96";#N/A,#N/A,FALSE,"027-96";#N/A,#N/A,FALSE,"059-96";#N/A,#N/A,FALSE,"076-96";#N/A,#N/A,FALSE,"019-97";#N/A,#N/A,FALSE,"021-97";#N/A,#N/A,FALSE,"022-97";#N/A,#N/A,FALSE,"028-97"}</definedName>
    <definedName name="WWWWWWWWWW" hidden="1">{"'gráf jan00'!$A$1:$AK$41"}</definedName>
    <definedName name="x" hidden="1">{#N/A,#N/A,FALSE,"GERAL";#N/A,#N/A,FALSE,"012-96";#N/A,#N/A,FALSE,"018-96";#N/A,#N/A,FALSE,"027-96";#N/A,#N/A,FALSE,"059-96";#N/A,#N/A,FALSE,"076-96";#N/A,#N/A,FALSE,"019-97";#N/A,#N/A,FALSE,"021-97";#N/A,#N/A,FALSE,"022-97";#N/A,#N/A,FALSE,"028-97"}</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cxcx" hidden="1">{"'gráf jan00'!$A$1:$AK$41"}</definedName>
    <definedName name="xd" hidden="1">{"'gráf jan00'!$A$1:$AK$41"}</definedName>
    <definedName name="xdasf" hidden="1">{#N/A,#N/A,FALSE,"GERAL";#N/A,#N/A,FALSE,"012-96";#N/A,#N/A,FALSE,"018-96";#N/A,#N/A,FALSE,"027-96";#N/A,#N/A,FALSE,"059-96";#N/A,#N/A,FALSE,"076-96";#N/A,#N/A,FALSE,"019-97";#N/A,#N/A,FALSE,"021-97";#N/A,#N/A,FALSE,"022-97";#N/A,#N/A,FALSE,"028-97"}</definedName>
    <definedName name="xdet"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F" hidden="1">{"'Quadro'!$A$4:$BG$78"}</definedName>
    <definedName name="XDSAD" hidden="1">{"'REL CUSTODIF'!$B$1:$H$72"}</definedName>
    <definedName name="xfc" hidden="1">{"'REL CUSTODIF'!$B$1:$H$72"}</definedName>
    <definedName name="xuxa" hidden="1">{"'REL CUSTODIF'!$B$1:$H$72"}</definedName>
    <definedName name="xuxa1" hidden="1">{"'REL CUSTODIF'!$B$1:$H$72"}</definedName>
    <definedName name="XWERF" hidden="1">{"'REL CUSTODIF'!$B$1:$H$72"}</definedName>
    <definedName name="xx" hidden="1">{#N/A,#N/A,FALSE,"GERAL";#N/A,#N/A,FALSE,"012-96";#N/A,#N/A,FALSE,"018-96";#N/A,#N/A,FALSE,"027-96";#N/A,#N/A,FALSE,"059-96";#N/A,#N/A,FALSE,"076-96";#N/A,#N/A,FALSE,"019-97";#N/A,#N/A,FALSE,"021-97";#N/A,#N/A,FALSE,"022-97";#N/A,#N/A,FALSE,"028-97"}</definedName>
    <definedName name="XXX" hidden="1">{#N/A,#N/A,FALSE,"GERAL";#N/A,#N/A,FALSE,"012-96";#N/A,#N/A,FALSE,"018-96";#N/A,#N/A,FALSE,"027-96";#N/A,#N/A,FALSE,"059-96";#N/A,#N/A,FALSE,"076-96";#N/A,#N/A,FALSE,"019-97";#N/A,#N/A,FALSE,"021-97";#N/A,#N/A,FALSE,"022-97";#N/A,#N/A,FALSE,"028-97"}</definedName>
    <definedName name="xxxx" hidden="1">{#N/A,#N/A,FALSE,"GERAL";#N/A,#N/A,FALSE,"012-96";#N/A,#N/A,FALSE,"018-96";#N/A,#N/A,FALSE,"027-96";#N/A,#N/A,FALSE,"059-96";#N/A,#N/A,FALSE,"076-96";#N/A,#N/A,FALSE,"019-97";#N/A,#N/A,FALSE,"021-97";#N/A,#N/A,FALSE,"022-97";#N/A,#N/A,FALSE,"028-97"}</definedName>
    <definedName name="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x" hidden="1">{"'Gráfico Prod Km Realizado'!$A$1"}</definedName>
    <definedName name="ygv" hidden="1">{#N/A,#N/A,FALSE,"PCOL"}</definedName>
    <definedName name="YO" hidden="1">{"'Quadro'!$A$4:$BG$78"}</definedName>
    <definedName name="Z_09F1F36E_B8A3_491C_89C9_D00232BEB8F7_.wvu.FilterData" hidden="1">#REF!</definedName>
    <definedName name="ZDA\DS" hidden="1">{"'gráf jan00'!$A$1:$AK$41"}</definedName>
    <definedName name="zgfd" hidden="1">{"'gráf jan00'!$A$1:$AK$41"}</definedName>
  </definedNames>
  <calcPr calcId="191029" calcOnSave="0"/>
  <pivotCaches>
    <pivotCache cacheId="0" r:id="rId16"/>
    <pivotCache cacheId="1" r:id="rId17"/>
    <pivotCache cacheId="2" r:id="rId18"/>
    <pivotCache cacheId="3"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61" i="19" l="1"/>
  <c r="M260" i="19"/>
  <c r="M259" i="19"/>
  <c r="M258" i="19"/>
  <c r="M257" i="19"/>
  <c r="M256" i="19"/>
  <c r="M255" i="19"/>
  <c r="M254" i="19"/>
  <c r="M253" i="19"/>
  <c r="M252" i="19"/>
  <c r="M251" i="19"/>
  <c r="M250" i="19"/>
  <c r="M249" i="19"/>
  <c r="M248" i="19"/>
  <c r="M247" i="19"/>
  <c r="M246" i="19"/>
  <c r="M245" i="19"/>
  <c r="M244" i="19"/>
  <c r="M243" i="19"/>
  <c r="M242" i="19"/>
  <c r="M241" i="19"/>
  <c r="M240" i="19"/>
  <c r="M239" i="19"/>
  <c r="M238" i="19"/>
  <c r="M237" i="19"/>
  <c r="M236" i="19"/>
  <c r="M235" i="19"/>
  <c r="M234" i="19"/>
  <c r="M233" i="19"/>
  <c r="M232" i="19"/>
  <c r="M231" i="19"/>
  <c r="M230" i="19"/>
  <c r="M229" i="19"/>
  <c r="M228" i="19"/>
  <c r="M227" i="19"/>
  <c r="M226" i="19"/>
  <c r="M225" i="19"/>
  <c r="M224" i="19"/>
  <c r="M223" i="19"/>
  <c r="M222" i="19"/>
  <c r="M221" i="19"/>
  <c r="M220" i="19"/>
  <c r="M219" i="19"/>
  <c r="M218" i="19"/>
  <c r="M217" i="19"/>
  <c r="M216" i="19"/>
  <c r="M215" i="19"/>
  <c r="M214" i="19"/>
  <c r="M213" i="19"/>
  <c r="M212" i="19"/>
  <c r="M211" i="19"/>
  <c r="M210" i="19"/>
  <c r="M209" i="19"/>
  <c r="M208" i="19"/>
  <c r="M207" i="19"/>
  <c r="M206" i="19"/>
  <c r="M205" i="19"/>
  <c r="M204" i="19"/>
  <c r="M203" i="19"/>
  <c r="M202" i="19"/>
  <c r="M201" i="19"/>
  <c r="M200" i="19"/>
  <c r="M199" i="19"/>
  <c r="M198" i="19"/>
  <c r="M197" i="19"/>
  <c r="M196" i="19"/>
  <c r="M195" i="19"/>
  <c r="M194" i="19"/>
  <c r="M193" i="19"/>
  <c r="M192" i="19"/>
  <c r="M191" i="19"/>
  <c r="M190" i="19"/>
  <c r="M189" i="19"/>
  <c r="M188" i="19"/>
  <c r="M187" i="19"/>
  <c r="M186" i="19"/>
  <c r="M185" i="19"/>
  <c r="M184" i="19"/>
  <c r="M183" i="19"/>
  <c r="M182" i="19"/>
  <c r="M181" i="19"/>
  <c r="M180" i="19"/>
  <c r="M179" i="19"/>
  <c r="M178" i="19"/>
  <c r="M177" i="19"/>
  <c r="M176" i="19"/>
  <c r="M175" i="19"/>
  <c r="M174" i="19"/>
  <c r="M173" i="19"/>
  <c r="M172" i="19"/>
  <c r="M171" i="19"/>
  <c r="M170" i="19"/>
  <c r="M169" i="19"/>
  <c r="M168" i="19"/>
  <c r="M167" i="19"/>
  <c r="M166" i="19"/>
  <c r="M165" i="19"/>
  <c r="M164" i="19"/>
  <c r="M163" i="19"/>
  <c r="M162" i="19"/>
  <c r="M161" i="19"/>
  <c r="M160" i="19"/>
  <c r="M159" i="19"/>
  <c r="M158" i="19"/>
  <c r="M157" i="19"/>
  <c r="M156" i="19"/>
  <c r="M155" i="19"/>
  <c r="M154" i="19"/>
  <c r="M153" i="19"/>
  <c r="M152" i="19"/>
  <c r="M151" i="19"/>
  <c r="M150" i="19"/>
  <c r="M149" i="19"/>
  <c r="M148" i="19"/>
  <c r="M134" i="19"/>
  <c r="M135" i="19"/>
  <c r="M136" i="19"/>
  <c r="M137" i="19"/>
  <c r="M138" i="19"/>
  <c r="M139" i="19"/>
  <c r="M140" i="19"/>
  <c r="M141" i="19"/>
  <c r="M142" i="19"/>
  <c r="M143" i="19"/>
  <c r="M144" i="19"/>
  <c r="M145" i="19"/>
  <c r="M146" i="19"/>
  <c r="M147" i="19"/>
  <c r="M133" i="19"/>
  <c r="M132" i="19"/>
  <c r="M131" i="19"/>
  <c r="M130" i="19"/>
  <c r="M129" i="19"/>
  <c r="M128" i="19"/>
  <c r="M127" i="19"/>
  <c r="M126" i="19"/>
  <c r="M125" i="19"/>
  <c r="M124" i="19"/>
  <c r="M123" i="19"/>
  <c r="M122" i="19"/>
  <c r="M121" i="19"/>
  <c r="M120"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67" i="19"/>
  <c r="M68" i="19"/>
  <c r="M69" i="19"/>
  <c r="M70" i="19"/>
  <c r="M71" i="19"/>
  <c r="M72" i="19"/>
  <c r="M73" i="19"/>
  <c r="M74" i="19"/>
  <c r="M75" i="19"/>
  <c r="M76" i="19"/>
  <c r="M77" i="19"/>
  <c r="M78" i="19"/>
  <c r="M79" i="19"/>
  <c r="M80" i="19"/>
  <c r="M81" i="19"/>
  <c r="M82" i="19"/>
  <c r="M83" i="19"/>
  <c r="M84" i="19"/>
  <c r="M85" i="19"/>
  <c r="M86" i="19"/>
  <c r="M87" i="19"/>
  <c r="M88" i="19"/>
  <c r="M89" i="19"/>
  <c r="M52" i="19"/>
  <c r="M64" i="19"/>
  <c r="M39" i="19"/>
  <c r="M40" i="19"/>
  <c r="M41" i="19"/>
  <c r="M42" i="19"/>
  <c r="M43" i="19"/>
  <c r="M44" i="19"/>
  <c r="M45" i="19"/>
  <c r="M46" i="19"/>
  <c r="M47" i="19"/>
  <c r="M48" i="19"/>
  <c r="M49" i="19"/>
  <c r="M50" i="19"/>
  <c r="M51" i="19"/>
  <c r="M53" i="19"/>
  <c r="M54" i="19"/>
  <c r="M55" i="19"/>
  <c r="M56" i="19"/>
  <c r="M57" i="19"/>
  <c r="M58" i="19"/>
  <c r="M59" i="19"/>
  <c r="M60" i="19"/>
  <c r="M61" i="19"/>
  <c r="M62" i="19"/>
  <c r="M63" i="19"/>
  <c r="M65" i="19"/>
  <c r="M66" i="19"/>
  <c r="M5" i="19" l="1"/>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 i="19" l="1"/>
  <c r="AN416" i="19"/>
  <c r="AN417" i="19"/>
  <c r="AN418" i="19"/>
  <c r="AN419" i="19"/>
  <c r="AN420" i="19"/>
  <c r="AN421" i="19"/>
  <c r="AN422" i="19"/>
  <c r="AN423" i="19"/>
  <c r="AN424" i="19"/>
  <c r="AN425" i="19"/>
  <c r="AN426" i="19"/>
  <c r="AN427" i="19"/>
  <c r="AN428" i="19"/>
  <c r="AN429" i="19"/>
  <c r="AN430" i="19"/>
  <c r="AN431" i="19"/>
  <c r="AN432" i="19"/>
  <c r="AN433" i="19"/>
  <c r="AN434" i="19"/>
  <c r="AN435" i="19"/>
  <c r="AN436" i="19"/>
  <c r="AN437" i="19"/>
  <c r="AN438" i="19"/>
  <c r="AN439" i="19"/>
  <c r="AN440" i="19"/>
  <c r="AN441" i="19"/>
  <c r="AN442" i="19"/>
  <c r="AN443" i="19"/>
  <c r="AN444" i="19"/>
  <c r="AN445" i="19"/>
  <c r="AN446" i="19"/>
  <c r="AN447" i="19"/>
  <c r="AN448" i="19"/>
  <c r="AN449" i="19"/>
  <c r="AN450" i="19"/>
  <c r="AN451" i="19"/>
  <c r="AN452" i="19"/>
  <c r="AN453" i="19"/>
  <c r="AN454" i="19"/>
  <c r="AN455" i="19"/>
  <c r="AN456" i="19"/>
  <c r="AN457" i="19"/>
  <c r="AN458" i="19"/>
  <c r="AN459" i="19"/>
  <c r="AN460" i="19"/>
  <c r="AN461" i="19"/>
  <c r="AN462" i="19"/>
  <c r="AN463" i="19"/>
  <c r="AN464" i="19"/>
  <c r="AN465" i="19"/>
  <c r="AN466" i="19"/>
  <c r="AN467" i="19"/>
  <c r="AN468" i="19"/>
  <c r="AN469" i="19"/>
  <c r="AN470" i="19"/>
  <c r="AN471" i="19"/>
  <c r="AN472" i="19"/>
  <c r="AN473" i="19"/>
  <c r="AN474" i="19"/>
  <c r="AN475" i="19"/>
  <c r="AN476" i="19"/>
  <c r="AN477" i="19"/>
  <c r="AN478" i="19"/>
  <c r="AN479" i="19"/>
  <c r="AN480" i="19"/>
  <c r="AN481" i="19"/>
  <c r="AN482" i="19"/>
  <c r="AN483" i="19"/>
  <c r="AN484" i="19"/>
  <c r="AN485" i="19"/>
  <c r="AN486" i="19"/>
  <c r="AN487" i="19"/>
  <c r="AN488" i="19"/>
  <c r="AN489" i="19"/>
  <c r="AN490" i="19"/>
  <c r="AN491" i="19"/>
  <c r="AN492" i="19"/>
  <c r="AN493" i="19"/>
  <c r="AN494" i="19"/>
  <c r="AN495" i="19"/>
  <c r="AN496" i="19"/>
  <c r="AN497" i="19"/>
  <c r="AN498" i="19"/>
  <c r="AN499" i="19"/>
  <c r="AN500" i="19"/>
  <c r="AN501" i="19"/>
  <c r="AN502" i="19"/>
  <c r="AN503" i="19"/>
  <c r="AN504" i="19"/>
  <c r="AN505" i="19"/>
  <c r="AN506" i="19"/>
  <c r="AN507" i="19"/>
  <c r="AN508" i="19"/>
  <c r="AN509" i="19"/>
  <c r="AN510" i="19"/>
  <c r="AN511" i="19"/>
  <c r="AN512" i="19"/>
  <c r="AN513" i="19"/>
  <c r="AN514" i="19"/>
  <c r="AN515" i="19"/>
  <c r="AN516" i="19"/>
  <c r="AN517" i="19"/>
  <c r="AN518" i="19"/>
  <c r="AN519" i="19"/>
  <c r="AN520" i="19"/>
  <c r="AN521" i="19"/>
  <c r="AN522" i="19"/>
  <c r="AN523" i="19"/>
  <c r="AN524" i="19"/>
  <c r="AN525" i="19"/>
  <c r="AN526" i="19"/>
  <c r="AN527" i="19"/>
  <c r="AN528" i="19"/>
  <c r="AN529" i="19"/>
  <c r="AN530" i="19"/>
  <c r="AN531" i="19"/>
  <c r="AN532" i="19"/>
  <c r="AN533" i="19"/>
  <c r="AN534" i="19"/>
  <c r="AN535" i="19"/>
  <c r="AN536" i="19"/>
  <c r="AN537" i="19"/>
  <c r="AN538" i="19"/>
  <c r="AN539" i="19"/>
  <c r="AN540" i="19"/>
  <c r="AN541" i="19"/>
  <c r="AN542" i="19"/>
  <c r="AN543" i="19"/>
  <c r="AN544" i="19"/>
  <c r="AN545" i="19"/>
  <c r="AN546" i="19"/>
  <c r="AN547" i="19"/>
  <c r="AN548" i="19"/>
  <c r="AN549" i="19"/>
  <c r="AN550" i="19"/>
  <c r="AN551" i="19"/>
  <c r="AN552" i="19"/>
  <c r="AN553" i="19"/>
  <c r="AN554" i="19"/>
  <c r="AN555" i="19"/>
  <c r="AN556" i="19"/>
  <c r="AN557" i="19"/>
  <c r="AN558" i="19"/>
  <c r="AN559" i="19"/>
  <c r="AN560" i="19"/>
  <c r="AN561" i="19"/>
  <c r="AN562" i="19"/>
  <c r="AN563" i="19"/>
  <c r="AN564" i="19"/>
  <c r="AN565" i="19"/>
  <c r="AN566" i="19"/>
  <c r="AN567" i="19"/>
  <c r="AN568" i="19"/>
  <c r="AN569" i="19"/>
  <c r="AN570" i="19"/>
  <c r="AN571" i="19"/>
  <c r="AN572" i="19"/>
  <c r="AN573" i="19"/>
  <c r="AN574" i="19"/>
  <c r="AN575" i="19"/>
  <c r="AN576" i="19"/>
  <c r="AN577" i="19"/>
  <c r="AN578" i="19"/>
  <c r="AN579" i="19"/>
  <c r="AN580" i="19"/>
  <c r="AN581" i="19"/>
  <c r="AN582" i="19"/>
  <c r="AN583" i="19"/>
  <c r="AN584" i="19"/>
  <c r="AN585" i="19"/>
  <c r="AN586" i="19"/>
  <c r="AN587" i="19"/>
  <c r="AN588" i="19"/>
  <c r="AN589" i="19"/>
  <c r="AN590" i="19"/>
  <c r="AN591" i="19"/>
  <c r="AN592" i="19"/>
  <c r="AN593" i="19"/>
  <c r="AN594" i="19"/>
  <c r="AN595" i="19"/>
  <c r="AN596" i="19"/>
  <c r="AN597" i="19"/>
  <c r="AN598" i="19"/>
  <c r="AN599" i="19"/>
  <c r="AN600" i="19"/>
  <c r="AN601" i="19"/>
  <c r="AN602" i="19"/>
  <c r="AN603" i="19"/>
  <c r="AN604" i="19"/>
  <c r="AN605" i="19"/>
  <c r="AN606" i="19"/>
  <c r="AN607" i="19"/>
  <c r="AN608" i="19"/>
  <c r="AN609" i="19"/>
  <c r="AN610" i="19"/>
  <c r="AN611" i="19"/>
  <c r="AN612" i="19"/>
  <c r="AN613" i="19"/>
  <c r="AN614" i="19"/>
  <c r="AN615" i="19"/>
  <c r="AN616" i="19"/>
  <c r="AN617" i="19"/>
  <c r="AN618" i="19"/>
  <c r="AN619" i="19"/>
  <c r="AN620" i="19"/>
  <c r="AN621" i="19"/>
  <c r="AN622" i="19"/>
  <c r="AN623" i="19"/>
  <c r="AN624" i="19"/>
  <c r="AN625" i="19"/>
  <c r="AN626" i="19"/>
  <c r="AN627" i="19"/>
  <c r="AN628" i="19"/>
  <c r="AN629" i="19"/>
  <c r="AN630" i="19"/>
  <c r="AN631" i="19"/>
  <c r="AN632" i="19"/>
  <c r="AN633" i="19"/>
  <c r="AN634" i="19"/>
  <c r="AN635" i="19"/>
  <c r="AN636" i="19"/>
  <c r="AN637" i="19"/>
  <c r="AN638" i="19"/>
  <c r="AN639" i="19"/>
  <c r="AN640" i="19"/>
  <c r="AN641" i="19"/>
  <c r="AN642" i="19"/>
  <c r="AN643" i="19"/>
  <c r="AN644" i="19"/>
  <c r="AN645" i="19"/>
  <c r="AN646" i="19"/>
  <c r="AN647" i="19"/>
  <c r="AN648" i="19"/>
  <c r="AN649" i="19"/>
  <c r="AN650" i="19"/>
  <c r="AN651" i="19"/>
  <c r="AN652" i="19"/>
  <c r="AN653" i="19"/>
  <c r="AN654" i="19"/>
  <c r="AN655" i="19"/>
  <c r="AN656" i="19"/>
  <c r="AN657" i="19"/>
  <c r="AN658" i="19"/>
  <c r="AN659" i="19"/>
  <c r="AN660" i="19"/>
  <c r="AN661" i="19"/>
  <c r="AN662" i="19"/>
  <c r="AN663" i="19"/>
  <c r="AN664" i="19"/>
  <c r="AN665" i="19"/>
  <c r="AN666" i="19"/>
  <c r="AN667" i="19"/>
  <c r="AN668" i="19"/>
  <c r="AN669" i="19"/>
  <c r="AN670" i="19"/>
  <c r="AN671" i="19"/>
  <c r="AN672" i="19"/>
  <c r="AN673" i="19"/>
  <c r="AN674" i="19"/>
  <c r="AN675" i="19"/>
  <c r="AN676" i="19"/>
  <c r="AN677" i="19"/>
  <c r="AN678" i="19"/>
  <c r="AN679" i="19"/>
  <c r="AN680" i="19"/>
  <c r="AN681" i="19"/>
  <c r="AN682" i="19"/>
  <c r="AN683" i="19"/>
  <c r="AN684" i="19"/>
  <c r="AN685" i="19"/>
  <c r="AN686" i="19"/>
  <c r="AN687" i="19"/>
  <c r="AN688" i="19"/>
  <c r="AN689" i="19"/>
  <c r="AN690" i="19"/>
  <c r="AN691" i="19"/>
  <c r="AN692" i="19"/>
  <c r="AN693" i="19"/>
  <c r="AN694" i="19"/>
  <c r="AN695" i="19"/>
  <c r="AN696" i="19"/>
  <c r="AN697" i="19"/>
  <c r="AN698" i="19"/>
  <c r="AN699" i="19"/>
  <c r="AN700" i="19"/>
  <c r="AN701" i="19"/>
  <c r="AN702" i="19"/>
  <c r="AN703" i="19"/>
  <c r="AN704" i="19"/>
  <c r="AN705" i="19"/>
  <c r="AN706" i="19"/>
  <c r="AN707" i="19"/>
  <c r="AN708" i="19"/>
  <c r="AN709" i="19"/>
  <c r="AN710" i="19"/>
  <c r="AN711" i="19"/>
  <c r="AN712" i="19"/>
  <c r="AN713" i="19"/>
  <c r="AN714" i="19"/>
  <c r="AN715" i="19"/>
  <c r="AN716" i="19"/>
  <c r="AN717" i="19"/>
  <c r="AN718" i="19"/>
  <c r="AN719" i="19"/>
  <c r="AN720" i="19"/>
  <c r="AN721" i="19"/>
  <c r="AN722" i="19"/>
  <c r="AN723" i="19"/>
  <c r="AN724" i="19"/>
  <c r="AN725" i="19"/>
  <c r="AN726" i="19"/>
  <c r="AN727" i="19"/>
  <c r="AN728" i="19"/>
  <c r="AN729" i="19"/>
  <c r="AN730" i="19"/>
  <c r="AN731" i="19"/>
  <c r="AN732" i="19"/>
  <c r="AN733" i="19"/>
  <c r="AN734" i="19"/>
  <c r="AN735" i="19"/>
  <c r="AN736" i="19"/>
  <c r="AN737" i="19"/>
  <c r="AN738" i="19"/>
  <c r="AN739" i="19"/>
  <c r="AN740" i="19"/>
  <c r="AN741" i="19"/>
  <c r="AN742" i="19"/>
  <c r="AN743" i="19"/>
  <c r="AN744" i="19"/>
  <c r="AN745" i="19"/>
  <c r="AN746" i="19"/>
  <c r="AN747" i="19"/>
  <c r="AN748" i="19"/>
  <c r="AN749" i="19"/>
  <c r="AN750" i="19"/>
  <c r="AN751" i="19"/>
  <c r="AN752" i="19"/>
  <c r="AN753" i="19"/>
  <c r="AN754" i="19"/>
  <c r="AN755" i="19"/>
  <c r="AN756" i="19"/>
  <c r="AN757" i="19"/>
  <c r="AN758" i="19"/>
  <c r="AN759" i="19"/>
  <c r="AN760" i="19"/>
  <c r="AN761" i="19"/>
  <c r="AN762" i="19"/>
  <c r="AN763" i="19"/>
  <c r="AN764" i="19"/>
  <c r="AN765" i="19"/>
  <c r="AN766" i="19"/>
  <c r="AN767" i="19"/>
  <c r="AN768" i="19"/>
  <c r="AN769" i="19"/>
  <c r="AN770" i="19"/>
  <c r="AN771" i="19"/>
  <c r="AN772" i="19"/>
  <c r="AN773" i="19"/>
  <c r="AN774" i="19"/>
  <c r="AN775" i="19"/>
  <c r="AN776" i="19"/>
  <c r="AN777" i="19"/>
  <c r="AN778" i="19"/>
  <c r="AN779" i="19"/>
  <c r="AN780" i="19"/>
  <c r="AN781" i="19"/>
  <c r="AN782" i="19"/>
  <c r="AN783" i="19"/>
  <c r="AN784" i="19"/>
  <c r="AN785" i="19"/>
  <c r="AN786" i="19"/>
  <c r="AN787" i="19"/>
  <c r="AN788" i="19"/>
  <c r="AN789" i="19"/>
  <c r="AN790" i="19"/>
  <c r="AN791" i="19"/>
  <c r="AN792" i="19"/>
  <c r="AN793" i="19"/>
  <c r="AN794" i="19"/>
  <c r="AN795" i="19"/>
  <c r="AN796" i="19"/>
  <c r="AN797" i="19"/>
  <c r="AN798" i="19"/>
  <c r="AN799" i="19"/>
  <c r="AN800" i="19"/>
  <c r="AN801" i="19"/>
  <c r="AN802" i="19"/>
  <c r="AN803" i="19"/>
  <c r="AN804" i="19"/>
  <c r="AN805" i="19"/>
  <c r="AN806" i="19"/>
  <c r="AN807" i="19"/>
  <c r="AN808" i="19"/>
  <c r="AN809" i="19"/>
  <c r="AN810" i="19"/>
  <c r="AN811" i="19"/>
  <c r="AN812" i="19"/>
  <c r="AN813" i="19"/>
  <c r="AN814" i="19"/>
  <c r="AN815" i="19"/>
  <c r="AN816" i="19"/>
  <c r="AN817" i="19"/>
  <c r="AN818" i="19"/>
  <c r="AN819" i="19"/>
  <c r="AN820" i="19"/>
  <c r="AN821" i="19"/>
  <c r="AN822" i="19"/>
  <c r="AN823" i="19"/>
  <c r="AN824" i="19"/>
  <c r="AN825" i="19"/>
  <c r="AN826" i="19"/>
  <c r="AN827" i="19"/>
  <c r="AN828" i="19"/>
  <c r="AN829" i="19"/>
  <c r="AN830" i="19"/>
  <c r="AN831" i="19"/>
  <c r="AN832" i="19"/>
  <c r="AN833" i="19"/>
  <c r="AN834" i="19"/>
  <c r="AN835" i="19"/>
  <c r="AN836" i="19"/>
  <c r="AN837" i="19"/>
  <c r="AN838" i="19"/>
  <c r="AN839" i="19"/>
  <c r="AN840" i="19"/>
  <c r="AN841" i="19"/>
  <c r="AN842" i="19"/>
  <c r="AN843" i="19"/>
  <c r="AN844" i="19"/>
  <c r="AN845" i="19"/>
  <c r="AN846" i="19"/>
  <c r="AN847" i="19"/>
  <c r="AN848" i="19"/>
  <c r="AN849" i="19"/>
  <c r="AN850" i="19"/>
  <c r="AN851" i="19"/>
  <c r="AN852" i="19"/>
  <c r="AN853" i="19"/>
  <c r="AN854" i="19"/>
  <c r="AN855" i="19"/>
  <c r="AN856" i="19"/>
  <c r="AN857" i="19"/>
  <c r="AN858" i="19"/>
  <c r="AN859" i="19"/>
  <c r="AN860" i="19"/>
  <c r="AN861" i="19"/>
  <c r="AN862" i="19"/>
  <c r="AN863" i="19"/>
  <c r="AN864" i="19"/>
  <c r="AN865" i="19"/>
  <c r="AN866" i="19"/>
  <c r="AN867" i="19"/>
  <c r="AN868" i="19"/>
  <c r="AN869" i="19"/>
  <c r="AN870" i="19"/>
  <c r="AN871" i="19"/>
  <c r="AN872" i="19"/>
  <c r="AN873" i="19"/>
  <c r="AN874" i="19"/>
  <c r="AN875" i="19"/>
  <c r="AN876" i="19"/>
  <c r="AN877" i="19"/>
  <c r="AN878" i="19"/>
  <c r="AN879" i="19"/>
  <c r="AN880" i="19"/>
  <c r="AN881" i="19"/>
  <c r="AN882" i="19"/>
  <c r="AN883" i="19"/>
  <c r="AN884" i="19"/>
  <c r="AN885" i="19"/>
  <c r="AN886" i="19"/>
  <c r="AN887" i="19"/>
  <c r="AN888" i="19"/>
  <c r="AN889" i="19"/>
  <c r="AN890" i="19"/>
  <c r="AN891" i="19"/>
  <c r="AN892" i="19"/>
  <c r="AN893" i="19"/>
  <c r="AN894" i="19"/>
  <c r="AN895" i="19"/>
  <c r="AN896" i="19"/>
  <c r="AN897" i="19"/>
  <c r="AN898" i="19"/>
  <c r="AN899" i="19"/>
  <c r="AN900" i="19"/>
  <c r="AN901" i="19"/>
  <c r="AN902" i="19"/>
  <c r="AN903" i="19"/>
  <c r="AN904" i="19"/>
  <c r="AN905" i="19"/>
  <c r="AN906" i="19"/>
  <c r="AN907" i="19"/>
  <c r="AN908" i="19"/>
  <c r="AN909" i="19"/>
  <c r="AN910" i="19"/>
  <c r="AN911" i="19"/>
  <c r="AN912" i="19"/>
  <c r="AN913" i="19"/>
  <c r="AN914" i="19"/>
  <c r="AN915" i="19"/>
  <c r="AN916" i="19"/>
  <c r="AN917" i="19"/>
  <c r="AN918" i="19"/>
  <c r="AN919" i="19"/>
  <c r="AN920" i="19"/>
  <c r="AN921" i="19"/>
  <c r="AN922" i="19"/>
  <c r="AN923" i="19"/>
  <c r="AN924" i="19"/>
  <c r="AN925" i="19"/>
  <c r="AN926" i="19"/>
  <c r="AN927" i="19"/>
  <c r="AN928" i="19"/>
  <c r="AN929" i="19"/>
  <c r="AN930" i="19"/>
  <c r="AN931" i="19"/>
  <c r="AN932" i="19"/>
  <c r="AN933" i="19"/>
  <c r="AN934" i="19"/>
  <c r="AN935" i="19"/>
  <c r="AN936" i="19"/>
  <c r="AN937" i="19"/>
  <c r="AN938" i="19"/>
  <c r="AN939" i="19"/>
  <c r="AN940" i="19"/>
  <c r="AN941" i="19"/>
  <c r="AN942" i="19"/>
  <c r="AN943" i="19"/>
  <c r="AN944" i="19"/>
  <c r="AN945" i="19"/>
  <c r="AN946" i="19"/>
  <c r="AN947" i="19"/>
  <c r="AN948" i="19"/>
  <c r="AN949" i="19"/>
  <c r="AN950" i="19"/>
  <c r="AN951" i="19"/>
  <c r="AN952" i="19"/>
  <c r="AN953" i="19"/>
  <c r="AN954" i="19"/>
  <c r="AN955" i="19"/>
  <c r="AN956" i="19"/>
  <c r="AN957" i="19"/>
  <c r="AN958" i="19"/>
  <c r="AN959" i="19"/>
  <c r="AN960" i="19"/>
  <c r="AN961" i="19"/>
  <c r="AN962" i="19"/>
  <c r="AN963" i="19"/>
  <c r="AN964" i="19"/>
  <c r="AN965" i="19"/>
  <c r="AN966" i="19"/>
  <c r="AN967" i="19"/>
  <c r="AN968" i="19"/>
  <c r="AN969" i="19"/>
  <c r="AN970" i="19"/>
  <c r="AN971" i="19"/>
  <c r="AN972" i="19"/>
  <c r="AN973" i="19"/>
  <c r="AN974" i="19"/>
  <c r="AN975" i="19"/>
  <c r="AN976" i="19"/>
  <c r="AN977" i="19"/>
  <c r="AN978" i="19"/>
  <c r="AN979" i="19"/>
  <c r="AN980" i="19"/>
  <c r="AN981" i="19"/>
  <c r="AN982" i="19"/>
  <c r="AN983" i="19"/>
  <c r="AN984" i="19"/>
  <c r="AN985" i="19"/>
  <c r="AN986" i="19"/>
  <c r="AN987" i="19"/>
  <c r="AN988" i="19"/>
  <c r="AN989" i="19"/>
  <c r="AN990" i="19"/>
  <c r="AN991" i="19"/>
  <c r="AN992" i="19"/>
  <c r="AN993" i="19"/>
  <c r="AN994" i="19"/>
  <c r="AN995" i="19"/>
  <c r="AN996" i="19"/>
  <c r="AN997" i="19"/>
  <c r="AN998" i="19"/>
  <c r="AN999" i="19"/>
  <c r="AN1000" i="19"/>
  <c r="AN1001" i="19"/>
  <c r="AN1002" i="19"/>
  <c r="AN1003" i="19"/>
  <c r="AN1004" i="19"/>
  <c r="AN1005" i="19"/>
  <c r="AN1006" i="19"/>
  <c r="AN1007" i="19"/>
  <c r="AN1008" i="19"/>
  <c r="AN1009" i="19"/>
  <c r="AN1010" i="19"/>
  <c r="AN1011" i="19"/>
  <c r="AN1012" i="19"/>
  <c r="AN1013" i="19"/>
  <c r="AN1014" i="19"/>
  <c r="AN1015" i="19"/>
  <c r="AN1016" i="19"/>
  <c r="AN1017" i="19"/>
  <c r="AN1018" i="19"/>
  <c r="AN1019" i="19"/>
  <c r="AN1020" i="19"/>
  <c r="AN1021" i="19"/>
  <c r="AN1022" i="19"/>
  <c r="AN1023" i="19"/>
  <c r="AN1024" i="19"/>
  <c r="AN1025" i="19"/>
  <c r="AN1026" i="19"/>
  <c r="AN1027" i="19"/>
  <c r="AN1028" i="19"/>
  <c r="AN1029" i="19"/>
  <c r="AN1030" i="19"/>
  <c r="AN1031" i="19"/>
  <c r="AN1032" i="19"/>
  <c r="AN1033" i="19"/>
  <c r="AN1034" i="19"/>
  <c r="AN1035" i="19"/>
  <c r="AN1036" i="19"/>
  <c r="AN1037" i="19"/>
  <c r="AN1038" i="19"/>
  <c r="AN1039" i="19"/>
  <c r="AN1040" i="19"/>
  <c r="AN1041" i="19"/>
  <c r="AN1042" i="19"/>
  <c r="AN1043" i="19"/>
  <c r="AN1044" i="19"/>
  <c r="AN1045" i="19"/>
  <c r="AN1046" i="19"/>
  <c r="AN1047" i="19"/>
  <c r="AN1048" i="19"/>
  <c r="AN1049" i="19"/>
  <c r="AN1050" i="19"/>
  <c r="AN1051" i="19"/>
  <c r="AN1052" i="19"/>
  <c r="AN1053" i="19"/>
  <c r="AN1054" i="19"/>
  <c r="AN1055" i="19"/>
  <c r="AN1056" i="19"/>
  <c r="AN1057" i="19"/>
  <c r="AN1058" i="19"/>
  <c r="AN1059" i="19"/>
  <c r="AN1060" i="19"/>
  <c r="AN1061" i="19"/>
  <c r="AN1062" i="19"/>
  <c r="AN1063" i="19"/>
  <c r="AN1064" i="19"/>
  <c r="AN1065" i="19"/>
  <c r="AN1066" i="19"/>
  <c r="AN1067" i="19"/>
  <c r="AN1068" i="19"/>
  <c r="AN1069" i="19"/>
  <c r="AN1070" i="19"/>
  <c r="AN1071" i="19"/>
  <c r="AN1072" i="19"/>
  <c r="AN1073" i="19"/>
  <c r="AN1074" i="19"/>
  <c r="AN1075" i="19"/>
  <c r="AN1076" i="19"/>
  <c r="AN1077" i="19"/>
  <c r="AN1078" i="19"/>
  <c r="AN1079" i="19"/>
  <c r="AN1080" i="19"/>
  <c r="AN1081" i="19"/>
  <c r="AN1082" i="19"/>
  <c r="AN1083" i="19"/>
  <c r="AN1084" i="19"/>
  <c r="AN1085" i="19"/>
  <c r="AN1086" i="19"/>
  <c r="AN1087" i="19"/>
  <c r="AN1088" i="19"/>
  <c r="AN1089" i="19"/>
  <c r="AN1090" i="19"/>
  <c r="AN1091" i="19"/>
  <c r="AN1092" i="19"/>
  <c r="AN1093" i="19"/>
  <c r="AN1094" i="19"/>
  <c r="AN1095" i="19"/>
  <c r="AN1096" i="19"/>
  <c r="AN1097" i="19"/>
  <c r="AN1098" i="19"/>
  <c r="AN1099" i="19"/>
  <c r="AN1100" i="19"/>
  <c r="AN1101" i="19"/>
  <c r="AN1102" i="19"/>
  <c r="AN1103" i="19"/>
  <c r="AN1104" i="19"/>
  <c r="AN1105" i="19"/>
  <c r="AN1106" i="19"/>
  <c r="AN1107" i="19"/>
  <c r="AN1108" i="19"/>
  <c r="AN1109" i="19"/>
  <c r="AN1110" i="19"/>
  <c r="AN1111" i="19"/>
  <c r="AN1112" i="19"/>
  <c r="AN1113" i="19"/>
  <c r="AN1114" i="19"/>
  <c r="AN1115" i="19"/>
  <c r="AN1116" i="19"/>
  <c r="AN1117" i="19"/>
  <c r="AN1118" i="19"/>
  <c r="AN1119" i="19"/>
  <c r="AN1120" i="19"/>
  <c r="AN1121" i="19"/>
  <c r="AN1122" i="19"/>
  <c r="AN1123" i="19"/>
  <c r="AN1124" i="19"/>
  <c r="AN1125" i="19"/>
  <c r="AN1126" i="19"/>
  <c r="AN1127" i="19"/>
  <c r="AN1128" i="19"/>
  <c r="AN1129" i="19"/>
  <c r="AN1130" i="19"/>
  <c r="AN1131" i="19"/>
  <c r="AN1132" i="19"/>
  <c r="AN1133" i="19"/>
  <c r="AN1134" i="19"/>
  <c r="AN1135" i="19"/>
  <c r="AN1136" i="19"/>
  <c r="AN1137" i="19"/>
  <c r="AN1138" i="19"/>
  <c r="AN1139" i="19"/>
  <c r="AN1140" i="19"/>
  <c r="AN1141" i="19"/>
  <c r="AN1142" i="19"/>
  <c r="AN1143" i="19"/>
  <c r="AN1144" i="19"/>
  <c r="AN1145" i="19"/>
  <c r="AN1146" i="19"/>
  <c r="AN1147" i="19"/>
  <c r="AN1148" i="19"/>
  <c r="AN1149" i="19"/>
  <c r="AN1150" i="19"/>
  <c r="AN1151" i="19"/>
  <c r="AN1152" i="19"/>
  <c r="AN1153" i="19"/>
  <c r="AN1154" i="19"/>
  <c r="AN1155" i="19"/>
  <c r="AN1156" i="19"/>
  <c r="AN1157" i="19"/>
  <c r="AN1158" i="19"/>
  <c r="AN1159" i="19"/>
  <c r="AN1160" i="19"/>
  <c r="AN1161" i="19"/>
  <c r="AN1162" i="19"/>
  <c r="AN1163" i="19"/>
  <c r="AN1164" i="19"/>
  <c r="AN1165" i="19"/>
  <c r="AN1166" i="19"/>
  <c r="AN1167" i="19"/>
  <c r="AN1168" i="19"/>
  <c r="AN1169" i="19"/>
  <c r="AN1170" i="19"/>
  <c r="AN1171" i="19"/>
  <c r="AN1172" i="19"/>
  <c r="AN1173" i="19"/>
  <c r="AN1174" i="19"/>
  <c r="AN1175" i="19"/>
  <c r="AN1176" i="19"/>
  <c r="AN1177" i="19"/>
  <c r="AN1178" i="19"/>
  <c r="AN1179" i="19"/>
  <c r="AN1180" i="19"/>
  <c r="AN1181" i="19"/>
  <c r="AN1182" i="19"/>
  <c r="AN1183" i="19"/>
  <c r="AN1184" i="19"/>
  <c r="AN1185" i="19"/>
  <c r="AN1186" i="19"/>
  <c r="AN1187" i="19"/>
  <c r="AN1188" i="19"/>
  <c r="AN1189" i="19"/>
  <c r="AN1190" i="19"/>
  <c r="AN1191" i="19"/>
  <c r="AN1192" i="19"/>
  <c r="AN1193" i="19"/>
  <c r="AN1194" i="19"/>
  <c r="AN1195" i="19"/>
  <c r="AN1196" i="19"/>
  <c r="AN1197" i="19"/>
  <c r="AN1198" i="19"/>
  <c r="AN1199" i="19"/>
  <c r="AN1200" i="19"/>
  <c r="AN1201" i="19"/>
  <c r="AN1202" i="19"/>
  <c r="AN1203" i="19"/>
  <c r="AN1204" i="19"/>
  <c r="AN1205" i="19"/>
  <c r="AN1206" i="19"/>
  <c r="AN1207" i="19"/>
  <c r="AN1208" i="19"/>
  <c r="AN1209" i="19"/>
  <c r="AN1210" i="19"/>
  <c r="AN1211" i="19"/>
  <c r="AN1212" i="19"/>
  <c r="AN1213" i="19"/>
  <c r="AN1214" i="19"/>
  <c r="AN1215" i="19"/>
  <c r="AN1216" i="19"/>
  <c r="AN1217" i="19"/>
  <c r="AN1218" i="19"/>
  <c r="AN1219" i="19"/>
  <c r="AN1220" i="19"/>
  <c r="AN1221" i="19"/>
  <c r="AN1222" i="19"/>
  <c r="AN1223" i="19"/>
  <c r="AN1224" i="19"/>
  <c r="AN1225" i="19"/>
  <c r="AN1226" i="19"/>
  <c r="AN1227" i="19"/>
  <c r="AN1228" i="19"/>
  <c r="AN1229" i="19"/>
  <c r="AN1230" i="19"/>
  <c r="AN1231" i="19"/>
  <c r="AN1232" i="19"/>
  <c r="AN1233" i="19"/>
  <c r="AN1234" i="19"/>
  <c r="AN1235" i="19"/>
  <c r="AN1236" i="19"/>
  <c r="AN1237" i="19"/>
  <c r="AN1238" i="19"/>
  <c r="AN1239" i="19"/>
  <c r="AN1240" i="19"/>
  <c r="AN1241" i="19"/>
  <c r="AN1242" i="19"/>
  <c r="AN1243" i="19"/>
  <c r="AN1244" i="19"/>
  <c r="AN1245" i="19"/>
  <c r="AN1246" i="19"/>
  <c r="AN1247" i="19"/>
  <c r="AN1248" i="19"/>
  <c r="AN1249" i="19"/>
  <c r="AN1250" i="19"/>
  <c r="AN1251" i="19"/>
  <c r="AN1252" i="19"/>
  <c r="AN1253" i="19"/>
  <c r="AN1254" i="19"/>
  <c r="AN1255" i="19"/>
  <c r="AN1256" i="19"/>
  <c r="AN1257" i="19"/>
  <c r="AN1258" i="19"/>
  <c r="AN1259" i="19"/>
  <c r="AN1260" i="19"/>
  <c r="AN1261" i="19"/>
  <c r="AN1262" i="19"/>
  <c r="AN1263" i="19"/>
  <c r="AN1264" i="19"/>
  <c r="AN1265" i="19"/>
  <c r="AN1266" i="19"/>
  <c r="AN1267" i="19"/>
  <c r="AN1268" i="19"/>
  <c r="AN1269" i="19"/>
  <c r="AN1270" i="19"/>
  <c r="AN1271" i="19"/>
  <c r="AN1272" i="19"/>
  <c r="AN1273" i="19"/>
  <c r="AN1274" i="19"/>
  <c r="AN1275" i="19"/>
  <c r="AN1276" i="19"/>
  <c r="AN1277" i="19"/>
  <c r="AN1278" i="19"/>
  <c r="O1" i="19" l="1"/>
  <c r="P1" i="19" s="1"/>
  <c r="S20" i="19"/>
  <c r="S12" i="19"/>
  <c r="S10" i="19"/>
  <c r="S26" i="19"/>
  <c r="S34" i="19"/>
  <c r="S29" i="19"/>
  <c r="S23" i="19"/>
  <c r="S37" i="19"/>
  <c r="S31" i="19"/>
  <c r="S13" i="19"/>
  <c r="S28" i="19"/>
  <c r="S7" i="19"/>
  <c r="S16" i="19"/>
  <c r="S21" i="19"/>
  <c r="S18" i="19"/>
  <c r="T15" i="19"/>
  <c r="T258" i="19"/>
  <c r="T254" i="19"/>
  <c r="T250" i="19"/>
  <c r="T246" i="19"/>
  <c r="T242" i="19"/>
  <c r="T238" i="19"/>
  <c r="T234" i="19"/>
  <c r="T230" i="19"/>
  <c r="T226" i="19"/>
  <c r="T222" i="19"/>
  <c r="T218" i="19"/>
  <c r="T214" i="19"/>
  <c r="T210" i="19"/>
  <c r="T206" i="19"/>
  <c r="T202" i="19"/>
  <c r="T198" i="19"/>
  <c r="T194" i="19"/>
  <c r="T190" i="19"/>
  <c r="T186" i="19"/>
  <c r="T182" i="19"/>
  <c r="T178" i="19"/>
  <c r="T174" i="19"/>
  <c r="T166" i="19"/>
  <c r="T162" i="19"/>
  <c r="T158" i="19"/>
  <c r="T154" i="19"/>
  <c r="T150" i="19"/>
  <c r="T146" i="19"/>
  <c r="T142" i="19"/>
  <c r="T138" i="19"/>
  <c r="T134" i="19"/>
  <c r="T130" i="19"/>
  <c r="T126" i="19"/>
  <c r="T122" i="19"/>
  <c r="T118" i="19"/>
  <c r="T114" i="19"/>
  <c r="T110" i="19"/>
  <c r="T106" i="19"/>
  <c r="T102" i="19"/>
  <c r="T98" i="19"/>
  <c r="T94" i="19"/>
  <c r="T91" i="19"/>
  <c r="T89" i="19"/>
  <c r="T85" i="19"/>
  <c r="T81" i="19"/>
  <c r="T77" i="19"/>
  <c r="T73" i="19"/>
  <c r="T69" i="19"/>
  <c r="T61" i="19"/>
  <c r="T57" i="19"/>
  <c r="T53" i="19"/>
  <c r="T49" i="19"/>
  <c r="T45" i="19"/>
  <c r="T41" i="19"/>
  <c r="S258" i="19"/>
  <c r="S242" i="19"/>
  <c r="S226" i="19"/>
  <c r="S210" i="19"/>
  <c r="S194" i="19"/>
  <c r="S178" i="19"/>
  <c r="S162" i="19"/>
  <c r="S146" i="19"/>
  <c r="S130" i="19"/>
  <c r="S114" i="19"/>
  <c r="S98" i="19"/>
  <c r="S254" i="19"/>
  <c r="S238" i="19"/>
  <c r="S222" i="19"/>
  <c r="S206" i="19"/>
  <c r="S190" i="19"/>
  <c r="S174" i="19"/>
  <c r="S158" i="19"/>
  <c r="S142" i="19"/>
  <c r="S126" i="19"/>
  <c r="S110" i="19"/>
  <c r="S94" i="19"/>
  <c r="S85" i="19"/>
  <c r="S77" i="19"/>
  <c r="S69" i="19"/>
  <c r="S61" i="19"/>
  <c r="S53" i="19"/>
  <c r="S45" i="19"/>
  <c r="S250" i="19"/>
  <c r="S234" i="19"/>
  <c r="S218" i="19"/>
  <c r="S202" i="19"/>
  <c r="S186" i="19"/>
  <c r="S170" i="19"/>
  <c r="S154" i="19"/>
  <c r="S138" i="19"/>
  <c r="S122" i="19"/>
  <c r="S106" i="19"/>
  <c r="S91" i="19"/>
  <c r="S246" i="19"/>
  <c r="S230" i="19"/>
  <c r="S214" i="19"/>
  <c r="S198" i="19"/>
  <c r="S182" i="19"/>
  <c r="S166" i="19"/>
  <c r="S150" i="19"/>
  <c r="S134" i="19"/>
  <c r="S118" i="19"/>
  <c r="S102" i="19"/>
  <c r="S89" i="19"/>
  <c r="S81" i="19"/>
  <c r="S73" i="19"/>
  <c r="S57" i="19"/>
  <c r="S49" i="19"/>
  <c r="S41" i="19"/>
  <c r="S65" i="19"/>
  <c r="S83" i="19"/>
  <c r="T86" i="19"/>
  <c r="T66" i="19"/>
  <c r="T90" i="19"/>
  <c r="T56" i="19"/>
  <c r="T43" i="19"/>
  <c r="T84" i="19"/>
  <c r="T76" i="19"/>
  <c r="T68" i="19"/>
  <c r="T113" i="19"/>
  <c r="T105" i="19"/>
  <c r="T97" i="19"/>
  <c r="T120" i="19"/>
  <c r="T128" i="19"/>
  <c r="T145" i="19"/>
  <c r="T137" i="19"/>
  <c r="T152" i="19"/>
  <c r="T160" i="19"/>
  <c r="T168" i="19"/>
  <c r="T176" i="19"/>
  <c r="T184" i="19"/>
  <c r="T192" i="19"/>
  <c r="T200" i="19"/>
  <c r="T208" i="19"/>
  <c r="T216" i="19"/>
  <c r="T224" i="19"/>
  <c r="T232" i="19"/>
  <c r="T240" i="19"/>
  <c r="T248" i="19"/>
  <c r="T256" i="19"/>
  <c r="T62" i="19"/>
  <c r="T70" i="19"/>
  <c r="T50" i="19"/>
  <c r="T42" i="19"/>
  <c r="T87" i="19"/>
  <c r="T71" i="19"/>
  <c r="T112" i="19"/>
  <c r="T104" i="19"/>
  <c r="T96" i="19"/>
  <c r="T121" i="19"/>
  <c r="T129" i="19"/>
  <c r="T144" i="19"/>
  <c r="T136" i="19"/>
  <c r="T153" i="19"/>
  <c r="T161" i="19"/>
  <c r="T169" i="19"/>
  <c r="T177" i="19"/>
  <c r="T185" i="19"/>
  <c r="T193" i="19"/>
  <c r="T201" i="19"/>
  <c r="T209" i="19"/>
  <c r="T217" i="19"/>
  <c r="T225" i="19"/>
  <c r="T233" i="19"/>
  <c r="T241" i="19"/>
  <c r="T249" i="19"/>
  <c r="T257" i="19"/>
  <c r="S39" i="19"/>
  <c r="S71" i="19"/>
  <c r="S44" i="19"/>
  <c r="S58" i="19"/>
  <c r="S74" i="19"/>
  <c r="S90" i="19"/>
  <c r="S115" i="19"/>
  <c r="S107" i="19"/>
  <c r="S99" i="19"/>
  <c r="S147" i="19"/>
  <c r="S139" i="19"/>
  <c r="S123" i="19"/>
  <c r="S131" i="19"/>
  <c r="S155" i="19"/>
  <c r="S163" i="19"/>
  <c r="S171" i="19"/>
  <c r="S179" i="19"/>
  <c r="S187" i="19"/>
  <c r="S195" i="19"/>
  <c r="S203" i="19"/>
  <c r="S211" i="19"/>
  <c r="S219" i="19"/>
  <c r="S227" i="19"/>
  <c r="S235" i="19"/>
  <c r="S243" i="19"/>
  <c r="S251" i="19"/>
  <c r="S259" i="19"/>
  <c r="S51" i="19"/>
  <c r="S75" i="19"/>
  <c r="T78" i="19"/>
  <c r="T48" i="19"/>
  <c r="S43" i="19"/>
  <c r="S67" i="19"/>
  <c r="T74" i="19"/>
  <c r="T44" i="19"/>
  <c r="T60" i="19"/>
  <c r="T51" i="19"/>
  <c r="T88" i="19"/>
  <c r="T80" i="19"/>
  <c r="T72" i="19"/>
  <c r="T117" i="19"/>
  <c r="T109" i="19"/>
  <c r="T101" i="19"/>
  <c r="T93" i="19"/>
  <c r="T124" i="19"/>
  <c r="T132" i="19"/>
  <c r="T141" i="19"/>
  <c r="T148" i="19"/>
  <c r="T156" i="19"/>
  <c r="T164" i="19"/>
  <c r="T172" i="19"/>
  <c r="T180" i="19"/>
  <c r="T188" i="19"/>
  <c r="T196" i="19"/>
  <c r="T204" i="19"/>
  <c r="T212" i="19"/>
  <c r="T220" i="19"/>
  <c r="T228" i="19"/>
  <c r="T236" i="19"/>
  <c r="T244" i="19"/>
  <c r="T252" i="19"/>
  <c r="T260" i="19"/>
  <c r="T52" i="19"/>
  <c r="T59" i="19"/>
  <c r="T46" i="19"/>
  <c r="T64" i="19"/>
  <c r="T79" i="19"/>
  <c r="T116" i="19"/>
  <c r="T108" i="19"/>
  <c r="T100" i="19"/>
  <c r="T92" i="19"/>
  <c r="T125" i="19"/>
  <c r="T133" i="19"/>
  <c r="T140" i="19"/>
  <c r="T149" i="19"/>
  <c r="T157" i="19"/>
  <c r="T165" i="19"/>
  <c r="T173" i="19"/>
  <c r="T181" i="19"/>
  <c r="T189" i="19"/>
  <c r="T197" i="19"/>
  <c r="T205" i="19"/>
  <c r="T213" i="19"/>
  <c r="T221" i="19"/>
  <c r="T229" i="19"/>
  <c r="T237" i="19"/>
  <c r="T245" i="19"/>
  <c r="T253" i="19"/>
  <c r="T261" i="19"/>
  <c r="S55" i="19"/>
  <c r="S87" i="19"/>
  <c r="S52" i="19"/>
  <c r="S66" i="19"/>
  <c r="S82" i="19"/>
  <c r="S119" i="19"/>
  <c r="S111" i="19"/>
  <c r="S103" i="19"/>
  <c r="S95" i="19"/>
  <c r="S143" i="19"/>
  <c r="S135" i="19"/>
  <c r="S127" i="19"/>
  <c r="S151" i="19"/>
  <c r="S159" i="19"/>
  <c r="S167" i="19"/>
  <c r="S175" i="19"/>
  <c r="S183" i="19"/>
  <c r="S191" i="19"/>
  <c r="S199" i="19"/>
  <c r="S207" i="19"/>
  <c r="S215" i="19"/>
  <c r="S223" i="19"/>
  <c r="S231" i="19"/>
  <c r="S239" i="19"/>
  <c r="S247" i="19"/>
  <c r="S255" i="19"/>
  <c r="S59" i="19"/>
  <c r="T65" i="19"/>
  <c r="T39" i="19"/>
  <c r="S76" i="19"/>
  <c r="S113" i="19"/>
  <c r="S97" i="19"/>
  <c r="S128" i="19"/>
  <c r="S137" i="19"/>
  <c r="S160" i="19"/>
  <c r="S176" i="19"/>
  <c r="S192" i="19"/>
  <c r="S208" i="19"/>
  <c r="S224" i="19"/>
  <c r="S240" i="19"/>
  <c r="S256" i="19"/>
  <c r="T63" i="19"/>
  <c r="S42" i="19"/>
  <c r="T67" i="19"/>
  <c r="S104" i="19"/>
  <c r="S121" i="19"/>
  <c r="S144" i="19"/>
  <c r="S153" i="19"/>
  <c r="S169" i="19"/>
  <c r="S185" i="19"/>
  <c r="S201" i="19"/>
  <c r="S217" i="19"/>
  <c r="S233" i="19"/>
  <c r="S249" i="19"/>
  <c r="S47" i="19"/>
  <c r="S48" i="19"/>
  <c r="S78" i="19"/>
  <c r="T111" i="19"/>
  <c r="T95" i="19"/>
  <c r="T135" i="19"/>
  <c r="T151" i="19"/>
  <c r="T167" i="19"/>
  <c r="T183" i="19"/>
  <c r="T199" i="19"/>
  <c r="T215" i="19"/>
  <c r="T231" i="19"/>
  <c r="T247" i="19"/>
  <c r="S46" i="19"/>
  <c r="S181" i="19"/>
  <c r="S213" i="19"/>
  <c r="S245" i="19"/>
  <c r="S70" i="19"/>
  <c r="T139" i="19"/>
  <c r="T179" i="19"/>
  <c r="T227" i="19"/>
  <c r="T58" i="19"/>
  <c r="S60" i="19"/>
  <c r="S88" i="19"/>
  <c r="S72" i="19"/>
  <c r="S109" i="19"/>
  <c r="S93" i="19"/>
  <c r="S132" i="19"/>
  <c r="S148" i="19"/>
  <c r="S164" i="19"/>
  <c r="S180" i="19"/>
  <c r="S196" i="19"/>
  <c r="S212" i="19"/>
  <c r="S228" i="19"/>
  <c r="S244" i="19"/>
  <c r="S260" i="19"/>
  <c r="T55" i="19"/>
  <c r="S64" i="19"/>
  <c r="S116" i="19"/>
  <c r="S100" i="19"/>
  <c r="S125" i="19"/>
  <c r="S140" i="19"/>
  <c r="S157" i="19"/>
  <c r="S173" i="19"/>
  <c r="S189" i="19"/>
  <c r="S205" i="19"/>
  <c r="S221" i="19"/>
  <c r="S237" i="19"/>
  <c r="S253" i="19"/>
  <c r="S63" i="19"/>
  <c r="S54" i="19"/>
  <c r="S86" i="19"/>
  <c r="T107" i="19"/>
  <c r="T147" i="19"/>
  <c r="T123" i="19"/>
  <c r="T155" i="19"/>
  <c r="T171" i="19"/>
  <c r="T187" i="19"/>
  <c r="T203" i="19"/>
  <c r="T219" i="19"/>
  <c r="T235" i="19"/>
  <c r="T251" i="19"/>
  <c r="T170" i="19"/>
  <c r="S56" i="19"/>
  <c r="S84" i="19"/>
  <c r="S68" i="19"/>
  <c r="S105" i="19"/>
  <c r="S120" i="19"/>
  <c r="S145" i="19"/>
  <c r="S152" i="19"/>
  <c r="S168" i="19"/>
  <c r="S184" i="19"/>
  <c r="S200" i="19"/>
  <c r="S216" i="19"/>
  <c r="S232" i="19"/>
  <c r="S248" i="19"/>
  <c r="T54" i="19"/>
  <c r="S50" i="19"/>
  <c r="T83" i="19"/>
  <c r="S112" i="19"/>
  <c r="S96" i="19"/>
  <c r="S129" i="19"/>
  <c r="S136" i="19"/>
  <c r="S161" i="19"/>
  <c r="S177" i="19"/>
  <c r="S193" i="19"/>
  <c r="S209" i="19"/>
  <c r="S225" i="19"/>
  <c r="S241" i="19"/>
  <c r="S257" i="19"/>
  <c r="S79" i="19"/>
  <c r="S62" i="19"/>
  <c r="T119" i="19"/>
  <c r="T103" i="19"/>
  <c r="T143" i="19"/>
  <c r="T127" i="19"/>
  <c r="T159" i="19"/>
  <c r="T175" i="19"/>
  <c r="T191" i="19"/>
  <c r="T207" i="19"/>
  <c r="T223" i="19"/>
  <c r="T239" i="19"/>
  <c r="T255" i="19"/>
  <c r="T40" i="19"/>
  <c r="T47" i="19"/>
  <c r="S80" i="19"/>
  <c r="S117" i="19"/>
  <c r="S101" i="19"/>
  <c r="S124" i="19"/>
  <c r="S141" i="19"/>
  <c r="S156" i="19"/>
  <c r="S172" i="19"/>
  <c r="S188" i="19"/>
  <c r="S204" i="19"/>
  <c r="S220" i="19"/>
  <c r="S236" i="19"/>
  <c r="S252" i="19"/>
  <c r="T82" i="19"/>
  <c r="T75" i="19"/>
  <c r="S108" i="19"/>
  <c r="S92" i="19"/>
  <c r="S133" i="19"/>
  <c r="S149" i="19"/>
  <c r="S197" i="19"/>
  <c r="S229" i="19"/>
  <c r="S40" i="19"/>
  <c r="T99" i="19"/>
  <c r="T131" i="19"/>
  <c r="T195" i="19"/>
  <c r="T243" i="19"/>
  <c r="S165" i="19"/>
  <c r="S261" i="19"/>
  <c r="T115" i="19"/>
  <c r="T163" i="19"/>
  <c r="T211" i="19"/>
  <c r="T259" i="19"/>
  <c r="T12" i="19"/>
  <c r="T10" i="19"/>
  <c r="T13" i="19"/>
  <c r="T21" i="19"/>
  <c r="T29" i="19"/>
  <c r="T37" i="19"/>
  <c r="T28" i="19"/>
  <c r="T18" i="19"/>
  <c r="T26" i="19"/>
  <c r="T34" i="19"/>
  <c r="T7" i="19"/>
  <c r="S15" i="19"/>
  <c r="T23" i="19"/>
  <c r="T31" i="19"/>
  <c r="T16" i="19"/>
  <c r="T20" i="19"/>
  <c r="S8" i="19"/>
  <c r="S6" i="19"/>
  <c r="S9" i="19"/>
  <c r="S17" i="19"/>
  <c r="S25" i="19"/>
  <c r="S33" i="19"/>
  <c r="S24" i="19"/>
  <c r="S14" i="19"/>
  <c r="S22" i="19"/>
  <c r="S30" i="19"/>
  <c r="S38" i="19"/>
  <c r="S11" i="19"/>
  <c r="S19" i="19"/>
  <c r="S27" i="19"/>
  <c r="S35" i="19"/>
  <c r="S32" i="19"/>
  <c r="S36" i="19"/>
  <c r="T8" i="19"/>
  <c r="T6" i="19"/>
  <c r="T9" i="19"/>
  <c r="T17" i="19"/>
  <c r="T25" i="19"/>
  <c r="T33" i="19"/>
  <c r="T24" i="19"/>
  <c r="T14" i="19"/>
  <c r="T22" i="19"/>
  <c r="T30" i="19"/>
  <c r="T38" i="19"/>
  <c r="T11" i="19"/>
  <c r="T19" i="19"/>
  <c r="T27" i="19"/>
  <c r="T35" i="19"/>
  <c r="T32" i="19"/>
  <c r="T36" i="19"/>
  <c r="S5" i="19"/>
  <c r="M1" i="19"/>
  <c r="T5" i="19"/>
  <c r="V3" i="19"/>
  <c r="AL3" i="19"/>
  <c r="AK3" i="19"/>
  <c r="AJ3" i="19"/>
  <c r="AI3" i="19"/>
  <c r="O3" i="19"/>
  <c r="N3" i="19"/>
  <c r="L3" i="19"/>
  <c r="K3" i="19"/>
  <c r="B3" i="19"/>
  <c r="AL2" i="19"/>
  <c r="AK2" i="19"/>
  <c r="AJ2" i="19"/>
  <c r="AI2" i="19"/>
  <c r="O2" i="19"/>
  <c r="N2" i="19"/>
  <c r="S3" i="19" l="1"/>
  <c r="T3" i="19"/>
  <c r="N760" i="15"/>
  <c r="K760" i="15"/>
  <c r="P759" i="15"/>
  <c r="O759" i="15"/>
  <c r="Q759" i="15" s="1"/>
  <c r="N759" i="15"/>
  <c r="P758" i="15"/>
  <c r="O758" i="15"/>
  <c r="Q758" i="15" s="1"/>
  <c r="N758" i="15"/>
  <c r="P756" i="15"/>
  <c r="O756" i="15"/>
  <c r="Q756" i="15" s="1"/>
  <c r="N756" i="15"/>
  <c r="Q753" i="15"/>
  <c r="P753" i="15"/>
  <c r="O753" i="15"/>
  <c r="N753" i="15"/>
  <c r="P750" i="15"/>
  <c r="O750" i="15"/>
  <c r="Q750" i="15" s="1"/>
  <c r="N750" i="15"/>
  <c r="P746" i="15"/>
  <c r="Q746" i="15" s="1"/>
  <c r="O746" i="15"/>
  <c r="N746" i="15"/>
  <c r="P745" i="15"/>
  <c r="O745" i="15"/>
  <c r="Q745" i="15" s="1"/>
  <c r="N745" i="15"/>
  <c r="P741" i="15"/>
  <c r="O741" i="15"/>
  <c r="Q741" i="15" s="1"/>
  <c r="N741" i="15"/>
  <c r="P739" i="15"/>
  <c r="O739" i="15"/>
  <c r="Q739" i="15" s="1"/>
  <c r="N739" i="15"/>
  <c r="Q738" i="15"/>
  <c r="P738" i="15"/>
  <c r="O738" i="15"/>
  <c r="N738" i="15"/>
  <c r="P735" i="15"/>
  <c r="O735" i="15"/>
  <c r="Q735" i="15" s="1"/>
  <c r="N735" i="15"/>
  <c r="P732" i="15"/>
  <c r="Q732" i="15" s="1"/>
  <c r="O732" i="15"/>
  <c r="N732" i="15"/>
  <c r="P730" i="15"/>
  <c r="O730" i="15"/>
  <c r="Q730" i="15" s="1"/>
  <c r="N730" i="15"/>
  <c r="P727" i="15"/>
  <c r="O727" i="15"/>
  <c r="Q727" i="15" s="1"/>
  <c r="N727" i="15"/>
  <c r="P725" i="15"/>
  <c r="O725" i="15"/>
  <c r="Q725" i="15" s="1"/>
  <c r="N725" i="15"/>
  <c r="P722" i="15"/>
  <c r="O722" i="15"/>
  <c r="Q722" i="15" s="1"/>
  <c r="N722" i="15"/>
  <c r="P721" i="15"/>
  <c r="O721" i="15"/>
  <c r="Q721" i="15" s="1"/>
  <c r="N721" i="15"/>
  <c r="P719" i="15"/>
  <c r="O719" i="15"/>
  <c r="Q719" i="15" s="1"/>
  <c r="N719" i="15"/>
  <c r="P718" i="15"/>
  <c r="O718" i="15"/>
  <c r="Q718" i="15" s="1"/>
  <c r="N718" i="15"/>
  <c r="Q715" i="15"/>
  <c r="P715" i="15"/>
  <c r="O715" i="15"/>
  <c r="N715" i="15"/>
  <c r="P714" i="15"/>
  <c r="O714" i="15"/>
  <c r="Q714" i="15" s="1"/>
  <c r="N714" i="15"/>
  <c r="P713" i="15"/>
  <c r="Q713" i="15" s="1"/>
  <c r="O713" i="15"/>
  <c r="N713" i="15"/>
  <c r="P711" i="15"/>
  <c r="O711" i="15"/>
  <c r="Q711" i="15" s="1"/>
  <c r="N711" i="15"/>
  <c r="P708" i="15"/>
  <c r="O708" i="15"/>
  <c r="Q708" i="15" s="1"/>
  <c r="N708" i="15"/>
  <c r="P707" i="15"/>
  <c r="O707" i="15"/>
  <c r="Q707" i="15" s="1"/>
  <c r="N707" i="15"/>
  <c r="Q706" i="15"/>
  <c r="P706" i="15"/>
  <c r="O706" i="15"/>
  <c r="N706" i="15"/>
  <c r="P705" i="15"/>
  <c r="O705" i="15"/>
  <c r="Q705" i="15" s="1"/>
  <c r="N705" i="15"/>
  <c r="P702" i="15"/>
  <c r="Q702" i="15" s="1"/>
  <c r="O702" i="15"/>
  <c r="N702" i="15"/>
  <c r="P701" i="15"/>
  <c r="O701" i="15"/>
  <c r="Q701" i="15" s="1"/>
  <c r="N701" i="15"/>
  <c r="P699" i="15"/>
  <c r="O699" i="15"/>
  <c r="Q699" i="15" s="1"/>
  <c r="N699" i="15"/>
  <c r="P697" i="15"/>
  <c r="O697" i="15"/>
  <c r="Q697" i="15" s="1"/>
  <c r="N697" i="15"/>
  <c r="P695" i="15"/>
  <c r="O695" i="15"/>
  <c r="Q695" i="15" s="1"/>
  <c r="N695" i="15"/>
  <c r="P693" i="15"/>
  <c r="O693" i="15"/>
  <c r="Q693" i="15" s="1"/>
  <c r="N693" i="15"/>
  <c r="P692" i="15"/>
  <c r="O692" i="15"/>
  <c r="Q692" i="15" s="1"/>
  <c r="N692" i="15"/>
  <c r="P688" i="15"/>
  <c r="O688" i="15"/>
  <c r="Q688" i="15" s="1"/>
  <c r="N688" i="15"/>
  <c r="Q686" i="15"/>
  <c r="P686" i="15"/>
  <c r="O686" i="15"/>
  <c r="N686" i="15"/>
  <c r="P684" i="15"/>
  <c r="O684" i="15"/>
  <c r="Q684" i="15" s="1"/>
  <c r="N684" i="15"/>
  <c r="P682" i="15"/>
  <c r="Q682" i="15" s="1"/>
  <c r="O682" i="15"/>
  <c r="N682" i="15"/>
  <c r="P680" i="15"/>
  <c r="O680" i="15"/>
  <c r="Q680" i="15" s="1"/>
  <c r="N680" i="15"/>
  <c r="K675" i="15"/>
  <c r="P674" i="15"/>
  <c r="O674" i="15"/>
  <c r="Q674" i="15" s="1"/>
  <c r="N674" i="15"/>
  <c r="P673" i="15"/>
  <c r="O673" i="15"/>
  <c r="Q673" i="15" s="1"/>
  <c r="N673" i="15"/>
  <c r="P671" i="15"/>
  <c r="O671" i="15"/>
  <c r="Q671" i="15" s="1"/>
  <c r="N671" i="15"/>
  <c r="P670" i="15"/>
  <c r="O670" i="15"/>
  <c r="Q670" i="15" s="1"/>
  <c r="N670" i="15"/>
  <c r="P669" i="15"/>
  <c r="O669" i="15"/>
  <c r="Q669" i="15" s="1"/>
  <c r="N669" i="15"/>
  <c r="P668" i="15"/>
  <c r="O668" i="15"/>
  <c r="N668" i="15"/>
  <c r="P664" i="15"/>
  <c r="O664" i="15"/>
  <c r="Q664" i="15" s="1"/>
  <c r="N664" i="15"/>
  <c r="P663" i="15"/>
  <c r="O663" i="15"/>
  <c r="Q663" i="15" s="1"/>
  <c r="N663" i="15"/>
  <c r="N675" i="15" s="1"/>
  <c r="P661" i="15"/>
  <c r="O661" i="15"/>
  <c r="Q661" i="15" s="1"/>
  <c r="N661" i="15"/>
  <c r="P659" i="15"/>
  <c r="O659" i="15"/>
  <c r="Q659" i="15" s="1"/>
  <c r="N659" i="15"/>
  <c r="P657" i="15"/>
  <c r="O657" i="15"/>
  <c r="Q657" i="15" s="1"/>
  <c r="N657" i="15"/>
  <c r="P656" i="15"/>
  <c r="O656" i="15"/>
  <c r="Q656" i="15" s="1"/>
  <c r="N656" i="15"/>
  <c r="K652" i="15"/>
  <c r="P651" i="15"/>
  <c r="O651" i="15"/>
  <c r="Q651" i="15" s="1"/>
  <c r="N651" i="15"/>
  <c r="Q649" i="15"/>
  <c r="P649" i="15"/>
  <c r="O649" i="15"/>
  <c r="N649" i="15"/>
  <c r="P648" i="15"/>
  <c r="O648" i="15"/>
  <c r="Q648" i="15" s="1"/>
  <c r="N648" i="15"/>
  <c r="Q646" i="15"/>
  <c r="P646" i="15"/>
  <c r="O646" i="15"/>
  <c r="N646" i="15"/>
  <c r="P643" i="15"/>
  <c r="O643" i="15"/>
  <c r="Q643" i="15" s="1"/>
  <c r="N643" i="15"/>
  <c r="K638" i="15"/>
  <c r="P637" i="15"/>
  <c r="Q637" i="15" s="1"/>
  <c r="O637" i="15"/>
  <c r="N637" i="15"/>
  <c r="P634" i="15"/>
  <c r="Q634" i="15" s="1"/>
  <c r="O634" i="15"/>
  <c r="N634" i="15"/>
  <c r="P632" i="15"/>
  <c r="Q632" i="15" s="1"/>
  <c r="O632" i="15"/>
  <c r="N632" i="15"/>
  <c r="P629" i="15"/>
  <c r="Q629" i="15" s="1"/>
  <c r="O629" i="15"/>
  <c r="N629" i="15"/>
  <c r="P626" i="15"/>
  <c r="Q626" i="15" s="1"/>
  <c r="O626" i="15"/>
  <c r="N626" i="15"/>
  <c r="P624" i="15"/>
  <c r="Q624" i="15" s="1"/>
  <c r="O624" i="15"/>
  <c r="N624" i="15"/>
  <c r="P622" i="15"/>
  <c r="Q622" i="15" s="1"/>
  <c r="O622" i="15"/>
  <c r="N622" i="15"/>
  <c r="P620" i="15"/>
  <c r="Q620" i="15" s="1"/>
  <c r="O620" i="15"/>
  <c r="N620" i="15"/>
  <c r="P618" i="15"/>
  <c r="Q618" i="15" s="1"/>
  <c r="O618" i="15"/>
  <c r="N618" i="15"/>
  <c r="Q617" i="15"/>
  <c r="P617" i="15"/>
  <c r="O617" i="15"/>
  <c r="N617" i="15"/>
  <c r="P615" i="15"/>
  <c r="Q615" i="15" s="1"/>
  <c r="O615" i="15"/>
  <c r="N615" i="15"/>
  <c r="P613" i="15"/>
  <c r="Q613" i="15" s="1"/>
  <c r="O613" i="15"/>
  <c r="N613" i="15"/>
  <c r="P610" i="15"/>
  <c r="Q610" i="15" s="1"/>
  <c r="O610" i="15"/>
  <c r="N610" i="15"/>
  <c r="P608" i="15"/>
  <c r="Q608" i="15" s="1"/>
  <c r="O608" i="15"/>
  <c r="N608" i="15"/>
  <c r="P607" i="15"/>
  <c r="Q607" i="15" s="1"/>
  <c r="O607" i="15"/>
  <c r="N607" i="15"/>
  <c r="Q606" i="15"/>
  <c r="P606" i="15"/>
  <c r="O606" i="15"/>
  <c r="N606" i="15"/>
  <c r="P603" i="15"/>
  <c r="Q603" i="15" s="1"/>
  <c r="O603" i="15"/>
  <c r="N603" i="15"/>
  <c r="P602" i="15"/>
  <c r="Q602" i="15" s="1"/>
  <c r="O602" i="15"/>
  <c r="N602" i="15"/>
  <c r="P601" i="15"/>
  <c r="Q601" i="15" s="1"/>
  <c r="O601" i="15"/>
  <c r="N601" i="15"/>
  <c r="P600" i="15"/>
  <c r="Q600" i="15" s="1"/>
  <c r="O600" i="15"/>
  <c r="N600" i="15"/>
  <c r="P599" i="15"/>
  <c r="Q599" i="15" s="1"/>
  <c r="O599" i="15"/>
  <c r="N599" i="15"/>
  <c r="P598" i="15"/>
  <c r="Q598" i="15" s="1"/>
  <c r="O598" i="15"/>
  <c r="N598" i="15"/>
  <c r="P597" i="15"/>
  <c r="Q597" i="15" s="1"/>
  <c r="O597" i="15"/>
  <c r="N597" i="15"/>
  <c r="P595" i="15"/>
  <c r="Q595" i="15" s="1"/>
  <c r="O595" i="15"/>
  <c r="N595" i="15"/>
  <c r="P594" i="15"/>
  <c r="Q594" i="15" s="1"/>
  <c r="O594" i="15"/>
  <c r="N594" i="15"/>
  <c r="Q593" i="15"/>
  <c r="P593" i="15"/>
  <c r="O593" i="15"/>
  <c r="N593" i="15"/>
  <c r="P592" i="15"/>
  <c r="Q592" i="15" s="1"/>
  <c r="O592" i="15"/>
  <c r="N592" i="15"/>
  <c r="P590" i="15"/>
  <c r="Q590" i="15" s="1"/>
  <c r="O590" i="15"/>
  <c r="N590" i="15"/>
  <c r="P589" i="15"/>
  <c r="Q589" i="15" s="1"/>
  <c r="O589" i="15"/>
  <c r="N589" i="15"/>
  <c r="P586" i="15"/>
  <c r="Q586" i="15" s="1"/>
  <c r="O586" i="15"/>
  <c r="N586" i="15"/>
  <c r="P585" i="15"/>
  <c r="Q585" i="15" s="1"/>
  <c r="O585" i="15"/>
  <c r="N585" i="15"/>
  <c r="Q584" i="15"/>
  <c r="P584" i="15"/>
  <c r="O584" i="15"/>
  <c r="N584" i="15"/>
  <c r="P583" i="15"/>
  <c r="Q583" i="15" s="1"/>
  <c r="O583" i="15"/>
  <c r="N583" i="15"/>
  <c r="P579" i="15"/>
  <c r="Q579" i="15" s="1"/>
  <c r="O579" i="15"/>
  <c r="N579" i="15"/>
  <c r="P576" i="15"/>
  <c r="Q576" i="15" s="1"/>
  <c r="O576" i="15"/>
  <c r="N576" i="15"/>
  <c r="P575" i="15"/>
  <c r="Q575" i="15" s="1"/>
  <c r="O575" i="15"/>
  <c r="N575" i="15"/>
  <c r="P573" i="15"/>
  <c r="Q573" i="15" s="1"/>
  <c r="O573" i="15"/>
  <c r="N573" i="15"/>
  <c r="P572" i="15"/>
  <c r="Q572" i="15" s="1"/>
  <c r="O572" i="15"/>
  <c r="N572" i="15"/>
  <c r="P571" i="15"/>
  <c r="O571" i="15"/>
  <c r="Q571" i="15" s="1"/>
  <c r="N571" i="15"/>
  <c r="P570" i="15"/>
  <c r="Q570" i="15" s="1"/>
  <c r="O570" i="15"/>
  <c r="N570" i="15"/>
  <c r="P569" i="15"/>
  <c r="O569" i="15"/>
  <c r="Q569" i="15" s="1"/>
  <c r="N569" i="15"/>
  <c r="Q568" i="15"/>
  <c r="P568" i="15"/>
  <c r="O568" i="15"/>
  <c r="N568" i="15"/>
  <c r="P567" i="15"/>
  <c r="O567" i="15"/>
  <c r="Q567" i="15" s="1"/>
  <c r="N567" i="15"/>
  <c r="P563" i="15"/>
  <c r="Q563" i="15" s="1"/>
  <c r="O563" i="15"/>
  <c r="N563" i="15"/>
  <c r="P559" i="15"/>
  <c r="O559" i="15"/>
  <c r="Q559" i="15" s="1"/>
  <c r="N559" i="15"/>
  <c r="P557" i="15"/>
  <c r="Q557" i="15" s="1"/>
  <c r="O557" i="15"/>
  <c r="N557" i="15"/>
  <c r="P556" i="15"/>
  <c r="O556" i="15"/>
  <c r="Q556" i="15" s="1"/>
  <c r="N556" i="15"/>
  <c r="Q553" i="15"/>
  <c r="P553" i="15"/>
  <c r="O553" i="15"/>
  <c r="N553" i="15"/>
  <c r="P551" i="15"/>
  <c r="O551" i="15"/>
  <c r="Q551" i="15" s="1"/>
  <c r="N551" i="15"/>
  <c r="P549" i="15"/>
  <c r="Q549" i="15" s="1"/>
  <c r="O549" i="15"/>
  <c r="N549" i="15"/>
  <c r="P547" i="15"/>
  <c r="O547" i="15"/>
  <c r="Q547" i="15" s="1"/>
  <c r="N547" i="15"/>
  <c r="P545" i="15"/>
  <c r="Q545" i="15" s="1"/>
  <c r="O545" i="15"/>
  <c r="N545" i="15"/>
  <c r="P543" i="15"/>
  <c r="O543" i="15"/>
  <c r="Q543" i="15" s="1"/>
  <c r="N543" i="15"/>
  <c r="P539" i="15"/>
  <c r="Q539" i="15" s="1"/>
  <c r="O539" i="15"/>
  <c r="N539" i="15"/>
  <c r="P535" i="15"/>
  <c r="O535" i="15"/>
  <c r="Q535" i="15" s="1"/>
  <c r="N535" i="15"/>
  <c r="P531" i="15"/>
  <c r="Q531" i="15" s="1"/>
  <c r="O531" i="15"/>
  <c r="N531" i="15"/>
  <c r="P529" i="15"/>
  <c r="O529" i="15"/>
  <c r="Q529" i="15" s="1"/>
  <c r="N529" i="15"/>
  <c r="Q527" i="15"/>
  <c r="P527" i="15"/>
  <c r="O527" i="15"/>
  <c r="N527" i="15"/>
  <c r="P525" i="15"/>
  <c r="O525" i="15"/>
  <c r="Q525" i="15" s="1"/>
  <c r="N525" i="15"/>
  <c r="N520" i="15"/>
  <c r="K520" i="15"/>
  <c r="P519" i="15"/>
  <c r="O519" i="15"/>
  <c r="Q519" i="15" s="1"/>
  <c r="N519" i="15"/>
  <c r="P517" i="15"/>
  <c r="O517" i="15"/>
  <c r="Q517" i="15" s="1"/>
  <c r="N517" i="15"/>
  <c r="P516" i="15"/>
  <c r="O516" i="15"/>
  <c r="Q516" i="15" s="1"/>
  <c r="N516" i="15"/>
  <c r="P513" i="15"/>
  <c r="Q513" i="15" s="1"/>
  <c r="O513" i="15"/>
  <c r="N513" i="15"/>
  <c r="P512" i="15"/>
  <c r="O512" i="15"/>
  <c r="Q512" i="15" s="1"/>
  <c r="N512" i="15"/>
  <c r="P511" i="15"/>
  <c r="O511" i="15"/>
  <c r="Q511" i="15" s="1"/>
  <c r="N511" i="15"/>
  <c r="P510" i="15"/>
  <c r="O510" i="15"/>
  <c r="Q510" i="15" s="1"/>
  <c r="N510" i="15"/>
  <c r="P509" i="15"/>
  <c r="O509" i="15"/>
  <c r="Q509" i="15" s="1"/>
  <c r="N509" i="15"/>
  <c r="P508" i="15"/>
  <c r="O508" i="15"/>
  <c r="Q508" i="15" s="1"/>
  <c r="N508" i="15"/>
  <c r="P507" i="15"/>
  <c r="O507" i="15"/>
  <c r="Q507" i="15" s="1"/>
  <c r="N507" i="15"/>
  <c r="P506" i="15"/>
  <c r="O506" i="15"/>
  <c r="Q506" i="15" s="1"/>
  <c r="N506" i="15"/>
  <c r="Q504" i="15"/>
  <c r="P504" i="15"/>
  <c r="O504" i="15"/>
  <c r="N504" i="15"/>
  <c r="P502" i="15"/>
  <c r="O502" i="15"/>
  <c r="Q502" i="15" s="1"/>
  <c r="N502" i="15"/>
  <c r="P501" i="15"/>
  <c r="Q501" i="15" s="1"/>
  <c r="O501" i="15"/>
  <c r="N501" i="15"/>
  <c r="P500" i="15"/>
  <c r="O500" i="15"/>
  <c r="Q500" i="15" s="1"/>
  <c r="N500" i="15"/>
  <c r="P499" i="15"/>
  <c r="O499" i="15"/>
  <c r="Q499" i="15" s="1"/>
  <c r="N499" i="15"/>
  <c r="P498" i="15"/>
  <c r="O498" i="15"/>
  <c r="Q498" i="15" s="1"/>
  <c r="N498" i="15"/>
  <c r="P497" i="15"/>
  <c r="O497" i="15"/>
  <c r="Q497" i="15" s="1"/>
  <c r="N497" i="15"/>
  <c r="P495" i="15"/>
  <c r="O495" i="15"/>
  <c r="Q495" i="15" s="1"/>
  <c r="N495" i="15"/>
  <c r="P493" i="15"/>
  <c r="Q493" i="15" s="1"/>
  <c r="O493" i="15"/>
  <c r="N493" i="15"/>
  <c r="P491" i="15"/>
  <c r="O491" i="15"/>
  <c r="Q491" i="15" s="1"/>
  <c r="N491" i="15"/>
  <c r="P489" i="15"/>
  <c r="O489" i="15"/>
  <c r="Q489" i="15" s="1"/>
  <c r="N489" i="15"/>
  <c r="P488" i="15"/>
  <c r="O488" i="15"/>
  <c r="Q488" i="15" s="1"/>
  <c r="N488" i="15"/>
  <c r="P485" i="15"/>
  <c r="O485" i="15"/>
  <c r="Q485" i="15" s="1"/>
  <c r="N485" i="15"/>
  <c r="P483" i="15"/>
  <c r="O483" i="15"/>
  <c r="Q483" i="15" s="1"/>
  <c r="N483" i="15"/>
  <c r="P482" i="15"/>
  <c r="O482" i="15"/>
  <c r="Q482" i="15" s="1"/>
  <c r="N482" i="15"/>
  <c r="P478" i="15"/>
  <c r="O478" i="15"/>
  <c r="Q478" i="15" s="1"/>
  <c r="N478" i="15"/>
  <c r="Q476" i="15"/>
  <c r="P476" i="15"/>
  <c r="O476" i="15"/>
  <c r="N476" i="15"/>
  <c r="P473" i="15"/>
  <c r="O473" i="15"/>
  <c r="Q473" i="15" s="1"/>
  <c r="N473" i="15"/>
  <c r="P472" i="15"/>
  <c r="Q472" i="15" s="1"/>
  <c r="O472" i="15"/>
  <c r="N472" i="15"/>
  <c r="P471" i="15"/>
  <c r="O471" i="15"/>
  <c r="Q471" i="15" s="1"/>
  <c r="N471" i="15"/>
  <c r="P469" i="15"/>
  <c r="O469" i="15"/>
  <c r="Q469" i="15" s="1"/>
  <c r="N469" i="15"/>
  <c r="P468" i="15"/>
  <c r="O468" i="15"/>
  <c r="Q468" i="15" s="1"/>
  <c r="N468" i="15"/>
  <c r="P467" i="15"/>
  <c r="O467" i="15"/>
  <c r="Q467" i="15" s="1"/>
  <c r="N467" i="15"/>
  <c r="P464" i="15"/>
  <c r="O464" i="15"/>
  <c r="Q464" i="15" s="1"/>
  <c r="N464" i="15"/>
  <c r="P463" i="15"/>
  <c r="Q463" i="15" s="1"/>
  <c r="O463" i="15"/>
  <c r="N463" i="15"/>
  <c r="P462" i="15"/>
  <c r="O462" i="15"/>
  <c r="Q462" i="15" s="1"/>
  <c r="N462" i="15"/>
  <c r="N456" i="15"/>
  <c r="K456" i="15"/>
  <c r="P455" i="15"/>
  <c r="O455" i="15"/>
  <c r="Q455" i="15" s="1"/>
  <c r="Q456" i="15" s="1"/>
  <c r="K455" i="15"/>
  <c r="N451" i="15"/>
  <c r="Q450" i="15"/>
  <c r="P450" i="15"/>
  <c r="O450" i="15"/>
  <c r="K450" i="15"/>
  <c r="P449" i="15"/>
  <c r="O449" i="15"/>
  <c r="Q449" i="15" s="1"/>
  <c r="K449" i="15"/>
  <c r="Q447" i="15"/>
  <c r="P447" i="15"/>
  <c r="O447" i="15"/>
  <c r="K447" i="15"/>
  <c r="P445" i="15"/>
  <c r="O445" i="15"/>
  <c r="Q445" i="15" s="1"/>
  <c r="K445" i="15"/>
  <c r="Q443" i="15"/>
  <c r="P443" i="15"/>
  <c r="O443" i="15"/>
  <c r="K443" i="15"/>
  <c r="P441" i="15"/>
  <c r="O441" i="15"/>
  <c r="Q441" i="15" s="1"/>
  <c r="K441" i="15"/>
  <c r="Q440" i="15"/>
  <c r="P440" i="15"/>
  <c r="O440" i="15"/>
  <c r="K440" i="15"/>
  <c r="P439" i="15"/>
  <c r="O439" i="15"/>
  <c r="Q439" i="15" s="1"/>
  <c r="K439" i="15"/>
  <c r="Q438" i="15"/>
  <c r="P438" i="15"/>
  <c r="O438" i="15"/>
  <c r="K438" i="15"/>
  <c r="P437" i="15"/>
  <c r="O437" i="15"/>
  <c r="Q437" i="15" s="1"/>
  <c r="K437" i="15"/>
  <c r="Q436" i="15"/>
  <c r="P436" i="15"/>
  <c r="O436" i="15"/>
  <c r="K436" i="15"/>
  <c r="P434" i="15"/>
  <c r="O434" i="15"/>
  <c r="Q434" i="15" s="1"/>
  <c r="K434" i="15"/>
  <c r="Q432" i="15"/>
  <c r="P432" i="15"/>
  <c r="O432" i="15"/>
  <c r="K432" i="15"/>
  <c r="P431" i="15"/>
  <c r="O431" i="15"/>
  <c r="Q431" i="15" s="1"/>
  <c r="K431" i="15"/>
  <c r="Q429" i="15"/>
  <c r="P429" i="15"/>
  <c r="O429" i="15"/>
  <c r="K429" i="15"/>
  <c r="P427" i="15"/>
  <c r="O427" i="15"/>
  <c r="Q427" i="15" s="1"/>
  <c r="K427" i="15"/>
  <c r="Q424" i="15"/>
  <c r="P424" i="15"/>
  <c r="O424" i="15"/>
  <c r="K424" i="15"/>
  <c r="P422" i="15"/>
  <c r="O422" i="15"/>
  <c r="Q422" i="15" s="1"/>
  <c r="K422" i="15"/>
  <c r="Q421" i="15"/>
  <c r="P421" i="15"/>
  <c r="O421" i="15"/>
  <c r="K421" i="15"/>
  <c r="P420" i="15"/>
  <c r="O420" i="15"/>
  <c r="Q420" i="15" s="1"/>
  <c r="K420" i="15"/>
  <c r="Q417" i="15"/>
  <c r="P417" i="15"/>
  <c r="O417" i="15"/>
  <c r="K417" i="15"/>
  <c r="P415" i="15"/>
  <c r="O415" i="15"/>
  <c r="Q415" i="15" s="1"/>
  <c r="K415" i="15"/>
  <c r="Q414" i="15"/>
  <c r="P414" i="15"/>
  <c r="O414" i="15"/>
  <c r="K414" i="15"/>
  <c r="P410" i="15"/>
  <c r="O410" i="15"/>
  <c r="Q410" i="15" s="1"/>
  <c r="K410" i="15"/>
  <c r="Q409" i="15"/>
  <c r="P409" i="15"/>
  <c r="O409" i="15"/>
  <c r="K409" i="15"/>
  <c r="P408" i="15"/>
  <c r="O408" i="15"/>
  <c r="Q408" i="15" s="1"/>
  <c r="K408" i="15"/>
  <c r="Q407" i="15"/>
  <c r="P407" i="15"/>
  <c r="O407" i="15"/>
  <c r="K407" i="15"/>
  <c r="P405" i="15"/>
  <c r="O405" i="15"/>
  <c r="Q405" i="15" s="1"/>
  <c r="K405" i="15"/>
  <c r="Q403" i="15"/>
  <c r="P403" i="15"/>
  <c r="O403" i="15"/>
  <c r="K403" i="15"/>
  <c r="P402" i="15"/>
  <c r="O402" i="15"/>
  <c r="Q402" i="15" s="1"/>
  <c r="K402" i="15"/>
  <c r="Q401" i="15"/>
  <c r="P401" i="15"/>
  <c r="O401" i="15"/>
  <c r="K401" i="15"/>
  <c r="P400" i="15"/>
  <c r="O400" i="15"/>
  <c r="Q400" i="15" s="1"/>
  <c r="K400" i="15"/>
  <c r="Q397" i="15"/>
  <c r="P397" i="15"/>
  <c r="O397" i="15"/>
  <c r="K397" i="15"/>
  <c r="P396" i="15"/>
  <c r="O396" i="15"/>
  <c r="Q396" i="15" s="1"/>
  <c r="K396" i="15"/>
  <c r="Q395" i="15"/>
  <c r="P395" i="15"/>
  <c r="O395" i="15"/>
  <c r="K395" i="15"/>
  <c r="P394" i="15"/>
  <c r="O394" i="15"/>
  <c r="Q394" i="15" s="1"/>
  <c r="K394" i="15"/>
  <c r="Q393" i="15"/>
  <c r="P393" i="15"/>
  <c r="O393" i="15"/>
  <c r="K393" i="15"/>
  <c r="P392" i="15"/>
  <c r="O392" i="15"/>
  <c r="Q392" i="15" s="1"/>
  <c r="K392" i="15"/>
  <c r="Q390" i="15"/>
  <c r="P390" i="15"/>
  <c r="O390" i="15"/>
  <c r="K390" i="15"/>
  <c r="P389" i="15"/>
  <c r="O389" i="15"/>
  <c r="Q389" i="15" s="1"/>
  <c r="K389" i="15"/>
  <c r="Q388" i="15"/>
  <c r="P388" i="15"/>
  <c r="O388" i="15"/>
  <c r="K388" i="15"/>
  <c r="P387" i="15"/>
  <c r="O387" i="15"/>
  <c r="Q387" i="15" s="1"/>
  <c r="K387" i="15"/>
  <c r="Q386" i="15"/>
  <c r="P386" i="15"/>
  <c r="O386" i="15"/>
  <c r="K386" i="15"/>
  <c r="P385" i="15"/>
  <c r="O385" i="15"/>
  <c r="Q385" i="15" s="1"/>
  <c r="K385" i="15"/>
  <c r="Q384" i="15"/>
  <c r="P384" i="15"/>
  <c r="O384" i="15"/>
  <c r="K384" i="15"/>
  <c r="P383" i="15"/>
  <c r="O383" i="15"/>
  <c r="Q383" i="15" s="1"/>
  <c r="K383" i="15"/>
  <c r="Q382" i="15"/>
  <c r="P382" i="15"/>
  <c r="O382" i="15"/>
  <c r="K382" i="15"/>
  <c r="P381" i="15"/>
  <c r="O381" i="15"/>
  <c r="Q381" i="15" s="1"/>
  <c r="K381" i="15"/>
  <c r="Q380" i="15"/>
  <c r="P380" i="15"/>
  <c r="O380" i="15"/>
  <c r="K380" i="15"/>
  <c r="P379" i="15"/>
  <c r="O379" i="15"/>
  <c r="Q379" i="15" s="1"/>
  <c r="K379" i="15"/>
  <c r="Q378" i="15"/>
  <c r="P378" i="15"/>
  <c r="O378" i="15"/>
  <c r="K378" i="15"/>
  <c r="P377" i="15"/>
  <c r="O377" i="15"/>
  <c r="Q377" i="15" s="1"/>
  <c r="K377" i="15"/>
  <c r="Q376" i="15"/>
  <c r="P376" i="15"/>
  <c r="O376" i="15"/>
  <c r="K376" i="15"/>
  <c r="P374" i="15"/>
  <c r="O374" i="15"/>
  <c r="Q374" i="15" s="1"/>
  <c r="K374" i="15"/>
  <c r="Q372" i="15"/>
  <c r="P372" i="15"/>
  <c r="O372" i="15"/>
  <c r="K372" i="15"/>
  <c r="P370" i="15"/>
  <c r="O370" i="15"/>
  <c r="Q370" i="15" s="1"/>
  <c r="K370" i="15"/>
  <c r="Q368" i="15"/>
  <c r="P368" i="15"/>
  <c r="O368" i="15"/>
  <c r="K368" i="15"/>
  <c r="P367" i="15"/>
  <c r="O367" i="15"/>
  <c r="Q367" i="15" s="1"/>
  <c r="K367" i="15"/>
  <c r="Q366" i="15"/>
  <c r="P366" i="15"/>
  <c r="O366" i="15"/>
  <c r="K366" i="15"/>
  <c r="P364" i="15"/>
  <c r="O364" i="15"/>
  <c r="Q364" i="15" s="1"/>
  <c r="K364" i="15"/>
  <c r="Q363" i="15"/>
  <c r="P363" i="15"/>
  <c r="O363" i="15"/>
  <c r="K363" i="15"/>
  <c r="P362" i="15"/>
  <c r="O362" i="15"/>
  <c r="Q362" i="15" s="1"/>
  <c r="K362" i="15"/>
  <c r="Q360" i="15"/>
  <c r="P360" i="15"/>
  <c r="O360" i="15"/>
  <c r="K360" i="15"/>
  <c r="P358" i="15"/>
  <c r="O358" i="15"/>
  <c r="Q358" i="15" s="1"/>
  <c r="K358" i="15"/>
  <c r="Q356" i="15"/>
  <c r="P356" i="15"/>
  <c r="O356" i="15"/>
  <c r="K356" i="15"/>
  <c r="P354" i="15"/>
  <c r="O354" i="15"/>
  <c r="Q354" i="15" s="1"/>
  <c r="K354" i="15"/>
  <c r="Q352" i="15"/>
  <c r="P352" i="15"/>
  <c r="O352" i="15"/>
  <c r="K352" i="15"/>
  <c r="P350" i="15"/>
  <c r="O350" i="15"/>
  <c r="Q350" i="15" s="1"/>
  <c r="K350" i="15"/>
  <c r="Q349" i="15"/>
  <c r="P349" i="15"/>
  <c r="O349" i="15"/>
  <c r="K349" i="15"/>
  <c r="P347" i="15"/>
  <c r="O347" i="15"/>
  <c r="Q347" i="15" s="1"/>
  <c r="K347" i="15"/>
  <c r="Q346" i="15"/>
  <c r="P346" i="15"/>
  <c r="O346" i="15"/>
  <c r="K346" i="15"/>
  <c r="P343" i="15"/>
  <c r="O343" i="15"/>
  <c r="Q343" i="15" s="1"/>
  <c r="K343" i="15"/>
  <c r="Q342" i="15"/>
  <c r="P342" i="15"/>
  <c r="O342" i="15"/>
  <c r="K342" i="15"/>
  <c r="P341" i="15"/>
  <c r="O341" i="15"/>
  <c r="Q341" i="15" s="1"/>
  <c r="K341" i="15"/>
  <c r="Q340" i="15"/>
  <c r="P340" i="15"/>
  <c r="O340" i="15"/>
  <c r="K340" i="15"/>
  <c r="P338" i="15"/>
  <c r="O338" i="15"/>
  <c r="Q338" i="15" s="1"/>
  <c r="K338" i="15"/>
  <c r="K451" i="15" s="1"/>
  <c r="O334" i="15"/>
  <c r="M334" i="15"/>
  <c r="P334" i="15" s="1"/>
  <c r="Q334" i="15" s="1"/>
  <c r="K334" i="15"/>
  <c r="Q333" i="15"/>
  <c r="P333" i="15"/>
  <c r="O333" i="15"/>
  <c r="K333" i="15"/>
  <c r="P331" i="15"/>
  <c r="O331" i="15"/>
  <c r="Q331" i="15" s="1"/>
  <c r="K331" i="15"/>
  <c r="Q330" i="15"/>
  <c r="P330" i="15"/>
  <c r="O330" i="15"/>
  <c r="K330" i="15"/>
  <c r="P329" i="15"/>
  <c r="O329" i="15"/>
  <c r="Q329" i="15" s="1"/>
  <c r="K329" i="15"/>
  <c r="P326" i="15"/>
  <c r="Q326" i="15" s="1"/>
  <c r="O326" i="15"/>
  <c r="K326" i="15"/>
  <c r="P325" i="15"/>
  <c r="O325" i="15"/>
  <c r="Q325" i="15" s="1"/>
  <c r="K325" i="15"/>
  <c r="P324" i="15"/>
  <c r="O324" i="15"/>
  <c r="Q324" i="15" s="1"/>
  <c r="K324" i="15"/>
  <c r="P321" i="15"/>
  <c r="O321" i="15"/>
  <c r="Q321" i="15" s="1"/>
  <c r="K321" i="15"/>
  <c r="P318" i="15"/>
  <c r="O318" i="15"/>
  <c r="Q318" i="15" s="1"/>
  <c r="K318" i="15"/>
  <c r="P317" i="15"/>
  <c r="O317" i="15"/>
  <c r="Q317" i="15" s="1"/>
  <c r="K317" i="15"/>
  <c r="P313" i="15"/>
  <c r="Q313" i="15" s="1"/>
  <c r="O313" i="15"/>
  <c r="K313" i="15"/>
  <c r="P311" i="15"/>
  <c r="O311" i="15"/>
  <c r="Q311" i="15" s="1"/>
  <c r="K311" i="15"/>
  <c r="P306" i="15"/>
  <c r="O306" i="15"/>
  <c r="Q306" i="15" s="1"/>
  <c r="K306" i="15"/>
  <c r="P303" i="15"/>
  <c r="O303" i="15"/>
  <c r="Q303" i="15" s="1"/>
  <c r="K303" i="15"/>
  <c r="P301" i="15"/>
  <c r="O301" i="15"/>
  <c r="Q301" i="15" s="1"/>
  <c r="N301" i="15"/>
  <c r="M301" i="15"/>
  <c r="K301" i="15"/>
  <c r="P300" i="15"/>
  <c r="O300" i="15"/>
  <c r="Q300" i="15" s="1"/>
  <c r="K300" i="15"/>
  <c r="O298" i="15"/>
  <c r="M298" i="15"/>
  <c r="P298" i="15" s="1"/>
  <c r="Q298" i="15" s="1"/>
  <c r="K298" i="15"/>
  <c r="P294" i="15"/>
  <c r="Q294" i="15" s="1"/>
  <c r="O294" i="15"/>
  <c r="K294" i="15"/>
  <c r="P288" i="15"/>
  <c r="O288" i="15"/>
  <c r="Q288" i="15" s="1"/>
  <c r="K288" i="15"/>
  <c r="P285" i="15"/>
  <c r="O285" i="15"/>
  <c r="Q285" i="15" s="1"/>
  <c r="K285" i="15"/>
  <c r="O282" i="15"/>
  <c r="M282" i="15"/>
  <c r="K282" i="15"/>
  <c r="Q281" i="15"/>
  <c r="P281" i="15"/>
  <c r="O281" i="15"/>
  <c r="K281" i="15"/>
  <c r="P280" i="15"/>
  <c r="O280" i="15"/>
  <c r="Q280" i="15" s="1"/>
  <c r="K280" i="15"/>
  <c r="Q279" i="15"/>
  <c r="P279" i="15"/>
  <c r="O279" i="15"/>
  <c r="K279" i="15"/>
  <c r="P278" i="15"/>
  <c r="O278" i="15"/>
  <c r="Q278" i="15" s="1"/>
  <c r="K278" i="15"/>
  <c r="Q277" i="15"/>
  <c r="P277" i="15"/>
  <c r="O277" i="15"/>
  <c r="K277" i="15"/>
  <c r="P276" i="15"/>
  <c r="O276" i="15"/>
  <c r="Q276" i="15" s="1"/>
  <c r="K276" i="15"/>
  <c r="Q275" i="15"/>
  <c r="P275" i="15"/>
  <c r="O275" i="15"/>
  <c r="K275" i="15"/>
  <c r="P272" i="15"/>
  <c r="O272" i="15"/>
  <c r="Q272" i="15" s="1"/>
  <c r="K272" i="15"/>
  <c r="Q271" i="15"/>
  <c r="P271" i="15"/>
  <c r="O271" i="15"/>
  <c r="K271" i="15"/>
  <c r="P269" i="15"/>
  <c r="O269" i="15"/>
  <c r="Q269" i="15" s="1"/>
  <c r="K269" i="15"/>
  <c r="Q267" i="15"/>
  <c r="P267" i="15"/>
  <c r="O267" i="15"/>
  <c r="K267" i="15"/>
  <c r="P264" i="15"/>
  <c r="O264" i="15"/>
  <c r="Q264" i="15" s="1"/>
  <c r="K264" i="15"/>
  <c r="Q263" i="15"/>
  <c r="P263" i="15"/>
  <c r="O263" i="15"/>
  <c r="K263" i="15"/>
  <c r="P261" i="15"/>
  <c r="O261" i="15"/>
  <c r="Q261" i="15" s="1"/>
  <c r="K261" i="15"/>
  <c r="Q259" i="15"/>
  <c r="P259" i="15"/>
  <c r="O259" i="15"/>
  <c r="K259" i="15"/>
  <c r="P258" i="15"/>
  <c r="O258" i="15"/>
  <c r="Q258" i="15" s="1"/>
  <c r="K258" i="15"/>
  <c r="Q254" i="15"/>
  <c r="P254" i="15"/>
  <c r="O254" i="15"/>
  <c r="K254" i="15"/>
  <c r="P253" i="15"/>
  <c r="O253" i="15"/>
  <c r="Q253" i="15" s="1"/>
  <c r="K253" i="15"/>
  <c r="Q252" i="15"/>
  <c r="P252" i="15"/>
  <c r="O252" i="15"/>
  <c r="K252" i="15"/>
  <c r="P251" i="15"/>
  <c r="O251" i="15"/>
  <c r="Q251" i="15" s="1"/>
  <c r="K251" i="15"/>
  <c r="Q250" i="15"/>
  <c r="P250" i="15"/>
  <c r="O250" i="15"/>
  <c r="K250" i="15"/>
  <c r="P249" i="15"/>
  <c r="O249" i="15"/>
  <c r="Q249" i="15" s="1"/>
  <c r="K249" i="15"/>
  <c r="Q247" i="15"/>
  <c r="P247" i="15"/>
  <c r="O247" i="15"/>
  <c r="K247" i="15"/>
  <c r="P246" i="15"/>
  <c r="O246" i="15"/>
  <c r="Q246" i="15" s="1"/>
  <c r="K246" i="15"/>
  <c r="Q244" i="15"/>
  <c r="P244" i="15"/>
  <c r="O244" i="15"/>
  <c r="K244" i="15"/>
  <c r="P240" i="15"/>
  <c r="O240" i="15"/>
  <c r="Q240" i="15" s="1"/>
  <c r="K240" i="15"/>
  <c r="Q237" i="15"/>
  <c r="P237" i="15"/>
  <c r="O237" i="15"/>
  <c r="K237" i="15"/>
  <c r="P235" i="15"/>
  <c r="O235" i="15"/>
  <c r="Q235" i="15" s="1"/>
  <c r="K235" i="15"/>
  <c r="Q233" i="15"/>
  <c r="P233" i="15"/>
  <c r="O233" i="15"/>
  <c r="K233" i="15"/>
  <c r="P232" i="15"/>
  <c r="O232" i="15"/>
  <c r="Q232" i="15" s="1"/>
  <c r="K232" i="15"/>
  <c r="Q229" i="15"/>
  <c r="P229" i="15"/>
  <c r="O229" i="15"/>
  <c r="K229" i="15"/>
  <c r="P224" i="15"/>
  <c r="O224" i="15"/>
  <c r="Q224" i="15" s="1"/>
  <c r="K224" i="15"/>
  <c r="Q223" i="15"/>
  <c r="P223" i="15"/>
  <c r="O223" i="15"/>
  <c r="K223" i="15"/>
  <c r="P222" i="15"/>
  <c r="O222" i="15"/>
  <c r="Q222" i="15" s="1"/>
  <c r="K222" i="15"/>
  <c r="Q221" i="15"/>
  <c r="P221" i="15"/>
  <c r="O221" i="15"/>
  <c r="K221" i="15"/>
  <c r="P220" i="15"/>
  <c r="O220" i="15"/>
  <c r="Q220" i="15" s="1"/>
  <c r="K220" i="15"/>
  <c r="Q219" i="15"/>
  <c r="P219" i="15"/>
  <c r="O219" i="15"/>
  <c r="K219" i="15"/>
  <c r="P217" i="15"/>
  <c r="O217" i="15"/>
  <c r="Q217" i="15" s="1"/>
  <c r="K217" i="15"/>
  <c r="O216" i="15"/>
  <c r="M216" i="15"/>
  <c r="P216" i="15" s="1"/>
  <c r="Q216" i="15" s="1"/>
  <c r="K216" i="15"/>
  <c r="P214" i="15"/>
  <c r="O214" i="15"/>
  <c r="Q214" i="15" s="1"/>
  <c r="M214" i="15"/>
  <c r="N214" i="15" s="1"/>
  <c r="K214" i="15"/>
  <c r="P213" i="15"/>
  <c r="O213" i="15"/>
  <c r="Q213" i="15" s="1"/>
  <c r="K213" i="15"/>
  <c r="Q212" i="15"/>
  <c r="P212" i="15"/>
  <c r="O212" i="15"/>
  <c r="K212" i="15"/>
  <c r="P211" i="15"/>
  <c r="O211" i="15"/>
  <c r="Q211" i="15" s="1"/>
  <c r="K211" i="15"/>
  <c r="Q210" i="15"/>
  <c r="P210" i="15"/>
  <c r="O210" i="15"/>
  <c r="K210" i="15"/>
  <c r="P208" i="15"/>
  <c r="O208" i="15"/>
  <c r="Q208" i="15" s="1"/>
  <c r="K208" i="15"/>
  <c r="Q207" i="15"/>
  <c r="P207" i="15"/>
  <c r="O207" i="15"/>
  <c r="K207" i="15"/>
  <c r="P204" i="15"/>
  <c r="O204" i="15"/>
  <c r="Q204" i="15" s="1"/>
  <c r="K204" i="15"/>
  <c r="Q202" i="15"/>
  <c r="P202" i="15"/>
  <c r="O202" i="15"/>
  <c r="K202" i="15"/>
  <c r="P199" i="15"/>
  <c r="O199" i="15"/>
  <c r="Q199" i="15" s="1"/>
  <c r="K199" i="15"/>
  <c r="Q198" i="15"/>
  <c r="P198" i="15"/>
  <c r="O198" i="15"/>
  <c r="K198" i="15"/>
  <c r="P197" i="15"/>
  <c r="O197" i="15"/>
  <c r="Q197" i="15" s="1"/>
  <c r="K197" i="15"/>
  <c r="Q195" i="15"/>
  <c r="P195" i="15"/>
  <c r="O195" i="15"/>
  <c r="K195" i="15"/>
  <c r="P194" i="15"/>
  <c r="O194" i="15"/>
  <c r="Q194" i="15" s="1"/>
  <c r="K194" i="15"/>
  <c r="Q192" i="15"/>
  <c r="P192" i="15"/>
  <c r="O192" i="15"/>
  <c r="K192" i="15"/>
  <c r="P190" i="15"/>
  <c r="O190" i="15"/>
  <c r="Q190" i="15" s="1"/>
  <c r="K190" i="15"/>
  <c r="Q189" i="15"/>
  <c r="P189" i="15"/>
  <c r="O189" i="15"/>
  <c r="K189" i="15"/>
  <c r="P188" i="15"/>
  <c r="O188" i="15"/>
  <c r="Q188" i="15" s="1"/>
  <c r="K188" i="15"/>
  <c r="Q187" i="15"/>
  <c r="P187" i="15"/>
  <c r="O187" i="15"/>
  <c r="K187" i="15"/>
  <c r="O186" i="15"/>
  <c r="M186" i="15"/>
  <c r="P186" i="15" s="1"/>
  <c r="K186" i="15"/>
  <c r="O185" i="15"/>
  <c r="M185" i="15"/>
  <c r="K185" i="15"/>
  <c r="Q184" i="15"/>
  <c r="O184" i="15"/>
  <c r="N184" i="15"/>
  <c r="M184" i="15"/>
  <c r="P184" i="15" s="1"/>
  <c r="K184" i="15"/>
  <c r="P182" i="15"/>
  <c r="O182" i="15"/>
  <c r="Q182" i="15" s="1"/>
  <c r="M182" i="15"/>
  <c r="N182" i="15" s="1"/>
  <c r="K182" i="15"/>
  <c r="P181" i="15"/>
  <c r="O181" i="15"/>
  <c r="Q181" i="15" s="1"/>
  <c r="K181" i="15"/>
  <c r="Q179" i="15"/>
  <c r="P179" i="15"/>
  <c r="O179" i="15"/>
  <c r="K179" i="15"/>
  <c r="P177" i="15"/>
  <c r="O177" i="15"/>
  <c r="Q177" i="15" s="1"/>
  <c r="K177" i="15"/>
  <c r="Q176" i="15"/>
  <c r="P176" i="15"/>
  <c r="O176" i="15"/>
  <c r="K176" i="15"/>
  <c r="O175" i="15"/>
  <c r="Q175" i="15" s="1"/>
  <c r="M175" i="15"/>
  <c r="P175" i="15" s="1"/>
  <c r="K175" i="15"/>
  <c r="P174" i="15"/>
  <c r="O174" i="15"/>
  <c r="Q174" i="15" s="1"/>
  <c r="K174" i="15"/>
  <c r="P173" i="15"/>
  <c r="Q173" i="15" s="1"/>
  <c r="O173" i="15"/>
  <c r="M173" i="15"/>
  <c r="N173" i="15" s="1"/>
  <c r="K173" i="15"/>
  <c r="O172" i="15"/>
  <c r="M172" i="15"/>
  <c r="P172" i="15" s="1"/>
  <c r="K172" i="15"/>
  <c r="P170" i="15"/>
  <c r="O170" i="15"/>
  <c r="Q170" i="15" s="1"/>
  <c r="K170" i="15"/>
  <c r="P169" i="15"/>
  <c r="Q169" i="15" s="1"/>
  <c r="O169" i="15"/>
  <c r="K169" i="15"/>
  <c r="P166" i="15"/>
  <c r="O166" i="15"/>
  <c r="Q166" i="15" s="1"/>
  <c r="K166" i="15"/>
  <c r="P165" i="15"/>
  <c r="O165" i="15"/>
  <c r="Q165" i="15" s="1"/>
  <c r="K165" i="15"/>
  <c r="P164" i="15"/>
  <c r="O164" i="15"/>
  <c r="Q164" i="15" s="1"/>
  <c r="K164" i="15"/>
  <c r="P162" i="15"/>
  <c r="O162" i="15"/>
  <c r="Q162" i="15" s="1"/>
  <c r="K162" i="15"/>
  <c r="P161" i="15"/>
  <c r="O161" i="15"/>
  <c r="Q161" i="15" s="1"/>
  <c r="K161" i="15"/>
  <c r="Q160" i="15"/>
  <c r="P160" i="15"/>
  <c r="O160" i="15"/>
  <c r="K160" i="15"/>
  <c r="O158" i="15"/>
  <c r="M158" i="15"/>
  <c r="K158" i="15"/>
  <c r="Q157" i="15"/>
  <c r="P157" i="15"/>
  <c r="O157" i="15"/>
  <c r="K157" i="15"/>
  <c r="P156" i="15"/>
  <c r="O156" i="15"/>
  <c r="Q156" i="15" s="1"/>
  <c r="K156" i="15"/>
  <c r="Q154" i="15"/>
  <c r="P154" i="15"/>
  <c r="O154" i="15"/>
  <c r="K154" i="15"/>
  <c r="O153" i="15"/>
  <c r="M153" i="15"/>
  <c r="P153" i="15" s="1"/>
  <c r="K153" i="15"/>
  <c r="P151" i="15"/>
  <c r="O151" i="15"/>
  <c r="Q151" i="15" s="1"/>
  <c r="K151" i="15"/>
  <c r="P150" i="15"/>
  <c r="O150" i="15"/>
  <c r="Q150" i="15" s="1"/>
  <c r="K150" i="15"/>
  <c r="P148" i="15"/>
  <c r="O148" i="15"/>
  <c r="Q148" i="15" s="1"/>
  <c r="K148" i="15"/>
  <c r="Q147" i="15"/>
  <c r="P147" i="15"/>
  <c r="O147" i="15"/>
  <c r="K147" i="15"/>
  <c r="P146" i="15"/>
  <c r="O146" i="15"/>
  <c r="Q146" i="15" s="1"/>
  <c r="K146" i="15"/>
  <c r="P142" i="15"/>
  <c r="Q142" i="15" s="1"/>
  <c r="O142" i="15"/>
  <c r="K142" i="15"/>
  <c r="P141" i="15"/>
  <c r="O141" i="15"/>
  <c r="Q141" i="15" s="1"/>
  <c r="K141" i="15"/>
  <c r="P140" i="15"/>
  <c r="O140" i="15"/>
  <c r="Q140" i="15" s="1"/>
  <c r="K140" i="15"/>
  <c r="P137" i="15"/>
  <c r="O137" i="15"/>
  <c r="Q137" i="15" s="1"/>
  <c r="K137" i="15"/>
  <c r="P134" i="15"/>
  <c r="O134" i="15"/>
  <c r="Q134" i="15" s="1"/>
  <c r="K134" i="15"/>
  <c r="P132" i="15"/>
  <c r="O132" i="15"/>
  <c r="Q132" i="15" s="1"/>
  <c r="K132" i="15"/>
  <c r="P130" i="15"/>
  <c r="O130" i="15"/>
  <c r="Q130" i="15" s="1"/>
  <c r="K130" i="15"/>
  <c r="O128" i="15"/>
  <c r="M128" i="15"/>
  <c r="K128" i="15"/>
  <c r="Q124" i="15"/>
  <c r="P124" i="15"/>
  <c r="O124" i="15"/>
  <c r="K124" i="15"/>
  <c r="P123" i="15"/>
  <c r="O123" i="15"/>
  <c r="Q123" i="15" s="1"/>
  <c r="K123" i="15"/>
  <c r="Q120" i="15"/>
  <c r="P120" i="15"/>
  <c r="O120" i="15"/>
  <c r="K120" i="15"/>
  <c r="P118" i="15"/>
  <c r="O118" i="15"/>
  <c r="Q118" i="15" s="1"/>
  <c r="K118" i="15"/>
  <c r="Q116" i="15"/>
  <c r="P116" i="15"/>
  <c r="O116" i="15"/>
  <c r="K116" i="15"/>
  <c r="O113" i="15"/>
  <c r="M113" i="15"/>
  <c r="P113" i="15" s="1"/>
  <c r="K113" i="15"/>
  <c r="P111" i="15"/>
  <c r="O111" i="15"/>
  <c r="Q111" i="15" s="1"/>
  <c r="K111" i="15"/>
  <c r="P109" i="15"/>
  <c r="O109" i="15"/>
  <c r="Q109" i="15" s="1"/>
  <c r="K109" i="15"/>
  <c r="P108" i="15"/>
  <c r="O108" i="15"/>
  <c r="Q108" i="15" s="1"/>
  <c r="K108" i="15"/>
  <c r="P107" i="15"/>
  <c r="Q107" i="15" s="1"/>
  <c r="O107" i="15"/>
  <c r="K107" i="15"/>
  <c r="P106" i="15"/>
  <c r="O106" i="15"/>
  <c r="Q106" i="15" s="1"/>
  <c r="K106" i="15"/>
  <c r="P105" i="15"/>
  <c r="O105" i="15"/>
  <c r="Q105" i="15" s="1"/>
  <c r="N105" i="15"/>
  <c r="M105" i="15"/>
  <c r="K105" i="15"/>
  <c r="O104" i="15"/>
  <c r="Q104" i="15" s="1"/>
  <c r="M104" i="15"/>
  <c r="P104" i="15" s="1"/>
  <c r="K104" i="15"/>
  <c r="M103" i="15"/>
  <c r="P103" i="15" s="1"/>
  <c r="L103" i="15"/>
  <c r="K103" i="15"/>
  <c r="P102" i="15"/>
  <c r="O102" i="15"/>
  <c r="Q102" i="15" s="1"/>
  <c r="K102" i="15"/>
  <c r="P100" i="15"/>
  <c r="O100" i="15"/>
  <c r="Q100" i="15" s="1"/>
  <c r="K100" i="15"/>
  <c r="P99" i="15"/>
  <c r="O99" i="15"/>
  <c r="Q99" i="15" s="1"/>
  <c r="K99" i="15"/>
  <c r="P98" i="15"/>
  <c r="O98" i="15"/>
  <c r="K98" i="15"/>
  <c r="P97" i="15"/>
  <c r="O97" i="15"/>
  <c r="Q97" i="15" s="1"/>
  <c r="K97" i="15"/>
  <c r="P96" i="15"/>
  <c r="O96" i="15"/>
  <c r="Q96" i="15" s="1"/>
  <c r="N96" i="15"/>
  <c r="M96" i="15"/>
  <c r="K96" i="15"/>
  <c r="O95" i="15"/>
  <c r="N95" i="15"/>
  <c r="M95" i="15"/>
  <c r="P95" i="15" s="1"/>
  <c r="Q95" i="15" s="1"/>
  <c r="K95" i="15"/>
  <c r="P94" i="15"/>
  <c r="O94" i="15"/>
  <c r="Q94" i="15" s="1"/>
  <c r="K94" i="15"/>
  <c r="P92" i="15"/>
  <c r="O92" i="15"/>
  <c r="Q92" i="15" s="1"/>
  <c r="K92" i="15"/>
  <c r="P90" i="15"/>
  <c r="O90" i="15"/>
  <c r="Q90" i="15" s="1"/>
  <c r="K90" i="15"/>
  <c r="P89" i="15"/>
  <c r="O89" i="15"/>
  <c r="K89" i="15"/>
  <c r="P87" i="15"/>
  <c r="O87" i="15"/>
  <c r="Q87" i="15" s="1"/>
  <c r="K87" i="15"/>
  <c r="P83" i="15"/>
  <c r="O83" i="15"/>
  <c r="Q83" i="15" s="1"/>
  <c r="K83" i="15"/>
  <c r="P79" i="15"/>
  <c r="O79" i="15"/>
  <c r="Q79" i="15" s="1"/>
  <c r="K79" i="15"/>
  <c r="P78" i="15"/>
  <c r="O78" i="15"/>
  <c r="K78" i="15"/>
  <c r="P77" i="15"/>
  <c r="O77" i="15"/>
  <c r="Q77" i="15" s="1"/>
  <c r="K77" i="15"/>
  <c r="P76" i="15"/>
  <c r="O76" i="15"/>
  <c r="Q76" i="15" s="1"/>
  <c r="K76" i="15"/>
  <c r="P75" i="15"/>
  <c r="O75" i="15"/>
  <c r="Q75" i="15" s="1"/>
  <c r="K75" i="15"/>
  <c r="P74" i="15"/>
  <c r="O74" i="15"/>
  <c r="K74" i="15"/>
  <c r="P73" i="15"/>
  <c r="O73" i="15"/>
  <c r="Q73" i="15" s="1"/>
  <c r="K73" i="15"/>
  <c r="P71" i="15"/>
  <c r="O71" i="15"/>
  <c r="Q71" i="15" s="1"/>
  <c r="K71" i="15"/>
  <c r="P66" i="15"/>
  <c r="O66" i="15"/>
  <c r="Q66" i="15" s="1"/>
  <c r="K66" i="15"/>
  <c r="P63" i="15"/>
  <c r="O63" i="15"/>
  <c r="K63" i="15"/>
  <c r="P61" i="15"/>
  <c r="O61" i="15"/>
  <c r="Q61" i="15" s="1"/>
  <c r="K61" i="15"/>
  <c r="P60" i="15"/>
  <c r="O60" i="15"/>
  <c r="Q60" i="15" s="1"/>
  <c r="K60" i="15"/>
  <c r="P58" i="15"/>
  <c r="O58" i="15"/>
  <c r="Q58" i="15" s="1"/>
  <c r="K58" i="15"/>
  <c r="P56" i="15"/>
  <c r="O56" i="15"/>
  <c r="K56" i="15"/>
  <c r="P55" i="15"/>
  <c r="O55" i="15"/>
  <c r="Q55" i="15" s="1"/>
  <c r="K55" i="15"/>
  <c r="P52" i="15"/>
  <c r="O52" i="15"/>
  <c r="Q52" i="15" s="1"/>
  <c r="K52" i="15"/>
  <c r="P50" i="15"/>
  <c r="O50" i="15"/>
  <c r="Q50" i="15" s="1"/>
  <c r="K50" i="15"/>
  <c r="P49" i="15"/>
  <c r="O49" i="15"/>
  <c r="K49" i="15"/>
  <c r="P48" i="15"/>
  <c r="O48" i="15"/>
  <c r="Q48" i="15" s="1"/>
  <c r="K48" i="15"/>
  <c r="P45" i="15"/>
  <c r="O45" i="15"/>
  <c r="Q45" i="15" s="1"/>
  <c r="K45" i="15"/>
  <c r="P44" i="15"/>
  <c r="O44" i="15"/>
  <c r="Q44" i="15" s="1"/>
  <c r="K44" i="15"/>
  <c r="P41" i="15"/>
  <c r="O41" i="15"/>
  <c r="K41" i="15"/>
  <c r="P38" i="15"/>
  <c r="O38" i="15"/>
  <c r="Q38" i="15" s="1"/>
  <c r="K38" i="15"/>
  <c r="P34" i="15"/>
  <c r="O34" i="15"/>
  <c r="Q34" i="15" s="1"/>
  <c r="K34" i="15"/>
  <c r="P33" i="15"/>
  <c r="O33" i="15"/>
  <c r="Q33" i="15" s="1"/>
  <c r="K33" i="15"/>
  <c r="P31" i="15"/>
  <c r="O31" i="15"/>
  <c r="K31" i="15"/>
  <c r="N25" i="15"/>
  <c r="K25" i="15"/>
  <c r="P24" i="15"/>
  <c r="O24" i="15"/>
  <c r="Q24" i="15" s="1"/>
  <c r="K24" i="15"/>
  <c r="Q23" i="15"/>
  <c r="P23" i="15"/>
  <c r="O23" i="15"/>
  <c r="K23" i="15"/>
  <c r="Q21" i="15"/>
  <c r="P21" i="15"/>
  <c r="O21" i="15"/>
  <c r="K21" i="15"/>
  <c r="Q20" i="15"/>
  <c r="P20" i="15"/>
  <c r="O20" i="15"/>
  <c r="K20" i="15"/>
  <c r="Q19" i="15"/>
  <c r="P19" i="15"/>
  <c r="O19" i="15"/>
  <c r="K19" i="15"/>
  <c r="Q18" i="15"/>
  <c r="P18" i="15"/>
  <c r="O18" i="15"/>
  <c r="K18" i="15"/>
  <c r="Q16" i="15"/>
  <c r="P16" i="15"/>
  <c r="O16" i="15"/>
  <c r="K16" i="15"/>
  <c r="Q13" i="15"/>
  <c r="P13" i="15"/>
  <c r="O13" i="15"/>
  <c r="K13" i="15"/>
  <c r="Q12" i="15"/>
  <c r="P12" i="15"/>
  <c r="O12" i="15"/>
  <c r="K12" i="15"/>
  <c r="Q638" i="15" l="1"/>
  <c r="Q760" i="15"/>
  <c r="Q520" i="15"/>
  <c r="K761" i="15"/>
  <c r="K762" i="15" s="1"/>
  <c r="P185" i="15"/>
  <c r="N185" i="15"/>
  <c r="Q31" i="15"/>
  <c r="Q49" i="15"/>
  <c r="Q63" i="15"/>
  <c r="Q78" i="15"/>
  <c r="O103" i="15"/>
  <c r="Q103" i="15" s="1"/>
  <c r="N103" i="15"/>
  <c r="Q113" i="15"/>
  <c r="P158" i="15"/>
  <c r="N158" i="15"/>
  <c r="N172" i="15"/>
  <c r="Q185" i="15"/>
  <c r="N638" i="15"/>
  <c r="N652" i="15"/>
  <c r="Q128" i="15"/>
  <c r="N153" i="15"/>
  <c r="Q25" i="15"/>
  <c r="N113" i="15"/>
  <c r="Q158" i="15"/>
  <c r="Q172" i="15"/>
  <c r="Q153" i="15"/>
  <c r="N186" i="15"/>
  <c r="P282" i="15"/>
  <c r="N282" i="15"/>
  <c r="Q451" i="15"/>
  <c r="Q652" i="15"/>
  <c r="Q41" i="15"/>
  <c r="Q56" i="15"/>
  <c r="Q74" i="15"/>
  <c r="Q89" i="15"/>
  <c r="Q98" i="15"/>
  <c r="N104" i="15"/>
  <c r="P128" i="15"/>
  <c r="N128" i="15"/>
  <c r="N175" i="15"/>
  <c r="Q186" i="15"/>
  <c r="Q282" i="15"/>
  <c r="Q668" i="15"/>
  <c r="Q675" i="15" s="1"/>
  <c r="N216" i="15"/>
  <c r="N298" i="15"/>
  <c r="N334" i="15"/>
  <c r="Q761" i="15" l="1"/>
  <c r="Q762" i="15" s="1"/>
  <c r="N764" i="15" s="1"/>
  <c r="N761" i="15"/>
  <c r="N762" i="15" s="1"/>
  <c r="Q7" i="13" l="1"/>
  <c r="S7" i="13" s="1"/>
  <c r="Q8" i="13"/>
  <c r="S8" i="13" s="1"/>
  <c r="Q9" i="13"/>
  <c r="S9" i="13" s="1"/>
  <c r="Q10" i="13"/>
  <c r="Q6" i="13"/>
  <c r="S6" i="13" s="1"/>
  <c r="S10" i="13"/>
  <c r="F418" i="11"/>
  <c r="F425" i="11" s="1"/>
  <c r="F432" i="11" s="1"/>
  <c r="F439" i="11" s="1"/>
  <c r="F446" i="11" s="1"/>
  <c r="F453" i="11" s="1"/>
  <c r="F460" i="11" s="1"/>
  <c r="F467" i="11" s="1"/>
  <c r="F474" i="11" s="1"/>
  <c r="F481" i="11" s="1"/>
  <c r="F488" i="11" s="1"/>
  <c r="F495" i="11" s="1"/>
  <c r="F502" i="11" s="1"/>
  <c r="F509" i="11" s="1"/>
  <c r="F516" i="11" s="1"/>
  <c r="F523" i="11" s="1"/>
  <c r="F530" i="11" s="1"/>
  <c r="F537" i="11" s="1"/>
  <c r="F544" i="11" s="1"/>
  <c r="F551" i="11" s="1"/>
  <c r="F558" i="11" s="1"/>
  <c r="F565" i="11" s="1"/>
  <c r="F572" i="11" s="1"/>
  <c r="F579" i="11" s="1"/>
  <c r="F586" i="11" s="1"/>
  <c r="F593" i="11" s="1"/>
  <c r="F600" i="11" s="1"/>
  <c r="F607" i="11" s="1"/>
  <c r="F614" i="11" s="1"/>
  <c r="F621" i="11" s="1"/>
  <c r="F628" i="11" s="1"/>
  <c r="F635" i="11" s="1"/>
  <c r="F642" i="11" s="1"/>
  <c r="F649" i="11" s="1"/>
  <c r="F656" i="11" s="1"/>
  <c r="F663" i="11" s="1"/>
  <c r="F670" i="11" s="1"/>
  <c r="F677" i="11" s="1"/>
  <c r="F684" i="11" s="1"/>
  <c r="F691" i="11" s="1"/>
  <c r="F698" i="11" s="1"/>
  <c r="F705" i="11" s="1"/>
  <c r="F712" i="11" s="1"/>
  <c r="F719" i="11" s="1"/>
  <c r="F726" i="11" s="1"/>
  <c r="F733" i="11" s="1"/>
  <c r="F740" i="11" s="1"/>
  <c r="F747" i="11" s="1"/>
  <c r="F754" i="11" s="1"/>
  <c r="F761" i="11" s="1"/>
  <c r="F414" i="11"/>
  <c r="F421" i="11" s="1"/>
  <c r="F428" i="11" s="1"/>
  <c r="F435" i="11" s="1"/>
  <c r="F442" i="11" s="1"/>
  <c r="F449" i="11" s="1"/>
  <c r="F456" i="11" s="1"/>
  <c r="F463" i="11" s="1"/>
  <c r="F470" i="11" s="1"/>
  <c r="F477" i="11" s="1"/>
  <c r="F484" i="11" s="1"/>
  <c r="F491" i="11" s="1"/>
  <c r="F498" i="11" s="1"/>
  <c r="F505" i="11" s="1"/>
  <c r="F512" i="11" s="1"/>
  <c r="F519" i="11" s="1"/>
  <c r="F526" i="11" s="1"/>
  <c r="F533" i="11" s="1"/>
  <c r="F540" i="11" s="1"/>
  <c r="F547" i="11" s="1"/>
  <c r="F554" i="11" s="1"/>
  <c r="F561" i="11" s="1"/>
  <c r="F568" i="11" s="1"/>
  <c r="F575" i="11" s="1"/>
  <c r="F582" i="11" s="1"/>
  <c r="F589" i="11" s="1"/>
  <c r="F596" i="11" s="1"/>
  <c r="F603" i="11" s="1"/>
  <c r="F610" i="11" s="1"/>
  <c r="F617" i="11" s="1"/>
  <c r="F624" i="11" s="1"/>
  <c r="F631" i="11" s="1"/>
  <c r="F638" i="11" s="1"/>
  <c r="F645" i="11" s="1"/>
  <c r="F652" i="11" s="1"/>
  <c r="F659" i="11" s="1"/>
  <c r="F666" i="11" s="1"/>
  <c r="F673" i="11" s="1"/>
  <c r="F680" i="11" s="1"/>
  <c r="F687" i="11" s="1"/>
  <c r="F694" i="11" s="1"/>
  <c r="F701" i="11" s="1"/>
  <c r="F708" i="11" s="1"/>
  <c r="F715" i="11" s="1"/>
  <c r="F722" i="11" s="1"/>
  <c r="F729" i="11" s="1"/>
  <c r="F736" i="11" s="1"/>
  <c r="F743" i="11" s="1"/>
  <c r="F750" i="11" s="1"/>
  <c r="F757" i="11" s="1"/>
  <c r="F764" i="11" s="1"/>
  <c r="F413" i="11"/>
  <c r="F420" i="11" s="1"/>
  <c r="F427" i="11" s="1"/>
  <c r="F434" i="11" s="1"/>
  <c r="F441" i="11" s="1"/>
  <c r="F448" i="11" s="1"/>
  <c r="F455" i="11" s="1"/>
  <c r="F462" i="11" s="1"/>
  <c r="F469" i="11" s="1"/>
  <c r="F476" i="11" s="1"/>
  <c r="F483" i="11" s="1"/>
  <c r="F490" i="11" s="1"/>
  <c r="F497" i="11" s="1"/>
  <c r="F504" i="11" s="1"/>
  <c r="F511" i="11" s="1"/>
  <c r="F518" i="11" s="1"/>
  <c r="F525" i="11" s="1"/>
  <c r="F532" i="11" s="1"/>
  <c r="F539" i="11" s="1"/>
  <c r="F546" i="11" s="1"/>
  <c r="F553" i="11" s="1"/>
  <c r="F560" i="11" s="1"/>
  <c r="F567" i="11" s="1"/>
  <c r="F574" i="11" s="1"/>
  <c r="F581" i="11" s="1"/>
  <c r="F588" i="11" s="1"/>
  <c r="F595" i="11" s="1"/>
  <c r="F602" i="11" s="1"/>
  <c r="F609" i="11" s="1"/>
  <c r="F616" i="11" s="1"/>
  <c r="F623" i="11" s="1"/>
  <c r="F630" i="11" s="1"/>
  <c r="F637" i="11" s="1"/>
  <c r="F644" i="11" s="1"/>
  <c r="F651" i="11" s="1"/>
  <c r="F658" i="11" s="1"/>
  <c r="F665" i="11" s="1"/>
  <c r="F672" i="11" s="1"/>
  <c r="F679" i="11" s="1"/>
  <c r="F686" i="11" s="1"/>
  <c r="F693" i="11" s="1"/>
  <c r="F700" i="11" s="1"/>
  <c r="F707" i="11" s="1"/>
  <c r="F714" i="11" s="1"/>
  <c r="F721" i="11" s="1"/>
  <c r="F728" i="11" s="1"/>
  <c r="F735" i="11" s="1"/>
  <c r="F742" i="11" s="1"/>
  <c r="F749" i="11" s="1"/>
  <c r="F756" i="11" s="1"/>
  <c r="F763" i="11" s="1"/>
  <c r="F412" i="11"/>
  <c r="F419" i="11" s="1"/>
  <c r="F426" i="11" s="1"/>
  <c r="F433" i="11" s="1"/>
  <c r="F440" i="11" s="1"/>
  <c r="F447" i="11" s="1"/>
  <c r="F454" i="11" s="1"/>
  <c r="F461" i="11" s="1"/>
  <c r="F468" i="11" s="1"/>
  <c r="F475" i="11" s="1"/>
  <c r="F482" i="11" s="1"/>
  <c r="F489" i="11" s="1"/>
  <c r="F496" i="11" s="1"/>
  <c r="F503" i="11" s="1"/>
  <c r="F510" i="11" s="1"/>
  <c r="F517" i="11" s="1"/>
  <c r="F524" i="11" s="1"/>
  <c r="F531" i="11" s="1"/>
  <c r="F538" i="11" s="1"/>
  <c r="F545" i="11" s="1"/>
  <c r="F552" i="11" s="1"/>
  <c r="F559" i="11" s="1"/>
  <c r="F566" i="11" s="1"/>
  <c r="F573" i="11" s="1"/>
  <c r="F580" i="11" s="1"/>
  <c r="F587" i="11" s="1"/>
  <c r="F594" i="11" s="1"/>
  <c r="F601" i="11" s="1"/>
  <c r="F608" i="11" s="1"/>
  <c r="F615" i="11" s="1"/>
  <c r="F622" i="11" s="1"/>
  <c r="F629" i="11" s="1"/>
  <c r="F636" i="11" s="1"/>
  <c r="F643" i="11" s="1"/>
  <c r="F650" i="11" s="1"/>
  <c r="F657" i="11" s="1"/>
  <c r="F664" i="11" s="1"/>
  <c r="F671" i="11" s="1"/>
  <c r="F678" i="11" s="1"/>
  <c r="F685" i="11" s="1"/>
  <c r="F692" i="11" s="1"/>
  <c r="F699" i="11" s="1"/>
  <c r="F706" i="11" s="1"/>
  <c r="F713" i="11" s="1"/>
  <c r="F720" i="11" s="1"/>
  <c r="F727" i="11" s="1"/>
  <c r="F734" i="11" s="1"/>
  <c r="F741" i="11" s="1"/>
  <c r="F748" i="11" s="1"/>
  <c r="F755" i="11" s="1"/>
  <c r="F762" i="11" s="1"/>
  <c r="F411" i="11"/>
  <c r="F410" i="11"/>
  <c r="F417" i="11" s="1"/>
  <c r="F424" i="11" s="1"/>
  <c r="F431" i="11" s="1"/>
  <c r="F438" i="11" s="1"/>
  <c r="F445" i="11" s="1"/>
  <c r="F452" i="11" s="1"/>
  <c r="F459" i="11" s="1"/>
  <c r="F466" i="11" s="1"/>
  <c r="F473" i="11" s="1"/>
  <c r="F480" i="11" s="1"/>
  <c r="F487" i="11" s="1"/>
  <c r="F494" i="11" s="1"/>
  <c r="F501" i="11" s="1"/>
  <c r="F508" i="11" s="1"/>
  <c r="F515" i="11" s="1"/>
  <c r="F522" i="11" s="1"/>
  <c r="F529" i="11" s="1"/>
  <c r="F536" i="11" s="1"/>
  <c r="F543" i="11" s="1"/>
  <c r="F550" i="11" s="1"/>
  <c r="F557" i="11" s="1"/>
  <c r="F564" i="11" s="1"/>
  <c r="F571" i="11" s="1"/>
  <c r="F578" i="11" s="1"/>
  <c r="F585" i="11" s="1"/>
  <c r="F592" i="11" s="1"/>
  <c r="F599" i="11" s="1"/>
  <c r="F606" i="11" s="1"/>
  <c r="F613" i="11" s="1"/>
  <c r="F620" i="11" s="1"/>
  <c r="F627" i="11" s="1"/>
  <c r="F634" i="11" s="1"/>
  <c r="F641" i="11" s="1"/>
  <c r="F648" i="11" s="1"/>
  <c r="F655" i="11" s="1"/>
  <c r="F662" i="11" s="1"/>
  <c r="F669" i="11" s="1"/>
  <c r="F676" i="11" s="1"/>
  <c r="F683" i="11" s="1"/>
  <c r="F690" i="11" s="1"/>
  <c r="F697" i="11" s="1"/>
  <c r="F704" i="11" s="1"/>
  <c r="F711" i="11" s="1"/>
  <c r="F718" i="11" s="1"/>
  <c r="F725" i="11" s="1"/>
  <c r="F732" i="11" s="1"/>
  <c r="F739" i="11" s="1"/>
  <c r="F746" i="11" s="1"/>
  <c r="F753" i="11" s="1"/>
  <c r="F760" i="11" s="1"/>
  <c r="F409" i="11"/>
  <c r="F416" i="11" s="1"/>
  <c r="F423" i="11" s="1"/>
  <c r="F430" i="11" s="1"/>
  <c r="F437" i="11" s="1"/>
  <c r="F444" i="11" s="1"/>
  <c r="F451" i="11" s="1"/>
  <c r="F458" i="11" s="1"/>
  <c r="F465" i="11" s="1"/>
  <c r="F472" i="11" s="1"/>
  <c r="F479" i="11" s="1"/>
  <c r="F486" i="11" s="1"/>
  <c r="F493" i="11" s="1"/>
  <c r="F500" i="11" s="1"/>
  <c r="F507" i="11" s="1"/>
  <c r="F514" i="11" s="1"/>
  <c r="F521" i="11" s="1"/>
  <c r="F528" i="11" s="1"/>
  <c r="F535" i="11" s="1"/>
  <c r="F542" i="11" s="1"/>
  <c r="F549" i="11" s="1"/>
  <c r="F556" i="11" s="1"/>
  <c r="F563" i="11" s="1"/>
  <c r="F570" i="11" s="1"/>
  <c r="F577" i="11" s="1"/>
  <c r="F584" i="11" s="1"/>
  <c r="F591" i="11" s="1"/>
  <c r="F598" i="11" s="1"/>
  <c r="F605" i="11" s="1"/>
  <c r="F612" i="11" s="1"/>
  <c r="F619" i="11" s="1"/>
  <c r="F626" i="11" s="1"/>
  <c r="F633" i="11" s="1"/>
  <c r="F640" i="11" s="1"/>
  <c r="F647" i="11" s="1"/>
  <c r="F654" i="11" s="1"/>
  <c r="F661" i="11" s="1"/>
  <c r="F668" i="11" s="1"/>
  <c r="F675" i="11" s="1"/>
  <c r="F682" i="11" s="1"/>
  <c r="F689" i="11" s="1"/>
  <c r="F696" i="11" s="1"/>
  <c r="F703" i="11" s="1"/>
  <c r="F710" i="11" s="1"/>
  <c r="F717" i="11" s="1"/>
  <c r="F724" i="11" s="1"/>
  <c r="F731" i="11" s="1"/>
  <c r="F738" i="11" s="1"/>
  <c r="F745" i="11" s="1"/>
  <c r="F752" i="11" s="1"/>
  <c r="F759" i="11" s="1"/>
  <c r="F408" i="11"/>
  <c r="F415" i="11" s="1"/>
  <c r="F422" i="11" s="1"/>
  <c r="F429" i="11" s="1"/>
  <c r="F436" i="11" s="1"/>
  <c r="F443" i="11" s="1"/>
  <c r="F450" i="11" s="1"/>
  <c r="F457" i="11" s="1"/>
  <c r="F464" i="11" s="1"/>
  <c r="F471" i="11" s="1"/>
  <c r="F478" i="11" s="1"/>
  <c r="F485" i="11" s="1"/>
  <c r="F492" i="11" s="1"/>
  <c r="F499" i="11" s="1"/>
  <c r="F506" i="11" s="1"/>
  <c r="F513" i="11" s="1"/>
  <c r="F520" i="11" s="1"/>
  <c r="F527" i="11" s="1"/>
  <c r="F534" i="11" s="1"/>
  <c r="F541" i="11" s="1"/>
  <c r="F548" i="11" s="1"/>
  <c r="F555" i="11" s="1"/>
  <c r="F562" i="11" s="1"/>
  <c r="F569" i="11" s="1"/>
  <c r="F576" i="11" s="1"/>
  <c r="F583" i="11" s="1"/>
  <c r="F590" i="11" s="1"/>
  <c r="F597" i="11" s="1"/>
  <c r="F604" i="11" s="1"/>
  <c r="F611" i="11" s="1"/>
  <c r="F618" i="11" s="1"/>
  <c r="F625" i="11" s="1"/>
  <c r="F632" i="11" s="1"/>
  <c r="F639" i="11" s="1"/>
  <c r="F646" i="11" s="1"/>
  <c r="F653" i="11" s="1"/>
  <c r="F660" i="11" s="1"/>
  <c r="F667" i="11" s="1"/>
  <c r="F674" i="11" s="1"/>
  <c r="F681" i="11" s="1"/>
  <c r="F688" i="11" s="1"/>
  <c r="F695" i="11" s="1"/>
  <c r="F702" i="11" s="1"/>
  <c r="F709" i="11" s="1"/>
  <c r="F716" i="11" s="1"/>
  <c r="F723" i="11" s="1"/>
  <c r="F730" i="11" s="1"/>
  <c r="F737" i="11" s="1"/>
  <c r="F744" i="11" s="1"/>
  <c r="F751" i="11" s="1"/>
  <c r="F758" i="11" s="1"/>
  <c r="F51" i="11"/>
  <c r="F58" i="11" s="1"/>
  <c r="F65" i="11" s="1"/>
  <c r="F72" i="11" s="1"/>
  <c r="F79" i="11" s="1"/>
  <c r="F86" i="11" s="1"/>
  <c r="F93" i="11" s="1"/>
  <c r="F100" i="11" s="1"/>
  <c r="F107" i="11" s="1"/>
  <c r="F114" i="11" s="1"/>
  <c r="F121" i="11" s="1"/>
  <c r="F128" i="11" s="1"/>
  <c r="F135" i="11" s="1"/>
  <c r="F142" i="11" s="1"/>
  <c r="F149" i="11" s="1"/>
  <c r="F156" i="11" s="1"/>
  <c r="F163" i="11" s="1"/>
  <c r="F170" i="11" s="1"/>
  <c r="F177" i="11" s="1"/>
  <c r="F184" i="11" s="1"/>
  <c r="F191" i="11" s="1"/>
  <c r="F198" i="11" s="1"/>
  <c r="F205" i="11" s="1"/>
  <c r="F212" i="11" s="1"/>
  <c r="F219" i="11" s="1"/>
  <c r="F226" i="11" s="1"/>
  <c r="F233" i="11" s="1"/>
  <c r="F240" i="11" s="1"/>
  <c r="F247" i="11" s="1"/>
  <c r="F254" i="11" s="1"/>
  <c r="F261" i="11" s="1"/>
  <c r="F268" i="11" s="1"/>
  <c r="F275" i="11" s="1"/>
  <c r="F282" i="11" s="1"/>
  <c r="F289" i="11" s="1"/>
  <c r="F296" i="11" s="1"/>
  <c r="F303" i="11" s="1"/>
  <c r="F310" i="11" s="1"/>
  <c r="F317" i="11" s="1"/>
  <c r="F324" i="11" s="1"/>
  <c r="F331" i="11" s="1"/>
  <c r="F338" i="11" s="1"/>
  <c r="F345" i="11" s="1"/>
  <c r="F352" i="11" s="1"/>
  <c r="F359" i="11" s="1"/>
  <c r="F366" i="11" s="1"/>
  <c r="F373" i="11" s="1"/>
  <c r="F380" i="11" s="1"/>
  <c r="F387" i="11" s="1"/>
  <c r="F394" i="11" s="1"/>
  <c r="F50" i="11"/>
  <c r="F57" i="11" s="1"/>
  <c r="F64" i="11" s="1"/>
  <c r="F71" i="11" s="1"/>
  <c r="F78" i="11" s="1"/>
  <c r="F85" i="11" s="1"/>
  <c r="F92" i="11" s="1"/>
  <c r="F99" i="11" s="1"/>
  <c r="F106" i="11" s="1"/>
  <c r="F113" i="11" s="1"/>
  <c r="F120" i="11" s="1"/>
  <c r="F127" i="11" s="1"/>
  <c r="F134" i="11" s="1"/>
  <c r="F141" i="11" s="1"/>
  <c r="F148" i="11" s="1"/>
  <c r="F155" i="11" s="1"/>
  <c r="F162" i="11" s="1"/>
  <c r="F169" i="11" s="1"/>
  <c r="F176" i="11" s="1"/>
  <c r="F183" i="11" s="1"/>
  <c r="F190" i="11" s="1"/>
  <c r="F197" i="11" s="1"/>
  <c r="F204" i="11" s="1"/>
  <c r="F211" i="11" s="1"/>
  <c r="F218" i="11" s="1"/>
  <c r="F225" i="11" s="1"/>
  <c r="F232" i="11" s="1"/>
  <c r="F239" i="11" s="1"/>
  <c r="F246" i="11" s="1"/>
  <c r="F253" i="11" s="1"/>
  <c r="F260" i="11" s="1"/>
  <c r="F267" i="11" s="1"/>
  <c r="F274" i="11" s="1"/>
  <c r="F281" i="11" s="1"/>
  <c r="F288" i="11" s="1"/>
  <c r="F295" i="11" s="1"/>
  <c r="F302" i="11" s="1"/>
  <c r="F309" i="11" s="1"/>
  <c r="F316" i="11" s="1"/>
  <c r="F323" i="11" s="1"/>
  <c r="F330" i="11" s="1"/>
  <c r="F337" i="11" s="1"/>
  <c r="F344" i="11" s="1"/>
  <c r="F351" i="11" s="1"/>
  <c r="F358" i="11" s="1"/>
  <c r="F365" i="11" s="1"/>
  <c r="F372" i="11" s="1"/>
  <c r="F379" i="11" s="1"/>
  <c r="F386" i="11" s="1"/>
  <c r="F393" i="11" s="1"/>
  <c r="F400" i="11" s="1"/>
  <c r="F49" i="11"/>
  <c r="F56" i="11" s="1"/>
  <c r="F63" i="11" s="1"/>
  <c r="F70" i="11" s="1"/>
  <c r="F77" i="11" s="1"/>
  <c r="F84" i="11" s="1"/>
  <c r="F91" i="11" s="1"/>
  <c r="F98" i="11" s="1"/>
  <c r="F105" i="11" s="1"/>
  <c r="F112" i="11" s="1"/>
  <c r="F119" i="11" s="1"/>
  <c r="F126" i="11" s="1"/>
  <c r="F133" i="11" s="1"/>
  <c r="F140" i="11" s="1"/>
  <c r="F147" i="11" s="1"/>
  <c r="F154" i="11" s="1"/>
  <c r="F161" i="11" s="1"/>
  <c r="F168" i="11" s="1"/>
  <c r="F175" i="11" s="1"/>
  <c r="F182" i="11" s="1"/>
  <c r="F189" i="11" s="1"/>
  <c r="F196" i="11" s="1"/>
  <c r="F203" i="11" s="1"/>
  <c r="F210" i="11" s="1"/>
  <c r="F217" i="11" s="1"/>
  <c r="F224" i="11" s="1"/>
  <c r="F231" i="11" s="1"/>
  <c r="F238" i="11" s="1"/>
  <c r="F245" i="11" s="1"/>
  <c r="F252" i="11" s="1"/>
  <c r="F259" i="11" s="1"/>
  <c r="F266" i="11" s="1"/>
  <c r="F273" i="11" s="1"/>
  <c r="F280" i="11" s="1"/>
  <c r="F287" i="11" s="1"/>
  <c r="F294" i="11" s="1"/>
  <c r="F301" i="11" s="1"/>
  <c r="F308" i="11" s="1"/>
  <c r="F315" i="11" s="1"/>
  <c r="F322" i="11" s="1"/>
  <c r="F329" i="11" s="1"/>
  <c r="F336" i="11" s="1"/>
  <c r="F343" i="11" s="1"/>
  <c r="F350" i="11" s="1"/>
  <c r="F357" i="11" s="1"/>
  <c r="F364" i="11" s="1"/>
  <c r="F371" i="11" s="1"/>
  <c r="F378" i="11" s="1"/>
  <c r="F385" i="11" s="1"/>
  <c r="F392" i="11" s="1"/>
  <c r="F399" i="11" s="1"/>
  <c r="F48" i="11"/>
  <c r="F55" i="11" s="1"/>
  <c r="F62" i="11" s="1"/>
  <c r="F69" i="11" s="1"/>
  <c r="F76" i="11" s="1"/>
  <c r="F83" i="11" s="1"/>
  <c r="F90" i="11" s="1"/>
  <c r="F97" i="11" s="1"/>
  <c r="F104" i="11" s="1"/>
  <c r="F111" i="11" s="1"/>
  <c r="F118" i="11" s="1"/>
  <c r="F125" i="11" s="1"/>
  <c r="F132" i="11" s="1"/>
  <c r="F139" i="11" s="1"/>
  <c r="F146" i="11" s="1"/>
  <c r="F153" i="11" s="1"/>
  <c r="F160" i="11" s="1"/>
  <c r="F167" i="11" s="1"/>
  <c r="F174" i="11" s="1"/>
  <c r="F181" i="11" s="1"/>
  <c r="F188" i="11" s="1"/>
  <c r="F195" i="11" s="1"/>
  <c r="F202" i="11" s="1"/>
  <c r="F209" i="11" s="1"/>
  <c r="F216" i="11" s="1"/>
  <c r="F223" i="11" s="1"/>
  <c r="F230" i="11" s="1"/>
  <c r="F237" i="11" s="1"/>
  <c r="F244" i="11" s="1"/>
  <c r="F251" i="11" s="1"/>
  <c r="F258" i="11" s="1"/>
  <c r="F265" i="11" s="1"/>
  <c r="F272" i="11" s="1"/>
  <c r="F279" i="11" s="1"/>
  <c r="F286" i="11" s="1"/>
  <c r="F293" i="11" s="1"/>
  <c r="F300" i="11" s="1"/>
  <c r="F307" i="11" s="1"/>
  <c r="F314" i="11" s="1"/>
  <c r="F321" i="11" s="1"/>
  <c r="F328" i="11" s="1"/>
  <c r="F335" i="11" s="1"/>
  <c r="F342" i="11" s="1"/>
  <c r="F349" i="11" s="1"/>
  <c r="F356" i="11" s="1"/>
  <c r="F363" i="11" s="1"/>
  <c r="F370" i="11" s="1"/>
  <c r="F377" i="11" s="1"/>
  <c r="F384" i="11" s="1"/>
  <c r="F391" i="11" s="1"/>
  <c r="F398" i="11" s="1"/>
  <c r="F47" i="11"/>
  <c r="F54" i="11" s="1"/>
  <c r="F61" i="11" s="1"/>
  <c r="F68" i="11" s="1"/>
  <c r="F75" i="11" s="1"/>
  <c r="F82" i="11" s="1"/>
  <c r="F89" i="11" s="1"/>
  <c r="F96" i="11" s="1"/>
  <c r="F103" i="11" s="1"/>
  <c r="F110" i="11" s="1"/>
  <c r="F117" i="11" s="1"/>
  <c r="F124" i="11" s="1"/>
  <c r="F131" i="11" s="1"/>
  <c r="F138" i="11" s="1"/>
  <c r="F145" i="11" s="1"/>
  <c r="F152" i="11" s="1"/>
  <c r="F159" i="11" s="1"/>
  <c r="F166" i="11" s="1"/>
  <c r="F173" i="11" s="1"/>
  <c r="F180" i="11" s="1"/>
  <c r="F187" i="11" s="1"/>
  <c r="F194" i="11" s="1"/>
  <c r="F201" i="11" s="1"/>
  <c r="F208" i="11" s="1"/>
  <c r="F215" i="11" s="1"/>
  <c r="F222" i="11" s="1"/>
  <c r="F229" i="11" s="1"/>
  <c r="F236" i="11" s="1"/>
  <c r="F243" i="11" s="1"/>
  <c r="F250" i="11" s="1"/>
  <c r="F257" i="11" s="1"/>
  <c r="F264" i="11" s="1"/>
  <c r="F271" i="11" s="1"/>
  <c r="F278" i="11" s="1"/>
  <c r="F285" i="11" s="1"/>
  <c r="F292" i="11" s="1"/>
  <c r="F299" i="11" s="1"/>
  <c r="F306" i="11" s="1"/>
  <c r="F313" i="11" s="1"/>
  <c r="F320" i="11" s="1"/>
  <c r="F327" i="11" s="1"/>
  <c r="F334" i="11" s="1"/>
  <c r="F341" i="11" s="1"/>
  <c r="F348" i="11" s="1"/>
  <c r="F355" i="11" s="1"/>
  <c r="F362" i="11" s="1"/>
  <c r="F369" i="11" s="1"/>
  <c r="F376" i="11" s="1"/>
  <c r="F383" i="11" s="1"/>
  <c r="F390" i="11" s="1"/>
  <c r="F397" i="11" s="1"/>
  <c r="F46" i="11"/>
  <c r="F53" i="11" s="1"/>
  <c r="F60" i="11" s="1"/>
  <c r="F67" i="11" s="1"/>
  <c r="F74" i="11" s="1"/>
  <c r="F81" i="11" s="1"/>
  <c r="F88" i="11" s="1"/>
  <c r="F95" i="11" s="1"/>
  <c r="F102" i="11" s="1"/>
  <c r="F109" i="11" s="1"/>
  <c r="F116" i="11" s="1"/>
  <c r="F123" i="11" s="1"/>
  <c r="F130" i="11" s="1"/>
  <c r="F137" i="11" s="1"/>
  <c r="F144" i="11" s="1"/>
  <c r="F151" i="11" s="1"/>
  <c r="F158" i="11" s="1"/>
  <c r="F165" i="11" s="1"/>
  <c r="F172" i="11" s="1"/>
  <c r="F179" i="11" s="1"/>
  <c r="F186" i="11" s="1"/>
  <c r="F193" i="11" s="1"/>
  <c r="F200" i="11" s="1"/>
  <c r="F207" i="11" s="1"/>
  <c r="F214" i="11" s="1"/>
  <c r="F221" i="11" s="1"/>
  <c r="F228" i="11" s="1"/>
  <c r="F235" i="11" s="1"/>
  <c r="F242" i="11" s="1"/>
  <c r="F249" i="11" s="1"/>
  <c r="F256" i="11" s="1"/>
  <c r="F263" i="11" s="1"/>
  <c r="F270" i="11" s="1"/>
  <c r="F277" i="11" s="1"/>
  <c r="F284" i="11" s="1"/>
  <c r="F291" i="11" s="1"/>
  <c r="F298" i="11" s="1"/>
  <c r="F305" i="11" s="1"/>
  <c r="F312" i="11" s="1"/>
  <c r="F319" i="11" s="1"/>
  <c r="F326" i="11" s="1"/>
  <c r="F333" i="11" s="1"/>
  <c r="F340" i="11" s="1"/>
  <c r="F347" i="11" s="1"/>
  <c r="F354" i="11" s="1"/>
  <c r="F361" i="11" s="1"/>
  <c r="F368" i="11" s="1"/>
  <c r="F375" i="11" s="1"/>
  <c r="F382" i="11" s="1"/>
  <c r="F389" i="11" s="1"/>
  <c r="F396" i="11" s="1"/>
  <c r="F45" i="11"/>
  <c r="F52" i="11" s="1"/>
  <c r="F59" i="11" s="1"/>
  <c r="F66" i="11" s="1"/>
  <c r="F73" i="11" s="1"/>
  <c r="F80" i="11" s="1"/>
  <c r="F87" i="11" s="1"/>
  <c r="F94" i="11" s="1"/>
  <c r="F101" i="11" s="1"/>
  <c r="F108" i="11" s="1"/>
  <c r="F115" i="11" s="1"/>
  <c r="F122" i="11" s="1"/>
  <c r="F129" i="11" s="1"/>
  <c r="F136" i="11" s="1"/>
  <c r="F143" i="11" s="1"/>
  <c r="F150" i="11" s="1"/>
  <c r="F157" i="11" s="1"/>
  <c r="F164" i="11" s="1"/>
  <c r="F171" i="11" s="1"/>
  <c r="F178" i="11" s="1"/>
  <c r="F185" i="11" s="1"/>
  <c r="F192" i="11" s="1"/>
  <c r="F199" i="11" s="1"/>
  <c r="F206" i="11" s="1"/>
  <c r="F213" i="11" s="1"/>
  <c r="F220" i="11" s="1"/>
  <c r="F227" i="11" s="1"/>
  <c r="F234" i="11" s="1"/>
  <c r="F241" i="11" s="1"/>
  <c r="F248" i="11" s="1"/>
  <c r="F255" i="11" s="1"/>
  <c r="F262" i="11" s="1"/>
  <c r="F269" i="11" s="1"/>
  <c r="F276" i="11" s="1"/>
  <c r="F283" i="11" s="1"/>
  <c r="F290" i="11" s="1"/>
  <c r="F297" i="11" s="1"/>
  <c r="F304" i="11" s="1"/>
  <c r="F311" i="11" s="1"/>
  <c r="F318" i="11" s="1"/>
  <c r="F325" i="11" s="1"/>
  <c r="F332" i="11" s="1"/>
  <c r="F339" i="11" s="1"/>
  <c r="F346" i="11" s="1"/>
  <c r="F353" i="11" s="1"/>
  <c r="F360" i="11" s="1"/>
  <c r="F367" i="11" s="1"/>
  <c r="F374" i="11" s="1"/>
  <c r="F381" i="11" s="1"/>
  <c r="F388" i="11" s="1"/>
  <c r="F395" i="11" s="1"/>
  <c r="F44" i="11"/>
  <c r="F15" i="11"/>
  <c r="F22" i="11" s="1"/>
  <c r="F29" i="11" s="1"/>
  <c r="F36" i="11" s="1"/>
  <c r="E15" i="11"/>
  <c r="F14" i="11"/>
  <c r="F21" i="11" s="1"/>
  <c r="F28" i="11" s="1"/>
  <c r="F35" i="11" s="1"/>
  <c r="E14" i="11"/>
  <c r="F13" i="11"/>
  <c r="F20" i="11" s="1"/>
  <c r="F27" i="11" s="1"/>
  <c r="F34" i="11" s="1"/>
  <c r="E13" i="11"/>
  <c r="F12" i="11"/>
  <c r="F19" i="11" s="1"/>
  <c r="F26" i="11" s="1"/>
  <c r="F33" i="11" s="1"/>
  <c r="E12" i="11"/>
  <c r="E19" i="11" s="1"/>
  <c r="E26" i="11" s="1"/>
  <c r="F11" i="11"/>
  <c r="F18" i="11" s="1"/>
  <c r="F25" i="11" s="1"/>
  <c r="F32" i="11" s="1"/>
  <c r="E11" i="11"/>
  <c r="F10" i="11"/>
  <c r="F17" i="11" s="1"/>
  <c r="F24" i="11" s="1"/>
  <c r="F31" i="11" s="1"/>
  <c r="E10" i="11"/>
  <c r="E17" i="11" s="1"/>
  <c r="F9" i="11"/>
  <c r="F16" i="11" s="1"/>
  <c r="F23" i="11" s="1"/>
  <c r="F30" i="11" s="1"/>
  <c r="E9" i="11"/>
  <c r="B4" i="11"/>
  <c r="B5" i="11" s="1"/>
  <c r="B6" i="11" s="1"/>
  <c r="B7" i="11" s="1"/>
  <c r="B8" i="11" s="1"/>
  <c r="B9" i="11" s="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B86" i="11" s="1"/>
  <c r="B87" i="11" s="1"/>
  <c r="B88" i="11" s="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42" i="11" s="1"/>
  <c r="B143" i="11" s="1"/>
  <c r="B144" i="11" s="1"/>
  <c r="B145" i="11" s="1"/>
  <c r="B146" i="11" s="1"/>
  <c r="B147" i="11" s="1"/>
  <c r="B148" i="11" s="1"/>
  <c r="B149" i="11" s="1"/>
  <c r="B150" i="11" s="1"/>
  <c r="B151" i="11" s="1"/>
  <c r="B152" i="11" s="1"/>
  <c r="B153" i="11" s="1"/>
  <c r="B154" i="11" s="1"/>
  <c r="B155" i="11" s="1"/>
  <c r="B156" i="11" s="1"/>
  <c r="B157" i="11" s="1"/>
  <c r="B158" i="11" s="1"/>
  <c r="B159" i="11" s="1"/>
  <c r="B160" i="11" s="1"/>
  <c r="B161" i="11" s="1"/>
  <c r="B162" i="11" s="1"/>
  <c r="B163" i="11" s="1"/>
  <c r="B164" i="11" s="1"/>
  <c r="B165" i="11" s="1"/>
  <c r="B166" i="11" s="1"/>
  <c r="B167" i="11" s="1"/>
  <c r="B168" i="11" s="1"/>
  <c r="B169" i="11" s="1"/>
  <c r="B170" i="11" s="1"/>
  <c r="B171" i="11" s="1"/>
  <c r="B172" i="11" s="1"/>
  <c r="B173" i="11" s="1"/>
  <c r="B174" i="11" s="1"/>
  <c r="B175" i="11" s="1"/>
  <c r="B176" i="11" s="1"/>
  <c r="B177" i="11" s="1"/>
  <c r="B178" i="11" s="1"/>
  <c r="B179" i="11" s="1"/>
  <c r="B180" i="11" s="1"/>
  <c r="B181" i="11" s="1"/>
  <c r="B182" i="11" s="1"/>
  <c r="B183" i="11" s="1"/>
  <c r="B184" i="11" s="1"/>
  <c r="B185" i="11" s="1"/>
  <c r="B186" i="11" s="1"/>
  <c r="B187" i="11" s="1"/>
  <c r="B188" i="11" s="1"/>
  <c r="B189" i="11" s="1"/>
  <c r="B190" i="11" s="1"/>
  <c r="B191" i="11" s="1"/>
  <c r="B192" i="11" s="1"/>
  <c r="B193" i="11" s="1"/>
  <c r="B194" i="11" s="1"/>
  <c r="B195" i="11" s="1"/>
  <c r="B196" i="11" s="1"/>
  <c r="B197" i="11" s="1"/>
  <c r="B198" i="11" s="1"/>
  <c r="B199" i="11" s="1"/>
  <c r="B200" i="11" s="1"/>
  <c r="B201" i="11" s="1"/>
  <c r="B202" i="11" s="1"/>
  <c r="B203" i="11" s="1"/>
  <c r="B204" i="11" s="1"/>
  <c r="B205" i="11" s="1"/>
  <c r="B206" i="11" s="1"/>
  <c r="B207" i="11" s="1"/>
  <c r="B208" i="11" s="1"/>
  <c r="B209" i="11" s="1"/>
  <c r="B210" i="11" s="1"/>
  <c r="B211" i="11" s="1"/>
  <c r="B212" i="11" s="1"/>
  <c r="B213" i="11" s="1"/>
  <c r="B214" i="11" s="1"/>
  <c r="B215" i="11" s="1"/>
  <c r="B216" i="11" s="1"/>
  <c r="B217" i="11" s="1"/>
  <c r="B218" i="11" s="1"/>
  <c r="B219" i="11" s="1"/>
  <c r="B220" i="11" s="1"/>
  <c r="B221" i="11" s="1"/>
  <c r="B222" i="11" s="1"/>
  <c r="B223" i="11" s="1"/>
  <c r="B224" i="11" s="1"/>
  <c r="B225" i="11" s="1"/>
  <c r="B226" i="11" s="1"/>
  <c r="B227" i="11" s="1"/>
  <c r="B228" i="11" s="1"/>
  <c r="B229" i="11" s="1"/>
  <c r="B230" i="11" s="1"/>
  <c r="B231" i="11" s="1"/>
  <c r="B232" i="11" s="1"/>
  <c r="B233" i="11" s="1"/>
  <c r="B234" i="11" s="1"/>
  <c r="B235" i="11" s="1"/>
  <c r="B236" i="11" s="1"/>
  <c r="B237" i="11" s="1"/>
  <c r="B238" i="11" s="1"/>
  <c r="B239" i="11" s="1"/>
  <c r="B240" i="11" s="1"/>
  <c r="B241" i="11" s="1"/>
  <c r="B242" i="11" s="1"/>
  <c r="B243" i="11" s="1"/>
  <c r="B244" i="11" s="1"/>
  <c r="B245" i="11" s="1"/>
  <c r="B246" i="11" s="1"/>
  <c r="B247" i="11" s="1"/>
  <c r="B248" i="11" s="1"/>
  <c r="B249" i="11" s="1"/>
  <c r="B250" i="11" s="1"/>
  <c r="B251" i="11" s="1"/>
  <c r="B252" i="11" s="1"/>
  <c r="B253" i="11" s="1"/>
  <c r="B254" i="11" s="1"/>
  <c r="B255" i="11" s="1"/>
  <c r="B256" i="11" s="1"/>
  <c r="B257" i="11" s="1"/>
  <c r="B258" i="11" s="1"/>
  <c r="B259" i="11" s="1"/>
  <c r="B260" i="11" s="1"/>
  <c r="B261" i="11" s="1"/>
  <c r="B262" i="11" s="1"/>
  <c r="B263" i="11" s="1"/>
  <c r="B264" i="11" s="1"/>
  <c r="B265" i="11" s="1"/>
  <c r="B266" i="11" s="1"/>
  <c r="B267" i="11" s="1"/>
  <c r="B268" i="11" s="1"/>
  <c r="B269" i="11" s="1"/>
  <c r="B270" i="11" s="1"/>
  <c r="B271" i="11" s="1"/>
  <c r="B272" i="11" s="1"/>
  <c r="B273" i="11" s="1"/>
  <c r="B274" i="11" s="1"/>
  <c r="B275" i="11" s="1"/>
  <c r="B276" i="11" s="1"/>
  <c r="B277" i="11" s="1"/>
  <c r="B278" i="11" s="1"/>
  <c r="B279" i="11" s="1"/>
  <c r="B280" i="11" s="1"/>
  <c r="B281" i="11" s="1"/>
  <c r="B282" i="11" s="1"/>
  <c r="B283" i="11" s="1"/>
  <c r="B284" i="11" s="1"/>
  <c r="B285" i="11" s="1"/>
  <c r="B286" i="11" s="1"/>
  <c r="B287" i="11" s="1"/>
  <c r="B288" i="11" s="1"/>
  <c r="B289" i="11" s="1"/>
  <c r="B290" i="11" s="1"/>
  <c r="B291" i="11" s="1"/>
  <c r="B292" i="11" s="1"/>
  <c r="B293" i="11" s="1"/>
  <c r="B294" i="11" s="1"/>
  <c r="B295" i="11" s="1"/>
  <c r="B296" i="11" s="1"/>
  <c r="B297" i="11" s="1"/>
  <c r="B298" i="11" s="1"/>
  <c r="B299" i="11" s="1"/>
  <c r="B300" i="11" s="1"/>
  <c r="B301" i="11" s="1"/>
  <c r="B302" i="11" s="1"/>
  <c r="B303" i="11" s="1"/>
  <c r="B304" i="11" s="1"/>
  <c r="B305" i="11" s="1"/>
  <c r="B306" i="11" s="1"/>
  <c r="B307" i="11" s="1"/>
  <c r="B308" i="11" s="1"/>
  <c r="B309" i="11" s="1"/>
  <c r="B310" i="11" s="1"/>
  <c r="B311" i="11" s="1"/>
  <c r="B312" i="11" s="1"/>
  <c r="B313" i="11" s="1"/>
  <c r="B314" i="11" s="1"/>
  <c r="B315" i="11" s="1"/>
  <c r="B316" i="11" s="1"/>
  <c r="B317" i="11" s="1"/>
  <c r="B318" i="11" s="1"/>
  <c r="B319" i="11" s="1"/>
  <c r="B320" i="11" s="1"/>
  <c r="B321" i="11" s="1"/>
  <c r="B322" i="11" s="1"/>
  <c r="B323" i="11" s="1"/>
  <c r="B324" i="11" s="1"/>
  <c r="B325" i="11" s="1"/>
  <c r="B326" i="11" s="1"/>
  <c r="B327" i="11" s="1"/>
  <c r="B328" i="11" s="1"/>
  <c r="B329" i="11" s="1"/>
  <c r="B330" i="11" s="1"/>
  <c r="B331" i="11" s="1"/>
  <c r="B332" i="11" s="1"/>
  <c r="B333" i="11" s="1"/>
  <c r="B334" i="11" s="1"/>
  <c r="B335" i="11" s="1"/>
  <c r="B336" i="11" s="1"/>
  <c r="B337" i="11" s="1"/>
  <c r="B338" i="11" s="1"/>
  <c r="B339" i="11" s="1"/>
  <c r="B340" i="11" s="1"/>
  <c r="B341" i="11" s="1"/>
  <c r="B342" i="11" s="1"/>
  <c r="B343" i="11" s="1"/>
  <c r="B344" i="11" s="1"/>
  <c r="B345" i="11" s="1"/>
  <c r="B346" i="11" s="1"/>
  <c r="B347" i="11" s="1"/>
  <c r="B348" i="11" s="1"/>
  <c r="B349" i="11" s="1"/>
  <c r="B350" i="11" s="1"/>
  <c r="B351" i="11" s="1"/>
  <c r="B352" i="11" s="1"/>
  <c r="B353" i="11" s="1"/>
  <c r="B354" i="11" s="1"/>
  <c r="B355" i="11" s="1"/>
  <c r="B356" i="11" s="1"/>
  <c r="B357" i="11" s="1"/>
  <c r="B358" i="11" s="1"/>
  <c r="B359" i="11" s="1"/>
  <c r="B360" i="11" s="1"/>
  <c r="B361" i="11" s="1"/>
  <c r="B362" i="11" s="1"/>
  <c r="B363" i="11" s="1"/>
  <c r="B364" i="11" s="1"/>
  <c r="B365" i="11" s="1"/>
  <c r="B366" i="11" s="1"/>
  <c r="B367" i="11" s="1"/>
  <c r="B368" i="11" s="1"/>
  <c r="B369" i="11" s="1"/>
  <c r="B370" i="11" s="1"/>
  <c r="B371" i="11" s="1"/>
  <c r="B372" i="11" s="1"/>
  <c r="B373" i="11" s="1"/>
  <c r="B374" i="11" s="1"/>
  <c r="B375" i="11" s="1"/>
  <c r="B376" i="11" s="1"/>
  <c r="B377" i="11" s="1"/>
  <c r="B378" i="11" s="1"/>
  <c r="B379" i="11" s="1"/>
  <c r="B380" i="11" s="1"/>
  <c r="B381" i="11" s="1"/>
  <c r="B382" i="11" s="1"/>
  <c r="B383" i="11" s="1"/>
  <c r="B384" i="11" s="1"/>
  <c r="B385" i="11" s="1"/>
  <c r="B386" i="11" s="1"/>
  <c r="B387" i="11" s="1"/>
  <c r="B388" i="11" s="1"/>
  <c r="B389" i="11" s="1"/>
  <c r="B390" i="11" s="1"/>
  <c r="B391" i="11" s="1"/>
  <c r="B392" i="11" s="1"/>
  <c r="B393" i="11" s="1"/>
  <c r="B394" i="11" s="1"/>
  <c r="B395" i="11" s="1"/>
  <c r="B396" i="11" s="1"/>
  <c r="B397" i="11" s="1"/>
  <c r="B398" i="11" s="1"/>
  <c r="B399" i="11" s="1"/>
  <c r="B400" i="11" s="1"/>
  <c r="B401" i="11" s="1"/>
  <c r="B402" i="11" s="1"/>
  <c r="B403" i="11" s="1"/>
  <c r="B404" i="11" s="1"/>
  <c r="B405" i="11" s="1"/>
  <c r="B406" i="11" s="1"/>
  <c r="B407" i="11" s="1"/>
  <c r="B408" i="11" s="1"/>
  <c r="B409" i="11" s="1"/>
  <c r="B410" i="11" s="1"/>
  <c r="B411" i="11" s="1"/>
  <c r="B412" i="11" s="1"/>
  <c r="B413" i="11" s="1"/>
  <c r="B414" i="11" s="1"/>
  <c r="B415" i="11" s="1"/>
  <c r="B416" i="11" s="1"/>
  <c r="B417" i="11" s="1"/>
  <c r="B418" i="11" s="1"/>
  <c r="B419" i="11" s="1"/>
  <c r="B420" i="11" s="1"/>
  <c r="B421" i="11" s="1"/>
  <c r="B422" i="11" s="1"/>
  <c r="B423" i="11" s="1"/>
  <c r="B424" i="11" s="1"/>
  <c r="B425" i="11" s="1"/>
  <c r="B426" i="11" s="1"/>
  <c r="B427" i="11" s="1"/>
  <c r="B428" i="11" s="1"/>
  <c r="B429" i="11" s="1"/>
  <c r="B430" i="11" s="1"/>
  <c r="B431" i="11" s="1"/>
  <c r="B432" i="11" s="1"/>
  <c r="B433" i="11" s="1"/>
  <c r="B434" i="11" s="1"/>
  <c r="B435" i="11" s="1"/>
  <c r="B436" i="11" s="1"/>
  <c r="B437" i="11" s="1"/>
  <c r="B438" i="11" s="1"/>
  <c r="B439" i="11" s="1"/>
  <c r="B440" i="11" s="1"/>
  <c r="B441" i="11" s="1"/>
  <c r="B442" i="11" s="1"/>
  <c r="B443" i="11" s="1"/>
  <c r="B444" i="11" s="1"/>
  <c r="B445" i="11" s="1"/>
  <c r="B446" i="11" s="1"/>
  <c r="B447" i="11" s="1"/>
  <c r="B448" i="11" s="1"/>
  <c r="B449" i="11" s="1"/>
  <c r="B450" i="11" s="1"/>
  <c r="B451" i="11" s="1"/>
  <c r="B452" i="11" s="1"/>
  <c r="B453" i="11" s="1"/>
  <c r="B454" i="11" s="1"/>
  <c r="B455" i="11" s="1"/>
  <c r="B456" i="11" s="1"/>
  <c r="B457" i="11" s="1"/>
  <c r="B458" i="11" s="1"/>
  <c r="B459" i="11" s="1"/>
  <c r="B460" i="11" s="1"/>
  <c r="B461" i="11" s="1"/>
  <c r="B462" i="11" s="1"/>
  <c r="B463" i="11" s="1"/>
  <c r="B464" i="11" s="1"/>
  <c r="B465" i="11" s="1"/>
  <c r="B466" i="11" s="1"/>
  <c r="B467" i="11" s="1"/>
  <c r="B468" i="11" s="1"/>
  <c r="B469" i="11" s="1"/>
  <c r="B470" i="11" s="1"/>
  <c r="B471" i="11" s="1"/>
  <c r="B472" i="11" s="1"/>
  <c r="B473" i="11" s="1"/>
  <c r="B474" i="11" s="1"/>
  <c r="B475" i="11" s="1"/>
  <c r="B476" i="11" s="1"/>
  <c r="B477" i="11" s="1"/>
  <c r="B478" i="11" s="1"/>
  <c r="B479" i="11" s="1"/>
  <c r="B480" i="11" s="1"/>
  <c r="B481" i="11" s="1"/>
  <c r="B482" i="11" s="1"/>
  <c r="B483" i="11" s="1"/>
  <c r="B484" i="11" s="1"/>
  <c r="B485" i="11" s="1"/>
  <c r="B486" i="11" s="1"/>
  <c r="B487" i="11" s="1"/>
  <c r="B488" i="11" s="1"/>
  <c r="B489" i="11" s="1"/>
  <c r="B490" i="11" s="1"/>
  <c r="B491" i="11" s="1"/>
  <c r="B492" i="11" s="1"/>
  <c r="B493" i="11" s="1"/>
  <c r="B494" i="11" s="1"/>
  <c r="B495" i="11" s="1"/>
  <c r="B496" i="11" s="1"/>
  <c r="B497" i="11" s="1"/>
  <c r="B498" i="11" s="1"/>
  <c r="B499" i="11" s="1"/>
  <c r="B500" i="11" s="1"/>
  <c r="B501" i="11" s="1"/>
  <c r="B502" i="11" s="1"/>
  <c r="B503" i="11" s="1"/>
  <c r="B504" i="11" s="1"/>
  <c r="B505" i="11" s="1"/>
  <c r="B506" i="11" s="1"/>
  <c r="B507" i="11" s="1"/>
  <c r="B508" i="11" s="1"/>
  <c r="B509" i="11" s="1"/>
  <c r="B510" i="11" s="1"/>
  <c r="B511" i="11" s="1"/>
  <c r="B512" i="11" s="1"/>
  <c r="B513" i="11" s="1"/>
  <c r="B514" i="11" s="1"/>
  <c r="B515" i="11" s="1"/>
  <c r="B516" i="11" s="1"/>
  <c r="B517" i="11" s="1"/>
  <c r="B518" i="11" s="1"/>
  <c r="B519" i="11" s="1"/>
  <c r="B520" i="11" s="1"/>
  <c r="B521" i="11" s="1"/>
  <c r="B522" i="11" s="1"/>
  <c r="B523" i="11" s="1"/>
  <c r="B524" i="11" s="1"/>
  <c r="B525" i="11" s="1"/>
  <c r="B526" i="11" s="1"/>
  <c r="B527" i="11" s="1"/>
  <c r="B528" i="11" s="1"/>
  <c r="B529" i="11" s="1"/>
  <c r="B530" i="11" s="1"/>
  <c r="B531" i="11" s="1"/>
  <c r="B532" i="11" s="1"/>
  <c r="B533" i="11" s="1"/>
  <c r="B534" i="11" s="1"/>
  <c r="B535" i="11" s="1"/>
  <c r="B536" i="11" s="1"/>
  <c r="B537" i="11" s="1"/>
  <c r="B538" i="11" s="1"/>
  <c r="B539" i="11" s="1"/>
  <c r="B540" i="11" s="1"/>
  <c r="B541" i="11" s="1"/>
  <c r="B542" i="11" s="1"/>
  <c r="B543" i="11" s="1"/>
  <c r="B544" i="11" s="1"/>
  <c r="B545" i="11" s="1"/>
  <c r="B546" i="11" s="1"/>
  <c r="B547" i="11" s="1"/>
  <c r="B548" i="11" s="1"/>
  <c r="B549" i="11" s="1"/>
  <c r="B550" i="11" s="1"/>
  <c r="B551" i="11" s="1"/>
  <c r="B552" i="11" s="1"/>
  <c r="B553" i="11" s="1"/>
  <c r="B554" i="11" s="1"/>
  <c r="B555" i="11" s="1"/>
  <c r="B556" i="11" s="1"/>
  <c r="B557" i="11" s="1"/>
  <c r="B558" i="11" s="1"/>
  <c r="B559" i="11" s="1"/>
  <c r="B560" i="11" s="1"/>
  <c r="B561" i="11" s="1"/>
  <c r="B562" i="11" s="1"/>
  <c r="B563" i="11" s="1"/>
  <c r="B564" i="11" s="1"/>
  <c r="B565" i="11" s="1"/>
  <c r="B566" i="11" s="1"/>
  <c r="B567" i="11" s="1"/>
  <c r="B568" i="11" s="1"/>
  <c r="B569" i="11" s="1"/>
  <c r="B570" i="11" s="1"/>
  <c r="B571" i="11" s="1"/>
  <c r="B572" i="11" s="1"/>
  <c r="B573" i="11" s="1"/>
  <c r="B574" i="11" s="1"/>
  <c r="B575" i="11" s="1"/>
  <c r="B576" i="11" s="1"/>
  <c r="B577" i="11" s="1"/>
  <c r="B578" i="11" s="1"/>
  <c r="B579" i="11" s="1"/>
  <c r="B580" i="11" s="1"/>
  <c r="B581" i="11" s="1"/>
  <c r="B582" i="11" s="1"/>
  <c r="B583" i="11" s="1"/>
  <c r="B584" i="11" s="1"/>
  <c r="B585" i="11" s="1"/>
  <c r="B586" i="11" s="1"/>
  <c r="B587" i="11" s="1"/>
  <c r="B588" i="11" s="1"/>
  <c r="B589" i="11" s="1"/>
  <c r="B590" i="11" s="1"/>
  <c r="B591" i="11" s="1"/>
  <c r="B592" i="11" s="1"/>
  <c r="B593" i="11" s="1"/>
  <c r="B594" i="11" s="1"/>
  <c r="B595" i="11" s="1"/>
  <c r="B596" i="11" s="1"/>
  <c r="B597" i="11" s="1"/>
  <c r="B598" i="11" s="1"/>
  <c r="B599" i="11" s="1"/>
  <c r="B600" i="11" s="1"/>
  <c r="B601" i="11" s="1"/>
  <c r="B602" i="11" s="1"/>
  <c r="B603" i="11" s="1"/>
  <c r="B604" i="11" s="1"/>
  <c r="B605" i="11" s="1"/>
  <c r="B606" i="11" s="1"/>
  <c r="B607" i="11" s="1"/>
  <c r="B608" i="11" s="1"/>
  <c r="B609" i="11" s="1"/>
  <c r="B610" i="11" s="1"/>
  <c r="B611" i="11" s="1"/>
  <c r="B612" i="11" s="1"/>
  <c r="B613" i="11" s="1"/>
  <c r="B614" i="11" s="1"/>
  <c r="B615" i="11" s="1"/>
  <c r="B616" i="11" s="1"/>
  <c r="B617" i="11" s="1"/>
  <c r="B618" i="11" s="1"/>
  <c r="B619" i="11" s="1"/>
  <c r="B620" i="11" s="1"/>
  <c r="B621" i="11" s="1"/>
  <c r="B622" i="11" s="1"/>
  <c r="B623" i="11" s="1"/>
  <c r="B624" i="11" s="1"/>
  <c r="B625" i="11" s="1"/>
  <c r="B626" i="11" s="1"/>
  <c r="B627" i="11" s="1"/>
  <c r="B628" i="11" s="1"/>
  <c r="B629" i="11" s="1"/>
  <c r="B630" i="11" s="1"/>
  <c r="B631" i="11" s="1"/>
  <c r="B632" i="11" s="1"/>
  <c r="B633" i="11" s="1"/>
  <c r="B634" i="11" s="1"/>
  <c r="B635" i="11" s="1"/>
  <c r="B636" i="11" s="1"/>
  <c r="B637" i="11" s="1"/>
  <c r="B638" i="11" s="1"/>
  <c r="B639" i="11" s="1"/>
  <c r="B640" i="11" s="1"/>
  <c r="B641" i="11" s="1"/>
  <c r="B642" i="11" s="1"/>
  <c r="B643" i="11" s="1"/>
  <c r="B644" i="11" s="1"/>
  <c r="B645" i="11" s="1"/>
  <c r="B646" i="11" s="1"/>
  <c r="B647" i="11" s="1"/>
  <c r="B648" i="11" s="1"/>
  <c r="B649" i="11" s="1"/>
  <c r="B650" i="11" s="1"/>
  <c r="B651" i="11" s="1"/>
  <c r="B652" i="11" s="1"/>
  <c r="B653" i="11" s="1"/>
  <c r="B654" i="11" s="1"/>
  <c r="B655" i="11" s="1"/>
  <c r="B656" i="11" s="1"/>
  <c r="B657" i="11" s="1"/>
  <c r="B658" i="11" s="1"/>
  <c r="B659" i="11" s="1"/>
  <c r="B660" i="11" s="1"/>
  <c r="B661" i="11" s="1"/>
  <c r="B662" i="11" s="1"/>
  <c r="B663" i="11" s="1"/>
  <c r="B664" i="11" s="1"/>
  <c r="B665" i="11" s="1"/>
  <c r="B666" i="11" s="1"/>
  <c r="B667" i="11" s="1"/>
  <c r="B668" i="11" s="1"/>
  <c r="B669" i="11" s="1"/>
  <c r="B670" i="11" s="1"/>
  <c r="B671" i="11" s="1"/>
  <c r="B672" i="11" s="1"/>
  <c r="B673" i="11" s="1"/>
  <c r="B674" i="11" s="1"/>
  <c r="B675" i="11" s="1"/>
  <c r="B676" i="11" s="1"/>
  <c r="B677" i="11" s="1"/>
  <c r="B678" i="11" s="1"/>
  <c r="B679" i="11" s="1"/>
  <c r="B680" i="11" s="1"/>
  <c r="B681" i="11" s="1"/>
  <c r="B682" i="11" s="1"/>
  <c r="B683" i="11" s="1"/>
  <c r="B684" i="11" s="1"/>
  <c r="B685" i="11" s="1"/>
  <c r="B686" i="11" s="1"/>
  <c r="B687" i="11" s="1"/>
  <c r="B688" i="11" s="1"/>
  <c r="B689" i="11" s="1"/>
  <c r="B690" i="11" s="1"/>
  <c r="B691" i="11" s="1"/>
  <c r="B692" i="11" s="1"/>
  <c r="B693" i="11" s="1"/>
  <c r="B694" i="11" s="1"/>
  <c r="B695" i="11" s="1"/>
  <c r="B696" i="11" s="1"/>
  <c r="B697" i="11" s="1"/>
  <c r="B698" i="11" s="1"/>
  <c r="B699" i="11" s="1"/>
  <c r="B700" i="11" s="1"/>
  <c r="B701" i="11" s="1"/>
  <c r="B702" i="11" s="1"/>
  <c r="B703" i="11" s="1"/>
  <c r="B704" i="11" s="1"/>
  <c r="B705" i="11" s="1"/>
  <c r="B706" i="11" s="1"/>
  <c r="B707" i="11" s="1"/>
  <c r="B708" i="11" s="1"/>
  <c r="B709" i="11" s="1"/>
  <c r="B710" i="11" s="1"/>
  <c r="B711" i="11" s="1"/>
  <c r="B712" i="11" s="1"/>
  <c r="B713" i="11" s="1"/>
  <c r="B714" i="11" s="1"/>
  <c r="B715" i="11" s="1"/>
  <c r="B716" i="11" s="1"/>
  <c r="B717" i="11" s="1"/>
  <c r="B718" i="11" s="1"/>
  <c r="B719" i="11" s="1"/>
  <c r="B720" i="11" s="1"/>
  <c r="B721" i="11" s="1"/>
  <c r="B722" i="11" s="1"/>
  <c r="B723" i="11" s="1"/>
  <c r="B724" i="11" s="1"/>
  <c r="B725" i="11" s="1"/>
  <c r="B726" i="11" s="1"/>
  <c r="B727" i="11" s="1"/>
  <c r="B728" i="11" s="1"/>
  <c r="B729" i="11" s="1"/>
  <c r="B730" i="11" s="1"/>
  <c r="B731" i="11" s="1"/>
  <c r="B732" i="11" s="1"/>
  <c r="B733" i="11" s="1"/>
  <c r="B734" i="11" s="1"/>
  <c r="B735" i="11" s="1"/>
  <c r="B736" i="11" s="1"/>
  <c r="B737" i="11" s="1"/>
  <c r="B738" i="11" s="1"/>
  <c r="B739" i="11" s="1"/>
  <c r="B740" i="11" s="1"/>
  <c r="B741" i="11" s="1"/>
  <c r="B742" i="11" s="1"/>
  <c r="B743" i="11" s="1"/>
  <c r="B744" i="11" s="1"/>
  <c r="B745" i="11" s="1"/>
  <c r="B746" i="11" s="1"/>
  <c r="B747" i="11" s="1"/>
  <c r="B748" i="11" s="1"/>
  <c r="B749" i="11" s="1"/>
  <c r="B750" i="11" s="1"/>
  <c r="B751" i="11" s="1"/>
  <c r="B752" i="11" s="1"/>
  <c r="B753" i="11" s="1"/>
  <c r="B754" i="11" s="1"/>
  <c r="B755" i="11" s="1"/>
  <c r="B756" i="11" s="1"/>
  <c r="B757" i="11" s="1"/>
  <c r="B758" i="11" s="1"/>
  <c r="B759" i="11" s="1"/>
  <c r="B760" i="11" s="1"/>
  <c r="B761" i="11" s="1"/>
  <c r="B762" i="11" s="1"/>
  <c r="B763" i="11" s="1"/>
  <c r="B764" i="11" s="1"/>
  <c r="B765" i="11" s="1"/>
  <c r="B766" i="11" s="1"/>
  <c r="B767" i="11" s="1"/>
  <c r="B768" i="11" s="1"/>
  <c r="B769" i="11" s="1"/>
  <c r="B770" i="11" s="1"/>
  <c r="B771" i="11" s="1"/>
  <c r="B772" i="11" s="1"/>
  <c r="B773" i="11" s="1"/>
  <c r="B774" i="11" s="1"/>
  <c r="B775" i="11" s="1"/>
  <c r="B776" i="11" s="1"/>
  <c r="B777" i="11" s="1"/>
  <c r="B778" i="11" s="1"/>
  <c r="B779" i="11" s="1"/>
  <c r="B780" i="11" s="1"/>
  <c r="B781" i="11" s="1"/>
  <c r="B782" i="11" s="1"/>
  <c r="B783" i="11" s="1"/>
  <c r="B784" i="11" s="1"/>
  <c r="B785" i="11" s="1"/>
  <c r="B786" i="11" s="1"/>
  <c r="B787" i="11" s="1"/>
  <c r="B788" i="11" s="1"/>
  <c r="B789" i="11" s="1"/>
  <c r="B790" i="11" s="1"/>
  <c r="B791" i="11" s="1"/>
  <c r="B792" i="11" s="1"/>
  <c r="B793" i="11" s="1"/>
  <c r="B794" i="11" s="1"/>
  <c r="B795" i="11" s="1"/>
  <c r="B796" i="11" s="1"/>
  <c r="B797" i="11" s="1"/>
  <c r="B798" i="11" s="1"/>
  <c r="B799" i="11" s="1"/>
  <c r="B800" i="11" s="1"/>
  <c r="B801" i="11" s="1"/>
  <c r="B802" i="11" s="1"/>
  <c r="B803" i="11" s="1"/>
  <c r="B804" i="11" s="1"/>
  <c r="B805" i="11" s="1"/>
  <c r="B806" i="11" s="1"/>
  <c r="B807" i="11" s="1"/>
  <c r="B808" i="11" s="1"/>
  <c r="B809" i="11" s="1"/>
  <c r="B810" i="11" s="1"/>
  <c r="B811" i="11" s="1"/>
  <c r="B812" i="11" s="1"/>
  <c r="B813" i="11" s="1"/>
  <c r="B814" i="11" s="1"/>
  <c r="B815" i="11" s="1"/>
  <c r="B816" i="11" s="1"/>
  <c r="B817" i="11" s="1"/>
  <c r="B818" i="11" s="1"/>
  <c r="B819" i="11" s="1"/>
  <c r="B820" i="11" s="1"/>
  <c r="B821" i="11" s="1"/>
  <c r="B822" i="11" s="1"/>
  <c r="B823" i="11" s="1"/>
  <c r="B824" i="11" s="1"/>
  <c r="B825" i="11" s="1"/>
  <c r="B826" i="11" s="1"/>
  <c r="B827" i="11" s="1"/>
  <c r="B828" i="11" s="1"/>
  <c r="B829" i="11" s="1"/>
  <c r="B830" i="11" s="1"/>
  <c r="B831" i="11" s="1"/>
  <c r="B832" i="11" s="1"/>
  <c r="B833" i="11" s="1"/>
  <c r="B834" i="11" s="1"/>
  <c r="B835" i="11" s="1"/>
  <c r="B836" i="11" s="1"/>
  <c r="B837" i="11" s="1"/>
  <c r="B838" i="11" s="1"/>
  <c r="B839" i="11" s="1"/>
  <c r="B840" i="11" s="1"/>
  <c r="B841" i="11" s="1"/>
  <c r="B842" i="11" s="1"/>
  <c r="B843" i="11" s="1"/>
  <c r="B844" i="11" s="1"/>
  <c r="B845" i="11" s="1"/>
  <c r="B846" i="11" s="1"/>
  <c r="B847" i="11" s="1"/>
  <c r="B848" i="11" s="1"/>
  <c r="B849" i="11" s="1"/>
  <c r="B850" i="11" s="1"/>
  <c r="B851" i="11" s="1"/>
  <c r="B852" i="11" s="1"/>
  <c r="B853" i="11" s="1"/>
  <c r="B854" i="11" s="1"/>
  <c r="B855" i="11" s="1"/>
  <c r="B856" i="11" s="1"/>
  <c r="B857" i="11" s="1"/>
  <c r="B858" i="11" s="1"/>
  <c r="B859" i="11" s="1"/>
  <c r="B860" i="11" s="1"/>
  <c r="B861" i="11" s="1"/>
  <c r="B862" i="11" s="1"/>
  <c r="B863" i="11" s="1"/>
  <c r="B864" i="11" s="1"/>
  <c r="B865" i="11" s="1"/>
  <c r="B866" i="11" s="1"/>
  <c r="B867" i="11" s="1"/>
  <c r="B868" i="11" s="1"/>
  <c r="B869" i="11" s="1"/>
  <c r="B870" i="11" s="1"/>
  <c r="B871" i="11" s="1"/>
  <c r="B872" i="11" s="1"/>
  <c r="B873" i="11" s="1"/>
  <c r="B874" i="11" s="1"/>
  <c r="B875" i="11" s="1"/>
  <c r="B876" i="11" s="1"/>
  <c r="B877" i="11" s="1"/>
  <c r="B878" i="11" s="1"/>
  <c r="B879" i="11" s="1"/>
  <c r="B880" i="11" s="1"/>
  <c r="B881" i="11" s="1"/>
  <c r="B882" i="11" s="1"/>
  <c r="B883" i="11" s="1"/>
  <c r="B884" i="11" s="1"/>
  <c r="B885" i="11" s="1"/>
  <c r="B886" i="11" s="1"/>
  <c r="B887" i="11" s="1"/>
  <c r="B888" i="11" s="1"/>
  <c r="B889" i="11" s="1"/>
  <c r="B890" i="11" s="1"/>
  <c r="C3" i="11"/>
  <c r="D3" i="11" s="1"/>
  <c r="D2" i="11"/>
  <c r="C4" i="11" l="1"/>
  <c r="E24" i="11"/>
  <c r="E33" i="11"/>
  <c r="E21" i="11"/>
  <c r="E20" i="11"/>
  <c r="E22" i="11"/>
  <c r="E16" i="11"/>
  <c r="E18" i="11"/>
  <c r="D4" i="11" l="1"/>
  <c r="C5" i="11"/>
  <c r="E40" i="11"/>
  <c r="E27" i="11"/>
  <c r="E31" i="11"/>
  <c r="E25" i="11"/>
  <c r="E29" i="11"/>
  <c r="E28" i="11"/>
  <c r="E23" i="11"/>
  <c r="C6" i="11" l="1"/>
  <c r="D5" i="11"/>
  <c r="E32" i="11"/>
  <c r="E47" i="11"/>
  <c r="E30" i="11"/>
  <c r="E35" i="11"/>
  <c r="E36" i="11"/>
  <c r="E34" i="11"/>
  <c r="E38" i="11"/>
  <c r="C7" i="11" l="1"/>
  <c r="D6" i="11"/>
  <c r="E41" i="11"/>
  <c r="E45" i="11"/>
  <c r="E42" i="11"/>
  <c r="E37" i="11"/>
  <c r="E43" i="11"/>
  <c r="E54" i="11"/>
  <c r="E39" i="11"/>
  <c r="D7" i="11" l="1"/>
  <c r="C8" i="11"/>
  <c r="E50" i="11"/>
  <c r="E61" i="11"/>
  <c r="E48" i="11"/>
  <c r="E49" i="11"/>
  <c r="E44" i="11"/>
  <c r="E46" i="11"/>
  <c r="E52" i="11"/>
  <c r="D8" i="11" l="1"/>
  <c r="C9" i="11"/>
  <c r="E53" i="11"/>
  <c r="E51" i="11"/>
  <c r="E55" i="11"/>
  <c r="E68" i="11"/>
  <c r="E56" i="11"/>
  <c r="E59" i="11"/>
  <c r="E57" i="11"/>
  <c r="C10" i="11" l="1"/>
  <c r="D9" i="11"/>
  <c r="E63" i="11"/>
  <c r="E60" i="11"/>
  <c r="E75" i="11"/>
  <c r="E64" i="11"/>
  <c r="E58" i="11"/>
  <c r="E62" i="11"/>
  <c r="E66" i="11"/>
  <c r="C11" i="11" l="1"/>
  <c r="D10" i="11"/>
  <c r="E65" i="11"/>
  <c r="E71" i="11"/>
  <c r="E69" i="11"/>
  <c r="E82" i="11"/>
  <c r="E70" i="11"/>
  <c r="E67" i="11"/>
  <c r="E73" i="11"/>
  <c r="C12" i="11" l="1"/>
  <c r="D11" i="11"/>
  <c r="E76" i="11"/>
  <c r="E78" i="11"/>
  <c r="E77" i="11"/>
  <c r="E74" i="11"/>
  <c r="E80" i="11"/>
  <c r="E89" i="11"/>
  <c r="E72" i="11"/>
  <c r="D12" i="11" l="1"/>
  <c r="C13" i="11"/>
  <c r="E96" i="11"/>
  <c r="E85" i="11"/>
  <c r="E84" i="11"/>
  <c r="E79" i="11"/>
  <c r="E87" i="11"/>
  <c r="E81" i="11"/>
  <c r="E83" i="11"/>
  <c r="C14" i="11" l="1"/>
  <c r="D13" i="11"/>
  <c r="E90" i="11"/>
  <c r="E94" i="11"/>
  <c r="E91" i="11"/>
  <c r="E92" i="11"/>
  <c r="E103" i="11"/>
  <c r="E86" i="11"/>
  <c r="E88" i="11"/>
  <c r="C15" i="11" l="1"/>
  <c r="D14" i="11"/>
  <c r="E95" i="11"/>
  <c r="E110" i="11"/>
  <c r="E97" i="11"/>
  <c r="E101" i="11"/>
  <c r="E99" i="11"/>
  <c r="E98" i="11"/>
  <c r="E93" i="11"/>
  <c r="D15" i="11" l="1"/>
  <c r="C16" i="11"/>
  <c r="E102" i="11"/>
  <c r="E100" i="11"/>
  <c r="E106" i="11"/>
  <c r="E117" i="11"/>
  <c r="E104" i="11"/>
  <c r="E108" i="11"/>
  <c r="E105" i="11"/>
  <c r="D16" i="11" l="1"/>
  <c r="C17" i="11"/>
  <c r="E124" i="11"/>
  <c r="E113" i="11"/>
  <c r="E109" i="11"/>
  <c r="E115" i="11"/>
  <c r="E111" i="11"/>
  <c r="E107" i="11"/>
  <c r="E112" i="11"/>
  <c r="D17" i="11" l="1"/>
  <c r="C18" i="11"/>
  <c r="E120" i="11"/>
  <c r="E116" i="11"/>
  <c r="E119" i="11"/>
  <c r="E118" i="11"/>
  <c r="E114" i="11"/>
  <c r="E122" i="11"/>
  <c r="E131" i="11"/>
  <c r="D18" i="11" l="1"/>
  <c r="C19" i="11"/>
  <c r="E129" i="11"/>
  <c r="E127" i="11"/>
  <c r="E138" i="11"/>
  <c r="E121" i="11"/>
  <c r="E126" i="11"/>
  <c r="E125" i="11"/>
  <c r="E123" i="11"/>
  <c r="D19" i="11" l="1"/>
  <c r="C20" i="11"/>
  <c r="E128" i="11"/>
  <c r="E130" i="11"/>
  <c r="E134" i="11"/>
  <c r="E136" i="11"/>
  <c r="E132" i="11"/>
  <c r="E133" i="11"/>
  <c r="E145" i="11"/>
  <c r="D20" i="11" l="1"/>
  <c r="C21" i="11"/>
  <c r="E135" i="11"/>
  <c r="E141" i="11"/>
  <c r="E143" i="11"/>
  <c r="E152" i="11"/>
  <c r="E137" i="11"/>
  <c r="E139" i="11"/>
  <c r="E140" i="11"/>
  <c r="D21" i="11" l="1"/>
  <c r="C22" i="11"/>
  <c r="E147" i="11"/>
  <c r="E159" i="11"/>
  <c r="E142" i="11"/>
  <c r="E146" i="11"/>
  <c r="E144" i="11"/>
  <c r="E148" i="11"/>
  <c r="E150" i="11"/>
  <c r="C23" i="11" l="1"/>
  <c r="D22" i="11"/>
  <c r="E154" i="11"/>
  <c r="E155" i="11"/>
  <c r="E151" i="11"/>
  <c r="E149" i="11"/>
  <c r="E166" i="11"/>
  <c r="E157" i="11"/>
  <c r="E153" i="11"/>
  <c r="D23" i="11" l="1"/>
  <c r="C24" i="11"/>
  <c r="E158" i="11"/>
  <c r="E173" i="11"/>
  <c r="E164" i="11"/>
  <c r="E161" i="11"/>
  <c r="E156" i="11"/>
  <c r="E162" i="11"/>
  <c r="E160" i="11"/>
  <c r="D24" i="11" l="1"/>
  <c r="C25" i="11"/>
  <c r="E167" i="11"/>
  <c r="E180" i="11"/>
  <c r="E163" i="11"/>
  <c r="E169" i="11"/>
  <c r="E168" i="11"/>
  <c r="E171" i="11"/>
  <c r="E165" i="11"/>
  <c r="D25" i="11" l="1"/>
  <c r="C26" i="11"/>
  <c r="E176" i="11"/>
  <c r="E174" i="11"/>
  <c r="E187" i="11"/>
  <c r="E172" i="11"/>
  <c r="E175" i="11"/>
  <c r="E170" i="11"/>
  <c r="E178" i="11"/>
  <c r="D26" i="11" l="1"/>
  <c r="C27" i="11"/>
  <c r="E185" i="11"/>
  <c r="E183" i="11"/>
  <c r="E179" i="11"/>
  <c r="E181" i="11"/>
  <c r="E177" i="11"/>
  <c r="E182" i="11"/>
  <c r="E194" i="11"/>
  <c r="D27" i="11" l="1"/>
  <c r="C28" i="11"/>
  <c r="E186" i="11"/>
  <c r="E190" i="11"/>
  <c r="E189" i="11"/>
  <c r="E184" i="11"/>
  <c r="E188" i="11"/>
  <c r="E192" i="11"/>
  <c r="E201" i="11"/>
  <c r="D28" i="11" l="1"/>
  <c r="C29" i="11"/>
  <c r="E199" i="11"/>
  <c r="E191" i="11"/>
  <c r="E197" i="11"/>
  <c r="E195" i="11"/>
  <c r="E208" i="11"/>
  <c r="E196" i="11"/>
  <c r="E193" i="11"/>
  <c r="C30" i="11" l="1"/>
  <c r="D29" i="11"/>
  <c r="E204" i="11"/>
  <c r="E203" i="11"/>
  <c r="E198" i="11"/>
  <c r="E215" i="11"/>
  <c r="E202" i="11"/>
  <c r="E200" i="11"/>
  <c r="E206" i="11"/>
  <c r="D30" i="11" l="1"/>
  <c r="C31" i="11"/>
  <c r="E209" i="11"/>
  <c r="E213" i="11"/>
  <c r="E207" i="11"/>
  <c r="E205" i="11"/>
  <c r="E210" i="11"/>
  <c r="E222" i="11"/>
  <c r="E211" i="11"/>
  <c r="C32" i="11" l="1"/>
  <c r="D31" i="11"/>
  <c r="E218" i="11"/>
  <c r="E212" i="11"/>
  <c r="E217" i="11"/>
  <c r="E214" i="11"/>
  <c r="E229" i="11"/>
  <c r="E220" i="11"/>
  <c r="E216" i="11"/>
  <c r="C33" i="11" l="1"/>
  <c r="D32" i="11"/>
  <c r="E224" i="11"/>
  <c r="E225" i="11"/>
  <c r="E223" i="11"/>
  <c r="E236" i="11"/>
  <c r="E221" i="11"/>
  <c r="E219" i="11"/>
  <c r="E227" i="11"/>
  <c r="D33" i="11" l="1"/>
  <c r="C34" i="11"/>
  <c r="E226" i="11"/>
  <c r="E230" i="11"/>
  <c r="E232" i="11"/>
  <c r="E243" i="11"/>
  <c r="E234" i="11"/>
  <c r="E231" i="11"/>
  <c r="E228" i="11"/>
  <c r="D34" i="11" l="1"/>
  <c r="C35" i="11"/>
  <c r="E237" i="11"/>
  <c r="E233" i="11"/>
  <c r="E235" i="11"/>
  <c r="E238" i="11"/>
  <c r="E239" i="11"/>
  <c r="E241" i="11"/>
  <c r="E250" i="11"/>
  <c r="C36" i="11" l="1"/>
  <c r="D35" i="11"/>
  <c r="E245" i="11"/>
  <c r="E244" i="11"/>
  <c r="E248" i="11"/>
  <c r="E242" i="11"/>
  <c r="E246" i="11"/>
  <c r="E257" i="11"/>
  <c r="E240" i="11"/>
  <c r="C37" i="11" l="1"/>
  <c r="D36" i="11"/>
  <c r="E247" i="11"/>
  <c r="E251" i="11"/>
  <c r="E253" i="11"/>
  <c r="E264" i="11"/>
  <c r="E252" i="11"/>
  <c r="E255" i="11"/>
  <c r="E249" i="11"/>
  <c r="D37" i="11" l="1"/>
  <c r="C38" i="11"/>
  <c r="E254" i="11"/>
  <c r="E260" i="11"/>
  <c r="E258" i="11"/>
  <c r="E259" i="11"/>
  <c r="E271" i="11"/>
  <c r="E256" i="11"/>
  <c r="E262" i="11"/>
  <c r="C39" i="11" l="1"/>
  <c r="D38" i="11"/>
  <c r="E265" i="11"/>
  <c r="E267" i="11"/>
  <c r="E269" i="11"/>
  <c r="E278" i="11"/>
  <c r="E263" i="11"/>
  <c r="E266" i="11"/>
  <c r="E261" i="11"/>
  <c r="C40" i="11" l="1"/>
  <c r="D39" i="11"/>
  <c r="E273" i="11"/>
  <c r="E270" i="11"/>
  <c r="E276" i="11"/>
  <c r="E272" i="11"/>
  <c r="E268" i="11"/>
  <c r="E285" i="11"/>
  <c r="E274" i="11"/>
  <c r="C41" i="11" l="1"/>
  <c r="D40" i="11"/>
  <c r="E283" i="11"/>
  <c r="E280" i="11"/>
  <c r="E275" i="11"/>
  <c r="E292" i="11"/>
  <c r="E281" i="11"/>
  <c r="E279" i="11"/>
  <c r="E277" i="11"/>
  <c r="D41" i="11" l="1"/>
  <c r="C42" i="11"/>
  <c r="E287" i="11"/>
  <c r="E288" i="11"/>
  <c r="E282" i="11"/>
  <c r="E284" i="11"/>
  <c r="E286" i="11"/>
  <c r="E290" i="11"/>
  <c r="E299" i="11"/>
  <c r="C43" i="11" l="1"/>
  <c r="D42" i="11"/>
  <c r="E297" i="11"/>
  <c r="E289" i="11"/>
  <c r="E295" i="11"/>
  <c r="E294" i="11"/>
  <c r="E306" i="11"/>
  <c r="E291" i="11"/>
  <c r="E293" i="11"/>
  <c r="C44" i="11" l="1"/>
  <c r="D43" i="11"/>
  <c r="E298" i="11"/>
  <c r="E313" i="11"/>
  <c r="E296" i="11"/>
  <c r="E304" i="11"/>
  <c r="E300" i="11"/>
  <c r="E301" i="11"/>
  <c r="E302" i="11"/>
  <c r="C45" i="11" l="1"/>
  <c r="D44" i="11"/>
  <c r="E303" i="11"/>
  <c r="E309" i="11"/>
  <c r="E320" i="11"/>
  <c r="E308" i="11"/>
  <c r="E307" i="11"/>
  <c r="E305" i="11"/>
  <c r="E311" i="11"/>
  <c r="D45" i="11" l="1"/>
  <c r="C46" i="11"/>
  <c r="E327" i="11"/>
  <c r="E316" i="11"/>
  <c r="E318" i="11"/>
  <c r="E312" i="11"/>
  <c r="E314" i="11"/>
  <c r="E315" i="11"/>
  <c r="E310" i="11"/>
  <c r="C47" i="11" l="1"/>
  <c r="D46" i="11"/>
  <c r="E317" i="11"/>
  <c r="E322" i="11"/>
  <c r="E334" i="11"/>
  <c r="E325" i="11"/>
  <c r="E319" i="11"/>
  <c r="E323" i="11"/>
  <c r="E321" i="11"/>
  <c r="D47" i="11" l="1"/>
  <c r="C48" i="11"/>
  <c r="E332" i="11"/>
  <c r="E329" i="11"/>
  <c r="E326" i="11"/>
  <c r="E341" i="11"/>
  <c r="E330" i="11"/>
  <c r="E328" i="11"/>
  <c r="E324" i="11"/>
  <c r="C49" i="11" l="1"/>
  <c r="D48" i="11"/>
  <c r="E333" i="11"/>
  <c r="E348" i="11"/>
  <c r="E339" i="11"/>
  <c r="E337" i="11"/>
  <c r="E335" i="11"/>
  <c r="E336" i="11"/>
  <c r="E331" i="11"/>
  <c r="D49" i="11" l="1"/>
  <c r="C50" i="11"/>
  <c r="E338" i="11"/>
  <c r="E346" i="11"/>
  <c r="E355" i="11"/>
  <c r="E343" i="11"/>
  <c r="E342" i="11"/>
  <c r="E340" i="11"/>
  <c r="E344" i="11"/>
  <c r="D50" i="11" l="1"/>
  <c r="C51" i="11"/>
  <c r="E350" i="11"/>
  <c r="E345" i="11"/>
  <c r="E349" i="11"/>
  <c r="E353" i="11"/>
  <c r="E351" i="11"/>
  <c r="E347" i="11"/>
  <c r="E362" i="11"/>
  <c r="C52" i="11" l="1"/>
  <c r="D51" i="11"/>
  <c r="E354" i="11"/>
  <c r="E360" i="11"/>
  <c r="E352" i="11"/>
  <c r="E357" i="11"/>
  <c r="E358" i="11"/>
  <c r="E356" i="11"/>
  <c r="E369" i="11"/>
  <c r="C53" i="11" l="1"/>
  <c r="D52" i="11"/>
  <c r="E367" i="11"/>
  <c r="E365" i="11"/>
  <c r="E364" i="11"/>
  <c r="E376" i="11"/>
  <c r="E359" i="11"/>
  <c r="E361" i="11"/>
  <c r="E363" i="11"/>
  <c r="D53" i="11" l="1"/>
  <c r="C54" i="11"/>
  <c r="E366" i="11"/>
  <c r="E368" i="11"/>
  <c r="E371" i="11"/>
  <c r="E372" i="11"/>
  <c r="E370" i="11"/>
  <c r="E383" i="11"/>
  <c r="E374" i="11"/>
  <c r="C55" i="11" l="1"/>
  <c r="D54" i="11"/>
  <c r="E373" i="11"/>
  <c r="E390" i="11"/>
  <c r="E379" i="11"/>
  <c r="E375" i="11"/>
  <c r="E378" i="11"/>
  <c r="E381" i="11"/>
  <c r="E377" i="11"/>
  <c r="D55" i="11" l="1"/>
  <c r="C56" i="11"/>
  <c r="E382" i="11"/>
  <c r="E385" i="11"/>
  <c r="E380" i="11"/>
  <c r="E384" i="11"/>
  <c r="E386" i="11"/>
  <c r="E397" i="11"/>
  <c r="E388" i="11"/>
  <c r="D56" i="11" l="1"/>
  <c r="C57" i="11"/>
  <c r="E404" i="11"/>
  <c r="E391" i="11"/>
  <c r="E393" i="11"/>
  <c r="E395" i="11"/>
  <c r="E389" i="11"/>
  <c r="E387" i="11"/>
  <c r="E392" i="11"/>
  <c r="D57" i="11" l="1"/>
  <c r="C58" i="11"/>
  <c r="E399" i="11"/>
  <c r="E396" i="11"/>
  <c r="E402" i="11"/>
  <c r="E394" i="11"/>
  <c r="E411" i="11"/>
  <c r="E400" i="11"/>
  <c r="E398" i="11"/>
  <c r="D58" i="11" l="1"/>
  <c r="C59" i="11"/>
  <c r="E409" i="11"/>
  <c r="E406" i="11"/>
  <c r="E405" i="11"/>
  <c r="E407" i="11"/>
  <c r="E418" i="11"/>
  <c r="E401" i="11"/>
  <c r="E403" i="11"/>
  <c r="C60" i="11" l="1"/>
  <c r="D59" i="11"/>
  <c r="E412" i="11"/>
  <c r="E410" i="11"/>
  <c r="E425" i="11"/>
  <c r="E413" i="11"/>
  <c r="E414" i="11"/>
  <c r="E408" i="11"/>
  <c r="E416" i="11"/>
  <c r="D60" i="11" l="1"/>
  <c r="C61" i="11"/>
  <c r="E432" i="11"/>
  <c r="E417" i="11"/>
  <c r="E415" i="11"/>
  <c r="E421" i="11"/>
  <c r="E423" i="11"/>
  <c r="E419" i="11"/>
  <c r="E420" i="11"/>
  <c r="C62" i="11" l="1"/>
  <c r="D61" i="11"/>
  <c r="E424" i="11"/>
  <c r="E422" i="11"/>
  <c r="E428" i="11"/>
  <c r="E426" i="11"/>
  <c r="E427" i="11"/>
  <c r="E430" i="11"/>
  <c r="E439" i="11"/>
  <c r="D62" i="11" l="1"/>
  <c r="C63" i="11"/>
  <c r="E429" i="11"/>
  <c r="E446" i="11"/>
  <c r="E437" i="11"/>
  <c r="E435" i="11"/>
  <c r="E433" i="11"/>
  <c r="E434" i="11"/>
  <c r="E431" i="11"/>
  <c r="D63" i="11" l="1"/>
  <c r="C64" i="11"/>
  <c r="E442" i="11"/>
  <c r="E453" i="11"/>
  <c r="E440" i="11"/>
  <c r="E441" i="11"/>
  <c r="E444" i="11"/>
  <c r="E436" i="11"/>
  <c r="E438" i="11"/>
  <c r="D64" i="11" l="1"/>
  <c r="C65" i="11"/>
  <c r="E451" i="11"/>
  <c r="E447" i="11"/>
  <c r="E448" i="11"/>
  <c r="E443" i="11"/>
  <c r="E460" i="11"/>
  <c r="E445" i="11"/>
  <c r="E449" i="11"/>
  <c r="C66" i="11" l="1"/>
  <c r="D65" i="11"/>
  <c r="E452" i="11"/>
  <c r="E450" i="11"/>
  <c r="E456" i="11"/>
  <c r="E458" i="11"/>
  <c r="E467" i="11"/>
  <c r="E454" i="11"/>
  <c r="E455" i="11"/>
  <c r="D66" i="11" l="1"/>
  <c r="C67" i="11"/>
  <c r="E465" i="11"/>
  <c r="E474" i="11"/>
  <c r="E457" i="11"/>
  <c r="E463" i="11"/>
  <c r="E462" i="11"/>
  <c r="E459" i="11"/>
  <c r="E461" i="11"/>
  <c r="D67" i="11" l="1"/>
  <c r="C68" i="11"/>
  <c r="E472" i="11"/>
  <c r="E466" i="11"/>
  <c r="E469" i="11"/>
  <c r="E481" i="11"/>
  <c r="E468" i="11"/>
  <c r="E470" i="11"/>
  <c r="E464" i="11"/>
  <c r="D68" i="11" l="1"/>
  <c r="C69" i="11"/>
  <c r="E473" i="11"/>
  <c r="E471" i="11"/>
  <c r="E488" i="11"/>
  <c r="E476" i="11"/>
  <c r="E479" i="11"/>
  <c r="E477" i="11"/>
  <c r="E475" i="11"/>
  <c r="D69" i="11" l="1"/>
  <c r="C70" i="11"/>
  <c r="E483" i="11"/>
  <c r="E484" i="11"/>
  <c r="E495" i="11"/>
  <c r="E478" i="11"/>
  <c r="E482" i="11"/>
  <c r="E486" i="11"/>
  <c r="E480" i="11"/>
  <c r="C71" i="11" l="1"/>
  <c r="D70" i="11"/>
  <c r="E485" i="11"/>
  <c r="E487" i="11"/>
  <c r="E489" i="11"/>
  <c r="E490" i="11"/>
  <c r="E502" i="11"/>
  <c r="E491" i="11"/>
  <c r="E493" i="11"/>
  <c r="C72" i="11" l="1"/>
  <c r="D71" i="11"/>
  <c r="E500" i="11"/>
  <c r="E509" i="11"/>
  <c r="E496" i="11"/>
  <c r="E497" i="11"/>
  <c r="E498" i="11"/>
  <c r="E492" i="11"/>
  <c r="E494" i="11"/>
  <c r="D72" i="11" l="1"/>
  <c r="C73" i="11"/>
  <c r="E499" i="11"/>
  <c r="E505" i="11"/>
  <c r="E503" i="11"/>
  <c r="E516" i="11"/>
  <c r="E501" i="11"/>
  <c r="E504" i="11"/>
  <c r="E507" i="11"/>
  <c r="D73" i="11" l="1"/>
  <c r="C74" i="11"/>
  <c r="E514" i="11"/>
  <c r="E511" i="11"/>
  <c r="E510" i="11"/>
  <c r="E523" i="11"/>
  <c r="E506" i="11"/>
  <c r="E508" i="11"/>
  <c r="E512" i="11"/>
  <c r="C75" i="11" l="1"/>
  <c r="D74" i="11"/>
  <c r="E517" i="11"/>
  <c r="E518" i="11"/>
  <c r="E515" i="11"/>
  <c r="E513" i="11"/>
  <c r="E521" i="11"/>
  <c r="E530" i="11"/>
  <c r="E519" i="11"/>
  <c r="C76" i="11" l="1"/>
  <c r="D75" i="11"/>
  <c r="E520" i="11"/>
  <c r="E525" i="11"/>
  <c r="E526" i="11"/>
  <c r="E528" i="11"/>
  <c r="E522" i="11"/>
  <c r="E524" i="11"/>
  <c r="E537" i="11"/>
  <c r="C77" i="11" l="1"/>
  <c r="D76" i="11"/>
  <c r="E529" i="11"/>
  <c r="E535" i="11"/>
  <c r="E544" i="11"/>
  <c r="E533" i="11"/>
  <c r="E527" i="11"/>
  <c r="E531" i="11"/>
  <c r="E532" i="11"/>
  <c r="D77" i="11" l="1"/>
  <c r="C78" i="11"/>
  <c r="E542" i="11"/>
  <c r="E534" i="11"/>
  <c r="E540" i="11"/>
  <c r="E551" i="11"/>
  <c r="E536" i="11"/>
  <c r="E538" i="11"/>
  <c r="E539" i="11"/>
  <c r="D78" i="11" l="1"/>
  <c r="C79" i="11"/>
  <c r="E545" i="11"/>
  <c r="E558" i="11"/>
  <c r="E541" i="11"/>
  <c r="E549" i="11"/>
  <c r="E546" i="11"/>
  <c r="E543" i="11"/>
  <c r="E547" i="11"/>
  <c r="D79" i="11" l="1"/>
  <c r="C80" i="11"/>
  <c r="E565" i="11"/>
  <c r="E550" i="11"/>
  <c r="E552" i="11"/>
  <c r="E554" i="11"/>
  <c r="E553" i="11"/>
  <c r="E556" i="11"/>
  <c r="E548" i="11"/>
  <c r="D80" i="11" l="1"/>
  <c r="C81" i="11"/>
  <c r="E563" i="11"/>
  <c r="E561" i="11"/>
  <c r="E555" i="11"/>
  <c r="E572" i="11"/>
  <c r="E560" i="11"/>
  <c r="E559" i="11"/>
  <c r="E557" i="11"/>
  <c r="D81" i="11" l="1"/>
  <c r="C82" i="11"/>
  <c r="E568" i="11"/>
  <c r="E566" i="11"/>
  <c r="E579" i="11"/>
  <c r="E562" i="11"/>
  <c r="E564" i="11"/>
  <c r="E570" i="11"/>
  <c r="E567" i="11"/>
  <c r="D82" i="11" l="1"/>
  <c r="C83" i="11"/>
  <c r="E569" i="11"/>
  <c r="E575" i="11"/>
  <c r="E577" i="11"/>
  <c r="E571" i="11"/>
  <c r="E574" i="11"/>
  <c r="E586" i="11"/>
  <c r="E573" i="11"/>
  <c r="C84" i="11" l="1"/>
  <c r="D83" i="11"/>
  <c r="E582" i="11"/>
  <c r="E576" i="11"/>
  <c r="E578" i="11"/>
  <c r="E581" i="11"/>
  <c r="E584" i="11"/>
  <c r="E593" i="11"/>
  <c r="E580" i="11"/>
  <c r="D84" i="11" l="1"/>
  <c r="C85" i="11"/>
  <c r="E591" i="11"/>
  <c r="E588" i="11"/>
  <c r="E600" i="11"/>
  <c r="E583" i="11"/>
  <c r="E587" i="11"/>
  <c r="E589" i="11"/>
  <c r="E585" i="11"/>
  <c r="D85" i="11" l="1"/>
  <c r="C86" i="11"/>
  <c r="E594" i="11"/>
  <c r="E607" i="11"/>
  <c r="E595" i="11"/>
  <c r="E598" i="11"/>
  <c r="E596" i="11"/>
  <c r="E592" i="11"/>
  <c r="E590" i="11"/>
  <c r="D86" i="11" l="1"/>
  <c r="C87" i="11"/>
  <c r="E597" i="11"/>
  <c r="E603" i="11"/>
  <c r="E602" i="11"/>
  <c r="E601" i="11"/>
  <c r="E614" i="11"/>
  <c r="E599" i="11"/>
  <c r="E605" i="11"/>
  <c r="D87" i="11" l="1"/>
  <c r="C88" i="11"/>
  <c r="E606" i="11"/>
  <c r="E621" i="11"/>
  <c r="E608" i="11"/>
  <c r="E610" i="11"/>
  <c r="E604" i="11"/>
  <c r="E612" i="11"/>
  <c r="E609" i="11"/>
  <c r="C89" i="11" l="1"/>
  <c r="D88" i="11"/>
  <c r="E617" i="11"/>
  <c r="E619" i="11"/>
  <c r="E611" i="11"/>
  <c r="E616" i="11"/>
  <c r="E615" i="11"/>
  <c r="E613" i="11"/>
  <c r="E628" i="11"/>
  <c r="D89" i="11" l="1"/>
  <c r="C90" i="11"/>
  <c r="E620" i="11"/>
  <c r="E635" i="11"/>
  <c r="E618" i="11"/>
  <c r="E623" i="11"/>
  <c r="E624" i="11"/>
  <c r="E622" i="11"/>
  <c r="E626" i="11"/>
  <c r="D90" i="11" l="1"/>
  <c r="C91" i="11"/>
  <c r="E630" i="11"/>
  <c r="E633" i="11"/>
  <c r="E631" i="11"/>
  <c r="E627" i="11"/>
  <c r="E625" i="11"/>
  <c r="E629" i="11"/>
  <c r="E642" i="11"/>
  <c r="D91" i="11" l="1"/>
  <c r="C92" i="11"/>
  <c r="E634" i="11"/>
  <c r="E640" i="11"/>
  <c r="E638" i="11"/>
  <c r="E637" i="11"/>
  <c r="E649" i="11"/>
  <c r="E636" i="11"/>
  <c r="E632" i="11"/>
  <c r="C93" i="11" l="1"/>
  <c r="D92" i="11"/>
  <c r="E647" i="11"/>
  <c r="E645" i="11"/>
  <c r="E641" i="11"/>
  <c r="E656" i="11"/>
  <c r="E639" i="11"/>
  <c r="E643" i="11"/>
  <c r="E644" i="11"/>
  <c r="C94" i="11" l="1"/>
  <c r="D93" i="11"/>
  <c r="E654" i="11"/>
  <c r="E650" i="11"/>
  <c r="E648" i="11"/>
  <c r="E663" i="11"/>
  <c r="E652" i="11"/>
  <c r="E651" i="11"/>
  <c r="E646" i="11"/>
  <c r="C95" i="11" l="1"/>
  <c r="D94" i="11"/>
  <c r="E661" i="11"/>
  <c r="E658" i="11"/>
  <c r="E657" i="11"/>
  <c r="E659" i="11"/>
  <c r="E653" i="11"/>
  <c r="E670" i="11"/>
  <c r="E655" i="11"/>
  <c r="D95" i="11" l="1"/>
  <c r="C96" i="11"/>
  <c r="E664" i="11"/>
  <c r="E662" i="11"/>
  <c r="E666" i="11"/>
  <c r="E677" i="11"/>
  <c r="E665" i="11"/>
  <c r="E660" i="11"/>
  <c r="E668" i="11"/>
  <c r="C97" i="11" l="1"/>
  <c r="D96" i="11"/>
  <c r="E675" i="11"/>
  <c r="E673" i="11"/>
  <c r="E684" i="11"/>
  <c r="E667" i="11"/>
  <c r="E672" i="11"/>
  <c r="E669" i="11"/>
  <c r="E671" i="11"/>
  <c r="C98" i="11" l="1"/>
  <c r="D97" i="11"/>
  <c r="E674" i="11"/>
  <c r="E678" i="11"/>
  <c r="E676" i="11"/>
  <c r="E691" i="11"/>
  <c r="E680" i="11"/>
  <c r="E682" i="11"/>
  <c r="E679" i="11"/>
  <c r="C99" i="11" l="1"/>
  <c r="D98" i="11"/>
  <c r="E698" i="11"/>
  <c r="E681" i="11"/>
  <c r="E685" i="11"/>
  <c r="E687" i="11"/>
  <c r="E683" i="11"/>
  <c r="E689" i="11"/>
  <c r="E686" i="11"/>
  <c r="D99" i="11" l="1"/>
  <c r="C100" i="11"/>
  <c r="E692" i="11"/>
  <c r="E693" i="11"/>
  <c r="E690" i="11"/>
  <c r="E705" i="11"/>
  <c r="E696" i="11"/>
  <c r="E694" i="11"/>
  <c r="E688" i="11"/>
  <c r="D100" i="11" l="1"/>
  <c r="C101" i="11"/>
  <c r="E712" i="11"/>
  <c r="E701" i="11"/>
  <c r="E700" i="11"/>
  <c r="E699" i="11"/>
  <c r="E695" i="11"/>
  <c r="E703" i="11"/>
  <c r="E697" i="11"/>
  <c r="D101" i="11" l="1"/>
  <c r="C102" i="11"/>
  <c r="E706" i="11"/>
  <c r="E704" i="11"/>
  <c r="E710" i="11"/>
  <c r="E708" i="11"/>
  <c r="E719" i="11"/>
  <c r="E702" i="11"/>
  <c r="E707" i="11"/>
  <c r="D102" i="11" l="1"/>
  <c r="C103" i="11"/>
  <c r="E715" i="11"/>
  <c r="E714" i="11"/>
  <c r="E717" i="11"/>
  <c r="E709" i="11"/>
  <c r="E726" i="11"/>
  <c r="E713" i="11"/>
  <c r="E711" i="11"/>
  <c r="D103" i="11" l="1"/>
  <c r="C104" i="11"/>
  <c r="E721" i="11"/>
  <c r="E733" i="11"/>
  <c r="E720" i="11"/>
  <c r="E718" i="11"/>
  <c r="E724" i="11"/>
  <c r="E716" i="11"/>
  <c r="E722" i="11"/>
  <c r="D104" i="11" l="1"/>
  <c r="C105" i="11"/>
  <c r="E729" i="11"/>
  <c r="E727" i="11"/>
  <c r="E728" i="11"/>
  <c r="E723" i="11"/>
  <c r="E725" i="11"/>
  <c r="E731" i="11"/>
  <c r="E740" i="11"/>
  <c r="D105" i="11" l="1"/>
  <c r="C106" i="11"/>
  <c r="E738" i="11"/>
  <c r="E732" i="11"/>
  <c r="E736" i="11"/>
  <c r="E730" i="11"/>
  <c r="E734" i="11"/>
  <c r="E735" i="11"/>
  <c r="E747" i="11"/>
  <c r="C107" i="11" l="1"/>
  <c r="D106" i="11"/>
  <c r="E754" i="11"/>
  <c r="E742" i="11"/>
  <c r="E737" i="11"/>
  <c r="E745" i="11"/>
  <c r="E741" i="11"/>
  <c r="E743" i="11"/>
  <c r="E739" i="11"/>
  <c r="D107" i="11" l="1"/>
  <c r="C108" i="11"/>
  <c r="E752" i="11"/>
  <c r="E744" i="11"/>
  <c r="E761" i="11"/>
  <c r="E749" i="11"/>
  <c r="E748" i="11"/>
  <c r="E746" i="11"/>
  <c r="E750" i="11"/>
  <c r="C109" i="11" l="1"/>
  <c r="D108" i="11"/>
  <c r="E768" i="11"/>
  <c r="E759" i="11"/>
  <c r="E756" i="11"/>
  <c r="E753" i="11"/>
  <c r="E755" i="11"/>
  <c r="E757" i="11"/>
  <c r="E751" i="11"/>
  <c r="D109" i="11" l="1"/>
  <c r="C110" i="11"/>
  <c r="E762" i="11"/>
  <c r="E763" i="11"/>
  <c r="E766" i="11"/>
  <c r="E760" i="11"/>
  <c r="E758" i="11"/>
  <c r="E764" i="11"/>
  <c r="E775" i="11"/>
  <c r="C111" i="11" l="1"/>
  <c r="D110" i="11"/>
  <c r="E771" i="11"/>
  <c r="E773" i="11"/>
  <c r="E769" i="11"/>
  <c r="E765" i="11"/>
  <c r="E782" i="11"/>
  <c r="E767" i="11"/>
  <c r="E770" i="11"/>
  <c r="D111" i="11" l="1"/>
  <c r="C112" i="11"/>
  <c r="E777" i="11"/>
  <c r="E776" i="11"/>
  <c r="E778" i="11"/>
  <c r="E772" i="11"/>
  <c r="E780" i="11"/>
  <c r="E774" i="11"/>
  <c r="E789" i="11"/>
  <c r="C113" i="11" l="1"/>
  <c r="D112" i="11"/>
  <c r="E783" i="11"/>
  <c r="E796" i="11"/>
  <c r="E787" i="11"/>
  <c r="E781" i="11"/>
  <c r="E785" i="11"/>
  <c r="E784" i="11"/>
  <c r="E779" i="11"/>
  <c r="C114" i="11" l="1"/>
  <c r="D113" i="11"/>
  <c r="E790" i="11"/>
  <c r="E794" i="11"/>
  <c r="E786" i="11"/>
  <c r="E792" i="11"/>
  <c r="E788" i="11"/>
  <c r="E803" i="11"/>
  <c r="E791" i="11"/>
  <c r="D114" i="11" l="1"/>
  <c r="C115" i="11"/>
  <c r="E795" i="11"/>
  <c r="E801" i="11"/>
  <c r="E798" i="11"/>
  <c r="E797" i="11"/>
  <c r="E793" i="11"/>
  <c r="E810" i="11"/>
  <c r="E799" i="11"/>
  <c r="C116" i="11" l="1"/>
  <c r="D115" i="11"/>
  <c r="E817" i="11"/>
  <c r="E808" i="11"/>
  <c r="E800" i="11"/>
  <c r="E804" i="11"/>
  <c r="E805" i="11"/>
  <c r="E802" i="11"/>
  <c r="E806" i="11"/>
  <c r="D116" i="11" l="1"/>
  <c r="C117" i="11"/>
  <c r="E809" i="11"/>
  <c r="E812" i="11"/>
  <c r="E807" i="11"/>
  <c r="E824" i="11"/>
  <c r="E813" i="11"/>
  <c r="E815" i="11"/>
  <c r="E811" i="11"/>
  <c r="C118" i="11" l="1"/>
  <c r="D117" i="11"/>
  <c r="E816" i="11"/>
  <c r="E822" i="11"/>
  <c r="E831" i="11"/>
  <c r="E819" i="11"/>
  <c r="E820" i="11"/>
  <c r="E818" i="11"/>
  <c r="E814" i="11"/>
  <c r="D118" i="11" l="1"/>
  <c r="C119" i="11"/>
  <c r="E827" i="11"/>
  <c r="E823" i="11"/>
  <c r="E821" i="11"/>
  <c r="E838" i="11"/>
  <c r="E825" i="11"/>
  <c r="E826" i="11"/>
  <c r="E829" i="11"/>
  <c r="D119" i="11" l="1"/>
  <c r="C120" i="11"/>
  <c r="E830" i="11"/>
  <c r="E845" i="11"/>
  <c r="E834" i="11"/>
  <c r="E833" i="11"/>
  <c r="E832" i="11"/>
  <c r="E836" i="11"/>
  <c r="E828" i="11"/>
  <c r="C121" i="11" l="1"/>
  <c r="D120" i="11"/>
  <c r="E840" i="11"/>
  <c r="E835" i="11"/>
  <c r="E839" i="11"/>
  <c r="E837" i="11"/>
  <c r="E841" i="11"/>
  <c r="E843" i="11"/>
  <c r="E852" i="11"/>
  <c r="C122" i="11" l="1"/>
  <c r="D121" i="11"/>
  <c r="E859" i="11"/>
  <c r="E847" i="11"/>
  <c r="E846" i="11"/>
  <c r="E842" i="11"/>
  <c r="E844" i="11"/>
  <c r="E848" i="11"/>
  <c r="E850" i="11"/>
  <c r="D122" i="11" l="1"/>
  <c r="C123" i="11"/>
  <c r="E855" i="11"/>
  <c r="E857" i="11"/>
  <c r="E854" i="11"/>
  <c r="E853" i="11"/>
  <c r="E851" i="11"/>
  <c r="E849" i="11"/>
  <c r="E866" i="11"/>
  <c r="C124" i="11" l="1"/>
  <c r="D123" i="11"/>
  <c r="E858" i="11"/>
  <c r="E856" i="11"/>
  <c r="E864" i="11"/>
  <c r="E862" i="11"/>
  <c r="E873" i="11"/>
  <c r="E860" i="11"/>
  <c r="E861" i="11"/>
  <c r="C125" i="11" l="1"/>
  <c r="D124" i="11"/>
  <c r="E867" i="11"/>
  <c r="E863" i="11"/>
  <c r="E865" i="11"/>
  <c r="E868" i="11"/>
  <c r="E869" i="11"/>
  <c r="E880" i="11"/>
  <c r="E871" i="11"/>
  <c r="C126" i="11" l="1"/>
  <c r="D125" i="11"/>
  <c r="E870" i="11"/>
  <c r="E876" i="11"/>
  <c r="E878" i="11"/>
  <c r="E872" i="11"/>
  <c r="E874" i="11"/>
  <c r="E887" i="11"/>
  <c r="E875" i="11"/>
  <c r="C127" i="11" l="1"/>
  <c r="D126" i="11"/>
  <c r="E882" i="11"/>
  <c r="E885" i="11"/>
  <c r="E879" i="11"/>
  <c r="E877" i="11"/>
  <c r="E881" i="11"/>
  <c r="E883" i="11"/>
  <c r="C128" i="11" l="1"/>
  <c r="D127" i="11"/>
  <c r="E886" i="11"/>
  <c r="E884" i="11"/>
  <c r="E889" i="11"/>
  <c r="E890" i="11"/>
  <c r="E888" i="11"/>
  <c r="C129" i="11" l="1"/>
  <c r="D128" i="11"/>
  <c r="K5" i="11"/>
  <c r="K3" i="11"/>
  <c r="M3" i="11" s="1"/>
  <c r="L8" i="11"/>
  <c r="L7" i="11"/>
  <c r="L2" i="11"/>
  <c r="L5" i="11"/>
  <c r="L3" i="11"/>
  <c r="L4" i="11"/>
  <c r="K2" i="11"/>
  <c r="K6" i="11"/>
  <c r="M6" i="11" s="1"/>
  <c r="K7" i="11"/>
  <c r="M7" i="11" s="1"/>
  <c r="L6" i="11"/>
  <c r="K8" i="11"/>
  <c r="M8" i="11" s="1"/>
  <c r="K4" i="11"/>
  <c r="L9" i="11"/>
  <c r="K10" i="11"/>
  <c r="L12" i="11"/>
  <c r="K11" i="11"/>
  <c r="K15" i="11"/>
  <c r="L10" i="11"/>
  <c r="L11" i="11"/>
  <c r="K9" i="11"/>
  <c r="M9" i="11" s="1"/>
  <c r="L22" i="11"/>
  <c r="K16" i="11"/>
  <c r="L20" i="11"/>
  <c r="K18" i="11"/>
  <c r="M18" i="11" s="1"/>
  <c r="L18" i="11"/>
  <c r="K21" i="11"/>
  <c r="L21" i="11"/>
  <c r="L27" i="11"/>
  <c r="K25" i="11"/>
  <c r="L25" i="11"/>
  <c r="K23" i="11"/>
  <c r="L23" i="11"/>
  <c r="L29" i="11"/>
  <c r="L28" i="11"/>
  <c r="K28" i="11"/>
  <c r="M28" i="11" s="1"/>
  <c r="K29" i="11"/>
  <c r="L36" i="11"/>
  <c r="L30" i="11"/>
  <c r="L35" i="11"/>
  <c r="L32" i="11"/>
  <c r="K35" i="11"/>
  <c r="K32" i="11"/>
  <c r="L43" i="11"/>
  <c r="L41" i="11"/>
  <c r="L39" i="11"/>
  <c r="K41" i="11"/>
  <c r="K37" i="11"/>
  <c r="M37" i="11" s="1"/>
  <c r="K39" i="11"/>
  <c r="M39" i="11" s="1"/>
  <c r="L37" i="11"/>
  <c r="K42" i="11"/>
  <c r="L49" i="11"/>
  <c r="K46" i="11"/>
  <c r="K51" i="11"/>
  <c r="L57" i="11"/>
  <c r="L51" i="11"/>
  <c r="L53" i="11"/>
  <c r="L52" i="11"/>
  <c r="K52" i="11"/>
  <c r="K53" i="11"/>
  <c r="L55" i="11"/>
  <c r="K57" i="11"/>
  <c r="K55" i="11"/>
  <c r="K56" i="11"/>
  <c r="K58" i="11"/>
  <c r="M58" i="11" s="1"/>
  <c r="L63" i="11"/>
  <c r="K62" i="11"/>
  <c r="K60" i="11"/>
  <c r="L64" i="11"/>
  <c r="L58" i="11"/>
  <c r="K63" i="11"/>
  <c r="K70" i="11"/>
  <c r="L67" i="11"/>
  <c r="K69" i="11"/>
  <c r="M69" i="11" s="1"/>
  <c r="L69" i="11"/>
  <c r="L73" i="11"/>
  <c r="K74" i="11"/>
  <c r="M74" i="11" s="1"/>
  <c r="K77" i="11"/>
  <c r="K78" i="11"/>
  <c r="L78" i="11"/>
  <c r="L77" i="11"/>
  <c r="K76" i="11"/>
  <c r="L72" i="11"/>
  <c r="K73" i="11"/>
  <c r="M73" i="11" s="1"/>
  <c r="L76" i="11"/>
  <c r="K72" i="11"/>
  <c r="L74" i="11"/>
  <c r="K81" i="11"/>
  <c r="K85" i="11"/>
  <c r="L84" i="11"/>
  <c r="L79" i="11"/>
  <c r="K92" i="11"/>
  <c r="K88" i="11"/>
  <c r="K91" i="11"/>
  <c r="L90" i="11"/>
  <c r="L91" i="11"/>
  <c r="K90" i="11"/>
  <c r="M90" i="11" s="1"/>
  <c r="L92" i="11"/>
  <c r="L97" i="11"/>
  <c r="K99" i="11"/>
  <c r="L106" i="11"/>
  <c r="K101" i="11"/>
  <c r="L105" i="11"/>
  <c r="L101" i="11"/>
  <c r="L100" i="11"/>
  <c r="K107" i="11"/>
  <c r="M107" i="11" s="1"/>
  <c r="L108" i="11"/>
  <c r="K113" i="11"/>
  <c r="K108" i="11"/>
  <c r="M108" i="11" s="1"/>
  <c r="L107" i="11"/>
  <c r="L111" i="11"/>
  <c r="L112" i="11"/>
  <c r="L114" i="11"/>
  <c r="K120" i="11"/>
  <c r="L116" i="11"/>
  <c r="K119" i="11"/>
  <c r="L118" i="11"/>
  <c r="K126" i="11"/>
  <c r="L126" i="11"/>
  <c r="K127" i="11"/>
  <c r="L127" i="11"/>
  <c r="L121" i="11"/>
  <c r="K122" i="11"/>
  <c r="L123" i="11"/>
  <c r="K125" i="11"/>
  <c r="K123" i="11"/>
  <c r="K121" i="11"/>
  <c r="M76" i="11" l="1"/>
  <c r="M11" i="11"/>
  <c r="M23" i="11"/>
  <c r="M2" i="11"/>
  <c r="M5" i="11"/>
  <c r="D129" i="11"/>
  <c r="C130" i="11"/>
  <c r="M127" i="11"/>
  <c r="M121" i="11"/>
  <c r="M78" i="11"/>
  <c r="M63" i="11"/>
  <c r="M55" i="11"/>
  <c r="M41" i="11"/>
  <c r="M10" i="11"/>
  <c r="M123" i="11"/>
  <c r="M126" i="11"/>
  <c r="M101" i="11"/>
  <c r="M91" i="11"/>
  <c r="M72" i="11"/>
  <c r="M77" i="11"/>
  <c r="M57" i="11"/>
  <c r="M51" i="11"/>
  <c r="M25" i="11"/>
  <c r="M29" i="11"/>
  <c r="M4" i="11"/>
  <c r="M92" i="11"/>
  <c r="M53" i="11"/>
  <c r="M52" i="11"/>
  <c r="M32" i="11"/>
  <c r="M21" i="11"/>
  <c r="M35" i="11"/>
  <c r="C131" i="11" l="1"/>
  <c r="D130" i="11"/>
  <c r="C132" i="11" l="1"/>
  <c r="D131" i="11"/>
  <c r="D132" i="11" l="1"/>
  <c r="C133" i="11"/>
  <c r="C134" i="11" l="1"/>
  <c r="D133" i="11"/>
  <c r="K130" i="11" l="1"/>
  <c r="M130" i="11" s="1"/>
  <c r="L134" i="11"/>
  <c r="K129" i="11"/>
  <c r="K133" i="11"/>
  <c r="D134" i="11"/>
  <c r="L129" i="11"/>
  <c r="L130" i="11"/>
  <c r="C135" i="11"/>
  <c r="K132" i="11"/>
  <c r="L128" i="11"/>
  <c r="L132" i="11"/>
  <c r="K134" i="11"/>
  <c r="M134" i="11" s="1"/>
  <c r="K128" i="11"/>
  <c r="L133" i="11"/>
  <c r="C136" i="11" l="1"/>
  <c r="D135" i="11"/>
  <c r="M128" i="11"/>
  <c r="M133" i="11"/>
  <c r="M129" i="11"/>
  <c r="M132" i="11"/>
  <c r="D136" i="11" l="1"/>
  <c r="C137" i="11"/>
  <c r="C138" i="11" l="1"/>
  <c r="D137" i="11"/>
  <c r="D138" i="11" l="1"/>
  <c r="C139" i="11"/>
  <c r="C140" i="11" l="1"/>
  <c r="D139" i="11"/>
  <c r="D140" i="11" l="1"/>
  <c r="C141" i="11"/>
  <c r="K135" i="11" l="1"/>
  <c r="L141" i="11"/>
  <c r="L136" i="11"/>
  <c r="L139" i="11"/>
  <c r="C142" i="11"/>
  <c r="L140" i="11"/>
  <c r="K140" i="11"/>
  <c r="M140" i="11" s="1"/>
  <c r="D141" i="11"/>
  <c r="K136" i="11"/>
  <c r="M136" i="11" s="1"/>
  <c r="L137" i="11"/>
  <c r="K141" i="11"/>
  <c r="M141" i="11" s="1"/>
  <c r="L135" i="11"/>
  <c r="K139" i="11"/>
  <c r="M139" i="11" s="1"/>
  <c r="D142" i="11" l="1"/>
  <c r="C143" i="11"/>
  <c r="M135" i="11"/>
  <c r="C144" i="11" l="1"/>
  <c r="D143" i="11"/>
  <c r="D144" i="11" l="1"/>
  <c r="C145" i="11"/>
  <c r="C146" i="11" l="1"/>
  <c r="D145" i="11"/>
  <c r="D146" i="11" l="1"/>
  <c r="C147" i="11"/>
  <c r="C148" i="11" l="1"/>
  <c r="D147" i="11"/>
  <c r="K144" i="11" l="1"/>
  <c r="L142" i="11"/>
  <c r="L147" i="11"/>
  <c r="L148" i="11"/>
  <c r="D148" i="11"/>
  <c r="K147" i="11"/>
  <c r="M147" i="11" s="1"/>
  <c r="K148" i="11"/>
  <c r="M148" i="11" s="1"/>
  <c r="C149" i="11"/>
  <c r="L143" i="11"/>
  <c r="K142" i="11"/>
  <c r="M142" i="11" s="1"/>
  <c r="K146" i="11"/>
  <c r="M146" i="11" s="1"/>
  <c r="L144" i="11"/>
  <c r="L146" i="11"/>
  <c r="K143" i="11"/>
  <c r="C150" i="11" l="1"/>
  <c r="D149" i="11"/>
  <c r="M143" i="11"/>
  <c r="M144" i="11"/>
  <c r="D150" i="11" l="1"/>
  <c r="C151" i="11"/>
  <c r="C152" i="11" l="1"/>
  <c r="D151" i="11"/>
  <c r="D152" i="11" l="1"/>
  <c r="C153" i="11"/>
  <c r="C154" i="11" l="1"/>
  <c r="D153" i="11"/>
  <c r="D154" i="11" l="1"/>
  <c r="C155" i="11"/>
  <c r="K154" i="11" l="1"/>
  <c r="M154" i="11" s="1"/>
  <c r="L151" i="11"/>
  <c r="L153" i="11"/>
  <c r="L154" i="11"/>
  <c r="C156" i="11"/>
  <c r="L155" i="11"/>
  <c r="K155" i="11"/>
  <c r="M155" i="11" s="1"/>
  <c r="D155" i="11"/>
  <c r="K149" i="11"/>
  <c r="M149" i="11" s="1"/>
  <c r="K150" i="11"/>
  <c r="M150" i="11" s="1"/>
  <c r="L150" i="11"/>
  <c r="K151" i="11"/>
  <c r="M151" i="11" s="1"/>
  <c r="K153" i="11"/>
  <c r="M153" i="11" s="1"/>
  <c r="L149" i="11"/>
  <c r="C157" i="11" l="1"/>
  <c r="D156" i="11"/>
  <c r="C158" i="11" l="1"/>
  <c r="D157" i="11"/>
  <c r="C159" i="11" l="1"/>
  <c r="D158" i="11"/>
  <c r="C160" i="11" l="1"/>
  <c r="D159" i="11"/>
  <c r="D160" i="11" l="1"/>
  <c r="C161" i="11"/>
  <c r="C162" i="11" l="1"/>
  <c r="D161" i="11"/>
  <c r="L160" i="11" l="1"/>
  <c r="L156" i="11"/>
  <c r="K156" i="11"/>
  <c r="M156" i="11" s="1"/>
  <c r="D162" i="11"/>
  <c r="K162" i="11"/>
  <c r="L162" i="11"/>
  <c r="C163" i="11"/>
  <c r="L161" i="11"/>
  <c r="K161" i="11"/>
  <c r="M161" i="11" s="1"/>
  <c r="K160" i="11"/>
  <c r="M160" i="11" s="1"/>
  <c r="L158" i="11"/>
  <c r="K158" i="11"/>
  <c r="C164" i="11" l="1"/>
  <c r="D163" i="11"/>
  <c r="M162" i="11"/>
  <c r="M158" i="11"/>
  <c r="C165" i="11" l="1"/>
  <c r="D164" i="11"/>
  <c r="C166" i="11" l="1"/>
  <c r="D165" i="11"/>
  <c r="D166" i="11" l="1"/>
  <c r="C167" i="11"/>
  <c r="C168" i="11" l="1"/>
  <c r="D167" i="11"/>
  <c r="D168" i="11" l="1"/>
  <c r="C169" i="11"/>
  <c r="L165" i="11" l="1"/>
  <c r="L164" i="11"/>
  <c r="K167" i="11"/>
  <c r="M167" i="11" s="1"/>
  <c r="C170" i="11"/>
  <c r="K164" i="11"/>
  <c r="M164" i="11" s="1"/>
  <c r="L167" i="11"/>
  <c r="D169" i="11"/>
  <c r="L168" i="11"/>
  <c r="L169" i="11"/>
  <c r="K165" i="11"/>
  <c r="M165" i="11" s="1"/>
  <c r="K163" i="11"/>
  <c r="M163" i="11" s="1"/>
  <c r="K168" i="11"/>
  <c r="M168" i="11" s="1"/>
  <c r="K169" i="11"/>
  <c r="M169" i="11" s="1"/>
  <c r="L163" i="11"/>
  <c r="C171" i="11" l="1"/>
  <c r="D170" i="11"/>
  <c r="C172" i="11" l="1"/>
  <c r="D171" i="11"/>
  <c r="D172" i="11" l="1"/>
  <c r="C173" i="11"/>
  <c r="C174" i="11" l="1"/>
  <c r="D173" i="11"/>
  <c r="D174" i="11" l="1"/>
  <c r="C175" i="11"/>
  <c r="C176" i="11" l="1"/>
  <c r="D175" i="11"/>
  <c r="K175" i="11" l="1"/>
  <c r="M175" i="11" s="1"/>
  <c r="L172" i="11"/>
  <c r="L174" i="11"/>
  <c r="K172" i="11"/>
  <c r="M172" i="11" s="1"/>
  <c r="D176" i="11"/>
  <c r="K171" i="11"/>
  <c r="C177" i="11"/>
  <c r="L175" i="11"/>
  <c r="L171" i="11"/>
  <c r="K170" i="11"/>
  <c r="L176" i="11"/>
  <c r="K176" i="11"/>
  <c r="M176" i="11" s="1"/>
  <c r="K174" i="11"/>
  <c r="M174" i="11" s="1"/>
  <c r="L170" i="11"/>
  <c r="C178" i="11" l="1"/>
  <c r="D177" i="11"/>
  <c r="M171" i="11"/>
  <c r="M170" i="11"/>
  <c r="D178" i="11" l="1"/>
  <c r="C179" i="11"/>
  <c r="D179" i="11" l="1"/>
  <c r="C180" i="11"/>
  <c r="D180" i="11" l="1"/>
  <c r="C181" i="11"/>
  <c r="C182" i="11" l="1"/>
  <c r="D181" i="11"/>
  <c r="L179" i="11" l="1"/>
  <c r="D182" i="11"/>
  <c r="C183" i="11"/>
  <c r="L178" i="11" l="1"/>
  <c r="K182" i="11"/>
  <c r="L177" i="11"/>
  <c r="C184" i="11"/>
  <c r="L181" i="11"/>
  <c r="L183" i="11"/>
  <c r="D183" i="11"/>
  <c r="K181" i="11"/>
  <c r="M181" i="11" s="1"/>
  <c r="L182" i="11"/>
  <c r="K177" i="11"/>
  <c r="M177" i="11" s="1"/>
  <c r="K183" i="11"/>
  <c r="M183" i="11" s="1"/>
  <c r="K179" i="11"/>
  <c r="M179" i="11" s="1"/>
  <c r="D184" i="11" l="1"/>
  <c r="C185" i="11"/>
  <c r="M182" i="11"/>
  <c r="D185" i="11" l="1"/>
  <c r="C186" i="11"/>
  <c r="D186" i="11" l="1"/>
  <c r="C187" i="11"/>
  <c r="C188" i="11" l="1"/>
  <c r="D187" i="11"/>
  <c r="D188" i="11" l="1"/>
  <c r="C189" i="11"/>
  <c r="D189" i="11" l="1"/>
  <c r="C190" i="11"/>
  <c r="K190" i="11" l="1"/>
  <c r="M190" i="11" s="1"/>
  <c r="K188" i="11"/>
  <c r="L185" i="11"/>
  <c r="D190" i="11"/>
  <c r="L186" i="11"/>
  <c r="L184" i="11"/>
  <c r="C191" i="11"/>
  <c r="L189" i="11"/>
  <c r="K185" i="11"/>
  <c r="M185" i="11" s="1"/>
  <c r="K186" i="11"/>
  <c r="M186" i="11" s="1"/>
  <c r="L188" i="11"/>
  <c r="L190" i="11"/>
  <c r="K184" i="11"/>
  <c r="M184" i="11" s="1"/>
  <c r="K189" i="11"/>
  <c r="M189" i="11" s="1"/>
  <c r="C192" i="11" l="1"/>
  <c r="D191" i="11"/>
  <c r="M188" i="11"/>
  <c r="D192" i="11" l="1"/>
  <c r="C193" i="11"/>
  <c r="C194" i="11" l="1"/>
  <c r="D193" i="11"/>
  <c r="D194" i="11" l="1"/>
  <c r="C195" i="11"/>
  <c r="D195" i="11" l="1"/>
  <c r="C196" i="11"/>
  <c r="C197" i="11" l="1"/>
  <c r="D196" i="11"/>
  <c r="L192" i="11" l="1"/>
  <c r="K191" i="11"/>
  <c r="M191" i="11" s="1"/>
  <c r="K197" i="11"/>
  <c r="L193" i="11"/>
  <c r="C198" i="11"/>
  <c r="L191" i="11"/>
  <c r="L196" i="11"/>
  <c r="D197" i="11"/>
  <c r="K193" i="11"/>
  <c r="M193" i="11" s="1"/>
  <c r="L195" i="11"/>
  <c r="K195" i="11"/>
  <c r="M195" i="11" s="1"/>
  <c r="L197" i="11"/>
  <c r="K192" i="11"/>
  <c r="M192" i="11" s="1"/>
  <c r="K196" i="11"/>
  <c r="M196" i="11" s="1"/>
  <c r="C199" i="11" l="1"/>
  <c r="D198" i="11"/>
  <c r="M197" i="11"/>
  <c r="C200" i="11" l="1"/>
  <c r="D199" i="11"/>
  <c r="C201" i="11" l="1"/>
  <c r="D200" i="11"/>
  <c r="C202" i="11" l="1"/>
  <c r="D201" i="11"/>
  <c r="C203" i="11" l="1"/>
  <c r="D202" i="11"/>
  <c r="D203" i="11" l="1"/>
  <c r="C204" i="11"/>
  <c r="K204" i="11" l="1"/>
  <c r="M204" i="11" s="1"/>
  <c r="K200" i="11"/>
  <c r="M200" i="11" s="1"/>
  <c r="L203" i="11"/>
  <c r="L204" i="11"/>
  <c r="K202" i="11"/>
  <c r="C205" i="11"/>
  <c r="K198" i="11"/>
  <c r="L198" i="11"/>
  <c r="K199" i="11"/>
  <c r="M199" i="11" s="1"/>
  <c r="D204" i="11"/>
  <c r="K203" i="11"/>
  <c r="M203" i="11" s="1"/>
  <c r="L199" i="11"/>
  <c r="L202" i="11"/>
  <c r="L200" i="11"/>
  <c r="M198" i="11" l="1"/>
  <c r="C206" i="11"/>
  <c r="D205" i="11"/>
  <c r="M202" i="11"/>
  <c r="C207" i="11" l="1"/>
  <c r="D206" i="11"/>
  <c r="C208" i="11" l="1"/>
  <c r="D207" i="11"/>
  <c r="C209" i="11" l="1"/>
  <c r="D208" i="11"/>
  <c r="C210" i="11" l="1"/>
  <c r="D209" i="11"/>
  <c r="D210" i="11" l="1"/>
  <c r="C211" i="11"/>
  <c r="K207" i="11" l="1"/>
  <c r="L209" i="11"/>
  <c r="K211" i="11"/>
  <c r="C212" i="11"/>
  <c r="K210" i="11"/>
  <c r="K205" i="11"/>
  <c r="M205" i="11" s="1"/>
  <c r="D211" i="11"/>
  <c r="L205" i="11"/>
  <c r="L207" i="11"/>
  <c r="K209" i="11"/>
  <c r="M209" i="11" s="1"/>
  <c r="L211" i="11"/>
  <c r="L210" i="11"/>
  <c r="M210" i="11" l="1"/>
  <c r="C213" i="11"/>
  <c r="D212" i="11"/>
  <c r="M211" i="11"/>
  <c r="M207" i="11"/>
  <c r="C214" i="11" l="1"/>
  <c r="D213" i="11"/>
  <c r="C215" i="11" l="1"/>
  <c r="D214" i="11"/>
  <c r="C216" i="11" l="1"/>
  <c r="D215" i="11"/>
  <c r="C217" i="11" l="1"/>
  <c r="D216" i="11"/>
  <c r="D217" i="11" l="1"/>
  <c r="C218" i="11"/>
  <c r="L217" i="11" l="1"/>
  <c r="K212" i="11"/>
  <c r="M212" i="11" s="1"/>
  <c r="K218" i="11"/>
  <c r="K217" i="11"/>
  <c r="M217" i="11" s="1"/>
  <c r="C219" i="11"/>
  <c r="L212" i="11"/>
  <c r="L216" i="11"/>
  <c r="D218" i="11"/>
  <c r="K214" i="11"/>
  <c r="M214" i="11" s="1"/>
  <c r="L214" i="11"/>
  <c r="L213" i="11"/>
  <c r="L218" i="11"/>
  <c r="K213" i="11"/>
  <c r="K216" i="11"/>
  <c r="M216" i="11" s="1"/>
  <c r="M213" i="11" l="1"/>
  <c r="D219" i="11"/>
  <c r="C220" i="11"/>
  <c r="M218" i="11"/>
  <c r="C221" i="11" l="1"/>
  <c r="D220" i="11"/>
  <c r="C222" i="11" l="1"/>
  <c r="D221" i="11"/>
  <c r="C223" i="11" l="1"/>
  <c r="D222" i="11"/>
  <c r="C224" i="11" l="1"/>
  <c r="D223" i="11"/>
  <c r="C225" i="11" l="1"/>
  <c r="D224" i="11"/>
  <c r="L221" i="11" l="1"/>
  <c r="L223" i="11"/>
  <c r="L225" i="11"/>
  <c r="L220" i="11"/>
  <c r="C226" i="11"/>
  <c r="K219" i="11"/>
  <c r="L224" i="11"/>
  <c r="D225" i="11"/>
  <c r="L219" i="11"/>
  <c r="K220" i="11"/>
  <c r="K224" i="11"/>
  <c r="K221" i="11"/>
  <c r="M221" i="11" s="1"/>
  <c r="K223" i="11"/>
  <c r="M223" i="11" s="1"/>
  <c r="K225" i="11"/>
  <c r="M225" i="11" s="1"/>
  <c r="M219" i="11" l="1"/>
  <c r="D226" i="11"/>
  <c r="C227" i="11"/>
  <c r="M224" i="11"/>
  <c r="M220" i="11"/>
  <c r="C228" i="11" l="1"/>
  <c r="D227" i="11"/>
  <c r="C229" i="11" l="1"/>
  <c r="D228" i="11"/>
  <c r="C230" i="11" l="1"/>
  <c r="D229" i="11"/>
  <c r="D230" i="11" l="1"/>
  <c r="C231" i="11"/>
  <c r="C232" i="11" l="1"/>
  <c r="D231" i="11"/>
  <c r="L231" i="11" l="1"/>
  <c r="K231" i="11"/>
  <c r="M231" i="11" s="1"/>
  <c r="C233" i="11"/>
  <c r="L232" i="11"/>
  <c r="D232" i="11"/>
  <c r="K226" i="11"/>
  <c r="M226" i="11" s="1"/>
  <c r="K232" i="11"/>
  <c r="M232" i="11" s="1"/>
  <c r="K228" i="11"/>
  <c r="M228" i="11" s="1"/>
  <c r="L230" i="11"/>
  <c r="K230" i="11"/>
  <c r="M230" i="11" s="1"/>
  <c r="L228" i="11"/>
  <c r="K227" i="11"/>
  <c r="M227" i="11" s="1"/>
  <c r="L226" i="11"/>
  <c r="L227" i="11"/>
  <c r="C234" i="11" l="1"/>
  <c r="D233" i="11"/>
  <c r="C235" i="11" l="1"/>
  <c r="D234" i="11"/>
  <c r="C236" i="11" l="1"/>
  <c r="D235" i="11"/>
  <c r="C237" i="11" l="1"/>
  <c r="D236" i="11"/>
  <c r="C238" i="11" l="1"/>
  <c r="D237" i="11"/>
  <c r="C239" i="11" l="1"/>
  <c r="D238" i="11"/>
  <c r="K235" i="11" l="1"/>
  <c r="M235" i="11" s="1"/>
  <c r="L238" i="11"/>
  <c r="K239" i="11"/>
  <c r="M239" i="11" s="1"/>
  <c r="C240" i="11"/>
  <c r="L235" i="11"/>
  <c r="D239" i="11"/>
  <c r="L239" i="11"/>
  <c r="L234" i="11"/>
  <c r="L237" i="11"/>
  <c r="K237" i="11"/>
  <c r="M237" i="11" s="1"/>
  <c r="K234" i="11"/>
  <c r="M234" i="11" s="1"/>
  <c r="L233" i="11"/>
  <c r="K233" i="11"/>
  <c r="M233" i="11" s="1"/>
  <c r="K238" i="11"/>
  <c r="M238" i="11" s="1"/>
  <c r="C241" i="11" l="1"/>
  <c r="D240" i="11"/>
  <c r="C242" i="11" l="1"/>
  <c r="D241" i="11"/>
  <c r="C243" i="11" l="1"/>
  <c r="D242" i="11"/>
  <c r="C244" i="11" l="1"/>
  <c r="D243" i="11"/>
  <c r="C245" i="11" l="1"/>
  <c r="D244" i="11"/>
  <c r="D245" i="11" l="1"/>
  <c r="C246" i="11"/>
  <c r="L240" i="11" l="1"/>
  <c r="K242" i="11"/>
  <c r="M242" i="11" s="1"/>
  <c r="L242" i="11"/>
  <c r="K244" i="11"/>
  <c r="M244" i="11" s="1"/>
  <c r="C247" i="11"/>
  <c r="K246" i="11"/>
  <c r="D246" i="11"/>
  <c r="K245" i="11"/>
  <c r="K240" i="11"/>
  <c r="M240" i="11" s="1"/>
  <c r="L244" i="11"/>
  <c r="L245" i="11"/>
  <c r="L246" i="11"/>
  <c r="M246" i="11" l="1"/>
  <c r="M245" i="11"/>
  <c r="C248" i="11"/>
  <c r="D247" i="11"/>
  <c r="C249" i="11" l="1"/>
  <c r="D248" i="11"/>
  <c r="D249" i="11" l="1"/>
  <c r="C250" i="11"/>
  <c r="C251" i="11" l="1"/>
  <c r="D250" i="11"/>
  <c r="D251" i="11" l="1"/>
  <c r="C252" i="11"/>
  <c r="D252" i="11" l="1"/>
  <c r="C253" i="11"/>
  <c r="K248" i="11" l="1"/>
  <c r="M248" i="11" s="1"/>
  <c r="K252" i="11"/>
  <c r="M252" i="11" s="1"/>
  <c r="L248" i="11"/>
  <c r="L247" i="11"/>
  <c r="C254" i="11"/>
  <c r="K251" i="11"/>
  <c r="L252" i="11"/>
  <c r="D253" i="11"/>
  <c r="L253" i="11"/>
  <c r="K249" i="11"/>
  <c r="M249" i="11" s="1"/>
  <c r="K247" i="11"/>
  <c r="M247" i="11" s="1"/>
  <c r="L251" i="11"/>
  <c r="L249" i="11"/>
  <c r="K253" i="11"/>
  <c r="M253" i="11" s="1"/>
  <c r="M251" i="11" l="1"/>
  <c r="D254" i="11"/>
  <c r="C255" i="11"/>
  <c r="C256" i="11" l="1"/>
  <c r="D255" i="11"/>
  <c r="D256" i="11" l="1"/>
  <c r="C257" i="11"/>
  <c r="C258" i="11" l="1"/>
  <c r="D257" i="11"/>
  <c r="C259" i="11" l="1"/>
  <c r="D258" i="11"/>
  <c r="C260" i="11" l="1"/>
  <c r="D259" i="11"/>
  <c r="L259" i="11" l="1"/>
  <c r="K254" i="11"/>
  <c r="M254" i="11" s="1"/>
  <c r="K258" i="11"/>
  <c r="M258" i="11" s="1"/>
  <c r="L258" i="11"/>
  <c r="C261" i="11"/>
  <c r="L260" i="11"/>
  <c r="D260" i="11"/>
  <c r="L254" i="11"/>
  <c r="K259" i="11"/>
  <c r="M259" i="11" s="1"/>
  <c r="K255" i="11"/>
  <c r="M255" i="11" s="1"/>
  <c r="L256" i="11"/>
  <c r="K256" i="11"/>
  <c r="L255" i="11"/>
  <c r="K260" i="11"/>
  <c r="M260" i="11" s="1"/>
  <c r="D261" i="11" l="1"/>
  <c r="C262" i="11"/>
  <c r="M256" i="11"/>
  <c r="C263" i="11" l="1"/>
  <c r="D262" i="11"/>
  <c r="C264" i="11" l="1"/>
  <c r="D263" i="11"/>
  <c r="C265" i="11" l="1"/>
  <c r="D264" i="11"/>
  <c r="D265" i="11" l="1"/>
  <c r="C266" i="11"/>
  <c r="C267" i="11" l="1"/>
  <c r="D266" i="11"/>
  <c r="K263" i="11" l="1"/>
  <c r="M263" i="11" s="1"/>
  <c r="K266" i="11"/>
  <c r="L261" i="11"/>
  <c r="C268" i="11"/>
  <c r="L265" i="11"/>
  <c r="D267" i="11"/>
  <c r="K267" i="11"/>
  <c r="M267" i="11" s="1"/>
  <c r="L267" i="11"/>
  <c r="L263" i="11"/>
  <c r="L266" i="11"/>
  <c r="K265" i="11"/>
  <c r="M265" i="11" s="1"/>
  <c r="K261" i="11"/>
  <c r="M261" i="11" s="1"/>
  <c r="C269" i="11" l="1"/>
  <c r="D268" i="11"/>
  <c r="M266" i="11"/>
  <c r="C270" i="11" l="1"/>
  <c r="D269" i="11"/>
  <c r="C271" i="11" l="1"/>
  <c r="D270" i="11"/>
  <c r="D271" i="11" l="1"/>
  <c r="C272" i="11"/>
  <c r="C273" i="11" l="1"/>
  <c r="D272" i="11"/>
  <c r="C274" i="11" l="1"/>
  <c r="D273" i="11"/>
  <c r="K270" i="11" l="1"/>
  <c r="M270" i="11" s="1"/>
  <c r="L268" i="11"/>
  <c r="L272" i="11"/>
  <c r="C275" i="11"/>
  <c r="K268" i="11"/>
  <c r="M268" i="11" s="1"/>
  <c r="D274" i="11"/>
  <c r="L270" i="11"/>
  <c r="K272" i="11"/>
  <c r="M272" i="11" s="1"/>
  <c r="K274" i="11"/>
  <c r="M274" i="11" s="1"/>
  <c r="L273" i="11"/>
  <c r="K273" i="11"/>
  <c r="M273" i="11" s="1"/>
  <c r="L274" i="11"/>
  <c r="C276" i="11" l="1"/>
  <c r="D275" i="11"/>
  <c r="C277" i="11" l="1"/>
  <c r="D276" i="11"/>
  <c r="C278" i="11" l="1"/>
  <c r="D277" i="11"/>
  <c r="C279" i="11" l="1"/>
  <c r="D278" i="11"/>
  <c r="C280" i="11" l="1"/>
  <c r="D279" i="11"/>
  <c r="C281" i="11" l="1"/>
  <c r="D280" i="11"/>
  <c r="K275" i="11" l="1"/>
  <c r="M275" i="11" s="1"/>
  <c r="K279" i="11"/>
  <c r="M279" i="11" s="1"/>
  <c r="L281" i="11"/>
  <c r="C282" i="11"/>
  <c r="L279" i="11"/>
  <c r="D281" i="11"/>
  <c r="K280" i="11"/>
  <c r="M280" i="11" s="1"/>
  <c r="L275" i="11"/>
  <c r="K277" i="11"/>
  <c r="K281" i="11"/>
  <c r="M281" i="11" s="1"/>
  <c r="L277" i="11"/>
  <c r="L280" i="11"/>
  <c r="M277" i="11" l="1"/>
  <c r="C283" i="11"/>
  <c r="D282" i="11"/>
  <c r="C284" i="11" l="1"/>
  <c r="D283" i="11"/>
  <c r="C285" i="11" l="1"/>
  <c r="D284" i="11"/>
  <c r="C286" i="11" l="1"/>
  <c r="D285" i="11"/>
  <c r="C287" i="11" l="1"/>
  <c r="D286" i="11"/>
  <c r="D287" i="11" l="1"/>
  <c r="C288" i="11"/>
  <c r="K284" i="11" l="1"/>
  <c r="L288" i="11"/>
  <c r="K288" i="11"/>
  <c r="M288" i="11" s="1"/>
  <c r="L286" i="11"/>
  <c r="D288" i="11"/>
  <c r="L282" i="11"/>
  <c r="C289" i="11"/>
  <c r="K287" i="11"/>
  <c r="M287" i="11" s="1"/>
  <c r="K282" i="11"/>
  <c r="M282" i="11" s="1"/>
  <c r="L283" i="11"/>
  <c r="L284" i="11"/>
  <c r="K286" i="11"/>
  <c r="M286" i="11" s="1"/>
  <c r="L287" i="11"/>
  <c r="D289" i="11" l="1"/>
  <c r="C290" i="11"/>
  <c r="M284" i="11"/>
  <c r="D290" i="11" l="1"/>
  <c r="C291" i="11"/>
  <c r="D291" i="11" l="1"/>
  <c r="C292" i="11"/>
  <c r="D292" i="11" l="1"/>
  <c r="C293" i="11"/>
  <c r="D293" i="11" l="1"/>
  <c r="C294" i="11"/>
  <c r="C295" i="11" l="1"/>
  <c r="D294" i="11"/>
  <c r="K294" i="11" l="1"/>
  <c r="M294" i="11" s="1"/>
  <c r="K289" i="11"/>
  <c r="L291" i="11"/>
  <c r="L293" i="11"/>
  <c r="C296" i="11"/>
  <c r="L294" i="11"/>
  <c r="D295" i="11"/>
  <c r="K290" i="11"/>
  <c r="K295" i="11"/>
  <c r="M295" i="11" s="1"/>
  <c r="K291" i="11"/>
  <c r="M291" i="11" s="1"/>
  <c r="L289" i="11"/>
  <c r="K293" i="11"/>
  <c r="M293" i="11" s="1"/>
  <c r="L295" i="11"/>
  <c r="L290" i="11"/>
  <c r="M290" i="11" l="1"/>
  <c r="C297" i="11"/>
  <c r="D296" i="11"/>
  <c r="M289" i="11"/>
  <c r="D297" i="11" l="1"/>
  <c r="C298" i="11"/>
  <c r="D298" i="11" l="1"/>
  <c r="C299" i="11"/>
  <c r="D299" i="11" l="1"/>
  <c r="C300" i="11"/>
  <c r="C301" i="11" l="1"/>
  <c r="D300" i="11"/>
  <c r="D301" i="11" l="1"/>
  <c r="C302" i="11"/>
  <c r="L301" i="11" l="1"/>
  <c r="K298" i="11"/>
  <c r="K302" i="11"/>
  <c r="M302" i="11" s="1"/>
  <c r="D302" i="11"/>
  <c r="K296" i="11"/>
  <c r="M296" i="11" s="1"/>
  <c r="C303" i="11"/>
  <c r="L302" i="11"/>
  <c r="L300" i="11"/>
  <c r="L296" i="11"/>
  <c r="K301" i="11"/>
  <c r="M301" i="11" s="1"/>
  <c r="L298" i="11"/>
  <c r="K300" i="11"/>
  <c r="M300" i="11" s="1"/>
  <c r="C304" i="11" l="1"/>
  <c r="D303" i="11"/>
  <c r="M298" i="11"/>
  <c r="C305" i="11" l="1"/>
  <c r="D304" i="11"/>
  <c r="C306" i="11" l="1"/>
  <c r="D305" i="11"/>
  <c r="D306" i="11" l="1"/>
  <c r="C307" i="11"/>
  <c r="C308" i="11" l="1"/>
  <c r="D307" i="11"/>
  <c r="D308" i="11" l="1"/>
  <c r="C309" i="11"/>
  <c r="L304" i="11" l="1"/>
  <c r="L309" i="11"/>
  <c r="K305" i="11"/>
  <c r="M305" i="11" s="1"/>
  <c r="L305" i="11"/>
  <c r="C310" i="11"/>
  <c r="K304" i="11"/>
  <c r="M304" i="11" s="1"/>
  <c r="D309" i="11"/>
  <c r="L303" i="11"/>
  <c r="L307" i="11"/>
  <c r="K307" i="11"/>
  <c r="M307" i="11" s="1"/>
  <c r="K308" i="11"/>
  <c r="M308" i="11" s="1"/>
  <c r="K303" i="11"/>
  <c r="M303" i="11" s="1"/>
  <c r="L308" i="11"/>
  <c r="K309" i="11"/>
  <c r="M309" i="11" s="1"/>
  <c r="D310" i="11" l="1"/>
  <c r="C311" i="11"/>
  <c r="C312" i="11" l="1"/>
  <c r="D311" i="11"/>
  <c r="D312" i="11" l="1"/>
  <c r="C313" i="11"/>
  <c r="C314" i="11" l="1"/>
  <c r="D313" i="11"/>
  <c r="D314" i="11" l="1"/>
  <c r="C315" i="11"/>
  <c r="C316" i="11" l="1"/>
  <c r="D315" i="11"/>
  <c r="K316" i="11" l="1"/>
  <c r="M316" i="11" s="1"/>
  <c r="K312" i="11"/>
  <c r="M312" i="11" s="1"/>
  <c r="K314" i="11"/>
  <c r="D316" i="11"/>
  <c r="L315" i="11"/>
  <c r="C317" i="11"/>
  <c r="L316" i="11"/>
  <c r="K310" i="11"/>
  <c r="M310" i="11" s="1"/>
  <c r="L310" i="11"/>
  <c r="L314" i="11"/>
  <c r="K315" i="11"/>
  <c r="M315" i="11" s="1"/>
  <c r="L312" i="11"/>
  <c r="C318" i="11" l="1"/>
  <c r="D317" i="11"/>
  <c r="M314" i="11"/>
  <c r="D318" i="11" l="1"/>
  <c r="C319" i="11"/>
  <c r="C320" i="11" l="1"/>
  <c r="D319" i="11"/>
  <c r="D320" i="11" l="1"/>
  <c r="C321" i="11"/>
  <c r="C322" i="11" l="1"/>
  <c r="D321" i="11"/>
  <c r="D322" i="11" l="1"/>
  <c r="C323" i="11"/>
  <c r="K319" i="11" l="1"/>
  <c r="K321" i="11"/>
  <c r="L318" i="11"/>
  <c r="K323" i="11"/>
  <c r="M323" i="11" s="1"/>
  <c r="C324" i="11"/>
  <c r="K318" i="11"/>
  <c r="M318" i="11" s="1"/>
  <c r="D323" i="11"/>
  <c r="L323" i="11"/>
  <c r="K322" i="11"/>
  <c r="L319" i="11"/>
  <c r="L322" i="11"/>
  <c r="K317" i="11"/>
  <c r="M317" i="11" s="1"/>
  <c r="L317" i="11"/>
  <c r="L321" i="11"/>
  <c r="M322" i="11" l="1"/>
  <c r="D324" i="11"/>
  <c r="C325" i="11"/>
  <c r="M321" i="11"/>
  <c r="M319" i="11"/>
  <c r="C326" i="11" l="1"/>
  <c r="D325" i="11"/>
  <c r="D326" i="11" l="1"/>
  <c r="C327" i="11"/>
  <c r="C328" i="11" l="1"/>
  <c r="D327" i="11"/>
  <c r="D328" i="11" l="1"/>
  <c r="C329" i="11"/>
  <c r="D329" i="11" l="1"/>
  <c r="C330" i="11"/>
  <c r="K328" i="11" l="1"/>
  <c r="M328" i="11" s="1"/>
  <c r="K325" i="11"/>
  <c r="L324" i="11"/>
  <c r="K326" i="11"/>
  <c r="D330" i="11"/>
  <c r="K330" i="11"/>
  <c r="C331" i="11"/>
  <c r="K329" i="11"/>
  <c r="M329" i="11" s="1"/>
  <c r="L329" i="11"/>
  <c r="K324" i="11"/>
  <c r="M324" i="11" s="1"/>
  <c r="L330" i="11"/>
  <c r="L326" i="11"/>
  <c r="L328" i="11"/>
  <c r="C332" i="11" l="1"/>
  <c r="D331" i="11"/>
  <c r="M330" i="11"/>
  <c r="M326" i="11"/>
  <c r="D332" i="11" l="1"/>
  <c r="C333" i="11"/>
  <c r="C334" i="11" l="1"/>
  <c r="D333" i="11"/>
  <c r="D334" i="11" l="1"/>
  <c r="C335" i="11"/>
  <c r="C336" i="11" l="1"/>
  <c r="D335" i="11"/>
  <c r="D336" i="11" l="1"/>
  <c r="C337" i="11"/>
  <c r="L331" i="11" l="1"/>
  <c r="K331" i="11"/>
  <c r="M331" i="11" s="1"/>
  <c r="K332" i="11"/>
  <c r="K336" i="11"/>
  <c r="M336" i="11" s="1"/>
  <c r="C338" i="11"/>
  <c r="K335" i="11"/>
  <c r="L333" i="11"/>
  <c r="D337" i="11"/>
  <c r="L336" i="11"/>
  <c r="K337" i="11"/>
  <c r="L335" i="11"/>
  <c r="L337" i="11"/>
  <c r="K333" i="11"/>
  <c r="M337" i="11" l="1"/>
  <c r="M335" i="11"/>
  <c r="M333" i="11"/>
  <c r="D338" i="11"/>
  <c r="C339" i="11"/>
  <c r="C340" i="11" l="1"/>
  <c r="D339" i="11"/>
  <c r="C341" i="11" l="1"/>
  <c r="D340" i="11"/>
  <c r="C342" i="11" l="1"/>
  <c r="D341" i="11"/>
  <c r="D342" i="11" l="1"/>
  <c r="C343" i="11"/>
  <c r="C344" i="11" l="1"/>
  <c r="D343" i="11"/>
  <c r="L344" i="11" l="1"/>
  <c r="L343" i="11"/>
  <c r="K340" i="11"/>
  <c r="M340" i="11" s="1"/>
  <c r="D344" i="11"/>
  <c r="L342" i="11"/>
  <c r="C345" i="11"/>
  <c r="K343" i="11"/>
  <c r="M343" i="11" s="1"/>
  <c r="L338" i="11"/>
  <c r="L340" i="11"/>
  <c r="K344" i="11"/>
  <c r="M344" i="11" s="1"/>
  <c r="K342" i="11"/>
  <c r="M342" i="11" s="1"/>
  <c r="K338" i="11"/>
  <c r="M338" i="11" s="1"/>
  <c r="C346" i="11" l="1"/>
  <c r="D345" i="11"/>
  <c r="D346" i="11" l="1"/>
  <c r="C347" i="11"/>
  <c r="C348" i="11" l="1"/>
  <c r="D347" i="11"/>
  <c r="D348" i="11" l="1"/>
  <c r="C349" i="11"/>
  <c r="C350" i="11" l="1"/>
  <c r="D349" i="11"/>
  <c r="D350" i="11" l="1"/>
  <c r="C351" i="11"/>
  <c r="K351" i="11" l="1"/>
  <c r="M351" i="11" s="1"/>
  <c r="L351" i="11"/>
  <c r="L345" i="11"/>
  <c r="K346" i="11"/>
  <c r="C352" i="11"/>
  <c r="L347" i="11"/>
  <c r="K350" i="11"/>
  <c r="D351" i="11"/>
  <c r="L350" i="11"/>
  <c r="L349" i="11"/>
  <c r="L346" i="11"/>
  <c r="K349" i="11"/>
  <c r="M349" i="11" s="1"/>
  <c r="K347" i="11"/>
  <c r="M347" i="11" s="1"/>
  <c r="K345" i="11"/>
  <c r="M345" i="11" s="1"/>
  <c r="M350" i="11" l="1"/>
  <c r="D352" i="11"/>
  <c r="C353" i="11"/>
  <c r="M346" i="11"/>
  <c r="C354" i="11" l="1"/>
  <c r="D353" i="11"/>
  <c r="D354" i="11" l="1"/>
  <c r="C355" i="11"/>
  <c r="C356" i="11" l="1"/>
  <c r="D355" i="11"/>
  <c r="D356" i="11" l="1"/>
  <c r="C357" i="11"/>
  <c r="C358" i="11" l="1"/>
  <c r="D357" i="11"/>
  <c r="K357" i="11" l="1"/>
  <c r="M357" i="11" s="1"/>
  <c r="L357" i="11"/>
  <c r="K358" i="11"/>
  <c r="M358" i="11" s="1"/>
  <c r="L352" i="11"/>
  <c r="D358" i="11"/>
  <c r="L353" i="11"/>
  <c r="K352" i="11"/>
  <c r="M352" i="11" s="1"/>
  <c r="C359" i="11"/>
  <c r="L358" i="11"/>
  <c r="L354" i="11"/>
  <c r="K353" i="11"/>
  <c r="M353" i="11" s="1"/>
  <c r="K356" i="11"/>
  <c r="M356" i="11" s="1"/>
  <c r="L356" i="11"/>
  <c r="K354" i="11"/>
  <c r="D359" i="11" l="1"/>
  <c r="C360" i="11"/>
  <c r="M354" i="11"/>
  <c r="D360" i="11" l="1"/>
  <c r="C361" i="11"/>
  <c r="C362" i="11" l="1"/>
  <c r="D361" i="11"/>
  <c r="D362" i="11" l="1"/>
  <c r="C363" i="11"/>
  <c r="D363" i="11" l="1"/>
  <c r="C364" i="11"/>
  <c r="C365" i="11" l="1"/>
  <c r="D364" i="11"/>
  <c r="L364" i="11" l="1"/>
  <c r="K365" i="11"/>
  <c r="M365" i="11" s="1"/>
  <c r="K361" i="11"/>
  <c r="C366" i="11"/>
  <c r="K359" i="11"/>
  <c r="M359" i="11" s="1"/>
  <c r="D365" i="11"/>
  <c r="L359" i="11"/>
  <c r="L363" i="11"/>
  <c r="L365" i="11"/>
  <c r="K363" i="11"/>
  <c r="M363" i="11" s="1"/>
  <c r="L361" i="11"/>
  <c r="K364" i="11"/>
  <c r="M364" i="11" s="1"/>
  <c r="D366" i="11" l="1"/>
  <c r="C367" i="11"/>
  <c r="M361" i="11"/>
  <c r="D367" i="11" l="1"/>
  <c r="C368" i="11"/>
  <c r="D368" i="11" l="1"/>
  <c r="C369" i="11"/>
  <c r="C370" i="11" l="1"/>
  <c r="D369" i="11"/>
  <c r="D370" i="11" l="1"/>
  <c r="C371" i="11"/>
  <c r="C372" i="11" l="1"/>
  <c r="D371" i="11"/>
  <c r="L370" i="11" l="1"/>
  <c r="L366" i="11"/>
  <c r="K367" i="11"/>
  <c r="K372" i="11"/>
  <c r="M372" i="11" s="1"/>
  <c r="D372" i="11"/>
  <c r="L368" i="11"/>
  <c r="C373" i="11"/>
  <c r="K368" i="11"/>
  <c r="M368" i="11" s="1"/>
  <c r="L372" i="11"/>
  <c r="L367" i="11"/>
  <c r="K366" i="11"/>
  <c r="M366" i="11" s="1"/>
  <c r="K370" i="11"/>
  <c r="M370" i="11" s="1"/>
  <c r="K371" i="11"/>
  <c r="L371" i="11"/>
  <c r="C374" i="11" l="1"/>
  <c r="D373" i="11"/>
  <c r="M371" i="11"/>
  <c r="M367" i="11"/>
  <c r="D374" i="11" l="1"/>
  <c r="C375" i="11"/>
  <c r="C376" i="11" l="1"/>
  <c r="D375" i="11"/>
  <c r="D376" i="11" l="1"/>
  <c r="C377" i="11"/>
  <c r="D377" i="11" l="1"/>
  <c r="C378" i="11"/>
  <c r="D378" i="11" l="1"/>
  <c r="C379" i="11"/>
  <c r="K378" i="11" l="1"/>
  <c r="M378" i="11" s="1"/>
  <c r="L374" i="11"/>
  <c r="L379" i="11"/>
  <c r="L378" i="11"/>
  <c r="D379" i="11"/>
  <c r="L377" i="11"/>
  <c r="C380" i="11"/>
  <c r="K375" i="11"/>
  <c r="L373" i="11"/>
  <c r="K379" i="11"/>
  <c r="M379" i="11" s="1"/>
  <c r="L375" i="11"/>
  <c r="K374" i="11"/>
  <c r="M374" i="11" s="1"/>
  <c r="K373" i="11"/>
  <c r="M373" i="11" s="1"/>
  <c r="K377" i="11"/>
  <c r="M377" i="11" s="1"/>
  <c r="M375" i="11" l="1"/>
  <c r="D380" i="11"/>
  <c r="C381" i="11"/>
  <c r="D381" i="11" l="1"/>
  <c r="C382" i="11"/>
  <c r="D382" i="11" l="1"/>
  <c r="C383" i="11"/>
  <c r="D383" i="11" l="1"/>
  <c r="C384" i="11"/>
  <c r="D384" i="11" l="1"/>
  <c r="C385" i="11"/>
  <c r="D385" i="11" l="1"/>
  <c r="C386" i="11"/>
  <c r="L380" i="11" l="1"/>
  <c r="L386" i="11"/>
  <c r="L384" i="11"/>
  <c r="L385" i="11"/>
  <c r="D386" i="11"/>
  <c r="K384" i="11"/>
  <c r="M384" i="11" s="1"/>
  <c r="K381" i="11"/>
  <c r="M381" i="11" s="1"/>
  <c r="C387" i="11"/>
  <c r="L381" i="11"/>
  <c r="K385" i="11"/>
  <c r="M385" i="11" s="1"/>
  <c r="K382" i="11"/>
  <c r="M382" i="11" s="1"/>
  <c r="K380" i="11"/>
  <c r="M380" i="11" s="1"/>
  <c r="K386" i="11"/>
  <c r="M386" i="11" s="1"/>
  <c r="L382" i="11"/>
  <c r="D387" i="11" l="1"/>
  <c r="C388" i="11"/>
  <c r="C389" i="11" l="1"/>
  <c r="D388" i="11"/>
  <c r="D389" i="11" l="1"/>
  <c r="C390" i="11"/>
  <c r="D390" i="11" l="1"/>
  <c r="C391" i="11"/>
  <c r="D391" i="11" l="1"/>
  <c r="C392" i="11"/>
  <c r="D392" i="11" l="1"/>
  <c r="C393" i="11"/>
  <c r="L389" i="11" l="1"/>
  <c r="L387" i="11"/>
  <c r="L393" i="11"/>
  <c r="D393" i="11"/>
  <c r="K391" i="11"/>
  <c r="M391" i="11" s="1"/>
  <c r="C394" i="11"/>
  <c r="L391" i="11"/>
  <c r="L392" i="11"/>
  <c r="K393" i="11"/>
  <c r="M393" i="11" s="1"/>
  <c r="K389" i="11"/>
  <c r="M389" i="11" s="1"/>
  <c r="K387" i="11"/>
  <c r="M387" i="11" s="1"/>
  <c r="K392" i="11"/>
  <c r="M392" i="11" s="1"/>
  <c r="L388" i="11"/>
  <c r="C395" i="11" l="1"/>
  <c r="D394" i="11"/>
  <c r="D395" i="11" l="1"/>
  <c r="C396" i="11"/>
  <c r="D396" i="11" l="1"/>
  <c r="C397" i="11"/>
  <c r="D397" i="11" l="1"/>
  <c r="C398" i="11"/>
  <c r="D398" i="11" l="1"/>
  <c r="C399" i="11"/>
  <c r="D399" i="11" l="1"/>
  <c r="C400" i="11"/>
  <c r="K400" i="11" l="1"/>
  <c r="M400" i="11" s="1"/>
  <c r="L396" i="11"/>
  <c r="L398" i="11"/>
  <c r="K398" i="11"/>
  <c r="M398" i="11" s="1"/>
  <c r="D400" i="11"/>
  <c r="K394" i="11"/>
  <c r="C401" i="11"/>
  <c r="K396" i="11"/>
  <c r="M396" i="11" s="1"/>
  <c r="K399" i="11"/>
  <c r="L394" i="11"/>
  <c r="L399" i="11"/>
  <c r="K395" i="11"/>
  <c r="M395" i="11" s="1"/>
  <c r="L400" i="11"/>
  <c r="L395" i="11"/>
  <c r="M399" i="11" l="1"/>
  <c r="C402" i="11"/>
  <c r="D401" i="11"/>
  <c r="M394" i="11"/>
  <c r="C403" i="11" l="1"/>
  <c r="D402" i="11"/>
  <c r="D403" i="11" l="1"/>
  <c r="C404" i="11"/>
  <c r="D404" i="11" l="1"/>
  <c r="C405" i="11"/>
  <c r="C406" i="11" l="1"/>
  <c r="D405" i="11"/>
  <c r="D406" i="11" l="1"/>
  <c r="C407" i="11"/>
  <c r="K401" i="11" l="1"/>
  <c r="L407" i="11"/>
  <c r="K407" i="11"/>
  <c r="M407" i="11" s="1"/>
  <c r="C408" i="11"/>
  <c r="K403" i="11"/>
  <c r="D407" i="11"/>
  <c r="L405" i="11"/>
  <c r="K406" i="11"/>
  <c r="M406" i="11" s="1"/>
  <c r="L406" i="11"/>
  <c r="L403" i="11"/>
  <c r="L401" i="11"/>
  <c r="K405" i="11"/>
  <c r="M405" i="11" s="1"/>
  <c r="M403" i="11" l="1"/>
  <c r="C409" i="11"/>
  <c r="D408" i="11"/>
  <c r="M401" i="11"/>
  <c r="D409" i="11" l="1"/>
  <c r="C410" i="11"/>
  <c r="D410" i="11" l="1"/>
  <c r="C411" i="11"/>
  <c r="C412" i="11" l="1"/>
  <c r="D411" i="11"/>
  <c r="C413" i="11" l="1"/>
  <c r="D412" i="11"/>
  <c r="C414" i="11" l="1"/>
  <c r="D413" i="11"/>
  <c r="K414" i="11" l="1"/>
  <c r="M414" i="11" s="1"/>
  <c r="L413" i="11"/>
  <c r="L414" i="11"/>
  <c r="K413" i="11"/>
  <c r="M413" i="11" s="1"/>
  <c r="D414" i="11"/>
  <c r="K409" i="11"/>
  <c r="M409" i="11" s="1"/>
  <c r="L410" i="11"/>
  <c r="C415" i="11"/>
  <c r="L409" i="11"/>
  <c r="K408" i="11"/>
  <c r="M408" i="11" s="1"/>
  <c r="K412" i="11"/>
  <c r="M412" i="11" s="1"/>
  <c r="L408" i="11"/>
  <c r="L412" i="11"/>
  <c r="K410" i="11"/>
  <c r="M410" i="11" s="1"/>
  <c r="C416" i="11" l="1"/>
  <c r="D415" i="11"/>
  <c r="D416" i="11" l="1"/>
  <c r="C417" i="11"/>
  <c r="C418" i="11" l="1"/>
  <c r="D417" i="11"/>
  <c r="C419" i="11" l="1"/>
  <c r="D418" i="11"/>
  <c r="C420" i="11" l="1"/>
  <c r="D419" i="11"/>
  <c r="D420" i="11" l="1"/>
  <c r="C421" i="11"/>
  <c r="K417" i="11" l="1"/>
  <c r="M417" i="11" s="1"/>
  <c r="K420" i="11"/>
  <c r="L416" i="11"/>
  <c r="K421" i="11"/>
  <c r="M421" i="11" s="1"/>
  <c r="C422" i="11"/>
  <c r="L421" i="11"/>
  <c r="D421" i="11"/>
  <c r="L417" i="11"/>
  <c r="K415" i="11"/>
  <c r="L415" i="11"/>
  <c r="K419" i="11"/>
  <c r="L419" i="11"/>
  <c r="K416" i="11"/>
  <c r="M416" i="11" s="1"/>
  <c r="L420" i="11"/>
  <c r="M415" i="11" l="1"/>
  <c r="D422" i="11"/>
  <c r="C423" i="11"/>
  <c r="M419" i="11"/>
  <c r="M420" i="11"/>
  <c r="C424" i="11" l="1"/>
  <c r="D423" i="11"/>
  <c r="D424" i="11" l="1"/>
  <c r="C425" i="11"/>
  <c r="C426" i="11" l="1"/>
  <c r="D425" i="11"/>
  <c r="D426" i="11" l="1"/>
  <c r="C427" i="11"/>
  <c r="C428" i="11" l="1"/>
  <c r="D427" i="11"/>
  <c r="K428" i="11" l="1"/>
  <c r="M428" i="11" s="1"/>
  <c r="L428" i="11"/>
  <c r="L424" i="11"/>
  <c r="K424" i="11"/>
  <c r="M424" i="11" s="1"/>
  <c r="D428" i="11"/>
  <c r="L426" i="11"/>
  <c r="C429" i="11"/>
  <c r="K423" i="11"/>
  <c r="K426" i="11"/>
  <c r="M426" i="11" s="1"/>
  <c r="K427" i="11"/>
  <c r="M427" i="11" s="1"/>
  <c r="L422" i="11"/>
  <c r="L423" i="11"/>
  <c r="K422" i="11"/>
  <c r="L427" i="11"/>
  <c r="M423" i="11" l="1"/>
  <c r="C430" i="11"/>
  <c r="D429" i="11"/>
  <c r="M422" i="11"/>
  <c r="D430" i="11" l="1"/>
  <c r="C431" i="11"/>
  <c r="C432" i="11" l="1"/>
  <c r="D431" i="11"/>
  <c r="D432" i="11" l="1"/>
  <c r="C433" i="11"/>
  <c r="C434" i="11" l="1"/>
  <c r="D433" i="11"/>
  <c r="D434" i="11" l="1"/>
  <c r="C435" i="11"/>
  <c r="L433" i="11" l="1"/>
  <c r="K430" i="11"/>
  <c r="M430" i="11" s="1"/>
  <c r="K435" i="11"/>
  <c r="K431" i="11"/>
  <c r="M431" i="11" s="1"/>
  <c r="C436" i="11"/>
  <c r="L430" i="11"/>
  <c r="D435" i="11"/>
  <c r="K429" i="11"/>
  <c r="L431" i="11"/>
  <c r="L434" i="11"/>
  <c r="L429" i="11"/>
  <c r="L435" i="11"/>
  <c r="K434" i="11"/>
  <c r="K433" i="11"/>
  <c r="M433" i="11" s="1"/>
  <c r="M429" i="11" l="1"/>
  <c r="M434" i="11"/>
  <c r="D436" i="11"/>
  <c r="C437" i="11"/>
  <c r="M435" i="11"/>
  <c r="C438" i="11" l="1"/>
  <c r="D437" i="11"/>
  <c r="D438" i="11" l="1"/>
  <c r="C439" i="11"/>
  <c r="C440" i="11" l="1"/>
  <c r="D439" i="11"/>
  <c r="D440" i="11" l="1"/>
  <c r="C441" i="11"/>
  <c r="C442" i="11" l="1"/>
  <c r="D441" i="11"/>
  <c r="L436" i="11" l="1"/>
  <c r="K438" i="11"/>
  <c r="M438" i="11" s="1"/>
  <c r="K437" i="11"/>
  <c r="M437" i="11" s="1"/>
  <c r="K436" i="11"/>
  <c r="M436" i="11" s="1"/>
  <c r="D442" i="11"/>
  <c r="K441" i="11"/>
  <c r="M441" i="11" s="1"/>
  <c r="C443" i="11"/>
  <c r="L438" i="11"/>
  <c r="L437" i="11"/>
  <c r="K442" i="11"/>
  <c r="M442" i="11" s="1"/>
  <c r="L440" i="11"/>
  <c r="K440" i="11"/>
  <c r="M440" i="11" s="1"/>
  <c r="L441" i="11"/>
  <c r="L442" i="11"/>
  <c r="C444" i="11" l="1"/>
  <c r="D443" i="11"/>
  <c r="D444" i="11" l="1"/>
  <c r="C445" i="11"/>
  <c r="C446" i="11" l="1"/>
  <c r="D445" i="11"/>
  <c r="D446" i="11" l="1"/>
  <c r="C447" i="11"/>
  <c r="C448" i="11" l="1"/>
  <c r="D447" i="11"/>
  <c r="D448" i="11" l="1"/>
  <c r="C449" i="11"/>
  <c r="K448" i="11" l="1"/>
  <c r="K445" i="11"/>
  <c r="M445" i="11" s="1"/>
  <c r="L447" i="11"/>
  <c r="C450" i="11"/>
  <c r="L443" i="11"/>
  <c r="D449" i="11"/>
  <c r="K447" i="11"/>
  <c r="M447" i="11" s="1"/>
  <c r="K443" i="11"/>
  <c r="M443" i="11" s="1"/>
  <c r="L445" i="11"/>
  <c r="L448" i="11"/>
  <c r="L449" i="11"/>
  <c r="K449" i="11"/>
  <c r="M449" i="11" l="1"/>
  <c r="C451" i="11"/>
  <c r="D450" i="11"/>
  <c r="M448" i="11"/>
  <c r="C452" i="11" l="1"/>
  <c r="D451" i="11"/>
  <c r="D452" i="11" l="1"/>
  <c r="C453" i="11"/>
  <c r="D453" i="11" l="1"/>
  <c r="C454" i="11"/>
  <c r="D454" i="11" l="1"/>
  <c r="C455" i="11"/>
  <c r="C456" i="11" l="1"/>
  <c r="D455" i="11"/>
  <c r="L450" i="11" l="1"/>
  <c r="K452" i="11"/>
  <c r="M452" i="11" s="1"/>
  <c r="L452" i="11"/>
  <c r="L455" i="11"/>
  <c r="D456" i="11"/>
  <c r="L456" i="11"/>
  <c r="C457" i="11"/>
  <c r="K450" i="11"/>
  <c r="M450" i="11" s="1"/>
  <c r="L454" i="11"/>
  <c r="K456" i="11"/>
  <c r="M456" i="11" s="1"/>
  <c r="K451" i="11"/>
  <c r="M451" i="11" s="1"/>
  <c r="L451" i="11"/>
  <c r="K454" i="11"/>
  <c r="M454" i="11" s="1"/>
  <c r="K455" i="11"/>
  <c r="M455" i="11" s="1"/>
  <c r="C458" i="11" l="1"/>
  <c r="D457" i="11"/>
  <c r="D458" i="11" l="1"/>
  <c r="C459" i="11"/>
  <c r="C460" i="11" l="1"/>
  <c r="D459" i="11"/>
  <c r="D460" i="11" l="1"/>
  <c r="C461" i="11"/>
  <c r="C462" i="11" l="1"/>
  <c r="D461" i="11"/>
  <c r="D462" i="11" l="1"/>
  <c r="C463" i="11"/>
  <c r="L457" i="11" l="1"/>
  <c r="K457" i="11"/>
  <c r="M457" i="11" s="1"/>
  <c r="K458" i="11"/>
  <c r="C464" i="11"/>
  <c r="K459" i="11"/>
  <c r="M459" i="11" s="1"/>
  <c r="D463" i="11"/>
  <c r="L459" i="11"/>
  <c r="L462" i="11"/>
  <c r="K462" i="11"/>
  <c r="M462" i="11" s="1"/>
  <c r="L463" i="11"/>
  <c r="L461" i="11"/>
  <c r="K463" i="11"/>
  <c r="K461" i="11"/>
  <c r="M461" i="11" s="1"/>
  <c r="M463" i="11" l="1"/>
  <c r="D464" i="11"/>
  <c r="C465" i="11"/>
  <c r="C466" i="11" l="1"/>
  <c r="D465" i="11"/>
  <c r="C467" i="11" l="1"/>
  <c r="D466" i="11"/>
  <c r="D467" i="11" l="1"/>
  <c r="C468" i="11"/>
  <c r="C469" i="11" l="1"/>
  <c r="D468" i="11"/>
  <c r="D469" i="11" l="1"/>
  <c r="C470" i="11"/>
  <c r="L464" i="11" l="1"/>
  <c r="K464" i="11"/>
  <c r="M464" i="11" s="1"/>
  <c r="K469" i="11"/>
  <c r="L468" i="11"/>
  <c r="C471" i="11"/>
  <c r="L470" i="11"/>
  <c r="D470" i="11"/>
  <c r="L466" i="11"/>
  <c r="K468" i="11"/>
  <c r="M468" i="11" s="1"/>
  <c r="K470" i="11"/>
  <c r="M470" i="11" s="1"/>
  <c r="K466" i="11"/>
  <c r="M466" i="11" s="1"/>
  <c r="L469" i="11"/>
  <c r="D471" i="11" l="1"/>
  <c r="C472" i="11"/>
  <c r="M469" i="11"/>
  <c r="D472" i="11" l="1"/>
  <c r="C473" i="11"/>
  <c r="D473" i="11" l="1"/>
  <c r="C474" i="11"/>
  <c r="C475" i="11" l="1"/>
  <c r="D474" i="11"/>
  <c r="D475" i="11" l="1"/>
  <c r="C476" i="11"/>
  <c r="D476" i="11" l="1"/>
  <c r="C477" i="11"/>
  <c r="K477" i="11" l="1"/>
  <c r="L471" i="11"/>
  <c r="K471" i="11"/>
  <c r="M471" i="11" s="1"/>
  <c r="K473" i="11"/>
  <c r="M473" i="11" s="1"/>
  <c r="D477" i="11"/>
  <c r="K475" i="11"/>
  <c r="L473" i="11"/>
  <c r="C478" i="11"/>
  <c r="L475" i="11"/>
  <c r="K476" i="11"/>
  <c r="M476" i="11" s="1"/>
  <c r="L477" i="11"/>
  <c r="L476" i="11"/>
  <c r="K472" i="11"/>
  <c r="L472" i="11"/>
  <c r="D478" i="11" l="1"/>
  <c r="C479" i="11"/>
  <c r="M475" i="11"/>
  <c r="M472" i="11"/>
  <c r="M477" i="11"/>
  <c r="D479" i="11" l="1"/>
  <c r="C480" i="11"/>
  <c r="D480" i="11" l="1"/>
  <c r="C481" i="11"/>
  <c r="D481" i="11" l="1"/>
  <c r="C482" i="11"/>
  <c r="D482" i="11" l="1"/>
  <c r="C483" i="11"/>
  <c r="D483" i="11" l="1"/>
  <c r="C484" i="11"/>
  <c r="L482" i="11" l="1"/>
  <c r="K478" i="11"/>
  <c r="M478" i="11" s="1"/>
  <c r="K480" i="11"/>
  <c r="M480" i="11" s="1"/>
  <c r="K479" i="11"/>
  <c r="D484" i="11"/>
  <c r="L478" i="11"/>
  <c r="L480" i="11"/>
  <c r="C485" i="11"/>
  <c r="L479" i="11"/>
  <c r="K483" i="11"/>
  <c r="M483" i="11" s="1"/>
  <c r="K482" i="11"/>
  <c r="M482" i="11" s="1"/>
  <c r="K484" i="11"/>
  <c r="M484" i="11" s="1"/>
  <c r="L483" i="11"/>
  <c r="L484" i="11"/>
  <c r="D485" i="11" l="1"/>
  <c r="C486" i="11"/>
  <c r="M479" i="11"/>
  <c r="C487" i="11" l="1"/>
  <c r="D486" i="11"/>
  <c r="D487" i="11" l="1"/>
  <c r="C488" i="11"/>
  <c r="D488" i="11" l="1"/>
  <c r="C489" i="11"/>
  <c r="D489" i="11" l="1"/>
  <c r="C490" i="11"/>
  <c r="D490" i="11" l="1"/>
  <c r="C491" i="11"/>
  <c r="K490" i="11" l="1"/>
  <c r="M490" i="11" s="1"/>
  <c r="L486" i="11"/>
  <c r="L489" i="11"/>
  <c r="K491" i="11"/>
  <c r="C492" i="11"/>
  <c r="L487" i="11"/>
  <c r="D491" i="11"/>
  <c r="L485" i="11"/>
  <c r="K487" i="11"/>
  <c r="M487" i="11" s="1"/>
  <c r="K485" i="11"/>
  <c r="M485" i="11" s="1"/>
  <c r="K489" i="11"/>
  <c r="M489" i="11" s="1"/>
  <c r="L491" i="11"/>
  <c r="L490" i="11"/>
  <c r="K486" i="11"/>
  <c r="M486" i="11" s="1"/>
  <c r="D492" i="11" l="1"/>
  <c r="C493" i="11"/>
  <c r="M491" i="11"/>
  <c r="C494" i="11" l="1"/>
  <c r="D493" i="11"/>
  <c r="D494" i="11" l="1"/>
  <c r="C495" i="11"/>
  <c r="C496" i="11" l="1"/>
  <c r="D495" i="11"/>
  <c r="C497" i="11" l="1"/>
  <c r="D496" i="11"/>
  <c r="C498" i="11" l="1"/>
  <c r="D497" i="11"/>
  <c r="L496" i="11" l="1"/>
  <c r="K498" i="11"/>
  <c r="K496" i="11"/>
  <c r="M496" i="11" s="1"/>
  <c r="D498" i="11"/>
  <c r="K497" i="11"/>
  <c r="M497" i="11" s="1"/>
  <c r="C499" i="11"/>
  <c r="K492" i="11"/>
  <c r="M492" i="11" s="1"/>
  <c r="K494" i="11"/>
  <c r="L497" i="11"/>
  <c r="L498" i="11"/>
  <c r="L494" i="11"/>
  <c r="L492" i="11"/>
  <c r="M494" i="11" l="1"/>
  <c r="D499" i="11"/>
  <c r="C500" i="11"/>
  <c r="M498" i="11"/>
  <c r="D500" i="11" l="1"/>
  <c r="C501" i="11"/>
  <c r="C502" i="11" l="1"/>
  <c r="D501" i="11"/>
  <c r="D502" i="11" l="1"/>
  <c r="C503" i="11"/>
  <c r="D503" i="11" l="1"/>
  <c r="C504" i="11"/>
  <c r="D504" i="11" l="1"/>
  <c r="C505" i="11"/>
  <c r="K499" i="11" l="1"/>
  <c r="M499" i="11" s="1"/>
  <c r="L499" i="11"/>
  <c r="K500" i="11"/>
  <c r="L503" i="11"/>
  <c r="C506" i="11"/>
  <c r="L505" i="11"/>
  <c r="D505" i="11"/>
  <c r="K504" i="11"/>
  <c r="K505" i="11"/>
  <c r="M505" i="11" s="1"/>
  <c r="K503" i="11"/>
  <c r="M503" i="11" s="1"/>
  <c r="L504" i="11"/>
  <c r="K501" i="11"/>
  <c r="M501" i="11" s="1"/>
  <c r="L501" i="11"/>
  <c r="L500" i="11"/>
  <c r="M504" i="11" l="1"/>
  <c r="C507" i="11"/>
  <c r="D506" i="11"/>
  <c r="M500" i="11"/>
  <c r="C508" i="11" l="1"/>
  <c r="D507" i="11"/>
  <c r="D508" i="11" l="1"/>
  <c r="C509" i="11"/>
  <c r="C510" i="11" l="1"/>
  <c r="D509" i="11"/>
  <c r="D510" i="11" l="1"/>
  <c r="C511" i="11"/>
  <c r="C512" i="11" l="1"/>
  <c r="D511" i="11"/>
  <c r="K511" i="11" l="1"/>
  <c r="M511" i="11" s="1"/>
  <c r="L511" i="11"/>
  <c r="K508" i="11"/>
  <c r="M508" i="11" s="1"/>
  <c r="D512" i="11"/>
  <c r="K512" i="11"/>
  <c r="M512" i="11" s="1"/>
  <c r="C513" i="11"/>
  <c r="L512" i="11"/>
  <c r="K510" i="11"/>
  <c r="L508" i="11"/>
  <c r="L510" i="11"/>
  <c r="K506" i="11"/>
  <c r="M506" i="11" s="1"/>
  <c r="L507" i="11"/>
  <c r="L506" i="11"/>
  <c r="M510" i="11" l="1"/>
  <c r="D513" i="11"/>
  <c r="C514" i="11"/>
  <c r="D514" i="11" l="1"/>
  <c r="C515" i="11"/>
  <c r="C516" i="11" l="1"/>
  <c r="D515" i="11"/>
  <c r="D516" i="11" l="1"/>
  <c r="C517" i="11"/>
  <c r="C518" i="11" l="1"/>
  <c r="D517" i="11"/>
  <c r="D518" i="11" l="1"/>
  <c r="C519" i="11"/>
  <c r="L517" i="11" l="1"/>
  <c r="K517" i="11"/>
  <c r="M517" i="11" s="1"/>
  <c r="K518" i="11"/>
  <c r="L514" i="11"/>
  <c r="C520" i="11"/>
  <c r="L513" i="11"/>
  <c r="L519" i="11"/>
  <c r="D519" i="11"/>
  <c r="K519" i="11"/>
  <c r="M519" i="11" s="1"/>
  <c r="K513" i="11"/>
  <c r="M513" i="11" s="1"/>
  <c r="L518" i="11"/>
  <c r="K514" i="11"/>
  <c r="M514" i="11" s="1"/>
  <c r="L515" i="11"/>
  <c r="K515" i="11"/>
  <c r="M515" i="11" s="1"/>
  <c r="D520" i="11" l="1"/>
  <c r="C521" i="11"/>
  <c r="M518" i="11"/>
  <c r="C522" i="11" l="1"/>
  <c r="D521" i="11"/>
  <c r="D522" i="11" l="1"/>
  <c r="C523" i="11"/>
  <c r="C524" i="11" l="1"/>
  <c r="D523" i="11"/>
  <c r="D524" i="11" l="1"/>
  <c r="C525" i="11"/>
  <c r="C526" i="11" l="1"/>
  <c r="D525" i="11"/>
  <c r="L520" i="11" l="1"/>
  <c r="L521" i="11"/>
  <c r="K525" i="11"/>
  <c r="M525" i="11" s="1"/>
  <c r="L525" i="11"/>
  <c r="D526" i="11"/>
  <c r="L524" i="11"/>
  <c r="K526" i="11"/>
  <c r="C527" i="11"/>
  <c r="K521" i="11"/>
  <c r="M521" i="11" s="1"/>
  <c r="K520" i="11"/>
  <c r="M520" i="11" s="1"/>
  <c r="K522" i="11"/>
  <c r="M522" i="11" s="1"/>
  <c r="L522" i="11"/>
  <c r="K524" i="11"/>
  <c r="L526" i="11"/>
  <c r="C528" i="11" l="1"/>
  <c r="D527" i="11"/>
  <c r="M526" i="11"/>
  <c r="M524" i="11"/>
  <c r="D528" i="11" l="1"/>
  <c r="C529" i="11"/>
  <c r="C530" i="11" l="1"/>
  <c r="D529" i="11"/>
  <c r="D530" i="11" l="1"/>
  <c r="C531" i="11"/>
  <c r="C532" i="11" l="1"/>
  <c r="D531" i="11"/>
  <c r="D532" i="11" l="1"/>
  <c r="C533" i="11"/>
  <c r="K529" i="11" l="1"/>
  <c r="K532" i="11"/>
  <c r="M532" i="11" s="1"/>
  <c r="L528" i="11"/>
  <c r="L531" i="11"/>
  <c r="C534" i="11"/>
  <c r="L532" i="11"/>
  <c r="D533" i="11"/>
  <c r="K527" i="11"/>
  <c r="M527" i="11" s="1"/>
  <c r="K533" i="11"/>
  <c r="M533" i="11" s="1"/>
  <c r="K531" i="11"/>
  <c r="M531" i="11" s="1"/>
  <c r="L533" i="11"/>
  <c r="K528" i="11"/>
  <c r="M528" i="11" s="1"/>
  <c r="L527" i="11"/>
  <c r="L529" i="11"/>
  <c r="D534" i="11" l="1"/>
  <c r="C535" i="11"/>
  <c r="M529" i="11"/>
  <c r="D535" i="11" l="1"/>
  <c r="C536" i="11"/>
  <c r="D536" i="11" l="1"/>
  <c r="C537" i="11"/>
  <c r="D537" i="11" l="1"/>
  <c r="C538" i="11"/>
  <c r="C539" i="11" l="1"/>
  <c r="D538" i="11"/>
  <c r="C540" i="11" l="1"/>
  <c r="D539" i="11"/>
  <c r="K536" i="11" l="1"/>
  <c r="M536" i="11" s="1"/>
  <c r="L534" i="11"/>
  <c r="K539" i="11"/>
  <c r="M539" i="11" s="1"/>
  <c r="L536" i="11"/>
  <c r="D540" i="11"/>
  <c r="L540" i="11"/>
  <c r="C541" i="11"/>
  <c r="L539" i="11"/>
  <c r="K538" i="11"/>
  <c r="K534" i="11"/>
  <c r="M534" i="11" s="1"/>
  <c r="K540" i="11"/>
  <c r="M540" i="11" s="1"/>
  <c r="L538" i="11"/>
  <c r="C542" i="11" l="1"/>
  <c r="D541" i="11"/>
  <c r="M538" i="11"/>
  <c r="D542" i="11" l="1"/>
  <c r="C543" i="11"/>
  <c r="C544" i="11" l="1"/>
  <c r="D543" i="11"/>
  <c r="D544" i="11" l="1"/>
  <c r="C545" i="11"/>
  <c r="C546" i="11" l="1"/>
  <c r="D545" i="11"/>
  <c r="D546" i="11" l="1"/>
  <c r="C547" i="11"/>
  <c r="K541" i="11" l="1"/>
  <c r="K542" i="11"/>
  <c r="K546" i="11"/>
  <c r="L547" i="11"/>
  <c r="C548" i="11"/>
  <c r="K543" i="11"/>
  <c r="M543" i="11" s="1"/>
  <c r="K545" i="11"/>
  <c r="D547" i="11"/>
  <c r="L542" i="11"/>
  <c r="L546" i="11"/>
  <c r="L541" i="11"/>
  <c r="L545" i="11"/>
  <c r="L543" i="11"/>
  <c r="K547" i="11"/>
  <c r="M547" i="11" s="1"/>
  <c r="M545" i="11" l="1"/>
  <c r="D548" i="11"/>
  <c r="C549" i="11"/>
  <c r="M546" i="11"/>
  <c r="M542" i="11"/>
  <c r="M541" i="11"/>
  <c r="C550" i="11" l="1"/>
  <c r="D549" i="11"/>
  <c r="D550" i="11" l="1"/>
  <c r="C551" i="11"/>
  <c r="C552" i="11" l="1"/>
  <c r="D551" i="11"/>
  <c r="D552" i="11" l="1"/>
  <c r="C553" i="11"/>
  <c r="C554" i="11" l="1"/>
  <c r="D553" i="11"/>
  <c r="K550" i="11" l="1"/>
  <c r="M550" i="11" s="1"/>
  <c r="L552" i="11"/>
  <c r="L550" i="11"/>
  <c r="K548" i="11"/>
  <c r="D554" i="11"/>
  <c r="L553" i="11"/>
  <c r="C555" i="11"/>
  <c r="K549" i="11"/>
  <c r="K554" i="11"/>
  <c r="M554" i="11" s="1"/>
  <c r="L549" i="11"/>
  <c r="L554" i="11"/>
  <c r="L548" i="11"/>
  <c r="K553" i="11"/>
  <c r="M553" i="11" s="1"/>
  <c r="K552" i="11"/>
  <c r="M552" i="11" s="1"/>
  <c r="M549" i="11" l="1"/>
  <c r="C556" i="11"/>
  <c r="D555" i="11"/>
  <c r="M548" i="11"/>
  <c r="D556" i="11" l="1"/>
  <c r="C557" i="11"/>
  <c r="C558" i="11" l="1"/>
  <c r="D557" i="11"/>
  <c r="D558" i="11" l="1"/>
  <c r="C559" i="11"/>
  <c r="C560" i="11" l="1"/>
  <c r="D559" i="11"/>
  <c r="D560" i="11" l="1"/>
  <c r="C561" i="11"/>
  <c r="L555" i="11" l="1"/>
  <c r="L557" i="11"/>
  <c r="L556" i="11"/>
  <c r="L560" i="11"/>
  <c r="C562" i="11"/>
  <c r="K555" i="11"/>
  <c r="M555" i="11" s="1"/>
  <c r="D561" i="11"/>
  <c r="K560" i="11"/>
  <c r="M560" i="11" s="1"/>
  <c r="L559" i="11"/>
  <c r="K557" i="11"/>
  <c r="M557" i="11" s="1"/>
  <c r="K561" i="11"/>
  <c r="L561" i="11"/>
  <c r="K559" i="11"/>
  <c r="M559" i="11" l="1"/>
  <c r="D562" i="11"/>
  <c r="C563" i="11"/>
  <c r="M561" i="11"/>
  <c r="C564" i="11" l="1"/>
  <c r="D563" i="11"/>
  <c r="D564" i="11" l="1"/>
  <c r="C565" i="11"/>
  <c r="C566" i="11" l="1"/>
  <c r="D565" i="11"/>
  <c r="C567" i="11" l="1"/>
  <c r="D566" i="11"/>
  <c r="C568" i="11" l="1"/>
  <c r="D567" i="11"/>
  <c r="L567" i="11" l="1"/>
  <c r="K566" i="11"/>
  <c r="M566" i="11" s="1"/>
  <c r="L566" i="11"/>
  <c r="K568" i="11"/>
  <c r="C569" i="11"/>
  <c r="K564" i="11"/>
  <c r="K567" i="11"/>
  <c r="M567" i="11" s="1"/>
  <c r="D568" i="11"/>
  <c r="K562" i="11"/>
  <c r="L568" i="11"/>
  <c r="L563" i="11"/>
  <c r="L562" i="11"/>
  <c r="L564" i="11"/>
  <c r="K563" i="11"/>
  <c r="M563" i="11" s="1"/>
  <c r="M564" i="11" l="1"/>
  <c r="C570" i="11"/>
  <c r="D569" i="11"/>
  <c r="M568" i="11"/>
  <c r="M562" i="11"/>
  <c r="C571" i="11" l="1"/>
  <c r="D570" i="11"/>
  <c r="C572" i="11" l="1"/>
  <c r="D571" i="11"/>
  <c r="D572" i="11" l="1"/>
  <c r="C573" i="11"/>
  <c r="C574" i="11" l="1"/>
  <c r="D573" i="11"/>
  <c r="D574" i="11" l="1"/>
  <c r="C575" i="11"/>
  <c r="K570" i="11" l="1"/>
  <c r="L573" i="11"/>
  <c r="L575" i="11"/>
  <c r="K571" i="11"/>
  <c r="C576" i="11"/>
  <c r="K574" i="11"/>
  <c r="M574" i="11" s="1"/>
  <c r="D575" i="11"/>
  <c r="K569" i="11"/>
  <c r="L570" i="11"/>
  <c r="L571" i="11"/>
  <c r="K573" i="11"/>
  <c r="M573" i="11" s="1"/>
  <c r="K575" i="11"/>
  <c r="M575" i="11" s="1"/>
  <c r="L574" i="11"/>
  <c r="L569" i="11"/>
  <c r="M569" i="11" l="1"/>
  <c r="D576" i="11"/>
  <c r="C577" i="11"/>
  <c r="M571" i="11"/>
  <c r="M570" i="11"/>
  <c r="C578" i="11" l="1"/>
  <c r="D577" i="11"/>
  <c r="D578" i="11" l="1"/>
  <c r="C579" i="11"/>
  <c r="C580" i="11" l="1"/>
  <c r="D579" i="11"/>
  <c r="D580" i="11" l="1"/>
  <c r="C581" i="11"/>
  <c r="C582" i="11" l="1"/>
  <c r="D581" i="11"/>
  <c r="L581" i="11" l="1"/>
  <c r="K580" i="11"/>
  <c r="L577" i="11"/>
  <c r="L578" i="11"/>
  <c r="D582" i="11"/>
  <c r="K576" i="11"/>
  <c r="L580" i="11"/>
  <c r="C583" i="11"/>
  <c r="K582" i="11"/>
  <c r="M582" i="11" s="1"/>
  <c r="K581" i="11"/>
  <c r="M581" i="11" s="1"/>
  <c r="L576" i="11"/>
  <c r="K577" i="11"/>
  <c r="M577" i="11" s="1"/>
  <c r="L582" i="11"/>
  <c r="K578" i="11"/>
  <c r="M578" i="11" s="1"/>
  <c r="C584" i="11" l="1"/>
  <c r="D583" i="11"/>
  <c r="M576" i="11"/>
  <c r="M580" i="11"/>
  <c r="D584" i="11" l="1"/>
  <c r="C585" i="11"/>
  <c r="C586" i="11" l="1"/>
  <c r="D585" i="11"/>
  <c r="C587" i="11" l="1"/>
  <c r="D586" i="11"/>
  <c r="C588" i="11" l="1"/>
  <c r="D587" i="11"/>
  <c r="D588" i="11" l="1"/>
  <c r="C589" i="11"/>
  <c r="K583" i="11" l="1"/>
  <c r="M583" i="11" s="1"/>
  <c r="L589" i="11"/>
  <c r="L584" i="11"/>
  <c r="K585" i="11"/>
  <c r="C590" i="11"/>
  <c r="L587" i="11"/>
  <c r="D589" i="11"/>
  <c r="L583" i="11"/>
  <c r="K588" i="11"/>
  <c r="M588" i="11" s="1"/>
  <c r="K589" i="11"/>
  <c r="M589" i="11" s="1"/>
  <c r="K587" i="11"/>
  <c r="M587" i="11" s="1"/>
  <c r="L585" i="11"/>
  <c r="L588" i="11"/>
  <c r="K584" i="11"/>
  <c r="M584" i="11" s="1"/>
  <c r="D590" i="11" l="1"/>
  <c r="C591" i="11"/>
  <c r="M585" i="11"/>
  <c r="C592" i="11" l="1"/>
  <c r="D591" i="11"/>
  <c r="D592" i="11" l="1"/>
  <c r="C593" i="11"/>
  <c r="C594" i="11" l="1"/>
  <c r="D593" i="11"/>
  <c r="D594" i="11" l="1"/>
  <c r="C595" i="11"/>
  <c r="C596" i="11" l="1"/>
  <c r="D595" i="11"/>
  <c r="L594" i="11" l="1"/>
  <c r="K594" i="11"/>
  <c r="M594" i="11" s="1"/>
  <c r="K592" i="11"/>
  <c r="D596" i="11"/>
  <c r="K596" i="11"/>
  <c r="M596" i="11" s="1"/>
  <c r="L595" i="11"/>
  <c r="C597" i="11"/>
  <c r="K595" i="11"/>
  <c r="M595" i="11" s="1"/>
  <c r="L591" i="11"/>
  <c r="L590" i="11"/>
  <c r="L592" i="11"/>
  <c r="L596" i="11"/>
  <c r="K590" i="11"/>
  <c r="M590" i="11" s="1"/>
  <c r="C598" i="11" l="1"/>
  <c r="D597" i="11"/>
  <c r="M592" i="11"/>
  <c r="D598" i="11" l="1"/>
  <c r="C599" i="11"/>
  <c r="D599" i="11" l="1"/>
  <c r="C600" i="11"/>
  <c r="D600" i="11" l="1"/>
  <c r="C601" i="11"/>
  <c r="C602" i="11" l="1"/>
  <c r="D601" i="11"/>
  <c r="D602" i="11" l="1"/>
  <c r="C603" i="11"/>
  <c r="K601" i="11" l="1"/>
  <c r="M601" i="11" s="1"/>
  <c r="K602" i="11"/>
  <c r="K599" i="11"/>
  <c r="M599" i="11" s="1"/>
  <c r="C604" i="11"/>
  <c r="K597" i="11"/>
  <c r="L603" i="11"/>
  <c r="D603" i="11"/>
  <c r="L599" i="11"/>
  <c r="L598" i="11"/>
  <c r="K603" i="11"/>
  <c r="M603" i="11" s="1"/>
  <c r="L597" i="11"/>
  <c r="L601" i="11"/>
  <c r="K598" i="11"/>
  <c r="M598" i="11" s="1"/>
  <c r="L602" i="11"/>
  <c r="M597" i="11" l="1"/>
  <c r="D604" i="11"/>
  <c r="C605" i="11"/>
  <c r="M602" i="11"/>
  <c r="C606" i="11" l="1"/>
  <c r="D605" i="11"/>
  <c r="D606" i="11" l="1"/>
  <c r="C607" i="11"/>
  <c r="C608" i="11" l="1"/>
  <c r="D607" i="11"/>
  <c r="D608" i="11" l="1"/>
  <c r="C609" i="11"/>
  <c r="C610" i="11" l="1"/>
  <c r="D609" i="11"/>
  <c r="L606" i="11" l="1"/>
  <c r="L604" i="11"/>
  <c r="K604" i="11"/>
  <c r="M604" i="11" s="1"/>
  <c r="C611" i="11"/>
  <c r="K609" i="11"/>
  <c r="M609" i="11" s="1"/>
  <c r="D610" i="11"/>
  <c r="K606" i="11"/>
  <c r="M606" i="11" s="1"/>
  <c r="L610" i="11"/>
  <c r="L609" i="11"/>
  <c r="L608" i="11"/>
  <c r="K610" i="11"/>
  <c r="M610" i="11" s="1"/>
  <c r="K608" i="11"/>
  <c r="M608" i="11" l="1"/>
  <c r="D611" i="11"/>
  <c r="C612" i="11"/>
  <c r="D612" i="11" l="1"/>
  <c r="C613" i="11"/>
  <c r="D613" i="11" l="1"/>
  <c r="C614" i="11"/>
  <c r="C615" i="11" l="1"/>
  <c r="D614" i="11"/>
  <c r="C616" i="11" l="1"/>
  <c r="D615" i="11"/>
  <c r="D616" i="11" l="1"/>
  <c r="C617" i="11"/>
  <c r="K611" i="11" l="1"/>
  <c r="L617" i="11"/>
  <c r="L616" i="11"/>
  <c r="D617" i="11"/>
  <c r="L613" i="11"/>
  <c r="K616" i="11"/>
  <c r="M616" i="11" s="1"/>
  <c r="C618" i="11"/>
  <c r="K615" i="11"/>
  <c r="M615" i="11" s="1"/>
  <c r="L612" i="11"/>
  <c r="K612" i="11"/>
  <c r="M612" i="11" s="1"/>
  <c r="K617" i="11"/>
  <c r="M617" i="11" s="1"/>
  <c r="L615" i="11"/>
  <c r="K613" i="11"/>
  <c r="M613" i="11" s="1"/>
  <c r="L611" i="11"/>
  <c r="C619" i="11" l="1"/>
  <c r="D618" i="11"/>
  <c r="M611" i="11"/>
  <c r="D619" i="11" l="1"/>
  <c r="C620" i="11"/>
  <c r="C621" i="11" l="1"/>
  <c r="D620" i="11"/>
  <c r="D621" i="11" l="1"/>
  <c r="C622" i="11"/>
  <c r="C623" i="11" l="1"/>
  <c r="D622" i="11"/>
  <c r="C624" i="11" l="1"/>
  <c r="D623" i="11"/>
  <c r="L620" i="11" l="1"/>
  <c r="L619" i="11"/>
  <c r="K624" i="11"/>
  <c r="K623" i="11"/>
  <c r="M623" i="11" s="1"/>
  <c r="C625" i="11"/>
  <c r="K622" i="11"/>
  <c r="D624" i="11"/>
  <c r="L618" i="11"/>
  <c r="L623" i="11"/>
  <c r="L622" i="11"/>
  <c r="K620" i="11"/>
  <c r="M620" i="11" s="1"/>
  <c r="K618" i="11"/>
  <c r="M618" i="11" s="1"/>
  <c r="K619" i="11"/>
  <c r="M619" i="11" s="1"/>
  <c r="L624" i="11"/>
  <c r="M622" i="11" l="1"/>
  <c r="D625" i="11"/>
  <c r="C626" i="11"/>
  <c r="M624" i="11"/>
  <c r="C627" i="11" l="1"/>
  <c r="D626" i="11"/>
  <c r="D627" i="11" l="1"/>
  <c r="C628" i="11"/>
  <c r="C629" i="11" l="1"/>
  <c r="D628" i="11"/>
  <c r="D629" i="11" l="1"/>
  <c r="C630" i="11"/>
  <c r="C631" i="11" l="1"/>
  <c r="D630" i="11"/>
  <c r="L631" i="11" l="1"/>
  <c r="K626" i="11"/>
  <c r="K627" i="11"/>
  <c r="M627" i="11" s="1"/>
  <c r="D631" i="11"/>
  <c r="K630" i="11"/>
  <c r="M630" i="11" s="1"/>
  <c r="L630" i="11"/>
  <c r="C632" i="11"/>
  <c r="L627" i="11"/>
  <c r="L629" i="11"/>
  <c r="K631" i="11"/>
  <c r="M631" i="11" s="1"/>
  <c r="L625" i="11"/>
  <c r="K625" i="11"/>
  <c r="K629" i="11"/>
  <c r="M629" i="11" s="1"/>
  <c r="D632" i="11" l="1"/>
  <c r="C633" i="11"/>
  <c r="M625" i="11"/>
  <c r="D633" i="11" l="1"/>
  <c r="C634" i="11"/>
  <c r="C635" i="11" l="1"/>
  <c r="D634" i="11"/>
  <c r="D635" i="11" l="1"/>
  <c r="C636" i="11"/>
  <c r="C637" i="11" l="1"/>
  <c r="D636" i="11"/>
  <c r="C638" i="11" l="1"/>
  <c r="D637" i="11"/>
  <c r="L634" i="11" l="1"/>
  <c r="L636" i="11"/>
  <c r="K637" i="11"/>
  <c r="M637" i="11" s="1"/>
  <c r="C639" i="11"/>
  <c r="L637" i="11"/>
  <c r="D638" i="11"/>
  <c r="K638" i="11"/>
  <c r="M638" i="11" s="1"/>
  <c r="L638" i="11"/>
  <c r="K632" i="11"/>
  <c r="L632" i="11"/>
  <c r="K634" i="11"/>
  <c r="M634" i="11" s="1"/>
  <c r="K636" i="11"/>
  <c r="M636" i="11" s="1"/>
  <c r="M632" i="11" l="1"/>
  <c r="D639" i="11"/>
  <c r="C640" i="11"/>
  <c r="C641" i="11" l="1"/>
  <c r="D640" i="11"/>
  <c r="D641" i="11" l="1"/>
  <c r="C642" i="11"/>
  <c r="C643" i="11" l="1"/>
  <c r="D642" i="11"/>
  <c r="D643" i="11" l="1"/>
  <c r="C644" i="11"/>
  <c r="C645" i="11" l="1"/>
  <c r="D644" i="11"/>
  <c r="K639" i="11" l="1"/>
  <c r="M639" i="11" s="1"/>
  <c r="L645" i="11"/>
  <c r="K644" i="11"/>
  <c r="M644" i="11" s="1"/>
  <c r="D645" i="11"/>
  <c r="L644" i="11"/>
  <c r="C646" i="11"/>
  <c r="K641" i="11"/>
  <c r="M641" i="11" s="1"/>
  <c r="K643" i="11"/>
  <c r="L639" i="11"/>
  <c r="L643" i="11"/>
  <c r="K645" i="11"/>
  <c r="M645" i="11" s="1"/>
  <c r="L641" i="11"/>
  <c r="M643" i="11" l="1"/>
  <c r="C647" i="11"/>
  <c r="D646" i="11"/>
  <c r="D647" i="11" l="1"/>
  <c r="C648" i="11"/>
  <c r="C649" i="11" l="1"/>
  <c r="D648" i="11"/>
  <c r="D649" i="11" l="1"/>
  <c r="C650" i="11"/>
  <c r="C651" i="11" l="1"/>
  <c r="D650" i="11"/>
  <c r="D651" i="11" l="1"/>
  <c r="C652" i="11"/>
  <c r="L652" i="11" l="1"/>
  <c r="L646" i="11"/>
  <c r="K651" i="11"/>
  <c r="C653" i="11"/>
  <c r="K650" i="11"/>
  <c r="D652" i="11"/>
  <c r="L648" i="11"/>
  <c r="K646" i="11"/>
  <c r="M646" i="11" s="1"/>
  <c r="K648" i="11"/>
  <c r="M648" i="11" s="1"/>
  <c r="L651" i="11"/>
  <c r="L650" i="11"/>
  <c r="K652" i="11"/>
  <c r="M652" i="11" s="1"/>
  <c r="M650" i="11" l="1"/>
  <c r="C654" i="11"/>
  <c r="D653" i="11"/>
  <c r="M651" i="11"/>
  <c r="D654" i="11" l="1"/>
  <c r="C655" i="11"/>
  <c r="D655" i="11" l="1"/>
  <c r="C656" i="11"/>
  <c r="D656" i="11" l="1"/>
  <c r="C657" i="11"/>
  <c r="D657" i="11" l="1"/>
  <c r="C658" i="11"/>
  <c r="D658" i="11" l="1"/>
  <c r="C659" i="11"/>
  <c r="K657" i="11" l="1"/>
  <c r="L658" i="11"/>
  <c r="K659" i="11"/>
  <c r="M659" i="11" s="1"/>
  <c r="D659" i="11"/>
  <c r="L655" i="11"/>
  <c r="C660" i="11"/>
  <c r="L659" i="11"/>
  <c r="L653" i="11"/>
  <c r="K653" i="11"/>
  <c r="M653" i="11" s="1"/>
  <c r="L657" i="11"/>
  <c r="K658" i="11"/>
  <c r="M658" i="11" s="1"/>
  <c r="K655" i="11"/>
  <c r="C661" i="11" l="1"/>
  <c r="D660" i="11"/>
  <c r="M655" i="11"/>
  <c r="M657" i="11"/>
  <c r="C662" i="11" l="1"/>
  <c r="D661" i="11"/>
  <c r="C663" i="11" l="1"/>
  <c r="D662" i="11"/>
  <c r="C664" i="11" l="1"/>
  <c r="D663" i="11"/>
  <c r="D664" i="11" l="1"/>
  <c r="C665" i="11"/>
  <c r="C666" i="11" l="1"/>
  <c r="D665" i="11"/>
  <c r="L661" i="11" l="1"/>
  <c r="K665" i="11"/>
  <c r="M665" i="11" s="1"/>
  <c r="K660" i="11"/>
  <c r="M660" i="11" s="1"/>
  <c r="L665" i="11"/>
  <c r="C667" i="11"/>
  <c r="L660" i="11"/>
  <c r="K666" i="11"/>
  <c r="M666" i="11" s="1"/>
  <c r="D666" i="11"/>
  <c r="L666" i="11"/>
  <c r="K664" i="11"/>
  <c r="M664" i="11" s="1"/>
  <c r="K662" i="11"/>
  <c r="M662" i="11" s="1"/>
  <c r="L662" i="11"/>
  <c r="L664" i="11"/>
  <c r="K661" i="11"/>
  <c r="M661" i="11" s="1"/>
  <c r="D667" i="11" l="1"/>
  <c r="C668" i="11"/>
  <c r="C669" i="11" l="1"/>
  <c r="D668" i="11"/>
  <c r="C670" i="11" l="1"/>
  <c r="D669" i="11"/>
  <c r="C671" i="11" l="1"/>
  <c r="D670" i="11"/>
  <c r="C672" i="11" l="1"/>
  <c r="D671" i="11"/>
  <c r="D672" i="11" l="1"/>
  <c r="C673" i="11"/>
  <c r="K669" i="11" l="1"/>
  <c r="M669" i="11" s="1"/>
  <c r="K671" i="11"/>
  <c r="K673" i="11"/>
  <c r="C674" i="11"/>
  <c r="L669" i="11"/>
  <c r="K667" i="11"/>
  <c r="M667" i="11" s="1"/>
  <c r="D673" i="11"/>
  <c r="L667" i="11"/>
  <c r="K672" i="11"/>
  <c r="M672" i="11" s="1"/>
  <c r="L672" i="11"/>
  <c r="K668" i="11"/>
  <c r="M668" i="11" s="1"/>
  <c r="L668" i="11"/>
  <c r="L671" i="11"/>
  <c r="L673" i="11"/>
  <c r="C675" i="11" l="1"/>
  <c r="D674" i="11"/>
  <c r="M673" i="11"/>
  <c r="M671" i="11"/>
  <c r="C676" i="11" l="1"/>
  <c r="D675" i="11"/>
  <c r="D676" i="11" l="1"/>
  <c r="C677" i="11"/>
  <c r="C678" i="11" l="1"/>
  <c r="D677" i="11"/>
  <c r="C679" i="11" l="1"/>
  <c r="D678" i="11"/>
  <c r="C680" i="11" l="1"/>
  <c r="D679" i="11"/>
  <c r="L678" i="11" l="1"/>
  <c r="L679" i="11"/>
  <c r="K674" i="11"/>
  <c r="K680" i="11"/>
  <c r="M680" i="11" s="1"/>
  <c r="C681" i="11"/>
  <c r="L680" i="11"/>
  <c r="D680" i="11"/>
  <c r="K679" i="11"/>
  <c r="M679" i="11" s="1"/>
  <c r="K676" i="11"/>
  <c r="L676" i="11"/>
  <c r="K675" i="11"/>
  <c r="M675" i="11" s="1"/>
  <c r="K678" i="11"/>
  <c r="M678" i="11" s="1"/>
  <c r="L675" i="11"/>
  <c r="L674" i="11"/>
  <c r="M676" i="11" l="1"/>
  <c r="C682" i="11"/>
  <c r="D681" i="11"/>
  <c r="M674" i="11"/>
  <c r="C683" i="11" l="1"/>
  <c r="D682" i="11"/>
  <c r="C684" i="11" l="1"/>
  <c r="D683" i="11"/>
  <c r="C685" i="11" l="1"/>
  <c r="D684" i="11"/>
  <c r="C686" i="11" l="1"/>
  <c r="D685" i="11"/>
  <c r="C687" i="11" l="1"/>
  <c r="D686" i="11"/>
  <c r="L681" i="11" l="1"/>
  <c r="L686" i="11"/>
  <c r="K687" i="11"/>
  <c r="K685" i="11"/>
  <c r="M685" i="11" s="1"/>
  <c r="C688" i="11"/>
  <c r="L685" i="11"/>
  <c r="D687" i="11"/>
  <c r="L683" i="11"/>
  <c r="K686" i="11"/>
  <c r="M686" i="11" s="1"/>
  <c r="K681" i="11"/>
  <c r="M681" i="11" s="1"/>
  <c r="K683" i="11"/>
  <c r="M683" i="11" s="1"/>
  <c r="L687" i="11"/>
  <c r="L682" i="11"/>
  <c r="K682" i="11"/>
  <c r="M682" i="11" s="1"/>
  <c r="C689" i="11" l="1"/>
  <c r="D688" i="11"/>
  <c r="M687" i="11"/>
  <c r="C690" i="11" l="1"/>
  <c r="D689" i="11"/>
  <c r="C691" i="11" l="1"/>
  <c r="D690" i="11"/>
  <c r="C692" i="11" l="1"/>
  <c r="D691" i="11"/>
  <c r="C693" i="11" l="1"/>
  <c r="D692" i="11"/>
  <c r="C694" i="11" l="1"/>
  <c r="D693" i="11"/>
  <c r="K689" i="11" l="1"/>
  <c r="M689" i="11" s="1"/>
  <c r="K692" i="11"/>
  <c r="K690" i="11"/>
  <c r="M690" i="11" s="1"/>
  <c r="L690" i="11"/>
  <c r="C695" i="11"/>
  <c r="K693" i="11"/>
  <c r="L688" i="11"/>
  <c r="D694" i="11"/>
  <c r="L689" i="11"/>
  <c r="L693" i="11"/>
  <c r="L694" i="11"/>
  <c r="K688" i="11"/>
  <c r="M688" i="11" s="1"/>
  <c r="K694" i="11"/>
  <c r="L692" i="11"/>
  <c r="M693" i="11" l="1"/>
  <c r="M694" i="11"/>
  <c r="C696" i="11"/>
  <c r="D695" i="11"/>
  <c r="M692" i="11"/>
  <c r="C697" i="11" l="1"/>
  <c r="D696" i="11"/>
  <c r="C698" i="11" l="1"/>
  <c r="D697" i="11"/>
  <c r="C699" i="11" l="1"/>
  <c r="D698" i="11"/>
  <c r="C700" i="11" l="1"/>
  <c r="D699" i="11"/>
  <c r="D700" i="11" l="1"/>
  <c r="C701" i="11"/>
  <c r="L697" i="11" l="1"/>
  <c r="L695" i="11"/>
  <c r="K696" i="11"/>
  <c r="L700" i="11"/>
  <c r="C702" i="11"/>
  <c r="L701" i="11"/>
  <c r="D701" i="11"/>
  <c r="L699" i="11"/>
  <c r="K699" i="11"/>
  <c r="M699" i="11" s="1"/>
  <c r="L696" i="11"/>
  <c r="K697" i="11"/>
  <c r="M697" i="11" s="1"/>
  <c r="K701" i="11"/>
  <c r="M701" i="11" s="1"/>
  <c r="K695" i="11"/>
  <c r="M695" i="11" s="1"/>
  <c r="K700" i="11"/>
  <c r="M700" i="11" s="1"/>
  <c r="C703" i="11" l="1"/>
  <c r="D702" i="11"/>
  <c r="M696" i="11"/>
  <c r="D703" i="11" l="1"/>
  <c r="C704" i="11"/>
  <c r="C705" i="11" l="1"/>
  <c r="D704" i="11"/>
  <c r="C706" i="11" l="1"/>
  <c r="D705" i="11"/>
  <c r="C707" i="11" l="1"/>
  <c r="D706" i="11"/>
  <c r="C708" i="11" l="1"/>
  <c r="D707" i="11"/>
  <c r="K707" i="11" l="1"/>
  <c r="M707" i="11" s="1"/>
  <c r="L707" i="11"/>
  <c r="K704" i="11"/>
  <c r="M704" i="11" s="1"/>
  <c r="C709" i="11"/>
  <c r="L704" i="11"/>
  <c r="D708" i="11"/>
  <c r="L706" i="11"/>
  <c r="K706" i="11"/>
  <c r="M706" i="11" s="1"/>
  <c r="K708" i="11"/>
  <c r="M708" i="11" s="1"/>
  <c r="K703" i="11"/>
  <c r="L702" i="11"/>
  <c r="L708" i="11"/>
  <c r="K702" i="11"/>
  <c r="M702" i="11" l="1"/>
  <c r="D709" i="11"/>
  <c r="C710" i="11"/>
  <c r="C711" i="11" l="1"/>
  <c r="D710" i="11"/>
  <c r="C712" i="11" l="1"/>
  <c r="D711" i="11"/>
  <c r="C713" i="11" l="1"/>
  <c r="D712" i="11"/>
  <c r="C714" i="11" l="1"/>
  <c r="D713" i="11"/>
  <c r="C715" i="11" l="1"/>
  <c r="D714" i="11"/>
  <c r="K713" i="11" l="1"/>
  <c r="M713" i="11" s="1"/>
  <c r="L709" i="11"/>
  <c r="L713" i="11"/>
  <c r="L714" i="11"/>
  <c r="C716" i="11"/>
  <c r="K710" i="11"/>
  <c r="M710" i="11" s="1"/>
  <c r="D715" i="11"/>
  <c r="L711" i="11"/>
  <c r="K709" i="11"/>
  <c r="M709" i="11" s="1"/>
  <c r="K711" i="11"/>
  <c r="M711" i="11" s="1"/>
  <c r="K715" i="11"/>
  <c r="M715" i="11" s="1"/>
  <c r="K714" i="11"/>
  <c r="M714" i="11" s="1"/>
  <c r="L710" i="11"/>
  <c r="L715" i="11"/>
  <c r="C717" i="11" l="1"/>
  <c r="D716" i="11"/>
  <c r="C718" i="11" l="1"/>
  <c r="D717" i="11"/>
  <c r="C719" i="11" l="1"/>
  <c r="D718" i="11"/>
  <c r="C720" i="11" l="1"/>
  <c r="D719" i="11"/>
  <c r="C721" i="11" l="1"/>
  <c r="D720" i="11"/>
  <c r="C722" i="11" l="1"/>
  <c r="D721" i="11"/>
  <c r="L722" i="11" l="1"/>
  <c r="K717" i="11"/>
  <c r="K721" i="11"/>
  <c r="K718" i="11"/>
  <c r="M718" i="11" s="1"/>
  <c r="C723" i="11"/>
  <c r="K720" i="11"/>
  <c r="M720" i="11" s="1"/>
  <c r="D722" i="11"/>
  <c r="L720" i="11"/>
  <c r="L718" i="11"/>
  <c r="K716" i="11"/>
  <c r="M716" i="11" s="1"/>
  <c r="L721" i="11"/>
  <c r="K722" i="11"/>
  <c r="M722" i="11" s="1"/>
  <c r="L716" i="11"/>
  <c r="C724" i="11" l="1"/>
  <c r="D723" i="11"/>
  <c r="M721" i="11"/>
  <c r="C725" i="11" l="1"/>
  <c r="D724" i="11"/>
  <c r="C726" i="11" l="1"/>
  <c r="D725" i="11"/>
  <c r="C727" i="11" l="1"/>
  <c r="D726" i="11"/>
  <c r="C728" i="11" l="1"/>
  <c r="D727" i="11"/>
  <c r="C729" i="11" l="1"/>
  <c r="D728" i="11"/>
  <c r="K728" i="11" l="1"/>
  <c r="K725" i="11"/>
  <c r="M725" i="11" s="1"/>
  <c r="K727" i="11"/>
  <c r="M727" i="11" s="1"/>
  <c r="K724" i="11"/>
  <c r="C730" i="11"/>
  <c r="L727" i="11"/>
  <c r="D729" i="11"/>
  <c r="L725" i="11"/>
  <c r="L729" i="11"/>
  <c r="K723" i="11"/>
  <c r="M723" i="11" s="1"/>
  <c r="L723" i="11"/>
  <c r="L724" i="11"/>
  <c r="K729" i="11"/>
  <c r="L728" i="11"/>
  <c r="M729" i="11" l="1"/>
  <c r="C731" i="11"/>
  <c r="D730" i="11"/>
  <c r="M724" i="11"/>
  <c r="M728" i="11"/>
  <c r="C732" i="11" l="1"/>
  <c r="D731" i="11"/>
  <c r="C733" i="11" l="1"/>
  <c r="D732" i="11"/>
  <c r="C734" i="11" l="1"/>
  <c r="D733" i="11"/>
  <c r="C735" i="11" l="1"/>
  <c r="D734" i="11"/>
  <c r="C736" i="11" l="1"/>
  <c r="D735" i="11"/>
  <c r="K735" i="11" l="1"/>
  <c r="M735" i="11" s="1"/>
  <c r="K732" i="11"/>
  <c r="M732" i="11" s="1"/>
  <c r="K730" i="11"/>
  <c r="M730" i="11" s="1"/>
  <c r="C737" i="11"/>
  <c r="K736" i="11"/>
  <c r="D736" i="11"/>
  <c r="L732" i="11"/>
  <c r="L735" i="11"/>
  <c r="L730" i="11"/>
  <c r="K734" i="11"/>
  <c r="M734" i="11" s="1"/>
  <c r="L736" i="11"/>
  <c r="L734" i="11"/>
  <c r="M736" i="11" l="1"/>
  <c r="D737" i="11"/>
  <c r="C738" i="11"/>
  <c r="D738" i="11" l="1"/>
  <c r="C739" i="11"/>
  <c r="C740" i="11" l="1"/>
  <c r="D739" i="11"/>
  <c r="C741" i="11" l="1"/>
  <c r="D740" i="11"/>
  <c r="D741" i="11" l="1"/>
  <c r="C742" i="11"/>
  <c r="C743" i="11" l="1"/>
  <c r="D742" i="11"/>
  <c r="K742" i="11" l="1"/>
  <c r="M742" i="11" s="1"/>
  <c r="L742" i="11"/>
  <c r="L738" i="11"/>
  <c r="L737" i="11"/>
  <c r="C744" i="11"/>
  <c r="K737" i="11"/>
  <c r="M737" i="11" s="1"/>
  <c r="D743" i="11"/>
  <c r="L741" i="11"/>
  <c r="K741" i="11"/>
  <c r="M741" i="11" s="1"/>
  <c r="L743" i="11"/>
  <c r="L739" i="11"/>
  <c r="K739" i="11"/>
  <c r="M739" i="11" s="1"/>
  <c r="K743" i="11"/>
  <c r="K738" i="11"/>
  <c r="M738" i="11" s="1"/>
  <c r="M743" i="11" l="1"/>
  <c r="C745" i="11"/>
  <c r="D744" i="11"/>
  <c r="D745" i="11" l="1"/>
  <c r="C746" i="11"/>
  <c r="C747" i="11" l="1"/>
  <c r="D746" i="11"/>
  <c r="C748" i="11" l="1"/>
  <c r="D747" i="11"/>
  <c r="C749" i="11" l="1"/>
  <c r="D748" i="11"/>
  <c r="D749" i="11" l="1"/>
  <c r="C750" i="11"/>
  <c r="K748" i="11" l="1"/>
  <c r="M748" i="11" s="1"/>
  <c r="L748" i="11"/>
  <c r="L749" i="11"/>
  <c r="C751" i="11"/>
  <c r="K744" i="11"/>
  <c r="L745" i="11"/>
  <c r="D750" i="11"/>
  <c r="K750" i="11"/>
  <c r="M750" i="11" s="1"/>
  <c r="K746" i="11"/>
  <c r="M746" i="11" s="1"/>
  <c r="L744" i="11"/>
  <c r="K749" i="11"/>
  <c r="M749" i="11" s="1"/>
  <c r="L750" i="11"/>
  <c r="L746" i="11"/>
  <c r="K745" i="11"/>
  <c r="M745" i="11" s="1"/>
  <c r="M744" i="11" l="1"/>
  <c r="D751" i="11"/>
  <c r="C752" i="11"/>
  <c r="D752" i="11" l="1"/>
  <c r="C753" i="11"/>
  <c r="D753" i="11" l="1"/>
  <c r="C754" i="11"/>
  <c r="C755" i="11" l="1"/>
  <c r="D754" i="11"/>
  <c r="D755" i="11" l="1"/>
  <c r="C756" i="11"/>
  <c r="C757" i="11" l="1"/>
  <c r="D756" i="11"/>
  <c r="L755" i="11" l="1"/>
  <c r="L753" i="11"/>
  <c r="K755" i="11"/>
  <c r="M755" i="11" s="1"/>
  <c r="C758" i="11"/>
  <c r="K753" i="11"/>
  <c r="M753" i="11" s="1"/>
  <c r="D757" i="11"/>
  <c r="L751" i="11"/>
  <c r="K751" i="11"/>
  <c r="M751" i="11" s="1"/>
  <c r="K757" i="11"/>
  <c r="M757" i="11" s="1"/>
  <c r="K756" i="11"/>
  <c r="M756" i="11" s="1"/>
  <c r="L757" i="11"/>
  <c r="L756" i="11"/>
  <c r="D758" i="11" l="1"/>
  <c r="C759" i="11"/>
  <c r="D759" i="11" l="1"/>
  <c r="C760" i="11"/>
  <c r="C761" i="11" l="1"/>
  <c r="D760" i="11"/>
  <c r="D761" i="11" l="1"/>
  <c r="C762" i="11"/>
  <c r="C763" i="11" l="1"/>
  <c r="D762" i="11"/>
  <c r="D763" i="11" l="1"/>
  <c r="C764" i="11"/>
  <c r="K760" i="11" l="1"/>
  <c r="M760" i="11" s="1"/>
  <c r="K758" i="11"/>
  <c r="L762" i="11"/>
  <c r="C765" i="11"/>
  <c r="K763" i="11"/>
  <c r="D764" i="11"/>
  <c r="L760" i="11"/>
  <c r="K764" i="11"/>
  <c r="M764" i="11" s="1"/>
  <c r="L763" i="11"/>
  <c r="L758" i="11"/>
  <c r="K762" i="11"/>
  <c r="M762" i="11" s="1"/>
  <c r="L764" i="11"/>
  <c r="M763" i="11" l="1"/>
  <c r="C766" i="11"/>
  <c r="D765" i="11"/>
  <c r="M758" i="11"/>
  <c r="C767" i="11" l="1"/>
  <c r="D766" i="11"/>
  <c r="C768" i="11" l="1"/>
  <c r="D767" i="11"/>
  <c r="D768" i="11" l="1"/>
  <c r="C769" i="11"/>
  <c r="C770" i="11" l="1"/>
  <c r="D769" i="11"/>
  <c r="C771" i="11" l="1"/>
  <c r="D770" i="11"/>
  <c r="L765" i="11" l="1"/>
  <c r="L770" i="11"/>
  <c r="K771" i="11"/>
  <c r="K765" i="11"/>
  <c r="M765" i="11" s="1"/>
  <c r="D771" i="11"/>
  <c r="K767" i="11"/>
  <c r="M767" i="11" s="1"/>
  <c r="C772" i="11"/>
  <c r="K769" i="11"/>
  <c r="L766" i="11"/>
  <c r="L769" i="11"/>
  <c r="K766" i="11"/>
  <c r="M766" i="11" s="1"/>
  <c r="K770" i="11"/>
  <c r="M770" i="11" s="1"/>
  <c r="L767" i="11"/>
  <c r="L771" i="11"/>
  <c r="M769" i="11" l="1"/>
  <c r="D772" i="11"/>
  <c r="C773" i="11"/>
  <c r="M771" i="11"/>
  <c r="C774" i="11" l="1"/>
  <c r="D773" i="11"/>
  <c r="C775" i="11" l="1"/>
  <c r="D774" i="11"/>
  <c r="C776" i="11" l="1"/>
  <c r="D775" i="11"/>
  <c r="D776" i="11" l="1"/>
  <c r="C777" i="11"/>
  <c r="C778" i="11" l="1"/>
  <c r="D777" i="11"/>
  <c r="L776" i="11" l="1"/>
  <c r="K772" i="11"/>
  <c r="M772" i="11" s="1"/>
  <c r="L772" i="11"/>
  <c r="L774" i="11"/>
  <c r="C779" i="11"/>
  <c r="K773" i="11"/>
  <c r="D778" i="11"/>
  <c r="K776" i="11"/>
  <c r="M776" i="11" s="1"/>
  <c r="K777" i="11"/>
  <c r="K774" i="11"/>
  <c r="M774" i="11" s="1"/>
  <c r="L778" i="11"/>
  <c r="L773" i="11"/>
  <c r="K778" i="11"/>
  <c r="L777" i="11"/>
  <c r="M773" i="11" l="1"/>
  <c r="M778" i="11"/>
  <c r="C780" i="11"/>
  <c r="D779" i="11"/>
  <c r="M777" i="11"/>
  <c r="D780" i="11" l="1"/>
  <c r="C781" i="11"/>
  <c r="D781" i="11" l="1"/>
  <c r="C782" i="11"/>
  <c r="C783" i="11" l="1"/>
  <c r="D782" i="11"/>
  <c r="C784" i="11" l="1"/>
  <c r="D783" i="11"/>
  <c r="C785" i="11" l="1"/>
  <c r="D784" i="11"/>
  <c r="K779" i="11" l="1"/>
  <c r="M779" i="11" s="1"/>
  <c r="L779" i="11"/>
  <c r="K781" i="11"/>
  <c r="C786" i="11"/>
  <c r="K783" i="11"/>
  <c r="D785" i="11"/>
  <c r="K785" i="11"/>
  <c r="M785" i="11" s="1"/>
  <c r="L785" i="11"/>
  <c r="L781" i="11"/>
  <c r="K784" i="11"/>
  <c r="M784" i="11" s="1"/>
  <c r="L783" i="11"/>
  <c r="L784" i="11"/>
  <c r="M783" i="11" l="1"/>
  <c r="C787" i="11"/>
  <c r="D786" i="11"/>
  <c r="M781" i="11"/>
  <c r="C788" i="11" l="1"/>
  <c r="D787" i="11"/>
  <c r="C789" i="11" l="1"/>
  <c r="D788" i="11"/>
  <c r="D789" i="11" l="1"/>
  <c r="C790" i="11"/>
  <c r="D790" i="11" l="1"/>
  <c r="C791" i="11"/>
  <c r="C792" i="11" l="1"/>
  <c r="D791" i="11"/>
  <c r="K792" i="11" l="1"/>
  <c r="M792" i="11" s="1"/>
  <c r="L791" i="11"/>
  <c r="K791" i="11"/>
  <c r="M791" i="11" s="1"/>
  <c r="K788" i="11"/>
  <c r="C793" i="11"/>
  <c r="L792" i="11"/>
  <c r="D792" i="11"/>
  <c r="L790" i="11"/>
  <c r="K786" i="11"/>
  <c r="M786" i="11" s="1"/>
  <c r="L786" i="11"/>
  <c r="L788" i="11"/>
  <c r="K790" i="11"/>
  <c r="M790" i="11" s="1"/>
  <c r="L787" i="11"/>
  <c r="K787" i="11"/>
  <c r="M787" i="11" s="1"/>
  <c r="C794" i="11" l="1"/>
  <c r="D793" i="11"/>
  <c r="M788" i="11"/>
  <c r="D794" i="11" l="1"/>
  <c r="C795" i="11"/>
  <c r="C796" i="11" l="1"/>
  <c r="D795" i="11"/>
  <c r="D796" i="11" l="1"/>
  <c r="C797" i="11"/>
  <c r="D797" i="11" l="1"/>
  <c r="C798" i="11"/>
  <c r="C799" i="11" l="1"/>
  <c r="D798" i="11"/>
  <c r="K798" i="11" l="1"/>
  <c r="M798" i="11" s="1"/>
  <c r="L798" i="11"/>
  <c r="L794" i="11"/>
  <c r="K797" i="11"/>
  <c r="M797" i="11" s="1"/>
  <c r="C800" i="11"/>
  <c r="L797" i="11"/>
  <c r="L793" i="11"/>
  <c r="D799" i="11"/>
  <c r="L795" i="11"/>
  <c r="L799" i="11"/>
  <c r="K795" i="11"/>
  <c r="M795" i="11" s="1"/>
  <c r="K799" i="11"/>
  <c r="M799" i="11" s="1"/>
  <c r="K793" i="11"/>
  <c r="M793" i="11" s="1"/>
  <c r="K794" i="11"/>
  <c r="M794" i="11" s="1"/>
  <c r="D800" i="11" l="1"/>
  <c r="C801" i="11"/>
  <c r="C802" i="11" l="1"/>
  <c r="D801" i="11"/>
  <c r="D802" i="11" l="1"/>
  <c r="C803" i="11"/>
  <c r="C804" i="11" l="1"/>
  <c r="D803" i="11"/>
  <c r="C805" i="11" l="1"/>
  <c r="D804" i="11"/>
  <c r="D805" i="11" l="1"/>
  <c r="C806" i="11"/>
  <c r="L805" i="11" l="1"/>
  <c r="L801" i="11"/>
  <c r="K802" i="11"/>
  <c r="K800" i="11"/>
  <c r="C807" i="11"/>
  <c r="K806" i="11"/>
  <c r="M806" i="11" s="1"/>
  <c r="D806" i="11"/>
  <c r="L806" i="11"/>
  <c r="L804" i="11"/>
  <c r="L802" i="11"/>
  <c r="K805" i="11"/>
  <c r="M805" i="11" s="1"/>
  <c r="L800" i="11"/>
  <c r="K804" i="11"/>
  <c r="M804" i="11" l="1"/>
  <c r="C808" i="11"/>
  <c r="D807" i="11"/>
  <c r="M800" i="11"/>
  <c r="M802" i="11"/>
  <c r="C809" i="11" l="1"/>
  <c r="D808" i="11"/>
  <c r="C810" i="11" l="1"/>
  <c r="D809" i="11"/>
  <c r="D810" i="11" l="1"/>
  <c r="C811" i="11"/>
  <c r="C812" i="11" l="1"/>
  <c r="D811" i="11"/>
  <c r="C813" i="11" l="1"/>
  <c r="D812" i="11"/>
  <c r="K811" i="11" l="1"/>
  <c r="M811" i="11" s="1"/>
  <c r="K807" i="11"/>
  <c r="L812" i="11"/>
  <c r="K812" i="11"/>
  <c r="M812" i="11" s="1"/>
  <c r="D813" i="11"/>
  <c r="K809" i="11"/>
  <c r="C814" i="11"/>
  <c r="L811" i="11"/>
  <c r="L813" i="11"/>
  <c r="L809" i="11"/>
  <c r="K808" i="11"/>
  <c r="M808" i="11" s="1"/>
  <c r="L807" i="11"/>
  <c r="L808" i="11"/>
  <c r="K813" i="11"/>
  <c r="C815" i="11" l="1"/>
  <c r="D814" i="11"/>
  <c r="M809" i="11"/>
  <c r="M813" i="11"/>
  <c r="M807" i="11"/>
  <c r="C816" i="11" l="1"/>
  <c r="D815" i="11"/>
  <c r="C817" i="11" l="1"/>
  <c r="D816" i="11"/>
  <c r="C818" i="11" l="1"/>
  <c r="D817" i="11"/>
  <c r="D818" i="11" l="1"/>
  <c r="C819" i="11"/>
  <c r="C820" i="11" l="1"/>
  <c r="D819" i="11"/>
  <c r="L816" i="11" l="1"/>
  <c r="K820" i="11"/>
  <c r="M820" i="11" s="1"/>
  <c r="K819" i="11"/>
  <c r="M819" i="11" s="1"/>
  <c r="C821" i="11"/>
  <c r="L819" i="11"/>
  <c r="D820" i="11"/>
  <c r="K818" i="11"/>
  <c r="L820" i="11"/>
  <c r="L814" i="11"/>
  <c r="L818" i="11"/>
  <c r="K816" i="11"/>
  <c r="M816" i="11" s="1"/>
  <c r="K814" i="11"/>
  <c r="M814" i="11" s="1"/>
  <c r="M818" i="11" l="1"/>
  <c r="C822" i="11"/>
  <c r="D821" i="11"/>
  <c r="C823" i="11" l="1"/>
  <c r="D822" i="11"/>
  <c r="C824" i="11" l="1"/>
  <c r="D823" i="11"/>
  <c r="C825" i="11" l="1"/>
  <c r="D824" i="11"/>
  <c r="C826" i="11" l="1"/>
  <c r="D825" i="11"/>
  <c r="D826" i="11" l="1"/>
  <c r="C827" i="11"/>
  <c r="L822" i="11" l="1"/>
  <c r="L826" i="11"/>
  <c r="L827" i="11"/>
  <c r="L825" i="11"/>
  <c r="C828" i="11"/>
  <c r="K826" i="11"/>
  <c r="M826" i="11" s="1"/>
  <c r="D827" i="11"/>
  <c r="L823" i="11"/>
  <c r="K823" i="11"/>
  <c r="M823" i="11" s="1"/>
  <c r="K825" i="11"/>
  <c r="M825" i="11" s="1"/>
  <c r="K822" i="11"/>
  <c r="M822" i="11" s="1"/>
  <c r="L821" i="11"/>
  <c r="K821" i="11"/>
  <c r="K827" i="11"/>
  <c r="M827" i="11" s="1"/>
  <c r="M821" i="11" l="1"/>
  <c r="D828" i="11"/>
  <c r="C829" i="11"/>
  <c r="D829" i="11" l="1"/>
  <c r="C830" i="11"/>
  <c r="D830" i="11" l="1"/>
  <c r="C831" i="11"/>
  <c r="C832" i="11" l="1"/>
  <c r="D831" i="11"/>
  <c r="D832" i="11" l="1"/>
  <c r="C833" i="11"/>
  <c r="C834" i="11" l="1"/>
  <c r="D833" i="11"/>
  <c r="K834" i="11" l="1"/>
  <c r="M834" i="11" s="1"/>
  <c r="L828" i="11"/>
  <c r="L833" i="11"/>
  <c r="K833" i="11"/>
  <c r="M833" i="11" s="1"/>
  <c r="D834" i="11"/>
  <c r="L834" i="11"/>
  <c r="C835" i="11"/>
  <c r="L830" i="11"/>
  <c r="K829" i="11"/>
  <c r="L832" i="11"/>
  <c r="K832" i="11"/>
  <c r="M832" i="11" s="1"/>
  <c r="K828" i="11"/>
  <c r="M828" i="11" s="1"/>
  <c r="K830" i="11"/>
  <c r="M830" i="11" s="1"/>
  <c r="L829" i="11"/>
  <c r="M829" i="11" l="1"/>
  <c r="C836" i="11"/>
  <c r="D835" i="11"/>
  <c r="C837" i="11" l="1"/>
  <c r="D836" i="11"/>
  <c r="C838" i="11" l="1"/>
  <c r="D837" i="11"/>
  <c r="C839" i="11" l="1"/>
  <c r="D838" i="11"/>
  <c r="D839" i="11" l="1"/>
  <c r="C840" i="11"/>
  <c r="D840" i="11" l="1"/>
  <c r="C841" i="11"/>
  <c r="K835" i="11" l="1"/>
  <c r="M835" i="11" s="1"/>
  <c r="K836" i="11"/>
  <c r="M836" i="11" s="1"/>
  <c r="L840" i="11"/>
  <c r="L836" i="11"/>
  <c r="C842" i="11"/>
  <c r="L837" i="11"/>
  <c r="D841" i="11"/>
  <c r="L835" i="11"/>
  <c r="K840" i="11"/>
  <c r="M840" i="11" s="1"/>
  <c r="K839" i="11"/>
  <c r="M839" i="11" s="1"/>
  <c r="L839" i="11"/>
  <c r="K837" i="11"/>
  <c r="M837" i="11" s="1"/>
  <c r="L841" i="11"/>
  <c r="K841" i="11"/>
  <c r="M841" i="11" s="1"/>
  <c r="D842" i="11" l="1"/>
  <c r="C843" i="11"/>
  <c r="D843" i="11" l="1"/>
  <c r="C844" i="11"/>
  <c r="D844" i="11" l="1"/>
  <c r="C845" i="11"/>
  <c r="C846" i="11" l="1"/>
  <c r="D845" i="11"/>
  <c r="D846" i="11" l="1"/>
  <c r="C847" i="11"/>
  <c r="D847" i="11" l="1"/>
  <c r="C848" i="11"/>
  <c r="K848" i="11" l="1"/>
  <c r="M848" i="11" s="1"/>
  <c r="K844" i="11"/>
  <c r="M844" i="11" s="1"/>
  <c r="L842" i="11"/>
  <c r="K846" i="11"/>
  <c r="C849" i="11"/>
  <c r="K842" i="11"/>
  <c r="M842" i="11" s="1"/>
  <c r="D848" i="11"/>
  <c r="L844" i="11"/>
  <c r="L848" i="11"/>
  <c r="L847" i="11"/>
  <c r="L846" i="11"/>
  <c r="L843" i="11"/>
  <c r="K843" i="11"/>
  <c r="K847" i="11"/>
  <c r="M847" i="11" s="1"/>
  <c r="M843" i="11" l="1"/>
  <c r="D849" i="11"/>
  <c r="C850" i="11"/>
  <c r="M846" i="11"/>
  <c r="D850" i="11" l="1"/>
  <c r="C851" i="11"/>
  <c r="C852" i="11" l="1"/>
  <c r="D851" i="11"/>
  <c r="C853" i="11" l="1"/>
  <c r="D852" i="11"/>
  <c r="C854" i="11" l="1"/>
  <c r="D853" i="11"/>
  <c r="C855" i="11" l="1"/>
  <c r="D854" i="11"/>
  <c r="K849" i="11" l="1"/>
  <c r="K855" i="11"/>
  <c r="L853" i="11"/>
  <c r="D855" i="11"/>
  <c r="K854" i="11"/>
  <c r="M854" i="11" s="1"/>
  <c r="C856" i="11"/>
  <c r="K853" i="11"/>
  <c r="M853" i="11" s="1"/>
  <c r="L854" i="11"/>
  <c r="L855" i="11"/>
  <c r="L851" i="11"/>
  <c r="L849" i="11"/>
  <c r="K851" i="11"/>
  <c r="C857" i="11" l="1"/>
  <c r="D856" i="11"/>
  <c r="M851" i="11"/>
  <c r="M855" i="11"/>
  <c r="M849" i="11"/>
  <c r="C858" i="11" l="1"/>
  <c r="D857" i="11"/>
  <c r="D858" i="11" l="1"/>
  <c r="C859" i="11"/>
  <c r="C860" i="11" l="1"/>
  <c r="D859" i="11"/>
  <c r="C861" i="11" l="1"/>
  <c r="D860" i="11"/>
  <c r="C862" i="11" l="1"/>
  <c r="D861" i="11"/>
  <c r="K857" i="11" l="1"/>
  <c r="L856" i="11"/>
  <c r="L862" i="11"/>
  <c r="L858" i="11"/>
  <c r="C863" i="11"/>
  <c r="K862" i="11"/>
  <c r="M862" i="11" s="1"/>
  <c r="K861" i="11"/>
  <c r="D862" i="11"/>
  <c r="L861" i="11"/>
  <c r="L857" i="11"/>
  <c r="K856" i="11"/>
  <c r="M856" i="11" s="1"/>
  <c r="K860" i="11"/>
  <c r="K858" i="11"/>
  <c r="M858" i="11" s="1"/>
  <c r="L860" i="11"/>
  <c r="M861" i="11" l="1"/>
  <c r="C864" i="11"/>
  <c r="D863" i="11"/>
  <c r="M860" i="11"/>
  <c r="M857" i="11"/>
  <c r="C865" i="11" l="1"/>
  <c r="D864" i="11"/>
  <c r="C866" i="11" l="1"/>
  <c r="D865" i="11"/>
  <c r="D866" i="11" l="1"/>
  <c r="C867" i="11"/>
  <c r="C868" i="11" l="1"/>
  <c r="D867" i="11"/>
  <c r="C869" i="11" l="1"/>
  <c r="D868" i="11"/>
  <c r="K863" i="11" l="1"/>
  <c r="L868" i="11"/>
  <c r="L867" i="11"/>
  <c r="K868" i="11"/>
  <c r="M868" i="11" s="1"/>
  <c r="C870" i="11"/>
  <c r="L865" i="11"/>
  <c r="D869" i="11"/>
  <c r="K869" i="11"/>
  <c r="K865" i="11"/>
  <c r="M865" i="11" s="1"/>
  <c r="L863" i="11"/>
  <c r="K867" i="11"/>
  <c r="M867" i="11" s="1"/>
  <c r="L869" i="11"/>
  <c r="L864" i="11"/>
  <c r="K864" i="11"/>
  <c r="M864" i="11" s="1"/>
  <c r="M869" i="11" l="1"/>
  <c r="C871" i="11"/>
  <c r="D870" i="11"/>
  <c r="M863" i="11"/>
  <c r="D871" i="11" l="1"/>
  <c r="C872" i="11"/>
  <c r="C873" i="11" l="1"/>
  <c r="D872" i="11"/>
  <c r="C874" i="11" l="1"/>
  <c r="D873" i="11"/>
  <c r="D874" i="11" l="1"/>
  <c r="C875" i="11"/>
  <c r="C876" i="11" l="1"/>
  <c r="D875" i="11"/>
  <c r="L874" i="11" l="1"/>
  <c r="L872" i="11"/>
  <c r="K876" i="11"/>
  <c r="K874" i="11"/>
  <c r="M874" i="11" s="1"/>
  <c r="C877" i="11"/>
  <c r="L870" i="11"/>
  <c r="D876" i="11"/>
  <c r="L871" i="11"/>
  <c r="K870" i="11"/>
  <c r="M870" i="11" s="1"/>
  <c r="L876" i="11"/>
  <c r="K872" i="11"/>
  <c r="M872" i="11" s="1"/>
  <c r="K871" i="11"/>
  <c r="M871" i="11" s="1"/>
  <c r="K875" i="11"/>
  <c r="L875" i="11"/>
  <c r="M875" i="11" l="1"/>
  <c r="C878" i="11"/>
  <c r="D877" i="11"/>
  <c r="M876" i="11"/>
  <c r="C879" i="11" l="1"/>
  <c r="D878" i="11"/>
  <c r="D879" i="11" l="1"/>
  <c r="C880" i="11"/>
  <c r="C881" i="11" l="1"/>
  <c r="D880" i="11"/>
  <c r="C882" i="11" l="1"/>
  <c r="D881" i="11"/>
  <c r="D882" i="11" l="1"/>
  <c r="C883" i="11"/>
  <c r="K877" i="11" l="1"/>
  <c r="M877" i="11" s="1"/>
  <c r="K881" i="11"/>
  <c r="K882" i="11"/>
  <c r="L879" i="11"/>
  <c r="C884" i="11"/>
  <c r="K879" i="11"/>
  <c r="M879" i="11" s="1"/>
  <c r="D883" i="11"/>
  <c r="L877" i="11"/>
  <c r="L881" i="11"/>
  <c r="L882" i="11"/>
  <c r="K883" i="11"/>
  <c r="M883" i="11" s="1"/>
  <c r="L883" i="11"/>
  <c r="K878" i="11"/>
  <c r="L878" i="11"/>
  <c r="M878" i="11" l="1"/>
  <c r="C885" i="11"/>
  <c r="D884" i="11"/>
  <c r="M882" i="11"/>
  <c r="M881" i="11"/>
  <c r="C886" i="11" l="1"/>
  <c r="D885" i="11"/>
  <c r="C887" i="11" l="1"/>
  <c r="D886" i="11"/>
  <c r="D887" i="11" l="1"/>
  <c r="C888" i="11"/>
  <c r="C889" i="11" l="1"/>
  <c r="D888" i="11"/>
  <c r="K13" i="11"/>
  <c r="K12" i="11"/>
  <c r="M12" i="11" s="1"/>
  <c r="L14" i="11"/>
  <c r="L13" i="11"/>
  <c r="L15" i="11"/>
  <c r="M15" i="11" s="1"/>
  <c r="L75" i="11"/>
  <c r="K14" i="11"/>
  <c r="M14" i="11" s="1"/>
  <c r="L19" i="11"/>
  <c r="K17" i="11"/>
  <c r="K20" i="11"/>
  <c r="M20" i="11" s="1"/>
  <c r="L17" i="11"/>
  <c r="L16" i="11"/>
  <c r="M16" i="11" s="1"/>
  <c r="K19" i="11"/>
  <c r="K22" i="11"/>
  <c r="M22" i="11" s="1"/>
  <c r="K24" i="11"/>
  <c r="L26" i="11"/>
  <c r="K27" i="11"/>
  <c r="M27" i="11" s="1"/>
  <c r="L24" i="11"/>
  <c r="K26" i="11"/>
  <c r="M26" i="11" s="1"/>
  <c r="L33" i="11"/>
  <c r="L34" i="11"/>
  <c r="K33" i="11"/>
  <c r="M33" i="11" s="1"/>
  <c r="K36" i="11"/>
  <c r="M36" i="11" s="1"/>
  <c r="L31" i="11"/>
  <c r="K30" i="11"/>
  <c r="M30" i="11" s="1"/>
  <c r="K34" i="11"/>
  <c r="K31" i="11"/>
  <c r="K40" i="11"/>
  <c r="K38" i="11"/>
  <c r="L40" i="11"/>
  <c r="L38" i="11"/>
  <c r="K43" i="11"/>
  <c r="M43" i="11" s="1"/>
  <c r="L42" i="11"/>
  <c r="M42" i="11" s="1"/>
  <c r="K49" i="11"/>
  <c r="M49" i="11" s="1"/>
  <c r="K47" i="11"/>
  <c r="L47" i="11"/>
  <c r="L44" i="11"/>
  <c r="K44" i="11"/>
  <c r="L50" i="11"/>
  <c r="L48" i="11"/>
  <c r="K48" i="11"/>
  <c r="M48" i="11" s="1"/>
  <c r="K50" i="11"/>
  <c r="M50" i="11" s="1"/>
  <c r="L45" i="11"/>
  <c r="L46" i="11"/>
  <c r="M46" i="11" s="1"/>
  <c r="K45" i="11"/>
  <c r="M45" i="11" s="1"/>
  <c r="L327" i="11"/>
  <c r="K54" i="11"/>
  <c r="M54" i="11" s="1"/>
  <c r="L54" i="11"/>
  <c r="L56" i="11"/>
  <c r="M56" i="11" s="1"/>
  <c r="K61" i="11"/>
  <c r="L61" i="11"/>
  <c r="K59" i="11"/>
  <c r="L62" i="11"/>
  <c r="M62" i="11" s="1"/>
  <c r="K64" i="11"/>
  <c r="M64" i="11" s="1"/>
  <c r="L59" i="11"/>
  <c r="L60" i="11"/>
  <c r="M60" i="11" s="1"/>
  <c r="K68" i="11"/>
  <c r="K67" i="11"/>
  <c r="M67" i="11" s="1"/>
  <c r="L70" i="11"/>
  <c r="M70" i="11" s="1"/>
  <c r="L66" i="11"/>
  <c r="K65" i="11"/>
  <c r="L68" i="11"/>
  <c r="L65" i="11"/>
  <c r="K66" i="11"/>
  <c r="K71" i="11"/>
  <c r="L71" i="11"/>
  <c r="K75" i="11"/>
  <c r="M75" i="11" s="1"/>
  <c r="K80" i="11"/>
  <c r="K83" i="11"/>
  <c r="L80" i="11"/>
  <c r="L83" i="11"/>
  <c r="L85" i="11"/>
  <c r="M85" i="11" s="1"/>
  <c r="K79" i="11"/>
  <c r="M79" i="11" s="1"/>
  <c r="K84" i="11"/>
  <c r="M84" i="11" s="1"/>
  <c r="L82" i="11"/>
  <c r="K82" i="11"/>
  <c r="L81" i="11"/>
  <c r="M81" i="11" s="1"/>
  <c r="L89" i="11"/>
  <c r="K89" i="11"/>
  <c r="L87" i="11"/>
  <c r="K87" i="11"/>
  <c r="M87" i="11" s="1"/>
  <c r="L88" i="11"/>
  <c r="M88" i="11" s="1"/>
  <c r="K86" i="11"/>
  <c r="L86" i="11"/>
  <c r="K96" i="11"/>
  <c r="M96" i="11" s="1"/>
  <c r="L628" i="11"/>
  <c r="L96" i="11"/>
  <c r="K94" i="11"/>
  <c r="L95" i="11"/>
  <c r="L93" i="11"/>
  <c r="K98" i="11"/>
  <c r="M98" i="11" s="1"/>
  <c r="L98" i="11"/>
  <c r="L94" i="11"/>
  <c r="K93" i="11"/>
  <c r="L99" i="11"/>
  <c r="M99" i="11" s="1"/>
  <c r="K95" i="11"/>
  <c r="K97" i="11"/>
  <c r="M97" i="11" s="1"/>
  <c r="K103" i="11"/>
  <c r="M103" i="11" s="1"/>
  <c r="K100" i="11"/>
  <c r="M100" i="11" s="1"/>
  <c r="L103" i="11"/>
  <c r="K102" i="11"/>
  <c r="K106" i="11"/>
  <c r="M106" i="11" s="1"/>
  <c r="L102" i="11"/>
  <c r="L104" i="11"/>
  <c r="K104" i="11"/>
  <c r="K105" i="11"/>
  <c r="M105" i="11" s="1"/>
  <c r="K712" i="11"/>
  <c r="K110" i="11"/>
  <c r="L113" i="11"/>
  <c r="M113" i="11" s="1"/>
  <c r="L110" i="11"/>
  <c r="L109" i="11"/>
  <c r="K111" i="11"/>
  <c r="M111" i="11" s="1"/>
  <c r="K109" i="11"/>
  <c r="K112" i="11"/>
  <c r="M112" i="11" s="1"/>
  <c r="K117" i="11"/>
  <c r="L115" i="11"/>
  <c r="K118" i="11"/>
  <c r="M118" i="11" s="1"/>
  <c r="L120" i="11"/>
  <c r="M120" i="11" s="1"/>
  <c r="L117" i="11"/>
  <c r="L119" i="11"/>
  <c r="M119" i="11" s="1"/>
  <c r="K116" i="11"/>
  <c r="M116" i="11" s="1"/>
  <c r="K114" i="11"/>
  <c r="M114" i="11" s="1"/>
  <c r="K115" i="11"/>
  <c r="M115" i="11" s="1"/>
  <c r="L124" i="11"/>
  <c r="L125" i="11"/>
  <c r="M125" i="11" s="1"/>
  <c r="K124" i="11"/>
  <c r="M124" i="11" s="1"/>
  <c r="L122" i="11"/>
  <c r="M122" i="11" s="1"/>
  <c r="K131" i="11"/>
  <c r="L131" i="11"/>
  <c r="L138" i="11"/>
  <c r="K137" i="11"/>
  <c r="M137" i="11" s="1"/>
  <c r="K138" i="11"/>
  <c r="L145" i="11"/>
  <c r="K145" i="11"/>
  <c r="K152" i="11"/>
  <c r="L152" i="11"/>
  <c r="K159" i="11"/>
  <c r="M159" i="11" s="1"/>
  <c r="K157" i="11"/>
  <c r="M157" i="11" s="1"/>
  <c r="L157" i="11"/>
  <c r="L159" i="11"/>
  <c r="L166" i="11"/>
  <c r="K166" i="11"/>
  <c r="K173" i="11"/>
  <c r="M173" i="11" s="1"/>
  <c r="L173" i="11"/>
  <c r="K178" i="11"/>
  <c r="M178" i="11" s="1"/>
  <c r="K180" i="11"/>
  <c r="L180" i="11"/>
  <c r="L187" i="11"/>
  <c r="K187" i="11"/>
  <c r="L194" i="11"/>
  <c r="K194" i="11"/>
  <c r="L201" i="11"/>
  <c r="K201" i="11"/>
  <c r="M201" i="11" s="1"/>
  <c r="K206" i="11"/>
  <c r="L206" i="11"/>
  <c r="K208" i="11"/>
  <c r="L208" i="11"/>
  <c r="K215" i="11"/>
  <c r="L215" i="11"/>
  <c r="L222" i="11"/>
  <c r="K222" i="11"/>
  <c r="M222" i="11" s="1"/>
  <c r="K229" i="11"/>
  <c r="L229" i="11"/>
  <c r="K236" i="11"/>
  <c r="L236" i="11"/>
  <c r="L241" i="11"/>
  <c r="K241" i="11"/>
  <c r="K243" i="11"/>
  <c r="L243" i="11"/>
  <c r="K250" i="11"/>
  <c r="L250" i="11"/>
  <c r="L257" i="11"/>
  <c r="K257" i="11"/>
  <c r="L264" i="11"/>
  <c r="K262" i="11"/>
  <c r="L262" i="11"/>
  <c r="K264" i="11"/>
  <c r="L269" i="11"/>
  <c r="L271" i="11"/>
  <c r="K271" i="11"/>
  <c r="K269" i="11"/>
  <c r="M269" i="11" s="1"/>
  <c r="K276" i="11"/>
  <c r="K278" i="11"/>
  <c r="M278" i="11" s="1"/>
  <c r="L278" i="11"/>
  <c r="L276" i="11"/>
  <c r="L285" i="11"/>
  <c r="K285" i="11"/>
  <c r="K283" i="11"/>
  <c r="M283" i="11" s="1"/>
  <c r="K292" i="11"/>
  <c r="M292" i="11" s="1"/>
  <c r="L292" i="11"/>
  <c r="L299" i="11"/>
  <c r="K297" i="11"/>
  <c r="L297" i="11"/>
  <c r="K299" i="11"/>
  <c r="K306" i="11"/>
  <c r="L306" i="11"/>
  <c r="L313" i="11"/>
  <c r="L311" i="11"/>
  <c r="K313" i="11"/>
  <c r="K311" i="11"/>
  <c r="K320" i="11"/>
  <c r="L320" i="11"/>
  <c r="K327" i="11"/>
  <c r="M327" i="11" s="1"/>
  <c r="L325" i="11"/>
  <c r="M325" i="11" s="1"/>
  <c r="L334" i="11"/>
  <c r="L332" i="11"/>
  <c r="M332" i="11" s="1"/>
  <c r="K334" i="11"/>
  <c r="K339" i="11"/>
  <c r="L339" i="11"/>
  <c r="L341" i="11"/>
  <c r="K341" i="11"/>
  <c r="L348" i="11"/>
  <c r="K348" i="11"/>
  <c r="M348" i="11" s="1"/>
  <c r="L355" i="11"/>
  <c r="K355" i="11"/>
  <c r="K360" i="11"/>
  <c r="K362" i="11"/>
  <c r="M362" i="11" s="1"/>
  <c r="L362" i="11"/>
  <c r="L360" i="11"/>
  <c r="L369" i="11"/>
  <c r="K369" i="11"/>
  <c r="M369" i="11" s="1"/>
  <c r="L376" i="11"/>
  <c r="K376" i="11"/>
  <c r="K383" i="11"/>
  <c r="L383" i="11"/>
  <c r="K390" i="11"/>
  <c r="L390" i="11"/>
  <c r="K388" i="11"/>
  <c r="M388" i="11" s="1"/>
  <c r="K397" i="11"/>
  <c r="L397" i="11"/>
  <c r="L402" i="11"/>
  <c r="L404" i="11"/>
  <c r="K402" i="11"/>
  <c r="K404" i="11"/>
  <c r="M404" i="11" s="1"/>
  <c r="L411" i="11"/>
  <c r="K411" i="11"/>
  <c r="K418" i="11"/>
  <c r="L418" i="11"/>
  <c r="K425" i="11"/>
  <c r="L425" i="11"/>
  <c r="L432" i="11"/>
  <c r="K432" i="11"/>
  <c r="L439" i="11"/>
  <c r="K439" i="11"/>
  <c r="K446" i="11"/>
  <c r="L446" i="11"/>
  <c r="K444" i="11"/>
  <c r="M444" i="11" s="1"/>
  <c r="L444" i="11"/>
  <c r="K453" i="11"/>
  <c r="M453" i="11" s="1"/>
  <c r="L453" i="11"/>
  <c r="K460" i="11"/>
  <c r="L458" i="11"/>
  <c r="M458" i="11" s="1"/>
  <c r="L460" i="11"/>
  <c r="K467" i="11"/>
  <c r="L467" i="11"/>
  <c r="K465" i="11"/>
  <c r="L465" i="11"/>
  <c r="L474" i="11"/>
  <c r="K474" i="11"/>
  <c r="K481" i="11"/>
  <c r="L481" i="11"/>
  <c r="L488" i="11"/>
  <c r="K488" i="11"/>
  <c r="L493" i="11"/>
  <c r="K493" i="11"/>
  <c r="M493" i="11" s="1"/>
  <c r="L495" i="11"/>
  <c r="K495" i="11"/>
  <c r="K502" i="11"/>
  <c r="L502" i="11"/>
  <c r="L509" i="11"/>
  <c r="K509" i="11"/>
  <c r="K507" i="11"/>
  <c r="M507" i="11" s="1"/>
  <c r="L516" i="11"/>
  <c r="K516" i="11"/>
  <c r="K523" i="11"/>
  <c r="M523" i="11" s="1"/>
  <c r="L523" i="11"/>
  <c r="L530" i="11"/>
  <c r="K530" i="11"/>
  <c r="L537" i="11"/>
  <c r="K535" i="11"/>
  <c r="K537" i="11"/>
  <c r="L535" i="11"/>
  <c r="L544" i="11"/>
  <c r="K544" i="11"/>
  <c r="L551" i="11"/>
  <c r="K551" i="11"/>
  <c r="L558" i="11"/>
  <c r="K558" i="11"/>
  <c r="K556" i="11"/>
  <c r="M556" i="11" s="1"/>
  <c r="L565" i="11"/>
  <c r="K565" i="11"/>
  <c r="M565" i="11" s="1"/>
  <c r="L572" i="11"/>
  <c r="K572" i="11"/>
  <c r="M572" i="11" s="1"/>
  <c r="K579" i="11"/>
  <c r="L579" i="11"/>
  <c r="K586" i="11"/>
  <c r="L586" i="11"/>
  <c r="L593" i="11"/>
  <c r="K593" i="11"/>
  <c r="M593" i="11" s="1"/>
  <c r="K591" i="11"/>
  <c r="M591" i="11" s="1"/>
  <c r="K600" i="11"/>
  <c r="M600" i="11" s="1"/>
  <c r="L600" i="11"/>
  <c r="K605" i="11"/>
  <c r="L605" i="11"/>
  <c r="L607" i="11"/>
  <c r="K607" i="11"/>
  <c r="L614" i="11"/>
  <c r="K614" i="11"/>
  <c r="L621" i="11"/>
  <c r="K621" i="11"/>
  <c r="K628" i="11"/>
  <c r="M628" i="11" s="1"/>
  <c r="L626" i="11"/>
  <c r="M626" i="11" s="1"/>
  <c r="L635" i="11"/>
  <c r="K635" i="11"/>
  <c r="K633" i="11"/>
  <c r="L633" i="11"/>
  <c r="L640" i="11"/>
  <c r="L642" i="11"/>
  <c r="K640" i="11"/>
  <c r="K642" i="11"/>
  <c r="K647" i="11"/>
  <c r="M647" i="11" s="1"/>
  <c r="L647" i="11"/>
  <c r="L649" i="11"/>
  <c r="K649" i="11"/>
  <c r="K656" i="11"/>
  <c r="M656" i="11" s="1"/>
  <c r="K654" i="11"/>
  <c r="L654" i="11"/>
  <c r="L656" i="11"/>
  <c r="L663" i="11"/>
  <c r="K663" i="11"/>
  <c r="L670" i="11"/>
  <c r="K670" i="11"/>
  <c r="L677" i="11"/>
  <c r="K677" i="11"/>
  <c r="L684" i="11"/>
  <c r="K684" i="11"/>
  <c r="K691" i="11"/>
  <c r="L691" i="11"/>
  <c r="K698" i="11"/>
  <c r="L698" i="11"/>
  <c r="L705" i="11"/>
  <c r="K705" i="11"/>
  <c r="L703" i="11"/>
  <c r="M703" i="11" s="1"/>
  <c r="L712" i="11"/>
  <c r="K719" i="11"/>
  <c r="L717" i="11"/>
  <c r="M717" i="11" s="1"/>
  <c r="L719" i="11"/>
  <c r="L726" i="11"/>
  <c r="K726" i="11"/>
  <c r="L731" i="11"/>
  <c r="L733" i="11"/>
  <c r="K731" i="11"/>
  <c r="K733" i="11"/>
  <c r="M733" i="11" s="1"/>
  <c r="K740" i="11"/>
  <c r="L740" i="11"/>
  <c r="L747" i="11"/>
  <c r="K747" i="11"/>
  <c r="M747" i="11" s="1"/>
  <c r="K752" i="11"/>
  <c r="M752" i="11" s="1"/>
  <c r="K754" i="11"/>
  <c r="L752" i="11"/>
  <c r="L754" i="11"/>
  <c r="L761" i="11"/>
  <c r="L759" i="11"/>
  <c r="K761" i="11"/>
  <c r="K759" i="11"/>
  <c r="L768" i="11"/>
  <c r="K768" i="11"/>
  <c r="K775" i="11"/>
  <c r="L775" i="11"/>
  <c r="K780" i="11"/>
  <c r="L780" i="11"/>
  <c r="L782" i="11"/>
  <c r="K782" i="11"/>
  <c r="L789" i="11"/>
  <c r="K789" i="11"/>
  <c r="L796" i="11"/>
  <c r="K796" i="11"/>
  <c r="L803" i="11"/>
  <c r="K801" i="11"/>
  <c r="M801" i="11" s="1"/>
  <c r="K803" i="11"/>
  <c r="K810" i="11"/>
  <c r="L810" i="11"/>
  <c r="K817" i="11"/>
  <c r="M817" i="11" s="1"/>
  <c r="L817" i="11"/>
  <c r="K815" i="11"/>
  <c r="M815" i="11" s="1"/>
  <c r="L815" i="11"/>
  <c r="L824" i="11"/>
  <c r="K824" i="11"/>
  <c r="L831" i="11"/>
  <c r="K831" i="11"/>
  <c r="L838" i="11"/>
  <c r="K838" i="11"/>
  <c r="K845" i="11"/>
  <c r="L845" i="11"/>
  <c r="L852" i="11"/>
  <c r="K852" i="11"/>
  <c r="K850" i="11"/>
  <c r="M850" i="11" s="1"/>
  <c r="L850" i="11"/>
  <c r="K859" i="11"/>
  <c r="M859" i="11" s="1"/>
  <c r="L859" i="11"/>
  <c r="K866" i="11"/>
  <c r="M866" i="11" s="1"/>
  <c r="L866" i="11"/>
  <c r="L873" i="11"/>
  <c r="K873" i="11"/>
  <c r="K880" i="11"/>
  <c r="M880" i="11" s="1"/>
  <c r="L880" i="11"/>
  <c r="M873" i="11" l="1"/>
  <c r="M761" i="11"/>
  <c r="M670" i="11"/>
  <c r="M614" i="11"/>
  <c r="M502" i="11"/>
  <c r="M481" i="11"/>
  <c r="M138" i="11"/>
  <c r="M82" i="11"/>
  <c r="M59" i="11"/>
  <c r="M40" i="11"/>
  <c r="M495" i="11"/>
  <c r="M474" i="11"/>
  <c r="M460" i="11"/>
  <c r="M285" i="11"/>
  <c r="M663" i="11"/>
  <c r="M607" i="11"/>
  <c r="M516" i="11"/>
  <c r="M432" i="11"/>
  <c r="M775" i="11"/>
  <c r="M731" i="11"/>
  <c r="M684" i="11"/>
  <c r="M535" i="11"/>
  <c r="M339" i="11"/>
  <c r="M131" i="11"/>
  <c r="M95" i="11"/>
  <c r="M66" i="11"/>
  <c r="M768" i="11"/>
  <c r="M754" i="11"/>
  <c r="M640" i="11"/>
  <c r="M488" i="11"/>
  <c r="M376" i="11"/>
  <c r="M355" i="11"/>
  <c r="M334" i="11"/>
  <c r="M313" i="11"/>
  <c r="M241" i="11"/>
  <c r="M194" i="11"/>
  <c r="M24" i="11"/>
  <c r="M705" i="11"/>
  <c r="M551" i="11"/>
  <c r="M530" i="11"/>
  <c r="M276" i="11"/>
  <c r="M166" i="11"/>
  <c r="M145" i="11"/>
  <c r="M44" i="11"/>
  <c r="C890" i="11"/>
  <c r="D889" i="11"/>
  <c r="M712" i="11"/>
  <c r="M19" i="11"/>
  <c r="M13" i="11"/>
  <c r="M740" i="11"/>
  <c r="M243" i="11"/>
  <c r="M206" i="11"/>
  <c r="M180" i="11"/>
  <c r="M810" i="11"/>
  <c r="M796" i="11"/>
  <c r="M782" i="11"/>
  <c r="M726" i="11"/>
  <c r="M719" i="11"/>
  <c r="M691" i="11"/>
  <c r="M579" i="11"/>
  <c r="M446" i="11"/>
  <c r="M418" i="11"/>
  <c r="M402" i="11"/>
  <c r="M397" i="11"/>
  <c r="M383" i="11"/>
  <c r="M341" i="11"/>
  <c r="M320" i="11"/>
  <c r="M297" i="11"/>
  <c r="M264" i="11"/>
  <c r="M215" i="11"/>
  <c r="M83" i="11"/>
  <c r="M71" i="11"/>
  <c r="M68" i="11"/>
  <c r="M34" i="11"/>
  <c r="M17" i="11"/>
  <c r="M845" i="11"/>
  <c r="M537" i="11"/>
  <c r="M465" i="11"/>
  <c r="M110" i="11"/>
  <c r="M94" i="11"/>
  <c r="M80" i="11"/>
  <c r="M803" i="11"/>
  <c r="M698" i="11"/>
  <c r="M633" i="11"/>
  <c r="M605" i="11"/>
  <c r="M306" i="11"/>
  <c r="M262" i="11"/>
  <c r="M187" i="11"/>
  <c r="M152" i="11"/>
  <c r="M117" i="11"/>
  <c r="M831" i="11"/>
  <c r="M780" i="11"/>
  <c r="M677" i="11"/>
  <c r="M654" i="11"/>
  <c r="M621" i="11"/>
  <c r="M467" i="11"/>
  <c r="M411" i="11"/>
  <c r="M390" i="11"/>
  <c r="M271" i="11"/>
  <c r="M257" i="11"/>
  <c r="M250" i="11"/>
  <c r="M229" i="11"/>
  <c r="M104" i="11"/>
  <c r="M93" i="11"/>
  <c r="M86" i="11"/>
  <c r="M61" i="11"/>
  <c r="M47" i="11"/>
  <c r="M789" i="11"/>
  <c r="M439" i="11"/>
  <c r="M109" i="11"/>
  <c r="M102" i="11"/>
  <c r="M65" i="11"/>
  <c r="M38" i="11"/>
  <c r="M852" i="11"/>
  <c r="M838" i="11"/>
  <c r="M824" i="11"/>
  <c r="M759" i="11"/>
  <c r="M649" i="11"/>
  <c r="M642" i="11"/>
  <c r="M635" i="11"/>
  <c r="M586" i="11"/>
  <c r="M558" i="11"/>
  <c r="M544" i="11"/>
  <c r="M509" i="11"/>
  <c r="M425" i="11"/>
  <c r="M360" i="11"/>
  <c r="M311" i="11"/>
  <c r="M299" i="11"/>
  <c r="M236" i="11"/>
  <c r="M208" i="11"/>
  <c r="M89" i="11"/>
  <c r="M31" i="11"/>
  <c r="K888" i="11" l="1"/>
  <c r="K887" i="11"/>
  <c r="M887" i="11" s="1"/>
  <c r="L885" i="11"/>
  <c r="D890" i="11"/>
  <c r="L887" i="11"/>
  <c r="K886" i="11"/>
  <c r="L890" i="11"/>
  <c r="K890" i="11"/>
  <c r="M890" i="11" s="1"/>
  <c r="L886" i="11"/>
  <c r="L888" i="11"/>
  <c r="L884" i="11"/>
  <c r="L889" i="11"/>
  <c r="K884" i="11"/>
  <c r="M884" i="11" s="1"/>
  <c r="K885" i="11"/>
  <c r="M885" i="11" s="1"/>
  <c r="K889" i="11"/>
  <c r="M889" i="11" s="1"/>
  <c r="M886" i="11" l="1"/>
  <c r="M888" i="11"/>
  <c r="V6" i="6" l="1"/>
  <c r="U6" i="6" s="1"/>
  <c r="U10" i="6"/>
  <c r="T5" i="6" l="1"/>
  <c r="T6" i="6"/>
  <c r="T7" i="6"/>
  <c r="U7" i="6" s="1"/>
  <c r="T8" i="6"/>
  <c r="U8" i="6" s="1"/>
  <c r="T9" i="6"/>
  <c r="T10" i="6"/>
  <c r="T4" i="6"/>
  <c r="U4" i="6" s="1"/>
  <c r="U9" i="6"/>
  <c r="U5" i="6"/>
  <c r="I1945" i="6" l="1"/>
  <c r="I1944" i="6"/>
  <c r="I1943" i="6"/>
  <c r="I1942" i="6"/>
  <c r="I1941" i="6"/>
  <c r="I1940" i="6"/>
  <c r="I1939" i="6"/>
  <c r="I1938" i="6"/>
  <c r="I1937" i="6"/>
  <c r="I1936" i="6"/>
  <c r="I1935" i="6"/>
  <c r="I1934" i="6"/>
  <c r="I1933" i="6"/>
  <c r="I1932" i="6"/>
  <c r="I1931" i="6"/>
  <c r="I1930" i="6"/>
  <c r="I1929" i="6"/>
  <c r="I1928" i="6"/>
  <c r="I1927" i="6"/>
  <c r="I1926" i="6"/>
  <c r="I1925" i="6"/>
  <c r="I1924" i="6"/>
  <c r="I1923" i="6"/>
  <c r="I1922" i="6"/>
  <c r="I1921" i="6"/>
  <c r="I1920" i="6"/>
  <c r="I1919" i="6"/>
  <c r="I1918" i="6"/>
  <c r="I1917" i="6"/>
  <c r="I1916" i="6"/>
  <c r="I1915" i="6"/>
  <c r="I1914" i="6"/>
  <c r="I1913" i="6"/>
  <c r="I1912" i="6"/>
  <c r="I1911" i="6"/>
  <c r="I1910" i="6"/>
  <c r="I1909" i="6"/>
  <c r="I1908" i="6"/>
  <c r="I1907" i="6"/>
  <c r="I1906" i="6"/>
  <c r="I1905" i="6"/>
  <c r="I1904" i="6"/>
  <c r="I1903" i="6"/>
  <c r="I1902" i="6"/>
  <c r="I1901" i="6"/>
  <c r="I1900" i="6"/>
  <c r="I1899" i="6"/>
  <c r="I1898" i="6"/>
  <c r="I1897" i="6"/>
  <c r="I1896" i="6"/>
  <c r="I1895" i="6"/>
  <c r="I1894" i="6"/>
  <c r="I1893" i="6"/>
  <c r="I1892" i="6"/>
  <c r="I1891" i="6"/>
  <c r="I1890" i="6"/>
  <c r="I1889" i="6"/>
  <c r="I1888" i="6"/>
  <c r="I1887" i="6"/>
  <c r="I1886" i="6"/>
  <c r="I1885" i="6"/>
  <c r="I1884" i="6"/>
  <c r="I1883" i="6"/>
  <c r="I1882" i="6"/>
  <c r="I1881" i="6"/>
  <c r="I1880" i="6"/>
  <c r="I1879" i="6"/>
  <c r="I1878" i="6"/>
  <c r="I1877" i="6"/>
  <c r="I1876" i="6"/>
  <c r="I1875" i="6"/>
  <c r="I1874" i="6"/>
  <c r="I1873" i="6"/>
  <c r="I1872" i="6"/>
  <c r="I1871" i="6"/>
  <c r="I1870" i="6"/>
  <c r="I1869" i="6"/>
  <c r="I1868" i="6"/>
  <c r="I1867" i="6"/>
  <c r="I1866" i="6"/>
  <c r="I1865" i="6"/>
  <c r="I1864" i="6"/>
  <c r="I1863" i="6"/>
  <c r="I1862" i="6"/>
  <c r="I1861" i="6"/>
  <c r="I1860" i="6"/>
  <c r="I1859" i="6"/>
  <c r="I1858" i="6"/>
  <c r="I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77" i="6"/>
  <c r="I1776" i="6"/>
  <c r="I1775" i="6"/>
  <c r="I1774" i="6"/>
  <c r="I1773" i="6"/>
  <c r="I1772" i="6"/>
  <c r="I1771" i="6"/>
  <c r="I1770" i="6"/>
  <c r="I1769" i="6"/>
  <c r="I1768" i="6"/>
  <c r="I1767" i="6"/>
  <c r="I1766" i="6"/>
  <c r="I1765" i="6"/>
  <c r="I1764" i="6"/>
  <c r="I1763" i="6"/>
  <c r="I1762" i="6"/>
  <c r="I1761" i="6"/>
  <c r="I1760" i="6"/>
  <c r="I1759"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I1675" i="6"/>
  <c r="I1674" i="6"/>
  <c r="I1673" i="6"/>
  <c r="I1672" i="6"/>
  <c r="I1671" i="6"/>
  <c r="I1670" i="6"/>
  <c r="I1669" i="6"/>
  <c r="I1668" i="6"/>
  <c r="I1667" i="6"/>
  <c r="I1666" i="6"/>
  <c r="I1665" i="6"/>
  <c r="I1664" i="6"/>
  <c r="I1663" i="6"/>
  <c r="I1662" i="6"/>
  <c r="I1661" i="6"/>
  <c r="I1660" i="6"/>
  <c r="I1659" i="6"/>
  <c r="I1658" i="6"/>
  <c r="I1657" i="6"/>
  <c r="I1656" i="6"/>
  <c r="I1655" i="6"/>
  <c r="I1654" i="6"/>
  <c r="I1653" i="6"/>
  <c r="I1652" i="6"/>
  <c r="I1651" i="6"/>
  <c r="I1650" i="6"/>
  <c r="I1649" i="6"/>
  <c r="I1648" i="6"/>
  <c r="I1647" i="6"/>
  <c r="I1646" i="6"/>
  <c r="I1645" i="6"/>
  <c r="I1644" i="6"/>
  <c r="I1643" i="6"/>
  <c r="I1642" i="6"/>
  <c r="I1641" i="6"/>
  <c r="I1640" i="6"/>
  <c r="I1639" i="6"/>
  <c r="I1638" i="6"/>
  <c r="I1637" i="6"/>
  <c r="I1636" i="6"/>
  <c r="I1635" i="6"/>
  <c r="I1634" i="6"/>
  <c r="I1633" i="6"/>
  <c r="I1632" i="6"/>
  <c r="I1631" i="6"/>
  <c r="I1630" i="6"/>
  <c r="I1629" i="6"/>
  <c r="I1628" i="6"/>
  <c r="I1627" i="6"/>
  <c r="I1626" i="6"/>
  <c r="I1625" i="6"/>
  <c r="I1624" i="6"/>
  <c r="I1623" i="6"/>
  <c r="I1622" i="6"/>
  <c r="I1621" i="6"/>
  <c r="I1620" i="6"/>
  <c r="I1619" i="6"/>
  <c r="I1618" i="6"/>
  <c r="I1617" i="6"/>
  <c r="I1616" i="6"/>
  <c r="I1615" i="6"/>
  <c r="I1614" i="6"/>
  <c r="I1613" i="6"/>
  <c r="I1612" i="6"/>
  <c r="I1611" i="6"/>
  <c r="I1610" i="6"/>
  <c r="I1609" i="6"/>
  <c r="I1608" i="6"/>
  <c r="I1607" i="6"/>
  <c r="I1606" i="6"/>
  <c r="I1605" i="6"/>
  <c r="I1604" i="6"/>
  <c r="I1603" i="6"/>
  <c r="I1602" i="6"/>
  <c r="I1601" i="6"/>
  <c r="I1600" i="6"/>
  <c r="I1599" i="6"/>
  <c r="I1598" i="6"/>
  <c r="I1597" i="6"/>
  <c r="I1596" i="6"/>
  <c r="I1595" i="6"/>
  <c r="I1594" i="6"/>
  <c r="I1593" i="6"/>
  <c r="I1592" i="6"/>
  <c r="I1591" i="6"/>
  <c r="I1590" i="6"/>
  <c r="I1589" i="6"/>
  <c r="I1588" i="6"/>
  <c r="I1587" i="6"/>
  <c r="I1586" i="6"/>
  <c r="I1585" i="6"/>
  <c r="I1584" i="6"/>
  <c r="I1583" i="6"/>
  <c r="I1582" i="6"/>
  <c r="I1581" i="6"/>
  <c r="I1580" i="6"/>
  <c r="I1579" i="6"/>
  <c r="I1578" i="6"/>
  <c r="I1577" i="6"/>
  <c r="I1576" i="6"/>
  <c r="I1575" i="6"/>
  <c r="I1574" i="6"/>
  <c r="I1573" i="6"/>
  <c r="I1572" i="6"/>
  <c r="I1571" i="6"/>
  <c r="I1570" i="6"/>
  <c r="I1569" i="6"/>
  <c r="I1568" i="6"/>
  <c r="I1567" i="6"/>
  <c r="I1566" i="6"/>
  <c r="I1565" i="6"/>
  <c r="I1564" i="6"/>
  <c r="I1563" i="6"/>
  <c r="I1562" i="6"/>
  <c r="I1561" i="6"/>
  <c r="I1560" i="6"/>
  <c r="I1559" i="6"/>
  <c r="I1558" i="6"/>
  <c r="I1557" i="6"/>
  <c r="I1556" i="6"/>
  <c r="I1555" i="6"/>
  <c r="I1554" i="6"/>
  <c r="I1553" i="6"/>
  <c r="I1552" i="6"/>
  <c r="I1551" i="6"/>
  <c r="I1550" i="6"/>
  <c r="I1549" i="6"/>
  <c r="I1548" i="6"/>
  <c r="I1547" i="6"/>
  <c r="I1546" i="6"/>
  <c r="I1545" i="6"/>
  <c r="I1544" i="6"/>
  <c r="I1543" i="6"/>
  <c r="I1542" i="6"/>
  <c r="I1541" i="6"/>
  <c r="I1540" i="6"/>
  <c r="I1539" i="6"/>
  <c r="I1538" i="6"/>
  <c r="I1537" i="6"/>
  <c r="I1536" i="6"/>
  <c r="I1535" i="6"/>
  <c r="I1534" i="6"/>
  <c r="I1533" i="6"/>
  <c r="I1532" i="6"/>
  <c r="I1531" i="6"/>
  <c r="I1530" i="6"/>
  <c r="I1529" i="6"/>
  <c r="I1528" i="6"/>
  <c r="I1527" i="6"/>
  <c r="I1526" i="6"/>
  <c r="I1525" i="6"/>
  <c r="I1524" i="6"/>
  <c r="I1523" i="6"/>
  <c r="I1522" i="6"/>
  <c r="I1521" i="6"/>
  <c r="I1520" i="6"/>
  <c r="I1519" i="6"/>
  <c r="I1518" i="6"/>
  <c r="I1517" i="6"/>
  <c r="I1516" i="6"/>
  <c r="I1515" i="6"/>
  <c r="I1514" i="6"/>
  <c r="I1513" i="6"/>
  <c r="I1512" i="6"/>
  <c r="I1511" i="6"/>
  <c r="I1510" i="6"/>
  <c r="I1509" i="6"/>
  <c r="I1508" i="6"/>
  <c r="I1507" i="6"/>
  <c r="I1506" i="6"/>
  <c r="I1505" i="6"/>
  <c r="I1504" i="6"/>
  <c r="I1503" i="6"/>
  <c r="I1502" i="6"/>
  <c r="I1501" i="6"/>
  <c r="I1500" i="6"/>
  <c r="I1499" i="6"/>
  <c r="I1498" i="6"/>
  <c r="I1497" i="6"/>
  <c r="I1496" i="6"/>
  <c r="I1495" i="6"/>
  <c r="I1494" i="6"/>
  <c r="I1493" i="6"/>
  <c r="I1492" i="6"/>
  <c r="I1491" i="6"/>
  <c r="I1490" i="6"/>
  <c r="I1489" i="6"/>
  <c r="I1488" i="6"/>
  <c r="I1487" i="6"/>
  <c r="I1486" i="6"/>
  <c r="I1485" i="6"/>
  <c r="I1484" i="6"/>
  <c r="I1483" i="6"/>
  <c r="I1482" i="6"/>
  <c r="I1481" i="6"/>
  <c r="I1480" i="6"/>
  <c r="I1479" i="6"/>
  <c r="I1478"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4" i="6"/>
  <c r="I1443" i="6"/>
  <c r="I1442" i="6"/>
  <c r="I1441"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J19" i="5"/>
  <c r="J20" i="5"/>
  <c r="J21" i="5"/>
  <c r="J18" i="5"/>
  <c r="J12" i="5"/>
  <c r="J13" i="5"/>
  <c r="J14" i="5"/>
  <c r="J15" i="5"/>
  <c r="J16" i="5"/>
  <c r="J11" i="5"/>
  <c r="I1" i="6" l="1"/>
  <c r="I2" i="6"/>
</calcChain>
</file>

<file path=xl/sharedStrings.xml><?xml version="1.0" encoding="utf-8"?>
<sst xmlns="http://schemas.openxmlformats.org/spreadsheetml/2006/main" count="38720" uniqueCount="8669">
  <si>
    <t>Item PQ</t>
  </si>
  <si>
    <t>CMS</t>
  </si>
  <si>
    <t>CWP</t>
  </si>
  <si>
    <t>Qtd Total</t>
  </si>
  <si>
    <t>Peso Unit 
(kg)</t>
  </si>
  <si>
    <t>Peso Total 
(kg)</t>
  </si>
  <si>
    <t>Qtd 
Físico Acum.</t>
  </si>
  <si>
    <t>Qtd 
Físico Acum. Anterior</t>
  </si>
  <si>
    <t>Qtd 
Físico Periodo</t>
  </si>
  <si>
    <t>Qtd 
Saldo</t>
  </si>
  <si>
    <t>Qtd 
Financeiro Acum.</t>
  </si>
  <si>
    <t>Qtd 
Financeiro Acum. Anterior</t>
  </si>
  <si>
    <t>Qtd 
Financeiro Periodo</t>
  </si>
  <si>
    <t>Relatório CQ</t>
  </si>
  <si>
    <t>CWP-321A</t>
  </si>
  <si>
    <t>715B</t>
  </si>
  <si>
    <t>VIGA</t>
  </si>
  <si>
    <t>W610X101.0-ASTM-A572 GR.50</t>
  </si>
  <si>
    <t>715F</t>
  </si>
  <si>
    <t>W530X72.0-ASTM-A572 GR.50</t>
  </si>
  <si>
    <t>715G</t>
  </si>
  <si>
    <t>718A</t>
  </si>
  <si>
    <t>TALA</t>
  </si>
  <si>
    <t>CH.8-ASTM-A572 GR.50</t>
  </si>
  <si>
    <t>718F</t>
  </si>
  <si>
    <t>CH.9,5-ASTM-A572 GR.50</t>
  </si>
  <si>
    <t>716A</t>
  </si>
  <si>
    <t>716B</t>
  </si>
  <si>
    <t>715C</t>
  </si>
  <si>
    <t>716C</t>
  </si>
  <si>
    <t>716D</t>
  </si>
  <si>
    <t>715D</t>
  </si>
  <si>
    <t>-</t>
  </si>
  <si>
    <t>SIM</t>
  </si>
  <si>
    <t>ITEM</t>
  </si>
  <si>
    <t>ÁREA</t>
  </si>
  <si>
    <t>COD. MC</t>
  </si>
  <si>
    <t>QTD DE 
EVENTOS</t>
  </si>
  <si>
    <t>DESCRIÇÃO DAS ATIVIDADES</t>
  </si>
  <si>
    <t>UND</t>
  </si>
  <si>
    <t>QTD PREV</t>
  </si>
  <si>
    <t>QTD TAKE-OFF</t>
  </si>
  <si>
    <t>QTD CONSOLIDADA</t>
  </si>
  <si>
    <t>PREÇO 
UNIT (R$)</t>
  </si>
  <si>
    <t>1.1.1.1.1</t>
  </si>
  <si>
    <t>0000</t>
  </si>
  <si>
    <t>MC.001B</t>
  </si>
  <si>
    <t>Mobilização de pessoal e equipamentos</t>
  </si>
  <si>
    <t>vb</t>
  </si>
  <si>
    <t>CMS C.05.05.000</t>
  </si>
  <si>
    <t>1.1.1.1.2</t>
  </si>
  <si>
    <t>MC.004B</t>
  </si>
  <si>
    <t>Desmobilização de pessoal e equipamentos</t>
  </si>
  <si>
    <t>CMS C.05.20.000</t>
  </si>
  <si>
    <t>1.2.1.1.1</t>
  </si>
  <si>
    <t>0202</t>
  </si>
  <si>
    <t>MC.002B</t>
  </si>
  <si>
    <t>Construção completa de alojamento</t>
  </si>
  <si>
    <t>CMS C.05.10.005</t>
  </si>
  <si>
    <t>1.2.1.2.1</t>
  </si>
  <si>
    <t>MC.003B</t>
  </si>
  <si>
    <t>Manutenção e operação de alojamento</t>
  </si>
  <si>
    <t>vb x mês</t>
  </si>
  <si>
    <t>CMS C.05.10.010</t>
  </si>
  <si>
    <t>1.2.2.1.1</t>
  </si>
  <si>
    <t>0201</t>
  </si>
  <si>
    <t>Construção completa de canteiro de obras</t>
  </si>
  <si>
    <t>CMS C.05.15.008</t>
  </si>
  <si>
    <t>1.2.2.2.1</t>
  </si>
  <si>
    <t>Manutenção e operação de canteiro de obras</t>
  </si>
  <si>
    <t>CMS C.05.15.010</t>
  </si>
  <si>
    <t>1.3.1.1.1</t>
  </si>
  <si>
    <t>2300</t>
  </si>
  <si>
    <t>MC.005C</t>
  </si>
  <si>
    <t>Escavação manual de cavas ou valas, material de 1ª categoria - profundidade até 1,5m</t>
  </si>
  <si>
    <t>m³</t>
  </si>
  <si>
    <t>CMS C.25.05.005</t>
  </si>
  <si>
    <t>1.3.1.1.2</t>
  </si>
  <si>
    <t>2308</t>
  </si>
  <si>
    <t>1.3.1.1.3</t>
  </si>
  <si>
    <t>5101</t>
  </si>
  <si>
    <t>1.3.1.1.4</t>
  </si>
  <si>
    <t>Escavação mecanizada de cavas ou valas em material de 1ª categoria - profundidade até 1,5m</t>
  </si>
  <si>
    <t>1.3.1.1.5</t>
  </si>
  <si>
    <t>1.3.1.1.6</t>
  </si>
  <si>
    <t>1.3.2.1.1</t>
  </si>
  <si>
    <t>MC.006C</t>
  </si>
  <si>
    <t>Regularização e compactação de fundo de cavas ou valas</t>
  </si>
  <si>
    <t>m²</t>
  </si>
  <si>
    <t>CMS C.25.10.000</t>
  </si>
  <si>
    <t>1.3.2.1.2</t>
  </si>
  <si>
    <t>1.3.2.1.3</t>
  </si>
  <si>
    <t>1.3.3.1.1</t>
  </si>
  <si>
    <t>Reaterro compactado de cavas ou valas, a 95% do Proctor Normal</t>
  </si>
  <si>
    <t>CMS C.25.15.000</t>
  </si>
  <si>
    <t>1.3.3.1.2</t>
  </si>
  <si>
    <t>1.3.3.1.3</t>
  </si>
  <si>
    <t>Reaterro compactado de cavas ou valas, a 100% do Proctor Normal</t>
  </si>
  <si>
    <t>1.3.3.1.4</t>
  </si>
  <si>
    <t>1.3.3.1.5</t>
  </si>
  <si>
    <t>1.3.4.1.1</t>
  </si>
  <si>
    <t>Carga, transporte, descarga e espalhamento de material de 1ª categoria em ADME - DMT até 1000m</t>
  </si>
  <si>
    <t>CMS C.25.20.000</t>
  </si>
  <si>
    <t>1.3.4.1.2</t>
  </si>
  <si>
    <t>1.3.4.1.3</t>
  </si>
  <si>
    <t>1.3.5.1.1</t>
  </si>
  <si>
    <t>MC.007C</t>
  </si>
  <si>
    <t>Momento extraordinário de transporte de material de 1ª categoria - uso geral</t>
  </si>
  <si>
    <t>m³ x km</t>
  </si>
  <si>
    <t>CMS C.25.30.000</t>
  </si>
  <si>
    <t>1.3.5.1.2</t>
  </si>
  <si>
    <t>1.3.5.1.3</t>
  </si>
  <si>
    <t>1.4.1.1.1</t>
  </si>
  <si>
    <t>Forma plana com compensado resinado para estrutura de fundação, inclusive escoramento de estruturas verticais</t>
  </si>
  <si>
    <t>CMS C.65.05.000</t>
  </si>
  <si>
    <t>1.4.1.1.2</t>
  </si>
  <si>
    <t>2301</t>
  </si>
  <si>
    <t>1.4.1.1.3</t>
  </si>
  <si>
    <t>2303</t>
  </si>
  <si>
    <t>1.4.1.1.4</t>
  </si>
  <si>
    <t>2305</t>
  </si>
  <si>
    <t>1.4.1.1.5</t>
  </si>
  <si>
    <t>2306</t>
  </si>
  <si>
    <t>1.4.1.1.6</t>
  </si>
  <si>
    <t>2307</t>
  </si>
  <si>
    <t>1.4.1.1.7</t>
  </si>
  <si>
    <t>1.4.1.1.8</t>
  </si>
  <si>
    <t>1.4.1.1.9</t>
  </si>
  <si>
    <t>2310</t>
  </si>
  <si>
    <t>1.4.1.1.10</t>
  </si>
  <si>
    <t>2313</t>
  </si>
  <si>
    <t>1.4.1.1.11</t>
  </si>
  <si>
    <t>2314</t>
  </si>
  <si>
    <t>1.4.1.1.12</t>
  </si>
  <si>
    <t>2315</t>
  </si>
  <si>
    <t>1.4.1.1.13</t>
  </si>
  <si>
    <t>2316</t>
  </si>
  <si>
    <t>1.4.1.1.14</t>
  </si>
  <si>
    <t>2325</t>
  </si>
  <si>
    <t>1.4.1.1.15</t>
  </si>
  <si>
    <t>1.4.1.1.16</t>
  </si>
  <si>
    <t>1.4.1.1.17</t>
  </si>
  <si>
    <t>5103</t>
  </si>
  <si>
    <t>1.4.1.2.1</t>
  </si>
  <si>
    <t>Fornecimento e montagem de forma composta tipo Steel Deck MF75, inclusive acessórios e acabamentos, espessura 0,80mm</t>
  </si>
  <si>
    <t>CMS C.65.05.025</t>
  </si>
  <si>
    <t>1.4.2.1.1</t>
  </si>
  <si>
    <t>MC.008C</t>
  </si>
  <si>
    <t>Armadura em aço CA-50, fornecimento, corte, dobra e aplicação - qualquer diâmetro</t>
  </si>
  <si>
    <t>kg</t>
  </si>
  <si>
    <t>CMS C.65.10.000</t>
  </si>
  <si>
    <t>1.4.2.1.2</t>
  </si>
  <si>
    <t>1.4.2.1.3</t>
  </si>
  <si>
    <t>1.4.2.1.4</t>
  </si>
  <si>
    <t>1.4.2.1.5</t>
  </si>
  <si>
    <t>1.4.2.1.6</t>
  </si>
  <si>
    <t>1.4.2.1.7</t>
  </si>
  <si>
    <t>1.4.2.1.8</t>
  </si>
  <si>
    <t>1.4.2.1.9</t>
  </si>
  <si>
    <t>1.4.2.1.10</t>
  </si>
  <si>
    <t>1.4.2.1.11</t>
  </si>
  <si>
    <t>1.4.2.1.12</t>
  </si>
  <si>
    <t>1.4.2.1.13</t>
  </si>
  <si>
    <t>1.4.2.1.14</t>
  </si>
  <si>
    <t>1.4.2.1.15</t>
  </si>
  <si>
    <t>1.4.2.1.16</t>
  </si>
  <si>
    <t>1.4.2.1.17</t>
  </si>
  <si>
    <t>1.4.2.1.18</t>
  </si>
  <si>
    <t>1.4.2.1.19</t>
  </si>
  <si>
    <t>1.4.2.1.20</t>
  </si>
  <si>
    <t>1.4.2.1.21</t>
  </si>
  <si>
    <t>1.4.2.1.22</t>
  </si>
  <si>
    <t>1.4.2.1.23</t>
  </si>
  <si>
    <t>1.4.3.1.1</t>
  </si>
  <si>
    <t xml:space="preserve">Concreto Não-Bombeado em estrutura de fundação fck = 10,0 MPa. </t>
  </si>
  <si>
    <t>CMS C.65.15.000</t>
  </si>
  <si>
    <t>1.4.3.1.2</t>
  </si>
  <si>
    <t>1.4.3.1.3</t>
  </si>
  <si>
    <t>1.4.3.1.4</t>
  </si>
  <si>
    <t xml:space="preserve">Concreto Não-Bombeado em estrutura de fundação fck = 30,0 MPa. </t>
  </si>
  <si>
    <t>1.4.3.1.5</t>
  </si>
  <si>
    <t>1.4.3.1.6</t>
  </si>
  <si>
    <t>1.4.3.1.7</t>
  </si>
  <si>
    <t>1.4.3.1.8</t>
  </si>
  <si>
    <t>1.4.3.1.9</t>
  </si>
  <si>
    <t>1.4.3.1.10</t>
  </si>
  <si>
    <t>1.4.3.1.11</t>
  </si>
  <si>
    <t>1.4.3.1.12</t>
  </si>
  <si>
    <t>1.4.3.1.13</t>
  </si>
  <si>
    <t>1.4.3.1.14</t>
  </si>
  <si>
    <t>1.4.3.1.15</t>
  </si>
  <si>
    <t>1.4.3.1.16</t>
  </si>
  <si>
    <t>1.4.3.1.17</t>
  </si>
  <si>
    <t>1.4.3.1.18</t>
  </si>
  <si>
    <t>1.4.3.1.19</t>
  </si>
  <si>
    <t>1.4.3.1.20</t>
  </si>
  <si>
    <t>1.4.3.1.21</t>
  </si>
  <si>
    <t>1.4.3.1.22</t>
  </si>
  <si>
    <t>1.4.3.1.23</t>
  </si>
  <si>
    <t>1.4.3.1.24</t>
  </si>
  <si>
    <t>1.4.3.1.25</t>
  </si>
  <si>
    <t>1.4.3.1.26</t>
  </si>
  <si>
    <t xml:space="preserve">Concreto Bombeado em estrutura de fundação fck = 30,0 MPa. </t>
  </si>
  <si>
    <t>1.4.3.1.27</t>
  </si>
  <si>
    <t>1.4.3.1.28</t>
  </si>
  <si>
    <t xml:space="preserve">Concreto Bombeado em estrutura elevada fck = 30,0 MPa. </t>
  </si>
  <si>
    <t>1.4.4.1.1</t>
  </si>
  <si>
    <t>MC.009C</t>
  </si>
  <si>
    <t xml:space="preserve">Inserto metálico em aço ASTM-A36, fornecimento e instalação  </t>
  </si>
  <si>
    <t>CMS C.65.25.010</t>
  </si>
  <si>
    <t>1.4.4.1.2</t>
  </si>
  <si>
    <t>1.4.4.1.3</t>
  </si>
  <si>
    <t>1.4.5.1.1</t>
  </si>
  <si>
    <t>MC.010C</t>
  </si>
  <si>
    <t>Furo em concreto com broca, profundidade máxima de 20cm, Ø 1/2"</t>
  </si>
  <si>
    <t>un</t>
  </si>
  <si>
    <t>CMS C.65.40.000</t>
  </si>
  <si>
    <t>1.4.5.1.2</t>
  </si>
  <si>
    <t>1.4.5.1.3</t>
  </si>
  <si>
    <t>1.4.5.1.4</t>
  </si>
  <si>
    <t>1.4.5.1.5</t>
  </si>
  <si>
    <t>1.4.5.1.6</t>
  </si>
  <si>
    <t>1.4.5.1.7</t>
  </si>
  <si>
    <t>1.4.5.1.8</t>
  </si>
  <si>
    <t>1.4.5.1.9</t>
  </si>
  <si>
    <t>1.4.5.1.10</t>
  </si>
  <si>
    <t>1.4.5.1.11</t>
  </si>
  <si>
    <t>1.4.5.1.12</t>
  </si>
  <si>
    <t>1.4.5.1.13</t>
  </si>
  <si>
    <t>1.4.5.1.14</t>
  </si>
  <si>
    <t>1.4.5.2.1</t>
  </si>
  <si>
    <t>Escarificação manual de concreto, corte com profundidade até 3cm</t>
  </si>
  <si>
    <t>1.4.5.2.2</t>
  </si>
  <si>
    <t>1.4.5.2.3</t>
  </si>
  <si>
    <t>1.4.5.2.4</t>
  </si>
  <si>
    <t>1.4.5.2.5</t>
  </si>
  <si>
    <t>1.4.5.2.6</t>
  </si>
  <si>
    <t>1.4.5.2.7</t>
  </si>
  <si>
    <t>1.4.5.2.8</t>
  </si>
  <si>
    <t>1.4.5.2.9</t>
  </si>
  <si>
    <t>1.4.5.2.10</t>
  </si>
  <si>
    <t>1.4.5.2.11</t>
  </si>
  <si>
    <t>1.4.5.2.12</t>
  </si>
  <si>
    <t>1.4.5.2.13</t>
  </si>
  <si>
    <t>1.4.6.1.1</t>
  </si>
  <si>
    <t>MC.011C</t>
  </si>
  <si>
    <t>Resina estrutural base epóxi injetável em furos, Ø=&lt; 32mm (inclusive colagem da armadura), fornecimento e aplicação</t>
  </si>
  <si>
    <t>dm³</t>
  </si>
  <si>
    <t>CMS C.65.45.000</t>
  </si>
  <si>
    <t>1.4.6.1.2</t>
  </si>
  <si>
    <t>1.4.6.1.3</t>
  </si>
  <si>
    <t>1.4.6.1.4</t>
  </si>
  <si>
    <t>1.4.6.1.5</t>
  </si>
  <si>
    <t>1.4.6.1.6</t>
  </si>
  <si>
    <t>1.4.6.1.7</t>
  </si>
  <si>
    <t>1.4.6.1.8</t>
  </si>
  <si>
    <t>1.4.6.1.9</t>
  </si>
  <si>
    <t>1.4.6.1.10</t>
  </si>
  <si>
    <t>1.4.6.1.11</t>
  </si>
  <si>
    <t>1.4.6.1.12</t>
  </si>
  <si>
    <t>1.4.6.1.13</t>
  </si>
  <si>
    <t>1.4.6.1.14</t>
  </si>
  <si>
    <t>2.1.1.1.1</t>
  </si>
  <si>
    <t>2017</t>
  </si>
  <si>
    <t>MC.046D</t>
  </si>
  <si>
    <t>Moinho com peso acima de 80t - Moinho vertical para remoagem. Diâmetro (mm) = 4.242_x000D_
Altura (mm) = 14.655. Peso: 148.1 t - MO-2017-04</t>
  </si>
  <si>
    <t>t</t>
  </si>
  <si>
    <t>CMS D.10.20.000</t>
  </si>
  <si>
    <t>2.1.1.1.2</t>
  </si>
  <si>
    <t>2057</t>
  </si>
  <si>
    <t>Moinho com peso acima de 80t - Moinho vertical para remoagem. Diâmetro (mm) = 4.242_x000D_
Altura (mm) = 14.655. Peso: 148.1 t - MO-2057-04</t>
  </si>
  <si>
    <t>2.2.1.1.1</t>
  </si>
  <si>
    <t>MC.048D</t>
  </si>
  <si>
    <t>Manômetro - TAG: PI-2017-303A/B/C/D/E/F</t>
  </si>
  <si>
    <t xml:space="preserve">un </t>
  </si>
  <si>
    <t>CMS D.30.60.000</t>
  </si>
  <si>
    <t>2.2.1.1.2</t>
  </si>
  <si>
    <t>Manômetro - TAG: PI-2057-803A/B/C/D/E/F</t>
  </si>
  <si>
    <t>2.2.1.2.1</t>
  </si>
  <si>
    <t>Transmissor de temperatura - TAG: TIT-2017-303I</t>
  </si>
  <si>
    <t>2.2.1.2.2</t>
  </si>
  <si>
    <t>Transmissor de temperatura - TAG: TIT-2057-803I</t>
  </si>
  <si>
    <t>2.2.1.2.3</t>
  </si>
  <si>
    <t>Conversor de sinal 4-20mA/FF - TAG: XT-2017-803A/B</t>
  </si>
  <si>
    <t>2.2.1.2.4</t>
  </si>
  <si>
    <t>Conversor de sinal 4-20mA/FF - TAG: XT-2057-803A/B</t>
  </si>
  <si>
    <t>2.2.1.3.1</t>
  </si>
  <si>
    <t>Chave de vazão - R 1-1/2" - TAG: FSL-2017-303A/B / FSLL-2017-303A/B</t>
  </si>
  <si>
    <t>2.2.1.3.2</t>
  </si>
  <si>
    <t>Chave de vazão - R 1-1/2" - TAG: FSL-2057-803A/B / FSLL-2057-803A/B</t>
  </si>
  <si>
    <t>2.2.1.4.1</t>
  </si>
  <si>
    <t>Caixa de ligação de motor - TAG: NA</t>
  </si>
  <si>
    <t>2.2.1.4.2</t>
  </si>
  <si>
    <t>2.2.1.4.3</t>
  </si>
  <si>
    <t>Caixa de ligação/junção de equipamentos - TAG: CJ-MO201704-01@05</t>
  </si>
  <si>
    <t>2.2.1.4.4</t>
  </si>
  <si>
    <t>Caixa de ligação/junção de equipamentos - TAG: CJ-MO205704-01@05</t>
  </si>
  <si>
    <t>2.2.1.4.5</t>
  </si>
  <si>
    <t>Miscêlaneas de instrumentação - TAG: NA</t>
  </si>
  <si>
    <t>2.2.1.4.6</t>
  </si>
  <si>
    <t>2.2.1.4.7</t>
  </si>
  <si>
    <t>Acessórios de instrumentação - TAG: NA</t>
  </si>
  <si>
    <t>2.2.1.4.8</t>
  </si>
  <si>
    <t>2.2.2.1.1</t>
  </si>
  <si>
    <t>Válvula auto operada -  Ø 1/4" - TAG: PCV-2017-303A/D/E/F</t>
  </si>
  <si>
    <t>2.2.2.1.2</t>
  </si>
  <si>
    <t>Válvula auto operada -  Ø 1/4" - TAG: PCV-2057-803A/D/E/F</t>
  </si>
  <si>
    <t>2.2.2.2.1</t>
  </si>
  <si>
    <t>Válvula de controle modulado tipo dardo com transmissor de posição e posicionador - TAG: FV-2017-231A/B / FV-2017-233A/B</t>
  </si>
  <si>
    <t>2.2.2.2.2</t>
  </si>
  <si>
    <t>Válvula de controle modulado tipo dardo com transmissor de posição e posicionador - TAG: FV-2057-731A/B / FV-2057-733A/B</t>
  </si>
  <si>
    <t>2.2.2.3.1</t>
  </si>
  <si>
    <t>Válvula solenóide - TAG: SV-2017-303A</t>
  </si>
  <si>
    <t>2.2.2.3.2</t>
  </si>
  <si>
    <t>Válvula solenóide - TAG: SV-2057-803A</t>
  </si>
  <si>
    <t>2.2.2.4.1</t>
  </si>
  <si>
    <t>Sensor de temperatura - TAG: TE-2017-303A@I</t>
  </si>
  <si>
    <t>2.2.2.4.2</t>
  </si>
  <si>
    <t>Sensor de temperatura - TAG: TE-2057-803A@I</t>
  </si>
  <si>
    <t>2.2.2.4.3</t>
  </si>
  <si>
    <t>Sensor de vibração - TAG: VT-2017-303A/B</t>
  </si>
  <si>
    <t>2.2.2.4.4</t>
  </si>
  <si>
    <t>Sensor de vibração - TAG: VT-2057-803A/B</t>
  </si>
  <si>
    <t>2.2.2.4.5</t>
  </si>
  <si>
    <t>Sensor indutivo - Fim de curso - TAG: ZS-2017-303A</t>
  </si>
  <si>
    <t>2.2.2.4.6</t>
  </si>
  <si>
    <t>Sensor indutivo - Fim de curso - TAG: ZS-2057-803A</t>
  </si>
  <si>
    <t>2.2.2.4.7</t>
  </si>
  <si>
    <t>Pressostato diferencial - TAG: PDSH-2017-303A/B</t>
  </si>
  <si>
    <t>2.2.2.4.8</t>
  </si>
  <si>
    <t>Pressostato diferencial - TAG: PDSH-2057-803A/B</t>
  </si>
  <si>
    <t>2.2.2.4.9</t>
  </si>
  <si>
    <t>Pressostato - TAG: PSL-2017-303A</t>
  </si>
  <si>
    <t>2.2.2.4.10</t>
  </si>
  <si>
    <t>Pressostato - TAG: PSL-2057-803A</t>
  </si>
  <si>
    <t>2.2.2.4.11</t>
  </si>
  <si>
    <t>Termostato - TAG: TSH-2017-303A</t>
  </si>
  <si>
    <t>2.2.2.4.12</t>
  </si>
  <si>
    <t>Termostato - TAG: TSH/2057-803A</t>
  </si>
  <si>
    <t>2.2.2.5.1</t>
  </si>
  <si>
    <t>Indicador de temperatura - TAG: TI-2017-303A</t>
  </si>
  <si>
    <t>2.2.2.5.2</t>
  </si>
  <si>
    <t>Indicador de temperatura - TAG: TI-2029-803A</t>
  </si>
  <si>
    <t>2.3.1.1.1</t>
  </si>
  <si>
    <t>MC.047D</t>
  </si>
  <si>
    <t>Chute - TAG: CH-2017-04</t>
  </si>
  <si>
    <t>CMS D.50.10.000</t>
  </si>
  <si>
    <t>2.3.1.1.2</t>
  </si>
  <si>
    <t>Chute - TAG: CH-2057-04</t>
  </si>
  <si>
    <t>2.3.1.2.1</t>
  </si>
  <si>
    <t>Distribuidores de Fluxo - TAG: DI-2017-07</t>
  </si>
  <si>
    <t>2.3.1.2.2</t>
  </si>
  <si>
    <t>Distribuidores de Fluxo - TAG: DI-2017-08</t>
  </si>
  <si>
    <t>2.3.1.2.3</t>
  </si>
  <si>
    <t>Distribuidores de Fluxo - TAG: DI-2057-07</t>
  </si>
  <si>
    <t>2.3.1.2.4</t>
  </si>
  <si>
    <t>Distribuidores de Fluxo - TAG: DI-2057-08</t>
  </si>
  <si>
    <t>2.3.1.3.1</t>
  </si>
  <si>
    <t>Miscelâneas Metálicas</t>
  </si>
  <si>
    <t>2.3.1.3.2</t>
  </si>
  <si>
    <t>2.4.1.1.1</t>
  </si>
  <si>
    <t>Mangote de borracha, fabricado em borracha natural, para uso com polpa de minério de cobre, classe de pressão 150 libras, reforçado com alma de aço, extremidades flangeadas conforme ASME B 16.5, classe 150 #, face plana., inclusive conexôes, Ø8".</t>
  </si>
  <si>
    <t>2.4.1.1.2</t>
  </si>
  <si>
    <t>2.4.1.2.1</t>
  </si>
  <si>
    <t>Tubulação de Aço Carbono ASTM A 53 Gr B-S, SCH.STD. WT, C /Extr. para Solda de Topo, inclusive Conexões 14”</t>
  </si>
  <si>
    <t>2.4.1.2.2</t>
  </si>
  <si>
    <t>2.4.1.3.1</t>
  </si>
  <si>
    <t>Tubo de aço carbono, sem pintura, EFW helicoidal, ASTM A 139 Gr. B / ASME B 36.10, espessura do tubo 4,75 mm, revestimento interno (RI) em poliuretano com espessura de 8,0 mm, extremidade preparada para Flange, inclusive conexões, Ø10".</t>
  </si>
  <si>
    <t>2.4.1.3.2</t>
  </si>
  <si>
    <t>2.4.1.4.1</t>
  </si>
  <si>
    <t>Tubo de aço carbono, sem pintura, EFW helicoidal, ASTM A 139 Gr. B / ASME B 36.10, espessura do tubo 6,35 mm, revestimento interno (RI) em poliuretano com espessura de 12,0 mm, extremidade preparada para para Flange, inclusive conexões, Ø18".</t>
  </si>
  <si>
    <t>2.4.1.4.2</t>
  </si>
  <si>
    <t>2.4.1.5.1</t>
  </si>
  <si>
    <t>Tubo em Polietileno de Alta Densidade (PEAD), classe PN 10, extremidades planas, dimensões conforme ISO 4427 PE 100, com inibidor de raios ultra violeta., inclusive Conexões e Válvulas  75mm</t>
  </si>
  <si>
    <t>2.4.1.5.2</t>
  </si>
  <si>
    <t>2.5.1.1.1</t>
  </si>
  <si>
    <t>MC.049D</t>
  </si>
  <si>
    <t>Cabo com isolação em EPR e cobertura em PVC - Bipolar - Classe de Tensão 0,6/1kV - Seção 2 x 4 mm2</t>
  </si>
  <si>
    <t>m</t>
  </si>
  <si>
    <t>CMS D.70.10.000</t>
  </si>
  <si>
    <t>2.5.1.1.2</t>
  </si>
  <si>
    <t>2.5.1.1.3</t>
  </si>
  <si>
    <t>Cabo com isolação em EPR e cobertura em PVC - Tetrapolar - Classe de Tensão 0,6/1kV - Seção 4 x 4 mm2</t>
  </si>
  <si>
    <t>2.5.1.1.4</t>
  </si>
  <si>
    <t>2.5.1.1.5</t>
  </si>
  <si>
    <t>Cabo com isolação em EPR e cobertura em PVC - Tetrapolar - Classe de Tensão 0,6/1kV - Seção 4 x 6 mm2</t>
  </si>
  <si>
    <t>2.5.1.1.6</t>
  </si>
  <si>
    <t>2.5.1.2.1</t>
  </si>
  <si>
    <t>Cabo tripolar com condutor concêntrico e blindagem, encordoamento classe 5, com isolação sólida extrudada de EPR e cobertura flexível de PVC- Seção 3x120mm2+1x70mm2 - Classe de Tensão 0,6/1kV.</t>
  </si>
  <si>
    <t>2.5.1.2.2</t>
  </si>
  <si>
    <t>2.5.1.3.1</t>
  </si>
  <si>
    <t>Cabo com isolação em EPR - Singelo - Classe de Tensão 3,6/6kV - Seção 70 mm2</t>
  </si>
  <si>
    <t>2.5.1.3.2</t>
  </si>
  <si>
    <t>2.5.1.4.1</t>
  </si>
  <si>
    <t>Cabo de cobre unipolar classe 5, com isolação em PVC - 750V - seção 2,5mm²</t>
  </si>
  <si>
    <t>2.5.1.4.2</t>
  </si>
  <si>
    <t>2.5.2.1.1</t>
  </si>
  <si>
    <t>Cabo de instrumentação, condutores de cobre nu, blindagem total, encordoamento classe 2, isolação em PVC antichama, temperatura de serviço 70ºC, 300/600V, condutores numerados - Seção 2 x 0,75mm2</t>
  </si>
  <si>
    <t>2.5.2.1.2</t>
  </si>
  <si>
    <t>2.5.2.1.3</t>
  </si>
  <si>
    <t>Cabo de instrumentação, condutores de cobre nu, blindagem total, encordoamento classe 2, isolação em PVC antichama, temperatura de serviço 70ºC, 300/600V, condutores numerados - Seção 2 x 1,00mm2</t>
  </si>
  <si>
    <t>2.5.2.1.4</t>
  </si>
  <si>
    <t>2.5.2.1.5</t>
  </si>
  <si>
    <t>Cabo de instrumentação flexível, condutores de cobre estanhado, blindagem individual (por trio) e total, classe 2, isolação em PVC anti-chama, 70ºC, 300/600V, condutores nas cores BRANCO, PRETO e VERMELHO - 8T x 0,50mm2</t>
  </si>
  <si>
    <t>2.5.2.1.6</t>
  </si>
  <si>
    <t>2.5.2.2.1</t>
  </si>
  <si>
    <t>Cabo de controle, condutores de cobre nu, sem blindagem, encordoamento classe 5, isolação em PVC antichama, temperatura de serviço 70ºC, 0,6/1kV, condutores numerados - Seção 3 x 1,5mm2</t>
  </si>
  <si>
    <t>2.5.2.2.2</t>
  </si>
  <si>
    <t>2.5.2.2.3</t>
  </si>
  <si>
    <t>Cabo de controle, condutores de cobre nu, sem blindagem, encordoamento classe 5, isolação em PVC antichama, temperatura de serviço 70ºC, 0,6/1kV, condutores numerados - Seção 5 x 1,5mm2</t>
  </si>
  <si>
    <t>2.5.2.2.4</t>
  </si>
  <si>
    <t>2.5.2.2.5</t>
  </si>
  <si>
    <t>Cabo de controle, condutores de cobre nu, sem blindagem, encordoamento classe 5, isolação em PVC antichama, temperatura de serviço 70ºC, 0,6/1kV, condutores numerados - Seção 7 x 1,5mm2</t>
  </si>
  <si>
    <t>2.5.2.2.6</t>
  </si>
  <si>
    <t>2.5.2.2.7</t>
  </si>
  <si>
    <t>Cabo de controle, condutores de cobre nu, sem blindagem, encordoamento classe 5, isolação em PVC antichama, temperatura de serviço 70ºC, 0,6/1kV, condutores numerados - Seção 16 x 1,5mm2</t>
  </si>
  <si>
    <t>2.5.2.2.8</t>
  </si>
  <si>
    <t>2.5.3.1.1</t>
  </si>
  <si>
    <t>Eletrodutos rígidos ,em aço galv.,c/acessórios, ø 3/4", peça de 3m</t>
  </si>
  <si>
    <t>CMS D.70.30.000</t>
  </si>
  <si>
    <t>2.5.3.1.2</t>
  </si>
  <si>
    <t>2.5.3.1.3</t>
  </si>
  <si>
    <t>Eletrodutos rígidos ,em aço galv.,c/acessórios, ø 1", peça de 3m</t>
  </si>
  <si>
    <t>2.5.3.1.4</t>
  </si>
  <si>
    <t>2.5.3.1.5</t>
  </si>
  <si>
    <t>Eletrodutos rígidos ,em aço galv.,c/acessórios, ø 1 1/2", peça de 3m</t>
  </si>
  <si>
    <t>2.5.3.1.6</t>
  </si>
  <si>
    <t>2.5.3.1.7</t>
  </si>
  <si>
    <t>Eletrodutos rígidos ,em aço galv.,c/acessórios, ø 2", peça de 3m</t>
  </si>
  <si>
    <t>2.5.3.1.8</t>
  </si>
  <si>
    <t>2.5.3.1.9</t>
  </si>
  <si>
    <t>Eletrodutos rígidos ,em aço galv.,c/acessórios, ø 3", peça de 3m</t>
  </si>
  <si>
    <t>2.5.3.1.10</t>
  </si>
  <si>
    <t>2.5.3.1.11</t>
  </si>
  <si>
    <t>Eletrodutos rígidos ,em aço galv.,c/acessórios, ø 4", peça de 3m</t>
  </si>
  <si>
    <t>2.5.3.1.12</t>
  </si>
  <si>
    <t>2.5.3.2.1</t>
  </si>
  <si>
    <t>Eletrodutos flexíveis,em aço galv., tipo seal tubo, c/acessórios, ø 3/4"</t>
  </si>
  <si>
    <t>2.5.3.2.2</t>
  </si>
  <si>
    <t>2.5.3.2.3</t>
  </si>
  <si>
    <t>Eletrodutos flexíveis,em aço galv., tipo seal tubo, c/acessórios, ø 1"</t>
  </si>
  <si>
    <t>2.5.3.2.4</t>
  </si>
  <si>
    <t>2.5.3.2.5</t>
  </si>
  <si>
    <t>Eletrodutos flexíveis,em aço galv., tipo seal tubo, c/acessórios, ø 1 1/2"</t>
  </si>
  <si>
    <t>2.5.3.2.6</t>
  </si>
  <si>
    <t>2.5.3.2.7</t>
  </si>
  <si>
    <t>Eletrodutos flexíveis,em aço galv., tipo seal tubo, c/acessórios, ø 2"</t>
  </si>
  <si>
    <t>2.5.3.2.8</t>
  </si>
  <si>
    <t>2.5.3.2.9</t>
  </si>
  <si>
    <t>Eletrodutos flexíveis,em aço galv., tipo seal tubo, c/acessórios, ø 3"</t>
  </si>
  <si>
    <t>2.5.3.2.10</t>
  </si>
  <si>
    <t>2.5.3.2.11</t>
  </si>
  <si>
    <t>Eletrodutos flexíveis,em aço galv., tipo seal tubo, c/acessórios, ø 4"</t>
  </si>
  <si>
    <t>2.5.3.2.12</t>
  </si>
  <si>
    <t>2.5.4.1.1</t>
  </si>
  <si>
    <t>Leito para cabos,  tipo médio, em chapa de aço galvanizada a fogo , c/ acessórios, altura de 100 mm, largura de 200 mm</t>
  </si>
  <si>
    <t>2.5.4.1.2</t>
  </si>
  <si>
    <t>2.5.5.1.1</t>
  </si>
  <si>
    <t>MC.050D</t>
  </si>
  <si>
    <t>Projetor, lampada vapor de sódio, 150 W, com reator</t>
  </si>
  <si>
    <t>pç</t>
  </si>
  <si>
    <t>CMS D.70.60.000</t>
  </si>
  <si>
    <t>2.5.5.1.2</t>
  </si>
  <si>
    <t>2.5.6.1.1</t>
  </si>
  <si>
    <t>Botoeira de comando local</t>
  </si>
  <si>
    <t>2.5.6.1.2</t>
  </si>
  <si>
    <t>2.5.6.2.1</t>
  </si>
  <si>
    <t>Caixa de passagem, metálica, dimensões 445x350x205mm</t>
  </si>
  <si>
    <t>2.5.6.2.2</t>
  </si>
  <si>
    <t>2.5.7.1.1</t>
  </si>
  <si>
    <t>Cabo de cobre nu, Seção 25mm2</t>
  </si>
  <si>
    <t>CMS D.70.70.000</t>
  </si>
  <si>
    <t>2.5.7.1.2</t>
  </si>
  <si>
    <t>2.5.7.1.3</t>
  </si>
  <si>
    <t>Cabo de cobre nu, Seção 35mm2</t>
  </si>
  <si>
    <t>2.5.7.1.4</t>
  </si>
  <si>
    <t>2.6.1.1.1</t>
  </si>
  <si>
    <t>Estrutura metálica leve ou perfilados (até 25kg/m) ASTM A36</t>
  </si>
  <si>
    <t>2.6.1.1.2</t>
  </si>
  <si>
    <t>2.6.1.2.1</t>
  </si>
  <si>
    <t>Estrutura metálica leve ou perfilados (até 25kg/m) ASTM A572 Gr50</t>
  </si>
  <si>
    <t>2.6.1.2.2</t>
  </si>
  <si>
    <t>2.6.1.2.3</t>
  </si>
  <si>
    <t>Estrutura metálica média ou perfilados (25@80kg/m) ASTM A572 Gr50</t>
  </si>
  <si>
    <t>2.6.1.2.4</t>
  </si>
  <si>
    <t>2.6.1.3.1</t>
  </si>
  <si>
    <t>Grade de piso altura 30 mm ASTM A36</t>
  </si>
  <si>
    <t>2.6.1.3.2</t>
  </si>
  <si>
    <t>2.6.1.4.1</t>
  </si>
  <si>
    <t>2.6.1.4.2</t>
  </si>
  <si>
    <t>3.1.1.1.1</t>
  </si>
  <si>
    <t>MC.051L</t>
  </si>
  <si>
    <t>Aluguel de Guindaste 70 ton - _regime de 24hs/dia - Suporte Técnico para Pré-Comissionamento, Comissionamento e Testes de Performance</t>
  </si>
  <si>
    <t>CMS L.05.05.000</t>
  </si>
  <si>
    <t>3.1.1.1.2</t>
  </si>
  <si>
    <t>Aluguel de Guindaste 70 ton - _regime de 24hs/dia - Por Demanda</t>
  </si>
  <si>
    <t>serv/dia</t>
  </si>
  <si>
    <t>3.1.1.2.1</t>
  </si>
  <si>
    <t>Aluguel de plataforma elevatória - 16 metros_regime de 24hs/dia - Suporte Técnico para Pré-Comissionamento, Comissionamento</t>
  </si>
  <si>
    <t>CMS L.05.10.000</t>
  </si>
  <si>
    <t>3.1.1.2.2</t>
  </si>
  <si>
    <t>Aluguel de plataforma elevatória - 42 metros_regime de 24hs/dia - Por Demanda</t>
  </si>
  <si>
    <t>3.1.2.1.1</t>
  </si>
  <si>
    <t>Aluguel de Caminhão tipo Munck 27 ton - _regime de 24hs/dia - Suporte Técnico para Pré-Comissionamento, Comissionamento</t>
  </si>
  <si>
    <t>CMS L.05.20.000</t>
  </si>
  <si>
    <t>3.1.2.1.2</t>
  </si>
  <si>
    <t>Aluguel de Caminhão tipo Munck 27 ton - _regime de 24hs/dia - Por Demanda</t>
  </si>
  <si>
    <t>3.1.2.2.1</t>
  </si>
  <si>
    <t>Aluguel de Veículos de apoio leve - _regime de 24hs/dia - Suporte Técnico para Pré-Comissionamento, Comissionamento</t>
  </si>
  <si>
    <t>3.1.2.2.2</t>
  </si>
  <si>
    <t>Aluguel de Veículos de apoio médio - _regime de 24hs/dia - Suporte Técnico para Pré-Comissionamento, Comissionamento</t>
  </si>
  <si>
    <t>3.1.2.2.3</t>
  </si>
  <si>
    <t>Aluguel de ônibus - _regime de 24hs/dia - Suporte Técnico para Pré-Comissionamento, Comissionamento e Testes de Performance</t>
  </si>
  <si>
    <t>3.1.3.1.1</t>
  </si>
  <si>
    <t>MC.052L</t>
  </si>
  <si>
    <t>Andaime Tubular como todos os acessórios (inclusive sapatas, escadas, guarda-corpo, rodapé) - Por Demanda</t>
  </si>
  <si>
    <t>m/dia</t>
  </si>
  <si>
    <t>CMS L.05.30.000</t>
  </si>
  <si>
    <t>3.1.3.1.2</t>
  </si>
  <si>
    <t>Andaime Tubular como todos os acessórios (inclusive sapatas, escadas, guarda-corpo, rodapé) - Suporte Técnico para Pré-Comissionamento, Comissionamento</t>
  </si>
  <si>
    <t>m x mês</t>
  </si>
  <si>
    <t>3.2.1.1.1</t>
  </si>
  <si>
    <t>MC.053L</t>
  </si>
  <si>
    <t>Carpinteiro - Suporte Técnico para Pré-Comissionamento, Comissionamento e Testes de Performance - Hora Normal</t>
  </si>
  <si>
    <t>h</t>
  </si>
  <si>
    <t>CMS L.10.05.000</t>
  </si>
  <si>
    <t>3.2.1.1.2</t>
  </si>
  <si>
    <t>Carpinteiro - Suporte Técnico para Pré-Comissionamento, Comissionamento e Testes de Performance - Hora Extra 50%</t>
  </si>
  <si>
    <t>3.2.1.1.3</t>
  </si>
  <si>
    <t>Carpinteiro - Suporte Técnico para Pré-Comissionamento, Comissionamento e Testes de Performance - Hora Extra 100%</t>
  </si>
  <si>
    <t>3.2.1.1.4</t>
  </si>
  <si>
    <t>Carpinteiro - Suporte Técnico para Pré-Comissionamento, Comissionamento e Testes de Performance - Hora Normal - Com adicional noturno</t>
  </si>
  <si>
    <t>3.2.1.1.5</t>
  </si>
  <si>
    <t>Carpinteiro - Suporte Técnico para Pré-Comissionamento, Comissionamento e Testes de Performance - Hora Extra 50% -  Com adicional noturno</t>
  </si>
  <si>
    <t>3.2.1.1.6</t>
  </si>
  <si>
    <t>Carpinteiro - Suporte Técnico para Pré-Comissionamento, Comissionamento e Testes de Performance - Hora Extra 100%  - Com adicional noturno</t>
  </si>
  <si>
    <t>3.2.2.1.1</t>
  </si>
  <si>
    <t>Inspetor de Ultrassom - Mão-de-Obra de Montagem por Demanda - Hora Normal</t>
  </si>
  <si>
    <t>3.2.2.1.2</t>
  </si>
  <si>
    <t>Inspetor de Ultrassom - Mão-de-Obra de Montagem por Demanda - Hora Extra 50%</t>
  </si>
  <si>
    <t>3.2.2.1.3</t>
  </si>
  <si>
    <t>Inspetor de Ultrassom - Mão-de-Obra de Montagem por Demanda - Hora Extra 100%</t>
  </si>
  <si>
    <t>3.2.2.1.4</t>
  </si>
  <si>
    <t>Inspetor de Ultrassom - Mão-de-Obra de Montagem por Demanda - Hora Normal - Com adicional noturno</t>
  </si>
  <si>
    <t>3.2.2.1.5</t>
  </si>
  <si>
    <t>Inspetor de Ultrassom - Mão-de-Obra de Montagem por Demanda - Hora Extra 50% -  Com adicional noturno</t>
  </si>
  <si>
    <t>3.2.2.1.6</t>
  </si>
  <si>
    <t>Inspetor de Ultrassom - Mão-de-Obra de Montagem por Demanda - Hora Extra 100%  - Com adicional noturno</t>
  </si>
  <si>
    <t>3.2.2.1.7</t>
  </si>
  <si>
    <t>Montador de Andaime - Mão-de-Obra de Montagem por Demanda - Hora Normal</t>
  </si>
  <si>
    <t>3.2.2.1.8</t>
  </si>
  <si>
    <t>Montador de Andaime - Mão-de-Obra de Montagem por Demanda - Hora Extra 50%</t>
  </si>
  <si>
    <t>3.2.2.1.9</t>
  </si>
  <si>
    <t>Montador de Andaime - Mão-de-Obra de Montagem por Demanda - Hora Extra 100%</t>
  </si>
  <si>
    <t>3.2.2.1.10</t>
  </si>
  <si>
    <t>Montador de Andaime - Mão-de-Obra de Montagem por Demanda - Hora Normal - Com adicional noturno</t>
  </si>
  <si>
    <t>3.2.2.1.11</t>
  </si>
  <si>
    <t>Montador de Andaime - Mão-de-Obra de Montagem por Demanda - Hora Extra 50% -  Com adicional noturno</t>
  </si>
  <si>
    <t>3.2.2.1.12</t>
  </si>
  <si>
    <t>Montador de Andaime - Mão-de-Obra de Montagem por Demanda - Hora Extra 100%  - Com adicional noturno</t>
  </si>
  <si>
    <t>3.2.2.1.13</t>
  </si>
  <si>
    <t>Montador de Andaime - Suporte Técnico para Pré-Comissionamento, Comissionamento e Testes de Performance - Hora Normal</t>
  </si>
  <si>
    <t>3.2.2.1.14</t>
  </si>
  <si>
    <t>Montador de Andaime - Suporte Técnico para Pré-Comissionamento, Comissionamento e Testes de Performance - Hora Extra 50%</t>
  </si>
  <si>
    <t>3.2.2.1.15</t>
  </si>
  <si>
    <t>Montador de Andaime - Suporte Técnico para Pré-Comissionamento, Comissionamento e Testes de Performance - Hora Extra 100%</t>
  </si>
  <si>
    <t>3.2.2.1.16</t>
  </si>
  <si>
    <t>Montador de Andaime - Suporte Técnico para Pré-Comissionamento, Comissionamento e Testes de Performance - Hora Normal - Com adicional noturno</t>
  </si>
  <si>
    <t>3.2.2.1.17</t>
  </si>
  <si>
    <t>Montador de Andaime - Suporte Técnico para Pré-Comissionamento, Comissionamento e Testes de Performance - Hora Extra 50% -  Com adicional noturno</t>
  </si>
  <si>
    <t>3.2.2.1.18</t>
  </si>
  <si>
    <t>Montador de Andaime - Suporte Técnico para Pré-Comissionamento, Comissionamento e Testes de Performance - Hora Extra 100%  - Com adicional noturno</t>
  </si>
  <si>
    <t>3.2.2.1.19</t>
  </si>
  <si>
    <t>Instrumentista - Suporte Técnico para Pré-Comissionamento, Comissionamento e Testes de Performance - Hora Normal</t>
  </si>
  <si>
    <t>3.2.2.1.20</t>
  </si>
  <si>
    <t>Instrumentista - Suporte Técnico para Pré-Comissionamento, Comissionamento e Testes de Performance - Hora Extra 50%</t>
  </si>
  <si>
    <t>3.2.2.1.21</t>
  </si>
  <si>
    <t>Instrumentista - Suporte Técnico para Pré-Comissionamento, Comissionamento e Testes de Performance - Hora Extra 100%</t>
  </si>
  <si>
    <t>3.2.2.1.22</t>
  </si>
  <si>
    <t>Instrumentista - Suporte Técnico para Pré-Comissionamento, Comissionamento e Testes de Performance - Hora Normal - Com adicional noturno</t>
  </si>
  <si>
    <t>3.2.2.1.23</t>
  </si>
  <si>
    <t>Instrumentista - Suporte Técnico para Pré-Comissionamento, Comissionamento e Testes de Performance - Hora Extra 50% -  Com adicional noturno</t>
  </si>
  <si>
    <t>3.2.2.1.24</t>
  </si>
  <si>
    <t>Instrumentista - Suporte Técnico para Pré-Comissionamento, Comissionamento e Testes de Performance - Hora Extra 100%  - Com adicional noturno</t>
  </si>
  <si>
    <t>3.2.2.1.25</t>
  </si>
  <si>
    <t>Maçariqueiro - Mão-de-Obra de Montagem por Demanda - Hora Normal</t>
  </si>
  <si>
    <t>3.2.2.1.26</t>
  </si>
  <si>
    <t>Maçariqueiro - Mão-de-Obra de Montagem por Demanda - Hora Extra 50%</t>
  </si>
  <si>
    <t>3.2.2.1.27</t>
  </si>
  <si>
    <t>Maçariqueiro - Mão-de-Obra de Montagem por Demanda - Hora Extra 100%</t>
  </si>
  <si>
    <t>3.2.2.1.28</t>
  </si>
  <si>
    <t>Maçariqueiro - Mão-de-Obra de Montagem por Demanda - Hora Normal - Com adicional noturno</t>
  </si>
  <si>
    <t>3.2.2.1.29</t>
  </si>
  <si>
    <t>Maçariqueiro - Mão-de-Obra de Montagem por Demanda - Hora Extra 50% -  Com adicional noturno</t>
  </si>
  <si>
    <t>3.2.2.1.30</t>
  </si>
  <si>
    <t>Maçariqueiro - Mão-de-Obra de Montagem por Demanda - Hora Extra 100%  - Com adicional noturno</t>
  </si>
  <si>
    <t>3.2.2.1.31</t>
  </si>
  <si>
    <t>Maçariqueiro - Suporte Técnico para Pré-Comissionamento, Comissionamento e Testes de Performance - Hora Normal</t>
  </si>
  <si>
    <t>3.2.2.1.32</t>
  </si>
  <si>
    <t>Maçariqueiro - Suporte Técnico para Pré-Comissionamento, Comissionamento e Testes de Performance - Hora Extra 50%</t>
  </si>
  <si>
    <t>3.2.2.1.33</t>
  </si>
  <si>
    <t>Maçariqueiro - Suporte Técnico para Pré-Comissionamento, Comissionamento e Testes de Performance - Hora Extra 100%</t>
  </si>
  <si>
    <t>3.2.2.1.34</t>
  </si>
  <si>
    <t>Maçariqueiro - Suporte Técnico para Pré-Comissionamento, Comissionamento e Testes de Performance - Hora Normal - Com adicional noturno</t>
  </si>
  <si>
    <t>3.2.2.1.35</t>
  </si>
  <si>
    <t>Maçariqueiro - Suporte Técnico para Pré-Comissionamento, Comissionamento e Testes de Performance - Hora Extra 50% -  Com adicional noturno</t>
  </si>
  <si>
    <t>3.2.2.1.36</t>
  </si>
  <si>
    <t>Maçariqueiro - Suporte Técnico para Pré-Comissionamento, Comissionamento e Testes de Performance - Hora Extra 100%  - Com adicional noturno</t>
  </si>
  <si>
    <t>3.2.2.1.37</t>
  </si>
  <si>
    <t>Mecânico Ajustador - Suporte Técnico para Pré-Comissionamento, Comissionamento e Testes de Performance - Hora Normal</t>
  </si>
  <si>
    <t>3.2.2.1.38</t>
  </si>
  <si>
    <t>Mecânico Ajustador - Suporte Técnico para Pré-Comissionamento, Comissionamento e Testes de Performance - Hora Extra 50%</t>
  </si>
  <si>
    <t>3.2.2.1.39</t>
  </si>
  <si>
    <t>Mecânico Ajustador - Suporte Técnico para Pré-Comissionamento, Comissionamento e Testes de Performance - Hora Extra 100%</t>
  </si>
  <si>
    <t>3.2.2.1.40</t>
  </si>
  <si>
    <t>Mecânico Ajustador - Suporte Técnico para Pré-Comissionamento, Comissionamento e Testes de Performance - Hora Normal - Com adicional noturno</t>
  </si>
  <si>
    <t>3.2.2.1.41</t>
  </si>
  <si>
    <t>Mecânico Ajustador - Suporte Técnico para Pré-Comissionamento, Comissionamento e Testes de Performance - Hora Extra 50% -  Com adicional noturno</t>
  </si>
  <si>
    <t>3.2.2.1.42</t>
  </si>
  <si>
    <t>Mecânico Ajustador - Suporte Técnico para Pré-Comissionamento, Comissionamento e Testes de Performance - Hora Extra 100%  - Com adicional noturno</t>
  </si>
  <si>
    <t>3.2.2.1.43</t>
  </si>
  <si>
    <t>Mecânico Montador - Mão-de-Obra de Montagem por Demanda - Hora Normal</t>
  </si>
  <si>
    <t>3.2.2.1.44</t>
  </si>
  <si>
    <t>Mecânico Montador - Mão-de-Obra de Montagem por Demanda - Hora Extra 50%</t>
  </si>
  <si>
    <t>3.2.2.1.45</t>
  </si>
  <si>
    <t>Mecânico Montador - Mão-de-Obra de Montagem por Demanda - Hora Extra 100%</t>
  </si>
  <si>
    <t>3.2.2.1.46</t>
  </si>
  <si>
    <t>Mecânico Montador - Mão-de-Obra de Montagem por Demanda - Hora Normal - Com adicional noturno</t>
  </si>
  <si>
    <t>3.2.2.1.47</t>
  </si>
  <si>
    <t>Mecânico Montador - Mão-de-Obra de Montagem por Demanda - Hora Extra 50% -  Com adicional noturno</t>
  </si>
  <si>
    <t>3.2.2.1.48</t>
  </si>
  <si>
    <t>Mecânico Montador - Mão-de-Obra de Montagem por Demanda - Hora Extra 100%  - Com adicional noturno</t>
  </si>
  <si>
    <t>3.2.2.1.49</t>
  </si>
  <si>
    <t>Mecânico Montador - Suporte Técnico para Pré-Comissionamento, Comissionamento e Testes de Performance - Hora Normal</t>
  </si>
  <si>
    <t>3.2.2.1.50</t>
  </si>
  <si>
    <t>Mecânico Montador - Suporte Técnico para Pré-Comissionamento, Comissionamento e Testes de Performance - Hora Extra 50%</t>
  </si>
  <si>
    <t>3.2.2.1.51</t>
  </si>
  <si>
    <t>Mecânico Montador - Suporte Técnico para Pré-Comissionamento, Comissionamento e Testes de Performance - Hora Extra 100%</t>
  </si>
  <si>
    <t>3.2.2.1.52</t>
  </si>
  <si>
    <t>Mecânico Montador - Suporte Técnico para Pré-Comissionamento, Comissionamento e Testes de Performance - Hora Normal - Com adicional noturno</t>
  </si>
  <si>
    <t>3.2.2.1.53</t>
  </si>
  <si>
    <t>Mecânico Montador - Suporte Técnico para Pré-Comissionamento, Comissionamento e Testes de Performance - Hora Extra 50% -  Com adicional noturno</t>
  </si>
  <si>
    <t>3.2.2.1.54</t>
  </si>
  <si>
    <t>Mecânico Montador - Suporte Técnico para Pré-Comissionamento, Comissionamento e Testes de Performance - Hora Extra 100%  - Com adicional noturno</t>
  </si>
  <si>
    <t>3.2.2.1.55</t>
  </si>
  <si>
    <t>Montador de tubulações de aço - Suporte Técnico para Pré-Comissionamento, Comissionamento e Testes de Performance - Hora Normal</t>
  </si>
  <si>
    <t>3.2.2.1.56</t>
  </si>
  <si>
    <t>Montador de tubulações de aço - Suporte Técnico para Pré-Comissionamento, Comissionamento e Testes de Performance - Hora Extra 50%</t>
  </si>
  <si>
    <t>3.2.2.1.57</t>
  </si>
  <si>
    <t>Montador de tubulações de aço - Suporte Técnico para Pré-Comissionamento, Comissionamento e Testes de Performance - Hora Extra 100%</t>
  </si>
  <si>
    <t>3.2.2.1.58</t>
  </si>
  <si>
    <t>Montador de tubulações de aço - Suporte Técnico para Pré-Comissionamento, Comissionamento e Testes de Performance - Hora Normal - Com adicional noturno</t>
  </si>
  <si>
    <t>3.2.2.1.59</t>
  </si>
  <si>
    <t>Montador de tubulações de aço - Suporte Técnico para Pré-Comissionamento, Comissionamento e Testes de Performance - Hora Extra 50% -  Com adicional noturno</t>
  </si>
  <si>
    <t>3.2.2.1.60</t>
  </si>
  <si>
    <t>Montador de tubulações de aço - Suporte Técnico para Pré-Comissionamento, Comissionamento e Testes de Performance - Hora Extra 100%  - Com adicional noturno</t>
  </si>
  <si>
    <t>3.2.2.1.61</t>
  </si>
  <si>
    <t>Montador de tubulações de aço - Mão-de-Obra de Montagem por Demanda - Hora Normal</t>
  </si>
  <si>
    <t>3.2.2.1.62</t>
  </si>
  <si>
    <t>Montador de tubulações de aço - Mão-de-Obra de Montagem por Demanda - Hora Extra 50%</t>
  </si>
  <si>
    <t>3.2.2.1.63</t>
  </si>
  <si>
    <t>Montador de tubulações de aço - Mão-de-Obra de Montagem por Demanda - Hora Extra 100%</t>
  </si>
  <si>
    <t>3.2.2.1.64</t>
  </si>
  <si>
    <t>Montador de tubulações de aço - Mão-de-Obra de Montagem por Demanda - Hora Normal - Com adicional noturno</t>
  </si>
  <si>
    <t>3.2.2.1.65</t>
  </si>
  <si>
    <t>Montador de tubulações de aço - Mão-de-Obra de Montagem por Demanda - Hora Extra 50% -  Com adicional noturno</t>
  </si>
  <si>
    <t>3.2.2.1.66</t>
  </si>
  <si>
    <t>Montador de tubulações de aço - Mão-de-Obra de Montagem por Demanda - Hora Extra 100%  - Com adicional noturno</t>
  </si>
  <si>
    <t>3.2.2.1.67</t>
  </si>
  <si>
    <t>Pintor Industrial - Suporte Técnico para Pré-Comissionamento, Comissionamento e Testes de Performance - Hora Normal</t>
  </si>
  <si>
    <t>3.2.2.1.68</t>
  </si>
  <si>
    <t>Pintor Industrial - Suporte Técnico para Pré-Comissionamento, Comissionamento e Testes de Performance - Hora Extra 50%</t>
  </si>
  <si>
    <t>3.2.2.1.69</t>
  </si>
  <si>
    <t>Pintor Industrial - Suporte Técnico para Pré-Comissionamento, Comissionamento e Testes de Performance - Hora Extra 100%</t>
  </si>
  <si>
    <t>3.2.2.1.70</t>
  </si>
  <si>
    <t>Pintor Industrial - Suporte Técnico para Pré-Comissionamento, Comissionamento e Testes de Performance - Hora Normal - Com adicional noturno</t>
  </si>
  <si>
    <t>3.2.2.1.71</t>
  </si>
  <si>
    <t>Pintor Industrial - Suporte Técnico para Pré-Comissionamento, Comissionamento e Testes de Performance - Hora Extra 50% -  Com adicional noturno</t>
  </si>
  <si>
    <t>3.2.2.1.72</t>
  </si>
  <si>
    <t>Pintor Industrial - Suporte Técnico para Pré-Comissionamento, Comissionamento e Testes de Performance - Hora Extra 100%  - Com adicional noturno</t>
  </si>
  <si>
    <t>3.2.2.1.73</t>
  </si>
  <si>
    <t>Pintor Industrial - Mão-de-Obra de Montagem por Demanda - Hora Normal</t>
  </si>
  <si>
    <t>3.2.2.1.74</t>
  </si>
  <si>
    <t>Pintor Industrial - Mão-de-Obra de Montagem por Demanda - Hora Extra 50%</t>
  </si>
  <si>
    <t>3.2.2.1.75</t>
  </si>
  <si>
    <t>Pintor Industrial - Mão-de-Obra de Montagem por Demanda - Hora Extra 100%</t>
  </si>
  <si>
    <t>3.2.2.1.76</t>
  </si>
  <si>
    <t>Pintor Industrial - Mão-de-Obra de Montagem por Demanda - Hora Normal - Com adicional noturno</t>
  </si>
  <si>
    <t>3.2.2.1.77</t>
  </si>
  <si>
    <t>Pintor Industrial - Mão-de-Obra de Montagem por Demanda - Hora Extra 50% -  Com adicional noturno</t>
  </si>
  <si>
    <t>3.2.2.1.78</t>
  </si>
  <si>
    <t>Pintor Industrial - Mão-de-Obra de Montagem por Demanda - Hora Extra 100%  - Com adicional noturno</t>
  </si>
  <si>
    <t>3.2.2.1.79</t>
  </si>
  <si>
    <t>Soldador - Mão-de-Obra de Montagem por Demanda - Hora Normal</t>
  </si>
  <si>
    <t>3.2.2.1.80</t>
  </si>
  <si>
    <t>Soldador - Mão-de-Obra de Montagem por Demanda - Hora Extra 50%</t>
  </si>
  <si>
    <t>3.2.2.1.81</t>
  </si>
  <si>
    <t>Soldador - Mão-de-Obra de Montagem por Demanda - Hora Extra 100%</t>
  </si>
  <si>
    <t>3.2.2.1.82</t>
  </si>
  <si>
    <t>Soldador - Mão-de-Obra de Montagem por Demanda - Hora Normal - Com adicional noturno</t>
  </si>
  <si>
    <t>3.2.2.1.83</t>
  </si>
  <si>
    <t>Soldador - Mão-de-Obra de Montagem por Demanda - Hora Extra 50% -  Com adicional noturno</t>
  </si>
  <si>
    <t>3.2.2.1.84</t>
  </si>
  <si>
    <t>Soldador - Mão-de-Obra de Montagem por Demanda - Hora Extra 100%  - Com adicional noturno</t>
  </si>
  <si>
    <t>3.2.2.1.85</t>
  </si>
  <si>
    <t>Soldador - Suporte Técnico para Pré-Comissionamento, Comissionamento e Testes de Performance - Hora Normal</t>
  </si>
  <si>
    <t>3.2.2.1.86</t>
  </si>
  <si>
    <t>Soldador - Suporte Técnico para Pré-Comissionamento, Comissionamento e Testes de Performance - Hora Extra 50%</t>
  </si>
  <si>
    <t>3.2.2.1.87</t>
  </si>
  <si>
    <t>Soldador - Suporte Técnico para Pré-Comissionamento, Comissionamento e Testes de Performance - Hora Extra 100%</t>
  </si>
  <si>
    <t>3.2.2.1.88</t>
  </si>
  <si>
    <t>Soldador - Suporte Técnico para Pré-Comissionamento, Comissionamento e Testes de Performance - Hora Normal - Com adicional noturno</t>
  </si>
  <si>
    <t>3.2.2.1.89</t>
  </si>
  <si>
    <t>Soldador - Suporte Técnico para Pré-Comissionamento, Comissionamento e Testes de Performance - Hora Extra 50% -  Com adicional noturno</t>
  </si>
  <si>
    <t>3.2.2.1.90</t>
  </si>
  <si>
    <t>Soldador - Suporte Técnico para Pré-Comissionamento, Comissionamento e Testes de Performance - Hora Extra 100%  - Com adicional noturno</t>
  </si>
  <si>
    <t>3.2.2.2.1</t>
  </si>
  <si>
    <t>Eletricista Força e Controle - Mão-de-Obra de Montagem por Demanda - Hora Normal</t>
  </si>
  <si>
    <t>3.2.2.2.2</t>
  </si>
  <si>
    <t>Eletricista Força e Controle - Mão-de-Obra de Montagem por Demanda - Hora Extra 50%</t>
  </si>
  <si>
    <t>3.2.2.2.3</t>
  </si>
  <si>
    <t>Eletricista Força e Controle - Mão-de-Obra de Montagem por Demanda - Hora Extra 100%</t>
  </si>
  <si>
    <t>3.2.2.2.4</t>
  </si>
  <si>
    <t>Eletricista Força e Controle - Mão-de-Obra de Montagem por Demanda - Hora Normal - Com adicional noturno</t>
  </si>
  <si>
    <t>3.2.2.2.5</t>
  </si>
  <si>
    <t>Eletricista Força e Controle - Mão-de-Obra de Montagem por Demanda - Hora Extra 50% -  Com adicional noturno</t>
  </si>
  <si>
    <t>3.2.2.2.6</t>
  </si>
  <si>
    <t>Eletricista Força e Controle - Mão-de-Obra de Montagem por Demanda - Hora Extra 100%  - Com adicional noturno</t>
  </si>
  <si>
    <t>3.2.2.2.7</t>
  </si>
  <si>
    <t>Eletricista Força e Controle - Suporte Técnico para Pré-Comissionamento, Comissionamento - Hora Normal</t>
  </si>
  <si>
    <t>3.2.2.2.8</t>
  </si>
  <si>
    <t>Eletricista Força e Controle - Suporte Técnico para Pré-Comissionamento, Comissionamento - Hora Extra 50%</t>
  </si>
  <si>
    <t>3.2.2.2.9</t>
  </si>
  <si>
    <t>Eletricista Força e Controle - Suporte Técnico para Pré-Comissionamento, Comissionamento - Hora Extra 100%</t>
  </si>
  <si>
    <t>3.2.2.2.10</t>
  </si>
  <si>
    <t>Eletricista Força e Controle - Suporte Técnico para Pré-Comissionamento, Comissionamento - Hora Normal - Com adicional noturno</t>
  </si>
  <si>
    <t>3.2.2.2.11</t>
  </si>
  <si>
    <t>Eletricista Força e Controle - Suporte Técnico para Pré-Comissionamento, Comissionamento - Hora Extra 50% -  Com adicional noturno</t>
  </si>
  <si>
    <t>3.2.2.2.12</t>
  </si>
  <si>
    <t>Eletricista Força e Controle - Suporte Técnico para Pré-Comissionamento, Comissionamento - Hora Extra 100%  - Com adicional noturno</t>
  </si>
  <si>
    <t>3.2.2.2.13</t>
  </si>
  <si>
    <t>Eletricista Montador - Mão-de-Obra de Montagem por Demanda - Hora Normal</t>
  </si>
  <si>
    <t>3.2.2.2.14</t>
  </si>
  <si>
    <t>Eletricista Montador - Mão-de-Obra de Montagem por Demanda - Hora Extra 50%</t>
  </si>
  <si>
    <t>3.2.2.2.15</t>
  </si>
  <si>
    <t>Eletricista Montador - Mão-de-Obra de Montagem por Demanda - Hora Extra 100%</t>
  </si>
  <si>
    <t>3.2.2.2.16</t>
  </si>
  <si>
    <t>Eletricista Montador - Mão-de-Obra de Montagem por Demanda - Hora Normal - Com adicional noturno</t>
  </si>
  <si>
    <t>3.2.2.2.17</t>
  </si>
  <si>
    <t>Eletricista Montador - Mão-de-Obra de Montagem por Demanda - Hora Extra 50% -  Com adicional noturno</t>
  </si>
  <si>
    <t>3.2.2.2.18</t>
  </si>
  <si>
    <t>Eletricista Montador - Mão-de-Obra de Montagem por Demanda - Hora Extra 100%  - Com adicional noturno</t>
  </si>
  <si>
    <t>3.2.2.2.19</t>
  </si>
  <si>
    <t>Eletricista Montador - Suporte Técnico para Pré-Comissionamento, Comissionamento - Hora Normal</t>
  </si>
  <si>
    <t>3.2.2.2.20</t>
  </si>
  <si>
    <t>Eletricista Montador - Suporte Técnico para Pré-Comissionamento, Comissionamento - Hora Extra 50%</t>
  </si>
  <si>
    <t>3.2.2.2.21</t>
  </si>
  <si>
    <t>Eletricista Montador - Suporte Técnico para Pré-Comissionamento, Comissionamento - Hora Extra 100%</t>
  </si>
  <si>
    <t>3.2.2.2.22</t>
  </si>
  <si>
    <t>Eletricista Montador - Suporte Técnico para Pré-Comissionamento, Comissionamento - Hora Normal - Com adicional noturno</t>
  </si>
  <si>
    <t>3.2.2.2.23</t>
  </si>
  <si>
    <t>Eletricista Montador - Suporte Técnico para Pré-Comissionamento, Comissionamento - Hora Extra 50% -  Com adicional noturno</t>
  </si>
  <si>
    <t>3.2.2.2.24</t>
  </si>
  <si>
    <t>Eletricista Montador - Suporte Técnico para Pré-Comissionamento, Comissionamento - Hora Extra 100%  - Com adicional noturno</t>
  </si>
  <si>
    <t>3.2.2.3.1</t>
  </si>
  <si>
    <t>Ajudante de serviços gerais - Mão-de-Obra de Montagem por Demanda - Hora Normal</t>
  </si>
  <si>
    <t>3.2.2.3.2</t>
  </si>
  <si>
    <t>Ajudante de serviços gerais - Mão-de-Obra de Montagem por Demanda - Hora Extra 50%</t>
  </si>
  <si>
    <t>3.2.2.3.3</t>
  </si>
  <si>
    <t>Ajudante de serviços gerais - Mão-de-Obra de Montagem por Demanda - Hora Extra 100%</t>
  </si>
  <si>
    <t>3.2.2.3.4</t>
  </si>
  <si>
    <t>Ajudante de serviços gerais - Mão-de-Obra de Montagem por Demanda - Hora Normal - Com adicional noturno</t>
  </si>
  <si>
    <t>3.2.2.3.5</t>
  </si>
  <si>
    <t>Ajudante de serviços gerais - Mão-de-Obra de Montagem por Demanda - Hora Extra 50% -  Com adicional noturno</t>
  </si>
  <si>
    <t>3.2.2.3.6</t>
  </si>
  <si>
    <t>Ajudante de serviços gerais - Mão-de-Obra de Montagem por Demanda - Hora Extra 100%  - Com adicional noturno</t>
  </si>
  <si>
    <t>3.2.2.3.7</t>
  </si>
  <si>
    <t>Ajudante de serviços gerais - Suporte Técnico para Pré-Comissionamento, Comissionamento e Testes de Performance - Hora Normal</t>
  </si>
  <si>
    <t>3.2.2.3.8</t>
  </si>
  <si>
    <t>Ajudante de serviços gerais - Suporte Técnico para Pré-Comissionamento, Comissionamento e Testes de Performance - Hora Extra 50%</t>
  </si>
  <si>
    <t>3.2.2.3.9</t>
  </si>
  <si>
    <t>Ajudante de serviços gerais - Suporte Técnico para Pré-Comissionamento, Comissionamento e Testes de Performance - Hora Extra 100%</t>
  </si>
  <si>
    <t>3.2.2.3.10</t>
  </si>
  <si>
    <t>Ajudante de serviços gerais - Suporte Técnico para Pré-Comissionamento, Comissionamento e Testes de Performance - Hora Normal - Com adicional noturno</t>
  </si>
  <si>
    <t>3.2.2.3.11</t>
  </si>
  <si>
    <t>Ajudante de serviços gerais - Suporte Técnico para Pré-Comissionamento, Comissionamento e Testes de Performance - Hora Extra 50% -  Com adicional noturno</t>
  </si>
  <si>
    <t>3.2.2.3.12</t>
  </si>
  <si>
    <t>Ajudante de serviços gerais - Suporte Técnico para Pré-Comissionamento, Comissionamento e Testes de Performance - Hora Extra 100%  - Com adicional noturno</t>
  </si>
  <si>
    <t>3.2.3.1.1</t>
  </si>
  <si>
    <t>Supervisor de elétrica / instrumentação - Suporte Técnico para Pré-Comissionamento, Comissionamento e Testes de Performance - Hora Normal</t>
  </si>
  <si>
    <t>3.2.3.1.2</t>
  </si>
  <si>
    <t>Supervisor de elétrica / instrumentação - Suporte Técnico para Pré-Comissionamento, Comissionamento e Testes de Performance - Hora Extra 50%</t>
  </si>
  <si>
    <t>3.2.3.1.3</t>
  </si>
  <si>
    <t>Supervisor de elétrica / instrumentação - Suporte Técnico para Pré-Comissionamento, Comissionamento e Testes de Performance - Hora Extra 100%</t>
  </si>
  <si>
    <t>3.2.3.1.4</t>
  </si>
  <si>
    <t>Supervisor de elétrica / instrumentação - Suporte Técnico para Pré-Comissionamento, Comissionamento e Testes de Performance - Hora Normal - Com adicional noturno</t>
  </si>
  <si>
    <t>3.2.3.1.5</t>
  </si>
  <si>
    <t>Supervisor de elétrica / instrumentação - Suporte Técnico para Pré-Comissionamento, Comissionamento e Testes de Performance - Hora Extra 50% -  Com adicional noturno</t>
  </si>
  <si>
    <t>3.2.3.1.6</t>
  </si>
  <si>
    <t>Supervisor de elétrica / instrumentação - Suporte Técnico para Pré-Comissionamento, Comissionamento e Testes de Performance - Hora Extra 100%  - Com adicional noturno</t>
  </si>
  <si>
    <t>3.2.3.1.7</t>
  </si>
  <si>
    <t>Encarregado de elétrica / Instrumentação - Suporte Técnico para Pré-Comissionamento, Comissionamento - Hora Normal</t>
  </si>
  <si>
    <t>3.2.3.1.8</t>
  </si>
  <si>
    <t>Encarregado de elétrica / Instrumentação - Suporte Técnico para Pré-Comissionamento, Comissionamento - Hora Extra 50%</t>
  </si>
  <si>
    <t>3.2.3.1.9</t>
  </si>
  <si>
    <t>Encarregado de elétrica / Instrumentação - Suporte Técnico para Pré-Comissionamento, Comissionamento - Hora Extra 100%</t>
  </si>
  <si>
    <t>3.2.3.1.10</t>
  </si>
  <si>
    <t>Encarregado de elétrica / Instrumentação - Suporte Técnico para Pré-Comissionamento, Comissionamento - Hora Normal - Com adicional noturno</t>
  </si>
  <si>
    <t>3.2.3.1.11</t>
  </si>
  <si>
    <t>Encarregado de elétrica / Instrumentação - Suporte Técnico para Pré-Comissionamento, Comissionamento - Hora Extra 50% -  Com adicional noturno</t>
  </si>
  <si>
    <t>3.2.3.1.12</t>
  </si>
  <si>
    <t>Encarregado de elétrica / Instrumentação - Suporte Técnico para Pré-Comissionamento, Comissionamento - Hora Extra 100%  - Com adicional noturno</t>
  </si>
  <si>
    <t>3.2.3.1.13</t>
  </si>
  <si>
    <t>Supervisor de Montagem - Mão-de-Obra de Montagem por Demanda - Hora Normal</t>
  </si>
  <si>
    <t>3.2.3.1.14</t>
  </si>
  <si>
    <t>Supervisor de Montagem - Mão-de-Obra de Montagem por Demanda - Hora Extra 50%</t>
  </si>
  <si>
    <t>3.2.3.1.15</t>
  </si>
  <si>
    <t>Supervisor de Montagem - Mão-de-Obra de Montagem por Demanda - Hora Extra 100%</t>
  </si>
  <si>
    <t>3.2.3.1.16</t>
  </si>
  <si>
    <t>Supervisor de Montagem - Mão-de-Obra de Montagem por Demanda - Hora Normal - Com adicional noturno</t>
  </si>
  <si>
    <t>3.2.3.1.17</t>
  </si>
  <si>
    <t>Supervisor de Montagem - Mão-de-Obra de Montagem por Demanda - Hora Extra 50% -  Com adicional noturno</t>
  </si>
  <si>
    <t>3.2.3.1.18</t>
  </si>
  <si>
    <t>Supervisor de Montagem - Mão-de-Obra de Montagem por Demanda - Hora Extra 100%  - Com adicional noturno</t>
  </si>
  <si>
    <t>3.2.3.1.19</t>
  </si>
  <si>
    <t>Encarregados montagem mecânica - Suporte Técnico para Pré-Comissionamento, Comissionamento e Testes de Performance - Hora Normal</t>
  </si>
  <si>
    <t>3.2.3.1.20</t>
  </si>
  <si>
    <t>Encarregados montagem mecânica - Suporte Técnico para Pré-Comissionamento, Comissionamento e Testes de Performance - Hora Extra 50%</t>
  </si>
  <si>
    <t>3.2.3.1.21</t>
  </si>
  <si>
    <t>Encarregados montagem mecânica - Suporte Técnico para Pré-Comissionamento, Comissionamento e Testes de Performance - Hora Extra 100%</t>
  </si>
  <si>
    <t>3.2.3.1.22</t>
  </si>
  <si>
    <t>Encarregados montagem mecânica - Suporte Técnico para Pré-Comissionamento, Comissionamento e Testes de Performance - Hora Normal - Com adicional noturno</t>
  </si>
  <si>
    <t>3.2.3.1.23</t>
  </si>
  <si>
    <t>Encarregados montagem mecânica - Suporte Técnico para Pré-Comissionamento, Comissionamento e Testes de Performance - Hora Extra 50% -  Com adicional noturno</t>
  </si>
  <si>
    <t>3.2.3.1.24</t>
  </si>
  <si>
    <t>Encarregados montagem mecânica - Suporte Técnico para Pré-Comissionamento, Comissionamento e Testes de Performance - Hora Extra 100%  - Com adicional noturno</t>
  </si>
  <si>
    <t>3.2.3.1.25</t>
  </si>
  <si>
    <t>Encarregados montagem mecânica - Mão-de-Obra de Montagem por Demanda - Hora Normal</t>
  </si>
  <si>
    <t>3.2.3.1.26</t>
  </si>
  <si>
    <t>Encarregados montagem mecânica - Mão-de-Obra de Montagem por Demanda - Hora Extra 50%</t>
  </si>
  <si>
    <t>3.2.3.1.27</t>
  </si>
  <si>
    <t>Encarregados montagem mecânica - Mão-de-Obra de Montagem por Demanda - Hora Extra 100%</t>
  </si>
  <si>
    <t>3.2.3.1.28</t>
  </si>
  <si>
    <t>Encarregados montagem mecânica - Mão-de-Obra de Montagem por Demanda - Hora Normal - Com adicional noturno</t>
  </si>
  <si>
    <t>3.2.3.1.29</t>
  </si>
  <si>
    <t>Encarregados montagem mecânica - Mão-de-Obra de Montagem por Demanda - Hora Extra 50% -  Com adicional noturno</t>
  </si>
  <si>
    <t>3.2.3.1.30</t>
  </si>
  <si>
    <t>Encarregados montagem mecânica - Mão-de-Obra de Montagem por Demanda - Hora Extra 100%  - Com adicional noturno</t>
  </si>
  <si>
    <t>3.2.3.1.31</t>
  </si>
  <si>
    <t>Supervisor de Elétrica - Mão-de-Obra de Montagem por Demanda - Hora Normal</t>
  </si>
  <si>
    <t>3.2.3.1.32</t>
  </si>
  <si>
    <t>Supervisor de Elétrica - Mão-de-Obra de Montagem por Demanda - Hora Extra 50%</t>
  </si>
  <si>
    <t>3.2.3.1.33</t>
  </si>
  <si>
    <t>Supervisor de Elétrica - Mão-de-Obra de Montagem por Demanda - Hora Extra 100%</t>
  </si>
  <si>
    <t>3.2.3.1.34</t>
  </si>
  <si>
    <t>Supervisor de Elétrica - Mão-de-Obra de Montagem por Demanda - Hora Normal - Com adicional noturno</t>
  </si>
  <si>
    <t>3.2.3.1.35</t>
  </si>
  <si>
    <t>Supervisor de Elétrica - Mão-de-Obra de Montagem por Demanda - Hora Extra 50% -  Com adicional noturno</t>
  </si>
  <si>
    <t>3.2.3.1.36</t>
  </si>
  <si>
    <t>Supervisor de Elétrica - Mão-de-Obra de Montagem por Demanda - Hora Extra 100%  - Com adicional noturno</t>
  </si>
  <si>
    <t>3.2.3.1.37</t>
  </si>
  <si>
    <t>Supervisor de mecânica - Suporte Técnico para Pré-Comissionamento, Comissionamento e Testes de Performance - Hora Normal</t>
  </si>
  <si>
    <t>3.2.3.1.38</t>
  </si>
  <si>
    <t>Supervisor de mecânica - Suporte Técnico para Pré-Comissionamento, Comissionamento e Testes de Performance - Hora Extra 50%</t>
  </si>
  <si>
    <t>3.2.3.1.39</t>
  </si>
  <si>
    <t>Supervisor de mecânica - Suporte Técnico para Pré-Comissionamento, Comissionamento e Testes de Performance - Hora Extra 100%</t>
  </si>
  <si>
    <t>3.2.3.1.40</t>
  </si>
  <si>
    <t>Supervisor de mecânica - Suporte Técnico para Pré-Comissionamento, Comissionamento e Testes de Performance - Hora Normal - Com adicional noturno</t>
  </si>
  <si>
    <t>3.2.3.1.41</t>
  </si>
  <si>
    <t>Supervisor de mecânica - Suporte Técnico para Pré-Comissionamento, Comissionamento e Testes de Performance - Hora Extra 50% -  Com adicional noturno</t>
  </si>
  <si>
    <t>3.2.3.1.42</t>
  </si>
  <si>
    <t>Supervisor de mecânica - Suporte Técnico para Pré-Comissionamento, Comissionamento e Testes de Performance - Hora Extra 100%  - Com adicional noturno</t>
  </si>
  <si>
    <t>3.2.3.2.1</t>
  </si>
  <si>
    <t>Técnico Segurança - Suporte Técnico para Pré-Comissionamento, Comissionamento e Testes de Performance - Hora Normal</t>
  </si>
  <si>
    <t>3.2.3.2.2</t>
  </si>
  <si>
    <t>Técnico Segurança - Suporte Técnico para Pré-Comissionamento, Comissionamento e Testes de Performance - Hora Extra 50%</t>
  </si>
  <si>
    <t>3.2.3.2.3</t>
  </si>
  <si>
    <t>Técnico Segurança - Suporte Técnico para Pré-Comissionamento, Comissionamento e Testes de Performance - Hora Extra 100%</t>
  </si>
  <si>
    <t>3.2.3.2.4</t>
  </si>
  <si>
    <t>Técnico Segurança - Suporte Técnico para Pré-Comissionamento, Comissionamento e Testes de Performance - Hora Normal - Com adicional noturno</t>
  </si>
  <si>
    <t>3.2.3.2.5</t>
  </si>
  <si>
    <t>Técnico Segurança - Suporte Técnico para Pré-Comissionamento, Comissionamento e Testes de Performance - Hora Extra 50% -  Com adicional noturno</t>
  </si>
  <si>
    <t>3.2.3.2.6</t>
  </si>
  <si>
    <t>Técnico Segurança - Suporte Técnico para Pré-Comissionamento, Comissionamento e Testes de Performance - Hora Extra 100%  - Com adicional noturno</t>
  </si>
  <si>
    <t>3.2.3.3.1</t>
  </si>
  <si>
    <t>Engenheiro de Campo - Suporte Técnico para Pré-Comissionamento, Comissionamento e Testes de Performance - Hora Normal</t>
  </si>
  <si>
    <t>3.2.3.3.2</t>
  </si>
  <si>
    <t>Engenheiro de Campo - Suporte Técnico para Pré-Comissionamento, Comissionamento e Testes de Performance - Hora Extra 50%</t>
  </si>
  <si>
    <t>3.2.3.3.3</t>
  </si>
  <si>
    <t>Engenheiro de Campo - Suporte Técnico para Pré-Comissionamento, Comissionamento e Testes de Performance - Hora Extra 100%</t>
  </si>
  <si>
    <t>3.2.3.3.4</t>
  </si>
  <si>
    <t>Engenheiro de Campo - Suporte Técnico para Pré-Comissionamento, Comissionamento e Testes de Performance - Hora Normal - Com adicional noturno</t>
  </si>
  <si>
    <t>3.2.3.3.5</t>
  </si>
  <si>
    <t>Engenheiro de Campo - Suporte Técnico para Pré-Comissionamento, Comissionamento e Testes de Performance - Hora Extra 50% -  Com adicional noturno</t>
  </si>
  <si>
    <t>3.2.3.3.6</t>
  </si>
  <si>
    <t>Engenheiro de Campo - Suporte Técnico para Pré-Comissionamento, Comissionamento e Testes de Performance - Hora Extra 100%  - Com adicional noturno</t>
  </si>
  <si>
    <t>3.2.3.4.1</t>
  </si>
  <si>
    <t>Lubrificador - Suporte Técnico para Pré-Comissionamento, Comissionamento e Testes de Performance - Hora Normal</t>
  </si>
  <si>
    <t>3.2.3.4.2</t>
  </si>
  <si>
    <t>Lubrificador - Suporte Técnico para Pré-Comissionamento, Comissionamento e Testes de Performance - Hora Extra 50%</t>
  </si>
  <si>
    <t>3.2.3.4.3</t>
  </si>
  <si>
    <t>Lubrificador - Suporte Técnico para Pré-Comissionamento, Comissionamento e Testes de Performance - Hora Extra 100%</t>
  </si>
  <si>
    <t>3.2.3.4.4</t>
  </si>
  <si>
    <t>Lubrificador - Suporte Técnico para Pré-Comissionamento, Comissionamento e Testes de Performance - Hora Normal - Com adicional noturno</t>
  </si>
  <si>
    <t>3.2.3.4.5</t>
  </si>
  <si>
    <t>Lubrificador - Suporte Técnico para Pré-Comissionamento, Comissionamento e Testes de Performance - Hora Extra 50% -  Com adicional noturno</t>
  </si>
  <si>
    <t>3.2.3.4.6</t>
  </si>
  <si>
    <t>Lubrificador - Suporte Técnico para Pré-Comissionamento, Comissionamento e Testes de Performance - Hora Extra 100%  - Com adicional noturno</t>
  </si>
  <si>
    <t>4.1.1.1.1</t>
  </si>
  <si>
    <t>MC.019M</t>
  </si>
  <si>
    <t>Agitadores de 5 CV - Agitador do tanque de preparação de leite de cal. Agitador de alta eficiência. Nº de impelidor: Potência 3 CV. Peso: 0.236 t - AG-2314SA-05</t>
  </si>
  <si>
    <t>cj</t>
  </si>
  <si>
    <t>CMS M.10.10.000</t>
  </si>
  <si>
    <t>4.1.1.1.2</t>
  </si>
  <si>
    <t>Agitadores de 12,5 CV - Agitador do tanque de distribuição de leite de cal. Agitador de alta eficiência. Nº de impelidor: 1. Peso: 0.93 t_x000D_
Potência 7.5 CV - AG-2314SA-06</t>
  </si>
  <si>
    <t>4.1.1.1.3</t>
  </si>
  <si>
    <t>Agitadores de 15 CV - Agitador para o tanque de preparação do Coletor 1. Agitador de alta eficiência. Nº de impelidor: 1 Potência 7.5 CV. Peso: 0.8 t - AG-2315SA-01</t>
  </si>
  <si>
    <t>4.1.1.1.4</t>
  </si>
  <si>
    <t>MC.020M</t>
  </si>
  <si>
    <t>Agitadores de 150 CV - Agitador de polpa do tanque de alimentação do mineroduto. Agitador de alta eficiência. Nº de impelidor: 2. Peso: 4.1 t_x000D_
Potência 50 CV - AG-2310SA-31</t>
  </si>
  <si>
    <t>CMS M.10.20.000</t>
  </si>
  <si>
    <t>4.1.2.1.1</t>
  </si>
  <si>
    <t>Hidrociclones de até 15" - Hidrociclone para classificação da remoagem                                
Diâmetro (") = 15
1 bateria de 14 hidrociclones 
(12 operando e 2 reservas). Peso: 12 t - CI-2308SA-01</t>
  </si>
  <si>
    <t>4.1.2.1.2</t>
  </si>
  <si>
    <t>Hidrociclones de até 15" - Hidrociclone para classificação da remoagem                                
Diâmetro (") = 15
1 bateria de 14 hidrociclones 
(12 operando e 2 reservas). Peso: 12 t - CI-2308SA-02</t>
  </si>
  <si>
    <t>4.1.2.1.3</t>
  </si>
  <si>
    <t>Hidrociclones acima 15" - Hidrociclone para classificação da moagem. 
Diâmetro (") = 26
1 bateria de 10 hidrociclones 
(7 operando e 3 reservas). Peso: 24.78 t - CI-2305SA-01</t>
  </si>
  <si>
    <t>4.1.2.1.4</t>
  </si>
  <si>
    <t>Hidrociclones acima 15" - Hidrociclone para classificação da moagem.                                     
Diâmetro (") = 26
1 bateria de 10 hidrociclones 
(7 operando e 3 reservas). Peso: 24.78 t - CI-2305SA-02</t>
  </si>
  <si>
    <t>4.1.3.1.1</t>
  </si>
  <si>
    <t>Moinho com peso acima de 80t - Compr.(ft) = 44, Diâm.(ft) = 26. Peso: moinho com revest. incluso sist. de lubrificação dos mancais e freios (968 t), estator gearless (290 t), polos gearless (147,4 t) e unid. de resfr. (12,8 t). Peso total: 1.505 t - MO-2305SA-01</t>
  </si>
  <si>
    <t>4.1.3.1.2</t>
  </si>
  <si>
    <t>Moinho com peso acima de 80t - Compr.(ft) = 44, Diâm.(ft) = 26. Peso: moinho com revest. incluso sist. de lubrificação dos mancais e freios (968 t), estator gearless (290 t), polos gearless (147,4 t) e unid. de resfr. (12,8 t). Peso total: 1.505 t - MO-2305SA-02</t>
  </si>
  <si>
    <t>4.1.3.2.1</t>
  </si>
  <si>
    <t>Moinho com peso acima de 80t - Moinho vertical para remoagem. Diâmetro (mm) = 4.242_x000D_
Altura (mm) = 14.655. Peso: 148.1 t - MO-2308SA-01</t>
  </si>
  <si>
    <t>4.1.3.2.2</t>
  </si>
  <si>
    <t>Moinho com peso acima de 80t - Moinho vertical para remoagem. Diâmetro (mm) = 4.242_x000D_
Altura (mm) = 14.655. Peso: 148.1 t - MO-2308SA-02</t>
  </si>
  <si>
    <t>4.1.3.2.3</t>
  </si>
  <si>
    <t>Moinho com peso acima de 80t - Moinho vertical para remoagem. Diâmetro (mm) = 4.242_x000D_
Altura (mm) = 14.655. Peso: 148.1 t - MO-2308SA-03</t>
  </si>
  <si>
    <t>4.1.3.3.1</t>
  </si>
  <si>
    <t>Prensa de Rolos  - Prensa de rolos                 Comprimento (m) = 1,5_x000D_
Diâmetro (m) = 2. Peso: 275 t. Peso inclui: prensa de rolos, silo, sist. de lubrificação a graxa, sist. hidráulico, unidade hidráulica, 02 sist. lubrificação dos redutores - HP-2303SA-01</t>
  </si>
  <si>
    <t>4.1.3.3.2</t>
  </si>
  <si>
    <t>Prensa de Rolos  - Prensa de rolos                 Comprimento (m) = 1,5_x000D_
Diâmetro (m) = 2. Peso: 275 t. Peso inclui: prensa de rolos, silo, sist. de lubrificação a graxa, sist. hidráulico, unidade hidráulica, 02 sist. lubrificação dos redutores - HP-2303SA-02</t>
  </si>
  <si>
    <t>4.1.3.3.3</t>
  </si>
  <si>
    <t>Prensa de Rolos  - Prensa de rolos                 Comprimento (m) = 1,5_x000D_
Diâmetro (m) = 2. Peso: 275 t. Peso inclui: prensa de rolos, silo, sist. de lubrificação a graxa, sist. hidráulico, unidade hidráulica, 02 sist. lubrificação dos redutores - HP-2303SA-03</t>
  </si>
  <si>
    <t>4.1.4.1.1</t>
  </si>
  <si>
    <t>Guindastes Fixos - Guindaste giratório elétrico capacidade 0,5 t - Peso ref.: 3,95 t</t>
  </si>
  <si>
    <t>CMS M.10.40.000</t>
  </si>
  <si>
    <t>4.1.4.1.2</t>
  </si>
  <si>
    <t>2312</t>
  </si>
  <si>
    <t>Guindastes Fixos - Guindaste giratório elétrico capacidade 3,0 t - Peso ref.: 3,65 t</t>
  </si>
  <si>
    <t>4.1.4.2.1</t>
  </si>
  <si>
    <t>Pontes Rolantes peso até 5t - Capacidade 1,0 t - PR-2305SA-05  - Peso ref.: 1,7 t</t>
  </si>
  <si>
    <t>4.1.4.2.2</t>
  </si>
  <si>
    <t>Pontes Rolantes peso até 10t - Capacidade 7,5 t - PR-2303SA-02 - Peso ref.: 6,45 t</t>
  </si>
  <si>
    <t>4.1.4.2.3</t>
  </si>
  <si>
    <t>Pontes Rolantes peso até 10t - Capacidade 10 t - PR-2305SA-01 - Peso ref.: 6,7 t</t>
  </si>
  <si>
    <t>4.1.4.2.4</t>
  </si>
  <si>
    <t>Pontes Rolantes peso até 10t - Capacidade 7,5 t - PR-2305SA-04 - Peso ref.: 6,4 t</t>
  </si>
  <si>
    <t>4.1.4.2.5</t>
  </si>
  <si>
    <t>Pontes Rolantes peso até 10t - Capacidade 10 t - PR-2308SA-01 - Peso ref.: 5,35 t</t>
  </si>
  <si>
    <t>4.1.4.2.6</t>
  </si>
  <si>
    <t>Pontes Rolantes peso até 10t - Capacidade 2,5 t  - PR-2314SA-01 - Peso ref.: 2,6 t</t>
  </si>
  <si>
    <t>4.1.4.2.7</t>
  </si>
  <si>
    <t>Pontes Rolantes peso até 10t - Capacidade 2,5 t - PR-2314SA-02 - Peso ref.: 2,65 t</t>
  </si>
  <si>
    <t>4.1.4.2.8</t>
  </si>
  <si>
    <t>Pontes Rolantes peso até 10t - Capacidade 2,5 t - PR-2315SA-01 - Peso ref.: 2,3 t</t>
  </si>
  <si>
    <t>4.1.4.2.9</t>
  </si>
  <si>
    <t>Pontes Rolantes peso até 100t - Capacidade 85/10 t - PR-2303SA-01 - Peso ref.: 28,75 t</t>
  </si>
  <si>
    <t>4.1.4.2.10</t>
  </si>
  <si>
    <t>Pontes Rolantes peso até 100t - Capacidade 60/10 t - PR-2305SA-02 - Peso ref.: 22,8 t</t>
  </si>
  <si>
    <t>4.1.4.2.11</t>
  </si>
  <si>
    <t>Pontes rolantes até 120t - Capacidade 45/10 t - PR-2305SA-03 - Peso ref.: 31,15 t</t>
  </si>
  <si>
    <t>4.1.4.3.1</t>
  </si>
  <si>
    <t>MC.013S</t>
  </si>
  <si>
    <t>Trilho TR-37 - Novo</t>
  </si>
  <si>
    <t>CMS M.75.10.000</t>
  </si>
  <si>
    <t>4.1.4.3.2</t>
  </si>
  <si>
    <t>4.1.4.3.3</t>
  </si>
  <si>
    <t>4.1.4.3.4</t>
  </si>
  <si>
    <t>4.1.4.3.5</t>
  </si>
  <si>
    <t>4.1.4.3.6</t>
  </si>
  <si>
    <t>Trilho A100</t>
  </si>
  <si>
    <t>4.1.4.3.7</t>
  </si>
  <si>
    <t>4.1.4.3.8</t>
  </si>
  <si>
    <t>Presilhas tipo Gantrex Stelcam para Trilhos Metálicos tipo TR-37/ A100</t>
  </si>
  <si>
    <t>4.1.4.3.9</t>
  </si>
  <si>
    <t>4.1.4.3.10</t>
  </si>
  <si>
    <t>4.1.4.3.11</t>
  </si>
  <si>
    <t>4.1.4.3.12</t>
  </si>
  <si>
    <t>4.1.4.4.1</t>
  </si>
  <si>
    <t>Talha Capacidade até 2t - Talha elétrica capacidade 2,0 t - TE-2301SA-01 - Manutenção dos tambores e acionamentos dos alimentadores de correia AL-2301SA-01@04 - Peso ref.: 0,26 t</t>
  </si>
  <si>
    <t>4.1.4.4.2</t>
  </si>
  <si>
    <t>Talha Capacidade até 2t - Talha elétrica capacidade 2,0 t - TE-2301SA-02 - Retirada de equipamentos do foço do túnel da pilha da usina de concentração - Peso ref.: 0,43 t</t>
  </si>
  <si>
    <t>4.1.4.4.3</t>
  </si>
  <si>
    <t>Talha Capacidade até 2t - Talha manual capacidade 2,0 t - TE-2301SA-03 - Manutenção do tambor de retorno do alimentador de correia AL-2301SA-01 - Peso ref.: 0,05 t</t>
  </si>
  <si>
    <t>4.1.4.4.4</t>
  </si>
  <si>
    <t>Talha Capacidade até 2t - Talha manual capacidade 2,0 t - TE-2301SA-04 - Manutenção do tambor de acionamento do alimentador de correia AL-2301SA-01 e  tambor de retorno do AL-2301SA-02 - Peso ref.: 0,05 t</t>
  </si>
  <si>
    <t>4.1.4.4.5</t>
  </si>
  <si>
    <t>Talha Capacidade até 2t - Talha manual capacidade 2,0 t - TE-2301SA-05 - Manutenção do tambor de acionamento do alimentador de correia AL-2301SA-02 e  tambor de retorno do AL-2301SA-03 - Peso ref.: 0,05 t</t>
  </si>
  <si>
    <t>4.1.4.4.6</t>
  </si>
  <si>
    <t>Talha Capacidade até 2t - Talha manual capacidade 2,0 t - TE-2301SA-06 - Manutenção do tambor de acionamento do alimentador de correia AL-2301SA-03 e  tambor de retorno do AL-2301SA-04 - Peso ref.: 0,05 t</t>
  </si>
  <si>
    <t>4.1.4.4.7</t>
  </si>
  <si>
    <t>Talha Capacidade até 2t - Talha manual capacidade 2,0 t - TE-2301SA-07 - Manutenção do tambor de acionamento do alimentador de correia AL-2301SA-04 - Peso ref.: 0,05 t</t>
  </si>
  <si>
    <t>4.1.4.4.8</t>
  </si>
  <si>
    <t>Talha Capacidade até 2t - Talha manual capacidade 1,5 t - TE-2305SA-04 - Manutenção do trecho da tubulação de recalque das bombas de polpa BP-2305SA-02/04 - Peso ref.: 0,06 t</t>
  </si>
  <si>
    <t>4.1.4.4.9</t>
  </si>
  <si>
    <t>Talha Capacidade até 2t - Talha manual capacidade 1,5 t - TE-2305SA-05 - Manutenção de válvulas - Peso ref.: 0,06 t</t>
  </si>
  <si>
    <t>4.1.4.4.10</t>
  </si>
  <si>
    <t>Talha Capacidade até 2t - Talha manual capacidade 1,5 t - TE-2305SA-06 - Manutenção de válvulas - Peso ref.: 0,06 t</t>
  </si>
  <si>
    <t>4.1.4.4.11</t>
  </si>
  <si>
    <t>Talha Capacidade até 2t - Talha manual capacidade 1,5 t - TE-2305SA-07 - Manutenção de válvulas - Peso ref.: 0,05 t</t>
  </si>
  <si>
    <t>4.1.4.4.12</t>
  </si>
  <si>
    <t>Talha Capacidade até 2t - Talha manual capacidade 1,5 t - TE-2305SA-20 - Manutenção da tubulação de alimentação das baterias de hidrociclones - Peso ref.: 0,05 t</t>
  </si>
  <si>
    <t>4.1.4.4.13</t>
  </si>
  <si>
    <t>Talha Capacidade até 2t - Talha manual capacidade 1,5 t - TE-2305SA-21 - Manutenção da tubulação de alimentação das baterias de hidrociclones - Peso ref.: 0,05 t</t>
  </si>
  <si>
    <t>4.1.4.4.14</t>
  </si>
  <si>
    <t>Talha Capacidade até 2t - Talha manual capacidade 1,5 t - TE-2305SA-22 - Manutenção da tubulação de recalque da bomba de polpa BP-2305SA-01 - Peso ref.: 0,06 t</t>
  </si>
  <si>
    <t>4.1.4.4.15</t>
  </si>
  <si>
    <t>Talha Capacidade até 2t - Talha manual capacidade 1,5 t - TE-2305SA-23 - Manutenção da tubulação de recalque da bomba de polpa BP-2305SA-03 - Peso ref.: 0,06 t</t>
  </si>
  <si>
    <t>4.1.4.4.16</t>
  </si>
  <si>
    <t>Talha Capacidade até 2t - Talha manual capacidade 1,5 t - TE-2305SA-24 - Manutenção da tubulação de recalque das bombas de polpa BP-2305SA-02/04 - Peso ref.: 0,05 t</t>
  </si>
  <si>
    <t>4.1.4.4.17</t>
  </si>
  <si>
    <t>Talha Capacidade até 2t - Talha manual capacidade 1,5 t - TE-2305SA-25 - Manutenção da tubulação de sucção da bomba BP-2305SA-01 - Peso ref.: 0,06 t</t>
  </si>
  <si>
    <t>4.1.4.4.18</t>
  </si>
  <si>
    <t>Talha Capacidade até 2t - Talha manual capacidade 1,5 t - TE-2305SA-26 - Manutenção da tubulação de sucção da bomba BP-2305SA-03 - Peso ref.: 0,06 t</t>
  </si>
  <si>
    <t>4.1.4.4.19</t>
  </si>
  <si>
    <t>Talha Capacidade até 2t - Talha manual capacidade 1,0 t - TE-2310SA-01 - Manutenção das bombas de polpa BP-2310SA-37/38 - Peso ref.: 0,03 t</t>
  </si>
  <si>
    <t>4.1.4.4.20</t>
  </si>
  <si>
    <t>5102</t>
  </si>
  <si>
    <t>Talha Capacidade até 2t - Talha manual capacidade 1,0 t - TE-5102SA-01 - Manutenção das bombas do sistema de combate à incêndio - Peso ref.: 0,04 t</t>
  </si>
  <si>
    <t>4.1.4.4.21</t>
  </si>
  <si>
    <t>Talha Capacidade até 2t - Talha manual capacidade 1,0 t - TE-2303SA-16 - Remoção do Ceck Plate da Prensa de Rolos HP-2305SA-01 - Peso ref.: 0,04 t</t>
  </si>
  <si>
    <t>4.1.4.4.22</t>
  </si>
  <si>
    <t>Talha Capacidade até 2t - Talha manual capacidade 1,0 t - TE-2303SA-18 - Remoção do Ceck Plate da Prensa de Rolos HP-2305SA-01 - Peso ref.: 0,04 t</t>
  </si>
  <si>
    <t>4.1.4.4.23</t>
  </si>
  <si>
    <t>Talha Capacidade até 2t - Talha manual capacidade 1,0 t - TE-2303SA-20 - Remoção do Ceck Plate da Prensa de Rolos HP-2305SA-02 - Peso ref.: 0,04 t</t>
  </si>
  <si>
    <t>4.1.4.4.24</t>
  </si>
  <si>
    <t>Talha Capacidade até 2t - Talha manual capacidade 1,0 t - TE-2303SA-22 - Remoção do Ceck Plate da Prensa de Rolos HP-2305SA-02 - Peso ref.: 0,04 t</t>
  </si>
  <si>
    <t>4.1.4.4.25</t>
  </si>
  <si>
    <t>Talha Capacidade até 2t - Talha manual capacidade 1,0 t - TE-2303SA-24 - Remoção do Ceck Plate da Prensa de Rolos HP-2305SA-03 - Peso ref.: 0,04 t</t>
  </si>
  <si>
    <t>4.1.4.4.26</t>
  </si>
  <si>
    <t>Talha Capacidade até 2t - Talha manual capacidade 1,0 t - TE-2303SA-26 - Remoção do Ceck Plate da Prensa de Rolos HP-2305SA-03 - Peso ref.: 0,04 t</t>
  </si>
  <si>
    <t>4.1.4.4.27</t>
  </si>
  <si>
    <t>Talha Capacidade até 2t - Talha manual capacidade 1,0 t - TE-2305SA-38 - Remoção o Refil da caixa de alimentação do Spout Feeder do Moinho (talha manual baixa altura) - Peso ref.: 0,1 t</t>
  </si>
  <si>
    <t>4.1.4.4.28</t>
  </si>
  <si>
    <t>Talha Capacidade até 2t - Talha manual capacidade 1,0 t - TE-2305SA-39 - Remoção do refil da caixa de alimentação do Spout Feeder do Moinho (talha manual baixa altura) - Peso ref.: 0,1 t</t>
  </si>
  <si>
    <t>4.1.4.4.29</t>
  </si>
  <si>
    <t>Talha Capacidade até 2t - Talha manual capacidade 2,0 t - TE-2305SA-40 - Manutenção da tubulação de recalque da bomba s BP-2305SA-02/04, cujo trecho se localiza por baixo da base do moinho MO-2305SA-02 (talha manual baixa altura) - Peso ref.: 0,1 t</t>
  </si>
  <si>
    <t>4.1.4.4.30</t>
  </si>
  <si>
    <t>Talha Capacidade até 2t - Talha manual capacidade 2,0 t - TE-2305SA-41 - Manutenção da tubulação de recalque da bomba s BP-2305SA-02/04, cujo trecho se localiza por baixo da base do moinho MO-2305SA-02 (talha manual baixa altura) - Peso ref.: 0,1 t</t>
  </si>
  <si>
    <t>4.1.4.4.31</t>
  </si>
  <si>
    <t>Talha Capacidade até 5t - Talha manual capacidade 5,0 t - TE-2301SA-17 - Talha manual capacidade 5,0 t. Manutenção do tambor de retorno do transportador de correia TR-2301SA-02 - Peso ref.: 0,18 t</t>
  </si>
  <si>
    <t>4.1.4.4.32</t>
  </si>
  <si>
    <t>Talha Capacidade até 5t - Talha manual capacidade 5,0 t - TE-2303SA-01 - Manutenção do tambor de retorno dos alimentadores de correia AL-2303SA-01/02/03 (talha manual baixa altura) - Peso ref.: 0,28 t</t>
  </si>
  <si>
    <t>4.1.4.4.33</t>
  </si>
  <si>
    <t>Talha Capacidade até 5t - Talha manual capacidade 5,0 t - TE-2303SA-07 - Manutenção do tambor de desvio do transportador de correia TR-2301SA-02 (talha manual baixa altura) - Peso ref.: 0,25 t</t>
  </si>
  <si>
    <t>4.1.4.4.34</t>
  </si>
  <si>
    <t>Talha Capacidade até 5t - Talha manual capacidade 5,0 t - TE-2303SA-08 - Manutenção do tambor de desvio do transportador de correia TR-2301SA-02 (talha manual baixa altura) - Peso ref.: 0,25 t</t>
  </si>
  <si>
    <t>4.1.4.4.35</t>
  </si>
  <si>
    <t>Talha Capacidade até 5t - Talha elétrica capacidade 5,0 t - TE-2305SA-01 - Manutenção da bomba BP-2305SA-05 - Peso ref.: 0,45 t</t>
  </si>
  <si>
    <t>4.1.4.4.36</t>
  </si>
  <si>
    <t>Talha Capacidade até 5t - Talha elétrica capacidade 5,0 t - TE-2305SA-02 - Manutenção da bomba BP-2305SA-06 - Peso ref.: 0,45 t</t>
  </si>
  <si>
    <t>4.1.4.4.37</t>
  </si>
  <si>
    <t>Talha Capacidade até 5t - Talha manual capacidade 5,0 t - TE-2305SA-16 - Manutenção do tambor de retorno do alimentador de correia AL-2305SA-01 (talha manual baixa altura) - Peso ref.: 0,26 t</t>
  </si>
  <si>
    <t>4.1.4.4.38</t>
  </si>
  <si>
    <t>Talha Capacidade até 5t - Talha manual capacidade 5,0 t - TE-2305SA-17 - Manutenção do tambor de retorno do alimentador de correia AL-2305SA-02 (talha manual baixa altura) - Peso ref.: 0,26 t</t>
  </si>
  <si>
    <t>4.1.4.4.39</t>
  </si>
  <si>
    <t>Talha Capacidade até 5t - Talha manual capacidade 5,0 t - TE-2305SA-18 - Manutenção do tambor de retorno do alimentador de correia AL-2305SA-03 (talha manual baixa altura) - Peso ref.: 0,26 t</t>
  </si>
  <si>
    <t>4.1.4.4.40</t>
  </si>
  <si>
    <t>Talha Capacidade até 5t - Talha manual capacidade 5,0 t - TE-2305SA-19 - Manutenção do tambor de retorno do alimentador de correia AL-2305SA-04 (talha manual baixa altura) - Peso ref.: 0,26 t</t>
  </si>
  <si>
    <t>4.1.4.4.41</t>
  </si>
  <si>
    <t>Talha Capacidade até 5t - Talha manual capacidade 3,0 t - TE-2316SA-01 - Manutenção dos compressores CB-2316SA-01/02/06/07 - Peso ref.: 0,08 t</t>
  </si>
  <si>
    <t>4.1.4.4.42</t>
  </si>
  <si>
    <t>Talha Capacidade até 5t - Talha manual capacidade 3,0 t - TE-2316SA-02 - Manutenção dos compressores CB-2316SA-03/04/08/09 - Peso ref.: 0,08 t</t>
  </si>
  <si>
    <t>4.1.4.4.43</t>
  </si>
  <si>
    <t>Talha Capacidade até 5t - Talha manual capacidade 3,0 t - TE-2316SA-03 - Manutenção do compressor CB-2316SA-05 e secadores - Peso ref.: 0,08 t</t>
  </si>
  <si>
    <t>4.1.4.4.44</t>
  </si>
  <si>
    <t>Talha Capacidade até 5t - Talha manual capacidade 5,0 t - TE-2303SA-14 - Manutenção do cilindro hidraulico  das prensas de rolos - Peso ref.: 0,15 t</t>
  </si>
  <si>
    <t>4.1.4.4.45</t>
  </si>
  <si>
    <t>Talha Capacidade até 5t - Talha manual capacidade 5,0 t - TE-2303SA-15 - Manutenção do cilindro hidraulico  das prensas de rolos - Peso ref.: 0,15 t</t>
  </si>
  <si>
    <t>4.1.4.4.46</t>
  </si>
  <si>
    <t>Talha Capacidade até 5t - Talha manual capacidade 5,0 t - TE-2303SA-17 - Içamento da Plataforma da Prensa de Rolos HP-2305SA-01 - Peso ref.: 0,15 t</t>
  </si>
  <si>
    <t>4.1.4.4.47</t>
  </si>
  <si>
    <t>Talha Capacidade até 5t - Talha manual capacidade 5,0 t - TE-2303SA-19 - Içamento da Plataforma da Prensa de Rolos HP-2305SA-01 - Peso ref.: 0,15 t</t>
  </si>
  <si>
    <t>4.1.4.4.48</t>
  </si>
  <si>
    <t>Talha Capacidade até 5t - Talha manual capacidade 5,0 t - TE-2303SA-21 - Içamento da Plataforma da Prensa de Rolos HP-2305SA-02 - Peso ref.: 0,15 t</t>
  </si>
  <si>
    <t>4.1.4.4.49</t>
  </si>
  <si>
    <t>Talha Capacidade até 5t - Talha manual capacidade 5,0 t - TE-2303SA-23 - Içamento da Plataforma da Prensa de Rolos HP-2305SA-02 - Peso ref.: 0,15 t</t>
  </si>
  <si>
    <t>4.1.4.4.50</t>
  </si>
  <si>
    <t>Talha Capacidade até 5t - Talha manual capacidade 5,0 t - TE-2303SA-25 - Içamento da Plataforma da Prensa de Rolos HP-2305SA-03 - Peso ref.: 0,15 t</t>
  </si>
  <si>
    <t>4.1.4.4.51</t>
  </si>
  <si>
    <t>Talha Capacidade até 5t - Talha manual capacidade 5,0 t - TE-2303SA-27 - Içamento da Plataforma da Prensa de Rolos HP-2305SA-03 - Peso ref.: 0,15 t</t>
  </si>
  <si>
    <t>4.1.4.4.52</t>
  </si>
  <si>
    <t>Talha Capacidade acima de 5t - Talha elétrica capacidade 10,0 t - TE-2301SA-16 - Manutenção do acionamento e tambores dos transportadores de correia TR-2301SA-01 / TR-2305SA-02 / TR-2305SA-04 - Peso ref.: 1,6 t</t>
  </si>
  <si>
    <t>4.1.4.4.53</t>
  </si>
  <si>
    <t>Talha Capacidade acima de 5t - Talha elétrica capacidade 10,0 t - TE-2303SA-02 - Manutenção dos tambores e acionamentos do transportador de correia TR-2303SA-01 - Peso ref.: 1,5 t</t>
  </si>
  <si>
    <t>4.1.4.4.54</t>
  </si>
  <si>
    <t>Talha Capacidade acima de 5t - Talha elétrica capacidade 15,0 t - TE-2305SA-03 - Manutenção da bomba BP-2305SA-03 - Peso ref.: 1,5 t</t>
  </si>
  <si>
    <t>4.1.4.4.55</t>
  </si>
  <si>
    <t>Talha Capacidade acima de 5t - Talha elétrica capacidade 7,5 t - TE-2308SA-01 - Manutenção das bombas BP-2308SA-32 / 33 - Peso ref.: 0,58 t</t>
  </si>
  <si>
    <t>4.1.4.4.56</t>
  </si>
  <si>
    <t>Talha Capacidade acima de 5t - Talha manual capacidade 10,0 t - TE-2308SA-02 - Manutenção da bomba de polpa BP-2308SA-37 - Peso ref.: 0,32 t</t>
  </si>
  <si>
    <t>4.1.4.4.57</t>
  </si>
  <si>
    <t>Talha Capacidade acima de 5t - Talha manual capacidade 10,0 t - TE-2308SA-03 - Manutenção da bomba de polpa BP-2308SA-38 - Peso ref.: 0,32 t</t>
  </si>
  <si>
    <t>4.1.4.4.58</t>
  </si>
  <si>
    <t>Talha Capacidade acima de 5t - Talha manual capacidade 7,5 t - TE-2308SA-04 - Manutenção da bomba de polpa BP-2308SA-31 - Peso ref.: 0,25 t</t>
  </si>
  <si>
    <t>4.1.4.4.59</t>
  </si>
  <si>
    <t>Talha Capacidade acima de 5t - Talha manual capacidade 7,5 t - TE-2308SA-05 - Manutenção da bomba de polpa BP-2308SA-34 - Peso ref.: 0,25 t</t>
  </si>
  <si>
    <t>4.1.4.4.60</t>
  </si>
  <si>
    <t>Talha Capacidade acima de 5t - Talha manual capacidade 10,0 t - TE-2308SA-06 - Manutenção da bomba de polpa BP-2308SA-39 - Peso ref.: 0,32 t</t>
  </si>
  <si>
    <t>4.1.4.4.61</t>
  </si>
  <si>
    <t>Talha Capacidade acima de 5t - Talha manual capacidade 10,0 t - TE-2308SA-07 - Manutenção da bomba de polpa BP-2308SA-40 - Peso ref.: 0,32 t</t>
  </si>
  <si>
    <t>4.1.4.4.62</t>
  </si>
  <si>
    <t>Talha Capacidade acima de 5t - Talha manual capacidade 7,5 t - TE-2325SA-01 - Manutenção do soprador BO-2325SA-01 - Peso ref.: 0,26 t</t>
  </si>
  <si>
    <t>4.1.4.4.63</t>
  </si>
  <si>
    <t>Talha Capacidade acima de 5t - Talha manual capacidade 7,5 t - TE-2325SA-02 - Manutenção do soprador BO-2325SA-02 - Peso ref.: 0,26 t</t>
  </si>
  <si>
    <t>4.1.4.4.64</t>
  </si>
  <si>
    <t>Talha Capacidade acima de 5t - Talha manual capacidade 7,5 t - TE-2325SA-03 - Manutenção do soprador BO-2325SA-03 - Peso ref.: 0,26 t</t>
  </si>
  <si>
    <t>4.1.4.4.65</t>
  </si>
  <si>
    <t>Talha Capacidade até 5t - Talha manual capacidade 1,0 t - TE-2303SA-11 - Manutenção das unidades hidráulicas das prensas de rolos - Peso ref.: 0,04 t</t>
  </si>
  <si>
    <t>4.1.4.4.66</t>
  </si>
  <si>
    <t>Talha Capacidade até 5t - Talha manual capacidade 5,0 t - TE-2303SA-12 - Manutenção do tambor de retorno dos alimentadores AL-2303SA-01/02/03 (talha manual baixa altura) - Peso ref.: 0,28 t</t>
  </si>
  <si>
    <t>4.1.4.4.67</t>
  </si>
  <si>
    <t>Talha Capacidade até 5t - Talha manual capacidade 5,0 t - TE-2303SA-13 - Manutenção do tambor de retorno do TR-2303SA-01 - Peso ref.: 0,15 t</t>
  </si>
  <si>
    <t>4.1.4.4.68</t>
  </si>
  <si>
    <t>Talha Capacidade acima de 5t - Talha manual capacidade 7,5 t - TE-2305SA-36 - Manutenção da caixa de alimentação do "Spout Feeder" do moinho - Peso ref.: 0,27 t</t>
  </si>
  <si>
    <t>4.1.4.4.69</t>
  </si>
  <si>
    <t>Talha Capacidade acima de 5t - Talha manual capacidade 7,5 t - TE-2305SA-37 - Manutenção da caixa de alimentação do "Spout Feeder" do moinho - Peso ref.: 0,27 t</t>
  </si>
  <si>
    <t>4.1.4.4.70</t>
  </si>
  <si>
    <t>Talha Capacidade até 2t - Talha manual capacidade 0,5 t - TE-2301SA-08 - Sistema de agulhamento hidráulico AL-2301SA-01 (talha manual baixa altura) - Peso ref.: 0,09 t</t>
  </si>
  <si>
    <t>4.1.4.4.71</t>
  </si>
  <si>
    <t>Talha Capacidade até 2t - Talha manual capacidade 0,5 t - TE-2301SA-09 - Sistema de agulhamento hidráulico AL-2301SA-01 (talha manual baixa altura) - Peso ref.: 0,09 t</t>
  </si>
  <si>
    <t>4.1.4.4.72</t>
  </si>
  <si>
    <t>Talha Capacidade até 2t - Talha manual capacidade 0,5 t - TE-2301SA-10 - Sistema de agulhamento hidráulico AL-2301SA-02 (talha manual baixa altura) - Peso ref.: 0,09 t</t>
  </si>
  <si>
    <t>4.1.4.4.73</t>
  </si>
  <si>
    <t>Talha Capacidade até 2t - Talha manual capacidade 0,5 t - TE-2301SA-11 - Sistema de agulhamento hidráulico AL-2301SA-02 (talha manual baixa altura) - Peso ref.: 0,09 t</t>
  </si>
  <si>
    <t>4.1.4.4.74</t>
  </si>
  <si>
    <t>Talha Capacidade até 2t - Talha manual capacidade 0,5 t - TE-2301SA-12 - Sistema de agulhamento hidráulico AL-2301SA-03 (talha manual baixa altura) - Peso ref.: 0,09 t</t>
  </si>
  <si>
    <t>4.1.4.4.75</t>
  </si>
  <si>
    <t>Talha Capacidade até 2t - Talha manual capacidade 0,5 t - TE-2301SA-13 - Sistema de agulhamento hidráulico AL-2301SA-03 (talha manual baixa altura) - Peso ref.: 0,09 t</t>
  </si>
  <si>
    <t>4.1.4.4.76</t>
  </si>
  <si>
    <t>Talha Capacidade até 2t - Talha manual capacidade 0,5 t - TE-2301SA-14 - Sistema de agulhamento hidráulico AL-2301SA-04 (talha manual baixa altura) - Peso ref.: 0,09 t</t>
  </si>
  <si>
    <t>4.1.4.4.77</t>
  </si>
  <si>
    <t>Talha Capacidade até 2t - Talha manual capacidade 0,5 t - TE-2301SA-15 - Sistema de agulhamento hidráulico AL-2301SA-04 (talha manual baixa altura) - Peso ref.: 0,09 t</t>
  </si>
  <si>
    <t>4.1.4.4.78</t>
  </si>
  <si>
    <t>Talha Capacidade até 2t - Talha manual capacidade 0,5 t - TE-2303SA-03 - Sistema de agulhamento hidráulico AL-2303SA-01 (talha manual de baixa altura) - Peso ref.: 0,09 t</t>
  </si>
  <si>
    <t>4.1.4.4.79</t>
  </si>
  <si>
    <t>Talha Capacidade até 2t - Talha manual capacidade 0,5 t - TE-2303SA-04 - Sistema de agulhamento hidráulico AL-2303SA-01 (talha manual de baixa altura) - Peso ref.: 0,09 t</t>
  </si>
  <si>
    <t>4.1.4.4.80</t>
  </si>
  <si>
    <t>Talha Capacidade até 2t - Talha manual capacidade 0,5 t - TE-2303SA-05 - Sistema de agulhamento hidráulico AL-2303SA-02 (talha manual de baixa altura) - Peso ref.: 0,09 t</t>
  </si>
  <si>
    <t>4.1.4.4.81</t>
  </si>
  <si>
    <t>Talha Capacidade até 2t - Talha manual capacidade 0,5 t - TE-2303SA-06 - Sistema de agulhamento hidráulico AL-2303SA-02 (talha manual de baixa altura) - Peso ref.: 0,09 t</t>
  </si>
  <si>
    <t>4.1.4.4.82</t>
  </si>
  <si>
    <t>Talha Capacidade até 2t - Talha manual capacidade 0,5 t - TE-2303SA-09 - Sistema de agulhamento hidráulico AL-2303SA-03 (talha manual de baixa altura) - Peso ref.: 0,09 t</t>
  </si>
  <si>
    <t>4.1.4.4.83</t>
  </si>
  <si>
    <t>Talha Capacidade até 2t - Talha manual capacidade 0,5 t - TE-2303SA-10 - Sistema de agulhamento hidráulico AL-2303SA-03 (talha manual de baixa altura) - Peso ref.: 0,09 t</t>
  </si>
  <si>
    <t>4.1.4.4.84</t>
  </si>
  <si>
    <t>Talha Capacidade até 2t - Talha manual capacidade 0,5 t - TE-2305SA-08 - Sistema de agulhamento hidráulico  AL-2305SA-01 (talha manual de baixa altura) - Peso ref.: 0,09 t</t>
  </si>
  <si>
    <t>4.1.4.4.85</t>
  </si>
  <si>
    <t>Talha Capacidade até 2t - Talha manual capacidade 0,5 t - TE-2305SA-09 - Sistema de agulhamento hidráulico  AL-2305SA-01 (talha manual de baixa altura) - Peso ref.: 0,09 t</t>
  </si>
  <si>
    <t>4.1.4.4.86</t>
  </si>
  <si>
    <t>Talha Capacidade até 2t - Talha manual capacidade 0,5 t - TE-2305SA-10 - Sistema de agulhamento hidráulico  AL-2305SA-02 (talha manual de baixa altura) - Peso ref.: 0,09 t</t>
  </si>
  <si>
    <t>4.1.4.4.87</t>
  </si>
  <si>
    <t>Talha Capacidade até 2t - Talha manual capacidade 0,5 t - TE-2305SA-11 - Sistema de agulhamento hidráulico  AL-2305SA-02 (talha manual de baixa altura) - Peso ref.: 0,09 t</t>
  </si>
  <si>
    <t>4.1.4.4.88</t>
  </si>
  <si>
    <t>Talha Capacidade até 2t - Talha manual capacidade 0,5 t - TE-2305SA-12 - Sistema de agulhamento hidráulico  AL-2305SA-03 (talha manual de baixa altura) - Peso ref.: 0,09 t</t>
  </si>
  <si>
    <t>4.1.4.4.89</t>
  </si>
  <si>
    <t>Talha Capacidade até 2t - Talha manual capacidade 0,5 t - TE-2305SA-13 - Sistema de agulhamento hidráulico  AL-2305SA-03 (talha manual de baixa altura) - Peso ref.: 0,09 t</t>
  </si>
  <si>
    <t>4.1.4.4.90</t>
  </si>
  <si>
    <t>Talha Capacidade até 2t - Talha manual capacidade 0,5 t - TE-2305SA-14 - Sistema de agulhamento hidráulico  AL-2305SA-04 (talha manual de baixa altura) - Peso ref.: 0,09 t</t>
  </si>
  <si>
    <t>4.1.4.4.91</t>
  </si>
  <si>
    <t>Talha Capacidade até 2t - Talha manual capacidade 0,5 t - TE-2305SA-15 - Sistema de agulhamento hidráulico  AL-2305SA-04 (talha manual de baixa altura) - Peso ref.: 0,09 t</t>
  </si>
  <si>
    <t>4.1.4.4.92</t>
  </si>
  <si>
    <t>Talha Capacidade até 2t - Talha manual capacidade 2,0 t - TE-2305SA-42 - Manutenção da tubulação de recalque da bomba s BP-2305SA-02/04, cujo trecho se localiza por baixo da base do moinho MO-2305SA-02 (talha manual baixa altura) - Peso ref.: 0,1 t</t>
  </si>
  <si>
    <t>4.1.4.4.93</t>
  </si>
  <si>
    <t>Talha Capacidade até 2t - Talha manual capacidade 2,0 t - TE-2305SA-43 - Manutenção da tubulação de recalque da bomba s BP-2305SA-02/04, cujo trecho se localiza por baixo da base do moinho MO-2305SA-02 (talha manual baixa altura) - Peso ref.: 0,1 t</t>
  </si>
  <si>
    <t>4.1.4.4.94</t>
  </si>
  <si>
    <t>Talha Capacidade até 2t - Talha manual capacidade 2,0 t - TE-2305SA-44 - Manutenção da tubulação de recalque da bomba s BP-2305SA-02/04, cujo trecho se localiza por baixo da base do moinho MO-2305SA-02 (talha manual baixa altura) - Peso ref.: 0,1 t</t>
  </si>
  <si>
    <t>4.1.4.4.95</t>
  </si>
  <si>
    <t>Talha Capacidade até 2t - Talha manual capacidade 2,0 t - TE-2305SA-45 - Manutenção da tubulação de recalque da bomba s BP-2305SA-02/04, cujo trecho se localiza por baixo da base do moinho MO-2305SA-02 (talha manual baixa altura) - Peso ref.: 0,1 t</t>
  </si>
  <si>
    <t>4.1.5.1.1</t>
  </si>
  <si>
    <t>Espessadores com diâmetro de até 15m Tanque em Aço - Espessador tipo ponte, de alta capacidade. Peso: 37 t_x000D_
Diâmetro (m) = 15 - ES-2310SA-31</t>
  </si>
  <si>
    <t>4.1.6.1.1</t>
  </si>
  <si>
    <t>Células de Flotação - Célula de flotação da Rougher 1. Volume: 200 m³. Peso: 31 t - CF-2306SA-01</t>
  </si>
  <si>
    <t>4.1.6.1.2</t>
  </si>
  <si>
    <t>Células de Flotação - Célula de flotação da Rougher 1. Volume: 200 m³. Peso: 31 t - CF-2306SA-02</t>
  </si>
  <si>
    <t>4.1.6.1.3</t>
  </si>
  <si>
    <t>Células de Flotação - Célula de flotação da Rougher 2. Volume: 200 m³. Peso: 31 t - CF-2306SA-03</t>
  </si>
  <si>
    <t>4.1.6.1.4</t>
  </si>
  <si>
    <t>Células de Flotação - Célula de flotação da Rougher 2. Volume: 200 m³. Peso: 31 t - CF-2306SA-04</t>
  </si>
  <si>
    <t>4.1.6.1.5</t>
  </si>
  <si>
    <t>Células de Flotação - Célula de flotação da Rougher 2. Volume: 200 m³. Peso: 31 t - CF-2306SA-05</t>
  </si>
  <si>
    <t>4.1.6.1.6</t>
  </si>
  <si>
    <t>Células de Flotação - Célula de flotação da Rougher 2. Volume: 200 m³. Peso: 31 t - CF-2305SA-06</t>
  </si>
  <si>
    <t>4.1.6.1.7</t>
  </si>
  <si>
    <t>Células de Flotação - Célula de flotação da Rougher 2. Volume: 200 m³. Peso: 31 t - CF-2305SA-07</t>
  </si>
  <si>
    <t>4.1.6.1.8</t>
  </si>
  <si>
    <t>Células de Flotação - Célula de flotação da Rougher 2. Volume: 200 m³. Peso: 31 t - CF-2305SA-08</t>
  </si>
  <si>
    <t>4.1.6.1.9</t>
  </si>
  <si>
    <t>Células de Flotação - Célula de flotação da Rougher 2. Volume: 200 m³. Peso: 31 t - CF-2305SA-09</t>
  </si>
  <si>
    <t>4.1.6.1.10</t>
  </si>
  <si>
    <t>Células de Flotação - Célula de flotação da Rougher 2. Volume: 200 m³. Peso: 31 t - CF-2305SA-10</t>
  </si>
  <si>
    <t>4.1.6.1.11</t>
  </si>
  <si>
    <t>Células de Flotação - Célula de flotação da Rougher 2. Volume: 200 m³. Peso: 31 t - CF-2305SA-11</t>
  </si>
  <si>
    <t>4.1.6.1.12</t>
  </si>
  <si>
    <t>Células de Flotação - Célula de flotação da Rougher 2. Volume: 200 m³. Peso: 31 t - CF-2305SA-12</t>
  </si>
  <si>
    <t>4.1.6.1.13</t>
  </si>
  <si>
    <t>Células de Flotação - Célula de flotação da Rougher 2. Volume: 200 m³. Peso: 31 t - CF-2305SA-13</t>
  </si>
  <si>
    <t>4.1.6.1.14</t>
  </si>
  <si>
    <t>Células de Flotação - Célula de flotação da Rougher 2. Volume: 200 m³. Peso: 31 t - CF-2305SA-14</t>
  </si>
  <si>
    <t>4.1.6.1.15</t>
  </si>
  <si>
    <t>Células de Flotação - Célula de flotação da Scavenger do Cleaner. Volume: 200 m³. Peso: 31 t - CF-2306SA-23</t>
  </si>
  <si>
    <t>4.1.6.1.16</t>
  </si>
  <si>
    <t>Células de Flotação - Célula de flotação da Scavenger do Cleaner. Volume: 200 m³. Peso: 31 t - CF-2306SA-24</t>
  </si>
  <si>
    <t>4.1.6.1.17</t>
  </si>
  <si>
    <t>Células de Flotação - Célula de flotação da Scavenger do Cleaner. Volume: 200 m³. Peso: 31 t - CF-2306SA-25</t>
  </si>
  <si>
    <t>4.1.6.1.18</t>
  </si>
  <si>
    <t>Células de Flotação - Célula de flotação da Scavenger do Cleaner. Volume: 200 m³. Peso: 31 t - CF-2306SA-26</t>
  </si>
  <si>
    <t>4.1.6.1.19</t>
  </si>
  <si>
    <t>Células de Flotação - Célula de flotação da Scavenger do Cleaner. Volume: 200 m³. Peso: 31 t - CF-2306SA-27</t>
  </si>
  <si>
    <t>4.1.6.1.20</t>
  </si>
  <si>
    <t>Células de Flotação - Célula de flotação da Scavenger do Cleaner. Volume: 200 m³. Peso: 31 t - CF-2306SA-28</t>
  </si>
  <si>
    <t>4.1.6.1.21</t>
  </si>
  <si>
    <t>Células de Flotação - Célula de flotação da Scavenger do Cleaner. Volume: 200 m³. Peso: 31 t - CF-2306SA-29</t>
  </si>
  <si>
    <t>4.1.6.1.22</t>
  </si>
  <si>
    <t>Células de Flotação - Célula de flotação da Scavenger do Cleaner. Volume: 200 m³. Peso: 31 t - CF-2306SA-30</t>
  </si>
  <si>
    <t>4.1.6.1.23</t>
  </si>
  <si>
    <t>Células de Flotação - Célula de flotação da Scavenger do Cleaner. Volume: 200 m³. Peso: 31 t - CF-2306SA-31</t>
  </si>
  <si>
    <t>4.1.6.1.24</t>
  </si>
  <si>
    <t>Células de Flotação - Célula de flotação da Scavenger do Cleaner. Volume: 200 m³. Peso: 31 t - CF-2306SA-32</t>
  </si>
  <si>
    <t>4.1.6.1.25</t>
  </si>
  <si>
    <t>Células de Flotaçao tipo Staged Flotation Reactor (SFR) - 6,3 m³ PCU. 17,2 m³ BDU/FRU. Peso: 18.0 t - CF-2306SA-39</t>
  </si>
  <si>
    <t>4.1.6.1.26</t>
  </si>
  <si>
    <t>Células de Flotaçao tipo Staged Flotation Reactor (SFR) - 6,3 m³ PCU. 17,2 m³ BDU/FRU. Peso: 18.0 t - CF-2306SA-40</t>
  </si>
  <si>
    <t>4.1.6.2.1</t>
  </si>
  <si>
    <t>Coluna de Flotação diâmetro acima de 4m - Coluna de flotação para etapa Cleaner 3. Altura (m) = 14. Diâmetro (m) = 6. Peso: 34 t - CF-2307SA-15</t>
  </si>
  <si>
    <t>4.1.6.2.2</t>
  </si>
  <si>
    <t>Coluna de Flotação diâmetro acima de 4m - Coluna de flotação para etapa Cleaner 1. Altura (m) = 14. Diâmetro (m) = 6. Peso: 34 t - CF-2307SA-16</t>
  </si>
  <si>
    <t>4.1.6.2.3</t>
  </si>
  <si>
    <t>Coluna de Flotação diâmetro acima de 4m - Coluna de flotação para etapa Cleaner 1. Altura (m) = 14. Diâmetro (m) = 6. Peso: 34 t - CF-2307SA-17</t>
  </si>
  <si>
    <t>4.1.6.2.4</t>
  </si>
  <si>
    <t>Coluna de Flotação diâmetro acima de 4m - Coluna de flotação para etapa Cleaner 1. Altura (m) = 14. Diâmetro (m) = 6. Peso: 34 t - CF-2307SA-18</t>
  </si>
  <si>
    <t>4.1.6.2.5</t>
  </si>
  <si>
    <t>Coluna de Flotação diâmetro acima de 4m - Coluna de flotação para etapa Cleaner 1. Altura (m) = 14. Diâmetro (m) = 6. Peso: 34 t - CF-2307SA-19</t>
  </si>
  <si>
    <t>4.1.6.2.6</t>
  </si>
  <si>
    <t>Coluna de Flotação diâmetro acima de 4m - Coluna de flotação para etapa Cleaner 1. Altura (m) = 14. Diâmetro (m) = 6. Peso: 34 t - CF-2307SA-20</t>
  </si>
  <si>
    <t>4.1.6.2.7</t>
  </si>
  <si>
    <t>Coluna de Flotação diâmetro acima de 4m - Coluna de flotação para etapa Cleaner 1. Altura (m) = 14. Diâmetro (m) = 6. Peso: 34 t - CF-2307SA-21</t>
  </si>
  <si>
    <t>4.1.6.2.8</t>
  </si>
  <si>
    <t>Coluna de Flotação diâmetro acima de 4m - Coluna de flotação para etapa Cleaner 1. Altura (m) = 14. Diâmetro (m) = 6. Peso: 34 t - CF-2307SA-22</t>
  </si>
  <si>
    <t>4.1.6.2.9</t>
  </si>
  <si>
    <t>Coluna de Flotação diâmetro acima de 4m - Coluna de flotação para etapa Cleaner 1. Altura (m) = 14. Diâmetro (m) = 4,3. Peso: 21 t - CF-2307SA-33</t>
  </si>
  <si>
    <t>4.1.6.2.10</t>
  </si>
  <si>
    <t>Coluna de Flotação diâmetro acima de 4m - Coluna de flotação para etapa Cleaner 1. Altura (m) = 14. Diâmetro (m) = 4,3. Peso: 21 t - CF-2307SA-34</t>
  </si>
  <si>
    <t>4.1.6.2.11</t>
  </si>
  <si>
    <t>Coluna de Flotação diâmetro acima de 4m - Coluna de flotação para etapa Cleaner 1. Altura (m) = 14. Diâmetro (m) = 4,3. Peso: 21 t - CF-2307SA-35</t>
  </si>
  <si>
    <t>4.1.6.2.12</t>
  </si>
  <si>
    <t>Coluna de Flotação diâmetro acima de 4m - Coluna de flotação para etapa Cleaner 1. Altura (m) = 14. Diâmetro (m) = 4,3. Peso: 21 t - CF-2307SA-36</t>
  </si>
  <si>
    <t>4.1.6.2.13</t>
  </si>
  <si>
    <t>Coluna de Flotação diâmetro acima de 4m - Coluna de flotação para etapa Cleaner 1. Altura (m) = 14. Diâmetro (m) = 4,3. Peso: 21 t - CF-2307SA-37</t>
  </si>
  <si>
    <t>4.1.6.2.14</t>
  </si>
  <si>
    <t>Coluna de Flotação diâmetro acima de 4m - Coluna de flotação para etapa Cleaner 1. Altura (m) = 14. Diâmetro (m) = 4,3. Peso: 21 t - CF-2307SA-38</t>
  </si>
  <si>
    <t>4.1.7.1.1</t>
  </si>
  <si>
    <t>Peneiras tipo Banana 2 decks. Comprimento (ft) = 24
Largura (ft) = 12 
Tela 1º Deck (mm) = 12
Tela 2º Deck (mm) = 8 - Peneira vibratória inclinada para peneiramento secundário. Peso: 43 t - PN-2305SA-01</t>
  </si>
  <si>
    <t>4.1.7.1.2</t>
  </si>
  <si>
    <t>Peneiras tipo Banana 2 decks. Comprimento (ft) = 24
Largura (ft) = 12 
Tela 1º Deck (mm) = 12
Tela 2º Deck (mm) = 8 - Peneira vibratória inclinada para peneiramento secundário. Peso: 43 t - PN-2305SA-02</t>
  </si>
  <si>
    <t>4.1.7.1.3</t>
  </si>
  <si>
    <t>Peneiras tipo Banana 2 decks. Comprimento (ft) = 24
Largura (ft) = 12 
Tela 1º Deck (mm) = 12
Tela 2º Deck (mm) = 8 - Peneira vibratória inclinada para peneiramento secundário. Peso: 43 t - PN-2305SA-03</t>
  </si>
  <si>
    <t>4.1.7.1.4</t>
  </si>
  <si>
    <t>Peneiras tipo Banana 2 decks. Comprimento (ft) = 24
Largura (ft) = 12 
Tela 1º Deck (mm) = 12
Tela 2º Deck (mm) = 8 - Peneira vibratória inclinada para peneiramento secundário. Peso: 43 t - PN-2305SA-04</t>
  </si>
  <si>
    <t>4.1.7.1.5</t>
  </si>
  <si>
    <t>Peneiras tipo Banana 2 decks. Comprimento (ft) = 24
Largura (ft) = 12 
Tela 1º Deck (mm) = 12
Tela 2º Deck (mm) = 8 - Peneira vibratória reserva não instalada, apenas apoiada na estrutura do prédio. Peso: 43 t - PN-2305SA-R1</t>
  </si>
  <si>
    <t>4.1.8.1.1</t>
  </si>
  <si>
    <t>Bomba de parafuso - Bomba para transferência de floculante para o tanque de distribuição. Peso: 0.01 t - BQ-2315SA-27</t>
  </si>
  <si>
    <t>4.1.8.1.2</t>
  </si>
  <si>
    <t>Bomba de parafuso - Bomba para transferência de floculante para o tanque de distribuição. Peso: 0.01 t - BQ-2315SA-28</t>
  </si>
  <si>
    <t>4.1.8.2.1</t>
  </si>
  <si>
    <t>Bomba Peristáltica de 0,33 CV - Bomba para dosagem de Espumante 2. Modelo: BREDEL 15 ou similar. Peso: 0.02 t - BQ-2315SA-100</t>
  </si>
  <si>
    <t>4.1.8.2.2</t>
  </si>
  <si>
    <t>Bomba Peristáltica de 0,33 CV - Bomba para dosagem de Espumante 2. Modelo: BREDEL 15 ou similar. Peso: 0.02 t - BQ-2315SA-103</t>
  </si>
  <si>
    <t>4.1.8.2.3</t>
  </si>
  <si>
    <t>Bomba Peristáltica de 0,33 CV - Bomba para dosagem de Espumante 1. Modelo: BREDEL 15 ou similar. Peso: 0.02 t - BQ-2315SA-106</t>
  </si>
  <si>
    <t>4.1.8.2.4</t>
  </si>
  <si>
    <t>Bomba Peristáltica de 0,33 CV - Bomba para dosagem de Espumante 1. Modelo: BREDEL 15 ou similar. Peso: 0.02 t - BQ-2315SA-107</t>
  </si>
  <si>
    <t>4.1.8.2.5</t>
  </si>
  <si>
    <t>Bomba Peristáltica de 0,33 CV - Bomba para dosagem de Espumante 1. Modelo: BREDEL 15 ou similar. Peso: 0.02 t - BQ-2315SA-109</t>
  </si>
  <si>
    <t>4.1.8.2.6</t>
  </si>
  <si>
    <t>Bomba Peristáltica de 0,33 CV - Bomba para dosagem de Coletor 3. Modelo: BREDEL 15 ou similar. Peso: 0.02 t - BQ-2315SA-117</t>
  </si>
  <si>
    <t>4.1.8.2.7</t>
  </si>
  <si>
    <t>Bomba Peristáltica de 0,33 CV - Bomba para dosagem de Espumante 2. Modelo: BREDEL 15 ou similar. Peso: 0.02 t - BQ-2315SA-120</t>
  </si>
  <si>
    <t>4.1.8.2.8</t>
  </si>
  <si>
    <t>Bomba Peristáltica de 0,33 CV - Bomba para dosagem de Coletor 1. Modelo: BREDEL 15 ou similar. Peso: 0.03 t - BQ-2315SA-77</t>
  </si>
  <si>
    <t>4.1.8.2.9</t>
  </si>
  <si>
    <t>Bomba Peristáltica de 0,33 CV - Bomba para dosagem de Coletor 1. Modelo: BREDEL 15 ou similar. Peso: 0.03 t - BQ-2315SA-78</t>
  </si>
  <si>
    <t>4.1.8.2.10</t>
  </si>
  <si>
    <t>Bomba Peristáltica de 0,25 CV - Bomba para dosagem de Espumante 2. Modelo: BREDEL 10 ou similar. Peso: 0.02 t - BQ-2315SA-101</t>
  </si>
  <si>
    <t>4.1.8.2.11</t>
  </si>
  <si>
    <t>Bomba Peristáltica de 0,25 CV - Bomba para dosagem de Espumante 2. Modelo: BREDEL 10 ou similar. Peso: 0.02 t - BQ-2315SA-102</t>
  </si>
  <si>
    <t>4.1.8.2.12</t>
  </si>
  <si>
    <t>Bomba Peristáltica de 0,25 CV - Bomba para dosagem de Espumante 2. Modelo: BREDEL 10 ou similar. Peso: 0.02 t - BQ-2315SA-104</t>
  </si>
  <si>
    <t>4.1.8.2.13</t>
  </si>
  <si>
    <t>Bomba Peristáltica de 0,25 CV - Bomba para dosagem de Espumante 2. Modelo: BREDEL 10 ou similar. Peso: 0.02 t - BQ-2315SA-105</t>
  </si>
  <si>
    <t>4.1.8.2.14</t>
  </si>
  <si>
    <t>Bomba Peristáltica de 0,25 CV - Bomba para dosagem de Espumante 1. Modelo: BREDEL 10 ou similar. Peso: 0.02 t - BQ-2315SA-108</t>
  </si>
  <si>
    <t>4.1.8.2.15</t>
  </si>
  <si>
    <t>Bomba Peristáltica de 0,25 CV - Bomba para dosagem de Espumante 1. Modelo: BREDEL 10 ou similar. Peso: 0.02 t - BQ-2315SA-110</t>
  </si>
  <si>
    <t>4.1.8.2.16</t>
  </si>
  <si>
    <t>Bomba Peristáltica de 0,25 CV - Bomba para dosagem de Espumante 1. Modelo: BREDEL 10 ou similar. Peso: 0.02 t - BQ-2315SA-111</t>
  </si>
  <si>
    <t>4.1.8.2.17</t>
  </si>
  <si>
    <t>Bomba Peristáltica de 0,25 CV - Bomba para dosagem de Espumante 1. Modelo: BREDEL 10 ou similar. Peso: 0.02 t - BQ-2315SA-112</t>
  </si>
  <si>
    <t>4.1.8.2.18</t>
  </si>
  <si>
    <t>Bomba Peristáltica de 0,25 CV - Bomba para dosagem de Coletor 3. Modelo: BREDEL 10 ou similar. Peso: 0.02 t - BQ-2315SA-113</t>
  </si>
  <si>
    <t>4.1.8.2.19</t>
  </si>
  <si>
    <t>Bomba Peristáltica de 0,25 CV - Bomba para dosagem de Coletor 3. Modelo: BREDEL 10 ou similar. Peso: 0.02 t - BQ-2315SA-114</t>
  </si>
  <si>
    <t>4.1.8.2.20</t>
  </si>
  <si>
    <t>Bomba Peristáltica de 0,25 CV - Bomba para dosagem de Coletor 3. Modelo: BREDEL 10 ou similar. Peso: 0.02 t - BQ-2315SA-115</t>
  </si>
  <si>
    <t>4.1.8.2.21</t>
  </si>
  <si>
    <t>Bomba Peristáltica de 0,25 CV - Bomba para dosagem de Coletor 3. Modelo: BREDEL 10 ou similar. Peso: 0.02 t - BQ-2315SA-116</t>
  </si>
  <si>
    <t>4.1.8.2.22</t>
  </si>
  <si>
    <t>Bomba Peristáltica de 0,25 CV - Bomba para dosagem de Espumante 1. Modelo: BREDEL 10 ou similar. Peso: 0.02 t - BQ-2315SA-118</t>
  </si>
  <si>
    <t>4.1.8.2.23</t>
  </si>
  <si>
    <t>Bomba Peristáltica de 0,25 CV - Bomba para dosagem de Espumante 1. Modelo: BREDEL 10 ou similar. Peso: 0.02 t - BQ-2315SA-119</t>
  </si>
  <si>
    <t>4.1.8.2.24</t>
  </si>
  <si>
    <t>Bomba Peristáltica de 0,25 CV - Bomba para dosagem de Espumante 2. Modelo: BREDEL 10 ou similar. Peso: 0.02 t - BQ-2315SA-121</t>
  </si>
  <si>
    <t>4.1.8.2.25</t>
  </si>
  <si>
    <t>Bomba Peristáltica de 0,25 CV - Bomba para dosagem de Espumante 2. Modelo: BREDEL 10 ou similar. Peso: 0.02 t - BQ-2315SA-122</t>
  </si>
  <si>
    <t>4.1.8.2.26</t>
  </si>
  <si>
    <t>Bomba Peristáltica de 0,25 CV - Bomba para dosagem de Coletor 3. Modelo: BREDEL 10 ou similar. Peso: 0.02 t - BQ-2315SA-70</t>
  </si>
  <si>
    <t>4.1.8.2.27</t>
  </si>
  <si>
    <t>Bomba Peristáltica de 0,25 CV - Bomba para dosagem de Coletor 3. Modelo: BREDEL 10 ou similar. Peso: 0.02 t - BQ-2315SA-71</t>
  </si>
  <si>
    <t>4.1.8.2.28</t>
  </si>
  <si>
    <t>Bomba Peristáltica de 0,25 CV - Bomba para dosagem de Coletor 3. Modelo: BREDEL 10 ou similar. Peso: 0.02 t - BQ-2315SA-72</t>
  </si>
  <si>
    <t>4.1.8.2.29</t>
  </si>
  <si>
    <t>Bomba Peristáltica de 0,25 CV - Bomba para dosagem de Coletor 3. Modelo: BREDEL 10 ou similar. Peso: 0.02 t - BQ-2315SA-73</t>
  </si>
  <si>
    <t>4.1.8.2.30</t>
  </si>
  <si>
    <t>Bomba Peristáltica de 0,25 CV - Bomba para dosagem de Coletor 3. Modelo: BREDEL 10 ou similar. Peso: 0.02 t - BQ-2315SA-74</t>
  </si>
  <si>
    <t>4.1.8.2.31</t>
  </si>
  <si>
    <t>Bomba Peristáltica de 0,25 CV - Bomba para dosagem de Coletor 3. Modelo: BREDEL 10 ou similar. Peso: 0.02 t - BQ-2315SA-75</t>
  </si>
  <si>
    <t>4.1.8.2.32</t>
  </si>
  <si>
    <t>Bomba Peristáltica de 0,25 CV - Bomba para dosagem de Coletor 3. Modelo: BREDEL 10 ou similar. Peso: 0.02 t - BQ-2315SA-76</t>
  </si>
  <si>
    <t>4.1.8.2.33</t>
  </si>
  <si>
    <t>Bomba Peristáltica de 0,25 CV - Bomba para dosagem de Coletor 2. Modelo: BREDEL 10 ou similar. Peso: 0.02 t - BQ-2315SA-88</t>
  </si>
  <si>
    <t>4.1.8.2.34</t>
  </si>
  <si>
    <t>Bomba Peristáltica de 0,25 CV - Bomba para dosagem de Coletor 2. Modelo: BREDEL 10 ou similar. Peso: 0.02 t - BQ-2315SA-89</t>
  </si>
  <si>
    <t>4.1.8.2.35</t>
  </si>
  <si>
    <t>Bomba Peristáltica de 0,25 CV - Bomba para dosagem de Coletor 2. Modelo: BREDEL 10 ou similar. Peso: 0.02 t - BQ-2315SA-90</t>
  </si>
  <si>
    <t>4.1.8.2.36</t>
  </si>
  <si>
    <t>Bomba Peristáltica de 0,25 CV - Bomba para dosagem de Coletor 2.Modelo: BREDEL 10 ou similar. Peso: 0.02 t - BQ-2315SA-91</t>
  </si>
  <si>
    <t>4.1.8.2.37</t>
  </si>
  <si>
    <t>Bomba Peristáltica de 0,25 CV - Bomba para dosagem de Coletor 2. Modelo: BREDEL 10 ou similar. Peso: 0.02 t - BQ-2315SA-92</t>
  </si>
  <si>
    <t>4.1.8.2.38</t>
  </si>
  <si>
    <t>Bomba Peristáltica de 0,25 CV - Bomba para dosagem de Coletor 2. Modelo: BREDEL 10 ou similar. Peso: 0.02 t - BQ-2315SA-93</t>
  </si>
  <si>
    <t>4.1.8.2.39</t>
  </si>
  <si>
    <t>Bomba Peristáltica de 0,25 CV - Bomba para dosagem de Coletor 2. Modelo: BREDEL 10 ou similar. Peso: 0.02 t - BQ-2315SA-94</t>
  </si>
  <si>
    <t>4.1.8.2.40</t>
  </si>
  <si>
    <t>Bomba Peristáltica de 0,25 CV - Bomba para dosagem de Coletor 2. Modelo: BREDEL 10 ou similar. Peso: 0.02 t - BQ-2315SA-95</t>
  </si>
  <si>
    <t>4.1.8.2.41</t>
  </si>
  <si>
    <t>Bomba Peristáltica de 0,25 CV - Bomba para dosagem de Coletor 2. Modelo: BREDEL 10 ou similar. Peso: 0.02 t - BQ-2315SA-96</t>
  </si>
  <si>
    <t>4.1.8.2.42</t>
  </si>
  <si>
    <t>Bomba Peristáltica de 0,25 CV - Bomba para dosagem de Coletor 2. Modelo: BREDEL 10 ou similar. Peso: 0.02 t - BQ-2315SA-97</t>
  </si>
  <si>
    <t>4.1.8.2.43</t>
  </si>
  <si>
    <t>Bomba Peristáltica de 1 CV - Bomba para dosagem de Coletor 1. Modelo: BREDEL 25 ou similar. Peso: 0.07 t - BQ-2315SA-79</t>
  </si>
  <si>
    <t>4.1.8.2.44</t>
  </si>
  <si>
    <t>Bomba Peristáltica de 1 CV - Bomba para dosagem de Coletor 1. Modelo: BREDEL 25 ou similar. Peso: 0.07 t - BQ-2315SA-80</t>
  </si>
  <si>
    <t>4.1.8.2.45</t>
  </si>
  <si>
    <t>Bomba Peristáltica de 1 CV - Bomba para dosagem de Coletor 1. Modelo: BREDEL 25 ou similar. Peso: 0.03 t - BQ-2315SA-86</t>
  </si>
  <si>
    <t>4.1.8.2.46</t>
  </si>
  <si>
    <t>Bomba Peristáltica de 1 CV - Bomba para dosagem de Coletor 1. Modelo: BREDEL 25 ou similar. Peso: 0.03 t - BQ-2315SA-87</t>
  </si>
  <si>
    <t>4.1.8.2.47</t>
  </si>
  <si>
    <t>Bomba Peristáltica de 0,5 CV - Bomba para dosagem de Coletor 1. Modelo: BREDEL 20 ou similar. Peso: 0.03 t - BQ-2315SA-81</t>
  </si>
  <si>
    <t>4.1.8.2.48</t>
  </si>
  <si>
    <t>Bomba Peristáltica de 0,5 CV - Bomba para dosagem de Coletor 1. Modelo: BREDEL 20 ou similar. Peso: 0.03 t - BQ-2315SA-83</t>
  </si>
  <si>
    <t>4.1.8.2.49</t>
  </si>
  <si>
    <t>Bomba Peristáltica de 0,5 CV - Bomba para dosagem de Coletor 1. Modelo: BREDEL 20 ou similar. Peso: 0.03 t - BQ-2315SA-84</t>
  </si>
  <si>
    <t>4.1.8.2.50</t>
  </si>
  <si>
    <t>Bomba Peristáltica de 0,5 CV - Bomba para dosagem de Coletor 1. Modelo: BREDEL 20 ou similar. Peso: 0.03 t - BQ-2315SA-85</t>
  </si>
  <si>
    <t>4.1.8.2.51</t>
  </si>
  <si>
    <t>Bomba Peristáltica de 1,5 CV - Bomba para dosagem de Coletor 1. Modelo: BREDEL 32 ou similar. Peso: 0.07 t - BQ-2315SA-82</t>
  </si>
  <si>
    <t>4.1.8.2.52</t>
  </si>
  <si>
    <t>Bomba Peristáltica de 0,75 CV - Bomba de reagente para dosagem de floculante no espessador de concentrado. Modelo: BREDEL 25 ou similar. Peso: 0.06 t - BQ-23150SA-29</t>
  </si>
  <si>
    <t>4.1.8.2.53</t>
  </si>
  <si>
    <t>Bomba Peristáltica de 0,75 CV - Bomba de reagente para dosagem de floculante no espessador de concentrado. Modelo: BREDEL 25 ou similar. Peso: 0.06 t - BQ-2310SA-30</t>
  </si>
  <si>
    <t>4.1.8.3.1</t>
  </si>
  <si>
    <t>Bombas Centrífugas Horizontais de 1 CV - Bomba para transferência do Coletor 2 para o tanque de distribuição. Peso: 0.03 t - BQ-2315SA-09</t>
  </si>
  <si>
    <t>4.1.8.3.2</t>
  </si>
  <si>
    <t>Bombas Centrífugas Horizontais de 1 CV - Bomba para transferência do Coletor 2 para o tanque de distribuição. Peso: 0.30 t - BQ-2315SA-10</t>
  </si>
  <si>
    <t>4.1.8.3.3</t>
  </si>
  <si>
    <t>Bombas Centrífugas Horizontais de 1 CV - Bomba para transferência do Espumante 1 para o tanque de distribuição. Peso: 0.03 t - BQ-2315SA-15</t>
  </si>
  <si>
    <t>4.1.8.3.4</t>
  </si>
  <si>
    <t>Bombas Centrífugas Horizontais de 1 CV - Bomba para transferência do Espumante 1 para o tanque de distribuição. Peso: 0.03 t - BQ-2315SA-16</t>
  </si>
  <si>
    <t>4.1.8.3.5</t>
  </si>
  <si>
    <t>Bombas Centrífugas Horizontais de 1 CV - Bomba para transferência do Coletor 3 para o tanque de distribuição. Peso: 0.03 t - BQ-2315SA-23</t>
  </si>
  <si>
    <t>4.1.8.3.6</t>
  </si>
  <si>
    <t>Bombas Centrífugas Horizontais de 1 CV - Bomba para transferência do Coletor 3 para o tanque de distribuição. Peso: 0.03 t - BQ-2315SA-24</t>
  </si>
  <si>
    <t>4.1.8.3.7</t>
  </si>
  <si>
    <t>Bombas Centrífugas Horizontais de 1 CV - Bomba para transferência do Espumante 2 para o tanque de distribuição. Peso: 0.06 t - BQ-2315SA-39</t>
  </si>
  <si>
    <t>4.1.8.3.8</t>
  </si>
  <si>
    <t>Bombas Centrífugas Horizontais de 1 CV - Bomba para transferência do Espumante 2 para o tanque de distribuição. Peso: 0.06 t - BQ-2315SA-40</t>
  </si>
  <si>
    <t>4.1.8.3.9</t>
  </si>
  <si>
    <t>Bombas Centrífugas Horizontais de 2 CV - Bomba para transferência do Coletor 1 para o tanque de distribuição. Peso: 0.10 t - BQ-2315SA-01</t>
  </si>
  <si>
    <t>4.1.8.3.10</t>
  </si>
  <si>
    <t>Bombas Centrífugas Horizontais de 2 CV - Bomba para transferência do Coletor 1 para o tanque de distribuição. Peso: 0.10 t - BQ-2315SA-02</t>
  </si>
  <si>
    <t>4.1.8.3.11</t>
  </si>
  <si>
    <t>Bombas Centrífugas Horizontais de 5 CV - Bomba de polpa do sistema de coleta de pó das prensas de rolos. Modelo: millMAX-e 2 x 1,5 MMAA. Peso: 0.19 t - BP-2303SA-01</t>
  </si>
  <si>
    <t>4.1.8.3.12</t>
  </si>
  <si>
    <t>Bombas Centrífugas Horizontais de 5 CV - Bomba de polpa do sistema de coleta de pó das prensas de rolos. Modelo: millMAX-e 2 x 1,5 MMAA. Peso: 0.19 t - BP-2303SA-02</t>
  </si>
  <si>
    <t>4.1.8.3.13</t>
  </si>
  <si>
    <t>Bombas Centrífugas Horizontais de 5 CV - Bomba jokey do sistema de combate a incêndio - Fornecido em conjunto com as BA-5102SA-01/03 - - Peso ref.: 0,12 t. - BA-5102SA-02</t>
  </si>
  <si>
    <t>4.1.8.3.14</t>
  </si>
  <si>
    <t>Bombas Centrífugas Horizontais de 7,5 CV - Para água - - Peso ref.: 0,08 t - BA-5101SA-15</t>
  </si>
  <si>
    <t>4.1.8.3.15</t>
  </si>
  <si>
    <t>Bombas Centrífugas Horizontais de 7,5 CV - Para água - - Peso ref.: 0,08 t - BA-5101SA-16</t>
  </si>
  <si>
    <t>4.1.8.3.16</t>
  </si>
  <si>
    <t>Bombas Centrífugas Horizontais de 7,5 CV - Para água - Peso ref.: 0,07 t - BA-5103SA-01</t>
  </si>
  <si>
    <t>4.1.8.3.17</t>
  </si>
  <si>
    <t>Bombas Centrífugas Horizontais de 7,5 CV - Para água - Peso ref.: 0,07 t - BA-5103SA-02</t>
  </si>
  <si>
    <t>4.1.8.3.18</t>
  </si>
  <si>
    <t>Bombas Centrífugas Horizontais de 10 CV - Bomba de polpa do underflow do espessador de concentrado. Modelo: millMAX-e 3 x 2-8 MMAA. Peso 0.23 t - BP-2310SA-37</t>
  </si>
  <si>
    <t>4.1.8.3.19</t>
  </si>
  <si>
    <t>Bombas Centrífugas Horizontais de 10 CV - Bomba de polpa do underflow do espessador de concentrado. Modelo: millMAX-e 3 x 2-8 MMAA. Peso 0.23 t - BP-2310SA-38</t>
  </si>
  <si>
    <t>4.1.8.3.20</t>
  </si>
  <si>
    <t>Bombas Centrífugas Horizontais de 12,5 CV - Para água - Peso ref.: 0,12 t - BA-5102SA-04</t>
  </si>
  <si>
    <t>4.1.8.3.21</t>
  </si>
  <si>
    <t>Bombas Centrífugas Horizontais de 12,5 CV - Para água Peso ref.: 0,12 t - BA-5102SA-05</t>
  </si>
  <si>
    <t>4.1.8.3.22</t>
  </si>
  <si>
    <t>Bombas Centrífugas Horizontais de 15 CV - Bomba para transferência do leite de cal do tanque de preparação para o tanque de distribuição. Modelo: 3/2 AH ou similar. Peso: 0.20 t - BQ-2314SA-67</t>
  </si>
  <si>
    <t>4.1.8.3.23</t>
  </si>
  <si>
    <t>Bombas Centrífugas Horizontais de 15 CV - Bomba para transferência do leite de cal do tanque de preparação para o tanque de distribuição. Modelo: 3/2 AH ou similar. Peso: 0.20 t - BQ-2314SA-68</t>
  </si>
  <si>
    <t>4.1.8.3.24</t>
  </si>
  <si>
    <t>Bombas Centrífugas Horizontais de 75 CV - Para água - Peso ref.: 0,48 t - BA-5101SA-07</t>
  </si>
  <si>
    <t>4.1.8.3.25</t>
  </si>
  <si>
    <t>Bombas Centrífugas Horizontais de 75 CV - Para água - Peso ref.: 0,48 t - BA-5101SA-08</t>
  </si>
  <si>
    <t>4.1.8.3.26</t>
  </si>
  <si>
    <t>Bombas Centrífugas Horizontais para água de 75 CV - Peso ref.: 0,50 t. - BA-2303SA-01</t>
  </si>
  <si>
    <t>4.1.8.3.27</t>
  </si>
  <si>
    <t>Bombas Centrífugas Horizontais para água de 75 CV - Peso ref.: 0,50 t. - BA-2303SA-02</t>
  </si>
  <si>
    <t>4.1.8.3.28</t>
  </si>
  <si>
    <t>Bombas Centrífugas Horizontais de 3 CV - Bomba para transferência do caminhão tanque para o tanque de estocagem do Coletor 2. Peso: 0.60 t - BQ-2315SA-05</t>
  </si>
  <si>
    <t>4.1.8.3.29</t>
  </si>
  <si>
    <t>Bombas Centrífugas Horizontais de 3 CV - Bomba para transferência do caminhão tanque para o tanque de estocagem do Coletor 2. Peso: 0.60 t - BQ-2315SA-06</t>
  </si>
  <si>
    <t>4.1.8.3.30</t>
  </si>
  <si>
    <t>Bombas Centrífugas Horizontais de 20 CV - Para água - Peso ref.: 0,26 t - BA-5101SA-05</t>
  </si>
  <si>
    <t>4.1.8.3.31</t>
  </si>
  <si>
    <t>Bombas Centrífugas Horizontais de 25 CV - Bomba de distribuição de leite de cal. Modelo: 2/1.5 AH ou similar. Peso: 0.58 t - BQ-2314SA-31</t>
  </si>
  <si>
    <t>4.1.8.3.32</t>
  </si>
  <si>
    <t>Bombas Centrífugas Horizontais de 25 CV - Bomba de distribuição de leite de cal. Modelo: 2/1.5 AH ou similar. Peso: 0.58 t - BQ-2314SA-32</t>
  </si>
  <si>
    <t>4.1.8.3.33</t>
  </si>
  <si>
    <t>Bombas Centrífugas Horizontais de 25 CV - Para água - Peso ref.: 0,26 t - BA-5101SA-06</t>
  </si>
  <si>
    <t>4.1.8.3.34</t>
  </si>
  <si>
    <t>Bombas Centrífugas Horizontais de 30 CV - Bomba de polpa do overflow do espessador de concentrado. Modelo: millMAX-e 4 x 3-9,5 MMAA. Peso: 0.515 t - BP-2310SA-35</t>
  </si>
  <si>
    <t>4.1.8.3.35</t>
  </si>
  <si>
    <t>Bombas Centrífugas Horizontais de 30 CV - Bomba de polpa do overflow do espessador de concentrado. Modelo: millMAX-e 4 x 3-9,5 MMAA. Peso: 0.515 t - BP-2310SA-36</t>
  </si>
  <si>
    <t>4.1.8.3.36</t>
  </si>
  <si>
    <t>Bombas Centrífugas Horizontais de 40 CV - Bomba de polpa do mineroduto. Modelo: millMAX 3 x 2-9 MMAA. Peso: 0.57 t - BP-2310SA-31</t>
  </si>
  <si>
    <t>4.1.8.3.37</t>
  </si>
  <si>
    <t>Bombas Centrífugas Horizontais de 40 CV - Bomba de polpa do mineroduto. Modelo: millMAX 3 x 2-9 MMAA. Peso: 0.57 t - BP-2310SA-33</t>
  </si>
  <si>
    <t>4.1.8.3.38</t>
  </si>
  <si>
    <t>Bombas Centrífugas Horizontais de 40 CV - Bomba principal do sistema de combate a incêndio - Acionamento a motor elétrico - Fornecido em conjunto com as BA-5102SA-02/03 - Peso ref.: 0,45 t - Peso total de todo conjunto (Skid) estimado 4,245 t. - BA-5102SA-01</t>
  </si>
  <si>
    <t>4.1.8.3.39</t>
  </si>
  <si>
    <t>Bombas Centrífugas Horizontais de 40 CV - Bomba a diesel do sistema de combate a incêndio - Fornecido em conjunto com as BA-5102SA-01/02 ,  inclusive o motor de acionamento a diesel - Peso ref total.: 3,358 t - BA-5102SA-03</t>
  </si>
  <si>
    <t>4.1.8.3.40</t>
  </si>
  <si>
    <t>Bombas Centrífugas Horizontais de 50 CV - Bomba de polpa para transferência do concentrado da Rougher 1 para a Cleaner 1. Modelo: millMAX-e 6 x 4-13,4 MMA. Peso: 1.32 t - BP-2306SA-01</t>
  </si>
  <si>
    <t>4.1.8.3.41</t>
  </si>
  <si>
    <t>Bombas Centrífugas Horizontais de 50 CV - Bomba de polpa para transferência do concentrado da Rougher 1 para a Cleaner 1. Modelo: millMAX-e 6 x 4-13,4 MMA. Peso: 1.32 t - BP-2306SA-02</t>
  </si>
  <si>
    <t>4.1.8.3.42</t>
  </si>
  <si>
    <t>Bombas Centrífugas Horizontais de 50 CV - Bomba de polpa para transferência do concentrado da Rougher 1 para a Cleaner 1. Modelo: millMAX-e 6 x 4-13,4 MMA. Peso: 1.32 t - BP-2306SA-03</t>
  </si>
  <si>
    <t>4.1.8.3.43</t>
  </si>
  <si>
    <t>Bombas Centrífugas Horizontais de 50 CV - Bomba de polpa para transferência do concentrado da Rougher 1 para a Cleaner 1. Modelo: millMAX-e 6 x 4-13,4 MMA. Peso: 1.32 t - BP-2306SA-04</t>
  </si>
  <si>
    <t>4.1.8.3.44</t>
  </si>
  <si>
    <t>Bombas Centrífugas Horizontais de 60 CV - Bomba de polpa para transferência do concentrado da Cleaner 2 para a Cleaner 3. Modelo: millMAX-e 8 x 6-17 MMA. Peso: 1.17 t - BP-2307SA-24</t>
  </si>
  <si>
    <t>4.1.8.3.45</t>
  </si>
  <si>
    <t>Bombas Centrífugas Horizontais de 60 CV - Bomba de polpa para transferência do concentrado da Cleaner 2 para a Cleaner 3. Modelo: millMAX-e 8 x 6-17 MMA. Peso: 1.17 t - BP-2307SA-25</t>
  </si>
  <si>
    <t>4.1.8.3.46</t>
  </si>
  <si>
    <t>Bombas Centrífugas Horizontais de 60 CV - Bomba de polpa para transferência do concentrado da Cleaner 2 para a Cleaner 3. Modelo: millMAX-e 8 x 6-17 MMA. Peso: 1.17 t - BP-2307SA-26</t>
  </si>
  <si>
    <t>4.1.8.3.47</t>
  </si>
  <si>
    <t>Bombas Centrífugas Horizontais de 60 CV - Bomba de polpa para transferência do concentrado da Cleaner 2 para a Cleaner 3. Modelo: millMAX-e 8 x 6-17 MMA. Peso: 1.17 t - BP-2307SA-27</t>
  </si>
  <si>
    <t>4.1.8.3.48</t>
  </si>
  <si>
    <t>Bombas Centrífugas Horizontais de 60 CV - Bomba de polpa para transferência do rejeito da Cleaner 3 para a Cleaner 2. Modelo: millMAX-e 6 x 4-13 MMA. Peso: 1.04 t - BP-2307SA-28</t>
  </si>
  <si>
    <t>4.1.8.3.49</t>
  </si>
  <si>
    <t>Bombas Centrífugas Horizontais de 60 CV - Bomba de polpa para transferência do rejeito da Cleaner 3 para a Cleaner 2. Modelo: millMAX-e 6 x 4-13 MMA. Peso: 1.04 t - BP-2307SA-29</t>
  </si>
  <si>
    <t>4.1.8.3.50</t>
  </si>
  <si>
    <t>Bombas Centrífugas Horizontais de 60 CV - Bomba de polpa para transferência do rejeito da Cleaner 3 para a Cleaner 2. Modelo: millMAX-e 6 x 4-13 MMA. Peso: 1.04 t - BP-2307SA-30</t>
  </si>
  <si>
    <t>4.1.8.3.51</t>
  </si>
  <si>
    <t>Bombas Centrífugas Horizontais de 60 CV - Para água - Peso ref.: 0,59 t - BA-5101SA-03</t>
  </si>
  <si>
    <t>4.1.8.3.52</t>
  </si>
  <si>
    <t>Bombas Centrífugas Horizontais de 60 CV - Para água - Peso ref.: 0,59t - BA-5101SA-04</t>
  </si>
  <si>
    <t>4.1.8.3.53</t>
  </si>
  <si>
    <t>Bombas Centrífugas Horizontais de 125 CV - Para água - Peso ref.: 0,88 t. - BA-2305SA-01</t>
  </si>
  <si>
    <t>4.1.8.3.54</t>
  </si>
  <si>
    <t>Bombas Centrífugas Horizontais de 125 CV - Para água - Peso ref.: 0,88 t. - BA-2305SA-02</t>
  </si>
  <si>
    <t>4.1.8.3.55</t>
  </si>
  <si>
    <t>Bombas Centrífugas Horizontais de 100 CV - Para água - Para água - Peso ref.: 0,93 t - BA-5101SA-11</t>
  </si>
  <si>
    <t>4.1.8.3.56</t>
  </si>
  <si>
    <t>Bombas Centrífugas Horizontais de 175 CV - Bomba de polpa para transferência do concentrado da Cleaner 1 para a Cleaner 2. Modelo: millMAX-e 12 x 10-23,6 MMC. Peso: 3.44 t - BP-2307SA-17</t>
  </si>
  <si>
    <t>4.1.8.3.57</t>
  </si>
  <si>
    <t>Bombas Centrífugas Horizontais de 175 CV - Bomba de polpa para transferência do concentrado da Cleaner 1 para a Cleaner 2. Modelo: millMAX-e 12 x 10-23,6 MMC. Peso: 3.44 t - BP-2307SA-18</t>
  </si>
  <si>
    <t>4.1.8.3.58</t>
  </si>
  <si>
    <t>Bombas Centrífugas Horizontais de 175 CV - Bomba de polpa para transferência do concentrado da Cleaner 1 para a Cleaner 2. Modelo: millMAX-e 12 x 10-23,6 MMC. Peso: 3.44 t - BP-2307SA-19</t>
  </si>
  <si>
    <t>4.1.8.3.59</t>
  </si>
  <si>
    <t>Bombas Centrífugas Horizontais de 175 CV - Bomba de polpa para transferência do concentrado da Cleaner 1 para a Cleaner 2. Modelo: millMAX-e 12 x 10-23,6 MMC. Peso: 3.44 t - BP-2307SA-20</t>
  </si>
  <si>
    <t>4.1.8.3.60</t>
  </si>
  <si>
    <t>Bombas Centrífugas Horizontais de 250 CV - Bomba de polpa para transferência do rejeito da Cleaner 1 para a Scavenger do Cleaner. Modelo: millMAX-e 14 x 12-26 MMC. Peso: 4.15 t - BP-2307SA-05</t>
  </si>
  <si>
    <t>4.1.8.3.61</t>
  </si>
  <si>
    <t>Bombas Centrífugas Horizontais de 250 CV - Bomba de polpa para transferência do rejeito da Cleaner 1 para a Scavenger do Cleaner. Modelo: millMAX-e 14 x 12-26 MMC. Peso: 4.15 t - BP-2307SA-06</t>
  </si>
  <si>
    <t>4.1.8.3.62</t>
  </si>
  <si>
    <t>Bombas Centrífugas Horizontais de 250 CV - Bomba de polpa para transferência do rejeito da Cleaner 1 para a Scavenger do Cleaner. Modelo: millMAX-e 14 x 12-26 MMC. Peso: 4.15 t - BP-2307SA-07</t>
  </si>
  <si>
    <t>4.1.8.3.63</t>
  </si>
  <si>
    <t>Bombas Centrífugas Horizontais de 250 CV - Bomba de polpa para transferência do rejeito da Cleaner 1 para a Scavenger do Cleaner. Modelo: millMAX-e 14 x 12-26 MMC. Peso: 4.15 t - BP-2307SA-08</t>
  </si>
  <si>
    <t>4.1.8.3.64</t>
  </si>
  <si>
    <t>Bombas Centrífugas Horizontais de 250 CV - Bomba de polpa para transferência do rejeito da Cleaner 1 para a Scavenger do Cleaner. Modelo: millMAX-e 14 x 12-26 MMC. Peso: 4.15 t - BP-2307SA-09</t>
  </si>
  <si>
    <t>4.1.8.3.65</t>
  </si>
  <si>
    <t>Bombas Centrífugas Horizontais de 250 CV - Bomba de polpa para transferência do rejeito da Cleaner 1 para a Scavenger do Cleaner. Modelo: millMAX-e 14 x 12-26 MMC. Peso: 4.15 t - BP-2307SA-10</t>
  </si>
  <si>
    <t>4.1.8.3.66</t>
  </si>
  <si>
    <t>Bombas Centrífugas Horizontais de 250 CV - Bomba de polpa para transferência do rejeito da Cleaner 2 para a Cleaner 1. Modelo: millMAX-e 10 x 8-21,3 MMB. Peso: 2.55 t - BP-2307SA-21</t>
  </si>
  <si>
    <t>4.1.8.3.67</t>
  </si>
  <si>
    <t>Bombas Centrífugas Horizontais de 250 CV - Bomba de polpa para transferência do rejeito da Cleaner 2 para a Cleaner 1. Modelo: millMAX-e 10 x 8-21,3 MMB. Peso: 2.55 t - BP-2307SA-22</t>
  </si>
  <si>
    <t>4.1.8.3.68</t>
  </si>
  <si>
    <t>Bombas Centrífugas Horizontais de 250 CV - Bomba de polpa para transferência do rejeito da Cleaner 2 para a Cleaner 1. Modelo: millMAX-e 10 x 8-21,3 MMB. Peso: 2.55 t - BP-2307SA-23</t>
  </si>
  <si>
    <t>4.1.8.3.69</t>
  </si>
  <si>
    <t>Bombas Centrífugas Horizontais de 400 CV - Para água - Acionada por inversor de frequência - Peso ref.: 2,51 t - BA-5101SA-09</t>
  </si>
  <si>
    <t>4.1.8.3.70</t>
  </si>
  <si>
    <t>Bombas Centrífugas Horizontais de 400 CV - Para água - Acionada por inversor de frequência - Peso ref.: 2,51 t - BA-5101SA-10</t>
  </si>
  <si>
    <t>4.1.8.3.71</t>
  </si>
  <si>
    <t>Bombas Centrífugas Horizontais de 350 CV - Para água - Acionada por inversor de frequência - Peso ref.: 2,62 t - BA-5101SA-12</t>
  </si>
  <si>
    <t>4.1.8.3.72</t>
  </si>
  <si>
    <t>Bombas Centrífugas Horizontais de 350 CV - Para água - Acionada por inversor de frequência - Peso ref.: 2,62 t - BA-5101SA-13</t>
  </si>
  <si>
    <t>4.1.8.3.73</t>
  </si>
  <si>
    <t>Bombas Centrífugas Horizontais de 350 CV - Para água - Acionada por inversor de frequência - Peso ref.: 2,62 t - BA-5101SA-14</t>
  </si>
  <si>
    <t>4.1.8.3.74</t>
  </si>
  <si>
    <t>Bombas Centrífugas Horizontais de 1900 CV - Bomba de polpa bombeamento da caixa CX-2305SA-01 para a classificação da moagem. Modelo: millMAX 20 x 18-46 MME. Peso: 22.74 t - BP-2305SA-01</t>
  </si>
  <si>
    <t>4.1.8.3.75</t>
  </si>
  <si>
    <t>Bombas Centrífugas Horizontais de 1900 CV - Bomba de polpa bombeamento da caixa CX-2305SA-02 para a classificação da moagem. Modelo: millMAX 20 x 18-46 MME. Peso: 22.74 t - BP-2305SA-02</t>
  </si>
  <si>
    <t>4.1.8.3.76</t>
  </si>
  <si>
    <t>Bombas Centrífugas Horizontais de 1900 CV - Bomba de polpa bombeamento da caixa CX-2305SA-01 para a classificação da moagem. Modelo: millMAX 20 x 18-46 MME. Peso: 22.74 t - BP-2305SA-03</t>
  </si>
  <si>
    <t>4.1.8.3.77</t>
  </si>
  <si>
    <t>Bombas Centrífugas Horizontais de 1900 CV - Bomba de polpa bombeamento da caixa CX-2305SA-02 para a classificação da moagem. Modelo: millMAX 20 x 18-46 MME. Peso: 22.74 t - BP-2305SA-04</t>
  </si>
  <si>
    <t>4.1.8.3.78</t>
  </si>
  <si>
    <t>Bombas Centrífugas Horizontais de 650 CV - Bomba de polpa para transferência dos concentrados da Rougher 2, SFR e do Scavenger do Cleaner para a Remoagem. Modelo: millMAX 18 x 16-43 MMD. Peso: 17.1 t - BP-2308SA-31</t>
  </si>
  <si>
    <t>4.1.8.3.79</t>
  </si>
  <si>
    <t>Bombas Centrífugas Horizontais de 650 CV - Bomba de polpa para transferência dos concentrados da Rougher 2, SFR e do Scavenger do Cleaner para a Remoagem. Modelo: millMAX 18 x 16-43 MMD. Peso: 17.1 t - BP-2308SA-32</t>
  </si>
  <si>
    <t>4.1.8.3.80</t>
  </si>
  <si>
    <t>Bombas Centrífugas Horizontais de 650 CV - Bomba de polpa para transferência dos concentrados da Rougher 2, SFR e do Scavenger do Cleaner para a Remoagem. Modelo: millMAX 18 x 16-43 MMD. Peso: 17.1 t - BP-2308SA-33</t>
  </si>
  <si>
    <t>4.1.8.3.81</t>
  </si>
  <si>
    <t>Bombas Centrífugas Horizontais de 650 CV - Bomba de polpa para transferência dos concentrados da Rougher 2, SFR e do Scavenger do Cleaner para a Remoagem. Modelo: millMAX 18 x 16-43 MMD. Peso: 17.1 t - BP-2308SA-34</t>
  </si>
  <si>
    <t>4.1.8.3.82</t>
  </si>
  <si>
    <t>Bombas Centrífugas Horizontais de 550 CV - Bomba de polpa para transferência do overflow dos hidrociclones da remoagem para a Cleaner 1. Modelo: millMAX 16 x 14-29,5 MMC. Peso: 7 t - BP-2308SA-37</t>
  </si>
  <si>
    <t>4.1.8.3.83</t>
  </si>
  <si>
    <t>Bombas Centrífugas Horizontais de 550 CV - Bomba de polpa para transferência do overflow dos hidrociclones da remoagem para a Cleaner 1. Modelo: millMAX 16 x 14-29,5 MMC. Peso: 7 t - BP-2308SA-38</t>
  </si>
  <si>
    <t>4.1.8.3.84</t>
  </si>
  <si>
    <t>Bombas Centrífugas Horizontais de 550 CV - Bomba de polpa para transferência do overflow dos hidrociclones da remoagem para a Cleaner 1. Modelo: millMAX 16 x 14-29,5 MMC. Peso: 7 t - BP-2308SA-39</t>
  </si>
  <si>
    <t>4.1.8.3.85</t>
  </si>
  <si>
    <t>Bombas Centrífugas Horizontais de 550 CV - Bomba de polpa para transferência do overflow dos hidrociclones da remoagem para a Cleaner 1. Modelo: millMAX 16 x 14-29,5 MMC. Peso: 7 t - BP-2308SA-40</t>
  </si>
  <si>
    <t>4.1.8.4.1</t>
  </si>
  <si>
    <t>Bombas Centrífugas Verticais de 50CV - Bomba de drenagem do piso da flotação em colunas. Modelo: vMAX 3X3-13. Peso: 1.34 t - BP-2306SA-31</t>
  </si>
  <si>
    <t>4.1.8.4.2</t>
  </si>
  <si>
    <t>Bombas Centrífugas Verticais de 50CV - Bomba para drenagem do piso da remoagem. Modelo: xMAX 3X3-13. Peso: 1.34 t - BP-2308SA-41</t>
  </si>
  <si>
    <t>4.1.8.4.3</t>
  </si>
  <si>
    <t>Bombas Centrífugas Verticais de 100 CV - Bomba de drenagem da área da moagem. Modelo: xMAX 6X6-19. Peso: 2.3 t - BP-2305SA-05</t>
  </si>
  <si>
    <t>4.1.8.4.4</t>
  </si>
  <si>
    <t>Bombas Centrífugas Verticais de 100 CV - Bomba de drenagem da área da moagem. Modelo: xMAX 6X6-19. Peso: 2.3 t - BP-2305SA-06</t>
  </si>
  <si>
    <t>4.1.8.4.5</t>
  </si>
  <si>
    <t>Bombas Centrífugas Verticais de 100 CV - Bomba de drenagem do sump de emergência. Modelo: vMAX 6X6-19. Peso: 1.08 t - BP-2312SA-01</t>
  </si>
  <si>
    <t>4.1.8.4.6</t>
  </si>
  <si>
    <t>Bombas Centrífugas Verticais de 100 CV - Modelo: vMAX 2x2-10. Peso: 1.93 t</t>
  </si>
  <si>
    <t>4.1.8.4.7</t>
  </si>
  <si>
    <t>Bombas Centrífugas Verticais de 20 CV - Bomba para retorno do descarte de amostra do analisador para o processo. Modelo: vMAX 2X2-10. Peso: 1.29 t - BP-2306SA-05</t>
  </si>
  <si>
    <t>4.1.8.4.8</t>
  </si>
  <si>
    <t>Bombas Centrífugas Verticais de 60 CV - Bomba para drenagem do piso da flotação em células. Modelo: vMAX 3X3-13. Peso: 2.08 t - BP-2306SA-06</t>
  </si>
  <si>
    <t>4.1.8.4.9</t>
  </si>
  <si>
    <t>Bombas Centrífugas Verticais de 60 CV - Bomba para drenagem do piso da flotação em células. Modelo: vMAX 3X3-13. Peso: 2.08 t - BP-2306SA-07</t>
  </si>
  <si>
    <t>4.1.8.4.10</t>
  </si>
  <si>
    <t>Bombas Centrífugas Verticais de 60 CV - Bomba de drenagem do piso do espessamento de concentrado. Modelo: vMAX 3X3-13. Peso: 1.43 t - BP-2310SA-39</t>
  </si>
  <si>
    <t>4.1.9.1.1</t>
  </si>
  <si>
    <t>MC.021M</t>
  </si>
  <si>
    <t>Correias largura de 600mm - TR-2305SA-03 - Peso do transportador de correia, com desviador de fluxo e guincho 72.100 kg</t>
  </si>
  <si>
    <t>CMS M.10.35.000</t>
  </si>
  <si>
    <t>4.1.9.1.2</t>
  </si>
  <si>
    <t>Correias largura de 600mm - TR-2305SA-04 - Peso do transportador de correia, com extrator de sucatas e guincho 103.650 kg</t>
  </si>
  <si>
    <t>4.1.9.1.3</t>
  </si>
  <si>
    <t>Correias largura de 1200mm - TR-2301SA-01 - Peso do transportador de correia, com extrator de sucatas e guincho 215.820 kg. Casa de transferência 128.300 kg</t>
  </si>
  <si>
    <t>4.1.9.1.4</t>
  </si>
  <si>
    <t>Correias largura de 1400 mm - TR-2305SA-02 - Peso do transportador de correia, com extrator de sucatas e guincho 254.900 kg</t>
  </si>
  <si>
    <t>4.1.9.1.5</t>
  </si>
  <si>
    <t>Correias largura de 1600mm - TR-2301SA-02 - Peso do transportador de correia, com extrator de sucatas e guincho 417.990 kg</t>
  </si>
  <si>
    <t>4.1.9.1.6</t>
  </si>
  <si>
    <t>Correias largura de 1600mm - TR-2303SA-01 - Peso do transportador de correia, com extrator de sucatas e guincho 236.490 kg. Casa de transferência 51.500 kg</t>
  </si>
  <si>
    <t>4.1.9.1.7</t>
  </si>
  <si>
    <t>Correias largura de 1600mm - TR-2303SA-02 - Peso do transportador de correia com guincho 369.100  kg</t>
  </si>
  <si>
    <t>4.1.9.2.1</t>
  </si>
  <si>
    <t>Transportador de correia tipo sidewall - TR-2313SA-01 - Peso do transportador de correia 54.000 kg (peso inclui casa de transferência)</t>
  </si>
  <si>
    <t>4.1.9.3.1</t>
  </si>
  <si>
    <t>Transportadores Helicoidais - Capacidade nominal 4 t/h de projeto 4,8 t/h. Potência 2,2 kW - TAG: TR-2303SA-03 - Peso ref.: 0.85 t - TR-2303SA-03</t>
  </si>
  <si>
    <t>4.1.9.4.1</t>
  </si>
  <si>
    <t>Correias largura de 1200mm - AL-2301SA-01@04 - Peso do alimentador de correia 34.200 kg</t>
  </si>
  <si>
    <t>4.1.9.4.2</t>
  </si>
  <si>
    <t>4.1.9.4.3</t>
  </si>
  <si>
    <t>4.1.9.4.4</t>
  </si>
  <si>
    <t>4.1.9.4.5</t>
  </si>
  <si>
    <t>Correias largura de 2200mm - A:-2305SA-01@04 - Peso do alimentador de correia 39.400 kg</t>
  </si>
  <si>
    <t>4.1.9.4.6</t>
  </si>
  <si>
    <t>4.1.9.4.7</t>
  </si>
  <si>
    <t>4.1.9.4.8</t>
  </si>
  <si>
    <t>4.1.9.4.9</t>
  </si>
  <si>
    <t>Correias largura de 2600mm - AL-2303SA-01@03 - Peso do alimentador de correia, incluindo desviador de fluxo (flap) e unidade hidráulica 69.400 kg</t>
  </si>
  <si>
    <t>4.1.9.4.10</t>
  </si>
  <si>
    <t>4.1.9.4.11</t>
  </si>
  <si>
    <t>4.1.9.5.1</t>
  </si>
  <si>
    <t>Alimentador rotativo - Peso ref.: 9,0 t</t>
  </si>
  <si>
    <t>4.1.9.6.1</t>
  </si>
  <si>
    <t>Trocador de correia larguras até 2.600 mm - 01 bobinadeira motorizada com inversor de frequência - Peso ref.: 2,8 t</t>
  </si>
  <si>
    <t>4.1.10.1.1</t>
  </si>
  <si>
    <t>Amostrador Linear - Amostrador primário automático tipo linear para alimentação da flotação Rougher 1. Peso: 1.4 t - AM-2306SA-01</t>
  </si>
  <si>
    <t>4.1.10.1.2</t>
  </si>
  <si>
    <t>Amostrador Linear - Amostrador primário automático tipo linear para rejeito final. Peso: 1.4 t - AM-2306SA-15</t>
  </si>
  <si>
    <t>4.1.10.1.3</t>
  </si>
  <si>
    <t>Amostrador primário automático tipo linear para amostragem de concentrado final - Peso: 0.32 t - AM-2310SA-31</t>
  </si>
  <si>
    <t>4.1.10.2.1</t>
  </si>
  <si>
    <t>Amostrador Vezin - Amostrador secundário automático tipo "vezin" para alimentação da flotação Rougher 1. Peso: 0.10 t - AM-2306SA-02</t>
  </si>
  <si>
    <t>4.1.10.2.2</t>
  </si>
  <si>
    <t>Amostrador Vezin - Amostrador terciário automático tipo "vezin" para alimentação da flotação Rougher 1. Peso: 0.10 t - AM-2306SA-03</t>
  </si>
  <si>
    <t>4.1.10.2.3</t>
  </si>
  <si>
    <t>Amostrador Vezin - Amostrador secundário automático tipo "vezin" para rejeito final. Peso: 0.10 t - AM-2306SA-16</t>
  </si>
  <si>
    <t>4.1.10.2.4</t>
  </si>
  <si>
    <t>Amostrador Vezin - Amostrador terciário automático tipo "vezin" para rejeito final. Peso: 0.10 t - AM-2306SA-17</t>
  </si>
  <si>
    <t>4.1.10.2.5</t>
  </si>
  <si>
    <t>Amostrador secundário automático tipo "vezin" para amostragem de concentrado final - Peso: 0.09 t - AM-2310SA-32</t>
  </si>
  <si>
    <t>4.1.10.3.1</t>
  </si>
  <si>
    <t>Compressores tipo parafuso de 150 cv - Ar comprimido - Com inversor de frequência embarcado - - Peso ref.: 3,0 t. - CB-2316SA-01</t>
  </si>
  <si>
    <t>4.1.10.3.2</t>
  </si>
  <si>
    <t>Compressores tipo parafuso de 150 cv - Ar comprimido - Com inversor de frequência embarcado - - Peso ref.: 3,0 t. - CB-2316SA-02</t>
  </si>
  <si>
    <t>4.1.10.3.3</t>
  </si>
  <si>
    <t>Compressores tipo parafuso de 150 cv - Ar comprimido - Com inversor de frequência embarcado - - Peso ref.: 3,0 t. - CB-2316SA-03</t>
  </si>
  <si>
    <t>4.1.10.3.4</t>
  </si>
  <si>
    <t>Compressores tipo parafuso 500 cv - Ar comprimido - Com inversor de frequência embarcado - 1 (um) filtro de linha coalescente com capacidade de 278 Nm³/min incluso no fornecimento dos compressores CB-2316SA-04 @ 09. - Peso ref.: 5,26 t. - CB-2316SA-04</t>
  </si>
  <si>
    <t>4.1.10.3.5</t>
  </si>
  <si>
    <t>Compressores tipo parafuso 500 cv - Ar comprimido - Com inversor de frequência embarcado - Peso ref.: 5,26 t. - CB-2316SA-05</t>
  </si>
  <si>
    <t>4.1.10.3.6</t>
  </si>
  <si>
    <t>Compressores tipo parafuso 500 cv - Ar comprimido - Com inversor de frequência embarcado - Peso ref.: 5,26 t. - CB-2316SA-06</t>
  </si>
  <si>
    <t>4.1.10.3.7</t>
  </si>
  <si>
    <t>Compressores tipo parafuso 500 cv - Ar comprimido - Com inversor de frequência embarcado - Peso ref.: 5,26 t - CB-2316SA-07</t>
  </si>
  <si>
    <t>4.1.10.3.8</t>
  </si>
  <si>
    <t>Compressores tipo parafuso 500 cv - Ar comprimido - Com inversor de frequência embarcado - Peso ref.: 5,26 t - CB-2316SA-08</t>
  </si>
  <si>
    <t>4.1.10.3.9</t>
  </si>
  <si>
    <t>Compressores tipo parafuso 500 cv - Ar comprimido - Com inversor de frequência embarcado - Peso ref.: 5,26 t - CB-2316SA-09</t>
  </si>
  <si>
    <t>4.1.10.4.1</t>
  </si>
  <si>
    <t>Secador de ar tipo refrigeração de 10 cv - - Peso ref.: 0,33 t - SC-2316SA-01</t>
  </si>
  <si>
    <t>4.1.10.4.2</t>
  </si>
  <si>
    <t>Secador de ar tipo refrigeração de 10 cv - - Peso ref.: 0,33 t - SC-2316SA-02</t>
  </si>
  <si>
    <t>4.1.10.5.1</t>
  </si>
  <si>
    <t>2304</t>
  </si>
  <si>
    <t>Exaustores - Para sala de baterias, capacidade 460,8 m³/h - - Peso ref.: 0,05 t. - BO-2304SA-01</t>
  </si>
  <si>
    <t>4.1.10.5.2</t>
  </si>
  <si>
    <t>Exaustores - Para sala de baterias, capacidade 579,6 m3/h - - Peso ref.: 0,06 t. - BO-2305SA-01</t>
  </si>
  <si>
    <t>4.1.10.5.3</t>
  </si>
  <si>
    <t>2309</t>
  </si>
  <si>
    <t>Exaustores - Para sala de baterias, capacidade 504 m3/h - - Peso ref.: 0,06 t. - BO-2309SA-01</t>
  </si>
  <si>
    <t>4.1.10.6.1</t>
  </si>
  <si>
    <t>Ventilador - centrifugo para insuflamento do túnel da pilha de concentração - Peso ref.: 1,2 t. - BO-2301SA-01</t>
  </si>
  <si>
    <t>4.1.10.6.2</t>
  </si>
  <si>
    <t>Ventilador axial - para exaustão das baias de trafos - Peso ref.: 0,12 t. - BO-2305SA-02</t>
  </si>
  <si>
    <t>4.1.10.6.3</t>
  </si>
  <si>
    <t>Ventilador axial - para exaustão das baias de trafos - Peso ref.: 0,12 t. - BO-2305SA-03</t>
  </si>
  <si>
    <t>4.1.10.6.4</t>
  </si>
  <si>
    <t>Ventilador axial - para exaustão das baias de trafos - Peso ref.: 0,12 t. - BO-2305SA-04</t>
  </si>
  <si>
    <t>4.1.10.6.5</t>
  </si>
  <si>
    <t>Ventilador axial - para exaustão das baias de trafos - Peso ref.: 0,12 t. - BO-2305SA-05</t>
  </si>
  <si>
    <t>4.1.10.7.1</t>
  </si>
  <si>
    <t>Soprador Centrífugo para Célula de Flotação - Soprador tipo centrífugo, com tubulações de ar de sopro até o limite da casa de sopradores. Peso: 11.7 t - BO-2325SA-01</t>
  </si>
  <si>
    <t>4.1.10.7.2</t>
  </si>
  <si>
    <t>Soprador Centrífugo para Célula de Flotação - Soprador tipo centrífugo, com tubulações de ar de sopro até o limite da casa de sopradores. Peso: 11.7 t - BO-2325SA-02</t>
  </si>
  <si>
    <t>4.1.10.7.3</t>
  </si>
  <si>
    <t>Soprador Centrífugo para Célula de Flotação - Soprador tipo centrífugo, com tubulações de ar de sopro até o limite da casa de sopradores. Soprador reaproveitado das plantas existentes (Salobo I e II) - Peso: 11.7 t - BO-2325SA-03</t>
  </si>
  <si>
    <t>4.1.10.8.1</t>
  </si>
  <si>
    <t>Torres de Resfriamento com corpo em Fibra de Vidro - da HPGR, Multicelular, composta de 3 células, potência 5.5 + 5.5 + 5.5 kW. Peso de ref.: 4 t - TO-2303SA-01</t>
  </si>
  <si>
    <t>4.1.10.8.2</t>
  </si>
  <si>
    <t>Torres de Resfriamento com corpo em Fibra de Vidro - Da moagem - Multicelular, composta de 2 células. Peso de ref.: 2 t - TO-2305SA-01</t>
  </si>
  <si>
    <t>4.1.10.9.1</t>
  </si>
  <si>
    <t>Unidade Hidráulica - Unidade hidráulica para acionamento das válvulas do bombeamento da classificação da moagem. Peso: 0.3 t</t>
  </si>
  <si>
    <t>4.1.10.9.2</t>
  </si>
  <si>
    <t>4.1.10.9.3</t>
  </si>
  <si>
    <t>4.1.10.9.4</t>
  </si>
  <si>
    <t>4.1.10.9.5</t>
  </si>
  <si>
    <t>4.1.10.9.6</t>
  </si>
  <si>
    <t>4.1.10.9.7</t>
  </si>
  <si>
    <t>Unidade hidráulica para acionamento das válvulas do distribuidor de polpa DI-2306SA-01 - Peso: 0.3 t - UH-2306SA-01</t>
  </si>
  <si>
    <t>4.1.10.9.8</t>
  </si>
  <si>
    <t>Unidade hidráulica para acionamento das válvulas do distribuidor de polpa DI-2306SA-04 - Peso: 0.3 t - UH-2306SA-02</t>
  </si>
  <si>
    <t>4.1.10.10.1</t>
  </si>
  <si>
    <t>2321</t>
  </si>
  <si>
    <t>MC.022M</t>
  </si>
  <si>
    <t>Estaçao de tratamento de esgoto - Pertence à usina de beneficiamento - - Peso ref.: 3,620 t - ST-2321SA-01</t>
  </si>
  <si>
    <t>CMS M.10.70.000</t>
  </si>
  <si>
    <t>4.1.11.1.1</t>
  </si>
  <si>
    <t>MC.033E</t>
  </si>
  <si>
    <t>Ar Condicionado tipo Split - "Splitao" - Composto de unidade condensadora e evaporadora, gabinete,dutos, grades, filtros - Capacidade 20 TR - AC-2309SA-01</t>
  </si>
  <si>
    <t>CMS M.10.60.000</t>
  </si>
  <si>
    <t>4.1.11.1.2</t>
  </si>
  <si>
    <t>Ar Condicionado tipo Split - "Splitao" - Composto de unidade condensadora e evaporadora, gabinete,dutos, grades, filtros - Capacidade 20 TR - AC-2309SA-02</t>
  </si>
  <si>
    <t>4.1.11.1.3</t>
  </si>
  <si>
    <t>Ar Condicionado tipo Split - "Splitao" - Composto de unidade condensadora e evaporadora, gabinete,dutos, grades, filtros - Capacidade 20 TR - AC-2309SA-03</t>
  </si>
  <si>
    <t>4.1.11.1.4</t>
  </si>
  <si>
    <t>Ar Condicionado tipo Split - "Splitao" - Composto de unidade condensadora e evaporadora, gabinete,dutos, grades, filtros - Capacidade 20 TR - AC-2309SA-04</t>
  </si>
  <si>
    <t>4.1.11.1.5</t>
  </si>
  <si>
    <t>Ar Condicionado tipo Split - "Splitao" - Composto de unidade condensadora e evaporadora, gabinete,dutos, grades, filtros - Capacidade 60 TR - Capacidade 60 TR - AC-2304SA-01</t>
  </si>
  <si>
    <t>4.1.11.1.6</t>
  </si>
  <si>
    <t>Ar Condicionado tipo Split - "Splitao" - Composto de unidade condensadora e evaporadora, gabinete,dutos, grades, filtros - Capacidade 60 TR - Capacidade 60 TR - AC-2304SA-02</t>
  </si>
  <si>
    <t>4.1.11.1.7</t>
  </si>
  <si>
    <t>Ar Condicionado tipo Split - "Splitao" - Composto de unidade condensadora e evaporadora, gabinete,dutos, grades, filtros - Capacidade 60 TR - Capacidade 60 TR - AC-2304SA-03</t>
  </si>
  <si>
    <t>4.1.11.1.8</t>
  </si>
  <si>
    <t>Ar Condicionado tipo Split - "Splitao" - Composto de unidade condensadora e evaporadora, gabinete,dutos, grades, filtros - Capacidade 60 TR - Reserva - Capacidade 60 TR - AC-2304SA-04</t>
  </si>
  <si>
    <t>4.1.11.1.9</t>
  </si>
  <si>
    <t>Ar Condicionado tipo Split - "Splitao" - Composto de unidade condensadora e evaporadora, gabinete,dutos, grades, filtros - Capacidade 60 TR - AC-2305SA-01</t>
  </si>
  <si>
    <t>4.1.11.1.10</t>
  </si>
  <si>
    <t>Ar Condicionado tipo Split - "Splitao" - Composto de unidade condensadora e evaporadora, gabinete,dutos, grades, filtros - Capacidade 60 TR - AC-2305SA-02</t>
  </si>
  <si>
    <t>4.1.11.1.11</t>
  </si>
  <si>
    <t>Ar Condicionado tipo Split - "Splitao" - Composto de unidade condensadora e evaporadora, gabinete,dutos, grades, filtros - Capacidade 60 TR - AC-2305SA-03</t>
  </si>
  <si>
    <t>4.1.11.1.12</t>
  </si>
  <si>
    <t>Ar Condicionado tipo Split - "Splitao" - Composto de unidade condensadora e evaporadora, gabinete,dutos, grades, filtros - Capacidade 60 TR - AC-2305SA-04</t>
  </si>
  <si>
    <t>4.1.11.2.1</t>
  </si>
  <si>
    <t>Sistema de despoeiramento - Composto pelos FI-2303SA-01 - peso 11500 kg, BO-2303SA-01 peso 5000 kg e CW-2303SA-01 peso 500 kg e dutos peso 1163 kg, peso total 18,163 t + ou - 10%. - ST-2303SA-01</t>
  </si>
  <si>
    <t>CMS M.10.80.000</t>
  </si>
  <si>
    <t>4.1.11.3.1</t>
  </si>
  <si>
    <t>Sistema de Nebulizaçao - Skid composto por bomba, tanque, paineis de controle e força e bicos aspersores - ST-2301SA-01</t>
  </si>
  <si>
    <t>4.1.11.3.2</t>
  </si>
  <si>
    <t>Sistema de Nebulizaçao - Skid composto por bomba, tanque, paineis de controle e força e bicos aspersores - ST-2303SA-02</t>
  </si>
  <si>
    <t>4.1.11.4.1</t>
  </si>
  <si>
    <t>Sistema de Floculante - O sistema inclui silo SI-2315SA-01, uma rosca helicoidal dosadora DO-2315SA-01, um ejetor EJ-2315SA-01, um misturador MI-2310SA-01, um tanque TQ-2315SA-13 e um agitador AG-2315SA-04. Peso: 0.65 t - ST-2315SA-01</t>
  </si>
  <si>
    <t>4.1.11.5.1</t>
  </si>
  <si>
    <t>Sistema de Cal - Inclui 1 filtro de mangas FI-2314SA-01, 1 ventilador BO-2314SA-02, 1 válvula para bloqueio de saída do silo, 1 válvula rotativa DO-2314SA-02, 1 balança dosadora BL-2314SA-01 e 1 motovibrador EE-2314SA-01. Peso: 4.1t - ST-2314SA-01</t>
  </si>
  <si>
    <t>4.1.12.1.1</t>
  </si>
  <si>
    <t>Máquina para Troca de Revestimento de Moinho - Peso ref.: 34,0 t</t>
  </si>
  <si>
    <t>4.2.1.1.1</t>
  </si>
  <si>
    <t>Retificador Carregador de Baterias 125Vcc - 25A - BC-2304SA-01</t>
  </si>
  <si>
    <t>CMS M.20.16.000</t>
  </si>
  <si>
    <t>4.2.1.1.2</t>
  </si>
  <si>
    <t>Retificador Carregador de Baterias 125Vcc - 35A - BC-2305SA-01</t>
  </si>
  <si>
    <t>4.2.1.1.3</t>
  </si>
  <si>
    <t>Retificador Carregador de Baterias 125Vcc - 35A - BC-2309SA-01</t>
  </si>
  <si>
    <t>4.2.1.2.1</t>
  </si>
  <si>
    <t>Banco de Baterias 48Ah - BT-2304SA-02</t>
  </si>
  <si>
    <t>4.2.1.2.2</t>
  </si>
  <si>
    <t>Banco de Baterias 65Ah - BT-2309SA-02</t>
  </si>
  <si>
    <t>4.2.1.2.3</t>
  </si>
  <si>
    <t>Banco de Baterias 95Ah - BT-2305SA-03</t>
  </si>
  <si>
    <t>4.2.2.1.1</t>
  </si>
  <si>
    <t>MC.034E</t>
  </si>
  <si>
    <t>Centro de Controle de Motores, Classe de Tensao 0,6/1kV - 400A - MC-2309SA-06 - 3 colunas</t>
  </si>
  <si>
    <t>CMS M.20.20.000</t>
  </si>
  <si>
    <t>4.2.2.1.2</t>
  </si>
  <si>
    <t>Centro de Controle de Motores, Classe de Tensão 0,6/1kV - 630A - 7 colunas - MC-2309SA-04</t>
  </si>
  <si>
    <t>4.2.2.1.3</t>
  </si>
  <si>
    <t>Centro de Controle de Motores, Classe de Tensao 0,6/1kV - 1.000A - MC-2304SA-04 - 4 colunas</t>
  </si>
  <si>
    <t>4.2.2.1.4</t>
  </si>
  <si>
    <t>Centro de Controle de Motores, Classe de Tensao 0,6/1kV - 1.000A - MC-2309SA-05 - 4 colunas</t>
  </si>
  <si>
    <t>4.2.2.1.5</t>
  </si>
  <si>
    <t>Centro de Controle de Motores, Classe de Tensão 0,6/1kV - 1250A - 3 colunas - MC-2305SA-08</t>
  </si>
  <si>
    <t>4.2.2.1.6</t>
  </si>
  <si>
    <t>Centro de Controle de Motores, Classe de Tensao 0,6/1kV - 2000A - MC-2304SA-03 - 13 colunas</t>
  </si>
  <si>
    <t>4.2.2.1.7</t>
  </si>
  <si>
    <t>Centro de Controle de Motores, Classe de Tensao 0,6/1kV - 2000A - MC-2305SA-09 - 7 colunas</t>
  </si>
  <si>
    <t>4.2.2.1.8</t>
  </si>
  <si>
    <t>Centro de Controle de Motores, Classe de Tensao 0,6/1kV - 2000A - MC-2309SA-03 - 4 colunas</t>
  </si>
  <si>
    <t>4.2.2.1.9</t>
  </si>
  <si>
    <t>Centro de Controle de Motores, Classe de Tensao 0,6/1kV - 2500A - MC-2309SA-02 - 5 colunas</t>
  </si>
  <si>
    <t>4.2.2.1.10</t>
  </si>
  <si>
    <t>Centro de Controle de Motores, Classe de Tensão 0,6/1kV - 3200A - 4 colunas - MC-2305SA-04</t>
  </si>
  <si>
    <t>4.2.2.1.11</t>
  </si>
  <si>
    <t>Centro de Controle de Motores, Classe de Tensao 0,6/1kV - 3200A - MC-2305SA-06 - 8 colunas</t>
  </si>
  <si>
    <t>4.2.2.1.12</t>
  </si>
  <si>
    <t>Centro de Controle de Motores, Classe de Tensao 0,6/1kV - 3200A - MC-2305SA-07 - 7 colunas</t>
  </si>
  <si>
    <t>4.2.2.1.13</t>
  </si>
  <si>
    <t>Centro de Controle de Motores, Classe de Tensao 0,6/1kV - 4000A - MC-2305SA-03 - 16 colunas</t>
  </si>
  <si>
    <t>4.2.2.1.14</t>
  </si>
  <si>
    <t>Centro de Controle de Motores, Classe de Tensao 0,6/1kV - 4000A - MC-2305SA-05 - 14 colunas</t>
  </si>
  <si>
    <t>4.2.2.2.1</t>
  </si>
  <si>
    <t>Centro de Controle de Motores, Classe de Tensao 3,6/6kV - 1250A - MC-2305SA-01 - 18 colunas</t>
  </si>
  <si>
    <t>4.2.2.2.2</t>
  </si>
  <si>
    <t>Centro de Controle de Motores, Classe de Tensao 3,6/6kV - 1250A - MC-2305SA-02 - 18 colunas</t>
  </si>
  <si>
    <t>4.2.2.2.3</t>
  </si>
  <si>
    <t>Centro de Controle de Motores, Classe de Tensao 3,6/6kV - 1250A - MC-2309SA-01 - 5 colunas</t>
  </si>
  <si>
    <t>4.2.2.2.4</t>
  </si>
  <si>
    <t>Centro de Controle de Motores, Classe de Tensão 3,6/6kV - 1250A - MC-2304SA-02 - 7 colunas</t>
  </si>
  <si>
    <t>4.2.2.2.5</t>
  </si>
  <si>
    <t>Centro de Controle de Motores, Classe de Tensão 3,6/6kV - 2000A - MC-2304SA-01 - 9 colunas</t>
  </si>
  <si>
    <t>4.2.3.1.1</t>
  </si>
  <si>
    <t>Subestação Tipo Eletrocentro, Composta De 1 Módulo De Container - subestação com cicloconversor - MO-2305SA-01</t>
  </si>
  <si>
    <t>CMS M.20.44.000</t>
  </si>
  <si>
    <t>4.2.3.1.2</t>
  </si>
  <si>
    <t>Subestação Tipo Eletrocentro, Composta De 1 Módulo De Container - subestação com cicloconversor - MO-2305SA-02</t>
  </si>
  <si>
    <t>4.2.4.1.1</t>
  </si>
  <si>
    <t>Grupo Gerador de emergência, classe de tensão 0,6/1kV, 260kVA - GE-2309SA-01</t>
  </si>
  <si>
    <t>4.2.4.1.2</t>
  </si>
  <si>
    <t>Grupo Gerador de emergência, classe de tensão 0,6/1kV, 600kVA - GE-2305SA-01</t>
  </si>
  <si>
    <t>4.2.4.1.3</t>
  </si>
  <si>
    <t>Grupo Gerador de emergência, classe de tensão 0,6/1kV, 600kVA - GE-2305SA-02</t>
  </si>
  <si>
    <t>4.2.5.1.1</t>
  </si>
  <si>
    <t>Painel de Múltiplos Inversores de Frequência, Classe de Tensão 0,6/1kV - 2 x 7,5 KW - FC-2309SA-06</t>
  </si>
  <si>
    <t>4.2.5.1.2</t>
  </si>
  <si>
    <t>Painel de Múltiplos Inversores de Frequência, Classe de Tensão 0,6/1kV - 2 x 11 KW - FC-2304SA-12</t>
  </si>
  <si>
    <t>4.2.5.1.3</t>
  </si>
  <si>
    <t>Painel de Múltiplos Inversores de Frequência, Classe de Tensão 0,6/1kV - 2 x 22 KW + 1 x 3,7 KW - FC-2309SA-05</t>
  </si>
  <si>
    <t>4.2.5.1.4</t>
  </si>
  <si>
    <t>Painel de Múltiplos Inversores de Frequência, Classe de Tensão 0,6/1kV - 2 x 30 KW - FC-2309SA-11</t>
  </si>
  <si>
    <t>4.2.5.1.5</t>
  </si>
  <si>
    <t>Painel de Múltiplos Inversores de Frequência, Classe de Tensão 0,6/1kV - 2 x 37 KW - FC-2304SA-01</t>
  </si>
  <si>
    <t>4.2.5.1.6</t>
  </si>
  <si>
    <t>Painel de Múltiplos Inversores de Frequência, Classe de Tensão 0,6/1kV - 2 x 37 KW - FC-2304SA-02</t>
  </si>
  <si>
    <t>4.2.5.1.7</t>
  </si>
  <si>
    <t>Painel de Múltiplos Inversores de Frequência, Classe de Tensão 0,6/1kV - 4 x 0,18KW - FC-2309SA-13</t>
  </si>
  <si>
    <t>4.2.5.1.8</t>
  </si>
  <si>
    <t>Painel de Múltiplos Inversores de Frequência, Classe de Tensão 0,6/1kV - 4 x 0,18KW - FC-2309SA-14</t>
  </si>
  <si>
    <t>4.2.5.1.9</t>
  </si>
  <si>
    <t>Painel de Múltiplos Inversores de Frequência, Classe de Tensão 0,6/1kV - 4 x 0,18KW - FC-2309SA-16</t>
  </si>
  <si>
    <t>4.2.5.1.10</t>
  </si>
  <si>
    <t>Painel de Múltiplos Inversores de Frequência, Classe de Tensão 0,6/1kV - 4 x 0,18KW - FC-2309SA-21</t>
  </si>
  <si>
    <t>4.2.5.1.11</t>
  </si>
  <si>
    <t>Painel de Múltiplos Inversores de Frequência, Classe de Tensão 0,6/1kV - 4 x 0,18KW - FC-2309SA-22</t>
  </si>
  <si>
    <t>4.2.5.1.12</t>
  </si>
  <si>
    <t>Painel de Múltiplos Inversores de Frequência, Classe de Tensão 0,6/1kV - 4 x 0,18KW - FC-2309SA-24</t>
  </si>
  <si>
    <t>4.2.5.1.13</t>
  </si>
  <si>
    <t>Painel de Múltiplos Inversores de Frequência, Classe de Tensão 0,6/1kV - 3 x 0,18 KW + 1 x 0,25KW - FC-2309SA-17</t>
  </si>
  <si>
    <t>4.2.5.1.14</t>
  </si>
  <si>
    <t>Painel de Múltiplos Inversores de Frequência, Classe de Tensão 0,6/1kV - 3 x 0,37 KW + 1 x 0,25KW - FC-2309SA-18</t>
  </si>
  <si>
    <t>4.2.5.1.15</t>
  </si>
  <si>
    <t>Painel de Múltiplos Inversores de Frequência, Classe de Tensão 0,6/1kV - 2 x 0,37 KW + 2 x 0,18KW - FC-2309SA-20</t>
  </si>
  <si>
    <t>4.2.5.1.16</t>
  </si>
  <si>
    <t>Painel de Múltiplos Inversores de Frequência, Classe de Tensão 0,6/1kV - 2 x 18,5 KW + 1 x 0,25 KW + 2 x 0,55 Kw - FC-2309SA-12</t>
  </si>
  <si>
    <t>4.2.5.1.17</t>
  </si>
  <si>
    <t>Painel de Múltiplos Inversores de Frequência, Classe de Tensão 0,6/1kV - 4 x 0,37 KW - FC-2309SA-19</t>
  </si>
  <si>
    <t>4.2.5.1.18</t>
  </si>
  <si>
    <t>Painel de Múltiplos Inversores de Frequência, Classe de Tensão 0,6/1kV - 5 x 0,18KW - FC-2309SA-15</t>
  </si>
  <si>
    <t>4.2.5.1.19</t>
  </si>
  <si>
    <t>Painel de Múltiplos Inversores de Frequência, Classe de Tensão 0,6/1kV - 6 x 0,18KW - FC-2309SA-25</t>
  </si>
  <si>
    <t>4.2.5.2.1</t>
  </si>
  <si>
    <t>Painel Individual de Inversor de Frequência, Classe de Tensão 0,6/1kV - 55KW - FC-2305SA-04</t>
  </si>
  <si>
    <t>4.2.5.2.2</t>
  </si>
  <si>
    <t>Painel Individual de Inversor de Frequência, Classe de Tensão 0,6/1kV - 55KW - FC-2305SA-05</t>
  </si>
  <si>
    <t>4.2.5.2.3</t>
  </si>
  <si>
    <t>Painel Individual de Inversor de Frequência, Classe de Tensão 0,6/1kV - 55KW - FC-2305SA-21</t>
  </si>
  <si>
    <t>4.2.5.2.4</t>
  </si>
  <si>
    <t>Painel Individual de Inversor de Frequência, Classe de Tensão 0,6/1kV - 55KW - FC-2305SA-22</t>
  </si>
  <si>
    <t>4.2.5.2.5</t>
  </si>
  <si>
    <t>Painel Individual de Inversor de Frequência, Classe de Tensão 0,6/1kV - 90KW - FC-2305SA-44</t>
  </si>
  <si>
    <t>4.2.5.2.6</t>
  </si>
  <si>
    <t>Painel Individual de Inversor de Frequência, Classe de Tensão 0,6/1kV - 90KW - FC-2305SA-45</t>
  </si>
  <si>
    <t>4.2.5.2.7</t>
  </si>
  <si>
    <t>Painel Individual de Inversor de Frequência, Classe de Tensão 0,6/1kV - 90KW - FC-2305SA-46</t>
  </si>
  <si>
    <t>4.2.5.2.8</t>
  </si>
  <si>
    <t>Painel Individual de Inversor de Frequência, Classe de Tensão 0,6/1kV - 90KW - FC-2305SA-47</t>
  </si>
  <si>
    <t>4.2.5.2.9</t>
  </si>
  <si>
    <t>Painel Individual de Inversor de Frequência, Classe de Tensão 0,6/1kV - 37KW - FC-2309SA-23</t>
  </si>
  <si>
    <t>4.2.5.2.10</t>
  </si>
  <si>
    <t>Painel Individual de Inversor de Frequência, Classe de Tensão 0,6/1kV - 45KW - FC-2305SA-11</t>
  </si>
  <si>
    <t>4.2.5.2.11</t>
  </si>
  <si>
    <t>Painel Individual de Inversor de Frequência, Classe de Tensão 0,6/1kV - 45KW - FC-2305SA-28</t>
  </si>
  <si>
    <t>4.2.5.2.12</t>
  </si>
  <si>
    <t>Painel Individual de Inversor de Frequência, Classe de Tensão 0,6/1kV - 45KW - FC-2305SA-29</t>
  </si>
  <si>
    <t>4.2.5.2.13</t>
  </si>
  <si>
    <t>Painel Individual de Inversor de Frequência, Classe de Tensão 0,6/1kV - 45KW - FC-2305SA-30</t>
  </si>
  <si>
    <t>4.2.5.2.14</t>
  </si>
  <si>
    <t>Painel Individual de Inversor de Frequência, Classe de Tensão 0,6/1kV - 75KW - FC-2305SA-12</t>
  </si>
  <si>
    <t>4.2.5.2.15</t>
  </si>
  <si>
    <t>Painel Individual de Inversor de Frequência, Classe de Tensão 0,6/1kV - 75KW - FC-2305SA-13</t>
  </si>
  <si>
    <t>4.2.5.2.16</t>
  </si>
  <si>
    <t>Painel Individual de Inversor de Frequência, Classe de Tensão 0,6/1kV - 75KW - FC-2305SA-14</t>
  </si>
  <si>
    <t>4.2.5.2.17</t>
  </si>
  <si>
    <t>Painel Individual de Inversor de Frequência, Classe de Tensão 0,6/1kV - 110KW - FC-2304SA-03</t>
  </si>
  <si>
    <t>4.2.5.2.18</t>
  </si>
  <si>
    <t>Painel Individual de Inversor de Frequência, Classe de Tensão 0,6/1kV - 110KW - FC-2304SA-04</t>
  </si>
  <si>
    <t>4.2.5.2.19</t>
  </si>
  <si>
    <t>Painel Individual de Inversor de Frequência, Classe de Tensão 0,6/1kV - 110KW - FC-2304SA-05</t>
  </si>
  <si>
    <t>4.2.5.2.20</t>
  </si>
  <si>
    <t>Painel Individual de Inversor de Frequência, Classe de Tensão 0,6/1kV - 132KW - FC-2305SA-06</t>
  </si>
  <si>
    <t>4.2.5.2.21</t>
  </si>
  <si>
    <t>Painel Individual de Inversor de Frequência, Classe de Tensão 0,6/1kV - 132KW - FC-2305SA-07</t>
  </si>
  <si>
    <t>4.2.5.2.22</t>
  </si>
  <si>
    <t>Painel Individual de Inversor de Frequência, Classe de Tensão 0,6/1kV - 132KW - FC-2305SA-26</t>
  </si>
  <si>
    <t>4.2.5.2.23</t>
  </si>
  <si>
    <t>Painel Individual de Inversor de Frequência, Classe de Tensão 0,6/1kV - 132KW - FC-2305SA-27</t>
  </si>
  <si>
    <t>4.2.5.2.24</t>
  </si>
  <si>
    <t>Painel Individual de Inversor de Frequência, Classe de Tensão 0,6/1kV - 185KW - FC-2305SA-08</t>
  </si>
  <si>
    <t>4.2.5.2.25</t>
  </si>
  <si>
    <t>Painel Individual de Inversor de Frequência, Classe de Tensão 0,6/1kV - 185KW - FC-2305SA-09</t>
  </si>
  <si>
    <t>4.2.5.2.26</t>
  </si>
  <si>
    <t>Painel Individual de Inversor de Frequência, Classe de Tensão 0,6/1kV - 185KW - FC-2305SA-10</t>
  </si>
  <si>
    <t>4.2.5.2.27</t>
  </si>
  <si>
    <t>Painel Individual de Inversor de Frequência, Classe de Tensão 0,6/1kV - 220KW - FC-2305SA-01</t>
  </si>
  <si>
    <t>4.2.5.2.28</t>
  </si>
  <si>
    <t>Painel Individual de Inversor de Frequência, Classe de Tensão 0,6/1kV - 220KW - FC-2305SA-02</t>
  </si>
  <si>
    <t>4.2.5.2.29</t>
  </si>
  <si>
    <t>Painel Individual de Inversor de Frequência, Classe de Tensão 0,6/1kV - 220KW - FC-2305SA-19</t>
  </si>
  <si>
    <t>4.2.5.2.30</t>
  </si>
  <si>
    <t>Painel Individual de Inversor de Frequência, Classe de Tensão 0,6/1kV - 220KW - FC-2305SA-23</t>
  </si>
  <si>
    <t>4.2.5.2.31</t>
  </si>
  <si>
    <t>Painel Individual de Inversor de Frequência, Classe de Tensão 0,6/1kV - 220KW - FC-2305SA-24</t>
  </si>
  <si>
    <t>4.2.5.2.32</t>
  </si>
  <si>
    <t>Painel Individual de Inversor de Frequência, Classe de Tensão 0,6/1kV - 220KW - FC-2305SA-25</t>
  </si>
  <si>
    <t>4.2.5.2.33</t>
  </si>
  <si>
    <t>Painel Individual de Inversor de Frequência, Classe de Tensão 0,6/1kV - 300KW - FC-2305SA-39</t>
  </si>
  <si>
    <t>4.2.5.2.34</t>
  </si>
  <si>
    <t>Painel Individual de Inversor de Frequência, Classe de Tensão 0,6/1kV - 300KW - FC-2305SA-40</t>
  </si>
  <si>
    <t>4.2.5.2.35</t>
  </si>
  <si>
    <t>Painel Individual de Inversor de Frequência, Classe de Tensão 0,6/1kV - 300KW - FC-2305SA-41</t>
  </si>
  <si>
    <t>4.2.5.2.36</t>
  </si>
  <si>
    <t>Painel Individual de Inversor de Frequência, Classe de Tensão 0,6/1kV - 300KW - FC-2305SA-42</t>
  </si>
  <si>
    <t>4.2.5.2.37</t>
  </si>
  <si>
    <t>Painel Individual de Inversor de Frequência, Classe de Tensão 0,6/1kV - 300KW - FC-2305SA-43</t>
  </si>
  <si>
    <t>4.2.5.2.38</t>
  </si>
  <si>
    <t>Painel Individual de Inversor de Frequência, Classe de Tensão 0,6/1kV - 440KW - FC-2309SA-03</t>
  </si>
  <si>
    <t>4.2.5.2.39</t>
  </si>
  <si>
    <t>Painel Individual de Inversor de Frequência, Classe de Tensão 0,6/1kV - 440KW - FC-2309SA-04</t>
  </si>
  <si>
    <t>4.2.5.2.40</t>
  </si>
  <si>
    <t>Painel Individual de Inversor de Frequência, Classe de Tensão 0,6/1kV - 440KW - FC-2309SA-09</t>
  </si>
  <si>
    <t>4.2.5.2.41</t>
  </si>
  <si>
    <t>Painel Individual de Inversor de Frequência, Classe de Tensão 0,6/1kV - 440KW - FC-2309SA-10</t>
  </si>
  <si>
    <t>4.2.5.2.42</t>
  </si>
  <si>
    <t>Painel Individual de Inversor de Frequência, Classe de Tensão 0,6/1kV - 515KW - FC-2309SA-01</t>
  </si>
  <si>
    <t>4.2.5.2.43</t>
  </si>
  <si>
    <t>Painel Individual de Inversor de Frequência, Classe de Tensão 0,6/1kV - 515KW - FC-2309SA-02</t>
  </si>
  <si>
    <t>4.2.5.2.44</t>
  </si>
  <si>
    <t>Painel Individual de Inversor de Frequência, Classe de Tensão 0,6/1kV - 515KW - FC-2309SA-07</t>
  </si>
  <si>
    <t>4.2.5.2.45</t>
  </si>
  <si>
    <t>Painel Individual de Inversor de Frequência, Classe de Tensão 0,6/1kV - 515KW - FC-2309SA-08</t>
  </si>
  <si>
    <t>4.2.5.3.1</t>
  </si>
  <si>
    <t>Inversor de frequência - 4 Quadrantes e regenerativo, Classe de Tensão 3,6/6kV - 1400 kW - FC-2305SA-35</t>
  </si>
  <si>
    <t>4.2.5.3.2</t>
  </si>
  <si>
    <t>Inversor de frequência - 4 Quadrantes e regenerativo, Classe de Tensão 3,6/6kV - 1400 kW - FC-2305SA-36</t>
  </si>
  <si>
    <t>4.2.5.3.3</t>
  </si>
  <si>
    <t>Inversor de frequência - 4 Quadrantes e regenerativo, Classe de Tensão 3,6/6kV - 1400 kW - FC-2305SA-37</t>
  </si>
  <si>
    <t>4.2.5.3.4</t>
  </si>
  <si>
    <t>Inversor de frequência - 4 Quadrantes e regenerativo, Classe de Tensão 3,6/6kV - 1400 kW - FC-2305SA-38</t>
  </si>
  <si>
    <t>4.2.5.3.5</t>
  </si>
  <si>
    <t>Inversor de frequência - 4 Quadrantes e regenerativo, Classe de Tensão 3,6/6kV - 1800 kW - FC-2304SA-06</t>
  </si>
  <si>
    <t>4.2.5.3.6</t>
  </si>
  <si>
    <t>Inversor de frequência - 4 Quadrantes e regenerativo, Classe de Tensão 3,6/6kV - 1800 kW - FC-2304SA-07</t>
  </si>
  <si>
    <t>4.2.5.3.7</t>
  </si>
  <si>
    <t>Inversor de frequência - 4 Quadrantes e regenerativo, Classe de Tensão 3,6/6kV - 1800 kW - FC-2304SA-08</t>
  </si>
  <si>
    <t>4.2.5.3.8</t>
  </si>
  <si>
    <t>Inversor de frequência - 4 Quadrantes e regenerativo, Classe de Tensão 3,6/6kV - 1800 kW - FC-2304SA-09</t>
  </si>
  <si>
    <t>4.2.5.3.9</t>
  </si>
  <si>
    <t>Inversor de frequência - 4 Quadrantes e regenerativo, Classe de Tensão 3,6/6kV - 1800 kW - FC-2304SA-10</t>
  </si>
  <si>
    <t>4.2.5.3.10</t>
  </si>
  <si>
    <t>Inversor de frequência - 4 Quadrantes e regenerativo, Classe de Tensão 3,6/6kV - 1800 kW - FC-2304SA-11</t>
  </si>
  <si>
    <t>4.2.6.1.1</t>
  </si>
  <si>
    <t>Painel de iluminaçao, 380/220V, 3o, 60Hz, In 100A, Icc 10kA sim., IP-42 - PL-2304SA-01</t>
  </si>
  <si>
    <t>4.2.6.1.2</t>
  </si>
  <si>
    <t>Painel de iluminaçao, 380/220V, 3o, 60Hz, In 100A, Icc 10kA sim., IP-42 - PL-2305SA-01</t>
  </si>
  <si>
    <t>4.2.6.1.3</t>
  </si>
  <si>
    <t>Painel de iluminaçao, 380/220V, 3o, 60Hz, In 100A, Icc 10kA sim., IP-42 - PL-2309SA-01</t>
  </si>
  <si>
    <t>4.2.7.1.1</t>
  </si>
  <si>
    <t>Quadro de Distribuiçao de 125Vcc - QD-2304SA-03</t>
  </si>
  <si>
    <t>4.2.7.1.2</t>
  </si>
  <si>
    <t>Quadro de Distribuiçao de 125Vcc - QD-2305SA-03</t>
  </si>
  <si>
    <t>4.2.7.1.3</t>
  </si>
  <si>
    <t>Quadro de Distribuiçao de 125Vcc - QD-2309SA-05</t>
  </si>
  <si>
    <t>4.2.7.2.1</t>
  </si>
  <si>
    <t>Quadro de Distribuição, Classe de Tensão 0,6/1kV, 3200A - 2 colunas - QD-2305SA-02 - (quadro de transferência automática GE-2305SA-01/02)</t>
  </si>
  <si>
    <t>4.2.7.2.2</t>
  </si>
  <si>
    <t>Quadro de Distribuiçao, Classe de Tensao 0,6/1kV, 3200A - QD-2304SA-02 - 2 colunas</t>
  </si>
  <si>
    <t>4.2.7.2.3</t>
  </si>
  <si>
    <t>Quadro de Distribuiçao, Classe de Tensao 0,6/1kV, 3200A - QD-2309SA-02 - 3 colunas</t>
  </si>
  <si>
    <t>4.2.7.2.4</t>
  </si>
  <si>
    <t>Quadro de Distribuiçao, Classe de Tensao 0,6/1kV, 3200A - QD-2309SA-03 - 2 colunas</t>
  </si>
  <si>
    <t>4.2.7.2.5</t>
  </si>
  <si>
    <t>Quadro de distribuiçao, 380/220V, 3o, 60Hz, Icc 15kA sim., IP-42 - QL-2304SA-01 - In 250A</t>
  </si>
  <si>
    <t>4.2.7.2.6</t>
  </si>
  <si>
    <t>Quadro de distribuiçao, 380/220V, 3o, 60Hz, Icc 15kA sim., IP-42 - QL-2305SA-01</t>
  </si>
  <si>
    <t>4.2.7.2.7</t>
  </si>
  <si>
    <t>Quadro de distribuiçao, 380/220V, 3o, 60Hz, Icc 15kA sim., IP-42 - QL-2309SA-01 - 250A</t>
  </si>
  <si>
    <t>4.2.7.3.1</t>
  </si>
  <si>
    <t>Quadro de Distribuiçao, Classe de Tensao 8,7/15kV, 630A - QD-2309SA-01 - 5 colunas</t>
  </si>
  <si>
    <t>4.2.7.3.2</t>
  </si>
  <si>
    <t>Quadro de Distribuição, Classe de Tensão 8,7/15kV, 2000A - 4 colunas - QD-2304SA-01</t>
  </si>
  <si>
    <t>4.2.7.3.3</t>
  </si>
  <si>
    <t>Quadro de Distribuição, Classe de Tensão 8,7/15kV, 2000A - 16 colunas - QD-2305SA-01</t>
  </si>
  <si>
    <t>4.2.8.1.1</t>
  </si>
  <si>
    <t>Resistor de Aterramento de baixa tensão, Classe de Tensão 0,6/1kV - Limitação de Corrente 3A - RS-2304SA-03</t>
  </si>
  <si>
    <t>CMS M.20.72.000</t>
  </si>
  <si>
    <t>4.2.8.1.2</t>
  </si>
  <si>
    <t>Resistor de Aterramento de baixa tensão, Classe de Tensão 0,6/1kV - Limitação de Corrente 3A - RS-2305SA-03</t>
  </si>
  <si>
    <t>4.2.8.1.3</t>
  </si>
  <si>
    <t>Resistor de Aterramento de baixa tensão, Classe de Tensão 0,6/1kV - Limitação de Corrente 3A - RS-2305SA-04</t>
  </si>
  <si>
    <t>4.2.8.1.4</t>
  </si>
  <si>
    <t>Resistor de Aterramento de baixa tensão, Classe de Tensão 0,6/1kV - Limitação de Corrente 3A - RS-2305SA-05</t>
  </si>
  <si>
    <t>4.2.8.1.5</t>
  </si>
  <si>
    <t>Resistor de Aterramento de baixa tensão, Classe de Tensão 0,6/1kV - Limitação de Corrente 3A - RS-2305SA-06</t>
  </si>
  <si>
    <t>4.2.8.1.6</t>
  </si>
  <si>
    <t>Resistor de Aterramento de baixa tensão, Classe de Tensão 0,6/1kV - Limitação de Corrente 3A - RS-2305SA-07</t>
  </si>
  <si>
    <t>4.2.8.1.7</t>
  </si>
  <si>
    <t>Resistor de Aterramento de baixa tensão, Classe de Tensão 0,6/1kV - Limitação de Corrente 3A - RS-2305SA-08</t>
  </si>
  <si>
    <t>4.2.8.1.8</t>
  </si>
  <si>
    <t>Resistor de Aterramento de baixa tensão, Classe de Tensão 0,6/1kV - Limitação de Corrente 3A - RS-2309SA-02</t>
  </si>
  <si>
    <t>4.2.8.1.9</t>
  </si>
  <si>
    <t>Resistor de Aterramento de baixa tensão, Classe de Tensão 0,6/1kV - Limitação de Corrente 3A - RS-2309SA-03</t>
  </si>
  <si>
    <t>4.2.8.2.1</t>
  </si>
  <si>
    <t>Resistor de Aterramento de média tensão, Classe de Tensão 3,6/6kV - Limitação de Corrente 50A - RS-2304SA-01</t>
  </si>
  <si>
    <t>4.2.8.2.2</t>
  </si>
  <si>
    <t>Resistor de Aterramento de média tensão, Classe de Tensão 3,6/6kV - Limitação de Corrente 50A - RS-2304SA-02</t>
  </si>
  <si>
    <t>4.2.8.2.3</t>
  </si>
  <si>
    <t>Resistor de Aterramento de média tensão, Classe de Tensão 3,6/6kV - Limitação de Corrente 50A - RS-2305SA-01</t>
  </si>
  <si>
    <t>4.2.8.2.4</t>
  </si>
  <si>
    <t>Resistor de Aterramento de média tensão, Classe de Tensão 3,6/6kV - Limitação de Corrente 50A - RS-2305SA-02</t>
  </si>
  <si>
    <t>4.2.8.2.5</t>
  </si>
  <si>
    <t>Resistor de Aterramento de média tensão, Classe de Tensão 3,6/6kV - Limitação de Corrente 50A - RS-2309SA-01</t>
  </si>
  <si>
    <t>4.2.9.1.1</t>
  </si>
  <si>
    <t>MC.036E</t>
  </si>
  <si>
    <t>Transformador de Força - Isolado a óleo - 500kVA - 413800V - 480/277V - TF-MO2305SA01-04</t>
  </si>
  <si>
    <t>CMS M.20.84.000</t>
  </si>
  <si>
    <t>4.2.9.1.2</t>
  </si>
  <si>
    <t>Transformador de Força - Isolado a óleo - 500kVA - 413800V - 480/277V - TF-MO2305SA02-04</t>
  </si>
  <si>
    <t>4.2.9.1.3</t>
  </si>
  <si>
    <t>Transformador de Força - Isolado a óleo - 2000kVA - 13800V - 480/277V - TF-2304SA-03</t>
  </si>
  <si>
    <t>4.2.9.1.4</t>
  </si>
  <si>
    <t>Transformador de Força - Isolado a óleo - 2000kVA - 13800V - 480/277V - TF-2305SA-03</t>
  </si>
  <si>
    <t>4.2.9.1.5</t>
  </si>
  <si>
    <t>Transformador de Força - Isolado a óleo - 2000kVA - 13800V - 480/277V - TF-2305SA-05</t>
  </si>
  <si>
    <t>4.2.9.1.6</t>
  </si>
  <si>
    <t>Transformador de Força - Isolado a óleo - 2000kVA - 13800V - 480/277V - TF-2305SA-07</t>
  </si>
  <si>
    <t>4.2.9.1.7</t>
  </si>
  <si>
    <t>Transformador de Força - Isolado a óleo - 2000kVA - 13800V - 480/277V - TF-2309SA-02</t>
  </si>
  <si>
    <t>4.2.9.1.8</t>
  </si>
  <si>
    <t>Transformador de Força - Isolado a óleo - 2000kVA - 13800V - 480/277V - TF-2309SA-03</t>
  </si>
  <si>
    <t>4.2.9.1.9</t>
  </si>
  <si>
    <t>Transformador de Força - Isolado a óleo - 2500kVA - 13800V - 480/277V - TF-2305SA-04</t>
  </si>
  <si>
    <t>4.2.9.1.10</t>
  </si>
  <si>
    <t>Transformador de Força - Isolado a óleo - 2500kVA - 13800V - 480/277V - TF-2305SA-06</t>
  </si>
  <si>
    <t>4.2.9.1.11</t>
  </si>
  <si>
    <t>Transformador de Força - Isolado a óleo - 2500kVA - 13800V - 480/277V - TF-2305SA-08</t>
  </si>
  <si>
    <t>4.2.9.1.12</t>
  </si>
  <si>
    <t>Transformador de Força - Isolado a óleo - 5000kVA - 13800V - 4160V - TF-2304SA-02</t>
  </si>
  <si>
    <t>4.2.9.1.13</t>
  </si>
  <si>
    <t>Transformador de Força - Isolado a óleo - 5000kVA - 13800V - 4160V - TF-2309SA-01</t>
  </si>
  <si>
    <t>4.2.9.1.14</t>
  </si>
  <si>
    <t>Transformador de Força - Isolado a óleo - 7500kVA - 13800V - 4160V - TF-2305SA-01</t>
  </si>
  <si>
    <t>4.2.9.1.15</t>
  </si>
  <si>
    <t>Transformador de Força - Isolado a óleo - 7500kVA - 13800V - 4160V - TF-2305SA-02</t>
  </si>
  <si>
    <t>4.2.9.1.16</t>
  </si>
  <si>
    <t>Transformador de Força - Isolado a óleo - 10000kVA - 13800V - 4160V - TF-2304SA-01</t>
  </si>
  <si>
    <t>4.2.9.1.17</t>
  </si>
  <si>
    <t>Transformador de Força - Isolado a óleo - 10000kVA - 13800V - 4160V - TF-MO2305SA01-01</t>
  </si>
  <si>
    <t>4.2.9.1.18</t>
  </si>
  <si>
    <t>Transformador de Força - Isolado a óleo - 10000kVA - 13800V - 4160V - TF-MO2305SA01-02</t>
  </si>
  <si>
    <t>4.2.9.1.19</t>
  </si>
  <si>
    <t>Transformador de Força - Isolado a óleo - 10000kVA - 13800V - 4160V - TF-MO2305SA01-03</t>
  </si>
  <si>
    <t>4.2.9.1.20</t>
  </si>
  <si>
    <t>Transformador de Força - Isolado a óleo - 10000kVA - 13800V - 4160V - TF-MO2305SA02-01</t>
  </si>
  <si>
    <t>4.2.9.1.21</t>
  </si>
  <si>
    <t>Transformador de Força - Isolado a óleo - 10000kVA - 13800V - 4160V - TF-MO2305SA02-02</t>
  </si>
  <si>
    <t>4.2.9.1.22</t>
  </si>
  <si>
    <t>Transformador de Força - Isolado a óleo - 10000kVA - 13800V - 4160V - TF-MO2305SA02-03</t>
  </si>
  <si>
    <t>4.2.10.1.1</t>
  </si>
  <si>
    <t>Transformador de Iluminação Isolado a Óleo, classe de tensão 0,6/1kV, 225kVA - TL-2309SA-01</t>
  </si>
  <si>
    <t>CMS M.20.90.000</t>
  </si>
  <si>
    <t>4.2.10.1.2</t>
  </si>
  <si>
    <t>Transformador de Iluminação Isolado a Óleo, classe de tensão 0,6/1kV, 500kVA - TL-2305SA-01</t>
  </si>
  <si>
    <t>4.3.1.1.1</t>
  </si>
  <si>
    <t>Controlador Lógico Programável, sistema híbrido, constituído de rack, fonte, CPU, cartão de comunicaçao, conversor eletro-óptico, conversor de protocolo HSE/H1, cartoes de I/O, Painel IP54, auto sustentado com entrada inferior de cabos. - UC-2309SA-03</t>
  </si>
  <si>
    <t>CMS M.30.70.000</t>
  </si>
  <si>
    <t>4.3.1.1.2</t>
  </si>
  <si>
    <t>Controlador Lógico Programável, sistema híbrido, constituído de rack, fonte, CPU, cartão de comunicaçao, conversor eletro-óptico, conversor de protocolo HSE/H1, cartoes de I/O, Painel IP54, auto sustentado com entrada inferior de cabos. - UC-2309SA-01</t>
  </si>
  <si>
    <t>4.3.1.1.3</t>
  </si>
  <si>
    <t>Controlador Lógico Programável, sistema híbrido, constituído de rack, fonte, CPU, cartão de comunicaçao, conversor eletro-óptico, conversor de protocolo HSE/H1, cartoes de I/O, Painel IP54, auto sustentado com entrada inferior de cabos. - UC-2309SA-02</t>
  </si>
  <si>
    <t>4.3.1.1.4</t>
  </si>
  <si>
    <t>Controlador Lógico Programável, sistema híbrido, constituído de rack, fonte, CPU, cartão de comunicaçao, conversor eletro-óptico, conversor de protocolo HSE/H1, cartoes de I/O, Painel IP54, auto sustentado com entrada inferior de cabos. - UC-2309SA-04</t>
  </si>
  <si>
    <t>4.3.1.1.5</t>
  </si>
  <si>
    <t>Controlador Lógico Programável, sistema híbrido, constituído de rack, fonte, CPU, cartão de comunicaçao, conversor eletro-óptico, conversor de protocolo HSE/H1, cartoes de I/O, Painel IP54, auto sustentado com entrada inferior de cabos. - UC-2305SA-04</t>
  </si>
  <si>
    <t>4.3.1.1.6</t>
  </si>
  <si>
    <t>Controlador Lógico Programável, sistema híbrido, constituído de rack, fonte, CPU, cartão de comunicaçao, conversor eletro-óptico, conversor de protocolo HSE/H1, cartoes de I/O, Painel IP54, auto sustentado com entrada inferior de cabos. - UC-2305SA-03</t>
  </si>
  <si>
    <t>4.3.1.1.7</t>
  </si>
  <si>
    <t>Controlador Lógico Programável, sistema híbrido, constituído de rack, fonte, CPU, cartão de comunicaçao, conversor eletro-óptico, conversor de protocolo HSE/H1, cartoes de I/O, Painel IP54, auto sustentado com entrada inferior de cabos. - UC-2305SA-02</t>
  </si>
  <si>
    <t>4.3.1.1.8</t>
  </si>
  <si>
    <t>Controlador Lógico Programável, sistema híbrido, constituído de rack, fonte, CPU, cartão de comunicaçao, conversor eletro-óptico, conversor de protocolo HSE/H1, cartoes de I/O, Painel IP54, auto sustentado com entrada inferior de cabos. - UC-2305SA-01</t>
  </si>
  <si>
    <t>4.3.1.1.9</t>
  </si>
  <si>
    <t>2326</t>
  </si>
  <si>
    <t>Controlador Lógico Programável, constituído de rack, fonte, CPU, cartao de comunicaçao, cartoes de I/O, Painel IP54, IEC61850 - Dedicado ao sistema SAS/ SGE, TAG:UC-2326SA-01</t>
  </si>
  <si>
    <t>4.3.1.1.10</t>
  </si>
  <si>
    <t>Controlador Lógico Programável, constituído de rack, fonte, CPU, cartao de comunicaçao, cartoes de I/O, Painel IP54, IEC61850 - Dedicado ao sistema SAS/ SGE, TAG:UC-2326SA-02</t>
  </si>
  <si>
    <t>4.3.1.1.11</t>
  </si>
  <si>
    <t>Controlador Lógico Programável, sistema híbrido, constituído de rack, fonte, CPU, cartão de comunicaçao, conversor eletro-óptico, conversor de protocolo HSE/H1, cartoes de I/O, Painel IP54, auto sustentado com entrada inferior de cabos. - UC-2304SA-01</t>
  </si>
  <si>
    <t>4.3.1.1.12</t>
  </si>
  <si>
    <t>Controlador Lógico Programável, sistema híbrido, constituído de rack, fonte, CPU, cartão de comunicaçao, conversor eletro-óptico, conversor de protocolo HSE/H1, cartoes de I/O, Painel IP54, auto sustentado com entrada inferior de cabos. - UC-2304SA-02</t>
  </si>
  <si>
    <t>4.3.1.1.13</t>
  </si>
  <si>
    <t>Controlador Lógico Programável, sistema híbrido, constituído de rack, fonte, CPU, cartão de comunicaçao, conversor eletro-óptico, conversor de protocolo HSE/H1, cartoes de I/O, Painel IP54, auto sustentado com entrada inferior de cabos. - UC-2304SA-11</t>
  </si>
  <si>
    <t>4.3.1.1.14</t>
  </si>
  <si>
    <t>Controlador Lógico Programável, sistema híbrido, constituído de rack, fonte, CPU, cartão de comunicaçao, conversor eletro-óptico, conversor de protocolo HSE/H1, cartoes de I/O, Painel IP54, auto sustentado com entrada inferior de cabos. - UC-2304SA-12</t>
  </si>
  <si>
    <t>4.3.1.1.15</t>
  </si>
  <si>
    <t>Controlador Lógico Programável, sistema híbrido, constituído de rack, fonte, CPU, cartão de comunicaçao, conversor eletro-óptico, conversor de protocolo HSE/H1, cartoes de I/O, Painel IP54, auto sustentado com entrada inferior de cabos. - UC-2304SA-13</t>
  </si>
  <si>
    <t>4.3.1.2.1</t>
  </si>
  <si>
    <t>Caixa de derivaçao para rede fieldbus foundation,  IP65 contendo módulo de derivaçao FF-H1 com 8 saídas (spurs)</t>
  </si>
  <si>
    <t>CMS M.30.10.000</t>
  </si>
  <si>
    <t>4.3.1.2.2</t>
  </si>
  <si>
    <t>4.3.1.2.3</t>
  </si>
  <si>
    <t>4.3.1.2.4</t>
  </si>
  <si>
    <t>4.3.1.2.5</t>
  </si>
  <si>
    <t>Coletores online para Sistema de Vibraçao com 12 Canais. Caixa auto sustentável com bornes, contendo o coletor, comunicaçao em Ethernet, alimentaçao em 120 Vca,  DIO, com sistema operacional específico - TAG:GA-2305SA-05/06/07/08</t>
  </si>
  <si>
    <t>4.3.1.2.6</t>
  </si>
  <si>
    <t>Coletores on-line para Sistema de Vibraçao com 12 Canais e Switch compacta Caixa auto sustentável com bornes, contendo o coletor, comunicaçao em Ethernet, alimentaçao em 120 Vca,  DIO, com sistema operacional específico - TAG:GA-2303SA-01</t>
  </si>
  <si>
    <t>4.3.1.2.7</t>
  </si>
  <si>
    <t>Coletores on-line para Sistema de Vibraçao com 12 Canais e Switch compacta Caixa auto sustentável com bornes, contendo o coletor, comunicaçao em Ethernet, alimentaçao em 120 Vca,  DIO, com sistema operacional específico - TAG:GA-2305SA-09</t>
  </si>
  <si>
    <t>4.3.1.2.8</t>
  </si>
  <si>
    <t>Coletores on-line para Sistema de Vibraçao com 24 Canais. Caixa auto sustentável com bornes, contendo o coletor, comunicaçao em Ethernet, alimentaçao em 120 Vca, DIO, com sistema operacional específico - TAG:GA-2303SA-05</t>
  </si>
  <si>
    <t>4.3.1.2.9</t>
  </si>
  <si>
    <t>Coletores on-line para Sistema de Vibraçao com 24 Canais. Caixa auto sustentável com bornes, contendo o coletor, comunicaçao em Ethernet, alimentaçao em 120 Vca, DIO, com sistema operacional específico - TAG:GA-2303SA-06</t>
  </si>
  <si>
    <t>4.3.1.2.10</t>
  </si>
  <si>
    <t>Coletores on-line para Sistema de Vibraçao com 24 Canais e Switch compacta. Caixa auto sustentável com bornes, contendo o coletor, comunicaçao em Ethernet, alimentaçao em 120 Vca,  DIO, com sistema operacional específico - TAG:GA-2301SA-01</t>
  </si>
  <si>
    <t>4.3.1.2.11</t>
  </si>
  <si>
    <t>Coletores on-line para Sistema de Vibraçao com 24 Canais e Switch compacta. Caixa auto sustentável com bornes, contendo o coletor, comunicaçao em Ethernet, alimentaçao em 120 Vca,  DIO, com sistema operacional específico - TAG:GA-2303SA-04</t>
  </si>
  <si>
    <t>4.3.1.2.12</t>
  </si>
  <si>
    <t>Coletores on-line para Sistema de Vibraçao com 36 Canais Caixa auto sustentável com bornes, contendo o coletor, comunicaçao em Ethernet, alimentaçao em 120 Vca,  DIO, com sistema operacional específico - TAG:GA-2301SA-04</t>
  </si>
  <si>
    <t>4.3.1.2.13</t>
  </si>
  <si>
    <t>Coletores on-line para Sistema de Vibraçao com 36 Canais e Switch compacta. Caixa auto sustentável com bornes, contendo o coletor, comunicaçao em Ethernet, alimentaçao em 120 Vca,  DIO, com sistema operacional específico - TAG:GA-2303SA-03</t>
  </si>
  <si>
    <t>4.3.1.2.14</t>
  </si>
  <si>
    <t>Coletores on-line para Sistema de Vibraçao com 36 Canais e Switch compacta. Caixa auto sustentável com bornes, contendo o coletor, comunicaçao em Ethernet, alimentaçao em 120 Vca,  DIO, com sistema operacional específico - TAG:GA-2305SA-01/02/03</t>
  </si>
  <si>
    <t>4.3.1.2.15</t>
  </si>
  <si>
    <t>Coletores on-line para Sistema de Vibraçao com 48 Canais. Caixa auto sustentável com bornes, contendo o coletor, comunicaçao em Ethernet, alimentaçao em 120 Vca,  DIO, com sistema operacional específico - TAG:GA-2303SA-02</t>
  </si>
  <si>
    <t>4.3.1.2.16</t>
  </si>
  <si>
    <t>Coletores on-line para Sistema de Vibraçao com 48 Canais e Switch compacta. Caixa auto sustentável com bornes, contendo o coletor, comunicaçao em Ethernet, alimentaçao em 120 Vca,  DIO, com sistema operacional específico - TAG:GA-2301SA-03</t>
  </si>
  <si>
    <t>4.3.1.2.17</t>
  </si>
  <si>
    <t>Coletores on-line para Sistema de Vibraçao com 48 Canais e Switch compacta. Caixa auto sustentável com bornes, contendo o coletor, comunicaçao em Ethernet, alimentaçao em 120 Vca,  DIO, com sistema operacional específico - TAG:GA-2301SA-02</t>
  </si>
  <si>
    <t>4.3.1.2.18</t>
  </si>
  <si>
    <t>Coletores on-line para Sistema de Vibraçao com 48 Canais e Switch compacta. Caixa auto sustentável com bornes, contendo o coletor, comunicaçao em Ethernet, alimentaçao em 120 Vca,  DIO, com sistema operacional específico - TAG:GA-2305SA-04</t>
  </si>
  <si>
    <t>4.3.1.2.19</t>
  </si>
  <si>
    <t>Conversor Eletro-óptico RS485/Fibra óptica para Rede Profibus DP em campo -  Montado em painel IP67</t>
  </si>
  <si>
    <t>4.3.1.2.20</t>
  </si>
  <si>
    <t>4.3.1.2.21</t>
  </si>
  <si>
    <t>4.3.1.2.22</t>
  </si>
  <si>
    <t>4.3.1.3.1</t>
  </si>
  <si>
    <t>Switch Ethernet de rede de controle, modular, gerenciável, arquitetura anel, 1GBit, 16 portas elétricas, 8 portas ópticas - TAG:SW-2326SA-11</t>
  </si>
  <si>
    <t>4.3.1.3.2</t>
  </si>
  <si>
    <t>Switch Ethernet de rede de controle, modular, gerenciável, arquitetura anel, 1GBit, 16 portas elétricas, 8 portas ópticas - TAG:SW-2326SA-12</t>
  </si>
  <si>
    <t>4.3.1.3.3</t>
  </si>
  <si>
    <t>Switch Ethernet  do Sistema de Análise de granulometria por imagem, modular, gerenciável, arquitetura anel, 1GBit, 8 portas ópticas - TAG:SW-2304SA-17</t>
  </si>
  <si>
    <t>4.3.1.3.4</t>
  </si>
  <si>
    <t>Switch Ethernet  do Sistema de Análise de granulometria por imagem, modular, gerenciável, arquitetura anel, 1GBit, 8 portas ópticas - TAG:SW-2305SA-17</t>
  </si>
  <si>
    <t>4.3.1.3.5</t>
  </si>
  <si>
    <t>Switch Ethernet  do Sistema de Análise de granulometria por imagem, modular, gerenciável, arquitetura anel, 1GBit, 4 portas elétricas, 4 portas ópticas - TAG:SW-2326SA-17</t>
  </si>
  <si>
    <t>4.3.1.3.6</t>
  </si>
  <si>
    <t>Switch Ethernet  do SGE rede MODBUS TCP/IP, modular, gerenciável, arquitetura anel, 1GBit, 8 portas elétricas, 4 portas ópticas - TAG:SW-2326SA-14</t>
  </si>
  <si>
    <t>4.3.1.3.7</t>
  </si>
  <si>
    <t>8011</t>
  </si>
  <si>
    <t>Switch Ethernet  do SGE rede MODBUS TCP/IP, modular, gerenciável, arquitetura anel, 1GBit, 32 portas elétricas, 4portas ópticas - TAG:SW-8011SA-14</t>
  </si>
  <si>
    <t>4.3.1.3.8</t>
  </si>
  <si>
    <t>Switch Ethernet  do SGE rede MODBUS TCP/IP, modular, gerenciável, arquitetura anel, 1GBit, 16 portas elétricas, 4 portas ópticas - TAG:SW-2305SA-14</t>
  </si>
  <si>
    <t>4.3.1.3.9</t>
  </si>
  <si>
    <t>Switch Ethernet  do SGE rede MODBUS TCP/IP, modular, gerenciável, arquitetura anel, 1GBit, 16 portas elétricas, 4 portas ópticas - TAG:SW-2309SA-14</t>
  </si>
  <si>
    <t>4.3.1.3.10</t>
  </si>
  <si>
    <t>Switch Ethernet  do SGE rede MODBUS TCP/IP, modular, gerenciável, arquitetura anel, 1GBit, 12 portas elétricas, 4 portas ópticas - TAG:SW-2304SA-14</t>
  </si>
  <si>
    <t>4.3.1.3.11</t>
  </si>
  <si>
    <t>Switch Ethernet  do SAS rede IEC61850, modular, gerenciável, arquitetura anel, 1GBit, 4 portas elétricas, 8 portas ópticas - TAG:SW-8011SA-13</t>
  </si>
  <si>
    <t>4.3.1.3.12</t>
  </si>
  <si>
    <t>Switch Ethernet  do SAS rede IEC61850, modular, gerenciável, arquitetura anel, 1GBit, 4 portas elétricas, 32 portas ópticas - TAG:SW-2305SA-13</t>
  </si>
  <si>
    <t>4.3.1.3.13</t>
  </si>
  <si>
    <t>Switch Ethernet  do SAS rede IEC61850, modular, gerenciável, arquitetura anel, 1GBit, 4 portas elétricas, 12 portas ópticas - TAG:SW-2304SA-13</t>
  </si>
  <si>
    <t>4.3.1.3.14</t>
  </si>
  <si>
    <t>Switch Ethernet  do SAS rede IEC61850, modular, gerenciável, arquitetura anel, 1GBit, 4 portas elétricas, 12 portas ópticas - TAG:SW-2309SA-13</t>
  </si>
  <si>
    <t>4.3.1.3.15</t>
  </si>
  <si>
    <t>Switch Ethernet  do SAS rede IEC61850, modular, gerenciável, arquitetura anel, 1GBit, 16 portas elétricas - TAG: SW-2326SA-13</t>
  </si>
  <si>
    <t>4.3.1.3.16</t>
  </si>
  <si>
    <t>Switch Ethernet  da rede do SGV, modular, gerenciável, arquitetura anel, 1GBit, 8 portas ópticas 100Base-LX - TAG:SW-2304SA-20</t>
  </si>
  <si>
    <t>4.3.1.3.17</t>
  </si>
  <si>
    <t>Switch Ethernet  da rede do SGV, modular, gerenciável, arquitetura anel, 1GBit, 8 portas ópticas 100Base-LX - TAG:SW-2305SA-20</t>
  </si>
  <si>
    <t>4.3.1.3.18</t>
  </si>
  <si>
    <t>Switch Ethernet  da rede do SGV, modular, gerenciável, arquitetura anel, 1GBit, 4 portas elétricas, 4 portas ópticas 100Base-LX - TAG:SW-2326SA-20</t>
  </si>
  <si>
    <t>4.3.1.3.19</t>
  </si>
  <si>
    <t>Switch Ethernet  da rede de HSE, modular, gerenciável, arquitetura anel, 1GBit, 8 portas elétricas, 4 portas ópticas - TAG: SW-2326SA-15</t>
  </si>
  <si>
    <t>4.3.1.3.20</t>
  </si>
  <si>
    <t>Switch Ethernet  da rede cliente / servidor, modular, gerenciável, arquitetura anel, 1GBit, 36 portas elétricas, 8 portas ópticas - TAG:SW-2326SA-18</t>
  </si>
  <si>
    <t>4.3.1.3.21</t>
  </si>
  <si>
    <t>Switch Ethernet  da rede cliente / servidor, modular, gerenciável, arquitetura anel, 1GBit, 36 portas elétricas, 8 portas ópticas - TAG:SW-2326SA-19</t>
  </si>
  <si>
    <t>4.3.1.3.22</t>
  </si>
  <si>
    <t>Switch Ethernet  da rede cliente / servidor, modular, gerenciável, arquitetura anel, 1GBit, 0 portas elétricas, 8 portas ópticas - TAG:SW-2305SA-18</t>
  </si>
  <si>
    <t>4.3.1.3.23</t>
  </si>
  <si>
    <t>Switch Ethernet  da rede cliente / servidor, modular, gerenciável, arquitetura anel, 1GBit, 0 portas elétricas, 8 portas ópticas - TAG:SW-2305SA-19</t>
  </si>
  <si>
    <t>4.3.1.3.24</t>
  </si>
  <si>
    <t>Rack padrao 19", 44U, com régua de tomadas e demais acessórios. - Rack de Estações de Trabalho SCS, TAG:RK-2326SA-13</t>
  </si>
  <si>
    <t>CMS M.30.10.010</t>
  </si>
  <si>
    <t>4.3.1.3.25</t>
  </si>
  <si>
    <t>Rack padrao 19", 44U, com régua de tomadas e demais acessórios. - Rack de servidores, TAG:RK-2326SA-11</t>
  </si>
  <si>
    <t>4.3.1.3.26</t>
  </si>
  <si>
    <t>Rack padrao 19", 44U, com régua de tomadas e demais acessórios. - Rack de servidores, TAG:RK-2326SA-12</t>
  </si>
  <si>
    <t>4.3.1.3.27</t>
  </si>
  <si>
    <t>Rack padrao 19", 44U, com régua de tomadas e demais acessórios. - Rack do SAS/SGE, TAG:RK-2326SA-31</t>
  </si>
  <si>
    <t>4.3.1.4.1</t>
  </si>
  <si>
    <t>Estaçao de operaçao, 19" core 2 quad 2,66Ghz, 16GB RAM; HD 1TB, 4 monitores 21, teclado, mouse (KVM) - Moinho I, TAG:IT-2305SA-21</t>
  </si>
  <si>
    <t>4.3.1.4.2</t>
  </si>
  <si>
    <t>Estaçao de operaçao, 19" core 2 quad 2,66Ghz, 16GB RAM; HD 1TB, 4 monitores 21, teclado, mouse (KVM) - Moinho II, TAG:IT-2305SA-22</t>
  </si>
  <si>
    <t>4.3.1.4.3</t>
  </si>
  <si>
    <t>Estaçao de operaçao, 19" core 2 quad 2,66Ghz, 16GB RAM; HD 1TB, 4 monitores 21, teclado, mouse (KVM) - TAG:IT-2326SA-11</t>
  </si>
  <si>
    <t>4.3.1.4.4</t>
  </si>
  <si>
    <t>Estaçao de operaçao, 19" core 2 quad 2,66Ghz, 16GB RAM; HD 1TB, 4 monitores 21, teclado, mouse (KVM) - TAG:IT-2326SA-12</t>
  </si>
  <si>
    <t>4.3.1.4.5</t>
  </si>
  <si>
    <t>Estaçao de operaçao, 19" core 2 quad 2,66Ghz, 16GB RAM; HD 1TB, 4 monitores 21, teclado, mouse (KVM) - TAG:IT-2326SA-13</t>
  </si>
  <si>
    <t>4.3.1.4.6</t>
  </si>
  <si>
    <t>Estaçao de operaçao, 19" core 2 quad 2,66Ghz, 16GB RAM; HD 1TB, 4 monitores 21, teclado, mouse (KVM) - TAG:IT-2326SA-14</t>
  </si>
  <si>
    <t>4.3.1.4.7</t>
  </si>
  <si>
    <t>Estaçao de operaçao, 19" core 2 quad 2,66Ghz, 16GB RAM; HD 1TB, 4 monitores 21, teclado, mouse (KVM) - Sistema de Análise de Granulometria por Imagem, TAG:IT-2326SA-17</t>
  </si>
  <si>
    <t>4.3.1.4.8</t>
  </si>
  <si>
    <t>Estaçao de operaçao, 19" core 2 quad 2,66Ghz, 16GB RAM; HD 1TB, 4 monitores 21, teclado, mouse (KVM) - SAS/SGE, TAG:IT-2326SA-16</t>
  </si>
  <si>
    <t>4.3.1.4.9</t>
  </si>
  <si>
    <t>Estaçao de operaçao, 19" core 2 quad 2,66Ghz, 16GB RAM; HD 1TB, 4 monitores 21, teclado, mouse (KVM) - Auxiliar SAS/ SGE, TAG:IT-8011SA-01</t>
  </si>
  <si>
    <t>4.3.1.4.10</t>
  </si>
  <si>
    <t>Comutador KVM para acesso multiplos dos servidores com 1 monitor, 1 teclado e 1 mouse</t>
  </si>
  <si>
    <t>4.3.1.4.11</t>
  </si>
  <si>
    <t>Estaçao de operaçao, 19" core 2 quad 2,66Ghz, 8GB RAM; HD 1TB, 2 monitores 21, teclado, mouse (KVM) - Sistema de Gerenciamento de Vibração, TAG:IT-2326SA-80</t>
  </si>
  <si>
    <t>4.3.1.4.12</t>
  </si>
  <si>
    <t>Monitor de 52 - " para o Analisador de granulometria por imagem.</t>
  </si>
  <si>
    <t>4.3.1.5.1</t>
  </si>
  <si>
    <t>Servidor principal para o Sistema de Controle e Proteçao, 19"quad core Xeon 3.0Ghz, 16GB RAM; HD 1TB - Servidor SGA, TAG:IT-2326SA-32</t>
  </si>
  <si>
    <t>4.3.1.5.2</t>
  </si>
  <si>
    <t>Servidor principal para o Sistema de Controle e Proteçao, 19"quad core Xeon 3.0Ghz, 16GB RAM; HD 1TB - Servidor SCS,TAG:IT-2326SA-25</t>
  </si>
  <si>
    <t>4.3.1.5.3</t>
  </si>
  <si>
    <t>Servidor principal para o Sistema de Controle e Proteçao, 19"quad core Xeon 3.0Ghz, 16GB RAM; HD 1TB - Servidor SGE, TAG:IT-2326SA-54</t>
  </si>
  <si>
    <t>4.3.1.5.4</t>
  </si>
  <si>
    <t>Servidor principal para o Sistema de Controle e Proteçao, 19"quad core Xeon 3.0Ghz, 16GB RAM; HD 1TB - Sistema de Gerenciamento de Vibração, TAG:IT-2326SA-81/82/83</t>
  </si>
  <si>
    <t>4.3.1.5.5</t>
  </si>
  <si>
    <t>Servidor principal para o Sistema de Controle e Proteçao, 19"quad core Xeon 3.0Ghz, 16GB RAM; HD 1TB - Servidor SCS, TAG:IT-2326SA-22</t>
  </si>
  <si>
    <t>4.3.1.5.6</t>
  </si>
  <si>
    <t>Servidor principal para o Sistema de Controle e Proteçao, 19"quad core Xeon 3.0Ghz, 16GB RAM; HD 1TB - Servidor SCS, TAG:IT-2326SA-24</t>
  </si>
  <si>
    <t>4.3.1.5.7</t>
  </si>
  <si>
    <t>Servidor principal para o Sistema de Controle e Proteçao, 19"quad core Xeon 3.0Ghz, 16GB RAM; HD 1TB - Servidor SAS, TAG:IT-2326SA-56</t>
  </si>
  <si>
    <t>4.3.1.5.8</t>
  </si>
  <si>
    <t>Servidor principal para o Sistema de Controle e Proteçao, 19"quad core Xeon 3.0Ghz, 16GB RAM; HD 1TB - Servidor SCS, TAG:IT-2326SA-23</t>
  </si>
  <si>
    <t>4.3.1.5.9</t>
  </si>
  <si>
    <t>Servidor principal para o Sistema de Controle e Proteçao, 19"quad core Xeon 3.0Ghz, 16GB RAM; HD 1TB - Servidor domínio, TAG:IT-2326SA-31</t>
  </si>
  <si>
    <t>4.3.1.5.10</t>
  </si>
  <si>
    <t>Servidor principal para o Sistema de Controle e Proteçao, 19"quad core Xeon 3.0Ghz, 16GB RAM; HD 1TB - Servidor SCS, TAG:IT-2326SA-21</t>
  </si>
  <si>
    <t>4.3.1.5.11</t>
  </si>
  <si>
    <t>Servidor principal para o Sistema de Controle e Proteçao, 19"quad core Xeon 3.0Ghz, 16GB RAM; HD 1TB - Servidor Backup, TAG:IT-2326SA-34</t>
  </si>
  <si>
    <t>4.3.1.5.12</t>
  </si>
  <si>
    <t>Servidor principal para o Sistema de Controle e Proteçao, 19"quad core Xeon 3.0Ghz, 16GB RAM; HD 1TB - Servidor SCS, TAG:IT-2326SA-26</t>
  </si>
  <si>
    <t>4.3.1.5.13</t>
  </si>
  <si>
    <t>Servidor principal para o Sistema de Controle e Proteçao, 19"quad core Xeon 3.0Ghz, 16GB RAM; HD 1TB - Servidor SCS, TAG:IT-2326SA-27</t>
  </si>
  <si>
    <t>4.3.1.5.14</t>
  </si>
  <si>
    <t>Servidor principal para o Sistema de Controle e Proteçao, 19"quad core Xeon 3.0Ghz, 16GB RAM; HD 1TB - Servidor SGA, TAG:IT-2326SA-33</t>
  </si>
  <si>
    <t>4.3.1.5.15</t>
  </si>
  <si>
    <t>Servidor principal para o Sistema de Controle e Proteçao, 19"quad core Xeon 3.0Ghz, 16GB RAM; HD 1TB - Servidor SAS, TAG:IT-2326SA-51</t>
  </si>
  <si>
    <t>4.3.1.5.16</t>
  </si>
  <si>
    <t>Servidor principal para o Sistema de Controle e Proteçao, 19"quad core Xeon 3.0Ghz, 16GB RAM; HD 1TB - Servidor SGE, TAG:IT-2326SA-53</t>
  </si>
  <si>
    <t>4.3.1.5.17</t>
  </si>
  <si>
    <t>Servidor principal para o Sistema de Controle e Proteçao, 19"quad core Xeon 3.0Ghz, 16GB RAM; HD 1TB - Servidor SAS, TAG:IT-2326SA-52</t>
  </si>
  <si>
    <t>4.3.1.5.18</t>
  </si>
  <si>
    <t>Servidor principal para o Sistema de Controle e Proteçao, 19"quad core Xeon 3.0Ghz, 16GB RAM; HD 1TB - Servidor SAS, TAG:IT-2326SA-55</t>
  </si>
  <si>
    <t>4.3.1.5.19</t>
  </si>
  <si>
    <t>Servidor principal para o Sistema de Controle e Proteçao, 19"quad core Xeon 3.0Ghz, 16GB RAM; HD 1TB - Servidor domínio, TAG:IT-2326SA-30</t>
  </si>
  <si>
    <t>4.3.1.6.1</t>
  </si>
  <si>
    <t>Estação de engenharia , 19" core 2 quad 2,66Ghz, 8GB RAM; HD 1TB, 4 monitores 21, teclado, mouse  (KVM) - SAS/SGE, TAG:IT-2326SA-15</t>
  </si>
  <si>
    <t>4.3.1.6.2</t>
  </si>
  <si>
    <t>Estação de engenharia , 19" core 2 quad 2,66Ghz, 8GB RAM; HD 1TB, 4 monitores 21, teclado, mouse  (KVM) - TAG:IT-2326SA-01</t>
  </si>
  <si>
    <t>4.3.1.6.3</t>
  </si>
  <si>
    <t>Estação de engenharia , 19" core 2 quad 2,66Ghz, 8GB RAM; HD 1TB, 4 monitores 21, teclado, mouse  (KVM) - TAG:IT-2326SA-02</t>
  </si>
  <si>
    <t>4.3.1.6.4</t>
  </si>
  <si>
    <t>Estação de engenharia , 19" core 2 quad 2,66Ghz, 8GB RAM; HD 1TB, 4 monitores 21, teclado, mouse  (KVM) - TAG:IT-2326SA-04</t>
  </si>
  <si>
    <t>4.3.1.6.5</t>
  </si>
  <si>
    <t>Estação de engenharia , 19" core 2 quad 2,66Ghz, 8GB RAM; HD 1TB, 4 monitores 21, teclado, mouse  (KVM) - TAG:IT-2326SA-03</t>
  </si>
  <si>
    <t>4.3.1.6.6</t>
  </si>
  <si>
    <t>Painel com IHM Touch Screen 15”, IP-54. Resolução: 1024 x 768 pixels, fontes de alimentação simples (sem redundância) com entrada em 115/230 Vca e saída em 24Vcc e 5 A. Porta frontal com rasgo, com suporte para fixação em parede. - PO-2304SA-11</t>
  </si>
  <si>
    <t>4.3.1.6.7</t>
  </si>
  <si>
    <t>Painel com IHM Touch Screen 15”, IP-54. Resolução: 1024 x 768 pixels, fontes de alimentação simples (sem redundância) com entrada em 115/230 Vca e saída em 24Vcc e 5 A. Porta frontal com rasgo, com suporte para fixação em parede. - PO-2304SA-12</t>
  </si>
  <si>
    <t>4.3.1.6.8</t>
  </si>
  <si>
    <t>Painel com IHM Touch Screen 15”, IP-54. Resolução: 1024 x 768 pixels, fontes de alimentação simples (sem redundância) com entrada em 115/230 Vca e saída em 24Vcc e 5 A. Porta frontal com rasgo, com suporte para fixação em parede. - PO-2304SA-13</t>
  </si>
  <si>
    <t>4.3.1.6.9</t>
  </si>
  <si>
    <t>Painel com IHM Touch Screen 15”, IP-54. Resolução: 1024 x 768 pixels, fontes de alimentação simples (sem redundância) com entrada em 115/230 Vca e saída em 24Vcc e 5 A. Porta frontal com rasgo, com suporte para fixação em parede. - PO-2304SA-14</t>
  </si>
  <si>
    <t>4.3.1.6.10</t>
  </si>
  <si>
    <t>Painel com IHM Touch Screen 15”, IP-54. Resolução: 1024 x 768 pixels, fontes de alimentação simples (sem redundância) com entrada em 115/230 Vca e saída em 24Vcc e 5 A. Porta frontal com rasgo, com suporte para fixação em parede.</t>
  </si>
  <si>
    <t>4.3.1.6.11</t>
  </si>
  <si>
    <t>Painel com IHM Touch Screen 15”, IP-54. Resolução: 1024 x 768 pixels, fontes de alimentação simples (sem redundância) com entrada em 115/230 Vca e saída em 24Vcc e 5 A. Porta frontal com rasgo, com suporte para fixação em parede. - PO-2309SA-14</t>
  </si>
  <si>
    <t>4.3.1.7.1</t>
  </si>
  <si>
    <t>Painel de parede para relés de segurança Categoria 3, relés com mínimo 4 entradas NF e 4 saídas NF, 2 fontes de alimentaçao 120Vca/24Vcc, quantidade 30 relé - TAG:QR-2309SA-02</t>
  </si>
  <si>
    <t>CMS M.30.40.010</t>
  </si>
  <si>
    <t>4.3.1.7.2</t>
  </si>
  <si>
    <t>Painel autosustentável para relés de segurança Categoria 3, relés com mínimo 4 entradas NF e 4 saídas NF, 2 fontes de alimentaçao 120Vca/24Vcc, quantidade 96 relés - TAG:QR-2304SA-01</t>
  </si>
  <si>
    <t>4.3.1.7.3</t>
  </si>
  <si>
    <t>Painel autosustentável para relés de segurança Categoria 3, relés com mínimo 4 entradas NF e 4 saídas NF, 2 fontes de alimentaçao 120Vca/24Vcc, quantidade 100 relés - TAG:QR-2305SA-01</t>
  </si>
  <si>
    <t>4.3.1.7.4</t>
  </si>
  <si>
    <t>Painel autosustentável para relés de segurança Categoria 3, relés com mínimo 4 entradas NF e 4 saídas NF, 2 fontes de alimentaçao 120Vca/24Vcc, quantidade 100 relés - TAG:QR-2305SA-02</t>
  </si>
  <si>
    <t>4.3.1.7.5</t>
  </si>
  <si>
    <t>Painel autosustentável para relés de segurança Categoria 3, relés com mínimo 4 entradas NF e 4 saídas NF, 2 fontes de alimentaçao 120Vca/24Vcc, quantidade 100 relés - TAG:QR-2309SA-01</t>
  </si>
  <si>
    <t>4.3.1.7.6</t>
  </si>
  <si>
    <t>Painel de parede para relés de segurança Categoria 3, relés com mínimo 4 entradas NF e 4 saídas NF, 2 fontes de alimentaçao 120Vca/24Vcc, quantidade 10 relés - TAG:QR-2305SA-03</t>
  </si>
  <si>
    <t>4.3.2.1.1</t>
  </si>
  <si>
    <t>Câmera móvel IP tipo PTZ com fonte e suporte - MEM 01</t>
  </si>
  <si>
    <t>CMS M.30.25.000</t>
  </si>
  <si>
    <t>4.3.2.1.2</t>
  </si>
  <si>
    <t>4.3.2.1.3</t>
  </si>
  <si>
    <t>4.3.2.1.4</t>
  </si>
  <si>
    <t>Câmera Fixa PoE - MEM 01</t>
  </si>
  <si>
    <t>4.3.2.1.5</t>
  </si>
  <si>
    <t>4.3.2.1.6</t>
  </si>
  <si>
    <t>4.3.2.1.7</t>
  </si>
  <si>
    <t>4.3.2.1.8</t>
  </si>
  <si>
    <t>4.3.2.1.9</t>
  </si>
  <si>
    <t>4.3.2.1.10</t>
  </si>
  <si>
    <t>Caixa de proteção para câmera fixa com suporte de fixação - MEM 01</t>
  </si>
  <si>
    <t>4.3.2.1.11</t>
  </si>
  <si>
    <t>4.3.2.1.12</t>
  </si>
  <si>
    <t>4.3.2.1.13</t>
  </si>
  <si>
    <t>4.3.2.1.14</t>
  </si>
  <si>
    <t>4.3.2.1.15</t>
  </si>
  <si>
    <t>4.3.2.2.1</t>
  </si>
  <si>
    <t>Teclado de Comando - MEM 01</t>
  </si>
  <si>
    <t>4.3.2.2.2</t>
  </si>
  <si>
    <t>Estação de operação - MEM 01</t>
  </si>
  <si>
    <t>4.3.2.2.3</t>
  </si>
  <si>
    <t>Painel de CFTV - MEM 01</t>
  </si>
  <si>
    <t>4.3.2.2.4</t>
  </si>
  <si>
    <t>4.3.2.2.5</t>
  </si>
  <si>
    <t>4.3.2.2.6</t>
  </si>
  <si>
    <t>4.3.2.2.7</t>
  </si>
  <si>
    <t>4.3.2.2.8</t>
  </si>
  <si>
    <t>4.3.2.2.9</t>
  </si>
  <si>
    <t>4.3.2.2.10</t>
  </si>
  <si>
    <t>4.3.2.2.11</t>
  </si>
  <si>
    <t>Pórtico articulado - MEM 01</t>
  </si>
  <si>
    <t>4.3.2.2.12</t>
  </si>
  <si>
    <t>4.3.2.2.13</t>
  </si>
  <si>
    <t>4.3.2.2.14</t>
  </si>
  <si>
    <t>4.3.2.2.15</t>
  </si>
  <si>
    <t>4.3.2.2.16</t>
  </si>
  <si>
    <t>4.3.2.2.17</t>
  </si>
  <si>
    <t>4.3.2.2.18</t>
  </si>
  <si>
    <t>4.3.2.2.19</t>
  </si>
  <si>
    <t>Extensor KVM - MEM 01</t>
  </si>
  <si>
    <t>4.3.3.1.1</t>
  </si>
  <si>
    <t>Sistema de No-break - Autonomia 30 min - 5 kVA Tensao de entrada 220 Vca/60Hz (trifásico) e tensao de saída 120 Vca/60Hz (±0,01%) e baterias alcalinas reguladas por válvula, instaladas separadamente ao no-break, em sala de baterias ou sala de equip. - NB-2305SA-21</t>
  </si>
  <si>
    <t>CMS M.30.40.000</t>
  </si>
  <si>
    <t>4.3.3.1.2</t>
  </si>
  <si>
    <t>Sistema de No-break - Autonomia 30 min - 15 KVA Tensao de entrada 220 Vca/60Hz (trifásico) e tensao de saída 120 Vca/60Hz (±0,01%) e baterias alcalinas reguladas por válvula, instaladas separadamente ao no-break, em sala de baterias ou sala de equip. - NB-2309SA-01</t>
  </si>
  <si>
    <t>4.3.3.1.3</t>
  </si>
  <si>
    <t>Sistema de No-break - Autonomia 30 min - 15 KVA Tensao de entrada 220 Vca/60Hz (trifásico) e tensao de saída 120 Vca/60Hz (±0,01%) e baterias alcalinas reguladas por válvula, instaladas separadamente ao no-break, em sala de baterias ou sala de equip. - NB-2309SA-02</t>
  </si>
  <si>
    <t>4.3.3.1.4</t>
  </si>
  <si>
    <t>Sistema de No-break - Autonomia 30 min - 25 KVA Tensao de entrada 220 Vca/60Hz (trifásico) e tensao de saída 120 Vca/60Hz (±0,01%) e baterias alcalinas reguladas por válvula, instaladas separadamente ao no-break, em sala de baterias ou sala de equip</t>
  </si>
  <si>
    <t>4.3.3.1.5</t>
  </si>
  <si>
    <t>Sistema de No-break - Autonomia 30 min - 25 KVA Tensao de entrada 220 Vca/60Hz (trifásico) e tensao de saída 120 Vca/60Hz (±0,01%) e baterias alcalinas reguladas por válvula, instaladas separadamente ao no-break, em sala de baterias ou sala de equip - NB-2305SA-01</t>
  </si>
  <si>
    <t>4.3.3.1.6</t>
  </si>
  <si>
    <t>Sistema de No-break - Autonomia 30 min - 25 KVA Tensao de entrada 220 Vca/60Hz (trifásico) e tensao de saída 120 Vca/60Hz (±0,01%) e baterias alcalinas reguladas por válvula, instaladas separadamente ao no-break, em sala de baterias ou sala de equip - NB-2305SA-02</t>
  </si>
  <si>
    <t>4.3.3.1.7</t>
  </si>
  <si>
    <t>Sistema de No-break - Autonomia 3 hs - 15 KVA Tensao de entrada 220 Vca/60Hz (trifásico) e tensao de saída 120 Vca/60Hz (±0,01%) e baterias alcalinas reguladas por válvula, instaladas separadamente ao no-break, em sala de baterias ou sala de equip. - NB-2326SA-03</t>
  </si>
  <si>
    <t>4.3.3.1.8</t>
  </si>
  <si>
    <t>Sistema de No-break - Autonomia 3 hs - 25 KVA Tensao de entrada 220 Vca/60Hz (trifásico) e tensao de saída 120 Vca/60Hz (±0,01%) e baterias alcalinas reguladas por válvula, instaladas separadamente ao no-break, em sala de baterias ou sala de equip - NB-2326SA-01</t>
  </si>
  <si>
    <t>4.3.3.1.9</t>
  </si>
  <si>
    <t>Sistema de No-break - Autonomia 3 hs - 25 KVA Tensao de entrada 220 Vca/60Hz (trifásico) e tensao de saída 120 Vca/60Hz (±0,01%) e baterias alcalinas reguladas por válvula, instaladas separadamente ao no-break, em sala de baterias ou sala de equip - NB-2326SA-02</t>
  </si>
  <si>
    <t>4.3.3.2.1</t>
  </si>
  <si>
    <t>Quadro de distribuição de tensão, 220/127 Vca, montado em painel IP 54 auto sustentado, composto por um disj. de entrada e disj. monopolares de saída, barramentos, bornes , cabos e acessórios - TAG:PA-2304SA-01</t>
  </si>
  <si>
    <t>4.3.3.2.2</t>
  </si>
  <si>
    <t>Quadro de distribuição de tensão, 220/127 Vca, montado em painel IP 54 auto sustentado, composto por um disj. de entrada e disj. monopolares de saída, barramentos, bornes , cabos e acessórios - TAG:PA-2305SA-01</t>
  </si>
  <si>
    <t>4.3.3.2.3</t>
  </si>
  <si>
    <t>Quadro de distribuição de tensão, 220/127 Vca, montado em painel IP 54 auto sustentado, composto por um disj. de entrada e disj. monopolares de saída, barramentos, bornes , cabos e acessórios - TAG:PA-2305SA-02</t>
  </si>
  <si>
    <t>4.3.3.2.4</t>
  </si>
  <si>
    <t>Quadro de distribuição de tensão, 220/127 Vca, montado em painel IP 54 auto sustentado, composto por um disj. de entrada e disj. monopolares de saída, barramentos, bornes , cabos e acessórios - TAG:PA-2309SA-01</t>
  </si>
  <si>
    <t>4.3.3.2.5</t>
  </si>
  <si>
    <t>Quadro de distribuição de tensão, 220/127 Vca, montado em painel IP 54 auto sustentado, composto por um disj. de entrada e disj. monopolares de saída, barramentos, bornes , cabos e acessórios - TAG:PA-2309SA-02</t>
  </si>
  <si>
    <t>4.3.3.2.6</t>
  </si>
  <si>
    <t>Quadro de distribuição de tensão, 220/127 Vca, montado em painel IP 54 de parede, composto por um disj. de entrada e disj. monopolares de saída, barramentos, bornes , cabos e acessórios - TAG:PA-2304SA-11</t>
  </si>
  <si>
    <t>4.3.3.2.7</t>
  </si>
  <si>
    <t>Quadro de distribuição de tensão, 220/127 Vca, montado em painel IP 54 de parede, composto por um disj. de entrada e disj. monopolares de saída, barramentos, bornes , cabos e acessórios - TAG:PA-2305SA-11</t>
  </si>
  <si>
    <t>4.3.3.2.8</t>
  </si>
  <si>
    <t>Quadro de distribuição de tensão, 220/127 Vca, montado em painel IP 54 de parede, composto por um disj. de entrada e disj. monopolares de saída, barramentos, bornes , cabos e acessórios - TAG:PA-2305SA-12</t>
  </si>
  <si>
    <t>4.3.3.2.9</t>
  </si>
  <si>
    <t>Quadro de distribuição de tensão, 220/127 Vca, montado em painel IP 54 de parede, composto por um disj. de entrada e disj. monopolares de saída, barramentos, bornes , cabos e acessórios - TAG:PA-2309SA-11</t>
  </si>
  <si>
    <t>4.3.3.2.10</t>
  </si>
  <si>
    <t>Quadro de distribuição de tensão, 220/127 Vca, montado em painel IP 54 de parede, composto por um disj. de entrada e disj. monopolares de saída, barramentos, bornes , cabos e acessórios - TAG:PA-2309SA-12</t>
  </si>
  <si>
    <t>4.3.3.2.11</t>
  </si>
  <si>
    <t>Quadro de distribuição de tensão, 220/127 Vca, montado em painel IP 54 de parede, composto por um disj. de entrada e disj. monopolares de saída, barramentos, bornes , cabos e acessórios - TAG:PA-2326SA-01</t>
  </si>
  <si>
    <t>4.3.3.2.12</t>
  </si>
  <si>
    <t>Quadro de distribuição de tensão, 220/127 Vca, montado em painel IP 54 de parede, composto por um disj. de entrada e disj. monopolares de saída, barramentos, bornes , cabos e acessórios - TAG:PA-2326SA-11</t>
  </si>
  <si>
    <t>4.3.3.2.13</t>
  </si>
  <si>
    <t>Quadro de distribuição de tensão, 220/127 Vca, montado em painel IP 54 de parede, composto por um disj. de entrada e disj. monopolares de saída, barramentos, bornes , cabos e acessórios - TAG:PA-2326SA-12</t>
  </si>
  <si>
    <t>4.3.3.2.14</t>
  </si>
  <si>
    <t>Quadro de distribuição de tensão, 220/127 Vca, montado em painel IP 54 de parede, composto por um disj. de entrada e disj. monopolares de saída, barramentos, bornes , cabos e acessórios - TAG:PA-2326SA-13</t>
  </si>
  <si>
    <t>4.3.3.3.1</t>
  </si>
  <si>
    <t>Transformador de controle IP 54, potência de 50kVA,  tensao primária 480Vca trifásico, tensao secundária 220Vca trifásico - TAG:TI-2305SA-01</t>
  </si>
  <si>
    <t>4.3.3.3.2</t>
  </si>
  <si>
    <t>Transformador de controle IP 54, potência de 50kVA,  tensao primária 480Vca trifásico, tensao secundária 220Vca trifásico - TAG:TI-2305SA-02</t>
  </si>
  <si>
    <t>4.3.3.3.3</t>
  </si>
  <si>
    <t>Transformador de controle IP 54, potência de 50kVA,  tensao primária 480Vca trifásico, tensao secundária 220Vca trifásico - TAG:TI-2309SA-01</t>
  </si>
  <si>
    <t>4.3.3.3.4</t>
  </si>
  <si>
    <t>Transformador de controle IP 54, potência de 75kVA,  tensao primária 480Vca trifásico, tensao secundária 220Vca trifásico - TAG:TI-2326SA-01</t>
  </si>
  <si>
    <t>4.3.3.3.5</t>
  </si>
  <si>
    <t>Transformador de controle IP 54, potência de 45kVA,  tensao primária 480Vca trifásico, tensao secundária 220Vca trifásico - TAG:TI-2304SA-01</t>
  </si>
  <si>
    <t>4.3.4.1.1</t>
  </si>
  <si>
    <t>MC.037E</t>
  </si>
  <si>
    <t>Detectores de metais IP-66, campo magnético pulsante, 120 Vca, marcador pó corante, bobinas emissora e receptora separadas - TAG: DM-2303SA-01</t>
  </si>
  <si>
    <t>CMS M.30.60.000</t>
  </si>
  <si>
    <t>4.3.4.1.2</t>
  </si>
  <si>
    <t>Detectores de metais IP-66, campo magnético pulsante, 120 Vca, marcador pó corante, bobinas emissora e receptora separadas - TAG: DM-2303SA-02</t>
  </si>
  <si>
    <t>4.3.4.1.3</t>
  </si>
  <si>
    <t>Detectores de metais IP-66, campo magnético pulsante, 120 Vca, marcador pó corante, bobinas emissora e receptora separadas - TAG: DM-2303SA-03</t>
  </si>
  <si>
    <t>4.3.4.2.1</t>
  </si>
  <si>
    <t>Analisador de Elementos Químicos para Polpa de Minério Raio X, 20 pontos de amostragem com 13 por gravidade e 7 pressurizados, fonte radioativa, painel de comando em sala climatizada, sinal de saída Ethernet, IP-66, 120 Vca, amostradores incluídos</t>
  </si>
  <si>
    <t>4.3.4.2.2</t>
  </si>
  <si>
    <t>Analisador de Granulometria de Polpa de Minério (Psm) Tamanho de partículas, 2 pontos de amostragem p/ gravidade, válv. VSA, solenoides robustas, painel de comando, sinal de saída Modbus TCP/IP, IP-66, 120Vca, IHM Ethernet, amostradores incluídos</t>
  </si>
  <si>
    <t>4.3.4.2.3</t>
  </si>
  <si>
    <t>Medidor Analítico por Análise de Imagem (Granulometria, Velocidade Flotado, Outros)</t>
  </si>
  <si>
    <t>4.3.4.2.4</t>
  </si>
  <si>
    <t>4.3.4.2.5</t>
  </si>
  <si>
    <t>4.3.4.2.6</t>
  </si>
  <si>
    <t>Analisador de Ph IP-66, sensor retrátil, compensaçao de temperatura automática, eletrólito KCl  Gel, transmissor remoto, montagem sobrepor parede, Fieldbus Foundation, 4 fios, 120Vca, Flange 2" FP 150#</t>
  </si>
  <si>
    <t>4.3.4.3.1</t>
  </si>
  <si>
    <t>Medidores de Densidade Radioativa 3" IP-66, fonte Césio 137, duplo em chumbo e com dispositivo móvel de bloqueio, detector tipo câmara de cintilaçao com abraçadeira, transmissor remoto, Fieldbus Foundation, 4 fios, 120Vca</t>
  </si>
  <si>
    <t>4.3.4.3.2</t>
  </si>
  <si>
    <t>Medidores de Densidade Radioativa 4" IP-66, fonte Césio 137, duplo em chumbo e com dispositivo móvel de bloqueio, detector tipo câmara de cintilaçao com abraçadeira, transmissor remoto, Fieldbus Foundation, 4 fios, 120Vca</t>
  </si>
  <si>
    <t>4.3.4.3.3</t>
  </si>
  <si>
    <t>Medidores de Densidade Radioativa 6" IP-66, fonte Césio 137, duplo em chumbo e com dispositivo móvel de bloqueio, detector tipo câmara de cintilaçao com abraçadeira, transmissor remoto, Fieldbus Foundation, 4 fios, 120Vca</t>
  </si>
  <si>
    <t>4.3.4.3.4</t>
  </si>
  <si>
    <t>Medidores de Densidade Radioativa 16" IP-66, fonte Césio 137, duplo em chumbo e com dispositivo móvel de bloqueio, detector tipo câmara de cintilaçao com abraçadeira, transmissor remoto, Fieldbus Foundation, 4 fios, 120Vca</t>
  </si>
  <si>
    <t>4.3.4.3.5</t>
  </si>
  <si>
    <t>Medidores de Densidade Radioativa 20" IP-66, fonte Césio 137, duplo em chumbo e com dispositivo móvel de bloqueio, detector tipo câmara de cintilaçao com abraçadeira, transmissor remoto, Fieldbus Foundation, 4 fios, 120Vca</t>
  </si>
  <si>
    <t>4.3.4.3.6</t>
  </si>
  <si>
    <t>Medidores de Densidade Radioativa 22" IP-66, fonte Césio 137, duplo em chumbo e com dispositivo móvel de bloqueio, detector tipo câmara de cintilaçao com abraçadeira, transmissor remoto, Fieldbus Foundation, 4 fios, 120Vca</t>
  </si>
  <si>
    <t>4.3.4.3.7</t>
  </si>
  <si>
    <t>Medidores de Densidade Radioativa 24" IP-66, fonte Césio 137, duplo em chumbo e com dispositivo móvel de bloqueio, detector tipo câmara de cintilaçao com abraçadeira, transmissor remoto, Fieldbus Foundation, 4 fios, 120Vca</t>
  </si>
  <si>
    <t>4.3.4.4.1</t>
  </si>
  <si>
    <t>Medidor de nível - tipo radar IP-66, Conexao Flange 4" ASME B-16.5 150#, Alcance Máximo 5 Metros, Indicador Remoto, Fieldbus Foundation, 24Vcc</t>
  </si>
  <si>
    <t>4.3.4.4.2</t>
  </si>
  <si>
    <t>4.3.4.4.3</t>
  </si>
  <si>
    <t>4.3.4.4.4</t>
  </si>
  <si>
    <t>4.3.4.4.5</t>
  </si>
  <si>
    <t>4.3.4.4.6</t>
  </si>
  <si>
    <t>4.3.4.4.7</t>
  </si>
  <si>
    <t>Medidor de nível - tipo radar IP-66, Conexao Flange 4" ASME B-16.5 150#, Alcance Máximo 10 Metros, Indicador Remoto, Fieldbus Foundation, 24Vcc</t>
  </si>
  <si>
    <t>4.3.4.4.8</t>
  </si>
  <si>
    <t>4.3.4.4.9</t>
  </si>
  <si>
    <t>4.3.4.4.10</t>
  </si>
  <si>
    <t>4.3.4.4.11</t>
  </si>
  <si>
    <t>4.3.4.4.12</t>
  </si>
  <si>
    <t>4.3.4.4.13</t>
  </si>
  <si>
    <t>Medidor de nível - tipo radar IP-66, Conexao Flange 4" ASME B-16.5 150#, Alcance Máximo 20 Metros, Indicador Remoto, Fieldbus Foundation, 24Vcc</t>
  </si>
  <si>
    <t>4.3.4.4.14</t>
  </si>
  <si>
    <t>4.3.4.4.15</t>
  </si>
  <si>
    <t>4.3.4.4.16</t>
  </si>
  <si>
    <t>4.3.4.4.17</t>
  </si>
  <si>
    <t>4.3.4.5.1</t>
  </si>
  <si>
    <t>Transmissor de temperatura Conversor de rede Fieldbus Foundation com 8 entradas PT-100</t>
  </si>
  <si>
    <t>4.3.4.5.2</t>
  </si>
  <si>
    <t>4.3.4.5.3</t>
  </si>
  <si>
    <t>4.3.4.5.4</t>
  </si>
  <si>
    <t>4.3.4.5.5</t>
  </si>
  <si>
    <t>4.3.4.5.6</t>
  </si>
  <si>
    <t>Transmissor de temperatura IP-66, PT-100, conexao do sensor O 1/2" NPT (F) para montagem em poço, conexao do poço 2" FR ASME B-16.5 150#, Fieldbus Foundation, 24Vcc</t>
  </si>
  <si>
    <t>4.3.4.5.7</t>
  </si>
  <si>
    <t>4.3.4.5.8</t>
  </si>
  <si>
    <t>Transmissor de pressao Manométrico, tipo Capacitivo - IP-66, Conexao 1/2" NPT (M), Montagem em Pedestal, Sem Selo Diafragma, Fieldbus Foundation, 24Vcc</t>
  </si>
  <si>
    <t>4.3.4.5.9</t>
  </si>
  <si>
    <t>4.3.4.5.10</t>
  </si>
  <si>
    <t>4.3.4.5.11</t>
  </si>
  <si>
    <t>4.3.4.5.12</t>
  </si>
  <si>
    <t>4.3.4.5.13</t>
  </si>
  <si>
    <t>Transmissor de pressao Manométrico, tipo Capacitivo - IP-66, Conexao 2" NPT (M), Montagem em Pedestal, Com Selo Diafragma, Fieldbus Foundation, 24Vcc</t>
  </si>
  <si>
    <t>4.3.4.5.14</t>
  </si>
  <si>
    <t>4.3.4.5.15</t>
  </si>
  <si>
    <t>4.3.4.6.1</t>
  </si>
  <si>
    <t>Analisador de Umidade Tipo Microondas, IP-66, Transmissor Remoto, Fieldbus Foundation, 4 fios, 120Vca, montagem paralela ao transportador</t>
  </si>
  <si>
    <t>4.3.4.7.1</t>
  </si>
  <si>
    <t>Medidores tipo magnético - Vazao 1" IP-66, Flange FR ASME B-16.5 150#, Transmissor Remoto, Fieldbus Foundation, 4 fios, 120Vca, revestimento em teflon</t>
  </si>
  <si>
    <t>4.3.4.7.2</t>
  </si>
  <si>
    <t>Medidores tipo magnético - Vazao 2" IP-66, Flange FR ASME B-16.5 150#, Transmissor Remoto, Fieldbus Foundation, 4 fios, 120Vca, revestimento em buna N</t>
  </si>
  <si>
    <t>4.3.4.7.3</t>
  </si>
  <si>
    <t>4.3.4.7.4</t>
  </si>
  <si>
    <t>4.3.4.7.5</t>
  </si>
  <si>
    <t>Medidores tipo magnético - Vazao 2" IP-66, Flange FR ASME B-16.5 150#, Transmissor Remoto, Fieldbus Foundation, 4 fios, 120Vca, revestimento em teflon</t>
  </si>
  <si>
    <t>4.3.4.7.6</t>
  </si>
  <si>
    <t>4.3.4.7.7</t>
  </si>
  <si>
    <t>Medidores tipo magnético - Vazao 2 1/2" IP-66, Flange FR ASME B-16.5 150#, Transmissor Remoto, Fieldbus Foundation, 4 fios, 120Vca, revestimento em buna N</t>
  </si>
  <si>
    <t>4.3.4.7.8</t>
  </si>
  <si>
    <t>4.3.4.7.9</t>
  </si>
  <si>
    <t>4.3.4.7.10</t>
  </si>
  <si>
    <t>Medidores tipo magnético - Vazao 4" IP-66, Flange FP ASME B-16.5 150#, Transmissor Remoto, Fieldbus Foundation, 4 fios, 120Vca, revestimento em poliuretano</t>
  </si>
  <si>
    <t>4.3.4.7.11</t>
  </si>
  <si>
    <t>Medidores tipo magnético - Vazao 4" IP-66, Flange FR ASME B-16.5 150#, Transmissor Remoto, Fieldbus Foundation, 4 fios, 120Vca, revestimento em buna N</t>
  </si>
  <si>
    <t>4.3.4.7.12</t>
  </si>
  <si>
    <t>4.3.4.7.13</t>
  </si>
  <si>
    <t>4.3.4.7.14</t>
  </si>
  <si>
    <t>Medidores tipo magnético - Vazao 6" IP-66, Flange FR ASME B-16.5 150#, Transmissor Remoto, Fieldbus Foundation, 4 fios, 120Vca, revestimento em buna N</t>
  </si>
  <si>
    <t>4.3.4.7.15</t>
  </si>
  <si>
    <t>4.3.4.7.16</t>
  </si>
  <si>
    <t>Medidores tipo magnético - Vazao 8" IP-66, Flange FP ASME B-16.5 150#, Transmissor Remoto, Fieldbus Foundation, 4 fios, 120Vca, revestimento em poliuretano</t>
  </si>
  <si>
    <t>4.3.4.7.17</t>
  </si>
  <si>
    <t>Medidores tipo magnético - Vazao 8" IP-66, Flange FR ASME B-16.5 150#, Transmissor Remoto, Fieldbus Foundation, 4 fios, 120Vca, revestimento em buna N</t>
  </si>
  <si>
    <t>4.3.4.7.18</t>
  </si>
  <si>
    <t>4.3.4.7.19</t>
  </si>
  <si>
    <t>4.3.4.7.20</t>
  </si>
  <si>
    <t>Medidores tipo magnético - Vazao 10" IP-66, Flange FR ASME B-16.5 150#, Transmissor Remoto, Fieldbus Foundation, 4 fios, 120Vca, revestimento em buna N</t>
  </si>
  <si>
    <t>4.3.4.7.21</t>
  </si>
  <si>
    <t>Medidores tipo magnético - Vazao 12" IP-66, Flange FP ASME B-16.5 150#, Transmissor Remoto, Fieldbus Foundation, 4 fios, 120Vca, revestimento em poliuretano</t>
  </si>
  <si>
    <t>4.3.4.7.22</t>
  </si>
  <si>
    <t>Medidores tipo magnético - Vazao 12" IP-66, Flange FR ASME B-16.5 150#, Transmissor Remoto, Fieldbus Foundation, 4 fios, 120Vca, revestimento em buna N</t>
  </si>
  <si>
    <t>4.3.4.7.23</t>
  </si>
  <si>
    <t>Medidores tipo magnético - Vazao 14" IP-66, Flange FP ASME B-16.5 150#, Transmissor Remoto, Fieldbus Foundation, 4 fios, 120Vca, revestimento em poliuretano</t>
  </si>
  <si>
    <t>4.3.4.7.24</t>
  </si>
  <si>
    <t>Medidores tipo magnético - Vazao 14" IP-66, Flange FR ASME B-16.5 150#, Transmissor Remoto, Fieldbus Foundation, 4 fios, 120Vca, revestimento em buna N</t>
  </si>
  <si>
    <t>4.3.4.7.25</t>
  </si>
  <si>
    <t>Medidores tipo magnético - Vazao 16" IP-66, Flange FP ASME B-16.5 150#, Transmissor Remoto, Fieldbus Foundation, 4 fios, 120Vca, revestimento em poliuretano</t>
  </si>
  <si>
    <t>4.3.4.7.26</t>
  </si>
  <si>
    <t>Medidores tipo magnético - Vazao 18" IP-66, Flange FR ASME B-16.5 150#, Transmissor Remoto, Fieldbus Foundation, 4 fios, 120Vca, revestimento em buna N</t>
  </si>
  <si>
    <t>4.3.4.7.27</t>
  </si>
  <si>
    <t>Medidores tipo magnético - Vazao 20" IP-66, Flange FP ASME B-16.5 150#, Transmissor Remoto, Fieldbus Foundation, 4 fios, 120Vca, revestimento em poliuretano</t>
  </si>
  <si>
    <t>4.3.4.7.28</t>
  </si>
  <si>
    <t>Medidores tipo magnético - Vazao 22" IP-66, Flange FP ASME B-16.5 150#, Transmissor Remoto, Fieldbus Foundation, 4 fios, 120Vca, revestimento em poliuretano</t>
  </si>
  <si>
    <t>4.3.4.7.29</t>
  </si>
  <si>
    <t>Medidores tipo magnético - Vazao 30" IP-66, Flange FR AWWA C207, tabela 2, classe D 150#, Transmissor Remoto, Fieldbus Foundation, 4 fios, 120Vca, revestimento em buna N p/ água, poliuretano p/ polpa, e  teflon p/ reagentes e fluidos corrosivos.</t>
  </si>
  <si>
    <t>4.3.4.7.30</t>
  </si>
  <si>
    <t>Medidores tipo magnético - Vazao 40" IP-66, Flange FR AWWA C207, tabela 2, classe D 150#, Transmissor Remoto, Fieldbus Foundation, 4 fios, 120Vca, revestimento em buna N p/ água, poliuretano p/ polpa, e  teflon p/ reagentes e fluidos corrosivos.</t>
  </si>
  <si>
    <t>4.3.4.7.31</t>
  </si>
  <si>
    <t>Medidores tipo magnético - Vazao 1 1/2" IP-66, Flange FR ASME B-16.5 150#, Transmissor Remoto, Fieldbus Foundation, 4 fios, 120Vca, revestimento em buna N</t>
  </si>
  <si>
    <t>4.3.4.7.32</t>
  </si>
  <si>
    <t>Medidores tipo magnético - Vazao 50mm IP-66, Flange FP ASME B-16.5 PN10, Transmissor Remoto, Fieldbus Foundation, 4 fios, 120Vca, revestimento em teflon</t>
  </si>
  <si>
    <t>4.3.4.7.33</t>
  </si>
  <si>
    <t>Medidores tipo magnético - Vazao 63mm IP-66, Flange FP ASME B-16.5 PN10, Transmissor Remoto, Fieldbus Foundation, 4 fios, 120Vca, revestimento em teflon</t>
  </si>
  <si>
    <t>4.3.4.8.1</t>
  </si>
  <si>
    <t>Medidores tipo coriólis - Vazao 63mm IP-66, Flange FP ASME B-16.5 150#, transmissor local, Fieldbus Foundation, 4 fios, 120Vca, para reagentes e fluidos corrosivos</t>
  </si>
  <si>
    <t>4.3.4.9.1</t>
  </si>
  <si>
    <t>Medidores tipo vórtice - Vazao 3" IP-66, Conexao Flange ASME B-16.5 150#, Transmissor Remoto, Fieldbus Foundation , 24Vcc</t>
  </si>
  <si>
    <t>4.3.4.10.1</t>
  </si>
  <si>
    <t>Medidores tipo placa de orifício - Vazao 1" Orifício de restriçao tipo concêntrico, aço inox, entre flanges FR ASME B-16.5, tipo sobreposto</t>
  </si>
  <si>
    <t>4.3.4.10.2</t>
  </si>
  <si>
    <t>4.3.4.10.3</t>
  </si>
  <si>
    <t>Medidores tipo placa de orifício - Vazao 1 1/2" Orifício de restriçao tipo concêntrico, aço inox, entre flanges FR ASME B-16.5, tipo sobreposto</t>
  </si>
  <si>
    <t>4.3.4.10.4</t>
  </si>
  <si>
    <t>Medidores tipo placa de orifício - Vazao 2" Orifício de restriçao tipo concêntrico, aço inox, entre flanges FR ASME B-16.5, tipo sobreposto</t>
  </si>
  <si>
    <t>4.3.4.10.5</t>
  </si>
  <si>
    <t>4.3.4.10.6</t>
  </si>
  <si>
    <t>Medidores tipo placa de orifício - Vazao 3" Orifício de restriçao tipo concêntrico, aço inox, entre flanges FR ASME B-16.5, tipo sobreposto</t>
  </si>
  <si>
    <t>4.3.4.11.1</t>
  </si>
  <si>
    <t>Medidores tipo sonar - Vazao 24" IP-66, Nao intrusivo, com abraçadeira, Transmissor Remoto, Fieldbus Foundation , 120 Vca</t>
  </si>
  <si>
    <t>4.3.4.12.1</t>
  </si>
  <si>
    <t>Acelerômetro para vibraçao axial em aço inox 304, IP67, mediçao apenas radial, montagem tipo prisioneiro, conector militar, com cabo de ligaçao par trançado blindado, máximo de 150m e armadura de prot.p/ cabos, máx. 3m.</t>
  </si>
  <si>
    <t>4.3.4.12.2</t>
  </si>
  <si>
    <t>4.3.4.12.3</t>
  </si>
  <si>
    <t>4.3.4.12.4</t>
  </si>
  <si>
    <t>Acelerômetro para vibraçao triaxial em aço inox 304, IP67, mediçao em três eixos, montagem tipo prisioneiro, com cabo de ligaçao par trançado blindado, máximo de 150m. armadura de prot.p/ cabos, máx. 3m.</t>
  </si>
  <si>
    <t>4.3.4.12.5</t>
  </si>
  <si>
    <t>4.3.4.12.6</t>
  </si>
  <si>
    <t>4.3.4.12.7</t>
  </si>
  <si>
    <t>Acelerômetro para vibraçao axial e temperatura em aço inox 304, IP67, mediçao apenas axial, com mediçao de temperatura incluida, montagem tipo prisioneiro, conector militar, com cabo de ligaçao par trançado blindado, máximo de 150m e armadura de prot.p/ c</t>
  </si>
  <si>
    <t>4.3.4.12.8</t>
  </si>
  <si>
    <t>4.3.4.12.9</t>
  </si>
  <si>
    <t>4.3.4.13.1</t>
  </si>
  <si>
    <t>Caixa de ligação para  interligação dos sensores do SGV, IP65 contendo bornes.</t>
  </si>
  <si>
    <t>4.3.4.13.2</t>
  </si>
  <si>
    <t>4.3.4.13.3</t>
  </si>
  <si>
    <t>4.3.4.14.1</t>
  </si>
  <si>
    <t>Detector de rasgo para correia transportadora.</t>
  </si>
  <si>
    <t>4.3.4.14.2</t>
  </si>
  <si>
    <t>4.3.4.14.3</t>
  </si>
  <si>
    <t>4.3.4.14.4</t>
  </si>
  <si>
    <t>4.3.5.1.1</t>
  </si>
  <si>
    <t>Válvulas de Controle (On-Off) - Ø 2" Guilhotina pneumática, corpo ferro fundido nodular, 150#, conexao flangeada, at. Diafragma mola, Flange FP ASME B-16.5 125#, chaves limites indutivo IP-66, solenoides nao incluídas, leite de cal</t>
  </si>
  <si>
    <t>CMS M.30.80.000</t>
  </si>
  <si>
    <t>4.3.5.1.2</t>
  </si>
  <si>
    <t>4.3.5.1.3</t>
  </si>
  <si>
    <t>Válvulas de Controle (On-Off) - Ø 3" Esfera e sede AISI, corpo ASTM A 216 Gr WCB, 150#, gaxetas em teflon, at. Diafragma mola, Acion. Pneumático, Flange FS ASME B-16.5 150#, chaves limites indutivo IP-66, solenoides nao incluídas</t>
  </si>
  <si>
    <t>4.3.5.1.4</t>
  </si>
  <si>
    <t>Válvulas de Controle (On-Off) - Ø 3" Guilhotina pneumática, corpo ASTM A  216 Gr. WCB, 300#, conexao wafer, at. Diafragma mola, Flange FR ASME B-16.5 300#, chaves limites indutivo IP-66, solenoides nao incluídas</t>
  </si>
  <si>
    <t>4.3.5.1.5</t>
  </si>
  <si>
    <t>Válvulas de Controle (On-Off) - Ø 3" Guilhotina pneumática, corpo ferro fundido nodular, 150#, conexao flangeada, at. Diafragma mola, Flange FP ASME B-16.5 125#, chaves limites indutivo IP-66, solenoides nao incluídas, leite de cal</t>
  </si>
  <si>
    <t>4.3.5.1.6</t>
  </si>
  <si>
    <t>Válvulas de Controle (On-Off) - Ø 3" Guilhotina pneumática, corpo ferro fundido nodular, 150#, conexao wafer, at. Diafragma mola, Flange FP ASME B-16.5 150#, chaves limites indutivo IP-66, solenoides nao incluídas, polpa de cobre</t>
  </si>
  <si>
    <t>4.3.5.1.7</t>
  </si>
  <si>
    <t>Válvulas de Controle (On-Off) - Ø 4" Guilhotina hidráulica, corpo ASTM A 536 Gr. 65T, 150#, conexao wafer, at. Diafragma mola, Flange FR ASME B-16.5 150#, chaves limites indutivo IP-66, solenoides nao incluídas</t>
  </si>
  <si>
    <t>4.3.5.1.8</t>
  </si>
  <si>
    <t>Válvulas de Controle (On-Off) - Ø 4" Guilhotina pneumática, corpo ASTM A  216 Gr. WCB, 300#, conexao wafer, at. Diafragma mola, Flange FR ASME B-16.5 300#, chaves limites indutivo IP-66, solenoides nao incluídas</t>
  </si>
  <si>
    <t>4.3.5.1.9</t>
  </si>
  <si>
    <t>4.3.5.1.10</t>
  </si>
  <si>
    <t>Válvulas de Controle (On-Off) - Ø 4" Guilhotina pneumática, corpo ferro fundido nodular, 150#, conexao flangeada, at. Diafragma mola, Flange FP ASME B-16.5 125#, chaves limites indutivo IP-66, solenoides nao incluídas, leite de cal</t>
  </si>
  <si>
    <t>4.3.5.1.11</t>
  </si>
  <si>
    <t>Válvulas de Controle (On-Off) - Ø 4" Guilhotina pneumática, corpo ferro fundido nodular, 150#, conexao wafer, at. Diafragma mola, Flange FP ASME B-16.5 150#, chaves limites indutivo IP-66, solenoides nao incluídas, polpa de cobre</t>
  </si>
  <si>
    <t>4.3.5.1.12</t>
  </si>
  <si>
    <t>4.3.5.1.13</t>
  </si>
  <si>
    <t>4.3.5.1.14</t>
  </si>
  <si>
    <t>Válvulas de Controle (On-Off) - Ø 6" Guilhotina hidráulica, corpo ferro fundido nodular, 150#, conexao wafer, at. Diafragma mola, Flange FP ASME B-16.5 150#, chaves limites indutivo IP-66, solenoides nao incluídas</t>
  </si>
  <si>
    <t>4.3.5.1.15</t>
  </si>
  <si>
    <t>Válvulas de Controle (On-Off) - Ø 6" Guilhotina pneumática, corpo ASTM A  216 Gr. WCB, 300#, conexao wafer, at. Cilindro dupla açao, Flange FR ASME B-16.5 300#, chaves limites indutivo IP-66, solenoides nao incluídas</t>
  </si>
  <si>
    <t>4.3.5.1.16</t>
  </si>
  <si>
    <t>Válvulas de Controle (On-Off) - Ø 6" Guilhotina pneumática, corpo ASTM A  216 Gr. WCB, 300#, conexao wafer, at. Diafragma mola, Flange FR ASME B-16.5 300#, chaves limites indutivo IP-66, solenoides nao incluídas</t>
  </si>
  <si>
    <t>4.3.5.1.17</t>
  </si>
  <si>
    <t>Válvulas de Controle (On-Off) - Ø 6" Guilhotina pneumática, corpo ferro fundido nodular, 150#, conexao wafer, at. Diafragma mola, Flange FP ASME B-16.5 150#, chaves limites indutivo IP-66, solenoides nao incluídas, polpa de cobre</t>
  </si>
  <si>
    <t>4.3.5.1.18</t>
  </si>
  <si>
    <t>4.3.5.1.19</t>
  </si>
  <si>
    <t>Válvulas de Controle (On-Off) - Ø 8" Guilhotina pneumática, corpo ASTM A  216 Gr. WCB, 300#, conexao wafer, at. Cilindro dupla açao, Flange FR ASME B-16.5 300#, chaves limites indutivo IP-66, solenoides nao incluídas</t>
  </si>
  <si>
    <t>4.3.5.1.20</t>
  </si>
  <si>
    <t>Válvulas de Controle (On-Off) - Ø 8" Guilhotina pneumática, corpo ferro fundido nodular, 150#, conexao wafer, at. Cilindro dupla açao, Flange FP ASME B-16.5 150#, chaves limites indutivo IP-66, solenoides nao incluídas, polpa de cobre</t>
  </si>
  <si>
    <t>4.3.5.1.21</t>
  </si>
  <si>
    <t>Válvulas de Controle (On-Off) - Ø 8" Guilhotina pneumática, corpo ferro fundido nodular, 150#, conexao wafer, at. Diafragma mola, Flange FP ASME B-16.5 150#, chaves limites indutivo IP-66, solenoides nao incluídas, polpa de cobre</t>
  </si>
  <si>
    <t>4.3.5.1.22</t>
  </si>
  <si>
    <t>Válvulas de Controle (On-Off) - Ø 10" Borboleta, ASTM A 216 Gr, 150#, gaxetas em teflon, conexao wafer, sede Buna N,  at. Diafragma mola, Acion. Pneumático, Flange sobreposto ASME B-16.5 150#, chaves limites indutivo IP-66, solenoides nao incluídas</t>
  </si>
  <si>
    <t>4.3.5.1.23</t>
  </si>
  <si>
    <t>Válvulas de Controle (On-Off) - Ø 10" Guilhotina pneumática, corpo ASTM A 536 Gr. 65T, 150#, conexao wafer, at. Cilindro dupla açao, Flange FR ASME B-16.5 150#, chaves limites indutivo IP-66, solenoides nao incluídas, polpa de cobre</t>
  </si>
  <si>
    <t>4.3.5.1.24</t>
  </si>
  <si>
    <t>4.3.5.1.25</t>
  </si>
  <si>
    <t>Válvulas de Controle (On-Off) - Ø 12" Guilhotina pneumática, corpo ASTM A 536 Gr. 65T, 150#, conexao wafer, at. Cilindro dupla açao, Flange FR ASME B-16.5 150#, chaves limites indutivo IP-66, solenoides nao incluídas, polpa de cobre</t>
  </si>
  <si>
    <t>4.3.5.1.26</t>
  </si>
  <si>
    <t>Válvulas de Controle (On-Off) - Ø 14" Guilhotina pneumática, corpo ASTM A 536 Gr. 65T, 150#, conexao wafer, at. Cilindro dupla açao, Flange FR ASME B-16.5 150#, chaves limites indutivo IP-66, solenoides nao incluídas, polpa de cobre</t>
  </si>
  <si>
    <t>4.3.5.1.27</t>
  </si>
  <si>
    <t>Válvulas de Controle (On-Off) - Ø 16" Guilhotina pneumática, corpo ASTM A 536 Gr. 65T, 150#, conexao wafer, at. Cilindro dupla açao, Flange FR ASME B-16.5 150#, chaves limites indutivo IP-66, solenoides nao incluídas, polpa de cobre</t>
  </si>
  <si>
    <t>4.3.5.1.28</t>
  </si>
  <si>
    <t>Válvulas de Controle (On-Off) - Ø 18" Borboleta, ASTM A 216 Gr, 150#, gaxetas em teflon, conexao wafer, sede Buna N,  at. Diafragma mola, acion. Pneumático, Flange sobreposto ASME B-16.5 150#, chaves limites indutivo IP-66, solenoides nao incluídas</t>
  </si>
  <si>
    <t>4.3.5.1.29</t>
  </si>
  <si>
    <t>Válvulas de Controle (On-Off) - Ø 18" Guilhotina pneumática, corpo ASTM A 536 Gr. 65T, 150#, conexao wafer, at. Cilindro dupla açao, Flange FR ASME B-16.5 150#, chaves limites indutivo IP-66, solenoides nao incluídas, polpa de cobre</t>
  </si>
  <si>
    <t>4.3.5.1.30</t>
  </si>
  <si>
    <t>4.3.5.1.31</t>
  </si>
  <si>
    <t>Válvulas de Controle (On-Off) - Ø 20" Guilhotina pneumática, corpo ASTM A 536 Gr. 65T, 150#, conexao wafer, at. Cilindro dupla açao, Flange FR ASME B-16.5 150#, chaves limites indutivo IP-66, solenoides nao incluídas, polpa de cobre</t>
  </si>
  <si>
    <t>4.3.5.1.32</t>
  </si>
  <si>
    <t>Válvulas de Controle (On-Off) - Ø 24" Borboleta, ASTM A 216 Gr, 150#, gaxetas em teflon, conexao wafer, sede Buna N,  at. Diafragma mola, acion. Pneumático, Flange sobreposto ASME B-16.5 150#, chaves limites indutivo IP-66, solenoides nao incluídas</t>
  </si>
  <si>
    <t>4.3.5.1.33</t>
  </si>
  <si>
    <t>Válvulas de Controle (On-Off) - Ø 24" Guilhotina hidráulica, corpo ASTM A 536 Gr. 65T, 150#, conexao wafer, at. Cilindro dupla açao, Flange FR ASME B-16.5 150#, chaves limites indutivo IP-66, solenoides nao incluídas</t>
  </si>
  <si>
    <t>4.3.5.1.34</t>
  </si>
  <si>
    <t>Válvulas de Controle (On-Off) - Ø 24" Guilhotina pneumática, corpo ASTM A 536 Gr. 65T, 150#, conexao wafer, at. Cilindro dupla açao, Flange FR ASME B-16.5 150#, chaves limites indutivo IP-66, solenoides nao incluídas, polpa de cobre</t>
  </si>
  <si>
    <t>4.3.5.1.35</t>
  </si>
  <si>
    <t>Válvulas de Controle (On-Off) - Ø 28" Guilhotina pneumática, corpo ASTM A 536 Gr. 65T, 150#, conexao wafer, at. Cilindro dupla açao, Flange FR ASME B-16.5 150#, chaves limites indutivo IP-66, solenoides nao incluídas, polpa de cobre</t>
  </si>
  <si>
    <t>4.3.5.1.36</t>
  </si>
  <si>
    <t>Válvulas de Controle (On-Off) - Ø 30" Guilhotina hidráulica, corpo ASTM A 536 Gr. 65T, 150#, conexao wafer, at. Cilindro dupla açao, Flange FR ASME B-16.5 150#, chaves limites indutivo IP-66, solenoides nao incluídas</t>
  </si>
  <si>
    <t>4.3.5.1.37</t>
  </si>
  <si>
    <t>4.3.5.1.38</t>
  </si>
  <si>
    <t>Válvulas de Controle (On-Off) - Ø 4" Borboleta, ASTM A 216 Gr, 150#, gaxetas em teflon, conexao wafer, sede Buna N,  at. Diafragma mola, acion. Pneumático, Flange sobreposto ASME B-16.5 150#, chaves limites indutivo IP-66, solenoides nao incluídas</t>
  </si>
  <si>
    <t>4.3.5.1.39</t>
  </si>
  <si>
    <t>Válvulas de Controle (On-Off) - 50mm Esfera e sede AISI, corpo PP, 150#, gaxetas em teflon, at. diafragma mola, anéis de vedaçao em Viton ASME B-16.5 150#, chaves limites indutivo IP-66, solenoides nao incluídas</t>
  </si>
  <si>
    <t>4.3.5.1.40</t>
  </si>
  <si>
    <t>Válvulas de Controle (On-Off) - 90mm Esfera e sede AISI, corpo PP, 150#, gaxetas em teflon, at. diafragma mola, anéis de vedaçao em Viton ASME B-16.5 150#, chaves limites indutivo IP-66, solenoides nao incluídas</t>
  </si>
  <si>
    <t>4.3.5.2.1</t>
  </si>
  <si>
    <t>Válvulas de Controle modulado tipo mangote - O 2" Passagem reta, 150#, diafragma borracha natural, gaxetas em teflon, at. diafragma mola, posic. Eletrop. IP-66 unid. Trat. ar comp., Fieldbus Foundation, 24Vcc, Flange FP ASME B-16.5 150#, leite de cal</t>
  </si>
  <si>
    <t>4.3.5.2.2</t>
  </si>
  <si>
    <t>4.3.5.2.3</t>
  </si>
  <si>
    <t>Válvulas de Controle modulado tipo mangote - O 2-1/2" Corpo fechado ASTM A 216 Gr, 150#, atuador diafragma mola, posic. Eletrop., IP-66, Fieldbus Foundation, 24Vcc, Flange Sobreposto ASME B-16.5 150#, polpa de minério de cobre</t>
  </si>
  <si>
    <t>4.3.5.2.4</t>
  </si>
  <si>
    <t>Válvulas de Controle modulado tipo mangote - O 4" Corpo fechado A536-65-45-12, 150#, atuador diafragma mola, posic. Eletrop., IP-66, Fieldbus Foundation, 24Vcc, Flange FP ASME B-16.5 150#, polpa de minério de cobre</t>
  </si>
  <si>
    <t>4.3.5.2.5</t>
  </si>
  <si>
    <t>2320</t>
  </si>
  <si>
    <t>4.3.5.2.6</t>
  </si>
  <si>
    <t>Válvulas de Controle modulado tipo mangote - O 10" Corpo fechado ASTM A 216 Gr, 150#, atuador diafragma mola, posic. Eletrop., IP-66, Fieldbus Foundation, 24Vcc, Flange Sobreposto ASME B-16.5 150#, polpa de minério de cobre</t>
  </si>
  <si>
    <t>4.3.5.3.1</t>
  </si>
  <si>
    <t>Válvulas de Controle modulado tipo esfera - O 1 1/2" Sede e vedaçao teflon,300#,corpo ASTM A 216Gr. WCB, esfera AISI, at. diafragma mola, posic. Eletrop. IP-66 com unid. trat. ar comp, Fieldbus Foundation, 24Vcc, rosca NPT ASME B-1.20.1 300#, água recup</t>
  </si>
  <si>
    <t>4.3.5.3.2</t>
  </si>
  <si>
    <t>Válvulas de Controle modulado tipo esfera - O 2 1/2" Sede teflon reforçado, 150#, corpo ASTM A 216 Gr. WCB, esfera AISI, at. diafragma mola, posic. Eletrop. IP-66 unid. trat. ar comp., Fieldbus Foundation, 24Vcc, Flange FR ASME B-16.5 150#, água recup.</t>
  </si>
  <si>
    <t>4.3.5.3.3</t>
  </si>
  <si>
    <t>Válvulas de Controle modulado tipo esfera - O 3" Sede teflon reforçado, 150#, corpo ASTM A 216 Gr. WCB, esfera AISI, at. diafragma mola, posic. Eletrop. IP-66 unid. trat. ar comp., Fieldbus Foundation, 24Vcc, Flange FR ASME B-16.5 150#, água recup.</t>
  </si>
  <si>
    <t>4.3.5.3.4</t>
  </si>
  <si>
    <t>Válvulas de Controle modulado tipo esfera - O 4" Sede teflon reforçado, 150#, corpo ASTM A 216 Gr. WCB, esfera AISI, at. diafragma mola, posic. Eletrop. IP-66 unid. trat. ar comp., Fieldbus Foundation, 24Vcc, Flange FR ASME B-16.5 150#, água recup.</t>
  </si>
  <si>
    <t>4.3.5.3.5</t>
  </si>
  <si>
    <t>4.3.5.3.6</t>
  </si>
  <si>
    <t>Válvulas de Controle modulado tipo esfera - O 6" Sede teflon reforçado, 150#, corpo ASTM A 216 Gr. WCB, esfera AISI, at. diafragma mola, posic. Eletrop. IP-66 unid. trat. ar comp., Fieldbus Foundation, 24Vcc, Flange FR ASME B-16.5 150#, água recup.</t>
  </si>
  <si>
    <t>4.3.5.3.7</t>
  </si>
  <si>
    <t>Válvulas de Controle modulado tipo esfera - O 8" Sede teflon reforçado, 150#, corpo ASTM A 216 Gr. WCB, esfera AISI, at. diafragma mola, posic. Eletrop. IP-66 unid. trat. ar comp., Fieldbus Foundation, 24Vcc, Flange FR ASME B-16.5 150#, água recup.</t>
  </si>
  <si>
    <t>4.3.5.3.8</t>
  </si>
  <si>
    <t>4.3.5.3.9</t>
  </si>
  <si>
    <t>4.3.5.3.10</t>
  </si>
  <si>
    <t>Válvulas de Controle modulado tipo esfera - O 10" Sede teflon reforçado, 150#, corpo ASTM A 216 Gr. WCB, esfera AISI, at. diafragma mola, posic. Eletrop. IP-66 unid. trat. ar comp., Fieldbus Foundation, 24Vcc, Flange FR ASME B-16.5 150#, água recup.</t>
  </si>
  <si>
    <t>4.3.5.3.11</t>
  </si>
  <si>
    <t>4.3.5.4.1</t>
  </si>
  <si>
    <t>Válvula auto-operada - O 1 1/2" Tipo Globo, Sede AISI 316, Atuador Tipo Diafragma/Mola, Conexao Flange ASME B-16.5 150#</t>
  </si>
  <si>
    <t>4.3.5.4.2</t>
  </si>
  <si>
    <t>4.3.5.4.3</t>
  </si>
  <si>
    <t>Válvula auto-operada - O 2 1/2" Tipo Globo, Sede AISI 316, Atuador Tipo Diafragma/Mola, Conexao Flange ASME B-16.5 150#</t>
  </si>
  <si>
    <t>4.3.5.4.4</t>
  </si>
  <si>
    <t>4.3.5.4.5</t>
  </si>
  <si>
    <t>4.3.5.4.6</t>
  </si>
  <si>
    <t>4.3.5.4.7</t>
  </si>
  <si>
    <t>4.3.5.4.8</t>
  </si>
  <si>
    <t>Válvula auto-operada - O 3" Tipo Globo, Sede AISI 316, Atuador Tipo Diafragma/Mola, Conexao Flange ASME B-16.5 150#</t>
  </si>
  <si>
    <t>4.3.5.4.9</t>
  </si>
  <si>
    <t>4.3.5.4.10</t>
  </si>
  <si>
    <t>4.3.5.4.11</t>
  </si>
  <si>
    <t>4.3.5.4.12</t>
  </si>
  <si>
    <t>4.3.5.4.13</t>
  </si>
  <si>
    <t>Válvula auto-operada - O 4" Tipo Globo, Sede AISI 316, Atuador Tipo Diafragma/Mola, Conexao Flange ASME B-16.5 150#</t>
  </si>
  <si>
    <t>4.3.5.4.14</t>
  </si>
  <si>
    <t>4.3.5.4.15</t>
  </si>
  <si>
    <t>4.3.5.5.1</t>
  </si>
  <si>
    <t>Válvulas tipo solenoide - O 1" IP-66, 120Vca</t>
  </si>
  <si>
    <t>4.3.5.5.2</t>
  </si>
  <si>
    <t>4.3.5.5.3</t>
  </si>
  <si>
    <t>4.3.5.5.4</t>
  </si>
  <si>
    <t>Válvulas tipo solenoide - O 1 1/2" IP-66, 120Vca</t>
  </si>
  <si>
    <t>4.3.5.5.5</t>
  </si>
  <si>
    <t>4.3.5.5.6</t>
  </si>
  <si>
    <t>4.3.5.5.7</t>
  </si>
  <si>
    <t>4.3.5.5.8</t>
  </si>
  <si>
    <t>Válvulas tipo solenoide - O 2" IP-66, 120Vca</t>
  </si>
  <si>
    <t>4.3.5.5.9</t>
  </si>
  <si>
    <t>4.3.5.5.10</t>
  </si>
  <si>
    <t>4.3.5.5.11</t>
  </si>
  <si>
    <t>4.3.5.5.12</t>
  </si>
  <si>
    <t>4.3.5.5.13</t>
  </si>
  <si>
    <t>4.3.5.5.14</t>
  </si>
  <si>
    <t>4.3.5.6.1</t>
  </si>
  <si>
    <t>Chave de nível Tipo ultrassônico, IP-66, 2 SPDT, 120Vca, conexao ao processo 2" NPT, alcance máximo 2m</t>
  </si>
  <si>
    <t>4.3.5.6.2</t>
  </si>
  <si>
    <t>4.3.5.6.3</t>
  </si>
  <si>
    <t>4.3.5.6.4</t>
  </si>
  <si>
    <t>4.3.5.6.5</t>
  </si>
  <si>
    <t>4.3.5.6.6</t>
  </si>
  <si>
    <t>4.3.5.6.7</t>
  </si>
  <si>
    <t>Chave de vazao tipo Termal - O 1" IP-66, 120Vca</t>
  </si>
  <si>
    <t>4.3.5.6.8</t>
  </si>
  <si>
    <t>4.3.5.6.9</t>
  </si>
  <si>
    <t>4.3.5.6.10</t>
  </si>
  <si>
    <t>Chave de vazao tipo Termal - O 1 1/2" IP-66, 120Vca</t>
  </si>
  <si>
    <t>4.3.5.6.11</t>
  </si>
  <si>
    <t>4.3.5.6.12</t>
  </si>
  <si>
    <t>4.3.5.6.13</t>
  </si>
  <si>
    <t>4.3.5.6.14</t>
  </si>
  <si>
    <t>Chave de vazao tipo Termal - O 2" IP-66, 120Vca</t>
  </si>
  <si>
    <t>4.3.5.6.15</t>
  </si>
  <si>
    <t>4.3.5.6.16</t>
  </si>
  <si>
    <t>4.3.5.7.1</t>
  </si>
  <si>
    <t>Caixa de comando eletropneumático (quantidade de válvulas: até 2 unid. 5/2) IP-66, Profibus DP, entrada de cabos inferior, filtro c/ regul. pressao e manôm. internos painel, 120Vca, fonte 24Vcc, solen. alumínio, plug-in, módulo E/D</t>
  </si>
  <si>
    <t>4.3.5.7.2</t>
  </si>
  <si>
    <t>4.3.5.7.3</t>
  </si>
  <si>
    <t>4.3.5.7.4</t>
  </si>
  <si>
    <t>Caixa de comando eletropneumático (quantidade de válvulas: até 4 unid. 5/2) IP-66, Profibus DP, entrada de cabos inferior, filtro c/ regul. pressao e manôm. internos painel, 120Vca, fonte 24Vcc, solen. alumínio, plug-in, módulo E/D</t>
  </si>
  <si>
    <t>4.3.5.7.5</t>
  </si>
  <si>
    <t>Caixa de comando eletropneumático (quantidade de válvulas: até 6 unid. 5/2) IP-66, Profibus DP, entrada de cabos inferior, filtro c/ regul. pressao e manôm. internos painel, 120Vca, fonte 24Vcc, solen. alumínio, plug-in, módulo E/D</t>
  </si>
  <si>
    <t>4.3.5.7.6</t>
  </si>
  <si>
    <t>4.3.5.7.7</t>
  </si>
  <si>
    <t>4.3.5.7.8</t>
  </si>
  <si>
    <t>4.3.5.7.9</t>
  </si>
  <si>
    <t>4.3.5.7.10</t>
  </si>
  <si>
    <t>4.3.5.7.11</t>
  </si>
  <si>
    <t>Caixa de comando eletropneumático (quantidade de válvulas: até 8 unid. 5/2) IP-66, Profibus DP, entrada de cabos inferior, filtro c/ regul. pressao e manôm. internos painel, 120Vca, fonte 24Vcc, solen. alumínio, plug-in, módulo E/D</t>
  </si>
  <si>
    <t>4.3.5.7.12</t>
  </si>
  <si>
    <t>4.3.5.7.13</t>
  </si>
  <si>
    <t>Caixa de comando eletropneumático (quantidade de válvulas: até 10 unid. 5/2) IP-66, Profibus DP, entrada de cabos inferior, filtro c/ regul. pressao e manôm. internos painel, 120Vca, fonte 24Vcc, solen. alumínio, plug-in, módulo E/D</t>
  </si>
  <si>
    <t>4.3.5.7.14</t>
  </si>
  <si>
    <t>4.3.5.7.15</t>
  </si>
  <si>
    <t>4.3.5.7.16</t>
  </si>
  <si>
    <t>4.3.5.7.17</t>
  </si>
  <si>
    <t>4.3.5.7.18</t>
  </si>
  <si>
    <t>4.4.1.1.1</t>
  </si>
  <si>
    <t>Switch Industrial 4 portas Ethernet, 2 Portas uplink SFP, instalaçao em Rack - MEM 01</t>
  </si>
  <si>
    <t>4.4.1.1.2</t>
  </si>
  <si>
    <t>4.4.1.1.3</t>
  </si>
  <si>
    <t>4.4.1.1.4</t>
  </si>
  <si>
    <t>2322</t>
  </si>
  <si>
    <t>4.4.1.1.5</t>
  </si>
  <si>
    <t>Switch Industrial, 08 Portas PoE, 2 Portas uplink SFP, trilho DIN - MEM 01</t>
  </si>
  <si>
    <t>4.4.1.1.6</t>
  </si>
  <si>
    <t>4.4.1.1.7</t>
  </si>
  <si>
    <t>4.4.1.1.8</t>
  </si>
  <si>
    <t>4.4.1.1.9</t>
  </si>
  <si>
    <t>4.4.1.1.10</t>
  </si>
  <si>
    <t>4.4.1.1.11</t>
  </si>
  <si>
    <t>4.4.1.1.12</t>
  </si>
  <si>
    <t>4.4.1.1.13</t>
  </si>
  <si>
    <t>Módulo de expansão de fibra monomodo para Switch Industrial - MEM 01</t>
  </si>
  <si>
    <t>4.4.1.1.14</t>
  </si>
  <si>
    <t>4.4.1.1.15</t>
  </si>
  <si>
    <t>4.4.2.1.1</t>
  </si>
  <si>
    <t>DIO, 12 fibras, monomodo 9/125 µm, instalação trilho DIN, kit bandeja de emenda - MEM 01</t>
  </si>
  <si>
    <t>CMS M.32.42.000</t>
  </si>
  <si>
    <t>4.4.2.1.2</t>
  </si>
  <si>
    <t>4.4.2.1.3</t>
  </si>
  <si>
    <t>4.4.2.1.4</t>
  </si>
  <si>
    <t>4.4.2.1.5</t>
  </si>
  <si>
    <t>4.4.2.1.6</t>
  </si>
  <si>
    <t>4.4.2.1.7</t>
  </si>
  <si>
    <t>4.4.2.1.8</t>
  </si>
  <si>
    <t>4.4.2.1.9</t>
  </si>
  <si>
    <t>DIO, 12 fibras, monomodo 9/125 µm, altura 1 UA, kit bandeja de emenda - MEM 01</t>
  </si>
  <si>
    <t>4.4.2.1.10</t>
  </si>
  <si>
    <t>4.4.2.1.11</t>
  </si>
  <si>
    <t>4.4.2.1.12</t>
  </si>
  <si>
    <t>4.4.2.1.13</t>
  </si>
  <si>
    <t>4.4.2.1.14</t>
  </si>
  <si>
    <t>4.4.2.1.15</t>
  </si>
  <si>
    <t>2013</t>
  </si>
  <si>
    <t>DIO, 24 fibras, monomodo 9/125 µm, altura 1 UA, kit bandeja de emenda - MEM 01</t>
  </si>
  <si>
    <t>4.4.2.1.16</t>
  </si>
  <si>
    <t>4.4.2.1.17</t>
  </si>
  <si>
    <t>4.4.2.1.18</t>
  </si>
  <si>
    <t>4.4.2.1.19</t>
  </si>
  <si>
    <t>DIO, 48 fibras, monomodo 9/125 µm, altura 2 UA, kit bandeja de emenda - MEM 01</t>
  </si>
  <si>
    <t>4.4.2.1.20</t>
  </si>
  <si>
    <t>4.4.2.1.21</t>
  </si>
  <si>
    <t>4.4.2.1.22</t>
  </si>
  <si>
    <t>4.5.1.1.1</t>
  </si>
  <si>
    <t>MC.023M</t>
  </si>
  <si>
    <t>Caixa Fornecida em partes, inclusive Pintura de Acabamento</t>
  </si>
  <si>
    <t>CMS M.55.10.000</t>
  </si>
  <si>
    <t>4.5.1.1.2</t>
  </si>
  <si>
    <t>4.5.1.1.3</t>
  </si>
  <si>
    <t>Caixa Fornecida em partes, inclusive Pintura de Acabamento - Com vulcanização a frio do revestimento de borracha na região das juntas soldadas pela montadora</t>
  </si>
  <si>
    <t>4.5.1.1.4</t>
  </si>
  <si>
    <t>4.5.1.1.5</t>
  </si>
  <si>
    <t>4.5.1.1.6</t>
  </si>
  <si>
    <t>4.5.1.1.7</t>
  </si>
  <si>
    <t>4.5.1.1.8</t>
  </si>
  <si>
    <t>4.5.1.1.9</t>
  </si>
  <si>
    <t>4.5.1.1.10</t>
  </si>
  <si>
    <t>4.5.1.1.11</t>
  </si>
  <si>
    <t>4.5.1.1.12</t>
  </si>
  <si>
    <t>4.5.1.1.13</t>
  </si>
  <si>
    <t>4.5.1.1.14</t>
  </si>
  <si>
    <t>4.5.1.1.15</t>
  </si>
  <si>
    <t>Caixa Fornecida Montada, inclusive Pintura de Acabamento - Caixa de finos do sistema de despoeiramento</t>
  </si>
  <si>
    <t>4.5.1.1.16</t>
  </si>
  <si>
    <t>Caixa Fornecida Montada, inclusive Pintura de Acabamento</t>
  </si>
  <si>
    <t>4.5.1.1.17</t>
  </si>
  <si>
    <t>4.5.1.1.18</t>
  </si>
  <si>
    <t>4.5.1.1.19</t>
  </si>
  <si>
    <t>4.5.1.1.20</t>
  </si>
  <si>
    <t>4.5.1.1.21</t>
  </si>
  <si>
    <t>4.5.1.1.22</t>
  </si>
  <si>
    <t>4.5.1.1.23</t>
  </si>
  <si>
    <t>4.5.1.1.24</t>
  </si>
  <si>
    <t>4.5.1.2.1</t>
  </si>
  <si>
    <t>Calha Fornecida em partes, inclusive Pintura de Acabamento - Calha de rejeito scavanger e cleanner - Com vulcanização a frio do revestimento de borracha na região das juntas soldadas pela montadora</t>
  </si>
  <si>
    <t>4.5.1.2.2</t>
  </si>
  <si>
    <t>Calha Fornecida em partes, inclusive Pintura de Acabamento - Calha de limpeza de piso</t>
  </si>
  <si>
    <t>4.5.1.2.3</t>
  </si>
  <si>
    <t>Calha Fornecida em partes, inclusive Pintura de Acabamento - Calhas de concentrado - Com vulcanização a frio do revestimento de borracha na região das juntas soldadas pela montadora</t>
  </si>
  <si>
    <t>4.5.1.2.4</t>
  </si>
  <si>
    <t>Calha Fornecida Montada, inclusive Pintura de Acabamento - Calha de descarga do analisador químico online</t>
  </si>
  <si>
    <t>4.5.1.2.5</t>
  </si>
  <si>
    <t>Calha Fornecida Montada, inclusive Pintura de Acabamento - Calha de rejeito rougher - dois conjuntos revestidos</t>
  </si>
  <si>
    <t>4.5.1.2.6</t>
  </si>
  <si>
    <t>Calha Fornecida Montada, inclusive Pintura de Acabamento - Calha de alimentação da caçamba de bolas e rasgador de bolas</t>
  </si>
  <si>
    <t>4.5.1.3.1</t>
  </si>
  <si>
    <t>Chute Fornecido em partes, inclusive Pintura de Acabamento - Com soldagem das juntas verticais no campo pela Montadora</t>
  </si>
  <si>
    <t>4.5.1.3.2</t>
  </si>
  <si>
    <t>4.5.1.3.3</t>
  </si>
  <si>
    <t>4.5.1.3.4</t>
  </si>
  <si>
    <t>4.5.1.3.5</t>
  </si>
  <si>
    <t>Chute Fornecido em partes, inclusive Pintura de Acabamento</t>
  </si>
  <si>
    <t>4.5.1.3.6</t>
  </si>
  <si>
    <t>4.5.1.3.7</t>
  </si>
  <si>
    <t>4.5.1.3.8</t>
  </si>
  <si>
    <t>4.5.1.3.9</t>
  </si>
  <si>
    <t>4.5.1.3.10</t>
  </si>
  <si>
    <t>4.5.1.3.11</t>
  </si>
  <si>
    <t>4.5.1.3.12</t>
  </si>
  <si>
    <t>4.5.1.3.13</t>
  </si>
  <si>
    <t>4.5.1.3.14</t>
  </si>
  <si>
    <t>4.5.1.3.15</t>
  </si>
  <si>
    <t>4.5.1.3.16</t>
  </si>
  <si>
    <t>4.5.1.3.17</t>
  </si>
  <si>
    <t>4.5.1.3.18</t>
  </si>
  <si>
    <t>4.5.1.3.19</t>
  </si>
  <si>
    <t>4.5.1.3.20</t>
  </si>
  <si>
    <t>4.5.1.3.21</t>
  </si>
  <si>
    <t>4.5.1.3.22</t>
  </si>
  <si>
    <t>4.5.1.3.23</t>
  </si>
  <si>
    <t>4.5.1.3.24</t>
  </si>
  <si>
    <t>4.5.1.3.25</t>
  </si>
  <si>
    <t>Chute Fornecido Montado, inclusive Pintura de Acabamento</t>
  </si>
  <si>
    <t>4.5.1.3.26</t>
  </si>
  <si>
    <t>4.5.1.3.27</t>
  </si>
  <si>
    <t>4.5.1.3.28</t>
  </si>
  <si>
    <t>4.5.1.3.29</t>
  </si>
  <si>
    <t>4.5.1.3.30</t>
  </si>
  <si>
    <t>4.5.1.3.31</t>
  </si>
  <si>
    <t>4.5.1.3.32</t>
  </si>
  <si>
    <t>4.5.1.4.1</t>
  </si>
  <si>
    <t>Distribuidores de Fluxo Fornecido em partes, inclusive Pintura de Acabamento - .</t>
  </si>
  <si>
    <t>4.5.1.4.2</t>
  </si>
  <si>
    <t>Distribuidores de Fluxo Fornecido em partes, inclusive Pintura de Acabamento - Com vulcanização a frio do revestimento de borracha na região das juntas soldadas pela montadora</t>
  </si>
  <si>
    <t>4.5.1.4.3</t>
  </si>
  <si>
    <t>4.5.1.4.4</t>
  </si>
  <si>
    <t>4.5.1.4.5</t>
  </si>
  <si>
    <t>Distribuidores de Fluxo Fornecido em partes, inclusive Pintura de Acabamento - Com válvulas dardo - .</t>
  </si>
  <si>
    <t>4.5.1.4.6</t>
  </si>
  <si>
    <t>Distribuidores de Fluxo Fornecido Montado, inclusive Pintura de Acabamento - Com válvulas dardo - Incluindo válvulas dardo, com cilíndros hidráulicos e unidade hidráulica de acionamento completa</t>
  </si>
  <si>
    <t>4.5.1.4.7</t>
  </si>
  <si>
    <t>MC.024M</t>
  </si>
  <si>
    <t>Distribuidor de fluxo fornecido montado, com revestimento em borracha natural 12mm, pintura de acabamento, cilindro pneumático, tampão, painel de solenóides, e instrumentação completa - TAG: DI-2017-07</t>
  </si>
  <si>
    <t>CMS M.55.10.010</t>
  </si>
  <si>
    <t>4.5.1.4.8</t>
  </si>
  <si>
    <t>Distribuidor de fluxo fornecido montado, com revestimento em borracha natural 12mm, pintura de acabamento, cilindro pneumático, tampão, painel de solenóides, e instrumentação completa - TAG: DI-2017-08</t>
  </si>
  <si>
    <t>4.5.1.4.9</t>
  </si>
  <si>
    <t>Distribuidor de fluxo fornecido montado, com revestimento em borracha natural 12mm, pintura de acabamento, cilindro pneumático, tampão, painel de solenóides, e instrumentação completa - TAG: DI-2057-07</t>
  </si>
  <si>
    <t>4.5.1.4.10</t>
  </si>
  <si>
    <t>Distribuidor de fluxo fornecido montado, com revestimento em borracha natural 12mm, pintura de acabamento, cilindro pneumático, tampão, painel de solenóides, e instrumentação completa - TAG: DI-2057-08</t>
  </si>
  <si>
    <t>4.5.1.5.1</t>
  </si>
  <si>
    <t>Silo fornecido em partes, inclusive pintura de acabamento</t>
  </si>
  <si>
    <t>4.5.1.5.2</t>
  </si>
  <si>
    <t>Silo fornecido montado, inclusive pintura de acabamento</t>
  </si>
  <si>
    <t>4.5.1.6.1</t>
  </si>
  <si>
    <t>Tanque Fornecido em partes, inclusive Pintura de Acabamento - Com vulcanização a frio do revestimento de borracha na região das juntas soldadas pela montadora</t>
  </si>
  <si>
    <t>4.5.1.6.2</t>
  </si>
  <si>
    <t>Tanque Fornecido em partes, inclusive Pintura de Acabamento</t>
  </si>
  <si>
    <t>4.5.1.6.3</t>
  </si>
  <si>
    <t>4.5.1.6.4</t>
  </si>
  <si>
    <t>Tanque Fornecido em partes, inclusive Pintura de Acabamento - Com aplicação de revestimento em BELZONA 1812 na região das juntas soldadas pela montadora</t>
  </si>
  <si>
    <t>4.5.1.6.5</t>
  </si>
  <si>
    <t>4.5.1.6.6</t>
  </si>
  <si>
    <t>4.5.1.6.7</t>
  </si>
  <si>
    <t>4.5.1.6.8</t>
  </si>
  <si>
    <t>Tanque Fornecido Montado, inclusive Pintura de Acabamento</t>
  </si>
  <si>
    <t>4.5.1.6.9</t>
  </si>
  <si>
    <t>4.5.1.6.10</t>
  </si>
  <si>
    <t>4.5.1.6.11</t>
  </si>
  <si>
    <t>4.5.1.6.12</t>
  </si>
  <si>
    <t>4.5.1.6.13</t>
  </si>
  <si>
    <t>4.5.1.6.14</t>
  </si>
  <si>
    <t>4.5.1.7.1</t>
  </si>
  <si>
    <t>Vaso Fornecido Montado, inclusive Pintura de Acabamento - - Capacidade 2m³ - Para ar comprimido - VA-2303SA-01</t>
  </si>
  <si>
    <t>4.5.1.7.2</t>
  </si>
  <si>
    <t>Vaso de 1 m³ fornecido Montado, inclusive Pintura de Acabamento - Ar comprimido - VA-2301SA-01</t>
  </si>
  <si>
    <t>4.5.1.7.3</t>
  </si>
  <si>
    <t>Vaso de 5 m³ fornecido Montado, inclusive Pintura de Acabamento - Para ar comprimido - VA-2316SA-01</t>
  </si>
  <si>
    <t>4.5.1.7.4</t>
  </si>
  <si>
    <t>Vaso de 5 m³ fornecido Montado, inclusive Pintura de Acabamento - Para ar comprimido - VA-2316SA-02</t>
  </si>
  <si>
    <t>4.5.1.7.5</t>
  </si>
  <si>
    <t>Vaso de 20 m³ fornecido Montado, inclusive Pintura de Acabamento - Para ar comprimido - VA-2316SA-03</t>
  </si>
  <si>
    <t>4.5.1.8.1</t>
  </si>
  <si>
    <t>Trilho TR-68</t>
  </si>
  <si>
    <t>4.5.1.8.2</t>
  </si>
  <si>
    <t>4.5.1.8.3</t>
  </si>
  <si>
    <t>4.5.1.8.4</t>
  </si>
  <si>
    <t>4.5.1.8.5</t>
  </si>
  <si>
    <t>4.5.1.8.6</t>
  </si>
  <si>
    <t>4.5.1.8.7</t>
  </si>
  <si>
    <t>4.5.1.9.1</t>
  </si>
  <si>
    <t>MC.012S</t>
  </si>
  <si>
    <t>Miscelâneas Metálicas, inclusive Pintura de Acabamento - Guarda-corpos diversas elevaçoes</t>
  </si>
  <si>
    <t>CMS M.55.20.000</t>
  </si>
  <si>
    <t>4.5.1.9.2</t>
  </si>
  <si>
    <t>4.5.1.9.3</t>
  </si>
  <si>
    <t>4.5.1.9.4</t>
  </si>
  <si>
    <t>4.5.1.9.5</t>
  </si>
  <si>
    <t>4.5.1.9.6</t>
  </si>
  <si>
    <t>4.5.1.9.7</t>
  </si>
  <si>
    <t>4.5.1.9.8</t>
  </si>
  <si>
    <t>4.5.1.9.9</t>
  </si>
  <si>
    <t>4.5.1.9.10</t>
  </si>
  <si>
    <t>Miscelâneas Metálicas, inclusive Pintura de Acabamento - Miscelâneas metálicas</t>
  </si>
  <si>
    <t>CMS M.55.20.010</t>
  </si>
  <si>
    <t>4.5.1.9.11</t>
  </si>
  <si>
    <t>4.5.1.9.12</t>
  </si>
  <si>
    <t>Miscelâneas Metálicas, inclusive Pintura de Acabamento - Miscelâneas metálicas - Miscelâneas metálicas</t>
  </si>
  <si>
    <t>4.5.1.9.13</t>
  </si>
  <si>
    <t>4.5.1.9.14</t>
  </si>
  <si>
    <t>4.5.1.9.15</t>
  </si>
  <si>
    <t>4.5.1.9.16</t>
  </si>
  <si>
    <t>4.5.1.9.17</t>
  </si>
  <si>
    <t>4.5.1.9.18</t>
  </si>
  <si>
    <t>4.5.1.9.19</t>
  </si>
  <si>
    <t>4.5.1.9.20</t>
  </si>
  <si>
    <t>4.5.1.9.21</t>
  </si>
  <si>
    <t>4.5.1.9.22</t>
  </si>
  <si>
    <t>4.5.1.9.23</t>
  </si>
  <si>
    <t xml:space="preserve">Miscelâneas Metálicas, inclusive Pintura de Acabamento - Tubulaçao de drenagem </t>
  </si>
  <si>
    <t>4.5.1.9.24</t>
  </si>
  <si>
    <t>4.5.1.9.25</t>
  </si>
  <si>
    <t>Miscelâneas Metálicas, inclusive Pintura de Acabamento - Tampa metálica - Tampa metálica da caixa de acesso aos drenos das tubulações do TQ-5101SA-01</t>
  </si>
  <si>
    <t>4.5.1.9.26</t>
  </si>
  <si>
    <t>Miscelâneas Metálicas, inclusive Pintura de Acabamento - Proteçao das vigas de concreto dos silos SI-2303SA-01@03</t>
  </si>
  <si>
    <t>4.5.1.9.27</t>
  </si>
  <si>
    <t>Miscelâneas Metálicas, inclusive Pintura de Acabamento - Proteçao das vigas de concreto dos silos SI-2305SA-01@04</t>
  </si>
  <si>
    <t>4.5.1.9.28</t>
  </si>
  <si>
    <t>Miscelâneas Metálicas, inclusive Pintura de Acabamento - Proteçao e dispositivo rasga bags</t>
  </si>
  <si>
    <t>4.5.1.9.29</t>
  </si>
  <si>
    <t>Miscelâneas Metálicas, inclusive Pintura de Acabamento - Conjunto de agulhas - Dois conjunto de agulhas da válvula do chute CH-2301SA-01@04</t>
  </si>
  <si>
    <t>4.5.1.9.30</t>
  </si>
  <si>
    <t>Miscelâneas Metálicas, inclusive Pintura de Acabamento - Conjunto de agulhas - 02 conjuntos de agulhas da válvula do chute CH-2303SA-05, 06 &amp; 12</t>
  </si>
  <si>
    <t>4.5.1.9.31</t>
  </si>
  <si>
    <t>Miscelâneas Metálicas, inclusive Pintura de Acabamento - Conjunto de agulhas - Dois conjuntos de agulhas da válvula do chute CH-2305SA-05@08</t>
  </si>
  <si>
    <t>4.5.1.9.32</t>
  </si>
  <si>
    <t>Miscelâneas Metálicas, inclusive Pintura de Acabamento - Suporte para agulhas - Dois suportes para agulhas das válvulas dos chutes CH-2301SA-01@04</t>
  </si>
  <si>
    <t>4.5.1.9.33</t>
  </si>
  <si>
    <t>Miscelâneas Metálicas, inclusive Pintura de Acabamento - Suporte para agulhas - 02 suporte para agulhas da válvula do chute CH-2303SA-05, 06 &amp; 12</t>
  </si>
  <si>
    <t>4.5.1.9.34</t>
  </si>
  <si>
    <t>Miscelâneas Metálicas, inclusive Pintura de Acabamento - Suporte para agulhas - Dois suportes para agulhas da válvula do chute CH-2305SA-05@08</t>
  </si>
  <si>
    <t>4.5.1.9.35</t>
  </si>
  <si>
    <t>Miscelâneas Metálicas, inclusive Pintura de Acabamento - Dutos de limpeza do piso</t>
  </si>
  <si>
    <t>4.5.1.9.36</t>
  </si>
  <si>
    <t>Miscelâneas Metálicas, inclusive Pintura de Acabamento - Olhais de arraste</t>
  </si>
  <si>
    <t>4.5.1.9.37</t>
  </si>
  <si>
    <t>Miscelâneas Metálicas, inclusive Pintura de Acabamento - Mesas giratórias do spout feeder</t>
  </si>
  <si>
    <t>4.5.1.9.38</t>
  </si>
  <si>
    <t>Miscelâneas Metálicas, inclusive Pintura de Acabamento - Calhas sob as mesas giratórias do spout feeder</t>
  </si>
  <si>
    <t>4.5.1.9.39</t>
  </si>
  <si>
    <t>Miscelâneas Metálicas, inclusive Pintura de Acabamento - Duto de limpeza</t>
  </si>
  <si>
    <t>4.5.1.9.40</t>
  </si>
  <si>
    <t>Miscelâneas Metálicas, inclusive Pintura de Acabamento - Caçamba - Caçamba para alimentação do moinho de bolas</t>
  </si>
  <si>
    <t>4.5.1.9.41</t>
  </si>
  <si>
    <t>4.5.1.9.42</t>
  </si>
  <si>
    <t>4.5.1.9.43</t>
  </si>
  <si>
    <t>4.5.1.9.44</t>
  </si>
  <si>
    <t>Miscelâneas Metálicas, inclusive Pintura de Acabamento - Sarrilho para manuseio de amostras</t>
  </si>
  <si>
    <t>4.5.1.9.45</t>
  </si>
  <si>
    <t>Miscelâneas Metálicas, inclusive Pintura de Acabamento - Plataforma de operaçao - Plataforma de operação de válvulas</t>
  </si>
  <si>
    <t>4.5.1.9.46</t>
  </si>
  <si>
    <t>Miscelâneas Metálicas, inclusive Pintura de Acabamento - Plataforma de acesso - Plataforma de acesso aos sensores de nível do tanque TQ-5101SA-01</t>
  </si>
  <si>
    <t>4.5.1.9.47</t>
  </si>
  <si>
    <t>Miscelâneas Metálicas, inclusive Pintura de Acabamento - Telas de proteção do moinho MO-2305SA-01</t>
  </si>
  <si>
    <t>4.5.1.9.48</t>
  </si>
  <si>
    <t>Miscelâneas Metálicas, inclusive Pintura de Acabamento - Telas de proteção do moinho MO-2305SA-02</t>
  </si>
  <si>
    <t>4.5.1.9.49</t>
  </si>
  <si>
    <t>Miscelâneas Metálicas, inclusive Pintura de Acabamento – Bocal de Sucção da Caixa de Concreto - Interligação CX-2305SA-02 com BP-2305SA-02 - Tubulação revestida em CDP 4666 0805 e flanges revestidos em CDP 4666 0503</t>
  </si>
  <si>
    <t>4.5.1.9.50</t>
  </si>
  <si>
    <t>Miscelâneas Metálicas, inclusive Pintura de Acabamento – Bocal de Sucção da Caixa de Concreto - Interligação CX-2305SA-02 com BP-2305SA-04 - Tubulação revestida em CDP 4666 0805 e flanges revestidos em CDP 4666 0503</t>
  </si>
  <si>
    <t>4.5.1.9.51</t>
  </si>
  <si>
    <t>Miscelâneas Metálicas, inclusive Pintura de Acabamento – Bocal de Sucção da Caixa de Concreto - Interligação CX-2305SA-01 com BP-2305SA-03 - Tubulação revestida em CDP 4666 0805 e flanges revestidos em CDP 4666 0503</t>
  </si>
  <si>
    <t>4.5.1.9.52</t>
  </si>
  <si>
    <t>Miscelâneas Metálicas, inclusive Pintura de Acabamento – Bocal de Sucção da Caixa de Concreto - Interligação CX-2305SA-01 com BP-2305SA-01 - Tubulação revestida em CDP 4666 0805 e flanges revestidos em CDP 4666 0503</t>
  </si>
  <si>
    <t>4.5.2.1.1</t>
  </si>
  <si>
    <t>MC.025M</t>
  </si>
  <si>
    <t>Revestimento placas de borracha de pneus radiais fora de estrada #60mm - Revestimento do silo SI-2313SA-01</t>
  </si>
  <si>
    <t>m2</t>
  </si>
  <si>
    <t>CMS M.55.30.000</t>
  </si>
  <si>
    <t>4.5.2.2.1</t>
  </si>
  <si>
    <t>Tubo Ø 36” revestido em CDP 466 0812 # 20mm (placa base # 8mm + revestimento # 12mm)</t>
  </si>
  <si>
    <t>4.5.2.2.2</t>
  </si>
  <si>
    <t>4.6.1.1.1</t>
  </si>
  <si>
    <t>MC.027T</t>
  </si>
  <si>
    <t>Tubulação de Aço Carbono ASTM A 53 Gr B-S, SCH. 80, C /Rosca NPT, inclusive Conexões e válvulas ½”</t>
  </si>
  <si>
    <t>CMS M.60.10.010</t>
  </si>
  <si>
    <t>4.6.1.1.2</t>
  </si>
  <si>
    <t>4.6.1.1.3</t>
  </si>
  <si>
    <t>4.6.1.1.4</t>
  </si>
  <si>
    <t>4.6.1.1.5</t>
  </si>
  <si>
    <t>Tubulação de Aço Carbono ASTM A 53 Gr B-S, SCH. 80, C /Rosca NPT, inclusive Conexões e válvulas ¾”</t>
  </si>
  <si>
    <t>4.6.1.1.6</t>
  </si>
  <si>
    <t>4.6.1.1.7</t>
  </si>
  <si>
    <t>4.6.1.1.8</t>
  </si>
  <si>
    <t>4.6.1.1.9</t>
  </si>
  <si>
    <t>4.6.1.1.10</t>
  </si>
  <si>
    <t>Tubulação de Aço Carbono ASTM A 53 Gr B-S, SCH. 80, C /Rosca NPT, inclusive Conexões e válvulas 1”</t>
  </si>
  <si>
    <t>4.6.1.1.11</t>
  </si>
  <si>
    <t>4.6.1.1.12</t>
  </si>
  <si>
    <t>4.6.1.1.13</t>
  </si>
  <si>
    <t>4.6.1.1.14</t>
  </si>
  <si>
    <t>4.6.1.1.15</t>
  </si>
  <si>
    <t>Tubulação de Aço Carbono ASTM A 53 Gr B-S, SCH. 80, C /Rosca NPT, inclusive Conexões e válvulas 1 ½”</t>
  </si>
  <si>
    <t>4.6.1.1.16</t>
  </si>
  <si>
    <t>4.6.1.1.17</t>
  </si>
  <si>
    <t>4.6.1.1.18</t>
  </si>
  <si>
    <t>4.6.1.1.19</t>
  </si>
  <si>
    <t>4.6.1.1.20</t>
  </si>
  <si>
    <t>Tubulação de Aço Carbono ASTM A 53 Gr B-S, SCH. 80, C /Rosca NPT, inclusive Conexões e válvulas 2”</t>
  </si>
  <si>
    <t>4.6.1.1.21</t>
  </si>
  <si>
    <t>4.6.1.1.22</t>
  </si>
  <si>
    <t>4.6.1.1.23</t>
  </si>
  <si>
    <t>4.6.1.1.24</t>
  </si>
  <si>
    <t>4.6.1.1.25</t>
  </si>
  <si>
    <t xml:space="preserve">Tubo ASTM A53-B, tipo S, SCH 80, NPT, ASME B36.10, inclusive válvulas e conexões, menores ou iguais a ø 2" </t>
  </si>
  <si>
    <t>4.6.1.2.1</t>
  </si>
  <si>
    <t>Tubulação de Aço Carbono ASTM A 53 Gr B-S, SCH.STD. WT, C /Extr. para Solda de Topo, inclusive Conexões e válvulas 2 ½”</t>
  </si>
  <si>
    <t>4.6.1.2.2</t>
  </si>
  <si>
    <t>4.6.1.2.3</t>
  </si>
  <si>
    <t>4.6.1.2.4</t>
  </si>
  <si>
    <t>4.6.1.2.5</t>
  </si>
  <si>
    <t>Tubulação de Aço Carbono ASTM A 53 Gr B-S, SCH.STD. WT, C /Extr. para Solda de Topo, inclusive Conexões e válvulas 3”</t>
  </si>
  <si>
    <t>4.6.1.2.6</t>
  </si>
  <si>
    <t>4.6.1.2.7</t>
  </si>
  <si>
    <t>4.6.1.2.8</t>
  </si>
  <si>
    <t>4.6.1.2.9</t>
  </si>
  <si>
    <t>4.6.1.2.10</t>
  </si>
  <si>
    <t>Tubulação de Aço Carbono ASTM A 53 Gr B-S, SCH.STD. WT, C /Extr. para Solda de Topo, inclusive Conexões e válvulas 4”</t>
  </si>
  <si>
    <t>4.6.1.2.11</t>
  </si>
  <si>
    <t>4.6.1.2.12</t>
  </si>
  <si>
    <t>4.6.1.2.13</t>
  </si>
  <si>
    <t>4.6.1.2.14</t>
  </si>
  <si>
    <t>4.6.1.2.15</t>
  </si>
  <si>
    <t>4.6.1.2.16</t>
  </si>
  <si>
    <t>4.6.1.2.17</t>
  </si>
  <si>
    <t>4.6.1.2.18</t>
  </si>
  <si>
    <t>4.6.1.2.19</t>
  </si>
  <si>
    <t>4.6.1.2.20</t>
  </si>
  <si>
    <t>MC.026T</t>
  </si>
  <si>
    <t>Tubulação de Aço Carbono ASTM A 53 Gr B-S, SCH.STD. WT, C /Extr. para Solda de Topo, inclusive Conexões e válvulas 6”</t>
  </si>
  <si>
    <t>CMS M.60.10.000</t>
  </si>
  <si>
    <t>4.6.1.2.21</t>
  </si>
  <si>
    <t>4.6.1.2.22</t>
  </si>
  <si>
    <t>4.6.1.2.23</t>
  </si>
  <si>
    <t>4.6.1.2.24</t>
  </si>
  <si>
    <t>4.6.1.2.25</t>
  </si>
  <si>
    <t>Tubulação de Aço Carbono ASTM A 53 Gr B-S, SCH.STD. WT, C /Extr. para Solda de Topo, inclusive Conexões e válvulas 8”</t>
  </si>
  <si>
    <t>4.6.1.2.26</t>
  </si>
  <si>
    <t>4.6.1.2.27</t>
  </si>
  <si>
    <t>4.6.1.2.28</t>
  </si>
  <si>
    <t>4.6.1.2.29</t>
  </si>
  <si>
    <t>4.6.1.2.30</t>
  </si>
  <si>
    <t>4.6.1.2.31</t>
  </si>
  <si>
    <t>Tubulação de Aço Carbono ASTM A 53 Gr B-S, SCH.STD. WT, C /Extr. para Solda de Topo, inclusive Conexões 10”</t>
  </si>
  <si>
    <t>4.6.1.2.32</t>
  </si>
  <si>
    <t>4.6.1.2.33</t>
  </si>
  <si>
    <t>Tubulação de Aço Carbono ASTM A 53 Gr B-S, SCH.STD. WT, C /Extr. para Solda de Topo, inclusive Conexões 12”</t>
  </si>
  <si>
    <t>4.6.1.2.34</t>
  </si>
  <si>
    <t>4.6.1.2.35</t>
  </si>
  <si>
    <t>4.6.1.2.36</t>
  </si>
  <si>
    <t>4.6.1.2.37</t>
  </si>
  <si>
    <t>Tubulação de Aço Carbono ASTM A 53 Gr B-S, SCH.STD. WT, C /Extr. para Solda de Topo, inclusive Conexões 16”</t>
  </si>
  <si>
    <t>4.6.1.2.38</t>
  </si>
  <si>
    <t>4.6.1.2.39</t>
  </si>
  <si>
    <t>Tubulação de Aço Carbono ASTM A 53 Gr B-S, SCH.STD. WT, C /Extr. para Solda de Topo, inclusive Conexões 18”</t>
  </si>
  <si>
    <t>4.6.1.2.40</t>
  </si>
  <si>
    <t>4.6.1.2.41</t>
  </si>
  <si>
    <t>Tubulação de Aço Carbono ASTM A 53 Gr B-S, SCH.STD. WT, C /Extr. para Solda de Topo, inclusive Conexões 24”</t>
  </si>
  <si>
    <t>4.6.1.2.42</t>
  </si>
  <si>
    <t>4.6.1.3.1</t>
  </si>
  <si>
    <t>Tubulação de Aço Carbono ASTM A 53 Gr B-S, SCH. 80, Galvanizado C /Rosca NPT, inclusive Conexões e válvulas ½”</t>
  </si>
  <si>
    <t>4.6.1.3.2</t>
  </si>
  <si>
    <t>4.6.1.3.3</t>
  </si>
  <si>
    <t>4.6.1.3.4</t>
  </si>
  <si>
    <t>Tubulação de Aço Carbono ASTM A 53 Gr B-S, SCH. 80, Galvanizado C /Rosca NPT, inclusive Conexões e válvulas ¾”</t>
  </si>
  <si>
    <t>4.6.1.3.5</t>
  </si>
  <si>
    <t>4.6.1.3.6</t>
  </si>
  <si>
    <t>4.6.1.3.7</t>
  </si>
  <si>
    <t>Tubulação de Aço Carbono ASTM A 53 Gr B-S, SCH. 80, Galvanizado C /Rosca NPT, inclusive Conexões e válvulas 1”</t>
  </si>
  <si>
    <t>4.6.1.3.8</t>
  </si>
  <si>
    <t>4.6.1.3.9</t>
  </si>
  <si>
    <t>4.6.1.3.10</t>
  </si>
  <si>
    <t>Tubulação de Aço Carbono ASTM A 53 Gr B-S, SCH. 80, Galvanizado C /Rosca NPT, inclusive Conexões e válvulas 1 ½”</t>
  </si>
  <si>
    <t>4.6.1.3.11</t>
  </si>
  <si>
    <t>Tubulação de Aço Carbono ASTM A 53 Gr B-S, SCH. 80, Galvanizado C /Rosca NPT, inclusive Conexões e válvulas 2”</t>
  </si>
  <si>
    <t>4.6.1.3.12</t>
  </si>
  <si>
    <t>4.6.1.3.13</t>
  </si>
  <si>
    <t>Tubo de Aço Carbono ASTM A 53 Gr B-S, SCH. 80, Galvanizado C /Rosca NPT, inclusive conexões e válvulas, menores ou iguais a ø 2"</t>
  </si>
  <si>
    <t>4.6.1.4.1</t>
  </si>
  <si>
    <t xml:space="preserve">Tubo ASTM A53-B, Tipo E, SCH 10, PC, ASME B36.10, Inclusive Válvulas e Conexões, Ø 3" </t>
  </si>
  <si>
    <t>4.6.1.4.2</t>
  </si>
  <si>
    <t xml:space="preserve">TUBO ASTM A53-B, Tipo E, SCH 10, PC, ASME B36.10,  Inclusive Válvulas e Conexões, Ø4" </t>
  </si>
  <si>
    <t>4.6.1.4.3</t>
  </si>
  <si>
    <t>4.6.1.4.4</t>
  </si>
  <si>
    <t>4.6.1.4.5</t>
  </si>
  <si>
    <t>4.6.1.4.6</t>
  </si>
  <si>
    <t>4.6.1.4.7</t>
  </si>
  <si>
    <t>4.6.1.4.8</t>
  </si>
  <si>
    <t xml:space="preserve">Tubo ASTM A53-B, Tipo E, SCH 10, PC, ASME B36.10,  Inclusive Válvulas e Conexões, Ø6" </t>
  </si>
  <si>
    <t>4.6.1.4.9</t>
  </si>
  <si>
    <t>4.6.1.4.10</t>
  </si>
  <si>
    <t>4.6.1.4.11</t>
  </si>
  <si>
    <t>4.6.1.4.12</t>
  </si>
  <si>
    <t>4.6.1.4.13</t>
  </si>
  <si>
    <t>4.6.1.4.14</t>
  </si>
  <si>
    <t>4.6.1.4.15</t>
  </si>
  <si>
    <t>4.6.1.4.16</t>
  </si>
  <si>
    <t xml:space="preserve">Tubo ASTM A53-B, Tipo E, SCH 10, PC, ASME B36.10, Inclusive Válvulas e Conexões, Ø 8" </t>
  </si>
  <si>
    <t>4.6.1.4.17</t>
  </si>
  <si>
    <t>4.6.1.4.18</t>
  </si>
  <si>
    <t>4.6.1.4.19</t>
  </si>
  <si>
    <t>4.6.1.4.20</t>
  </si>
  <si>
    <t>4.6.1.4.21</t>
  </si>
  <si>
    <t xml:space="preserve">Tubo ASTM A53-B, Tipo E, SCH 10, PC, ASME B36.10,  Inclusive Conexões, Ø10" </t>
  </si>
  <si>
    <t>4.6.1.4.22</t>
  </si>
  <si>
    <t>4.6.1.4.23</t>
  </si>
  <si>
    <t>4.6.1.4.24</t>
  </si>
  <si>
    <t>4.6.1.4.25</t>
  </si>
  <si>
    <t>Tubo ASTM A53-B, Tipo E, SCH 10, PC, ASME B36.10,  Inclusive Conexões, Ø12"</t>
  </si>
  <si>
    <t>4.6.1.4.26</t>
  </si>
  <si>
    <t>4.6.1.4.27</t>
  </si>
  <si>
    <t>4.6.1.4.28</t>
  </si>
  <si>
    <t>Tubo ASTM A53-B, Tipo E, SCH 10, PC, ASME B36.10,  Inclusive Conexões, Ø14"</t>
  </si>
  <si>
    <t>4.6.1.4.29</t>
  </si>
  <si>
    <t>4.6.1.4.30</t>
  </si>
  <si>
    <t>4.6.1.4.31</t>
  </si>
  <si>
    <t>4.6.1.4.32</t>
  </si>
  <si>
    <t>Tubo ASTM A53-B, Tipo E, SCH 10, PC, ASME B36.10,  Inclusive Conexões, Ø16"</t>
  </si>
  <si>
    <t>4.6.1.4.33</t>
  </si>
  <si>
    <t>4.6.1.4.34</t>
  </si>
  <si>
    <t xml:space="preserve">Tubo ASTM A53-B, Tipo E, SCH 10, PC, ASME B36.10,  Inclusive Conexões, Ø18" </t>
  </si>
  <si>
    <t>4.6.1.4.35</t>
  </si>
  <si>
    <t>4.6.1.4.36</t>
  </si>
  <si>
    <t>4.6.1.4.37</t>
  </si>
  <si>
    <t>4.6.1.4.38</t>
  </si>
  <si>
    <t xml:space="preserve">Tubo ASTM A53-B, Tipo E, SCH 10, PC, ASME B36.10,  Inclusive Conexões, Ø20" </t>
  </si>
  <si>
    <t>4.6.1.4.39</t>
  </si>
  <si>
    <t>4.6.1.4.40</t>
  </si>
  <si>
    <t xml:space="preserve">Tubo ASTM A53-B, Tipo E, SCH 10, PC, ASME B36.10, Inclusive Conexões, Ø24" </t>
  </si>
  <si>
    <t>4.6.1.4.41</t>
  </si>
  <si>
    <t>4.6.1.4.42</t>
  </si>
  <si>
    <t>4.6.1.5.1</t>
  </si>
  <si>
    <t>Tubulação de Aço Carbono ASTM A 53 Gr B-S, STD. WT, Galv. C /Rosca NPT, inclusive Conexões e válvulas 2½”</t>
  </si>
  <si>
    <t>4.6.1.6.1</t>
  </si>
  <si>
    <t>Tubo de aço carbono, sem pintura, EFW helicoidal, ASTM A 139 Gr. B / ASME B 36.10, espessura do tubo 4,75 mm, revestimento interno (RI) em poliuretano com espessura de 8,0 mm, extremidade preparada para para Flange, inclusive conexões, Ø10".</t>
  </si>
  <si>
    <t>4.6.1.6.2</t>
  </si>
  <si>
    <t>4.6.1.7.1</t>
  </si>
  <si>
    <t>4.6.1.7.2</t>
  </si>
  <si>
    <t>4.6.1.8.1</t>
  </si>
  <si>
    <t>4.6.1.8.2</t>
  </si>
  <si>
    <t>4.6.1.9.1</t>
  </si>
  <si>
    <t>Tubo de aço carbono, sem pintura, EFW helicoidal, ASTM A 139 Gr. B / ASME B 36.10, espessura do tubo 6,35 mm, revestimento interno (RI) em poliuretano com espessura de 12,0 mm, extremidade preparada para para Flange, INCLUSIVE CONEXÕES, Ø10".</t>
  </si>
  <si>
    <t>CMS M.60.10.020</t>
  </si>
  <si>
    <t>4.6.1.9.2</t>
  </si>
  <si>
    <t>4.6.1.10.1</t>
  </si>
  <si>
    <t>Tubo de aço carbono, sem pintura, ERW longitudinal, ASTM A 135 Gr. B / ASME B 36.10, espessura 3,0 mm, revestimento interno (RI) em poliuretano com espessura de 5,0 mm, extremidade preparada para flange, inclusive conexões e válvulas 3"</t>
  </si>
  <si>
    <t>4.6.1.10.2</t>
  </si>
  <si>
    <t>4.6.1.10.3</t>
  </si>
  <si>
    <t>Tubo de aço carbono, sem pintura, ERW longitudinal, ASTM A 135 Gr. B / ASME B 36.10, espessura 3,0 mm, revestimento interno (RI) em poliuretano com espessura de 5,0 mm, extremidade preparada para flange, inclusive conexões e válvulas 4"</t>
  </si>
  <si>
    <t>4.6.1.10.4</t>
  </si>
  <si>
    <t>4.6.1.10.5</t>
  </si>
  <si>
    <t>4.6.1.10.6</t>
  </si>
  <si>
    <t>4.6.1.10.7</t>
  </si>
  <si>
    <t>4.6.1.10.8</t>
  </si>
  <si>
    <t>4.6.1.10.9</t>
  </si>
  <si>
    <t>4.6.1.10.10</t>
  </si>
  <si>
    <t>4.6.1.11.1</t>
  </si>
  <si>
    <t>Tubo de aço carbono, sem pintura, EFW helicoidal, ASTM A 139 Gr. B / ASME B 36.10, espessura do tubo 4,75 mm, revestimento interno (RI) em poliuretano com espessura de 8,0 mm, extremidade preparada para flange, inclusive conexões e válvulas 6"</t>
  </si>
  <si>
    <t>4.6.1.11.2</t>
  </si>
  <si>
    <t>4.6.1.11.3</t>
  </si>
  <si>
    <t>4.6.1.11.4</t>
  </si>
  <si>
    <t>4.6.1.11.5</t>
  </si>
  <si>
    <t>4.6.1.11.6</t>
  </si>
  <si>
    <t>Tubo de aço carbono, sem pintura, EFW helicoidal, ASTM A 139 Gr. B / ASME B 36.10, espessura do tubo 4,75 mm, revestimento interno (RI) em poliuretano com espessura de 8,0 mm, extremidade preparada para flange, inclusive conexões e válvulas 8"</t>
  </si>
  <si>
    <t>4.6.1.11.7</t>
  </si>
  <si>
    <t>4.6.1.11.8</t>
  </si>
  <si>
    <t>4.6.1.11.9</t>
  </si>
  <si>
    <t>4.6.1.11.10</t>
  </si>
  <si>
    <t>4.6.1.11.11</t>
  </si>
  <si>
    <t>4.6.1.11.12</t>
  </si>
  <si>
    <t>4.6.1.11.13</t>
  </si>
  <si>
    <t>Tubo de aço carbono, sem pintura, EFW helicoidal, ASTM A 139 Gr. B / ASME B 36.10, espessura do tubo 4,75 mm, revestimento interno (RI) em poliuretano com espessura de 8,0 mm, extremidade preparada para flange, inclusive conexões 10"</t>
  </si>
  <si>
    <t>4.6.1.11.14</t>
  </si>
  <si>
    <t>4.6.1.11.15</t>
  </si>
  <si>
    <t>4.6.1.11.16</t>
  </si>
  <si>
    <t>4.6.1.11.17</t>
  </si>
  <si>
    <t>Tubo de aço carbono, sem pintura, EFW helicoidal, ASTM A 139 Gr. B / ASME B 36.10, espessura do tubo 4,75 mm, revestimento interno (RI) em poliuretano com espessura de 8,0 mm, extremidade preparada para flange, inclusive conexões 12"</t>
  </si>
  <si>
    <t>4.6.1.11.18</t>
  </si>
  <si>
    <t>4.6.1.12.1</t>
  </si>
  <si>
    <t>Tubo de aço carbono, sem pintura, EFW helicoidal, ASTM A 139 Gr. B / ASME B 36.10, espessura do tubo 6,35 mm, revestimento interno (RI) em poliuretano com espessura de 12,0 mm, extremidade preparada para flange, inclusive conexões 14”</t>
  </si>
  <si>
    <t>4.6.1.12.2</t>
  </si>
  <si>
    <t>4.6.1.12.3</t>
  </si>
  <si>
    <t>Tubo de aço carbono, sem pintura, EFW helicoidal, ASTM A 139 Gr. B / ASME B 36.10, espessura do tubo 6,35 mm, revestimento interno (RI) em poliuretano com espessura de 12,0 mm, extremidade preparada para flange, inclusive conexões 16”</t>
  </si>
  <si>
    <t>4.6.1.12.4</t>
  </si>
  <si>
    <t>4.6.1.12.5</t>
  </si>
  <si>
    <t>4.6.1.12.6</t>
  </si>
  <si>
    <t>Tubo de aço carbono, sem pintura, EFW helicoidal, ASTM A 139 Gr. B / ASME B 36.10, espessura do tubo 6,35 mm, revestimento interno (RI) em poliuretano com espessura de 12,0 mm, extremidade preparada para flange, inclusive conexões 18”</t>
  </si>
  <si>
    <t>4.6.1.12.7</t>
  </si>
  <si>
    <t>4.6.1.12.8</t>
  </si>
  <si>
    <t>4.6.1.12.9</t>
  </si>
  <si>
    <t>Tubo de aço carbono, sem pintura, EFW helicoidal, ASTM A 139 Gr. B / ASME B 36.10, espessura do tubo 6,35 mm, revestimento interno (RI) em poliuretano com espessura de 12,0 mm, extremidade preparada para flange, inclusive conexões 20”</t>
  </si>
  <si>
    <t>4.6.1.12.10</t>
  </si>
  <si>
    <t>4.6.1.12.11</t>
  </si>
  <si>
    <t>4.6.1.12.12</t>
  </si>
  <si>
    <t>Tubo de aço carbono, sem pintura, EFW helicoidal, ASTM A 139 Gr. B / ASME B 36.10, espessura do tubo 6,35 mm, revestimento interno (RI) em poliuretano com espessura de 12,0 mm, extremidade preparada para flange, inclusive conexões 22”</t>
  </si>
  <si>
    <t>4.6.1.12.13</t>
  </si>
  <si>
    <t>Tubo de aço carbono, sem pintura, EFW helicoidal, ASTM A 139 Gr. B / ASME B 36.10, espessura do tubo 6,35 mm, revestimento interno (RI) em poliuretano com espessura de 12,0 mm, extremidade preparada para flange, inclusive conexões 24”</t>
  </si>
  <si>
    <t>4.6.1.12.14</t>
  </si>
  <si>
    <t>4.6.1.12.15</t>
  </si>
  <si>
    <t>4.6.1.12.16</t>
  </si>
  <si>
    <t>Tubo de aço carbono, sem pintura, EFW helicoidal, ASTM A 139 Gr. B / ASME B 36.10, espessura do tubo 6,35 mm, revestimento interno (RI) em poliuretano com espessura de 12,0 mm, extremidade preparada para flange, inclusive conexões 26”</t>
  </si>
  <si>
    <t>4.6.1.12.17</t>
  </si>
  <si>
    <t>Tubo de aço carbono, sem pintura, EFW helicoidal, ASTM A 139 Gr. B / ASME B 36.10, espessura do tubo 6,35 mm, revestimento interno (RI) em poliuretano com espessura de 12,0 mm, extremidade preparada para flange, inclusive conexões 28”</t>
  </si>
  <si>
    <t>4.6.1.12.18</t>
  </si>
  <si>
    <t>Tubo de aço carbono, sem pintura, EFW helicoidal, ASTM A 139 Gr. B / ASME B 36.10, espessura do tubo 6,35 mm, revestimento interno (RI) em poliuretano com espessura de 12,0 mm, extremidade preparada para flange, inclusive conexões 30”</t>
  </si>
  <si>
    <t>4.6.1.12.19</t>
  </si>
  <si>
    <t>4.6.1.12.20</t>
  </si>
  <si>
    <t>Tubo de aço carbono, sem pintura, EFW helicoidal, ASTM A 139 Gr. B / ASME B 36.10, espessura do tubo 6,35 mm, revestimento interno (RI) em poliuretano com espessura de 12,0 mm, extremidade preparada para flange, inclusive conexões 32”.</t>
  </si>
  <si>
    <t>4.6.1.13.1</t>
  </si>
  <si>
    <t>Tubo de aço carbono, sem pintura, EFW helicoidal, ASTM A 139 Gr. B / ASME B 36.10, espessura do tubo 8,0 mm, revestimento interno (RI) em poliuretano com espessura de 16,0 mm, extremidade preparada para flange, inclusive conexões 40”.</t>
  </si>
  <si>
    <t>4.6.1.13.2</t>
  </si>
  <si>
    <t>4.6.1.13.3</t>
  </si>
  <si>
    <t>4.6.1.13.4</t>
  </si>
  <si>
    <t>Tubo de aço carbono, sem pintura, EFW helicoidal, ASTM A 139 Gr. B / ASME B 36.10, espessura do tubo 8,0 mm, revestimento interno (RI) em poliuretano com espessura de 16,0 mm, extremidade preparada para flange, inclusive conexões 42”.</t>
  </si>
  <si>
    <t>4.6.1.14.1</t>
  </si>
  <si>
    <t>MC.029T</t>
  </si>
  <si>
    <t>Tubulação PEAD, Conforme ISO 4427, PE 100, Pressão Nominal PN 10, inclusive Conexões e Válvulas  110mm</t>
  </si>
  <si>
    <t>CMS M.60.40.020</t>
  </si>
  <si>
    <t>4.6.1.14.2</t>
  </si>
  <si>
    <t>4.6.1.15.1</t>
  </si>
  <si>
    <t>MC.028T</t>
  </si>
  <si>
    <t>CMS M.60.40.000</t>
  </si>
  <si>
    <t>4.6.1.15.2</t>
  </si>
  <si>
    <t>4.6.1.16.1</t>
  </si>
  <si>
    <t>Tubulação PEAD, Conforme ISO 4427, PE 100, Pressão Nominal PN 20, inclusive Conexões e Válvulas  32mm</t>
  </si>
  <si>
    <t>4.6.1.16.2</t>
  </si>
  <si>
    <t>4.6.1.16.3</t>
  </si>
  <si>
    <t>4.6.1.16.4</t>
  </si>
  <si>
    <t>4.6.1.16.5</t>
  </si>
  <si>
    <t>Tubulação PEAD, Conforme ISO 4427, PE 100, Pressão Nominal PN 20, inclusive Conexões e Válvulas  50mm</t>
  </si>
  <si>
    <t>4.6.1.16.6</t>
  </si>
  <si>
    <t>4.6.1.16.7</t>
  </si>
  <si>
    <t>4.6.1.17.1</t>
  </si>
  <si>
    <t>Tubo de aço carbono  ASTM A 139 Gr. C, acabamento sem pintura, com costura longitudinal, espessura do tubo 9,5 mm, extremidades chanfrada conforme ASME B 16.25, dimensões conforme ASME B 36.10, inclusive conexões, 26”.</t>
  </si>
  <si>
    <t>4.6.1.17.2</t>
  </si>
  <si>
    <t>Tubo de aço carbono  ASTM A 139 Gr. C, acabamento sem pintura, com costura longitudinal, espessura do tubo 9,5 mm, extremidades chanfrada conforme ASME B 16.25, dimensões conforme ASME B 36.10, inclusive conexões, 28”.</t>
  </si>
  <si>
    <t>4.6.1.17.3</t>
  </si>
  <si>
    <t>4.6.1.17.4</t>
  </si>
  <si>
    <t>Tubo de aço carbono  ASTM A 139 Gr. C, acabamento sem pintura, com costura longitudinal, espessura do tubo 9,5 mm, extremidades chanfrada conforme ASME B 16.25, dimensões conforme ASME B 36.10, inclusive conexões, 30”.</t>
  </si>
  <si>
    <t>4.6.1.17.5</t>
  </si>
  <si>
    <t>4.6.1.17.6</t>
  </si>
  <si>
    <t>4.6.1.17.7</t>
  </si>
  <si>
    <t>4.6.1.17.8</t>
  </si>
  <si>
    <t>4.6.1.17.9</t>
  </si>
  <si>
    <t>Tubo de aço carbono  ASTM A 139 Gr. C, acabamento sem pintura, com costura longitudinal, espessura do tubo 9,5 mm, extremidades chanfrada conforme ASME B 16.25, dimensões conforme ASME B 36.10, inclusive conexões, 36”.</t>
  </si>
  <si>
    <t>4.6.1.17.10</t>
  </si>
  <si>
    <t>Tubo de aço carbono  ASTM A 139 Gr. C, acabamento sem pintura, com costura longitudinal, espessura do tubo 9,5 mm, extremidades chanfrada conforme ASME B 16.25, dimensões conforme ASME B 36.10, inclusive conexões, 40”.</t>
  </si>
  <si>
    <t>4.6.1.17.11</t>
  </si>
  <si>
    <t>4.6.1.17.12</t>
  </si>
  <si>
    <t>4.6.1.17.13</t>
  </si>
  <si>
    <t>4.6.1.18.1</t>
  </si>
  <si>
    <t>Tubo de Aço Carbono, sem pintura, EFW helicoidal, astm a 139 Gr. B / ASME B 36.10, espessura do tubo 6,35 mm, revestimento interno (RI) em Borracha Linatex, espessura 19mm, extremidade preparada para flange, inclusive conexões, 24”.</t>
  </si>
  <si>
    <t>4.6.1.18.2</t>
  </si>
  <si>
    <t>Tubo de Aço Carbono, sem pintura, EFW helicoidal, astm a 139 Gr. B / ASME B 36.10, espessura do tubo 6,35 mm, revestimento interno (RI) em Borracha Linatex, espessura 19mm, extremidade preparada para flange, inclusive conexões, 28”.</t>
  </si>
  <si>
    <t>4.6.1.18.3</t>
  </si>
  <si>
    <t>Tubo de Aço Carbono, sem pintura, EFW helicoidal, astm a 139 Gr. B / ASME B 36.10, espessura do tubo 6,35 mm, revestimento interno (RI) em Borracha Linatex, espessura 19mm, extremidade preparada para flange, inclusive conexões, 30”.</t>
  </si>
  <si>
    <t>4.6.1.19.1</t>
  </si>
  <si>
    <t>Tubo de aço carbono ASTM A 53 Gr. B, Galvanizado, s/ cost., SCH 40, extremidades com rosca NPT conforme ASME B 1.20.1, dimensões conforme ASME B 36.10, inclusive conexões e válvulas, 3”.</t>
  </si>
  <si>
    <t>4.6.1.20.1</t>
  </si>
  <si>
    <t>Tubo de Aço Carbono, inclusive conexões e válvulas, menores ou iguais a ø 3".</t>
  </si>
  <si>
    <t>4.6.1.20.2</t>
  </si>
  <si>
    <t>4.6.1.20.3</t>
  </si>
  <si>
    <t>4.6.1.20.4</t>
  </si>
  <si>
    <t>4.6.1.20.5</t>
  </si>
  <si>
    <t>4.6.1.20.6</t>
  </si>
  <si>
    <t>4.6.1.20.7</t>
  </si>
  <si>
    <t>4.6.1.21.1</t>
  </si>
  <si>
    <t>Tubulação de PVC rígido série R, ponta e bolsa com virola, inclusive conexões DN 100mm</t>
  </si>
  <si>
    <t>CMS M.60.40.010</t>
  </si>
  <si>
    <t>4.6.1.21.2</t>
  </si>
  <si>
    <t>4.6.1.21.3</t>
  </si>
  <si>
    <t>4.6.1.21.4</t>
  </si>
  <si>
    <t>4.6.1.21.5</t>
  </si>
  <si>
    <t>4.6.1.21.6</t>
  </si>
  <si>
    <t>Tubulação de PVC rígido série R, ponta lisa, inclusive conexões DN 150mm</t>
  </si>
  <si>
    <t>4.6.1.21.7</t>
  </si>
  <si>
    <t>4.6.1.21.8</t>
  </si>
  <si>
    <t>4.6.1.21.9</t>
  </si>
  <si>
    <t>Tubulação de PVC rígido vinilfer DEFoFo junta elástica, inclusive conexões DN 200mm</t>
  </si>
  <si>
    <t>4.6.2.1.1</t>
  </si>
  <si>
    <t>MC.030T</t>
  </si>
  <si>
    <t>Válvula Borboleta, WAFER, corpo A.C.F. ASTM A 216 Gr. WCB, disco FoFo nodular ASTM A 536 Gr. 65T, sede em BUNA-N, haste em aço inox AISI410, dimensões conforme API 609, ASME B 16.5, 150 #, acionamento M.R.V., 10”</t>
  </si>
  <si>
    <t>CMS M.60.15.000</t>
  </si>
  <si>
    <t>4.6.2.1.2</t>
  </si>
  <si>
    <t>4.6.2.1.3</t>
  </si>
  <si>
    <t>4.6.2.1.4</t>
  </si>
  <si>
    <t>4.6.2.1.5</t>
  </si>
  <si>
    <t>4.6.2.1.6</t>
  </si>
  <si>
    <t>Válvula Borboleta, WAFER, corpo A.C.F. ASTM A 216 Gr. WCB, disco FoFo nodular ASTM A 536 Gr. 65T, sede em BUNA-N, haste em aço inox AISI410, dimensões conforme API 609, ASME B 16.5, 150 #, acionamento M.R.V., 12”</t>
  </si>
  <si>
    <t>4.6.2.1.7</t>
  </si>
  <si>
    <t>Válvula Borboleta, WAFER, corpo A.C.F. ASTM A 216 Gr. WCB, disco FoFo nodular ASTM A 536 Gr. 65T, sede em BUNA-N, haste em aço inox AISI410, dimensões conforme API 609, ASME B 16.5, 150 #, acionamento M.R.V., 14”</t>
  </si>
  <si>
    <t>4.6.2.1.8</t>
  </si>
  <si>
    <t>4.6.2.1.9</t>
  </si>
  <si>
    <t>Válvula Borboleta, WAFER, corpo A.C.F. ASTM A 216 Gr. WCB, disco FoFo nodular ASTM A 536 Gr. 65T, sede em BUNA-N, haste em aço inox AISI410, dimensões conforme API 609, ASME B 16.5, 150 #, acionamento M.R.V., 16”</t>
  </si>
  <si>
    <t>4.6.2.1.10</t>
  </si>
  <si>
    <t>Válvula Borboleta, WAFER, corpo A.C.F. ASTM A 216 Gr. WCB, disco FoFo nodular ASTM A 536 Gr. 65T, sede em BUNA-N, haste em aço inox AISI410, dimensões conforme API 609, ASME B 16.5, 150 #, acionamento M.R.V., 24”</t>
  </si>
  <si>
    <t>4.6.2.1.11</t>
  </si>
  <si>
    <t>Válvula Borboleta, WAFER, corpo A.C.F. ASTM A 216 Gr. WCB, disco FoFo nodular ASTM A 536 Gr. 65T, sede em BUNA-N, haste em aço inox AISI410, dimensões conforme API 609, ASME B 16.5, 150 #, acionamento M.R.V., 28”</t>
  </si>
  <si>
    <t>4.6.2.1.12</t>
  </si>
  <si>
    <t>Válvula Borboleta, WAFER, corpo A.C.F. ASTM A 216 Gr. WCB, disco FoFo nodular ASTM A 536 Gr. 65T, sede em BUNA-N, haste em aço inox AISI410, dimensões conforme API 609, ASME B 16.5, 150 #, acionamento M.R.V., 36”</t>
  </si>
  <si>
    <t>4.6.2.2.1</t>
  </si>
  <si>
    <t>MC.031T</t>
  </si>
  <si>
    <t>VÁLVULA MANGOTE, CORPO FFU ASTM A126 CL. B, 125#, FLG FP ASME B16.1, DIMENSÕES CONF. FABRICANTE, MANGOTE PU, CORPO ABERTO, AMRV, Ø10".</t>
  </si>
  <si>
    <t>CMS M.60.15.010</t>
  </si>
  <si>
    <t>4.6.2.2.2</t>
  </si>
  <si>
    <t>4.6.2.3.1</t>
  </si>
  <si>
    <t>Válvula de Retenção Wafer,  dupla portinhola, corpo e portinholas  A.C.F.  ASTM A 216 Gr. WCB, eixo em AISI 304, mola em AISI 302, sede e  vedação em BUNA-N, 150 #,  dim. Conf.  API-594, montagem entre flanges ASME B 16.5 -150 # - RF, 10”.</t>
  </si>
  <si>
    <t>4.6.2.3.2</t>
  </si>
  <si>
    <t>Válvula de Retenção Wafer,  dupla portinhola, corpo e portinholas  A.C.F.  ASTM A 216 Gr. WCB, eixo em AISI 304, mola em AISI 302, sede e  vedação em BUNA-N, 150 #,  dim. Conf.  API-594, montagem entre flanges ASME B 16.5 -150 # - RF, 18”.</t>
  </si>
  <si>
    <t>4.6.2.3.3</t>
  </si>
  <si>
    <t>Válvula de Retenção Wafer,  dupla portinhola, corpo e portinholas  A.C.F.  ASTM A 216 Gr. WCB, eixo em AISI 304, mola em AISI 302, sede e  vedação em BUNA-N, 150 #,  dim. Conf.  API-594, montagem entre flanges ASME B 16.5 -150 # - RF, 24”.</t>
  </si>
  <si>
    <t>4.6.2.4.1</t>
  </si>
  <si>
    <t>Válvula Guilhotina, FoFo ASTM A 536 Gr. 65T, faca passante longa, em aço inox. AISI 304, WAFER, MSS-SP81, Classe 150 #, sede em borracha  natural, acionamento  por redutor e volante, com coleta de vazamento, 10”.</t>
  </si>
  <si>
    <t>4.6.2.4.2</t>
  </si>
  <si>
    <t>4.6.2.4.3</t>
  </si>
  <si>
    <t>Válvula Guilhotina, FoFo ASTM A 536 Gr. 65T, faca passante longa, em aço inox. AISI 304, WAFER, MSS-SP81, Classe 150 #, sede em borracha  natural, acionamento  por redutor e volante, com coleta de vazamento, 12”.</t>
  </si>
  <si>
    <t>4.6.2.4.4</t>
  </si>
  <si>
    <t>4.6.2.4.5</t>
  </si>
  <si>
    <t>Válvula Guilhotina, FoFo ASTM A 536 Gr. 65T, faca passante longa, em aço inox. AISI 304, WAFER, MSS-SP81, Classe 150 #, sede em borracha  natural, acionamento  por redutor e volante, com coleta de vazamento, 14”.</t>
  </si>
  <si>
    <t>4.6.2.5.1</t>
  </si>
  <si>
    <t>Válvula Reversível, carcaça em chapa soldada, três vias, sendo duas entradas e uma saída em "Y", revestimento interno e esfera em borracha, extremidades flangeadas conforme ASME B 16.5, classe 150 lbs/pol², face plana, 12”.</t>
  </si>
  <si>
    <t>4.6.2.5.2</t>
  </si>
  <si>
    <t>Válvula Reversível, carcaça em chapa soldada, três vias, sendo duas entradas e uma saída em "Y", revestimento interno e esfera em borracha, extremidades flangeadas conforme ASME B 16.5, classe 150 lbs/pol², face plana, 14”.</t>
  </si>
  <si>
    <t>4.6.2.5.3</t>
  </si>
  <si>
    <t>Válvula Reversível, carcaça em chapa soldada, três vias, sendo duas entradas e uma saída em "Y", revestimento interno e esfera em borracha, extremidades flangeadas conforme ASME B 16.5, classe 150 lbs/pol², face plana, 16”.</t>
  </si>
  <si>
    <t>4.6.2.5.4</t>
  </si>
  <si>
    <t>Válvula Reversível, carcaça em chapa soldada, três vias, sendo duas entradas e uma saída em "Y", revestimento interno e esfera em borracha, extremidades flangeadas conforme ASME B 16.5, classe 150 lbs/pol², face plana, 20”.</t>
  </si>
  <si>
    <t>4.6.2.5.5</t>
  </si>
  <si>
    <t>Válvula Reversível, carcaça em chapa soldada, três vias, sendo duas entradas e uma saída em "Y", revestimento interno e esfera em borracha, extremidades flangeadas conforme ASME B 16.5, classe 150 lbs/pol², face plana, 22”.</t>
  </si>
  <si>
    <t>4.7.1.1.1</t>
  </si>
  <si>
    <t>MC.039E</t>
  </si>
  <si>
    <t>Cabo com isolação em EPR e cobertura em PVC - Singelo - Classe de Tensão 0,6/1kV - Seção 25 mm2</t>
  </si>
  <si>
    <t>CMS M.70.10.000</t>
  </si>
  <si>
    <t>4.7.1.1.2</t>
  </si>
  <si>
    <t>4.7.1.1.3</t>
  </si>
  <si>
    <t>4.7.1.1.4</t>
  </si>
  <si>
    <t>Cabo com isolação em EPR e cobertura em PVC - Singelo - Classe de Tensão 0,6/1kV - Seção 95 mm2</t>
  </si>
  <si>
    <t>4.7.1.1.5</t>
  </si>
  <si>
    <t>4.7.1.1.6</t>
  </si>
  <si>
    <t>Cabo com isolação em EPR e cobertura em PVC - Singelo - Classe de Tensão 0,6/1kV - Seção 120 mm2</t>
  </si>
  <si>
    <t>4.7.1.1.7</t>
  </si>
  <si>
    <t>4.7.1.1.8</t>
  </si>
  <si>
    <t>Cabo com isolação em EPR e cobertura em PVC - Singelo - Classe de Tensão 0,6/1kV- Seção 150 mm2</t>
  </si>
  <si>
    <t>4.7.1.1.9</t>
  </si>
  <si>
    <t>4.7.1.1.10</t>
  </si>
  <si>
    <t>2317</t>
  </si>
  <si>
    <t>4.7.1.1.11</t>
  </si>
  <si>
    <t>2318</t>
  </si>
  <si>
    <t>4.7.1.1.12</t>
  </si>
  <si>
    <t>4.7.1.1.13</t>
  </si>
  <si>
    <t>Cabo com isolação em EPR e cobertura em PVC - Singelo - Classe de Tensão 0,6/1kV - Seção 185 mm2</t>
  </si>
  <si>
    <t>4.7.1.1.14</t>
  </si>
  <si>
    <t>4.7.1.1.15</t>
  </si>
  <si>
    <t>4.7.1.1.16</t>
  </si>
  <si>
    <t>Cabo com isolação em EPR e cobertura em PVC - Singelo - Classe de Tensão 0,6/1kV - Seção 240 mm2</t>
  </si>
  <si>
    <t>4.7.1.1.17</t>
  </si>
  <si>
    <t>4.7.1.1.18</t>
  </si>
  <si>
    <t>4.7.1.1.19</t>
  </si>
  <si>
    <t>Cabo com isolação em EPR e cobertura em PVC - Bipolar - Classe de Tensão 0,6/1kV - Seção 2 x 25 mm2</t>
  </si>
  <si>
    <t>4.7.1.1.20</t>
  </si>
  <si>
    <t>MC.040E</t>
  </si>
  <si>
    <t>Cabo com isolação em EPR e cobertura em PVC - Tripolar - Classe de Tensão 0,6/1kV - Seção 3 x 4 mm2</t>
  </si>
  <si>
    <t>CMS M.70.10.010</t>
  </si>
  <si>
    <t>4.7.1.1.21</t>
  </si>
  <si>
    <t>4.7.1.1.22</t>
  </si>
  <si>
    <t>4.7.1.1.23</t>
  </si>
  <si>
    <t>4.7.1.1.24</t>
  </si>
  <si>
    <t>Cabo com isolação em EPR e cobertura em PVC - Tripolar - Classe de Tensão 0,6/1kV - Seção 3 x 6 mm2</t>
  </si>
  <si>
    <t>4.7.1.1.25</t>
  </si>
  <si>
    <t>4.7.1.1.26</t>
  </si>
  <si>
    <t>4.7.1.1.27</t>
  </si>
  <si>
    <t>4.7.1.1.28</t>
  </si>
  <si>
    <t>Cabo com isolação em EPR e cobertura em PVC - Tripolar - Classe de Tensão 0,6/1kV - Seção 3 x 10 mm2</t>
  </si>
  <si>
    <t>4.7.1.1.29</t>
  </si>
  <si>
    <t>4.7.1.1.30</t>
  </si>
  <si>
    <t>4.7.1.1.31</t>
  </si>
  <si>
    <t>4.7.1.1.32</t>
  </si>
  <si>
    <t>Cabo com isolação em EPR e cobertura em PVC - Tripolar - Classe de Tensão 0,6/1kV - Seção 3 x 16 mm2</t>
  </si>
  <si>
    <t>4.7.1.1.33</t>
  </si>
  <si>
    <t>4.7.1.1.34</t>
  </si>
  <si>
    <t>4.7.1.1.35</t>
  </si>
  <si>
    <t>Cabo com isolação em EPR e cobertura em PVC - Tripolar - Classe de Tensão 0,6/1kV - Seção 3 x 25 mm2</t>
  </si>
  <si>
    <t>4.7.1.1.36</t>
  </si>
  <si>
    <t>4.7.1.1.37</t>
  </si>
  <si>
    <t>4.7.1.1.38</t>
  </si>
  <si>
    <t>Cabo com isolação em EPR e cobertura em PVC - Tripolar - Classe de Tensão 0,6/1kV - Seção 3 x 35 mm2</t>
  </si>
  <si>
    <t>4.7.1.1.39</t>
  </si>
  <si>
    <t>4.7.1.1.40</t>
  </si>
  <si>
    <t>4.7.1.1.41</t>
  </si>
  <si>
    <t>Cabo com isolação em EPR e cobertura em PVC - Tripolar - Classe de Tensão 0,6/1kV - Seção 3 x 50 mm2</t>
  </si>
  <si>
    <t>4.7.1.1.42</t>
  </si>
  <si>
    <t>4.7.1.1.43</t>
  </si>
  <si>
    <t>4.7.1.1.44</t>
  </si>
  <si>
    <t>Cabo com isolação em EPR e cobertura em PVC - Tripolar - Classe de Tensão 0,6/1kV - Seção 3 x 70 mm2</t>
  </si>
  <si>
    <t>4.7.1.1.45</t>
  </si>
  <si>
    <t>4.7.1.1.46</t>
  </si>
  <si>
    <t>4.7.1.1.47</t>
  </si>
  <si>
    <t>4.7.1.1.48</t>
  </si>
  <si>
    <t>4.7.1.1.49</t>
  </si>
  <si>
    <t>Cabo com isolação em EPR e cobertura em PVC - Tetrapolar - Classe de Tensão 0,6/1kV - Seção 4 x 10 mm2</t>
  </si>
  <si>
    <t>4.7.1.1.50</t>
  </si>
  <si>
    <t>4.7.1.1.51</t>
  </si>
  <si>
    <t>4.7.1.1.52</t>
  </si>
  <si>
    <t>Cabo com isolação em EPR e cobertura em PVC - Tetrapolar - Classe de Tensão 0,6/1kV - Seção 4 x 16 mm2</t>
  </si>
  <si>
    <t>4.7.1.1.53</t>
  </si>
  <si>
    <t>4.7.1.1.54</t>
  </si>
  <si>
    <t>Cabo com isolação em EPR e cobertura em PVC - Tetrapolar - Classe de Tensão 0,6/1kV - Seção 4 x 25 mm2</t>
  </si>
  <si>
    <t>4.7.1.1.55</t>
  </si>
  <si>
    <t>4.7.1.1.56</t>
  </si>
  <si>
    <t>4.7.1.1.57</t>
  </si>
  <si>
    <t>Cabo com isolação em EPR e cobertura em PVC - Tetrapolar - Classe de Tensão 0,6/1kV - Seção 4 x 35 mm2</t>
  </si>
  <si>
    <t>4.7.1.1.58</t>
  </si>
  <si>
    <t>4.7.1.1.59</t>
  </si>
  <si>
    <t>Cabo com isolação em EPR e cobertura em PVC - Tetrapolar - Classe de Tensão 0,6/1kV - Seção 4 x 70 mm2</t>
  </si>
  <si>
    <t>4.7.1.2.1</t>
  </si>
  <si>
    <t>Cabo tripolar com condutor concêntrico e blindagem, encordoamento classe 5, com isolação sólida extrudada de EPR e cobertura flexível de PVC- Seção 3x4 mm2+1x4mm2 - Classe de Tensão 0,6/1kV.</t>
  </si>
  <si>
    <t>4.7.1.2.2</t>
  </si>
  <si>
    <t>Cabo tripolar com condutor concêntrico e blindagem, encordoamento classe 5, com isolação sólida extrudada de EPR e cobertura flexível de PVC- Seção 3x6mm2+1x6mm2 - Classe de Tensão 0,6/1kV.</t>
  </si>
  <si>
    <t>4.7.1.2.3</t>
  </si>
  <si>
    <t>4.7.1.2.4</t>
  </si>
  <si>
    <t>Cabo tripolar com condutor concêntrico e blindagem, encordoamento classe 5, com isolação sólida extrudada de EPR e cobertura flexível de PVC- Seção 3x16mm2+1x16mm2 - Classe de Tensão 0,6/1kV.</t>
  </si>
  <si>
    <t>4.7.1.2.5</t>
  </si>
  <si>
    <t>Cabo tripolar com condutor concêntrico e blindagem, encordoamento classe 5, com isolação sólida extrudada de EPR e cobertura flexível de PVC- Seção 3x25mm2+1x16mm2 - Classe de Tensão 0,6/1kV.</t>
  </si>
  <si>
    <t>4.7.1.2.6</t>
  </si>
  <si>
    <t>4.7.1.2.7</t>
  </si>
  <si>
    <t>Cabo tripolar com condutor concêntrico e blindagem, encordoamento classe 5, com isolação sólida extrudada de EPR e cobertura flexível de PVC- Seção 3x35mm2+1x16mm2 - Classe de Tensão 0,6/1kV.</t>
  </si>
  <si>
    <t>4.7.1.2.8</t>
  </si>
  <si>
    <t>Cabo tripolar com condutor concêntrico e blindagem, encordoamento classe 5, com isolação sólida extrudada de EPR e cobertura flexível de PVC- Seção 3x50mm2+1x25mm2 - Classe de Tensão 0,6/1kV.</t>
  </si>
  <si>
    <t>4.7.1.2.9</t>
  </si>
  <si>
    <t>4.7.1.2.10</t>
  </si>
  <si>
    <t>Cabo tripolar com condutor concêntrico e blindagem, encordoamento classe 5, com isolação sólida extrudada de EPR e cobertura flexível de PVC- Seção 3x70mm2+1x35mm2 - Classe de Tensão 0,6/1kV.</t>
  </si>
  <si>
    <t>4.7.1.2.11</t>
  </si>
  <si>
    <t>4.7.1.2.12</t>
  </si>
  <si>
    <t>Cabo tripolar com condutor concêntrico e blindagem, encordoamento classe 5, com isolação sólida extrudada de EPR e cobertura flexível de PVC- Seção 3x95mm2+1x50mm2 - Classe de Tensão 0,6/1kV.</t>
  </si>
  <si>
    <t>4.7.1.2.13</t>
  </si>
  <si>
    <t>4.7.1.2.14</t>
  </si>
  <si>
    <t>4.7.1.3.1</t>
  </si>
  <si>
    <t>4.7.1.3.2</t>
  </si>
  <si>
    <t>4.7.1.3.3</t>
  </si>
  <si>
    <t>Cabo com isolação em EPR - Singelo - Classe de Tensão 3,6/6kV - Seção 95 mm2</t>
  </si>
  <si>
    <t>4.7.1.3.4</t>
  </si>
  <si>
    <t>Cabo com isolação em EPR - Singelo - Classe de Tensão 3,6/6kV - Seção 120 mm2</t>
  </si>
  <si>
    <t>4.7.1.3.5</t>
  </si>
  <si>
    <t>4.7.1.3.6</t>
  </si>
  <si>
    <t>4.7.1.3.7</t>
  </si>
  <si>
    <t>Cabo com isolação em EPR - Singelo - Classe de Tensão 3,6/6kV - Seção 185 mm2</t>
  </si>
  <si>
    <t>4.7.1.3.8</t>
  </si>
  <si>
    <t>Cabo com isolação em EPR - Singelo - Classe de Tensão 3,6/6kV - Seção 240 mm2</t>
  </si>
  <si>
    <t>4.7.1.3.9</t>
  </si>
  <si>
    <t>Cabo com isolação em EPR - tripolar - Classe de Tensão 3,6/6kV - Seção 3 x 35 mm2</t>
  </si>
  <si>
    <t>4.7.1.3.10</t>
  </si>
  <si>
    <t>Cabo com isolação em EPR - tripolar - Classe de Tensão 3,6/6kV - Seção 3 x 50 mm2</t>
  </si>
  <si>
    <t>4.7.1.3.11</t>
  </si>
  <si>
    <t>4.7.1.4.1</t>
  </si>
  <si>
    <t>Cabo com isolação em EPR - Singelo- Classe de Tensão6/10 kV - Seção 150 mm2</t>
  </si>
  <si>
    <t>4.7.1.5.1</t>
  </si>
  <si>
    <t>Cabo com isolação em EPR - Singelo- Classe de Tensão 12/20 kV - Seção 70 mm2</t>
  </si>
  <si>
    <t>4.7.1.5.2</t>
  </si>
  <si>
    <t>4.7.1.5.3</t>
  </si>
  <si>
    <t>4.7.1.5.4</t>
  </si>
  <si>
    <t>Cabo com isolação em EPR - Singelo- Classe de Tensão 12/20 kV - Seção 95 mm2</t>
  </si>
  <si>
    <t>4.7.1.5.5</t>
  </si>
  <si>
    <t>Cabo com isolação em EPR - Singelo- Classe de Tensão 12/20 kV - Seção 120 mm2</t>
  </si>
  <si>
    <t>4.7.1.5.6</t>
  </si>
  <si>
    <t>Cabo com isolação em EPR - Singelo- Classe de Tensão 12/20 kV - Seção 150 mm2</t>
  </si>
  <si>
    <t>4.7.1.5.7</t>
  </si>
  <si>
    <t>Cabo com isolação em EPR - Singelo- Classe de Tensão 12/20 kV - Seção 185 mm2</t>
  </si>
  <si>
    <t>4.7.1.5.8</t>
  </si>
  <si>
    <t>4.7.1.5.9</t>
  </si>
  <si>
    <t>Cabo com isolação em EPR - Singelo- Classe de Tensão 12/20 kV - Seção 240 mm2</t>
  </si>
  <si>
    <t>4.7.1.6.1</t>
  </si>
  <si>
    <t>4.7.1.6.2</t>
  </si>
  <si>
    <t>4.7.1.6.3</t>
  </si>
  <si>
    <t>4.7.1.6.4</t>
  </si>
  <si>
    <t>4.7.1.6.5</t>
  </si>
  <si>
    <t>4.7.1.6.6</t>
  </si>
  <si>
    <t>4.7.1.6.7</t>
  </si>
  <si>
    <t>4.7.1.6.8</t>
  </si>
  <si>
    <t>4.7.1.6.9</t>
  </si>
  <si>
    <t>4.7.1.6.10</t>
  </si>
  <si>
    <t>4.7.1.6.11</t>
  </si>
  <si>
    <t>4.7.1.6.12</t>
  </si>
  <si>
    <t>4.7.1.6.13</t>
  </si>
  <si>
    <t>4.7.1.6.14</t>
  </si>
  <si>
    <t>4.7.1.6.15</t>
  </si>
  <si>
    <t>4.7.1.6.16</t>
  </si>
  <si>
    <t>4.7.1.6.17</t>
  </si>
  <si>
    <t>2323</t>
  </si>
  <si>
    <t>4.7.1.6.18</t>
  </si>
  <si>
    <t>4.7.1.6.19</t>
  </si>
  <si>
    <t>2327</t>
  </si>
  <si>
    <t>4.7.1.6.20</t>
  </si>
  <si>
    <t>4.7.1.6.21</t>
  </si>
  <si>
    <t>Cabo de cobre unipolar classe 5, com isolação em PVC - 750V - seção 4mm²</t>
  </si>
  <si>
    <t>4.7.1.6.22</t>
  </si>
  <si>
    <t>4.7.1.6.23</t>
  </si>
  <si>
    <t>4.7.1.6.24</t>
  </si>
  <si>
    <t>4.7.1.6.25</t>
  </si>
  <si>
    <t>4.7.1.6.26</t>
  </si>
  <si>
    <t>4.7.1.6.27</t>
  </si>
  <si>
    <t>4.7.1.6.28</t>
  </si>
  <si>
    <t>4.7.1.6.29</t>
  </si>
  <si>
    <t>4.7.1.6.30</t>
  </si>
  <si>
    <t>4.7.1.6.31</t>
  </si>
  <si>
    <t>4.7.1.6.32</t>
  </si>
  <si>
    <t>4.7.1.6.33</t>
  </si>
  <si>
    <t>4.7.1.6.34</t>
  </si>
  <si>
    <t>4.7.1.6.35</t>
  </si>
  <si>
    <t>4.7.1.6.36</t>
  </si>
  <si>
    <t>4.7.1.6.37</t>
  </si>
  <si>
    <t>4.7.1.6.38</t>
  </si>
  <si>
    <t>4.7.1.6.39</t>
  </si>
  <si>
    <t>4.7.1.6.40</t>
  </si>
  <si>
    <t>Cabo de cobre unipolar classe 5, com isolação em PVC - 750V - seção 6mm²</t>
  </si>
  <si>
    <t>4.7.1.6.41</t>
  </si>
  <si>
    <t>4.7.1.6.42</t>
  </si>
  <si>
    <t>4.7.1.6.43</t>
  </si>
  <si>
    <t>4.7.1.6.44</t>
  </si>
  <si>
    <t>4.7.1.6.45</t>
  </si>
  <si>
    <t>4.7.1.6.46</t>
  </si>
  <si>
    <t>4.7.1.6.47</t>
  </si>
  <si>
    <t>4.7.1.6.48</t>
  </si>
  <si>
    <t>4.7.1.6.49</t>
  </si>
  <si>
    <t>4.7.1.6.50</t>
  </si>
  <si>
    <t>4.7.1.6.51</t>
  </si>
  <si>
    <t>4.7.1.6.52</t>
  </si>
  <si>
    <t>4.7.1.6.53</t>
  </si>
  <si>
    <t>4.7.1.6.54</t>
  </si>
  <si>
    <t>Cabo de cobre unipolar classe 5, com isolação em PVC - 750V - seção 10mm²</t>
  </si>
  <si>
    <t>4.7.1.6.55</t>
  </si>
  <si>
    <t>4.7.1.6.56</t>
  </si>
  <si>
    <t>4.7.1.6.57</t>
  </si>
  <si>
    <t>4.7.1.6.58</t>
  </si>
  <si>
    <t>4.7.1.6.59</t>
  </si>
  <si>
    <t>4.7.1.6.60</t>
  </si>
  <si>
    <t>4.7.1.6.61</t>
  </si>
  <si>
    <t>4.7.1.6.62</t>
  </si>
  <si>
    <t>Cabo de cobre unipolar classe 5, com isolação em PVC - 750V - seção 16mm²</t>
  </si>
  <si>
    <t>4.7.1.6.63</t>
  </si>
  <si>
    <t>4.7.1.6.64</t>
  </si>
  <si>
    <t>4.7.1.6.65</t>
  </si>
  <si>
    <t>4.7.1.6.66</t>
  </si>
  <si>
    <t>4.7.1.6.67</t>
  </si>
  <si>
    <t>4.7.1.6.68</t>
  </si>
  <si>
    <t>4.7.1.6.69</t>
  </si>
  <si>
    <t>CMS M.70.10.510</t>
  </si>
  <si>
    <t>4.7.1.6.70</t>
  </si>
  <si>
    <t>4.7.2.1.1</t>
  </si>
  <si>
    <t>4.7.2.1.2</t>
  </si>
  <si>
    <t>4.7.2.1.3</t>
  </si>
  <si>
    <t>4.7.2.1.4</t>
  </si>
  <si>
    <t>Cabo de instrumentação flexível, 2 condutores de cobre estanhado, blindagem individual (por par), encordoamento classe 2, isolação em PVC anti-chama, temperatura de serviço 70ºC, 300/600V, condutores nas cores BRANCO e PRETO - 1P x 1,00mm2</t>
  </si>
  <si>
    <t>4.7.2.1.5</t>
  </si>
  <si>
    <t>4.7.2.1.6</t>
  </si>
  <si>
    <t>4.7.2.1.7</t>
  </si>
  <si>
    <t>Cabo de instrumentação, condutores de cobre nu, blindagem total, encordoamento classe 2, isolação em PVC antichama, temperatura de serviço 70ºC, 300/600V, condutores numerados - Seção 3 x 1,00mm2</t>
  </si>
  <si>
    <t>4.7.2.1.8</t>
  </si>
  <si>
    <t>4.7.2.1.9</t>
  </si>
  <si>
    <t>4.7.2.1.10</t>
  </si>
  <si>
    <t>Cabo de instrumentação, condutores de cobre nu, blindagem total, encordoamento classe 2, isolação em PVC antichama, temperatura de serviço 70ºC, 300/600V, condutores numerados - Seção 4 x 1,00mm2</t>
  </si>
  <si>
    <t>4.7.2.1.11</t>
  </si>
  <si>
    <t>4.7.2.1.12</t>
  </si>
  <si>
    <t>4.7.2.1.13</t>
  </si>
  <si>
    <t>4.7.2.1.14</t>
  </si>
  <si>
    <t>4.7.2.1.15</t>
  </si>
  <si>
    <t>Cabo de instrumentação flexível, condutores de cobre estanhado, blindagem individual (por trio) e total, classe 2, isolação em PVC anti-chama, 70ºC, 300/600V, condutores nas cores BRANCO, PRETO e VERMELHO - 4T x 1,00mm2</t>
  </si>
  <si>
    <t>4.7.2.1.16</t>
  </si>
  <si>
    <t>4.7.2.1.17</t>
  </si>
  <si>
    <t>4.7.2.1.18</t>
  </si>
  <si>
    <t>Cabo de instrumentação flexível, condutores de cobre estanhado, blindagem individual (por trio) e total, classe 2, isolação em PVC anti-chama, 70ºC, 300/600V, condutores nas cores BRANCO, PRETO e VERMELHO - 8T x 1,00mm2</t>
  </si>
  <si>
    <t>4.7.2.1.19</t>
  </si>
  <si>
    <t>4.7.2.1.20</t>
  </si>
  <si>
    <t>4.7.2.1.21</t>
  </si>
  <si>
    <t>Cabo de instrumentação flexível, condutores de cobre estanhado, blindagem individual (por par) e total, classe 2, isolação em PVC anti-chama, 70ºC, 300/600V, condutores nas cores BRANCO e PRETO - 4P x 1,00mm2</t>
  </si>
  <si>
    <t>4.7.2.1.22</t>
  </si>
  <si>
    <t>4.7.2.1.23</t>
  </si>
  <si>
    <t>4.7.2.1.24</t>
  </si>
  <si>
    <t>Cabo de instrumentação flexível, condutores de cobre estanhado, blindagem individual (por par) e total, classe 2, isolação em PVC anti-chama, 70ºC, 300/600V, condutores nas cores BRANCO e PRETO - 8P x 1,00mm2</t>
  </si>
  <si>
    <t>4.7.2.1.25</t>
  </si>
  <si>
    <t>4.7.2.1.26</t>
  </si>
  <si>
    <t>4.7.2.1.27</t>
  </si>
  <si>
    <t>Cabo de instrumentação flexível, condutores de cobre estanhado, blindagem individual (por par) e total, classe 2, isolação em PVC anti-chama, 70ºC, 300/600V, condutores nas cores BRANCO e PRETO - 12P x 1,00mm2</t>
  </si>
  <si>
    <t>4.7.2.1.28</t>
  </si>
  <si>
    <t>4.7.2.1.29</t>
  </si>
  <si>
    <t>4.7.2.1.30</t>
  </si>
  <si>
    <t>Cabo de instrumentação flexível, condutores de cobre estanhado, blindagem individual (por par) e total, classe 2, isolação em PVC anti-chama, 70ºC, 300/600V, condutores nas cores BRANCO e PRETO - 16P x 1,00mm2</t>
  </si>
  <si>
    <t>4.7.2.1.31</t>
  </si>
  <si>
    <t>4.7.2.1.32</t>
  </si>
  <si>
    <t>4.7.2.2.1</t>
  </si>
  <si>
    <t>4.7.2.2.2</t>
  </si>
  <si>
    <t>4.7.2.2.3</t>
  </si>
  <si>
    <t>4.7.2.2.4</t>
  </si>
  <si>
    <t>4.7.2.2.5</t>
  </si>
  <si>
    <t>4.7.2.2.6</t>
  </si>
  <si>
    <t>4.7.2.2.7</t>
  </si>
  <si>
    <t>4.7.2.2.8</t>
  </si>
  <si>
    <t>4.7.2.2.9</t>
  </si>
  <si>
    <t>Cabo de controle, condutores de cobre nu, sem blindagem, encordoamento classe 5, isolação em PVC antichama, temperatura de serviço 70ºC, 0,6/1kV, condutores numerados - Seção 9 x 1,5mm2</t>
  </si>
  <si>
    <t>4.7.2.2.10</t>
  </si>
  <si>
    <t>4.7.2.2.11</t>
  </si>
  <si>
    <t>4.7.2.2.12</t>
  </si>
  <si>
    <t>4.7.2.2.13</t>
  </si>
  <si>
    <t>Cabo de controle, condutores de cobre nú, sem blindagem, encordoamento classe 5, isolação em PVC antichama, temperatura de serviço 70ºC, 0,6/1kV, condutores numerados - Seção 15 x 1,5mm2</t>
  </si>
  <si>
    <t>4.7.2.2.14</t>
  </si>
  <si>
    <t>4.7.2.2.15</t>
  </si>
  <si>
    <t>4.7.2.2.16</t>
  </si>
  <si>
    <t>Cabo de controle, condutores de cobre nú, sem blindagem, encordoamento classe 5, isolação em PVC antichama, temperatura de serviço 70ºC, 0,6/1kV, condutores numerados - Seção 20 x 1,5mm2</t>
  </si>
  <si>
    <t>4.7.2.2.17</t>
  </si>
  <si>
    <t>4.7.2.2.18</t>
  </si>
  <si>
    <t>4.7.2.2.19</t>
  </si>
  <si>
    <t>Cabo de controle, condutores de cobre nú, sem blindagem, encordoamento classe 5, isolação em PVC antichama, temperatura de serviço 70ºC, 0,6/1kV, condutores numerados - Seção 3 x 2,5mm2</t>
  </si>
  <si>
    <t>4.7.2.2.20</t>
  </si>
  <si>
    <t>4.7.2.2.21</t>
  </si>
  <si>
    <t>4.7.2.2.22</t>
  </si>
  <si>
    <t>4.7.2.2.23</t>
  </si>
  <si>
    <t>4.7.2.2.24</t>
  </si>
  <si>
    <t>4.7.2.2.25</t>
  </si>
  <si>
    <t>4.7.2.2.26</t>
  </si>
  <si>
    <t>4.7.2.2.27</t>
  </si>
  <si>
    <t>4.7.2.3.1</t>
  </si>
  <si>
    <t>0104</t>
  </si>
  <si>
    <t>Conector Fêmea RJ-45 Cat.6 - MEM 01</t>
  </si>
  <si>
    <t>4.7.2.3.2</t>
  </si>
  <si>
    <t>Conector macho RJ-45 Cat.6 - MEM 01</t>
  </si>
  <si>
    <t>4.7.2.3.3</t>
  </si>
  <si>
    <t>Cabo F/UTP ou S/UTP. Lançamento externo, Cat.6 - MEM 01</t>
  </si>
  <si>
    <t>4.7.2.4.1</t>
  </si>
  <si>
    <t>Cabo ótico para instalação externa em dutos, núcleo seco, 6 veias, monomodo - MEM 01</t>
  </si>
  <si>
    <t>CMS M.70.15.120</t>
  </si>
  <si>
    <t>4.7.2.4.2</t>
  </si>
  <si>
    <t>Cabo ótico para instalação externa em dutos, núcleo seco, 6 veias, monomodo</t>
  </si>
  <si>
    <t>4.7.2.4.3</t>
  </si>
  <si>
    <t>4.7.2.4.4</t>
  </si>
  <si>
    <t>4.7.2.4.5</t>
  </si>
  <si>
    <t>Cabo ótico para instalação externa em dutos, núcleo seco, 12 veias, monomodo - MEM 01</t>
  </si>
  <si>
    <t>4.7.2.5.1</t>
  </si>
  <si>
    <t>Cabo para rede de comunicação industrial, fieldbus, Profibus DP - tipo A, Cabo par trançado blindado, impedância 135 a 165 Ohms, capacitância &lt; 30 pf/m, resistência 110 Ohms/km, área do condutor &gt; 0.34mm2</t>
  </si>
  <si>
    <t>4.7.2.5.2</t>
  </si>
  <si>
    <t>4.7.2.5.3</t>
  </si>
  <si>
    <t>4.7.2.5.4</t>
  </si>
  <si>
    <t>Cabo para rede fieldbus, Profibus PA - Cabo par trançado blindado, área do condutor 0.8 mm2 (AWG 18), resistência de loop 44 ohms/Km, impedância à 31.25 KHz 100 ohms +/-20%, atenuação à 39 KHz 3 dB/Km, capacitância assimétrica 2 nF/Km</t>
  </si>
  <si>
    <t>4.7.2.5.5</t>
  </si>
  <si>
    <t>4.7.2.5.6</t>
  </si>
  <si>
    <t>4.7.2.6.1</t>
  </si>
  <si>
    <t>Cordão óptico duplex, fibra multimodo, comprimento 50 metros</t>
  </si>
  <si>
    <t>4.7.2.6.2</t>
  </si>
  <si>
    <t>4.7.2.6.3</t>
  </si>
  <si>
    <t>4.7.2.6.4</t>
  </si>
  <si>
    <t>Cordão óptico duplex, fibra monomodo, comprimento 50 metros</t>
  </si>
  <si>
    <t>4.7.2.6.5</t>
  </si>
  <si>
    <t>4.7.2.6.6</t>
  </si>
  <si>
    <t>4.7.2.7.1</t>
  </si>
  <si>
    <t>Caixa de emenda óptica para 24 veias, compatível com cabo monomodo - MEM 01</t>
  </si>
  <si>
    <t>4.7.2.7.2</t>
  </si>
  <si>
    <t>Caixa de emenda óptica para 48 veias, compatível com cabo monomodo - MEM 01</t>
  </si>
  <si>
    <t>4.7.3.1.1</t>
  </si>
  <si>
    <t>MC.041E</t>
  </si>
  <si>
    <t>CMS M.70.30.000</t>
  </si>
  <si>
    <t>4.7.3.1.2</t>
  </si>
  <si>
    <t>4.7.3.1.3</t>
  </si>
  <si>
    <t>4.7.3.1.4</t>
  </si>
  <si>
    <t>4.7.3.1.5</t>
  </si>
  <si>
    <t>4.7.3.1.6</t>
  </si>
  <si>
    <t>4.7.3.1.7</t>
  </si>
  <si>
    <t>4.7.3.1.8</t>
  </si>
  <si>
    <t>4.7.3.1.9</t>
  </si>
  <si>
    <t>4.7.3.1.10</t>
  </si>
  <si>
    <t>4.7.3.1.11</t>
  </si>
  <si>
    <t>4.7.3.1.12</t>
  </si>
  <si>
    <t>4.7.3.1.13</t>
  </si>
  <si>
    <t>4.7.3.1.14</t>
  </si>
  <si>
    <t>4.7.3.1.15</t>
  </si>
  <si>
    <t>4.7.3.1.16</t>
  </si>
  <si>
    <t>4.7.3.1.17</t>
  </si>
  <si>
    <t>4.7.3.1.18</t>
  </si>
  <si>
    <t>4.7.3.1.19</t>
  </si>
  <si>
    <t>4.7.3.1.20</t>
  </si>
  <si>
    <t>4.7.3.1.21</t>
  </si>
  <si>
    <t>4.7.3.1.22</t>
  </si>
  <si>
    <t>4.7.3.1.23</t>
  </si>
  <si>
    <t>4.7.3.1.24</t>
  </si>
  <si>
    <t>4.7.3.1.25</t>
  </si>
  <si>
    <t>4.7.3.1.26</t>
  </si>
  <si>
    <t>4.7.3.1.27</t>
  </si>
  <si>
    <t>4.7.3.1.28</t>
  </si>
  <si>
    <t>4.7.3.1.29</t>
  </si>
  <si>
    <t>4.7.3.1.30</t>
  </si>
  <si>
    <t>4.7.3.1.31</t>
  </si>
  <si>
    <t>4.7.3.1.32</t>
  </si>
  <si>
    <t>4.7.3.1.33</t>
  </si>
  <si>
    <t>4.7.3.1.34</t>
  </si>
  <si>
    <t>4.7.3.1.35</t>
  </si>
  <si>
    <t>4.7.3.1.36</t>
  </si>
  <si>
    <t>4.7.3.1.37</t>
  </si>
  <si>
    <t>4.7.3.1.38</t>
  </si>
  <si>
    <t>4.7.3.1.39</t>
  </si>
  <si>
    <t>4.7.3.1.40</t>
  </si>
  <si>
    <t>4.7.3.1.41</t>
  </si>
  <si>
    <t>4.7.3.1.42</t>
  </si>
  <si>
    <t>4.7.3.1.43</t>
  </si>
  <si>
    <t>4.7.3.1.44</t>
  </si>
  <si>
    <t>4.7.3.1.45</t>
  </si>
  <si>
    <t>4.7.3.1.46</t>
  </si>
  <si>
    <t>4.7.3.1.47</t>
  </si>
  <si>
    <t>4.7.3.1.48</t>
  </si>
  <si>
    <t>4.7.3.1.49</t>
  </si>
  <si>
    <t>4.7.3.1.50</t>
  </si>
  <si>
    <t>4.7.3.1.51</t>
  </si>
  <si>
    <t>4.7.3.1.52</t>
  </si>
  <si>
    <t>4.7.3.1.53</t>
  </si>
  <si>
    <t>4.7.3.1.54</t>
  </si>
  <si>
    <t>4.7.3.1.55</t>
  </si>
  <si>
    <t>4.7.3.1.56</t>
  </si>
  <si>
    <t>4.7.3.1.57</t>
  </si>
  <si>
    <t>4.7.3.1.58</t>
  </si>
  <si>
    <t>4.7.3.1.59</t>
  </si>
  <si>
    <t>4.7.3.1.60</t>
  </si>
  <si>
    <t>4.7.3.1.61</t>
  </si>
  <si>
    <t>4.7.3.1.62</t>
  </si>
  <si>
    <t>4.7.3.1.63</t>
  </si>
  <si>
    <t>4.7.3.1.64</t>
  </si>
  <si>
    <t>4.7.3.1.65</t>
  </si>
  <si>
    <t>4.7.3.1.66</t>
  </si>
  <si>
    <t>4.7.3.1.67</t>
  </si>
  <si>
    <t>4.7.3.1.68</t>
  </si>
  <si>
    <t>4.7.3.1.69</t>
  </si>
  <si>
    <t>4.7.3.1.70</t>
  </si>
  <si>
    <t>4.7.3.1.71</t>
  </si>
  <si>
    <t>4.7.3.1.72</t>
  </si>
  <si>
    <t>4.7.3.1.73</t>
  </si>
  <si>
    <t>4.7.3.1.74</t>
  </si>
  <si>
    <t>4.7.3.1.75</t>
  </si>
  <si>
    <t>4.7.3.1.76</t>
  </si>
  <si>
    <t>4.7.3.1.77</t>
  </si>
  <si>
    <t>4.7.3.1.78</t>
  </si>
  <si>
    <t>4.7.3.1.79</t>
  </si>
  <si>
    <t>4.7.3.1.80</t>
  </si>
  <si>
    <t>4.7.3.1.81</t>
  </si>
  <si>
    <t>4.7.3.1.82</t>
  </si>
  <si>
    <t>4.7.3.1.83</t>
  </si>
  <si>
    <t>4.7.3.1.84</t>
  </si>
  <si>
    <t>4.7.3.1.85</t>
  </si>
  <si>
    <t>4.7.3.1.86</t>
  </si>
  <si>
    <t>4.7.3.1.87</t>
  </si>
  <si>
    <t>4.7.3.1.88</t>
  </si>
  <si>
    <t>4.7.3.1.89</t>
  </si>
  <si>
    <t>4.7.3.1.90</t>
  </si>
  <si>
    <t>4.7.3.1.91</t>
  </si>
  <si>
    <t>4.7.3.1.92</t>
  </si>
  <si>
    <t>4.7.3.1.93</t>
  </si>
  <si>
    <t>4.7.3.1.94</t>
  </si>
  <si>
    <t>4.7.3.1.95</t>
  </si>
  <si>
    <t>4.7.3.1.96</t>
  </si>
  <si>
    <t>4.7.3.1.97</t>
  </si>
  <si>
    <t>4.7.3.1.98</t>
  </si>
  <si>
    <t>4.7.3.1.99</t>
  </si>
  <si>
    <t>4.7.3.1.100</t>
  </si>
  <si>
    <t>4.7.3.1.101</t>
  </si>
  <si>
    <t>4.7.3.1.102</t>
  </si>
  <si>
    <t>4.7.3.1.103</t>
  </si>
  <si>
    <t>4.7.3.1.104</t>
  </si>
  <si>
    <t>4.7.3.1.105</t>
  </si>
  <si>
    <t>4.7.3.1.106</t>
  </si>
  <si>
    <t>4.7.3.1.107</t>
  </si>
  <si>
    <t>4.7.3.1.108</t>
  </si>
  <si>
    <t>4.7.3.1.109</t>
  </si>
  <si>
    <t>4.7.3.1.110</t>
  </si>
  <si>
    <t>4.7.3.1.111</t>
  </si>
  <si>
    <t>4.7.3.1.112</t>
  </si>
  <si>
    <t>CMS M.70.30.500</t>
  </si>
  <si>
    <t>4.7.3.1.113</t>
  </si>
  <si>
    <t>4.7.3.1.114</t>
  </si>
  <si>
    <t>4.7.3.1.115</t>
  </si>
  <si>
    <t>4.7.3.2.1</t>
  </si>
  <si>
    <t>4.7.3.2.2</t>
  </si>
  <si>
    <t>4.7.3.2.3</t>
  </si>
  <si>
    <t>4.7.3.2.4</t>
  </si>
  <si>
    <t>4.7.3.2.5</t>
  </si>
  <si>
    <t>4.7.3.2.6</t>
  </si>
  <si>
    <t>4.7.3.2.7</t>
  </si>
  <si>
    <t>4.7.3.2.8</t>
  </si>
  <si>
    <t>4.7.3.2.9</t>
  </si>
  <si>
    <t>4.7.3.2.10</t>
  </si>
  <si>
    <t>4.7.3.2.11</t>
  </si>
  <si>
    <t>4.7.3.2.12</t>
  </si>
  <si>
    <t>4.7.3.2.13</t>
  </si>
  <si>
    <t>4.7.3.2.14</t>
  </si>
  <si>
    <t>4.7.3.2.15</t>
  </si>
  <si>
    <t>4.7.3.2.16</t>
  </si>
  <si>
    <t>4.7.3.2.17</t>
  </si>
  <si>
    <t>4.7.3.2.18</t>
  </si>
  <si>
    <t>4.7.3.2.19</t>
  </si>
  <si>
    <t>4.7.3.2.20</t>
  </si>
  <si>
    <t>4.7.3.2.21</t>
  </si>
  <si>
    <t>4.7.3.2.22</t>
  </si>
  <si>
    <t>4.7.3.2.23</t>
  </si>
  <si>
    <t>4.7.3.2.24</t>
  </si>
  <si>
    <t>4.7.3.2.25</t>
  </si>
  <si>
    <t>4.7.3.2.26</t>
  </si>
  <si>
    <t>4.7.3.2.27</t>
  </si>
  <si>
    <t>4.7.3.2.28</t>
  </si>
  <si>
    <t>4.7.3.2.29</t>
  </si>
  <si>
    <t>4.7.3.2.30</t>
  </si>
  <si>
    <t>4.7.3.2.31</t>
  </si>
  <si>
    <t>4.7.3.2.32</t>
  </si>
  <si>
    <t>4.7.3.2.33</t>
  </si>
  <si>
    <t>4.7.3.2.34</t>
  </si>
  <si>
    <t>4.7.3.2.35</t>
  </si>
  <si>
    <t>4.7.3.2.36</t>
  </si>
  <si>
    <t>4.7.3.2.37</t>
  </si>
  <si>
    <t>4.7.3.2.38</t>
  </si>
  <si>
    <t>4.7.3.2.39</t>
  </si>
  <si>
    <t>4.7.3.2.40</t>
  </si>
  <si>
    <t>4.7.3.2.41</t>
  </si>
  <si>
    <t>4.7.3.2.42</t>
  </si>
  <si>
    <t>4.7.3.2.43</t>
  </si>
  <si>
    <t>4.7.3.2.44</t>
  </si>
  <si>
    <t>4.7.3.2.45</t>
  </si>
  <si>
    <t>4.7.3.2.46</t>
  </si>
  <si>
    <t>4.7.3.2.47</t>
  </si>
  <si>
    <t>4.7.3.2.48</t>
  </si>
  <si>
    <t>4.7.3.2.49</t>
  </si>
  <si>
    <t>4.7.3.2.50</t>
  </si>
  <si>
    <t>4.7.3.2.51</t>
  </si>
  <si>
    <t>4.7.3.2.52</t>
  </si>
  <si>
    <t>4.7.3.2.53</t>
  </si>
  <si>
    <t>4.7.3.2.54</t>
  </si>
  <si>
    <t>4.7.3.2.55</t>
  </si>
  <si>
    <t>4.7.3.2.56</t>
  </si>
  <si>
    <t>4.7.3.2.57</t>
  </si>
  <si>
    <t>4.7.3.2.58</t>
  </si>
  <si>
    <t>4.7.3.2.59</t>
  </si>
  <si>
    <t>4.7.3.2.60</t>
  </si>
  <si>
    <t>4.7.3.2.61</t>
  </si>
  <si>
    <t>4.7.3.2.62</t>
  </si>
  <si>
    <t>4.7.3.2.63</t>
  </si>
  <si>
    <t>4.7.3.2.64</t>
  </si>
  <si>
    <t>4.7.3.2.65</t>
  </si>
  <si>
    <t>4.7.3.2.66</t>
  </si>
  <si>
    <t>4.7.3.2.67</t>
  </si>
  <si>
    <t>4.7.3.2.68</t>
  </si>
  <si>
    <t>4.7.3.2.69</t>
  </si>
  <si>
    <t>4.7.3.2.70</t>
  </si>
  <si>
    <t>4.7.3.2.71</t>
  </si>
  <si>
    <t>4.7.3.2.72</t>
  </si>
  <si>
    <t>4.7.3.2.73</t>
  </si>
  <si>
    <t>4.7.3.2.74</t>
  </si>
  <si>
    <t>4.7.3.2.75</t>
  </si>
  <si>
    <t>4.7.3.2.76</t>
  </si>
  <si>
    <t>4.7.3.2.77</t>
  </si>
  <si>
    <t>4.7.3.2.78</t>
  </si>
  <si>
    <t>4.7.3.2.79</t>
  </si>
  <si>
    <t>4.7.3.2.80</t>
  </si>
  <si>
    <t>4.7.3.2.81</t>
  </si>
  <si>
    <t>4.7.3.2.82</t>
  </si>
  <si>
    <t>4.7.3.2.83</t>
  </si>
  <si>
    <t>4.7.3.2.84</t>
  </si>
  <si>
    <t>4.7.3.2.85</t>
  </si>
  <si>
    <t>4.7.3.2.86</t>
  </si>
  <si>
    <t>4.7.3.2.87</t>
  </si>
  <si>
    <t>4.7.3.2.88</t>
  </si>
  <si>
    <t>4.7.3.2.89</t>
  </si>
  <si>
    <t>4.7.3.2.90</t>
  </si>
  <si>
    <t>4.7.3.2.91</t>
  </si>
  <si>
    <t>4.7.3.2.92</t>
  </si>
  <si>
    <t>4.7.3.2.93</t>
  </si>
  <si>
    <t>4.7.3.2.94</t>
  </si>
  <si>
    <t>4.7.3.2.95</t>
  </si>
  <si>
    <t>4.7.3.2.96</t>
  </si>
  <si>
    <t>4.7.3.2.97</t>
  </si>
  <si>
    <t>4.7.3.2.98</t>
  </si>
  <si>
    <t>4.7.3.2.99</t>
  </si>
  <si>
    <t>4.7.3.2.100</t>
  </si>
  <si>
    <t>4.7.3.2.101</t>
  </si>
  <si>
    <t>4.7.3.2.102</t>
  </si>
  <si>
    <t>4.7.3.2.103</t>
  </si>
  <si>
    <t>4.7.3.2.104</t>
  </si>
  <si>
    <t>4.7.3.2.105</t>
  </si>
  <si>
    <t>4.7.3.2.106</t>
  </si>
  <si>
    <t>4.7.3.2.107</t>
  </si>
  <si>
    <t>4.7.3.2.108</t>
  </si>
  <si>
    <t>4.7.3.2.109</t>
  </si>
  <si>
    <t>4.7.3.2.110</t>
  </si>
  <si>
    <t>4.7.4.1.1</t>
  </si>
  <si>
    <t>Perfilados em chapa de aço galvanizada a fogo c/ acessórios, (38x38) mm</t>
  </si>
  <si>
    <t>CMS M.70.46.000</t>
  </si>
  <si>
    <t>4.7.4.1.2</t>
  </si>
  <si>
    <t>4.7.4.1.3</t>
  </si>
  <si>
    <t>4.7.4.1.4</t>
  </si>
  <si>
    <t>4.7.4.1.5</t>
  </si>
  <si>
    <t>Perfilados em chapa de aço galvanizada a fogo c/ acessórios, (76x38) mm</t>
  </si>
  <si>
    <t>4.7.4.1.6</t>
  </si>
  <si>
    <t>4.7.4.1.7</t>
  </si>
  <si>
    <t>4.7.4.1.8</t>
  </si>
  <si>
    <t>4.7.5.1.1</t>
  </si>
  <si>
    <t>Eletrocalha em chapa de aço, galvanizada a fogo, c/ acessórios, altura de 100 mm, largura de 100 mm, peça de 3m, com tampa</t>
  </si>
  <si>
    <t>4.7.5.1.2</t>
  </si>
  <si>
    <t>4.7.5.1.3</t>
  </si>
  <si>
    <t>4.7.5.1.4</t>
  </si>
  <si>
    <t>4.7.5.1.5</t>
  </si>
  <si>
    <t>4.7.5.1.6</t>
  </si>
  <si>
    <t>4.7.5.1.7</t>
  </si>
  <si>
    <t>4.7.5.1.8</t>
  </si>
  <si>
    <t>4.7.5.1.9</t>
  </si>
  <si>
    <t>4.7.5.1.10</t>
  </si>
  <si>
    <t>4.7.5.1.11</t>
  </si>
  <si>
    <t>Eletrocalha em chapa de aço, galvanizada a fogo, c/ acessórios, altura de 100 mm, largura de 200 mm, peça de 3m, com tampa</t>
  </si>
  <si>
    <t>4.7.5.1.12</t>
  </si>
  <si>
    <t>4.7.5.1.13</t>
  </si>
  <si>
    <t>4.7.5.1.14</t>
  </si>
  <si>
    <t>4.7.5.1.15</t>
  </si>
  <si>
    <t>4.7.5.1.16</t>
  </si>
  <si>
    <t>4.7.5.1.17</t>
  </si>
  <si>
    <t>4.7.5.1.18</t>
  </si>
  <si>
    <t>4.7.5.1.19</t>
  </si>
  <si>
    <t>4.7.5.1.20</t>
  </si>
  <si>
    <t>4.7.5.1.21</t>
  </si>
  <si>
    <t>Eletrocalha em chapa de aço, galvanizada a fogo, c/ acessórios, altura de 100 mm, largura de 300 mm, peça de 3m, com tampa</t>
  </si>
  <si>
    <t>4.7.5.1.22</t>
  </si>
  <si>
    <t>4.7.5.1.23</t>
  </si>
  <si>
    <t>4.7.5.1.24</t>
  </si>
  <si>
    <t>4.7.5.1.25</t>
  </si>
  <si>
    <t>4.7.5.1.26</t>
  </si>
  <si>
    <t>4.7.5.1.27</t>
  </si>
  <si>
    <t>4.7.5.1.28</t>
  </si>
  <si>
    <t>4.7.5.1.29</t>
  </si>
  <si>
    <t>Eletrocalha em chapa de aço, galvanizada a fogo, c/ acessórios, altura de 100 mm, largura de 400 mm, peça de 3m, com tampa</t>
  </si>
  <si>
    <t>4.7.5.1.30</t>
  </si>
  <si>
    <t>4.7.5.1.31</t>
  </si>
  <si>
    <t>4.7.5.1.32</t>
  </si>
  <si>
    <t>4.7.5.1.33</t>
  </si>
  <si>
    <t>4.7.5.1.34</t>
  </si>
  <si>
    <t>4.7.6.1.1</t>
  </si>
  <si>
    <t>Leito para cabos,  tipo médio, em chapa de aço galvanizada a fogo , c/ acessórios, altura de 100 mm, largura de 200 mm, peça de 3m - com tampa</t>
  </si>
  <si>
    <t>4.7.6.1.2</t>
  </si>
  <si>
    <t>4.7.6.1.3</t>
  </si>
  <si>
    <t>4.7.6.1.4</t>
  </si>
  <si>
    <t>4.7.6.1.5</t>
  </si>
  <si>
    <t>4.7.6.1.6</t>
  </si>
  <si>
    <t>4.7.6.1.7</t>
  </si>
  <si>
    <t>4.7.6.1.8</t>
  </si>
  <si>
    <t>4.7.6.1.9</t>
  </si>
  <si>
    <t>4.7.6.1.10</t>
  </si>
  <si>
    <t>4.7.6.1.11</t>
  </si>
  <si>
    <t>4.7.6.1.12</t>
  </si>
  <si>
    <t>4.7.6.1.13</t>
  </si>
  <si>
    <t>Leito para cabos,  tipo médio, em chapa de aço galvanizada a fogo , c/ acessórios, altura de 100 mm, largura de 400 mm, peça de 3m - com tampa</t>
  </si>
  <si>
    <t>4.7.6.1.14</t>
  </si>
  <si>
    <t>4.7.6.1.15</t>
  </si>
  <si>
    <t>4.7.6.1.16</t>
  </si>
  <si>
    <t>4.7.6.1.17</t>
  </si>
  <si>
    <t>4.7.6.1.18</t>
  </si>
  <si>
    <t>4.7.6.1.19</t>
  </si>
  <si>
    <t>4.7.6.1.20</t>
  </si>
  <si>
    <t>Leito para cabos,  tipo médio, em chapa de aço galvanizada a fogo , c/ acessórios, altura de 100 mm, largura de 600 mm, peça de 3m - com tampa</t>
  </si>
  <si>
    <t>4.7.6.1.21</t>
  </si>
  <si>
    <t>4.7.6.1.22</t>
  </si>
  <si>
    <t>4.7.6.1.23</t>
  </si>
  <si>
    <t>4.7.6.1.24</t>
  </si>
  <si>
    <t>4.7.6.1.25</t>
  </si>
  <si>
    <t>4.7.6.1.26</t>
  </si>
  <si>
    <t>4.7.6.1.27</t>
  </si>
  <si>
    <t>4.7.6.1.28</t>
  </si>
  <si>
    <t>Leito para cabos,  tipo médio, em chapa de aço galvanizada a fogo , c/ acessórios, altura de 100 mm, largura de 800 mm, peça de 3m - com tampa</t>
  </si>
  <si>
    <t>4.7.6.1.29</t>
  </si>
  <si>
    <t>4.7.6.1.30</t>
  </si>
  <si>
    <t>4.7.7.1.1</t>
  </si>
  <si>
    <t>Leito para cabos,  tipo leve, em fibra de vidro , c/ acessórios, altura de 100 mm, largura de 200 mm, peça de 3m</t>
  </si>
  <si>
    <t>4.7.7.1.2</t>
  </si>
  <si>
    <t>4.7.7.1.3</t>
  </si>
  <si>
    <t>4.7.7.1.4</t>
  </si>
  <si>
    <t>Leito para cabos,  tipo leve, em fibra de vidro , c/ acessórios, altura de 100 mm, largura de 400 mm, peça de 3m</t>
  </si>
  <si>
    <t>4.7.7.1.5</t>
  </si>
  <si>
    <t>4.7.7.1.6</t>
  </si>
  <si>
    <t>4.7.7.1.7</t>
  </si>
  <si>
    <t>Leito para cabos,  tipo leve, em fibra de vidro , c/ acessórios, altura de 100 mm, largura de 600 mm, peça de 3m</t>
  </si>
  <si>
    <t>4.7.7.1.8</t>
  </si>
  <si>
    <t>4.7.7.1.9</t>
  </si>
  <si>
    <t>4.7.7.1.10</t>
  </si>
  <si>
    <t>Leito para cabos,  tipo leve, em fibra de vidro , c/ acessórios, altura de 100 mm, largura de 800 mm, peça de 3m</t>
  </si>
  <si>
    <t>4.7.7.1.11</t>
  </si>
  <si>
    <t>4.7.8.1.1</t>
  </si>
  <si>
    <t>MC.043E</t>
  </si>
  <si>
    <t>Luminária tipo pendente para lâmpadas tubulares de LED, 2x10 W</t>
  </si>
  <si>
    <t>CMS M.70.60.010</t>
  </si>
  <si>
    <t>4.7.8.1.2</t>
  </si>
  <si>
    <t>4.7.8.1.3</t>
  </si>
  <si>
    <t>4.7.8.1.4</t>
  </si>
  <si>
    <t>4.7.8.1.5</t>
  </si>
  <si>
    <t>Luminária tipo pendente para lâmpadas tubulares de LED, 2x18 W</t>
  </si>
  <si>
    <t>4.7.8.1.6</t>
  </si>
  <si>
    <t>4.7.8.1.7</t>
  </si>
  <si>
    <t>4.7.8.1.8</t>
  </si>
  <si>
    <t>4.7.8.1.9</t>
  </si>
  <si>
    <t>4.7.8.2.1</t>
  </si>
  <si>
    <t>Luminária tipo industrial, LED, 54 W</t>
  </si>
  <si>
    <t>4.7.8.2.2</t>
  </si>
  <si>
    <t>4.7.8.2.3</t>
  </si>
  <si>
    <t>4.7.8.2.4</t>
  </si>
  <si>
    <t>4.7.8.2.5</t>
  </si>
  <si>
    <t>4.7.8.2.6</t>
  </si>
  <si>
    <t>4.7.8.2.7</t>
  </si>
  <si>
    <t>4.7.8.2.8</t>
  </si>
  <si>
    <t>4.7.8.2.9</t>
  </si>
  <si>
    <t>4.7.8.2.10</t>
  </si>
  <si>
    <t>4.7.8.2.11</t>
  </si>
  <si>
    <t>4.7.8.2.12</t>
  </si>
  <si>
    <t>4.7.8.2.13</t>
  </si>
  <si>
    <t>4.7.8.2.14</t>
  </si>
  <si>
    <t>4.7.8.2.15</t>
  </si>
  <si>
    <t>4.7.8.2.16</t>
  </si>
  <si>
    <t>4.7.8.2.17</t>
  </si>
  <si>
    <t>Luminária tipo industrial, LED, 75 W</t>
  </si>
  <si>
    <t>4.7.8.2.18</t>
  </si>
  <si>
    <t>4.7.8.2.19</t>
  </si>
  <si>
    <t>4.7.8.2.20</t>
  </si>
  <si>
    <t>4.7.8.2.21</t>
  </si>
  <si>
    <t>4.7.8.2.22</t>
  </si>
  <si>
    <t>4.7.8.2.23</t>
  </si>
  <si>
    <t>4.7.8.2.24</t>
  </si>
  <si>
    <t>4.7.8.2.25</t>
  </si>
  <si>
    <t>4.7.8.2.26</t>
  </si>
  <si>
    <t>4.7.8.2.27</t>
  </si>
  <si>
    <t>4.7.8.2.28</t>
  </si>
  <si>
    <t>4.7.8.2.29</t>
  </si>
  <si>
    <t>Luminária tipo industrial, LED, 108 W</t>
  </si>
  <si>
    <t>4.7.8.2.30</t>
  </si>
  <si>
    <t>4.7.8.2.31</t>
  </si>
  <si>
    <t>4.7.8.2.32</t>
  </si>
  <si>
    <t>4.7.8.2.33</t>
  </si>
  <si>
    <t>4.7.8.2.34</t>
  </si>
  <si>
    <t>4.7.8.2.35</t>
  </si>
  <si>
    <t>4.7.8.2.36</t>
  </si>
  <si>
    <t>4.7.8.2.37</t>
  </si>
  <si>
    <t>4.7.8.2.38</t>
  </si>
  <si>
    <t>4.7.8.2.39</t>
  </si>
  <si>
    <t>4.7.8.3.1</t>
  </si>
  <si>
    <t>MC.044E</t>
  </si>
  <si>
    <t>CMS M.70.60.510</t>
  </si>
  <si>
    <t>4.7.8.3.2</t>
  </si>
  <si>
    <t>4.7.8.4.1</t>
  </si>
  <si>
    <t>Projetor, led, 27 W, completo</t>
  </si>
  <si>
    <t>4.7.8.4.2</t>
  </si>
  <si>
    <t>4.7.8.4.3</t>
  </si>
  <si>
    <t>4.7.8.4.4</t>
  </si>
  <si>
    <t>4.7.8.4.5</t>
  </si>
  <si>
    <t>4.7.8.4.6</t>
  </si>
  <si>
    <t>4.7.8.4.7</t>
  </si>
  <si>
    <t>4.7.8.4.8</t>
  </si>
  <si>
    <t>4.7.8.4.9</t>
  </si>
  <si>
    <t>4.7.8.4.10</t>
  </si>
  <si>
    <t>4.7.8.4.11</t>
  </si>
  <si>
    <t>4.7.8.4.12</t>
  </si>
  <si>
    <t>4.7.8.4.13</t>
  </si>
  <si>
    <t>4.7.8.4.14</t>
  </si>
  <si>
    <t>4.7.8.4.15</t>
  </si>
  <si>
    <t>4.7.8.4.16</t>
  </si>
  <si>
    <t>Projetor, led, 56 W, completo</t>
  </si>
  <si>
    <t>4.7.8.4.17</t>
  </si>
  <si>
    <t>4.7.8.4.18</t>
  </si>
  <si>
    <t>4.7.8.4.19</t>
  </si>
  <si>
    <t>4.7.8.4.20</t>
  </si>
  <si>
    <t>4.7.8.4.21</t>
  </si>
  <si>
    <t>4.7.8.4.22</t>
  </si>
  <si>
    <t>4.7.8.4.23</t>
  </si>
  <si>
    <t>4.7.8.4.24</t>
  </si>
  <si>
    <t>4.7.8.4.25</t>
  </si>
  <si>
    <t>4.7.8.4.26</t>
  </si>
  <si>
    <t>4.7.8.4.27</t>
  </si>
  <si>
    <t>4.7.8.4.28</t>
  </si>
  <si>
    <t>4.7.8.4.29</t>
  </si>
  <si>
    <t>4.7.8.4.30</t>
  </si>
  <si>
    <t>4.7.8.4.31</t>
  </si>
  <si>
    <t>4.7.8.4.32</t>
  </si>
  <si>
    <t>4.7.8.4.33</t>
  </si>
  <si>
    <t>Projetor, led, 102 W, completo</t>
  </si>
  <si>
    <t>4.7.8.4.34</t>
  </si>
  <si>
    <t>4.7.8.4.35</t>
  </si>
  <si>
    <t>4.7.8.4.36</t>
  </si>
  <si>
    <t>4.7.8.4.37</t>
  </si>
  <si>
    <t>4.7.8.4.38</t>
  </si>
  <si>
    <t>4.7.8.4.39</t>
  </si>
  <si>
    <t>4.7.8.4.40</t>
  </si>
  <si>
    <t>4.7.8.4.41</t>
  </si>
  <si>
    <t>4.7.8.4.42</t>
  </si>
  <si>
    <t>4.7.8.4.43</t>
  </si>
  <si>
    <t>4.7.8.4.44</t>
  </si>
  <si>
    <t>4.7.8.4.45</t>
  </si>
  <si>
    <t>4.7.8.4.46</t>
  </si>
  <si>
    <t>4.7.8.4.47</t>
  </si>
  <si>
    <t>4.7.8.4.48</t>
  </si>
  <si>
    <t>4.7.8.4.49</t>
  </si>
  <si>
    <t>4.7.8.4.50</t>
  </si>
  <si>
    <t>Projetor, led, 108 W, completo</t>
  </si>
  <si>
    <t>4.7.8.4.51</t>
  </si>
  <si>
    <t>4.7.8.4.52</t>
  </si>
  <si>
    <t>4.7.8.4.53</t>
  </si>
  <si>
    <t>4.7.8.4.54</t>
  </si>
  <si>
    <t>4.7.8.4.55</t>
  </si>
  <si>
    <t>4.7.8.4.56</t>
  </si>
  <si>
    <t>4.7.8.4.57</t>
  </si>
  <si>
    <t>4.7.8.4.58</t>
  </si>
  <si>
    <t>Projetor, led, 144 W, completo</t>
  </si>
  <si>
    <t>4.7.8.4.59</t>
  </si>
  <si>
    <t>4.7.8.4.60</t>
  </si>
  <si>
    <t>4.7.8.4.61</t>
  </si>
  <si>
    <t>4.7.8.4.62</t>
  </si>
  <si>
    <t>4.7.8.4.63</t>
  </si>
  <si>
    <t>4.7.8.4.64</t>
  </si>
  <si>
    <t>4.7.8.4.65</t>
  </si>
  <si>
    <t>4.7.8.4.66</t>
  </si>
  <si>
    <t>4.7.8.4.67</t>
  </si>
  <si>
    <t>Projetor, led, 161 W, completo</t>
  </si>
  <si>
    <t>4.7.8.4.68</t>
  </si>
  <si>
    <t>4.7.8.4.69</t>
  </si>
  <si>
    <t>4.7.8.4.70</t>
  </si>
  <si>
    <t>4.7.8.4.71</t>
  </si>
  <si>
    <t>4.7.8.4.72</t>
  </si>
  <si>
    <t>4.7.8.4.73</t>
  </si>
  <si>
    <t>4.7.8.4.74</t>
  </si>
  <si>
    <t>Projetor, led, 216 W, completo</t>
  </si>
  <si>
    <t>4.7.8.4.75</t>
  </si>
  <si>
    <t>4.7.8.4.76</t>
  </si>
  <si>
    <t>4.7.8.4.77</t>
  </si>
  <si>
    <t>4.7.8.4.78</t>
  </si>
  <si>
    <t>4.7.8.4.79</t>
  </si>
  <si>
    <t>4.7.8.4.80</t>
  </si>
  <si>
    <t>4.7.8.5.1</t>
  </si>
  <si>
    <t>MC.038E</t>
  </si>
  <si>
    <t>Poste de concreto circular ou duplo T 12 m - 150 daN</t>
  </si>
  <si>
    <t>CMS M.70.65.050</t>
  </si>
  <si>
    <t>4.7.9.1.1</t>
  </si>
  <si>
    <t>Tomada de força, 2P+T, 15A - 220V, sobrepor, tipo industrial, para uso ao tempo</t>
  </si>
  <si>
    <t>CMS M.70.65.010</t>
  </si>
  <si>
    <t>4.7.9.1.2</t>
  </si>
  <si>
    <t>4.7.9.1.3</t>
  </si>
  <si>
    <t>4.7.9.1.4</t>
  </si>
  <si>
    <t>4.7.9.1.5</t>
  </si>
  <si>
    <t>4.7.9.1.6</t>
  </si>
  <si>
    <t>4.7.9.1.7</t>
  </si>
  <si>
    <t>4.7.9.1.8</t>
  </si>
  <si>
    <t>4.7.9.1.9</t>
  </si>
  <si>
    <t>4.7.9.1.10</t>
  </si>
  <si>
    <t>4.7.9.1.11</t>
  </si>
  <si>
    <t>4.7.9.1.12</t>
  </si>
  <si>
    <t>4.7.9.1.13</t>
  </si>
  <si>
    <t>4.7.9.1.14</t>
  </si>
  <si>
    <t>4.7.9.1.15</t>
  </si>
  <si>
    <t>4.7.9.1.16</t>
  </si>
  <si>
    <t>4.7.9.1.17</t>
  </si>
  <si>
    <t>4.7.9.1.18</t>
  </si>
  <si>
    <t>4.7.9.1.19</t>
  </si>
  <si>
    <t>Tomada de força, para máquina de solda, 3P+T, 63A, 440V, com disjuntor trifásico e bloqueio mecânico</t>
  </si>
  <si>
    <t>4.7.9.1.20</t>
  </si>
  <si>
    <t>4.7.9.1.21</t>
  </si>
  <si>
    <t>4.7.9.1.22</t>
  </si>
  <si>
    <t>4.7.9.1.23</t>
  </si>
  <si>
    <t>4.7.9.1.24</t>
  </si>
  <si>
    <t>4.7.9.1.25</t>
  </si>
  <si>
    <t>4.7.9.1.26</t>
  </si>
  <si>
    <t>4.7.9.1.27</t>
  </si>
  <si>
    <t>4.7.9.1.28</t>
  </si>
  <si>
    <t>4.7.9.1.29</t>
  </si>
  <si>
    <t>4.7.9.1.30</t>
  </si>
  <si>
    <t>4.7.9.1.31</t>
  </si>
  <si>
    <t>4.7.9.1.32</t>
  </si>
  <si>
    <t>4.7.9.1.33</t>
  </si>
  <si>
    <t>4.7.9.1.34</t>
  </si>
  <si>
    <t>4.7.9.1.35</t>
  </si>
  <si>
    <t>Tomada de força, 2P+T de 10A - 250V, montada em condulete de alumínio fundido, com rosca Ø3/4"</t>
  </si>
  <si>
    <t>CMS M.70.65.020</t>
  </si>
  <si>
    <t>4.7.9.1.36</t>
  </si>
  <si>
    <t>4.7.9.1.37</t>
  </si>
  <si>
    <t>4.7.9.1.38</t>
  </si>
  <si>
    <t>4.7.9.1.39</t>
  </si>
  <si>
    <t>4.7.9.1.40</t>
  </si>
  <si>
    <t>4.7.9.1.41</t>
  </si>
  <si>
    <t>4.7.9.1.42</t>
  </si>
  <si>
    <t>4.7.9.1.43</t>
  </si>
  <si>
    <t>4.7.9.1.44</t>
  </si>
  <si>
    <t>4.7.9.1.45</t>
  </si>
  <si>
    <t>4.7.9.1.46</t>
  </si>
  <si>
    <t>4.7.9.1.47</t>
  </si>
  <si>
    <t>4.7.9.1.48</t>
  </si>
  <si>
    <t>4.7.9.1.49</t>
  </si>
  <si>
    <t>4.7.9.2.1</t>
  </si>
  <si>
    <t>Interruptor para iluminação -1 tecla, 10A - 250V</t>
  </si>
  <si>
    <t>4.7.9.2.2</t>
  </si>
  <si>
    <t>4.7.9.2.3</t>
  </si>
  <si>
    <t>4.7.9.2.4</t>
  </si>
  <si>
    <t>4.7.9.2.5</t>
  </si>
  <si>
    <t>Botoeira de comando local  em caixa de alumínio fundido com 1 botão liga e 1 botão desliga</t>
  </si>
  <si>
    <t>4.7.9.2.6</t>
  </si>
  <si>
    <t>4.7.9.2.7</t>
  </si>
  <si>
    <t>4.7.9.2.8</t>
  </si>
  <si>
    <t>4.7.9.2.9</t>
  </si>
  <si>
    <t>4.7.9.2.10</t>
  </si>
  <si>
    <t>4.7.9.2.11</t>
  </si>
  <si>
    <t>4.7.9.2.12</t>
  </si>
  <si>
    <t>4.7.9.2.13</t>
  </si>
  <si>
    <t>4.7.9.2.14</t>
  </si>
  <si>
    <t>4.7.9.2.15</t>
  </si>
  <si>
    <t>4.7.9.2.16</t>
  </si>
  <si>
    <t>4.7.9.2.17</t>
  </si>
  <si>
    <t>4.7.9.2.18</t>
  </si>
  <si>
    <t>Botoeira de comando local  em caixa de alumínio fundido com botão de emergência tipo soco</t>
  </si>
  <si>
    <t>4.7.9.2.19</t>
  </si>
  <si>
    <t>4.7.9.2.20</t>
  </si>
  <si>
    <t>4.7.9.2.21</t>
  </si>
  <si>
    <t>4.7.9.2.22</t>
  </si>
  <si>
    <t>4.7.9.2.23</t>
  </si>
  <si>
    <t>4.7.9.2.24</t>
  </si>
  <si>
    <t>4.7.9.2.25</t>
  </si>
  <si>
    <t>4.7.9.2.26</t>
  </si>
  <si>
    <t>4.7.9.2.27</t>
  </si>
  <si>
    <t>4.7.9.2.28</t>
  </si>
  <si>
    <t>4.7.9.2.29</t>
  </si>
  <si>
    <t>4.7.9.2.30</t>
  </si>
  <si>
    <t>Relé foto-elétrico 220V - 60Hz monofásico, com base de fixação, para uso ao tempo</t>
  </si>
  <si>
    <t>1</t>
  </si>
  <si>
    <t>4.7.9.2.31</t>
  </si>
  <si>
    <t>4.7.9.2.32</t>
  </si>
  <si>
    <t>4.7.9.2.33</t>
  </si>
  <si>
    <t>4.7.9.2.34</t>
  </si>
  <si>
    <t>4.7.9.2.35</t>
  </si>
  <si>
    <t>4.7.9.2.36</t>
  </si>
  <si>
    <t>4.7.9.2.37</t>
  </si>
  <si>
    <t>4.7.9.2.38</t>
  </si>
  <si>
    <t>4.7.9.2.39</t>
  </si>
  <si>
    <t>4.7.9.2.40</t>
  </si>
  <si>
    <t>4.7.9.2.41</t>
  </si>
  <si>
    <t>4.7.9.2.42</t>
  </si>
  <si>
    <t>4.7.9.2.43</t>
  </si>
  <si>
    <t>4.7.9.2.44</t>
  </si>
  <si>
    <t>4.7.9.2.45</t>
  </si>
  <si>
    <t>4.7.9.3.1</t>
  </si>
  <si>
    <t>MC.035E</t>
  </si>
  <si>
    <t>Caixa metálica 405x275x150mm com 30 bornes</t>
  </si>
  <si>
    <t>CMS M.70.65.040</t>
  </si>
  <si>
    <t>4.7.9.3.2</t>
  </si>
  <si>
    <t>4.7.9.3.3</t>
  </si>
  <si>
    <t>4.7.9.3.4</t>
  </si>
  <si>
    <t>4.7.9.3.5</t>
  </si>
  <si>
    <t>4.7.9.3.6</t>
  </si>
  <si>
    <t>4.7.9.3.7</t>
  </si>
  <si>
    <t>4.7.9.3.8</t>
  </si>
  <si>
    <t>4.7.9.3.9</t>
  </si>
  <si>
    <t>4.7.9.3.10</t>
  </si>
  <si>
    <t>4.7.9.3.11</t>
  </si>
  <si>
    <t>4.7.9.3.12</t>
  </si>
  <si>
    <t>4.7.9.3.13</t>
  </si>
  <si>
    <t>4.7.9.3.14</t>
  </si>
  <si>
    <t>4.7.9.3.15</t>
  </si>
  <si>
    <t>4.7.9.3.16</t>
  </si>
  <si>
    <t>Caixa metálica 445x350x205mm com 50 bornes</t>
  </si>
  <si>
    <t>4.7.9.3.17</t>
  </si>
  <si>
    <t>4.7.9.3.18</t>
  </si>
  <si>
    <t>4.7.9.3.19</t>
  </si>
  <si>
    <t>4.7.9.3.20</t>
  </si>
  <si>
    <t>4.7.9.3.21</t>
  </si>
  <si>
    <t>4.7.9.3.22</t>
  </si>
  <si>
    <t>4.7.9.3.23</t>
  </si>
  <si>
    <t>4.7.9.3.24</t>
  </si>
  <si>
    <t>4.7.9.3.25</t>
  </si>
  <si>
    <t>4.7.9.3.26</t>
  </si>
  <si>
    <t>Caixas de passagem, metálica, dimensão 445x350x205mm</t>
  </si>
  <si>
    <t>4.7.9.3.27</t>
  </si>
  <si>
    <t>4.7.9.3.28</t>
  </si>
  <si>
    <t>4.7.9.3.29</t>
  </si>
  <si>
    <t>4.7.9.3.30</t>
  </si>
  <si>
    <t>4.7.9.3.31</t>
  </si>
  <si>
    <t>4.7.9.3.32</t>
  </si>
  <si>
    <t>4.7.9.3.33</t>
  </si>
  <si>
    <t>4.7.9.3.34</t>
  </si>
  <si>
    <t>4.7.9.3.35</t>
  </si>
  <si>
    <t>4.7.9.3.36</t>
  </si>
  <si>
    <t>4.7.9.3.37</t>
  </si>
  <si>
    <t>4.7.9.3.38</t>
  </si>
  <si>
    <t>Caixas de passagem, metálica, dimensão 275x275x150mm</t>
  </si>
  <si>
    <t>4.7.9.3.39</t>
  </si>
  <si>
    <t>4.7.9.3.40</t>
  </si>
  <si>
    <t>4.7.9.3.41</t>
  </si>
  <si>
    <t>4.7.9.3.42</t>
  </si>
  <si>
    <t>4.7.9.3.43</t>
  </si>
  <si>
    <t>4.7.9.3.44</t>
  </si>
  <si>
    <t>4.7.9.3.45</t>
  </si>
  <si>
    <t>4.7.9.3.46</t>
  </si>
  <si>
    <t>4.7.9.3.47</t>
  </si>
  <si>
    <t>4.7.9.3.48</t>
  </si>
  <si>
    <t>4.7.9.3.49</t>
  </si>
  <si>
    <t>4.7.9.3.50</t>
  </si>
  <si>
    <t>4.7.9.3.51</t>
  </si>
  <si>
    <t>Caixas de passagem, metálica, dimensão 395x350x205mm</t>
  </si>
  <si>
    <t>4.7.9.3.52</t>
  </si>
  <si>
    <t>4.7.9.3.53</t>
  </si>
  <si>
    <t>4.7.9.3.54</t>
  </si>
  <si>
    <t>4.7.9.3.55</t>
  </si>
  <si>
    <t>4.7.9.3.56</t>
  </si>
  <si>
    <t>4.7.9.3.57</t>
  </si>
  <si>
    <t>4.7.9.3.58</t>
  </si>
  <si>
    <t>4.7.9.3.59</t>
  </si>
  <si>
    <t>4.7.9.3.60</t>
  </si>
  <si>
    <t>4.7.9.3.61</t>
  </si>
  <si>
    <t>4.7.9.3.62</t>
  </si>
  <si>
    <t>4.7.9.3.63</t>
  </si>
  <si>
    <t>4.7.10.1.1</t>
  </si>
  <si>
    <t>MC.042E</t>
  </si>
  <si>
    <t>Terminação contratil a frio de média tensão - 4,16kV - 35mm²</t>
  </si>
  <si>
    <t>CMS M.70.10.020</t>
  </si>
  <si>
    <t>4.7.10.1.2</t>
  </si>
  <si>
    <t>4.7.10.1.3</t>
  </si>
  <si>
    <t>Terminação contratil a frio de média tensão - 4,16kV - 50mm²</t>
  </si>
  <si>
    <t>4.7.10.1.4</t>
  </si>
  <si>
    <t>Terminação contratil a frio de média tensão - 4,16kV - 95mm²</t>
  </si>
  <si>
    <t>4.7.10.1.5</t>
  </si>
  <si>
    <t>4.7.10.1.6</t>
  </si>
  <si>
    <t>Terminação contratil a frio de média tensão - 4,16kV - 120mm²</t>
  </si>
  <si>
    <t>4.7.10.1.7</t>
  </si>
  <si>
    <t>4.7.10.1.8</t>
  </si>
  <si>
    <t>Terminação contratil a frio de média tensão - 4,16kV - 185mm²</t>
  </si>
  <si>
    <t>4.7.10.1.9</t>
  </si>
  <si>
    <t>Terminação contratil a frio de média tensão - 4,16kV - 240mm²</t>
  </si>
  <si>
    <t>4.7.10.1.10</t>
  </si>
  <si>
    <t>Terminação contratil a frio de média tensão - 13,8kV - 35mm²</t>
  </si>
  <si>
    <t>4.7.10.1.11</t>
  </si>
  <si>
    <t>4.7.10.1.12</t>
  </si>
  <si>
    <t>Terminação contratil a frio de média tensão - 13,8kV - 70mm²</t>
  </si>
  <si>
    <t>4.7.10.1.13</t>
  </si>
  <si>
    <t>4.7.10.1.14</t>
  </si>
  <si>
    <t>Terminação contratil a frio de média tensão - 13,8kV - 95mm²</t>
  </si>
  <si>
    <t>4.7.10.1.15</t>
  </si>
  <si>
    <t>Terminação contratil a frio de média tensão - 13,8kV - 120mm²</t>
  </si>
  <si>
    <t>4.7.10.1.16</t>
  </si>
  <si>
    <t>Terminação contratil a frio de média tensão - 13,8kV - 150mm²</t>
  </si>
  <si>
    <t>4.7.10.1.17</t>
  </si>
  <si>
    <t>Terminação contratil a frio de média tensão - 13,8kV - 185mm²</t>
  </si>
  <si>
    <t>4.7.10.1.18</t>
  </si>
  <si>
    <t>4.7.10.1.19</t>
  </si>
  <si>
    <t>Terminação contratil a frio de média tensão - 13,8kV - 240mm²</t>
  </si>
  <si>
    <t>4.7.11.1.1</t>
  </si>
  <si>
    <t>CMS M.70.70.020</t>
  </si>
  <si>
    <t>4.7.11.1.2</t>
  </si>
  <si>
    <t>4.7.11.1.3</t>
  </si>
  <si>
    <t>4.7.11.1.4</t>
  </si>
  <si>
    <t>4.7.11.1.5</t>
  </si>
  <si>
    <t>4.7.11.1.6</t>
  </si>
  <si>
    <t>4.7.11.1.7</t>
  </si>
  <si>
    <t>4.7.11.1.8</t>
  </si>
  <si>
    <t>4.7.11.1.9</t>
  </si>
  <si>
    <t>4.7.11.1.10</t>
  </si>
  <si>
    <t>4.7.11.1.11</t>
  </si>
  <si>
    <t>4.7.11.1.12</t>
  </si>
  <si>
    <t>4.7.11.1.13</t>
  </si>
  <si>
    <t>4.7.11.1.14</t>
  </si>
  <si>
    <t>4.7.11.1.15</t>
  </si>
  <si>
    <t>4.7.11.1.16</t>
  </si>
  <si>
    <t>4.7.11.1.17</t>
  </si>
  <si>
    <t>4.7.11.1.18</t>
  </si>
  <si>
    <t>4.7.11.1.19</t>
  </si>
  <si>
    <t>4.7.11.1.20</t>
  </si>
  <si>
    <t>4.7.11.1.21</t>
  </si>
  <si>
    <t>4.7.11.1.22</t>
  </si>
  <si>
    <t>4.7.11.1.23</t>
  </si>
  <si>
    <t>4.7.11.1.24</t>
  </si>
  <si>
    <t>4.7.11.1.25</t>
  </si>
  <si>
    <t>4.7.11.1.26</t>
  </si>
  <si>
    <t>4.7.11.1.27</t>
  </si>
  <si>
    <t>4.7.11.1.28</t>
  </si>
  <si>
    <t>4.7.11.1.29</t>
  </si>
  <si>
    <t>4.7.11.1.30</t>
  </si>
  <si>
    <t>4.7.11.1.31</t>
  </si>
  <si>
    <t>4.7.11.1.32</t>
  </si>
  <si>
    <t>4.7.11.1.33</t>
  </si>
  <si>
    <t>4.7.11.1.34</t>
  </si>
  <si>
    <t>4.7.11.1.35</t>
  </si>
  <si>
    <t>4.7.11.1.36</t>
  </si>
  <si>
    <t>4.7.11.1.37</t>
  </si>
  <si>
    <t>4.7.11.1.38</t>
  </si>
  <si>
    <t>Cabo de cobre nu, Seção 50mm2</t>
  </si>
  <si>
    <t>4.7.11.1.39</t>
  </si>
  <si>
    <t>4.7.11.1.40</t>
  </si>
  <si>
    <t>4.7.11.1.41</t>
  </si>
  <si>
    <t>4.7.11.1.42</t>
  </si>
  <si>
    <t>4.7.11.1.43</t>
  </si>
  <si>
    <t>4.7.11.1.44</t>
  </si>
  <si>
    <t>4.7.11.1.45</t>
  </si>
  <si>
    <t>4.7.11.1.46</t>
  </si>
  <si>
    <t>4.7.11.1.47</t>
  </si>
  <si>
    <t>4.7.11.1.48</t>
  </si>
  <si>
    <t>4.7.11.1.49</t>
  </si>
  <si>
    <t>4.7.11.1.50</t>
  </si>
  <si>
    <t>4.7.11.1.51</t>
  </si>
  <si>
    <t>4.7.11.1.52</t>
  </si>
  <si>
    <t>4.7.11.1.53</t>
  </si>
  <si>
    <t>4.7.11.1.54</t>
  </si>
  <si>
    <t>4.7.11.1.55</t>
  </si>
  <si>
    <t>4.7.11.1.56</t>
  </si>
  <si>
    <t>4.7.11.1.57</t>
  </si>
  <si>
    <t>Cabo de cobre nu, Seção 70mm2</t>
  </si>
  <si>
    <t>4.7.11.1.58</t>
  </si>
  <si>
    <t>4.7.11.1.59</t>
  </si>
  <si>
    <t>4.7.11.1.60</t>
  </si>
  <si>
    <t>4.7.11.1.61</t>
  </si>
  <si>
    <t>4.7.11.1.62</t>
  </si>
  <si>
    <t>4.7.11.1.63</t>
  </si>
  <si>
    <t>4.7.11.1.64</t>
  </si>
  <si>
    <t>4.7.11.1.65</t>
  </si>
  <si>
    <t>4.7.11.1.66</t>
  </si>
  <si>
    <t>4.7.11.1.67</t>
  </si>
  <si>
    <t>4.7.11.1.68</t>
  </si>
  <si>
    <t>4.7.11.1.69</t>
  </si>
  <si>
    <t>4.7.11.1.70</t>
  </si>
  <si>
    <t>4.7.11.1.71</t>
  </si>
  <si>
    <t>4.7.11.1.72</t>
  </si>
  <si>
    <t>4.7.11.1.73</t>
  </si>
  <si>
    <t>4.7.11.1.74</t>
  </si>
  <si>
    <t>4.7.11.1.75</t>
  </si>
  <si>
    <t>4.7.11.1.76</t>
  </si>
  <si>
    <t>4.7.11.1.77</t>
  </si>
  <si>
    <t>4.7.11.1.78</t>
  </si>
  <si>
    <t>Eletroduto rígido em PVC, Ø2", peça de 3m, com caixa de medição com tampa aparafusada, suportes para fixação e conector tipo parafuso fendido, para instalação em descidas de Sistema de Proteção contra Descargas Atmosféricas (SPDA).</t>
  </si>
  <si>
    <t>4.7.11.1.79</t>
  </si>
  <si>
    <t>4.7.11.1.80</t>
  </si>
  <si>
    <t>4.7.11.1.81</t>
  </si>
  <si>
    <t>4.7.11.1.82</t>
  </si>
  <si>
    <t>4.7.11.1.83</t>
  </si>
  <si>
    <t>CMS M.70.70.520</t>
  </si>
  <si>
    <t>4.7.11.1.84</t>
  </si>
  <si>
    <t>4.7.12.1.1</t>
  </si>
  <si>
    <t>MC.045E</t>
  </si>
  <si>
    <t>Sistema de proteção com placas de lã de rocha e pintura ablativa</t>
  </si>
  <si>
    <t>CMS M.70.80.000</t>
  </si>
  <si>
    <t>4.7.12.1.2</t>
  </si>
  <si>
    <t>4.7.12.1.3</t>
  </si>
  <si>
    <t>4.8.1.1.1</t>
  </si>
  <si>
    <t>4.8.1.1.2</t>
  </si>
  <si>
    <t>4.8.1.1.3</t>
  </si>
  <si>
    <t>4.8.1.1.4</t>
  </si>
  <si>
    <t>4.8.1.1.5</t>
  </si>
  <si>
    <t>4.8.1.1.6</t>
  </si>
  <si>
    <t>4.8.1.1.7</t>
  </si>
  <si>
    <t>4.8.1.1.8</t>
  </si>
  <si>
    <t>4.8.1.1.9</t>
  </si>
  <si>
    <t>4.8.1.1.10</t>
  </si>
  <si>
    <t>4.8.1.1.11</t>
  </si>
  <si>
    <t>4.8.1.1.12</t>
  </si>
  <si>
    <t>4.8.1.1.13</t>
  </si>
  <si>
    <t>4.8.1.1.14</t>
  </si>
  <si>
    <t>4.8.1.1.15</t>
  </si>
  <si>
    <t>4.8.1.1.16</t>
  </si>
  <si>
    <t>4.8.1.1.17</t>
  </si>
  <si>
    <t>4.8.1.1.18</t>
  </si>
  <si>
    <t>4.8.1.1.19</t>
  </si>
  <si>
    <t>4.8.1.1.20</t>
  </si>
  <si>
    <t>4.8.1.1.21</t>
  </si>
  <si>
    <t>4.8.1.1.22</t>
  </si>
  <si>
    <t>4.8.1.1.23</t>
  </si>
  <si>
    <t>4.8.1.1.24</t>
  </si>
  <si>
    <t>4.8.1.1.25</t>
  </si>
  <si>
    <t>4.8.1.1.26</t>
  </si>
  <si>
    <t>2324</t>
  </si>
  <si>
    <t>4.8.1.1.27</t>
  </si>
  <si>
    <t>4.8.1.1.28</t>
  </si>
  <si>
    <t>4.8.1.1.29</t>
  </si>
  <si>
    <t>8000</t>
  </si>
  <si>
    <t>4.8.1.1.30</t>
  </si>
  <si>
    <t>Estrutura metálica média ou perfilados (25@80kg/m) ASTM A36</t>
  </si>
  <si>
    <t>4.8.1.1.31</t>
  </si>
  <si>
    <t>4.8.1.1.32</t>
  </si>
  <si>
    <t>4.8.1.1.33</t>
  </si>
  <si>
    <t>4.8.1.1.34</t>
  </si>
  <si>
    <t>4.8.1.1.35</t>
  </si>
  <si>
    <t>4.8.1.1.36</t>
  </si>
  <si>
    <t>4.8.1.1.37</t>
  </si>
  <si>
    <t>Estrutura metálica pesada ou perfilados (&gt; 80kg/m) ASTM A572 Gr50</t>
  </si>
  <si>
    <t>4.8.1.1.38</t>
  </si>
  <si>
    <t>4.8.1.1.39</t>
  </si>
  <si>
    <t>4.8.1.1.40</t>
  </si>
  <si>
    <t>4.8.1.1.41</t>
  </si>
  <si>
    <t>4.8.1.1.42</t>
  </si>
  <si>
    <t>4.8.1.1.43</t>
  </si>
  <si>
    <t>4.8.1.1.44</t>
  </si>
  <si>
    <t>MC.014S</t>
  </si>
  <si>
    <t>CMS M.75.10.010</t>
  </si>
  <si>
    <t>4.8.1.1.45</t>
  </si>
  <si>
    <t>4.8.1.2.1</t>
  </si>
  <si>
    <t>4.8.1.2.2</t>
  </si>
  <si>
    <t>4.8.1.2.3</t>
  </si>
  <si>
    <t>4.8.1.2.4</t>
  </si>
  <si>
    <t>4.8.1.2.5</t>
  </si>
  <si>
    <t>4.8.1.2.6</t>
  </si>
  <si>
    <t>4.8.1.2.7</t>
  </si>
  <si>
    <t>4.8.1.2.8</t>
  </si>
  <si>
    <t>4.8.1.2.9</t>
  </si>
  <si>
    <t>4.8.1.2.10</t>
  </si>
  <si>
    <t>4.8.1.2.11</t>
  </si>
  <si>
    <t>4.8.1.2.12</t>
  </si>
  <si>
    <t>4.8.1.2.13</t>
  </si>
  <si>
    <t>4.8.1.2.14</t>
  </si>
  <si>
    <t>4.8.1.2.15</t>
  </si>
  <si>
    <t>4.8.1.2.16</t>
  </si>
  <si>
    <t>4.8.1.2.17</t>
  </si>
  <si>
    <t>4.8.1.2.18</t>
  </si>
  <si>
    <t>4.8.1.2.19</t>
  </si>
  <si>
    <t>4.8.1.2.20</t>
  </si>
  <si>
    <t>4.8.1.2.21</t>
  </si>
  <si>
    <t>4.8.1.2.22</t>
  </si>
  <si>
    <t>4.8.1.2.23</t>
  </si>
  <si>
    <t>4.8.1.2.24</t>
  </si>
  <si>
    <t>4.8.1.2.25</t>
  </si>
  <si>
    <t>4.8.1.2.26</t>
  </si>
  <si>
    <t>4.8.1.2.27</t>
  </si>
  <si>
    <t>4.8.1.2.28</t>
  </si>
  <si>
    <t>4.8.1.2.29</t>
  </si>
  <si>
    <t>4.8.1.2.30</t>
  </si>
  <si>
    <t>4.8.1.2.31</t>
  </si>
  <si>
    <t>4.8.1.2.32</t>
  </si>
  <si>
    <t>4.8.1.2.33</t>
  </si>
  <si>
    <t>4.8.1.2.34</t>
  </si>
  <si>
    <t>4.8.1.2.35</t>
  </si>
  <si>
    <t>4.8.1.2.36</t>
  </si>
  <si>
    <t>4.8.1.2.37</t>
  </si>
  <si>
    <t>4.8.1.2.38</t>
  </si>
  <si>
    <t>4.8.1.2.39</t>
  </si>
  <si>
    <t>4.8.1.2.40</t>
  </si>
  <si>
    <t>4.8.1.2.41</t>
  </si>
  <si>
    <t>4.8.1.2.42</t>
  </si>
  <si>
    <t>4.8.1.2.43</t>
  </si>
  <si>
    <t>4.8.1.2.44</t>
  </si>
  <si>
    <t>4.8.1.2.45</t>
  </si>
  <si>
    <t>4.8.1.2.46</t>
  </si>
  <si>
    <t>4.8.1.2.47</t>
  </si>
  <si>
    <t>4.8.1.2.48</t>
  </si>
  <si>
    <t>4.8.1.2.49</t>
  </si>
  <si>
    <t>4.8.1.2.50</t>
  </si>
  <si>
    <t>4.8.1.2.51</t>
  </si>
  <si>
    <t>4.8.1.2.52</t>
  </si>
  <si>
    <t>4.8.1.2.53</t>
  </si>
  <si>
    <t>4.8.1.2.54</t>
  </si>
  <si>
    <t>4.8.1.2.55</t>
  </si>
  <si>
    <t>4.8.1.2.56</t>
  </si>
  <si>
    <t>4.8.1.2.57</t>
  </si>
  <si>
    <t>4.8.1.2.58</t>
  </si>
  <si>
    <t>4.8.1.2.59</t>
  </si>
  <si>
    <t>4.8.1.2.60</t>
  </si>
  <si>
    <t>4.8.1.2.61</t>
  </si>
  <si>
    <t>4.8.1.2.62</t>
  </si>
  <si>
    <t>4.8.1.2.63</t>
  </si>
  <si>
    <t>4.8.1.2.64</t>
  </si>
  <si>
    <t>4.8.1.2.65</t>
  </si>
  <si>
    <t>4.8.1.2.66</t>
  </si>
  <si>
    <t>4.8.1.2.67</t>
  </si>
  <si>
    <t>4.8.1.2.68</t>
  </si>
  <si>
    <t>4.8.1.2.69</t>
  </si>
  <si>
    <t>Estrutura metálica média ou perfilados (25@80kg/m) ASTM A572 Gr50 - Fornecimento, fabricação e montagem do chassi metálico para montagem do MO-2305SA-02</t>
  </si>
  <si>
    <t>4.8.1.2.70</t>
  </si>
  <si>
    <t>Estrutura metálica média ou perfilados (25@80kg/m) ASTM A572 Gr50 - Fornecimento, fabricação e montagem do chassi metálico para montagem do MO-2305SA-01</t>
  </si>
  <si>
    <t>4.8.1.2.71</t>
  </si>
  <si>
    <t>4.8.1.2.72</t>
  </si>
  <si>
    <t>4.8.1.2.73</t>
  </si>
  <si>
    <t>4.8.1.2.74</t>
  </si>
  <si>
    <t>4.8.1.3.1</t>
  </si>
  <si>
    <t>4.8.1.3.2</t>
  </si>
  <si>
    <t>4.8.1.3.3</t>
  </si>
  <si>
    <t>4.8.1.3.4</t>
  </si>
  <si>
    <t>4.8.1.3.5</t>
  </si>
  <si>
    <t>4.8.1.3.6</t>
  </si>
  <si>
    <t>4.8.1.3.7</t>
  </si>
  <si>
    <t>4.8.1.3.8</t>
  </si>
  <si>
    <t>4.8.1.3.9</t>
  </si>
  <si>
    <t>4.8.1.3.10</t>
  </si>
  <si>
    <t>4.8.1.3.11</t>
  </si>
  <si>
    <t>4.8.1.3.12</t>
  </si>
  <si>
    <t>4.8.1.3.13</t>
  </si>
  <si>
    <t>4.8.1.3.14</t>
  </si>
  <si>
    <t>4.8.1.3.15</t>
  </si>
  <si>
    <t>4.8.1.3.16</t>
  </si>
  <si>
    <t>4.8.1.3.17</t>
  </si>
  <si>
    <t>4.8.1.3.18</t>
  </si>
  <si>
    <t>4.8.1.3.19</t>
  </si>
  <si>
    <t>4.8.1.3.20</t>
  </si>
  <si>
    <t>4.8.1.3.21</t>
  </si>
  <si>
    <t>4.8.1.3.22</t>
  </si>
  <si>
    <t>4.8.1.3.23</t>
  </si>
  <si>
    <t>4.8.1.3.24</t>
  </si>
  <si>
    <t>4.8.1.3.25</t>
  </si>
  <si>
    <t>4.8.1.3.26</t>
  </si>
  <si>
    <t>4.8.1.3.27</t>
  </si>
  <si>
    <t>4.8.1.4.1</t>
  </si>
  <si>
    <t>Estrutura metálica leve ou perfilados (até 25kg/m) ASTM A570 Gr33 (ou Gr50)</t>
  </si>
  <si>
    <t>4.8.1.4.2</t>
  </si>
  <si>
    <t>4.8.1.4.3</t>
  </si>
  <si>
    <t>4.8.1.4.4</t>
  </si>
  <si>
    <t>4.8.1.4.5</t>
  </si>
  <si>
    <t>4.8.1.4.6</t>
  </si>
  <si>
    <t>4.8.1.4.7</t>
  </si>
  <si>
    <t>4.8.1.4.8</t>
  </si>
  <si>
    <t>4.8.1.4.9</t>
  </si>
  <si>
    <t>4.8.1.4.10</t>
  </si>
  <si>
    <t>4.8.1.4.11</t>
  </si>
  <si>
    <t>4.8.1.4.12</t>
  </si>
  <si>
    <t>4.8.1.4.13</t>
  </si>
  <si>
    <t>4.8.1.4.14</t>
  </si>
  <si>
    <t>4.8.1.4.15</t>
  </si>
  <si>
    <t>4.8.1.4.16</t>
  </si>
  <si>
    <t>4.8.1.4.17</t>
  </si>
  <si>
    <t>4.8.1.4.18</t>
  </si>
  <si>
    <t>4.8.1.5.1</t>
  </si>
  <si>
    <t>MC.015S</t>
  </si>
  <si>
    <t>Grade de piso altura 25 mm ASTM A36</t>
  </si>
  <si>
    <t>CMS M.75.20.000</t>
  </si>
  <si>
    <t>4.8.1.5.2</t>
  </si>
  <si>
    <t>4.8.1.5.3</t>
  </si>
  <si>
    <t>4.8.1.5.4</t>
  </si>
  <si>
    <t>4.8.1.5.5</t>
  </si>
  <si>
    <t>4.8.1.5.6</t>
  </si>
  <si>
    <t>4.8.1.5.7</t>
  </si>
  <si>
    <t>4.8.1.5.8</t>
  </si>
  <si>
    <t>4.8.1.5.9</t>
  </si>
  <si>
    <t>4.8.1.5.10</t>
  </si>
  <si>
    <t>4.8.1.5.11</t>
  </si>
  <si>
    <t>4.8.1.5.12</t>
  </si>
  <si>
    <t>4.8.1.5.13</t>
  </si>
  <si>
    <t>4.8.1.5.14</t>
  </si>
  <si>
    <t>4.8.1.5.15</t>
  </si>
  <si>
    <t>4.8.1.5.16</t>
  </si>
  <si>
    <t>4.8.1.5.17</t>
  </si>
  <si>
    <t>4.8.1.5.18</t>
  </si>
  <si>
    <t>MC.016S</t>
  </si>
  <si>
    <t>CMS M.75.20.010</t>
  </si>
  <si>
    <t>4.8.1.5.19</t>
  </si>
  <si>
    <t>4.8.1.6.1</t>
  </si>
  <si>
    <t>Chapa xadrez espessura 6,3 mm ASTM A36</t>
  </si>
  <si>
    <t>4.8.1.6.2</t>
  </si>
  <si>
    <t>4.8.1.6.3</t>
  </si>
  <si>
    <t>4.8.1.6.4</t>
  </si>
  <si>
    <t>4.8.1.7.1</t>
  </si>
  <si>
    <t>Miscelâneas Metálicas, inclusive Pintura de Fundo</t>
  </si>
  <si>
    <t>CMS M.75.30.000</t>
  </si>
  <si>
    <t>4.8.1.7.2</t>
  </si>
  <si>
    <t>4.8.1.7.3</t>
  </si>
  <si>
    <t>Miscelâneas Metálicas, inclusive Pintura de Acabamento</t>
  </si>
  <si>
    <t>4.8.1.7.4</t>
  </si>
  <si>
    <t>4.8.1.7.5</t>
  </si>
  <si>
    <t>4.8.1.7.6</t>
  </si>
  <si>
    <t>4.8.1.7.7</t>
  </si>
  <si>
    <t>4.8.1.7.8</t>
  </si>
  <si>
    <t>4.8.1.7.9</t>
  </si>
  <si>
    <t>4.8.1.7.10</t>
  </si>
  <si>
    <t>4.8.1.7.11</t>
  </si>
  <si>
    <t>4.8.1.7.12</t>
  </si>
  <si>
    <t>4.8.1.7.13</t>
  </si>
  <si>
    <t>4.8.1.7.14</t>
  </si>
  <si>
    <t>4.8.1.7.15</t>
  </si>
  <si>
    <t>4.8.1.7.16</t>
  </si>
  <si>
    <t>4.8.1.7.17</t>
  </si>
  <si>
    <t>4.8.1.7.18</t>
  </si>
  <si>
    <t>4.8.1.7.19</t>
  </si>
  <si>
    <t>4.8.1.7.20</t>
  </si>
  <si>
    <t>4.8.1.7.21</t>
  </si>
  <si>
    <t>4.8.1.7.22</t>
  </si>
  <si>
    <t>4.8.1.7.23</t>
  </si>
  <si>
    <t>4.8.1.7.24</t>
  </si>
  <si>
    <t>4.8.1.7.25</t>
  </si>
  <si>
    <t>4.8.1.7.26</t>
  </si>
  <si>
    <t>4.8.1.7.27</t>
  </si>
  <si>
    <t>4.8.1.7.28</t>
  </si>
  <si>
    <t>4.8.1.7.29</t>
  </si>
  <si>
    <t>4.8.1.7.30</t>
  </si>
  <si>
    <t>4.8.1.7.31</t>
  </si>
  <si>
    <t>4.8.1.7.32</t>
  </si>
  <si>
    <t>MC.032T</t>
  </si>
  <si>
    <t>Miscelâneas Metálicas – Suporte para Tubulações</t>
  </si>
  <si>
    <t>CMS M.75.40.000</t>
  </si>
  <si>
    <t>4.8.1.7.33</t>
  </si>
  <si>
    <t>4.8.1.7.34</t>
  </si>
  <si>
    <t>4.8.1.7.35</t>
  </si>
  <si>
    <t>4.8.1.7.36</t>
  </si>
  <si>
    <t>4.8.1.7.37</t>
  </si>
  <si>
    <t>4.8.1.7.38</t>
  </si>
  <si>
    <t>4.8.1.7.39</t>
  </si>
  <si>
    <t>4.8.1.7.40</t>
  </si>
  <si>
    <t>4.8.1.7.41</t>
  </si>
  <si>
    <t>4.8.1.7.42</t>
  </si>
  <si>
    <t>4.8.1.7.43</t>
  </si>
  <si>
    <t>4.8.1.7.44</t>
  </si>
  <si>
    <t>4.8.1.7.45</t>
  </si>
  <si>
    <t>4.8.1.7.46</t>
  </si>
  <si>
    <t>4.8.1.7.47</t>
  </si>
  <si>
    <t>4.8.1.7.48</t>
  </si>
  <si>
    <t>4.8.1.7.49</t>
  </si>
  <si>
    <t>MC.017S</t>
  </si>
  <si>
    <t>CMS M.75.30.010</t>
  </si>
  <si>
    <t>4.8.1.7.50</t>
  </si>
  <si>
    <t>4.8.2.1.1</t>
  </si>
  <si>
    <t>MC.018S</t>
  </si>
  <si>
    <t>Cobertura completa incluindo rufos, contra rufos, acessórios de vedação e fechamento em telhas de chapa de aço galvanizada espessura de 0,65 mm, inclusive pintura.</t>
  </si>
  <si>
    <t>CMS M.75.15.000</t>
  </si>
  <si>
    <t>4.8.2.1.2</t>
  </si>
  <si>
    <t>4.8.2.1.3</t>
  </si>
  <si>
    <t>4.8.2.1.4</t>
  </si>
  <si>
    <t>4.8.2.1.5</t>
  </si>
  <si>
    <t>4.8.2.1.6</t>
  </si>
  <si>
    <t>4.8.2.1.7</t>
  </si>
  <si>
    <t>4.8.2.1.8</t>
  </si>
  <si>
    <t>4.8.2.1.9</t>
  </si>
  <si>
    <t>4.8.2.1.10</t>
  </si>
  <si>
    <t>4.8.2.1.11</t>
  </si>
  <si>
    <t>4.8.2.1.12</t>
  </si>
  <si>
    <t>4.8.2.1.13</t>
  </si>
  <si>
    <t>4.8.2.1.14</t>
  </si>
  <si>
    <t>4.8.2.1.15</t>
  </si>
  <si>
    <t>4.8.2.1.16</t>
  </si>
  <si>
    <t>4.8.2.1.17</t>
  </si>
  <si>
    <t>Tapamento lateral incluindo rufos, contra rufos, acessórios de vedação e fechamento em telhas de chapa de aço galvanizada espessura de 0,65 mm, inclusive pintura.</t>
  </si>
  <si>
    <t>4.8.2.1.18</t>
  </si>
  <si>
    <t>4.8.2.1.19</t>
  </si>
  <si>
    <t>4.8.2.1.20</t>
  </si>
  <si>
    <t>4.8.2.1.21</t>
  </si>
  <si>
    <t>4.8.2.1.22</t>
  </si>
  <si>
    <t>4.8.2.1.23</t>
  </si>
  <si>
    <t>4.8.2.1.24</t>
  </si>
  <si>
    <t>4.8.2.1.25</t>
  </si>
  <si>
    <t>Cobertura completa incluindo rufos, contra rufos, acessórios de vedação e fechamento em telhas translúcidas</t>
  </si>
  <si>
    <t>4.8.2.1.26</t>
  </si>
  <si>
    <t>4.8.2.1.27</t>
  </si>
  <si>
    <t>Tapamento completo incluindo rufos, contra rufos, acessórios de vedação e fechamento em telhas translúcidas</t>
  </si>
  <si>
    <t>4.8.2.1.28</t>
  </si>
  <si>
    <t>4.8.2.1.29</t>
  </si>
  <si>
    <t>4.9.1.1.1</t>
  </si>
  <si>
    <t>Certificação de Redes de Comunicação em fibra óptica - MEM 01</t>
  </si>
  <si>
    <t>4.9.1.1.2</t>
  </si>
  <si>
    <t>Fusão em cabo de fibra óptica - MEM 01</t>
  </si>
  <si>
    <t>4.9.1.2.1</t>
  </si>
  <si>
    <t>Certificação de Redes de Comunicação em cabeamento metálico UTP - MEM 01</t>
  </si>
  <si>
    <t>Suspensão parcial do contrato, COVID-19 - Abril 2020</t>
  </si>
  <si>
    <t>Descritivo</t>
  </si>
  <si>
    <t>Geral</t>
  </si>
  <si>
    <t>Evento 01</t>
  </si>
  <si>
    <t>Evento 02</t>
  </si>
  <si>
    <t>Evento 03</t>
  </si>
  <si>
    <t>Evento 04</t>
  </si>
  <si>
    <t>Evento 05</t>
  </si>
  <si>
    <t>Evento 06</t>
  </si>
  <si>
    <t>Evento 07</t>
  </si>
  <si>
    <t>Percentual Financeiro</t>
  </si>
  <si>
    <t>Percentual Fisico</t>
  </si>
  <si>
    <t>.</t>
  </si>
  <si>
    <t>CWP-321B</t>
  </si>
  <si>
    <t>739D</t>
  </si>
  <si>
    <t>W310X38.7-ASTM-A572 GR.50</t>
  </si>
  <si>
    <t>739F</t>
  </si>
  <si>
    <t>741E</t>
  </si>
  <si>
    <t>PS700X168-ASTM-A572 GR.50</t>
  </si>
  <si>
    <t>742A</t>
  </si>
  <si>
    <t>742E</t>
  </si>
  <si>
    <t>742F</t>
  </si>
  <si>
    <t>742G</t>
  </si>
  <si>
    <t>742H</t>
  </si>
  <si>
    <t>PS700X129-ASTM-A572 GR.50</t>
  </si>
  <si>
    <t>743A</t>
  </si>
  <si>
    <t>PS900X238-ASTM-A572 GR.50</t>
  </si>
  <si>
    <t>745B</t>
  </si>
  <si>
    <t>745D</t>
  </si>
  <si>
    <t>CH.12,5-ASTM-A572 GR.50</t>
  </si>
  <si>
    <t>745P</t>
  </si>
  <si>
    <t>745R</t>
  </si>
  <si>
    <t>CH.6,3-ASTM-A572 GR.50</t>
  </si>
  <si>
    <t>739A</t>
  </si>
  <si>
    <t>W460X60.0-ASTM-A572 GR.50</t>
  </si>
  <si>
    <t>739G</t>
  </si>
  <si>
    <t>742B</t>
  </si>
  <si>
    <t>742C</t>
  </si>
  <si>
    <t>745A</t>
  </si>
  <si>
    <t>745S</t>
  </si>
  <si>
    <t>739B</t>
  </si>
  <si>
    <t>741B</t>
  </si>
  <si>
    <t>741C</t>
  </si>
  <si>
    <t>745E</t>
  </si>
  <si>
    <t>745K</t>
  </si>
  <si>
    <t>745L</t>
  </si>
  <si>
    <t>740A</t>
  </si>
  <si>
    <t>740E</t>
  </si>
  <si>
    <t>740G</t>
  </si>
  <si>
    <t>740D</t>
  </si>
  <si>
    <t>741A</t>
  </si>
  <si>
    <t>741D</t>
  </si>
  <si>
    <t>739C</t>
  </si>
  <si>
    <t>CWP-321C</t>
  </si>
  <si>
    <t>763A</t>
  </si>
  <si>
    <t>763D</t>
  </si>
  <si>
    <t>767F</t>
  </si>
  <si>
    <t>768F</t>
  </si>
  <si>
    <t>768H</t>
  </si>
  <si>
    <t>768P</t>
  </si>
  <si>
    <t>763F</t>
  </si>
  <si>
    <t>764D</t>
  </si>
  <si>
    <t>765A</t>
  </si>
  <si>
    <t>765C</t>
  </si>
  <si>
    <t>767B</t>
  </si>
  <si>
    <t>768C</t>
  </si>
  <si>
    <t>768K</t>
  </si>
  <si>
    <t>768M</t>
  </si>
  <si>
    <t>768T</t>
  </si>
  <si>
    <t>763B</t>
  </si>
  <si>
    <t>763C</t>
  </si>
  <si>
    <t>767D</t>
  </si>
  <si>
    <t>764E</t>
  </si>
  <si>
    <t>764F</t>
  </si>
  <si>
    <t>767E</t>
  </si>
  <si>
    <t>767H</t>
  </si>
  <si>
    <t>767C</t>
  </si>
  <si>
    <t>767G</t>
  </si>
  <si>
    <t>765B</t>
  </si>
  <si>
    <t>765D</t>
  </si>
  <si>
    <t>768D</t>
  </si>
  <si>
    <t>CWP-321D</t>
  </si>
  <si>
    <t>881D</t>
  </si>
  <si>
    <t>882C</t>
  </si>
  <si>
    <t>W610X113.0-ASTM-A572 GR.50</t>
  </si>
  <si>
    <t>883B</t>
  </si>
  <si>
    <t>W460X52.0-ASTM-A572 GR.50</t>
  </si>
  <si>
    <t>884C</t>
  </si>
  <si>
    <t>886B</t>
  </si>
  <si>
    <t>W310X44.5-ASTM-A572 GR.50</t>
  </si>
  <si>
    <t>886L</t>
  </si>
  <si>
    <t>W360X39.0-ASTM-A572 GR.50</t>
  </si>
  <si>
    <t>897AP</t>
  </si>
  <si>
    <t>897U</t>
  </si>
  <si>
    <t>897V</t>
  </si>
  <si>
    <t>897W</t>
  </si>
  <si>
    <t>897Z</t>
  </si>
  <si>
    <t>880E</t>
  </si>
  <si>
    <t>881C</t>
  </si>
  <si>
    <t>PS900X205-ASTM-A572 GR.50</t>
  </si>
  <si>
    <t>882E</t>
  </si>
  <si>
    <t>883H</t>
  </si>
  <si>
    <t>886K</t>
  </si>
  <si>
    <t>CWP-320A</t>
  </si>
  <si>
    <t>728D</t>
  </si>
  <si>
    <t>PS900X177-ASTM-A572 GR.50</t>
  </si>
  <si>
    <t>728F</t>
  </si>
  <si>
    <t>728L</t>
  </si>
  <si>
    <t>730C</t>
  </si>
  <si>
    <t>PS900X348-ASTM-A572 GR.50</t>
  </si>
  <si>
    <t>731C</t>
  </si>
  <si>
    <t>731D</t>
  </si>
  <si>
    <t>733C</t>
  </si>
  <si>
    <t>733D</t>
  </si>
  <si>
    <t>734A</t>
  </si>
  <si>
    <t>734E</t>
  </si>
  <si>
    <t>736B</t>
  </si>
  <si>
    <t>736C</t>
  </si>
  <si>
    <t>736H</t>
  </si>
  <si>
    <t>784G</t>
  </si>
  <si>
    <t>728B</t>
  </si>
  <si>
    <t>W530X82.0-ASTM-A572 GR.50</t>
  </si>
  <si>
    <t>728E</t>
  </si>
  <si>
    <t>728G</t>
  </si>
  <si>
    <t>730D</t>
  </si>
  <si>
    <t>730E</t>
  </si>
  <si>
    <t>731A</t>
  </si>
  <si>
    <t>731B</t>
  </si>
  <si>
    <t>734D</t>
  </si>
  <si>
    <t>734F</t>
  </si>
  <si>
    <t>734L</t>
  </si>
  <si>
    <t>735E</t>
  </si>
  <si>
    <t>WT125X36,5-ASTM-A572 GR.50</t>
  </si>
  <si>
    <t>736A</t>
  </si>
  <si>
    <t>771A</t>
  </si>
  <si>
    <t>TRILHO</t>
  </si>
  <si>
    <t>785Z</t>
  </si>
  <si>
    <t>CONTRAVEN</t>
  </si>
  <si>
    <t>L102X8,0-ASTM-A36</t>
  </si>
  <si>
    <t>728A</t>
  </si>
  <si>
    <t>730B</t>
  </si>
  <si>
    <t>730F</t>
  </si>
  <si>
    <t>729E</t>
  </si>
  <si>
    <t>730A</t>
  </si>
  <si>
    <t>732A</t>
  </si>
  <si>
    <t>734C</t>
  </si>
  <si>
    <t>734H</t>
  </si>
  <si>
    <t>734K</t>
  </si>
  <si>
    <t>732B</t>
  </si>
  <si>
    <t>728C</t>
  </si>
  <si>
    <t>731E</t>
  </si>
  <si>
    <t>731F</t>
  </si>
  <si>
    <t>732C</t>
  </si>
  <si>
    <t>734B</t>
  </si>
  <si>
    <t>W530X66.0-ASTM-A572 GR.50</t>
  </si>
  <si>
    <t>734G</t>
  </si>
  <si>
    <t>734M</t>
  </si>
  <si>
    <t>728K</t>
  </si>
  <si>
    <t>732D</t>
  </si>
  <si>
    <t>PS900X255-ASTM-A572 GR.50</t>
  </si>
  <si>
    <t>735C</t>
  </si>
  <si>
    <t>736K</t>
  </si>
  <si>
    <t>736L</t>
  </si>
  <si>
    <t>COD</t>
  </si>
  <si>
    <t>Marca</t>
  </si>
  <si>
    <t>TAG REVISADO</t>
  </si>
  <si>
    <t>3.2</t>
  </si>
  <si>
    <t>702A</t>
  </si>
  <si>
    <t>COLUNA</t>
  </si>
  <si>
    <t>CVS700x232-ASTM-A572 GR.50</t>
  </si>
  <si>
    <t>704A</t>
  </si>
  <si>
    <t>705A</t>
  </si>
  <si>
    <t>706A</t>
  </si>
  <si>
    <t>707A</t>
  </si>
  <si>
    <t>708A</t>
  </si>
  <si>
    <t>709A</t>
  </si>
  <si>
    <t>710A</t>
  </si>
  <si>
    <t>711A</t>
  </si>
  <si>
    <t>712A</t>
  </si>
  <si>
    <t>713A</t>
  </si>
  <si>
    <t>714A-REV.1</t>
  </si>
  <si>
    <t>714A</t>
  </si>
  <si>
    <t>717A</t>
  </si>
  <si>
    <t>W200X46.1-ASTM-A572 GR.50</t>
  </si>
  <si>
    <t>717B</t>
  </si>
  <si>
    <t>717C</t>
  </si>
  <si>
    <t>717D</t>
  </si>
  <si>
    <t>717E</t>
  </si>
  <si>
    <t>717F</t>
  </si>
  <si>
    <t>717G</t>
  </si>
  <si>
    <t>W200X35.9-ASTM-A572 GR.50</t>
  </si>
  <si>
    <t>718B</t>
  </si>
  <si>
    <t>718C</t>
  </si>
  <si>
    <t>718D</t>
  </si>
  <si>
    <t>718E</t>
  </si>
  <si>
    <t>715A</t>
  </si>
  <si>
    <t>715E</t>
  </si>
  <si>
    <t>3.1</t>
  </si>
  <si>
    <t>719A</t>
  </si>
  <si>
    <t>CVS700x278-ASTM-A572 GR.50</t>
  </si>
  <si>
    <t>720A</t>
  </si>
  <si>
    <t>721A</t>
  </si>
  <si>
    <t>722A</t>
  </si>
  <si>
    <t>723A</t>
  </si>
  <si>
    <t>724A</t>
  </si>
  <si>
    <t>725A</t>
  </si>
  <si>
    <t>726A</t>
  </si>
  <si>
    <t>727A</t>
  </si>
  <si>
    <t>CVS800x310-ASTM-A572 GR.50</t>
  </si>
  <si>
    <t>729A</t>
  </si>
  <si>
    <t>PS900X226-ASTM-A572 GR.50</t>
  </si>
  <si>
    <t>729B</t>
  </si>
  <si>
    <t>729C</t>
  </si>
  <si>
    <t>729D</t>
  </si>
  <si>
    <t>733A</t>
  </si>
  <si>
    <t>733B</t>
  </si>
  <si>
    <t>735A</t>
  </si>
  <si>
    <t>HP250X62.0-ASTM-A572 GR.50</t>
  </si>
  <si>
    <t>735B</t>
  </si>
  <si>
    <t>735D</t>
  </si>
  <si>
    <t>W610X174.0-ASTM-A572 GR.50</t>
  </si>
  <si>
    <t>736D</t>
  </si>
  <si>
    <t>736E</t>
  </si>
  <si>
    <t>736F</t>
  </si>
  <si>
    <t>736G</t>
  </si>
  <si>
    <t>737A</t>
  </si>
  <si>
    <t>737B</t>
  </si>
  <si>
    <t>737C</t>
  </si>
  <si>
    <t>737D</t>
  </si>
  <si>
    <t>738A</t>
  </si>
  <si>
    <t>738B</t>
  </si>
  <si>
    <t>738C</t>
  </si>
  <si>
    <t>3.3</t>
  </si>
  <si>
    <t>739E</t>
  </si>
  <si>
    <t>740B</t>
  </si>
  <si>
    <t>740C</t>
  </si>
  <si>
    <t>740F</t>
  </si>
  <si>
    <t>742D</t>
  </si>
  <si>
    <t>743B</t>
  </si>
  <si>
    <t>743C</t>
  </si>
  <si>
    <t>743D</t>
  </si>
  <si>
    <t>743E</t>
  </si>
  <si>
    <t>744A</t>
  </si>
  <si>
    <t>744B</t>
  </si>
  <si>
    <t>745C</t>
  </si>
  <si>
    <t>745F</t>
  </si>
  <si>
    <t>745G</t>
  </si>
  <si>
    <t>CH.19-ASTM-A572 GR.50</t>
  </si>
  <si>
    <t>745H</t>
  </si>
  <si>
    <t>745M</t>
  </si>
  <si>
    <t>745N</t>
  </si>
  <si>
    <t>746A</t>
  </si>
  <si>
    <t>3.6</t>
  </si>
  <si>
    <t>747A</t>
  </si>
  <si>
    <t>748A</t>
  </si>
  <si>
    <t>749A</t>
  </si>
  <si>
    <t>750A</t>
  </si>
  <si>
    <t>751A</t>
  </si>
  <si>
    <t>752A</t>
  </si>
  <si>
    <t>753A</t>
  </si>
  <si>
    <t>754A</t>
  </si>
  <si>
    <t>755A</t>
  </si>
  <si>
    <t>756A</t>
  </si>
  <si>
    <t>757A</t>
  </si>
  <si>
    <t>758A</t>
  </si>
  <si>
    <t>759A</t>
  </si>
  <si>
    <t>760A</t>
  </si>
  <si>
    <t>761A</t>
  </si>
  <si>
    <t>762A</t>
  </si>
  <si>
    <t>763E</t>
  </si>
  <si>
    <t>766A</t>
  </si>
  <si>
    <t>766B</t>
  </si>
  <si>
    <t>W360X44.0-ASTM-A572 GR.50</t>
  </si>
  <si>
    <t>766C</t>
  </si>
  <si>
    <t>W200X26.6-ASTM-A572 GR.50</t>
  </si>
  <si>
    <t>766D</t>
  </si>
  <si>
    <t>766E</t>
  </si>
  <si>
    <t>766F</t>
  </si>
  <si>
    <t>766G</t>
  </si>
  <si>
    <t>766H</t>
  </si>
  <si>
    <t>766K</t>
  </si>
  <si>
    <t>767K</t>
  </si>
  <si>
    <t>767L</t>
  </si>
  <si>
    <t>W150X22.5-ASTM-A572 GR.50</t>
  </si>
  <si>
    <t>767M</t>
  </si>
  <si>
    <t>L76X6,3-ASTM-A36</t>
  </si>
  <si>
    <t>767N</t>
  </si>
  <si>
    <t>767P</t>
  </si>
  <si>
    <t>767R</t>
  </si>
  <si>
    <t>768A</t>
  </si>
  <si>
    <t>FC76X8-ASTM-A36</t>
  </si>
  <si>
    <t>768B</t>
  </si>
  <si>
    <t>768E</t>
  </si>
  <si>
    <t>768G</t>
  </si>
  <si>
    <t>768L</t>
  </si>
  <si>
    <t>768N</t>
  </si>
  <si>
    <t>768R</t>
  </si>
  <si>
    <t>768S</t>
  </si>
  <si>
    <t>764A</t>
  </si>
  <si>
    <t>764B</t>
  </si>
  <si>
    <t>764C</t>
  </si>
  <si>
    <t>766L</t>
  </si>
  <si>
    <t>767S</t>
  </si>
  <si>
    <t>3.4</t>
  </si>
  <si>
    <t>CWP-320B</t>
  </si>
  <si>
    <t>804A</t>
  </si>
  <si>
    <t>805A</t>
  </si>
  <si>
    <t>3.5</t>
  </si>
  <si>
    <t>807A</t>
  </si>
  <si>
    <t>808A</t>
  </si>
  <si>
    <t>794A</t>
  </si>
  <si>
    <t>795A</t>
  </si>
  <si>
    <t>796A</t>
  </si>
  <si>
    <t>797A</t>
  </si>
  <si>
    <t>798A</t>
  </si>
  <si>
    <t>799A</t>
  </si>
  <si>
    <t>800A</t>
  </si>
  <si>
    <t>801A</t>
  </si>
  <si>
    <t>802A</t>
  </si>
  <si>
    <t>787A</t>
  </si>
  <si>
    <t>GRADE DE</t>
  </si>
  <si>
    <t>GRADE GS-A4-254-SAE1006/1020</t>
  </si>
  <si>
    <t>787B</t>
  </si>
  <si>
    <t>787C</t>
  </si>
  <si>
    <t>787D</t>
  </si>
  <si>
    <t>769A</t>
  </si>
  <si>
    <t>SUPORTE</t>
  </si>
  <si>
    <t>770A</t>
  </si>
  <si>
    <t>772A</t>
  </si>
  <si>
    <t>ESCADA</t>
  </si>
  <si>
    <t>U10X22.77-1ª alma-ASTM-A36</t>
  </si>
  <si>
    <t>772B</t>
  </si>
  <si>
    <t>773A</t>
  </si>
  <si>
    <t>774A</t>
  </si>
  <si>
    <t>775A</t>
  </si>
  <si>
    <t>GUARDA-CO</t>
  </si>
  <si>
    <t>TB.1.1/2" -SCH40 (48,26X3,68)-ASTM-A53</t>
  </si>
  <si>
    <t>776A</t>
  </si>
  <si>
    <t>777A</t>
  </si>
  <si>
    <t>778A</t>
  </si>
  <si>
    <t>779A</t>
  </si>
  <si>
    <t>780A</t>
  </si>
  <si>
    <t>781A</t>
  </si>
  <si>
    <t>781B</t>
  </si>
  <si>
    <t>781C</t>
  </si>
  <si>
    <t>781D</t>
  </si>
  <si>
    <t>781E</t>
  </si>
  <si>
    <t>782A</t>
  </si>
  <si>
    <t>783A</t>
  </si>
  <si>
    <t>784A</t>
  </si>
  <si>
    <t>W250X32.7-ASTM-A572 GR.50</t>
  </si>
  <si>
    <t>784B</t>
  </si>
  <si>
    <t>784C</t>
  </si>
  <si>
    <t>784D</t>
  </si>
  <si>
    <t>W250X17.9-ASTM-A572 GR.50</t>
  </si>
  <si>
    <t>784E</t>
  </si>
  <si>
    <t>784F</t>
  </si>
  <si>
    <t>W200X15.0-ASTM-A572 GR.50</t>
  </si>
  <si>
    <t>784H</t>
  </si>
  <si>
    <t>784K</t>
  </si>
  <si>
    <t>784L</t>
  </si>
  <si>
    <t>789A</t>
  </si>
  <si>
    <t>CH.4,75-ASTM-A36</t>
  </si>
  <si>
    <t>789B</t>
  </si>
  <si>
    <t>CH.4,75-ASTM-A572 GR.50</t>
  </si>
  <si>
    <t>789C</t>
  </si>
  <si>
    <t>789D</t>
  </si>
  <si>
    <t>790A</t>
  </si>
  <si>
    <t>790B</t>
  </si>
  <si>
    <t>790C</t>
  </si>
  <si>
    <t>791A</t>
  </si>
  <si>
    <t>791B</t>
  </si>
  <si>
    <t>791C</t>
  </si>
  <si>
    <t>GUARDA CO</t>
  </si>
  <si>
    <t>792A</t>
  </si>
  <si>
    <t>793A</t>
  </si>
  <si>
    <t>793B</t>
  </si>
  <si>
    <t>701A</t>
  </si>
  <si>
    <t>703A</t>
  </si>
  <si>
    <t>M-2305-553-1</t>
  </si>
  <si>
    <t>ELEMENTO DE FIXAÇÃO</t>
  </si>
  <si>
    <t>PARA. 5/8" X 1.3/4" - A307</t>
  </si>
  <si>
    <t>M-2305-553-2</t>
  </si>
  <si>
    <t xml:space="preserve">PORCA. 5/8" - A563 A </t>
  </si>
  <si>
    <t>M-2305-553-3</t>
  </si>
  <si>
    <t>ARR. 5/8' - COMUM</t>
  </si>
  <si>
    <t>M-2305-553-4</t>
  </si>
  <si>
    <t>PARAF. 3/4" X 1.3/4" - A325</t>
  </si>
  <si>
    <t>M-2305-553-5</t>
  </si>
  <si>
    <t>PARAF. 3/4" X 2" - A325</t>
  </si>
  <si>
    <t>M-2305-553-6</t>
  </si>
  <si>
    <t>PARAF. 3/4" X 2.1/4" - A325</t>
  </si>
  <si>
    <t>M-2305-553-7</t>
  </si>
  <si>
    <t>PARAF. 3/4" X 2.1/2" - A325</t>
  </si>
  <si>
    <t>M-2305-553-8</t>
  </si>
  <si>
    <t>PARAF. 3/4" X 2.3/4" - A325</t>
  </si>
  <si>
    <t>M-2305-553-9</t>
  </si>
  <si>
    <t>PARAF. 3/4" X 3" - A325</t>
  </si>
  <si>
    <t>M-2305-553-10</t>
  </si>
  <si>
    <t>PORCA 3/4" - A563 DH</t>
  </si>
  <si>
    <t>M-2305-553-11</t>
  </si>
  <si>
    <t>ARR. 3/4" - F436</t>
  </si>
  <si>
    <t>M-2305-566-1</t>
  </si>
  <si>
    <t>M-2305-566-2</t>
  </si>
  <si>
    <t>M-2305-566-3</t>
  </si>
  <si>
    <t>M-2305-566-4</t>
  </si>
  <si>
    <t>M-2305-566-5</t>
  </si>
  <si>
    <t>M-2305-566-6</t>
  </si>
  <si>
    <t>M-2305-568-1</t>
  </si>
  <si>
    <t>PARAF. 5/8" X 1.3/4" - A307</t>
  </si>
  <si>
    <t>M-2305-568-2</t>
  </si>
  <si>
    <t>PORCA 5/8" - A563 DH</t>
  </si>
  <si>
    <t>M-2305-568-3</t>
  </si>
  <si>
    <t>ARR. 5/8" F436</t>
  </si>
  <si>
    <t>M-2305-568-4</t>
  </si>
  <si>
    <t>M-2305-568-5</t>
  </si>
  <si>
    <t>M-2305-568-6</t>
  </si>
  <si>
    <t>M-2305-568-7</t>
  </si>
  <si>
    <t>M-2305-568-8</t>
  </si>
  <si>
    <t>PARAF. 3/4" X 3.1/4" - A325</t>
  </si>
  <si>
    <t>M-2305-568-9</t>
  </si>
  <si>
    <t>PARAF. 3/4" X 3.1/2" - A325</t>
  </si>
  <si>
    <t>M-2305-568-10</t>
  </si>
  <si>
    <t>PARAF. 3/4" X 3.3/4" - A325</t>
  </si>
  <si>
    <t>M-2305-568-11</t>
  </si>
  <si>
    <t>M-2305-568-12</t>
  </si>
  <si>
    <t>809A</t>
  </si>
  <si>
    <t>809B</t>
  </si>
  <si>
    <t>809C</t>
  </si>
  <si>
    <t>809D</t>
  </si>
  <si>
    <t>810A</t>
  </si>
  <si>
    <t>810B</t>
  </si>
  <si>
    <t>810C</t>
  </si>
  <si>
    <t>PS900X287-ASTM-A572 GR.50</t>
  </si>
  <si>
    <t>810D</t>
  </si>
  <si>
    <t>810E</t>
  </si>
  <si>
    <t>811A</t>
  </si>
  <si>
    <t>PS900X231-ASTM-A572 GR.50</t>
  </si>
  <si>
    <t>811B</t>
  </si>
  <si>
    <t>811C</t>
  </si>
  <si>
    <t>W360X91.0-ASTM-A572 GR.50</t>
  </si>
  <si>
    <t>812A</t>
  </si>
  <si>
    <t>812B</t>
  </si>
  <si>
    <t>W410X53.0-ASTM-A572 GR.50</t>
  </si>
  <si>
    <t>812C</t>
  </si>
  <si>
    <t>812D</t>
  </si>
  <si>
    <t>812E</t>
  </si>
  <si>
    <t>812F</t>
  </si>
  <si>
    <t>812G</t>
  </si>
  <si>
    <t>812H</t>
  </si>
  <si>
    <t>812K</t>
  </si>
  <si>
    <t>812L</t>
  </si>
  <si>
    <t>812M</t>
  </si>
  <si>
    <t>812N</t>
  </si>
  <si>
    <t>812P</t>
  </si>
  <si>
    <t>812R</t>
  </si>
  <si>
    <t>812S</t>
  </si>
  <si>
    <t>812T</t>
  </si>
  <si>
    <t>812U</t>
  </si>
  <si>
    <t>813A</t>
  </si>
  <si>
    <t>813B</t>
  </si>
  <si>
    <t>813C</t>
  </si>
  <si>
    <t>813D</t>
  </si>
  <si>
    <t>813E</t>
  </si>
  <si>
    <t>814A</t>
  </si>
  <si>
    <t>814B</t>
  </si>
  <si>
    <t>814C</t>
  </si>
  <si>
    <t>814E</t>
  </si>
  <si>
    <t>814F</t>
  </si>
  <si>
    <t>814G</t>
  </si>
  <si>
    <t>814H</t>
  </si>
  <si>
    <t>771B</t>
  </si>
  <si>
    <t>MONOVIA</t>
  </si>
  <si>
    <t>W360X51.0-ASTM-A572 GR.50</t>
  </si>
  <si>
    <t>771C</t>
  </si>
  <si>
    <t>771D</t>
  </si>
  <si>
    <t>771E</t>
  </si>
  <si>
    <t>771F</t>
  </si>
  <si>
    <t>785A</t>
  </si>
  <si>
    <t>L64X4,7-ASTM-A36</t>
  </si>
  <si>
    <t>785B</t>
  </si>
  <si>
    <t>785C</t>
  </si>
  <si>
    <t>L51X4,7-ASTM-A36</t>
  </si>
  <si>
    <t>785D</t>
  </si>
  <si>
    <t>785E</t>
  </si>
  <si>
    <t>785F</t>
  </si>
  <si>
    <t>785G</t>
  </si>
  <si>
    <t>785H</t>
  </si>
  <si>
    <t>785M</t>
  </si>
  <si>
    <t>L76X4,7-ASTM-A36</t>
  </si>
  <si>
    <t>785N</t>
  </si>
  <si>
    <t>785R</t>
  </si>
  <si>
    <t>785S</t>
  </si>
  <si>
    <t>785U</t>
  </si>
  <si>
    <t>785V</t>
  </si>
  <si>
    <t>785W</t>
  </si>
  <si>
    <t>785X</t>
  </si>
  <si>
    <t>785Y</t>
  </si>
  <si>
    <t>786A</t>
  </si>
  <si>
    <t>786B</t>
  </si>
  <si>
    <t>786C</t>
  </si>
  <si>
    <t>786D</t>
  </si>
  <si>
    <t>CH.6,3-ASTM-A36</t>
  </si>
  <si>
    <t>786E</t>
  </si>
  <si>
    <t>786F</t>
  </si>
  <si>
    <t>786G</t>
  </si>
  <si>
    <t>786H</t>
  </si>
  <si>
    <t>786L</t>
  </si>
  <si>
    <t>786M</t>
  </si>
  <si>
    <t>816A</t>
  </si>
  <si>
    <t>816B</t>
  </si>
  <si>
    <t>816C</t>
  </si>
  <si>
    <t>816D</t>
  </si>
  <si>
    <t>816E</t>
  </si>
  <si>
    <t>816F</t>
  </si>
  <si>
    <t>816G</t>
  </si>
  <si>
    <t>816H</t>
  </si>
  <si>
    <t>816K</t>
  </si>
  <si>
    <t>816L</t>
  </si>
  <si>
    <t>816M</t>
  </si>
  <si>
    <t>816N</t>
  </si>
  <si>
    <t>816P</t>
  </si>
  <si>
    <t>816R</t>
  </si>
  <si>
    <t>816S</t>
  </si>
  <si>
    <t>816T</t>
  </si>
  <si>
    <t>816U</t>
  </si>
  <si>
    <t>817A</t>
  </si>
  <si>
    <t>817B</t>
  </si>
  <si>
    <t>817C</t>
  </si>
  <si>
    <t>817D</t>
  </si>
  <si>
    <t>817E</t>
  </si>
  <si>
    <t>817F</t>
  </si>
  <si>
    <t>817G</t>
  </si>
  <si>
    <t>817H</t>
  </si>
  <si>
    <t>817K</t>
  </si>
  <si>
    <t>817L</t>
  </si>
  <si>
    <t>817M</t>
  </si>
  <si>
    <t>817N</t>
  </si>
  <si>
    <t>817P</t>
  </si>
  <si>
    <t>817R</t>
  </si>
  <si>
    <t>817S</t>
  </si>
  <si>
    <t>817T</t>
  </si>
  <si>
    <t>817U</t>
  </si>
  <si>
    <t>817V</t>
  </si>
  <si>
    <t>817W</t>
  </si>
  <si>
    <t>W200X19.3-ASTM-A572 GR.50</t>
  </si>
  <si>
    <t>817X</t>
  </si>
  <si>
    <t>817Y</t>
  </si>
  <si>
    <t>823A</t>
  </si>
  <si>
    <t>823B</t>
  </si>
  <si>
    <t>823C</t>
  </si>
  <si>
    <t>823D</t>
  </si>
  <si>
    <t>824A</t>
  </si>
  <si>
    <t>824B</t>
  </si>
  <si>
    <t>824C</t>
  </si>
  <si>
    <t>825A</t>
  </si>
  <si>
    <t>827A</t>
  </si>
  <si>
    <t>827B</t>
  </si>
  <si>
    <t>W460X74.0-ASTM-A572 GR.50</t>
  </si>
  <si>
    <t>827C</t>
  </si>
  <si>
    <t>827D</t>
  </si>
  <si>
    <t>828A</t>
  </si>
  <si>
    <t>828B</t>
  </si>
  <si>
    <t>828C</t>
  </si>
  <si>
    <t>828D</t>
  </si>
  <si>
    <t>830A</t>
  </si>
  <si>
    <t>830B</t>
  </si>
  <si>
    <t>830C</t>
  </si>
  <si>
    <t>830D</t>
  </si>
  <si>
    <t>L64X6,3-ASTM-A36</t>
  </si>
  <si>
    <t>830F</t>
  </si>
  <si>
    <t>830G</t>
  </si>
  <si>
    <t>830H</t>
  </si>
  <si>
    <t>830K</t>
  </si>
  <si>
    <t>830L</t>
  </si>
  <si>
    <t>830M</t>
  </si>
  <si>
    <t>830N</t>
  </si>
  <si>
    <t>830P</t>
  </si>
  <si>
    <t>830R</t>
  </si>
  <si>
    <t>830S</t>
  </si>
  <si>
    <t>818A</t>
  </si>
  <si>
    <t>818B</t>
  </si>
  <si>
    <t>818C</t>
  </si>
  <si>
    <t>818D</t>
  </si>
  <si>
    <t>818E</t>
  </si>
  <si>
    <t>818F</t>
  </si>
  <si>
    <t>818G</t>
  </si>
  <si>
    <t>818H</t>
  </si>
  <si>
    <t>818K</t>
  </si>
  <si>
    <t>820A</t>
  </si>
  <si>
    <t>820B</t>
  </si>
  <si>
    <t>820C</t>
  </si>
  <si>
    <t>820D</t>
  </si>
  <si>
    <t>820E</t>
  </si>
  <si>
    <t>820F</t>
  </si>
  <si>
    <t>821A</t>
  </si>
  <si>
    <t>821B</t>
  </si>
  <si>
    <t>821C</t>
  </si>
  <si>
    <t>821D</t>
  </si>
  <si>
    <t>815A</t>
  </si>
  <si>
    <t>815B</t>
  </si>
  <si>
    <t>815C</t>
  </si>
  <si>
    <t>815D</t>
  </si>
  <si>
    <t>819A</t>
  </si>
  <si>
    <t>819B</t>
  </si>
  <si>
    <t>819C</t>
  </si>
  <si>
    <t>819D</t>
  </si>
  <si>
    <t>819E</t>
  </si>
  <si>
    <t>819F</t>
  </si>
  <si>
    <t>819G</t>
  </si>
  <si>
    <t>819H</t>
  </si>
  <si>
    <t>826A</t>
  </si>
  <si>
    <t>826B</t>
  </si>
  <si>
    <t>826C</t>
  </si>
  <si>
    <t>829A</t>
  </si>
  <si>
    <t>829B</t>
  </si>
  <si>
    <t>829C</t>
  </si>
  <si>
    <t>CVS600x190-ASTM-A572 GR.50</t>
  </si>
  <si>
    <t>822-A</t>
  </si>
  <si>
    <t>822A</t>
  </si>
  <si>
    <t>822-B</t>
  </si>
  <si>
    <t>822B</t>
  </si>
  <si>
    <t>822-C</t>
  </si>
  <si>
    <t>822C</t>
  </si>
  <si>
    <t>822-D</t>
  </si>
  <si>
    <t>822D</t>
  </si>
  <si>
    <t>851-A</t>
  </si>
  <si>
    <t>851A</t>
  </si>
  <si>
    <t>851-B</t>
  </si>
  <si>
    <t>851B</t>
  </si>
  <si>
    <t>851-C</t>
  </si>
  <si>
    <t>851C</t>
  </si>
  <si>
    <t>851-D</t>
  </si>
  <si>
    <t>851D</t>
  </si>
  <si>
    <t>853-A</t>
  </si>
  <si>
    <t>853A</t>
  </si>
  <si>
    <t>853-B</t>
  </si>
  <si>
    <t>853B</t>
  </si>
  <si>
    <t>853-C</t>
  </si>
  <si>
    <t>853C</t>
  </si>
  <si>
    <t>853-D</t>
  </si>
  <si>
    <t>853D</t>
  </si>
  <si>
    <t>854-A</t>
  </si>
  <si>
    <t>854A</t>
  </si>
  <si>
    <t>854-B</t>
  </si>
  <si>
    <t>854B</t>
  </si>
  <si>
    <t>855-A</t>
  </si>
  <si>
    <t>855A</t>
  </si>
  <si>
    <t>855-B</t>
  </si>
  <si>
    <t>855B</t>
  </si>
  <si>
    <t>855-C</t>
  </si>
  <si>
    <t>855C</t>
  </si>
  <si>
    <t>856-A</t>
  </si>
  <si>
    <t>856A</t>
  </si>
  <si>
    <t>856-B</t>
  </si>
  <si>
    <t>856B</t>
  </si>
  <si>
    <t>856-C</t>
  </si>
  <si>
    <t>856C</t>
  </si>
  <si>
    <t>857-A</t>
  </si>
  <si>
    <t>857A</t>
  </si>
  <si>
    <t>857-B</t>
  </si>
  <si>
    <t>857B</t>
  </si>
  <si>
    <t>857-C</t>
  </si>
  <si>
    <t>857C</t>
  </si>
  <si>
    <t>857-D</t>
  </si>
  <si>
    <t>857D</t>
  </si>
  <si>
    <t>857-E</t>
  </si>
  <si>
    <t>857E</t>
  </si>
  <si>
    <t>857-F</t>
  </si>
  <si>
    <t>857F</t>
  </si>
  <si>
    <t>858-A</t>
  </si>
  <si>
    <t>858A</t>
  </si>
  <si>
    <t>858-B</t>
  </si>
  <si>
    <t>858B</t>
  </si>
  <si>
    <t>858-C</t>
  </si>
  <si>
    <t>858C</t>
  </si>
  <si>
    <t>858-D</t>
  </si>
  <si>
    <t>858D</t>
  </si>
  <si>
    <t>858-E</t>
  </si>
  <si>
    <t>858E</t>
  </si>
  <si>
    <t>859-A</t>
  </si>
  <si>
    <t>859A</t>
  </si>
  <si>
    <t>859-B</t>
  </si>
  <si>
    <t>859B</t>
  </si>
  <si>
    <t>859-C</t>
  </si>
  <si>
    <t>859C</t>
  </si>
  <si>
    <t>859-D</t>
  </si>
  <si>
    <t>859D</t>
  </si>
  <si>
    <t>859-E</t>
  </si>
  <si>
    <t>859E</t>
  </si>
  <si>
    <t>859-F</t>
  </si>
  <si>
    <t>859F</t>
  </si>
  <si>
    <t>859-G</t>
  </si>
  <si>
    <t>859G</t>
  </si>
  <si>
    <t>859-H</t>
  </si>
  <si>
    <t>859H</t>
  </si>
  <si>
    <t>859-K</t>
  </si>
  <si>
    <t>859K</t>
  </si>
  <si>
    <t>859-L</t>
  </si>
  <si>
    <t>859L</t>
  </si>
  <si>
    <t>859-M</t>
  </si>
  <si>
    <t>859M</t>
  </si>
  <si>
    <t>859-N</t>
  </si>
  <si>
    <t>859N</t>
  </si>
  <si>
    <t>860-A</t>
  </si>
  <si>
    <t>860A</t>
  </si>
  <si>
    <t>860-B</t>
  </si>
  <si>
    <t>860B</t>
  </si>
  <si>
    <t>860-C</t>
  </si>
  <si>
    <t>860C</t>
  </si>
  <si>
    <t>860-D</t>
  </si>
  <si>
    <t>860D</t>
  </si>
  <si>
    <t>861-A</t>
  </si>
  <si>
    <t>861A</t>
  </si>
  <si>
    <t>861-B</t>
  </si>
  <si>
    <t>861B</t>
  </si>
  <si>
    <t>861-C</t>
  </si>
  <si>
    <t>861C</t>
  </si>
  <si>
    <t>864-A</t>
  </si>
  <si>
    <t>864A</t>
  </si>
  <si>
    <t>864-B</t>
  </si>
  <si>
    <t>864B</t>
  </si>
  <si>
    <t>CH.16-ASTM-A572 GR.50</t>
  </si>
  <si>
    <t>864-C</t>
  </si>
  <si>
    <t>864C</t>
  </si>
  <si>
    <t>864-D</t>
  </si>
  <si>
    <t>864D</t>
  </si>
  <si>
    <t>864-E</t>
  </si>
  <si>
    <t>864E</t>
  </si>
  <si>
    <t>864-F</t>
  </si>
  <si>
    <t>864F</t>
  </si>
  <si>
    <t>864-G</t>
  </si>
  <si>
    <t>864G</t>
  </si>
  <si>
    <t>864-H</t>
  </si>
  <si>
    <t>864H</t>
  </si>
  <si>
    <t>864-K</t>
  </si>
  <si>
    <t>864K</t>
  </si>
  <si>
    <t>864-L</t>
  </si>
  <si>
    <t>864L</t>
  </si>
  <si>
    <t>864-M</t>
  </si>
  <si>
    <t>864M</t>
  </si>
  <si>
    <t>864-N</t>
  </si>
  <si>
    <t>864N</t>
  </si>
  <si>
    <t>864-P</t>
  </si>
  <si>
    <t>864P</t>
  </si>
  <si>
    <t>864-R</t>
  </si>
  <si>
    <t>864R</t>
  </si>
  <si>
    <t>FC76X8-ASTM-A572 GR.50</t>
  </si>
  <si>
    <t>832B</t>
  </si>
  <si>
    <t>832C</t>
  </si>
  <si>
    <t>835A</t>
  </si>
  <si>
    <t>836A</t>
  </si>
  <si>
    <t>836D</t>
  </si>
  <si>
    <t>838D</t>
  </si>
  <si>
    <t>838E</t>
  </si>
  <si>
    <t>840A</t>
  </si>
  <si>
    <t>840B</t>
  </si>
  <si>
    <t>840C</t>
  </si>
  <si>
    <t>840D</t>
  </si>
  <si>
    <t>841A</t>
  </si>
  <si>
    <t>841B</t>
  </si>
  <si>
    <t>842C</t>
  </si>
  <si>
    <t>842D</t>
  </si>
  <si>
    <t>843A</t>
  </si>
  <si>
    <t>843B</t>
  </si>
  <si>
    <t>843C</t>
  </si>
  <si>
    <t>843D</t>
  </si>
  <si>
    <t>844A</t>
  </si>
  <si>
    <t>844B</t>
  </si>
  <si>
    <t>849A</t>
  </si>
  <si>
    <t>U254X70X9.5-ASTM-A36</t>
  </si>
  <si>
    <t>849B</t>
  </si>
  <si>
    <t>831A</t>
  </si>
  <si>
    <t>831C</t>
  </si>
  <si>
    <t>832A</t>
  </si>
  <si>
    <t>833A</t>
  </si>
  <si>
    <t>833B</t>
  </si>
  <si>
    <t>833C</t>
  </si>
  <si>
    <t>834A</t>
  </si>
  <si>
    <t>834B</t>
  </si>
  <si>
    <t>834C</t>
  </si>
  <si>
    <t>834D</t>
  </si>
  <si>
    <t>835B</t>
  </si>
  <si>
    <t>835C</t>
  </si>
  <si>
    <t>835D</t>
  </si>
  <si>
    <t>836B</t>
  </si>
  <si>
    <t>836C</t>
  </si>
  <si>
    <t>837A</t>
  </si>
  <si>
    <t>837B</t>
  </si>
  <si>
    <t>837C</t>
  </si>
  <si>
    <t>838A</t>
  </si>
  <si>
    <t>838B</t>
  </si>
  <si>
    <t>838C</t>
  </si>
  <si>
    <t>TELA GALVANIZADA MALHA 1" ARAME BWG 12-COMERCIAL</t>
  </si>
  <si>
    <t>838F</t>
  </si>
  <si>
    <t>839A</t>
  </si>
  <si>
    <t>839B</t>
  </si>
  <si>
    <t>839C</t>
  </si>
  <si>
    <t>839D</t>
  </si>
  <si>
    <t>842A</t>
  </si>
  <si>
    <t>842B</t>
  </si>
  <si>
    <t>852B</t>
  </si>
  <si>
    <t>788A</t>
  </si>
  <si>
    <t>DEGRAU</t>
  </si>
  <si>
    <t>DEGRAU DS-25/3 (30X100)-(275X850)-SAE1006/1020</t>
  </si>
  <si>
    <t>862A</t>
  </si>
  <si>
    <t>862B</t>
  </si>
  <si>
    <t>862C</t>
  </si>
  <si>
    <t>862D</t>
  </si>
  <si>
    <t>862E</t>
  </si>
  <si>
    <t>862F</t>
  </si>
  <si>
    <t>862G</t>
  </si>
  <si>
    <t>862H</t>
  </si>
  <si>
    <t>862K</t>
  </si>
  <si>
    <t>862L</t>
  </si>
  <si>
    <t>862M</t>
  </si>
  <si>
    <t>862N</t>
  </si>
  <si>
    <t>862P</t>
  </si>
  <si>
    <t>862R</t>
  </si>
  <si>
    <t>862S</t>
  </si>
  <si>
    <t>862T</t>
  </si>
  <si>
    <t>862U</t>
  </si>
  <si>
    <t>862V</t>
  </si>
  <si>
    <t>862W</t>
  </si>
  <si>
    <t>862X</t>
  </si>
  <si>
    <t>862Y</t>
  </si>
  <si>
    <t>862Z</t>
  </si>
  <si>
    <t>865A</t>
  </si>
  <si>
    <t>865B</t>
  </si>
  <si>
    <t>865C</t>
  </si>
  <si>
    <t>865D</t>
  </si>
  <si>
    <t>865E</t>
  </si>
  <si>
    <t>865F</t>
  </si>
  <si>
    <t>865G</t>
  </si>
  <si>
    <t>865H</t>
  </si>
  <si>
    <t>865K</t>
  </si>
  <si>
    <t>865L</t>
  </si>
  <si>
    <t>865M</t>
  </si>
  <si>
    <t>865N</t>
  </si>
  <si>
    <t>865P</t>
  </si>
  <si>
    <t>865R</t>
  </si>
  <si>
    <t>865S</t>
  </si>
  <si>
    <t>865T</t>
  </si>
  <si>
    <t>865U</t>
  </si>
  <si>
    <t>865V</t>
  </si>
  <si>
    <t>865W</t>
  </si>
  <si>
    <t>865X</t>
  </si>
  <si>
    <t>865Y</t>
  </si>
  <si>
    <t>865Z</t>
  </si>
  <si>
    <t>866A</t>
  </si>
  <si>
    <t>862AA</t>
  </si>
  <si>
    <t>865AA</t>
  </si>
  <si>
    <t>847A</t>
  </si>
  <si>
    <t>ESCADA MA</t>
  </si>
  <si>
    <t>CH.9,5-ASTM-A36</t>
  </si>
  <si>
    <t>848A</t>
  </si>
  <si>
    <t>3.8</t>
  </si>
  <si>
    <t>875A</t>
  </si>
  <si>
    <t>TESOURA</t>
  </si>
  <si>
    <t>875B</t>
  </si>
  <si>
    <t>875C</t>
  </si>
  <si>
    <t>875D</t>
  </si>
  <si>
    <t>875E</t>
  </si>
  <si>
    <t>876A</t>
  </si>
  <si>
    <t>876B</t>
  </si>
  <si>
    <t>876C</t>
  </si>
  <si>
    <t>876D</t>
  </si>
  <si>
    <t>877A</t>
  </si>
  <si>
    <t>877B</t>
  </si>
  <si>
    <t>877C</t>
  </si>
  <si>
    <t>877D</t>
  </si>
  <si>
    <t>878A</t>
  </si>
  <si>
    <t>878B</t>
  </si>
  <si>
    <t>878C</t>
  </si>
  <si>
    <t>878D</t>
  </si>
  <si>
    <t>879A</t>
  </si>
  <si>
    <t>DIAGONAL</t>
  </si>
  <si>
    <t>WT155X19,4-ASTM-A572 GR.50</t>
  </si>
  <si>
    <t>879B</t>
  </si>
  <si>
    <t>879C</t>
  </si>
  <si>
    <t>879D</t>
  </si>
  <si>
    <t>879E</t>
  </si>
  <si>
    <t>879F</t>
  </si>
  <si>
    <t>879G</t>
  </si>
  <si>
    <t>879H</t>
  </si>
  <si>
    <t>879K</t>
  </si>
  <si>
    <t>879L</t>
  </si>
  <si>
    <t>879M</t>
  </si>
  <si>
    <t>879N</t>
  </si>
  <si>
    <t>879P</t>
  </si>
  <si>
    <t>879R</t>
  </si>
  <si>
    <t>879S</t>
  </si>
  <si>
    <t>879T</t>
  </si>
  <si>
    <t>879U</t>
  </si>
  <si>
    <t>879V</t>
  </si>
  <si>
    <t>879W</t>
  </si>
  <si>
    <t>880A</t>
  </si>
  <si>
    <t>880B</t>
  </si>
  <si>
    <t>880C</t>
  </si>
  <si>
    <t>880D</t>
  </si>
  <si>
    <t>880F</t>
  </si>
  <si>
    <t>880G</t>
  </si>
  <si>
    <t>881A</t>
  </si>
  <si>
    <t>881B</t>
  </si>
  <si>
    <t>W610X125.0-ASTM-A572 GR.50</t>
  </si>
  <si>
    <t>881E</t>
  </si>
  <si>
    <t>882A</t>
  </si>
  <si>
    <t>882B</t>
  </si>
  <si>
    <t>882D</t>
  </si>
  <si>
    <t>883A</t>
  </si>
  <si>
    <t>883C</t>
  </si>
  <si>
    <t>883D</t>
  </si>
  <si>
    <t>883E</t>
  </si>
  <si>
    <t>883F</t>
  </si>
  <si>
    <t>883G</t>
  </si>
  <si>
    <t>884A</t>
  </si>
  <si>
    <t>884B</t>
  </si>
  <si>
    <t>884D</t>
  </si>
  <si>
    <t>885A</t>
  </si>
  <si>
    <t>W200X22.5-ASTM-A572 GR.50</t>
  </si>
  <si>
    <t>885B</t>
  </si>
  <si>
    <t>885C</t>
  </si>
  <si>
    <t>885D</t>
  </si>
  <si>
    <t>885E</t>
  </si>
  <si>
    <t>885F</t>
  </si>
  <si>
    <t>886A</t>
  </si>
  <si>
    <t>886C</t>
  </si>
  <si>
    <t>886D</t>
  </si>
  <si>
    <t>886E</t>
  </si>
  <si>
    <t>886F</t>
  </si>
  <si>
    <t>886G</t>
  </si>
  <si>
    <t>886H</t>
  </si>
  <si>
    <t>887A</t>
  </si>
  <si>
    <t>887B</t>
  </si>
  <si>
    <t>889A</t>
  </si>
  <si>
    <t>889B</t>
  </si>
  <si>
    <t>889C</t>
  </si>
  <si>
    <t>889D</t>
  </si>
  <si>
    <t>889E</t>
  </si>
  <si>
    <t>889F</t>
  </si>
  <si>
    <t>889G</t>
  </si>
  <si>
    <t>889H</t>
  </si>
  <si>
    <t>889K</t>
  </si>
  <si>
    <t>889L</t>
  </si>
  <si>
    <t>889M</t>
  </si>
  <si>
    <t>L102X6,3-ASTM-A36</t>
  </si>
  <si>
    <t>889N</t>
  </si>
  <si>
    <t>897AA</t>
  </si>
  <si>
    <t>897AB</t>
  </si>
  <si>
    <t>897AC</t>
  </si>
  <si>
    <t>897AD</t>
  </si>
  <si>
    <t>897AE</t>
  </si>
  <si>
    <t>897AF</t>
  </si>
  <si>
    <t>897AG</t>
  </si>
  <si>
    <t>897AH</t>
  </si>
  <si>
    <t>897AK</t>
  </si>
  <si>
    <t>897AL</t>
  </si>
  <si>
    <t>897AM</t>
  </si>
  <si>
    <t>897AN</t>
  </si>
  <si>
    <t>897AR</t>
  </si>
  <si>
    <t>897AS</t>
  </si>
  <si>
    <t>897R</t>
  </si>
  <si>
    <t>FC102X12,5-ASTM-A36</t>
  </si>
  <si>
    <t>897S</t>
  </si>
  <si>
    <t>897T</t>
  </si>
  <si>
    <t>CH.8-ASTM-A36</t>
  </si>
  <si>
    <t>897X</t>
  </si>
  <si>
    <t>897Y</t>
  </si>
  <si>
    <t>852A</t>
  </si>
  <si>
    <t>M-2305-553-12</t>
  </si>
  <si>
    <t>PARAF. 1/2" X 1.1/4" - A307</t>
  </si>
  <si>
    <t>M-2305-553-13</t>
  </si>
  <si>
    <t>PORCA 1/2" - A563 A</t>
  </si>
  <si>
    <t>M-2305-553-14</t>
  </si>
  <si>
    <t>ARR. 1/2" - COMUM</t>
  </si>
  <si>
    <t>M-2305-553-15</t>
  </si>
  <si>
    <t>M-2305-553-16</t>
  </si>
  <si>
    <t>PORCA 5/8" - A563 A</t>
  </si>
  <si>
    <t>M-2305-553-17</t>
  </si>
  <si>
    <t>ARR. 5/8" - COMUM</t>
  </si>
  <si>
    <t>M-2305-553-18</t>
  </si>
  <si>
    <t>PARAF. 5/8" X 1.3/4" - A325</t>
  </si>
  <si>
    <t>M-2305-553-19</t>
  </si>
  <si>
    <t>M-2305-553-20</t>
  </si>
  <si>
    <t>ARR. 5/8" - F436</t>
  </si>
  <si>
    <t>M-2305-553-21</t>
  </si>
  <si>
    <t>M-2305-553-22</t>
  </si>
  <si>
    <t>M-2305-553-23</t>
  </si>
  <si>
    <t>M-2305-553-24</t>
  </si>
  <si>
    <t>M-2305-553-25</t>
  </si>
  <si>
    <t>M-2305-566-7</t>
  </si>
  <si>
    <t>M-2305-566-8</t>
  </si>
  <si>
    <t>M-2305-566-9</t>
  </si>
  <si>
    <t>M-2305-566-10</t>
  </si>
  <si>
    <t>M-2305-566-11</t>
  </si>
  <si>
    <t>M-2305-566-12</t>
  </si>
  <si>
    <t>M-2305-566-13</t>
  </si>
  <si>
    <t>M-2305-566-14</t>
  </si>
  <si>
    <t>M-2305-566-15</t>
  </si>
  <si>
    <t>M-2305-566-16</t>
  </si>
  <si>
    <t>M-2305-566-17</t>
  </si>
  <si>
    <t>M-2305-566-18</t>
  </si>
  <si>
    <t>M-2305-566-19</t>
  </si>
  <si>
    <t>M-2305-566-20</t>
  </si>
  <si>
    <t>M-2305-566-21</t>
  </si>
  <si>
    <t>M-2305-566-22</t>
  </si>
  <si>
    <t>M-2305-568-13</t>
  </si>
  <si>
    <t>M-2305-568-14</t>
  </si>
  <si>
    <t>PARAF. 1/2" X 1.1/2" - A307</t>
  </si>
  <si>
    <t>M-2305-568-15</t>
  </si>
  <si>
    <t>M-2305-568-16</t>
  </si>
  <si>
    <t>M-2305-568-17</t>
  </si>
  <si>
    <t>M-2305-568-18</t>
  </si>
  <si>
    <t>M-2305-568-19</t>
  </si>
  <si>
    <t>M-2305-568-20</t>
  </si>
  <si>
    <t>M-2305-568-21</t>
  </si>
  <si>
    <t xml:space="preserve"> PORCA 5/8" - A563 DH</t>
  </si>
  <si>
    <t>M-2305-568-22</t>
  </si>
  <si>
    <t>M-2305-568-23</t>
  </si>
  <si>
    <t>M-2305-568-24</t>
  </si>
  <si>
    <t>M-2305-568-25</t>
  </si>
  <si>
    <t>908A</t>
  </si>
  <si>
    <t>909A</t>
  </si>
  <si>
    <t>910A</t>
  </si>
  <si>
    <t>911A</t>
  </si>
  <si>
    <t>912A</t>
  </si>
  <si>
    <t>913A</t>
  </si>
  <si>
    <t>914A</t>
  </si>
  <si>
    <t>914B</t>
  </si>
  <si>
    <t>914C</t>
  </si>
  <si>
    <t>914D</t>
  </si>
  <si>
    <t>914E</t>
  </si>
  <si>
    <t>896A</t>
  </si>
  <si>
    <t>896B</t>
  </si>
  <si>
    <t>896C</t>
  </si>
  <si>
    <t>896D</t>
  </si>
  <si>
    <t>898A</t>
  </si>
  <si>
    <t>898B</t>
  </si>
  <si>
    <t>898C</t>
  </si>
  <si>
    <t>900A</t>
  </si>
  <si>
    <t>900B</t>
  </si>
  <si>
    <t>900C</t>
  </si>
  <si>
    <t>901A</t>
  </si>
  <si>
    <t>902A</t>
  </si>
  <si>
    <t>902B</t>
  </si>
  <si>
    <t>902C</t>
  </si>
  <si>
    <t>903A</t>
  </si>
  <si>
    <t>903B</t>
  </si>
  <si>
    <t>903C</t>
  </si>
  <si>
    <t>903D</t>
  </si>
  <si>
    <t>903E</t>
  </si>
  <si>
    <t>904A</t>
  </si>
  <si>
    <t>904B</t>
  </si>
  <si>
    <t>904C</t>
  </si>
  <si>
    <t>905A</t>
  </si>
  <si>
    <t>905B</t>
  </si>
  <si>
    <t>915A</t>
  </si>
  <si>
    <t>915B</t>
  </si>
  <si>
    <t>W410X38.8-ASTM-A572 GR.50</t>
  </si>
  <si>
    <t>915C</t>
  </si>
  <si>
    <t>915D</t>
  </si>
  <si>
    <t>915E</t>
  </si>
  <si>
    <t>915F</t>
  </si>
  <si>
    <t>915G</t>
  </si>
  <si>
    <t>915H</t>
  </si>
  <si>
    <t>893A</t>
  </si>
  <si>
    <t>TIRANTE</t>
  </si>
  <si>
    <t>FE.RED.ROSCADO.Ø16,0MM-ASTM-A36</t>
  </si>
  <si>
    <t>893B</t>
  </si>
  <si>
    <t>893D</t>
  </si>
  <si>
    <t>893E</t>
  </si>
  <si>
    <t>893F</t>
  </si>
  <si>
    <t>893G</t>
  </si>
  <si>
    <t>893H</t>
  </si>
  <si>
    <t>893K</t>
  </si>
  <si>
    <t>893L</t>
  </si>
  <si>
    <t>893M</t>
  </si>
  <si>
    <t>893N</t>
  </si>
  <si>
    <t>893P</t>
  </si>
  <si>
    <t>894A</t>
  </si>
  <si>
    <t>894B</t>
  </si>
  <si>
    <t>894C</t>
  </si>
  <si>
    <t>894D</t>
  </si>
  <si>
    <t>894E</t>
  </si>
  <si>
    <t>894F</t>
  </si>
  <si>
    <t>894G</t>
  </si>
  <si>
    <t>894H</t>
  </si>
  <si>
    <t>894K</t>
  </si>
  <si>
    <t>894L</t>
  </si>
  <si>
    <t>894M</t>
  </si>
  <si>
    <t>894N</t>
  </si>
  <si>
    <t>895A</t>
  </si>
  <si>
    <t>895B</t>
  </si>
  <si>
    <t>895C</t>
  </si>
  <si>
    <t>895D</t>
  </si>
  <si>
    <t>895E</t>
  </si>
  <si>
    <t>895F</t>
  </si>
  <si>
    <t>895G</t>
  </si>
  <si>
    <t>895H</t>
  </si>
  <si>
    <t>899A</t>
  </si>
  <si>
    <t>899B</t>
  </si>
  <si>
    <t>899C</t>
  </si>
  <si>
    <t>899E</t>
  </si>
  <si>
    <t>899F</t>
  </si>
  <si>
    <t>899G</t>
  </si>
  <si>
    <t>899H</t>
  </si>
  <si>
    <t>899K</t>
  </si>
  <si>
    <t>899L</t>
  </si>
  <si>
    <t>899M</t>
  </si>
  <si>
    <t>899N</t>
  </si>
  <si>
    <t>899P</t>
  </si>
  <si>
    <t>899R</t>
  </si>
  <si>
    <t>899S</t>
  </si>
  <si>
    <t>899T</t>
  </si>
  <si>
    <t>899U</t>
  </si>
  <si>
    <t>899V</t>
  </si>
  <si>
    <t>899W</t>
  </si>
  <si>
    <t>899X</t>
  </si>
  <si>
    <t>899Y</t>
  </si>
  <si>
    <t>899Z</t>
  </si>
  <si>
    <t>907A</t>
  </si>
  <si>
    <t>916A</t>
  </si>
  <si>
    <t>916B</t>
  </si>
  <si>
    <t>916C</t>
  </si>
  <si>
    <t>916D</t>
  </si>
  <si>
    <t>916E</t>
  </si>
  <si>
    <t>916F</t>
  </si>
  <si>
    <t>919A</t>
  </si>
  <si>
    <t>847-20</t>
  </si>
  <si>
    <t>ACESSORIO</t>
  </si>
  <si>
    <t>ESTICADOR MANILHA / OLHAL ROSCA 3/4" caixa 9"</t>
  </si>
  <si>
    <t>847-21</t>
  </si>
  <si>
    <t>CABO DE AÇO Ø5/16" 6X41 +AF-WS-Aço - 4,8 m</t>
  </si>
  <si>
    <t>847-22</t>
  </si>
  <si>
    <t>GRAMPO GALV. PARA CABO Ø5/16"</t>
  </si>
  <si>
    <t>847-23</t>
  </si>
  <si>
    <t>SAPATILHA PARA CABO DE AÇO Ø5/16"</t>
  </si>
  <si>
    <t>847-24</t>
  </si>
  <si>
    <t>MANILHA RETA CORPO Ø1/2" PARAF. Ø5/8" C/  PORCA E CONTRA PINO</t>
  </si>
  <si>
    <t>847-25</t>
  </si>
  <si>
    <t>PARAF.Ø5/8" C/ PORCA E CONTRA PINO</t>
  </si>
  <si>
    <t>848-20</t>
  </si>
  <si>
    <t>848-21</t>
  </si>
  <si>
    <t>848-22</t>
  </si>
  <si>
    <t>848-23</t>
  </si>
  <si>
    <t>848-24</t>
  </si>
  <si>
    <t>848-25</t>
  </si>
  <si>
    <t>803A</t>
  </si>
  <si>
    <t>806A</t>
  </si>
  <si>
    <t>845A</t>
  </si>
  <si>
    <t>845B</t>
  </si>
  <si>
    <t>845C</t>
  </si>
  <si>
    <t>845D</t>
  </si>
  <si>
    <t>846A</t>
  </si>
  <si>
    <t>846B</t>
  </si>
  <si>
    <t>846C</t>
  </si>
  <si>
    <t>846D</t>
  </si>
  <si>
    <t>850A</t>
  </si>
  <si>
    <t>850B</t>
  </si>
  <si>
    <t>850C</t>
  </si>
  <si>
    <t>850D</t>
  </si>
  <si>
    <t>850E</t>
  </si>
  <si>
    <t>850F</t>
  </si>
  <si>
    <t>850G</t>
  </si>
  <si>
    <t>850H</t>
  </si>
  <si>
    <t>850K</t>
  </si>
  <si>
    <t>863AA</t>
  </si>
  <si>
    <t>863AB</t>
  </si>
  <si>
    <t>863AC</t>
  </si>
  <si>
    <t>863AD</t>
  </si>
  <si>
    <t>863AE</t>
  </si>
  <si>
    <t>863AF</t>
  </si>
  <si>
    <t>863AG</t>
  </si>
  <si>
    <t>863A</t>
  </si>
  <si>
    <t>863B</t>
  </si>
  <si>
    <t>863C</t>
  </si>
  <si>
    <t>863D</t>
  </si>
  <si>
    <t>863E</t>
  </si>
  <si>
    <t>863F</t>
  </si>
  <si>
    <t>863G</t>
  </si>
  <si>
    <t>863H</t>
  </si>
  <si>
    <t>863K</t>
  </si>
  <si>
    <t>863L</t>
  </si>
  <si>
    <t>863M</t>
  </si>
  <si>
    <t>863N</t>
  </si>
  <si>
    <t>863P</t>
  </si>
  <si>
    <t>863R</t>
  </si>
  <si>
    <t>863S</t>
  </si>
  <si>
    <t>863T</t>
  </si>
  <si>
    <t>863U</t>
  </si>
  <si>
    <t>863V</t>
  </si>
  <si>
    <t>863W</t>
  </si>
  <si>
    <t>863X</t>
  </si>
  <si>
    <t>863Y</t>
  </si>
  <si>
    <t>863Z</t>
  </si>
  <si>
    <t>867A</t>
  </si>
  <si>
    <t>TERÇA</t>
  </si>
  <si>
    <t>UE300x85X25X3,04-ASTM-A570 GR.33</t>
  </si>
  <si>
    <t>867B</t>
  </si>
  <si>
    <t>867C</t>
  </si>
  <si>
    <t>UE300x85X25X3,35-ASTM-A570 GR.33</t>
  </si>
  <si>
    <t>867D</t>
  </si>
  <si>
    <t>867E</t>
  </si>
  <si>
    <t>867F</t>
  </si>
  <si>
    <t>867G</t>
  </si>
  <si>
    <t>868A</t>
  </si>
  <si>
    <t>868B</t>
  </si>
  <si>
    <t>TER�A</t>
  </si>
  <si>
    <t>L76X8,0-ASTM-A36</t>
  </si>
  <si>
    <t>868C</t>
  </si>
  <si>
    <t>868D</t>
  </si>
  <si>
    <t>868E</t>
  </si>
  <si>
    <t>868F</t>
  </si>
  <si>
    <t>868G</t>
  </si>
  <si>
    <t>868H</t>
  </si>
  <si>
    <t>869A</t>
  </si>
  <si>
    <t>869B</t>
  </si>
  <si>
    <t>869C</t>
  </si>
  <si>
    <t>869D</t>
  </si>
  <si>
    <t>869E</t>
  </si>
  <si>
    <t>869F</t>
  </si>
  <si>
    <t>869G</t>
  </si>
  <si>
    <t>870A</t>
  </si>
  <si>
    <t>870B</t>
  </si>
  <si>
    <t>870C</t>
  </si>
  <si>
    <t>870D</t>
  </si>
  <si>
    <t>870E</t>
  </si>
  <si>
    <t>870F</t>
  </si>
  <si>
    <t>870G</t>
  </si>
  <si>
    <t>870H</t>
  </si>
  <si>
    <t>870K</t>
  </si>
  <si>
    <t>871A</t>
  </si>
  <si>
    <t>871B</t>
  </si>
  <si>
    <t>871C</t>
  </si>
  <si>
    <t>871D</t>
  </si>
  <si>
    <t>871E</t>
  </si>
  <si>
    <t>871F</t>
  </si>
  <si>
    <t>871G</t>
  </si>
  <si>
    <t>872A</t>
  </si>
  <si>
    <t>872B</t>
  </si>
  <si>
    <t>872C</t>
  </si>
  <si>
    <t>872D</t>
  </si>
  <si>
    <t>872E</t>
  </si>
  <si>
    <t>872F</t>
  </si>
  <si>
    <t>872G</t>
  </si>
  <si>
    <t>872H</t>
  </si>
  <si>
    <t>873A</t>
  </si>
  <si>
    <t>873B</t>
  </si>
  <si>
    <t>873C</t>
  </si>
  <si>
    <t>873D</t>
  </si>
  <si>
    <t>873E</t>
  </si>
  <si>
    <t>873F</t>
  </si>
  <si>
    <t>874A</t>
  </si>
  <si>
    <t>874B</t>
  </si>
  <si>
    <t>874C</t>
  </si>
  <si>
    <t>874D</t>
  </si>
  <si>
    <t>874E</t>
  </si>
  <si>
    <t>874F</t>
  </si>
  <si>
    <t>874G</t>
  </si>
  <si>
    <t>874H</t>
  </si>
  <si>
    <t>888A</t>
  </si>
  <si>
    <t>888B</t>
  </si>
  <si>
    <t>888C</t>
  </si>
  <si>
    <t>888D</t>
  </si>
  <si>
    <t>890A</t>
  </si>
  <si>
    <t>890B</t>
  </si>
  <si>
    <t>890C</t>
  </si>
  <si>
    <t>890D</t>
  </si>
  <si>
    <t>890E</t>
  </si>
  <si>
    <t>891A</t>
  </si>
  <si>
    <t>891B</t>
  </si>
  <si>
    <t>891C</t>
  </si>
  <si>
    <t>891D</t>
  </si>
  <si>
    <t>891E</t>
  </si>
  <si>
    <t>892B</t>
  </si>
  <si>
    <t>892C</t>
  </si>
  <si>
    <t>892D</t>
  </si>
  <si>
    <t>892E</t>
  </si>
  <si>
    <t>892F</t>
  </si>
  <si>
    <t>892G</t>
  </si>
  <si>
    <t>892H</t>
  </si>
  <si>
    <t>917A</t>
  </si>
  <si>
    <t>917B</t>
  </si>
  <si>
    <t>917C</t>
  </si>
  <si>
    <t>917D</t>
  </si>
  <si>
    <t>917E</t>
  </si>
  <si>
    <t>917F</t>
  </si>
  <si>
    <t>917G</t>
  </si>
  <si>
    <t>917H</t>
  </si>
  <si>
    <t>917K</t>
  </si>
  <si>
    <t>918A</t>
  </si>
  <si>
    <t>918B</t>
  </si>
  <si>
    <t>918C</t>
  </si>
  <si>
    <t>918D</t>
  </si>
  <si>
    <t>CH.25-ASTM-A36</t>
  </si>
  <si>
    <t>918F</t>
  </si>
  <si>
    <t>918G</t>
  </si>
  <si>
    <t>CH.25-ASTM-A572 GR.50</t>
  </si>
  <si>
    <t>906A</t>
  </si>
  <si>
    <t>906B</t>
  </si>
  <si>
    <t>906C</t>
  </si>
  <si>
    <t>906D</t>
  </si>
  <si>
    <t>3.7</t>
  </si>
  <si>
    <t>CWP-320C</t>
  </si>
  <si>
    <t>945A</t>
  </si>
  <si>
    <t>3.9</t>
  </si>
  <si>
    <t>945B</t>
  </si>
  <si>
    <t>945C</t>
  </si>
  <si>
    <t>945D</t>
  </si>
  <si>
    <t>946A</t>
  </si>
  <si>
    <t>946B</t>
  </si>
  <si>
    <t>946C</t>
  </si>
  <si>
    <t>946D</t>
  </si>
  <si>
    <t>949A</t>
  </si>
  <si>
    <t>949B</t>
  </si>
  <si>
    <t>949C</t>
  </si>
  <si>
    <t>952A</t>
  </si>
  <si>
    <t>952B</t>
  </si>
  <si>
    <t>952C</t>
  </si>
  <si>
    <t>952D</t>
  </si>
  <si>
    <t>952E</t>
  </si>
  <si>
    <t>959A</t>
  </si>
  <si>
    <t>959B</t>
  </si>
  <si>
    <t>959C</t>
  </si>
  <si>
    <t>959D</t>
  </si>
  <si>
    <t>959E</t>
  </si>
  <si>
    <t>959F</t>
  </si>
  <si>
    <t>959G</t>
  </si>
  <si>
    <t>959H</t>
  </si>
  <si>
    <t>959K</t>
  </si>
  <si>
    <t>959M</t>
  </si>
  <si>
    <t>959N</t>
  </si>
  <si>
    <t>959P</t>
  </si>
  <si>
    <t>959R</t>
  </si>
  <si>
    <t>959S</t>
  </si>
  <si>
    <t>959T</t>
  </si>
  <si>
    <t>959U</t>
  </si>
  <si>
    <t>966A</t>
  </si>
  <si>
    <t>966B</t>
  </si>
  <si>
    <t>966C</t>
  </si>
  <si>
    <t>966D</t>
  </si>
  <si>
    <t>966E</t>
  </si>
  <si>
    <t>966F</t>
  </si>
  <si>
    <t>966G</t>
  </si>
  <si>
    <t>966H</t>
  </si>
  <si>
    <t>966K</t>
  </si>
  <si>
    <t>966L</t>
  </si>
  <si>
    <t>966M</t>
  </si>
  <si>
    <t>944A</t>
  </si>
  <si>
    <t>944B</t>
  </si>
  <si>
    <t>944C</t>
  </si>
  <si>
    <t>944D</t>
  </si>
  <si>
    <t>947A</t>
  </si>
  <si>
    <t>947B</t>
  </si>
  <si>
    <t>947C</t>
  </si>
  <si>
    <t>947D</t>
  </si>
  <si>
    <t>948A</t>
  </si>
  <si>
    <t>948B</t>
  </si>
  <si>
    <t>950A</t>
  </si>
  <si>
    <t>950B</t>
  </si>
  <si>
    <t>950C</t>
  </si>
  <si>
    <t>950D</t>
  </si>
  <si>
    <t>951A</t>
  </si>
  <si>
    <t>951B</t>
  </si>
  <si>
    <t>951C</t>
  </si>
  <si>
    <t>953A</t>
  </si>
  <si>
    <t>953B</t>
  </si>
  <si>
    <t>954A</t>
  </si>
  <si>
    <t>954B</t>
  </si>
  <si>
    <t>955A</t>
  </si>
  <si>
    <t>955B</t>
  </si>
  <si>
    <t>955C</t>
  </si>
  <si>
    <t>956A</t>
  </si>
  <si>
    <t>956B</t>
  </si>
  <si>
    <t>956C</t>
  </si>
  <si>
    <t>956D</t>
  </si>
  <si>
    <t>956E</t>
  </si>
  <si>
    <t>957A</t>
  </si>
  <si>
    <t>957B</t>
  </si>
  <si>
    <t>958A</t>
  </si>
  <si>
    <t>958B</t>
  </si>
  <si>
    <t>958C</t>
  </si>
  <si>
    <t>958D</t>
  </si>
  <si>
    <t>958E</t>
  </si>
  <si>
    <t>958F</t>
  </si>
  <si>
    <t>958G</t>
  </si>
  <si>
    <t>958H</t>
  </si>
  <si>
    <t>958K</t>
  </si>
  <si>
    <t>958L</t>
  </si>
  <si>
    <t>958M</t>
  </si>
  <si>
    <t>958N</t>
  </si>
  <si>
    <t>960A</t>
  </si>
  <si>
    <t>960B</t>
  </si>
  <si>
    <t>960C</t>
  </si>
  <si>
    <t>961A</t>
  </si>
  <si>
    <t>961B</t>
  </si>
  <si>
    <t>962A</t>
  </si>
  <si>
    <t>962B</t>
  </si>
  <si>
    <t>963A</t>
  </si>
  <si>
    <t>963B</t>
  </si>
  <si>
    <t>963C</t>
  </si>
  <si>
    <t>963D</t>
  </si>
  <si>
    <t>963E</t>
  </si>
  <si>
    <t>963F</t>
  </si>
  <si>
    <t>963G</t>
  </si>
  <si>
    <t>963H</t>
  </si>
  <si>
    <t>963K</t>
  </si>
  <si>
    <t>963L</t>
  </si>
  <si>
    <t>963M</t>
  </si>
  <si>
    <t>963N</t>
  </si>
  <si>
    <t>963P</t>
  </si>
  <si>
    <t>963R</t>
  </si>
  <si>
    <t>963S</t>
  </si>
  <si>
    <t>963T</t>
  </si>
  <si>
    <t>963U</t>
  </si>
  <si>
    <t>963V</t>
  </si>
  <si>
    <t>964A</t>
  </si>
  <si>
    <t>964B</t>
  </si>
  <si>
    <t>964C</t>
  </si>
  <si>
    <t>964D</t>
  </si>
  <si>
    <t>965A</t>
  </si>
  <si>
    <t>965B</t>
  </si>
  <si>
    <t>965C</t>
  </si>
  <si>
    <t>965D</t>
  </si>
  <si>
    <t>920A</t>
  </si>
  <si>
    <t>CVS700x214-ASTM-A572 GR.50</t>
  </si>
  <si>
    <t>921A</t>
  </si>
  <si>
    <t>922A</t>
  </si>
  <si>
    <t>923A</t>
  </si>
  <si>
    <t>926A</t>
  </si>
  <si>
    <t>928A</t>
  </si>
  <si>
    <t>929A</t>
  </si>
  <si>
    <t>M-2305-552-1</t>
  </si>
  <si>
    <t>PARAFUSOS</t>
  </si>
  <si>
    <t>M-2305-552-2</t>
  </si>
  <si>
    <t>PORCA 1/2" - A563A</t>
  </si>
  <si>
    <t>M-2305-552-3</t>
  </si>
  <si>
    <t>M-2305-552-4</t>
  </si>
  <si>
    <t>M-2305-552-5</t>
  </si>
  <si>
    <t>PORCA 5/8" - A563A</t>
  </si>
  <si>
    <t>M-2305-552-6</t>
  </si>
  <si>
    <t>M-2305-552-7</t>
  </si>
  <si>
    <t>M-2305-552-8</t>
  </si>
  <si>
    <t>PARAF. 5/8" X 2" - A325</t>
  </si>
  <si>
    <t>M-2305-552-9</t>
  </si>
  <si>
    <t>M-2305-552-10</t>
  </si>
  <si>
    <t>M-2305-552-11</t>
  </si>
  <si>
    <t>M-2305-552-12</t>
  </si>
  <si>
    <t>M-2305-552-13</t>
  </si>
  <si>
    <t>PARAF. 3/4" X 4" - A325</t>
  </si>
  <si>
    <t>M-2305-552-14</t>
  </si>
  <si>
    <t>M-2305-552-15</t>
  </si>
  <si>
    <t>M-2305-552-16</t>
  </si>
  <si>
    <t>M-2305-552-17</t>
  </si>
  <si>
    <t>M-2305-552-18</t>
  </si>
  <si>
    <t>M-2305-552-19</t>
  </si>
  <si>
    <t>M-2305-552-20</t>
  </si>
  <si>
    <t>M-2305-552-21</t>
  </si>
  <si>
    <t>M-2305-552-22</t>
  </si>
  <si>
    <t>PORCA SEGURANÇA (PAAL NUT) 3/4" - DIN7967</t>
  </si>
  <si>
    <t>M-2305-552-23</t>
  </si>
  <si>
    <t>M-2305-554-1</t>
  </si>
  <si>
    <t>M-2305-554-2</t>
  </si>
  <si>
    <t>M-2305-554-3</t>
  </si>
  <si>
    <t>M-2305-554-4</t>
  </si>
  <si>
    <t>M-2305-554-5</t>
  </si>
  <si>
    <t>M-2305-554-6</t>
  </si>
  <si>
    <t>M-2305-554-7</t>
  </si>
  <si>
    <t>M-2305-554-8</t>
  </si>
  <si>
    <t>M-2305-554-9</t>
  </si>
  <si>
    <t>M-2305-554-10</t>
  </si>
  <si>
    <t>M-2305-554-11</t>
  </si>
  <si>
    <t>M-2305-554-12</t>
  </si>
  <si>
    <t>M-2305-554-13</t>
  </si>
  <si>
    <t>M-2305-554-14</t>
  </si>
  <si>
    <t>M-2305-554-15</t>
  </si>
  <si>
    <t>M-2305-554-16</t>
  </si>
  <si>
    <t>M-2305-554-17</t>
  </si>
  <si>
    <t>M-2305-562-1</t>
  </si>
  <si>
    <t>M-2305-562-2</t>
  </si>
  <si>
    <t>M-2305-562-3</t>
  </si>
  <si>
    <t>M-2305-562-4</t>
  </si>
  <si>
    <t>PARAF. 5/8" X 1.1/2" - A307</t>
  </si>
  <si>
    <t>M-2305-562-5</t>
  </si>
  <si>
    <t>M-2305-562-6</t>
  </si>
  <si>
    <t>M-2305-562-7</t>
  </si>
  <si>
    <t>M-2305-562-8</t>
  </si>
  <si>
    <t>PARAF. 5/8" X 1.1/2" - A325</t>
  </si>
  <si>
    <t>M-2305-562-9</t>
  </si>
  <si>
    <t>M-2305-562-10</t>
  </si>
  <si>
    <t>M-2305-562-11</t>
  </si>
  <si>
    <t>M-2305-562-12</t>
  </si>
  <si>
    <t>M-2305-562-13</t>
  </si>
  <si>
    <t>M-2305-562-14</t>
  </si>
  <si>
    <t>M-2305-562-15</t>
  </si>
  <si>
    <t>M-2305-562-16</t>
  </si>
  <si>
    <t>M-2305-562-17</t>
  </si>
  <si>
    <t>M-2305-562-18</t>
  </si>
  <si>
    <t>M-2305-562-19</t>
  </si>
  <si>
    <t>967A</t>
  </si>
  <si>
    <t>GRADE-PIS</t>
  </si>
  <si>
    <t>967AA</t>
  </si>
  <si>
    <t>967B</t>
  </si>
  <si>
    <t>967C</t>
  </si>
  <si>
    <t>967D</t>
  </si>
  <si>
    <t>967E</t>
  </si>
  <si>
    <t>967F</t>
  </si>
  <si>
    <t>967G</t>
  </si>
  <si>
    <t>967H</t>
  </si>
  <si>
    <t>967K</t>
  </si>
  <si>
    <t>967L</t>
  </si>
  <si>
    <t>967M</t>
  </si>
  <si>
    <t>967N</t>
  </si>
  <si>
    <t>967P</t>
  </si>
  <si>
    <t>967R</t>
  </si>
  <si>
    <t>967S</t>
  </si>
  <si>
    <t>967T</t>
  </si>
  <si>
    <t>967U</t>
  </si>
  <si>
    <t>967V</t>
  </si>
  <si>
    <t>967W</t>
  </si>
  <si>
    <t>967X</t>
  </si>
  <si>
    <t>967Y</t>
  </si>
  <si>
    <t>967Z</t>
  </si>
  <si>
    <t>968A</t>
  </si>
  <si>
    <t>968AA</t>
  </si>
  <si>
    <t>968AB</t>
  </si>
  <si>
    <t>968B</t>
  </si>
  <si>
    <t>968C</t>
  </si>
  <si>
    <t>968D</t>
  </si>
  <si>
    <t>968E</t>
  </si>
  <si>
    <t>968F</t>
  </si>
  <si>
    <t>968G</t>
  </si>
  <si>
    <t>968H</t>
  </si>
  <si>
    <t>968K</t>
  </si>
  <si>
    <t>968L</t>
  </si>
  <si>
    <t>968M</t>
  </si>
  <si>
    <t>968N</t>
  </si>
  <si>
    <t>968P</t>
  </si>
  <si>
    <t>968R</t>
  </si>
  <si>
    <t>968S</t>
  </si>
  <si>
    <t>968T</t>
  </si>
  <si>
    <t>968U</t>
  </si>
  <si>
    <t>968V</t>
  </si>
  <si>
    <t>968W</t>
  </si>
  <si>
    <t>968X</t>
  </si>
  <si>
    <t>968Y</t>
  </si>
  <si>
    <t>968Z</t>
  </si>
  <si>
    <t>969A</t>
  </si>
  <si>
    <t>969B</t>
  </si>
  <si>
    <t>969C</t>
  </si>
  <si>
    <t>969D</t>
  </si>
  <si>
    <t>969E</t>
  </si>
  <si>
    <t>969F</t>
  </si>
  <si>
    <t>969G</t>
  </si>
  <si>
    <t>969H</t>
  </si>
  <si>
    <t>969K</t>
  </si>
  <si>
    <t>969L</t>
  </si>
  <si>
    <t>969M</t>
  </si>
  <si>
    <t>969N</t>
  </si>
  <si>
    <t>969P</t>
  </si>
  <si>
    <t>969R</t>
  </si>
  <si>
    <t>969S</t>
  </si>
  <si>
    <t>969T</t>
  </si>
  <si>
    <t>969U</t>
  </si>
  <si>
    <t>969V</t>
  </si>
  <si>
    <t>969W</t>
  </si>
  <si>
    <t>969X</t>
  </si>
  <si>
    <t>969Y</t>
  </si>
  <si>
    <t>969Z</t>
  </si>
  <si>
    <t>971A</t>
  </si>
  <si>
    <t>971AA</t>
  </si>
  <si>
    <t>971B</t>
  </si>
  <si>
    <t>971C</t>
  </si>
  <si>
    <t>971D</t>
  </si>
  <si>
    <t>971E</t>
  </si>
  <si>
    <t>971F</t>
  </si>
  <si>
    <t>971G</t>
  </si>
  <si>
    <t>971H</t>
  </si>
  <si>
    <t>971K</t>
  </si>
  <si>
    <t>971L</t>
  </si>
  <si>
    <t>971M</t>
  </si>
  <si>
    <t>971N</t>
  </si>
  <si>
    <t>971P</t>
  </si>
  <si>
    <t>971R</t>
  </si>
  <si>
    <t>971S</t>
  </si>
  <si>
    <t>971T</t>
  </si>
  <si>
    <t>971U</t>
  </si>
  <si>
    <t>971V</t>
  </si>
  <si>
    <t>971W</t>
  </si>
  <si>
    <t>971X</t>
  </si>
  <si>
    <t>971Y</t>
  </si>
  <si>
    <t>971Z</t>
  </si>
  <si>
    <t>924A</t>
  </si>
  <si>
    <t>CVS500x180-ASTM-A572 GR.50</t>
  </si>
  <si>
    <t>925A</t>
  </si>
  <si>
    <t>927A</t>
  </si>
  <si>
    <t>930A</t>
  </si>
  <si>
    <t>931A</t>
  </si>
  <si>
    <t>932A</t>
  </si>
  <si>
    <t>933A</t>
  </si>
  <si>
    <t>934A</t>
  </si>
  <si>
    <t>935A</t>
  </si>
  <si>
    <t>936A</t>
  </si>
  <si>
    <t>937A</t>
  </si>
  <si>
    <t>938A</t>
  </si>
  <si>
    <t>939A</t>
  </si>
  <si>
    <t>940A</t>
  </si>
  <si>
    <t>941A</t>
  </si>
  <si>
    <t>942A</t>
  </si>
  <si>
    <t>943A</t>
  </si>
  <si>
    <t>TRET300X150X9,5-ASTM-A36</t>
  </si>
  <si>
    <t>943B</t>
  </si>
  <si>
    <t>943C</t>
  </si>
  <si>
    <t>943D</t>
  </si>
  <si>
    <t>970A</t>
  </si>
  <si>
    <t>970B</t>
  </si>
  <si>
    <t>970C</t>
  </si>
  <si>
    <t>970D</t>
  </si>
  <si>
    <t>970E</t>
  </si>
  <si>
    <t>970F</t>
  </si>
  <si>
    <t>970G</t>
  </si>
  <si>
    <t>970H</t>
  </si>
  <si>
    <t>970K</t>
  </si>
  <si>
    <t>970L</t>
  </si>
  <si>
    <t>970M</t>
  </si>
  <si>
    <t>970N</t>
  </si>
  <si>
    <t>970P</t>
  </si>
  <si>
    <t>970R</t>
  </si>
  <si>
    <t>970S</t>
  </si>
  <si>
    <t>970T</t>
  </si>
  <si>
    <t>970U</t>
  </si>
  <si>
    <t>970V</t>
  </si>
  <si>
    <t>970W</t>
  </si>
  <si>
    <t>970X</t>
  </si>
  <si>
    <t>970Y</t>
  </si>
  <si>
    <t>BARRA QUADRADA 38X38-ASTM-A36</t>
  </si>
  <si>
    <t>M-2305-622-1</t>
  </si>
  <si>
    <t>PARAF. 5/8" X 1.1/2"  - A307</t>
  </si>
  <si>
    <t>M-2305-622-2</t>
  </si>
  <si>
    <t>PARAF. 5/8" X 1.3/4"  - A307</t>
  </si>
  <si>
    <t>M-2305-622-3</t>
  </si>
  <si>
    <t>PARAF. 5/8" X 1.1/2"  - A325</t>
  </si>
  <si>
    <t>M-2305-622-4</t>
  </si>
  <si>
    <t>PARAF. 5/8" X 1.3/4"  - A325</t>
  </si>
  <si>
    <t>M-2305-622-5</t>
  </si>
  <si>
    <t>PARAF. 3/4" X 1.3/4"  - A325</t>
  </si>
  <si>
    <t>M-2305-622-6</t>
  </si>
  <si>
    <t>PARAF. 3/4" X 2"  - A325</t>
  </si>
  <si>
    <t>M-2305-622-7</t>
  </si>
  <si>
    <t>PARAF. 3/4" X 2.1/4"  - A325</t>
  </si>
  <si>
    <t>M-2305-622-8</t>
  </si>
  <si>
    <t>PARAF. 3/4" X 2.1/2"  - A325</t>
  </si>
  <si>
    <t>M-2305-622-9</t>
  </si>
  <si>
    <t>PARAF. 3/4" X 2.3/4"  - A325</t>
  </si>
  <si>
    <t>M-2305-622-10</t>
  </si>
  <si>
    <t>PARAF. 3/4" X 3"  - A325</t>
  </si>
  <si>
    <t>M-2305-622-11</t>
  </si>
  <si>
    <t>PARAF. 3/4" X 3.1/4"  - A325</t>
  </si>
  <si>
    <t>M-2305-622-12</t>
  </si>
  <si>
    <t>PARAF. 3/4" X 3.1/2"  - A325</t>
  </si>
  <si>
    <t>M-2305-622-13</t>
  </si>
  <si>
    <t>PARAF. 3/4" X 3.3/4"  - A325</t>
  </si>
  <si>
    <t>M-2305-622-14</t>
  </si>
  <si>
    <t>PARAF. 7/8" X 3.1/2"  - A325</t>
  </si>
  <si>
    <t>M-2305-622-15</t>
  </si>
  <si>
    <t>PORCA 5/8"  - A563 A</t>
  </si>
  <si>
    <t>M-2305-622-16</t>
  </si>
  <si>
    <t>PORCA 5/8"  - A563 DH</t>
  </si>
  <si>
    <t>M-2305-622-17</t>
  </si>
  <si>
    <t>PORCA 3/4"  - A563 DH</t>
  </si>
  <si>
    <t>M-2305-622-18</t>
  </si>
  <si>
    <t>PORCA 7/8" - A563 DH</t>
  </si>
  <si>
    <t>M-2305-622-19</t>
  </si>
  <si>
    <t>ARR. 5/8"  - COMUM</t>
  </si>
  <si>
    <t>M-2305-622-20</t>
  </si>
  <si>
    <t>ARR. 5/8"  - F436</t>
  </si>
  <si>
    <t>M-2305-622-21</t>
  </si>
  <si>
    <t>ARR. 3/4"  - F436</t>
  </si>
  <si>
    <t>M-2305-622-22</t>
  </si>
  <si>
    <t>ARR. 7/8"  - F436</t>
  </si>
  <si>
    <t>983A</t>
  </si>
  <si>
    <t>GRADE DE PISO</t>
  </si>
  <si>
    <t>983B</t>
  </si>
  <si>
    <t>984A</t>
  </si>
  <si>
    <t>DEGRAU DS-30/5 (30X100)-(275X800)-ASTM-A36</t>
  </si>
  <si>
    <t>984B</t>
  </si>
  <si>
    <t>DEGRAU DS-30/5 (30X100)-(275X850)-ASTM-A36</t>
  </si>
  <si>
    <t>983-1</t>
  </si>
  <si>
    <t>GRAMPO DE FIXAÇÃO TIPO 1</t>
  </si>
  <si>
    <t>983-2</t>
  </si>
  <si>
    <t>GRAMPO DE FIXAÇÃO TIPO 2</t>
  </si>
  <si>
    <t>972A</t>
  </si>
  <si>
    <t>973A</t>
  </si>
  <si>
    <t>974A</t>
  </si>
  <si>
    <t>974B</t>
  </si>
  <si>
    <t>974C</t>
  </si>
  <si>
    <t>974D</t>
  </si>
  <si>
    <t>975A</t>
  </si>
  <si>
    <t>975B</t>
  </si>
  <si>
    <t>GUARDA CORPO</t>
  </si>
  <si>
    <t>975C</t>
  </si>
  <si>
    <t>975D</t>
  </si>
  <si>
    <t>975E</t>
  </si>
  <si>
    <t>976A</t>
  </si>
  <si>
    <t>976B</t>
  </si>
  <si>
    <t>976C</t>
  </si>
  <si>
    <t>976D</t>
  </si>
  <si>
    <t>977A</t>
  </si>
  <si>
    <t>978A</t>
  </si>
  <si>
    <t>979A</t>
  </si>
  <si>
    <t>979B</t>
  </si>
  <si>
    <t>980A</t>
  </si>
  <si>
    <t>981A</t>
  </si>
  <si>
    <t>981B</t>
  </si>
  <si>
    <t>982A</t>
  </si>
  <si>
    <t>982B</t>
  </si>
  <si>
    <t>982C</t>
  </si>
  <si>
    <t>982D</t>
  </si>
  <si>
    <t>787-1</t>
  </si>
  <si>
    <t>916-1</t>
  </si>
  <si>
    <t>862-1</t>
  </si>
  <si>
    <t>865-1</t>
  </si>
  <si>
    <t>899-1</t>
  </si>
  <si>
    <t>1030A</t>
  </si>
  <si>
    <t>1030B</t>
  </si>
  <si>
    <t>1030C</t>
  </si>
  <si>
    <t>1030D</t>
  </si>
  <si>
    <t>1030E</t>
  </si>
  <si>
    <t>1030F</t>
  </si>
  <si>
    <t>1030G</t>
  </si>
  <si>
    <t>1030H</t>
  </si>
  <si>
    <t>1030K</t>
  </si>
  <si>
    <t>1030L</t>
  </si>
  <si>
    <t>1031A</t>
  </si>
  <si>
    <t>1039A</t>
  </si>
  <si>
    <t>1040A</t>
  </si>
  <si>
    <t>1040B</t>
  </si>
  <si>
    <t>1034A</t>
  </si>
  <si>
    <t>1035A</t>
  </si>
  <si>
    <t>1036A</t>
  </si>
  <si>
    <t>1036B</t>
  </si>
  <si>
    <t>1036C</t>
  </si>
  <si>
    <t>1036D</t>
  </si>
  <si>
    <t>1036E</t>
  </si>
  <si>
    <t>1037A</t>
  </si>
  <si>
    <t>1038A</t>
  </si>
  <si>
    <t>1038B</t>
  </si>
  <si>
    <t>1038C</t>
  </si>
  <si>
    <t>1021A</t>
  </si>
  <si>
    <t>1021B</t>
  </si>
  <si>
    <t>1021C</t>
  </si>
  <si>
    <t>1021D</t>
  </si>
  <si>
    <t>1021E</t>
  </si>
  <si>
    <t>1021F</t>
  </si>
  <si>
    <t>1021G</t>
  </si>
  <si>
    <t>1017A</t>
  </si>
  <si>
    <t>1017B</t>
  </si>
  <si>
    <t>1018A</t>
  </si>
  <si>
    <t>1018B</t>
  </si>
  <si>
    <t>1019A</t>
  </si>
  <si>
    <t>1019B</t>
  </si>
  <si>
    <t>1020A</t>
  </si>
  <si>
    <t>1020B</t>
  </si>
  <si>
    <t>1022A</t>
  </si>
  <si>
    <t>1023A</t>
  </si>
  <si>
    <t>1024A</t>
  </si>
  <si>
    <t>1025A</t>
  </si>
  <si>
    <t>1026A</t>
  </si>
  <si>
    <t>1027A</t>
  </si>
  <si>
    <t>1028A</t>
  </si>
  <si>
    <t>1028B</t>
  </si>
  <si>
    <t>1028C</t>
  </si>
  <si>
    <t>1028D</t>
  </si>
  <si>
    <t>1028E</t>
  </si>
  <si>
    <t>1028F</t>
  </si>
  <si>
    <t>1029A</t>
  </si>
  <si>
    <t>1029B</t>
  </si>
  <si>
    <t>1029C</t>
  </si>
  <si>
    <t>1029D</t>
  </si>
  <si>
    <t>1029E</t>
  </si>
  <si>
    <t>1029F</t>
  </si>
  <si>
    <t>1032A</t>
  </si>
  <si>
    <t>1032B</t>
  </si>
  <si>
    <t>1032C</t>
  </si>
  <si>
    <t>1032D</t>
  </si>
  <si>
    <t>1032E</t>
  </si>
  <si>
    <t>1032F</t>
  </si>
  <si>
    <t>1033A</t>
  </si>
  <si>
    <t>1033B</t>
  </si>
  <si>
    <t>1088A</t>
  </si>
  <si>
    <t>1088B</t>
  </si>
  <si>
    <t>1088C</t>
  </si>
  <si>
    <t>1088D</t>
  </si>
  <si>
    <t>1088E</t>
  </si>
  <si>
    <t>1089A</t>
  </si>
  <si>
    <t>1089B</t>
  </si>
  <si>
    <t>1089C</t>
  </si>
  <si>
    <t>1089D</t>
  </si>
  <si>
    <t>1089E</t>
  </si>
  <si>
    <t>1089F</t>
  </si>
  <si>
    <t>1090A</t>
  </si>
  <si>
    <t>1090B</t>
  </si>
  <si>
    <t>1090C</t>
  </si>
  <si>
    <t>1090D</t>
  </si>
  <si>
    <t>1090E</t>
  </si>
  <si>
    <t>1091A</t>
  </si>
  <si>
    <t>1091B</t>
  </si>
  <si>
    <t>1091C</t>
  </si>
  <si>
    <t>1091D</t>
  </si>
  <si>
    <t>1091E</t>
  </si>
  <si>
    <t>1092A</t>
  </si>
  <si>
    <t>1092B</t>
  </si>
  <si>
    <t>1092C</t>
  </si>
  <si>
    <t>1092D</t>
  </si>
  <si>
    <t>1093A</t>
  </si>
  <si>
    <t>1093B</t>
  </si>
  <si>
    <t>1093C</t>
  </si>
  <si>
    <t>1093D</t>
  </si>
  <si>
    <t>1094A</t>
  </si>
  <si>
    <t>1094B</t>
  </si>
  <si>
    <t>1094C</t>
  </si>
  <si>
    <t>1094D</t>
  </si>
  <si>
    <t>1094E</t>
  </si>
  <si>
    <t>1095A</t>
  </si>
  <si>
    <t>1095B</t>
  </si>
  <si>
    <t>1095C</t>
  </si>
  <si>
    <t>1096A</t>
  </si>
  <si>
    <t>1096B</t>
  </si>
  <si>
    <t>1096C</t>
  </si>
  <si>
    <t>1096D</t>
  </si>
  <si>
    <t>1097A</t>
  </si>
  <si>
    <t>1097B</t>
  </si>
  <si>
    <t>1097C</t>
  </si>
  <si>
    <t>1097D</t>
  </si>
  <si>
    <t>1098A</t>
  </si>
  <si>
    <t>1098B</t>
  </si>
  <si>
    <t>1098C</t>
  </si>
  <si>
    <t>1098D</t>
  </si>
  <si>
    <t>1099A</t>
  </si>
  <si>
    <t>1099B</t>
  </si>
  <si>
    <t>1099C</t>
  </si>
  <si>
    <t>1099D</t>
  </si>
  <si>
    <t>1100A</t>
  </si>
  <si>
    <t>1100B</t>
  </si>
  <si>
    <t>1100C</t>
  </si>
  <si>
    <t>1100D</t>
  </si>
  <si>
    <t>1101A</t>
  </si>
  <si>
    <t>1101B</t>
  </si>
  <si>
    <t>1101C</t>
  </si>
  <si>
    <t>1101D</t>
  </si>
  <si>
    <t>1102A</t>
  </si>
  <si>
    <t>1102B</t>
  </si>
  <si>
    <t>1102C</t>
  </si>
  <si>
    <t>1102D</t>
  </si>
  <si>
    <t>1102E</t>
  </si>
  <si>
    <t>1102F</t>
  </si>
  <si>
    <t>1103A</t>
  </si>
  <si>
    <t>1103B</t>
  </si>
  <si>
    <t>1103C</t>
  </si>
  <si>
    <t>1103D</t>
  </si>
  <si>
    <t>1103E</t>
  </si>
  <si>
    <t>1104A</t>
  </si>
  <si>
    <t>1104B</t>
  </si>
  <si>
    <t>1104C</t>
  </si>
  <si>
    <t>1105A</t>
  </si>
  <si>
    <t>1105B</t>
  </si>
  <si>
    <t>1105C</t>
  </si>
  <si>
    <t>1105D</t>
  </si>
  <si>
    <t>1111D</t>
  </si>
  <si>
    <t>1111E</t>
  </si>
  <si>
    <t>1073A</t>
  </si>
  <si>
    <t>TRILHO-TR37 (ASCE75)-SAE1010/1020</t>
  </si>
  <si>
    <t>1073B</t>
  </si>
  <si>
    <t>1073C</t>
  </si>
  <si>
    <t>1073D</t>
  </si>
  <si>
    <t>TRILHO-A100-SAE1010/1020</t>
  </si>
  <si>
    <t>1073E</t>
  </si>
  <si>
    <t>1073F</t>
  </si>
  <si>
    <t>1106A</t>
  </si>
  <si>
    <t>1106B</t>
  </si>
  <si>
    <t>1106C</t>
  </si>
  <si>
    <t>1106D</t>
  </si>
  <si>
    <t>1106E</t>
  </si>
  <si>
    <t>1106F</t>
  </si>
  <si>
    <t>1106G</t>
  </si>
  <si>
    <t>1106H</t>
  </si>
  <si>
    <t>1106K</t>
  </si>
  <si>
    <t>1106L</t>
  </si>
  <si>
    <t>1106M</t>
  </si>
  <si>
    <t>1106N</t>
  </si>
  <si>
    <t>1106P</t>
  </si>
  <si>
    <t>1106R</t>
  </si>
  <si>
    <t>1106S</t>
  </si>
  <si>
    <t>1106T</t>
  </si>
  <si>
    <t>1106U</t>
  </si>
  <si>
    <t>1106V</t>
  </si>
  <si>
    <t>1106W</t>
  </si>
  <si>
    <t>1106X</t>
  </si>
  <si>
    <t>1106Y</t>
  </si>
  <si>
    <t>1106Z</t>
  </si>
  <si>
    <t>1107A</t>
  </si>
  <si>
    <t>1107B</t>
  </si>
  <si>
    <t>1107C</t>
  </si>
  <si>
    <t>1107D</t>
  </si>
  <si>
    <t>1107E</t>
  </si>
  <si>
    <t>1107F</t>
  </si>
  <si>
    <t>1107G</t>
  </si>
  <si>
    <t>1107H</t>
  </si>
  <si>
    <t>1107K</t>
  </si>
  <si>
    <t>1107L</t>
  </si>
  <si>
    <t>1107M</t>
  </si>
  <si>
    <t>1107N</t>
  </si>
  <si>
    <t>1107P</t>
  </si>
  <si>
    <t>1107R</t>
  </si>
  <si>
    <t>1107S</t>
  </si>
  <si>
    <t>1107T</t>
  </si>
  <si>
    <t>1107U</t>
  </si>
  <si>
    <t>1107V</t>
  </si>
  <si>
    <t>1107W</t>
  </si>
  <si>
    <t>1107X</t>
  </si>
  <si>
    <t>1107Y</t>
  </si>
  <si>
    <t>1107Z</t>
  </si>
  <si>
    <t>1108A</t>
  </si>
  <si>
    <t>1108B</t>
  </si>
  <si>
    <t>1108C</t>
  </si>
  <si>
    <t>1108D</t>
  </si>
  <si>
    <t>1108E</t>
  </si>
  <si>
    <t>1108F</t>
  </si>
  <si>
    <t>1108G</t>
  </si>
  <si>
    <t>1108H</t>
  </si>
  <si>
    <t>1108K</t>
  </si>
  <si>
    <t>1108L</t>
  </si>
  <si>
    <t>1108M</t>
  </si>
  <si>
    <t>1108N</t>
  </si>
  <si>
    <t>1108P</t>
  </si>
  <si>
    <t>1108R</t>
  </si>
  <si>
    <t>1108S</t>
  </si>
  <si>
    <t>1108T</t>
  </si>
  <si>
    <t>1108U</t>
  </si>
  <si>
    <t>1108V</t>
  </si>
  <si>
    <t>1108W</t>
  </si>
  <si>
    <t>1108X</t>
  </si>
  <si>
    <t>1108Y</t>
  </si>
  <si>
    <t>1108Z</t>
  </si>
  <si>
    <t>1109A</t>
  </si>
  <si>
    <t>1109B</t>
  </si>
  <si>
    <t>1109C</t>
  </si>
  <si>
    <t>1109D</t>
  </si>
  <si>
    <t>1109E</t>
  </si>
  <si>
    <t>1109F</t>
  </si>
  <si>
    <t>1109G</t>
  </si>
  <si>
    <t>1109H</t>
  </si>
  <si>
    <t>1109K</t>
  </si>
  <si>
    <t>1109L</t>
  </si>
  <si>
    <t>1109M</t>
  </si>
  <si>
    <t>1109N</t>
  </si>
  <si>
    <t>1109P</t>
  </si>
  <si>
    <t>1109R</t>
  </si>
  <si>
    <t>1109S</t>
  </si>
  <si>
    <t>1109T</t>
  </si>
  <si>
    <t>1109U</t>
  </si>
  <si>
    <t>1109V</t>
  </si>
  <si>
    <t>1109W</t>
  </si>
  <si>
    <t>1109X</t>
  </si>
  <si>
    <t>1109Y</t>
  </si>
  <si>
    <t>1109Z</t>
  </si>
  <si>
    <t>1106AA</t>
  </si>
  <si>
    <t>1106AB</t>
  </si>
  <si>
    <t>1106AC</t>
  </si>
  <si>
    <t>1107AA</t>
  </si>
  <si>
    <t>1107AB</t>
  </si>
  <si>
    <t>1107AC</t>
  </si>
  <si>
    <t>1107AD</t>
  </si>
  <si>
    <t>1107AE</t>
  </si>
  <si>
    <t>1108AA</t>
  </si>
  <si>
    <t>1108AB</t>
  </si>
  <si>
    <t>1108AC</t>
  </si>
  <si>
    <t>1108AD</t>
  </si>
  <si>
    <t>1108AE</t>
  </si>
  <si>
    <t>1109AA</t>
  </si>
  <si>
    <t>1110A</t>
  </si>
  <si>
    <t>1110B</t>
  </si>
  <si>
    <t>1110C</t>
  </si>
  <si>
    <t>1110D</t>
  </si>
  <si>
    <t>1110E</t>
  </si>
  <si>
    <t>1110F</t>
  </si>
  <si>
    <t>1110G</t>
  </si>
  <si>
    <t>1110H</t>
  </si>
  <si>
    <t>1110K</t>
  </si>
  <si>
    <t>1110L</t>
  </si>
  <si>
    <t>1111A</t>
  </si>
  <si>
    <t>1111B</t>
  </si>
  <si>
    <t>1111C</t>
  </si>
  <si>
    <t>1073-1</t>
  </si>
  <si>
    <t>PARAFUSO Ø3/4" X 3.1/2" - ASTM-A325</t>
  </si>
  <si>
    <t>1073-2</t>
  </si>
  <si>
    <t>PORCA Ø3/4" - ASTM-A325</t>
  </si>
  <si>
    <t>PORCA Ø 3/4" - ASTM-A325</t>
  </si>
  <si>
    <t>1073-3</t>
  </si>
  <si>
    <t>ARRUELA LISA Ø3/4" - ASTM-A325</t>
  </si>
  <si>
    <t>1073-4</t>
  </si>
  <si>
    <t>ARRUELA DE PRESSÃO Ø3/4" - ASTM-A325</t>
  </si>
  <si>
    <t>1073-5</t>
  </si>
  <si>
    <t>PRESILHA COM CALÇO - AÇO</t>
  </si>
  <si>
    <t>1106-1</t>
  </si>
  <si>
    <t>GRAMPO TIPO 2</t>
  </si>
  <si>
    <t>1107-1</t>
  </si>
  <si>
    <t>1108-1</t>
  </si>
  <si>
    <t>1109-1</t>
  </si>
  <si>
    <t>1110-1</t>
  </si>
  <si>
    <t>PORCA Ø5/8" - ASTM-A307</t>
  </si>
  <si>
    <t>1110-2</t>
  </si>
  <si>
    <t>ARRUELA LISA Ø5/8" - ASTM-A307</t>
  </si>
  <si>
    <t>1111-1</t>
  </si>
  <si>
    <t>1111-2</t>
  </si>
  <si>
    <t>1117A</t>
  </si>
  <si>
    <t>VIGA-ROLA</t>
  </si>
  <si>
    <t>PS600X95-ASTM-A572 GR.50</t>
  </si>
  <si>
    <t>1118A</t>
  </si>
  <si>
    <t>1119A</t>
  </si>
  <si>
    <t>1120A</t>
  </si>
  <si>
    <t>1121A</t>
  </si>
  <si>
    <t>W310X23.8-ASTM-A572 GR.50</t>
  </si>
  <si>
    <t>1121B</t>
  </si>
  <si>
    <t>1122A</t>
  </si>
  <si>
    <t>1082A</t>
  </si>
  <si>
    <t>VIGA-TRAV</t>
  </si>
  <si>
    <t>1082B</t>
  </si>
  <si>
    <t>1083A</t>
  </si>
  <si>
    <t>1083B</t>
  </si>
  <si>
    <t>1084A</t>
  </si>
  <si>
    <t>1084B</t>
  </si>
  <si>
    <t>1085A</t>
  </si>
  <si>
    <t>1085B</t>
  </si>
  <si>
    <t>1086B</t>
  </si>
  <si>
    <t>1086C</t>
  </si>
  <si>
    <t>1087A</t>
  </si>
  <si>
    <t>1087B</t>
  </si>
  <si>
    <t>893-1</t>
  </si>
  <si>
    <t>893-2</t>
  </si>
  <si>
    <t>894-1</t>
  </si>
  <si>
    <t>894-2</t>
  </si>
  <si>
    <t>895-1</t>
  </si>
  <si>
    <t>895-2</t>
  </si>
  <si>
    <t>967-1</t>
  </si>
  <si>
    <t>968-1</t>
  </si>
  <si>
    <t>969-1</t>
  </si>
  <si>
    <t>971-1</t>
  </si>
  <si>
    <t>1112B</t>
  </si>
  <si>
    <t>1112D</t>
  </si>
  <si>
    <t>1112E</t>
  </si>
  <si>
    <t>1112G</t>
  </si>
  <si>
    <t>1112H</t>
  </si>
  <si>
    <t>1112L</t>
  </si>
  <si>
    <t>1112M</t>
  </si>
  <si>
    <t>1112N</t>
  </si>
  <si>
    <t>1112P</t>
  </si>
  <si>
    <t>1113C</t>
  </si>
  <si>
    <t>1114G</t>
  </si>
  <si>
    <t>1112S</t>
  </si>
  <si>
    <t>1113B</t>
  </si>
  <si>
    <t>1113D</t>
  </si>
  <si>
    <t>1113E</t>
  </si>
  <si>
    <t>1113F</t>
  </si>
  <si>
    <t>1113K</t>
  </si>
  <si>
    <t>1113M</t>
  </si>
  <si>
    <t>1113P</t>
  </si>
  <si>
    <t>1113R</t>
  </si>
  <si>
    <t>1114A</t>
  </si>
  <si>
    <t>1114B</t>
  </si>
  <si>
    <t>1114E</t>
  </si>
  <si>
    <t>1114F</t>
  </si>
  <si>
    <t>1115E</t>
  </si>
  <si>
    <t>1116A</t>
  </si>
  <si>
    <t>1074A</t>
  </si>
  <si>
    <t>TALAS</t>
  </si>
  <si>
    <t>1074B</t>
  </si>
  <si>
    <t>1074C</t>
  </si>
  <si>
    <t>1074D</t>
  </si>
  <si>
    <t>1074E</t>
  </si>
  <si>
    <t>1074F</t>
  </si>
  <si>
    <t>1074G</t>
  </si>
  <si>
    <t>1074H</t>
  </si>
  <si>
    <t>1074K</t>
  </si>
  <si>
    <t>1074L</t>
  </si>
  <si>
    <t>1074M</t>
  </si>
  <si>
    <t>1074N</t>
  </si>
  <si>
    <t>1074P</t>
  </si>
  <si>
    <t>1074R</t>
  </si>
  <si>
    <t>1074S</t>
  </si>
  <si>
    <t>1074T</t>
  </si>
  <si>
    <t>1074U</t>
  </si>
  <si>
    <t>1074V</t>
  </si>
  <si>
    <t>1074W</t>
  </si>
  <si>
    <t>1074X</t>
  </si>
  <si>
    <t>1074Y</t>
  </si>
  <si>
    <t>1074Z</t>
  </si>
  <si>
    <t>1219A</t>
  </si>
  <si>
    <t>1219B</t>
  </si>
  <si>
    <t>1219C</t>
  </si>
  <si>
    <t>1219D</t>
  </si>
  <si>
    <t>1219E</t>
  </si>
  <si>
    <t>1219F</t>
  </si>
  <si>
    <t>1219G</t>
  </si>
  <si>
    <t>1219H</t>
  </si>
  <si>
    <t>1219K</t>
  </si>
  <si>
    <t>1219L</t>
  </si>
  <si>
    <t>1219M</t>
  </si>
  <si>
    <t>1219N</t>
  </si>
  <si>
    <t>1219P</t>
  </si>
  <si>
    <t>1219R</t>
  </si>
  <si>
    <t>1219S</t>
  </si>
  <si>
    <t>1219T</t>
  </si>
  <si>
    <t>1219U</t>
  </si>
  <si>
    <t>1219V</t>
  </si>
  <si>
    <t>1219W</t>
  </si>
  <si>
    <t>1219X</t>
  </si>
  <si>
    <t>1219Y</t>
  </si>
  <si>
    <t>1220A</t>
  </si>
  <si>
    <t>1220B</t>
  </si>
  <si>
    <t>1220C</t>
  </si>
  <si>
    <t>1220D</t>
  </si>
  <si>
    <t>1220E</t>
  </si>
  <si>
    <t>1220F</t>
  </si>
  <si>
    <t>1220G</t>
  </si>
  <si>
    <t>1220H</t>
  </si>
  <si>
    <t>1220K</t>
  </si>
  <si>
    <t>1220L</t>
  </si>
  <si>
    <t>1220M</t>
  </si>
  <si>
    <t>1220N</t>
  </si>
  <si>
    <t>1220P</t>
  </si>
  <si>
    <t>1220R</t>
  </si>
  <si>
    <t>1220S</t>
  </si>
  <si>
    <t>1220T</t>
  </si>
  <si>
    <t>1220U</t>
  </si>
  <si>
    <t>1220V</t>
  </si>
  <si>
    <t>1220W</t>
  </si>
  <si>
    <t>1220X</t>
  </si>
  <si>
    <t>1220Y</t>
  </si>
  <si>
    <t>1220Z</t>
  </si>
  <si>
    <t>1221A</t>
  </si>
  <si>
    <t>1221B</t>
  </si>
  <si>
    <t>1221C</t>
  </si>
  <si>
    <t>1221D</t>
  </si>
  <si>
    <t>1221E</t>
  </si>
  <si>
    <t>1221F</t>
  </si>
  <si>
    <t>1221G</t>
  </si>
  <si>
    <t>1221H</t>
  </si>
  <si>
    <t>1221K</t>
  </si>
  <si>
    <t>1221L</t>
  </si>
  <si>
    <t>FC152X6,3-ASTM-A572 GR.50</t>
  </si>
  <si>
    <t>1221M</t>
  </si>
  <si>
    <t>1221N</t>
  </si>
  <si>
    <t>1221P</t>
  </si>
  <si>
    <t>1221R</t>
  </si>
  <si>
    <t>1221S</t>
  </si>
  <si>
    <t>1221T</t>
  </si>
  <si>
    <t>1221U</t>
  </si>
  <si>
    <t>1221V</t>
  </si>
  <si>
    <t>1221W</t>
  </si>
  <si>
    <t>1221X</t>
  </si>
  <si>
    <t>1221Y</t>
  </si>
  <si>
    <t>1221Z</t>
  </si>
  <si>
    <t>1234A</t>
  </si>
  <si>
    <t>1234B</t>
  </si>
  <si>
    <t>1234C</t>
  </si>
  <si>
    <t>1234D</t>
  </si>
  <si>
    <t>1234E</t>
  </si>
  <si>
    <t>1234F</t>
  </si>
  <si>
    <t>1234G</t>
  </si>
  <si>
    <t>1234H</t>
  </si>
  <si>
    <t>1234K</t>
  </si>
  <si>
    <t>1234L</t>
  </si>
  <si>
    <t>1234M</t>
  </si>
  <si>
    <t>1234N</t>
  </si>
  <si>
    <t>1234P</t>
  </si>
  <si>
    <t>1234R</t>
  </si>
  <si>
    <t>1234S</t>
  </si>
  <si>
    <t>1234T</t>
  </si>
  <si>
    <t>1220AA</t>
  </si>
  <si>
    <t>1220AB</t>
  </si>
  <si>
    <t>1220AC</t>
  </si>
  <si>
    <t>1220AD</t>
  </si>
  <si>
    <t>1220AE</t>
  </si>
  <si>
    <t>1220AF</t>
  </si>
  <si>
    <t>1220AG</t>
  </si>
  <si>
    <t>1220AH</t>
  </si>
  <si>
    <t>1220AK</t>
  </si>
  <si>
    <t>1221AA</t>
  </si>
  <si>
    <t>FC152X8-ASTM-A572 GR.50</t>
  </si>
  <si>
    <t>1221AB</t>
  </si>
  <si>
    <t>1221AC</t>
  </si>
  <si>
    <t>1221AD</t>
  </si>
  <si>
    <t>FC152X8-ASTM-A36</t>
  </si>
  <si>
    <t>1221AE</t>
  </si>
  <si>
    <t>771AA</t>
  </si>
  <si>
    <t>1233A</t>
  </si>
  <si>
    <t>1192A</t>
  </si>
  <si>
    <t>1193A</t>
  </si>
  <si>
    <t>1194A</t>
  </si>
  <si>
    <t>1195A</t>
  </si>
  <si>
    <t>1196A</t>
  </si>
  <si>
    <t>1197A</t>
  </si>
  <si>
    <t>1198A</t>
  </si>
  <si>
    <t>1222A</t>
  </si>
  <si>
    <t>1222B</t>
  </si>
  <si>
    <t>1232A</t>
  </si>
  <si>
    <t>1232B</t>
  </si>
  <si>
    <t>1232C</t>
  </si>
  <si>
    <t>BATENTE</t>
  </si>
  <si>
    <t>1222C</t>
  </si>
  <si>
    <t>ITEM PQ</t>
  </si>
  <si>
    <t>P. UNIT</t>
  </si>
  <si>
    <t>P. TOTAL</t>
  </si>
  <si>
    <t>CLASSIFICAÇÃO</t>
  </si>
  <si>
    <t>PEÇA / 
ELEMENTO DE 
FIXAÇÃO</t>
  </si>
  <si>
    <t>QTD</t>
  </si>
  <si>
    <t>TIPO DE PEÇA</t>
  </si>
  <si>
    <t>PEÇA</t>
  </si>
  <si>
    <t>Resumo</t>
  </si>
  <si>
    <t>Total</t>
  </si>
  <si>
    <t>EST</t>
  </si>
  <si>
    <t>COB</t>
  </si>
  <si>
    <t>SEQ</t>
  </si>
  <si>
    <t>DATA</t>
  </si>
  <si>
    <t>DATA_DIA</t>
  </si>
  <si>
    <t>SEM_CMM_NUM</t>
  </si>
  <si>
    <t>SEM_VALE_NUM</t>
  </si>
  <si>
    <t>MÊS_FISICO</t>
  </si>
  <si>
    <t>MÊS_FISICO_NOME</t>
  </si>
  <si>
    <t>MÊS_FINANCEIRO</t>
  </si>
  <si>
    <t>MÊS_FINANCEIRO_NOME</t>
  </si>
  <si>
    <t>SEM_MIN</t>
  </si>
  <si>
    <t>SEM_MAX</t>
  </si>
  <si>
    <t>SEM_CONCAT</t>
  </si>
  <si>
    <t>2019.12 DEZ</t>
  </si>
  <si>
    <t>2020.01 JAN</t>
  </si>
  <si>
    <t>2020.02 FEV</t>
  </si>
  <si>
    <t>2020.03 MAR</t>
  </si>
  <si>
    <t>2020.04 ABR</t>
  </si>
  <si>
    <t>2020.05 MAI</t>
  </si>
  <si>
    <t>2020.06 JUN</t>
  </si>
  <si>
    <t>2020.07 JUL</t>
  </si>
  <si>
    <t>2020.08 AGO</t>
  </si>
  <si>
    <t>2020.09 SET</t>
  </si>
  <si>
    <t>2020.10 OUT</t>
  </si>
  <si>
    <t>2020.11 NOV</t>
  </si>
  <si>
    <t>2020.12 DEZ</t>
  </si>
  <si>
    <t>2021.01 JAN</t>
  </si>
  <si>
    <t>2021.02 FEV</t>
  </si>
  <si>
    <t>2021.03 MAR</t>
  </si>
  <si>
    <t>2021.04 ABR</t>
  </si>
  <si>
    <t>2021.05 MAI</t>
  </si>
  <si>
    <t>2021.06 JUN</t>
  </si>
  <si>
    <t>2021.07 JUL</t>
  </si>
  <si>
    <t>2021.08 AGO</t>
  </si>
  <si>
    <t>2021.09 SET</t>
  </si>
  <si>
    <t>2021.10 OUT</t>
  </si>
  <si>
    <t>2021.11 NOV</t>
  </si>
  <si>
    <t>2021.12 DEZ</t>
  </si>
  <si>
    <t>COMMODITIE</t>
  </si>
  <si>
    <t>PEAD</t>
  </si>
  <si>
    <t>TRANSPORTADO</t>
  </si>
  <si>
    <t>COMPRIMENTO</t>
  </si>
  <si>
    <t>TRECHO 05</t>
  </si>
  <si>
    <t>SOLDA</t>
  </si>
  <si>
    <t>NÃO</t>
  </si>
  <si>
    <t>SUB-ÁREA</t>
  </si>
  <si>
    <t>ATERRADO</t>
  </si>
  <si>
    <t>DIA DA SOLDA</t>
  </si>
  <si>
    <t>DIA DO ATERRO</t>
  </si>
  <si>
    <t>PROJETO</t>
  </si>
  <si>
    <t>POSIÇÃO DO TUBO</t>
  </si>
  <si>
    <t>DIÂMETRO DO TUBO</t>
  </si>
  <si>
    <t>PN TUBO</t>
  </si>
  <si>
    <t>PN 10</t>
  </si>
  <si>
    <t xml:space="preserve">LANÇADO </t>
  </si>
  <si>
    <t>DATA DE LANÇAMENTO</t>
  </si>
  <si>
    <t>Rótulos de Linha</t>
  </si>
  <si>
    <t>(vazio)</t>
  </si>
  <si>
    <t>Total Geral</t>
  </si>
  <si>
    <t>Soma de COMPRIMENTO</t>
  </si>
  <si>
    <t>LOCALIZAÇÃO</t>
  </si>
  <si>
    <t>PÁTIO 01</t>
  </si>
  <si>
    <t>2.2.4.1.1.1</t>
  </si>
  <si>
    <t>2.2.4.1.2.1</t>
  </si>
  <si>
    <t>2.2.4.1.4.1</t>
  </si>
  <si>
    <t>R$ Unit.</t>
  </si>
  <si>
    <t>R$ Total</t>
  </si>
  <si>
    <t>PLANILHA DE QUANTIDADES E PREÇOS</t>
  </si>
  <si>
    <t>GERENCIA DE IMPLANTAÇÃO PROJETOS CORRENTES CORREDOR SUDESTE</t>
  </si>
  <si>
    <t>EMPREENDIMENTO:</t>
  </si>
  <si>
    <t>N°. VALE: PQ-000G-00-2182</t>
  </si>
  <si>
    <t>OBRA CIVIL E ELETROMECÂNICA PARA DESAGUAMENTO DE REJEITO (Fase 2) NA MINA BRUCUTU</t>
  </si>
  <si>
    <t>REVISÃO / DATA: 2º TAC - 18/11/2020</t>
  </si>
  <si>
    <t>Nº TAP:  S-5809</t>
  </si>
  <si>
    <t xml:space="preserve">FOLHA:  </t>
  </si>
  <si>
    <t>UNID.</t>
  </si>
  <si>
    <t>CRITÉRIO DE MEDIÇÃO</t>
  </si>
  <si>
    <t>CONTRATO</t>
  </si>
  <si>
    <t>ADITIVO</t>
  </si>
  <si>
    <t>CONTRATO + ADITIVO</t>
  </si>
  <si>
    <t>Quantidade</t>
  </si>
  <si>
    <t>Preço Unitário</t>
  </si>
  <si>
    <t>TOTAL</t>
  </si>
  <si>
    <t>CANTEIRO E GERENCIAMENTO DE OBRA</t>
  </si>
  <si>
    <t>1.1</t>
  </si>
  <si>
    <t>INSTALAÇÕES PROVISÓRIAS DE OBRAS</t>
  </si>
  <si>
    <t>1.1.1</t>
  </si>
  <si>
    <t>CANTEIRO DE OBRAS</t>
  </si>
  <si>
    <t>1.1.1.1</t>
  </si>
  <si>
    <t>CONSTRUÇÃO DE CANTEIRO DE OBRAS</t>
  </si>
  <si>
    <t>Construção do Canteiro de Obras</t>
  </si>
  <si>
    <t>C</t>
  </si>
  <si>
    <t>Desmobilização do Canteiro de Obras</t>
  </si>
  <si>
    <t>1.1.2</t>
  </si>
  <si>
    <t>GERENCIAMENTO DE OBRA, MOBILIZAÇÃO E DESMOBILIZAÇÃO DE PESSOAL E EQUIPAMENTOS</t>
  </si>
  <si>
    <t/>
  </si>
  <si>
    <t>1.1.2.1</t>
  </si>
  <si>
    <t>ADMINSTRAÇÃO, GERENCIAMENTO DA OBRA E TOPOGRAFIA</t>
  </si>
  <si>
    <t>1.1.2.1.1</t>
  </si>
  <si>
    <t>Administração Local</t>
  </si>
  <si>
    <t>1.1.2.2</t>
  </si>
  <si>
    <t>MOBILIZAÇÃO / DESMOBILIZAÇÃO DE PESSOAL</t>
  </si>
  <si>
    <t>1.1.2.2.1</t>
  </si>
  <si>
    <t>Mobilização de Pessoal - MOD</t>
  </si>
  <si>
    <t>1.1.2.2.2</t>
  </si>
  <si>
    <t>Mobilização de Pessoal - MOI</t>
  </si>
  <si>
    <t>1.1.2.2.3</t>
  </si>
  <si>
    <t>Desmobilização de pessoal - MOD</t>
  </si>
  <si>
    <t>1.1.2.2.4</t>
  </si>
  <si>
    <t>Desmobilização de pessoal - MOI</t>
  </si>
  <si>
    <t>1.1.2.3</t>
  </si>
  <si>
    <t>MOBILIZAÇÃO / DESMOBILIZAÇÃO DE EQUIPAMENTOS</t>
  </si>
  <si>
    <t>1.1.2.3.1</t>
  </si>
  <si>
    <t>Mobilização de equipamentos pesados</t>
  </si>
  <si>
    <t>1.1.2.3.2</t>
  </si>
  <si>
    <t>Desmobilização de equipamentos pesados</t>
  </si>
  <si>
    <t>SUBTOTAL CANTEIRO E GERENCIAMENTO</t>
  </si>
  <si>
    <t>2</t>
  </si>
  <si>
    <t>S-5809 - DESAGUAMENTO REJEITO (FASE 02)</t>
  </si>
  <si>
    <t>2.1</t>
  </si>
  <si>
    <t>OBRAS CIVIS, TERRAPLENAGEM, DRENAGEM E PAVIMENTAÇÃO</t>
  </si>
  <si>
    <t>2.1.1</t>
  </si>
  <si>
    <t>SERVIÇOS PRELIMINARES</t>
  </si>
  <si>
    <t>2.1.1.1</t>
  </si>
  <si>
    <t>DESMONTES, DEMOLIÇÕES E REMOÇÕES</t>
  </si>
  <si>
    <t>DEMOLIÇÕES E DESMONTAGENS</t>
  </si>
  <si>
    <t>2.1.1.1.1.1</t>
  </si>
  <si>
    <t>Demolição de concreto simples ou armado</t>
  </si>
  <si>
    <t>REMOÇÃO DE MATERIAIS PROVENIENTES DE DESMONTES, DEMOLIÇÕES E DESMONTAGENS</t>
  </si>
  <si>
    <t>2.1.1.1.2.1</t>
  </si>
  <si>
    <t>Carga e transporte de material proveniente de demolições ou desmontes para a área de bota-fora - DMT 1.000 m</t>
  </si>
  <si>
    <t>2.1.1.1.2.2</t>
  </si>
  <si>
    <t>Momento extraordinário de transporte de material proveniente de demolições ou desmontes</t>
  </si>
  <si>
    <t>2.1.2</t>
  </si>
  <si>
    <t>ESTRUTURAS DE CONCRETO</t>
  </si>
  <si>
    <t>2.1.2.1</t>
  </si>
  <si>
    <t>FORMAS E CIMBRAMENTOS</t>
  </si>
  <si>
    <t>2.1.2.1.1</t>
  </si>
  <si>
    <t>FORMA - FORNECIMENTO E APLICAÇÃO</t>
  </si>
  <si>
    <t>2.1.2.1.1.1</t>
  </si>
  <si>
    <t>Forma plana para estrutura de concreto, inclusive escoramento de estruturas verticais</t>
  </si>
  <si>
    <t>2.1.2.2</t>
  </si>
  <si>
    <t>ARMADURA PARA CONCRETO</t>
  </si>
  <si>
    <t>2.1.2.2.1</t>
  </si>
  <si>
    <t>ARMADURA PARA CONCRETO EM VERGALHÕES - FORNECIMENTO, CORTE, DOBRA E APLICAÇÃO</t>
  </si>
  <si>
    <t>2.1.2.2.1.1</t>
  </si>
  <si>
    <t>2.1.2.3</t>
  </si>
  <si>
    <t>CONCRETOS</t>
  </si>
  <si>
    <t>2.1.2.3.1</t>
  </si>
  <si>
    <t>CONCRETO - PREPARO, TRANSPORTE, LANÇAMENTO, ADENSAMENTO E CURA (COM FORNECIMENTO DE TODOS OS MATERIAIS)</t>
  </si>
  <si>
    <t>2.1.2.3.1.1</t>
  </si>
  <si>
    <t xml:space="preserve">Concreto Convencional fck =&gt; 10,0 MPa. </t>
  </si>
  <si>
    <t>2.1.2.3.1.2</t>
  </si>
  <si>
    <t xml:space="preserve">Concreto Convencional fck =&gt; 30,0 MPa. </t>
  </si>
  <si>
    <t>2.1.2.4</t>
  </si>
  <si>
    <t>CHUMBADORES, INSERTOS E GRADES METÁLICAS</t>
  </si>
  <si>
    <t>2.1.2.4.1</t>
  </si>
  <si>
    <t>CHUMBADORES</t>
  </si>
  <si>
    <t>2.1.2.4.1.1</t>
  </si>
  <si>
    <t>Chumbador fixação química, inclusive materiais de fixação (Hilti ou similar) - até 2"</t>
  </si>
  <si>
    <t>2.1.2.4.1.2</t>
  </si>
  <si>
    <t>Chumbador de aço SAE 1020, inclusive materiais de fixação</t>
  </si>
  <si>
    <t>2.1.2.4.1.3</t>
  </si>
  <si>
    <t>Chumbador de expansão, diâmetro até 3/4" (alteração)</t>
  </si>
  <si>
    <t>2.1.2.4.2</t>
  </si>
  <si>
    <t xml:space="preserve">INSERTOS </t>
  </si>
  <si>
    <t>2.1.2.4.2.1</t>
  </si>
  <si>
    <t>Inserto metálico em aço ASTM-A36, fornecimento e instalação</t>
  </si>
  <si>
    <t>2.1.2.5</t>
  </si>
  <si>
    <t>CORTE, FURO E PREPARO DE SUPERFÍCIE DE CONCRETO</t>
  </si>
  <si>
    <t>2.1.2.5.1</t>
  </si>
  <si>
    <t>CORTE EM ESTRUTURA DE CONCRETO</t>
  </si>
  <si>
    <t>2.1.2.5.1.1</t>
  </si>
  <si>
    <t>Corte em piso ou laje de concreto/steel deck profundidade até 40 cm</t>
  </si>
  <si>
    <t>2.1.2.5.1.2</t>
  </si>
  <si>
    <t>Mobilização / Desmobilização e Montagem de equipamento para corte com fio diamantado</t>
  </si>
  <si>
    <t>2.1.2.5.2</t>
  </si>
  <si>
    <t>FURO EM ESTRUTURA DE CONCRETO</t>
  </si>
  <si>
    <t>2.1.2.5.2.1</t>
  </si>
  <si>
    <t>Furo em concreto com coroa diamantada, profundidade até 40cm - até Ø 22"</t>
  </si>
  <si>
    <t>2.1.2.5.3</t>
  </si>
  <si>
    <t>PREPARO DE SUPERFÍCIE DE CONCRETO</t>
  </si>
  <si>
    <t>2.1.2.5.3.1</t>
  </si>
  <si>
    <t>Escarificação mecânica de concreto, corte com profundidade até 3cm</t>
  </si>
  <si>
    <t>2.1.2.5.3.2</t>
  </si>
  <si>
    <t>Limpeza de superfície de concreto com jato de água</t>
  </si>
  <si>
    <t>2.1.2.6</t>
  </si>
  <si>
    <t>GRAUTEAMENTO E ADESIVO PARA ESTRUTURAS DE CONCRETO - Fornecimento e Aplicação</t>
  </si>
  <si>
    <t>2.1.2.6.1</t>
  </si>
  <si>
    <t>Aplicação de Sikadur 32 ou similar em furos, Ø=&lt; 32mm (inclusive colagem da armadura)</t>
  </si>
  <si>
    <t>2.1.3</t>
  </si>
  <si>
    <t>ACABAMENTOS PREDIAIS E INDUSTRIAIS</t>
  </si>
  <si>
    <t>2.1.3.1</t>
  </si>
  <si>
    <t>ESQUADRIAS E VIDROS - Fornecimento e Instalação</t>
  </si>
  <si>
    <t>2.1.3.1.1</t>
  </si>
  <si>
    <t>Porta tipo corta-fogo completa, inclusive batentes e ferragens, período de isolamento de 90'</t>
  </si>
  <si>
    <t>2.2</t>
  </si>
  <si>
    <t>FORNECIMENTO E MONTAGEM DE DE EQUIPAMENTOS E COMPONENTES ELETROMECÂNICOS</t>
  </si>
  <si>
    <t>2.2.1</t>
  </si>
  <si>
    <t>FORNECIMENTO E MONTAGEM DE EQUIPAMENTOS MECÂNICOS DE PROCESSO</t>
  </si>
  <si>
    <t>2.2.1.1</t>
  </si>
  <si>
    <t>FORNECIMENTO E MONTAGEM DE SISTEMAS</t>
  </si>
  <si>
    <t>SISTEMA DE AR CONDICIONADO - FORNECIMENTO COMPLETO ( EQUIPAMENTO E INSTALAÇÃO)</t>
  </si>
  <si>
    <t>2.2.1.1.1.1</t>
  </si>
  <si>
    <t>Fornecimento e montagem de sistema de ar condicionado tipo janela para abrigo de remota, 220 V. Inclusive tubulação, cabos, suportes e acessórios</t>
  </si>
  <si>
    <t>F</t>
  </si>
  <si>
    <t>SISTEMAS DE COMBATE A INCENDIO - FORNECIMENTO COMPLETO</t>
  </si>
  <si>
    <t>2.2.1.1.2.1</t>
  </si>
  <si>
    <t>Fornecimento e montagem de sinalização, com pigmentação gráfica fotoluminescente tipo de orientação e salvamento de acordo com it do cbmmg (inclusive fornecimento de suportes de fixação).</t>
  </si>
  <si>
    <t>2.2.1.1.2.2</t>
  </si>
  <si>
    <t>Fornecimento e montagem de sinalização, com pigmentação gráfica fotoluminescente tipo proibição de acordo com it do cbmmg (inclusive fornecimento de suportes de fixação).</t>
  </si>
  <si>
    <t>2.2.1.1.2.3</t>
  </si>
  <si>
    <t>Fornecimento e montagem de sinalização, com pigmentação gráfica fotoluminescente tipo alerta de acordo com it do cbmmg (inclusive fornecimento de suportes de fixação).</t>
  </si>
  <si>
    <t>2.2.1.1.2.4</t>
  </si>
  <si>
    <t>Fornecimento e montagem de sinalização, com pigmentação gráfica fotoluminescente tipo equipamentos de proteção e combate a incêndio e alarme de acordo com it do cbmmg (inclusive fornecimento de suportes de fixação).</t>
  </si>
  <si>
    <t>2.2.1.1.2.5</t>
  </si>
  <si>
    <t>Fornecimento de extintor sobre rodas inclusive fornecimento de suportes fixação. classe: b/c (pó químico) carga: 80b:c</t>
  </si>
  <si>
    <t>900</t>
  </si>
  <si>
    <t>2.2.1.1.2.6</t>
  </si>
  <si>
    <t>Fornecimento e montagem de abrigo para extintor sobre rodas, instalação externa, fabricado em prfv (inclusive fornecimento e montagem de suportes de fixação).</t>
  </si>
  <si>
    <t>2.2.1.1.2.7</t>
  </si>
  <si>
    <t>Fornecimento e instalação de extintor portátil co2, 6kg, com capacidade extintora de 5-b:c.</t>
  </si>
  <si>
    <t>2.2.2</t>
  </si>
  <si>
    <t>FORNECIMENTO E MONTAGEM DE CALDEIRARIA, PROTEÇÕES E REVESTIMENTOS</t>
  </si>
  <si>
    <t>2.2.2.1</t>
  </si>
  <si>
    <t>FORNECIMENTO E MONTAGEM DE PROTEÇÕES E REVESTIMENTOS</t>
  </si>
  <si>
    <t>FORNECIMENTO E MONTAGEM DE REVESTIMENTOS A BASE DE BORRACHA NATURAL</t>
  </si>
  <si>
    <t>2.2.2.1.1.1</t>
  </si>
  <si>
    <t>Fornecimento e montagem de cortina de borracha natural, espessura até 25 mm</t>
  </si>
  <si>
    <t>2.2.3</t>
  </si>
  <si>
    <t>FORNECIMENTO E MONTAGEM DE TUBULAÇÕES, CONEXÕES E ACESSÓRIOS</t>
  </si>
  <si>
    <t>2.2.3.1</t>
  </si>
  <si>
    <t>FORNECIMENTO E MONTAGEM DE TUBULAÇÕES</t>
  </si>
  <si>
    <t>2.2.3.1.1</t>
  </si>
  <si>
    <t>FORNECIMENTO E MONTAGEM DE TUBO DE AÇO CARBONO ASTM A53 Gr. B, SCHEDULE STD</t>
  </si>
  <si>
    <t>2.2.3.1.1.1</t>
  </si>
  <si>
    <t>Fornecimento e montagem de tubulação de aço carbono ASTM A53 Gr B-S, schedule std, WT, com extremidade para solda de topo. Inclusive acessórios - Ø até 6"</t>
  </si>
  <si>
    <t>2.2.3.1.2</t>
  </si>
  <si>
    <t>FORNECIMENTO E MONTAGEM  DE TUBO DE AÇO CARBONO ASTM A53 Gr. B, SCHEDULE STD</t>
  </si>
  <si>
    <t>2.2.3.1.2.1</t>
  </si>
  <si>
    <t>Fornecimento e montagem de tubo, cc long, ac, astm a-283 gr. c, sch 10, pl, ri pu 10 mm, flangeado, 8", inclusive curvas, conexões, reduções e tês. (furação do flange conforme norma awwa-c 207 - material astm a36, #150)</t>
  </si>
  <si>
    <t>2.2.3.1.2.2</t>
  </si>
  <si>
    <t>Fornecimento e montagem de tubo, cc long, ac, astm a-283 gr. c, sch 10, pl, ri pu 10 mm, flangeado, 10", inclusive curvas, conexões, reduções e tês. (furação do flange conforme norma awwa-c 207 - material astm a36, #150)</t>
  </si>
  <si>
    <t>2.2.3.1.3</t>
  </si>
  <si>
    <t>FORNECIMENTO E MONTAGEM  DE TUBO DE AÇO CARBONO ASTM A53 Gr. B, SCHEDULE 40</t>
  </si>
  <si>
    <t>2.2.3.1.3.1</t>
  </si>
  <si>
    <t>Fornecimento e montagem de tubulação de aço carbono ASTM A53 Gr B-S, schedule 40. Inclusive acessórios e válvulas - Ø até 2”</t>
  </si>
  <si>
    <t>2.2.3.1.4</t>
  </si>
  <si>
    <t>FORNECIMENTO E MONTAGEM  DE TUBO DE AÇO CARBONO ASTM A53 Gr. B, SCHEDULE 80</t>
  </si>
  <si>
    <t>2.2.3.1.4.1</t>
  </si>
  <si>
    <t>Fornecimento e montagem de tubulação de aço carbono ASTM A53 Gr. B-S, schedule 80. Inclusive acessórios e válvulas - Ø 2"</t>
  </si>
  <si>
    <t>2.2.3.1.4.2</t>
  </si>
  <si>
    <t>Fornecimento e montagem de tubulação de aço carbono ASTM A53 Gr. B-S, schedule 80, WT, com extremidade para solda de topo. Inclusive acessórios - Ø até 6”</t>
  </si>
  <si>
    <t>2.2.3.1.4.3</t>
  </si>
  <si>
    <t>Fornecimento e montagem de tubulação de aço carbono ASTM A53 Gr. B-S, schedule 80, WT, com extremidade para solda de topo. Inclusive acessórios - Ø 8”</t>
  </si>
  <si>
    <t>2.2.3.1.4.4</t>
  </si>
  <si>
    <t>Fornecimento e montagem de tubulação de aço carbono ASTM A53 Gr. B-S, schedule 80, WT, com extremidade para solda de topo. Inclusive acessórios - Ø 10”</t>
  </si>
  <si>
    <t>2.2.3.1.4.5</t>
  </si>
  <si>
    <t>Fornecimento e montagem de tubulação de aço carbono ASTM A53 Gr. B-S, schedule 80, WT, com extremidade para solda de topo. Inclusive acessórios - Ø 12"</t>
  </si>
  <si>
    <t>2.2.3.1.4.6</t>
  </si>
  <si>
    <t>Fornecimento e montagem de tubulação de aço carbono ASTM A53 Gr. B-S, schedule 80, WT, com extremidade para solda de topo. Inclusive acessórios - Ø 14"</t>
  </si>
  <si>
    <t>2.2.3.1.4.7</t>
  </si>
  <si>
    <t>Fornecimento e montagem de tubulação de aço carbono ASTM A53 Gr. B-S, schedule 80, WT, com extremidade para solda de topo. Inclusive acessórios - Ø 22"</t>
  </si>
  <si>
    <t>2.2.3.1.5</t>
  </si>
  <si>
    <t>FORNECIMENTO E MONTAGEM DE TUBO EM AÇO CARBONO, COM COSTURA, REVESTIDO INTERNAMENTE EM POLIURETANO</t>
  </si>
  <si>
    <t>2.2.3.1.5.1</t>
  </si>
  <si>
    <t>Fornecimento e montagem de tubo dn-6", com cost. ac, astm a-283 gr. c - sch 10, revestimento int. em  pu 8mm, flangeado, extremidades  um lado fixo e outro lado solto inclusive curvas, conexões, reduções e tês. (flanges conf. awwa-c 207 - material do flange astm a36, cl 150 lbs)</t>
  </si>
  <si>
    <t>2.2.3.1.5.2</t>
  </si>
  <si>
    <t>Fornecimento e montagem de tubo dn-8", com cost. ac, astm a-283 gr. c - sch 10, revestimento int. em  pu 12mm, flangeado, extremidades  um lado fixo e outro lado solto inclusive curvas, conexões, reduções e tês. (flanges conf. awwa-c 207 - material do flange astm a36, cl 150 lbs)</t>
  </si>
  <si>
    <t>2.2.3.1.5.3</t>
  </si>
  <si>
    <t>Fornecimento e montagem de tubo dn-10", com cost. ac, astm a-283 gr. c - sch 10, revestimento int. em  pu 12mm, flangeado, extremidades  um lado fixo e outro lado solto inclusive curvas, conexões, reduções e tês. (flanges conf. awwa-c 207 - material do flange astm a36, cl 150 lbs)</t>
  </si>
  <si>
    <t>2.2.3.1.5.4</t>
  </si>
  <si>
    <t>Fornecimento e montagem de tubo dn-12", com cost. ac, astm a-283 gr. c - sch 10, revestimento int. em  pu 12mm, flangeado, extremidades  um lado fixo e outro lado solto inclusive curvas, conexões, reduções e tês. (flanges conf. awwa-c 207 - material do flange astm a36, cl 150 lbs)</t>
  </si>
  <si>
    <t>2.2.3.1.5.5</t>
  </si>
  <si>
    <t>Fornecimento e montagem de tubo dn-14", com cost. ac, astm a-283 gr. c - sch 10, revestimento int. em  pu 12mm, flangeado, extremidades  um lado fixo e outro lado solto inclusive curvas, conexões, reduções e tês. (flanges conf. awwa-c 207 - material do flange astm a36, cl 150 lbs)</t>
  </si>
  <si>
    <t>2.2.3.1.5.6</t>
  </si>
  <si>
    <t>Fornecimento e montagem de tubo dn-16", com cost. ac, astm a-283 gr. c - sch 10, revestimento int. em  pu 12mm, flangeado, extremidades  um lado fixo e outro lado solto inclusive curvas, conexões, reduções e tês. (flanges conf. awwa-c 207 - material do flange astm a36, cl 150 lbs)</t>
  </si>
  <si>
    <t>2.2.3.1.5.7</t>
  </si>
  <si>
    <t>Fornecimento e montagem de tubo dn-20", com cost. ac, astm a-283 gr. c - sch 10, revestimento int. em  pu 12mm, flangeado, extremidades  um lado fixo e outro lado solto inclusive curvas, conexões, reduções e tês. (flanges conf. awwa-c 207 - material do flange astm a36, cl 150 lbs)</t>
  </si>
  <si>
    <t>2.2.3.1.5.8</t>
  </si>
  <si>
    <t>Fornecimento e montagem de tubo dn-22", com cost. ac, astm a-283 gr. c - sch 10, revestimento int. em  pu 12mm, flangeado, extremidades  um lado fixo e outro lado solto inclusive curvas, conexões, reduções e tês. (flanges conf. awwa-c 207 - material do flange astm a36, cl 150 lbs)</t>
  </si>
  <si>
    <t>2.2.3.1.6</t>
  </si>
  <si>
    <t>FORNECIMENTO E MONTAGEM DE CARRETEL DE BORRACHA</t>
  </si>
  <si>
    <t>2.2.3.1.6.1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</si>
  <si>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até Ø 12",  comprimento até 1.000,00 mm, conforme padrão Vale</t>
  </si>
  <si>
    <t>2.2.3.1.7</t>
  </si>
  <si>
    <t>FORNECIMENTO E MONTAGEM DE CURVA DE BORRACHA</t>
  </si>
  <si>
    <t>2.2.3.1.7.1</t>
  </si>
  <si>
    <t>Curvas de borracha com ângulos de (90º, 60°, 45° e 30°),  3 x d, 8"</t>
  </si>
  <si>
    <t>2.2.3.2</t>
  </si>
  <si>
    <t>FORNECIMENTO E MONTAGEM DE VÁLVULAS PARA TUBULAÇÕES</t>
  </si>
  <si>
    <t>2.2.3.2.1</t>
  </si>
  <si>
    <t>FORNECIMENTO E MONTAGEM DE VÁLVULA BORBOLETA</t>
  </si>
  <si>
    <t>2.2.3.2.1.1</t>
  </si>
  <si>
    <t>Fornecimento e montagem de válvula borboleta - Ø até 4 "</t>
  </si>
  <si>
    <t>2.2.3.2.2</t>
  </si>
  <si>
    <t>FORNECIMENTO E MONTAGEM DE VÁLVULA ESFERA</t>
  </si>
  <si>
    <t>2.2.3.2.2.1</t>
  </si>
  <si>
    <t>Fornecimento e montagem de válvula esfera,  classe 150#, rosca NPT - até DN 2"</t>
  </si>
  <si>
    <t>2.2.3.2.3</t>
  </si>
  <si>
    <t>FORNECIMENTO E MONTAGEM DE VÁLVULA DE RETENÇÃO DE PORTINHOLA</t>
  </si>
  <si>
    <t>2.2.3.2.3.1</t>
  </si>
  <si>
    <t>Fornecimento e montagem de válvula de retenção de portinhola  de aço carbono - Ø 2" até Ø 6"</t>
  </si>
  <si>
    <t>2.2.3.3</t>
  </si>
  <si>
    <t>FORNECIMENTO E MONTAGEM DE MANGUEIRAS E ACESSÓRIOS PARA TUBULAÇÃO</t>
  </si>
  <si>
    <t>2.2.3.3.1</t>
  </si>
  <si>
    <t>FORNECIMENTO E MONTAGEM DE MANGUEIRA PNEUMÁTICA</t>
  </si>
  <si>
    <t>2.2.3.3.1.1</t>
  </si>
  <si>
    <t>Fornecimento e montagem de mangueira pneumática, adequada a aplicação industrial, com tubo interno de borracha sintética, diâmetro interno de 19 mm, diametro externo 30 mm, pressão máxima 10 bar, raio mínimo de curvatura 200 mm, incluindo todos os acessórios necessários.</t>
  </si>
  <si>
    <t>2.2.3.3.1.2</t>
  </si>
  <si>
    <t>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t>
  </si>
  <si>
    <t>2.2.4</t>
  </si>
  <si>
    <t>FORNECIMENTO E MONTAGEM DE ESTRUTURAS METÁLICAS</t>
  </si>
  <si>
    <t>2.2.4.1</t>
  </si>
  <si>
    <t>FORNECIMENTO, FABRICAÇÃO E MONTAGEM DE ESTRUTURAS METÁLICAS</t>
  </si>
  <si>
    <t>2.2.4.1.1</t>
  </si>
  <si>
    <t>FORNECIMENTO E MONTAGEM DE CHAPAS E PERFIS SOLDADOS</t>
  </si>
  <si>
    <t>Fornecimento, fabricação e montagem de estrutura metálica</t>
  </si>
  <si>
    <t>2.2.4.1.2</t>
  </si>
  <si>
    <t>FORNECIMENTO E MONTAGEM DE GRADE DE PISO</t>
  </si>
  <si>
    <t>Fornecimento e montagem de grade galvanizada - Referência Selmec ou similar</t>
  </si>
  <si>
    <t>2.2.4.1.3</t>
  </si>
  <si>
    <t>FORNECIMENTO E MONTAGEM DE CHAPA DE PISO</t>
  </si>
  <si>
    <t>2.2.4.1.3.1</t>
  </si>
  <si>
    <t>Fornecimento e montagem de chapa de piso (Chapa Expandida)</t>
  </si>
  <si>
    <t>2.2.4.1.4</t>
  </si>
  <si>
    <t>FORNECIMENTO E MONTAGEM DE MISCÊLÂNEAS METÁLICAS</t>
  </si>
  <si>
    <t>Fornecimento, fabricação e montagem de miscelâneas metálicas (insclusive escadas, corrimãos, guarda-corpos, etc.)</t>
  </si>
  <si>
    <t>2.2.4.2</t>
  </si>
  <si>
    <t>2.2.4.2.1</t>
  </si>
  <si>
    <t>FORNECIMENTO E MONTAGEM DE TELHAS PARA COBERTURA E FECHAMENTO</t>
  </si>
  <si>
    <t>2.2.4.2.1.1</t>
  </si>
  <si>
    <t>Fornecimento e montagem de telha trapezoidal termoacústica, em aço galvanizado, espessura de 0,80 mm, acabamento natural</t>
  </si>
  <si>
    <t>2.2.5</t>
  </si>
  <si>
    <t>FORNECIMENTO E MONTAGEM DE EQUIPAMENTOS AUTOMAÇÃO E CONTROLE</t>
  </si>
  <si>
    <t>2.2.5.1</t>
  </si>
  <si>
    <t>FORNECIMENTO E MONTAGEM DE SISTEMA DE CONTROLE E SUPERVISÃO (CLP/SCADA, SDCD)</t>
  </si>
  <si>
    <t>2.2.5.1.1</t>
  </si>
  <si>
    <t>Fornecimento e montagem de caixa de junção para rede Profibus PA, IP-65, montada em painel de campo, com 8 saídas (spurs) e demais acessórios montados e interligados, conforme FD-1450AA-J-54858</t>
  </si>
  <si>
    <t>2.2.5.1.2</t>
  </si>
  <si>
    <t>Fornecimento e montagem de distribuidor interno óptico, a ser montado em painél existente, para instalação interna, bandeja de emenda para acomodação de 12 fusões, 12 portas ópticas monomodo com conectores, kit de adaptadores e pigtails, conforme FD-1450AA-J-54859</t>
  </si>
  <si>
    <t>2.2.5.1.3</t>
  </si>
  <si>
    <t>Fornecimento e montagem de cordão óptico duplex (a ser montado em painél existente), fibra óptica do tipo monomodo conforme FD-1450AA-J-54859</t>
  </si>
  <si>
    <t>2.2.6</t>
  </si>
  <si>
    <t>FORNECIMENTO E MONTAGEM DE MATERIAIS ELÉTRICOS</t>
  </si>
  <si>
    <t>2.2.6.1</t>
  </si>
  <si>
    <t>FORNECIMENTO E MONTAGEM DE CONDUTORES ELÉTRICOS ( FIOS E CABOS ) - FORÇA</t>
  </si>
  <si>
    <t>2.2.6.1.1</t>
  </si>
  <si>
    <t>FORNECIMENTO E MONTAGEM DE CABO FLEXÍVEL, SINGELO, COM ISOLAÇÃO EPR E COBERTURA DE PVC - 1KV</t>
  </si>
  <si>
    <t>2.2.6.1.1.1</t>
  </si>
  <si>
    <t>Fornecimento e montagem de cabo singelo, flexível, encordoamento classe 5, com isolação sólida extrudada de EPR e cobertura flexível de PVC- 90ºC, classe de tensão 0,6/1kV - Seção 1 x 50 mm²</t>
  </si>
  <si>
    <t>2.2.6.1.1.2</t>
  </si>
  <si>
    <t>Fornecimento e montagem de cabo singelo, flexível, encordoamento classe 5, com isolação sólida extrudada de EPR e cobertura flexível de PVC- 90ºC, classe de tensão 0,6/1kV - Seção 1 x 95 mm²</t>
  </si>
  <si>
    <t>2.2.6.1.1.3</t>
  </si>
  <si>
    <t xml:space="preserve">Fornecimento e montagem de cabo singelo, flexível, encordoamento classe 5, com isolação sólida extrudada de EPR e cobertura flexível de PVC- 90ºC, classe de tensão 0,6/1kV - Seção 1 x 150 mm² </t>
  </si>
  <si>
    <t>2.2.6.1.2</t>
  </si>
  <si>
    <t>FORNECIMENTO E MONTAGEM DE CABO FLEXÍVEL, BIPOLAR, COM ISOLAÇÃO EPR E COBERTURA DE PVC - 1KV</t>
  </si>
  <si>
    <t>2.2.6.1.2.1</t>
  </si>
  <si>
    <t>Fornecimento e montagem de cabo bipolar flexível, encordoamento classe 5, com isolação sólida extrudada de EPR e cobertura flexível de PVC- 90ºC, classe de tensão 0,6/1kV - Seção 2 x 1,5 mm²</t>
  </si>
  <si>
    <t>2.2.6.1.2.2</t>
  </si>
  <si>
    <t xml:space="preserve">Fornecimento e montagem de cabo bipolar flexível, encordoamento classe 5, com isolação sólida extrudada de EPR e cobertura flexível de PVC- 90ºC, classe de tensão 0,6/1kV - Seção 2 x 2,5 mm² </t>
  </si>
  <si>
    <t>2.2.6.1.3</t>
  </si>
  <si>
    <t>FORNECIMENTO E MONTAGEM DE CABO FLEXÍVEL, TRIPOLAR, COM ISOLAÇÃO EPR E COBERTURA DE PVC - 1KV</t>
  </si>
  <si>
    <t>2.2.6.1.3.1</t>
  </si>
  <si>
    <t>Fornecimento e montagem de cabo tripolar, flexível, encordoamento classe 5, com isolação sólida extrudada de EPR e cobertura flexível de PVC- 90ºC, classe de tensão 0,6/1kV - Seção 3 x 2,5 mm²</t>
  </si>
  <si>
    <t>2.2.6.1.3.2</t>
  </si>
  <si>
    <t>Fornecimento e montagem de cabo tripolar, flexível, encordoamento classe 5, com isolação sólida extrudada de EPR e cobertura flexível de PVC- 90ºC, classe de tensão 0,6/1kV - Seção 3 x 4 mm²</t>
  </si>
  <si>
    <t>2.2.6.1.4</t>
  </si>
  <si>
    <t>FORNECIMENTO E MONTAGEM DE CABO FLEXÍVEL, TETRAPOLAR, COM ISOLAÇÃO EPR E COBERTURA DE PVC - 1KV</t>
  </si>
  <si>
    <t>2.2.6.1.4.1</t>
  </si>
  <si>
    <t>Fornecimento e montagem de cabo tetrapolar, flexível, encordoamento classe 5, com isolação sólida extrudada de EPR e cobertura flexível de PVC- 90ºC, classe de tensão 0,6/1kV - Seção 4 x 4 mm²</t>
  </si>
  <si>
    <t>2.2.6.1.4.2</t>
  </si>
  <si>
    <t>Fornecimento e montagem de cabo tetrapolar, flexível, encordoamento classe 5, com isolação sólida extrudada de EPR e cobertura flexível de PVC- 90ºC, classe de tensão 0,6/1kV - Seção 4 x 10 mm²</t>
  </si>
  <si>
    <t>2.2.6.1.4.3</t>
  </si>
  <si>
    <t>Fornecimento e montagem de cabo tetrapolar, flexível, encordoamento classe 5, com isolação sólida extrudada de EPR e cobertura flexível de PVC- 90ºC, classe de tensão 0,6/1kV - Seção 4 x 25 mm²</t>
  </si>
  <si>
    <t>2.2.6.1.5</t>
  </si>
  <si>
    <t>FORNECIMENTO E MONTAGEM DE CABO DE POTÊNCIA - 1KV</t>
  </si>
  <si>
    <t>2.2.6.1.5.1</t>
  </si>
  <si>
    <t>Fornecimento e montagem de cabo de potência, não halogenado 0,6/1KV, temperatura de serviço 90ºC, 1 condutor, classe 5 - Seção 25 mm²</t>
  </si>
  <si>
    <t>2.2.6.1.5.2</t>
  </si>
  <si>
    <t>Fornecimento e montagem de cabo de potência, não halogenado 0,6/1KV, temperatura de serviço 90ºC, 1 condutor, classe 5 - Seção 50 mm²</t>
  </si>
  <si>
    <t>2.2.6.1.5.3</t>
  </si>
  <si>
    <t>Fornecimento e montagem de cabo de potência, não halogenado 0,6/1KV, temperatura de serviço 90ºC, 1 condutor, classe 5 - Seção 70 mm²</t>
  </si>
  <si>
    <t>2.2.6.1.6</t>
  </si>
  <si>
    <t>FORNECIMENTO E MONTAGEM DE CABO EXTRAFLEXÍVEL PARA ILUMINAÇÃO COM ISOLAÇÃO SÓLIDA EXTRUDADA DE PVC - 1,0 KV</t>
  </si>
  <si>
    <t>2.2.6.1.6.1</t>
  </si>
  <si>
    <t>Fornecimento e montagem de cabo extraflexível unipolar, com isolação sólida extrudada de PVC - Seção 2,5 mm²</t>
  </si>
  <si>
    <t>2.2.6.1.6.2</t>
  </si>
  <si>
    <t>Fornecimento e montagem de cabo extraflexível unipolar, com isolação sólida extrudada de PVC - Seção 4 mm²</t>
  </si>
  <si>
    <t>2.2.6.1.6.3</t>
  </si>
  <si>
    <t>Fornecimento e montagem de cabo extraflexível unipolar, com isolação sólida extrudada de PVC - Seção 6 mm²</t>
  </si>
  <si>
    <t>2.2.6.2</t>
  </si>
  <si>
    <t>FORNECIMENTO E MONTAGEM DE CONDUTORES ELÉTRICOS E ÓTICOS - INSTRUMENTAÇÃO, CONTROLE E COMUNICAÇÃO</t>
  </si>
  <si>
    <t>2.2.6.2.1</t>
  </si>
  <si>
    <t>FORNECIMENTO E MONTAGEM DE CABOS ELÉTRICOS PARA INSTRUMENTAÇÃO</t>
  </si>
  <si>
    <t>2.2.6.2.1.1</t>
  </si>
  <si>
    <t>Fornecimento e montagem de cabo de instrumentação, para interligação com encoders, com conector DB-9 montado, condutores de cobre nú, blindagem total, encordoamento classe 2, isolação em PVC antichama, temperatura de serviço 70ºC, 300/600V, condutores numerados, 2P x 1,00 mm²</t>
  </si>
  <si>
    <t>2.2.6.2.1.2</t>
  </si>
  <si>
    <t>Fornecimento e montagem de cabo de instrumentação, para interligação com encoders, com conector DB-9 montado, condutores de cobre nú, blindagem total, encordoamento classe 2, isolação em PVC antichama, temperatura de serviço 70ºC, 300/600V, condutores numerados, 4P x 1,00 mm²</t>
  </si>
  <si>
    <t>2.2.6.2.2</t>
  </si>
  <si>
    <t>FORNECIMENTO E MONTAGEM DE CABO DE CONTROLE, COM CONDUTORES DE COBRE, SEM BLINDAGEM</t>
  </si>
  <si>
    <t>2.2.6.2.2.1</t>
  </si>
  <si>
    <t>Fornecimento e montagem de cabo de controle, condutores de cobre nú, sem blindagem, encordoamento classe 5, isolação em PVC antichama, temperatura de serviço 70ºC, 0,6/1kV, condutores numerados - Seção 3 x 1,5 mm²</t>
  </si>
  <si>
    <t>2.2.6.2.2.2</t>
  </si>
  <si>
    <t>Fornecimento e montagem de cabo de controle, condutores de cobre nú, sem blindagem, encordoamento classe 5, isolação em PVC antichama, temperatura de serviço 70ºC, 0,6/1kV, condutores numerados - Seção 5 x 1,5 mm²</t>
  </si>
  <si>
    <t>2.2.6.2.2.3</t>
  </si>
  <si>
    <t>Fornecimento e montagem de cabo de controle, condutores de cobre nú, sem blindagem, encordoamento classe 5, isolação em PVC antichama, temperatura de serviço 70ºC, 0,6/1kV, condutores numerados - Seção 7 x 1,5mm²</t>
  </si>
  <si>
    <t>2.2.6.2.2.4</t>
  </si>
  <si>
    <t>Fornecimento e montagem de cabo de controle, condutores de cobre nú, sem blindagem, encordoamento classe 5, isolação em PVC antichama, temperatura de serviço 70ºC, 0,6/1kV, condutores numerados - Seção 12 x 1,5mm²</t>
  </si>
  <si>
    <t>2.2.6.2.2.5</t>
  </si>
  <si>
    <t>Fornecimento e montagem de cabo de controle, condutores de cobre nú, sem blindagem, encordoamento classe 5, isolação em PVC antichama, temperatura de serviço 70ºC, 0,6/1kV, condutores numerados - Seção 15 x 1,5mm²</t>
  </si>
  <si>
    <t>2.2.6.2.2.6</t>
  </si>
  <si>
    <t>Fornecimento e montagem de cabo de controle, condutores de cobre nú, sem blindagem, encordoamento classe 5, isolação em PVC antichama, temperatura de serviço 70ºC, 0,6/1kV, condutores numerados - Seção 25 x 1,5mm²</t>
  </si>
  <si>
    <t>2.2.6.2.3</t>
  </si>
  <si>
    <t>FORNECIMENTO E MONTAGEM DE CABO ÓPTICO PARA INSTALAÇÃO AÉREA - AUTO-SUSTENTADO - MONOMODO</t>
  </si>
  <si>
    <t>2.2.6.2.3.1</t>
  </si>
  <si>
    <t>Fornecimento, montagem e fusão de cabo ótico para instalação interna ou externa, elementos de tração dielétricos, lançamento em dutos, revestimento primário em acrilato e revestimento secundário emmaterial termoplástico não propagante a chamas, núcleo seco do tipo tight buffer, 12 veias, monomodo.</t>
  </si>
  <si>
    <t>2.2.6.2.4</t>
  </si>
  <si>
    <t>FORNECIMENTO E MONTAGEM DE CABO PARA REDE DE COMUNICAÇÃO INDUSTRIAL</t>
  </si>
  <si>
    <t>2.2.6.2.4.1</t>
  </si>
  <si>
    <t>Fornecimento e montagem de cabo para rede de comunicação industrial, Profibus DP normatizado.</t>
  </si>
  <si>
    <t>2.2.6.2.4.2</t>
  </si>
  <si>
    <t>Fornecimento e montagem de cabo para rede de comunicação industrial, Profibus PA normatizado.</t>
  </si>
  <si>
    <t>2.2.6.3</t>
  </si>
  <si>
    <t>FORNECIMENTO E MONTAGEM DE ELETRODUTOS RÍGIDOS E FLEXÍVEIS,EM AÇO GALV.,C/ACESSORIOS</t>
  </si>
  <si>
    <t>2.2.6.3.1</t>
  </si>
  <si>
    <t>Fornecimento e montagem de eletroduto rígido em aço galvanizado a fogo, sem rebarba,  tipo pesado, com acessórios - Ø 3/4"</t>
  </si>
  <si>
    <t>2.2.6.3.2</t>
  </si>
  <si>
    <t>Fornecimento e montagem de eletroduto rígido em aço galvanizado a fogo, sem rebarba,  tipo pesado, com acessórios - Ø 1"</t>
  </si>
  <si>
    <t>2.2.6.3.3</t>
  </si>
  <si>
    <t>Fornecimento e montagem de eletroduto rígido em aço galvanizado a fogo, sem rebarba,  tipo pesado, com acessórios - Ø 1.1/2"</t>
  </si>
  <si>
    <t>2.2.6.3.4</t>
  </si>
  <si>
    <t>Fornecimento e montagem de eletroduto rígido em aço galvanizado a fogo, sem rebarba,  tipo pesado, com acessórios - Ø 2"</t>
  </si>
  <si>
    <t>2.2.6.3.5</t>
  </si>
  <si>
    <t>Fornecimento e montagem de eletroduto rígido em aço galvanizado a fogo, sem rebarba,  tipo pesado, com acessórios - Ø 2.1/2"</t>
  </si>
  <si>
    <t>2.2.6.3.6</t>
  </si>
  <si>
    <t>Fornecimento e montagem de eletroduto rígido em aço galvanizado a fogo, sem rebarba,  tipo pesado, com acessórios - Ø 3"</t>
  </si>
  <si>
    <t>2.2.6.3.7</t>
  </si>
  <si>
    <t>Fornecimento e montagem de eletroduto rígido em aço galvanizado a fogo, sem rebarba,  tipo pesado, com acessórios - Ø 4"</t>
  </si>
  <si>
    <t>2.2.6.4</t>
  </si>
  <si>
    <t>FORNECIMENTO E MONTAGEM DE ELETRODUTOS RÍGIDOS E FLEXÍVEIS, EM PVC SCH.70, C/ ACESSORIOS</t>
  </si>
  <si>
    <t>2.2.6.4.1</t>
  </si>
  <si>
    <t xml:space="preserve">Fornecimento e montagem de eletroduto rígidos e flexíveis em PVC, com acessórios - Ø 3/4"  </t>
  </si>
  <si>
    <t>2.2.6.5</t>
  </si>
  <si>
    <t>FORNECIMENTO E MONTAGEM DE ELETROCALHA C/ ACESSÓRIOS</t>
  </si>
  <si>
    <t>2.2.6.5.1</t>
  </si>
  <si>
    <t>Fornecimento e montagem de eletrocalha, com acessórios, altura de 100 mm, largura de 200 mm</t>
  </si>
  <si>
    <t>2.2.6.5.2</t>
  </si>
  <si>
    <t>Fornecimento e montagem de eletrocalha, com acessórios, altura de 150 mm, largura de 100 mm</t>
  </si>
  <si>
    <t>2.2.6.6</t>
  </si>
  <si>
    <t>FORNECIMENTO E MONTAGEM  DE LEITO PARA CABOS, TIPO PESADO C/ ACESSÓRIOS</t>
  </si>
  <si>
    <t>2.2.6.6.1</t>
  </si>
  <si>
    <t>Fornecimento e montagem de leito para cabos, tipo semi-pesado, em chapa de aço galvanizada a fogo , com acessórios, altura de até 150 mm, largura de 200 mm</t>
  </si>
  <si>
    <t>2.2.6.6.2</t>
  </si>
  <si>
    <t>Fornecimento e montagem de leito para cabos, tipo semi-pesado, em chapa de aço galvanizada a fogo , com acessórios, altura de até 150 mm, largura de 400 mm</t>
  </si>
  <si>
    <t>2.2.6.6.3</t>
  </si>
  <si>
    <t>Fornecimento e montagem de leito para cabos, tipo semi-pesado, em chapa de aço galvanizada a fogo , com acessórios, altura de até 150 mm, largura de 600 mm</t>
  </si>
  <si>
    <t>2.2.6.7</t>
  </si>
  <si>
    <t>FORNECIMENTO E MONTAGEM DE APARELHOS DE ILUMINAÇÃO</t>
  </si>
  <si>
    <t>2.2.6.7.1</t>
  </si>
  <si>
    <t>FORNECIMENTO E MONTAGEM DE LUMINÁRIAS TIPO PENDENTE PARA LÂMPADAS FLUORESCENTE, LUZ DO DIA, COM REATOR</t>
  </si>
  <si>
    <t>2.2.6.7.1.1</t>
  </si>
  <si>
    <t>Fornecimento e montagem de luminárias tipo pendente para lâmpadas fluorescente, luz do dia, com reator, 2 x 32 W (para iluminação do abrigo de remotas)</t>
  </si>
  <si>
    <t>2.2.6.7.2</t>
  </si>
  <si>
    <t>FORNECIMENTO E MONTAGEM DE LUMINÁRIAS DE EMERGÊNCIA</t>
  </si>
  <si>
    <t>2.2.6.7.2.1</t>
  </si>
  <si>
    <t>Fornecimento e montagem de sistemas para iluminação de emergência (para iluminação do abrigo de remotas)</t>
  </si>
  <si>
    <t>2.2.6.8</t>
  </si>
  <si>
    <t>FORNECIMENTO E MONTAGEM DE INTERRUPTORES, TOMADAS E BOTOEIRAS</t>
  </si>
  <si>
    <t>2.2.6.8.1</t>
  </si>
  <si>
    <t>FORNECIMENTO E MONTAGEM DE TOMADAS</t>
  </si>
  <si>
    <t>2.2.6.8.1.1</t>
  </si>
  <si>
    <t>Fornecimento e montagem de tomada para iluminação, 220V 2P+N+T, montada em condulete tipo E (para iluminação do abrigo de remotas)</t>
  </si>
  <si>
    <t>2.2.6.8.1.2</t>
  </si>
  <si>
    <t>Fornecimento e montagem de tomada para ar condicionado, 220V 2P+N+T, 20A montada em condulete tipo E (para iluminação do abrigo de remotas)</t>
  </si>
  <si>
    <t>2.2.6.8.2</t>
  </si>
  <si>
    <t>FORNECIMENTO E MONTAGEM DE INTERRUPTORES E BOTOEIRAS</t>
  </si>
  <si>
    <t>2.2.6.8.2.1</t>
  </si>
  <si>
    <t>Fornecimento e montagem de interruptores para iluminação</t>
  </si>
  <si>
    <t>2.2.6.8.2.2</t>
  </si>
  <si>
    <t>Fornecimento e montagem de botoeira de comando local</t>
  </si>
  <si>
    <t>2.2.6.8.2.3</t>
  </si>
  <si>
    <t>Fornecimento e montagem de botoeira de emergência</t>
  </si>
  <si>
    <t>2.2.6.8.2.4</t>
  </si>
  <si>
    <t>Fornecimento e montagem de mini disjuntor termomagnético monopolar, curva C, 16A Icu 10kA</t>
  </si>
  <si>
    <t>2.2.6.8.2.5</t>
  </si>
  <si>
    <t>Fornecimento e montagem de mini disjuntor termomagnético tripolar, curva C, 32A Icu 10kA</t>
  </si>
  <si>
    <t>2.2.6.8.3</t>
  </si>
  <si>
    <t>FORNECIMENTO E MONTAGEM DE CAIXAS DE PASSAGEM</t>
  </si>
  <si>
    <t>2.2.6.8.3.1</t>
  </si>
  <si>
    <t>Fornecimento e montagem de caixa de bornes</t>
  </si>
  <si>
    <t>2.2.6.8.3.2</t>
  </si>
  <si>
    <t>Fornecimento e montagem de caixa de passagem metálica</t>
  </si>
  <si>
    <t>2.2.6.9</t>
  </si>
  <si>
    <t>FORNECIMENTO E MONTAGEM DE SISTEMA DE PROTEÇÃO CONTRA DESCARGAS ATMOSFÉRICAS (SPCDA)</t>
  </si>
  <si>
    <t>2.2.6.9.1</t>
  </si>
  <si>
    <t>Fornecimento e montagem de cabos de cobre nu, até Seção de 35 mm²</t>
  </si>
  <si>
    <t>2.2.6.9.2</t>
  </si>
  <si>
    <t>Fornecimento e montagem de cabos de cobre nu, até Seção de 50 mm²</t>
  </si>
  <si>
    <t>2.2.6.9.3</t>
  </si>
  <si>
    <t>Fornecimento e montagem de cabos de cobre nu, até Seção de 70 mm²</t>
  </si>
  <si>
    <t>2.2.6.9.4</t>
  </si>
  <si>
    <t>Fornecimento e montagem de haste de aterramento - 3/4" x 3 m</t>
  </si>
  <si>
    <t>2.2.6.9.5</t>
  </si>
  <si>
    <t>Fornecimento e montagem de caixa de inspeção de aterramento</t>
  </si>
  <si>
    <t>2.2.6.9.6</t>
  </si>
  <si>
    <t>Fornecimento e montagem de conexão por solda exotérmica ou conectores de bronze e bimetálicos</t>
  </si>
  <si>
    <t>2.3</t>
  </si>
  <si>
    <t>MONTAGEM DE EQUIPAMENTOS E COMPONENTES ELETROMECÂNICOS</t>
  </si>
  <si>
    <t>2.3.1</t>
  </si>
  <si>
    <t>MONTAGEM DE EQUIPAMENTOS MECÂNICOS</t>
  </si>
  <si>
    <t>2.3.1.1</t>
  </si>
  <si>
    <t>MONTAGEM DE EQUIPAMENTOS MECÂNICOS DE PROCESSO</t>
  </si>
  <si>
    <t>MONTAGEM DE CARRO DE DESVIO</t>
  </si>
  <si>
    <t>2.3.1.1.1.1</t>
  </si>
  <si>
    <t>Montagem de carro de desvio com acionamento elétrico até 3 kw, fornecido em partes, com revestimento interno em cerâmica</t>
  </si>
  <si>
    <t>M</t>
  </si>
  <si>
    <t>2.3.1.2</t>
  </si>
  <si>
    <t>MONTAGEM DE EQUIPAMENTOS DE TRANSBORDO E DE TRANSPORTE DE PRODUTOS</t>
  </si>
  <si>
    <t>MONTAGEM DE TRANSPORTADOR DE CORREIA</t>
  </si>
  <si>
    <t>2.3.1.2.1.1</t>
  </si>
  <si>
    <t>Montagem de Transportador de Correias Largura 1000mm, completo, incluindo chutes e guincho, conforme projeto detalhado- TAG. TC-143A-9703, inclusive lançamento e emenda de correia com fornecimento de materias</t>
  </si>
  <si>
    <t>2.3.1.2.1.2</t>
  </si>
  <si>
    <t>Montagem Transportador de Correias Largura 1200mm, completo, incluindo chutes, conforme Arranjo- TAG-TC-143A-9706, inclusive lançamento e emenda de correia com fornecimento de materias</t>
  </si>
  <si>
    <t>MONTAGEM DE ACIONAMENTO PARA TRANSPORTADOR DE CORREIA</t>
  </si>
  <si>
    <t>2.3.1.2.2.1</t>
  </si>
  <si>
    <t>Montagem de conjunto de acionamento para transportador de correia TC-143A-9709, completo (inclusive = tambor, mancal, eixo, motor 200 Kw, redutor referência SEW X2FS160 ou Similar, acoplamentos, proteções, etc - conforme  FD-1450AA-M-69953)</t>
  </si>
  <si>
    <t>MONTAGEM DE ALIMENTADORES DE CORREIAS</t>
  </si>
  <si>
    <t>2.3.1.2.3.1</t>
  </si>
  <si>
    <t>Montagem  de Alimentadores De Correias Largura 1000mm, completo, incluindo chutes, conforme arranjo- TAG. TC-143A-9705, inclusive lançamento e emenda de correia com fornecimento de materias</t>
  </si>
  <si>
    <t>2.3.1.3</t>
  </si>
  <si>
    <t>MONTAGEM / INSTALAÇÃO DE EQUIPAMENTOS E MÁQUINAS DIVERSAS</t>
  </si>
  <si>
    <t>MONTAGEM DE TALHAS</t>
  </si>
  <si>
    <t>2.3.1.3.1.1</t>
  </si>
  <si>
    <t>Montagem de talha elétrica fixa, capacidade 5,0 t, altura de elevação 10 m</t>
  </si>
  <si>
    <t>2.3.2</t>
  </si>
  <si>
    <t>MONTAGEM DE CALDEIRARIA, PROTEÇÕES E REVESTIMENTOS</t>
  </si>
  <si>
    <t>2.3.2.1</t>
  </si>
  <si>
    <t>MONTAGEM DE CALDEIRARIA</t>
  </si>
  <si>
    <t>2.3.2.1.1</t>
  </si>
  <si>
    <t>MONTAGEM DE CAIXA</t>
  </si>
  <si>
    <t>2.3.2.1.1.1</t>
  </si>
  <si>
    <t>Montagem de caixas de alimentação, fornecida montada, com revestimento interno de cerâmica</t>
  </si>
  <si>
    <t>2.3.2.1.2</t>
  </si>
  <si>
    <t>MONTAGEM DE CHUTE</t>
  </si>
  <si>
    <t>2.3.2.1.2.1</t>
  </si>
  <si>
    <t>Montagem de chute de desvio, com flap pneumático, forncido em partes, com revestimento interno de cerâmica</t>
  </si>
  <si>
    <t>2.3.2.1.2.2</t>
  </si>
  <si>
    <t>Montagem de chute vibratório, fornecido em parte, com revestimento interno de cerâmica</t>
  </si>
  <si>
    <t>2.3.2.1.3</t>
  </si>
  <si>
    <t>MONTAGEM DE DESVIADOR DE FLUXO</t>
  </si>
  <si>
    <t>2.3.2.1.3.1</t>
  </si>
  <si>
    <t>Montagem de um distribuidor de fluxo com sete saídas fornecido montado, completo, incluindo válvulas de bloqueio do tipo dardo, com revest. Int cerâmico, inclusive pintura de acabamento (Linha do Circuito Arenoso)</t>
  </si>
  <si>
    <t>2.3.2.1.3.2</t>
  </si>
  <si>
    <t>Montagem de um distribuidor de fluxo com seis saídas fornecido montado, completo, incluindo válvulas de bloqueio do tipo dardo, com revest. Int cerâmico, inclusive pintura de acabamento (Linha do Circúito Ultra Fino/Lama)</t>
  </si>
  <si>
    <t>2.3.2.1.3.3</t>
  </si>
  <si>
    <t>Montagem de um distribuidor de fluxo com duas saídas fornecido montado, completo, incluindo válvulas de bloqueio do tipo dardo, com revest. int cerâmico, inclusive pintura de acabamento (Linha do Circuito Ultra fino/Lama)</t>
  </si>
  <si>
    <t>2.3.2.1.3.4</t>
  </si>
  <si>
    <t xml:space="preserve">Montagem de um distribuidor de fluxo com duas saídas fornecido montado, completo, incluindo válvulas de bloqueio do tipo dardo, com revest. Int cerâmico, inclusive pintura de acabamento  (Linha do Circuito Arenoso) </t>
  </si>
  <si>
    <t>2.3.2.1.3.5</t>
  </si>
  <si>
    <t>Montagem de quatro distribuidores de fluxo com seis saídas fornecido montado, completo, incluindo válvulas de bloqueio do tipo dardo, com revest. Int cerâmico, inclusive pintura de acabamento  (Linha do Circuito Arenoso)</t>
  </si>
  <si>
    <t>2.3.2.1.3.6</t>
  </si>
  <si>
    <t>Montagem de quatro distribuidores de fluxo com seis saídas fornecido montado, completo, incluindo válvulas de bloqueio do tipo dardo, com revest. Int cerâmico, inclusive pintura de acabamento  (Linha do Circuito Ultra fino/Lama)</t>
  </si>
  <si>
    <t>2.4</t>
  </si>
  <si>
    <t>MONTAGEM DE EQUIPAMENTOS E COMPONENTES ELÉTRICOS</t>
  </si>
  <si>
    <t>2.4.1</t>
  </si>
  <si>
    <t>MONTAGEM DE EQUIPAMENTOS ELÉTRICOS</t>
  </si>
  <si>
    <t>2.4.1.1</t>
  </si>
  <si>
    <t>MONTAGEM DE CENTROS DE CONTROLE DE MOTORES</t>
  </si>
  <si>
    <t>Montagem de gaveta extraível, partida direta, inteligente, rede de comunicação Profibus DP,  Centro de controle de motores existente, 480V, 3Ø, 60Hz, 2200A, Icc: 55kA  conforme FD-1450AA-E-54831</t>
  </si>
  <si>
    <t>Montagem de gaveta alimentadora extraível, centro de controle de motores existente, 480V, 3Ø, 60Hz, 2000A, Icc: 55kA conforme FD-1450AA-E-54831</t>
  </si>
  <si>
    <t>2.4.1.2</t>
  </si>
  <si>
    <t>ADEQUAÇÃO / RETROFIT E MONTAGEM DE GAVETAS PARA CENTROS DE CONTROLE DE MOTORES</t>
  </si>
  <si>
    <t>Adequação / retrofit de gaveta extraível, partida direta reversível de 5CV, inteligente, rede de comunicação Profibus DP, gaveta 9.5 de Centro de controle de motores existente, MC-140A-03 480V, 3Ø, 60Hz, 2200A, Icc: 55kA</t>
  </si>
  <si>
    <t>2.4.1.3</t>
  </si>
  <si>
    <t>MONTAGEM DE QUADROS DE DISTRIBUIÇÃO DE CIRCUITOS</t>
  </si>
  <si>
    <t>Montagem de quadro de distribuição de iluminação e tomadas, 380V/220V 3F+N+T, para abrigo de remotas, montagem na parede, IP-42 conforme FD-1450AA-E-54832</t>
  </si>
  <si>
    <t>Montagem de quadro de distribuição de tensão ininterrupta QDTC 120Vca para abrigo de remotas, montagem na parede, IP-42 conforme FD-1450AA-E-54833</t>
  </si>
  <si>
    <t>2.4.2</t>
  </si>
  <si>
    <t>MONTAGEM DE EQUIPAMENTOS AUTOMAÇÃO E CONTROLE</t>
  </si>
  <si>
    <t>2.4.2.1</t>
  </si>
  <si>
    <t>MONTAGEM DE SISTEMA DE CONTROLE E SUPERVISÃO (CLP/SCADA, SDCD)</t>
  </si>
  <si>
    <t>2.4.2.1.1</t>
  </si>
  <si>
    <t>Montagem de painel de remota do sistema de controle, auto-sustentato, fornecido completo conforme FD-1450AA-J-54857</t>
  </si>
  <si>
    <t>2.4.2.2</t>
  </si>
  <si>
    <t>MONTAGEM DE INSTRUMENTOS DE MEDIÇÃO E CONTROLE</t>
  </si>
  <si>
    <t>2.4.2.2.1</t>
  </si>
  <si>
    <t>Montagem de painel para válvula solenóide</t>
  </si>
  <si>
    <t>2.4.2.3</t>
  </si>
  <si>
    <t>MONTAGEM DE VÁLVULAS PARA AUTOMAÇÃO E  CONTROLE</t>
  </si>
  <si>
    <t>2.4.2.3.1</t>
  </si>
  <si>
    <t>Montagem de válvula de bloqueio (on-off) tipo guilhotina, conexão ANSI em 4" a  8", classe de pressão 150#, com sianlização de posição ZSL e ZSH e atuador pneumático, material: corpo/plug/sede/haste em: FoFo dúctil/ inox/ epdm/ inox, com: Plaq. Identificação, IP65. Conforme FD-1450AA-J-54861</t>
  </si>
  <si>
    <t>2.4.2.3.2</t>
  </si>
  <si>
    <t>Montagem de válvula de bloqueio (on-off) tipo guilhotina, conexão ANSI em 10" a 16", classe de pressão 150#, com sianlização de posição ZSL e ZSH e atuador pneumático, material: corpo/plug/sede/haste em: FoFo dúctil/ inox/ epdm/ inox, com: Plaq. Identificação, IP65. Conforme FD-1450AA-J-54861</t>
  </si>
  <si>
    <t>2.4.3</t>
  </si>
  <si>
    <t>MONTAGEM DE TUBULAÇÃO, VÁLVULAS E ACESSÓRIOS</t>
  </si>
  <si>
    <t>2.4.3.1</t>
  </si>
  <si>
    <t>2.4.3.1.1</t>
  </si>
  <si>
    <t>Montagem de tubo dn-6", com cost. ac, astm a-283 gr. c - sch 10, revestimento int. em  pu 8mm, flangeado, extremidades  um lado fixo e outro lado solto inclusive curvas, conexões, reduções e tês. (flanges conf. awwa-c 207 - material do flange astm a36, cl 150 lbs)</t>
  </si>
  <si>
    <t>2.4.3.1.2</t>
  </si>
  <si>
    <t>Montagem de tubo dn-8", com cost. ac, astm a-283 gr. c - sch 10, revestimento int. em  pu 12mm, flangeado, extremidades  um lado fixo e outro lado solto inclusive curvas, conexões, reduções e tês. (flanges conf. awwa-c 207 - material do flange astm a36, cl 150 lbs)</t>
  </si>
  <si>
    <t>2.4.3.1.3</t>
  </si>
  <si>
    <t>Montagem de tubo dn-10", com cost. ac, astm a-283 gr. c - sch 10, revestimento int. em  pu 12mm, flangeado, extremidades  um lado fixo e outro lado solto inclusive curvas, conexões, reduções e tês. (flanges conf. awwa-c 207 - material do flange astm a36, cl 150 lbs)</t>
  </si>
  <si>
    <t>2.4.3.1.4</t>
  </si>
  <si>
    <t>Montagem de tubo dn-12", com cost. ac, astm a-283 gr. c - sch 10, revestimento int. em  pu 12mm, flangeado, extremidades  um lado fixo e outro lado solto inclusive curvas, conexões, reduções e tês. (flanges conf. awwa-c 207 - material do flange astm a36, cl 150 lbs)</t>
  </si>
  <si>
    <t>2.4.3.1.5</t>
  </si>
  <si>
    <t>Montagem de tubo dn-14", com cost. ac, astm a-283 gr. c - sch 10, revestimento int. em  pu 12mm, flangeado, extremidades  um lado fixo e outro lado solto inclusive curvas, conexões, reduções e tês. (flanges conf. awwa-c 207 - material do flange astm a36, cl 150 lbs)</t>
  </si>
  <si>
    <t>2.4.3.1.6</t>
  </si>
  <si>
    <t>Montagem de tubo dn-16", com cost. ac, astm a-283 gr. c - sch 10, revestimento int. em  pu 12mm, flangeado, extremidades  um lado fixo e outro lado solto inclusive curvas, conexões, reduções e tês. (flanges conf. awwa-c 207 - material do flange astm a36, cl 150 lbs)</t>
  </si>
  <si>
    <t>2.4.3.1.7</t>
  </si>
  <si>
    <t>Montagem de tubo dn-20", com cost. ac, astm a-283 gr. c - sch 10, revestimento int. em  pu 12mm, flangeado, extremidades  um lado fixo e outro lado solto inclusive curvas, conexões, reduções e tês. (flanges conf. awwa-c 207 - material do flange astm a36, cl 150 lbs)</t>
  </si>
  <si>
    <t>2.4.3.1.8</t>
  </si>
  <si>
    <t>Montagem de tubo dn-22", com cost. ac, astm a-283 gr. c - sch 10, revestimento int. em  pu 12mm, flangeado, extremidades  um lado fixo e outro lado solto inclusive curvas, conexões, reduções e tês. (flanges conf. awwa-c 207 - material do flange astm a36, cl 150 lbs)</t>
  </si>
  <si>
    <t>2.5</t>
  </si>
  <si>
    <t>DESMONTAGEM ELETROMECÃNICA</t>
  </si>
  <si>
    <t>2.5.1</t>
  </si>
  <si>
    <t>DESMONTAGEM DE ESTRUTURAS DIVERSAS</t>
  </si>
  <si>
    <t>2.5.1.1</t>
  </si>
  <si>
    <t>Desmontagem de estruturas metálicas diversas (incluindo telhados, eletrodutos, bandejas, corrimãos, escadas, tubulações, caldeirarias, transportadores, distribuidores, etc.)</t>
  </si>
  <si>
    <t>D</t>
  </si>
  <si>
    <t>2.5.2</t>
  </si>
  <si>
    <t>DESMONTAGEM DE MATERIAIS ELÉTRICOS</t>
  </si>
  <si>
    <t>2.5.2.1</t>
  </si>
  <si>
    <t>DESMONTAGEM DE CONDUTORES ELÉTRICOS ( FIOS E CABOS ) - FORÇA</t>
  </si>
  <si>
    <t>Desmontagem de cabos elétricos diversos</t>
  </si>
  <si>
    <t>3</t>
  </si>
  <si>
    <t>SISTEMA DE DRENAGEM USINA DE CONCENTRAÇÃO EL.858100</t>
  </si>
  <si>
    <t>3.1.1</t>
  </si>
  <si>
    <t>3.1.1.1</t>
  </si>
  <si>
    <t>FORNECIMENTO E MONTAGEM DE CALDEIRARIA</t>
  </si>
  <si>
    <t>FORNECIMENTO E MONTAGEM DE CALHAS</t>
  </si>
  <si>
    <t>3.1.1.1.1.1</t>
  </si>
  <si>
    <t>Fornecimento e montagem de calhas metálicas, inclusive revestimento</t>
  </si>
  <si>
    <t>3.1.2</t>
  </si>
  <si>
    <t>3.1.2.1</t>
  </si>
  <si>
    <t>FORNECIMENTO E MONTAGEM DE ESTRUTURA METÁLICA</t>
  </si>
  <si>
    <t>3.1.2.1.1.1</t>
  </si>
  <si>
    <t>3.1.2.1.2.1</t>
  </si>
  <si>
    <t>3.1.2.1.2.2</t>
  </si>
  <si>
    <t>Fornecimento e montagem de chapa de piso</t>
  </si>
  <si>
    <t>3.1.2.1.3</t>
  </si>
  <si>
    <t>FORNECIMENTO E MONTAGEM DE MISCELÂNEA METÁLICA (ESCADAS, CORRIMÃOS, GUARDA-CORPOS, ETC.)</t>
  </si>
  <si>
    <t>3.1.2.1.3.1</t>
  </si>
  <si>
    <t>3.2.1</t>
  </si>
  <si>
    <t>3.2.1.1</t>
  </si>
  <si>
    <t>4</t>
  </si>
  <si>
    <t>SUBSTITUIÇÃO DAS BOMBAS DE UNDER DO ESPESSADOR DE LAMAS 9901</t>
  </si>
  <si>
    <t>4.1</t>
  </si>
  <si>
    <t>4.1.1</t>
  </si>
  <si>
    <t>4.1.1.1</t>
  </si>
  <si>
    <t>FORNECIMENTO E MONTAGEM DE CABO FLEXÍVEL COM ISOLAÇÃO EPR E COBERTURA DE PVC - 1KV</t>
  </si>
  <si>
    <t>Fornecimento e montagem de cabo tetrapolar com condutor concêntrico e blindagem, encordoamento classe 5, com isolação sólida extrudada de epr e cobertura flexível de pvc- seção 3x120mm2+1x70mm2 - classe de tensão 0,6/1kv</t>
  </si>
  <si>
    <t>4.1.1.2</t>
  </si>
  <si>
    <t>FORNECIMENTO E APLICAÇÃO DE PROTEÇÃO PASSIVA</t>
  </si>
  <si>
    <t>4.1.1.2.1</t>
  </si>
  <si>
    <t>Fornecimento e aplicação de proteção passiva em sala elétrica</t>
  </si>
  <si>
    <t>4.2</t>
  </si>
  <si>
    <t>4.2.1</t>
  </si>
  <si>
    <t xml:space="preserve">MONTAGEM DE EQUIPAMENTOS MECÂNICOS </t>
  </si>
  <si>
    <t>4.2.1.1</t>
  </si>
  <si>
    <t>MONTAGEM DE MOTOBOMBA</t>
  </si>
  <si>
    <t>Montagem de conjunto moto-bomba até 500CV</t>
  </si>
  <si>
    <t>Montagem de motores elétricos até 500 CV.</t>
  </si>
  <si>
    <t>4.2.2</t>
  </si>
  <si>
    <t>4.2.2.1</t>
  </si>
  <si>
    <t>MONTAGEM DE INVERSORES DE FREQÜÊNCIA BAIXA TENSÃO</t>
  </si>
  <si>
    <t>Montagem de painel de inversor de baixa tensão, 480V até 500CV</t>
  </si>
  <si>
    <t>4.3</t>
  </si>
  <si>
    <t>4.3.1</t>
  </si>
  <si>
    <t>DESMONTAGEM DE CONJUNTOS MOTO-BOMBA</t>
  </si>
  <si>
    <t>4.3.1.1</t>
  </si>
  <si>
    <t>Desmontagem de Moto Bomba até 500CV.</t>
  </si>
  <si>
    <t>4.3.1.2</t>
  </si>
  <si>
    <t>Desmontagem de painéis inversores de frequencia até 500 CV.</t>
  </si>
  <si>
    <t>4.3.1.3</t>
  </si>
  <si>
    <t>Desmontagem de motores elétricos até 500 CV.</t>
  </si>
  <si>
    <t>5</t>
  </si>
  <si>
    <t>SERVIÇOS COMPLEMENTARES DIVERSOS COM A UTILIZAÇÃO DE MÃO DE OBRA E EQUIPAMENTOS</t>
  </si>
  <si>
    <t>5.1</t>
  </si>
  <si>
    <t>SERVIÇOS COMPLEMENTARES DIVERSOS COM A UTILIZAÇÃO DE MÃO DE OBRA</t>
  </si>
  <si>
    <t>5.1.1</t>
  </si>
  <si>
    <t>Serviços complementares diversos com utilização de oficial</t>
  </si>
  <si>
    <t>H</t>
  </si>
  <si>
    <t>5.1.2</t>
  </si>
  <si>
    <t>Serviços complementares diversos com utilização de ajudante</t>
  </si>
  <si>
    <t>5.1.3</t>
  </si>
  <si>
    <t>Serviços complementares diversos com utilização de caminhão guindauto</t>
  </si>
  <si>
    <t>L</t>
  </si>
  <si>
    <t>5.2</t>
  </si>
  <si>
    <t>SERVIÇOS DE OPERAÇÃO ASSISTIDA</t>
  </si>
  <si>
    <t>5.2.1</t>
  </si>
  <si>
    <t>Serviços de operação assistida com utilização de oficial</t>
  </si>
  <si>
    <t>5.2.2</t>
  </si>
  <si>
    <t>Serviços de operação assistida com utilização de ajudante</t>
  </si>
  <si>
    <t>1º TAC - ITENS NOVOS - S-00167- BYPASS VERTEDOURO BARRAGEM SUL</t>
  </si>
  <si>
    <t>6.1</t>
  </si>
  <si>
    <t>6.1.1</t>
  </si>
  <si>
    <t>6.1.1.1</t>
  </si>
  <si>
    <t>ADMINISTRAÇÃO LOCAL (1º TAC)</t>
  </si>
  <si>
    <t>6.1.2</t>
  </si>
  <si>
    <t>6.1.2.1</t>
  </si>
  <si>
    <t>MOBILIZAÇÃO DE PESSOAL - MOD (1º TAC)</t>
  </si>
  <si>
    <t>6.1.2.2</t>
  </si>
  <si>
    <t>MOBILIZAÇÃO DE PESSOAL - MOI (1º TAC)</t>
  </si>
  <si>
    <t>6.1.2.3</t>
  </si>
  <si>
    <t>DESMOBILIZAÇÃO DE PESSOAL - MOD (1º TAC)</t>
  </si>
  <si>
    <t>6.1.2.4</t>
  </si>
  <si>
    <t>DESMOBILIZAÇÃO DE PESSOAL - MOI (1º TAC)</t>
  </si>
  <si>
    <t>6.2</t>
  </si>
  <si>
    <t>6.2.1</t>
  </si>
  <si>
    <t>ESCAVAÇÃO DE CAVAS E VALAS</t>
  </si>
  <si>
    <t>6.2.1.1</t>
  </si>
  <si>
    <t xml:space="preserve">Escavação manual de cavas ou valas, material de 1ª categoria </t>
  </si>
  <si>
    <t>6.2.1.2</t>
  </si>
  <si>
    <t xml:space="preserve">Escavação mecanizada de cavas ou valas em material de 1ª categoria </t>
  </si>
  <si>
    <t>6.2.2</t>
  </si>
  <si>
    <t>REGULARIZAÇÃO DE CAVAS OU VALAS</t>
  </si>
  <si>
    <t>6.2.2.1</t>
  </si>
  <si>
    <t>10</t>
  </si>
  <si>
    <t>6.2.2.2</t>
  </si>
  <si>
    <t>Regularização da superfície escavada com argamassa de cimento e areia, traço 1:3</t>
  </si>
  <si>
    <t>000</t>
  </si>
  <si>
    <t>6.2.3</t>
  </si>
  <si>
    <t>REATERRO DE CAVAS E VALAS</t>
  </si>
  <si>
    <t>6.2.3.1</t>
  </si>
  <si>
    <t>15</t>
  </si>
  <si>
    <t>6.2.4</t>
  </si>
  <si>
    <t>BOTA-FORA DE MATERIAL EXCEDENTE - USO GERAL</t>
  </si>
  <si>
    <t>6.2.4.1</t>
  </si>
  <si>
    <t>Carga, transporte, descarga e espalhamento de material de 1ª categoria em bota-fora - DMT até 1000m - uso geral</t>
  </si>
  <si>
    <t>6.2.5</t>
  </si>
  <si>
    <t>MOMENTO EXTRAORDINÁRIO DE TRANSPORTE - USO GERAL</t>
  </si>
  <si>
    <t>6.2.5.1</t>
  </si>
  <si>
    <t>Momento extraordinário de transporte de material de 1ª categoria</t>
  </si>
  <si>
    <t>6.2.6</t>
  </si>
  <si>
    <t>FORMA COM ESTRUTURA EM MADEIRA - FORNECIMENTO E APLICAÇÃO</t>
  </si>
  <si>
    <t>6.2.6.1</t>
  </si>
  <si>
    <t>6.2.7</t>
  </si>
  <si>
    <t>6.2.7.1</t>
  </si>
  <si>
    <t>6.2.8</t>
  </si>
  <si>
    <t>6.2.8.1</t>
  </si>
  <si>
    <t>6.2.8.2</t>
  </si>
  <si>
    <t>6.2.8.3</t>
  </si>
  <si>
    <t>Fabricação, transporte e montagem de elementos pré-moldados de concreto, inclusive inserts e fornecimento de materiais.</t>
  </si>
  <si>
    <t>6.2.9</t>
  </si>
  <si>
    <t>INSERTOS</t>
  </si>
  <si>
    <t>6.2.9.1</t>
  </si>
  <si>
    <t>25</t>
  </si>
  <si>
    <t>6.2.9.2</t>
  </si>
  <si>
    <t>005</t>
  </si>
  <si>
    <t>6.2.9.3</t>
  </si>
  <si>
    <t>6.2.10</t>
  </si>
  <si>
    <t>LIMPEZA DE TERRENO</t>
  </si>
  <si>
    <t>6.2.10.1</t>
  </si>
  <si>
    <t>Escavação, carga e transporte, descarga e espalhamento de camada de solo superficial para a área de depósito - DMT até 1000m</t>
  </si>
  <si>
    <t>030</t>
  </si>
  <si>
    <t>6.2.11</t>
  </si>
  <si>
    <t>ESCAVAÇÃO, CARGA, TRANSPORTE, DESCARGA E ESPALHAMENTO DE MATERIAL DE 1ª CATEGORIA</t>
  </si>
  <si>
    <t xml:space="preserve"> </t>
  </si>
  <si>
    <t>6.2.11.1</t>
  </si>
  <si>
    <t>Escavação, carga, transporte, descarga e espalhamento de material de 1ª categoria - DMT até 1000m</t>
  </si>
  <si>
    <t>6.2.12</t>
  </si>
  <si>
    <t>MOMENTO EXTRAORDINÁRIO DE TRANSPORTE - TERRAPLENAGEM</t>
  </si>
  <si>
    <t>6.2.12.1</t>
  </si>
  <si>
    <t>Momento extraordinário de transporte de material de 1ª categoria - Terraplenagem - DMT = 5km</t>
  </si>
  <si>
    <t>6.3</t>
  </si>
  <si>
    <t>MONTAGEM DE EQUIPAMENTOS MECÂNICOS, TUBULAÇÃO, VÁLVULAS E ACESSÓRIOS</t>
  </si>
  <si>
    <t>6.3.1</t>
  </si>
  <si>
    <t>Montagem de conjunto de bomba elétrica 65 kW, incluindo flutuadores e cabos elétricos</t>
  </si>
  <si>
    <t>6.3.2</t>
  </si>
  <si>
    <t xml:space="preserve">Montagem de mangote de borracha 10", incluindo flutuadores (fornecer elementos de fixação) </t>
  </si>
  <si>
    <t>6.3.3</t>
  </si>
  <si>
    <t>Montagem sensor de nível</t>
  </si>
  <si>
    <t>6.3.4</t>
  </si>
  <si>
    <t>Montagem Tubo de Aço Carbono ASTM A 139, Flangeado, inclusive Conexões 16”</t>
  </si>
  <si>
    <t>6.3.5</t>
  </si>
  <si>
    <t>Montagem Tubo de Aço Carbono ASTM A 139, Flangeado, inclusive Conexões 30”</t>
  </si>
  <si>
    <t>6.3.6</t>
  </si>
  <si>
    <t>Montagem válvulas borboleta 8"</t>
  </si>
  <si>
    <t>6.3.7</t>
  </si>
  <si>
    <t>Montagem válvulas borboleta 10"</t>
  </si>
  <si>
    <t>6.3.8</t>
  </si>
  <si>
    <t>Montagem válvulas borboleta 14"</t>
  </si>
  <si>
    <t>6.3.9</t>
  </si>
  <si>
    <t>Montagem válvulas borboleta 24"</t>
  </si>
  <si>
    <t>6.3.10</t>
  </si>
  <si>
    <t>Montagem válvulas retenção 10"</t>
  </si>
  <si>
    <t>6.3.11</t>
  </si>
  <si>
    <t>Montagem válvulas retenção 14"</t>
  </si>
  <si>
    <t>6.3.12</t>
  </si>
  <si>
    <t>Montagem de flange de A.C. 24"</t>
  </si>
  <si>
    <t>6.3.13</t>
  </si>
  <si>
    <t>Montagem tubulação PEAD DN 630 mm, PN 10,  INCLUSIVE CURVAS, CONEXÕES, JUNTAS, REDUÇÕES E TÊS, ACESSÓRIOS</t>
  </si>
  <si>
    <t>6.3.14</t>
  </si>
  <si>
    <t>Montagem tubulação PEAD DN 560 mm, PN 10,  INCLUSIVE CURVAS, CONEXÕES, JUNTAS, REDUÇÕES E TÊS, ACESSÓRIOS</t>
  </si>
  <si>
    <t>6.3.15</t>
  </si>
  <si>
    <t xml:space="preserve">Montagem válvula ventosa 8" </t>
  </si>
  <si>
    <t>6.4</t>
  </si>
  <si>
    <t>DESMONTAGEM DE EQUIPAMENTOS MECÂNICOS, TUBULAÇÃO, VÁLVULAS E ACESSÓRIOS</t>
  </si>
  <si>
    <t>6.4.1</t>
  </si>
  <si>
    <t>Desmontagem Tubo de Aço Carbono ASTM A 139, Flangeado, inclusive Conexões 16”</t>
  </si>
  <si>
    <t>6.4.2</t>
  </si>
  <si>
    <t>Desmontagem válvulas borboleta 10"</t>
  </si>
  <si>
    <t>6.4.3</t>
  </si>
  <si>
    <t>Desmontagem válvulas retenção 10"</t>
  </si>
  <si>
    <t>6.4.4</t>
  </si>
  <si>
    <t>Desmontagem de conjunto de bomba elétrica 65 kW, incluindo flutuadores</t>
  </si>
  <si>
    <t>6.4.5</t>
  </si>
  <si>
    <t>Desmontagem de estruturas metálicas diversas (tubulação, caldeiraria, suportes)</t>
  </si>
  <si>
    <t>00</t>
  </si>
  <si>
    <t>6.4.6</t>
  </si>
  <si>
    <t xml:space="preserve">Desmontagem de mangote de borracha 10", incluindo flutuadores </t>
  </si>
  <si>
    <t>6.5</t>
  </si>
  <si>
    <t>FORNECIMENTOE  MONTAGEM DE EQUIPAMENTOS MECÂNICOS, TUBULAÇÃO, VÁLVULAS E ACESSÓRIOS</t>
  </si>
  <si>
    <t>6.5.1</t>
  </si>
  <si>
    <t>FORNECIMENTO E MONTAGEM DE EQUIPAMENTOS MECÂNICOS, TUBULAÇÃO, VÁLVULAS E ACESSÓRIOS</t>
  </si>
  <si>
    <t>6.5.1.1</t>
  </si>
  <si>
    <t>Fornecimento e montagem Tubo de Aço Carbono ASTM A 53 Gr B-S, SCH.STD. WT, C /Extr. para Solda de Topo, inclusive conexões e válvulas 8"</t>
  </si>
  <si>
    <t>6.5.1.2</t>
  </si>
  <si>
    <t>Fornecimento e montagem Tubo de Aço Carbono ASTM A 53 Gr B-S, SCH.STD. WT, C /Extr. para Solda de Topo, inclusive conexões e válvulas 10"</t>
  </si>
  <si>
    <t>6.5.1.3</t>
  </si>
  <si>
    <t>Fornecimento e montagem Tubo de Aço Carbono ASTM A 53 Gr B-S, SCH.STD. WT, C /Extr. para Solda de Topo, inclusive Conexões 14"</t>
  </si>
  <si>
    <t>6.5.1.4</t>
  </si>
  <si>
    <t>Fornecimento e montagem Tubo de Aço Carbono ASTM A 53 Gr B-S, SCH.STD. WT, C /Extr. para Solda de Topo, inclusive Conexões 24"</t>
  </si>
  <si>
    <t>6.5.2</t>
  </si>
  <si>
    <t>FORNECIMENTO DE MISCELÂNEAS METÁLICAS DE CALDEIRARIA</t>
  </si>
  <si>
    <t>6.5.2.1</t>
  </si>
  <si>
    <t>Fornecimento e motnagem de miscelâneas Metálicas, inclusive Pintura de Acabamento</t>
  </si>
  <si>
    <t>6.6</t>
  </si>
  <si>
    <t>6.6.1</t>
  </si>
  <si>
    <t>Montagem painéis elétricos completos para alimentação bomba 65 kW</t>
  </si>
  <si>
    <t>und</t>
  </si>
  <si>
    <t>6.6.2</t>
  </si>
  <si>
    <t>Montagem e interligação de geradores elétricos</t>
  </si>
  <si>
    <t>6.6.3</t>
  </si>
  <si>
    <t>Montagem de Painel de transferência automático para seleção de alimentação da rede ou de gerador, IP-66, 440V, fase-fase, 60Hz, 15kA</t>
  </si>
  <si>
    <t>6.6.4</t>
  </si>
  <si>
    <t xml:space="preserve">Montagem de QGBT, grau de proteção IP-66, incluso dispositivos de proteção e acionamento, classe de tensão 0,6/1kV, 440V, 3Ø-60Hz. </t>
  </si>
  <si>
    <t>6.7</t>
  </si>
  <si>
    <t>6.7.1</t>
  </si>
  <si>
    <t>6.7.1.1</t>
  </si>
  <si>
    <t>6.7.1.1.1</t>
  </si>
  <si>
    <t>Fornecimento e montagem de cabo tetrapolar flexível, encordoamento classe 5, com isolação sólida extrudada de EPR e cobertura flexível de PVC- 90ºC, seção 4x50mm² - classe de tensão 0,6/1kV</t>
  </si>
  <si>
    <t>6.7.1.1.2</t>
  </si>
  <si>
    <t>Fornecimento e 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</si>
  <si>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6.7.1.2</t>
  </si>
  <si>
    <t>FORNECIMENTO E MONTAGEM DE CABO - 750V</t>
  </si>
  <si>
    <t>6.7.1.2.1</t>
  </si>
  <si>
    <t>Fornecimento e 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</si>
  <si>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6.7.2</t>
  </si>
  <si>
    <t>MONTAGEM DE CONDUTORES ELÉTRICOS ( FIOS E CABOS ) - FORÇA</t>
  </si>
  <si>
    <t>6.7.2.1</t>
  </si>
  <si>
    <t>MONTAGEM DE CABO FLEXÍVEL COM ISOLAÇÃO EPR E COBERTURA DE PVC - 1KV</t>
  </si>
  <si>
    <t>6.7.2.1.1</t>
  </si>
  <si>
    <t>Montagem de cabo tetrapolar flexível, encordoamento classe 5, com isolação sólida extrudada de EPR e cobertura flexível de PVC- 90ºC, seção 4x50mm² - classe de tensão 0,6/1kV</t>
  </si>
  <si>
    <t>6.7.2.1.2</t>
  </si>
  <si>
    <t>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</si>
  <si>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6.7.2.1.3</t>
  </si>
  <si>
    <t>Montagem de cabo de potência, não halogenado 0,6/1KV, temperatura de serviço 90ºC, 1 condutor, classe 5 - Seção 25 mm²</t>
  </si>
  <si>
    <t>6.7.2.2</t>
  </si>
  <si>
    <t>MONTAGEM DE CABO - 750V</t>
  </si>
  <si>
    <t>6.7.2.2.1</t>
  </si>
  <si>
    <t>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</si>
  <si>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6.7.3</t>
  </si>
  <si>
    <t>6.7.3.1</t>
  </si>
  <si>
    <t>6.7.3.1.1</t>
  </si>
  <si>
    <t>Fornecimento e montagem de Cabo de controle, condutores de cobre nú, sem blindagem, encordoamento classe 5, isolação em PVC antichama, temperatura de serviço 70ºC, 0,6/1kV, condutores numerados - Seção 3 x 1,5mm2</t>
  </si>
  <si>
    <t>6.7.3.1.1.1</t>
  </si>
  <si>
    <t>6.7.3.2</t>
  </si>
  <si>
    <t>6.7.3.2.1</t>
  </si>
  <si>
    <t>6.7.3.2.2</t>
  </si>
  <si>
    <t>6.7.3.3</t>
  </si>
  <si>
    <t>FORNECIMENTO E MONTAGEM  DE DUTO CORRUGADO DE ALTA RESISTÊNCIA</t>
  </si>
  <si>
    <t>6.7.3.3.1</t>
  </si>
  <si>
    <t>Fornecimento e montagem de duto corrugado de alta resistência 4"</t>
  </si>
  <si>
    <t>6.7.3.4</t>
  </si>
  <si>
    <t>6.7.3.4.1</t>
  </si>
  <si>
    <t>FORNECIMENTO E MONTAGEM DE ELETRODUTOS RÍGIDOS, EM AÇO GALV. A FOGO CLASSE PESADA, C/ACESSORIOS, Ø 3/4"</t>
  </si>
  <si>
    <t>6.7.3.4.2</t>
  </si>
  <si>
    <t>FORNECIMENTO E MONTAGEM DE ELETRODUTOS RÍGIDOS, EM AÇO GALV. A FOGO CLASSE PESADA, C/ACESSORIOS, Ø 1"</t>
  </si>
  <si>
    <t>6.7.3.4.3</t>
  </si>
  <si>
    <t>FORNECIMENTO E MONTAGEM DE ELETRODUTOS RÍGIDOS, EM AÇO GALV. A FOGO CLASSE PESADA, C/ACESSORIOS, Ø 1.1/2"</t>
  </si>
  <si>
    <t>6.7.3.4.4</t>
  </si>
  <si>
    <t>Fornecimento e montagem de eletrodutos rígidos,em aço galv.,c/acessorios, ø 4"</t>
  </si>
  <si>
    <t>6.7.3.4.5</t>
  </si>
  <si>
    <t>Fornecimento e Montagem de Eletroduto Flexível fabricado em aço zincado com terminais macho giratório + macho giratório de Ø1", rosca BSP.</t>
  </si>
  <si>
    <t>6.7.3.4.6</t>
  </si>
  <si>
    <t>Fornecimento e Montagem de Eletroduto Flexível fabricado em aço zincado com terminais macho giratório + macho giratório de Ø1.1/2" , rosca BSP.</t>
  </si>
  <si>
    <t>6.7.3.5</t>
  </si>
  <si>
    <t>6.7.3.5.1</t>
  </si>
  <si>
    <t>Fornecimento e montagem de eletrocalha, com acessórios, altura de 100 mm, largura de 400 mm</t>
  </si>
  <si>
    <t>6.7.3.6</t>
  </si>
  <si>
    <t>6.7.3.6.1</t>
  </si>
  <si>
    <t>Fornecimento e montagem de caixa de passagem pré moldada nas dimensões 1000x1000x800mm (CxLxP). Com Tampa.</t>
  </si>
  <si>
    <t>6.8</t>
  </si>
  <si>
    <t>ALUGUEL DE EQUIPAMENTOS DE TRANSPORTE</t>
  </si>
  <si>
    <t>6.8.1</t>
  </si>
  <si>
    <t xml:space="preserve">Aluguel de Caminhão tipo Munck </t>
  </si>
  <si>
    <t>6.9</t>
  </si>
  <si>
    <t>SERVIÇOS COMPLEMENTARES</t>
  </si>
  <si>
    <t>6.9.1</t>
  </si>
  <si>
    <t>SERVIÇOS COMPLEMENTARES DIVERSOS COM A UTILIZAÇÃO DE OFICIAL</t>
  </si>
  <si>
    <t>6.9.2</t>
  </si>
  <si>
    <t>SERVIÇOS COMPLEMENTARES DIVERSOS COM A UTILIZAÇÃO DE AJUDANTE</t>
  </si>
  <si>
    <t>SUB TOTAL - S-00167- BYPASS VERTEDOURO BARRAGEM SUL</t>
  </si>
  <si>
    <t>7</t>
  </si>
  <si>
    <t>1º TAC - ITEM NOVO - DESAGUAMENTO DE REJEITO / SUBSTITUIÇÃO DAS BOMBAS DE UNDER DO ESPESSADOR DE LAMAS</t>
  </si>
  <si>
    <t>7.1</t>
  </si>
  <si>
    <t>MONTAGEM DE MATERIAIS ELÉTRICOS</t>
  </si>
  <si>
    <t>7.1.1</t>
  </si>
  <si>
    <t>7.1.1.1</t>
  </si>
  <si>
    <t>Montagem de cabo tetrapolar com condutor concêntrico e blindagem, encordoamento classe 5, com isolação sólida extrudada de epr e cobertura flexível de pvc- seção 3x120mm2+1x70mm2 - classe de tensão 0,6/1kv</t>
  </si>
  <si>
    <t>SUB TOTAL -  ITEM NOVO - DESAGUAMENTO DE REJEITO</t>
  </si>
  <si>
    <t>2º TAC - ITENS NOVOS</t>
  </si>
  <si>
    <t>S-00167- BYPASS VERTEDOURO BARRAGEM SUL (Continuidade)</t>
  </si>
  <si>
    <t>MONTAGEM DE DE EQUIPAMENTOS E COMPONENTES ELETROMECÂNICOS</t>
  </si>
  <si>
    <t>7.1.1.1.1</t>
  </si>
  <si>
    <t>7.1.1.1.1.1</t>
  </si>
  <si>
    <t>Montagem de QDI, grau de proteção IP-66, incluso dispositivos de proteção e acionamento, classe de tensão 0,6/1kV, 220/127V, 3Ø-60Hz.</t>
  </si>
  <si>
    <t>7.1.1.1.1.2</t>
  </si>
  <si>
    <t>Montagem de QDTC , grau de proteção IP-66, incluso dispositivos de proteção e acionamento, classe de tensão 0,6/1kV, 220/127V, 3Ø-60Hz.</t>
  </si>
  <si>
    <t>7.1.1.1.1.3</t>
  </si>
  <si>
    <t>Montagem de Transformador a 45kVA, instalação em poste, tensão no primário de 13,8kV / secundário 220/127V, 3Ø-60Hz</t>
  </si>
  <si>
    <t>7.1.1.2</t>
  </si>
  <si>
    <t>7.1.1.2.1</t>
  </si>
  <si>
    <t>7.1.1.2.1.1</t>
  </si>
  <si>
    <t>Montagem de caixa de junção para rede Profibus PA, IP-65, montada em painel de campo, com 8 saídas (spurs) e demais acessórios montados e interligados</t>
  </si>
  <si>
    <t>7.1.1.2.1.2</t>
  </si>
  <si>
    <t>Montagem de Painel de campo com Remota, contemplando protocolo de comunicação rede Profibus PA, Cartões de entradas e saidas digitais.</t>
  </si>
  <si>
    <t>7.1.1.2.1.3</t>
  </si>
  <si>
    <t>Montagem de conversor eletro óptico</t>
  </si>
  <si>
    <t>7.1.1.2.2</t>
  </si>
  <si>
    <t>MONTAGEM DE INSTRUMENTOS</t>
  </si>
  <si>
    <t>7.1.1.2.2.1</t>
  </si>
  <si>
    <t>Montagem de Transmissor de vazão Eletromagnético diâmetro 24"</t>
  </si>
  <si>
    <t>7.1.1.2.2.2</t>
  </si>
  <si>
    <t>Montagem de Transmissor de pressão</t>
  </si>
  <si>
    <t>7.1.1.2.2.3</t>
  </si>
  <si>
    <t>Montagem de manômetro</t>
  </si>
  <si>
    <t>7.1.1.3</t>
  </si>
  <si>
    <t>MONTAGEM DE CONDUTORES ELÉTRICOS E ÓTICOS - INSTRUMENTAÇÃO, CONTROLE E COMUNICAÇÃO</t>
  </si>
  <si>
    <t>7.1.1.3.1</t>
  </si>
  <si>
    <t>MONTAGEM DE CABO ÓPTICO PARA INSTALAÇÃO AÉREA - AUTO-SUSTENTADO - MONOMODO</t>
  </si>
  <si>
    <t>7.1.1.3.1.1</t>
  </si>
  <si>
    <t>Montagem e fusão de cabo ótico até 24 veias (com fornecimento de extensões ópticas, terminadores , elementos de fixação em poste e acessórios) para instalação interna ou externa, elementos de tração dielétricos, autosustentado, revestimento primário em acrilato e revestimento secundário em material termoplástico não propagante a chamas, núcleo seco do tipo tight buffer, monomodo.</t>
  </si>
  <si>
    <t>7.1.1.3.2</t>
  </si>
  <si>
    <t>MONTAGEM DE CABOS ELÉTRICOS PARA INSTRUMENTAÇÃO</t>
  </si>
  <si>
    <t>7.1.1.3.2.1</t>
  </si>
  <si>
    <t>Montagem de cabo de instrumentação, condutores de cobre nú, blindagem total, encordoamento classe 2, isolação em PVC antichama, temperatura de serviço 70ºC, 300/600V, condutores numerados até 2P x 1,00 mm²</t>
  </si>
  <si>
    <t>7.1.2</t>
  </si>
  <si>
    <t>7.1.2.1</t>
  </si>
  <si>
    <t>7.1.2.1.1</t>
  </si>
  <si>
    <t>7.1.2.1.1.1</t>
  </si>
  <si>
    <t>Fornecimento e montagem de cabo flexível de potência, UNIPOLAR, com ISOLAÇÃO HEPR 90°C CAPA PVC CLASSE DE TENSÃO 0,6/1KV. COR VERMELHO/VERDE/PRETO) - Seção 2,5 mm²</t>
  </si>
  <si>
    <t>7.1.2.1.1.2</t>
  </si>
  <si>
    <t>Fornecimento e montagem de cabo flexível de potência, TRIPOLAR, com ISOLAÇÃO HEPR 90°C CAPA PVC CLASSE DE TENSÃO 0,6/1KV COR DA CAPA PRETA - Seção 1x3#6mm2</t>
  </si>
  <si>
    <t>7.1.2.1.2</t>
  </si>
  <si>
    <t>FORNECIMENTO E MONTAGEM CABO DE MÉDIA TENSÃO (8,7 / 15kV) CONDUTOR DE COBRE UNIPOLAR / TRIPOLAR FLEXIVEL ISOLAÇÃO XLPE 90°C. COBERTURA EM COMPOSTO DE CLORETO DE POLIVINILA PVC.</t>
  </si>
  <si>
    <t>7.1.2.1.2.1</t>
  </si>
  <si>
    <t>FORNECIMENTO E MONTAGEM CABO DE MÉDIA TENSÃO (8,7 / 15kV) CONDUTOR DE COBRE UNIPOLAR FLEXIVEL ISOLAÇÃO XLPE 90°C. COBERTURA EM COMPOSTO DE CLORETO DE POLIVINILA PVC. Seção 1x35mm2</t>
  </si>
  <si>
    <t>7.1.2.2</t>
  </si>
  <si>
    <t>7.1.2.2.1</t>
  </si>
  <si>
    <t>7.1.2.2.1.1</t>
  </si>
  <si>
    <t>Fornecimento e montagem de Cabo de controle, condutores de cobre nú, sem blindagem, encordoamento classe 5, isolação em PVC antichama, temperatura de serviço 70ºC, 0,6/1kV, condutores numerados - Seção 5 x 1,5 mm²</t>
  </si>
  <si>
    <t>7.1.2.2.1.2</t>
  </si>
  <si>
    <t>Fornecimento e montagem de Cabo de controle, condutores de cobre nú, sem blindagem, encordoamento classe 5, isolação em PVC antichama, temperatura de serviço 70ºC, 0,6/1kV, condutores numerados. Seção 3 x 2,5 mm²</t>
  </si>
  <si>
    <t>7.1.2.2.2</t>
  </si>
  <si>
    <t>7.1.2.2.2.1</t>
  </si>
  <si>
    <t>Fornecimento, montagem e fusão de cabo ótico para instalação interna ou externa, elementos de tração dielétricos, autosustentando, revestimento primário em acrilato e revestimento secundário emmaterial termoplástico não propagante a chamas, núcleo seco do tipo tight buffer, 12 veias, monomodo.</t>
  </si>
  <si>
    <t>7.1.2.2.3</t>
  </si>
  <si>
    <t>7.1.2.2.3.1</t>
  </si>
  <si>
    <t>7.1.2.2.4</t>
  </si>
  <si>
    <t>FORNECIMENTO E MONTAGEM DE TERMINAÇÕES ELÉTRICAS (EMENDAS E TERMINAIS)</t>
  </si>
  <si>
    <t>7.1.2.2.4.1</t>
  </si>
  <si>
    <t>FORNECIMENTO E MONTAGEM DE TERMINAÇÃO TERMOCONTRÁTIL 15KV, 35mm²</t>
  </si>
  <si>
    <t>7.1.2.3</t>
  </si>
  <si>
    <t>7.1.2.3.1</t>
  </si>
  <si>
    <t>Fornecimento e Montagem de projetor,led 100W, uso externo.</t>
  </si>
  <si>
    <t>7.1.2.3.2</t>
  </si>
  <si>
    <t>Fornecimento e Montagem de Luminária LED Arandela 90°, 42W, uso externo.</t>
  </si>
  <si>
    <t>7.1.2.3.3</t>
  </si>
  <si>
    <t>FORNECIMENTO E MONTAGEM de RELE FOTOELÉTRICO, entrada rosqueada Ø3/4" Rosca BSP. Capacidade de corrente de 10A, tensão de funcionamento 105-305 VAC, frequência 50-60Hz.</t>
  </si>
  <si>
    <t>7.1.2.3.4</t>
  </si>
  <si>
    <t>FORNECIMENTO E MONTAGEM DE SISTEMAS PARA ILUMINAÇÃO DE EMERGÊNCIA COM FARÓIS DE LED</t>
  </si>
  <si>
    <t>7.1.2.3.5</t>
  </si>
  <si>
    <t>FORNECIMENTO E MONTAGEM de Poste de Concreto Duplo T, equipado com cruzetas, chaves com eles fusíveis, para-raios, protetor de bucha, isoladores, conectores e demais acessórios. Comprimento 11m</t>
  </si>
  <si>
    <t>7.1.2.3.6</t>
  </si>
  <si>
    <t>FORNECIMENTO E MONTAGEM de Poste de Concreto Duplo T. Comprimento 8m</t>
  </si>
  <si>
    <t>7.1.2.4</t>
  </si>
  <si>
    <t>7.1.2.4.1</t>
  </si>
  <si>
    <t>Fornecimento e montagem de tomada para iluminação, 220V 2P+N+T</t>
  </si>
  <si>
    <t>7.1.2.5</t>
  </si>
  <si>
    <t>7.1.2.5.1</t>
  </si>
  <si>
    <t>7.1.2.5.2</t>
  </si>
  <si>
    <t>7.1.2.5.3</t>
  </si>
  <si>
    <t>7.1.2.5.4</t>
  </si>
  <si>
    <t>7.1.2.5.5</t>
  </si>
  <si>
    <t>7.1.2.5.6</t>
  </si>
  <si>
    <t>FORNECIMENTO E MONTAGEM de Mastro Telescópico em aço Galvanizado a Fogo com redução para Ø3/4". Comprimento 6m.</t>
  </si>
  <si>
    <t>7.1.2.5.7</t>
  </si>
  <si>
    <t>FORNECIMENTO E MONTAGEM DE PARA-RAIOS TIPO FRANKLIN.</t>
  </si>
  <si>
    <t>7.1.2.5.8</t>
  </si>
  <si>
    <t>Fornecimento e montagem de Caixa de equipotencialização (BEP/BEL), para uso interno ou externo.</t>
  </si>
  <si>
    <t>7.1.3</t>
  </si>
  <si>
    <t>7.1.3.1</t>
  </si>
  <si>
    <t>7.1.3.1.1</t>
  </si>
  <si>
    <t>Fornecimento e montagem de distribuidor interno óptico, incluindo acomodação e fusão de 12 portas ópticas extensão SM SC – APC; monomodo com conectores, kit de adaptadores, pigtails e terminais ópticos</t>
  </si>
  <si>
    <t>7.1.3.1.2</t>
  </si>
  <si>
    <t>Fornecimento e montagem de cordão óptico duplex (SM SC/ST – APC), fibra óptica do tipo monomodo</t>
  </si>
  <si>
    <t>7.1.3.2</t>
  </si>
  <si>
    <t>FORNECIMENTO E MONTAGEM DE INSTRUMENTOS</t>
  </si>
  <si>
    <t>7.1.3.2.1</t>
  </si>
  <si>
    <t>Fornecimento e Montagem de Manômetro</t>
  </si>
  <si>
    <t>SUB TOTAL - S-00167- BYPASS VERTEDOURO BARRAGEM SUL (Continuidade)</t>
  </si>
  <si>
    <t>7.2</t>
  </si>
  <si>
    <t>S-5809 - DESAGUAMENTO REJEITO (FASE 02) / SUBSTITUIÇÃO DAS BOMBAS DE UNDER DO ESPESSADOR DE LAMAS 9901</t>
  </si>
  <si>
    <t>7.2.1</t>
  </si>
  <si>
    <t>MONTAGEM DE ESTRUTURAS METÁLICAS</t>
  </si>
  <si>
    <t>7.2.1.1</t>
  </si>
  <si>
    <t>7.2.1.1.1</t>
  </si>
  <si>
    <t>MONTAGEM DE CHAPAS E PERFIS SOLDADOS</t>
  </si>
  <si>
    <t>7.2.1.1.1.1</t>
  </si>
  <si>
    <t>Montagem de estrutura metálica</t>
  </si>
  <si>
    <t>7.2.1.1.2</t>
  </si>
  <si>
    <t>MONTAGEM DE GRADE DE PISO</t>
  </si>
  <si>
    <t>7.2.1.1.2.1</t>
  </si>
  <si>
    <t>Montagem de grade galvanizada - Referência Selmec ou similar</t>
  </si>
  <si>
    <t>7.2.1.1.3</t>
  </si>
  <si>
    <t>MONTAGEM DE CHAPA DE PISO</t>
  </si>
  <si>
    <t>7.2.1.1.3.1</t>
  </si>
  <si>
    <t>Montagem de chapa de piso (Chapa Expandida)</t>
  </si>
  <si>
    <t>7.2.1.1.4</t>
  </si>
  <si>
    <t>MONTAGEM DE MISCÊLÂNEAS METÁLICAS</t>
  </si>
  <si>
    <t>7.2.1.1.4.1</t>
  </si>
  <si>
    <t>Montagem de miscelâneas metálicas (insclusive escadas, corrimãos, guarda-corpos, etc.)</t>
  </si>
  <si>
    <t>7.2.2</t>
  </si>
  <si>
    <t>7.2.2.1</t>
  </si>
  <si>
    <t>7.2.2.1.1</t>
  </si>
  <si>
    <t>7.2.2.1.1.1</t>
  </si>
  <si>
    <t>Montagem de chute de desvio, com flap motorizado, fornecido em partes, com revestimento interno de cerâmica</t>
  </si>
  <si>
    <t>7.2.3</t>
  </si>
  <si>
    <t>7.2.3.1</t>
  </si>
  <si>
    <t>7.2.3.1.1</t>
  </si>
  <si>
    <t>FORNECIMENTO E MONTAGEM DE DESVIADOR DE FLUXO</t>
  </si>
  <si>
    <t>7.2.3.1.1.1</t>
  </si>
  <si>
    <t>Fornecimento, fabricação e montagem de um distribuidor de fluxo com três saídas fornecido montado, completo, incluindo válvulas de bloqueio do tipo dardo, com revest. Int cerâmico, inclusive pintura de acabamento</t>
  </si>
  <si>
    <t>7.2.4</t>
  </si>
  <si>
    <t>7.2.4.1</t>
  </si>
  <si>
    <t>7.2.4.1.1</t>
  </si>
  <si>
    <t>7.2.4.1.1.1</t>
  </si>
  <si>
    <t>7.2.4.1.2</t>
  </si>
  <si>
    <t>FORNECIMENTO E MONTAGEM DE TUBO DE AÇO CARBONO ASTM A53 Gr. B, SCHEDULE 40</t>
  </si>
  <si>
    <t>7.2.4.1.2.1</t>
  </si>
  <si>
    <t>7.2.4.1.3</t>
  </si>
  <si>
    <t>7.2.4.1.3.1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</si>
  <si>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à 12", comprimento até 2.500,00 mm, conforme padrão Vale</t>
  </si>
  <si>
    <t>7.2.4.1.4</t>
  </si>
  <si>
    <t>FORNECIMENTO E MONTAGEM DE TUBO DE AÇO CARBONO ASTM A53 Gr. B, SCHEDULE 80</t>
  </si>
  <si>
    <t>7.2.4.1.4.1</t>
  </si>
  <si>
    <t>Fornecimento e montagem de tubulação de aço carbono ASTM A53 Gr. B-S, schedule 80. Inclusive acessórios e válvulas - Ø 18"</t>
  </si>
  <si>
    <t>7.2.4.1.5</t>
  </si>
  <si>
    <t>7.2.4.1.5.1</t>
  </si>
  <si>
    <t>Fornecimento e montagem de tubo dn-18", com cost. ac, astm a-283 gr. c - sch 10, revestimento int. em pu 12mm, flangeado, extremidades um lado fixo e outro lado solto inclusive curvas, conexões, reduções e tês. (flanges conf. awwa-c 207 - material do flange astm a36, cl 150 lbs)</t>
  </si>
  <si>
    <t>7.2.4.1.6</t>
  </si>
  <si>
    <t>7.2.4.1.6.1</t>
  </si>
  <si>
    <t>Curvas de borracha com ângulos de (90º, 60°, 45° e 30°), 1.5 x d, 8"</t>
  </si>
  <si>
    <t>7.2.4.2</t>
  </si>
  <si>
    <t>7.2.4.2.1</t>
  </si>
  <si>
    <t>7.2.4.2.1.1</t>
  </si>
  <si>
    <t>Fornecimento e montagem de válvula esfera, classe 150#, rosca NPT - até DN 2"</t>
  </si>
  <si>
    <t>7.2.4.2.1.2</t>
  </si>
  <si>
    <t>Fornecimento e montagem de válvula esfera, classe 150#, rosca NPT - até DN 4"</t>
  </si>
  <si>
    <t>7.2.4.2.2</t>
  </si>
  <si>
    <t>FORNECIMENTO E MONTAGEM DE FILTRO TIPO DUPLEX ( DUPLO CESTO) DN 6 POLEGADAS</t>
  </si>
  <si>
    <t>7.2.4.2.2.1</t>
  </si>
  <si>
    <t>7.2.5</t>
  </si>
  <si>
    <t>7.2.5.1</t>
  </si>
  <si>
    <t>7.2.5.1.1</t>
  </si>
  <si>
    <t>7.2.5.1.1.1</t>
  </si>
  <si>
    <t>Fornecimento e montagem de mangueira pneumática, adequada a aplicação industrial, com tubo interno de borracha sintética, diâmetro interno de 1/2", 250PSI, raio de curvatura 130mm, inclusive espigão, reduções, conexões e acessórios</t>
  </si>
  <si>
    <t>7.2.6</t>
  </si>
  <si>
    <t>7.2.6.1</t>
  </si>
  <si>
    <t>7.2.6.1.1</t>
  </si>
  <si>
    <t>MONTAGEM DE TUBO DE AÇO CARBONO ASTM A 53 Gr B ou NBR 5590 Gr B, norma ASTM A134, schedule 80</t>
  </si>
  <si>
    <t>7.2.6.1.1.1</t>
  </si>
  <si>
    <t>Montagem de tubulação de aço carbono ASTM A 53 Gr B ou NBR 5590 Gr B, norma ASTM A134, schedule 80. Inclusive acessórios, flanges, válvulas, curvas, conexões, reduções e tês - Ø 8". Tubulação de ajuste, deverão ser soldados os flanges em campo.</t>
  </si>
  <si>
    <t>7.2.6.1.1.2</t>
  </si>
  <si>
    <t>Montagem de tubulação de aço carbono ASTM A 53 Gr B ou NBR 5590 Gr B, norma ASTM A134, schedule 80. Inclusive acessórios, flanges, válvulas, curvas, conexões, reduções e tês - Ø 10". Tubulação de ajuste, deverão ser soldados os flanges em campo.</t>
  </si>
  <si>
    <t>7.2.6.1.1.3</t>
  </si>
  <si>
    <t>Montagem de tubulação de aço carbono ASTM A 53 Gr B ou NBR 5590 Gr B, norma ASTM A134, schedule 80. Inclusive acessórios, flanges, válvulas, curvas, conexões, reduções e tês - Ø 12". Tubulação de ajuste, deverão ser soldados os flanges em campo.</t>
  </si>
  <si>
    <t>7.2.6.1.1.4</t>
  </si>
  <si>
    <t>Montagem de tubulação de aço carbono ASTM A 53 Gr B ou NBR 5590 Gr B, norma ASTM A134, schedule 80. Inclusive acessórios, flanges, válvulas, curvas, conexões, reduções e tês - Ø 14". Tubulação de ajuste, deverão ser soldados os flanges em campo.</t>
  </si>
  <si>
    <t>7.2.6.1.1.5</t>
  </si>
  <si>
    <t>Montagem de tubulação de aço carbono ASTM A 53 Gr B ou NBR 5590 Gr B, norma ASTM A134, schedule 80. Inclusive acessórios, flanges, válvulas, curvas, conexões, reduções e tês - Ø 16". Tubulação de ajuste, deverão ser soldados os flanges em campo.</t>
  </si>
  <si>
    <t>7.2.6.1.1.6</t>
  </si>
  <si>
    <t>Montagem de tubulação de aço carbono ASTM A 53 Gr B ou NBR 5590 Gr B, norma ASTM A134, schedule 80. Inclusive acessórios, flanges, válvulas, curvas, conexões, reduções e tês - Ø 20". Tubulação de ajuste, deverão ser soldados os flanges em campo.</t>
  </si>
  <si>
    <t>7.2.6.1.1.7</t>
  </si>
  <si>
    <t>Montagem de tubulação de aço carbono ASTM A 53 Gr B ou NBR 5590 Gr B, norma ASTM A134, schedule 80. Inclusive acessórios, flanges, válvulas, curvas, conexões, reduções e tês - Ø 22". Tubulação de ajuste, deverão ser soldados os flanges em campo.</t>
  </si>
  <si>
    <t>7.2.6.1.2</t>
  </si>
  <si>
    <t>MONTAGEM DE TUBO DE AÇO CARBONO, schedule 10</t>
  </si>
  <si>
    <t>7.2.6.1.2.1</t>
  </si>
  <si>
    <t>Montagem de tubo dn-4", com cost. ac, astm a-283 gr. c - sch 10, revestimento int. em pu 8mm, flangeado, extremidades um lado fixo e outro lado solto inclusive curvas, conexões, reduções e tês. (flanges conf. awwa-c 207 - material do flange astm a36, cl 150 lbs)</t>
  </si>
  <si>
    <t>7.2.6.1.2.2</t>
  </si>
  <si>
    <t>Montagem de tubo dn-18", com cost. ac, astm a-283 gr. c - sch 10, revestimento int. em pu 8mm, flangeado, extremidades um lado fixo e outro lado solto inclusive curvas, conexões, reduções e tês. (flanges conf. awwa-c 207 - material do flange astm a36, cl 150 lbs)</t>
  </si>
  <si>
    <t>7.2.7</t>
  </si>
  <si>
    <t>7.2.7.1</t>
  </si>
  <si>
    <t>7.2.7.1.1</t>
  </si>
  <si>
    <t>Montagem de caixa de junção para rede Profibus PA, IP-65, montada em painel de campo, com 8 saídas (spurs) e demais acessórios montados e interligados, conforme FD -1450AA-J-54858</t>
  </si>
  <si>
    <t>7.2.8</t>
  </si>
  <si>
    <t>7.2.8.1</t>
  </si>
  <si>
    <t>7.2.8.1.1</t>
  </si>
  <si>
    <t>7.2.8.1.1.1</t>
  </si>
  <si>
    <t>Fornecimento e montagem de cabo tetrapolar, flexível, encordoamento classe 5, com isolação sólida extrudada de EPR e cobertura flexível de PVC- 90ºC, classe de tensão 0,6/1kV - Seção 4 x 2,5 mm²</t>
  </si>
  <si>
    <t>7.2.8.1.1.2</t>
  </si>
  <si>
    <t>7.2.8.1.1.3</t>
  </si>
  <si>
    <t>Fornecimento e montagem de cabo tetrapolar, flexível, encordoamento classe 5, com isolação sólida extrudada de EPR e cobertura flexível de PVC- 90ºC, classe de tensão 0,6/1kV - Seção 4 x 6 mm²</t>
  </si>
  <si>
    <t>7.2.8.1.1.4</t>
  </si>
  <si>
    <t>Fornecimento e montagem de cabo tetrapolar, flexível, encordoamento classe 5, com isolação sólida extrudada de EPR e cobertura flexível de PVC- 90ºC, classe de tensão 0,6/1kV - Seção 4 x 16 mm²</t>
  </si>
  <si>
    <t>7.2.8.2</t>
  </si>
  <si>
    <t>7.2.8.2.1</t>
  </si>
  <si>
    <t>7.2.8.2.1.1</t>
  </si>
  <si>
    <t>7.2.8.2.1.2</t>
  </si>
  <si>
    <t>7.2.8.3</t>
  </si>
  <si>
    <t>7.2.8.3.1</t>
  </si>
  <si>
    <t>Fornecimento e montagem de eletroduto rígido em aço galvanizado a fogo, sem rebarba, tipo pesado, com acessórios - Ø 3/4"</t>
  </si>
  <si>
    <t>7.2.8.3.2</t>
  </si>
  <si>
    <t>Fornecimento e montagem de eletroduto rígido em aço galvanizado a fogo, sem rebarba, tipo pesado, com acessórios - Ø 1"</t>
  </si>
  <si>
    <t>7.2.8.3.3</t>
  </si>
  <si>
    <t>Fornecimento e montagem de eletroduto rígido em aço galvanizado a fogo, sem rebarba, tipo pesado, com acessórios - Ø 2"</t>
  </si>
  <si>
    <t>7.2.8.3.4</t>
  </si>
  <si>
    <t>Fornecimento e montagem de eletroduto rígido em aço galvanizado a fogo, sem rebarba, tipo pesado, com acessórios - Ø 4"</t>
  </si>
  <si>
    <t>7.2.8.4</t>
  </si>
  <si>
    <t>FORNECIMENTO E MONTAGEM DE ELETRODUTOS RÍGIDOS E FLEXÍVEIS, EM PVC, C/ ACESSORIOS</t>
  </si>
  <si>
    <t>7.2.8.4.1</t>
  </si>
  <si>
    <t>Fornecimento e montagem de eletroduto metálico flexível, fabricado em fita contínua de aço zincado em espiral, revestido externamente com PVC extrudado, tipo "SEAL TUBE" - Ø 3/4"</t>
  </si>
  <si>
    <t>7.2.8.4.2</t>
  </si>
  <si>
    <t>Fornecimento e montagem de eletroduto metálico flexível, fabricado em fita contínua de aço zincado em espiral, revestido externamente com PVC extrudado, tipo "SEAL TUBE" - Ø 1"</t>
  </si>
  <si>
    <t>7.2.8.4.3</t>
  </si>
  <si>
    <t>Fornecimento e montagem de eletroduto metálico flexível, fabricado em fita contínua de aço zincado em espiral, revestido externamente com PVC extrudado, tipo "SEAL TUBE" - Ø 1 1/2"</t>
  </si>
  <si>
    <t>7.2.8.4.4</t>
  </si>
  <si>
    <t>Fornecimento e montagem de eletroduto metálico flexível, fabricado em fita contínua de aço zincado em espiral, revestido externamente com PVC extrudado, tipo "SEAL TUBE" - Ø 2"</t>
  </si>
  <si>
    <t>7.2.8.4.5</t>
  </si>
  <si>
    <t>Fornecimento e montagem de eletroduto metálico flexível, fabricado em fita contínua de aço zincado em espiral, revestido externamente com PVC extrudado, tipo "SEAL TUBE" - Ø 2 1/2"</t>
  </si>
  <si>
    <t>7.2.8.4.6</t>
  </si>
  <si>
    <t>Fornecimento e montagem de eletroduto metálico flexível, fabricado em fita contínua de aço zincado em espiral, revestido externamente com PVC extrudado, tipo "SEAL TUBE" - Ø 3"</t>
  </si>
  <si>
    <t>7.2.8.4.7</t>
  </si>
  <si>
    <t>Fornecimento e montagem de eletroduto metálico flexível, fabricado em fita contínua de aço zincado em espiral, revestido externamente com PVC extrudado, tipo "SEAL TUBE" - Ø 4"</t>
  </si>
  <si>
    <t>7.2.8.5</t>
  </si>
  <si>
    <t>7.2.8.5.1</t>
  </si>
  <si>
    <t>7.2.8.5.1.1</t>
  </si>
  <si>
    <t>7.2.8.5.1.2</t>
  </si>
  <si>
    <t>7.2.8.5.1.3</t>
  </si>
  <si>
    <t>Fornecimento e montagem de mini disjuntor termomagnético monopolar, curva C, 50A Icu 10kA</t>
  </si>
  <si>
    <t>7.2.8.6</t>
  </si>
  <si>
    <t>7.2.8.6.1</t>
  </si>
  <si>
    <t>7.2.9</t>
  </si>
  <si>
    <t>7.2.9.1</t>
  </si>
  <si>
    <t>7.2.9.1.1</t>
  </si>
  <si>
    <t>Montagem de quadro de distribuição de tensão ininterrupta QDTC</t>
  </si>
  <si>
    <t>7.2.9.2</t>
  </si>
  <si>
    <t>MONTAGEM DE CAIXA DE JUNÇÃO PARA REDE PROFIBUS PA</t>
  </si>
  <si>
    <t>7.2.9.2.1</t>
  </si>
  <si>
    <t>Montagem de caixa de junção para rede profibus-PA, IP-67, montada em painel de campo, e demais acessórios montados e interligados.</t>
  </si>
  <si>
    <t>7.2.9.3</t>
  </si>
  <si>
    <t>MONTAGEM DE MEDIDORES DE INSTRUMENTAÇÃO</t>
  </si>
  <si>
    <t>7.2.9.3.1</t>
  </si>
  <si>
    <t>Montagem de medidores de vazão ø &lt; 2"</t>
  </si>
  <si>
    <t>7.2.9.3.2</t>
  </si>
  <si>
    <t>Montagem de medidores de pressão</t>
  </si>
  <si>
    <t>7.2.9.4</t>
  </si>
  <si>
    <t>MONTAGEM DE VÁLVULAS PARA AUTOMAÇÃO E CONTROLE</t>
  </si>
  <si>
    <t>7.2.9.4.1</t>
  </si>
  <si>
    <t>Montagem de válvulas esfera On/Off, - ø = 1. 1/2" ; acionamento pneumático; (FV-145A-99403 / FV-145A-99413 / FV-145A-99423)</t>
  </si>
  <si>
    <t>7.2.9.5</t>
  </si>
  <si>
    <t>7.2.9.5.1</t>
  </si>
  <si>
    <t>Montagem de Centro de Controle de Motores 480v, 3Ø, 60Hz</t>
  </si>
  <si>
    <t>7.2.9.6</t>
  </si>
  <si>
    <t>MONTAGEM DE CUBÍCULOS</t>
  </si>
  <si>
    <t>7.2.9.6.1</t>
  </si>
  <si>
    <t>Montagem de coluna adicional no Quadro de Distribuição BT 480v, 3Ø, 60Hz</t>
  </si>
  <si>
    <t>7.2.9.7</t>
  </si>
  <si>
    <t>7.2.9.7.1</t>
  </si>
  <si>
    <t>Montagem de componentes em inversores de baixa tensão existentes para acionamentos de bombas</t>
  </si>
  <si>
    <t>Vb</t>
  </si>
  <si>
    <t>7.2.10</t>
  </si>
  <si>
    <t>7.2.10.1</t>
  </si>
  <si>
    <t>DESMONTAGEM DE EQUIPAMENTO</t>
  </si>
  <si>
    <t>7.2.10.1.1</t>
  </si>
  <si>
    <t>Desmontagem de coluna de CCM BT 480v, 3Ø, 60Hz</t>
  </si>
  <si>
    <t>7.2.11</t>
  </si>
  <si>
    <t>REALOCAÇÃO ELÉTRICA</t>
  </si>
  <si>
    <t>7.2.11.1</t>
  </si>
  <si>
    <t>MIGRAÇÃO DE CABOS DE ALIMENTAÇÃO</t>
  </si>
  <si>
    <t>7.2.11.1.1</t>
  </si>
  <si>
    <t>Migração (desligar e ligar) de carga em BT entre CCMs na SE 140A-01</t>
  </si>
  <si>
    <t>7.2.12</t>
  </si>
  <si>
    <t>MIGRAÇÃO DE INFRA E CABOS ELÉTRICOS</t>
  </si>
  <si>
    <t>7.2.12.1</t>
  </si>
  <si>
    <t>Realocação de leito de 400mm e cabos de diversas seções para retirada de interferência</t>
  </si>
  <si>
    <t>7.2.13</t>
  </si>
  <si>
    <t>7.2.13.1</t>
  </si>
  <si>
    <t>ALUGUEL DE CAMINHÕES DIESEL</t>
  </si>
  <si>
    <t>7.2.13.1.1</t>
  </si>
  <si>
    <t>Aluguel de Caminhão tipo Munck</t>
  </si>
  <si>
    <t>SUB TOTAL - S-5809 - DESAGUAMENTO REJEITO (FASE 02) / SUBSTITUIÇÃO DAS BOMBAS DE UNDER DO ESPESSADOR DE LAMAS 9901</t>
  </si>
  <si>
    <t>7.3</t>
  </si>
  <si>
    <t>SISTEMA DE DRENAGEM USINA DE CONCENTRAÇÃO</t>
  </si>
  <si>
    <t>7.3.1</t>
  </si>
  <si>
    <t>7.3.1.1</t>
  </si>
  <si>
    <t>7.3.1.1.1</t>
  </si>
  <si>
    <t>MONTAGEM DE CALHAS</t>
  </si>
  <si>
    <t>7.3.1.1.1.1</t>
  </si>
  <si>
    <t>Montagem de calhas metálicas, inclusive revestimento</t>
  </si>
  <si>
    <t>7.3.1.2</t>
  </si>
  <si>
    <t>7.3.1.2.1</t>
  </si>
  <si>
    <t>MONTAGEM DE ESTRUTURA METÁLICA</t>
  </si>
  <si>
    <t>7.3.1.2.1.1</t>
  </si>
  <si>
    <t>7.3.1.2.2</t>
  </si>
  <si>
    <t>7.3.1.2.2.1</t>
  </si>
  <si>
    <t>7.3.1.2.2.2</t>
  </si>
  <si>
    <t>Montagem de chapa de piso</t>
  </si>
  <si>
    <t>7.3.1.2.3</t>
  </si>
  <si>
    <t>MONTAGEM DE MISCELÂNEA METÁLICA (ESCADAS, CORRIMÃOS, GUARDA-CORPOS, ETC.)</t>
  </si>
  <si>
    <t>7.3.1.2.3.1</t>
  </si>
  <si>
    <t>SUB TOTAL - SISTEMA DE DRENAGEM USINA DE CONCENTRAÇÃO</t>
  </si>
  <si>
    <t>7.4</t>
  </si>
  <si>
    <t>MPI 410 - MELHORIA ADUTORA NORTE BRUCUTU (AMOSTRADORES)</t>
  </si>
  <si>
    <t>7.4.1</t>
  </si>
  <si>
    <t>MECÂNICA</t>
  </si>
  <si>
    <t>7.4.1.1</t>
  </si>
  <si>
    <t>7.4.1.1.1</t>
  </si>
  <si>
    <t>Montagem das sondas dos Amostradores primários</t>
  </si>
  <si>
    <t>7.4.1.1.2</t>
  </si>
  <si>
    <t>Montagem de amostradores primários</t>
  </si>
  <si>
    <t>7.4.1.2</t>
  </si>
  <si>
    <t>FORNECIMENTO E MONTAGEM DE PERFIS LAMINADOS DE ABAS PARALELAS</t>
  </si>
  <si>
    <t>7.4.1.2.1</t>
  </si>
  <si>
    <t>FORNECIMENTO E MONTAGEM DE ESTRUTURA METÁLICA ASTM A36, INCLUSIVE PINTURA DE FUNDO E ACABAMENTO.</t>
  </si>
  <si>
    <t>7.4.1.3</t>
  </si>
  <si>
    <t>7.4.1.3.1</t>
  </si>
  <si>
    <t>DESMONTAGEM DE ESTRUTURAS DIVERSAS, INCLUINDO TELHADO, ELETRODUTO, BANDEJA, CORRIMÕES, ESCADA, TUBULAÇÃO, CALDEIRARIA, SONDAS DE AMOSTRADOR E ETC.</t>
  </si>
  <si>
    <t>7.4.1.4</t>
  </si>
  <si>
    <t>DESMONTAGEM DE EQUIPAMENTOS E COMPONENTES ELETROMECÂNICOS</t>
  </si>
  <si>
    <t>7.4.1.4.1</t>
  </si>
  <si>
    <t>Desmontagem das sondas dos Amostradores primários</t>
  </si>
  <si>
    <t>7.4.1.4.2</t>
  </si>
  <si>
    <t>Desmontagem de amostradores primários</t>
  </si>
  <si>
    <t>7.4.2</t>
  </si>
  <si>
    <t>TUBULAÇÃO</t>
  </si>
  <si>
    <t>7.4.2.1</t>
  </si>
  <si>
    <t>MONTAGEM DE TUBULAÇÕES, CONEXÕES E ACESSÓRIOS</t>
  </si>
  <si>
    <t>7.4.2.1.1</t>
  </si>
  <si>
    <t>MONTAGEM DE TUBULAÇÕES</t>
  </si>
  <si>
    <t>7.4.2.1.1.1</t>
  </si>
  <si>
    <t>MONTAGEM DE TUBULAÇÃO, COM COSTURA HELICOIDAL DE AÇO CARBONO, DIMENSÕES CONFORME ANSI B36.19,REVESTIMENTO INTERNO EM POLIURETANO, FLANGEADO, INCLUSIVE CURVAS, CONEXÕES, JUNTAS, REDUÇÕES E TÊS, ACESSÓRIOS (FLANGE #150) ATÉ 2.1/2" à 3".</t>
  </si>
  <si>
    <t>7.4.2.1.1.2</t>
  </si>
  <si>
    <t>MONTAGEM DE TUBULAÇÃO, COM COSTURA HELICOIDAL DE AÇO CARBONO, DIMENSÕES CONFORME ANSI B36.19,REVESTIMENTO INTERNO EM POLIURETANO, FLANGEADO, INCLUSIVE CURVAS, CONEXÕES, JUNTAS, REDUÇÕES E TÊS, ACESSÓRIOS (FLANGE #150) ATÉ 10".</t>
  </si>
  <si>
    <t>7.4.2.1.1.3</t>
  </si>
  <si>
    <t>MONTAGEM DE TUBULAÇÃO, COM COSTURA HELICOIDAL DE AÇO CARBONO, DIMENSÕES CONFORME ANSI B36.19,REVESTIMENTO INTERNO EM POLIURETANO, FLANGEADO, INCLUSIVE CURVAS, CONEXÕES, JUNTAS, REDUÇÕES E TÊS, ACESSÓRIOS (FLANGE #150) ATÉ 12" à 18".</t>
  </si>
  <si>
    <t>7.4.2.1.1.4</t>
  </si>
  <si>
    <t>MONTAGEM DE TUBULAÇÃO, COM COSTURA HELICOIDAL DE AÇO CARBONO, DIMENSÕES CONFORME ANSI B36.19,REVESTIMENTO INTERNO EM POLIURETANO, FLANGEADO, INCLUSIVE CURVAS, CONEXÕES, JUNTAS, REDUÇÕES E TÊS, ACESSÓRIOS (FLANGE #150) ATÉ 20" à 36".</t>
  </si>
  <si>
    <t>7.4.3</t>
  </si>
  <si>
    <t>SERVIÇOS EVENTUAIS</t>
  </si>
  <si>
    <t>7.4.3.1</t>
  </si>
  <si>
    <t>7.4.3.2</t>
  </si>
  <si>
    <t>SUB TOTAL - MPI 410 - MELHORIA ADUTORA NORTE BRUCUTU (AMOSTRADORES)</t>
  </si>
  <si>
    <t>7.5</t>
  </si>
  <si>
    <t>S1780 - SEGREGAÇÃO DE REJEITOS</t>
  </si>
  <si>
    <t>7.5.1</t>
  </si>
  <si>
    <t>ESTRUTURAS METÁLICAS</t>
  </si>
  <si>
    <t>7.5.1.1</t>
  </si>
  <si>
    <t>FABRICAÇÃO E FORNECIMENTO E MONTAGEM DE ESTRUTURAS METÁLICAS</t>
  </si>
  <si>
    <t>7.5.1.1.1</t>
  </si>
  <si>
    <t>7.5.1.1.1.1</t>
  </si>
  <si>
    <t>7.5.1.1.2</t>
  </si>
  <si>
    <t>FORNECIMENTO E MONTAGEM DE PORTICOS</t>
  </si>
  <si>
    <t>7.5.1.1.2.1</t>
  </si>
  <si>
    <t>FORNECIMENTO E MONTAGEM DE PORTICOS DE MANUTENÇÃO DOS HIDROCICLONES</t>
  </si>
  <si>
    <t>CJ</t>
  </si>
  <si>
    <t>7.5.1.1.3</t>
  </si>
  <si>
    <t>FORNECIMENTO E MONTAGEM DE PROTEÇÃO DOS BARRAMENTOS</t>
  </si>
  <si>
    <t>7.5.1.1.3.1</t>
  </si>
  <si>
    <t>FORNECIMENTO E MONTAGEM DE PROTEÇAO DOS BARRAMENTOS DAS PONTES ROLANTES</t>
  </si>
  <si>
    <t>7.5.1.1.4</t>
  </si>
  <si>
    <t>FORNECIMENTO E MONTAGEM DE CHAPA XADREZ DE PISO</t>
  </si>
  <si>
    <t>7.5.1.1.4.1</t>
  </si>
  <si>
    <t>FORNECIMENTO E MONTAGEM DE CHAPA XADREZ ASTM A36, ESPESSURA 6,3 mm INCLUINDO PINTURA DE FUNDO E ACABAMENTO</t>
  </si>
  <si>
    <t>7.5.1.1.5</t>
  </si>
  <si>
    <t>7.5.1.1.5.1</t>
  </si>
  <si>
    <t>FORNECIMENTO E MONTAGEM DE MISCELÂNEAS METÁLICAS, INCLUINDO PINTURA DE FUNDO E ACABAMENTO</t>
  </si>
  <si>
    <t>7.5.2</t>
  </si>
  <si>
    <t>7.5.2.1</t>
  </si>
  <si>
    <t>7.5.2.1.1</t>
  </si>
  <si>
    <t>7.5.2.1.1.1</t>
  </si>
  <si>
    <t>MONTAGEM DE CARRETEIS REVESTIDOS EM SUBSTITUIÇÃO AOS CARRETEIS DE AJUSTES de 8" à 18"</t>
  </si>
  <si>
    <t>7.5.2.1.1.2</t>
  </si>
  <si>
    <t>MONTAGEM DE CARRETEIS REVESTIDOS EM SUBSTITUIÇÃO AOS CARRETEIS DE AJUSTES de 20" à 28"</t>
  </si>
  <si>
    <t>7.5.2.1.2</t>
  </si>
  <si>
    <t>MONTAGEM DE VÁLVULA ESFERA</t>
  </si>
  <si>
    <t>7.5.2.1.2.1</t>
  </si>
  <si>
    <t>MONTAGEM DE VÁLVULA ESFERA 3''</t>
  </si>
  <si>
    <t>7.5.2.1.3</t>
  </si>
  <si>
    <t>VÁLVULA RETENÇÃO DUPLA PORTINHOLA</t>
  </si>
  <si>
    <t>7.5.2.1.3.1</t>
  </si>
  <si>
    <t>MONTAGEM DE VÁLVULA RETENÇÃO DUPLA PORTINHOLA 2"</t>
  </si>
  <si>
    <t>7.5.2.1.4</t>
  </si>
  <si>
    <t>VÁLVULA VENTOSA</t>
  </si>
  <si>
    <t>7.5.2.1.4.1</t>
  </si>
  <si>
    <t>MONTAGEM DE VÁLVULA VENTOSA 2"</t>
  </si>
  <si>
    <t>7.5.2.2</t>
  </si>
  <si>
    <t>MONTAGEM DE MANGOTE DE BORRACHA</t>
  </si>
  <si>
    <t>7.5.2.2.1</t>
  </si>
  <si>
    <t>MONTAGEM DE MANGOTE DE BORRACHA NATURAL DE ALTA RESILIÊNCIA E RESISTÊNCIA À ABRASÃO E AO RASGAMENTO, 12" à 18</t>
  </si>
  <si>
    <t>7.5.2.2.2</t>
  </si>
  <si>
    <t>MONTAGEM DE MANGOTE DE BORRACHA NATURAL DE ALTA RESILIÊNCIA E RESISTÊNCIA À ABRASÃO E AO RASGAMENTO, 20" à 26</t>
  </si>
  <si>
    <t>7.5.2.3</t>
  </si>
  <si>
    <t>DESMONTAGEM / MONTAGEM DE TUBULAÇÕES, CONEXÕES E ACESSÓRIOS PARA REAPROVEITAMENTO</t>
  </si>
  <si>
    <t>7.5.2.3.1</t>
  </si>
  <si>
    <t>DESMONTAGEM/ MONTAGEM DE TUBULAÇÕES PARA REAPROVEITAMENTO</t>
  </si>
  <si>
    <t>7.5.2.3.1.1</t>
  </si>
  <si>
    <t>DESMONTAGEM DE TUBULAÇÃO REVESTIDA DE 16", INCLUSIVE CURVAS, CONEXÕES, JUNTAS, REDUÇÕES E TÊS e ACESSÓRIOS - COM REAPROVEITAMENTO</t>
  </si>
  <si>
    <t>7.5.2.3.1.2</t>
  </si>
  <si>
    <t>MONTAGEM DE TUBULAÇÃO REVESTIDA DE 16", INCLUSIVE CURVAS, CONEXÕES, JUNTAS, REDUÇÕES E TÊS e ACESSÓRIOS - REAPROVEITADA</t>
  </si>
  <si>
    <t>7.5.2.3.1.3</t>
  </si>
  <si>
    <t>DESMONTAGEM DE TUBULAÇÃO REVESTIDA DE 20", INCLUSIVE CURVAS, CONEXÕES, JUNTAS, REDUÇÕES E TÊS e ACESSÓRIOS - COM REAPROVEITAMENTO</t>
  </si>
  <si>
    <t>7.5.2.3.1.4</t>
  </si>
  <si>
    <t>MONTAGEM DE TUBULAÇÃO REVESTIDA DE 20", INCLUSIVE CURVAS, CONEXÕES, JUNTAS, REDUÇÕES E TÊS e ACESSÓRIOS - REAPROVEITADA</t>
  </si>
  <si>
    <t>7.5.2.4</t>
  </si>
  <si>
    <t>DESMONTAGEM DE TUBULAÇÕES, CONEXÕES E ACESSÓRIOS</t>
  </si>
  <si>
    <t>7.5.2.4.1</t>
  </si>
  <si>
    <t>DESMONTAGEM DE TUBULAÇÕES</t>
  </si>
  <si>
    <t>7.5.2.4.1.1</t>
  </si>
  <si>
    <t>DESMONTAGEM DE TUBULAÇÃO REVESTIDA DE 12" DO REJEITODUTO NA BARRAGEM SUL, INCLUSIVE SUPORTAÇÃO.</t>
  </si>
  <si>
    <t>7.5.2.5</t>
  </si>
  <si>
    <t>7.5.2.5.1</t>
  </si>
  <si>
    <t>FORNECIMENTO E MONTAGEM DE TUBO, AC, ASTM A53-B, SC, SCH 80, DIMENSÕES CONF. ASME B36.10, INCLUSIVE CURVAS, CONEXÕES, REDUÇÕES E TÊS, até 4"</t>
  </si>
  <si>
    <t>7.5.2.5.2</t>
  </si>
  <si>
    <t>FORNECIMENTO E MONTAGEM DE TUBO, AC, ASTM A53-B, SC, SCH 80, DIMENSÕES CONF. ASME B36.10, INCLUSIVE CURVAS, CONEXÕES, REDUÇÕES E TÊS, 16"</t>
  </si>
  <si>
    <t>7.5.2.5.3</t>
  </si>
  <si>
    <t>FORNECIMENTO E MONTAGEM DE TUBO, AC, ASTM A53-B, SC, SCH 80, DIMENSÕES CONF. ASME B36.10, INCLUSIVE CURVAS, CONEXÕES, REDUÇÕES E TÊS, 20"</t>
  </si>
  <si>
    <t>7.5.3</t>
  </si>
  <si>
    <t>ELÉTRICA</t>
  </si>
  <si>
    <t>7.5.3.1</t>
  </si>
  <si>
    <t>FORNECIMENTO E MONTAGEM DE LEITO PARA CABOS, TIPO PESADO C/ ACESSÓRIOS</t>
  </si>
  <si>
    <t>7.5.3.1.1</t>
  </si>
  <si>
    <t>FORNECIMENTO E MONTAGEM DE LEITO PARA CABOS, TIPO PESADO C/ ACESSÓRIOS, ALTURA DE 100 MM, LARGURA DE 200 MM</t>
  </si>
  <si>
    <t>7.5.3.1.2</t>
  </si>
  <si>
    <t>FORNECIMENTO E MONTAGEM DE LEITO PARA CABOS, TIPO PESADO C/ ACESSÓRIOS, ALTURA DE 100 MM, LARGURA DE 400 MM</t>
  </si>
  <si>
    <t>7.5.3.2</t>
  </si>
  <si>
    <t>FORNECIMENTO E MONTAGEM DE ELETRODUTOS RÍGIDOS EM AÇO GALV.,C/ACESSORIOS</t>
  </si>
  <si>
    <t>7.5.3.2.1</t>
  </si>
  <si>
    <t>FORNECIMENTO E MONTAGEM DE ELETRODUTOS RÍGIDOS EM AÇO GALV.,C/ACESSORIOS, CLASSE PESADO, Ø 1"</t>
  </si>
  <si>
    <t>7.5.3.2.2</t>
  </si>
  <si>
    <t>FORNECIMENTO E MONTAGEM DE ELETRODUTOS RÍGIDOS EM AÇO GALV.,C/ACESSORIOS, CLASSE PESADO, Ø 3/4"</t>
  </si>
  <si>
    <t>7.5.3.3</t>
  </si>
  <si>
    <t>7.5.3.3.1</t>
  </si>
  <si>
    <t>FORNECIMENTO E MONTAGEM DE CABO FLEXÍVEL PARA ILUMINAÇÃO COM ISOLAÇÃO SÓLIDA EXTRUDADA DE PVC - 0,75KV</t>
  </si>
  <si>
    <t>7.5.3.3.1.1</t>
  </si>
  <si>
    <t>FORNECIMENTO E MONTAGEM DE CABO FLEXÍVEL UNIPOLAR, COM ISOLAÇÃO SÓLIDA EXTRUDADA DE PVC - SEÇÃO 2,5MM². CORES DIVERSAS (AZUL, VERDE, PRETO, BRANCO, VERMELHO)</t>
  </si>
  <si>
    <t>7.5.3.3.2</t>
  </si>
  <si>
    <t>7.5.3.3.2.1</t>
  </si>
  <si>
    <t>FORNECIMENTO E MONTAGEM DE TERMINAIS DE COMPRESSÃO DE BAIXA TENSÃO DE 70 A 120mm²</t>
  </si>
  <si>
    <t>7.5.3.4</t>
  </si>
  <si>
    <t>7.5.3.4.1</t>
  </si>
  <si>
    <t>FORNECIMENTO E MONTAGEM DE PROJETORES, LAMPADA LED</t>
  </si>
  <si>
    <t>7.5.3.4.1.1</t>
  </si>
  <si>
    <t>FORNECIMENTO E MONTAGEM DE PROJETORES, COM LAMPADA LED 50 W, ref Philips, GE ou equivalente técnico</t>
  </si>
  <si>
    <t>7.5.3.4.2</t>
  </si>
  <si>
    <t>7.5.3.4.2.1</t>
  </si>
  <si>
    <t>7.5.3.5</t>
  </si>
  <si>
    <t>7.5.3.5.1</t>
  </si>
  <si>
    <t>7.5.3.5.1.1</t>
  </si>
  <si>
    <t>FORNECIMENTO E MONTAGEM DE TOMADA PARA ILUMINAÇÃO</t>
  </si>
  <si>
    <t>7.5.3.6</t>
  </si>
  <si>
    <t>FORNECIMENTO E MONTAGEM DE CABO DE CONTROLE</t>
  </si>
  <si>
    <t>7.5.3.6.1</t>
  </si>
  <si>
    <t>7.5.3.6.1.1</t>
  </si>
  <si>
    <t>FORNECIMENTO E LANÇAMENTO DE CABO DE CONTROLE, CONDUTORES DE COBRE NÚ, SEM BLINDAGEM, ENCORDOAMENTO CLASSE 5, ISOLAÇÃO EM PVC ANTI-CHAMA, TEMPERATURA DE SERVIÇO 70ºC, 0,6/1KV, CONDUTORES NUMERADOS - SEÇÃO 3 X 1,5MM² + PE</t>
  </si>
  <si>
    <t>7.5.3.6.1.2</t>
  </si>
  <si>
    <t>FORNECIMENTO E LANÇAMENTO DE CABO DE CONTROLE, CONDUTORES DE COBRE NÚ, SEM BLINDAGEM, ENCORDOAMENTO CLASSE 5, ISOLAÇÃO EM PVC ANTI-CHAMA, TEMPERATURA DE SERVIÇO 70ºC, 0,6/1KV, CONDUTORES NUMERADOS - SEÇÃO 5 X 1,5MM² + PE</t>
  </si>
  <si>
    <t>7.5.3.7</t>
  </si>
  <si>
    <t>7.5.3.7.1</t>
  </si>
  <si>
    <t>Montagem de válvula de bloqueio (on-off) tipo guilhotina, conexão ANSI em 3", classe de pressão 300#, com sinalização de posição ZSL e ZSH e atuador pneumático, material: corpo/plug/sede/haste em: FoFo dúctil/ inox/ epdm/ inox, com: Plaq. Identificação, IP65.</t>
  </si>
  <si>
    <t>7.5.4</t>
  </si>
  <si>
    <t>CIVIL</t>
  </si>
  <si>
    <t>7.5.4.1</t>
  </si>
  <si>
    <t>7.5.4.1.1</t>
  </si>
  <si>
    <t>INTERLIGAÇÃO PLUVIAL</t>
  </si>
  <si>
    <t>7.5.4.1.1.1</t>
  </si>
  <si>
    <t>TUBO PVC RÍGIDO DN 12 MM, "TIGRE" OU SIMILAR INCLUSIVE CURVAS, CONEXÕES, LUVAS, REDUÇÕES E TÊS, ACESSÓRIOS</t>
  </si>
  <si>
    <t>7.5.4.1.1.2</t>
  </si>
  <si>
    <t>TUBO PVC RÍGIDO ESGOTO DN 75 MM, "TIGRE" OU SIMILAR INCLUSIVE CURVAS, CONEXÕES, LUVAS, REDUÇÕES E TÊS, ACESSÓRIOS</t>
  </si>
  <si>
    <t>7.5.5</t>
  </si>
  <si>
    <t>INSTRUMENTAÇÃO</t>
  </si>
  <si>
    <t>7.5.5.1</t>
  </si>
  <si>
    <t>FORNECIMENTO E MONTAGEM DE PROTEÇÃO DAS VÁLVULAS</t>
  </si>
  <si>
    <t>7.5.5.1.1</t>
  </si>
  <si>
    <t>FORNECIMENTO E MONTAGEM DE PROTEÇÃO DE POLICARBONATO NO CORPO DAS VÁLVULAS</t>
  </si>
  <si>
    <t>7.5.5.1.1.1</t>
  </si>
  <si>
    <t>7.5.5.2</t>
  </si>
  <si>
    <t>MONTAGEM DE COMPONENTES</t>
  </si>
  <si>
    <t>7.5.5.2.1</t>
  </si>
  <si>
    <t>MONTAGEM DE COMPONENTES EM INVERSORES DE BAIXA TENSÃO</t>
  </si>
  <si>
    <t>7.5.5.2.1.1</t>
  </si>
  <si>
    <t>Montagem de componente para comunicação em rede (gateway) nos compressores -CB-192A-9807/9808</t>
  </si>
  <si>
    <t>7.5.6</t>
  </si>
  <si>
    <t>7.5.6.1</t>
  </si>
  <si>
    <t>7.5.6.1.1</t>
  </si>
  <si>
    <t>7.5.7</t>
  </si>
  <si>
    <t>7.5.7.1</t>
  </si>
  <si>
    <t>7.5.7.2</t>
  </si>
  <si>
    <t xml:space="preserve">SUB TOTAL - S1780 - SEGREGAÇÃO DE REJEITOS </t>
  </si>
  <si>
    <t>SUBTOTAL DA OBRA</t>
  </si>
  <si>
    <t>TOTAL GERAL</t>
  </si>
  <si>
    <t>Qtd. Fev.</t>
  </si>
  <si>
    <t>Soma de Qtd 
Físico Acum. Anterior</t>
  </si>
  <si>
    <t>Pré-montagem</t>
  </si>
  <si>
    <t>Montagem e Alinhamento</t>
  </si>
  <si>
    <t>Teste hidrostático</t>
  </si>
  <si>
    <t>CMS S.60.10.000</t>
  </si>
  <si>
    <t>Retoque de pintura</t>
  </si>
  <si>
    <t>Peso Unit / Comprimento</t>
  </si>
  <si>
    <t>Peso Total 
(kg / m)</t>
  </si>
  <si>
    <t>Peso Total (m)</t>
  </si>
  <si>
    <t>Qtd. Fisico (m)</t>
  </si>
  <si>
    <t>CMS SUP.60.10.000</t>
  </si>
  <si>
    <t xml:space="preserve">Teste hidrostático </t>
  </si>
  <si>
    <t>REV</t>
  </si>
  <si>
    <t>TAG</t>
  </si>
  <si>
    <t>TQ-1880BB-03</t>
  </si>
  <si>
    <t>1880BB-M-15043</t>
  </si>
  <si>
    <t>CH. 8 X 1500 X 5710</t>
  </si>
  <si>
    <t>CH. 8 X 1500 X 1745</t>
  </si>
  <si>
    <t>CH. 9.5 X 2480 X 6320</t>
  </si>
  <si>
    <t>CH. 9.5 X 1920 X 5813</t>
  </si>
  <si>
    <t>CH. 8 X 1431 X 1450</t>
  </si>
  <si>
    <t>CH. 8 X 315 X 1431</t>
  </si>
  <si>
    <t>CH. 8 X 315 X 1450</t>
  </si>
  <si>
    <t>U 102 X 7,95 Kg/m X 1548</t>
  </si>
  <si>
    <t>U 102 X 7,95 Kg/m X 1482</t>
  </si>
  <si>
    <t>TB Ø24" X STD X 300</t>
  </si>
  <si>
    <t>FL Ø24" SO 150LBS ANSI B 16.5</t>
  </si>
  <si>
    <t>CH. 13 X 107 X 121</t>
  </si>
  <si>
    <t>CH. 6 X 112 X 120</t>
  </si>
  <si>
    <t>CH. 9.5 X 854 X 1273</t>
  </si>
  <si>
    <t>TB Ø20" X STD X 390</t>
  </si>
  <si>
    <t>FL Ø20" SO 150LBS ANSI B 16.5</t>
  </si>
  <si>
    <t>CH. 9.5 X 750 X 910</t>
  </si>
  <si>
    <t>TB Ø14" X STD X 390</t>
  </si>
  <si>
    <t>FL Ø14" SO 150LBS ANSI B 16.5</t>
  </si>
  <si>
    <t>U 102 X 7,95 Kg/m X 5820</t>
  </si>
  <si>
    <t>U 102 X 7,95 Kg/m X 6060</t>
  </si>
  <si>
    <t>TB Ø4" X STD X 200</t>
  </si>
  <si>
    <t>FL Ø4" SO 150LBS ANSI B 16.5</t>
  </si>
  <si>
    <t>TB Ø24" X STD X 223</t>
  </si>
  <si>
    <t>CH. 9.5 X Ø1255 X Ø1525</t>
  </si>
  <si>
    <t>CH. 12.7 X Ø613 X Ø832</t>
  </si>
  <si>
    <t>CH. 12.7 X Ø832</t>
  </si>
  <si>
    <t>BR. Ø16 X 340</t>
  </si>
  <si>
    <t>CH. 8 X 110 X 248</t>
  </si>
  <si>
    <t>CH. 8 X 152 X 290</t>
  </si>
  <si>
    <t>CH. 8 X 152 X 379</t>
  </si>
  <si>
    <t>DESCRIÇÃO 1</t>
  </si>
  <si>
    <t>DESCRIÇÃO 2</t>
  </si>
  <si>
    <t>CHAPA 8 x 1317x2637mm</t>
  </si>
  <si>
    <t>CHAPA 8 x 1698x5990mm</t>
  </si>
  <si>
    <t>CHAPA 8 x 1698x1887mm</t>
  </si>
  <si>
    <t>CHAPA 9,5 x 2400 x 2720mm</t>
  </si>
  <si>
    <t>CHAPA 9,5 x 158 x 1272 mm</t>
  </si>
  <si>
    <t>CANT. 63,5 x 9,5 x 4013 mm</t>
  </si>
  <si>
    <t>CHAPA 8,0 x 305 x 387 mm</t>
  </si>
  <si>
    <t>TUBO S/ COSTURA DN 4" SCH 40 CONF. ASME B36.10 x 240</t>
  </si>
  <si>
    <t>FLANGE SOBREPOSTO COM REFORÇO (SLIP ON) CONF. ANSI B16.5 - 150 LBS - FR COM RESSALTO-DN 4"</t>
  </si>
  <si>
    <t>CHAPA 8,0 x 120 x 139</t>
  </si>
  <si>
    <t>TUBO S/ COSTURA DN 2" SCH 40 CONF. ASME B36.10 x 240</t>
  </si>
  <si>
    <t>FLANGE SOBREPOSTO COM REFORÇO (SLIP ON) CONF. ANSI B16.5 - 150 LBS - FR COM RESSALTO-DN 2"</t>
  </si>
  <si>
    <t>CHAPA 8,0 x 190 x 190</t>
  </si>
  <si>
    <t>TUBO S/ COSTURA DN 3" SCH 40 CONF. ASME B36.10 x 240</t>
  </si>
  <si>
    <t>FLANGE SOBREPOSTO COM  REFORÇO (SLIP ON) CONF. ANSI B16.5 - 150 LBS - FR COM RESSALTO-DN 3"</t>
  </si>
  <si>
    <t>CHAPA 8,0 x 265 x 336</t>
  </si>
  <si>
    <t>TUBO S/ COSTURA DN 4" SCH 40 CONF. ASME B36.10 x 335</t>
  </si>
  <si>
    <t>CHAPA 9,5 x 813</t>
  </si>
  <si>
    <t>CHAPA 6,35 x 247 x 1896</t>
  </si>
  <si>
    <t>BARRA REDONDA ∅9,5 x 320</t>
  </si>
  <si>
    <t>CHAPA 9,5 x 100 x 102</t>
  </si>
  <si>
    <t>CHAPA 6,35 x 100 x 100</t>
  </si>
  <si>
    <t>CHAPA 12,7 x 63 x 67</t>
  </si>
  <si>
    <t>TUBO S/ COSTURA DN 1.1/2" SCH 40 CONF. ASME B36.10 x 202</t>
  </si>
  <si>
    <t>CHAPA 12,7 x 120 x 132</t>
  </si>
  <si>
    <t>TQ-1880BB-02</t>
  </si>
  <si>
    <t>TQ-1880BB-01</t>
  </si>
  <si>
    <t>1880BB-M-15049</t>
  </si>
  <si>
    <t>CHAPA 8,0 x 1490 x 3795</t>
  </si>
  <si>
    <t>CHAPA 8,0 x 1488 x 3795</t>
  </si>
  <si>
    <t>TUBO S/ COSTURA DN 18" SCH 40 CONF. ASME B36.10 x 348</t>
  </si>
  <si>
    <t>FLANGE SOBREPOSTO COM REFORÇO (SLIP ON) CONF. ANSI B16.5 - 150 LBS - FR COM RESSALTO-DN 18" CONF. ASME B36.10</t>
  </si>
  <si>
    <t>TUBO S/ COSTURA DN 12" SCH 40 CONF. ASME B36.10 x 358</t>
  </si>
  <si>
    <t>FLANGE SOBREPOSTO COM REFORÇO (SLIP ON) CONF. ANSI B16.5 - 150 LBS - FR COM RESSALTO-DN 12"</t>
  </si>
  <si>
    <t>CANT. 63,5 x 8,0 x 3444 mm</t>
  </si>
  <si>
    <t>CANT. 63,5 x 8,0 x 1089 mm</t>
  </si>
  <si>
    <t>CHAPA 8,0 x 568 x 1015 mm</t>
  </si>
  <si>
    <t>CHAPA 8,0 x 1072 x 1372 mm</t>
  </si>
  <si>
    <t>CHAPA 8,0 x 568 x 1420 mm</t>
  </si>
  <si>
    <t>CANT. 63,5 x 8,0 x 1456 mm</t>
  </si>
  <si>
    <t>CHAPA 19,0 x 112 x 150 mm</t>
  </si>
  <si>
    <t>CHAPA 9,5 x 114 x 120 mm</t>
  </si>
  <si>
    <t>CHAPA 8 x 1050 x 1923 mm</t>
  </si>
  <si>
    <t>REVESTIMENTO INTERNO ESP. 8 mm</t>
  </si>
  <si>
    <t>DISCO DE CHAPA 9,5 x 1516</t>
  </si>
  <si>
    <t>TUBO S/ COSTURA DN 24" SCH 40 CONF. ASME B36.10 x 260 mm</t>
  </si>
  <si>
    <t>FLANGE SOBREPOSTO COM REFORÇO (SLIP ON) CONF. ANSI B16.5 - 150 LBS - FR COM RESSALTO-DN 24"</t>
  </si>
  <si>
    <t>CHAPA 9,5 x 130 x 142</t>
  </si>
  <si>
    <t>PERFIL W 150 x 18,0 kg/m x 2406</t>
  </si>
  <si>
    <t>CHAPA 9,5 x 142 x 193</t>
  </si>
  <si>
    <t>CX-1880BB-01</t>
  </si>
  <si>
    <t>Caixa 01</t>
  </si>
  <si>
    <t>Tanque 02</t>
  </si>
  <si>
    <t>Tanque 03</t>
  </si>
  <si>
    <t>1880BB-M-150453</t>
  </si>
  <si>
    <t>CANT. 76,2 x 6,35</t>
  </si>
  <si>
    <t>CHAPA 9,5 x 1580</t>
  </si>
  <si>
    <t>CHAPA 9,5 x 860</t>
  </si>
  <si>
    <t>CHAPA 12,7 x 2250</t>
  </si>
  <si>
    <t>CHAPA 9,5 x 400</t>
  </si>
  <si>
    <t>CHAPA 12,7 x 157</t>
  </si>
  <si>
    <t>CHAPA 12,7 x 220</t>
  </si>
  <si>
    <t xml:space="preserve">FLANGE SOBREPOSTO COM REFORÇO (SLIP ON) CONF. ANSI B16.5 - 150 LBS - FR COM RESSALTO-DN 20" </t>
  </si>
  <si>
    <t>TUBO S/ COSTURA DN 20" SCH 40 CONF. ASME B36.10 x 725</t>
  </si>
  <si>
    <t>TUBO S/ COSTURA DN 20" SCH 40 CONF. ASME B36.10 x 533</t>
  </si>
  <si>
    <t>TUBO S/ COSTURA DN 20" SCH 40 CONF. ASME B36.10 x 225</t>
  </si>
  <si>
    <t>TUBO S/ COSTURA DN 20" SCH 40 CONF. ASME B36.10 x 243</t>
  </si>
  <si>
    <t>CHAPA 9,5 x 76</t>
  </si>
  <si>
    <t>CHAPA 12,7 x 1480</t>
  </si>
  <si>
    <t>REVESTIMENTO INTERNO ESP. 12 mm</t>
  </si>
  <si>
    <t>CANT. 25,4 x 3,17 x 1206</t>
  </si>
  <si>
    <t>CANT. 25,4 x 3,17 x 1083</t>
  </si>
  <si>
    <t>BARRA REDONDA ∅15,7 x 300</t>
  </si>
  <si>
    <t>TELA MALHA 50x50 FIO 4 (6,3 mm) x 1067 x 1190</t>
  </si>
  <si>
    <t>BARRA REDONDA</t>
  </si>
  <si>
    <t>CANT. 25,4 x 3,17 x 1071</t>
  </si>
  <si>
    <t>CANT. 25,4 x 3,17 x 1088</t>
  </si>
  <si>
    <t>TELA MALHA 50x50 FIO 4 (6,3 mm) x 1072 x 1055</t>
  </si>
  <si>
    <t>Caixa 04</t>
  </si>
  <si>
    <t>CX-1880BB-04</t>
  </si>
  <si>
    <t>1880BB-M-150454</t>
  </si>
  <si>
    <t>CANT. 50,8 x 6,35 x 2272</t>
  </si>
  <si>
    <t>CHAPA 8,0 x 1480 x 4423</t>
  </si>
  <si>
    <t>CHAPA 9,5 x 1716 x 1716</t>
  </si>
  <si>
    <t>CHAPA 9,5 x 112 x 114</t>
  </si>
  <si>
    <t>CHAPA 19,0 x 120 x 150</t>
  </si>
  <si>
    <t>FLANGE COM PESCOÇO CONF. ANSI B16.5 - 150 LBS - FR-DN 18"</t>
  </si>
  <si>
    <t>CHAPA 8,0 x 950 x 952</t>
  </si>
  <si>
    <t>REVESTIMENTO EM BORRACHA NATURAL - ESPESSURA 8 mm</t>
  </si>
  <si>
    <t>CHAPA 6,3 x 1516 x 1516</t>
  </si>
  <si>
    <t>TUBO S/ COSTURA DN 6" SCH 40 CONF. ASME B36.10 x 221</t>
  </si>
  <si>
    <t>PARAF. CAB. SEXT. 5/8" UNC 1.1/4"</t>
  </si>
  <si>
    <t>PORCA SEXT. Ø5/8" UNC</t>
  </si>
  <si>
    <t>ARRUELA LISA ∅5/8"</t>
  </si>
  <si>
    <t>Caixa 02</t>
  </si>
  <si>
    <t>CX-1880BB-02</t>
  </si>
  <si>
    <t>1880BB-M-15055</t>
  </si>
  <si>
    <t>1880BB-M-15056</t>
  </si>
  <si>
    <t>CX-1880BB-03</t>
  </si>
  <si>
    <t>Caixa 03</t>
  </si>
  <si>
    <t>REVESTIMENTO INTERNO COSTADO E BOCAIS ESP. 8mm (410m2)</t>
  </si>
  <si>
    <t>REVESTIMENTO INTERNO FUNDO 12mm (177m2)</t>
  </si>
  <si>
    <t>PARAF. CAB. SEX. ∅1" X 4.1/2" A-325</t>
  </si>
  <si>
    <t>PORCA SEX. ∅1" A-194 2H</t>
  </si>
  <si>
    <t>ARRUELA LISA ∅1" F-436</t>
  </si>
  <si>
    <t>PARAF. CAB. SEX. ∅5/8" X 1.3/4" A-325</t>
  </si>
  <si>
    <t>PORCA SEX. ∅5/8" A-194 2H</t>
  </si>
  <si>
    <t>ARRUELA LISA ∅5/8" F-436</t>
  </si>
  <si>
    <t>PARAF. CAB. SEX. ∅1.1/2" X 4" A-325</t>
  </si>
  <si>
    <t>PORCA SEX. ∅1.1/2" A-194 2H</t>
  </si>
  <si>
    <t>ARRUELA LISA ∅1.1/2" F-436</t>
  </si>
  <si>
    <t>PARAF. CAB. SEX. ∅1" X 3.1/2" A-325</t>
  </si>
  <si>
    <t>PARAF. CAB. SEX. ∅5/8" X 2" A-325</t>
  </si>
  <si>
    <t>Tanque 01</t>
  </si>
  <si>
    <t>1880BB-M-15057</t>
  </si>
  <si>
    <t>CH16 X 2500 x 6000</t>
  </si>
  <si>
    <t>CH16 X 2500 x 2899</t>
  </si>
  <si>
    <t>CH16 X 2242 x 2500</t>
  </si>
  <si>
    <t>CH16 X 2242 x 2500 x 5174</t>
  </si>
  <si>
    <t>CH16 X 1400 x 6000</t>
  </si>
  <si>
    <t>CH16 X 1400 x 6000 x 5174</t>
  </si>
  <si>
    <t>CH13 X 2400 x 6000</t>
  </si>
  <si>
    <t>CH13 X 2400 x 5165</t>
  </si>
  <si>
    <t>CH10 X 2190 x 6000</t>
  </si>
  <si>
    <t>CH13 X 2190 x 6000</t>
  </si>
  <si>
    <t>CH13 X 2190 x 2190</t>
  </si>
  <si>
    <t>CH16 X 2500 x 4665</t>
  </si>
  <si>
    <t>CH16 X 1562 x 2500</t>
  </si>
  <si>
    <t>CH16 X 1415 x 8875</t>
  </si>
  <si>
    <t>TB ∅8 SCH-40 x 326</t>
  </si>
  <si>
    <t>TB ∅8 SCH-40 x 76</t>
  </si>
  <si>
    <t>CURVA 90° RC SCH-40 16.9</t>
  </si>
  <si>
    <t>FL ∅8" SO.FR.150lbs 16.5</t>
  </si>
  <si>
    <t>CH16 X 1100 x 8875</t>
  </si>
  <si>
    <t>CH38 X 1074 x 6200</t>
  </si>
  <si>
    <t>L 127 X 8 x 5600</t>
  </si>
  <si>
    <t>L 127 X 8 x 3857</t>
  </si>
  <si>
    <t>1880BB-M-15059</t>
  </si>
  <si>
    <t>TB ∅20" SCH-40 x 2505</t>
  </si>
  <si>
    <t>FL ∅20" SO.FR.150lbs 16.5 x 2505</t>
  </si>
  <si>
    <t>FL ∅20" SO.FR.150lbs 16.5</t>
  </si>
  <si>
    <t>TB ∅20" SCH-40 x 2588</t>
  </si>
  <si>
    <t>TB ∅14" SCH-40 x 292</t>
  </si>
  <si>
    <t>FL ∅14" SO.FR.150lbs 16.5</t>
  </si>
  <si>
    <t>CH16 X 762 x 937</t>
  </si>
  <si>
    <t>TB ∅14" SCH-40 x 292 x 1490</t>
  </si>
  <si>
    <t>FL ∅14" SO.FR.150lbs 16.5 x 533</t>
  </si>
  <si>
    <t>CH10 X 799 x 1000</t>
  </si>
  <si>
    <t>CH10 X 799 x 1600</t>
  </si>
  <si>
    <t>CH10 X 1000 x 1600</t>
  </si>
  <si>
    <t>TB ∅18" SCH-40 x 290</t>
  </si>
  <si>
    <t>FL ∅18" SO.FR.150lbs 16.5</t>
  </si>
  <si>
    <t>L 127 X 8 x 1270</t>
  </si>
  <si>
    <t>L 127 X 8 x 944</t>
  </si>
  <si>
    <t>FL ∅12" SO.FR.150lbs 16.5</t>
  </si>
  <si>
    <t>TB ∅12" SCH-40 x 219</t>
  </si>
  <si>
    <t>CH16 X 694 x 854</t>
  </si>
  <si>
    <t>TB ∅2" SCH-40 x 350</t>
  </si>
  <si>
    <t>TB ∅4" SCH-40 x 150</t>
  </si>
  <si>
    <t>FL ∅4" SO.FR.150lbs 16.5</t>
  </si>
  <si>
    <t>CH10 X 250 x 307</t>
  </si>
  <si>
    <t>TB ∅2" SCH-40 x 140</t>
  </si>
  <si>
    <t>FL ∅2" SO.FR.150lbs 16.5</t>
  </si>
  <si>
    <t>CH13 X 1400 x 3090</t>
  </si>
  <si>
    <t>1880BB-M-15061</t>
  </si>
  <si>
    <t>CH 19 X 645 x 1433</t>
  </si>
  <si>
    <t>CH 13 X 92 x 1094</t>
  </si>
  <si>
    <t>CH 13 X 92 x 306</t>
  </si>
  <si>
    <t>CH 13 X 71 x 1261</t>
  </si>
  <si>
    <t>CH 13 X 81 x 331</t>
  </si>
  <si>
    <t>CH 13 X 61 x 331</t>
  </si>
  <si>
    <t>CH 13 X 91 x 325</t>
  </si>
  <si>
    <t>CH 13 X 71 x 325</t>
  </si>
  <si>
    <t>CH 13 X 779 x 1093</t>
  </si>
  <si>
    <t>CH 13 X 294 x 306</t>
  </si>
  <si>
    <t>CH 13 X 306 x 414</t>
  </si>
  <si>
    <t>TB ∅4" SCH -40 x 84</t>
  </si>
  <si>
    <t>TB ∅1/2" SCH -40 x 107</t>
  </si>
  <si>
    <t>CH 10 X 890 x 8200</t>
  </si>
  <si>
    <t>CH 13 X 327 x 1295</t>
  </si>
  <si>
    <t>CH 10 X 386 x 856</t>
  </si>
  <si>
    <t>JUNTA DE BORRACHA 3mm x 473 X 1261</t>
  </si>
  <si>
    <t>1880BB-M-15062</t>
  </si>
  <si>
    <t>CH 10 X 186 x 2842</t>
  </si>
  <si>
    <t>CH 16 X 1990 x 2384</t>
  </si>
  <si>
    <t>CH 25 X 1168 x 1168</t>
  </si>
  <si>
    <t>BR ∅16 x 350</t>
  </si>
  <si>
    <t>CH 25 X 3490 x 5300</t>
  </si>
  <si>
    <t>CH 25 X 2212 x 2770</t>
  </si>
  <si>
    <t>CH 19 X 349 x 565</t>
  </si>
  <si>
    <t>CH 19 X 330 x 565</t>
  </si>
  <si>
    <t>CH 19 X 293 x 565</t>
  </si>
  <si>
    <t>CH 19 X 254 x 565</t>
  </si>
  <si>
    <t>CH 19 X 212 x 565</t>
  </si>
  <si>
    <t>CH 19 X 182 x 535</t>
  </si>
  <si>
    <t>CH 16 X 292 x 6308</t>
  </si>
  <si>
    <t>CH 25 X 2252 x 2773</t>
  </si>
  <si>
    <t>CH 19 X 127 x 1850</t>
  </si>
  <si>
    <t>CH 19 X 127 x 1807</t>
  </si>
  <si>
    <t>CH 19 X 127 x 1769</t>
  </si>
  <si>
    <t>CH 19 X 127 x 350</t>
  </si>
  <si>
    <t>CH 19 X 127 x 480</t>
  </si>
  <si>
    <t>CH 19 X 127 x 1180</t>
  </si>
  <si>
    <t>CH 19 X 127 x 265</t>
  </si>
  <si>
    <t>CH 19 X 150 x 160</t>
  </si>
  <si>
    <t>1880BB-M-15063</t>
  </si>
  <si>
    <t>Platô</t>
  </si>
  <si>
    <t>Rejeitodudo</t>
  </si>
  <si>
    <t>Adutora</t>
  </si>
  <si>
    <t>Total Geral %</t>
  </si>
  <si>
    <t>Soma de Peso Total 
(kg / m)</t>
  </si>
  <si>
    <t>Total Geral Avançado %</t>
  </si>
  <si>
    <t>CANCELADO</t>
  </si>
  <si>
    <t>Soma de Total Geral %</t>
  </si>
  <si>
    <t>Soma de Total Geral Avançado %</t>
  </si>
  <si>
    <t>Descrição</t>
  </si>
  <si>
    <t>PQ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</si>
</sst>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00000000_-;\-* #,##0.00000000_-;_-* &quot;-&quot;????????_-;_-@_-"/>
    <numFmt numFmtId="165" formatCode="_-* #,##0.000000000_-;\-* #,##0.000000000_-;_-* &quot;-&quot;????????_-;_-@_-"/>
    <numFmt numFmtId="166" formatCode="_-* #,##0.000000_-;\-* #,##0.000000_-;_-* &quot;-&quot;??_-;_-@_-"/>
    <numFmt numFmtId="167" formatCode="0000"/>
    <numFmt numFmtId="168" formatCode="dd/mm/yy"/>
    <numFmt numFmtId="169" formatCode="dd/mm"/>
    <numFmt numFmtId="170" formatCode="&quot;S-&quot;000"/>
    <numFmt numFmtId="171" formatCode="ddd"/>
    <numFmt numFmtId="172" formatCode="[$-416]mmm\-yy;@"/>
    <numFmt numFmtId="173" formatCode="00"/>
    <numFmt numFmtId="174" formatCode="000"/>
    <numFmt numFmtId="175" formatCode="#,##0.0"/>
    <numFmt numFmtId="176" formatCode="_(* #,##0.00_);_(* \(#,##0.00\);_(* &quot;-&quot;??_);_(@_)"/>
    <numFmt numFmtId="177" formatCode="_-* #,##0.00_-;\-* #,##0.00_-;_-* &quot;-&quot;????????_-;_-@_-"/>
  </numFmts>
  <fonts count="23" x14ac:knownFonts="1">
    <font>
      <sz val="11"/>
      <color theme="1"/>
      <name val="Calibri"/>
      <family val="2"/>
      <scheme val="minor"/>
    </font>
    <font>
      <sz val="11"/>
      <color theme="1"/>
      <name val="Calibri"/>
      <family val="2"/>
      <scheme val="minor"/>
    </font>
    <font>
      <b/>
      <sz val="9"/>
      <color theme="0"/>
      <name val="Calibri"/>
      <family val="2"/>
      <scheme val="minor"/>
    </font>
    <font>
      <b/>
      <sz val="9"/>
      <color theme="1"/>
      <name val="Calibri"/>
      <family val="2"/>
      <scheme val="minor"/>
    </font>
    <font>
      <b/>
      <i/>
      <sz val="9"/>
      <name val="Calibri"/>
      <family val="2"/>
      <scheme val="minor"/>
    </font>
    <font>
      <b/>
      <sz val="9"/>
      <name val="Calibri"/>
      <family val="2"/>
      <scheme val="minor"/>
    </font>
    <font>
      <sz val="9"/>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i/>
      <sz val="9"/>
      <color rgb="FFFF0000"/>
      <name val="Calibri"/>
      <family val="2"/>
      <scheme val="minor"/>
    </font>
    <font>
      <i/>
      <sz val="9"/>
      <color rgb="FFFF0000"/>
      <name val="Calibri"/>
      <family val="2"/>
      <scheme val="minor"/>
    </font>
    <font>
      <i/>
      <sz val="9"/>
      <color theme="1"/>
      <name val="Calibri"/>
      <family val="2"/>
      <scheme val="minor"/>
    </font>
    <font>
      <b/>
      <sz val="12"/>
      <name val="Calibri"/>
      <family val="2"/>
      <scheme val="minor"/>
    </font>
    <font>
      <b/>
      <sz val="8"/>
      <name val="Calibri"/>
      <family val="2"/>
      <scheme val="minor"/>
    </font>
    <font>
      <sz val="10"/>
      <name val="Times New Roman"/>
      <family val="1"/>
    </font>
    <font>
      <sz val="10"/>
      <name val="Arial"/>
      <family val="2"/>
    </font>
    <font>
      <b/>
      <i/>
      <sz val="8"/>
      <name val="Calibri"/>
      <family val="2"/>
      <scheme val="minor"/>
    </font>
    <font>
      <b/>
      <sz val="8"/>
      <color theme="1"/>
      <name val="Calibri"/>
      <family val="2"/>
      <scheme val="minor"/>
    </font>
    <font>
      <i/>
      <sz val="8"/>
      <name val="Calibri"/>
      <family val="2"/>
      <scheme val="minor"/>
    </font>
    <font>
      <sz val="9"/>
      <color rgb="FFFF0000"/>
      <name val="Calibri"/>
      <family val="2"/>
      <scheme val="minor"/>
    </font>
    <font>
      <sz val="9"/>
      <name val="Calibri"/>
      <family val="2"/>
      <scheme val="minor"/>
    </font>
    <font>
      <i/>
      <sz val="9"/>
      <name val="Calibri"/>
      <family val="2"/>
      <scheme val="minor"/>
    </font>
  </fonts>
  <fills count="30">
    <fill>
      <patternFill patternType="none"/>
    </fill>
    <fill>
      <patternFill patternType="gray125"/>
    </fill>
    <fill>
      <patternFill patternType="solid">
        <fgColor theme="1" tint="0.249977111117893"/>
        <bgColor indexed="64"/>
      </patternFill>
    </fill>
    <fill>
      <patternFill patternType="solid">
        <fgColor rgb="FF023A2F"/>
        <bgColor indexed="64"/>
      </patternFill>
    </fill>
    <fill>
      <patternFill patternType="solid">
        <fgColor rgb="FF04745F"/>
        <bgColor indexed="64"/>
      </patternFill>
    </fill>
    <fill>
      <patternFill patternType="solid">
        <fgColor rgb="FF06C29E"/>
        <bgColor indexed="64"/>
      </patternFill>
    </fill>
    <fill>
      <patternFill patternType="solid">
        <fgColor theme="1" tint="4.9989318521683403E-2"/>
        <bgColor indexed="64"/>
      </patternFill>
    </fill>
    <fill>
      <patternFill patternType="solid">
        <fgColor rgb="FFDB9E15"/>
        <bgColor indexed="64"/>
      </patternFill>
    </fill>
    <fill>
      <patternFill patternType="solid">
        <fgColor rgb="FFF2CC76"/>
        <bgColor indexed="64"/>
      </patternFill>
    </fill>
    <fill>
      <patternFill patternType="solid">
        <fgColor rgb="FFE84B1A"/>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1"/>
        <bgColor indexed="64"/>
      </patternFill>
    </fill>
    <fill>
      <patternFill patternType="solid">
        <fgColor theme="6" tint="0.79998168889431442"/>
        <bgColor indexed="64"/>
      </patternFill>
    </fill>
    <fill>
      <patternFill patternType="solid">
        <fgColor rgb="FFFF0000"/>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indexed="53"/>
        <bgColor indexed="64"/>
      </patternFill>
    </fill>
    <fill>
      <patternFill patternType="solid">
        <fgColor indexed="52"/>
        <bgColor indexed="64"/>
      </patternFill>
    </fill>
    <fill>
      <patternFill patternType="solid">
        <fgColor indexed="51"/>
        <bgColor indexed="64"/>
      </patternFill>
    </fill>
    <fill>
      <patternFill patternType="solid">
        <fgColor indexed="43"/>
        <bgColor indexed="64"/>
      </patternFill>
    </fill>
    <fill>
      <patternFill patternType="solid">
        <fgColor theme="9" tint="0.39997558519241921"/>
        <bgColor indexed="64"/>
      </patternFill>
    </fill>
    <fill>
      <patternFill patternType="solid">
        <fgColor rgb="FFFF9900"/>
        <bgColor indexed="64"/>
      </patternFill>
    </fill>
    <fill>
      <patternFill patternType="solid">
        <fgColor rgb="FFFFCC00"/>
        <bgColor indexed="64"/>
      </patternFill>
    </fill>
    <fill>
      <patternFill patternType="solid">
        <fgColor rgb="FFFFFF99"/>
        <bgColor indexed="64"/>
      </patternFill>
    </fill>
    <fill>
      <patternFill patternType="solid">
        <fgColor rgb="FFFCD5B4"/>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172" fontId="1" fillId="0" borderId="0"/>
    <xf numFmtId="0" fontId="15" fillId="0" borderId="0"/>
    <xf numFmtId="0" fontId="16" fillId="0" borderId="0"/>
    <xf numFmtId="0" fontId="15" fillId="0" borderId="0"/>
    <xf numFmtId="0" fontId="15" fillId="0" borderId="0"/>
    <xf numFmtId="0" fontId="16" fillId="0" borderId="0"/>
    <xf numFmtId="176" fontId="16" fillId="0" borderId="0" applyFont="0" applyFill="0" applyBorder="0" applyAlignment="0" applyProtection="0"/>
    <xf numFmtId="43" fontId="16" fillId="0" borderId="0" applyFont="0" applyFill="0" applyBorder="0" applyAlignment="0" applyProtection="0"/>
  </cellStyleXfs>
  <cellXfs count="469">
    <xf numFmtId="0" fontId="0" fillId="0" borderId="0" xfId="0"/>
    <xf numFmtId="0" fontId="6" fillId="0" borderId="1" xfId="0" applyFont="1" applyBorder="1" applyAlignment="1">
      <alignment horizontal="center" vertical="center"/>
    </xf>
    <xf numFmtId="0" fontId="6" fillId="0" borderId="0" xfId="0" applyFont="1" applyAlignment="1">
      <alignment horizontal="center" vertical="top"/>
    </xf>
    <xf numFmtId="43" fontId="6" fillId="0" borderId="1" xfId="1" applyFont="1" applyBorder="1" applyAlignment="1">
      <alignment horizontal="center" vertical="center"/>
    </xf>
    <xf numFmtId="0" fontId="2" fillId="3" borderId="1" xfId="0" applyFont="1" applyFill="1" applyBorder="1" applyAlignment="1">
      <alignment horizontal="center" vertical="top"/>
    </xf>
    <xf numFmtId="164" fontId="2" fillId="2" borderId="1" xfId="1" applyNumberFormat="1" applyFont="1" applyFill="1" applyBorder="1" applyAlignment="1">
      <alignment horizontal="center" vertical="top" wrapText="1"/>
    </xf>
    <xf numFmtId="9" fontId="4" fillId="7" borderId="1" xfId="2" applyFont="1" applyFill="1" applyBorder="1" applyAlignment="1">
      <alignment horizontal="center" vertical="top" wrapText="1"/>
    </xf>
    <xf numFmtId="9" fontId="4" fillId="9" borderId="1" xfId="2" applyFont="1" applyFill="1" applyBorder="1" applyAlignment="1">
      <alignment horizontal="center" vertical="top" wrapText="1"/>
    </xf>
    <xf numFmtId="0" fontId="6" fillId="0" borderId="0" xfId="0" applyFont="1" applyAlignment="1">
      <alignment horizontal="center" vertical="center"/>
    </xf>
    <xf numFmtId="0" fontId="3" fillId="0" borderId="0" xfId="0" applyFont="1" applyAlignment="1">
      <alignment horizontal="center" vertical="center"/>
    </xf>
    <xf numFmtId="43" fontId="6" fillId="0" borderId="0" xfId="1" applyFont="1" applyAlignment="1">
      <alignment horizontal="center" vertical="center"/>
    </xf>
    <xf numFmtId="43" fontId="0" fillId="0" borderId="0" xfId="1" applyFont="1"/>
    <xf numFmtId="43" fontId="3" fillId="0" borderId="0" xfId="1" applyFont="1" applyAlignment="1">
      <alignment horizontal="center" vertical="center"/>
    </xf>
    <xf numFmtId="0" fontId="3" fillId="0" borderId="0" xfId="0" applyFont="1" applyAlignment="1">
      <alignment horizontal="center" vertical="top" wrapText="1"/>
    </xf>
    <xf numFmtId="43" fontId="3" fillId="0" borderId="0" xfId="1" applyFont="1" applyAlignment="1">
      <alignment horizontal="center" vertical="top" wrapText="1"/>
    </xf>
    <xf numFmtId="0" fontId="7" fillId="0" borderId="0" xfId="0" applyFont="1" applyAlignment="1">
      <alignment vertical="top" wrapText="1"/>
    </xf>
    <xf numFmtId="0" fontId="6" fillId="0" borderId="0" xfId="0" applyFont="1" applyAlignment="1">
      <alignment horizontal="left" vertical="center"/>
    </xf>
    <xf numFmtId="0" fontId="2" fillId="11" borderId="0" xfId="0" applyFont="1" applyFill="1" applyAlignment="1">
      <alignment horizontal="left" vertical="center"/>
    </xf>
    <xf numFmtId="0" fontId="2" fillId="11" borderId="0" xfId="0" applyFont="1" applyFill="1" applyAlignment="1">
      <alignment horizontal="center" vertical="center"/>
    </xf>
    <xf numFmtId="9" fontId="6" fillId="0" borderId="0" xfId="2" applyFont="1" applyAlignment="1">
      <alignment horizontal="center" vertical="center"/>
    </xf>
    <xf numFmtId="9" fontId="6" fillId="0" borderId="1" xfId="2" applyFont="1" applyBorder="1" applyAlignment="1">
      <alignment horizontal="center" vertical="center"/>
    </xf>
    <xf numFmtId="9" fontId="6" fillId="0" borderId="1" xfId="0" applyNumberFormat="1" applyFont="1" applyBorder="1" applyAlignment="1">
      <alignment horizontal="center" vertical="center"/>
    </xf>
    <xf numFmtId="0" fontId="6" fillId="10" borderId="1" xfId="0" applyFont="1" applyFill="1" applyBorder="1" applyAlignment="1">
      <alignment horizontal="center" vertical="center"/>
    </xf>
    <xf numFmtId="43" fontId="6" fillId="10" borderId="1" xfId="1" applyFont="1" applyFill="1" applyBorder="1" applyAlignment="1">
      <alignment horizontal="center" vertical="center"/>
    </xf>
    <xf numFmtId="164" fontId="5" fillId="8" borderId="1" xfId="1" applyNumberFormat="1" applyFont="1" applyFill="1" applyBorder="1" applyAlignment="1">
      <alignment horizontal="center" vertical="top" wrapText="1"/>
    </xf>
    <xf numFmtId="164" fontId="5" fillId="7" borderId="1" xfId="1" applyNumberFormat="1" applyFont="1" applyFill="1" applyBorder="1" applyAlignment="1">
      <alignment horizontal="center" vertical="top" wrapText="1"/>
    </xf>
    <xf numFmtId="164" fontId="5" fillId="9" borderId="1" xfId="1" applyNumberFormat="1" applyFont="1" applyFill="1" applyBorder="1" applyAlignment="1">
      <alignment horizontal="center" vertical="top" wrapText="1"/>
    </xf>
    <xf numFmtId="49" fontId="6" fillId="10"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49" fontId="6" fillId="0" borderId="0" xfId="0" applyNumberFormat="1" applyFont="1" applyAlignment="1">
      <alignment horizontal="center" vertical="center"/>
    </xf>
    <xf numFmtId="164" fontId="6" fillId="0" borderId="0" xfId="1" applyNumberFormat="1"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center" vertical="center" wrapText="1"/>
    </xf>
    <xf numFmtId="0" fontId="6" fillId="12" borderId="0" xfId="0" applyFont="1" applyFill="1" applyAlignment="1">
      <alignment horizontal="center" vertical="center"/>
    </xf>
    <xf numFmtId="49" fontId="6" fillId="12" borderId="0" xfId="0" applyNumberFormat="1" applyFont="1" applyFill="1" applyAlignment="1">
      <alignment horizontal="center" vertical="center"/>
    </xf>
    <xf numFmtId="43" fontId="6" fillId="12" borderId="0" xfId="1" applyFont="1" applyFill="1" applyAlignment="1">
      <alignment horizontal="center" vertical="center"/>
    </xf>
    <xf numFmtId="0" fontId="9" fillId="9" borderId="0" xfId="0" applyFont="1" applyFill="1" applyAlignment="1">
      <alignment horizontal="center" vertical="center"/>
    </xf>
    <xf numFmtId="0" fontId="6" fillId="0" borderId="0" xfId="1" applyNumberFormat="1" applyFont="1" applyAlignment="1">
      <alignment horizontal="center" vertical="center"/>
    </xf>
    <xf numFmtId="0" fontId="12" fillId="0" borderId="0" xfId="2" applyNumberFormat="1" applyFont="1" applyAlignment="1">
      <alignment horizontal="center" vertical="center"/>
    </xf>
    <xf numFmtId="9" fontId="12" fillId="0" borderId="0" xfId="2" applyFont="1" applyAlignment="1">
      <alignment horizontal="center" vertical="center"/>
    </xf>
    <xf numFmtId="9" fontId="12" fillId="10" borderId="1" xfId="2" applyFont="1" applyFill="1" applyBorder="1" applyAlignment="1">
      <alignment horizontal="center" vertical="center"/>
    </xf>
    <xf numFmtId="9" fontId="12" fillId="0" borderId="1" xfId="2" applyFont="1" applyBorder="1" applyAlignment="1">
      <alignment horizontal="center" vertical="center"/>
    </xf>
    <xf numFmtId="165" fontId="6" fillId="0" borderId="0" xfId="1" applyNumberFormat="1" applyFont="1" applyAlignment="1">
      <alignment horizontal="center" vertical="center"/>
    </xf>
    <xf numFmtId="165" fontId="5" fillId="9" borderId="1" xfId="1" applyNumberFormat="1" applyFont="1" applyFill="1" applyBorder="1" applyAlignment="1">
      <alignment horizontal="center" vertical="top" wrapText="1"/>
    </xf>
    <xf numFmtId="166" fontId="6" fillId="0" borderId="0" xfId="1" applyNumberFormat="1" applyFont="1" applyAlignment="1">
      <alignment horizontal="center" vertical="center"/>
    </xf>
    <xf numFmtId="166" fontId="6" fillId="10" borderId="1" xfId="1" applyNumberFormat="1" applyFont="1" applyFill="1" applyBorder="1" applyAlignment="1">
      <alignment horizontal="center" vertical="center"/>
    </xf>
    <xf numFmtId="166" fontId="6" fillId="0" borderId="1" xfId="1" applyNumberFormat="1" applyFont="1" applyBorder="1" applyAlignment="1">
      <alignment horizontal="center" vertical="center"/>
    </xf>
    <xf numFmtId="166" fontId="6" fillId="12" borderId="0" xfId="1" applyNumberFormat="1" applyFont="1" applyFill="1" applyAlignment="1">
      <alignment horizontal="center" vertical="center"/>
    </xf>
    <xf numFmtId="0" fontId="6" fillId="13" borderId="0" xfId="0" applyFont="1" applyFill="1" applyAlignment="1">
      <alignment horizontal="center" vertical="center"/>
    </xf>
    <xf numFmtId="167" fontId="3" fillId="0" borderId="0" xfId="0" applyNumberFormat="1" applyFont="1" applyAlignment="1">
      <alignment horizontal="center" vertical="center"/>
    </xf>
    <xf numFmtId="168" fontId="3" fillId="0" borderId="0" xfId="0" applyNumberFormat="1" applyFont="1" applyAlignment="1">
      <alignment horizontal="center" vertical="center"/>
    </xf>
    <xf numFmtId="169" fontId="3" fillId="0" borderId="0" xfId="0" applyNumberFormat="1" applyFont="1" applyAlignment="1">
      <alignment horizontal="center" vertical="center"/>
    </xf>
    <xf numFmtId="170" fontId="3" fillId="0" borderId="0" xfId="0" applyNumberFormat="1" applyFont="1" applyAlignment="1">
      <alignment horizontal="center" vertical="center"/>
    </xf>
    <xf numFmtId="168" fontId="3" fillId="0" borderId="0" xfId="0" applyNumberFormat="1" applyFont="1" applyAlignment="1">
      <alignment horizontal="center" vertical="center" wrapText="1"/>
    </xf>
    <xf numFmtId="167" fontId="6" fillId="0" borderId="0" xfId="0" applyNumberFormat="1" applyFont="1" applyAlignment="1">
      <alignment horizontal="center" vertical="center"/>
    </xf>
    <xf numFmtId="168" fontId="6" fillId="0" borderId="0" xfId="0" applyNumberFormat="1" applyFont="1" applyAlignment="1">
      <alignment horizontal="center" vertical="center"/>
    </xf>
    <xf numFmtId="171" fontId="6" fillId="0" borderId="0" xfId="0" applyNumberFormat="1" applyFont="1" applyAlignment="1">
      <alignment horizontal="center" vertical="center"/>
    </xf>
    <xf numFmtId="170" fontId="6" fillId="0" borderId="0" xfId="0" applyNumberFormat="1" applyFont="1" applyAlignment="1">
      <alignment horizontal="center" vertical="center"/>
    </xf>
    <xf numFmtId="168" fontId="6" fillId="0" borderId="0" xfId="0" applyNumberFormat="1" applyFont="1" applyAlignment="1">
      <alignment horizontal="center" vertical="center" wrapText="1"/>
    </xf>
    <xf numFmtId="9" fontId="6" fillId="0" borderId="0" xfId="0" applyNumberFormat="1" applyFont="1" applyAlignment="1">
      <alignment horizontal="center" vertical="center"/>
    </xf>
    <xf numFmtId="14" fontId="6" fillId="0" borderId="0" xfId="0" applyNumberFormat="1" applyFont="1" applyAlignment="1">
      <alignment horizontal="center" vertical="center"/>
    </xf>
    <xf numFmtId="169" fontId="6" fillId="0" borderId="0" xfId="0" applyNumberFormat="1" applyFont="1" applyAlignment="1">
      <alignment horizontal="center" vertical="center"/>
    </xf>
    <xf numFmtId="0" fontId="12" fillId="10" borderId="1" xfId="0" applyFont="1" applyFill="1" applyBorder="1" applyAlignment="1">
      <alignment horizontal="center" vertical="center"/>
    </xf>
    <xf numFmtId="49" fontId="12" fillId="10" borderId="1" xfId="0" applyNumberFormat="1" applyFont="1" applyFill="1" applyBorder="1" applyAlignment="1">
      <alignment horizontal="center" vertical="center"/>
    </xf>
    <xf numFmtId="43" fontId="12" fillId="10" borderId="1" xfId="1" applyFont="1" applyFill="1" applyBorder="1" applyAlignment="1">
      <alignment horizontal="center" vertical="center"/>
    </xf>
    <xf numFmtId="166" fontId="12" fillId="10" borderId="1" xfId="1" applyNumberFormat="1" applyFont="1" applyFill="1" applyBorder="1" applyAlignment="1">
      <alignment horizontal="center" vertical="center"/>
    </xf>
    <xf numFmtId="164" fontId="12" fillId="10" borderId="1" xfId="1" applyNumberFormat="1" applyFont="1" applyFill="1" applyBorder="1" applyAlignment="1">
      <alignment horizontal="center" vertical="center"/>
    </xf>
    <xf numFmtId="165" fontId="12" fillId="10" borderId="1" xfId="1" applyNumberFormat="1" applyFont="1" applyFill="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vertical="center"/>
    </xf>
    <xf numFmtId="49" fontId="12" fillId="0" borderId="1" xfId="0" applyNumberFormat="1" applyFont="1" applyBorder="1" applyAlignment="1">
      <alignment horizontal="center" vertical="center"/>
    </xf>
    <xf numFmtId="43" fontId="12" fillId="0" borderId="1" xfId="1" applyFont="1" applyBorder="1" applyAlignment="1">
      <alignment horizontal="center" vertical="center"/>
    </xf>
    <xf numFmtId="166" fontId="12" fillId="0" borderId="1" xfId="1" applyNumberFormat="1" applyFont="1" applyBorder="1" applyAlignment="1">
      <alignment horizontal="center" vertical="center"/>
    </xf>
    <xf numFmtId="164" fontId="12" fillId="0" borderId="1" xfId="1" applyNumberFormat="1" applyFont="1" applyBorder="1" applyAlignment="1">
      <alignment horizontal="center" vertical="center"/>
    </xf>
    <xf numFmtId="165" fontId="12" fillId="0" borderId="1" xfId="1" applyNumberFormat="1" applyFont="1" applyBorder="1" applyAlignment="1">
      <alignment horizontal="center" vertical="center"/>
    </xf>
    <xf numFmtId="9" fontId="6" fillId="0" borderId="1" xfId="2" applyFont="1" applyFill="1" applyBorder="1" applyAlignment="1">
      <alignment horizontal="center" vertical="center"/>
    </xf>
    <xf numFmtId="0" fontId="2" fillId="3"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2" fillId="4" borderId="2" xfId="0" applyFont="1" applyFill="1" applyBorder="1" applyAlignment="1">
      <alignment horizontal="center" vertical="top"/>
    </xf>
    <xf numFmtId="49" fontId="5" fillId="5" borderId="2" xfId="0" applyNumberFormat="1" applyFont="1" applyFill="1" applyBorder="1" applyAlignment="1">
      <alignment horizontal="center" vertical="top" wrapText="1"/>
    </xf>
    <xf numFmtId="0" fontId="5" fillId="5" borderId="2" xfId="0" applyFont="1" applyFill="1" applyBorder="1" applyAlignment="1">
      <alignment horizontal="center" vertical="top" wrapText="1"/>
    </xf>
    <xf numFmtId="43" fontId="2" fillId="2" borderId="2" xfId="1" applyFont="1" applyFill="1" applyBorder="1" applyAlignment="1">
      <alignment horizontal="center" vertical="top"/>
    </xf>
    <xf numFmtId="166" fontId="2" fillId="2" borderId="2" xfId="1" applyNumberFormat="1" applyFont="1" applyFill="1" applyBorder="1" applyAlignment="1">
      <alignment horizontal="center" vertical="top" wrapText="1"/>
    </xf>
    <xf numFmtId="43" fontId="2" fillId="2" borderId="2" xfId="1" applyFont="1" applyFill="1" applyBorder="1" applyAlignment="1">
      <alignment horizontal="center" vertical="top" wrapText="1"/>
    </xf>
    <xf numFmtId="0" fontId="6" fillId="0" borderId="0" xfId="1" applyNumberFormat="1" applyFont="1" applyBorder="1" applyAlignment="1">
      <alignment horizontal="center" vertical="center"/>
    </xf>
    <xf numFmtId="166" fontId="6" fillId="0" borderId="0" xfId="1" applyNumberFormat="1" applyFont="1" applyBorder="1" applyAlignment="1">
      <alignment horizontal="center" vertical="center"/>
    </xf>
    <xf numFmtId="43" fontId="6" fillId="0" borderId="0" xfId="1" applyFont="1" applyBorder="1" applyAlignment="1">
      <alignment horizontal="center" vertical="center"/>
    </xf>
    <xf numFmtId="0" fontId="11" fillId="0" borderId="1" xfId="0" applyFont="1" applyBorder="1" applyAlignment="1">
      <alignment horizontal="center" vertical="center"/>
    </xf>
    <xf numFmtId="0" fontId="2" fillId="4" borderId="2" xfId="0" applyFont="1" applyFill="1" applyBorder="1" applyAlignment="1">
      <alignment horizontal="center" vertical="top" wrapText="1"/>
    </xf>
    <xf numFmtId="16" fontId="12"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0" fontId="2" fillId="14" borderId="2" xfId="0" applyFont="1" applyFill="1" applyBorder="1" applyAlignment="1">
      <alignment horizontal="center" vertical="top" wrapText="1"/>
    </xf>
    <xf numFmtId="9" fontId="4" fillId="15" borderId="1" xfId="2" applyFont="1" applyFill="1" applyBorder="1" applyAlignment="1">
      <alignment horizontal="center" vertical="top" wrapText="1"/>
    </xf>
    <xf numFmtId="9" fontId="4" fillId="16" borderId="1" xfId="2" applyFont="1" applyFill="1" applyBorder="1" applyAlignment="1">
      <alignment horizontal="center" vertical="top" wrapText="1"/>
    </xf>
    <xf numFmtId="0" fontId="8" fillId="0" borderId="0" xfId="4" applyFont="1" applyAlignment="1">
      <alignment vertical="center"/>
    </xf>
    <xf numFmtId="40" fontId="14" fillId="17" borderId="1" xfId="5" applyNumberFormat="1" applyFont="1" applyFill="1" applyBorder="1" applyAlignment="1">
      <alignment horizontal="center" vertical="center"/>
    </xf>
    <xf numFmtId="40" fontId="14" fillId="17" borderId="1" xfId="5" applyNumberFormat="1" applyFont="1" applyFill="1" applyBorder="1" applyAlignment="1">
      <alignment horizontal="center" vertical="center" wrapText="1"/>
    </xf>
    <xf numFmtId="0" fontId="14" fillId="18" borderId="14" xfId="5" applyFont="1" applyFill="1" applyBorder="1" applyAlignment="1">
      <alignment horizontal="left" vertical="center"/>
    </xf>
    <xf numFmtId="0" fontId="14" fillId="18" borderId="15" xfId="5" applyFont="1" applyFill="1" applyBorder="1" applyAlignment="1">
      <alignment horizontal="center" vertical="center"/>
    </xf>
    <xf numFmtId="0" fontId="14" fillId="18" borderId="16" xfId="5" applyFont="1" applyFill="1" applyBorder="1" applyAlignment="1">
      <alignment horizontal="center" vertical="center"/>
    </xf>
    <xf numFmtId="0" fontId="14" fillId="18" borderId="17" xfId="5" applyFont="1" applyFill="1" applyBorder="1" applyAlignment="1">
      <alignment horizontal="center" vertical="center"/>
    </xf>
    <xf numFmtId="173" fontId="14" fillId="18" borderId="17" xfId="5" applyNumberFormat="1" applyFont="1" applyFill="1" applyBorder="1" applyAlignment="1">
      <alignment horizontal="center" vertical="center"/>
    </xf>
    <xf numFmtId="174" fontId="14" fillId="18" borderId="18" xfId="5" applyNumberFormat="1" applyFont="1" applyFill="1" applyBorder="1" applyAlignment="1">
      <alignment horizontal="center" vertical="center"/>
    </xf>
    <xf numFmtId="0" fontId="14" fillId="18" borderId="19" xfId="5" applyFont="1" applyFill="1" applyBorder="1" applyAlignment="1">
      <alignment horizontal="left" vertical="center"/>
    </xf>
    <xf numFmtId="4" fontId="14" fillId="18" borderId="14" xfId="5" applyNumberFormat="1" applyFont="1" applyFill="1" applyBorder="1" applyAlignment="1">
      <alignment horizontal="center" vertical="center"/>
    </xf>
    <xf numFmtId="4" fontId="14" fillId="18" borderId="14" xfId="5" applyNumberFormat="1" applyFont="1" applyFill="1" applyBorder="1" applyAlignment="1">
      <alignment horizontal="right" vertical="center"/>
    </xf>
    <xf numFmtId="0" fontId="14" fillId="19" borderId="20" xfId="5" applyFont="1" applyFill="1" applyBorder="1" applyAlignment="1">
      <alignment horizontal="left" vertical="center"/>
    </xf>
    <xf numFmtId="0" fontId="14" fillId="19" borderId="16" xfId="5" applyFont="1" applyFill="1" applyBorder="1" applyAlignment="1">
      <alignment horizontal="center" vertical="center"/>
    </xf>
    <xf numFmtId="0" fontId="14" fillId="19" borderId="17" xfId="5" applyFont="1" applyFill="1" applyBorder="1" applyAlignment="1">
      <alignment horizontal="center" vertical="center"/>
    </xf>
    <xf numFmtId="173" fontId="14" fillId="19" borderId="17" xfId="5" applyNumberFormat="1" applyFont="1" applyFill="1" applyBorder="1" applyAlignment="1">
      <alignment horizontal="center" vertical="center"/>
    </xf>
    <xf numFmtId="174" fontId="14" fillId="19" borderId="18" xfId="5" applyNumberFormat="1" applyFont="1" applyFill="1" applyBorder="1" applyAlignment="1">
      <alignment horizontal="center" vertical="center"/>
    </xf>
    <xf numFmtId="0" fontId="14" fillId="19" borderId="18" xfId="5" applyFont="1" applyFill="1" applyBorder="1" applyAlignment="1">
      <alignment horizontal="left" vertical="center"/>
    </xf>
    <xf numFmtId="4" fontId="14" fillId="19" borderId="20" xfId="5" applyNumberFormat="1" applyFont="1" applyFill="1" applyBorder="1" applyAlignment="1">
      <alignment horizontal="center" vertical="center"/>
    </xf>
    <xf numFmtId="4" fontId="14" fillId="19" borderId="20" xfId="5" applyNumberFormat="1" applyFont="1" applyFill="1" applyBorder="1" applyAlignment="1">
      <alignment horizontal="right" vertical="center"/>
    </xf>
    <xf numFmtId="0" fontId="14" fillId="20" borderId="20" xfId="5" applyFont="1" applyFill="1" applyBorder="1" applyAlignment="1">
      <alignment horizontal="left" vertical="center"/>
    </xf>
    <xf numFmtId="0" fontId="14" fillId="20" borderId="16" xfId="5" applyFont="1" applyFill="1" applyBorder="1" applyAlignment="1">
      <alignment horizontal="center" vertical="center"/>
    </xf>
    <xf numFmtId="0" fontId="14" fillId="20" borderId="17" xfId="5" applyFont="1" applyFill="1" applyBorder="1" applyAlignment="1">
      <alignment horizontal="center" vertical="center"/>
    </xf>
    <xf numFmtId="173" fontId="14" fillId="20" borderId="17" xfId="5" applyNumberFormat="1" applyFont="1" applyFill="1" applyBorder="1" applyAlignment="1">
      <alignment horizontal="center" vertical="center"/>
    </xf>
    <xf numFmtId="174" fontId="14" fillId="20" borderId="18" xfId="5" applyNumberFormat="1" applyFont="1" applyFill="1" applyBorder="1" applyAlignment="1">
      <alignment horizontal="center" vertical="center"/>
    </xf>
    <xf numFmtId="0" fontId="14" fillId="20" borderId="18" xfId="5" applyFont="1" applyFill="1" applyBorder="1" applyAlignment="1">
      <alignment horizontal="left" vertical="center"/>
    </xf>
    <xf numFmtId="4" fontId="14" fillId="20" borderId="20" xfId="5" applyNumberFormat="1" applyFont="1" applyFill="1" applyBorder="1" applyAlignment="1">
      <alignment horizontal="center" vertical="center"/>
    </xf>
    <xf numFmtId="4" fontId="14" fillId="20" borderId="20" xfId="5" applyNumberFormat="1" applyFont="1" applyFill="1" applyBorder="1" applyAlignment="1">
      <alignment horizontal="right" vertical="center"/>
    </xf>
    <xf numFmtId="0" fontId="14" fillId="21" borderId="20" xfId="5" applyFont="1" applyFill="1" applyBorder="1" applyAlignment="1">
      <alignment horizontal="left" vertical="center"/>
    </xf>
    <xf numFmtId="0" fontId="14" fillId="21" borderId="16" xfId="5" applyFont="1" applyFill="1" applyBorder="1" applyAlignment="1">
      <alignment horizontal="center" vertical="center"/>
    </xf>
    <xf numFmtId="0" fontId="14" fillId="21" borderId="17" xfId="5" applyFont="1" applyFill="1" applyBorder="1" applyAlignment="1">
      <alignment horizontal="center" vertical="center"/>
    </xf>
    <xf numFmtId="173" fontId="14" fillId="21" borderId="17" xfId="5" applyNumberFormat="1" applyFont="1" applyFill="1" applyBorder="1" applyAlignment="1">
      <alignment horizontal="center" vertical="center"/>
    </xf>
    <xf numFmtId="174" fontId="14" fillId="21" borderId="18" xfId="5" applyNumberFormat="1" applyFont="1" applyFill="1" applyBorder="1" applyAlignment="1">
      <alignment horizontal="center" vertical="center"/>
    </xf>
    <xf numFmtId="0" fontId="14" fillId="21" borderId="18" xfId="5" applyFont="1" applyFill="1" applyBorder="1" applyAlignment="1">
      <alignment horizontal="left" vertical="center"/>
    </xf>
    <xf numFmtId="4" fontId="14" fillId="21" borderId="20" xfId="5" applyNumberFormat="1" applyFont="1" applyFill="1" applyBorder="1" applyAlignment="1">
      <alignment horizontal="center" vertical="center"/>
    </xf>
    <xf numFmtId="4" fontId="14" fillId="21" borderId="20" xfId="5" applyNumberFormat="1" applyFont="1" applyFill="1" applyBorder="1" applyAlignment="1">
      <alignment horizontal="right" vertical="center"/>
    </xf>
    <xf numFmtId="173" fontId="8" fillId="0" borderId="20" xfId="4" applyNumberFormat="1" applyFont="1" applyBorder="1" applyAlignment="1">
      <alignment horizontal="justify" vertical="center" wrapText="1"/>
    </xf>
    <xf numFmtId="173" fontId="8" fillId="0" borderId="16" xfId="4" applyNumberFormat="1" applyFont="1" applyBorder="1" applyAlignment="1">
      <alignment horizontal="center" vertical="center" wrapText="1"/>
    </xf>
    <xf numFmtId="173" fontId="8" fillId="0" borderId="17" xfId="4" applyNumberFormat="1" applyFont="1" applyBorder="1" applyAlignment="1">
      <alignment horizontal="center" vertical="center" wrapText="1"/>
    </xf>
    <xf numFmtId="174" fontId="8" fillId="0" borderId="18" xfId="4" applyNumberFormat="1" applyFont="1" applyBorder="1" applyAlignment="1">
      <alignment horizontal="center" vertical="center" wrapText="1"/>
    </xf>
    <xf numFmtId="175" fontId="8" fillId="0" borderId="18" xfId="4" applyNumberFormat="1" applyFont="1" applyBorder="1" applyAlignment="1">
      <alignment horizontal="center" vertical="center" wrapText="1"/>
    </xf>
    <xf numFmtId="4" fontId="8" fillId="0" borderId="20" xfId="4" applyNumberFormat="1" applyFont="1" applyBorder="1" applyAlignment="1">
      <alignment horizontal="center" vertical="center" wrapText="1"/>
    </xf>
    <xf numFmtId="4" fontId="8" fillId="0" borderId="20" xfId="4" applyNumberFormat="1" applyFont="1" applyBorder="1" applyAlignment="1">
      <alignment horizontal="right" vertical="center" wrapText="1"/>
    </xf>
    <xf numFmtId="0" fontId="14" fillId="20" borderId="20" xfId="5" applyFont="1" applyFill="1" applyBorder="1" applyAlignment="1">
      <alignment horizontal="left" vertical="center" wrapText="1"/>
    </xf>
    <xf numFmtId="0" fontId="14" fillId="20" borderId="16" xfId="5" applyFont="1" applyFill="1" applyBorder="1" applyAlignment="1">
      <alignment horizontal="center" vertical="center" wrapText="1"/>
    </xf>
    <xf numFmtId="0" fontId="14" fillId="20" borderId="17" xfId="5" applyFont="1" applyFill="1" applyBorder="1" applyAlignment="1">
      <alignment horizontal="center" vertical="center" wrapText="1"/>
    </xf>
    <xf numFmtId="173" fontId="14" fillId="20" borderId="17" xfId="5" applyNumberFormat="1" applyFont="1" applyFill="1" applyBorder="1" applyAlignment="1">
      <alignment horizontal="center" vertical="center" wrapText="1"/>
    </xf>
    <xf numFmtId="174" fontId="14" fillId="20" borderId="18" xfId="5" applyNumberFormat="1" applyFont="1" applyFill="1" applyBorder="1" applyAlignment="1">
      <alignment horizontal="center" vertical="center" wrapText="1"/>
    </xf>
    <xf numFmtId="175" fontId="14" fillId="20" borderId="18" xfId="5" applyNumberFormat="1" applyFont="1" applyFill="1" applyBorder="1" applyAlignment="1">
      <alignment horizontal="center" vertical="center" wrapText="1"/>
    </xf>
    <xf numFmtId="4" fontId="14" fillId="20" borderId="20" xfId="5" applyNumberFormat="1" applyFont="1" applyFill="1" applyBorder="1" applyAlignment="1">
      <alignment horizontal="center" vertical="center" wrapText="1"/>
    </xf>
    <xf numFmtId="4" fontId="14" fillId="20" borderId="20" xfId="5" applyNumberFormat="1" applyFont="1" applyFill="1" applyBorder="1" applyAlignment="1">
      <alignment horizontal="right" vertical="center" wrapText="1"/>
    </xf>
    <xf numFmtId="173" fontId="14" fillId="21" borderId="20" xfId="4" applyNumberFormat="1" applyFont="1" applyFill="1" applyBorder="1" applyAlignment="1">
      <alignment horizontal="justify" vertical="center" wrapText="1"/>
    </xf>
    <xf numFmtId="173" fontId="14" fillId="21" borderId="16" xfId="4" applyNumberFormat="1" applyFont="1" applyFill="1" applyBorder="1" applyAlignment="1">
      <alignment horizontal="center" vertical="center" wrapText="1"/>
    </xf>
    <xf numFmtId="173" fontId="14" fillId="21" borderId="17" xfId="4" applyNumberFormat="1" applyFont="1" applyFill="1" applyBorder="1" applyAlignment="1">
      <alignment horizontal="center" vertical="center" wrapText="1"/>
    </xf>
    <xf numFmtId="174" fontId="14" fillId="21" borderId="18" xfId="4" applyNumberFormat="1" applyFont="1" applyFill="1" applyBorder="1" applyAlignment="1">
      <alignment horizontal="center" vertical="center" wrapText="1"/>
    </xf>
    <xf numFmtId="175" fontId="14" fillId="21" borderId="18" xfId="4" applyNumberFormat="1" applyFont="1" applyFill="1" applyBorder="1" applyAlignment="1">
      <alignment horizontal="center" vertical="center" wrapText="1"/>
    </xf>
    <xf numFmtId="4" fontId="14" fillId="21" borderId="20" xfId="4" applyNumberFormat="1" applyFont="1" applyFill="1" applyBorder="1" applyAlignment="1">
      <alignment horizontal="center" vertical="center" wrapText="1"/>
    </xf>
    <xf numFmtId="4" fontId="14" fillId="21" borderId="20" xfId="4" applyNumberFormat="1" applyFont="1" applyFill="1" applyBorder="1" applyAlignment="1">
      <alignment horizontal="right" vertical="center" wrapText="1"/>
    </xf>
    <xf numFmtId="173" fontId="14" fillId="22" borderId="20" xfId="4" applyNumberFormat="1" applyFont="1" applyFill="1" applyBorder="1" applyAlignment="1">
      <alignment horizontal="justify" vertical="center" wrapText="1"/>
    </xf>
    <xf numFmtId="173" fontId="14" fillId="22" borderId="16" xfId="4" applyNumberFormat="1" applyFont="1" applyFill="1" applyBorder="1" applyAlignment="1">
      <alignment horizontal="center" vertical="center" wrapText="1"/>
    </xf>
    <xf numFmtId="173" fontId="14" fillId="22" borderId="17" xfId="4" applyNumberFormat="1" applyFont="1" applyFill="1" applyBorder="1" applyAlignment="1">
      <alignment horizontal="center" vertical="center" wrapText="1"/>
    </xf>
    <xf numFmtId="174" fontId="14" fillId="22" borderId="18" xfId="4" applyNumberFormat="1" applyFont="1" applyFill="1" applyBorder="1" applyAlignment="1">
      <alignment horizontal="center" vertical="center" wrapText="1"/>
    </xf>
    <xf numFmtId="175" fontId="14" fillId="22" borderId="18" xfId="4" applyNumberFormat="1" applyFont="1" applyFill="1" applyBorder="1" applyAlignment="1">
      <alignment horizontal="center" vertical="center" wrapText="1"/>
    </xf>
    <xf numFmtId="4" fontId="14" fillId="22" borderId="20" xfId="4" applyNumberFormat="1" applyFont="1" applyFill="1" applyBorder="1" applyAlignment="1">
      <alignment horizontal="center" vertical="center" wrapText="1"/>
    </xf>
    <xf numFmtId="4" fontId="14" fillId="22" borderId="20" xfId="4" applyNumberFormat="1" applyFont="1" applyFill="1" applyBorder="1" applyAlignment="1">
      <alignment horizontal="right" vertical="center" wrapText="1"/>
    </xf>
    <xf numFmtId="0" fontId="14" fillId="18" borderId="20" xfId="5" applyFont="1" applyFill="1" applyBorder="1" applyAlignment="1">
      <alignment horizontal="left" vertical="center"/>
    </xf>
    <xf numFmtId="175" fontId="14" fillId="18" borderId="18" xfId="5" applyNumberFormat="1" applyFont="1" applyFill="1" applyBorder="1" applyAlignment="1">
      <alignment horizontal="center" vertical="center"/>
    </xf>
    <xf numFmtId="4" fontId="14" fillId="18" borderId="20" xfId="5" applyNumberFormat="1" applyFont="1" applyFill="1" applyBorder="1" applyAlignment="1">
      <alignment horizontal="center" vertical="center"/>
    </xf>
    <xf numFmtId="4" fontId="14" fillId="18" borderId="20" xfId="5" applyNumberFormat="1" applyFont="1" applyFill="1" applyBorder="1" applyAlignment="1">
      <alignment horizontal="right" vertical="center"/>
    </xf>
    <xf numFmtId="174" fontId="14" fillId="19" borderId="20" xfId="5" applyNumberFormat="1" applyFont="1" applyFill="1" applyBorder="1" applyAlignment="1">
      <alignment horizontal="left" vertical="center"/>
    </xf>
    <xf numFmtId="174" fontId="14" fillId="19" borderId="16" xfId="5" applyNumberFormat="1" applyFont="1" applyFill="1" applyBorder="1" applyAlignment="1">
      <alignment horizontal="center" vertical="center"/>
    </xf>
    <xf numFmtId="174" fontId="14" fillId="19" borderId="17" xfId="5" applyNumberFormat="1" applyFont="1" applyFill="1" applyBorder="1" applyAlignment="1">
      <alignment horizontal="center" vertical="center"/>
    </xf>
    <xf numFmtId="175" fontId="14" fillId="19" borderId="18" xfId="5" applyNumberFormat="1" applyFont="1" applyFill="1" applyBorder="1" applyAlignment="1">
      <alignment horizontal="center" vertical="center"/>
    </xf>
    <xf numFmtId="173" fontId="14" fillId="21" borderId="20" xfId="5" applyNumberFormat="1" applyFont="1" applyFill="1" applyBorder="1" applyAlignment="1">
      <alignment horizontal="left" vertical="center" wrapText="1"/>
    </xf>
    <xf numFmtId="173" fontId="14" fillId="21" borderId="16" xfId="5" applyNumberFormat="1" applyFont="1" applyFill="1" applyBorder="1" applyAlignment="1">
      <alignment horizontal="center" vertical="center" wrapText="1"/>
    </xf>
    <xf numFmtId="173" fontId="14" fillId="21" borderId="17" xfId="5" applyNumberFormat="1" applyFont="1" applyFill="1" applyBorder="1" applyAlignment="1">
      <alignment horizontal="center" vertical="center" wrapText="1"/>
    </xf>
    <xf numFmtId="174" fontId="14" fillId="21" borderId="18" xfId="5" applyNumberFormat="1" applyFont="1" applyFill="1" applyBorder="1" applyAlignment="1">
      <alignment horizontal="center" vertical="center" wrapText="1"/>
    </xf>
    <xf numFmtId="175" fontId="14" fillId="21" borderId="18" xfId="5" applyNumberFormat="1" applyFont="1" applyFill="1" applyBorder="1" applyAlignment="1">
      <alignment horizontal="center" vertical="center" wrapText="1"/>
    </xf>
    <xf numFmtId="4" fontId="14" fillId="21" borderId="20" xfId="5" applyNumberFormat="1" applyFont="1" applyFill="1" applyBorder="1" applyAlignment="1">
      <alignment horizontal="center" vertical="center" wrapText="1"/>
    </xf>
    <xf numFmtId="4" fontId="14" fillId="21" borderId="20" xfId="5" applyNumberFormat="1" applyFont="1" applyFill="1" applyBorder="1" applyAlignment="1">
      <alignment horizontal="right" vertical="center" wrapText="1"/>
    </xf>
    <xf numFmtId="173" fontId="8" fillId="21" borderId="20" xfId="5" applyNumberFormat="1" applyFont="1" applyFill="1" applyBorder="1" applyAlignment="1">
      <alignment horizontal="left" vertical="center" wrapText="1"/>
    </xf>
    <xf numFmtId="173" fontId="8" fillId="21" borderId="16" xfId="5" applyNumberFormat="1" applyFont="1" applyFill="1" applyBorder="1" applyAlignment="1">
      <alignment horizontal="center" vertical="center" wrapText="1"/>
    </xf>
    <xf numFmtId="173" fontId="8" fillId="21" borderId="17" xfId="5" applyNumberFormat="1" applyFont="1" applyFill="1" applyBorder="1" applyAlignment="1">
      <alignment horizontal="center" vertical="center" wrapText="1"/>
    </xf>
    <xf numFmtId="174" fontId="8" fillId="21" borderId="18" xfId="5" applyNumberFormat="1" applyFont="1" applyFill="1" applyBorder="1" applyAlignment="1">
      <alignment horizontal="center" vertical="center" wrapText="1"/>
    </xf>
    <xf numFmtId="175" fontId="8" fillId="21" borderId="18" xfId="5" applyNumberFormat="1" applyFont="1" applyFill="1" applyBorder="1" applyAlignment="1">
      <alignment horizontal="center" vertical="center" wrapText="1"/>
    </xf>
    <xf numFmtId="4" fontId="8" fillId="21" borderId="20" xfId="5" applyNumberFormat="1" applyFont="1" applyFill="1" applyBorder="1" applyAlignment="1">
      <alignment horizontal="center" vertical="center" wrapText="1"/>
    </xf>
    <xf numFmtId="4" fontId="8" fillId="21" borderId="20" xfId="5" applyNumberFormat="1" applyFont="1" applyFill="1" applyBorder="1" applyAlignment="1">
      <alignment horizontal="right" vertical="center" wrapText="1"/>
    </xf>
    <xf numFmtId="173" fontId="8" fillId="0" borderId="20" xfId="5" applyNumberFormat="1" applyFont="1" applyBorder="1" applyAlignment="1">
      <alignment horizontal="left" vertical="center" wrapText="1"/>
    </xf>
    <xf numFmtId="173" fontId="8" fillId="0" borderId="16" xfId="5" applyNumberFormat="1" applyFont="1" applyBorder="1" applyAlignment="1">
      <alignment horizontal="center" vertical="center" wrapText="1"/>
    </xf>
    <xf numFmtId="173" fontId="8" fillId="0" borderId="17" xfId="5" applyNumberFormat="1" applyFont="1" applyBorder="1" applyAlignment="1">
      <alignment horizontal="center" vertical="center" wrapText="1"/>
    </xf>
    <xf numFmtId="174" fontId="8" fillId="0" borderId="18" xfId="5" applyNumberFormat="1" applyFont="1" applyBorder="1" applyAlignment="1">
      <alignment horizontal="center" vertical="center" wrapText="1"/>
    </xf>
    <xf numFmtId="175" fontId="8" fillId="0" borderId="18" xfId="5" applyNumberFormat="1" applyFont="1" applyBorder="1" applyAlignment="1">
      <alignment horizontal="center" vertical="center" wrapText="1"/>
    </xf>
    <xf numFmtId="4" fontId="8" fillId="0" borderId="20" xfId="5" applyNumberFormat="1" applyFont="1" applyBorder="1" applyAlignment="1">
      <alignment horizontal="center" vertical="center" wrapText="1"/>
    </xf>
    <xf numFmtId="4" fontId="8" fillId="0" borderId="20" xfId="5" applyNumberFormat="1" applyFont="1" applyBorder="1" applyAlignment="1">
      <alignment horizontal="right" vertical="center" wrapText="1"/>
    </xf>
    <xf numFmtId="0" fontId="14" fillId="20" borderId="21" xfId="5" applyFont="1" applyFill="1" applyBorder="1" applyAlignment="1">
      <alignment horizontal="left" vertical="center" wrapText="1"/>
    </xf>
    <xf numFmtId="0" fontId="14" fillId="20" borderId="22" xfId="5" applyFont="1" applyFill="1" applyBorder="1" applyAlignment="1">
      <alignment horizontal="left" vertical="center" wrapText="1"/>
    </xf>
    <xf numFmtId="175" fontId="14" fillId="20" borderId="22" xfId="5" applyNumberFormat="1" applyFont="1" applyFill="1" applyBorder="1" applyAlignment="1">
      <alignment horizontal="center" vertical="center" wrapText="1"/>
    </xf>
    <xf numFmtId="4" fontId="14" fillId="20" borderId="22" xfId="5" applyNumberFormat="1" applyFont="1" applyFill="1" applyBorder="1" applyAlignment="1">
      <alignment horizontal="center" vertical="center" wrapText="1"/>
    </xf>
    <xf numFmtId="4" fontId="14" fillId="20" borderId="18" xfId="5" applyNumberFormat="1" applyFont="1" applyFill="1" applyBorder="1" applyAlignment="1">
      <alignment horizontal="right" vertical="center" wrapText="1"/>
    </xf>
    <xf numFmtId="173" fontId="14" fillId="21" borderId="21" xfId="5" applyNumberFormat="1" applyFont="1" applyFill="1" applyBorder="1" applyAlignment="1">
      <alignment horizontal="left" vertical="center" wrapText="1"/>
    </xf>
    <xf numFmtId="173" fontId="14" fillId="21" borderId="22" xfId="5" applyNumberFormat="1" applyFont="1" applyFill="1" applyBorder="1" applyAlignment="1">
      <alignment horizontal="left" vertical="center" wrapText="1"/>
    </xf>
    <xf numFmtId="175" fontId="14" fillId="21" borderId="22" xfId="5" applyNumberFormat="1" applyFont="1" applyFill="1" applyBorder="1" applyAlignment="1">
      <alignment horizontal="center" vertical="center" wrapText="1"/>
    </xf>
    <xf numFmtId="4" fontId="14" fillId="21" borderId="22" xfId="5" applyNumberFormat="1" applyFont="1" applyFill="1" applyBorder="1" applyAlignment="1">
      <alignment horizontal="center" vertical="center" wrapText="1"/>
    </xf>
    <xf numFmtId="4" fontId="14" fillId="21" borderId="18" xfId="5" applyNumberFormat="1" applyFont="1" applyFill="1" applyBorder="1" applyAlignment="1">
      <alignment horizontal="right" vertical="center" wrapText="1"/>
    </xf>
    <xf numFmtId="173" fontId="8" fillId="0" borderId="21" xfId="5" applyNumberFormat="1" applyFont="1" applyBorder="1" applyAlignment="1">
      <alignment horizontal="left" vertical="center" wrapText="1"/>
    </xf>
    <xf numFmtId="173" fontId="8" fillId="0" borderId="22" xfId="5" applyNumberFormat="1" applyFont="1" applyBorder="1" applyAlignment="1">
      <alignment horizontal="left" vertical="center" wrapText="1"/>
    </xf>
    <xf numFmtId="175" fontId="8" fillId="0" borderId="22" xfId="5" applyNumberFormat="1" applyFont="1" applyBorder="1" applyAlignment="1">
      <alignment horizontal="center" vertical="center" wrapText="1"/>
    </xf>
    <xf numFmtId="4" fontId="8" fillId="0" borderId="22" xfId="5" applyNumberFormat="1" applyFont="1" applyBorder="1" applyAlignment="1">
      <alignment horizontal="center" vertical="center" wrapText="1"/>
    </xf>
    <xf numFmtId="4" fontId="8" fillId="0" borderId="18" xfId="5" applyNumberFormat="1" applyFont="1" applyBorder="1" applyAlignment="1">
      <alignment horizontal="right" vertical="center" wrapText="1"/>
    </xf>
    <xf numFmtId="173" fontId="8" fillId="21" borderId="21" xfId="5" applyNumberFormat="1" applyFont="1" applyFill="1" applyBorder="1" applyAlignment="1">
      <alignment horizontal="left" vertical="center" wrapText="1"/>
    </xf>
    <xf numFmtId="173" fontId="8" fillId="21" borderId="22" xfId="5" applyNumberFormat="1" applyFont="1" applyFill="1" applyBorder="1" applyAlignment="1">
      <alignment horizontal="left" vertical="center" wrapText="1"/>
    </xf>
    <xf numFmtId="175" fontId="8" fillId="21" borderId="22" xfId="5" applyNumberFormat="1" applyFont="1" applyFill="1" applyBorder="1" applyAlignment="1">
      <alignment horizontal="center" vertical="center" wrapText="1"/>
    </xf>
    <xf numFmtId="4" fontId="8" fillId="21" borderId="22" xfId="5" applyNumberFormat="1" applyFont="1" applyFill="1" applyBorder="1" applyAlignment="1">
      <alignment horizontal="center" vertical="center" wrapText="1"/>
    </xf>
    <xf numFmtId="4" fontId="8" fillId="21" borderId="18" xfId="5" applyNumberFormat="1" applyFont="1" applyFill="1" applyBorder="1" applyAlignment="1">
      <alignment horizontal="right" vertical="center" wrapText="1"/>
    </xf>
    <xf numFmtId="173" fontId="8" fillId="21" borderId="16" xfId="5" applyNumberFormat="1" applyFont="1" applyFill="1" applyBorder="1" applyAlignment="1">
      <alignment vertical="center" wrapText="1"/>
    </xf>
    <xf numFmtId="175" fontId="8" fillId="21" borderId="17" xfId="5" applyNumberFormat="1" applyFont="1" applyFill="1" applyBorder="1" applyAlignment="1">
      <alignment horizontal="center" vertical="center" wrapText="1"/>
    </xf>
    <xf numFmtId="4" fontId="8" fillId="21" borderId="16" xfId="5" applyNumberFormat="1" applyFont="1" applyFill="1" applyBorder="1" applyAlignment="1">
      <alignment horizontal="center" vertical="center" wrapText="1"/>
    </xf>
    <xf numFmtId="173" fontId="8" fillId="0" borderId="20" xfId="6" applyNumberFormat="1" applyFont="1" applyBorder="1" applyAlignment="1">
      <alignment vertical="center" wrapText="1"/>
    </xf>
    <xf numFmtId="173" fontId="8" fillId="0" borderId="16" xfId="6" applyNumberFormat="1" applyFont="1" applyBorder="1" applyAlignment="1">
      <alignment horizontal="center" vertical="center" wrapText="1"/>
    </xf>
    <xf numFmtId="173" fontId="8" fillId="0" borderId="17" xfId="6" applyNumberFormat="1" applyFont="1" applyBorder="1" applyAlignment="1">
      <alignment horizontal="center" vertical="center" wrapText="1"/>
    </xf>
    <xf numFmtId="175" fontId="8" fillId="0" borderId="18" xfId="6" applyNumberFormat="1" applyFont="1" applyBorder="1" applyAlignment="1">
      <alignment horizontal="center" vertical="center" wrapText="1"/>
    </xf>
    <xf numFmtId="4" fontId="8" fillId="0" borderId="20" xfId="6" applyNumberFormat="1" applyFont="1" applyBorder="1" applyAlignment="1">
      <alignment horizontal="center" vertical="center" wrapText="1"/>
    </xf>
    <xf numFmtId="4" fontId="8" fillId="0" borderId="20" xfId="6" applyNumberFormat="1" applyFont="1" applyBorder="1" applyAlignment="1">
      <alignment horizontal="right" vertical="center" wrapText="1"/>
    </xf>
    <xf numFmtId="49" fontId="8" fillId="0" borderId="20" xfId="5" applyNumberFormat="1" applyFont="1" applyBorder="1" applyAlignment="1">
      <alignment vertical="center" wrapText="1"/>
    </xf>
    <xf numFmtId="49" fontId="8" fillId="0" borderId="16" xfId="5" applyNumberFormat="1" applyFont="1" applyBorder="1" applyAlignment="1">
      <alignment horizontal="center" vertical="center" wrapText="1"/>
    </xf>
    <xf numFmtId="49" fontId="8" fillId="0" borderId="17" xfId="5" applyNumberFormat="1" applyFont="1" applyBorder="1" applyAlignment="1">
      <alignment horizontal="center" vertical="center" wrapText="1"/>
    </xf>
    <xf numFmtId="0" fontId="14" fillId="20" borderId="20" xfId="5" applyFont="1" applyFill="1" applyBorder="1" applyAlignment="1">
      <alignment vertical="center" wrapText="1"/>
    </xf>
    <xf numFmtId="173" fontId="8" fillId="21" borderId="20" xfId="5" applyNumberFormat="1" applyFont="1" applyFill="1" applyBorder="1" applyAlignment="1">
      <alignment vertical="center" wrapText="1"/>
    </xf>
    <xf numFmtId="0" fontId="14" fillId="20" borderId="16" xfId="5" applyFont="1" applyFill="1" applyBorder="1" applyAlignment="1">
      <alignment vertical="center" wrapText="1"/>
    </xf>
    <xf numFmtId="175" fontId="14" fillId="20" borderId="17" xfId="5" applyNumberFormat="1" applyFont="1" applyFill="1" applyBorder="1" applyAlignment="1">
      <alignment horizontal="center" vertical="center" wrapText="1"/>
    </xf>
    <xf numFmtId="4" fontId="14" fillId="20" borderId="16" xfId="5" applyNumberFormat="1" applyFont="1" applyFill="1" applyBorder="1" applyAlignment="1">
      <alignment horizontal="center" vertical="center" wrapText="1"/>
    </xf>
    <xf numFmtId="173" fontId="14" fillId="21" borderId="16" xfId="5" applyNumberFormat="1" applyFont="1" applyFill="1" applyBorder="1" applyAlignment="1">
      <alignment vertical="center" wrapText="1"/>
    </xf>
    <xf numFmtId="175" fontId="14" fillId="21" borderId="17" xfId="5" applyNumberFormat="1" applyFont="1" applyFill="1" applyBorder="1" applyAlignment="1">
      <alignment horizontal="center" vertical="center" wrapText="1"/>
    </xf>
    <xf numFmtId="4" fontId="14" fillId="21" borderId="16" xfId="5" applyNumberFormat="1" applyFont="1" applyFill="1" applyBorder="1" applyAlignment="1">
      <alignment horizontal="center" vertical="center" wrapText="1"/>
    </xf>
    <xf numFmtId="173" fontId="8" fillId="0" borderId="23" xfId="5" applyNumberFormat="1" applyFont="1" applyBorder="1" applyAlignment="1">
      <alignment horizontal="left" vertical="center" wrapText="1"/>
    </xf>
    <xf numFmtId="173" fontId="8" fillId="0" borderId="24" xfId="5" applyNumberFormat="1" applyFont="1" applyBorder="1" applyAlignment="1">
      <alignment horizontal="center" vertical="center" wrapText="1"/>
    </xf>
    <xf numFmtId="173" fontId="8" fillId="0" borderId="25" xfId="5" applyNumberFormat="1" applyFont="1" applyBorder="1" applyAlignment="1">
      <alignment horizontal="center" vertical="center" wrapText="1"/>
    </xf>
    <xf numFmtId="4" fontId="8" fillId="0" borderId="23" xfId="5" applyNumberFormat="1" applyFont="1" applyBorder="1" applyAlignment="1">
      <alignment horizontal="center" vertical="center" wrapText="1"/>
    </xf>
    <xf numFmtId="4" fontId="8" fillId="0" borderId="23" xfId="5" applyNumberFormat="1" applyFont="1" applyBorder="1" applyAlignment="1">
      <alignment horizontal="right" vertical="center" wrapText="1"/>
    </xf>
    <xf numFmtId="175" fontId="8" fillId="0" borderId="26" xfId="5" applyNumberFormat="1" applyFont="1" applyBorder="1" applyAlignment="1">
      <alignment horizontal="center" vertical="center" wrapText="1"/>
    </xf>
    <xf numFmtId="0" fontId="14" fillId="23" borderId="20" xfId="7" applyFont="1" applyFill="1" applyBorder="1" applyAlignment="1">
      <alignment horizontal="left" vertical="center"/>
    </xf>
    <xf numFmtId="0" fontId="14" fillId="23" borderId="20" xfId="8" applyFont="1" applyFill="1" applyBorder="1" applyAlignment="1">
      <alignment vertical="center"/>
    </xf>
    <xf numFmtId="0" fontId="14" fillId="23" borderId="20" xfId="8" applyFont="1" applyFill="1" applyBorder="1" applyAlignment="1">
      <alignment horizontal="center" vertical="center"/>
    </xf>
    <xf numFmtId="0" fontId="14" fillId="23" borderId="16" xfId="8" applyFont="1" applyFill="1" applyBorder="1" applyAlignment="1">
      <alignment horizontal="right" vertical="center"/>
    </xf>
    <xf numFmtId="0" fontId="14" fillId="23" borderId="17" xfId="8" applyFont="1" applyFill="1" applyBorder="1" applyAlignment="1">
      <alignment horizontal="right" vertical="center"/>
    </xf>
    <xf numFmtId="173" fontId="14" fillId="23" borderId="17" xfId="8" applyNumberFormat="1" applyFont="1" applyFill="1" applyBorder="1" applyAlignment="1">
      <alignment horizontal="right" vertical="center"/>
    </xf>
    <xf numFmtId="174" fontId="14" fillId="23" borderId="18" xfId="8" applyNumberFormat="1" applyFont="1" applyFill="1" applyBorder="1" applyAlignment="1">
      <alignment horizontal="right" vertical="center"/>
    </xf>
    <xf numFmtId="176" fontId="14" fillId="23" borderId="18" xfId="9" applyFont="1" applyFill="1" applyBorder="1" applyAlignment="1" applyProtection="1">
      <alignment horizontal="right" vertical="center"/>
      <protection locked="0"/>
    </xf>
    <xf numFmtId="0" fontId="14" fillId="24" borderId="20" xfId="7" applyFont="1" applyFill="1" applyBorder="1" applyAlignment="1">
      <alignment horizontal="left" vertical="center" wrapText="1"/>
    </xf>
    <xf numFmtId="0" fontId="14" fillId="24" borderId="20" xfId="7" applyFont="1" applyFill="1" applyBorder="1" applyAlignment="1">
      <alignment horizontal="justify" vertical="center" wrapText="1"/>
    </xf>
    <xf numFmtId="174" fontId="14" fillId="24" borderId="20" xfId="7" applyNumberFormat="1" applyFont="1" applyFill="1" applyBorder="1" applyAlignment="1">
      <alignment horizontal="center" vertical="center" wrapText="1"/>
    </xf>
    <xf numFmtId="174" fontId="14" fillId="24" borderId="16" xfId="7" applyNumberFormat="1" applyFont="1" applyFill="1" applyBorder="1" applyAlignment="1">
      <alignment horizontal="right" vertical="center" wrapText="1"/>
    </xf>
    <xf numFmtId="174" fontId="14" fillId="24" borderId="17" xfId="7" applyNumberFormat="1" applyFont="1" applyFill="1" applyBorder="1" applyAlignment="1">
      <alignment horizontal="right" vertical="center" wrapText="1"/>
    </xf>
    <xf numFmtId="173" fontId="14" fillId="24" borderId="17" xfId="7" applyNumberFormat="1" applyFont="1" applyFill="1" applyBorder="1" applyAlignment="1">
      <alignment horizontal="right" vertical="center" wrapText="1"/>
    </xf>
    <xf numFmtId="174" fontId="14" fillId="24" borderId="18" xfId="7" applyNumberFormat="1" applyFont="1" applyFill="1" applyBorder="1" applyAlignment="1">
      <alignment horizontal="right" vertical="center" wrapText="1"/>
    </xf>
    <xf numFmtId="176" fontId="14" fillId="24" borderId="18" xfId="9" applyFont="1" applyFill="1" applyBorder="1" applyAlignment="1" applyProtection="1">
      <alignment horizontal="right" vertical="center" wrapText="1"/>
      <protection locked="0"/>
    </xf>
    <xf numFmtId="173" fontId="8" fillId="0" borderId="20" xfId="7" applyNumberFormat="1" applyFont="1" applyBorder="1" applyAlignment="1">
      <alignment horizontal="left" vertical="center" wrapText="1"/>
    </xf>
    <xf numFmtId="173" fontId="8" fillId="0" borderId="20" xfId="7" applyNumberFormat="1" applyFont="1" applyBorder="1" applyAlignment="1">
      <alignment horizontal="justify" vertical="center" wrapText="1"/>
    </xf>
    <xf numFmtId="0" fontId="8" fillId="0" borderId="20" xfId="7" applyFont="1" applyBorder="1" applyAlignment="1" applyProtection="1">
      <alignment horizontal="center" vertical="center" wrapText="1"/>
      <protection locked="0"/>
    </xf>
    <xf numFmtId="0" fontId="8" fillId="0" borderId="16" xfId="7" applyFont="1" applyBorder="1" applyAlignment="1">
      <alignment horizontal="right" vertical="center"/>
    </xf>
    <xf numFmtId="173" fontId="8" fillId="0" borderId="17" xfId="7" applyNumberFormat="1" applyFont="1" applyBorder="1" applyAlignment="1">
      <alignment horizontal="right" vertical="center"/>
    </xf>
    <xf numFmtId="174" fontId="8" fillId="0" borderId="18" xfId="5" applyNumberFormat="1" applyFont="1" applyBorder="1" applyAlignment="1">
      <alignment horizontal="right" vertical="center"/>
    </xf>
    <xf numFmtId="176" fontId="8" fillId="0" borderId="18" xfId="9" applyFont="1" applyFill="1" applyBorder="1" applyAlignment="1">
      <alignment horizontal="right" vertical="center"/>
    </xf>
    <xf numFmtId="4" fontId="14" fillId="23" borderId="18" xfId="9" applyNumberFormat="1" applyFont="1" applyFill="1" applyBorder="1" applyAlignment="1" applyProtection="1">
      <alignment horizontal="right" vertical="center"/>
      <protection locked="0"/>
    </xf>
    <xf numFmtId="0" fontId="14" fillId="25" borderId="20" xfId="7" applyFont="1" applyFill="1" applyBorder="1" applyAlignment="1">
      <alignment horizontal="left" vertical="center"/>
    </xf>
    <xf numFmtId="173" fontId="14" fillId="25" borderId="20" xfId="7" applyNumberFormat="1" applyFont="1" applyFill="1" applyBorder="1" applyAlignment="1">
      <alignment horizontal="justify" vertical="center" wrapText="1"/>
    </xf>
    <xf numFmtId="0" fontId="17" fillId="25" borderId="20" xfId="7" applyFont="1" applyFill="1" applyBorder="1" applyAlignment="1" applyProtection="1">
      <alignment horizontal="center" vertical="center" wrapText="1"/>
      <protection locked="0"/>
    </xf>
    <xf numFmtId="0" fontId="17" fillId="25" borderId="16" xfId="7" applyFont="1" applyFill="1" applyBorder="1" applyAlignment="1">
      <alignment horizontal="right" vertical="center"/>
    </xf>
    <xf numFmtId="173" fontId="17" fillId="25" borderId="17" xfId="7" applyNumberFormat="1" applyFont="1" applyFill="1" applyBorder="1" applyAlignment="1">
      <alignment horizontal="right" vertical="center"/>
    </xf>
    <xf numFmtId="174" fontId="17" fillId="25" borderId="18" xfId="7" applyNumberFormat="1" applyFont="1" applyFill="1" applyBorder="1" applyAlignment="1">
      <alignment horizontal="right" vertical="center"/>
    </xf>
    <xf numFmtId="4" fontId="8" fillId="25" borderId="18" xfId="9" applyNumberFormat="1" applyFont="1" applyFill="1" applyBorder="1" applyAlignment="1" applyProtection="1">
      <alignment horizontal="right" vertical="center" wrapText="1"/>
      <protection locked="0"/>
    </xf>
    <xf numFmtId="176" fontId="8" fillId="25" borderId="18" xfId="9" applyFont="1" applyFill="1" applyBorder="1" applyAlignment="1" applyProtection="1">
      <alignment horizontal="right" vertical="center" wrapText="1"/>
      <protection locked="0"/>
    </xf>
    <xf numFmtId="4" fontId="8" fillId="0" borderId="18" xfId="9" applyNumberFormat="1" applyFont="1" applyFill="1" applyBorder="1" applyAlignment="1">
      <alignment horizontal="right" vertical="center"/>
    </xf>
    <xf numFmtId="4" fontId="8" fillId="0" borderId="18" xfId="5" applyNumberFormat="1" applyFont="1" applyBorder="1" applyAlignment="1">
      <alignment horizontal="center" vertical="center" wrapText="1"/>
    </xf>
    <xf numFmtId="4" fontId="14" fillId="23" borderId="18" xfId="9" applyNumberFormat="1" applyFont="1" applyFill="1" applyBorder="1" applyAlignment="1">
      <alignment horizontal="right" vertical="center"/>
    </xf>
    <xf numFmtId="176" fontId="14" fillId="23" borderId="18" xfId="9" applyFont="1" applyFill="1" applyBorder="1" applyAlignment="1">
      <alignment horizontal="right" vertical="center"/>
    </xf>
    <xf numFmtId="4" fontId="8" fillId="0" borderId="18" xfId="9" applyNumberFormat="1" applyFont="1" applyFill="1" applyBorder="1" applyAlignment="1">
      <alignment horizontal="right" vertical="center" wrapText="1"/>
    </xf>
    <xf numFmtId="4" fontId="14" fillId="25" borderId="18" xfId="9" applyNumberFormat="1" applyFont="1" applyFill="1" applyBorder="1" applyAlignment="1" applyProtection="1">
      <alignment horizontal="right" vertical="center" wrapText="1"/>
      <protection locked="0"/>
    </xf>
    <xf numFmtId="176" fontId="14" fillId="25" borderId="18" xfId="9" applyFont="1" applyFill="1" applyBorder="1" applyAlignment="1" applyProtection="1">
      <alignment horizontal="right" vertical="center" wrapText="1"/>
      <protection locked="0"/>
    </xf>
    <xf numFmtId="4" fontId="14" fillId="24" borderId="18" xfId="9" applyNumberFormat="1" applyFont="1" applyFill="1" applyBorder="1" applyAlignment="1">
      <alignment horizontal="right" vertical="center" wrapText="1"/>
    </xf>
    <xf numFmtId="176" fontId="14" fillId="24" borderId="18" xfId="9" applyFont="1" applyFill="1" applyBorder="1" applyAlignment="1">
      <alignment horizontal="right" vertical="center" wrapText="1"/>
    </xf>
    <xf numFmtId="4" fontId="8" fillId="21" borderId="18" xfId="5" applyNumberFormat="1" applyFont="1" applyFill="1" applyBorder="1" applyAlignment="1">
      <alignment horizontal="center" vertical="center" wrapText="1"/>
    </xf>
    <xf numFmtId="4" fontId="14" fillId="21" borderId="18" xfId="5" applyNumberFormat="1" applyFont="1" applyFill="1" applyBorder="1" applyAlignment="1">
      <alignment horizontal="center" vertical="center" wrapText="1"/>
    </xf>
    <xf numFmtId="174" fontId="14" fillId="19" borderId="20" xfId="5" applyNumberFormat="1" applyFont="1" applyFill="1" applyBorder="1" applyAlignment="1">
      <alignment horizontal="center" vertical="center"/>
    </xf>
    <xf numFmtId="174" fontId="14" fillId="19" borderId="16" xfId="5" applyNumberFormat="1" applyFont="1" applyFill="1" applyBorder="1" applyAlignment="1">
      <alignment horizontal="right" vertical="center"/>
    </xf>
    <xf numFmtId="173" fontId="14" fillId="19" borderId="17" xfId="5" applyNumberFormat="1" applyFont="1" applyFill="1" applyBorder="1" applyAlignment="1">
      <alignment horizontal="right" vertical="center"/>
    </xf>
    <xf numFmtId="174" fontId="14" fillId="19" borderId="18" xfId="5" applyNumberFormat="1" applyFont="1" applyFill="1" applyBorder="1" applyAlignment="1">
      <alignment horizontal="right" vertical="center"/>
    </xf>
    <xf numFmtId="4" fontId="14" fillId="19" borderId="18" xfId="9" applyNumberFormat="1" applyFont="1" applyFill="1" applyBorder="1" applyAlignment="1">
      <alignment horizontal="right" vertical="center"/>
    </xf>
    <xf numFmtId="176" fontId="14" fillId="19" borderId="18" xfId="9" applyFont="1" applyFill="1" applyBorder="1" applyAlignment="1">
      <alignment horizontal="right" vertical="center"/>
    </xf>
    <xf numFmtId="0" fontId="8" fillId="0" borderId="16" xfId="7" applyFont="1" applyBorder="1" applyAlignment="1">
      <alignment horizontal="right" vertical="center" wrapText="1"/>
    </xf>
    <xf numFmtId="173" fontId="8" fillId="0" borderId="17" xfId="7" applyNumberFormat="1" applyFont="1" applyBorder="1" applyAlignment="1">
      <alignment horizontal="right" vertical="center" wrapText="1"/>
    </xf>
    <xf numFmtId="174" fontId="14" fillId="26" borderId="23" xfId="7" applyNumberFormat="1" applyFont="1" applyFill="1" applyBorder="1" applyAlignment="1">
      <alignment horizontal="center" vertical="center" wrapText="1"/>
    </xf>
    <xf numFmtId="173" fontId="14" fillId="26" borderId="23" xfId="7" applyNumberFormat="1" applyFont="1" applyFill="1" applyBorder="1" applyAlignment="1">
      <alignment horizontal="justify" vertical="center" wrapText="1"/>
    </xf>
    <xf numFmtId="174" fontId="14" fillId="26" borderId="24" xfId="7" applyNumberFormat="1" applyFont="1" applyFill="1" applyBorder="1" applyAlignment="1">
      <alignment horizontal="center" vertical="center" wrapText="1"/>
    </xf>
    <xf numFmtId="174" fontId="14" fillId="26" borderId="25" xfId="7" applyNumberFormat="1" applyFont="1" applyFill="1" applyBorder="1" applyAlignment="1">
      <alignment horizontal="center" vertical="center" wrapText="1"/>
    </xf>
    <xf numFmtId="173" fontId="14" fillId="26" borderId="25" xfId="7" applyNumberFormat="1" applyFont="1" applyFill="1" applyBorder="1" applyAlignment="1">
      <alignment horizontal="center" vertical="center" wrapText="1"/>
    </xf>
    <xf numFmtId="174" fontId="14" fillId="26" borderId="26" xfId="7" applyNumberFormat="1" applyFont="1" applyFill="1" applyBorder="1" applyAlignment="1">
      <alignment horizontal="center" vertical="center" wrapText="1"/>
    </xf>
    <xf numFmtId="4" fontId="14" fillId="26" borderId="23" xfId="9" applyNumberFormat="1" applyFont="1" applyFill="1" applyBorder="1" applyAlignment="1">
      <alignment horizontal="right" vertical="center" wrapText="1"/>
    </xf>
    <xf numFmtId="176" fontId="14" fillId="26" borderId="23" xfId="9" applyFont="1" applyFill="1" applyBorder="1" applyAlignment="1">
      <alignment horizontal="right" vertical="center" wrapText="1"/>
    </xf>
    <xf numFmtId="4" fontId="14" fillId="18" borderId="18" xfId="5" applyNumberFormat="1" applyFont="1" applyFill="1" applyBorder="1" applyAlignment="1">
      <alignment horizontal="center" vertical="center"/>
    </xf>
    <xf numFmtId="0" fontId="18" fillId="23" borderId="20" xfId="7" applyFont="1" applyFill="1" applyBorder="1" applyAlignment="1">
      <alignment horizontal="left" vertical="center"/>
    </xf>
    <xf numFmtId="0" fontId="18" fillId="23" borderId="20" xfId="8" applyFont="1" applyFill="1" applyBorder="1" applyAlignment="1">
      <alignment vertical="center"/>
    </xf>
    <xf numFmtId="0" fontId="18" fillId="23" borderId="16" xfId="8" applyFont="1" applyFill="1" applyBorder="1" applyAlignment="1">
      <alignment horizontal="right" vertical="center"/>
    </xf>
    <xf numFmtId="0" fontId="18" fillId="23" borderId="17" xfId="8" applyFont="1" applyFill="1" applyBorder="1" applyAlignment="1">
      <alignment horizontal="right" vertical="center"/>
    </xf>
    <xf numFmtId="173" fontId="18" fillId="23" borderId="17" xfId="8" applyNumberFormat="1" applyFont="1" applyFill="1" applyBorder="1" applyAlignment="1">
      <alignment horizontal="right" vertical="center"/>
    </xf>
    <xf numFmtId="174" fontId="18" fillId="23" borderId="18" xfId="8" applyNumberFormat="1" applyFont="1" applyFill="1" applyBorder="1" applyAlignment="1">
      <alignment horizontal="right" vertical="center"/>
    </xf>
    <xf numFmtId="4" fontId="18" fillId="23" borderId="18" xfId="9" applyNumberFormat="1" applyFont="1" applyFill="1" applyBorder="1" applyAlignment="1">
      <alignment horizontal="right" vertical="center"/>
    </xf>
    <xf numFmtId="176" fontId="18" fillId="23" borderId="18" xfId="9" applyFont="1" applyFill="1" applyBorder="1" applyAlignment="1">
      <alignment horizontal="right" vertical="center"/>
    </xf>
    <xf numFmtId="4" fontId="14" fillId="21" borderId="17" xfId="5" applyNumberFormat="1" applyFont="1" applyFill="1" applyBorder="1" applyAlignment="1">
      <alignment horizontal="center" vertical="center" wrapText="1"/>
    </xf>
    <xf numFmtId="174" fontId="18" fillId="26" borderId="24" xfId="7" applyNumberFormat="1" applyFont="1" applyFill="1" applyBorder="1" applyAlignment="1">
      <alignment horizontal="center" vertical="center" wrapText="1"/>
    </xf>
    <xf numFmtId="174" fontId="18" fillId="26" borderId="25" xfId="7" applyNumberFormat="1" applyFont="1" applyFill="1" applyBorder="1" applyAlignment="1">
      <alignment horizontal="center" vertical="center" wrapText="1"/>
    </xf>
    <xf numFmtId="173" fontId="18" fillId="26" borderId="25" xfId="7" applyNumberFormat="1" applyFont="1" applyFill="1" applyBorder="1" applyAlignment="1">
      <alignment horizontal="center" vertical="center" wrapText="1"/>
    </xf>
    <xf numFmtId="174" fontId="18" fillId="26" borderId="26" xfId="7" applyNumberFormat="1" applyFont="1" applyFill="1" applyBorder="1" applyAlignment="1">
      <alignment horizontal="center" vertical="center" wrapText="1"/>
    </xf>
    <xf numFmtId="176" fontId="14" fillId="23" borderId="18" xfId="9" applyFont="1" applyFill="1" applyBorder="1" applyAlignment="1">
      <alignment horizontal="center" vertical="center"/>
    </xf>
    <xf numFmtId="176" fontId="14" fillId="24" borderId="18" xfId="9" applyFont="1" applyFill="1" applyBorder="1" applyAlignment="1">
      <alignment horizontal="center" vertical="center" wrapText="1"/>
    </xf>
    <xf numFmtId="176" fontId="14" fillId="25" borderId="18" xfId="9" applyFont="1" applyFill="1" applyBorder="1" applyAlignment="1" applyProtection="1">
      <alignment horizontal="center" vertical="center" wrapText="1"/>
      <protection locked="0"/>
    </xf>
    <xf numFmtId="0" fontId="8" fillId="25" borderId="20" xfId="7" applyFont="1" applyFill="1" applyBorder="1" applyAlignment="1">
      <alignment horizontal="left" vertical="center"/>
    </xf>
    <xf numFmtId="173" fontId="8" fillId="25" borderId="20" xfId="7" applyNumberFormat="1" applyFont="1" applyFill="1" applyBorder="1" applyAlignment="1">
      <alignment horizontal="justify" vertical="center" wrapText="1"/>
    </xf>
    <xf numFmtId="0" fontId="19" fillId="25" borderId="20" xfId="7" applyFont="1" applyFill="1" applyBorder="1" applyAlignment="1" applyProtection="1">
      <alignment horizontal="center" vertical="center" wrapText="1"/>
      <protection locked="0"/>
    </xf>
    <xf numFmtId="0" fontId="19" fillId="25" borderId="16" xfId="7" applyFont="1" applyFill="1" applyBorder="1" applyAlignment="1">
      <alignment horizontal="right" vertical="center"/>
    </xf>
    <xf numFmtId="173" fontId="19" fillId="25" borderId="17" xfId="7" applyNumberFormat="1" applyFont="1" applyFill="1" applyBorder="1" applyAlignment="1">
      <alignment horizontal="right" vertical="center"/>
    </xf>
    <xf numFmtId="174" fontId="19" fillId="25" borderId="18" xfId="7" applyNumberFormat="1" applyFont="1" applyFill="1" applyBorder="1" applyAlignment="1">
      <alignment horizontal="right" vertical="center"/>
    </xf>
    <xf numFmtId="176" fontId="8" fillId="25" borderId="18" xfId="9" applyFont="1" applyFill="1" applyBorder="1" applyAlignment="1" applyProtection="1">
      <alignment horizontal="center" vertical="center" wrapText="1"/>
      <protection locked="0"/>
    </xf>
    <xf numFmtId="173" fontId="8" fillId="17" borderId="20" xfId="7" applyNumberFormat="1" applyFont="1" applyFill="1" applyBorder="1" applyAlignment="1">
      <alignment horizontal="left" vertical="center" wrapText="1"/>
    </xf>
    <xf numFmtId="173" fontId="8" fillId="17" borderId="20" xfId="7" applyNumberFormat="1" applyFont="1" applyFill="1" applyBorder="1" applyAlignment="1">
      <alignment horizontal="justify" vertical="center" wrapText="1"/>
    </xf>
    <xf numFmtId="0" fontId="8" fillId="17" borderId="20" xfId="7" applyFont="1" applyFill="1" applyBorder="1" applyAlignment="1" applyProtection="1">
      <alignment horizontal="center" vertical="center" wrapText="1"/>
      <protection locked="0"/>
    </xf>
    <xf numFmtId="0" fontId="8" fillId="17" borderId="16" xfId="7" applyFont="1" applyFill="1" applyBorder="1" applyAlignment="1">
      <alignment horizontal="right" vertical="center"/>
    </xf>
    <xf numFmtId="173" fontId="8" fillId="17" borderId="17" xfId="7" applyNumberFormat="1" applyFont="1" applyFill="1" applyBorder="1" applyAlignment="1">
      <alignment horizontal="right" vertical="center"/>
    </xf>
    <xf numFmtId="174" fontId="8" fillId="17" borderId="18" xfId="5" applyNumberFormat="1" applyFont="1" applyFill="1" applyBorder="1" applyAlignment="1">
      <alignment horizontal="center" vertical="center" wrapText="1"/>
    </xf>
    <xf numFmtId="176" fontId="8" fillId="17" borderId="18" xfId="9" applyFont="1" applyFill="1" applyBorder="1" applyAlignment="1">
      <alignment horizontal="right" vertical="center"/>
    </xf>
    <xf numFmtId="4" fontId="8" fillId="17" borderId="18" xfId="5" applyNumberFormat="1" applyFont="1" applyFill="1" applyBorder="1" applyAlignment="1">
      <alignment horizontal="center" vertical="center" wrapText="1"/>
    </xf>
    <xf numFmtId="4" fontId="8" fillId="17" borderId="18" xfId="5" applyNumberFormat="1" applyFont="1" applyFill="1" applyBorder="1" applyAlignment="1">
      <alignment horizontal="right" vertical="center" wrapText="1"/>
    </xf>
    <xf numFmtId="175" fontId="8" fillId="17" borderId="18" xfId="5" applyNumberFormat="1" applyFont="1" applyFill="1" applyBorder="1" applyAlignment="1">
      <alignment horizontal="center" vertical="center" wrapText="1"/>
    </xf>
    <xf numFmtId="4" fontId="8" fillId="17" borderId="20" xfId="4" applyNumberFormat="1" applyFont="1" applyFill="1" applyBorder="1" applyAlignment="1">
      <alignment horizontal="center" vertical="center" wrapText="1"/>
    </xf>
    <xf numFmtId="4" fontId="8" fillId="17" borderId="20" xfId="5" applyNumberFormat="1" applyFont="1" applyFill="1" applyBorder="1" applyAlignment="1">
      <alignment horizontal="right" vertical="center" wrapText="1"/>
    </xf>
    <xf numFmtId="175" fontId="8" fillId="17" borderId="18" xfId="4" applyNumberFormat="1" applyFont="1" applyFill="1" applyBorder="1" applyAlignment="1">
      <alignment horizontal="center" vertical="center" wrapText="1"/>
    </xf>
    <xf numFmtId="4" fontId="8" fillId="17" borderId="20" xfId="4" applyNumberFormat="1" applyFont="1" applyFill="1" applyBorder="1" applyAlignment="1">
      <alignment horizontal="right" vertical="center" wrapText="1"/>
    </xf>
    <xf numFmtId="174" fontId="8" fillId="17" borderId="18" xfId="5" applyNumberFormat="1" applyFont="1" applyFill="1" applyBorder="1" applyAlignment="1">
      <alignment horizontal="right" vertical="center"/>
    </xf>
    <xf numFmtId="176" fontId="8" fillId="17" borderId="18" xfId="9" applyFont="1" applyFill="1" applyBorder="1" applyAlignment="1">
      <alignment horizontal="right" vertical="center" wrapText="1"/>
    </xf>
    <xf numFmtId="4" fontId="8" fillId="17" borderId="20" xfId="5" applyNumberFormat="1" applyFont="1" applyFill="1" applyBorder="1" applyAlignment="1">
      <alignment horizontal="center" vertical="center" wrapText="1"/>
    </xf>
    <xf numFmtId="4" fontId="8" fillId="17" borderId="18" xfId="4" applyNumberFormat="1" applyFont="1" applyFill="1" applyBorder="1" applyAlignment="1">
      <alignment horizontal="center" vertical="center" wrapText="1"/>
    </xf>
    <xf numFmtId="173" fontId="8" fillId="25" borderId="20" xfId="5" applyNumberFormat="1" applyFont="1" applyFill="1" applyBorder="1" applyAlignment="1">
      <alignment vertical="center" wrapText="1"/>
    </xf>
    <xf numFmtId="173" fontId="8" fillId="25" borderId="20" xfId="5" applyNumberFormat="1" applyFont="1" applyFill="1" applyBorder="1" applyAlignment="1">
      <alignment horizontal="center" vertical="center" wrapText="1"/>
    </xf>
    <xf numFmtId="173" fontId="8" fillId="25" borderId="16" xfId="5" applyNumberFormat="1" applyFont="1" applyFill="1" applyBorder="1" applyAlignment="1">
      <alignment horizontal="right" vertical="center" wrapText="1"/>
    </xf>
    <xf numFmtId="174" fontId="8" fillId="25" borderId="17" xfId="5" applyNumberFormat="1" applyFont="1" applyFill="1" applyBorder="1" applyAlignment="1">
      <alignment horizontal="right" vertical="center" wrapText="1"/>
    </xf>
    <xf numFmtId="173" fontId="8" fillId="25" borderId="17" xfId="5" applyNumberFormat="1" applyFont="1" applyFill="1" applyBorder="1" applyAlignment="1">
      <alignment horizontal="right" vertical="center" wrapText="1"/>
    </xf>
    <xf numFmtId="174" fontId="17" fillId="25" borderId="18" xfId="5" applyNumberFormat="1" applyFont="1" applyFill="1" applyBorder="1" applyAlignment="1" applyProtection="1">
      <alignment horizontal="right" vertical="center" wrapText="1"/>
      <protection locked="0"/>
    </xf>
    <xf numFmtId="4" fontId="14" fillId="26" borderId="23" xfId="9" applyNumberFormat="1" applyFont="1" applyFill="1" applyBorder="1" applyAlignment="1">
      <alignment horizontal="center" vertical="center" wrapText="1"/>
    </xf>
    <xf numFmtId="0" fontId="14" fillId="21" borderId="20" xfId="5" applyFont="1" applyFill="1" applyBorder="1" applyAlignment="1">
      <alignment horizontal="left" vertical="center" wrapText="1"/>
    </xf>
    <xf numFmtId="0" fontId="8" fillId="21" borderId="20" xfId="5" applyFont="1" applyFill="1" applyBorder="1" applyAlignment="1">
      <alignment horizontal="left" vertical="center" wrapText="1"/>
    </xf>
    <xf numFmtId="0" fontId="8" fillId="17" borderId="20" xfId="5" applyFont="1" applyFill="1" applyBorder="1" applyAlignment="1">
      <alignment horizontal="left" vertical="center" wrapText="1"/>
    </xf>
    <xf numFmtId="173" fontId="8" fillId="17" borderId="20" xfId="5" applyNumberFormat="1" applyFont="1" applyFill="1" applyBorder="1" applyAlignment="1">
      <alignment horizontal="left" vertical="center" wrapText="1"/>
    </xf>
    <xf numFmtId="173" fontId="8" fillId="17" borderId="16" xfId="5" applyNumberFormat="1" applyFont="1" applyFill="1" applyBorder="1" applyAlignment="1">
      <alignment horizontal="center" vertical="center" wrapText="1"/>
    </xf>
    <xf numFmtId="173" fontId="8" fillId="17" borderId="17" xfId="5" applyNumberFormat="1" applyFont="1" applyFill="1" applyBorder="1" applyAlignment="1">
      <alignment horizontal="center" vertical="center" wrapText="1"/>
    </xf>
    <xf numFmtId="0" fontId="8" fillId="17" borderId="20" xfId="5" applyFont="1" applyFill="1" applyBorder="1" applyAlignment="1">
      <alignment vertical="center" wrapText="1"/>
    </xf>
    <xf numFmtId="49" fontId="8" fillId="17" borderId="20" xfId="5" applyNumberFormat="1" applyFont="1" applyFill="1" applyBorder="1" applyAlignment="1">
      <alignment vertical="center" wrapText="1"/>
    </xf>
    <xf numFmtId="49" fontId="8" fillId="17" borderId="16" xfId="5" applyNumberFormat="1" applyFont="1" applyFill="1" applyBorder="1" applyAlignment="1">
      <alignment horizontal="center" vertical="center" wrapText="1"/>
    </xf>
    <xf numFmtId="49" fontId="8" fillId="17" borderId="17" xfId="5" applyNumberFormat="1" applyFont="1" applyFill="1" applyBorder="1" applyAlignment="1">
      <alignment horizontal="center" vertical="center" wrapText="1"/>
    </xf>
    <xf numFmtId="0" fontId="8" fillId="21" borderId="16" xfId="5" applyFont="1" applyFill="1" applyBorder="1" applyAlignment="1">
      <alignment vertical="center" wrapText="1"/>
    </xf>
    <xf numFmtId="0" fontId="8" fillId="17" borderId="20" xfId="7" applyFont="1" applyFill="1" applyBorder="1" applyAlignment="1">
      <alignment horizontal="left" vertical="center" wrapText="1"/>
    </xf>
    <xf numFmtId="0" fontId="8" fillId="17" borderId="27" xfId="4" applyFont="1" applyFill="1" applyBorder="1" applyAlignment="1">
      <alignment horizontal="center" vertical="center"/>
    </xf>
    <xf numFmtId="174" fontId="8" fillId="17" borderId="17" xfId="5" applyNumberFormat="1" applyFont="1" applyFill="1" applyBorder="1" applyAlignment="1">
      <alignment horizontal="center" vertical="center" wrapText="1"/>
    </xf>
    <xf numFmtId="0" fontId="8" fillId="17" borderId="28" xfId="4" applyFont="1" applyFill="1" applyBorder="1" applyAlignment="1">
      <alignment horizontal="center" vertical="center"/>
    </xf>
    <xf numFmtId="49" fontId="8" fillId="17" borderId="16" xfId="5" applyNumberFormat="1" applyFont="1" applyFill="1" applyBorder="1" applyAlignment="1">
      <alignment vertical="center" wrapText="1"/>
    </xf>
    <xf numFmtId="175" fontId="8" fillId="17" borderId="17" xfId="5" applyNumberFormat="1" applyFont="1" applyFill="1" applyBorder="1" applyAlignment="1">
      <alignment horizontal="center" vertical="center" wrapText="1"/>
    </xf>
    <xf numFmtId="4" fontId="8" fillId="17" borderId="16" xfId="5" applyNumberFormat="1" applyFont="1" applyFill="1" applyBorder="1" applyAlignment="1">
      <alignment horizontal="center" vertical="center" wrapText="1"/>
    </xf>
    <xf numFmtId="173" fontId="8" fillId="17" borderId="24" xfId="5" applyNumberFormat="1" applyFont="1" applyFill="1" applyBorder="1" applyAlignment="1">
      <alignment horizontal="center" vertical="center" wrapText="1"/>
    </xf>
    <xf numFmtId="173" fontId="8" fillId="17" borderId="25" xfId="5" applyNumberFormat="1" applyFont="1" applyFill="1" applyBorder="1" applyAlignment="1">
      <alignment horizontal="center" vertical="center" wrapText="1"/>
    </xf>
    <xf numFmtId="2" fontId="8" fillId="17" borderId="18" xfId="9" applyNumberFormat="1" applyFont="1" applyFill="1" applyBorder="1" applyAlignment="1">
      <alignment horizontal="center" vertical="center"/>
    </xf>
    <xf numFmtId="173" fontId="8" fillId="17" borderId="17" xfId="5" applyNumberFormat="1" applyFont="1" applyFill="1" applyBorder="1" applyAlignment="1">
      <alignment horizontal="right" vertical="center"/>
    </xf>
    <xf numFmtId="2" fontId="8" fillId="17" borderId="18" xfId="9" applyNumberFormat="1" applyFont="1" applyFill="1" applyBorder="1" applyAlignment="1">
      <alignment horizontal="center" vertical="center" wrapText="1"/>
    </xf>
    <xf numFmtId="0" fontId="8" fillId="17" borderId="16" xfId="7" applyFont="1" applyFill="1" applyBorder="1" applyAlignment="1">
      <alignment horizontal="right" vertical="center" wrapText="1"/>
    </xf>
    <xf numFmtId="173" fontId="8" fillId="17" borderId="17" xfId="7" applyNumberFormat="1" applyFont="1" applyFill="1" applyBorder="1" applyAlignment="1">
      <alignment horizontal="right" vertical="center" wrapText="1"/>
    </xf>
    <xf numFmtId="0" fontId="8" fillId="25" borderId="20" xfId="5" applyFont="1" applyFill="1" applyBorder="1" applyAlignment="1">
      <alignment vertical="center"/>
    </xf>
    <xf numFmtId="174" fontId="8" fillId="17" borderId="18" xfId="7" applyNumberFormat="1" applyFont="1" applyFill="1" applyBorder="1" applyAlignment="1">
      <alignment horizontal="right" vertical="center"/>
    </xf>
    <xf numFmtId="174" fontId="19" fillId="25" borderId="18" xfId="5" applyNumberFormat="1" applyFont="1" applyFill="1" applyBorder="1" applyAlignment="1" applyProtection="1">
      <alignment horizontal="right" vertical="center" wrapText="1"/>
      <protection locked="0"/>
    </xf>
    <xf numFmtId="0" fontId="14" fillId="25" borderId="20" xfId="5" applyFont="1" applyFill="1" applyBorder="1" applyAlignment="1">
      <alignment vertical="center"/>
    </xf>
    <xf numFmtId="173" fontId="14" fillId="25" borderId="20" xfId="5" applyNumberFormat="1" applyFont="1" applyFill="1" applyBorder="1" applyAlignment="1">
      <alignment horizontal="center" vertical="center" wrapText="1"/>
    </xf>
    <xf numFmtId="173" fontId="14" fillId="25" borderId="16" xfId="5" applyNumberFormat="1" applyFont="1" applyFill="1" applyBorder="1" applyAlignment="1">
      <alignment horizontal="right" vertical="center" wrapText="1"/>
    </xf>
    <xf numFmtId="174" fontId="14" fillId="25" borderId="17" xfId="5" applyNumberFormat="1" applyFont="1" applyFill="1" applyBorder="1" applyAlignment="1">
      <alignment horizontal="right" vertical="center" wrapText="1"/>
    </xf>
    <xf numFmtId="173" fontId="14" fillId="25" borderId="17" xfId="5" applyNumberFormat="1" applyFont="1" applyFill="1" applyBorder="1" applyAlignment="1">
      <alignment horizontal="right" vertical="center" wrapText="1"/>
    </xf>
    <xf numFmtId="0" fontId="14" fillId="0" borderId="0" xfId="4" applyFont="1" applyAlignment="1">
      <alignment vertical="center"/>
    </xf>
    <xf numFmtId="2" fontId="8" fillId="17" borderId="18" xfId="5" applyNumberFormat="1" applyFont="1" applyFill="1" applyBorder="1" applyAlignment="1">
      <alignment horizontal="center" vertical="center" wrapText="1"/>
    </xf>
    <xf numFmtId="173" fontId="8" fillId="17" borderId="23" xfId="7" applyNumberFormat="1" applyFont="1" applyFill="1" applyBorder="1" applyAlignment="1">
      <alignment horizontal="justify" vertical="center" wrapText="1"/>
    </xf>
    <xf numFmtId="0" fontId="8" fillId="17" borderId="23" xfId="7" applyFont="1" applyFill="1" applyBorder="1" applyAlignment="1" applyProtection="1">
      <alignment horizontal="center" vertical="center" wrapText="1"/>
      <protection locked="0"/>
    </xf>
    <xf numFmtId="176" fontId="19" fillId="25" borderId="18" xfId="9" applyFont="1" applyFill="1" applyBorder="1" applyAlignment="1" applyProtection="1">
      <alignment horizontal="right" vertical="center" wrapText="1"/>
      <protection locked="0"/>
    </xf>
    <xf numFmtId="43" fontId="8" fillId="27" borderId="18" xfId="10" applyFont="1" applyFill="1" applyBorder="1" applyAlignment="1" applyProtection="1">
      <alignment horizontal="right" vertical="center" wrapText="1"/>
      <protection locked="0"/>
    </xf>
    <xf numFmtId="43" fontId="17" fillId="25" borderId="18" xfId="10" applyFont="1" applyFill="1" applyBorder="1" applyAlignment="1">
      <alignment horizontal="right" vertical="center"/>
    </xf>
    <xf numFmtId="43" fontId="8" fillId="25" borderId="18" xfId="10" applyFont="1" applyFill="1" applyBorder="1" applyAlignment="1" applyProtection="1">
      <alignment horizontal="right" vertical="center" wrapText="1"/>
      <protection locked="0"/>
    </xf>
    <xf numFmtId="43" fontId="8" fillId="17" borderId="18" xfId="10" applyFont="1" applyFill="1" applyBorder="1" applyAlignment="1">
      <alignment horizontal="right" vertical="center"/>
    </xf>
    <xf numFmtId="2" fontId="8" fillId="17" borderId="18" xfId="10" applyNumberFormat="1" applyFont="1" applyFill="1" applyBorder="1" applyAlignment="1">
      <alignment horizontal="center" vertical="center"/>
    </xf>
    <xf numFmtId="176" fontId="8" fillId="20" borderId="18" xfId="9" applyFont="1" applyFill="1" applyBorder="1" applyAlignment="1" applyProtection="1">
      <alignment horizontal="right" vertical="center" wrapText="1"/>
      <protection locked="0"/>
    </xf>
    <xf numFmtId="173" fontId="14" fillId="22" borderId="18" xfId="4" applyNumberFormat="1" applyFont="1" applyFill="1" applyBorder="1" applyAlignment="1">
      <alignment horizontal="center" vertical="center" wrapText="1"/>
    </xf>
    <xf numFmtId="173" fontId="14" fillId="22" borderId="29" xfId="4" applyNumberFormat="1" applyFont="1" applyFill="1" applyBorder="1" applyAlignment="1">
      <alignment horizontal="justify" vertical="center" wrapText="1"/>
    </xf>
    <xf numFmtId="173" fontId="14" fillId="22" borderId="30" xfId="4" applyNumberFormat="1" applyFont="1" applyFill="1" applyBorder="1" applyAlignment="1">
      <alignment horizontal="center" vertical="center" wrapText="1"/>
    </xf>
    <xf numFmtId="173" fontId="14" fillId="22" borderId="31" xfId="4" applyNumberFormat="1" applyFont="1" applyFill="1" applyBorder="1" applyAlignment="1">
      <alignment horizontal="center" vertical="center" wrapText="1"/>
    </xf>
    <xf numFmtId="173" fontId="14" fillId="22" borderId="32" xfId="4" applyNumberFormat="1" applyFont="1" applyFill="1" applyBorder="1" applyAlignment="1">
      <alignment horizontal="center" vertical="center" wrapText="1"/>
    </xf>
    <xf numFmtId="175" fontId="14" fillId="22" borderId="32" xfId="4" applyNumberFormat="1" applyFont="1" applyFill="1" applyBorder="1" applyAlignment="1">
      <alignment horizontal="center" vertical="center" wrapText="1"/>
    </xf>
    <xf numFmtId="4" fontId="14" fillId="22" borderId="29" xfId="4" applyNumberFormat="1" applyFont="1" applyFill="1" applyBorder="1" applyAlignment="1">
      <alignment horizontal="center" vertical="center" wrapText="1"/>
    </xf>
    <xf numFmtId="4" fontId="14" fillId="22" borderId="29" xfId="4" applyNumberFormat="1" applyFont="1" applyFill="1" applyBorder="1" applyAlignment="1">
      <alignment horizontal="right" vertical="center" wrapText="1"/>
    </xf>
    <xf numFmtId="0" fontId="8" fillId="0" borderId="0" xfId="4" applyFont="1" applyAlignment="1">
      <alignment horizontal="center" vertical="center"/>
    </xf>
    <xf numFmtId="173" fontId="8" fillId="0" borderId="0" xfId="4" applyNumberFormat="1" applyFont="1" applyAlignment="1">
      <alignment vertical="center"/>
    </xf>
    <xf numFmtId="0" fontId="8" fillId="0" borderId="0" xfId="4" applyFont="1" applyAlignment="1">
      <alignment horizontal="right" vertical="center"/>
    </xf>
    <xf numFmtId="4" fontId="8" fillId="0" borderId="0" xfId="4" applyNumberFormat="1" applyFont="1" applyAlignment="1">
      <alignment horizontal="right" vertical="center"/>
    </xf>
    <xf numFmtId="43" fontId="8" fillId="0" borderId="0" xfId="1" applyFont="1" applyAlignment="1">
      <alignment vertical="center"/>
    </xf>
    <xf numFmtId="4" fontId="8" fillId="0" borderId="0" xfId="4" applyNumberFormat="1" applyFont="1" applyAlignment="1">
      <alignment vertical="center"/>
    </xf>
    <xf numFmtId="43" fontId="0" fillId="0" borderId="0" xfId="0" applyNumberFormat="1"/>
    <xf numFmtId="0" fontId="12" fillId="0" borderId="1" xfId="1" applyNumberFormat="1" applyFont="1" applyBorder="1" applyAlignment="1">
      <alignment horizontal="center" vertical="center"/>
    </xf>
    <xf numFmtId="0" fontId="20" fillId="0" borderId="1" xfId="0" applyFont="1" applyBorder="1" applyAlignment="1">
      <alignment horizontal="center" vertical="center"/>
    </xf>
    <xf numFmtId="9" fontId="20" fillId="0" borderId="1" xfId="2" applyFont="1" applyBorder="1" applyAlignment="1">
      <alignment horizontal="center" vertical="center"/>
    </xf>
    <xf numFmtId="0" fontId="21" fillId="0" borderId="1" xfId="0" applyFont="1" applyBorder="1" applyAlignment="1">
      <alignment horizontal="center" vertical="center"/>
    </xf>
    <xf numFmtId="9" fontId="21" fillId="0" borderId="1" xfId="2" applyFont="1" applyBorder="1" applyAlignment="1">
      <alignment horizontal="center" vertical="center"/>
    </xf>
    <xf numFmtId="43" fontId="12" fillId="0" borderId="1" xfId="1" applyFont="1" applyFill="1" applyBorder="1" applyAlignment="1">
      <alignment horizontal="center" vertical="center"/>
    </xf>
    <xf numFmtId="166" fontId="12" fillId="0" borderId="1" xfId="1" applyNumberFormat="1" applyFont="1" applyFill="1" applyBorder="1" applyAlignment="1">
      <alignment horizontal="center" vertical="center"/>
    </xf>
    <xf numFmtId="164" fontId="12" fillId="0" borderId="1" xfId="1" applyNumberFormat="1" applyFont="1" applyFill="1" applyBorder="1" applyAlignment="1">
      <alignment horizontal="center" vertical="center"/>
    </xf>
    <xf numFmtId="9" fontId="12" fillId="0" borderId="1" xfId="2" applyFont="1" applyFill="1" applyBorder="1" applyAlignment="1">
      <alignment horizontal="center" vertical="center"/>
    </xf>
    <xf numFmtId="165" fontId="12" fillId="0" borderId="1" xfId="1" applyNumberFormat="1" applyFont="1" applyFill="1" applyBorder="1" applyAlignment="1">
      <alignment horizontal="center" vertical="center"/>
    </xf>
    <xf numFmtId="177" fontId="6" fillId="0" borderId="0" xfId="1" applyNumberFormat="1" applyFont="1" applyAlignment="1">
      <alignment horizontal="center" vertical="center"/>
    </xf>
    <xf numFmtId="0" fontId="12" fillId="0" borderId="1" xfId="1" applyNumberFormat="1" applyFont="1" applyFill="1" applyBorder="1" applyAlignment="1">
      <alignment horizontal="center" vertical="center"/>
    </xf>
    <xf numFmtId="0" fontId="2" fillId="3" borderId="2" xfId="0" applyFont="1" applyFill="1" applyBorder="1" applyAlignment="1">
      <alignment horizontal="center" vertical="center" wrapText="1"/>
    </xf>
    <xf numFmtId="2" fontId="12" fillId="0" borderId="1" xfId="2" applyNumberFormat="1" applyFont="1" applyBorder="1" applyAlignment="1">
      <alignment horizontal="center" vertical="center"/>
    </xf>
    <xf numFmtId="0" fontId="12" fillId="0" borderId="1" xfId="1" applyNumberFormat="1" applyFont="1" applyFill="1" applyBorder="1" applyAlignment="1">
      <alignment horizontal="center"/>
    </xf>
    <xf numFmtId="0" fontId="12" fillId="0" borderId="1" xfId="0" applyFont="1" applyBorder="1" applyAlignment="1">
      <alignment horizontal="left" vertical="center"/>
    </xf>
    <xf numFmtId="0" fontId="12" fillId="10" borderId="1" xfId="0" applyFont="1" applyFill="1" applyBorder="1" applyAlignment="1">
      <alignment horizontal="left" vertical="center"/>
    </xf>
    <xf numFmtId="0" fontId="21" fillId="0" borderId="0" xfId="0" applyFont="1" applyAlignment="1">
      <alignment horizontal="center" vertical="center"/>
    </xf>
    <xf numFmtId="0" fontId="5" fillId="4" borderId="2" xfId="0" applyFont="1" applyFill="1" applyBorder="1" applyAlignment="1">
      <alignment horizontal="center" vertical="center"/>
    </xf>
    <xf numFmtId="0" fontId="22" fillId="0" borderId="1" xfId="0" applyFont="1" applyBorder="1" applyAlignment="1">
      <alignment horizontal="center" vertical="center"/>
    </xf>
    <xf numFmtId="0" fontId="22" fillId="10" borderId="1" xfId="0" applyFont="1" applyFill="1" applyBorder="1" applyAlignment="1">
      <alignment horizontal="center" vertical="center"/>
    </xf>
    <xf numFmtId="0" fontId="2" fillId="2" borderId="2" xfId="1" applyNumberFormat="1" applyFont="1" applyFill="1" applyBorder="1" applyAlignment="1">
      <alignment horizontal="center" vertical="top"/>
    </xf>
    <xf numFmtId="0" fontId="12" fillId="10" borderId="1" xfId="1" applyNumberFormat="1" applyFont="1" applyFill="1" applyBorder="1" applyAlignment="1">
      <alignment horizontal="center" vertical="center"/>
    </xf>
    <xf numFmtId="10" fontId="6" fillId="0" borderId="0" xfId="2" applyNumberFormat="1" applyFont="1" applyAlignment="1">
      <alignment horizontal="center" vertical="center"/>
    </xf>
    <xf numFmtId="10" fontId="12" fillId="0" borderId="1" xfId="2" applyNumberFormat="1" applyFont="1" applyFill="1" applyBorder="1" applyAlignment="1">
      <alignment horizontal="center" vertical="center"/>
    </xf>
    <xf numFmtId="0" fontId="0" fillId="0" borderId="0" xfId="0" pivotButton="1" applyAlignment="1">
      <alignment horizontal="center" vertical="center" wrapText="1"/>
    </xf>
    <xf numFmtId="0" fontId="0" fillId="0" borderId="0" xfId="0" applyAlignment="1">
      <alignment horizontal="center" vertical="center" wrapText="1"/>
    </xf>
    <xf numFmtId="9" fontId="4" fillId="28" borderId="1" xfId="2" applyFont="1" applyFill="1" applyBorder="1" applyAlignment="1">
      <alignment horizontal="center" vertical="center" wrapText="1"/>
    </xf>
    <xf numFmtId="10" fontId="0" fillId="0" borderId="0" xfId="0" applyNumberFormat="1"/>
    <xf numFmtId="4" fontId="0" fillId="0" borderId="0" xfId="0" applyNumberFormat="1"/>
    <xf numFmtId="164" fontId="6" fillId="29" borderId="0" xfId="1" applyNumberFormat="1" applyFont="1" applyFill="1" applyAlignment="1">
      <alignment horizontal="center" vertical="center"/>
    </xf>
    <xf numFmtId="9" fontId="11" fillId="0" borderId="1" xfId="2" applyFont="1" applyFill="1" applyBorder="1" applyAlignment="1">
      <alignment horizontal="center" vertical="center"/>
    </xf>
    <xf numFmtId="43" fontId="12" fillId="0" borderId="0" xfId="2" applyNumberFormat="1" applyFont="1" applyAlignment="1">
      <alignment horizontal="center" vertical="center"/>
    </xf>
    <xf numFmtId="10" fontId="2" fillId="14" borderId="0" xfId="2" applyNumberFormat="1" applyFont="1" applyFill="1" applyAlignment="1">
      <alignment horizontal="center" vertical="center"/>
    </xf>
    <xf numFmtId="43" fontId="6" fillId="0" borderId="0" xfId="1" applyFont="1" applyFill="1" applyBorder="1" applyAlignment="1">
      <alignment horizontal="center" vertical="center"/>
    </xf>
    <xf numFmtId="10" fontId="6" fillId="0" borderId="0" xfId="2" applyNumberFormat="1" applyFont="1" applyFill="1" applyAlignment="1">
      <alignment horizontal="center" vertical="center"/>
    </xf>
    <xf numFmtId="40" fontId="14" fillId="17" borderId="1" xfId="5" applyNumberFormat="1" applyFont="1" applyFill="1" applyBorder="1" applyAlignment="1">
      <alignment horizontal="center" vertical="center"/>
    </xf>
    <xf numFmtId="49" fontId="14" fillId="0" borderId="1" xfId="4" applyNumberFormat="1" applyFont="1" applyBorder="1" applyAlignment="1">
      <alignment horizontal="center" vertical="center"/>
    </xf>
    <xf numFmtId="0" fontId="14" fillId="0" borderId="1" xfId="4" applyFont="1" applyBorder="1" applyAlignment="1">
      <alignment horizontal="center" vertical="center"/>
    </xf>
    <xf numFmtId="0" fontId="14" fillId="0" borderId="6" xfId="4" applyFont="1" applyBorder="1" applyAlignment="1">
      <alignment horizontal="center" vertical="center"/>
    </xf>
    <xf numFmtId="0" fontId="14" fillId="0" borderId="7" xfId="4" applyFont="1" applyBorder="1" applyAlignment="1">
      <alignment horizontal="center" vertical="center"/>
    </xf>
    <xf numFmtId="0" fontId="14" fillId="0" borderId="8" xfId="4" applyFont="1" applyBorder="1" applyAlignment="1">
      <alignment horizontal="center" vertical="center"/>
    </xf>
    <xf numFmtId="0" fontId="14" fillId="0" borderId="11" xfId="4" applyFont="1" applyBorder="1" applyAlignment="1">
      <alignment horizontal="center" vertical="center"/>
    </xf>
    <xf numFmtId="0" fontId="14" fillId="0" borderId="12" xfId="4" applyFont="1" applyBorder="1" applyAlignment="1">
      <alignment horizontal="center" vertical="center"/>
    </xf>
    <xf numFmtId="0" fontId="14" fillId="0" borderId="13" xfId="4" applyFont="1" applyBorder="1" applyAlignment="1">
      <alignment horizontal="center" vertical="center"/>
    </xf>
    <xf numFmtId="0" fontId="13" fillId="0" borderId="3" xfId="3" applyNumberFormat="1" applyFont="1" applyBorder="1" applyAlignment="1" applyProtection="1">
      <alignment horizontal="center" vertical="center" wrapText="1"/>
      <protection locked="0"/>
    </xf>
    <xf numFmtId="0" fontId="13" fillId="0" borderId="4" xfId="3" applyNumberFormat="1" applyFont="1" applyBorder="1" applyAlignment="1" applyProtection="1">
      <alignment horizontal="center" vertical="center" wrapText="1"/>
      <protection locked="0"/>
    </xf>
    <xf numFmtId="0" fontId="13" fillId="0" borderId="5" xfId="3" applyNumberFormat="1" applyFont="1" applyBorder="1" applyAlignment="1" applyProtection="1">
      <alignment horizontal="center" vertical="center" wrapText="1"/>
      <protection locked="0"/>
    </xf>
    <xf numFmtId="172" fontId="14" fillId="0" borderId="3" xfId="3" applyFont="1" applyBorder="1" applyAlignment="1">
      <alignment horizontal="center" vertical="center" wrapText="1"/>
    </xf>
    <xf numFmtId="172" fontId="14" fillId="0" borderId="4" xfId="3" applyFont="1" applyBorder="1" applyAlignment="1">
      <alignment horizontal="center" vertical="center" wrapText="1"/>
    </xf>
    <xf numFmtId="172" fontId="14" fillId="0" borderId="5" xfId="3" applyFont="1" applyBorder="1" applyAlignment="1">
      <alignment horizontal="center" vertical="center" wrapText="1"/>
    </xf>
    <xf numFmtId="172" fontId="14" fillId="0" borderId="6" xfId="3" applyFont="1" applyBorder="1" applyAlignment="1" applyProtection="1">
      <alignment horizontal="left" vertical="center"/>
      <protection locked="0"/>
    </xf>
    <xf numFmtId="172" fontId="14" fillId="0" borderId="7" xfId="3" applyFont="1" applyBorder="1" applyAlignment="1" applyProtection="1">
      <alignment horizontal="left" vertical="center"/>
      <protection locked="0"/>
    </xf>
    <xf numFmtId="172" fontId="14" fillId="0" borderId="8" xfId="3" applyFont="1" applyBorder="1" applyAlignment="1" applyProtection="1">
      <alignment horizontal="left" vertical="center"/>
      <protection locked="0"/>
    </xf>
    <xf numFmtId="172" fontId="14" fillId="0" borderId="3" xfId="3" applyFont="1" applyBorder="1" applyAlignment="1">
      <alignment horizontal="left" vertical="center"/>
    </xf>
    <xf numFmtId="172" fontId="14" fillId="0" borderId="4" xfId="3" applyFont="1" applyBorder="1" applyAlignment="1">
      <alignment horizontal="left" vertical="center"/>
    </xf>
    <xf numFmtId="172" fontId="14" fillId="0" borderId="5" xfId="3" applyFont="1" applyBorder="1" applyAlignment="1">
      <alignment horizontal="left" vertical="center"/>
    </xf>
    <xf numFmtId="172" fontId="5" fillId="0" borderId="9" xfId="3" applyFont="1" applyBorder="1" applyAlignment="1" applyProtection="1">
      <alignment horizontal="center" vertical="center" wrapText="1"/>
      <protection locked="0"/>
    </xf>
    <xf numFmtId="172" fontId="5" fillId="0" borderId="0" xfId="3" applyFont="1" applyAlignment="1" applyProtection="1">
      <alignment horizontal="center" vertical="center" wrapText="1"/>
      <protection locked="0"/>
    </xf>
    <xf numFmtId="172" fontId="5" fillId="0" borderId="10" xfId="3" applyFont="1" applyBorder="1" applyAlignment="1" applyProtection="1">
      <alignment horizontal="center" vertical="center" wrapText="1"/>
      <protection locked="0"/>
    </xf>
    <xf numFmtId="172" fontId="5" fillId="0" borderId="11" xfId="3" applyFont="1" applyBorder="1" applyAlignment="1" applyProtection="1">
      <alignment horizontal="center" vertical="center" wrapText="1"/>
      <protection locked="0"/>
    </xf>
    <xf numFmtId="172" fontId="5" fillId="0" borderId="12" xfId="3" applyFont="1" applyBorder="1" applyAlignment="1" applyProtection="1">
      <alignment horizontal="center" vertical="center" wrapText="1"/>
      <protection locked="0"/>
    </xf>
    <xf numFmtId="172" fontId="5" fillId="0" borderId="13" xfId="3" applyFont="1" applyBorder="1" applyAlignment="1" applyProtection="1">
      <alignment horizontal="center" vertical="center" wrapText="1"/>
      <protection locked="0"/>
    </xf>
    <xf numFmtId="172" fontId="14" fillId="17" borderId="3" xfId="3" applyFont="1" applyFill="1" applyBorder="1" applyAlignment="1">
      <alignment horizontal="left" vertical="center"/>
    </xf>
    <xf numFmtId="172" fontId="14" fillId="17" borderId="4" xfId="3" applyFont="1" applyFill="1" applyBorder="1" applyAlignment="1">
      <alignment horizontal="left" vertical="center"/>
    </xf>
    <xf numFmtId="172" fontId="14" fillId="17" borderId="5" xfId="3" applyFont="1" applyFill="1" applyBorder="1" applyAlignment="1">
      <alignment horizontal="left" vertical="center"/>
    </xf>
  </cellXfs>
  <cellStyles count="11">
    <cellStyle name="Normal" xfId="0" builtinId="0"/>
    <cellStyle name="Normal 13 4" xfId="8" xr:uid="{485A8E34-496B-4045-B278-6DB1166EA0E7}"/>
    <cellStyle name="Normal 15" xfId="4" xr:uid="{5653F0B5-C56A-49DC-8F09-312AF35E5B30}"/>
    <cellStyle name="Normal 15 24" xfId="7" xr:uid="{51979DB5-AFE7-4AC2-9C7D-35B53021E0AC}"/>
    <cellStyle name="Normal 2" xfId="5" xr:uid="{80BD3767-8C11-473E-911A-78E3BD3A491B}"/>
    <cellStyle name="Normal 6 2 3 3" xfId="3" xr:uid="{9F70D271-ED02-4D6E-9D44-B4B53C333F44}"/>
    <cellStyle name="Normal_GU-E-445_PQs_Fornecimento_Equipamentos_Mecanicos_Rev_4 2 2" xfId="6" xr:uid="{32B72B98-186E-4E4E-991D-AB554281D920}"/>
    <cellStyle name="Porcentagem" xfId="2" builtinId="5"/>
    <cellStyle name="Vírgula" xfId="1" builtinId="3"/>
    <cellStyle name="Vírgula 3 2 2" xfId="10" xr:uid="{96FEE1FD-62A7-4B44-AA55-FFA98CDB6937}"/>
    <cellStyle name="Vírgula 4" xfId="9" xr:uid="{8D93E3A7-4693-4A78-B539-45D4CE04F9C7}"/>
  </cellStyles>
  <dxfs count="12">
    <dxf>
      <font>
        <color rgb="FF9C0006"/>
      </font>
      <fill>
        <patternFill>
          <bgColor rgb="FFFFC7CE"/>
        </patternFill>
      </fill>
    </dxf>
    <dxf>
      <numFmt numFmtId="4" formatCode="#,##0.00"/>
    </dxf>
    <dxf>
      <numFmt numFmtId="14" formatCode="0.00%"/>
    </dxf>
    <dxf>
      <numFmt numFmtId="14" formatCode="0.00%"/>
    </dxf>
    <dxf>
      <alignment wrapText="1"/>
    </dxf>
    <dxf>
      <alignment wrapText="1"/>
    </dxf>
    <dxf>
      <alignment wrapText="1"/>
    </dxf>
    <dxf>
      <alignment wrapText="1"/>
    </dxf>
    <dxf>
      <alignment vertical="center"/>
    </dxf>
    <dxf>
      <alignment vertical="center"/>
    </dxf>
    <dxf>
      <alignment horizontal="center"/>
    </dxf>
    <dxf>
      <alignment horizontal="center"/>
    </dxf>
  </dxfs>
  <tableStyles count="0" defaultTableStyle="TableStyleMedium2" defaultPivotStyle="PivotStyleLight16"/>
  <colors>
    <mruColors>
      <color rgb="FF04745F"/>
      <color rgb="FFDB9E15"/>
      <color rgb="FFE84B1A"/>
      <color rgb="FFF2CC76"/>
      <color rgb="FF06C29E"/>
      <color rgb="FF023A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pivotCacheDefinition" Target="pivotCache/pivotCacheDefinition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57151</xdr:rowOff>
    </xdr:from>
    <xdr:to>
      <xdr:col>13</xdr:col>
      <xdr:colOff>619125</xdr:colOff>
      <xdr:row>0</xdr:row>
      <xdr:rowOff>374637</xdr:rowOff>
    </xdr:to>
    <xdr:pic>
      <xdr:nvPicPr>
        <xdr:cNvPr id="2" name="Picture 2104">
          <a:extLst>
            <a:ext uri="{FF2B5EF4-FFF2-40B4-BE49-F238E27FC236}">
              <a16:creationId xmlns:a16="http://schemas.microsoft.com/office/drawing/2014/main" id="{CDB167A1-EB27-4FC6-8D4D-54B08606C94C}"/>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486900" y="57151"/>
          <a:ext cx="914400" cy="317486"/>
        </a:xfrm>
        <a:prstGeom prst="rect">
          <a:avLst/>
        </a:prstGeom>
        <a:noFill/>
        <a:ln w="9525">
          <a:noFill/>
          <a:miter lim="800000"/>
          <a:headEnd/>
          <a:tailEnd/>
        </a:ln>
      </xdr:spPr>
    </xdr:pic>
    <xdr:clientData/>
  </xdr:twoCellAnchor>
  <xdr:twoCellAnchor editAs="oneCell">
    <xdr:from>
      <xdr:col>0</xdr:col>
      <xdr:colOff>37376</xdr:colOff>
      <xdr:row>0</xdr:row>
      <xdr:rowOff>36774</xdr:rowOff>
    </xdr:from>
    <xdr:to>
      <xdr:col>1</xdr:col>
      <xdr:colOff>419100</xdr:colOff>
      <xdr:row>0</xdr:row>
      <xdr:rowOff>389171</xdr:rowOff>
    </xdr:to>
    <xdr:pic>
      <xdr:nvPicPr>
        <xdr:cNvPr id="3" name="Imagem 2" descr="LogoReal1.gif">
          <a:extLst>
            <a:ext uri="{FF2B5EF4-FFF2-40B4-BE49-F238E27FC236}">
              <a16:creationId xmlns:a16="http://schemas.microsoft.com/office/drawing/2014/main" id="{AB4E58B7-F289-48FC-ABE8-1037CC03709B}"/>
            </a:ext>
          </a:extLst>
        </xdr:cNvPr>
        <xdr:cNvPicPr>
          <a:picLocks noChangeAspect="1"/>
        </xdr:cNvPicPr>
      </xdr:nvPicPr>
      <xdr:blipFill>
        <a:blip xmlns:r="http://schemas.openxmlformats.org/officeDocument/2006/relationships" r:embed="rId2"/>
        <a:stretch>
          <a:fillRect/>
        </a:stretch>
      </xdr:blipFill>
      <xdr:spPr>
        <a:xfrm>
          <a:off x="37376" y="36774"/>
          <a:ext cx="962749" cy="3523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CUSTOS\Gest&#227;oPortoCompPE\GESEN\PdcGesen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rdslssa01\dados\CUSTOS\Gest&#227;oPortoCompPE\GESEN\PdcGesen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vrdslssa01\dados\WINNT\Temporary%20Internet%20Files\OLK3\WINDOWS\Temporary%20Internet%20Files\OLK8304\DEZ.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AppData/Local/Microsoft/Windows/INetCache/Content.Outlook/R5138HR4/Suportes%20mont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CPT"/>
      <sheetName val="estgg"/>
      <sheetName val="Tabela1"/>
      <sheetName val="Principal"/>
      <sheetName val="TSP Est. El Hatillo"/>
      <sheetName val="KPI"/>
      <sheetName val="#REF"/>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Premissas"/>
      <sheetName val="Decretos_PIS-COFINS"/>
      <sheetName val="pitch"/>
      <sheetName val="invest."/>
      <sheetName val="Previsão de Vagões"/>
      <sheetName val="Espera"/>
      <sheetName val="Saldos"/>
      <sheetName val="Gráficos"/>
      <sheetName val="Armazéns"/>
      <sheetName val="Resumo"/>
      <sheetName val="2007"/>
      <sheetName val="Solicitação Gestão"/>
      <sheetName val="Inputs_Unidades_Geradoras"/>
      <sheetName val="GDP"/>
      <sheetName val="Dados"/>
      <sheetName val="PLANO DE AÇÃO"/>
      <sheetName val="ORTONA - PORTO VASTO"/>
      <sheetName val="Farol de Metas"/>
      <sheetName val="Plan1"/>
      <sheetName val="Validacao"/>
      <sheetName val="Comparativo - Acumulado"/>
      <sheetName val="TE Negativo Setembro"/>
      <sheetName val="GESEN FERROVIA CR_x0000__x0000__x0000_"/>
      <sheetName val="Acionamento"/>
      <sheetName val="bdados 2005"/>
      <sheetName val="Sheet2"/>
      <sheetName val="Ref Numbers"/>
      <sheetName val="Summary"/>
      <sheetName val="inspect"/>
      <sheetName val="Inputs"/>
      <sheetName val="Debt"/>
      <sheetName val="Control"/>
      <sheetName val="Aderência D707"/>
      <sheetName val="Estatística"/>
      <sheetName val="Conhecendo a composição M1"/>
      <sheetName val="Cronograma"/>
      <sheetName val="Aux"/>
      <sheetName val="Validação"/>
      <sheetName val="PERF"/>
      <sheetName val="ResMina"/>
      <sheetName val="Cod_perdas"/>
      <sheetName val="Assum"/>
      <sheetName val="Plan2"/>
      <sheetName val="COMPPROD"/>
      <sheetName val="Resumo do Efetivo (2)"/>
      <sheetName val="Lista"/>
      <sheetName val="Consolidada"/>
      <sheetName val="Defense Comps"/>
      <sheetName val="p"/>
      <sheetName val="p (2)"/>
      <sheetName val="BD"/>
      <sheetName val="BASE DE DADOS"/>
      <sheetName val="B. Dados"/>
      <sheetName val="Caract. Contratos - Dez-00"/>
      <sheetName val="GESEN_MINA_-CR3"/>
      <sheetName val="GESEN_FERROVIA_CR3"/>
      <sheetName val="GESEN_PORTO_CR3"/>
      <sheetName val="H_EXTRAS3"/>
      <sheetName val="Princ_Materiais3"/>
      <sheetName val="ParticPessoal_CT3"/>
      <sheetName val="GESENAcid_3"/>
      <sheetName val="Inv99_GESEN3"/>
      <sheetName val="GESEN_MINA-CC3"/>
      <sheetName val="GESEN_FERROVIA-CC3"/>
      <sheetName val="GESEN_PORTO-CC3"/>
      <sheetName val="AMV_a_Favor_SUP3"/>
      <sheetName val="TSP_Est__El_Hatillo3"/>
      <sheetName val="Manutenção_Uberaba_-_FCA"/>
      <sheetName val="invest_"/>
      <sheetName val="Comparativo_-_Acumulado"/>
      <sheetName val="TE_Negativo_Setembro"/>
      <sheetName val="bdados_2005"/>
      <sheetName val="Solicitação_Gestão"/>
      <sheetName val="Previsão_de_Vagões"/>
      <sheetName val="Aderência_D707"/>
      <sheetName val="PLANO_DE_AÇÃO"/>
      <sheetName val="ORTONA_-_PORTO_VASTO"/>
      <sheetName val="Conhecendo_a_composição_M1"/>
      <sheetName val="Farol_de_Metas"/>
      <sheetName val="B__Dados"/>
      <sheetName val="Caract__Contratos_-_Dez-00"/>
      <sheetName val="GESEN_MINA_-CR4"/>
      <sheetName val="GESEN_FERROVIA_CR4"/>
      <sheetName val="GESEN_PORTO_CR4"/>
      <sheetName val="H_EXTRAS4"/>
      <sheetName val="Princ_Materiais4"/>
      <sheetName val="ParticPessoal_CT4"/>
      <sheetName val="GESENAcid_4"/>
      <sheetName val="Inv99_GESEN4"/>
      <sheetName val="GESEN_MINA-CC4"/>
      <sheetName val="GESEN_FERROVIA-CC4"/>
      <sheetName val="GESEN_PORTO-CC4"/>
      <sheetName val="AMV_a_Favor_SUP4"/>
      <sheetName val="TSP_Est__El_Hatillo4"/>
      <sheetName val="Manutenção_Uberaba_-_FCA1"/>
      <sheetName val="invest_1"/>
      <sheetName val="Comparativo_-_Acumulado1"/>
      <sheetName val="TE_Negativo_Setembro1"/>
      <sheetName val="bdados_20051"/>
      <sheetName val="Solicitação_Gestão1"/>
      <sheetName val="Previsão_de_Vagões1"/>
      <sheetName val="Aderência_D7071"/>
      <sheetName val="PLANO_DE_AÇÃO1"/>
      <sheetName val="ORTONA_-_PORTO_VASTO1"/>
      <sheetName val="Conhecendo_a_composição_M11"/>
      <sheetName val="Farol_de_Metas1"/>
      <sheetName val="B__Dados1"/>
      <sheetName val="Caract__Contratos_-_Dez-001"/>
      <sheetName val="Mês"/>
      <sheetName val="GESEN_MINA_-CR5"/>
      <sheetName val="GESEN_FERROVIA_CR5"/>
      <sheetName val="GESEN_PORTO_CR5"/>
      <sheetName val="H_EXTRAS5"/>
      <sheetName val="Princ_Materiais5"/>
      <sheetName val="ParticPessoal_CT5"/>
      <sheetName val="GESENAcid_5"/>
      <sheetName val="Inv99_GESEN5"/>
      <sheetName val="GESEN_MINA-CC5"/>
      <sheetName val="GESEN_FERROVIA-CC5"/>
      <sheetName val="GESEN_PORTO-CC5"/>
      <sheetName val="AMV_a_Favor_SUP5"/>
      <sheetName val="TSP_Est__El_Hatillo5"/>
      <sheetName val="Manutenção_Uberaba_-_FCA2"/>
      <sheetName val="Solicitação_Gestão2"/>
      <sheetName val="invest_2"/>
      <sheetName val="Previsão_de_Vagões2"/>
      <sheetName val="Comparativo_-_Acumulado2"/>
      <sheetName val="bdados_20052"/>
      <sheetName val="TE_Negativo_Setembro2"/>
      <sheetName val="Aderência_D7072"/>
      <sheetName val="PLANO_DE_AÇÃO2"/>
      <sheetName val="ORTONA_-_PORTO_VASTO2"/>
      <sheetName val="Conhecendo_a_composição_M12"/>
      <sheetName val="Farol_de_Metas2"/>
      <sheetName val="B__Dados2"/>
      <sheetName val="Caract__Contratos_-_Dez-002"/>
    </sheetNames>
    <sheetDataSet>
      <sheetData sheetId="0">
        <row r="8">
          <cell r="O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8">
          <cell r="O8">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Valores Medição"/>
      <sheetName val="Controle Horas"/>
      <sheetName val="Listas"/>
      <sheetName val="AMV a Favor SUP"/>
      <sheetName val="Dados"/>
      <sheetName val="CPT"/>
      <sheetName val="PLANO DE AÇÃO"/>
      <sheetName val="#REF"/>
      <sheetName val="Principal"/>
      <sheetName val="ORTONA - PORTO VASTO"/>
      <sheetName val="Farol de Metas"/>
      <sheetName val="estgg"/>
      <sheetName val="Tabela1"/>
      <sheetName val="TSP Est. El Hatillo"/>
      <sheetName val="KPI"/>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Decretos_PIS-COFINS"/>
      <sheetName val="Premissas"/>
      <sheetName val="pitch"/>
      <sheetName val="invest."/>
      <sheetName val="Previsão de Vagões"/>
      <sheetName val="Espera"/>
      <sheetName val="Saldos"/>
      <sheetName val="Gráficos"/>
      <sheetName val="Armazéns"/>
      <sheetName val="Resumo"/>
      <sheetName val="2007"/>
      <sheetName val="GDP"/>
      <sheetName val="Solicitação Gestão"/>
      <sheetName val="Inputs_Unidades_Geradoras"/>
      <sheetName val="PERF"/>
      <sheetName val="ResMina"/>
      <sheetName val="Resumo do Efetivo (2)"/>
      <sheetName val="COMPPROD"/>
      <sheetName val="Validacao"/>
      <sheetName val="Comparativo - Acumulado"/>
      <sheetName val="TE Negativo Setembro"/>
      <sheetName val="Plan1"/>
      <sheetName val="GESEN FERROVIA CR_x0000__x0000__x0000_"/>
      <sheetName val="Acionamento"/>
      <sheetName val="bdados 2005"/>
      <sheetName val="Cronograma"/>
      <sheetName val="Aderência D707"/>
      <sheetName val="Sheet2"/>
      <sheetName val="Lista suspensa"/>
      <sheetName val="BASE DE DADOS"/>
      <sheetName val="Inputs"/>
      <sheetName val="Debt"/>
      <sheetName val="Control"/>
      <sheetName val="Circui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8">
          <cell r="O8">
            <v>0</v>
          </cell>
        </row>
        <row r="11">
          <cell r="O11">
            <v>0</v>
          </cell>
        </row>
        <row r="12">
          <cell r="O12">
            <v>18</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0000000"/>
      <sheetName val="Base Case CM Version"/>
      <sheetName val="IDR Output"/>
      <sheetName val="IDR Scenarios"/>
      <sheetName val="IDR Synergies"/>
      <sheetName val="BS"/>
      <sheetName val="IS"/>
      <sheetName val="CF"/>
      <sheetName val="Misc Info"/>
      <sheetName val="Blank"/>
      <sheetName val="10Yr IS"/>
      <sheetName val="10Yr BS"/>
      <sheetName val="10Yr CF"/>
      <sheetName val="Addl Info"/>
      <sheetName val="FX"/>
      <sheetName val="Base_Case"/>
      <sheetName val="VPL-FCA"/>
      <sheetName val="estgg"/>
      <sheetName val="qtr point compare"/>
      <sheetName val="AR Signature Page"/>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1"/>
    </sheetNames>
    <sheetDataSet>
      <sheetData sheetId="0">
        <row r="13">
          <cell r="A13" t="str">
            <v>ST-1880BB-70289-002</v>
          </cell>
          <cell r="B13" t="str">
            <v>1880-T-70289</v>
          </cell>
          <cell r="D13" t="str">
            <v>1880BB-T-70302_FL_08_REV02</v>
          </cell>
          <cell r="F13">
            <v>1</v>
          </cell>
          <cell r="G13">
            <v>51.4</v>
          </cell>
          <cell r="H13">
            <v>5.1400000000000001E-2</v>
          </cell>
          <cell r="I13" t="str">
            <v/>
          </cell>
          <cell r="J13">
            <v>5.1400000000000001E-2</v>
          </cell>
          <cell r="N13" t="str">
            <v/>
          </cell>
          <cell r="O13" t="str">
            <v/>
          </cell>
          <cell r="P13">
            <v>0</v>
          </cell>
        </row>
        <row r="14">
          <cell r="A14" t="str">
            <v>ST-1880BB-70289-003</v>
          </cell>
          <cell r="B14" t="str">
            <v>1880-T-70289</v>
          </cell>
          <cell r="D14" t="str">
            <v>1880BB-T-70302_FL_08_REV02</v>
          </cell>
          <cell r="F14">
            <v>1</v>
          </cell>
          <cell r="G14">
            <v>51.4</v>
          </cell>
          <cell r="H14">
            <v>5.1400000000000001E-2</v>
          </cell>
          <cell r="I14" t="str">
            <v/>
          </cell>
          <cell r="J14">
            <v>5.1400000000000001E-2</v>
          </cell>
          <cell r="N14" t="str">
            <v/>
          </cell>
          <cell r="O14" t="str">
            <v/>
          </cell>
          <cell r="P14">
            <v>0</v>
          </cell>
        </row>
        <row r="15">
          <cell r="A15" t="str">
            <v>ST-1880BB-70289-010</v>
          </cell>
          <cell r="B15" t="str">
            <v>1880-T-70289</v>
          </cell>
          <cell r="D15" t="str">
            <v>1880BB-T-70302_FL_08_REV02</v>
          </cell>
          <cell r="F15">
            <v>1</v>
          </cell>
          <cell r="G15">
            <v>51.4</v>
          </cell>
          <cell r="H15">
            <v>5.1400000000000001E-2</v>
          </cell>
          <cell r="I15" t="str">
            <v/>
          </cell>
          <cell r="J15">
            <v>5.1400000000000001E-2</v>
          </cell>
          <cell r="N15" t="str">
            <v/>
          </cell>
          <cell r="O15" t="str">
            <v/>
          </cell>
          <cell r="P15">
            <v>0</v>
          </cell>
        </row>
        <row r="16">
          <cell r="A16" t="str">
            <v>ST-1880BB-70289-004</v>
          </cell>
          <cell r="B16" t="str">
            <v>1880-T-70289</v>
          </cell>
          <cell r="D16" t="str">
            <v>1880BB-T-70302_FL_09_REV02</v>
          </cell>
          <cell r="F16">
            <v>1</v>
          </cell>
          <cell r="G16">
            <v>4.2</v>
          </cell>
          <cell r="H16">
            <v>4.2000000000000006E-3</v>
          </cell>
          <cell r="I16" t="str">
            <v/>
          </cell>
          <cell r="J16">
            <v>4.2000000000000006E-3</v>
          </cell>
          <cell r="N16" t="str">
            <v/>
          </cell>
          <cell r="O16" t="str">
            <v/>
          </cell>
          <cell r="P16">
            <v>0</v>
          </cell>
        </row>
        <row r="17">
          <cell r="A17" t="str">
            <v>ST-1880BB-70291-036</v>
          </cell>
          <cell r="B17" t="str">
            <v>1880-T-70291</v>
          </cell>
          <cell r="D17" t="str">
            <v>1880BB-T-70302_FL_09_REV02</v>
          </cell>
          <cell r="F17">
            <v>1</v>
          </cell>
          <cell r="G17">
            <v>4.2</v>
          </cell>
          <cell r="H17">
            <v>4.2000000000000006E-3</v>
          </cell>
          <cell r="I17" t="str">
            <v/>
          </cell>
          <cell r="J17">
            <v>4.2000000000000006E-3</v>
          </cell>
          <cell r="N17" t="str">
            <v/>
          </cell>
          <cell r="O17" t="str">
            <v/>
          </cell>
          <cell r="P17">
            <v>0</v>
          </cell>
        </row>
        <row r="18">
          <cell r="A18" t="str">
            <v>ST-1880BB-70289-005</v>
          </cell>
          <cell r="B18" t="str">
            <v>1880-T-70289</v>
          </cell>
          <cell r="D18" t="str">
            <v>1880BB-T-70302_FL_10_REV02</v>
          </cell>
          <cell r="F18">
            <v>1</v>
          </cell>
          <cell r="G18">
            <v>2.2000000000000002</v>
          </cell>
          <cell r="H18">
            <v>2.2000000000000001E-3</v>
          </cell>
          <cell r="I18" t="str">
            <v/>
          </cell>
          <cell r="J18">
            <v>2.2000000000000001E-3</v>
          </cell>
          <cell r="N18" t="str">
            <v/>
          </cell>
          <cell r="O18" t="str">
            <v/>
          </cell>
          <cell r="P18">
            <v>0</v>
          </cell>
        </row>
        <row r="19">
          <cell r="A19" t="str">
            <v>ST-1880BB-70289-006</v>
          </cell>
          <cell r="B19" t="str">
            <v>1880-T-70289</v>
          </cell>
          <cell r="D19" t="str">
            <v>1880BB-T-70302_FL_11_REV02</v>
          </cell>
          <cell r="F19">
            <v>1</v>
          </cell>
          <cell r="G19">
            <v>10.5</v>
          </cell>
          <cell r="H19">
            <v>1.0500000000000001E-2</v>
          </cell>
          <cell r="I19" t="str">
            <v/>
          </cell>
          <cell r="J19">
            <v>1.0500000000000001E-2</v>
          </cell>
          <cell r="N19" t="str">
            <v/>
          </cell>
          <cell r="O19" t="str">
            <v/>
          </cell>
          <cell r="P19">
            <v>0</v>
          </cell>
        </row>
        <row r="20">
          <cell r="A20" t="str">
            <v>ST-1880BB-70289-007</v>
          </cell>
          <cell r="B20" t="str">
            <v>1880-T-70289</v>
          </cell>
          <cell r="D20" t="str">
            <v>1880BB-T-70302_FL_11_REV02</v>
          </cell>
          <cell r="F20">
            <v>1</v>
          </cell>
          <cell r="G20">
            <v>10.5</v>
          </cell>
          <cell r="H20">
            <v>1.0500000000000001E-2</v>
          </cell>
          <cell r="I20" t="str">
            <v/>
          </cell>
          <cell r="J20">
            <v>1.0500000000000001E-2</v>
          </cell>
          <cell r="N20" t="str">
            <v/>
          </cell>
          <cell r="O20" t="str">
            <v/>
          </cell>
          <cell r="P20">
            <v>0</v>
          </cell>
        </row>
        <row r="21">
          <cell r="A21" t="str">
            <v>ST-1880BB-70289-008</v>
          </cell>
          <cell r="B21" t="str">
            <v>1880-T-70289</v>
          </cell>
          <cell r="D21" t="str">
            <v>1880BB-T-70302_FL_12_REV02</v>
          </cell>
          <cell r="F21">
            <v>1</v>
          </cell>
          <cell r="G21">
            <v>5</v>
          </cell>
          <cell r="H21">
            <v>5.0000000000000001E-3</v>
          </cell>
          <cell r="I21" t="str">
            <v/>
          </cell>
          <cell r="J21">
            <v>5.0000000000000001E-3</v>
          </cell>
          <cell r="N21" t="str">
            <v/>
          </cell>
          <cell r="O21" t="str">
            <v/>
          </cell>
          <cell r="P21">
            <v>0</v>
          </cell>
        </row>
        <row r="22">
          <cell r="A22" t="str">
            <v>ST-1880BB-70289-009</v>
          </cell>
          <cell r="B22" t="str">
            <v>1880-T-70289</v>
          </cell>
          <cell r="D22" t="str">
            <v>1880BB-T-70302_FL_13_REV02</v>
          </cell>
          <cell r="F22">
            <v>1</v>
          </cell>
          <cell r="G22">
            <v>4.2</v>
          </cell>
          <cell r="H22">
            <v>4.2000000000000006E-3</v>
          </cell>
          <cell r="I22" t="str">
            <v/>
          </cell>
          <cell r="J22">
            <v>4.2000000000000006E-3</v>
          </cell>
          <cell r="N22" t="str">
            <v/>
          </cell>
          <cell r="O22" t="str">
            <v/>
          </cell>
          <cell r="P22">
            <v>0</v>
          </cell>
        </row>
        <row r="23">
          <cell r="A23" t="str">
            <v>ST-1880BB-70290-004</v>
          </cell>
          <cell r="B23" t="str">
            <v>1880-T-70290</v>
          </cell>
          <cell r="D23" t="str">
            <v>1880BB-T-70302_FL_14_REV02</v>
          </cell>
          <cell r="F23">
            <v>1</v>
          </cell>
          <cell r="G23">
            <v>8.5</v>
          </cell>
          <cell r="H23">
            <v>8.5000000000000006E-3</v>
          </cell>
          <cell r="I23" t="str">
            <v/>
          </cell>
          <cell r="J23">
            <v>8.5000000000000006E-3</v>
          </cell>
          <cell r="N23" t="str">
            <v/>
          </cell>
          <cell r="O23" t="str">
            <v/>
          </cell>
          <cell r="P23">
            <v>0</v>
          </cell>
        </row>
        <row r="24">
          <cell r="A24" t="str">
            <v>ST-1880BB-70290-007</v>
          </cell>
          <cell r="B24" t="str">
            <v>1880-T-70290</v>
          </cell>
          <cell r="D24" t="str">
            <v>1880BB-T-70302_FL_15_REV02</v>
          </cell>
          <cell r="F24">
            <v>1</v>
          </cell>
          <cell r="G24">
            <v>14.9</v>
          </cell>
          <cell r="H24">
            <v>1.49E-2</v>
          </cell>
          <cell r="I24" t="str">
            <v/>
          </cell>
          <cell r="J24">
            <v>1.49E-2</v>
          </cell>
          <cell r="N24" t="str">
            <v/>
          </cell>
          <cell r="O24" t="str">
            <v/>
          </cell>
          <cell r="P24">
            <v>0</v>
          </cell>
        </row>
        <row r="25">
          <cell r="A25" t="str">
            <v>ST-1880BB-70290-008</v>
          </cell>
          <cell r="B25" t="str">
            <v>1880-T-70290</v>
          </cell>
          <cell r="D25" t="str">
            <v>1880BB-T-70302_FL_15_REV02</v>
          </cell>
          <cell r="F25">
            <v>1</v>
          </cell>
          <cell r="G25">
            <v>14.9</v>
          </cell>
          <cell r="H25">
            <v>1.49E-2</v>
          </cell>
          <cell r="I25" t="str">
            <v/>
          </cell>
          <cell r="J25">
            <v>1.49E-2</v>
          </cell>
          <cell r="N25" t="str">
            <v/>
          </cell>
          <cell r="O25" t="str">
            <v/>
          </cell>
          <cell r="P25">
            <v>0</v>
          </cell>
        </row>
        <row r="26">
          <cell r="A26" t="str">
            <v>ST-1880BB-70290-009</v>
          </cell>
          <cell r="B26" t="str">
            <v>1880-T-70290</v>
          </cell>
          <cell r="D26" t="str">
            <v>1880BB-T-70302_FL_16_REV02</v>
          </cell>
          <cell r="F26">
            <v>1</v>
          </cell>
          <cell r="G26">
            <v>61.7</v>
          </cell>
          <cell r="H26">
            <v>6.1700000000000005E-2</v>
          </cell>
          <cell r="I26" t="str">
            <v/>
          </cell>
          <cell r="J26">
            <v>6.1700000000000005E-2</v>
          </cell>
          <cell r="N26" t="str">
            <v/>
          </cell>
          <cell r="O26" t="str">
            <v/>
          </cell>
          <cell r="P26">
            <v>0</v>
          </cell>
        </row>
        <row r="27">
          <cell r="A27" t="str">
            <v>ST-1880BB-70290-012</v>
          </cell>
          <cell r="B27" t="str">
            <v>1880-T-70290</v>
          </cell>
          <cell r="D27" t="str">
            <v>1880BB-T-70302_FL_17_REV02</v>
          </cell>
          <cell r="F27">
            <v>1</v>
          </cell>
          <cell r="G27">
            <v>6.3</v>
          </cell>
          <cell r="H27">
            <v>6.3E-3</v>
          </cell>
          <cell r="I27" t="str">
            <v/>
          </cell>
          <cell r="J27">
            <v>6.3E-3</v>
          </cell>
          <cell r="N27" t="str">
            <v/>
          </cell>
          <cell r="O27" t="str">
            <v/>
          </cell>
          <cell r="P27">
            <v>0</v>
          </cell>
        </row>
        <row r="28">
          <cell r="A28" t="str">
            <v>ST-1880BB-70290-014</v>
          </cell>
          <cell r="B28" t="str">
            <v>1880-T-70290</v>
          </cell>
          <cell r="D28" t="str">
            <v>1880BB-T-70302_FL_17_REV02</v>
          </cell>
          <cell r="F28">
            <v>1</v>
          </cell>
          <cell r="G28">
            <v>6.3</v>
          </cell>
          <cell r="H28">
            <v>6.3E-3</v>
          </cell>
          <cell r="I28" t="str">
            <v/>
          </cell>
          <cell r="J28">
            <v>6.3E-3</v>
          </cell>
          <cell r="N28" t="str">
            <v/>
          </cell>
          <cell r="O28" t="str">
            <v/>
          </cell>
          <cell r="P28">
            <v>0</v>
          </cell>
        </row>
        <row r="29">
          <cell r="A29" t="str">
            <v>ST-1880BB-70290-017</v>
          </cell>
          <cell r="B29" t="str">
            <v>1880-T-70290</v>
          </cell>
          <cell r="D29" t="str">
            <v>1880BB-T-70302_FL_17_REV02</v>
          </cell>
          <cell r="F29">
            <v>1</v>
          </cell>
          <cell r="G29">
            <v>6.3</v>
          </cell>
          <cell r="H29">
            <v>6.3E-3</v>
          </cell>
          <cell r="I29" t="str">
            <v/>
          </cell>
          <cell r="J29">
            <v>6.3E-3</v>
          </cell>
          <cell r="N29" t="str">
            <v/>
          </cell>
          <cell r="O29" t="str">
            <v/>
          </cell>
          <cell r="P29">
            <v>0</v>
          </cell>
        </row>
        <row r="30">
          <cell r="A30" t="str">
            <v>ST-1880BB-70290-018</v>
          </cell>
          <cell r="B30" t="str">
            <v>1880-T-70290</v>
          </cell>
          <cell r="D30" t="str">
            <v>1880BB-T-70302_FL_17_REV02</v>
          </cell>
          <cell r="F30">
            <v>1</v>
          </cell>
          <cell r="G30">
            <v>6.3</v>
          </cell>
          <cell r="H30">
            <v>6.3E-3</v>
          </cell>
          <cell r="I30" t="str">
            <v/>
          </cell>
          <cell r="J30">
            <v>6.3E-3</v>
          </cell>
          <cell r="N30" t="str">
            <v/>
          </cell>
          <cell r="O30" t="str">
            <v/>
          </cell>
          <cell r="P30">
            <v>0</v>
          </cell>
        </row>
        <row r="31">
          <cell r="A31" t="str">
            <v>ST-1880BB-70290-020</v>
          </cell>
          <cell r="B31" t="str">
            <v>1880-T-70290</v>
          </cell>
          <cell r="D31" t="str">
            <v>1880BB-T-70302_FL_17_REV02</v>
          </cell>
          <cell r="F31">
            <v>1</v>
          </cell>
          <cell r="G31">
            <v>6.3</v>
          </cell>
          <cell r="H31">
            <v>6.3E-3</v>
          </cell>
          <cell r="I31" t="str">
            <v/>
          </cell>
          <cell r="J31">
            <v>6.3E-3</v>
          </cell>
          <cell r="N31" t="str">
            <v/>
          </cell>
          <cell r="O31" t="str">
            <v/>
          </cell>
          <cell r="P31">
            <v>0</v>
          </cell>
        </row>
        <row r="32">
          <cell r="A32" t="str">
            <v>ST-1880BB-70290-021</v>
          </cell>
          <cell r="B32" t="str">
            <v>1880-T-70290</v>
          </cell>
          <cell r="D32" t="str">
            <v>1880BB-T-70302_FL_17_REV02</v>
          </cell>
          <cell r="F32">
            <v>1</v>
          </cell>
          <cell r="G32">
            <v>6.3</v>
          </cell>
          <cell r="H32">
            <v>6.3E-3</v>
          </cell>
          <cell r="I32" t="str">
            <v/>
          </cell>
          <cell r="J32">
            <v>6.3E-3</v>
          </cell>
          <cell r="N32" t="str">
            <v/>
          </cell>
          <cell r="O32" t="str">
            <v/>
          </cell>
          <cell r="P32">
            <v>0</v>
          </cell>
        </row>
        <row r="33">
          <cell r="A33" t="str">
            <v>ST-1880BB-70290-013</v>
          </cell>
          <cell r="B33" t="str">
            <v>1880-T-70290</v>
          </cell>
          <cell r="D33" t="str">
            <v>1880BB-T-70302_FL_18_REV02</v>
          </cell>
          <cell r="F33">
            <v>1</v>
          </cell>
          <cell r="G33">
            <v>6.3</v>
          </cell>
          <cell r="H33">
            <v>6.3E-3</v>
          </cell>
          <cell r="I33" t="str">
            <v/>
          </cell>
          <cell r="J33">
            <v>6.3E-3</v>
          </cell>
          <cell r="N33" t="str">
            <v/>
          </cell>
          <cell r="O33" t="str">
            <v/>
          </cell>
          <cell r="P33">
            <v>0</v>
          </cell>
        </row>
        <row r="34">
          <cell r="A34" t="str">
            <v>ST-1880BB-70290-019</v>
          </cell>
          <cell r="B34" t="str">
            <v>1880-T-70290</v>
          </cell>
          <cell r="D34" t="str">
            <v>1880BB-T-70302_FL_18_REV02</v>
          </cell>
          <cell r="F34">
            <v>1</v>
          </cell>
          <cell r="G34">
            <v>6.3</v>
          </cell>
          <cell r="H34">
            <v>6.3E-3</v>
          </cell>
          <cell r="I34" t="str">
            <v/>
          </cell>
          <cell r="J34">
            <v>6.3E-3</v>
          </cell>
          <cell r="N34" t="str">
            <v/>
          </cell>
          <cell r="O34" t="str">
            <v/>
          </cell>
          <cell r="P34">
            <v>0</v>
          </cell>
        </row>
        <row r="35">
          <cell r="A35" t="str">
            <v>ST-1880BB-70290-022</v>
          </cell>
          <cell r="B35" t="str">
            <v>1880-T-70290</v>
          </cell>
          <cell r="D35" t="str">
            <v>1880BB-T-70302_FL_18_REV02</v>
          </cell>
          <cell r="F35">
            <v>1</v>
          </cell>
          <cell r="G35">
            <v>6.3</v>
          </cell>
          <cell r="H35">
            <v>6.3E-3</v>
          </cell>
          <cell r="I35" t="str">
            <v/>
          </cell>
          <cell r="J35">
            <v>6.3E-3</v>
          </cell>
          <cell r="N35" t="str">
            <v/>
          </cell>
          <cell r="O35" t="str">
            <v/>
          </cell>
          <cell r="P35">
            <v>0</v>
          </cell>
        </row>
        <row r="36">
          <cell r="A36" t="str">
            <v>ST-1880BB-70290-015</v>
          </cell>
          <cell r="B36" t="str">
            <v>1880-T-70290</v>
          </cell>
          <cell r="D36" t="str">
            <v>1880BB-T-70302_FL_19_REV02</v>
          </cell>
          <cell r="F36">
            <v>1</v>
          </cell>
          <cell r="G36">
            <v>3.9</v>
          </cell>
          <cell r="H36">
            <v>3.8999999999999998E-3</v>
          </cell>
          <cell r="I36" t="str">
            <v/>
          </cell>
          <cell r="J36">
            <v>3.8999999999999998E-3</v>
          </cell>
          <cell r="N36" t="str">
            <v/>
          </cell>
          <cell r="O36" t="str">
            <v/>
          </cell>
          <cell r="P36">
            <v>0</v>
          </cell>
        </row>
        <row r="37">
          <cell r="A37" t="str">
            <v>ST-1880BB-70290-016</v>
          </cell>
          <cell r="B37" t="str">
            <v>1880-T-70290</v>
          </cell>
          <cell r="D37" t="str">
            <v>1880BB-T-70302_FL_20_REV02</v>
          </cell>
          <cell r="F37">
            <v>1</v>
          </cell>
          <cell r="G37">
            <v>4.5999999999999996</v>
          </cell>
          <cell r="H37">
            <v>4.5999999999999999E-3</v>
          </cell>
          <cell r="I37" t="str">
            <v/>
          </cell>
          <cell r="J37">
            <v>4.5999999999999999E-3</v>
          </cell>
          <cell r="N37" t="str">
            <v/>
          </cell>
          <cell r="O37" t="str">
            <v/>
          </cell>
          <cell r="P37">
            <v>0</v>
          </cell>
        </row>
        <row r="38">
          <cell r="A38" t="str">
            <v>ST-1880BB-70290-027</v>
          </cell>
          <cell r="B38" t="str">
            <v>1880-T-70290</v>
          </cell>
          <cell r="D38" t="str">
            <v>1880BB-T-70302_FL_21_REV02</v>
          </cell>
          <cell r="F38">
            <v>1</v>
          </cell>
          <cell r="G38">
            <v>31.5</v>
          </cell>
          <cell r="H38">
            <v>3.15E-2</v>
          </cell>
          <cell r="I38" t="str">
            <v/>
          </cell>
          <cell r="J38">
            <v>3.15E-2</v>
          </cell>
          <cell r="N38" t="str">
            <v/>
          </cell>
          <cell r="O38" t="str">
            <v/>
          </cell>
          <cell r="P38">
            <v>0</v>
          </cell>
        </row>
        <row r="39">
          <cell r="A39" t="str">
            <v>ST-1880BB-70290-030</v>
          </cell>
          <cell r="B39" t="str">
            <v>1880-T-70290</v>
          </cell>
          <cell r="D39" t="str">
            <v>1880BB-T-70302_FL_22_REV02</v>
          </cell>
          <cell r="F39">
            <v>1</v>
          </cell>
          <cell r="G39">
            <v>83</v>
          </cell>
          <cell r="H39">
            <v>8.3000000000000004E-2</v>
          </cell>
          <cell r="I39" t="str">
            <v/>
          </cell>
          <cell r="J39">
            <v>8.3000000000000004E-2</v>
          </cell>
          <cell r="N39" t="str">
            <v/>
          </cell>
          <cell r="O39" t="str">
            <v/>
          </cell>
          <cell r="P39">
            <v>0</v>
          </cell>
        </row>
        <row r="40">
          <cell r="A40" t="str">
            <v>ST-1880BB-70290-031</v>
          </cell>
          <cell r="B40" t="str">
            <v>1880-T-70290</v>
          </cell>
          <cell r="D40" t="str">
            <v>1880BB-T-70302_FL_23_REV02</v>
          </cell>
          <cell r="F40">
            <v>1</v>
          </cell>
          <cell r="G40">
            <v>56.7</v>
          </cell>
          <cell r="H40">
            <v>5.67E-2</v>
          </cell>
          <cell r="I40" t="str">
            <v/>
          </cell>
          <cell r="J40">
            <v>5.67E-2</v>
          </cell>
          <cell r="N40" t="str">
            <v/>
          </cell>
          <cell r="O40" t="str">
            <v/>
          </cell>
          <cell r="P40">
            <v>0</v>
          </cell>
        </row>
        <row r="41">
          <cell r="A41" t="str">
            <v>ST-1880BB-70290-032</v>
          </cell>
          <cell r="B41" t="str">
            <v>1880-T-70290</v>
          </cell>
          <cell r="D41" t="str">
            <v>1880BB-T-70302_FL_23_REV02</v>
          </cell>
          <cell r="F41">
            <v>1</v>
          </cell>
          <cell r="G41">
            <v>56.7</v>
          </cell>
          <cell r="H41">
            <v>5.67E-2</v>
          </cell>
          <cell r="I41" t="str">
            <v/>
          </cell>
          <cell r="J41">
            <v>5.67E-2</v>
          </cell>
          <cell r="N41" t="str">
            <v/>
          </cell>
          <cell r="O41" t="str">
            <v/>
          </cell>
          <cell r="P41">
            <v>0</v>
          </cell>
        </row>
        <row r="42">
          <cell r="A42" t="str">
            <v>ST-1880BB-70290-033</v>
          </cell>
          <cell r="B42" t="str">
            <v>1880-T-70290</v>
          </cell>
          <cell r="D42" t="str">
            <v>1880BB-T-70302_FL_23_REV02</v>
          </cell>
          <cell r="F42">
            <v>1</v>
          </cell>
          <cell r="G42">
            <v>56.7</v>
          </cell>
          <cell r="H42">
            <v>5.67E-2</v>
          </cell>
          <cell r="I42" t="str">
            <v/>
          </cell>
          <cell r="J42">
            <v>5.67E-2</v>
          </cell>
          <cell r="N42" t="str">
            <v/>
          </cell>
          <cell r="O42" t="str">
            <v/>
          </cell>
          <cell r="P42">
            <v>0</v>
          </cell>
        </row>
        <row r="43">
          <cell r="A43" t="str">
            <v>ST-1880BB-70290-034</v>
          </cell>
          <cell r="B43" t="str">
            <v>1880-T-70290</v>
          </cell>
          <cell r="D43" t="str">
            <v>1880BB-T-70302_FL_24_REV02</v>
          </cell>
          <cell r="F43">
            <v>1</v>
          </cell>
          <cell r="G43">
            <v>15.7</v>
          </cell>
          <cell r="H43">
            <v>1.5699999999999999E-2</v>
          </cell>
          <cell r="I43" t="str">
            <v/>
          </cell>
          <cell r="J43">
            <v>1.5699999999999999E-2</v>
          </cell>
          <cell r="N43" t="str">
            <v/>
          </cell>
          <cell r="O43" t="str">
            <v/>
          </cell>
          <cell r="P43">
            <v>0</v>
          </cell>
        </row>
        <row r="44">
          <cell r="A44" t="str">
            <v>ST-1880BB-70291-004</v>
          </cell>
          <cell r="B44" t="str">
            <v>1880-T-70291</v>
          </cell>
          <cell r="D44" t="str">
            <v>1880BB-T-70302_FL_25_REV02</v>
          </cell>
          <cell r="F44">
            <v>1</v>
          </cell>
          <cell r="G44">
            <v>27.6</v>
          </cell>
          <cell r="H44">
            <v>2.7600000000000003E-2</v>
          </cell>
          <cell r="I44" t="str">
            <v/>
          </cell>
          <cell r="J44">
            <v>2.7600000000000003E-2</v>
          </cell>
          <cell r="N44" t="str">
            <v/>
          </cell>
          <cell r="O44" t="str">
            <v/>
          </cell>
          <cell r="P44">
            <v>0</v>
          </cell>
        </row>
        <row r="45">
          <cell r="A45" t="str">
            <v>ST-1880BB-70291-005</v>
          </cell>
          <cell r="B45" t="str">
            <v>1880-T-70291</v>
          </cell>
          <cell r="D45" t="str">
            <v>1880BB-T-70302_FL_26_REV02</v>
          </cell>
          <cell r="F45">
            <v>1</v>
          </cell>
          <cell r="G45">
            <v>30.9</v>
          </cell>
          <cell r="H45">
            <v>3.0899999999999997E-2</v>
          </cell>
          <cell r="I45" t="str">
            <v/>
          </cell>
          <cell r="J45">
            <v>3.0899999999999997E-2</v>
          </cell>
          <cell r="N45" t="str">
            <v/>
          </cell>
          <cell r="O45" t="str">
            <v/>
          </cell>
          <cell r="P45">
            <v>0</v>
          </cell>
        </row>
        <row r="46">
          <cell r="A46" t="str">
            <v>ST-1880BB-70291-006</v>
          </cell>
          <cell r="B46" t="str">
            <v>1880-T-70291</v>
          </cell>
          <cell r="D46" t="str">
            <v>1880BB-T-70302_FL_27_REV02</v>
          </cell>
          <cell r="F46">
            <v>1</v>
          </cell>
          <cell r="G46">
            <v>25.6</v>
          </cell>
          <cell r="H46">
            <v>2.5600000000000001E-2</v>
          </cell>
          <cell r="I46" t="str">
            <v/>
          </cell>
          <cell r="J46">
            <v>2.5600000000000001E-2</v>
          </cell>
          <cell r="N46" t="str">
            <v/>
          </cell>
          <cell r="O46" t="str">
            <v/>
          </cell>
          <cell r="P46">
            <v>0</v>
          </cell>
        </row>
        <row r="47">
          <cell r="A47" t="str">
            <v>ST-1880BB-70291-007</v>
          </cell>
          <cell r="B47" t="str">
            <v>1880-T-70291</v>
          </cell>
          <cell r="D47" t="str">
            <v>1880BB-T-70302_FL_28_REV02</v>
          </cell>
          <cell r="F47">
            <v>1</v>
          </cell>
          <cell r="G47">
            <v>28.9</v>
          </cell>
          <cell r="H47">
            <v>2.8899999999999999E-2</v>
          </cell>
          <cell r="I47" t="str">
            <v/>
          </cell>
          <cell r="J47">
            <v>2.8899999999999999E-2</v>
          </cell>
          <cell r="N47" t="str">
            <v/>
          </cell>
          <cell r="O47" t="str">
            <v/>
          </cell>
          <cell r="P47">
            <v>0</v>
          </cell>
        </row>
        <row r="48">
          <cell r="A48" t="str">
            <v>ST-1880BB-70292-010</v>
          </cell>
          <cell r="B48" t="str">
            <v>1880-T-70292</v>
          </cell>
          <cell r="D48" t="str">
            <v>1880BB-T-70302_FL_29_REV02</v>
          </cell>
          <cell r="F48">
            <v>1</v>
          </cell>
          <cell r="G48">
            <v>29</v>
          </cell>
          <cell r="H48">
            <v>2.9000000000000001E-2</v>
          </cell>
          <cell r="I48" t="str">
            <v/>
          </cell>
          <cell r="J48">
            <v>2.9000000000000001E-2</v>
          </cell>
          <cell r="N48" t="str">
            <v/>
          </cell>
          <cell r="O48" t="str">
            <v/>
          </cell>
          <cell r="P48">
            <v>0</v>
          </cell>
        </row>
        <row r="49">
          <cell r="A49" t="str">
            <v>ST-1880BB-70292-011</v>
          </cell>
          <cell r="B49" t="str">
            <v>1880-T-70292</v>
          </cell>
          <cell r="D49" t="str">
            <v>1880BB-T-70302_FL_30_REV02</v>
          </cell>
          <cell r="F49">
            <v>1</v>
          </cell>
          <cell r="G49">
            <v>15.7</v>
          </cell>
          <cell r="H49">
            <v>1.5699999999999999E-2</v>
          </cell>
          <cell r="I49" t="str">
            <v/>
          </cell>
          <cell r="J49">
            <v>1.5699999999999999E-2</v>
          </cell>
          <cell r="N49" t="str">
            <v/>
          </cell>
          <cell r="O49" t="str">
            <v/>
          </cell>
          <cell r="P49">
            <v>0</v>
          </cell>
        </row>
        <row r="50">
          <cell r="A50" t="str">
            <v>ST-1880BB-70292-012</v>
          </cell>
          <cell r="B50" t="str">
            <v>1880-T-70292</v>
          </cell>
          <cell r="D50" t="str">
            <v>1880BB-T-70302_FL_30_REV02</v>
          </cell>
          <cell r="F50">
            <v>1</v>
          </cell>
          <cell r="G50">
            <v>15.7</v>
          </cell>
          <cell r="H50">
            <v>1.5699999999999999E-2</v>
          </cell>
          <cell r="I50" t="str">
            <v/>
          </cell>
          <cell r="J50">
            <v>1.5699999999999999E-2</v>
          </cell>
          <cell r="N50" t="str">
            <v/>
          </cell>
          <cell r="O50" t="str">
            <v/>
          </cell>
          <cell r="P50">
            <v>0</v>
          </cell>
        </row>
        <row r="51">
          <cell r="A51" t="str">
            <v>ST-1880BB-70292-013</v>
          </cell>
          <cell r="B51" t="str">
            <v>1880-T-70292</v>
          </cell>
          <cell r="D51" t="str">
            <v>1880BB-T-70302_FL_30_REV02</v>
          </cell>
          <cell r="F51">
            <v>1</v>
          </cell>
          <cell r="G51">
            <v>15.7</v>
          </cell>
          <cell r="H51">
            <v>1.5699999999999999E-2</v>
          </cell>
          <cell r="I51" t="str">
            <v/>
          </cell>
          <cell r="J51">
            <v>1.5699999999999999E-2</v>
          </cell>
          <cell r="N51" t="str">
            <v/>
          </cell>
          <cell r="O51" t="str">
            <v/>
          </cell>
          <cell r="P51">
            <v>0</v>
          </cell>
        </row>
        <row r="52">
          <cell r="A52" t="str">
            <v>ST-1880BB-70296-001</v>
          </cell>
          <cell r="B52" t="str">
            <v>1880-T-70296</v>
          </cell>
          <cell r="D52" t="str">
            <v>1880BB-T-70302_FL_31_REV02</v>
          </cell>
          <cell r="F52">
            <v>1</v>
          </cell>
          <cell r="G52">
            <v>7.8</v>
          </cell>
          <cell r="H52">
            <v>7.7999999999999996E-3</v>
          </cell>
          <cell r="I52" t="str">
            <v/>
          </cell>
          <cell r="J52">
            <v>7.7999999999999996E-3</v>
          </cell>
          <cell r="N52" t="str">
            <v/>
          </cell>
          <cell r="O52" t="str">
            <v/>
          </cell>
          <cell r="P52">
            <v>0</v>
          </cell>
        </row>
        <row r="53">
          <cell r="A53" t="str">
            <v>ST-1880BB-70296-002</v>
          </cell>
          <cell r="B53" t="str">
            <v>1880-T-70296</v>
          </cell>
          <cell r="D53" t="str">
            <v>1880BB-T-70302_FL_32_REV02</v>
          </cell>
          <cell r="F53">
            <v>1</v>
          </cell>
          <cell r="G53">
            <v>4.7</v>
          </cell>
          <cell r="H53">
            <v>4.7000000000000002E-3</v>
          </cell>
          <cell r="I53" t="str">
            <v/>
          </cell>
          <cell r="J53">
            <v>4.7000000000000002E-3</v>
          </cell>
          <cell r="N53" t="str">
            <v/>
          </cell>
          <cell r="O53" t="str">
            <v/>
          </cell>
          <cell r="P53">
            <v>0</v>
          </cell>
        </row>
        <row r="54">
          <cell r="A54" t="str">
            <v>ST-1880BB-70296-003</v>
          </cell>
          <cell r="B54" t="str">
            <v>1880-T-70296</v>
          </cell>
          <cell r="D54" t="str">
            <v>1880BB-T-70302_FL_33_REV02</v>
          </cell>
          <cell r="F54">
            <v>1</v>
          </cell>
          <cell r="G54">
            <v>3.2</v>
          </cell>
          <cell r="H54">
            <v>3.2000000000000002E-3</v>
          </cell>
          <cell r="I54" t="str">
            <v/>
          </cell>
          <cell r="J54">
            <v>3.2000000000000002E-3</v>
          </cell>
          <cell r="N54" t="str">
            <v/>
          </cell>
          <cell r="O54" t="str">
            <v/>
          </cell>
          <cell r="P54">
            <v>0</v>
          </cell>
        </row>
        <row r="55">
          <cell r="A55" t="str">
            <v>ST-1880BB-70296-004</v>
          </cell>
          <cell r="B55" t="str">
            <v>1880-T-70296</v>
          </cell>
          <cell r="D55" t="str">
            <v>1880BB-T-70302_FL_33_REV02</v>
          </cell>
          <cell r="F55">
            <v>1</v>
          </cell>
          <cell r="G55">
            <v>3.2</v>
          </cell>
          <cell r="H55">
            <v>3.2000000000000002E-3</v>
          </cell>
          <cell r="I55" t="str">
            <v/>
          </cell>
          <cell r="J55">
            <v>3.2000000000000002E-3</v>
          </cell>
          <cell r="N55" t="str">
            <v/>
          </cell>
          <cell r="O55" t="str">
            <v/>
          </cell>
          <cell r="P55">
            <v>0</v>
          </cell>
        </row>
        <row r="56">
          <cell r="A56" t="str">
            <v>ST-1880BB-70296-005</v>
          </cell>
          <cell r="B56" t="str">
            <v>1880-T-70296</v>
          </cell>
          <cell r="D56" t="str">
            <v>1880BB-T-70302_FL_33_REV02</v>
          </cell>
          <cell r="F56">
            <v>1</v>
          </cell>
          <cell r="G56">
            <v>3.2</v>
          </cell>
          <cell r="H56">
            <v>3.2000000000000002E-3</v>
          </cell>
          <cell r="I56" t="str">
            <v/>
          </cell>
          <cell r="J56">
            <v>3.2000000000000002E-3</v>
          </cell>
          <cell r="N56" t="str">
            <v/>
          </cell>
          <cell r="O56" t="str">
            <v/>
          </cell>
          <cell r="P56">
            <v>0</v>
          </cell>
        </row>
        <row r="57">
          <cell r="A57" t="str">
            <v>ST-1880BB-70289-001</v>
          </cell>
          <cell r="B57" t="str">
            <v>1880-T-70289</v>
          </cell>
          <cell r="D57" t="str">
            <v>1880BB-T-70302_FL_34_REV02</v>
          </cell>
          <cell r="F57">
            <v>1</v>
          </cell>
          <cell r="G57">
            <v>3.9</v>
          </cell>
          <cell r="H57">
            <v>3.8999999999999998E-3</v>
          </cell>
          <cell r="I57" t="str">
            <v/>
          </cell>
          <cell r="J57">
            <v>3.8999999999999998E-3</v>
          </cell>
          <cell r="N57" t="str">
            <v/>
          </cell>
          <cell r="O57" t="str">
            <v/>
          </cell>
          <cell r="P57">
            <v>0</v>
          </cell>
        </row>
        <row r="58">
          <cell r="A58" t="str">
            <v>ST-1880BB-70289-011</v>
          </cell>
          <cell r="B58" t="str">
            <v>1880-T-70289</v>
          </cell>
          <cell r="D58" t="str">
            <v>1880BB-T-70302_FL_34_REV02</v>
          </cell>
          <cell r="F58">
            <v>1</v>
          </cell>
          <cell r="G58">
            <v>3.9</v>
          </cell>
          <cell r="H58">
            <v>3.8999999999999998E-3</v>
          </cell>
          <cell r="I58" t="str">
            <v/>
          </cell>
          <cell r="J58">
            <v>3.8999999999999998E-3</v>
          </cell>
          <cell r="N58" t="str">
            <v/>
          </cell>
          <cell r="O58" t="str">
            <v/>
          </cell>
          <cell r="P58">
            <v>0</v>
          </cell>
        </row>
        <row r="59">
          <cell r="A59" t="str">
            <v>ST-1880BB-70289-012</v>
          </cell>
          <cell r="B59" t="str">
            <v>1880-T-70289</v>
          </cell>
          <cell r="D59" t="str">
            <v>1880BB-T-70302_FL_34_REV02</v>
          </cell>
          <cell r="F59">
            <v>1</v>
          </cell>
          <cell r="G59">
            <v>3.9</v>
          </cell>
          <cell r="H59">
            <v>3.8999999999999998E-3</v>
          </cell>
          <cell r="I59" t="str">
            <v/>
          </cell>
          <cell r="J59">
            <v>3.8999999999999998E-3</v>
          </cell>
          <cell r="N59" t="str">
            <v/>
          </cell>
          <cell r="O59" t="str">
            <v/>
          </cell>
          <cell r="P59">
            <v>0</v>
          </cell>
        </row>
        <row r="60">
          <cell r="A60" t="str">
            <v>ST-1880BB-70296-051</v>
          </cell>
          <cell r="B60" t="str">
            <v>1880-T-70296</v>
          </cell>
          <cell r="D60" t="str">
            <v>1880BB-T-70302_FL_35_REV02</v>
          </cell>
          <cell r="F60">
            <v>1</v>
          </cell>
          <cell r="G60">
            <v>8.3000000000000007</v>
          </cell>
          <cell r="H60">
            <v>8.3000000000000001E-3</v>
          </cell>
          <cell r="I60" t="str">
            <v/>
          </cell>
          <cell r="J60">
            <v>8.3000000000000001E-3</v>
          </cell>
          <cell r="N60" t="str">
            <v/>
          </cell>
          <cell r="O60" t="str">
            <v/>
          </cell>
          <cell r="P60">
            <v>0</v>
          </cell>
        </row>
        <row r="61">
          <cell r="A61" t="str">
            <v>ST-1880BB-70297-006</v>
          </cell>
          <cell r="B61" t="str">
            <v>1880-T-70297</v>
          </cell>
          <cell r="D61" t="str">
            <v>1880BB-T-70302_FL_36_REV02</v>
          </cell>
          <cell r="F61">
            <v>1</v>
          </cell>
          <cell r="G61">
            <v>115.1</v>
          </cell>
          <cell r="H61">
            <v>0.11509999999999999</v>
          </cell>
          <cell r="I61" t="str">
            <v/>
          </cell>
          <cell r="J61">
            <v>0.11509999999999999</v>
          </cell>
          <cell r="N61" t="str">
            <v/>
          </cell>
          <cell r="O61" t="str">
            <v/>
          </cell>
          <cell r="P61">
            <v>0</v>
          </cell>
        </row>
        <row r="62">
          <cell r="A62" t="str">
            <v>ST-1880BB-70297-007</v>
          </cell>
          <cell r="B62" t="str">
            <v>1880-T-70297</v>
          </cell>
          <cell r="D62" t="str">
            <v>1880BB-T-70302_FL_36_REV02</v>
          </cell>
          <cell r="F62">
            <v>1</v>
          </cell>
          <cell r="G62">
            <v>115.1</v>
          </cell>
          <cell r="H62">
            <v>0.11509999999999999</v>
          </cell>
          <cell r="I62" t="str">
            <v/>
          </cell>
          <cell r="J62">
            <v>0.11509999999999999</v>
          </cell>
          <cell r="N62" t="str">
            <v/>
          </cell>
          <cell r="O62" t="str">
            <v/>
          </cell>
          <cell r="P62">
            <v>0</v>
          </cell>
        </row>
        <row r="63">
          <cell r="A63" t="str">
            <v>ST-1880BB-70297-008</v>
          </cell>
          <cell r="B63" t="str">
            <v>1880-T-70297</v>
          </cell>
          <cell r="D63" t="str">
            <v>1880BB-T-70302_FL_37_REV02</v>
          </cell>
          <cell r="F63">
            <v>1</v>
          </cell>
          <cell r="G63">
            <v>7.1</v>
          </cell>
          <cell r="H63">
            <v>7.0999999999999995E-3</v>
          </cell>
          <cell r="I63" t="str">
            <v/>
          </cell>
          <cell r="J63">
            <v>7.0999999999999995E-3</v>
          </cell>
          <cell r="N63" t="str">
            <v/>
          </cell>
          <cell r="O63" t="str">
            <v/>
          </cell>
          <cell r="P63">
            <v>0</v>
          </cell>
        </row>
        <row r="64">
          <cell r="A64" t="str">
            <v>ST-1880BB-70297-009</v>
          </cell>
          <cell r="B64" t="str">
            <v>1880-T-70297</v>
          </cell>
          <cell r="D64" t="str">
            <v>1880BB-T-70302_FL_38_REV02</v>
          </cell>
          <cell r="F64">
            <v>1</v>
          </cell>
          <cell r="G64">
            <v>39</v>
          </cell>
          <cell r="H64">
            <v>3.9E-2</v>
          </cell>
          <cell r="I64" t="str">
            <v/>
          </cell>
          <cell r="J64">
            <v>3.9E-2</v>
          </cell>
          <cell r="N64" t="str">
            <v/>
          </cell>
          <cell r="O64" t="str">
            <v/>
          </cell>
          <cell r="P64">
            <v>0</v>
          </cell>
        </row>
        <row r="65">
          <cell r="A65" t="str">
            <v>ST-1880BB-70297-010</v>
          </cell>
          <cell r="B65" t="str">
            <v>1880-T-70297</v>
          </cell>
          <cell r="D65" t="str">
            <v>1880BB-T-70302_FL_39_REV02</v>
          </cell>
          <cell r="F65">
            <v>1</v>
          </cell>
          <cell r="G65">
            <v>70.599999999999994</v>
          </cell>
          <cell r="H65">
            <v>7.0599999999999996E-2</v>
          </cell>
          <cell r="I65" t="str">
            <v/>
          </cell>
          <cell r="J65">
            <v>7.0599999999999996E-2</v>
          </cell>
          <cell r="N65" t="str">
            <v/>
          </cell>
          <cell r="O65" t="str">
            <v/>
          </cell>
          <cell r="P65">
            <v>0</v>
          </cell>
        </row>
        <row r="66">
          <cell r="A66" t="str">
            <v>ST-1880BB-70298-011</v>
          </cell>
          <cell r="B66" t="str">
            <v>1880-T-70298</v>
          </cell>
          <cell r="D66" t="str">
            <v>1880BB-T-70302_FL_39_REV02</v>
          </cell>
          <cell r="F66">
            <v>1</v>
          </cell>
          <cell r="G66">
            <v>70.599999999999994</v>
          </cell>
          <cell r="H66">
            <v>7.0599999999999996E-2</v>
          </cell>
          <cell r="I66" t="str">
            <v/>
          </cell>
          <cell r="J66">
            <v>7.0599999999999996E-2</v>
          </cell>
          <cell r="N66" t="str">
            <v/>
          </cell>
          <cell r="O66" t="str">
            <v/>
          </cell>
          <cell r="P66">
            <v>0</v>
          </cell>
        </row>
        <row r="67">
          <cell r="A67" t="str">
            <v>ST-1880BB-70298-012</v>
          </cell>
          <cell r="B67" t="str">
            <v>1880-T-70298</v>
          </cell>
          <cell r="D67" t="str">
            <v>1880BB-T-70302_FL_40_REV02</v>
          </cell>
          <cell r="F67">
            <v>1</v>
          </cell>
          <cell r="G67">
            <v>4.5</v>
          </cell>
          <cell r="H67">
            <v>4.4999999999999997E-3</v>
          </cell>
          <cell r="I67" t="str">
            <v/>
          </cell>
          <cell r="J67">
            <v>4.4999999999999997E-3</v>
          </cell>
          <cell r="N67" t="str">
            <v/>
          </cell>
          <cell r="O67" t="str">
            <v/>
          </cell>
          <cell r="P67">
            <v>0</v>
          </cell>
        </row>
        <row r="68">
          <cell r="A68" t="str">
            <v>ST-1880BB-70298-013</v>
          </cell>
          <cell r="B68" t="str">
            <v>1880-T-70298</v>
          </cell>
          <cell r="D68" t="str">
            <v>1880BB-T-70302_FL_41_REV02</v>
          </cell>
          <cell r="F68">
            <v>1</v>
          </cell>
          <cell r="G68">
            <v>22.5</v>
          </cell>
          <cell r="H68">
            <v>2.2499999999999999E-2</v>
          </cell>
          <cell r="I68" t="str">
            <v/>
          </cell>
          <cell r="J68">
            <v>2.2499999999999999E-2</v>
          </cell>
          <cell r="N68" t="str">
            <v/>
          </cell>
          <cell r="O68" t="str">
            <v/>
          </cell>
          <cell r="P68">
            <v>0</v>
          </cell>
        </row>
        <row r="69">
          <cell r="A69" t="str">
            <v>ST-1880BB-70298-014</v>
          </cell>
          <cell r="B69" t="str">
            <v>1880-T-70298</v>
          </cell>
          <cell r="D69" t="str">
            <v>1880BB-T-70302_FL_42_REV02</v>
          </cell>
          <cell r="F69">
            <v>1</v>
          </cell>
          <cell r="G69">
            <v>18.8</v>
          </cell>
          <cell r="H69">
            <v>1.8800000000000001E-2</v>
          </cell>
          <cell r="I69" t="str">
            <v/>
          </cell>
          <cell r="J69">
            <v>1.8800000000000001E-2</v>
          </cell>
          <cell r="N69" t="str">
            <v/>
          </cell>
          <cell r="O69" t="str">
            <v/>
          </cell>
          <cell r="P69">
            <v>0</v>
          </cell>
        </row>
        <row r="70">
          <cell r="A70" t="str">
            <v>ST-1880BB-70298-015</v>
          </cell>
          <cell r="B70" t="str">
            <v>1880-T-70298</v>
          </cell>
          <cell r="D70" t="str">
            <v>1880BB-T-70302_FL_42_REV02</v>
          </cell>
          <cell r="F70">
            <v>1</v>
          </cell>
          <cell r="G70">
            <v>18.8</v>
          </cell>
          <cell r="H70">
            <v>1.8800000000000001E-2</v>
          </cell>
          <cell r="I70" t="str">
            <v/>
          </cell>
          <cell r="J70">
            <v>1.8800000000000001E-2</v>
          </cell>
          <cell r="N70" t="str">
            <v/>
          </cell>
          <cell r="O70" t="str">
            <v/>
          </cell>
          <cell r="P70">
            <v>0</v>
          </cell>
        </row>
        <row r="71">
          <cell r="A71" t="str">
            <v>ST-1880BB-70299-016</v>
          </cell>
          <cell r="B71" t="str">
            <v>1880-T-70299</v>
          </cell>
          <cell r="D71" t="str">
            <v>1880BB-T-70302_FL_43_REV02</v>
          </cell>
          <cell r="F71">
            <v>1</v>
          </cell>
          <cell r="G71">
            <v>17.8</v>
          </cell>
          <cell r="H71">
            <v>1.78E-2</v>
          </cell>
          <cell r="I71" t="str">
            <v/>
          </cell>
          <cell r="J71">
            <v>1.78E-2</v>
          </cell>
          <cell r="N71">
            <v>1.6376000000000002E-2</v>
          </cell>
          <cell r="O71" t="str">
            <v/>
          </cell>
          <cell r="P71">
            <v>1.6376000000000002E-2</v>
          </cell>
        </row>
        <row r="72">
          <cell r="A72" t="str">
            <v>ST-1880BB-70299-018</v>
          </cell>
          <cell r="B72" t="str">
            <v>1880-T-70299</v>
          </cell>
          <cell r="D72" t="str">
            <v>1880BB-T-70302_FL_43_REV02</v>
          </cell>
          <cell r="F72">
            <v>1</v>
          </cell>
          <cell r="G72">
            <v>17.8</v>
          </cell>
          <cell r="H72">
            <v>1.78E-2</v>
          </cell>
          <cell r="I72" t="str">
            <v/>
          </cell>
          <cell r="J72">
            <v>1.78E-2</v>
          </cell>
          <cell r="N72">
            <v>1.6376000000000002E-2</v>
          </cell>
          <cell r="O72" t="str">
            <v/>
          </cell>
          <cell r="P72">
            <v>1.6376000000000002E-2</v>
          </cell>
        </row>
        <row r="73">
          <cell r="A73" t="str">
            <v>ST-1880BB-70299-020</v>
          </cell>
          <cell r="B73" t="str">
            <v>1880-T-70299</v>
          </cell>
          <cell r="D73" t="str">
            <v>1880BB-T-70302_FL_43_REV02</v>
          </cell>
          <cell r="F73">
            <v>1</v>
          </cell>
          <cell r="G73">
            <v>17.8</v>
          </cell>
          <cell r="H73">
            <v>1.78E-2</v>
          </cell>
          <cell r="I73" t="str">
            <v/>
          </cell>
          <cell r="J73">
            <v>1.78E-2</v>
          </cell>
          <cell r="N73">
            <v>1.6376000000000002E-2</v>
          </cell>
          <cell r="O73" t="str">
            <v/>
          </cell>
          <cell r="P73">
            <v>1.6376000000000002E-2</v>
          </cell>
        </row>
        <row r="74">
          <cell r="A74" t="str">
            <v>ST-1880BB-70299-021</v>
          </cell>
          <cell r="B74" t="str">
            <v>1880-T-70299</v>
          </cell>
          <cell r="D74" t="str">
            <v>1880BB-T-70302_FL_43_REV02</v>
          </cell>
          <cell r="F74">
            <v>1</v>
          </cell>
          <cell r="G74">
            <v>17.8</v>
          </cell>
          <cell r="H74">
            <v>1.78E-2</v>
          </cell>
          <cell r="I74" t="str">
            <v/>
          </cell>
          <cell r="J74">
            <v>1.78E-2</v>
          </cell>
          <cell r="N74">
            <v>1.6376000000000002E-2</v>
          </cell>
          <cell r="O74" t="str">
            <v/>
          </cell>
          <cell r="P74">
            <v>1.6376000000000002E-2</v>
          </cell>
        </row>
        <row r="75">
          <cell r="A75" t="str">
            <v>ST-1880BB-70299-023</v>
          </cell>
          <cell r="B75" t="str">
            <v>1880-T-70299</v>
          </cell>
          <cell r="D75" t="str">
            <v>1880BB-T-70302_FL_43_REV02</v>
          </cell>
          <cell r="F75">
            <v>1</v>
          </cell>
          <cell r="G75">
            <v>17.8</v>
          </cell>
          <cell r="H75">
            <v>1.78E-2</v>
          </cell>
          <cell r="I75" t="str">
            <v/>
          </cell>
          <cell r="J75">
            <v>1.78E-2</v>
          </cell>
          <cell r="N75" t="str">
            <v/>
          </cell>
          <cell r="O75" t="str">
            <v/>
          </cell>
          <cell r="P75">
            <v>0</v>
          </cell>
        </row>
        <row r="76">
          <cell r="A76" t="str">
            <v>ST-1880BB-70299-025</v>
          </cell>
          <cell r="B76" t="str">
            <v>1880-T-70299</v>
          </cell>
          <cell r="D76" t="str">
            <v>1880BB-T-70302_FL_43_REV02</v>
          </cell>
          <cell r="F76">
            <v>1</v>
          </cell>
          <cell r="G76">
            <v>17.8</v>
          </cell>
          <cell r="H76">
            <v>1.78E-2</v>
          </cell>
          <cell r="I76" t="str">
            <v/>
          </cell>
          <cell r="J76">
            <v>1.78E-2</v>
          </cell>
          <cell r="N76">
            <v>1.6376000000000002E-2</v>
          </cell>
          <cell r="O76" t="str">
            <v/>
          </cell>
          <cell r="P76">
            <v>1.6376000000000002E-2</v>
          </cell>
        </row>
        <row r="77">
          <cell r="A77" t="str">
            <v>ST-1880BB-70299-027</v>
          </cell>
          <cell r="B77" t="str">
            <v>1880-T-70299</v>
          </cell>
          <cell r="D77" t="str">
            <v>1880BB-T-70302_FL_43_REV02</v>
          </cell>
          <cell r="F77">
            <v>1</v>
          </cell>
          <cell r="G77">
            <v>17.8</v>
          </cell>
          <cell r="H77">
            <v>1.78E-2</v>
          </cell>
          <cell r="I77" t="str">
            <v/>
          </cell>
          <cell r="J77">
            <v>1.78E-2</v>
          </cell>
          <cell r="N77">
            <v>1.6376000000000002E-2</v>
          </cell>
          <cell r="O77" t="str">
            <v/>
          </cell>
          <cell r="P77">
            <v>1.6376000000000002E-2</v>
          </cell>
        </row>
        <row r="78">
          <cell r="A78" t="str">
            <v>ST-1880BB-70299-029</v>
          </cell>
          <cell r="B78" t="str">
            <v>1880-T-70299</v>
          </cell>
          <cell r="D78" t="str">
            <v>1880BB-T-70302_FL_43_REV02</v>
          </cell>
          <cell r="F78">
            <v>1</v>
          </cell>
          <cell r="G78">
            <v>17.8</v>
          </cell>
          <cell r="H78">
            <v>1.78E-2</v>
          </cell>
          <cell r="I78" t="str">
            <v/>
          </cell>
          <cell r="J78">
            <v>1.78E-2</v>
          </cell>
          <cell r="N78">
            <v>2.4104E-2</v>
          </cell>
          <cell r="O78" t="str">
            <v/>
          </cell>
          <cell r="P78">
            <v>2.4104E-2</v>
          </cell>
        </row>
        <row r="79">
          <cell r="A79" t="str">
            <v>ST-1880BB-70299-017</v>
          </cell>
          <cell r="B79" t="str">
            <v>1880-T-70299</v>
          </cell>
          <cell r="D79" t="str">
            <v>1880BB-T-70302_FL_44_REV02</v>
          </cell>
          <cell r="F79">
            <v>1</v>
          </cell>
          <cell r="G79">
            <v>26.2</v>
          </cell>
          <cell r="H79">
            <v>2.6199999999999998E-2</v>
          </cell>
          <cell r="I79" t="str">
            <v/>
          </cell>
          <cell r="J79">
            <v>2.6199999999999998E-2</v>
          </cell>
          <cell r="N79">
            <v>2.4104E-2</v>
          </cell>
          <cell r="O79" t="str">
            <v/>
          </cell>
          <cell r="P79">
            <v>2.4104E-2</v>
          </cell>
        </row>
        <row r="80">
          <cell r="A80" t="str">
            <v>ST-1880BB-70299-019</v>
          </cell>
          <cell r="B80" t="str">
            <v>1880-T-70299</v>
          </cell>
          <cell r="D80" t="str">
            <v>1880BB-T-70302_FL_44_REV02</v>
          </cell>
          <cell r="F80">
            <v>1</v>
          </cell>
          <cell r="G80">
            <v>26.2</v>
          </cell>
          <cell r="H80">
            <v>2.6199999999999998E-2</v>
          </cell>
          <cell r="I80" t="str">
            <v/>
          </cell>
          <cell r="J80">
            <v>2.6199999999999998E-2</v>
          </cell>
          <cell r="N80">
            <v>2.4104E-2</v>
          </cell>
          <cell r="O80" t="str">
            <v/>
          </cell>
          <cell r="P80">
            <v>2.4104E-2</v>
          </cell>
        </row>
        <row r="81">
          <cell r="A81" t="str">
            <v>ST-1880BB-70299-022</v>
          </cell>
          <cell r="B81" t="str">
            <v>1880-T-70299</v>
          </cell>
          <cell r="D81" t="str">
            <v>1880BB-T-70302_FL_44_REV02</v>
          </cell>
          <cell r="F81">
            <v>1</v>
          </cell>
          <cell r="G81">
            <v>26.2</v>
          </cell>
          <cell r="H81">
            <v>2.6199999999999998E-2</v>
          </cell>
          <cell r="I81" t="str">
            <v/>
          </cell>
          <cell r="J81">
            <v>2.6199999999999998E-2</v>
          </cell>
          <cell r="N81">
            <v>2.4104E-2</v>
          </cell>
          <cell r="O81" t="str">
            <v/>
          </cell>
          <cell r="P81">
            <v>2.4104E-2</v>
          </cell>
        </row>
        <row r="82">
          <cell r="A82" t="str">
            <v>ST-1880BB-70299-024</v>
          </cell>
          <cell r="B82" t="str">
            <v>1880-T-70299</v>
          </cell>
          <cell r="D82" t="str">
            <v>1880BB-T-70302_FL_44_REV02</v>
          </cell>
          <cell r="F82">
            <v>1</v>
          </cell>
          <cell r="G82">
            <v>26.2</v>
          </cell>
          <cell r="H82">
            <v>2.6199999999999998E-2</v>
          </cell>
          <cell r="I82" t="str">
            <v/>
          </cell>
          <cell r="J82">
            <v>2.6199999999999998E-2</v>
          </cell>
          <cell r="N82">
            <v>2.4104E-2</v>
          </cell>
          <cell r="O82" t="str">
            <v/>
          </cell>
          <cell r="P82">
            <v>2.4104E-2</v>
          </cell>
        </row>
        <row r="83">
          <cell r="A83" t="str">
            <v>ST-1880BB-70299-026</v>
          </cell>
          <cell r="B83" t="str">
            <v>1880-T-70299</v>
          </cell>
          <cell r="D83" t="str">
            <v>1880BB-T-70302_FL_44_REV02</v>
          </cell>
          <cell r="F83">
            <v>1</v>
          </cell>
          <cell r="G83">
            <v>26.2</v>
          </cell>
          <cell r="H83">
            <v>2.6199999999999998E-2</v>
          </cell>
          <cell r="I83" t="str">
            <v/>
          </cell>
          <cell r="J83">
            <v>2.6199999999999998E-2</v>
          </cell>
          <cell r="N83">
            <v>2.4104E-2</v>
          </cell>
          <cell r="O83" t="str">
            <v/>
          </cell>
          <cell r="P83">
            <v>2.4104E-2</v>
          </cell>
        </row>
        <row r="84">
          <cell r="A84" t="str">
            <v>ST-1880BB-70299-028</v>
          </cell>
          <cell r="B84" t="str">
            <v>1880-T-70299</v>
          </cell>
          <cell r="D84" t="str">
            <v>1880BB-T-70302_FL_44_REV02</v>
          </cell>
          <cell r="F84">
            <v>1</v>
          </cell>
          <cell r="G84">
            <v>26.2</v>
          </cell>
          <cell r="H84">
            <v>2.6199999999999998E-2</v>
          </cell>
          <cell r="I84" t="str">
            <v/>
          </cell>
          <cell r="J84">
            <v>2.6199999999999998E-2</v>
          </cell>
          <cell r="N84">
            <v>3.2384000000000003E-2</v>
          </cell>
          <cell r="O84" t="str">
            <v/>
          </cell>
          <cell r="P84">
            <v>3.2384000000000003E-2</v>
          </cell>
        </row>
        <row r="85">
          <cell r="A85" t="str">
            <v>ST-1880BB-70300-030</v>
          </cell>
          <cell r="B85" t="str">
            <v>1880-T-70300</v>
          </cell>
          <cell r="D85" t="str">
            <v>1880BB-T-70302_FL_45_REV02</v>
          </cell>
          <cell r="F85">
            <v>1</v>
          </cell>
          <cell r="G85">
            <v>35.200000000000003</v>
          </cell>
          <cell r="H85">
            <v>3.5200000000000002E-2</v>
          </cell>
          <cell r="I85" t="str">
            <v/>
          </cell>
          <cell r="J85">
            <v>3.5200000000000002E-2</v>
          </cell>
          <cell r="N85">
            <v>3.2384000000000003E-2</v>
          </cell>
          <cell r="O85" t="str">
            <v/>
          </cell>
          <cell r="P85">
            <v>3.2384000000000003E-2</v>
          </cell>
        </row>
        <row r="86">
          <cell r="A86" t="str">
            <v>ST-1880BB-70300-032</v>
          </cell>
          <cell r="B86" t="str">
            <v>1880-T-70300</v>
          </cell>
          <cell r="D86" t="str">
            <v>1880BB-T-70302_FL_45_REV02</v>
          </cell>
          <cell r="F86">
            <v>1</v>
          </cell>
          <cell r="G86">
            <v>35.200000000000003</v>
          </cell>
          <cell r="H86">
            <v>3.5200000000000002E-2</v>
          </cell>
          <cell r="I86" t="str">
            <v/>
          </cell>
          <cell r="J86">
            <v>3.5200000000000002E-2</v>
          </cell>
          <cell r="N86">
            <v>3.2384000000000003E-2</v>
          </cell>
          <cell r="O86" t="str">
            <v/>
          </cell>
          <cell r="P86">
            <v>3.2384000000000003E-2</v>
          </cell>
        </row>
        <row r="87">
          <cell r="A87" t="str">
            <v>ST-1880BB-70300-031</v>
          </cell>
          <cell r="B87" t="str">
            <v>1880-T-70300</v>
          </cell>
          <cell r="D87" t="str">
            <v>1880BB-T-70302_FL_46_REV02</v>
          </cell>
          <cell r="F87">
            <v>1</v>
          </cell>
          <cell r="G87">
            <v>35.200000000000003</v>
          </cell>
          <cell r="H87">
            <v>3.5200000000000002E-2</v>
          </cell>
          <cell r="I87" t="str">
            <v/>
          </cell>
          <cell r="J87">
            <v>3.5200000000000002E-2</v>
          </cell>
          <cell r="N87">
            <v>3.2384000000000003E-2</v>
          </cell>
          <cell r="O87" t="str">
            <v/>
          </cell>
          <cell r="P87">
            <v>3.2384000000000003E-2</v>
          </cell>
        </row>
        <row r="88">
          <cell r="A88" t="str">
            <v>ST-1880BB-70300-033</v>
          </cell>
          <cell r="B88" t="str">
            <v>1880-T-70300</v>
          </cell>
          <cell r="D88" t="str">
            <v>1880BB-T-70302_FL_46_REV02</v>
          </cell>
          <cell r="F88">
            <v>1</v>
          </cell>
          <cell r="G88">
            <v>35.200000000000003</v>
          </cell>
          <cell r="H88">
            <v>3.5200000000000002E-2</v>
          </cell>
          <cell r="I88" t="str">
            <v/>
          </cell>
          <cell r="J88">
            <v>3.5200000000000002E-2</v>
          </cell>
          <cell r="N88">
            <v>3.9284000000000006E-2</v>
          </cell>
          <cell r="O88" t="str">
            <v/>
          </cell>
          <cell r="P88">
            <v>3.9284000000000006E-2</v>
          </cell>
        </row>
        <row r="89">
          <cell r="A89" t="str">
            <v>ST-1880BB-70326-034</v>
          </cell>
          <cell r="B89" t="str">
            <v>1880-T-70326</v>
          </cell>
          <cell r="D89" t="str">
            <v>1880BB-T-70302_FL_47_REV02</v>
          </cell>
          <cell r="F89">
            <v>1</v>
          </cell>
          <cell r="G89">
            <v>42.7</v>
          </cell>
          <cell r="H89">
            <v>4.2700000000000002E-2</v>
          </cell>
          <cell r="I89" t="str">
            <v/>
          </cell>
          <cell r="J89">
            <v>4.2700000000000002E-2</v>
          </cell>
          <cell r="N89" t="str">
            <v/>
          </cell>
          <cell r="O89" t="str">
            <v/>
          </cell>
          <cell r="P89">
            <v>0</v>
          </cell>
        </row>
        <row r="90">
          <cell r="A90" t="str">
            <v>ST-1880BB-70326-035</v>
          </cell>
          <cell r="B90" t="str">
            <v>1880-T-70326</v>
          </cell>
          <cell r="D90" t="str">
            <v>1880BB-T-70302_FL_48_REV02</v>
          </cell>
          <cell r="F90">
            <v>1</v>
          </cell>
          <cell r="G90">
            <v>20.399999999999999</v>
          </cell>
          <cell r="H90">
            <v>2.0399999999999998E-2</v>
          </cell>
          <cell r="I90" t="str">
            <v/>
          </cell>
          <cell r="J90">
            <v>2.0399999999999998E-2</v>
          </cell>
          <cell r="N90" t="str">
            <v/>
          </cell>
          <cell r="O90" t="str">
            <v/>
          </cell>
          <cell r="P90">
            <v>0</v>
          </cell>
        </row>
        <row r="91">
          <cell r="A91" t="str">
            <v>ST-1880BB-70326-036</v>
          </cell>
          <cell r="B91" t="str">
            <v>1880-T-70326</v>
          </cell>
          <cell r="D91" t="str">
            <v>1880BB-T-70302_FL_49_REV02</v>
          </cell>
          <cell r="F91">
            <v>1</v>
          </cell>
          <cell r="G91">
            <v>46.4</v>
          </cell>
          <cell r="H91">
            <v>4.6399999999999997E-2</v>
          </cell>
          <cell r="I91" t="str">
            <v/>
          </cell>
          <cell r="J91">
            <v>4.6399999999999997E-2</v>
          </cell>
          <cell r="N91" t="str">
            <v/>
          </cell>
          <cell r="O91" t="str">
            <v/>
          </cell>
          <cell r="P91">
            <v>0</v>
          </cell>
        </row>
        <row r="92">
          <cell r="A92" t="str">
            <v>ST-1880BB-70326-037</v>
          </cell>
          <cell r="B92" t="str">
            <v>1880-T-70326</v>
          </cell>
          <cell r="D92" t="str">
            <v>1880BB-T-70302_FL_50_REV02</v>
          </cell>
          <cell r="F92">
            <v>1</v>
          </cell>
          <cell r="G92">
            <v>29.2</v>
          </cell>
          <cell r="H92">
            <v>2.92E-2</v>
          </cell>
          <cell r="I92" t="str">
            <v/>
          </cell>
          <cell r="J92">
            <v>2.92E-2</v>
          </cell>
          <cell r="N92" t="str">
            <v/>
          </cell>
          <cell r="O92" t="str">
            <v/>
          </cell>
          <cell r="P92">
            <v>0</v>
          </cell>
        </row>
        <row r="93">
          <cell r="A93" t="str">
            <v>ST-1880BB-70326-038</v>
          </cell>
          <cell r="B93" t="str">
            <v>1880-T-70326</v>
          </cell>
          <cell r="D93" t="str">
            <v>1880BB-T-70302_FL_51_REV02</v>
          </cell>
          <cell r="F93">
            <v>1</v>
          </cell>
          <cell r="G93">
            <v>20.399999999999999</v>
          </cell>
          <cell r="H93">
            <v>2.0399999999999998E-2</v>
          </cell>
          <cell r="I93" t="str">
            <v/>
          </cell>
          <cell r="J93">
            <v>2.0399999999999998E-2</v>
          </cell>
          <cell r="N93" t="str">
            <v/>
          </cell>
          <cell r="O93" t="str">
            <v/>
          </cell>
          <cell r="P93">
            <v>0</v>
          </cell>
        </row>
        <row r="94">
          <cell r="A94" t="str">
            <v>ST-1880BB-70326-039</v>
          </cell>
          <cell r="B94" t="str">
            <v>1880-T-70326</v>
          </cell>
          <cell r="D94" t="str">
            <v>1880BB-T-70302_FL_51_REV02</v>
          </cell>
          <cell r="F94">
            <v>1</v>
          </cell>
          <cell r="G94">
            <v>20.399999999999999</v>
          </cell>
          <cell r="H94">
            <v>2.0399999999999998E-2</v>
          </cell>
          <cell r="I94" t="str">
            <v/>
          </cell>
          <cell r="J94">
            <v>2.0399999999999998E-2</v>
          </cell>
          <cell r="N94" t="str">
            <v/>
          </cell>
          <cell r="O94" t="str">
            <v/>
          </cell>
          <cell r="P94">
            <v>0</v>
          </cell>
        </row>
        <row r="95">
          <cell r="A95" t="str">
            <v>ST-1880BB-70326-040</v>
          </cell>
          <cell r="B95" t="str">
            <v>1880-T-70326</v>
          </cell>
          <cell r="D95" t="str">
            <v>1880BB-T-70302_FL_51_REV02</v>
          </cell>
          <cell r="F95">
            <v>1</v>
          </cell>
          <cell r="G95">
            <v>20.399999999999999</v>
          </cell>
          <cell r="H95">
            <v>2.0399999999999998E-2</v>
          </cell>
          <cell r="I95" t="str">
            <v/>
          </cell>
          <cell r="J95">
            <v>2.0399999999999998E-2</v>
          </cell>
          <cell r="N95" t="str">
            <v/>
          </cell>
          <cell r="O95" t="str">
            <v/>
          </cell>
          <cell r="P95">
            <v>0</v>
          </cell>
        </row>
        <row r="96">
          <cell r="A96" t="str">
            <v>ST-1880BB-70327-044</v>
          </cell>
          <cell r="B96" t="str">
            <v>1880-T-70327</v>
          </cell>
          <cell r="D96" t="str">
            <v>1880BB-T-70302_FL_52_REV02</v>
          </cell>
          <cell r="F96">
            <v>1</v>
          </cell>
          <cell r="G96">
            <v>27.4</v>
          </cell>
          <cell r="H96">
            <v>2.7399999999999997E-2</v>
          </cell>
          <cell r="I96" t="str">
            <v/>
          </cell>
          <cell r="J96">
            <v>2.7399999999999997E-2</v>
          </cell>
          <cell r="N96" t="str">
            <v/>
          </cell>
          <cell r="O96" t="str">
            <v/>
          </cell>
          <cell r="P96">
            <v>0</v>
          </cell>
        </row>
        <row r="97">
          <cell r="A97" t="str">
            <v>ST-1880BB-70328-045</v>
          </cell>
          <cell r="B97" t="str">
            <v>1880-T-70328</v>
          </cell>
          <cell r="D97" t="str">
            <v>1880BB-T-70302_FL_52_REV02</v>
          </cell>
          <cell r="F97">
            <v>1</v>
          </cell>
          <cell r="G97">
            <v>27.4</v>
          </cell>
          <cell r="H97">
            <v>2.7399999999999997E-2</v>
          </cell>
          <cell r="I97" t="str">
            <v/>
          </cell>
          <cell r="J97">
            <v>2.7399999999999997E-2</v>
          </cell>
          <cell r="N97" t="str">
            <v/>
          </cell>
          <cell r="O97" t="str">
            <v/>
          </cell>
          <cell r="P97">
            <v>0</v>
          </cell>
        </row>
        <row r="98">
          <cell r="A98" t="str">
            <v>ST-1880BB-70328-046</v>
          </cell>
          <cell r="B98" t="str">
            <v>1880-T-70328</v>
          </cell>
          <cell r="D98" t="str">
            <v>1880BB-T-70302_FL_52_REV02</v>
          </cell>
          <cell r="F98">
            <v>1</v>
          </cell>
          <cell r="G98">
            <v>27.4</v>
          </cell>
          <cell r="H98">
            <v>2.7399999999999997E-2</v>
          </cell>
          <cell r="I98" t="str">
            <v/>
          </cell>
          <cell r="J98">
            <v>2.7399999999999997E-2</v>
          </cell>
          <cell r="N98" t="str">
            <v/>
          </cell>
          <cell r="O98" t="str">
            <v/>
          </cell>
          <cell r="P98">
            <v>0</v>
          </cell>
        </row>
        <row r="99">
          <cell r="A99" t="str">
            <v>ST-1880BB-70328-047</v>
          </cell>
          <cell r="B99" t="str">
            <v>1880-T-70328</v>
          </cell>
          <cell r="D99" t="str">
            <v>1880BB-T-70302_FL_53_REV02</v>
          </cell>
          <cell r="F99">
            <v>1</v>
          </cell>
          <cell r="G99">
            <v>38.799999999999997</v>
          </cell>
          <cell r="H99">
            <v>3.8799999999999994E-2</v>
          </cell>
          <cell r="I99" t="str">
            <v/>
          </cell>
          <cell r="J99">
            <v>3.8799999999999994E-2</v>
          </cell>
          <cell r="N99" t="str">
            <v/>
          </cell>
          <cell r="O99" t="str">
            <v/>
          </cell>
          <cell r="P99">
            <v>0</v>
          </cell>
        </row>
        <row r="100">
          <cell r="A100" t="str">
            <v>ST-1880BB-70328-048</v>
          </cell>
          <cell r="B100" t="str">
            <v>1880-T-70328</v>
          </cell>
          <cell r="D100" t="str">
            <v>1880BB-T-70302_FL_53_REV02</v>
          </cell>
          <cell r="F100">
            <v>1</v>
          </cell>
          <cell r="G100">
            <v>38.799999999999997</v>
          </cell>
          <cell r="H100">
            <v>3.8799999999999994E-2</v>
          </cell>
          <cell r="I100" t="str">
            <v/>
          </cell>
          <cell r="J100">
            <v>3.8799999999999994E-2</v>
          </cell>
          <cell r="N100" t="str">
            <v/>
          </cell>
          <cell r="O100" t="str">
            <v/>
          </cell>
          <cell r="P100">
            <v>0</v>
          </cell>
        </row>
        <row r="101">
          <cell r="A101" t="str">
            <v>ST-1880BB-70328-049</v>
          </cell>
          <cell r="B101" t="str">
            <v>1880-T-70328</v>
          </cell>
          <cell r="D101" t="str">
            <v>1880BB-T-70302_FL_54_REV02</v>
          </cell>
          <cell r="F101">
            <v>1</v>
          </cell>
          <cell r="G101">
            <v>41.4</v>
          </cell>
          <cell r="H101">
            <v>4.1399999999999999E-2</v>
          </cell>
          <cell r="I101" t="str">
            <v/>
          </cell>
          <cell r="J101">
            <v>4.1399999999999999E-2</v>
          </cell>
          <cell r="N101" t="str">
            <v/>
          </cell>
          <cell r="O101" t="str">
            <v/>
          </cell>
          <cell r="P101">
            <v>0</v>
          </cell>
        </row>
        <row r="102">
          <cell r="A102" t="str">
            <v>ST-1880BB-70331-050</v>
          </cell>
          <cell r="B102" t="str">
            <v>1880-T-70331</v>
          </cell>
          <cell r="D102" t="str">
            <v>1880BB-T-70302_FL_55_REV02</v>
          </cell>
          <cell r="F102">
            <v>1</v>
          </cell>
          <cell r="G102">
            <v>64.400000000000006</v>
          </cell>
          <cell r="H102">
            <v>6.4399999999999999E-2</v>
          </cell>
          <cell r="I102" t="str">
            <v/>
          </cell>
          <cell r="J102">
            <v>6.4399999999999999E-2</v>
          </cell>
          <cell r="N102" t="str">
            <v/>
          </cell>
          <cell r="O102" t="str">
            <v/>
          </cell>
          <cell r="P102">
            <v>0</v>
          </cell>
        </row>
        <row r="103">
          <cell r="A103" t="str">
            <v>ST-1880BB-70331-051</v>
          </cell>
          <cell r="B103" t="str">
            <v>1880-T-70331</v>
          </cell>
          <cell r="D103" t="str">
            <v>1880BB-T-70302_FL_56_REV02</v>
          </cell>
          <cell r="F103">
            <v>1</v>
          </cell>
          <cell r="G103">
            <v>50.7</v>
          </cell>
          <cell r="H103">
            <v>5.0700000000000002E-2</v>
          </cell>
          <cell r="I103" t="str">
            <v/>
          </cell>
          <cell r="J103">
            <v>5.0700000000000002E-2</v>
          </cell>
          <cell r="N103" t="str">
            <v/>
          </cell>
          <cell r="O103" t="str">
            <v/>
          </cell>
          <cell r="P103">
            <v>0</v>
          </cell>
        </row>
        <row r="104">
          <cell r="A104" t="str">
            <v>ST-1880BB-70331-052</v>
          </cell>
          <cell r="B104" t="str">
            <v>1880-T-70331</v>
          </cell>
          <cell r="D104" t="str">
            <v>1880BB-T-70302_FL_56_REV02</v>
          </cell>
          <cell r="F104">
            <v>1</v>
          </cell>
          <cell r="G104">
            <v>50.7</v>
          </cell>
          <cell r="H104">
            <v>5.0700000000000002E-2</v>
          </cell>
          <cell r="I104" t="str">
            <v/>
          </cell>
          <cell r="J104">
            <v>5.0700000000000002E-2</v>
          </cell>
          <cell r="N104" t="str">
            <v/>
          </cell>
          <cell r="O104" t="str">
            <v/>
          </cell>
          <cell r="P104">
            <v>0</v>
          </cell>
        </row>
        <row r="105">
          <cell r="A105" t="str">
            <v>ST-1880BB-70339-001</v>
          </cell>
          <cell r="B105" t="str">
            <v>1880-T-70339</v>
          </cell>
          <cell r="D105" t="str">
            <v>1880BB-T-70302_FL_57_REV02</v>
          </cell>
          <cell r="F105">
            <v>1</v>
          </cell>
          <cell r="G105">
            <v>14.3</v>
          </cell>
          <cell r="H105">
            <v>1.43E-2</v>
          </cell>
          <cell r="I105" t="str">
            <v/>
          </cell>
          <cell r="J105">
            <v>1.43E-2</v>
          </cell>
          <cell r="N105" t="str">
            <v/>
          </cell>
          <cell r="O105" t="str">
            <v/>
          </cell>
          <cell r="P105">
            <v>0</v>
          </cell>
        </row>
        <row r="106">
          <cell r="A106" t="str">
            <v>ST-1880BB-70339-002</v>
          </cell>
          <cell r="B106" t="str">
            <v>1880-T-70339</v>
          </cell>
          <cell r="D106" t="str">
            <v>1880BB-T-70302_FL_57_REV02</v>
          </cell>
          <cell r="F106">
            <v>1</v>
          </cell>
          <cell r="G106">
            <v>14.3</v>
          </cell>
          <cell r="H106">
            <v>1.43E-2</v>
          </cell>
          <cell r="I106" t="str">
            <v/>
          </cell>
          <cell r="J106">
            <v>1.43E-2</v>
          </cell>
          <cell r="N106" t="str">
            <v/>
          </cell>
          <cell r="O106" t="str">
            <v/>
          </cell>
          <cell r="P106">
            <v>0</v>
          </cell>
        </row>
        <row r="107">
          <cell r="A107" t="str">
            <v>ST-1880BB-70289-013</v>
          </cell>
          <cell r="B107" t="str">
            <v>1880-T-70289</v>
          </cell>
          <cell r="D107" t="str">
            <v>1880BB-T-70302_FL_58_REV02</v>
          </cell>
          <cell r="F107">
            <v>1</v>
          </cell>
          <cell r="G107">
            <v>10.76</v>
          </cell>
          <cell r="H107">
            <v>1.076E-2</v>
          </cell>
          <cell r="I107" t="str">
            <v/>
          </cell>
          <cell r="J107">
            <v>1.076E-2</v>
          </cell>
          <cell r="N107" t="str">
            <v/>
          </cell>
          <cell r="O107" t="str">
            <v/>
          </cell>
          <cell r="P107">
            <v>0</v>
          </cell>
        </row>
        <row r="108">
          <cell r="A108" t="str">
            <v>ST-1880BB-70289-014</v>
          </cell>
          <cell r="B108" t="str">
            <v>1880-T-70289</v>
          </cell>
          <cell r="D108" t="str">
            <v>1880BB-T-70302_FL_59_REV02</v>
          </cell>
          <cell r="F108">
            <v>1</v>
          </cell>
          <cell r="G108">
            <v>10.16</v>
          </cell>
          <cell r="H108">
            <v>1.0160000000000001E-2</v>
          </cell>
          <cell r="I108" t="str">
            <v/>
          </cell>
          <cell r="J108">
            <v>1.0160000000000001E-2</v>
          </cell>
          <cell r="N108" t="str">
            <v/>
          </cell>
          <cell r="O108" t="str">
            <v/>
          </cell>
          <cell r="P108">
            <v>0</v>
          </cell>
        </row>
        <row r="109">
          <cell r="A109" t="str">
            <v>ST-1880BB-70331-053</v>
          </cell>
          <cell r="B109" t="str">
            <v>1880-T-70331</v>
          </cell>
          <cell r="D109" t="str">
            <v>1880BB-T-70302_FL_60_REV02</v>
          </cell>
          <cell r="F109">
            <v>1</v>
          </cell>
          <cell r="G109">
            <v>160.1</v>
          </cell>
          <cell r="H109">
            <v>0.16009999999999999</v>
          </cell>
          <cell r="I109" t="str">
            <v/>
          </cell>
          <cell r="J109">
            <v>0.16009999999999999</v>
          </cell>
          <cell r="N109" t="str">
            <v/>
          </cell>
          <cell r="O109" t="str">
            <v/>
          </cell>
          <cell r="P109">
            <v>0</v>
          </cell>
        </row>
        <row r="110">
          <cell r="A110" t="str">
            <v>ST-1880BB-70331-054</v>
          </cell>
          <cell r="B110" t="str">
            <v>1880-T-70331</v>
          </cell>
          <cell r="D110" t="str">
            <v>1880BB-T-70302_FL_61_REV02</v>
          </cell>
          <cell r="F110">
            <v>1</v>
          </cell>
          <cell r="G110">
            <v>138</v>
          </cell>
          <cell r="H110">
            <v>0.13800000000000001</v>
          </cell>
          <cell r="I110" t="str">
            <v/>
          </cell>
          <cell r="J110">
            <v>0.13800000000000001</v>
          </cell>
          <cell r="N110" t="str">
            <v/>
          </cell>
          <cell r="O110" t="str">
            <v/>
          </cell>
          <cell r="P110">
            <v>0</v>
          </cell>
        </row>
        <row r="111">
          <cell r="A111" t="str">
            <v>SP-05-14"-2</v>
          </cell>
          <cell r="F111">
            <v>1</v>
          </cell>
          <cell r="G111">
            <v>31</v>
          </cell>
          <cell r="H111">
            <v>3.1E-2</v>
          </cell>
          <cell r="I111" t="str">
            <v/>
          </cell>
          <cell r="J111">
            <v>3.1E-2</v>
          </cell>
          <cell r="N111" t="str">
            <v/>
          </cell>
          <cell r="O111" t="str">
            <v/>
          </cell>
          <cell r="P111">
            <v>0</v>
          </cell>
        </row>
        <row r="112">
          <cell r="A112" t="str">
            <v>ST-1880BB-70290-001</v>
          </cell>
          <cell r="B112" t="str">
            <v>1880BB-T-70290</v>
          </cell>
          <cell r="D112" t="str">
            <v>1880BB-T-70287_FL_13</v>
          </cell>
          <cell r="F112">
            <v>1</v>
          </cell>
          <cell r="G112">
            <v>70.900000000000006</v>
          </cell>
          <cell r="H112">
            <v>7.0900000000000005E-2</v>
          </cell>
          <cell r="I112" t="str">
            <v/>
          </cell>
          <cell r="J112">
            <v>7.0900000000000005E-2</v>
          </cell>
          <cell r="N112" t="str">
            <v/>
          </cell>
          <cell r="O112" t="str">
            <v/>
          </cell>
          <cell r="P112">
            <v>0</v>
          </cell>
        </row>
        <row r="113">
          <cell r="A113" t="str">
            <v>ST-1880BB-70290-005</v>
          </cell>
          <cell r="B113" t="str">
            <v>1880BB-T-70290</v>
          </cell>
          <cell r="D113" t="str">
            <v>1880BB-T-70287_FL_13</v>
          </cell>
          <cell r="F113">
            <v>1</v>
          </cell>
          <cell r="G113">
            <v>70.900000000000006</v>
          </cell>
          <cell r="H113">
            <v>7.0900000000000005E-2</v>
          </cell>
          <cell r="I113" t="str">
            <v/>
          </cell>
          <cell r="J113">
            <v>7.0900000000000005E-2</v>
          </cell>
          <cell r="N113" t="str">
            <v/>
          </cell>
          <cell r="O113" t="str">
            <v/>
          </cell>
          <cell r="P113">
            <v>0</v>
          </cell>
        </row>
        <row r="114">
          <cell r="A114" t="str">
            <v>ST-1880BB-70290-002</v>
          </cell>
          <cell r="B114" t="str">
            <v>1880BB-T-70290</v>
          </cell>
          <cell r="D114" t="str">
            <v>1880BB-T-70287_FL_14</v>
          </cell>
          <cell r="F114">
            <v>1</v>
          </cell>
          <cell r="G114">
            <v>114.2</v>
          </cell>
          <cell r="H114">
            <v>0.1142</v>
          </cell>
          <cell r="I114" t="str">
            <v/>
          </cell>
          <cell r="J114">
            <v>0.1142</v>
          </cell>
          <cell r="N114" t="str">
            <v/>
          </cell>
          <cell r="O114" t="str">
            <v/>
          </cell>
          <cell r="P114">
            <v>0</v>
          </cell>
        </row>
        <row r="115">
          <cell r="A115" t="str">
            <v>ST-1880BB-70290-006</v>
          </cell>
          <cell r="B115" t="str">
            <v>1880BB-T-70290</v>
          </cell>
          <cell r="D115" t="str">
            <v>1880BB-T-70287_FL_15</v>
          </cell>
          <cell r="F115">
            <v>1</v>
          </cell>
          <cell r="G115">
            <v>70.900000000000006</v>
          </cell>
          <cell r="H115">
            <v>7.0900000000000005E-2</v>
          </cell>
          <cell r="I115" t="str">
            <v/>
          </cell>
          <cell r="J115">
            <v>7.0900000000000005E-2</v>
          </cell>
          <cell r="N115" t="str">
            <v/>
          </cell>
          <cell r="O115" t="str">
            <v/>
          </cell>
          <cell r="P115">
            <v>0</v>
          </cell>
        </row>
        <row r="116">
          <cell r="A116" t="str">
            <v>ST-1880BB-70290-024</v>
          </cell>
          <cell r="B116" t="str">
            <v>1880BB-T-70290</v>
          </cell>
          <cell r="D116" t="str">
            <v>1880BB-T-70287_FL_18</v>
          </cell>
          <cell r="F116">
            <v>1</v>
          </cell>
          <cell r="G116">
            <v>89.9</v>
          </cell>
          <cell r="H116">
            <v>8.9900000000000008E-2</v>
          </cell>
          <cell r="I116" t="str">
            <v/>
          </cell>
          <cell r="J116">
            <v>8.9900000000000008E-2</v>
          </cell>
          <cell r="N116" t="str">
            <v/>
          </cell>
          <cell r="O116" t="str">
            <v/>
          </cell>
          <cell r="P116">
            <v>0</v>
          </cell>
        </row>
        <row r="117">
          <cell r="A117" t="str">
            <v>ST-1880BB-70290-026</v>
          </cell>
          <cell r="B117" t="str">
            <v>1880BB-T-70290</v>
          </cell>
          <cell r="D117" t="str">
            <v>1880BB-T-70287_FL_19</v>
          </cell>
          <cell r="F117">
            <v>1</v>
          </cell>
          <cell r="G117">
            <v>15.7</v>
          </cell>
          <cell r="H117">
            <v>1.5699999999999999E-2</v>
          </cell>
          <cell r="I117" t="str">
            <v/>
          </cell>
          <cell r="J117">
            <v>1.5699999999999999E-2</v>
          </cell>
          <cell r="N117" t="str">
            <v/>
          </cell>
          <cell r="O117" t="str">
            <v/>
          </cell>
          <cell r="P117">
            <v>0</v>
          </cell>
        </row>
        <row r="118">
          <cell r="A118" t="str">
            <v>ST-1880BB-70290-029</v>
          </cell>
          <cell r="B118" t="str">
            <v>1880BB-T-70290</v>
          </cell>
          <cell r="D118" t="str">
            <v>1880BB-T-70287_FL_20</v>
          </cell>
          <cell r="F118">
            <v>1</v>
          </cell>
          <cell r="G118">
            <v>14.2</v>
          </cell>
          <cell r="H118">
            <v>1.4199999999999999E-2</v>
          </cell>
          <cell r="I118" t="str">
            <v/>
          </cell>
          <cell r="J118">
            <v>1.4199999999999999E-2</v>
          </cell>
          <cell r="N118" t="str">
            <v/>
          </cell>
          <cell r="O118" t="str">
            <v/>
          </cell>
          <cell r="P118">
            <v>0</v>
          </cell>
        </row>
        <row r="119">
          <cell r="A119" t="str">
            <v>ST-1880BB-70290-023</v>
          </cell>
          <cell r="B119" t="str">
            <v>1880BB-T-70290</v>
          </cell>
          <cell r="D119" t="str">
            <v>1880BB-T-70287_FL_21</v>
          </cell>
          <cell r="F119">
            <v>1</v>
          </cell>
          <cell r="G119">
            <v>62.6</v>
          </cell>
          <cell r="H119">
            <v>6.2600000000000003E-2</v>
          </cell>
          <cell r="I119" t="str">
            <v/>
          </cell>
          <cell r="J119">
            <v>6.2600000000000003E-2</v>
          </cell>
          <cell r="N119" t="str">
            <v/>
          </cell>
          <cell r="O119" t="str">
            <v/>
          </cell>
          <cell r="P119">
            <v>0</v>
          </cell>
        </row>
        <row r="120">
          <cell r="A120" t="str">
            <v>ST-1880BB-70290-025</v>
          </cell>
          <cell r="B120" t="str">
            <v>1880BB-T-70290</v>
          </cell>
          <cell r="D120" t="str">
            <v>1880BB-T-70287_FL_21</v>
          </cell>
          <cell r="F120">
            <v>1</v>
          </cell>
          <cell r="G120">
            <v>62.6</v>
          </cell>
          <cell r="H120">
            <v>6.2600000000000003E-2</v>
          </cell>
          <cell r="I120" t="str">
            <v/>
          </cell>
          <cell r="J120">
            <v>6.2600000000000003E-2</v>
          </cell>
          <cell r="N120" t="str">
            <v/>
          </cell>
          <cell r="O120" t="str">
            <v/>
          </cell>
          <cell r="P120">
            <v>0</v>
          </cell>
        </row>
        <row r="121">
          <cell r="A121" t="str">
            <v>ST-1880BB-70290-028</v>
          </cell>
          <cell r="B121" t="str">
            <v>1880BB-T-70290</v>
          </cell>
          <cell r="D121" t="str">
            <v>1880BB-T-70287_FL_21</v>
          </cell>
          <cell r="F121">
            <v>1</v>
          </cell>
          <cell r="G121">
            <v>62.6</v>
          </cell>
          <cell r="H121">
            <v>6.2600000000000003E-2</v>
          </cell>
          <cell r="I121" t="str">
            <v/>
          </cell>
          <cell r="J121">
            <v>6.2600000000000003E-2</v>
          </cell>
          <cell r="N121" t="str">
            <v/>
          </cell>
          <cell r="O121" t="str">
            <v/>
          </cell>
          <cell r="P121">
            <v>0</v>
          </cell>
        </row>
        <row r="122">
          <cell r="A122" t="str">
            <v>ST-1880BB-70291-001</v>
          </cell>
          <cell r="B122" t="str">
            <v>1880BB-T-70291</v>
          </cell>
          <cell r="D122" t="str">
            <v>1880BB-T-70287_FL_22</v>
          </cell>
          <cell r="F122">
            <v>1</v>
          </cell>
          <cell r="G122">
            <v>132.6</v>
          </cell>
          <cell r="H122">
            <v>0.1326</v>
          </cell>
          <cell r="I122" t="str">
            <v/>
          </cell>
          <cell r="J122">
            <v>0.1326</v>
          </cell>
          <cell r="N122" t="str">
            <v/>
          </cell>
          <cell r="O122" t="str">
            <v/>
          </cell>
          <cell r="P122">
            <v>0</v>
          </cell>
        </row>
        <row r="123">
          <cell r="A123" t="str">
            <v>ST-1880BB-70291-003</v>
          </cell>
          <cell r="B123" t="str">
            <v>1880BB-T-70291</v>
          </cell>
          <cell r="D123" t="str">
            <v>1880BB-T-70287_FL_22</v>
          </cell>
          <cell r="F123">
            <v>1</v>
          </cell>
          <cell r="G123">
            <v>132.6</v>
          </cell>
          <cell r="H123">
            <v>0.1326</v>
          </cell>
          <cell r="I123" t="str">
            <v/>
          </cell>
          <cell r="J123">
            <v>0.1326</v>
          </cell>
          <cell r="N123" t="str">
            <v/>
          </cell>
          <cell r="O123" t="str">
            <v/>
          </cell>
          <cell r="P123">
            <v>0</v>
          </cell>
        </row>
        <row r="124">
          <cell r="A124" t="str">
            <v>ST-1880BB-70291-008</v>
          </cell>
          <cell r="B124" t="str">
            <v>1880BB-T-70291</v>
          </cell>
          <cell r="D124" t="str">
            <v>1880BB-T-70287_FL_22</v>
          </cell>
          <cell r="F124">
            <v>1</v>
          </cell>
          <cell r="G124">
            <v>132.6</v>
          </cell>
          <cell r="H124">
            <v>0.1326</v>
          </cell>
          <cell r="I124" t="str">
            <v/>
          </cell>
          <cell r="J124">
            <v>0.1326</v>
          </cell>
          <cell r="N124" t="str">
            <v/>
          </cell>
          <cell r="O124" t="str">
            <v/>
          </cell>
          <cell r="P124">
            <v>0</v>
          </cell>
        </row>
        <row r="125">
          <cell r="A125" t="str">
            <v>ST-1880BB-70291-010</v>
          </cell>
          <cell r="B125" t="str">
            <v>1880BB-T-70291</v>
          </cell>
          <cell r="D125" t="str">
            <v>1880BB-T-70287_FL_22</v>
          </cell>
          <cell r="F125">
            <v>1</v>
          </cell>
          <cell r="G125">
            <v>132.6</v>
          </cell>
          <cell r="H125">
            <v>0.1326</v>
          </cell>
          <cell r="I125" t="str">
            <v/>
          </cell>
          <cell r="J125">
            <v>0.1326</v>
          </cell>
          <cell r="N125" t="str">
            <v/>
          </cell>
          <cell r="O125" t="str">
            <v/>
          </cell>
          <cell r="P125">
            <v>0</v>
          </cell>
        </row>
        <row r="126">
          <cell r="A126" t="str">
            <v>ST-1880BB-70291-011</v>
          </cell>
          <cell r="B126" t="str">
            <v>1880BB-T-70291</v>
          </cell>
          <cell r="D126" t="str">
            <v>1880BB-T-70287_FL_22</v>
          </cell>
          <cell r="F126">
            <v>1</v>
          </cell>
          <cell r="G126">
            <v>132.6</v>
          </cell>
          <cell r="H126">
            <v>0.1326</v>
          </cell>
          <cell r="I126" t="str">
            <v/>
          </cell>
          <cell r="J126">
            <v>0.1326</v>
          </cell>
          <cell r="N126" t="str">
            <v/>
          </cell>
          <cell r="O126" t="str">
            <v/>
          </cell>
          <cell r="P126">
            <v>0</v>
          </cell>
        </row>
        <row r="127">
          <cell r="A127" t="str">
            <v>ST-1880BB-70291-013</v>
          </cell>
          <cell r="B127" t="str">
            <v>1880BB-T-70291</v>
          </cell>
          <cell r="D127" t="str">
            <v>1880BB-T-70287_FL_22</v>
          </cell>
          <cell r="F127">
            <v>1</v>
          </cell>
          <cell r="G127">
            <v>132.6</v>
          </cell>
          <cell r="H127">
            <v>0.1326</v>
          </cell>
          <cell r="I127" t="str">
            <v/>
          </cell>
          <cell r="J127">
            <v>0.1326</v>
          </cell>
          <cell r="N127" t="str">
            <v/>
          </cell>
          <cell r="O127" t="str">
            <v/>
          </cell>
          <cell r="P127">
            <v>0</v>
          </cell>
        </row>
        <row r="128">
          <cell r="A128" t="str">
            <v>ST-1880BB-70291-002</v>
          </cell>
          <cell r="B128" t="str">
            <v>1880BB-T-70291</v>
          </cell>
          <cell r="D128" t="str">
            <v>1880BB-T-70287_FL_23</v>
          </cell>
          <cell r="F128">
            <v>1</v>
          </cell>
          <cell r="G128">
            <v>68.8</v>
          </cell>
          <cell r="H128">
            <v>6.88E-2</v>
          </cell>
          <cell r="I128" t="str">
            <v/>
          </cell>
          <cell r="J128">
            <v>6.88E-2</v>
          </cell>
          <cell r="N128" t="str">
            <v/>
          </cell>
          <cell r="O128" t="str">
            <v/>
          </cell>
          <cell r="P128">
            <v>0</v>
          </cell>
        </row>
        <row r="129">
          <cell r="A129" t="str">
            <v>ST-1880BB-70291-009</v>
          </cell>
          <cell r="B129" t="str">
            <v>1880BB-T-70291</v>
          </cell>
          <cell r="D129" t="str">
            <v>1880BB-T-70287_FL_23</v>
          </cell>
          <cell r="F129">
            <v>1</v>
          </cell>
          <cell r="G129">
            <v>68.8</v>
          </cell>
          <cell r="H129">
            <v>6.88E-2</v>
          </cell>
          <cell r="I129" t="str">
            <v/>
          </cell>
          <cell r="J129">
            <v>6.88E-2</v>
          </cell>
          <cell r="N129" t="str">
            <v/>
          </cell>
          <cell r="O129" t="str">
            <v/>
          </cell>
          <cell r="P129">
            <v>0</v>
          </cell>
        </row>
        <row r="130">
          <cell r="A130" t="str">
            <v>ST-1880BB-70291-012</v>
          </cell>
          <cell r="B130" t="str">
            <v>1880BB-T-70291</v>
          </cell>
          <cell r="D130" t="str">
            <v>1880BB-T-70287_FL_23</v>
          </cell>
          <cell r="F130">
            <v>1</v>
          </cell>
          <cell r="G130">
            <v>68.8</v>
          </cell>
          <cell r="H130">
            <v>6.88E-2</v>
          </cell>
          <cell r="I130" t="str">
            <v/>
          </cell>
          <cell r="J130">
            <v>6.88E-2</v>
          </cell>
          <cell r="N130" t="str">
            <v/>
          </cell>
          <cell r="O130" t="str">
            <v/>
          </cell>
          <cell r="P130">
            <v>0</v>
          </cell>
        </row>
        <row r="131">
          <cell r="A131" t="str">
            <v>ST-1880BB-70291-014</v>
          </cell>
          <cell r="B131" t="str">
            <v>1880BB-T-70291</v>
          </cell>
          <cell r="D131" t="str">
            <v>1880BB-T-70287_FL_24</v>
          </cell>
          <cell r="F131">
            <v>1</v>
          </cell>
          <cell r="G131">
            <v>131.30000000000001</v>
          </cell>
          <cell r="H131">
            <v>0.1313</v>
          </cell>
          <cell r="I131" t="str">
            <v/>
          </cell>
          <cell r="J131">
            <v>0.1313</v>
          </cell>
          <cell r="N131" t="str">
            <v/>
          </cell>
          <cell r="O131" t="str">
            <v/>
          </cell>
          <cell r="P131">
            <v>0</v>
          </cell>
        </row>
        <row r="132">
          <cell r="A132" t="str">
            <v>ST-1880BB-70291-017</v>
          </cell>
          <cell r="B132" t="str">
            <v>1880BB-T-70291</v>
          </cell>
          <cell r="D132" t="str">
            <v>1880BB-T-70287_FL_24</v>
          </cell>
          <cell r="F132">
            <v>1</v>
          </cell>
          <cell r="G132">
            <v>131.30000000000001</v>
          </cell>
          <cell r="H132">
            <v>0.1313</v>
          </cell>
          <cell r="I132" t="str">
            <v/>
          </cell>
          <cell r="J132">
            <v>0.1313</v>
          </cell>
          <cell r="N132" t="str">
            <v/>
          </cell>
          <cell r="O132" t="str">
            <v/>
          </cell>
          <cell r="P132">
            <v>0</v>
          </cell>
        </row>
        <row r="133">
          <cell r="A133" t="str">
            <v>ST-1880BB-70291-021</v>
          </cell>
          <cell r="B133" t="str">
            <v>1880BB-T-70291</v>
          </cell>
          <cell r="D133" t="str">
            <v>1880BB-T-70287_FL_24</v>
          </cell>
          <cell r="F133">
            <v>1</v>
          </cell>
          <cell r="G133">
            <v>131.30000000000001</v>
          </cell>
          <cell r="H133">
            <v>0.1313</v>
          </cell>
          <cell r="I133" t="str">
            <v/>
          </cell>
          <cell r="J133">
            <v>0.1313</v>
          </cell>
          <cell r="N133" t="str">
            <v/>
          </cell>
          <cell r="O133" t="str">
            <v/>
          </cell>
          <cell r="P133">
            <v>0</v>
          </cell>
        </row>
        <row r="134">
          <cell r="A134" t="str">
            <v>ST-1880BB-70291-015</v>
          </cell>
          <cell r="B134" t="str">
            <v>1880BB-T-70291</v>
          </cell>
          <cell r="D134" t="str">
            <v>1880BB-T-70287_FL_25</v>
          </cell>
          <cell r="F134">
            <v>1</v>
          </cell>
          <cell r="G134">
            <v>113.9</v>
          </cell>
          <cell r="H134">
            <v>0.1139</v>
          </cell>
          <cell r="I134" t="str">
            <v/>
          </cell>
          <cell r="J134">
            <v>0.1139</v>
          </cell>
          <cell r="N134" t="str">
            <v/>
          </cell>
          <cell r="O134" t="str">
            <v/>
          </cell>
          <cell r="P134">
            <v>0</v>
          </cell>
        </row>
        <row r="135">
          <cell r="A135" t="str">
            <v>ST-1880BB-70291-016</v>
          </cell>
          <cell r="B135" t="str">
            <v>1880BB-T-70291</v>
          </cell>
          <cell r="D135" t="str">
            <v>1880BB-T-70287_FL_26</v>
          </cell>
          <cell r="F135">
            <v>1</v>
          </cell>
          <cell r="G135">
            <v>85.7</v>
          </cell>
          <cell r="H135">
            <v>8.5699999999999998E-2</v>
          </cell>
          <cell r="I135" t="str">
            <v/>
          </cell>
          <cell r="J135">
            <v>8.5699999999999998E-2</v>
          </cell>
          <cell r="N135" t="str">
            <v/>
          </cell>
          <cell r="O135" t="str">
            <v/>
          </cell>
          <cell r="P135">
            <v>0</v>
          </cell>
        </row>
        <row r="136">
          <cell r="A136" t="str">
            <v>ST-1880BB-70291-019</v>
          </cell>
          <cell r="B136" t="str">
            <v>1880BB-T-70291</v>
          </cell>
          <cell r="D136" t="str">
            <v>1880BB-T-70287_FL_26</v>
          </cell>
          <cell r="F136">
            <v>1</v>
          </cell>
          <cell r="G136">
            <v>85.7</v>
          </cell>
          <cell r="H136">
            <v>8.5699999999999998E-2</v>
          </cell>
          <cell r="I136" t="str">
            <v/>
          </cell>
          <cell r="J136">
            <v>8.5699999999999998E-2</v>
          </cell>
          <cell r="N136" t="str">
            <v/>
          </cell>
          <cell r="O136" t="str">
            <v/>
          </cell>
          <cell r="P136">
            <v>0</v>
          </cell>
        </row>
        <row r="137">
          <cell r="A137" t="str">
            <v>ST-1880BB-70291-023</v>
          </cell>
          <cell r="B137" t="str">
            <v>1880BB-T-70291</v>
          </cell>
          <cell r="D137" t="str">
            <v>1880BB-T-70287_FL_26</v>
          </cell>
          <cell r="F137">
            <v>1</v>
          </cell>
          <cell r="G137">
            <v>85.7</v>
          </cell>
          <cell r="H137">
            <v>8.5699999999999998E-2</v>
          </cell>
          <cell r="I137" t="str">
            <v/>
          </cell>
          <cell r="J137">
            <v>8.5699999999999998E-2</v>
          </cell>
          <cell r="N137" t="str">
            <v/>
          </cell>
          <cell r="O137" t="str">
            <v/>
          </cell>
          <cell r="P137">
            <v>0</v>
          </cell>
        </row>
        <row r="138">
          <cell r="A138" t="str">
            <v>ST-1880BB-70291-030</v>
          </cell>
          <cell r="B138" t="str">
            <v>1880BB-T-70291</v>
          </cell>
          <cell r="D138" t="str">
            <v>1880BB-T-70287_FL_26</v>
          </cell>
          <cell r="F138">
            <v>1</v>
          </cell>
          <cell r="G138">
            <v>85.7</v>
          </cell>
          <cell r="H138">
            <v>8.5699999999999998E-2</v>
          </cell>
          <cell r="I138" t="str">
            <v/>
          </cell>
          <cell r="J138">
            <v>8.5699999999999998E-2</v>
          </cell>
          <cell r="N138" t="str">
            <v/>
          </cell>
          <cell r="O138" t="str">
            <v/>
          </cell>
          <cell r="P138">
            <v>0</v>
          </cell>
        </row>
        <row r="139">
          <cell r="A139" t="str">
            <v>ST-1880BB-70291-032</v>
          </cell>
          <cell r="B139" t="str">
            <v>1880BB-T-70291</v>
          </cell>
          <cell r="D139" t="str">
            <v>1880BB-T-70287_FL_26</v>
          </cell>
          <cell r="F139">
            <v>1</v>
          </cell>
          <cell r="G139">
            <v>85.7</v>
          </cell>
          <cell r="H139">
            <v>8.5699999999999998E-2</v>
          </cell>
          <cell r="I139" t="str">
            <v/>
          </cell>
          <cell r="J139">
            <v>8.5699999999999998E-2</v>
          </cell>
          <cell r="N139" t="str">
            <v/>
          </cell>
          <cell r="O139" t="str">
            <v/>
          </cell>
          <cell r="P139">
            <v>0</v>
          </cell>
        </row>
        <row r="140">
          <cell r="A140" t="str">
            <v>ST-1880BB-70291-018</v>
          </cell>
          <cell r="B140" t="str">
            <v>1880BB-T-70291</v>
          </cell>
          <cell r="D140" t="str">
            <v>1880BB-T-70287_FL_27</v>
          </cell>
          <cell r="F140">
            <v>1</v>
          </cell>
          <cell r="G140">
            <v>87.8</v>
          </cell>
          <cell r="H140">
            <v>8.7800000000000003E-2</v>
          </cell>
          <cell r="I140" t="str">
            <v/>
          </cell>
          <cell r="J140">
            <v>8.7800000000000003E-2</v>
          </cell>
          <cell r="N140" t="str">
            <v/>
          </cell>
          <cell r="O140" t="str">
            <v/>
          </cell>
          <cell r="P140">
            <v>0</v>
          </cell>
        </row>
        <row r="141">
          <cell r="A141" t="str">
            <v>ST-1880BB-70291-022</v>
          </cell>
          <cell r="B141" t="str">
            <v>1880BB-T-70291</v>
          </cell>
          <cell r="D141" t="str">
            <v>1880BB-T-70287_FL_27</v>
          </cell>
          <cell r="F141">
            <v>1</v>
          </cell>
          <cell r="G141">
            <v>87.8</v>
          </cell>
          <cell r="H141">
            <v>8.7800000000000003E-2</v>
          </cell>
          <cell r="I141" t="str">
            <v/>
          </cell>
          <cell r="J141">
            <v>8.7800000000000003E-2</v>
          </cell>
          <cell r="N141" t="str">
            <v/>
          </cell>
          <cell r="O141" t="str">
            <v/>
          </cell>
          <cell r="P141">
            <v>0</v>
          </cell>
        </row>
        <row r="142">
          <cell r="A142" t="str">
            <v>ST-1880BB-70291-025</v>
          </cell>
          <cell r="B142" t="str">
            <v>1880BB-T-70291</v>
          </cell>
          <cell r="D142" t="str">
            <v>1880BB-T-70287_FL_27</v>
          </cell>
          <cell r="F142">
            <v>1</v>
          </cell>
          <cell r="G142">
            <v>87.8</v>
          </cell>
          <cell r="H142">
            <v>8.7800000000000003E-2</v>
          </cell>
          <cell r="I142" t="str">
            <v/>
          </cell>
          <cell r="J142">
            <v>8.7800000000000003E-2</v>
          </cell>
          <cell r="N142" t="str">
            <v/>
          </cell>
          <cell r="O142" t="str">
            <v/>
          </cell>
          <cell r="P142">
            <v>0</v>
          </cell>
        </row>
        <row r="143">
          <cell r="A143" t="str">
            <v>ST-1880BB-70291-031</v>
          </cell>
          <cell r="B143" t="str">
            <v>1880BB-T-70291</v>
          </cell>
          <cell r="D143" t="str">
            <v>1880BB-T-70287_FL_27</v>
          </cell>
          <cell r="F143">
            <v>1</v>
          </cell>
          <cell r="G143">
            <v>87.8</v>
          </cell>
          <cell r="H143">
            <v>8.7800000000000003E-2</v>
          </cell>
          <cell r="I143" t="str">
            <v/>
          </cell>
          <cell r="J143">
            <v>8.7800000000000003E-2</v>
          </cell>
          <cell r="N143" t="str">
            <v/>
          </cell>
          <cell r="O143" t="str">
            <v/>
          </cell>
          <cell r="P143">
            <v>0</v>
          </cell>
        </row>
        <row r="144">
          <cell r="A144" t="str">
            <v>ST-1880BB-70291-033</v>
          </cell>
          <cell r="B144" t="str">
            <v>1880BB-T-70291</v>
          </cell>
          <cell r="D144" t="str">
            <v>1880BB-T-70287_FL_27</v>
          </cell>
          <cell r="F144">
            <v>1</v>
          </cell>
          <cell r="G144">
            <v>87.8</v>
          </cell>
          <cell r="H144">
            <v>8.7800000000000003E-2</v>
          </cell>
          <cell r="I144" t="str">
            <v/>
          </cell>
          <cell r="J144">
            <v>8.7800000000000003E-2</v>
          </cell>
          <cell r="N144" t="str">
            <v/>
          </cell>
          <cell r="O144" t="str">
            <v/>
          </cell>
          <cell r="P144">
            <v>0</v>
          </cell>
        </row>
        <row r="145">
          <cell r="A145" t="str">
            <v>ST-1880BB-70291-020</v>
          </cell>
          <cell r="B145" t="str">
            <v>1880BB-T-70291</v>
          </cell>
          <cell r="D145" t="str">
            <v>1880BB-T-70287_FL_28</v>
          </cell>
          <cell r="F145">
            <v>1</v>
          </cell>
          <cell r="G145">
            <v>89.9</v>
          </cell>
          <cell r="H145">
            <v>8.9900000000000008E-2</v>
          </cell>
          <cell r="I145" t="str">
            <v/>
          </cell>
          <cell r="J145">
            <v>8.9900000000000008E-2</v>
          </cell>
          <cell r="N145" t="str">
            <v/>
          </cell>
          <cell r="O145" t="str">
            <v/>
          </cell>
          <cell r="P145">
            <v>0</v>
          </cell>
        </row>
        <row r="146">
          <cell r="A146" t="str">
            <v>ST-1880BB-70291-024</v>
          </cell>
          <cell r="B146" t="str">
            <v>1880BB-T-70291</v>
          </cell>
          <cell r="D146" t="str">
            <v>1880BB-T-70287_FL_28</v>
          </cell>
          <cell r="F146">
            <v>1</v>
          </cell>
          <cell r="G146">
            <v>89.9</v>
          </cell>
          <cell r="H146">
            <v>8.9900000000000008E-2</v>
          </cell>
          <cell r="I146" t="str">
            <v/>
          </cell>
          <cell r="J146">
            <v>8.9900000000000008E-2</v>
          </cell>
          <cell r="N146" t="str">
            <v/>
          </cell>
          <cell r="O146" t="str">
            <v/>
          </cell>
          <cell r="P146">
            <v>0</v>
          </cell>
        </row>
        <row r="147">
          <cell r="A147" t="str">
            <v>ST-1880BB-70291-026</v>
          </cell>
          <cell r="B147" t="str">
            <v>1880BB-T-70291</v>
          </cell>
          <cell r="D147" t="str">
            <v>1880BB-T-70287_FL_28</v>
          </cell>
          <cell r="F147">
            <v>1</v>
          </cell>
          <cell r="G147">
            <v>89.9</v>
          </cell>
          <cell r="H147">
            <v>8.9900000000000008E-2</v>
          </cell>
          <cell r="I147" t="str">
            <v/>
          </cell>
          <cell r="J147">
            <v>8.9900000000000008E-2</v>
          </cell>
          <cell r="N147" t="str">
            <v/>
          </cell>
          <cell r="O147" t="str">
            <v/>
          </cell>
          <cell r="P147">
            <v>0</v>
          </cell>
        </row>
        <row r="148">
          <cell r="A148" t="str">
            <v>ST-1880BB-70291-027</v>
          </cell>
          <cell r="B148" t="str">
            <v>1880BB-T-70291</v>
          </cell>
          <cell r="D148" t="str">
            <v>1880BB-T-70287_FL_29</v>
          </cell>
          <cell r="F148">
            <v>1</v>
          </cell>
          <cell r="G148">
            <v>126.7</v>
          </cell>
          <cell r="H148">
            <v>0.12670000000000001</v>
          </cell>
          <cell r="I148" t="str">
            <v/>
          </cell>
          <cell r="J148">
            <v>0.12670000000000001</v>
          </cell>
          <cell r="N148" t="str">
            <v/>
          </cell>
          <cell r="O148" t="str">
            <v/>
          </cell>
          <cell r="P148">
            <v>0</v>
          </cell>
        </row>
        <row r="149">
          <cell r="A149" t="str">
            <v>ST-1880BB-70291-029</v>
          </cell>
          <cell r="B149" t="str">
            <v>1880BB-T-70291</v>
          </cell>
          <cell r="D149" t="str">
            <v>1880BB-T-70287_FL_29</v>
          </cell>
          <cell r="F149">
            <v>1</v>
          </cell>
          <cell r="G149">
            <v>126.7</v>
          </cell>
          <cell r="H149">
            <v>0.12670000000000001</v>
          </cell>
          <cell r="I149" t="str">
            <v/>
          </cell>
          <cell r="J149">
            <v>0.12670000000000001</v>
          </cell>
          <cell r="N149" t="str">
            <v/>
          </cell>
          <cell r="O149" t="str">
            <v/>
          </cell>
          <cell r="P149">
            <v>0</v>
          </cell>
        </row>
        <row r="150">
          <cell r="A150" t="str">
            <v>ST-1880BB-70291-028</v>
          </cell>
          <cell r="B150" t="str">
            <v>1880BB-T-70291</v>
          </cell>
          <cell r="D150" t="str">
            <v>1880BB-T-70287_FL_30</v>
          </cell>
          <cell r="F150">
            <v>1</v>
          </cell>
          <cell r="G150">
            <v>54.5</v>
          </cell>
          <cell r="H150">
            <v>5.45E-2</v>
          </cell>
          <cell r="I150" t="str">
            <v/>
          </cell>
          <cell r="J150">
            <v>5.45E-2</v>
          </cell>
          <cell r="N150" t="str">
            <v/>
          </cell>
          <cell r="O150" t="str">
            <v/>
          </cell>
          <cell r="P150">
            <v>0</v>
          </cell>
        </row>
        <row r="151">
          <cell r="A151" t="str">
            <v>ST-1880BB-70291-034</v>
          </cell>
          <cell r="B151" t="str">
            <v>1880BB-T-70291</v>
          </cell>
          <cell r="D151" t="str">
            <v>1880BB-T-70287_FL_31</v>
          </cell>
          <cell r="F151">
            <v>1</v>
          </cell>
          <cell r="G151">
            <v>32.1</v>
          </cell>
          <cell r="H151">
            <v>3.2100000000000004E-2</v>
          </cell>
          <cell r="I151" t="str">
            <v/>
          </cell>
          <cell r="J151">
            <v>3.2100000000000004E-2</v>
          </cell>
          <cell r="N151" t="str">
            <v/>
          </cell>
          <cell r="O151" t="str">
            <v/>
          </cell>
          <cell r="P151">
            <v>0</v>
          </cell>
        </row>
        <row r="152">
          <cell r="A152" t="str">
            <v>ST-1880BB-70291-035</v>
          </cell>
          <cell r="B152" t="str">
            <v>1880BB-T-70291</v>
          </cell>
          <cell r="D152" t="str">
            <v>1880BB-T-70287_FL_31</v>
          </cell>
          <cell r="F152">
            <v>1</v>
          </cell>
          <cell r="G152">
            <v>32.1</v>
          </cell>
          <cell r="H152">
            <v>3.2100000000000004E-2</v>
          </cell>
          <cell r="I152" t="str">
            <v/>
          </cell>
          <cell r="J152">
            <v>3.2100000000000004E-2</v>
          </cell>
          <cell r="N152" t="str">
            <v/>
          </cell>
          <cell r="O152" t="str">
            <v/>
          </cell>
          <cell r="P152">
            <v>0</v>
          </cell>
        </row>
        <row r="153">
          <cell r="A153" t="str">
            <v>ST-1880BB-70292-001</v>
          </cell>
          <cell r="B153" t="str">
            <v>1880BB-T-70292</v>
          </cell>
          <cell r="D153" t="str">
            <v>1880BB-T-70287_FL_32</v>
          </cell>
          <cell r="F153">
            <v>1</v>
          </cell>
          <cell r="G153">
            <v>568.79999999999995</v>
          </cell>
          <cell r="H153">
            <v>0.56879999999999997</v>
          </cell>
          <cell r="I153" t="str">
            <v/>
          </cell>
          <cell r="J153">
            <v>0.56879999999999997</v>
          </cell>
          <cell r="N153" t="str">
            <v/>
          </cell>
          <cell r="O153" t="str">
            <v/>
          </cell>
          <cell r="P153">
            <v>0</v>
          </cell>
        </row>
        <row r="154">
          <cell r="A154" t="str">
            <v>ST-1880BB-70292-002</v>
          </cell>
          <cell r="B154" t="str">
            <v>1880BB-T-70292</v>
          </cell>
          <cell r="D154" t="str">
            <v>1880BB-T-70287_FL_33</v>
          </cell>
          <cell r="F154">
            <v>1</v>
          </cell>
          <cell r="G154">
            <v>274.8</v>
          </cell>
          <cell r="H154">
            <v>0.27479999999999999</v>
          </cell>
          <cell r="I154" t="str">
            <v/>
          </cell>
          <cell r="J154">
            <v>0.27479999999999999</v>
          </cell>
          <cell r="N154" t="str">
            <v/>
          </cell>
          <cell r="O154" t="str">
            <v/>
          </cell>
          <cell r="P154">
            <v>0</v>
          </cell>
        </row>
        <row r="155">
          <cell r="A155" t="str">
            <v>ST-1880BB-70292-003</v>
          </cell>
          <cell r="B155" t="str">
            <v>1880BB-T-70292</v>
          </cell>
          <cell r="D155" t="str">
            <v>1880BB-T-70287_FL_34</v>
          </cell>
          <cell r="F155">
            <v>1</v>
          </cell>
          <cell r="G155">
            <v>117</v>
          </cell>
          <cell r="H155">
            <v>0.11700000000000001</v>
          </cell>
          <cell r="I155" t="str">
            <v/>
          </cell>
          <cell r="J155">
            <v>0.11700000000000001</v>
          </cell>
          <cell r="N155" t="str">
            <v/>
          </cell>
          <cell r="O155" t="str">
            <v/>
          </cell>
          <cell r="P155">
            <v>0</v>
          </cell>
        </row>
        <row r="156">
          <cell r="A156" t="str">
            <v>ST-1880BB-70292-005</v>
          </cell>
          <cell r="B156" t="str">
            <v>1880BB-T-70292</v>
          </cell>
          <cell r="D156" t="str">
            <v>1880BB-T-70287_FL_35</v>
          </cell>
          <cell r="F156">
            <v>1</v>
          </cell>
          <cell r="G156">
            <v>134.80000000000001</v>
          </cell>
          <cell r="H156">
            <v>0.1348</v>
          </cell>
          <cell r="I156" t="str">
            <v/>
          </cell>
          <cell r="J156">
            <v>0.1348</v>
          </cell>
          <cell r="N156" t="str">
            <v/>
          </cell>
          <cell r="O156" t="str">
            <v/>
          </cell>
          <cell r="P156">
            <v>0</v>
          </cell>
        </row>
        <row r="157">
          <cell r="A157" t="str">
            <v>ST-1880BB-70292-006</v>
          </cell>
          <cell r="B157" t="str">
            <v>1880BB-T-70292</v>
          </cell>
          <cell r="D157" t="str">
            <v>1880BB-T-70287_FL_36</v>
          </cell>
          <cell r="F157">
            <v>1</v>
          </cell>
          <cell r="G157">
            <v>114.7</v>
          </cell>
          <cell r="H157">
            <v>0.1147</v>
          </cell>
          <cell r="I157" t="str">
            <v/>
          </cell>
          <cell r="J157">
            <v>0.1147</v>
          </cell>
          <cell r="N157" t="str">
            <v/>
          </cell>
          <cell r="O157" t="str">
            <v/>
          </cell>
          <cell r="P157">
            <v>0</v>
          </cell>
        </row>
        <row r="158">
          <cell r="A158" t="str">
            <v>ST-1880BB-70292-008</v>
          </cell>
          <cell r="B158" t="str">
            <v>1880BB-T-70292</v>
          </cell>
          <cell r="D158" t="str">
            <v>1880BB-T-70287_FL_37</v>
          </cell>
          <cell r="F158">
            <v>1</v>
          </cell>
          <cell r="G158">
            <v>117</v>
          </cell>
          <cell r="H158">
            <v>0.11700000000000001</v>
          </cell>
          <cell r="I158" t="str">
            <v/>
          </cell>
          <cell r="J158">
            <v>0.11700000000000001</v>
          </cell>
          <cell r="N158" t="str">
            <v/>
          </cell>
          <cell r="O158" t="str">
            <v/>
          </cell>
          <cell r="P158">
            <v>0</v>
          </cell>
        </row>
        <row r="159">
          <cell r="A159" t="str">
            <v>ST-1880BB-70292-009</v>
          </cell>
          <cell r="B159" t="str">
            <v>1880BB-T-70292</v>
          </cell>
          <cell r="D159" t="str">
            <v>1880BB-T-70287_FL_38</v>
          </cell>
          <cell r="F159">
            <v>1</v>
          </cell>
          <cell r="G159">
            <v>107.3</v>
          </cell>
          <cell r="H159">
            <v>0.10729999999999999</v>
          </cell>
          <cell r="I159" t="str">
            <v/>
          </cell>
          <cell r="J159">
            <v>0.10729999999999999</v>
          </cell>
          <cell r="N159" t="str">
            <v/>
          </cell>
          <cell r="O159" t="str">
            <v/>
          </cell>
          <cell r="P159">
            <v>0</v>
          </cell>
        </row>
        <row r="160">
          <cell r="A160" t="str">
            <v>SRTBO-01</v>
          </cell>
          <cell r="B160" t="str">
            <v>1880BB-C-15108</v>
          </cell>
          <cell r="D160" t="str">
            <v>1880BB-T-70287_FL_39</v>
          </cell>
          <cell r="F160">
            <v>1</v>
          </cell>
          <cell r="G160">
            <v>276.8</v>
          </cell>
          <cell r="H160">
            <v>0.27679999999999999</v>
          </cell>
          <cell r="I160">
            <v>2.2144E-2</v>
          </cell>
          <cell r="J160">
            <v>0.27679999999999999</v>
          </cell>
          <cell r="K160" t="str">
            <v>BMM-10-JUN</v>
          </cell>
          <cell r="N160">
            <v>0.25465599999999999</v>
          </cell>
          <cell r="O160">
            <v>2.2144E-2</v>
          </cell>
          <cell r="P160">
            <v>0.27679999999999999</v>
          </cell>
        </row>
        <row r="161">
          <cell r="A161" t="str">
            <v>SRTBO-02</v>
          </cell>
          <cell r="B161" t="str">
            <v>1880BB-C-15108</v>
          </cell>
          <cell r="D161" t="str">
            <v>1880BB-T-70287_FL_39</v>
          </cell>
          <cell r="F161">
            <v>1</v>
          </cell>
          <cell r="G161">
            <v>276.8</v>
          </cell>
          <cell r="H161">
            <v>0.27679999999999999</v>
          </cell>
          <cell r="I161">
            <v>2.2144E-2</v>
          </cell>
          <cell r="J161">
            <v>0.27679999999999999</v>
          </cell>
          <cell r="K161" t="str">
            <v>BMM-10-JUN</v>
          </cell>
          <cell r="N161">
            <v>0.25465599999999999</v>
          </cell>
          <cell r="O161">
            <v>2.2144E-2</v>
          </cell>
          <cell r="P161">
            <v>0.27679999999999999</v>
          </cell>
        </row>
        <row r="162">
          <cell r="A162" t="str">
            <v>SRTBO-05</v>
          </cell>
          <cell r="B162" t="str">
            <v>1880BB-C-15108</v>
          </cell>
          <cell r="D162" t="str">
            <v>1880BB-T-70287_FL_39</v>
          </cell>
          <cell r="F162">
            <v>1</v>
          </cell>
          <cell r="G162">
            <v>276.8</v>
          </cell>
          <cell r="H162">
            <v>0.27679999999999999</v>
          </cell>
          <cell r="I162">
            <v>2.2144E-2</v>
          </cell>
          <cell r="J162">
            <v>0.27679999999999999</v>
          </cell>
          <cell r="K162" t="str">
            <v>BMM-10-JUN</v>
          </cell>
          <cell r="N162">
            <v>0.25465599999999999</v>
          </cell>
          <cell r="O162">
            <v>2.2144E-2</v>
          </cell>
          <cell r="P162">
            <v>0.27679999999999999</v>
          </cell>
        </row>
        <row r="163">
          <cell r="A163" t="str">
            <v>SRTBO-07</v>
          </cell>
          <cell r="B163" t="str">
            <v>1880BB-C-15108</v>
          </cell>
          <cell r="D163" t="str">
            <v>1880BB-T-70287_FL_39</v>
          </cell>
          <cell r="F163">
            <v>1</v>
          </cell>
          <cell r="G163">
            <v>276.8</v>
          </cell>
          <cell r="H163">
            <v>0.27679999999999999</v>
          </cell>
          <cell r="I163">
            <v>2.2144E-2</v>
          </cell>
          <cell r="J163">
            <v>0.27679999999999999</v>
          </cell>
          <cell r="K163" t="str">
            <v>BMM-10-JUN</v>
          </cell>
          <cell r="N163">
            <v>0.25465599999999999</v>
          </cell>
          <cell r="O163">
            <v>2.2144E-2</v>
          </cell>
          <cell r="P163">
            <v>0.27679999999999999</v>
          </cell>
        </row>
        <row r="164">
          <cell r="A164" t="str">
            <v>SRTBO-08</v>
          </cell>
          <cell r="B164" t="str">
            <v>1880BB-C-15108</v>
          </cell>
          <cell r="D164" t="str">
            <v>1880BB-T-70287_FL_39</v>
          </cell>
          <cell r="F164">
            <v>1</v>
          </cell>
          <cell r="G164">
            <v>276.8</v>
          </cell>
          <cell r="H164">
            <v>0.27679999999999999</v>
          </cell>
          <cell r="I164">
            <v>2.2144E-2</v>
          </cell>
          <cell r="J164">
            <v>0.27679999999999999</v>
          </cell>
          <cell r="K164" t="str">
            <v>BMM-10-JUN</v>
          </cell>
          <cell r="N164">
            <v>0.25465599999999999</v>
          </cell>
          <cell r="O164">
            <v>2.2144E-2</v>
          </cell>
          <cell r="P164">
            <v>0.27679999999999999</v>
          </cell>
        </row>
        <row r="165">
          <cell r="A165" t="str">
            <v>SRTBO-09</v>
          </cell>
          <cell r="B165" t="str">
            <v>1880BB-C-15108</v>
          </cell>
          <cell r="D165" t="str">
            <v>1880BB-T-70287_FL_39</v>
          </cell>
          <cell r="F165">
            <v>1</v>
          </cell>
          <cell r="G165">
            <v>276.8</v>
          </cell>
          <cell r="H165">
            <v>0.27679999999999999</v>
          </cell>
          <cell r="I165">
            <v>2.2144E-2</v>
          </cell>
          <cell r="J165">
            <v>0.27679999999999999</v>
          </cell>
          <cell r="K165" t="str">
            <v>BMM-10-JUN</v>
          </cell>
          <cell r="N165">
            <v>0.25465599999999999</v>
          </cell>
          <cell r="O165">
            <v>2.2144E-2</v>
          </cell>
          <cell r="P165">
            <v>0.27679999999999999</v>
          </cell>
        </row>
        <row r="166">
          <cell r="A166" t="str">
            <v>SRTBO-10</v>
          </cell>
          <cell r="B166" t="str">
            <v>1880BB-C-15108</v>
          </cell>
          <cell r="D166" t="str">
            <v>1880BB-T-70287_FL_39</v>
          </cell>
          <cell r="F166">
            <v>1</v>
          </cell>
          <cell r="G166">
            <v>276.8</v>
          </cell>
          <cell r="H166">
            <v>0.27679999999999999</v>
          </cell>
          <cell r="I166">
            <v>2.2144E-2</v>
          </cell>
          <cell r="J166">
            <v>0.27679999999999999</v>
          </cell>
          <cell r="K166" t="str">
            <v>BMM-10-JUN</v>
          </cell>
          <cell r="N166">
            <v>0.25465599999999999</v>
          </cell>
          <cell r="O166">
            <v>2.2144E-2</v>
          </cell>
          <cell r="P166">
            <v>0.27679999999999999</v>
          </cell>
        </row>
        <row r="167">
          <cell r="A167" t="str">
            <v>SRTBO-22</v>
          </cell>
          <cell r="B167" t="str">
            <v>1880BB-C-15108</v>
          </cell>
          <cell r="D167" t="str">
            <v>1880BB-T-70287_FL_39</v>
          </cell>
          <cell r="F167">
            <v>1</v>
          </cell>
          <cell r="G167">
            <v>276.8</v>
          </cell>
          <cell r="H167">
            <v>0.27679999999999999</v>
          </cell>
          <cell r="I167">
            <v>2.2144E-2</v>
          </cell>
          <cell r="J167">
            <v>0.27679999999999999</v>
          </cell>
          <cell r="K167" t="str">
            <v>BMM-10-JUN</v>
          </cell>
          <cell r="N167">
            <v>0.25465599999999999</v>
          </cell>
          <cell r="O167">
            <v>2.2144E-2</v>
          </cell>
          <cell r="P167">
            <v>0.27679999999999999</v>
          </cell>
        </row>
        <row r="168">
          <cell r="A168" t="str">
            <v>SRTBO-03</v>
          </cell>
          <cell r="B168" t="str">
            <v>1880BB-C-15108</v>
          </cell>
          <cell r="D168" t="str">
            <v>1880BB-T-70287_FL_40</v>
          </cell>
          <cell r="F168">
            <v>1</v>
          </cell>
          <cell r="G168">
            <v>276.2</v>
          </cell>
          <cell r="H168">
            <v>0.2762</v>
          </cell>
          <cell r="I168">
            <v>2.2096000000000001E-2</v>
          </cell>
          <cell r="J168">
            <v>0.2762</v>
          </cell>
          <cell r="K168" t="str">
            <v>BMM-10-JUN</v>
          </cell>
          <cell r="N168">
            <v>0.254104</v>
          </cell>
          <cell r="O168">
            <v>2.2096000000000001E-2</v>
          </cell>
          <cell r="P168">
            <v>0.2762</v>
          </cell>
        </row>
        <row r="169">
          <cell r="A169" t="str">
            <v>SRTBO-04</v>
          </cell>
          <cell r="B169" t="str">
            <v>1880BB-C-15108</v>
          </cell>
          <cell r="D169" t="str">
            <v>1880BB-T-70287_FL_40</v>
          </cell>
          <cell r="F169">
            <v>1</v>
          </cell>
          <cell r="G169">
            <v>276.2</v>
          </cell>
          <cell r="H169">
            <v>0.2762</v>
          </cell>
          <cell r="I169">
            <v>2.2096000000000001E-2</v>
          </cell>
          <cell r="J169">
            <v>0.2762</v>
          </cell>
          <cell r="K169" t="str">
            <v>BMM-10-JUN</v>
          </cell>
          <cell r="N169">
            <v>0.254104</v>
          </cell>
          <cell r="O169">
            <v>2.2096000000000001E-2</v>
          </cell>
          <cell r="P169">
            <v>0.2762</v>
          </cell>
        </row>
        <row r="170">
          <cell r="A170" t="str">
            <v>SRTBO-06</v>
          </cell>
          <cell r="B170" t="str">
            <v>1880BB-C-15108</v>
          </cell>
          <cell r="D170" t="str">
            <v>1880BB-T-70287_FL_41</v>
          </cell>
          <cell r="F170">
            <v>1</v>
          </cell>
          <cell r="G170">
            <v>289.2</v>
          </cell>
          <cell r="H170">
            <v>0.28920000000000001</v>
          </cell>
          <cell r="I170">
            <v>2.3136E-2</v>
          </cell>
          <cell r="J170">
            <v>0.28920000000000001</v>
          </cell>
          <cell r="K170" t="str">
            <v>BMM-10-JUN</v>
          </cell>
          <cell r="N170">
            <v>0.26606400000000002</v>
          </cell>
          <cell r="O170">
            <v>2.3136E-2</v>
          </cell>
          <cell r="P170">
            <v>0.28920000000000001</v>
          </cell>
        </row>
        <row r="171">
          <cell r="A171" t="str">
            <v>SRTBO-23</v>
          </cell>
          <cell r="B171" t="str">
            <v>1880BB-C-15108</v>
          </cell>
          <cell r="D171" t="str">
            <v>1880BB-T-70287_FL_41</v>
          </cell>
          <cell r="F171">
            <v>1</v>
          </cell>
          <cell r="G171">
            <v>289.2</v>
          </cell>
          <cell r="H171">
            <v>0.28920000000000001</v>
          </cell>
          <cell r="I171">
            <v>2.3136E-2</v>
          </cell>
          <cell r="J171">
            <v>0.28920000000000001</v>
          </cell>
          <cell r="K171" t="str">
            <v>BMM-10-JUN</v>
          </cell>
          <cell r="N171">
            <v>0.168268</v>
          </cell>
          <cell r="O171">
            <v>2.3136E-2</v>
          </cell>
          <cell r="P171">
            <v>0.19140399999999999</v>
          </cell>
        </row>
        <row r="172">
          <cell r="A172" t="str">
            <v>SRTBO-24</v>
          </cell>
          <cell r="B172" t="str">
            <v>1880BB-C-15108</v>
          </cell>
          <cell r="D172" t="str">
            <v>1880BB-T-70287_FL_42</v>
          </cell>
          <cell r="F172">
            <v>1</v>
          </cell>
          <cell r="G172">
            <v>182.9</v>
          </cell>
          <cell r="H172">
            <v>0.18290000000000001</v>
          </cell>
          <cell r="I172">
            <v>1.4632000000000001E-2</v>
          </cell>
          <cell r="J172">
            <v>0.18290000000000001</v>
          </cell>
          <cell r="K172" t="str">
            <v>BMM-10-JUN</v>
          </cell>
          <cell r="N172">
            <v>0.168268</v>
          </cell>
          <cell r="O172">
            <v>1.4632000000000001E-2</v>
          </cell>
          <cell r="P172">
            <v>0.18290000000000001</v>
          </cell>
        </row>
        <row r="173">
          <cell r="A173" t="str">
            <v>SRTBO-25</v>
          </cell>
          <cell r="B173" t="str">
            <v>1880BB-C-15108</v>
          </cell>
          <cell r="D173" t="str">
            <v>1880BB-T-70287_FL_42</v>
          </cell>
          <cell r="F173">
            <v>1</v>
          </cell>
          <cell r="G173">
            <v>182.9</v>
          </cell>
          <cell r="H173">
            <v>0.18290000000000001</v>
          </cell>
          <cell r="I173">
            <v>1.4632000000000001E-2</v>
          </cell>
          <cell r="J173">
            <v>0.18290000000000001</v>
          </cell>
          <cell r="K173" t="str">
            <v>BMM-10-JUN</v>
          </cell>
          <cell r="N173" t="str">
            <v/>
          </cell>
          <cell r="O173">
            <v>1.4632000000000001E-2</v>
          </cell>
          <cell r="P173">
            <v>1.4632000000000001E-2</v>
          </cell>
        </row>
        <row r="174">
          <cell r="A174" t="str">
            <v>SRTBO-27</v>
          </cell>
          <cell r="B174" t="str">
            <v>1880BB-C-15108</v>
          </cell>
          <cell r="D174" t="str">
            <v>1880BB-T-70287_FL_42</v>
          </cell>
          <cell r="F174">
            <v>1</v>
          </cell>
          <cell r="G174">
            <v>182.9</v>
          </cell>
          <cell r="H174">
            <v>0.18290000000000001</v>
          </cell>
          <cell r="I174">
            <v>1.4632000000000001E-2</v>
          </cell>
          <cell r="J174">
            <v>0.18290000000000001</v>
          </cell>
          <cell r="K174" t="str">
            <v>BMM-10-JUN</v>
          </cell>
          <cell r="N174">
            <v>0.168268</v>
          </cell>
          <cell r="O174">
            <v>1.4632000000000001E-2</v>
          </cell>
          <cell r="P174">
            <v>0.18290000000000001</v>
          </cell>
        </row>
        <row r="175">
          <cell r="A175" t="str">
            <v>SRTBO-29</v>
          </cell>
          <cell r="B175" t="str">
            <v>1880BB-C-15108</v>
          </cell>
          <cell r="D175" t="str">
            <v>1880BB-T-70287_FL_42</v>
          </cell>
          <cell r="F175">
            <v>1</v>
          </cell>
          <cell r="G175">
            <v>182.9</v>
          </cell>
          <cell r="H175">
            <v>0.18290000000000001</v>
          </cell>
          <cell r="I175">
            <v>1.4632000000000001E-2</v>
          </cell>
          <cell r="J175">
            <v>0.18290000000000001</v>
          </cell>
          <cell r="K175" t="str">
            <v>BMM-10-JUN</v>
          </cell>
          <cell r="N175">
            <v>0.168268</v>
          </cell>
          <cell r="O175">
            <v>1.4632000000000001E-2</v>
          </cell>
          <cell r="P175">
            <v>0.18290000000000001</v>
          </cell>
        </row>
        <row r="176">
          <cell r="A176" t="str">
            <v>SRTBO-30</v>
          </cell>
          <cell r="B176" t="str">
            <v>1880BB-C-15108</v>
          </cell>
          <cell r="D176" t="str">
            <v>1880BB-T-70287_FL_42</v>
          </cell>
          <cell r="F176">
            <v>1</v>
          </cell>
          <cell r="G176">
            <v>182.9</v>
          </cell>
          <cell r="H176">
            <v>0.18290000000000001</v>
          </cell>
          <cell r="I176">
            <v>1.4632000000000001E-2</v>
          </cell>
          <cell r="J176">
            <v>0.18290000000000001</v>
          </cell>
          <cell r="K176" t="str">
            <v>BMM-10-JUN</v>
          </cell>
          <cell r="N176">
            <v>0.168268</v>
          </cell>
          <cell r="O176">
            <v>1.4632000000000001E-2</v>
          </cell>
          <cell r="P176">
            <v>0.18290000000000001</v>
          </cell>
        </row>
        <row r="177">
          <cell r="A177" t="str">
            <v>SRTBO-31</v>
          </cell>
          <cell r="B177" t="str">
            <v>1880BB-C-15108</v>
          </cell>
          <cell r="D177" t="str">
            <v>1880BB-T-70287_FL_42</v>
          </cell>
          <cell r="F177">
            <v>1</v>
          </cell>
          <cell r="G177">
            <v>182.9</v>
          </cell>
          <cell r="H177">
            <v>0.18290000000000001</v>
          </cell>
          <cell r="I177">
            <v>1.4632000000000001E-2</v>
          </cell>
          <cell r="J177">
            <v>0.18290000000000001</v>
          </cell>
          <cell r="K177" t="str">
            <v>BMM-10-JUN</v>
          </cell>
          <cell r="N177">
            <v>0.168268</v>
          </cell>
          <cell r="O177">
            <v>1.4632000000000001E-2</v>
          </cell>
          <cell r="P177">
            <v>0.18290000000000001</v>
          </cell>
        </row>
        <row r="178">
          <cell r="A178" t="str">
            <v>SRTBO-32</v>
          </cell>
          <cell r="B178" t="str">
            <v>1880BB-C-15108</v>
          </cell>
          <cell r="D178" t="str">
            <v>1880BB-T-70287_FL_42</v>
          </cell>
          <cell r="F178">
            <v>1</v>
          </cell>
          <cell r="G178">
            <v>182.9</v>
          </cell>
          <cell r="H178">
            <v>0.18290000000000001</v>
          </cell>
          <cell r="I178">
            <v>1.4632000000000001E-2</v>
          </cell>
          <cell r="J178">
            <v>0.18290000000000001</v>
          </cell>
          <cell r="K178" t="str">
            <v>BMM-10-JUN</v>
          </cell>
          <cell r="N178">
            <v>0.168268</v>
          </cell>
          <cell r="O178">
            <v>1.4632000000000001E-2</v>
          </cell>
          <cell r="P178">
            <v>0.18290000000000001</v>
          </cell>
        </row>
        <row r="179">
          <cell r="A179" t="str">
            <v>SRTBO-34</v>
          </cell>
          <cell r="B179" t="str">
            <v>1880BB-C-15108</v>
          </cell>
          <cell r="D179" t="str">
            <v>1880BB-T-70287_FL_42</v>
          </cell>
          <cell r="F179">
            <v>1</v>
          </cell>
          <cell r="G179">
            <v>182.9</v>
          </cell>
          <cell r="H179">
            <v>0.18290000000000001</v>
          </cell>
          <cell r="I179">
            <v>1.4632000000000001E-2</v>
          </cell>
          <cell r="J179">
            <v>0.18290000000000001</v>
          </cell>
          <cell r="K179" t="str">
            <v>BMM-10-JUN</v>
          </cell>
          <cell r="N179">
            <v>0.168268</v>
          </cell>
          <cell r="O179">
            <v>1.4632000000000001E-2</v>
          </cell>
          <cell r="P179">
            <v>0.18290000000000001</v>
          </cell>
        </row>
        <row r="180">
          <cell r="A180" t="str">
            <v>SRTBO-35</v>
          </cell>
          <cell r="B180" t="str">
            <v>1880BB-C-15108</v>
          </cell>
          <cell r="D180" t="str">
            <v>1880BB-T-70287_FL_42</v>
          </cell>
          <cell r="F180">
            <v>1</v>
          </cell>
          <cell r="G180">
            <v>182.9</v>
          </cell>
          <cell r="H180">
            <v>0.18290000000000001</v>
          </cell>
          <cell r="I180">
            <v>1.4632000000000001E-2</v>
          </cell>
          <cell r="J180">
            <v>0.18290000000000001</v>
          </cell>
          <cell r="K180" t="str">
            <v>BMM-10-JUN</v>
          </cell>
          <cell r="N180">
            <v>0.168268</v>
          </cell>
          <cell r="O180">
            <v>1.4632000000000001E-2</v>
          </cell>
          <cell r="P180">
            <v>0.18290000000000001</v>
          </cell>
        </row>
        <row r="181">
          <cell r="A181" t="str">
            <v>SRTBO-36</v>
          </cell>
          <cell r="B181" t="str">
            <v>1880BB-C-15108</v>
          </cell>
          <cell r="D181" t="str">
            <v>1880BB-T-70287_FL_42</v>
          </cell>
          <cell r="F181">
            <v>1</v>
          </cell>
          <cell r="G181">
            <v>182.9</v>
          </cell>
          <cell r="H181">
            <v>0.18290000000000001</v>
          </cell>
          <cell r="I181">
            <v>1.4632000000000001E-2</v>
          </cell>
          <cell r="J181">
            <v>0.18290000000000001</v>
          </cell>
          <cell r="K181" t="str">
            <v>BMM-10-JUN</v>
          </cell>
          <cell r="N181">
            <v>0.168268</v>
          </cell>
          <cell r="O181">
            <v>1.4632000000000001E-2</v>
          </cell>
          <cell r="P181">
            <v>0.18290000000000001</v>
          </cell>
        </row>
        <row r="182">
          <cell r="A182" t="str">
            <v>SRTBO-37</v>
          </cell>
          <cell r="B182" t="str">
            <v>1880BB-C-15108</v>
          </cell>
          <cell r="D182" t="str">
            <v>1880BB-T-70287_FL_42</v>
          </cell>
          <cell r="F182">
            <v>1</v>
          </cell>
          <cell r="G182">
            <v>182.9</v>
          </cell>
          <cell r="H182">
            <v>0.18290000000000001</v>
          </cell>
          <cell r="I182">
            <v>1.4632000000000001E-2</v>
          </cell>
          <cell r="J182">
            <v>0.18290000000000001</v>
          </cell>
          <cell r="K182" t="str">
            <v>BMM-10-JUN</v>
          </cell>
          <cell r="N182">
            <v>0.168268</v>
          </cell>
          <cell r="O182">
            <v>1.4632000000000001E-2</v>
          </cell>
          <cell r="P182">
            <v>0.18290000000000001</v>
          </cell>
        </row>
        <row r="183">
          <cell r="A183" t="str">
            <v>SRTBO-38</v>
          </cell>
          <cell r="B183" t="str">
            <v>1880BB-C-15108</v>
          </cell>
          <cell r="D183" t="str">
            <v>1880BB-T-70287_FL_42</v>
          </cell>
          <cell r="F183">
            <v>1</v>
          </cell>
          <cell r="G183">
            <v>182.9</v>
          </cell>
          <cell r="H183">
            <v>0.18290000000000001</v>
          </cell>
          <cell r="I183">
            <v>1.4632000000000001E-2</v>
          </cell>
          <cell r="J183">
            <v>0.18290000000000001</v>
          </cell>
          <cell r="K183" t="str">
            <v>BMM-10-JUN</v>
          </cell>
          <cell r="N183">
            <v>0.168268</v>
          </cell>
          <cell r="O183">
            <v>1.4632000000000001E-2</v>
          </cell>
          <cell r="P183">
            <v>0.18290000000000001</v>
          </cell>
        </row>
        <row r="184">
          <cell r="A184" t="str">
            <v>SRTBO-40</v>
          </cell>
          <cell r="B184" t="str">
            <v>1880BB-C-15108</v>
          </cell>
          <cell r="D184" t="str">
            <v>1880BB-T-70287_FL_42</v>
          </cell>
          <cell r="F184">
            <v>1</v>
          </cell>
          <cell r="G184">
            <v>182.9</v>
          </cell>
          <cell r="H184">
            <v>0.18290000000000001</v>
          </cell>
          <cell r="I184">
            <v>1.4632000000000001E-2</v>
          </cell>
          <cell r="J184">
            <v>0.18290000000000001</v>
          </cell>
          <cell r="K184" t="str">
            <v>BMM-10-JUN</v>
          </cell>
          <cell r="N184">
            <v>0.168268</v>
          </cell>
          <cell r="O184">
            <v>1.4632000000000001E-2</v>
          </cell>
          <cell r="P184">
            <v>0.18290000000000001</v>
          </cell>
        </row>
        <row r="185">
          <cell r="A185" t="str">
            <v>SRTBO-41</v>
          </cell>
          <cell r="B185" t="str">
            <v>1880BB-C-15108</v>
          </cell>
          <cell r="D185" t="str">
            <v>1880BB-T-70287_FL_42</v>
          </cell>
          <cell r="F185">
            <v>1</v>
          </cell>
          <cell r="G185">
            <v>182.9</v>
          </cell>
          <cell r="H185">
            <v>0.18290000000000001</v>
          </cell>
          <cell r="I185">
            <v>1.4632000000000001E-2</v>
          </cell>
          <cell r="J185">
            <v>0.18290000000000001</v>
          </cell>
          <cell r="K185" t="str">
            <v>BMM-10-JUN</v>
          </cell>
          <cell r="N185">
            <v>0.168268</v>
          </cell>
          <cell r="O185">
            <v>1.4632000000000001E-2</v>
          </cell>
          <cell r="P185">
            <v>0.18290000000000001</v>
          </cell>
        </row>
        <row r="186">
          <cell r="A186" t="str">
            <v>SRTBO-42</v>
          </cell>
          <cell r="B186" t="str">
            <v>1880BB-C-15108</v>
          </cell>
          <cell r="D186" t="str">
            <v>1880BB-T-70287_FL_42</v>
          </cell>
          <cell r="F186">
            <v>1</v>
          </cell>
          <cell r="G186">
            <v>182.9</v>
          </cell>
          <cell r="H186">
            <v>0.18290000000000001</v>
          </cell>
          <cell r="I186">
            <v>1.4632000000000001E-2</v>
          </cell>
          <cell r="J186">
            <v>0.18290000000000001</v>
          </cell>
          <cell r="K186" t="str">
            <v>BMM-10-JUN</v>
          </cell>
          <cell r="N186">
            <v>0.168268</v>
          </cell>
          <cell r="O186">
            <v>1.4632000000000001E-2</v>
          </cell>
          <cell r="P186">
            <v>0.18290000000000001</v>
          </cell>
        </row>
        <row r="187">
          <cell r="A187" t="str">
            <v>SRTBO-46</v>
          </cell>
          <cell r="B187" t="str">
            <v>1880BB-C-15108</v>
          </cell>
          <cell r="D187" t="str">
            <v>1880BB-T-70287_FL_42</v>
          </cell>
          <cell r="F187">
            <v>1</v>
          </cell>
          <cell r="G187">
            <v>182.9</v>
          </cell>
          <cell r="H187">
            <v>0.18290000000000001</v>
          </cell>
          <cell r="I187">
            <v>1.4632000000000001E-2</v>
          </cell>
          <cell r="J187">
            <v>0.18290000000000001</v>
          </cell>
          <cell r="K187" t="str">
            <v>BMM-10-JUN</v>
          </cell>
          <cell r="N187">
            <v>0.168268</v>
          </cell>
          <cell r="O187">
            <v>1.4632000000000001E-2</v>
          </cell>
          <cell r="P187">
            <v>0.18290000000000001</v>
          </cell>
        </row>
        <row r="188">
          <cell r="A188" t="str">
            <v>SRTBO-47</v>
          </cell>
          <cell r="B188" t="str">
            <v>1880BB-C-15108</v>
          </cell>
          <cell r="D188" t="str">
            <v>1880BB-T-70287_FL_42</v>
          </cell>
          <cell r="F188">
            <v>1</v>
          </cell>
          <cell r="G188">
            <v>182.9</v>
          </cell>
          <cell r="H188">
            <v>0.18290000000000001</v>
          </cell>
          <cell r="I188">
            <v>1.4632000000000001E-2</v>
          </cell>
          <cell r="J188">
            <v>0.18290000000000001</v>
          </cell>
          <cell r="K188" t="str">
            <v>BMM-10-JUN</v>
          </cell>
          <cell r="N188">
            <v>0.168268</v>
          </cell>
          <cell r="O188">
            <v>1.4632000000000001E-2</v>
          </cell>
          <cell r="P188">
            <v>0.18290000000000001</v>
          </cell>
        </row>
        <row r="189">
          <cell r="A189" t="str">
            <v>SRTBO-48</v>
          </cell>
          <cell r="B189" t="str">
            <v>1880BB-C-15108</v>
          </cell>
          <cell r="D189" t="str">
            <v>1880BB-T-70287_FL_42</v>
          </cell>
          <cell r="F189">
            <v>1</v>
          </cell>
          <cell r="G189">
            <v>182.9</v>
          </cell>
          <cell r="H189">
            <v>0.18290000000000001</v>
          </cell>
          <cell r="I189">
            <v>1.4632000000000001E-2</v>
          </cell>
          <cell r="J189">
            <v>0.18290000000000001</v>
          </cell>
          <cell r="K189" t="str">
            <v>BMM-10-JUN</v>
          </cell>
          <cell r="N189">
            <v>0.168268</v>
          </cell>
          <cell r="O189">
            <v>1.4632000000000001E-2</v>
          </cell>
          <cell r="P189">
            <v>0.18290000000000001</v>
          </cell>
        </row>
        <row r="190">
          <cell r="A190" t="str">
            <v>SRTBO-49</v>
          </cell>
          <cell r="B190" t="str">
            <v>1880BB-C-15108</v>
          </cell>
          <cell r="D190" t="str">
            <v>1880BB-T-70287_FL_42</v>
          </cell>
          <cell r="F190">
            <v>1</v>
          </cell>
          <cell r="G190">
            <v>182.9</v>
          </cell>
          <cell r="H190">
            <v>0.18290000000000001</v>
          </cell>
          <cell r="I190">
            <v>1.4632000000000001E-2</v>
          </cell>
          <cell r="J190">
            <v>0.18290000000000001</v>
          </cell>
          <cell r="K190" t="str">
            <v>BMM-10-JUN</v>
          </cell>
          <cell r="N190">
            <v>0.168268</v>
          </cell>
          <cell r="O190">
            <v>1.4632000000000001E-2</v>
          </cell>
          <cell r="P190">
            <v>0.18290000000000001</v>
          </cell>
        </row>
        <row r="191">
          <cell r="A191" t="str">
            <v>SRTBO-51</v>
          </cell>
          <cell r="B191" t="str">
            <v>1880BB-C-15108</v>
          </cell>
          <cell r="D191" t="str">
            <v>1880BB-T-70287_FL_42</v>
          </cell>
          <cell r="F191">
            <v>1</v>
          </cell>
          <cell r="G191">
            <v>182.9</v>
          </cell>
          <cell r="H191">
            <v>0.18290000000000001</v>
          </cell>
          <cell r="I191">
            <v>1.4632000000000001E-2</v>
          </cell>
          <cell r="J191">
            <v>0.18290000000000001</v>
          </cell>
          <cell r="K191" t="str">
            <v>BMM-10-JUN</v>
          </cell>
          <cell r="N191">
            <v>0.168268</v>
          </cell>
          <cell r="O191">
            <v>1.4632000000000001E-2</v>
          </cell>
          <cell r="P191">
            <v>0.18290000000000001</v>
          </cell>
        </row>
        <row r="192">
          <cell r="A192" t="str">
            <v>SRTBO-26</v>
          </cell>
          <cell r="B192" t="str">
            <v>1880BB-C-15108</v>
          </cell>
          <cell r="D192" t="str">
            <v>1880BB-T-70287_FL_43</v>
          </cell>
          <cell r="F192">
            <v>1</v>
          </cell>
          <cell r="G192">
            <v>190.6</v>
          </cell>
          <cell r="H192">
            <v>0.19059999999999999</v>
          </cell>
          <cell r="I192">
            <v>1.5247999999999999E-2</v>
          </cell>
          <cell r="J192">
            <v>0.19059999999999999</v>
          </cell>
          <cell r="K192" t="str">
            <v>BMM-10-JUN</v>
          </cell>
          <cell r="N192">
            <v>0.17535200000000001</v>
          </cell>
          <cell r="O192">
            <v>1.5247999999999999E-2</v>
          </cell>
          <cell r="P192">
            <v>0.19060000000000002</v>
          </cell>
        </row>
        <row r="193">
          <cell r="A193" t="str">
            <v>SRTBO-28</v>
          </cell>
          <cell r="B193" t="str">
            <v>1880BB-C-15108</v>
          </cell>
          <cell r="D193" t="str">
            <v>1880BB-T-70287_FL_43</v>
          </cell>
          <cell r="F193">
            <v>1</v>
          </cell>
          <cell r="G193">
            <v>190.6</v>
          </cell>
          <cell r="H193">
            <v>0.19059999999999999</v>
          </cell>
          <cell r="I193">
            <v>1.5247999999999999E-2</v>
          </cell>
          <cell r="J193">
            <v>0.19059999999999999</v>
          </cell>
          <cell r="K193" t="str">
            <v>BMM-10-JUN</v>
          </cell>
          <cell r="N193">
            <v>0.17535200000000001</v>
          </cell>
          <cell r="O193">
            <v>1.5247999999999999E-2</v>
          </cell>
          <cell r="P193">
            <v>0.19060000000000002</v>
          </cell>
        </row>
        <row r="194">
          <cell r="A194" t="str">
            <v>SRTBO-33</v>
          </cell>
          <cell r="B194" t="str">
            <v>1880BB-C-15108</v>
          </cell>
          <cell r="D194" t="str">
            <v>1880BB-T-70287_FL_43</v>
          </cell>
          <cell r="F194">
            <v>1</v>
          </cell>
          <cell r="G194">
            <v>190.6</v>
          </cell>
          <cell r="H194">
            <v>0.19059999999999999</v>
          </cell>
          <cell r="I194">
            <v>1.5247999999999999E-2</v>
          </cell>
          <cell r="J194">
            <v>0.19059999999999999</v>
          </cell>
          <cell r="K194" t="str">
            <v>BMM-10-JUN</v>
          </cell>
          <cell r="N194">
            <v>0.17535200000000001</v>
          </cell>
          <cell r="O194">
            <v>1.5247999999999999E-2</v>
          </cell>
          <cell r="P194">
            <v>0.19060000000000002</v>
          </cell>
        </row>
        <row r="195">
          <cell r="A195" t="str">
            <v>SRTBO-39</v>
          </cell>
          <cell r="B195" t="str">
            <v>1880BB-C-15108</v>
          </cell>
          <cell r="D195" t="str">
            <v>1880BB-T-70287_FL_43</v>
          </cell>
          <cell r="F195">
            <v>1</v>
          </cell>
          <cell r="G195">
            <v>190.6</v>
          </cell>
          <cell r="H195">
            <v>0.19059999999999999</v>
          </cell>
          <cell r="I195">
            <v>1.5247999999999999E-2</v>
          </cell>
          <cell r="J195">
            <v>0.19059999999999999</v>
          </cell>
          <cell r="K195" t="str">
            <v>BMM-10-JUN</v>
          </cell>
          <cell r="N195">
            <v>0.17535200000000001</v>
          </cell>
          <cell r="O195">
            <v>1.5247999999999999E-2</v>
          </cell>
          <cell r="P195">
            <v>0.19060000000000002</v>
          </cell>
        </row>
        <row r="196">
          <cell r="A196" t="str">
            <v>SRTBO-43</v>
          </cell>
          <cell r="B196" t="str">
            <v>1880BB-C-15108</v>
          </cell>
          <cell r="D196" t="str">
            <v>1880BB-T-70287_FL_43</v>
          </cell>
          <cell r="F196">
            <v>1</v>
          </cell>
          <cell r="G196">
            <v>190.6</v>
          </cell>
          <cell r="H196">
            <v>0.19059999999999999</v>
          </cell>
          <cell r="I196">
            <v>1.5247999999999999E-2</v>
          </cell>
          <cell r="J196">
            <v>0.19059999999999999</v>
          </cell>
          <cell r="K196" t="str">
            <v>BMM-10-JUN</v>
          </cell>
          <cell r="N196">
            <v>0.17535200000000001</v>
          </cell>
          <cell r="O196">
            <v>1.5247999999999999E-2</v>
          </cell>
          <cell r="P196">
            <v>0.19060000000000002</v>
          </cell>
        </row>
        <row r="197">
          <cell r="A197" t="str">
            <v>SRTBO-44</v>
          </cell>
          <cell r="B197" t="str">
            <v>1880BB-C-15108</v>
          </cell>
          <cell r="D197" t="str">
            <v>1880BB-T-70287_FL_44</v>
          </cell>
          <cell r="F197">
            <v>1</v>
          </cell>
          <cell r="G197">
            <v>182.3</v>
          </cell>
          <cell r="H197">
            <v>0.18230000000000002</v>
          </cell>
          <cell r="I197">
            <v>1.4584000000000001E-2</v>
          </cell>
          <cell r="J197">
            <v>0.18230000000000002</v>
          </cell>
          <cell r="K197" t="str">
            <v>BMM-10-JUN</v>
          </cell>
          <cell r="N197">
            <v>0.16771600000000003</v>
          </cell>
          <cell r="O197">
            <v>1.4584000000000001E-2</v>
          </cell>
          <cell r="P197">
            <v>0.18230000000000005</v>
          </cell>
        </row>
        <row r="198">
          <cell r="A198" t="str">
            <v>SRTBO-45</v>
          </cell>
          <cell r="B198" t="str">
            <v>1880BB-C-15108</v>
          </cell>
          <cell r="D198" t="str">
            <v>1880BB-T-70287_FL_44</v>
          </cell>
          <cell r="F198">
            <v>1</v>
          </cell>
          <cell r="G198">
            <v>182.3</v>
          </cell>
          <cell r="H198">
            <v>0.18230000000000002</v>
          </cell>
          <cell r="I198">
            <v>1.4584000000000001E-2</v>
          </cell>
          <cell r="J198">
            <v>0.18230000000000002</v>
          </cell>
          <cell r="K198" t="str">
            <v>BMM-10-JUN</v>
          </cell>
          <cell r="N198">
            <v>0.16771600000000003</v>
          </cell>
          <cell r="O198">
            <v>1.4584000000000001E-2</v>
          </cell>
          <cell r="P198">
            <v>0.18230000000000005</v>
          </cell>
        </row>
        <row r="199">
          <cell r="A199" t="str">
            <v>SRTBO-50</v>
          </cell>
          <cell r="B199" t="str">
            <v>1880BB-C-15108</v>
          </cell>
          <cell r="D199" t="str">
            <v>1880BB-T-70287_FL_44</v>
          </cell>
          <cell r="F199">
            <v>1</v>
          </cell>
          <cell r="G199">
            <v>182.3</v>
          </cell>
          <cell r="H199">
            <v>0.18230000000000002</v>
          </cell>
          <cell r="I199">
            <v>1.4584000000000001E-2</v>
          </cell>
          <cell r="J199">
            <v>0.18230000000000002</v>
          </cell>
          <cell r="K199" t="str">
            <v>BMM-10-JUN</v>
          </cell>
          <cell r="N199">
            <v>0.16771600000000003</v>
          </cell>
          <cell r="O199">
            <v>1.4584000000000001E-2</v>
          </cell>
          <cell r="P199">
            <v>0.18230000000000005</v>
          </cell>
        </row>
        <row r="200">
          <cell r="A200" t="str">
            <v>SRTBO-121</v>
          </cell>
          <cell r="B200" t="str">
            <v>1880BB-C-15108</v>
          </cell>
          <cell r="D200" t="str">
            <v>1880BB-T-70287_FL_44</v>
          </cell>
          <cell r="F200">
            <v>1</v>
          </cell>
          <cell r="G200">
            <v>182.3</v>
          </cell>
          <cell r="H200">
            <v>0.18230000000000002</v>
          </cell>
          <cell r="I200">
            <v>1.4584000000000001E-2</v>
          </cell>
          <cell r="J200">
            <v>0.18230000000000002</v>
          </cell>
          <cell r="K200" t="str">
            <v>BMM-10-JUN</v>
          </cell>
          <cell r="N200">
            <v>0.41492000000000001</v>
          </cell>
          <cell r="O200">
            <v>1.4584000000000001E-2</v>
          </cell>
          <cell r="P200">
            <v>0.429504</v>
          </cell>
        </row>
        <row r="201">
          <cell r="A201" t="str">
            <v>SRTBO-11</v>
          </cell>
          <cell r="B201" t="str">
            <v>1880BB-C-15108</v>
          </cell>
          <cell r="D201" t="str">
            <v>1880BB-T-70287_FL_45</v>
          </cell>
          <cell r="F201">
            <v>1</v>
          </cell>
          <cell r="G201">
            <v>451</v>
          </cell>
          <cell r="H201">
            <v>0.45100000000000001</v>
          </cell>
          <cell r="I201">
            <v>3.6080000000000001E-2</v>
          </cell>
          <cell r="J201">
            <v>0.45100000000000001</v>
          </cell>
          <cell r="K201" t="str">
            <v>BMM-10-JUN</v>
          </cell>
          <cell r="N201">
            <v>0.44242799999999999</v>
          </cell>
          <cell r="O201">
            <v>3.6080000000000001E-2</v>
          </cell>
          <cell r="P201">
            <v>0.47850799999999999</v>
          </cell>
        </row>
        <row r="202">
          <cell r="A202" t="str">
            <v>SRTBO-12</v>
          </cell>
          <cell r="B202" t="str">
            <v>1880BB-C-15108</v>
          </cell>
          <cell r="D202" t="str">
            <v>1880BB-T-70287_FL_46</v>
          </cell>
          <cell r="F202">
            <v>1</v>
          </cell>
          <cell r="G202">
            <v>480.9</v>
          </cell>
          <cell r="H202">
            <v>0.48089999999999999</v>
          </cell>
          <cell r="I202">
            <v>3.8471999999999999E-2</v>
          </cell>
          <cell r="J202">
            <v>0.48089999999999999</v>
          </cell>
          <cell r="K202" t="str">
            <v>BMM-10-JUN</v>
          </cell>
          <cell r="N202">
            <v>0.44417600000000002</v>
          </cell>
          <cell r="O202">
            <v>3.8471999999999999E-2</v>
          </cell>
          <cell r="P202">
            <v>0.48264800000000002</v>
          </cell>
        </row>
        <row r="203">
          <cell r="A203" t="str">
            <v>SRTBO-13</v>
          </cell>
          <cell r="B203" t="str">
            <v>1880BB-C-15108</v>
          </cell>
          <cell r="D203" t="str">
            <v>1880BB-T-70287_FL_47</v>
          </cell>
          <cell r="F203">
            <v>1</v>
          </cell>
          <cell r="G203">
            <v>482.8</v>
          </cell>
          <cell r="H203">
            <v>0.48280000000000001</v>
          </cell>
          <cell r="I203">
            <v>3.8623999999999999E-2</v>
          </cell>
          <cell r="J203">
            <v>0.48280000000000001</v>
          </cell>
          <cell r="K203" t="str">
            <v>BMM-10-JUN</v>
          </cell>
          <cell r="N203">
            <v>0.43874800000000003</v>
          </cell>
          <cell r="O203">
            <v>3.8623999999999999E-2</v>
          </cell>
          <cell r="P203">
            <v>0.47737200000000002</v>
          </cell>
        </row>
        <row r="204">
          <cell r="A204" t="str">
            <v>SRTBO-14</v>
          </cell>
          <cell r="B204" t="str">
            <v>1880BB-C-15108</v>
          </cell>
          <cell r="D204" t="str">
            <v>1880BB-T-70287_FL_48</v>
          </cell>
          <cell r="F204">
            <v>1</v>
          </cell>
          <cell r="G204">
            <v>476.9</v>
          </cell>
          <cell r="H204">
            <v>0.47689999999999999</v>
          </cell>
          <cell r="I204">
            <v>3.8151999999999998E-2</v>
          </cell>
          <cell r="J204">
            <v>0.47689999999999999</v>
          </cell>
          <cell r="K204" t="str">
            <v>BMM-10-JUN</v>
          </cell>
          <cell r="N204">
            <v>0.44739600000000002</v>
          </cell>
          <cell r="O204">
            <v>3.8151999999999998E-2</v>
          </cell>
          <cell r="P204">
            <v>0.48554800000000004</v>
          </cell>
        </row>
        <row r="205">
          <cell r="A205" t="str">
            <v>SRTBO-15</v>
          </cell>
          <cell r="B205" t="str">
            <v>1880BB-C-15108</v>
          </cell>
          <cell r="D205" t="str">
            <v>1880BB-T-70287_FL_49</v>
          </cell>
          <cell r="F205">
            <v>1</v>
          </cell>
          <cell r="G205">
            <v>486.3</v>
          </cell>
          <cell r="H205">
            <v>0.48630000000000001</v>
          </cell>
          <cell r="I205">
            <v>3.8904000000000001E-2</v>
          </cell>
          <cell r="J205">
            <v>0.48630000000000001</v>
          </cell>
          <cell r="K205" t="str">
            <v>BMM-10-JUN</v>
          </cell>
          <cell r="N205">
            <v>0.44086400000000003</v>
          </cell>
          <cell r="O205">
            <v>3.8904000000000001E-2</v>
          </cell>
          <cell r="P205">
            <v>0.47976800000000003</v>
          </cell>
        </row>
        <row r="206">
          <cell r="A206" t="str">
            <v>SRTBO-16</v>
          </cell>
          <cell r="B206" t="str">
            <v>1880BB-C-15108</v>
          </cell>
          <cell r="D206" t="str">
            <v>1880BB-T-70287_FL_50</v>
          </cell>
          <cell r="F206">
            <v>1</v>
          </cell>
          <cell r="G206">
            <v>479.2</v>
          </cell>
          <cell r="H206">
            <v>0.47920000000000001</v>
          </cell>
          <cell r="I206">
            <v>3.8336000000000002E-2</v>
          </cell>
          <cell r="J206">
            <v>0.47920000000000001</v>
          </cell>
          <cell r="K206" t="str">
            <v>BMM-10-JUN</v>
          </cell>
          <cell r="N206">
            <v>0.46285199999999999</v>
          </cell>
          <cell r="O206">
            <v>3.8336000000000002E-2</v>
          </cell>
          <cell r="P206">
            <v>0.50118799999999997</v>
          </cell>
        </row>
        <row r="207">
          <cell r="A207" t="str">
            <v>SRTBO-17</v>
          </cell>
          <cell r="B207" t="str">
            <v>1880BB-C-15108</v>
          </cell>
          <cell r="D207" t="str">
            <v>1880BB-T-70287_FL_51</v>
          </cell>
          <cell r="F207">
            <v>1</v>
          </cell>
          <cell r="G207">
            <v>503.1</v>
          </cell>
          <cell r="H207">
            <v>0.50309999999999999</v>
          </cell>
          <cell r="I207">
            <v>4.0247999999999999E-2</v>
          </cell>
          <cell r="J207">
            <v>0.50309999999999999</v>
          </cell>
          <cell r="K207" t="str">
            <v>BMM-10-JUN</v>
          </cell>
          <cell r="N207">
            <v>0.46082800000000002</v>
          </cell>
          <cell r="O207">
            <v>4.0247999999999999E-2</v>
          </cell>
          <cell r="P207">
            <v>0.50107599999999997</v>
          </cell>
        </row>
        <row r="208">
          <cell r="A208" t="str">
            <v>SRTBO-18</v>
          </cell>
          <cell r="B208" t="str">
            <v>1880BB-C-15108</v>
          </cell>
          <cell r="D208" t="str">
            <v>1880BB-T-70287_FL_52</v>
          </cell>
          <cell r="F208">
            <v>1</v>
          </cell>
          <cell r="G208">
            <v>500.9</v>
          </cell>
          <cell r="H208">
            <v>0.50090000000000001</v>
          </cell>
          <cell r="I208">
            <v>4.0072000000000003E-2</v>
          </cell>
          <cell r="J208">
            <v>0.50090000000000001</v>
          </cell>
          <cell r="K208" t="str">
            <v>BMM-10-JUN</v>
          </cell>
          <cell r="N208">
            <v>0.46137999999999996</v>
          </cell>
          <cell r="O208">
            <v>4.0072000000000003E-2</v>
          </cell>
          <cell r="P208">
            <v>0.50145200000000001</v>
          </cell>
        </row>
        <row r="209">
          <cell r="A209" t="str">
            <v>SRTBO-19</v>
          </cell>
          <cell r="B209" t="str">
            <v>1880BB-C-15108</v>
          </cell>
          <cell r="D209" t="str">
            <v>1880BB-T-70287_FL_53</v>
          </cell>
          <cell r="F209">
            <v>1</v>
          </cell>
          <cell r="G209">
            <v>501.5</v>
          </cell>
          <cell r="H209">
            <v>0.50149999999999995</v>
          </cell>
          <cell r="I209">
            <v>4.0119999999999996E-2</v>
          </cell>
          <cell r="J209">
            <v>0.50149999999999995</v>
          </cell>
          <cell r="K209" t="str">
            <v>BMM-10-JUN</v>
          </cell>
          <cell r="N209">
            <v>0.44886800000000004</v>
          </cell>
          <cell r="O209">
            <v>4.0119999999999996E-2</v>
          </cell>
          <cell r="P209">
            <v>0.48898800000000003</v>
          </cell>
        </row>
        <row r="210">
          <cell r="A210" t="str">
            <v>SRTBO-20</v>
          </cell>
          <cell r="B210" t="str">
            <v>1880BB-C-15108</v>
          </cell>
          <cell r="D210" t="str">
            <v>1880BB-T-70287_FL_54</v>
          </cell>
          <cell r="F210">
            <v>1</v>
          </cell>
          <cell r="G210">
            <v>487.9</v>
          </cell>
          <cell r="H210">
            <v>0.4879</v>
          </cell>
          <cell r="I210">
            <v>3.9032000000000004E-2</v>
          </cell>
          <cell r="J210">
            <v>0.4879</v>
          </cell>
          <cell r="K210" t="str">
            <v>BMM-10-JUN</v>
          </cell>
          <cell r="N210" t="str">
            <v/>
          </cell>
          <cell r="O210">
            <v>3.9032000000000004E-2</v>
          </cell>
          <cell r="P210">
            <v>3.9032000000000004E-2</v>
          </cell>
        </row>
        <row r="211">
          <cell r="A211" t="str">
            <v>SRTBO-21</v>
          </cell>
          <cell r="B211" t="str">
            <v>1880BB-C-15108</v>
          </cell>
          <cell r="D211" t="str">
            <v>1880BB-T-70287_FL_55</v>
          </cell>
          <cell r="F211">
            <v>1</v>
          </cell>
          <cell r="G211">
            <v>472.9</v>
          </cell>
          <cell r="H211">
            <v>0.47289999999999999</v>
          </cell>
          <cell r="I211">
            <v>3.7831999999999998E-2</v>
          </cell>
          <cell r="J211">
            <v>0.47289999999999999</v>
          </cell>
          <cell r="K211" t="str">
            <v>BMM-10-JUN</v>
          </cell>
          <cell r="N211">
            <v>0.43506800000000001</v>
          </cell>
          <cell r="O211">
            <v>3.7831999999999998E-2</v>
          </cell>
          <cell r="P211">
            <v>0.47289999999999999</v>
          </cell>
        </row>
        <row r="212">
          <cell r="A212" t="str">
            <v>SRTBO-122</v>
          </cell>
          <cell r="B212" t="str">
            <v>1880BB-C-15108</v>
          </cell>
          <cell r="D212" t="str">
            <v>1880BB-T-70287_FL_56</v>
          </cell>
          <cell r="F212">
            <v>1</v>
          </cell>
          <cell r="G212">
            <v>144.69999999999999</v>
          </cell>
          <cell r="H212">
            <v>0.1447</v>
          </cell>
          <cell r="I212" t="str">
            <v/>
          </cell>
          <cell r="J212">
            <v>0.1447</v>
          </cell>
          <cell r="N212" t="str">
            <v/>
          </cell>
          <cell r="O212" t="str">
            <v/>
          </cell>
          <cell r="P212">
            <v>0</v>
          </cell>
        </row>
        <row r="213">
          <cell r="A213" t="str">
            <v>SRTBO-52</v>
          </cell>
          <cell r="B213" t="str">
            <v>1880BB-C-15108</v>
          </cell>
          <cell r="D213" t="str">
            <v>1880BB-T-70287_FL_57</v>
          </cell>
          <cell r="F213">
            <v>1</v>
          </cell>
          <cell r="G213">
            <v>66.3</v>
          </cell>
          <cell r="H213">
            <v>6.6299999999999998E-2</v>
          </cell>
          <cell r="I213" t="str">
            <v/>
          </cell>
          <cell r="J213">
            <v>6.6299999999999998E-2</v>
          </cell>
          <cell r="N213" t="str">
            <v/>
          </cell>
          <cell r="O213" t="str">
            <v/>
          </cell>
          <cell r="P213">
            <v>0</v>
          </cell>
        </row>
        <row r="214">
          <cell r="A214" t="str">
            <v>SRTBO-56</v>
          </cell>
          <cell r="B214" t="str">
            <v>1880BB-C-15108</v>
          </cell>
          <cell r="D214" t="str">
            <v>1880BB-T-70287_FL_57</v>
          </cell>
          <cell r="F214">
            <v>1</v>
          </cell>
          <cell r="G214">
            <v>66.3</v>
          </cell>
          <cell r="H214">
            <v>6.6299999999999998E-2</v>
          </cell>
          <cell r="I214" t="str">
            <v/>
          </cell>
          <cell r="J214">
            <v>6.6299999999999998E-2</v>
          </cell>
          <cell r="N214" t="str">
            <v/>
          </cell>
          <cell r="O214" t="str">
            <v/>
          </cell>
          <cell r="P214">
            <v>0</v>
          </cell>
        </row>
        <row r="215">
          <cell r="A215" t="str">
            <v>SRTBO-58</v>
          </cell>
          <cell r="B215" t="str">
            <v>1880BB-C-15108</v>
          </cell>
          <cell r="D215" t="str">
            <v>1880BB-T-70287_FL_57</v>
          </cell>
          <cell r="F215">
            <v>1</v>
          </cell>
          <cell r="G215">
            <v>66.3</v>
          </cell>
          <cell r="H215">
            <v>6.6299999999999998E-2</v>
          </cell>
          <cell r="I215" t="str">
            <v/>
          </cell>
          <cell r="J215">
            <v>6.6299999999999998E-2</v>
          </cell>
          <cell r="N215" t="str">
            <v/>
          </cell>
          <cell r="O215" t="str">
            <v/>
          </cell>
          <cell r="P215">
            <v>0</v>
          </cell>
        </row>
        <row r="216">
          <cell r="A216" t="str">
            <v>SRTBO-60</v>
          </cell>
          <cell r="B216" t="str">
            <v>1880BB-C-15108</v>
          </cell>
          <cell r="D216" t="str">
            <v>1880BB-T-70287_FL_57</v>
          </cell>
          <cell r="F216">
            <v>1</v>
          </cell>
          <cell r="G216">
            <v>66.3</v>
          </cell>
          <cell r="H216">
            <v>6.6299999999999998E-2</v>
          </cell>
          <cell r="I216" t="str">
            <v/>
          </cell>
          <cell r="J216">
            <v>6.6299999999999998E-2</v>
          </cell>
          <cell r="N216" t="str">
            <v/>
          </cell>
          <cell r="O216" t="str">
            <v/>
          </cell>
          <cell r="P216">
            <v>0</v>
          </cell>
        </row>
        <row r="217">
          <cell r="A217" t="str">
            <v>SRTBO-68</v>
          </cell>
          <cell r="B217" t="str">
            <v>1880BB-C-15108</v>
          </cell>
          <cell r="D217" t="str">
            <v>1880BB-T-70287_FL_57</v>
          </cell>
          <cell r="F217">
            <v>1</v>
          </cell>
          <cell r="G217">
            <v>66.3</v>
          </cell>
          <cell r="H217">
            <v>6.6299999999999998E-2</v>
          </cell>
          <cell r="I217" t="str">
            <v/>
          </cell>
          <cell r="J217">
            <v>6.6299999999999998E-2</v>
          </cell>
          <cell r="N217" t="str">
            <v/>
          </cell>
          <cell r="O217" t="str">
            <v/>
          </cell>
          <cell r="P217">
            <v>0</v>
          </cell>
        </row>
        <row r="218">
          <cell r="A218" t="str">
            <v>SRTBO-70</v>
          </cell>
          <cell r="B218" t="str">
            <v>1880BB-C-15108</v>
          </cell>
          <cell r="D218" t="str">
            <v>1880BB-T-70287_FL_57</v>
          </cell>
          <cell r="F218">
            <v>1</v>
          </cell>
          <cell r="G218">
            <v>66.3</v>
          </cell>
          <cell r="H218">
            <v>6.6299999999999998E-2</v>
          </cell>
          <cell r="I218" t="str">
            <v/>
          </cell>
          <cell r="J218">
            <v>6.6299999999999998E-2</v>
          </cell>
          <cell r="N218" t="str">
            <v/>
          </cell>
          <cell r="O218" t="str">
            <v/>
          </cell>
          <cell r="P218">
            <v>0</v>
          </cell>
        </row>
        <row r="219">
          <cell r="A219" t="str">
            <v>SRTBO-81</v>
          </cell>
          <cell r="B219" t="str">
            <v>1880BB-C-15108</v>
          </cell>
          <cell r="D219" t="str">
            <v>1880BB-T-70287_FL_57</v>
          </cell>
          <cell r="F219">
            <v>1</v>
          </cell>
          <cell r="G219">
            <v>66.3</v>
          </cell>
          <cell r="H219">
            <v>6.6299999999999998E-2</v>
          </cell>
          <cell r="I219" t="str">
            <v/>
          </cell>
          <cell r="J219">
            <v>6.6299999999999998E-2</v>
          </cell>
          <cell r="N219" t="str">
            <v/>
          </cell>
          <cell r="O219" t="str">
            <v/>
          </cell>
          <cell r="P219">
            <v>0</v>
          </cell>
        </row>
        <row r="220">
          <cell r="A220" t="str">
            <v>SRTBO-92</v>
          </cell>
          <cell r="B220" t="str">
            <v>1880BB-C-15108</v>
          </cell>
          <cell r="D220" t="str">
            <v>1880BB-T-70287_FL_57</v>
          </cell>
          <cell r="F220">
            <v>1</v>
          </cell>
          <cell r="G220">
            <v>66.3</v>
          </cell>
          <cell r="H220">
            <v>6.6299999999999998E-2</v>
          </cell>
          <cell r="I220" t="str">
            <v/>
          </cell>
          <cell r="J220">
            <v>6.6299999999999998E-2</v>
          </cell>
          <cell r="N220" t="str">
            <v/>
          </cell>
          <cell r="O220" t="str">
            <v/>
          </cell>
          <cell r="P220">
            <v>0</v>
          </cell>
        </row>
        <row r="221">
          <cell r="A221" t="str">
            <v>SRTBO-103</v>
          </cell>
          <cell r="B221" t="str">
            <v>1880BB-C-15108</v>
          </cell>
          <cell r="D221" t="str">
            <v>1880BB-T-70287_FL_57</v>
          </cell>
          <cell r="F221">
            <v>1</v>
          </cell>
          <cell r="G221">
            <v>66.3</v>
          </cell>
          <cell r="H221">
            <v>6.6299999999999998E-2</v>
          </cell>
          <cell r="I221" t="str">
            <v/>
          </cell>
          <cell r="J221">
            <v>6.6299999999999998E-2</v>
          </cell>
          <cell r="N221" t="str">
            <v/>
          </cell>
          <cell r="O221" t="str">
            <v/>
          </cell>
          <cell r="P221">
            <v>0</v>
          </cell>
        </row>
        <row r="222">
          <cell r="A222" t="str">
            <v>SRTBO-114</v>
          </cell>
          <cell r="B222" t="str">
            <v>1880BB-C-15108</v>
          </cell>
          <cell r="D222" t="str">
            <v>1880BB-T-70287_FL_57</v>
          </cell>
          <cell r="F222">
            <v>1</v>
          </cell>
          <cell r="G222">
            <v>66.3</v>
          </cell>
          <cell r="H222">
            <v>6.6299999999999998E-2</v>
          </cell>
          <cell r="I222" t="str">
            <v/>
          </cell>
          <cell r="J222">
            <v>6.6299999999999998E-2</v>
          </cell>
          <cell r="N222" t="str">
            <v/>
          </cell>
          <cell r="O222" t="str">
            <v/>
          </cell>
          <cell r="P222">
            <v>0</v>
          </cell>
        </row>
        <row r="223">
          <cell r="A223" t="str">
            <v>SRTBO-53</v>
          </cell>
          <cell r="B223" t="str">
            <v>1880BB-C-15108</v>
          </cell>
          <cell r="D223" t="str">
            <v>1880BB-T-70287_FL_58</v>
          </cell>
          <cell r="F223">
            <v>1</v>
          </cell>
          <cell r="G223">
            <v>61.4</v>
          </cell>
          <cell r="H223">
            <v>6.1399999999999996E-2</v>
          </cell>
          <cell r="I223" t="str">
            <v/>
          </cell>
          <cell r="J223">
            <v>6.1399999999999996E-2</v>
          </cell>
          <cell r="N223" t="str">
            <v/>
          </cell>
          <cell r="O223" t="str">
            <v/>
          </cell>
          <cell r="P223">
            <v>0</v>
          </cell>
        </row>
        <row r="224">
          <cell r="A224" t="str">
            <v>SRTBO-54</v>
          </cell>
          <cell r="B224" t="str">
            <v>1880BB-C-15108</v>
          </cell>
          <cell r="D224" t="str">
            <v>1880BB-T-70287_FL_58</v>
          </cell>
          <cell r="F224">
            <v>1</v>
          </cell>
          <cell r="G224">
            <v>61.4</v>
          </cell>
          <cell r="H224">
            <v>6.1399999999999996E-2</v>
          </cell>
          <cell r="I224" t="str">
            <v/>
          </cell>
          <cell r="J224">
            <v>6.1399999999999996E-2</v>
          </cell>
          <cell r="N224" t="str">
            <v/>
          </cell>
          <cell r="O224" t="str">
            <v/>
          </cell>
          <cell r="P224">
            <v>0</v>
          </cell>
        </row>
        <row r="225">
          <cell r="A225" t="str">
            <v>SRTBO-55</v>
          </cell>
          <cell r="B225" t="str">
            <v>1880BB-C-15108</v>
          </cell>
          <cell r="D225" t="str">
            <v>1880BB-T-70287_FL_58</v>
          </cell>
          <cell r="F225">
            <v>1</v>
          </cell>
          <cell r="G225">
            <v>61.4</v>
          </cell>
          <cell r="H225">
            <v>6.1399999999999996E-2</v>
          </cell>
          <cell r="I225" t="str">
            <v/>
          </cell>
          <cell r="J225">
            <v>6.1399999999999996E-2</v>
          </cell>
          <cell r="N225" t="str">
            <v/>
          </cell>
          <cell r="O225" t="str">
            <v/>
          </cell>
          <cell r="P225">
            <v>0</v>
          </cell>
        </row>
        <row r="226">
          <cell r="A226" t="str">
            <v>SRTBO-57</v>
          </cell>
          <cell r="B226" t="str">
            <v>1880BB-C-15108</v>
          </cell>
          <cell r="D226" t="str">
            <v>1880BB-T-70287_FL_58</v>
          </cell>
          <cell r="F226">
            <v>1</v>
          </cell>
          <cell r="G226">
            <v>61.4</v>
          </cell>
          <cell r="H226">
            <v>6.1399999999999996E-2</v>
          </cell>
          <cell r="I226" t="str">
            <v/>
          </cell>
          <cell r="J226">
            <v>6.1399999999999996E-2</v>
          </cell>
          <cell r="N226" t="str">
            <v/>
          </cell>
          <cell r="O226" t="str">
            <v/>
          </cell>
          <cell r="P226">
            <v>0</v>
          </cell>
        </row>
        <row r="227">
          <cell r="A227" t="str">
            <v>SRTBO-59</v>
          </cell>
          <cell r="B227" t="str">
            <v>1880BB-C-15108</v>
          </cell>
          <cell r="D227" t="str">
            <v>1880BB-T-70287_FL_58</v>
          </cell>
          <cell r="F227">
            <v>1</v>
          </cell>
          <cell r="G227">
            <v>61.4</v>
          </cell>
          <cell r="H227">
            <v>6.1399999999999996E-2</v>
          </cell>
          <cell r="I227" t="str">
            <v/>
          </cell>
          <cell r="J227">
            <v>6.1399999999999996E-2</v>
          </cell>
          <cell r="N227" t="str">
            <v/>
          </cell>
          <cell r="O227" t="str">
            <v/>
          </cell>
          <cell r="P227">
            <v>0</v>
          </cell>
        </row>
        <row r="228">
          <cell r="A228" t="str">
            <v>SRTBO-61</v>
          </cell>
          <cell r="B228" t="str">
            <v>1880BB-C-15108</v>
          </cell>
          <cell r="D228" t="str">
            <v>1880BB-T-70287_FL_58</v>
          </cell>
          <cell r="F228">
            <v>1</v>
          </cell>
          <cell r="G228">
            <v>61.4</v>
          </cell>
          <cell r="H228">
            <v>6.1399999999999996E-2</v>
          </cell>
          <cell r="I228" t="str">
            <v/>
          </cell>
          <cell r="J228">
            <v>6.1399999999999996E-2</v>
          </cell>
          <cell r="N228" t="str">
            <v/>
          </cell>
          <cell r="O228" t="str">
            <v/>
          </cell>
          <cell r="P228">
            <v>0</v>
          </cell>
        </row>
        <row r="229">
          <cell r="A229" t="str">
            <v>SRTBO-65</v>
          </cell>
          <cell r="B229" t="str">
            <v>1880BB-C-15108</v>
          </cell>
          <cell r="D229" t="str">
            <v>1880BB-T-70287_FL_58</v>
          </cell>
          <cell r="F229">
            <v>1</v>
          </cell>
          <cell r="G229">
            <v>61.4</v>
          </cell>
          <cell r="H229">
            <v>6.1399999999999996E-2</v>
          </cell>
          <cell r="I229" t="str">
            <v/>
          </cell>
          <cell r="J229">
            <v>6.1399999999999996E-2</v>
          </cell>
          <cell r="N229" t="str">
            <v/>
          </cell>
          <cell r="O229" t="str">
            <v/>
          </cell>
          <cell r="P229">
            <v>0</v>
          </cell>
        </row>
        <row r="230">
          <cell r="A230" t="str">
            <v>SRTBO-66</v>
          </cell>
          <cell r="B230" t="str">
            <v>1880BB-C-15108</v>
          </cell>
          <cell r="D230" t="str">
            <v>1880BB-T-70287_FL_58</v>
          </cell>
          <cell r="F230">
            <v>1</v>
          </cell>
          <cell r="G230">
            <v>61.4</v>
          </cell>
          <cell r="H230">
            <v>6.1399999999999996E-2</v>
          </cell>
          <cell r="I230" t="str">
            <v/>
          </cell>
          <cell r="J230">
            <v>6.1399999999999996E-2</v>
          </cell>
          <cell r="N230" t="str">
            <v/>
          </cell>
          <cell r="O230" t="str">
            <v/>
          </cell>
          <cell r="P230">
            <v>0</v>
          </cell>
        </row>
        <row r="231">
          <cell r="A231" t="str">
            <v>SRTBO-67</v>
          </cell>
          <cell r="B231" t="str">
            <v>1880BB-C-15108</v>
          </cell>
          <cell r="D231" t="str">
            <v>1880BB-T-70287_FL_58</v>
          </cell>
          <cell r="F231">
            <v>1</v>
          </cell>
          <cell r="G231">
            <v>61.4</v>
          </cell>
          <cell r="H231">
            <v>6.1399999999999996E-2</v>
          </cell>
          <cell r="I231" t="str">
            <v/>
          </cell>
          <cell r="J231">
            <v>6.1399999999999996E-2</v>
          </cell>
          <cell r="N231" t="str">
            <v/>
          </cell>
          <cell r="O231" t="str">
            <v/>
          </cell>
          <cell r="P231">
            <v>0</v>
          </cell>
        </row>
        <row r="232">
          <cell r="A232" t="str">
            <v>SRTBO-69</v>
          </cell>
          <cell r="B232" t="str">
            <v>1880BB-C-15108</v>
          </cell>
          <cell r="D232" t="str">
            <v>1880BB-T-70287_FL_58</v>
          </cell>
          <cell r="F232">
            <v>1</v>
          </cell>
          <cell r="G232">
            <v>61.4</v>
          </cell>
          <cell r="H232">
            <v>6.1399999999999996E-2</v>
          </cell>
          <cell r="I232" t="str">
            <v/>
          </cell>
          <cell r="J232">
            <v>6.1399999999999996E-2</v>
          </cell>
          <cell r="N232" t="str">
            <v/>
          </cell>
          <cell r="O232" t="str">
            <v/>
          </cell>
          <cell r="P232">
            <v>0</v>
          </cell>
        </row>
        <row r="233">
          <cell r="A233" t="str">
            <v>SRTBO-71</v>
          </cell>
          <cell r="B233" t="str">
            <v>1880BB-C-15108</v>
          </cell>
          <cell r="D233" t="str">
            <v>1880BB-T-70287_FL_58</v>
          </cell>
          <cell r="F233">
            <v>1</v>
          </cell>
          <cell r="G233">
            <v>61.4</v>
          </cell>
          <cell r="H233">
            <v>6.1399999999999996E-2</v>
          </cell>
          <cell r="I233" t="str">
            <v/>
          </cell>
          <cell r="J233">
            <v>6.1399999999999996E-2</v>
          </cell>
          <cell r="N233" t="str">
            <v/>
          </cell>
          <cell r="O233" t="str">
            <v/>
          </cell>
          <cell r="P233">
            <v>0</v>
          </cell>
        </row>
        <row r="234">
          <cell r="A234" t="str">
            <v>SRTBO-72</v>
          </cell>
          <cell r="B234" t="str">
            <v>1880BB-C-15108</v>
          </cell>
          <cell r="D234" t="str">
            <v>1880BB-T-70287_FL_58</v>
          </cell>
          <cell r="F234">
            <v>1</v>
          </cell>
          <cell r="G234">
            <v>61.4</v>
          </cell>
          <cell r="H234">
            <v>6.1399999999999996E-2</v>
          </cell>
          <cell r="I234" t="str">
            <v/>
          </cell>
          <cell r="J234">
            <v>6.1399999999999996E-2</v>
          </cell>
          <cell r="N234" t="str">
            <v/>
          </cell>
          <cell r="O234" t="str">
            <v/>
          </cell>
          <cell r="P234">
            <v>0</v>
          </cell>
        </row>
        <row r="235">
          <cell r="A235" t="str">
            <v>SRTBO-77</v>
          </cell>
          <cell r="B235" t="str">
            <v>1880BB-C-15108</v>
          </cell>
          <cell r="D235" t="str">
            <v>1880BB-T-70287_FL_58</v>
          </cell>
          <cell r="F235">
            <v>1</v>
          </cell>
          <cell r="G235">
            <v>61.4</v>
          </cell>
          <cell r="H235">
            <v>6.1399999999999996E-2</v>
          </cell>
          <cell r="I235" t="str">
            <v/>
          </cell>
          <cell r="J235">
            <v>6.1399999999999996E-2</v>
          </cell>
          <cell r="N235" t="str">
            <v/>
          </cell>
          <cell r="O235" t="str">
            <v/>
          </cell>
          <cell r="P235">
            <v>0</v>
          </cell>
        </row>
        <row r="236">
          <cell r="A236" t="str">
            <v>SRTBO-78</v>
          </cell>
          <cell r="B236" t="str">
            <v>1880BB-C-15108</v>
          </cell>
          <cell r="D236" t="str">
            <v>1880BB-T-70287_FL_58</v>
          </cell>
          <cell r="F236">
            <v>1</v>
          </cell>
          <cell r="G236">
            <v>61.4</v>
          </cell>
          <cell r="H236">
            <v>6.1399999999999996E-2</v>
          </cell>
          <cell r="I236" t="str">
            <v/>
          </cell>
          <cell r="J236">
            <v>6.1399999999999996E-2</v>
          </cell>
          <cell r="N236" t="str">
            <v/>
          </cell>
          <cell r="O236" t="str">
            <v/>
          </cell>
          <cell r="P236">
            <v>0</v>
          </cell>
        </row>
        <row r="237">
          <cell r="A237" t="str">
            <v>SRTBO-79</v>
          </cell>
          <cell r="B237" t="str">
            <v>1880BB-C-15108</v>
          </cell>
          <cell r="D237" t="str">
            <v>1880BB-T-70287_FL_58</v>
          </cell>
          <cell r="F237">
            <v>1</v>
          </cell>
          <cell r="G237">
            <v>61.4</v>
          </cell>
          <cell r="H237">
            <v>6.1399999999999996E-2</v>
          </cell>
          <cell r="I237" t="str">
            <v/>
          </cell>
          <cell r="J237">
            <v>6.1399999999999996E-2</v>
          </cell>
          <cell r="N237" t="str">
            <v/>
          </cell>
          <cell r="O237" t="str">
            <v/>
          </cell>
          <cell r="P237">
            <v>0</v>
          </cell>
        </row>
        <row r="238">
          <cell r="A238" t="str">
            <v>SRTBO-80</v>
          </cell>
          <cell r="B238" t="str">
            <v>1880BB-C-15108</v>
          </cell>
          <cell r="D238" t="str">
            <v>1880BB-T-70287_FL_58</v>
          </cell>
          <cell r="F238">
            <v>1</v>
          </cell>
          <cell r="G238">
            <v>61.4</v>
          </cell>
          <cell r="H238">
            <v>6.1399999999999996E-2</v>
          </cell>
          <cell r="I238" t="str">
            <v/>
          </cell>
          <cell r="J238">
            <v>6.1399999999999996E-2</v>
          </cell>
          <cell r="N238" t="str">
            <v/>
          </cell>
          <cell r="O238" t="str">
            <v/>
          </cell>
          <cell r="P238">
            <v>0</v>
          </cell>
        </row>
        <row r="239">
          <cell r="A239" t="str">
            <v>SRTBO-82</v>
          </cell>
          <cell r="B239" t="str">
            <v>1880BB-C-15108</v>
          </cell>
          <cell r="D239" t="str">
            <v>1880BB-T-70287_FL_58</v>
          </cell>
          <cell r="F239">
            <v>1</v>
          </cell>
          <cell r="G239">
            <v>61.4</v>
          </cell>
          <cell r="H239">
            <v>6.1399999999999996E-2</v>
          </cell>
          <cell r="I239" t="str">
            <v/>
          </cell>
          <cell r="J239">
            <v>6.1399999999999996E-2</v>
          </cell>
          <cell r="N239" t="str">
            <v/>
          </cell>
          <cell r="O239" t="str">
            <v/>
          </cell>
          <cell r="P239">
            <v>0</v>
          </cell>
        </row>
        <row r="240">
          <cell r="A240" t="str">
            <v>SRTBO-85</v>
          </cell>
          <cell r="B240" t="str">
            <v>1880BB-C-15108</v>
          </cell>
          <cell r="D240" t="str">
            <v>1880BB-T-70287_FL_58</v>
          </cell>
          <cell r="F240">
            <v>1</v>
          </cell>
          <cell r="G240">
            <v>61.4</v>
          </cell>
          <cell r="H240">
            <v>6.1399999999999996E-2</v>
          </cell>
          <cell r="I240" t="str">
            <v/>
          </cell>
          <cell r="J240">
            <v>6.1399999999999996E-2</v>
          </cell>
          <cell r="N240" t="str">
            <v/>
          </cell>
          <cell r="O240" t="str">
            <v/>
          </cell>
          <cell r="P240">
            <v>0</v>
          </cell>
        </row>
        <row r="241">
          <cell r="A241" t="str">
            <v>SRTBO-86</v>
          </cell>
          <cell r="B241" t="str">
            <v>1880BB-C-15108</v>
          </cell>
          <cell r="D241" t="str">
            <v>1880BB-T-70287_FL_58</v>
          </cell>
          <cell r="F241">
            <v>1</v>
          </cell>
          <cell r="G241">
            <v>61.4</v>
          </cell>
          <cell r="H241">
            <v>6.1399999999999996E-2</v>
          </cell>
          <cell r="I241" t="str">
            <v/>
          </cell>
          <cell r="J241">
            <v>6.1399999999999996E-2</v>
          </cell>
          <cell r="N241" t="str">
            <v/>
          </cell>
          <cell r="O241" t="str">
            <v/>
          </cell>
          <cell r="P241">
            <v>0</v>
          </cell>
        </row>
        <row r="242">
          <cell r="A242" t="str">
            <v>SRTBO-87</v>
          </cell>
          <cell r="B242" t="str">
            <v>1880BB-C-15108</v>
          </cell>
          <cell r="D242" t="str">
            <v>1880BB-T-70287_FL_58</v>
          </cell>
          <cell r="F242">
            <v>1</v>
          </cell>
          <cell r="G242">
            <v>61.4</v>
          </cell>
          <cell r="H242">
            <v>6.1399999999999996E-2</v>
          </cell>
          <cell r="I242" t="str">
            <v/>
          </cell>
          <cell r="J242">
            <v>6.1399999999999996E-2</v>
          </cell>
          <cell r="N242" t="str">
            <v/>
          </cell>
          <cell r="O242" t="str">
            <v/>
          </cell>
          <cell r="P242">
            <v>0</v>
          </cell>
        </row>
        <row r="243">
          <cell r="A243" t="str">
            <v>SRTBO-88</v>
          </cell>
          <cell r="B243" t="str">
            <v>1880BB-C-15108</v>
          </cell>
          <cell r="D243" t="str">
            <v>1880BB-T-70287_FL_58</v>
          </cell>
          <cell r="F243">
            <v>1</v>
          </cell>
          <cell r="G243">
            <v>61.4</v>
          </cell>
          <cell r="H243">
            <v>6.1399999999999996E-2</v>
          </cell>
          <cell r="I243" t="str">
            <v/>
          </cell>
          <cell r="J243">
            <v>6.1399999999999996E-2</v>
          </cell>
          <cell r="N243" t="str">
            <v/>
          </cell>
          <cell r="O243" t="str">
            <v/>
          </cell>
          <cell r="P243">
            <v>0</v>
          </cell>
        </row>
        <row r="244">
          <cell r="A244" t="str">
            <v>SRTBO-93</v>
          </cell>
          <cell r="B244" t="str">
            <v>1880BB-C-15108</v>
          </cell>
          <cell r="D244" t="str">
            <v>1880BB-T-70287_FL_58</v>
          </cell>
          <cell r="F244">
            <v>1</v>
          </cell>
          <cell r="G244">
            <v>61.4</v>
          </cell>
          <cell r="H244">
            <v>6.1399999999999996E-2</v>
          </cell>
          <cell r="I244" t="str">
            <v/>
          </cell>
          <cell r="J244">
            <v>6.1399999999999996E-2</v>
          </cell>
          <cell r="N244" t="str">
            <v/>
          </cell>
          <cell r="O244" t="str">
            <v/>
          </cell>
          <cell r="P244">
            <v>0</v>
          </cell>
        </row>
        <row r="245">
          <cell r="A245" t="str">
            <v>SRTBO-94</v>
          </cell>
          <cell r="B245" t="str">
            <v>1880BB-C-15108</v>
          </cell>
          <cell r="D245" t="str">
            <v>1880BB-T-70287_FL_58</v>
          </cell>
          <cell r="F245">
            <v>1</v>
          </cell>
          <cell r="G245">
            <v>61.4</v>
          </cell>
          <cell r="H245">
            <v>6.1399999999999996E-2</v>
          </cell>
          <cell r="I245" t="str">
            <v/>
          </cell>
          <cell r="J245">
            <v>6.1399999999999996E-2</v>
          </cell>
          <cell r="N245" t="str">
            <v/>
          </cell>
          <cell r="O245" t="str">
            <v/>
          </cell>
          <cell r="P245">
            <v>0</v>
          </cell>
        </row>
        <row r="246">
          <cell r="A246" t="str">
            <v>SRTBO-95</v>
          </cell>
          <cell r="B246" t="str">
            <v>1880BB-C-15108</v>
          </cell>
          <cell r="D246" t="str">
            <v>1880BB-T-70287_FL_58</v>
          </cell>
          <cell r="F246">
            <v>1</v>
          </cell>
          <cell r="G246">
            <v>61.4</v>
          </cell>
          <cell r="H246">
            <v>6.1399999999999996E-2</v>
          </cell>
          <cell r="I246" t="str">
            <v/>
          </cell>
          <cell r="J246">
            <v>6.1399999999999996E-2</v>
          </cell>
          <cell r="N246" t="str">
            <v/>
          </cell>
          <cell r="O246" t="str">
            <v/>
          </cell>
          <cell r="P246">
            <v>0</v>
          </cell>
        </row>
        <row r="247">
          <cell r="A247" t="str">
            <v>SRTBO-96</v>
          </cell>
          <cell r="B247" t="str">
            <v>1880BB-C-15108</v>
          </cell>
          <cell r="D247" t="str">
            <v>1880BB-T-70287_FL_58</v>
          </cell>
          <cell r="F247">
            <v>1</v>
          </cell>
          <cell r="G247">
            <v>61.4</v>
          </cell>
          <cell r="H247">
            <v>6.1399999999999996E-2</v>
          </cell>
          <cell r="I247" t="str">
            <v/>
          </cell>
          <cell r="J247">
            <v>6.1399999999999996E-2</v>
          </cell>
          <cell r="N247" t="str">
            <v/>
          </cell>
          <cell r="O247" t="str">
            <v/>
          </cell>
          <cell r="P247">
            <v>0</v>
          </cell>
        </row>
        <row r="248">
          <cell r="A248" t="str">
            <v>SRTBO-97</v>
          </cell>
          <cell r="B248" t="str">
            <v>1880BB-C-15108</v>
          </cell>
          <cell r="D248" t="str">
            <v>1880BB-T-70287_FL_58</v>
          </cell>
          <cell r="F248">
            <v>1</v>
          </cell>
          <cell r="G248">
            <v>61.4</v>
          </cell>
          <cell r="H248">
            <v>6.1399999999999996E-2</v>
          </cell>
          <cell r="I248" t="str">
            <v/>
          </cell>
          <cell r="J248">
            <v>6.1399999999999996E-2</v>
          </cell>
          <cell r="N248" t="str">
            <v/>
          </cell>
          <cell r="O248" t="str">
            <v/>
          </cell>
          <cell r="P248">
            <v>0</v>
          </cell>
        </row>
        <row r="249">
          <cell r="A249" t="str">
            <v>SRTBO-100</v>
          </cell>
          <cell r="B249" t="str">
            <v>1880BB-C-15108</v>
          </cell>
          <cell r="D249" t="str">
            <v>1880BB-T-70287_FL_58</v>
          </cell>
          <cell r="F249">
            <v>1</v>
          </cell>
          <cell r="G249">
            <v>61.4</v>
          </cell>
          <cell r="H249">
            <v>6.1399999999999996E-2</v>
          </cell>
          <cell r="I249" t="str">
            <v/>
          </cell>
          <cell r="J249">
            <v>6.1399999999999996E-2</v>
          </cell>
          <cell r="N249" t="str">
            <v/>
          </cell>
          <cell r="O249" t="str">
            <v/>
          </cell>
          <cell r="P249">
            <v>0</v>
          </cell>
        </row>
        <row r="250">
          <cell r="A250" t="str">
            <v>SRTBO-101</v>
          </cell>
          <cell r="B250" t="str">
            <v>1880BB-C-15108</v>
          </cell>
          <cell r="D250" t="str">
            <v>1880BB-T-70287_FL_58</v>
          </cell>
          <cell r="F250">
            <v>1</v>
          </cell>
          <cell r="G250">
            <v>61.4</v>
          </cell>
          <cell r="H250">
            <v>6.1399999999999996E-2</v>
          </cell>
          <cell r="I250" t="str">
            <v/>
          </cell>
          <cell r="J250">
            <v>6.1399999999999996E-2</v>
          </cell>
          <cell r="N250" t="str">
            <v/>
          </cell>
          <cell r="O250" t="str">
            <v/>
          </cell>
          <cell r="P250">
            <v>0</v>
          </cell>
        </row>
        <row r="251">
          <cell r="A251" t="str">
            <v>SRTBO-102</v>
          </cell>
          <cell r="B251" t="str">
            <v>1880BB-C-15108</v>
          </cell>
          <cell r="D251" t="str">
            <v>1880BB-T-70287_FL_58</v>
          </cell>
          <cell r="F251">
            <v>1</v>
          </cell>
          <cell r="G251">
            <v>61.4</v>
          </cell>
          <cell r="H251">
            <v>6.1399999999999996E-2</v>
          </cell>
          <cell r="I251" t="str">
            <v/>
          </cell>
          <cell r="J251">
            <v>6.1399999999999996E-2</v>
          </cell>
          <cell r="N251" t="str">
            <v/>
          </cell>
          <cell r="O251" t="str">
            <v/>
          </cell>
          <cell r="P251">
            <v>0</v>
          </cell>
        </row>
        <row r="252">
          <cell r="A252" t="str">
            <v>SRTBO-106</v>
          </cell>
          <cell r="B252" t="str">
            <v>1880BB-C-15108</v>
          </cell>
          <cell r="D252" t="str">
            <v>1880BB-T-70287_FL_58</v>
          </cell>
          <cell r="F252">
            <v>1</v>
          </cell>
          <cell r="G252">
            <v>61.4</v>
          </cell>
          <cell r="H252">
            <v>6.1399999999999996E-2</v>
          </cell>
          <cell r="I252" t="str">
            <v/>
          </cell>
          <cell r="J252">
            <v>6.1399999999999996E-2</v>
          </cell>
          <cell r="N252" t="str">
            <v/>
          </cell>
          <cell r="O252" t="str">
            <v/>
          </cell>
          <cell r="P252">
            <v>0</v>
          </cell>
        </row>
        <row r="253">
          <cell r="A253" t="str">
            <v>SRTBO-111</v>
          </cell>
          <cell r="B253" t="str">
            <v>1880BB-C-15108</v>
          </cell>
          <cell r="D253" t="str">
            <v>1880BB-T-70287_FL_58</v>
          </cell>
          <cell r="F253">
            <v>1</v>
          </cell>
          <cell r="G253">
            <v>61.4</v>
          </cell>
          <cell r="H253">
            <v>6.1399999999999996E-2</v>
          </cell>
          <cell r="I253" t="str">
            <v/>
          </cell>
          <cell r="J253">
            <v>6.1399999999999996E-2</v>
          </cell>
          <cell r="N253" t="str">
            <v/>
          </cell>
          <cell r="O253" t="str">
            <v/>
          </cell>
          <cell r="P253">
            <v>0</v>
          </cell>
        </row>
        <row r="254">
          <cell r="A254" t="str">
            <v>SRTBO-113</v>
          </cell>
          <cell r="B254" t="str">
            <v>1880BB-C-15108</v>
          </cell>
          <cell r="D254" t="str">
            <v>1880BB-T-70287_FL_58</v>
          </cell>
          <cell r="F254">
            <v>1</v>
          </cell>
          <cell r="G254">
            <v>61.4</v>
          </cell>
          <cell r="H254">
            <v>6.1399999999999996E-2</v>
          </cell>
          <cell r="I254" t="str">
            <v/>
          </cell>
          <cell r="J254">
            <v>6.1399999999999996E-2</v>
          </cell>
          <cell r="N254" t="str">
            <v/>
          </cell>
          <cell r="O254" t="str">
            <v/>
          </cell>
          <cell r="P254">
            <v>0</v>
          </cell>
        </row>
        <row r="255">
          <cell r="A255" t="str">
            <v>SRTBO-115</v>
          </cell>
          <cell r="B255" t="str">
            <v>1880BB-C-15108</v>
          </cell>
          <cell r="D255" t="str">
            <v>1880BB-T-70287_FL_58</v>
          </cell>
          <cell r="F255">
            <v>1</v>
          </cell>
          <cell r="G255">
            <v>61.4</v>
          </cell>
          <cell r="H255">
            <v>6.1399999999999996E-2</v>
          </cell>
          <cell r="I255" t="str">
            <v/>
          </cell>
          <cell r="J255">
            <v>6.1399999999999996E-2</v>
          </cell>
          <cell r="N255" t="str">
            <v/>
          </cell>
          <cell r="O255" t="str">
            <v/>
          </cell>
          <cell r="P255">
            <v>0</v>
          </cell>
        </row>
        <row r="256">
          <cell r="A256" t="str">
            <v>SRTBO-116</v>
          </cell>
          <cell r="B256" t="str">
            <v>1880BB-C-15108</v>
          </cell>
          <cell r="D256" t="str">
            <v>1880BB-T-70287_FL_58</v>
          </cell>
          <cell r="F256">
            <v>1</v>
          </cell>
          <cell r="G256">
            <v>61.4</v>
          </cell>
          <cell r="H256">
            <v>6.1399999999999996E-2</v>
          </cell>
          <cell r="I256" t="str">
            <v/>
          </cell>
          <cell r="J256">
            <v>6.1399999999999996E-2</v>
          </cell>
          <cell r="N256" t="str">
            <v/>
          </cell>
          <cell r="O256" t="str">
            <v/>
          </cell>
          <cell r="P256">
            <v>0</v>
          </cell>
        </row>
        <row r="257">
          <cell r="A257" t="str">
            <v>SRTBO-62</v>
          </cell>
          <cell r="B257" t="str">
            <v>1880BB-C-15108</v>
          </cell>
          <cell r="D257" t="str">
            <v>1880BB-T-70287_FL_61</v>
          </cell>
          <cell r="F257">
            <v>1</v>
          </cell>
          <cell r="G257">
            <v>55.1</v>
          </cell>
          <cell r="H257">
            <v>5.5100000000000003E-2</v>
          </cell>
          <cell r="I257" t="str">
            <v/>
          </cell>
          <cell r="J257">
            <v>5.5100000000000003E-2</v>
          </cell>
          <cell r="N257" t="str">
            <v/>
          </cell>
          <cell r="O257" t="str">
            <v/>
          </cell>
          <cell r="P257">
            <v>0</v>
          </cell>
        </row>
        <row r="258">
          <cell r="A258" t="str">
            <v>SRTBO-73</v>
          </cell>
          <cell r="B258" t="str">
            <v>1880BB-C-15108</v>
          </cell>
          <cell r="D258" t="str">
            <v>1880BB-T-70287_FL_61</v>
          </cell>
          <cell r="F258">
            <v>1</v>
          </cell>
          <cell r="G258">
            <v>55.1</v>
          </cell>
          <cell r="H258">
            <v>5.5100000000000003E-2</v>
          </cell>
          <cell r="I258" t="str">
            <v/>
          </cell>
          <cell r="J258">
            <v>5.5100000000000003E-2</v>
          </cell>
          <cell r="N258" t="str">
            <v/>
          </cell>
          <cell r="O258" t="str">
            <v/>
          </cell>
          <cell r="P258">
            <v>0</v>
          </cell>
        </row>
        <row r="259">
          <cell r="A259" t="str">
            <v>SRTBO-110</v>
          </cell>
          <cell r="B259" t="str">
            <v>1880BB-C-15108</v>
          </cell>
          <cell r="D259" t="str">
            <v>1880BB-T-70287_FL_61</v>
          </cell>
          <cell r="F259">
            <v>1</v>
          </cell>
          <cell r="G259">
            <v>55.1</v>
          </cell>
          <cell r="H259">
            <v>5.5100000000000003E-2</v>
          </cell>
          <cell r="I259" t="str">
            <v/>
          </cell>
          <cell r="J259">
            <v>5.5100000000000003E-2</v>
          </cell>
          <cell r="N259" t="str">
            <v/>
          </cell>
          <cell r="O259" t="str">
            <v/>
          </cell>
          <cell r="P259">
            <v>0</v>
          </cell>
        </row>
        <row r="260">
          <cell r="A260" t="str">
            <v>SRTBO-120</v>
          </cell>
          <cell r="B260" t="str">
            <v>1880BB-C-15108</v>
          </cell>
          <cell r="D260" t="str">
            <v>1880BB-T-70287_FL_61</v>
          </cell>
          <cell r="F260">
            <v>1</v>
          </cell>
          <cell r="G260">
            <v>55.1</v>
          </cell>
          <cell r="H260">
            <v>5.5100000000000003E-2</v>
          </cell>
          <cell r="I260" t="str">
            <v/>
          </cell>
          <cell r="J260">
            <v>5.5100000000000003E-2</v>
          </cell>
          <cell r="N260" t="str">
            <v/>
          </cell>
          <cell r="O260" t="str">
            <v/>
          </cell>
          <cell r="P260">
            <v>0</v>
          </cell>
        </row>
        <row r="261">
          <cell r="A261" t="str">
            <v>SRTBO-63</v>
          </cell>
          <cell r="B261" t="str">
            <v>1880BB-C-15108</v>
          </cell>
          <cell r="D261" t="str">
            <v>1880BB-T-70287_FL_62</v>
          </cell>
          <cell r="F261">
            <v>1</v>
          </cell>
          <cell r="G261">
            <v>50.7</v>
          </cell>
          <cell r="H261">
            <v>5.0700000000000002E-2</v>
          </cell>
          <cell r="I261" t="str">
            <v/>
          </cell>
          <cell r="J261">
            <v>5.0700000000000002E-2</v>
          </cell>
          <cell r="N261" t="str">
            <v/>
          </cell>
          <cell r="O261" t="str">
            <v/>
          </cell>
          <cell r="P261">
            <v>0</v>
          </cell>
        </row>
        <row r="262">
          <cell r="A262" t="str">
            <v>SRTBO-64</v>
          </cell>
          <cell r="B262" t="str">
            <v>1880BB-C-15108</v>
          </cell>
          <cell r="D262" t="str">
            <v>1880BB-T-70287_FL_62</v>
          </cell>
          <cell r="F262">
            <v>1</v>
          </cell>
          <cell r="G262">
            <v>50.7</v>
          </cell>
          <cell r="H262">
            <v>5.0700000000000002E-2</v>
          </cell>
          <cell r="I262" t="str">
            <v/>
          </cell>
          <cell r="J262">
            <v>5.0700000000000002E-2</v>
          </cell>
          <cell r="N262" t="str">
            <v/>
          </cell>
          <cell r="O262" t="str">
            <v/>
          </cell>
          <cell r="P262">
            <v>0</v>
          </cell>
        </row>
        <row r="263">
          <cell r="A263" t="str">
            <v>SRTBO-74</v>
          </cell>
          <cell r="B263" t="str">
            <v>1880BB-C-15108</v>
          </cell>
          <cell r="D263" t="str">
            <v>1880BB-T-70287_FL_62</v>
          </cell>
          <cell r="F263">
            <v>1</v>
          </cell>
          <cell r="G263">
            <v>50.7</v>
          </cell>
          <cell r="H263">
            <v>5.0700000000000002E-2</v>
          </cell>
          <cell r="I263" t="str">
            <v/>
          </cell>
          <cell r="J263">
            <v>5.0700000000000002E-2</v>
          </cell>
          <cell r="N263" t="str">
            <v/>
          </cell>
          <cell r="O263" t="str">
            <v/>
          </cell>
          <cell r="P263">
            <v>0</v>
          </cell>
        </row>
        <row r="264">
          <cell r="A264" t="str">
            <v>SRTBO-75</v>
          </cell>
          <cell r="B264" t="str">
            <v>1880BB-C-15108</v>
          </cell>
          <cell r="D264" t="str">
            <v>1880BB-T-70287_FL_62</v>
          </cell>
          <cell r="F264">
            <v>1</v>
          </cell>
          <cell r="G264">
            <v>50.7</v>
          </cell>
          <cell r="H264">
            <v>5.0700000000000002E-2</v>
          </cell>
          <cell r="I264" t="str">
            <v/>
          </cell>
          <cell r="J264">
            <v>5.0700000000000002E-2</v>
          </cell>
          <cell r="N264" t="str">
            <v/>
          </cell>
          <cell r="O264" t="str">
            <v/>
          </cell>
          <cell r="P264">
            <v>0</v>
          </cell>
        </row>
        <row r="265">
          <cell r="A265" t="str">
            <v>SRTBO-76</v>
          </cell>
          <cell r="B265" t="str">
            <v>1880BB-C-15108</v>
          </cell>
          <cell r="D265" t="str">
            <v>1880BB-T-70287_FL_62</v>
          </cell>
          <cell r="F265">
            <v>1</v>
          </cell>
          <cell r="G265">
            <v>50.7</v>
          </cell>
          <cell r="H265">
            <v>5.0700000000000002E-2</v>
          </cell>
          <cell r="I265" t="str">
            <v/>
          </cell>
          <cell r="J265">
            <v>5.0700000000000002E-2</v>
          </cell>
          <cell r="N265" t="str">
            <v/>
          </cell>
          <cell r="O265" t="str">
            <v/>
          </cell>
          <cell r="P265">
            <v>0</v>
          </cell>
        </row>
        <row r="266">
          <cell r="A266" t="str">
            <v>SRTBO-83</v>
          </cell>
          <cell r="B266" t="str">
            <v>1880BB-C-15108</v>
          </cell>
          <cell r="D266" t="str">
            <v>1880BB-T-70287_FL_62</v>
          </cell>
          <cell r="F266">
            <v>1</v>
          </cell>
          <cell r="G266">
            <v>50.7</v>
          </cell>
          <cell r="H266">
            <v>5.0700000000000002E-2</v>
          </cell>
          <cell r="I266" t="str">
            <v/>
          </cell>
          <cell r="J266">
            <v>5.0700000000000002E-2</v>
          </cell>
          <cell r="N266" t="str">
            <v/>
          </cell>
          <cell r="O266" t="str">
            <v/>
          </cell>
          <cell r="P266">
            <v>0</v>
          </cell>
        </row>
        <row r="267">
          <cell r="A267" t="str">
            <v>SRTBO-84</v>
          </cell>
          <cell r="B267" t="str">
            <v>1880BB-C-15108</v>
          </cell>
          <cell r="D267" t="str">
            <v>1880BB-T-70287_FL_62</v>
          </cell>
          <cell r="F267">
            <v>1</v>
          </cell>
          <cell r="G267">
            <v>50.7</v>
          </cell>
          <cell r="H267">
            <v>5.0700000000000002E-2</v>
          </cell>
          <cell r="I267" t="str">
            <v/>
          </cell>
          <cell r="J267">
            <v>5.0700000000000002E-2</v>
          </cell>
          <cell r="N267" t="str">
            <v/>
          </cell>
          <cell r="O267" t="str">
            <v/>
          </cell>
          <cell r="P267">
            <v>0</v>
          </cell>
        </row>
        <row r="268">
          <cell r="A268" t="str">
            <v>SRTBO-89</v>
          </cell>
          <cell r="B268" t="str">
            <v>1880BB-C-15108</v>
          </cell>
          <cell r="D268" t="str">
            <v>1880BB-T-70287_FL_62</v>
          </cell>
          <cell r="F268">
            <v>1</v>
          </cell>
          <cell r="G268">
            <v>50.7</v>
          </cell>
          <cell r="H268">
            <v>5.0700000000000002E-2</v>
          </cell>
          <cell r="I268" t="str">
            <v/>
          </cell>
          <cell r="J268">
            <v>5.0700000000000002E-2</v>
          </cell>
          <cell r="N268" t="str">
            <v/>
          </cell>
          <cell r="O268" t="str">
            <v/>
          </cell>
          <cell r="P268">
            <v>0</v>
          </cell>
        </row>
        <row r="269">
          <cell r="A269" t="str">
            <v>SRTBO-90</v>
          </cell>
          <cell r="B269" t="str">
            <v>1880BB-C-15108</v>
          </cell>
          <cell r="D269" t="str">
            <v>1880BB-T-70287_FL_62</v>
          </cell>
          <cell r="F269">
            <v>1</v>
          </cell>
          <cell r="G269">
            <v>50.7</v>
          </cell>
          <cell r="H269">
            <v>5.0700000000000002E-2</v>
          </cell>
          <cell r="I269" t="str">
            <v/>
          </cell>
          <cell r="J269">
            <v>5.0700000000000002E-2</v>
          </cell>
          <cell r="N269" t="str">
            <v/>
          </cell>
          <cell r="O269" t="str">
            <v/>
          </cell>
          <cell r="P269">
            <v>0</v>
          </cell>
        </row>
        <row r="270">
          <cell r="A270" t="str">
            <v>SRTBO-91</v>
          </cell>
          <cell r="B270" t="str">
            <v>1880BB-C-15108</v>
          </cell>
          <cell r="D270" t="str">
            <v>1880BB-T-70287_FL_62</v>
          </cell>
          <cell r="F270">
            <v>1</v>
          </cell>
          <cell r="G270">
            <v>50.7</v>
          </cell>
          <cell r="H270">
            <v>5.0700000000000002E-2</v>
          </cell>
          <cell r="I270" t="str">
            <v/>
          </cell>
          <cell r="J270">
            <v>5.0700000000000002E-2</v>
          </cell>
          <cell r="N270" t="str">
            <v/>
          </cell>
          <cell r="O270" t="str">
            <v/>
          </cell>
          <cell r="P270">
            <v>0</v>
          </cell>
        </row>
        <row r="271">
          <cell r="A271" t="str">
            <v>SRTBO-104</v>
          </cell>
          <cell r="B271" t="str">
            <v>1880BB-C-15108</v>
          </cell>
          <cell r="D271" t="str">
            <v>1880BB-T-70287_FL_62</v>
          </cell>
          <cell r="F271">
            <v>1</v>
          </cell>
          <cell r="G271">
            <v>50.7</v>
          </cell>
          <cell r="H271">
            <v>5.0700000000000002E-2</v>
          </cell>
          <cell r="I271" t="str">
            <v/>
          </cell>
          <cell r="J271">
            <v>5.0700000000000002E-2</v>
          </cell>
          <cell r="N271" t="str">
            <v/>
          </cell>
          <cell r="O271" t="str">
            <v/>
          </cell>
          <cell r="P271">
            <v>0</v>
          </cell>
        </row>
        <row r="272">
          <cell r="A272" t="str">
            <v>SRTBO-105</v>
          </cell>
          <cell r="B272" t="str">
            <v>1880BB-C-15108</v>
          </cell>
          <cell r="D272" t="str">
            <v>1880BB-T-70287_FL_62</v>
          </cell>
          <cell r="F272">
            <v>1</v>
          </cell>
          <cell r="G272">
            <v>50.7</v>
          </cell>
          <cell r="H272">
            <v>5.0700000000000002E-2</v>
          </cell>
          <cell r="I272" t="str">
            <v/>
          </cell>
          <cell r="J272">
            <v>5.0700000000000002E-2</v>
          </cell>
          <cell r="N272" t="str">
            <v/>
          </cell>
          <cell r="O272" t="str">
            <v/>
          </cell>
          <cell r="P272">
            <v>0</v>
          </cell>
        </row>
        <row r="273">
          <cell r="A273" t="str">
            <v>SRTBO-107</v>
          </cell>
          <cell r="B273" t="str">
            <v>1880BB-C-15108</v>
          </cell>
          <cell r="D273" t="str">
            <v>1880BB-T-70287_FL_62</v>
          </cell>
          <cell r="F273">
            <v>1</v>
          </cell>
          <cell r="G273">
            <v>50.7</v>
          </cell>
          <cell r="H273">
            <v>5.0700000000000002E-2</v>
          </cell>
          <cell r="I273" t="str">
            <v/>
          </cell>
          <cell r="J273">
            <v>5.0700000000000002E-2</v>
          </cell>
          <cell r="N273" t="str">
            <v/>
          </cell>
          <cell r="O273" t="str">
            <v/>
          </cell>
          <cell r="P273">
            <v>0</v>
          </cell>
        </row>
        <row r="274">
          <cell r="A274" t="str">
            <v>SRTBO-108</v>
          </cell>
          <cell r="B274" t="str">
            <v>1880BB-C-15108</v>
          </cell>
          <cell r="D274" t="str">
            <v>1880BB-T-70287_FL_62</v>
          </cell>
          <cell r="F274">
            <v>1</v>
          </cell>
          <cell r="G274">
            <v>50.7</v>
          </cell>
          <cell r="H274">
            <v>5.0700000000000002E-2</v>
          </cell>
          <cell r="I274" t="str">
            <v/>
          </cell>
          <cell r="J274">
            <v>5.0700000000000002E-2</v>
          </cell>
          <cell r="N274" t="str">
            <v/>
          </cell>
          <cell r="O274" t="str">
            <v/>
          </cell>
          <cell r="P274">
            <v>0</v>
          </cell>
        </row>
        <row r="275">
          <cell r="A275" t="str">
            <v>SRTBO-109</v>
          </cell>
          <cell r="B275" t="str">
            <v>1880BB-C-15108</v>
          </cell>
          <cell r="D275" t="str">
            <v>1880BB-T-70287_FL_62</v>
          </cell>
          <cell r="F275">
            <v>1</v>
          </cell>
          <cell r="G275">
            <v>50.7</v>
          </cell>
          <cell r="H275">
            <v>5.0700000000000002E-2</v>
          </cell>
          <cell r="I275" t="str">
            <v/>
          </cell>
          <cell r="J275">
            <v>5.0700000000000002E-2</v>
          </cell>
          <cell r="N275" t="str">
            <v/>
          </cell>
          <cell r="O275" t="str">
            <v/>
          </cell>
          <cell r="P275">
            <v>0</v>
          </cell>
        </row>
        <row r="276">
          <cell r="A276" t="str">
            <v>SRTBO-117</v>
          </cell>
          <cell r="B276" t="str">
            <v>1880BB-C-15108</v>
          </cell>
          <cell r="D276" t="str">
            <v>1880BB-T-70287_FL_62</v>
          </cell>
          <cell r="F276">
            <v>1</v>
          </cell>
          <cell r="G276">
            <v>50.7</v>
          </cell>
          <cell r="H276">
            <v>5.0700000000000002E-2</v>
          </cell>
          <cell r="I276" t="str">
            <v/>
          </cell>
          <cell r="J276">
            <v>5.0700000000000002E-2</v>
          </cell>
          <cell r="N276" t="str">
            <v/>
          </cell>
          <cell r="O276" t="str">
            <v/>
          </cell>
          <cell r="P276">
            <v>0</v>
          </cell>
        </row>
        <row r="277">
          <cell r="A277" t="str">
            <v>SRTBO-118</v>
          </cell>
          <cell r="B277" t="str">
            <v>1880BB-C-15108</v>
          </cell>
          <cell r="D277" t="str">
            <v>1880BB-T-70287_FL_62</v>
          </cell>
          <cell r="F277">
            <v>1</v>
          </cell>
          <cell r="G277">
            <v>50.7</v>
          </cell>
          <cell r="H277">
            <v>5.0700000000000002E-2</v>
          </cell>
          <cell r="I277" t="str">
            <v/>
          </cell>
          <cell r="J277">
            <v>5.0700000000000002E-2</v>
          </cell>
          <cell r="N277" t="str">
            <v/>
          </cell>
          <cell r="O277" t="str">
            <v/>
          </cell>
          <cell r="P277">
            <v>0</v>
          </cell>
        </row>
        <row r="278">
          <cell r="A278" t="str">
            <v>SRTBO-119</v>
          </cell>
          <cell r="B278" t="str">
            <v>1880BB-C-15108</v>
          </cell>
          <cell r="D278" t="str">
            <v>1880BB-T-70287_FL_62</v>
          </cell>
          <cell r="F278">
            <v>1</v>
          </cell>
          <cell r="G278">
            <v>50.7</v>
          </cell>
          <cell r="H278">
            <v>5.0700000000000002E-2</v>
          </cell>
          <cell r="I278" t="str">
            <v/>
          </cell>
          <cell r="J278">
            <v>5.0700000000000002E-2</v>
          </cell>
          <cell r="N278" t="str">
            <v/>
          </cell>
          <cell r="O278" t="str">
            <v/>
          </cell>
          <cell r="P278">
            <v>0</v>
          </cell>
        </row>
        <row r="279">
          <cell r="A279" t="str">
            <v>ST-1880BB-70292-004</v>
          </cell>
          <cell r="B279" t="str">
            <v>1880BB-T-70292</v>
          </cell>
          <cell r="D279" t="str">
            <v>1880BB-T-70287_FL_64</v>
          </cell>
          <cell r="F279">
            <v>1</v>
          </cell>
          <cell r="G279">
            <v>218.1</v>
          </cell>
          <cell r="H279">
            <v>0.21809999999999999</v>
          </cell>
          <cell r="I279" t="str">
            <v/>
          </cell>
          <cell r="J279">
            <v>0.21809999999999999</v>
          </cell>
          <cell r="N279" t="str">
            <v/>
          </cell>
          <cell r="O279" t="str">
            <v/>
          </cell>
          <cell r="P279">
            <v>0</v>
          </cell>
        </row>
        <row r="280">
          <cell r="A280" t="str">
            <v>ST-1880BB-70292-007</v>
          </cell>
          <cell r="B280" t="str">
            <v>1880BB-T-70292</v>
          </cell>
          <cell r="D280" t="str">
            <v>1880BB-T-70287_FL_64</v>
          </cell>
          <cell r="F280">
            <v>1</v>
          </cell>
          <cell r="G280">
            <v>218.1</v>
          </cell>
          <cell r="H280">
            <v>0.21809999999999999</v>
          </cell>
          <cell r="I280" t="str">
            <v/>
          </cell>
          <cell r="J280">
            <v>0.21809999999999999</v>
          </cell>
          <cell r="N280" t="str">
            <v/>
          </cell>
          <cell r="O280" t="str">
            <v/>
          </cell>
          <cell r="P280">
            <v>0</v>
          </cell>
        </row>
        <row r="281">
          <cell r="A281" t="str">
            <v>ST-1880BB-70290-010</v>
          </cell>
          <cell r="B281" t="str">
            <v>1880BB-T-70290</v>
          </cell>
          <cell r="D281" t="str">
            <v>1880BB-T-70287_FL_16/17</v>
          </cell>
          <cell r="F281">
            <v>1</v>
          </cell>
          <cell r="G281">
            <v>250.1</v>
          </cell>
          <cell r="H281">
            <v>0.25009999999999999</v>
          </cell>
          <cell r="I281" t="str">
            <v/>
          </cell>
          <cell r="J281">
            <v>0.25009999999999999</v>
          </cell>
          <cell r="N281" t="str">
            <v/>
          </cell>
          <cell r="O281" t="str">
            <v/>
          </cell>
          <cell r="P281">
            <v>0</v>
          </cell>
        </row>
        <row r="282">
          <cell r="A282" t="str">
            <v>SRTBO-98</v>
          </cell>
          <cell r="B282" t="str">
            <v>1880BB-C-15108</v>
          </cell>
          <cell r="D282" t="str">
            <v>1880BB-T-70287_FL_59/60</v>
          </cell>
          <cell r="F282">
            <v>1</v>
          </cell>
          <cell r="G282">
            <v>311.89999999999998</v>
          </cell>
          <cell r="H282">
            <v>0.31189999999999996</v>
          </cell>
          <cell r="I282" t="str">
            <v/>
          </cell>
          <cell r="J282">
            <v>0.31189999999999996</v>
          </cell>
          <cell r="N282" t="str">
            <v/>
          </cell>
          <cell r="O282" t="str">
            <v/>
          </cell>
          <cell r="P282">
            <v>0</v>
          </cell>
        </row>
        <row r="283">
          <cell r="A283" t="str">
            <v>SRTBO-99</v>
          </cell>
          <cell r="B283" t="str">
            <v>1880BB-C-15108</v>
          </cell>
          <cell r="D283" t="str">
            <v>1880BB-T-70287_FL_59/60</v>
          </cell>
          <cell r="F283">
            <v>1</v>
          </cell>
          <cell r="G283">
            <v>311.89999999999998</v>
          </cell>
          <cell r="H283">
            <v>0.31189999999999996</v>
          </cell>
          <cell r="I283" t="str">
            <v/>
          </cell>
          <cell r="J283">
            <v>0.31189999999999996</v>
          </cell>
          <cell r="N283" t="str">
            <v/>
          </cell>
          <cell r="O283" t="str">
            <v/>
          </cell>
          <cell r="P283">
            <v>0</v>
          </cell>
        </row>
        <row r="284">
          <cell r="A284" t="str">
            <v>SRTBO-112</v>
          </cell>
          <cell r="B284" t="str">
            <v>1880BB-C-15108</v>
          </cell>
          <cell r="D284" t="str">
            <v>1880BB-T-70287_FL_59/60</v>
          </cell>
          <cell r="F284">
            <v>1</v>
          </cell>
          <cell r="G284">
            <v>311.89999999999998</v>
          </cell>
          <cell r="H284">
            <v>0.31189999999999996</v>
          </cell>
          <cell r="I284" t="str">
            <v/>
          </cell>
          <cell r="J284">
            <v>0.31189999999999996</v>
          </cell>
          <cell r="N284" t="str">
            <v/>
          </cell>
          <cell r="O284" t="str">
            <v/>
          </cell>
          <cell r="P284">
            <v>0</v>
          </cell>
        </row>
        <row r="285">
          <cell r="A285" t="str">
            <v>ST-1880BB-70310-001</v>
          </cell>
          <cell r="B285" t="str">
            <v>1880BB-T-70310</v>
          </cell>
          <cell r="D285" t="str">
            <v>1880BB-T-70312_FL_05</v>
          </cell>
          <cell r="F285">
            <v>1</v>
          </cell>
          <cell r="G285">
            <v>243.75</v>
          </cell>
          <cell r="H285">
            <v>0.24374999999999999</v>
          </cell>
          <cell r="I285" t="str">
            <v/>
          </cell>
          <cell r="J285">
            <v>0.24374999999999999</v>
          </cell>
          <cell r="N285" t="str">
            <v/>
          </cell>
          <cell r="O285" t="str">
            <v/>
          </cell>
          <cell r="P285">
            <v>0</v>
          </cell>
        </row>
        <row r="286">
          <cell r="A286" t="str">
            <v>ST-1880BB-70310-002</v>
          </cell>
          <cell r="B286" t="str">
            <v>1880BB-T-70310</v>
          </cell>
          <cell r="D286" t="str">
            <v>1880BB-T-70312_FL_06</v>
          </cell>
          <cell r="F286">
            <v>1</v>
          </cell>
          <cell r="G286">
            <v>43.6</v>
          </cell>
          <cell r="H286">
            <v>4.36E-2</v>
          </cell>
          <cell r="I286" t="str">
            <v/>
          </cell>
          <cell r="J286">
            <v>4.36E-2</v>
          </cell>
          <cell r="N286" t="str">
            <v/>
          </cell>
          <cell r="O286" t="str">
            <v/>
          </cell>
          <cell r="P286">
            <v>0</v>
          </cell>
        </row>
        <row r="287">
          <cell r="A287" t="str">
            <v>ST-1880BB-70310-003</v>
          </cell>
          <cell r="B287" t="str">
            <v>1880BB-T-70310</v>
          </cell>
          <cell r="D287" t="str">
            <v>1880BB-T-70312_FL_06</v>
          </cell>
          <cell r="F287">
            <v>1</v>
          </cell>
          <cell r="G287">
            <v>43.6</v>
          </cell>
          <cell r="H287">
            <v>4.36E-2</v>
          </cell>
          <cell r="I287" t="str">
            <v/>
          </cell>
          <cell r="J287">
            <v>4.36E-2</v>
          </cell>
          <cell r="N287" t="str">
            <v/>
          </cell>
          <cell r="O287" t="str">
            <v/>
          </cell>
          <cell r="P287">
            <v>0</v>
          </cell>
        </row>
        <row r="288">
          <cell r="A288" t="str">
            <v>ST-1880BB-70310-004</v>
          </cell>
          <cell r="B288" t="str">
            <v>1880BB-T-70310</v>
          </cell>
          <cell r="D288" t="str">
            <v>1880BB-T-70312_FL_07</v>
          </cell>
          <cell r="F288">
            <v>1</v>
          </cell>
          <cell r="G288">
            <v>30.02</v>
          </cell>
          <cell r="H288">
            <v>3.0019999999999998E-2</v>
          </cell>
          <cell r="I288" t="str">
            <v/>
          </cell>
          <cell r="J288">
            <v>3.0019999999999998E-2</v>
          </cell>
          <cell r="N288" t="str">
            <v/>
          </cell>
          <cell r="O288" t="str">
            <v/>
          </cell>
          <cell r="P288">
            <v>0</v>
          </cell>
        </row>
        <row r="289">
          <cell r="A289" t="str">
            <v>ST-1880BB-70310-005</v>
          </cell>
          <cell r="B289" t="str">
            <v>1880BB-T-70310</v>
          </cell>
          <cell r="D289" t="str">
            <v>1880BB-T-70312_FL_07</v>
          </cell>
          <cell r="F289">
            <v>1</v>
          </cell>
          <cell r="G289">
            <v>30.02</v>
          </cell>
          <cell r="H289">
            <v>3.0019999999999998E-2</v>
          </cell>
          <cell r="I289" t="str">
            <v/>
          </cell>
          <cell r="J289">
            <v>3.0019999999999998E-2</v>
          </cell>
          <cell r="N289" t="str">
            <v/>
          </cell>
          <cell r="O289" t="str">
            <v/>
          </cell>
          <cell r="P289">
            <v>0</v>
          </cell>
        </row>
        <row r="290">
          <cell r="A290" t="str">
            <v>ST-1880BB-70310-006</v>
          </cell>
          <cell r="B290" t="str">
            <v>1880BB-T-70310</v>
          </cell>
          <cell r="D290" t="str">
            <v>1880BB-T-70312_FL_07</v>
          </cell>
          <cell r="F290">
            <v>1</v>
          </cell>
          <cell r="G290">
            <v>30.02</v>
          </cell>
          <cell r="H290">
            <v>3.0019999999999998E-2</v>
          </cell>
          <cell r="I290" t="str">
            <v/>
          </cell>
          <cell r="J290">
            <v>3.0019999999999998E-2</v>
          </cell>
          <cell r="N290" t="str">
            <v/>
          </cell>
          <cell r="O290" t="str">
            <v/>
          </cell>
          <cell r="P290">
            <v>0</v>
          </cell>
        </row>
        <row r="291">
          <cell r="A291" t="str">
            <v>ST-1880BB-70310-007</v>
          </cell>
          <cell r="B291" t="str">
            <v>1880BB-T-70310</v>
          </cell>
          <cell r="D291" t="str">
            <v>1880BB-T-70312_FL_07</v>
          </cell>
          <cell r="F291">
            <v>1</v>
          </cell>
          <cell r="G291">
            <v>30.02</v>
          </cell>
          <cell r="H291">
            <v>3.0019999999999998E-2</v>
          </cell>
          <cell r="I291" t="str">
            <v/>
          </cell>
          <cell r="J291">
            <v>3.0019999999999998E-2</v>
          </cell>
          <cell r="N291" t="str">
            <v/>
          </cell>
          <cell r="O291" t="str">
            <v/>
          </cell>
          <cell r="P291">
            <v>0</v>
          </cell>
        </row>
        <row r="292">
          <cell r="A292" t="str">
            <v>ST-1880BB-70310-008</v>
          </cell>
          <cell r="B292" t="str">
            <v>1880BB-T-70310</v>
          </cell>
          <cell r="D292" t="str">
            <v>1880BB-T-70312_FL_08</v>
          </cell>
          <cell r="F292">
            <v>1</v>
          </cell>
          <cell r="G292">
            <v>31.48</v>
          </cell>
          <cell r="H292">
            <v>3.1480000000000001E-2</v>
          </cell>
          <cell r="I292" t="str">
            <v/>
          </cell>
          <cell r="J292">
            <v>3.1480000000000001E-2</v>
          </cell>
          <cell r="N292" t="str">
            <v/>
          </cell>
          <cell r="O292" t="str">
            <v/>
          </cell>
          <cell r="P292">
            <v>0</v>
          </cell>
        </row>
        <row r="293">
          <cell r="A293" t="str">
            <v>ST-1880BB-70310-009</v>
          </cell>
          <cell r="B293" t="str">
            <v>1880BB-T-70310</v>
          </cell>
          <cell r="D293" t="str">
            <v>1880BB-T-70312_FL_08</v>
          </cell>
          <cell r="F293">
            <v>1</v>
          </cell>
          <cell r="G293">
            <v>31.48</v>
          </cell>
          <cell r="H293">
            <v>3.1480000000000001E-2</v>
          </cell>
          <cell r="I293" t="str">
            <v/>
          </cell>
          <cell r="J293">
            <v>3.1480000000000001E-2</v>
          </cell>
          <cell r="N293" t="str">
            <v/>
          </cell>
          <cell r="O293" t="str">
            <v/>
          </cell>
          <cell r="P293">
            <v>0</v>
          </cell>
        </row>
        <row r="294">
          <cell r="A294" t="str">
            <v>ST-1880BB-70310-010</v>
          </cell>
          <cell r="B294" t="str">
            <v>1880BB-T-70310</v>
          </cell>
          <cell r="D294" t="str">
            <v>1880BB-T-70312_FL_08</v>
          </cell>
          <cell r="F294">
            <v>1</v>
          </cell>
          <cell r="G294">
            <v>31.48</v>
          </cell>
          <cell r="H294">
            <v>3.1480000000000001E-2</v>
          </cell>
          <cell r="I294" t="str">
            <v/>
          </cell>
          <cell r="J294">
            <v>3.1480000000000001E-2</v>
          </cell>
          <cell r="N294" t="str">
            <v/>
          </cell>
          <cell r="O294" t="str">
            <v/>
          </cell>
          <cell r="P294">
            <v>0</v>
          </cell>
        </row>
        <row r="295">
          <cell r="A295" t="str">
            <v>ST-1880BB-70310-011</v>
          </cell>
          <cell r="B295" t="str">
            <v>1880BB-T-70310</v>
          </cell>
          <cell r="D295" t="str">
            <v>1880BB-T-70312_FL_08</v>
          </cell>
          <cell r="F295">
            <v>1</v>
          </cell>
          <cell r="G295">
            <v>31.48</v>
          </cell>
          <cell r="H295">
            <v>3.1480000000000001E-2</v>
          </cell>
          <cell r="I295" t="str">
            <v/>
          </cell>
          <cell r="J295">
            <v>3.1480000000000001E-2</v>
          </cell>
          <cell r="N295" t="str">
            <v/>
          </cell>
          <cell r="O295" t="str">
            <v/>
          </cell>
          <cell r="P295">
            <v>0</v>
          </cell>
        </row>
        <row r="296">
          <cell r="A296" t="str">
            <v>ST-1880BB-70310-012</v>
          </cell>
          <cell r="B296" t="str">
            <v>1880BB-T-70310</v>
          </cell>
          <cell r="D296" t="str">
            <v>1880BB-T-70312_FL_09</v>
          </cell>
          <cell r="F296">
            <v>1</v>
          </cell>
          <cell r="G296">
            <v>52.21</v>
          </cell>
          <cell r="H296">
            <v>5.2209999999999999E-2</v>
          </cell>
          <cell r="I296" t="str">
            <v/>
          </cell>
          <cell r="J296">
            <v>5.2209999999999999E-2</v>
          </cell>
          <cell r="N296" t="str">
            <v/>
          </cell>
          <cell r="O296" t="str">
            <v/>
          </cell>
          <cell r="P296">
            <v>0</v>
          </cell>
        </row>
        <row r="297">
          <cell r="A297" t="str">
            <v>ST-1880BB-70310-013</v>
          </cell>
          <cell r="B297" t="str">
            <v>1880BB-T-70310</v>
          </cell>
          <cell r="D297" t="str">
            <v>1880BB-T-70312_FL_09</v>
          </cell>
          <cell r="F297">
            <v>1</v>
          </cell>
          <cell r="G297">
            <v>52.21</v>
          </cell>
          <cell r="H297">
            <v>5.2209999999999999E-2</v>
          </cell>
          <cell r="I297" t="str">
            <v/>
          </cell>
          <cell r="J297">
            <v>5.2209999999999999E-2</v>
          </cell>
          <cell r="N297" t="str">
            <v/>
          </cell>
          <cell r="O297" t="str">
            <v/>
          </cell>
          <cell r="P297">
            <v>0</v>
          </cell>
        </row>
        <row r="298">
          <cell r="A298" t="str">
            <v>ST-1880BB-70310-014</v>
          </cell>
          <cell r="B298" t="str">
            <v>1880BB-T-70310</v>
          </cell>
          <cell r="D298" t="str">
            <v>1880BB-T-70312_FL_10</v>
          </cell>
          <cell r="F298">
            <v>1</v>
          </cell>
          <cell r="G298">
            <v>442.59</v>
          </cell>
          <cell r="H298">
            <v>0.44258999999999998</v>
          </cell>
          <cell r="I298" t="str">
            <v/>
          </cell>
          <cell r="J298">
            <v>0.44258999999999998</v>
          </cell>
          <cell r="N298" t="str">
            <v/>
          </cell>
          <cell r="O298" t="str">
            <v/>
          </cell>
          <cell r="P298">
            <v>0</v>
          </cell>
        </row>
        <row r="299">
          <cell r="A299" t="str">
            <v>ST-1880BB-70310-015</v>
          </cell>
          <cell r="B299" t="str">
            <v>1880BB-T-70310</v>
          </cell>
          <cell r="D299" t="str">
            <v>1880BB-T-70312_FL_10</v>
          </cell>
          <cell r="F299">
            <v>1</v>
          </cell>
          <cell r="G299">
            <v>442.59</v>
          </cell>
          <cell r="H299">
            <v>0.44258999999999998</v>
          </cell>
          <cell r="I299" t="str">
            <v/>
          </cell>
          <cell r="J299">
            <v>0.44258999999999998</v>
          </cell>
          <cell r="N299" t="str">
            <v/>
          </cell>
          <cell r="O299" t="str">
            <v/>
          </cell>
          <cell r="P299">
            <v>0</v>
          </cell>
        </row>
        <row r="300">
          <cell r="A300" t="str">
            <v>ST-1880BB-70310-016</v>
          </cell>
          <cell r="B300" t="str">
            <v>1880BB-T-70310</v>
          </cell>
          <cell r="D300" t="str">
            <v>1880BB-T-70312_FL_11</v>
          </cell>
          <cell r="F300">
            <v>1</v>
          </cell>
          <cell r="G300">
            <v>38.6</v>
          </cell>
          <cell r="H300">
            <v>3.8600000000000002E-2</v>
          </cell>
          <cell r="I300" t="str">
            <v/>
          </cell>
          <cell r="J300">
            <v>3.8600000000000002E-2</v>
          </cell>
          <cell r="N300" t="str">
            <v/>
          </cell>
          <cell r="O300" t="str">
            <v/>
          </cell>
          <cell r="P300">
            <v>0</v>
          </cell>
        </row>
        <row r="301">
          <cell r="A301" t="str">
            <v>ST-1880BB-70310-017</v>
          </cell>
          <cell r="B301" t="str">
            <v>1880BB-T-70310</v>
          </cell>
          <cell r="D301" t="str">
            <v>1880BB-T-70312_FL_12</v>
          </cell>
          <cell r="F301">
            <v>1</v>
          </cell>
          <cell r="G301">
            <v>52.21</v>
          </cell>
          <cell r="H301">
            <v>5.2209999999999999E-2</v>
          </cell>
          <cell r="I301" t="str">
            <v/>
          </cell>
          <cell r="J301">
            <v>5.2209999999999999E-2</v>
          </cell>
          <cell r="N301" t="str">
            <v/>
          </cell>
          <cell r="O301" t="str">
            <v/>
          </cell>
          <cell r="P301">
            <v>0</v>
          </cell>
        </row>
        <row r="302">
          <cell r="A302" t="str">
            <v>ST-1880BB-70310-018</v>
          </cell>
          <cell r="B302" t="str">
            <v>1880BB-T-70310</v>
          </cell>
          <cell r="D302" t="str">
            <v>1880BB-T-70312_FL_12</v>
          </cell>
          <cell r="F302">
            <v>1</v>
          </cell>
          <cell r="G302">
            <v>52.21</v>
          </cell>
          <cell r="H302">
            <v>5.2209999999999999E-2</v>
          </cell>
          <cell r="I302" t="str">
            <v/>
          </cell>
          <cell r="J302">
            <v>5.2209999999999999E-2</v>
          </cell>
          <cell r="N302" t="str">
            <v/>
          </cell>
          <cell r="O302" t="str">
            <v/>
          </cell>
          <cell r="P302">
            <v>0</v>
          </cell>
        </row>
        <row r="303">
          <cell r="A303" t="str">
            <v>ST-1880BB-70310-019</v>
          </cell>
          <cell r="B303" t="str">
            <v>1880BB-T-70310</v>
          </cell>
          <cell r="D303" t="str">
            <v>1880BB-T-70312_FL_12</v>
          </cell>
          <cell r="F303">
            <v>1</v>
          </cell>
          <cell r="G303">
            <v>52.21</v>
          </cell>
          <cell r="H303">
            <v>5.2209999999999999E-2</v>
          </cell>
          <cell r="I303" t="str">
            <v/>
          </cell>
          <cell r="J303">
            <v>5.2209999999999999E-2</v>
          </cell>
          <cell r="N303" t="str">
            <v/>
          </cell>
          <cell r="O303" t="str">
            <v/>
          </cell>
          <cell r="P303">
            <v>0</v>
          </cell>
        </row>
        <row r="304">
          <cell r="A304" t="str">
            <v>ST-1880BB-70310-020</v>
          </cell>
          <cell r="B304" t="str">
            <v>1880BB-T-70310</v>
          </cell>
          <cell r="D304" t="str">
            <v>1880BB-T-70312_FL_12</v>
          </cell>
          <cell r="F304">
            <v>1</v>
          </cell>
          <cell r="G304">
            <v>52.21</v>
          </cell>
          <cell r="H304">
            <v>5.2209999999999999E-2</v>
          </cell>
          <cell r="I304" t="str">
            <v/>
          </cell>
          <cell r="J304">
            <v>5.2209999999999999E-2</v>
          </cell>
          <cell r="N304" t="str">
            <v/>
          </cell>
          <cell r="O304" t="str">
            <v/>
          </cell>
          <cell r="P304">
            <v>0</v>
          </cell>
        </row>
        <row r="305">
          <cell r="A305" t="str">
            <v>ST-1880BB-70310-021</v>
          </cell>
          <cell r="B305" t="str">
            <v>1880BB-T-70310</v>
          </cell>
          <cell r="D305" t="str">
            <v>1880BB-T-70312_FL_13</v>
          </cell>
          <cell r="F305">
            <v>1</v>
          </cell>
          <cell r="G305">
            <v>442.59</v>
          </cell>
          <cell r="H305">
            <v>0.44258999999999998</v>
          </cell>
          <cell r="I305" t="str">
            <v/>
          </cell>
          <cell r="J305">
            <v>0.44258999999999998</v>
          </cell>
          <cell r="N305" t="str">
            <v/>
          </cell>
          <cell r="O305" t="str">
            <v/>
          </cell>
          <cell r="P305">
            <v>0</v>
          </cell>
        </row>
        <row r="306">
          <cell r="A306" t="str">
            <v>ST-1880BB-70310-022</v>
          </cell>
          <cell r="B306" t="str">
            <v>1880BB-T-70310</v>
          </cell>
          <cell r="D306" t="str">
            <v>1880BB-T-70312_FL_13</v>
          </cell>
          <cell r="F306">
            <v>1</v>
          </cell>
          <cell r="G306">
            <v>442.59</v>
          </cell>
          <cell r="H306">
            <v>0.44258999999999998</v>
          </cell>
          <cell r="I306" t="str">
            <v/>
          </cell>
          <cell r="J306">
            <v>0.44258999999999998</v>
          </cell>
          <cell r="N306" t="str">
            <v/>
          </cell>
          <cell r="O306" t="str">
            <v/>
          </cell>
          <cell r="P306">
            <v>0</v>
          </cell>
        </row>
        <row r="307">
          <cell r="A307" t="str">
            <v>ST-1880BB-70310-023</v>
          </cell>
          <cell r="B307" t="str">
            <v>1880BB-T-70310</v>
          </cell>
          <cell r="D307" t="str">
            <v>1880BB-T-70312_FL_13</v>
          </cell>
          <cell r="F307">
            <v>1</v>
          </cell>
          <cell r="G307">
            <v>442.59</v>
          </cell>
          <cell r="H307">
            <v>0.44258999999999998</v>
          </cell>
          <cell r="I307" t="str">
            <v/>
          </cell>
          <cell r="J307">
            <v>0.44258999999999998</v>
          </cell>
          <cell r="N307" t="str">
            <v/>
          </cell>
          <cell r="O307" t="str">
            <v/>
          </cell>
          <cell r="P307">
            <v>0</v>
          </cell>
        </row>
        <row r="308">
          <cell r="A308" t="str">
            <v>ST-1880BB-70310-024</v>
          </cell>
          <cell r="B308" t="str">
            <v>1880BB-T-70310</v>
          </cell>
          <cell r="D308" t="str">
            <v>1880BB-T-70312_FL_13</v>
          </cell>
          <cell r="F308">
            <v>1</v>
          </cell>
          <cell r="G308">
            <v>442.59</v>
          </cell>
          <cell r="H308">
            <v>0.44258999999999998</v>
          </cell>
          <cell r="I308" t="str">
            <v/>
          </cell>
          <cell r="J308">
            <v>0.44258999999999998</v>
          </cell>
          <cell r="N308" t="str">
            <v/>
          </cell>
          <cell r="O308" t="str">
            <v/>
          </cell>
          <cell r="P308">
            <v>0</v>
          </cell>
        </row>
        <row r="309">
          <cell r="A309" t="str">
            <v>ST-1880BB-70310-026</v>
          </cell>
          <cell r="B309" t="str">
            <v>1880BB-T-70310</v>
          </cell>
          <cell r="D309" t="str">
            <v>1880BB-T-70312_FL_14</v>
          </cell>
          <cell r="F309">
            <v>1</v>
          </cell>
          <cell r="G309">
            <v>1068</v>
          </cell>
          <cell r="H309">
            <v>1.0680000000000001</v>
          </cell>
          <cell r="I309" t="str">
            <v/>
          </cell>
          <cell r="J309">
            <v>1.0680000000000001</v>
          </cell>
          <cell r="N309" t="str">
            <v/>
          </cell>
          <cell r="O309" t="str">
            <v/>
          </cell>
          <cell r="P309">
            <v>0</v>
          </cell>
        </row>
        <row r="310">
          <cell r="A310" t="str">
            <v>ST-1880BB-70310-025</v>
          </cell>
          <cell r="B310" t="str">
            <v>1880BB-T-70310</v>
          </cell>
          <cell r="D310" t="str">
            <v>1880BB-T-70312_FL_15</v>
          </cell>
          <cell r="F310">
            <v>1</v>
          </cell>
          <cell r="G310">
            <v>159.5</v>
          </cell>
          <cell r="H310">
            <v>0.1595</v>
          </cell>
          <cell r="I310" t="str">
            <v/>
          </cell>
          <cell r="J310">
            <v>0.1595</v>
          </cell>
          <cell r="N310" t="str">
            <v/>
          </cell>
          <cell r="O310" t="str">
            <v/>
          </cell>
          <cell r="P310">
            <v>0</v>
          </cell>
        </row>
        <row r="311">
          <cell r="A311" t="str">
            <v>SR70330-01</v>
          </cell>
          <cell r="B311" t="str">
            <v>1880BB-T-70310</v>
          </cell>
          <cell r="D311" t="str">
            <v>1880BB-T-70312_FL_18</v>
          </cell>
          <cell r="F311">
            <v>1</v>
          </cell>
          <cell r="G311">
            <v>148.25</v>
          </cell>
          <cell r="H311">
            <v>0.14824999999999999</v>
          </cell>
          <cell r="I311" t="str">
            <v/>
          </cell>
          <cell r="J311">
            <v>0.14824999999999999</v>
          </cell>
          <cell r="N311" t="str">
            <v/>
          </cell>
          <cell r="O311" t="str">
            <v/>
          </cell>
          <cell r="P311">
            <v>0</v>
          </cell>
        </row>
        <row r="312">
          <cell r="A312" t="str">
            <v>SR70330-02</v>
          </cell>
          <cell r="B312" t="str">
            <v>1880BB-T-70310</v>
          </cell>
          <cell r="D312" t="str">
            <v>1880BB-T-70312_FL_19</v>
          </cell>
          <cell r="F312">
            <v>1</v>
          </cell>
          <cell r="G312">
            <v>283.20999999999998</v>
          </cell>
          <cell r="H312">
            <v>0.28320999999999996</v>
          </cell>
          <cell r="I312" t="str">
            <v/>
          </cell>
          <cell r="J312">
            <v>0.28320999999999996</v>
          </cell>
          <cell r="N312" t="str">
            <v/>
          </cell>
          <cell r="O312" t="str">
            <v/>
          </cell>
          <cell r="P312">
            <v>0</v>
          </cell>
        </row>
        <row r="313">
          <cell r="A313" t="str">
            <v>SR70330-03</v>
          </cell>
          <cell r="B313" t="str">
            <v>1880BB-T-70310</v>
          </cell>
          <cell r="D313" t="str">
            <v>1880BB-T-70312_FL_20</v>
          </cell>
          <cell r="F313">
            <v>1</v>
          </cell>
          <cell r="G313">
            <v>243.05</v>
          </cell>
          <cell r="H313">
            <v>0.24305000000000002</v>
          </cell>
          <cell r="I313" t="str">
            <v/>
          </cell>
          <cell r="J313">
            <v>0.24305000000000002</v>
          </cell>
          <cell r="N313" t="str">
            <v/>
          </cell>
          <cell r="O313" t="str">
            <v/>
          </cell>
          <cell r="P313">
            <v>0</v>
          </cell>
        </row>
        <row r="314">
          <cell r="H314">
            <v>0</v>
          </cell>
          <cell r="I314" t="str">
            <v/>
          </cell>
          <cell r="J314">
            <v>0</v>
          </cell>
          <cell r="N314" t="str">
            <v/>
          </cell>
          <cell r="O314" t="str">
            <v/>
          </cell>
          <cell r="P314">
            <v>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ites/Alfa/Shared%20Documents/General/13%20-%20Mapa%20de%20controle/Mapa%20de%20Controle_Tubula&#231;&#227;o.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sites/Alfa/Shared%20Documents/General/13%20-%20Mapa%20de%20controle/Mapa%20de%20Controle_Tubula&#231;&#227;o.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43.396507754631" createdVersion="6" refreshedVersion="6" minRefreshableVersion="3" recordCount="125" xr:uid="{6ECF6D80-AE6A-4755-B26C-45A4E840D711}">
  <cacheSource type="worksheet">
    <worksheetSource ref="B4:S1048576" sheet="MAPA DE THALES"/>
  </cacheSource>
  <cacheFields count="18">
    <cacheField name="COMMODITIE" numFmtId="0">
      <sharedItems containsBlank="1" count="2">
        <m/>
        <s v="PEAD"/>
      </sharedItems>
    </cacheField>
    <cacheField name="DIÂMETRO DO TUBO" numFmtId="0">
      <sharedItems containsString="0" containsBlank="1" containsNumber="1" containsInteger="1" minValue="500" maxValue="500"/>
    </cacheField>
    <cacheField name="PN TUBO" numFmtId="0">
      <sharedItems containsBlank="1"/>
    </cacheField>
    <cacheField name="TRANSPORTADO" numFmtId="0">
      <sharedItems containsBlank="1" count="2">
        <m/>
        <s v="SIM"/>
      </sharedItems>
    </cacheField>
    <cacheField name="COMPRIMENTO" numFmtId="0">
      <sharedItems containsString="0" containsBlank="1" containsNumber="1" containsInteger="1" minValue="6" maxValue="6"/>
    </cacheField>
    <cacheField name="SUB-ÁREA" numFmtId="0">
      <sharedItems containsBlank="1"/>
    </cacheField>
    <cacheField name="SOLDA" numFmtId="0">
      <sharedItems containsBlank="1" count="3">
        <m/>
        <s v="SIM"/>
        <s v="NÃO"/>
      </sharedItems>
    </cacheField>
    <cacheField name="DIA DA SOLDA" numFmtId="0">
      <sharedItems containsNonDate="0" containsDate="1" containsString="0" containsBlank="1" minDate="2021-02-15T00:00:00" maxDate="2021-02-17T00:00:00"/>
    </cacheField>
    <cacheField name="ATERRADO" numFmtId="0">
      <sharedItems containsBlank="1"/>
    </cacheField>
    <cacheField name="DIA DO ATERRO" numFmtId="0">
      <sharedItems containsNonDate="0" containsString="0" containsBlank="1"/>
    </cacheField>
    <cacheField name="LANÇADO " numFmtId="0">
      <sharedItems containsBlank="1"/>
    </cacheField>
    <cacheField name="DATA DE LANÇAMENTO" numFmtId="0">
      <sharedItems containsNonDate="0" containsDate="1" containsString="0" containsBlank="1" minDate="2021-02-15T00:00:00" maxDate="2021-02-17T00:00:00"/>
    </cacheField>
    <cacheField name="POSIÇÃO DO TUBO" numFmtId="0">
      <sharedItems containsString="0" containsBlank="1" containsNumber="1" containsInteger="1" minValue="1" maxValue="5"/>
    </cacheField>
    <cacheField name="PROJETO" numFmtId="49">
      <sharedItems containsNonDate="0" containsString="0" containsBlank="1"/>
    </cacheField>
    <cacheField name="CONDIÇÃO DO TUBO" numFmtId="0">
      <sharedItems containsNonDate="0" containsString="0" containsBlank="1"/>
    </cacheField>
    <cacheField name="Qtd Total" numFmtId="43">
      <sharedItems containsString="0" containsBlank="1" containsNumber="1" containsInteger="1" minValue="6" maxValue="6"/>
    </cacheField>
    <cacheField name="Peso Unit _x000a_(kg)" numFmtId="166">
      <sharedItems containsString="0" containsBlank="1" containsNumber="1" minValue="43.718000000000004" maxValue="43.718000000000004"/>
    </cacheField>
    <cacheField name="Peso Total _x000a_(kg)" numFmtId="43">
      <sharedItems containsString="0" containsBlank="1" containsNumber="1" minValue="262.30799999999999" maxValue="262.3079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61.336320254632" createdVersion="6" refreshedVersion="6" minRefreshableVersion="3" recordCount="730" xr:uid="{23CF7CEB-4C13-4D88-BE59-A16DFEA6098D}">
  <cacheSource type="worksheet">
    <worksheetSource ref="A4:AP258" sheet="MAPA DE TUBULAÇÃO" r:id="rId2"/>
  </cacheSource>
  <cacheFields count="45">
    <cacheField name="Item PQ" numFmtId="0">
      <sharedItems containsBlank="1" containsMixedTypes="1" containsNumber="1" containsInteger="1" minValue="0" maxValue="0"/>
    </cacheField>
    <cacheField name="CMS" numFmtId="0">
      <sharedItems containsBlank="1"/>
    </cacheField>
    <cacheField name="COMMODITIE" numFmtId="0">
      <sharedItems containsBlank="1"/>
    </cacheField>
    <cacheField name="Item" numFmtId="0">
      <sharedItems containsString="0" containsBlank="1" containsNumber="1" containsInteger="1" minValue="1" maxValue="43"/>
    </cacheField>
    <cacheField name="Spool" numFmtId="0">
      <sharedItems containsBlank="1"/>
    </cacheField>
    <cacheField name="Diâmetro" numFmtId="0">
      <sharedItems containsBlank="1" containsMixedTypes="1" containsNumber="1" containsInteger="1" minValue="4" maxValue="22"/>
    </cacheField>
    <cacheField name="Ajuste" numFmtId="0">
      <sharedItems containsBlank="1"/>
    </cacheField>
    <cacheField name="Sacrifício" numFmtId="0">
      <sharedItems containsBlank="1"/>
    </cacheField>
    <cacheField name="Retrabalho" numFmtId="0">
      <sharedItems containsBlank="1"/>
    </cacheField>
    <cacheField name="Linha de Tubulação" numFmtId="0">
      <sharedItems containsBlank="1"/>
    </cacheField>
    <cacheField name="Start" numFmtId="0">
      <sharedItems containsBlank="1"/>
    </cacheField>
    <cacheField name="Aplicação" numFmtId="0">
      <sharedItems containsBlank="1"/>
    </cacheField>
    <cacheField name="Requisição de Materiais" numFmtId="0">
      <sharedItems containsBlank="1"/>
    </cacheField>
    <cacheField name="Posição" numFmtId="49">
      <sharedItems containsBlank="1"/>
    </cacheField>
    <cacheField name="Diagrama de Arranjo" numFmtId="49">
      <sharedItems containsBlank="1"/>
    </cacheField>
    <cacheField name="Diagrama de Montagem" numFmtId="49">
      <sharedItems containsBlank="1"/>
    </cacheField>
    <cacheField name="Qtd Total" numFmtId="0">
      <sharedItems containsString="0" containsBlank="1" containsNumber="1" containsInteger="1" minValue="1" maxValue="48"/>
    </cacheField>
    <cacheField name="Unid." numFmtId="0">
      <sharedItems containsBlank="1"/>
    </cacheField>
    <cacheField name="Peso Unit / Comprimento" numFmtId="166">
      <sharedItems containsString="0" containsBlank="1" containsNumber="1" minValue="0" maxValue="518.79999999999995"/>
    </cacheField>
    <cacheField name="Peso Total _x000a_(kg / m)" numFmtId="43">
      <sharedItems containsString="0" containsBlank="1" containsNumber="1" minValue="0" maxValue="3537.6000000000004"/>
    </cacheField>
    <cacheField name="R$ Unit." numFmtId="0">
      <sharedItems containsString="0" containsBlank="1" containsNumber="1" minValue="0" maxValue="3789.72"/>
    </cacheField>
    <cacheField name="R$ Total" numFmtId="0">
      <sharedItems containsString="0" containsBlank="1" containsNumber="1" minValue="0" maxValue="117120.36"/>
    </cacheField>
    <cacheField name="Pré-montagem" numFmtId="9">
      <sharedItems containsString="0" containsBlank="1" containsNumber="1" containsInteger="1" minValue="0" maxValue="0"/>
    </cacheField>
    <cacheField name="Montagem e Alinhamento" numFmtId="9">
      <sharedItems containsString="0" containsBlank="1" containsNumber="1" minValue="0.9" maxValue="0.9"/>
    </cacheField>
    <cacheField name="Teste hidrostático" numFmtId="9">
      <sharedItems containsString="0" containsBlank="1" containsNumber="1" minValue="0.1" maxValue="0.1"/>
    </cacheField>
    <cacheField name="Pré-montagem2" numFmtId="9">
      <sharedItems containsNonDate="0" containsString="0" containsBlank="1"/>
    </cacheField>
    <cacheField name="Montagem e Alinhamento2" numFmtId="9">
      <sharedItems containsNonDate="0" containsString="0" containsBlank="1"/>
    </cacheField>
    <cacheField name="Teste hidrostático2" numFmtId="9">
      <sharedItems containsNonDate="0" containsString="0" containsBlank="1"/>
    </cacheField>
    <cacheField name="Qtd _x000a_Físico Acum." numFmtId="164">
      <sharedItems containsString="0" containsBlank="1" containsNumber="1" containsInteger="1" minValue="0" maxValue="0"/>
    </cacheField>
    <cacheField name="Qtd _x000a_Físico Acum. Anterior" numFmtId="164">
      <sharedItems containsString="0" containsBlank="1" containsNumber="1" containsInteger="1" minValue="0" maxValue="0"/>
    </cacheField>
    <cacheField name="Qtd _x000a_Físico Periodo" numFmtId="164">
      <sharedItems containsString="0" containsBlank="1" containsNumber="1" containsInteger="1" minValue="0" maxValue="0"/>
    </cacheField>
    <cacheField name="Qtd _x000a_Saldo" numFmtId="164">
      <sharedItems containsString="0" containsBlank="1" containsNumber="1" minValue="0" maxValue="3537.6000000000004"/>
    </cacheField>
    <cacheField name="." numFmtId="164">
      <sharedItems containsBlank="1"/>
    </cacheField>
    <cacheField name="Pré-montagem3" numFmtId="9">
      <sharedItems containsString="0" containsBlank="1" containsNumber="1" minValue="0" maxValue="0.4"/>
    </cacheField>
    <cacheField name="Montagem e Alinhamento3" numFmtId="9">
      <sharedItems containsString="0" containsBlank="1" containsNumber="1" minValue="0" maxValue="0.5"/>
    </cacheField>
    <cacheField name="Teste hidrostático3" numFmtId="9">
      <sharedItems containsString="0" containsBlank="1" containsNumber="1" minValue="0" maxValue="0.1"/>
    </cacheField>
    <cacheField name="Pré-montagem4" numFmtId="9">
      <sharedItems containsBlank="1"/>
    </cacheField>
    <cacheField name="Montagem e Alinhamento4" numFmtId="9">
      <sharedItems containsBlank="1"/>
    </cacheField>
    <cacheField name="Teste hidrostático4" numFmtId="9">
      <sharedItems containsBlank="1"/>
    </cacheField>
    <cacheField name="Qtd _x000a_Financeiro Acum." numFmtId="165">
      <sharedItems containsString="0" containsBlank="1" containsNumber="1" containsInteger="1" minValue="0" maxValue="0"/>
    </cacheField>
    <cacheField name="Qtd _x000a_Financeiro Acum. Anterior" numFmtId="165">
      <sharedItems containsString="0" containsBlank="1" containsNumber="1" containsInteger="1" minValue="0" maxValue="0"/>
    </cacheField>
    <cacheField name="Qtd _x000a_Financeiro Periodo" numFmtId="165">
      <sharedItems containsString="0" containsBlank="1" containsNumber="1" containsInteger="1" minValue="0" maxValue="0"/>
    </cacheField>
    <cacheField name="Qtd _x000a_Saldo2" numFmtId="165">
      <sharedItems containsString="0" containsBlank="1" containsNumber="1" minValue="0" maxValue="117120.36"/>
    </cacheField>
    <cacheField name=".2" numFmtId="164">
      <sharedItems containsBlank="1"/>
    </cacheField>
    <cacheField name="Relatório CQ" numFmtId="43">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61.340299421296" createdVersion="6" refreshedVersion="6" minRefreshableVersion="3" recordCount="1597" xr:uid="{436F50AA-DCAB-4E84-AFBF-E973920D31E9}">
  <cacheSource type="worksheet">
    <worksheetSource ref="A4:AP258" sheet="MAPA DE TUBULAÇÃO" r:id="rId2"/>
  </cacheSource>
  <cacheFields count="45">
    <cacheField name="Item PQ" numFmtId="0">
      <sharedItems containsBlank="1" containsMixedTypes="1" containsNumber="1" containsInteger="1" minValue="0" maxValue="0"/>
    </cacheField>
    <cacheField name="CMS" numFmtId="0">
      <sharedItems containsBlank="1"/>
    </cacheField>
    <cacheField name="COMMODITIE" numFmtId="0">
      <sharedItems containsBlank="1" count="3">
        <m/>
        <s v="SUPORTE"/>
        <s v="TUBULAÇÃO"/>
      </sharedItems>
    </cacheField>
    <cacheField name="Item" numFmtId="0">
      <sharedItems containsString="0" containsBlank="1" containsNumber="1" containsInteger="1" minValue="1" maxValue="43"/>
    </cacheField>
    <cacheField name="Spool" numFmtId="0">
      <sharedItems containsBlank="1"/>
    </cacheField>
    <cacheField name="Diâmetro" numFmtId="0">
      <sharedItems containsBlank="1" containsMixedTypes="1" containsNumber="1" containsInteger="1" minValue="4" maxValue="22"/>
    </cacheField>
    <cacheField name="Ajuste" numFmtId="0">
      <sharedItems containsBlank="1" count="3">
        <m/>
        <s v="NÃO"/>
        <s v="SIM"/>
      </sharedItems>
    </cacheField>
    <cacheField name="Sacrifício" numFmtId="0">
      <sharedItems containsBlank="1"/>
    </cacheField>
    <cacheField name="Retrabalho" numFmtId="0">
      <sharedItems containsBlank="1"/>
    </cacheField>
    <cacheField name="Linha de Tubulação" numFmtId="0">
      <sharedItems containsBlank="1" count="95">
        <m/>
        <s v="145A-PG-16¨-L1H-861"/>
        <s v="145A-PG-16¨-L1H-860"/>
        <s v="145A-PG-10¨-L1H-940"/>
        <s v="-"/>
        <s v="10¨-PG-143A-476-X16"/>
        <s v="10¨-PG-143A-477-X16"/>
        <s v="10¨-PG-143A-478-X16"/>
        <s v="10¨-PG-143A-479-X16"/>
        <s v="10¨-PG-143A-480-X16"/>
        <s v="10¨-PG-143A-481-X16"/>
        <s v="10¨-PG-143A-482-X16"/>
        <s v="10¨-PG-143A-483-X16"/>
        <s v="10¨-PG-143A-484-X16"/>
        <s v="145A-PG-22¨-L1H-928"/>
        <s v="145A-PG-14¨-L1H-871"/>
        <s v="145A-PG-14¨-L1H-872"/>
        <s v="145A-PG-14¨-L1H-873"/>
        <s v="145A-PG-14¨-L1H-874"/>
        <s v="145A-PG-14¨-L1H-929"/>
        <s v="145-PP-10¨-L1H-941"/>
        <s v="145A-PG-6¨-L1H-877"/>
        <s v="145A-PG-6¨-L1H-879"/>
        <s v="145A-PG-6¨-L1H-881"/>
        <s v="145A-PG-6¨-L1H-876"/>
        <s v="145A-PG-6¨-L1H-878"/>
        <s v="145A-PG-6¨-L1H-880"/>
        <s v="145A-PG-6¨-L1H-883"/>
        <s v="145A-PG-6¨-L1H-885"/>
        <s v="145A-PG-8¨-L1H-902"/>
        <s v="145A-PG-8¨-L1H-903"/>
        <s v="145A-PG-8¨-L1H-904"/>
        <s v="145A-PG-8¨-L1H-905"/>
        <s v="145A-PG-8¨-L1H-906"/>
        <s v="145A-PG-8¨-L1H-907"/>
        <s v="145A-PG-8¨-L1H-908"/>
        <s v="145A-PG-8¨-L1H-909"/>
        <s v="145A-PG-8¨-L1H-910"/>
        <s v="145A-PG-8¨-L1H-911"/>
        <s v="145A-PG-8¨-L1H-912"/>
        <s v="145A-PG-8¨-L1H-913"/>
        <s v="145A-PG-8¨-L1H-914"/>
        <s v="145A-PG-8¨-L1H-915"/>
        <s v="145A-PG-8¨-L1H-916"/>
        <s v="145A-PG-8¨-L1H-917"/>
        <s v="145A-PG-8¨-L1H-918"/>
        <s v="145A-PG-8¨-L1H-919"/>
        <s v="145A-PG-8¨-L1H-930"/>
        <s v="145A-PG-8¨-L1H-921"/>
        <s v="145A-PG-8¨-L1H-922"/>
        <s v="145A-PG-8¨-L1H-923"/>
        <s v="145A-PG-8¨-L1H-924"/>
        <s v="145A-PG-8¨-L1H-925"/>
        <s v="145A-PG-12¨-L1H-927"/>
        <s v="145A-PG-12¨-L1H-926"/>
        <s v="145A-PP-10¨-L1H-942"/>
        <s v="145A-PG-6¨-L1H-887"/>
        <s v="145A-PG-6¨-L1H-882"/>
        <s v="145A-PG-6¨-L1H-884"/>
        <s v="145A-PG-6¨-L1H-889"/>
        <s v="145A-PG-6¨-L1H-891"/>
        <s v="145A-PG-6¨-L1H-893"/>
        <s v="145A-PG-6¨-L1H-888"/>
        <s v="145A-PG-6¨-L1H-890"/>
        <s v="145A-PG-6¨-L1H-892"/>
        <s v="145A-PG-6¨-L1H-895"/>
        <s v="145A-PG-6¨-L1H-897"/>
        <s v="145A-PG-6¨-L1H-899"/>
        <s v="145A-PG-6¨-L1H-894"/>
        <s v="145A-PG-6¨-L1H-896"/>
        <s v="145A-PG-6¨-L1H-898"/>
        <s v="145A-PG-10¨-L1H-866"/>
        <s v="145A-PG-10¨-L1H-867"/>
        <s v="145A-PG-10¨-L1H-868"/>
        <s v="145A-PG-10¨-L1H-869"/>
        <s v="145A-PG-10¨-L1H-870"/>
        <s v="145A-PG-8¨-L1H-900"/>
        <s v="145A-PG-8¨-L1H-901"/>
        <s v="10¨-PG-143A-008-X16"/>
        <s v="10¨-PG-143A-009-X16"/>
        <s v="10¨-PG-143A-010-X16"/>
        <s v="10¨-PG-143A-011-X16"/>
        <s v="10¨-PG-143A-012-X16"/>
        <s v="10¨-PG-143A-094-X16"/>
        <s v="10¨-PG-143A-095-X16"/>
        <s v="10¨-PG-143A-096-X16"/>
        <s v="10¨-PG-143A-097-X16"/>
        <s v="10¨-PG-143A-700-X16"/>
        <s v="10¨-PG-143A-701-X16"/>
        <s v="10¨-PG-143A-702-X16"/>
        <s v="BY PASS PN-9716-9717"/>
        <s v="145A-PP-10¨-L1H-942/944"/>
        <s v="145A-PP-10¨-L1H-943"/>
        <s v="145A-PP-10¨-L1H-943/945"/>
        <s v="145A-PG-14&quot;-L1H-875"/>
      </sharedItems>
    </cacheField>
    <cacheField name="Start" numFmtId="0">
      <sharedItems containsBlank="1" count="4">
        <m/>
        <s v="START UP I"/>
        <s v="START UP II"/>
        <s v="START UP III"/>
      </sharedItems>
    </cacheField>
    <cacheField name="Aplicação" numFmtId="0">
      <sharedItems containsBlank="1"/>
    </cacheField>
    <cacheField name="Requisição de Materiais" numFmtId="0">
      <sharedItems containsBlank="1"/>
    </cacheField>
    <cacheField name="Posição" numFmtId="49">
      <sharedItems containsBlank="1"/>
    </cacheField>
    <cacheField name="Diagrama de Arranjo" numFmtId="49">
      <sharedItems containsBlank="1"/>
    </cacheField>
    <cacheField name="Diagrama de Montagem" numFmtId="49">
      <sharedItems containsBlank="1"/>
    </cacheField>
    <cacheField name="Qtd Total" numFmtId="0">
      <sharedItems containsString="0" containsBlank="1" containsNumber="1" containsInteger="1" minValue="1" maxValue="48"/>
    </cacheField>
    <cacheField name="Unid." numFmtId="0">
      <sharedItems containsBlank="1"/>
    </cacheField>
    <cacheField name="Peso Unit / Comprimento" numFmtId="166">
      <sharedItems containsString="0" containsBlank="1" containsNumber="1" minValue="0" maxValue="518.79999999999995"/>
    </cacheField>
    <cacheField name="Peso Total _x000a_(kg / m)" numFmtId="43">
      <sharedItems containsString="0" containsBlank="1" containsNumber="1" minValue="0" maxValue="3537.6000000000004"/>
    </cacheField>
    <cacheField name="R$ Unit." numFmtId="0">
      <sharedItems containsString="0" containsBlank="1" containsNumber="1" minValue="0" maxValue="3789.72"/>
    </cacheField>
    <cacheField name="R$ Total" numFmtId="0">
      <sharedItems containsString="0" containsBlank="1" containsNumber="1" minValue="0" maxValue="117120.36"/>
    </cacheField>
    <cacheField name="Pré-montagem" numFmtId="9">
      <sharedItems containsString="0" containsBlank="1" containsNumber="1" containsInteger="1" minValue="0" maxValue="0"/>
    </cacheField>
    <cacheField name="Montagem e Alinhamento" numFmtId="9">
      <sharedItems containsString="0" containsBlank="1" containsNumber="1" minValue="0.9" maxValue="0.9"/>
    </cacheField>
    <cacheField name="Teste hidrostático" numFmtId="9">
      <sharedItems containsString="0" containsBlank="1" containsNumber="1" minValue="0.1" maxValue="0.1"/>
    </cacheField>
    <cacheField name="Pré-montagem2" numFmtId="9">
      <sharedItems containsString="0" containsBlank="1" containsNumber="1" containsInteger="1" minValue="1" maxValue="1"/>
    </cacheField>
    <cacheField name="Montagem e Alinhamento2" numFmtId="9">
      <sharedItems containsString="0" containsBlank="1" containsNumber="1" containsInteger="1" minValue="1" maxValue="1"/>
    </cacheField>
    <cacheField name="Teste hidrostático2" numFmtId="9">
      <sharedItems containsString="0" containsBlank="1" containsNumber="1" containsInteger="1" minValue="1" maxValue="1" count="2">
        <m/>
        <n v="1"/>
      </sharedItems>
    </cacheField>
    <cacheField name="Qtd _x000a_Físico Acum." numFmtId="164">
      <sharedItems containsString="0" containsBlank="1" containsNumber="1" minValue="0" maxValue="42"/>
    </cacheField>
    <cacheField name="Qtd _x000a_Físico Acum. Anterior" numFmtId="164">
      <sharedItems containsString="0" containsBlank="1" containsNumber="1" containsInteger="1" minValue="0" maxValue="0"/>
    </cacheField>
    <cacheField name="Qtd _x000a_Físico Periodo" numFmtId="164">
      <sharedItems containsString="0" containsBlank="1" containsNumber="1" minValue="0" maxValue="42"/>
    </cacheField>
    <cacheField name="Qtd _x000a_Saldo" numFmtId="164">
      <sharedItems containsString="0" containsBlank="1" containsNumber="1" minValue="0" maxValue="3537.6000000000004"/>
    </cacheField>
    <cacheField name="." numFmtId="164">
      <sharedItems containsBlank="1"/>
    </cacheField>
    <cacheField name="Pré-montagem3" numFmtId="9">
      <sharedItems containsString="0" containsBlank="1" containsNumber="1" minValue="0" maxValue="0.4"/>
    </cacheField>
    <cacheField name="Montagem e Alinhamento3" numFmtId="9">
      <sharedItems containsString="0" containsBlank="1" containsNumber="1" minValue="0" maxValue="0.5"/>
    </cacheField>
    <cacheField name="Teste hidrostático3" numFmtId="9">
      <sharedItems containsString="0" containsBlank="1" containsNumber="1" minValue="0" maxValue="0.1"/>
    </cacheField>
    <cacheField name="Pré-montagem4" numFmtId="9">
      <sharedItems containsBlank="1" containsMixedTypes="1" containsNumber="1" containsInteger="1" minValue="1" maxValue="1"/>
    </cacheField>
    <cacheField name="Montagem e Alinhamento4" numFmtId="9">
      <sharedItems containsBlank="1" containsMixedTypes="1" containsNumber="1" containsInteger="1" minValue="1" maxValue="1"/>
    </cacheField>
    <cacheField name="Teste hidrostático4" numFmtId="9">
      <sharedItems containsBlank="1" containsMixedTypes="1" containsNumber="1" containsInteger="1" minValue="1" maxValue="1"/>
    </cacheField>
    <cacheField name="Qtd _x000a_Financeiro Acum." numFmtId="165">
      <sharedItems containsString="0" containsBlank="1" containsNumber="1" minValue="0" maxValue="117120.36"/>
    </cacheField>
    <cacheField name="Qtd _x000a_Financeiro Acum. Anterior" numFmtId="165">
      <sharedItems containsString="0" containsBlank="1" containsNumber="1" containsInteger="1" minValue="0" maxValue="0"/>
    </cacheField>
    <cacheField name="Qtd _x000a_Financeiro Periodo" numFmtId="165">
      <sharedItems containsString="0" containsBlank="1" containsNumber="1" minValue="0" maxValue="117120.36"/>
    </cacheField>
    <cacheField name="Qtd _x000a_Saldo2" numFmtId="165">
      <sharedItems containsString="0" containsBlank="1" containsNumber="1" minValue="0" maxValue="81762"/>
    </cacheField>
    <cacheField name=".2" numFmtId="164">
      <sharedItems containsBlank="1"/>
    </cacheField>
    <cacheField name="Relatório CQ" numFmtId="43">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25.364209259256" createdVersion="7" refreshedVersion="7" minRefreshableVersion="3" recordCount="257" xr:uid="{4CE3EF98-D3D8-43A5-8EBD-AED7C17EF87A}">
  <cacheSource type="worksheet">
    <worksheetSource ref="E4:T261" sheet="MAPA DE CALDEIRARIA"/>
  </cacheSource>
  <cacheFields count="16">
    <cacheField name="PROJETO" numFmtId="0">
      <sharedItems/>
    </cacheField>
    <cacheField name="REV" numFmtId="0">
      <sharedItems containsMixedTypes="1" containsNumber="1" containsInteger="1" minValue="0" maxValue="0"/>
    </cacheField>
    <cacheField name="ÁREA" numFmtId="0">
      <sharedItems containsBlank="1"/>
    </cacheField>
    <cacheField name="TAG" numFmtId="0">
      <sharedItems count="7">
        <s v="TQ-1880BB-03"/>
        <s v="TQ-1880BB-02"/>
        <s v="CX-1880BB-01"/>
        <s v="CX-1880BB-04"/>
        <s v="CX-1880BB-02"/>
        <s v="CX-1880BB-03"/>
        <s v="TQ-1880BB-01"/>
      </sharedItems>
    </cacheField>
    <cacheField name="DESCRIÇÃO 1" numFmtId="0">
      <sharedItems count="7">
        <s v="Tanque 03"/>
        <s v="Tanque 02"/>
        <s v="Caixa 01"/>
        <s v="Caixa 04"/>
        <s v="Caixa 02"/>
        <s v="Caixa 03"/>
        <s v="Tanque 01"/>
      </sharedItems>
    </cacheField>
    <cacheField name="DESCRIÇÃO 2" numFmtId="0">
      <sharedItems count="214">
        <s v="CH. 8 X 1500 X 5710"/>
        <s v="CH. 8 X 1500 X 1745"/>
        <s v="CH. 9.5 X 2480 X 6320"/>
        <s v="CH. 9.5 X 1920 X 5813"/>
        <s v="CH. 8 X 1431 X 1450"/>
        <s v="CH. 8 X 315 X 1431"/>
        <s v="CH. 8 X 315 X 1450"/>
        <s v="U 102 X 7,95 Kg/m X 1548"/>
        <s v="U 102 X 7,95 Kg/m X 1482"/>
        <s v="TB Ø24&quot; X STD X 300"/>
        <s v="FL Ø24&quot; SO 150LBS ANSI B 16.5"/>
        <s v="CH. 13 X 107 X 121"/>
        <s v="CH. 6 X 112 X 120"/>
        <s v="CH. 9.5 X 854 X 1273"/>
        <s v="TB Ø20&quot; X STD X 390"/>
        <s v="FL Ø20&quot; SO 150LBS ANSI B 16.5"/>
        <s v="CH. 9.5 X 750 X 910"/>
        <s v="TB Ø14&quot; X STD X 390"/>
        <s v="FL Ø14&quot; SO 150LBS ANSI B 16.5"/>
        <s v="U 102 X 7,95 Kg/m X 5820"/>
        <s v="U 102 X 7,95 Kg/m X 6060"/>
        <s v="TB Ø4&quot; X STD X 200"/>
        <s v="FL Ø4&quot; SO 150LBS ANSI B 16.5"/>
        <s v="TB Ø24&quot; X STD X 223"/>
        <s v="CH. 9.5 X Ø1255 X Ø1525"/>
        <s v="CH. 12.7 X Ø613 X Ø832"/>
        <s v="CH. 12.7 X Ø832"/>
        <s v="BR. Ø16 X 340"/>
        <s v="CH. 8 X 110 X 248"/>
        <s v="CH. 8 X 152 X 290"/>
        <s v="CH. 8 X 152 X 379"/>
        <s v="CHAPA 8 x 1317x2637mm"/>
        <s v="CHAPA 8 x 1698x5990mm"/>
        <s v="CHAPA 8 x 1698x1887mm"/>
        <s v="CHAPA 9,5 x 2400 x 2720mm"/>
        <s v="CHAPA 9,5 x 158 x 1272 mm"/>
        <s v="CANT. 63,5 x 9,5 x 4013 mm"/>
        <s v="CHAPA 8,0 x 305 x 387 mm"/>
        <s v="TUBO S/ COSTURA DN 4&quot; SCH 40 CONF. ASME B36.10 x 240"/>
        <s v="FLANGE SOBREPOSTO COM REFORÇO (SLIP ON) CONF. ANSI B16.5 - 150 LBS - FR COM RESSALTO-DN 4&quot;"/>
        <s v="CHAPA 8,0 x 120 x 139"/>
        <s v="TUBO S/ COSTURA DN 2&quot; SCH 40 CONF. ASME B36.10 x 240"/>
        <s v="FLANGE SOBREPOSTO COM REFORÇO (SLIP ON) CONF. ANSI B16.5 - 150 LBS - FR COM RESSALTO-DN 2&quot;"/>
        <s v="CHAPA 8,0 x 190 x 190"/>
        <s v="TUBO S/ COSTURA DN 3&quot; SCH 40 CONF. ASME B36.10 x 240"/>
        <s v="FLANGE SOBREPOSTO COM  REFORÇO (SLIP ON) CONF. ANSI B16.5 - 150 LBS - FR COM RESSALTO-DN 3&quot;"/>
        <s v="CHAPA 8,0 x 265 x 336"/>
        <s v="TUBO S/ COSTURA DN 4&quot; SCH 40 CONF. ASME B36.10 x 335"/>
        <s v="CHAPA 9,5 x 813"/>
        <s v="CHAPA 6,35 x 247 x 1896"/>
        <s v="BARRA REDONDA ∅9,5 x 320"/>
        <s v="CHAPA 9,5 x 100 x 102"/>
        <s v="CHAPA 6,35 x 100 x 100"/>
        <s v="CHAPA 12,7 x 63 x 67"/>
        <s v="TUBO S/ COSTURA DN 1.1/2&quot; SCH 40 CONF. ASME B36.10 x 202"/>
        <s v="CHAPA 12,7 x 120 x 132"/>
        <s v="CHAPA 8,0 x 1490 x 3795"/>
        <s v="CHAPA 8,0 x 1488 x 3795"/>
        <s v="TUBO S/ COSTURA DN 18&quot; SCH 40 CONF. ASME B36.10 x 348"/>
        <s v="FLANGE SOBREPOSTO COM REFORÇO (SLIP ON) CONF. ANSI B16.5 - 150 LBS - FR COM RESSALTO-DN 18&quot; CONF. ASME B36.10"/>
        <s v="TUBO S/ COSTURA DN 12&quot; SCH 40 CONF. ASME B36.10 x 358"/>
        <s v="FLANGE SOBREPOSTO COM REFORÇO (SLIP ON) CONF. ANSI B16.5 - 150 LBS - FR COM RESSALTO-DN 12&quot;"/>
        <s v="CANT. 63,5 x 8,0 x 3444 mm"/>
        <s v="CANT. 63,5 x 8,0 x 1089 mm"/>
        <s v="CHAPA 8,0 x 568 x 1015 mm"/>
        <s v="CHAPA 8,0 x 1072 x 1372 mm"/>
        <s v="CHAPA 8,0 x 568 x 1420 mm"/>
        <s v="CANT. 63,5 x 8,0 x 1456 mm"/>
        <s v="CHAPA 19,0 x 112 x 150 mm"/>
        <s v="CHAPA 9,5 x 114 x 120 mm"/>
        <s v="CHAPA 8 x 1050 x 1923 mm"/>
        <s v="REVESTIMENTO INTERNO ESP. 8 mm"/>
        <s v="DISCO DE CHAPA 9,5 x 1516"/>
        <s v="TUBO S/ COSTURA DN 24&quot; SCH 40 CONF. ASME B36.10 x 260 mm"/>
        <s v="FLANGE SOBREPOSTO COM REFORÇO (SLIP ON) CONF. ANSI B16.5 - 150 LBS - FR COM RESSALTO-DN 24&quot;"/>
        <s v="CHAPA 9,5 x 130 x 142"/>
        <s v="PERFIL W 150 x 18,0 kg/m x 2406"/>
        <s v="CHAPA 9,5 x 142 x 193"/>
        <s v="CANT. 76,2 x 6,35"/>
        <s v="CHAPA 9,5 x 1580"/>
        <s v="CHAPA 9,5 x 860"/>
        <s v="CHAPA 12,7 x 2250"/>
        <s v="CHAPA 9,5 x 400"/>
        <s v="CHAPA 12,7 x 157"/>
        <s v="CHAPA 12,7 x 220"/>
        <s v="FLANGE SOBREPOSTO COM REFORÇO (SLIP ON) CONF. ANSI B16.5 - 150 LBS - FR COM RESSALTO-DN 20&quot; "/>
        <s v="TUBO S/ COSTURA DN 20&quot; SCH 40 CONF. ASME B36.10 x 725"/>
        <s v="TUBO S/ COSTURA DN 20&quot; SCH 40 CONF. ASME B36.10 x 533"/>
        <s v="TUBO S/ COSTURA DN 20&quot; SCH 40 CONF. ASME B36.10 x 225"/>
        <s v="TUBO S/ COSTURA DN 20&quot; SCH 40 CONF. ASME B36.10 x 243"/>
        <s v="CHAPA 9,5 x 76"/>
        <s v="CHAPA 12,7 x 1480"/>
        <s v="REVESTIMENTO INTERNO ESP. 12 mm"/>
        <s v="CANT. 25,4 x 3,17 x 1206"/>
        <s v="CANT. 25,4 x 3,17 x 1083"/>
        <s v="BARRA REDONDA ∅15,7 x 300"/>
        <s v="TELA MALHA 50x50 FIO 4 (6,3 mm) x 1067 x 1190"/>
        <s v="BARRA REDONDA"/>
        <s v="CANT. 25,4 x 3,17 x 1071"/>
        <s v="CANT. 25,4 x 3,17 x 1088"/>
        <s v="TELA MALHA 50x50 FIO 4 (6,3 mm) x 1072 x 1055"/>
        <s v="CANT. 50,8 x 6,35 x 2272"/>
        <s v="CHAPA 8,0 x 1480 x 4423"/>
        <s v="CHAPA 9,5 x 1716 x 1716"/>
        <s v="CHAPA 9,5 x 112 x 114"/>
        <s v="CHAPA 19,0 x 120 x 150"/>
        <s v="FLANGE COM PESCOÇO CONF. ANSI B16.5 - 150 LBS - FR-DN 18&quot;"/>
        <s v="CHAPA 8,0 x 950 x 952"/>
        <s v="REVESTIMENTO EM BORRACHA NATURAL - ESPESSURA 8 mm"/>
        <s v="CHAPA 6,3 x 1516 x 1516"/>
        <s v="TUBO S/ COSTURA DN 6&quot; SCH 40 CONF. ASME B36.10 x 221"/>
        <s v="PARAF. CAB. SEXT. 5/8&quot; UNC 1.1/4&quot;"/>
        <s v="PORCA SEXT. Ø5/8&quot; UNC"/>
        <s v="ARRUELA LISA ∅5/8&quot;"/>
        <s v="REVESTIMENTO INTERNO COSTADO E BOCAIS ESP. 8mm (410m2)"/>
        <s v="REVESTIMENTO INTERNO FUNDO 12mm (177m2)"/>
        <s v="PARAF. CAB. SEX. ∅1&quot; X 4.1/2&quot; A-325"/>
        <s v="PORCA SEX. ∅1&quot; A-194 2H"/>
        <s v="ARRUELA LISA ∅1&quot; F-436"/>
        <s v="PARAF. CAB. SEX. ∅5/8&quot; X 1.3/4&quot; A-325"/>
        <s v="PORCA SEX. ∅5/8&quot; A-194 2H"/>
        <s v="ARRUELA LISA ∅5/8&quot; F-436"/>
        <s v="PARAF. CAB. SEX. ∅1.1/2&quot; X 4&quot; A-325"/>
        <s v="PORCA SEX. ∅1.1/2&quot; A-194 2H"/>
        <s v="ARRUELA LISA ∅1.1/2&quot; F-436"/>
        <s v="PARAF. CAB. SEX. ∅1&quot; X 3.1/2&quot; A-325"/>
        <s v="PARAF. CAB. SEX. ∅5/8&quot; X 2&quot; A-325"/>
        <s v="CH16 X 2500 x 6000"/>
        <s v="CH16 X 2500 x 2899"/>
        <s v="CH16 X 2242 x 2500"/>
        <s v="CH16 X 2242 x 2500 x 5174"/>
        <s v="CH16 X 1400 x 6000"/>
        <s v="CH16 X 1400 x 6000 x 5174"/>
        <s v="CH13 X 2400 x 6000"/>
        <s v="CH13 X 2400 x 5165"/>
        <s v="CH10 X 2190 x 6000"/>
        <s v="CH13 X 2190 x 6000"/>
        <s v="CH13 X 2190 x 2190"/>
        <s v="CH16 X 2500 x 4665"/>
        <s v="CH16 X 1562 x 2500"/>
        <s v="CH16 X 1415 x 8875"/>
        <s v="TB ∅8 SCH-40 x 326"/>
        <s v="TB ∅8 SCH-40 x 76"/>
        <s v="CURVA 90° RC SCH-40 16.9"/>
        <s v="FL ∅8&quot; SO.FR.150lbs 16.5"/>
        <s v="CH16 X 1100 x 8875"/>
        <s v="CH38 X 1074 x 6200"/>
        <s v="L 127 X 8 x 5600"/>
        <s v="L 127 X 8 x 3857"/>
        <s v="TB ∅20&quot; SCH-40 x 2505"/>
        <s v="FL ∅20&quot; SO.FR.150lbs 16.5 x 2505"/>
        <s v="FL ∅20&quot; SO.FR.150lbs 16.5"/>
        <s v="TB ∅20&quot; SCH-40 x 2588"/>
        <s v="TB ∅14&quot; SCH-40 x 292"/>
        <s v="FL ∅14&quot; SO.FR.150lbs 16.5"/>
        <s v="CH16 X 762 x 937"/>
        <s v="TB ∅14&quot; SCH-40 x 292 x 1490"/>
        <s v="FL ∅14&quot; SO.FR.150lbs 16.5 x 533"/>
        <s v="CH10 X 799 x 1000"/>
        <s v="CH10 X 799 x 1600"/>
        <s v="CH10 X 1000 x 1600"/>
        <s v="TB ∅18&quot; SCH-40 x 290"/>
        <s v="FL ∅18&quot; SO.FR.150lbs 16.5"/>
        <s v="L 127 X 8 x 1270"/>
        <s v="L 127 X 8 x 944"/>
        <s v="FL ∅12&quot; SO.FR.150lbs 16.5"/>
        <s v="TB ∅12&quot; SCH-40 x 219"/>
        <s v="CH16 X 694 x 854"/>
        <s v="TB ∅2&quot; SCH-40 x 350"/>
        <s v="TB ∅4&quot; SCH-40 x 150"/>
        <s v="FL ∅4&quot; SO.FR.150lbs 16.5"/>
        <s v="CH10 X 250 x 307"/>
        <s v="TB ∅2&quot; SCH-40 x 140"/>
        <s v="FL ∅2&quot; SO.FR.150lbs 16.5"/>
        <s v="CH13 X 1400 x 3090"/>
        <s v="CH 19 X 645 x 1433"/>
        <s v="CH 13 X 92 x 1094"/>
        <s v="CH 13 X 92 x 306"/>
        <s v="CH 13 X 71 x 1261"/>
        <s v="CH 13 X 81 x 331"/>
        <s v="CH 13 X 61 x 331"/>
        <s v="CH 13 X 91 x 325"/>
        <s v="CH 13 X 71 x 325"/>
        <s v="CH 13 X 779 x 1093"/>
        <s v="CH 13 X 294 x 306"/>
        <s v="CH 13 X 306 x 414"/>
        <s v="TB ∅4&quot; SCH -40 x 84"/>
        <s v="TB ∅1/2&quot; SCH -40 x 107"/>
        <s v="CH 10 X 890 x 8200"/>
        <s v="CH 13 X 327 x 1295"/>
        <s v="CH 10 X 386 x 856"/>
        <s v="JUNTA DE BORRACHA 3mm x 473 X 1261"/>
        <s v="CH 10 X 186 x 2842"/>
        <s v="CH 16 X 1990 x 2384"/>
        <s v="CH 25 X 1168 x 1168"/>
        <s v="BR ∅16 x 350"/>
        <s v="CH 25 X 3490 x 5300"/>
        <s v="CH 25 X 2212 x 2770"/>
        <s v="CH 19 X 349 x 565"/>
        <s v="CH 19 X 330 x 565"/>
        <s v="CH 19 X 293 x 565"/>
        <s v="CH 19 X 254 x 565"/>
        <s v="CH 19 X 212 x 565"/>
        <s v="CH 19 X 182 x 535"/>
        <s v="CH 16 X 292 x 6308"/>
        <s v="CH 25 X 2252 x 2773"/>
        <s v="CH 19 X 127 x 1850"/>
        <s v="CH 19 X 127 x 1807"/>
        <s v="CH 19 X 127 x 1769"/>
        <s v="CH 19 X 127 x 350"/>
        <s v="CH 19 X 127 x 480"/>
        <s v="CH 19 X 127 x 1180"/>
        <s v="CH 19 X 127 x 265"/>
        <s v="CH 19 X 150 x 160"/>
      </sharedItems>
    </cacheField>
    <cacheField name="Qtd Total" numFmtId="0">
      <sharedItems containsSemiMixedTypes="0" containsString="0" containsNumber="1" containsInteger="1" minValue="1" maxValue="400"/>
    </cacheField>
    <cacheField name="Peso Unit / Comprimento" numFmtId="43">
      <sharedItems containsString="0" containsBlank="1" containsNumber="1" minValue="0.02" maxValue="2820"/>
    </cacheField>
    <cacheField name="Peso Total _x000a_(kg / m)" numFmtId="43">
      <sharedItems containsSemiMixedTypes="0" containsString="0" containsNumber="1" minValue="0" maxValue="13076"/>
    </cacheField>
    <cacheField name="R$ Unit." numFmtId="0">
      <sharedItems containsNonDate="0" containsString="0" containsBlank="1"/>
    </cacheField>
    <cacheField name="R$ Total" numFmtId="0">
      <sharedItems containsNonDate="0" containsString="0" containsBlank="1"/>
    </cacheField>
    <cacheField name="Pré-montagem" numFmtId="9">
      <sharedItems containsString="0" containsBlank="1" containsNumber="1" containsInteger="1" minValue="1" maxValue="1"/>
    </cacheField>
    <cacheField name="Montagem e Alinhamento" numFmtId="9">
      <sharedItems containsString="0" containsBlank="1" containsNumber="1" containsInteger="1" minValue="1" maxValue="1"/>
    </cacheField>
    <cacheField name="Teste hidrostático" numFmtId="9">
      <sharedItems containsNonDate="0" containsString="0" containsBlank="1"/>
    </cacheField>
    <cacheField name="Total Geral %" numFmtId="10">
      <sharedItems containsSemiMixedTypes="0" containsString="0" containsNumber="1" minValue="0" maxValue="0.12242482800978199"/>
    </cacheField>
    <cacheField name="Total Geral Avançado %" numFmtId="10">
      <sharedItems containsSemiMixedTypes="0" containsString="0" containsNumber="1" minValue="0" maxValue="0.122424828009781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m/>
    <m/>
    <x v="0"/>
    <m/>
    <m/>
    <x v="0"/>
    <m/>
    <m/>
    <m/>
    <m/>
    <m/>
    <m/>
    <m/>
    <m/>
    <m/>
    <m/>
    <m/>
  </r>
  <r>
    <x v="1"/>
    <n v="500"/>
    <s v="PN 10"/>
    <x v="1"/>
    <n v="6"/>
    <s v="TRECHO 05"/>
    <x v="1"/>
    <d v="2021-02-15T00:00:00"/>
    <s v="NÃO"/>
    <m/>
    <s v="SIM"/>
    <d v="2021-02-15T00:00:00"/>
    <n v="1"/>
    <m/>
    <m/>
    <n v="6"/>
    <n v="43.718000000000004"/>
    <n v="262.30799999999999"/>
  </r>
  <r>
    <x v="1"/>
    <n v="500"/>
    <s v="PN 10"/>
    <x v="1"/>
    <n v="6"/>
    <s v="TRECHO 05"/>
    <x v="1"/>
    <d v="2021-02-15T00:00:00"/>
    <s v="NÃO"/>
    <m/>
    <s v="SIM"/>
    <d v="2021-02-15T00:00:00"/>
    <n v="2"/>
    <m/>
    <m/>
    <n v="6"/>
    <n v="43.718000000000004"/>
    <n v="262.30799999999999"/>
  </r>
  <r>
    <x v="1"/>
    <n v="500"/>
    <s v="PN 10"/>
    <x v="1"/>
    <n v="6"/>
    <s v="TRECHO 05"/>
    <x v="1"/>
    <d v="2021-02-15T00:00:00"/>
    <s v="NÃO"/>
    <m/>
    <s v="SIM"/>
    <d v="2021-02-15T00:00:00"/>
    <n v="3"/>
    <m/>
    <m/>
    <n v="6"/>
    <n v="43.718000000000004"/>
    <n v="262.30799999999999"/>
  </r>
  <r>
    <x v="1"/>
    <n v="500"/>
    <s v="PN 10"/>
    <x v="1"/>
    <n v="6"/>
    <s v="TRECHO 05"/>
    <x v="2"/>
    <d v="2021-02-16T00:00:00"/>
    <s v="NÃO"/>
    <m/>
    <s v="NÃO"/>
    <d v="2021-02-16T00:00:00"/>
    <n v="4"/>
    <m/>
    <m/>
    <n v="6"/>
    <n v="43.718000000000004"/>
    <n v="262.30799999999999"/>
  </r>
  <r>
    <x v="1"/>
    <n v="500"/>
    <s v="PN 10"/>
    <x v="1"/>
    <n v="6"/>
    <s v="TRECHO 05"/>
    <x v="2"/>
    <d v="2021-02-16T00:00:00"/>
    <s v="NÃO"/>
    <m/>
    <s v="NÃO"/>
    <d v="2021-02-16T00:00:00"/>
    <n v="5"/>
    <m/>
    <m/>
    <n v="6"/>
    <n v="43.718000000000004"/>
    <n v="262.30799999999999"/>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0">
  <r>
    <m/>
    <m/>
    <m/>
    <m/>
    <m/>
    <m/>
    <m/>
    <m/>
    <m/>
    <m/>
    <m/>
    <m/>
    <m/>
    <m/>
    <m/>
    <m/>
    <m/>
    <m/>
    <m/>
    <m/>
    <m/>
    <m/>
    <m/>
    <m/>
    <m/>
    <m/>
    <m/>
    <m/>
    <m/>
    <m/>
    <m/>
    <m/>
    <m/>
    <m/>
    <m/>
    <m/>
    <m/>
    <m/>
    <m/>
    <m/>
    <m/>
    <m/>
    <m/>
    <m/>
    <m/>
  </r>
  <r>
    <n v="0"/>
    <s v="CMS S.60.10.000"/>
    <s v="SUPORTE"/>
    <m/>
    <m/>
    <m/>
    <m/>
    <m/>
    <m/>
    <m/>
    <m/>
    <s v="LINHA DO CIRCUITO ARENOSO LINHA DE ALIMENTAÇÃO DOS DISTRIBUIDORES DI-145A-9912/9913/9914/9915/9916"/>
    <s v="SC-006"/>
    <s v="SP 8440 A"/>
    <s v="1450AA-L-70109"/>
    <s v="1450AA-S-58040"/>
    <n v="1"/>
    <s v="PÇ"/>
    <n v="76.3"/>
    <n v="76.3"/>
    <n v="0"/>
    <n v="0"/>
    <n v="0"/>
    <n v="0.9"/>
    <n v="0.1"/>
    <m/>
    <m/>
    <m/>
    <n v="0"/>
    <m/>
    <n v="0"/>
    <n v="76.3"/>
    <m/>
    <n v="0"/>
    <n v="0"/>
    <n v="0"/>
    <m/>
    <m/>
    <m/>
    <n v="0"/>
    <n v="0"/>
    <n v="0"/>
    <n v="0"/>
    <m/>
    <m/>
  </r>
  <r>
    <n v="0"/>
    <s v="CMS S.60.10.000"/>
    <s v="SUPORTE"/>
    <m/>
    <m/>
    <m/>
    <m/>
    <m/>
    <m/>
    <m/>
    <m/>
    <s v="LINHA DO CIRCUITO ARENOSO LINHA DE ALIMENTAÇÃO DOS DISTRIBUIDORES DI-145A-9912/9913/9914/9915/9916"/>
    <s v="SC-006"/>
    <s v="SP 8440 B"/>
    <s v="1450AA-L-70109"/>
    <s v="1450AA-S-58040"/>
    <n v="1"/>
    <s v="PÇ"/>
    <n v="86.2"/>
    <n v="86.2"/>
    <n v="0"/>
    <n v="0"/>
    <n v="0"/>
    <n v="0.9"/>
    <n v="0.1"/>
    <m/>
    <m/>
    <m/>
    <n v="0"/>
    <m/>
    <n v="0"/>
    <n v="86.2"/>
    <m/>
    <n v="0"/>
    <n v="0"/>
    <n v="0"/>
    <m/>
    <m/>
    <m/>
    <n v="0"/>
    <n v="0"/>
    <n v="0"/>
    <n v="0"/>
    <m/>
    <m/>
  </r>
  <r>
    <n v="0"/>
    <s v="CMS S.60.10.000"/>
    <s v="SUPORTE"/>
    <m/>
    <m/>
    <m/>
    <m/>
    <m/>
    <m/>
    <m/>
    <m/>
    <s v="LINHA DO CIRCUITO ARENOSO LINHA DE ALIMENTAÇÃO DOS DISTRIBUIDORES DI-145A-9912/9913/9914/9915/9916"/>
    <s v="SC-006"/>
    <s v="SP 8440 C"/>
    <s v="1450AA-L-70109"/>
    <s v="1450AA-S-58040"/>
    <n v="1"/>
    <s v="PÇ"/>
    <n v="88.2"/>
    <n v="88.2"/>
    <n v="0"/>
    <n v="0"/>
    <n v="0"/>
    <n v="0.9"/>
    <n v="0.1"/>
    <m/>
    <m/>
    <m/>
    <n v="0"/>
    <m/>
    <n v="0"/>
    <n v="88.2"/>
    <m/>
    <n v="0"/>
    <n v="0"/>
    <n v="0"/>
    <m/>
    <m/>
    <m/>
    <n v="0"/>
    <n v="0"/>
    <n v="0"/>
    <n v="0"/>
    <m/>
    <m/>
  </r>
  <r>
    <n v="0"/>
    <s v="CMS S.60.10.000"/>
    <s v="SUPORTE"/>
    <m/>
    <m/>
    <m/>
    <m/>
    <m/>
    <m/>
    <m/>
    <m/>
    <s v="LINHA DO CIRCUITO ARENOSO LINHA DE ALIMENTAÇÃO DOS DISTRIBUIDORES DI-145A-9912/9913/9914/9915/9916"/>
    <s v="SC-006"/>
    <s v="SP 8440 D"/>
    <s v="1450AA-L-70109"/>
    <s v="1450AA-S-58040"/>
    <n v="1"/>
    <s v="PÇ"/>
    <n v="88.2"/>
    <n v="88.2"/>
    <n v="0"/>
    <n v="0"/>
    <n v="0"/>
    <n v="0.9"/>
    <n v="0.1"/>
    <m/>
    <m/>
    <m/>
    <n v="0"/>
    <m/>
    <n v="0"/>
    <n v="88.2"/>
    <m/>
    <n v="0"/>
    <n v="0"/>
    <n v="0"/>
    <m/>
    <m/>
    <m/>
    <n v="0"/>
    <n v="0"/>
    <n v="0"/>
    <n v="0"/>
    <m/>
    <m/>
  </r>
  <r>
    <n v="0"/>
    <s v="CMS S.60.10.000"/>
    <s v="SUPORTE"/>
    <m/>
    <m/>
    <m/>
    <m/>
    <m/>
    <m/>
    <m/>
    <m/>
    <s v="LINHA DO CIRCUITO ARENOSO LINHA DE ALIMENTAÇÃO DOS DISTRIBUIDORES DI-145A-9912/9913/9914/9915/9916"/>
    <s v="SC-006"/>
    <s v="SP 8440 E"/>
    <s v="1450AA-L-70109"/>
    <s v="1450AA-S-58040"/>
    <n v="1"/>
    <s v="PÇ"/>
    <n v="122.1"/>
    <n v="122.1"/>
    <n v="0"/>
    <n v="0"/>
    <n v="0"/>
    <n v="0.9"/>
    <n v="0.1"/>
    <m/>
    <m/>
    <m/>
    <n v="0"/>
    <m/>
    <n v="0"/>
    <n v="122.1"/>
    <m/>
    <n v="0"/>
    <n v="0"/>
    <n v="0"/>
    <m/>
    <m/>
    <m/>
    <n v="0"/>
    <n v="0"/>
    <n v="0"/>
    <n v="0"/>
    <m/>
    <m/>
  </r>
  <r>
    <n v="0"/>
    <s v="CMS S.60.10.000"/>
    <s v="SUPORTE"/>
    <m/>
    <m/>
    <m/>
    <m/>
    <m/>
    <m/>
    <m/>
    <m/>
    <s v="LINHA DO CIRCUITO ARENOSO LINHA DE ALIMENTAÇÃO DOS DISTRIBUIDORES DI-145A-9912/9913/9914/9915/9916"/>
    <s v="SC-006"/>
    <s v="SP 8440 F"/>
    <s v="1450AA-L-70109"/>
    <s v="1450AA-S-58040"/>
    <n v="5"/>
    <s v="PÇ"/>
    <n v="79.400000000000006"/>
    <n v="397"/>
    <n v="0"/>
    <n v="0"/>
    <n v="0"/>
    <n v="0.9"/>
    <n v="0.1"/>
    <m/>
    <m/>
    <m/>
    <n v="0"/>
    <m/>
    <n v="0"/>
    <n v="397"/>
    <m/>
    <n v="0"/>
    <n v="0"/>
    <n v="0"/>
    <m/>
    <m/>
    <m/>
    <n v="0"/>
    <n v="0"/>
    <n v="0"/>
    <n v="0"/>
    <m/>
    <m/>
  </r>
  <r>
    <n v="0"/>
    <s v="CMS S.60.10.000"/>
    <s v="SUPORTE"/>
    <m/>
    <m/>
    <m/>
    <m/>
    <m/>
    <m/>
    <m/>
    <m/>
    <s v="LINHA DO CIRCUITO ARENOSO LINHA DE ALIMENTAÇÃO DOS DISTRIBUIDORES DI-145A-9912/9913/9914/9915/9916"/>
    <s v="SC-006"/>
    <s v="SP 8440 G"/>
    <s v="1450AA-L-70109"/>
    <s v="1450AA-S-58040"/>
    <n v="4"/>
    <s v="PÇ"/>
    <n v="82.7"/>
    <n v="330.8"/>
    <n v="0"/>
    <n v="0"/>
    <n v="0"/>
    <n v="0.9"/>
    <n v="0.1"/>
    <m/>
    <m/>
    <m/>
    <n v="0"/>
    <m/>
    <n v="0"/>
    <n v="330.8"/>
    <m/>
    <n v="0"/>
    <n v="0"/>
    <n v="0"/>
    <m/>
    <m/>
    <m/>
    <n v="0"/>
    <n v="0"/>
    <n v="0"/>
    <n v="0"/>
    <m/>
    <m/>
  </r>
  <r>
    <n v="0"/>
    <s v="CMS S.60.10.000"/>
    <s v="SUPORTE"/>
    <m/>
    <m/>
    <m/>
    <m/>
    <m/>
    <m/>
    <m/>
    <m/>
    <s v="LINHA DO CIRCUITO ARENOSO LINHA DE ALIMENTAÇÃO DOS DISTRIBUIDORES DI-145A-9912/9913/9914/9915/9916"/>
    <s v="SC-006"/>
    <s v="SP 8440 H"/>
    <s v="1450AA-L-70109"/>
    <s v="1450AA-S-58040"/>
    <n v="2"/>
    <s v="PÇ"/>
    <n v="61.9"/>
    <n v="123.8"/>
    <n v="0"/>
    <n v="0"/>
    <n v="0"/>
    <n v="0.9"/>
    <n v="0.1"/>
    <m/>
    <m/>
    <m/>
    <n v="0"/>
    <m/>
    <n v="0"/>
    <n v="123.8"/>
    <m/>
    <n v="0"/>
    <n v="0"/>
    <n v="0"/>
    <m/>
    <m/>
    <m/>
    <n v="0"/>
    <n v="0"/>
    <n v="0"/>
    <n v="0"/>
    <m/>
    <m/>
  </r>
  <r>
    <n v="0"/>
    <s v="CMS S.60.10.000"/>
    <s v="SUPORTE"/>
    <m/>
    <m/>
    <m/>
    <m/>
    <m/>
    <m/>
    <m/>
    <m/>
    <s v="LINHA DO CIRCUITO ARENOSO LINHA DE ALIMENTAÇÃO DOS DISTRIBUIDORES DI-145A-9912/9913/9914/9915/9916"/>
    <s v="SC-006"/>
    <s v="SP 8440 K"/>
    <s v="1450AA-L-70109"/>
    <s v="1450AA-S-58040"/>
    <n v="1"/>
    <s v="PÇ"/>
    <n v="96"/>
    <n v="96"/>
    <n v="0"/>
    <n v="0"/>
    <n v="0"/>
    <n v="0.9"/>
    <n v="0.1"/>
    <m/>
    <m/>
    <m/>
    <n v="0"/>
    <m/>
    <n v="0"/>
    <n v="96"/>
    <m/>
    <n v="0"/>
    <n v="0"/>
    <n v="0"/>
    <m/>
    <m/>
    <m/>
    <n v="0"/>
    <n v="0"/>
    <n v="0"/>
    <n v="0"/>
    <m/>
    <m/>
  </r>
  <r>
    <n v="0"/>
    <s v="CMS S.60.10.000"/>
    <s v="SUPORTE"/>
    <m/>
    <m/>
    <m/>
    <m/>
    <m/>
    <m/>
    <m/>
    <m/>
    <s v="LINHA DO CIRCUITO ARENOSO LINHA DE ALIMENTAÇÃO DO DISTRIBUIDOR DI-145A-9911"/>
    <s v="SC-006"/>
    <s v="SP 8036 A"/>
    <s v="1450AA-L-70107"/>
    <s v="1450AA-S-58036"/>
    <n v="1"/>
    <s v="PÇ"/>
    <n v="47.5"/>
    <n v="47.5"/>
    <n v="0"/>
    <n v="0"/>
    <n v="0"/>
    <n v="0.9"/>
    <n v="0.1"/>
    <m/>
    <m/>
    <m/>
    <n v="0"/>
    <m/>
    <n v="0"/>
    <n v="47.5"/>
    <m/>
    <n v="0"/>
    <n v="0"/>
    <n v="0"/>
    <m/>
    <m/>
    <m/>
    <n v="0"/>
    <n v="0"/>
    <n v="0"/>
    <n v="0"/>
    <m/>
    <m/>
  </r>
  <r>
    <n v="0"/>
    <s v="CMS S.60.10.000"/>
    <s v="SUPORTE"/>
    <m/>
    <m/>
    <m/>
    <m/>
    <m/>
    <m/>
    <m/>
    <m/>
    <s v="LINHA DO CIRCUITO ARENOSO LINHA DE ALIMENTAÇÃO DO DISTRIBUIDOR DI-145A-9911"/>
    <s v="SC-006"/>
    <s v="SP 8036 B"/>
    <s v="1450AA-L-70107"/>
    <s v="1450AA-S-58036"/>
    <n v="1"/>
    <s v="PÇ"/>
    <n v="46.3"/>
    <n v="46.3"/>
    <n v="0"/>
    <n v="0"/>
    <n v="0"/>
    <n v="0.9"/>
    <n v="0.1"/>
    <m/>
    <m/>
    <m/>
    <n v="0"/>
    <m/>
    <n v="0"/>
    <n v="46.3"/>
    <m/>
    <n v="0"/>
    <n v="0"/>
    <n v="0"/>
    <m/>
    <m/>
    <m/>
    <n v="0"/>
    <n v="0"/>
    <n v="0"/>
    <n v="0"/>
    <m/>
    <m/>
  </r>
  <r>
    <n v="0"/>
    <s v="CMS S.60.10.000"/>
    <s v="SUPORTE"/>
    <m/>
    <m/>
    <m/>
    <m/>
    <m/>
    <m/>
    <m/>
    <m/>
    <s v="LINHA DO CIRCUITO ARENOSO LINHA DE ALIMENTAÇÃO DO DISTRIBUIDOR DI-145A-9911"/>
    <s v="SC-006"/>
    <s v="SP 8036 C"/>
    <s v="1450AA-L-70107"/>
    <s v="1450AA-S-58036"/>
    <n v="2"/>
    <s v="PÇ"/>
    <n v="27.6"/>
    <n v="55.2"/>
    <n v="0"/>
    <n v="0"/>
    <n v="0"/>
    <n v="0.9"/>
    <n v="0.1"/>
    <m/>
    <m/>
    <m/>
    <n v="0"/>
    <m/>
    <n v="0"/>
    <n v="55.2"/>
    <m/>
    <n v="0"/>
    <n v="0"/>
    <n v="0"/>
    <m/>
    <m/>
    <m/>
    <n v="0"/>
    <n v="0"/>
    <n v="0"/>
    <n v="0"/>
    <m/>
    <m/>
  </r>
  <r>
    <n v="0"/>
    <s v="CMS S.60.10.000"/>
    <s v="SUPORTE"/>
    <m/>
    <m/>
    <m/>
    <m/>
    <m/>
    <m/>
    <m/>
    <m/>
    <s v="LINHA DO CIRCUITO ARENOSO LINHA DE ALIMENTAÇÃO DO DISTRIBUIDOR DI-145A-9911"/>
    <s v="SC-006"/>
    <s v="SP 8037 A"/>
    <s v="1450AA-L-70107"/>
    <s v="1450AA-S-58037"/>
    <n v="2"/>
    <s v="PÇ"/>
    <n v="69.2"/>
    <n v="138.4"/>
    <n v="0"/>
    <n v="0"/>
    <n v="0"/>
    <n v="0.9"/>
    <n v="0.1"/>
    <m/>
    <m/>
    <m/>
    <n v="0"/>
    <m/>
    <n v="0"/>
    <n v="138.4"/>
    <m/>
    <n v="0"/>
    <n v="0"/>
    <n v="0"/>
    <m/>
    <m/>
    <m/>
    <n v="0"/>
    <n v="0"/>
    <n v="0"/>
    <n v="0"/>
    <m/>
    <m/>
  </r>
  <r>
    <n v="0"/>
    <s v="CMS S.60.10.000"/>
    <s v="SUPORTE"/>
    <m/>
    <m/>
    <m/>
    <m/>
    <m/>
    <m/>
    <m/>
    <m/>
    <s v="LINHA DO CIRCUITO ARENOSO LINHA DE ALIMENTAÇÃO DO DISTRIBUIDOR DI-145A-9911"/>
    <s v="SC-006"/>
    <s v="SP 8037 B"/>
    <s v="1450AA-L-70107"/>
    <s v="1450AA-S-58037"/>
    <n v="1"/>
    <s v="PÇ"/>
    <n v="14"/>
    <n v="14"/>
    <n v="0"/>
    <n v="0"/>
    <n v="0"/>
    <n v="0.9"/>
    <n v="0.1"/>
    <m/>
    <m/>
    <m/>
    <n v="0"/>
    <m/>
    <n v="0"/>
    <n v="14"/>
    <m/>
    <n v="0"/>
    <n v="0"/>
    <n v="0"/>
    <m/>
    <m/>
    <m/>
    <n v="0"/>
    <n v="0"/>
    <n v="0"/>
    <n v="0"/>
    <m/>
    <m/>
  </r>
  <r>
    <n v="0"/>
    <s v="CMS S.60.10.000"/>
    <s v="SUPORTE"/>
    <m/>
    <m/>
    <m/>
    <m/>
    <m/>
    <m/>
    <m/>
    <m/>
    <s v="LINHA DO CIRCUITO ARENOSO LINHA DE ALIMENTAÇÃO DO DISTRIBUIDOR DI-145A-9911"/>
    <s v="SC-006"/>
    <s v="SP 8037 C"/>
    <s v="1450AA-L-70107"/>
    <s v="1450AA-S-58037"/>
    <n v="1"/>
    <s v="PÇ"/>
    <n v="349.4"/>
    <n v="349.4"/>
    <n v="0"/>
    <n v="0"/>
    <n v="0"/>
    <n v="0.9"/>
    <n v="0.1"/>
    <m/>
    <m/>
    <m/>
    <n v="0"/>
    <m/>
    <n v="0"/>
    <n v="349.4"/>
    <m/>
    <n v="0"/>
    <n v="0"/>
    <n v="0"/>
    <m/>
    <m/>
    <m/>
    <n v="0"/>
    <n v="0"/>
    <n v="0"/>
    <n v="0"/>
    <m/>
    <m/>
  </r>
  <r>
    <n v="0"/>
    <s v="CMS S.60.10.000"/>
    <s v="SUPORTE"/>
    <m/>
    <m/>
    <m/>
    <m/>
    <m/>
    <m/>
    <m/>
    <m/>
    <s v="LINHA DO CIRCUITO ARENOSO LINHA DE ALIMENTAÇÃO DO DISTRIBUIDOR DI-145A-9911"/>
    <s v="SC-006"/>
    <s v="SP 8038 A "/>
    <s v="1450AA-L-70107"/>
    <s v="1450AA-S-58038"/>
    <n v="1"/>
    <s v="PÇ"/>
    <n v="71.599999999999994"/>
    <n v="71.599999999999994"/>
    <n v="0"/>
    <n v="0"/>
    <n v="0"/>
    <n v="0.9"/>
    <n v="0.1"/>
    <m/>
    <m/>
    <m/>
    <n v="0"/>
    <m/>
    <n v="0"/>
    <n v="71.599999999999994"/>
    <m/>
    <n v="0"/>
    <n v="0"/>
    <n v="0"/>
    <m/>
    <m/>
    <m/>
    <n v="0"/>
    <n v="0"/>
    <n v="0"/>
    <n v="0"/>
    <m/>
    <m/>
  </r>
  <r>
    <n v="0"/>
    <s v="CMS S.60.10.000"/>
    <s v="SUPORTE"/>
    <m/>
    <m/>
    <m/>
    <m/>
    <m/>
    <m/>
    <m/>
    <m/>
    <s v="LINHA DO CIRCUITO ARENOSO LINHA DE ALIMENTAÇÃO DO DISTRIBUIDOR DI-145A-9911"/>
    <s v="SC-006"/>
    <s v="SP 8038 B"/>
    <s v="1450AA-L-70107"/>
    <s v="1450AA-S-58038"/>
    <n v="1"/>
    <s v="PÇ"/>
    <n v="35.799999999999997"/>
    <n v="35.799999999999997"/>
    <n v="0"/>
    <n v="0"/>
    <n v="0"/>
    <n v="0.9"/>
    <n v="0.1"/>
    <m/>
    <m/>
    <m/>
    <n v="0"/>
    <m/>
    <n v="0"/>
    <n v="35.799999999999997"/>
    <m/>
    <n v="0"/>
    <n v="0"/>
    <n v="0"/>
    <m/>
    <m/>
    <m/>
    <n v="0"/>
    <n v="0"/>
    <n v="0"/>
    <n v="0"/>
    <m/>
    <m/>
  </r>
  <r>
    <n v="0"/>
    <s v="CMS S.60.10.000"/>
    <s v="SUPORTE"/>
    <m/>
    <m/>
    <m/>
    <m/>
    <m/>
    <m/>
    <m/>
    <m/>
    <s v="LINHA DO CIRCUITO ARENOSO LINHA DE ALIMENTAÇÃO DO DISTRIBUIDOR DI-145A-9911"/>
    <s v="SC-006"/>
    <s v="SP 8038 C"/>
    <s v="1450AA-L-70107"/>
    <s v="1450AA-S-58038"/>
    <n v="1"/>
    <s v="PÇ"/>
    <n v="35.700000000000003"/>
    <n v="35.700000000000003"/>
    <n v="0"/>
    <n v="0"/>
    <n v="0"/>
    <n v="0.9"/>
    <n v="0.1"/>
    <m/>
    <m/>
    <m/>
    <n v="0"/>
    <m/>
    <n v="0"/>
    <n v="35.700000000000003"/>
    <m/>
    <n v="0"/>
    <n v="0"/>
    <n v="0"/>
    <m/>
    <m/>
    <m/>
    <n v="0"/>
    <n v="0"/>
    <n v="0"/>
    <n v="0"/>
    <m/>
    <m/>
  </r>
  <r>
    <n v="0"/>
    <s v="CMS S.60.10.000"/>
    <s v="SUPORTE"/>
    <m/>
    <m/>
    <m/>
    <m/>
    <m/>
    <m/>
    <m/>
    <m/>
    <s v="LINHA DO CIRCUITO ARENOSO LINHA DE ALIMENTAÇÃO DO DISTRIBUIDOR DI-145A-9911"/>
    <s v="SC-026"/>
    <s v="SP 8039 A"/>
    <s v="1450AA-L-70107"/>
    <s v="1450AA-S-58039"/>
    <n v="2"/>
    <s v="PÇ"/>
    <n v="49.1"/>
    <n v="98.2"/>
    <n v="0"/>
    <n v="0"/>
    <n v="0"/>
    <n v="0.9"/>
    <n v="0.1"/>
    <m/>
    <m/>
    <m/>
    <n v="0"/>
    <m/>
    <n v="0"/>
    <n v="98.2"/>
    <m/>
    <n v="0"/>
    <n v="0"/>
    <n v="0"/>
    <m/>
    <m/>
    <m/>
    <n v="0"/>
    <n v="0"/>
    <n v="0"/>
    <n v="0"/>
    <m/>
    <m/>
  </r>
  <r>
    <n v="0"/>
    <s v="CMS S.60.10.000"/>
    <s v="SUPORTE"/>
    <m/>
    <m/>
    <m/>
    <m/>
    <m/>
    <m/>
    <m/>
    <m/>
    <s v="LINHA DO CIRCUITO ARENOSO LINHA DE ALIMENTAÇÃO DO DISTRIBUIDOR DI-145A-9911"/>
    <s v="SC-026"/>
    <s v="SP 8039 B"/>
    <s v="1450AA-L-70107"/>
    <s v="1450AA-S-58039"/>
    <n v="2"/>
    <s v="PÇ"/>
    <n v="23.9"/>
    <n v="47.8"/>
    <n v="0"/>
    <n v="0"/>
    <n v="0"/>
    <n v="0.9"/>
    <n v="0.1"/>
    <m/>
    <m/>
    <m/>
    <n v="0"/>
    <m/>
    <n v="0"/>
    <n v="47.8"/>
    <m/>
    <n v="0"/>
    <n v="0"/>
    <n v="0"/>
    <m/>
    <m/>
    <m/>
    <n v="0"/>
    <n v="0"/>
    <n v="0"/>
    <n v="0"/>
    <m/>
    <m/>
  </r>
  <r>
    <n v="0"/>
    <s v="CMS S.60.10.000"/>
    <s v="SUPORTE"/>
    <m/>
    <m/>
    <m/>
    <m/>
    <m/>
    <m/>
    <m/>
    <m/>
    <s v="LINHA DO CIRCUITO ARENOSO LINHA DE ALIMENTAÇÃO DO DISTRIBUIDOR DI-145A-9911"/>
    <s v="SC-026"/>
    <s v="SP 8039 C"/>
    <s v="1450AA-L-70107"/>
    <s v="1450AA-S-58039"/>
    <n v="2"/>
    <s v="PÇ"/>
    <n v="1.3"/>
    <n v="2.6"/>
    <n v="0"/>
    <n v="0"/>
    <n v="0"/>
    <n v="0.9"/>
    <n v="0.1"/>
    <m/>
    <m/>
    <m/>
    <n v="0"/>
    <m/>
    <n v="0"/>
    <n v="2.6"/>
    <m/>
    <n v="0"/>
    <n v="0"/>
    <n v="0"/>
    <m/>
    <m/>
    <m/>
    <n v="0"/>
    <n v="0"/>
    <n v="0"/>
    <n v="0"/>
    <m/>
    <m/>
  </r>
  <r>
    <n v="0"/>
    <s v="CMS S.60.10.000"/>
    <s v="SUPORTE"/>
    <m/>
    <m/>
    <m/>
    <m/>
    <m/>
    <m/>
    <m/>
    <m/>
    <s v="LINHA DO CIRCUITO ARENOSO LINHA DE ALIMENTAÇÃO DO DISTRIBUIDOR DI-145A-9911"/>
    <s v="SC-026"/>
    <s v="SP 8039 D"/>
    <s v="1450AA-L-70107"/>
    <s v="1450AA-S-58039"/>
    <n v="2"/>
    <s v="PÇ"/>
    <n v="58.4"/>
    <n v="116.8"/>
    <n v="0"/>
    <n v="0"/>
    <n v="0"/>
    <n v="0.9"/>
    <n v="0.1"/>
    <m/>
    <m/>
    <m/>
    <n v="0"/>
    <m/>
    <n v="0"/>
    <n v="116.8"/>
    <m/>
    <n v="0"/>
    <n v="0"/>
    <n v="0"/>
    <m/>
    <m/>
    <m/>
    <n v="0"/>
    <n v="0"/>
    <n v="0"/>
    <n v="0"/>
    <m/>
    <m/>
  </r>
  <r>
    <n v="0"/>
    <s v="CMS S.60.10.000"/>
    <s v="SUPORTE"/>
    <m/>
    <m/>
    <m/>
    <m/>
    <m/>
    <m/>
    <m/>
    <m/>
    <s v="LINHA DO CIRCUITO ARENOSO LINHA DE ALIMENTAÇÃO DO DISTRIBUIDOR DI-145A-9911"/>
    <s v="SC-026"/>
    <s v="SP 8039 E"/>
    <s v="1450AA-L-70107"/>
    <s v="1450AA-S-58039"/>
    <n v="1"/>
    <s v="PÇ"/>
    <n v="22"/>
    <n v="22"/>
    <n v="0"/>
    <n v="0"/>
    <n v="0"/>
    <n v="0.9"/>
    <n v="0.1"/>
    <m/>
    <m/>
    <m/>
    <n v="0"/>
    <m/>
    <n v="0"/>
    <n v="22"/>
    <m/>
    <n v="0"/>
    <n v="0"/>
    <n v="0"/>
    <m/>
    <m/>
    <m/>
    <n v="0"/>
    <n v="0"/>
    <n v="0"/>
    <n v="0"/>
    <m/>
    <m/>
  </r>
  <r>
    <n v="0"/>
    <s v="CMS S.60.10.000"/>
    <s v="SUPORTE"/>
    <m/>
    <m/>
    <m/>
    <m/>
    <m/>
    <m/>
    <m/>
    <m/>
    <s v="LINHA DO CIRCUITO ARENOSO LINHA DE ALIMENTAÇÃO DOS DISTRIBUIDORES DI-145A-9912/9913/9914/9915/9916"/>
    <s v="SC-006"/>
    <s v=" 8301 A"/>
    <s v="1450AA-L-70109"/>
    <s v="1450AA-S-58301"/>
    <n v="1"/>
    <s v="PÇ"/>
    <n v="518.79999999999995"/>
    <n v="518.79999999999995"/>
    <n v="0"/>
    <n v="0"/>
    <n v="0"/>
    <n v="0.9"/>
    <n v="0.1"/>
    <m/>
    <m/>
    <m/>
    <n v="0"/>
    <m/>
    <n v="0"/>
    <n v="518.79999999999995"/>
    <m/>
    <n v="0"/>
    <n v="0"/>
    <n v="0"/>
    <m/>
    <m/>
    <m/>
    <n v="0"/>
    <n v="0"/>
    <n v="0"/>
    <n v="0"/>
    <m/>
    <m/>
  </r>
  <r>
    <n v="0"/>
    <s v="CMS S.60.10.000"/>
    <s v="SUPORTE"/>
    <m/>
    <m/>
    <m/>
    <m/>
    <m/>
    <m/>
    <m/>
    <m/>
    <s v="LINHA DO CIRCUITO ARENOSO LINHA DE ALIMENTAÇÃO DOS DISTRIBUIDORES DI-145A-9912/9913/9914/9915/9916"/>
    <s v="SC-006"/>
    <s v=" 8301 B "/>
    <s v="1450AA-L-70109"/>
    <s v="1450AA-S-58301"/>
    <n v="1"/>
    <s v="PÇ"/>
    <n v="138.19999999999999"/>
    <n v="138.19999999999999"/>
    <n v="0"/>
    <n v="0"/>
    <n v="0"/>
    <n v="0.9"/>
    <n v="0.1"/>
    <m/>
    <m/>
    <m/>
    <n v="0"/>
    <m/>
    <n v="0"/>
    <n v="138.19999999999999"/>
    <m/>
    <n v="0"/>
    <n v="0"/>
    <n v="0"/>
    <m/>
    <m/>
    <m/>
    <n v="0"/>
    <n v="0"/>
    <n v="0"/>
    <n v="0"/>
    <m/>
    <m/>
  </r>
  <r>
    <n v="0"/>
    <s v="CMS S.60.10.000"/>
    <s v="SUPORTE"/>
    <m/>
    <m/>
    <m/>
    <m/>
    <m/>
    <m/>
    <m/>
    <m/>
    <s v="LINHA DO CIRCUITO ARENOSO LINHA DE ALIMENTAÇÃO DOS DISTRIBUIDORES DI-145A-9912/9913/9914/9915/9916"/>
    <s v="SC-006"/>
    <s v="SP 8301 C"/>
    <s v="1450AA-L-70109"/>
    <s v="1450AA-S-58301"/>
    <n v="1"/>
    <s v="PÇ"/>
    <n v="30"/>
    <n v="30"/>
    <n v="0"/>
    <n v="0"/>
    <n v="0"/>
    <n v="0.9"/>
    <n v="0.1"/>
    <m/>
    <m/>
    <m/>
    <n v="0"/>
    <m/>
    <n v="0"/>
    <n v="30"/>
    <m/>
    <n v="0"/>
    <n v="0"/>
    <n v="0"/>
    <m/>
    <m/>
    <m/>
    <n v="0"/>
    <n v="0"/>
    <n v="0"/>
    <n v="0"/>
    <m/>
    <m/>
  </r>
  <r>
    <n v="0"/>
    <s v="CMS S.60.10.000"/>
    <s v="SUPORTE"/>
    <m/>
    <m/>
    <m/>
    <m/>
    <m/>
    <m/>
    <m/>
    <m/>
    <s v="LINHA DO CIRCUITO ARENOSO LINHA DE ALIMENTAÇÃO DOS DISTRIBUIDORES DI-145A-9912/9913/9914/9915/9916"/>
    <s v="SC-006"/>
    <s v="SP 8301 D"/>
    <s v="1450AA-L-70109"/>
    <s v="1450AA-S-58301"/>
    <n v="2"/>
    <s v="PÇ"/>
    <n v="24.9"/>
    <n v="49.8"/>
    <n v="0"/>
    <n v="0"/>
    <n v="0"/>
    <n v="0.9"/>
    <n v="0.1"/>
    <m/>
    <m/>
    <m/>
    <n v="0"/>
    <m/>
    <n v="0"/>
    <n v="49.8"/>
    <m/>
    <n v="0"/>
    <n v="0"/>
    <n v="0"/>
    <m/>
    <m/>
    <m/>
    <n v="0"/>
    <n v="0"/>
    <n v="0"/>
    <n v="0"/>
    <m/>
    <m/>
  </r>
  <r>
    <n v="0"/>
    <s v="CMS S.60.10.000"/>
    <s v="SUPORTE"/>
    <m/>
    <m/>
    <m/>
    <m/>
    <m/>
    <m/>
    <m/>
    <m/>
    <s v="LINHA DO CIRCUITO ARENOSO LINHA DE ALIMENTAÇÃO DOS DISTRIBUIDORES DI-145A-9912/9913/9914/9915/9916"/>
    <s v="SC-006"/>
    <s v="SP 8301 E"/>
    <s v="1450AA-L-70109"/>
    <s v="1450AA-S-58301"/>
    <n v="1"/>
    <s v="PÇ"/>
    <n v="141.9"/>
    <n v="141.9"/>
    <n v="0"/>
    <n v="0"/>
    <n v="0"/>
    <n v="0.9"/>
    <n v="0.1"/>
    <m/>
    <m/>
    <m/>
    <n v="0"/>
    <m/>
    <n v="0"/>
    <n v="141.9"/>
    <m/>
    <n v="0"/>
    <n v="0"/>
    <n v="0"/>
    <m/>
    <m/>
    <m/>
    <n v="0"/>
    <n v="0"/>
    <n v="0"/>
    <n v="0"/>
    <m/>
    <m/>
  </r>
  <r>
    <n v="0"/>
    <s v="CMS S.60.10.000"/>
    <s v="SUPORTE"/>
    <m/>
    <m/>
    <m/>
    <m/>
    <m/>
    <m/>
    <m/>
    <m/>
    <s v="LINHA DO CIRCUITO ARENOSO LINHA DE ALIMENTAÇÃO DOS DISTRIBUIDORES DI-145A-9912/9913/9914/9915/9916"/>
    <s v="SC-006"/>
    <s v="SP 8301 F"/>
    <s v="1450AA-L-70109"/>
    <s v="1450AA-S-58301"/>
    <n v="1"/>
    <s v="PÇ"/>
    <n v="100.1"/>
    <n v="100.1"/>
    <n v="0"/>
    <n v="0"/>
    <n v="0"/>
    <n v="0.9"/>
    <n v="0.1"/>
    <m/>
    <m/>
    <m/>
    <n v="0"/>
    <m/>
    <n v="0"/>
    <n v="100.1"/>
    <m/>
    <n v="0"/>
    <n v="0"/>
    <n v="0"/>
    <m/>
    <m/>
    <m/>
    <n v="0"/>
    <n v="0"/>
    <n v="0"/>
    <n v="0"/>
    <m/>
    <m/>
  </r>
  <r>
    <n v="0"/>
    <s v="CMS S.60.10.000"/>
    <s v="SUPORTE"/>
    <m/>
    <m/>
    <m/>
    <m/>
    <m/>
    <m/>
    <m/>
    <m/>
    <s v="LINHA DO CIRCUITO ARENOSO LINHA DE ALIMENTAÇÃO DOS DISTRIBUIDORES DI-145A-9912/9913/9914/9915/9916"/>
    <s v="SC-006"/>
    <s v="SP 8301 G"/>
    <s v="1450AA-L-70109"/>
    <s v="1450AA-S-58301"/>
    <n v="1"/>
    <s v="PÇ"/>
    <n v="49.2"/>
    <n v="49.2"/>
    <n v="0"/>
    <n v="0"/>
    <n v="0"/>
    <n v="0.9"/>
    <n v="0.1"/>
    <m/>
    <m/>
    <m/>
    <n v="0"/>
    <m/>
    <n v="0"/>
    <n v="49.2"/>
    <m/>
    <n v="0"/>
    <n v="0"/>
    <n v="0"/>
    <m/>
    <m/>
    <m/>
    <n v="0"/>
    <n v="0"/>
    <n v="0"/>
    <n v="0"/>
    <m/>
    <m/>
  </r>
  <r>
    <n v="0"/>
    <s v="CMS S.60.10.000"/>
    <s v="SUPORTE"/>
    <m/>
    <m/>
    <m/>
    <m/>
    <m/>
    <m/>
    <m/>
    <m/>
    <s v="LINHA DO CIRCUITO ARENOSO LINHA DE ALIMENTAÇÃO DOS DISTRIBUIDORES DI-145A-9912/9913/9914/9915/9916"/>
    <s v="SC-006"/>
    <s v="SP 8301 H"/>
    <s v="1450AA-L-70109"/>
    <s v="1450AA-S-58301"/>
    <n v="8"/>
    <s v="PÇ"/>
    <n v="80.599999999999994"/>
    <n v="644.79999999999995"/>
    <n v="0"/>
    <n v="0"/>
    <n v="0"/>
    <n v="0.9"/>
    <n v="0.1"/>
    <m/>
    <m/>
    <m/>
    <n v="0"/>
    <m/>
    <n v="0"/>
    <n v="644.79999999999995"/>
    <m/>
    <n v="0"/>
    <n v="0"/>
    <n v="0"/>
    <m/>
    <m/>
    <m/>
    <n v="0"/>
    <n v="0"/>
    <n v="0"/>
    <n v="0"/>
    <m/>
    <m/>
  </r>
  <r>
    <n v="0"/>
    <s v="CMS S.60.10.000"/>
    <s v="SUPORTE"/>
    <m/>
    <m/>
    <m/>
    <m/>
    <m/>
    <m/>
    <m/>
    <m/>
    <s v="LINHA DO CIRCUITO ARENOSO LINHA DE ALIMENTAÇÃO DOS DISTRIBUIDORES DI-145A-9912/9913/9914/9915/9916"/>
    <s v="SC-006"/>
    <s v="SP 8301 J"/>
    <s v="1450AA-L-70109"/>
    <s v="1450AA-S-58301"/>
    <n v="1"/>
    <s v="PÇ"/>
    <n v="1.8"/>
    <n v="1.8"/>
    <n v="0"/>
    <n v="0"/>
    <n v="0"/>
    <n v="0.9"/>
    <n v="0.1"/>
    <m/>
    <m/>
    <m/>
    <n v="0"/>
    <m/>
    <n v="0"/>
    <n v="1.8"/>
    <m/>
    <n v="0"/>
    <n v="0"/>
    <n v="0"/>
    <m/>
    <m/>
    <m/>
    <n v="0"/>
    <n v="0"/>
    <n v="0"/>
    <n v="0"/>
    <m/>
    <m/>
  </r>
  <r>
    <n v="0"/>
    <s v="CMS S.60.10.000"/>
    <s v="SUPORTE"/>
    <m/>
    <m/>
    <m/>
    <m/>
    <m/>
    <m/>
    <m/>
    <m/>
    <s v="LINHA DO CIRCUITO ARENOSO LINHA DE ALIMENTAÇÃO DOS DISTRIBUIDORES DI-145A-9912/9913/9914/9915/9916"/>
    <s v="SC-006"/>
    <s v="SP 8301 K"/>
    <s v="1450AA-L-70109"/>
    <s v="1450AA-S-58301"/>
    <n v="1"/>
    <s v="PÇ"/>
    <n v="19.399999999999999"/>
    <n v="19.399999999999999"/>
    <n v="0"/>
    <n v="0"/>
    <n v="0"/>
    <n v="0.9"/>
    <n v="0.1"/>
    <m/>
    <m/>
    <m/>
    <n v="0"/>
    <m/>
    <n v="0"/>
    <n v="19.399999999999999"/>
    <m/>
    <n v="0"/>
    <n v="0"/>
    <n v="0"/>
    <m/>
    <m/>
    <m/>
    <n v="0"/>
    <n v="0"/>
    <n v="0"/>
    <n v="0"/>
    <m/>
    <m/>
  </r>
  <r>
    <n v="0"/>
    <s v="CMS S.60.10.000"/>
    <s v="SUPORTE"/>
    <m/>
    <m/>
    <m/>
    <m/>
    <m/>
    <m/>
    <m/>
    <m/>
    <s v="LINHA DO CIRCUITO ARENOSO LINHA DE ALIMENTAÇÃO DOS DISTRIBUIDORES DI-145A-9912/9913/9914/9915/9916"/>
    <s v="SC-006"/>
    <s v="SP 8301 L"/>
    <s v="1450AA-L-70109"/>
    <s v="1450AA-S-58301"/>
    <n v="1"/>
    <s v="PÇ"/>
    <n v="6.9"/>
    <n v="6.9"/>
    <n v="0"/>
    <n v="0"/>
    <n v="0"/>
    <n v="0.9"/>
    <n v="0.1"/>
    <m/>
    <m/>
    <m/>
    <n v="0"/>
    <m/>
    <n v="0"/>
    <n v="6.9"/>
    <m/>
    <n v="0"/>
    <n v="0"/>
    <n v="0"/>
    <m/>
    <m/>
    <m/>
    <n v="0"/>
    <n v="0"/>
    <n v="0"/>
    <n v="0"/>
    <m/>
    <m/>
  </r>
  <r>
    <n v="0"/>
    <s v="CMS S.60.10.000"/>
    <s v="SUPORTE"/>
    <m/>
    <m/>
    <m/>
    <m/>
    <m/>
    <m/>
    <m/>
    <m/>
    <s v="LINHA DO CIRCUITO ARENOSO LINHA DE ALIMENTAÇÃO DOS DISTRIBUIDORES DI-145A-9912/9913/9914/9915/9916"/>
    <s v="SC-006"/>
    <s v="SP 8301 M"/>
    <s v="1450AA-L-70109"/>
    <s v="1450AA-S-58301"/>
    <n v="1"/>
    <s v="PÇ"/>
    <n v="3.45"/>
    <n v="3.45"/>
    <n v="0"/>
    <n v="0"/>
    <n v="0"/>
    <n v="0.9"/>
    <n v="0.1"/>
    <m/>
    <m/>
    <m/>
    <n v="0"/>
    <m/>
    <n v="0"/>
    <n v="3.45"/>
    <m/>
    <n v="0"/>
    <n v="0"/>
    <n v="0"/>
    <m/>
    <m/>
    <m/>
    <n v="0"/>
    <n v="0"/>
    <n v="0"/>
    <n v="0"/>
    <m/>
    <m/>
  </r>
  <r>
    <n v="0"/>
    <s v="CMS S.60.10.000"/>
    <s v="SUPORTE"/>
    <m/>
    <m/>
    <m/>
    <m/>
    <m/>
    <m/>
    <m/>
    <m/>
    <s v="LINHA DO CIRCUITO ARENOSO LINHA DE DESCARGA  DO DISTRIBUIDOR DI-145A-9912"/>
    <s v="SC-006"/>
    <s v=" 8303 A "/>
    <s v="1450AA-L-70045"/>
    <s v="1450AA-S-58303"/>
    <n v="1"/>
    <s v="PÇ"/>
    <n v="59.5"/>
    <n v="59.5"/>
    <n v="0"/>
    <n v="0"/>
    <n v="0"/>
    <n v="0.9"/>
    <n v="0.1"/>
    <m/>
    <m/>
    <m/>
    <n v="0"/>
    <m/>
    <n v="0"/>
    <n v="59.5"/>
    <m/>
    <n v="0"/>
    <n v="0"/>
    <n v="0"/>
    <m/>
    <m/>
    <m/>
    <n v="0"/>
    <n v="0"/>
    <n v="0"/>
    <n v="0"/>
    <m/>
    <m/>
  </r>
  <r>
    <n v="0"/>
    <s v="CMS S.60.10.000"/>
    <s v="SUPORTE"/>
    <m/>
    <m/>
    <m/>
    <m/>
    <m/>
    <m/>
    <m/>
    <m/>
    <s v="LINHA DO CIRCUITO ARENOSO LINHA DE DESCARGA  DO DISTRIBUIDOR DI-145A-9912"/>
    <s v="SC-006"/>
    <s v=" 8303 B"/>
    <s v="1450AA-L-70045"/>
    <s v="1450AA-S-58303"/>
    <n v="1"/>
    <s v="PÇ"/>
    <n v="48"/>
    <n v="48"/>
    <n v="0"/>
    <n v="0"/>
    <n v="0"/>
    <n v="0.9"/>
    <n v="0.1"/>
    <m/>
    <m/>
    <m/>
    <n v="0"/>
    <m/>
    <n v="0"/>
    <n v="48"/>
    <m/>
    <n v="0"/>
    <n v="0"/>
    <n v="0"/>
    <m/>
    <m/>
    <m/>
    <n v="0"/>
    <n v="0"/>
    <n v="0"/>
    <n v="0"/>
    <m/>
    <m/>
  </r>
  <r>
    <n v="0"/>
    <s v="CMS S.60.10.000"/>
    <s v="SUPORTE"/>
    <m/>
    <m/>
    <m/>
    <m/>
    <m/>
    <m/>
    <m/>
    <m/>
    <s v="LINHA DO CIRCUITO ARENOSO LINHA DE DESCARGA  DO DISTRIBUIDOR DI-145A-9912"/>
    <s v="SC-006"/>
    <s v=" 8303 C "/>
    <s v="1450AA-L-70045"/>
    <s v="1450AA-S-58303"/>
    <n v="1"/>
    <s v="PÇ"/>
    <n v="23.5"/>
    <n v="23.5"/>
    <n v="0"/>
    <n v="0"/>
    <n v="0"/>
    <n v="0.9"/>
    <n v="0.1"/>
    <m/>
    <m/>
    <m/>
    <n v="0"/>
    <m/>
    <n v="0"/>
    <n v="23.5"/>
    <m/>
    <n v="0"/>
    <n v="0"/>
    <n v="0"/>
    <m/>
    <m/>
    <m/>
    <n v="0"/>
    <n v="0"/>
    <n v="0"/>
    <n v="0"/>
    <m/>
    <m/>
  </r>
  <r>
    <n v="0"/>
    <s v="CMS S.60.10.000"/>
    <s v="SUPORTE"/>
    <m/>
    <m/>
    <m/>
    <m/>
    <m/>
    <m/>
    <m/>
    <m/>
    <s v="LINHA DO CIRCUITO ARENOSO LINHA DE DESCARGA  DO DISTRIBUIDOR DI-145A-9912"/>
    <s v="SC-006"/>
    <s v="SP 8303 D"/>
    <s v="1450AA-L-70045"/>
    <s v="1450AA-S-58303"/>
    <n v="1"/>
    <s v="PÇ"/>
    <n v="7.6"/>
    <n v="7.6"/>
    <n v="0"/>
    <n v="0"/>
    <n v="0"/>
    <n v="0.9"/>
    <n v="0.1"/>
    <m/>
    <m/>
    <m/>
    <n v="0"/>
    <m/>
    <n v="0"/>
    <n v="7.6"/>
    <m/>
    <n v="0"/>
    <n v="0"/>
    <n v="0"/>
    <m/>
    <m/>
    <m/>
    <n v="0"/>
    <n v="0"/>
    <n v="0"/>
    <n v="0"/>
    <m/>
    <m/>
  </r>
  <r>
    <n v="0"/>
    <s v="CMS S.60.10.000"/>
    <s v="SUPORTE"/>
    <m/>
    <m/>
    <m/>
    <m/>
    <m/>
    <m/>
    <m/>
    <m/>
    <s v="LINHA DO CIRCUITO ARENOSO LINHA DE DESCARGA  DO DISTRIBUIDOR DI-145A-9912"/>
    <s v="SC-006"/>
    <s v=" 8303 E"/>
    <s v="1450AA-L-70045"/>
    <s v="1450AA-S-58303"/>
    <n v="1"/>
    <s v="PÇ"/>
    <n v="65.900000000000006"/>
    <n v="65.900000000000006"/>
    <n v="0"/>
    <n v="0"/>
    <n v="0"/>
    <n v="0.9"/>
    <n v="0.1"/>
    <m/>
    <m/>
    <m/>
    <n v="0"/>
    <m/>
    <n v="0"/>
    <n v="65.900000000000006"/>
    <m/>
    <n v="0"/>
    <n v="0"/>
    <n v="0"/>
    <m/>
    <m/>
    <m/>
    <n v="0"/>
    <n v="0"/>
    <n v="0"/>
    <n v="0"/>
    <m/>
    <m/>
  </r>
  <r>
    <n v="0"/>
    <s v="CMS S.60.10.000"/>
    <s v="SUPORTE"/>
    <m/>
    <m/>
    <m/>
    <m/>
    <m/>
    <m/>
    <m/>
    <m/>
    <s v="LINHA DO CIRCUITO ARENOSO LINHA DE DESCARGA  DO DISTRIBUIDOR DI-145A-9912"/>
    <s v="SC-006"/>
    <s v=" 8303 F "/>
    <s v="1450AA-L-70045"/>
    <s v="1450AA-S-58303"/>
    <n v="1"/>
    <s v="PÇ"/>
    <n v="55.4"/>
    <n v="55.4"/>
    <n v="0"/>
    <n v="0"/>
    <n v="0"/>
    <n v="0.9"/>
    <n v="0.1"/>
    <m/>
    <m/>
    <m/>
    <n v="0"/>
    <m/>
    <n v="0"/>
    <n v="55.4"/>
    <m/>
    <n v="0"/>
    <n v="0"/>
    <n v="0"/>
    <m/>
    <m/>
    <m/>
    <n v="0"/>
    <n v="0"/>
    <n v="0"/>
    <n v="0"/>
    <m/>
    <m/>
  </r>
  <r>
    <n v="0"/>
    <s v="CMS S.60.10.000"/>
    <s v="SUPORTE"/>
    <m/>
    <m/>
    <m/>
    <m/>
    <m/>
    <m/>
    <m/>
    <m/>
    <s v="LINHA DO CIRCUITO ARENOSO LINHA DE DESCARGA  DO DISTRIBUIDOR DI-145A-9912"/>
    <s v="SC-006"/>
    <s v=" 8303 G "/>
    <s v="1450AA-L-70045"/>
    <s v="1450AA-S-58303"/>
    <n v="1"/>
    <s v="PÇ"/>
    <n v="45.3"/>
    <n v="45.3"/>
    <n v="0"/>
    <n v="0"/>
    <n v="0"/>
    <n v="0.9"/>
    <n v="0.1"/>
    <m/>
    <m/>
    <m/>
    <n v="0"/>
    <m/>
    <n v="0"/>
    <n v="45.3"/>
    <m/>
    <n v="0"/>
    <n v="0"/>
    <n v="0"/>
    <m/>
    <m/>
    <m/>
    <n v="0"/>
    <n v="0"/>
    <n v="0"/>
    <n v="0"/>
    <m/>
    <m/>
  </r>
  <r>
    <n v="0"/>
    <s v="CMS S.60.10.000"/>
    <s v="SUPORTE"/>
    <m/>
    <m/>
    <m/>
    <m/>
    <m/>
    <m/>
    <m/>
    <m/>
    <s v="LINHA DO CIRCUITO ARENOSO LINHA DE DESCARGA  DO DISTRIBUIDOR DI-145A-9912"/>
    <s v="SC-006"/>
    <s v=" 8303 H "/>
    <s v="1450AA-L-70045"/>
    <s v="1450AA-S-58303"/>
    <n v="1"/>
    <s v="PÇ"/>
    <n v="49.8"/>
    <n v="49.8"/>
    <n v="0"/>
    <n v="0"/>
    <n v="0"/>
    <n v="0.9"/>
    <n v="0.1"/>
    <m/>
    <m/>
    <m/>
    <n v="0"/>
    <m/>
    <n v="0"/>
    <n v="49.8"/>
    <m/>
    <n v="0"/>
    <n v="0"/>
    <n v="0"/>
    <m/>
    <m/>
    <m/>
    <n v="0"/>
    <n v="0"/>
    <n v="0"/>
    <n v="0"/>
    <m/>
    <m/>
  </r>
  <r>
    <n v="0"/>
    <s v="CMS S.60.10.000"/>
    <s v="SUPORTE"/>
    <m/>
    <m/>
    <m/>
    <m/>
    <m/>
    <m/>
    <m/>
    <m/>
    <s v="LINHA DO CIRCUITO ARENOSO LINHA DE DESCARGA  DO DISTRIBUIDOR DI-145A-9912"/>
    <s v="SC-006"/>
    <s v=" 8303 J "/>
    <s v="1450AA-L-70045"/>
    <s v="1450AA-S-58303"/>
    <n v="6"/>
    <s v="PÇ"/>
    <n v="56.9"/>
    <n v="341.4"/>
    <n v="0"/>
    <n v="0"/>
    <n v="0"/>
    <n v="0.9"/>
    <n v="0.1"/>
    <m/>
    <m/>
    <m/>
    <n v="0"/>
    <m/>
    <n v="0"/>
    <n v="341.4"/>
    <m/>
    <n v="0"/>
    <n v="0"/>
    <n v="0"/>
    <m/>
    <m/>
    <m/>
    <n v="0"/>
    <n v="0"/>
    <n v="0"/>
    <n v="0"/>
    <m/>
    <m/>
  </r>
  <r>
    <n v="0"/>
    <s v="CMS S.60.10.000"/>
    <s v="SUPORTE"/>
    <m/>
    <m/>
    <m/>
    <m/>
    <m/>
    <m/>
    <m/>
    <m/>
    <s v="LINHA DO CIRCUITO ARENOSO LINHA DE DESCARGA  DO DISTRIBUIDOR DI-145A-9912"/>
    <s v="SC-006"/>
    <s v="SP 8303 K "/>
    <s v="1450AA-L-70045"/>
    <s v="1450AA-S-58303"/>
    <n v="1"/>
    <s v="PÇ"/>
    <n v="7.2"/>
    <n v="7.2"/>
    <n v="0"/>
    <n v="0"/>
    <n v="0"/>
    <n v="0.9"/>
    <n v="0.1"/>
    <m/>
    <m/>
    <m/>
    <n v="0"/>
    <m/>
    <n v="0"/>
    <n v="7.2"/>
    <m/>
    <n v="0"/>
    <n v="0"/>
    <n v="0"/>
    <m/>
    <m/>
    <m/>
    <n v="0"/>
    <n v="0"/>
    <n v="0"/>
    <n v="0"/>
    <m/>
    <m/>
  </r>
  <r>
    <n v="0"/>
    <s v="CMS S.60.10.000"/>
    <s v="SUPORTE"/>
    <m/>
    <m/>
    <m/>
    <m/>
    <m/>
    <m/>
    <m/>
    <m/>
    <s v="LINHA DO CIRCUITO ARENOSO LINHA DE DESCARGA  DO DISTRIBUIDOR DI-145A-9912"/>
    <s v="SC-006"/>
    <s v="SP 8303 L"/>
    <s v="1450AA-L-70045"/>
    <s v="1450AA-S-58303"/>
    <n v="4"/>
    <s v="PÇ"/>
    <n v="54.8"/>
    <n v="219.2"/>
    <n v="0"/>
    <n v="0"/>
    <n v="0"/>
    <n v="0.9"/>
    <n v="0.1"/>
    <m/>
    <m/>
    <m/>
    <n v="0"/>
    <m/>
    <n v="0"/>
    <n v="219.2"/>
    <m/>
    <n v="0"/>
    <n v="0"/>
    <n v="0"/>
    <m/>
    <m/>
    <m/>
    <n v="0"/>
    <n v="0"/>
    <n v="0"/>
    <n v="0"/>
    <m/>
    <m/>
  </r>
  <r>
    <n v="0"/>
    <s v="CMS S.60.10.000"/>
    <s v="SUPORTE"/>
    <m/>
    <m/>
    <m/>
    <m/>
    <m/>
    <m/>
    <m/>
    <m/>
    <s v="LINHA DO CIRCUITO ARENOSO LINHA DE DESCARGA  DO DISTRIBUIDOR DI-145A-9912"/>
    <s v="SC-006"/>
    <s v="SP 8303 M "/>
    <s v="1450AA-L-70045"/>
    <s v="1450AA-S-58303"/>
    <n v="2"/>
    <s v="PÇ"/>
    <n v="12"/>
    <n v="24"/>
    <n v="0"/>
    <n v="0"/>
    <n v="0"/>
    <n v="0.9"/>
    <n v="0.1"/>
    <m/>
    <m/>
    <m/>
    <n v="0"/>
    <m/>
    <n v="0"/>
    <n v="24"/>
    <m/>
    <n v="0"/>
    <n v="0"/>
    <n v="0"/>
    <m/>
    <m/>
    <m/>
    <n v="0"/>
    <n v="0"/>
    <n v="0"/>
    <n v="0"/>
    <m/>
    <m/>
  </r>
  <r>
    <n v="0"/>
    <s v="CMS S.60.10.000"/>
    <s v="SUPORTE"/>
    <m/>
    <m/>
    <m/>
    <m/>
    <m/>
    <m/>
    <m/>
    <m/>
    <s v="LINHA DO CIRCUITO ARENOSO LINHA DE DESCARGA  DO DISTRIBUIDOR DI-145A-9912"/>
    <s v="SC-006"/>
    <s v="SP 8303 N "/>
    <s v="1450AA-L-70045"/>
    <s v="1450AA-S-58303"/>
    <n v="1"/>
    <s v="PÇ"/>
    <n v="12.7"/>
    <n v="12.7"/>
    <n v="0"/>
    <n v="0"/>
    <n v="0"/>
    <n v="0.9"/>
    <n v="0.1"/>
    <m/>
    <m/>
    <m/>
    <n v="0"/>
    <m/>
    <n v="0"/>
    <n v="12.7"/>
    <m/>
    <n v="0"/>
    <n v="0"/>
    <n v="0"/>
    <m/>
    <m/>
    <m/>
    <n v="0"/>
    <n v="0"/>
    <n v="0"/>
    <n v="0"/>
    <m/>
    <m/>
  </r>
  <r>
    <n v="0"/>
    <s v="CMS S.60.10.000"/>
    <s v="SUPORTE"/>
    <m/>
    <m/>
    <m/>
    <m/>
    <m/>
    <m/>
    <m/>
    <m/>
    <s v="LINHA DO CIRCUITO ARENOSO LINHA DE DESCARGA  DO DISTRIBUIDOR DI-145A-9912"/>
    <s v="SC-006"/>
    <s v="SP 8303 P "/>
    <s v="1450AA-L-70045"/>
    <s v="1450AA-S-58303"/>
    <n v="1"/>
    <s v="PÇ"/>
    <n v="3.5"/>
    <n v="3.5"/>
    <n v="0"/>
    <n v="0"/>
    <n v="0"/>
    <n v="0.9"/>
    <n v="0.1"/>
    <m/>
    <m/>
    <m/>
    <n v="0"/>
    <m/>
    <n v="0"/>
    <n v="3.5"/>
    <m/>
    <n v="0"/>
    <n v="0"/>
    <n v="0"/>
    <m/>
    <m/>
    <m/>
    <n v="0"/>
    <n v="0"/>
    <n v="0"/>
    <n v="0"/>
    <m/>
    <m/>
  </r>
  <r>
    <n v="0"/>
    <s v="CMS S.60.10.000"/>
    <s v="SUPORTE"/>
    <m/>
    <m/>
    <m/>
    <m/>
    <m/>
    <m/>
    <m/>
    <m/>
    <s v="LINHA DO CIRCUITO ARENOSO LINHA DE DESCARGA  DO DISTRIBUIDOR DI-145A-9912"/>
    <s v="SC-006"/>
    <s v="SP 8303 Q "/>
    <s v="1450AA-L-70045"/>
    <s v="1450AA-S-58303"/>
    <n v="8"/>
    <s v="PÇ"/>
    <n v="3.5"/>
    <n v="28"/>
    <n v="0"/>
    <n v="0"/>
    <n v="0"/>
    <n v="0.9"/>
    <n v="0.1"/>
    <m/>
    <m/>
    <m/>
    <n v="0"/>
    <m/>
    <n v="0"/>
    <n v="28"/>
    <m/>
    <n v="0"/>
    <n v="0"/>
    <n v="0"/>
    <m/>
    <m/>
    <m/>
    <n v="0"/>
    <n v="0"/>
    <n v="0"/>
    <n v="0"/>
    <m/>
    <m/>
  </r>
  <r>
    <n v="0"/>
    <s v="CMS S.60.10.000"/>
    <s v="SUPORTE"/>
    <m/>
    <m/>
    <m/>
    <m/>
    <m/>
    <m/>
    <m/>
    <m/>
    <s v="LINHA DO CIRCUITO ARENOSO LINHA DE DESCARGA  DO DISTRIBUIDOR DI-145A-9912"/>
    <s v="SC-006"/>
    <s v="SP 8303 R"/>
    <s v="1450AA-L-70045"/>
    <s v="1450AA-S-58303"/>
    <n v="1"/>
    <s v="PÇ"/>
    <n v="0.6"/>
    <n v="0.6"/>
    <n v="0"/>
    <n v="0"/>
    <n v="0"/>
    <n v="0.9"/>
    <n v="0.1"/>
    <m/>
    <m/>
    <m/>
    <n v="0"/>
    <m/>
    <n v="0"/>
    <n v="0.6"/>
    <m/>
    <n v="0"/>
    <n v="0"/>
    <n v="0"/>
    <m/>
    <m/>
    <m/>
    <n v="0"/>
    <n v="0"/>
    <n v="0"/>
    <n v="0"/>
    <m/>
    <m/>
  </r>
  <r>
    <n v="0"/>
    <s v="CMS S.60.10.000"/>
    <s v="SUPORTE"/>
    <m/>
    <m/>
    <m/>
    <m/>
    <m/>
    <m/>
    <m/>
    <m/>
    <s v="LINHA DO CIRCUITO ARENOSO LINHA DE DESCARGA  DO DISTRIBUIDOR DI-145A-9912"/>
    <s v="SC-006"/>
    <s v="SP 8303 S "/>
    <s v="1450AA-L-70045"/>
    <s v="1450AA-S-58303"/>
    <n v="1"/>
    <s v="PÇ"/>
    <n v="13"/>
    <n v="13"/>
    <n v="0"/>
    <n v="0"/>
    <n v="0"/>
    <n v="0.9"/>
    <n v="0.1"/>
    <m/>
    <m/>
    <m/>
    <n v="0"/>
    <m/>
    <n v="0"/>
    <n v="13"/>
    <m/>
    <n v="0"/>
    <n v="0"/>
    <n v="0"/>
    <m/>
    <m/>
    <m/>
    <n v="0"/>
    <n v="0"/>
    <n v="0"/>
    <n v="0"/>
    <m/>
    <m/>
  </r>
  <r>
    <n v="0"/>
    <s v="CMS S.60.10.000"/>
    <s v="SUPORTE"/>
    <m/>
    <m/>
    <m/>
    <m/>
    <m/>
    <m/>
    <m/>
    <m/>
    <s v="LINHA DO CIRCUITO ARENOSO LINHA DE DESCARGA  DO DISTRIBUIDOR DI-145A-9912"/>
    <s v="SC-006"/>
    <s v="SP 8304 A"/>
    <s v="1450AA-L-70045"/>
    <s v="1450AA-S-58304"/>
    <n v="1"/>
    <s v="PÇ"/>
    <n v="34.5"/>
    <n v="34.5"/>
    <n v="0"/>
    <n v="0"/>
    <n v="0"/>
    <n v="0.9"/>
    <n v="0.1"/>
    <m/>
    <m/>
    <m/>
    <n v="0"/>
    <m/>
    <n v="0"/>
    <n v="34.5"/>
    <m/>
    <n v="0"/>
    <n v="0"/>
    <n v="0"/>
    <m/>
    <m/>
    <m/>
    <n v="0"/>
    <n v="0"/>
    <n v="0"/>
    <n v="0"/>
    <m/>
    <m/>
  </r>
  <r>
    <n v="0"/>
    <s v="CMS S.60.10.000"/>
    <s v="SUPORTE"/>
    <m/>
    <m/>
    <m/>
    <m/>
    <m/>
    <m/>
    <m/>
    <m/>
    <s v="LINHA DO CIRCUITO ARENOSO LINHA DE DESCARGA  DO DISTRIBUIDOR DI-145A-9912"/>
    <s v="SC-006"/>
    <s v="SP 8304 B"/>
    <s v="1450AA-L-70045"/>
    <s v="1450AA-S-58304"/>
    <n v="1"/>
    <s v="PÇ"/>
    <n v="5.3999999999999995"/>
    <n v="5.3999999999999995"/>
    <n v="0"/>
    <n v="0"/>
    <n v="0"/>
    <n v="0.9"/>
    <n v="0.1"/>
    <m/>
    <m/>
    <m/>
    <n v="0"/>
    <m/>
    <n v="0"/>
    <n v="5.3999999999999995"/>
    <m/>
    <n v="0"/>
    <n v="0"/>
    <n v="0"/>
    <m/>
    <m/>
    <m/>
    <n v="0"/>
    <n v="0"/>
    <n v="0"/>
    <n v="0"/>
    <m/>
    <m/>
  </r>
  <r>
    <n v="0"/>
    <s v="CMS S.60.10.000"/>
    <s v="SUPORTE"/>
    <m/>
    <m/>
    <m/>
    <m/>
    <m/>
    <m/>
    <m/>
    <m/>
    <s v="LINHA DO CIRCUITO ARENOSO LINHA DE DESCARGA  DO DISTRIBUIDOR DI-145A-9912"/>
    <s v="SC-006"/>
    <s v="SP 8304 C"/>
    <s v="1450AA-L-70045"/>
    <s v="1450AA-S-58304"/>
    <n v="1"/>
    <s v="PÇ"/>
    <n v="16.900000000000002"/>
    <n v="16.900000000000002"/>
    <n v="0"/>
    <n v="0"/>
    <n v="0"/>
    <n v="0.9"/>
    <n v="0.1"/>
    <m/>
    <m/>
    <m/>
    <n v="0"/>
    <m/>
    <n v="0"/>
    <n v="16.900000000000002"/>
    <m/>
    <n v="0"/>
    <n v="0"/>
    <n v="0"/>
    <m/>
    <m/>
    <m/>
    <n v="0"/>
    <n v="0"/>
    <n v="0"/>
    <n v="0"/>
    <m/>
    <m/>
  </r>
  <r>
    <n v="0"/>
    <s v="CMS S.60.10.000"/>
    <s v="SUPORTE"/>
    <m/>
    <m/>
    <m/>
    <m/>
    <m/>
    <m/>
    <m/>
    <m/>
    <s v="LINHA DO CIRCUITO ARENOSO LINHA DE DESCARGA  DO DISTRIBUIDOR DI-145A-9912"/>
    <s v="SC-006"/>
    <s v="SP 8304 D"/>
    <s v="1450AA-L-70045"/>
    <s v="1450AA-S-58304"/>
    <n v="1"/>
    <s v="PÇ"/>
    <n v="15.799999999999999"/>
    <n v="15.799999999999999"/>
    <n v="0"/>
    <n v="0"/>
    <n v="0"/>
    <n v="0.9"/>
    <n v="0.1"/>
    <m/>
    <m/>
    <m/>
    <n v="0"/>
    <m/>
    <n v="0"/>
    <n v="15.799999999999999"/>
    <m/>
    <n v="0"/>
    <n v="0"/>
    <n v="0"/>
    <m/>
    <m/>
    <m/>
    <n v="0"/>
    <n v="0"/>
    <n v="0"/>
    <n v="0"/>
    <m/>
    <m/>
  </r>
  <r>
    <n v="0"/>
    <s v="CMS S.60.10.000"/>
    <s v="SUPORTE"/>
    <m/>
    <m/>
    <m/>
    <m/>
    <m/>
    <m/>
    <m/>
    <m/>
    <s v="LINHA DO CIRCUITO ARENOSO LINHA DE DESCARGA  DO DISTRIBUIDOR DI-145A-9912"/>
    <s v="SC-006"/>
    <s v="SP 8304 E"/>
    <s v="1450AA-L-70045"/>
    <s v="1450AA-S-58304"/>
    <n v="1"/>
    <s v="PÇ"/>
    <n v="23.8"/>
    <n v="23.8"/>
    <n v="0"/>
    <n v="0"/>
    <n v="0"/>
    <n v="0.9"/>
    <n v="0.1"/>
    <m/>
    <m/>
    <m/>
    <n v="0"/>
    <m/>
    <n v="0"/>
    <n v="23.8"/>
    <m/>
    <n v="0"/>
    <n v="0"/>
    <n v="0"/>
    <m/>
    <m/>
    <m/>
    <n v="0"/>
    <n v="0"/>
    <n v="0"/>
    <n v="0"/>
    <m/>
    <m/>
  </r>
  <r>
    <n v="0"/>
    <s v="CMS S.60.10.000"/>
    <s v="SUPORTE"/>
    <m/>
    <m/>
    <m/>
    <m/>
    <m/>
    <m/>
    <m/>
    <m/>
    <s v="LINHA DO CIRCUITO ARENOSO LINHA DE DESCARGA  DO DISTRIBUIDOR DI-145A-9912"/>
    <s v="SC-006"/>
    <s v="SP 8304 F"/>
    <s v="1450AA-L-70045"/>
    <s v="1450AA-S-58304"/>
    <n v="1"/>
    <s v="PÇ"/>
    <n v="0.5"/>
    <n v="0.5"/>
    <n v="0"/>
    <n v="0"/>
    <n v="0"/>
    <n v="0.9"/>
    <n v="0.1"/>
    <m/>
    <m/>
    <m/>
    <n v="0"/>
    <m/>
    <n v="0"/>
    <n v="0.5"/>
    <m/>
    <n v="0"/>
    <n v="0"/>
    <n v="0"/>
    <m/>
    <m/>
    <m/>
    <n v="0"/>
    <n v="0"/>
    <n v="0"/>
    <n v="0"/>
    <m/>
    <m/>
  </r>
  <r>
    <n v="0"/>
    <s v="CMS S.60.10.000"/>
    <s v="SUPORTE"/>
    <m/>
    <m/>
    <m/>
    <m/>
    <m/>
    <m/>
    <m/>
    <m/>
    <s v="LINHA DO CIRCUITO ARENOSO LINHA DE DESCARGA  DO DISTRIBUIDOR DI-145A-9913"/>
    <s v="SC-006"/>
    <s v="SP 8305 A"/>
    <s v="1450AA-L-70046"/>
    <s v="1450AA-S-58305"/>
    <n v="2"/>
    <s v="PÇ"/>
    <n v="48.1"/>
    <n v="96.2"/>
    <n v="0"/>
    <n v="0"/>
    <n v="0"/>
    <n v="0.9"/>
    <n v="0.1"/>
    <m/>
    <m/>
    <m/>
    <n v="0"/>
    <m/>
    <n v="0"/>
    <n v="96.2"/>
    <m/>
    <n v="0"/>
    <n v="0"/>
    <n v="0"/>
    <m/>
    <m/>
    <m/>
    <n v="0"/>
    <n v="0"/>
    <n v="0"/>
    <n v="0"/>
    <m/>
    <m/>
  </r>
  <r>
    <n v="0"/>
    <s v="CMS S.60.10.000"/>
    <s v="SUPORTE"/>
    <m/>
    <m/>
    <m/>
    <m/>
    <m/>
    <m/>
    <m/>
    <m/>
    <s v="LINHA DO CIRCUITO ARENOSO LINHA DE DESCARGA  DO DISTRIBUIDOR DI-145A-9913"/>
    <s v="SC-006"/>
    <s v="SP 8305 B"/>
    <s v="1450AA-L-70046"/>
    <s v="1450AA-S-58305"/>
    <n v="2"/>
    <s v="PÇ"/>
    <n v="49.8"/>
    <n v="99.6"/>
    <n v="0"/>
    <n v="0"/>
    <n v="0"/>
    <n v="0.9"/>
    <n v="0.1"/>
    <m/>
    <m/>
    <m/>
    <n v="0"/>
    <m/>
    <n v="0"/>
    <n v="99.6"/>
    <m/>
    <n v="0"/>
    <n v="0"/>
    <n v="0"/>
    <m/>
    <m/>
    <m/>
    <n v="0"/>
    <n v="0"/>
    <n v="0"/>
    <n v="0"/>
    <m/>
    <m/>
  </r>
  <r>
    <n v="0"/>
    <s v="CMS S.60.10.000"/>
    <s v="SUPORTE"/>
    <m/>
    <m/>
    <m/>
    <m/>
    <m/>
    <m/>
    <m/>
    <m/>
    <s v="LINHA DO CIRCUITO ARENOSO LINHA DE DESCARGA  DO DISTRIBUIDOR DI-145A-9913"/>
    <s v="SC-006"/>
    <s v="SP 8305 C"/>
    <s v="1450AA-L-70046"/>
    <s v="1450AA-S-58305"/>
    <n v="3"/>
    <s v="PÇ"/>
    <n v="48"/>
    <n v="144"/>
    <n v="0"/>
    <n v="0"/>
    <n v="0"/>
    <n v="0.9"/>
    <n v="0.1"/>
    <m/>
    <m/>
    <m/>
    <n v="0"/>
    <m/>
    <n v="0"/>
    <n v="144"/>
    <m/>
    <n v="0"/>
    <n v="0"/>
    <n v="0"/>
    <m/>
    <m/>
    <m/>
    <n v="0"/>
    <n v="0"/>
    <n v="0"/>
    <n v="0"/>
    <m/>
    <m/>
  </r>
  <r>
    <n v="0"/>
    <s v="CMS S.60.10.000"/>
    <s v="SUPORTE"/>
    <m/>
    <m/>
    <m/>
    <m/>
    <m/>
    <m/>
    <m/>
    <m/>
    <s v="LINHA DO CIRCUITO ARENOSO LINHA DE DESCARGA  DO DISTRIBUIDOR DI-145A-9913"/>
    <s v="SC-006"/>
    <s v="SP 8305 D"/>
    <s v="1450AA-L-70046"/>
    <s v="1450AA-S-58305"/>
    <n v="3"/>
    <s v="PÇ"/>
    <n v="39.200000000000003"/>
    <n v="117.60000000000001"/>
    <n v="0"/>
    <n v="0"/>
    <n v="0"/>
    <n v="0.9"/>
    <n v="0.1"/>
    <m/>
    <m/>
    <m/>
    <n v="0"/>
    <m/>
    <n v="0"/>
    <n v="117.60000000000001"/>
    <m/>
    <n v="0"/>
    <n v="0"/>
    <n v="0"/>
    <m/>
    <m/>
    <m/>
    <n v="0"/>
    <n v="0"/>
    <n v="0"/>
    <n v="0"/>
    <m/>
    <m/>
  </r>
  <r>
    <n v="0"/>
    <s v="CMS S.60.10.000"/>
    <s v="SUPORTE"/>
    <m/>
    <m/>
    <m/>
    <m/>
    <m/>
    <m/>
    <m/>
    <m/>
    <s v="LINHA DO CIRCUITO ARENOSO LINHA DE DESCARGA  DO DISTRIBUIDOR DI-145A-9913"/>
    <s v="SC-006"/>
    <s v="SP 8305 E"/>
    <s v="1450AA-L-70046"/>
    <s v="1450AA-S-58305"/>
    <n v="1"/>
    <s v="PÇ"/>
    <n v="34.299999999999997"/>
    <n v="34.299999999999997"/>
    <n v="0"/>
    <n v="0"/>
    <n v="0"/>
    <n v="0.9"/>
    <n v="0.1"/>
    <m/>
    <m/>
    <m/>
    <n v="0"/>
    <m/>
    <n v="0"/>
    <n v="34.299999999999997"/>
    <m/>
    <n v="0"/>
    <n v="0"/>
    <n v="0"/>
    <m/>
    <m/>
    <m/>
    <n v="0"/>
    <n v="0"/>
    <n v="0"/>
    <n v="0"/>
    <m/>
    <m/>
  </r>
  <r>
    <n v="0"/>
    <s v="CMS S.60.10.000"/>
    <s v="SUPORTE"/>
    <m/>
    <m/>
    <m/>
    <m/>
    <m/>
    <m/>
    <m/>
    <m/>
    <s v="LINHA DO CIRCUITO ARENOSO LINHA DE DESCARGA  DO DISTRIBUIDOR DI-145A-9913"/>
    <s v="SC-006"/>
    <s v="SP 8305 F"/>
    <s v="1450AA-L-70046"/>
    <s v="1450AA-S-58305"/>
    <n v="4"/>
    <s v="PÇ"/>
    <n v="23.6"/>
    <n v="94.4"/>
    <n v="0"/>
    <n v="0"/>
    <n v="0"/>
    <n v="0.9"/>
    <n v="0.1"/>
    <m/>
    <m/>
    <m/>
    <n v="0"/>
    <m/>
    <n v="0"/>
    <n v="94.4"/>
    <m/>
    <n v="0"/>
    <n v="0"/>
    <n v="0"/>
    <m/>
    <m/>
    <m/>
    <n v="0"/>
    <n v="0"/>
    <n v="0"/>
    <n v="0"/>
    <m/>
    <m/>
  </r>
  <r>
    <n v="0"/>
    <s v="CMS S.60.10.000"/>
    <s v="SUPORTE"/>
    <m/>
    <m/>
    <m/>
    <m/>
    <m/>
    <m/>
    <m/>
    <m/>
    <s v="LINHA DO CIRCUITO ARENOSO LINHA DE DESCARGA  DO DISTRIBUIDOR DI-145A-9913"/>
    <s v="SC-006"/>
    <s v="SP 8305 G"/>
    <s v="1450AA-L-70046"/>
    <s v="1450AA-S-58305"/>
    <n v="1"/>
    <s v="PÇ"/>
    <n v="7.8"/>
    <n v="7.8"/>
    <n v="0"/>
    <n v="0"/>
    <n v="0"/>
    <n v="0.9"/>
    <n v="0.1"/>
    <m/>
    <m/>
    <m/>
    <n v="0"/>
    <m/>
    <n v="0"/>
    <n v="7.8"/>
    <m/>
    <n v="0"/>
    <n v="0"/>
    <n v="0"/>
    <m/>
    <m/>
    <m/>
    <n v="0"/>
    <n v="0"/>
    <n v="0"/>
    <n v="0"/>
    <m/>
    <m/>
  </r>
  <r>
    <n v="0"/>
    <s v="CMS S.60.10.000"/>
    <s v="SUPORTE"/>
    <m/>
    <m/>
    <m/>
    <m/>
    <m/>
    <m/>
    <m/>
    <m/>
    <s v="LINHA DO CIRCUITO ARENOSO LINHA DE DESCARGA  DO DISTRIBUIDOR DI-145A-9913"/>
    <s v="SC-006"/>
    <s v="SP 8305 H"/>
    <s v="1450AA-L-70046"/>
    <s v="1450AA-S-58305"/>
    <n v="2"/>
    <s v="PÇ"/>
    <n v="66"/>
    <n v="132"/>
    <n v="0"/>
    <n v="0"/>
    <n v="0"/>
    <n v="0.9"/>
    <n v="0.1"/>
    <m/>
    <m/>
    <m/>
    <n v="0"/>
    <m/>
    <n v="0"/>
    <n v="132"/>
    <m/>
    <n v="0"/>
    <n v="0"/>
    <n v="0"/>
    <m/>
    <m/>
    <m/>
    <n v="0"/>
    <n v="0"/>
    <n v="0"/>
    <n v="0"/>
    <m/>
    <m/>
  </r>
  <r>
    <n v="0"/>
    <s v="CMS S.60.10.000"/>
    <s v="SUPORTE"/>
    <m/>
    <m/>
    <m/>
    <m/>
    <m/>
    <m/>
    <m/>
    <m/>
    <s v="LINHA DO CIRCUITO ARENOSO LINHA DE DESCARGA  DO DISTRIBUIDOR DI-145A-9913"/>
    <s v="SC-006"/>
    <s v="SP 8305 J"/>
    <s v="1450AA-L-70046"/>
    <s v="1450AA-S-58305"/>
    <n v="1"/>
    <s v="PÇ"/>
    <n v="8.9"/>
    <n v="8.9"/>
    <n v="0"/>
    <n v="0"/>
    <n v="0"/>
    <n v="0.9"/>
    <n v="0.1"/>
    <m/>
    <m/>
    <m/>
    <n v="0"/>
    <m/>
    <n v="0"/>
    <n v="8.9"/>
    <m/>
    <n v="0"/>
    <n v="0"/>
    <n v="0"/>
    <m/>
    <m/>
    <m/>
    <n v="0"/>
    <n v="0"/>
    <n v="0"/>
    <n v="0"/>
    <m/>
    <m/>
  </r>
  <r>
    <n v="0"/>
    <s v="CMS S.60.10.000"/>
    <s v="SUPORTE"/>
    <m/>
    <m/>
    <m/>
    <m/>
    <m/>
    <m/>
    <m/>
    <m/>
    <s v="LINHA DO CIRCUITO ARENOSO LINHA DE DESCARGA  DO DISTRIBUIDOR DI-145A-9913"/>
    <s v="SC-006"/>
    <s v="SP 8305 K"/>
    <s v="1450AA-L-70046"/>
    <s v="1450AA-S-58305"/>
    <n v="1"/>
    <s v="PÇ"/>
    <n v="7.3"/>
    <n v="7.3"/>
    <n v="0"/>
    <n v="0"/>
    <n v="0"/>
    <n v="0.9"/>
    <n v="0.1"/>
    <m/>
    <m/>
    <m/>
    <n v="0"/>
    <m/>
    <n v="0"/>
    <n v="7.3"/>
    <m/>
    <n v="0"/>
    <n v="0"/>
    <n v="0"/>
    <m/>
    <m/>
    <m/>
    <n v="0"/>
    <n v="0"/>
    <n v="0"/>
    <n v="0"/>
    <m/>
    <m/>
  </r>
  <r>
    <n v="0"/>
    <s v="CMS S.60.10.000"/>
    <s v="SUPORTE"/>
    <m/>
    <m/>
    <m/>
    <m/>
    <m/>
    <m/>
    <m/>
    <m/>
    <s v="LINHA DO CIRCUITO ARENOSO LINHA DE DESCARGA  DO DISTRIBUIDOR DI-145A-9913"/>
    <s v="SC-006"/>
    <s v="SP 8305 L"/>
    <s v="1450AA-L-70046"/>
    <s v="1450AA-S-58305"/>
    <n v="3"/>
    <s v="PÇ"/>
    <n v="7.3"/>
    <n v="21.9"/>
    <n v="0"/>
    <n v="0"/>
    <n v="0"/>
    <n v="0.9"/>
    <n v="0.1"/>
    <m/>
    <m/>
    <m/>
    <n v="0"/>
    <m/>
    <n v="0"/>
    <n v="21.9"/>
    <m/>
    <n v="0"/>
    <n v="0"/>
    <n v="0"/>
    <m/>
    <m/>
    <m/>
    <n v="0"/>
    <n v="0"/>
    <n v="0"/>
    <n v="0"/>
    <m/>
    <m/>
  </r>
  <r>
    <n v="0"/>
    <s v="CMS S.60.10.000"/>
    <s v="SUPORTE"/>
    <m/>
    <m/>
    <m/>
    <m/>
    <m/>
    <m/>
    <m/>
    <m/>
    <s v="LINHA DO CIRCUITO ARENOSO LINHA DE DESCARGA  DO DISTRIBUIDOR DI-145A-9914"/>
    <s v="SC-006"/>
    <s v="SP 8306 A"/>
    <m/>
    <s v="1450AA-S-58306"/>
    <n v="2"/>
    <s v="PÇ"/>
    <n v="49.8"/>
    <n v="99.6"/>
    <n v="0"/>
    <n v="0"/>
    <n v="0"/>
    <n v="0.9"/>
    <n v="0.1"/>
    <m/>
    <m/>
    <m/>
    <n v="0"/>
    <m/>
    <n v="0"/>
    <n v="99.6"/>
    <m/>
    <n v="0"/>
    <n v="0"/>
    <n v="0"/>
    <m/>
    <m/>
    <m/>
    <n v="0"/>
    <n v="0"/>
    <n v="0"/>
    <n v="0"/>
    <m/>
    <m/>
  </r>
  <r>
    <n v="0"/>
    <s v="CMS S.60.10.000"/>
    <s v="SUPORTE"/>
    <m/>
    <m/>
    <m/>
    <m/>
    <m/>
    <m/>
    <m/>
    <m/>
    <s v="LINHA DO CIRCUITO ARENOSO LINHA DE DESCARGA  DO DISTRIBUIDOR DI-145A-9914"/>
    <s v="SC-006"/>
    <s v="SP 8306 B"/>
    <m/>
    <s v="1450AA-S-58306"/>
    <n v="1"/>
    <s v="PÇ"/>
    <n v="70.7"/>
    <n v="70.7"/>
    <n v="0"/>
    <n v="0"/>
    <n v="0"/>
    <n v="0.9"/>
    <n v="0.1"/>
    <m/>
    <m/>
    <m/>
    <n v="0"/>
    <m/>
    <n v="0"/>
    <n v="70.7"/>
    <m/>
    <n v="0"/>
    <n v="0"/>
    <n v="0"/>
    <m/>
    <m/>
    <m/>
    <n v="0"/>
    <n v="0"/>
    <n v="0"/>
    <n v="0"/>
    <m/>
    <m/>
  </r>
  <r>
    <n v="0"/>
    <s v="CMS S.60.10.000"/>
    <s v="SUPORTE"/>
    <m/>
    <m/>
    <m/>
    <m/>
    <m/>
    <m/>
    <m/>
    <m/>
    <s v="LINHA DO CIRCUITO ARENOSO LINHA DE DESCARGA  DO DISTRIBUIDOR DI-145A-9914"/>
    <s v="SC-006"/>
    <s v="SP 8306 C"/>
    <m/>
    <s v="1450AA-S-58306"/>
    <n v="9"/>
    <s v="PÇ"/>
    <n v="7.2"/>
    <n v="64.8"/>
    <n v="0"/>
    <n v="0"/>
    <n v="0"/>
    <n v="0.9"/>
    <n v="0.1"/>
    <m/>
    <m/>
    <m/>
    <n v="0"/>
    <m/>
    <n v="0"/>
    <n v="64.8"/>
    <m/>
    <n v="0"/>
    <n v="0"/>
    <n v="0"/>
    <m/>
    <m/>
    <m/>
    <n v="0"/>
    <n v="0"/>
    <n v="0"/>
    <n v="0"/>
    <m/>
    <m/>
  </r>
  <r>
    <n v="0"/>
    <s v="CMS S.60.10.000"/>
    <s v="SUPORTE"/>
    <m/>
    <m/>
    <m/>
    <m/>
    <m/>
    <m/>
    <m/>
    <m/>
    <s v="LINHA DO CIRCUITO ARENOSO LINHA DE DESCARGA  DO DISTRIBUIDOR DI-145A-9914"/>
    <s v="SC-006"/>
    <s v="SP 8306 D"/>
    <m/>
    <s v="1450AA-S-58306"/>
    <n v="1"/>
    <s v="PÇ"/>
    <n v="13.1"/>
    <n v="13.1"/>
    <n v="0"/>
    <n v="0"/>
    <n v="0"/>
    <n v="0.9"/>
    <n v="0.1"/>
    <m/>
    <m/>
    <m/>
    <n v="0"/>
    <m/>
    <n v="0"/>
    <n v="13.1"/>
    <m/>
    <n v="0"/>
    <n v="0"/>
    <n v="0"/>
    <m/>
    <m/>
    <m/>
    <n v="0"/>
    <n v="0"/>
    <n v="0"/>
    <n v="0"/>
    <m/>
    <m/>
  </r>
  <r>
    <n v="0"/>
    <s v="CMS S.60.10.000"/>
    <s v="SUPORTE"/>
    <m/>
    <m/>
    <m/>
    <m/>
    <m/>
    <m/>
    <m/>
    <m/>
    <s v="LINHA DO CIRCUITO ARENOSO LINHA DE DESCARGA  DO DISTRIBUIDOR DI-145A-9914"/>
    <s v="SC-006"/>
    <s v="SP 8306 E"/>
    <m/>
    <s v="1450AA-S-58306"/>
    <n v="1"/>
    <s v="PÇ"/>
    <n v="8.5"/>
    <n v="8.5"/>
    <n v="0"/>
    <n v="0"/>
    <n v="0"/>
    <n v="0.9"/>
    <n v="0.1"/>
    <m/>
    <m/>
    <m/>
    <n v="0"/>
    <m/>
    <n v="0"/>
    <n v="8.5"/>
    <m/>
    <n v="0"/>
    <n v="0"/>
    <n v="0"/>
    <m/>
    <m/>
    <m/>
    <n v="0"/>
    <n v="0"/>
    <n v="0"/>
    <n v="0"/>
    <m/>
    <m/>
  </r>
  <r>
    <n v="0"/>
    <s v="CMS S.60.10.000"/>
    <s v="SUPORTE"/>
    <m/>
    <m/>
    <m/>
    <m/>
    <m/>
    <m/>
    <m/>
    <m/>
    <s v="LINHA DO CIRCUITO ARENOSO LINHA DE DESCARGA  DO DISTRIBUIDOR DI-145A-9914"/>
    <s v="SC-006"/>
    <s v="SP 8306 F"/>
    <m/>
    <s v="1450AA-S-58306"/>
    <n v="1"/>
    <s v="PÇ"/>
    <n v="5.8"/>
    <n v="5.8"/>
    <n v="0"/>
    <n v="0"/>
    <n v="0"/>
    <n v="0.9"/>
    <n v="0.1"/>
    <m/>
    <m/>
    <m/>
    <n v="0"/>
    <m/>
    <n v="0"/>
    <n v="5.8"/>
    <m/>
    <n v="0"/>
    <n v="0"/>
    <n v="0"/>
    <m/>
    <m/>
    <m/>
    <n v="0"/>
    <n v="0"/>
    <n v="0"/>
    <n v="0"/>
    <m/>
    <m/>
  </r>
  <r>
    <n v="0"/>
    <s v="CMS S.60.10.000"/>
    <s v="SUPORTE"/>
    <m/>
    <m/>
    <m/>
    <m/>
    <m/>
    <m/>
    <m/>
    <m/>
    <s v="LINHA DO CIRCUITO ARENOSO LINHA DE DESCARGA  DO DISTRIBUIDOR DI-145A-9914"/>
    <s v="SC-006"/>
    <s v="SP 8306 G"/>
    <m/>
    <s v="1450AA-S-58306"/>
    <n v="1"/>
    <s v="PÇ"/>
    <n v="3.5"/>
    <n v="3.5"/>
    <n v="0"/>
    <n v="0"/>
    <n v="0"/>
    <n v="0.9"/>
    <n v="0.1"/>
    <m/>
    <m/>
    <m/>
    <n v="0"/>
    <m/>
    <n v="0"/>
    <n v="3.5"/>
    <m/>
    <n v="0"/>
    <n v="0"/>
    <n v="0"/>
    <m/>
    <m/>
    <m/>
    <n v="0"/>
    <n v="0"/>
    <n v="0"/>
    <n v="0"/>
    <m/>
    <m/>
  </r>
  <r>
    <n v="0"/>
    <s v="CMS S.60.10.000"/>
    <s v="SUPORTE"/>
    <m/>
    <m/>
    <m/>
    <m/>
    <m/>
    <m/>
    <m/>
    <m/>
    <s v="LINHA DO CIRCUITO ARENOSO LINHA DE DESCARGA  DO DISTRIBUIDOR DI-145A-9914"/>
    <s v="SC-006"/>
    <s v="SP 8306 H"/>
    <m/>
    <s v="1450AA-S-58306"/>
    <n v="1"/>
    <s v="PÇ"/>
    <n v="30.6"/>
    <n v="30.6"/>
    <n v="0"/>
    <n v="0"/>
    <n v="0"/>
    <n v="0.9"/>
    <n v="0.1"/>
    <m/>
    <m/>
    <m/>
    <n v="0"/>
    <m/>
    <n v="0"/>
    <n v="30.6"/>
    <m/>
    <n v="0"/>
    <n v="0"/>
    <n v="0"/>
    <m/>
    <m/>
    <m/>
    <n v="0"/>
    <n v="0"/>
    <n v="0"/>
    <n v="0"/>
    <m/>
    <m/>
  </r>
  <r>
    <n v="0"/>
    <s v="CMS S.60.10.000"/>
    <s v="SUPORTE"/>
    <m/>
    <m/>
    <m/>
    <m/>
    <m/>
    <m/>
    <m/>
    <m/>
    <s v="LINHA DO CIRCUITO ARENOSO LINHA DE DESCARGA  DO DISTRIBUIDOR DI-145A-9914"/>
    <s v="SC-006"/>
    <s v="SP 8306 J"/>
    <m/>
    <s v="1450AA-S-58306"/>
    <n v="1"/>
    <s v="PÇ"/>
    <n v="17.5"/>
    <n v="17.5"/>
    <n v="0"/>
    <n v="0"/>
    <n v="0"/>
    <n v="0.9"/>
    <n v="0.1"/>
    <m/>
    <m/>
    <m/>
    <n v="0"/>
    <m/>
    <n v="0"/>
    <n v="17.5"/>
    <m/>
    <n v="0"/>
    <n v="0"/>
    <n v="0"/>
    <m/>
    <m/>
    <m/>
    <n v="0"/>
    <n v="0"/>
    <n v="0"/>
    <n v="0"/>
    <m/>
    <m/>
  </r>
  <r>
    <n v="0"/>
    <s v="CMS S.60.10.000"/>
    <s v="SUPORTE"/>
    <m/>
    <m/>
    <m/>
    <m/>
    <m/>
    <m/>
    <m/>
    <m/>
    <s v="LINHA DO CIRCUITO ARENOSO LINHA DE DESCARGA  DO DISTRIBUIDOR DI-145A-9914"/>
    <s v="SC-006"/>
    <s v="SP 8306 K"/>
    <m/>
    <s v="1450AA-S-58306"/>
    <n v="1"/>
    <s v="PÇ"/>
    <n v="11"/>
    <n v="11"/>
    <n v="0"/>
    <n v="0"/>
    <n v="0"/>
    <n v="0.9"/>
    <n v="0.1"/>
    <m/>
    <m/>
    <m/>
    <n v="0"/>
    <m/>
    <n v="0"/>
    <n v="11"/>
    <m/>
    <n v="0"/>
    <n v="0"/>
    <n v="0"/>
    <m/>
    <m/>
    <m/>
    <n v="0"/>
    <n v="0"/>
    <n v="0"/>
    <n v="0"/>
    <m/>
    <m/>
  </r>
  <r>
    <n v="0"/>
    <s v="CMS S.60.10.000"/>
    <s v="SUPORTE"/>
    <m/>
    <m/>
    <m/>
    <m/>
    <m/>
    <m/>
    <m/>
    <m/>
    <s v="LINHA DO CIRCUITO ARENOSO LINHA DE DESCARGA  DO DISTRIBUIDOR DI-145A-9914"/>
    <s v="SC-006"/>
    <s v="SP 8306 L"/>
    <m/>
    <s v="1450AA-S-58306"/>
    <n v="3"/>
    <s v="PÇ"/>
    <n v="41.5"/>
    <n v="124.5"/>
    <n v="0"/>
    <n v="0"/>
    <n v="0"/>
    <n v="0.9"/>
    <n v="0.1"/>
    <m/>
    <m/>
    <m/>
    <n v="0"/>
    <m/>
    <n v="0"/>
    <n v="124.5"/>
    <m/>
    <n v="0"/>
    <n v="0"/>
    <n v="0"/>
    <m/>
    <m/>
    <m/>
    <n v="0"/>
    <n v="0"/>
    <n v="0"/>
    <n v="0"/>
    <m/>
    <m/>
  </r>
  <r>
    <n v="0"/>
    <s v="CMS S.60.10.000"/>
    <s v="SUPORTE"/>
    <m/>
    <m/>
    <m/>
    <m/>
    <m/>
    <m/>
    <m/>
    <m/>
    <s v="LINHA DO CIRCUITO ARENOSO LINHA DE DESCARGA  DO DISTRIBUIDOR DI-145A-9914"/>
    <s v="SC-006"/>
    <s v="SP 8306 M"/>
    <m/>
    <s v="1450AA-S-58306"/>
    <n v="3"/>
    <s v="PÇ"/>
    <n v="38.800000000000004"/>
    <n v="116.4"/>
    <n v="0"/>
    <n v="0"/>
    <n v="0"/>
    <n v="0.9"/>
    <n v="0.1"/>
    <m/>
    <m/>
    <m/>
    <n v="0"/>
    <m/>
    <n v="0"/>
    <n v="116.4"/>
    <m/>
    <n v="0"/>
    <n v="0"/>
    <n v="0"/>
    <m/>
    <m/>
    <m/>
    <n v="0"/>
    <n v="0"/>
    <n v="0"/>
    <n v="0"/>
    <m/>
    <m/>
  </r>
  <r>
    <n v="0"/>
    <s v="CMS S.60.10.000"/>
    <s v="SUPORTE"/>
    <m/>
    <m/>
    <m/>
    <m/>
    <m/>
    <m/>
    <m/>
    <m/>
    <s v="LINHA DO CIRCUITO ARENOSO LINHA DE DESCARGA  DO DISTRIBUIDOR DI-145A-9914"/>
    <s v="SC-006"/>
    <s v="SP 8306 N"/>
    <m/>
    <s v="1450AA-S-58306"/>
    <n v="1"/>
    <s v="PÇ"/>
    <n v="3.1999999999999997"/>
    <n v="3.1999999999999997"/>
    <n v="0"/>
    <n v="0"/>
    <n v="0"/>
    <n v="0.9"/>
    <n v="0.1"/>
    <m/>
    <m/>
    <m/>
    <n v="0"/>
    <m/>
    <n v="0"/>
    <n v="3.1999999999999997"/>
    <m/>
    <n v="0"/>
    <n v="0"/>
    <n v="0"/>
    <m/>
    <m/>
    <m/>
    <n v="0"/>
    <n v="0"/>
    <n v="0"/>
    <n v="0"/>
    <m/>
    <m/>
  </r>
  <r>
    <n v="0"/>
    <s v="CMS S.60.10.000"/>
    <s v="SUPORTE"/>
    <m/>
    <m/>
    <m/>
    <m/>
    <m/>
    <m/>
    <m/>
    <m/>
    <s v="LINHA DO CIRCUITO ARENOSO LINHA DE DESCARGA  DO DISTRIBUIDOR DI-145A-9914"/>
    <s v="SC-006"/>
    <s v="SP 8306 P"/>
    <m/>
    <s v="1450AA-S-58306"/>
    <n v="1"/>
    <s v="PÇ"/>
    <n v="2.3000000000000003"/>
    <n v="2.3000000000000003"/>
    <n v="0"/>
    <n v="0"/>
    <n v="0"/>
    <n v="0.9"/>
    <n v="0.1"/>
    <m/>
    <m/>
    <m/>
    <n v="0"/>
    <m/>
    <n v="0"/>
    <n v="2.3000000000000003"/>
    <m/>
    <n v="0"/>
    <n v="0"/>
    <n v="0"/>
    <m/>
    <m/>
    <m/>
    <n v="0"/>
    <n v="0"/>
    <n v="0"/>
    <n v="0"/>
    <m/>
    <m/>
  </r>
  <r>
    <n v="0"/>
    <s v="CMS S.60.10.000"/>
    <s v="SUPORTE"/>
    <m/>
    <m/>
    <m/>
    <m/>
    <m/>
    <m/>
    <m/>
    <m/>
    <s v="LINHA DO CIRCUITO ARENOSO LINHA DE DESCARGA  DO DISTRIBUIDOR DI-145A-9914"/>
    <s v="SC-006"/>
    <s v="SP 8306 Q"/>
    <m/>
    <s v="1450AA-S-58306"/>
    <n v="1"/>
    <s v="PÇ"/>
    <n v="0.6"/>
    <n v="0.6"/>
    <n v="0"/>
    <n v="0"/>
    <n v="0"/>
    <n v="0.9"/>
    <n v="0.1"/>
    <m/>
    <m/>
    <m/>
    <n v="0"/>
    <m/>
    <n v="0"/>
    <n v="0.6"/>
    <m/>
    <n v="0"/>
    <n v="0"/>
    <n v="0"/>
    <m/>
    <m/>
    <m/>
    <n v="0"/>
    <n v="0"/>
    <n v="0"/>
    <n v="0"/>
    <m/>
    <m/>
  </r>
  <r>
    <n v="0"/>
    <s v="CMS S.60.10.000"/>
    <s v="SUPORTE"/>
    <m/>
    <m/>
    <m/>
    <m/>
    <m/>
    <m/>
    <m/>
    <m/>
    <s v="LINHA DO CIRCUITO ARENOSO LINHA DE DESCARGA  DO DISTRIBUIDOR DI-145A-9914"/>
    <s v="SC-006"/>
    <s v="SP 8306 R"/>
    <m/>
    <s v="1450AA-S-58306"/>
    <n v="1"/>
    <s v="PÇ"/>
    <n v="0.5"/>
    <n v="0.5"/>
    <n v="0"/>
    <n v="0"/>
    <n v="0"/>
    <n v="0.9"/>
    <n v="0.1"/>
    <m/>
    <m/>
    <m/>
    <n v="0"/>
    <m/>
    <n v="0"/>
    <n v="0.5"/>
    <m/>
    <n v="0"/>
    <n v="0"/>
    <n v="0"/>
    <m/>
    <m/>
    <m/>
    <n v="0"/>
    <n v="0"/>
    <n v="0"/>
    <n v="0"/>
    <m/>
    <m/>
  </r>
  <r>
    <n v="0"/>
    <s v="CMS S.60.10.000"/>
    <s v="SUPORTE"/>
    <m/>
    <m/>
    <m/>
    <m/>
    <m/>
    <m/>
    <m/>
    <m/>
    <s v="LINHA DO CIRCUITO ARENOSO LINHA DE DESCARGA  DO DISTRIBUIDOR DI-145A-9914"/>
    <s v="SC-006"/>
    <s v="SP 8306 S"/>
    <m/>
    <s v="1450AA-S-58306"/>
    <n v="1"/>
    <s v="PÇ"/>
    <n v="13.4"/>
    <n v="13.4"/>
    <n v="0"/>
    <n v="0"/>
    <n v="0"/>
    <n v="0.9"/>
    <n v="0.1"/>
    <m/>
    <m/>
    <m/>
    <n v="0"/>
    <m/>
    <n v="0"/>
    <n v="13.4"/>
    <m/>
    <n v="0"/>
    <n v="0"/>
    <n v="0"/>
    <m/>
    <m/>
    <m/>
    <n v="0"/>
    <n v="0"/>
    <n v="0"/>
    <n v="0"/>
    <m/>
    <m/>
  </r>
  <r>
    <n v="0"/>
    <s v="CMS S.60.10.000"/>
    <s v="SUPORTE"/>
    <m/>
    <m/>
    <m/>
    <m/>
    <m/>
    <m/>
    <m/>
    <m/>
    <s v="LINHA DO CIRCUITO ARENOSO LINHA DE DESCARGA  DO DISTRIBUIDOR DI-145A-9914"/>
    <s v="SC-006"/>
    <s v="SP 8306 T"/>
    <m/>
    <s v="1450AA-S-58306"/>
    <n v="1"/>
    <s v="PÇ"/>
    <n v="10"/>
    <n v="10"/>
    <n v="0"/>
    <n v="0"/>
    <n v="0"/>
    <n v="0.9"/>
    <n v="0.1"/>
    <m/>
    <m/>
    <m/>
    <n v="0"/>
    <m/>
    <n v="0"/>
    <n v="10"/>
    <m/>
    <n v="0"/>
    <n v="0"/>
    <n v="0"/>
    <m/>
    <m/>
    <m/>
    <n v="0"/>
    <n v="0"/>
    <n v="0"/>
    <n v="0"/>
    <m/>
    <m/>
  </r>
  <r>
    <n v="0"/>
    <s v="CMS S.60.10.000"/>
    <s v="SUPORTE"/>
    <m/>
    <m/>
    <m/>
    <m/>
    <m/>
    <m/>
    <m/>
    <m/>
    <s v="LINHA DE UNDERFLOW DAS PENEIRAS DESAGUADORAS"/>
    <s v="SC-026"/>
    <s v="SP 8307 A"/>
    <s v="1450AA-L-70113"/>
    <s v="1450AA-S-58307"/>
    <n v="1"/>
    <s v="PÇ"/>
    <n v="12.7"/>
    <n v="12.7"/>
    <n v="0"/>
    <n v="0"/>
    <n v="0"/>
    <n v="0.9"/>
    <n v="0.1"/>
    <m/>
    <m/>
    <m/>
    <n v="0"/>
    <m/>
    <n v="0"/>
    <n v="12.7"/>
    <m/>
    <n v="0"/>
    <n v="0"/>
    <n v="0"/>
    <m/>
    <m/>
    <m/>
    <n v="0"/>
    <n v="0"/>
    <n v="0"/>
    <n v="0"/>
    <m/>
    <m/>
  </r>
  <r>
    <n v="0"/>
    <s v="CMS S.60.10.000"/>
    <s v="SUPORTE"/>
    <m/>
    <m/>
    <m/>
    <m/>
    <m/>
    <m/>
    <m/>
    <m/>
    <s v="LINHA DE UNDERFLOW DAS PENEIRAS DESAGUADORAS"/>
    <s v="SC-026"/>
    <s v="SP 8307 B"/>
    <s v="1450AA-L-70113"/>
    <s v="1450AA-S-58307"/>
    <n v="1"/>
    <s v="PÇ"/>
    <n v="24.5"/>
    <n v="24.5"/>
    <n v="0"/>
    <n v="0"/>
    <n v="0"/>
    <n v="0.9"/>
    <n v="0.1"/>
    <m/>
    <m/>
    <m/>
    <n v="0"/>
    <m/>
    <n v="0"/>
    <n v="24.5"/>
    <m/>
    <n v="0"/>
    <n v="0"/>
    <n v="0"/>
    <m/>
    <m/>
    <m/>
    <n v="0"/>
    <n v="0"/>
    <n v="0"/>
    <n v="0"/>
    <m/>
    <m/>
  </r>
  <r>
    <n v="0"/>
    <s v="CMS S.60.10.000"/>
    <s v="SUPORTE"/>
    <m/>
    <m/>
    <m/>
    <m/>
    <m/>
    <m/>
    <m/>
    <m/>
    <s v="LINHA DE UNDERFLOW DAS PENEIRAS DESAGUADORAS"/>
    <s v="SC-026"/>
    <s v="SP 8307 C"/>
    <s v="1450AA-L-70113"/>
    <s v="1450AA-S-58307"/>
    <n v="2"/>
    <s v="PÇ"/>
    <n v="33.9"/>
    <n v="67.8"/>
    <n v="0"/>
    <n v="0"/>
    <n v="0"/>
    <n v="0.9"/>
    <n v="0.1"/>
    <m/>
    <m/>
    <m/>
    <n v="0"/>
    <m/>
    <n v="0"/>
    <n v="67.8"/>
    <m/>
    <n v="0"/>
    <n v="0"/>
    <n v="0"/>
    <m/>
    <m/>
    <m/>
    <n v="0"/>
    <n v="0"/>
    <n v="0"/>
    <n v="0"/>
    <m/>
    <m/>
  </r>
  <r>
    <n v="0"/>
    <s v="CMS S.60.10.000"/>
    <s v="SUPORTE"/>
    <m/>
    <m/>
    <m/>
    <m/>
    <m/>
    <m/>
    <m/>
    <m/>
    <s v="LINHA DE UNDERFLOW DAS PENEIRAS DESAGUADORAS"/>
    <s v="SC-026"/>
    <s v="SP 8307 D"/>
    <s v="1450AA-L-70113"/>
    <s v="1450AA-S-58307"/>
    <n v="2"/>
    <s v="PÇ"/>
    <n v="4.1000000000000005"/>
    <n v="8.2000000000000011"/>
    <n v="0"/>
    <n v="0"/>
    <n v="0"/>
    <n v="0.9"/>
    <n v="0.1"/>
    <m/>
    <m/>
    <m/>
    <n v="0"/>
    <m/>
    <n v="0"/>
    <n v="8.2000000000000011"/>
    <m/>
    <n v="0"/>
    <n v="0"/>
    <n v="0"/>
    <m/>
    <m/>
    <m/>
    <n v="0"/>
    <n v="0"/>
    <n v="0"/>
    <n v="0"/>
    <m/>
    <m/>
  </r>
  <r>
    <n v="0"/>
    <s v="CMS S.60.10.000"/>
    <s v="SUPORTE"/>
    <m/>
    <m/>
    <m/>
    <m/>
    <m/>
    <m/>
    <m/>
    <m/>
    <s v="LINHA DE UNDERFLOW DAS PENEIRAS DESAGUADORAS"/>
    <s v="SC-026"/>
    <s v="SP 8307 E"/>
    <s v="1450AA-L-70113"/>
    <s v="1450AA-S-58307"/>
    <n v="1"/>
    <s v="PÇ"/>
    <n v="8.1999999999999993"/>
    <n v="8.1999999999999993"/>
    <n v="0"/>
    <n v="0"/>
    <n v="0"/>
    <n v="0.9"/>
    <n v="0.1"/>
    <m/>
    <m/>
    <m/>
    <n v="0"/>
    <m/>
    <n v="0"/>
    <n v="8.1999999999999993"/>
    <m/>
    <n v="0"/>
    <n v="0"/>
    <n v="0"/>
    <m/>
    <m/>
    <m/>
    <n v="0"/>
    <n v="0"/>
    <n v="0"/>
    <n v="0"/>
    <m/>
    <m/>
  </r>
  <r>
    <n v="0"/>
    <s v="CMS S.60.10.000"/>
    <s v="SUPORTE"/>
    <m/>
    <m/>
    <m/>
    <m/>
    <m/>
    <m/>
    <m/>
    <m/>
    <s v="LINHA DE UNDERFLOW DAS PENEIRAS DESAGUADORAS"/>
    <s v="SC-026"/>
    <s v="SP 8307 F"/>
    <s v="1450AA-L-70113"/>
    <s v="1450AA-S-58307"/>
    <n v="4"/>
    <s v="PÇ"/>
    <n v="11.4"/>
    <n v="45.6"/>
    <n v="0"/>
    <n v="0"/>
    <n v="0"/>
    <n v="0.9"/>
    <n v="0.1"/>
    <m/>
    <m/>
    <m/>
    <n v="0"/>
    <m/>
    <n v="0"/>
    <n v="45.6"/>
    <m/>
    <n v="0"/>
    <n v="0"/>
    <n v="0"/>
    <m/>
    <m/>
    <m/>
    <n v="0"/>
    <n v="0"/>
    <n v="0"/>
    <n v="0"/>
    <m/>
    <m/>
  </r>
  <r>
    <n v="0"/>
    <s v="CMS S.60.10.000"/>
    <s v="SUPORTE"/>
    <m/>
    <m/>
    <m/>
    <m/>
    <m/>
    <m/>
    <m/>
    <m/>
    <s v="LINHA DE UNDERFLOW DAS PENEIRAS DESAGUADORAS"/>
    <s v="SC-026"/>
    <s v="SP 8307 G"/>
    <s v="1450AA-L-70113"/>
    <s v="1450AA-S-58307"/>
    <n v="1"/>
    <s v="PÇ"/>
    <n v="16.2"/>
    <n v="16.2"/>
    <n v="0"/>
    <n v="0"/>
    <n v="0"/>
    <n v="0.9"/>
    <n v="0.1"/>
    <m/>
    <m/>
    <m/>
    <n v="0"/>
    <m/>
    <n v="0"/>
    <n v="16.2"/>
    <m/>
    <n v="0"/>
    <n v="0"/>
    <n v="0"/>
    <m/>
    <m/>
    <m/>
    <n v="0"/>
    <n v="0"/>
    <n v="0"/>
    <n v="0"/>
    <m/>
    <m/>
  </r>
  <r>
    <n v="0"/>
    <s v="CMS S.60.10.000"/>
    <s v="SUPORTE"/>
    <m/>
    <m/>
    <m/>
    <m/>
    <m/>
    <m/>
    <m/>
    <m/>
    <s v="LINHA DE UNDERFLOW DAS PENEIRAS DESAGUADORAS"/>
    <s v="SC-026"/>
    <s v="SP 8307 H"/>
    <s v="1450AA-L-70113"/>
    <s v="1450AA-S-58307"/>
    <n v="1"/>
    <s v="PÇ"/>
    <n v="18.600000000000001"/>
    <n v="18.600000000000001"/>
    <n v="0"/>
    <n v="0"/>
    <n v="0"/>
    <n v="0.9"/>
    <n v="0.1"/>
    <m/>
    <m/>
    <m/>
    <n v="0"/>
    <m/>
    <n v="0"/>
    <n v="18.600000000000001"/>
    <m/>
    <n v="0"/>
    <n v="0"/>
    <n v="0"/>
    <m/>
    <m/>
    <m/>
    <n v="0"/>
    <n v="0"/>
    <n v="0"/>
    <n v="0"/>
    <m/>
    <m/>
  </r>
  <r>
    <n v="0"/>
    <s v="CMS S.60.10.000"/>
    <s v="SUPORTE"/>
    <m/>
    <m/>
    <m/>
    <m/>
    <m/>
    <m/>
    <m/>
    <m/>
    <s v="LINHA DE UNDERFLOW DAS PENEIRAS DESAGUADORAS"/>
    <s v="SC-026"/>
    <s v="SP 8307 J"/>
    <s v="1450AA-L-70113"/>
    <s v="1450AA-S-58307"/>
    <n v="3"/>
    <s v="PÇ"/>
    <n v="29.4"/>
    <n v="88.199999999999989"/>
    <n v="0"/>
    <n v="0"/>
    <n v="0"/>
    <n v="0.9"/>
    <n v="0.1"/>
    <m/>
    <m/>
    <m/>
    <n v="0"/>
    <m/>
    <n v="0"/>
    <n v="88.199999999999989"/>
    <m/>
    <n v="0"/>
    <n v="0"/>
    <n v="0"/>
    <m/>
    <m/>
    <m/>
    <n v="0"/>
    <n v="0"/>
    <n v="0"/>
    <n v="0"/>
    <m/>
    <m/>
  </r>
  <r>
    <n v="0"/>
    <s v="CMS S.60.10.000"/>
    <s v="SUPORTE"/>
    <m/>
    <m/>
    <m/>
    <m/>
    <m/>
    <m/>
    <m/>
    <m/>
    <s v="LINHA DE UNDERFLOW DAS PENEIRAS DESAGUADORAS"/>
    <s v="SC-026"/>
    <s v="SP 8307 K"/>
    <s v="1450AA-L-70113"/>
    <s v="1450AA-S-58307"/>
    <n v="2"/>
    <s v="PÇ"/>
    <n v="33.700000000000003"/>
    <n v="67.400000000000006"/>
    <n v="0"/>
    <n v="0"/>
    <n v="0"/>
    <n v="0.9"/>
    <n v="0.1"/>
    <m/>
    <m/>
    <m/>
    <n v="0"/>
    <m/>
    <n v="0"/>
    <n v="67.400000000000006"/>
    <m/>
    <n v="0"/>
    <n v="0"/>
    <n v="0"/>
    <m/>
    <m/>
    <m/>
    <n v="0"/>
    <n v="0"/>
    <n v="0"/>
    <n v="0"/>
    <m/>
    <m/>
  </r>
  <r>
    <n v="0"/>
    <s v="CMS S.60.10.000"/>
    <s v="SUPORTE"/>
    <m/>
    <m/>
    <m/>
    <m/>
    <m/>
    <m/>
    <m/>
    <m/>
    <s v="LINHA DE UNDERFLOW DAS PENEIRAS DESAGUADORAS"/>
    <s v="SC-026"/>
    <s v="SP 8307 L"/>
    <s v="1450AA-L-70113"/>
    <s v="1450AA-S-58307"/>
    <n v="1"/>
    <s v="PÇ"/>
    <n v="39.299999999999997"/>
    <n v="39.299999999999997"/>
    <n v="0"/>
    <n v="0"/>
    <n v="0"/>
    <n v="0.9"/>
    <n v="0.1"/>
    <m/>
    <m/>
    <m/>
    <n v="0"/>
    <m/>
    <n v="0"/>
    <n v="39.299999999999997"/>
    <m/>
    <n v="0"/>
    <n v="0"/>
    <n v="0"/>
    <m/>
    <m/>
    <m/>
    <n v="0"/>
    <n v="0"/>
    <n v="0"/>
    <n v="0"/>
    <m/>
    <m/>
  </r>
  <r>
    <n v="0"/>
    <s v="CMS S.60.10.000"/>
    <s v="SUPORTE"/>
    <m/>
    <m/>
    <m/>
    <m/>
    <m/>
    <m/>
    <m/>
    <m/>
    <s v="LINHA DE UNDERFLOW DAS PENEIRAS DESAGUADORAS"/>
    <s v="SC-026"/>
    <s v="SP 8307 M"/>
    <s v="1450AA-L-70113"/>
    <s v="1450AA-S-58307"/>
    <n v="9"/>
    <s v="PÇ"/>
    <n v="25.6"/>
    <n v="230.4"/>
    <n v="0"/>
    <n v="0"/>
    <n v="0"/>
    <n v="0.9"/>
    <n v="0.1"/>
    <m/>
    <m/>
    <m/>
    <n v="0"/>
    <m/>
    <n v="0"/>
    <n v="230.4"/>
    <m/>
    <n v="0"/>
    <n v="0"/>
    <n v="0"/>
    <m/>
    <m/>
    <m/>
    <n v="0"/>
    <n v="0"/>
    <n v="0"/>
    <n v="0"/>
    <m/>
    <m/>
  </r>
  <r>
    <n v="0"/>
    <s v="CMS S.60.10.000"/>
    <s v="SUPORTE"/>
    <m/>
    <m/>
    <m/>
    <m/>
    <m/>
    <m/>
    <m/>
    <m/>
    <s v="LINHA DE UNDERFLOW DAS PENEIRAS DESAGUADORAS"/>
    <s v="SC-026"/>
    <s v="SP 8307 N"/>
    <s v="1450AA-L-70113"/>
    <s v="1450AA-S-58307"/>
    <n v="1"/>
    <s v="PÇ"/>
    <n v="38.700000000000003"/>
    <n v="38.700000000000003"/>
    <n v="0"/>
    <n v="0"/>
    <n v="0"/>
    <n v="0.9"/>
    <n v="0.1"/>
    <m/>
    <m/>
    <m/>
    <n v="0"/>
    <m/>
    <n v="0"/>
    <n v="38.700000000000003"/>
    <m/>
    <n v="0"/>
    <n v="0"/>
    <n v="0"/>
    <m/>
    <m/>
    <m/>
    <n v="0"/>
    <n v="0"/>
    <n v="0"/>
    <n v="0"/>
    <m/>
    <m/>
  </r>
  <r>
    <n v="0"/>
    <s v="CMS S.60.10.000"/>
    <s v="SUPORTE"/>
    <m/>
    <m/>
    <m/>
    <m/>
    <m/>
    <m/>
    <m/>
    <m/>
    <s v="LINHA DE UNDERFLOW DAS PENEIRAS DESAGUADORAS"/>
    <s v="SC-026"/>
    <s v="SP 8307 P"/>
    <s v="1450AA-L-70113"/>
    <s v="1450AA-S-58307"/>
    <n v="1"/>
    <s v="PÇ"/>
    <n v="53.6"/>
    <n v="53.6"/>
    <n v="0"/>
    <n v="0"/>
    <n v="0"/>
    <n v="0.9"/>
    <n v="0.1"/>
    <m/>
    <m/>
    <m/>
    <n v="0"/>
    <m/>
    <n v="0"/>
    <n v="53.6"/>
    <m/>
    <n v="0"/>
    <n v="0"/>
    <n v="0"/>
    <m/>
    <m/>
    <m/>
    <n v="0"/>
    <n v="0"/>
    <n v="0"/>
    <n v="0"/>
    <m/>
    <m/>
  </r>
  <r>
    <n v="0"/>
    <s v="CMS S.60.10.000"/>
    <s v="SUPORTE"/>
    <m/>
    <m/>
    <m/>
    <m/>
    <m/>
    <m/>
    <m/>
    <m/>
    <s v="LINHA DE UNDERFLOW DAS PENEIRAS DESAGUADORAS"/>
    <s v="SC-026"/>
    <s v="SP 8307 Q"/>
    <s v="1450AA-L-70113"/>
    <s v="1450AA-S-58307"/>
    <n v="1"/>
    <s v="PÇ"/>
    <n v="70.599999999999994"/>
    <n v="70.599999999999994"/>
    <n v="0"/>
    <n v="0"/>
    <n v="0"/>
    <n v="0.9"/>
    <n v="0.1"/>
    <m/>
    <m/>
    <m/>
    <n v="0"/>
    <m/>
    <n v="0"/>
    <n v="70.599999999999994"/>
    <m/>
    <n v="0"/>
    <n v="0"/>
    <n v="0"/>
    <m/>
    <m/>
    <m/>
    <n v="0"/>
    <n v="0"/>
    <n v="0"/>
    <n v="0"/>
    <m/>
    <m/>
  </r>
  <r>
    <n v="0"/>
    <s v="CMS S.60.10.000"/>
    <s v="SUPORTE"/>
    <m/>
    <m/>
    <m/>
    <m/>
    <m/>
    <m/>
    <m/>
    <m/>
    <s v="LINHA DE UNDERFLOW DAS PENEIRAS DESAGUADORAS"/>
    <s v="SC-026"/>
    <s v="SP 8307 R"/>
    <s v="1450AA-L-70113"/>
    <s v="1450AA-S-58307"/>
    <n v="1"/>
    <s v="PÇ"/>
    <n v="81.099999999999994"/>
    <n v="81.099999999999994"/>
    <n v="0"/>
    <n v="0"/>
    <n v="0"/>
    <n v="0.9"/>
    <n v="0.1"/>
    <m/>
    <m/>
    <m/>
    <n v="0"/>
    <m/>
    <n v="0"/>
    <n v="81.099999999999994"/>
    <m/>
    <n v="0"/>
    <n v="0"/>
    <n v="0"/>
    <m/>
    <m/>
    <m/>
    <n v="0"/>
    <n v="0"/>
    <n v="0"/>
    <n v="0"/>
    <m/>
    <m/>
  </r>
  <r>
    <n v="0"/>
    <s v="CMS S.60.10.000"/>
    <s v="SUPORTE"/>
    <m/>
    <m/>
    <m/>
    <m/>
    <m/>
    <m/>
    <m/>
    <m/>
    <s v="LINHA DE UNDERFLOW DAS PENEIRAS DESAGUADORAS"/>
    <s v="SC-026"/>
    <s v="SP 8308 A"/>
    <s v="1450AA-L-70113"/>
    <s v="1450AA-S-58308"/>
    <n v="1"/>
    <s v="PÇ"/>
    <n v="36.200000000000003"/>
    <n v="36.200000000000003"/>
    <n v="0"/>
    <n v="0"/>
    <n v="0"/>
    <n v="0.9"/>
    <n v="0.1"/>
    <m/>
    <m/>
    <m/>
    <n v="0"/>
    <m/>
    <n v="0"/>
    <n v="36.200000000000003"/>
    <m/>
    <n v="0"/>
    <n v="0"/>
    <n v="0"/>
    <m/>
    <m/>
    <m/>
    <n v="0"/>
    <n v="0"/>
    <n v="0"/>
    <n v="0"/>
    <m/>
    <m/>
  </r>
  <r>
    <n v="0"/>
    <s v="CMS S.60.10.000"/>
    <s v="SUPORTE"/>
    <m/>
    <m/>
    <m/>
    <m/>
    <m/>
    <m/>
    <m/>
    <m/>
    <s v="LINHA DE UNDERFLOW DAS PENEIRAS DESAGUADORAS"/>
    <s v="SC-026"/>
    <s v="SP 8308 B"/>
    <s v="1450AA-L-70113"/>
    <s v="1450AA-S-58308"/>
    <n v="1"/>
    <s v="PÇ"/>
    <n v="33"/>
    <n v="33"/>
    <n v="0"/>
    <n v="0"/>
    <n v="0"/>
    <n v="0.9"/>
    <n v="0.1"/>
    <m/>
    <m/>
    <m/>
    <n v="0"/>
    <m/>
    <n v="0"/>
    <n v="33"/>
    <m/>
    <n v="0"/>
    <n v="0"/>
    <n v="0"/>
    <m/>
    <m/>
    <m/>
    <n v="0"/>
    <n v="0"/>
    <n v="0"/>
    <n v="0"/>
    <m/>
    <m/>
  </r>
  <r>
    <n v="0"/>
    <s v="CMS S.60.10.000"/>
    <s v="SUPORTE"/>
    <m/>
    <m/>
    <m/>
    <m/>
    <m/>
    <m/>
    <m/>
    <m/>
    <s v="LINHA DE UNDERFLOW DAS PENEIRAS DESAGUADORAS"/>
    <s v="SC-026"/>
    <s v="SP 8308 C"/>
    <s v="1450AA-L-70113"/>
    <s v="1450AA-S-58308"/>
    <n v="2"/>
    <s v="PÇ"/>
    <n v="7.3999999999999995"/>
    <n v="14.799999999999999"/>
    <n v="0"/>
    <n v="0"/>
    <n v="0"/>
    <n v="0.9"/>
    <n v="0.1"/>
    <m/>
    <m/>
    <m/>
    <n v="0"/>
    <m/>
    <n v="0"/>
    <n v="14.799999999999999"/>
    <m/>
    <n v="0"/>
    <n v="0"/>
    <n v="0"/>
    <m/>
    <m/>
    <m/>
    <n v="0"/>
    <n v="0"/>
    <n v="0"/>
    <n v="0"/>
    <m/>
    <m/>
  </r>
  <r>
    <n v="0"/>
    <s v="CMS S.60.10.000"/>
    <s v="SUPORTE"/>
    <m/>
    <m/>
    <m/>
    <m/>
    <m/>
    <m/>
    <m/>
    <m/>
    <s v="LINHA DE UNDERFLOW DAS PENEIRAS DESAGUADORAS"/>
    <s v="SC-026"/>
    <s v="SP 8308 D"/>
    <s v="1450AA-L-70113"/>
    <s v="1450AA-S-58308"/>
    <n v="3"/>
    <s v="PÇ"/>
    <n v="13.9"/>
    <n v="41.7"/>
    <n v="0"/>
    <n v="0"/>
    <n v="0"/>
    <n v="0.9"/>
    <n v="0.1"/>
    <m/>
    <m/>
    <m/>
    <n v="0"/>
    <m/>
    <n v="0"/>
    <n v="41.7"/>
    <m/>
    <n v="0"/>
    <n v="0"/>
    <n v="0"/>
    <m/>
    <m/>
    <m/>
    <n v="0"/>
    <n v="0"/>
    <n v="0"/>
    <n v="0"/>
    <m/>
    <m/>
  </r>
  <r>
    <n v="0"/>
    <s v="CMS S.60.10.000"/>
    <s v="SUPORTE"/>
    <m/>
    <m/>
    <m/>
    <m/>
    <m/>
    <m/>
    <m/>
    <m/>
    <s v="LINHA DE UNDERFLOW DAS PENEIRAS DESAGUADORAS"/>
    <s v="SC-026"/>
    <s v="SP 8308 E"/>
    <s v="1450AA-L-70113"/>
    <s v="1450AA-S-58308"/>
    <n v="3"/>
    <s v="PÇ"/>
    <n v="25.4"/>
    <n v="76.199999999999989"/>
    <n v="0"/>
    <n v="0"/>
    <n v="0"/>
    <n v="0.9"/>
    <n v="0.1"/>
    <m/>
    <m/>
    <m/>
    <n v="0"/>
    <m/>
    <n v="0"/>
    <n v="76.199999999999989"/>
    <m/>
    <n v="0"/>
    <n v="0"/>
    <n v="0"/>
    <m/>
    <m/>
    <m/>
    <n v="0"/>
    <n v="0"/>
    <n v="0"/>
    <n v="0"/>
    <m/>
    <m/>
  </r>
  <r>
    <n v="0"/>
    <s v="CMS S.60.10.000"/>
    <s v="SUPORTE"/>
    <m/>
    <m/>
    <m/>
    <m/>
    <m/>
    <m/>
    <m/>
    <m/>
    <s v="LINHA DE UNDERFLOW DAS PENEIRAS DESAGUADORAS"/>
    <s v="SC-026"/>
    <s v="SP 8308 F"/>
    <s v="1450AA-L-70113"/>
    <s v="1450AA-S-58308"/>
    <n v="1"/>
    <s v="PÇ"/>
    <n v="80.3"/>
    <n v="80.3"/>
    <n v="0"/>
    <n v="0"/>
    <n v="0"/>
    <n v="0.9"/>
    <n v="0.1"/>
    <m/>
    <m/>
    <m/>
    <n v="0"/>
    <m/>
    <n v="0"/>
    <n v="80.3"/>
    <m/>
    <n v="0"/>
    <n v="0"/>
    <n v="0"/>
    <m/>
    <m/>
    <m/>
    <n v="0"/>
    <n v="0"/>
    <n v="0"/>
    <n v="0"/>
    <m/>
    <m/>
  </r>
  <r>
    <n v="0"/>
    <s v="CMS S.60.10.000"/>
    <s v="SUPORTE"/>
    <m/>
    <m/>
    <m/>
    <m/>
    <m/>
    <m/>
    <m/>
    <m/>
    <s v="LINHA DE UNDERFLOW DAS PENEIRAS DESAGUADORAS"/>
    <s v="SC-026"/>
    <s v="SP 8308 G"/>
    <s v="1450AA-L-70113"/>
    <s v="1450AA-S-58308"/>
    <n v="1"/>
    <s v="PÇ"/>
    <n v="63.699999999999996"/>
    <n v="63.699999999999996"/>
    <n v="0"/>
    <n v="0"/>
    <n v="0"/>
    <n v="0.9"/>
    <n v="0.1"/>
    <m/>
    <m/>
    <m/>
    <n v="0"/>
    <m/>
    <n v="0"/>
    <n v="63.699999999999996"/>
    <m/>
    <n v="0"/>
    <n v="0"/>
    <n v="0"/>
    <m/>
    <m/>
    <m/>
    <n v="0"/>
    <n v="0"/>
    <n v="0"/>
    <n v="0"/>
    <m/>
    <m/>
  </r>
  <r>
    <n v="0"/>
    <s v="CMS S.60.10.000"/>
    <s v="SUPORTE"/>
    <m/>
    <m/>
    <m/>
    <m/>
    <m/>
    <m/>
    <m/>
    <m/>
    <s v="LINHA DE UNDERFLOW DAS PENEIRAS DESAGUADORAS"/>
    <s v="SC-026"/>
    <s v="SP 8308 H"/>
    <s v="1450AA-L-70113"/>
    <s v="1450AA-S-58308"/>
    <n v="1"/>
    <s v="PÇ"/>
    <n v="64.3"/>
    <n v="64.3"/>
    <n v="0"/>
    <n v="0"/>
    <n v="0"/>
    <n v="0.9"/>
    <n v="0.1"/>
    <m/>
    <m/>
    <m/>
    <n v="0"/>
    <m/>
    <n v="0"/>
    <n v="64.3"/>
    <m/>
    <n v="0"/>
    <n v="0"/>
    <n v="0"/>
    <m/>
    <m/>
    <m/>
    <n v="0"/>
    <n v="0"/>
    <n v="0"/>
    <n v="0"/>
    <m/>
    <m/>
  </r>
  <r>
    <n v="0"/>
    <s v="CMS S.60.10.000"/>
    <s v="SUPORTE"/>
    <m/>
    <m/>
    <m/>
    <m/>
    <m/>
    <m/>
    <m/>
    <m/>
    <s v="LINHA DE BY PASS DAS PENEIRAS ALIMENTAÇÃO DO TANQUE TQ-145A-9701"/>
    <s v="SC-010"/>
    <s v="SP 8311 A"/>
    <m/>
    <s v="1450AA-S-58311"/>
    <n v="1"/>
    <s v="PÇ"/>
    <n v="96.8"/>
    <n v="96.8"/>
    <n v="0"/>
    <n v="0"/>
    <n v="0"/>
    <n v="0.9"/>
    <n v="0.1"/>
    <m/>
    <m/>
    <m/>
    <n v="0"/>
    <m/>
    <n v="0"/>
    <n v="96.8"/>
    <m/>
    <n v="0"/>
    <n v="0"/>
    <n v="0"/>
    <m/>
    <m/>
    <m/>
    <n v="0"/>
    <n v="0"/>
    <n v="0"/>
    <n v="0"/>
    <m/>
    <m/>
  </r>
  <r>
    <n v="0"/>
    <s v="CMS S.60.10.000"/>
    <s v="SUPORTE"/>
    <m/>
    <m/>
    <m/>
    <m/>
    <m/>
    <m/>
    <m/>
    <m/>
    <s v="LINHA DE BY PASS DAS PENEIRAS ALIMENTAÇÃO DO TANQUE TQ-145A-9701"/>
    <s v="SC-010"/>
    <s v="SP 8311 B "/>
    <m/>
    <s v="1450AA-S-58311"/>
    <n v="1"/>
    <s v="PÇ"/>
    <n v="97.4"/>
    <n v="97.4"/>
    <n v="0"/>
    <n v="0"/>
    <n v="0"/>
    <n v="0.9"/>
    <n v="0.1"/>
    <m/>
    <m/>
    <m/>
    <n v="0"/>
    <m/>
    <n v="0"/>
    <n v="97.4"/>
    <m/>
    <n v="0"/>
    <n v="0"/>
    <n v="0"/>
    <m/>
    <m/>
    <m/>
    <n v="0"/>
    <n v="0"/>
    <n v="0"/>
    <n v="0"/>
    <m/>
    <m/>
  </r>
  <r>
    <n v="0"/>
    <s v="CMS S.60.10.000"/>
    <s v="SUPORTE"/>
    <m/>
    <m/>
    <m/>
    <m/>
    <m/>
    <m/>
    <m/>
    <m/>
    <s v="LINHA DE BY PASS DAS PENEIRAS ALIMENTAÇÃO DO TANQUE TQ-145A-9701"/>
    <s v="SC-010"/>
    <s v="SP 8311 C"/>
    <m/>
    <s v="1450AA-S-58311"/>
    <n v="1"/>
    <s v="PÇ"/>
    <n v="43.5"/>
    <n v="43.5"/>
    <n v="0"/>
    <n v="0"/>
    <n v="0"/>
    <n v="0.9"/>
    <n v="0.1"/>
    <m/>
    <m/>
    <m/>
    <n v="0"/>
    <m/>
    <n v="0"/>
    <n v="43.5"/>
    <m/>
    <n v="0"/>
    <n v="0"/>
    <n v="0"/>
    <m/>
    <m/>
    <m/>
    <n v="0"/>
    <n v="0"/>
    <n v="0"/>
    <n v="0"/>
    <m/>
    <m/>
  </r>
  <r>
    <n v="0"/>
    <s v="CMS S.60.10.000"/>
    <s v="SUPORTE"/>
    <m/>
    <m/>
    <m/>
    <m/>
    <m/>
    <m/>
    <m/>
    <m/>
    <s v="LINHA DE BY PASS DAS PENEIRAS ALIMENTAÇÃO DO TANQUE TQ-145A-9701"/>
    <s v="SC-010"/>
    <s v="SP 8311 D"/>
    <m/>
    <s v="1450AA-S-58311"/>
    <n v="1"/>
    <s v="PÇ"/>
    <n v="7.5"/>
    <n v="7.5"/>
    <n v="0"/>
    <n v="0"/>
    <n v="0"/>
    <n v="0.9"/>
    <n v="0.1"/>
    <m/>
    <m/>
    <m/>
    <n v="0"/>
    <m/>
    <n v="0"/>
    <n v="7.5"/>
    <m/>
    <n v="0"/>
    <n v="0"/>
    <n v="0"/>
    <m/>
    <m/>
    <m/>
    <n v="0"/>
    <n v="0"/>
    <n v="0"/>
    <n v="0"/>
    <m/>
    <m/>
  </r>
  <r>
    <n v="0"/>
    <s v="CMS S.60.10.000"/>
    <s v="SUPORTE"/>
    <m/>
    <m/>
    <m/>
    <m/>
    <m/>
    <m/>
    <m/>
    <m/>
    <s v="LINHA DE BY PASS DAS PENEIRAS ALIMENTAÇÃO DO TANQUE TQ-145A-9701"/>
    <s v="SC-010"/>
    <s v="SP 8311 E"/>
    <m/>
    <s v="1450AA-S-58311"/>
    <n v="1"/>
    <s v="PÇ"/>
    <n v="18.400000000000002"/>
    <n v="18.400000000000002"/>
    <n v="0"/>
    <n v="0"/>
    <n v="0"/>
    <n v="0.9"/>
    <n v="0.1"/>
    <m/>
    <m/>
    <m/>
    <n v="0"/>
    <m/>
    <n v="0"/>
    <n v="18.400000000000002"/>
    <m/>
    <n v="0"/>
    <n v="0"/>
    <n v="0"/>
    <m/>
    <m/>
    <m/>
    <n v="0"/>
    <n v="0"/>
    <n v="0"/>
    <n v="0"/>
    <m/>
    <m/>
  </r>
  <r>
    <n v="0"/>
    <s v="CMS S.60.10.000"/>
    <s v="SUPORTE"/>
    <m/>
    <m/>
    <m/>
    <m/>
    <m/>
    <m/>
    <m/>
    <m/>
    <s v="LINHA DE BY PASS DAS PENEIRAS ALIMENTAÇÃO DO TANQUE TQ-145A-9701"/>
    <s v="SC-010"/>
    <s v="SP 8311 F"/>
    <m/>
    <s v="1450AA-S-58311"/>
    <n v="2"/>
    <s v="PÇ"/>
    <n v="17.3"/>
    <n v="34.6"/>
    <n v="0"/>
    <n v="0"/>
    <n v="0"/>
    <n v="0.9"/>
    <n v="0.1"/>
    <m/>
    <m/>
    <m/>
    <n v="0"/>
    <m/>
    <n v="0"/>
    <n v="34.6"/>
    <m/>
    <n v="0"/>
    <n v="0"/>
    <n v="0"/>
    <m/>
    <m/>
    <m/>
    <n v="0"/>
    <n v="0"/>
    <n v="0"/>
    <n v="0"/>
    <m/>
    <m/>
  </r>
  <r>
    <n v="0"/>
    <s v="CMS S.60.10.000"/>
    <s v="SUPORTE"/>
    <m/>
    <m/>
    <m/>
    <m/>
    <m/>
    <m/>
    <m/>
    <m/>
    <s v="LINHA DE BY PASS DAS PENEIRAS ALIMENTAÇÃO DO TANQUE TQ-145A-9701"/>
    <s v="SC-010"/>
    <s v="SP 8311 G"/>
    <m/>
    <s v="1450AA-S-58311"/>
    <n v="2"/>
    <s v="PÇ"/>
    <n v="10.8"/>
    <n v="21.6"/>
    <n v="0"/>
    <n v="0"/>
    <n v="0"/>
    <n v="0.9"/>
    <n v="0.1"/>
    <m/>
    <m/>
    <m/>
    <n v="0"/>
    <m/>
    <n v="0"/>
    <n v="21.6"/>
    <m/>
    <n v="0"/>
    <n v="0"/>
    <n v="0"/>
    <m/>
    <m/>
    <m/>
    <n v="0"/>
    <n v="0"/>
    <n v="0"/>
    <n v="0"/>
    <m/>
    <m/>
  </r>
  <r>
    <n v="0"/>
    <s v="CMS S.60.10.000"/>
    <s v="SUPORTE"/>
    <m/>
    <m/>
    <m/>
    <m/>
    <m/>
    <m/>
    <m/>
    <m/>
    <s v="LINHA DE BY PASS DAS PENEIRAS ALIMENTAÇÃO DO TANQUE TQ-145A-9701"/>
    <s v="SC-010"/>
    <s v="SP 8311 H"/>
    <m/>
    <s v="1450AA-S-58311"/>
    <n v="2"/>
    <s v="PÇ"/>
    <n v="5.0999999999999996"/>
    <n v="10.199999999999999"/>
    <n v="0"/>
    <n v="0"/>
    <n v="0"/>
    <n v="0.9"/>
    <n v="0.1"/>
    <m/>
    <m/>
    <m/>
    <n v="0"/>
    <m/>
    <n v="0"/>
    <n v="10.199999999999999"/>
    <m/>
    <n v="0"/>
    <n v="0"/>
    <n v="0"/>
    <m/>
    <m/>
    <m/>
    <n v="0"/>
    <n v="0"/>
    <n v="0"/>
    <n v="0"/>
    <m/>
    <m/>
  </r>
  <r>
    <n v="0"/>
    <s v="CMS S.60.10.000"/>
    <s v="SUPORTE"/>
    <m/>
    <m/>
    <m/>
    <m/>
    <m/>
    <m/>
    <m/>
    <m/>
    <s v="LINHA DE BY PASS DAS PENEIRAS ALIMENTAÇÃO DO TANQUE TQ-145A-9701"/>
    <s v="SC-010"/>
    <s v="SP 8311 J"/>
    <m/>
    <s v="1450AA-S-58311"/>
    <n v="1"/>
    <s v="PÇ"/>
    <n v="8"/>
    <n v="8"/>
    <n v="0"/>
    <n v="0"/>
    <n v="0"/>
    <n v="0.9"/>
    <n v="0.1"/>
    <m/>
    <m/>
    <m/>
    <n v="0"/>
    <m/>
    <n v="0"/>
    <n v="8"/>
    <m/>
    <n v="0"/>
    <n v="0"/>
    <n v="0"/>
    <m/>
    <m/>
    <m/>
    <n v="0"/>
    <n v="0"/>
    <n v="0"/>
    <n v="0"/>
    <m/>
    <m/>
  </r>
  <r>
    <n v="0"/>
    <s v="CMS S.60.10.000"/>
    <s v="SUPORTE"/>
    <m/>
    <m/>
    <m/>
    <m/>
    <m/>
    <m/>
    <m/>
    <m/>
    <s v="LINHA DE BY PASS DAS PENEIRAS ALIMENTAÇÃO DO TANQUE TQ-145A-9701"/>
    <s v="SC-010"/>
    <s v="SP 8311 K"/>
    <m/>
    <s v="1450AA-S-58311"/>
    <n v="1"/>
    <s v="PÇ"/>
    <n v="6.1"/>
    <n v="6.1"/>
    <n v="0"/>
    <n v="0"/>
    <n v="0"/>
    <n v="0.9"/>
    <n v="0.1"/>
    <m/>
    <m/>
    <m/>
    <n v="0"/>
    <m/>
    <n v="0"/>
    <n v="6.1"/>
    <m/>
    <n v="0"/>
    <n v="0"/>
    <n v="0"/>
    <m/>
    <m/>
    <m/>
    <n v="0"/>
    <n v="0"/>
    <n v="0"/>
    <n v="0"/>
    <m/>
    <m/>
  </r>
  <r>
    <n v="0"/>
    <s v="CMS S.60.10.000"/>
    <s v="SUPORTE"/>
    <m/>
    <m/>
    <m/>
    <m/>
    <m/>
    <m/>
    <m/>
    <m/>
    <s v="LINHA DE BY PASS DAS PENEIRAS ALIMENTAÇÃO DO TANQUE TQ-145A-9701"/>
    <s v="SC-010"/>
    <s v="SP 8311 L"/>
    <m/>
    <s v="1450AA-S-58311"/>
    <n v="1"/>
    <s v="PÇ"/>
    <n v="4.5999999999999996"/>
    <n v="4.5999999999999996"/>
    <n v="0"/>
    <n v="0"/>
    <n v="0"/>
    <n v="0.9"/>
    <n v="0.1"/>
    <m/>
    <m/>
    <m/>
    <n v="0"/>
    <m/>
    <n v="0"/>
    <n v="4.5999999999999996"/>
    <m/>
    <n v="0"/>
    <n v="0"/>
    <n v="0"/>
    <m/>
    <m/>
    <m/>
    <n v="0"/>
    <n v="0"/>
    <n v="0"/>
    <n v="0"/>
    <m/>
    <m/>
  </r>
  <r>
    <n v="0"/>
    <s v="CMS S.60.10.000"/>
    <s v="SUPORTE"/>
    <m/>
    <m/>
    <m/>
    <m/>
    <m/>
    <m/>
    <m/>
    <m/>
    <s v="LINHA DE BY PASS DAS PENEIRAS ALIMENTAÇÃO DO TANQUE TQ-145A-9701"/>
    <s v="SC-010"/>
    <s v="SP 8311 M"/>
    <m/>
    <s v="1450AA-S-58311"/>
    <n v="1"/>
    <s v="PÇ"/>
    <n v="12.7"/>
    <n v="12.7"/>
    <n v="0"/>
    <n v="0"/>
    <n v="0"/>
    <n v="0.9"/>
    <n v="0.1"/>
    <m/>
    <m/>
    <m/>
    <n v="0"/>
    <m/>
    <n v="0"/>
    <n v="12.7"/>
    <m/>
    <n v="0"/>
    <n v="0"/>
    <n v="0"/>
    <m/>
    <m/>
    <m/>
    <n v="0"/>
    <n v="0"/>
    <n v="0"/>
    <n v="0"/>
    <m/>
    <m/>
  </r>
  <r>
    <n v="0"/>
    <s v="CMS S.60.10.000"/>
    <s v="SUPORTE"/>
    <m/>
    <m/>
    <m/>
    <m/>
    <m/>
    <m/>
    <m/>
    <m/>
    <s v="LINHA DE BY PASS DAS PENEIRAS ALIMENTAÇÃO DO TANQUE TQ-145A-9701"/>
    <s v="SC-010"/>
    <s v="SP 8311 N"/>
    <m/>
    <s v="1450AA-S-58311"/>
    <n v="1"/>
    <s v="PÇ"/>
    <n v="5.8"/>
    <n v="5.8"/>
    <n v="0"/>
    <n v="0"/>
    <n v="0"/>
    <n v="0.9"/>
    <n v="0.1"/>
    <m/>
    <m/>
    <m/>
    <n v="0"/>
    <m/>
    <n v="0"/>
    <n v="5.8"/>
    <m/>
    <n v="0"/>
    <n v="0"/>
    <n v="0"/>
    <m/>
    <m/>
    <m/>
    <n v="0"/>
    <n v="0"/>
    <n v="0"/>
    <n v="0"/>
    <m/>
    <m/>
  </r>
  <r>
    <n v="0"/>
    <s v="CMS S.60.10.000"/>
    <s v="SUPORTE"/>
    <m/>
    <m/>
    <m/>
    <m/>
    <m/>
    <m/>
    <m/>
    <m/>
    <s v="LINHA DE BY PASS DAS PENEIRAS ALIMENTAÇÃO DO TANQUE TQ-145A-9702"/>
    <s v="SC-010"/>
    <s v="SP 8312 A"/>
    <s v="1450AA-L-70116"/>
    <s v="1450AA-S-58312"/>
    <n v="1"/>
    <s v="PÇ"/>
    <n v="12.7"/>
    <n v="12.7"/>
    <n v="0"/>
    <n v="0"/>
    <n v="0"/>
    <n v="0.9"/>
    <n v="0.1"/>
    <m/>
    <m/>
    <m/>
    <n v="0"/>
    <m/>
    <n v="0"/>
    <n v="12.7"/>
    <m/>
    <n v="0"/>
    <n v="0"/>
    <n v="0"/>
    <m/>
    <m/>
    <m/>
    <n v="0"/>
    <n v="0"/>
    <n v="0"/>
    <n v="0"/>
    <m/>
    <m/>
  </r>
  <r>
    <n v="0"/>
    <s v="CMS S.60.10.000"/>
    <s v="SUPORTE"/>
    <m/>
    <m/>
    <m/>
    <m/>
    <m/>
    <m/>
    <m/>
    <m/>
    <s v="LINHA DE BY PASS DAS PENEIRAS ALIMENTAÇÃO DO TANQUE TQ-145A-9702"/>
    <s v="SC-010"/>
    <s v="SP 8312 B"/>
    <s v="1450AA-L-70116"/>
    <s v="1450AA-S-58312"/>
    <n v="2"/>
    <s v="PÇ"/>
    <n v="15.5"/>
    <n v="31"/>
    <n v="0"/>
    <n v="0"/>
    <n v="0"/>
    <n v="0.9"/>
    <n v="0.1"/>
    <m/>
    <m/>
    <m/>
    <n v="0"/>
    <m/>
    <n v="0"/>
    <n v="31"/>
    <m/>
    <n v="0"/>
    <n v="0"/>
    <n v="0"/>
    <m/>
    <m/>
    <m/>
    <n v="0"/>
    <n v="0"/>
    <n v="0"/>
    <n v="0"/>
    <m/>
    <m/>
  </r>
  <r>
    <n v="0"/>
    <s v="CMS S.60.10.000"/>
    <s v="SUPORTE"/>
    <m/>
    <m/>
    <m/>
    <m/>
    <m/>
    <m/>
    <m/>
    <m/>
    <s v="LINHA DE BY PASS DAS PENEIRAS ALIMENTAÇÃO DO TANQUE TQ-145A-9702"/>
    <s v="SC-010"/>
    <s v="SP 8312 C"/>
    <s v="1450AA-L-70116"/>
    <s v="1450AA-S-58312"/>
    <n v="2"/>
    <s v="PÇ"/>
    <n v="34.1"/>
    <n v="68.2"/>
    <n v="0"/>
    <n v="0"/>
    <n v="0"/>
    <n v="0.9"/>
    <n v="0.1"/>
    <m/>
    <m/>
    <m/>
    <n v="0"/>
    <m/>
    <n v="0"/>
    <n v="68.2"/>
    <m/>
    <n v="0"/>
    <n v="0"/>
    <n v="0"/>
    <m/>
    <m/>
    <m/>
    <n v="0"/>
    <n v="0"/>
    <n v="0"/>
    <n v="0"/>
    <m/>
    <m/>
  </r>
  <r>
    <n v="0"/>
    <s v="CMS S.60.10.000"/>
    <s v="SUPORTE"/>
    <m/>
    <m/>
    <m/>
    <m/>
    <m/>
    <m/>
    <m/>
    <m/>
    <s v="LINHA DE BY PASS DAS PENEIRAS ALIMENTAÇÃO DO TANQUE TQ-145A-9702"/>
    <s v="SC-010"/>
    <s v="SP 8312 D"/>
    <s v="1450AA-L-70116"/>
    <s v="1450AA-S-58312"/>
    <n v="5"/>
    <s v="PÇ"/>
    <n v="39.6"/>
    <n v="198"/>
    <n v="0"/>
    <n v="0"/>
    <n v="0"/>
    <n v="0.9"/>
    <n v="0.1"/>
    <m/>
    <m/>
    <m/>
    <n v="0"/>
    <m/>
    <n v="0"/>
    <n v="198"/>
    <m/>
    <n v="0"/>
    <n v="0"/>
    <n v="0"/>
    <m/>
    <m/>
    <m/>
    <n v="0"/>
    <n v="0"/>
    <n v="0"/>
    <n v="0"/>
    <m/>
    <m/>
  </r>
  <r>
    <n v="0"/>
    <s v="CMS S.60.10.000"/>
    <s v="SUPORTE"/>
    <m/>
    <m/>
    <m/>
    <m/>
    <m/>
    <m/>
    <m/>
    <m/>
    <s v="LINHA DE BY PASS DAS PENEIRAS ALIMENTAÇÃO DO TANQUE TQ-145A-9702"/>
    <s v="SC-010"/>
    <s v="SP 8312 E"/>
    <s v="1450AA-L-70116"/>
    <s v="1450AA-S-58312"/>
    <n v="1"/>
    <s v="PÇ"/>
    <n v="5.2"/>
    <n v="5.2"/>
    <n v="0"/>
    <n v="0"/>
    <n v="0"/>
    <n v="0.9"/>
    <n v="0.1"/>
    <m/>
    <m/>
    <m/>
    <n v="0"/>
    <m/>
    <n v="0"/>
    <n v="5.2"/>
    <m/>
    <n v="0"/>
    <n v="0"/>
    <n v="0"/>
    <m/>
    <m/>
    <m/>
    <n v="0"/>
    <n v="0"/>
    <n v="0"/>
    <n v="0"/>
    <m/>
    <m/>
  </r>
  <r>
    <n v="0"/>
    <s v="CMS S.60.10.000"/>
    <s v="SUPORTE"/>
    <m/>
    <m/>
    <m/>
    <m/>
    <m/>
    <m/>
    <m/>
    <m/>
    <s v="LINHA DE BY PASS DAS PENEIRAS ALIMENTAÇÃO DO TANQUE TQ-145A-9702"/>
    <s v="SC-010"/>
    <s v="SP 8312 F"/>
    <s v="1450AA-L-70116"/>
    <s v="1450AA-S-58312"/>
    <n v="1"/>
    <s v="PÇ"/>
    <n v="4"/>
    <n v="4"/>
    <n v="0"/>
    <n v="0"/>
    <n v="0"/>
    <n v="0.9"/>
    <n v="0.1"/>
    <m/>
    <m/>
    <m/>
    <n v="0"/>
    <m/>
    <n v="0"/>
    <n v="4"/>
    <m/>
    <n v="0"/>
    <n v="0"/>
    <n v="0"/>
    <m/>
    <m/>
    <m/>
    <n v="0"/>
    <n v="0"/>
    <n v="0"/>
    <n v="0"/>
    <m/>
    <m/>
  </r>
  <r>
    <n v="0"/>
    <s v="CMS S.60.10.000"/>
    <s v="SUPORTE"/>
    <m/>
    <m/>
    <m/>
    <m/>
    <m/>
    <m/>
    <m/>
    <m/>
    <s v="LINHA DE BY PASS DAS PENEIRAS ALIMENTAÇÃO DO TANQUE TQ-145A-9702"/>
    <s v="SC-010"/>
    <s v="SP 8312 G"/>
    <s v="1450AA-L-70116"/>
    <s v="1450AA-S-58312"/>
    <n v="1"/>
    <s v="PÇ"/>
    <n v="5.9"/>
    <n v="5.9"/>
    <n v="0"/>
    <n v="0"/>
    <n v="0"/>
    <n v="0.9"/>
    <n v="0.1"/>
    <m/>
    <m/>
    <m/>
    <n v="0"/>
    <m/>
    <n v="0"/>
    <n v="5.9"/>
    <m/>
    <n v="0"/>
    <n v="0"/>
    <n v="0"/>
    <m/>
    <m/>
    <m/>
    <n v="0"/>
    <n v="0"/>
    <n v="0"/>
    <n v="0"/>
    <m/>
    <m/>
  </r>
  <r>
    <n v="0"/>
    <s v="CMS S.60.10.000"/>
    <s v="SUPORTE"/>
    <m/>
    <m/>
    <m/>
    <m/>
    <m/>
    <m/>
    <m/>
    <m/>
    <s v="LINHA DE BY PASS DAS PENEIRAS ALIMENTAÇÃO DO TANQUE TQ-145A-9702"/>
    <s v="SC-010"/>
    <s v="SP 8312 H"/>
    <s v="1450AA-L-70116"/>
    <s v="1450AA-S-58312"/>
    <n v="1"/>
    <s v="PÇ"/>
    <n v="11.8"/>
    <n v="11.8"/>
    <n v="0"/>
    <n v="0"/>
    <n v="0"/>
    <n v="0.9"/>
    <n v="0.1"/>
    <m/>
    <m/>
    <m/>
    <n v="0"/>
    <m/>
    <n v="0"/>
    <n v="11.8"/>
    <m/>
    <n v="0"/>
    <n v="0"/>
    <n v="0"/>
    <m/>
    <m/>
    <m/>
    <n v="0"/>
    <n v="0"/>
    <n v="0"/>
    <n v="0"/>
    <m/>
    <m/>
  </r>
  <r>
    <n v="0"/>
    <s v="CMS S.60.10.000"/>
    <s v="SUPORTE"/>
    <m/>
    <m/>
    <m/>
    <m/>
    <m/>
    <m/>
    <m/>
    <m/>
    <s v="LINHA DE BY PASS DAS PENEIRAS ALIMENTAÇÃO DO TANQUE TQ-145A-9702"/>
    <s v="SC-010"/>
    <s v="SP 8312 J"/>
    <s v="1450AA-L-70116"/>
    <s v="1450AA-S-58312"/>
    <n v="1"/>
    <s v="PÇ"/>
    <n v="25.4"/>
    <n v="25.4"/>
    <n v="0"/>
    <n v="0"/>
    <n v="0"/>
    <n v="0.9"/>
    <n v="0.1"/>
    <m/>
    <m/>
    <m/>
    <n v="0"/>
    <m/>
    <n v="0"/>
    <n v="25.4"/>
    <m/>
    <n v="0"/>
    <n v="0"/>
    <n v="0"/>
    <m/>
    <m/>
    <m/>
    <n v="0"/>
    <n v="0"/>
    <n v="0"/>
    <n v="0"/>
    <m/>
    <m/>
  </r>
  <r>
    <n v="0"/>
    <s v="CMS S.60.10.000"/>
    <s v="SUPORTE"/>
    <m/>
    <m/>
    <m/>
    <m/>
    <m/>
    <m/>
    <m/>
    <m/>
    <s v="LINHA DE BY PASS DAS PENEIRAS ALIMENTAÇÃO DO TANQUE TQ-145A-9702"/>
    <s v="SC-010"/>
    <s v="SP 8312 K"/>
    <s v="1450AA-L-70116"/>
    <s v="1450AA-S-58312"/>
    <n v="2"/>
    <s v="PÇ"/>
    <n v="28"/>
    <n v="56"/>
    <n v="0"/>
    <n v="0"/>
    <n v="0"/>
    <n v="0.9"/>
    <n v="0.1"/>
    <m/>
    <m/>
    <m/>
    <n v="0"/>
    <m/>
    <n v="0"/>
    <n v="56"/>
    <m/>
    <n v="0"/>
    <n v="0"/>
    <n v="0"/>
    <m/>
    <m/>
    <m/>
    <n v="0"/>
    <n v="0"/>
    <n v="0"/>
    <n v="0"/>
    <m/>
    <m/>
  </r>
  <r>
    <n v="0"/>
    <s v="CMS S.60.10.000"/>
    <s v="SUPORTE"/>
    <m/>
    <m/>
    <m/>
    <m/>
    <m/>
    <m/>
    <m/>
    <m/>
    <s v="LINHA DE BY PASS DAS PENEIRAS ALIMENTAÇÃO DO TANQUE TQ-145A-9702"/>
    <s v="SC-010"/>
    <s v="SP 8312 L"/>
    <s v="1450AA-L-70116"/>
    <s v="1450AA-S-58312"/>
    <n v="2"/>
    <s v="PÇ"/>
    <n v="30.6"/>
    <n v="61.2"/>
    <n v="0"/>
    <n v="0"/>
    <n v="0"/>
    <n v="0.9"/>
    <n v="0.1"/>
    <m/>
    <m/>
    <m/>
    <n v="0"/>
    <m/>
    <n v="0"/>
    <n v="61.2"/>
    <m/>
    <n v="0"/>
    <n v="0"/>
    <n v="0"/>
    <m/>
    <m/>
    <m/>
    <n v="0"/>
    <n v="0"/>
    <n v="0"/>
    <n v="0"/>
    <m/>
    <m/>
  </r>
  <r>
    <n v="0"/>
    <s v="CMS S.60.10.000"/>
    <s v="SUPORTE"/>
    <m/>
    <m/>
    <m/>
    <m/>
    <m/>
    <m/>
    <m/>
    <m/>
    <s v="LINHA DE BY PASS DAS PENEIRAS ALIMENTAÇÃO DO TANQUE TQ-145A-9703"/>
    <s v="SC-010"/>
    <s v="SP 8313 A"/>
    <s v="1450AA-L-70111"/>
    <s v="1450AA-S-58313"/>
    <n v="2"/>
    <s v="PÇ"/>
    <n v="145.5"/>
    <n v="291"/>
    <n v="0"/>
    <n v="0"/>
    <n v="0"/>
    <n v="0.9"/>
    <n v="0.1"/>
    <m/>
    <m/>
    <m/>
    <n v="0"/>
    <m/>
    <n v="0"/>
    <n v="291"/>
    <m/>
    <n v="0"/>
    <n v="0"/>
    <n v="0"/>
    <m/>
    <m/>
    <m/>
    <n v="0"/>
    <n v="0"/>
    <n v="0"/>
    <n v="0"/>
    <m/>
    <m/>
  </r>
  <r>
    <n v="0"/>
    <s v="CMS S.60.10.000"/>
    <s v="SUPORTE"/>
    <m/>
    <m/>
    <m/>
    <m/>
    <m/>
    <m/>
    <m/>
    <m/>
    <s v="LINHA DE BY PASS DAS PENEIRAS ALIMENTAÇÃO DO TANQUE TQ-145A-9703"/>
    <s v="SC-010"/>
    <s v="SP 8313 B"/>
    <s v="1450AA-L-70111"/>
    <s v="1450AA-S-58313"/>
    <n v="1"/>
    <s v="PÇ"/>
    <n v="18.100000000000001"/>
    <n v="18.100000000000001"/>
    <n v="0"/>
    <n v="0"/>
    <n v="0"/>
    <n v="0.9"/>
    <n v="0.1"/>
    <m/>
    <m/>
    <m/>
    <n v="0"/>
    <m/>
    <n v="0"/>
    <n v="18.100000000000001"/>
    <m/>
    <n v="0"/>
    <n v="0"/>
    <n v="0"/>
    <m/>
    <m/>
    <m/>
    <n v="0"/>
    <n v="0"/>
    <n v="0"/>
    <n v="0"/>
    <m/>
    <m/>
  </r>
  <r>
    <n v="0"/>
    <s v="CMS S.60.10.000"/>
    <s v="SUPORTE"/>
    <m/>
    <m/>
    <m/>
    <m/>
    <m/>
    <m/>
    <m/>
    <m/>
    <s v="LINHA DE BY PASS DAS PENEIRAS ALIMENTAÇÃO DO TANQUE TQ-145A-9703"/>
    <s v="SC-010"/>
    <s v="SP 8313 C"/>
    <s v="1450AA-L-70111"/>
    <s v="1450AA-S-58313"/>
    <n v="1"/>
    <s v="PÇ"/>
    <n v="53.2"/>
    <n v="53.2"/>
    <n v="0"/>
    <n v="0"/>
    <n v="0"/>
    <n v="0.9"/>
    <n v="0.1"/>
    <m/>
    <m/>
    <m/>
    <n v="0"/>
    <m/>
    <n v="0"/>
    <n v="53.2"/>
    <m/>
    <n v="0"/>
    <n v="0"/>
    <n v="0"/>
    <m/>
    <m/>
    <m/>
    <n v="0"/>
    <n v="0"/>
    <n v="0"/>
    <n v="0"/>
    <m/>
    <m/>
  </r>
  <r>
    <n v="0"/>
    <s v="CMS S.60.10.000"/>
    <s v="SUPORTE"/>
    <m/>
    <m/>
    <m/>
    <m/>
    <m/>
    <m/>
    <m/>
    <m/>
    <s v="LINHA DE BY PASS DAS PENEIRAS ALIMENTAÇÃO DO TANQUE TQ-145A-9703"/>
    <s v="SC-010"/>
    <s v="SP 8313 D"/>
    <s v="1450AA-L-70111"/>
    <s v="1450AA-S-58313"/>
    <n v="1"/>
    <s v="PÇ"/>
    <n v="18.2"/>
    <n v="18.2"/>
    <n v="0"/>
    <n v="0"/>
    <n v="0"/>
    <n v="0.9"/>
    <n v="0.1"/>
    <m/>
    <m/>
    <m/>
    <n v="0"/>
    <m/>
    <n v="0"/>
    <n v="18.2"/>
    <m/>
    <n v="0"/>
    <n v="0"/>
    <n v="0"/>
    <m/>
    <m/>
    <m/>
    <n v="0"/>
    <n v="0"/>
    <n v="0"/>
    <n v="0"/>
    <m/>
    <m/>
  </r>
  <r>
    <n v="0"/>
    <s v="CMS S.60.10.000"/>
    <s v="SUPORTE"/>
    <m/>
    <m/>
    <m/>
    <m/>
    <m/>
    <m/>
    <m/>
    <m/>
    <s v="LINHA DE BY PASS DAS PENEIRAS ALIMENTAÇÃO DO TANQUE TQ-145A-9703"/>
    <s v="SC-010"/>
    <s v="SP 8313 E"/>
    <s v="1450AA-L-70111"/>
    <s v="1450AA-S-58313"/>
    <n v="1"/>
    <s v="PÇ"/>
    <n v="15.3"/>
    <n v="15.3"/>
    <n v="0"/>
    <n v="0"/>
    <n v="0"/>
    <n v="0.9"/>
    <n v="0.1"/>
    <m/>
    <m/>
    <m/>
    <n v="0"/>
    <m/>
    <n v="0"/>
    <n v="15.3"/>
    <m/>
    <n v="0"/>
    <n v="0"/>
    <n v="0"/>
    <m/>
    <m/>
    <m/>
    <n v="0"/>
    <n v="0"/>
    <n v="0"/>
    <n v="0"/>
    <m/>
    <m/>
  </r>
  <r>
    <n v="0"/>
    <s v="CMS S.60.10.000"/>
    <s v="SUPORTE"/>
    <m/>
    <m/>
    <m/>
    <m/>
    <m/>
    <m/>
    <m/>
    <m/>
    <s v="LINHA DE BY PASS DAS PENEIRAS ALIMENTAÇÃO DO TANQUE TQ-145A-9703"/>
    <s v="SC-010"/>
    <s v="SP 8313 F"/>
    <s v="1450AA-L-70111"/>
    <s v="1450AA-S-58313"/>
    <n v="1"/>
    <s v="PÇ"/>
    <n v="32.5"/>
    <n v="32.5"/>
    <n v="0"/>
    <n v="0"/>
    <n v="0"/>
    <n v="0.9"/>
    <n v="0.1"/>
    <m/>
    <m/>
    <m/>
    <n v="0"/>
    <m/>
    <n v="0"/>
    <n v="32.5"/>
    <m/>
    <n v="0"/>
    <n v="0"/>
    <n v="0"/>
    <m/>
    <m/>
    <m/>
    <n v="0"/>
    <n v="0"/>
    <n v="0"/>
    <n v="0"/>
    <m/>
    <m/>
  </r>
  <r>
    <n v="0"/>
    <s v="CMS S.60.10.000"/>
    <s v="SUPORTE"/>
    <m/>
    <m/>
    <m/>
    <m/>
    <m/>
    <m/>
    <m/>
    <m/>
    <s v="LINHA DE BY PASS DAS PENEIRAS ALIMENTAÇÃO DO TANQUE TQ-145A-9703"/>
    <s v="SC-010"/>
    <s v="SP 8313 G"/>
    <s v="1450AA-L-70111"/>
    <s v="1450AA-S-58313"/>
    <n v="1"/>
    <s v="PÇ"/>
    <n v="31.5"/>
    <n v="31.5"/>
    <n v="0"/>
    <n v="0"/>
    <n v="0"/>
    <n v="0.9"/>
    <n v="0.1"/>
    <m/>
    <m/>
    <m/>
    <n v="0"/>
    <m/>
    <n v="0"/>
    <n v="31.5"/>
    <m/>
    <n v="0"/>
    <n v="0"/>
    <n v="0"/>
    <m/>
    <m/>
    <m/>
    <n v="0"/>
    <n v="0"/>
    <n v="0"/>
    <n v="0"/>
    <m/>
    <m/>
  </r>
  <r>
    <n v="0"/>
    <s v="CMS S.60.10.000"/>
    <s v="SUPORTE"/>
    <m/>
    <m/>
    <m/>
    <m/>
    <m/>
    <m/>
    <m/>
    <m/>
    <s v="LINHA DE BY PASS DAS PENEIRAS ALIMENTAÇÃO DO TANQUE TQ-145A-9703"/>
    <s v="SC-010"/>
    <s v="SP 8313 H"/>
    <s v="1450AA-L-70111"/>
    <s v="1450AA-S-58313"/>
    <n v="1"/>
    <s v="PÇ"/>
    <n v="23.1"/>
    <n v="23.1"/>
    <n v="0"/>
    <n v="0"/>
    <n v="0"/>
    <n v="0.9"/>
    <n v="0.1"/>
    <m/>
    <m/>
    <m/>
    <n v="0"/>
    <m/>
    <n v="0"/>
    <n v="23.1"/>
    <m/>
    <n v="0"/>
    <n v="0"/>
    <n v="0"/>
    <m/>
    <m/>
    <m/>
    <n v="0"/>
    <n v="0"/>
    <n v="0"/>
    <n v="0"/>
    <m/>
    <m/>
  </r>
  <r>
    <n v="0"/>
    <s v="CMS S.60.10.000"/>
    <s v="SUPORTE"/>
    <m/>
    <m/>
    <m/>
    <m/>
    <m/>
    <m/>
    <m/>
    <m/>
    <s v="LINHA DE BY PASS DAS PENEIRAS ALIMENTAÇÃO DO TANQUE TQ-145A-9703"/>
    <s v="SC-010"/>
    <s v="SP 8313 J"/>
    <s v="1450AA-L-70111"/>
    <s v="1450AA-S-58313"/>
    <n v="2"/>
    <s v="PÇ"/>
    <n v="21.5"/>
    <n v="43"/>
    <n v="0"/>
    <n v="0"/>
    <n v="0"/>
    <n v="0.9"/>
    <n v="0.1"/>
    <m/>
    <m/>
    <m/>
    <n v="0"/>
    <m/>
    <n v="0"/>
    <n v="43"/>
    <m/>
    <n v="0"/>
    <n v="0"/>
    <n v="0"/>
    <m/>
    <m/>
    <m/>
    <n v="0"/>
    <n v="0"/>
    <n v="0"/>
    <n v="0"/>
    <m/>
    <m/>
  </r>
  <r>
    <n v="0"/>
    <s v="CMS S.60.10.000"/>
    <s v="SUPORTE"/>
    <m/>
    <m/>
    <m/>
    <m/>
    <m/>
    <m/>
    <m/>
    <m/>
    <s v="LINHA DE BY PASS DAS PENEIRAS ALIMENTAÇÃO DO TANQUE TQ-145A-9703"/>
    <s v="SC-010"/>
    <s v="SP 8313 K"/>
    <s v="1450AA-L-70111"/>
    <s v="1450AA-S-58313"/>
    <n v="2"/>
    <s v="PÇ"/>
    <n v="15.2"/>
    <n v="30.4"/>
    <n v="0"/>
    <n v="0"/>
    <n v="0"/>
    <n v="0.9"/>
    <n v="0.1"/>
    <m/>
    <m/>
    <m/>
    <n v="0"/>
    <m/>
    <n v="0"/>
    <n v="30.4"/>
    <m/>
    <n v="0"/>
    <n v="0"/>
    <n v="0"/>
    <m/>
    <m/>
    <m/>
    <n v="0"/>
    <n v="0"/>
    <n v="0"/>
    <n v="0"/>
    <m/>
    <m/>
  </r>
  <r>
    <n v="0"/>
    <s v="CMS S.60.10.000"/>
    <s v="SUPORTE"/>
    <m/>
    <m/>
    <m/>
    <m/>
    <m/>
    <m/>
    <m/>
    <m/>
    <s v="LINHA DE BY PASS DAS PENEIRAS ALIMENTAÇÃO DO TANQUE TQ-145A-9703"/>
    <s v="SC-010"/>
    <s v="SP 8313 L"/>
    <s v="1450AA-L-70111"/>
    <s v="1450AA-S-58313"/>
    <n v="1"/>
    <s v="PÇ"/>
    <n v="11.6"/>
    <n v="11.6"/>
    <n v="0"/>
    <n v="0"/>
    <n v="0"/>
    <n v="0.9"/>
    <n v="0.1"/>
    <m/>
    <m/>
    <m/>
    <n v="0"/>
    <m/>
    <n v="0"/>
    <n v="11.6"/>
    <m/>
    <n v="0"/>
    <n v="0"/>
    <n v="0"/>
    <m/>
    <m/>
    <m/>
    <n v="0"/>
    <n v="0"/>
    <n v="0"/>
    <n v="0"/>
    <m/>
    <m/>
  </r>
  <r>
    <n v="0"/>
    <s v="CMS S.60.10.000"/>
    <s v="SUPORTE"/>
    <m/>
    <m/>
    <m/>
    <m/>
    <m/>
    <m/>
    <m/>
    <m/>
    <s v="LINHA DE BY PASS DAS PENEIRAS ALIMENTAÇÃO DO TANQUE TQ-145A-9703"/>
    <s v="SC-010"/>
    <s v="SP 8313 M"/>
    <s v="1450AA-L-70111"/>
    <s v="1450AA-S-58313"/>
    <n v="1"/>
    <s v="PÇ"/>
    <n v="7.9"/>
    <n v="7.9"/>
    <n v="0"/>
    <n v="0"/>
    <n v="0"/>
    <n v="0.9"/>
    <n v="0.1"/>
    <m/>
    <m/>
    <m/>
    <n v="0"/>
    <m/>
    <n v="0"/>
    <n v="7.9"/>
    <m/>
    <n v="0"/>
    <n v="0"/>
    <n v="0"/>
    <m/>
    <m/>
    <m/>
    <n v="0"/>
    <n v="0"/>
    <n v="0"/>
    <n v="0"/>
    <m/>
    <m/>
  </r>
  <r>
    <n v="0"/>
    <s v="CMS S.60.10.000"/>
    <s v="SUPORTE"/>
    <m/>
    <m/>
    <m/>
    <m/>
    <m/>
    <m/>
    <m/>
    <m/>
    <s v="LINHA DE BY PASS DAS PENEIRAS ALIMENTAÇÃO DO TANQUE TQ-145A-9703"/>
    <s v="SC-010"/>
    <s v="SP 8313 N"/>
    <s v="1450AA-L-70111"/>
    <s v="1450AA-S-58313"/>
    <n v="2"/>
    <s v="PÇ"/>
    <n v="5.5"/>
    <n v="11"/>
    <n v="0"/>
    <n v="0"/>
    <n v="0"/>
    <n v="0.9"/>
    <n v="0.1"/>
    <m/>
    <m/>
    <m/>
    <n v="0"/>
    <m/>
    <n v="0"/>
    <n v="11"/>
    <m/>
    <n v="0"/>
    <n v="0"/>
    <n v="0"/>
    <m/>
    <m/>
    <m/>
    <n v="0"/>
    <n v="0"/>
    <n v="0"/>
    <n v="0"/>
    <m/>
    <m/>
  </r>
  <r>
    <n v="0"/>
    <s v="CMS S.60.10.000"/>
    <s v="SUPORTE"/>
    <m/>
    <m/>
    <m/>
    <m/>
    <m/>
    <m/>
    <m/>
    <m/>
    <s v="LINHA DE BY PASS DAS PENEIRAS ALIMENTAÇÃO DO TANQUE TQ-145A-9703"/>
    <s v="SC-010"/>
    <s v="SP 8313 P"/>
    <s v="1450AA-L-70111"/>
    <s v="1450AA-S-58313"/>
    <n v="2"/>
    <s v="PÇ"/>
    <n v="9.3000000000000007"/>
    <n v="18.600000000000001"/>
    <n v="0"/>
    <n v="0"/>
    <n v="0"/>
    <n v="0.9"/>
    <n v="0.1"/>
    <m/>
    <m/>
    <m/>
    <n v="0"/>
    <m/>
    <n v="0"/>
    <n v="18.600000000000001"/>
    <m/>
    <n v="0"/>
    <n v="0"/>
    <n v="0"/>
    <m/>
    <m/>
    <m/>
    <n v="0"/>
    <n v="0"/>
    <n v="0"/>
    <n v="0"/>
    <m/>
    <m/>
  </r>
  <r>
    <n v="0"/>
    <s v="CMS S.60.10.000"/>
    <s v="SUPORTE"/>
    <m/>
    <m/>
    <m/>
    <m/>
    <m/>
    <m/>
    <m/>
    <m/>
    <s v="LINHA DE BY PASS DAS PENEIRAS ALIMENTAÇÃO DO TANQUE TQ-145A-9703"/>
    <s v="SC-010"/>
    <s v="SP 8313 Q"/>
    <s v="1450AA-L-70111"/>
    <s v="1450AA-S-58313"/>
    <n v="2"/>
    <s v="PÇ"/>
    <n v="4.2"/>
    <n v="8.4"/>
    <n v="0"/>
    <n v="0"/>
    <n v="0"/>
    <n v="0.9"/>
    <n v="0.1"/>
    <m/>
    <m/>
    <m/>
    <n v="0"/>
    <m/>
    <n v="0"/>
    <n v="8.4"/>
    <m/>
    <n v="0"/>
    <n v="0"/>
    <n v="0"/>
    <m/>
    <m/>
    <m/>
    <n v="0"/>
    <n v="0"/>
    <n v="0"/>
    <n v="0"/>
    <m/>
    <m/>
  </r>
  <r>
    <n v="0"/>
    <s v="CMS S.60.10.000"/>
    <s v="SUPORTE"/>
    <m/>
    <m/>
    <m/>
    <m/>
    <m/>
    <m/>
    <m/>
    <m/>
    <s v="LINHA DE BY PASS DAS PENEIRAS ALIMENTAÇÃO DO TANQUE TQ-145A-9703"/>
    <s v="SC-010"/>
    <s v="SP 8313 R"/>
    <s v="1450AA-L-70111"/>
    <s v="1450AA-S-58313"/>
    <n v="1"/>
    <s v="PÇ"/>
    <n v="12.700000000000001"/>
    <n v="12.700000000000001"/>
    <n v="0"/>
    <n v="0"/>
    <n v="0"/>
    <n v="0.9"/>
    <n v="0.1"/>
    <m/>
    <m/>
    <m/>
    <n v="0"/>
    <m/>
    <n v="0"/>
    <n v="12.700000000000001"/>
    <m/>
    <n v="0"/>
    <n v="0"/>
    <n v="0"/>
    <m/>
    <m/>
    <m/>
    <n v="0"/>
    <n v="0"/>
    <n v="0"/>
    <n v="0"/>
    <m/>
    <m/>
  </r>
  <r>
    <n v="0"/>
    <s v="CMS S.60.10.000"/>
    <s v="SUPORTE"/>
    <m/>
    <m/>
    <m/>
    <m/>
    <m/>
    <m/>
    <m/>
    <m/>
    <s v="LINHA DE BY PASS DAS PENEIRAS ALIMENTAÇÃO DO TANQUE TQ-145A-9703"/>
    <s v="SC-010"/>
    <s v="SP 8313 S"/>
    <s v="1450AA-L-70111"/>
    <s v="1450AA-S-58313"/>
    <n v="1"/>
    <s v="PÇ"/>
    <n v="6.3"/>
    <n v="6.3"/>
    <n v="0"/>
    <n v="0"/>
    <n v="0"/>
    <n v="0.9"/>
    <n v="0.1"/>
    <m/>
    <m/>
    <m/>
    <n v="0"/>
    <m/>
    <n v="0"/>
    <n v="6.3"/>
    <m/>
    <n v="0"/>
    <n v="0"/>
    <n v="0"/>
    <m/>
    <m/>
    <m/>
    <n v="0"/>
    <n v="0"/>
    <n v="0"/>
    <n v="0"/>
    <m/>
    <m/>
  </r>
  <r>
    <n v="0"/>
    <s v="CMS S.60.10.000"/>
    <s v="SUPORTE"/>
    <m/>
    <m/>
    <m/>
    <m/>
    <m/>
    <m/>
    <m/>
    <m/>
    <s v="LINHA DE BY PASS DAS PENEIRAS ALIMENTAÇÃO DO TANQUE TQ-145A-9703"/>
    <s v="SC-010"/>
    <s v="SP 8313 T"/>
    <s v="1450AA-L-70111"/>
    <s v="1450AA-S-58313"/>
    <n v="1"/>
    <s v="PÇ"/>
    <n v="0.8"/>
    <n v="0.8"/>
    <n v="0"/>
    <n v="0"/>
    <n v="0"/>
    <n v="0.9"/>
    <n v="0.1"/>
    <m/>
    <m/>
    <m/>
    <n v="0"/>
    <m/>
    <n v="0"/>
    <n v="0.8"/>
    <m/>
    <n v="0"/>
    <n v="0"/>
    <n v="0"/>
    <m/>
    <m/>
    <m/>
    <n v="0"/>
    <n v="0"/>
    <n v="0"/>
    <n v="0"/>
    <m/>
    <m/>
  </r>
  <r>
    <n v="0"/>
    <s v="CMS S.60.10.000"/>
    <s v="SUPORTE"/>
    <m/>
    <m/>
    <m/>
    <m/>
    <m/>
    <m/>
    <m/>
    <m/>
    <s v="LINHA DE BY PASS DAS PENEIRAS ALIMENTAÇÃO DO TANQUE TQ-145A-9704"/>
    <s v="SC-010"/>
    <s v="SP 8314 A"/>
    <s v="1450AA-L-70112"/>
    <s v="1450AA-S-58314"/>
    <n v="9"/>
    <s v="PÇ"/>
    <n v="12.7"/>
    <n v="114.3"/>
    <n v="0"/>
    <n v="0"/>
    <n v="0"/>
    <n v="0.9"/>
    <n v="0.1"/>
    <m/>
    <m/>
    <m/>
    <n v="0"/>
    <m/>
    <n v="0"/>
    <n v="114.3"/>
    <m/>
    <n v="0"/>
    <n v="0"/>
    <n v="0"/>
    <m/>
    <m/>
    <m/>
    <n v="0"/>
    <n v="0"/>
    <n v="0"/>
    <n v="0"/>
    <m/>
    <m/>
  </r>
  <r>
    <n v="0"/>
    <s v="CMS S.60.10.000"/>
    <s v="SUPORTE"/>
    <m/>
    <m/>
    <m/>
    <m/>
    <m/>
    <m/>
    <m/>
    <m/>
    <s v="LINHA DE BY PASS DAS PENEIRAS ALIMENTAÇÃO DO TANQUE TQ-145A-9704"/>
    <s v="SC-010"/>
    <s v="SP 8314 B"/>
    <s v="1450AA-L-70112"/>
    <s v="1450AA-S-58314"/>
    <n v="1"/>
    <s v="PÇ"/>
    <n v="252.5"/>
    <n v="252.5"/>
    <n v="0"/>
    <n v="0"/>
    <n v="0"/>
    <n v="0.9"/>
    <n v="0.1"/>
    <m/>
    <m/>
    <m/>
    <n v="0"/>
    <m/>
    <n v="0"/>
    <n v="252.5"/>
    <m/>
    <n v="0"/>
    <n v="0"/>
    <n v="0"/>
    <m/>
    <m/>
    <m/>
    <n v="0"/>
    <n v="0"/>
    <n v="0"/>
    <n v="0"/>
    <m/>
    <m/>
  </r>
  <r>
    <n v="0"/>
    <s v="CMS S.60.10.000"/>
    <s v="SUPORTE"/>
    <m/>
    <m/>
    <m/>
    <m/>
    <m/>
    <m/>
    <m/>
    <m/>
    <s v="LINHA DE BY PASS DAS PENEIRAS ALIMENTAÇÃO DO TANQUE TQ-145A-9704"/>
    <s v="SC-010"/>
    <s v="SP 8314 C"/>
    <s v="1450AA-L-70112"/>
    <s v="1450AA-S-58314"/>
    <n v="1"/>
    <s v="PÇ"/>
    <n v="36.9"/>
    <n v="36.9"/>
    <n v="0"/>
    <n v="0"/>
    <n v="0"/>
    <n v="0.9"/>
    <n v="0.1"/>
    <m/>
    <m/>
    <m/>
    <n v="0"/>
    <m/>
    <n v="0"/>
    <n v="36.9"/>
    <m/>
    <n v="0"/>
    <n v="0"/>
    <n v="0"/>
    <m/>
    <m/>
    <m/>
    <n v="0"/>
    <n v="0"/>
    <n v="0"/>
    <n v="0"/>
    <m/>
    <m/>
  </r>
  <r>
    <n v="0"/>
    <s v="CMS S.60.10.000"/>
    <s v="SUPORTE"/>
    <m/>
    <m/>
    <m/>
    <m/>
    <m/>
    <m/>
    <m/>
    <m/>
    <s v="LINHA DE BY PASS DAS PENEIRAS ALIMENTAÇÃO DO TANQUE TQ-145A-9704"/>
    <s v="SC-010"/>
    <s v="SP 8314 D"/>
    <s v="1450AA-L-70112"/>
    <s v="1450AA-S-58314"/>
    <n v="1"/>
    <s v="PÇ"/>
    <n v="5.5"/>
    <n v="5.5"/>
    <n v="0"/>
    <n v="0"/>
    <n v="0"/>
    <n v="0.9"/>
    <n v="0.1"/>
    <m/>
    <m/>
    <m/>
    <n v="0"/>
    <m/>
    <n v="0"/>
    <n v="5.5"/>
    <m/>
    <n v="0"/>
    <n v="0"/>
    <n v="0"/>
    <m/>
    <m/>
    <m/>
    <n v="0"/>
    <n v="0"/>
    <n v="0"/>
    <n v="0"/>
    <m/>
    <m/>
  </r>
  <r>
    <n v="0"/>
    <s v="CMS S.60.10.000"/>
    <s v="SUPORTE"/>
    <m/>
    <m/>
    <m/>
    <m/>
    <m/>
    <m/>
    <m/>
    <m/>
    <s v="LINHA DE BY PASS DAS PENEIRAS ALIMENTAÇÃO DO TANQUE TQ-145A-9704"/>
    <s v="SC-010"/>
    <s v="SP 8314 E"/>
    <s v="1450AA-L-70112"/>
    <s v="1450AA-S-58314"/>
    <n v="1"/>
    <s v="PÇ"/>
    <n v="13.2"/>
    <n v="13.2"/>
    <n v="0"/>
    <n v="0"/>
    <n v="0"/>
    <n v="0.9"/>
    <n v="0.1"/>
    <m/>
    <m/>
    <m/>
    <n v="0"/>
    <m/>
    <n v="0"/>
    <n v="13.2"/>
    <m/>
    <n v="0"/>
    <n v="0"/>
    <n v="0"/>
    <m/>
    <m/>
    <m/>
    <n v="0"/>
    <n v="0"/>
    <n v="0"/>
    <n v="0"/>
    <m/>
    <m/>
  </r>
  <r>
    <n v="0"/>
    <s v="CMS S.60.10.000"/>
    <s v="SUPORTE"/>
    <m/>
    <m/>
    <m/>
    <m/>
    <m/>
    <m/>
    <m/>
    <m/>
    <s v="LINHA DE BY PASS DAS PENEIRAS ALIMENTAÇÃO DO TANQUE TQ-145A-9704"/>
    <s v="SC-010"/>
    <s v="SP 8314 F"/>
    <s v="1450AA-L-70112"/>
    <s v="1450AA-S-58314"/>
    <n v="1"/>
    <s v="PÇ"/>
    <n v="25.6"/>
    <n v="25.6"/>
    <n v="0"/>
    <n v="0"/>
    <n v="0"/>
    <n v="0.9"/>
    <n v="0.1"/>
    <m/>
    <m/>
    <m/>
    <n v="0"/>
    <m/>
    <n v="0"/>
    <n v="25.6"/>
    <m/>
    <n v="0"/>
    <n v="0"/>
    <n v="0"/>
    <m/>
    <m/>
    <m/>
    <n v="0"/>
    <n v="0"/>
    <n v="0"/>
    <n v="0"/>
    <m/>
    <m/>
  </r>
  <r>
    <n v="0"/>
    <s v="CMS S.60.10.000"/>
    <s v="SUPORTE"/>
    <m/>
    <m/>
    <m/>
    <m/>
    <m/>
    <m/>
    <m/>
    <m/>
    <s v="LINHA DE BY PASS DAS PENEIRAS ALIMENTAÇÃO DO TANQUE TQ-145A-9704"/>
    <s v="SC-010"/>
    <s v="SP 8314 G"/>
    <s v="1450AA-L-70112"/>
    <s v="1450AA-S-58314"/>
    <n v="1"/>
    <s v="PÇ"/>
    <n v="12"/>
    <n v="12"/>
    <n v="0"/>
    <n v="0"/>
    <n v="0"/>
    <n v="0.9"/>
    <n v="0.1"/>
    <m/>
    <m/>
    <m/>
    <n v="0"/>
    <m/>
    <n v="0"/>
    <n v="12"/>
    <m/>
    <n v="0"/>
    <n v="0"/>
    <n v="0"/>
    <m/>
    <m/>
    <m/>
    <n v="0"/>
    <n v="0"/>
    <n v="0"/>
    <n v="0"/>
    <m/>
    <m/>
  </r>
  <r>
    <n v="0"/>
    <s v="CMS S.60.10.000"/>
    <s v="SUPORTE"/>
    <m/>
    <m/>
    <m/>
    <m/>
    <m/>
    <m/>
    <m/>
    <m/>
    <s v="LINHA DE BY PASS DAS PENEIRAS ALIMENTAÇÃO DO TANQUE TQ-145A-9704"/>
    <s v="SC-010"/>
    <s v="SP 8314 H"/>
    <s v="1450AA-L-70112"/>
    <s v="1450AA-S-58314"/>
    <n v="1"/>
    <s v="PÇ"/>
    <n v="2"/>
    <n v="2"/>
    <n v="0"/>
    <n v="0"/>
    <n v="0"/>
    <n v="0.9"/>
    <n v="0.1"/>
    <m/>
    <m/>
    <m/>
    <n v="0"/>
    <m/>
    <n v="0"/>
    <n v="2"/>
    <m/>
    <n v="0"/>
    <n v="0"/>
    <n v="0"/>
    <m/>
    <m/>
    <m/>
    <n v="0"/>
    <n v="0"/>
    <n v="0"/>
    <n v="0"/>
    <m/>
    <m/>
  </r>
  <r>
    <n v="0"/>
    <s v="CMS S.60.10.000"/>
    <s v="SUPORTE"/>
    <m/>
    <m/>
    <m/>
    <m/>
    <m/>
    <m/>
    <m/>
    <m/>
    <s v="LINHA DE BY PASS DAS PENEIRAS ALIMENTAÇÃO DO TANQUE TQ-145A-9704"/>
    <s v="SC-010"/>
    <s v="SP 8314 J"/>
    <s v="1450AA-L-70112"/>
    <s v="1450AA-S-58314"/>
    <n v="1"/>
    <s v="PÇ"/>
    <n v="7.9"/>
    <n v="7.9"/>
    <n v="0"/>
    <n v="0"/>
    <n v="0"/>
    <n v="0.9"/>
    <n v="0.1"/>
    <m/>
    <m/>
    <m/>
    <n v="0"/>
    <m/>
    <n v="0"/>
    <n v="7.9"/>
    <m/>
    <n v="0"/>
    <n v="0"/>
    <n v="0"/>
    <m/>
    <m/>
    <m/>
    <n v="0"/>
    <n v="0"/>
    <n v="0"/>
    <n v="0"/>
    <m/>
    <m/>
  </r>
  <r>
    <n v="0"/>
    <s v="CMS S.60.10.000"/>
    <s v="SUPORTE"/>
    <m/>
    <m/>
    <m/>
    <m/>
    <m/>
    <m/>
    <m/>
    <m/>
    <s v="LINHA DE BY PASS DAS PENEIRAS ALIMENTAÇÃO DO TANQUE TQ-145A-9704"/>
    <s v="SC-010"/>
    <s v="SP 8314 K"/>
    <s v="1450AA-L-70112"/>
    <s v="1450AA-S-58314"/>
    <n v="1"/>
    <s v="PÇ"/>
    <n v="7.7"/>
    <n v="7.7"/>
    <n v="0"/>
    <n v="0"/>
    <n v="0"/>
    <n v="0.9"/>
    <n v="0.1"/>
    <m/>
    <m/>
    <m/>
    <n v="0"/>
    <m/>
    <n v="0"/>
    <n v="7.7"/>
    <m/>
    <n v="0"/>
    <n v="0"/>
    <n v="0"/>
    <m/>
    <m/>
    <m/>
    <n v="0"/>
    <n v="0"/>
    <n v="0"/>
    <n v="0"/>
    <m/>
    <m/>
  </r>
  <r>
    <n v="0"/>
    <s v="CMS S.60.10.000"/>
    <s v="SUPORTE"/>
    <m/>
    <m/>
    <m/>
    <m/>
    <m/>
    <m/>
    <m/>
    <m/>
    <s v="LINHA DE BY PASS DAS PENEIRAS ALIMENTAÇÃO DO TANQUE TQ-145A-9704"/>
    <s v="SC-010"/>
    <s v="SP 8314 L"/>
    <s v="1450AA-L-70112"/>
    <s v="1450AA-S-58314"/>
    <n v="1"/>
    <s v="PÇ"/>
    <n v="5.2"/>
    <n v="5.2"/>
    <n v="0"/>
    <n v="0"/>
    <n v="0"/>
    <n v="0.9"/>
    <n v="0.1"/>
    <m/>
    <m/>
    <m/>
    <n v="0"/>
    <m/>
    <n v="0"/>
    <n v="5.2"/>
    <m/>
    <n v="0"/>
    <n v="0"/>
    <n v="0"/>
    <m/>
    <m/>
    <m/>
    <n v="0"/>
    <n v="0"/>
    <n v="0"/>
    <n v="0"/>
    <m/>
    <m/>
  </r>
  <r>
    <n v="0"/>
    <s v="CMS S.60.10.000"/>
    <s v="SUPORTE"/>
    <m/>
    <m/>
    <m/>
    <m/>
    <m/>
    <m/>
    <m/>
    <m/>
    <s v="LINHA DE BY PASS DAS PENEIRAS ALIMENTAÇÃO DO TANQUE TQ-145A-9704"/>
    <s v="SC-010"/>
    <s v="SP 8314 M"/>
    <s v="1450AA-L-70112"/>
    <s v="1450AA-S-58314"/>
    <n v="1"/>
    <s v="PÇ"/>
    <n v="9.1999999999999993"/>
    <n v="9.1999999999999993"/>
    <n v="0"/>
    <n v="0"/>
    <n v="0"/>
    <n v="0.9"/>
    <n v="0.1"/>
    <m/>
    <m/>
    <m/>
    <n v="0"/>
    <m/>
    <n v="0"/>
    <n v="9.1999999999999993"/>
    <m/>
    <n v="0"/>
    <n v="0"/>
    <n v="0"/>
    <m/>
    <m/>
    <m/>
    <n v="0"/>
    <n v="0"/>
    <n v="0"/>
    <n v="0"/>
    <m/>
    <m/>
  </r>
  <r>
    <n v="0"/>
    <s v="CMS S.60.10.000"/>
    <s v="SUPORTE"/>
    <m/>
    <m/>
    <m/>
    <m/>
    <m/>
    <m/>
    <m/>
    <m/>
    <s v="LINHA DE BY PASS DAS PENEIRAS ALIMENTAÇÃO DO TANQUE TQ-145A-9704"/>
    <s v="SC-010"/>
    <s v="SP 8314 N"/>
    <s v="1450AA-L-70112"/>
    <s v="1450AA-S-58314"/>
    <n v="2"/>
    <s v="PÇ"/>
    <n v="2.6999999999999997"/>
    <n v="5.3999999999999995"/>
    <n v="0"/>
    <n v="0"/>
    <n v="0"/>
    <n v="0.9"/>
    <n v="0.1"/>
    <m/>
    <m/>
    <m/>
    <n v="0"/>
    <m/>
    <n v="0"/>
    <n v="5.3999999999999995"/>
    <m/>
    <n v="0"/>
    <n v="0"/>
    <n v="0"/>
    <m/>
    <m/>
    <m/>
    <n v="0"/>
    <n v="0"/>
    <n v="0"/>
    <n v="0"/>
    <m/>
    <m/>
  </r>
  <r>
    <n v="0"/>
    <s v="CMS S.60.10.000"/>
    <s v="SUPORTE"/>
    <m/>
    <m/>
    <m/>
    <m/>
    <m/>
    <m/>
    <m/>
    <m/>
    <s v="LINHA DE BY PASS DAS PENEIRAS ALIMENTAÇÃO DO TANQUE TQ-145A-9704"/>
    <s v="SC-010"/>
    <s v="SP 8314 P"/>
    <s v="1450AA-L-70112"/>
    <s v="1450AA-S-58314"/>
    <n v="3"/>
    <s v="PÇ"/>
    <n v="4"/>
    <n v="12"/>
    <n v="0"/>
    <n v="0"/>
    <n v="0"/>
    <n v="0.9"/>
    <n v="0.1"/>
    <m/>
    <m/>
    <m/>
    <n v="0"/>
    <m/>
    <n v="0"/>
    <n v="12"/>
    <m/>
    <n v="0"/>
    <n v="0"/>
    <n v="0"/>
    <m/>
    <m/>
    <m/>
    <n v="0"/>
    <n v="0"/>
    <n v="0"/>
    <n v="0"/>
    <m/>
    <m/>
  </r>
  <r>
    <n v="0"/>
    <s v="CMS S.60.10.000"/>
    <s v="SUPORTE"/>
    <m/>
    <m/>
    <m/>
    <m/>
    <m/>
    <m/>
    <m/>
    <m/>
    <s v="LINHA DE BY PASS DAS PENEIRAS ALIMENTAÇÃO DO TANQUE TQ-145A-9704"/>
    <s v="SC-010"/>
    <s v="SP 8314 Q"/>
    <s v="1450AA-L-70112"/>
    <s v="1450AA-S-58314"/>
    <n v="3"/>
    <s v="PÇ"/>
    <n v="5.3"/>
    <n v="15.899999999999999"/>
    <n v="0"/>
    <n v="0"/>
    <n v="0"/>
    <n v="0.9"/>
    <n v="0.1"/>
    <m/>
    <m/>
    <m/>
    <n v="0"/>
    <m/>
    <n v="0"/>
    <n v="15.899999999999999"/>
    <m/>
    <n v="0"/>
    <n v="0"/>
    <n v="0"/>
    <m/>
    <m/>
    <m/>
    <n v="0"/>
    <n v="0"/>
    <n v="0"/>
    <n v="0"/>
    <m/>
    <m/>
  </r>
  <r>
    <n v="0"/>
    <s v="CMS S.60.10.000"/>
    <s v="SUPORTE"/>
    <m/>
    <m/>
    <m/>
    <m/>
    <m/>
    <m/>
    <m/>
    <m/>
    <s v="LINHA DE BY PASS DAS PENEIRAS ALIMENTAÇÃO DO TANQUE TQ-145A-9704"/>
    <s v="SC-010"/>
    <s v="SP 8314 R"/>
    <s v="1450AA-L-70112"/>
    <s v="1450AA-S-58314"/>
    <n v="1"/>
    <s v="PÇ"/>
    <n v="6.6000000000000005"/>
    <n v="6.6000000000000005"/>
    <n v="0"/>
    <n v="0"/>
    <n v="0"/>
    <n v="0.9"/>
    <n v="0.1"/>
    <m/>
    <m/>
    <m/>
    <n v="0"/>
    <m/>
    <n v="0"/>
    <n v="6.6000000000000005"/>
    <m/>
    <n v="0"/>
    <n v="0"/>
    <n v="0"/>
    <m/>
    <m/>
    <m/>
    <n v="0"/>
    <n v="0"/>
    <n v="0"/>
    <n v="0"/>
    <m/>
    <m/>
  </r>
  <r>
    <n v="0"/>
    <s v="CMS S.60.10.000"/>
    <s v="SUPORTE"/>
    <m/>
    <m/>
    <m/>
    <m/>
    <m/>
    <m/>
    <m/>
    <m/>
    <s v="LINHA DE BY PASS DAS PENEIRAS ALIMENTAÇÃO DO TANQUE TQ-145A-9704"/>
    <s v="SC-010"/>
    <s v="SP 8314 S"/>
    <s v="1450AA-L-70112"/>
    <s v="1450AA-S-58314"/>
    <n v="4"/>
    <s v="PÇ"/>
    <n v="12.4"/>
    <n v="49.6"/>
    <n v="0"/>
    <n v="0"/>
    <n v="0"/>
    <n v="0.9"/>
    <n v="0.1"/>
    <m/>
    <m/>
    <m/>
    <n v="0"/>
    <m/>
    <n v="0"/>
    <n v="49.6"/>
    <m/>
    <n v="0"/>
    <n v="0"/>
    <n v="0"/>
    <m/>
    <m/>
    <m/>
    <n v="0"/>
    <n v="0"/>
    <n v="0"/>
    <n v="0"/>
    <m/>
    <m/>
  </r>
  <r>
    <n v="0"/>
    <s v="CMS S.60.10.000"/>
    <s v="SUPORTE"/>
    <m/>
    <m/>
    <m/>
    <m/>
    <m/>
    <m/>
    <m/>
    <m/>
    <s v="LINHA DE BY PASS DAS PENEIRAS ALIMENTAÇÃO DO TANQUE TQ-145A-9704"/>
    <s v="SC-010"/>
    <s v="SP 8314 T"/>
    <s v="1450AA-L-70112"/>
    <s v="1450AA-S-58314"/>
    <n v="1"/>
    <s v="PÇ"/>
    <n v="15"/>
    <n v="15"/>
    <n v="0"/>
    <n v="0"/>
    <n v="0"/>
    <n v="0.9"/>
    <n v="0.1"/>
    <m/>
    <m/>
    <m/>
    <n v="0"/>
    <m/>
    <n v="0"/>
    <n v="15"/>
    <m/>
    <n v="0"/>
    <n v="0"/>
    <n v="0"/>
    <m/>
    <m/>
    <m/>
    <n v="0"/>
    <n v="0"/>
    <n v="0"/>
    <n v="0"/>
    <m/>
    <m/>
  </r>
  <r>
    <n v="0"/>
    <s v="CMS S.60.10.000"/>
    <s v="SUPORTE"/>
    <m/>
    <m/>
    <m/>
    <m/>
    <m/>
    <m/>
    <m/>
    <m/>
    <s v="LINHA DO CIRCUITO ULTRAFINO LINHA DE ALIMENTAÇÃO DO DISTRIBUIDOR DI 145A-9903"/>
    <s v="SC-018"/>
    <s v="SP 8315 A"/>
    <m/>
    <s v="1450AA-S-58315"/>
    <n v="3"/>
    <s v="PÇ"/>
    <n v="12.7"/>
    <n v="38.099999999999994"/>
    <n v="0"/>
    <n v="0"/>
    <n v="0"/>
    <n v="0.9"/>
    <n v="0.1"/>
    <m/>
    <m/>
    <m/>
    <n v="0"/>
    <m/>
    <n v="0"/>
    <n v="38.099999999999994"/>
    <m/>
    <n v="0"/>
    <n v="0"/>
    <n v="0"/>
    <m/>
    <m/>
    <m/>
    <n v="0"/>
    <n v="0"/>
    <n v="0"/>
    <n v="0"/>
    <m/>
    <m/>
  </r>
  <r>
    <n v="0"/>
    <s v="CMS S.60.10.000"/>
    <s v="SUPORTE"/>
    <m/>
    <m/>
    <m/>
    <m/>
    <m/>
    <m/>
    <m/>
    <m/>
    <s v="LINHA DO CIRCUITO ULTRAFINO LINHA DE ALIMENTAÇÃO DO DISTRIBUIDOR DI 145A-9903"/>
    <s v="SC-018"/>
    <s v="SP 8315 B"/>
    <m/>
    <s v="1450AA-S-58315"/>
    <n v="1"/>
    <s v="PÇ"/>
    <n v="13.7"/>
    <n v="13.7"/>
    <n v="0"/>
    <n v="0"/>
    <n v="0"/>
    <n v="0.9"/>
    <n v="0.1"/>
    <m/>
    <m/>
    <m/>
    <n v="0"/>
    <m/>
    <n v="0"/>
    <n v="13.7"/>
    <m/>
    <n v="0"/>
    <n v="0"/>
    <n v="0"/>
    <m/>
    <m/>
    <m/>
    <n v="0"/>
    <n v="0"/>
    <n v="0"/>
    <n v="0"/>
    <m/>
    <m/>
  </r>
  <r>
    <n v="0"/>
    <s v="CMS S.60.10.000"/>
    <s v="SUPORTE"/>
    <m/>
    <m/>
    <m/>
    <m/>
    <m/>
    <m/>
    <m/>
    <m/>
    <s v="LINHA DO CIRCUITO ULTRAFINO LINHA DE ALIMENTAÇÃO DO DISTRIBUIDOR DI 145A-9903"/>
    <s v="SC-018"/>
    <s v="SP 8315 C"/>
    <m/>
    <s v="1450AA-S-58315"/>
    <n v="1"/>
    <s v="PÇ"/>
    <n v="15.9"/>
    <n v="15.9"/>
    <n v="0"/>
    <n v="0"/>
    <n v="0"/>
    <n v="0.9"/>
    <n v="0.1"/>
    <m/>
    <m/>
    <m/>
    <n v="0"/>
    <m/>
    <n v="0"/>
    <n v="15.9"/>
    <m/>
    <n v="0"/>
    <n v="0"/>
    <n v="0"/>
    <m/>
    <m/>
    <m/>
    <n v="0"/>
    <n v="0"/>
    <n v="0"/>
    <n v="0"/>
    <m/>
    <m/>
  </r>
  <r>
    <n v="0"/>
    <s v="CMS S.60.10.000"/>
    <s v="SUPORTE"/>
    <m/>
    <m/>
    <m/>
    <m/>
    <m/>
    <m/>
    <m/>
    <m/>
    <s v="LINHA DO CIRCUITO ULTRAFINO LINHA DE ALIMENTAÇÃO DO DISTRIBUIDOR DI 145A-9903"/>
    <s v="SC-018"/>
    <s v="SP 8315 D"/>
    <m/>
    <s v="1450AA-S-58315"/>
    <n v="8"/>
    <s v="PÇ"/>
    <n v="1.7"/>
    <n v="13.6"/>
    <n v="0"/>
    <n v="0"/>
    <n v="0"/>
    <n v="0.9"/>
    <n v="0.1"/>
    <m/>
    <m/>
    <m/>
    <n v="0"/>
    <m/>
    <n v="0"/>
    <n v="13.6"/>
    <m/>
    <n v="0"/>
    <n v="0"/>
    <n v="0"/>
    <m/>
    <m/>
    <m/>
    <n v="0"/>
    <n v="0"/>
    <n v="0"/>
    <n v="0"/>
    <m/>
    <m/>
  </r>
  <r>
    <n v="0"/>
    <s v="CMS S.60.10.000"/>
    <s v="SUPORTE"/>
    <m/>
    <m/>
    <m/>
    <m/>
    <m/>
    <m/>
    <m/>
    <m/>
    <s v="LINHA DO CIRCUITO ULTRAFINO LINHA DE ALIMENTAÇÃO DO DISTRIBUIDOR DI 145A-9903"/>
    <s v="SC-018"/>
    <s v="SP 8315 E"/>
    <m/>
    <s v="1450AA-S-58315"/>
    <n v="1"/>
    <s v="PÇ"/>
    <n v="270.7"/>
    <n v="270.7"/>
    <n v="0"/>
    <n v="0"/>
    <n v="0"/>
    <n v="0.9"/>
    <n v="0.1"/>
    <m/>
    <m/>
    <m/>
    <n v="0"/>
    <m/>
    <n v="0"/>
    <n v="270.7"/>
    <m/>
    <n v="0"/>
    <n v="0"/>
    <n v="0"/>
    <m/>
    <m/>
    <m/>
    <n v="0"/>
    <n v="0"/>
    <n v="0"/>
    <n v="0"/>
    <m/>
    <m/>
  </r>
  <r>
    <n v="0"/>
    <s v="CMS S.60.10.000"/>
    <s v="SUPORTE"/>
    <m/>
    <m/>
    <m/>
    <m/>
    <m/>
    <m/>
    <m/>
    <m/>
    <s v="LINHA DO CIRCUITO ULTRAFINO LINHA DE ALIMENTAÇÃO DO DISTRIBUIDOR DI 145A-9903"/>
    <s v="SC-018"/>
    <s v="SP 8315 F"/>
    <m/>
    <s v="1450AA-S-58315"/>
    <n v="1"/>
    <s v="PÇ"/>
    <n v="24.7"/>
    <n v="24.7"/>
    <n v="0"/>
    <n v="0"/>
    <n v="0"/>
    <n v="0.9"/>
    <n v="0.1"/>
    <m/>
    <m/>
    <m/>
    <n v="0"/>
    <m/>
    <n v="0"/>
    <n v="24.7"/>
    <m/>
    <n v="0"/>
    <n v="0"/>
    <n v="0"/>
    <m/>
    <m/>
    <m/>
    <n v="0"/>
    <n v="0"/>
    <n v="0"/>
    <n v="0"/>
    <m/>
    <m/>
  </r>
  <r>
    <n v="0"/>
    <s v="CMS S.60.10.000"/>
    <s v="SUPORTE"/>
    <m/>
    <m/>
    <m/>
    <m/>
    <m/>
    <m/>
    <m/>
    <m/>
    <s v="LINHA DO CIRCUITO ULTRAFINO LINHA DE ALIMENTAÇÃO DO DISTRIBUIDOR DI 145A-9903"/>
    <s v="SC-018"/>
    <s v="SP 8315 G"/>
    <m/>
    <s v="1450AA-S-58315"/>
    <n v="1"/>
    <s v="PÇ"/>
    <n v="23.2"/>
    <n v="23.2"/>
    <n v="0"/>
    <n v="0"/>
    <n v="0"/>
    <n v="0.9"/>
    <n v="0.1"/>
    <m/>
    <m/>
    <m/>
    <n v="0"/>
    <m/>
    <n v="0"/>
    <n v="23.2"/>
    <m/>
    <n v="0"/>
    <n v="0"/>
    <n v="0"/>
    <m/>
    <m/>
    <m/>
    <n v="0"/>
    <n v="0"/>
    <n v="0"/>
    <n v="0"/>
    <m/>
    <m/>
  </r>
  <r>
    <n v="0"/>
    <s v="CMS S.60.10.000"/>
    <s v="SUPORTE"/>
    <m/>
    <m/>
    <m/>
    <m/>
    <m/>
    <m/>
    <m/>
    <m/>
    <s v="LINHA DO CIRCUITO ULTRAFINO LINHA DE ALIMENTAÇÃO DO DISTRIBUIDOR DI 145A-9903"/>
    <s v="SC-018"/>
    <s v="SP 8315 H"/>
    <m/>
    <s v="1450AA-S-58315"/>
    <n v="1"/>
    <s v="PÇ"/>
    <n v="37.5"/>
    <n v="37.5"/>
    <n v="0"/>
    <n v="0"/>
    <n v="0"/>
    <n v="0.9"/>
    <n v="0.1"/>
    <m/>
    <m/>
    <m/>
    <n v="0"/>
    <m/>
    <n v="0"/>
    <n v="37.5"/>
    <m/>
    <n v="0"/>
    <n v="0"/>
    <n v="0"/>
    <m/>
    <m/>
    <m/>
    <n v="0"/>
    <n v="0"/>
    <n v="0"/>
    <n v="0"/>
    <m/>
    <m/>
  </r>
  <r>
    <n v="0"/>
    <s v="CMS S.60.10.000"/>
    <s v="SUPORTE"/>
    <m/>
    <m/>
    <m/>
    <m/>
    <m/>
    <m/>
    <m/>
    <m/>
    <s v="LINHA DO CIRCUITO ULTRAFINO LINHA DE ALIMENTAÇÃO DO DISTRIBUIDOR DI 145A-9903"/>
    <s v="SC-018"/>
    <s v="SP 8315 J"/>
    <m/>
    <s v="1450AA-S-58315"/>
    <n v="4"/>
    <s v="PÇ"/>
    <n v="4.3"/>
    <n v="17.2"/>
    <n v="0"/>
    <n v="0"/>
    <n v="0"/>
    <n v="0.9"/>
    <n v="0.1"/>
    <m/>
    <m/>
    <m/>
    <n v="0"/>
    <m/>
    <n v="0"/>
    <n v="17.2"/>
    <m/>
    <n v="0"/>
    <n v="0"/>
    <n v="0"/>
    <m/>
    <m/>
    <m/>
    <n v="0"/>
    <n v="0"/>
    <n v="0"/>
    <n v="0"/>
    <m/>
    <m/>
  </r>
  <r>
    <n v="0"/>
    <s v="CMS S.60.10.000"/>
    <s v="SUPORTE"/>
    <m/>
    <m/>
    <m/>
    <m/>
    <m/>
    <m/>
    <m/>
    <m/>
    <s v="LINHA DO CIRCUITO ULTRAFINO LINHA DE ALIMENTAÇÃO DO DISTRIBUIDOR DI 145A-9903"/>
    <s v="SC-018"/>
    <s v="SP 8315 K"/>
    <m/>
    <s v="1450AA-S-58315"/>
    <n v="6"/>
    <s v="PÇ"/>
    <n v="6"/>
    <n v="36"/>
    <n v="0"/>
    <n v="0"/>
    <n v="0"/>
    <n v="0.9"/>
    <n v="0.1"/>
    <m/>
    <m/>
    <m/>
    <n v="0"/>
    <m/>
    <n v="0"/>
    <n v="36"/>
    <m/>
    <n v="0"/>
    <n v="0"/>
    <n v="0"/>
    <m/>
    <m/>
    <m/>
    <n v="0"/>
    <n v="0"/>
    <n v="0"/>
    <n v="0"/>
    <m/>
    <m/>
  </r>
  <r>
    <n v="0"/>
    <s v="CMS S.60.10.000"/>
    <s v="SUPORTE"/>
    <m/>
    <m/>
    <m/>
    <m/>
    <m/>
    <m/>
    <m/>
    <m/>
    <s v="LINHA DO CIRCUITO ULTRAFINO LINHA DE ALIMENTAÇÃO DO DISTRIBUIDOR DI 145A-9903"/>
    <s v="SC-018"/>
    <s v="SP 8315 L"/>
    <m/>
    <s v="1450AA-S-58315"/>
    <n v="3"/>
    <s v="PÇ"/>
    <n v="7.6"/>
    <n v="22.799999999999997"/>
    <n v="0"/>
    <n v="0"/>
    <n v="0"/>
    <n v="0.9"/>
    <n v="0.1"/>
    <m/>
    <m/>
    <m/>
    <n v="0"/>
    <m/>
    <n v="0"/>
    <n v="22.799999999999997"/>
    <m/>
    <n v="0"/>
    <n v="0"/>
    <n v="0"/>
    <m/>
    <m/>
    <m/>
    <n v="0"/>
    <n v="0"/>
    <n v="0"/>
    <n v="0"/>
    <m/>
    <m/>
  </r>
  <r>
    <n v="0"/>
    <s v="CMS S.60.10.000"/>
    <s v="SUPORTE"/>
    <m/>
    <m/>
    <m/>
    <m/>
    <m/>
    <m/>
    <m/>
    <m/>
    <s v="LINHA DO CIRCUITO ULTRAFINO LINHA DE ALIMENTAÇÃO DO DISTRIBUIDOR DI 145A-9903"/>
    <s v="SC-018"/>
    <s v="SP 8315 M"/>
    <m/>
    <s v="1450AA-S-58315"/>
    <n v="1"/>
    <s v="PÇ"/>
    <n v="3.3"/>
    <n v="3.3"/>
    <n v="0"/>
    <n v="0"/>
    <n v="0"/>
    <n v="0.9"/>
    <n v="0.1"/>
    <m/>
    <m/>
    <m/>
    <n v="0"/>
    <m/>
    <n v="0"/>
    <n v="3.3"/>
    <m/>
    <n v="0"/>
    <n v="0"/>
    <n v="0"/>
    <m/>
    <m/>
    <m/>
    <n v="0"/>
    <n v="0"/>
    <n v="0"/>
    <n v="0"/>
    <m/>
    <m/>
  </r>
  <r>
    <n v="0"/>
    <s v="CMS S.60.10.000"/>
    <s v="SUPORTE"/>
    <m/>
    <m/>
    <m/>
    <m/>
    <m/>
    <m/>
    <m/>
    <m/>
    <s v="LINHA DO CIRCUITO ULTRAFINO LINHA DE ALIMENTAÇÃO DO DISTRIBUIDOR DI 145A-9903"/>
    <s v="SC-018"/>
    <s v="SP 8315 N"/>
    <m/>
    <s v="1450AA-S-58315"/>
    <n v="1"/>
    <s v="PÇ"/>
    <n v="10.8"/>
    <n v="10.8"/>
    <n v="0"/>
    <n v="0"/>
    <n v="0"/>
    <n v="0.9"/>
    <n v="0.1"/>
    <m/>
    <m/>
    <m/>
    <n v="0"/>
    <m/>
    <n v="0"/>
    <n v="10.8"/>
    <m/>
    <n v="0"/>
    <n v="0"/>
    <n v="0"/>
    <m/>
    <m/>
    <m/>
    <n v="0"/>
    <n v="0"/>
    <n v="0"/>
    <n v="0"/>
    <m/>
    <m/>
  </r>
  <r>
    <n v="0"/>
    <s v="CMS S.60.10.000"/>
    <s v="SUPORTE"/>
    <m/>
    <m/>
    <m/>
    <m/>
    <m/>
    <m/>
    <m/>
    <m/>
    <s v="LINHA DO CIRCUITO ULTRAFINO LINHA DE ALIMENTAÇÃO DO DISTRIBUIDOR DI 145A-9903"/>
    <s v="SC-018"/>
    <s v="SP 8317 A"/>
    <m/>
    <s v="1450AA-S-58317"/>
    <n v="1"/>
    <s v="PÇ"/>
    <n v="14.5"/>
    <n v="14.5"/>
    <n v="0"/>
    <n v="0"/>
    <n v="0"/>
    <n v="0.9"/>
    <n v="0.1"/>
    <m/>
    <m/>
    <m/>
    <n v="0"/>
    <m/>
    <n v="0"/>
    <n v="14.5"/>
    <m/>
    <n v="0"/>
    <n v="0"/>
    <n v="0"/>
    <m/>
    <m/>
    <m/>
    <n v="0"/>
    <n v="0"/>
    <n v="0"/>
    <n v="0"/>
    <m/>
    <m/>
  </r>
  <r>
    <n v="0"/>
    <s v="CMS S.60.10.000"/>
    <s v="SUPORTE"/>
    <m/>
    <m/>
    <m/>
    <m/>
    <m/>
    <m/>
    <m/>
    <m/>
    <s v="LINHA DO CIRCUITO ULTRAFINO LINHA DE ALIMENTAÇÃO DO DISTRIBUIDOR DI 145A-9903"/>
    <s v="SC-018"/>
    <s v="SP 8317 B"/>
    <m/>
    <s v="1450AA-S-58317"/>
    <n v="2"/>
    <s v="PÇ"/>
    <n v="11.8"/>
    <n v="23.6"/>
    <n v="0"/>
    <n v="0"/>
    <n v="0"/>
    <n v="0.9"/>
    <n v="0.1"/>
    <m/>
    <m/>
    <m/>
    <n v="0"/>
    <m/>
    <n v="0"/>
    <n v="23.6"/>
    <m/>
    <n v="0"/>
    <n v="0"/>
    <n v="0"/>
    <m/>
    <m/>
    <m/>
    <n v="0"/>
    <n v="0"/>
    <n v="0"/>
    <n v="0"/>
    <m/>
    <m/>
  </r>
  <r>
    <n v="0"/>
    <s v="CMS S.60.10.000"/>
    <s v="SUPORTE"/>
    <m/>
    <m/>
    <m/>
    <m/>
    <m/>
    <m/>
    <m/>
    <m/>
    <s v="LINHA DO CIRCUITO ULTRAFINO LINHA DE ALIMENTAÇÃO DO DISTRIBUIDOR DI 145A-9903"/>
    <s v="SC-018"/>
    <s v="SP 8317 C"/>
    <m/>
    <s v="1450AA-S-58317"/>
    <n v="1"/>
    <s v="PÇ"/>
    <n v="13.2"/>
    <n v="13.2"/>
    <n v="0"/>
    <n v="0"/>
    <n v="0"/>
    <n v="0.9"/>
    <n v="0.1"/>
    <m/>
    <m/>
    <m/>
    <n v="0"/>
    <m/>
    <n v="0"/>
    <n v="13.2"/>
    <m/>
    <n v="0"/>
    <n v="0"/>
    <n v="0"/>
    <m/>
    <m/>
    <m/>
    <n v="0"/>
    <n v="0"/>
    <n v="0"/>
    <n v="0"/>
    <m/>
    <m/>
  </r>
  <r>
    <n v="0"/>
    <s v="CMS S.60.10.000"/>
    <s v="SUPORTE"/>
    <m/>
    <m/>
    <m/>
    <m/>
    <m/>
    <m/>
    <m/>
    <m/>
    <s v="LINHA DO CIRCUITO ULTRAFINO LINHA DE ALIMENTAÇÃO DO DISTRIBUIDOR DI 145A-9903"/>
    <s v="SC-018"/>
    <s v="SP 8317 D"/>
    <m/>
    <s v="1450AA-S-58317"/>
    <n v="2"/>
    <s v="PÇ"/>
    <n v="11.8"/>
    <n v="23.6"/>
    <n v="0"/>
    <n v="0"/>
    <n v="0"/>
    <n v="0.9"/>
    <n v="0.1"/>
    <m/>
    <m/>
    <m/>
    <n v="0"/>
    <m/>
    <n v="0"/>
    <n v="23.6"/>
    <m/>
    <n v="0"/>
    <n v="0"/>
    <n v="0"/>
    <m/>
    <m/>
    <m/>
    <n v="0"/>
    <n v="0"/>
    <n v="0"/>
    <n v="0"/>
    <m/>
    <m/>
  </r>
  <r>
    <n v="0"/>
    <s v="CMS S.60.10.000"/>
    <s v="SUPORTE"/>
    <m/>
    <m/>
    <m/>
    <m/>
    <m/>
    <m/>
    <m/>
    <m/>
    <s v="LINHA DO CIRCUITO ULTRAFINO LINHA DE ALIMENTAÇÃO DO DISTRIBUIDOR DI 145A-9903"/>
    <s v="SC-018"/>
    <s v="SP 8317 E"/>
    <m/>
    <s v="1450AA-S-58317"/>
    <n v="1"/>
    <s v="PÇ"/>
    <n v="14"/>
    <n v="14"/>
    <n v="0"/>
    <n v="0"/>
    <n v="0"/>
    <n v="0.9"/>
    <n v="0.1"/>
    <m/>
    <m/>
    <m/>
    <n v="0"/>
    <m/>
    <n v="0"/>
    <n v="14"/>
    <m/>
    <n v="0"/>
    <n v="0"/>
    <n v="0"/>
    <m/>
    <m/>
    <m/>
    <n v="0"/>
    <n v="0"/>
    <n v="0"/>
    <n v="0"/>
    <m/>
    <m/>
  </r>
  <r>
    <n v="0"/>
    <s v="CMS S.60.10.000"/>
    <s v="SUPORTE"/>
    <m/>
    <m/>
    <m/>
    <m/>
    <m/>
    <m/>
    <m/>
    <m/>
    <s v="LINHA DO CIRCUITO ULTRAFINO LINHA DE ALIMENTAÇÃO DO DISTRIBUIDOR DI 145A-9903"/>
    <s v="SC-018"/>
    <s v="SP 8317 F"/>
    <m/>
    <s v="1450AA-S-58317"/>
    <n v="1"/>
    <s v="PÇ"/>
    <n v="11.9"/>
    <n v="11.9"/>
    <n v="0"/>
    <n v="0"/>
    <n v="0"/>
    <n v="0.9"/>
    <n v="0.1"/>
    <m/>
    <m/>
    <m/>
    <n v="0"/>
    <m/>
    <n v="0"/>
    <n v="11.9"/>
    <m/>
    <n v="0"/>
    <n v="0"/>
    <n v="0"/>
    <m/>
    <m/>
    <m/>
    <n v="0"/>
    <n v="0"/>
    <n v="0"/>
    <n v="0"/>
    <m/>
    <m/>
  </r>
  <r>
    <n v="0"/>
    <s v="CMS S.60.10.000"/>
    <s v="SUPORTE"/>
    <m/>
    <m/>
    <m/>
    <m/>
    <m/>
    <m/>
    <m/>
    <m/>
    <s v="LINHA DO CIRCUITO ULTRAFINO LINHA DE ALIMENTAÇÃO DO DISTRIBUIDOR DI 145A-9903"/>
    <s v="SC-018"/>
    <s v="SP 8317 G"/>
    <m/>
    <s v="1450AA-S-58317"/>
    <n v="1"/>
    <s v="PÇ"/>
    <n v="107.9"/>
    <n v="107.9"/>
    <n v="0"/>
    <n v="0"/>
    <n v="0"/>
    <n v="0.9"/>
    <n v="0.1"/>
    <m/>
    <m/>
    <m/>
    <n v="0"/>
    <m/>
    <n v="0"/>
    <n v="107.9"/>
    <m/>
    <n v="0"/>
    <n v="0"/>
    <n v="0"/>
    <m/>
    <m/>
    <m/>
    <n v="0"/>
    <n v="0"/>
    <n v="0"/>
    <n v="0"/>
    <m/>
    <m/>
  </r>
  <r>
    <n v="0"/>
    <s v="CMS S.60.10.000"/>
    <s v="SUPORTE"/>
    <m/>
    <m/>
    <m/>
    <m/>
    <m/>
    <m/>
    <m/>
    <m/>
    <s v="LINHA DO CIRCUITO ULTRAFINO LINHA DE ALIMENTAÇÃO DO DISTRIBUIDOR DI 145A-9903"/>
    <s v="SC-018"/>
    <s v="SP 8317 H"/>
    <m/>
    <s v="1450AA-S-58317"/>
    <n v="1"/>
    <s v="PÇ"/>
    <n v="22.9"/>
    <n v="22.9"/>
    <n v="0"/>
    <n v="0"/>
    <n v="0"/>
    <n v="0.9"/>
    <n v="0.1"/>
    <m/>
    <m/>
    <m/>
    <n v="0"/>
    <m/>
    <n v="0"/>
    <n v="22.9"/>
    <m/>
    <n v="0"/>
    <n v="0"/>
    <n v="0"/>
    <m/>
    <m/>
    <m/>
    <n v="0"/>
    <n v="0"/>
    <n v="0"/>
    <n v="0"/>
    <m/>
    <m/>
  </r>
  <r>
    <n v="0"/>
    <s v="CMS S.60.10.000"/>
    <s v="SUPORTE"/>
    <m/>
    <m/>
    <m/>
    <m/>
    <m/>
    <m/>
    <m/>
    <m/>
    <s v="LINHA DO CIRCUITO ULTRAFINO LINHA DE ALIMENTAÇÃO DO DISTRIBUIDOR DI 145A-9903"/>
    <s v="SC-018"/>
    <s v="SP 8317 J"/>
    <m/>
    <s v="1450AA-S-58317"/>
    <n v="1"/>
    <s v="PÇ"/>
    <n v="0.8"/>
    <n v="0.8"/>
    <n v="0"/>
    <n v="0"/>
    <n v="0"/>
    <n v="0.9"/>
    <n v="0.1"/>
    <m/>
    <m/>
    <m/>
    <n v="0"/>
    <m/>
    <n v="0"/>
    <n v="0.8"/>
    <m/>
    <n v="0"/>
    <n v="0"/>
    <n v="0"/>
    <m/>
    <m/>
    <m/>
    <n v="0"/>
    <n v="0"/>
    <n v="0"/>
    <n v="0"/>
    <m/>
    <m/>
  </r>
  <r>
    <n v="0"/>
    <s v="CMS S.60.10.000"/>
    <s v="SUPORTE"/>
    <m/>
    <m/>
    <m/>
    <m/>
    <m/>
    <m/>
    <m/>
    <m/>
    <s v="LINHA DO CIRCUITO ULTRAFINO LINHA DE ALIMENTAÇÃO DO DISTRIBUIDOR DI 145A-9903"/>
    <s v="SC-018"/>
    <s v="SP 8317 K"/>
    <m/>
    <s v="1450AA-S-58317"/>
    <n v="1"/>
    <s v="PÇ"/>
    <n v="41.7"/>
    <n v="41.7"/>
    <n v="0"/>
    <n v="0"/>
    <n v="0"/>
    <n v="0.9"/>
    <n v="0.1"/>
    <m/>
    <m/>
    <m/>
    <n v="0"/>
    <m/>
    <n v="0"/>
    <n v="41.7"/>
    <m/>
    <n v="0"/>
    <n v="0"/>
    <n v="0"/>
    <m/>
    <m/>
    <m/>
    <n v="0"/>
    <n v="0"/>
    <n v="0"/>
    <n v="0"/>
    <m/>
    <m/>
  </r>
  <r>
    <n v="0"/>
    <s v="CMS S.60.10.000"/>
    <s v="SUPORTE"/>
    <m/>
    <m/>
    <m/>
    <m/>
    <m/>
    <m/>
    <m/>
    <m/>
    <s v="LINHA DO CIRCUITO ULTRAFINO LINHA DE ALIMENTAÇÃO DO DISTRIBUIDOR DI 145A-9903"/>
    <s v="SC-018"/>
    <s v="SP 8317 L"/>
    <m/>
    <s v="1450AA-S-58317"/>
    <n v="1"/>
    <s v="PÇ"/>
    <n v="41.2"/>
    <n v="41.2"/>
    <n v="0"/>
    <n v="0"/>
    <n v="0"/>
    <n v="0.9"/>
    <n v="0.1"/>
    <m/>
    <m/>
    <m/>
    <n v="0"/>
    <m/>
    <n v="0"/>
    <n v="41.2"/>
    <m/>
    <n v="0"/>
    <n v="0"/>
    <n v="0"/>
    <m/>
    <m/>
    <m/>
    <n v="0"/>
    <n v="0"/>
    <n v="0"/>
    <n v="0"/>
    <m/>
    <m/>
  </r>
  <r>
    <n v="0"/>
    <s v="CMS S.60.10.000"/>
    <s v="SUPORTE"/>
    <m/>
    <m/>
    <m/>
    <m/>
    <m/>
    <m/>
    <m/>
    <m/>
    <s v="LINHA DO CIRCUITO ULTRAFINO LINHA DE DESCARGA DO DISTRIBUIDOR DI 145A-9904"/>
    <s v="SC-026"/>
    <s v="SP 8320 A"/>
    <m/>
    <s v="1450AA-S-58320"/>
    <n v="2"/>
    <s v="PÇ"/>
    <n v="17.3"/>
    <n v="34.6"/>
    <n v="0"/>
    <n v="0"/>
    <n v="0"/>
    <n v="0.9"/>
    <n v="0.1"/>
    <m/>
    <m/>
    <m/>
    <n v="0"/>
    <m/>
    <n v="0"/>
    <n v="34.6"/>
    <m/>
    <n v="0"/>
    <n v="0"/>
    <n v="0"/>
    <m/>
    <m/>
    <m/>
    <n v="0"/>
    <n v="0"/>
    <n v="0"/>
    <n v="0"/>
    <m/>
    <m/>
  </r>
  <r>
    <n v="0"/>
    <s v="CMS S.60.10.000"/>
    <s v="SUPORTE"/>
    <m/>
    <m/>
    <m/>
    <m/>
    <m/>
    <m/>
    <m/>
    <m/>
    <s v="LINHA DO CIRCUITO ULTRAFINO LINHA DE DESCARGA DO DISTRIBUIDOR DI 145A-9904"/>
    <s v="SC-026"/>
    <s v="SP 8320 B"/>
    <m/>
    <s v="1450AA-S-58320"/>
    <n v="2"/>
    <s v="PÇ"/>
    <n v="15.299999999999999"/>
    <n v="30.599999999999998"/>
    <n v="0"/>
    <n v="0"/>
    <n v="0"/>
    <n v="0.9"/>
    <n v="0.1"/>
    <m/>
    <m/>
    <m/>
    <n v="0"/>
    <m/>
    <n v="0"/>
    <n v="30.599999999999998"/>
    <m/>
    <n v="0"/>
    <n v="0"/>
    <n v="0"/>
    <m/>
    <m/>
    <m/>
    <n v="0"/>
    <n v="0"/>
    <n v="0"/>
    <n v="0"/>
    <m/>
    <m/>
  </r>
  <r>
    <n v="0"/>
    <s v="CMS S.60.10.000"/>
    <s v="SUPORTE"/>
    <m/>
    <m/>
    <m/>
    <m/>
    <m/>
    <m/>
    <m/>
    <m/>
    <s v="LINHA DO CIRCUITO ULTRAFINO LINHA DE DESCARGA DO DISTRIBUIDOR DI 145A-9904"/>
    <s v="SC-026"/>
    <s v="SP 8320 C"/>
    <m/>
    <s v="1450AA-S-58320"/>
    <n v="2"/>
    <s v="PÇ"/>
    <n v="12.2"/>
    <n v="24.4"/>
    <n v="0"/>
    <n v="0"/>
    <n v="0"/>
    <n v="0.9"/>
    <n v="0.1"/>
    <m/>
    <m/>
    <m/>
    <n v="0"/>
    <m/>
    <n v="0"/>
    <n v="24.4"/>
    <m/>
    <n v="0"/>
    <n v="0"/>
    <n v="0"/>
    <m/>
    <m/>
    <m/>
    <n v="0"/>
    <n v="0"/>
    <n v="0"/>
    <n v="0"/>
    <m/>
    <m/>
  </r>
  <r>
    <n v="0"/>
    <s v="CMS S.60.10.000"/>
    <s v="SUPORTE"/>
    <m/>
    <m/>
    <m/>
    <m/>
    <m/>
    <m/>
    <m/>
    <m/>
    <s v="LINHA DO CIRCUITO ULTRAFINO LINHA DE DESCARGA DO DISTRIBUIDOR DI 145A-9904"/>
    <s v="SC-026"/>
    <s v="SP 8320 D"/>
    <m/>
    <s v="1450AA-S-58320"/>
    <n v="1"/>
    <s v="PÇ"/>
    <n v="12.9"/>
    <n v="12.9"/>
    <n v="0"/>
    <n v="0"/>
    <n v="0"/>
    <n v="0.9"/>
    <n v="0.1"/>
    <m/>
    <m/>
    <m/>
    <n v="0"/>
    <m/>
    <n v="0"/>
    <n v="12.9"/>
    <m/>
    <n v="0"/>
    <n v="0"/>
    <n v="0"/>
    <m/>
    <m/>
    <m/>
    <n v="0"/>
    <n v="0"/>
    <n v="0"/>
    <n v="0"/>
    <m/>
    <m/>
  </r>
  <r>
    <n v="0"/>
    <s v="CMS S.60.10.000"/>
    <s v="SUPORTE"/>
    <m/>
    <m/>
    <m/>
    <m/>
    <m/>
    <m/>
    <m/>
    <m/>
    <s v="LINHA DO CIRCUITO ULTRAFINO LINHA DE DESCARGA DO DISTRIBUIDOR DI 145A-9904"/>
    <s v="SC-026"/>
    <s v="SP 8320 E"/>
    <m/>
    <s v="1450AA-S-58320"/>
    <n v="2"/>
    <s v="PÇ"/>
    <n v="16.8"/>
    <n v="33.6"/>
    <n v="0"/>
    <n v="0"/>
    <n v="0"/>
    <n v="0.9"/>
    <n v="0.1"/>
    <m/>
    <m/>
    <m/>
    <n v="0"/>
    <m/>
    <n v="0"/>
    <n v="33.6"/>
    <m/>
    <n v="0"/>
    <n v="0"/>
    <n v="0"/>
    <m/>
    <m/>
    <m/>
    <n v="0"/>
    <n v="0"/>
    <n v="0"/>
    <n v="0"/>
    <m/>
    <m/>
  </r>
  <r>
    <n v="0"/>
    <s v="CMS S.60.10.000"/>
    <s v="SUPORTE"/>
    <m/>
    <m/>
    <m/>
    <m/>
    <m/>
    <m/>
    <m/>
    <m/>
    <s v="LINHA DO CIRCUITO ULTRAFINO LINHA DE DESCARGA DO DISTRIBUIDOR DI 145A-9904"/>
    <s v="SC-026"/>
    <s v=" 8320 F"/>
    <m/>
    <s v="1450AA-S-58320"/>
    <n v="2"/>
    <s v="PÇ"/>
    <n v="15.5"/>
    <n v="31"/>
    <n v="0"/>
    <n v="0"/>
    <n v="0"/>
    <n v="0.9"/>
    <n v="0.1"/>
    <m/>
    <m/>
    <m/>
    <n v="0"/>
    <m/>
    <n v="0"/>
    <n v="31"/>
    <m/>
    <n v="0"/>
    <n v="0"/>
    <n v="0"/>
    <m/>
    <m/>
    <m/>
    <n v="0"/>
    <n v="0"/>
    <n v="0"/>
    <n v="0"/>
    <m/>
    <m/>
  </r>
  <r>
    <n v="0"/>
    <s v="CMS S.60.10.000"/>
    <s v="SUPORTE"/>
    <m/>
    <m/>
    <m/>
    <m/>
    <m/>
    <m/>
    <m/>
    <m/>
    <s v="LINHA DO CIRCUITO ULTRAFINO LINHA DE DESCARGA DO DISTRIBUIDOR DI 145A-9904"/>
    <s v="SC-026"/>
    <s v="SP 8320 G"/>
    <m/>
    <s v="1450AA-S-58320"/>
    <n v="2"/>
    <s v="PÇ"/>
    <n v="5.7"/>
    <n v="11.4"/>
    <n v="0"/>
    <n v="0"/>
    <n v="0"/>
    <n v="0.9"/>
    <n v="0.1"/>
    <m/>
    <m/>
    <m/>
    <n v="0"/>
    <m/>
    <n v="0"/>
    <n v="11.4"/>
    <m/>
    <n v="0"/>
    <n v="0"/>
    <n v="0"/>
    <m/>
    <m/>
    <m/>
    <n v="0"/>
    <n v="0"/>
    <n v="0"/>
    <n v="0"/>
    <m/>
    <m/>
  </r>
  <r>
    <n v="0"/>
    <s v="CMS S.60.10.000"/>
    <s v="SUPORTE"/>
    <m/>
    <m/>
    <m/>
    <m/>
    <m/>
    <m/>
    <m/>
    <m/>
    <s v="LINHA DO CIRCUITO ULTRAFINO LINHA DE DESCARGA DO DISTRIBUIDOR DI 145A-9904"/>
    <s v="SC-026"/>
    <s v="SP 8320 H"/>
    <m/>
    <s v="1450AA-S-58320"/>
    <n v="3"/>
    <s v="PÇ"/>
    <n v="5.7"/>
    <n v="17.100000000000001"/>
    <n v="0"/>
    <n v="0"/>
    <n v="0"/>
    <n v="0.9"/>
    <n v="0.1"/>
    <m/>
    <m/>
    <m/>
    <n v="0"/>
    <m/>
    <n v="0"/>
    <n v="17.100000000000001"/>
    <m/>
    <n v="0"/>
    <n v="0"/>
    <n v="0"/>
    <m/>
    <m/>
    <m/>
    <n v="0"/>
    <n v="0"/>
    <n v="0"/>
    <n v="0"/>
    <m/>
    <m/>
  </r>
  <r>
    <n v="0"/>
    <s v="CMS S.60.10.000"/>
    <s v="SUPORTE"/>
    <m/>
    <m/>
    <m/>
    <m/>
    <m/>
    <m/>
    <m/>
    <m/>
    <s v="LINHA DO CIRCUITO ULTRAFINO LINHA DE DESCARGA DO DISTRIBUIDOR DI 145A-9904"/>
    <s v="SC-026"/>
    <s v="SP 8320 J"/>
    <m/>
    <s v="1450AA-S-58320"/>
    <n v="3"/>
    <s v="PÇ"/>
    <n v="20.399999999999999"/>
    <n v="61.199999999999996"/>
    <n v="0"/>
    <n v="0"/>
    <n v="0"/>
    <n v="0.9"/>
    <n v="0.1"/>
    <m/>
    <m/>
    <m/>
    <n v="0"/>
    <m/>
    <n v="0"/>
    <n v="61.199999999999996"/>
    <m/>
    <n v="0"/>
    <n v="0"/>
    <n v="0"/>
    <m/>
    <m/>
    <m/>
    <n v="0"/>
    <n v="0"/>
    <n v="0"/>
    <n v="0"/>
    <m/>
    <m/>
  </r>
  <r>
    <n v="0"/>
    <s v="CMS S.60.10.000"/>
    <s v="SUPORTE"/>
    <m/>
    <m/>
    <m/>
    <m/>
    <m/>
    <m/>
    <m/>
    <m/>
    <s v="LINHA DO CIRCUITO ULTRAFINO LINHA DE DESCARGA DO DISTRIBUIDOR DI 145A-9904"/>
    <s v="SC-026"/>
    <s v="SP 8320 K "/>
    <m/>
    <s v="1450AA-S-58320"/>
    <n v="3"/>
    <s v="PÇ"/>
    <n v="0.3"/>
    <n v="0.89999999999999991"/>
    <n v="0"/>
    <n v="0"/>
    <n v="0"/>
    <n v="0.9"/>
    <n v="0.1"/>
    <m/>
    <m/>
    <m/>
    <n v="0"/>
    <m/>
    <n v="0"/>
    <n v="0.89999999999999991"/>
    <m/>
    <n v="0"/>
    <n v="0"/>
    <n v="0"/>
    <m/>
    <m/>
    <m/>
    <n v="0"/>
    <n v="0"/>
    <n v="0"/>
    <n v="0"/>
    <m/>
    <m/>
  </r>
  <r>
    <n v="0"/>
    <s v="CMS S.60.10.000"/>
    <s v="SUPORTE"/>
    <m/>
    <m/>
    <m/>
    <m/>
    <m/>
    <m/>
    <m/>
    <m/>
    <s v="LINHA DO CIRCUITO ULTRAFINO LINHA DE DESCARGA DO DISTRIBUIDOR DI 145A-9904"/>
    <s v="SC-026"/>
    <s v="SP 8320 L"/>
    <m/>
    <s v="1450AA-S-58320"/>
    <n v="3"/>
    <s v="PÇ"/>
    <n v="0.3"/>
    <n v="0.89999999999999991"/>
    <n v="0"/>
    <n v="0"/>
    <n v="0"/>
    <n v="0.9"/>
    <n v="0.1"/>
    <m/>
    <m/>
    <m/>
    <n v="0"/>
    <m/>
    <n v="0"/>
    <n v="0.89999999999999991"/>
    <m/>
    <n v="0"/>
    <n v="0"/>
    <n v="0"/>
    <m/>
    <m/>
    <m/>
    <n v="0"/>
    <n v="0"/>
    <n v="0"/>
    <n v="0"/>
    <m/>
    <m/>
  </r>
  <r>
    <n v="0"/>
    <s v="CMS S.60.10.000"/>
    <s v="SUPORTE"/>
    <m/>
    <m/>
    <m/>
    <m/>
    <m/>
    <m/>
    <m/>
    <m/>
    <s v="LINHA DO CIRCUITO ULTRAFINO LINHA DE DESCARGA DO DISTRIBUIDOR DI 145A-9904"/>
    <s v="SC-026"/>
    <s v="SP 8320 M"/>
    <m/>
    <s v="1450AA-S-58320"/>
    <n v="2"/>
    <s v="PÇ"/>
    <n v="2.1999999999999997"/>
    <n v="4.3999999999999995"/>
    <n v="0"/>
    <n v="0"/>
    <n v="0"/>
    <n v="0.9"/>
    <n v="0.1"/>
    <m/>
    <m/>
    <m/>
    <n v="0"/>
    <m/>
    <n v="0"/>
    <n v="4.3999999999999995"/>
    <m/>
    <n v="0"/>
    <n v="0"/>
    <n v="0"/>
    <m/>
    <m/>
    <m/>
    <n v="0"/>
    <n v="0"/>
    <n v="0"/>
    <n v="0"/>
    <m/>
    <m/>
  </r>
  <r>
    <n v="0"/>
    <s v="CMS S.60.10.000"/>
    <s v="SUPORTE"/>
    <m/>
    <m/>
    <m/>
    <m/>
    <m/>
    <m/>
    <m/>
    <m/>
    <s v="LINHA DO CIRCUITO ARENOSO LINHA DE DESCARGA  DO DISTRIBUIDOR DI-145A-9915"/>
    <s v="SC-014"/>
    <s v="SP 8321 A"/>
    <s v="1450AA-L-70048"/>
    <s v="1450AA-S-58321"/>
    <n v="16"/>
    <s v="PÇ"/>
    <n v="12.4"/>
    <n v="198.4"/>
    <n v="0"/>
    <n v="0"/>
    <n v="0"/>
    <n v="0.9"/>
    <n v="0.1"/>
    <m/>
    <m/>
    <m/>
    <n v="0"/>
    <m/>
    <n v="0"/>
    <n v="198.4"/>
    <m/>
    <n v="0"/>
    <n v="0"/>
    <n v="0"/>
    <m/>
    <m/>
    <m/>
    <n v="0"/>
    <n v="0"/>
    <n v="0"/>
    <n v="0"/>
    <m/>
    <m/>
  </r>
  <r>
    <n v="0"/>
    <s v="CMS S.60.10.000"/>
    <s v="SUPORTE"/>
    <m/>
    <m/>
    <m/>
    <m/>
    <m/>
    <m/>
    <m/>
    <m/>
    <s v="LINHA DO CIRCUITO ARENOSO LINHA DE DESCARGA  DO DISTRIBUIDOR DI-145A-9915"/>
    <s v="SC-014"/>
    <s v="SP 8321 B"/>
    <s v="1450AA-L-70048"/>
    <s v="1450AA-S-58321"/>
    <n v="1"/>
    <s v="PÇ"/>
    <n v="10.4"/>
    <n v="10.4"/>
    <n v="0"/>
    <n v="0"/>
    <n v="0"/>
    <n v="0.9"/>
    <n v="0.1"/>
    <m/>
    <m/>
    <m/>
    <n v="0"/>
    <m/>
    <n v="0"/>
    <n v="10.4"/>
    <m/>
    <n v="0"/>
    <n v="0"/>
    <n v="0"/>
    <m/>
    <m/>
    <m/>
    <n v="0"/>
    <n v="0"/>
    <n v="0"/>
    <n v="0"/>
    <m/>
    <m/>
  </r>
  <r>
    <n v="0"/>
    <s v="CMS S.60.10.000"/>
    <s v="SUPORTE"/>
    <m/>
    <m/>
    <m/>
    <m/>
    <m/>
    <m/>
    <m/>
    <m/>
    <s v="LINHA DO CIRCUITO ARENOSO LINHA DE DESCARGA  DO DISTRIBUIDOR DI-145A-9915"/>
    <s v="SC-014"/>
    <s v="SP 8321 C"/>
    <s v="1450AA-L-70048"/>
    <s v="1450AA-S-58321"/>
    <n v="1"/>
    <s v="PÇ"/>
    <n v="5.4"/>
    <n v="5.4"/>
    <n v="0"/>
    <n v="0"/>
    <n v="0"/>
    <n v="0.9"/>
    <n v="0.1"/>
    <m/>
    <m/>
    <m/>
    <n v="0"/>
    <m/>
    <n v="0"/>
    <n v="5.4"/>
    <m/>
    <n v="0"/>
    <n v="0"/>
    <n v="0"/>
    <m/>
    <m/>
    <m/>
    <n v="0"/>
    <n v="0"/>
    <n v="0"/>
    <n v="0"/>
    <m/>
    <m/>
  </r>
  <r>
    <n v="0"/>
    <s v="CMS S.60.10.000"/>
    <s v="SUPORTE"/>
    <m/>
    <m/>
    <m/>
    <m/>
    <m/>
    <m/>
    <m/>
    <m/>
    <s v="LINHA DO CIRCUITO ARENOSO LINHA DE DESCARGA  DO DISTRIBUIDOR DI-145A-9915"/>
    <s v="SC-014"/>
    <s v="SP 8321 D"/>
    <s v="1450AA-L-70048"/>
    <s v="1450AA-S-58321"/>
    <n v="1"/>
    <s v="PÇ"/>
    <n v="4.8"/>
    <n v="4.8"/>
    <n v="0"/>
    <n v="0"/>
    <n v="0"/>
    <n v="0.9"/>
    <n v="0.1"/>
    <m/>
    <m/>
    <m/>
    <n v="0"/>
    <m/>
    <n v="0"/>
    <n v="4.8"/>
    <m/>
    <n v="0"/>
    <n v="0"/>
    <n v="0"/>
    <m/>
    <m/>
    <m/>
    <n v="0"/>
    <n v="0"/>
    <n v="0"/>
    <n v="0"/>
    <m/>
    <m/>
  </r>
  <r>
    <n v="0"/>
    <s v="CMS S.60.10.000"/>
    <s v="SUPORTE"/>
    <m/>
    <m/>
    <m/>
    <m/>
    <m/>
    <m/>
    <m/>
    <m/>
    <s v="LINHA DO CIRCUITO ARENOSO LINHA DE DESCARGA  DO DISTRIBUIDOR DI-145A-9915"/>
    <s v="SC-014"/>
    <s v=" 8321 E"/>
    <s v="1450AA-L-70048"/>
    <s v="1450AA-S-58321"/>
    <n v="4"/>
    <s v="PÇ"/>
    <n v="0.39999999999999997"/>
    <n v="1.5999999999999999"/>
    <n v="0"/>
    <n v="0"/>
    <n v="0"/>
    <n v="0.9"/>
    <n v="0.1"/>
    <m/>
    <m/>
    <m/>
    <n v="0"/>
    <m/>
    <n v="0"/>
    <n v="1.5999999999999999"/>
    <m/>
    <n v="0"/>
    <n v="0"/>
    <n v="0"/>
    <m/>
    <m/>
    <m/>
    <n v="0"/>
    <n v="0"/>
    <n v="0"/>
    <n v="0"/>
    <m/>
    <m/>
  </r>
  <r>
    <n v="0"/>
    <s v="CMS S.60.10.000"/>
    <s v="SUPORTE"/>
    <m/>
    <m/>
    <m/>
    <m/>
    <m/>
    <m/>
    <m/>
    <m/>
    <s v="LINHA DO CIRCUITO ARENOSO LINHA DE DESCARGA  DO DISTRIBUIDOR DI-145A-9915"/>
    <s v="SC-014"/>
    <s v="SP 8321 F"/>
    <s v="1450AA-L-70048"/>
    <s v="1450AA-S-58321"/>
    <n v="1"/>
    <s v="PÇ"/>
    <n v="4.3"/>
    <n v="4.3"/>
    <n v="0"/>
    <n v="0"/>
    <n v="0"/>
    <n v="0.9"/>
    <n v="0.1"/>
    <m/>
    <m/>
    <m/>
    <n v="0"/>
    <m/>
    <n v="0"/>
    <n v="4.3"/>
    <m/>
    <n v="0"/>
    <n v="0"/>
    <n v="0"/>
    <m/>
    <m/>
    <m/>
    <n v="0"/>
    <n v="0"/>
    <n v="0"/>
    <n v="0"/>
    <m/>
    <m/>
  </r>
  <r>
    <n v="0"/>
    <s v="CMS S.60.10.000"/>
    <s v="SUPORTE"/>
    <m/>
    <m/>
    <m/>
    <m/>
    <m/>
    <m/>
    <m/>
    <m/>
    <s v="LINHA DO CIRCUITO ARENOSO LINHA DE DESCARGA  DO DISTRIBUIDOR DI-145A-9915"/>
    <s v="SC-014"/>
    <s v="SP 8321 G"/>
    <s v="1450AA-L-70048"/>
    <s v="1450AA-S-58321"/>
    <n v="1"/>
    <s v="PÇ"/>
    <n v="10.7"/>
    <n v="10.7"/>
    <n v="0"/>
    <n v="0"/>
    <n v="0"/>
    <n v="0.9"/>
    <n v="0.1"/>
    <m/>
    <m/>
    <m/>
    <n v="0"/>
    <m/>
    <n v="0"/>
    <n v="10.7"/>
    <m/>
    <n v="0"/>
    <n v="0"/>
    <n v="0"/>
    <m/>
    <m/>
    <m/>
    <n v="0"/>
    <n v="0"/>
    <n v="0"/>
    <n v="0"/>
    <m/>
    <m/>
  </r>
  <r>
    <n v="0"/>
    <s v="CMS S.60.10.000"/>
    <s v="SUPORTE"/>
    <m/>
    <m/>
    <m/>
    <m/>
    <m/>
    <m/>
    <m/>
    <m/>
    <s v="LINHA DO CIRCUITO ARENOSO LINHA DE DESCARGA  DO DISTRIBUIDOR DI-145A-9915"/>
    <s v="SC-014"/>
    <s v="SP 8321 H"/>
    <s v="1450AA-L-70048"/>
    <s v="1450AA-S-58321"/>
    <n v="2"/>
    <s v="PÇ"/>
    <n v="34.5"/>
    <n v="69"/>
    <n v="0"/>
    <n v="0"/>
    <n v="0"/>
    <n v="0.9"/>
    <n v="0.1"/>
    <m/>
    <m/>
    <m/>
    <n v="0"/>
    <m/>
    <n v="0"/>
    <n v="69"/>
    <m/>
    <n v="0"/>
    <n v="0"/>
    <n v="0"/>
    <m/>
    <m/>
    <m/>
    <n v="0"/>
    <n v="0"/>
    <n v="0"/>
    <n v="0"/>
    <m/>
    <m/>
  </r>
  <r>
    <n v="0"/>
    <s v="CMS S.60.10.000"/>
    <s v="SUPORTE"/>
    <m/>
    <m/>
    <m/>
    <m/>
    <m/>
    <m/>
    <m/>
    <m/>
    <s v="LINHA DO CIRCUITO ARENOSO LINHA DE DESCARGA  DO DISTRIBUIDOR DI-145A-9915"/>
    <s v="SC-014"/>
    <s v="SP 8321 J"/>
    <s v="1450AA-L-70048"/>
    <s v="1450AA-S-58321"/>
    <n v="1"/>
    <s v="PÇ"/>
    <n v="5.3"/>
    <n v="5.3"/>
    <n v="0"/>
    <n v="0"/>
    <n v="0"/>
    <n v="0.9"/>
    <n v="0.1"/>
    <m/>
    <m/>
    <m/>
    <n v="0"/>
    <m/>
    <n v="0"/>
    <n v="5.3"/>
    <m/>
    <n v="0"/>
    <n v="0"/>
    <n v="0"/>
    <m/>
    <m/>
    <m/>
    <n v="0"/>
    <n v="0"/>
    <n v="0"/>
    <n v="0"/>
    <m/>
    <m/>
  </r>
  <r>
    <n v="0"/>
    <s v="CMS S.60.10.000"/>
    <s v="SUPORTE"/>
    <m/>
    <m/>
    <m/>
    <m/>
    <m/>
    <m/>
    <m/>
    <m/>
    <s v="LINHA DO CIRCUITO ARENOSO LINHA DE DESCARGA  DO DISTRIBUIDOR DI-145A-9915"/>
    <s v="SC-014"/>
    <s v="SP 8321 K"/>
    <s v="1450AA-L-70048"/>
    <s v="1450AA-S-58321"/>
    <n v="1"/>
    <s v="PÇ"/>
    <n v="9.6"/>
    <n v="9.6"/>
    <n v="0"/>
    <n v="0"/>
    <n v="0"/>
    <n v="0.9"/>
    <n v="0.1"/>
    <m/>
    <m/>
    <m/>
    <n v="0"/>
    <m/>
    <n v="0"/>
    <n v="9.6"/>
    <m/>
    <n v="0"/>
    <n v="0"/>
    <n v="0"/>
    <m/>
    <m/>
    <m/>
    <n v="0"/>
    <n v="0"/>
    <n v="0"/>
    <n v="0"/>
    <m/>
    <m/>
  </r>
  <r>
    <n v="0"/>
    <s v="CMS S.60.10.000"/>
    <s v="SUPORTE"/>
    <m/>
    <m/>
    <m/>
    <m/>
    <m/>
    <m/>
    <m/>
    <m/>
    <s v="LINHA DO CIRCUITO ARENOSO LINHA DE DESCARGA  DO DISTRIBUIDOR DI-145A-9915"/>
    <s v="SC-014"/>
    <s v=" 8321 L"/>
    <s v="1450AA-L-70048"/>
    <s v="1450AA-S-58321"/>
    <n v="8"/>
    <s v="PÇ"/>
    <n v="0.5"/>
    <n v="4"/>
    <n v="0"/>
    <n v="0"/>
    <n v="0"/>
    <n v="0.9"/>
    <n v="0.1"/>
    <m/>
    <m/>
    <m/>
    <n v="0"/>
    <m/>
    <n v="0"/>
    <n v="4"/>
    <m/>
    <n v="0"/>
    <n v="0"/>
    <n v="0"/>
    <m/>
    <m/>
    <m/>
    <n v="0"/>
    <n v="0"/>
    <n v="0"/>
    <n v="0"/>
    <m/>
    <m/>
  </r>
  <r>
    <n v="0"/>
    <s v="CMS S.60.10.000"/>
    <s v="SUPORTE"/>
    <m/>
    <m/>
    <m/>
    <m/>
    <m/>
    <m/>
    <m/>
    <m/>
    <s v="LINHA DO CIRCUITO ARENOSO LINHA DE DESCARGA  DO DISTRIBUIDOR DI-145A-9915"/>
    <s v="SC-014"/>
    <s v="SP 8321 M"/>
    <s v="1450AA-L-70048"/>
    <s v="1450AA-S-58321"/>
    <n v="1"/>
    <s v="PÇ"/>
    <n v="7.2"/>
    <n v="7.2"/>
    <n v="0"/>
    <n v="0"/>
    <n v="0"/>
    <n v="0.9"/>
    <n v="0.1"/>
    <m/>
    <m/>
    <m/>
    <n v="0"/>
    <m/>
    <n v="0"/>
    <n v="7.2"/>
    <m/>
    <n v="0"/>
    <n v="0"/>
    <n v="0"/>
    <m/>
    <m/>
    <m/>
    <n v="0"/>
    <n v="0"/>
    <n v="0"/>
    <n v="0"/>
    <m/>
    <m/>
  </r>
  <r>
    <n v="0"/>
    <s v="CMS S.60.10.000"/>
    <s v="SUPORTE"/>
    <m/>
    <m/>
    <m/>
    <m/>
    <m/>
    <m/>
    <m/>
    <m/>
    <s v="LINHA DO CIRCUITO ARENOSO LINHA DE ALIMENTAÇÃO DO DISTRIBUIDOR DI-145A-9911"/>
    <s v="SC-011"/>
    <s v="SP 8323 A"/>
    <s v="1450AA-L-70107"/>
    <s v="1450AA-S-58323"/>
    <n v="1"/>
    <s v="PÇ"/>
    <n v="27.3"/>
    <n v="27.3"/>
    <n v="0"/>
    <n v="0"/>
    <n v="0"/>
    <n v="0.9"/>
    <n v="0.1"/>
    <m/>
    <m/>
    <m/>
    <n v="0"/>
    <m/>
    <n v="0"/>
    <n v="27.3"/>
    <m/>
    <n v="0"/>
    <n v="0"/>
    <n v="0"/>
    <m/>
    <m/>
    <m/>
    <n v="0"/>
    <n v="0"/>
    <n v="0"/>
    <n v="0"/>
    <m/>
    <m/>
  </r>
  <r>
    <n v="0"/>
    <s v="CMS S.60.10.000"/>
    <s v="SUPORTE"/>
    <m/>
    <m/>
    <m/>
    <m/>
    <m/>
    <m/>
    <m/>
    <m/>
    <s v="LINHA DO CIRCUITO ARENOSO LINHA DE ALIMENTAÇÃO DO DISTRIBUIDOR DI-145A-9911"/>
    <s v="SC-011"/>
    <s v="SP 8323 B"/>
    <s v="1450AA-L-70107"/>
    <s v="1450AA-S-58323"/>
    <n v="3"/>
    <s v="PÇ"/>
    <n v="12.7"/>
    <n v="38.099999999999994"/>
    <n v="0"/>
    <n v="0"/>
    <n v="0"/>
    <n v="0.9"/>
    <n v="0.1"/>
    <m/>
    <m/>
    <m/>
    <n v="0"/>
    <m/>
    <n v="0"/>
    <n v="38.099999999999994"/>
    <m/>
    <n v="0"/>
    <n v="0"/>
    <n v="0"/>
    <m/>
    <m/>
    <m/>
    <n v="0"/>
    <n v="0"/>
    <n v="0"/>
    <n v="0"/>
    <m/>
    <m/>
  </r>
  <r>
    <n v="0"/>
    <s v="CMS S.60.10.000"/>
    <s v="SUPORTE"/>
    <m/>
    <m/>
    <m/>
    <m/>
    <m/>
    <m/>
    <m/>
    <m/>
    <s v="LINHA DO CIRCUITO ARENOSO LINHA DE ALIMENTAÇÃO DO DISTRIBUIDOR DI-145A-9911"/>
    <s v="SC-011"/>
    <s v="SP 8323 C"/>
    <s v="1450AA-L-70107"/>
    <s v="1450AA-S-58323"/>
    <n v="2"/>
    <s v="PÇ"/>
    <n v="5.7"/>
    <n v="11.4"/>
    <n v="0"/>
    <n v="0"/>
    <n v="0"/>
    <n v="0.9"/>
    <n v="0.1"/>
    <m/>
    <m/>
    <m/>
    <n v="0"/>
    <m/>
    <n v="0"/>
    <n v="11.4"/>
    <m/>
    <n v="0"/>
    <n v="0"/>
    <n v="0"/>
    <m/>
    <m/>
    <m/>
    <n v="0"/>
    <n v="0"/>
    <n v="0"/>
    <n v="0"/>
    <m/>
    <m/>
  </r>
  <r>
    <n v="0"/>
    <s v="CMS S.60.10.000"/>
    <s v="SUPORTE"/>
    <m/>
    <m/>
    <m/>
    <m/>
    <m/>
    <m/>
    <m/>
    <m/>
    <s v="LINHA DO CIRCUITO ARENOSO LINHA DE ALIMENTAÇÃO DO DISTRIBUIDOR DI-145A-9911"/>
    <s v="SC-011"/>
    <s v="SP 8323 D"/>
    <s v="1450AA-L-70107"/>
    <s v="1450AA-S-58323"/>
    <n v="2"/>
    <s v="PÇ"/>
    <n v="28.5"/>
    <n v="57"/>
    <n v="0"/>
    <n v="0"/>
    <n v="0"/>
    <n v="0.9"/>
    <n v="0.1"/>
    <m/>
    <m/>
    <m/>
    <n v="0"/>
    <m/>
    <n v="0"/>
    <n v="57"/>
    <m/>
    <n v="0"/>
    <n v="0"/>
    <n v="0"/>
    <m/>
    <m/>
    <m/>
    <n v="0"/>
    <n v="0"/>
    <n v="0"/>
    <n v="0"/>
    <m/>
    <m/>
  </r>
  <r>
    <n v="0"/>
    <s v="CMS S.60.10.000"/>
    <s v="SUPORTE"/>
    <m/>
    <m/>
    <m/>
    <m/>
    <m/>
    <m/>
    <m/>
    <m/>
    <s v="LINHA DO CIRCUITO ARENOSO LINHA DE ALIMENTAÇÃO DO DISTRIBUIDOR DI-145A-9911"/>
    <s v="SC-011"/>
    <s v="SP 8323 E"/>
    <s v="1450AA-L-70107"/>
    <s v="1450AA-S-58323"/>
    <n v="2"/>
    <s v="PÇ"/>
    <n v="241.6"/>
    <n v="483.2"/>
    <n v="0"/>
    <n v="0"/>
    <n v="0"/>
    <n v="0.9"/>
    <n v="0.1"/>
    <m/>
    <m/>
    <m/>
    <n v="0"/>
    <m/>
    <n v="0"/>
    <n v="483.2"/>
    <m/>
    <n v="0"/>
    <n v="0"/>
    <n v="0"/>
    <m/>
    <m/>
    <m/>
    <n v="0"/>
    <n v="0"/>
    <n v="0"/>
    <n v="0"/>
    <m/>
    <m/>
  </r>
  <r>
    <n v="0"/>
    <s v="CMS S.60.10.000"/>
    <s v="SUPORTE"/>
    <m/>
    <m/>
    <m/>
    <m/>
    <m/>
    <m/>
    <m/>
    <m/>
    <s v="LINHA DO CIRCUITO ARENOSO LINHA DE ALIMENTAÇÃO DO DISTRIBUIDOR DI-145A-9911"/>
    <s v="SC-011"/>
    <s v="SP 8323 F"/>
    <s v="1450AA-L-70107"/>
    <s v="1450AA-S-58323"/>
    <n v="2"/>
    <s v="PÇ"/>
    <n v="3.8"/>
    <n v="7.6"/>
    <n v="0"/>
    <n v="0"/>
    <n v="0"/>
    <n v="0.9"/>
    <n v="0.1"/>
    <m/>
    <m/>
    <m/>
    <n v="0"/>
    <m/>
    <n v="0"/>
    <n v="7.6"/>
    <m/>
    <n v="0"/>
    <n v="0"/>
    <n v="0"/>
    <m/>
    <m/>
    <m/>
    <n v="0"/>
    <n v="0"/>
    <n v="0"/>
    <n v="0"/>
    <m/>
    <m/>
  </r>
  <r>
    <n v="0"/>
    <s v="CMS S.60.10.000"/>
    <s v="SUPORTE"/>
    <m/>
    <m/>
    <m/>
    <m/>
    <m/>
    <m/>
    <m/>
    <m/>
    <s v="LINHA DO CIRCUITO ARENOSO LINHA DE ALIMENTAÇÃO DO DISTRIBUIDOR DI-145A-9911"/>
    <s v="SC-018"/>
    <s v="SP 8324 A"/>
    <s v="1450AA-L-70107"/>
    <s v="1450AA-S-58324"/>
    <n v="2"/>
    <s v="PÇ"/>
    <n v="12.7"/>
    <n v="25.4"/>
    <n v="0"/>
    <n v="0"/>
    <n v="0"/>
    <n v="0.9"/>
    <n v="0.1"/>
    <m/>
    <m/>
    <m/>
    <n v="0"/>
    <m/>
    <n v="0"/>
    <n v="25.4"/>
    <m/>
    <n v="0"/>
    <n v="0"/>
    <n v="0"/>
    <m/>
    <m/>
    <m/>
    <n v="0"/>
    <n v="0"/>
    <n v="0"/>
    <n v="0"/>
    <m/>
    <m/>
  </r>
  <r>
    <n v="0"/>
    <s v="CMS S.60.10.000"/>
    <s v="SUPORTE"/>
    <m/>
    <m/>
    <m/>
    <m/>
    <m/>
    <m/>
    <m/>
    <m/>
    <s v="LINHA DO CIRCUITO ARENOSO LINHA DE ALIMENTAÇÃO DO DISTRIBUIDOR DI-145A-9911"/>
    <s v="SC-018"/>
    <s v="SP 8324 B"/>
    <s v="1450AA-L-70107"/>
    <s v="1450AA-S-58324"/>
    <n v="2"/>
    <s v="PÇ"/>
    <n v="4.3"/>
    <n v="8.6"/>
    <n v="0"/>
    <n v="0"/>
    <n v="0"/>
    <n v="0.9"/>
    <n v="0.1"/>
    <m/>
    <m/>
    <m/>
    <n v="0"/>
    <m/>
    <n v="0"/>
    <n v="8.6"/>
    <m/>
    <n v="0"/>
    <n v="0"/>
    <n v="0"/>
    <m/>
    <m/>
    <m/>
    <n v="0"/>
    <n v="0"/>
    <n v="0"/>
    <n v="0"/>
    <m/>
    <m/>
  </r>
  <r>
    <n v="0"/>
    <s v="CMS S.60.10.000"/>
    <s v="SUPORTE"/>
    <m/>
    <m/>
    <m/>
    <m/>
    <m/>
    <m/>
    <m/>
    <m/>
    <s v="LINHA DO CIRCUITO ARENOSO LINHA DE ALIMENTAÇÃO DO DISTRIBUIDOR DI-145A-9911"/>
    <s v="SC-018"/>
    <s v="SP 8324 C"/>
    <s v="1450AA-L-70107"/>
    <s v="1450AA-S-58324"/>
    <n v="2"/>
    <s v="PÇ"/>
    <n v="92.3"/>
    <n v="184.6"/>
    <n v="0"/>
    <n v="0"/>
    <n v="0"/>
    <n v="0.9"/>
    <n v="0.1"/>
    <m/>
    <m/>
    <m/>
    <n v="0"/>
    <m/>
    <n v="0"/>
    <n v="184.6"/>
    <m/>
    <n v="0"/>
    <n v="0"/>
    <n v="0"/>
    <m/>
    <m/>
    <m/>
    <n v="0"/>
    <n v="0"/>
    <n v="0"/>
    <n v="0"/>
    <m/>
    <m/>
  </r>
  <r>
    <n v="0"/>
    <s v="CMS S.60.10.000"/>
    <s v="SUPORTE"/>
    <m/>
    <m/>
    <m/>
    <m/>
    <m/>
    <m/>
    <m/>
    <m/>
    <s v="LINHA DO CIRCUITO ARENOSO LINHA DE ALIMENTAÇÃO DO DISTRIBUIDOR DI-145A-9911"/>
    <s v="SC-018"/>
    <s v="SP 8324 D"/>
    <s v="1450AA-L-70107"/>
    <s v="1450AA-S-58324"/>
    <n v="4"/>
    <s v="PÇ"/>
    <n v="86.1"/>
    <n v="344.4"/>
    <n v="0"/>
    <n v="0"/>
    <n v="0"/>
    <n v="0.9"/>
    <n v="0.1"/>
    <m/>
    <m/>
    <m/>
    <n v="0"/>
    <m/>
    <n v="0"/>
    <n v="344.4"/>
    <m/>
    <n v="0"/>
    <n v="0"/>
    <n v="0"/>
    <m/>
    <m/>
    <m/>
    <n v="0"/>
    <n v="0"/>
    <n v="0"/>
    <n v="0"/>
    <m/>
    <m/>
  </r>
  <r>
    <n v="0"/>
    <s v="CMS S.60.10.000"/>
    <s v="SUPORTE"/>
    <m/>
    <m/>
    <m/>
    <m/>
    <m/>
    <m/>
    <m/>
    <m/>
    <s v="LINHA DO CIRCUITO ARENOSO LINHA DE ALIMENTAÇÃO DO DISTRIBUIDOR DI-145A-9911"/>
    <s v="SC-018"/>
    <s v="SP 8324 E"/>
    <s v="1450AA-L-70107"/>
    <s v="1450AA-S-58324"/>
    <n v="1"/>
    <s v="PÇ"/>
    <n v="11.9"/>
    <n v="11.9"/>
    <n v="0"/>
    <n v="0"/>
    <n v="0"/>
    <n v="0.9"/>
    <n v="0.1"/>
    <m/>
    <m/>
    <m/>
    <n v="0"/>
    <m/>
    <n v="0"/>
    <n v="11.9"/>
    <m/>
    <n v="0"/>
    <n v="0"/>
    <n v="0"/>
    <m/>
    <m/>
    <m/>
    <n v="0"/>
    <n v="0"/>
    <n v="0"/>
    <n v="0"/>
    <m/>
    <m/>
  </r>
  <r>
    <n v="0"/>
    <s v="CMS S.60.10.000"/>
    <s v="SUPORTE"/>
    <m/>
    <m/>
    <m/>
    <m/>
    <m/>
    <m/>
    <m/>
    <m/>
    <s v="LINHA DO CIRCUITO ARENOSO LINHA DE ALIMENTAÇÃO DO DISTRIBUIDOR DI-145A-9911"/>
    <s v="SC-011"/>
    <s v="SP 8325 A"/>
    <s v="1450AA-L-70107"/>
    <s v="1450AA-S-58325"/>
    <n v="1"/>
    <s v="PÇ"/>
    <n v="12.7"/>
    <n v="12.7"/>
    <n v="0"/>
    <n v="0"/>
    <n v="0"/>
    <n v="0.9"/>
    <n v="0.1"/>
    <m/>
    <m/>
    <m/>
    <n v="0"/>
    <m/>
    <n v="0"/>
    <n v="12.7"/>
    <m/>
    <n v="0"/>
    <n v="0"/>
    <n v="0"/>
    <m/>
    <m/>
    <m/>
    <n v="0"/>
    <n v="0"/>
    <n v="0"/>
    <n v="0"/>
    <m/>
    <m/>
  </r>
  <r>
    <n v="0"/>
    <s v="CMS S.60.10.000"/>
    <s v="SUPORTE"/>
    <m/>
    <m/>
    <m/>
    <m/>
    <m/>
    <m/>
    <m/>
    <m/>
    <s v="LINHA DO CIRCUITO ARENOSO LINHA DE ALIMENTAÇÃO DO DISTRIBUIDOR DI-145A-9911"/>
    <s v="SC-011"/>
    <s v="SP 8325 B"/>
    <s v="1450AA-L-70107"/>
    <s v="1450AA-S-58325"/>
    <n v="1"/>
    <s v="PÇ"/>
    <n v="10.3"/>
    <n v="10.3"/>
    <n v="0"/>
    <n v="0"/>
    <n v="0"/>
    <n v="0.9"/>
    <n v="0.1"/>
    <m/>
    <m/>
    <m/>
    <n v="0"/>
    <m/>
    <n v="0"/>
    <n v="10.3"/>
    <m/>
    <n v="0"/>
    <n v="0"/>
    <n v="0"/>
    <m/>
    <m/>
    <m/>
    <n v="0"/>
    <n v="0"/>
    <n v="0"/>
    <n v="0"/>
    <m/>
    <m/>
  </r>
  <r>
    <n v="0"/>
    <s v="CMS S.60.10.000"/>
    <s v="SUPORTE"/>
    <m/>
    <m/>
    <m/>
    <m/>
    <m/>
    <m/>
    <m/>
    <m/>
    <s v="LINHA DO CIRCUITO ARENOSO LINHA DE ALIMENTAÇÃO DO DISTRIBUIDOR DI-145A-9911"/>
    <s v="SC-011"/>
    <s v="SP 8325 C"/>
    <s v="1450AA-L-70107"/>
    <s v="1450AA-S-58325"/>
    <n v="1"/>
    <s v="PÇ"/>
    <n v="77.599999999999994"/>
    <n v="77.599999999999994"/>
    <n v="0"/>
    <n v="0"/>
    <n v="0"/>
    <n v="0.9"/>
    <n v="0.1"/>
    <m/>
    <m/>
    <m/>
    <n v="0"/>
    <m/>
    <n v="0"/>
    <n v="77.599999999999994"/>
    <m/>
    <n v="0"/>
    <n v="0"/>
    <n v="0"/>
    <m/>
    <m/>
    <m/>
    <n v="0"/>
    <n v="0"/>
    <n v="0"/>
    <n v="0"/>
    <m/>
    <m/>
  </r>
  <r>
    <n v="0"/>
    <s v="CMS S.60.10.000"/>
    <s v="SUPORTE"/>
    <m/>
    <m/>
    <m/>
    <m/>
    <m/>
    <m/>
    <m/>
    <m/>
    <s v="LINHA DO CIRCUITO ARENOSO LINHA DE ALIMENTAÇÃO DO DISTRIBUIDOR DI-145A-9911"/>
    <s v="SC-011"/>
    <s v="SP 8325 D"/>
    <s v="1450AA-L-70107"/>
    <s v="1450AA-S-58325"/>
    <n v="1"/>
    <s v="PÇ"/>
    <n v="7.5"/>
    <n v="7.5"/>
    <n v="0"/>
    <n v="0"/>
    <n v="0"/>
    <n v="0.9"/>
    <n v="0.1"/>
    <m/>
    <m/>
    <m/>
    <n v="0"/>
    <m/>
    <n v="0"/>
    <n v="7.5"/>
    <m/>
    <n v="0"/>
    <n v="0"/>
    <n v="0"/>
    <m/>
    <m/>
    <m/>
    <n v="0"/>
    <n v="0"/>
    <n v="0"/>
    <n v="0"/>
    <m/>
    <m/>
  </r>
  <r>
    <n v="0"/>
    <s v="CMS S.60.10.000"/>
    <s v="SUPORTE"/>
    <m/>
    <m/>
    <m/>
    <m/>
    <m/>
    <m/>
    <m/>
    <m/>
    <s v="LINHA DO CIRCUITO ARENOSO LINHA DE ALIMENTAÇÃO DO DISTRIBUIDOR DI-145A-9911"/>
    <s v="SC-011"/>
    <s v="SP 8325 E"/>
    <s v="1450AA-L-70107"/>
    <s v="1450AA-S-58325"/>
    <n v="2"/>
    <s v="PÇ"/>
    <n v="4"/>
    <n v="8"/>
    <n v="0"/>
    <n v="0"/>
    <n v="0"/>
    <n v="0.9"/>
    <n v="0.1"/>
    <m/>
    <m/>
    <m/>
    <n v="0"/>
    <m/>
    <n v="0"/>
    <n v="8"/>
    <m/>
    <n v="0"/>
    <n v="0"/>
    <n v="0"/>
    <m/>
    <m/>
    <m/>
    <n v="0"/>
    <n v="0"/>
    <n v="0"/>
    <n v="0"/>
    <m/>
    <m/>
  </r>
  <r>
    <n v="0"/>
    <s v="CMS S.60.10.000"/>
    <s v="SUPORTE"/>
    <m/>
    <m/>
    <m/>
    <m/>
    <m/>
    <m/>
    <m/>
    <m/>
    <s v="LINHA DO CIRCUITO ARENOSO LINHA DE ALIMENTAÇÃO DO DISTRIBUIDOR DI-145A-9911"/>
    <s v="SC-011"/>
    <s v="SP 8325 F"/>
    <s v="1450AA-L-70107"/>
    <s v="1450AA-S-58325"/>
    <n v="5"/>
    <s v="PÇ"/>
    <n v="236.4"/>
    <n v="1182"/>
    <n v="0"/>
    <n v="0"/>
    <n v="0"/>
    <n v="0.9"/>
    <n v="0.1"/>
    <m/>
    <m/>
    <m/>
    <n v="0"/>
    <m/>
    <n v="0"/>
    <n v="1182"/>
    <m/>
    <n v="0"/>
    <n v="0"/>
    <n v="0"/>
    <m/>
    <m/>
    <m/>
    <n v="0"/>
    <n v="0"/>
    <n v="0"/>
    <n v="0"/>
    <m/>
    <m/>
  </r>
  <r>
    <n v="0"/>
    <s v="CMS S.60.10.000"/>
    <s v="SUPORTE"/>
    <m/>
    <m/>
    <m/>
    <m/>
    <m/>
    <m/>
    <m/>
    <m/>
    <s v="LINHA DO CIRCUITO ARENOSO LINHA DE ALIMENTAÇÃO DO DISTRIBUIDOR DI-145A-9911"/>
    <s v="SC-011"/>
    <s v="SP 8325 G"/>
    <s v="1450AA-L-70107"/>
    <s v="1450AA-S-58325"/>
    <n v="3"/>
    <s v="PÇ"/>
    <n v="225"/>
    <n v="675"/>
    <n v="0"/>
    <n v="0"/>
    <n v="0"/>
    <n v="0.9"/>
    <n v="0.1"/>
    <m/>
    <m/>
    <m/>
    <n v="0"/>
    <m/>
    <n v="0"/>
    <n v="675"/>
    <m/>
    <n v="0"/>
    <n v="0"/>
    <n v="0"/>
    <m/>
    <m/>
    <m/>
    <n v="0"/>
    <n v="0"/>
    <n v="0"/>
    <n v="0"/>
    <m/>
    <m/>
  </r>
  <r>
    <n v="0"/>
    <s v="CMS S.60.10.000"/>
    <s v="SUPORTE"/>
    <m/>
    <m/>
    <m/>
    <m/>
    <m/>
    <m/>
    <m/>
    <m/>
    <s v="LINHA DO CIRCUITO ARENOSO LINHA DE DESCARGA DO DISTRIBUIDOR DI-145A-9915"/>
    <s v="SC-011"/>
    <s v="SP 8352 A"/>
    <s v="1450AA-L-70048"/>
    <s v="1450AA-S-58352"/>
    <n v="3"/>
    <s v="PÇ"/>
    <n v="54.2"/>
    <n v="162.60000000000002"/>
    <n v="0"/>
    <n v="0"/>
    <n v="0"/>
    <n v="0.9"/>
    <n v="0.1"/>
    <m/>
    <m/>
    <m/>
    <n v="0"/>
    <m/>
    <n v="0"/>
    <n v="162.60000000000002"/>
    <m/>
    <n v="0"/>
    <n v="0"/>
    <n v="0"/>
    <m/>
    <m/>
    <m/>
    <n v="0"/>
    <n v="0"/>
    <n v="0"/>
    <n v="0"/>
    <m/>
    <m/>
  </r>
  <r>
    <n v="0"/>
    <s v="CMS S.60.10.000"/>
    <s v="SUPORTE"/>
    <m/>
    <m/>
    <m/>
    <m/>
    <m/>
    <m/>
    <m/>
    <m/>
    <s v="LINHA DO CIRCUITO ARENOSO LINHA DE DESCARGA DO DISTRIBUIDOR DI-145A-9915"/>
    <s v="SC-011"/>
    <s v="SP 8352 B"/>
    <s v="1450AA-L-70048"/>
    <s v="1450AA-S-58352"/>
    <n v="1"/>
    <s v="PÇ"/>
    <n v="64"/>
    <n v="64"/>
    <n v="0"/>
    <n v="0"/>
    <n v="0"/>
    <n v="0.9"/>
    <n v="0.1"/>
    <m/>
    <m/>
    <m/>
    <n v="0"/>
    <m/>
    <n v="0"/>
    <n v="64"/>
    <m/>
    <n v="0"/>
    <n v="0"/>
    <n v="0"/>
    <m/>
    <m/>
    <m/>
    <n v="0"/>
    <n v="0"/>
    <n v="0"/>
    <n v="0"/>
    <m/>
    <m/>
  </r>
  <r>
    <n v="0"/>
    <s v="CMS S.60.10.000"/>
    <s v="SUPORTE"/>
    <m/>
    <m/>
    <m/>
    <m/>
    <m/>
    <m/>
    <m/>
    <m/>
    <s v="LINHA DO CIRCUITO ARENOSO LINHA DE DESCARGA DO DISTRIBUIDOR DI-145A-9915"/>
    <s v="SC-011"/>
    <s v="SP 8352 C"/>
    <s v="1450AA-L-70048"/>
    <s v="1450AA-S-58352"/>
    <n v="23"/>
    <s v="PÇ"/>
    <n v="66"/>
    <n v="1518"/>
    <n v="0"/>
    <n v="0"/>
    <n v="0"/>
    <n v="0.9"/>
    <n v="0.1"/>
    <m/>
    <m/>
    <m/>
    <n v="0"/>
    <m/>
    <n v="0"/>
    <n v="1518"/>
    <m/>
    <n v="0"/>
    <n v="0"/>
    <n v="0"/>
    <m/>
    <m/>
    <m/>
    <n v="0"/>
    <n v="0"/>
    <n v="0"/>
    <n v="0"/>
    <m/>
    <m/>
  </r>
  <r>
    <n v="0"/>
    <s v="CMS S.60.10.000"/>
    <s v="SUPORTE"/>
    <m/>
    <m/>
    <m/>
    <m/>
    <m/>
    <m/>
    <m/>
    <m/>
    <s v="LINHA DO CIRCUITO ARENOSO LINHA DE DESCARGA DO DISTRIBUIDOR DI-145A-9915"/>
    <s v="SC-011"/>
    <s v="SP 8352 D"/>
    <s v="1450AA-L-70048"/>
    <s v="1450AA-S-58352"/>
    <n v="1"/>
    <s v="PÇ"/>
    <n v="69.3"/>
    <n v="69.3"/>
    <n v="0"/>
    <n v="0"/>
    <n v="0"/>
    <n v="0.9"/>
    <n v="0.1"/>
    <m/>
    <m/>
    <m/>
    <n v="0"/>
    <m/>
    <n v="0"/>
    <n v="69.3"/>
    <m/>
    <n v="0"/>
    <n v="0"/>
    <n v="0"/>
    <m/>
    <m/>
    <m/>
    <n v="0"/>
    <n v="0"/>
    <n v="0"/>
    <n v="0"/>
    <m/>
    <m/>
  </r>
  <r>
    <n v="0"/>
    <s v="CMS S.60.10.000"/>
    <s v="SUPORTE"/>
    <m/>
    <m/>
    <m/>
    <m/>
    <m/>
    <m/>
    <m/>
    <m/>
    <s v="LINHA DO CIRCUITO ARENOSO LINHA DE DESCARGA DO DISTRIBUIDOR DI-145A-9915"/>
    <s v="SC-011"/>
    <s v="SP 8352 E"/>
    <s v="1450AA-L-70048"/>
    <s v="1450AA-S-58352"/>
    <n v="1"/>
    <s v="PÇ"/>
    <n v="40.799999999999997"/>
    <n v="40.799999999999997"/>
    <n v="0"/>
    <n v="0"/>
    <n v="0"/>
    <n v="0.9"/>
    <n v="0.1"/>
    <m/>
    <m/>
    <m/>
    <n v="0"/>
    <m/>
    <n v="0"/>
    <n v="40.799999999999997"/>
    <m/>
    <n v="0"/>
    <n v="0"/>
    <n v="0"/>
    <m/>
    <m/>
    <m/>
    <n v="0"/>
    <n v="0"/>
    <n v="0"/>
    <n v="0"/>
    <m/>
    <m/>
  </r>
  <r>
    <n v="0"/>
    <s v="CMS S.60.10.000"/>
    <s v="SUPORTE"/>
    <m/>
    <m/>
    <m/>
    <m/>
    <m/>
    <m/>
    <m/>
    <m/>
    <s v="LINHA DO CIRCUITO ARENOSO LINHA DE DESCARGA DO DISTRIBUIDOR DI-145A-9915"/>
    <s v="SC-011"/>
    <s v="SP 8352 F"/>
    <s v="1450AA-L-70048"/>
    <s v="1450AA-S-58352"/>
    <n v="2"/>
    <s v="PÇ"/>
    <n v="68.099999999999994"/>
    <n v="136.19999999999999"/>
    <n v="0"/>
    <n v="0"/>
    <n v="0"/>
    <n v="0.9"/>
    <n v="0.1"/>
    <m/>
    <m/>
    <m/>
    <n v="0"/>
    <m/>
    <n v="0"/>
    <n v="136.19999999999999"/>
    <m/>
    <n v="0"/>
    <n v="0"/>
    <n v="0"/>
    <m/>
    <m/>
    <m/>
    <n v="0"/>
    <n v="0"/>
    <n v="0"/>
    <n v="0"/>
    <m/>
    <m/>
  </r>
  <r>
    <n v="0"/>
    <s v="CMS S.60.10.000"/>
    <s v="SUPORTE"/>
    <m/>
    <m/>
    <m/>
    <m/>
    <m/>
    <m/>
    <m/>
    <m/>
    <s v="LINHA DO CIRCUITO ARENOSO LINHA DE DESCARGA DO DISTRIBUIDOR DI-145A-9915"/>
    <s v="SC-011"/>
    <s v="SP 8352 G"/>
    <s v="1450AA-L-70048"/>
    <s v="1450AA-S-58352"/>
    <n v="2"/>
    <s v="PÇ"/>
    <n v="51.6"/>
    <n v="103.2"/>
    <n v="0"/>
    <n v="0"/>
    <n v="0"/>
    <n v="0.9"/>
    <n v="0.1"/>
    <m/>
    <m/>
    <m/>
    <n v="0"/>
    <m/>
    <n v="0"/>
    <n v="103.2"/>
    <m/>
    <n v="0"/>
    <n v="0"/>
    <n v="0"/>
    <m/>
    <m/>
    <m/>
    <n v="0"/>
    <n v="0"/>
    <n v="0"/>
    <n v="0"/>
    <m/>
    <m/>
  </r>
  <r>
    <n v="0"/>
    <s v="CMS S.60.10.000"/>
    <s v="SUPORTE"/>
    <m/>
    <m/>
    <m/>
    <m/>
    <m/>
    <m/>
    <m/>
    <m/>
    <s v="LINHA DE BY PASS DAS PENEIRAS ALIMENTAÇÃO DO TANQUE TQ-145A-9722"/>
    <s v="SC-010"/>
    <s v="SP 8353 A"/>
    <s v="1450AA-L-70122"/>
    <s v="1450AA-S-58353"/>
    <n v="4"/>
    <s v="PÇ"/>
    <n v="41.1"/>
    <n v="164.4"/>
    <n v="0"/>
    <n v="0"/>
    <n v="0"/>
    <n v="0.9"/>
    <n v="0.1"/>
    <m/>
    <m/>
    <m/>
    <n v="0"/>
    <m/>
    <n v="0"/>
    <n v="164.4"/>
    <m/>
    <n v="0"/>
    <n v="0"/>
    <n v="0"/>
    <m/>
    <m/>
    <m/>
    <n v="0"/>
    <n v="0"/>
    <n v="0"/>
    <n v="0"/>
    <m/>
    <m/>
  </r>
  <r>
    <n v="0"/>
    <s v="CMS S.60.10.000"/>
    <s v="SUPORTE"/>
    <m/>
    <m/>
    <m/>
    <m/>
    <m/>
    <m/>
    <m/>
    <m/>
    <s v="LINHA DE BY PASS DAS PENEIRAS ALIMENTAÇÃO DO TANQUE TQ-145A-9722"/>
    <s v="SC-010"/>
    <s v="SP 8353 B"/>
    <s v="1450AA-L-70122"/>
    <s v="1450AA-S-58353"/>
    <n v="3"/>
    <s v="PÇ"/>
    <n v="12.7"/>
    <n v="38.099999999999994"/>
    <n v="0"/>
    <n v="0"/>
    <n v="0"/>
    <n v="0.9"/>
    <n v="0.1"/>
    <m/>
    <m/>
    <m/>
    <n v="0"/>
    <m/>
    <n v="0"/>
    <n v="38.099999999999994"/>
    <m/>
    <n v="0"/>
    <n v="0"/>
    <n v="0"/>
    <m/>
    <m/>
    <m/>
    <n v="0"/>
    <n v="0"/>
    <n v="0"/>
    <n v="0"/>
    <m/>
    <m/>
  </r>
  <r>
    <n v="0"/>
    <s v="CMS S.60.10.000"/>
    <s v="SUPORTE"/>
    <m/>
    <m/>
    <m/>
    <m/>
    <m/>
    <m/>
    <m/>
    <m/>
    <s v="LINHA DE BY PASS DAS PENEIRAS ALIMENTAÇÃO DO TANQUE TQ-145A-9722"/>
    <s v="SC-010"/>
    <s v="SP 8353 C"/>
    <s v="1450AA-L-70122"/>
    <s v="1450AA-S-58353"/>
    <n v="7"/>
    <s v="PÇ"/>
    <n v="36.1"/>
    <n v="252.70000000000002"/>
    <n v="0"/>
    <n v="0"/>
    <n v="0"/>
    <n v="0.9"/>
    <n v="0.1"/>
    <m/>
    <m/>
    <m/>
    <n v="0"/>
    <m/>
    <n v="0"/>
    <n v="252.70000000000002"/>
    <m/>
    <n v="0"/>
    <n v="0"/>
    <n v="0"/>
    <m/>
    <m/>
    <m/>
    <n v="0"/>
    <n v="0"/>
    <n v="0"/>
    <n v="0"/>
    <m/>
    <m/>
  </r>
  <r>
    <n v="0"/>
    <s v="CMS S.60.10.000"/>
    <s v="SUPORTE"/>
    <m/>
    <m/>
    <m/>
    <m/>
    <m/>
    <m/>
    <m/>
    <m/>
    <s v="LINHA DE BY PASS DAS PENEIRAS ALIMENTAÇÃO DO TANQUE TQ-145A-9722"/>
    <s v="SC-010"/>
    <s v="SP 8353 D"/>
    <s v="1450AA-L-70122"/>
    <s v="1450AA-S-58353"/>
    <n v="2"/>
    <s v="PÇ"/>
    <n v="28.2"/>
    <n v="56.4"/>
    <n v="0"/>
    <n v="0"/>
    <n v="0"/>
    <n v="0.9"/>
    <n v="0.1"/>
    <m/>
    <m/>
    <m/>
    <n v="0"/>
    <m/>
    <n v="0"/>
    <n v="56.4"/>
    <m/>
    <n v="0"/>
    <n v="0"/>
    <n v="0"/>
    <m/>
    <m/>
    <m/>
    <n v="0"/>
    <n v="0"/>
    <n v="0"/>
    <n v="0"/>
    <m/>
    <m/>
  </r>
  <r>
    <n v="0"/>
    <s v="CMS S.60.10.000"/>
    <s v="SUPORTE"/>
    <m/>
    <m/>
    <m/>
    <m/>
    <m/>
    <m/>
    <m/>
    <m/>
    <s v="LINHA DE BY PASS DAS PENEIRAS ALIMENTAÇÃO DO TANQUE TQ-145A-9722"/>
    <s v="SC-010"/>
    <s v="SP 8353 E"/>
    <s v="1450AA-L-70122"/>
    <s v="1450AA-S-58353"/>
    <n v="14"/>
    <s v="PÇ"/>
    <n v="50.9"/>
    <n v="712.6"/>
    <n v="0"/>
    <n v="0"/>
    <n v="0"/>
    <n v="0.9"/>
    <n v="0.1"/>
    <m/>
    <m/>
    <m/>
    <n v="0"/>
    <m/>
    <n v="0"/>
    <n v="712.6"/>
    <m/>
    <n v="0"/>
    <n v="0"/>
    <n v="0"/>
    <m/>
    <m/>
    <m/>
    <n v="0"/>
    <n v="0"/>
    <n v="0"/>
    <n v="0"/>
    <m/>
    <m/>
  </r>
  <r>
    <n v="0"/>
    <s v="CMS S.60.10.000"/>
    <s v="SUPORTE"/>
    <m/>
    <m/>
    <m/>
    <m/>
    <m/>
    <m/>
    <m/>
    <m/>
    <s v="LINHA DE BY PASS DAS PENEIRAS ALIMENTAÇÃO DO TANQUE TQ-145A-9722"/>
    <s v="SC-010"/>
    <s v="SP 8353 F"/>
    <s v="1450AA-L-70122"/>
    <s v="1450AA-S-58353"/>
    <n v="1"/>
    <s v="PÇ"/>
    <n v="33.5"/>
    <n v="33.5"/>
    <n v="0"/>
    <n v="0"/>
    <n v="0"/>
    <n v="0.9"/>
    <n v="0.1"/>
    <m/>
    <m/>
    <m/>
    <n v="0"/>
    <m/>
    <n v="0"/>
    <n v="33.5"/>
    <m/>
    <n v="0"/>
    <n v="0"/>
    <n v="0"/>
    <m/>
    <m/>
    <m/>
    <n v="0"/>
    <n v="0"/>
    <n v="0"/>
    <n v="0"/>
    <m/>
    <m/>
  </r>
  <r>
    <n v="0"/>
    <s v="CMS S.60.10.000"/>
    <s v="SUPORTE"/>
    <m/>
    <m/>
    <m/>
    <m/>
    <m/>
    <m/>
    <m/>
    <m/>
    <s v="LINHA DE BY PASS DAS PENEIRAS ALIMENTAÇÃO DO TANQUE TQ-145A-9722"/>
    <s v="SC-010"/>
    <s v="SP 8353 G"/>
    <s v="1450AA-L-70122"/>
    <s v="1450AA-S-58353"/>
    <n v="1"/>
    <s v="PÇ"/>
    <n v="9"/>
    <n v="9"/>
    <n v="0"/>
    <n v="0"/>
    <n v="0"/>
    <n v="0.9"/>
    <n v="0.1"/>
    <m/>
    <m/>
    <m/>
    <n v="0"/>
    <m/>
    <n v="0"/>
    <n v="9"/>
    <m/>
    <n v="0"/>
    <n v="0"/>
    <n v="0"/>
    <m/>
    <m/>
    <m/>
    <n v="0"/>
    <n v="0"/>
    <n v="0"/>
    <n v="0"/>
    <m/>
    <m/>
  </r>
  <r>
    <n v="0"/>
    <s v="CMS S.60.10.000"/>
    <s v="SUPORTE"/>
    <m/>
    <m/>
    <m/>
    <m/>
    <m/>
    <m/>
    <m/>
    <m/>
    <s v="LINHA DE BY PASS DAS PENEIRAS ALIMENTAÇÃO DO TANQUE TQ-145A-9722"/>
    <s v="SC-010"/>
    <s v="SP 8353 H"/>
    <s v="1450AA-L-70122"/>
    <s v="1450AA-S-58353"/>
    <n v="1"/>
    <s v="PÇ"/>
    <n v="24.4"/>
    <n v="24.4"/>
    <n v="0"/>
    <n v="0"/>
    <n v="0"/>
    <n v="0.9"/>
    <n v="0.1"/>
    <m/>
    <m/>
    <m/>
    <n v="0"/>
    <m/>
    <n v="0"/>
    <n v="24.4"/>
    <m/>
    <n v="0"/>
    <n v="0"/>
    <n v="0"/>
    <m/>
    <m/>
    <m/>
    <n v="0"/>
    <n v="0"/>
    <n v="0"/>
    <n v="0"/>
    <m/>
    <m/>
  </r>
  <r>
    <n v="0"/>
    <s v="CMS S.60.10.000"/>
    <s v="SUPORTE"/>
    <m/>
    <m/>
    <m/>
    <m/>
    <m/>
    <m/>
    <m/>
    <m/>
    <s v="LINHA DE BY PASS DAS PENEIRAS ALIMENTAÇÃO DO TANQUE TQ-145A-9722"/>
    <s v="SC-010"/>
    <s v="SP 8353 J"/>
    <s v="1450AA-L-70122"/>
    <s v="1450AA-S-58353"/>
    <n v="2"/>
    <s v="PÇ"/>
    <n v="25.4"/>
    <n v="50.8"/>
    <n v="0"/>
    <n v="0"/>
    <n v="0"/>
    <n v="0.9"/>
    <n v="0.1"/>
    <m/>
    <m/>
    <m/>
    <n v="0"/>
    <m/>
    <n v="0"/>
    <n v="50.8"/>
    <m/>
    <n v="0"/>
    <n v="0"/>
    <n v="0"/>
    <m/>
    <m/>
    <m/>
    <n v="0"/>
    <n v="0"/>
    <n v="0"/>
    <n v="0"/>
    <m/>
    <m/>
  </r>
  <r>
    <n v="0"/>
    <s v="CMS S.60.10.000"/>
    <s v="SUPORTE"/>
    <m/>
    <m/>
    <m/>
    <m/>
    <m/>
    <m/>
    <m/>
    <m/>
    <s v="LINHA DE BY PASS DAS PENEIRAS ALIMENTAÇÃO DO TANQUE TQ-145A-9722"/>
    <s v="SC-010"/>
    <s v=" 8353 K"/>
    <s v="1450AA-L-70122"/>
    <s v="1450AA-S-58353"/>
    <n v="1"/>
    <s v="PÇ"/>
    <n v="2"/>
    <n v="2"/>
    <n v="0"/>
    <n v="0"/>
    <n v="0"/>
    <n v="0.9"/>
    <n v="0.1"/>
    <m/>
    <m/>
    <m/>
    <n v="0"/>
    <m/>
    <n v="0"/>
    <n v="2"/>
    <m/>
    <n v="0"/>
    <n v="0"/>
    <n v="0"/>
    <m/>
    <m/>
    <m/>
    <n v="0"/>
    <n v="0"/>
    <n v="0"/>
    <n v="0"/>
    <m/>
    <m/>
  </r>
  <r>
    <n v="0"/>
    <s v="CMS S.60.10.000"/>
    <s v="SUPORTE"/>
    <m/>
    <m/>
    <m/>
    <m/>
    <m/>
    <m/>
    <m/>
    <m/>
    <s v="LINHA DE BY PASS DAS PENEIRAS ALIMENTAÇÃO DO TANQUE TQ-145A-9722"/>
    <s v="SC-010"/>
    <s v=" 8353 L"/>
    <s v="1450AA-L-70122"/>
    <s v="1450AA-S-58353"/>
    <n v="1"/>
    <s v="PÇ"/>
    <n v="1.6"/>
    <n v="1.6"/>
    <n v="0"/>
    <n v="0"/>
    <n v="0"/>
    <n v="0.9"/>
    <n v="0.1"/>
    <m/>
    <m/>
    <m/>
    <n v="0"/>
    <m/>
    <n v="0"/>
    <n v="1.6"/>
    <m/>
    <n v="0"/>
    <n v="0"/>
    <n v="0"/>
    <m/>
    <m/>
    <m/>
    <n v="0"/>
    <n v="0"/>
    <n v="0"/>
    <n v="0"/>
    <m/>
    <m/>
  </r>
  <r>
    <n v="0"/>
    <s v="CMS S.60.10.000"/>
    <s v="SUPORTE"/>
    <m/>
    <m/>
    <m/>
    <m/>
    <m/>
    <m/>
    <m/>
    <m/>
    <s v="LINHA DE BY PASS DAS PENEIRAS ALIMENTAÇÃO DO TANQUE TQ-145A-9722"/>
    <s v="SC-010"/>
    <s v="SP 8353 M"/>
    <s v="1450AA-L-70122"/>
    <s v="1450AA-S-58353"/>
    <n v="48"/>
    <s v="PÇ"/>
    <n v="73.7"/>
    <n v="3537.6000000000004"/>
    <n v="0"/>
    <n v="0"/>
    <n v="0"/>
    <n v="0.9"/>
    <n v="0.1"/>
    <m/>
    <m/>
    <m/>
    <n v="0"/>
    <m/>
    <n v="0"/>
    <n v="3537.6000000000004"/>
    <m/>
    <n v="0"/>
    <n v="0"/>
    <n v="0"/>
    <m/>
    <m/>
    <m/>
    <n v="0"/>
    <n v="0"/>
    <n v="0"/>
    <n v="0"/>
    <m/>
    <m/>
  </r>
  <r>
    <n v="0"/>
    <s v="CMS S.60.10.000"/>
    <s v="SUPORTE"/>
    <m/>
    <m/>
    <m/>
    <m/>
    <m/>
    <m/>
    <m/>
    <m/>
    <s v="LINHA DO CIRCUITO ARENOSO LINHA DE DESCARGA DO DISTRIBUIDOR DI-145A-9916"/>
    <s v="SC-011"/>
    <s v="SP 8354 A"/>
    <m/>
    <s v="1450AA-S-58354"/>
    <n v="48"/>
    <s v="PÇ"/>
    <n v="22.8"/>
    <n v="1094.4000000000001"/>
    <n v="0"/>
    <n v="0"/>
    <n v="0"/>
    <n v="0.9"/>
    <n v="0.1"/>
    <m/>
    <m/>
    <m/>
    <n v="0"/>
    <m/>
    <n v="0"/>
    <n v="1094.4000000000001"/>
    <m/>
    <n v="0"/>
    <n v="0"/>
    <n v="0"/>
    <m/>
    <m/>
    <m/>
    <n v="0"/>
    <n v="0"/>
    <n v="0"/>
    <n v="0"/>
    <m/>
    <m/>
  </r>
  <r>
    <n v="0"/>
    <s v="CMS S.60.10.000"/>
    <s v="SUPORTE"/>
    <m/>
    <m/>
    <m/>
    <m/>
    <m/>
    <m/>
    <m/>
    <m/>
    <s v="LINHA DO CIRCUITO ARENOSO LINHA DE DESCARGA DO DISTRIBUIDOR DI-145A-9916"/>
    <s v="SC-011"/>
    <s v="SP 8354 B"/>
    <m/>
    <s v="1450AA-S-58354"/>
    <n v="48"/>
    <s v="PÇ"/>
    <n v="18.5"/>
    <n v="888"/>
    <n v="0"/>
    <n v="0"/>
    <n v="0"/>
    <n v="0.9"/>
    <n v="0.1"/>
    <m/>
    <m/>
    <m/>
    <n v="0"/>
    <m/>
    <n v="0"/>
    <n v="888"/>
    <m/>
    <n v="0"/>
    <n v="0"/>
    <n v="0"/>
    <m/>
    <m/>
    <m/>
    <n v="0"/>
    <n v="0"/>
    <n v="0"/>
    <n v="0"/>
    <m/>
    <m/>
  </r>
  <r>
    <n v="0"/>
    <s v="CMS S.60.10.000"/>
    <s v="SUPORTE"/>
    <m/>
    <m/>
    <m/>
    <m/>
    <m/>
    <m/>
    <m/>
    <m/>
    <s v="LINHA DO CIRCUITO ARENOSO LINHA DE DESCARGA DO DISTRIBUIDOR DI-145A-9916"/>
    <s v="SC-011"/>
    <s v="SP 8354 C"/>
    <m/>
    <s v="1450AA-S-58354"/>
    <n v="48"/>
    <s v="PÇ"/>
    <n v="17.7"/>
    <n v="849.59999999999991"/>
    <n v="0"/>
    <n v="0"/>
    <n v="0"/>
    <n v="0.9"/>
    <n v="0.1"/>
    <m/>
    <m/>
    <m/>
    <n v="0"/>
    <m/>
    <n v="0"/>
    <n v="849.59999999999991"/>
    <m/>
    <n v="0"/>
    <n v="0"/>
    <n v="0"/>
    <m/>
    <m/>
    <m/>
    <n v="0"/>
    <n v="0"/>
    <n v="0"/>
    <n v="0"/>
    <m/>
    <m/>
  </r>
  <r>
    <n v="0"/>
    <s v="CMS S.60.10.000"/>
    <s v="SUPORTE"/>
    <m/>
    <m/>
    <m/>
    <m/>
    <m/>
    <m/>
    <m/>
    <m/>
    <s v="LINHA DO CIRCUITO ARENOSO LINHA DE DESCARGA DO DISTRIBUIDOR DI-145A-9916"/>
    <s v="SC-011"/>
    <s v="SP 8354 D"/>
    <m/>
    <s v="1450AA-S-58354"/>
    <n v="48"/>
    <s v="PÇ"/>
    <n v="4.8"/>
    <n v="230.39999999999998"/>
    <n v="0"/>
    <n v="0"/>
    <n v="0"/>
    <n v="0.9"/>
    <n v="0.1"/>
    <m/>
    <m/>
    <m/>
    <n v="0"/>
    <m/>
    <n v="0"/>
    <n v="230.39999999999998"/>
    <m/>
    <n v="0"/>
    <n v="0"/>
    <n v="0"/>
    <m/>
    <m/>
    <m/>
    <n v="0"/>
    <n v="0"/>
    <n v="0"/>
    <n v="0"/>
    <m/>
    <m/>
  </r>
  <r>
    <n v="0"/>
    <s v="CMS S.60.10.000"/>
    <s v="SUPORTE"/>
    <m/>
    <m/>
    <m/>
    <m/>
    <m/>
    <m/>
    <m/>
    <m/>
    <s v="LINHA DO CIRCUITO ARENOSO LINHA DE DESCARGA DO DISTRIBUIDOR DI-145A-9916"/>
    <s v="SC-011"/>
    <s v="SP 8354 E"/>
    <m/>
    <s v="1450AA-S-58354"/>
    <n v="48"/>
    <s v="PÇ"/>
    <n v="13.8"/>
    <n v="662.40000000000009"/>
    <n v="0"/>
    <n v="0"/>
    <n v="0"/>
    <n v="0.9"/>
    <n v="0.1"/>
    <m/>
    <m/>
    <m/>
    <n v="0"/>
    <m/>
    <n v="0"/>
    <n v="662.40000000000009"/>
    <m/>
    <n v="0"/>
    <n v="0"/>
    <n v="0"/>
    <m/>
    <m/>
    <m/>
    <n v="0"/>
    <n v="0"/>
    <n v="0"/>
    <n v="0"/>
    <m/>
    <m/>
  </r>
  <r>
    <n v="0"/>
    <s v="CMS S.60.10.000"/>
    <s v="SUPORTE"/>
    <m/>
    <m/>
    <m/>
    <m/>
    <m/>
    <m/>
    <m/>
    <m/>
    <s v="LINHA DO CIRCUITO ARENOSO LINHA DE DESCARGA DO DISTRIBUIDOR DI-145A-9916"/>
    <s v="SC-011"/>
    <s v="SP 8354 F"/>
    <m/>
    <s v="1450AA-S-58354"/>
    <n v="48"/>
    <s v="PÇ"/>
    <n v="9.6999999999999993"/>
    <n v="465.59999999999997"/>
    <n v="0"/>
    <n v="0"/>
    <n v="0"/>
    <n v="0.9"/>
    <n v="0.1"/>
    <m/>
    <m/>
    <m/>
    <n v="0"/>
    <m/>
    <n v="0"/>
    <n v="465.59999999999997"/>
    <m/>
    <n v="0"/>
    <n v="0"/>
    <n v="0"/>
    <m/>
    <m/>
    <m/>
    <n v="0"/>
    <n v="0"/>
    <n v="0"/>
    <n v="0"/>
    <m/>
    <m/>
  </r>
  <r>
    <n v="0"/>
    <s v="CMS S.60.10.000"/>
    <s v="SUPORTE"/>
    <m/>
    <m/>
    <m/>
    <m/>
    <m/>
    <m/>
    <m/>
    <m/>
    <s v="LINHA DO CIRCUITO ARENOSO LINHA DE DESCARGA DO DISTRIBUIDOR DI-145A-9916"/>
    <s v="SC-011"/>
    <s v="SP 8354 G"/>
    <m/>
    <s v="1450AA-S-58354"/>
    <n v="1"/>
    <s v="PÇ"/>
    <n v="16.8"/>
    <n v="16.8"/>
    <n v="0"/>
    <n v="0"/>
    <n v="0"/>
    <n v="0.9"/>
    <n v="0.1"/>
    <m/>
    <m/>
    <m/>
    <n v="0"/>
    <m/>
    <n v="0"/>
    <n v="16.8"/>
    <m/>
    <n v="0"/>
    <n v="0"/>
    <n v="0"/>
    <m/>
    <m/>
    <m/>
    <n v="0"/>
    <n v="0"/>
    <n v="0"/>
    <n v="0"/>
    <m/>
    <m/>
  </r>
  <r>
    <n v="0"/>
    <s v="CMS S.60.10.000"/>
    <s v="SUPORTE"/>
    <m/>
    <m/>
    <m/>
    <m/>
    <m/>
    <m/>
    <m/>
    <m/>
    <s v="LINHA DO CIRCUITO ARENOSO LINHA DE DESCARGA DO DISTRIBUIDOR DI-145A-9916"/>
    <s v="SC-011"/>
    <s v="SP 8354 H"/>
    <m/>
    <s v="1450AA-S-58354"/>
    <n v="1"/>
    <s v="PÇ"/>
    <n v="8.4"/>
    <n v="8.4"/>
    <n v="0"/>
    <n v="0"/>
    <n v="0"/>
    <n v="0.9"/>
    <n v="0.1"/>
    <m/>
    <m/>
    <m/>
    <n v="0"/>
    <m/>
    <n v="0"/>
    <n v="8.4"/>
    <m/>
    <n v="0"/>
    <n v="0"/>
    <n v="0"/>
    <m/>
    <m/>
    <m/>
    <n v="0"/>
    <n v="0"/>
    <n v="0"/>
    <n v="0"/>
    <m/>
    <m/>
  </r>
  <r>
    <n v="0"/>
    <s v="CMS S.60.10.000"/>
    <s v="SUPORTE"/>
    <m/>
    <m/>
    <m/>
    <m/>
    <m/>
    <m/>
    <m/>
    <m/>
    <s v="LINHA DO CIRCUITO ARENOSO LINHA DE DESCARGA DO DISTRIBUIDOR DI-145A-9916"/>
    <s v="SC-011"/>
    <s v="SP 8354 J"/>
    <m/>
    <s v="1450AA-S-58354"/>
    <n v="1"/>
    <s v="PÇ"/>
    <n v="40.200000000000003"/>
    <n v="40.200000000000003"/>
    <n v="0"/>
    <n v="0"/>
    <n v="0"/>
    <n v="0.9"/>
    <n v="0.1"/>
    <m/>
    <m/>
    <m/>
    <n v="0"/>
    <m/>
    <n v="0"/>
    <n v="40.200000000000003"/>
    <m/>
    <n v="0"/>
    <n v="0"/>
    <n v="0"/>
    <m/>
    <m/>
    <m/>
    <n v="0"/>
    <n v="0"/>
    <n v="0"/>
    <n v="0"/>
    <m/>
    <m/>
  </r>
  <r>
    <n v="0"/>
    <s v="CMS S.60.10.000"/>
    <s v="SUPORTE"/>
    <m/>
    <m/>
    <m/>
    <m/>
    <m/>
    <m/>
    <m/>
    <m/>
    <s v="LINHA DO CIRCUITO ULTRAFINO LINHA DE DESCARGA DO DISTRIBUIDOR DI 145A-9904"/>
    <s v="SC-026"/>
    <s v="SP8361 A"/>
    <m/>
    <s v="1450AA-S-58361"/>
    <n v="2"/>
    <s v="PÇ"/>
    <n v="28.1"/>
    <n v="56.2"/>
    <n v="0"/>
    <n v="0"/>
    <n v="0"/>
    <n v="0.9"/>
    <n v="0.1"/>
    <m/>
    <m/>
    <m/>
    <n v="0"/>
    <m/>
    <n v="0"/>
    <n v="56.2"/>
    <m/>
    <n v="0"/>
    <n v="0"/>
    <n v="0"/>
    <m/>
    <m/>
    <m/>
    <n v="0"/>
    <n v="0"/>
    <n v="0"/>
    <n v="0"/>
    <m/>
    <m/>
  </r>
  <r>
    <n v="0"/>
    <s v="CMS S.60.10.000"/>
    <s v="SUPORTE"/>
    <m/>
    <m/>
    <m/>
    <m/>
    <m/>
    <m/>
    <m/>
    <m/>
    <s v="LINHA DO CIRCUITO ULTRAFINO LINHA DE DESCARGA DO DISTRIBUIDOR DI 145A-9904"/>
    <s v="SC-026"/>
    <s v="SP8361 B"/>
    <m/>
    <s v="1450AA-S-58361"/>
    <n v="1"/>
    <s v="PÇ"/>
    <n v="25.8"/>
    <n v="25.8"/>
    <n v="0"/>
    <n v="0"/>
    <n v="0"/>
    <n v="0.9"/>
    <n v="0.1"/>
    <m/>
    <m/>
    <m/>
    <n v="0"/>
    <m/>
    <n v="0"/>
    <n v="25.8"/>
    <m/>
    <n v="0"/>
    <n v="0"/>
    <n v="0"/>
    <m/>
    <m/>
    <m/>
    <n v="0"/>
    <n v="0"/>
    <n v="0"/>
    <n v="0"/>
    <m/>
    <m/>
  </r>
  <r>
    <n v="0"/>
    <s v="CMS S.60.10.000"/>
    <s v="SUPORTE"/>
    <m/>
    <m/>
    <m/>
    <m/>
    <m/>
    <m/>
    <m/>
    <m/>
    <s v="LINHA DO CIRCUITO ULTRAFINO LINHA DE DESCARGA DO DISTRIBUIDOR DI 145A-9904"/>
    <s v="SC-026"/>
    <s v="SP8361 C"/>
    <m/>
    <s v="1450AA-S-58361"/>
    <n v="2"/>
    <s v="PÇ"/>
    <n v="23.3"/>
    <n v="46.6"/>
    <n v="0"/>
    <n v="0"/>
    <n v="0"/>
    <n v="0.9"/>
    <n v="0.1"/>
    <m/>
    <m/>
    <m/>
    <n v="0"/>
    <m/>
    <n v="0"/>
    <n v="46.6"/>
    <m/>
    <n v="0"/>
    <n v="0"/>
    <n v="0"/>
    <m/>
    <m/>
    <m/>
    <n v="0"/>
    <n v="0"/>
    <n v="0"/>
    <n v="0"/>
    <m/>
    <m/>
  </r>
  <r>
    <n v="0"/>
    <s v="CMS S.60.10.000"/>
    <s v="SUPORTE"/>
    <m/>
    <m/>
    <m/>
    <m/>
    <m/>
    <m/>
    <m/>
    <m/>
    <s v="LINHA DO CIRCUITO ULTRAFINO LINHA DE DESCARGA DO DISTRIBUIDOR DI 145A-9904"/>
    <s v="SC-026"/>
    <s v="SP8361 D"/>
    <m/>
    <s v="1450AA-S-58361"/>
    <n v="2"/>
    <s v="PÇ"/>
    <n v="21.9"/>
    <n v="43.8"/>
    <n v="0"/>
    <n v="0"/>
    <n v="0"/>
    <n v="0.9"/>
    <n v="0.1"/>
    <m/>
    <m/>
    <m/>
    <n v="0"/>
    <m/>
    <n v="0"/>
    <n v="43.8"/>
    <m/>
    <n v="0"/>
    <n v="0"/>
    <n v="0"/>
    <m/>
    <m/>
    <m/>
    <n v="0"/>
    <n v="0"/>
    <n v="0"/>
    <n v="0"/>
    <m/>
    <m/>
  </r>
  <r>
    <n v="0"/>
    <s v="CMS S.60.10.000"/>
    <s v="SUPORTE"/>
    <m/>
    <m/>
    <m/>
    <m/>
    <m/>
    <m/>
    <m/>
    <m/>
    <s v="LINHA DO CIRCUITO ULTRAFINO LINHA DE DESCARGA DO DISTRIBUIDOR DI 145A-9904"/>
    <s v="SC-026"/>
    <s v="SP8361 E"/>
    <m/>
    <s v="1450AA-S-58361"/>
    <n v="12"/>
    <s v="PÇ"/>
    <n v="15.8"/>
    <n v="189.60000000000002"/>
    <n v="0"/>
    <n v="0"/>
    <n v="0"/>
    <n v="0.9"/>
    <n v="0.1"/>
    <m/>
    <m/>
    <m/>
    <n v="0"/>
    <m/>
    <n v="0"/>
    <n v="189.60000000000002"/>
    <m/>
    <n v="0"/>
    <n v="0"/>
    <n v="0"/>
    <m/>
    <m/>
    <m/>
    <n v="0"/>
    <n v="0"/>
    <n v="0"/>
    <n v="0"/>
    <m/>
    <m/>
  </r>
  <r>
    <n v="0"/>
    <s v="CMS S.60.10.000"/>
    <s v="SUPORTE"/>
    <m/>
    <m/>
    <m/>
    <m/>
    <m/>
    <m/>
    <m/>
    <m/>
    <s v="LINHA DO CIRCUITO ULTRAFINO LINHA DE DESCARGA DO DISTRIBUIDOR DI 145A-9904"/>
    <s v="SC-026"/>
    <s v="SP8361 F"/>
    <m/>
    <s v="1450AA-S-58361"/>
    <n v="12"/>
    <s v="PÇ"/>
    <n v="15"/>
    <n v="180"/>
    <n v="0"/>
    <n v="0"/>
    <n v="0"/>
    <n v="0.9"/>
    <n v="0.1"/>
    <m/>
    <m/>
    <m/>
    <n v="0"/>
    <m/>
    <n v="0"/>
    <n v="180"/>
    <m/>
    <n v="0"/>
    <n v="0"/>
    <n v="0"/>
    <m/>
    <m/>
    <m/>
    <n v="0"/>
    <n v="0"/>
    <n v="0"/>
    <n v="0"/>
    <m/>
    <m/>
  </r>
  <r>
    <n v="0"/>
    <s v="CMS S.60.10.000"/>
    <s v="SUPORTE"/>
    <m/>
    <m/>
    <m/>
    <m/>
    <m/>
    <m/>
    <m/>
    <m/>
    <s v="LINHA DO CIRCUITO ULTRAFINO LINHA DE DESCARGA DO DISTRIBUIDOR DI 145A-9904"/>
    <s v="SC-026"/>
    <s v="SP8361 G"/>
    <m/>
    <s v="1450AA-S-58361"/>
    <n v="2"/>
    <s v="PÇ"/>
    <n v="22.7"/>
    <n v="45.4"/>
    <n v="0"/>
    <n v="0"/>
    <n v="0"/>
    <n v="0.9"/>
    <n v="0.1"/>
    <m/>
    <m/>
    <m/>
    <n v="0"/>
    <m/>
    <n v="0"/>
    <n v="45.4"/>
    <m/>
    <n v="0"/>
    <n v="0"/>
    <n v="0"/>
    <m/>
    <m/>
    <m/>
    <n v="0"/>
    <n v="0"/>
    <n v="0"/>
    <n v="0"/>
    <m/>
    <m/>
  </r>
  <r>
    <n v="0"/>
    <s v="CMS S.60.10.000"/>
    <s v="SUPORTE"/>
    <m/>
    <m/>
    <m/>
    <m/>
    <m/>
    <m/>
    <m/>
    <m/>
    <s v="LINHA DO CIRCUITO ULTRAFINO LINHA DE DESCARGA DO DISTRIBUIDOR DI 145A-9904"/>
    <s v="SC-026"/>
    <s v="SP8361 H"/>
    <m/>
    <s v="1450AA-S-58361"/>
    <n v="2"/>
    <s v="PÇ"/>
    <n v="19.3"/>
    <n v="38.6"/>
    <n v="0"/>
    <n v="0"/>
    <n v="0"/>
    <n v="0.9"/>
    <n v="0.1"/>
    <m/>
    <m/>
    <m/>
    <n v="0"/>
    <m/>
    <n v="0"/>
    <n v="38.6"/>
    <m/>
    <n v="0"/>
    <n v="0"/>
    <n v="0"/>
    <m/>
    <m/>
    <m/>
    <n v="0"/>
    <n v="0"/>
    <n v="0"/>
    <n v="0"/>
    <m/>
    <m/>
  </r>
  <r>
    <n v="0"/>
    <s v="CMS S.60.10.000"/>
    <s v="SUPORTE"/>
    <m/>
    <m/>
    <m/>
    <m/>
    <m/>
    <m/>
    <m/>
    <m/>
    <s v="LINHA DO CIRCUITO ULTRAFINO LINHA DE DESCARGA DO DISTRIBUIDOR DI 145A-9904"/>
    <s v="SC-026"/>
    <s v="SP8361 J"/>
    <m/>
    <s v="1450AA-S-58361"/>
    <n v="1"/>
    <s v="PÇ"/>
    <n v="10"/>
    <n v="10"/>
    <n v="0"/>
    <n v="0"/>
    <n v="0"/>
    <n v="0.9"/>
    <n v="0.1"/>
    <m/>
    <m/>
    <m/>
    <n v="0"/>
    <m/>
    <n v="0"/>
    <n v="10"/>
    <m/>
    <n v="0"/>
    <n v="0"/>
    <n v="0"/>
    <m/>
    <m/>
    <m/>
    <n v="0"/>
    <n v="0"/>
    <n v="0"/>
    <n v="0"/>
    <m/>
    <m/>
  </r>
  <r>
    <n v="0"/>
    <s v="CMS S.60.10.000"/>
    <s v="SUPORTE"/>
    <m/>
    <m/>
    <m/>
    <m/>
    <m/>
    <m/>
    <m/>
    <m/>
    <s v="LINHA DO CIRCUITO ULTRAFINO LINHA DE DESCARGA DO DISTRIBUIDOR DI 145A-9904"/>
    <s v="SC-026"/>
    <s v="8361 K"/>
    <m/>
    <s v="1450AA-S-58361"/>
    <n v="1"/>
    <s v="PÇ"/>
    <n v="12"/>
    <n v="12"/>
    <n v="0"/>
    <n v="0"/>
    <n v="0"/>
    <n v="0.9"/>
    <n v="0.1"/>
    <m/>
    <m/>
    <m/>
    <n v="0"/>
    <m/>
    <n v="0"/>
    <n v="12"/>
    <m/>
    <n v="0"/>
    <n v="0"/>
    <n v="0"/>
    <m/>
    <m/>
    <m/>
    <n v="0"/>
    <n v="0"/>
    <n v="0"/>
    <n v="0"/>
    <m/>
    <m/>
  </r>
  <r>
    <n v="0"/>
    <s v="CMS S.60.10.000"/>
    <s v="SUPORTE"/>
    <m/>
    <m/>
    <m/>
    <m/>
    <m/>
    <m/>
    <m/>
    <m/>
    <s v="LINHA DO CIRCUITO ULTRAFINO LINHA DE DESCARGA DO DISTRIBUIDOR DI 145A-9904"/>
    <s v="SC-026"/>
    <s v="8361 L"/>
    <m/>
    <s v="1450AA-S-58361"/>
    <n v="1"/>
    <s v="PÇ"/>
    <n v="12"/>
    <n v="12"/>
    <n v="0"/>
    <n v="0"/>
    <n v="0"/>
    <n v="0.9"/>
    <n v="0.1"/>
    <m/>
    <m/>
    <m/>
    <n v="0"/>
    <m/>
    <n v="0"/>
    <n v="12"/>
    <m/>
    <n v="0"/>
    <n v="0"/>
    <n v="0"/>
    <m/>
    <m/>
    <m/>
    <n v="0"/>
    <n v="0"/>
    <n v="0"/>
    <n v="0"/>
    <m/>
    <m/>
  </r>
  <r>
    <n v="0"/>
    <s v="CMS S.60.10.000"/>
    <s v="SUPORTE"/>
    <m/>
    <m/>
    <m/>
    <m/>
    <m/>
    <m/>
    <m/>
    <m/>
    <s v="LINHA DO CIRCUITO ARENOSO LINHA DE DESCARGA DO DISTRIBUIDOR DI 145A-9913"/>
    <s v="SC-026"/>
    <s v="8361 M"/>
    <m/>
    <s v="1450AA-S-58361"/>
    <n v="1"/>
    <s v="PÇ"/>
    <n v="20"/>
    <n v="20"/>
    <n v="0"/>
    <n v="0"/>
    <n v="0"/>
    <n v="0.9"/>
    <n v="0.1"/>
    <m/>
    <m/>
    <m/>
    <n v="0"/>
    <m/>
    <n v="0"/>
    <n v="20"/>
    <m/>
    <n v="0"/>
    <n v="0"/>
    <n v="0"/>
    <m/>
    <m/>
    <m/>
    <n v="0"/>
    <n v="0"/>
    <n v="0"/>
    <n v="0"/>
    <m/>
    <m/>
  </r>
  <r>
    <n v="0"/>
    <s v="CMS S.60.10.000"/>
    <s v="SUPORTE"/>
    <m/>
    <m/>
    <m/>
    <m/>
    <m/>
    <m/>
    <m/>
    <m/>
    <s v="LINHA DO CIRCUITO ARENOSO LINHA DE DESCARGA DO DISTRIBUIDOR DI 145A-9913"/>
    <s v="SC-014"/>
    <s v="SP 8364 A"/>
    <s v="1450AA-L-70046"/>
    <s v="1450AA-S-58364"/>
    <n v="1"/>
    <s v="PÇ"/>
    <n v="12"/>
    <n v="12"/>
    <n v="0"/>
    <n v="0"/>
    <n v="0"/>
    <n v="0.9"/>
    <n v="0.1"/>
    <m/>
    <m/>
    <m/>
    <n v="0"/>
    <m/>
    <n v="0"/>
    <n v="12"/>
    <m/>
    <n v="0"/>
    <n v="0"/>
    <n v="0"/>
    <m/>
    <m/>
    <m/>
    <n v="0"/>
    <n v="0"/>
    <n v="0"/>
    <n v="0"/>
    <m/>
    <m/>
  </r>
  <r>
    <n v="0"/>
    <s v="CMS S.60.10.000"/>
    <s v="SUPORTE"/>
    <m/>
    <m/>
    <m/>
    <m/>
    <m/>
    <m/>
    <m/>
    <m/>
    <s v="LINHA DO CIRCUITO ARENOSO LINHA DE DESCARGA DO DISTRIBUIDOR DI 145A-9913"/>
    <s v="SC-014"/>
    <s v="SP 8364 B"/>
    <s v="1450AA-L-70046"/>
    <s v="1450AA-S-58364"/>
    <n v="1"/>
    <s v="PÇ"/>
    <n v="14.4"/>
    <n v="14.4"/>
    <n v="0"/>
    <n v="0"/>
    <n v="0"/>
    <n v="0.9"/>
    <n v="0.1"/>
    <m/>
    <m/>
    <m/>
    <n v="0"/>
    <m/>
    <n v="0"/>
    <n v="14.4"/>
    <m/>
    <n v="0"/>
    <n v="0"/>
    <n v="0"/>
    <m/>
    <m/>
    <m/>
    <n v="0"/>
    <n v="0"/>
    <n v="0"/>
    <n v="0"/>
    <m/>
    <m/>
  </r>
  <r>
    <n v="0"/>
    <s v="CMS S.60.10.000"/>
    <s v="SUPORTE"/>
    <m/>
    <m/>
    <m/>
    <m/>
    <m/>
    <m/>
    <m/>
    <m/>
    <s v="LINHA DO CIRCUITO ARENOSO LINHA DE DESCARGA DO DISTRIBUIDOR DI 145A-9913"/>
    <s v="SC-014"/>
    <s v="SP 8364 C"/>
    <s v="1450AA-L-70046"/>
    <s v="1450AA-S-58364"/>
    <n v="1"/>
    <s v="PÇ"/>
    <n v="46.2"/>
    <n v="46.2"/>
    <n v="0"/>
    <n v="0"/>
    <n v="0"/>
    <n v="0.9"/>
    <n v="0.1"/>
    <m/>
    <m/>
    <m/>
    <n v="0"/>
    <m/>
    <n v="0"/>
    <n v="46.2"/>
    <m/>
    <n v="0"/>
    <n v="0"/>
    <n v="0"/>
    <m/>
    <m/>
    <m/>
    <n v="0"/>
    <n v="0"/>
    <n v="0"/>
    <n v="0"/>
    <m/>
    <m/>
  </r>
  <r>
    <n v="0"/>
    <s v="CMS S.60.10.000"/>
    <s v="SUPORTE"/>
    <m/>
    <m/>
    <m/>
    <m/>
    <m/>
    <m/>
    <m/>
    <m/>
    <s v="LINHA DO CIRCUITO ARENOSO LINHA DE DESCARGA DO DISTRIBUIDOR DI 145A-9913"/>
    <s v="SC-014"/>
    <s v="SP 8364 D"/>
    <s v="1450AA-L-70046"/>
    <s v="1450AA-S-58364"/>
    <n v="1"/>
    <s v="PÇ"/>
    <n v="14"/>
    <n v="14"/>
    <n v="0"/>
    <n v="0"/>
    <n v="0"/>
    <n v="0.9"/>
    <n v="0.1"/>
    <m/>
    <m/>
    <m/>
    <n v="0"/>
    <m/>
    <n v="0"/>
    <n v="14"/>
    <m/>
    <n v="0"/>
    <n v="0"/>
    <n v="0"/>
    <m/>
    <m/>
    <m/>
    <n v="0"/>
    <n v="0"/>
    <n v="0"/>
    <n v="0"/>
    <m/>
    <m/>
  </r>
  <r>
    <n v="0"/>
    <s v="CMS S.60.10.000"/>
    <s v="SUPORTE"/>
    <m/>
    <m/>
    <m/>
    <m/>
    <m/>
    <m/>
    <m/>
    <m/>
    <s v="LINHA DO CIRCUITO ARENOSO LINHA DE DESCARGA DO DISTRIBUIDOR DI 145A-9913"/>
    <s v="SC-014"/>
    <s v="SP 8364 E"/>
    <s v="1450AA-L-70046"/>
    <s v="1450AA-S-58364"/>
    <n v="1"/>
    <s v="PÇ"/>
    <n v="2.2000000000000002"/>
    <n v="2.2000000000000002"/>
    <n v="0"/>
    <n v="0"/>
    <n v="0"/>
    <n v="0.9"/>
    <n v="0.1"/>
    <m/>
    <m/>
    <m/>
    <n v="0"/>
    <m/>
    <n v="0"/>
    <n v="2.2000000000000002"/>
    <m/>
    <n v="0"/>
    <n v="0"/>
    <n v="0"/>
    <m/>
    <m/>
    <m/>
    <n v="0"/>
    <n v="0"/>
    <n v="0"/>
    <n v="0"/>
    <m/>
    <m/>
  </r>
  <r>
    <n v="0"/>
    <s v="CMS S.60.10.000"/>
    <s v="SUPORTE"/>
    <m/>
    <m/>
    <m/>
    <m/>
    <m/>
    <m/>
    <m/>
    <m/>
    <s v="LINHA DO CIRCUITO ARENOSO LINHA DE DESCARGA DO DISTRIBUIDOR DI 145A-9913"/>
    <s v="SC-014"/>
    <s v="SP 8364 F"/>
    <s v="1450AA-L-70046"/>
    <s v="1450AA-S-58364"/>
    <n v="1"/>
    <s v="PÇ"/>
    <n v="6"/>
    <n v="6"/>
    <n v="0"/>
    <n v="0"/>
    <n v="0"/>
    <n v="0.9"/>
    <n v="0.1"/>
    <m/>
    <m/>
    <m/>
    <n v="0"/>
    <m/>
    <n v="0"/>
    <n v="6"/>
    <m/>
    <n v="0"/>
    <n v="0"/>
    <n v="0"/>
    <m/>
    <m/>
    <m/>
    <n v="0"/>
    <n v="0"/>
    <n v="0"/>
    <n v="0"/>
    <m/>
    <m/>
  </r>
  <r>
    <n v="0"/>
    <s v="CMS S.60.10.000"/>
    <s v="SUPORTE"/>
    <m/>
    <m/>
    <m/>
    <m/>
    <m/>
    <m/>
    <m/>
    <m/>
    <s v="LINHA DO CIRCUITO ARENOSO LINHA DE DESCARGA DO DISTRIBUIDOR DI 145A-9913"/>
    <s v="SC-014"/>
    <s v="SP 8364 G"/>
    <s v="1450AA-L-70046"/>
    <s v="1450AA-S-58364"/>
    <n v="2"/>
    <s v="PÇ"/>
    <n v="22.5"/>
    <n v="45"/>
    <n v="0"/>
    <n v="0"/>
    <n v="0"/>
    <n v="0.9"/>
    <n v="0.1"/>
    <m/>
    <m/>
    <m/>
    <n v="0"/>
    <m/>
    <n v="0"/>
    <n v="45"/>
    <m/>
    <n v="0"/>
    <n v="0"/>
    <n v="0"/>
    <m/>
    <m/>
    <m/>
    <n v="0"/>
    <n v="0"/>
    <n v="0"/>
    <n v="0"/>
    <m/>
    <m/>
  </r>
  <r>
    <n v="0"/>
    <s v="CMS S.60.10.000"/>
    <s v="SUPORTE"/>
    <m/>
    <m/>
    <m/>
    <m/>
    <m/>
    <m/>
    <m/>
    <m/>
    <s v="LINHA DO CIRCUITO ARENOSO LINHA DE DESCARGA DO DISTRIBUIDOR DI 145A-9913"/>
    <s v="SC-014"/>
    <s v="SP 8364 H"/>
    <s v="1450AA-L-70046"/>
    <s v="1450AA-S-58364"/>
    <n v="2"/>
    <s v="PÇ"/>
    <n v="38.6"/>
    <n v="77.2"/>
    <n v="0"/>
    <n v="0"/>
    <n v="0"/>
    <n v="0.9"/>
    <n v="0.1"/>
    <m/>
    <m/>
    <m/>
    <n v="0"/>
    <m/>
    <n v="0"/>
    <n v="77.2"/>
    <m/>
    <n v="0"/>
    <n v="0"/>
    <n v="0"/>
    <m/>
    <m/>
    <m/>
    <n v="0"/>
    <n v="0"/>
    <n v="0"/>
    <n v="0"/>
    <m/>
    <m/>
  </r>
  <r>
    <n v="0"/>
    <s v="CMS S.60.10.000"/>
    <s v="SUPORTE"/>
    <m/>
    <m/>
    <m/>
    <m/>
    <m/>
    <m/>
    <m/>
    <m/>
    <s v="LINHA DO CIRCUITO ARENOSO LINHA DE DESCARGA DO DISTRIBUIDOR DI 145A-9913"/>
    <s v="SC-014"/>
    <s v="SP 8364 J"/>
    <s v="1450AA-L-70046"/>
    <s v="1450AA-S-58364"/>
    <n v="6"/>
    <s v="PÇ"/>
    <n v="0.5"/>
    <n v="3"/>
    <n v="0"/>
    <n v="0"/>
    <n v="0"/>
    <n v="0.9"/>
    <n v="0.1"/>
    <m/>
    <m/>
    <m/>
    <n v="0"/>
    <m/>
    <n v="0"/>
    <n v="3"/>
    <m/>
    <n v="0"/>
    <n v="0"/>
    <n v="0"/>
    <m/>
    <m/>
    <m/>
    <n v="0"/>
    <n v="0"/>
    <n v="0"/>
    <n v="0"/>
    <m/>
    <m/>
  </r>
  <r>
    <n v="0"/>
    <s v="CMS S.60.10.000"/>
    <s v="SUPORTE"/>
    <m/>
    <m/>
    <m/>
    <m/>
    <m/>
    <m/>
    <m/>
    <m/>
    <s v="LINHA DO CIRCUITO ARENOSO LINHA DE DESCARGA DO DISTRIBUIDOR DI 145A-9913"/>
    <s v="SC-014"/>
    <s v="SP 8364 K"/>
    <s v="1450AA-L-70046"/>
    <s v="1450AA-S-58364"/>
    <n v="2"/>
    <s v="PÇ"/>
    <n v="0.4"/>
    <n v="0.8"/>
    <n v="0"/>
    <n v="0"/>
    <n v="0"/>
    <n v="0.9"/>
    <n v="0.1"/>
    <m/>
    <m/>
    <m/>
    <n v="0"/>
    <m/>
    <n v="0"/>
    <n v="0.8"/>
    <m/>
    <n v="0"/>
    <n v="0"/>
    <n v="0"/>
    <m/>
    <m/>
    <m/>
    <n v="0"/>
    <n v="0"/>
    <n v="0"/>
    <n v="0"/>
    <m/>
    <m/>
  </r>
  <r>
    <n v="0"/>
    <s v="CMS S.60.10.000"/>
    <s v="SUPORTE"/>
    <m/>
    <m/>
    <m/>
    <m/>
    <m/>
    <m/>
    <m/>
    <m/>
    <s v="LINHA DO CIRCUITO ARENOSO LINHA DE DESCARGA DO DISTRIBUIDOR DI 145A-9913"/>
    <s v="SC-014"/>
    <s v="SP 8365 A"/>
    <s v="1450AA-L-70046"/>
    <s v="1450AA-S-58365"/>
    <n v="6"/>
    <s v="PÇ"/>
    <n v="34.5"/>
    <n v="207"/>
    <n v="0"/>
    <n v="0"/>
    <n v="0"/>
    <n v="0.9"/>
    <n v="0.1"/>
    <m/>
    <m/>
    <m/>
    <n v="0"/>
    <m/>
    <n v="0"/>
    <n v="207"/>
    <m/>
    <n v="0"/>
    <n v="0"/>
    <n v="0"/>
    <m/>
    <m/>
    <m/>
    <n v="0"/>
    <n v="0"/>
    <n v="0"/>
    <n v="0"/>
    <m/>
    <m/>
  </r>
  <r>
    <n v="0"/>
    <s v="CMS S.60.10.000"/>
    <s v="SUPORTE"/>
    <m/>
    <m/>
    <m/>
    <m/>
    <m/>
    <m/>
    <m/>
    <m/>
    <s v="LINHA DO CIRCUITO ARENOSO LINHA DE DESCARGA DO DISTRIBUIDOR DI 145A-9913"/>
    <s v="SC-014"/>
    <s v="SP 8365 B"/>
    <s v="1450AA-L-70046"/>
    <s v="1450AA-S-58365"/>
    <n v="3"/>
    <s v="PÇ"/>
    <n v="5.3999999999999995"/>
    <n v="16.2"/>
    <n v="0"/>
    <n v="0"/>
    <n v="0"/>
    <n v="0.9"/>
    <n v="0.1"/>
    <m/>
    <m/>
    <m/>
    <n v="0"/>
    <m/>
    <n v="0"/>
    <n v="16.2"/>
    <m/>
    <n v="0"/>
    <n v="0"/>
    <n v="0"/>
    <m/>
    <m/>
    <m/>
    <n v="0"/>
    <n v="0"/>
    <n v="0"/>
    <n v="0"/>
    <m/>
    <m/>
  </r>
  <r>
    <n v="0"/>
    <s v="CMS S.60.10.000"/>
    <s v="SUPORTE"/>
    <m/>
    <m/>
    <m/>
    <m/>
    <m/>
    <m/>
    <m/>
    <m/>
    <s v="LINHA DO CIRCUITO ARENOSO LINHA DE DESCARGA DO DISTRIBUIDOR DI 145A-9913"/>
    <s v="SC-014"/>
    <s v="SP 8365 C"/>
    <s v="1450AA-L-70046"/>
    <s v="1450AA-S-58365"/>
    <n v="1"/>
    <s v="PÇ"/>
    <n v="12.100000000000001"/>
    <n v="12.100000000000001"/>
    <n v="0"/>
    <n v="0"/>
    <n v="0"/>
    <n v="0.9"/>
    <n v="0.1"/>
    <m/>
    <m/>
    <m/>
    <n v="0"/>
    <m/>
    <n v="0"/>
    <n v="12.100000000000001"/>
    <m/>
    <n v="0"/>
    <n v="0"/>
    <n v="0"/>
    <m/>
    <m/>
    <m/>
    <n v="0"/>
    <n v="0"/>
    <n v="0"/>
    <n v="0"/>
    <m/>
    <m/>
  </r>
  <r>
    <n v="0"/>
    <s v="CMS S.60.10.000"/>
    <s v="SUPORTE"/>
    <m/>
    <m/>
    <m/>
    <m/>
    <m/>
    <m/>
    <m/>
    <m/>
    <s v="LINHA DO CIRCUITO ARENOSO LINHA DE DESCARGA DO DISTRIBUIDOR DI 145A-9913"/>
    <s v="SC-014"/>
    <s v="SP 8365 D"/>
    <s v="1450AA-L-70046"/>
    <s v="1450AA-S-58365"/>
    <n v="2"/>
    <s v="PÇ"/>
    <n v="12.799999999999999"/>
    <n v="25.599999999999998"/>
    <n v="0"/>
    <n v="0"/>
    <n v="0"/>
    <n v="0.9"/>
    <n v="0.1"/>
    <m/>
    <m/>
    <m/>
    <n v="0"/>
    <m/>
    <n v="0"/>
    <n v="25.599999999999998"/>
    <m/>
    <n v="0"/>
    <n v="0"/>
    <n v="0"/>
    <m/>
    <m/>
    <m/>
    <n v="0"/>
    <n v="0"/>
    <n v="0"/>
    <n v="0"/>
    <m/>
    <m/>
  </r>
  <r>
    <n v="0"/>
    <s v="CMS S.60.10.000"/>
    <s v="SUPORTE"/>
    <m/>
    <m/>
    <m/>
    <m/>
    <m/>
    <m/>
    <m/>
    <m/>
    <s v="LINHA DO CIRCUITO ARENOSO LINHA DE DESCARGA DO DISTRIBUIDOR DI 145A-9913"/>
    <s v="SC-014"/>
    <s v="SP 8365 E"/>
    <s v="1450AA-L-70046"/>
    <s v="1450AA-S-58365"/>
    <n v="3"/>
    <s v="PÇ"/>
    <n v="4.8"/>
    <n v="14.399999999999999"/>
    <n v="0"/>
    <n v="0"/>
    <n v="0"/>
    <n v="0.9"/>
    <n v="0.1"/>
    <m/>
    <m/>
    <m/>
    <n v="0"/>
    <m/>
    <n v="0"/>
    <n v="14.399999999999999"/>
    <m/>
    <n v="0"/>
    <n v="0"/>
    <n v="0"/>
    <m/>
    <m/>
    <m/>
    <n v="0"/>
    <n v="0"/>
    <n v="0"/>
    <n v="0"/>
    <m/>
    <m/>
  </r>
  <r>
    <n v="0"/>
    <s v="CMS S.60.10.000"/>
    <s v="SUPORTE"/>
    <m/>
    <m/>
    <m/>
    <m/>
    <m/>
    <m/>
    <m/>
    <m/>
    <s v="LINHA DO CIRCUITO ARENOSO LINHA DE DESCARGA DO DISTRIBUIDOR DI 145A-9913"/>
    <s v="SC-014"/>
    <s v="SP 8365 F"/>
    <s v="1450AA-L-70046"/>
    <s v="1450AA-S-58365"/>
    <n v="4"/>
    <s v="PÇ"/>
    <n v="3.6999999999999997"/>
    <n v="14.799999999999999"/>
    <n v="0"/>
    <n v="0"/>
    <n v="0"/>
    <n v="0.9"/>
    <n v="0.1"/>
    <m/>
    <m/>
    <m/>
    <n v="0"/>
    <m/>
    <n v="0"/>
    <n v="14.799999999999999"/>
    <m/>
    <n v="0"/>
    <n v="0"/>
    <n v="0"/>
    <m/>
    <m/>
    <m/>
    <n v="0"/>
    <n v="0"/>
    <n v="0"/>
    <n v="0"/>
    <m/>
    <m/>
  </r>
  <r>
    <n v="0"/>
    <s v="CMS S.60.10.000"/>
    <s v="SUPORTE"/>
    <m/>
    <m/>
    <m/>
    <m/>
    <m/>
    <m/>
    <m/>
    <m/>
    <s v="LINHA DO CIRCUITO ARENOSO LINHA DE DESCARGA DO DISTRIBUIDOR DI 145A-9913"/>
    <s v="SC-014"/>
    <s v="SP 8365 G"/>
    <s v="1450AA-L-70046"/>
    <s v="1450AA-S-58365"/>
    <n v="1"/>
    <s v="PÇ"/>
    <n v="9.1999999999999993"/>
    <n v="9.1999999999999993"/>
    <n v="0"/>
    <n v="0"/>
    <n v="0"/>
    <n v="0.9"/>
    <n v="0.1"/>
    <m/>
    <m/>
    <m/>
    <n v="0"/>
    <m/>
    <n v="0"/>
    <n v="9.1999999999999993"/>
    <m/>
    <n v="0"/>
    <n v="0"/>
    <n v="0"/>
    <m/>
    <m/>
    <m/>
    <n v="0"/>
    <n v="0"/>
    <n v="0"/>
    <n v="0"/>
    <m/>
    <m/>
  </r>
  <r>
    <n v="0"/>
    <s v="CMS S.60.10.000"/>
    <s v="SUPORTE"/>
    <m/>
    <m/>
    <m/>
    <m/>
    <m/>
    <m/>
    <m/>
    <m/>
    <s v="LINHA DO CIRCUITO ARENOSO LINHA DE DESCARGA DO DISTRIBUIDOR DI 145A-9913"/>
    <s v="SC-014"/>
    <s v="SP 8365 H"/>
    <s v="1450AA-L-70046"/>
    <s v="1450AA-S-58365"/>
    <n v="1"/>
    <s v="PÇ"/>
    <n v="12.2"/>
    <n v="12.2"/>
    <n v="0"/>
    <n v="0"/>
    <n v="0"/>
    <n v="0.9"/>
    <n v="0.1"/>
    <m/>
    <m/>
    <m/>
    <n v="0"/>
    <m/>
    <n v="0"/>
    <n v="12.2"/>
    <m/>
    <n v="0"/>
    <n v="0"/>
    <n v="0"/>
    <m/>
    <m/>
    <m/>
    <n v="0"/>
    <n v="0"/>
    <n v="0"/>
    <n v="0"/>
    <m/>
    <m/>
  </r>
  <r>
    <n v="0"/>
    <s v="CMS S.60.10.000"/>
    <s v="SUPORTE"/>
    <m/>
    <m/>
    <m/>
    <m/>
    <m/>
    <m/>
    <m/>
    <m/>
    <s v="LINHA DO CIRCUITO ARENOSO LINHA DE DESCARGA DO DISTRIBUIDOR DI 145A-9913"/>
    <s v="SC-014"/>
    <s v="SP 8365 J"/>
    <s v="1450AA-L-70046"/>
    <s v="1450AA-S-58365"/>
    <n v="1"/>
    <s v="PÇ"/>
    <n v="12.2"/>
    <n v="12.2"/>
    <n v="0"/>
    <n v="0"/>
    <n v="0"/>
    <n v="0.9"/>
    <n v="0.1"/>
    <m/>
    <m/>
    <m/>
    <n v="0"/>
    <m/>
    <n v="0"/>
    <n v="12.2"/>
    <m/>
    <n v="0"/>
    <n v="0"/>
    <n v="0"/>
    <m/>
    <m/>
    <m/>
    <n v="0"/>
    <n v="0"/>
    <n v="0"/>
    <n v="0"/>
    <m/>
    <m/>
  </r>
  <r>
    <n v="0"/>
    <s v="CMS S.60.10.000"/>
    <s v="SUPORTE"/>
    <m/>
    <m/>
    <m/>
    <m/>
    <m/>
    <m/>
    <m/>
    <m/>
    <s v="LINHA DO CIRCUITO ARENOSO LINHA DE DESCARGA DO DISTRIBUIDOR DI 145A-9913"/>
    <s v="SC-014"/>
    <s v="SP 8365 K"/>
    <s v="1450AA-L-70046"/>
    <s v="1450AA-S-58365"/>
    <n v="1"/>
    <s v="PÇ"/>
    <n v="0.5"/>
    <n v="0.5"/>
    <n v="0"/>
    <n v="0"/>
    <n v="0"/>
    <n v="0.9"/>
    <n v="0.1"/>
    <m/>
    <m/>
    <m/>
    <n v="0"/>
    <m/>
    <n v="0"/>
    <n v="0.5"/>
    <m/>
    <n v="0"/>
    <n v="0"/>
    <n v="0"/>
    <m/>
    <m/>
    <m/>
    <n v="0"/>
    <n v="0"/>
    <n v="0"/>
    <n v="0"/>
    <m/>
    <m/>
  </r>
  <r>
    <n v="0"/>
    <s v="CMS S.60.10.000"/>
    <s v="SUPORTE"/>
    <m/>
    <m/>
    <m/>
    <m/>
    <m/>
    <m/>
    <m/>
    <m/>
    <s v="LINHA DO CIRCUITO ARENOSO LINHA DE DESCARGA DO DISTRIBUIDOR DI 145A-9913"/>
    <s v="SC-014"/>
    <s v="SP 8365 L"/>
    <s v="1450AA-L-70046"/>
    <s v="1450AA-S-58365"/>
    <n v="1"/>
    <s v="PÇ"/>
    <n v="0.6"/>
    <n v="0.6"/>
    <n v="0"/>
    <n v="0"/>
    <n v="0"/>
    <n v="0.9"/>
    <n v="0.1"/>
    <m/>
    <m/>
    <m/>
    <n v="0"/>
    <m/>
    <n v="0"/>
    <n v="0.6"/>
    <m/>
    <n v="0"/>
    <n v="0"/>
    <n v="0"/>
    <m/>
    <m/>
    <m/>
    <n v="0"/>
    <n v="0"/>
    <n v="0"/>
    <n v="0"/>
    <m/>
    <m/>
  </r>
  <r>
    <n v="0"/>
    <s v="CMS S.60.10.000"/>
    <s v="SUPORTE"/>
    <m/>
    <m/>
    <m/>
    <m/>
    <m/>
    <m/>
    <m/>
    <m/>
    <s v="LINHA DO CIRCUITO ARENOSO LINHA DE DESCARGA DO DISTRIBUIDOR DI 145A-9913"/>
    <s v="SC-014"/>
    <s v="SP 8365 M"/>
    <s v="1450AA-L-70046"/>
    <s v="1450AA-S-58365"/>
    <n v="2"/>
    <s v="PÇ"/>
    <n v="2.6999999999999997"/>
    <n v="5.3999999999999995"/>
    <n v="0"/>
    <n v="0"/>
    <n v="0"/>
    <n v="0.9"/>
    <n v="0.1"/>
    <m/>
    <m/>
    <m/>
    <n v="0"/>
    <m/>
    <n v="0"/>
    <n v="5.3999999999999995"/>
    <m/>
    <n v="0"/>
    <n v="0"/>
    <n v="0"/>
    <m/>
    <m/>
    <m/>
    <n v="0"/>
    <n v="0"/>
    <n v="0"/>
    <n v="0"/>
    <m/>
    <m/>
  </r>
  <r>
    <n v="0"/>
    <s v="CMS S.60.10.000"/>
    <s v="SUPORTE"/>
    <m/>
    <m/>
    <m/>
    <m/>
    <m/>
    <m/>
    <m/>
    <m/>
    <s v="LINHA DE UNDERFLOW DAS PENEIRAS DESAGUADORAS"/>
    <s v="SC-026"/>
    <s v="SP 8307 S"/>
    <s v="1450AA-L-70113"/>
    <s v="1450AA-S-58307"/>
    <n v="1"/>
    <s v="PÇ"/>
    <n v="56.9"/>
    <n v="56.9"/>
    <n v="0"/>
    <n v="0"/>
    <n v="0"/>
    <n v="0.9"/>
    <n v="0.1"/>
    <m/>
    <m/>
    <m/>
    <n v="0"/>
    <m/>
    <n v="0"/>
    <n v="56.9"/>
    <m/>
    <n v="0"/>
    <n v="0"/>
    <n v="0"/>
    <m/>
    <m/>
    <m/>
    <n v="0"/>
    <n v="0"/>
    <n v="0"/>
    <n v="0"/>
    <m/>
    <m/>
  </r>
  <r>
    <n v="0"/>
    <s v="CMS S.60.10.000"/>
    <s v="SUPORTE"/>
    <m/>
    <m/>
    <m/>
    <m/>
    <m/>
    <m/>
    <m/>
    <m/>
    <s v="LINHA DE BY PASS DAS PENEIRAS ALIMENTAÇÃO DO TANQUE TQ-145A-9703"/>
    <s v="SC-010"/>
    <s v="SP 8313 U"/>
    <s v="1450AA-L-70111"/>
    <s v="1450AA-S-58313"/>
    <n v="6"/>
    <s v="PÇ"/>
    <n v="2.7"/>
    <n v="16.200000000000003"/>
    <n v="0"/>
    <n v="0"/>
    <n v="0"/>
    <n v="0.9"/>
    <n v="0.1"/>
    <m/>
    <m/>
    <m/>
    <n v="0"/>
    <m/>
    <n v="0"/>
    <n v="16.200000000000003"/>
    <m/>
    <n v="0"/>
    <n v="0"/>
    <n v="0"/>
    <m/>
    <m/>
    <m/>
    <n v="0"/>
    <n v="0"/>
    <n v="0"/>
    <n v="0"/>
    <m/>
    <m/>
  </r>
  <r>
    <n v="0"/>
    <s v="CMS S.60.10.000"/>
    <s v="SUPORTE"/>
    <m/>
    <m/>
    <m/>
    <m/>
    <m/>
    <m/>
    <m/>
    <m/>
    <s v="LINHA DO CIRCUITO ULTRAFINO, LINHA DE DESCARGA DO DISTRIBUIDOR DI-145A-9907"/>
    <s v="SC-026"/>
    <s v="SP 8355 A"/>
    <m/>
    <s v="1450AA-S-58355"/>
    <n v="8"/>
    <s v="PÇ"/>
    <n v="18.900000000000002"/>
    <n v="151.20000000000002"/>
    <n v="0"/>
    <n v="0"/>
    <n v="0"/>
    <n v="0.9"/>
    <n v="0.1"/>
    <m/>
    <m/>
    <m/>
    <n v="0"/>
    <m/>
    <n v="0"/>
    <n v="151.20000000000002"/>
    <m/>
    <n v="0"/>
    <n v="0"/>
    <n v="0"/>
    <m/>
    <m/>
    <m/>
    <n v="0"/>
    <n v="0"/>
    <n v="0"/>
    <n v="0"/>
    <m/>
    <m/>
  </r>
  <r>
    <n v="0"/>
    <s v="CMS S.60.10.000"/>
    <s v="SUPORTE"/>
    <m/>
    <m/>
    <m/>
    <m/>
    <m/>
    <m/>
    <m/>
    <m/>
    <s v="LINHA DO CIRCUITO ULTRAFINO, LINHA DE DESCARGA DO DISTRIBUIDOR DI-145A-9907"/>
    <s v="SC-026"/>
    <s v="SP 8355 B"/>
    <m/>
    <s v="1450AA-S-58355"/>
    <n v="4"/>
    <s v="PÇ"/>
    <n v="3.4"/>
    <n v="13.6"/>
    <n v="0"/>
    <n v="0"/>
    <n v="0"/>
    <n v="0.9"/>
    <n v="0.1"/>
    <m/>
    <m/>
    <m/>
    <n v="0"/>
    <m/>
    <n v="0"/>
    <n v="13.6"/>
    <m/>
    <n v="0"/>
    <n v="0"/>
    <n v="0"/>
    <m/>
    <m/>
    <m/>
    <n v="0"/>
    <n v="0"/>
    <n v="0"/>
    <n v="0"/>
    <m/>
    <m/>
  </r>
  <r>
    <n v="0"/>
    <s v="CMS S.60.10.000"/>
    <s v="SUPORTE"/>
    <m/>
    <m/>
    <m/>
    <m/>
    <m/>
    <m/>
    <m/>
    <m/>
    <s v="LINHA DO CIRCUITO ULTRAFINO, LINHA DE DESCARGA DO DISTRIBUIDOR DI-145A-9907"/>
    <s v="SC-026"/>
    <s v="SP 8355 C"/>
    <m/>
    <s v="1450AA-S-58355"/>
    <n v="1"/>
    <s v="PÇ"/>
    <n v="4.3"/>
    <n v="4.3"/>
    <n v="0"/>
    <n v="0"/>
    <n v="0"/>
    <n v="0.9"/>
    <n v="0.1"/>
    <m/>
    <m/>
    <m/>
    <n v="0"/>
    <m/>
    <n v="0"/>
    <n v="4.3"/>
    <m/>
    <n v="0"/>
    <n v="0"/>
    <n v="0"/>
    <m/>
    <m/>
    <m/>
    <n v="0"/>
    <n v="0"/>
    <n v="0"/>
    <n v="0"/>
    <m/>
    <m/>
  </r>
  <r>
    <n v="0"/>
    <s v="CMS S.60.10.000"/>
    <s v="SUPORTE"/>
    <m/>
    <m/>
    <m/>
    <m/>
    <m/>
    <m/>
    <m/>
    <m/>
    <s v="LINHA DO CIRCUITO ULTRAFINO, LINHA DE DESCARGA DO DISTRIBUIDOR DI-145A-9907"/>
    <s v="SC-026"/>
    <s v="SP 8355 D"/>
    <m/>
    <s v="1450AA-S-58355"/>
    <n v="1"/>
    <s v="PÇ"/>
    <n v="4"/>
    <n v="4"/>
    <n v="0"/>
    <n v="0"/>
    <n v="0"/>
    <n v="0.9"/>
    <n v="0.1"/>
    <m/>
    <m/>
    <m/>
    <n v="0"/>
    <m/>
    <n v="0"/>
    <n v="4"/>
    <m/>
    <n v="0"/>
    <n v="0"/>
    <n v="0"/>
    <m/>
    <m/>
    <m/>
    <n v="0"/>
    <n v="0"/>
    <n v="0"/>
    <n v="0"/>
    <m/>
    <m/>
  </r>
  <r>
    <n v="0"/>
    <s v="CMS S.60.10.000"/>
    <s v="SUPORTE"/>
    <m/>
    <m/>
    <m/>
    <m/>
    <m/>
    <m/>
    <m/>
    <m/>
    <s v="LINHA DE ALIMENTAÇÃO DOS DISTRIBUIDORES DI-145A-9904/9905/9906/9907/9908"/>
    <s v="SC-026"/>
    <s v="SP 8357 A"/>
    <m/>
    <s v="1450AA-S-58357"/>
    <n v="1"/>
    <s v="PÇ"/>
    <n v="5.9"/>
    <n v="5.9"/>
    <n v="0"/>
    <n v="0"/>
    <n v="0"/>
    <n v="0.9"/>
    <n v="0.1"/>
    <m/>
    <m/>
    <m/>
    <n v="0"/>
    <m/>
    <n v="0"/>
    <n v="5.9"/>
    <m/>
    <n v="0"/>
    <n v="0"/>
    <n v="0"/>
    <m/>
    <m/>
    <m/>
    <n v="0"/>
    <n v="0"/>
    <n v="0"/>
    <n v="0"/>
    <m/>
    <m/>
  </r>
  <r>
    <n v="0"/>
    <s v="CMS S.60.10.000"/>
    <s v="SUPORTE"/>
    <m/>
    <m/>
    <m/>
    <m/>
    <m/>
    <m/>
    <m/>
    <m/>
    <s v="LINHA DE ALIMENTAÇÃO DOS DISTRIBUIDORES DI-145A-9904/9905/9906/9907/9908"/>
    <s v="SC-026"/>
    <s v="SP 8357 B"/>
    <m/>
    <s v="1450AA-S-58357"/>
    <n v="2"/>
    <s v="PÇ"/>
    <n v="12.899999999999999"/>
    <n v="25.799999999999997"/>
    <n v="0"/>
    <n v="0"/>
    <n v="0"/>
    <n v="0.9"/>
    <n v="0.1"/>
    <m/>
    <m/>
    <m/>
    <n v="0"/>
    <m/>
    <n v="0"/>
    <n v="25.799999999999997"/>
    <m/>
    <n v="0"/>
    <n v="0"/>
    <n v="0"/>
    <m/>
    <m/>
    <m/>
    <n v="0"/>
    <n v="0"/>
    <n v="0"/>
    <n v="0"/>
    <m/>
    <m/>
  </r>
  <r>
    <n v="0"/>
    <s v="CMS S.60.10.000"/>
    <s v="SUPORTE"/>
    <m/>
    <m/>
    <m/>
    <m/>
    <m/>
    <m/>
    <m/>
    <m/>
    <s v="LINHA DE ALIMENTAÇÃO DOS DISTRIBUIDORES DI-145A-9904/9905/9906/9907/9908"/>
    <s v="SC-026"/>
    <s v="SP 8357 C"/>
    <m/>
    <s v="1450AA-S-58357"/>
    <n v="1"/>
    <s v="PÇ"/>
    <n v="4.0999999999999996"/>
    <n v="4.0999999999999996"/>
    <n v="0"/>
    <n v="0"/>
    <n v="0"/>
    <n v="0.9"/>
    <n v="0.1"/>
    <m/>
    <m/>
    <m/>
    <n v="0"/>
    <m/>
    <n v="0"/>
    <n v="4.0999999999999996"/>
    <m/>
    <n v="0"/>
    <n v="0"/>
    <n v="0"/>
    <m/>
    <m/>
    <m/>
    <n v="0"/>
    <n v="0"/>
    <n v="0"/>
    <n v="0"/>
    <m/>
    <m/>
  </r>
  <r>
    <n v="0"/>
    <s v="CMS S.60.10.000"/>
    <s v="SUPORTE"/>
    <m/>
    <m/>
    <m/>
    <m/>
    <m/>
    <m/>
    <m/>
    <m/>
    <s v="LINHA DE ALIMENTAÇÃO DOS DISTRIBUIDORES DI-145A-9904/9905/9906/9907/9908"/>
    <s v="SC-026"/>
    <s v="SP 8357 D"/>
    <m/>
    <s v="1450AA-S-58357"/>
    <n v="1"/>
    <s v="PÇ"/>
    <n v="17"/>
    <n v="17"/>
    <n v="0"/>
    <n v="0"/>
    <n v="0"/>
    <n v="0.9"/>
    <n v="0.1"/>
    <m/>
    <m/>
    <m/>
    <n v="0"/>
    <m/>
    <n v="0"/>
    <n v="17"/>
    <m/>
    <n v="0"/>
    <n v="0"/>
    <n v="0"/>
    <m/>
    <m/>
    <m/>
    <n v="0"/>
    <n v="0"/>
    <n v="0"/>
    <n v="0"/>
    <m/>
    <m/>
  </r>
  <r>
    <n v="0"/>
    <s v="CMS S.60.10.000"/>
    <s v="SUPORTE"/>
    <m/>
    <m/>
    <m/>
    <m/>
    <m/>
    <m/>
    <m/>
    <m/>
    <s v="LINHA DE ALIMENTAÇÃO DOS DISTRIBUIDORES DI-145A-9904/9905/9906/9907/9908"/>
    <s v="SC-026"/>
    <s v="SP 8357 E"/>
    <m/>
    <s v="1450AA-S-58357"/>
    <n v="1"/>
    <s v="PÇ"/>
    <n v="9.5"/>
    <n v="9.5"/>
    <n v="0"/>
    <n v="0"/>
    <n v="0"/>
    <n v="0.9"/>
    <n v="0.1"/>
    <m/>
    <m/>
    <m/>
    <n v="0"/>
    <m/>
    <n v="0"/>
    <n v="9.5"/>
    <m/>
    <n v="0"/>
    <n v="0"/>
    <n v="0"/>
    <m/>
    <m/>
    <m/>
    <n v="0"/>
    <n v="0"/>
    <n v="0"/>
    <n v="0"/>
    <m/>
    <m/>
  </r>
  <r>
    <n v="0"/>
    <s v="CMS S.60.10.000"/>
    <s v="SUPORTE"/>
    <m/>
    <m/>
    <m/>
    <m/>
    <m/>
    <m/>
    <m/>
    <m/>
    <s v="LINHA DE ALIMENTAÇÃO DOS DISTRIBUIDORES DI-145A-9904/9905/9906/9907/9908"/>
    <s v="SC-026"/>
    <s v="SP 8357 F"/>
    <m/>
    <s v="1450AA-S-58357"/>
    <n v="2"/>
    <s v="PÇ"/>
    <n v="19.2"/>
    <n v="38.4"/>
    <n v="0"/>
    <n v="0"/>
    <n v="0"/>
    <n v="0.9"/>
    <n v="0.1"/>
    <m/>
    <m/>
    <m/>
    <n v="0"/>
    <m/>
    <n v="0"/>
    <n v="38.4"/>
    <m/>
    <n v="0"/>
    <n v="0"/>
    <n v="0"/>
    <m/>
    <m/>
    <m/>
    <n v="0"/>
    <n v="0"/>
    <n v="0"/>
    <n v="0"/>
    <m/>
    <m/>
  </r>
  <r>
    <n v="0"/>
    <s v="CMS S.60.10.000"/>
    <s v="SUPORTE"/>
    <m/>
    <m/>
    <m/>
    <m/>
    <m/>
    <m/>
    <m/>
    <m/>
    <s v="LINHA DE ALIMENTAÇÃO DOS DISTRIBUIDORES DI-145A-9904/9905/9906/9907/9908"/>
    <s v="SC-026"/>
    <s v="SP 8357 G"/>
    <m/>
    <s v="1450AA-S-58357"/>
    <n v="1"/>
    <s v="PÇ"/>
    <n v="26.7"/>
    <n v="26.7"/>
    <n v="0"/>
    <n v="0"/>
    <n v="0"/>
    <n v="0.9"/>
    <n v="0.1"/>
    <m/>
    <m/>
    <m/>
    <n v="0"/>
    <m/>
    <n v="0"/>
    <n v="26.7"/>
    <m/>
    <n v="0"/>
    <n v="0"/>
    <n v="0"/>
    <m/>
    <m/>
    <m/>
    <n v="0"/>
    <n v="0"/>
    <n v="0"/>
    <n v="0"/>
    <m/>
    <m/>
  </r>
  <r>
    <n v="0"/>
    <s v="CMS S.60.10.000"/>
    <s v="SUPORTE"/>
    <m/>
    <m/>
    <m/>
    <m/>
    <m/>
    <m/>
    <m/>
    <m/>
    <s v="LINHA DE ALIMENTAÇÃO DOS DISTRIBUIDORES DI-145A-9904/9905/9906/9907/9908"/>
    <s v="SC-026"/>
    <s v="SP 8357 H"/>
    <m/>
    <s v="1450AA-S-58357"/>
    <n v="1"/>
    <s v="PÇ"/>
    <n v="17.5"/>
    <n v="17.5"/>
    <n v="0"/>
    <n v="0"/>
    <n v="0"/>
    <n v="0.9"/>
    <n v="0.1"/>
    <m/>
    <m/>
    <m/>
    <n v="0"/>
    <m/>
    <n v="0"/>
    <n v="17.5"/>
    <m/>
    <n v="0"/>
    <n v="0"/>
    <n v="0"/>
    <m/>
    <m/>
    <m/>
    <n v="0"/>
    <n v="0"/>
    <n v="0"/>
    <n v="0"/>
    <m/>
    <m/>
  </r>
  <r>
    <n v="0"/>
    <s v="CMS S.60.10.000"/>
    <s v="SUPORTE"/>
    <m/>
    <m/>
    <m/>
    <m/>
    <m/>
    <m/>
    <m/>
    <m/>
    <s v="LINHA DE ALIMENTAÇÃO DOS DISTRIBUIDORES DI-145A-9904/9905/9906/9907/9908"/>
    <s v="SC-026"/>
    <s v="SP 8357 J"/>
    <m/>
    <s v="1450AA-S-58357"/>
    <n v="1"/>
    <s v="PÇ"/>
    <n v="16.5"/>
    <n v="16.5"/>
    <n v="0"/>
    <n v="0"/>
    <n v="0"/>
    <n v="0.9"/>
    <n v="0.1"/>
    <m/>
    <m/>
    <m/>
    <n v="0"/>
    <m/>
    <n v="0"/>
    <n v="16.5"/>
    <m/>
    <n v="0"/>
    <n v="0"/>
    <n v="0"/>
    <m/>
    <m/>
    <m/>
    <n v="0"/>
    <n v="0"/>
    <n v="0"/>
    <n v="0"/>
    <m/>
    <m/>
  </r>
  <r>
    <n v="0"/>
    <s v="CMS S.60.10.000"/>
    <s v="SUPORTE"/>
    <m/>
    <m/>
    <m/>
    <m/>
    <m/>
    <m/>
    <m/>
    <m/>
    <s v="LINHA DE ALIMENTAÇÃO DOS DISTRIBUIDORES DI-145A-9904/9905/9906/9907/9908"/>
    <s v="SC-026"/>
    <s v="SP 8357 K"/>
    <m/>
    <s v="1450AA-S-58357"/>
    <n v="1"/>
    <s v="PÇ"/>
    <n v="9.9"/>
    <n v="9.9"/>
    <n v="0"/>
    <n v="0"/>
    <n v="0"/>
    <n v="0.9"/>
    <n v="0.1"/>
    <m/>
    <m/>
    <m/>
    <n v="0"/>
    <m/>
    <n v="0"/>
    <n v="9.9"/>
    <m/>
    <n v="0"/>
    <n v="0"/>
    <n v="0"/>
    <m/>
    <m/>
    <m/>
    <n v="0"/>
    <n v="0"/>
    <n v="0"/>
    <n v="0"/>
    <m/>
    <m/>
  </r>
  <r>
    <n v="0"/>
    <s v="CMS S.60.10.000"/>
    <s v="SUPORTE"/>
    <m/>
    <m/>
    <m/>
    <m/>
    <m/>
    <m/>
    <m/>
    <m/>
    <s v="LINHA DO CIRCUITO ULTRAFINO LINHA DE DESCARGA DO DISTRIBUIDOR DI 145A-9905"/>
    <s v="SC-026"/>
    <s v="SP 8362 A"/>
    <m/>
    <s v="1450AA-S-58362"/>
    <n v="1"/>
    <s v="PÇ"/>
    <n v="9.9"/>
    <n v="9.9"/>
    <n v="0"/>
    <n v="0"/>
    <n v="0"/>
    <n v="0.9"/>
    <n v="0.1"/>
    <m/>
    <m/>
    <m/>
    <n v="0"/>
    <m/>
    <n v="0"/>
    <n v="9.9"/>
    <m/>
    <n v="0"/>
    <n v="0"/>
    <n v="0"/>
    <m/>
    <m/>
    <m/>
    <n v="0"/>
    <n v="0"/>
    <n v="0"/>
    <n v="0"/>
    <m/>
    <m/>
  </r>
  <r>
    <n v="0"/>
    <s v="CMS S.60.10.000"/>
    <s v="SUPORTE"/>
    <m/>
    <m/>
    <m/>
    <m/>
    <m/>
    <m/>
    <m/>
    <m/>
    <s v="LINHA DO CIRCUITO ULTRAFINO LINHA DE DESCARGA DO DISTRIBUIDOR DI 145A-9905"/>
    <s v="SC-026"/>
    <s v="SP 8362 B"/>
    <m/>
    <s v="1450AA-S-58362"/>
    <n v="1"/>
    <s v="PÇ"/>
    <n v="34.4"/>
    <n v="34.4"/>
    <n v="0"/>
    <n v="0"/>
    <n v="0"/>
    <n v="0.9"/>
    <n v="0.1"/>
    <m/>
    <m/>
    <m/>
    <n v="0"/>
    <m/>
    <n v="0"/>
    <n v="34.4"/>
    <m/>
    <n v="0"/>
    <n v="0"/>
    <n v="0"/>
    <m/>
    <m/>
    <m/>
    <n v="0"/>
    <n v="0"/>
    <n v="0"/>
    <n v="0"/>
    <m/>
    <m/>
  </r>
  <r>
    <n v="0"/>
    <s v="CMS S.60.10.000"/>
    <s v="SUPORTE"/>
    <m/>
    <m/>
    <m/>
    <m/>
    <m/>
    <m/>
    <m/>
    <m/>
    <s v="LINHA DO CIRCUITO ULTRAFINO LINHA DE DESCARGA DO DISTRIBUIDOR DI 145A-9905"/>
    <s v="SC-026"/>
    <s v="SP 8362 C"/>
    <m/>
    <s v="1450AA-S-58362"/>
    <n v="1"/>
    <s v="PÇ"/>
    <n v="22.7"/>
    <n v="22.7"/>
    <n v="0"/>
    <n v="0"/>
    <n v="0"/>
    <n v="0.9"/>
    <n v="0.1"/>
    <m/>
    <m/>
    <m/>
    <n v="0"/>
    <m/>
    <n v="0"/>
    <n v="22.7"/>
    <m/>
    <n v="0"/>
    <n v="0"/>
    <n v="0"/>
    <m/>
    <m/>
    <m/>
    <n v="0"/>
    <n v="0"/>
    <n v="0"/>
    <n v="0"/>
    <m/>
    <m/>
  </r>
  <r>
    <n v="0"/>
    <s v="CMS S.60.10.000"/>
    <s v="SUPORTE"/>
    <m/>
    <m/>
    <m/>
    <m/>
    <m/>
    <m/>
    <m/>
    <m/>
    <s v="LINHA DO CIRCUITO ULTRAFINO LINHA DE DESCARGA DO DISTRIBUIDOR DI 145A-9905"/>
    <s v="SC-026"/>
    <s v="SP 8362 D"/>
    <m/>
    <s v="1450AA-S-58362"/>
    <n v="1"/>
    <s v="PÇ"/>
    <n v="3.1"/>
    <n v="3.1"/>
    <n v="0"/>
    <n v="0"/>
    <n v="0"/>
    <n v="0.9"/>
    <n v="0.1"/>
    <m/>
    <m/>
    <m/>
    <n v="0"/>
    <m/>
    <n v="0"/>
    <n v="3.1"/>
    <m/>
    <n v="0"/>
    <n v="0"/>
    <n v="0"/>
    <m/>
    <m/>
    <m/>
    <n v="0"/>
    <n v="0"/>
    <n v="0"/>
    <n v="0"/>
    <m/>
    <m/>
  </r>
  <r>
    <n v="0"/>
    <s v="CMS S.60.10.000"/>
    <s v="SUPORTE"/>
    <m/>
    <m/>
    <m/>
    <m/>
    <m/>
    <m/>
    <m/>
    <m/>
    <s v="LINHA DO CIRCUITO ULTRAFINO LINHA DE DESCARGA DO DISTRIBUIDOR DI 145A-9905"/>
    <s v="SC-026"/>
    <s v="SP 8362 E"/>
    <m/>
    <s v="1450AA-S-58362"/>
    <n v="4"/>
    <s v="PÇ"/>
    <n v="38"/>
    <n v="152"/>
    <n v="0"/>
    <n v="0"/>
    <n v="0"/>
    <n v="0.9"/>
    <n v="0.1"/>
    <m/>
    <m/>
    <m/>
    <n v="0"/>
    <m/>
    <n v="0"/>
    <n v="152"/>
    <m/>
    <n v="0"/>
    <n v="0"/>
    <n v="0"/>
    <m/>
    <m/>
    <m/>
    <n v="0"/>
    <n v="0"/>
    <n v="0"/>
    <n v="0"/>
    <m/>
    <m/>
  </r>
  <r>
    <n v="0"/>
    <s v="CMS S.60.10.000"/>
    <s v="SUPORTE"/>
    <m/>
    <m/>
    <m/>
    <m/>
    <m/>
    <m/>
    <m/>
    <m/>
    <s v="LINHA DO CIRCUITO ULTRAFINO LINHA DE DESCARGA DO DISTRIBUIDOR DI 145A-9905"/>
    <s v="SC-026"/>
    <s v="SP 8362 F"/>
    <m/>
    <s v="1450AA-S-58362"/>
    <n v="2"/>
    <s v="PÇ"/>
    <n v="41.9"/>
    <n v="83.8"/>
    <n v="0"/>
    <n v="0"/>
    <n v="0"/>
    <n v="0.9"/>
    <n v="0.1"/>
    <m/>
    <m/>
    <m/>
    <n v="0"/>
    <m/>
    <n v="0"/>
    <n v="83.8"/>
    <m/>
    <n v="0"/>
    <n v="0"/>
    <n v="0"/>
    <m/>
    <m/>
    <m/>
    <n v="0"/>
    <n v="0"/>
    <n v="0"/>
    <n v="0"/>
    <m/>
    <m/>
  </r>
  <r>
    <n v="0"/>
    <s v="CMS S.60.10.000"/>
    <s v="SUPORTE"/>
    <m/>
    <m/>
    <m/>
    <m/>
    <m/>
    <m/>
    <m/>
    <m/>
    <s v="LINHA DO CIRCUITO ULTRAFINO LINHA DE DESCARGA DO DISTRIBUIDOR DI 145A-9905"/>
    <s v="SC-026"/>
    <s v="SP 8362 L"/>
    <m/>
    <s v="1450AA-S-58362"/>
    <n v="2"/>
    <s v="PÇ"/>
    <n v="13.3"/>
    <n v="26.6"/>
    <n v="0"/>
    <n v="0"/>
    <n v="0"/>
    <n v="0.9"/>
    <n v="0.1"/>
    <m/>
    <m/>
    <m/>
    <n v="0"/>
    <m/>
    <n v="0"/>
    <n v="26.6"/>
    <m/>
    <n v="0"/>
    <n v="0"/>
    <n v="0"/>
    <m/>
    <m/>
    <m/>
    <n v="0"/>
    <n v="0"/>
    <n v="0"/>
    <n v="0"/>
    <m/>
    <m/>
  </r>
  <r>
    <n v="0"/>
    <s v="CMS S.60.10.000"/>
    <s v="SUPORTE"/>
    <m/>
    <m/>
    <m/>
    <m/>
    <m/>
    <m/>
    <m/>
    <m/>
    <s v="LINHA DO CIRCUITO ULTRAFINO LINHA DE DESCARGA DO DISTRIBUIDOR DI 145A-9905"/>
    <s v="SC-026"/>
    <s v="SP 8362 M"/>
    <m/>
    <s v="1450AA-S-58362"/>
    <n v="8"/>
    <s v="PÇ"/>
    <n v="14.9"/>
    <n v="119.2"/>
    <n v="0"/>
    <n v="0"/>
    <n v="0"/>
    <n v="0.9"/>
    <n v="0.1"/>
    <m/>
    <m/>
    <m/>
    <n v="0"/>
    <m/>
    <n v="0"/>
    <n v="119.2"/>
    <m/>
    <n v="0"/>
    <n v="0"/>
    <n v="0"/>
    <m/>
    <m/>
    <m/>
    <n v="0"/>
    <n v="0"/>
    <n v="0"/>
    <n v="0"/>
    <m/>
    <m/>
  </r>
  <r>
    <n v="0"/>
    <s v="CMS S.60.10.000"/>
    <s v="SUPORTE"/>
    <m/>
    <m/>
    <m/>
    <m/>
    <m/>
    <m/>
    <m/>
    <m/>
    <s v="LINHA DO CIRCUITO ULTRAFINO LINHA DE DESCARGA DO DISTRIBUIDOR DI 145A-9905"/>
    <s v="SC-026"/>
    <s v="SP 8362 N"/>
    <m/>
    <s v="1450AA-S-58362"/>
    <n v="1"/>
    <s v="PÇ"/>
    <n v="11.8"/>
    <n v="11.8"/>
    <n v="0"/>
    <n v="0"/>
    <n v="0"/>
    <n v="0.9"/>
    <n v="0.1"/>
    <m/>
    <m/>
    <m/>
    <n v="0"/>
    <m/>
    <n v="0"/>
    <n v="11.8"/>
    <m/>
    <n v="0"/>
    <n v="0"/>
    <n v="0"/>
    <m/>
    <m/>
    <m/>
    <n v="0"/>
    <n v="0"/>
    <n v="0"/>
    <n v="0"/>
    <m/>
    <m/>
  </r>
  <r>
    <n v="0"/>
    <s v="CMS S.60.10.000"/>
    <s v="SUPORTE"/>
    <m/>
    <m/>
    <m/>
    <m/>
    <m/>
    <m/>
    <m/>
    <m/>
    <s v="LINHA DO CIRCUITO ULTRAFINO LINHA DE DESCARGA DO DISTRIBUIDOR DI 145A-9905"/>
    <s v="SC-026"/>
    <s v="SP 8362 P"/>
    <m/>
    <s v="1450AA-S-58362"/>
    <n v="1"/>
    <s v="PÇ"/>
    <n v="63.5"/>
    <n v="63.5"/>
    <n v="0"/>
    <n v="0"/>
    <n v="0"/>
    <n v="0.9"/>
    <n v="0.1"/>
    <m/>
    <m/>
    <m/>
    <n v="0"/>
    <m/>
    <n v="0"/>
    <n v="63.5"/>
    <m/>
    <n v="0"/>
    <n v="0"/>
    <n v="0"/>
    <m/>
    <m/>
    <m/>
    <n v="0"/>
    <n v="0"/>
    <n v="0"/>
    <n v="0"/>
    <m/>
    <m/>
  </r>
  <r>
    <n v="0"/>
    <s v="CMS S.60.10.000"/>
    <s v="SUPORTE"/>
    <m/>
    <m/>
    <m/>
    <m/>
    <m/>
    <m/>
    <m/>
    <m/>
    <s v="LINHA DO CIRCUITO ULTRAFINO LINHA DE DESCARGA DO DISTRIBUIDOR DI 145A-9906"/>
    <s v="SC-026"/>
    <s v="SP 8363 A"/>
    <m/>
    <s v="1450AA-S-58363"/>
    <n v="1"/>
    <s v="PÇ"/>
    <n v="11.5"/>
    <n v="11.5"/>
    <n v="0"/>
    <n v="0"/>
    <n v="0"/>
    <n v="0.9"/>
    <n v="0.1"/>
    <m/>
    <m/>
    <m/>
    <n v="0"/>
    <m/>
    <n v="0"/>
    <n v="11.5"/>
    <m/>
    <n v="0"/>
    <n v="0"/>
    <n v="0"/>
    <m/>
    <m/>
    <m/>
    <n v="0"/>
    <n v="0"/>
    <n v="0"/>
    <n v="0"/>
    <m/>
    <m/>
  </r>
  <r>
    <n v="0"/>
    <s v="CMS S.60.10.000"/>
    <s v="SUPORTE"/>
    <m/>
    <m/>
    <m/>
    <m/>
    <m/>
    <m/>
    <m/>
    <m/>
    <s v="LINHA DO CIRCUITO ULTRAFINO LINHA DE DESCARGA DO DISTRIBUIDOR DI 145A-9906"/>
    <s v="SC-026"/>
    <s v="SP 8363 B"/>
    <m/>
    <s v="1450AA-S-58363"/>
    <n v="1"/>
    <s v="PÇ"/>
    <n v="9.9"/>
    <n v="9.9"/>
    <n v="0"/>
    <n v="0"/>
    <n v="0"/>
    <n v="0.9"/>
    <n v="0.1"/>
    <m/>
    <m/>
    <m/>
    <n v="0"/>
    <m/>
    <n v="0"/>
    <n v="9.9"/>
    <m/>
    <n v="0"/>
    <n v="0"/>
    <n v="0"/>
    <m/>
    <m/>
    <m/>
    <n v="0"/>
    <n v="0"/>
    <n v="0"/>
    <n v="0"/>
    <m/>
    <m/>
  </r>
  <r>
    <n v="0"/>
    <s v="CMS S.60.10.000"/>
    <s v="SUPORTE"/>
    <m/>
    <m/>
    <m/>
    <m/>
    <m/>
    <m/>
    <m/>
    <m/>
    <s v="LINHA DO CIRCUITO ULTRAFINO LINHA DE DESCARGA DO DISTRIBUIDOR DI 145A-9906"/>
    <s v="SC-026"/>
    <s v="SP 8363 C"/>
    <m/>
    <s v="1450AA-S-58363"/>
    <n v="8"/>
    <s v="PÇ"/>
    <n v="7.8"/>
    <n v="62.4"/>
    <n v="0"/>
    <n v="0"/>
    <n v="0"/>
    <n v="0.9"/>
    <n v="0.1"/>
    <m/>
    <m/>
    <m/>
    <n v="0"/>
    <m/>
    <n v="0"/>
    <n v="62.4"/>
    <m/>
    <n v="0"/>
    <n v="0"/>
    <n v="0"/>
    <m/>
    <m/>
    <m/>
    <n v="0"/>
    <n v="0"/>
    <n v="0"/>
    <n v="0"/>
    <m/>
    <m/>
  </r>
  <r>
    <n v="0"/>
    <s v="CMS S.60.10.000"/>
    <s v="SUPORTE"/>
    <m/>
    <m/>
    <m/>
    <m/>
    <m/>
    <m/>
    <m/>
    <m/>
    <s v="LINHA DO CIRCUITO ULTRAFINO LINHA DE DESCARGA DO DISTRIBUIDOR DI 145A-9906"/>
    <s v="SC-026"/>
    <s v="SP 8363 D"/>
    <m/>
    <s v="1450AA-S-58363"/>
    <n v="8"/>
    <s v="PÇ"/>
    <n v="10"/>
    <n v="80"/>
    <n v="0"/>
    <n v="0"/>
    <n v="0"/>
    <n v="0.9"/>
    <n v="0.1"/>
    <m/>
    <m/>
    <m/>
    <n v="0"/>
    <m/>
    <n v="0"/>
    <n v="80"/>
    <m/>
    <n v="0"/>
    <n v="0"/>
    <n v="0"/>
    <m/>
    <m/>
    <m/>
    <n v="0"/>
    <n v="0"/>
    <n v="0"/>
    <n v="0"/>
    <m/>
    <m/>
  </r>
  <r>
    <n v="0"/>
    <s v="CMS S.60.10.000"/>
    <s v="SUPORTE"/>
    <m/>
    <m/>
    <m/>
    <m/>
    <m/>
    <m/>
    <m/>
    <m/>
    <s v="LINHA DO CIRCUITO ULTRAFINO LINHA DE DESCARGA DO DISTRIBUIDOR DI 145A-9906"/>
    <s v="SC-026"/>
    <s v="SP 8363 E"/>
    <m/>
    <s v="1450AA-S-58363"/>
    <n v="1"/>
    <s v="PÇ"/>
    <n v="12.7"/>
    <n v="12.7"/>
    <n v="0"/>
    <n v="0"/>
    <n v="0"/>
    <n v="0.9"/>
    <n v="0.1"/>
    <m/>
    <m/>
    <m/>
    <n v="0"/>
    <m/>
    <n v="0"/>
    <n v="12.7"/>
    <m/>
    <n v="0"/>
    <n v="0"/>
    <n v="0"/>
    <m/>
    <m/>
    <m/>
    <n v="0"/>
    <n v="0"/>
    <n v="0"/>
    <n v="0"/>
    <m/>
    <m/>
  </r>
  <r>
    <n v="0"/>
    <s v="CMS S.60.10.000"/>
    <s v="SUPORTE"/>
    <m/>
    <m/>
    <m/>
    <m/>
    <m/>
    <m/>
    <m/>
    <m/>
    <s v="LINHA DO CIRCUITO ULTRAFINO LINHA DE DESCARGA DO DISTRIBUIDOR DI 145A-9906"/>
    <s v="SC-026"/>
    <s v="SP 8363 F"/>
    <m/>
    <s v="1450AA-S-58363"/>
    <n v="1"/>
    <s v="PÇ"/>
    <n v="11"/>
    <n v="11"/>
    <n v="0"/>
    <n v="0"/>
    <n v="0"/>
    <n v="0.9"/>
    <n v="0.1"/>
    <m/>
    <m/>
    <m/>
    <n v="0"/>
    <m/>
    <n v="0"/>
    <n v="11"/>
    <m/>
    <n v="0"/>
    <n v="0"/>
    <n v="0"/>
    <m/>
    <m/>
    <m/>
    <n v="0"/>
    <n v="0"/>
    <n v="0"/>
    <n v="0"/>
    <m/>
    <m/>
  </r>
  <r>
    <n v="0"/>
    <s v="CMS S.60.10.000"/>
    <s v="SUPORTE"/>
    <m/>
    <m/>
    <m/>
    <m/>
    <m/>
    <m/>
    <m/>
    <m/>
    <s v="LINHA DO CIRCUITO ULTRAFINO LINHA DE DESCARGA DO DISTRIBUIDOR DI 145A-9906"/>
    <s v="SC-026"/>
    <s v="SP 8363 G"/>
    <m/>
    <s v="1450AA-S-58363"/>
    <n v="1"/>
    <s v="PÇ"/>
    <n v="0.70000000000000007"/>
    <n v="0.70000000000000007"/>
    <n v="0"/>
    <n v="0"/>
    <n v="0"/>
    <n v="0.9"/>
    <n v="0.1"/>
    <m/>
    <m/>
    <m/>
    <n v="0"/>
    <m/>
    <n v="0"/>
    <n v="0.70000000000000007"/>
    <m/>
    <n v="0"/>
    <n v="0"/>
    <n v="0"/>
    <m/>
    <m/>
    <m/>
    <n v="0"/>
    <n v="0"/>
    <n v="0"/>
    <n v="0"/>
    <m/>
    <m/>
  </r>
  <r>
    <n v="0"/>
    <s v="CMS S.60.10.000"/>
    <s v="SUPORTE"/>
    <m/>
    <m/>
    <m/>
    <m/>
    <m/>
    <m/>
    <m/>
    <m/>
    <s v="LINHA DO CIRCUITO ULTRAFINO LINHA DE DESCARGA DO DISTRIBUIDOR DI 145A-9906"/>
    <s v="SC-026"/>
    <s v="SP 8363 K"/>
    <m/>
    <s v="1450AA-S-58363"/>
    <n v="2"/>
    <s v="PÇ"/>
    <n v="10.200000000000001"/>
    <n v="20.400000000000002"/>
    <n v="0"/>
    <n v="0"/>
    <n v="0"/>
    <n v="0.9"/>
    <n v="0.1"/>
    <m/>
    <m/>
    <m/>
    <n v="0"/>
    <m/>
    <n v="0"/>
    <n v="20.400000000000002"/>
    <m/>
    <n v="0"/>
    <n v="0"/>
    <n v="0"/>
    <m/>
    <m/>
    <m/>
    <n v="0"/>
    <n v="0"/>
    <n v="0"/>
    <n v="0"/>
    <m/>
    <m/>
  </r>
  <r>
    <n v="0"/>
    <s v="CMS S.60.10.000"/>
    <s v="SUPORTE"/>
    <m/>
    <m/>
    <m/>
    <m/>
    <m/>
    <m/>
    <m/>
    <m/>
    <s v="LINHA DO CIRCUITO ULTRAFINO LINHA DE DESCARGA DO DISTRIBUIDOR DI 145A-9906"/>
    <s v="SC-026"/>
    <s v="SP 8363 L"/>
    <m/>
    <s v="1450AA-S-58363"/>
    <n v="7"/>
    <s v="PÇ"/>
    <n v="85.2"/>
    <n v="596.4"/>
    <n v="0"/>
    <n v="0"/>
    <n v="0"/>
    <n v="0.9"/>
    <n v="0.1"/>
    <m/>
    <m/>
    <m/>
    <n v="0"/>
    <m/>
    <n v="0"/>
    <n v="596.4"/>
    <m/>
    <n v="0"/>
    <n v="0"/>
    <n v="0"/>
    <m/>
    <m/>
    <m/>
    <n v="0"/>
    <n v="0"/>
    <n v="0"/>
    <n v="0"/>
    <m/>
    <m/>
  </r>
  <r>
    <n v="0"/>
    <s v="CMS S.60.10.000"/>
    <s v="SUPORTE"/>
    <m/>
    <m/>
    <m/>
    <m/>
    <m/>
    <m/>
    <m/>
    <m/>
    <s v="LINHA DO CIRCUITO ULTRAFINO LINHA DE DESCARGA DO DISTRIBUIDOR DI 145A-9906"/>
    <s v="SC-026"/>
    <s v="SP 8363 M"/>
    <m/>
    <s v="1450AA-S-58363"/>
    <n v="4"/>
    <s v="PÇ"/>
    <n v="3.4"/>
    <n v="13.6"/>
    <n v="0"/>
    <n v="0"/>
    <n v="0"/>
    <n v="0.9"/>
    <n v="0.1"/>
    <m/>
    <m/>
    <m/>
    <n v="0"/>
    <m/>
    <n v="0"/>
    <n v="13.6"/>
    <m/>
    <n v="0"/>
    <n v="0"/>
    <n v="0"/>
    <m/>
    <m/>
    <m/>
    <n v="0"/>
    <n v="0"/>
    <n v="0"/>
    <n v="0"/>
    <m/>
    <m/>
  </r>
  <r>
    <n v="0"/>
    <s v="CMS S.60.10.000"/>
    <s v="SUPORTE"/>
    <m/>
    <m/>
    <m/>
    <m/>
    <m/>
    <m/>
    <m/>
    <m/>
    <s v="LINHA DO CIRCUITO ULTRAFINO LINHA DE DESCARGA DO DISTRIBUIDOR DI 145A-9906"/>
    <s v="SC-026"/>
    <s v="SP 8363 N"/>
    <m/>
    <s v="1450AA-S-58363"/>
    <n v="14"/>
    <s v="PÇ"/>
    <n v="44.6"/>
    <n v="624.4"/>
    <n v="0"/>
    <n v="0"/>
    <n v="0"/>
    <n v="0.9"/>
    <n v="0.1"/>
    <m/>
    <m/>
    <m/>
    <n v="0"/>
    <m/>
    <n v="0"/>
    <n v="624.4"/>
    <m/>
    <n v="0"/>
    <n v="0"/>
    <n v="0"/>
    <m/>
    <m/>
    <m/>
    <n v="0"/>
    <n v="0"/>
    <n v="0"/>
    <n v="0"/>
    <m/>
    <m/>
  </r>
  <r>
    <n v="0"/>
    <s v="CMS S.60.10.000"/>
    <s v="SUPORTE"/>
    <m/>
    <m/>
    <m/>
    <m/>
    <m/>
    <m/>
    <m/>
    <m/>
    <s v="LINHA DO CIRCUITO ULTRAFINO LINHA DE DESCARGA DO DISTRIBUIDOR DI 145A-9906"/>
    <s v="SC-026"/>
    <s v="SP 8363 P"/>
    <m/>
    <s v="1450AA-S-58363"/>
    <n v="2"/>
    <s v="PÇ"/>
    <n v="7.5"/>
    <n v="15"/>
    <n v="0"/>
    <n v="0"/>
    <n v="0"/>
    <n v="0.9"/>
    <n v="0.1"/>
    <m/>
    <m/>
    <m/>
    <n v="0"/>
    <m/>
    <n v="0"/>
    <n v="15"/>
    <m/>
    <n v="0"/>
    <n v="0"/>
    <n v="0"/>
    <m/>
    <m/>
    <m/>
    <n v="0"/>
    <n v="0"/>
    <n v="0"/>
    <n v="0"/>
    <m/>
    <m/>
  </r>
  <r>
    <n v="0"/>
    <s v="CMS S.60.10.000"/>
    <s v="SUPORTE"/>
    <m/>
    <m/>
    <m/>
    <m/>
    <m/>
    <m/>
    <m/>
    <m/>
    <s v="LINHA DO CIRCUITO ULTRAFINO LINHA DE DESCARGA DO DISTRIBUIDOR DI 145A-9906"/>
    <s v="SC-026"/>
    <s v="SP 8363 Q"/>
    <m/>
    <s v="1450AA-S-58363"/>
    <n v="2"/>
    <s v="PÇ"/>
    <n v="5.6000000000000005"/>
    <n v="11.200000000000001"/>
    <n v="0"/>
    <n v="0"/>
    <n v="0"/>
    <n v="0.9"/>
    <n v="0.1"/>
    <m/>
    <m/>
    <m/>
    <n v="0"/>
    <m/>
    <n v="0"/>
    <n v="11.200000000000001"/>
    <m/>
    <n v="0"/>
    <n v="0"/>
    <n v="0"/>
    <m/>
    <m/>
    <m/>
    <n v="0"/>
    <n v="0"/>
    <n v="0"/>
    <n v="0"/>
    <m/>
    <m/>
  </r>
  <r>
    <n v="0"/>
    <s v="CMS S.60.10.000"/>
    <s v="SUPORTE"/>
    <m/>
    <m/>
    <m/>
    <m/>
    <m/>
    <m/>
    <m/>
    <m/>
    <s v="LINHA DO CIRCUITO ULTRAFINO LINHA DE DESCARGA DO DISTRIBUIDOR DI 145A-9906"/>
    <s v="SC-026"/>
    <s v="SP 8363 R"/>
    <m/>
    <s v="1450AA-S-58363"/>
    <n v="7"/>
    <s v="PÇ"/>
    <n v="3.6"/>
    <n v="25.2"/>
    <n v="0"/>
    <n v="0"/>
    <n v="0"/>
    <n v="0.9"/>
    <n v="0.1"/>
    <m/>
    <m/>
    <m/>
    <n v="0"/>
    <m/>
    <n v="0"/>
    <n v="25.2"/>
    <m/>
    <n v="0"/>
    <n v="0"/>
    <n v="0"/>
    <m/>
    <m/>
    <m/>
    <n v="0"/>
    <n v="0"/>
    <n v="0"/>
    <n v="0"/>
    <m/>
    <m/>
  </r>
  <r>
    <n v="0"/>
    <s v="CMS S.60.10.000"/>
    <s v="SUPORTE"/>
    <m/>
    <m/>
    <m/>
    <m/>
    <m/>
    <m/>
    <m/>
    <m/>
    <s v="LINHA DO CIRCUITO ULTRAFINO LINHA DE DESCARGA DO DISTRIBUIDOR DI 145A-9906"/>
    <s v="SC-026"/>
    <s v="SP 8363 S"/>
    <m/>
    <s v="1450AA-S-58363"/>
    <n v="1"/>
    <s v="PÇ"/>
    <n v="25.5"/>
    <n v="25.5"/>
    <n v="0"/>
    <n v="0"/>
    <n v="0"/>
    <n v="0.9"/>
    <n v="0.1"/>
    <m/>
    <m/>
    <m/>
    <n v="0"/>
    <m/>
    <n v="0"/>
    <n v="25.5"/>
    <m/>
    <n v="0"/>
    <n v="0"/>
    <n v="0"/>
    <m/>
    <m/>
    <m/>
    <n v="0"/>
    <n v="0"/>
    <n v="0"/>
    <n v="0"/>
    <m/>
    <m/>
  </r>
  <r>
    <n v="0"/>
    <s v="CMS S.60.10.000"/>
    <s v="SUPORTE"/>
    <m/>
    <m/>
    <m/>
    <m/>
    <m/>
    <m/>
    <m/>
    <m/>
    <s v="LINHA DO CIRCUITO ULTRAFINO LINHA DE DESCARGA DO DISTRIBUIDOR DI 145A-9906"/>
    <s v="SC-026"/>
    <s v="SP 8363 T"/>
    <m/>
    <s v="1450AA-S-58363"/>
    <n v="1"/>
    <s v="PÇ"/>
    <n v="21.5"/>
    <n v="21.5"/>
    <n v="0"/>
    <n v="0"/>
    <n v="0"/>
    <n v="0.9"/>
    <n v="0.1"/>
    <m/>
    <m/>
    <m/>
    <n v="0"/>
    <m/>
    <n v="0"/>
    <n v="21.5"/>
    <m/>
    <n v="0"/>
    <n v="0"/>
    <n v="0"/>
    <m/>
    <m/>
    <m/>
    <n v="0"/>
    <n v="0"/>
    <n v="0"/>
    <n v="0"/>
    <m/>
    <m/>
  </r>
  <r>
    <n v="0"/>
    <s v="CMS S.60.10.000"/>
    <s v="SUPORTE"/>
    <m/>
    <m/>
    <m/>
    <m/>
    <m/>
    <m/>
    <m/>
    <m/>
    <s v="LINHA DO CIRCUITO ULTRAFINO LINHA DE DESCARGA DO DISTRIBUIDOR DI 145A-9906"/>
    <s v="SC-026"/>
    <s v="SP 8363 U"/>
    <m/>
    <s v="1450AA-S-58363"/>
    <n v="4"/>
    <s v="PÇ"/>
    <n v="21.4"/>
    <n v="85.6"/>
    <n v="0"/>
    <n v="0"/>
    <n v="0"/>
    <n v="0.9"/>
    <n v="0.1"/>
    <m/>
    <m/>
    <m/>
    <n v="0"/>
    <m/>
    <n v="0"/>
    <n v="85.6"/>
    <m/>
    <n v="0"/>
    <n v="0"/>
    <n v="0"/>
    <m/>
    <m/>
    <m/>
    <n v="0"/>
    <n v="0"/>
    <n v="0"/>
    <n v="0"/>
    <m/>
    <m/>
  </r>
  <r>
    <n v="0"/>
    <s v="CMS S.60.10.000"/>
    <s v="SUPORTE"/>
    <m/>
    <m/>
    <m/>
    <m/>
    <m/>
    <m/>
    <m/>
    <m/>
    <s v="LINHA DO CIRCUITO ULTRAFINO LINHA DE DESCARGA DO DISTRIBUIDOR DI 145A-9906"/>
    <s v="SC-026"/>
    <s v="SP 8363 V"/>
    <m/>
    <s v="1450AA-S-58363"/>
    <n v="4"/>
    <s v="PÇ"/>
    <n v="8.1999999999999993"/>
    <n v="32.799999999999997"/>
    <n v="0"/>
    <n v="0"/>
    <n v="0"/>
    <n v="0.9"/>
    <n v="0.1"/>
    <m/>
    <m/>
    <m/>
    <n v="0"/>
    <m/>
    <n v="0"/>
    <n v="32.799999999999997"/>
    <m/>
    <n v="0"/>
    <n v="0"/>
    <n v="0"/>
    <m/>
    <m/>
    <m/>
    <n v="0"/>
    <n v="0"/>
    <n v="0"/>
    <n v="0"/>
    <m/>
    <m/>
  </r>
  <r>
    <n v="0"/>
    <s v="CMS S.60.10.000"/>
    <s v="SUPORTE"/>
    <m/>
    <m/>
    <m/>
    <m/>
    <m/>
    <m/>
    <m/>
    <m/>
    <s v="LINHA DO CIRCUITO ULTRAFINO LINHA DE DESCARGA DO DISTRIBUIDOR DI 145A-9906"/>
    <s v="SC-026"/>
    <s v="SP 8363 W"/>
    <m/>
    <s v="1450AA-S-58363"/>
    <n v="2"/>
    <s v="PÇ"/>
    <n v="9.3000000000000007"/>
    <n v="18.600000000000001"/>
    <n v="0"/>
    <n v="0"/>
    <n v="0"/>
    <n v="0.9"/>
    <n v="0.1"/>
    <m/>
    <m/>
    <m/>
    <n v="0"/>
    <m/>
    <n v="0"/>
    <n v="18.600000000000001"/>
    <m/>
    <n v="0"/>
    <n v="0"/>
    <n v="0"/>
    <m/>
    <m/>
    <m/>
    <n v="0"/>
    <n v="0"/>
    <n v="0"/>
    <n v="0"/>
    <m/>
    <m/>
  </r>
  <r>
    <n v="0"/>
    <s v="CMS S.60.10.000"/>
    <s v="SUPORTE"/>
    <m/>
    <m/>
    <m/>
    <m/>
    <m/>
    <m/>
    <m/>
    <m/>
    <s v="LINHA DO CIRCUITO ULTRAFINO LINHA DE DESCARGA DO DISTRIBUIDOR DI 145A-9906"/>
    <s v="SC-026"/>
    <s v="SP 8363 X"/>
    <m/>
    <s v="1450AA-S-58363"/>
    <n v="2"/>
    <s v="PÇ"/>
    <n v="16.3"/>
    <n v="32.6"/>
    <n v="0"/>
    <n v="0"/>
    <n v="0"/>
    <n v="0.9"/>
    <n v="0.1"/>
    <m/>
    <m/>
    <m/>
    <n v="0"/>
    <m/>
    <n v="0"/>
    <n v="32.6"/>
    <m/>
    <n v="0"/>
    <n v="0"/>
    <n v="0"/>
    <m/>
    <m/>
    <m/>
    <n v="0"/>
    <n v="0"/>
    <n v="0"/>
    <n v="0"/>
    <m/>
    <m/>
  </r>
  <r>
    <n v="0"/>
    <s v="CMS S.60.10.000"/>
    <s v="SUPORTE"/>
    <m/>
    <m/>
    <m/>
    <m/>
    <m/>
    <m/>
    <m/>
    <m/>
    <s v="LINHA DO CIRCUITO ULTRAFINO LINHA DE DESCARGA DO DISTRIBUIDOR DI 145A-9906"/>
    <s v="SC-026"/>
    <s v="SP 8363 Y"/>
    <m/>
    <s v="1450AA-S-58363"/>
    <n v="1"/>
    <s v="PÇ"/>
    <n v="10.5"/>
    <n v="10.5"/>
    <n v="0"/>
    <n v="0"/>
    <n v="0"/>
    <n v="0.9"/>
    <n v="0.1"/>
    <m/>
    <m/>
    <m/>
    <n v="0"/>
    <m/>
    <n v="0"/>
    <n v="10.5"/>
    <m/>
    <n v="0"/>
    <n v="0"/>
    <n v="0"/>
    <m/>
    <m/>
    <m/>
    <n v="0"/>
    <n v="0"/>
    <n v="0"/>
    <n v="0"/>
    <m/>
    <m/>
  </r>
  <r>
    <n v="0"/>
    <s v="CMS S.60.10.000"/>
    <s v="SUPORTE"/>
    <m/>
    <m/>
    <m/>
    <m/>
    <m/>
    <m/>
    <m/>
    <m/>
    <s v="LINHA DO CIRCUITO ULTRAFINO LINHA DE DESCARGA DO DISTRIBUIDOR DI 145A-9906"/>
    <s v="SC-026"/>
    <s v="SP 8363 Z"/>
    <m/>
    <s v="1450AA-S-58363"/>
    <n v="4"/>
    <s v="PÇ"/>
    <n v="21.2"/>
    <n v="84.8"/>
    <n v="0"/>
    <n v="0"/>
    <n v="0"/>
    <n v="0.9"/>
    <n v="0.1"/>
    <m/>
    <m/>
    <m/>
    <n v="0"/>
    <m/>
    <n v="0"/>
    <n v="84.8"/>
    <m/>
    <n v="0"/>
    <n v="0"/>
    <n v="0"/>
    <m/>
    <m/>
    <m/>
    <n v="0"/>
    <n v="0"/>
    <n v="0"/>
    <n v="0"/>
    <m/>
    <m/>
  </r>
  <r>
    <n v="0"/>
    <s v="CMS S.60.10.000"/>
    <s v="SUPORTE"/>
    <m/>
    <m/>
    <m/>
    <m/>
    <m/>
    <m/>
    <m/>
    <m/>
    <s v="LINHA DO CIRCUITO ULTRAFINO LINHA DE DESCARGA DO DISTRIBUIDOR DI 145A-9906"/>
    <s v="SC-026"/>
    <s v="SP 8363 AA"/>
    <m/>
    <s v="1450AA-S-58363"/>
    <n v="2"/>
    <s v="PÇ"/>
    <n v="1.3"/>
    <n v="2.6"/>
    <n v="0"/>
    <n v="0"/>
    <n v="0"/>
    <n v="0.9"/>
    <n v="0.1"/>
    <m/>
    <m/>
    <m/>
    <n v="0"/>
    <m/>
    <n v="0"/>
    <n v="2.6"/>
    <m/>
    <n v="0"/>
    <n v="0"/>
    <n v="0"/>
    <m/>
    <m/>
    <m/>
    <n v="0"/>
    <n v="0"/>
    <n v="0"/>
    <n v="0"/>
    <m/>
    <m/>
  </r>
  <r>
    <n v="0"/>
    <s v="CMS S.60.10.000"/>
    <s v="SUPORTE"/>
    <m/>
    <m/>
    <m/>
    <m/>
    <m/>
    <m/>
    <m/>
    <m/>
    <s v="LINHA DE ALIMENTAÇÃO DOS DISTRIBUIDORES DI-145A-9904/9905/9906/9907/9908"/>
    <s v="SC-026"/>
    <s v="SP 8358 A"/>
    <m/>
    <s v="1450AA-S-58358"/>
    <n v="2"/>
    <s v="PÇ"/>
    <n v="12.1"/>
    <n v="24.2"/>
    <n v="0"/>
    <n v="0"/>
    <n v="0"/>
    <n v="0.9"/>
    <n v="0.1"/>
    <m/>
    <m/>
    <m/>
    <n v="0"/>
    <m/>
    <n v="0"/>
    <n v="24.2"/>
    <m/>
    <n v="0"/>
    <n v="0"/>
    <n v="0"/>
    <m/>
    <m/>
    <m/>
    <n v="0"/>
    <n v="0"/>
    <n v="0"/>
    <n v="0"/>
    <m/>
    <m/>
  </r>
  <r>
    <n v="0"/>
    <s v="CMS S.60.10.000"/>
    <s v="SUPORTE"/>
    <m/>
    <m/>
    <m/>
    <m/>
    <m/>
    <m/>
    <m/>
    <m/>
    <s v="LINHA DE ALIMENTAÇÃO DOS DISTRIBUIDORES DI-145A-9904/9905/9906/9907/9908"/>
    <s v="SC-026"/>
    <s v="SP 8358 B"/>
    <m/>
    <s v="1450AA-S-58358"/>
    <n v="2"/>
    <s v="PÇ"/>
    <n v="11.8"/>
    <n v="23.6"/>
    <n v="0"/>
    <n v="0"/>
    <n v="0"/>
    <n v="0.9"/>
    <n v="0.1"/>
    <m/>
    <m/>
    <m/>
    <n v="0"/>
    <m/>
    <n v="0"/>
    <n v="23.6"/>
    <m/>
    <n v="0"/>
    <n v="0"/>
    <n v="0"/>
    <m/>
    <m/>
    <m/>
    <n v="0"/>
    <n v="0"/>
    <n v="0"/>
    <n v="0"/>
    <m/>
    <m/>
  </r>
  <r>
    <n v="0"/>
    <s v="CMS S.60.10.000"/>
    <s v="SUPORTE"/>
    <m/>
    <m/>
    <m/>
    <m/>
    <m/>
    <m/>
    <m/>
    <m/>
    <s v="LINHA DE ALIMENTAÇÃO DOS DISTRIBUIDORES DI-145A-9904/9905/9906/9907/9908"/>
    <s v="SC-026"/>
    <s v="SP 8358 C"/>
    <m/>
    <s v="1450AA-S-58358"/>
    <n v="1"/>
    <s v="PÇ"/>
    <n v="12"/>
    <n v="12"/>
    <n v="0"/>
    <n v="0"/>
    <n v="0"/>
    <n v="0.9"/>
    <n v="0.1"/>
    <m/>
    <m/>
    <m/>
    <n v="0"/>
    <m/>
    <n v="0"/>
    <n v="12"/>
    <m/>
    <n v="0"/>
    <n v="0"/>
    <n v="0"/>
    <m/>
    <m/>
    <m/>
    <n v="0"/>
    <n v="0"/>
    <n v="0"/>
    <n v="0"/>
    <m/>
    <m/>
  </r>
  <r>
    <n v="0"/>
    <s v="CMS S.60.10.000"/>
    <s v="SUPORTE"/>
    <m/>
    <m/>
    <m/>
    <m/>
    <m/>
    <m/>
    <m/>
    <m/>
    <s v="LINHA DE ALIMENTAÇÃO DOS DISTRIBUIDORES DI-145A-9904/9905/9906/9907/9908"/>
    <s v="SC-026"/>
    <s v="SP 8358 D"/>
    <m/>
    <s v="1450AA-S-58358"/>
    <n v="1"/>
    <s v="PÇ"/>
    <n v="13.3"/>
    <n v="13.3"/>
    <n v="0"/>
    <n v="0"/>
    <n v="0"/>
    <n v="0.9"/>
    <n v="0.1"/>
    <m/>
    <m/>
    <m/>
    <n v="0"/>
    <m/>
    <n v="0"/>
    <n v="13.3"/>
    <m/>
    <n v="0"/>
    <n v="0"/>
    <n v="0"/>
    <m/>
    <m/>
    <m/>
    <n v="0"/>
    <n v="0"/>
    <n v="0"/>
    <n v="0"/>
    <m/>
    <m/>
  </r>
  <r>
    <n v="0"/>
    <s v="CMS S.60.10.000"/>
    <s v="SUPORTE"/>
    <m/>
    <m/>
    <m/>
    <m/>
    <m/>
    <m/>
    <m/>
    <m/>
    <s v="LINHA DE ALIMENTAÇÃO DOS DISTRIBUIDORES DI-145A-9904/9905/9906/9907/9908"/>
    <s v="SC-026"/>
    <s v="SP 8358 E"/>
    <m/>
    <s v="1450AA-S-58358"/>
    <n v="1"/>
    <s v="PÇ"/>
    <n v="13.200000000000001"/>
    <n v="13.200000000000001"/>
    <n v="0"/>
    <n v="0"/>
    <n v="0"/>
    <n v="0.9"/>
    <n v="0.1"/>
    <m/>
    <m/>
    <m/>
    <n v="0"/>
    <m/>
    <n v="0"/>
    <n v="13.200000000000001"/>
    <m/>
    <n v="0"/>
    <n v="0"/>
    <n v="0"/>
    <m/>
    <m/>
    <m/>
    <n v="0"/>
    <n v="0"/>
    <n v="0"/>
    <n v="0"/>
    <m/>
    <m/>
  </r>
  <r>
    <n v="0"/>
    <s v="CMS S.60.10.000"/>
    <s v="SUPORTE"/>
    <m/>
    <m/>
    <m/>
    <m/>
    <m/>
    <m/>
    <m/>
    <m/>
    <s v="LINHA DE ALIMENTAÇÃO DOS DISTRIBUIDORES DI-145A-9904/9905/9906/9907/9908"/>
    <s v="SC-026"/>
    <s v="SP 8358 F"/>
    <m/>
    <s v="1450AA-S-58358"/>
    <n v="1"/>
    <s v="PÇ"/>
    <n v="16.399999999999999"/>
    <n v="16.399999999999999"/>
    <n v="0"/>
    <n v="0"/>
    <n v="0"/>
    <n v="0.9"/>
    <n v="0.1"/>
    <m/>
    <m/>
    <m/>
    <n v="0"/>
    <m/>
    <n v="0"/>
    <n v="16.399999999999999"/>
    <m/>
    <n v="0"/>
    <n v="0"/>
    <n v="0"/>
    <m/>
    <m/>
    <m/>
    <n v="0"/>
    <n v="0"/>
    <n v="0"/>
    <n v="0"/>
    <m/>
    <m/>
  </r>
  <r>
    <n v="0"/>
    <s v="CMS S.60.10.000"/>
    <s v="SUPORTE"/>
    <m/>
    <m/>
    <m/>
    <m/>
    <m/>
    <m/>
    <m/>
    <m/>
    <s v="LINHA DE ALIMENTAÇÃO DOS DISTRIBUIDORES DI-145A-9904/9905/9906/9907/9908"/>
    <s v="SC-026"/>
    <s v="SP 8358 G"/>
    <m/>
    <s v="1450AA-S-58358"/>
    <n v="1"/>
    <s v="PÇ"/>
    <n v="14.799999999999999"/>
    <n v="14.799999999999999"/>
    <n v="0"/>
    <n v="0"/>
    <n v="0"/>
    <n v="0.9"/>
    <n v="0.1"/>
    <m/>
    <m/>
    <m/>
    <n v="0"/>
    <m/>
    <n v="0"/>
    <n v="14.799999999999999"/>
    <m/>
    <n v="0"/>
    <n v="0"/>
    <n v="0"/>
    <m/>
    <m/>
    <m/>
    <n v="0"/>
    <n v="0"/>
    <n v="0"/>
    <n v="0"/>
    <m/>
    <m/>
  </r>
  <r>
    <n v="0"/>
    <s v="CMS S.60.10.000"/>
    <s v="SUPORTE"/>
    <m/>
    <m/>
    <m/>
    <m/>
    <m/>
    <m/>
    <m/>
    <m/>
    <s v="LINHA DE ALIMENTAÇÃO DOS DISTRIBUIDORES DI-145A-9904/9905/9906/9907/9908"/>
    <s v="SC-026"/>
    <s v="SP 8358 H"/>
    <m/>
    <s v="1450AA-S-58358"/>
    <n v="4"/>
    <s v="PÇ"/>
    <n v="180.3"/>
    <n v="721.2"/>
    <n v="0"/>
    <n v="0"/>
    <n v="0"/>
    <n v="0.9"/>
    <n v="0.1"/>
    <m/>
    <m/>
    <m/>
    <n v="0"/>
    <m/>
    <n v="0"/>
    <n v="721.2"/>
    <m/>
    <n v="0"/>
    <n v="0"/>
    <n v="0"/>
    <m/>
    <m/>
    <m/>
    <n v="0"/>
    <n v="0"/>
    <n v="0"/>
    <n v="0"/>
    <m/>
    <m/>
  </r>
  <r>
    <n v="0"/>
    <s v="CMS S.60.10.000"/>
    <s v="SUPORTE"/>
    <m/>
    <m/>
    <m/>
    <m/>
    <m/>
    <m/>
    <m/>
    <m/>
    <s v="LINHA DE ALIMENTAÇÃO DOS DISTRIBUIDORES DI-145A-9904/9905/9906/9907/9908"/>
    <s v="SC-026"/>
    <s v="SP 8358 J"/>
    <m/>
    <s v="1450AA-S-58358"/>
    <n v="8"/>
    <s v="PÇ"/>
    <n v="69.900000000000006"/>
    <n v="559.20000000000005"/>
    <n v="0"/>
    <n v="0"/>
    <n v="0"/>
    <n v="0.9"/>
    <n v="0.1"/>
    <m/>
    <m/>
    <m/>
    <n v="0"/>
    <m/>
    <n v="0"/>
    <n v="559.20000000000005"/>
    <m/>
    <n v="0"/>
    <n v="0"/>
    <n v="0"/>
    <m/>
    <m/>
    <m/>
    <n v="0"/>
    <n v="0"/>
    <n v="0"/>
    <n v="0"/>
    <m/>
    <m/>
  </r>
  <r>
    <n v="0"/>
    <s v="CMS S.60.10.000"/>
    <s v="SUPORTE"/>
    <m/>
    <m/>
    <m/>
    <m/>
    <m/>
    <m/>
    <m/>
    <m/>
    <s v="LINHA DE ALIMENTAÇÃO DOS DISTRIBUIDORES DI-145A-9904/9905/9906/9907/9908"/>
    <s v="SC-026"/>
    <s v="SP 8358 K"/>
    <m/>
    <s v="1450AA-S-58358"/>
    <n v="14"/>
    <s v="PÇ"/>
    <n v="58.9"/>
    <n v="824.6"/>
    <n v="0"/>
    <n v="0"/>
    <n v="0"/>
    <n v="0.9"/>
    <n v="0.1"/>
    <m/>
    <m/>
    <m/>
    <n v="0"/>
    <m/>
    <n v="0"/>
    <n v="824.6"/>
    <m/>
    <n v="0"/>
    <n v="0"/>
    <n v="0"/>
    <m/>
    <m/>
    <m/>
    <n v="0"/>
    <n v="0"/>
    <n v="0"/>
    <n v="0"/>
    <m/>
    <m/>
  </r>
  <r>
    <n v="0"/>
    <s v="CMS S.60.10.000"/>
    <s v="SUPORTE"/>
    <m/>
    <m/>
    <m/>
    <m/>
    <m/>
    <m/>
    <m/>
    <m/>
    <s v="LINHA DE ALIMENTAÇÃO DOS DISTRIBUIDORES DI-145A-9904/9905/9906/9907/9908"/>
    <s v="SC-026"/>
    <s v="SP 8358 L"/>
    <m/>
    <s v="1450AA-S-58358"/>
    <n v="2"/>
    <s v="PÇ"/>
    <n v="23.8"/>
    <n v="47.6"/>
    <n v="0"/>
    <n v="0"/>
    <n v="0"/>
    <n v="0.9"/>
    <n v="0.1"/>
    <m/>
    <m/>
    <m/>
    <n v="0"/>
    <m/>
    <n v="0"/>
    <n v="47.6"/>
    <m/>
    <n v="0"/>
    <n v="0"/>
    <n v="0"/>
    <m/>
    <m/>
    <m/>
    <n v="0"/>
    <n v="0"/>
    <n v="0"/>
    <n v="0"/>
    <m/>
    <m/>
  </r>
  <r>
    <m/>
    <m/>
    <m/>
    <m/>
    <m/>
    <m/>
    <m/>
    <m/>
    <m/>
    <m/>
    <m/>
    <m/>
    <m/>
    <m/>
    <m/>
    <m/>
    <m/>
    <m/>
    <m/>
    <m/>
    <m/>
    <m/>
    <m/>
    <m/>
    <m/>
    <m/>
    <m/>
    <m/>
    <m/>
    <m/>
    <m/>
    <m/>
    <m/>
    <m/>
    <m/>
    <m/>
    <m/>
    <m/>
    <m/>
    <m/>
    <m/>
    <m/>
    <m/>
    <m/>
    <m/>
  </r>
  <r>
    <s v="2.4.3.1.6"/>
    <s v="CMS M.60.10.000"/>
    <s v="TUBULAÇÃO"/>
    <n v="1"/>
    <s v="SPOOL"/>
    <n v="16"/>
    <s v="NÃO"/>
    <s v="SIM"/>
    <s v="NÃO"/>
    <s v="145A-PG-16¨-L1H-861"/>
    <s v="START UP I"/>
    <s v="UNDER DO HIDROCICLONE HC- 145A-9913 PARA DISTRIBUIDOR DI- 145A-9911"/>
    <m/>
    <m/>
    <m/>
    <s v="1450AA-T-70215_FL10"/>
    <n v="1"/>
    <s v="PÇ"/>
    <n v="0.48499999999999999"/>
    <n v="0.48499999999999999"/>
    <n v="3249.8"/>
    <n v="1576.153"/>
    <n v="0"/>
    <n v="0.9"/>
    <n v="0.1"/>
    <m/>
    <m/>
    <m/>
    <n v="0"/>
    <m/>
    <n v="0"/>
    <n v="0.48499999999999999"/>
    <m/>
    <n v="0.4"/>
    <n v="0.5"/>
    <n v="0.1"/>
    <m/>
    <m/>
    <m/>
    <n v="0"/>
    <n v="0"/>
    <n v="0"/>
    <n v="1576.153"/>
    <m/>
    <m/>
  </r>
  <r>
    <s v="2.4.3.1.6"/>
    <s v="CMS M.60.10.000"/>
    <s v="TUBULAÇÃO"/>
    <n v="3"/>
    <s v="SPOOL"/>
    <n v="16"/>
    <s v="SIM"/>
    <s v="NÃO"/>
    <s v="NÃO"/>
    <s v="145A-PG-16¨-L1H-861"/>
    <s v="START UP I"/>
    <s v="UNDER DO HIDROCICLONE HC- 145A-9913 PARA DISTRIBUIDOR DI- 145A-9911"/>
    <m/>
    <m/>
    <m/>
    <s v="1450AA-T-70215_FL09"/>
    <n v="1"/>
    <s v="PÇ"/>
    <n v="0.59"/>
    <n v="0.59"/>
    <n v="3249.8"/>
    <n v="1917.3820000000001"/>
    <n v="0"/>
    <n v="0.9"/>
    <n v="0.1"/>
    <m/>
    <m/>
    <m/>
    <n v="0"/>
    <m/>
    <n v="0"/>
    <n v="0.59"/>
    <m/>
    <n v="0.4"/>
    <n v="0.5"/>
    <n v="0.1"/>
    <m/>
    <m/>
    <m/>
    <n v="0"/>
    <n v="0"/>
    <n v="0"/>
    <n v="1917.3820000000001"/>
    <m/>
    <m/>
  </r>
  <r>
    <s v="2.4.3.1.6"/>
    <s v="CMS M.60.10.000"/>
    <s v="TUBULAÇÃO"/>
    <n v="4"/>
    <s v="SPOOL"/>
    <n v="16"/>
    <s v="NÃO"/>
    <s v="NÃO"/>
    <s v="NÃO"/>
    <s v="145A-PG-16¨-L1H-861"/>
    <s v="START UP I"/>
    <s v="UNDER DO HIDROCICLONE HC- 145A-9913 PARA DISTRIBUIDOR DI- 145A-9911"/>
    <m/>
    <m/>
    <m/>
    <s v="1450AA-T-70215_FL07"/>
    <n v="1"/>
    <s v="PÇ"/>
    <n v="4"/>
    <n v="4"/>
    <n v="3249.8"/>
    <n v="12999.2"/>
    <n v="0"/>
    <n v="0.9"/>
    <n v="0.1"/>
    <m/>
    <m/>
    <m/>
    <n v="0"/>
    <m/>
    <n v="0"/>
    <n v="4"/>
    <m/>
    <n v="0.4"/>
    <n v="0.5"/>
    <n v="0.1"/>
    <m/>
    <m/>
    <m/>
    <n v="0"/>
    <n v="0"/>
    <n v="0"/>
    <n v="12999.2"/>
    <m/>
    <m/>
  </r>
  <r>
    <s v="2.4.3.1.6"/>
    <s v="CMS M.60.10.000"/>
    <s v="TUBULAÇÃO"/>
    <n v="5"/>
    <s v="CURVA"/>
    <n v="16"/>
    <s v="NÃO"/>
    <s v="NÃO"/>
    <s v="NÃO"/>
    <s v="145A-PG-16¨-L1H-861"/>
    <s v="START UP I"/>
    <s v="UNDER DO HIDROCICLONE HC- 145A-9913 PARA DISTRIBUIDOR DI- 145A-9911"/>
    <m/>
    <m/>
    <m/>
    <s v="1450AA-T-70215_FL11"/>
    <n v="1"/>
    <s v="PÇ"/>
    <n v="0.59899999999999998"/>
    <n v="0.59899999999999998"/>
    <n v="3249.8"/>
    <n v="1946.6302000000001"/>
    <n v="0"/>
    <n v="0.9"/>
    <n v="0.1"/>
    <m/>
    <m/>
    <m/>
    <n v="0"/>
    <m/>
    <n v="0"/>
    <n v="0.59899999999999998"/>
    <m/>
    <n v="0.4"/>
    <n v="0.5"/>
    <n v="0.1"/>
    <m/>
    <m/>
    <m/>
    <n v="0"/>
    <n v="0"/>
    <n v="0"/>
    <n v="1946.6302000000001"/>
    <m/>
    <m/>
  </r>
  <r>
    <s v="2.4.3.1.6"/>
    <s v="CMS M.60.10.000"/>
    <s v="TUBULAÇÃO"/>
    <n v="6"/>
    <s v="SPOOL"/>
    <n v="16"/>
    <s v="SIM"/>
    <s v="NÃO"/>
    <s v="NÃO"/>
    <s v="145A-PG-16¨-L1H-861"/>
    <s v="START UP I"/>
    <s v="UNDER DO HIDROCICLONE HC- 145A-9913 PARA DISTRIBUIDOR DI- 145A-9911"/>
    <m/>
    <m/>
    <m/>
    <s v="1450AA-T-70215_FL08"/>
    <n v="1"/>
    <s v="PÇ"/>
    <n v="0.56999999999999995"/>
    <n v="0.56999999999999995"/>
    <n v="3249.8"/>
    <n v="1852.386"/>
    <n v="0"/>
    <n v="0.9"/>
    <n v="0.1"/>
    <m/>
    <m/>
    <m/>
    <n v="0"/>
    <m/>
    <n v="0"/>
    <n v="0.56999999999999995"/>
    <m/>
    <n v="0.4"/>
    <n v="0.5"/>
    <n v="0.1"/>
    <m/>
    <m/>
    <m/>
    <n v="0"/>
    <n v="0"/>
    <n v="0"/>
    <n v="1852.386"/>
    <m/>
    <m/>
  </r>
  <r>
    <s v="2.4.3.1.6"/>
    <s v="CMS M.60.10.000"/>
    <s v="TUBULAÇÃO"/>
    <n v="1"/>
    <s v="SPOOL"/>
    <n v="16"/>
    <s v="NÃO"/>
    <s v="SIM"/>
    <s v="NÃO"/>
    <s v="145A-PG-16¨-L1H-860"/>
    <s v="START UP I"/>
    <s v="UNDER DO HIDROCICLONE HC- 145A-9911 PARA DISTRIBUIDOR DI- 145A-9911"/>
    <m/>
    <m/>
    <m/>
    <s v="1450AA-T-70217_FL09"/>
    <n v="1"/>
    <s v="PÇ"/>
    <n v="0.48499999999999999"/>
    <n v="0.48499999999999999"/>
    <n v="3249.8"/>
    <n v="1576.153"/>
    <n v="0"/>
    <n v="0.9"/>
    <n v="0.1"/>
    <m/>
    <m/>
    <m/>
    <n v="0"/>
    <m/>
    <n v="0"/>
    <n v="0.48499999999999999"/>
    <m/>
    <n v="0.4"/>
    <n v="0.5"/>
    <n v="0.1"/>
    <m/>
    <m/>
    <m/>
    <n v="0"/>
    <n v="0"/>
    <n v="0"/>
    <n v="1576.153"/>
    <m/>
    <m/>
  </r>
  <r>
    <s v="2.4.3.1.6"/>
    <s v="CMS M.60.10.000"/>
    <s v="TUBULAÇÃO"/>
    <n v="3"/>
    <s v="SPOOL"/>
    <n v="16"/>
    <s v="NÃO"/>
    <s v="NÃO"/>
    <s v="NÃO"/>
    <s v="145A-PG-16¨-L1H-860"/>
    <s v="START UP I"/>
    <s v="UNDER DO HIDROCICLONE HC- 145A-9911 PARA DISTRIBUIDOR DI- 145A-9911"/>
    <m/>
    <m/>
    <m/>
    <s v="1450AA-T-70217_FL07"/>
    <n v="1"/>
    <s v="PÇ"/>
    <n v="0.4"/>
    <n v="0.4"/>
    <n v="3249.8"/>
    <n v="1299.92"/>
    <n v="0"/>
    <n v="0.9"/>
    <n v="0.1"/>
    <m/>
    <m/>
    <m/>
    <n v="0"/>
    <m/>
    <n v="0"/>
    <n v="0.4"/>
    <m/>
    <n v="0.4"/>
    <n v="0.5"/>
    <n v="0.1"/>
    <m/>
    <m/>
    <m/>
    <n v="0"/>
    <n v="0"/>
    <n v="0"/>
    <n v="1299.92"/>
    <m/>
    <m/>
  </r>
  <r>
    <s v="2.4.3.1.6"/>
    <s v="CMS M.60.10.000"/>
    <s v="TUBULAÇÃO"/>
    <n v="4"/>
    <s v="CURVA"/>
    <n v="16"/>
    <s v="NÃO"/>
    <s v="NÃO"/>
    <s v="NÃO"/>
    <s v="145A-PG-16¨-L1H-860"/>
    <s v="START UP I"/>
    <s v="UNDER DO HIDROCICLONE HC- 145A-9911 PARA DISTRIBUIDOR DI- 145A-9911"/>
    <m/>
    <m/>
    <m/>
    <s v="1450AA-T-70217_FL10"/>
    <n v="1"/>
    <s v="PÇ"/>
    <n v="0.59899999999999998"/>
    <n v="0.59899999999999998"/>
    <n v="3249.8"/>
    <n v="1946.6302000000001"/>
    <n v="0"/>
    <n v="0.9"/>
    <n v="0.1"/>
    <m/>
    <m/>
    <m/>
    <n v="0"/>
    <m/>
    <n v="0"/>
    <n v="0.59899999999999998"/>
    <m/>
    <n v="0.4"/>
    <n v="0.5"/>
    <n v="0.1"/>
    <m/>
    <m/>
    <m/>
    <n v="0"/>
    <n v="0"/>
    <n v="0"/>
    <n v="1946.6302000000001"/>
    <m/>
    <m/>
  </r>
  <r>
    <s v="2.4.3.1.6"/>
    <s v="CMS M.60.10.000"/>
    <s v="TUBULAÇÃO"/>
    <n v="5"/>
    <s v="SPOOL"/>
    <n v="16"/>
    <s v="SIM"/>
    <s v="NÃO"/>
    <s v="NÃO"/>
    <s v="145A-PG-16¨-L1H-860"/>
    <s v="START UP I"/>
    <s v="UNDER DO HIDROCICLONE HC- 145A-9911 PARA DISTRIBUIDOR DI- 145A-9911"/>
    <m/>
    <m/>
    <m/>
    <s v="1450AA-T-70217_FL08"/>
    <n v="1"/>
    <s v="PÇ"/>
    <n v="0.54"/>
    <n v="0.54"/>
    <n v="3249.8"/>
    <n v="1754.8920000000003"/>
    <n v="0"/>
    <n v="0.9"/>
    <n v="0.1"/>
    <m/>
    <m/>
    <m/>
    <n v="0"/>
    <m/>
    <n v="0"/>
    <n v="0.54"/>
    <m/>
    <n v="0.4"/>
    <n v="0.5"/>
    <n v="0.1"/>
    <m/>
    <m/>
    <m/>
    <n v="0"/>
    <n v="0"/>
    <n v="0"/>
    <n v="1754.8920000000003"/>
    <m/>
    <m/>
  </r>
  <r>
    <s v="2.4.3.1.3"/>
    <s v="CMS M.60.10.000"/>
    <s v="TUBULAÇÃO"/>
    <n v="1"/>
    <s v="SPOOL"/>
    <n v="10"/>
    <s v="NÃO"/>
    <s v="NÃO"/>
    <s v="NÃO"/>
    <s v="145A-PG-10¨-L1H-940"/>
    <s v="START UP II"/>
    <s v="UNDER DO ESPESSADOR ES- 142A-9801 PARA DISTRIBUIDOR DI- 145A-9911"/>
    <m/>
    <m/>
    <m/>
    <s v="1450AA-T-70265_FL08"/>
    <n v="1"/>
    <s v="PÇ"/>
    <n v="1.5"/>
    <n v="1.5"/>
    <n v="2238.89"/>
    <n v="3358.335"/>
    <n v="0"/>
    <n v="0.9"/>
    <n v="0.1"/>
    <m/>
    <m/>
    <m/>
    <n v="0"/>
    <m/>
    <n v="0"/>
    <n v="1.5"/>
    <m/>
    <n v="0.4"/>
    <n v="0.5"/>
    <n v="0.1"/>
    <m/>
    <m/>
    <m/>
    <n v="0"/>
    <n v="0"/>
    <n v="0"/>
    <n v="3358.335"/>
    <m/>
    <m/>
  </r>
  <r>
    <s v="2.4.3.1.3"/>
    <s v="CMS M.60.10.000"/>
    <s v="TUBULAÇÃO"/>
    <n v="2"/>
    <s v="SPOOL"/>
    <n v="10"/>
    <s v="NÃO"/>
    <s v="NÃO"/>
    <s v="NÃO"/>
    <s v="145A-PG-10¨-L1H-940"/>
    <s v="START UP II"/>
    <s v="UNDER DO ESPESSADOR ES- 142A-9801 PARA DISTRIBUIDOR DI- 145A-9911"/>
    <m/>
    <m/>
    <m/>
    <s v="1450AA-T-70265_FL09"/>
    <n v="1"/>
    <s v="PÇ"/>
    <n v="2"/>
    <n v="2"/>
    <n v="2238.89"/>
    <n v="4477.78"/>
    <n v="0"/>
    <n v="0.9"/>
    <n v="0.1"/>
    <m/>
    <m/>
    <m/>
    <n v="0"/>
    <m/>
    <n v="0"/>
    <n v="2"/>
    <m/>
    <n v="0.4"/>
    <n v="0.5"/>
    <n v="0.1"/>
    <m/>
    <m/>
    <m/>
    <n v="0"/>
    <n v="0"/>
    <n v="0"/>
    <n v="4477.78"/>
    <m/>
    <m/>
  </r>
  <r>
    <s v="2.4.3.1.3"/>
    <s v="CMS M.60.10.000"/>
    <s v="TUBULAÇÃO"/>
    <n v="3"/>
    <s v="SPOOL"/>
    <n v="10"/>
    <s v="SIM"/>
    <s v="NÃO"/>
    <s v="NÃO"/>
    <s v="145A-PG-10¨-L1H-940"/>
    <s v="START UP II"/>
    <s v="UNDER DO ESPESSADOR ES- 142A-9801 PARA DISTRIBUIDOR DI- 145A-9911"/>
    <m/>
    <m/>
    <m/>
    <s v="1450AA-T-70265_FL10"/>
    <n v="1"/>
    <s v="PÇ"/>
    <n v="0.43"/>
    <n v="0.43"/>
    <n v="2238.89"/>
    <n v="962.72269999999992"/>
    <n v="0"/>
    <n v="0.9"/>
    <n v="0.1"/>
    <m/>
    <m/>
    <m/>
    <n v="0"/>
    <m/>
    <n v="0"/>
    <n v="0.43"/>
    <m/>
    <n v="0.4"/>
    <n v="0.5"/>
    <n v="0.1"/>
    <m/>
    <m/>
    <m/>
    <n v="0"/>
    <n v="0"/>
    <n v="0"/>
    <n v="962.72269999999992"/>
    <m/>
    <m/>
  </r>
  <r>
    <s v="2.4.3.1.3"/>
    <s v="CMS M.60.10.000"/>
    <s v="TUBULAÇÃO"/>
    <n v="4"/>
    <s v="SPOOL"/>
    <n v="10"/>
    <s v="SIM"/>
    <s v="NÃO"/>
    <s v="NÃO"/>
    <s v="145A-PG-10¨-L1H-940"/>
    <s v="START UP II"/>
    <s v="UNDER DO ESPESSADOR ES- 142A-9801 PARA DISTRIBUIDOR DI- 145A-9911"/>
    <m/>
    <m/>
    <m/>
    <s v="1450AA-T-70265_FL11"/>
    <n v="1"/>
    <s v="PÇ"/>
    <n v="0.94"/>
    <n v="0.94"/>
    <n v="2238.89"/>
    <n v="2104.5565999999999"/>
    <n v="0"/>
    <n v="0.9"/>
    <n v="0.1"/>
    <m/>
    <m/>
    <m/>
    <n v="0"/>
    <m/>
    <n v="0"/>
    <n v="0.94"/>
    <m/>
    <n v="0.4"/>
    <n v="0.5"/>
    <n v="0.1"/>
    <m/>
    <m/>
    <m/>
    <n v="0"/>
    <n v="0"/>
    <n v="0"/>
    <n v="2104.5565999999999"/>
    <m/>
    <m/>
  </r>
  <r>
    <s v="2.4.3.1.3"/>
    <s v="CMS M.60.10.000"/>
    <s v="TUBULAÇÃO"/>
    <n v="5"/>
    <s v="CURVA"/>
    <n v="10"/>
    <s v="NÃO"/>
    <s v="NÃO"/>
    <s v="NÃO"/>
    <s v="145A-PG-10¨-L1H-940"/>
    <s v="START UP II"/>
    <s v="UNDER DO ESPESSADOR ES- 142A-9801 PARA DISTRIBUIDOR DI- 145A-9911"/>
    <m/>
    <m/>
    <m/>
    <s v="1450AA-T-70265_FL12"/>
    <n v="1"/>
    <s v="PÇ"/>
    <n v="0.35399999999999998"/>
    <n v="0.35399999999999998"/>
    <n v="2238.89"/>
    <n v="792.56705999999997"/>
    <n v="0"/>
    <n v="0.9"/>
    <n v="0.1"/>
    <m/>
    <m/>
    <m/>
    <n v="0"/>
    <m/>
    <n v="0"/>
    <n v="0.35399999999999998"/>
    <m/>
    <n v="0.4"/>
    <n v="0.5"/>
    <n v="0.1"/>
    <m/>
    <m/>
    <m/>
    <n v="0"/>
    <n v="0"/>
    <n v="0"/>
    <n v="792.56705999999997"/>
    <m/>
    <m/>
  </r>
  <r>
    <s v="2.4.3.1.3"/>
    <s v="CMS M.60.10.000"/>
    <s v="TUBULAÇÃO"/>
    <n v="6"/>
    <s v="CURVA"/>
    <n v="10"/>
    <s v="NÃO"/>
    <s v="NÃO"/>
    <s v="NÃO"/>
    <s v="145A-PG-10¨-L1H-940"/>
    <s v="START UP II"/>
    <s v="UNDER DO ESPESSADOR ES- 142A-9801 PARA DISTRIBUIDOR DI- 145A-9911"/>
    <m/>
    <m/>
    <m/>
    <s v="1450AA-T-70265_FL13"/>
    <n v="1"/>
    <s v="PÇ"/>
    <n v="0.65100000000000002"/>
    <n v="0.65100000000000002"/>
    <n v="2238.89"/>
    <n v="1457.51739"/>
    <n v="0"/>
    <n v="0.9"/>
    <n v="0.1"/>
    <m/>
    <m/>
    <m/>
    <n v="0"/>
    <m/>
    <n v="0"/>
    <n v="0.65100000000000002"/>
    <m/>
    <n v="0.4"/>
    <n v="0.5"/>
    <n v="0.1"/>
    <m/>
    <m/>
    <m/>
    <n v="0"/>
    <n v="0"/>
    <n v="0"/>
    <n v="1457.51739"/>
    <m/>
    <m/>
  </r>
  <r>
    <s v="2.4.3.1.3"/>
    <s v="CMS M.60.10.000"/>
    <s v="TUBULAÇÃO"/>
    <n v="7"/>
    <s v="CURVA"/>
    <n v="10"/>
    <s v="NÃO"/>
    <s v="NÃO"/>
    <s v="NÃO"/>
    <s v="145A-PG-10¨-L1H-940"/>
    <s v="START UP II"/>
    <s v="UNDER DO ESPESSADOR ES- 142A-9801 PARA DISTRIBUIDOR DI- 145A-9911"/>
    <m/>
    <m/>
    <m/>
    <s v="1450AA-T-70265_FL14"/>
    <n v="1"/>
    <s v="PÇ"/>
    <n v="0.90300000000000002"/>
    <n v="0.90300000000000002"/>
    <n v="2238.89"/>
    <n v="2021.71767"/>
    <n v="0"/>
    <n v="0.9"/>
    <n v="0.1"/>
    <m/>
    <m/>
    <m/>
    <n v="0"/>
    <m/>
    <n v="0"/>
    <n v="0.90300000000000002"/>
    <m/>
    <n v="0.4"/>
    <n v="0.5"/>
    <n v="0.1"/>
    <m/>
    <m/>
    <m/>
    <n v="0"/>
    <n v="0"/>
    <n v="0"/>
    <n v="2021.71767"/>
    <m/>
    <m/>
  </r>
  <r>
    <s v="2.4.3.1.3"/>
    <s v="CMS M.60.10.000"/>
    <s v="TUBULAÇÃO"/>
    <n v="8"/>
    <s v="REDUÇÃO"/>
    <s v="12 X 10"/>
    <s v="NÃO"/>
    <s v="NÃO"/>
    <s v="NÃO"/>
    <s v="145A-PG-10¨-L1H-940"/>
    <s v="START UP II"/>
    <s v="UNDER DO ESPESSADOR ES- 142A-9801 PARA DISTRIBUIDOR DI- 145A-9911"/>
    <m/>
    <m/>
    <m/>
    <s v="1450AA-T-70265_FL15"/>
    <n v="1"/>
    <s v="PÇ"/>
    <n v="0.45300000000000001"/>
    <n v="0.45300000000000001"/>
    <n v="2238.89"/>
    <n v="1014.21717"/>
    <n v="0"/>
    <n v="0.9"/>
    <n v="0.1"/>
    <m/>
    <m/>
    <m/>
    <n v="0"/>
    <m/>
    <n v="0"/>
    <n v="0.45300000000000001"/>
    <m/>
    <n v="0.4"/>
    <n v="0.5"/>
    <n v="0.1"/>
    <m/>
    <m/>
    <m/>
    <n v="0"/>
    <n v="0"/>
    <n v="0"/>
    <n v="1014.21717"/>
    <m/>
    <m/>
  </r>
  <r>
    <s v="2.4.3.1.8"/>
    <s v="CMS M.60.10.000"/>
    <s v="TUBULAÇÃO"/>
    <n v="1"/>
    <s v="SPOOL"/>
    <n v="22"/>
    <s v="NÃO"/>
    <s v="SIM"/>
    <s v="NÃO"/>
    <s v="-"/>
    <s v="START UP II"/>
    <s v="DISPOSIÇÃO DE REJEITOS DISTRIBUIDOR DI-145A-9911"/>
    <m/>
    <m/>
    <m/>
    <s v="1450AA-T-70220"/>
    <n v="1"/>
    <s v="PÇ"/>
    <n v="0.92100000000000004"/>
    <n v="0.92100000000000004"/>
    <n v="2788.58"/>
    <n v="2568.2821800000002"/>
    <n v="0"/>
    <n v="0.9"/>
    <n v="0.1"/>
    <m/>
    <m/>
    <m/>
    <n v="0"/>
    <m/>
    <n v="0"/>
    <n v="0.92100000000000004"/>
    <m/>
    <n v="0.4"/>
    <n v="0.5"/>
    <n v="0.1"/>
    <m/>
    <m/>
    <m/>
    <n v="0"/>
    <n v="0"/>
    <n v="0"/>
    <n v="2568.2821800000002"/>
    <m/>
    <m/>
  </r>
  <r>
    <s v="2.4.3.1.6"/>
    <s v="CMS M.60.10.000"/>
    <s v="TUBULAÇÃO"/>
    <n v="1"/>
    <s v="SPOOL"/>
    <n v="16"/>
    <s v="NÃO"/>
    <s v="SIM"/>
    <s v="NÃO"/>
    <s v="-"/>
    <s v="START UP II"/>
    <s v="DISPOSIÇÃO DE REJEITOS DISTRIBUIDOR DI-145A-9911"/>
    <m/>
    <m/>
    <m/>
    <s v="1450AA-T-70221"/>
    <n v="7"/>
    <s v="PÇ"/>
    <n v="0.35799999999999998"/>
    <n v="2.5059999999999998"/>
    <n v="3249.8"/>
    <n v="8143.9987999999994"/>
    <n v="0"/>
    <n v="0.9"/>
    <n v="0.1"/>
    <m/>
    <m/>
    <m/>
    <n v="0"/>
    <m/>
    <n v="0"/>
    <n v="2.5059999999999998"/>
    <m/>
    <n v="0.4"/>
    <n v="0.5"/>
    <n v="0.1"/>
    <m/>
    <m/>
    <m/>
    <n v="0"/>
    <n v="0"/>
    <n v="0"/>
    <n v="8143.9987999999994"/>
    <m/>
    <m/>
  </r>
  <r>
    <s v="2.4.3.1.5"/>
    <s v="CMS M.60.10.000"/>
    <s v="TUBULAÇÃO"/>
    <n v="1"/>
    <s v="SPOOL"/>
    <n v="14"/>
    <s v="NÃO"/>
    <s v="SIM"/>
    <s v="NÃO"/>
    <s v="-"/>
    <s v="START UP I"/>
    <s v="DISPOSIÇÃO DE REJEITOS LINHA DO CIRCUITO ARENOSO DISTRIBUIDORES DI-145A-9912/9913/9914/9915"/>
    <m/>
    <m/>
    <m/>
    <s v="1450AA-T-70222"/>
    <n v="1"/>
    <s v="PÇ"/>
    <n v="0.90600000000000003"/>
    <n v="0.90600000000000003"/>
    <n v="2725.4"/>
    <n v="2469.2124000000003"/>
    <n v="0"/>
    <n v="0.9"/>
    <n v="0.1"/>
    <m/>
    <m/>
    <m/>
    <n v="0"/>
    <m/>
    <n v="0"/>
    <n v="0.90600000000000003"/>
    <m/>
    <n v="0.4"/>
    <n v="0.5"/>
    <n v="0.1"/>
    <m/>
    <m/>
    <m/>
    <n v="0"/>
    <n v="0"/>
    <n v="0"/>
    <n v="2469.2124000000003"/>
    <m/>
    <m/>
  </r>
  <r>
    <s v="2.4.3.1.2"/>
    <s v="CMS M.60.10.000"/>
    <s v="TUBULAÇÃO"/>
    <n v="1"/>
    <s v="SPOOL"/>
    <n v="8"/>
    <s v="NÃO"/>
    <s v="SIM"/>
    <s v="NÃO"/>
    <s v="-"/>
    <s v="START UP I"/>
    <s v="DISPOSIÇÃO DE REJEITOS LINHA DO CIRCUITO ARENOSO DISTRIBUIDORES DI-145A-9912/9913/9914/9915"/>
    <m/>
    <m/>
    <m/>
    <s v="1450AA-T-70223"/>
    <n v="6"/>
    <s v="PÇ"/>
    <n v="0.32300000000000001"/>
    <n v="1.9380000000000002"/>
    <n v="1651.88"/>
    <n v="3201.3434400000006"/>
    <n v="0"/>
    <n v="0.9"/>
    <n v="0.1"/>
    <m/>
    <m/>
    <m/>
    <n v="0"/>
    <m/>
    <n v="0"/>
    <n v="1.9380000000000002"/>
    <m/>
    <n v="0.4"/>
    <n v="0.5"/>
    <n v="0.1"/>
    <m/>
    <m/>
    <m/>
    <n v="0"/>
    <n v="0"/>
    <n v="0"/>
    <n v="3201.3434400000006"/>
    <m/>
    <m/>
  </r>
  <r>
    <s v="2.4.3.1.1"/>
    <s v="CMS M.60.10.000"/>
    <s v="TUBULAÇÃO"/>
    <n v="1"/>
    <s v="SPOOL"/>
    <n v="6"/>
    <s v="NÃO"/>
    <s v="SIM"/>
    <s v="NÃO"/>
    <s v="-"/>
    <s v="START UP I"/>
    <s v="DISPOSIÇÃO DE REJEITOS LINHA DO CIRCUITO ULTRAFINO DISTRIBUIDORES DI-145A-9904/9905/9906/9907"/>
    <m/>
    <m/>
    <m/>
    <s v="1450AA-T-70224"/>
    <n v="6"/>
    <s v="PÇ"/>
    <n v="0.32300000000000001"/>
    <n v="1.9380000000000002"/>
    <n v="1169.77"/>
    <n v="2267.0142600000004"/>
    <n v="0"/>
    <n v="0.9"/>
    <n v="0.1"/>
    <m/>
    <m/>
    <m/>
    <n v="0"/>
    <m/>
    <n v="0"/>
    <n v="1.9380000000000002"/>
    <m/>
    <n v="0.4"/>
    <n v="0.5"/>
    <n v="0.1"/>
    <m/>
    <m/>
    <m/>
    <n v="0"/>
    <n v="0"/>
    <n v="0"/>
    <n v="2267.0142600000004"/>
    <m/>
    <m/>
  </r>
  <r>
    <s v="2.4.3.1.3"/>
    <s v="CMS M.60.10.000"/>
    <s v="TUBULAÇÃO"/>
    <n v="1"/>
    <s v="SPOOL"/>
    <n v="10"/>
    <s v="NÃO"/>
    <s v="SIM"/>
    <s v="NÃO"/>
    <s v="-"/>
    <s v="START UP I"/>
    <s v="DISPOSIÇÃO DE REJEITOS LINHA DO CIRCUITO ULTRAFINO DISTRIBUIDORES DI-145A-9904/9905/9906/9907"/>
    <m/>
    <m/>
    <m/>
    <s v="1450AA-T-70225"/>
    <n v="1"/>
    <s v="PÇ"/>
    <n v="0.78"/>
    <n v="0.78"/>
    <n v="2238.89"/>
    <n v="1746.3342"/>
    <n v="0"/>
    <n v="0.9"/>
    <n v="0.1"/>
    <m/>
    <m/>
    <m/>
    <n v="0"/>
    <m/>
    <n v="0"/>
    <n v="0.78"/>
    <m/>
    <n v="0.4"/>
    <n v="0.5"/>
    <n v="0.1"/>
    <m/>
    <m/>
    <m/>
    <n v="0"/>
    <n v="0"/>
    <n v="0"/>
    <n v="1746.3342"/>
    <m/>
    <m/>
  </r>
  <r>
    <s v="2.4.3.1.5"/>
    <s v="CMS M.60.10.000"/>
    <s v="TUBULAÇÃO"/>
    <n v="1"/>
    <s v="SPOOL"/>
    <n v="14"/>
    <s v="NÃO"/>
    <s v="SIM"/>
    <s v="NÃO"/>
    <s v="-"/>
    <s v="START UP II"/>
    <s v="DISPOSIÇÃO DE REJEITOS LINHA DO CIRCUITO ARENOSO DISTRIBUIDORES DI-145A-9916"/>
    <m/>
    <m/>
    <m/>
    <s v="1450AA-T-70226"/>
    <n v="1"/>
    <s v="PÇ"/>
    <n v="0.90100000000000002"/>
    <n v="0.90100000000000002"/>
    <n v="2725.4"/>
    <n v="2455.5853999999999"/>
    <n v="0"/>
    <n v="0.9"/>
    <n v="0.1"/>
    <m/>
    <m/>
    <m/>
    <n v="0"/>
    <m/>
    <n v="0"/>
    <n v="0.90100000000000002"/>
    <m/>
    <n v="0.4"/>
    <n v="0.5"/>
    <n v="0.1"/>
    <m/>
    <m/>
    <m/>
    <n v="0"/>
    <n v="0"/>
    <n v="0"/>
    <n v="2455.5853999999999"/>
    <m/>
    <m/>
  </r>
  <r>
    <s v="2.4.3.1.4"/>
    <s v="CMS M.60.10.000"/>
    <s v="TUBULAÇÃO"/>
    <n v="1"/>
    <s v="SPOOL"/>
    <n v="12"/>
    <s v="NÃO"/>
    <s v="SIM"/>
    <s v="NÃO"/>
    <s v="-"/>
    <s v="START UP II"/>
    <s v="DISPOSIÇÃO DE REJEITOS LINHA DO CIRCUITO ARENOSO DISTRIBUIDORES DI-145A-9916"/>
    <m/>
    <m/>
    <m/>
    <s v="1450AA-T-70227"/>
    <n v="2"/>
    <s v="PÇ"/>
    <n v="0.35799999999999998"/>
    <n v="0.71599999999999997"/>
    <n v="2576.75"/>
    <n v="1844.953"/>
    <n v="0"/>
    <n v="0.9"/>
    <n v="0.1"/>
    <m/>
    <m/>
    <m/>
    <n v="0"/>
    <m/>
    <n v="0"/>
    <n v="0.71599999999999997"/>
    <m/>
    <n v="0.4"/>
    <n v="0.5"/>
    <n v="0.1"/>
    <m/>
    <m/>
    <m/>
    <n v="0"/>
    <n v="0"/>
    <n v="0"/>
    <n v="1844.953"/>
    <m/>
    <m/>
  </r>
  <r>
    <s v="2.4.3.1.2"/>
    <s v="CMS M.60.10.000"/>
    <s v="TUBULAÇÃO"/>
    <n v="1"/>
    <s v="SPOOL"/>
    <n v="8"/>
    <s v="NÃO"/>
    <s v="SIM"/>
    <s v="NÃO"/>
    <s v="-"/>
    <s v="START UP III"/>
    <s v="DISPOSIÇÃO DE REJEITOS LINHA DO CIRCUITO ULTRAFINO DISTRIBUIDORES DI-145A-9908"/>
    <m/>
    <m/>
    <m/>
    <s v="1450AA-T-70228"/>
    <n v="2"/>
    <s v="PÇ"/>
    <n v="0.32300000000000001"/>
    <n v="0.64600000000000002"/>
    <n v="1651.88"/>
    <n v="1067.1144800000002"/>
    <n v="0"/>
    <n v="0.9"/>
    <n v="0.1"/>
    <m/>
    <m/>
    <m/>
    <n v="0"/>
    <m/>
    <n v="0"/>
    <n v="0.64600000000000002"/>
    <m/>
    <n v="0.4"/>
    <n v="0.5"/>
    <n v="0.1"/>
    <m/>
    <m/>
    <m/>
    <n v="0"/>
    <n v="0"/>
    <n v="0"/>
    <n v="1067.1144800000002"/>
    <m/>
    <m/>
  </r>
  <r>
    <s v="2.4.3.1.3"/>
    <s v="CMS M.60.10.000"/>
    <s v="TUBULAÇÃO"/>
    <n v="1"/>
    <s v="SPOOL"/>
    <n v="10"/>
    <s v="NÃO"/>
    <s v="SIM"/>
    <s v="NÃO"/>
    <s v="-"/>
    <s v="START UP III"/>
    <s v="DISPOSIÇÃO DE REJEITOS LINHA DO CIRCUITO ULTRAFINO DISTRIBUIDORES DI-145A-9908"/>
    <m/>
    <m/>
    <m/>
    <s v="1450AA-T-70229"/>
    <n v="1"/>
    <s v="PÇ"/>
    <n v="0.72199999999999998"/>
    <n v="0.72199999999999998"/>
    <n v="2238.89"/>
    <n v="1616.47858"/>
    <n v="0"/>
    <n v="0.9"/>
    <n v="0.1"/>
    <m/>
    <m/>
    <m/>
    <n v="0"/>
    <m/>
    <n v="0"/>
    <n v="0.72199999999999998"/>
    <m/>
    <n v="0.4"/>
    <n v="0.5"/>
    <n v="0.1"/>
    <m/>
    <m/>
    <m/>
    <n v="0"/>
    <n v="0"/>
    <n v="0"/>
    <n v="1616.47858"/>
    <m/>
    <m/>
  </r>
  <r>
    <s v="2.4.3.1.3"/>
    <s v="CMS M.60.10.000"/>
    <s v="TUBULAÇÃO"/>
    <n v="1"/>
    <s v="CURVA"/>
    <n v="10"/>
    <s v="NÃO"/>
    <s v="NÃO"/>
    <s v="SIM"/>
    <s v="10¨-PG-143A-476-X16"/>
    <s v="START UP I"/>
    <s v="LINHA DE UNDERFLOW DAS PENEIRAS DESAGUADORAS RETRABALHO DO UNDERFLOW DA PENEIRA PN-143A-9721"/>
    <m/>
    <m/>
    <m/>
    <s v="1450AA-T-70231_FL06"/>
    <n v="1"/>
    <s v="PÇ"/>
    <n v="0.69099999999999995"/>
    <n v="0.69099999999999995"/>
    <n v="2238.89"/>
    <n v="1547.0729899999999"/>
    <n v="0"/>
    <n v="0.9"/>
    <n v="0.1"/>
    <m/>
    <m/>
    <m/>
    <n v="0"/>
    <m/>
    <n v="0"/>
    <n v="0.69099999999999995"/>
    <m/>
    <n v="0.4"/>
    <n v="0.5"/>
    <n v="0.1"/>
    <m/>
    <m/>
    <m/>
    <n v="0"/>
    <n v="0"/>
    <n v="0"/>
    <n v="1547.0729899999999"/>
    <m/>
    <m/>
  </r>
  <r>
    <s v="2.4.3.1.3"/>
    <s v="CMS M.60.10.000"/>
    <s v="TUBULAÇÃO"/>
    <n v="2"/>
    <s v="SPOOL"/>
    <n v="10"/>
    <s v="NÃO"/>
    <s v="NÃO"/>
    <s v="SIM"/>
    <s v="10¨-PG-143A-476-X16"/>
    <s v="START UP I"/>
    <s v="LINHA DE UNDERFLOW DAS PENEIRAS DESAGUADORAS RETRABALHO DO UNDERFLOW DA PENEIRA PN-143A-9721"/>
    <m/>
    <m/>
    <m/>
    <s v="1450AA-T-70231_FL07"/>
    <n v="1"/>
    <s v="PÇ"/>
    <n v="3.1"/>
    <n v="3.1"/>
    <n v="2238.89"/>
    <n v="6940.5590000000002"/>
    <n v="0"/>
    <n v="0.9"/>
    <n v="0.1"/>
    <m/>
    <m/>
    <m/>
    <n v="0"/>
    <m/>
    <n v="0"/>
    <n v="3.1"/>
    <m/>
    <n v="0.4"/>
    <n v="0.5"/>
    <n v="0.1"/>
    <m/>
    <m/>
    <m/>
    <n v="0"/>
    <n v="0"/>
    <n v="0"/>
    <n v="6940.5590000000002"/>
    <m/>
    <m/>
  </r>
  <r>
    <s v="2.4.3.1.3"/>
    <s v="CMS M.60.10.000"/>
    <s v="TUBULAÇÃO"/>
    <n v="3"/>
    <s v="SPOOL"/>
    <n v="10"/>
    <s v="SIM"/>
    <s v="NÃO"/>
    <s v="SIM"/>
    <s v="10¨-PG-143A-476-X16"/>
    <s v="START UP I"/>
    <s v="LINHA DE UNDERFLOW DAS PENEIRAS DESAGUADORAS RETRABALHO DO UNDERFLOW DA PENEIRA PN-143A-9721"/>
    <m/>
    <m/>
    <m/>
    <s v="1450AA-T-70231_FL08"/>
    <n v="2"/>
    <s v="PÇ"/>
    <n v="0.5"/>
    <n v="1"/>
    <n v="2238.89"/>
    <n v="2238.89"/>
    <n v="0"/>
    <n v="0.9"/>
    <n v="0.1"/>
    <m/>
    <m/>
    <m/>
    <n v="0"/>
    <m/>
    <n v="0"/>
    <n v="1"/>
    <m/>
    <n v="0.4"/>
    <n v="0.5"/>
    <n v="0.1"/>
    <m/>
    <m/>
    <m/>
    <n v="0"/>
    <n v="0"/>
    <n v="0"/>
    <n v="2238.89"/>
    <m/>
    <m/>
  </r>
  <r>
    <s v="2.4.3.1.3"/>
    <s v="CMS M.60.10.000"/>
    <s v="TUBULAÇÃO"/>
    <n v="1"/>
    <s v="SPOOL"/>
    <n v="10"/>
    <s v="NÃO"/>
    <s v="NÃO"/>
    <s v="SIM"/>
    <s v="10¨-PG-143A-477-X16"/>
    <s v="START UP I"/>
    <s v="LINHA DE UNDERFLOW DAS PENEIRAS DESAGUADORAS RETRABALHO DO UNDERFLOW DA PENEIRA PN-143A-9722"/>
    <m/>
    <m/>
    <m/>
    <s v="1450AA-T-70233_FL04"/>
    <n v="1"/>
    <s v="PÇ"/>
    <n v="3.1"/>
    <n v="3.1"/>
    <n v="2238.89"/>
    <n v="6940.5590000000002"/>
    <n v="0"/>
    <n v="0.9"/>
    <n v="0.1"/>
    <m/>
    <m/>
    <m/>
    <n v="0"/>
    <m/>
    <n v="0"/>
    <n v="3.1"/>
    <m/>
    <n v="0.4"/>
    <n v="0.5"/>
    <n v="0.1"/>
    <m/>
    <m/>
    <m/>
    <n v="0"/>
    <n v="0"/>
    <n v="0"/>
    <n v="6940.5590000000002"/>
    <m/>
    <m/>
  </r>
  <r>
    <s v="2.4.3.1.3"/>
    <s v="CMS M.60.10.000"/>
    <s v="TUBULAÇÃO"/>
    <n v="2"/>
    <s v="SPOOL"/>
    <n v="10"/>
    <s v="SIM"/>
    <s v="NÃO"/>
    <s v="SIM"/>
    <s v="10¨-PG-143A-477-X16"/>
    <s v="START UP I"/>
    <s v="LINHA DE UNDERFLOW DAS PENEIRAS DESAGUADORAS RETRABALHO DO UNDERFLOW DA PENEIRA PN-143A-9722"/>
    <m/>
    <m/>
    <m/>
    <s v="1450AA-T-70233_FL05"/>
    <n v="1"/>
    <s v="PÇ"/>
    <n v="0.4"/>
    <n v="0.4"/>
    <n v="2238.89"/>
    <n v="895.55600000000004"/>
    <n v="0"/>
    <n v="0.9"/>
    <n v="0.1"/>
    <m/>
    <m/>
    <m/>
    <n v="0"/>
    <m/>
    <n v="0"/>
    <n v="0.4"/>
    <m/>
    <n v="0.4"/>
    <n v="0.5"/>
    <n v="0.1"/>
    <m/>
    <m/>
    <m/>
    <n v="0"/>
    <n v="0"/>
    <n v="0"/>
    <n v="895.55600000000004"/>
    <m/>
    <m/>
  </r>
  <r>
    <s v="2.4.3.1.3"/>
    <s v="CMS M.60.10.000"/>
    <s v="TUBULAÇÃO"/>
    <n v="1"/>
    <s v="SPOOL"/>
    <n v="10"/>
    <s v="NÃO"/>
    <s v="NÃO"/>
    <s v="SIM"/>
    <s v="10¨-PG-143A-478-X16"/>
    <s v="START UP I"/>
    <s v="LINHA DE UNDERFLOW DAS PENEIRAS DESAGUADORAS RETRABALHO DO UNDERFLOW DA PENEIRA PN-143A-9723"/>
    <m/>
    <m/>
    <m/>
    <s v="1450AA-T-70235_FL04"/>
    <n v="1"/>
    <s v="PÇ"/>
    <n v="3.1"/>
    <n v="3.1"/>
    <n v="2238.89"/>
    <n v="6940.5590000000002"/>
    <n v="0"/>
    <n v="0.9"/>
    <n v="0.1"/>
    <m/>
    <m/>
    <m/>
    <n v="0"/>
    <m/>
    <n v="0"/>
    <n v="3.1"/>
    <m/>
    <n v="0.4"/>
    <n v="0.5"/>
    <n v="0.1"/>
    <m/>
    <m/>
    <m/>
    <n v="0"/>
    <n v="0"/>
    <n v="0"/>
    <n v="6940.5590000000002"/>
    <m/>
    <m/>
  </r>
  <r>
    <s v="2.4.3.1.3"/>
    <s v="CMS M.60.10.000"/>
    <s v="TUBULAÇÃO"/>
    <n v="2"/>
    <s v="SPOOL"/>
    <n v="10"/>
    <s v="SIM"/>
    <s v="NÃO"/>
    <s v="SIM"/>
    <s v="10¨-PG-143A-478-X16"/>
    <s v="START UP I"/>
    <s v="LINHA DE UNDERFLOW DAS PENEIRAS DESAGUADORAS RETRABALHO DO UNDERFLOW DA PENEIRA PN-143A-9723"/>
    <m/>
    <m/>
    <m/>
    <s v="1450AA-T-70235_FL05"/>
    <n v="1"/>
    <s v="PÇ"/>
    <n v="0.45"/>
    <n v="0.45"/>
    <n v="2238.89"/>
    <n v="1007.5005"/>
    <n v="0"/>
    <n v="0.9"/>
    <n v="0.1"/>
    <m/>
    <m/>
    <m/>
    <n v="0"/>
    <m/>
    <n v="0"/>
    <n v="0.45"/>
    <m/>
    <n v="0.4"/>
    <n v="0.5"/>
    <n v="0.1"/>
    <m/>
    <m/>
    <m/>
    <n v="0"/>
    <n v="0"/>
    <n v="0"/>
    <n v="1007.5005"/>
    <m/>
    <m/>
  </r>
  <r>
    <s v="2.4.3.1.3"/>
    <s v="CMS M.60.10.000"/>
    <s v="TUBULAÇÃO"/>
    <n v="1"/>
    <s v="SPOOL"/>
    <n v="10"/>
    <s v="NÃO"/>
    <s v="NÃO"/>
    <s v="SIM"/>
    <s v="10¨-PG-143A-479-X16"/>
    <s v="START UP I"/>
    <s v="LINHA DE UNDERFLOW DAS PENEIRAS DESAGUADORAS RETRABALHO DO UNDERFLOW DA PENEIRA PN-143A-9724"/>
    <m/>
    <m/>
    <m/>
    <s v="1450AA-T-70237_FL04"/>
    <n v="1"/>
    <s v="PÇ"/>
    <n v="3.1"/>
    <n v="3.1"/>
    <n v="2238.89"/>
    <n v="6940.5590000000002"/>
    <n v="0"/>
    <n v="0.9"/>
    <n v="0.1"/>
    <m/>
    <m/>
    <m/>
    <n v="0"/>
    <m/>
    <n v="0"/>
    <n v="3.1"/>
    <m/>
    <n v="0.4"/>
    <n v="0.5"/>
    <n v="0.1"/>
    <m/>
    <m/>
    <m/>
    <n v="0"/>
    <n v="0"/>
    <n v="0"/>
    <n v="6940.5590000000002"/>
    <m/>
    <m/>
  </r>
  <r>
    <s v="2.4.3.1.3"/>
    <s v="CMS M.60.10.000"/>
    <s v="TUBULAÇÃO"/>
    <n v="2"/>
    <s v="SPOOL"/>
    <n v="10"/>
    <s v="SIM"/>
    <s v="NÃO"/>
    <s v="SIM"/>
    <s v="10¨-PG-143A-479-X16"/>
    <s v="START UP I"/>
    <s v="LINHA DE UNDERFLOW DAS PENEIRAS DESAGUADORAS RETRABALHO DO UNDERFLOW DA PENEIRA PN-143A-9724"/>
    <m/>
    <m/>
    <m/>
    <s v="1450AA-T-70237_FL05"/>
    <n v="1"/>
    <s v="PÇ"/>
    <n v="0.45"/>
    <n v="0.45"/>
    <n v="2238.89"/>
    <n v="1007.5005"/>
    <n v="0"/>
    <n v="0.9"/>
    <n v="0.1"/>
    <m/>
    <m/>
    <m/>
    <n v="0"/>
    <m/>
    <n v="0"/>
    <n v="0.45"/>
    <m/>
    <n v="0.4"/>
    <n v="0.5"/>
    <n v="0.1"/>
    <m/>
    <m/>
    <m/>
    <n v="0"/>
    <n v="0"/>
    <n v="0"/>
    <n v="1007.5005"/>
    <m/>
    <m/>
  </r>
  <r>
    <s v="2.4.3.1.3"/>
    <s v="CMS M.60.10.000"/>
    <s v="TUBULAÇÃO"/>
    <n v="1"/>
    <s v="CURVA"/>
    <n v="10"/>
    <s v="NÃO"/>
    <s v="NÃO"/>
    <s v="SIM"/>
    <s v="10¨-PG-143A-480-X16"/>
    <s v="START UP I"/>
    <s v="LINHA DE UNDERFLOW DAS PENEIRAS DESAGUADORAS RETRABALHO DO UNDERFLOW DA PENEIRA PN-143A-9725"/>
    <m/>
    <m/>
    <m/>
    <s v="1450AA-T-70239_FL06"/>
    <n v="1"/>
    <s v="PÇ"/>
    <n v="0.6"/>
    <n v="0.6"/>
    <n v="2238.89"/>
    <n v="1343.3339999999998"/>
    <n v="0"/>
    <n v="0.9"/>
    <n v="0.1"/>
    <m/>
    <m/>
    <m/>
    <n v="0"/>
    <m/>
    <n v="0"/>
    <n v="0.6"/>
    <m/>
    <n v="0.4"/>
    <n v="0.5"/>
    <n v="0.1"/>
    <m/>
    <m/>
    <m/>
    <n v="0"/>
    <n v="0"/>
    <n v="0"/>
    <n v="1343.3339999999998"/>
    <m/>
    <m/>
  </r>
  <r>
    <s v="2.4.3.1.3"/>
    <s v="CMS M.60.10.000"/>
    <s v="TUBULAÇÃO"/>
    <n v="2"/>
    <s v="SPOOL"/>
    <n v="10"/>
    <s v="NÃO"/>
    <s v="NÃO"/>
    <s v="SIM"/>
    <s v="10¨-PG-143A-480-X16"/>
    <s v="START UP I"/>
    <s v="LINHA DE UNDERFLOW DAS PENEIRAS DESAGUADORAS RETRABALHO DO UNDERFLOW DA PENEIRA PN-143A-9725"/>
    <m/>
    <m/>
    <m/>
    <s v="1450AA-T-70239_FL07"/>
    <n v="1"/>
    <s v="PÇ"/>
    <n v="2.2999999999999998"/>
    <n v="2.2999999999999998"/>
    <n v="2238.89"/>
    <n v="5149.4469999999992"/>
    <n v="0"/>
    <n v="0.9"/>
    <n v="0.1"/>
    <m/>
    <m/>
    <m/>
    <n v="0"/>
    <m/>
    <n v="0"/>
    <n v="2.2999999999999998"/>
    <m/>
    <n v="0.4"/>
    <n v="0.5"/>
    <n v="0.1"/>
    <m/>
    <m/>
    <m/>
    <n v="0"/>
    <n v="0"/>
    <n v="0"/>
    <n v="5149.4469999999992"/>
    <m/>
    <m/>
  </r>
  <r>
    <s v="2.4.3.1.3"/>
    <s v="CMS M.60.10.000"/>
    <s v="TUBULAÇÃO"/>
    <n v="3"/>
    <s v="SPOOL"/>
    <n v="10"/>
    <s v="SIM"/>
    <s v="NÃO"/>
    <s v="SIM"/>
    <s v="10¨-PG-143A-480-X16"/>
    <s v="START UP I"/>
    <s v="LINHA DE UNDERFLOW DAS PENEIRAS DESAGUADORAS RETRABALHO DO UNDERFLOW DA PENEIRA PN-143A-9725"/>
    <m/>
    <m/>
    <m/>
    <s v="1450AA-T-70239_FL08"/>
    <n v="1"/>
    <s v="PÇ"/>
    <n v="0.3"/>
    <n v="0.3"/>
    <n v="2238.89"/>
    <n v="671.66699999999992"/>
    <n v="0"/>
    <n v="0.9"/>
    <n v="0.1"/>
    <m/>
    <m/>
    <m/>
    <n v="0"/>
    <m/>
    <n v="0"/>
    <n v="0.3"/>
    <m/>
    <n v="0.4"/>
    <n v="0.5"/>
    <n v="0.1"/>
    <m/>
    <m/>
    <m/>
    <n v="0"/>
    <n v="0"/>
    <n v="0"/>
    <n v="671.66699999999992"/>
    <m/>
    <m/>
  </r>
  <r>
    <s v="2.4.3.1.3"/>
    <s v="CMS M.60.10.000"/>
    <s v="TUBULAÇÃO"/>
    <n v="4"/>
    <s v="SPOOL"/>
    <n v="10"/>
    <s v="SIM"/>
    <s v="NÃO"/>
    <s v="SIM"/>
    <s v="10¨-PG-143A-480-X16"/>
    <s v="START UP I"/>
    <s v="LINHA DE UNDERFLOW DAS PENEIRAS DESAGUADORAS RETRABALHO DO UNDERFLOW DA PENEIRA PN-143A-9725"/>
    <m/>
    <m/>
    <m/>
    <s v="1450AA-T-70239_FL09"/>
    <n v="1"/>
    <s v="PÇ"/>
    <n v="0.4"/>
    <n v="0.4"/>
    <n v="2238.89"/>
    <n v="895.55600000000004"/>
    <n v="0"/>
    <n v="0.9"/>
    <n v="0.1"/>
    <m/>
    <m/>
    <m/>
    <n v="0"/>
    <m/>
    <n v="0"/>
    <n v="0.4"/>
    <m/>
    <n v="0.4"/>
    <n v="0.5"/>
    <n v="0.1"/>
    <m/>
    <m/>
    <m/>
    <n v="0"/>
    <n v="0"/>
    <n v="0"/>
    <n v="895.55600000000004"/>
    <m/>
    <m/>
  </r>
  <r>
    <s v="2.4.3.1.3"/>
    <s v="CMS M.60.10.000"/>
    <s v="TUBULAÇÃO"/>
    <n v="5"/>
    <s v="SPOOL"/>
    <n v="10"/>
    <s v="SIM"/>
    <s v="NÃO"/>
    <s v="SIM"/>
    <s v="10¨-PG-143A-480-X16"/>
    <s v="START UP I"/>
    <s v="LINHA DE UNDERFLOW DAS PENEIRAS DESAGUADORAS RETRABALHO DO UNDERFLOW DA PENEIRA PN-143A-9725"/>
    <m/>
    <m/>
    <m/>
    <s v="1450AA-T-70239_FL10"/>
    <n v="1"/>
    <s v="PÇ"/>
    <n v="0.6"/>
    <n v="0.6"/>
    <n v="2238.89"/>
    <n v="1343.3339999999998"/>
    <n v="0"/>
    <n v="0.9"/>
    <n v="0.1"/>
    <m/>
    <m/>
    <m/>
    <n v="0"/>
    <m/>
    <n v="0"/>
    <n v="0.6"/>
    <m/>
    <n v="0.4"/>
    <n v="0.5"/>
    <n v="0.1"/>
    <m/>
    <m/>
    <m/>
    <n v="0"/>
    <n v="0"/>
    <n v="0"/>
    <n v="1343.3339999999998"/>
    <m/>
    <m/>
  </r>
  <r>
    <s v="2.4.3.1.3"/>
    <s v="CMS M.60.10.000"/>
    <s v="TUBULAÇÃO"/>
    <n v="1"/>
    <s v="CURVA"/>
    <n v="10"/>
    <s v="NÃO"/>
    <s v="NÃO"/>
    <s v="SIM"/>
    <s v="10¨-PG-143A-481-X16"/>
    <s v="START UP I"/>
    <s v="LINHA DE UNDERFLOW DAS PENEIRAS DESAGUADORAS RETRABALHO DO UNDERFLOW DA PENEIRA PN-143A-9726"/>
    <m/>
    <m/>
    <m/>
    <s v="1450AA-T-70241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1-X16"/>
    <s v="START UP I"/>
    <s v="LINHA DE UNDERFLOW DAS PENEIRAS DESAGUADORAS RETRABALHO DO UNDERFLOW DA PENEIRA PN-143A-9726"/>
    <m/>
    <m/>
    <m/>
    <s v="1450AA-T-70241_FL07"/>
    <n v="1"/>
    <s v="PÇ"/>
    <n v="1.45"/>
    <n v="1.45"/>
    <n v="2238.89"/>
    <n v="3246.3904999999995"/>
    <n v="0"/>
    <n v="0.9"/>
    <n v="0.1"/>
    <m/>
    <m/>
    <m/>
    <n v="0"/>
    <m/>
    <n v="0"/>
    <n v="1.45"/>
    <m/>
    <n v="0.4"/>
    <n v="0.5"/>
    <n v="0.1"/>
    <m/>
    <m/>
    <m/>
    <n v="0"/>
    <n v="0"/>
    <n v="0"/>
    <n v="3246.3904999999995"/>
    <m/>
    <m/>
  </r>
  <r>
    <s v="2.4.3.1.3"/>
    <s v="CMS M.60.10.000"/>
    <s v="TUBULAÇÃO"/>
    <n v="3"/>
    <s v="SPOOL"/>
    <n v="10"/>
    <s v="SIM"/>
    <s v="NÃO"/>
    <s v="SIM"/>
    <s v="10¨-PG-143A-481-X16"/>
    <s v="START UP I"/>
    <s v="LINHA DE UNDERFLOW DAS PENEIRAS DESAGUADORAS RETRABALHO DO UNDERFLOW DA PENEIRA PN-143A-9726"/>
    <m/>
    <m/>
    <m/>
    <s v="1450AA-T-70241_FL08"/>
    <n v="1"/>
    <s v="PÇ"/>
    <n v="0.3"/>
    <n v="0.3"/>
    <n v="2238.89"/>
    <n v="671.66699999999992"/>
    <n v="0"/>
    <n v="0.9"/>
    <n v="0.1"/>
    <m/>
    <m/>
    <m/>
    <n v="0"/>
    <m/>
    <n v="0"/>
    <n v="0.3"/>
    <m/>
    <n v="0.4"/>
    <n v="0.5"/>
    <n v="0.1"/>
    <m/>
    <m/>
    <m/>
    <n v="0"/>
    <n v="0"/>
    <n v="0"/>
    <n v="671.66699999999992"/>
    <m/>
    <m/>
  </r>
  <r>
    <s v="2.4.3.1.3"/>
    <s v="CMS M.60.10.000"/>
    <s v="TUBULAÇÃO"/>
    <n v="4"/>
    <s v="SPOOL"/>
    <n v="10"/>
    <s v="SIM"/>
    <s v="NÃO"/>
    <s v="SIM"/>
    <s v="10¨-PG-143A-481-X16"/>
    <s v="START UP I"/>
    <s v="LINHA DE UNDERFLOW DAS PENEIRAS DESAGUADORAS RETRABALHO DO UNDERFLOW DA PENEIRA PN-143A-9726"/>
    <m/>
    <m/>
    <m/>
    <s v="1450AA-T-70241_FL09"/>
    <n v="1"/>
    <s v="PÇ"/>
    <n v="0.4"/>
    <n v="0.4"/>
    <n v="2238.89"/>
    <n v="895.55600000000004"/>
    <n v="0"/>
    <n v="0.9"/>
    <n v="0.1"/>
    <m/>
    <m/>
    <m/>
    <n v="0"/>
    <m/>
    <n v="0"/>
    <n v="0.4"/>
    <m/>
    <n v="0.4"/>
    <n v="0.5"/>
    <n v="0.1"/>
    <m/>
    <m/>
    <m/>
    <n v="0"/>
    <n v="0"/>
    <n v="0"/>
    <n v="895.55600000000004"/>
    <m/>
    <m/>
  </r>
  <r>
    <s v="2.4.3.1.3"/>
    <s v="CMS M.60.10.000"/>
    <s v="TUBULAÇÃO"/>
    <n v="5"/>
    <s v="SPOOL"/>
    <n v="10"/>
    <s v="SIM"/>
    <s v="NÃO"/>
    <s v="SIM"/>
    <s v="10¨-PG-143A-481-X16"/>
    <s v="START UP I"/>
    <s v="LINHA DE UNDERFLOW DAS PENEIRAS DESAGUADORAS RETRABALHO DO UNDERFLOW DA PENEIRA PN-143A-9726"/>
    <m/>
    <m/>
    <m/>
    <s v="1450AA-T-70241_FL10"/>
    <n v="1"/>
    <s v="PÇ"/>
    <n v="1.05"/>
    <n v="1.05"/>
    <n v="2238.89"/>
    <n v="2350.8344999999999"/>
    <n v="0"/>
    <n v="0.9"/>
    <n v="0.1"/>
    <m/>
    <m/>
    <m/>
    <n v="0"/>
    <m/>
    <n v="0"/>
    <n v="1.05"/>
    <m/>
    <n v="0.4"/>
    <n v="0.5"/>
    <n v="0.1"/>
    <m/>
    <m/>
    <m/>
    <n v="0"/>
    <n v="0"/>
    <n v="0"/>
    <n v="2350.8344999999999"/>
    <m/>
    <m/>
  </r>
  <r>
    <s v="2.4.3.1.3"/>
    <s v="CMS M.60.10.000"/>
    <s v="TUBULAÇÃO"/>
    <n v="1"/>
    <s v="CURVA"/>
    <n v="10"/>
    <s v="NÃO"/>
    <s v="NÃO"/>
    <s v="SIM"/>
    <s v="10¨-PG-143A-482-X16"/>
    <s v="START UP II"/>
    <s v="LINHA DE UNDERFLOW DAS PENEIRAS DESAGUADORAS RETRABALHO DO UNDERFLOW DA PENEIRA PN-143A-9727"/>
    <m/>
    <m/>
    <m/>
    <s v="1450AA-T-70243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2-X16"/>
    <s v="START UP II"/>
    <s v="LINHA DE UNDERFLOW DAS PENEIRAS DESAGUADORAS RETRABALHO DO UNDERFLOW DA PENEIRA PN-143A-9727"/>
    <m/>
    <m/>
    <m/>
    <s v="1450AA-T-70243_FL07"/>
    <n v="1"/>
    <s v="PÇ"/>
    <n v="1.45"/>
    <n v="1.45"/>
    <n v="2238.89"/>
    <n v="3246.3904999999995"/>
    <n v="0"/>
    <n v="0.9"/>
    <n v="0.1"/>
    <m/>
    <m/>
    <m/>
    <n v="0"/>
    <m/>
    <n v="0"/>
    <n v="1.45"/>
    <m/>
    <n v="0.4"/>
    <n v="0.5"/>
    <n v="0.1"/>
    <m/>
    <m/>
    <m/>
    <n v="0"/>
    <n v="0"/>
    <n v="0"/>
    <n v="3246.3904999999995"/>
    <m/>
    <m/>
  </r>
  <r>
    <s v="2.4.3.1.3"/>
    <s v="CMS M.60.10.000"/>
    <s v="TUBULAÇÃO"/>
    <n v="3"/>
    <s v="SPOOL"/>
    <n v="10"/>
    <s v="SIM"/>
    <s v="NÃO"/>
    <s v="SIM"/>
    <s v="10¨-PG-143A-482-X16"/>
    <s v="START UP II"/>
    <s v="LINHA DE UNDERFLOW DAS PENEIRAS DESAGUADORAS RETRABALHO DO UNDERFLOW DA PENEIRA PN-143A-9727"/>
    <m/>
    <m/>
    <m/>
    <s v="1450AA-T-70243_FL08"/>
    <n v="1"/>
    <s v="PÇ"/>
    <n v="0.3"/>
    <n v="0.3"/>
    <n v="2238.89"/>
    <n v="671.66699999999992"/>
    <n v="0"/>
    <n v="0.9"/>
    <n v="0.1"/>
    <m/>
    <m/>
    <m/>
    <n v="0"/>
    <m/>
    <n v="0"/>
    <n v="0.3"/>
    <m/>
    <n v="0.4"/>
    <n v="0.5"/>
    <n v="0.1"/>
    <m/>
    <m/>
    <m/>
    <n v="0"/>
    <n v="0"/>
    <n v="0"/>
    <n v="671.66699999999992"/>
    <m/>
    <m/>
  </r>
  <r>
    <s v="2.4.3.1.3"/>
    <s v="CMS M.60.10.000"/>
    <s v="TUBULAÇÃO"/>
    <n v="4"/>
    <s v="SPOOL"/>
    <n v="10"/>
    <s v="SIM"/>
    <s v="NÃO"/>
    <s v="SIM"/>
    <s v="10¨-PG-143A-482-X16"/>
    <s v="START UP II"/>
    <s v="LINHA DE UNDERFLOW DAS PENEIRAS DESAGUADORAS RETRABALHO DO UNDERFLOW DA PENEIRA PN-143A-9727"/>
    <m/>
    <m/>
    <m/>
    <s v="1450AA-T-70243_FL09"/>
    <n v="1"/>
    <s v="PÇ"/>
    <n v="0.55000000000000004"/>
    <n v="0.55000000000000004"/>
    <n v="2238.89"/>
    <n v="1231.3895"/>
    <n v="0"/>
    <n v="0.9"/>
    <n v="0.1"/>
    <m/>
    <m/>
    <m/>
    <n v="0"/>
    <m/>
    <n v="0"/>
    <n v="0.55000000000000004"/>
    <m/>
    <n v="0.4"/>
    <n v="0.5"/>
    <n v="0.1"/>
    <m/>
    <m/>
    <m/>
    <n v="0"/>
    <n v="0"/>
    <n v="0"/>
    <n v="1231.3895"/>
    <m/>
    <m/>
  </r>
  <r>
    <s v="2.4.3.1.3"/>
    <s v="CMS M.60.10.000"/>
    <s v="TUBULAÇÃO"/>
    <n v="5"/>
    <s v="SPOOL"/>
    <n v="10"/>
    <s v="SIM"/>
    <s v="NÃO"/>
    <s v="SIM"/>
    <s v="10¨-PG-143A-482-X16"/>
    <s v="START UP II"/>
    <s v="LINHA DE UNDERFLOW DAS PENEIRAS DESAGUADORAS RETRABALHO DO UNDERFLOW DA PENEIRA PN-143A-9727"/>
    <m/>
    <m/>
    <m/>
    <s v="1450AA-T-70243_FL10"/>
    <n v="1"/>
    <s v="PÇ"/>
    <n v="1.05"/>
    <n v="1.05"/>
    <n v="2238.89"/>
    <n v="2350.8344999999999"/>
    <n v="0"/>
    <n v="0.9"/>
    <n v="0.1"/>
    <m/>
    <m/>
    <m/>
    <n v="0"/>
    <m/>
    <n v="0"/>
    <n v="1.05"/>
    <m/>
    <n v="0.4"/>
    <n v="0.5"/>
    <n v="0.1"/>
    <m/>
    <m/>
    <m/>
    <n v="0"/>
    <n v="0"/>
    <n v="0"/>
    <n v="2350.8344999999999"/>
    <m/>
    <m/>
  </r>
  <r>
    <s v="2.4.3.1.3"/>
    <s v="CMS M.60.10.000"/>
    <s v="TUBULAÇÃO"/>
    <n v="1"/>
    <s v="CURVA"/>
    <n v="10"/>
    <s v="NÃO"/>
    <s v="NÃO"/>
    <s v="SIM"/>
    <s v="10¨-PG-143A-483-X16"/>
    <s v="START UP II"/>
    <s v="LINHA DE UNDERFLOW DAS PENEIRAS DESAGUADORAS RETRABALHO DO UNDERFLOW DA PENEIRA PN-143A-9728"/>
    <m/>
    <m/>
    <m/>
    <s v="1450AA-T-70245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3-X16"/>
    <s v="START UP II"/>
    <s v="LINHA DE UNDERFLOW DAS PENEIRAS DESAGUADORAS RETRABALHO DO UNDERFLOW DA PENEIRA PN-143A-9728"/>
    <m/>
    <m/>
    <m/>
    <s v="1450AA-T-70245_FL07"/>
    <n v="1"/>
    <s v="PÇ"/>
    <n v="1.55"/>
    <n v="1.55"/>
    <n v="2238.89"/>
    <n v="3470.2795000000001"/>
    <n v="0"/>
    <n v="0.9"/>
    <n v="0.1"/>
    <m/>
    <m/>
    <m/>
    <n v="0"/>
    <m/>
    <n v="0"/>
    <n v="1.55"/>
    <m/>
    <n v="0.4"/>
    <n v="0.5"/>
    <n v="0.1"/>
    <m/>
    <m/>
    <m/>
    <n v="0"/>
    <n v="0"/>
    <n v="0"/>
    <n v="3470.2795000000001"/>
    <m/>
    <m/>
  </r>
  <r>
    <s v="2.4.3.1.3"/>
    <s v="CMS M.60.10.000"/>
    <s v="TUBULAÇÃO"/>
    <n v="3"/>
    <s v="SPOOL"/>
    <n v="10"/>
    <s v="SIM"/>
    <s v="NÃO"/>
    <s v="SIM"/>
    <s v="10¨-PG-143A-483-X16"/>
    <s v="START UP II"/>
    <s v="LINHA DE UNDERFLOW DAS PENEIRAS DESAGUADORAS RETRABALHO DO UNDERFLOW DA PENEIRA PN-143A-9728"/>
    <m/>
    <m/>
    <m/>
    <s v="1450AA-T-70245_FL08"/>
    <n v="3"/>
    <s v="PÇ"/>
    <n v="0.6"/>
    <n v="1.7999999999999998"/>
    <n v="2238.89"/>
    <n v="4030.0019999999995"/>
    <n v="0"/>
    <n v="0.9"/>
    <n v="0.1"/>
    <m/>
    <m/>
    <m/>
    <n v="0"/>
    <m/>
    <n v="0"/>
    <n v="1.7999999999999998"/>
    <m/>
    <n v="0.4"/>
    <n v="0.5"/>
    <n v="0.1"/>
    <m/>
    <m/>
    <m/>
    <n v="0"/>
    <n v="0"/>
    <n v="0"/>
    <n v="4030.0019999999995"/>
    <m/>
    <m/>
  </r>
  <r>
    <s v="2.4.3.1.3"/>
    <s v="CMS M.60.10.000"/>
    <s v="TUBULAÇÃO"/>
    <n v="1"/>
    <s v="CURVA"/>
    <n v="10"/>
    <s v="NÃO"/>
    <s v="NÃO"/>
    <s v="SIM"/>
    <s v="10¨-PG-143A-484-X16"/>
    <s v="START UP II"/>
    <s v="LINHA DE UNDERFLOW DAS PENEIRAS DESAGUADORAS RETRABALHO DO UNDERFLOW DA PENEIRA PN-143A-9729"/>
    <m/>
    <m/>
    <m/>
    <s v="1450AA-T-70247_FL06"/>
    <n v="1"/>
    <s v="PÇ"/>
    <n v="0.67300000000000004"/>
    <n v="0.67300000000000004"/>
    <n v="2238.89"/>
    <n v="1506.77297"/>
    <n v="0"/>
    <n v="0.9"/>
    <n v="0.1"/>
    <m/>
    <m/>
    <m/>
    <n v="0"/>
    <m/>
    <n v="0"/>
    <n v="0.67300000000000004"/>
    <m/>
    <n v="0.4"/>
    <n v="0.5"/>
    <n v="0.1"/>
    <m/>
    <m/>
    <m/>
    <n v="0"/>
    <n v="0"/>
    <n v="0"/>
    <n v="1506.77297"/>
    <m/>
    <m/>
  </r>
  <r>
    <s v="2.4.3.1.3"/>
    <s v="CMS M.60.10.000"/>
    <s v="TUBULAÇÃO"/>
    <n v="2"/>
    <s v="SPOOL"/>
    <n v="10"/>
    <s v="NÃO"/>
    <s v="NÃO"/>
    <s v="SIM"/>
    <s v="10¨-PG-143A-484-X16"/>
    <s v="START UP II"/>
    <s v="LINHA DE UNDERFLOW DAS PENEIRAS DESAGUADORAS RETRABALHO DO UNDERFLOW DA PENEIRA PN-143A-9729"/>
    <m/>
    <m/>
    <m/>
    <s v="1450AA-T-70247_FL07"/>
    <n v="1"/>
    <s v="PÇ"/>
    <n v="2"/>
    <n v="2"/>
    <n v="2238.89"/>
    <n v="4477.78"/>
    <n v="0"/>
    <n v="0.9"/>
    <n v="0.1"/>
    <m/>
    <m/>
    <m/>
    <n v="0"/>
    <m/>
    <n v="0"/>
    <n v="2"/>
    <m/>
    <n v="0.4"/>
    <n v="0.5"/>
    <n v="0.1"/>
    <m/>
    <m/>
    <m/>
    <n v="0"/>
    <n v="0"/>
    <n v="0"/>
    <n v="4477.78"/>
    <m/>
    <m/>
  </r>
  <r>
    <s v="2.4.3.1.3"/>
    <s v="CMS M.60.10.000"/>
    <s v="TUBULAÇÃO"/>
    <n v="3"/>
    <s v="SPOOL"/>
    <n v="10"/>
    <s v="SIM"/>
    <s v="NÃO"/>
    <s v="SIM"/>
    <s v="10¨-PG-143A-484-X16"/>
    <s v="START UP II"/>
    <s v="LINHA DE UNDERFLOW DAS PENEIRAS DESAGUADORAS RETRABALHO DO UNDERFLOW DA PENEIRA PN-143A-9729"/>
    <m/>
    <m/>
    <m/>
    <s v="1450AA-T-70247_FL08"/>
    <n v="1"/>
    <s v="PÇ"/>
    <n v="0.25"/>
    <n v="0.25"/>
    <n v="2238.89"/>
    <n v="559.72249999999997"/>
    <n v="0"/>
    <n v="0.9"/>
    <n v="0.1"/>
    <m/>
    <m/>
    <m/>
    <n v="0"/>
    <m/>
    <n v="0"/>
    <n v="0.25"/>
    <m/>
    <n v="0.4"/>
    <n v="0.5"/>
    <n v="0.1"/>
    <m/>
    <m/>
    <m/>
    <n v="0"/>
    <n v="0"/>
    <n v="0"/>
    <n v="559.72249999999997"/>
    <m/>
    <m/>
  </r>
  <r>
    <s v="2.4.3.1.3"/>
    <s v="CMS M.60.10.000"/>
    <s v="TUBULAÇÃO"/>
    <n v="4"/>
    <s v="SPOOL"/>
    <n v="10"/>
    <s v="SIM"/>
    <s v="NÃO"/>
    <s v="SIM"/>
    <s v="10¨-PG-143A-484-X16"/>
    <s v="START UP II"/>
    <s v="LINHA DE UNDERFLOW DAS PENEIRAS DESAGUADORAS RETRABALHO DO UNDERFLOW DA PENEIRA PN-143A-9729"/>
    <m/>
    <m/>
    <m/>
    <s v="1450AA-T-70247_FL09"/>
    <n v="1"/>
    <s v="PÇ"/>
    <n v="0.35"/>
    <n v="0.35"/>
    <n v="2238.89"/>
    <n v="783.61149999999986"/>
    <n v="0"/>
    <n v="0.9"/>
    <n v="0.1"/>
    <m/>
    <m/>
    <m/>
    <n v="0"/>
    <m/>
    <n v="0"/>
    <n v="0.35"/>
    <m/>
    <n v="0.4"/>
    <n v="0.5"/>
    <n v="0.1"/>
    <m/>
    <m/>
    <m/>
    <n v="0"/>
    <n v="0"/>
    <n v="0"/>
    <n v="783.61149999999986"/>
    <m/>
    <m/>
  </r>
  <r>
    <s v="2.4.3.1.3"/>
    <s v="CMS M.60.10.000"/>
    <s v="TUBULAÇÃO"/>
    <n v="5"/>
    <s v="SPOOL"/>
    <n v="10"/>
    <s v="SIM"/>
    <s v="NÃO"/>
    <s v="SIM"/>
    <s v="10¨-PG-143A-484-X16"/>
    <s v="START UP II"/>
    <s v="LINHA DE UNDERFLOW DAS PENEIRAS DESAGUADORAS RETRABALHO DO UNDERFLOW DA PENEIRA PN-143A-9729"/>
    <m/>
    <m/>
    <m/>
    <s v="1450AA-T-70247_FL10"/>
    <n v="1"/>
    <s v="PÇ"/>
    <n v="0.6"/>
    <n v="0.6"/>
    <n v="2238.89"/>
    <n v="1343.3339999999998"/>
    <n v="0"/>
    <n v="0.9"/>
    <n v="0.1"/>
    <m/>
    <m/>
    <m/>
    <n v="0"/>
    <m/>
    <n v="0"/>
    <n v="0.6"/>
    <m/>
    <n v="0.4"/>
    <n v="0.5"/>
    <n v="0.1"/>
    <m/>
    <m/>
    <m/>
    <n v="0"/>
    <n v="0"/>
    <n v="0"/>
    <n v="1343.3339999999998"/>
    <m/>
    <m/>
  </r>
  <r>
    <s v="2.4.3.1.3"/>
    <s v="CMS M.60.10.000"/>
    <s v="TUBULAÇÃO"/>
    <n v="1"/>
    <s v="SPOOL"/>
    <n v="10"/>
    <s v="NÃO"/>
    <s v="SIM"/>
    <s v="NÃO"/>
    <s v="145A-PG-22¨-L1H-928"/>
    <s v="START UP I"/>
    <s v="LINHA DO CIRCUITO ARENOSO LINHA DE UNDERFLOW DAS PENEIRAS DESAGUADORAS"/>
    <m/>
    <m/>
    <m/>
    <s v="1450AA-T-70251_FL22"/>
    <n v="6"/>
    <s v="PÇ"/>
    <n v="0.5"/>
    <n v="3"/>
    <n v="2238.89"/>
    <n v="6716.67"/>
    <n v="0"/>
    <n v="0.9"/>
    <n v="0.1"/>
    <m/>
    <m/>
    <m/>
    <n v="0"/>
    <m/>
    <n v="0"/>
    <n v="3"/>
    <m/>
    <n v="0.4"/>
    <n v="0.5"/>
    <n v="0.1"/>
    <m/>
    <m/>
    <m/>
    <n v="0"/>
    <n v="0"/>
    <n v="0"/>
    <n v="6716.67"/>
    <m/>
    <m/>
  </r>
  <r>
    <s v="2.4.3.1.3"/>
    <s v="CMS M.60.10.000"/>
    <s v="TUBULAÇÃO"/>
    <n v="2"/>
    <s v="SPOOL"/>
    <n v="10"/>
    <s v="NÃO"/>
    <s v="NÃO"/>
    <s v="NÃO"/>
    <s v="145A-PG-22¨-L1H-928"/>
    <s v="START UP I"/>
    <s v="LINHA DO CIRCUITO ARENOSO LINHA DE UNDERFLOW DAS PENEIRAS DESAGUADORAS"/>
    <m/>
    <m/>
    <m/>
    <s v="1450AA-T-70251_FL41"/>
    <n v="1"/>
    <s v="PÇ"/>
    <n v="2.5"/>
    <n v="2.5"/>
    <n v="2238.89"/>
    <n v="5597.2249999999995"/>
    <n v="0"/>
    <n v="0.9"/>
    <n v="0.1"/>
    <m/>
    <m/>
    <m/>
    <n v="0"/>
    <m/>
    <n v="0"/>
    <n v="2.5"/>
    <m/>
    <n v="0.4"/>
    <n v="0.5"/>
    <n v="0.1"/>
    <m/>
    <m/>
    <m/>
    <n v="0"/>
    <n v="0"/>
    <n v="0"/>
    <n v="5597.2249999999995"/>
    <m/>
    <m/>
  </r>
  <r>
    <s v="2.4.3.1.3"/>
    <s v="CMS M.60.10.000"/>
    <s v="TUBULAÇÃO"/>
    <n v="3"/>
    <s v="DERIVAÇÃO "/>
    <n v="10"/>
    <s v="NÃO"/>
    <s v="NÃO"/>
    <s v="NÃO"/>
    <s v="145A-PG-22¨-L1H-928"/>
    <s v="START UP I"/>
    <s v="LINHA DO CIRCUITO ARENOSO LINHA DE UNDERFLOW DAS PENEIRAS DESAGUADORAS"/>
    <m/>
    <m/>
    <m/>
    <s v="1450AA-T-70251_FL26"/>
    <n v="1"/>
    <s v="PÇ"/>
    <n v="1.7"/>
    <n v="1.7"/>
    <n v="2238.89"/>
    <n v="3806.1129999999998"/>
    <n v="0"/>
    <n v="0.9"/>
    <n v="0.1"/>
    <m/>
    <m/>
    <m/>
    <n v="0"/>
    <m/>
    <n v="0"/>
    <n v="1.7"/>
    <m/>
    <n v="0.4"/>
    <n v="0.5"/>
    <n v="0.1"/>
    <m/>
    <m/>
    <m/>
    <n v="0"/>
    <n v="0"/>
    <n v="0"/>
    <n v="3806.1129999999998"/>
    <m/>
    <m/>
  </r>
  <r>
    <s v="2.4.3.1.3"/>
    <s v="CMS M.60.10.000"/>
    <s v="TUBULAÇÃO"/>
    <n v="4"/>
    <s v="SPOOL"/>
    <n v="10"/>
    <s v="SIM"/>
    <s v="NÃO"/>
    <s v="NÃO"/>
    <s v="145A-PG-22¨-L1H-928"/>
    <s v="START UP I"/>
    <s v="LINHA DO CIRCUITO ARENOSO LINHA DE UNDERFLOW DAS PENEIRAS DESAGUADORAS"/>
    <m/>
    <m/>
    <m/>
    <s v="1450AA-T-70251_FL52"/>
    <n v="2"/>
    <s v="PÇ"/>
    <n v="0.5"/>
    <n v="1"/>
    <n v="2238.89"/>
    <n v="2238.89"/>
    <n v="0"/>
    <n v="0.9"/>
    <n v="0.1"/>
    <m/>
    <m/>
    <m/>
    <n v="0"/>
    <m/>
    <n v="0"/>
    <n v="1"/>
    <m/>
    <n v="0.4"/>
    <n v="0.5"/>
    <n v="0.1"/>
    <m/>
    <m/>
    <m/>
    <n v="0"/>
    <n v="0"/>
    <n v="0"/>
    <n v="2238.89"/>
    <m/>
    <m/>
  </r>
  <r>
    <s v="2.4.3.1.3"/>
    <s v="CMS M.60.10.000"/>
    <s v="TUBULAÇÃO"/>
    <n v="5"/>
    <s v="REDUÇÃO"/>
    <s v="14 X 10"/>
    <s v="NÃO"/>
    <s v="NÃO"/>
    <s v="NÃO"/>
    <s v="145A-PG-22¨-L1H-928"/>
    <s v="START UP I"/>
    <s v="LINHA DO CIRCUITO ARENOSO LINHA DE UNDERFLOW DAS PENEIRAS DESAGUADORAS"/>
    <m/>
    <m/>
    <m/>
    <s v="1450AA-T-70251_FL23"/>
    <n v="1"/>
    <s v="PÇ"/>
    <n v="0.63"/>
    <n v="0.63"/>
    <n v="2238.89"/>
    <n v="1410.5006999999998"/>
    <n v="0"/>
    <n v="0.9"/>
    <n v="0.1"/>
    <m/>
    <m/>
    <m/>
    <n v="0"/>
    <m/>
    <n v="0"/>
    <n v="0.63"/>
    <m/>
    <n v="0.4"/>
    <n v="0.5"/>
    <n v="0.1"/>
    <m/>
    <m/>
    <m/>
    <n v="0"/>
    <n v="0"/>
    <n v="0"/>
    <n v="1410.5006999999998"/>
    <m/>
    <m/>
  </r>
  <r>
    <s v="2.4.3.1.3"/>
    <s v="CMS M.60.10.000"/>
    <s v="TUBULAÇÃO"/>
    <n v="6"/>
    <s v="DERIVAÇÃO "/>
    <s v="14 X 10"/>
    <s v="NÃO"/>
    <s v="NÃO"/>
    <s v="NÃO"/>
    <s v="145A-PG-22¨-L1H-928"/>
    <s v="START UP I"/>
    <s v="LINHA DO CIRCUITO ARENOSO LINHA DE UNDERFLOW DAS PENEIRAS DESAGUADORAS"/>
    <m/>
    <m/>
    <m/>
    <s v="1450AA-T-70251_FL27"/>
    <n v="4"/>
    <s v="PÇ"/>
    <n v="1.9"/>
    <n v="7.6"/>
    <n v="2238.89"/>
    <n v="17015.563999999998"/>
    <n v="0"/>
    <n v="0.9"/>
    <n v="0.1"/>
    <m/>
    <m/>
    <m/>
    <n v="0"/>
    <m/>
    <n v="0"/>
    <n v="7.6"/>
    <m/>
    <n v="0.4"/>
    <n v="0.5"/>
    <n v="0.1"/>
    <m/>
    <m/>
    <m/>
    <n v="0"/>
    <n v="0"/>
    <n v="0"/>
    <n v="17015.563999999998"/>
    <m/>
    <m/>
  </r>
  <r>
    <s v="2.4.3.1.5"/>
    <s v="CMS M.60.10.000"/>
    <s v="TUBULAÇÃO"/>
    <n v="7"/>
    <s v="SPOOL"/>
    <n v="14"/>
    <s v="SIM"/>
    <s v="NÃO"/>
    <s v="NÃO"/>
    <s v="145A-PG-22¨-L1H-928"/>
    <s v="START UP I"/>
    <s v="LINHA DO CIRCUITO ARENOSO LINHA DE UNDERFLOW DAS PENEIRAS DESAGUADORAS"/>
    <m/>
    <m/>
    <m/>
    <s v="1450AA-T-70251_FL55"/>
    <n v="4"/>
    <s v="PÇ"/>
    <n v="0.4"/>
    <n v="1.6"/>
    <n v="2725.4"/>
    <n v="4360.6400000000003"/>
    <n v="0"/>
    <n v="0.9"/>
    <n v="0.1"/>
    <m/>
    <m/>
    <m/>
    <n v="0"/>
    <m/>
    <n v="0"/>
    <n v="1.6"/>
    <m/>
    <n v="0.4"/>
    <n v="0.5"/>
    <n v="0.1"/>
    <m/>
    <m/>
    <m/>
    <n v="0"/>
    <n v="0"/>
    <n v="0"/>
    <n v="4360.6400000000003"/>
    <m/>
    <m/>
  </r>
  <r>
    <s v="2.4.3.1.3"/>
    <s v="CMS M.60.10.000"/>
    <s v="TUBULAÇÃO"/>
    <n v="8"/>
    <s v="DERIVAÇÃO "/>
    <s v="14 X 10"/>
    <s v="NÃO"/>
    <s v="NÃO"/>
    <s v="NÃO"/>
    <s v="145A-PG-22¨-L1H-928"/>
    <s v="START UP I"/>
    <s v="LINHA DO CIRCUITO ARENOSO LINHA DE UNDERFLOW DAS PENEIRAS DESAGUADORAS"/>
    <m/>
    <m/>
    <m/>
    <s v="1450AA-T-70251_FL29"/>
    <n v="3"/>
    <s v="PÇ"/>
    <n v="1.9"/>
    <n v="5.6999999999999993"/>
    <n v="2238.89"/>
    <n v="12761.672999999997"/>
    <n v="0"/>
    <n v="0.9"/>
    <n v="0.1"/>
    <m/>
    <m/>
    <m/>
    <n v="0"/>
    <m/>
    <n v="0"/>
    <n v="5.6999999999999993"/>
    <m/>
    <n v="0.4"/>
    <n v="0.5"/>
    <n v="0.1"/>
    <m/>
    <m/>
    <m/>
    <n v="0"/>
    <n v="0"/>
    <n v="0"/>
    <n v="12761.672999999997"/>
    <m/>
    <m/>
  </r>
  <r>
    <s v="2.4.3.1.5"/>
    <s v="CMS M.60.10.000"/>
    <s v="TUBULAÇÃO"/>
    <n v="9"/>
    <s v="SPOOL"/>
    <n v="14"/>
    <s v="NÃO"/>
    <s v="NÃO"/>
    <s v="NÃO"/>
    <s v="145A-PG-22¨-L1H-928"/>
    <s v="START UP I"/>
    <s v="LINHA DO CIRCUITO ARENOSO LINHA DE UNDERFLOW DAS PENEIRAS DESAGUADORAS"/>
    <m/>
    <m/>
    <m/>
    <s v="1450AA-T-70251_FL42"/>
    <n v="2"/>
    <s v="PÇ"/>
    <n v="1.8"/>
    <n v="3.6"/>
    <n v="2725.4"/>
    <n v="9811.44"/>
    <n v="0"/>
    <n v="0.9"/>
    <n v="0.1"/>
    <m/>
    <m/>
    <m/>
    <n v="0"/>
    <m/>
    <n v="0"/>
    <n v="3.6"/>
    <m/>
    <n v="0.4"/>
    <n v="0.5"/>
    <n v="0.1"/>
    <m/>
    <m/>
    <m/>
    <n v="0"/>
    <n v="0"/>
    <n v="0"/>
    <n v="9811.44"/>
    <m/>
    <m/>
  </r>
  <r>
    <s v="2.4.3.1.7"/>
    <s v="CMS M.60.10.000"/>
    <s v="TUBULAÇÃO"/>
    <n v="10"/>
    <s v="SPOOL"/>
    <n v="20"/>
    <s v="SIM"/>
    <s v="NÃO"/>
    <s v="NÃO"/>
    <s v="145A-PG-22¨-L1H-928"/>
    <s v="START UP I"/>
    <s v="LINHA DO CIRCUITO ARENOSO LINHA DE UNDERFLOW DAS PENEIRAS DESAGUADORAS"/>
    <m/>
    <m/>
    <m/>
    <s v="1450AA-T-70251_FL62"/>
    <n v="2"/>
    <s v="PÇ"/>
    <n v="0.8"/>
    <n v="1.6"/>
    <n v="3789.72"/>
    <n v="6063.5519999999997"/>
    <n v="0"/>
    <n v="0.9"/>
    <n v="0.1"/>
    <m/>
    <m/>
    <m/>
    <n v="0"/>
    <m/>
    <n v="0"/>
    <n v="1.6"/>
    <m/>
    <n v="0.4"/>
    <n v="0.5"/>
    <n v="0.1"/>
    <m/>
    <m/>
    <m/>
    <n v="0"/>
    <n v="0"/>
    <n v="0"/>
    <n v="6063.5519999999997"/>
    <m/>
    <m/>
  </r>
  <r>
    <s v="2.4.3.1.5"/>
    <s v="CMS M.60.10.000"/>
    <s v="TUBULAÇÃO"/>
    <n v="11"/>
    <s v="SPOOL"/>
    <n v="14"/>
    <s v="NÃO"/>
    <s v="NÃO"/>
    <s v="NÃO"/>
    <s v="145A-PG-22¨-L1H-928"/>
    <s v="START UP I"/>
    <s v="LINHA DO CIRCUITO ARENOSO LINHA DE UNDERFLOW DAS PENEIRAS DESAGUADORAS"/>
    <m/>
    <m/>
    <m/>
    <s v="1450AA-T-70251_FL43"/>
    <n v="1"/>
    <s v="PÇ"/>
    <n v="2"/>
    <n v="2"/>
    <n v="2725.4"/>
    <n v="5450.8"/>
    <n v="0"/>
    <n v="0.9"/>
    <n v="0.1"/>
    <m/>
    <m/>
    <m/>
    <n v="0"/>
    <m/>
    <n v="0"/>
    <n v="2"/>
    <m/>
    <n v="0.4"/>
    <n v="0.5"/>
    <n v="0.1"/>
    <m/>
    <m/>
    <m/>
    <n v="0"/>
    <n v="0"/>
    <n v="0"/>
    <n v="5450.8"/>
    <m/>
    <m/>
  </r>
  <r>
    <s v="2.4.3.1.5"/>
    <s v="CMS M.60.10.000"/>
    <s v="TUBULAÇÃO"/>
    <n v="12"/>
    <s v="SPOOL"/>
    <n v="14"/>
    <s v="SIM"/>
    <s v="NÃO"/>
    <s v="NÃO"/>
    <s v="145A-PG-22¨-L1H-928"/>
    <s v="START UP I"/>
    <s v="LINHA DO CIRCUITO ARENOSO LINHA DE UNDERFLOW DAS PENEIRAS DESAGUADORAS"/>
    <m/>
    <m/>
    <m/>
    <s v="1450AA-T-70251_FL56"/>
    <n v="1"/>
    <s v="PÇ"/>
    <n v="0.5"/>
    <n v="0.5"/>
    <n v="2725.4"/>
    <n v="1362.7"/>
    <n v="0"/>
    <n v="0.9"/>
    <n v="0.1"/>
    <m/>
    <m/>
    <m/>
    <n v="0"/>
    <m/>
    <n v="0"/>
    <n v="0.5"/>
    <m/>
    <n v="0.4"/>
    <n v="0.5"/>
    <n v="0.1"/>
    <m/>
    <m/>
    <m/>
    <n v="0"/>
    <n v="0"/>
    <n v="0"/>
    <n v="1362.7"/>
    <m/>
    <m/>
  </r>
  <r>
    <s v="2.4.3.1.3"/>
    <s v="CMS M.60.10.000"/>
    <s v="TUBULAÇÃO"/>
    <n v="13"/>
    <s v="SPOOL"/>
    <n v="10"/>
    <s v="SIM"/>
    <s v="NÃO"/>
    <s v="NÃO"/>
    <s v="145A-PG-22¨-L1H-928"/>
    <s v="START UP I"/>
    <s v="LINHA DO CIRCUITO ARENOSO LINHA DE UNDERFLOW DAS PENEIRAS DESAGUADORAS"/>
    <m/>
    <m/>
    <m/>
    <s v="1450AA-T-70251_FL51"/>
    <n v="2"/>
    <s v="PÇ"/>
    <n v="0.4"/>
    <n v="0.8"/>
    <n v="2238.89"/>
    <n v="1791.1120000000001"/>
    <n v="0"/>
    <n v="0.9"/>
    <n v="0.1"/>
    <m/>
    <m/>
    <m/>
    <n v="0"/>
    <m/>
    <n v="0"/>
    <n v="0.8"/>
    <m/>
    <n v="0.4"/>
    <n v="0.5"/>
    <n v="0.1"/>
    <m/>
    <m/>
    <m/>
    <n v="0"/>
    <n v="0"/>
    <n v="0"/>
    <n v="1791.1120000000001"/>
    <m/>
    <m/>
  </r>
  <r>
    <s v="2.4.3.1.3"/>
    <s v="CMS M.60.10.000"/>
    <s v="TUBULAÇÃO"/>
    <n v="14"/>
    <s v="DERIVAÇÃO "/>
    <s v="14 X 10"/>
    <s v="NÃO"/>
    <s v="NÃO"/>
    <s v="NÃO"/>
    <s v="145A-PG-22¨-L1H-928"/>
    <s v="START UP I"/>
    <s v="LINHA DO CIRCUITO ARENOSO LINHA DE UNDERFLOW DAS PENEIRAS DESAGUADORAS"/>
    <m/>
    <m/>
    <m/>
    <s v="1450AA-T-70251_FL28"/>
    <n v="1"/>
    <s v="PÇ"/>
    <n v="1.9"/>
    <n v="1.9"/>
    <n v="2238.89"/>
    <n v="4253.8909999999996"/>
    <n v="0"/>
    <n v="0.9"/>
    <n v="0.1"/>
    <m/>
    <m/>
    <m/>
    <n v="0"/>
    <m/>
    <n v="0"/>
    <n v="1.9"/>
    <m/>
    <n v="0.4"/>
    <n v="0.5"/>
    <n v="0.1"/>
    <m/>
    <m/>
    <m/>
    <n v="0"/>
    <n v="0"/>
    <n v="0"/>
    <n v="4253.8909999999996"/>
    <m/>
    <m/>
  </r>
  <r>
    <s v="2.4.3.1.5"/>
    <s v="CMS M.60.10.000"/>
    <s v="TUBULAÇÃO"/>
    <n v="15"/>
    <s v="REDUÇÃO"/>
    <s v="20 X 14"/>
    <s v="NÃO"/>
    <s v="NÃO"/>
    <s v="NÃO"/>
    <s v="145A-PG-22¨-L1H-928"/>
    <s v="START UP I"/>
    <s v="LINHA DO CIRCUITO ARENOSO LINHA DE UNDERFLOW DAS PENEIRAS DESAGUADORAS"/>
    <m/>
    <m/>
    <m/>
    <s v="1450AA-T-70251_FL24"/>
    <n v="1"/>
    <s v="PÇ"/>
    <n v="0.81"/>
    <n v="0.81"/>
    <n v="2725.4"/>
    <n v="2207.5740000000001"/>
    <n v="0"/>
    <n v="0.9"/>
    <n v="0.1"/>
    <m/>
    <m/>
    <m/>
    <n v="0"/>
    <m/>
    <n v="0"/>
    <n v="0.81"/>
    <m/>
    <n v="0.4"/>
    <n v="0.5"/>
    <n v="0.1"/>
    <m/>
    <m/>
    <m/>
    <n v="0"/>
    <n v="0"/>
    <n v="0"/>
    <n v="2207.5740000000001"/>
    <m/>
    <m/>
  </r>
  <r>
    <s v="2.4.3.1.7"/>
    <s v="CMS M.60.10.000"/>
    <s v="TUBULAÇÃO"/>
    <n v="16"/>
    <s v="SPOOL"/>
    <n v="20"/>
    <s v="SIM"/>
    <s v="NÃO"/>
    <s v="NÃO"/>
    <s v="145A-PG-22¨-L1H-928"/>
    <s v="START UP I"/>
    <s v="LINHA DO CIRCUITO ARENOSO LINHA DE UNDERFLOW DAS PENEIRAS DESAGUADORAS"/>
    <m/>
    <m/>
    <m/>
    <s v="1450AA-T-70251_FL60"/>
    <n v="2"/>
    <s v="PÇ"/>
    <n v="0.5"/>
    <n v="1"/>
    <n v="3789.72"/>
    <n v="3789.72"/>
    <n v="0"/>
    <n v="0.9"/>
    <n v="0.1"/>
    <m/>
    <m/>
    <m/>
    <n v="0"/>
    <m/>
    <n v="0"/>
    <n v="1"/>
    <m/>
    <n v="0.4"/>
    <n v="0.5"/>
    <n v="0.1"/>
    <m/>
    <m/>
    <m/>
    <n v="0"/>
    <n v="0"/>
    <n v="0"/>
    <n v="3789.72"/>
    <m/>
    <m/>
  </r>
  <r>
    <s v="2.4.3.1.7"/>
    <s v="CMS M.60.10.000"/>
    <s v="TUBULAÇÃO"/>
    <n v="17"/>
    <s v="SPOOL"/>
    <n v="20"/>
    <s v="NÃO"/>
    <s v="NÃO"/>
    <s v="NÃO"/>
    <s v="145A-PG-22¨-L1H-928"/>
    <s v="START UP I"/>
    <s v="LINHA DO CIRCUITO ARENOSO LINHA DE UNDERFLOW DAS PENEIRAS DESAGUADORAS"/>
    <m/>
    <m/>
    <m/>
    <s v="1450AA-T-70251_FL44"/>
    <n v="3"/>
    <s v="PÇ"/>
    <n v="2"/>
    <n v="6"/>
    <n v="3789.72"/>
    <n v="22738.32"/>
    <n v="0"/>
    <n v="0.9"/>
    <n v="0.1"/>
    <m/>
    <m/>
    <m/>
    <n v="0"/>
    <m/>
    <n v="0"/>
    <n v="6"/>
    <m/>
    <n v="0.4"/>
    <n v="0.5"/>
    <n v="0.1"/>
    <m/>
    <m/>
    <m/>
    <n v="0"/>
    <n v="0"/>
    <n v="0"/>
    <n v="22738.32"/>
    <m/>
    <m/>
  </r>
  <r>
    <s v="2.4.3.1.3"/>
    <s v="CMS M.60.10.000"/>
    <s v="TUBULAÇÃO"/>
    <n v="18"/>
    <s v="DERIVAÇÃO "/>
    <s v="20 X 10"/>
    <s v="NÃO"/>
    <s v="NÃO"/>
    <s v="NÃO"/>
    <s v="145A-PG-22¨-L1H-928"/>
    <s v="START UP I"/>
    <s v="LINHA DO CIRCUITO ARENOSO LINHA DE UNDERFLOW DAS PENEIRAS DESAGUADORAS"/>
    <m/>
    <m/>
    <m/>
    <s v="1450AA-T-70251_FL31"/>
    <n v="2"/>
    <s v="PÇ"/>
    <n v="1.121"/>
    <n v="2.242"/>
    <n v="2238.89"/>
    <n v="5019.5913799999998"/>
    <n v="0"/>
    <n v="0.9"/>
    <n v="0.1"/>
    <m/>
    <m/>
    <m/>
    <n v="0"/>
    <m/>
    <n v="0"/>
    <n v="2.242"/>
    <m/>
    <n v="0.4"/>
    <n v="0.5"/>
    <n v="0.1"/>
    <m/>
    <m/>
    <m/>
    <n v="0"/>
    <n v="0"/>
    <n v="0"/>
    <n v="5019.5913799999998"/>
    <m/>
    <m/>
  </r>
  <r>
    <s v="2.4.3.1.7"/>
    <s v="CMS M.60.10.000"/>
    <s v="TUBULAÇÃO"/>
    <n v="19"/>
    <s v="SPOOL"/>
    <n v="20"/>
    <s v="SIM"/>
    <s v="NÃO"/>
    <s v="NÃO"/>
    <s v="145A-PG-22¨-L1H-928"/>
    <s v="START UP I"/>
    <s v="LINHA DO CIRCUITO ARENOSO LINHA DE UNDERFLOW DAS PENEIRAS DESAGUADORAS"/>
    <m/>
    <m/>
    <m/>
    <s v="1450AA-T-70251_FL59"/>
    <n v="2"/>
    <s v="PÇ"/>
    <n v="0.4"/>
    <n v="0.8"/>
    <n v="3789.72"/>
    <n v="3031.7759999999998"/>
    <n v="0"/>
    <n v="0.9"/>
    <n v="0.1"/>
    <m/>
    <m/>
    <m/>
    <n v="0"/>
    <m/>
    <n v="0"/>
    <n v="0.8"/>
    <m/>
    <n v="0.4"/>
    <n v="0.5"/>
    <n v="0.1"/>
    <m/>
    <m/>
    <m/>
    <n v="0"/>
    <n v="0"/>
    <n v="0"/>
    <n v="3031.7759999999998"/>
    <m/>
    <m/>
  </r>
  <r>
    <s v="2.4.3.1.3"/>
    <s v="CMS M.60.10.000"/>
    <s v="TUBULAÇÃO"/>
    <n v="20"/>
    <s v="DERIVAÇÃO "/>
    <s v="20 X 10"/>
    <s v="NÃO"/>
    <s v="NÃO"/>
    <s v="NÃO"/>
    <s v="145A-PG-22¨-L1H-928"/>
    <s v="START UP I"/>
    <s v="LINHA DO CIRCUITO ARENOSO LINHA DE UNDERFLOW DAS PENEIRAS DESAGUADORAS"/>
    <m/>
    <m/>
    <m/>
    <s v="1450AA-T-70251_FL30"/>
    <n v="2"/>
    <s v="PÇ"/>
    <n v="1.7"/>
    <n v="3.4"/>
    <n v="2238.89"/>
    <n v="7612.2259999999997"/>
    <n v="0"/>
    <n v="0.9"/>
    <n v="0.1"/>
    <m/>
    <m/>
    <m/>
    <n v="0"/>
    <m/>
    <n v="0"/>
    <n v="3.4"/>
    <m/>
    <n v="0.4"/>
    <n v="0.5"/>
    <n v="0.1"/>
    <m/>
    <m/>
    <m/>
    <n v="0"/>
    <n v="0"/>
    <n v="0"/>
    <n v="7612.2259999999997"/>
    <m/>
    <m/>
  </r>
  <r>
    <s v="2.4.3.1.3"/>
    <s v="CMS M.60.10.000"/>
    <s v="TUBULAÇÃO"/>
    <n v="1"/>
    <s v="DERIVAÇÃO "/>
    <s v="20 X 10"/>
    <s v="NÃO"/>
    <s v="NÃO"/>
    <s v="NÃO"/>
    <s v="145A-PG-22¨-L1H-928"/>
    <s v="START UP I"/>
    <s v="LINHA DO CIRCUITO ARENOSO LINHA DE UNDERFLOW DAS PENEIRAS DESAGUADORAS"/>
    <m/>
    <m/>
    <m/>
    <s v="1450AA-T-70251_FL31"/>
    <n v="3"/>
    <s v="PÇ"/>
    <n v="1.121"/>
    <n v="3.363"/>
    <n v="2238.89"/>
    <n v="7529.3870699999998"/>
    <n v="0"/>
    <n v="0.9"/>
    <n v="0.1"/>
    <m/>
    <m/>
    <m/>
    <n v="0"/>
    <m/>
    <n v="0"/>
    <n v="3.363"/>
    <m/>
    <n v="0.4"/>
    <n v="0.5"/>
    <n v="0.1"/>
    <m/>
    <m/>
    <m/>
    <n v="0"/>
    <n v="0"/>
    <n v="0"/>
    <n v="7529.3870699999998"/>
    <m/>
    <m/>
  </r>
  <r>
    <s v="2.4.3.1.3"/>
    <s v="CMS M.60.10.000"/>
    <s v="TUBULAÇÃO"/>
    <n v="2"/>
    <s v="SPOOL"/>
    <n v="10"/>
    <s v="SIM"/>
    <s v="NÃO"/>
    <s v="NÃO"/>
    <s v="145A-PG-22¨-L1H-928"/>
    <s v="START UP I"/>
    <s v="LINHA DO CIRCUITO ARENOSO LINHA DE UNDERFLOW DAS PENEIRAS DESAGUADORAS"/>
    <m/>
    <m/>
    <m/>
    <s v="1450AA-T-70251_FL53"/>
    <n v="1"/>
    <s v="PÇ"/>
    <n v="0.65"/>
    <n v="0.65"/>
    <n v="2238.89"/>
    <n v="1455.2784999999999"/>
    <n v="0"/>
    <n v="0.9"/>
    <n v="0.1"/>
    <m/>
    <m/>
    <m/>
    <n v="0"/>
    <m/>
    <n v="0"/>
    <n v="0.65"/>
    <m/>
    <n v="0.4"/>
    <n v="0.5"/>
    <n v="0.1"/>
    <m/>
    <m/>
    <m/>
    <n v="0"/>
    <n v="0"/>
    <n v="0"/>
    <n v="1455.2784999999999"/>
    <m/>
    <m/>
  </r>
  <r>
    <s v="2.4.3.1.3"/>
    <s v="CMS M.60.10.000"/>
    <s v="TUBULAÇÃO"/>
    <n v="3"/>
    <s v="DERIVAÇÃO "/>
    <s v="20 X 10"/>
    <s v="NÃO"/>
    <s v="NÃO"/>
    <s v="NÃO"/>
    <s v="145A-PG-22¨-L1H-928"/>
    <s v="START UP I"/>
    <s v="LINHA DO CIRCUITO ARENOSO LINHA DE UNDERFLOW DAS PENEIRAS DESAGUADORAS"/>
    <m/>
    <m/>
    <m/>
    <s v="1450AA-T-70251_FL30"/>
    <n v="2"/>
    <s v="PÇ"/>
    <n v="1.7"/>
    <n v="3.4"/>
    <n v="2238.89"/>
    <n v="7612.2259999999997"/>
    <n v="0"/>
    <n v="0.9"/>
    <n v="0.1"/>
    <m/>
    <m/>
    <m/>
    <n v="0"/>
    <m/>
    <n v="0"/>
    <n v="3.4"/>
    <m/>
    <n v="0.4"/>
    <n v="0.5"/>
    <n v="0.1"/>
    <m/>
    <m/>
    <m/>
    <n v="0"/>
    <n v="0"/>
    <n v="0"/>
    <n v="7612.2259999999997"/>
    <m/>
    <m/>
  </r>
  <r>
    <s v="2.4.3.1.7"/>
    <s v="CMS M.60.10.000"/>
    <s v="TUBULAÇÃO"/>
    <n v="4"/>
    <s v="SPOOL"/>
    <n v="20"/>
    <s v="NÃO"/>
    <s v="NÃO"/>
    <s v="NÃO"/>
    <s v="145A-PG-22¨-L1H-928"/>
    <s v="START UP I"/>
    <s v="LINHA DO CIRCUITO ARENOSO LINHA DE UNDERFLOW DAS PENEIRAS DESAGUADORAS"/>
    <m/>
    <m/>
    <m/>
    <s v="1450AA-T-70251_FL44"/>
    <n v="2"/>
    <s v="PÇ"/>
    <n v="2"/>
    <n v="4"/>
    <n v="3789.72"/>
    <n v="15158.88"/>
    <n v="0"/>
    <n v="0.9"/>
    <n v="0.1"/>
    <m/>
    <m/>
    <m/>
    <n v="0"/>
    <m/>
    <n v="0"/>
    <n v="4"/>
    <m/>
    <n v="0.4"/>
    <n v="0.5"/>
    <n v="0.1"/>
    <m/>
    <m/>
    <m/>
    <n v="0"/>
    <n v="0"/>
    <n v="0"/>
    <n v="15158.88"/>
    <m/>
    <m/>
  </r>
  <r>
    <s v="2.4.3.1.7"/>
    <s v="CMS M.60.10.000"/>
    <s v="TUBULAÇÃO"/>
    <n v="5"/>
    <s v="SPOOL"/>
    <n v="20"/>
    <s v="SIM"/>
    <s v="NÃO"/>
    <s v="NÃO"/>
    <s v="145A-PG-22¨-L1H-928"/>
    <s v="START UP I"/>
    <s v="LINHA DO CIRCUITO ARENOSO LINHA DE UNDERFLOW DAS PENEIRAS DESAGUADORAS"/>
    <m/>
    <m/>
    <m/>
    <s v="1450AA-T-70251_FL62"/>
    <n v="2"/>
    <s v="PÇ"/>
    <n v="0.8"/>
    <n v="1.6"/>
    <n v="3789.72"/>
    <n v="6063.5519999999997"/>
    <n v="0"/>
    <n v="0.9"/>
    <n v="0.1"/>
    <m/>
    <m/>
    <m/>
    <n v="0"/>
    <m/>
    <n v="0"/>
    <n v="1.6"/>
    <m/>
    <n v="0.4"/>
    <n v="0.5"/>
    <n v="0.1"/>
    <m/>
    <m/>
    <m/>
    <n v="0"/>
    <n v="0"/>
    <n v="0"/>
    <n v="6063.5519999999997"/>
    <m/>
    <m/>
  </r>
  <r>
    <s v="2.4.3.1.3"/>
    <s v="CMS M.60.10.000"/>
    <s v="TUBULAÇÃO"/>
    <n v="6"/>
    <s v="SPOOL"/>
    <n v="10"/>
    <s v="SIM"/>
    <s v="NÃO"/>
    <s v="NÃO"/>
    <s v="145A-PG-22¨-L1H-928"/>
    <s v="START UP I"/>
    <s v="LINHA DO CIRCUITO ARENOSO LINHA DE UNDERFLOW DAS PENEIRAS DESAGUADORAS"/>
    <m/>
    <m/>
    <m/>
    <s v="1450AA-T-70251_FL54"/>
    <n v="1"/>
    <s v="PÇ"/>
    <n v="0.85"/>
    <n v="0.85"/>
    <n v="2238.89"/>
    <n v="1903.0564999999999"/>
    <n v="0"/>
    <n v="0.9"/>
    <n v="0.1"/>
    <m/>
    <m/>
    <m/>
    <n v="0"/>
    <m/>
    <n v="0"/>
    <n v="0.85"/>
    <m/>
    <n v="0.4"/>
    <n v="0.5"/>
    <n v="0.1"/>
    <m/>
    <m/>
    <m/>
    <n v="0"/>
    <n v="0"/>
    <n v="0"/>
    <n v="1903.0564999999999"/>
    <m/>
    <m/>
  </r>
  <r>
    <s v="2.4.3.1.7"/>
    <s v="CMS M.60.10.000"/>
    <s v="TUBULAÇÃO"/>
    <n v="7"/>
    <s v="SPOOL"/>
    <n v="20"/>
    <s v="NÃO"/>
    <s v="NÃO"/>
    <s v="NÃO"/>
    <s v="145A-PG-22¨-L1H-928"/>
    <s v="START UP I"/>
    <s v="LINHA DO CIRCUITO ARENOSO LINHA DE UNDERFLOW DAS PENEIRAS DESAGUADORAS"/>
    <m/>
    <m/>
    <m/>
    <s v="1450AA-T-70251_FL45"/>
    <n v="1"/>
    <s v="PÇ"/>
    <n v="3"/>
    <n v="3"/>
    <n v="3789.72"/>
    <n v="11369.16"/>
    <n v="0"/>
    <n v="0.9"/>
    <n v="0.1"/>
    <m/>
    <m/>
    <m/>
    <n v="0"/>
    <m/>
    <n v="0"/>
    <n v="3"/>
    <m/>
    <n v="0.4"/>
    <n v="0.5"/>
    <n v="0.1"/>
    <m/>
    <m/>
    <m/>
    <n v="0"/>
    <n v="0"/>
    <n v="0"/>
    <n v="11369.16"/>
    <m/>
    <m/>
  </r>
  <r>
    <s v="2.4.3.1.7"/>
    <s v="CMS M.60.10.000"/>
    <s v="TUBULAÇÃO"/>
    <n v="8"/>
    <s v="SPOOL"/>
    <n v="20"/>
    <s v="SIM"/>
    <s v="NÃO"/>
    <s v="NÃO"/>
    <s v="145A-PG-22¨-L1H-928"/>
    <s v="START UP I"/>
    <s v="LINHA DO CIRCUITO ARENOSO LINHA DE UNDERFLOW DAS PENEIRAS DESAGUADORAS"/>
    <m/>
    <m/>
    <m/>
    <s v="1450AA-T-70251_FL61"/>
    <n v="1"/>
    <s v="PÇ"/>
    <n v="0.7"/>
    <n v="0.7"/>
    <n v="3789.72"/>
    <n v="2652.8039999999996"/>
    <n v="0"/>
    <n v="0.9"/>
    <n v="0.1"/>
    <m/>
    <m/>
    <m/>
    <n v="0"/>
    <m/>
    <n v="0"/>
    <n v="0.7"/>
    <m/>
    <n v="0.4"/>
    <n v="0.5"/>
    <n v="0.1"/>
    <m/>
    <m/>
    <m/>
    <n v="0"/>
    <n v="0"/>
    <n v="0"/>
    <n v="2652.8039999999996"/>
    <m/>
    <m/>
  </r>
  <r>
    <s v="2.4.3.1.7"/>
    <s v="CMS M.60.10.000"/>
    <s v="TUBULAÇÃO"/>
    <n v="9"/>
    <s v="REDUÇÃO"/>
    <s v="22 X 20"/>
    <s v="NÃO"/>
    <s v="NÃO"/>
    <s v="NÃO"/>
    <s v="145A-PG-22¨-L1H-928"/>
    <s v="START UP I"/>
    <s v="LINHA DO CIRCUITO ARENOSO LINHA DE UNDERFLOW DAS PENEIRAS DESAGUADORAS"/>
    <m/>
    <m/>
    <m/>
    <s v="1450AA-T-70251_FL25"/>
    <n v="1"/>
    <s v="PÇ"/>
    <n v="1.008"/>
    <n v="1.008"/>
    <n v="3789.72"/>
    <n v="3820.0377599999997"/>
    <n v="0"/>
    <n v="0.9"/>
    <n v="0.1"/>
    <m/>
    <m/>
    <m/>
    <n v="0"/>
    <m/>
    <n v="0"/>
    <n v="1.008"/>
    <m/>
    <n v="0.4"/>
    <n v="0.5"/>
    <n v="0.1"/>
    <m/>
    <m/>
    <m/>
    <n v="0"/>
    <n v="0"/>
    <n v="0"/>
    <n v="3820.0377599999997"/>
    <m/>
    <m/>
  </r>
  <r>
    <s v="2.4.3.1.3"/>
    <s v="CMS M.60.10.000"/>
    <s v="TUBULAÇÃO"/>
    <n v="10"/>
    <s v="DERIVAÇÃO "/>
    <s v="22 X 10"/>
    <s v="NÃO"/>
    <s v="NÃO"/>
    <s v="NÃO"/>
    <s v="145A-PG-22¨-L1H-928"/>
    <s v="START UP I"/>
    <s v="LINHA DO CIRCUITO ARENOSO LINHA DE UNDERFLOW DAS PENEIRAS DESAGUADORAS"/>
    <m/>
    <m/>
    <m/>
    <s v="1450AA-T-70251_FL33"/>
    <n v="2"/>
    <s v="PÇ"/>
    <n v="1.121"/>
    <n v="2.242"/>
    <n v="2238.89"/>
    <n v="5019.5913799999998"/>
    <n v="0"/>
    <n v="0.9"/>
    <n v="0.1"/>
    <m/>
    <m/>
    <m/>
    <n v="0"/>
    <m/>
    <n v="0"/>
    <n v="2.242"/>
    <m/>
    <n v="0.4"/>
    <n v="0.5"/>
    <n v="0.1"/>
    <m/>
    <m/>
    <m/>
    <n v="0"/>
    <n v="0"/>
    <n v="0"/>
    <n v="5019.5913799999998"/>
    <m/>
    <m/>
  </r>
  <r>
    <s v="2.4.3.1.3"/>
    <s v="CMS M.60.10.000"/>
    <s v="TUBULAÇÃO"/>
    <n v="11"/>
    <s v="SPOOL"/>
    <n v="10"/>
    <s v="SIM"/>
    <s v="NÃO"/>
    <s v="NÃO"/>
    <s v="145A-PG-22¨-L1H-928"/>
    <s v="START UP I"/>
    <s v="LINHA DO CIRCUITO ARENOSO LINHA DE UNDERFLOW DAS PENEIRAS DESAGUADORAS"/>
    <m/>
    <m/>
    <m/>
    <s v="1450AA-T-70251_FL50"/>
    <n v="1"/>
    <s v="PÇ"/>
    <n v="0.3"/>
    <n v="0.3"/>
    <n v="2238.89"/>
    <n v="671.66699999999992"/>
    <n v="0"/>
    <n v="0.9"/>
    <n v="0.1"/>
    <m/>
    <m/>
    <m/>
    <n v="0"/>
    <m/>
    <n v="0"/>
    <n v="0.3"/>
    <m/>
    <n v="0.4"/>
    <n v="0.5"/>
    <n v="0.1"/>
    <m/>
    <m/>
    <m/>
    <n v="0"/>
    <n v="0"/>
    <n v="0"/>
    <n v="671.66699999999992"/>
    <m/>
    <m/>
  </r>
  <r>
    <s v="2.4.3.1.8"/>
    <s v="CMS M.60.10.000"/>
    <s v="TUBULAÇÃO"/>
    <n v="12"/>
    <s v="SPOOL"/>
    <n v="22"/>
    <s v="NÃO"/>
    <s v="NÃO"/>
    <s v="NÃO"/>
    <s v="145A-PG-22¨-L1H-928"/>
    <s v="START UP I"/>
    <s v="LINHA DO CIRCUITO ARENOSO LINHA DE UNDERFLOW DAS PENEIRAS DESAGUADORAS"/>
    <m/>
    <m/>
    <m/>
    <s v="1450AA-T-70251_FL47"/>
    <n v="1"/>
    <s v="PÇ"/>
    <n v="4"/>
    <n v="4"/>
    <n v="2788.58"/>
    <n v="11154.32"/>
    <n v="0"/>
    <n v="0.9"/>
    <n v="0.1"/>
    <m/>
    <m/>
    <m/>
    <n v="0"/>
    <m/>
    <n v="0"/>
    <n v="4"/>
    <m/>
    <n v="0.4"/>
    <n v="0.5"/>
    <n v="0.1"/>
    <m/>
    <m/>
    <m/>
    <n v="0"/>
    <n v="0"/>
    <n v="0"/>
    <n v="11154.32"/>
    <m/>
    <m/>
  </r>
  <r>
    <s v="2.4.3.1.8"/>
    <s v="CMS M.60.10.000"/>
    <s v="TUBULAÇÃO"/>
    <n v="13"/>
    <s v="SPOOL"/>
    <n v="22"/>
    <s v="SIM"/>
    <s v="NÃO"/>
    <s v="NÃO"/>
    <s v="145A-PG-22¨-L1H-928"/>
    <s v="START UP I"/>
    <s v="LINHA DO CIRCUITO ARENOSO LINHA DE UNDERFLOW DAS PENEIRAS DESAGUADORAS"/>
    <m/>
    <m/>
    <m/>
    <s v="1450AA-T-70251_FL64"/>
    <n v="1"/>
    <s v="PÇ"/>
    <n v="0.7"/>
    <n v="0.7"/>
    <n v="2788.58"/>
    <n v="1952.0059999999999"/>
    <n v="0"/>
    <n v="0.9"/>
    <n v="0.1"/>
    <m/>
    <m/>
    <m/>
    <n v="0"/>
    <m/>
    <n v="0"/>
    <n v="0.7"/>
    <m/>
    <n v="0.4"/>
    <n v="0.5"/>
    <n v="0.1"/>
    <m/>
    <m/>
    <m/>
    <n v="0"/>
    <n v="0"/>
    <n v="0"/>
    <n v="1952.0059999999999"/>
    <m/>
    <m/>
  </r>
  <r>
    <s v="2.4.3.1.3"/>
    <s v="CMS M.60.10.000"/>
    <s v="TUBULAÇÃO"/>
    <n v="14"/>
    <s v="SPOOL"/>
    <n v="10"/>
    <s v="SIM"/>
    <s v="NÃO"/>
    <s v="NÃO"/>
    <s v="145A-PG-22¨-L1H-928"/>
    <s v="START UP I"/>
    <s v="LINHA DO CIRCUITO ARENOSO LINHA DE UNDERFLOW DAS PENEIRAS DESAGUADORAS"/>
    <m/>
    <m/>
    <m/>
    <s v="1450AA-T-70251_FL52"/>
    <n v="1"/>
    <s v="PÇ"/>
    <n v="0.5"/>
    <n v="0.5"/>
    <n v="2238.89"/>
    <n v="1119.4449999999999"/>
    <n v="0"/>
    <n v="0.9"/>
    <n v="0.1"/>
    <m/>
    <m/>
    <m/>
    <n v="0"/>
    <m/>
    <n v="0"/>
    <n v="0.5"/>
    <m/>
    <n v="0.4"/>
    <n v="0.5"/>
    <n v="0.1"/>
    <m/>
    <m/>
    <m/>
    <n v="0"/>
    <n v="0"/>
    <n v="0"/>
    <n v="1119.4449999999999"/>
    <m/>
    <m/>
  </r>
  <r>
    <s v="2.4.3.1.8"/>
    <s v="CMS M.60.10.000"/>
    <s v="TUBULAÇÃO"/>
    <n v="15"/>
    <s v="CURVA"/>
    <n v="22"/>
    <s v="NÃO"/>
    <s v="NÃO"/>
    <s v="NÃO"/>
    <s v="145A-PG-22¨-L1H-928"/>
    <s v="START UP I"/>
    <s v="LINHA DO CIRCUITO ARENOSO LINHA DE UNDERFLOW DAS PENEIRAS DESAGUADORAS"/>
    <m/>
    <m/>
    <m/>
    <s v="1450AA-T-70251_FL36"/>
    <n v="2"/>
    <s v="PÇ"/>
    <n v="0.57999999999999996"/>
    <n v="1.1599999999999999"/>
    <n v="2788.58"/>
    <n v="3234.7527999999998"/>
    <n v="0"/>
    <n v="0.9"/>
    <n v="0.1"/>
    <m/>
    <m/>
    <m/>
    <n v="0"/>
    <m/>
    <n v="0"/>
    <n v="1.1599999999999999"/>
    <m/>
    <n v="0.4"/>
    <n v="0.5"/>
    <n v="0.1"/>
    <m/>
    <m/>
    <m/>
    <n v="0"/>
    <n v="0"/>
    <n v="0"/>
    <n v="3234.7527999999998"/>
    <m/>
    <m/>
  </r>
  <r>
    <s v="2.4.3.1.8"/>
    <s v="CMS M.60.10.000"/>
    <s v="TUBULAÇÃO"/>
    <n v="16"/>
    <s v="SPOOL"/>
    <n v="22"/>
    <s v="NÃO"/>
    <s v="NÃO"/>
    <s v="NÃO"/>
    <s v="145A-PG-22¨-L1H-928"/>
    <s v="START UP I"/>
    <s v="LINHA DO CIRCUITO ARENOSO LINHA DE UNDERFLOW DAS PENEIRAS DESAGUADORAS"/>
    <m/>
    <m/>
    <m/>
    <s v="1450AA-T-70251_FL48"/>
    <n v="1"/>
    <s v="PÇ"/>
    <n v="4.5"/>
    <n v="4.5"/>
    <n v="2788.58"/>
    <n v="12548.61"/>
    <n v="0"/>
    <n v="0.9"/>
    <n v="0.1"/>
    <m/>
    <m/>
    <m/>
    <n v="0"/>
    <m/>
    <n v="0"/>
    <n v="4.5"/>
    <m/>
    <n v="0.4"/>
    <n v="0.5"/>
    <n v="0.1"/>
    <m/>
    <m/>
    <m/>
    <n v="0"/>
    <n v="0"/>
    <n v="0"/>
    <n v="12548.61"/>
    <m/>
    <m/>
  </r>
  <r>
    <s v="2.4.3.1.8"/>
    <s v="CMS M.60.10.000"/>
    <s v="TUBULAÇÃO"/>
    <n v="17"/>
    <s v="SPOOL"/>
    <n v="22"/>
    <s v="SIM"/>
    <s v="NÃO"/>
    <s v="NÃO"/>
    <s v="145A-PG-22¨-L1H-928"/>
    <s v="START UP I"/>
    <s v="LINHA DO CIRCUITO ARENOSO LINHA DE UNDERFLOW DAS PENEIRAS DESAGUADORAS"/>
    <m/>
    <m/>
    <m/>
    <s v="1450AA-T-70251_FL66"/>
    <n v="1"/>
    <s v="PÇ"/>
    <n v="0.9"/>
    <n v="0.9"/>
    <n v="2788.58"/>
    <n v="2509.7220000000002"/>
    <n v="0"/>
    <n v="0.9"/>
    <n v="0.1"/>
    <m/>
    <m/>
    <m/>
    <n v="0"/>
    <m/>
    <n v="0"/>
    <n v="0.9"/>
    <m/>
    <n v="0.4"/>
    <n v="0.5"/>
    <n v="0.1"/>
    <m/>
    <m/>
    <m/>
    <n v="0"/>
    <n v="0"/>
    <n v="0"/>
    <n v="2509.7220000000002"/>
    <m/>
    <m/>
  </r>
  <r>
    <s v="2.4.3.1.5"/>
    <s v="CMS M.60.10.000"/>
    <s v="TUBULAÇÃO"/>
    <n v="18"/>
    <s v="DERIVAÇÃO "/>
    <s v="22 X 14"/>
    <s v="NÃO"/>
    <s v="NÃO"/>
    <s v="NÃO"/>
    <s v="145A-PG-22¨-L1H-928"/>
    <s v="START UP I"/>
    <s v="LINHA DO CIRCUITO ARENOSO LINHA DE UNDERFLOW DAS PENEIRAS DESAGUADORAS"/>
    <m/>
    <m/>
    <m/>
    <s v="1450AA-T-70251_FL32"/>
    <n v="2"/>
    <s v="PÇ"/>
    <n v="2.8"/>
    <n v="5.6"/>
    <n v="2725.4"/>
    <n v="15262.24"/>
    <n v="0"/>
    <n v="0.9"/>
    <n v="0.1"/>
    <m/>
    <m/>
    <m/>
    <n v="0"/>
    <m/>
    <n v="0"/>
    <n v="5.6"/>
    <m/>
    <n v="0.4"/>
    <n v="0.5"/>
    <n v="0.1"/>
    <m/>
    <m/>
    <m/>
    <n v="0"/>
    <n v="0"/>
    <n v="0"/>
    <n v="15262.24"/>
    <m/>
    <m/>
  </r>
  <r>
    <s v="2.4.3.1.5"/>
    <s v="CMS M.60.10.000"/>
    <s v="TUBULAÇÃO"/>
    <n v="19"/>
    <s v="CURVA"/>
    <n v="14"/>
    <s v="NÃO"/>
    <s v="NÃO"/>
    <s v="NÃO"/>
    <s v="145A-PG-22¨-L1H-928"/>
    <s v="START UP I"/>
    <s v="LINHA DO CIRCUITO ARENOSO LINHA DE UNDERFLOW DAS PENEIRAS DESAGUADORAS"/>
    <m/>
    <m/>
    <m/>
    <s v="1450AA-T-70251_FL35"/>
    <n v="2"/>
    <s v="PÇ"/>
    <n v="0.55000000000000004"/>
    <n v="1.1000000000000001"/>
    <n v="2725.4"/>
    <n v="2997.9400000000005"/>
    <n v="0"/>
    <n v="0.9"/>
    <n v="0.1"/>
    <m/>
    <m/>
    <m/>
    <n v="0"/>
    <m/>
    <n v="0"/>
    <n v="1.1000000000000001"/>
    <m/>
    <n v="0.4"/>
    <n v="0.5"/>
    <n v="0.1"/>
    <m/>
    <m/>
    <m/>
    <n v="0"/>
    <n v="0"/>
    <n v="0"/>
    <n v="2997.9400000000005"/>
    <m/>
    <m/>
  </r>
  <r>
    <s v="2.4.3.1.5"/>
    <s v="CMS M.60.10.000"/>
    <s v="TUBULAÇÃO"/>
    <n v="20"/>
    <s v="SPOOL"/>
    <n v="14"/>
    <s v="SIM"/>
    <s v="NÃO"/>
    <s v="NÃO"/>
    <s v="145A-PG-22¨-L1H-928"/>
    <s v="START UP I"/>
    <s v="LINHA DO CIRCUITO ARENOSO LINHA DE UNDERFLOW DAS PENEIRAS DESAGUADORAS"/>
    <m/>
    <m/>
    <m/>
    <s v="1450AA-T-70251_FL57"/>
    <n v="1"/>
    <s v="PÇ"/>
    <n v="0.8"/>
    <n v="0.8"/>
    <n v="2725.4"/>
    <n v="2180.3200000000002"/>
    <n v="0"/>
    <n v="0.9"/>
    <n v="0.1"/>
    <m/>
    <m/>
    <m/>
    <n v="0"/>
    <m/>
    <n v="0"/>
    <n v="0.8"/>
    <m/>
    <n v="0.4"/>
    <n v="0.5"/>
    <n v="0.1"/>
    <m/>
    <m/>
    <m/>
    <n v="0"/>
    <n v="0"/>
    <n v="0"/>
    <n v="2180.3200000000002"/>
    <m/>
    <m/>
  </r>
  <r>
    <s v="2.4.3.1.8"/>
    <s v="CMS M.60.10.000"/>
    <s v="TUBULAÇÃO"/>
    <n v="21"/>
    <s v="SPOOL"/>
    <n v="22"/>
    <s v="NÃO"/>
    <s v="NÃO"/>
    <s v="NÃO"/>
    <s v="145A-PG-22¨-L1H-928"/>
    <s v="START UP I"/>
    <s v="LINHA DO CIRCUITO ARENOSO LINHA DE UNDERFLOW DAS PENEIRAS DESAGUADORAS"/>
    <m/>
    <m/>
    <m/>
    <s v="1450AA-T-70251_FL46"/>
    <n v="2"/>
    <s v="PÇ"/>
    <n v="2"/>
    <n v="4"/>
    <n v="2788.58"/>
    <n v="11154.32"/>
    <n v="0"/>
    <n v="0.9"/>
    <n v="0.1"/>
    <m/>
    <m/>
    <m/>
    <n v="0"/>
    <m/>
    <n v="0"/>
    <n v="4"/>
    <m/>
    <n v="0.4"/>
    <n v="0.5"/>
    <n v="0.1"/>
    <m/>
    <m/>
    <m/>
    <n v="0"/>
    <n v="0"/>
    <n v="0"/>
    <n v="11154.32"/>
    <m/>
    <m/>
  </r>
  <r>
    <s v="2.4.3.1.8"/>
    <s v="CMS M.60.10.000"/>
    <s v="TUBULAÇÃO"/>
    <n v="22"/>
    <s v="SPOOL"/>
    <n v="22"/>
    <s v="SIM"/>
    <s v="NÃO"/>
    <s v="NÃO"/>
    <s v="145A-PG-22¨-L1H-928"/>
    <s v="START UP I"/>
    <s v="LINHA DO CIRCUITO ARENOSO LINHA DE UNDERFLOW DAS PENEIRAS DESAGUADORAS"/>
    <m/>
    <m/>
    <m/>
    <s v="1450AA-T-70251_FL63"/>
    <n v="1"/>
    <s v="PÇ"/>
    <n v="0.5"/>
    <n v="0.5"/>
    <n v="2788.58"/>
    <n v="1394.29"/>
    <n v="0"/>
    <n v="0.9"/>
    <n v="0.1"/>
    <m/>
    <m/>
    <m/>
    <n v="0"/>
    <m/>
    <n v="0"/>
    <n v="0.5"/>
    <m/>
    <n v="0.4"/>
    <n v="0.5"/>
    <n v="0.1"/>
    <m/>
    <m/>
    <m/>
    <n v="0"/>
    <n v="0"/>
    <n v="0"/>
    <n v="1394.29"/>
    <m/>
    <m/>
  </r>
  <r>
    <s v="2.4.3.1.5"/>
    <s v="CMS M.60.10.000"/>
    <s v="TUBULAÇÃO"/>
    <n v="23"/>
    <s v="SPOOL"/>
    <n v="14"/>
    <s v="SIM"/>
    <s v="NÃO"/>
    <s v="NÃO"/>
    <s v="145A-PG-22¨-L1H-928"/>
    <s v="START UP I"/>
    <s v="LINHA DO CIRCUITO ARENOSO LINHA DE UNDERFLOW DAS PENEIRAS DESAGUADORAS"/>
    <m/>
    <m/>
    <m/>
    <s v="1450AA-T-70251_FL58"/>
    <n v="1"/>
    <s v="PÇ"/>
    <n v="0.95"/>
    <n v="0.95"/>
    <n v="2725.4"/>
    <n v="2589.13"/>
    <n v="0"/>
    <n v="0.9"/>
    <n v="0.1"/>
    <m/>
    <m/>
    <m/>
    <n v="0"/>
    <m/>
    <n v="0"/>
    <n v="0.95"/>
    <m/>
    <n v="0.4"/>
    <n v="0.5"/>
    <n v="0.1"/>
    <m/>
    <m/>
    <m/>
    <n v="0"/>
    <n v="0"/>
    <n v="0"/>
    <n v="2589.13"/>
    <m/>
    <m/>
  </r>
  <r>
    <s v="2.4.3.1.8"/>
    <s v="CMS M.60.10.000"/>
    <s v="TUBULAÇÃO"/>
    <n v="24"/>
    <s v="SPOOL"/>
    <n v="22"/>
    <s v="NÃO"/>
    <s v="NÃO"/>
    <s v="NÃO"/>
    <s v="145A-PG-22¨-L1H-928"/>
    <s v="START UP I"/>
    <s v="LINHA DO CIRCUITO ARENOSO LINHA DE UNDERFLOW DAS PENEIRAS DESAGUADORAS"/>
    <m/>
    <m/>
    <m/>
    <s v="1450AA-T-70251_FL49"/>
    <n v="1"/>
    <s v="PÇ"/>
    <n v="6"/>
    <n v="6"/>
    <n v="2788.58"/>
    <n v="16731.48"/>
    <n v="0"/>
    <n v="0.9"/>
    <n v="0.1"/>
    <m/>
    <m/>
    <m/>
    <n v="0"/>
    <m/>
    <n v="0"/>
    <n v="6"/>
    <m/>
    <n v="0.4"/>
    <n v="0.5"/>
    <n v="0.1"/>
    <m/>
    <m/>
    <m/>
    <n v="0"/>
    <n v="0"/>
    <n v="0"/>
    <n v="16731.48"/>
    <m/>
    <m/>
  </r>
  <r>
    <s v="2.4.3.1.8"/>
    <s v="CMS M.60.10.000"/>
    <s v="TUBULAÇÃO"/>
    <n v="25"/>
    <s v="SPOOL"/>
    <n v="22"/>
    <s v="SIM"/>
    <s v="NÃO"/>
    <s v="NÃO"/>
    <s v="145A-PG-22¨-L1H-928"/>
    <s v="START UP I"/>
    <s v="LINHA DO CIRCUITO ARENOSO LINHA DE UNDERFLOW DAS PENEIRAS DESAGUADORAS"/>
    <m/>
    <m/>
    <m/>
    <s v="1450AA-T-70251_FL65"/>
    <n v="1"/>
    <s v="PÇ"/>
    <n v="0.85"/>
    <n v="0.85"/>
    <n v="2788.58"/>
    <n v="2370.2929999999997"/>
    <n v="0"/>
    <n v="0.9"/>
    <n v="0.1"/>
    <m/>
    <m/>
    <m/>
    <n v="0"/>
    <m/>
    <n v="0"/>
    <n v="0.85"/>
    <m/>
    <n v="0.4"/>
    <n v="0.5"/>
    <n v="0.1"/>
    <m/>
    <m/>
    <m/>
    <n v="0"/>
    <n v="0"/>
    <n v="0"/>
    <n v="2370.2929999999997"/>
    <m/>
    <m/>
  </r>
  <r>
    <s v="2.4.3.1.8"/>
    <s v="CMS M.60.10.000"/>
    <s v="TUBULAÇÃO"/>
    <n v="1"/>
    <s v="CURVA"/>
    <n v="22"/>
    <s v="NÃO"/>
    <s v="NÃO"/>
    <s v="NÃO"/>
    <s v="145A-PG-22¨-L1H-928"/>
    <s v="START UP I"/>
    <s v="LINHA DO CIRCUITO ARENOSO LINHA DE UNDERFLOW DAS PENEIRAS DESAGUADORAS"/>
    <m/>
    <m/>
    <m/>
    <s v="1450AA-T-70251_FL40"/>
    <n v="1"/>
    <s v="PÇ"/>
    <n v="1.738"/>
    <n v="1.738"/>
    <n v="2788.58"/>
    <n v="4846.5520399999996"/>
    <n v="0"/>
    <n v="0.9"/>
    <n v="0.1"/>
    <m/>
    <m/>
    <m/>
    <n v="0"/>
    <m/>
    <n v="0"/>
    <n v="1.738"/>
    <m/>
    <n v="0.4"/>
    <n v="0.5"/>
    <n v="0.1"/>
    <m/>
    <m/>
    <m/>
    <n v="0"/>
    <n v="0"/>
    <n v="0"/>
    <n v="4846.5520399999996"/>
    <m/>
    <m/>
  </r>
  <r>
    <s v="2.4.3.1.8"/>
    <s v="CMS M.60.10.000"/>
    <s v="TUBULAÇÃO"/>
    <n v="2"/>
    <s v="SPOOL"/>
    <n v="22"/>
    <s v="SIM"/>
    <s v="NÃO"/>
    <s v="NÃO"/>
    <s v="145A-PG-22¨-L1H-928"/>
    <s v="START UP I"/>
    <s v="LINHA DO CIRCUITO ARENOSO LINHA DE UNDERFLOW DAS PENEIRAS DESAGUADORAS"/>
    <m/>
    <m/>
    <m/>
    <s v="1450AA-T-70251_FL65"/>
    <n v="2"/>
    <s v="PÇ"/>
    <n v="0.85"/>
    <n v="1.7"/>
    <n v="2788.58"/>
    <n v="4740.5859999999993"/>
    <n v="0"/>
    <n v="0.9"/>
    <n v="0.1"/>
    <m/>
    <m/>
    <m/>
    <n v="0"/>
    <m/>
    <n v="0"/>
    <n v="1.7"/>
    <m/>
    <n v="0.4"/>
    <n v="0.5"/>
    <n v="0.1"/>
    <m/>
    <m/>
    <m/>
    <n v="0"/>
    <n v="0"/>
    <n v="0"/>
    <n v="4740.5859999999993"/>
    <m/>
    <m/>
  </r>
  <r>
    <s v="2.4.3.1.8"/>
    <s v="CMS M.60.10.000"/>
    <s v="TUBULAÇÃO"/>
    <n v="3"/>
    <s v="CURVA"/>
    <n v="22"/>
    <s v="NÃO"/>
    <s v="NÃO"/>
    <s v="NÃO"/>
    <s v="145A-PG-22¨-L1H-928"/>
    <s v="START UP I"/>
    <s v="LINHA DO CIRCUITO ARENOSO LINHA DE UNDERFLOW DAS PENEIRAS DESAGUADORAS"/>
    <m/>
    <m/>
    <m/>
    <s v="1450AA-T-70251_FL37"/>
    <n v="1"/>
    <s v="PÇ"/>
    <n v="1.028"/>
    <n v="1.028"/>
    <n v="2788.58"/>
    <n v="2866.6602400000002"/>
    <n v="0"/>
    <n v="0.9"/>
    <n v="0.1"/>
    <m/>
    <m/>
    <m/>
    <n v="0"/>
    <m/>
    <n v="0"/>
    <n v="1.028"/>
    <m/>
    <n v="0.4"/>
    <n v="0.5"/>
    <n v="0.1"/>
    <m/>
    <m/>
    <m/>
    <n v="0"/>
    <n v="0"/>
    <n v="0"/>
    <n v="2866.6602400000002"/>
    <m/>
    <m/>
  </r>
  <r>
    <s v="2.4.3.1.8"/>
    <s v="CMS M.60.10.000"/>
    <s v="TUBULAÇÃO"/>
    <n v="4"/>
    <s v="SPOOL"/>
    <n v="22"/>
    <s v="NÃO"/>
    <s v="NÃO"/>
    <s v="NÃO"/>
    <s v="145A-PG-22¨-L1H-928"/>
    <s v="START UP I"/>
    <s v="LINHA DO CIRCUITO ARENOSO LINHA DE UNDERFLOW DAS PENEIRAS DESAGUADORAS"/>
    <m/>
    <m/>
    <m/>
    <s v="1450AA-T-70251_FL49"/>
    <n v="7"/>
    <s v="PÇ"/>
    <n v="6"/>
    <n v="42"/>
    <n v="2788.58"/>
    <n v="117120.36"/>
    <n v="0"/>
    <n v="0.9"/>
    <n v="0.1"/>
    <m/>
    <m/>
    <m/>
    <n v="0"/>
    <m/>
    <n v="0"/>
    <n v="42"/>
    <m/>
    <n v="0.4"/>
    <n v="0.5"/>
    <n v="0.1"/>
    <m/>
    <m/>
    <m/>
    <n v="0"/>
    <n v="0"/>
    <n v="0"/>
    <n v="117120.36"/>
    <m/>
    <m/>
  </r>
  <r>
    <s v="2.4.3.1.8"/>
    <s v="CMS M.60.10.000"/>
    <s v="TUBULAÇÃO"/>
    <n v="5"/>
    <s v="SPOOL"/>
    <n v="22"/>
    <s v="NÃO"/>
    <s v="NÃO"/>
    <s v="NÃO"/>
    <s v="145A-PG-22¨-L1H-928"/>
    <s v="START UP I"/>
    <s v="LINHA DO CIRCUITO ARENOSO LINHA DE UNDERFLOW DAS PENEIRAS DESAGUADORAS"/>
    <m/>
    <m/>
    <m/>
    <s v="1450AA-T-70251_FL46"/>
    <n v="2"/>
    <s v="PÇ"/>
    <n v="2"/>
    <n v="4"/>
    <n v="2788.58"/>
    <n v="11154.32"/>
    <n v="0"/>
    <n v="0.9"/>
    <n v="0.1"/>
    <m/>
    <m/>
    <m/>
    <n v="0"/>
    <m/>
    <n v="0"/>
    <n v="4"/>
    <m/>
    <n v="0.4"/>
    <n v="0.5"/>
    <n v="0.1"/>
    <m/>
    <m/>
    <m/>
    <n v="0"/>
    <n v="0"/>
    <n v="0"/>
    <n v="11154.32"/>
    <m/>
    <m/>
  </r>
  <r>
    <s v="2.4.3.1.8"/>
    <s v="CMS M.60.10.000"/>
    <s v="TUBULAÇÃO"/>
    <n v="6"/>
    <s v="SPOOL"/>
    <n v="22"/>
    <s v="SIM"/>
    <s v="NÃO"/>
    <s v="NÃO"/>
    <s v="145A-PG-22¨-L1H-928"/>
    <s v="START UP I"/>
    <s v="LINHA DO CIRCUITO ARENOSO LINHA DE UNDERFLOW DAS PENEIRAS DESAGUADORAS"/>
    <m/>
    <m/>
    <m/>
    <s v="1450AA-T-70251_FL68"/>
    <n v="1"/>
    <s v="PÇ"/>
    <n v="1.3"/>
    <n v="1.3"/>
    <n v="2788.58"/>
    <n v="3625.154"/>
    <n v="0"/>
    <n v="0.9"/>
    <n v="0.1"/>
    <m/>
    <m/>
    <m/>
    <n v="0"/>
    <m/>
    <n v="0"/>
    <n v="1.3"/>
    <m/>
    <n v="0.4"/>
    <n v="0.5"/>
    <n v="0.1"/>
    <m/>
    <m/>
    <m/>
    <n v="0"/>
    <n v="0"/>
    <n v="0"/>
    <n v="3625.154"/>
    <m/>
    <m/>
  </r>
  <r>
    <s v="2.4.3.1.8"/>
    <s v="CMS M.60.10.000"/>
    <s v="TUBULAÇÃO"/>
    <n v="7"/>
    <s v="CURVA"/>
    <n v="22"/>
    <s v="NÃO"/>
    <s v="NÃO"/>
    <s v="NÃO"/>
    <s v="145A-PG-22¨-L1H-928"/>
    <s v="START UP I"/>
    <s v="LINHA DO CIRCUITO ARENOSO LINHA DE UNDERFLOW DAS PENEIRAS DESAGUADORAS"/>
    <m/>
    <m/>
    <m/>
    <s v="1450AA-T-70251_FL38"/>
    <n v="1"/>
    <s v="PÇ"/>
    <n v="1.165"/>
    <n v="1.165"/>
    <n v="2788.58"/>
    <n v="3248.6957000000002"/>
    <n v="0"/>
    <n v="0.9"/>
    <n v="0.1"/>
    <m/>
    <m/>
    <m/>
    <n v="0"/>
    <m/>
    <n v="0"/>
    <n v="1.165"/>
    <m/>
    <n v="0.4"/>
    <n v="0.5"/>
    <n v="0.1"/>
    <m/>
    <m/>
    <m/>
    <n v="0"/>
    <n v="0"/>
    <n v="0"/>
    <n v="3248.6957000000002"/>
    <m/>
    <m/>
  </r>
  <r>
    <s v="2.4.3.1.8"/>
    <s v="CMS M.60.10.000"/>
    <s v="TUBULAÇÃO"/>
    <n v="8"/>
    <s v="SPOOL"/>
    <n v="22"/>
    <s v="SIM"/>
    <s v="NÃO"/>
    <s v="NÃO"/>
    <s v="145A-PG-22¨-L1H-928"/>
    <s v="START UP I"/>
    <s v="LINHA DO CIRCUITO ARENOSO LINHA DE UNDERFLOW DAS PENEIRAS DESAGUADORAS"/>
    <m/>
    <m/>
    <m/>
    <s v="1450AA-T-70251_FL67"/>
    <n v="1"/>
    <s v="PÇ"/>
    <n v="1.1000000000000001"/>
    <n v="1.1000000000000001"/>
    <n v="2788.58"/>
    <n v="3067.4380000000001"/>
    <n v="0"/>
    <n v="0.9"/>
    <n v="0.1"/>
    <m/>
    <m/>
    <m/>
    <n v="0"/>
    <m/>
    <n v="0"/>
    <n v="1.1000000000000001"/>
    <m/>
    <n v="0.4"/>
    <n v="0.5"/>
    <n v="0.1"/>
    <m/>
    <m/>
    <m/>
    <n v="0"/>
    <n v="0"/>
    <n v="0"/>
    <n v="3067.4380000000001"/>
    <m/>
    <m/>
  </r>
  <r>
    <s v="2.4.3.1.8"/>
    <s v="CMS M.60.10.000"/>
    <s v="TUBULAÇÃO"/>
    <n v="9"/>
    <s v="CURVA"/>
    <n v="22"/>
    <s v="NÃO"/>
    <s v="NÃO"/>
    <s v="NÃO"/>
    <s v="145A-PG-22¨-L1H-928"/>
    <s v="START UP I"/>
    <s v="LINHA DO CIRCUITO ARENOSO LINHA DE UNDERFLOW DAS PENEIRAS DESAGUADORAS"/>
    <m/>
    <m/>
    <m/>
    <s v="1450AA-T-70251_FL39"/>
    <n v="1"/>
    <s v="PÇ"/>
    <n v="1.6839999999999999"/>
    <n v="1.6839999999999999"/>
    <n v="2788.58"/>
    <n v="4695.9687199999998"/>
    <n v="0"/>
    <n v="0.9"/>
    <n v="0.1"/>
    <m/>
    <m/>
    <m/>
    <n v="0"/>
    <m/>
    <n v="0"/>
    <n v="1.6839999999999999"/>
    <m/>
    <n v="0.4"/>
    <n v="0.5"/>
    <n v="0.1"/>
    <m/>
    <m/>
    <m/>
    <n v="0"/>
    <n v="0"/>
    <n v="0"/>
    <n v="4695.9687199999998"/>
    <m/>
    <m/>
  </r>
  <r>
    <s v="2.4.3.1.8"/>
    <s v="CMS M.60.10.000"/>
    <s v="TUBULAÇÃO"/>
    <n v="10"/>
    <s v="SPOOL"/>
    <n v="22"/>
    <s v="NÃO"/>
    <s v="NÃO"/>
    <s v="NÃO"/>
    <s v="145A-PG-22¨-L1H-928"/>
    <s v="START UP I"/>
    <s v="LINHA DO CIRCUITO ARENOSO LINHA DE UNDERFLOW DAS PENEIRAS DESAGUADORAS"/>
    <m/>
    <m/>
    <m/>
    <s v="1450AA-T-70251_FL34"/>
    <n v="1"/>
    <s v="PÇ"/>
    <n v="2.4"/>
    <n v="2.4"/>
    <n v="2788.58"/>
    <n v="6692.5919999999996"/>
    <n v="0"/>
    <n v="0.9"/>
    <n v="0.1"/>
    <m/>
    <m/>
    <m/>
    <n v="0"/>
    <m/>
    <n v="0"/>
    <n v="2.4"/>
    <m/>
    <n v="0.4"/>
    <n v="0.5"/>
    <n v="0.1"/>
    <m/>
    <m/>
    <m/>
    <n v="0"/>
    <n v="0"/>
    <n v="0"/>
    <n v="6692.5919999999996"/>
    <m/>
    <m/>
  </r>
  <r>
    <s v="2.4.3.1.6"/>
    <s v="CMS M.60.10.000"/>
    <s v="TUBULAÇÃO"/>
    <n v="1"/>
    <s v="CURVA"/>
    <n v="16"/>
    <s v="NÃO"/>
    <s v="NÃO"/>
    <s v="NÃO"/>
    <s v="145A-PG-14¨-L1H-871"/>
    <s v="START UP II"/>
    <s v="DISPOSIÇÃO DE REJEITOS LINHA DO CIRCUITO ARENOSO DISTRIBUIDOR DI-145A-9911 PARA DISTRIBUIDOR DI 145A-9912"/>
    <m/>
    <m/>
    <m/>
    <s v="1450AA-T-70254_FL18"/>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1"/>
    <s v="START UP II"/>
    <s v="DISPOSIÇÃO DE REJEITOS LINHA DO CIRCUITO ARENOSO DISTRIBUIDOR DI-145A-9911 PARA DISTRIBUIDOR DI 145A-9912"/>
    <m/>
    <m/>
    <m/>
    <s v="1450AA-T-70254_FL19"/>
    <n v="1"/>
    <s v="PÇ"/>
    <n v="0.7"/>
    <n v="0.7"/>
    <n v="2725.4"/>
    <n v="1907.78"/>
    <n v="0"/>
    <n v="0.9"/>
    <n v="0.1"/>
    <m/>
    <m/>
    <m/>
    <n v="0"/>
    <m/>
    <n v="0"/>
    <n v="0.7"/>
    <m/>
    <n v="0.4"/>
    <n v="0.5"/>
    <n v="0.1"/>
    <m/>
    <m/>
    <m/>
    <n v="0"/>
    <n v="0"/>
    <n v="0"/>
    <n v="1907.78"/>
    <m/>
    <m/>
  </r>
  <r>
    <s v="2.4.3.1.5"/>
    <s v="CMS M.60.10.000"/>
    <s v="TUBULAÇÃO"/>
    <n v="3"/>
    <s v="SPOOL"/>
    <n v="14"/>
    <s v="NÃO"/>
    <s v="NÃO"/>
    <s v="NÃO"/>
    <s v="145A-PG-14¨-L1H-871"/>
    <s v="START UP II"/>
    <s v="DISPOSIÇÃO DE REJEITOS LINHA DO CIRCUITO ARENOSO DISTRIBUIDOR DI-145A-9911 PARA DISTRIBUIDOR DI 145A-9912"/>
    <m/>
    <m/>
    <m/>
    <s v="1450AA-T-70254_FL08"/>
    <n v="1"/>
    <s v="PÇ"/>
    <n v="0.185"/>
    <n v="0.185"/>
    <n v="2725.4"/>
    <n v="504.19900000000001"/>
    <n v="0"/>
    <n v="0.9"/>
    <n v="0.1"/>
    <m/>
    <m/>
    <m/>
    <n v="0"/>
    <m/>
    <n v="0"/>
    <n v="0.185"/>
    <m/>
    <n v="0.4"/>
    <n v="0.5"/>
    <n v="0.1"/>
    <m/>
    <m/>
    <m/>
    <n v="0"/>
    <n v="0"/>
    <n v="0"/>
    <n v="504.19900000000001"/>
    <m/>
    <m/>
  </r>
  <r>
    <s v="2.4.3.1.5"/>
    <s v="CMS M.60.10.000"/>
    <s v="TUBULAÇÃO"/>
    <n v="4"/>
    <s v="CURVA"/>
    <n v="14"/>
    <s v="NÃO"/>
    <s v="NÃO"/>
    <s v="NÃO"/>
    <s v="145A-PG-14¨-L1H-871"/>
    <s v="START UP II"/>
    <s v="DISPOSIÇÃO DE REJEITOS LINHA DO CIRCUITO ARENOSO DISTRIBUIDOR DI-145A-9911 PARA DISTRIBUIDOR DI 145A-9912"/>
    <m/>
    <m/>
    <m/>
    <s v="1450AA-T-70254_FL15"/>
    <n v="1"/>
    <s v="PÇ"/>
    <n v="0.48799999999999999"/>
    <n v="0.48799999999999999"/>
    <n v="2725.4"/>
    <n v="1329.9952000000001"/>
    <n v="0"/>
    <n v="0.9"/>
    <n v="0.1"/>
    <m/>
    <m/>
    <m/>
    <n v="0"/>
    <m/>
    <n v="0"/>
    <n v="0.48799999999999999"/>
    <m/>
    <n v="0.4"/>
    <n v="0.5"/>
    <n v="0.1"/>
    <m/>
    <m/>
    <m/>
    <n v="0"/>
    <n v="0"/>
    <n v="0"/>
    <n v="1329.9952000000001"/>
    <m/>
    <m/>
  </r>
  <r>
    <s v="2.4.3.1.5"/>
    <s v="CMS M.60.10.000"/>
    <s v="TUBULAÇÃO"/>
    <n v="5"/>
    <s v="SPOOL"/>
    <n v="14"/>
    <s v="SIM"/>
    <s v="NÃO"/>
    <s v="NÃO"/>
    <s v="145A-PG-14¨-L1H-871"/>
    <s v="START UP II"/>
    <s v="DISPOSIÇÃO DE REJEITOS LINHA DO CIRCUITO ARENOSO DISTRIBUIDOR DI-145A-9911 PARA DISTRIBUIDOR DI 145A-9912"/>
    <m/>
    <m/>
    <m/>
    <s v="1450AA-T-70254_FL13"/>
    <n v="1"/>
    <s v="PÇ"/>
    <n v="0.35499999999999998"/>
    <n v="0.35499999999999998"/>
    <n v="2725.4"/>
    <n v="967.51699999999994"/>
    <n v="0"/>
    <n v="0.9"/>
    <n v="0.1"/>
    <m/>
    <m/>
    <m/>
    <n v="0"/>
    <m/>
    <n v="0"/>
    <n v="0.35499999999999998"/>
    <m/>
    <n v="0.4"/>
    <n v="0.5"/>
    <n v="0.1"/>
    <m/>
    <m/>
    <m/>
    <n v="0"/>
    <n v="0"/>
    <n v="0"/>
    <n v="967.51699999999994"/>
    <m/>
    <m/>
  </r>
  <r>
    <s v="2.4.3.1.5"/>
    <s v="CMS M.60.10.000"/>
    <s v="TUBULAÇÃO"/>
    <n v="6"/>
    <s v="SPOOL"/>
    <n v="14"/>
    <s v="NÃO"/>
    <s v="NÃO"/>
    <s v="NÃO"/>
    <s v="145A-PG-14¨-L1H-871"/>
    <s v="START UP II"/>
    <s v="DISPOSIÇÃO DE REJEITOS LINHA DO CIRCUITO ARENOSO DISTRIBUIDOR DI-145A-9911 PARA DISTRIBUIDOR DI 145A-9912"/>
    <m/>
    <m/>
    <m/>
    <s v="1450AA-T-70254_FL11"/>
    <n v="1"/>
    <s v="PÇ"/>
    <n v="3.3"/>
    <n v="3.3"/>
    <n v="2725.4"/>
    <n v="8993.82"/>
    <n v="0"/>
    <n v="0.9"/>
    <n v="0.1"/>
    <m/>
    <m/>
    <m/>
    <n v="0"/>
    <m/>
    <n v="0"/>
    <n v="3.3"/>
    <m/>
    <n v="0.4"/>
    <n v="0.5"/>
    <n v="0.1"/>
    <m/>
    <m/>
    <m/>
    <n v="0"/>
    <n v="0"/>
    <n v="0"/>
    <n v="8993.82"/>
    <m/>
    <m/>
  </r>
  <r>
    <s v="2.4.3.1.5"/>
    <s v="CMS M.60.10.000"/>
    <s v="TUBULAÇÃO"/>
    <n v="7"/>
    <s v="CURVA"/>
    <n v="14"/>
    <s v="NÃO"/>
    <s v="NÃO"/>
    <s v="NÃO"/>
    <s v="145A-PG-14¨-L1H-871"/>
    <s v="START UP II"/>
    <s v="DISPOSIÇÃO DE REJEITOS LINHA DO CIRCUITO ARENOSO DISTRIBUIDOR DI-145A-9911 PARA DISTRIBUIDOR DI 145A-9912"/>
    <m/>
    <m/>
    <m/>
    <s v="1450AA-T-70254_FL14"/>
    <n v="1"/>
    <s v="PÇ"/>
    <n v="0.45400000000000001"/>
    <n v="0.45400000000000001"/>
    <n v="2725.4"/>
    <n v="1237.3316"/>
    <n v="0"/>
    <n v="0.9"/>
    <n v="0.1"/>
    <m/>
    <m/>
    <m/>
    <n v="0"/>
    <m/>
    <n v="0"/>
    <n v="0.45400000000000001"/>
    <m/>
    <n v="0.4"/>
    <n v="0.5"/>
    <n v="0.1"/>
    <m/>
    <m/>
    <m/>
    <n v="0"/>
    <n v="0"/>
    <n v="0"/>
    <n v="1237.3316"/>
    <m/>
    <m/>
  </r>
  <r>
    <s v="2.4.3.1.5"/>
    <s v="CMS M.60.10.000"/>
    <s v="TUBULAÇÃO"/>
    <n v="8"/>
    <s v="SPOOL"/>
    <n v="14"/>
    <s v="NÃO"/>
    <s v="NÃO"/>
    <s v="NÃO"/>
    <s v="145A-PG-14¨-L1H-871"/>
    <s v="START UP II"/>
    <s v="DISPOSIÇÃO DE REJEITOS LINHA DO CIRCUITO ARENOSO DISTRIBUIDOR DI-145A-9911 PARA DISTRIBUIDOR DI 145A-9912"/>
    <m/>
    <m/>
    <m/>
    <s v="1450AA-T-70254_FL10"/>
    <n v="1"/>
    <s v="PÇ"/>
    <n v="2.0710000000000002"/>
    <n v="2.0710000000000002"/>
    <n v="2725.4"/>
    <n v="5644.3034000000007"/>
    <n v="0"/>
    <n v="0.9"/>
    <n v="0.1"/>
    <m/>
    <m/>
    <m/>
    <n v="0"/>
    <m/>
    <n v="0"/>
    <n v="2.0710000000000002"/>
    <m/>
    <n v="0.4"/>
    <n v="0.5"/>
    <n v="0.1"/>
    <m/>
    <m/>
    <m/>
    <n v="0"/>
    <n v="0"/>
    <n v="0"/>
    <n v="5644.3034000000007"/>
    <m/>
    <m/>
  </r>
  <r>
    <s v="2.4.3.1.5"/>
    <s v="CMS M.60.10.000"/>
    <s v="TUBULAÇÃO"/>
    <n v="9"/>
    <s v="CURVA"/>
    <n v="14"/>
    <s v="NÃO"/>
    <s v="NÃO"/>
    <s v="NÃO"/>
    <s v="145A-PG-14¨-L1H-871"/>
    <s v="START UP II"/>
    <s v="DISPOSIÇÃO DE REJEITOS LINHA DO CIRCUITO ARENOSO DISTRIBUIDOR DI-145A-9911 PARA DISTRIBUIDOR DI 145A-9912"/>
    <m/>
    <m/>
    <m/>
    <s v="1450AA-T-70254_FL17"/>
    <n v="1"/>
    <s v="PÇ"/>
    <n v="0.81799999999999995"/>
    <n v="0.81799999999999995"/>
    <n v="2725.4"/>
    <n v="2229.3771999999999"/>
    <n v="0"/>
    <n v="0.9"/>
    <n v="0.1"/>
    <m/>
    <m/>
    <m/>
    <n v="0"/>
    <m/>
    <n v="0"/>
    <n v="0.81799999999999995"/>
    <m/>
    <n v="0.4"/>
    <n v="0.5"/>
    <n v="0.1"/>
    <m/>
    <m/>
    <m/>
    <n v="0"/>
    <n v="0"/>
    <n v="0"/>
    <n v="2229.3771999999999"/>
    <m/>
    <m/>
  </r>
  <r>
    <s v="2.4.3.1.5"/>
    <s v="CMS M.60.10.000"/>
    <s v="TUBULAÇÃO"/>
    <n v="10"/>
    <s v="SPOOL"/>
    <n v="14"/>
    <s v="NÃO"/>
    <s v="NÃO"/>
    <s v="NÃO"/>
    <s v="145A-PG-14¨-L1H-871"/>
    <s v="START UP II"/>
    <s v="DISPOSIÇÃO DE REJEITOS LINHA DO CIRCUITO ARENOSO DISTRIBUIDOR DI-145A-9911 PARA DISTRIBUIDOR DI 145A-9912"/>
    <m/>
    <m/>
    <m/>
    <s v="1450AA-T-70254_FL12"/>
    <n v="1"/>
    <s v="PÇ"/>
    <n v="5.4580000000000002"/>
    <n v="5.4580000000000002"/>
    <n v="2725.4"/>
    <n v="14875.233200000001"/>
    <n v="0"/>
    <n v="0.9"/>
    <n v="0.1"/>
    <m/>
    <m/>
    <m/>
    <n v="0"/>
    <m/>
    <n v="0"/>
    <n v="5.4580000000000002"/>
    <m/>
    <n v="0.4"/>
    <n v="0.5"/>
    <n v="0.1"/>
    <m/>
    <m/>
    <m/>
    <n v="0"/>
    <n v="0"/>
    <n v="0"/>
    <n v="14875.233200000001"/>
    <m/>
    <m/>
  </r>
  <r>
    <s v="2.4.3.1.5"/>
    <s v="CMS M.60.10.000"/>
    <s v="TUBULAÇÃO"/>
    <n v="11"/>
    <s v="CURVA"/>
    <n v="14"/>
    <s v="NÃO"/>
    <s v="NÃO"/>
    <s v="NÃO"/>
    <s v="145A-PG-14¨-L1H-871"/>
    <s v="START UP II"/>
    <s v="DISPOSIÇÃO DE REJEITOS LINHA DO CIRCUITO ARENOSO DISTRIBUIDOR DI-145A-9911 PARA DISTRIBUIDOR DI 145A-9912"/>
    <m/>
    <m/>
    <m/>
    <s v="1450AA-T-70254_FL16"/>
    <n v="1"/>
    <s v="PÇ"/>
    <n v="0.61299999999999999"/>
    <n v="0.61299999999999999"/>
    <n v="2725.4"/>
    <n v="1670.6702"/>
    <n v="0"/>
    <n v="0.9"/>
    <n v="0.1"/>
    <m/>
    <m/>
    <m/>
    <n v="0"/>
    <m/>
    <n v="0"/>
    <n v="0.61299999999999999"/>
    <m/>
    <n v="0.4"/>
    <n v="0.5"/>
    <n v="0.1"/>
    <m/>
    <m/>
    <m/>
    <n v="0"/>
    <n v="0"/>
    <n v="0"/>
    <n v="1670.6702"/>
    <m/>
    <m/>
  </r>
  <r>
    <s v="2.4.3.1.5"/>
    <s v="CMS M.60.10.000"/>
    <s v="TUBULAÇÃO"/>
    <n v="12"/>
    <s v="SPOOL"/>
    <n v="14"/>
    <s v="NÃO"/>
    <s v="NÃO"/>
    <s v="NÃO"/>
    <s v="145A-PG-14¨-L1H-871"/>
    <s v="START UP II"/>
    <s v="DISPOSIÇÃO DE REJEITOS LINHA DO CIRCUITO ARENOSO DISTRIBUIDOR DI-145A-9911 PARA DISTRIBUIDOR DI 145A-9912"/>
    <m/>
    <m/>
    <m/>
    <s v="1450AA-T-70254_FL20"/>
    <n v="1"/>
    <s v="PÇ"/>
    <n v="1.5"/>
    <n v="1.5"/>
    <n v="2725.4"/>
    <n v="4088.1000000000004"/>
    <n v="0"/>
    <n v="0.9"/>
    <n v="0.1"/>
    <m/>
    <m/>
    <m/>
    <n v="0"/>
    <m/>
    <n v="0"/>
    <n v="1.5"/>
    <m/>
    <n v="0.4"/>
    <n v="0.5"/>
    <n v="0.1"/>
    <m/>
    <m/>
    <m/>
    <n v="0"/>
    <n v="0"/>
    <n v="0"/>
    <n v="4088.1000000000004"/>
    <m/>
    <m/>
  </r>
  <r>
    <s v="2.4.3.1.5"/>
    <s v="CMS M.60.10.000"/>
    <s v="TUBULAÇÃO"/>
    <n v="13"/>
    <s v="SPOOL"/>
    <n v="14"/>
    <s v="NÃO"/>
    <s v="NÃO"/>
    <s v="NÃO"/>
    <s v="145A-PG-14¨-L1H-871"/>
    <s v="START UP II"/>
    <s v="DISPOSIÇÃO DE REJEITOS LINHA DO CIRCUITO ARENOSO DISTRIBUIDOR DI-145A-9911 PARA DISTRIBUIDOR DI 145A-9912"/>
    <m/>
    <m/>
    <m/>
    <s v="1450AA-T-70254_FL09"/>
    <n v="1"/>
    <s v="PÇ"/>
    <n v="0.28899999999999998"/>
    <n v="0.28899999999999998"/>
    <n v="2725.4"/>
    <n v="787.64059999999995"/>
    <n v="0"/>
    <n v="0.9"/>
    <n v="0.1"/>
    <m/>
    <m/>
    <m/>
    <n v="0"/>
    <m/>
    <n v="0"/>
    <n v="0.28899999999999998"/>
    <m/>
    <n v="0.4"/>
    <n v="0.5"/>
    <n v="0.1"/>
    <m/>
    <m/>
    <m/>
    <n v="0"/>
    <n v="0"/>
    <n v="0"/>
    <n v="787.64059999999995"/>
    <m/>
    <m/>
  </r>
  <r>
    <s v="2.4.3.1.6"/>
    <s v="CMS M.60.10.000"/>
    <s v="TUBULAÇÃO"/>
    <n v="1"/>
    <s v="CURVA"/>
    <n v="16"/>
    <s v="NÃO"/>
    <s v="NÃO"/>
    <s v="NÃO"/>
    <s v="145A-PG-14¨-L1H-872"/>
    <s v="START UP II"/>
    <s v="DISPOSIÇÃO DE REJEITOS LINHA DO CIRCUITO ARENOSO DISTRIBUIDOR DI-145A-9911 PARA DISTRIBUIDOR DI 145A-9913"/>
    <m/>
    <m/>
    <m/>
    <s v="1450AA-T-70256_FL15"/>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2"/>
    <s v="START UP II"/>
    <s v="DISPOSIÇÃO DE REJEITOS LINHA DO CIRCUITO ARENOSO DISTRIBUIDOR DI-145A-9911 PARA DISTRIBUIDOR DI 145A-9913"/>
    <m/>
    <m/>
    <m/>
    <s v="1450AA-T-70256_FL16"/>
    <n v="1"/>
    <s v="PÇ"/>
    <n v="1"/>
    <n v="1"/>
    <n v="2725.4"/>
    <n v="2725.4"/>
    <n v="0"/>
    <n v="0.9"/>
    <n v="0.1"/>
    <m/>
    <m/>
    <m/>
    <n v="0"/>
    <m/>
    <n v="0"/>
    <n v="1"/>
    <m/>
    <n v="0.4"/>
    <n v="0.5"/>
    <n v="0.1"/>
    <m/>
    <m/>
    <m/>
    <n v="0"/>
    <n v="0"/>
    <n v="0"/>
    <n v="2725.4"/>
    <m/>
    <m/>
  </r>
  <r>
    <s v="2.4.3.1.5"/>
    <s v="CMS M.60.10.000"/>
    <s v="TUBULAÇÃO"/>
    <n v="3"/>
    <s v="SPOOL"/>
    <n v="14"/>
    <s v="SIM"/>
    <s v="NÃO"/>
    <s v="NÃO"/>
    <s v="145A-PG-14¨-L1H-872"/>
    <s v="START UP II"/>
    <s v="DISPOSIÇÃO DE REJEITOS LINHA DO CIRCUITO ARENOSO DISTRIBUIDOR DI-145A-9911 PARA DISTRIBUIDOR DI 145A-9913"/>
    <m/>
    <m/>
    <m/>
    <s v="1450AA-T-70256_FL12"/>
    <n v="1"/>
    <s v="PÇ"/>
    <n v="0.375"/>
    <n v="0.375"/>
    <n v="2725.4"/>
    <n v="1022.0250000000001"/>
    <n v="0"/>
    <n v="0.9"/>
    <n v="0.1"/>
    <m/>
    <m/>
    <m/>
    <n v="0"/>
    <m/>
    <n v="0"/>
    <n v="0.375"/>
    <m/>
    <n v="0.4"/>
    <n v="0.5"/>
    <n v="0.1"/>
    <m/>
    <m/>
    <m/>
    <n v="0"/>
    <n v="0"/>
    <n v="0"/>
    <n v="1022.0250000000001"/>
    <m/>
    <m/>
  </r>
  <r>
    <s v="2.4.3.1.5"/>
    <s v="CMS M.60.10.000"/>
    <s v="TUBULAÇÃO"/>
    <n v="4"/>
    <s v="SPOOL"/>
    <n v="14"/>
    <s v="NÃO"/>
    <s v="NÃO"/>
    <s v="NÃO"/>
    <s v="145A-PG-14¨-L1H-872"/>
    <s v="START UP II"/>
    <s v="DISPOSIÇÃO DE REJEITOS LINHA DO CIRCUITO ARENOSO DISTRIBUIDOR DI-145A-9911 PARA DISTRIBUIDOR DI 145A-9913"/>
    <m/>
    <m/>
    <m/>
    <s v="1450AA-T-70256_FL11"/>
    <n v="1"/>
    <s v="PÇ"/>
    <n v="2.4"/>
    <n v="2.4"/>
    <n v="2725.4"/>
    <n v="6540.96"/>
    <n v="0"/>
    <n v="0.9"/>
    <n v="0.1"/>
    <m/>
    <m/>
    <m/>
    <n v="0"/>
    <m/>
    <n v="0"/>
    <n v="2.4"/>
    <m/>
    <n v="0.4"/>
    <n v="0.5"/>
    <n v="0.1"/>
    <m/>
    <m/>
    <m/>
    <n v="0"/>
    <n v="0"/>
    <n v="0"/>
    <n v="6540.96"/>
    <m/>
    <m/>
  </r>
  <r>
    <s v="2.4.3.1.5"/>
    <s v="CMS M.60.10.000"/>
    <s v="TUBULAÇÃO"/>
    <n v="5"/>
    <s v="CURVA"/>
    <n v="14"/>
    <s v="NÃO"/>
    <s v="NÃO"/>
    <s v="NÃO"/>
    <s v="145A-PG-14¨-L1H-872"/>
    <s v="START UP II"/>
    <s v="DISPOSIÇÃO DE REJEITOS LINHA DO CIRCUITO ARENOSO DISTRIBUIDOR DI-145A-9911 PARA DISTRIBUIDOR DI 145A-9913"/>
    <m/>
    <m/>
    <m/>
    <s v="1450AA-T-70256_FL14"/>
    <n v="1"/>
    <s v="PÇ"/>
    <n v="0.61299999999999999"/>
    <n v="0.61299999999999999"/>
    <n v="2725.4"/>
    <n v="1670.6702"/>
    <n v="0"/>
    <n v="0.9"/>
    <n v="0.1"/>
    <m/>
    <m/>
    <m/>
    <n v="0"/>
    <m/>
    <n v="0"/>
    <n v="0.61299999999999999"/>
    <m/>
    <n v="0.4"/>
    <n v="0.5"/>
    <n v="0.1"/>
    <m/>
    <m/>
    <m/>
    <n v="0"/>
    <n v="0"/>
    <n v="0"/>
    <n v="1670.6702"/>
    <m/>
    <m/>
  </r>
  <r>
    <s v="2.4.3.1.5"/>
    <s v="CMS M.60.10.000"/>
    <s v="TUBULAÇÃO"/>
    <n v="6"/>
    <s v="SPOOL"/>
    <n v="14"/>
    <s v="NÃO"/>
    <s v="NÃO"/>
    <s v="NÃO"/>
    <s v="145A-PG-14¨-L1H-872"/>
    <s v="START UP II"/>
    <s v="DISPOSIÇÃO DE REJEITOS LINHA DO CIRCUITO ARENOSO DISTRIBUIDOR DI-145A-9911 PARA DISTRIBUIDOR DI 145A-9913"/>
    <m/>
    <m/>
    <m/>
    <s v="1450AA-T-70256_FL10"/>
    <n v="1"/>
    <s v="PÇ"/>
    <n v="1.3660000000000001"/>
    <n v="1.3660000000000001"/>
    <n v="2725.4"/>
    <n v="3722.8964000000005"/>
    <n v="0"/>
    <n v="0.9"/>
    <n v="0.1"/>
    <m/>
    <m/>
    <m/>
    <n v="0"/>
    <m/>
    <n v="0"/>
    <n v="1.3660000000000001"/>
    <m/>
    <n v="0.4"/>
    <n v="0.5"/>
    <n v="0.1"/>
    <m/>
    <m/>
    <m/>
    <n v="0"/>
    <n v="0"/>
    <n v="0"/>
    <n v="3722.8964000000005"/>
    <m/>
    <m/>
  </r>
  <r>
    <s v="2.4.3.1.5"/>
    <s v="CMS M.60.10.000"/>
    <s v="TUBULAÇÃO"/>
    <n v="7"/>
    <s v="CURVA"/>
    <n v="14"/>
    <s v="NÃO"/>
    <s v="NÃO"/>
    <s v="NÃO"/>
    <s v="145A-PG-14¨-L1H-872"/>
    <s v="START UP II"/>
    <s v="DISPOSIÇÃO DE REJEITOS LINHA DO CIRCUITO ARENOSO DISTRIBUIDOR DI-145A-9911 PARA DISTRIBUIDOR DI 145A-9913"/>
    <m/>
    <m/>
    <m/>
    <s v="1450AA-T-70256_FL13"/>
    <n v="1"/>
    <s v="PÇ"/>
    <n v="0.52100000000000002"/>
    <n v="0.52100000000000002"/>
    <n v="2725.4"/>
    <n v="1419.9334000000001"/>
    <n v="0"/>
    <n v="0.9"/>
    <n v="0.1"/>
    <m/>
    <m/>
    <m/>
    <n v="0"/>
    <m/>
    <n v="0"/>
    <n v="0.52100000000000002"/>
    <m/>
    <n v="0.4"/>
    <n v="0.5"/>
    <n v="0.1"/>
    <m/>
    <m/>
    <m/>
    <n v="0"/>
    <n v="0"/>
    <n v="0"/>
    <n v="1419.9334000000001"/>
    <m/>
    <m/>
  </r>
  <r>
    <s v="2.4.3.1.5"/>
    <s v="CMS M.60.10.000"/>
    <s v="TUBULAÇÃO"/>
    <n v="8"/>
    <s v="SPOOL"/>
    <n v="14"/>
    <s v="NÃO"/>
    <s v="NÃO"/>
    <s v="NÃO"/>
    <s v="145A-PG-14¨-L1H-872"/>
    <s v="START UP II"/>
    <s v="DISPOSIÇÃO DE REJEITOS LINHA DO CIRCUITO ARENOSO DISTRIBUIDOR DI-145A-9911 PARA DISTRIBUIDOR DI 145A-9913"/>
    <m/>
    <m/>
    <m/>
    <s v="1450AA-T-70256_FL09"/>
    <n v="1"/>
    <s v="PÇ"/>
    <n v="1.07"/>
    <n v="1.07"/>
    <n v="2725.4"/>
    <n v="2916.1780000000003"/>
    <n v="0"/>
    <n v="0.9"/>
    <n v="0.1"/>
    <m/>
    <m/>
    <m/>
    <n v="0"/>
    <m/>
    <n v="0"/>
    <n v="1.07"/>
    <m/>
    <n v="0.4"/>
    <n v="0.5"/>
    <n v="0.1"/>
    <m/>
    <m/>
    <m/>
    <n v="0"/>
    <n v="0"/>
    <n v="0"/>
    <n v="2916.1780000000003"/>
    <m/>
    <m/>
  </r>
  <r>
    <s v="2.4.3.1.5"/>
    <s v="CMS M.60.10.000"/>
    <s v="TUBULAÇÃO"/>
    <n v="9"/>
    <s v="SPOOL"/>
    <n v="14"/>
    <s v="NÃO"/>
    <s v="NÃO"/>
    <s v="NÃO"/>
    <s v="145A-PG-14¨-L1H-872"/>
    <s v="START UP II"/>
    <s v="DISPOSIÇÃO DE REJEITOS LINHA DO CIRCUITO ARENOSO DISTRIBUIDOR DI-145A-9911 PARA DISTRIBUIDOR DI 145A-9913"/>
    <m/>
    <m/>
    <m/>
    <s v="1450AA-T-70256_FL17"/>
    <n v="1"/>
    <s v="PÇ"/>
    <n v="1.5"/>
    <n v="1.5"/>
    <n v="2725.4"/>
    <n v="4088.1000000000004"/>
    <n v="0"/>
    <n v="0.9"/>
    <n v="0.1"/>
    <m/>
    <m/>
    <m/>
    <n v="0"/>
    <m/>
    <n v="0"/>
    <n v="1.5"/>
    <m/>
    <n v="0.4"/>
    <n v="0.5"/>
    <n v="0.1"/>
    <m/>
    <m/>
    <m/>
    <n v="0"/>
    <n v="0"/>
    <n v="0"/>
    <n v="4088.1000000000004"/>
    <m/>
    <m/>
  </r>
  <r>
    <s v="2.4.3.1.5"/>
    <s v="CMS M.60.10.000"/>
    <s v="TUBULAÇÃO"/>
    <n v="10"/>
    <s v="SPOOL"/>
    <n v="14"/>
    <s v="NÃO"/>
    <s v="NÃO"/>
    <s v="NÃO"/>
    <s v="145A-PG-14¨-L1H-872"/>
    <s v="START UP II"/>
    <s v="DISPOSIÇÃO DE REJEITOS LINHA DO CIRCUITO ARENOSO DISTRIBUIDOR DI-145A-9911 PARA DISTRIBUIDOR DI 145A-9913"/>
    <m/>
    <m/>
    <m/>
    <s v="1450AA-T-70256_FL08"/>
    <n v="1"/>
    <s v="PÇ"/>
    <n v="0.27100000000000002"/>
    <n v="0.27100000000000002"/>
    <n v="2725.4"/>
    <n v="738.5834000000001"/>
    <n v="0"/>
    <n v="0.9"/>
    <n v="0.1"/>
    <m/>
    <m/>
    <m/>
    <n v="0"/>
    <m/>
    <n v="0"/>
    <n v="0.27100000000000002"/>
    <m/>
    <n v="0.4"/>
    <n v="0.5"/>
    <n v="0.1"/>
    <m/>
    <m/>
    <m/>
    <n v="0"/>
    <n v="0"/>
    <n v="0"/>
    <n v="738.5834000000001"/>
    <m/>
    <m/>
  </r>
  <r>
    <s v="2.4.3.1.6"/>
    <s v="CMS M.60.10.000"/>
    <s v="TUBULAÇÃO"/>
    <n v="1"/>
    <s v="CURVA"/>
    <n v="16"/>
    <s v="NÃO"/>
    <s v="NÃO"/>
    <s v="NÃO"/>
    <s v="145A-PG-14¨-L1H-873"/>
    <s v="START UP I"/>
    <s v="DISPOSIÇÃO DE REJEITOS LINHA DO CIRCUITO ARENOSO DISTRIBUIDOR DI-145A-9911 PARA DISTRIBUIDOR DI 145A-9914"/>
    <m/>
    <m/>
    <m/>
    <s v="1450AA-T-70258_FL17"/>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3"/>
    <s v="START UP I"/>
    <s v="DISPOSIÇÃO DE REJEITOS LINHA DO CIRCUITO ARENOSO DISTRIBUIDOR DI-145A-9911 PARA DISTRIBUIDOR DI 145A-9914"/>
    <m/>
    <m/>
    <m/>
    <s v="1450AA-T-70258_FL18"/>
    <n v="1"/>
    <s v="PÇ"/>
    <n v="0.7"/>
    <n v="0.7"/>
    <n v="2725.4"/>
    <n v="1907.78"/>
    <n v="0"/>
    <n v="0.9"/>
    <n v="0.1"/>
    <m/>
    <m/>
    <m/>
    <n v="0"/>
    <m/>
    <n v="0"/>
    <n v="0.7"/>
    <m/>
    <n v="0.4"/>
    <n v="0.5"/>
    <n v="0.1"/>
    <m/>
    <m/>
    <m/>
    <n v="0"/>
    <n v="0"/>
    <n v="0"/>
    <n v="1907.78"/>
    <m/>
    <m/>
  </r>
  <r>
    <s v="2.4.3.1.5"/>
    <s v="CMS M.60.10.000"/>
    <s v="TUBULAÇÃO"/>
    <n v="3"/>
    <s v="SPOOL"/>
    <n v="14"/>
    <s v="SIM"/>
    <s v="NÃO"/>
    <s v="NÃO"/>
    <s v="145A-PG-14¨-L1H-873"/>
    <s v="START UP I"/>
    <s v="DISPOSIÇÃO DE REJEITOS LINHA DO CIRCUITO ARENOSO DISTRIBUIDOR DI-145A-9911 PARA DISTRIBUIDOR DI 145A-9914"/>
    <m/>
    <m/>
    <m/>
    <s v="1450AA-T-70258_FL12"/>
    <n v="1"/>
    <s v="PÇ"/>
    <n v="0.32"/>
    <n v="0.32"/>
    <n v="2725.4"/>
    <n v="872.12800000000004"/>
    <n v="0"/>
    <n v="0.9"/>
    <n v="0.1"/>
    <m/>
    <m/>
    <m/>
    <n v="0"/>
    <m/>
    <n v="0"/>
    <n v="0.32"/>
    <m/>
    <n v="0.4"/>
    <n v="0.5"/>
    <n v="0.1"/>
    <m/>
    <m/>
    <m/>
    <n v="0"/>
    <n v="0"/>
    <n v="0"/>
    <n v="872.12800000000004"/>
    <m/>
    <m/>
  </r>
  <r>
    <s v="2.4.3.1.5"/>
    <s v="CMS M.60.10.000"/>
    <s v="TUBULAÇÃO"/>
    <n v="4"/>
    <s v="SPOOL"/>
    <n v="14"/>
    <s v="NÃO"/>
    <s v="NÃO"/>
    <s v="NÃO"/>
    <s v="145A-PG-14¨-L1H-873"/>
    <s v="START UP I"/>
    <s v="DISPOSIÇÃO DE REJEITOS LINHA DO CIRCUITO ARENOSO DISTRIBUIDOR DI-145A-9911 PARA DISTRIBUIDOR DI 145A-9914"/>
    <m/>
    <m/>
    <m/>
    <s v="1450AA-T-70258_FL09"/>
    <n v="1"/>
    <s v="PÇ"/>
    <n v="1.4"/>
    <n v="1.4"/>
    <n v="2725.4"/>
    <n v="3815.56"/>
    <n v="0"/>
    <n v="0.9"/>
    <n v="0.1"/>
    <m/>
    <m/>
    <m/>
    <n v="0"/>
    <m/>
    <n v="0"/>
    <n v="1.4"/>
    <m/>
    <n v="0.4"/>
    <n v="0.5"/>
    <n v="0.1"/>
    <m/>
    <m/>
    <m/>
    <n v="0"/>
    <n v="0"/>
    <n v="0"/>
    <n v="3815.56"/>
    <m/>
    <m/>
  </r>
  <r>
    <s v="2.4.3.1.5"/>
    <s v="CMS M.60.10.000"/>
    <s v="TUBULAÇÃO"/>
    <n v="5"/>
    <s v="CURVA"/>
    <n v="14"/>
    <s v="NÃO"/>
    <s v="NÃO"/>
    <s v="NÃO"/>
    <s v="145A-PG-14¨-L1H-873"/>
    <s v="START UP I"/>
    <s v="DISPOSIÇÃO DE REJEITOS LINHA DO CIRCUITO ARENOSO DISTRIBUIDOR DI-145A-9911 PARA DISTRIBUIDOR DI 145A-9914"/>
    <m/>
    <m/>
    <m/>
    <s v="1450AA-T-70258_FL14"/>
    <n v="1"/>
    <s v="PÇ"/>
    <n v="0.34200000000000003"/>
    <n v="0.34200000000000003"/>
    <n v="2725.4"/>
    <n v="932.08680000000015"/>
    <n v="0"/>
    <n v="0.9"/>
    <n v="0.1"/>
    <m/>
    <m/>
    <m/>
    <n v="0"/>
    <m/>
    <n v="0"/>
    <n v="0.34200000000000003"/>
    <m/>
    <n v="0.4"/>
    <n v="0.5"/>
    <n v="0.1"/>
    <m/>
    <m/>
    <m/>
    <n v="0"/>
    <n v="0"/>
    <n v="0"/>
    <n v="932.08680000000015"/>
    <m/>
    <m/>
  </r>
  <r>
    <s v="2.4.3.1.5"/>
    <s v="CMS M.60.10.000"/>
    <s v="TUBULAÇÃO"/>
    <n v="6"/>
    <s v="SPOOL"/>
    <n v="14"/>
    <s v="NÃO"/>
    <s v="NÃO"/>
    <s v="NÃO"/>
    <s v="145A-PG-14¨-L1H-873"/>
    <s v="START UP I"/>
    <s v="DISPOSIÇÃO DE REJEITOS LINHA DO CIRCUITO ARENOSO DISTRIBUIDOR DI-145A-9911 PARA DISTRIBUIDOR DI 145A-9914"/>
    <m/>
    <m/>
    <m/>
    <s v="1450AA-T-70258_FL10"/>
    <n v="1"/>
    <s v="PÇ"/>
    <n v="3.1259999999999999"/>
    <n v="3.1259999999999999"/>
    <n v="2725.4"/>
    <n v="8519.6003999999994"/>
    <n v="0"/>
    <n v="0.9"/>
    <n v="0.1"/>
    <m/>
    <m/>
    <m/>
    <n v="0"/>
    <m/>
    <n v="0"/>
    <n v="3.1259999999999999"/>
    <m/>
    <n v="0.4"/>
    <n v="0.5"/>
    <n v="0.1"/>
    <m/>
    <m/>
    <m/>
    <n v="0"/>
    <n v="0"/>
    <n v="0"/>
    <n v="8519.6003999999994"/>
    <m/>
    <m/>
  </r>
  <r>
    <s v="2.4.3.1.5"/>
    <s v="CMS M.60.10.000"/>
    <s v="TUBULAÇÃO"/>
    <n v="7"/>
    <s v="CURVA"/>
    <n v="14"/>
    <s v="NÃO"/>
    <s v="NÃO"/>
    <s v="NÃO"/>
    <s v="145A-PG-14¨-L1H-873"/>
    <s v="START UP I"/>
    <s v="DISPOSIÇÃO DE REJEITOS LINHA DO CIRCUITO ARENOSO DISTRIBUIDOR DI-145A-9911 PARA DISTRIBUIDOR DI 145A-9914"/>
    <m/>
    <m/>
    <m/>
    <s v="1450AA-T-70258_FL16"/>
    <n v="1"/>
    <s v="PÇ"/>
    <n v="0.76900000000000002"/>
    <n v="0.76900000000000002"/>
    <n v="2725.4"/>
    <n v="2095.8326000000002"/>
    <n v="0"/>
    <n v="0.9"/>
    <n v="0.1"/>
    <m/>
    <m/>
    <m/>
    <n v="0"/>
    <m/>
    <n v="0"/>
    <n v="0.76900000000000002"/>
    <m/>
    <n v="0.4"/>
    <n v="0.5"/>
    <n v="0.1"/>
    <m/>
    <m/>
    <m/>
    <n v="0"/>
    <n v="0"/>
    <n v="0"/>
    <n v="2095.8326000000002"/>
    <m/>
    <m/>
  </r>
  <r>
    <s v="2.4.3.1.5"/>
    <s v="CMS M.60.10.000"/>
    <s v="TUBULAÇÃO"/>
    <n v="8"/>
    <s v="SPOOL"/>
    <n v="14"/>
    <s v="NÃO"/>
    <s v="NÃO"/>
    <s v="NÃO"/>
    <s v="145A-PG-14¨-L1H-873"/>
    <s v="START UP I"/>
    <s v="DISPOSIÇÃO DE REJEITOS LINHA DO CIRCUITO ARENOSO DISTRIBUIDOR DI-145A-9911 PARA DISTRIBUIDOR DI 145A-9914"/>
    <m/>
    <m/>
    <m/>
    <s v="1450AA-T-70258_FL11"/>
    <n v="2"/>
    <s v="PÇ"/>
    <n v="3.4"/>
    <n v="6.8"/>
    <n v="2725.4"/>
    <n v="18532.72"/>
    <n v="0"/>
    <n v="0.9"/>
    <n v="0.1"/>
    <m/>
    <m/>
    <m/>
    <n v="0"/>
    <m/>
    <n v="0"/>
    <n v="6.8"/>
    <m/>
    <n v="0.4"/>
    <n v="0.5"/>
    <n v="0.1"/>
    <m/>
    <m/>
    <m/>
    <n v="0"/>
    <n v="0"/>
    <n v="0"/>
    <n v="18532.72"/>
    <m/>
    <m/>
  </r>
  <r>
    <s v="2.4.3.1.5"/>
    <s v="CMS M.60.10.000"/>
    <s v="TUBULAÇÃO"/>
    <n v="9"/>
    <s v="SPOOL"/>
    <n v="14"/>
    <s v="SIM"/>
    <s v="NÃO"/>
    <s v="NÃO"/>
    <s v="145A-PG-14¨-L1H-873"/>
    <s v="START UP I"/>
    <s v="DISPOSIÇÃO DE REJEITOS LINHA DO CIRCUITO ARENOSO DISTRIBUIDOR DI-145A-9911 PARA DISTRIBUIDOR DI 145A-9914"/>
    <m/>
    <m/>
    <m/>
    <s v="1450AA-T-70258_FL13"/>
    <n v="1"/>
    <s v="PÇ"/>
    <n v="0.42"/>
    <n v="0.42"/>
    <n v="2725.4"/>
    <n v="1144.6679999999999"/>
    <n v="0"/>
    <n v="0.9"/>
    <n v="0.1"/>
    <m/>
    <m/>
    <m/>
    <n v="0"/>
    <m/>
    <n v="0"/>
    <n v="0.42"/>
    <m/>
    <n v="0.4"/>
    <n v="0.5"/>
    <n v="0.1"/>
    <m/>
    <m/>
    <m/>
    <n v="0"/>
    <n v="0"/>
    <n v="0"/>
    <n v="1144.6679999999999"/>
    <m/>
    <m/>
  </r>
  <r>
    <s v="2.4.3.1.5"/>
    <s v="CMS M.60.10.000"/>
    <s v="TUBULAÇÃO"/>
    <n v="10"/>
    <s v="CURVA"/>
    <n v="14"/>
    <s v="NÃO"/>
    <s v="NÃO"/>
    <s v="NÃO"/>
    <s v="145A-PG-14¨-L1H-873"/>
    <s v="START UP I"/>
    <s v="DISPOSIÇÃO DE REJEITOS LINHA DO CIRCUITO ARENOSO DISTRIBUIDOR DI-145A-9911 PARA DISTRIBUIDOR DI 145A-9914"/>
    <m/>
    <m/>
    <m/>
    <s v="1450AA-T-70258_FL15"/>
    <n v="1"/>
    <s v="PÇ"/>
    <n v="0.61299999999999999"/>
    <n v="0.61299999999999999"/>
    <n v="2725.4"/>
    <n v="1670.6702"/>
    <n v="0"/>
    <n v="0.9"/>
    <n v="0.1"/>
    <m/>
    <m/>
    <m/>
    <n v="0"/>
    <m/>
    <n v="0"/>
    <n v="0.61299999999999999"/>
    <m/>
    <n v="0.4"/>
    <n v="0.5"/>
    <n v="0.1"/>
    <m/>
    <m/>
    <m/>
    <n v="0"/>
    <n v="0"/>
    <n v="0"/>
    <n v="1670.6702"/>
    <m/>
    <m/>
  </r>
  <r>
    <s v="2.4.3.1.5"/>
    <s v="CMS M.60.10.000"/>
    <s v="TUBULAÇÃO"/>
    <n v="11"/>
    <s v="SPOOL"/>
    <n v="14"/>
    <s v="NÃO"/>
    <s v="NÃO"/>
    <s v="NÃO"/>
    <s v="145A-PG-14¨-L1H-873"/>
    <s v="START UP I"/>
    <s v="DISPOSIÇÃO DE REJEITOS LINHA DO CIRCUITO ARENOSO DISTRIBUIDOR DI-145A-9911 PARA DISTRIBUIDOR DI 145A-9914"/>
    <m/>
    <m/>
    <m/>
    <s v="1450AA-T-70258_FL19"/>
    <n v="1"/>
    <s v="PÇ"/>
    <n v="1.5"/>
    <n v="1.5"/>
    <n v="2725.4"/>
    <n v="4088.1000000000004"/>
    <n v="0"/>
    <n v="0.9"/>
    <n v="0.1"/>
    <m/>
    <m/>
    <m/>
    <n v="0"/>
    <m/>
    <n v="0"/>
    <n v="1.5"/>
    <m/>
    <n v="0.4"/>
    <n v="0.5"/>
    <n v="0.1"/>
    <m/>
    <m/>
    <m/>
    <n v="0"/>
    <n v="0"/>
    <n v="0"/>
    <n v="4088.1000000000004"/>
    <m/>
    <m/>
  </r>
  <r>
    <s v="2.4.3.1.5"/>
    <s v="CMS M.60.10.000"/>
    <s v="TUBULAÇÃO"/>
    <n v="12"/>
    <s v="SPOOL"/>
    <n v="14"/>
    <s v="NÃO"/>
    <s v="NÃO"/>
    <s v="NÃO"/>
    <s v="145A-PG-14¨-L1H-873"/>
    <s v="START UP I"/>
    <s v="DISPOSIÇÃO DE REJEITOS LINHA DO CIRCUITO ARENOSO DISTRIBUIDOR DI-145A-9911 PARA DISTRIBUIDOR DI 145A-9914"/>
    <m/>
    <m/>
    <m/>
    <s v="1450AA-T-70258_FL08"/>
    <n v="1"/>
    <s v="PÇ"/>
    <n v="0.27700000000000002"/>
    <n v="0.27700000000000002"/>
    <n v="2725.4"/>
    <n v="754.93580000000009"/>
    <n v="0"/>
    <n v="0.9"/>
    <n v="0.1"/>
    <m/>
    <m/>
    <m/>
    <n v="0"/>
    <m/>
    <n v="0"/>
    <n v="0.27700000000000002"/>
    <m/>
    <n v="0.4"/>
    <n v="0.5"/>
    <n v="0.1"/>
    <m/>
    <m/>
    <m/>
    <n v="0"/>
    <n v="0"/>
    <n v="0"/>
    <n v="754.93580000000009"/>
    <m/>
    <m/>
  </r>
  <r>
    <s v="2.4.3.1.6"/>
    <s v="CMS M.60.10.000"/>
    <s v="TUBULAÇÃO"/>
    <n v="1"/>
    <s v="CURVA"/>
    <n v="16"/>
    <s v="NÃO"/>
    <s v="NÃO"/>
    <s v="NÃO"/>
    <s v="145A-PG-14¨-L1H-874"/>
    <s v="START UP I"/>
    <s v="DISPOSIÇÃO DE REJEITOS LINHA DO CIRCUITO ARENOSO DISTRIBUIDOR DI-145A-9911 PARA DISTRIBUIDOR DI 145A-9915"/>
    <m/>
    <m/>
    <m/>
    <s v="1450AA-T-70260_FL20"/>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4"/>
    <s v="START UP I"/>
    <s v="DISPOSIÇÃO DE REJEITOS LINHA DO CIRCUITO ARENOSO DISTRIBUIDOR DI-145A-9911 PARA DISTRIBUIDOR DI 145A-9915"/>
    <m/>
    <m/>
    <m/>
    <s v="1450AA-T-70260_FL21"/>
    <n v="1"/>
    <s v="PÇ"/>
    <n v="0.7"/>
    <n v="0.7"/>
    <n v="2725.4"/>
    <n v="1907.78"/>
    <n v="0"/>
    <n v="0.9"/>
    <n v="0.1"/>
    <m/>
    <m/>
    <m/>
    <n v="0"/>
    <m/>
    <n v="0"/>
    <n v="0.7"/>
    <m/>
    <n v="0.4"/>
    <n v="0.5"/>
    <n v="0.1"/>
    <m/>
    <m/>
    <m/>
    <n v="0"/>
    <n v="0"/>
    <n v="0"/>
    <n v="1907.78"/>
    <m/>
    <m/>
  </r>
  <r>
    <s v="2.4.3.1.5"/>
    <s v="CMS M.60.10.000"/>
    <s v="TUBULAÇÃO"/>
    <n v="3"/>
    <s v="SPOOL"/>
    <n v="14"/>
    <s v="NÃO"/>
    <s v="NÃO"/>
    <s v="NÃO"/>
    <s v="145A-PG-14¨-L1H-874"/>
    <s v="START UP I"/>
    <s v="DISPOSIÇÃO DE REJEITOS LINHA DO CIRCUITO ARENOSO DISTRIBUIDOR DI-145A-9911 PARA DISTRIBUIDOR DI 145A-9915"/>
    <m/>
    <m/>
    <m/>
    <s v="1450AA-T-70260_FL08"/>
    <n v="1"/>
    <s v="PÇ"/>
    <n v="0.185"/>
    <n v="0.185"/>
    <n v="2725.4"/>
    <n v="504.19900000000001"/>
    <n v="0"/>
    <n v="0.9"/>
    <n v="0.1"/>
    <m/>
    <m/>
    <m/>
    <n v="0"/>
    <m/>
    <n v="0"/>
    <n v="0.185"/>
    <m/>
    <n v="0.4"/>
    <n v="0.5"/>
    <n v="0.1"/>
    <m/>
    <m/>
    <m/>
    <n v="0"/>
    <n v="0"/>
    <n v="0"/>
    <n v="504.19900000000001"/>
    <m/>
    <m/>
  </r>
  <r>
    <s v="2.4.3.1.5"/>
    <s v="CMS M.60.10.000"/>
    <s v="TUBULAÇÃO"/>
    <n v="4"/>
    <s v="CURVA"/>
    <n v="14"/>
    <s v="NÃO"/>
    <s v="NÃO"/>
    <s v="NÃO"/>
    <s v="145A-PG-14¨-L1H-874"/>
    <s v="START UP I"/>
    <s v="DISPOSIÇÃO DE REJEITOS LINHA DO CIRCUITO ARENOSO DISTRIBUIDOR DI-145A-9911 PARA DISTRIBUIDOR DI 145A-9915"/>
    <m/>
    <m/>
    <m/>
    <s v="1450AA-T-70260_FL17"/>
    <n v="1"/>
    <s v="PÇ"/>
    <n v="0.48799999999999999"/>
    <n v="0.48799999999999999"/>
    <n v="2725.4"/>
    <n v="1329.9952000000001"/>
    <n v="0"/>
    <n v="0.9"/>
    <n v="0.1"/>
    <m/>
    <m/>
    <m/>
    <n v="0"/>
    <m/>
    <n v="0"/>
    <n v="0.48799999999999999"/>
    <m/>
    <n v="0.4"/>
    <n v="0.5"/>
    <n v="0.1"/>
    <m/>
    <m/>
    <m/>
    <n v="0"/>
    <n v="0"/>
    <n v="0"/>
    <n v="1329.9952000000001"/>
    <m/>
    <m/>
  </r>
  <r>
    <s v="2.4.3.1.5"/>
    <s v="CMS M.60.10.000"/>
    <s v="TUBULAÇÃO"/>
    <n v="5"/>
    <s v="SPOOL"/>
    <n v="14"/>
    <s v="SIM"/>
    <s v="NÃO"/>
    <s v="NÃO"/>
    <s v="145A-PG-14¨-L1H-874"/>
    <s v="START UP I"/>
    <s v="DISPOSIÇÃO DE REJEITOS LINHA DO CIRCUITO ARENOSO DISTRIBUIDOR DI-145A-9911 PARA DISTRIBUIDOR DI 145A-9915"/>
    <m/>
    <m/>
    <m/>
    <s v="1450AA-T-70260_FL15"/>
    <n v="1"/>
    <s v="PÇ"/>
    <n v="0.38"/>
    <n v="0.38"/>
    <n v="2725.4"/>
    <n v="1035.652"/>
    <n v="0"/>
    <n v="0.9"/>
    <n v="0.1"/>
    <m/>
    <m/>
    <m/>
    <n v="0"/>
    <m/>
    <n v="0"/>
    <n v="0.38"/>
    <m/>
    <n v="0.4"/>
    <n v="0.5"/>
    <n v="0.1"/>
    <m/>
    <m/>
    <m/>
    <n v="0"/>
    <n v="0"/>
    <n v="0"/>
    <n v="1035.652"/>
    <m/>
    <m/>
  </r>
  <r>
    <s v="2.4.3.1.5"/>
    <s v="CMS M.60.10.000"/>
    <s v="TUBULAÇÃO"/>
    <n v="6"/>
    <s v="SPOOL"/>
    <n v="14"/>
    <s v="NÃO"/>
    <s v="NÃO"/>
    <s v="NÃO"/>
    <s v="145A-PG-14¨-L1H-874"/>
    <s v="START UP I"/>
    <s v="DISPOSIÇÃO DE REJEITOS LINHA DO CIRCUITO ARENOSO DISTRIBUIDOR DI-145A-9911 PARA DISTRIBUIDOR DI 145A-9915"/>
    <m/>
    <m/>
    <m/>
    <s v="1450AA-T-70260_FL10"/>
    <n v="1"/>
    <s v="PÇ"/>
    <n v="2.4"/>
    <n v="2.4"/>
    <n v="2725.4"/>
    <n v="6540.96"/>
    <n v="0"/>
    <n v="0.9"/>
    <n v="0.1"/>
    <m/>
    <m/>
    <m/>
    <n v="0"/>
    <m/>
    <n v="0"/>
    <n v="2.4"/>
    <m/>
    <n v="0.4"/>
    <n v="0.5"/>
    <n v="0.1"/>
    <m/>
    <m/>
    <m/>
    <n v="0"/>
    <n v="0"/>
    <n v="0"/>
    <n v="6540.96"/>
    <m/>
    <m/>
  </r>
  <r>
    <s v="2.4.3.1.5"/>
    <s v="CMS M.60.10.000"/>
    <s v="TUBULAÇÃO"/>
    <n v="7"/>
    <s v="CURVA"/>
    <n v="14"/>
    <s v="NÃO"/>
    <s v="NÃO"/>
    <s v="NÃO"/>
    <s v="145A-PG-14¨-L1H-874"/>
    <s v="START UP I"/>
    <s v="DISPOSIÇÃO DE REJEITOS LINHA DO CIRCUITO ARENOSO DISTRIBUIDOR DI-145A-9911 PARA DISTRIBUIDOR DI 145A-9915"/>
    <m/>
    <m/>
    <m/>
    <s v="1450AA-T-70260_FL16"/>
    <n v="1"/>
    <s v="PÇ"/>
    <n v="0.45400000000000001"/>
    <n v="0.45400000000000001"/>
    <n v="2725.4"/>
    <n v="1237.3316"/>
    <n v="0"/>
    <n v="0.9"/>
    <n v="0.1"/>
    <m/>
    <m/>
    <m/>
    <n v="0"/>
    <m/>
    <n v="0"/>
    <n v="0.45400000000000001"/>
    <m/>
    <n v="0.4"/>
    <n v="0.5"/>
    <n v="0.1"/>
    <m/>
    <m/>
    <m/>
    <n v="0"/>
    <n v="0"/>
    <n v="0"/>
    <n v="1237.3316"/>
    <m/>
    <m/>
  </r>
  <r>
    <s v="2.4.3.1.5"/>
    <s v="CMS M.60.10.000"/>
    <s v="TUBULAÇÃO"/>
    <n v="8"/>
    <s v="SPOOL"/>
    <n v="14"/>
    <s v="NÃO"/>
    <s v="NÃO"/>
    <s v="NÃO"/>
    <s v="145A-PG-14¨-L1H-874"/>
    <s v="START UP I"/>
    <s v="DISPOSIÇÃO DE REJEITOS LINHA DO CIRCUITO ARENOSO DISTRIBUIDOR DI-145A-9911 PARA DISTRIBUIDOR DI 145A-9915"/>
    <m/>
    <m/>
    <m/>
    <s v="1450AA-T-70260_FL11"/>
    <n v="1"/>
    <s v="PÇ"/>
    <n v="3.0339999999999998"/>
    <n v="3.0339999999999998"/>
    <n v="2725.4"/>
    <n v="8268.8636000000006"/>
    <n v="0"/>
    <n v="0.9"/>
    <n v="0.1"/>
    <m/>
    <m/>
    <m/>
    <n v="0"/>
    <m/>
    <n v="0"/>
    <n v="3.0339999999999998"/>
    <m/>
    <n v="0.4"/>
    <n v="0.5"/>
    <n v="0.1"/>
    <m/>
    <m/>
    <m/>
    <n v="0"/>
    <n v="0"/>
    <n v="0"/>
    <n v="8268.8636000000006"/>
    <m/>
    <m/>
  </r>
  <r>
    <s v="2.4.3.1.5"/>
    <s v="CMS M.60.10.000"/>
    <s v="TUBULAÇÃO"/>
    <n v="9"/>
    <s v="CURVA"/>
    <n v="14"/>
    <s v="NÃO"/>
    <s v="NÃO"/>
    <s v="NÃO"/>
    <s v="145A-PG-14¨-L1H-874"/>
    <s v="START UP I"/>
    <s v="DISPOSIÇÃO DE REJEITOS LINHA DO CIRCUITO ARENOSO DISTRIBUIDOR DI-145A-9911 PARA DISTRIBUIDOR DI 145A-9915"/>
    <m/>
    <m/>
    <m/>
    <s v="1450AA-T-70260_FL19"/>
    <n v="1"/>
    <s v="PÇ"/>
    <n v="0.78"/>
    <n v="0.78"/>
    <n v="2725.4"/>
    <n v="2125.8120000000004"/>
    <n v="0"/>
    <n v="0.9"/>
    <n v="0.1"/>
    <m/>
    <m/>
    <m/>
    <n v="0"/>
    <m/>
    <n v="0"/>
    <n v="0.78"/>
    <m/>
    <n v="0.4"/>
    <n v="0.5"/>
    <n v="0.1"/>
    <m/>
    <m/>
    <m/>
    <n v="0"/>
    <n v="0"/>
    <n v="0"/>
    <n v="2125.8120000000004"/>
    <m/>
    <m/>
  </r>
  <r>
    <s v="2.4.3.1.5"/>
    <s v="CMS M.60.10.000"/>
    <s v="TUBULAÇÃO"/>
    <n v="10"/>
    <s v="SPOOL"/>
    <n v="14"/>
    <s v="NÃO"/>
    <s v="NÃO"/>
    <s v="NÃO"/>
    <s v="145A-PG-14¨-L1H-874"/>
    <s v="START UP I"/>
    <s v="DISPOSIÇÃO DE REJEITOS LINHA DO CIRCUITO ARENOSO DISTRIBUIDOR DI-145A-9911 PARA DISTRIBUIDOR DI 145A-9915"/>
    <m/>
    <m/>
    <m/>
    <s v="1450AA-T-70260_FL13"/>
    <n v="1"/>
    <s v="PÇ"/>
    <n v="6"/>
    <n v="6"/>
    <n v="2725.4"/>
    <n v="16352.400000000001"/>
    <n v="0"/>
    <n v="0.9"/>
    <n v="0.1"/>
    <m/>
    <m/>
    <m/>
    <n v="0"/>
    <m/>
    <n v="0"/>
    <n v="6"/>
    <m/>
    <n v="0.4"/>
    <n v="0.5"/>
    <n v="0.1"/>
    <m/>
    <m/>
    <m/>
    <n v="0"/>
    <n v="0"/>
    <n v="0"/>
    <n v="16352.400000000001"/>
    <m/>
    <m/>
  </r>
  <r>
    <s v="2.4.3.1.5"/>
    <s v="CMS M.60.10.000"/>
    <s v="TUBULAÇÃO"/>
    <n v="11"/>
    <s v="SPOOL"/>
    <n v="14"/>
    <s v="NÃO"/>
    <s v="NÃO"/>
    <s v="NÃO"/>
    <s v="145A-PG-14¨-L1H-874"/>
    <s v="START UP I"/>
    <s v="DISPOSIÇÃO DE REJEITOS LINHA DO CIRCUITO ARENOSO DISTRIBUIDOR DI-145A-9911 PARA DISTRIBUIDOR DI 145A-9915"/>
    <m/>
    <m/>
    <m/>
    <s v="1450AA-T-70260_FL12"/>
    <n v="1"/>
    <s v="PÇ"/>
    <n v="4.2"/>
    <n v="4.2"/>
    <n v="2725.4"/>
    <n v="11446.68"/>
    <n v="0"/>
    <n v="0.9"/>
    <n v="0.1"/>
    <m/>
    <m/>
    <m/>
    <n v="0"/>
    <m/>
    <n v="0"/>
    <n v="4.2"/>
    <m/>
    <n v="0.4"/>
    <n v="0.5"/>
    <n v="0.1"/>
    <m/>
    <m/>
    <m/>
    <n v="0"/>
    <n v="0"/>
    <n v="0"/>
    <n v="11446.68"/>
    <m/>
    <m/>
  </r>
  <r>
    <s v="2.4.3.1.5"/>
    <s v="CMS M.60.10.000"/>
    <s v="TUBULAÇÃO"/>
    <n v="12"/>
    <s v="SPOOL"/>
    <n v="14"/>
    <s v="SIM"/>
    <s v="NÃO"/>
    <s v="NÃO"/>
    <s v="145A-PG-14¨-L1H-874"/>
    <s v="START UP I"/>
    <s v="DISPOSIÇÃO DE REJEITOS LINHA DO CIRCUITO ARENOSO DISTRIBUIDOR DI-145A-9911 PARA DISTRIBUIDOR DI 145A-9915"/>
    <m/>
    <m/>
    <m/>
    <s v="1450AA-T-70260_FL14"/>
    <n v="1"/>
    <s v="PÇ"/>
    <n v="0.34"/>
    <n v="0.34"/>
    <n v="2725.4"/>
    <n v="926.63600000000008"/>
    <n v="0"/>
    <n v="0.9"/>
    <n v="0.1"/>
    <m/>
    <m/>
    <m/>
    <n v="0"/>
    <m/>
    <n v="0"/>
    <n v="0.34"/>
    <m/>
    <n v="0.4"/>
    <n v="0.5"/>
    <n v="0.1"/>
    <m/>
    <m/>
    <m/>
    <n v="0"/>
    <n v="0"/>
    <n v="0"/>
    <n v="926.63600000000008"/>
    <m/>
    <m/>
  </r>
  <r>
    <s v="2.4.3.1.5"/>
    <s v="CMS M.60.10.000"/>
    <s v="TUBULAÇÃO"/>
    <n v="13"/>
    <s v="CURVA"/>
    <n v="14"/>
    <s v="NÃO"/>
    <s v="NÃO"/>
    <s v="NÃO"/>
    <s v="145A-PG-14¨-L1H-874"/>
    <s v="START UP I"/>
    <s v="DISPOSIÇÃO DE REJEITOS LINHA DO CIRCUITO ARENOSO DISTRIBUIDOR DI-145A-9911 PARA DISTRIBUIDOR DI 145A-9915"/>
    <m/>
    <m/>
    <m/>
    <s v="1450AA-T-70260_FL18"/>
    <n v="1"/>
    <s v="PÇ"/>
    <n v="0.61299999999999999"/>
    <n v="0.61299999999999999"/>
    <n v="2725.4"/>
    <n v="1670.6702"/>
    <n v="0"/>
    <n v="0.9"/>
    <n v="0.1"/>
    <m/>
    <m/>
    <m/>
    <n v="0"/>
    <m/>
    <n v="0"/>
    <n v="0.61299999999999999"/>
    <m/>
    <n v="0.4"/>
    <n v="0.5"/>
    <n v="0.1"/>
    <m/>
    <m/>
    <m/>
    <n v="0"/>
    <n v="0"/>
    <n v="0"/>
    <n v="1670.6702"/>
    <m/>
    <m/>
  </r>
  <r>
    <s v="2.4.3.1.5"/>
    <s v="CMS M.60.10.000"/>
    <s v="TUBULAÇÃO"/>
    <n v="14"/>
    <s v="SPOOL"/>
    <n v="14"/>
    <s v="NÃO"/>
    <s v="NÃO"/>
    <s v="NÃO"/>
    <s v="145A-PG-14¨-L1H-874"/>
    <s v="START UP I"/>
    <s v="DISPOSIÇÃO DE REJEITOS LINHA DO CIRCUITO ARENOSO DISTRIBUIDOR DI-145A-9911 PARA DISTRIBUIDOR DI 145A-9915"/>
    <m/>
    <m/>
    <m/>
    <s v="1450AA-T-70260_FL22"/>
    <n v="1"/>
    <s v="PÇ"/>
    <n v="1.5"/>
    <n v="1.5"/>
    <n v="2725.4"/>
    <n v="4088.1000000000004"/>
    <n v="0"/>
    <n v="0.9"/>
    <n v="0.1"/>
    <m/>
    <m/>
    <m/>
    <n v="0"/>
    <m/>
    <n v="0"/>
    <n v="1.5"/>
    <m/>
    <n v="0.4"/>
    <n v="0.5"/>
    <n v="0.1"/>
    <m/>
    <m/>
    <m/>
    <n v="0"/>
    <n v="0"/>
    <n v="0"/>
    <n v="4088.1000000000004"/>
    <m/>
    <m/>
  </r>
  <r>
    <s v="2.4.3.1.5"/>
    <s v="CMS M.60.10.000"/>
    <s v="TUBULAÇÃO"/>
    <n v="15"/>
    <s v="SPOOL"/>
    <n v="14"/>
    <s v="NÃO"/>
    <s v="NÃO"/>
    <s v="NÃO"/>
    <s v="145A-PG-14¨-L1H-874"/>
    <s v="START UP I"/>
    <s v="DISPOSIÇÃO DE REJEITOS LINHA DO CIRCUITO ARENOSO DISTRIBUIDOR DI-145A-9911 PARA DISTRIBUIDOR DI 145A-9915"/>
    <m/>
    <m/>
    <m/>
    <s v="1450AA-T-70260_FL09"/>
    <n v="1"/>
    <s v="PÇ"/>
    <n v="0.38100000000000001"/>
    <n v="0.38100000000000001"/>
    <n v="2725.4"/>
    <n v="1038.3774000000001"/>
    <n v="0"/>
    <n v="0.9"/>
    <n v="0.1"/>
    <m/>
    <m/>
    <m/>
    <n v="0"/>
    <m/>
    <n v="0"/>
    <n v="0.38100000000000001"/>
    <m/>
    <n v="0.4"/>
    <n v="0.5"/>
    <n v="0.1"/>
    <m/>
    <m/>
    <m/>
    <n v="0"/>
    <n v="0"/>
    <n v="0"/>
    <n v="1038.3774000000001"/>
    <m/>
    <m/>
  </r>
  <r>
    <s v="2.4.3.1.6"/>
    <s v="CMS M.60.10.000"/>
    <s v="TUBULAÇÃO"/>
    <n v="1"/>
    <s v="CURVA"/>
    <n v="16"/>
    <s v="NÃO"/>
    <s v="NÃO"/>
    <s v="NÃO"/>
    <s v="145A-PG-14¨-L1H-929"/>
    <s v="START UP II"/>
    <s v="DISPOSIÇÃO DE REJEITOS LINHA DO CIRCUITO ARENOSO DISTRIBUIDOR DI-145A-9911 PARA DISTRIBUIDOR DI 145A-9916"/>
    <m/>
    <m/>
    <m/>
    <s v="1450AA-T-70264_FL25"/>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929"/>
    <s v="START UP II"/>
    <s v="DISPOSIÇÃO DE REJEITOS LINHA DO CIRCUITO ARENOSO DISTRIBUIDOR DI-145A-9911 PARA DISTRIBUIDOR DI 145A-9916"/>
    <m/>
    <m/>
    <m/>
    <s v="1450AA-T-70264_FL26"/>
    <n v="1"/>
    <s v="PÇ"/>
    <n v="0.7"/>
    <n v="0.7"/>
    <n v="2725.4"/>
    <n v="1907.78"/>
    <n v="0"/>
    <n v="0.9"/>
    <n v="0.1"/>
    <m/>
    <m/>
    <m/>
    <n v="0"/>
    <m/>
    <n v="0"/>
    <n v="0.7"/>
    <m/>
    <n v="0.4"/>
    <n v="0.5"/>
    <n v="0.1"/>
    <m/>
    <m/>
    <m/>
    <n v="0"/>
    <n v="0"/>
    <n v="0"/>
    <n v="1907.78"/>
    <m/>
    <m/>
  </r>
  <r>
    <s v="2.4.3.1.5"/>
    <s v="CMS M.60.10.000"/>
    <s v="TUBULAÇÃO"/>
    <n v="3"/>
    <s v="SPOOL"/>
    <n v="14"/>
    <s v="SIM"/>
    <s v="NÃO"/>
    <s v="NÃO"/>
    <s v="145A-PG-14¨-L1H-929"/>
    <s v="START UP II"/>
    <s v="DISPOSIÇÃO DE REJEITOS LINHA DO CIRCUITO ARENOSO DISTRIBUIDOR DI-145A-9911 PARA DISTRIBUIDOR DI 145A-9916"/>
    <m/>
    <m/>
    <m/>
    <s v="1450AA-T-70264_FL17"/>
    <n v="1"/>
    <s v="PÇ"/>
    <n v="0.375"/>
    <n v="0.375"/>
    <n v="2725.4"/>
    <n v="1022.0250000000001"/>
    <n v="0"/>
    <n v="0.9"/>
    <n v="0.1"/>
    <m/>
    <m/>
    <m/>
    <n v="0"/>
    <m/>
    <n v="0"/>
    <n v="0.375"/>
    <m/>
    <n v="0.4"/>
    <n v="0.5"/>
    <n v="0.1"/>
    <m/>
    <m/>
    <m/>
    <n v="0"/>
    <n v="0"/>
    <n v="0"/>
    <n v="1022.0250000000001"/>
    <m/>
    <m/>
  </r>
  <r>
    <s v="2.4.3.1.5"/>
    <s v="CMS M.60.10.000"/>
    <s v="TUBULAÇÃO"/>
    <n v="4"/>
    <s v="SPOOL"/>
    <n v="14"/>
    <s v="NÃO"/>
    <s v="NÃO"/>
    <s v="NÃO"/>
    <s v="145A-PG-14¨-L1H-929"/>
    <s v="START UP II"/>
    <s v="DISPOSIÇÃO DE REJEITOS LINHA DO CIRCUITO ARENOSO DISTRIBUIDOR DI-145A-9911 PARA DISTRIBUIDOR DI 145A-9916"/>
    <m/>
    <m/>
    <m/>
    <s v="1450AA-T-70264_FL11"/>
    <n v="1"/>
    <s v="PÇ"/>
    <n v="2.4"/>
    <n v="2.4"/>
    <n v="2725.4"/>
    <n v="6540.96"/>
    <n v="0"/>
    <n v="0.9"/>
    <n v="0.1"/>
    <m/>
    <m/>
    <m/>
    <n v="0"/>
    <m/>
    <n v="0"/>
    <n v="2.4"/>
    <m/>
    <n v="0.4"/>
    <n v="0.5"/>
    <n v="0.1"/>
    <m/>
    <m/>
    <m/>
    <n v="0"/>
    <n v="0"/>
    <n v="0"/>
    <n v="6540.96"/>
    <m/>
    <m/>
  </r>
  <r>
    <s v="2.4.3.1.5"/>
    <s v="CMS M.60.10.000"/>
    <s v="TUBULAÇÃO"/>
    <n v="5"/>
    <s v="CURVA"/>
    <n v="14"/>
    <s v="NÃO"/>
    <s v="NÃO"/>
    <s v="NÃO"/>
    <s v="145A-PG-14¨-L1H-929"/>
    <s v="START UP II"/>
    <s v="DISPOSIÇÃO DE REJEITOS LINHA DO CIRCUITO ARENOSO DISTRIBUIDOR DI-145A-9911 PARA DISTRIBUIDOR DI 145A-9916"/>
    <m/>
    <m/>
    <m/>
    <s v="1450AA-T-70264_FL21"/>
    <n v="1"/>
    <s v="PÇ"/>
    <n v="0.45400000000000001"/>
    <n v="0.45400000000000001"/>
    <n v="2725.4"/>
    <n v="1237.3316"/>
    <n v="0"/>
    <n v="0.9"/>
    <n v="0.1"/>
    <m/>
    <m/>
    <m/>
    <n v="0"/>
    <m/>
    <n v="0"/>
    <n v="0.45400000000000001"/>
    <m/>
    <n v="0.4"/>
    <n v="0.5"/>
    <n v="0.1"/>
    <m/>
    <m/>
    <m/>
    <n v="0"/>
    <n v="0"/>
    <n v="0"/>
    <n v="1237.3316"/>
    <m/>
    <m/>
  </r>
  <r>
    <s v="2.4.3.1.5"/>
    <s v="CMS M.60.10.000"/>
    <s v="TUBULAÇÃO"/>
    <n v="6"/>
    <s v="SPOOL"/>
    <n v="14"/>
    <s v="NÃO"/>
    <s v="NÃO"/>
    <s v="NÃO"/>
    <s v="145A-PG-14¨-L1H-929"/>
    <s v="START UP II"/>
    <s v="DISPOSIÇÃO DE REJEITOS LINHA DO CIRCUITO ARENOSO DISTRIBUIDOR DI-145A-9911 PARA DISTRIBUIDOR DI 145A-9916"/>
    <m/>
    <m/>
    <m/>
    <s v="1450AA-T-70264_FL12"/>
    <n v="1"/>
    <s v="PÇ"/>
    <n v="3.448"/>
    <n v="3.448"/>
    <n v="2725.4"/>
    <n v="9397.1792000000005"/>
    <n v="0"/>
    <n v="0.9"/>
    <n v="0.1"/>
    <m/>
    <m/>
    <m/>
    <n v="0"/>
    <m/>
    <n v="0"/>
    <n v="3.448"/>
    <m/>
    <n v="0.4"/>
    <n v="0.5"/>
    <n v="0.1"/>
    <m/>
    <m/>
    <m/>
    <n v="0"/>
    <n v="0"/>
    <n v="0"/>
    <n v="9397.1792000000005"/>
    <m/>
    <m/>
  </r>
  <r>
    <s v="2.4.3.1.5"/>
    <s v="CMS M.60.10.000"/>
    <s v="TUBULAÇÃO"/>
    <n v="7"/>
    <s v="CURVA"/>
    <n v="14"/>
    <s v="NÃO"/>
    <s v="NÃO"/>
    <s v="NÃO"/>
    <s v="145A-PG-14¨-L1H-929"/>
    <s v="START UP II"/>
    <s v="DISPOSIÇÃO DE REJEITOS LINHA DO CIRCUITO ARENOSO DISTRIBUIDOR DI-145A-9911 PARA DISTRIBUIDOR DI 145A-9916"/>
    <m/>
    <m/>
    <m/>
    <s v="1450AA-T-70264_FL20"/>
    <n v="1"/>
    <s v="PÇ"/>
    <n v="0.39800000000000002"/>
    <n v="0.39800000000000002"/>
    <n v="2725.4"/>
    <n v="1084.7092"/>
    <n v="0"/>
    <n v="0.9"/>
    <n v="0.1"/>
    <m/>
    <m/>
    <m/>
    <n v="0"/>
    <m/>
    <n v="0"/>
    <n v="0.39800000000000002"/>
    <m/>
    <n v="0.4"/>
    <n v="0.5"/>
    <n v="0.1"/>
    <m/>
    <m/>
    <m/>
    <n v="0"/>
    <n v="0"/>
    <n v="0"/>
    <n v="1084.7092"/>
    <m/>
    <m/>
  </r>
  <r>
    <s v="2.4.3.1.5"/>
    <s v="CMS M.60.10.000"/>
    <s v="TUBULAÇÃO"/>
    <n v="8"/>
    <s v="SPOOL"/>
    <n v="14"/>
    <s v="NÃO"/>
    <s v="NÃO"/>
    <s v="NÃO"/>
    <s v="145A-PG-14¨-L1H-929"/>
    <s v="START UP II"/>
    <s v="DISPOSIÇÃO DE REJEITOS LINHA DO CIRCUITO ARENOSO DISTRIBUIDOR DI-145A-9911 PARA DISTRIBUIDOR DI 145A-9916"/>
    <m/>
    <m/>
    <m/>
    <s v="1450AA-T-70264_FL10"/>
    <n v="1"/>
    <s v="PÇ"/>
    <n v="1.8"/>
    <n v="1.8"/>
    <n v="2725.4"/>
    <n v="4905.72"/>
    <n v="0"/>
    <n v="0.9"/>
    <n v="0.1"/>
    <m/>
    <m/>
    <m/>
    <n v="0"/>
    <m/>
    <n v="0"/>
    <n v="1.8"/>
    <m/>
    <n v="0.4"/>
    <n v="0.5"/>
    <n v="0.1"/>
    <m/>
    <m/>
    <m/>
    <n v="0"/>
    <n v="0"/>
    <n v="0"/>
    <n v="4905.72"/>
    <m/>
    <m/>
  </r>
  <r>
    <s v="2.4.3.1.5"/>
    <s v="CMS M.60.10.000"/>
    <s v="TUBULAÇÃO"/>
    <n v="9"/>
    <s v="CURVA"/>
    <n v="14"/>
    <s v="NÃO"/>
    <s v="NÃO"/>
    <s v="NÃO"/>
    <s v="145A-PG-14¨-L1H-929"/>
    <s v="START UP II"/>
    <s v="DISPOSIÇÃO DE REJEITOS LINHA DO CIRCUITO ARENOSO DISTRIBUIDOR DI-145A-9911 PARA DISTRIBUIDOR DI 145A-9916"/>
    <m/>
    <m/>
    <m/>
    <s v="1450AA-T-70264_FL23"/>
    <n v="1"/>
    <s v="PÇ"/>
    <n v="0.79"/>
    <n v="0.79"/>
    <n v="2725.4"/>
    <n v="2153.0660000000003"/>
    <n v="0"/>
    <n v="0.9"/>
    <n v="0.1"/>
    <m/>
    <m/>
    <m/>
    <n v="0"/>
    <m/>
    <n v="0"/>
    <n v="0.79"/>
    <m/>
    <n v="0.4"/>
    <n v="0.5"/>
    <n v="0.1"/>
    <m/>
    <m/>
    <m/>
    <n v="0"/>
    <n v="0"/>
    <n v="0"/>
    <n v="2153.0660000000003"/>
    <m/>
    <m/>
  </r>
  <r>
    <s v="2.4.3.1.5"/>
    <s v="CMS M.60.10.000"/>
    <s v="TUBULAÇÃO"/>
    <n v="10"/>
    <s v="SPOOL"/>
    <n v="14"/>
    <s v="NÃO"/>
    <s v="NÃO"/>
    <s v="NÃO"/>
    <s v="145A-PG-14¨-L1H-929"/>
    <s v="START UP II"/>
    <s v="DISPOSIÇÃO DE REJEITOS LINHA DO CIRCUITO ARENOSO DISTRIBUIDOR DI-145A-9911 PARA DISTRIBUIDOR DI 145A-9916"/>
    <m/>
    <m/>
    <m/>
    <s v="1450AA-T-70264_FL15"/>
    <n v="5"/>
    <s v="PÇ"/>
    <n v="6"/>
    <n v="30"/>
    <n v="2725.4"/>
    <n v="81762"/>
    <n v="0"/>
    <n v="0.9"/>
    <n v="0.1"/>
    <m/>
    <m/>
    <m/>
    <n v="0"/>
    <m/>
    <n v="0"/>
    <n v="30"/>
    <m/>
    <n v="0.4"/>
    <n v="0.5"/>
    <n v="0.1"/>
    <m/>
    <m/>
    <m/>
    <n v="0"/>
    <n v="0"/>
    <n v="0"/>
    <n v="81762"/>
    <m/>
    <m/>
  </r>
  <r>
    <s v="2.4.3.1.5"/>
    <s v="CMS M.60.10.000"/>
    <s v="TUBULAÇÃO"/>
    <n v="11"/>
    <s v="SPOOL"/>
    <n v="14"/>
    <s v="NÃO"/>
    <s v="NÃO"/>
    <s v="NÃO"/>
    <s v="145A-PG-14¨-L1H-929"/>
    <s v="START UP II"/>
    <s v="DISPOSIÇÃO DE REJEITOS LINHA DO CIRCUITO ARENOSO DISTRIBUIDOR DI-145A-9911 PARA DISTRIBUIDOR DI 145A-9916"/>
    <m/>
    <m/>
    <m/>
    <s v="1450AA-T-70264_FL13"/>
    <n v="1"/>
    <s v="PÇ"/>
    <n v="3.8"/>
    <n v="3.8"/>
    <n v="2725.4"/>
    <n v="10356.52"/>
    <n v="0"/>
    <n v="0.9"/>
    <n v="0.1"/>
    <m/>
    <m/>
    <m/>
    <n v="0"/>
    <m/>
    <n v="0"/>
    <n v="3.8"/>
    <m/>
    <n v="0.4"/>
    <n v="0.5"/>
    <n v="0.1"/>
    <m/>
    <m/>
    <m/>
    <n v="0"/>
    <n v="0"/>
    <n v="0"/>
    <n v="10356.52"/>
    <m/>
    <m/>
  </r>
  <r>
    <s v="2.4.3.1.5"/>
    <s v="CMS M.60.10.000"/>
    <s v="TUBULAÇÃO"/>
    <n v="12"/>
    <s v="SPOOL"/>
    <n v="14"/>
    <s v="SIM"/>
    <s v="NÃO"/>
    <s v="NÃO"/>
    <s v="145A-PG-14¨-L1H-929"/>
    <s v="START UP II"/>
    <s v="DISPOSIÇÃO DE REJEITOS LINHA DO CIRCUITO ARENOSO DISTRIBUIDOR DI-145A-9911 PARA DISTRIBUIDOR DI 145A-9916"/>
    <m/>
    <m/>
    <m/>
    <s v="1450AA-T-70264_FL19"/>
    <n v="1"/>
    <s v="PÇ"/>
    <n v="0.44"/>
    <n v="0.44"/>
    <n v="2725.4"/>
    <n v="1199.1760000000002"/>
    <n v="0"/>
    <n v="0.9"/>
    <n v="0.1"/>
    <m/>
    <m/>
    <m/>
    <n v="0"/>
    <m/>
    <n v="0"/>
    <n v="0.44"/>
    <m/>
    <n v="0.4"/>
    <n v="0.5"/>
    <n v="0.1"/>
    <m/>
    <m/>
    <m/>
    <n v="0"/>
    <n v="0"/>
    <n v="0"/>
    <n v="1199.1760000000002"/>
    <m/>
    <m/>
  </r>
  <r>
    <s v="2.4.3.1.5"/>
    <s v="CMS M.60.10.000"/>
    <s v="TUBULAÇÃO"/>
    <n v="13"/>
    <s v="CURVA"/>
    <n v="14"/>
    <s v="NÃO"/>
    <s v="NÃO"/>
    <s v="NÃO"/>
    <s v="145A-PG-14¨-L1H-929"/>
    <s v="START UP II"/>
    <s v="DISPOSIÇÃO DE REJEITOS LINHA DO CIRCUITO ARENOSO DISTRIBUIDOR DI-145A-9911 PARA DISTRIBUIDOR DI 145A-9916"/>
    <m/>
    <m/>
    <m/>
    <s v="1450AA-T-70264_FL22"/>
    <n v="2"/>
    <s v="PÇ"/>
    <n v="0.64"/>
    <n v="1.28"/>
    <n v="2725.4"/>
    <n v="3488.5120000000002"/>
    <n v="0"/>
    <n v="0.9"/>
    <n v="0.1"/>
    <m/>
    <m/>
    <m/>
    <n v="0"/>
    <m/>
    <n v="0"/>
    <n v="1.28"/>
    <m/>
    <n v="0.4"/>
    <n v="0.5"/>
    <n v="0.1"/>
    <m/>
    <m/>
    <m/>
    <n v="0"/>
    <n v="0"/>
    <n v="0"/>
    <n v="3488.5120000000002"/>
    <m/>
    <m/>
  </r>
  <r>
    <s v="2.4.3.1.5"/>
    <s v="CMS M.60.10.000"/>
    <s v="TUBULAÇÃO"/>
    <n v="14"/>
    <s v="SPOOL"/>
    <n v="14"/>
    <s v="NÃO"/>
    <s v="NÃO"/>
    <s v="NÃO"/>
    <s v="145A-PG-14¨-L1H-929"/>
    <s v="START UP II"/>
    <s v="DISPOSIÇÃO DE REJEITOS LINHA DO CIRCUITO ARENOSO DISTRIBUIDOR DI-145A-9911 PARA DISTRIBUIDOR DI 145A-9916"/>
    <m/>
    <m/>
    <m/>
    <s v="1450AA-T-70264_FL08"/>
    <n v="1"/>
    <s v="PÇ"/>
    <n v="0.42799999999999999"/>
    <n v="0.42799999999999999"/>
    <n v="2725.4"/>
    <n v="1166.4712"/>
    <n v="0"/>
    <n v="0.9"/>
    <n v="0.1"/>
    <m/>
    <m/>
    <m/>
    <n v="0"/>
    <m/>
    <n v="0"/>
    <n v="0.42799999999999999"/>
    <m/>
    <n v="0.4"/>
    <n v="0.5"/>
    <n v="0.1"/>
    <m/>
    <m/>
    <m/>
    <n v="0"/>
    <n v="0"/>
    <n v="0"/>
    <n v="1166.4712"/>
    <m/>
    <m/>
  </r>
  <r>
    <s v="2.4.3.1.5"/>
    <s v="CMS M.60.10.000"/>
    <s v="TUBULAÇÃO"/>
    <n v="15"/>
    <s v="SPOOL"/>
    <n v="14"/>
    <s v="NÃO"/>
    <s v="NÃO"/>
    <s v="NÃO"/>
    <s v="145A-PG-14¨-L1H-929"/>
    <s v="START UP II"/>
    <s v="DISPOSIÇÃO DE REJEITOS LINHA DO CIRCUITO ARENOSO DISTRIBUIDOR DI-145A-9911 PARA DISTRIBUIDOR DI 145A-9916"/>
    <m/>
    <m/>
    <m/>
    <s v="1450AA-T-70264_FL14"/>
    <n v="1"/>
    <s v="PÇ"/>
    <n v="4.2"/>
    <n v="4.2"/>
    <n v="2725.4"/>
    <n v="11446.68"/>
    <n v="0"/>
    <n v="0.9"/>
    <n v="0.1"/>
    <m/>
    <m/>
    <m/>
    <n v="0"/>
    <m/>
    <n v="0"/>
    <n v="4.2"/>
    <m/>
    <n v="0.4"/>
    <n v="0.5"/>
    <n v="0.1"/>
    <m/>
    <m/>
    <m/>
    <n v="0"/>
    <n v="0"/>
    <n v="0"/>
    <n v="11446.68"/>
    <m/>
    <m/>
  </r>
  <r>
    <s v="2.4.3.1.5"/>
    <s v="CMS M.60.10.000"/>
    <s v="TUBULAÇÃO"/>
    <n v="16"/>
    <s v="SPOOL"/>
    <n v="14"/>
    <s v="NÃO"/>
    <s v="NÃO"/>
    <s v="NÃO"/>
    <s v="145A-PG-14¨-L1H-929"/>
    <s v="START UP II"/>
    <s v="DISPOSIÇÃO DE REJEITOS LINHA DO CIRCUITO ARENOSO DISTRIBUIDOR DI-145A-9911 PARA DISTRIBUIDOR DI 145A-9916"/>
    <m/>
    <m/>
    <m/>
    <s v="1450AA-T-70264_FL16"/>
    <n v="1"/>
    <s v="PÇ"/>
    <n v="0.32"/>
    <n v="0.32"/>
    <n v="2725.4"/>
    <n v="872.12800000000004"/>
    <n v="0"/>
    <n v="0.9"/>
    <n v="0.1"/>
    <m/>
    <m/>
    <m/>
    <n v="0"/>
    <m/>
    <n v="0"/>
    <n v="0.32"/>
    <m/>
    <n v="0.4"/>
    <n v="0.5"/>
    <n v="0.1"/>
    <m/>
    <m/>
    <m/>
    <n v="0"/>
    <n v="0"/>
    <n v="0"/>
    <n v="872.12800000000004"/>
    <m/>
    <m/>
  </r>
  <r>
    <s v="2.4.3.1.5"/>
    <s v="CMS M.60.10.000"/>
    <s v="TUBULAÇÃO"/>
    <n v="17"/>
    <s v="CURVA"/>
    <n v="14"/>
    <s v="NÃO"/>
    <s v="NÃO"/>
    <s v="NÃO"/>
    <s v="145A-PG-14¨-L1H-929"/>
    <s v="START UP II"/>
    <s v="DISPOSIÇÃO DE REJEITOS LINHA DO CIRCUITO ARENOSO DISTRIBUIDOR DI-145A-9911 PARA DISTRIBUIDOR DI 145A-9916"/>
    <m/>
    <m/>
    <m/>
    <s v="1450AA-T-70264_FL24"/>
    <n v="1"/>
    <s v="PÇ"/>
    <n v="1.927"/>
    <n v="1.927"/>
    <n v="2725.4"/>
    <n v="5251.8458000000001"/>
    <n v="0"/>
    <n v="0.9"/>
    <n v="0.1"/>
    <m/>
    <m/>
    <m/>
    <n v="0"/>
    <m/>
    <n v="0"/>
    <n v="1.927"/>
    <m/>
    <n v="0.4"/>
    <n v="0.5"/>
    <n v="0.1"/>
    <m/>
    <m/>
    <m/>
    <n v="0"/>
    <n v="0"/>
    <n v="0"/>
    <n v="5251.8458000000001"/>
    <m/>
    <m/>
  </r>
  <r>
    <s v="2.4.3.1.5"/>
    <s v="CMS M.60.10.000"/>
    <s v="TUBULAÇÃO"/>
    <n v="18"/>
    <s v="SPOOL"/>
    <n v="14"/>
    <s v="NÃO"/>
    <s v="NÃO"/>
    <s v="NÃO"/>
    <s v="145A-PG-14¨-L1H-929"/>
    <s v="START UP II"/>
    <s v="DISPOSIÇÃO DE REJEITOS LINHA DO CIRCUITO ARENOSO DISTRIBUIDOR DI-145A-9911 PARA DISTRIBUIDOR DI 145A-9916"/>
    <m/>
    <m/>
    <m/>
    <s v="1450AA-T-70264_FL09"/>
    <n v="1"/>
    <s v="PÇ"/>
    <n v="0.5"/>
    <n v="0.5"/>
    <n v="2725.4"/>
    <n v="1362.7"/>
    <n v="0"/>
    <n v="0.9"/>
    <n v="0.1"/>
    <m/>
    <m/>
    <m/>
    <n v="0"/>
    <m/>
    <n v="0"/>
    <n v="0.5"/>
    <m/>
    <n v="0.4"/>
    <n v="0.5"/>
    <n v="0.1"/>
    <m/>
    <m/>
    <m/>
    <n v="0"/>
    <n v="0"/>
    <n v="0"/>
    <n v="1362.7"/>
    <m/>
    <m/>
  </r>
  <r>
    <s v="2.4.3.1.5"/>
    <s v="CMS M.60.10.000"/>
    <s v="TUBULAÇÃO"/>
    <n v="19"/>
    <s v="SPOOL"/>
    <n v="14"/>
    <s v="SIM"/>
    <s v="NÃO"/>
    <s v="NÃO"/>
    <s v="145A-PG-14¨-L1H-929"/>
    <s v="START UP II"/>
    <s v="DISPOSIÇÃO DE REJEITOS LINHA DO CIRCUITO ARENOSO DISTRIBUIDOR DI-145A-9911 PARA DISTRIBUIDOR DI 145A-9916"/>
    <m/>
    <m/>
    <m/>
    <s v="1450AA-T-70264_FL18"/>
    <n v="1"/>
    <s v="PÇ"/>
    <n v="0.43"/>
    <n v="0.43"/>
    <n v="2725.4"/>
    <n v="1171.922"/>
    <n v="0"/>
    <n v="0.9"/>
    <n v="0.1"/>
    <m/>
    <m/>
    <m/>
    <n v="0"/>
    <m/>
    <n v="0"/>
    <n v="0.43"/>
    <m/>
    <n v="0.4"/>
    <n v="0.5"/>
    <n v="0.1"/>
    <m/>
    <m/>
    <m/>
    <n v="0"/>
    <n v="0"/>
    <n v="0"/>
    <n v="1171.922"/>
    <m/>
    <m/>
  </r>
  <r>
    <s v="2.4.3.1.5"/>
    <s v="CMS M.60.10.000"/>
    <s v="TUBULAÇÃO"/>
    <n v="20"/>
    <s v="SPOOL"/>
    <n v="14"/>
    <s v="NÃO"/>
    <s v="NÃO"/>
    <s v="NÃO"/>
    <s v="145A-PG-14¨-L1H-929"/>
    <s v="START UP II"/>
    <s v="DISPOSIÇÃO DE REJEITOS LINHA DO CIRCUITO ARENOSO DISTRIBUIDOR DI-145A-9911 PARA DISTRIBUIDOR DI 145A-9916"/>
    <m/>
    <m/>
    <m/>
    <s v="1450AA-T-70264_FL27"/>
    <n v="1"/>
    <s v="PÇ"/>
    <n v="1.5"/>
    <n v="1.5"/>
    <n v="2725.4"/>
    <n v="4088.1000000000004"/>
    <n v="0"/>
    <n v="0.9"/>
    <n v="0.1"/>
    <m/>
    <m/>
    <m/>
    <n v="0"/>
    <m/>
    <n v="0"/>
    <n v="1.5"/>
    <m/>
    <n v="0.4"/>
    <n v="0.5"/>
    <n v="0.1"/>
    <m/>
    <m/>
    <m/>
    <n v="0"/>
    <n v="0"/>
    <n v="0"/>
    <n v="4088.1000000000004"/>
    <m/>
    <m/>
  </r>
  <r>
    <s v="2.4.3.1.3"/>
    <s v="CMS M.60.10.000"/>
    <s v="TUBULAÇÃO"/>
    <n v="1"/>
    <s v="SPOOL"/>
    <n v="10"/>
    <s v="NÃO"/>
    <s v="NÃO"/>
    <s v="NÃO"/>
    <s v="145-PP-10¨-L1H-941"/>
    <s v="START UP II"/>
    <s v="DISPOSIÇÃO DE REJEITOS LINHA DO CIRCUITO ARENOSO UNDER DO ESPESSADOR ES-142A-9801 PARA DISTRIBUIDOR DI-145A-9911"/>
    <m/>
    <m/>
    <m/>
    <s v="1450AA-T-70267_FL14"/>
    <n v="1"/>
    <s v="PÇ"/>
    <n v="0.438"/>
    <n v="0.438"/>
    <n v="2238.89"/>
    <n v="980.6338199999999"/>
    <n v="0"/>
    <n v="0.9"/>
    <n v="0.1"/>
    <m/>
    <m/>
    <m/>
    <n v="0"/>
    <m/>
    <n v="0"/>
    <n v="0.438"/>
    <m/>
    <n v="0.4"/>
    <n v="0.5"/>
    <n v="0.1"/>
    <m/>
    <m/>
    <m/>
    <n v="0"/>
    <n v="0"/>
    <n v="0"/>
    <n v="980.6338199999999"/>
    <m/>
    <m/>
  </r>
  <r>
    <s v="2.4.3.1.6"/>
    <s v="CMS M.60.10.000"/>
    <s v="TUBULAÇÃO"/>
    <n v="2"/>
    <s v="DERIVAÇÃO "/>
    <s v="22 X 16"/>
    <s v="NÃO"/>
    <s v="NÃO"/>
    <s v="NÃO"/>
    <s v="145-PP-10¨-L1H-941"/>
    <s v="START UP II"/>
    <s v="DISPOSIÇÃO DE REJEITOS LINHA DO CIRCUITO ARENOSO UNDER DO ESPESSADOR ES-142A-9801 PARA DISTRIBUIDOR DI-145A-9911"/>
    <m/>
    <m/>
    <m/>
    <s v="1450AA-T-70267_FL15"/>
    <n v="2"/>
    <s v="PÇ"/>
    <n v="1.3129999999999999"/>
    <n v="2.6259999999999999"/>
    <n v="3249.8"/>
    <n v="8533.9748"/>
    <n v="0"/>
    <n v="0.9"/>
    <n v="0.1"/>
    <m/>
    <m/>
    <m/>
    <n v="0"/>
    <m/>
    <n v="0"/>
    <n v="2.6259999999999999"/>
    <m/>
    <n v="0.4"/>
    <n v="0.5"/>
    <n v="0.1"/>
    <m/>
    <m/>
    <m/>
    <n v="0"/>
    <n v="0"/>
    <n v="0"/>
    <n v="8533.9748"/>
    <m/>
    <m/>
  </r>
  <r>
    <s v="2.4.3.1.3"/>
    <s v="CMS M.60.10.000"/>
    <s v="TUBULAÇÃO"/>
    <n v="3"/>
    <s v="SPOOL"/>
    <n v="10"/>
    <s v="NÃO"/>
    <s v="NÃO"/>
    <s v="NÃO"/>
    <s v="145-PP-10¨-L1H-941"/>
    <s v="START UP II"/>
    <s v="DISPOSIÇÃO DE REJEITOS LINHA DO CIRCUITO ARENOSO UNDER DO ESPESSADOR ES-142A-9801 PARA DISTRIBUIDOR DI-145A-9911"/>
    <m/>
    <m/>
    <m/>
    <s v="1450AA-T-70267_FL16"/>
    <n v="1"/>
    <s v="PÇ"/>
    <n v="0.61399999999999999"/>
    <n v="0.61399999999999999"/>
    <n v="2238.89"/>
    <n v="1374.6784599999999"/>
    <n v="0"/>
    <n v="0.9"/>
    <n v="0.1"/>
    <m/>
    <m/>
    <m/>
    <n v="0"/>
    <m/>
    <n v="0"/>
    <n v="0.61399999999999999"/>
    <m/>
    <n v="0.4"/>
    <n v="0.5"/>
    <n v="0.1"/>
    <m/>
    <m/>
    <m/>
    <n v="0"/>
    <n v="0"/>
    <n v="0"/>
    <n v="1374.6784599999999"/>
    <m/>
    <m/>
  </r>
  <r>
    <s v="2.4.3.1.3"/>
    <s v="CMS M.60.10.000"/>
    <s v="TUBULAÇÃO"/>
    <n v="4"/>
    <s v="SPOOL"/>
    <n v="10"/>
    <s v="NÃO"/>
    <s v="NÃO"/>
    <s v="NÃO"/>
    <s v="145-PP-10¨-L1H-941"/>
    <s v="START UP II"/>
    <s v="DISPOSIÇÃO DE REJEITOS LINHA DO CIRCUITO ARENOSO UNDER DO ESPESSADOR ES-142A-9801 PARA DISTRIBUIDOR DI-145A-9911"/>
    <m/>
    <m/>
    <m/>
    <s v="1450AA-T-70267_FL17"/>
    <n v="1"/>
    <s v="PÇ"/>
    <n v="0.75"/>
    <n v="0.75"/>
    <n v="2238.89"/>
    <n v="1679.1675"/>
    <n v="0"/>
    <n v="0.9"/>
    <n v="0.1"/>
    <m/>
    <m/>
    <m/>
    <n v="0"/>
    <m/>
    <n v="0"/>
    <n v="0.75"/>
    <m/>
    <n v="0.4"/>
    <n v="0.5"/>
    <n v="0.1"/>
    <m/>
    <m/>
    <m/>
    <n v="0"/>
    <n v="0"/>
    <n v="0"/>
    <n v="1679.1675"/>
    <m/>
    <m/>
  </r>
  <r>
    <s v="2.4.3.1.3"/>
    <s v="CMS M.60.10.000"/>
    <s v="TUBULAÇÃO"/>
    <n v="5"/>
    <s v="SPOOL"/>
    <n v="10"/>
    <s v="NÃO"/>
    <s v="NÃO"/>
    <s v="NÃO"/>
    <s v="145-PP-10¨-L1H-941"/>
    <s v="START UP II"/>
    <s v="DISPOSIÇÃO DE REJEITOS LINHA DO CIRCUITO ARENOSO UNDER DO ESPESSADOR ES-142A-9801 PARA DISTRIBUIDOR DI-145A-9911"/>
    <m/>
    <m/>
    <m/>
    <s v="1450AA-T-70267_FL18"/>
    <n v="1"/>
    <s v="PÇ"/>
    <n v="0.76500000000000001"/>
    <n v="0.76500000000000001"/>
    <n v="2238.89"/>
    <n v="1712.7508499999999"/>
    <n v="0"/>
    <n v="0.9"/>
    <n v="0.1"/>
    <m/>
    <m/>
    <m/>
    <n v="0"/>
    <m/>
    <n v="0"/>
    <n v="0.76500000000000001"/>
    <m/>
    <n v="0.4"/>
    <n v="0.5"/>
    <n v="0.1"/>
    <m/>
    <m/>
    <m/>
    <n v="0"/>
    <n v="0"/>
    <n v="0"/>
    <n v="1712.7508499999999"/>
    <m/>
    <m/>
  </r>
  <r>
    <s v="2.4.3.1.3"/>
    <s v="CMS M.60.10.000"/>
    <s v="TUBULAÇÃO"/>
    <n v="6"/>
    <s v="SPOOL"/>
    <n v="10"/>
    <s v="NÃO"/>
    <s v="NÃO"/>
    <s v="NÃO"/>
    <s v="145-PP-10¨-L1H-941"/>
    <s v="START UP II"/>
    <s v="DISPOSIÇÃO DE REJEITOS LINHA DO CIRCUITO ARENOSO UNDER DO ESPESSADOR ES-142A-9801 PARA DISTRIBUIDOR DI-145A-9911"/>
    <m/>
    <m/>
    <m/>
    <s v="1450AA-T-70267_FL19"/>
    <n v="1"/>
    <s v="PÇ"/>
    <n v="1.3"/>
    <n v="1.3"/>
    <n v="2238.89"/>
    <n v="2910.5569999999998"/>
    <n v="0"/>
    <n v="0.9"/>
    <n v="0.1"/>
    <m/>
    <m/>
    <m/>
    <n v="0"/>
    <m/>
    <n v="0"/>
    <n v="1.3"/>
    <m/>
    <n v="0.4"/>
    <n v="0.5"/>
    <n v="0.1"/>
    <m/>
    <m/>
    <m/>
    <n v="0"/>
    <n v="0"/>
    <n v="0"/>
    <n v="2910.5569999999998"/>
    <m/>
    <m/>
  </r>
  <r>
    <s v="2.4.3.1.3"/>
    <s v="CMS M.60.10.000"/>
    <s v="TUBULAÇÃO"/>
    <n v="7"/>
    <s v="SPOOL"/>
    <n v="10"/>
    <s v="NÃO"/>
    <s v="NÃO"/>
    <s v="NÃO"/>
    <s v="145-PP-10¨-L1H-941"/>
    <s v="START UP II"/>
    <s v="DISPOSIÇÃO DE REJEITOS LINHA DO CIRCUITO ARENOSO UNDER DO ESPESSADOR ES-142A-9801 PARA DISTRIBUIDOR DI-145A-9911"/>
    <m/>
    <m/>
    <m/>
    <s v="1450AA-T-70267_FL20"/>
    <n v="2"/>
    <s v="PÇ"/>
    <n v="1.5"/>
    <n v="3"/>
    <n v="2238.89"/>
    <n v="6716.67"/>
    <n v="0"/>
    <n v="0.9"/>
    <n v="0.1"/>
    <m/>
    <m/>
    <m/>
    <n v="0"/>
    <m/>
    <n v="0"/>
    <n v="3"/>
    <m/>
    <n v="0.4"/>
    <n v="0.5"/>
    <n v="0.1"/>
    <m/>
    <m/>
    <m/>
    <n v="0"/>
    <n v="0"/>
    <n v="0"/>
    <n v="6716.67"/>
    <m/>
    <m/>
  </r>
  <r>
    <s v="2.4.3.1.3"/>
    <s v="CMS M.60.10.000"/>
    <s v="TUBULAÇÃO"/>
    <n v="8"/>
    <s v="SPOOL"/>
    <n v="10"/>
    <s v="NÃO"/>
    <s v="NÃO"/>
    <s v="NÃO"/>
    <s v="145-PP-10¨-L1H-941"/>
    <s v="START UP II"/>
    <s v="DISPOSIÇÃO DE REJEITOS LINHA DO CIRCUITO ARENOSO UNDER DO ESPESSADOR ES-142A-9801 PARA DISTRIBUIDOR DI-145A-9911"/>
    <m/>
    <m/>
    <m/>
    <s v="1450AA-T-70267_FL21"/>
    <n v="2"/>
    <s v="PÇ"/>
    <n v="2"/>
    <n v="4"/>
    <n v="2238.89"/>
    <n v="8955.56"/>
    <n v="0"/>
    <n v="0.9"/>
    <n v="0.1"/>
    <m/>
    <m/>
    <m/>
    <n v="0"/>
    <m/>
    <n v="0"/>
    <n v="4"/>
    <m/>
    <n v="0.4"/>
    <n v="0.5"/>
    <n v="0.1"/>
    <m/>
    <m/>
    <m/>
    <n v="0"/>
    <n v="0"/>
    <n v="0"/>
    <n v="8955.56"/>
    <m/>
    <m/>
  </r>
  <r>
    <s v="2.4.3.1.3"/>
    <s v="CMS M.60.10.000"/>
    <s v="TUBULAÇÃO"/>
    <n v="9"/>
    <s v="SPOOL"/>
    <n v="10"/>
    <s v="NÃO"/>
    <s v="NÃO"/>
    <s v="NÃO"/>
    <s v="145-PP-10¨-L1H-941"/>
    <s v="START UP II"/>
    <s v="DISPOSIÇÃO DE REJEITOS LINHA DO CIRCUITO ARENOSO UNDER DO ESPESSADOR ES-142A-9801 PARA DISTRIBUIDOR DI-145A-9911"/>
    <m/>
    <m/>
    <m/>
    <s v="1450AA-T-70267_FL22"/>
    <n v="1"/>
    <s v="PÇ"/>
    <n v="2.137"/>
    <n v="2.137"/>
    <n v="2238.89"/>
    <n v="4784.5079299999998"/>
    <n v="0"/>
    <n v="0.9"/>
    <n v="0.1"/>
    <m/>
    <m/>
    <m/>
    <n v="0"/>
    <m/>
    <n v="0"/>
    <n v="2.137"/>
    <m/>
    <n v="0.4"/>
    <n v="0.5"/>
    <n v="0.1"/>
    <m/>
    <m/>
    <m/>
    <n v="0"/>
    <n v="0"/>
    <n v="0"/>
    <n v="4784.5079299999998"/>
    <m/>
    <m/>
  </r>
  <r>
    <s v="2.4.3.1.3"/>
    <s v="CMS M.60.10.000"/>
    <s v="TUBULAÇÃO"/>
    <n v="10"/>
    <s v="SPOOL"/>
    <n v="10"/>
    <s v="NÃO"/>
    <s v="NÃO"/>
    <s v="NÃO"/>
    <s v="145-PP-10¨-L1H-941"/>
    <s v="START UP II"/>
    <s v="DISPOSIÇÃO DE REJEITOS LINHA DO CIRCUITO ARENOSO UNDER DO ESPESSADOR ES-142A-9801 PARA DISTRIBUIDOR DI-145A-9911"/>
    <m/>
    <m/>
    <m/>
    <s v="1450AA-T-70267_FL23"/>
    <n v="5"/>
    <s v="PÇ"/>
    <n v="2.5"/>
    <n v="12.5"/>
    <n v="2238.89"/>
    <n v="27986.125"/>
    <n v="0"/>
    <n v="0.9"/>
    <n v="0.1"/>
    <m/>
    <m/>
    <m/>
    <n v="0"/>
    <m/>
    <n v="0"/>
    <n v="12.5"/>
    <m/>
    <n v="0.4"/>
    <n v="0.5"/>
    <n v="0.1"/>
    <m/>
    <m/>
    <m/>
    <n v="0"/>
    <n v="0"/>
    <n v="0"/>
    <n v="27986.125"/>
    <m/>
    <m/>
  </r>
  <r>
    <s v="2.4.3.1.3"/>
    <s v="CMS M.60.10.000"/>
    <s v="TUBULAÇÃO"/>
    <n v="11"/>
    <s v="SPOOL"/>
    <n v="10"/>
    <s v="NÃO"/>
    <s v="NÃO"/>
    <s v="NÃO"/>
    <s v="145-PP-10¨-L1H-941"/>
    <s v="START UP II"/>
    <s v="DISPOSIÇÃO DE REJEITOS LINHA DO CIRCUITO ARENOSO UNDER DO ESPESSADOR ES-142A-9801 PARA DISTRIBUIDOR DI-145A-9911"/>
    <m/>
    <m/>
    <m/>
    <s v="1450AA-T-70267_FL24"/>
    <n v="1"/>
    <s v="PÇ"/>
    <n v="2.6"/>
    <n v="2.6"/>
    <n v="2238.89"/>
    <n v="5821.1139999999996"/>
    <n v="0"/>
    <n v="0.9"/>
    <n v="0.1"/>
    <m/>
    <m/>
    <m/>
    <n v="0"/>
    <m/>
    <n v="0"/>
    <n v="2.6"/>
    <m/>
    <n v="0.4"/>
    <n v="0.5"/>
    <n v="0.1"/>
    <m/>
    <m/>
    <m/>
    <n v="0"/>
    <n v="0"/>
    <n v="0"/>
    <n v="5821.1139999999996"/>
    <m/>
    <m/>
  </r>
  <r>
    <s v="2.4.3.1.3"/>
    <s v="CMS M.60.10.000"/>
    <s v="TUBULAÇÃO"/>
    <n v="12"/>
    <s v="SPOOL"/>
    <n v="10"/>
    <s v="NÃO"/>
    <s v="NÃO"/>
    <s v="NÃO"/>
    <s v="145-PP-10¨-L1H-941"/>
    <s v="START UP II"/>
    <s v="DISPOSIÇÃO DE REJEITOS LINHA DO CIRCUITO ARENOSO UNDER DO ESPESSADOR ES-142A-9801 PARA DISTRIBUIDOR DI-145A-9911"/>
    <m/>
    <m/>
    <m/>
    <s v="1450AA-T-70267_FL25"/>
    <n v="1"/>
    <s v="PÇ"/>
    <n v="3.5"/>
    <n v="3.5"/>
    <n v="2238.89"/>
    <n v="7836.1149999999998"/>
    <n v="0"/>
    <n v="0.9"/>
    <n v="0.1"/>
    <m/>
    <m/>
    <m/>
    <n v="0"/>
    <m/>
    <n v="0"/>
    <n v="3.5"/>
    <m/>
    <n v="0.4"/>
    <n v="0.5"/>
    <n v="0.1"/>
    <m/>
    <m/>
    <m/>
    <n v="0"/>
    <n v="0"/>
    <n v="0"/>
    <n v="7836.1149999999998"/>
    <m/>
    <m/>
  </r>
  <r>
    <s v="2.4.3.1.3"/>
    <s v="CMS M.60.10.000"/>
    <s v="TUBULAÇÃO"/>
    <n v="13"/>
    <s v="SPOOL"/>
    <n v="10"/>
    <s v="NÃO"/>
    <s v="NÃO"/>
    <s v="NÃO"/>
    <s v="145-PP-10¨-L1H-941"/>
    <s v="START UP II"/>
    <s v="DISPOSIÇÃO DE REJEITOS LINHA DO CIRCUITO ARENOSO UNDER DO ESPESSADOR ES-142A-9801 PARA DISTRIBUIDOR DI-145A-9911"/>
    <m/>
    <m/>
    <m/>
    <s v="1450AA-T-70267_FL26"/>
    <n v="1"/>
    <s v="PÇ"/>
    <n v="4"/>
    <n v="4"/>
    <n v="2238.89"/>
    <n v="8955.56"/>
    <n v="0"/>
    <n v="0.9"/>
    <n v="0.1"/>
    <m/>
    <m/>
    <m/>
    <n v="0"/>
    <m/>
    <n v="0"/>
    <n v="4"/>
    <m/>
    <n v="0.4"/>
    <n v="0.5"/>
    <n v="0.1"/>
    <m/>
    <m/>
    <m/>
    <n v="0"/>
    <n v="0"/>
    <n v="0"/>
    <n v="8955.56"/>
    <m/>
    <m/>
  </r>
  <r>
    <s v="2.4.3.1.3"/>
    <s v="CMS M.60.10.000"/>
    <s v="TUBULAÇÃO"/>
    <n v="14"/>
    <s v="SPOOL"/>
    <n v="10"/>
    <s v="NÃO"/>
    <s v="NÃO"/>
    <s v="NÃO"/>
    <s v="145-PP-10¨-L1H-941"/>
    <s v="START UP II"/>
    <s v="DISPOSIÇÃO DE REJEITOS LINHA DO CIRCUITO ARENOSO UNDER DO ESPESSADOR ES-142A-9801 PARA DISTRIBUIDOR DI-145A-9911"/>
    <m/>
    <m/>
    <m/>
    <s v="1450AA-T-70267_FL27"/>
    <n v="1"/>
    <s v="PÇ"/>
    <n v="5"/>
    <n v="5"/>
    <n v="2238.89"/>
    <n v="11194.449999999999"/>
    <n v="0"/>
    <n v="0.9"/>
    <n v="0.1"/>
    <m/>
    <m/>
    <m/>
    <n v="0"/>
    <m/>
    <n v="0"/>
    <n v="5"/>
    <m/>
    <n v="0.4"/>
    <n v="0.5"/>
    <n v="0.1"/>
    <m/>
    <m/>
    <m/>
    <n v="0"/>
    <n v="0"/>
    <n v="0"/>
    <n v="11194.449999999999"/>
    <m/>
    <m/>
  </r>
  <r>
    <s v="2.4.3.1.3"/>
    <s v="CMS M.60.10.000"/>
    <s v="TUBULAÇÃO"/>
    <n v="15"/>
    <s v="SPOOL"/>
    <n v="10"/>
    <s v="NÃO"/>
    <s v="NÃO"/>
    <s v="NÃO"/>
    <s v="145-PP-10¨-L1H-941"/>
    <s v="START UP II"/>
    <s v="DISPOSIÇÃO DE REJEITOS LINHA DO CIRCUITO ARENOSO UNDER DO ESPESSADOR ES-142A-9801 PARA DISTRIBUIDOR DI-145A-9911"/>
    <m/>
    <m/>
    <m/>
    <s v="1450AA-T-70267_FL28"/>
    <n v="1"/>
    <s v="PÇ"/>
    <n v="5.5"/>
    <n v="5.5"/>
    <n v="2238.89"/>
    <n v="12313.894999999999"/>
    <n v="0"/>
    <n v="0.9"/>
    <n v="0.1"/>
    <m/>
    <m/>
    <m/>
    <n v="0"/>
    <m/>
    <n v="0"/>
    <n v="5.5"/>
    <m/>
    <n v="0.4"/>
    <n v="0.5"/>
    <n v="0.1"/>
    <m/>
    <m/>
    <m/>
    <n v="0"/>
    <n v="0"/>
    <n v="0"/>
    <n v="12313.894999999999"/>
    <m/>
    <m/>
  </r>
  <r>
    <s v="2.4.3.1.3"/>
    <s v="CMS M.60.10.000"/>
    <s v="TUBULAÇÃO"/>
    <n v="16"/>
    <s v="SPOOL"/>
    <n v="10"/>
    <s v="NÃO"/>
    <s v="NÃO"/>
    <s v="NÃO"/>
    <s v="145-PP-10¨-L1H-941"/>
    <s v="START UP II"/>
    <s v="DISPOSIÇÃO DE REJEITOS LINHA DO CIRCUITO ARENOSO UNDER DO ESPESSADOR ES-142A-9801 PARA DISTRIBUIDOR DI-145A-9911"/>
    <m/>
    <m/>
    <m/>
    <s v="1450AA-T-70267_FL29"/>
    <n v="6"/>
    <s v="PÇ"/>
    <n v="6"/>
    <n v="36"/>
    <n v="2238.89"/>
    <n v="80600.039999999994"/>
    <n v="0"/>
    <n v="0.9"/>
    <n v="0.1"/>
    <m/>
    <m/>
    <m/>
    <n v="0"/>
    <m/>
    <n v="0"/>
    <n v="36"/>
    <m/>
    <n v="0.4"/>
    <n v="0.5"/>
    <n v="0.1"/>
    <m/>
    <m/>
    <m/>
    <n v="0"/>
    <n v="0"/>
    <n v="0"/>
    <n v="80600.039999999994"/>
    <m/>
    <m/>
  </r>
  <r>
    <s v="2.4.3.1.3"/>
    <s v="CMS M.60.10.000"/>
    <s v="TUBULAÇÃO"/>
    <n v="17"/>
    <s v="SPOOL"/>
    <n v="10"/>
    <s v="NÃO"/>
    <s v="SIM"/>
    <s v="NÃO"/>
    <s v="145-PP-10¨-L1H-941"/>
    <s v="START UP II"/>
    <s v="DISPOSIÇÃO DE REJEITOS LINHA DO CIRCUITO ARENOSO UNDER DO ESPESSADOR ES-142A-9801 PARA DISTRIBUIDOR DI-145A-9911"/>
    <m/>
    <m/>
    <m/>
    <s v="1450AA-T-70267_FL30"/>
    <n v="1"/>
    <s v="PÇ"/>
    <n v="0.35499999999999998"/>
    <n v="0.35499999999999998"/>
    <n v="2238.89"/>
    <n v="794.80594999999994"/>
    <n v="0"/>
    <n v="0.9"/>
    <n v="0.1"/>
    <m/>
    <m/>
    <m/>
    <n v="0"/>
    <m/>
    <n v="0"/>
    <n v="0.35499999999999998"/>
    <m/>
    <n v="0.4"/>
    <n v="0.5"/>
    <n v="0.1"/>
    <m/>
    <m/>
    <m/>
    <n v="0"/>
    <n v="0"/>
    <n v="0"/>
    <n v="794.80594999999994"/>
    <m/>
    <m/>
  </r>
  <r>
    <s v="2.4.3.1.3"/>
    <s v="CMS M.60.10.000"/>
    <s v="TUBULAÇÃO"/>
    <n v="18"/>
    <s v="SPOOL"/>
    <n v="10"/>
    <s v="SIM"/>
    <s v="NÃO"/>
    <s v="NÃO"/>
    <s v="145-PP-10¨-L1H-941"/>
    <s v="START UP II"/>
    <s v="DISPOSIÇÃO DE REJEITOS LINHA DO CIRCUITO ARENOSO UNDER DO ESPESSADOR ES-142A-9801 PARA DISTRIBUIDOR DI-145A-9911"/>
    <m/>
    <m/>
    <m/>
    <s v="1450AA-T-70267_FL31"/>
    <n v="1"/>
    <s v="PÇ"/>
    <n v="0.27"/>
    <n v="0.27"/>
    <n v="2238.89"/>
    <n v="604.50030000000004"/>
    <n v="0"/>
    <n v="0.9"/>
    <n v="0.1"/>
    <m/>
    <m/>
    <m/>
    <n v="0"/>
    <m/>
    <n v="0"/>
    <n v="0.27"/>
    <m/>
    <n v="0.4"/>
    <n v="0.5"/>
    <n v="0.1"/>
    <m/>
    <m/>
    <m/>
    <n v="0"/>
    <n v="0"/>
    <n v="0"/>
    <n v="604.50030000000004"/>
    <m/>
    <m/>
  </r>
  <r>
    <s v="2.4.3.1.3"/>
    <s v="CMS M.60.10.000"/>
    <s v="TUBULAÇÃO"/>
    <n v="19"/>
    <s v="SPOOL"/>
    <n v="10"/>
    <s v="SIM"/>
    <s v="NÃO"/>
    <s v="NÃO"/>
    <s v="145-PP-10¨-L1H-941"/>
    <s v="START UP II"/>
    <s v="DISPOSIÇÃO DE REJEITOS LINHA DO CIRCUITO ARENOSO UNDER DO ESPESSADOR ES-142A-9801 PARA DISTRIBUIDOR DI-145A-9911"/>
    <m/>
    <m/>
    <m/>
    <s v="1450AA-T-70267_FL32"/>
    <n v="1"/>
    <s v="PÇ"/>
    <n v="0.38"/>
    <n v="0.38"/>
    <n v="2238.89"/>
    <n v="850.77819999999997"/>
    <n v="0"/>
    <n v="0.9"/>
    <n v="0.1"/>
    <m/>
    <m/>
    <m/>
    <n v="0"/>
    <m/>
    <n v="0"/>
    <n v="0.38"/>
    <m/>
    <n v="0.4"/>
    <n v="0.5"/>
    <n v="0.1"/>
    <m/>
    <m/>
    <m/>
    <n v="0"/>
    <n v="0"/>
    <n v="0"/>
    <n v="850.77819999999997"/>
    <m/>
    <m/>
  </r>
  <r>
    <s v="2.4.3.1.3"/>
    <s v="CMS M.60.10.000"/>
    <s v="TUBULAÇÃO"/>
    <n v="20"/>
    <s v="SPOOL"/>
    <n v="10"/>
    <s v="SIM"/>
    <s v="NÃO"/>
    <s v="NÃO"/>
    <s v="145-PP-10¨-L1H-941"/>
    <s v="START UP II"/>
    <s v="DISPOSIÇÃO DE REJEITOS LINHA DO CIRCUITO ARENOSO UNDER DO ESPESSADOR ES-142A-9801 PARA DISTRIBUIDOR DI-145A-9911"/>
    <m/>
    <m/>
    <m/>
    <s v="1450AA-T-70267_FL33"/>
    <n v="2"/>
    <s v="PÇ"/>
    <n v="0.39"/>
    <n v="0.78"/>
    <n v="2238.89"/>
    <n v="1746.3342"/>
    <n v="0"/>
    <n v="0.9"/>
    <n v="0.1"/>
    <m/>
    <m/>
    <m/>
    <n v="0"/>
    <m/>
    <n v="0"/>
    <n v="0.78"/>
    <m/>
    <n v="0.4"/>
    <n v="0.5"/>
    <n v="0.1"/>
    <m/>
    <m/>
    <m/>
    <n v="0"/>
    <n v="0"/>
    <n v="0"/>
    <n v="1746.3342"/>
    <m/>
    <m/>
  </r>
  <r>
    <s v="2.4.3.1.3"/>
    <s v="CMS M.60.10.000"/>
    <s v="TUBULAÇÃO"/>
    <n v="21"/>
    <s v="SPOOL"/>
    <n v="10"/>
    <s v="SIM"/>
    <s v="NÃO"/>
    <s v="NÃO"/>
    <s v="145-PP-10¨-L1H-941"/>
    <s v="START UP II"/>
    <s v="DISPOSIÇÃO DE REJEITOS LINHA DO CIRCUITO ARENOSO UNDER DO ESPESSADOR ES-142A-9801 PARA DISTRIBUIDOR DI-145A-9911"/>
    <m/>
    <m/>
    <m/>
    <s v="1450AA-T-70267_FL34"/>
    <n v="1"/>
    <s v="PÇ"/>
    <n v="0.44"/>
    <n v="0.44"/>
    <n v="2238.89"/>
    <n v="985.11159999999995"/>
    <n v="0"/>
    <n v="0.9"/>
    <n v="0.1"/>
    <m/>
    <m/>
    <m/>
    <n v="0"/>
    <m/>
    <n v="0"/>
    <n v="0.44"/>
    <m/>
    <n v="0.4"/>
    <n v="0.5"/>
    <n v="0.1"/>
    <m/>
    <m/>
    <m/>
    <n v="0"/>
    <n v="0"/>
    <n v="0"/>
    <n v="985.11159999999995"/>
    <m/>
    <m/>
  </r>
  <r>
    <s v="2.4.3.1.3"/>
    <s v="CMS M.60.10.000"/>
    <s v="TUBULAÇÃO"/>
    <n v="22"/>
    <s v="SPOOL"/>
    <n v="10"/>
    <s v="SIM"/>
    <s v="NÃO"/>
    <s v="NÃO"/>
    <s v="145-PP-10¨-L1H-941"/>
    <s v="START UP II"/>
    <s v="DISPOSIÇÃO DE REJEITOS LINHA DO CIRCUITO ARENOSO UNDER DO ESPESSADOR ES-142A-9801 PARA DISTRIBUIDOR DI-145A-9911"/>
    <m/>
    <m/>
    <m/>
    <s v="1450AA-T-70267_FL35"/>
    <n v="1"/>
    <s v="PÇ"/>
    <n v="0.49"/>
    <n v="0.49"/>
    <n v="2238.89"/>
    <n v="1097.0561"/>
    <n v="0"/>
    <n v="0.9"/>
    <n v="0.1"/>
    <m/>
    <m/>
    <m/>
    <n v="0"/>
    <m/>
    <n v="0"/>
    <n v="0.49"/>
    <m/>
    <n v="0.4"/>
    <n v="0.5"/>
    <n v="0.1"/>
    <m/>
    <m/>
    <m/>
    <n v="0"/>
    <n v="0"/>
    <n v="0"/>
    <n v="1097.0561"/>
    <m/>
    <m/>
  </r>
  <r>
    <s v="2.4.3.1.3"/>
    <s v="CMS M.60.10.000"/>
    <s v="TUBULAÇÃO"/>
    <n v="23"/>
    <s v="SPOOL"/>
    <n v="10"/>
    <s v="SIM"/>
    <s v="NÃO"/>
    <s v="NÃO"/>
    <s v="145-PP-10¨-L1H-941"/>
    <s v="START UP II"/>
    <s v="DISPOSIÇÃO DE REJEITOS LINHA DO CIRCUITO ARENOSO UNDER DO ESPESSADOR ES-142A-9801 PARA DISTRIBUIDOR DI-145A-9911"/>
    <m/>
    <m/>
    <m/>
    <s v="1450AA-T-70267_FL36"/>
    <n v="1"/>
    <s v="PÇ"/>
    <n v="0.54"/>
    <n v="0.54"/>
    <n v="2238.89"/>
    <n v="1209.0006000000001"/>
    <n v="0"/>
    <n v="0.9"/>
    <n v="0.1"/>
    <m/>
    <m/>
    <m/>
    <n v="0"/>
    <m/>
    <n v="0"/>
    <n v="0.54"/>
    <m/>
    <n v="0.4"/>
    <n v="0.5"/>
    <n v="0.1"/>
    <m/>
    <m/>
    <m/>
    <n v="0"/>
    <n v="0"/>
    <n v="0"/>
    <n v="1209.0006000000001"/>
    <m/>
    <m/>
  </r>
  <r>
    <s v="2.4.3.1.3"/>
    <s v="CMS M.60.10.000"/>
    <s v="TUBULAÇÃO"/>
    <n v="24"/>
    <s v="SPOOL"/>
    <n v="10"/>
    <s v="SIM"/>
    <s v="NÃO"/>
    <s v="NÃO"/>
    <s v="145-PP-10¨-L1H-941"/>
    <s v="START UP II"/>
    <s v="DISPOSIÇÃO DE REJEITOS LINHA DO CIRCUITO ARENOSO UNDER DO ESPESSADOR ES-142A-9801 PARA DISTRIBUIDOR DI-145A-9911"/>
    <m/>
    <m/>
    <m/>
    <s v="1450AA-T-70267_FL37"/>
    <n v="2"/>
    <s v="PÇ"/>
    <n v="0.56999999999999995"/>
    <n v="1.1399999999999999"/>
    <n v="2238.89"/>
    <n v="2552.3345999999997"/>
    <n v="0"/>
    <n v="0.9"/>
    <n v="0.1"/>
    <m/>
    <m/>
    <m/>
    <n v="0"/>
    <m/>
    <n v="0"/>
    <n v="1.1399999999999999"/>
    <m/>
    <n v="0.4"/>
    <n v="0.5"/>
    <n v="0.1"/>
    <m/>
    <m/>
    <m/>
    <n v="0"/>
    <n v="0"/>
    <n v="0"/>
    <n v="2552.3345999999997"/>
    <m/>
    <m/>
  </r>
  <r>
    <s v="2.4.3.1.3"/>
    <s v="CMS M.60.10.000"/>
    <s v="TUBULAÇÃO"/>
    <n v="25"/>
    <s v="SPOOL"/>
    <n v="10"/>
    <s v="SIM"/>
    <s v="NÃO"/>
    <s v="NÃO"/>
    <s v="145-PP-10¨-L1H-941"/>
    <s v="START UP II"/>
    <s v="DISPOSIÇÃO DE REJEITOS LINHA DO CIRCUITO ARENOSO UNDER DO ESPESSADOR ES-142A-9801 PARA DISTRIBUIDOR DI-145A-9911"/>
    <m/>
    <m/>
    <m/>
    <s v="1450AA-T-70267_FL38"/>
    <n v="1"/>
    <s v="PÇ"/>
    <n v="0.75"/>
    <n v="0.75"/>
    <n v="2238.89"/>
    <n v="1679.1675"/>
    <n v="0"/>
    <n v="0.9"/>
    <n v="0.1"/>
    <m/>
    <m/>
    <m/>
    <n v="0"/>
    <m/>
    <n v="0"/>
    <n v="0.75"/>
    <m/>
    <n v="0.4"/>
    <n v="0.5"/>
    <n v="0.1"/>
    <m/>
    <m/>
    <m/>
    <n v="0"/>
    <n v="0"/>
    <n v="0"/>
    <n v="1679.1675"/>
    <m/>
    <m/>
  </r>
  <r>
    <s v="2.4.3.1.3"/>
    <s v="CMS M.60.10.000"/>
    <s v="TUBULAÇÃO"/>
    <n v="26"/>
    <s v="SPOOL"/>
    <n v="10"/>
    <s v="SIM"/>
    <s v="NÃO"/>
    <s v="NÃO"/>
    <s v="145-PP-10¨-L1H-941"/>
    <s v="START UP II"/>
    <s v="DISPOSIÇÃO DE REJEITOS LINHA DO CIRCUITO ARENOSO UNDER DO ESPESSADOR ES-142A-9801 PARA DISTRIBUIDOR DI-145A-9911"/>
    <m/>
    <m/>
    <m/>
    <s v="1450AA-T-70267_FL39"/>
    <n v="2"/>
    <s v="PÇ"/>
    <n v="0.76500000000000001"/>
    <n v="1.53"/>
    <n v="2238.89"/>
    <n v="3425.5016999999998"/>
    <n v="0"/>
    <n v="0.9"/>
    <n v="0.1"/>
    <m/>
    <m/>
    <m/>
    <n v="0"/>
    <m/>
    <n v="0"/>
    <n v="1.53"/>
    <m/>
    <n v="0.4"/>
    <n v="0.5"/>
    <n v="0.1"/>
    <m/>
    <m/>
    <m/>
    <n v="0"/>
    <n v="0"/>
    <n v="0"/>
    <n v="3425.5016999999998"/>
    <m/>
    <m/>
  </r>
  <r>
    <s v="2.4.3.1.3"/>
    <s v="CMS M.60.10.000"/>
    <s v="TUBULAÇÃO"/>
    <n v="27"/>
    <s v="SPOOL"/>
    <n v="10"/>
    <s v="SIM"/>
    <s v="NÃO"/>
    <s v="NÃO"/>
    <s v="145-PP-10¨-L1H-941"/>
    <s v="START UP II"/>
    <s v="DISPOSIÇÃO DE REJEITOS LINHA DO CIRCUITO ARENOSO UNDER DO ESPESSADOR ES-142A-9801 PARA DISTRIBUIDOR DI-145A-9911"/>
    <m/>
    <m/>
    <m/>
    <s v="1450AA-T-70267_FL40"/>
    <n v="1"/>
    <s v="PÇ"/>
    <n v="0.99"/>
    <n v="0.99"/>
    <n v="2238.89"/>
    <n v="2216.5011"/>
    <n v="0"/>
    <n v="0.9"/>
    <n v="0.1"/>
    <m/>
    <m/>
    <m/>
    <n v="0"/>
    <m/>
    <n v="0"/>
    <n v="0.99"/>
    <m/>
    <n v="0.4"/>
    <n v="0.5"/>
    <n v="0.1"/>
    <m/>
    <m/>
    <m/>
    <n v="0"/>
    <n v="0"/>
    <n v="0"/>
    <n v="2216.5011"/>
    <m/>
    <m/>
  </r>
  <r>
    <s v="2.4.3.1.8"/>
    <s v="CMS M.60.10.000"/>
    <s v="TUBULAÇÃO"/>
    <n v="28"/>
    <s v="SPOOL"/>
    <n v="22"/>
    <s v="SIM"/>
    <s v="NÃO"/>
    <s v="NÃO"/>
    <s v="145-PP-10¨-L1H-941"/>
    <s v="START UP II"/>
    <s v="DISPOSIÇÃO DE REJEITOS LINHA DO CIRCUITO ARENOSO UNDER DO ESPESSADOR ES-142A-9801 PARA DISTRIBUIDOR DI-145A-9911"/>
    <m/>
    <m/>
    <m/>
    <s v="1450AA-T-70267_FL41"/>
    <n v="1"/>
    <s v="PÇ"/>
    <n v="0.71499999999999997"/>
    <n v="0.71499999999999997"/>
    <n v="2788.58"/>
    <n v="1993.8346999999999"/>
    <n v="0"/>
    <n v="0.9"/>
    <n v="0.1"/>
    <m/>
    <m/>
    <m/>
    <n v="0"/>
    <m/>
    <n v="0"/>
    <n v="0.71499999999999997"/>
    <m/>
    <n v="0.4"/>
    <n v="0.5"/>
    <n v="0.1"/>
    <m/>
    <m/>
    <m/>
    <n v="0"/>
    <n v="0"/>
    <n v="0"/>
    <n v="1993.8346999999999"/>
    <m/>
    <m/>
  </r>
  <r>
    <s v="2.4.3.1.3"/>
    <s v="CMS M.60.10.000"/>
    <s v="TUBULAÇÃO"/>
    <n v="29"/>
    <s v="CURVA"/>
    <n v="10"/>
    <s v="NÃO"/>
    <s v="NÃO"/>
    <s v="NÃO"/>
    <s v="145-PP-10¨-L1H-941"/>
    <s v="START UP II"/>
    <s v="DISPOSIÇÃO DE REJEITOS LINHA DO CIRCUITO ARENOSO UNDER DO ESPESSADOR ES-142A-9801 PARA DISTRIBUIDOR DI-145A-9911"/>
    <m/>
    <m/>
    <m/>
    <s v="1450AA-T-70267_FL42"/>
    <n v="1"/>
    <s v="PÇ"/>
    <n v="0.27400000000000002"/>
    <n v="0.27400000000000002"/>
    <n v="2238.89"/>
    <n v="613.45586000000003"/>
    <n v="0"/>
    <n v="0.9"/>
    <n v="0.1"/>
    <m/>
    <m/>
    <m/>
    <n v="0"/>
    <m/>
    <n v="0"/>
    <n v="0.27400000000000002"/>
    <m/>
    <n v="0.4"/>
    <n v="0.5"/>
    <n v="0.1"/>
    <m/>
    <m/>
    <m/>
    <n v="0"/>
    <n v="0"/>
    <n v="0"/>
    <n v="613.45586000000003"/>
    <m/>
    <m/>
  </r>
  <r>
    <s v="2.4.3.1.3"/>
    <s v="CMS M.60.10.000"/>
    <s v="TUBULAÇÃO"/>
    <n v="30"/>
    <s v="CURVA"/>
    <n v="10"/>
    <s v="NÃO"/>
    <s v="NÃO"/>
    <s v="NÃO"/>
    <s v="145-PP-10¨-L1H-941"/>
    <s v="START UP II"/>
    <s v="DISPOSIÇÃO DE REJEITOS LINHA DO CIRCUITO ARENOSO UNDER DO ESPESSADOR ES-142A-9801 PARA DISTRIBUIDOR DI-145A-9911"/>
    <m/>
    <m/>
    <m/>
    <s v="1450AA-T-70267_FL43"/>
    <n v="3"/>
    <s v="PÇ"/>
    <n v="0.22700000000000001"/>
    <n v="0.68100000000000005"/>
    <n v="2238.89"/>
    <n v="1524.68409"/>
    <n v="0"/>
    <n v="0.9"/>
    <n v="0.1"/>
    <m/>
    <m/>
    <m/>
    <n v="0"/>
    <m/>
    <n v="0"/>
    <n v="0.68100000000000005"/>
    <m/>
    <n v="0.4"/>
    <n v="0.5"/>
    <n v="0.1"/>
    <m/>
    <m/>
    <m/>
    <n v="0"/>
    <n v="0"/>
    <n v="0"/>
    <n v="1524.68409"/>
    <m/>
    <m/>
  </r>
  <r>
    <s v="2.4.3.1.3"/>
    <s v="CMS M.60.10.000"/>
    <s v="TUBULAÇÃO"/>
    <n v="31"/>
    <s v="CURVA"/>
    <n v="10"/>
    <s v="NÃO"/>
    <s v="NÃO"/>
    <s v="NÃO"/>
    <s v="145-PP-10¨-L1H-941"/>
    <s v="START UP II"/>
    <s v="DISPOSIÇÃO DE REJEITOS LINHA DO CIRCUITO ARENOSO UNDER DO ESPESSADOR ES-142A-9801 PARA DISTRIBUIDOR DI-145A-9911"/>
    <m/>
    <m/>
    <m/>
    <s v="1450AA-T-70267_FL44"/>
    <n v="1"/>
    <s v="PÇ"/>
    <n v="0.35399999999999998"/>
    <n v="0.35399999999999998"/>
    <n v="2238.89"/>
    <n v="792.56705999999997"/>
    <n v="0"/>
    <n v="0.9"/>
    <n v="0.1"/>
    <m/>
    <m/>
    <m/>
    <n v="0"/>
    <m/>
    <n v="0"/>
    <n v="0.35399999999999998"/>
    <m/>
    <n v="0.4"/>
    <n v="0.5"/>
    <n v="0.1"/>
    <m/>
    <m/>
    <m/>
    <n v="0"/>
    <n v="0"/>
    <n v="0"/>
    <n v="792.56705999999997"/>
    <m/>
    <m/>
  </r>
  <r>
    <s v="2.4.3.1.3"/>
    <s v="CMS M.60.10.000"/>
    <s v="TUBULAÇÃO"/>
    <n v="32"/>
    <s v="CURVA"/>
    <n v="10"/>
    <s v="NÃO"/>
    <s v="NÃO"/>
    <s v="NÃO"/>
    <s v="145-PP-10¨-L1H-941"/>
    <s v="START UP II"/>
    <s v="DISPOSIÇÃO DE REJEITOS LINHA DO CIRCUITO ARENOSO UNDER DO ESPESSADOR ES-142A-9801 PARA DISTRIBUIDOR DI-145A-9911"/>
    <m/>
    <m/>
    <m/>
    <s v="1450AA-T-70267_FL45"/>
    <n v="2"/>
    <s v="PÇ"/>
    <n v="0.44"/>
    <n v="0.88"/>
    <n v="2238.89"/>
    <n v="1970.2231999999999"/>
    <n v="0"/>
    <n v="0.9"/>
    <n v="0.1"/>
    <m/>
    <m/>
    <m/>
    <n v="0"/>
    <m/>
    <n v="0"/>
    <n v="0.88"/>
    <m/>
    <n v="0.4"/>
    <n v="0.5"/>
    <n v="0.1"/>
    <m/>
    <m/>
    <m/>
    <n v="0"/>
    <n v="0"/>
    <n v="0"/>
    <n v="1970.2231999999999"/>
    <m/>
    <m/>
  </r>
  <r>
    <s v="2.4.3.1.3"/>
    <s v="CMS M.60.10.000"/>
    <s v="TUBULAÇÃO"/>
    <n v="33"/>
    <s v="CURVA"/>
    <n v="10"/>
    <s v="NÃO"/>
    <s v="NÃO"/>
    <s v="NÃO"/>
    <s v="145-PP-10¨-L1H-941"/>
    <s v="START UP II"/>
    <s v="DISPOSIÇÃO DE REJEITOS LINHA DO CIRCUITO ARENOSO UNDER DO ESPESSADOR ES-142A-9801 PARA DISTRIBUIDOR DI-145A-9911"/>
    <m/>
    <m/>
    <m/>
    <s v="1450AA-T-70267_FL46"/>
    <n v="4"/>
    <s v="PÇ"/>
    <n v="0.54100000000000004"/>
    <n v="2.1640000000000001"/>
    <n v="2238.89"/>
    <n v="4844.9579599999997"/>
    <n v="0"/>
    <n v="0.9"/>
    <n v="0.1"/>
    <m/>
    <m/>
    <m/>
    <n v="0"/>
    <m/>
    <n v="0"/>
    <n v="2.1640000000000001"/>
    <m/>
    <n v="0.4"/>
    <n v="0.5"/>
    <n v="0.1"/>
    <m/>
    <m/>
    <m/>
    <n v="0"/>
    <n v="0"/>
    <n v="0"/>
    <n v="4844.9579599999997"/>
    <m/>
    <m/>
  </r>
  <r>
    <s v="2.4.3.1.3"/>
    <s v="CMS M.60.10.000"/>
    <s v="TUBULAÇÃO"/>
    <n v="34"/>
    <s v="CURVA"/>
    <n v="10"/>
    <s v="NÃO"/>
    <s v="NÃO"/>
    <s v="NÃO"/>
    <s v="145-PP-10¨-L1H-941"/>
    <s v="START UP II"/>
    <s v="DISPOSIÇÃO DE REJEITOS LINHA DO CIRCUITO ARENOSO UNDER DO ESPESSADOR ES-142A-9801 PARA DISTRIBUIDOR DI-145A-9911"/>
    <m/>
    <m/>
    <m/>
    <s v="1450AA-T-70267_FL47"/>
    <n v="1"/>
    <s v="PÇ"/>
    <n v="0.59099999999999997"/>
    <n v="0.59099999999999997"/>
    <n v="2238.89"/>
    <n v="1323.1839899999998"/>
    <n v="0"/>
    <n v="0.9"/>
    <n v="0.1"/>
    <m/>
    <m/>
    <m/>
    <n v="0"/>
    <m/>
    <n v="0"/>
    <n v="0.59099999999999997"/>
    <m/>
    <n v="0.4"/>
    <n v="0.5"/>
    <n v="0.1"/>
    <m/>
    <m/>
    <m/>
    <n v="0"/>
    <n v="0"/>
    <n v="0"/>
    <n v="1323.1839899999998"/>
    <m/>
    <m/>
  </r>
  <r>
    <s v="2.4.3.1.3"/>
    <s v="CMS M.60.10.000"/>
    <s v="TUBULAÇÃO"/>
    <n v="35"/>
    <s v="CURVA"/>
    <n v="10"/>
    <s v="NÃO"/>
    <s v="NÃO"/>
    <s v="NÃO"/>
    <s v="145-PP-10¨-L1H-941"/>
    <s v="START UP II"/>
    <s v="DISPOSIÇÃO DE REJEITOS LINHA DO CIRCUITO ARENOSO UNDER DO ESPESSADOR ES-142A-9801 PARA DISTRIBUIDOR DI-145A-9911"/>
    <m/>
    <m/>
    <m/>
    <s v="1450AA-T-70267_FL48"/>
    <n v="2"/>
    <s v="PÇ"/>
    <n v="0.61199999999999999"/>
    <n v="1.224"/>
    <n v="2238.89"/>
    <n v="2740.4013599999998"/>
    <n v="0"/>
    <n v="0.9"/>
    <n v="0.1"/>
    <m/>
    <m/>
    <m/>
    <n v="0"/>
    <m/>
    <n v="0"/>
    <n v="1.224"/>
    <m/>
    <n v="0.4"/>
    <n v="0.5"/>
    <n v="0.1"/>
    <m/>
    <m/>
    <m/>
    <n v="0"/>
    <n v="0"/>
    <n v="0"/>
    <n v="2740.4013599999998"/>
    <m/>
    <m/>
  </r>
  <r>
    <s v="2.4.3.1.3"/>
    <s v="CMS M.60.10.000"/>
    <s v="TUBULAÇÃO"/>
    <n v="36"/>
    <s v="CURVA"/>
    <n v="10"/>
    <s v="NÃO"/>
    <s v="NÃO"/>
    <s v="NÃO"/>
    <s v="145-PP-10¨-L1H-941"/>
    <s v="START UP II"/>
    <s v="DISPOSIÇÃO DE REJEITOS LINHA DO CIRCUITO ARENOSO UNDER DO ESPESSADOR ES-142A-9801 PARA DISTRIBUIDOR DI-145A-9911"/>
    <m/>
    <m/>
    <m/>
    <s v="1450AA-T-70267_FL49"/>
    <n v="2"/>
    <s v="PÇ"/>
    <n v="0.65100000000000002"/>
    <n v="1.302"/>
    <n v="2238.89"/>
    <n v="2915.03478"/>
    <n v="0"/>
    <n v="0.9"/>
    <n v="0.1"/>
    <m/>
    <m/>
    <m/>
    <n v="0"/>
    <m/>
    <n v="0"/>
    <n v="1.302"/>
    <m/>
    <n v="0.4"/>
    <n v="0.5"/>
    <n v="0.1"/>
    <m/>
    <m/>
    <m/>
    <n v="0"/>
    <n v="0"/>
    <n v="0"/>
    <n v="2915.03478"/>
    <m/>
    <m/>
  </r>
  <r>
    <s v="2.4.3.1.3"/>
    <s v="CMS M.60.10.000"/>
    <s v="TUBULAÇÃO"/>
    <n v="37"/>
    <s v="CURVA"/>
    <n v="10"/>
    <s v="NÃO"/>
    <s v="NÃO"/>
    <s v="NÃO"/>
    <s v="145-PP-10¨-L1H-941"/>
    <s v="START UP II"/>
    <s v="DISPOSIÇÃO DE REJEITOS LINHA DO CIRCUITO ARENOSO UNDER DO ESPESSADOR ES-142A-9801 PARA DISTRIBUIDOR DI-145A-9911"/>
    <m/>
    <m/>
    <m/>
    <s v="1450AA-T-70267_FL50"/>
    <n v="1"/>
    <s v="PÇ"/>
    <n v="0.68300000000000005"/>
    <n v="0.68300000000000005"/>
    <n v="2238.89"/>
    <n v="1529.1618700000001"/>
    <n v="0"/>
    <n v="0.9"/>
    <n v="0.1"/>
    <m/>
    <m/>
    <m/>
    <n v="0"/>
    <m/>
    <n v="0"/>
    <n v="0.68300000000000005"/>
    <m/>
    <n v="0.4"/>
    <n v="0.5"/>
    <n v="0.1"/>
    <m/>
    <m/>
    <m/>
    <n v="0"/>
    <n v="0"/>
    <n v="0"/>
    <n v="1529.1618700000001"/>
    <m/>
    <m/>
  </r>
  <r>
    <s v="2.4.3.1.3"/>
    <s v="CMS M.60.10.000"/>
    <s v="TUBULAÇÃO"/>
    <n v="38"/>
    <s v="CURVA"/>
    <n v="10"/>
    <s v="NÃO"/>
    <s v="NÃO"/>
    <s v="NÃO"/>
    <s v="145-PP-10¨-L1H-941"/>
    <s v="START UP II"/>
    <s v="DISPOSIÇÃO DE REJEITOS LINHA DO CIRCUITO ARENOSO UNDER DO ESPESSADOR ES-142A-9801 PARA DISTRIBUIDOR DI-145A-9911"/>
    <m/>
    <m/>
    <m/>
    <s v="1450AA-T-70267_FL51"/>
    <n v="1"/>
    <s v="PÇ"/>
    <n v="0.79900000000000004"/>
    <n v="0.79900000000000004"/>
    <n v="2238.89"/>
    <n v="1788.87311"/>
    <n v="0"/>
    <n v="0.9"/>
    <n v="0.1"/>
    <m/>
    <m/>
    <m/>
    <n v="0"/>
    <m/>
    <n v="0"/>
    <n v="0.79900000000000004"/>
    <m/>
    <n v="0.4"/>
    <n v="0.5"/>
    <n v="0.1"/>
    <m/>
    <m/>
    <m/>
    <n v="0"/>
    <n v="0"/>
    <n v="0"/>
    <n v="1788.87311"/>
    <m/>
    <m/>
  </r>
  <r>
    <s v="2.4.3.1.3"/>
    <s v="CMS M.60.10.000"/>
    <s v="TUBULAÇÃO"/>
    <n v="39"/>
    <s v="CURVA"/>
    <n v="10"/>
    <s v="NÃO"/>
    <s v="NÃO"/>
    <s v="NÃO"/>
    <s v="145-PP-10¨-L1H-941"/>
    <s v="START UP II"/>
    <s v="DISPOSIÇÃO DE REJEITOS LINHA DO CIRCUITO ARENOSO UNDER DO ESPESSADOR ES-142A-9801 PARA DISTRIBUIDOR DI-145A-9911"/>
    <m/>
    <m/>
    <m/>
    <s v="1450AA-T-70267_FL52"/>
    <n v="1"/>
    <s v="PÇ"/>
    <n v="0.90300000000000002"/>
    <n v="0.90300000000000002"/>
    <n v="2238.89"/>
    <n v="2021.71767"/>
    <n v="0"/>
    <n v="0.9"/>
    <n v="0.1"/>
    <m/>
    <m/>
    <m/>
    <n v="0"/>
    <m/>
    <n v="0"/>
    <n v="0.90300000000000002"/>
    <m/>
    <n v="0.4"/>
    <n v="0.5"/>
    <n v="0.1"/>
    <m/>
    <m/>
    <m/>
    <n v="0"/>
    <n v="0"/>
    <n v="0"/>
    <n v="2021.71767"/>
    <m/>
    <m/>
  </r>
  <r>
    <s v="2.4.3.1.3"/>
    <s v="CMS M.60.10.000"/>
    <s v="TUBULAÇÃO"/>
    <n v="40"/>
    <s v="CURVA"/>
    <n v="10"/>
    <s v="NÃO"/>
    <s v="NÃO"/>
    <s v="NÃO"/>
    <s v="145-PP-10¨-L1H-941"/>
    <s v="START UP II"/>
    <s v="DISPOSIÇÃO DE REJEITOS LINHA DO CIRCUITO ARENOSO UNDER DO ESPESSADOR ES-142A-9801 PARA DISTRIBUIDOR DI-145A-9911"/>
    <m/>
    <m/>
    <m/>
    <s v="1450AA-T-70267_FL53"/>
    <n v="1"/>
    <s v="PÇ"/>
    <n v="1.3759999999999999"/>
    <n v="1.3759999999999999"/>
    <n v="2238.89"/>
    <n v="3080.7126399999997"/>
    <n v="0"/>
    <n v="0.9"/>
    <n v="0.1"/>
    <m/>
    <m/>
    <m/>
    <n v="0"/>
    <m/>
    <n v="0"/>
    <n v="1.3759999999999999"/>
    <m/>
    <n v="0.4"/>
    <n v="0.5"/>
    <n v="0.1"/>
    <m/>
    <m/>
    <m/>
    <n v="0"/>
    <n v="0"/>
    <n v="0"/>
    <n v="3080.7126399999997"/>
    <m/>
    <m/>
  </r>
  <r>
    <s v="2.4.3.1.3"/>
    <s v="CMS M.60.10.000"/>
    <s v="TUBULAÇÃO"/>
    <n v="41"/>
    <s v="DERIVAÇÃO "/>
    <n v="10"/>
    <s v="NÃO"/>
    <s v="NÃO"/>
    <s v="NÃO"/>
    <s v="145-PP-10¨-L1H-941"/>
    <s v="START UP II"/>
    <s v="DISPOSIÇÃO DE REJEITOS LINHA DO CIRCUITO ARENOSO UNDER DO ESPESSADOR ES-142A-9801 PARA DISTRIBUIDOR DI-145A-9911"/>
    <m/>
    <m/>
    <m/>
    <s v="1450AA-T-70267_FL54"/>
    <n v="1"/>
    <s v="PÇ"/>
    <n v="2.0499999999999998"/>
    <n v="2.0499999999999998"/>
    <n v="2238.89"/>
    <n v="4589.7244999999994"/>
    <n v="0"/>
    <n v="0.9"/>
    <n v="0.1"/>
    <m/>
    <m/>
    <m/>
    <n v="0"/>
    <m/>
    <n v="0"/>
    <n v="2.0499999999999998"/>
    <m/>
    <n v="0.4"/>
    <n v="0.5"/>
    <n v="0.1"/>
    <m/>
    <m/>
    <m/>
    <n v="0"/>
    <n v="0"/>
    <n v="0"/>
    <n v="4589.7244999999994"/>
    <m/>
    <m/>
  </r>
  <r>
    <s v="2.4.3.1.3"/>
    <s v="CMS M.60.10.000"/>
    <s v="TUBULAÇÃO"/>
    <n v="42"/>
    <s v="SPOOL"/>
    <n v="10"/>
    <s v="NÃO"/>
    <s v="NÃO"/>
    <s v="NÃO"/>
    <s v="145-PP-10¨-L1H-941"/>
    <s v="START UP II"/>
    <s v="DISPOSIÇÃO DE REJEITOS LINHA DO CIRCUITO ARENOSO UNDER DO ESPESSADOR ES-142A-9801 PARA DISTRIBUIDOR DI-145A-9911"/>
    <m/>
    <m/>
    <m/>
    <s v="1450AA-T-70267_FL55"/>
    <n v="1"/>
    <s v="PÇ"/>
    <n v="1.39"/>
    <n v="1.39"/>
    <n v="2238.89"/>
    <n v="3112.0570999999995"/>
    <n v="0"/>
    <n v="0.9"/>
    <n v="0.1"/>
    <m/>
    <m/>
    <m/>
    <n v="0"/>
    <m/>
    <n v="0"/>
    <n v="1.39"/>
    <m/>
    <n v="0.4"/>
    <n v="0.5"/>
    <n v="0.1"/>
    <m/>
    <m/>
    <m/>
    <n v="0"/>
    <n v="0"/>
    <n v="0"/>
    <n v="3112.0570999999995"/>
    <m/>
    <m/>
  </r>
  <r>
    <s v="2.4.3.1.3"/>
    <s v="CMS M.60.10.000"/>
    <s v="TUBULAÇÃO"/>
    <n v="43"/>
    <s v="REDUÇÃO"/>
    <s v="12 X 10"/>
    <s v="NÃO"/>
    <s v="NÃO"/>
    <s v="NÃO"/>
    <s v="145-PP-10¨-L1H-941"/>
    <s v="START UP II"/>
    <s v="DISPOSIÇÃO DE REJEITOS LINHA DO CIRCUITO ARENOSO UNDER DO ESPESSADOR ES-142A-9801 PARA DISTRIBUIDOR DI-145A-9911"/>
    <m/>
    <m/>
    <m/>
    <s v="1450AA-T-70267_FL56"/>
    <n v="1"/>
    <s v="PÇ"/>
    <n v="0.45300000000000001"/>
    <n v="0.45300000000000001"/>
    <n v="2238.89"/>
    <n v="1014.21717"/>
    <n v="0"/>
    <n v="0.9"/>
    <n v="0.1"/>
    <m/>
    <m/>
    <m/>
    <n v="0"/>
    <m/>
    <n v="0"/>
    <n v="0.45300000000000001"/>
    <m/>
    <n v="0.4"/>
    <n v="0.5"/>
    <n v="0.1"/>
    <m/>
    <m/>
    <m/>
    <n v="0"/>
    <n v="0"/>
    <n v="0"/>
    <n v="1014.21717"/>
    <m/>
    <m/>
  </r>
  <r>
    <s v="2.4.3.1.1"/>
    <s v="CMS M.60.10.000"/>
    <s v="TUBULAÇÃO"/>
    <n v="1"/>
    <s v="CURVA"/>
    <n v="6"/>
    <s v="NÃO"/>
    <s v="NÃO"/>
    <s v="NÃO"/>
    <s v="145A-PG-6¨-L1H-877"/>
    <s v="START UP III"/>
    <s v="DISPOSIÇÃO DE REJEITOS LINHA DO CIRCUITO ULTRAFINO DISTRIBUIDOR DI-145A-9904 PARA A PENEIRA PN-145A-9721"/>
    <m/>
    <m/>
    <m/>
    <s v="1450AA-T-70270_FL13"/>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77"/>
    <s v="START UP III"/>
    <s v="DISPOSIÇÃO DE REJEITOS LINHA DO CIRCUITO ULTRAFINO DISTRIBUIDOR DI-145A-9904 PARA A PENEIRA PN-145A-9721"/>
    <m/>
    <m/>
    <m/>
    <s v="1450AA-T-70270_FL15"/>
    <n v="1"/>
    <s v="PÇ"/>
    <n v="0.29599999999999999"/>
    <n v="0.29599999999999999"/>
    <n v="1169.77"/>
    <n v="346.25191999999998"/>
    <n v="0"/>
    <n v="0.9"/>
    <n v="0.1"/>
    <m/>
    <m/>
    <m/>
    <n v="0"/>
    <m/>
    <n v="0"/>
    <n v="0.29599999999999999"/>
    <m/>
    <n v="0.4"/>
    <n v="0.5"/>
    <n v="0.1"/>
    <m/>
    <m/>
    <m/>
    <n v="0"/>
    <n v="0"/>
    <n v="0"/>
    <n v="346.25191999999998"/>
    <m/>
    <m/>
  </r>
  <r>
    <s v="2.4.3.1.1"/>
    <s v="CMS M.60.10.000"/>
    <s v="TUBULAÇÃO"/>
    <n v="3"/>
    <s v="CURVA"/>
    <n v="6"/>
    <s v="NÃO"/>
    <s v="NÃO"/>
    <s v="NÃO"/>
    <s v="145A-PG-6¨-L1H-877"/>
    <s v="START UP III"/>
    <s v="DISPOSIÇÃO DE REJEITOS LINHA DO CIRCUITO ULTRAFINO DISTRIBUIDOR DI-145A-9904 PARA A PENEIRA PN-145A-9721"/>
    <m/>
    <m/>
    <m/>
    <s v="1450AA-T-70270_FL14"/>
    <n v="1"/>
    <s v="PÇ"/>
    <n v="0.48"/>
    <n v="0.48"/>
    <n v="1169.77"/>
    <n v="561.4896"/>
    <n v="0"/>
    <n v="0.9"/>
    <n v="0.1"/>
    <m/>
    <m/>
    <m/>
    <n v="0"/>
    <m/>
    <n v="0"/>
    <n v="0.48"/>
    <m/>
    <n v="0.4"/>
    <n v="0.5"/>
    <n v="0.1"/>
    <m/>
    <m/>
    <m/>
    <n v="0"/>
    <n v="0"/>
    <n v="0"/>
    <n v="561.4896"/>
    <m/>
    <m/>
  </r>
  <r>
    <s v="2.4.3.1.1"/>
    <s v="CMS M.60.10.000"/>
    <s v="TUBULAÇÃO"/>
    <n v="4"/>
    <s v="SPOOL"/>
    <n v="6"/>
    <s v="SIM"/>
    <s v="NÃO"/>
    <s v="NÃO"/>
    <s v="145A-PG-6¨-L1H-877"/>
    <s v="START UP III"/>
    <s v="DISPOSIÇÃO DE REJEITOS LINHA DO CIRCUITO ULTRAFINO DISTRIBUIDOR DI-145A-9904 PARA A PENEIRA PN-145A-9721"/>
    <m/>
    <m/>
    <m/>
    <s v="1450AA-T-70270_FL19"/>
    <n v="1"/>
    <s v="PÇ"/>
    <n v="0.35"/>
    <n v="0.35"/>
    <n v="1169.77"/>
    <n v="409.41949999999997"/>
    <n v="0"/>
    <n v="0.9"/>
    <n v="0.1"/>
    <m/>
    <m/>
    <m/>
    <n v="0"/>
    <m/>
    <n v="0"/>
    <n v="0.35"/>
    <m/>
    <n v="0.4"/>
    <n v="0.5"/>
    <n v="0.1"/>
    <m/>
    <m/>
    <m/>
    <n v="0"/>
    <n v="0"/>
    <n v="0"/>
    <n v="409.41949999999997"/>
    <m/>
    <m/>
  </r>
  <r>
    <s v="2.4.3.1.1"/>
    <s v="CMS M.60.10.000"/>
    <s v="TUBULAÇÃO"/>
    <n v="5"/>
    <s v="CURVA"/>
    <n v="6"/>
    <s v="NÃO"/>
    <s v="NÃO"/>
    <s v="NÃO"/>
    <s v="145A-PG-6¨-L1H-877"/>
    <s v="START UP III"/>
    <s v="DISPOSIÇÃO DE REJEITOS LINHA DO CIRCUITO ULTRAFINO DISTRIBUIDOR DI-145A-9904 PARA A PENEIRA PN-145A-9721"/>
    <m/>
    <m/>
    <m/>
    <s v="1450AA-T-70270_FL11"/>
    <n v="1"/>
    <s v="PÇ"/>
    <n v="0.28999999999999998"/>
    <n v="0.28999999999999998"/>
    <n v="1169.77"/>
    <n v="339.23329999999999"/>
    <n v="0"/>
    <n v="0.9"/>
    <n v="0.1"/>
    <m/>
    <m/>
    <m/>
    <n v="0"/>
    <m/>
    <n v="0"/>
    <n v="0.28999999999999998"/>
    <m/>
    <n v="0.4"/>
    <n v="0.5"/>
    <n v="0.1"/>
    <m/>
    <m/>
    <m/>
    <n v="0"/>
    <n v="0"/>
    <n v="0"/>
    <n v="339.23329999999999"/>
    <m/>
    <m/>
  </r>
  <r>
    <s v="2.4.3.1.1"/>
    <s v="CMS M.60.10.000"/>
    <s v="TUBULAÇÃO"/>
    <n v="6"/>
    <s v="SPOOL"/>
    <n v="6"/>
    <s v="NÃO"/>
    <s v="NÃO"/>
    <s v="NÃO"/>
    <s v="145A-PG-6¨-L1H-877"/>
    <s v="START UP III"/>
    <s v="DISPOSIÇÃO DE REJEITOS LINHA DO CIRCUITO ULTRAFINO DISTRIBUIDOR DI-145A-9904 PARA A PENEIRA PN-145A-9721"/>
    <m/>
    <m/>
    <m/>
    <s v="1450AA-T-70270_FL16"/>
    <n v="1"/>
    <s v="PÇ"/>
    <n v="0.63100000000000001"/>
    <n v="0.63100000000000001"/>
    <n v="1169.77"/>
    <n v="738.12486999999999"/>
    <n v="0"/>
    <n v="0.9"/>
    <n v="0.1"/>
    <m/>
    <m/>
    <m/>
    <n v="0"/>
    <m/>
    <n v="0"/>
    <n v="0.63100000000000001"/>
    <m/>
    <n v="0.4"/>
    <n v="0.5"/>
    <n v="0.1"/>
    <m/>
    <m/>
    <m/>
    <n v="0"/>
    <n v="0"/>
    <n v="0"/>
    <n v="738.12486999999999"/>
    <m/>
    <m/>
  </r>
  <r>
    <s v="2.4.3.1.1"/>
    <s v="CMS M.60.10.000"/>
    <s v="TUBULAÇÃO"/>
    <n v="7"/>
    <s v="CURVA"/>
    <n v="6"/>
    <s v="NÃO"/>
    <s v="NÃO"/>
    <s v="NÃO"/>
    <s v="145A-PG-6¨-L1H-877"/>
    <s v="START UP III"/>
    <s v="DISPOSIÇÃO DE REJEITOS LINHA DO CIRCUITO ULTRAFINO DISTRIBUIDOR DI-145A-9904 PARA A PENEIRA PN-145A-9721"/>
    <m/>
    <m/>
    <m/>
    <s v="1450AA-T-70270_FL12"/>
    <n v="1"/>
    <s v="PÇ"/>
    <n v="0.315"/>
    <n v="0.315"/>
    <n v="1169.77"/>
    <n v="368.47755000000001"/>
    <n v="0"/>
    <n v="0.9"/>
    <n v="0.1"/>
    <m/>
    <m/>
    <m/>
    <n v="0"/>
    <m/>
    <n v="0"/>
    <n v="0.315"/>
    <m/>
    <n v="0.4"/>
    <n v="0.5"/>
    <n v="0.1"/>
    <m/>
    <m/>
    <m/>
    <n v="0"/>
    <n v="0"/>
    <n v="0"/>
    <n v="368.47755000000001"/>
    <m/>
    <m/>
  </r>
  <r>
    <s v="2.4.3.1.1"/>
    <s v="CMS M.60.10.000"/>
    <s v="TUBULAÇÃO"/>
    <n v="8"/>
    <s v="SPOOL"/>
    <n v="6"/>
    <s v="NÃO"/>
    <s v="NÃO"/>
    <s v="NÃO"/>
    <s v="145A-PG-6¨-L1H-877"/>
    <s v="START UP III"/>
    <s v="DISPOSIÇÃO DE REJEITOS LINHA DO CIRCUITO ULTRAFINO DISTRIBUIDOR DI-145A-9904 PARA A PENEIRA PN-145A-9721"/>
    <m/>
    <m/>
    <m/>
    <s v="1450AA-T-70270_FL17"/>
    <n v="1"/>
    <s v="PÇ"/>
    <n v="1.5"/>
    <n v="1.5"/>
    <n v="1169.77"/>
    <n v="1754.655"/>
    <n v="0"/>
    <n v="0.9"/>
    <n v="0.1"/>
    <m/>
    <m/>
    <m/>
    <n v="0"/>
    <m/>
    <n v="0"/>
    <n v="1.5"/>
    <m/>
    <n v="0.4"/>
    <n v="0.5"/>
    <n v="0.1"/>
    <m/>
    <m/>
    <m/>
    <n v="0"/>
    <n v="0"/>
    <n v="0"/>
    <n v="1754.655"/>
    <m/>
    <m/>
  </r>
  <r>
    <s v="2.4.3.1.1"/>
    <s v="CMS M.60.10.000"/>
    <s v="TUBULAÇÃO"/>
    <n v="9"/>
    <s v="SPOOL"/>
    <n v="6"/>
    <s v="NÃO"/>
    <s v="NÃO"/>
    <s v="NÃO"/>
    <s v="145A-PG-6¨-L1H-877"/>
    <s v="START UP III"/>
    <s v="DISPOSIÇÃO DE REJEITOS LINHA DO CIRCUITO ULTRAFINO DISTRIBUIDOR DI-145A-9904 PARA A PENEIRA PN-145A-9721"/>
    <m/>
    <m/>
    <m/>
    <s v="1450AA-T-70270_FL18"/>
    <n v="1"/>
    <s v="PÇ"/>
    <n v="3"/>
    <n v="3"/>
    <n v="1169.77"/>
    <n v="3509.31"/>
    <n v="0"/>
    <n v="0.9"/>
    <n v="0.1"/>
    <m/>
    <m/>
    <m/>
    <n v="0"/>
    <m/>
    <n v="0"/>
    <n v="3"/>
    <m/>
    <n v="0.4"/>
    <n v="0.5"/>
    <n v="0.1"/>
    <m/>
    <m/>
    <m/>
    <n v="0"/>
    <n v="0"/>
    <n v="0"/>
    <n v="3509.31"/>
    <m/>
    <m/>
  </r>
  <r>
    <s v="2.4.3.1.1"/>
    <s v="CMS M.60.10.000"/>
    <s v="TUBULAÇÃO"/>
    <n v="10"/>
    <s v="SPOOL"/>
    <n v="6"/>
    <s v="SIM"/>
    <s v="NÃO"/>
    <s v="NÃO"/>
    <s v="145A-PG-6¨-L1H-877"/>
    <s v="START UP III"/>
    <s v="DISPOSIÇÃO DE REJEITOS LINHA DO CIRCUITO ULTRAFINO DISTRIBUIDOR DI-145A-9904 PARA A PENEIRA PN-145A-9721"/>
    <m/>
    <m/>
    <m/>
    <s v="1450AA-T-70270_FL20"/>
    <n v="2"/>
    <s v="PÇ"/>
    <n v="0.45"/>
    <n v="0.9"/>
    <n v="1169.77"/>
    <n v="1052.7930000000001"/>
    <n v="0"/>
    <n v="0.9"/>
    <n v="0.1"/>
    <m/>
    <m/>
    <m/>
    <n v="0"/>
    <m/>
    <n v="0"/>
    <n v="0.9"/>
    <m/>
    <n v="0.4"/>
    <n v="0.5"/>
    <n v="0.1"/>
    <m/>
    <m/>
    <m/>
    <n v="0"/>
    <n v="0"/>
    <n v="0"/>
    <n v="1052.7930000000001"/>
    <m/>
    <m/>
  </r>
  <r>
    <n v="0"/>
    <s v="CMS M.60.10.000"/>
    <s v="TUBULAÇÃO"/>
    <n v="11"/>
    <s v="SPOOL"/>
    <s v="6 X 4"/>
    <s v="NÃO"/>
    <s v="NÃO"/>
    <s v="NÃO"/>
    <s v="145A-PG-6¨-L1H-877"/>
    <s v="START UP III"/>
    <s v="DISPOSIÇÃO DE REJEITOS LINHA DO CIRCUITO ULTRAFINO DISTRIBUIDOR DI-145A-9904 PARA A PENEIRA PN-145A-9721"/>
    <m/>
    <m/>
    <m/>
    <s v="1450AA-T-70270_FL09"/>
    <n v="1"/>
    <s v="PÇ"/>
    <n v="2.1349999999999998"/>
    <n v="2.1349999999999998"/>
    <n v="0"/>
    <n v="0"/>
    <n v="0"/>
    <n v="0.9"/>
    <n v="0.1"/>
    <m/>
    <m/>
    <m/>
    <n v="0"/>
    <m/>
    <n v="0"/>
    <n v="2.1349999999999998"/>
    <m/>
    <n v="0.4"/>
    <n v="0.5"/>
    <n v="0.1"/>
    <m/>
    <m/>
    <m/>
    <n v="0"/>
    <n v="0"/>
    <n v="0"/>
    <n v="0"/>
    <m/>
    <m/>
  </r>
  <r>
    <n v="0"/>
    <s v="CMS M.60.10.000"/>
    <s v="TUBULAÇÃO"/>
    <n v="12"/>
    <s v="FLANGE"/>
    <n v="4"/>
    <s v="NÃO"/>
    <s v="NÃO"/>
    <s v="NÃO"/>
    <s v="145A-PG-6¨-L1H-877"/>
    <s v="START UP III"/>
    <s v="DISPOSIÇÃO DE REJEITOS LINHA DO CIRCUITO ULTRAFINO DISTRIBUIDOR DI-145A-9904 PARA A PENEIRA PN-145A-9721"/>
    <m/>
    <m/>
    <m/>
    <s v="1450AA-T-70270_FL03"/>
    <n v="2"/>
    <s v="PÇ"/>
    <n v="0"/>
    <n v="0"/>
    <n v="0"/>
    <n v="0"/>
    <n v="0"/>
    <n v="0.9"/>
    <n v="0.1"/>
    <m/>
    <m/>
    <m/>
    <n v="0"/>
    <m/>
    <n v="0"/>
    <n v="0"/>
    <m/>
    <n v="0.4"/>
    <n v="0.5"/>
    <n v="0.1"/>
    <m/>
    <m/>
    <m/>
    <n v="0"/>
    <n v="0"/>
    <n v="0"/>
    <n v="0"/>
    <m/>
    <m/>
  </r>
  <r>
    <s v="2.4.3.1.1"/>
    <s v="CMS M.60.10.000"/>
    <s v="TUBULAÇÃO"/>
    <n v="1"/>
    <s v="SPOOL"/>
    <n v="6"/>
    <s v="NÃO"/>
    <s v="NÃO"/>
    <s v="NÃO"/>
    <s v="145A-PG-6¨-L1H-879"/>
    <s v="START UP III"/>
    <s v="DISPOSIÇÃO DE REJEITOS LINHA DO CIRCUITO ULTRAFINO DISTRIBUIDOR DI-145A-9904 PARA A PENEIRA PN-145A-9722"/>
    <m/>
    <m/>
    <m/>
    <s v="1450AA-T-70272_FL12"/>
    <n v="1"/>
    <s v="PÇ"/>
    <n v="0.2"/>
    <n v="0.2"/>
    <n v="1169.77"/>
    <n v="233.95400000000001"/>
    <n v="0"/>
    <n v="0.9"/>
    <n v="0.1"/>
    <m/>
    <m/>
    <m/>
    <n v="0"/>
    <m/>
    <n v="0"/>
    <n v="0.2"/>
    <m/>
    <n v="0.4"/>
    <n v="0.5"/>
    <n v="0.1"/>
    <m/>
    <m/>
    <m/>
    <n v="0"/>
    <n v="0"/>
    <n v="0"/>
    <n v="233.95400000000001"/>
    <m/>
    <m/>
  </r>
  <r>
    <s v="2.4.3.1.1"/>
    <s v="CMS M.60.10.000"/>
    <s v="TUBULAÇÃO"/>
    <n v="2"/>
    <s v="CURVA"/>
    <n v="6"/>
    <s v="NÃO"/>
    <s v="NÃO"/>
    <s v="NÃO"/>
    <s v="145A-PG-6¨-L1H-879"/>
    <s v="START UP III"/>
    <s v="DISPOSIÇÃO DE REJEITOS LINHA DO CIRCUITO ULTRAFINO DISTRIBUIDOR DI-145A-9904 PARA A PENEIRA PN-145A-9722"/>
    <m/>
    <m/>
    <m/>
    <s v="1450AA-T-70272_FL11"/>
    <n v="2"/>
    <s v="PÇ"/>
    <n v="0.46500000000000002"/>
    <n v="0.93"/>
    <n v="1169.77"/>
    <n v="1087.8860999999999"/>
    <n v="0"/>
    <n v="0.9"/>
    <n v="0.1"/>
    <m/>
    <m/>
    <m/>
    <n v="0"/>
    <m/>
    <n v="0"/>
    <n v="0.93"/>
    <m/>
    <n v="0.4"/>
    <n v="0.5"/>
    <n v="0.1"/>
    <m/>
    <m/>
    <m/>
    <n v="0"/>
    <n v="0"/>
    <n v="0"/>
    <n v="1087.8860999999999"/>
    <m/>
    <m/>
  </r>
  <r>
    <s v="2.4.3.1.1"/>
    <s v="CMS M.60.10.000"/>
    <s v="TUBULAÇÃO"/>
    <n v="3"/>
    <s v="SPOOL"/>
    <n v="6"/>
    <s v="NÃO"/>
    <s v="NÃO"/>
    <s v="NÃO"/>
    <s v="145A-PG-6¨-L1H-879"/>
    <s v="START UP III"/>
    <s v="DISPOSIÇÃO DE REJEITOS LINHA DO CIRCUITO ULTRAFINO DISTRIBUIDOR DI-145A-9904 PARA A PENEIRA PN-145A-9722"/>
    <m/>
    <m/>
    <m/>
    <s v="1450AA-T-70272_FL13"/>
    <n v="1"/>
    <s v="PÇ"/>
    <n v="1.125"/>
    <n v="1.125"/>
    <n v="1169.77"/>
    <n v="1315.99125"/>
    <n v="0"/>
    <n v="0.9"/>
    <n v="0.1"/>
    <m/>
    <m/>
    <m/>
    <n v="0"/>
    <m/>
    <n v="0"/>
    <n v="1.125"/>
    <m/>
    <n v="0.4"/>
    <n v="0.5"/>
    <n v="0.1"/>
    <m/>
    <m/>
    <m/>
    <n v="0"/>
    <n v="0"/>
    <n v="0"/>
    <n v="1315.99125"/>
    <m/>
    <m/>
  </r>
  <r>
    <s v="2.4.3.1.1"/>
    <s v="CMS M.60.10.000"/>
    <s v="TUBULAÇÃO"/>
    <n v="4"/>
    <s v="SPOOL"/>
    <n v="6"/>
    <s v="NÃO"/>
    <s v="NÃO"/>
    <s v="NÃO"/>
    <s v="145A-PG-6¨-L1H-879"/>
    <s v="START UP III"/>
    <s v="DISPOSIÇÃO DE REJEITOS LINHA DO CIRCUITO ULTRAFINO DISTRIBUIDOR DI-145A-9904 PARA A PENEIRA PN-145A-9722"/>
    <m/>
    <m/>
    <m/>
    <s v="1450AA-T-70272_FL14"/>
    <n v="1"/>
    <s v="PÇ"/>
    <n v="3.2"/>
    <n v="3.2"/>
    <n v="1169.77"/>
    <n v="3743.2640000000001"/>
    <n v="0"/>
    <n v="0.9"/>
    <n v="0.1"/>
    <m/>
    <m/>
    <m/>
    <n v="0"/>
    <m/>
    <n v="0"/>
    <n v="3.2"/>
    <m/>
    <n v="0.4"/>
    <n v="0.5"/>
    <n v="0.1"/>
    <m/>
    <m/>
    <m/>
    <n v="0"/>
    <n v="0"/>
    <n v="0"/>
    <n v="3743.2640000000001"/>
    <m/>
    <m/>
  </r>
  <r>
    <s v="2.4.3.1.1"/>
    <s v="CMS M.60.10.000"/>
    <s v="TUBULAÇÃO"/>
    <n v="5"/>
    <s v="SPOOL"/>
    <n v="6"/>
    <s v="SIM"/>
    <s v="NÃO"/>
    <s v="NÃO"/>
    <s v="145A-PG-6¨-L1H-879"/>
    <s v="START UP III"/>
    <s v="DISPOSIÇÃO DE REJEITOS LINHA DO CIRCUITO ULTRAFINO DISTRIBUIDOR DI-145A-9904 PARA A PENEIRA PN-145A-9722"/>
    <m/>
    <m/>
    <m/>
    <s v="1450AA-T-70272_FL15"/>
    <n v="1"/>
    <s v="PÇ"/>
    <n v="0.42"/>
    <n v="0.42"/>
    <n v="1169.77"/>
    <n v="491.30339999999995"/>
    <n v="0"/>
    <n v="0.9"/>
    <n v="0.1"/>
    <m/>
    <m/>
    <m/>
    <n v="0"/>
    <m/>
    <n v="0"/>
    <n v="0.42"/>
    <m/>
    <n v="0.4"/>
    <n v="0.5"/>
    <n v="0.1"/>
    <m/>
    <m/>
    <m/>
    <n v="0"/>
    <n v="0"/>
    <n v="0"/>
    <n v="491.30339999999995"/>
    <m/>
    <m/>
  </r>
  <r>
    <n v="0"/>
    <s v="CMS M.60.10.000"/>
    <s v="TUBULAÇÃO"/>
    <n v="6"/>
    <s v="SPOOL"/>
    <s v="6 X 4"/>
    <s v="NÃO"/>
    <s v="NÃO"/>
    <s v="NÃO"/>
    <s v="145A-PG-6¨-L1H-879"/>
    <s v="START UP III"/>
    <s v="DISPOSIÇÃO DE REJEITOS LINHA DO CIRCUITO ULTRAFINO DISTRIBUIDOR DI-145A-9904 PARA A PENEIRA PN-145A-9722"/>
    <m/>
    <m/>
    <m/>
    <s v="1450AA-T-70272_FL09"/>
    <n v="1"/>
    <s v="PÇ"/>
    <n v="2.1349999999999998"/>
    <n v="2.1349999999999998"/>
    <n v="0"/>
    <n v="0"/>
    <n v="0"/>
    <n v="0.9"/>
    <n v="0.1"/>
    <m/>
    <m/>
    <m/>
    <n v="0"/>
    <m/>
    <n v="0"/>
    <n v="2.1349999999999998"/>
    <m/>
    <n v="0.4"/>
    <n v="0.5"/>
    <n v="0.1"/>
    <m/>
    <m/>
    <m/>
    <n v="0"/>
    <n v="0"/>
    <n v="0"/>
    <n v="0"/>
    <m/>
    <m/>
  </r>
  <r>
    <n v="0"/>
    <s v="CMS M.60.10.000"/>
    <s v="TUBULAÇÃO"/>
    <n v="7"/>
    <s v="FLANGE"/>
    <n v="4"/>
    <s v="NÃO"/>
    <s v="NÃO"/>
    <s v="NÃO"/>
    <s v="145A-PG-6¨-L1H-879"/>
    <s v="START UP III"/>
    <s v="DISPOSIÇÃO DE REJEITOS LINHA DO CIRCUITO ULTRAFINO DISTRIBUIDOR DI-145A-9904 PARA A PENEIRA PN-145A-9722"/>
    <m/>
    <m/>
    <m/>
    <s v="1450AA-T-70272_FL03"/>
    <n v="2"/>
    <s v="PÇ"/>
    <n v="0"/>
    <n v="0"/>
    <n v="0"/>
    <n v="0"/>
    <n v="0"/>
    <n v="0.9"/>
    <n v="0.1"/>
    <m/>
    <m/>
    <m/>
    <n v="0"/>
    <m/>
    <n v="0"/>
    <n v="0"/>
    <m/>
    <n v="0.4"/>
    <n v="0.5"/>
    <n v="0.1"/>
    <m/>
    <m/>
    <m/>
    <n v="0"/>
    <n v="0"/>
    <n v="0"/>
    <n v="0"/>
    <m/>
    <m/>
  </r>
  <r>
    <s v="2.4.3.1.1"/>
    <s v="CMS M.60.10.000"/>
    <s v="TUBULAÇÃO"/>
    <n v="1"/>
    <s v="CURVA"/>
    <n v="6"/>
    <s v="NÃO"/>
    <s v="NÃO"/>
    <s v="NÃO"/>
    <s v="145A-PG-6¨-L1H-881"/>
    <s v="START UP III"/>
    <s v="DISPOSIÇÃO DE REJEITOS LINHA DO CIRCUITO ULTRAFINO DISTRIBUIDOR DI-145A-9904 PARA A PENEIRA PN-145A-9723"/>
    <m/>
    <m/>
    <m/>
    <s v="1450AA-T-70274_FL12"/>
    <n v="2"/>
    <s v="PÇ"/>
    <n v="0.47"/>
    <n v="0.94"/>
    <n v="1169.77"/>
    <n v="1099.5837999999999"/>
    <n v="0"/>
    <n v="0.9"/>
    <n v="0.1"/>
    <m/>
    <m/>
    <m/>
    <n v="0"/>
    <m/>
    <n v="0"/>
    <n v="0.94"/>
    <m/>
    <n v="0.4"/>
    <n v="0.5"/>
    <n v="0.1"/>
    <m/>
    <m/>
    <m/>
    <n v="0"/>
    <n v="0"/>
    <n v="0"/>
    <n v="1099.5837999999999"/>
    <m/>
    <m/>
  </r>
  <r>
    <s v="2.4.3.1.1"/>
    <s v="CMS M.60.10.000"/>
    <s v="TUBULAÇÃO"/>
    <n v="2"/>
    <s v="SPOOL"/>
    <n v="6"/>
    <s v="NÃO"/>
    <s v="NÃO"/>
    <s v="NÃO"/>
    <s v="145A-PG-6¨-L1H-881"/>
    <s v="START UP III"/>
    <s v="DISPOSIÇÃO DE REJEITOS LINHA DO CIRCUITO ULTRAFINO DISTRIBUIDOR DI-145A-9904 PARA A PENEIRA PN-145A-9723"/>
    <m/>
    <m/>
    <m/>
    <s v="1450AA-T-70274_FL16"/>
    <n v="1"/>
    <s v="PÇ"/>
    <n v="2.5"/>
    <n v="2.5"/>
    <n v="1169.77"/>
    <n v="2924.4250000000002"/>
    <n v="0"/>
    <n v="0.9"/>
    <n v="0.1"/>
    <m/>
    <m/>
    <m/>
    <n v="0"/>
    <m/>
    <n v="0"/>
    <n v="2.5"/>
    <m/>
    <n v="0.4"/>
    <n v="0.5"/>
    <n v="0.1"/>
    <m/>
    <m/>
    <m/>
    <n v="0"/>
    <n v="0"/>
    <n v="0"/>
    <n v="2924.4250000000002"/>
    <m/>
    <m/>
  </r>
  <r>
    <s v="2.4.3.1.1"/>
    <s v="CMS M.60.10.000"/>
    <s v="TUBULAÇÃO"/>
    <n v="3"/>
    <s v="SPOOL"/>
    <n v="6"/>
    <s v="SIM"/>
    <s v="NÃO"/>
    <s v="NÃO"/>
    <s v="145A-PG-6¨-L1H-881"/>
    <s v="START UP III"/>
    <s v="DISPOSIÇÃO DE REJEITOS LINHA DO CIRCUITO ULTRAFINO DISTRIBUIDOR DI-145A-9904 PARA A PENEIRA PN-145A-9723"/>
    <m/>
    <m/>
    <m/>
    <s v="1450AA-T-70274_FL17"/>
    <n v="2"/>
    <s v="PÇ"/>
    <n v="0.4"/>
    <n v="0.8"/>
    <n v="1169.77"/>
    <n v="935.81600000000003"/>
    <n v="0"/>
    <n v="0.9"/>
    <n v="0.1"/>
    <m/>
    <m/>
    <m/>
    <n v="0"/>
    <m/>
    <n v="0"/>
    <n v="0.8"/>
    <m/>
    <n v="0.4"/>
    <n v="0.5"/>
    <n v="0.1"/>
    <m/>
    <m/>
    <m/>
    <n v="0"/>
    <n v="0"/>
    <n v="0"/>
    <n v="935.81600000000003"/>
    <m/>
    <m/>
  </r>
  <r>
    <s v="2.4.3.1.1"/>
    <s v="CMS M.60.10.000"/>
    <s v="TUBULAÇÃO"/>
    <n v="4"/>
    <s v="SPOOL"/>
    <n v="6"/>
    <s v="NÃO"/>
    <s v="NÃO"/>
    <s v="NÃO"/>
    <s v="145A-PG-6¨-L1H-881"/>
    <s v="START UP III"/>
    <s v="DISPOSIÇÃO DE REJEITOS LINHA DO CIRCUITO ULTRAFINO DISTRIBUIDOR DI-145A-9904 PARA A PENEIRA PN-145A-9723"/>
    <m/>
    <m/>
    <m/>
    <s v="1450AA-T-70274_FL13"/>
    <n v="1"/>
    <s v="PÇ"/>
    <n v="0.96399999999999997"/>
    <n v="0.96399999999999997"/>
    <n v="1169.77"/>
    <n v="1127.6582799999999"/>
    <n v="0"/>
    <n v="0.9"/>
    <n v="0.1"/>
    <m/>
    <m/>
    <m/>
    <n v="0"/>
    <m/>
    <n v="0"/>
    <n v="0.96399999999999997"/>
    <m/>
    <n v="0.4"/>
    <n v="0.5"/>
    <n v="0.1"/>
    <m/>
    <m/>
    <m/>
    <n v="0"/>
    <n v="0"/>
    <n v="0"/>
    <n v="1127.6582799999999"/>
    <m/>
    <m/>
  </r>
  <r>
    <s v="2.4.3.1.1"/>
    <s v="CMS M.60.10.000"/>
    <s v="TUBULAÇÃO"/>
    <n v="5"/>
    <s v="CURVA"/>
    <n v="6"/>
    <s v="NÃO"/>
    <s v="NÃO"/>
    <s v="NÃO"/>
    <s v="145A-PG-6¨-L1H-881"/>
    <s v="START UP III"/>
    <s v="DISPOSIÇÃO DE REJEITOS LINHA DO CIRCUITO ULTRAFINO DISTRIBUIDOR DI-145A-9904 PARA A PENEIRA PN-145A-9723"/>
    <m/>
    <m/>
    <m/>
    <s v="1450AA-T-70274_FL11"/>
    <n v="2"/>
    <s v="PÇ"/>
    <n v="0.435"/>
    <n v="0.87"/>
    <n v="1169.77"/>
    <n v="1017.6999"/>
    <n v="0"/>
    <n v="0.9"/>
    <n v="0.1"/>
    <m/>
    <m/>
    <m/>
    <n v="0"/>
    <m/>
    <n v="0"/>
    <n v="0.87"/>
    <m/>
    <n v="0.4"/>
    <n v="0.5"/>
    <n v="0.1"/>
    <m/>
    <m/>
    <m/>
    <n v="0"/>
    <n v="0"/>
    <n v="0"/>
    <n v="1017.6999"/>
    <m/>
    <m/>
  </r>
  <r>
    <s v="2.4.3.1.1"/>
    <s v="CMS M.60.10.000"/>
    <s v="TUBULAÇÃO"/>
    <n v="6"/>
    <s v="SPOOL"/>
    <n v="6"/>
    <s v="NÃO"/>
    <s v="NÃO"/>
    <s v="NÃO"/>
    <s v="145A-PG-6¨-L1H-881"/>
    <s v="START UP III"/>
    <s v="DISPOSIÇÃO DE REJEITOS LINHA DO CIRCUITO ULTRAFINO DISTRIBUIDOR DI-145A-9904 PARA A PENEIRA PN-145A-9723"/>
    <m/>
    <m/>
    <m/>
    <s v="1450AA-T-70274_FL15"/>
    <n v="1"/>
    <s v="PÇ"/>
    <n v="2.3050000000000002"/>
    <n v="2.3050000000000002"/>
    <n v="1169.77"/>
    <n v="2696.3198500000003"/>
    <n v="0"/>
    <n v="0.9"/>
    <n v="0.1"/>
    <m/>
    <m/>
    <m/>
    <n v="0"/>
    <m/>
    <n v="0"/>
    <n v="2.3050000000000002"/>
    <m/>
    <n v="0.4"/>
    <n v="0.5"/>
    <n v="0.1"/>
    <m/>
    <m/>
    <m/>
    <n v="0"/>
    <n v="0"/>
    <n v="0"/>
    <n v="2696.3198500000003"/>
    <m/>
    <m/>
  </r>
  <r>
    <s v="2.4.3.1.1"/>
    <s v="CMS M.60.10.000"/>
    <s v="TUBULAÇÃO"/>
    <n v="7"/>
    <s v="SPOOL"/>
    <n v="6"/>
    <s v="NÃO"/>
    <s v="NÃO"/>
    <s v="NÃO"/>
    <s v="145A-PG-6¨-L1H-881"/>
    <s v="START UP III"/>
    <s v="DISPOSIÇÃO DE REJEITOS LINHA DO CIRCUITO ULTRAFINO DISTRIBUIDOR DI-145A-9904 PARA A PENEIRA PN-145A-9723"/>
    <m/>
    <m/>
    <m/>
    <s v="1450AA-T-70274_FL14"/>
    <n v="1"/>
    <s v="PÇ"/>
    <n v="1.5"/>
    <n v="1.5"/>
    <n v="1169.77"/>
    <n v="1754.655"/>
    <n v="0"/>
    <n v="0.9"/>
    <n v="0.1"/>
    <m/>
    <m/>
    <m/>
    <n v="0"/>
    <m/>
    <n v="0"/>
    <n v="1.5"/>
    <m/>
    <n v="0.4"/>
    <n v="0.5"/>
    <n v="0.1"/>
    <m/>
    <m/>
    <m/>
    <n v="0"/>
    <n v="0"/>
    <n v="0"/>
    <n v="1754.655"/>
    <m/>
    <m/>
  </r>
  <r>
    <n v="0"/>
    <s v="CMS M.60.10.000"/>
    <s v="TUBULAÇÃO"/>
    <n v="8"/>
    <s v="SPOOL"/>
    <s v="6 X 4"/>
    <s v="NÃO"/>
    <s v="NÃO"/>
    <s v="NÃO"/>
    <s v="145A-PG-6¨-L1H-881"/>
    <s v="START UP III"/>
    <s v="DISPOSIÇÃO DE REJEITOS LINHA DO CIRCUITO ULTRAFINO DISTRIBUIDOR DI-145A-9904 PARA A PENEIRA PN-145A-9723"/>
    <m/>
    <m/>
    <m/>
    <s v="1450AA-T-70274_FL09"/>
    <n v="1"/>
    <s v="PÇ"/>
    <n v="2.1349999999999998"/>
    <n v="2.1349999999999998"/>
    <n v="0"/>
    <n v="0"/>
    <n v="0"/>
    <n v="0.9"/>
    <n v="0.1"/>
    <m/>
    <m/>
    <m/>
    <n v="0"/>
    <m/>
    <n v="0"/>
    <n v="2.1349999999999998"/>
    <m/>
    <n v="0.4"/>
    <n v="0.5"/>
    <n v="0.1"/>
    <m/>
    <m/>
    <m/>
    <n v="0"/>
    <n v="0"/>
    <n v="0"/>
    <n v="0"/>
    <m/>
    <m/>
  </r>
  <r>
    <n v="0"/>
    <s v="CMS M.60.10.000"/>
    <s v="TUBULAÇÃO"/>
    <n v="9"/>
    <s v="FLANGE"/>
    <n v="4"/>
    <s v="NÃO"/>
    <s v="NÃO"/>
    <s v="NÃO"/>
    <s v="145A-PG-6¨-L1H-881"/>
    <s v="START UP III"/>
    <s v="DISPOSIÇÃO DE REJEITOS LINHA DO CIRCUITO ULTRAFINO DISTRIBUIDOR DI-145A-9904 PARA A PENEIRA PN-145A-9723"/>
    <m/>
    <m/>
    <m/>
    <s v="1450AA-T-70274_FL03"/>
    <n v="2"/>
    <s v="PÇ"/>
    <n v="0"/>
    <n v="0"/>
    <n v="0"/>
    <n v="0"/>
    <n v="0"/>
    <n v="0.9"/>
    <n v="0.1"/>
    <m/>
    <m/>
    <m/>
    <n v="0"/>
    <m/>
    <n v="0"/>
    <n v="0"/>
    <m/>
    <n v="0.4"/>
    <n v="0.5"/>
    <n v="0.1"/>
    <m/>
    <m/>
    <m/>
    <n v="0"/>
    <n v="0"/>
    <n v="0"/>
    <n v="0"/>
    <m/>
    <m/>
  </r>
  <r>
    <s v="2.4.3.1.1"/>
    <s v="CMS M.60.10.000"/>
    <s v="TUBULAÇÃO"/>
    <n v="1"/>
    <s v="CURVA"/>
    <n v="6"/>
    <s v="NÃO"/>
    <s v="NÃO"/>
    <s v="NÃO"/>
    <s v="145A-PG-6¨-L1H-876"/>
    <s v="START UP III"/>
    <s v="DISPOSIÇÃO DE REJEITOS LINHA DO CIRCUITO ULTRAFINO DISTRIBUIDOR DI-145A-9904 PARA A PENEIRA PN-145A-9701"/>
    <m/>
    <m/>
    <m/>
    <s v="1450AA-T-70276_FL16"/>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76"/>
    <s v="START UP III"/>
    <s v="DISPOSIÇÃO DE REJEITOS LINHA DO CIRCUITO ULTRAFINO DISTRIBUIDOR DI-145A-9904 PARA A PENEIRA PN-145A-9701"/>
    <m/>
    <m/>
    <m/>
    <s v="1450AA-T-70276_FL17"/>
    <n v="1"/>
    <s v="PÇ"/>
    <n v="0.28100000000000003"/>
    <n v="0.28100000000000003"/>
    <n v="1169.77"/>
    <n v="328.70537000000002"/>
    <n v="0"/>
    <n v="0.9"/>
    <n v="0.1"/>
    <m/>
    <m/>
    <m/>
    <n v="0"/>
    <m/>
    <n v="0"/>
    <n v="0.28100000000000003"/>
    <m/>
    <n v="0.4"/>
    <n v="0.5"/>
    <n v="0.1"/>
    <m/>
    <m/>
    <m/>
    <n v="0"/>
    <n v="0"/>
    <n v="0"/>
    <n v="328.70537000000002"/>
    <m/>
    <m/>
  </r>
  <r>
    <s v="2.4.3.1.1"/>
    <s v="CMS M.60.10.000"/>
    <s v="TUBULAÇÃO"/>
    <n v="3"/>
    <s v="CURVA"/>
    <n v="6"/>
    <s v="NÃO"/>
    <s v="NÃO"/>
    <s v="NÃO"/>
    <s v="145A-PG-6¨-L1H-876"/>
    <s v="START UP III"/>
    <s v="DISPOSIÇÃO DE REJEITOS LINHA DO CIRCUITO ULTRAFINO DISTRIBUIDOR DI-145A-9904 PARA A PENEIRA PN-145A-9701"/>
    <m/>
    <m/>
    <m/>
    <s v="1450AA-T-70276_FL13"/>
    <n v="1"/>
    <s v="PÇ"/>
    <n v="0.42"/>
    <n v="0.42"/>
    <n v="1169.77"/>
    <n v="491.30339999999995"/>
    <n v="0"/>
    <n v="0.9"/>
    <n v="0.1"/>
    <m/>
    <m/>
    <m/>
    <n v="0"/>
    <m/>
    <n v="0"/>
    <n v="0.42"/>
    <m/>
    <n v="0.4"/>
    <n v="0.5"/>
    <n v="0.1"/>
    <m/>
    <m/>
    <m/>
    <n v="0"/>
    <n v="0"/>
    <n v="0"/>
    <n v="491.30339999999995"/>
    <m/>
    <m/>
  </r>
  <r>
    <s v="2.4.3.1.1"/>
    <s v="CMS M.60.10.000"/>
    <s v="TUBULAÇÃO"/>
    <n v="4"/>
    <s v="SPOOL"/>
    <n v="6"/>
    <s v="NÃO"/>
    <s v="NÃO"/>
    <s v="NÃO"/>
    <s v="145A-PG-6¨-L1H-876"/>
    <s v="START UP III"/>
    <s v="DISPOSIÇÃO DE REJEITOS LINHA DO CIRCUITO ULTRAFINO DISTRIBUIDOR DI-145A-9904 PARA A PENEIRA PN-145A-9701"/>
    <m/>
    <m/>
    <m/>
    <s v="1450AA-T-70276_FL19"/>
    <n v="1"/>
    <s v="PÇ"/>
    <n v="1.4"/>
    <n v="1.4"/>
    <n v="1169.77"/>
    <n v="1637.6779999999999"/>
    <n v="0"/>
    <n v="0.9"/>
    <n v="0.1"/>
    <m/>
    <m/>
    <m/>
    <n v="0"/>
    <m/>
    <n v="0"/>
    <n v="1.4"/>
    <m/>
    <n v="0.4"/>
    <n v="0.5"/>
    <n v="0.1"/>
    <m/>
    <m/>
    <m/>
    <n v="0"/>
    <n v="0"/>
    <n v="0"/>
    <n v="1637.6779999999999"/>
    <m/>
    <m/>
  </r>
  <r>
    <s v="2.4.3.1.1"/>
    <s v="CMS M.60.10.000"/>
    <s v="TUBULAÇÃO"/>
    <n v="5"/>
    <s v="SPOOL"/>
    <n v="6"/>
    <s v="SIM"/>
    <s v="NÃO"/>
    <s v="NÃO"/>
    <s v="145A-PG-6¨-L1H-876"/>
    <s v="START UP III"/>
    <s v="DISPOSIÇÃO DE REJEITOS LINHA DO CIRCUITO ULTRAFINO DISTRIBUIDOR DI-145A-9904 PARA A PENEIRA PN-145A-9701"/>
    <m/>
    <m/>
    <m/>
    <s v="1450AA-T-70276_FL23"/>
    <n v="2"/>
    <s v="PÇ"/>
    <n v="0.35"/>
    <n v="0.7"/>
    <n v="1169.77"/>
    <n v="818.83899999999994"/>
    <n v="0"/>
    <n v="0.9"/>
    <n v="0.1"/>
    <m/>
    <m/>
    <m/>
    <n v="0"/>
    <m/>
    <n v="0"/>
    <n v="0.7"/>
    <m/>
    <n v="0.4"/>
    <n v="0.5"/>
    <n v="0.1"/>
    <m/>
    <m/>
    <m/>
    <n v="0"/>
    <n v="0"/>
    <n v="0"/>
    <n v="818.83899999999994"/>
    <m/>
    <m/>
  </r>
  <r>
    <s v="2.4.3.1.1"/>
    <s v="CMS M.60.10.000"/>
    <s v="TUBULAÇÃO"/>
    <n v="6"/>
    <s v="CURVA"/>
    <n v="6"/>
    <s v="NÃO"/>
    <s v="NÃO"/>
    <s v="NÃO"/>
    <s v="145A-PG-6¨-L1H-876"/>
    <s v="START UP III"/>
    <s v="DISPOSIÇÃO DE REJEITOS LINHA DO CIRCUITO ULTRAFINO DISTRIBUIDOR DI-145A-9904 PARA A PENEIRA PN-145A-9701"/>
    <m/>
    <m/>
    <m/>
    <s v="1450AA-T-70276_FL12"/>
    <n v="1"/>
    <s v="PÇ"/>
    <n v="0.32500000000000001"/>
    <n v="0.32500000000000001"/>
    <n v="1169.77"/>
    <n v="380.17525000000001"/>
    <n v="0"/>
    <n v="0.9"/>
    <n v="0.1"/>
    <m/>
    <m/>
    <m/>
    <n v="0"/>
    <m/>
    <n v="0"/>
    <n v="0.32500000000000001"/>
    <m/>
    <n v="0.4"/>
    <n v="0.5"/>
    <n v="0.1"/>
    <m/>
    <m/>
    <m/>
    <n v="0"/>
    <n v="0"/>
    <n v="0"/>
    <n v="380.17525000000001"/>
    <m/>
    <m/>
  </r>
  <r>
    <s v="2.4.3.1.1"/>
    <s v="CMS M.60.10.000"/>
    <s v="TUBULAÇÃO"/>
    <n v="7"/>
    <s v="SPOOL"/>
    <n v="6"/>
    <s v="NÃO"/>
    <s v="NÃO"/>
    <s v="NÃO"/>
    <s v="145A-PG-6¨-L1H-876"/>
    <s v="START UP III"/>
    <s v="DISPOSIÇÃO DE REJEITOS LINHA DO CIRCUITO ULTRAFINO DISTRIBUIDOR DI-145A-9904 PARA A PENEIRA PN-145A-9701"/>
    <m/>
    <m/>
    <m/>
    <s v="1450AA-T-70276_FL21"/>
    <n v="1"/>
    <s v="PÇ"/>
    <n v="2.02"/>
    <n v="2.02"/>
    <n v="1169.77"/>
    <n v="2362.9353999999998"/>
    <n v="0"/>
    <n v="0.9"/>
    <n v="0.1"/>
    <m/>
    <m/>
    <m/>
    <n v="0"/>
    <m/>
    <n v="0"/>
    <n v="2.02"/>
    <m/>
    <n v="0.4"/>
    <n v="0.5"/>
    <n v="0.1"/>
    <m/>
    <m/>
    <m/>
    <n v="0"/>
    <n v="0"/>
    <n v="0"/>
    <n v="2362.9353999999998"/>
    <m/>
    <m/>
  </r>
  <r>
    <s v="2.4.3.1.1"/>
    <s v="CMS M.60.10.000"/>
    <s v="TUBULAÇÃO"/>
    <n v="8"/>
    <s v="SPOOL"/>
    <n v="6"/>
    <s v="NÃO"/>
    <s v="NÃO"/>
    <s v="NÃO"/>
    <s v="145A-PG-6¨-L1H-876"/>
    <s v="START UP III"/>
    <s v="DISPOSIÇÃO DE REJEITOS LINHA DO CIRCUITO ULTRAFINO DISTRIBUIDOR DI-145A-9904 PARA A PENEIRA PN-145A-9701"/>
    <m/>
    <m/>
    <m/>
    <s v="1450AA-T-70276_FL22"/>
    <n v="2"/>
    <s v="PÇ"/>
    <n v="3"/>
    <n v="6"/>
    <n v="1169.77"/>
    <n v="7018.62"/>
    <n v="0"/>
    <n v="0.9"/>
    <n v="0.1"/>
    <m/>
    <m/>
    <m/>
    <n v="0"/>
    <m/>
    <n v="0"/>
    <n v="6"/>
    <m/>
    <n v="0.4"/>
    <n v="0.5"/>
    <n v="0.1"/>
    <m/>
    <m/>
    <m/>
    <n v="0"/>
    <n v="0"/>
    <n v="0"/>
    <n v="7018.62"/>
    <m/>
    <m/>
  </r>
  <r>
    <s v="2.4.3.1.1"/>
    <s v="CMS M.60.10.000"/>
    <s v="TUBULAÇÃO"/>
    <n v="9"/>
    <s v="SPOOL"/>
    <n v="6"/>
    <s v="SIM"/>
    <s v="NÃO"/>
    <s v="NÃO"/>
    <s v="145A-PG-6¨-L1H-876"/>
    <s v="START UP III"/>
    <s v="DISPOSIÇÃO DE REJEITOS LINHA DO CIRCUITO ULTRAFINO DISTRIBUIDOR DI-145A-9904 PARA A PENEIRA PN-145A-9701"/>
    <m/>
    <m/>
    <m/>
    <s v="1450AA-T-70276_FL24"/>
    <n v="1"/>
    <s v="PÇ"/>
    <n v="0.55000000000000004"/>
    <n v="0.55000000000000004"/>
    <n v="1169.77"/>
    <n v="643.37350000000004"/>
    <n v="0"/>
    <n v="0.9"/>
    <n v="0.1"/>
    <m/>
    <m/>
    <m/>
    <n v="0"/>
    <m/>
    <n v="0"/>
    <n v="0.55000000000000004"/>
    <m/>
    <n v="0.4"/>
    <n v="0.5"/>
    <n v="0.1"/>
    <m/>
    <m/>
    <m/>
    <n v="0"/>
    <n v="0"/>
    <n v="0"/>
    <n v="643.37350000000004"/>
    <m/>
    <m/>
  </r>
  <r>
    <s v="2.4.3.1.1"/>
    <s v="CMS M.60.10.000"/>
    <s v="TUBULAÇÃO"/>
    <n v="10"/>
    <s v="CURVA"/>
    <n v="6"/>
    <s v="NÃO"/>
    <s v="NÃO"/>
    <s v="NÃO"/>
    <s v="145A-PG-6¨-L1H-876"/>
    <s v="START UP III"/>
    <s v="DISPOSIÇÃO DE REJEITOS LINHA DO CIRCUITO ULTRAFINO DISTRIBUIDOR DI-145A-9904 PARA A PENEIRA PN-145A-9701"/>
    <m/>
    <m/>
    <m/>
    <s v="1450AA-T-70276_FL15"/>
    <n v="1"/>
    <s v="PÇ"/>
    <n v="0.42"/>
    <n v="0.42"/>
    <n v="1169.77"/>
    <n v="491.30339999999995"/>
    <n v="0"/>
    <n v="0.9"/>
    <n v="0.1"/>
    <m/>
    <m/>
    <m/>
    <n v="0"/>
    <m/>
    <n v="0"/>
    <n v="0.42"/>
    <m/>
    <n v="0.4"/>
    <n v="0.5"/>
    <n v="0.1"/>
    <m/>
    <m/>
    <m/>
    <n v="0"/>
    <n v="0"/>
    <n v="0"/>
    <n v="491.30339999999995"/>
    <m/>
    <m/>
  </r>
  <r>
    <s v="2.4.3.1.1"/>
    <s v="CMS M.60.10.000"/>
    <s v="TUBULAÇÃO"/>
    <n v="11"/>
    <s v="SPOOL"/>
    <n v="6"/>
    <s v="NÃO"/>
    <s v="NÃO"/>
    <s v="NÃO"/>
    <s v="145A-PG-6¨-L1H-876"/>
    <s v="START UP III"/>
    <s v="DISPOSIÇÃO DE REJEITOS LINHA DO CIRCUITO ULTRAFINO DISTRIBUIDOR DI-145A-9904 PARA A PENEIRA PN-145A-9701"/>
    <m/>
    <m/>
    <m/>
    <s v="1450AA-T-70276_FL20"/>
    <n v="1"/>
    <s v="PÇ"/>
    <n v="1.93"/>
    <n v="1.93"/>
    <n v="1169.77"/>
    <n v="2257.6560999999997"/>
    <n v="0"/>
    <n v="0.9"/>
    <n v="0.1"/>
    <m/>
    <m/>
    <m/>
    <n v="0"/>
    <m/>
    <n v="0"/>
    <n v="1.93"/>
    <m/>
    <n v="0.4"/>
    <n v="0.5"/>
    <n v="0.1"/>
    <m/>
    <m/>
    <m/>
    <n v="0"/>
    <n v="0"/>
    <n v="0"/>
    <n v="2257.6560999999997"/>
    <m/>
    <m/>
  </r>
  <r>
    <s v="2.4.3.1.1"/>
    <s v="CMS M.60.10.000"/>
    <s v="TUBULAÇÃO"/>
    <n v="12"/>
    <s v="CURVA"/>
    <n v="6"/>
    <s v="NÃO"/>
    <s v="NÃO"/>
    <s v="NÃO"/>
    <s v="145A-PG-6¨-L1H-876"/>
    <s v="START UP III"/>
    <s v="DISPOSIÇÃO DE REJEITOS LINHA DO CIRCUITO ULTRAFINO DISTRIBUIDOR DI-145A-9904 PARA A PENEIRA PN-145A-9701"/>
    <m/>
    <m/>
    <m/>
    <s v="1450AA-T-70276_FL14"/>
    <n v="1"/>
    <s v="PÇ"/>
    <n v="0.51200000000000001"/>
    <n v="0.51200000000000001"/>
    <n v="1169.77"/>
    <n v="598.92223999999999"/>
    <n v="0"/>
    <n v="0.9"/>
    <n v="0.1"/>
    <m/>
    <m/>
    <m/>
    <n v="0"/>
    <m/>
    <n v="0"/>
    <n v="0.51200000000000001"/>
    <m/>
    <n v="0.4"/>
    <n v="0.5"/>
    <n v="0.1"/>
    <m/>
    <m/>
    <m/>
    <n v="0"/>
    <n v="0"/>
    <n v="0"/>
    <n v="598.92223999999999"/>
    <m/>
    <m/>
  </r>
  <r>
    <s v="2.4.3.1.1"/>
    <s v="CMS M.60.10.000"/>
    <s v="TUBULAÇÃO"/>
    <n v="13"/>
    <s v="SPOOL"/>
    <n v="6"/>
    <s v="NÃO"/>
    <s v="NÃO"/>
    <s v="NÃO"/>
    <s v="145A-PG-6¨-L1H-876"/>
    <s v="START UP III"/>
    <s v="DISPOSIÇÃO DE REJEITOS LINHA DO CIRCUITO ULTRAFINO DISTRIBUIDOR DI-145A-9904 PARA A PENEIRA PN-145A-9701"/>
    <m/>
    <m/>
    <m/>
    <s v="1450AA-T-70276_FL18"/>
    <n v="1"/>
    <s v="PÇ"/>
    <n v="1.349"/>
    <n v="1.349"/>
    <n v="1169.77"/>
    <n v="1578.01973"/>
    <n v="0"/>
    <n v="0.9"/>
    <n v="0.1"/>
    <m/>
    <m/>
    <m/>
    <n v="0"/>
    <m/>
    <n v="0"/>
    <n v="1.349"/>
    <m/>
    <n v="0.4"/>
    <n v="0.5"/>
    <n v="0.1"/>
    <m/>
    <m/>
    <m/>
    <n v="0"/>
    <n v="0"/>
    <n v="0"/>
    <n v="1578.01973"/>
    <m/>
    <m/>
  </r>
  <r>
    <s v="2.4.3.1.1"/>
    <s v="CMS M.60.10.000"/>
    <s v="TUBULAÇÃO"/>
    <n v="14"/>
    <s v="SPOOL"/>
    <n v="6"/>
    <s v="NÃO"/>
    <s v="NÃO"/>
    <s v="NÃO"/>
    <s v="145A-PG-6¨-L1H-876"/>
    <s v="START UP III"/>
    <s v="DISPOSIÇÃO DE REJEITOS LINHA DO CIRCUITO ULTRAFINO DISTRIBUIDOR DI-145A-9904 PARA A PENEIRA PN-145A-9701"/>
    <m/>
    <m/>
    <m/>
    <s v="1450AA-T-70276_FL11"/>
    <n v="1"/>
    <s v="PÇ"/>
    <n v="0.82"/>
    <n v="0.82"/>
    <n v="1169.77"/>
    <n v="959.21139999999991"/>
    <n v="0"/>
    <n v="0.9"/>
    <n v="0.1"/>
    <m/>
    <m/>
    <m/>
    <n v="0"/>
    <m/>
    <n v="0"/>
    <n v="0.82"/>
    <m/>
    <n v="0.4"/>
    <n v="0.5"/>
    <n v="0.1"/>
    <m/>
    <m/>
    <m/>
    <n v="0"/>
    <n v="0"/>
    <n v="0"/>
    <n v="959.21139999999991"/>
    <m/>
    <m/>
  </r>
  <r>
    <n v="0"/>
    <s v="CMS M.60.10.000"/>
    <s v="TUBULAÇÃO"/>
    <n v="15"/>
    <s v="SPOOL"/>
    <s v="6 X 4"/>
    <s v="NÃO"/>
    <s v="NÃO"/>
    <s v="NÃO"/>
    <s v="145A-PG-6¨-L1H-876"/>
    <s v="START UP III"/>
    <s v="DISPOSIÇÃO DE REJEITOS LINHA DO CIRCUITO ULTRAFINO DISTRIBUIDOR DI-145A-9904 PARA A PENEIRA PN-145A-9701"/>
    <m/>
    <m/>
    <m/>
    <s v="1450AA-T-70276_FL09"/>
    <n v="1"/>
    <s v="PÇ"/>
    <n v="2.1349999999999998"/>
    <n v="2.1349999999999998"/>
    <n v="0"/>
    <n v="0"/>
    <n v="0"/>
    <n v="0.9"/>
    <n v="0.1"/>
    <m/>
    <m/>
    <m/>
    <n v="0"/>
    <m/>
    <n v="0"/>
    <n v="2.1349999999999998"/>
    <m/>
    <n v="0.4"/>
    <n v="0.5"/>
    <n v="0.1"/>
    <m/>
    <m/>
    <m/>
    <n v="0"/>
    <n v="0"/>
    <n v="0"/>
    <n v="0"/>
    <m/>
    <m/>
  </r>
  <r>
    <n v="0"/>
    <s v="CMS M.60.10.000"/>
    <s v="TUBULAÇÃO"/>
    <n v="16"/>
    <s v="FLANGE"/>
    <n v="4"/>
    <s v="NÃO"/>
    <s v="NÃO"/>
    <s v="NÃO"/>
    <s v="145A-PG-6¨-L1H-876"/>
    <s v="START UP III"/>
    <s v="DISPOSIÇÃO DE REJEITOS LINHA DO CIRCUITO ULTRAFINO DISTRIBUIDOR DI-145A-9904 PARA A PENEIRA PN-145A-9701"/>
    <m/>
    <m/>
    <m/>
    <s v="1450AA-T-70276_FL03"/>
    <n v="2"/>
    <s v="PÇ"/>
    <n v="0"/>
    <n v="0"/>
    <n v="0"/>
    <n v="0"/>
    <n v="0"/>
    <n v="0.9"/>
    <n v="0.1"/>
    <m/>
    <m/>
    <m/>
    <n v="0"/>
    <m/>
    <n v="0"/>
    <n v="0"/>
    <m/>
    <n v="0.4"/>
    <n v="0.5"/>
    <n v="0.1"/>
    <m/>
    <m/>
    <m/>
    <n v="0"/>
    <n v="0"/>
    <n v="0"/>
    <n v="0"/>
    <m/>
    <m/>
  </r>
  <r>
    <s v="2.4.3.1.1"/>
    <s v="CMS M.60.10.000"/>
    <s v="TUBULAÇÃO"/>
    <n v="1"/>
    <s v="CURVA"/>
    <n v="6"/>
    <s v="NÃO"/>
    <s v="NÃO"/>
    <s v="NÃO"/>
    <s v="145A-PG-6¨-L1H-878"/>
    <s v="START UP III"/>
    <s v="DISPOSIÇÃO DE REJEITOS LINHA DO CIRCUITO ULTRAFINO DISTRIBUIDOR DI-145A-9904 PARA A PENEIRA PN-145A-9702"/>
    <m/>
    <m/>
    <m/>
    <s v="1450AA-T-70278_FL14"/>
    <n v="2"/>
    <s v="PÇ"/>
    <n v="0.46"/>
    <n v="0.92"/>
    <n v="1169.77"/>
    <n v="1076.1884"/>
    <n v="0"/>
    <n v="0.9"/>
    <n v="0.1"/>
    <m/>
    <m/>
    <m/>
    <n v="0"/>
    <m/>
    <n v="0"/>
    <n v="0.92"/>
    <m/>
    <n v="0.4"/>
    <n v="0.5"/>
    <n v="0.1"/>
    <m/>
    <m/>
    <m/>
    <n v="0"/>
    <n v="0"/>
    <n v="0"/>
    <n v="1076.1884"/>
    <m/>
    <m/>
  </r>
  <r>
    <s v="2.4.3.1.1"/>
    <s v="CMS M.60.10.000"/>
    <s v="TUBULAÇÃO"/>
    <n v="2"/>
    <s v="SPOOL"/>
    <n v="6"/>
    <s v="NÃO"/>
    <s v="NÃO"/>
    <s v="NÃO"/>
    <s v="145A-PG-6¨-L1H-878"/>
    <s v="START UP III"/>
    <s v="DISPOSIÇÃO DE REJEITOS LINHA DO CIRCUITO ULTRAFINO DISTRIBUIDOR DI-145A-9904 PARA A PENEIRA PN-145A-9702"/>
    <m/>
    <m/>
    <m/>
    <s v="1450AA-T-70278_FL15"/>
    <n v="1"/>
    <s v="PÇ"/>
    <n v="0.69"/>
    <n v="0.69"/>
    <n v="1169.77"/>
    <n v="807.14129999999989"/>
    <n v="0"/>
    <n v="0.9"/>
    <n v="0.1"/>
    <m/>
    <m/>
    <m/>
    <n v="0"/>
    <m/>
    <n v="0"/>
    <n v="0.69"/>
    <m/>
    <n v="0.4"/>
    <n v="0.5"/>
    <n v="0.1"/>
    <m/>
    <m/>
    <m/>
    <n v="0"/>
    <n v="0"/>
    <n v="0"/>
    <n v="807.14129999999989"/>
    <m/>
    <m/>
  </r>
  <r>
    <s v="2.4.3.1.1"/>
    <s v="CMS M.60.10.000"/>
    <s v="TUBULAÇÃO"/>
    <n v="3"/>
    <s v="SPOOL"/>
    <n v="6"/>
    <s v="SIM"/>
    <s v="NÃO"/>
    <s v="NÃO"/>
    <s v="145A-PG-6¨-L1H-878"/>
    <s v="START UP III"/>
    <s v="DISPOSIÇÃO DE REJEITOS LINHA DO CIRCUITO ULTRAFINO DISTRIBUIDOR DI-145A-9904 PARA A PENEIRA PN-145A-9702"/>
    <m/>
    <m/>
    <m/>
    <s v="1450AA-T-70278_FL19"/>
    <n v="2"/>
    <s v="PÇ"/>
    <n v="0.35"/>
    <n v="0.7"/>
    <n v="1169.77"/>
    <n v="818.83899999999994"/>
    <n v="0"/>
    <n v="0.9"/>
    <n v="0.1"/>
    <m/>
    <m/>
    <m/>
    <n v="0"/>
    <m/>
    <n v="0"/>
    <n v="0.7"/>
    <m/>
    <n v="0.4"/>
    <n v="0.5"/>
    <n v="0.1"/>
    <m/>
    <m/>
    <m/>
    <n v="0"/>
    <n v="0"/>
    <n v="0"/>
    <n v="818.83899999999994"/>
    <m/>
    <m/>
  </r>
  <r>
    <s v="2.4.3.1.1"/>
    <s v="CMS M.60.10.000"/>
    <s v="TUBULAÇÃO"/>
    <n v="4"/>
    <s v="SPOOL"/>
    <n v="6"/>
    <s v="NÃO"/>
    <s v="NÃO"/>
    <s v="NÃO"/>
    <s v="145A-PG-6¨-L1H-878"/>
    <s v="START UP III"/>
    <s v="DISPOSIÇÃO DE REJEITOS LINHA DO CIRCUITO ULTRAFINO DISTRIBUIDOR DI-145A-9904 PARA A PENEIRA PN-145A-9702"/>
    <m/>
    <m/>
    <m/>
    <s v="1450AA-T-70278_FL18"/>
    <n v="2"/>
    <s v="PÇ"/>
    <n v="3.2"/>
    <n v="6.4"/>
    <n v="1169.77"/>
    <n v="7486.5280000000002"/>
    <n v="0"/>
    <n v="0.9"/>
    <n v="0.1"/>
    <m/>
    <m/>
    <m/>
    <n v="0"/>
    <m/>
    <n v="0"/>
    <n v="6.4"/>
    <m/>
    <n v="0.4"/>
    <n v="0.5"/>
    <n v="0.1"/>
    <m/>
    <m/>
    <m/>
    <n v="0"/>
    <n v="0"/>
    <n v="0"/>
    <n v="7486.5280000000002"/>
    <m/>
    <m/>
  </r>
  <r>
    <s v="2.4.3.1.1"/>
    <s v="CMS M.60.10.000"/>
    <s v="TUBULAÇÃO"/>
    <n v="5"/>
    <s v="SPOOL"/>
    <n v="6"/>
    <s v="SIM"/>
    <s v="NÃO"/>
    <s v="NÃO"/>
    <s v="145A-PG-6¨-L1H-878"/>
    <s v="START UP III"/>
    <s v="DISPOSIÇÃO DE REJEITOS LINHA DO CIRCUITO ULTRAFINO DISTRIBUIDOR DI-145A-9904 PARA A PENEIRA PN-145A-9702"/>
    <m/>
    <m/>
    <m/>
    <s v="1450AA-T-70278_FL20"/>
    <n v="1"/>
    <s v="PÇ"/>
    <n v="0.4"/>
    <n v="0.4"/>
    <n v="1169.77"/>
    <n v="467.90800000000002"/>
    <n v="0"/>
    <n v="0.9"/>
    <n v="0.1"/>
    <m/>
    <m/>
    <m/>
    <n v="0"/>
    <m/>
    <n v="0"/>
    <n v="0.4"/>
    <m/>
    <n v="0.4"/>
    <n v="0.5"/>
    <n v="0.1"/>
    <m/>
    <m/>
    <m/>
    <n v="0"/>
    <n v="0"/>
    <n v="0"/>
    <n v="467.90800000000002"/>
    <m/>
    <m/>
  </r>
  <r>
    <s v="2.4.3.1.1"/>
    <s v="CMS M.60.10.000"/>
    <s v="TUBULAÇÃO"/>
    <n v="6"/>
    <s v="CURVA"/>
    <n v="6"/>
    <s v="NÃO"/>
    <s v="NÃO"/>
    <s v="NÃO"/>
    <s v="145A-PG-6¨-L1H-878"/>
    <s v="START UP III"/>
    <s v="DISPOSIÇÃO DE REJEITOS LINHA DO CIRCUITO ULTRAFINO DISTRIBUIDOR DI-145A-9904 PARA A PENEIRA PN-145A-9702"/>
    <m/>
    <m/>
    <m/>
    <s v="1450AA-T-70278_FL13"/>
    <n v="1"/>
    <s v="PÇ"/>
    <n v="0.42"/>
    <n v="0.42"/>
    <n v="1169.77"/>
    <n v="491.30339999999995"/>
    <n v="0"/>
    <n v="0.9"/>
    <n v="0.1"/>
    <m/>
    <m/>
    <m/>
    <n v="0"/>
    <m/>
    <n v="0"/>
    <n v="0.42"/>
    <m/>
    <n v="0.4"/>
    <n v="0.5"/>
    <n v="0.1"/>
    <m/>
    <m/>
    <m/>
    <n v="0"/>
    <n v="0"/>
    <n v="0"/>
    <n v="491.30339999999995"/>
    <m/>
    <m/>
  </r>
  <r>
    <s v="2.4.3.1.1"/>
    <s v="CMS M.60.10.000"/>
    <s v="TUBULAÇÃO"/>
    <n v="7"/>
    <s v="SPOOL"/>
    <n v="6"/>
    <s v="NÃO"/>
    <s v="NÃO"/>
    <s v="NÃO"/>
    <s v="145A-PG-6¨-L1H-878"/>
    <s v="START UP III"/>
    <s v="DISPOSIÇÃO DE REJEITOS LINHA DO CIRCUITO ULTRAFINO DISTRIBUIDOR DI-145A-9904 PARA A PENEIRA PN-145A-9702"/>
    <m/>
    <m/>
    <m/>
    <s v="1450AA-T-70278_FL17"/>
    <n v="1"/>
    <s v="PÇ"/>
    <n v="1.93"/>
    <n v="1.93"/>
    <n v="1169.77"/>
    <n v="2257.6560999999997"/>
    <n v="0"/>
    <n v="0.9"/>
    <n v="0.1"/>
    <m/>
    <m/>
    <m/>
    <n v="0"/>
    <m/>
    <n v="0"/>
    <n v="1.93"/>
    <m/>
    <n v="0.4"/>
    <n v="0.5"/>
    <n v="0.1"/>
    <m/>
    <m/>
    <m/>
    <n v="0"/>
    <n v="0"/>
    <n v="0"/>
    <n v="2257.6560999999997"/>
    <m/>
    <m/>
  </r>
  <r>
    <s v="2.4.3.1.1"/>
    <s v="CMS M.60.10.000"/>
    <s v="TUBULAÇÃO"/>
    <n v="8"/>
    <s v="CURVA"/>
    <n v="6"/>
    <s v="NÃO"/>
    <s v="NÃO"/>
    <s v="NÃO"/>
    <s v="145A-PG-6¨-L1H-878"/>
    <s v="START UP III"/>
    <s v="DISPOSIÇÃO DE REJEITOS LINHA DO CIRCUITO ULTRAFINO DISTRIBUIDOR DI-145A-9904 PARA A PENEIRA PN-145A-9702"/>
    <m/>
    <m/>
    <m/>
    <s v="1450AA-T-70278_FL12"/>
    <n v="1"/>
    <s v="PÇ"/>
    <n v="0.51200000000000001"/>
    <n v="0.51200000000000001"/>
    <n v="1169.77"/>
    <n v="598.92223999999999"/>
    <n v="0"/>
    <n v="0.9"/>
    <n v="0.1"/>
    <m/>
    <m/>
    <m/>
    <n v="0"/>
    <m/>
    <n v="0"/>
    <n v="0.51200000000000001"/>
    <m/>
    <n v="0.4"/>
    <n v="0.5"/>
    <n v="0.1"/>
    <m/>
    <m/>
    <m/>
    <n v="0"/>
    <n v="0"/>
    <n v="0"/>
    <n v="598.92223999999999"/>
    <m/>
    <m/>
  </r>
  <r>
    <s v="2.4.3.1.1"/>
    <s v="CMS M.60.10.000"/>
    <s v="TUBULAÇÃO"/>
    <n v="9"/>
    <s v="SPOOL"/>
    <n v="6"/>
    <s v="NÃO"/>
    <s v="NÃO"/>
    <s v="NÃO"/>
    <s v="145A-PG-6¨-L1H-878"/>
    <s v="START UP III"/>
    <s v="DISPOSIÇÃO DE REJEITOS LINHA DO CIRCUITO ULTRAFINO DISTRIBUIDOR DI-145A-9904 PARA A PENEIRA PN-145A-9702"/>
    <m/>
    <m/>
    <m/>
    <s v="1450AA-T-70278_FL16"/>
    <n v="1"/>
    <s v="PÇ"/>
    <n v="1.349"/>
    <n v="1.349"/>
    <n v="1169.77"/>
    <n v="1578.01973"/>
    <n v="0"/>
    <n v="0.9"/>
    <n v="0.1"/>
    <m/>
    <m/>
    <m/>
    <n v="0"/>
    <m/>
    <n v="0"/>
    <n v="1.349"/>
    <m/>
    <n v="0.4"/>
    <n v="0.5"/>
    <n v="0.1"/>
    <m/>
    <m/>
    <m/>
    <n v="0"/>
    <n v="0"/>
    <n v="0"/>
    <n v="1578.01973"/>
    <m/>
    <m/>
  </r>
  <r>
    <s v="2.4.3.1.1"/>
    <s v="CMS M.60.10.000"/>
    <s v="TUBULAÇÃO"/>
    <n v="10"/>
    <s v="SPOOL"/>
    <n v="6"/>
    <s v="NÃO"/>
    <s v="NÃO"/>
    <s v="NÃO"/>
    <s v="145A-PG-6¨-L1H-878"/>
    <s v="START UP III"/>
    <s v="DISPOSIÇÃO DE REJEITOS LINHA DO CIRCUITO ULTRAFINO DISTRIBUIDOR DI-145A-9904 PARA A PENEIRA PN-145A-9702"/>
    <m/>
    <m/>
    <m/>
    <s v="1450AA-T-70278_FL11"/>
    <n v="1"/>
    <s v="PÇ"/>
    <n v="0.82"/>
    <n v="0.82"/>
    <n v="1169.77"/>
    <n v="959.21139999999991"/>
    <n v="0"/>
    <n v="0.9"/>
    <n v="0.1"/>
    <m/>
    <m/>
    <m/>
    <n v="0"/>
    <m/>
    <n v="0"/>
    <n v="0.82"/>
    <m/>
    <n v="0.4"/>
    <n v="0.5"/>
    <n v="0.1"/>
    <m/>
    <m/>
    <m/>
    <n v="0"/>
    <n v="0"/>
    <n v="0"/>
    <n v="959.21139999999991"/>
    <m/>
    <m/>
  </r>
  <r>
    <n v="0"/>
    <s v="CMS M.60.10.000"/>
    <s v="TUBULAÇÃO"/>
    <n v="11"/>
    <s v="SPOOL"/>
    <s v="6 X 4"/>
    <s v="NÃO"/>
    <s v="NÃO"/>
    <s v="NÃO"/>
    <s v="145A-PG-6¨-L1H-878"/>
    <s v="START UP III"/>
    <s v="DISPOSIÇÃO DE REJEITOS LINHA DO CIRCUITO ULTRAFINO DISTRIBUIDOR DI-145A-9904 PARA A PENEIRA PN-145A-9702"/>
    <m/>
    <m/>
    <m/>
    <s v="1450AA-T-70278_FL09"/>
    <n v="1"/>
    <s v="PÇ"/>
    <n v="2.1349999999999998"/>
    <n v="2.1349999999999998"/>
    <n v="0"/>
    <n v="0"/>
    <n v="0"/>
    <n v="0.9"/>
    <n v="0.1"/>
    <m/>
    <m/>
    <m/>
    <n v="0"/>
    <m/>
    <n v="0"/>
    <n v="2.1349999999999998"/>
    <m/>
    <n v="0.4"/>
    <n v="0.5"/>
    <n v="0.1"/>
    <m/>
    <m/>
    <m/>
    <n v="0"/>
    <n v="0"/>
    <n v="0"/>
    <n v="0"/>
    <m/>
    <m/>
  </r>
  <r>
    <n v="0"/>
    <s v="CMS M.60.10.000"/>
    <s v="TUBULAÇÃO"/>
    <n v="12"/>
    <s v="FLANGE"/>
    <n v="4"/>
    <s v="NÃO"/>
    <s v="NÃO"/>
    <s v="NÃO"/>
    <s v="145A-PG-6¨-L1H-878"/>
    <s v="START UP III"/>
    <s v="DISPOSIÇÃO DE REJEITOS LINHA DO CIRCUITO ULTRAFINO DISTRIBUIDOR DI-145A-9904 PARA A PENEIRA PN-145A-9702"/>
    <m/>
    <m/>
    <m/>
    <s v="1450AA-T-70278_FL03"/>
    <n v="2"/>
    <s v="PÇ"/>
    <n v="0"/>
    <n v="0"/>
    <n v="0"/>
    <n v="0"/>
    <n v="0"/>
    <n v="0.9"/>
    <n v="0.1"/>
    <m/>
    <m/>
    <m/>
    <n v="0"/>
    <m/>
    <n v="0"/>
    <n v="0"/>
    <m/>
    <n v="0.4"/>
    <n v="0.5"/>
    <n v="0.1"/>
    <m/>
    <m/>
    <m/>
    <n v="0"/>
    <n v="0"/>
    <n v="0"/>
    <n v="0"/>
    <m/>
    <m/>
  </r>
  <r>
    <s v="2.4.3.1.1"/>
    <s v="CMS M.60.10.000"/>
    <s v="TUBULAÇÃO"/>
    <n v="1"/>
    <s v="CURVA"/>
    <n v="6"/>
    <s v="NÃO"/>
    <s v="NÃO"/>
    <s v="NÃO"/>
    <s v="145A-PG-6¨-L1H-880"/>
    <s v="START UP III"/>
    <s v="DISPOSIÇÃO DE REJEITOS LINHA DO CIRCUITO ULTRAFINO DISTRIBUIDOR DI-145A-9904 PARA A PENEIRA PN-145A-9703"/>
    <m/>
    <m/>
    <m/>
    <s v="1450AA-T-70280_FL15"/>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80"/>
    <s v="START UP III"/>
    <s v="DISPOSIÇÃO DE REJEITOS LINHA DO CIRCUITO ULTRAFINO DISTRIBUIDOR DI-145A-9904 PARA A PENEIRA PN-145A-9703"/>
    <m/>
    <m/>
    <m/>
    <s v="1450AA-T-70280_FL17"/>
    <n v="2"/>
    <s v="PÇ"/>
    <n v="1.6220000000000001"/>
    <n v="3.2440000000000002"/>
    <n v="1169.77"/>
    <n v="3794.7338800000002"/>
    <n v="0"/>
    <n v="0.9"/>
    <n v="0.1"/>
    <m/>
    <m/>
    <m/>
    <n v="0"/>
    <m/>
    <n v="0"/>
    <n v="3.2440000000000002"/>
    <m/>
    <n v="0.4"/>
    <n v="0.5"/>
    <n v="0.1"/>
    <m/>
    <m/>
    <m/>
    <n v="0"/>
    <n v="0"/>
    <n v="0"/>
    <n v="3794.7338800000002"/>
    <m/>
    <m/>
  </r>
  <r>
    <s v="2.4.3.1.1"/>
    <s v="CMS M.60.10.000"/>
    <s v="TUBULAÇÃO"/>
    <n v="3"/>
    <s v="CURVA"/>
    <n v="6"/>
    <s v="NÃO"/>
    <s v="NÃO"/>
    <s v="NÃO"/>
    <s v="145A-PG-6¨-L1H-880"/>
    <s v="START UP III"/>
    <s v="DISPOSIÇÃO DE REJEITOS LINHA DO CIRCUITO ULTRAFINO DISTRIBUIDOR DI-145A-9904 PARA A PENEIRA PN-145A-9703"/>
    <m/>
    <m/>
    <m/>
    <s v="1450AA-T-70280_FL12"/>
    <n v="1"/>
    <s v="PÇ"/>
    <n v="0.39500000000000002"/>
    <n v="0.39500000000000002"/>
    <n v="1169.77"/>
    <n v="462.05914999999999"/>
    <n v="0"/>
    <n v="0.9"/>
    <n v="0.1"/>
    <m/>
    <m/>
    <m/>
    <n v="0"/>
    <m/>
    <n v="0"/>
    <n v="0.39500000000000002"/>
    <m/>
    <n v="0.4"/>
    <n v="0.5"/>
    <n v="0.1"/>
    <m/>
    <m/>
    <m/>
    <n v="0"/>
    <n v="0"/>
    <n v="0"/>
    <n v="462.05914999999999"/>
    <m/>
    <m/>
  </r>
  <r>
    <s v="2.4.3.1.1"/>
    <s v="CMS M.60.10.000"/>
    <s v="TUBULAÇÃO"/>
    <n v="4"/>
    <s v="SPOOL"/>
    <n v="6"/>
    <s v="SIM"/>
    <s v="NÃO"/>
    <s v="NÃO"/>
    <s v="145A-PG-6¨-L1H-880"/>
    <s v="START UP III"/>
    <s v="DISPOSIÇÃO DE REJEITOS LINHA DO CIRCUITO ULTRAFINO DISTRIBUIDOR DI-145A-9904 PARA A PENEIRA PN-145A-9703"/>
    <m/>
    <m/>
    <m/>
    <s v="1450AA-T-70280_FL21"/>
    <n v="1"/>
    <s v="PÇ"/>
    <n v="0.4"/>
    <n v="0.4"/>
    <n v="1169.77"/>
    <n v="467.90800000000002"/>
    <n v="0"/>
    <n v="0.9"/>
    <n v="0.1"/>
    <m/>
    <m/>
    <m/>
    <n v="0"/>
    <m/>
    <n v="0"/>
    <n v="0.4"/>
    <m/>
    <n v="0.4"/>
    <n v="0.5"/>
    <n v="0.1"/>
    <m/>
    <m/>
    <m/>
    <n v="0"/>
    <n v="0"/>
    <n v="0"/>
    <n v="467.90800000000002"/>
    <m/>
    <m/>
  </r>
  <r>
    <s v="2.4.3.1.1"/>
    <s v="CMS M.60.10.000"/>
    <s v="TUBULAÇÃO"/>
    <n v="5"/>
    <s v="SPOOL"/>
    <n v="6"/>
    <s v="NÃO"/>
    <s v="NÃO"/>
    <s v="NÃO"/>
    <s v="145A-PG-6¨-L1H-880"/>
    <s v="START UP III"/>
    <s v="DISPOSIÇÃO DE REJEITOS LINHA DO CIRCUITO ULTRAFINO DISTRIBUIDOR DI-145A-9904 PARA A PENEIRA PN-145A-9703"/>
    <m/>
    <m/>
    <m/>
    <s v="1450AA-T-70280_FL19"/>
    <n v="2"/>
    <s v="PÇ"/>
    <n v="3"/>
    <n v="6"/>
    <n v="1169.77"/>
    <n v="7018.62"/>
    <n v="0"/>
    <n v="0.9"/>
    <n v="0.1"/>
    <m/>
    <m/>
    <m/>
    <n v="0"/>
    <m/>
    <n v="0"/>
    <n v="6"/>
    <m/>
    <n v="0.4"/>
    <n v="0.5"/>
    <n v="0.1"/>
    <m/>
    <m/>
    <m/>
    <n v="0"/>
    <n v="0"/>
    <n v="0"/>
    <n v="7018.62"/>
    <m/>
    <m/>
  </r>
  <r>
    <s v="2.4.3.1.1"/>
    <s v="CMS M.60.10.000"/>
    <s v="TUBULAÇÃO"/>
    <n v="6"/>
    <s v="SPOOL"/>
    <n v="6"/>
    <s v="SIM"/>
    <s v="NÃO"/>
    <s v="NÃO"/>
    <s v="145A-PG-6¨-L1H-880"/>
    <s v="START UP III"/>
    <s v="DISPOSIÇÃO DE REJEITOS LINHA DO CIRCUITO ULTRAFINO DISTRIBUIDOR DI-145A-9904 PARA A PENEIRA PN-145A-9703"/>
    <m/>
    <m/>
    <m/>
    <s v="1450AA-T-70280_FL22"/>
    <n v="1"/>
    <s v="PÇ"/>
    <n v="0.55000000000000004"/>
    <n v="0.55000000000000004"/>
    <n v="1169.77"/>
    <n v="643.37350000000004"/>
    <n v="0"/>
    <n v="0.9"/>
    <n v="0.1"/>
    <m/>
    <m/>
    <m/>
    <n v="0"/>
    <m/>
    <n v="0"/>
    <n v="0.55000000000000004"/>
    <m/>
    <n v="0.4"/>
    <n v="0.5"/>
    <n v="0.1"/>
    <m/>
    <m/>
    <m/>
    <n v="0"/>
    <n v="0"/>
    <n v="0"/>
    <n v="643.37350000000004"/>
    <m/>
    <m/>
  </r>
  <r>
    <s v="2.4.3.1.1"/>
    <s v="CMS M.60.10.000"/>
    <s v="TUBULAÇÃO"/>
    <n v="7"/>
    <s v="CURVA"/>
    <n v="6"/>
    <s v="NÃO"/>
    <s v="NÃO"/>
    <s v="NÃO"/>
    <s v="145A-PG-6¨-L1H-880"/>
    <s v="START UP III"/>
    <s v="DISPOSIÇÃO DE REJEITOS LINHA DO CIRCUITO ULTRAFINO DISTRIBUIDOR DI-145A-9904 PARA A PENEIRA PN-145A-9703"/>
    <m/>
    <m/>
    <m/>
    <s v="1450AA-T-70280_FL14"/>
    <n v="1"/>
    <s v="PÇ"/>
    <n v="0.42"/>
    <n v="0.42"/>
    <n v="1169.77"/>
    <n v="491.30339999999995"/>
    <n v="0"/>
    <n v="0.9"/>
    <n v="0.1"/>
    <m/>
    <m/>
    <m/>
    <n v="0"/>
    <m/>
    <n v="0"/>
    <n v="0.42"/>
    <m/>
    <n v="0.4"/>
    <n v="0.5"/>
    <n v="0.1"/>
    <m/>
    <m/>
    <m/>
    <n v="0"/>
    <n v="0"/>
    <n v="0"/>
    <n v="491.30339999999995"/>
    <m/>
    <m/>
  </r>
  <r>
    <s v="2.4.3.1.1"/>
    <s v="CMS M.60.10.000"/>
    <s v="TUBULAÇÃO"/>
    <n v="8"/>
    <s v="SPOOL"/>
    <n v="6"/>
    <s v="NÃO"/>
    <s v="NÃO"/>
    <s v="NÃO"/>
    <s v="145A-PG-6¨-L1H-880"/>
    <s v="START UP III"/>
    <s v="DISPOSIÇÃO DE REJEITOS LINHA DO CIRCUITO ULTRAFINO DISTRIBUIDOR DI-145A-9904 PARA A PENEIRA PN-145A-9703"/>
    <m/>
    <m/>
    <m/>
    <s v="1450AA-T-70280_FL18"/>
    <n v="1"/>
    <s v="PÇ"/>
    <n v="1.93"/>
    <n v="1.93"/>
    <n v="1169.77"/>
    <n v="2257.6560999999997"/>
    <n v="0"/>
    <n v="0.9"/>
    <n v="0.1"/>
    <m/>
    <m/>
    <m/>
    <n v="0"/>
    <m/>
    <n v="0"/>
    <n v="1.93"/>
    <m/>
    <n v="0.4"/>
    <n v="0.5"/>
    <n v="0.1"/>
    <m/>
    <m/>
    <m/>
    <n v="0"/>
    <n v="0"/>
    <n v="0"/>
    <n v="2257.6560999999997"/>
    <m/>
    <m/>
  </r>
  <r>
    <s v="2.4.3.1.1"/>
    <s v="CMS M.60.10.000"/>
    <s v="TUBULAÇÃO"/>
    <n v="9"/>
    <s v="CURVA"/>
    <n v="6"/>
    <s v="NÃO"/>
    <s v="NÃO"/>
    <s v="NÃO"/>
    <s v="145A-PG-6¨-L1H-880"/>
    <s v="START UP III"/>
    <s v="DISPOSIÇÃO DE REJEITOS LINHA DO CIRCUITO ULTRAFINO DISTRIBUIDOR DI-145A-9904 PARA A PENEIRA PN-145A-9703"/>
    <m/>
    <m/>
    <m/>
    <s v="1450AA-T-70280_FL13"/>
    <n v="1"/>
    <s v="PÇ"/>
    <n v="0.51200000000000001"/>
    <n v="0.51200000000000001"/>
    <n v="1169.77"/>
    <n v="598.92223999999999"/>
    <n v="0"/>
    <n v="0.9"/>
    <n v="0.1"/>
    <m/>
    <m/>
    <m/>
    <n v="0"/>
    <m/>
    <n v="0"/>
    <n v="0.51200000000000001"/>
    <m/>
    <n v="0.4"/>
    <n v="0.5"/>
    <n v="0.1"/>
    <m/>
    <m/>
    <m/>
    <n v="0"/>
    <n v="0"/>
    <n v="0"/>
    <n v="598.92223999999999"/>
    <m/>
    <m/>
  </r>
  <r>
    <s v="2.4.3.1.1"/>
    <s v="CMS M.60.10.000"/>
    <s v="TUBULAÇÃO"/>
    <n v="10"/>
    <s v="SPOOL"/>
    <n v="6"/>
    <s v="NÃO"/>
    <s v="NÃO"/>
    <s v="NÃO"/>
    <s v="145A-PG-6¨-L1H-880"/>
    <s v="START UP III"/>
    <s v="DISPOSIÇÃO DE REJEITOS LINHA DO CIRCUITO ULTRAFINO DISTRIBUIDOR DI-145A-9904 PARA A PENEIRA PN-145A-9703"/>
    <m/>
    <m/>
    <m/>
    <s v="1450AA-T-70280_FL16"/>
    <n v="1"/>
    <s v="PÇ"/>
    <n v="1.351"/>
    <n v="1.351"/>
    <n v="1169.77"/>
    <n v="1580.3592699999999"/>
    <n v="0"/>
    <n v="0.9"/>
    <n v="0.1"/>
    <m/>
    <m/>
    <m/>
    <n v="0"/>
    <m/>
    <n v="0"/>
    <n v="1.351"/>
    <m/>
    <n v="0.4"/>
    <n v="0.5"/>
    <n v="0.1"/>
    <m/>
    <m/>
    <m/>
    <n v="0"/>
    <n v="0"/>
    <n v="0"/>
    <n v="1580.3592699999999"/>
    <m/>
    <m/>
  </r>
  <r>
    <s v="2.4.3.1.1"/>
    <s v="CMS M.60.10.000"/>
    <s v="TUBULAÇÃO"/>
    <n v="11"/>
    <s v="SPOOL"/>
    <n v="6"/>
    <s v="NÃO"/>
    <s v="NÃO"/>
    <s v="NÃO"/>
    <s v="145A-PG-6¨-L1H-880"/>
    <s v="START UP III"/>
    <s v="DISPOSIÇÃO DE REJEITOS LINHA DO CIRCUITO ULTRAFINO DISTRIBUIDOR DI-145A-9904 PARA A PENEIRA PN-145A-9703"/>
    <m/>
    <m/>
    <m/>
    <s v="1450AA-T-70280_FL11"/>
    <n v="1"/>
    <s v="PÇ"/>
    <n v="0.82"/>
    <n v="0.82"/>
    <n v="1169.77"/>
    <n v="959.21139999999991"/>
    <n v="0"/>
    <n v="0.9"/>
    <n v="0.1"/>
    <m/>
    <m/>
    <m/>
    <n v="0"/>
    <m/>
    <n v="0"/>
    <n v="0.82"/>
    <m/>
    <n v="0.4"/>
    <n v="0.5"/>
    <n v="0.1"/>
    <m/>
    <m/>
    <m/>
    <n v="0"/>
    <n v="0"/>
    <n v="0"/>
    <n v="959.21139999999991"/>
    <m/>
    <m/>
  </r>
  <r>
    <s v="2.4.3.1.1"/>
    <s v="CMS M.60.10.000"/>
    <s v="TUBULAÇÃO"/>
    <n v="12"/>
    <s v="SPOOL"/>
    <n v="6"/>
    <s v="SIM"/>
    <s v="NÃO"/>
    <s v="NÃO"/>
    <s v="145A-PG-6¨-L1H-880"/>
    <s v="START UP III"/>
    <s v="DISPOSIÇÃO DE REJEITOS LINHA DO CIRCUITO ULTRAFINO DISTRIBUIDOR DI-145A-9904 PARA A PENEIRA PN-145A-9703"/>
    <m/>
    <m/>
    <m/>
    <s v="1450AA-T-70280_FL20"/>
    <n v="1"/>
    <s v="PÇ"/>
    <n v="0.35"/>
    <n v="0.35"/>
    <n v="1169.77"/>
    <n v="409.41949999999997"/>
    <n v="0"/>
    <n v="0.9"/>
    <n v="0.1"/>
    <m/>
    <m/>
    <m/>
    <n v="0"/>
    <m/>
    <n v="0"/>
    <n v="0.35"/>
    <m/>
    <n v="0.4"/>
    <n v="0.5"/>
    <n v="0.1"/>
    <m/>
    <m/>
    <m/>
    <n v="0"/>
    <n v="0"/>
    <n v="0"/>
    <n v="409.41949999999997"/>
    <m/>
    <m/>
  </r>
  <r>
    <n v="0"/>
    <s v="CMS M.60.10.000"/>
    <s v="TUBULAÇÃO"/>
    <n v="13"/>
    <s v="SPOOL"/>
    <s v="6 X 4"/>
    <s v="NÃO"/>
    <s v="NÃO"/>
    <s v="NÃO"/>
    <s v="145A-PG-6¨-L1H-880"/>
    <s v="START UP III"/>
    <s v="DISPOSIÇÃO DE REJEITOS LINHA DO CIRCUITO ULTRAFINO DISTRIBUIDOR DI-145A-9904 PARA A PENEIRA PN-145A-9703"/>
    <m/>
    <m/>
    <m/>
    <s v="1450AA-T-70280_FL09"/>
    <n v="1"/>
    <s v="PÇ"/>
    <n v="2.1349999999999998"/>
    <n v="2.1349999999999998"/>
    <n v="0"/>
    <n v="0"/>
    <n v="0"/>
    <n v="0.9"/>
    <n v="0.1"/>
    <m/>
    <m/>
    <m/>
    <n v="0"/>
    <m/>
    <n v="0"/>
    <n v="2.1349999999999998"/>
    <m/>
    <n v="0.4"/>
    <n v="0.5"/>
    <n v="0.1"/>
    <m/>
    <m/>
    <m/>
    <n v="0"/>
    <n v="0"/>
    <n v="0"/>
    <n v="0"/>
    <m/>
    <m/>
  </r>
  <r>
    <n v="0"/>
    <s v="CMS M.60.10.000"/>
    <s v="TUBULAÇÃO"/>
    <n v="14"/>
    <s v="FLANGE"/>
    <n v="4"/>
    <s v="NÃO"/>
    <s v="NÃO"/>
    <s v="NÃO"/>
    <s v="145A-PG-6¨-L1H-880"/>
    <s v="START UP III"/>
    <s v="DISPOSIÇÃO DE REJEITOS LINHA DO CIRCUITO ULTRAFINO DISTRIBUIDOR DI-145A-9904 PARA A PENEIRA PN-145A-9703"/>
    <m/>
    <m/>
    <m/>
    <s v="1450AA-T-70280_FL03"/>
    <n v="2"/>
    <s v="PÇ"/>
    <n v="0"/>
    <n v="0"/>
    <n v="0"/>
    <n v="0"/>
    <n v="0"/>
    <n v="0.9"/>
    <n v="0.1"/>
    <m/>
    <m/>
    <m/>
    <n v="0"/>
    <m/>
    <n v="0"/>
    <n v="0"/>
    <m/>
    <n v="0.4"/>
    <n v="0.5"/>
    <n v="0.1"/>
    <m/>
    <m/>
    <m/>
    <n v="0"/>
    <n v="0"/>
    <n v="0"/>
    <n v="0"/>
    <m/>
    <m/>
  </r>
  <r>
    <s v="2.4.3.1.1"/>
    <s v="CMS M.60.10.000"/>
    <s v="TUBULAÇÃO"/>
    <n v="1"/>
    <s v="SPOOL"/>
    <n v="6"/>
    <s v="NÃO"/>
    <s v="NÃO"/>
    <s v="NÃO"/>
    <s v="145A-PG-6¨-L1H-883"/>
    <s v="START UP III"/>
    <s v="DISPOSIÇÃO DE REJEITOS LINHA DO CIRCUITO ULTRAFINO DISTRIBUIDOR DI-145A-9905 PARA A PENEIRA PN-145A-9724"/>
    <m/>
    <m/>
    <m/>
    <s v="1450AA-T-70283_FL12"/>
    <n v="3"/>
    <s v="PÇ"/>
    <n v="2"/>
    <n v="6"/>
    <n v="1169.77"/>
    <n v="7018.62"/>
    <n v="0"/>
    <n v="0.9"/>
    <n v="0.1"/>
    <m/>
    <m/>
    <m/>
    <n v="0"/>
    <m/>
    <n v="0"/>
    <n v="6"/>
    <m/>
    <n v="0.4"/>
    <n v="0.5"/>
    <n v="0.1"/>
    <m/>
    <m/>
    <m/>
    <n v="0"/>
    <n v="0"/>
    <n v="0"/>
    <n v="7018.62"/>
    <m/>
    <m/>
  </r>
  <r>
    <s v="2.4.3.1.1"/>
    <s v="CMS M.60.10.000"/>
    <s v="TUBULAÇÃO"/>
    <n v="2"/>
    <s v="SPOOL"/>
    <n v="6"/>
    <s v="NÃO"/>
    <s v="NÃO"/>
    <s v="NÃO"/>
    <s v="145A-PG-6¨-L1H-883"/>
    <s v="START UP III"/>
    <s v="DISPOSIÇÃO DE REJEITOS LINHA DO CIRCUITO ULTRAFINO DISTRIBUIDOR DI-145A-9905 PARA A PENEIRA PN-145A-9724"/>
    <m/>
    <m/>
    <m/>
    <s v="1450AA-T-70283_FL11"/>
    <n v="1"/>
    <s v="PÇ"/>
    <n v="1.5"/>
    <n v="1.5"/>
    <n v="1169.77"/>
    <n v="1754.655"/>
    <n v="0"/>
    <n v="0.9"/>
    <n v="0.1"/>
    <m/>
    <m/>
    <m/>
    <n v="0"/>
    <m/>
    <n v="0"/>
    <n v="1.5"/>
    <m/>
    <n v="0.4"/>
    <n v="0.5"/>
    <n v="0.1"/>
    <m/>
    <m/>
    <m/>
    <n v="0"/>
    <n v="0"/>
    <n v="0"/>
    <n v="1754.655"/>
    <m/>
    <m/>
  </r>
  <r>
    <s v="2.4.3.1.1"/>
    <s v="CMS M.60.10.000"/>
    <s v="TUBULAÇÃO"/>
    <n v="3"/>
    <s v="SPOOL"/>
    <n v="6"/>
    <s v="NÃO"/>
    <s v="NÃO"/>
    <s v="NÃO"/>
    <s v="145A-PG-6¨-L1H-883"/>
    <s v="START UP III"/>
    <s v="DISPOSIÇÃO DE REJEITOS LINHA DO CIRCUITO ULTRAFINO DISTRIBUIDOR DI-145A-9905 PARA A PENEIRA PN-145A-9724"/>
    <m/>
    <m/>
    <m/>
    <s v="1450AA-T-70283_FL10"/>
    <n v="1"/>
    <s v="PÇ"/>
    <n v="0.75"/>
    <n v="0.75"/>
    <n v="1169.77"/>
    <n v="877.32749999999999"/>
    <n v="0"/>
    <n v="0.9"/>
    <n v="0.1"/>
    <m/>
    <m/>
    <m/>
    <n v="0"/>
    <m/>
    <n v="0"/>
    <n v="0.75"/>
    <m/>
    <n v="0.4"/>
    <n v="0.5"/>
    <n v="0.1"/>
    <m/>
    <m/>
    <m/>
    <n v="0"/>
    <n v="0"/>
    <n v="0"/>
    <n v="877.32749999999999"/>
    <m/>
    <m/>
  </r>
  <r>
    <s v="2.4.3.1.1"/>
    <s v="CMS M.60.10.000"/>
    <s v="TUBULAÇÃO"/>
    <n v="4"/>
    <s v="SPOOL"/>
    <n v="6"/>
    <s v="SIM"/>
    <s v="NÃO"/>
    <s v="NÃO"/>
    <s v="145A-PG-6¨-L1H-883"/>
    <s v="START UP III"/>
    <s v="DISPOSIÇÃO DE REJEITOS LINHA DO CIRCUITO ULTRAFINO DISTRIBUIDOR DI-145A-9905 PARA A PENEIRA PN-145A-9724"/>
    <m/>
    <m/>
    <m/>
    <s v="1450AA-T-70283_FL15"/>
    <n v="1"/>
    <s v="PÇ"/>
    <n v="0.52"/>
    <n v="0.52"/>
    <n v="1169.77"/>
    <n v="608.28039999999999"/>
    <n v="0"/>
    <n v="0.9"/>
    <n v="0.1"/>
    <m/>
    <m/>
    <m/>
    <n v="0"/>
    <m/>
    <n v="0"/>
    <n v="0.52"/>
    <m/>
    <n v="0.4"/>
    <n v="0.5"/>
    <n v="0.1"/>
    <m/>
    <m/>
    <m/>
    <n v="0"/>
    <n v="0"/>
    <n v="0"/>
    <n v="608.28039999999999"/>
    <m/>
    <m/>
  </r>
  <r>
    <s v="2.4.3.1.1"/>
    <s v="CMS M.60.10.000"/>
    <s v="TUBULAÇÃO"/>
    <n v="5"/>
    <s v="SPOOL"/>
    <n v="6"/>
    <s v="SIM"/>
    <s v="NÃO"/>
    <s v="NÃO"/>
    <s v="145A-PG-6¨-L1H-883"/>
    <s v="START UP III"/>
    <s v="DISPOSIÇÃO DE REJEITOS LINHA DO CIRCUITO ULTRAFINO DISTRIBUIDOR DI-145A-9905 PARA A PENEIRA PN-145A-9724"/>
    <m/>
    <m/>
    <m/>
    <s v="1450AA-T-70283_FL14"/>
    <n v="1"/>
    <s v="PÇ"/>
    <n v="0.34"/>
    <n v="0.34"/>
    <n v="1169.77"/>
    <n v="397.72180000000003"/>
    <n v="0"/>
    <n v="0.9"/>
    <n v="0.1"/>
    <m/>
    <m/>
    <m/>
    <n v="0"/>
    <m/>
    <n v="0"/>
    <n v="0.34"/>
    <m/>
    <n v="0.4"/>
    <n v="0.5"/>
    <n v="0.1"/>
    <m/>
    <m/>
    <m/>
    <n v="0"/>
    <n v="0"/>
    <n v="0"/>
    <n v="397.72180000000003"/>
    <m/>
    <m/>
  </r>
  <r>
    <s v="2.4.3.1.1"/>
    <s v="CMS M.60.10.000"/>
    <s v="TUBULAÇÃO"/>
    <n v="6"/>
    <s v="SPOOL"/>
    <n v="6"/>
    <s v="SIM"/>
    <s v="NÃO"/>
    <s v="NÃO"/>
    <s v="145A-PG-6¨-L1H-883"/>
    <s v="START UP III"/>
    <s v="DISPOSIÇÃO DE REJEITOS LINHA DO CIRCUITO ULTRAFINO DISTRIBUIDOR DI-145A-9905 PARA A PENEIRA PN-145A-9724"/>
    <m/>
    <m/>
    <m/>
    <s v="1450AA-T-70283_FL13"/>
    <n v="1"/>
    <s v="PÇ"/>
    <n v="0.31"/>
    <n v="0.31"/>
    <n v="1169.77"/>
    <n v="362.62869999999998"/>
    <n v="0"/>
    <n v="0.9"/>
    <n v="0.1"/>
    <m/>
    <m/>
    <m/>
    <n v="0"/>
    <m/>
    <n v="0"/>
    <n v="0.31"/>
    <m/>
    <n v="0.4"/>
    <n v="0.5"/>
    <n v="0.1"/>
    <m/>
    <m/>
    <m/>
    <n v="0"/>
    <n v="0"/>
    <n v="0"/>
    <n v="362.62869999999998"/>
    <m/>
    <m/>
  </r>
  <r>
    <s v="2.4.3.1.1"/>
    <s v="CMS M.60.10.000"/>
    <s v="TUBULAÇÃO"/>
    <n v="7"/>
    <s v="SPOOL"/>
    <n v="6"/>
    <s v="NÃO"/>
    <s v="NÃO"/>
    <s v="NÃO"/>
    <s v="145A-PG-6¨-L1H-883"/>
    <s v="START UP III"/>
    <s v="DISPOSIÇÃO DE REJEITOS LINHA DO CIRCUITO ULTRAFINO DISTRIBUIDOR DI-145A-9905 PARA A PENEIRA PN-145A-9724"/>
    <m/>
    <m/>
    <m/>
    <s v="1450AA-T-70283_FL09"/>
    <n v="2"/>
    <s v="PÇ"/>
    <n v="0.3"/>
    <n v="0.6"/>
    <n v="1169.77"/>
    <n v="701.86199999999997"/>
    <n v="0"/>
    <n v="0.9"/>
    <n v="0.1"/>
    <m/>
    <m/>
    <m/>
    <n v="0"/>
    <m/>
    <n v="0"/>
    <n v="0.6"/>
    <m/>
    <n v="0.4"/>
    <n v="0.5"/>
    <n v="0.1"/>
    <m/>
    <m/>
    <m/>
    <n v="0"/>
    <n v="0"/>
    <n v="0"/>
    <n v="701.86199999999997"/>
    <m/>
    <m/>
  </r>
  <r>
    <s v="2.4.3.1.1"/>
    <s v="CMS M.60.10.000"/>
    <s v="TUBULAÇÃO"/>
    <n v="8"/>
    <s v="CURVA"/>
    <n v="6"/>
    <s v="NÃO"/>
    <s v="NÃO"/>
    <s v="NÃO"/>
    <s v="145A-PG-6¨-L1H-883"/>
    <s v="START UP III"/>
    <s v="DISPOSIÇÃO DE REJEITOS LINHA DO CIRCUITO ULTRAFINO DISTRIBUIDOR DI-145A-9905 PARA A PENEIRA PN-145A-9724"/>
    <m/>
    <m/>
    <m/>
    <s v="1450AA-T-70283_FL18"/>
    <n v="3"/>
    <s v="PÇ"/>
    <n v="0.46500000000000002"/>
    <n v="1.395"/>
    <n v="1169.77"/>
    <n v="1631.82915"/>
    <n v="0"/>
    <n v="0.9"/>
    <n v="0.1"/>
    <m/>
    <m/>
    <m/>
    <n v="0"/>
    <m/>
    <n v="0"/>
    <n v="1.395"/>
    <m/>
    <n v="0.4"/>
    <n v="0.5"/>
    <n v="0.1"/>
    <m/>
    <m/>
    <m/>
    <n v="0"/>
    <n v="0"/>
    <n v="0"/>
    <n v="1631.82915"/>
    <m/>
    <m/>
  </r>
  <r>
    <s v="2.4.3.1.1"/>
    <s v="CMS M.60.10.000"/>
    <s v="TUBULAÇÃO"/>
    <n v="9"/>
    <s v="CURVA"/>
    <n v="6"/>
    <s v="NÃO"/>
    <s v="NÃO"/>
    <s v="NÃO"/>
    <s v="145A-PG-6¨-L1H-883"/>
    <s v="START UP III"/>
    <s v="DISPOSIÇÃO DE REJEITOS LINHA DO CIRCUITO ULTRAFINO DISTRIBUIDOR DI-145A-9905 PARA A PENEIRA PN-145A-9724"/>
    <m/>
    <m/>
    <m/>
    <s v="1450AA-T-70283_FL17"/>
    <n v="1"/>
    <s v="PÇ"/>
    <n v="0.315"/>
    <n v="0.315"/>
    <n v="1169.77"/>
    <n v="368.47755000000001"/>
    <n v="0"/>
    <n v="0.9"/>
    <n v="0.1"/>
    <m/>
    <m/>
    <m/>
    <n v="0"/>
    <m/>
    <n v="0"/>
    <n v="0.315"/>
    <m/>
    <n v="0.4"/>
    <n v="0.5"/>
    <n v="0.1"/>
    <m/>
    <m/>
    <m/>
    <n v="0"/>
    <n v="0"/>
    <n v="0"/>
    <n v="368.47755000000001"/>
    <m/>
    <m/>
  </r>
  <r>
    <s v="2.4.3.1.1"/>
    <s v="CMS M.60.10.000"/>
    <s v="TUBULAÇÃO"/>
    <n v="10"/>
    <s v="CURVA"/>
    <n v="6"/>
    <s v="NÃO"/>
    <s v="NÃO"/>
    <s v="NÃO"/>
    <s v="145A-PG-6¨-L1H-883"/>
    <s v="START UP III"/>
    <s v="DISPOSIÇÃO DE REJEITOS LINHA DO CIRCUITO ULTRAFINO DISTRIBUIDOR DI-145A-9905 PARA A PENEIRA PN-145A-9724"/>
    <m/>
    <m/>
    <m/>
    <s v="1450AA-T-70283_FL16"/>
    <n v="1"/>
    <s v="PÇ"/>
    <n v="0.23499999999999999"/>
    <n v="0.23499999999999999"/>
    <n v="1169.77"/>
    <n v="274.89594999999997"/>
    <n v="0"/>
    <n v="0.9"/>
    <n v="0.1"/>
    <m/>
    <m/>
    <m/>
    <n v="0"/>
    <m/>
    <n v="0"/>
    <n v="0.23499999999999999"/>
    <m/>
    <n v="0.4"/>
    <n v="0.5"/>
    <n v="0.1"/>
    <m/>
    <m/>
    <m/>
    <n v="0"/>
    <n v="0"/>
    <n v="0"/>
    <n v="274.89594999999997"/>
    <m/>
    <m/>
  </r>
  <r>
    <n v="0"/>
    <s v="CMS M.60.10.000"/>
    <s v="TUBULAÇÃO"/>
    <n v="11"/>
    <s v="SPOOL"/>
    <s v="6 X 4"/>
    <s v="NÃO"/>
    <s v="NÃO"/>
    <s v="NÃO"/>
    <s v="145A-PG-6¨-L1H-883"/>
    <s v="START UP III"/>
    <s v="DISPOSIÇÃO DE REJEITOS LINHA DO CIRCUITO ULTRAFINO DISTRIBUIDOR DI-145A-9905 PARA A PENEIRA PN-145A-9724"/>
    <m/>
    <m/>
    <m/>
    <s v="1450AA-T-70283_FL19"/>
    <n v="1"/>
    <s v="PÇ"/>
    <n v="2.1349999999999998"/>
    <n v="2.1349999999999998"/>
    <n v="0"/>
    <n v="0"/>
    <n v="0"/>
    <n v="0.9"/>
    <n v="0.1"/>
    <m/>
    <m/>
    <m/>
    <n v="0"/>
    <m/>
    <n v="0"/>
    <n v="2.1349999999999998"/>
    <m/>
    <n v="0.4"/>
    <n v="0.5"/>
    <n v="0.1"/>
    <m/>
    <m/>
    <m/>
    <n v="0"/>
    <n v="0"/>
    <n v="0"/>
    <n v="0"/>
    <m/>
    <m/>
  </r>
  <r>
    <n v="0"/>
    <s v="CMS M.60.10.000"/>
    <s v="TUBULAÇÃO"/>
    <n v="12"/>
    <s v="FLANGE"/>
    <n v="4"/>
    <s v="NÃO"/>
    <s v="NÃO"/>
    <s v="NÃO"/>
    <s v="145A-PG-6¨-L1H-883"/>
    <s v="START UP III"/>
    <s v="DISPOSIÇÃO DE REJEITOS LINHA DO CIRCUITO ULTRAFINO DISTRIBUIDOR DI-145A-9905 PARA A PENEIRA PN-145A-9724"/>
    <m/>
    <m/>
    <m/>
    <s v="1450AA-T-70283_FL03"/>
    <n v="2"/>
    <s v="PÇ"/>
    <n v="0"/>
    <n v="0"/>
    <n v="0"/>
    <n v="0"/>
    <n v="0"/>
    <n v="0.9"/>
    <n v="0.1"/>
    <m/>
    <m/>
    <m/>
    <n v="0"/>
    <m/>
    <n v="0"/>
    <n v="0"/>
    <m/>
    <n v="0.4"/>
    <n v="0.5"/>
    <n v="0.1"/>
    <m/>
    <m/>
    <m/>
    <n v="0"/>
    <n v="0"/>
    <n v="0"/>
    <n v="0"/>
    <m/>
    <m/>
  </r>
  <r>
    <s v="2.4.3.1.1"/>
    <s v="CMS M.60.10.000"/>
    <s v="TUBULAÇÃO"/>
    <n v="1"/>
    <s v="SPOOL"/>
    <n v="6"/>
    <s v="NÃO"/>
    <s v="NÃO"/>
    <s v="NÃO"/>
    <s v="145A-PG-6¨-L1H-885"/>
    <s v="START UP III"/>
    <s v="DISPOSIÇÃO DE REJEITOS LINHA DO CIRCUITO ULTRAFINO DISTRIBUIDOR DI-145A-9905 PARA A PENEIRA PN-145A-9725"/>
    <m/>
    <m/>
    <m/>
    <s v="1450AA-T-70440_FL12"/>
    <n v="1"/>
    <s v="PÇ"/>
    <n v="1.9"/>
    <n v="1.9"/>
    <n v="1169.77"/>
    <n v="2222.5629999999996"/>
    <n v="0"/>
    <n v="0.9"/>
    <n v="0.1"/>
    <m/>
    <m/>
    <m/>
    <n v="0"/>
    <m/>
    <n v="0"/>
    <n v="1.9"/>
    <m/>
    <n v="0.4"/>
    <n v="0.5"/>
    <n v="0.1"/>
    <m/>
    <m/>
    <m/>
    <n v="0"/>
    <n v="0"/>
    <n v="0"/>
    <n v="2222.5629999999996"/>
    <m/>
    <m/>
  </r>
  <r>
    <s v="2.4.3.1.1"/>
    <s v="CMS M.60.10.000"/>
    <s v="TUBULAÇÃO"/>
    <n v="2"/>
    <s v="SPOOL"/>
    <n v="6"/>
    <s v="NÃO"/>
    <s v="NÃO"/>
    <s v="NÃO"/>
    <s v="145A-PG-6¨-L1H-885"/>
    <s v="START UP III"/>
    <s v="DISPOSIÇÃO DE REJEITOS LINHA DO CIRCUITO ULTRAFINO DISTRIBUIDOR DI-145A-9905 PARA A PENEIRA PN-145A-9725"/>
    <m/>
    <m/>
    <m/>
    <s v="1450AA-T-70440_FL11"/>
    <n v="1"/>
    <s v="PÇ"/>
    <n v="1.05"/>
    <n v="1.05"/>
    <n v="1169.77"/>
    <n v="1228.2585000000001"/>
    <n v="0"/>
    <n v="0.9"/>
    <n v="0.1"/>
    <m/>
    <m/>
    <m/>
    <n v="0"/>
    <m/>
    <n v="0"/>
    <n v="1.05"/>
    <m/>
    <n v="0.4"/>
    <n v="0.5"/>
    <n v="0.1"/>
    <m/>
    <m/>
    <m/>
    <n v="0"/>
    <n v="0"/>
    <n v="0"/>
    <n v="1228.2585000000001"/>
    <m/>
    <m/>
  </r>
  <r>
    <s v="2.4.3.1.1"/>
    <s v="CMS M.60.10.000"/>
    <s v="TUBULAÇÃO"/>
    <n v="3"/>
    <s v="SPOOL"/>
    <n v="6"/>
    <s v="NÃO"/>
    <s v="NÃO"/>
    <s v="NÃO"/>
    <s v="145A-PG-6¨-L1H-885"/>
    <s v="START UP III"/>
    <s v="DISPOSIÇÃO DE REJEITOS LINHA DO CIRCUITO ULTRAFINO DISTRIBUIDOR DI-145A-9905 PARA A PENEIRA PN-145A-9725"/>
    <m/>
    <m/>
    <m/>
    <s v="1450AA-T-70440_FL10"/>
    <n v="1"/>
    <s v="PÇ"/>
    <n v="1"/>
    <n v="1"/>
    <n v="1169.77"/>
    <n v="1169.77"/>
    <n v="0"/>
    <n v="0.9"/>
    <n v="0.1"/>
    <m/>
    <m/>
    <m/>
    <n v="0"/>
    <m/>
    <n v="0"/>
    <n v="1"/>
    <m/>
    <n v="0.4"/>
    <n v="0.5"/>
    <n v="0.1"/>
    <m/>
    <m/>
    <m/>
    <n v="0"/>
    <n v="0"/>
    <n v="0"/>
    <n v="1169.77"/>
    <m/>
    <m/>
  </r>
  <r>
    <s v="2.4.3.1.1"/>
    <s v="CMS M.60.10.000"/>
    <s v="TUBULAÇÃO"/>
    <n v="4"/>
    <s v="SPOOL"/>
    <n v="6"/>
    <s v="NÃO"/>
    <s v="NÃO"/>
    <s v="NÃO"/>
    <s v="145A-PG-6¨-L1H-885"/>
    <s v="START UP III"/>
    <s v="DISPOSIÇÃO DE REJEITOS LINHA DO CIRCUITO ULTRAFINO DISTRIBUIDOR DI-145A-9905 PARA A PENEIRA PN-145A-9725"/>
    <m/>
    <m/>
    <m/>
    <s v="1450AA-T-70440_FL09"/>
    <n v="1"/>
    <s v="PÇ"/>
    <n v="0.9"/>
    <n v="0.9"/>
    <n v="1169.77"/>
    <n v="1052.7930000000001"/>
    <n v="0"/>
    <n v="0.9"/>
    <n v="0.1"/>
    <m/>
    <m/>
    <m/>
    <n v="0"/>
    <m/>
    <n v="0"/>
    <n v="0.9"/>
    <m/>
    <n v="0.4"/>
    <n v="0.5"/>
    <n v="0.1"/>
    <m/>
    <m/>
    <m/>
    <n v="0"/>
    <n v="0"/>
    <n v="0"/>
    <n v="1052.7930000000001"/>
    <m/>
    <m/>
  </r>
  <r>
    <s v="2.4.3.1.1"/>
    <s v="CMS M.60.10.000"/>
    <s v="TUBULAÇÃO"/>
    <n v="5"/>
    <s v="SPOOL"/>
    <n v="6"/>
    <s v="SIM"/>
    <s v="NÃO"/>
    <s v="NÃO"/>
    <s v="145A-PG-6¨-L1H-885"/>
    <s v="START UP III"/>
    <s v="DISPOSIÇÃO DE REJEITOS LINHA DO CIRCUITO ULTRAFINO DISTRIBUIDOR DI-145A-9905 PARA A PENEIRA PN-145A-9725"/>
    <m/>
    <m/>
    <m/>
    <s v="1450AA-T-70440_FL14"/>
    <n v="1"/>
    <s v="PÇ"/>
    <n v="0.4"/>
    <n v="0.4"/>
    <n v="1169.77"/>
    <n v="467.90800000000002"/>
    <n v="0"/>
    <n v="0.9"/>
    <n v="0.1"/>
    <m/>
    <m/>
    <m/>
    <n v="0"/>
    <m/>
    <n v="0"/>
    <n v="0.4"/>
    <m/>
    <n v="0.4"/>
    <n v="0.5"/>
    <n v="0.1"/>
    <m/>
    <m/>
    <m/>
    <n v="0"/>
    <n v="0"/>
    <n v="0"/>
    <n v="467.90800000000002"/>
    <m/>
    <m/>
  </r>
  <r>
    <s v="2.4.3.1.1"/>
    <s v="CMS M.60.10.000"/>
    <s v="TUBULAÇÃO"/>
    <n v="6"/>
    <s v="SPOOL"/>
    <n v="6"/>
    <s v="SIM"/>
    <s v="NÃO"/>
    <s v="NÃO"/>
    <s v="145A-PG-6¨-L1H-885"/>
    <s v="START UP III"/>
    <s v="DISPOSIÇÃO DE REJEITOS LINHA DO CIRCUITO ULTRAFINO DISTRIBUIDOR DI-145A-9905 PARA A PENEIRA PN-145A-9725"/>
    <m/>
    <m/>
    <m/>
    <s v="1450AA-T-70440_FL13"/>
    <n v="1"/>
    <s v="PÇ"/>
    <n v="0.37"/>
    <n v="0.37"/>
    <n v="1169.77"/>
    <n v="432.81489999999997"/>
    <n v="0"/>
    <n v="0.9"/>
    <n v="0.1"/>
    <m/>
    <m/>
    <m/>
    <n v="0"/>
    <m/>
    <n v="0"/>
    <n v="0.37"/>
    <m/>
    <n v="0.4"/>
    <n v="0.5"/>
    <n v="0.1"/>
    <m/>
    <m/>
    <m/>
    <n v="0"/>
    <n v="0"/>
    <n v="0"/>
    <n v="432.81489999999997"/>
    <m/>
    <m/>
  </r>
  <r>
    <s v="2.4.3.1.1"/>
    <s v="CMS M.60.10.000"/>
    <s v="TUBULAÇÃO"/>
    <n v="7"/>
    <s v="CURVA"/>
    <n v="6"/>
    <s v="NÃO"/>
    <s v="NÃO"/>
    <s v="NÃO"/>
    <s v="145A-PG-6¨-L1H-885"/>
    <s v="START UP III"/>
    <s v="DISPOSIÇÃO DE REJEITOS LINHA DO CIRCUITO ULTRAFINO DISTRIBUIDOR DI-145A-9905 PARA A PENEIRA PN-145A-9725"/>
    <m/>
    <m/>
    <m/>
    <s v="1450AA-T-70440_FL17"/>
    <n v="1"/>
    <s v="PÇ"/>
    <n v="0.46899999999999997"/>
    <n v="0.46899999999999997"/>
    <n v="1169.77"/>
    <n v="548.62212999999997"/>
    <n v="0"/>
    <n v="0.9"/>
    <n v="0.1"/>
    <m/>
    <m/>
    <m/>
    <n v="0"/>
    <m/>
    <n v="0"/>
    <n v="0.46899999999999997"/>
    <m/>
    <n v="0.4"/>
    <n v="0.5"/>
    <n v="0.1"/>
    <m/>
    <m/>
    <m/>
    <n v="0"/>
    <n v="0"/>
    <n v="0"/>
    <n v="548.62212999999997"/>
    <m/>
    <m/>
  </r>
  <r>
    <s v="2.4.3.1.1"/>
    <s v="CMS M.60.10.000"/>
    <s v="TUBULAÇÃO"/>
    <n v="8"/>
    <s v="CURVA"/>
    <n v="6"/>
    <s v="NÃO"/>
    <s v="NÃO"/>
    <s v="NÃO"/>
    <s v="145A-PG-6¨-L1H-885"/>
    <s v="START UP III"/>
    <s v="DISPOSIÇÃO DE REJEITOS LINHA DO CIRCUITO ULTRAFINO DISTRIBUIDOR DI-145A-9905 PARA A PENEIRA PN-145A-9725"/>
    <m/>
    <m/>
    <m/>
    <s v="1450AA-T-70440_FL16"/>
    <n v="1"/>
    <s v="PÇ"/>
    <n v="0.36399999999999999"/>
    <n v="0.36399999999999999"/>
    <n v="1169.77"/>
    <n v="425.79627999999997"/>
    <n v="0"/>
    <n v="0.9"/>
    <n v="0.1"/>
    <m/>
    <m/>
    <m/>
    <n v="0"/>
    <m/>
    <n v="0"/>
    <n v="0.36399999999999999"/>
    <m/>
    <n v="0.4"/>
    <n v="0.5"/>
    <n v="0.1"/>
    <m/>
    <m/>
    <m/>
    <n v="0"/>
    <n v="0"/>
    <n v="0"/>
    <n v="425.79627999999997"/>
    <m/>
    <m/>
  </r>
  <r>
    <s v="2.4.3.1.1"/>
    <s v="CMS M.60.10.000"/>
    <s v="TUBULAÇÃO"/>
    <n v="9"/>
    <s v="CURVA"/>
    <n v="6"/>
    <s v="NÃO"/>
    <s v="NÃO"/>
    <s v="NÃO"/>
    <s v="145A-PG-6¨-L1H-885"/>
    <s v="START UP III"/>
    <s v="DISPOSIÇÃO DE REJEITOS LINHA DO CIRCUITO ULTRAFINO DISTRIBUIDOR DI-145A-9905 PARA A PENEIRA PN-145A-9725"/>
    <m/>
    <m/>
    <m/>
    <s v="1450AA-T-70440_FL15"/>
    <n v="1"/>
    <s v="PÇ"/>
    <n v="0.188"/>
    <n v="0.188"/>
    <n v="1169.77"/>
    <n v="219.91676000000001"/>
    <n v="0"/>
    <n v="0.9"/>
    <n v="0.1"/>
    <m/>
    <m/>
    <m/>
    <n v="0"/>
    <m/>
    <n v="0"/>
    <n v="0.188"/>
    <m/>
    <n v="0.4"/>
    <n v="0.5"/>
    <n v="0.1"/>
    <m/>
    <m/>
    <m/>
    <n v="0"/>
    <n v="0"/>
    <n v="0"/>
    <n v="219.91676000000001"/>
    <m/>
    <m/>
  </r>
  <r>
    <n v="0"/>
    <s v="CMS M.60.10.000"/>
    <s v="TUBULAÇÃO"/>
    <n v="10"/>
    <s v="SPOOL"/>
    <s v="6 X 4"/>
    <s v="NÃO"/>
    <s v="NÃO"/>
    <s v="NÃO"/>
    <s v="145A-PG-6¨-L1H-885"/>
    <s v="START UP III"/>
    <s v="DISPOSIÇÃO DE REJEITOS LINHA DO CIRCUITO ULTRAFINO DISTRIBUIDOR DI-145A-9905 PARA A PENEIRA PN-145A-9725"/>
    <m/>
    <m/>
    <m/>
    <s v="1450AA-T-70440_FL18"/>
    <n v="1"/>
    <s v="PÇ"/>
    <n v="2.1349999999999998"/>
    <n v="2.1349999999999998"/>
    <n v="0"/>
    <n v="0"/>
    <n v="0"/>
    <n v="0.9"/>
    <n v="0.1"/>
    <m/>
    <m/>
    <m/>
    <n v="0"/>
    <m/>
    <n v="0"/>
    <n v="2.1349999999999998"/>
    <m/>
    <n v="0.4"/>
    <n v="0.5"/>
    <n v="0.1"/>
    <m/>
    <m/>
    <m/>
    <n v="0"/>
    <n v="0"/>
    <n v="0"/>
    <n v="0"/>
    <m/>
    <m/>
  </r>
  <r>
    <n v="0"/>
    <s v="CMS M.60.10.000"/>
    <s v="TUBULAÇÃO"/>
    <n v="11"/>
    <s v="FLANGE"/>
    <n v="4"/>
    <s v="NÃO"/>
    <s v="NÃO"/>
    <s v="NÃO"/>
    <s v="145A-PG-6¨-L1H-885"/>
    <s v="START UP III"/>
    <s v="DISPOSIÇÃO DE REJEITOS LINHA DO CIRCUITO ULTRAFINO DISTRIBUIDOR DI-145A-9905 PARA A PENEIRA PN-145A-9725"/>
    <m/>
    <m/>
    <m/>
    <s v="1450AA-T-70440_FL03"/>
    <n v="2"/>
    <s v="PÇ"/>
    <n v="0"/>
    <n v="0"/>
    <n v="0"/>
    <n v="0"/>
    <n v="0"/>
    <n v="0.9"/>
    <n v="0.1"/>
    <m/>
    <m/>
    <m/>
    <n v="0"/>
    <m/>
    <n v="0"/>
    <n v="0"/>
    <m/>
    <n v="0.4"/>
    <n v="0.5"/>
    <n v="0.1"/>
    <m/>
    <m/>
    <m/>
    <n v="0"/>
    <n v="0"/>
    <n v="0"/>
    <n v="0"/>
    <m/>
    <m/>
  </r>
  <r>
    <s v="2.4.3.1.2"/>
    <s v="CMS M.60.10.000"/>
    <s v="TUBULAÇÃO"/>
    <n v="1"/>
    <s v="CURVA"/>
    <n v="8"/>
    <s v="NÃO"/>
    <s v="NÃO"/>
    <s v="NÃO"/>
    <s v="145A-PG-8¨-L1H-902"/>
    <s v="START UP II"/>
    <s v="DISPOSIÇÃO DE REJEITOS LINHA DO CIRCUITO ARENOSO DISTRIBUIDOR DI-145A-9912 PARA A PENEIRA PN-145A-9701"/>
    <m/>
    <m/>
    <m/>
    <s v="1450AA-T-70378_FL17"/>
    <n v="2"/>
    <s v="PÇ"/>
    <n v="0.61099999999999999"/>
    <n v="1.222"/>
    <n v="1651.88"/>
    <n v="2018.59736"/>
    <n v="0"/>
    <n v="0.9"/>
    <n v="0.1"/>
    <m/>
    <m/>
    <m/>
    <n v="0"/>
    <m/>
    <n v="0"/>
    <n v="1.222"/>
    <m/>
    <n v="0.4"/>
    <n v="0.5"/>
    <n v="0.1"/>
    <m/>
    <m/>
    <m/>
    <n v="0"/>
    <n v="0"/>
    <n v="0"/>
    <n v="2018.59736"/>
    <m/>
    <m/>
  </r>
  <r>
    <s v="2.4.3.1.2"/>
    <s v="CMS M.60.10.000"/>
    <s v="TUBULAÇÃO"/>
    <n v="2"/>
    <s v="SPOOL"/>
    <n v="8"/>
    <s v="NÃO"/>
    <s v="NÃO"/>
    <s v="NÃO"/>
    <s v="145A-PG-8¨-L1H-902"/>
    <s v="START UP II"/>
    <s v="DISPOSIÇÃO DE REJEITOS LINHA DO CIRCUITO ARENOSO DISTRIBUIDOR DI-145A-9912 PARA A PENEIRA PN-145A-9701"/>
    <m/>
    <m/>
    <m/>
    <s v="1450AA-T-70378_FL09"/>
    <n v="2"/>
    <s v="PÇ"/>
    <n v="0.81599999999999995"/>
    <n v="1.6319999999999999"/>
    <n v="1651.88"/>
    <n v="2695.86816"/>
    <n v="0"/>
    <n v="0.9"/>
    <n v="0.1"/>
    <m/>
    <m/>
    <m/>
    <n v="0"/>
    <m/>
    <n v="0"/>
    <n v="1.6319999999999999"/>
    <m/>
    <n v="0.4"/>
    <n v="0.5"/>
    <n v="0.1"/>
    <m/>
    <m/>
    <m/>
    <n v="0"/>
    <n v="0"/>
    <n v="0"/>
    <n v="2695.86816"/>
    <m/>
    <m/>
  </r>
  <r>
    <s v="2.4.3.1.2"/>
    <s v="CMS M.60.10.000"/>
    <s v="TUBULAÇÃO"/>
    <n v="3"/>
    <s v="CURVA"/>
    <n v="8"/>
    <s v="NÃO"/>
    <s v="NÃO"/>
    <s v="NÃO"/>
    <s v="145A-PG-8¨-L1H-902"/>
    <s v="START UP II"/>
    <s v="DISPOSIÇÃO DE REJEITOS LINHA DO CIRCUITO ARENOSO DISTRIBUIDOR DI-145A-9912 PARA A PENEIRA PN-145A-9701"/>
    <m/>
    <m/>
    <m/>
    <s v="1450AA-T-70378_FL15"/>
    <n v="1"/>
    <s v="PÇ"/>
    <n v="0.32100000000000001"/>
    <n v="0.32100000000000001"/>
    <n v="1651.88"/>
    <n v="530.25348000000008"/>
    <n v="0"/>
    <n v="0.9"/>
    <n v="0.1"/>
    <m/>
    <m/>
    <m/>
    <n v="0"/>
    <m/>
    <n v="0"/>
    <n v="0.32100000000000001"/>
    <m/>
    <n v="0.4"/>
    <n v="0.5"/>
    <n v="0.1"/>
    <m/>
    <m/>
    <m/>
    <n v="0"/>
    <n v="0"/>
    <n v="0"/>
    <n v="530.25348000000008"/>
    <m/>
    <m/>
  </r>
  <r>
    <s v="2.4.3.1.2"/>
    <s v="CMS M.60.10.000"/>
    <s v="TUBULAÇÃO"/>
    <n v="4"/>
    <s v="SPOOL"/>
    <n v="8"/>
    <s v="SIM"/>
    <s v="NÃO"/>
    <s v="NÃO"/>
    <s v="145A-PG-8¨-L1H-902"/>
    <s v="START UP II"/>
    <s v="DISPOSIÇÃO DE REJEITOS LINHA DO CIRCUITO ARENOSO DISTRIBUIDOR DI-145A-9912 PARA A PENEIRA PN-145A-9701"/>
    <m/>
    <m/>
    <m/>
    <s v="1450AA-T-70378_FL14"/>
    <n v="2"/>
    <s v="PÇ"/>
    <n v="0.62"/>
    <n v="1.24"/>
    <n v="1651.88"/>
    <n v="2048.3312000000001"/>
    <n v="0"/>
    <n v="0.9"/>
    <n v="0.1"/>
    <m/>
    <m/>
    <m/>
    <n v="0"/>
    <m/>
    <n v="0"/>
    <n v="1.24"/>
    <m/>
    <n v="0.4"/>
    <n v="0.5"/>
    <n v="0.1"/>
    <m/>
    <m/>
    <m/>
    <n v="0"/>
    <n v="0"/>
    <n v="0"/>
    <n v="2048.3312000000001"/>
    <m/>
    <m/>
  </r>
  <r>
    <s v="2.4.3.1.2"/>
    <s v="CMS M.60.10.000"/>
    <s v="TUBULAÇÃO"/>
    <n v="5"/>
    <s v="SPOOL"/>
    <n v="8"/>
    <s v="NÃO"/>
    <s v="NÃO"/>
    <s v="NÃO"/>
    <s v="145A-PG-8¨-L1H-902"/>
    <s v="START UP II"/>
    <s v="DISPOSIÇÃO DE REJEITOS LINHA DO CIRCUITO ARENOSO DISTRIBUIDOR DI-145A-9912 PARA A PENEIRA PN-145A-9701"/>
    <m/>
    <m/>
    <m/>
    <s v="1450AA-T-70378_FL13"/>
    <n v="2"/>
    <s v="PÇ"/>
    <n v="4.8"/>
    <n v="9.6"/>
    <n v="1651.88"/>
    <n v="15858.048000000001"/>
    <n v="0"/>
    <n v="0.9"/>
    <n v="0.1"/>
    <m/>
    <m/>
    <m/>
    <n v="0"/>
    <m/>
    <n v="0"/>
    <n v="9.6"/>
    <m/>
    <n v="0.4"/>
    <n v="0.5"/>
    <n v="0.1"/>
    <m/>
    <m/>
    <m/>
    <n v="0"/>
    <n v="0"/>
    <n v="0"/>
    <n v="15858.048000000001"/>
    <m/>
    <m/>
  </r>
  <r>
    <s v="2.4.3.1.2"/>
    <s v="CMS M.60.10.000"/>
    <s v="TUBULAÇÃO"/>
    <n v="6"/>
    <s v="SPOOL"/>
    <n v="8"/>
    <s v="NÃO"/>
    <s v="NÃO"/>
    <s v="NÃO"/>
    <s v="145A-PG-8¨-L1H-902"/>
    <s v="START UP II"/>
    <s v="DISPOSIÇÃO DE REJEITOS LINHA DO CIRCUITO ARENOSO DISTRIBUIDOR DI-145A-9912 PARA A PENEIRA PN-145A-9701"/>
    <m/>
    <m/>
    <m/>
    <s v="1450AA-T-70378_FL11"/>
    <n v="1"/>
    <s v="PÇ"/>
    <n v="1.5"/>
    <n v="1.5"/>
    <n v="1651.88"/>
    <n v="2477.8200000000002"/>
    <n v="0"/>
    <n v="0.9"/>
    <n v="0.1"/>
    <m/>
    <m/>
    <m/>
    <n v="0"/>
    <m/>
    <n v="0"/>
    <n v="1.5"/>
    <m/>
    <n v="0.4"/>
    <n v="0.5"/>
    <n v="0.1"/>
    <m/>
    <m/>
    <m/>
    <n v="0"/>
    <n v="0"/>
    <n v="0"/>
    <n v="2477.8200000000002"/>
    <m/>
    <m/>
  </r>
  <r>
    <s v="2.4.3.1.2"/>
    <s v="CMS M.60.10.000"/>
    <s v="TUBULAÇÃO"/>
    <n v="7"/>
    <s v="SPOOL"/>
    <n v="8"/>
    <s v="NÃO"/>
    <s v="NÃO"/>
    <s v="NÃO"/>
    <s v="145A-PG-8¨-L1H-902"/>
    <s v="START UP II"/>
    <s v="DISPOSIÇÃO DE REJEITOS LINHA DO CIRCUITO ARENOSO DISTRIBUIDOR DI-145A-9912 PARA A PENEIRA PN-145A-9701"/>
    <m/>
    <m/>
    <m/>
    <s v="1450AA-T-70378_FL12"/>
    <n v="1"/>
    <s v="PÇ"/>
    <n v="3"/>
    <n v="3"/>
    <n v="1651.88"/>
    <n v="4955.6400000000003"/>
    <n v="0"/>
    <n v="0.9"/>
    <n v="0.1"/>
    <m/>
    <m/>
    <m/>
    <n v="0"/>
    <m/>
    <n v="0"/>
    <n v="3"/>
    <m/>
    <n v="0.4"/>
    <n v="0.5"/>
    <n v="0.1"/>
    <m/>
    <m/>
    <m/>
    <n v="0"/>
    <n v="0"/>
    <n v="0"/>
    <n v="4955.6400000000003"/>
    <m/>
    <m/>
  </r>
  <r>
    <s v="2.4.3.1.2"/>
    <s v="CMS M.60.10.000"/>
    <s v="TUBULAÇÃO"/>
    <n v="8"/>
    <s v="CURVA"/>
    <n v="8"/>
    <s v="NÃO"/>
    <s v="NÃO"/>
    <s v="NÃO"/>
    <s v="145A-PG-8¨-L1H-902"/>
    <s v="START UP II"/>
    <s v="DISPOSIÇÃO DE REJEITOS LINHA DO CIRCUITO ARENOSO DISTRIBUIDOR DI-145A-9912 PARA A PENEIRA PN-145A-9701"/>
    <m/>
    <m/>
    <m/>
    <s v="1450AA-T-70378_FL16"/>
    <n v="1"/>
    <s v="PÇ"/>
    <n v="0.54200000000000004"/>
    <n v="0.54200000000000004"/>
    <n v="1651.88"/>
    <n v="895.31896000000017"/>
    <n v="0"/>
    <n v="0.9"/>
    <n v="0.1"/>
    <m/>
    <m/>
    <m/>
    <n v="0"/>
    <m/>
    <n v="0"/>
    <n v="0.54200000000000004"/>
    <m/>
    <n v="0.4"/>
    <n v="0.5"/>
    <n v="0.1"/>
    <m/>
    <m/>
    <m/>
    <n v="0"/>
    <n v="0"/>
    <n v="0"/>
    <n v="895.31896000000017"/>
    <m/>
    <m/>
  </r>
  <r>
    <s v="2.4.3.1.2"/>
    <s v="CMS M.60.10.000"/>
    <s v="TUBULAÇÃO"/>
    <n v="9"/>
    <s v="CURVA"/>
    <n v="8"/>
    <s v="NÃO"/>
    <s v="NÃO"/>
    <s v="NÃO"/>
    <s v="145A-PG-8¨-L1H-902"/>
    <s v="START UP II"/>
    <s v="DISPOSIÇÃO DE REJEITOS LINHA DO CIRCUITO ARENOSO DISTRIBUIDOR DI-145A-9912 PARA A PENEIRA PN-145A-9701"/>
    <m/>
    <m/>
    <m/>
    <s v="1450AA-T-70378_FL18"/>
    <n v="1"/>
    <s v="PÇ"/>
    <n v="0.63800000000000001"/>
    <n v="0.63800000000000001"/>
    <n v="1651.88"/>
    <n v="1053.8994400000001"/>
    <n v="0"/>
    <n v="0.9"/>
    <n v="0.1"/>
    <m/>
    <m/>
    <m/>
    <n v="0"/>
    <m/>
    <n v="0"/>
    <n v="0.63800000000000001"/>
    <m/>
    <n v="0.4"/>
    <n v="0.5"/>
    <n v="0.1"/>
    <m/>
    <m/>
    <m/>
    <n v="0"/>
    <n v="0"/>
    <n v="0"/>
    <n v="1053.8994400000001"/>
    <m/>
    <m/>
  </r>
  <r>
    <s v="2.4.3.1.2"/>
    <s v="CMS M.60.10.000"/>
    <s v="TUBULAÇÃO"/>
    <n v="10"/>
    <s v="SPOOL"/>
    <n v="8"/>
    <s v="NÃO"/>
    <s v="NÃO"/>
    <s v="NÃO"/>
    <s v="145A-PG-8¨-L1H-902"/>
    <s v="START UP II"/>
    <s v="DISPOSIÇÃO DE REJEITOS LINHA DO CIRCUITO ARENOSO DISTRIBUIDOR DI-145A-9912 PARA A PENEIRA PN-145A-9701"/>
    <m/>
    <m/>
    <m/>
    <s v="1450AA-T-70378_FL10"/>
    <n v="1"/>
    <s v="PÇ"/>
    <n v="1.34"/>
    <n v="1.34"/>
    <n v="1651.88"/>
    <n v="2213.5192000000002"/>
    <n v="0"/>
    <n v="0.9"/>
    <n v="0.1"/>
    <m/>
    <m/>
    <m/>
    <n v="0"/>
    <m/>
    <n v="0"/>
    <n v="1.34"/>
    <m/>
    <n v="0.4"/>
    <n v="0.5"/>
    <n v="0.1"/>
    <m/>
    <m/>
    <m/>
    <n v="0"/>
    <n v="0"/>
    <n v="0"/>
    <n v="2213.5192000000002"/>
    <m/>
    <m/>
  </r>
  <r>
    <s v="2.4.3.1.2"/>
    <s v="CMS M.60.10.000"/>
    <s v="TUBULAÇÃO"/>
    <n v="11"/>
    <s v="SPOOL"/>
    <n v="8"/>
    <s v="NÃO"/>
    <s v="NÃO"/>
    <s v="NÃO"/>
    <s v="145A-PG-8¨-L1H-902"/>
    <s v="START UP II"/>
    <s v="DISPOSIÇÃO DE REJEITOS LINHA DO CIRCUITO ARENOSO DISTRIBUIDOR DI-145A-9912 PARA A PENEIRA PN-145A-9701"/>
    <m/>
    <m/>
    <m/>
    <s v="1450AA-T-70378_FL19"/>
    <n v="1"/>
    <s v="PÇ"/>
    <n v="0.96"/>
    <n v="0.96"/>
    <n v="1651.88"/>
    <n v="1585.8048000000001"/>
    <n v="0"/>
    <n v="0.9"/>
    <n v="0.1"/>
    <m/>
    <m/>
    <m/>
    <n v="0"/>
    <m/>
    <n v="0"/>
    <n v="0.96"/>
    <m/>
    <n v="0.4"/>
    <n v="0.5"/>
    <n v="0.1"/>
    <m/>
    <m/>
    <m/>
    <n v="0"/>
    <n v="0"/>
    <n v="0"/>
    <n v="1585.8048000000001"/>
    <m/>
    <m/>
  </r>
  <r>
    <s v="2.4.3.1.1"/>
    <s v="CMS M.60.10.000"/>
    <s v="TUBULAÇÃO"/>
    <n v="12"/>
    <s v="SPOOL"/>
    <s v="8 X 6"/>
    <s v="NÃO"/>
    <s v="NÃO"/>
    <s v="NÃO"/>
    <s v="145A-PG-8¨-L1H-902"/>
    <s v="START UP II"/>
    <s v="DISPOSIÇÃO DE REJEITOS LINHA DO CIRCUITO ARENOSO DISTRIBUIDOR DI-145A-9912 PARA A PENEIRA PN-145A-9701"/>
    <m/>
    <m/>
    <m/>
    <s v="1450AA-T-70378_FL20"/>
    <n v="1"/>
    <s v="PÇ"/>
    <n v="2.113"/>
    <n v="2.113"/>
    <n v="1169.77"/>
    <n v="2471.7240099999999"/>
    <n v="0"/>
    <n v="0.9"/>
    <n v="0.1"/>
    <m/>
    <m/>
    <m/>
    <n v="0"/>
    <m/>
    <n v="0"/>
    <n v="2.113"/>
    <m/>
    <n v="0.4"/>
    <n v="0.5"/>
    <n v="0.1"/>
    <m/>
    <m/>
    <m/>
    <n v="0"/>
    <n v="0"/>
    <n v="0"/>
    <n v="2471.7240099999999"/>
    <m/>
    <m/>
  </r>
  <r>
    <s v="2.4.3.1.2"/>
    <s v="CMS M.60.10.000"/>
    <s v="TUBULAÇÃO"/>
    <n v="13"/>
    <s v="FLANGE"/>
    <n v="8"/>
    <s v="NÃO"/>
    <s v="NÃO"/>
    <s v="NÃO"/>
    <s v="145A-PG-8¨-L1H-902"/>
    <s v="START UP II"/>
    <s v="DISPOSIÇÃO DE REJEITOS LINHA DO CIRCUITO ARENOSO DISTRIBUIDOR DI-145A-9912 PARA A PENEIRA PN-145A-9701"/>
    <m/>
    <m/>
    <m/>
    <s v="1450AA-T-70378_FL08"/>
    <n v="2"/>
    <s v="PÇ"/>
    <n v="0"/>
    <n v="0"/>
    <n v="1651.88"/>
    <n v="0"/>
    <n v="0"/>
    <n v="0.9"/>
    <n v="0.1"/>
    <m/>
    <m/>
    <m/>
    <n v="0"/>
    <m/>
    <n v="0"/>
    <n v="0"/>
    <m/>
    <n v="0.4"/>
    <n v="0.5"/>
    <n v="0.1"/>
    <m/>
    <m/>
    <m/>
    <n v="0"/>
    <n v="0"/>
    <n v="0"/>
    <n v="0"/>
    <m/>
    <m/>
  </r>
  <r>
    <s v="2.4.3.1.2"/>
    <s v="CMS M.60.10.000"/>
    <s v="TUBULAÇÃO"/>
    <n v="1"/>
    <s v="CURVA"/>
    <n v="8"/>
    <s v="NÃO"/>
    <s v="NÃO"/>
    <s v="NÃO"/>
    <s v="145A-PG-8¨-L1H-903"/>
    <s v="START UP II"/>
    <s v="DISPOSIÇÃO DE REJEITOS LINHA DO CIRCUITO ARENOSO DISTRIBUIDOR DI-145A-9912 PARA A PENEIRA PN-145A-9721"/>
    <m/>
    <m/>
    <m/>
    <s v="1450AA-T-70380_FL13"/>
    <n v="3"/>
    <s v="PÇ"/>
    <n v="0.61099999999999999"/>
    <n v="1.833"/>
    <n v="1651.88"/>
    <n v="3027.8960400000001"/>
    <n v="0"/>
    <n v="0.9"/>
    <n v="0.1"/>
    <m/>
    <m/>
    <m/>
    <n v="0"/>
    <m/>
    <n v="0"/>
    <n v="1.833"/>
    <m/>
    <n v="0.4"/>
    <n v="0.5"/>
    <n v="0.1"/>
    <m/>
    <m/>
    <m/>
    <n v="0"/>
    <n v="0"/>
    <n v="0"/>
    <n v="3027.8960400000001"/>
    <m/>
    <m/>
  </r>
  <r>
    <s v="2.4.3.1.2"/>
    <s v="CMS M.60.10.000"/>
    <s v="TUBULAÇÃO"/>
    <n v="2"/>
    <s v="SPOOL"/>
    <n v="8"/>
    <s v="NÃO"/>
    <s v="NÃO"/>
    <s v="NÃO"/>
    <s v="145A-PG-8¨-L1H-903"/>
    <s v="START UP II"/>
    <s v="DISPOSIÇÃO DE REJEITOS LINHA DO CIRCUITO ARENOSO DISTRIBUIDOR DI-145A-9912 PARA A PENEIRA PN-145A-9721"/>
    <m/>
    <m/>
    <m/>
    <s v="1450AA-T-70380_FL07"/>
    <n v="1"/>
    <s v="PÇ"/>
    <n v="0.23499999999999999"/>
    <n v="0.23499999999999999"/>
    <n v="1651.88"/>
    <n v="388.1918"/>
    <n v="0"/>
    <n v="0.9"/>
    <n v="0.1"/>
    <m/>
    <m/>
    <m/>
    <n v="0"/>
    <m/>
    <n v="0"/>
    <n v="0.23499999999999999"/>
    <m/>
    <n v="0.4"/>
    <n v="0.5"/>
    <n v="0.1"/>
    <m/>
    <m/>
    <m/>
    <n v="0"/>
    <n v="0"/>
    <n v="0"/>
    <n v="388.1918"/>
    <m/>
    <m/>
  </r>
  <r>
    <s v="2.4.3.1.2"/>
    <s v="CMS M.60.10.000"/>
    <s v="TUBULAÇÃO"/>
    <n v="3"/>
    <s v="CURVA"/>
    <n v="8"/>
    <s v="NÃO"/>
    <s v="NÃO"/>
    <s v="NÃO"/>
    <s v="145A-PG-8¨-L1H-903"/>
    <s v="START UP II"/>
    <s v="DISPOSIÇÃO DE REJEITOS LINHA DO CIRCUITO ARENOSO DISTRIBUIDOR DI-145A-9912 PARA A PENEIRA PN-145A-9721"/>
    <m/>
    <m/>
    <m/>
    <s v="1450AA-T-70380_FL12"/>
    <n v="1"/>
    <s v="PÇ"/>
    <n v="0.32100000000000001"/>
    <n v="0.32100000000000001"/>
    <n v="1651.88"/>
    <n v="530.25348000000008"/>
    <n v="0"/>
    <n v="0.9"/>
    <n v="0.1"/>
    <m/>
    <m/>
    <m/>
    <n v="0"/>
    <m/>
    <n v="0"/>
    <n v="0.32100000000000001"/>
    <m/>
    <n v="0.4"/>
    <n v="0.5"/>
    <n v="0.1"/>
    <m/>
    <m/>
    <m/>
    <n v="0"/>
    <n v="0"/>
    <n v="0"/>
    <n v="530.25348000000008"/>
    <m/>
    <m/>
  </r>
  <r>
    <s v="2.4.3.1.2"/>
    <s v="CMS M.60.10.000"/>
    <s v="TUBULAÇÃO"/>
    <n v="4"/>
    <s v="SPOOL"/>
    <n v="8"/>
    <s v="SIM"/>
    <s v="NÃO"/>
    <s v="NÃO"/>
    <s v="145A-PG-8¨-L1H-903"/>
    <s v="START UP II"/>
    <s v="DISPOSIÇÃO DE REJEITOS LINHA DO CIRCUITO ARENOSO DISTRIBUIDOR DI-145A-9912 PARA A PENEIRA PN-145A-9721"/>
    <m/>
    <m/>
    <m/>
    <s v="1450AA-T-70380_FL11"/>
    <n v="1"/>
    <s v="PÇ"/>
    <n v="0.6"/>
    <n v="0.6"/>
    <n v="1651.88"/>
    <n v="991.12800000000004"/>
    <n v="0"/>
    <n v="0.9"/>
    <n v="0.1"/>
    <m/>
    <m/>
    <m/>
    <n v="0"/>
    <m/>
    <n v="0"/>
    <n v="0.6"/>
    <m/>
    <n v="0.4"/>
    <n v="0.5"/>
    <n v="0.1"/>
    <m/>
    <m/>
    <m/>
    <n v="0"/>
    <n v="0"/>
    <n v="0"/>
    <n v="991.12800000000004"/>
    <m/>
    <m/>
  </r>
  <r>
    <s v="2.4.3.1.2"/>
    <s v="CMS M.60.10.000"/>
    <s v="TUBULAÇÃO"/>
    <n v="5"/>
    <s v="SPOOL"/>
    <n v="8"/>
    <s v="NÃO"/>
    <s v="NÃO"/>
    <s v="NÃO"/>
    <s v="145A-PG-8¨-L1H-903"/>
    <s v="START UP II"/>
    <s v="DISPOSIÇÃO DE REJEITOS LINHA DO CIRCUITO ARENOSO DISTRIBUIDOR DI-145A-9912 PARA A PENEIRA PN-145A-9721"/>
    <m/>
    <m/>
    <m/>
    <s v="1450AA-T-70380_FL09"/>
    <n v="2"/>
    <s v="PÇ"/>
    <n v="3.7"/>
    <n v="7.4"/>
    <n v="1651.88"/>
    <n v="12223.912000000002"/>
    <n v="0"/>
    <n v="0.9"/>
    <n v="0.1"/>
    <m/>
    <m/>
    <m/>
    <n v="0"/>
    <m/>
    <n v="0"/>
    <n v="7.4"/>
    <m/>
    <n v="0.4"/>
    <n v="0.5"/>
    <n v="0.1"/>
    <m/>
    <m/>
    <m/>
    <n v="0"/>
    <n v="0"/>
    <n v="0"/>
    <n v="12223.912000000002"/>
    <m/>
    <m/>
  </r>
  <r>
    <s v="2.4.3.1.2"/>
    <s v="CMS M.60.10.000"/>
    <s v="TUBULAÇÃO"/>
    <n v="6"/>
    <s v="SPOOL"/>
    <n v="8"/>
    <s v="NÃO"/>
    <s v="NÃO"/>
    <s v="NÃO"/>
    <s v="145A-PG-8¨-L1H-903"/>
    <s v="START UP II"/>
    <s v="DISPOSIÇÃO DE REJEITOS LINHA DO CIRCUITO ARENOSO DISTRIBUIDOR DI-145A-9912 PARA A PENEIRA PN-145A-9721"/>
    <m/>
    <m/>
    <m/>
    <s v="1450AA-T-70380_FL06"/>
    <n v="1"/>
    <s v="PÇ"/>
    <n v="0.18099999999999999"/>
    <n v="0.18099999999999999"/>
    <n v="1651.88"/>
    <n v="298.99027999999998"/>
    <n v="0"/>
    <n v="0.9"/>
    <n v="0.1"/>
    <m/>
    <m/>
    <m/>
    <n v="0"/>
    <m/>
    <n v="0"/>
    <n v="0.18099999999999999"/>
    <m/>
    <n v="0.4"/>
    <n v="0.5"/>
    <n v="0.1"/>
    <m/>
    <m/>
    <m/>
    <n v="0"/>
    <n v="0"/>
    <n v="0"/>
    <n v="298.99027999999998"/>
    <m/>
    <m/>
  </r>
  <r>
    <s v="2.4.3.1.2"/>
    <s v="CMS M.60.10.000"/>
    <s v="TUBULAÇÃO"/>
    <n v="7"/>
    <s v="SPOOL"/>
    <n v="8"/>
    <s v="NÃO"/>
    <s v="NÃO"/>
    <s v="NÃO"/>
    <s v="145A-PG-8¨-L1H-903"/>
    <s v="START UP II"/>
    <s v="DISPOSIÇÃO DE REJEITOS LINHA DO CIRCUITO ARENOSO DISTRIBUIDOR DI-145A-9912 PARA A PENEIRA PN-145A-9721"/>
    <m/>
    <m/>
    <m/>
    <s v="1450AA-T-70380_FL08"/>
    <n v="1"/>
    <s v="PÇ"/>
    <n v="0.32500000000000001"/>
    <n v="0.32500000000000001"/>
    <n v="1651.88"/>
    <n v="536.8610000000001"/>
    <n v="0"/>
    <n v="0.9"/>
    <n v="0.1"/>
    <m/>
    <m/>
    <m/>
    <n v="0"/>
    <m/>
    <n v="0"/>
    <n v="0.32500000000000001"/>
    <m/>
    <n v="0.4"/>
    <n v="0.5"/>
    <n v="0.1"/>
    <m/>
    <m/>
    <m/>
    <n v="0"/>
    <n v="0"/>
    <n v="0"/>
    <n v="536.8610000000001"/>
    <m/>
    <m/>
  </r>
  <r>
    <s v="2.4.3.1.2"/>
    <s v="CMS M.60.10.000"/>
    <s v="TUBULAÇÃO"/>
    <n v="8"/>
    <s v="SPOOL"/>
    <n v="8"/>
    <s v="NÃO"/>
    <s v="NÃO"/>
    <s v="NÃO"/>
    <s v="145A-PG-8¨-L1H-903"/>
    <s v="START UP II"/>
    <s v="DISPOSIÇÃO DE REJEITOS LINHA DO CIRCUITO ARENOSO DISTRIBUIDOR DI-145A-9912 PARA A PENEIRA PN-145A-9721"/>
    <m/>
    <m/>
    <m/>
    <s v="1450AA-T-70380_FL14"/>
    <n v="1"/>
    <s v="PÇ"/>
    <n v="1.01"/>
    <n v="1.01"/>
    <n v="1651.88"/>
    <n v="1668.3988000000002"/>
    <n v="0"/>
    <n v="0.9"/>
    <n v="0.1"/>
    <m/>
    <m/>
    <m/>
    <n v="0"/>
    <m/>
    <n v="0"/>
    <n v="1.01"/>
    <m/>
    <n v="0.4"/>
    <n v="0.5"/>
    <n v="0.1"/>
    <m/>
    <m/>
    <m/>
    <n v="0"/>
    <n v="0"/>
    <n v="0"/>
    <n v="1668.3988000000002"/>
    <m/>
    <m/>
  </r>
  <r>
    <s v="2.4.3.1.2"/>
    <s v="CMS M.60.10.000"/>
    <s v="TUBULAÇÃO"/>
    <n v="9"/>
    <s v="SPOOL"/>
    <n v="8"/>
    <s v="SIM"/>
    <s v="NÃO"/>
    <s v="NÃO"/>
    <s v="145A-PG-8¨-L1H-903"/>
    <s v="START UP II"/>
    <s v="DISPOSIÇÃO DE REJEITOS LINHA DO CIRCUITO ARENOSO DISTRIBUIDOR DI-145A-9912 PARA A PENEIRA PN-145A-9721"/>
    <m/>
    <m/>
    <m/>
    <s v="1450AA-T-70380_FL10"/>
    <n v="1"/>
    <s v="PÇ"/>
    <n v="0.51"/>
    <n v="0.51"/>
    <n v="1651.88"/>
    <n v="842.45880000000011"/>
    <n v="0"/>
    <n v="0.9"/>
    <n v="0.1"/>
    <m/>
    <m/>
    <m/>
    <n v="0"/>
    <m/>
    <n v="0"/>
    <n v="0.51"/>
    <m/>
    <n v="0.4"/>
    <n v="0.5"/>
    <n v="0.1"/>
    <m/>
    <m/>
    <m/>
    <n v="0"/>
    <n v="0"/>
    <n v="0"/>
    <n v="842.45880000000011"/>
    <m/>
    <m/>
  </r>
  <r>
    <s v="2.4.3.1.2"/>
    <s v="CMS M.60.10.000"/>
    <s v="TUBULAÇÃO"/>
    <n v="1"/>
    <s v="SPOOL"/>
    <n v="8"/>
    <s v="NÃO"/>
    <s v="NÃO"/>
    <s v="NÃO"/>
    <s v="145A-PG-8¨-L1H-904"/>
    <s v="START UP II"/>
    <s v="DISPOSIÇÃO DE REJEITOS LINHA DO CIRCUITO ARENOSO DISTRIBUIDOR DI-145A-9912 PARA A PENEIRA PN-145A-9702"/>
    <m/>
    <m/>
    <m/>
    <s v="1450AA-T-70382_FL09"/>
    <n v="1"/>
    <s v="PÇ"/>
    <n v="0.33500000000000002"/>
    <n v="0.33500000000000002"/>
    <n v="1651.88"/>
    <n v="553.37980000000005"/>
    <n v="0"/>
    <n v="0.9"/>
    <n v="0.1"/>
    <m/>
    <m/>
    <m/>
    <n v="0"/>
    <m/>
    <n v="0"/>
    <n v="0.33500000000000002"/>
    <m/>
    <n v="0.4"/>
    <n v="0.5"/>
    <n v="0.1"/>
    <m/>
    <m/>
    <m/>
    <n v="0"/>
    <n v="0"/>
    <n v="0"/>
    <n v="553.37980000000005"/>
    <m/>
    <m/>
  </r>
  <r>
    <s v="2.4.3.1.2"/>
    <s v="CMS M.60.10.000"/>
    <s v="TUBULAÇÃO"/>
    <n v="2"/>
    <s v="CURVA"/>
    <n v="8"/>
    <s v="NÃO"/>
    <s v="NÃO"/>
    <s v="NÃO"/>
    <s v="145A-PG-8¨-L1H-904"/>
    <s v="START UP II"/>
    <s v="DISPOSIÇÃO DE REJEITOS LINHA DO CIRCUITO ARENOSO DISTRIBUIDOR DI-145A-9912 PARA A PENEIRA PN-145A-9702"/>
    <m/>
    <m/>
    <m/>
    <s v="1450AA-T-70382_FL20"/>
    <n v="2"/>
    <s v="PÇ"/>
    <n v="0.61099999999999999"/>
    <n v="1.222"/>
    <n v="1651.88"/>
    <n v="2018.59736"/>
    <n v="0"/>
    <n v="0.9"/>
    <n v="0.1"/>
    <m/>
    <m/>
    <m/>
    <n v="0"/>
    <m/>
    <n v="0"/>
    <n v="1.222"/>
    <m/>
    <n v="0.4"/>
    <n v="0.5"/>
    <n v="0.1"/>
    <m/>
    <m/>
    <m/>
    <n v="0"/>
    <n v="0"/>
    <n v="0"/>
    <n v="2018.59736"/>
    <m/>
    <m/>
  </r>
  <r>
    <s v="2.4.3.1.2"/>
    <s v="CMS M.60.10.000"/>
    <s v="TUBULAÇÃO"/>
    <n v="3"/>
    <s v="SPOOL"/>
    <n v="8"/>
    <s v="NÃO"/>
    <s v="NÃO"/>
    <s v="NÃO"/>
    <s v="145A-PG-8¨-L1H-904"/>
    <s v="START UP II"/>
    <s v="DISPOSIÇÃO DE REJEITOS LINHA DO CIRCUITO ARENOSO DISTRIBUIDOR DI-145A-9912 PARA A PENEIRA PN-145A-9702"/>
    <m/>
    <m/>
    <m/>
    <s v="1450AA-T-70382_FL10"/>
    <n v="1"/>
    <s v="PÇ"/>
    <n v="0.42299999999999999"/>
    <n v="0.42299999999999999"/>
    <n v="1651.88"/>
    <n v="698.74524000000008"/>
    <n v="0"/>
    <n v="0.9"/>
    <n v="0.1"/>
    <m/>
    <m/>
    <m/>
    <n v="0"/>
    <m/>
    <n v="0"/>
    <n v="0.42299999999999999"/>
    <m/>
    <n v="0.4"/>
    <n v="0.5"/>
    <n v="0.1"/>
    <m/>
    <m/>
    <m/>
    <n v="0"/>
    <n v="0"/>
    <n v="0"/>
    <n v="698.74524000000008"/>
    <m/>
    <m/>
  </r>
  <r>
    <s v="2.4.3.1.2"/>
    <s v="CMS M.60.10.000"/>
    <s v="TUBULAÇÃO"/>
    <n v="4"/>
    <s v="CURVA"/>
    <n v="8"/>
    <s v="NÃO"/>
    <s v="NÃO"/>
    <s v="NÃO"/>
    <s v="145A-PG-8¨-L1H-904"/>
    <s v="START UP II"/>
    <s v="DISPOSIÇÃO DE REJEITOS LINHA DO CIRCUITO ARENOSO DISTRIBUIDOR DI-145A-9912 PARA A PENEIRA PN-145A-9702"/>
    <m/>
    <m/>
    <m/>
    <s v="1450AA-T-70382_FL18"/>
    <n v="1"/>
    <s v="PÇ"/>
    <n v="0.32100000000000001"/>
    <n v="0.32100000000000001"/>
    <n v="1651.88"/>
    <n v="530.25348000000008"/>
    <n v="0"/>
    <n v="0.9"/>
    <n v="0.1"/>
    <m/>
    <m/>
    <m/>
    <n v="0"/>
    <m/>
    <n v="0"/>
    <n v="0.32100000000000001"/>
    <m/>
    <n v="0.4"/>
    <n v="0.5"/>
    <n v="0.1"/>
    <m/>
    <m/>
    <m/>
    <n v="0"/>
    <n v="0"/>
    <n v="0"/>
    <n v="530.25348000000008"/>
    <m/>
    <m/>
  </r>
  <r>
    <s v="2.4.3.1.2"/>
    <s v="CMS M.60.10.000"/>
    <s v="TUBULAÇÃO"/>
    <n v="5"/>
    <s v="SPOOL"/>
    <n v="8"/>
    <s v="SIM"/>
    <s v="NÃO"/>
    <s v="NÃO"/>
    <s v="145A-PG-8¨-L1H-904"/>
    <s v="START UP II"/>
    <s v="DISPOSIÇÃO DE REJEITOS LINHA DO CIRCUITO ARENOSO DISTRIBUIDOR DI-145A-9912 PARA A PENEIRA PN-145A-9702"/>
    <m/>
    <m/>
    <m/>
    <s v="1450AA-T-70382_FL16"/>
    <n v="1"/>
    <s v="PÇ"/>
    <n v="0.46"/>
    <n v="0.46"/>
    <n v="1651.88"/>
    <n v="759.86480000000006"/>
    <n v="0"/>
    <n v="0.9"/>
    <n v="0.1"/>
    <m/>
    <m/>
    <m/>
    <n v="0"/>
    <m/>
    <n v="0"/>
    <n v="0.46"/>
    <m/>
    <n v="0.4"/>
    <n v="0.5"/>
    <n v="0.1"/>
    <m/>
    <m/>
    <m/>
    <n v="0"/>
    <n v="0"/>
    <n v="0"/>
    <n v="759.86480000000006"/>
    <m/>
    <m/>
  </r>
  <r>
    <s v="2.4.3.1.2"/>
    <s v="CMS M.60.10.000"/>
    <s v="TUBULAÇÃO"/>
    <n v="6"/>
    <s v="SPOOL"/>
    <n v="8"/>
    <s v="NÃO"/>
    <s v="NÃO"/>
    <s v="NÃO"/>
    <s v="145A-PG-8¨-L1H-904"/>
    <s v="START UP II"/>
    <s v="DISPOSIÇÃO DE REJEITOS LINHA DO CIRCUITO ARENOSO DISTRIBUIDOR DI-145A-9912 PARA A PENEIRA PN-145A-9702"/>
    <m/>
    <m/>
    <m/>
    <s v="1450AA-T-70382_FL15"/>
    <n v="1"/>
    <s v="PÇ"/>
    <n v="6"/>
    <n v="6"/>
    <n v="1651.88"/>
    <n v="9911.2800000000007"/>
    <n v="0"/>
    <n v="0.9"/>
    <n v="0.1"/>
    <m/>
    <m/>
    <m/>
    <n v="0"/>
    <m/>
    <n v="0"/>
    <n v="6"/>
    <m/>
    <n v="0.4"/>
    <n v="0.5"/>
    <n v="0.1"/>
    <m/>
    <m/>
    <m/>
    <n v="0"/>
    <n v="0"/>
    <n v="0"/>
    <n v="9911.2800000000007"/>
    <m/>
    <m/>
  </r>
  <r>
    <s v="2.4.3.1.2"/>
    <s v="CMS M.60.10.000"/>
    <s v="TUBULAÇÃO"/>
    <n v="7"/>
    <s v="SPOOL"/>
    <n v="8"/>
    <s v="NÃO"/>
    <s v="NÃO"/>
    <s v="NÃO"/>
    <s v="145A-PG-8¨-L1H-904"/>
    <s v="START UP II"/>
    <s v="DISPOSIÇÃO DE REJEITOS LINHA DO CIRCUITO ARENOSO DISTRIBUIDOR DI-145A-9912 PARA A PENEIRA PN-145A-9702"/>
    <m/>
    <m/>
    <m/>
    <s v="1450AA-T-70382_FL13"/>
    <n v="1"/>
    <s v="PÇ"/>
    <n v="1.5"/>
    <n v="1.5"/>
    <n v="1651.88"/>
    <n v="2477.8200000000002"/>
    <n v="0"/>
    <n v="0.9"/>
    <n v="0.1"/>
    <m/>
    <m/>
    <m/>
    <n v="0"/>
    <m/>
    <n v="0"/>
    <n v="1.5"/>
    <m/>
    <n v="0.4"/>
    <n v="0.5"/>
    <n v="0.1"/>
    <m/>
    <m/>
    <m/>
    <n v="0"/>
    <n v="0"/>
    <n v="0"/>
    <n v="2477.8200000000002"/>
    <m/>
    <m/>
  </r>
  <r>
    <s v="2.4.3.1.2"/>
    <s v="CMS M.60.10.000"/>
    <s v="TUBULAÇÃO"/>
    <n v="8"/>
    <s v="SPOOL"/>
    <n v="8"/>
    <s v="NÃO"/>
    <s v="NÃO"/>
    <s v="NÃO"/>
    <s v="145A-PG-8¨-L1H-904"/>
    <s v="START UP II"/>
    <s v="DISPOSIÇÃO DE REJEITOS LINHA DO CIRCUITO ARENOSO DISTRIBUIDOR DI-145A-9912 PARA A PENEIRA PN-145A-9702"/>
    <m/>
    <m/>
    <m/>
    <s v="1450AA-T-70382_FL14"/>
    <n v="1"/>
    <s v="PÇ"/>
    <n v="3"/>
    <n v="3"/>
    <n v="1651.88"/>
    <n v="4955.6400000000003"/>
    <n v="0"/>
    <n v="0.9"/>
    <n v="0.1"/>
    <m/>
    <m/>
    <m/>
    <n v="0"/>
    <m/>
    <n v="0"/>
    <n v="3"/>
    <m/>
    <n v="0.4"/>
    <n v="0.5"/>
    <n v="0.1"/>
    <m/>
    <m/>
    <m/>
    <n v="0"/>
    <n v="0"/>
    <n v="0"/>
    <n v="4955.6400000000003"/>
    <m/>
    <m/>
  </r>
  <r>
    <s v="2.4.3.1.2"/>
    <s v="CMS M.60.10.000"/>
    <s v="TUBULAÇÃO"/>
    <n v="9"/>
    <s v="SPOOL"/>
    <n v="8"/>
    <s v="SIM"/>
    <s v="NÃO"/>
    <s v="NÃO"/>
    <s v="145A-PG-8¨-L1H-904"/>
    <s v="START UP II"/>
    <s v="DISPOSIÇÃO DE REJEITOS LINHA DO CIRCUITO ARENOSO DISTRIBUIDOR DI-145A-9912 PARA A PENEIRA PN-145A-9702"/>
    <m/>
    <m/>
    <m/>
    <s v="1450AA-T-70382_FL17"/>
    <n v="1"/>
    <s v="PÇ"/>
    <n v="0.65"/>
    <n v="0.65"/>
    <n v="1651.88"/>
    <n v="1073.7220000000002"/>
    <n v="0"/>
    <n v="0.9"/>
    <n v="0.1"/>
    <m/>
    <m/>
    <m/>
    <n v="0"/>
    <m/>
    <n v="0"/>
    <n v="0.65"/>
    <m/>
    <n v="0.4"/>
    <n v="0.5"/>
    <n v="0.1"/>
    <m/>
    <m/>
    <m/>
    <n v="0"/>
    <n v="0"/>
    <n v="0"/>
    <n v="1073.7220000000002"/>
    <m/>
    <m/>
  </r>
  <r>
    <s v="2.4.3.1.2"/>
    <s v="CMS M.60.10.000"/>
    <s v="TUBULAÇÃO"/>
    <n v="10"/>
    <s v="CURVA"/>
    <n v="8"/>
    <s v="NÃO"/>
    <s v="NÃO"/>
    <s v="NÃO"/>
    <s v="145A-PG-8¨-L1H-904"/>
    <s v="START UP II"/>
    <s v="DISPOSIÇÃO DE REJEITOS LINHA DO CIRCUITO ARENOSO DISTRIBUIDOR DI-145A-9912 PARA A PENEIRA PN-145A-9702"/>
    <m/>
    <m/>
    <m/>
    <s v="1450AA-T-70382_FL19"/>
    <n v="1"/>
    <s v="PÇ"/>
    <n v="0.54200000000000004"/>
    <n v="0.54200000000000004"/>
    <n v="1651.88"/>
    <n v="895.31896000000017"/>
    <n v="0"/>
    <n v="0.9"/>
    <n v="0.1"/>
    <m/>
    <m/>
    <m/>
    <n v="0"/>
    <m/>
    <n v="0"/>
    <n v="0.54200000000000004"/>
    <m/>
    <n v="0.4"/>
    <n v="0.5"/>
    <n v="0.1"/>
    <m/>
    <m/>
    <m/>
    <n v="0"/>
    <n v="0"/>
    <n v="0"/>
    <n v="895.31896000000017"/>
    <m/>
    <m/>
  </r>
  <r>
    <s v="2.4.3.1.2"/>
    <s v="CMS M.60.10.000"/>
    <s v="TUBULAÇÃO"/>
    <n v="11"/>
    <s v="SPOOL"/>
    <n v="8"/>
    <s v="NÃO"/>
    <s v="NÃO"/>
    <s v="NÃO"/>
    <s v="145A-PG-8¨-L1H-904"/>
    <s v="START UP II"/>
    <s v="DISPOSIÇÃO DE REJEITOS LINHA DO CIRCUITO ARENOSO DISTRIBUIDOR DI-145A-9912 PARA A PENEIRA PN-145A-9702"/>
    <m/>
    <m/>
    <m/>
    <s v="1450AA-T-70382_FL11"/>
    <n v="1"/>
    <s v="PÇ"/>
    <n v="0.81599999999999995"/>
    <n v="0.81599999999999995"/>
    <n v="1651.88"/>
    <n v="1347.93408"/>
    <n v="0"/>
    <n v="0.9"/>
    <n v="0.1"/>
    <m/>
    <m/>
    <m/>
    <n v="0"/>
    <m/>
    <n v="0"/>
    <n v="0.81599999999999995"/>
    <m/>
    <n v="0.4"/>
    <n v="0.5"/>
    <n v="0.1"/>
    <m/>
    <m/>
    <m/>
    <n v="0"/>
    <n v="0"/>
    <n v="0"/>
    <n v="1347.93408"/>
    <m/>
    <m/>
  </r>
  <r>
    <s v="2.4.3.1.2"/>
    <s v="CMS M.60.10.000"/>
    <s v="TUBULAÇÃO"/>
    <n v="12"/>
    <s v="CURVA"/>
    <n v="8"/>
    <s v="NÃO"/>
    <s v="NÃO"/>
    <s v="NÃO"/>
    <s v="145A-PG-8¨-L1H-904"/>
    <s v="START UP II"/>
    <s v="DISPOSIÇÃO DE REJEITOS LINHA DO CIRCUITO ARENOSO DISTRIBUIDOR DI-145A-9912 PARA A PENEIRA PN-145A-9702"/>
    <m/>
    <m/>
    <m/>
    <s v="1450AA-T-70382_FL21"/>
    <n v="1"/>
    <s v="PÇ"/>
    <n v="0.63800000000000001"/>
    <n v="0.63800000000000001"/>
    <n v="1651.88"/>
    <n v="1053.8994400000001"/>
    <n v="0"/>
    <n v="0.9"/>
    <n v="0.1"/>
    <m/>
    <m/>
    <m/>
    <n v="0"/>
    <m/>
    <n v="0"/>
    <n v="0.63800000000000001"/>
    <m/>
    <n v="0.4"/>
    <n v="0.5"/>
    <n v="0.1"/>
    <m/>
    <m/>
    <m/>
    <n v="0"/>
    <n v="0"/>
    <n v="0"/>
    <n v="1053.8994400000001"/>
    <m/>
    <m/>
  </r>
  <r>
    <s v="2.4.3.1.2"/>
    <s v="CMS M.60.10.000"/>
    <s v="TUBULAÇÃO"/>
    <n v="13"/>
    <s v="SPOOL"/>
    <n v="8"/>
    <s v="NÃO"/>
    <s v="NÃO"/>
    <s v="NÃO"/>
    <s v="145A-PG-8¨-L1H-904"/>
    <s v="START UP II"/>
    <s v="DISPOSIÇÃO DE REJEITOS LINHA DO CIRCUITO ARENOSO DISTRIBUIDOR DI-145A-9912 PARA A PENEIRA PN-145A-9702"/>
    <m/>
    <m/>
    <m/>
    <s v="1450AA-T-70382_FL12"/>
    <n v="1"/>
    <s v="PÇ"/>
    <n v="1.34"/>
    <n v="1.34"/>
    <n v="1651.88"/>
    <n v="2213.5192000000002"/>
    <n v="0"/>
    <n v="0.9"/>
    <n v="0.1"/>
    <m/>
    <m/>
    <m/>
    <n v="0"/>
    <m/>
    <n v="0"/>
    <n v="1.34"/>
    <m/>
    <n v="0.4"/>
    <n v="0.5"/>
    <n v="0.1"/>
    <m/>
    <m/>
    <m/>
    <n v="0"/>
    <n v="0"/>
    <n v="0"/>
    <n v="2213.5192000000002"/>
    <m/>
    <m/>
  </r>
  <r>
    <s v="2.4.3.1.2"/>
    <s v="CMS M.60.10.000"/>
    <s v="TUBULAÇÃO"/>
    <n v="14"/>
    <s v="SPOOL"/>
    <n v="8"/>
    <s v="NÃO"/>
    <s v="NÃO"/>
    <s v="NÃO"/>
    <s v="145A-PG-8¨-L1H-904"/>
    <s v="START UP II"/>
    <s v="DISPOSIÇÃO DE REJEITOS LINHA DO CIRCUITO ARENOSO DISTRIBUIDOR DI-145A-9912 PARA A PENEIRA PN-145A-9702"/>
    <m/>
    <m/>
    <m/>
    <s v="1450AA-T-70382_FL22"/>
    <n v="1"/>
    <s v="PÇ"/>
    <n v="0.96"/>
    <n v="0.96"/>
    <n v="1651.88"/>
    <n v="1585.8048000000001"/>
    <n v="0"/>
    <n v="0.9"/>
    <n v="0.1"/>
    <m/>
    <m/>
    <m/>
    <n v="0"/>
    <m/>
    <n v="0"/>
    <n v="0.96"/>
    <m/>
    <n v="0.4"/>
    <n v="0.5"/>
    <n v="0.1"/>
    <m/>
    <m/>
    <m/>
    <n v="0"/>
    <n v="0"/>
    <n v="0"/>
    <n v="1585.8048000000001"/>
    <m/>
    <m/>
  </r>
  <r>
    <s v="2.4.3.1.1"/>
    <s v="CMS M.60.10.000"/>
    <s v="TUBULAÇÃO"/>
    <n v="15"/>
    <s v="SPOOL"/>
    <s v="8 X 6"/>
    <s v="NÃO"/>
    <s v="NÃO"/>
    <s v="NÃO"/>
    <s v="145A-PG-8¨-L1H-904"/>
    <s v="START UP II"/>
    <s v="DISPOSIÇÃO DE REJEITOS LINHA DO CIRCUITO ARENOSO DISTRIBUIDOR DI-145A-9912 PARA A PENEIRA PN-145A-9702"/>
    <m/>
    <m/>
    <m/>
    <s v="1450AA-T-70382_FL23"/>
    <n v="1"/>
    <s v="PÇ"/>
    <n v="2.113"/>
    <n v="2.113"/>
    <n v="1169.77"/>
    <n v="2471.7240099999999"/>
    <n v="0"/>
    <n v="0.9"/>
    <n v="0.1"/>
    <m/>
    <m/>
    <m/>
    <n v="0"/>
    <m/>
    <n v="0"/>
    <n v="2.113"/>
    <m/>
    <n v="0.4"/>
    <n v="0.5"/>
    <n v="0.1"/>
    <m/>
    <m/>
    <m/>
    <n v="0"/>
    <n v="0"/>
    <n v="0"/>
    <n v="2471.7240099999999"/>
    <m/>
    <m/>
  </r>
  <r>
    <s v="2.4.3.1.1"/>
    <s v="CMS M.60.10.000"/>
    <s v="TUBULAÇÃO"/>
    <n v="16"/>
    <s v="FLANGE"/>
    <n v="6"/>
    <s v="NÃO"/>
    <s v="NÃO"/>
    <s v="NÃO"/>
    <s v="145A-PG-8¨-L1H-904"/>
    <s v="START UP II"/>
    <s v="DISPOSIÇÃO DE REJEITOS LINHA DO CIRCUITO ARENOSO DISTRIBUIDOR DI-145A-9912 PARA A PENEIRA PN-145A-9702"/>
    <m/>
    <m/>
    <m/>
    <s v="1450AA-T-70382_FL08"/>
    <n v="2"/>
    <s v="PÇ"/>
    <n v="0"/>
    <n v="0"/>
    <n v="1169.77"/>
    <n v="0"/>
    <n v="0"/>
    <n v="0.9"/>
    <n v="0.1"/>
    <m/>
    <m/>
    <m/>
    <n v="0"/>
    <m/>
    <n v="0"/>
    <n v="0"/>
    <m/>
    <n v="0.4"/>
    <n v="0.5"/>
    <n v="0.1"/>
    <m/>
    <m/>
    <m/>
    <n v="0"/>
    <n v="0"/>
    <n v="0"/>
    <n v="0"/>
    <m/>
    <m/>
  </r>
  <r>
    <s v="2.4.3.1.2"/>
    <s v="CMS M.60.10.000"/>
    <s v="TUBULAÇÃO"/>
    <n v="1"/>
    <s v="SPOOL"/>
    <n v="8"/>
    <s v="NÃO"/>
    <s v="NÃO"/>
    <s v="NÃO"/>
    <s v="145A-PG-8¨-L1H-905"/>
    <s v="START UP II"/>
    <s v="DISPOSIÇÃO DE REJEITOS LINHA DO CIRCUITO ARENOSO DISTRIBUIDOR DI-145A-9912 PARA A PENEIRA PN-145A-9722"/>
    <m/>
    <m/>
    <m/>
    <s v="1450AA-T-70384_FL06"/>
    <n v="1"/>
    <s v="PÇ"/>
    <n v="0.14899999999999999"/>
    <n v="0.14899999999999999"/>
    <n v="1651.88"/>
    <n v="246.13012000000001"/>
    <n v="0"/>
    <n v="0.9"/>
    <n v="0.1"/>
    <m/>
    <m/>
    <m/>
    <n v="0"/>
    <m/>
    <n v="0"/>
    <n v="0.14899999999999999"/>
    <m/>
    <n v="0.4"/>
    <n v="0.5"/>
    <n v="0.1"/>
    <m/>
    <m/>
    <m/>
    <n v="0"/>
    <n v="0"/>
    <n v="0"/>
    <n v="246.13012000000001"/>
    <m/>
    <m/>
  </r>
  <r>
    <s v="2.4.3.1.2"/>
    <s v="CMS M.60.10.000"/>
    <s v="TUBULAÇÃO"/>
    <n v="2"/>
    <s v="CURVA"/>
    <n v="8"/>
    <s v="NÃO"/>
    <s v="NÃO"/>
    <s v="NÃO"/>
    <s v="145A-PG-8¨-L1H-905"/>
    <s v="START UP II"/>
    <s v="DISPOSIÇÃO DE REJEITOS LINHA DO CIRCUITO ARENOSO DISTRIBUIDOR DI-145A-9912 PARA A PENEIRA PN-145A-9722"/>
    <m/>
    <m/>
    <m/>
    <s v="1450AA-T-70384_FL14"/>
    <n v="1"/>
    <s v="PÇ"/>
    <n v="0.33200000000000002"/>
    <n v="0.33200000000000002"/>
    <n v="1651.88"/>
    <n v="548.42416000000003"/>
    <n v="0"/>
    <n v="0.9"/>
    <n v="0.1"/>
    <m/>
    <m/>
    <m/>
    <n v="0"/>
    <m/>
    <n v="0"/>
    <n v="0.33200000000000002"/>
    <m/>
    <n v="0.4"/>
    <n v="0.5"/>
    <n v="0.1"/>
    <m/>
    <m/>
    <m/>
    <n v="0"/>
    <n v="0"/>
    <n v="0"/>
    <n v="548.42416000000003"/>
    <m/>
    <m/>
  </r>
  <r>
    <s v="2.4.3.1.2"/>
    <s v="CMS M.60.10.000"/>
    <s v="TUBULAÇÃO"/>
    <n v="3"/>
    <s v="SPOOL"/>
    <n v="8"/>
    <s v="NÃO"/>
    <s v="NÃO"/>
    <s v="NÃO"/>
    <s v="145A-PG-8¨-L1H-905"/>
    <s v="START UP II"/>
    <s v="DISPOSIÇÃO DE REJEITOS LINHA DO CIRCUITO ARENOSO DISTRIBUIDOR DI-145A-9912 PARA A PENEIRA PN-145A-9722"/>
    <m/>
    <m/>
    <m/>
    <s v="1450AA-T-70384_FL08"/>
    <n v="1"/>
    <s v="PÇ"/>
    <n v="0.30399999999999999"/>
    <n v="0.30399999999999999"/>
    <n v="1651.88"/>
    <n v="502.17152000000004"/>
    <n v="0"/>
    <n v="0.9"/>
    <n v="0.1"/>
    <m/>
    <m/>
    <m/>
    <n v="0"/>
    <m/>
    <n v="0"/>
    <n v="0.30399999999999999"/>
    <m/>
    <n v="0.4"/>
    <n v="0.5"/>
    <n v="0.1"/>
    <m/>
    <m/>
    <m/>
    <n v="0"/>
    <n v="0"/>
    <n v="0"/>
    <n v="502.17152000000004"/>
    <m/>
    <m/>
  </r>
  <r>
    <s v="2.4.3.1.2"/>
    <s v="CMS M.60.10.000"/>
    <s v="TUBULAÇÃO"/>
    <n v="4"/>
    <s v="CURVA"/>
    <n v="8"/>
    <s v="NÃO"/>
    <s v="NÃO"/>
    <s v="NÃO"/>
    <s v="145A-PG-8¨-L1H-905"/>
    <s v="START UP II"/>
    <s v="DISPOSIÇÃO DE REJEITOS LINHA DO CIRCUITO ARENOSO DISTRIBUIDOR DI-145A-9912 PARA A PENEIRA PN-145A-9722"/>
    <m/>
    <m/>
    <m/>
    <s v="1450AA-T-70384_FL13"/>
    <n v="1"/>
    <s v="PÇ"/>
    <n v="0.33200000000000002"/>
    <n v="0.33200000000000002"/>
    <n v="1651.88"/>
    <n v="548.42416000000003"/>
    <n v="0"/>
    <n v="0.9"/>
    <n v="0.1"/>
    <m/>
    <m/>
    <m/>
    <n v="0"/>
    <m/>
    <n v="0"/>
    <n v="0.33200000000000002"/>
    <m/>
    <n v="0.4"/>
    <n v="0.5"/>
    <n v="0.1"/>
    <m/>
    <m/>
    <m/>
    <n v="0"/>
    <n v="0"/>
    <n v="0"/>
    <n v="548.42416000000003"/>
    <m/>
    <m/>
  </r>
  <r>
    <s v="2.4.3.1.2"/>
    <s v="CMS M.60.10.000"/>
    <s v="TUBULAÇÃO"/>
    <n v="5"/>
    <s v="SPOOL"/>
    <n v="8"/>
    <s v="SIM"/>
    <s v="NÃO"/>
    <s v="NÃO"/>
    <s v="145A-PG-8¨-L1H-905"/>
    <s v="START UP II"/>
    <s v="DISPOSIÇÃO DE REJEITOS LINHA DO CIRCUITO ARENOSO DISTRIBUIDOR DI-145A-9912 PARA A PENEIRA PN-145A-9722"/>
    <m/>
    <m/>
    <m/>
    <s v="1450AA-T-70384_FL11"/>
    <n v="1"/>
    <s v="PÇ"/>
    <n v="0.34499999999999997"/>
    <n v="0.34499999999999997"/>
    <n v="1651.88"/>
    <n v="569.89859999999999"/>
    <n v="0"/>
    <n v="0.9"/>
    <n v="0.1"/>
    <m/>
    <m/>
    <m/>
    <n v="0"/>
    <m/>
    <n v="0"/>
    <n v="0.34499999999999997"/>
    <m/>
    <n v="0.4"/>
    <n v="0.5"/>
    <n v="0.1"/>
    <m/>
    <m/>
    <m/>
    <n v="0"/>
    <n v="0"/>
    <n v="0"/>
    <n v="569.89859999999999"/>
    <m/>
    <m/>
  </r>
  <r>
    <s v="2.4.3.1.2"/>
    <s v="CMS M.60.10.000"/>
    <s v="TUBULAÇÃO"/>
    <n v="6"/>
    <s v="SPOOL"/>
    <n v="8"/>
    <s v="NÃO"/>
    <s v="NÃO"/>
    <s v="NÃO"/>
    <s v="145A-PG-8¨-L1H-905"/>
    <s v="START UP II"/>
    <s v="DISPOSIÇÃO DE REJEITOS LINHA DO CIRCUITO ARENOSO DISTRIBUIDOR DI-145A-9912 PARA A PENEIRA PN-145A-9722"/>
    <m/>
    <m/>
    <m/>
    <s v="1450AA-T-70384_FL10"/>
    <n v="1"/>
    <s v="PÇ"/>
    <n v="3.7"/>
    <n v="3.7"/>
    <n v="1651.88"/>
    <n v="6111.956000000001"/>
    <n v="0"/>
    <n v="0.9"/>
    <n v="0.1"/>
    <m/>
    <m/>
    <m/>
    <n v="0"/>
    <m/>
    <n v="0"/>
    <n v="3.7"/>
    <m/>
    <n v="0.4"/>
    <n v="0.5"/>
    <n v="0.1"/>
    <m/>
    <m/>
    <m/>
    <n v="0"/>
    <n v="0"/>
    <n v="0"/>
    <n v="6111.956000000001"/>
    <m/>
    <m/>
  </r>
  <r>
    <s v="2.4.3.1.2"/>
    <s v="CMS M.60.10.000"/>
    <s v="TUBULAÇÃO"/>
    <n v="7"/>
    <s v="CURVA"/>
    <n v="8"/>
    <s v="NÃO"/>
    <s v="NÃO"/>
    <s v="NÃO"/>
    <s v="145A-PG-8¨-L1H-905"/>
    <s v="START UP II"/>
    <s v="DISPOSIÇÃO DE REJEITOS LINHA DO CIRCUITO ARENOSO DISTRIBUIDOR DI-145A-9912 PARA A PENEIRA PN-145A-9722"/>
    <m/>
    <m/>
    <m/>
    <s v="1450AA-T-70384_FL15"/>
    <n v="2"/>
    <s v="PÇ"/>
    <n v="0.61099999999999999"/>
    <n v="1.222"/>
    <n v="1651.88"/>
    <n v="2018.59736"/>
    <n v="0"/>
    <n v="0.9"/>
    <n v="0.1"/>
    <m/>
    <m/>
    <m/>
    <n v="0"/>
    <m/>
    <n v="0"/>
    <n v="1.222"/>
    <m/>
    <n v="0.4"/>
    <n v="0.5"/>
    <n v="0.1"/>
    <m/>
    <m/>
    <m/>
    <n v="0"/>
    <n v="0"/>
    <n v="0"/>
    <n v="2018.59736"/>
    <m/>
    <m/>
  </r>
  <r>
    <s v="2.4.3.1.2"/>
    <s v="CMS M.60.10.000"/>
    <s v="TUBULAÇÃO"/>
    <n v="8"/>
    <s v="SPOOL"/>
    <n v="8"/>
    <s v="NÃO"/>
    <s v="NÃO"/>
    <s v="NÃO"/>
    <s v="145A-PG-8¨-L1H-905"/>
    <s v="START UP II"/>
    <s v="DISPOSIÇÃO DE REJEITOS LINHA DO CIRCUITO ARENOSO DISTRIBUIDOR DI-145A-9912 PARA A PENEIRA PN-145A-9722"/>
    <m/>
    <m/>
    <m/>
    <s v="1450AA-T-70384_FL07"/>
    <n v="1"/>
    <s v="PÇ"/>
    <n v="0.19400000000000001"/>
    <n v="0.19400000000000001"/>
    <n v="1651.88"/>
    <n v="320.46472000000006"/>
    <n v="0"/>
    <n v="0.9"/>
    <n v="0.1"/>
    <m/>
    <m/>
    <m/>
    <n v="0"/>
    <m/>
    <n v="0"/>
    <n v="0.19400000000000001"/>
    <m/>
    <n v="0.4"/>
    <n v="0.5"/>
    <n v="0.1"/>
    <m/>
    <m/>
    <m/>
    <n v="0"/>
    <n v="0"/>
    <n v="0"/>
    <n v="320.46472000000006"/>
    <m/>
    <m/>
  </r>
  <r>
    <s v="2.4.3.1.2"/>
    <s v="CMS M.60.10.000"/>
    <s v="TUBULAÇÃO"/>
    <n v="9"/>
    <s v="SPOOL"/>
    <n v="8"/>
    <s v="NÃO"/>
    <s v="NÃO"/>
    <s v="NÃO"/>
    <s v="145A-PG-8¨-L1H-905"/>
    <s v="START UP II"/>
    <s v="DISPOSIÇÃO DE REJEITOS LINHA DO CIRCUITO ARENOSO DISTRIBUIDOR DI-145A-9912 PARA A PENEIRA PN-145A-9722"/>
    <m/>
    <m/>
    <m/>
    <s v="1450AA-T-70384_FL09"/>
    <n v="1"/>
    <s v="PÇ"/>
    <n v="0.32500000000000001"/>
    <n v="0.32500000000000001"/>
    <n v="1651.88"/>
    <n v="536.8610000000001"/>
    <n v="0"/>
    <n v="0.9"/>
    <n v="0.1"/>
    <m/>
    <m/>
    <m/>
    <n v="0"/>
    <m/>
    <n v="0"/>
    <n v="0.32500000000000001"/>
    <m/>
    <n v="0.4"/>
    <n v="0.5"/>
    <n v="0.1"/>
    <m/>
    <m/>
    <m/>
    <n v="0"/>
    <n v="0"/>
    <n v="0"/>
    <n v="536.8610000000001"/>
    <m/>
    <m/>
  </r>
  <r>
    <s v="2.4.3.1.2"/>
    <s v="CMS M.60.10.000"/>
    <s v="TUBULAÇÃO"/>
    <n v="10"/>
    <s v="SPOOL"/>
    <n v="8"/>
    <s v="NÃO"/>
    <s v="NÃO"/>
    <s v="NÃO"/>
    <s v="145A-PG-8¨-L1H-905"/>
    <s v="START UP II"/>
    <s v="DISPOSIÇÃO DE REJEITOS LINHA DO CIRCUITO ARENOSO DISTRIBUIDOR DI-145A-9912 PARA A PENEIRA PN-145A-9722"/>
    <m/>
    <m/>
    <m/>
    <s v="1450AA-T-70384_FL16"/>
    <n v="1"/>
    <s v="PÇ"/>
    <n v="1.01"/>
    <n v="1.01"/>
    <n v="1651.88"/>
    <n v="1668.3988000000002"/>
    <n v="0"/>
    <n v="0.9"/>
    <n v="0.1"/>
    <m/>
    <m/>
    <m/>
    <n v="0"/>
    <m/>
    <n v="0"/>
    <n v="1.01"/>
    <m/>
    <n v="0.4"/>
    <n v="0.5"/>
    <n v="0.1"/>
    <m/>
    <m/>
    <m/>
    <n v="0"/>
    <n v="0"/>
    <n v="0"/>
    <n v="1668.3988000000002"/>
    <m/>
    <m/>
  </r>
  <r>
    <s v="2.4.3.1.2"/>
    <s v="CMS M.60.10.000"/>
    <s v="TUBULAÇÃO"/>
    <n v="11"/>
    <s v="SPOOL"/>
    <n v="8"/>
    <s v="SIM"/>
    <s v="NÃO"/>
    <s v="NÃO"/>
    <s v="145A-PG-8¨-L1H-905"/>
    <s v="START UP II"/>
    <s v="DISPOSIÇÃO DE REJEITOS LINHA DO CIRCUITO ARENOSO DISTRIBUIDOR DI-145A-9912 PARA A PENEIRA PN-145A-9722"/>
    <m/>
    <m/>
    <m/>
    <s v="1450AA-T-70384_FL12"/>
    <n v="1"/>
    <s v="PÇ"/>
    <n v="0.51"/>
    <n v="0.51"/>
    <n v="1651.88"/>
    <n v="842.45880000000011"/>
    <n v="0"/>
    <n v="0.9"/>
    <n v="0.1"/>
    <m/>
    <m/>
    <m/>
    <n v="0"/>
    <n v="0"/>
    <n v="0"/>
    <n v="0.51"/>
    <s v="X"/>
    <n v="0.4"/>
    <n v="0.5"/>
    <n v="0.1"/>
    <s v="X"/>
    <s v="X"/>
    <s v="X"/>
    <n v="0"/>
    <n v="0"/>
    <n v="0"/>
    <n v="842.45880000000011"/>
    <s v="X"/>
    <s v="X"/>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7">
  <r>
    <m/>
    <m/>
    <x v="0"/>
    <m/>
    <m/>
    <m/>
    <x v="0"/>
    <m/>
    <m/>
    <x v="0"/>
    <x v="0"/>
    <m/>
    <m/>
    <m/>
    <m/>
    <m/>
    <m/>
    <m/>
    <m/>
    <m/>
    <m/>
    <m/>
    <m/>
    <m/>
    <m/>
    <m/>
    <m/>
    <x v="0"/>
    <m/>
    <m/>
    <m/>
    <m/>
    <m/>
    <m/>
    <m/>
    <m/>
    <m/>
    <m/>
    <m/>
    <m/>
    <m/>
    <m/>
    <m/>
    <m/>
    <m/>
  </r>
  <r>
    <n v="0"/>
    <s v="CMS S.60.10.000"/>
    <x v="1"/>
    <m/>
    <m/>
    <m/>
    <x v="0"/>
    <m/>
    <m/>
    <x v="0"/>
    <x v="0"/>
    <s v="LINHA DO CIRCUITO ARENOSO LINHA DE ALIMENTAÇÃO DOS DISTRIBUIDORES DI-145A-9912/9913/9914/9915/9916"/>
    <s v="SC-006"/>
    <s v="SP 8440 A"/>
    <s v="1450AA-L-70109"/>
    <s v="1450AA-S-58040"/>
    <n v="1"/>
    <s v="PÇ"/>
    <n v="76.3"/>
    <n v="76.3"/>
    <n v="0"/>
    <n v="0"/>
    <n v="0"/>
    <n v="0.9"/>
    <n v="0.1"/>
    <m/>
    <m/>
    <x v="0"/>
    <n v="0"/>
    <m/>
    <n v="0"/>
    <n v="76.3"/>
    <m/>
    <n v="0"/>
    <n v="0"/>
    <n v="0"/>
    <m/>
    <m/>
    <m/>
    <n v="0"/>
    <n v="0"/>
    <n v="0"/>
    <n v="0"/>
    <m/>
    <m/>
  </r>
  <r>
    <n v="0"/>
    <s v="CMS S.60.10.000"/>
    <x v="1"/>
    <m/>
    <m/>
    <m/>
    <x v="0"/>
    <m/>
    <m/>
    <x v="0"/>
    <x v="0"/>
    <s v="LINHA DO CIRCUITO ARENOSO LINHA DE ALIMENTAÇÃO DOS DISTRIBUIDORES DI-145A-9912/9913/9914/9915/9916"/>
    <s v="SC-006"/>
    <s v="SP 8440 B"/>
    <s v="1450AA-L-70109"/>
    <s v="1450AA-S-58040"/>
    <n v="1"/>
    <s v="PÇ"/>
    <n v="86.2"/>
    <n v="86.2"/>
    <n v="0"/>
    <n v="0"/>
    <n v="0"/>
    <n v="0.9"/>
    <n v="0.1"/>
    <m/>
    <m/>
    <x v="0"/>
    <n v="0"/>
    <m/>
    <n v="0"/>
    <n v="86.2"/>
    <m/>
    <n v="0"/>
    <n v="0"/>
    <n v="0"/>
    <m/>
    <m/>
    <m/>
    <n v="0"/>
    <n v="0"/>
    <n v="0"/>
    <n v="0"/>
    <m/>
    <m/>
  </r>
  <r>
    <n v="0"/>
    <s v="CMS S.60.10.000"/>
    <x v="1"/>
    <m/>
    <m/>
    <m/>
    <x v="0"/>
    <m/>
    <m/>
    <x v="0"/>
    <x v="0"/>
    <s v="LINHA DO CIRCUITO ARENOSO LINHA DE ALIMENTAÇÃO DOS DISTRIBUIDORES DI-145A-9912/9913/9914/9915/9916"/>
    <s v="SC-006"/>
    <s v="SP 8440 C"/>
    <s v="1450AA-L-70109"/>
    <s v="1450AA-S-58040"/>
    <n v="1"/>
    <s v="PÇ"/>
    <n v="88.2"/>
    <n v="88.2"/>
    <n v="0"/>
    <n v="0"/>
    <n v="0"/>
    <n v="0.9"/>
    <n v="0.1"/>
    <m/>
    <m/>
    <x v="0"/>
    <n v="0"/>
    <m/>
    <n v="0"/>
    <n v="88.2"/>
    <m/>
    <n v="0"/>
    <n v="0"/>
    <n v="0"/>
    <m/>
    <m/>
    <m/>
    <n v="0"/>
    <n v="0"/>
    <n v="0"/>
    <n v="0"/>
    <m/>
    <m/>
  </r>
  <r>
    <n v="0"/>
    <s v="CMS S.60.10.000"/>
    <x v="1"/>
    <m/>
    <m/>
    <m/>
    <x v="0"/>
    <m/>
    <m/>
    <x v="0"/>
    <x v="0"/>
    <s v="LINHA DO CIRCUITO ARENOSO LINHA DE ALIMENTAÇÃO DOS DISTRIBUIDORES DI-145A-9912/9913/9914/9915/9916"/>
    <s v="SC-006"/>
    <s v="SP 8440 D"/>
    <s v="1450AA-L-70109"/>
    <s v="1450AA-S-58040"/>
    <n v="1"/>
    <s v="PÇ"/>
    <n v="88.2"/>
    <n v="88.2"/>
    <n v="0"/>
    <n v="0"/>
    <n v="0"/>
    <n v="0.9"/>
    <n v="0.1"/>
    <m/>
    <m/>
    <x v="0"/>
    <n v="0"/>
    <m/>
    <n v="0"/>
    <n v="88.2"/>
    <m/>
    <n v="0"/>
    <n v="0"/>
    <n v="0"/>
    <m/>
    <m/>
    <m/>
    <n v="0"/>
    <n v="0"/>
    <n v="0"/>
    <n v="0"/>
    <m/>
    <m/>
  </r>
  <r>
    <n v="0"/>
    <s v="CMS S.60.10.000"/>
    <x v="1"/>
    <m/>
    <m/>
    <m/>
    <x v="0"/>
    <m/>
    <m/>
    <x v="0"/>
    <x v="0"/>
    <s v="LINHA DO CIRCUITO ARENOSO LINHA DE ALIMENTAÇÃO DOS DISTRIBUIDORES DI-145A-9912/9913/9914/9915/9916"/>
    <s v="SC-006"/>
    <s v="SP 8440 E"/>
    <s v="1450AA-L-70109"/>
    <s v="1450AA-S-58040"/>
    <n v="1"/>
    <s v="PÇ"/>
    <n v="122.1"/>
    <n v="122.1"/>
    <n v="0"/>
    <n v="0"/>
    <n v="0"/>
    <n v="0.9"/>
    <n v="0.1"/>
    <m/>
    <m/>
    <x v="0"/>
    <n v="0"/>
    <m/>
    <n v="0"/>
    <n v="122.1"/>
    <m/>
    <n v="0"/>
    <n v="0"/>
    <n v="0"/>
    <m/>
    <m/>
    <m/>
    <n v="0"/>
    <n v="0"/>
    <n v="0"/>
    <n v="0"/>
    <m/>
    <m/>
  </r>
  <r>
    <n v="0"/>
    <s v="CMS S.60.10.000"/>
    <x v="1"/>
    <m/>
    <m/>
    <m/>
    <x v="0"/>
    <m/>
    <m/>
    <x v="0"/>
    <x v="0"/>
    <s v="LINHA DO CIRCUITO ARENOSO LINHA DE ALIMENTAÇÃO DOS DISTRIBUIDORES DI-145A-9912/9913/9914/9915/9916"/>
    <s v="SC-006"/>
    <s v="SP 8440 F"/>
    <s v="1450AA-L-70109"/>
    <s v="1450AA-S-58040"/>
    <n v="5"/>
    <s v="PÇ"/>
    <n v="79.400000000000006"/>
    <n v="397"/>
    <n v="0"/>
    <n v="0"/>
    <n v="0"/>
    <n v="0.9"/>
    <n v="0.1"/>
    <m/>
    <m/>
    <x v="0"/>
    <n v="0"/>
    <m/>
    <n v="0"/>
    <n v="397"/>
    <m/>
    <n v="0"/>
    <n v="0"/>
    <n v="0"/>
    <m/>
    <m/>
    <m/>
    <n v="0"/>
    <n v="0"/>
    <n v="0"/>
    <n v="0"/>
    <m/>
    <m/>
  </r>
  <r>
    <n v="0"/>
    <s v="CMS S.60.10.000"/>
    <x v="1"/>
    <m/>
    <m/>
    <m/>
    <x v="0"/>
    <m/>
    <m/>
    <x v="0"/>
    <x v="0"/>
    <s v="LINHA DO CIRCUITO ARENOSO LINHA DE ALIMENTAÇÃO DOS DISTRIBUIDORES DI-145A-9912/9913/9914/9915/9916"/>
    <s v="SC-006"/>
    <s v="SP 8440 G"/>
    <s v="1450AA-L-70109"/>
    <s v="1450AA-S-58040"/>
    <n v="4"/>
    <s v="PÇ"/>
    <n v="82.7"/>
    <n v="330.8"/>
    <n v="0"/>
    <n v="0"/>
    <n v="0"/>
    <n v="0.9"/>
    <n v="0.1"/>
    <m/>
    <m/>
    <x v="0"/>
    <n v="0"/>
    <m/>
    <n v="0"/>
    <n v="330.8"/>
    <m/>
    <n v="0"/>
    <n v="0"/>
    <n v="0"/>
    <m/>
    <m/>
    <m/>
    <n v="0"/>
    <n v="0"/>
    <n v="0"/>
    <n v="0"/>
    <m/>
    <m/>
  </r>
  <r>
    <n v="0"/>
    <s v="CMS S.60.10.000"/>
    <x v="1"/>
    <m/>
    <m/>
    <m/>
    <x v="0"/>
    <m/>
    <m/>
    <x v="0"/>
    <x v="0"/>
    <s v="LINHA DO CIRCUITO ARENOSO LINHA DE ALIMENTAÇÃO DOS DISTRIBUIDORES DI-145A-9912/9913/9914/9915/9916"/>
    <s v="SC-006"/>
    <s v="SP 8440 H"/>
    <s v="1450AA-L-70109"/>
    <s v="1450AA-S-58040"/>
    <n v="2"/>
    <s v="PÇ"/>
    <n v="61.9"/>
    <n v="123.8"/>
    <n v="0"/>
    <n v="0"/>
    <n v="0"/>
    <n v="0.9"/>
    <n v="0.1"/>
    <m/>
    <m/>
    <x v="0"/>
    <n v="0"/>
    <m/>
    <n v="0"/>
    <n v="123.8"/>
    <m/>
    <n v="0"/>
    <n v="0"/>
    <n v="0"/>
    <m/>
    <m/>
    <m/>
    <n v="0"/>
    <n v="0"/>
    <n v="0"/>
    <n v="0"/>
    <m/>
    <m/>
  </r>
  <r>
    <n v="0"/>
    <s v="CMS S.60.10.000"/>
    <x v="1"/>
    <m/>
    <m/>
    <m/>
    <x v="0"/>
    <m/>
    <m/>
    <x v="0"/>
    <x v="0"/>
    <s v="LINHA DO CIRCUITO ARENOSO LINHA DE ALIMENTAÇÃO DOS DISTRIBUIDORES DI-145A-9912/9913/9914/9915/9916"/>
    <s v="SC-006"/>
    <s v="SP 8440 K"/>
    <s v="1450AA-L-70109"/>
    <s v="1450AA-S-58040"/>
    <n v="1"/>
    <s v="PÇ"/>
    <n v="96"/>
    <n v="96"/>
    <n v="0"/>
    <n v="0"/>
    <n v="0"/>
    <n v="0.9"/>
    <n v="0.1"/>
    <m/>
    <m/>
    <x v="0"/>
    <n v="0"/>
    <m/>
    <n v="0"/>
    <n v="96"/>
    <m/>
    <n v="0"/>
    <n v="0"/>
    <n v="0"/>
    <m/>
    <m/>
    <m/>
    <n v="0"/>
    <n v="0"/>
    <n v="0"/>
    <n v="0"/>
    <m/>
    <m/>
  </r>
  <r>
    <n v="0"/>
    <s v="CMS S.60.10.000"/>
    <x v="1"/>
    <m/>
    <m/>
    <m/>
    <x v="0"/>
    <m/>
    <m/>
    <x v="0"/>
    <x v="0"/>
    <s v="LINHA DO CIRCUITO ARENOSO LINHA DE ALIMENTAÇÃO DO DISTRIBUIDOR DI-145A-9911"/>
    <s v="SC-006"/>
    <s v="SP 8036 A"/>
    <s v="1450AA-L-70107"/>
    <s v="1450AA-S-58036"/>
    <n v="1"/>
    <s v="PÇ"/>
    <n v="47.5"/>
    <n v="47.5"/>
    <n v="0"/>
    <n v="0"/>
    <n v="0"/>
    <n v="0.9"/>
    <n v="0.1"/>
    <m/>
    <m/>
    <x v="0"/>
    <n v="0"/>
    <m/>
    <n v="0"/>
    <n v="47.5"/>
    <m/>
    <n v="0"/>
    <n v="0"/>
    <n v="0"/>
    <m/>
    <m/>
    <m/>
    <n v="0"/>
    <n v="0"/>
    <n v="0"/>
    <n v="0"/>
    <m/>
    <m/>
  </r>
  <r>
    <n v="0"/>
    <s v="CMS S.60.10.000"/>
    <x v="1"/>
    <m/>
    <m/>
    <m/>
    <x v="0"/>
    <m/>
    <m/>
    <x v="0"/>
    <x v="0"/>
    <s v="LINHA DO CIRCUITO ARENOSO LINHA DE ALIMENTAÇÃO DO DISTRIBUIDOR DI-145A-9911"/>
    <s v="SC-006"/>
    <s v="SP 8036 B"/>
    <s v="1450AA-L-70107"/>
    <s v="1450AA-S-58036"/>
    <n v="1"/>
    <s v="PÇ"/>
    <n v="46.3"/>
    <n v="46.3"/>
    <n v="0"/>
    <n v="0"/>
    <n v="0"/>
    <n v="0.9"/>
    <n v="0.1"/>
    <m/>
    <m/>
    <x v="0"/>
    <n v="0"/>
    <m/>
    <n v="0"/>
    <n v="46.3"/>
    <m/>
    <n v="0"/>
    <n v="0"/>
    <n v="0"/>
    <m/>
    <m/>
    <m/>
    <n v="0"/>
    <n v="0"/>
    <n v="0"/>
    <n v="0"/>
    <m/>
    <m/>
  </r>
  <r>
    <n v="0"/>
    <s v="CMS S.60.10.000"/>
    <x v="1"/>
    <m/>
    <m/>
    <m/>
    <x v="0"/>
    <m/>
    <m/>
    <x v="0"/>
    <x v="0"/>
    <s v="LINHA DO CIRCUITO ARENOSO LINHA DE ALIMENTAÇÃO DO DISTRIBUIDOR DI-145A-9911"/>
    <s v="SC-006"/>
    <s v="SP 8036 C"/>
    <s v="1450AA-L-70107"/>
    <s v="1450AA-S-58036"/>
    <n v="2"/>
    <s v="PÇ"/>
    <n v="27.6"/>
    <n v="55.2"/>
    <n v="0"/>
    <n v="0"/>
    <n v="0"/>
    <n v="0.9"/>
    <n v="0.1"/>
    <m/>
    <m/>
    <x v="0"/>
    <n v="0"/>
    <m/>
    <n v="0"/>
    <n v="55.2"/>
    <m/>
    <n v="0"/>
    <n v="0"/>
    <n v="0"/>
    <m/>
    <m/>
    <m/>
    <n v="0"/>
    <n v="0"/>
    <n v="0"/>
    <n v="0"/>
    <m/>
    <m/>
  </r>
  <r>
    <n v="0"/>
    <s v="CMS S.60.10.000"/>
    <x v="1"/>
    <m/>
    <m/>
    <m/>
    <x v="0"/>
    <m/>
    <m/>
    <x v="0"/>
    <x v="0"/>
    <s v="LINHA DO CIRCUITO ARENOSO LINHA DE ALIMENTAÇÃO DO DISTRIBUIDOR DI-145A-9911"/>
    <s v="SC-006"/>
    <s v="SP 8037 A"/>
    <s v="1450AA-L-70107"/>
    <s v="1450AA-S-58037"/>
    <n v="2"/>
    <s v="PÇ"/>
    <n v="69.2"/>
    <n v="138.4"/>
    <n v="0"/>
    <n v="0"/>
    <n v="0"/>
    <n v="0.9"/>
    <n v="0.1"/>
    <m/>
    <m/>
    <x v="0"/>
    <n v="0"/>
    <m/>
    <n v="0"/>
    <n v="138.4"/>
    <m/>
    <n v="0"/>
    <n v="0"/>
    <n v="0"/>
    <m/>
    <m/>
    <m/>
    <n v="0"/>
    <n v="0"/>
    <n v="0"/>
    <n v="0"/>
    <m/>
    <m/>
  </r>
  <r>
    <n v="0"/>
    <s v="CMS S.60.10.000"/>
    <x v="1"/>
    <m/>
    <m/>
    <m/>
    <x v="0"/>
    <m/>
    <m/>
    <x v="0"/>
    <x v="0"/>
    <s v="LINHA DO CIRCUITO ARENOSO LINHA DE ALIMENTAÇÃO DO DISTRIBUIDOR DI-145A-9911"/>
    <s v="SC-006"/>
    <s v="SP 8037 B"/>
    <s v="1450AA-L-70107"/>
    <s v="1450AA-S-58037"/>
    <n v="1"/>
    <s v="PÇ"/>
    <n v="14"/>
    <n v="14"/>
    <n v="0"/>
    <n v="0"/>
    <n v="0"/>
    <n v="0.9"/>
    <n v="0.1"/>
    <m/>
    <m/>
    <x v="0"/>
    <n v="0"/>
    <m/>
    <n v="0"/>
    <n v="14"/>
    <m/>
    <n v="0"/>
    <n v="0"/>
    <n v="0"/>
    <m/>
    <m/>
    <m/>
    <n v="0"/>
    <n v="0"/>
    <n v="0"/>
    <n v="0"/>
    <m/>
    <m/>
  </r>
  <r>
    <n v="0"/>
    <s v="CMS S.60.10.000"/>
    <x v="1"/>
    <m/>
    <m/>
    <m/>
    <x v="0"/>
    <m/>
    <m/>
    <x v="0"/>
    <x v="0"/>
    <s v="LINHA DO CIRCUITO ARENOSO LINHA DE ALIMENTAÇÃO DO DISTRIBUIDOR DI-145A-9911"/>
    <s v="SC-006"/>
    <s v="SP 8037 C"/>
    <s v="1450AA-L-70107"/>
    <s v="1450AA-S-58037"/>
    <n v="1"/>
    <s v="PÇ"/>
    <n v="349.4"/>
    <n v="349.4"/>
    <n v="0"/>
    <n v="0"/>
    <n v="0"/>
    <n v="0.9"/>
    <n v="0.1"/>
    <m/>
    <m/>
    <x v="0"/>
    <n v="0"/>
    <m/>
    <n v="0"/>
    <n v="349.4"/>
    <m/>
    <n v="0"/>
    <n v="0"/>
    <n v="0"/>
    <m/>
    <m/>
    <m/>
    <n v="0"/>
    <n v="0"/>
    <n v="0"/>
    <n v="0"/>
    <m/>
    <m/>
  </r>
  <r>
    <n v="0"/>
    <s v="CMS S.60.10.000"/>
    <x v="1"/>
    <m/>
    <m/>
    <m/>
    <x v="0"/>
    <m/>
    <m/>
    <x v="0"/>
    <x v="0"/>
    <s v="LINHA DO CIRCUITO ARENOSO LINHA DE ALIMENTAÇÃO DO DISTRIBUIDOR DI-145A-9911"/>
    <s v="SC-006"/>
    <s v="SP 8038 A "/>
    <s v="1450AA-L-70107"/>
    <s v="1450AA-S-58038"/>
    <n v="1"/>
    <s v="PÇ"/>
    <n v="71.599999999999994"/>
    <n v="71.599999999999994"/>
    <n v="0"/>
    <n v="0"/>
    <n v="0"/>
    <n v="0.9"/>
    <n v="0.1"/>
    <m/>
    <m/>
    <x v="0"/>
    <n v="0"/>
    <m/>
    <n v="0"/>
    <n v="71.599999999999994"/>
    <m/>
    <n v="0"/>
    <n v="0"/>
    <n v="0"/>
    <m/>
    <m/>
    <m/>
    <n v="0"/>
    <n v="0"/>
    <n v="0"/>
    <n v="0"/>
    <m/>
    <m/>
  </r>
  <r>
    <n v="0"/>
    <s v="CMS S.60.10.000"/>
    <x v="1"/>
    <m/>
    <m/>
    <m/>
    <x v="0"/>
    <m/>
    <m/>
    <x v="0"/>
    <x v="0"/>
    <s v="LINHA DO CIRCUITO ARENOSO LINHA DE ALIMENTAÇÃO DO DISTRIBUIDOR DI-145A-9911"/>
    <s v="SC-006"/>
    <s v="SP 8038 B"/>
    <s v="1450AA-L-70107"/>
    <s v="1450AA-S-58038"/>
    <n v="1"/>
    <s v="PÇ"/>
    <n v="35.799999999999997"/>
    <n v="35.799999999999997"/>
    <n v="0"/>
    <n v="0"/>
    <n v="0"/>
    <n v="0.9"/>
    <n v="0.1"/>
    <m/>
    <m/>
    <x v="0"/>
    <n v="0"/>
    <m/>
    <n v="0"/>
    <n v="35.799999999999997"/>
    <m/>
    <n v="0"/>
    <n v="0"/>
    <n v="0"/>
    <m/>
    <m/>
    <m/>
    <n v="0"/>
    <n v="0"/>
    <n v="0"/>
    <n v="0"/>
    <m/>
    <m/>
  </r>
  <r>
    <n v="0"/>
    <s v="CMS S.60.10.000"/>
    <x v="1"/>
    <m/>
    <m/>
    <m/>
    <x v="0"/>
    <m/>
    <m/>
    <x v="0"/>
    <x v="0"/>
    <s v="LINHA DO CIRCUITO ARENOSO LINHA DE ALIMENTAÇÃO DO DISTRIBUIDOR DI-145A-9911"/>
    <s v="SC-006"/>
    <s v="SP 8038 C"/>
    <s v="1450AA-L-70107"/>
    <s v="1450AA-S-58038"/>
    <n v="1"/>
    <s v="PÇ"/>
    <n v="35.700000000000003"/>
    <n v="35.700000000000003"/>
    <n v="0"/>
    <n v="0"/>
    <n v="0"/>
    <n v="0.9"/>
    <n v="0.1"/>
    <m/>
    <m/>
    <x v="0"/>
    <n v="0"/>
    <m/>
    <n v="0"/>
    <n v="35.700000000000003"/>
    <m/>
    <n v="0"/>
    <n v="0"/>
    <n v="0"/>
    <m/>
    <m/>
    <m/>
    <n v="0"/>
    <n v="0"/>
    <n v="0"/>
    <n v="0"/>
    <m/>
    <m/>
  </r>
  <r>
    <n v="0"/>
    <s v="CMS S.60.10.000"/>
    <x v="1"/>
    <m/>
    <m/>
    <m/>
    <x v="0"/>
    <m/>
    <m/>
    <x v="0"/>
    <x v="0"/>
    <s v="LINHA DO CIRCUITO ARENOSO LINHA DE ALIMENTAÇÃO DO DISTRIBUIDOR DI-145A-9911"/>
    <s v="SC-026"/>
    <s v="SP 8039 A"/>
    <s v="1450AA-L-70107"/>
    <s v="1450AA-S-58039"/>
    <n v="2"/>
    <s v="PÇ"/>
    <n v="49.1"/>
    <n v="98.2"/>
    <n v="0"/>
    <n v="0"/>
    <n v="0"/>
    <n v="0.9"/>
    <n v="0.1"/>
    <m/>
    <m/>
    <x v="0"/>
    <n v="0"/>
    <m/>
    <n v="0"/>
    <n v="98.2"/>
    <m/>
    <n v="0"/>
    <n v="0"/>
    <n v="0"/>
    <m/>
    <m/>
    <m/>
    <n v="0"/>
    <n v="0"/>
    <n v="0"/>
    <n v="0"/>
    <m/>
    <m/>
  </r>
  <r>
    <n v="0"/>
    <s v="CMS S.60.10.000"/>
    <x v="1"/>
    <m/>
    <m/>
    <m/>
    <x v="0"/>
    <m/>
    <m/>
    <x v="0"/>
    <x v="0"/>
    <s v="LINHA DO CIRCUITO ARENOSO LINHA DE ALIMENTAÇÃO DO DISTRIBUIDOR DI-145A-9911"/>
    <s v="SC-026"/>
    <s v="SP 8039 B"/>
    <s v="1450AA-L-70107"/>
    <s v="1450AA-S-58039"/>
    <n v="2"/>
    <s v="PÇ"/>
    <n v="23.9"/>
    <n v="47.8"/>
    <n v="0"/>
    <n v="0"/>
    <n v="0"/>
    <n v="0.9"/>
    <n v="0.1"/>
    <m/>
    <m/>
    <x v="0"/>
    <n v="0"/>
    <m/>
    <n v="0"/>
    <n v="47.8"/>
    <m/>
    <n v="0"/>
    <n v="0"/>
    <n v="0"/>
    <m/>
    <m/>
    <m/>
    <n v="0"/>
    <n v="0"/>
    <n v="0"/>
    <n v="0"/>
    <m/>
    <m/>
  </r>
  <r>
    <n v="0"/>
    <s v="CMS S.60.10.000"/>
    <x v="1"/>
    <m/>
    <m/>
    <m/>
    <x v="0"/>
    <m/>
    <m/>
    <x v="0"/>
    <x v="0"/>
    <s v="LINHA DO CIRCUITO ARENOSO LINHA DE ALIMENTAÇÃO DO DISTRIBUIDOR DI-145A-9911"/>
    <s v="SC-026"/>
    <s v="SP 8039 C"/>
    <s v="1450AA-L-70107"/>
    <s v="1450AA-S-58039"/>
    <n v="2"/>
    <s v="PÇ"/>
    <n v="1.3"/>
    <n v="2.6"/>
    <n v="0"/>
    <n v="0"/>
    <n v="0"/>
    <n v="0.9"/>
    <n v="0.1"/>
    <m/>
    <m/>
    <x v="0"/>
    <n v="0"/>
    <m/>
    <n v="0"/>
    <n v="2.6"/>
    <m/>
    <n v="0"/>
    <n v="0"/>
    <n v="0"/>
    <m/>
    <m/>
    <m/>
    <n v="0"/>
    <n v="0"/>
    <n v="0"/>
    <n v="0"/>
    <m/>
    <m/>
  </r>
  <r>
    <n v="0"/>
    <s v="CMS S.60.10.000"/>
    <x v="1"/>
    <m/>
    <m/>
    <m/>
    <x v="0"/>
    <m/>
    <m/>
    <x v="0"/>
    <x v="0"/>
    <s v="LINHA DO CIRCUITO ARENOSO LINHA DE ALIMENTAÇÃO DO DISTRIBUIDOR DI-145A-9911"/>
    <s v="SC-026"/>
    <s v="SP 8039 D"/>
    <s v="1450AA-L-70107"/>
    <s v="1450AA-S-58039"/>
    <n v="2"/>
    <s v="PÇ"/>
    <n v="58.4"/>
    <n v="116.8"/>
    <n v="0"/>
    <n v="0"/>
    <n v="0"/>
    <n v="0.9"/>
    <n v="0.1"/>
    <m/>
    <m/>
    <x v="0"/>
    <n v="0"/>
    <m/>
    <n v="0"/>
    <n v="116.8"/>
    <m/>
    <n v="0"/>
    <n v="0"/>
    <n v="0"/>
    <m/>
    <m/>
    <m/>
    <n v="0"/>
    <n v="0"/>
    <n v="0"/>
    <n v="0"/>
    <m/>
    <m/>
  </r>
  <r>
    <n v="0"/>
    <s v="CMS S.60.10.000"/>
    <x v="1"/>
    <m/>
    <m/>
    <m/>
    <x v="0"/>
    <m/>
    <m/>
    <x v="0"/>
    <x v="0"/>
    <s v="LINHA DO CIRCUITO ARENOSO LINHA DE ALIMENTAÇÃO DO DISTRIBUIDOR DI-145A-9911"/>
    <s v="SC-026"/>
    <s v="SP 8039 E"/>
    <s v="1450AA-L-70107"/>
    <s v="1450AA-S-58039"/>
    <n v="1"/>
    <s v="PÇ"/>
    <n v="22"/>
    <n v="22"/>
    <n v="0"/>
    <n v="0"/>
    <n v="0"/>
    <n v="0.9"/>
    <n v="0.1"/>
    <m/>
    <m/>
    <x v="0"/>
    <n v="0"/>
    <m/>
    <n v="0"/>
    <n v="22"/>
    <m/>
    <n v="0"/>
    <n v="0"/>
    <n v="0"/>
    <m/>
    <m/>
    <m/>
    <n v="0"/>
    <n v="0"/>
    <n v="0"/>
    <n v="0"/>
    <m/>
    <m/>
  </r>
  <r>
    <n v="0"/>
    <s v="CMS S.60.10.000"/>
    <x v="1"/>
    <m/>
    <m/>
    <m/>
    <x v="0"/>
    <m/>
    <m/>
    <x v="0"/>
    <x v="0"/>
    <s v="LINHA DO CIRCUITO ARENOSO LINHA DE ALIMENTAÇÃO DOS DISTRIBUIDORES DI-145A-9912/9913/9914/9915/9916"/>
    <s v="SC-006"/>
    <s v=" 8301 A"/>
    <s v="1450AA-L-70109"/>
    <s v="1450AA-S-58301"/>
    <n v="1"/>
    <s v="PÇ"/>
    <n v="518.79999999999995"/>
    <n v="518.79999999999995"/>
    <n v="0"/>
    <n v="0"/>
    <n v="0"/>
    <n v="0.9"/>
    <n v="0.1"/>
    <m/>
    <m/>
    <x v="0"/>
    <n v="0"/>
    <m/>
    <n v="0"/>
    <n v="518.79999999999995"/>
    <m/>
    <n v="0"/>
    <n v="0"/>
    <n v="0"/>
    <m/>
    <m/>
    <m/>
    <n v="0"/>
    <n v="0"/>
    <n v="0"/>
    <n v="0"/>
    <m/>
    <m/>
  </r>
  <r>
    <n v="0"/>
    <s v="CMS S.60.10.000"/>
    <x v="1"/>
    <m/>
    <m/>
    <m/>
    <x v="0"/>
    <m/>
    <m/>
    <x v="0"/>
    <x v="0"/>
    <s v="LINHA DO CIRCUITO ARENOSO LINHA DE ALIMENTAÇÃO DOS DISTRIBUIDORES DI-145A-9912/9913/9914/9915/9916"/>
    <s v="SC-006"/>
    <s v=" 8301 B "/>
    <s v="1450AA-L-70109"/>
    <s v="1450AA-S-58301"/>
    <n v="1"/>
    <s v="PÇ"/>
    <n v="138.19999999999999"/>
    <n v="138.19999999999999"/>
    <n v="0"/>
    <n v="0"/>
    <n v="0"/>
    <n v="0.9"/>
    <n v="0.1"/>
    <m/>
    <m/>
    <x v="0"/>
    <n v="0"/>
    <m/>
    <n v="0"/>
    <n v="138.19999999999999"/>
    <m/>
    <n v="0"/>
    <n v="0"/>
    <n v="0"/>
    <m/>
    <m/>
    <m/>
    <n v="0"/>
    <n v="0"/>
    <n v="0"/>
    <n v="0"/>
    <m/>
    <m/>
  </r>
  <r>
    <n v="0"/>
    <s v="CMS S.60.10.000"/>
    <x v="1"/>
    <m/>
    <m/>
    <m/>
    <x v="0"/>
    <m/>
    <m/>
    <x v="0"/>
    <x v="0"/>
    <s v="LINHA DO CIRCUITO ARENOSO LINHA DE ALIMENTAÇÃO DOS DISTRIBUIDORES DI-145A-9912/9913/9914/9915/9916"/>
    <s v="SC-006"/>
    <s v="SP 8301 C"/>
    <s v="1450AA-L-70109"/>
    <s v="1450AA-S-58301"/>
    <n v="1"/>
    <s v="PÇ"/>
    <n v="30"/>
    <n v="30"/>
    <n v="0"/>
    <n v="0"/>
    <n v="0"/>
    <n v="0.9"/>
    <n v="0.1"/>
    <m/>
    <m/>
    <x v="0"/>
    <n v="0"/>
    <m/>
    <n v="0"/>
    <n v="30"/>
    <m/>
    <n v="0"/>
    <n v="0"/>
    <n v="0"/>
    <m/>
    <m/>
    <m/>
    <n v="0"/>
    <n v="0"/>
    <n v="0"/>
    <n v="0"/>
    <m/>
    <m/>
  </r>
  <r>
    <n v="0"/>
    <s v="CMS S.60.10.000"/>
    <x v="1"/>
    <m/>
    <m/>
    <m/>
    <x v="0"/>
    <m/>
    <m/>
    <x v="0"/>
    <x v="0"/>
    <s v="LINHA DO CIRCUITO ARENOSO LINHA DE ALIMENTAÇÃO DOS DISTRIBUIDORES DI-145A-9912/9913/9914/9915/9916"/>
    <s v="SC-006"/>
    <s v="SP 8301 D"/>
    <s v="1450AA-L-70109"/>
    <s v="1450AA-S-58301"/>
    <n v="2"/>
    <s v="PÇ"/>
    <n v="24.9"/>
    <n v="49.8"/>
    <n v="0"/>
    <n v="0"/>
    <n v="0"/>
    <n v="0.9"/>
    <n v="0.1"/>
    <m/>
    <m/>
    <x v="0"/>
    <n v="0"/>
    <m/>
    <n v="0"/>
    <n v="49.8"/>
    <m/>
    <n v="0"/>
    <n v="0"/>
    <n v="0"/>
    <m/>
    <m/>
    <m/>
    <n v="0"/>
    <n v="0"/>
    <n v="0"/>
    <n v="0"/>
    <m/>
    <m/>
  </r>
  <r>
    <n v="0"/>
    <s v="CMS S.60.10.000"/>
    <x v="1"/>
    <m/>
    <m/>
    <m/>
    <x v="0"/>
    <m/>
    <m/>
    <x v="0"/>
    <x v="0"/>
    <s v="LINHA DO CIRCUITO ARENOSO LINHA DE ALIMENTAÇÃO DOS DISTRIBUIDORES DI-145A-9912/9913/9914/9915/9916"/>
    <s v="SC-006"/>
    <s v="SP 8301 E"/>
    <s v="1450AA-L-70109"/>
    <s v="1450AA-S-58301"/>
    <n v="1"/>
    <s v="PÇ"/>
    <n v="141.9"/>
    <n v="141.9"/>
    <n v="0"/>
    <n v="0"/>
    <n v="0"/>
    <n v="0.9"/>
    <n v="0.1"/>
    <m/>
    <m/>
    <x v="0"/>
    <n v="0"/>
    <m/>
    <n v="0"/>
    <n v="141.9"/>
    <m/>
    <n v="0"/>
    <n v="0"/>
    <n v="0"/>
    <m/>
    <m/>
    <m/>
    <n v="0"/>
    <n v="0"/>
    <n v="0"/>
    <n v="0"/>
    <m/>
    <m/>
  </r>
  <r>
    <n v="0"/>
    <s v="CMS S.60.10.000"/>
    <x v="1"/>
    <m/>
    <m/>
    <m/>
    <x v="0"/>
    <m/>
    <m/>
    <x v="0"/>
    <x v="0"/>
    <s v="LINHA DO CIRCUITO ARENOSO LINHA DE ALIMENTAÇÃO DOS DISTRIBUIDORES DI-145A-9912/9913/9914/9915/9916"/>
    <s v="SC-006"/>
    <s v="SP 8301 F"/>
    <s v="1450AA-L-70109"/>
    <s v="1450AA-S-58301"/>
    <n v="1"/>
    <s v="PÇ"/>
    <n v="100.1"/>
    <n v="100.1"/>
    <n v="0"/>
    <n v="0"/>
    <n v="0"/>
    <n v="0.9"/>
    <n v="0.1"/>
    <m/>
    <m/>
    <x v="0"/>
    <n v="0"/>
    <m/>
    <n v="0"/>
    <n v="100.1"/>
    <m/>
    <n v="0"/>
    <n v="0"/>
    <n v="0"/>
    <m/>
    <m/>
    <m/>
    <n v="0"/>
    <n v="0"/>
    <n v="0"/>
    <n v="0"/>
    <m/>
    <m/>
  </r>
  <r>
    <n v="0"/>
    <s v="CMS S.60.10.000"/>
    <x v="1"/>
    <m/>
    <m/>
    <m/>
    <x v="0"/>
    <m/>
    <m/>
    <x v="0"/>
    <x v="0"/>
    <s v="LINHA DO CIRCUITO ARENOSO LINHA DE ALIMENTAÇÃO DOS DISTRIBUIDORES DI-145A-9912/9913/9914/9915/9916"/>
    <s v="SC-006"/>
    <s v="SP 8301 G"/>
    <s v="1450AA-L-70109"/>
    <s v="1450AA-S-58301"/>
    <n v="1"/>
    <s v="PÇ"/>
    <n v="49.2"/>
    <n v="49.2"/>
    <n v="0"/>
    <n v="0"/>
    <n v="0"/>
    <n v="0.9"/>
    <n v="0.1"/>
    <m/>
    <m/>
    <x v="0"/>
    <n v="0"/>
    <m/>
    <n v="0"/>
    <n v="49.2"/>
    <m/>
    <n v="0"/>
    <n v="0"/>
    <n v="0"/>
    <m/>
    <m/>
    <m/>
    <n v="0"/>
    <n v="0"/>
    <n v="0"/>
    <n v="0"/>
    <m/>
    <m/>
  </r>
  <r>
    <n v="0"/>
    <s v="CMS S.60.10.000"/>
    <x v="1"/>
    <m/>
    <m/>
    <m/>
    <x v="0"/>
    <m/>
    <m/>
    <x v="0"/>
    <x v="0"/>
    <s v="LINHA DO CIRCUITO ARENOSO LINHA DE ALIMENTAÇÃO DOS DISTRIBUIDORES DI-145A-9912/9913/9914/9915/9916"/>
    <s v="SC-006"/>
    <s v="SP 8301 H"/>
    <s v="1450AA-L-70109"/>
    <s v="1450AA-S-58301"/>
    <n v="8"/>
    <s v="PÇ"/>
    <n v="80.599999999999994"/>
    <n v="644.79999999999995"/>
    <n v="0"/>
    <n v="0"/>
    <n v="0"/>
    <n v="0.9"/>
    <n v="0.1"/>
    <m/>
    <m/>
    <x v="0"/>
    <n v="0"/>
    <m/>
    <n v="0"/>
    <n v="644.79999999999995"/>
    <m/>
    <n v="0"/>
    <n v="0"/>
    <n v="0"/>
    <m/>
    <m/>
    <m/>
    <n v="0"/>
    <n v="0"/>
    <n v="0"/>
    <n v="0"/>
    <m/>
    <m/>
  </r>
  <r>
    <n v="0"/>
    <s v="CMS S.60.10.000"/>
    <x v="1"/>
    <m/>
    <m/>
    <m/>
    <x v="0"/>
    <m/>
    <m/>
    <x v="0"/>
    <x v="0"/>
    <s v="LINHA DO CIRCUITO ARENOSO LINHA DE ALIMENTAÇÃO DOS DISTRIBUIDORES DI-145A-9912/9913/9914/9915/9916"/>
    <s v="SC-006"/>
    <s v="SP 8301 J"/>
    <s v="1450AA-L-70109"/>
    <s v="1450AA-S-58301"/>
    <n v="1"/>
    <s v="PÇ"/>
    <n v="1.8"/>
    <n v="1.8"/>
    <n v="0"/>
    <n v="0"/>
    <n v="0"/>
    <n v="0.9"/>
    <n v="0.1"/>
    <m/>
    <m/>
    <x v="0"/>
    <n v="0"/>
    <m/>
    <n v="0"/>
    <n v="1.8"/>
    <m/>
    <n v="0"/>
    <n v="0"/>
    <n v="0"/>
    <m/>
    <m/>
    <m/>
    <n v="0"/>
    <n v="0"/>
    <n v="0"/>
    <n v="0"/>
    <m/>
    <m/>
  </r>
  <r>
    <n v="0"/>
    <s v="CMS S.60.10.000"/>
    <x v="1"/>
    <m/>
    <m/>
    <m/>
    <x v="0"/>
    <m/>
    <m/>
    <x v="0"/>
    <x v="0"/>
    <s v="LINHA DO CIRCUITO ARENOSO LINHA DE ALIMENTAÇÃO DOS DISTRIBUIDORES DI-145A-9912/9913/9914/9915/9916"/>
    <s v="SC-006"/>
    <s v="SP 8301 K"/>
    <s v="1450AA-L-70109"/>
    <s v="1450AA-S-58301"/>
    <n v="1"/>
    <s v="PÇ"/>
    <n v="19.399999999999999"/>
    <n v="19.399999999999999"/>
    <n v="0"/>
    <n v="0"/>
    <n v="0"/>
    <n v="0.9"/>
    <n v="0.1"/>
    <m/>
    <m/>
    <x v="0"/>
    <n v="0"/>
    <m/>
    <n v="0"/>
    <n v="19.399999999999999"/>
    <m/>
    <n v="0"/>
    <n v="0"/>
    <n v="0"/>
    <m/>
    <m/>
    <m/>
    <n v="0"/>
    <n v="0"/>
    <n v="0"/>
    <n v="0"/>
    <m/>
    <m/>
  </r>
  <r>
    <n v="0"/>
    <s v="CMS S.60.10.000"/>
    <x v="1"/>
    <m/>
    <m/>
    <m/>
    <x v="0"/>
    <m/>
    <m/>
    <x v="0"/>
    <x v="0"/>
    <s v="LINHA DO CIRCUITO ARENOSO LINHA DE ALIMENTAÇÃO DOS DISTRIBUIDORES DI-145A-9912/9913/9914/9915/9916"/>
    <s v="SC-006"/>
    <s v="SP 8301 L"/>
    <s v="1450AA-L-70109"/>
    <s v="1450AA-S-58301"/>
    <n v="1"/>
    <s v="PÇ"/>
    <n v="6.9"/>
    <n v="6.9"/>
    <n v="0"/>
    <n v="0"/>
    <n v="0"/>
    <n v="0.9"/>
    <n v="0.1"/>
    <m/>
    <m/>
    <x v="0"/>
    <n v="0"/>
    <m/>
    <n v="0"/>
    <n v="6.9"/>
    <m/>
    <n v="0"/>
    <n v="0"/>
    <n v="0"/>
    <m/>
    <m/>
    <m/>
    <n v="0"/>
    <n v="0"/>
    <n v="0"/>
    <n v="0"/>
    <m/>
    <m/>
  </r>
  <r>
    <n v="0"/>
    <s v="CMS S.60.10.000"/>
    <x v="1"/>
    <m/>
    <m/>
    <m/>
    <x v="0"/>
    <m/>
    <m/>
    <x v="0"/>
    <x v="0"/>
    <s v="LINHA DO CIRCUITO ARENOSO LINHA DE ALIMENTAÇÃO DOS DISTRIBUIDORES DI-145A-9912/9913/9914/9915/9916"/>
    <s v="SC-006"/>
    <s v="SP 8301 M"/>
    <s v="1450AA-L-70109"/>
    <s v="1450AA-S-58301"/>
    <n v="1"/>
    <s v="PÇ"/>
    <n v="3.45"/>
    <n v="3.45"/>
    <n v="0"/>
    <n v="0"/>
    <n v="0"/>
    <n v="0.9"/>
    <n v="0.1"/>
    <m/>
    <m/>
    <x v="0"/>
    <n v="0"/>
    <m/>
    <n v="0"/>
    <n v="3.45"/>
    <m/>
    <n v="0"/>
    <n v="0"/>
    <n v="0"/>
    <m/>
    <m/>
    <m/>
    <n v="0"/>
    <n v="0"/>
    <n v="0"/>
    <n v="0"/>
    <m/>
    <m/>
  </r>
  <r>
    <n v="0"/>
    <s v="CMS S.60.10.000"/>
    <x v="1"/>
    <m/>
    <m/>
    <m/>
    <x v="0"/>
    <m/>
    <m/>
    <x v="0"/>
    <x v="0"/>
    <s v="LINHA DO CIRCUITO ARENOSO LINHA DE DESCARGA  DO DISTRIBUIDOR DI-145A-9912"/>
    <s v="SC-006"/>
    <s v=" 8303 A "/>
    <s v="1450AA-L-70045"/>
    <s v="1450AA-S-58303"/>
    <n v="1"/>
    <s v="PÇ"/>
    <n v="59.5"/>
    <n v="59.5"/>
    <n v="0"/>
    <n v="0"/>
    <n v="0"/>
    <n v="0.9"/>
    <n v="0.1"/>
    <m/>
    <m/>
    <x v="0"/>
    <n v="0"/>
    <m/>
    <n v="0"/>
    <n v="59.5"/>
    <m/>
    <n v="0"/>
    <n v="0"/>
    <n v="0"/>
    <m/>
    <m/>
    <m/>
    <n v="0"/>
    <n v="0"/>
    <n v="0"/>
    <n v="0"/>
    <m/>
    <m/>
  </r>
  <r>
    <n v="0"/>
    <s v="CMS S.60.10.000"/>
    <x v="1"/>
    <m/>
    <m/>
    <m/>
    <x v="0"/>
    <m/>
    <m/>
    <x v="0"/>
    <x v="0"/>
    <s v="LINHA DO CIRCUITO ARENOSO LINHA DE DESCARGA  DO DISTRIBUIDOR DI-145A-9912"/>
    <s v="SC-006"/>
    <s v=" 8303 B"/>
    <s v="1450AA-L-70045"/>
    <s v="1450AA-S-58303"/>
    <n v="1"/>
    <s v="PÇ"/>
    <n v="48"/>
    <n v="48"/>
    <n v="0"/>
    <n v="0"/>
    <n v="0"/>
    <n v="0.9"/>
    <n v="0.1"/>
    <m/>
    <m/>
    <x v="0"/>
    <n v="0"/>
    <m/>
    <n v="0"/>
    <n v="48"/>
    <m/>
    <n v="0"/>
    <n v="0"/>
    <n v="0"/>
    <m/>
    <m/>
    <m/>
    <n v="0"/>
    <n v="0"/>
    <n v="0"/>
    <n v="0"/>
    <m/>
    <m/>
  </r>
  <r>
    <n v="0"/>
    <s v="CMS S.60.10.000"/>
    <x v="1"/>
    <m/>
    <m/>
    <m/>
    <x v="0"/>
    <m/>
    <m/>
    <x v="0"/>
    <x v="0"/>
    <s v="LINHA DO CIRCUITO ARENOSO LINHA DE DESCARGA  DO DISTRIBUIDOR DI-145A-9912"/>
    <s v="SC-006"/>
    <s v=" 8303 C "/>
    <s v="1450AA-L-70045"/>
    <s v="1450AA-S-58303"/>
    <n v="1"/>
    <s v="PÇ"/>
    <n v="23.5"/>
    <n v="23.5"/>
    <n v="0"/>
    <n v="0"/>
    <n v="0"/>
    <n v="0.9"/>
    <n v="0.1"/>
    <m/>
    <m/>
    <x v="0"/>
    <n v="0"/>
    <m/>
    <n v="0"/>
    <n v="23.5"/>
    <m/>
    <n v="0"/>
    <n v="0"/>
    <n v="0"/>
    <m/>
    <m/>
    <m/>
    <n v="0"/>
    <n v="0"/>
    <n v="0"/>
    <n v="0"/>
    <m/>
    <m/>
  </r>
  <r>
    <n v="0"/>
    <s v="CMS S.60.10.000"/>
    <x v="1"/>
    <m/>
    <m/>
    <m/>
    <x v="0"/>
    <m/>
    <m/>
    <x v="0"/>
    <x v="0"/>
    <s v="LINHA DO CIRCUITO ARENOSO LINHA DE DESCARGA  DO DISTRIBUIDOR DI-145A-9912"/>
    <s v="SC-006"/>
    <s v="SP 8303 D"/>
    <s v="1450AA-L-70045"/>
    <s v="1450AA-S-58303"/>
    <n v="1"/>
    <s v="PÇ"/>
    <n v="7.6"/>
    <n v="7.6"/>
    <n v="0"/>
    <n v="0"/>
    <n v="0"/>
    <n v="0.9"/>
    <n v="0.1"/>
    <m/>
    <m/>
    <x v="0"/>
    <n v="0"/>
    <m/>
    <n v="0"/>
    <n v="7.6"/>
    <m/>
    <n v="0"/>
    <n v="0"/>
    <n v="0"/>
    <m/>
    <m/>
    <m/>
    <n v="0"/>
    <n v="0"/>
    <n v="0"/>
    <n v="0"/>
    <m/>
    <m/>
  </r>
  <r>
    <n v="0"/>
    <s v="CMS S.60.10.000"/>
    <x v="1"/>
    <m/>
    <m/>
    <m/>
    <x v="0"/>
    <m/>
    <m/>
    <x v="0"/>
    <x v="0"/>
    <s v="LINHA DO CIRCUITO ARENOSO LINHA DE DESCARGA  DO DISTRIBUIDOR DI-145A-9912"/>
    <s v="SC-006"/>
    <s v=" 8303 E"/>
    <s v="1450AA-L-70045"/>
    <s v="1450AA-S-58303"/>
    <n v="1"/>
    <s v="PÇ"/>
    <n v="65.900000000000006"/>
    <n v="65.900000000000006"/>
    <n v="0"/>
    <n v="0"/>
    <n v="0"/>
    <n v="0.9"/>
    <n v="0.1"/>
    <m/>
    <m/>
    <x v="0"/>
    <n v="0"/>
    <m/>
    <n v="0"/>
    <n v="65.900000000000006"/>
    <m/>
    <n v="0"/>
    <n v="0"/>
    <n v="0"/>
    <m/>
    <m/>
    <m/>
    <n v="0"/>
    <n v="0"/>
    <n v="0"/>
    <n v="0"/>
    <m/>
    <m/>
  </r>
  <r>
    <n v="0"/>
    <s v="CMS S.60.10.000"/>
    <x v="1"/>
    <m/>
    <m/>
    <m/>
    <x v="0"/>
    <m/>
    <m/>
    <x v="0"/>
    <x v="0"/>
    <s v="LINHA DO CIRCUITO ARENOSO LINHA DE DESCARGA  DO DISTRIBUIDOR DI-145A-9912"/>
    <s v="SC-006"/>
    <s v=" 8303 F "/>
    <s v="1450AA-L-70045"/>
    <s v="1450AA-S-58303"/>
    <n v="1"/>
    <s v="PÇ"/>
    <n v="55.4"/>
    <n v="55.4"/>
    <n v="0"/>
    <n v="0"/>
    <n v="0"/>
    <n v="0.9"/>
    <n v="0.1"/>
    <m/>
    <m/>
    <x v="0"/>
    <n v="0"/>
    <m/>
    <n v="0"/>
    <n v="55.4"/>
    <m/>
    <n v="0"/>
    <n v="0"/>
    <n v="0"/>
    <m/>
    <m/>
    <m/>
    <n v="0"/>
    <n v="0"/>
    <n v="0"/>
    <n v="0"/>
    <m/>
    <m/>
  </r>
  <r>
    <n v="0"/>
    <s v="CMS S.60.10.000"/>
    <x v="1"/>
    <m/>
    <m/>
    <m/>
    <x v="0"/>
    <m/>
    <m/>
    <x v="0"/>
    <x v="0"/>
    <s v="LINHA DO CIRCUITO ARENOSO LINHA DE DESCARGA  DO DISTRIBUIDOR DI-145A-9912"/>
    <s v="SC-006"/>
    <s v=" 8303 G "/>
    <s v="1450AA-L-70045"/>
    <s v="1450AA-S-58303"/>
    <n v="1"/>
    <s v="PÇ"/>
    <n v="45.3"/>
    <n v="45.3"/>
    <n v="0"/>
    <n v="0"/>
    <n v="0"/>
    <n v="0.9"/>
    <n v="0.1"/>
    <m/>
    <m/>
    <x v="0"/>
    <n v="0"/>
    <m/>
    <n v="0"/>
    <n v="45.3"/>
    <m/>
    <n v="0"/>
    <n v="0"/>
    <n v="0"/>
    <m/>
    <m/>
    <m/>
    <n v="0"/>
    <n v="0"/>
    <n v="0"/>
    <n v="0"/>
    <m/>
    <m/>
  </r>
  <r>
    <n v="0"/>
    <s v="CMS S.60.10.000"/>
    <x v="1"/>
    <m/>
    <m/>
    <m/>
    <x v="0"/>
    <m/>
    <m/>
    <x v="0"/>
    <x v="0"/>
    <s v="LINHA DO CIRCUITO ARENOSO LINHA DE DESCARGA  DO DISTRIBUIDOR DI-145A-9912"/>
    <s v="SC-006"/>
    <s v=" 8303 H "/>
    <s v="1450AA-L-70045"/>
    <s v="1450AA-S-58303"/>
    <n v="1"/>
    <s v="PÇ"/>
    <n v="49.8"/>
    <n v="49.8"/>
    <n v="0"/>
    <n v="0"/>
    <n v="0"/>
    <n v="0.9"/>
    <n v="0.1"/>
    <m/>
    <m/>
    <x v="0"/>
    <n v="0"/>
    <m/>
    <n v="0"/>
    <n v="49.8"/>
    <m/>
    <n v="0"/>
    <n v="0"/>
    <n v="0"/>
    <m/>
    <m/>
    <m/>
    <n v="0"/>
    <n v="0"/>
    <n v="0"/>
    <n v="0"/>
    <m/>
    <m/>
  </r>
  <r>
    <n v="0"/>
    <s v="CMS S.60.10.000"/>
    <x v="1"/>
    <m/>
    <m/>
    <m/>
    <x v="0"/>
    <m/>
    <m/>
    <x v="0"/>
    <x v="0"/>
    <s v="LINHA DO CIRCUITO ARENOSO LINHA DE DESCARGA  DO DISTRIBUIDOR DI-145A-9912"/>
    <s v="SC-006"/>
    <s v=" 8303 J "/>
    <s v="1450AA-L-70045"/>
    <s v="1450AA-S-58303"/>
    <n v="6"/>
    <s v="PÇ"/>
    <n v="56.9"/>
    <n v="341.4"/>
    <n v="0"/>
    <n v="0"/>
    <n v="0"/>
    <n v="0.9"/>
    <n v="0.1"/>
    <m/>
    <m/>
    <x v="0"/>
    <n v="0"/>
    <m/>
    <n v="0"/>
    <n v="341.4"/>
    <m/>
    <n v="0"/>
    <n v="0"/>
    <n v="0"/>
    <m/>
    <m/>
    <m/>
    <n v="0"/>
    <n v="0"/>
    <n v="0"/>
    <n v="0"/>
    <m/>
    <m/>
  </r>
  <r>
    <n v="0"/>
    <s v="CMS S.60.10.000"/>
    <x v="1"/>
    <m/>
    <m/>
    <m/>
    <x v="0"/>
    <m/>
    <m/>
    <x v="0"/>
    <x v="0"/>
    <s v="LINHA DO CIRCUITO ARENOSO LINHA DE DESCARGA  DO DISTRIBUIDOR DI-145A-9912"/>
    <s v="SC-006"/>
    <s v="SP 8303 K "/>
    <s v="1450AA-L-70045"/>
    <s v="1450AA-S-58303"/>
    <n v="1"/>
    <s v="PÇ"/>
    <n v="7.2"/>
    <n v="7.2"/>
    <n v="0"/>
    <n v="0"/>
    <n v="0"/>
    <n v="0.9"/>
    <n v="0.1"/>
    <m/>
    <m/>
    <x v="0"/>
    <n v="0"/>
    <m/>
    <n v="0"/>
    <n v="7.2"/>
    <m/>
    <n v="0"/>
    <n v="0"/>
    <n v="0"/>
    <m/>
    <m/>
    <m/>
    <n v="0"/>
    <n v="0"/>
    <n v="0"/>
    <n v="0"/>
    <m/>
    <m/>
  </r>
  <r>
    <n v="0"/>
    <s v="CMS S.60.10.000"/>
    <x v="1"/>
    <m/>
    <m/>
    <m/>
    <x v="0"/>
    <m/>
    <m/>
    <x v="0"/>
    <x v="0"/>
    <s v="LINHA DO CIRCUITO ARENOSO LINHA DE DESCARGA  DO DISTRIBUIDOR DI-145A-9912"/>
    <s v="SC-006"/>
    <s v="SP 8303 L"/>
    <s v="1450AA-L-70045"/>
    <s v="1450AA-S-58303"/>
    <n v="4"/>
    <s v="PÇ"/>
    <n v="54.8"/>
    <n v="219.2"/>
    <n v="0"/>
    <n v="0"/>
    <n v="0"/>
    <n v="0.9"/>
    <n v="0.1"/>
    <m/>
    <m/>
    <x v="0"/>
    <n v="0"/>
    <m/>
    <n v="0"/>
    <n v="219.2"/>
    <m/>
    <n v="0"/>
    <n v="0"/>
    <n v="0"/>
    <m/>
    <m/>
    <m/>
    <n v="0"/>
    <n v="0"/>
    <n v="0"/>
    <n v="0"/>
    <m/>
    <m/>
  </r>
  <r>
    <n v="0"/>
    <s v="CMS S.60.10.000"/>
    <x v="1"/>
    <m/>
    <m/>
    <m/>
    <x v="0"/>
    <m/>
    <m/>
    <x v="0"/>
    <x v="0"/>
    <s v="LINHA DO CIRCUITO ARENOSO LINHA DE DESCARGA  DO DISTRIBUIDOR DI-145A-9912"/>
    <s v="SC-006"/>
    <s v="SP 8303 M "/>
    <s v="1450AA-L-70045"/>
    <s v="1450AA-S-58303"/>
    <n v="2"/>
    <s v="PÇ"/>
    <n v="12"/>
    <n v="24"/>
    <n v="0"/>
    <n v="0"/>
    <n v="0"/>
    <n v="0.9"/>
    <n v="0.1"/>
    <m/>
    <m/>
    <x v="0"/>
    <n v="0"/>
    <m/>
    <n v="0"/>
    <n v="24"/>
    <m/>
    <n v="0"/>
    <n v="0"/>
    <n v="0"/>
    <m/>
    <m/>
    <m/>
    <n v="0"/>
    <n v="0"/>
    <n v="0"/>
    <n v="0"/>
    <m/>
    <m/>
  </r>
  <r>
    <n v="0"/>
    <s v="CMS S.60.10.000"/>
    <x v="1"/>
    <m/>
    <m/>
    <m/>
    <x v="0"/>
    <m/>
    <m/>
    <x v="0"/>
    <x v="0"/>
    <s v="LINHA DO CIRCUITO ARENOSO LINHA DE DESCARGA  DO DISTRIBUIDOR DI-145A-9912"/>
    <s v="SC-006"/>
    <s v="SP 8303 N "/>
    <s v="1450AA-L-70045"/>
    <s v="1450AA-S-58303"/>
    <n v="1"/>
    <s v="PÇ"/>
    <n v="12.7"/>
    <n v="12.7"/>
    <n v="0"/>
    <n v="0"/>
    <n v="0"/>
    <n v="0.9"/>
    <n v="0.1"/>
    <m/>
    <m/>
    <x v="0"/>
    <n v="0"/>
    <m/>
    <n v="0"/>
    <n v="12.7"/>
    <m/>
    <n v="0"/>
    <n v="0"/>
    <n v="0"/>
    <m/>
    <m/>
    <m/>
    <n v="0"/>
    <n v="0"/>
    <n v="0"/>
    <n v="0"/>
    <m/>
    <m/>
  </r>
  <r>
    <n v="0"/>
    <s v="CMS S.60.10.000"/>
    <x v="1"/>
    <m/>
    <m/>
    <m/>
    <x v="0"/>
    <m/>
    <m/>
    <x v="0"/>
    <x v="0"/>
    <s v="LINHA DO CIRCUITO ARENOSO LINHA DE DESCARGA  DO DISTRIBUIDOR DI-145A-9912"/>
    <s v="SC-006"/>
    <s v="SP 8303 P "/>
    <s v="1450AA-L-70045"/>
    <s v="1450AA-S-58303"/>
    <n v="1"/>
    <s v="PÇ"/>
    <n v="3.5"/>
    <n v="3.5"/>
    <n v="0"/>
    <n v="0"/>
    <n v="0"/>
    <n v="0.9"/>
    <n v="0.1"/>
    <m/>
    <m/>
    <x v="0"/>
    <n v="0"/>
    <m/>
    <n v="0"/>
    <n v="3.5"/>
    <m/>
    <n v="0"/>
    <n v="0"/>
    <n v="0"/>
    <m/>
    <m/>
    <m/>
    <n v="0"/>
    <n v="0"/>
    <n v="0"/>
    <n v="0"/>
    <m/>
    <m/>
  </r>
  <r>
    <n v="0"/>
    <s v="CMS S.60.10.000"/>
    <x v="1"/>
    <m/>
    <m/>
    <m/>
    <x v="0"/>
    <m/>
    <m/>
    <x v="0"/>
    <x v="0"/>
    <s v="LINHA DO CIRCUITO ARENOSO LINHA DE DESCARGA  DO DISTRIBUIDOR DI-145A-9912"/>
    <s v="SC-006"/>
    <s v="SP 8303 Q "/>
    <s v="1450AA-L-70045"/>
    <s v="1450AA-S-58303"/>
    <n v="8"/>
    <s v="PÇ"/>
    <n v="3.5"/>
    <n v="28"/>
    <n v="0"/>
    <n v="0"/>
    <n v="0"/>
    <n v="0.9"/>
    <n v="0.1"/>
    <m/>
    <m/>
    <x v="0"/>
    <n v="0"/>
    <m/>
    <n v="0"/>
    <n v="28"/>
    <m/>
    <n v="0"/>
    <n v="0"/>
    <n v="0"/>
    <m/>
    <m/>
    <m/>
    <n v="0"/>
    <n v="0"/>
    <n v="0"/>
    <n v="0"/>
    <m/>
    <m/>
  </r>
  <r>
    <n v="0"/>
    <s v="CMS S.60.10.000"/>
    <x v="1"/>
    <m/>
    <m/>
    <m/>
    <x v="0"/>
    <m/>
    <m/>
    <x v="0"/>
    <x v="0"/>
    <s v="LINHA DO CIRCUITO ARENOSO LINHA DE DESCARGA  DO DISTRIBUIDOR DI-145A-9912"/>
    <s v="SC-006"/>
    <s v="SP 8303 R"/>
    <s v="1450AA-L-70045"/>
    <s v="1450AA-S-58303"/>
    <n v="1"/>
    <s v="PÇ"/>
    <n v="0.6"/>
    <n v="0.6"/>
    <n v="0"/>
    <n v="0"/>
    <n v="0"/>
    <n v="0.9"/>
    <n v="0.1"/>
    <m/>
    <m/>
    <x v="0"/>
    <n v="0"/>
    <m/>
    <n v="0"/>
    <n v="0.6"/>
    <m/>
    <n v="0"/>
    <n v="0"/>
    <n v="0"/>
    <m/>
    <m/>
    <m/>
    <n v="0"/>
    <n v="0"/>
    <n v="0"/>
    <n v="0"/>
    <m/>
    <m/>
  </r>
  <r>
    <n v="0"/>
    <s v="CMS S.60.10.000"/>
    <x v="1"/>
    <m/>
    <m/>
    <m/>
    <x v="0"/>
    <m/>
    <m/>
    <x v="0"/>
    <x v="0"/>
    <s v="LINHA DO CIRCUITO ARENOSO LINHA DE DESCARGA  DO DISTRIBUIDOR DI-145A-9912"/>
    <s v="SC-006"/>
    <s v="SP 8303 S "/>
    <s v="1450AA-L-70045"/>
    <s v="1450AA-S-58303"/>
    <n v="1"/>
    <s v="PÇ"/>
    <n v="13"/>
    <n v="13"/>
    <n v="0"/>
    <n v="0"/>
    <n v="0"/>
    <n v="0.9"/>
    <n v="0.1"/>
    <m/>
    <m/>
    <x v="0"/>
    <n v="0"/>
    <m/>
    <n v="0"/>
    <n v="13"/>
    <m/>
    <n v="0"/>
    <n v="0"/>
    <n v="0"/>
    <m/>
    <m/>
    <m/>
    <n v="0"/>
    <n v="0"/>
    <n v="0"/>
    <n v="0"/>
    <m/>
    <m/>
  </r>
  <r>
    <n v="0"/>
    <s v="CMS S.60.10.000"/>
    <x v="1"/>
    <m/>
    <m/>
    <m/>
    <x v="0"/>
    <m/>
    <m/>
    <x v="0"/>
    <x v="0"/>
    <s v="LINHA DO CIRCUITO ARENOSO LINHA DE DESCARGA  DO DISTRIBUIDOR DI-145A-9912"/>
    <s v="SC-006"/>
    <s v="SP 8304 A"/>
    <s v="1450AA-L-70045"/>
    <s v="1450AA-S-58304"/>
    <n v="1"/>
    <s v="PÇ"/>
    <n v="34.5"/>
    <n v="34.5"/>
    <n v="0"/>
    <n v="0"/>
    <n v="0"/>
    <n v="0.9"/>
    <n v="0.1"/>
    <m/>
    <m/>
    <x v="0"/>
    <n v="0"/>
    <m/>
    <n v="0"/>
    <n v="34.5"/>
    <m/>
    <n v="0"/>
    <n v="0"/>
    <n v="0"/>
    <m/>
    <m/>
    <m/>
    <n v="0"/>
    <n v="0"/>
    <n v="0"/>
    <n v="0"/>
    <m/>
    <m/>
  </r>
  <r>
    <n v="0"/>
    <s v="CMS S.60.10.000"/>
    <x v="1"/>
    <m/>
    <m/>
    <m/>
    <x v="0"/>
    <m/>
    <m/>
    <x v="0"/>
    <x v="0"/>
    <s v="LINHA DO CIRCUITO ARENOSO LINHA DE DESCARGA  DO DISTRIBUIDOR DI-145A-9912"/>
    <s v="SC-006"/>
    <s v="SP 8304 B"/>
    <s v="1450AA-L-70045"/>
    <s v="1450AA-S-58304"/>
    <n v="1"/>
    <s v="PÇ"/>
    <n v="5.3999999999999995"/>
    <n v="5.3999999999999995"/>
    <n v="0"/>
    <n v="0"/>
    <n v="0"/>
    <n v="0.9"/>
    <n v="0.1"/>
    <m/>
    <m/>
    <x v="0"/>
    <n v="0"/>
    <m/>
    <n v="0"/>
    <n v="5.3999999999999995"/>
    <m/>
    <n v="0"/>
    <n v="0"/>
    <n v="0"/>
    <m/>
    <m/>
    <m/>
    <n v="0"/>
    <n v="0"/>
    <n v="0"/>
    <n v="0"/>
    <m/>
    <m/>
  </r>
  <r>
    <n v="0"/>
    <s v="CMS S.60.10.000"/>
    <x v="1"/>
    <m/>
    <m/>
    <m/>
    <x v="0"/>
    <m/>
    <m/>
    <x v="0"/>
    <x v="0"/>
    <s v="LINHA DO CIRCUITO ARENOSO LINHA DE DESCARGA  DO DISTRIBUIDOR DI-145A-9912"/>
    <s v="SC-006"/>
    <s v="SP 8304 C"/>
    <s v="1450AA-L-70045"/>
    <s v="1450AA-S-58304"/>
    <n v="1"/>
    <s v="PÇ"/>
    <n v="16.900000000000002"/>
    <n v="16.900000000000002"/>
    <n v="0"/>
    <n v="0"/>
    <n v="0"/>
    <n v="0.9"/>
    <n v="0.1"/>
    <m/>
    <m/>
    <x v="0"/>
    <n v="0"/>
    <m/>
    <n v="0"/>
    <n v="16.900000000000002"/>
    <m/>
    <n v="0"/>
    <n v="0"/>
    <n v="0"/>
    <m/>
    <m/>
    <m/>
    <n v="0"/>
    <n v="0"/>
    <n v="0"/>
    <n v="0"/>
    <m/>
    <m/>
  </r>
  <r>
    <n v="0"/>
    <s v="CMS S.60.10.000"/>
    <x v="1"/>
    <m/>
    <m/>
    <m/>
    <x v="0"/>
    <m/>
    <m/>
    <x v="0"/>
    <x v="0"/>
    <s v="LINHA DO CIRCUITO ARENOSO LINHA DE DESCARGA  DO DISTRIBUIDOR DI-145A-9912"/>
    <s v="SC-006"/>
    <s v="SP 8304 D"/>
    <s v="1450AA-L-70045"/>
    <s v="1450AA-S-58304"/>
    <n v="1"/>
    <s v="PÇ"/>
    <n v="15.799999999999999"/>
    <n v="15.799999999999999"/>
    <n v="0"/>
    <n v="0"/>
    <n v="0"/>
    <n v="0.9"/>
    <n v="0.1"/>
    <m/>
    <m/>
    <x v="0"/>
    <n v="0"/>
    <m/>
    <n v="0"/>
    <n v="15.799999999999999"/>
    <m/>
    <n v="0"/>
    <n v="0"/>
    <n v="0"/>
    <m/>
    <m/>
    <m/>
    <n v="0"/>
    <n v="0"/>
    <n v="0"/>
    <n v="0"/>
    <m/>
    <m/>
  </r>
  <r>
    <n v="0"/>
    <s v="CMS S.60.10.000"/>
    <x v="1"/>
    <m/>
    <m/>
    <m/>
    <x v="0"/>
    <m/>
    <m/>
    <x v="0"/>
    <x v="0"/>
    <s v="LINHA DO CIRCUITO ARENOSO LINHA DE DESCARGA  DO DISTRIBUIDOR DI-145A-9912"/>
    <s v="SC-006"/>
    <s v="SP 8304 E"/>
    <s v="1450AA-L-70045"/>
    <s v="1450AA-S-58304"/>
    <n v="1"/>
    <s v="PÇ"/>
    <n v="23.8"/>
    <n v="23.8"/>
    <n v="0"/>
    <n v="0"/>
    <n v="0"/>
    <n v="0.9"/>
    <n v="0.1"/>
    <m/>
    <m/>
    <x v="0"/>
    <n v="0"/>
    <m/>
    <n v="0"/>
    <n v="23.8"/>
    <m/>
    <n v="0"/>
    <n v="0"/>
    <n v="0"/>
    <m/>
    <m/>
    <m/>
    <n v="0"/>
    <n v="0"/>
    <n v="0"/>
    <n v="0"/>
    <m/>
    <m/>
  </r>
  <r>
    <n v="0"/>
    <s v="CMS S.60.10.000"/>
    <x v="1"/>
    <m/>
    <m/>
    <m/>
    <x v="0"/>
    <m/>
    <m/>
    <x v="0"/>
    <x v="0"/>
    <s v="LINHA DO CIRCUITO ARENOSO LINHA DE DESCARGA  DO DISTRIBUIDOR DI-145A-9912"/>
    <s v="SC-006"/>
    <s v="SP 8304 F"/>
    <s v="1450AA-L-70045"/>
    <s v="1450AA-S-58304"/>
    <n v="1"/>
    <s v="PÇ"/>
    <n v="0.5"/>
    <n v="0.5"/>
    <n v="0"/>
    <n v="0"/>
    <n v="0"/>
    <n v="0.9"/>
    <n v="0.1"/>
    <m/>
    <m/>
    <x v="0"/>
    <n v="0"/>
    <m/>
    <n v="0"/>
    <n v="0.5"/>
    <m/>
    <n v="0"/>
    <n v="0"/>
    <n v="0"/>
    <m/>
    <m/>
    <m/>
    <n v="0"/>
    <n v="0"/>
    <n v="0"/>
    <n v="0"/>
    <m/>
    <m/>
  </r>
  <r>
    <n v="0"/>
    <s v="CMS S.60.10.000"/>
    <x v="1"/>
    <m/>
    <m/>
    <m/>
    <x v="0"/>
    <m/>
    <m/>
    <x v="0"/>
    <x v="0"/>
    <s v="LINHA DO CIRCUITO ARENOSO LINHA DE DESCARGA  DO DISTRIBUIDOR DI-145A-9913"/>
    <s v="SC-006"/>
    <s v="SP 8305 A"/>
    <s v="1450AA-L-70046"/>
    <s v="1450AA-S-58305"/>
    <n v="2"/>
    <s v="PÇ"/>
    <n v="48.1"/>
    <n v="96.2"/>
    <n v="0"/>
    <n v="0"/>
    <n v="0"/>
    <n v="0.9"/>
    <n v="0.1"/>
    <m/>
    <m/>
    <x v="0"/>
    <n v="0"/>
    <m/>
    <n v="0"/>
    <n v="96.2"/>
    <m/>
    <n v="0"/>
    <n v="0"/>
    <n v="0"/>
    <m/>
    <m/>
    <m/>
    <n v="0"/>
    <n v="0"/>
    <n v="0"/>
    <n v="0"/>
    <m/>
    <m/>
  </r>
  <r>
    <n v="0"/>
    <s v="CMS S.60.10.000"/>
    <x v="1"/>
    <m/>
    <m/>
    <m/>
    <x v="0"/>
    <m/>
    <m/>
    <x v="0"/>
    <x v="0"/>
    <s v="LINHA DO CIRCUITO ARENOSO LINHA DE DESCARGA  DO DISTRIBUIDOR DI-145A-9913"/>
    <s v="SC-006"/>
    <s v="SP 8305 B"/>
    <s v="1450AA-L-70046"/>
    <s v="1450AA-S-58305"/>
    <n v="2"/>
    <s v="PÇ"/>
    <n v="49.8"/>
    <n v="99.6"/>
    <n v="0"/>
    <n v="0"/>
    <n v="0"/>
    <n v="0.9"/>
    <n v="0.1"/>
    <m/>
    <m/>
    <x v="0"/>
    <n v="0"/>
    <m/>
    <n v="0"/>
    <n v="99.6"/>
    <m/>
    <n v="0"/>
    <n v="0"/>
    <n v="0"/>
    <m/>
    <m/>
    <m/>
    <n v="0"/>
    <n v="0"/>
    <n v="0"/>
    <n v="0"/>
    <m/>
    <m/>
  </r>
  <r>
    <n v="0"/>
    <s v="CMS S.60.10.000"/>
    <x v="1"/>
    <m/>
    <m/>
    <m/>
    <x v="0"/>
    <m/>
    <m/>
    <x v="0"/>
    <x v="0"/>
    <s v="LINHA DO CIRCUITO ARENOSO LINHA DE DESCARGA  DO DISTRIBUIDOR DI-145A-9913"/>
    <s v="SC-006"/>
    <s v="SP 8305 C"/>
    <s v="1450AA-L-70046"/>
    <s v="1450AA-S-58305"/>
    <n v="3"/>
    <s v="PÇ"/>
    <n v="48"/>
    <n v="144"/>
    <n v="0"/>
    <n v="0"/>
    <n v="0"/>
    <n v="0.9"/>
    <n v="0.1"/>
    <m/>
    <m/>
    <x v="0"/>
    <n v="0"/>
    <m/>
    <n v="0"/>
    <n v="144"/>
    <m/>
    <n v="0"/>
    <n v="0"/>
    <n v="0"/>
    <m/>
    <m/>
    <m/>
    <n v="0"/>
    <n v="0"/>
    <n v="0"/>
    <n v="0"/>
    <m/>
    <m/>
  </r>
  <r>
    <n v="0"/>
    <s v="CMS S.60.10.000"/>
    <x v="1"/>
    <m/>
    <m/>
    <m/>
    <x v="0"/>
    <m/>
    <m/>
    <x v="0"/>
    <x v="0"/>
    <s v="LINHA DO CIRCUITO ARENOSO LINHA DE DESCARGA  DO DISTRIBUIDOR DI-145A-9913"/>
    <s v="SC-006"/>
    <s v="SP 8305 D"/>
    <s v="1450AA-L-70046"/>
    <s v="1450AA-S-58305"/>
    <n v="3"/>
    <s v="PÇ"/>
    <n v="39.200000000000003"/>
    <n v="117.60000000000001"/>
    <n v="0"/>
    <n v="0"/>
    <n v="0"/>
    <n v="0.9"/>
    <n v="0.1"/>
    <m/>
    <m/>
    <x v="0"/>
    <n v="0"/>
    <m/>
    <n v="0"/>
    <n v="117.60000000000001"/>
    <m/>
    <n v="0"/>
    <n v="0"/>
    <n v="0"/>
    <m/>
    <m/>
    <m/>
    <n v="0"/>
    <n v="0"/>
    <n v="0"/>
    <n v="0"/>
    <m/>
    <m/>
  </r>
  <r>
    <n v="0"/>
    <s v="CMS S.60.10.000"/>
    <x v="1"/>
    <m/>
    <m/>
    <m/>
    <x v="0"/>
    <m/>
    <m/>
    <x v="0"/>
    <x v="0"/>
    <s v="LINHA DO CIRCUITO ARENOSO LINHA DE DESCARGA  DO DISTRIBUIDOR DI-145A-9913"/>
    <s v="SC-006"/>
    <s v="SP 8305 E"/>
    <s v="1450AA-L-70046"/>
    <s v="1450AA-S-58305"/>
    <n v="1"/>
    <s v="PÇ"/>
    <n v="34.299999999999997"/>
    <n v="34.299999999999997"/>
    <n v="0"/>
    <n v="0"/>
    <n v="0"/>
    <n v="0.9"/>
    <n v="0.1"/>
    <m/>
    <m/>
    <x v="0"/>
    <n v="0"/>
    <m/>
    <n v="0"/>
    <n v="34.299999999999997"/>
    <m/>
    <n v="0"/>
    <n v="0"/>
    <n v="0"/>
    <m/>
    <m/>
    <m/>
    <n v="0"/>
    <n v="0"/>
    <n v="0"/>
    <n v="0"/>
    <m/>
    <m/>
  </r>
  <r>
    <n v="0"/>
    <s v="CMS S.60.10.000"/>
    <x v="1"/>
    <m/>
    <m/>
    <m/>
    <x v="0"/>
    <m/>
    <m/>
    <x v="0"/>
    <x v="0"/>
    <s v="LINHA DO CIRCUITO ARENOSO LINHA DE DESCARGA  DO DISTRIBUIDOR DI-145A-9913"/>
    <s v="SC-006"/>
    <s v="SP 8305 F"/>
    <s v="1450AA-L-70046"/>
    <s v="1450AA-S-58305"/>
    <n v="4"/>
    <s v="PÇ"/>
    <n v="23.6"/>
    <n v="94.4"/>
    <n v="0"/>
    <n v="0"/>
    <n v="0"/>
    <n v="0.9"/>
    <n v="0.1"/>
    <m/>
    <m/>
    <x v="0"/>
    <n v="0"/>
    <m/>
    <n v="0"/>
    <n v="94.4"/>
    <m/>
    <n v="0"/>
    <n v="0"/>
    <n v="0"/>
    <m/>
    <m/>
    <m/>
    <n v="0"/>
    <n v="0"/>
    <n v="0"/>
    <n v="0"/>
    <m/>
    <m/>
  </r>
  <r>
    <n v="0"/>
    <s v="CMS S.60.10.000"/>
    <x v="1"/>
    <m/>
    <m/>
    <m/>
    <x v="0"/>
    <m/>
    <m/>
    <x v="0"/>
    <x v="0"/>
    <s v="LINHA DO CIRCUITO ARENOSO LINHA DE DESCARGA  DO DISTRIBUIDOR DI-145A-9913"/>
    <s v="SC-006"/>
    <s v="SP 8305 G"/>
    <s v="1450AA-L-70046"/>
    <s v="1450AA-S-58305"/>
    <n v="1"/>
    <s v="PÇ"/>
    <n v="7.8"/>
    <n v="7.8"/>
    <n v="0"/>
    <n v="0"/>
    <n v="0"/>
    <n v="0.9"/>
    <n v="0.1"/>
    <m/>
    <m/>
    <x v="0"/>
    <n v="0"/>
    <m/>
    <n v="0"/>
    <n v="7.8"/>
    <m/>
    <n v="0"/>
    <n v="0"/>
    <n v="0"/>
    <m/>
    <m/>
    <m/>
    <n v="0"/>
    <n v="0"/>
    <n v="0"/>
    <n v="0"/>
    <m/>
    <m/>
  </r>
  <r>
    <n v="0"/>
    <s v="CMS S.60.10.000"/>
    <x v="1"/>
    <m/>
    <m/>
    <m/>
    <x v="0"/>
    <m/>
    <m/>
    <x v="0"/>
    <x v="0"/>
    <s v="LINHA DO CIRCUITO ARENOSO LINHA DE DESCARGA  DO DISTRIBUIDOR DI-145A-9913"/>
    <s v="SC-006"/>
    <s v="SP 8305 H"/>
    <s v="1450AA-L-70046"/>
    <s v="1450AA-S-58305"/>
    <n v="2"/>
    <s v="PÇ"/>
    <n v="66"/>
    <n v="132"/>
    <n v="0"/>
    <n v="0"/>
    <n v="0"/>
    <n v="0.9"/>
    <n v="0.1"/>
    <m/>
    <m/>
    <x v="0"/>
    <n v="0"/>
    <m/>
    <n v="0"/>
    <n v="132"/>
    <m/>
    <n v="0"/>
    <n v="0"/>
    <n v="0"/>
    <m/>
    <m/>
    <m/>
    <n v="0"/>
    <n v="0"/>
    <n v="0"/>
    <n v="0"/>
    <m/>
    <m/>
  </r>
  <r>
    <n v="0"/>
    <s v="CMS S.60.10.000"/>
    <x v="1"/>
    <m/>
    <m/>
    <m/>
    <x v="0"/>
    <m/>
    <m/>
    <x v="0"/>
    <x v="0"/>
    <s v="LINHA DO CIRCUITO ARENOSO LINHA DE DESCARGA  DO DISTRIBUIDOR DI-145A-9913"/>
    <s v="SC-006"/>
    <s v="SP 8305 J"/>
    <s v="1450AA-L-70046"/>
    <s v="1450AA-S-58305"/>
    <n v="1"/>
    <s v="PÇ"/>
    <n v="8.9"/>
    <n v="8.9"/>
    <n v="0"/>
    <n v="0"/>
    <n v="0"/>
    <n v="0.9"/>
    <n v="0.1"/>
    <m/>
    <m/>
    <x v="0"/>
    <n v="0"/>
    <m/>
    <n v="0"/>
    <n v="8.9"/>
    <m/>
    <n v="0"/>
    <n v="0"/>
    <n v="0"/>
    <m/>
    <m/>
    <m/>
    <n v="0"/>
    <n v="0"/>
    <n v="0"/>
    <n v="0"/>
    <m/>
    <m/>
  </r>
  <r>
    <n v="0"/>
    <s v="CMS S.60.10.000"/>
    <x v="1"/>
    <m/>
    <m/>
    <m/>
    <x v="0"/>
    <m/>
    <m/>
    <x v="0"/>
    <x v="0"/>
    <s v="LINHA DO CIRCUITO ARENOSO LINHA DE DESCARGA  DO DISTRIBUIDOR DI-145A-9913"/>
    <s v="SC-006"/>
    <s v="SP 8305 K"/>
    <s v="1450AA-L-70046"/>
    <s v="1450AA-S-58305"/>
    <n v="1"/>
    <s v="PÇ"/>
    <n v="7.3"/>
    <n v="7.3"/>
    <n v="0"/>
    <n v="0"/>
    <n v="0"/>
    <n v="0.9"/>
    <n v="0.1"/>
    <m/>
    <m/>
    <x v="0"/>
    <n v="0"/>
    <m/>
    <n v="0"/>
    <n v="7.3"/>
    <m/>
    <n v="0"/>
    <n v="0"/>
    <n v="0"/>
    <m/>
    <m/>
    <m/>
    <n v="0"/>
    <n v="0"/>
    <n v="0"/>
    <n v="0"/>
    <m/>
    <m/>
  </r>
  <r>
    <n v="0"/>
    <s v="CMS S.60.10.000"/>
    <x v="1"/>
    <m/>
    <m/>
    <m/>
    <x v="0"/>
    <m/>
    <m/>
    <x v="0"/>
    <x v="0"/>
    <s v="LINHA DO CIRCUITO ARENOSO LINHA DE DESCARGA  DO DISTRIBUIDOR DI-145A-9913"/>
    <s v="SC-006"/>
    <s v="SP 8305 L"/>
    <s v="1450AA-L-70046"/>
    <s v="1450AA-S-58305"/>
    <n v="3"/>
    <s v="PÇ"/>
    <n v="7.3"/>
    <n v="21.9"/>
    <n v="0"/>
    <n v="0"/>
    <n v="0"/>
    <n v="0.9"/>
    <n v="0.1"/>
    <m/>
    <m/>
    <x v="0"/>
    <n v="0"/>
    <m/>
    <n v="0"/>
    <n v="21.9"/>
    <m/>
    <n v="0"/>
    <n v="0"/>
    <n v="0"/>
    <m/>
    <m/>
    <m/>
    <n v="0"/>
    <n v="0"/>
    <n v="0"/>
    <n v="0"/>
    <m/>
    <m/>
  </r>
  <r>
    <n v="0"/>
    <s v="CMS S.60.10.000"/>
    <x v="1"/>
    <m/>
    <m/>
    <m/>
    <x v="0"/>
    <m/>
    <m/>
    <x v="0"/>
    <x v="0"/>
    <s v="LINHA DO CIRCUITO ARENOSO LINHA DE DESCARGA  DO DISTRIBUIDOR DI-145A-9914"/>
    <s v="SC-006"/>
    <s v="SP 8306 A"/>
    <m/>
    <s v="1450AA-S-58306"/>
    <n v="2"/>
    <s v="PÇ"/>
    <n v="49.8"/>
    <n v="99.6"/>
    <n v="0"/>
    <n v="0"/>
    <n v="0"/>
    <n v="0.9"/>
    <n v="0.1"/>
    <m/>
    <m/>
    <x v="0"/>
    <n v="0"/>
    <m/>
    <n v="0"/>
    <n v="99.6"/>
    <m/>
    <n v="0"/>
    <n v="0"/>
    <n v="0"/>
    <m/>
    <m/>
    <m/>
    <n v="0"/>
    <n v="0"/>
    <n v="0"/>
    <n v="0"/>
    <m/>
    <m/>
  </r>
  <r>
    <n v="0"/>
    <s v="CMS S.60.10.000"/>
    <x v="1"/>
    <m/>
    <m/>
    <m/>
    <x v="0"/>
    <m/>
    <m/>
    <x v="0"/>
    <x v="0"/>
    <s v="LINHA DO CIRCUITO ARENOSO LINHA DE DESCARGA  DO DISTRIBUIDOR DI-145A-9914"/>
    <s v="SC-006"/>
    <s v="SP 8306 B"/>
    <m/>
    <s v="1450AA-S-58306"/>
    <n v="1"/>
    <s v="PÇ"/>
    <n v="70.7"/>
    <n v="70.7"/>
    <n v="0"/>
    <n v="0"/>
    <n v="0"/>
    <n v="0.9"/>
    <n v="0.1"/>
    <m/>
    <m/>
    <x v="0"/>
    <n v="0"/>
    <m/>
    <n v="0"/>
    <n v="70.7"/>
    <m/>
    <n v="0"/>
    <n v="0"/>
    <n v="0"/>
    <m/>
    <m/>
    <m/>
    <n v="0"/>
    <n v="0"/>
    <n v="0"/>
    <n v="0"/>
    <m/>
    <m/>
  </r>
  <r>
    <n v="0"/>
    <s v="CMS S.60.10.000"/>
    <x v="1"/>
    <m/>
    <m/>
    <m/>
    <x v="0"/>
    <m/>
    <m/>
    <x v="0"/>
    <x v="0"/>
    <s v="LINHA DO CIRCUITO ARENOSO LINHA DE DESCARGA  DO DISTRIBUIDOR DI-145A-9914"/>
    <s v="SC-006"/>
    <s v="SP 8306 C"/>
    <m/>
    <s v="1450AA-S-58306"/>
    <n v="9"/>
    <s v="PÇ"/>
    <n v="7.2"/>
    <n v="64.8"/>
    <n v="0"/>
    <n v="0"/>
    <n v="0"/>
    <n v="0.9"/>
    <n v="0.1"/>
    <m/>
    <m/>
    <x v="0"/>
    <n v="0"/>
    <m/>
    <n v="0"/>
    <n v="64.8"/>
    <m/>
    <n v="0"/>
    <n v="0"/>
    <n v="0"/>
    <m/>
    <m/>
    <m/>
    <n v="0"/>
    <n v="0"/>
    <n v="0"/>
    <n v="0"/>
    <m/>
    <m/>
  </r>
  <r>
    <n v="0"/>
    <s v="CMS S.60.10.000"/>
    <x v="1"/>
    <m/>
    <m/>
    <m/>
    <x v="0"/>
    <m/>
    <m/>
    <x v="0"/>
    <x v="0"/>
    <s v="LINHA DO CIRCUITO ARENOSO LINHA DE DESCARGA  DO DISTRIBUIDOR DI-145A-9914"/>
    <s v="SC-006"/>
    <s v="SP 8306 D"/>
    <m/>
    <s v="1450AA-S-58306"/>
    <n v="1"/>
    <s v="PÇ"/>
    <n v="13.1"/>
    <n v="13.1"/>
    <n v="0"/>
    <n v="0"/>
    <n v="0"/>
    <n v="0.9"/>
    <n v="0.1"/>
    <m/>
    <m/>
    <x v="0"/>
    <n v="0"/>
    <m/>
    <n v="0"/>
    <n v="13.1"/>
    <m/>
    <n v="0"/>
    <n v="0"/>
    <n v="0"/>
    <m/>
    <m/>
    <m/>
    <n v="0"/>
    <n v="0"/>
    <n v="0"/>
    <n v="0"/>
    <m/>
    <m/>
  </r>
  <r>
    <n v="0"/>
    <s v="CMS S.60.10.000"/>
    <x v="1"/>
    <m/>
    <m/>
    <m/>
    <x v="0"/>
    <m/>
    <m/>
    <x v="0"/>
    <x v="0"/>
    <s v="LINHA DO CIRCUITO ARENOSO LINHA DE DESCARGA  DO DISTRIBUIDOR DI-145A-9914"/>
    <s v="SC-006"/>
    <s v="SP 8306 E"/>
    <m/>
    <s v="1450AA-S-58306"/>
    <n v="1"/>
    <s v="PÇ"/>
    <n v="8.5"/>
    <n v="8.5"/>
    <n v="0"/>
    <n v="0"/>
    <n v="0"/>
    <n v="0.9"/>
    <n v="0.1"/>
    <m/>
    <m/>
    <x v="0"/>
    <n v="0"/>
    <m/>
    <n v="0"/>
    <n v="8.5"/>
    <m/>
    <n v="0"/>
    <n v="0"/>
    <n v="0"/>
    <m/>
    <m/>
    <m/>
    <n v="0"/>
    <n v="0"/>
    <n v="0"/>
    <n v="0"/>
    <m/>
    <m/>
  </r>
  <r>
    <n v="0"/>
    <s v="CMS S.60.10.000"/>
    <x v="1"/>
    <m/>
    <m/>
    <m/>
    <x v="0"/>
    <m/>
    <m/>
    <x v="0"/>
    <x v="0"/>
    <s v="LINHA DO CIRCUITO ARENOSO LINHA DE DESCARGA  DO DISTRIBUIDOR DI-145A-9914"/>
    <s v="SC-006"/>
    <s v="SP 8306 F"/>
    <m/>
    <s v="1450AA-S-58306"/>
    <n v="1"/>
    <s v="PÇ"/>
    <n v="5.8"/>
    <n v="5.8"/>
    <n v="0"/>
    <n v="0"/>
    <n v="0"/>
    <n v="0.9"/>
    <n v="0.1"/>
    <m/>
    <m/>
    <x v="0"/>
    <n v="0"/>
    <m/>
    <n v="0"/>
    <n v="5.8"/>
    <m/>
    <n v="0"/>
    <n v="0"/>
    <n v="0"/>
    <m/>
    <m/>
    <m/>
    <n v="0"/>
    <n v="0"/>
    <n v="0"/>
    <n v="0"/>
    <m/>
    <m/>
  </r>
  <r>
    <n v="0"/>
    <s v="CMS S.60.10.000"/>
    <x v="1"/>
    <m/>
    <m/>
    <m/>
    <x v="0"/>
    <m/>
    <m/>
    <x v="0"/>
    <x v="0"/>
    <s v="LINHA DO CIRCUITO ARENOSO LINHA DE DESCARGA  DO DISTRIBUIDOR DI-145A-9914"/>
    <s v="SC-006"/>
    <s v="SP 8306 G"/>
    <m/>
    <s v="1450AA-S-58306"/>
    <n v="1"/>
    <s v="PÇ"/>
    <n v="3.5"/>
    <n v="3.5"/>
    <n v="0"/>
    <n v="0"/>
    <n v="0"/>
    <n v="0.9"/>
    <n v="0.1"/>
    <m/>
    <m/>
    <x v="0"/>
    <n v="0"/>
    <m/>
    <n v="0"/>
    <n v="3.5"/>
    <m/>
    <n v="0"/>
    <n v="0"/>
    <n v="0"/>
    <m/>
    <m/>
    <m/>
    <n v="0"/>
    <n v="0"/>
    <n v="0"/>
    <n v="0"/>
    <m/>
    <m/>
  </r>
  <r>
    <n v="0"/>
    <s v="CMS S.60.10.000"/>
    <x v="1"/>
    <m/>
    <m/>
    <m/>
    <x v="0"/>
    <m/>
    <m/>
    <x v="0"/>
    <x v="0"/>
    <s v="LINHA DO CIRCUITO ARENOSO LINHA DE DESCARGA  DO DISTRIBUIDOR DI-145A-9914"/>
    <s v="SC-006"/>
    <s v="SP 8306 H"/>
    <m/>
    <s v="1450AA-S-58306"/>
    <n v="1"/>
    <s v="PÇ"/>
    <n v="30.6"/>
    <n v="30.6"/>
    <n v="0"/>
    <n v="0"/>
    <n v="0"/>
    <n v="0.9"/>
    <n v="0.1"/>
    <m/>
    <m/>
    <x v="0"/>
    <n v="0"/>
    <m/>
    <n v="0"/>
    <n v="30.6"/>
    <m/>
    <n v="0"/>
    <n v="0"/>
    <n v="0"/>
    <m/>
    <m/>
    <m/>
    <n v="0"/>
    <n v="0"/>
    <n v="0"/>
    <n v="0"/>
    <m/>
    <m/>
  </r>
  <r>
    <n v="0"/>
    <s v="CMS S.60.10.000"/>
    <x v="1"/>
    <m/>
    <m/>
    <m/>
    <x v="0"/>
    <m/>
    <m/>
    <x v="0"/>
    <x v="0"/>
    <s v="LINHA DO CIRCUITO ARENOSO LINHA DE DESCARGA  DO DISTRIBUIDOR DI-145A-9914"/>
    <s v="SC-006"/>
    <s v="SP 8306 J"/>
    <m/>
    <s v="1450AA-S-58306"/>
    <n v="1"/>
    <s v="PÇ"/>
    <n v="17.5"/>
    <n v="17.5"/>
    <n v="0"/>
    <n v="0"/>
    <n v="0"/>
    <n v="0.9"/>
    <n v="0.1"/>
    <m/>
    <m/>
    <x v="0"/>
    <n v="0"/>
    <m/>
    <n v="0"/>
    <n v="17.5"/>
    <m/>
    <n v="0"/>
    <n v="0"/>
    <n v="0"/>
    <m/>
    <m/>
    <m/>
    <n v="0"/>
    <n v="0"/>
    <n v="0"/>
    <n v="0"/>
    <m/>
    <m/>
  </r>
  <r>
    <n v="0"/>
    <s v="CMS S.60.10.000"/>
    <x v="1"/>
    <m/>
    <m/>
    <m/>
    <x v="0"/>
    <m/>
    <m/>
    <x v="0"/>
    <x v="0"/>
    <s v="LINHA DO CIRCUITO ARENOSO LINHA DE DESCARGA  DO DISTRIBUIDOR DI-145A-9914"/>
    <s v="SC-006"/>
    <s v="SP 8306 K"/>
    <m/>
    <s v="1450AA-S-58306"/>
    <n v="1"/>
    <s v="PÇ"/>
    <n v="11"/>
    <n v="11"/>
    <n v="0"/>
    <n v="0"/>
    <n v="0"/>
    <n v="0.9"/>
    <n v="0.1"/>
    <m/>
    <m/>
    <x v="0"/>
    <n v="0"/>
    <m/>
    <n v="0"/>
    <n v="11"/>
    <m/>
    <n v="0"/>
    <n v="0"/>
    <n v="0"/>
    <m/>
    <m/>
    <m/>
    <n v="0"/>
    <n v="0"/>
    <n v="0"/>
    <n v="0"/>
    <m/>
    <m/>
  </r>
  <r>
    <n v="0"/>
    <s v="CMS S.60.10.000"/>
    <x v="1"/>
    <m/>
    <m/>
    <m/>
    <x v="0"/>
    <m/>
    <m/>
    <x v="0"/>
    <x v="0"/>
    <s v="LINHA DO CIRCUITO ARENOSO LINHA DE DESCARGA  DO DISTRIBUIDOR DI-145A-9914"/>
    <s v="SC-006"/>
    <s v="SP 8306 L"/>
    <m/>
    <s v="1450AA-S-58306"/>
    <n v="3"/>
    <s v="PÇ"/>
    <n v="41.5"/>
    <n v="124.5"/>
    <n v="0"/>
    <n v="0"/>
    <n v="0"/>
    <n v="0.9"/>
    <n v="0.1"/>
    <m/>
    <m/>
    <x v="0"/>
    <n v="0"/>
    <m/>
    <n v="0"/>
    <n v="124.5"/>
    <m/>
    <n v="0"/>
    <n v="0"/>
    <n v="0"/>
    <m/>
    <m/>
    <m/>
    <n v="0"/>
    <n v="0"/>
    <n v="0"/>
    <n v="0"/>
    <m/>
    <m/>
  </r>
  <r>
    <n v="0"/>
    <s v="CMS S.60.10.000"/>
    <x v="1"/>
    <m/>
    <m/>
    <m/>
    <x v="0"/>
    <m/>
    <m/>
    <x v="0"/>
    <x v="0"/>
    <s v="LINHA DO CIRCUITO ARENOSO LINHA DE DESCARGA  DO DISTRIBUIDOR DI-145A-9914"/>
    <s v="SC-006"/>
    <s v="SP 8306 M"/>
    <m/>
    <s v="1450AA-S-58306"/>
    <n v="3"/>
    <s v="PÇ"/>
    <n v="38.800000000000004"/>
    <n v="116.4"/>
    <n v="0"/>
    <n v="0"/>
    <n v="0"/>
    <n v="0.9"/>
    <n v="0.1"/>
    <m/>
    <m/>
    <x v="0"/>
    <n v="0"/>
    <m/>
    <n v="0"/>
    <n v="116.4"/>
    <m/>
    <n v="0"/>
    <n v="0"/>
    <n v="0"/>
    <m/>
    <m/>
    <m/>
    <n v="0"/>
    <n v="0"/>
    <n v="0"/>
    <n v="0"/>
    <m/>
    <m/>
  </r>
  <r>
    <n v="0"/>
    <s v="CMS S.60.10.000"/>
    <x v="1"/>
    <m/>
    <m/>
    <m/>
    <x v="0"/>
    <m/>
    <m/>
    <x v="0"/>
    <x v="0"/>
    <s v="LINHA DO CIRCUITO ARENOSO LINHA DE DESCARGA  DO DISTRIBUIDOR DI-145A-9914"/>
    <s v="SC-006"/>
    <s v="SP 8306 N"/>
    <m/>
    <s v="1450AA-S-58306"/>
    <n v="1"/>
    <s v="PÇ"/>
    <n v="3.1999999999999997"/>
    <n v="3.1999999999999997"/>
    <n v="0"/>
    <n v="0"/>
    <n v="0"/>
    <n v="0.9"/>
    <n v="0.1"/>
    <m/>
    <m/>
    <x v="0"/>
    <n v="0"/>
    <m/>
    <n v="0"/>
    <n v="3.1999999999999997"/>
    <m/>
    <n v="0"/>
    <n v="0"/>
    <n v="0"/>
    <m/>
    <m/>
    <m/>
    <n v="0"/>
    <n v="0"/>
    <n v="0"/>
    <n v="0"/>
    <m/>
    <m/>
  </r>
  <r>
    <n v="0"/>
    <s v="CMS S.60.10.000"/>
    <x v="1"/>
    <m/>
    <m/>
    <m/>
    <x v="0"/>
    <m/>
    <m/>
    <x v="0"/>
    <x v="0"/>
    <s v="LINHA DO CIRCUITO ARENOSO LINHA DE DESCARGA  DO DISTRIBUIDOR DI-145A-9914"/>
    <s v="SC-006"/>
    <s v="SP 8306 P"/>
    <m/>
    <s v="1450AA-S-58306"/>
    <n v="1"/>
    <s v="PÇ"/>
    <n v="2.3000000000000003"/>
    <n v="2.3000000000000003"/>
    <n v="0"/>
    <n v="0"/>
    <n v="0"/>
    <n v="0.9"/>
    <n v="0.1"/>
    <m/>
    <m/>
    <x v="0"/>
    <n v="0"/>
    <m/>
    <n v="0"/>
    <n v="2.3000000000000003"/>
    <m/>
    <n v="0"/>
    <n v="0"/>
    <n v="0"/>
    <m/>
    <m/>
    <m/>
    <n v="0"/>
    <n v="0"/>
    <n v="0"/>
    <n v="0"/>
    <m/>
    <m/>
  </r>
  <r>
    <n v="0"/>
    <s v="CMS S.60.10.000"/>
    <x v="1"/>
    <m/>
    <m/>
    <m/>
    <x v="0"/>
    <m/>
    <m/>
    <x v="0"/>
    <x v="0"/>
    <s v="LINHA DO CIRCUITO ARENOSO LINHA DE DESCARGA  DO DISTRIBUIDOR DI-145A-9914"/>
    <s v="SC-006"/>
    <s v="SP 8306 Q"/>
    <m/>
    <s v="1450AA-S-58306"/>
    <n v="1"/>
    <s v="PÇ"/>
    <n v="0.6"/>
    <n v="0.6"/>
    <n v="0"/>
    <n v="0"/>
    <n v="0"/>
    <n v="0.9"/>
    <n v="0.1"/>
    <m/>
    <m/>
    <x v="0"/>
    <n v="0"/>
    <m/>
    <n v="0"/>
    <n v="0.6"/>
    <m/>
    <n v="0"/>
    <n v="0"/>
    <n v="0"/>
    <m/>
    <m/>
    <m/>
    <n v="0"/>
    <n v="0"/>
    <n v="0"/>
    <n v="0"/>
    <m/>
    <m/>
  </r>
  <r>
    <n v="0"/>
    <s v="CMS S.60.10.000"/>
    <x v="1"/>
    <m/>
    <m/>
    <m/>
    <x v="0"/>
    <m/>
    <m/>
    <x v="0"/>
    <x v="0"/>
    <s v="LINHA DO CIRCUITO ARENOSO LINHA DE DESCARGA  DO DISTRIBUIDOR DI-145A-9914"/>
    <s v="SC-006"/>
    <s v="SP 8306 R"/>
    <m/>
    <s v="1450AA-S-58306"/>
    <n v="1"/>
    <s v="PÇ"/>
    <n v="0.5"/>
    <n v="0.5"/>
    <n v="0"/>
    <n v="0"/>
    <n v="0"/>
    <n v="0.9"/>
    <n v="0.1"/>
    <m/>
    <m/>
    <x v="0"/>
    <n v="0"/>
    <m/>
    <n v="0"/>
    <n v="0.5"/>
    <m/>
    <n v="0"/>
    <n v="0"/>
    <n v="0"/>
    <m/>
    <m/>
    <m/>
    <n v="0"/>
    <n v="0"/>
    <n v="0"/>
    <n v="0"/>
    <m/>
    <m/>
  </r>
  <r>
    <n v="0"/>
    <s v="CMS S.60.10.000"/>
    <x v="1"/>
    <m/>
    <m/>
    <m/>
    <x v="0"/>
    <m/>
    <m/>
    <x v="0"/>
    <x v="0"/>
    <s v="LINHA DO CIRCUITO ARENOSO LINHA DE DESCARGA  DO DISTRIBUIDOR DI-145A-9914"/>
    <s v="SC-006"/>
    <s v="SP 8306 S"/>
    <m/>
    <s v="1450AA-S-58306"/>
    <n v="1"/>
    <s v="PÇ"/>
    <n v="13.4"/>
    <n v="13.4"/>
    <n v="0"/>
    <n v="0"/>
    <n v="0"/>
    <n v="0.9"/>
    <n v="0.1"/>
    <m/>
    <m/>
    <x v="0"/>
    <n v="0"/>
    <m/>
    <n v="0"/>
    <n v="13.4"/>
    <m/>
    <n v="0"/>
    <n v="0"/>
    <n v="0"/>
    <m/>
    <m/>
    <m/>
    <n v="0"/>
    <n v="0"/>
    <n v="0"/>
    <n v="0"/>
    <m/>
    <m/>
  </r>
  <r>
    <n v="0"/>
    <s v="CMS S.60.10.000"/>
    <x v="1"/>
    <m/>
    <m/>
    <m/>
    <x v="0"/>
    <m/>
    <m/>
    <x v="0"/>
    <x v="0"/>
    <s v="LINHA DO CIRCUITO ARENOSO LINHA DE DESCARGA  DO DISTRIBUIDOR DI-145A-9914"/>
    <s v="SC-006"/>
    <s v="SP 8306 T"/>
    <m/>
    <s v="1450AA-S-58306"/>
    <n v="1"/>
    <s v="PÇ"/>
    <n v="10"/>
    <n v="10"/>
    <n v="0"/>
    <n v="0"/>
    <n v="0"/>
    <n v="0.9"/>
    <n v="0.1"/>
    <m/>
    <m/>
    <x v="0"/>
    <n v="0"/>
    <m/>
    <n v="0"/>
    <n v="10"/>
    <m/>
    <n v="0"/>
    <n v="0"/>
    <n v="0"/>
    <m/>
    <m/>
    <m/>
    <n v="0"/>
    <n v="0"/>
    <n v="0"/>
    <n v="0"/>
    <m/>
    <m/>
  </r>
  <r>
    <n v="0"/>
    <s v="CMS S.60.10.000"/>
    <x v="1"/>
    <m/>
    <m/>
    <m/>
    <x v="0"/>
    <m/>
    <m/>
    <x v="0"/>
    <x v="0"/>
    <s v="LINHA DE UNDERFLOW DAS PENEIRAS DESAGUADORAS"/>
    <s v="SC-026"/>
    <s v="SP 8307 A"/>
    <s v="1450AA-L-70113"/>
    <s v="1450AA-S-58307"/>
    <n v="1"/>
    <s v="PÇ"/>
    <n v="12.7"/>
    <n v="12.7"/>
    <n v="0"/>
    <n v="0"/>
    <n v="0"/>
    <n v="0.9"/>
    <n v="0.1"/>
    <m/>
    <m/>
    <x v="0"/>
    <n v="0"/>
    <m/>
    <n v="0"/>
    <n v="12.7"/>
    <m/>
    <n v="0"/>
    <n v="0"/>
    <n v="0"/>
    <m/>
    <m/>
    <m/>
    <n v="0"/>
    <n v="0"/>
    <n v="0"/>
    <n v="0"/>
    <m/>
    <m/>
  </r>
  <r>
    <n v="0"/>
    <s v="CMS S.60.10.000"/>
    <x v="1"/>
    <m/>
    <m/>
    <m/>
    <x v="0"/>
    <m/>
    <m/>
    <x v="0"/>
    <x v="0"/>
    <s v="LINHA DE UNDERFLOW DAS PENEIRAS DESAGUADORAS"/>
    <s v="SC-026"/>
    <s v="SP 8307 B"/>
    <s v="1450AA-L-70113"/>
    <s v="1450AA-S-58307"/>
    <n v="1"/>
    <s v="PÇ"/>
    <n v="24.5"/>
    <n v="24.5"/>
    <n v="0"/>
    <n v="0"/>
    <n v="0"/>
    <n v="0.9"/>
    <n v="0.1"/>
    <m/>
    <m/>
    <x v="0"/>
    <n v="0"/>
    <m/>
    <n v="0"/>
    <n v="24.5"/>
    <m/>
    <n v="0"/>
    <n v="0"/>
    <n v="0"/>
    <m/>
    <m/>
    <m/>
    <n v="0"/>
    <n v="0"/>
    <n v="0"/>
    <n v="0"/>
    <m/>
    <m/>
  </r>
  <r>
    <n v="0"/>
    <s v="CMS S.60.10.000"/>
    <x v="1"/>
    <m/>
    <m/>
    <m/>
    <x v="0"/>
    <m/>
    <m/>
    <x v="0"/>
    <x v="0"/>
    <s v="LINHA DE UNDERFLOW DAS PENEIRAS DESAGUADORAS"/>
    <s v="SC-026"/>
    <s v="SP 8307 C"/>
    <s v="1450AA-L-70113"/>
    <s v="1450AA-S-58307"/>
    <n v="2"/>
    <s v="PÇ"/>
    <n v="33.9"/>
    <n v="67.8"/>
    <n v="0"/>
    <n v="0"/>
    <n v="0"/>
    <n v="0.9"/>
    <n v="0.1"/>
    <m/>
    <m/>
    <x v="0"/>
    <n v="0"/>
    <m/>
    <n v="0"/>
    <n v="67.8"/>
    <m/>
    <n v="0"/>
    <n v="0"/>
    <n v="0"/>
    <m/>
    <m/>
    <m/>
    <n v="0"/>
    <n v="0"/>
    <n v="0"/>
    <n v="0"/>
    <m/>
    <m/>
  </r>
  <r>
    <n v="0"/>
    <s v="CMS S.60.10.000"/>
    <x v="1"/>
    <m/>
    <m/>
    <m/>
    <x v="0"/>
    <m/>
    <m/>
    <x v="0"/>
    <x v="0"/>
    <s v="LINHA DE UNDERFLOW DAS PENEIRAS DESAGUADORAS"/>
    <s v="SC-026"/>
    <s v="SP 8307 D"/>
    <s v="1450AA-L-70113"/>
    <s v="1450AA-S-58307"/>
    <n v="2"/>
    <s v="PÇ"/>
    <n v="4.1000000000000005"/>
    <n v="8.2000000000000011"/>
    <n v="0"/>
    <n v="0"/>
    <n v="0"/>
    <n v="0.9"/>
    <n v="0.1"/>
    <m/>
    <m/>
    <x v="0"/>
    <n v="0"/>
    <m/>
    <n v="0"/>
    <n v="8.2000000000000011"/>
    <m/>
    <n v="0"/>
    <n v="0"/>
    <n v="0"/>
    <m/>
    <m/>
    <m/>
    <n v="0"/>
    <n v="0"/>
    <n v="0"/>
    <n v="0"/>
    <m/>
    <m/>
  </r>
  <r>
    <n v="0"/>
    <s v="CMS S.60.10.000"/>
    <x v="1"/>
    <m/>
    <m/>
    <m/>
    <x v="0"/>
    <m/>
    <m/>
    <x v="0"/>
    <x v="0"/>
    <s v="LINHA DE UNDERFLOW DAS PENEIRAS DESAGUADORAS"/>
    <s v="SC-026"/>
    <s v="SP 8307 E"/>
    <s v="1450AA-L-70113"/>
    <s v="1450AA-S-58307"/>
    <n v="1"/>
    <s v="PÇ"/>
    <n v="8.1999999999999993"/>
    <n v="8.1999999999999993"/>
    <n v="0"/>
    <n v="0"/>
    <n v="0"/>
    <n v="0.9"/>
    <n v="0.1"/>
    <m/>
    <m/>
    <x v="0"/>
    <n v="0"/>
    <m/>
    <n v="0"/>
    <n v="8.1999999999999993"/>
    <m/>
    <n v="0"/>
    <n v="0"/>
    <n v="0"/>
    <m/>
    <m/>
    <m/>
    <n v="0"/>
    <n v="0"/>
    <n v="0"/>
    <n v="0"/>
    <m/>
    <m/>
  </r>
  <r>
    <n v="0"/>
    <s v="CMS S.60.10.000"/>
    <x v="1"/>
    <m/>
    <m/>
    <m/>
    <x v="0"/>
    <m/>
    <m/>
    <x v="0"/>
    <x v="0"/>
    <s v="LINHA DE UNDERFLOW DAS PENEIRAS DESAGUADORAS"/>
    <s v="SC-026"/>
    <s v="SP 8307 F"/>
    <s v="1450AA-L-70113"/>
    <s v="1450AA-S-58307"/>
    <n v="4"/>
    <s v="PÇ"/>
    <n v="11.4"/>
    <n v="45.6"/>
    <n v="0"/>
    <n v="0"/>
    <n v="0"/>
    <n v="0.9"/>
    <n v="0.1"/>
    <m/>
    <m/>
    <x v="0"/>
    <n v="0"/>
    <m/>
    <n v="0"/>
    <n v="45.6"/>
    <m/>
    <n v="0"/>
    <n v="0"/>
    <n v="0"/>
    <m/>
    <m/>
    <m/>
    <n v="0"/>
    <n v="0"/>
    <n v="0"/>
    <n v="0"/>
    <m/>
    <m/>
  </r>
  <r>
    <n v="0"/>
    <s v="CMS S.60.10.000"/>
    <x v="1"/>
    <m/>
    <m/>
    <m/>
    <x v="0"/>
    <m/>
    <m/>
    <x v="0"/>
    <x v="0"/>
    <s v="LINHA DE UNDERFLOW DAS PENEIRAS DESAGUADORAS"/>
    <s v="SC-026"/>
    <s v="SP 8307 G"/>
    <s v="1450AA-L-70113"/>
    <s v="1450AA-S-58307"/>
    <n v="1"/>
    <s v="PÇ"/>
    <n v="16.2"/>
    <n v="16.2"/>
    <n v="0"/>
    <n v="0"/>
    <n v="0"/>
    <n v="0.9"/>
    <n v="0.1"/>
    <m/>
    <m/>
    <x v="0"/>
    <n v="0"/>
    <m/>
    <n v="0"/>
    <n v="16.2"/>
    <m/>
    <n v="0"/>
    <n v="0"/>
    <n v="0"/>
    <m/>
    <m/>
    <m/>
    <n v="0"/>
    <n v="0"/>
    <n v="0"/>
    <n v="0"/>
    <m/>
    <m/>
  </r>
  <r>
    <n v="0"/>
    <s v="CMS S.60.10.000"/>
    <x v="1"/>
    <m/>
    <m/>
    <m/>
    <x v="0"/>
    <m/>
    <m/>
    <x v="0"/>
    <x v="0"/>
    <s v="LINHA DE UNDERFLOW DAS PENEIRAS DESAGUADORAS"/>
    <s v="SC-026"/>
    <s v="SP 8307 H"/>
    <s v="1450AA-L-70113"/>
    <s v="1450AA-S-58307"/>
    <n v="1"/>
    <s v="PÇ"/>
    <n v="18.600000000000001"/>
    <n v="18.600000000000001"/>
    <n v="0"/>
    <n v="0"/>
    <n v="0"/>
    <n v="0.9"/>
    <n v="0.1"/>
    <m/>
    <m/>
    <x v="0"/>
    <n v="0"/>
    <m/>
    <n v="0"/>
    <n v="18.600000000000001"/>
    <m/>
    <n v="0"/>
    <n v="0"/>
    <n v="0"/>
    <m/>
    <m/>
    <m/>
    <n v="0"/>
    <n v="0"/>
    <n v="0"/>
    <n v="0"/>
    <m/>
    <m/>
  </r>
  <r>
    <n v="0"/>
    <s v="CMS S.60.10.000"/>
    <x v="1"/>
    <m/>
    <m/>
    <m/>
    <x v="0"/>
    <m/>
    <m/>
    <x v="0"/>
    <x v="0"/>
    <s v="LINHA DE UNDERFLOW DAS PENEIRAS DESAGUADORAS"/>
    <s v="SC-026"/>
    <s v="SP 8307 J"/>
    <s v="1450AA-L-70113"/>
    <s v="1450AA-S-58307"/>
    <n v="3"/>
    <s v="PÇ"/>
    <n v="29.4"/>
    <n v="88.199999999999989"/>
    <n v="0"/>
    <n v="0"/>
    <n v="0"/>
    <n v="0.9"/>
    <n v="0.1"/>
    <m/>
    <m/>
    <x v="0"/>
    <n v="0"/>
    <m/>
    <n v="0"/>
    <n v="88.199999999999989"/>
    <m/>
    <n v="0"/>
    <n v="0"/>
    <n v="0"/>
    <m/>
    <m/>
    <m/>
    <n v="0"/>
    <n v="0"/>
    <n v="0"/>
    <n v="0"/>
    <m/>
    <m/>
  </r>
  <r>
    <n v="0"/>
    <s v="CMS S.60.10.000"/>
    <x v="1"/>
    <m/>
    <m/>
    <m/>
    <x v="0"/>
    <m/>
    <m/>
    <x v="0"/>
    <x v="0"/>
    <s v="LINHA DE UNDERFLOW DAS PENEIRAS DESAGUADORAS"/>
    <s v="SC-026"/>
    <s v="SP 8307 K"/>
    <s v="1450AA-L-70113"/>
    <s v="1450AA-S-58307"/>
    <n v="2"/>
    <s v="PÇ"/>
    <n v="33.700000000000003"/>
    <n v="67.400000000000006"/>
    <n v="0"/>
    <n v="0"/>
    <n v="0"/>
    <n v="0.9"/>
    <n v="0.1"/>
    <m/>
    <m/>
    <x v="0"/>
    <n v="0"/>
    <m/>
    <n v="0"/>
    <n v="67.400000000000006"/>
    <m/>
    <n v="0"/>
    <n v="0"/>
    <n v="0"/>
    <m/>
    <m/>
    <m/>
    <n v="0"/>
    <n v="0"/>
    <n v="0"/>
    <n v="0"/>
    <m/>
    <m/>
  </r>
  <r>
    <n v="0"/>
    <s v="CMS S.60.10.000"/>
    <x v="1"/>
    <m/>
    <m/>
    <m/>
    <x v="0"/>
    <m/>
    <m/>
    <x v="0"/>
    <x v="0"/>
    <s v="LINHA DE UNDERFLOW DAS PENEIRAS DESAGUADORAS"/>
    <s v="SC-026"/>
    <s v="SP 8307 L"/>
    <s v="1450AA-L-70113"/>
    <s v="1450AA-S-58307"/>
    <n v="1"/>
    <s v="PÇ"/>
    <n v="39.299999999999997"/>
    <n v="39.299999999999997"/>
    <n v="0"/>
    <n v="0"/>
    <n v="0"/>
    <n v="0.9"/>
    <n v="0.1"/>
    <m/>
    <m/>
    <x v="0"/>
    <n v="0"/>
    <m/>
    <n v="0"/>
    <n v="39.299999999999997"/>
    <m/>
    <n v="0"/>
    <n v="0"/>
    <n v="0"/>
    <m/>
    <m/>
    <m/>
    <n v="0"/>
    <n v="0"/>
    <n v="0"/>
    <n v="0"/>
    <m/>
    <m/>
  </r>
  <r>
    <n v="0"/>
    <s v="CMS S.60.10.000"/>
    <x v="1"/>
    <m/>
    <m/>
    <m/>
    <x v="0"/>
    <m/>
    <m/>
    <x v="0"/>
    <x v="0"/>
    <s v="LINHA DE UNDERFLOW DAS PENEIRAS DESAGUADORAS"/>
    <s v="SC-026"/>
    <s v="SP 8307 M"/>
    <s v="1450AA-L-70113"/>
    <s v="1450AA-S-58307"/>
    <n v="9"/>
    <s v="PÇ"/>
    <n v="25.6"/>
    <n v="230.4"/>
    <n v="0"/>
    <n v="0"/>
    <n v="0"/>
    <n v="0.9"/>
    <n v="0.1"/>
    <m/>
    <m/>
    <x v="0"/>
    <n v="0"/>
    <m/>
    <n v="0"/>
    <n v="230.4"/>
    <m/>
    <n v="0"/>
    <n v="0"/>
    <n v="0"/>
    <m/>
    <m/>
    <m/>
    <n v="0"/>
    <n v="0"/>
    <n v="0"/>
    <n v="0"/>
    <m/>
    <m/>
  </r>
  <r>
    <n v="0"/>
    <s v="CMS S.60.10.000"/>
    <x v="1"/>
    <m/>
    <m/>
    <m/>
    <x v="0"/>
    <m/>
    <m/>
    <x v="0"/>
    <x v="0"/>
    <s v="LINHA DE UNDERFLOW DAS PENEIRAS DESAGUADORAS"/>
    <s v="SC-026"/>
    <s v="SP 8307 N"/>
    <s v="1450AA-L-70113"/>
    <s v="1450AA-S-58307"/>
    <n v="1"/>
    <s v="PÇ"/>
    <n v="38.700000000000003"/>
    <n v="38.700000000000003"/>
    <n v="0"/>
    <n v="0"/>
    <n v="0"/>
    <n v="0.9"/>
    <n v="0.1"/>
    <m/>
    <m/>
    <x v="0"/>
    <n v="0"/>
    <m/>
    <n v="0"/>
    <n v="38.700000000000003"/>
    <m/>
    <n v="0"/>
    <n v="0"/>
    <n v="0"/>
    <m/>
    <m/>
    <m/>
    <n v="0"/>
    <n v="0"/>
    <n v="0"/>
    <n v="0"/>
    <m/>
    <m/>
  </r>
  <r>
    <n v="0"/>
    <s v="CMS S.60.10.000"/>
    <x v="1"/>
    <m/>
    <m/>
    <m/>
    <x v="0"/>
    <m/>
    <m/>
    <x v="0"/>
    <x v="0"/>
    <s v="LINHA DE UNDERFLOW DAS PENEIRAS DESAGUADORAS"/>
    <s v="SC-026"/>
    <s v="SP 8307 P"/>
    <s v="1450AA-L-70113"/>
    <s v="1450AA-S-58307"/>
    <n v="1"/>
    <s v="PÇ"/>
    <n v="53.6"/>
    <n v="53.6"/>
    <n v="0"/>
    <n v="0"/>
    <n v="0"/>
    <n v="0.9"/>
    <n v="0.1"/>
    <m/>
    <m/>
    <x v="0"/>
    <n v="0"/>
    <m/>
    <n v="0"/>
    <n v="53.6"/>
    <m/>
    <n v="0"/>
    <n v="0"/>
    <n v="0"/>
    <m/>
    <m/>
    <m/>
    <n v="0"/>
    <n v="0"/>
    <n v="0"/>
    <n v="0"/>
    <m/>
    <m/>
  </r>
  <r>
    <n v="0"/>
    <s v="CMS S.60.10.000"/>
    <x v="1"/>
    <m/>
    <m/>
    <m/>
    <x v="0"/>
    <m/>
    <m/>
    <x v="0"/>
    <x v="0"/>
    <s v="LINHA DE UNDERFLOW DAS PENEIRAS DESAGUADORAS"/>
    <s v="SC-026"/>
    <s v="SP 8307 Q"/>
    <s v="1450AA-L-70113"/>
    <s v="1450AA-S-58307"/>
    <n v="1"/>
    <s v="PÇ"/>
    <n v="70.599999999999994"/>
    <n v="70.599999999999994"/>
    <n v="0"/>
    <n v="0"/>
    <n v="0"/>
    <n v="0.9"/>
    <n v="0.1"/>
    <m/>
    <m/>
    <x v="0"/>
    <n v="0"/>
    <m/>
    <n v="0"/>
    <n v="70.599999999999994"/>
    <m/>
    <n v="0"/>
    <n v="0"/>
    <n v="0"/>
    <m/>
    <m/>
    <m/>
    <n v="0"/>
    <n v="0"/>
    <n v="0"/>
    <n v="0"/>
    <m/>
    <m/>
  </r>
  <r>
    <n v="0"/>
    <s v="CMS S.60.10.000"/>
    <x v="1"/>
    <m/>
    <m/>
    <m/>
    <x v="0"/>
    <m/>
    <m/>
    <x v="0"/>
    <x v="0"/>
    <s v="LINHA DE UNDERFLOW DAS PENEIRAS DESAGUADORAS"/>
    <s v="SC-026"/>
    <s v="SP 8307 R"/>
    <s v="1450AA-L-70113"/>
    <s v="1450AA-S-58307"/>
    <n v="1"/>
    <s v="PÇ"/>
    <n v="81.099999999999994"/>
    <n v="81.099999999999994"/>
    <n v="0"/>
    <n v="0"/>
    <n v="0"/>
    <n v="0.9"/>
    <n v="0.1"/>
    <m/>
    <m/>
    <x v="0"/>
    <n v="0"/>
    <m/>
    <n v="0"/>
    <n v="81.099999999999994"/>
    <m/>
    <n v="0"/>
    <n v="0"/>
    <n v="0"/>
    <m/>
    <m/>
    <m/>
    <n v="0"/>
    <n v="0"/>
    <n v="0"/>
    <n v="0"/>
    <m/>
    <m/>
  </r>
  <r>
    <n v="0"/>
    <s v="CMS S.60.10.000"/>
    <x v="1"/>
    <m/>
    <m/>
    <m/>
    <x v="0"/>
    <m/>
    <m/>
    <x v="0"/>
    <x v="0"/>
    <s v="LINHA DE UNDERFLOW DAS PENEIRAS DESAGUADORAS"/>
    <s v="SC-026"/>
    <s v="SP 8308 A"/>
    <s v="1450AA-L-70113"/>
    <s v="1450AA-S-58308"/>
    <n v="1"/>
    <s v="PÇ"/>
    <n v="36.200000000000003"/>
    <n v="36.200000000000003"/>
    <n v="0"/>
    <n v="0"/>
    <n v="0"/>
    <n v="0.9"/>
    <n v="0.1"/>
    <m/>
    <m/>
    <x v="0"/>
    <n v="0"/>
    <m/>
    <n v="0"/>
    <n v="36.200000000000003"/>
    <m/>
    <n v="0"/>
    <n v="0"/>
    <n v="0"/>
    <m/>
    <m/>
    <m/>
    <n v="0"/>
    <n v="0"/>
    <n v="0"/>
    <n v="0"/>
    <m/>
    <m/>
  </r>
  <r>
    <n v="0"/>
    <s v="CMS S.60.10.000"/>
    <x v="1"/>
    <m/>
    <m/>
    <m/>
    <x v="0"/>
    <m/>
    <m/>
    <x v="0"/>
    <x v="0"/>
    <s v="LINHA DE UNDERFLOW DAS PENEIRAS DESAGUADORAS"/>
    <s v="SC-026"/>
    <s v="SP 8308 B"/>
    <s v="1450AA-L-70113"/>
    <s v="1450AA-S-58308"/>
    <n v="1"/>
    <s v="PÇ"/>
    <n v="33"/>
    <n v="33"/>
    <n v="0"/>
    <n v="0"/>
    <n v="0"/>
    <n v="0.9"/>
    <n v="0.1"/>
    <m/>
    <m/>
    <x v="0"/>
    <n v="0"/>
    <m/>
    <n v="0"/>
    <n v="33"/>
    <m/>
    <n v="0"/>
    <n v="0"/>
    <n v="0"/>
    <m/>
    <m/>
    <m/>
    <n v="0"/>
    <n v="0"/>
    <n v="0"/>
    <n v="0"/>
    <m/>
    <m/>
  </r>
  <r>
    <n v="0"/>
    <s v="CMS S.60.10.000"/>
    <x v="1"/>
    <m/>
    <m/>
    <m/>
    <x v="0"/>
    <m/>
    <m/>
    <x v="0"/>
    <x v="0"/>
    <s v="LINHA DE UNDERFLOW DAS PENEIRAS DESAGUADORAS"/>
    <s v="SC-026"/>
    <s v="SP 8308 C"/>
    <s v="1450AA-L-70113"/>
    <s v="1450AA-S-58308"/>
    <n v="2"/>
    <s v="PÇ"/>
    <n v="7.3999999999999995"/>
    <n v="14.799999999999999"/>
    <n v="0"/>
    <n v="0"/>
    <n v="0"/>
    <n v="0.9"/>
    <n v="0.1"/>
    <m/>
    <m/>
    <x v="0"/>
    <n v="0"/>
    <m/>
    <n v="0"/>
    <n v="14.799999999999999"/>
    <m/>
    <n v="0"/>
    <n v="0"/>
    <n v="0"/>
    <m/>
    <m/>
    <m/>
    <n v="0"/>
    <n v="0"/>
    <n v="0"/>
    <n v="0"/>
    <m/>
    <m/>
  </r>
  <r>
    <n v="0"/>
    <s v="CMS S.60.10.000"/>
    <x v="1"/>
    <m/>
    <m/>
    <m/>
    <x v="0"/>
    <m/>
    <m/>
    <x v="0"/>
    <x v="0"/>
    <s v="LINHA DE UNDERFLOW DAS PENEIRAS DESAGUADORAS"/>
    <s v="SC-026"/>
    <s v="SP 8308 D"/>
    <s v="1450AA-L-70113"/>
    <s v="1450AA-S-58308"/>
    <n v="3"/>
    <s v="PÇ"/>
    <n v="13.9"/>
    <n v="41.7"/>
    <n v="0"/>
    <n v="0"/>
    <n v="0"/>
    <n v="0.9"/>
    <n v="0.1"/>
    <m/>
    <m/>
    <x v="0"/>
    <n v="0"/>
    <m/>
    <n v="0"/>
    <n v="41.7"/>
    <m/>
    <n v="0"/>
    <n v="0"/>
    <n v="0"/>
    <m/>
    <m/>
    <m/>
    <n v="0"/>
    <n v="0"/>
    <n v="0"/>
    <n v="0"/>
    <m/>
    <m/>
  </r>
  <r>
    <n v="0"/>
    <s v="CMS S.60.10.000"/>
    <x v="1"/>
    <m/>
    <m/>
    <m/>
    <x v="0"/>
    <m/>
    <m/>
    <x v="0"/>
    <x v="0"/>
    <s v="LINHA DE UNDERFLOW DAS PENEIRAS DESAGUADORAS"/>
    <s v="SC-026"/>
    <s v="SP 8308 E"/>
    <s v="1450AA-L-70113"/>
    <s v="1450AA-S-58308"/>
    <n v="3"/>
    <s v="PÇ"/>
    <n v="25.4"/>
    <n v="76.199999999999989"/>
    <n v="0"/>
    <n v="0"/>
    <n v="0"/>
    <n v="0.9"/>
    <n v="0.1"/>
    <m/>
    <m/>
    <x v="0"/>
    <n v="0"/>
    <m/>
    <n v="0"/>
    <n v="76.199999999999989"/>
    <m/>
    <n v="0"/>
    <n v="0"/>
    <n v="0"/>
    <m/>
    <m/>
    <m/>
    <n v="0"/>
    <n v="0"/>
    <n v="0"/>
    <n v="0"/>
    <m/>
    <m/>
  </r>
  <r>
    <n v="0"/>
    <s v="CMS S.60.10.000"/>
    <x v="1"/>
    <m/>
    <m/>
    <m/>
    <x v="0"/>
    <m/>
    <m/>
    <x v="0"/>
    <x v="0"/>
    <s v="LINHA DE UNDERFLOW DAS PENEIRAS DESAGUADORAS"/>
    <s v="SC-026"/>
    <s v="SP 8308 F"/>
    <s v="1450AA-L-70113"/>
    <s v="1450AA-S-58308"/>
    <n v="1"/>
    <s v="PÇ"/>
    <n v="80.3"/>
    <n v="80.3"/>
    <n v="0"/>
    <n v="0"/>
    <n v="0"/>
    <n v="0.9"/>
    <n v="0.1"/>
    <m/>
    <m/>
    <x v="0"/>
    <n v="0"/>
    <m/>
    <n v="0"/>
    <n v="80.3"/>
    <m/>
    <n v="0"/>
    <n v="0"/>
    <n v="0"/>
    <m/>
    <m/>
    <m/>
    <n v="0"/>
    <n v="0"/>
    <n v="0"/>
    <n v="0"/>
    <m/>
    <m/>
  </r>
  <r>
    <n v="0"/>
    <s v="CMS S.60.10.000"/>
    <x v="1"/>
    <m/>
    <m/>
    <m/>
    <x v="0"/>
    <m/>
    <m/>
    <x v="0"/>
    <x v="0"/>
    <s v="LINHA DE UNDERFLOW DAS PENEIRAS DESAGUADORAS"/>
    <s v="SC-026"/>
    <s v="SP 8308 G"/>
    <s v="1450AA-L-70113"/>
    <s v="1450AA-S-58308"/>
    <n v="1"/>
    <s v="PÇ"/>
    <n v="63.699999999999996"/>
    <n v="63.699999999999996"/>
    <n v="0"/>
    <n v="0"/>
    <n v="0"/>
    <n v="0.9"/>
    <n v="0.1"/>
    <m/>
    <m/>
    <x v="0"/>
    <n v="0"/>
    <m/>
    <n v="0"/>
    <n v="63.699999999999996"/>
    <m/>
    <n v="0"/>
    <n v="0"/>
    <n v="0"/>
    <m/>
    <m/>
    <m/>
    <n v="0"/>
    <n v="0"/>
    <n v="0"/>
    <n v="0"/>
    <m/>
    <m/>
  </r>
  <r>
    <n v="0"/>
    <s v="CMS S.60.10.000"/>
    <x v="1"/>
    <m/>
    <m/>
    <m/>
    <x v="0"/>
    <m/>
    <m/>
    <x v="0"/>
    <x v="0"/>
    <s v="LINHA DE UNDERFLOW DAS PENEIRAS DESAGUADORAS"/>
    <s v="SC-026"/>
    <s v="SP 8308 H"/>
    <s v="1450AA-L-70113"/>
    <s v="1450AA-S-58308"/>
    <n v="1"/>
    <s v="PÇ"/>
    <n v="64.3"/>
    <n v="64.3"/>
    <n v="0"/>
    <n v="0"/>
    <n v="0"/>
    <n v="0.9"/>
    <n v="0.1"/>
    <m/>
    <m/>
    <x v="0"/>
    <n v="0"/>
    <m/>
    <n v="0"/>
    <n v="64.3"/>
    <m/>
    <n v="0"/>
    <n v="0"/>
    <n v="0"/>
    <m/>
    <m/>
    <m/>
    <n v="0"/>
    <n v="0"/>
    <n v="0"/>
    <n v="0"/>
    <m/>
    <m/>
  </r>
  <r>
    <n v="0"/>
    <s v="CMS S.60.10.000"/>
    <x v="1"/>
    <m/>
    <m/>
    <m/>
    <x v="0"/>
    <m/>
    <m/>
    <x v="0"/>
    <x v="0"/>
    <s v="LINHA DE BY PASS DAS PENEIRAS ALIMENTAÇÃO DO TANQUE TQ-145A-9701"/>
    <s v="SC-010"/>
    <s v="SP 8311 A"/>
    <m/>
    <s v="1450AA-S-58311"/>
    <n v="1"/>
    <s v="PÇ"/>
    <n v="96.8"/>
    <n v="96.8"/>
    <n v="0"/>
    <n v="0"/>
    <n v="0"/>
    <n v="0.9"/>
    <n v="0.1"/>
    <m/>
    <m/>
    <x v="0"/>
    <n v="0"/>
    <m/>
    <n v="0"/>
    <n v="96.8"/>
    <m/>
    <n v="0"/>
    <n v="0"/>
    <n v="0"/>
    <m/>
    <m/>
    <m/>
    <n v="0"/>
    <n v="0"/>
    <n v="0"/>
    <n v="0"/>
    <m/>
    <m/>
  </r>
  <r>
    <n v="0"/>
    <s v="CMS S.60.10.000"/>
    <x v="1"/>
    <m/>
    <m/>
    <m/>
    <x v="0"/>
    <m/>
    <m/>
    <x v="0"/>
    <x v="0"/>
    <s v="LINHA DE BY PASS DAS PENEIRAS ALIMENTAÇÃO DO TANQUE TQ-145A-9701"/>
    <s v="SC-010"/>
    <s v="SP 8311 B "/>
    <m/>
    <s v="1450AA-S-58311"/>
    <n v="1"/>
    <s v="PÇ"/>
    <n v="97.4"/>
    <n v="97.4"/>
    <n v="0"/>
    <n v="0"/>
    <n v="0"/>
    <n v="0.9"/>
    <n v="0.1"/>
    <m/>
    <m/>
    <x v="0"/>
    <n v="0"/>
    <m/>
    <n v="0"/>
    <n v="97.4"/>
    <m/>
    <n v="0"/>
    <n v="0"/>
    <n v="0"/>
    <m/>
    <m/>
    <m/>
    <n v="0"/>
    <n v="0"/>
    <n v="0"/>
    <n v="0"/>
    <m/>
    <m/>
  </r>
  <r>
    <n v="0"/>
    <s v="CMS S.60.10.000"/>
    <x v="1"/>
    <m/>
    <m/>
    <m/>
    <x v="0"/>
    <m/>
    <m/>
    <x v="0"/>
    <x v="0"/>
    <s v="LINHA DE BY PASS DAS PENEIRAS ALIMENTAÇÃO DO TANQUE TQ-145A-9701"/>
    <s v="SC-010"/>
    <s v="SP 8311 C"/>
    <m/>
    <s v="1450AA-S-58311"/>
    <n v="1"/>
    <s v="PÇ"/>
    <n v="43.5"/>
    <n v="43.5"/>
    <n v="0"/>
    <n v="0"/>
    <n v="0"/>
    <n v="0.9"/>
    <n v="0.1"/>
    <m/>
    <m/>
    <x v="0"/>
    <n v="0"/>
    <m/>
    <n v="0"/>
    <n v="43.5"/>
    <m/>
    <n v="0"/>
    <n v="0"/>
    <n v="0"/>
    <m/>
    <m/>
    <m/>
    <n v="0"/>
    <n v="0"/>
    <n v="0"/>
    <n v="0"/>
    <m/>
    <m/>
  </r>
  <r>
    <n v="0"/>
    <s v="CMS S.60.10.000"/>
    <x v="1"/>
    <m/>
    <m/>
    <m/>
    <x v="0"/>
    <m/>
    <m/>
    <x v="0"/>
    <x v="0"/>
    <s v="LINHA DE BY PASS DAS PENEIRAS ALIMENTAÇÃO DO TANQUE TQ-145A-9701"/>
    <s v="SC-010"/>
    <s v="SP 8311 D"/>
    <m/>
    <s v="1450AA-S-58311"/>
    <n v="1"/>
    <s v="PÇ"/>
    <n v="7.5"/>
    <n v="7.5"/>
    <n v="0"/>
    <n v="0"/>
    <n v="0"/>
    <n v="0.9"/>
    <n v="0.1"/>
    <m/>
    <m/>
    <x v="0"/>
    <n v="0"/>
    <m/>
    <n v="0"/>
    <n v="7.5"/>
    <m/>
    <n v="0"/>
    <n v="0"/>
    <n v="0"/>
    <m/>
    <m/>
    <m/>
    <n v="0"/>
    <n v="0"/>
    <n v="0"/>
    <n v="0"/>
    <m/>
    <m/>
  </r>
  <r>
    <n v="0"/>
    <s v="CMS S.60.10.000"/>
    <x v="1"/>
    <m/>
    <m/>
    <m/>
    <x v="0"/>
    <m/>
    <m/>
    <x v="0"/>
    <x v="0"/>
    <s v="LINHA DE BY PASS DAS PENEIRAS ALIMENTAÇÃO DO TANQUE TQ-145A-9701"/>
    <s v="SC-010"/>
    <s v="SP 8311 E"/>
    <m/>
    <s v="1450AA-S-58311"/>
    <n v="1"/>
    <s v="PÇ"/>
    <n v="18.400000000000002"/>
    <n v="18.400000000000002"/>
    <n v="0"/>
    <n v="0"/>
    <n v="0"/>
    <n v="0.9"/>
    <n v="0.1"/>
    <m/>
    <m/>
    <x v="0"/>
    <n v="0"/>
    <m/>
    <n v="0"/>
    <n v="18.400000000000002"/>
    <m/>
    <n v="0"/>
    <n v="0"/>
    <n v="0"/>
    <m/>
    <m/>
    <m/>
    <n v="0"/>
    <n v="0"/>
    <n v="0"/>
    <n v="0"/>
    <m/>
    <m/>
  </r>
  <r>
    <n v="0"/>
    <s v="CMS S.60.10.000"/>
    <x v="1"/>
    <m/>
    <m/>
    <m/>
    <x v="0"/>
    <m/>
    <m/>
    <x v="0"/>
    <x v="0"/>
    <s v="LINHA DE BY PASS DAS PENEIRAS ALIMENTAÇÃO DO TANQUE TQ-145A-9701"/>
    <s v="SC-010"/>
    <s v="SP 8311 F"/>
    <m/>
    <s v="1450AA-S-58311"/>
    <n v="2"/>
    <s v="PÇ"/>
    <n v="17.3"/>
    <n v="34.6"/>
    <n v="0"/>
    <n v="0"/>
    <n v="0"/>
    <n v="0.9"/>
    <n v="0.1"/>
    <m/>
    <m/>
    <x v="0"/>
    <n v="0"/>
    <m/>
    <n v="0"/>
    <n v="34.6"/>
    <m/>
    <n v="0"/>
    <n v="0"/>
    <n v="0"/>
    <m/>
    <m/>
    <m/>
    <n v="0"/>
    <n v="0"/>
    <n v="0"/>
    <n v="0"/>
    <m/>
    <m/>
  </r>
  <r>
    <n v="0"/>
    <s v="CMS S.60.10.000"/>
    <x v="1"/>
    <m/>
    <m/>
    <m/>
    <x v="0"/>
    <m/>
    <m/>
    <x v="0"/>
    <x v="0"/>
    <s v="LINHA DE BY PASS DAS PENEIRAS ALIMENTAÇÃO DO TANQUE TQ-145A-9701"/>
    <s v="SC-010"/>
    <s v="SP 8311 G"/>
    <m/>
    <s v="1450AA-S-58311"/>
    <n v="2"/>
    <s v="PÇ"/>
    <n v="10.8"/>
    <n v="21.6"/>
    <n v="0"/>
    <n v="0"/>
    <n v="0"/>
    <n v="0.9"/>
    <n v="0.1"/>
    <m/>
    <m/>
    <x v="0"/>
    <n v="0"/>
    <m/>
    <n v="0"/>
    <n v="21.6"/>
    <m/>
    <n v="0"/>
    <n v="0"/>
    <n v="0"/>
    <m/>
    <m/>
    <m/>
    <n v="0"/>
    <n v="0"/>
    <n v="0"/>
    <n v="0"/>
    <m/>
    <m/>
  </r>
  <r>
    <n v="0"/>
    <s v="CMS S.60.10.000"/>
    <x v="1"/>
    <m/>
    <m/>
    <m/>
    <x v="0"/>
    <m/>
    <m/>
    <x v="0"/>
    <x v="0"/>
    <s v="LINHA DE BY PASS DAS PENEIRAS ALIMENTAÇÃO DO TANQUE TQ-145A-9701"/>
    <s v="SC-010"/>
    <s v="SP 8311 H"/>
    <m/>
    <s v="1450AA-S-58311"/>
    <n v="2"/>
    <s v="PÇ"/>
    <n v="5.0999999999999996"/>
    <n v="10.199999999999999"/>
    <n v="0"/>
    <n v="0"/>
    <n v="0"/>
    <n v="0.9"/>
    <n v="0.1"/>
    <m/>
    <m/>
    <x v="0"/>
    <n v="0"/>
    <m/>
    <n v="0"/>
    <n v="10.199999999999999"/>
    <m/>
    <n v="0"/>
    <n v="0"/>
    <n v="0"/>
    <m/>
    <m/>
    <m/>
    <n v="0"/>
    <n v="0"/>
    <n v="0"/>
    <n v="0"/>
    <m/>
    <m/>
  </r>
  <r>
    <n v="0"/>
    <s v="CMS S.60.10.000"/>
    <x v="1"/>
    <m/>
    <m/>
    <m/>
    <x v="0"/>
    <m/>
    <m/>
    <x v="0"/>
    <x v="0"/>
    <s v="LINHA DE BY PASS DAS PENEIRAS ALIMENTAÇÃO DO TANQUE TQ-145A-9701"/>
    <s v="SC-010"/>
    <s v="SP 8311 J"/>
    <m/>
    <s v="1450AA-S-58311"/>
    <n v="1"/>
    <s v="PÇ"/>
    <n v="8"/>
    <n v="8"/>
    <n v="0"/>
    <n v="0"/>
    <n v="0"/>
    <n v="0.9"/>
    <n v="0.1"/>
    <m/>
    <m/>
    <x v="0"/>
    <n v="0"/>
    <m/>
    <n v="0"/>
    <n v="8"/>
    <m/>
    <n v="0"/>
    <n v="0"/>
    <n v="0"/>
    <m/>
    <m/>
    <m/>
    <n v="0"/>
    <n v="0"/>
    <n v="0"/>
    <n v="0"/>
    <m/>
    <m/>
  </r>
  <r>
    <n v="0"/>
    <s v="CMS S.60.10.000"/>
    <x v="1"/>
    <m/>
    <m/>
    <m/>
    <x v="0"/>
    <m/>
    <m/>
    <x v="0"/>
    <x v="0"/>
    <s v="LINHA DE BY PASS DAS PENEIRAS ALIMENTAÇÃO DO TANQUE TQ-145A-9701"/>
    <s v="SC-010"/>
    <s v="SP 8311 K"/>
    <m/>
    <s v="1450AA-S-58311"/>
    <n v="1"/>
    <s v="PÇ"/>
    <n v="6.1"/>
    <n v="6.1"/>
    <n v="0"/>
    <n v="0"/>
    <n v="0"/>
    <n v="0.9"/>
    <n v="0.1"/>
    <m/>
    <m/>
    <x v="0"/>
    <n v="0"/>
    <m/>
    <n v="0"/>
    <n v="6.1"/>
    <m/>
    <n v="0"/>
    <n v="0"/>
    <n v="0"/>
    <m/>
    <m/>
    <m/>
    <n v="0"/>
    <n v="0"/>
    <n v="0"/>
    <n v="0"/>
    <m/>
    <m/>
  </r>
  <r>
    <n v="0"/>
    <s v="CMS S.60.10.000"/>
    <x v="1"/>
    <m/>
    <m/>
    <m/>
    <x v="0"/>
    <m/>
    <m/>
    <x v="0"/>
    <x v="0"/>
    <s v="LINHA DE BY PASS DAS PENEIRAS ALIMENTAÇÃO DO TANQUE TQ-145A-9701"/>
    <s v="SC-010"/>
    <s v="SP 8311 L"/>
    <m/>
    <s v="1450AA-S-58311"/>
    <n v="1"/>
    <s v="PÇ"/>
    <n v="4.5999999999999996"/>
    <n v="4.5999999999999996"/>
    <n v="0"/>
    <n v="0"/>
    <n v="0"/>
    <n v="0.9"/>
    <n v="0.1"/>
    <m/>
    <m/>
    <x v="0"/>
    <n v="0"/>
    <m/>
    <n v="0"/>
    <n v="4.5999999999999996"/>
    <m/>
    <n v="0"/>
    <n v="0"/>
    <n v="0"/>
    <m/>
    <m/>
    <m/>
    <n v="0"/>
    <n v="0"/>
    <n v="0"/>
    <n v="0"/>
    <m/>
    <m/>
  </r>
  <r>
    <n v="0"/>
    <s v="CMS S.60.10.000"/>
    <x v="1"/>
    <m/>
    <m/>
    <m/>
    <x v="0"/>
    <m/>
    <m/>
    <x v="0"/>
    <x v="0"/>
    <s v="LINHA DE BY PASS DAS PENEIRAS ALIMENTAÇÃO DO TANQUE TQ-145A-9701"/>
    <s v="SC-010"/>
    <s v="SP 8311 M"/>
    <m/>
    <s v="1450AA-S-58311"/>
    <n v="1"/>
    <s v="PÇ"/>
    <n v="12.7"/>
    <n v="12.7"/>
    <n v="0"/>
    <n v="0"/>
    <n v="0"/>
    <n v="0.9"/>
    <n v="0.1"/>
    <m/>
    <m/>
    <x v="0"/>
    <n v="0"/>
    <m/>
    <n v="0"/>
    <n v="12.7"/>
    <m/>
    <n v="0"/>
    <n v="0"/>
    <n v="0"/>
    <m/>
    <m/>
    <m/>
    <n v="0"/>
    <n v="0"/>
    <n v="0"/>
    <n v="0"/>
    <m/>
    <m/>
  </r>
  <r>
    <n v="0"/>
    <s v="CMS S.60.10.000"/>
    <x v="1"/>
    <m/>
    <m/>
    <m/>
    <x v="0"/>
    <m/>
    <m/>
    <x v="0"/>
    <x v="0"/>
    <s v="LINHA DE BY PASS DAS PENEIRAS ALIMENTAÇÃO DO TANQUE TQ-145A-9701"/>
    <s v="SC-010"/>
    <s v="SP 8311 N"/>
    <m/>
    <s v="1450AA-S-58311"/>
    <n v="1"/>
    <s v="PÇ"/>
    <n v="5.8"/>
    <n v="5.8"/>
    <n v="0"/>
    <n v="0"/>
    <n v="0"/>
    <n v="0.9"/>
    <n v="0.1"/>
    <m/>
    <m/>
    <x v="0"/>
    <n v="0"/>
    <m/>
    <n v="0"/>
    <n v="5.8"/>
    <m/>
    <n v="0"/>
    <n v="0"/>
    <n v="0"/>
    <m/>
    <m/>
    <m/>
    <n v="0"/>
    <n v="0"/>
    <n v="0"/>
    <n v="0"/>
    <m/>
    <m/>
  </r>
  <r>
    <n v="0"/>
    <s v="CMS S.60.10.000"/>
    <x v="1"/>
    <m/>
    <m/>
    <m/>
    <x v="0"/>
    <m/>
    <m/>
    <x v="0"/>
    <x v="0"/>
    <s v="LINHA DE BY PASS DAS PENEIRAS ALIMENTAÇÃO DO TANQUE TQ-145A-9702"/>
    <s v="SC-010"/>
    <s v="SP 8312 A"/>
    <s v="1450AA-L-70116"/>
    <s v="1450AA-S-58312"/>
    <n v="1"/>
    <s v="PÇ"/>
    <n v="12.7"/>
    <n v="12.7"/>
    <n v="0"/>
    <n v="0"/>
    <n v="0"/>
    <n v="0.9"/>
    <n v="0.1"/>
    <m/>
    <m/>
    <x v="0"/>
    <n v="0"/>
    <m/>
    <n v="0"/>
    <n v="12.7"/>
    <m/>
    <n v="0"/>
    <n v="0"/>
    <n v="0"/>
    <m/>
    <m/>
    <m/>
    <n v="0"/>
    <n v="0"/>
    <n v="0"/>
    <n v="0"/>
    <m/>
    <m/>
  </r>
  <r>
    <n v="0"/>
    <s v="CMS S.60.10.000"/>
    <x v="1"/>
    <m/>
    <m/>
    <m/>
    <x v="0"/>
    <m/>
    <m/>
    <x v="0"/>
    <x v="0"/>
    <s v="LINHA DE BY PASS DAS PENEIRAS ALIMENTAÇÃO DO TANQUE TQ-145A-9702"/>
    <s v="SC-010"/>
    <s v="SP 8312 B"/>
    <s v="1450AA-L-70116"/>
    <s v="1450AA-S-58312"/>
    <n v="2"/>
    <s v="PÇ"/>
    <n v="15.5"/>
    <n v="31"/>
    <n v="0"/>
    <n v="0"/>
    <n v="0"/>
    <n v="0.9"/>
    <n v="0.1"/>
    <m/>
    <m/>
    <x v="0"/>
    <n v="0"/>
    <m/>
    <n v="0"/>
    <n v="31"/>
    <m/>
    <n v="0"/>
    <n v="0"/>
    <n v="0"/>
    <m/>
    <m/>
    <m/>
    <n v="0"/>
    <n v="0"/>
    <n v="0"/>
    <n v="0"/>
    <m/>
    <m/>
  </r>
  <r>
    <n v="0"/>
    <s v="CMS S.60.10.000"/>
    <x v="1"/>
    <m/>
    <m/>
    <m/>
    <x v="0"/>
    <m/>
    <m/>
    <x v="0"/>
    <x v="0"/>
    <s v="LINHA DE BY PASS DAS PENEIRAS ALIMENTAÇÃO DO TANQUE TQ-145A-9702"/>
    <s v="SC-010"/>
    <s v="SP 8312 C"/>
    <s v="1450AA-L-70116"/>
    <s v="1450AA-S-58312"/>
    <n v="2"/>
    <s v="PÇ"/>
    <n v="34.1"/>
    <n v="68.2"/>
    <n v="0"/>
    <n v="0"/>
    <n v="0"/>
    <n v="0.9"/>
    <n v="0.1"/>
    <m/>
    <m/>
    <x v="0"/>
    <n v="0"/>
    <m/>
    <n v="0"/>
    <n v="68.2"/>
    <m/>
    <n v="0"/>
    <n v="0"/>
    <n v="0"/>
    <m/>
    <m/>
    <m/>
    <n v="0"/>
    <n v="0"/>
    <n v="0"/>
    <n v="0"/>
    <m/>
    <m/>
  </r>
  <r>
    <n v="0"/>
    <s v="CMS S.60.10.000"/>
    <x v="1"/>
    <m/>
    <m/>
    <m/>
    <x v="0"/>
    <m/>
    <m/>
    <x v="0"/>
    <x v="0"/>
    <s v="LINHA DE BY PASS DAS PENEIRAS ALIMENTAÇÃO DO TANQUE TQ-145A-9702"/>
    <s v="SC-010"/>
    <s v="SP 8312 D"/>
    <s v="1450AA-L-70116"/>
    <s v="1450AA-S-58312"/>
    <n v="5"/>
    <s v="PÇ"/>
    <n v="39.6"/>
    <n v="198"/>
    <n v="0"/>
    <n v="0"/>
    <n v="0"/>
    <n v="0.9"/>
    <n v="0.1"/>
    <m/>
    <m/>
    <x v="0"/>
    <n v="0"/>
    <m/>
    <n v="0"/>
    <n v="198"/>
    <m/>
    <n v="0"/>
    <n v="0"/>
    <n v="0"/>
    <m/>
    <m/>
    <m/>
    <n v="0"/>
    <n v="0"/>
    <n v="0"/>
    <n v="0"/>
    <m/>
    <m/>
  </r>
  <r>
    <n v="0"/>
    <s v="CMS S.60.10.000"/>
    <x v="1"/>
    <m/>
    <m/>
    <m/>
    <x v="0"/>
    <m/>
    <m/>
    <x v="0"/>
    <x v="0"/>
    <s v="LINHA DE BY PASS DAS PENEIRAS ALIMENTAÇÃO DO TANQUE TQ-145A-9702"/>
    <s v="SC-010"/>
    <s v="SP 8312 E"/>
    <s v="1450AA-L-70116"/>
    <s v="1450AA-S-58312"/>
    <n v="1"/>
    <s v="PÇ"/>
    <n v="5.2"/>
    <n v="5.2"/>
    <n v="0"/>
    <n v="0"/>
    <n v="0"/>
    <n v="0.9"/>
    <n v="0.1"/>
    <m/>
    <m/>
    <x v="0"/>
    <n v="0"/>
    <m/>
    <n v="0"/>
    <n v="5.2"/>
    <m/>
    <n v="0"/>
    <n v="0"/>
    <n v="0"/>
    <m/>
    <m/>
    <m/>
    <n v="0"/>
    <n v="0"/>
    <n v="0"/>
    <n v="0"/>
    <m/>
    <m/>
  </r>
  <r>
    <n v="0"/>
    <s v="CMS S.60.10.000"/>
    <x v="1"/>
    <m/>
    <m/>
    <m/>
    <x v="0"/>
    <m/>
    <m/>
    <x v="0"/>
    <x v="0"/>
    <s v="LINHA DE BY PASS DAS PENEIRAS ALIMENTAÇÃO DO TANQUE TQ-145A-9702"/>
    <s v="SC-010"/>
    <s v="SP 8312 F"/>
    <s v="1450AA-L-70116"/>
    <s v="1450AA-S-58312"/>
    <n v="1"/>
    <s v="PÇ"/>
    <n v="4"/>
    <n v="4"/>
    <n v="0"/>
    <n v="0"/>
    <n v="0"/>
    <n v="0.9"/>
    <n v="0.1"/>
    <m/>
    <m/>
    <x v="0"/>
    <n v="0"/>
    <m/>
    <n v="0"/>
    <n v="4"/>
    <m/>
    <n v="0"/>
    <n v="0"/>
    <n v="0"/>
    <m/>
    <m/>
    <m/>
    <n v="0"/>
    <n v="0"/>
    <n v="0"/>
    <n v="0"/>
    <m/>
    <m/>
  </r>
  <r>
    <n v="0"/>
    <s v="CMS S.60.10.000"/>
    <x v="1"/>
    <m/>
    <m/>
    <m/>
    <x v="0"/>
    <m/>
    <m/>
    <x v="0"/>
    <x v="0"/>
    <s v="LINHA DE BY PASS DAS PENEIRAS ALIMENTAÇÃO DO TANQUE TQ-145A-9702"/>
    <s v="SC-010"/>
    <s v="SP 8312 G"/>
    <s v="1450AA-L-70116"/>
    <s v="1450AA-S-58312"/>
    <n v="1"/>
    <s v="PÇ"/>
    <n v="5.9"/>
    <n v="5.9"/>
    <n v="0"/>
    <n v="0"/>
    <n v="0"/>
    <n v="0.9"/>
    <n v="0.1"/>
    <m/>
    <m/>
    <x v="0"/>
    <n v="0"/>
    <m/>
    <n v="0"/>
    <n v="5.9"/>
    <m/>
    <n v="0"/>
    <n v="0"/>
    <n v="0"/>
    <m/>
    <m/>
    <m/>
    <n v="0"/>
    <n v="0"/>
    <n v="0"/>
    <n v="0"/>
    <m/>
    <m/>
  </r>
  <r>
    <n v="0"/>
    <s v="CMS S.60.10.000"/>
    <x v="1"/>
    <m/>
    <m/>
    <m/>
    <x v="0"/>
    <m/>
    <m/>
    <x v="0"/>
    <x v="0"/>
    <s v="LINHA DE BY PASS DAS PENEIRAS ALIMENTAÇÃO DO TANQUE TQ-145A-9702"/>
    <s v="SC-010"/>
    <s v="SP 8312 H"/>
    <s v="1450AA-L-70116"/>
    <s v="1450AA-S-58312"/>
    <n v="1"/>
    <s v="PÇ"/>
    <n v="11.8"/>
    <n v="11.8"/>
    <n v="0"/>
    <n v="0"/>
    <n v="0"/>
    <n v="0.9"/>
    <n v="0.1"/>
    <m/>
    <m/>
    <x v="0"/>
    <n v="0"/>
    <m/>
    <n v="0"/>
    <n v="11.8"/>
    <m/>
    <n v="0"/>
    <n v="0"/>
    <n v="0"/>
    <m/>
    <m/>
    <m/>
    <n v="0"/>
    <n v="0"/>
    <n v="0"/>
    <n v="0"/>
    <m/>
    <m/>
  </r>
  <r>
    <n v="0"/>
    <s v="CMS S.60.10.000"/>
    <x v="1"/>
    <m/>
    <m/>
    <m/>
    <x v="0"/>
    <m/>
    <m/>
    <x v="0"/>
    <x v="0"/>
    <s v="LINHA DE BY PASS DAS PENEIRAS ALIMENTAÇÃO DO TANQUE TQ-145A-9702"/>
    <s v="SC-010"/>
    <s v="SP 8312 J"/>
    <s v="1450AA-L-70116"/>
    <s v="1450AA-S-58312"/>
    <n v="1"/>
    <s v="PÇ"/>
    <n v="25.4"/>
    <n v="25.4"/>
    <n v="0"/>
    <n v="0"/>
    <n v="0"/>
    <n v="0.9"/>
    <n v="0.1"/>
    <m/>
    <m/>
    <x v="0"/>
    <n v="0"/>
    <m/>
    <n v="0"/>
    <n v="25.4"/>
    <m/>
    <n v="0"/>
    <n v="0"/>
    <n v="0"/>
    <m/>
    <m/>
    <m/>
    <n v="0"/>
    <n v="0"/>
    <n v="0"/>
    <n v="0"/>
    <m/>
    <m/>
  </r>
  <r>
    <n v="0"/>
    <s v="CMS S.60.10.000"/>
    <x v="1"/>
    <m/>
    <m/>
    <m/>
    <x v="0"/>
    <m/>
    <m/>
    <x v="0"/>
    <x v="0"/>
    <s v="LINHA DE BY PASS DAS PENEIRAS ALIMENTAÇÃO DO TANQUE TQ-145A-9702"/>
    <s v="SC-010"/>
    <s v="SP 8312 K"/>
    <s v="1450AA-L-70116"/>
    <s v="1450AA-S-58312"/>
    <n v="2"/>
    <s v="PÇ"/>
    <n v="28"/>
    <n v="56"/>
    <n v="0"/>
    <n v="0"/>
    <n v="0"/>
    <n v="0.9"/>
    <n v="0.1"/>
    <m/>
    <m/>
    <x v="0"/>
    <n v="0"/>
    <m/>
    <n v="0"/>
    <n v="56"/>
    <m/>
    <n v="0"/>
    <n v="0"/>
    <n v="0"/>
    <m/>
    <m/>
    <m/>
    <n v="0"/>
    <n v="0"/>
    <n v="0"/>
    <n v="0"/>
    <m/>
    <m/>
  </r>
  <r>
    <n v="0"/>
    <s v="CMS S.60.10.000"/>
    <x v="1"/>
    <m/>
    <m/>
    <m/>
    <x v="0"/>
    <m/>
    <m/>
    <x v="0"/>
    <x v="0"/>
    <s v="LINHA DE BY PASS DAS PENEIRAS ALIMENTAÇÃO DO TANQUE TQ-145A-9702"/>
    <s v="SC-010"/>
    <s v="SP 8312 L"/>
    <s v="1450AA-L-70116"/>
    <s v="1450AA-S-58312"/>
    <n v="2"/>
    <s v="PÇ"/>
    <n v="30.6"/>
    <n v="61.2"/>
    <n v="0"/>
    <n v="0"/>
    <n v="0"/>
    <n v="0.9"/>
    <n v="0.1"/>
    <m/>
    <m/>
    <x v="0"/>
    <n v="0"/>
    <m/>
    <n v="0"/>
    <n v="61.2"/>
    <m/>
    <n v="0"/>
    <n v="0"/>
    <n v="0"/>
    <m/>
    <m/>
    <m/>
    <n v="0"/>
    <n v="0"/>
    <n v="0"/>
    <n v="0"/>
    <m/>
    <m/>
  </r>
  <r>
    <n v="0"/>
    <s v="CMS S.60.10.000"/>
    <x v="1"/>
    <m/>
    <m/>
    <m/>
    <x v="0"/>
    <m/>
    <m/>
    <x v="0"/>
    <x v="0"/>
    <s v="LINHA DE BY PASS DAS PENEIRAS ALIMENTAÇÃO DO TANQUE TQ-145A-9703"/>
    <s v="SC-010"/>
    <s v="SP 8313 A"/>
    <s v="1450AA-L-70111"/>
    <s v="1450AA-S-58313"/>
    <n v="2"/>
    <s v="PÇ"/>
    <n v="145.5"/>
    <n v="291"/>
    <n v="0"/>
    <n v="0"/>
    <n v="0"/>
    <n v="0.9"/>
    <n v="0.1"/>
    <m/>
    <m/>
    <x v="0"/>
    <n v="0"/>
    <m/>
    <n v="0"/>
    <n v="291"/>
    <m/>
    <n v="0"/>
    <n v="0"/>
    <n v="0"/>
    <m/>
    <m/>
    <m/>
    <n v="0"/>
    <n v="0"/>
    <n v="0"/>
    <n v="0"/>
    <m/>
    <m/>
  </r>
  <r>
    <n v="0"/>
    <s v="CMS S.60.10.000"/>
    <x v="1"/>
    <m/>
    <m/>
    <m/>
    <x v="0"/>
    <m/>
    <m/>
    <x v="0"/>
    <x v="0"/>
    <s v="LINHA DE BY PASS DAS PENEIRAS ALIMENTAÇÃO DO TANQUE TQ-145A-9703"/>
    <s v="SC-010"/>
    <s v="SP 8313 B"/>
    <s v="1450AA-L-70111"/>
    <s v="1450AA-S-58313"/>
    <n v="1"/>
    <s v="PÇ"/>
    <n v="18.100000000000001"/>
    <n v="18.100000000000001"/>
    <n v="0"/>
    <n v="0"/>
    <n v="0"/>
    <n v="0.9"/>
    <n v="0.1"/>
    <m/>
    <m/>
    <x v="0"/>
    <n v="0"/>
    <m/>
    <n v="0"/>
    <n v="18.100000000000001"/>
    <m/>
    <n v="0"/>
    <n v="0"/>
    <n v="0"/>
    <m/>
    <m/>
    <m/>
    <n v="0"/>
    <n v="0"/>
    <n v="0"/>
    <n v="0"/>
    <m/>
    <m/>
  </r>
  <r>
    <n v="0"/>
    <s v="CMS S.60.10.000"/>
    <x v="1"/>
    <m/>
    <m/>
    <m/>
    <x v="0"/>
    <m/>
    <m/>
    <x v="0"/>
    <x v="0"/>
    <s v="LINHA DE BY PASS DAS PENEIRAS ALIMENTAÇÃO DO TANQUE TQ-145A-9703"/>
    <s v="SC-010"/>
    <s v="SP 8313 C"/>
    <s v="1450AA-L-70111"/>
    <s v="1450AA-S-58313"/>
    <n v="1"/>
    <s v="PÇ"/>
    <n v="53.2"/>
    <n v="53.2"/>
    <n v="0"/>
    <n v="0"/>
    <n v="0"/>
    <n v="0.9"/>
    <n v="0.1"/>
    <m/>
    <m/>
    <x v="0"/>
    <n v="0"/>
    <m/>
    <n v="0"/>
    <n v="53.2"/>
    <m/>
    <n v="0"/>
    <n v="0"/>
    <n v="0"/>
    <m/>
    <m/>
    <m/>
    <n v="0"/>
    <n v="0"/>
    <n v="0"/>
    <n v="0"/>
    <m/>
    <m/>
  </r>
  <r>
    <n v="0"/>
    <s v="CMS S.60.10.000"/>
    <x v="1"/>
    <m/>
    <m/>
    <m/>
    <x v="0"/>
    <m/>
    <m/>
    <x v="0"/>
    <x v="0"/>
    <s v="LINHA DE BY PASS DAS PENEIRAS ALIMENTAÇÃO DO TANQUE TQ-145A-9703"/>
    <s v="SC-010"/>
    <s v="SP 8313 D"/>
    <s v="1450AA-L-70111"/>
    <s v="1450AA-S-58313"/>
    <n v="1"/>
    <s v="PÇ"/>
    <n v="18.2"/>
    <n v="18.2"/>
    <n v="0"/>
    <n v="0"/>
    <n v="0"/>
    <n v="0.9"/>
    <n v="0.1"/>
    <m/>
    <m/>
    <x v="0"/>
    <n v="0"/>
    <m/>
    <n v="0"/>
    <n v="18.2"/>
    <m/>
    <n v="0"/>
    <n v="0"/>
    <n v="0"/>
    <m/>
    <m/>
    <m/>
    <n v="0"/>
    <n v="0"/>
    <n v="0"/>
    <n v="0"/>
    <m/>
    <m/>
  </r>
  <r>
    <n v="0"/>
    <s v="CMS S.60.10.000"/>
    <x v="1"/>
    <m/>
    <m/>
    <m/>
    <x v="0"/>
    <m/>
    <m/>
    <x v="0"/>
    <x v="0"/>
    <s v="LINHA DE BY PASS DAS PENEIRAS ALIMENTAÇÃO DO TANQUE TQ-145A-9703"/>
    <s v="SC-010"/>
    <s v="SP 8313 E"/>
    <s v="1450AA-L-70111"/>
    <s v="1450AA-S-58313"/>
    <n v="1"/>
    <s v="PÇ"/>
    <n v="15.3"/>
    <n v="15.3"/>
    <n v="0"/>
    <n v="0"/>
    <n v="0"/>
    <n v="0.9"/>
    <n v="0.1"/>
    <m/>
    <m/>
    <x v="0"/>
    <n v="0"/>
    <m/>
    <n v="0"/>
    <n v="15.3"/>
    <m/>
    <n v="0"/>
    <n v="0"/>
    <n v="0"/>
    <m/>
    <m/>
    <m/>
    <n v="0"/>
    <n v="0"/>
    <n v="0"/>
    <n v="0"/>
    <m/>
    <m/>
  </r>
  <r>
    <n v="0"/>
    <s v="CMS S.60.10.000"/>
    <x v="1"/>
    <m/>
    <m/>
    <m/>
    <x v="0"/>
    <m/>
    <m/>
    <x v="0"/>
    <x v="0"/>
    <s v="LINHA DE BY PASS DAS PENEIRAS ALIMENTAÇÃO DO TANQUE TQ-145A-9703"/>
    <s v="SC-010"/>
    <s v="SP 8313 F"/>
    <s v="1450AA-L-70111"/>
    <s v="1450AA-S-58313"/>
    <n v="1"/>
    <s v="PÇ"/>
    <n v="32.5"/>
    <n v="32.5"/>
    <n v="0"/>
    <n v="0"/>
    <n v="0"/>
    <n v="0.9"/>
    <n v="0.1"/>
    <m/>
    <m/>
    <x v="0"/>
    <n v="0"/>
    <m/>
    <n v="0"/>
    <n v="32.5"/>
    <m/>
    <n v="0"/>
    <n v="0"/>
    <n v="0"/>
    <m/>
    <m/>
    <m/>
    <n v="0"/>
    <n v="0"/>
    <n v="0"/>
    <n v="0"/>
    <m/>
    <m/>
  </r>
  <r>
    <n v="0"/>
    <s v="CMS S.60.10.000"/>
    <x v="1"/>
    <m/>
    <m/>
    <m/>
    <x v="0"/>
    <m/>
    <m/>
    <x v="0"/>
    <x v="0"/>
    <s v="LINHA DE BY PASS DAS PENEIRAS ALIMENTAÇÃO DO TANQUE TQ-145A-9703"/>
    <s v="SC-010"/>
    <s v="SP 8313 G"/>
    <s v="1450AA-L-70111"/>
    <s v="1450AA-S-58313"/>
    <n v="1"/>
    <s v="PÇ"/>
    <n v="31.5"/>
    <n v="31.5"/>
    <n v="0"/>
    <n v="0"/>
    <n v="0"/>
    <n v="0.9"/>
    <n v="0.1"/>
    <m/>
    <m/>
    <x v="0"/>
    <n v="0"/>
    <m/>
    <n v="0"/>
    <n v="31.5"/>
    <m/>
    <n v="0"/>
    <n v="0"/>
    <n v="0"/>
    <m/>
    <m/>
    <m/>
    <n v="0"/>
    <n v="0"/>
    <n v="0"/>
    <n v="0"/>
    <m/>
    <m/>
  </r>
  <r>
    <n v="0"/>
    <s v="CMS S.60.10.000"/>
    <x v="1"/>
    <m/>
    <m/>
    <m/>
    <x v="0"/>
    <m/>
    <m/>
    <x v="0"/>
    <x v="0"/>
    <s v="LINHA DE BY PASS DAS PENEIRAS ALIMENTAÇÃO DO TANQUE TQ-145A-9703"/>
    <s v="SC-010"/>
    <s v="SP 8313 H"/>
    <s v="1450AA-L-70111"/>
    <s v="1450AA-S-58313"/>
    <n v="1"/>
    <s v="PÇ"/>
    <n v="23.1"/>
    <n v="23.1"/>
    <n v="0"/>
    <n v="0"/>
    <n v="0"/>
    <n v="0.9"/>
    <n v="0.1"/>
    <m/>
    <m/>
    <x v="0"/>
    <n v="0"/>
    <m/>
    <n v="0"/>
    <n v="23.1"/>
    <m/>
    <n v="0"/>
    <n v="0"/>
    <n v="0"/>
    <m/>
    <m/>
    <m/>
    <n v="0"/>
    <n v="0"/>
    <n v="0"/>
    <n v="0"/>
    <m/>
    <m/>
  </r>
  <r>
    <n v="0"/>
    <s v="CMS S.60.10.000"/>
    <x v="1"/>
    <m/>
    <m/>
    <m/>
    <x v="0"/>
    <m/>
    <m/>
    <x v="0"/>
    <x v="0"/>
    <s v="LINHA DE BY PASS DAS PENEIRAS ALIMENTAÇÃO DO TANQUE TQ-145A-9703"/>
    <s v="SC-010"/>
    <s v="SP 8313 J"/>
    <s v="1450AA-L-70111"/>
    <s v="1450AA-S-58313"/>
    <n v="2"/>
    <s v="PÇ"/>
    <n v="21.5"/>
    <n v="43"/>
    <n v="0"/>
    <n v="0"/>
    <n v="0"/>
    <n v="0.9"/>
    <n v="0.1"/>
    <m/>
    <m/>
    <x v="0"/>
    <n v="0"/>
    <m/>
    <n v="0"/>
    <n v="43"/>
    <m/>
    <n v="0"/>
    <n v="0"/>
    <n v="0"/>
    <m/>
    <m/>
    <m/>
    <n v="0"/>
    <n v="0"/>
    <n v="0"/>
    <n v="0"/>
    <m/>
    <m/>
  </r>
  <r>
    <n v="0"/>
    <s v="CMS S.60.10.000"/>
    <x v="1"/>
    <m/>
    <m/>
    <m/>
    <x v="0"/>
    <m/>
    <m/>
    <x v="0"/>
    <x v="0"/>
    <s v="LINHA DE BY PASS DAS PENEIRAS ALIMENTAÇÃO DO TANQUE TQ-145A-9703"/>
    <s v="SC-010"/>
    <s v="SP 8313 K"/>
    <s v="1450AA-L-70111"/>
    <s v="1450AA-S-58313"/>
    <n v="2"/>
    <s v="PÇ"/>
    <n v="15.2"/>
    <n v="30.4"/>
    <n v="0"/>
    <n v="0"/>
    <n v="0"/>
    <n v="0.9"/>
    <n v="0.1"/>
    <m/>
    <m/>
    <x v="0"/>
    <n v="0"/>
    <m/>
    <n v="0"/>
    <n v="30.4"/>
    <m/>
    <n v="0"/>
    <n v="0"/>
    <n v="0"/>
    <m/>
    <m/>
    <m/>
    <n v="0"/>
    <n v="0"/>
    <n v="0"/>
    <n v="0"/>
    <m/>
    <m/>
  </r>
  <r>
    <n v="0"/>
    <s v="CMS S.60.10.000"/>
    <x v="1"/>
    <m/>
    <m/>
    <m/>
    <x v="0"/>
    <m/>
    <m/>
    <x v="0"/>
    <x v="0"/>
    <s v="LINHA DE BY PASS DAS PENEIRAS ALIMENTAÇÃO DO TANQUE TQ-145A-9703"/>
    <s v="SC-010"/>
    <s v="SP 8313 L"/>
    <s v="1450AA-L-70111"/>
    <s v="1450AA-S-58313"/>
    <n v="1"/>
    <s v="PÇ"/>
    <n v="11.6"/>
    <n v="11.6"/>
    <n v="0"/>
    <n v="0"/>
    <n v="0"/>
    <n v="0.9"/>
    <n v="0.1"/>
    <m/>
    <m/>
    <x v="0"/>
    <n v="0"/>
    <m/>
    <n v="0"/>
    <n v="11.6"/>
    <m/>
    <n v="0"/>
    <n v="0"/>
    <n v="0"/>
    <m/>
    <m/>
    <m/>
    <n v="0"/>
    <n v="0"/>
    <n v="0"/>
    <n v="0"/>
    <m/>
    <m/>
  </r>
  <r>
    <n v="0"/>
    <s v="CMS S.60.10.000"/>
    <x v="1"/>
    <m/>
    <m/>
    <m/>
    <x v="0"/>
    <m/>
    <m/>
    <x v="0"/>
    <x v="0"/>
    <s v="LINHA DE BY PASS DAS PENEIRAS ALIMENTAÇÃO DO TANQUE TQ-145A-9703"/>
    <s v="SC-010"/>
    <s v="SP 8313 M"/>
    <s v="1450AA-L-70111"/>
    <s v="1450AA-S-58313"/>
    <n v="1"/>
    <s v="PÇ"/>
    <n v="7.9"/>
    <n v="7.9"/>
    <n v="0"/>
    <n v="0"/>
    <n v="0"/>
    <n v="0.9"/>
    <n v="0.1"/>
    <m/>
    <m/>
    <x v="0"/>
    <n v="0"/>
    <m/>
    <n v="0"/>
    <n v="7.9"/>
    <m/>
    <n v="0"/>
    <n v="0"/>
    <n v="0"/>
    <m/>
    <m/>
    <m/>
    <n v="0"/>
    <n v="0"/>
    <n v="0"/>
    <n v="0"/>
    <m/>
    <m/>
  </r>
  <r>
    <n v="0"/>
    <s v="CMS S.60.10.000"/>
    <x v="1"/>
    <m/>
    <m/>
    <m/>
    <x v="0"/>
    <m/>
    <m/>
    <x v="0"/>
    <x v="0"/>
    <s v="LINHA DE BY PASS DAS PENEIRAS ALIMENTAÇÃO DO TANQUE TQ-145A-9703"/>
    <s v="SC-010"/>
    <s v="SP 8313 N"/>
    <s v="1450AA-L-70111"/>
    <s v="1450AA-S-58313"/>
    <n v="2"/>
    <s v="PÇ"/>
    <n v="5.5"/>
    <n v="11"/>
    <n v="0"/>
    <n v="0"/>
    <n v="0"/>
    <n v="0.9"/>
    <n v="0.1"/>
    <m/>
    <m/>
    <x v="0"/>
    <n v="0"/>
    <m/>
    <n v="0"/>
    <n v="11"/>
    <m/>
    <n v="0"/>
    <n v="0"/>
    <n v="0"/>
    <m/>
    <m/>
    <m/>
    <n v="0"/>
    <n v="0"/>
    <n v="0"/>
    <n v="0"/>
    <m/>
    <m/>
  </r>
  <r>
    <n v="0"/>
    <s v="CMS S.60.10.000"/>
    <x v="1"/>
    <m/>
    <m/>
    <m/>
    <x v="0"/>
    <m/>
    <m/>
    <x v="0"/>
    <x v="0"/>
    <s v="LINHA DE BY PASS DAS PENEIRAS ALIMENTAÇÃO DO TANQUE TQ-145A-9703"/>
    <s v="SC-010"/>
    <s v="SP 8313 P"/>
    <s v="1450AA-L-70111"/>
    <s v="1450AA-S-58313"/>
    <n v="2"/>
    <s v="PÇ"/>
    <n v="9.3000000000000007"/>
    <n v="18.600000000000001"/>
    <n v="0"/>
    <n v="0"/>
    <n v="0"/>
    <n v="0.9"/>
    <n v="0.1"/>
    <m/>
    <m/>
    <x v="0"/>
    <n v="0"/>
    <m/>
    <n v="0"/>
    <n v="18.600000000000001"/>
    <m/>
    <n v="0"/>
    <n v="0"/>
    <n v="0"/>
    <m/>
    <m/>
    <m/>
    <n v="0"/>
    <n v="0"/>
    <n v="0"/>
    <n v="0"/>
    <m/>
    <m/>
  </r>
  <r>
    <n v="0"/>
    <s v="CMS S.60.10.000"/>
    <x v="1"/>
    <m/>
    <m/>
    <m/>
    <x v="0"/>
    <m/>
    <m/>
    <x v="0"/>
    <x v="0"/>
    <s v="LINHA DE BY PASS DAS PENEIRAS ALIMENTAÇÃO DO TANQUE TQ-145A-9703"/>
    <s v="SC-010"/>
    <s v="SP 8313 Q"/>
    <s v="1450AA-L-70111"/>
    <s v="1450AA-S-58313"/>
    <n v="2"/>
    <s v="PÇ"/>
    <n v="4.2"/>
    <n v="8.4"/>
    <n v="0"/>
    <n v="0"/>
    <n v="0"/>
    <n v="0.9"/>
    <n v="0.1"/>
    <m/>
    <m/>
    <x v="0"/>
    <n v="0"/>
    <m/>
    <n v="0"/>
    <n v="8.4"/>
    <m/>
    <n v="0"/>
    <n v="0"/>
    <n v="0"/>
    <m/>
    <m/>
    <m/>
    <n v="0"/>
    <n v="0"/>
    <n v="0"/>
    <n v="0"/>
    <m/>
    <m/>
  </r>
  <r>
    <n v="0"/>
    <s v="CMS S.60.10.000"/>
    <x v="1"/>
    <m/>
    <m/>
    <m/>
    <x v="0"/>
    <m/>
    <m/>
    <x v="0"/>
    <x v="0"/>
    <s v="LINHA DE BY PASS DAS PENEIRAS ALIMENTAÇÃO DO TANQUE TQ-145A-9703"/>
    <s v="SC-010"/>
    <s v="SP 8313 R"/>
    <s v="1450AA-L-70111"/>
    <s v="1450AA-S-58313"/>
    <n v="1"/>
    <s v="PÇ"/>
    <n v="12.700000000000001"/>
    <n v="12.700000000000001"/>
    <n v="0"/>
    <n v="0"/>
    <n v="0"/>
    <n v="0.9"/>
    <n v="0.1"/>
    <m/>
    <m/>
    <x v="0"/>
    <n v="0"/>
    <m/>
    <n v="0"/>
    <n v="12.700000000000001"/>
    <m/>
    <n v="0"/>
    <n v="0"/>
    <n v="0"/>
    <m/>
    <m/>
    <m/>
    <n v="0"/>
    <n v="0"/>
    <n v="0"/>
    <n v="0"/>
    <m/>
    <m/>
  </r>
  <r>
    <n v="0"/>
    <s v="CMS S.60.10.000"/>
    <x v="1"/>
    <m/>
    <m/>
    <m/>
    <x v="0"/>
    <m/>
    <m/>
    <x v="0"/>
    <x v="0"/>
    <s v="LINHA DE BY PASS DAS PENEIRAS ALIMENTAÇÃO DO TANQUE TQ-145A-9703"/>
    <s v="SC-010"/>
    <s v="SP 8313 S"/>
    <s v="1450AA-L-70111"/>
    <s v="1450AA-S-58313"/>
    <n v="1"/>
    <s v="PÇ"/>
    <n v="6.3"/>
    <n v="6.3"/>
    <n v="0"/>
    <n v="0"/>
    <n v="0"/>
    <n v="0.9"/>
    <n v="0.1"/>
    <m/>
    <m/>
    <x v="0"/>
    <n v="0"/>
    <m/>
    <n v="0"/>
    <n v="6.3"/>
    <m/>
    <n v="0"/>
    <n v="0"/>
    <n v="0"/>
    <m/>
    <m/>
    <m/>
    <n v="0"/>
    <n v="0"/>
    <n v="0"/>
    <n v="0"/>
    <m/>
    <m/>
  </r>
  <r>
    <n v="0"/>
    <s v="CMS S.60.10.000"/>
    <x v="1"/>
    <m/>
    <m/>
    <m/>
    <x v="0"/>
    <m/>
    <m/>
    <x v="0"/>
    <x v="0"/>
    <s v="LINHA DE BY PASS DAS PENEIRAS ALIMENTAÇÃO DO TANQUE TQ-145A-9703"/>
    <s v="SC-010"/>
    <s v="SP 8313 T"/>
    <s v="1450AA-L-70111"/>
    <s v="1450AA-S-58313"/>
    <n v="1"/>
    <s v="PÇ"/>
    <n v="0.8"/>
    <n v="0.8"/>
    <n v="0"/>
    <n v="0"/>
    <n v="0"/>
    <n v="0.9"/>
    <n v="0.1"/>
    <m/>
    <m/>
    <x v="0"/>
    <n v="0"/>
    <m/>
    <n v="0"/>
    <n v="0.8"/>
    <m/>
    <n v="0"/>
    <n v="0"/>
    <n v="0"/>
    <m/>
    <m/>
    <m/>
    <n v="0"/>
    <n v="0"/>
    <n v="0"/>
    <n v="0"/>
    <m/>
    <m/>
  </r>
  <r>
    <n v="0"/>
    <s v="CMS S.60.10.000"/>
    <x v="1"/>
    <m/>
    <m/>
    <m/>
    <x v="0"/>
    <m/>
    <m/>
    <x v="0"/>
    <x v="0"/>
    <s v="LINHA DE BY PASS DAS PENEIRAS ALIMENTAÇÃO DO TANQUE TQ-145A-9704"/>
    <s v="SC-010"/>
    <s v="SP 8314 A"/>
    <s v="1450AA-L-70112"/>
    <s v="1450AA-S-58314"/>
    <n v="9"/>
    <s v="PÇ"/>
    <n v="12.7"/>
    <n v="114.3"/>
    <n v="0"/>
    <n v="0"/>
    <n v="0"/>
    <n v="0.9"/>
    <n v="0.1"/>
    <m/>
    <m/>
    <x v="0"/>
    <n v="0"/>
    <m/>
    <n v="0"/>
    <n v="114.3"/>
    <m/>
    <n v="0"/>
    <n v="0"/>
    <n v="0"/>
    <m/>
    <m/>
    <m/>
    <n v="0"/>
    <n v="0"/>
    <n v="0"/>
    <n v="0"/>
    <m/>
    <m/>
  </r>
  <r>
    <n v="0"/>
    <s v="CMS S.60.10.000"/>
    <x v="1"/>
    <m/>
    <m/>
    <m/>
    <x v="0"/>
    <m/>
    <m/>
    <x v="0"/>
    <x v="0"/>
    <s v="LINHA DE BY PASS DAS PENEIRAS ALIMENTAÇÃO DO TANQUE TQ-145A-9704"/>
    <s v="SC-010"/>
    <s v="SP 8314 B"/>
    <s v="1450AA-L-70112"/>
    <s v="1450AA-S-58314"/>
    <n v="1"/>
    <s v="PÇ"/>
    <n v="252.5"/>
    <n v="252.5"/>
    <n v="0"/>
    <n v="0"/>
    <n v="0"/>
    <n v="0.9"/>
    <n v="0.1"/>
    <m/>
    <m/>
    <x v="0"/>
    <n v="0"/>
    <m/>
    <n v="0"/>
    <n v="252.5"/>
    <m/>
    <n v="0"/>
    <n v="0"/>
    <n v="0"/>
    <m/>
    <m/>
    <m/>
    <n v="0"/>
    <n v="0"/>
    <n v="0"/>
    <n v="0"/>
    <m/>
    <m/>
  </r>
  <r>
    <n v="0"/>
    <s v="CMS S.60.10.000"/>
    <x v="1"/>
    <m/>
    <m/>
    <m/>
    <x v="0"/>
    <m/>
    <m/>
    <x v="0"/>
    <x v="0"/>
    <s v="LINHA DE BY PASS DAS PENEIRAS ALIMENTAÇÃO DO TANQUE TQ-145A-9704"/>
    <s v="SC-010"/>
    <s v="SP 8314 C"/>
    <s v="1450AA-L-70112"/>
    <s v="1450AA-S-58314"/>
    <n v="1"/>
    <s v="PÇ"/>
    <n v="36.9"/>
    <n v="36.9"/>
    <n v="0"/>
    <n v="0"/>
    <n v="0"/>
    <n v="0.9"/>
    <n v="0.1"/>
    <m/>
    <m/>
    <x v="0"/>
    <n v="0"/>
    <m/>
    <n v="0"/>
    <n v="36.9"/>
    <m/>
    <n v="0"/>
    <n v="0"/>
    <n v="0"/>
    <m/>
    <m/>
    <m/>
    <n v="0"/>
    <n v="0"/>
    <n v="0"/>
    <n v="0"/>
    <m/>
    <m/>
  </r>
  <r>
    <n v="0"/>
    <s v="CMS S.60.10.000"/>
    <x v="1"/>
    <m/>
    <m/>
    <m/>
    <x v="0"/>
    <m/>
    <m/>
    <x v="0"/>
    <x v="0"/>
    <s v="LINHA DE BY PASS DAS PENEIRAS ALIMENTAÇÃO DO TANQUE TQ-145A-9704"/>
    <s v="SC-010"/>
    <s v="SP 8314 D"/>
    <s v="1450AA-L-70112"/>
    <s v="1450AA-S-58314"/>
    <n v="1"/>
    <s v="PÇ"/>
    <n v="5.5"/>
    <n v="5.5"/>
    <n v="0"/>
    <n v="0"/>
    <n v="0"/>
    <n v="0.9"/>
    <n v="0.1"/>
    <m/>
    <m/>
    <x v="0"/>
    <n v="0"/>
    <m/>
    <n v="0"/>
    <n v="5.5"/>
    <m/>
    <n v="0"/>
    <n v="0"/>
    <n v="0"/>
    <m/>
    <m/>
    <m/>
    <n v="0"/>
    <n v="0"/>
    <n v="0"/>
    <n v="0"/>
    <m/>
    <m/>
  </r>
  <r>
    <n v="0"/>
    <s v="CMS S.60.10.000"/>
    <x v="1"/>
    <m/>
    <m/>
    <m/>
    <x v="0"/>
    <m/>
    <m/>
    <x v="0"/>
    <x v="0"/>
    <s v="LINHA DE BY PASS DAS PENEIRAS ALIMENTAÇÃO DO TANQUE TQ-145A-9704"/>
    <s v="SC-010"/>
    <s v="SP 8314 E"/>
    <s v="1450AA-L-70112"/>
    <s v="1450AA-S-58314"/>
    <n v="1"/>
    <s v="PÇ"/>
    <n v="13.2"/>
    <n v="13.2"/>
    <n v="0"/>
    <n v="0"/>
    <n v="0"/>
    <n v="0.9"/>
    <n v="0.1"/>
    <m/>
    <m/>
    <x v="0"/>
    <n v="0"/>
    <m/>
    <n v="0"/>
    <n v="13.2"/>
    <m/>
    <n v="0"/>
    <n v="0"/>
    <n v="0"/>
    <m/>
    <m/>
    <m/>
    <n v="0"/>
    <n v="0"/>
    <n v="0"/>
    <n v="0"/>
    <m/>
    <m/>
  </r>
  <r>
    <n v="0"/>
    <s v="CMS S.60.10.000"/>
    <x v="1"/>
    <m/>
    <m/>
    <m/>
    <x v="0"/>
    <m/>
    <m/>
    <x v="0"/>
    <x v="0"/>
    <s v="LINHA DE BY PASS DAS PENEIRAS ALIMENTAÇÃO DO TANQUE TQ-145A-9704"/>
    <s v="SC-010"/>
    <s v="SP 8314 F"/>
    <s v="1450AA-L-70112"/>
    <s v="1450AA-S-58314"/>
    <n v="1"/>
    <s v="PÇ"/>
    <n v="25.6"/>
    <n v="25.6"/>
    <n v="0"/>
    <n v="0"/>
    <n v="0"/>
    <n v="0.9"/>
    <n v="0.1"/>
    <m/>
    <m/>
    <x v="0"/>
    <n v="0"/>
    <m/>
    <n v="0"/>
    <n v="25.6"/>
    <m/>
    <n v="0"/>
    <n v="0"/>
    <n v="0"/>
    <m/>
    <m/>
    <m/>
    <n v="0"/>
    <n v="0"/>
    <n v="0"/>
    <n v="0"/>
    <m/>
    <m/>
  </r>
  <r>
    <n v="0"/>
    <s v="CMS S.60.10.000"/>
    <x v="1"/>
    <m/>
    <m/>
    <m/>
    <x v="0"/>
    <m/>
    <m/>
    <x v="0"/>
    <x v="0"/>
    <s v="LINHA DE BY PASS DAS PENEIRAS ALIMENTAÇÃO DO TANQUE TQ-145A-9704"/>
    <s v="SC-010"/>
    <s v="SP 8314 G"/>
    <s v="1450AA-L-70112"/>
    <s v="1450AA-S-58314"/>
    <n v="1"/>
    <s v="PÇ"/>
    <n v="12"/>
    <n v="12"/>
    <n v="0"/>
    <n v="0"/>
    <n v="0"/>
    <n v="0.9"/>
    <n v="0.1"/>
    <m/>
    <m/>
    <x v="0"/>
    <n v="0"/>
    <m/>
    <n v="0"/>
    <n v="12"/>
    <m/>
    <n v="0"/>
    <n v="0"/>
    <n v="0"/>
    <m/>
    <m/>
    <m/>
    <n v="0"/>
    <n v="0"/>
    <n v="0"/>
    <n v="0"/>
    <m/>
    <m/>
  </r>
  <r>
    <n v="0"/>
    <s v="CMS S.60.10.000"/>
    <x v="1"/>
    <m/>
    <m/>
    <m/>
    <x v="0"/>
    <m/>
    <m/>
    <x v="0"/>
    <x v="0"/>
    <s v="LINHA DE BY PASS DAS PENEIRAS ALIMENTAÇÃO DO TANQUE TQ-145A-9704"/>
    <s v="SC-010"/>
    <s v="SP 8314 H"/>
    <s v="1450AA-L-70112"/>
    <s v="1450AA-S-58314"/>
    <n v="1"/>
    <s v="PÇ"/>
    <n v="2"/>
    <n v="2"/>
    <n v="0"/>
    <n v="0"/>
    <n v="0"/>
    <n v="0.9"/>
    <n v="0.1"/>
    <m/>
    <m/>
    <x v="0"/>
    <n v="0"/>
    <m/>
    <n v="0"/>
    <n v="2"/>
    <m/>
    <n v="0"/>
    <n v="0"/>
    <n v="0"/>
    <m/>
    <m/>
    <m/>
    <n v="0"/>
    <n v="0"/>
    <n v="0"/>
    <n v="0"/>
    <m/>
    <m/>
  </r>
  <r>
    <n v="0"/>
    <s v="CMS S.60.10.000"/>
    <x v="1"/>
    <m/>
    <m/>
    <m/>
    <x v="0"/>
    <m/>
    <m/>
    <x v="0"/>
    <x v="0"/>
    <s v="LINHA DE BY PASS DAS PENEIRAS ALIMENTAÇÃO DO TANQUE TQ-145A-9704"/>
    <s v="SC-010"/>
    <s v="SP 8314 J"/>
    <s v="1450AA-L-70112"/>
    <s v="1450AA-S-58314"/>
    <n v="1"/>
    <s v="PÇ"/>
    <n v="7.9"/>
    <n v="7.9"/>
    <n v="0"/>
    <n v="0"/>
    <n v="0"/>
    <n v="0.9"/>
    <n v="0.1"/>
    <m/>
    <m/>
    <x v="0"/>
    <n v="0"/>
    <m/>
    <n v="0"/>
    <n v="7.9"/>
    <m/>
    <n v="0"/>
    <n v="0"/>
    <n v="0"/>
    <m/>
    <m/>
    <m/>
    <n v="0"/>
    <n v="0"/>
    <n v="0"/>
    <n v="0"/>
    <m/>
    <m/>
  </r>
  <r>
    <n v="0"/>
    <s v="CMS S.60.10.000"/>
    <x v="1"/>
    <m/>
    <m/>
    <m/>
    <x v="0"/>
    <m/>
    <m/>
    <x v="0"/>
    <x v="0"/>
    <s v="LINHA DE BY PASS DAS PENEIRAS ALIMENTAÇÃO DO TANQUE TQ-145A-9704"/>
    <s v="SC-010"/>
    <s v="SP 8314 K"/>
    <s v="1450AA-L-70112"/>
    <s v="1450AA-S-58314"/>
    <n v="1"/>
    <s v="PÇ"/>
    <n v="7.7"/>
    <n v="7.7"/>
    <n v="0"/>
    <n v="0"/>
    <n v="0"/>
    <n v="0.9"/>
    <n v="0.1"/>
    <m/>
    <m/>
    <x v="0"/>
    <n v="0"/>
    <m/>
    <n v="0"/>
    <n v="7.7"/>
    <m/>
    <n v="0"/>
    <n v="0"/>
    <n v="0"/>
    <m/>
    <m/>
    <m/>
    <n v="0"/>
    <n v="0"/>
    <n v="0"/>
    <n v="0"/>
    <m/>
    <m/>
  </r>
  <r>
    <n v="0"/>
    <s v="CMS S.60.10.000"/>
    <x v="1"/>
    <m/>
    <m/>
    <m/>
    <x v="0"/>
    <m/>
    <m/>
    <x v="0"/>
    <x v="0"/>
    <s v="LINHA DE BY PASS DAS PENEIRAS ALIMENTAÇÃO DO TANQUE TQ-145A-9704"/>
    <s v="SC-010"/>
    <s v="SP 8314 L"/>
    <s v="1450AA-L-70112"/>
    <s v="1450AA-S-58314"/>
    <n v="1"/>
    <s v="PÇ"/>
    <n v="5.2"/>
    <n v="5.2"/>
    <n v="0"/>
    <n v="0"/>
    <n v="0"/>
    <n v="0.9"/>
    <n v="0.1"/>
    <m/>
    <m/>
    <x v="0"/>
    <n v="0"/>
    <m/>
    <n v="0"/>
    <n v="5.2"/>
    <m/>
    <n v="0"/>
    <n v="0"/>
    <n v="0"/>
    <m/>
    <m/>
    <m/>
    <n v="0"/>
    <n v="0"/>
    <n v="0"/>
    <n v="0"/>
    <m/>
    <m/>
  </r>
  <r>
    <n v="0"/>
    <s v="CMS S.60.10.000"/>
    <x v="1"/>
    <m/>
    <m/>
    <m/>
    <x v="0"/>
    <m/>
    <m/>
    <x v="0"/>
    <x v="0"/>
    <s v="LINHA DE BY PASS DAS PENEIRAS ALIMENTAÇÃO DO TANQUE TQ-145A-9704"/>
    <s v="SC-010"/>
    <s v="SP 8314 M"/>
    <s v="1450AA-L-70112"/>
    <s v="1450AA-S-58314"/>
    <n v="1"/>
    <s v="PÇ"/>
    <n v="9.1999999999999993"/>
    <n v="9.1999999999999993"/>
    <n v="0"/>
    <n v="0"/>
    <n v="0"/>
    <n v="0.9"/>
    <n v="0.1"/>
    <m/>
    <m/>
    <x v="0"/>
    <n v="0"/>
    <m/>
    <n v="0"/>
    <n v="9.1999999999999993"/>
    <m/>
    <n v="0"/>
    <n v="0"/>
    <n v="0"/>
    <m/>
    <m/>
    <m/>
    <n v="0"/>
    <n v="0"/>
    <n v="0"/>
    <n v="0"/>
    <m/>
    <m/>
  </r>
  <r>
    <n v="0"/>
    <s v="CMS S.60.10.000"/>
    <x v="1"/>
    <m/>
    <m/>
    <m/>
    <x v="0"/>
    <m/>
    <m/>
    <x v="0"/>
    <x v="0"/>
    <s v="LINHA DE BY PASS DAS PENEIRAS ALIMENTAÇÃO DO TANQUE TQ-145A-9704"/>
    <s v="SC-010"/>
    <s v="SP 8314 N"/>
    <s v="1450AA-L-70112"/>
    <s v="1450AA-S-58314"/>
    <n v="2"/>
    <s v="PÇ"/>
    <n v="2.6999999999999997"/>
    <n v="5.3999999999999995"/>
    <n v="0"/>
    <n v="0"/>
    <n v="0"/>
    <n v="0.9"/>
    <n v="0.1"/>
    <m/>
    <m/>
    <x v="0"/>
    <n v="0"/>
    <m/>
    <n v="0"/>
    <n v="5.3999999999999995"/>
    <m/>
    <n v="0"/>
    <n v="0"/>
    <n v="0"/>
    <m/>
    <m/>
    <m/>
    <n v="0"/>
    <n v="0"/>
    <n v="0"/>
    <n v="0"/>
    <m/>
    <m/>
  </r>
  <r>
    <n v="0"/>
    <s v="CMS S.60.10.000"/>
    <x v="1"/>
    <m/>
    <m/>
    <m/>
    <x v="0"/>
    <m/>
    <m/>
    <x v="0"/>
    <x v="0"/>
    <s v="LINHA DE BY PASS DAS PENEIRAS ALIMENTAÇÃO DO TANQUE TQ-145A-9704"/>
    <s v="SC-010"/>
    <s v="SP 8314 P"/>
    <s v="1450AA-L-70112"/>
    <s v="1450AA-S-58314"/>
    <n v="3"/>
    <s v="PÇ"/>
    <n v="4"/>
    <n v="12"/>
    <n v="0"/>
    <n v="0"/>
    <n v="0"/>
    <n v="0.9"/>
    <n v="0.1"/>
    <m/>
    <m/>
    <x v="0"/>
    <n v="0"/>
    <m/>
    <n v="0"/>
    <n v="12"/>
    <m/>
    <n v="0"/>
    <n v="0"/>
    <n v="0"/>
    <m/>
    <m/>
    <m/>
    <n v="0"/>
    <n v="0"/>
    <n v="0"/>
    <n v="0"/>
    <m/>
    <m/>
  </r>
  <r>
    <n v="0"/>
    <s v="CMS S.60.10.000"/>
    <x v="1"/>
    <m/>
    <m/>
    <m/>
    <x v="0"/>
    <m/>
    <m/>
    <x v="0"/>
    <x v="0"/>
    <s v="LINHA DE BY PASS DAS PENEIRAS ALIMENTAÇÃO DO TANQUE TQ-145A-9704"/>
    <s v="SC-010"/>
    <s v="SP 8314 Q"/>
    <s v="1450AA-L-70112"/>
    <s v="1450AA-S-58314"/>
    <n v="3"/>
    <s v="PÇ"/>
    <n v="5.3"/>
    <n v="15.899999999999999"/>
    <n v="0"/>
    <n v="0"/>
    <n v="0"/>
    <n v="0.9"/>
    <n v="0.1"/>
    <m/>
    <m/>
    <x v="0"/>
    <n v="0"/>
    <m/>
    <n v="0"/>
    <n v="15.899999999999999"/>
    <m/>
    <n v="0"/>
    <n v="0"/>
    <n v="0"/>
    <m/>
    <m/>
    <m/>
    <n v="0"/>
    <n v="0"/>
    <n v="0"/>
    <n v="0"/>
    <m/>
    <m/>
  </r>
  <r>
    <n v="0"/>
    <s v="CMS S.60.10.000"/>
    <x v="1"/>
    <m/>
    <m/>
    <m/>
    <x v="0"/>
    <m/>
    <m/>
    <x v="0"/>
    <x v="0"/>
    <s v="LINHA DE BY PASS DAS PENEIRAS ALIMENTAÇÃO DO TANQUE TQ-145A-9704"/>
    <s v="SC-010"/>
    <s v="SP 8314 R"/>
    <s v="1450AA-L-70112"/>
    <s v="1450AA-S-58314"/>
    <n v="1"/>
    <s v="PÇ"/>
    <n v="6.6000000000000005"/>
    <n v="6.6000000000000005"/>
    <n v="0"/>
    <n v="0"/>
    <n v="0"/>
    <n v="0.9"/>
    <n v="0.1"/>
    <m/>
    <m/>
    <x v="0"/>
    <n v="0"/>
    <m/>
    <n v="0"/>
    <n v="6.6000000000000005"/>
    <m/>
    <n v="0"/>
    <n v="0"/>
    <n v="0"/>
    <m/>
    <m/>
    <m/>
    <n v="0"/>
    <n v="0"/>
    <n v="0"/>
    <n v="0"/>
    <m/>
    <m/>
  </r>
  <r>
    <n v="0"/>
    <s v="CMS S.60.10.000"/>
    <x v="1"/>
    <m/>
    <m/>
    <m/>
    <x v="0"/>
    <m/>
    <m/>
    <x v="0"/>
    <x v="0"/>
    <s v="LINHA DE BY PASS DAS PENEIRAS ALIMENTAÇÃO DO TANQUE TQ-145A-9704"/>
    <s v="SC-010"/>
    <s v="SP 8314 S"/>
    <s v="1450AA-L-70112"/>
    <s v="1450AA-S-58314"/>
    <n v="4"/>
    <s v="PÇ"/>
    <n v="12.4"/>
    <n v="49.6"/>
    <n v="0"/>
    <n v="0"/>
    <n v="0"/>
    <n v="0.9"/>
    <n v="0.1"/>
    <m/>
    <m/>
    <x v="0"/>
    <n v="0"/>
    <m/>
    <n v="0"/>
    <n v="49.6"/>
    <m/>
    <n v="0"/>
    <n v="0"/>
    <n v="0"/>
    <m/>
    <m/>
    <m/>
    <n v="0"/>
    <n v="0"/>
    <n v="0"/>
    <n v="0"/>
    <m/>
    <m/>
  </r>
  <r>
    <n v="0"/>
    <s v="CMS S.60.10.000"/>
    <x v="1"/>
    <m/>
    <m/>
    <m/>
    <x v="0"/>
    <m/>
    <m/>
    <x v="0"/>
    <x v="0"/>
    <s v="LINHA DE BY PASS DAS PENEIRAS ALIMENTAÇÃO DO TANQUE TQ-145A-9704"/>
    <s v="SC-010"/>
    <s v="SP 8314 T"/>
    <s v="1450AA-L-70112"/>
    <s v="1450AA-S-58314"/>
    <n v="1"/>
    <s v="PÇ"/>
    <n v="15"/>
    <n v="15"/>
    <n v="0"/>
    <n v="0"/>
    <n v="0"/>
    <n v="0.9"/>
    <n v="0.1"/>
    <m/>
    <m/>
    <x v="0"/>
    <n v="0"/>
    <m/>
    <n v="0"/>
    <n v="15"/>
    <m/>
    <n v="0"/>
    <n v="0"/>
    <n v="0"/>
    <m/>
    <m/>
    <m/>
    <n v="0"/>
    <n v="0"/>
    <n v="0"/>
    <n v="0"/>
    <m/>
    <m/>
  </r>
  <r>
    <n v="0"/>
    <s v="CMS S.60.10.000"/>
    <x v="1"/>
    <m/>
    <m/>
    <m/>
    <x v="0"/>
    <m/>
    <m/>
    <x v="0"/>
    <x v="0"/>
    <s v="LINHA DO CIRCUITO ULTRAFINO LINHA DE ALIMENTAÇÃO DO DISTRIBUIDOR DI 145A-9903"/>
    <s v="SC-018"/>
    <s v="SP 8315 A"/>
    <m/>
    <s v="1450AA-S-58315"/>
    <n v="3"/>
    <s v="PÇ"/>
    <n v="12.7"/>
    <n v="38.099999999999994"/>
    <n v="0"/>
    <n v="0"/>
    <n v="0"/>
    <n v="0.9"/>
    <n v="0.1"/>
    <m/>
    <m/>
    <x v="0"/>
    <n v="0"/>
    <m/>
    <n v="0"/>
    <n v="38.099999999999994"/>
    <m/>
    <n v="0"/>
    <n v="0"/>
    <n v="0"/>
    <m/>
    <m/>
    <m/>
    <n v="0"/>
    <n v="0"/>
    <n v="0"/>
    <n v="0"/>
    <m/>
    <m/>
  </r>
  <r>
    <n v="0"/>
    <s v="CMS S.60.10.000"/>
    <x v="1"/>
    <m/>
    <m/>
    <m/>
    <x v="0"/>
    <m/>
    <m/>
    <x v="0"/>
    <x v="0"/>
    <s v="LINHA DO CIRCUITO ULTRAFINO LINHA DE ALIMENTAÇÃO DO DISTRIBUIDOR DI 145A-9903"/>
    <s v="SC-018"/>
    <s v="SP 8315 B"/>
    <m/>
    <s v="1450AA-S-58315"/>
    <n v="1"/>
    <s v="PÇ"/>
    <n v="13.7"/>
    <n v="13.7"/>
    <n v="0"/>
    <n v="0"/>
    <n v="0"/>
    <n v="0.9"/>
    <n v="0.1"/>
    <m/>
    <m/>
    <x v="0"/>
    <n v="0"/>
    <m/>
    <n v="0"/>
    <n v="13.7"/>
    <m/>
    <n v="0"/>
    <n v="0"/>
    <n v="0"/>
    <m/>
    <m/>
    <m/>
    <n v="0"/>
    <n v="0"/>
    <n v="0"/>
    <n v="0"/>
    <m/>
    <m/>
  </r>
  <r>
    <n v="0"/>
    <s v="CMS S.60.10.000"/>
    <x v="1"/>
    <m/>
    <m/>
    <m/>
    <x v="0"/>
    <m/>
    <m/>
    <x v="0"/>
    <x v="0"/>
    <s v="LINHA DO CIRCUITO ULTRAFINO LINHA DE ALIMENTAÇÃO DO DISTRIBUIDOR DI 145A-9903"/>
    <s v="SC-018"/>
    <s v="SP 8315 C"/>
    <m/>
    <s v="1450AA-S-58315"/>
    <n v="1"/>
    <s v="PÇ"/>
    <n v="15.9"/>
    <n v="15.9"/>
    <n v="0"/>
    <n v="0"/>
    <n v="0"/>
    <n v="0.9"/>
    <n v="0.1"/>
    <m/>
    <m/>
    <x v="0"/>
    <n v="0"/>
    <m/>
    <n v="0"/>
    <n v="15.9"/>
    <m/>
    <n v="0"/>
    <n v="0"/>
    <n v="0"/>
    <m/>
    <m/>
    <m/>
    <n v="0"/>
    <n v="0"/>
    <n v="0"/>
    <n v="0"/>
    <m/>
    <m/>
  </r>
  <r>
    <n v="0"/>
    <s v="CMS S.60.10.000"/>
    <x v="1"/>
    <m/>
    <m/>
    <m/>
    <x v="0"/>
    <m/>
    <m/>
    <x v="0"/>
    <x v="0"/>
    <s v="LINHA DO CIRCUITO ULTRAFINO LINHA DE ALIMENTAÇÃO DO DISTRIBUIDOR DI 145A-9903"/>
    <s v="SC-018"/>
    <s v="SP 8315 D"/>
    <m/>
    <s v="1450AA-S-58315"/>
    <n v="8"/>
    <s v="PÇ"/>
    <n v="1.7"/>
    <n v="13.6"/>
    <n v="0"/>
    <n v="0"/>
    <n v="0"/>
    <n v="0.9"/>
    <n v="0.1"/>
    <m/>
    <m/>
    <x v="0"/>
    <n v="0"/>
    <m/>
    <n v="0"/>
    <n v="13.6"/>
    <m/>
    <n v="0"/>
    <n v="0"/>
    <n v="0"/>
    <m/>
    <m/>
    <m/>
    <n v="0"/>
    <n v="0"/>
    <n v="0"/>
    <n v="0"/>
    <m/>
    <m/>
  </r>
  <r>
    <n v="0"/>
    <s v="CMS S.60.10.000"/>
    <x v="1"/>
    <m/>
    <m/>
    <m/>
    <x v="0"/>
    <m/>
    <m/>
    <x v="0"/>
    <x v="0"/>
    <s v="LINHA DO CIRCUITO ULTRAFINO LINHA DE ALIMENTAÇÃO DO DISTRIBUIDOR DI 145A-9903"/>
    <s v="SC-018"/>
    <s v="SP 8315 E"/>
    <m/>
    <s v="1450AA-S-58315"/>
    <n v="1"/>
    <s v="PÇ"/>
    <n v="270.7"/>
    <n v="270.7"/>
    <n v="0"/>
    <n v="0"/>
    <n v="0"/>
    <n v="0.9"/>
    <n v="0.1"/>
    <m/>
    <m/>
    <x v="0"/>
    <n v="0"/>
    <m/>
    <n v="0"/>
    <n v="270.7"/>
    <m/>
    <n v="0"/>
    <n v="0"/>
    <n v="0"/>
    <m/>
    <m/>
    <m/>
    <n v="0"/>
    <n v="0"/>
    <n v="0"/>
    <n v="0"/>
    <m/>
    <m/>
  </r>
  <r>
    <n v="0"/>
    <s v="CMS S.60.10.000"/>
    <x v="1"/>
    <m/>
    <m/>
    <m/>
    <x v="0"/>
    <m/>
    <m/>
    <x v="0"/>
    <x v="0"/>
    <s v="LINHA DO CIRCUITO ULTRAFINO LINHA DE ALIMENTAÇÃO DO DISTRIBUIDOR DI 145A-9903"/>
    <s v="SC-018"/>
    <s v="SP 8315 F"/>
    <m/>
    <s v="1450AA-S-58315"/>
    <n v="1"/>
    <s v="PÇ"/>
    <n v="24.7"/>
    <n v="24.7"/>
    <n v="0"/>
    <n v="0"/>
    <n v="0"/>
    <n v="0.9"/>
    <n v="0.1"/>
    <m/>
    <m/>
    <x v="0"/>
    <n v="0"/>
    <m/>
    <n v="0"/>
    <n v="24.7"/>
    <m/>
    <n v="0"/>
    <n v="0"/>
    <n v="0"/>
    <m/>
    <m/>
    <m/>
    <n v="0"/>
    <n v="0"/>
    <n v="0"/>
    <n v="0"/>
    <m/>
    <m/>
  </r>
  <r>
    <n v="0"/>
    <s v="CMS S.60.10.000"/>
    <x v="1"/>
    <m/>
    <m/>
    <m/>
    <x v="0"/>
    <m/>
    <m/>
    <x v="0"/>
    <x v="0"/>
    <s v="LINHA DO CIRCUITO ULTRAFINO LINHA DE ALIMENTAÇÃO DO DISTRIBUIDOR DI 145A-9903"/>
    <s v="SC-018"/>
    <s v="SP 8315 G"/>
    <m/>
    <s v="1450AA-S-58315"/>
    <n v="1"/>
    <s v="PÇ"/>
    <n v="23.2"/>
    <n v="23.2"/>
    <n v="0"/>
    <n v="0"/>
    <n v="0"/>
    <n v="0.9"/>
    <n v="0.1"/>
    <m/>
    <m/>
    <x v="0"/>
    <n v="0"/>
    <m/>
    <n v="0"/>
    <n v="23.2"/>
    <m/>
    <n v="0"/>
    <n v="0"/>
    <n v="0"/>
    <m/>
    <m/>
    <m/>
    <n v="0"/>
    <n v="0"/>
    <n v="0"/>
    <n v="0"/>
    <m/>
    <m/>
  </r>
  <r>
    <n v="0"/>
    <s v="CMS S.60.10.000"/>
    <x v="1"/>
    <m/>
    <m/>
    <m/>
    <x v="0"/>
    <m/>
    <m/>
    <x v="0"/>
    <x v="0"/>
    <s v="LINHA DO CIRCUITO ULTRAFINO LINHA DE ALIMENTAÇÃO DO DISTRIBUIDOR DI 145A-9903"/>
    <s v="SC-018"/>
    <s v="SP 8315 H"/>
    <m/>
    <s v="1450AA-S-58315"/>
    <n v="1"/>
    <s v="PÇ"/>
    <n v="37.5"/>
    <n v="37.5"/>
    <n v="0"/>
    <n v="0"/>
    <n v="0"/>
    <n v="0.9"/>
    <n v="0.1"/>
    <m/>
    <m/>
    <x v="0"/>
    <n v="0"/>
    <m/>
    <n v="0"/>
    <n v="37.5"/>
    <m/>
    <n v="0"/>
    <n v="0"/>
    <n v="0"/>
    <m/>
    <m/>
    <m/>
    <n v="0"/>
    <n v="0"/>
    <n v="0"/>
    <n v="0"/>
    <m/>
    <m/>
  </r>
  <r>
    <n v="0"/>
    <s v="CMS S.60.10.000"/>
    <x v="1"/>
    <m/>
    <m/>
    <m/>
    <x v="0"/>
    <m/>
    <m/>
    <x v="0"/>
    <x v="0"/>
    <s v="LINHA DO CIRCUITO ULTRAFINO LINHA DE ALIMENTAÇÃO DO DISTRIBUIDOR DI 145A-9903"/>
    <s v="SC-018"/>
    <s v="SP 8315 J"/>
    <m/>
    <s v="1450AA-S-58315"/>
    <n v="4"/>
    <s v="PÇ"/>
    <n v="4.3"/>
    <n v="17.2"/>
    <n v="0"/>
    <n v="0"/>
    <n v="0"/>
    <n v="0.9"/>
    <n v="0.1"/>
    <m/>
    <m/>
    <x v="0"/>
    <n v="0"/>
    <m/>
    <n v="0"/>
    <n v="17.2"/>
    <m/>
    <n v="0"/>
    <n v="0"/>
    <n v="0"/>
    <m/>
    <m/>
    <m/>
    <n v="0"/>
    <n v="0"/>
    <n v="0"/>
    <n v="0"/>
    <m/>
    <m/>
  </r>
  <r>
    <n v="0"/>
    <s v="CMS S.60.10.000"/>
    <x v="1"/>
    <m/>
    <m/>
    <m/>
    <x v="0"/>
    <m/>
    <m/>
    <x v="0"/>
    <x v="0"/>
    <s v="LINHA DO CIRCUITO ULTRAFINO LINHA DE ALIMENTAÇÃO DO DISTRIBUIDOR DI 145A-9903"/>
    <s v="SC-018"/>
    <s v="SP 8315 K"/>
    <m/>
    <s v="1450AA-S-58315"/>
    <n v="6"/>
    <s v="PÇ"/>
    <n v="6"/>
    <n v="36"/>
    <n v="0"/>
    <n v="0"/>
    <n v="0"/>
    <n v="0.9"/>
    <n v="0.1"/>
    <m/>
    <m/>
    <x v="0"/>
    <n v="0"/>
    <m/>
    <n v="0"/>
    <n v="36"/>
    <m/>
    <n v="0"/>
    <n v="0"/>
    <n v="0"/>
    <m/>
    <m/>
    <m/>
    <n v="0"/>
    <n v="0"/>
    <n v="0"/>
    <n v="0"/>
    <m/>
    <m/>
  </r>
  <r>
    <n v="0"/>
    <s v="CMS S.60.10.000"/>
    <x v="1"/>
    <m/>
    <m/>
    <m/>
    <x v="0"/>
    <m/>
    <m/>
    <x v="0"/>
    <x v="0"/>
    <s v="LINHA DO CIRCUITO ULTRAFINO LINHA DE ALIMENTAÇÃO DO DISTRIBUIDOR DI 145A-9903"/>
    <s v="SC-018"/>
    <s v="SP 8315 L"/>
    <m/>
    <s v="1450AA-S-58315"/>
    <n v="3"/>
    <s v="PÇ"/>
    <n v="7.6"/>
    <n v="22.799999999999997"/>
    <n v="0"/>
    <n v="0"/>
    <n v="0"/>
    <n v="0.9"/>
    <n v="0.1"/>
    <m/>
    <m/>
    <x v="0"/>
    <n v="0"/>
    <m/>
    <n v="0"/>
    <n v="22.799999999999997"/>
    <m/>
    <n v="0"/>
    <n v="0"/>
    <n v="0"/>
    <m/>
    <m/>
    <m/>
    <n v="0"/>
    <n v="0"/>
    <n v="0"/>
    <n v="0"/>
    <m/>
    <m/>
  </r>
  <r>
    <n v="0"/>
    <s v="CMS S.60.10.000"/>
    <x v="1"/>
    <m/>
    <m/>
    <m/>
    <x v="0"/>
    <m/>
    <m/>
    <x v="0"/>
    <x v="0"/>
    <s v="LINHA DO CIRCUITO ULTRAFINO LINHA DE ALIMENTAÇÃO DO DISTRIBUIDOR DI 145A-9903"/>
    <s v="SC-018"/>
    <s v="SP 8315 M"/>
    <m/>
    <s v="1450AA-S-58315"/>
    <n v="1"/>
    <s v="PÇ"/>
    <n v="3.3"/>
    <n v="3.3"/>
    <n v="0"/>
    <n v="0"/>
    <n v="0"/>
    <n v="0.9"/>
    <n v="0.1"/>
    <m/>
    <m/>
    <x v="0"/>
    <n v="0"/>
    <m/>
    <n v="0"/>
    <n v="3.3"/>
    <m/>
    <n v="0"/>
    <n v="0"/>
    <n v="0"/>
    <m/>
    <m/>
    <m/>
    <n v="0"/>
    <n v="0"/>
    <n v="0"/>
    <n v="0"/>
    <m/>
    <m/>
  </r>
  <r>
    <n v="0"/>
    <s v="CMS S.60.10.000"/>
    <x v="1"/>
    <m/>
    <m/>
    <m/>
    <x v="0"/>
    <m/>
    <m/>
    <x v="0"/>
    <x v="0"/>
    <s v="LINHA DO CIRCUITO ULTRAFINO LINHA DE ALIMENTAÇÃO DO DISTRIBUIDOR DI 145A-9903"/>
    <s v="SC-018"/>
    <s v="SP 8315 N"/>
    <m/>
    <s v="1450AA-S-58315"/>
    <n v="1"/>
    <s v="PÇ"/>
    <n v="10.8"/>
    <n v="10.8"/>
    <n v="0"/>
    <n v="0"/>
    <n v="0"/>
    <n v="0.9"/>
    <n v="0.1"/>
    <m/>
    <m/>
    <x v="0"/>
    <n v="0"/>
    <m/>
    <n v="0"/>
    <n v="10.8"/>
    <m/>
    <n v="0"/>
    <n v="0"/>
    <n v="0"/>
    <m/>
    <m/>
    <m/>
    <n v="0"/>
    <n v="0"/>
    <n v="0"/>
    <n v="0"/>
    <m/>
    <m/>
  </r>
  <r>
    <n v="0"/>
    <s v="CMS S.60.10.000"/>
    <x v="1"/>
    <m/>
    <m/>
    <m/>
    <x v="0"/>
    <m/>
    <m/>
    <x v="0"/>
    <x v="0"/>
    <s v="LINHA DO CIRCUITO ULTRAFINO LINHA DE ALIMENTAÇÃO DO DISTRIBUIDOR DI 145A-9903"/>
    <s v="SC-018"/>
    <s v="SP 8317 A"/>
    <m/>
    <s v="1450AA-S-58317"/>
    <n v="1"/>
    <s v="PÇ"/>
    <n v="14.5"/>
    <n v="14.5"/>
    <n v="0"/>
    <n v="0"/>
    <n v="0"/>
    <n v="0.9"/>
    <n v="0.1"/>
    <m/>
    <m/>
    <x v="0"/>
    <n v="0"/>
    <m/>
    <n v="0"/>
    <n v="14.5"/>
    <m/>
    <n v="0"/>
    <n v="0"/>
    <n v="0"/>
    <m/>
    <m/>
    <m/>
    <n v="0"/>
    <n v="0"/>
    <n v="0"/>
    <n v="0"/>
    <m/>
    <m/>
  </r>
  <r>
    <n v="0"/>
    <s v="CMS S.60.10.000"/>
    <x v="1"/>
    <m/>
    <m/>
    <m/>
    <x v="0"/>
    <m/>
    <m/>
    <x v="0"/>
    <x v="0"/>
    <s v="LINHA DO CIRCUITO ULTRAFINO LINHA DE ALIMENTAÇÃO DO DISTRIBUIDOR DI 145A-9903"/>
    <s v="SC-018"/>
    <s v="SP 8317 B"/>
    <m/>
    <s v="1450AA-S-58317"/>
    <n v="2"/>
    <s v="PÇ"/>
    <n v="11.8"/>
    <n v="23.6"/>
    <n v="0"/>
    <n v="0"/>
    <n v="0"/>
    <n v="0.9"/>
    <n v="0.1"/>
    <m/>
    <m/>
    <x v="0"/>
    <n v="0"/>
    <m/>
    <n v="0"/>
    <n v="23.6"/>
    <m/>
    <n v="0"/>
    <n v="0"/>
    <n v="0"/>
    <m/>
    <m/>
    <m/>
    <n v="0"/>
    <n v="0"/>
    <n v="0"/>
    <n v="0"/>
    <m/>
    <m/>
  </r>
  <r>
    <n v="0"/>
    <s v="CMS S.60.10.000"/>
    <x v="1"/>
    <m/>
    <m/>
    <m/>
    <x v="0"/>
    <m/>
    <m/>
    <x v="0"/>
    <x v="0"/>
    <s v="LINHA DO CIRCUITO ULTRAFINO LINHA DE ALIMENTAÇÃO DO DISTRIBUIDOR DI 145A-9903"/>
    <s v="SC-018"/>
    <s v="SP 8317 C"/>
    <m/>
    <s v="1450AA-S-58317"/>
    <n v="1"/>
    <s v="PÇ"/>
    <n v="13.2"/>
    <n v="13.2"/>
    <n v="0"/>
    <n v="0"/>
    <n v="0"/>
    <n v="0.9"/>
    <n v="0.1"/>
    <m/>
    <m/>
    <x v="0"/>
    <n v="0"/>
    <m/>
    <n v="0"/>
    <n v="13.2"/>
    <m/>
    <n v="0"/>
    <n v="0"/>
    <n v="0"/>
    <m/>
    <m/>
    <m/>
    <n v="0"/>
    <n v="0"/>
    <n v="0"/>
    <n v="0"/>
    <m/>
    <m/>
  </r>
  <r>
    <n v="0"/>
    <s v="CMS S.60.10.000"/>
    <x v="1"/>
    <m/>
    <m/>
    <m/>
    <x v="0"/>
    <m/>
    <m/>
    <x v="0"/>
    <x v="0"/>
    <s v="LINHA DO CIRCUITO ULTRAFINO LINHA DE ALIMENTAÇÃO DO DISTRIBUIDOR DI 145A-9903"/>
    <s v="SC-018"/>
    <s v="SP 8317 D"/>
    <m/>
    <s v="1450AA-S-58317"/>
    <n v="2"/>
    <s v="PÇ"/>
    <n v="11.8"/>
    <n v="23.6"/>
    <n v="0"/>
    <n v="0"/>
    <n v="0"/>
    <n v="0.9"/>
    <n v="0.1"/>
    <m/>
    <m/>
    <x v="0"/>
    <n v="0"/>
    <m/>
    <n v="0"/>
    <n v="23.6"/>
    <m/>
    <n v="0"/>
    <n v="0"/>
    <n v="0"/>
    <m/>
    <m/>
    <m/>
    <n v="0"/>
    <n v="0"/>
    <n v="0"/>
    <n v="0"/>
    <m/>
    <m/>
  </r>
  <r>
    <n v="0"/>
    <s v="CMS S.60.10.000"/>
    <x v="1"/>
    <m/>
    <m/>
    <m/>
    <x v="0"/>
    <m/>
    <m/>
    <x v="0"/>
    <x v="0"/>
    <s v="LINHA DO CIRCUITO ULTRAFINO LINHA DE ALIMENTAÇÃO DO DISTRIBUIDOR DI 145A-9903"/>
    <s v="SC-018"/>
    <s v="SP 8317 E"/>
    <m/>
    <s v="1450AA-S-58317"/>
    <n v="1"/>
    <s v="PÇ"/>
    <n v="14"/>
    <n v="14"/>
    <n v="0"/>
    <n v="0"/>
    <n v="0"/>
    <n v="0.9"/>
    <n v="0.1"/>
    <m/>
    <m/>
    <x v="0"/>
    <n v="0"/>
    <m/>
    <n v="0"/>
    <n v="14"/>
    <m/>
    <n v="0"/>
    <n v="0"/>
    <n v="0"/>
    <m/>
    <m/>
    <m/>
    <n v="0"/>
    <n v="0"/>
    <n v="0"/>
    <n v="0"/>
    <m/>
    <m/>
  </r>
  <r>
    <n v="0"/>
    <s v="CMS S.60.10.000"/>
    <x v="1"/>
    <m/>
    <m/>
    <m/>
    <x v="0"/>
    <m/>
    <m/>
    <x v="0"/>
    <x v="0"/>
    <s v="LINHA DO CIRCUITO ULTRAFINO LINHA DE ALIMENTAÇÃO DO DISTRIBUIDOR DI 145A-9903"/>
    <s v="SC-018"/>
    <s v="SP 8317 F"/>
    <m/>
    <s v="1450AA-S-58317"/>
    <n v="1"/>
    <s v="PÇ"/>
    <n v="11.9"/>
    <n v="11.9"/>
    <n v="0"/>
    <n v="0"/>
    <n v="0"/>
    <n v="0.9"/>
    <n v="0.1"/>
    <m/>
    <m/>
    <x v="0"/>
    <n v="0"/>
    <m/>
    <n v="0"/>
    <n v="11.9"/>
    <m/>
    <n v="0"/>
    <n v="0"/>
    <n v="0"/>
    <m/>
    <m/>
    <m/>
    <n v="0"/>
    <n v="0"/>
    <n v="0"/>
    <n v="0"/>
    <m/>
    <m/>
  </r>
  <r>
    <n v="0"/>
    <s v="CMS S.60.10.000"/>
    <x v="1"/>
    <m/>
    <m/>
    <m/>
    <x v="0"/>
    <m/>
    <m/>
    <x v="0"/>
    <x v="0"/>
    <s v="LINHA DO CIRCUITO ULTRAFINO LINHA DE ALIMENTAÇÃO DO DISTRIBUIDOR DI 145A-9903"/>
    <s v="SC-018"/>
    <s v="SP 8317 G"/>
    <m/>
    <s v="1450AA-S-58317"/>
    <n v="1"/>
    <s v="PÇ"/>
    <n v="107.9"/>
    <n v="107.9"/>
    <n v="0"/>
    <n v="0"/>
    <n v="0"/>
    <n v="0.9"/>
    <n v="0.1"/>
    <m/>
    <m/>
    <x v="0"/>
    <n v="0"/>
    <m/>
    <n v="0"/>
    <n v="107.9"/>
    <m/>
    <n v="0"/>
    <n v="0"/>
    <n v="0"/>
    <m/>
    <m/>
    <m/>
    <n v="0"/>
    <n v="0"/>
    <n v="0"/>
    <n v="0"/>
    <m/>
    <m/>
  </r>
  <r>
    <n v="0"/>
    <s v="CMS S.60.10.000"/>
    <x v="1"/>
    <m/>
    <m/>
    <m/>
    <x v="0"/>
    <m/>
    <m/>
    <x v="0"/>
    <x v="0"/>
    <s v="LINHA DO CIRCUITO ULTRAFINO LINHA DE ALIMENTAÇÃO DO DISTRIBUIDOR DI 145A-9903"/>
    <s v="SC-018"/>
    <s v="SP 8317 H"/>
    <m/>
    <s v="1450AA-S-58317"/>
    <n v="1"/>
    <s v="PÇ"/>
    <n v="22.9"/>
    <n v="22.9"/>
    <n v="0"/>
    <n v="0"/>
    <n v="0"/>
    <n v="0.9"/>
    <n v="0.1"/>
    <m/>
    <m/>
    <x v="0"/>
    <n v="0"/>
    <m/>
    <n v="0"/>
    <n v="22.9"/>
    <m/>
    <n v="0"/>
    <n v="0"/>
    <n v="0"/>
    <m/>
    <m/>
    <m/>
    <n v="0"/>
    <n v="0"/>
    <n v="0"/>
    <n v="0"/>
    <m/>
    <m/>
  </r>
  <r>
    <n v="0"/>
    <s v="CMS S.60.10.000"/>
    <x v="1"/>
    <m/>
    <m/>
    <m/>
    <x v="0"/>
    <m/>
    <m/>
    <x v="0"/>
    <x v="0"/>
    <s v="LINHA DO CIRCUITO ULTRAFINO LINHA DE ALIMENTAÇÃO DO DISTRIBUIDOR DI 145A-9903"/>
    <s v="SC-018"/>
    <s v="SP 8317 J"/>
    <m/>
    <s v="1450AA-S-58317"/>
    <n v="1"/>
    <s v="PÇ"/>
    <n v="0.8"/>
    <n v="0.8"/>
    <n v="0"/>
    <n v="0"/>
    <n v="0"/>
    <n v="0.9"/>
    <n v="0.1"/>
    <m/>
    <m/>
    <x v="0"/>
    <n v="0"/>
    <m/>
    <n v="0"/>
    <n v="0.8"/>
    <m/>
    <n v="0"/>
    <n v="0"/>
    <n v="0"/>
    <m/>
    <m/>
    <m/>
    <n v="0"/>
    <n v="0"/>
    <n v="0"/>
    <n v="0"/>
    <m/>
    <m/>
  </r>
  <r>
    <n v="0"/>
    <s v="CMS S.60.10.000"/>
    <x v="1"/>
    <m/>
    <m/>
    <m/>
    <x v="0"/>
    <m/>
    <m/>
    <x v="0"/>
    <x v="0"/>
    <s v="LINHA DO CIRCUITO ULTRAFINO LINHA DE ALIMENTAÇÃO DO DISTRIBUIDOR DI 145A-9903"/>
    <s v="SC-018"/>
    <s v="SP 8317 K"/>
    <m/>
    <s v="1450AA-S-58317"/>
    <n v="1"/>
    <s v="PÇ"/>
    <n v="41.7"/>
    <n v="41.7"/>
    <n v="0"/>
    <n v="0"/>
    <n v="0"/>
    <n v="0.9"/>
    <n v="0.1"/>
    <m/>
    <m/>
    <x v="0"/>
    <n v="0"/>
    <m/>
    <n v="0"/>
    <n v="41.7"/>
    <m/>
    <n v="0"/>
    <n v="0"/>
    <n v="0"/>
    <m/>
    <m/>
    <m/>
    <n v="0"/>
    <n v="0"/>
    <n v="0"/>
    <n v="0"/>
    <m/>
    <m/>
  </r>
  <r>
    <n v="0"/>
    <s v="CMS S.60.10.000"/>
    <x v="1"/>
    <m/>
    <m/>
    <m/>
    <x v="0"/>
    <m/>
    <m/>
    <x v="0"/>
    <x v="0"/>
    <s v="LINHA DO CIRCUITO ULTRAFINO LINHA DE ALIMENTAÇÃO DO DISTRIBUIDOR DI 145A-9903"/>
    <s v="SC-018"/>
    <s v="SP 8317 L"/>
    <m/>
    <s v="1450AA-S-58317"/>
    <n v="1"/>
    <s v="PÇ"/>
    <n v="41.2"/>
    <n v="41.2"/>
    <n v="0"/>
    <n v="0"/>
    <n v="0"/>
    <n v="0.9"/>
    <n v="0.1"/>
    <m/>
    <m/>
    <x v="0"/>
    <n v="0"/>
    <m/>
    <n v="0"/>
    <n v="41.2"/>
    <m/>
    <n v="0"/>
    <n v="0"/>
    <n v="0"/>
    <m/>
    <m/>
    <m/>
    <n v="0"/>
    <n v="0"/>
    <n v="0"/>
    <n v="0"/>
    <m/>
    <m/>
  </r>
  <r>
    <n v="0"/>
    <s v="CMS S.60.10.000"/>
    <x v="1"/>
    <m/>
    <m/>
    <m/>
    <x v="0"/>
    <m/>
    <m/>
    <x v="0"/>
    <x v="0"/>
    <s v="LINHA DO CIRCUITO ULTRAFINO LINHA DE DESCARGA DO DISTRIBUIDOR DI 145A-9904"/>
    <s v="SC-026"/>
    <s v="SP 8320 A"/>
    <m/>
    <s v="1450AA-S-58320"/>
    <n v="2"/>
    <s v="PÇ"/>
    <n v="17.3"/>
    <n v="34.6"/>
    <n v="0"/>
    <n v="0"/>
    <n v="0"/>
    <n v="0.9"/>
    <n v="0.1"/>
    <m/>
    <m/>
    <x v="0"/>
    <n v="0"/>
    <m/>
    <n v="0"/>
    <n v="34.6"/>
    <m/>
    <n v="0"/>
    <n v="0"/>
    <n v="0"/>
    <m/>
    <m/>
    <m/>
    <n v="0"/>
    <n v="0"/>
    <n v="0"/>
    <n v="0"/>
    <m/>
    <m/>
  </r>
  <r>
    <n v="0"/>
    <s v="CMS S.60.10.000"/>
    <x v="1"/>
    <m/>
    <m/>
    <m/>
    <x v="0"/>
    <m/>
    <m/>
    <x v="0"/>
    <x v="0"/>
    <s v="LINHA DO CIRCUITO ULTRAFINO LINHA DE DESCARGA DO DISTRIBUIDOR DI 145A-9904"/>
    <s v="SC-026"/>
    <s v="SP 8320 B"/>
    <m/>
    <s v="1450AA-S-58320"/>
    <n v="2"/>
    <s v="PÇ"/>
    <n v="15.299999999999999"/>
    <n v="30.599999999999998"/>
    <n v="0"/>
    <n v="0"/>
    <n v="0"/>
    <n v="0.9"/>
    <n v="0.1"/>
    <m/>
    <m/>
    <x v="0"/>
    <n v="0"/>
    <m/>
    <n v="0"/>
    <n v="30.599999999999998"/>
    <m/>
    <n v="0"/>
    <n v="0"/>
    <n v="0"/>
    <m/>
    <m/>
    <m/>
    <n v="0"/>
    <n v="0"/>
    <n v="0"/>
    <n v="0"/>
    <m/>
    <m/>
  </r>
  <r>
    <n v="0"/>
    <s v="CMS S.60.10.000"/>
    <x v="1"/>
    <m/>
    <m/>
    <m/>
    <x v="0"/>
    <m/>
    <m/>
    <x v="0"/>
    <x v="0"/>
    <s v="LINHA DO CIRCUITO ULTRAFINO LINHA DE DESCARGA DO DISTRIBUIDOR DI 145A-9904"/>
    <s v="SC-026"/>
    <s v="SP 8320 C"/>
    <m/>
    <s v="1450AA-S-58320"/>
    <n v="2"/>
    <s v="PÇ"/>
    <n v="12.2"/>
    <n v="24.4"/>
    <n v="0"/>
    <n v="0"/>
    <n v="0"/>
    <n v="0.9"/>
    <n v="0.1"/>
    <m/>
    <m/>
    <x v="0"/>
    <n v="0"/>
    <m/>
    <n v="0"/>
    <n v="24.4"/>
    <m/>
    <n v="0"/>
    <n v="0"/>
    <n v="0"/>
    <m/>
    <m/>
    <m/>
    <n v="0"/>
    <n v="0"/>
    <n v="0"/>
    <n v="0"/>
    <m/>
    <m/>
  </r>
  <r>
    <n v="0"/>
    <s v="CMS S.60.10.000"/>
    <x v="1"/>
    <m/>
    <m/>
    <m/>
    <x v="0"/>
    <m/>
    <m/>
    <x v="0"/>
    <x v="0"/>
    <s v="LINHA DO CIRCUITO ULTRAFINO LINHA DE DESCARGA DO DISTRIBUIDOR DI 145A-9904"/>
    <s v="SC-026"/>
    <s v="SP 8320 D"/>
    <m/>
    <s v="1450AA-S-58320"/>
    <n v="1"/>
    <s v="PÇ"/>
    <n v="12.9"/>
    <n v="12.9"/>
    <n v="0"/>
    <n v="0"/>
    <n v="0"/>
    <n v="0.9"/>
    <n v="0.1"/>
    <m/>
    <m/>
    <x v="0"/>
    <n v="0"/>
    <m/>
    <n v="0"/>
    <n v="12.9"/>
    <m/>
    <n v="0"/>
    <n v="0"/>
    <n v="0"/>
    <m/>
    <m/>
    <m/>
    <n v="0"/>
    <n v="0"/>
    <n v="0"/>
    <n v="0"/>
    <m/>
    <m/>
  </r>
  <r>
    <n v="0"/>
    <s v="CMS S.60.10.000"/>
    <x v="1"/>
    <m/>
    <m/>
    <m/>
    <x v="0"/>
    <m/>
    <m/>
    <x v="0"/>
    <x v="0"/>
    <s v="LINHA DO CIRCUITO ULTRAFINO LINHA DE DESCARGA DO DISTRIBUIDOR DI 145A-9904"/>
    <s v="SC-026"/>
    <s v="SP 8320 E"/>
    <m/>
    <s v="1450AA-S-58320"/>
    <n v="2"/>
    <s v="PÇ"/>
    <n v="16.8"/>
    <n v="33.6"/>
    <n v="0"/>
    <n v="0"/>
    <n v="0"/>
    <n v="0.9"/>
    <n v="0.1"/>
    <m/>
    <m/>
    <x v="0"/>
    <n v="0"/>
    <m/>
    <n v="0"/>
    <n v="33.6"/>
    <m/>
    <n v="0"/>
    <n v="0"/>
    <n v="0"/>
    <m/>
    <m/>
    <m/>
    <n v="0"/>
    <n v="0"/>
    <n v="0"/>
    <n v="0"/>
    <m/>
    <m/>
  </r>
  <r>
    <n v="0"/>
    <s v="CMS S.60.10.000"/>
    <x v="1"/>
    <m/>
    <m/>
    <m/>
    <x v="0"/>
    <m/>
    <m/>
    <x v="0"/>
    <x v="0"/>
    <s v="LINHA DO CIRCUITO ULTRAFINO LINHA DE DESCARGA DO DISTRIBUIDOR DI 145A-9904"/>
    <s v="SC-026"/>
    <s v=" 8320 F"/>
    <m/>
    <s v="1450AA-S-58320"/>
    <n v="2"/>
    <s v="PÇ"/>
    <n v="15.5"/>
    <n v="31"/>
    <n v="0"/>
    <n v="0"/>
    <n v="0"/>
    <n v="0.9"/>
    <n v="0.1"/>
    <m/>
    <m/>
    <x v="0"/>
    <n v="0"/>
    <m/>
    <n v="0"/>
    <n v="31"/>
    <m/>
    <n v="0"/>
    <n v="0"/>
    <n v="0"/>
    <m/>
    <m/>
    <m/>
    <n v="0"/>
    <n v="0"/>
    <n v="0"/>
    <n v="0"/>
    <m/>
    <m/>
  </r>
  <r>
    <n v="0"/>
    <s v="CMS S.60.10.000"/>
    <x v="1"/>
    <m/>
    <m/>
    <m/>
    <x v="0"/>
    <m/>
    <m/>
    <x v="0"/>
    <x v="0"/>
    <s v="LINHA DO CIRCUITO ULTRAFINO LINHA DE DESCARGA DO DISTRIBUIDOR DI 145A-9904"/>
    <s v="SC-026"/>
    <s v="SP 8320 G"/>
    <m/>
    <s v="1450AA-S-58320"/>
    <n v="2"/>
    <s v="PÇ"/>
    <n v="5.7"/>
    <n v="11.4"/>
    <n v="0"/>
    <n v="0"/>
    <n v="0"/>
    <n v="0.9"/>
    <n v="0.1"/>
    <m/>
    <m/>
    <x v="0"/>
    <n v="0"/>
    <m/>
    <n v="0"/>
    <n v="11.4"/>
    <m/>
    <n v="0"/>
    <n v="0"/>
    <n v="0"/>
    <m/>
    <m/>
    <m/>
    <n v="0"/>
    <n v="0"/>
    <n v="0"/>
    <n v="0"/>
    <m/>
    <m/>
  </r>
  <r>
    <n v="0"/>
    <s v="CMS S.60.10.000"/>
    <x v="1"/>
    <m/>
    <m/>
    <m/>
    <x v="0"/>
    <m/>
    <m/>
    <x v="0"/>
    <x v="0"/>
    <s v="LINHA DO CIRCUITO ULTRAFINO LINHA DE DESCARGA DO DISTRIBUIDOR DI 145A-9904"/>
    <s v="SC-026"/>
    <s v="SP 8320 H"/>
    <m/>
    <s v="1450AA-S-58320"/>
    <n v="3"/>
    <s v="PÇ"/>
    <n v="5.7"/>
    <n v="17.100000000000001"/>
    <n v="0"/>
    <n v="0"/>
    <n v="0"/>
    <n v="0.9"/>
    <n v="0.1"/>
    <m/>
    <m/>
    <x v="0"/>
    <n v="0"/>
    <m/>
    <n v="0"/>
    <n v="17.100000000000001"/>
    <m/>
    <n v="0"/>
    <n v="0"/>
    <n v="0"/>
    <m/>
    <m/>
    <m/>
    <n v="0"/>
    <n v="0"/>
    <n v="0"/>
    <n v="0"/>
    <m/>
    <m/>
  </r>
  <r>
    <n v="0"/>
    <s v="CMS S.60.10.000"/>
    <x v="1"/>
    <m/>
    <m/>
    <m/>
    <x v="0"/>
    <m/>
    <m/>
    <x v="0"/>
    <x v="0"/>
    <s v="LINHA DO CIRCUITO ULTRAFINO LINHA DE DESCARGA DO DISTRIBUIDOR DI 145A-9904"/>
    <s v="SC-026"/>
    <s v="SP 8320 J"/>
    <m/>
    <s v="1450AA-S-58320"/>
    <n v="3"/>
    <s v="PÇ"/>
    <n v="20.399999999999999"/>
    <n v="61.199999999999996"/>
    <n v="0"/>
    <n v="0"/>
    <n v="0"/>
    <n v="0.9"/>
    <n v="0.1"/>
    <m/>
    <m/>
    <x v="0"/>
    <n v="0"/>
    <m/>
    <n v="0"/>
    <n v="61.199999999999996"/>
    <m/>
    <n v="0"/>
    <n v="0"/>
    <n v="0"/>
    <m/>
    <m/>
    <m/>
    <n v="0"/>
    <n v="0"/>
    <n v="0"/>
    <n v="0"/>
    <m/>
    <m/>
  </r>
  <r>
    <n v="0"/>
    <s v="CMS S.60.10.000"/>
    <x v="1"/>
    <m/>
    <m/>
    <m/>
    <x v="0"/>
    <m/>
    <m/>
    <x v="0"/>
    <x v="0"/>
    <s v="LINHA DO CIRCUITO ULTRAFINO LINHA DE DESCARGA DO DISTRIBUIDOR DI 145A-9904"/>
    <s v="SC-026"/>
    <s v="SP 8320 K "/>
    <m/>
    <s v="1450AA-S-58320"/>
    <n v="3"/>
    <s v="PÇ"/>
    <n v="0.3"/>
    <n v="0.89999999999999991"/>
    <n v="0"/>
    <n v="0"/>
    <n v="0"/>
    <n v="0.9"/>
    <n v="0.1"/>
    <m/>
    <m/>
    <x v="0"/>
    <n v="0"/>
    <m/>
    <n v="0"/>
    <n v="0.89999999999999991"/>
    <m/>
    <n v="0"/>
    <n v="0"/>
    <n v="0"/>
    <m/>
    <m/>
    <m/>
    <n v="0"/>
    <n v="0"/>
    <n v="0"/>
    <n v="0"/>
    <m/>
    <m/>
  </r>
  <r>
    <n v="0"/>
    <s v="CMS S.60.10.000"/>
    <x v="1"/>
    <m/>
    <m/>
    <m/>
    <x v="0"/>
    <m/>
    <m/>
    <x v="0"/>
    <x v="0"/>
    <s v="LINHA DO CIRCUITO ULTRAFINO LINHA DE DESCARGA DO DISTRIBUIDOR DI 145A-9904"/>
    <s v="SC-026"/>
    <s v="SP 8320 L"/>
    <m/>
    <s v="1450AA-S-58320"/>
    <n v="3"/>
    <s v="PÇ"/>
    <n v="0.3"/>
    <n v="0.89999999999999991"/>
    <n v="0"/>
    <n v="0"/>
    <n v="0"/>
    <n v="0.9"/>
    <n v="0.1"/>
    <m/>
    <m/>
    <x v="0"/>
    <n v="0"/>
    <m/>
    <n v="0"/>
    <n v="0.89999999999999991"/>
    <m/>
    <n v="0"/>
    <n v="0"/>
    <n v="0"/>
    <m/>
    <m/>
    <m/>
    <n v="0"/>
    <n v="0"/>
    <n v="0"/>
    <n v="0"/>
    <m/>
    <m/>
  </r>
  <r>
    <n v="0"/>
    <s v="CMS S.60.10.000"/>
    <x v="1"/>
    <m/>
    <m/>
    <m/>
    <x v="0"/>
    <m/>
    <m/>
    <x v="0"/>
    <x v="0"/>
    <s v="LINHA DO CIRCUITO ULTRAFINO LINHA DE DESCARGA DO DISTRIBUIDOR DI 145A-9904"/>
    <s v="SC-026"/>
    <s v="SP 8320 M"/>
    <m/>
    <s v="1450AA-S-58320"/>
    <n v="2"/>
    <s v="PÇ"/>
    <n v="2.1999999999999997"/>
    <n v="4.3999999999999995"/>
    <n v="0"/>
    <n v="0"/>
    <n v="0"/>
    <n v="0.9"/>
    <n v="0.1"/>
    <m/>
    <m/>
    <x v="0"/>
    <n v="0"/>
    <m/>
    <n v="0"/>
    <n v="4.3999999999999995"/>
    <m/>
    <n v="0"/>
    <n v="0"/>
    <n v="0"/>
    <m/>
    <m/>
    <m/>
    <n v="0"/>
    <n v="0"/>
    <n v="0"/>
    <n v="0"/>
    <m/>
    <m/>
  </r>
  <r>
    <n v="0"/>
    <s v="CMS S.60.10.000"/>
    <x v="1"/>
    <m/>
    <m/>
    <m/>
    <x v="0"/>
    <m/>
    <m/>
    <x v="0"/>
    <x v="0"/>
    <s v="LINHA DO CIRCUITO ARENOSO LINHA DE DESCARGA  DO DISTRIBUIDOR DI-145A-9915"/>
    <s v="SC-014"/>
    <s v="SP 8321 A"/>
    <s v="1450AA-L-70048"/>
    <s v="1450AA-S-58321"/>
    <n v="16"/>
    <s v="PÇ"/>
    <n v="12.4"/>
    <n v="198.4"/>
    <n v="0"/>
    <n v="0"/>
    <n v="0"/>
    <n v="0.9"/>
    <n v="0.1"/>
    <m/>
    <m/>
    <x v="0"/>
    <n v="0"/>
    <m/>
    <n v="0"/>
    <n v="198.4"/>
    <m/>
    <n v="0"/>
    <n v="0"/>
    <n v="0"/>
    <m/>
    <m/>
    <m/>
    <n v="0"/>
    <n v="0"/>
    <n v="0"/>
    <n v="0"/>
    <m/>
    <m/>
  </r>
  <r>
    <n v="0"/>
    <s v="CMS S.60.10.000"/>
    <x v="1"/>
    <m/>
    <m/>
    <m/>
    <x v="0"/>
    <m/>
    <m/>
    <x v="0"/>
    <x v="0"/>
    <s v="LINHA DO CIRCUITO ARENOSO LINHA DE DESCARGA  DO DISTRIBUIDOR DI-145A-9915"/>
    <s v="SC-014"/>
    <s v="SP 8321 B"/>
    <s v="1450AA-L-70048"/>
    <s v="1450AA-S-58321"/>
    <n v="1"/>
    <s v="PÇ"/>
    <n v="10.4"/>
    <n v="10.4"/>
    <n v="0"/>
    <n v="0"/>
    <n v="0"/>
    <n v="0.9"/>
    <n v="0.1"/>
    <m/>
    <m/>
    <x v="0"/>
    <n v="0"/>
    <m/>
    <n v="0"/>
    <n v="10.4"/>
    <m/>
    <n v="0"/>
    <n v="0"/>
    <n v="0"/>
    <m/>
    <m/>
    <m/>
    <n v="0"/>
    <n v="0"/>
    <n v="0"/>
    <n v="0"/>
    <m/>
    <m/>
  </r>
  <r>
    <n v="0"/>
    <s v="CMS S.60.10.000"/>
    <x v="1"/>
    <m/>
    <m/>
    <m/>
    <x v="0"/>
    <m/>
    <m/>
    <x v="0"/>
    <x v="0"/>
    <s v="LINHA DO CIRCUITO ARENOSO LINHA DE DESCARGA  DO DISTRIBUIDOR DI-145A-9915"/>
    <s v="SC-014"/>
    <s v="SP 8321 C"/>
    <s v="1450AA-L-70048"/>
    <s v="1450AA-S-58321"/>
    <n v="1"/>
    <s v="PÇ"/>
    <n v="5.4"/>
    <n v="5.4"/>
    <n v="0"/>
    <n v="0"/>
    <n v="0"/>
    <n v="0.9"/>
    <n v="0.1"/>
    <m/>
    <m/>
    <x v="0"/>
    <n v="0"/>
    <m/>
    <n v="0"/>
    <n v="5.4"/>
    <m/>
    <n v="0"/>
    <n v="0"/>
    <n v="0"/>
    <m/>
    <m/>
    <m/>
    <n v="0"/>
    <n v="0"/>
    <n v="0"/>
    <n v="0"/>
    <m/>
    <m/>
  </r>
  <r>
    <n v="0"/>
    <s v="CMS S.60.10.000"/>
    <x v="1"/>
    <m/>
    <m/>
    <m/>
    <x v="0"/>
    <m/>
    <m/>
    <x v="0"/>
    <x v="0"/>
    <s v="LINHA DO CIRCUITO ARENOSO LINHA DE DESCARGA  DO DISTRIBUIDOR DI-145A-9915"/>
    <s v="SC-014"/>
    <s v="SP 8321 D"/>
    <s v="1450AA-L-70048"/>
    <s v="1450AA-S-58321"/>
    <n v="1"/>
    <s v="PÇ"/>
    <n v="4.8"/>
    <n v="4.8"/>
    <n v="0"/>
    <n v="0"/>
    <n v="0"/>
    <n v="0.9"/>
    <n v="0.1"/>
    <m/>
    <m/>
    <x v="0"/>
    <n v="0"/>
    <m/>
    <n v="0"/>
    <n v="4.8"/>
    <m/>
    <n v="0"/>
    <n v="0"/>
    <n v="0"/>
    <m/>
    <m/>
    <m/>
    <n v="0"/>
    <n v="0"/>
    <n v="0"/>
    <n v="0"/>
    <m/>
    <m/>
  </r>
  <r>
    <n v="0"/>
    <s v="CMS S.60.10.000"/>
    <x v="1"/>
    <m/>
    <m/>
    <m/>
    <x v="0"/>
    <m/>
    <m/>
    <x v="0"/>
    <x v="0"/>
    <s v="LINHA DO CIRCUITO ARENOSO LINHA DE DESCARGA  DO DISTRIBUIDOR DI-145A-9915"/>
    <s v="SC-014"/>
    <s v=" 8321 E"/>
    <s v="1450AA-L-70048"/>
    <s v="1450AA-S-58321"/>
    <n v="4"/>
    <s v="PÇ"/>
    <n v="0.39999999999999997"/>
    <n v="1.5999999999999999"/>
    <n v="0"/>
    <n v="0"/>
    <n v="0"/>
    <n v="0.9"/>
    <n v="0.1"/>
    <m/>
    <m/>
    <x v="0"/>
    <n v="0"/>
    <m/>
    <n v="0"/>
    <n v="1.5999999999999999"/>
    <m/>
    <n v="0"/>
    <n v="0"/>
    <n v="0"/>
    <m/>
    <m/>
    <m/>
    <n v="0"/>
    <n v="0"/>
    <n v="0"/>
    <n v="0"/>
    <m/>
    <m/>
  </r>
  <r>
    <n v="0"/>
    <s v="CMS S.60.10.000"/>
    <x v="1"/>
    <m/>
    <m/>
    <m/>
    <x v="0"/>
    <m/>
    <m/>
    <x v="0"/>
    <x v="0"/>
    <s v="LINHA DO CIRCUITO ARENOSO LINHA DE DESCARGA  DO DISTRIBUIDOR DI-145A-9915"/>
    <s v="SC-014"/>
    <s v="SP 8321 F"/>
    <s v="1450AA-L-70048"/>
    <s v="1450AA-S-58321"/>
    <n v="1"/>
    <s v="PÇ"/>
    <n v="4.3"/>
    <n v="4.3"/>
    <n v="0"/>
    <n v="0"/>
    <n v="0"/>
    <n v="0.9"/>
    <n v="0.1"/>
    <m/>
    <m/>
    <x v="0"/>
    <n v="0"/>
    <m/>
    <n v="0"/>
    <n v="4.3"/>
    <m/>
    <n v="0"/>
    <n v="0"/>
    <n v="0"/>
    <m/>
    <m/>
    <m/>
    <n v="0"/>
    <n v="0"/>
    <n v="0"/>
    <n v="0"/>
    <m/>
    <m/>
  </r>
  <r>
    <n v="0"/>
    <s v="CMS S.60.10.000"/>
    <x v="1"/>
    <m/>
    <m/>
    <m/>
    <x v="0"/>
    <m/>
    <m/>
    <x v="0"/>
    <x v="0"/>
    <s v="LINHA DO CIRCUITO ARENOSO LINHA DE DESCARGA  DO DISTRIBUIDOR DI-145A-9915"/>
    <s v="SC-014"/>
    <s v="SP 8321 G"/>
    <s v="1450AA-L-70048"/>
    <s v="1450AA-S-58321"/>
    <n v="1"/>
    <s v="PÇ"/>
    <n v="10.7"/>
    <n v="10.7"/>
    <n v="0"/>
    <n v="0"/>
    <n v="0"/>
    <n v="0.9"/>
    <n v="0.1"/>
    <m/>
    <m/>
    <x v="0"/>
    <n v="0"/>
    <m/>
    <n v="0"/>
    <n v="10.7"/>
    <m/>
    <n v="0"/>
    <n v="0"/>
    <n v="0"/>
    <m/>
    <m/>
    <m/>
    <n v="0"/>
    <n v="0"/>
    <n v="0"/>
    <n v="0"/>
    <m/>
    <m/>
  </r>
  <r>
    <n v="0"/>
    <s v="CMS S.60.10.000"/>
    <x v="1"/>
    <m/>
    <m/>
    <m/>
    <x v="0"/>
    <m/>
    <m/>
    <x v="0"/>
    <x v="0"/>
    <s v="LINHA DO CIRCUITO ARENOSO LINHA DE DESCARGA  DO DISTRIBUIDOR DI-145A-9915"/>
    <s v="SC-014"/>
    <s v="SP 8321 H"/>
    <s v="1450AA-L-70048"/>
    <s v="1450AA-S-58321"/>
    <n v="2"/>
    <s v="PÇ"/>
    <n v="34.5"/>
    <n v="69"/>
    <n v="0"/>
    <n v="0"/>
    <n v="0"/>
    <n v="0.9"/>
    <n v="0.1"/>
    <m/>
    <m/>
    <x v="0"/>
    <n v="0"/>
    <m/>
    <n v="0"/>
    <n v="69"/>
    <m/>
    <n v="0"/>
    <n v="0"/>
    <n v="0"/>
    <m/>
    <m/>
    <m/>
    <n v="0"/>
    <n v="0"/>
    <n v="0"/>
    <n v="0"/>
    <m/>
    <m/>
  </r>
  <r>
    <n v="0"/>
    <s v="CMS S.60.10.000"/>
    <x v="1"/>
    <m/>
    <m/>
    <m/>
    <x v="0"/>
    <m/>
    <m/>
    <x v="0"/>
    <x v="0"/>
    <s v="LINHA DO CIRCUITO ARENOSO LINHA DE DESCARGA  DO DISTRIBUIDOR DI-145A-9915"/>
    <s v="SC-014"/>
    <s v="SP 8321 J"/>
    <s v="1450AA-L-70048"/>
    <s v="1450AA-S-58321"/>
    <n v="1"/>
    <s v="PÇ"/>
    <n v="5.3"/>
    <n v="5.3"/>
    <n v="0"/>
    <n v="0"/>
    <n v="0"/>
    <n v="0.9"/>
    <n v="0.1"/>
    <m/>
    <m/>
    <x v="0"/>
    <n v="0"/>
    <m/>
    <n v="0"/>
    <n v="5.3"/>
    <m/>
    <n v="0"/>
    <n v="0"/>
    <n v="0"/>
    <m/>
    <m/>
    <m/>
    <n v="0"/>
    <n v="0"/>
    <n v="0"/>
    <n v="0"/>
    <m/>
    <m/>
  </r>
  <r>
    <n v="0"/>
    <s v="CMS S.60.10.000"/>
    <x v="1"/>
    <m/>
    <m/>
    <m/>
    <x v="0"/>
    <m/>
    <m/>
    <x v="0"/>
    <x v="0"/>
    <s v="LINHA DO CIRCUITO ARENOSO LINHA DE DESCARGA  DO DISTRIBUIDOR DI-145A-9915"/>
    <s v="SC-014"/>
    <s v="SP 8321 K"/>
    <s v="1450AA-L-70048"/>
    <s v="1450AA-S-58321"/>
    <n v="1"/>
    <s v="PÇ"/>
    <n v="9.6"/>
    <n v="9.6"/>
    <n v="0"/>
    <n v="0"/>
    <n v="0"/>
    <n v="0.9"/>
    <n v="0.1"/>
    <m/>
    <m/>
    <x v="0"/>
    <n v="0"/>
    <m/>
    <n v="0"/>
    <n v="9.6"/>
    <m/>
    <n v="0"/>
    <n v="0"/>
    <n v="0"/>
    <m/>
    <m/>
    <m/>
    <n v="0"/>
    <n v="0"/>
    <n v="0"/>
    <n v="0"/>
    <m/>
    <m/>
  </r>
  <r>
    <n v="0"/>
    <s v="CMS S.60.10.000"/>
    <x v="1"/>
    <m/>
    <m/>
    <m/>
    <x v="0"/>
    <m/>
    <m/>
    <x v="0"/>
    <x v="0"/>
    <s v="LINHA DO CIRCUITO ARENOSO LINHA DE DESCARGA  DO DISTRIBUIDOR DI-145A-9915"/>
    <s v="SC-014"/>
    <s v=" 8321 L"/>
    <s v="1450AA-L-70048"/>
    <s v="1450AA-S-58321"/>
    <n v="8"/>
    <s v="PÇ"/>
    <n v="0.5"/>
    <n v="4"/>
    <n v="0"/>
    <n v="0"/>
    <n v="0"/>
    <n v="0.9"/>
    <n v="0.1"/>
    <m/>
    <m/>
    <x v="0"/>
    <n v="0"/>
    <m/>
    <n v="0"/>
    <n v="4"/>
    <m/>
    <n v="0"/>
    <n v="0"/>
    <n v="0"/>
    <m/>
    <m/>
    <m/>
    <n v="0"/>
    <n v="0"/>
    <n v="0"/>
    <n v="0"/>
    <m/>
    <m/>
  </r>
  <r>
    <n v="0"/>
    <s v="CMS S.60.10.000"/>
    <x v="1"/>
    <m/>
    <m/>
    <m/>
    <x v="0"/>
    <m/>
    <m/>
    <x v="0"/>
    <x v="0"/>
    <s v="LINHA DO CIRCUITO ARENOSO LINHA DE DESCARGA  DO DISTRIBUIDOR DI-145A-9915"/>
    <s v="SC-014"/>
    <s v="SP 8321 M"/>
    <s v="1450AA-L-70048"/>
    <s v="1450AA-S-58321"/>
    <n v="1"/>
    <s v="PÇ"/>
    <n v="7.2"/>
    <n v="7.2"/>
    <n v="0"/>
    <n v="0"/>
    <n v="0"/>
    <n v="0.9"/>
    <n v="0.1"/>
    <m/>
    <m/>
    <x v="0"/>
    <n v="0"/>
    <m/>
    <n v="0"/>
    <n v="7.2"/>
    <m/>
    <n v="0"/>
    <n v="0"/>
    <n v="0"/>
    <m/>
    <m/>
    <m/>
    <n v="0"/>
    <n v="0"/>
    <n v="0"/>
    <n v="0"/>
    <m/>
    <m/>
  </r>
  <r>
    <n v="0"/>
    <s v="CMS S.60.10.000"/>
    <x v="1"/>
    <m/>
    <m/>
    <m/>
    <x v="0"/>
    <m/>
    <m/>
    <x v="0"/>
    <x v="0"/>
    <s v="LINHA DO CIRCUITO ARENOSO LINHA DE ALIMENTAÇÃO DO DISTRIBUIDOR DI-145A-9911"/>
    <s v="SC-011"/>
    <s v="SP 8323 A"/>
    <s v="1450AA-L-70107"/>
    <s v="1450AA-S-58323"/>
    <n v="1"/>
    <s v="PÇ"/>
    <n v="27.3"/>
    <n v="27.3"/>
    <n v="0"/>
    <n v="0"/>
    <n v="0"/>
    <n v="0.9"/>
    <n v="0.1"/>
    <m/>
    <m/>
    <x v="0"/>
    <n v="0"/>
    <m/>
    <n v="0"/>
    <n v="27.3"/>
    <m/>
    <n v="0"/>
    <n v="0"/>
    <n v="0"/>
    <m/>
    <m/>
    <m/>
    <n v="0"/>
    <n v="0"/>
    <n v="0"/>
    <n v="0"/>
    <m/>
    <m/>
  </r>
  <r>
    <n v="0"/>
    <s v="CMS S.60.10.000"/>
    <x v="1"/>
    <m/>
    <m/>
    <m/>
    <x v="0"/>
    <m/>
    <m/>
    <x v="0"/>
    <x v="0"/>
    <s v="LINHA DO CIRCUITO ARENOSO LINHA DE ALIMENTAÇÃO DO DISTRIBUIDOR DI-145A-9911"/>
    <s v="SC-011"/>
    <s v="SP 8323 B"/>
    <s v="1450AA-L-70107"/>
    <s v="1450AA-S-58323"/>
    <n v="3"/>
    <s v="PÇ"/>
    <n v="12.7"/>
    <n v="38.099999999999994"/>
    <n v="0"/>
    <n v="0"/>
    <n v="0"/>
    <n v="0.9"/>
    <n v="0.1"/>
    <m/>
    <m/>
    <x v="0"/>
    <n v="0"/>
    <m/>
    <n v="0"/>
    <n v="38.099999999999994"/>
    <m/>
    <n v="0"/>
    <n v="0"/>
    <n v="0"/>
    <m/>
    <m/>
    <m/>
    <n v="0"/>
    <n v="0"/>
    <n v="0"/>
    <n v="0"/>
    <m/>
    <m/>
  </r>
  <r>
    <n v="0"/>
    <s v="CMS S.60.10.000"/>
    <x v="1"/>
    <m/>
    <m/>
    <m/>
    <x v="0"/>
    <m/>
    <m/>
    <x v="0"/>
    <x v="0"/>
    <s v="LINHA DO CIRCUITO ARENOSO LINHA DE ALIMENTAÇÃO DO DISTRIBUIDOR DI-145A-9911"/>
    <s v="SC-011"/>
    <s v="SP 8323 C"/>
    <s v="1450AA-L-70107"/>
    <s v="1450AA-S-58323"/>
    <n v="2"/>
    <s v="PÇ"/>
    <n v="5.7"/>
    <n v="11.4"/>
    <n v="0"/>
    <n v="0"/>
    <n v="0"/>
    <n v="0.9"/>
    <n v="0.1"/>
    <m/>
    <m/>
    <x v="0"/>
    <n v="0"/>
    <m/>
    <n v="0"/>
    <n v="11.4"/>
    <m/>
    <n v="0"/>
    <n v="0"/>
    <n v="0"/>
    <m/>
    <m/>
    <m/>
    <n v="0"/>
    <n v="0"/>
    <n v="0"/>
    <n v="0"/>
    <m/>
    <m/>
  </r>
  <r>
    <n v="0"/>
    <s v="CMS S.60.10.000"/>
    <x v="1"/>
    <m/>
    <m/>
    <m/>
    <x v="0"/>
    <m/>
    <m/>
    <x v="0"/>
    <x v="0"/>
    <s v="LINHA DO CIRCUITO ARENOSO LINHA DE ALIMENTAÇÃO DO DISTRIBUIDOR DI-145A-9911"/>
    <s v="SC-011"/>
    <s v="SP 8323 D"/>
    <s v="1450AA-L-70107"/>
    <s v="1450AA-S-58323"/>
    <n v="2"/>
    <s v="PÇ"/>
    <n v="28.5"/>
    <n v="57"/>
    <n v="0"/>
    <n v="0"/>
    <n v="0"/>
    <n v="0.9"/>
    <n v="0.1"/>
    <m/>
    <m/>
    <x v="0"/>
    <n v="0"/>
    <m/>
    <n v="0"/>
    <n v="57"/>
    <m/>
    <n v="0"/>
    <n v="0"/>
    <n v="0"/>
    <m/>
    <m/>
    <m/>
    <n v="0"/>
    <n v="0"/>
    <n v="0"/>
    <n v="0"/>
    <m/>
    <m/>
  </r>
  <r>
    <n v="0"/>
    <s v="CMS S.60.10.000"/>
    <x v="1"/>
    <m/>
    <m/>
    <m/>
    <x v="0"/>
    <m/>
    <m/>
    <x v="0"/>
    <x v="0"/>
    <s v="LINHA DO CIRCUITO ARENOSO LINHA DE ALIMENTAÇÃO DO DISTRIBUIDOR DI-145A-9911"/>
    <s v="SC-011"/>
    <s v="SP 8323 E"/>
    <s v="1450AA-L-70107"/>
    <s v="1450AA-S-58323"/>
    <n v="2"/>
    <s v="PÇ"/>
    <n v="241.6"/>
    <n v="483.2"/>
    <n v="0"/>
    <n v="0"/>
    <n v="0"/>
    <n v="0.9"/>
    <n v="0.1"/>
    <m/>
    <m/>
    <x v="0"/>
    <n v="0"/>
    <m/>
    <n v="0"/>
    <n v="483.2"/>
    <m/>
    <n v="0"/>
    <n v="0"/>
    <n v="0"/>
    <m/>
    <m/>
    <m/>
    <n v="0"/>
    <n v="0"/>
    <n v="0"/>
    <n v="0"/>
    <m/>
    <m/>
  </r>
  <r>
    <n v="0"/>
    <s v="CMS S.60.10.000"/>
    <x v="1"/>
    <m/>
    <m/>
    <m/>
    <x v="0"/>
    <m/>
    <m/>
    <x v="0"/>
    <x v="0"/>
    <s v="LINHA DO CIRCUITO ARENOSO LINHA DE ALIMENTAÇÃO DO DISTRIBUIDOR DI-145A-9911"/>
    <s v="SC-011"/>
    <s v="SP 8323 F"/>
    <s v="1450AA-L-70107"/>
    <s v="1450AA-S-58323"/>
    <n v="2"/>
    <s v="PÇ"/>
    <n v="3.8"/>
    <n v="7.6"/>
    <n v="0"/>
    <n v="0"/>
    <n v="0"/>
    <n v="0.9"/>
    <n v="0.1"/>
    <m/>
    <m/>
    <x v="0"/>
    <n v="0"/>
    <m/>
    <n v="0"/>
    <n v="7.6"/>
    <m/>
    <n v="0"/>
    <n v="0"/>
    <n v="0"/>
    <m/>
    <m/>
    <m/>
    <n v="0"/>
    <n v="0"/>
    <n v="0"/>
    <n v="0"/>
    <m/>
    <m/>
  </r>
  <r>
    <n v="0"/>
    <s v="CMS S.60.10.000"/>
    <x v="1"/>
    <m/>
    <m/>
    <m/>
    <x v="0"/>
    <m/>
    <m/>
    <x v="0"/>
    <x v="0"/>
    <s v="LINHA DO CIRCUITO ARENOSO LINHA DE ALIMENTAÇÃO DO DISTRIBUIDOR DI-145A-9911"/>
    <s v="SC-018"/>
    <s v="SP 8324 A"/>
    <s v="1450AA-L-70107"/>
    <s v="1450AA-S-58324"/>
    <n v="2"/>
    <s v="PÇ"/>
    <n v="12.7"/>
    <n v="25.4"/>
    <n v="0"/>
    <n v="0"/>
    <n v="0"/>
    <n v="0.9"/>
    <n v="0.1"/>
    <m/>
    <m/>
    <x v="0"/>
    <n v="0"/>
    <m/>
    <n v="0"/>
    <n v="25.4"/>
    <m/>
    <n v="0"/>
    <n v="0"/>
    <n v="0"/>
    <m/>
    <m/>
    <m/>
    <n v="0"/>
    <n v="0"/>
    <n v="0"/>
    <n v="0"/>
    <m/>
    <m/>
  </r>
  <r>
    <n v="0"/>
    <s v="CMS S.60.10.000"/>
    <x v="1"/>
    <m/>
    <m/>
    <m/>
    <x v="0"/>
    <m/>
    <m/>
    <x v="0"/>
    <x v="0"/>
    <s v="LINHA DO CIRCUITO ARENOSO LINHA DE ALIMENTAÇÃO DO DISTRIBUIDOR DI-145A-9911"/>
    <s v="SC-018"/>
    <s v="SP 8324 B"/>
    <s v="1450AA-L-70107"/>
    <s v="1450AA-S-58324"/>
    <n v="2"/>
    <s v="PÇ"/>
    <n v="4.3"/>
    <n v="8.6"/>
    <n v="0"/>
    <n v="0"/>
    <n v="0"/>
    <n v="0.9"/>
    <n v="0.1"/>
    <m/>
    <m/>
    <x v="0"/>
    <n v="0"/>
    <m/>
    <n v="0"/>
    <n v="8.6"/>
    <m/>
    <n v="0"/>
    <n v="0"/>
    <n v="0"/>
    <m/>
    <m/>
    <m/>
    <n v="0"/>
    <n v="0"/>
    <n v="0"/>
    <n v="0"/>
    <m/>
    <m/>
  </r>
  <r>
    <n v="0"/>
    <s v="CMS S.60.10.000"/>
    <x v="1"/>
    <m/>
    <m/>
    <m/>
    <x v="0"/>
    <m/>
    <m/>
    <x v="0"/>
    <x v="0"/>
    <s v="LINHA DO CIRCUITO ARENOSO LINHA DE ALIMENTAÇÃO DO DISTRIBUIDOR DI-145A-9911"/>
    <s v="SC-018"/>
    <s v="SP 8324 C"/>
    <s v="1450AA-L-70107"/>
    <s v="1450AA-S-58324"/>
    <n v="2"/>
    <s v="PÇ"/>
    <n v="92.3"/>
    <n v="184.6"/>
    <n v="0"/>
    <n v="0"/>
    <n v="0"/>
    <n v="0.9"/>
    <n v="0.1"/>
    <m/>
    <m/>
    <x v="0"/>
    <n v="0"/>
    <m/>
    <n v="0"/>
    <n v="184.6"/>
    <m/>
    <n v="0"/>
    <n v="0"/>
    <n v="0"/>
    <m/>
    <m/>
    <m/>
    <n v="0"/>
    <n v="0"/>
    <n v="0"/>
    <n v="0"/>
    <m/>
    <m/>
  </r>
  <r>
    <n v="0"/>
    <s v="CMS S.60.10.000"/>
    <x v="1"/>
    <m/>
    <m/>
    <m/>
    <x v="0"/>
    <m/>
    <m/>
    <x v="0"/>
    <x v="0"/>
    <s v="LINHA DO CIRCUITO ARENOSO LINHA DE ALIMENTAÇÃO DO DISTRIBUIDOR DI-145A-9911"/>
    <s v="SC-018"/>
    <s v="SP 8324 D"/>
    <s v="1450AA-L-70107"/>
    <s v="1450AA-S-58324"/>
    <n v="4"/>
    <s v="PÇ"/>
    <n v="86.1"/>
    <n v="344.4"/>
    <n v="0"/>
    <n v="0"/>
    <n v="0"/>
    <n v="0.9"/>
    <n v="0.1"/>
    <m/>
    <m/>
    <x v="0"/>
    <n v="0"/>
    <m/>
    <n v="0"/>
    <n v="344.4"/>
    <m/>
    <n v="0"/>
    <n v="0"/>
    <n v="0"/>
    <m/>
    <m/>
    <m/>
    <n v="0"/>
    <n v="0"/>
    <n v="0"/>
    <n v="0"/>
    <m/>
    <m/>
  </r>
  <r>
    <n v="0"/>
    <s v="CMS S.60.10.000"/>
    <x v="1"/>
    <m/>
    <m/>
    <m/>
    <x v="0"/>
    <m/>
    <m/>
    <x v="0"/>
    <x v="0"/>
    <s v="LINHA DO CIRCUITO ARENOSO LINHA DE ALIMENTAÇÃO DO DISTRIBUIDOR DI-145A-9911"/>
    <s v="SC-018"/>
    <s v="SP 8324 E"/>
    <s v="1450AA-L-70107"/>
    <s v="1450AA-S-58324"/>
    <n v="1"/>
    <s v="PÇ"/>
    <n v="11.9"/>
    <n v="11.9"/>
    <n v="0"/>
    <n v="0"/>
    <n v="0"/>
    <n v="0.9"/>
    <n v="0.1"/>
    <m/>
    <m/>
    <x v="0"/>
    <n v="0"/>
    <m/>
    <n v="0"/>
    <n v="11.9"/>
    <m/>
    <n v="0"/>
    <n v="0"/>
    <n v="0"/>
    <m/>
    <m/>
    <m/>
    <n v="0"/>
    <n v="0"/>
    <n v="0"/>
    <n v="0"/>
    <m/>
    <m/>
  </r>
  <r>
    <n v="0"/>
    <s v="CMS S.60.10.000"/>
    <x v="1"/>
    <m/>
    <m/>
    <m/>
    <x v="0"/>
    <m/>
    <m/>
    <x v="0"/>
    <x v="0"/>
    <s v="LINHA DO CIRCUITO ARENOSO LINHA DE ALIMENTAÇÃO DO DISTRIBUIDOR DI-145A-9911"/>
    <s v="SC-011"/>
    <s v="SP 8325 A"/>
    <s v="1450AA-L-70107"/>
    <s v="1450AA-S-58325"/>
    <n v="1"/>
    <s v="PÇ"/>
    <n v="12.7"/>
    <n v="12.7"/>
    <n v="0"/>
    <n v="0"/>
    <n v="0"/>
    <n v="0.9"/>
    <n v="0.1"/>
    <m/>
    <m/>
    <x v="0"/>
    <n v="0"/>
    <m/>
    <n v="0"/>
    <n v="12.7"/>
    <m/>
    <n v="0"/>
    <n v="0"/>
    <n v="0"/>
    <m/>
    <m/>
    <m/>
    <n v="0"/>
    <n v="0"/>
    <n v="0"/>
    <n v="0"/>
    <m/>
    <m/>
  </r>
  <r>
    <n v="0"/>
    <s v="CMS S.60.10.000"/>
    <x v="1"/>
    <m/>
    <m/>
    <m/>
    <x v="0"/>
    <m/>
    <m/>
    <x v="0"/>
    <x v="0"/>
    <s v="LINHA DO CIRCUITO ARENOSO LINHA DE ALIMENTAÇÃO DO DISTRIBUIDOR DI-145A-9911"/>
    <s v="SC-011"/>
    <s v="SP 8325 B"/>
    <s v="1450AA-L-70107"/>
    <s v="1450AA-S-58325"/>
    <n v="1"/>
    <s v="PÇ"/>
    <n v="10.3"/>
    <n v="10.3"/>
    <n v="0"/>
    <n v="0"/>
    <n v="0"/>
    <n v="0.9"/>
    <n v="0.1"/>
    <m/>
    <m/>
    <x v="0"/>
    <n v="0"/>
    <m/>
    <n v="0"/>
    <n v="10.3"/>
    <m/>
    <n v="0"/>
    <n v="0"/>
    <n v="0"/>
    <m/>
    <m/>
    <m/>
    <n v="0"/>
    <n v="0"/>
    <n v="0"/>
    <n v="0"/>
    <m/>
    <m/>
  </r>
  <r>
    <n v="0"/>
    <s v="CMS S.60.10.000"/>
    <x v="1"/>
    <m/>
    <m/>
    <m/>
    <x v="0"/>
    <m/>
    <m/>
    <x v="0"/>
    <x v="0"/>
    <s v="LINHA DO CIRCUITO ARENOSO LINHA DE ALIMENTAÇÃO DO DISTRIBUIDOR DI-145A-9911"/>
    <s v="SC-011"/>
    <s v="SP 8325 C"/>
    <s v="1450AA-L-70107"/>
    <s v="1450AA-S-58325"/>
    <n v="1"/>
    <s v="PÇ"/>
    <n v="77.599999999999994"/>
    <n v="77.599999999999994"/>
    <n v="0"/>
    <n v="0"/>
    <n v="0"/>
    <n v="0.9"/>
    <n v="0.1"/>
    <m/>
    <m/>
    <x v="0"/>
    <n v="0"/>
    <m/>
    <n v="0"/>
    <n v="77.599999999999994"/>
    <m/>
    <n v="0"/>
    <n v="0"/>
    <n v="0"/>
    <m/>
    <m/>
    <m/>
    <n v="0"/>
    <n v="0"/>
    <n v="0"/>
    <n v="0"/>
    <m/>
    <m/>
  </r>
  <r>
    <n v="0"/>
    <s v="CMS S.60.10.000"/>
    <x v="1"/>
    <m/>
    <m/>
    <m/>
    <x v="0"/>
    <m/>
    <m/>
    <x v="0"/>
    <x v="0"/>
    <s v="LINHA DO CIRCUITO ARENOSO LINHA DE ALIMENTAÇÃO DO DISTRIBUIDOR DI-145A-9911"/>
    <s v="SC-011"/>
    <s v="SP 8325 D"/>
    <s v="1450AA-L-70107"/>
    <s v="1450AA-S-58325"/>
    <n v="1"/>
    <s v="PÇ"/>
    <n v="7.5"/>
    <n v="7.5"/>
    <n v="0"/>
    <n v="0"/>
    <n v="0"/>
    <n v="0.9"/>
    <n v="0.1"/>
    <m/>
    <m/>
    <x v="0"/>
    <n v="0"/>
    <m/>
    <n v="0"/>
    <n v="7.5"/>
    <m/>
    <n v="0"/>
    <n v="0"/>
    <n v="0"/>
    <m/>
    <m/>
    <m/>
    <n v="0"/>
    <n v="0"/>
    <n v="0"/>
    <n v="0"/>
    <m/>
    <m/>
  </r>
  <r>
    <n v="0"/>
    <s v="CMS S.60.10.000"/>
    <x v="1"/>
    <m/>
    <m/>
    <m/>
    <x v="0"/>
    <m/>
    <m/>
    <x v="0"/>
    <x v="0"/>
    <s v="LINHA DO CIRCUITO ARENOSO LINHA DE ALIMENTAÇÃO DO DISTRIBUIDOR DI-145A-9911"/>
    <s v="SC-011"/>
    <s v="SP 8325 E"/>
    <s v="1450AA-L-70107"/>
    <s v="1450AA-S-58325"/>
    <n v="2"/>
    <s v="PÇ"/>
    <n v="4"/>
    <n v="8"/>
    <n v="0"/>
    <n v="0"/>
    <n v="0"/>
    <n v="0.9"/>
    <n v="0.1"/>
    <m/>
    <m/>
    <x v="0"/>
    <n v="0"/>
    <m/>
    <n v="0"/>
    <n v="8"/>
    <m/>
    <n v="0"/>
    <n v="0"/>
    <n v="0"/>
    <m/>
    <m/>
    <m/>
    <n v="0"/>
    <n v="0"/>
    <n v="0"/>
    <n v="0"/>
    <m/>
    <m/>
  </r>
  <r>
    <n v="0"/>
    <s v="CMS S.60.10.000"/>
    <x v="1"/>
    <m/>
    <m/>
    <m/>
    <x v="0"/>
    <m/>
    <m/>
    <x v="0"/>
    <x v="0"/>
    <s v="LINHA DO CIRCUITO ARENOSO LINHA DE ALIMENTAÇÃO DO DISTRIBUIDOR DI-145A-9911"/>
    <s v="SC-011"/>
    <s v="SP 8325 F"/>
    <s v="1450AA-L-70107"/>
    <s v="1450AA-S-58325"/>
    <n v="5"/>
    <s v="PÇ"/>
    <n v="236.4"/>
    <n v="1182"/>
    <n v="0"/>
    <n v="0"/>
    <n v="0"/>
    <n v="0.9"/>
    <n v="0.1"/>
    <m/>
    <m/>
    <x v="0"/>
    <n v="0"/>
    <m/>
    <n v="0"/>
    <n v="1182"/>
    <m/>
    <n v="0"/>
    <n v="0"/>
    <n v="0"/>
    <m/>
    <m/>
    <m/>
    <n v="0"/>
    <n v="0"/>
    <n v="0"/>
    <n v="0"/>
    <m/>
    <m/>
  </r>
  <r>
    <n v="0"/>
    <s v="CMS S.60.10.000"/>
    <x v="1"/>
    <m/>
    <m/>
    <m/>
    <x v="0"/>
    <m/>
    <m/>
    <x v="0"/>
    <x v="0"/>
    <s v="LINHA DO CIRCUITO ARENOSO LINHA DE ALIMENTAÇÃO DO DISTRIBUIDOR DI-145A-9911"/>
    <s v="SC-011"/>
    <s v="SP 8325 G"/>
    <s v="1450AA-L-70107"/>
    <s v="1450AA-S-58325"/>
    <n v="3"/>
    <s v="PÇ"/>
    <n v="225"/>
    <n v="675"/>
    <n v="0"/>
    <n v="0"/>
    <n v="0"/>
    <n v="0.9"/>
    <n v="0.1"/>
    <m/>
    <m/>
    <x v="0"/>
    <n v="0"/>
    <m/>
    <n v="0"/>
    <n v="675"/>
    <m/>
    <n v="0"/>
    <n v="0"/>
    <n v="0"/>
    <m/>
    <m/>
    <m/>
    <n v="0"/>
    <n v="0"/>
    <n v="0"/>
    <n v="0"/>
    <m/>
    <m/>
  </r>
  <r>
    <n v="0"/>
    <s v="CMS S.60.10.000"/>
    <x v="1"/>
    <m/>
    <m/>
    <m/>
    <x v="0"/>
    <m/>
    <m/>
    <x v="0"/>
    <x v="0"/>
    <s v="LINHA DO CIRCUITO ARENOSO LINHA DE DESCARGA DO DISTRIBUIDOR DI-145A-9915"/>
    <s v="SC-011"/>
    <s v="SP 8352 A"/>
    <s v="1450AA-L-70048"/>
    <s v="1450AA-S-58352"/>
    <n v="3"/>
    <s v="PÇ"/>
    <n v="54.2"/>
    <n v="162.60000000000002"/>
    <n v="0"/>
    <n v="0"/>
    <n v="0"/>
    <n v="0.9"/>
    <n v="0.1"/>
    <m/>
    <m/>
    <x v="0"/>
    <n v="0"/>
    <m/>
    <n v="0"/>
    <n v="162.60000000000002"/>
    <m/>
    <n v="0"/>
    <n v="0"/>
    <n v="0"/>
    <m/>
    <m/>
    <m/>
    <n v="0"/>
    <n v="0"/>
    <n v="0"/>
    <n v="0"/>
    <m/>
    <m/>
  </r>
  <r>
    <n v="0"/>
    <s v="CMS S.60.10.000"/>
    <x v="1"/>
    <m/>
    <m/>
    <m/>
    <x v="0"/>
    <m/>
    <m/>
    <x v="0"/>
    <x v="0"/>
    <s v="LINHA DO CIRCUITO ARENOSO LINHA DE DESCARGA DO DISTRIBUIDOR DI-145A-9915"/>
    <s v="SC-011"/>
    <s v="SP 8352 B"/>
    <s v="1450AA-L-70048"/>
    <s v="1450AA-S-58352"/>
    <n v="1"/>
    <s v="PÇ"/>
    <n v="64"/>
    <n v="64"/>
    <n v="0"/>
    <n v="0"/>
    <n v="0"/>
    <n v="0.9"/>
    <n v="0.1"/>
    <m/>
    <m/>
    <x v="0"/>
    <n v="0"/>
    <m/>
    <n v="0"/>
    <n v="64"/>
    <m/>
    <n v="0"/>
    <n v="0"/>
    <n v="0"/>
    <m/>
    <m/>
    <m/>
    <n v="0"/>
    <n v="0"/>
    <n v="0"/>
    <n v="0"/>
    <m/>
    <m/>
  </r>
  <r>
    <n v="0"/>
    <s v="CMS S.60.10.000"/>
    <x v="1"/>
    <m/>
    <m/>
    <m/>
    <x v="0"/>
    <m/>
    <m/>
    <x v="0"/>
    <x v="0"/>
    <s v="LINHA DO CIRCUITO ARENOSO LINHA DE DESCARGA DO DISTRIBUIDOR DI-145A-9915"/>
    <s v="SC-011"/>
    <s v="SP 8352 C"/>
    <s v="1450AA-L-70048"/>
    <s v="1450AA-S-58352"/>
    <n v="23"/>
    <s v="PÇ"/>
    <n v="66"/>
    <n v="1518"/>
    <n v="0"/>
    <n v="0"/>
    <n v="0"/>
    <n v="0.9"/>
    <n v="0.1"/>
    <m/>
    <m/>
    <x v="0"/>
    <n v="0"/>
    <m/>
    <n v="0"/>
    <n v="1518"/>
    <m/>
    <n v="0"/>
    <n v="0"/>
    <n v="0"/>
    <m/>
    <m/>
    <m/>
    <n v="0"/>
    <n v="0"/>
    <n v="0"/>
    <n v="0"/>
    <m/>
    <m/>
  </r>
  <r>
    <n v="0"/>
    <s v="CMS S.60.10.000"/>
    <x v="1"/>
    <m/>
    <m/>
    <m/>
    <x v="0"/>
    <m/>
    <m/>
    <x v="0"/>
    <x v="0"/>
    <s v="LINHA DO CIRCUITO ARENOSO LINHA DE DESCARGA DO DISTRIBUIDOR DI-145A-9915"/>
    <s v="SC-011"/>
    <s v="SP 8352 D"/>
    <s v="1450AA-L-70048"/>
    <s v="1450AA-S-58352"/>
    <n v="1"/>
    <s v="PÇ"/>
    <n v="69.3"/>
    <n v="69.3"/>
    <n v="0"/>
    <n v="0"/>
    <n v="0"/>
    <n v="0.9"/>
    <n v="0.1"/>
    <m/>
    <m/>
    <x v="0"/>
    <n v="0"/>
    <m/>
    <n v="0"/>
    <n v="69.3"/>
    <m/>
    <n v="0"/>
    <n v="0"/>
    <n v="0"/>
    <m/>
    <m/>
    <m/>
    <n v="0"/>
    <n v="0"/>
    <n v="0"/>
    <n v="0"/>
    <m/>
    <m/>
  </r>
  <r>
    <n v="0"/>
    <s v="CMS S.60.10.000"/>
    <x v="1"/>
    <m/>
    <m/>
    <m/>
    <x v="0"/>
    <m/>
    <m/>
    <x v="0"/>
    <x v="0"/>
    <s v="LINHA DO CIRCUITO ARENOSO LINHA DE DESCARGA DO DISTRIBUIDOR DI-145A-9915"/>
    <s v="SC-011"/>
    <s v="SP 8352 E"/>
    <s v="1450AA-L-70048"/>
    <s v="1450AA-S-58352"/>
    <n v="1"/>
    <s v="PÇ"/>
    <n v="40.799999999999997"/>
    <n v="40.799999999999997"/>
    <n v="0"/>
    <n v="0"/>
    <n v="0"/>
    <n v="0.9"/>
    <n v="0.1"/>
    <m/>
    <m/>
    <x v="0"/>
    <n v="0"/>
    <m/>
    <n v="0"/>
    <n v="40.799999999999997"/>
    <m/>
    <n v="0"/>
    <n v="0"/>
    <n v="0"/>
    <m/>
    <m/>
    <m/>
    <n v="0"/>
    <n v="0"/>
    <n v="0"/>
    <n v="0"/>
    <m/>
    <m/>
  </r>
  <r>
    <n v="0"/>
    <s v="CMS S.60.10.000"/>
    <x v="1"/>
    <m/>
    <m/>
    <m/>
    <x v="0"/>
    <m/>
    <m/>
    <x v="0"/>
    <x v="0"/>
    <s v="LINHA DO CIRCUITO ARENOSO LINHA DE DESCARGA DO DISTRIBUIDOR DI-145A-9915"/>
    <s v="SC-011"/>
    <s v="SP 8352 F"/>
    <s v="1450AA-L-70048"/>
    <s v="1450AA-S-58352"/>
    <n v="2"/>
    <s v="PÇ"/>
    <n v="68.099999999999994"/>
    <n v="136.19999999999999"/>
    <n v="0"/>
    <n v="0"/>
    <n v="0"/>
    <n v="0.9"/>
    <n v="0.1"/>
    <m/>
    <m/>
    <x v="0"/>
    <n v="0"/>
    <m/>
    <n v="0"/>
    <n v="136.19999999999999"/>
    <m/>
    <n v="0"/>
    <n v="0"/>
    <n v="0"/>
    <m/>
    <m/>
    <m/>
    <n v="0"/>
    <n v="0"/>
    <n v="0"/>
    <n v="0"/>
    <m/>
    <m/>
  </r>
  <r>
    <n v="0"/>
    <s v="CMS S.60.10.000"/>
    <x v="1"/>
    <m/>
    <m/>
    <m/>
    <x v="0"/>
    <m/>
    <m/>
    <x v="0"/>
    <x v="0"/>
    <s v="LINHA DO CIRCUITO ARENOSO LINHA DE DESCARGA DO DISTRIBUIDOR DI-145A-9915"/>
    <s v="SC-011"/>
    <s v="SP 8352 G"/>
    <s v="1450AA-L-70048"/>
    <s v="1450AA-S-58352"/>
    <n v="2"/>
    <s v="PÇ"/>
    <n v="51.6"/>
    <n v="103.2"/>
    <n v="0"/>
    <n v="0"/>
    <n v="0"/>
    <n v="0.9"/>
    <n v="0.1"/>
    <m/>
    <m/>
    <x v="0"/>
    <n v="0"/>
    <m/>
    <n v="0"/>
    <n v="103.2"/>
    <m/>
    <n v="0"/>
    <n v="0"/>
    <n v="0"/>
    <m/>
    <m/>
    <m/>
    <n v="0"/>
    <n v="0"/>
    <n v="0"/>
    <n v="0"/>
    <m/>
    <m/>
  </r>
  <r>
    <n v="0"/>
    <s v="CMS S.60.10.000"/>
    <x v="1"/>
    <m/>
    <m/>
    <m/>
    <x v="0"/>
    <m/>
    <m/>
    <x v="0"/>
    <x v="0"/>
    <s v="LINHA DE BY PASS DAS PENEIRAS ALIMENTAÇÃO DO TANQUE TQ-145A-9722"/>
    <s v="SC-010"/>
    <s v="SP 8353 A"/>
    <s v="1450AA-L-70122"/>
    <s v="1450AA-S-58353"/>
    <n v="4"/>
    <s v="PÇ"/>
    <n v="41.1"/>
    <n v="164.4"/>
    <n v="0"/>
    <n v="0"/>
    <n v="0"/>
    <n v="0.9"/>
    <n v="0.1"/>
    <m/>
    <m/>
    <x v="0"/>
    <n v="0"/>
    <m/>
    <n v="0"/>
    <n v="164.4"/>
    <m/>
    <n v="0"/>
    <n v="0"/>
    <n v="0"/>
    <m/>
    <m/>
    <m/>
    <n v="0"/>
    <n v="0"/>
    <n v="0"/>
    <n v="0"/>
    <m/>
    <m/>
  </r>
  <r>
    <n v="0"/>
    <s v="CMS S.60.10.000"/>
    <x v="1"/>
    <m/>
    <m/>
    <m/>
    <x v="0"/>
    <m/>
    <m/>
    <x v="0"/>
    <x v="0"/>
    <s v="LINHA DE BY PASS DAS PENEIRAS ALIMENTAÇÃO DO TANQUE TQ-145A-9722"/>
    <s v="SC-010"/>
    <s v="SP 8353 B"/>
    <s v="1450AA-L-70122"/>
    <s v="1450AA-S-58353"/>
    <n v="3"/>
    <s v="PÇ"/>
    <n v="12.7"/>
    <n v="38.099999999999994"/>
    <n v="0"/>
    <n v="0"/>
    <n v="0"/>
    <n v="0.9"/>
    <n v="0.1"/>
    <m/>
    <m/>
    <x v="0"/>
    <n v="0"/>
    <m/>
    <n v="0"/>
    <n v="38.099999999999994"/>
    <m/>
    <n v="0"/>
    <n v="0"/>
    <n v="0"/>
    <m/>
    <m/>
    <m/>
    <n v="0"/>
    <n v="0"/>
    <n v="0"/>
    <n v="0"/>
    <m/>
    <m/>
  </r>
  <r>
    <n v="0"/>
    <s v="CMS S.60.10.000"/>
    <x v="1"/>
    <m/>
    <m/>
    <m/>
    <x v="0"/>
    <m/>
    <m/>
    <x v="0"/>
    <x v="0"/>
    <s v="LINHA DE BY PASS DAS PENEIRAS ALIMENTAÇÃO DO TANQUE TQ-145A-9722"/>
    <s v="SC-010"/>
    <s v="SP 8353 C"/>
    <s v="1450AA-L-70122"/>
    <s v="1450AA-S-58353"/>
    <n v="7"/>
    <s v="PÇ"/>
    <n v="36.1"/>
    <n v="252.70000000000002"/>
    <n v="0"/>
    <n v="0"/>
    <n v="0"/>
    <n v="0.9"/>
    <n v="0.1"/>
    <m/>
    <m/>
    <x v="0"/>
    <n v="0"/>
    <m/>
    <n v="0"/>
    <n v="252.70000000000002"/>
    <m/>
    <n v="0"/>
    <n v="0"/>
    <n v="0"/>
    <m/>
    <m/>
    <m/>
    <n v="0"/>
    <n v="0"/>
    <n v="0"/>
    <n v="0"/>
    <m/>
    <m/>
  </r>
  <r>
    <n v="0"/>
    <s v="CMS S.60.10.000"/>
    <x v="1"/>
    <m/>
    <m/>
    <m/>
    <x v="0"/>
    <m/>
    <m/>
    <x v="0"/>
    <x v="0"/>
    <s v="LINHA DE BY PASS DAS PENEIRAS ALIMENTAÇÃO DO TANQUE TQ-145A-9722"/>
    <s v="SC-010"/>
    <s v="SP 8353 D"/>
    <s v="1450AA-L-70122"/>
    <s v="1450AA-S-58353"/>
    <n v="2"/>
    <s v="PÇ"/>
    <n v="28.2"/>
    <n v="56.4"/>
    <n v="0"/>
    <n v="0"/>
    <n v="0"/>
    <n v="0.9"/>
    <n v="0.1"/>
    <m/>
    <m/>
    <x v="0"/>
    <n v="0"/>
    <m/>
    <n v="0"/>
    <n v="56.4"/>
    <m/>
    <n v="0"/>
    <n v="0"/>
    <n v="0"/>
    <m/>
    <m/>
    <m/>
    <n v="0"/>
    <n v="0"/>
    <n v="0"/>
    <n v="0"/>
    <m/>
    <m/>
  </r>
  <r>
    <n v="0"/>
    <s v="CMS S.60.10.000"/>
    <x v="1"/>
    <m/>
    <m/>
    <m/>
    <x v="0"/>
    <m/>
    <m/>
    <x v="0"/>
    <x v="0"/>
    <s v="LINHA DE BY PASS DAS PENEIRAS ALIMENTAÇÃO DO TANQUE TQ-145A-9722"/>
    <s v="SC-010"/>
    <s v="SP 8353 E"/>
    <s v="1450AA-L-70122"/>
    <s v="1450AA-S-58353"/>
    <n v="14"/>
    <s v="PÇ"/>
    <n v="50.9"/>
    <n v="712.6"/>
    <n v="0"/>
    <n v="0"/>
    <n v="0"/>
    <n v="0.9"/>
    <n v="0.1"/>
    <m/>
    <m/>
    <x v="0"/>
    <n v="0"/>
    <m/>
    <n v="0"/>
    <n v="712.6"/>
    <m/>
    <n v="0"/>
    <n v="0"/>
    <n v="0"/>
    <m/>
    <m/>
    <m/>
    <n v="0"/>
    <n v="0"/>
    <n v="0"/>
    <n v="0"/>
    <m/>
    <m/>
  </r>
  <r>
    <n v="0"/>
    <s v="CMS S.60.10.000"/>
    <x v="1"/>
    <m/>
    <m/>
    <m/>
    <x v="0"/>
    <m/>
    <m/>
    <x v="0"/>
    <x v="0"/>
    <s v="LINHA DE BY PASS DAS PENEIRAS ALIMENTAÇÃO DO TANQUE TQ-145A-9722"/>
    <s v="SC-010"/>
    <s v="SP 8353 F"/>
    <s v="1450AA-L-70122"/>
    <s v="1450AA-S-58353"/>
    <n v="1"/>
    <s v="PÇ"/>
    <n v="33.5"/>
    <n v="33.5"/>
    <n v="0"/>
    <n v="0"/>
    <n v="0"/>
    <n v="0.9"/>
    <n v="0.1"/>
    <m/>
    <m/>
    <x v="0"/>
    <n v="0"/>
    <m/>
    <n v="0"/>
    <n v="33.5"/>
    <m/>
    <n v="0"/>
    <n v="0"/>
    <n v="0"/>
    <m/>
    <m/>
    <m/>
    <n v="0"/>
    <n v="0"/>
    <n v="0"/>
    <n v="0"/>
    <m/>
    <m/>
  </r>
  <r>
    <n v="0"/>
    <s v="CMS S.60.10.000"/>
    <x v="1"/>
    <m/>
    <m/>
    <m/>
    <x v="0"/>
    <m/>
    <m/>
    <x v="0"/>
    <x v="0"/>
    <s v="LINHA DE BY PASS DAS PENEIRAS ALIMENTAÇÃO DO TANQUE TQ-145A-9722"/>
    <s v="SC-010"/>
    <s v="SP 8353 G"/>
    <s v="1450AA-L-70122"/>
    <s v="1450AA-S-58353"/>
    <n v="1"/>
    <s v="PÇ"/>
    <n v="9"/>
    <n v="9"/>
    <n v="0"/>
    <n v="0"/>
    <n v="0"/>
    <n v="0.9"/>
    <n v="0.1"/>
    <m/>
    <m/>
    <x v="0"/>
    <n v="0"/>
    <m/>
    <n v="0"/>
    <n v="9"/>
    <m/>
    <n v="0"/>
    <n v="0"/>
    <n v="0"/>
    <m/>
    <m/>
    <m/>
    <n v="0"/>
    <n v="0"/>
    <n v="0"/>
    <n v="0"/>
    <m/>
    <m/>
  </r>
  <r>
    <n v="0"/>
    <s v="CMS S.60.10.000"/>
    <x v="1"/>
    <m/>
    <m/>
    <m/>
    <x v="0"/>
    <m/>
    <m/>
    <x v="0"/>
    <x v="0"/>
    <s v="LINHA DE BY PASS DAS PENEIRAS ALIMENTAÇÃO DO TANQUE TQ-145A-9722"/>
    <s v="SC-010"/>
    <s v="SP 8353 H"/>
    <s v="1450AA-L-70122"/>
    <s v="1450AA-S-58353"/>
    <n v="1"/>
    <s v="PÇ"/>
    <n v="24.4"/>
    <n v="24.4"/>
    <n v="0"/>
    <n v="0"/>
    <n v="0"/>
    <n v="0.9"/>
    <n v="0.1"/>
    <m/>
    <m/>
    <x v="0"/>
    <n v="0"/>
    <m/>
    <n v="0"/>
    <n v="24.4"/>
    <m/>
    <n v="0"/>
    <n v="0"/>
    <n v="0"/>
    <m/>
    <m/>
    <m/>
    <n v="0"/>
    <n v="0"/>
    <n v="0"/>
    <n v="0"/>
    <m/>
    <m/>
  </r>
  <r>
    <n v="0"/>
    <s v="CMS S.60.10.000"/>
    <x v="1"/>
    <m/>
    <m/>
    <m/>
    <x v="0"/>
    <m/>
    <m/>
    <x v="0"/>
    <x v="0"/>
    <s v="LINHA DE BY PASS DAS PENEIRAS ALIMENTAÇÃO DO TANQUE TQ-145A-9722"/>
    <s v="SC-010"/>
    <s v="SP 8353 J"/>
    <s v="1450AA-L-70122"/>
    <s v="1450AA-S-58353"/>
    <n v="2"/>
    <s v="PÇ"/>
    <n v="25.4"/>
    <n v="50.8"/>
    <n v="0"/>
    <n v="0"/>
    <n v="0"/>
    <n v="0.9"/>
    <n v="0.1"/>
    <m/>
    <m/>
    <x v="0"/>
    <n v="0"/>
    <m/>
    <n v="0"/>
    <n v="50.8"/>
    <m/>
    <n v="0"/>
    <n v="0"/>
    <n v="0"/>
    <m/>
    <m/>
    <m/>
    <n v="0"/>
    <n v="0"/>
    <n v="0"/>
    <n v="0"/>
    <m/>
    <m/>
  </r>
  <r>
    <n v="0"/>
    <s v="CMS S.60.10.000"/>
    <x v="1"/>
    <m/>
    <m/>
    <m/>
    <x v="0"/>
    <m/>
    <m/>
    <x v="0"/>
    <x v="0"/>
    <s v="LINHA DE BY PASS DAS PENEIRAS ALIMENTAÇÃO DO TANQUE TQ-145A-9722"/>
    <s v="SC-010"/>
    <s v=" 8353 K"/>
    <s v="1450AA-L-70122"/>
    <s v="1450AA-S-58353"/>
    <n v="1"/>
    <s v="PÇ"/>
    <n v="2"/>
    <n v="2"/>
    <n v="0"/>
    <n v="0"/>
    <n v="0"/>
    <n v="0.9"/>
    <n v="0.1"/>
    <m/>
    <m/>
    <x v="0"/>
    <n v="0"/>
    <m/>
    <n v="0"/>
    <n v="2"/>
    <m/>
    <n v="0"/>
    <n v="0"/>
    <n v="0"/>
    <m/>
    <m/>
    <m/>
    <n v="0"/>
    <n v="0"/>
    <n v="0"/>
    <n v="0"/>
    <m/>
    <m/>
  </r>
  <r>
    <n v="0"/>
    <s v="CMS S.60.10.000"/>
    <x v="1"/>
    <m/>
    <m/>
    <m/>
    <x v="0"/>
    <m/>
    <m/>
    <x v="0"/>
    <x v="0"/>
    <s v="LINHA DE BY PASS DAS PENEIRAS ALIMENTAÇÃO DO TANQUE TQ-145A-9722"/>
    <s v="SC-010"/>
    <s v=" 8353 L"/>
    <s v="1450AA-L-70122"/>
    <s v="1450AA-S-58353"/>
    <n v="1"/>
    <s v="PÇ"/>
    <n v="1.6"/>
    <n v="1.6"/>
    <n v="0"/>
    <n v="0"/>
    <n v="0"/>
    <n v="0.9"/>
    <n v="0.1"/>
    <m/>
    <m/>
    <x v="0"/>
    <n v="0"/>
    <m/>
    <n v="0"/>
    <n v="1.6"/>
    <m/>
    <n v="0"/>
    <n v="0"/>
    <n v="0"/>
    <m/>
    <m/>
    <m/>
    <n v="0"/>
    <n v="0"/>
    <n v="0"/>
    <n v="0"/>
    <m/>
    <m/>
  </r>
  <r>
    <n v="0"/>
    <s v="CMS S.60.10.000"/>
    <x v="1"/>
    <m/>
    <m/>
    <m/>
    <x v="0"/>
    <m/>
    <m/>
    <x v="0"/>
    <x v="0"/>
    <s v="LINHA DE BY PASS DAS PENEIRAS ALIMENTAÇÃO DO TANQUE TQ-145A-9722"/>
    <s v="SC-010"/>
    <s v="SP 8353 M"/>
    <s v="1450AA-L-70122"/>
    <s v="1450AA-S-58353"/>
    <n v="48"/>
    <s v="PÇ"/>
    <n v="73.7"/>
    <n v="3537.6000000000004"/>
    <n v="0"/>
    <n v="0"/>
    <n v="0"/>
    <n v="0.9"/>
    <n v="0.1"/>
    <m/>
    <m/>
    <x v="0"/>
    <n v="0"/>
    <m/>
    <n v="0"/>
    <n v="3537.6000000000004"/>
    <m/>
    <n v="0"/>
    <n v="0"/>
    <n v="0"/>
    <m/>
    <m/>
    <m/>
    <n v="0"/>
    <n v="0"/>
    <n v="0"/>
    <n v="0"/>
    <m/>
    <m/>
  </r>
  <r>
    <n v="0"/>
    <s v="CMS S.60.10.000"/>
    <x v="1"/>
    <m/>
    <m/>
    <m/>
    <x v="0"/>
    <m/>
    <m/>
    <x v="0"/>
    <x v="0"/>
    <s v="LINHA DO CIRCUITO ARENOSO LINHA DE DESCARGA DO DISTRIBUIDOR DI-145A-9916"/>
    <s v="SC-011"/>
    <s v="SP 8354 A"/>
    <m/>
    <s v="1450AA-S-58354"/>
    <n v="48"/>
    <s v="PÇ"/>
    <n v="22.8"/>
    <n v="1094.4000000000001"/>
    <n v="0"/>
    <n v="0"/>
    <n v="0"/>
    <n v="0.9"/>
    <n v="0.1"/>
    <m/>
    <m/>
    <x v="0"/>
    <n v="0"/>
    <m/>
    <n v="0"/>
    <n v="1094.4000000000001"/>
    <m/>
    <n v="0"/>
    <n v="0"/>
    <n v="0"/>
    <m/>
    <m/>
    <m/>
    <n v="0"/>
    <n v="0"/>
    <n v="0"/>
    <n v="0"/>
    <m/>
    <m/>
  </r>
  <r>
    <n v="0"/>
    <s v="CMS S.60.10.000"/>
    <x v="1"/>
    <m/>
    <m/>
    <m/>
    <x v="0"/>
    <m/>
    <m/>
    <x v="0"/>
    <x v="0"/>
    <s v="LINHA DO CIRCUITO ARENOSO LINHA DE DESCARGA DO DISTRIBUIDOR DI-145A-9916"/>
    <s v="SC-011"/>
    <s v="SP 8354 B"/>
    <m/>
    <s v="1450AA-S-58354"/>
    <n v="48"/>
    <s v="PÇ"/>
    <n v="18.5"/>
    <n v="888"/>
    <n v="0"/>
    <n v="0"/>
    <n v="0"/>
    <n v="0.9"/>
    <n v="0.1"/>
    <m/>
    <m/>
    <x v="0"/>
    <n v="0"/>
    <m/>
    <n v="0"/>
    <n v="888"/>
    <m/>
    <n v="0"/>
    <n v="0"/>
    <n v="0"/>
    <m/>
    <m/>
    <m/>
    <n v="0"/>
    <n v="0"/>
    <n v="0"/>
    <n v="0"/>
    <m/>
    <m/>
  </r>
  <r>
    <n v="0"/>
    <s v="CMS S.60.10.000"/>
    <x v="1"/>
    <m/>
    <m/>
    <m/>
    <x v="0"/>
    <m/>
    <m/>
    <x v="0"/>
    <x v="0"/>
    <s v="LINHA DO CIRCUITO ARENOSO LINHA DE DESCARGA DO DISTRIBUIDOR DI-145A-9916"/>
    <s v="SC-011"/>
    <s v="SP 8354 C"/>
    <m/>
    <s v="1450AA-S-58354"/>
    <n v="48"/>
    <s v="PÇ"/>
    <n v="17.7"/>
    <n v="849.59999999999991"/>
    <n v="0"/>
    <n v="0"/>
    <n v="0"/>
    <n v="0.9"/>
    <n v="0.1"/>
    <m/>
    <m/>
    <x v="0"/>
    <n v="0"/>
    <m/>
    <n v="0"/>
    <n v="849.59999999999991"/>
    <m/>
    <n v="0"/>
    <n v="0"/>
    <n v="0"/>
    <m/>
    <m/>
    <m/>
    <n v="0"/>
    <n v="0"/>
    <n v="0"/>
    <n v="0"/>
    <m/>
    <m/>
  </r>
  <r>
    <n v="0"/>
    <s v="CMS S.60.10.000"/>
    <x v="1"/>
    <m/>
    <m/>
    <m/>
    <x v="0"/>
    <m/>
    <m/>
    <x v="0"/>
    <x v="0"/>
    <s v="LINHA DO CIRCUITO ARENOSO LINHA DE DESCARGA DO DISTRIBUIDOR DI-145A-9916"/>
    <s v="SC-011"/>
    <s v="SP 8354 D"/>
    <m/>
    <s v="1450AA-S-58354"/>
    <n v="48"/>
    <s v="PÇ"/>
    <n v="4.8"/>
    <n v="230.39999999999998"/>
    <n v="0"/>
    <n v="0"/>
    <n v="0"/>
    <n v="0.9"/>
    <n v="0.1"/>
    <m/>
    <m/>
    <x v="0"/>
    <n v="0"/>
    <m/>
    <n v="0"/>
    <n v="230.39999999999998"/>
    <m/>
    <n v="0"/>
    <n v="0"/>
    <n v="0"/>
    <m/>
    <m/>
    <m/>
    <n v="0"/>
    <n v="0"/>
    <n v="0"/>
    <n v="0"/>
    <m/>
    <m/>
  </r>
  <r>
    <n v="0"/>
    <s v="CMS S.60.10.000"/>
    <x v="1"/>
    <m/>
    <m/>
    <m/>
    <x v="0"/>
    <m/>
    <m/>
    <x v="0"/>
    <x v="0"/>
    <s v="LINHA DO CIRCUITO ARENOSO LINHA DE DESCARGA DO DISTRIBUIDOR DI-145A-9916"/>
    <s v="SC-011"/>
    <s v="SP 8354 E"/>
    <m/>
    <s v="1450AA-S-58354"/>
    <n v="48"/>
    <s v="PÇ"/>
    <n v="13.8"/>
    <n v="662.40000000000009"/>
    <n v="0"/>
    <n v="0"/>
    <n v="0"/>
    <n v="0.9"/>
    <n v="0.1"/>
    <m/>
    <m/>
    <x v="0"/>
    <n v="0"/>
    <m/>
    <n v="0"/>
    <n v="662.40000000000009"/>
    <m/>
    <n v="0"/>
    <n v="0"/>
    <n v="0"/>
    <m/>
    <m/>
    <m/>
    <n v="0"/>
    <n v="0"/>
    <n v="0"/>
    <n v="0"/>
    <m/>
    <m/>
  </r>
  <r>
    <n v="0"/>
    <s v="CMS S.60.10.000"/>
    <x v="1"/>
    <m/>
    <m/>
    <m/>
    <x v="0"/>
    <m/>
    <m/>
    <x v="0"/>
    <x v="0"/>
    <s v="LINHA DO CIRCUITO ARENOSO LINHA DE DESCARGA DO DISTRIBUIDOR DI-145A-9916"/>
    <s v="SC-011"/>
    <s v="SP 8354 F"/>
    <m/>
    <s v="1450AA-S-58354"/>
    <n v="48"/>
    <s v="PÇ"/>
    <n v="9.6999999999999993"/>
    <n v="465.59999999999997"/>
    <n v="0"/>
    <n v="0"/>
    <n v="0"/>
    <n v="0.9"/>
    <n v="0.1"/>
    <m/>
    <m/>
    <x v="0"/>
    <n v="0"/>
    <m/>
    <n v="0"/>
    <n v="465.59999999999997"/>
    <m/>
    <n v="0"/>
    <n v="0"/>
    <n v="0"/>
    <m/>
    <m/>
    <m/>
    <n v="0"/>
    <n v="0"/>
    <n v="0"/>
    <n v="0"/>
    <m/>
    <m/>
  </r>
  <r>
    <n v="0"/>
    <s v="CMS S.60.10.000"/>
    <x v="1"/>
    <m/>
    <m/>
    <m/>
    <x v="0"/>
    <m/>
    <m/>
    <x v="0"/>
    <x v="0"/>
    <s v="LINHA DO CIRCUITO ARENOSO LINHA DE DESCARGA DO DISTRIBUIDOR DI-145A-9916"/>
    <s v="SC-011"/>
    <s v="SP 8354 G"/>
    <m/>
    <s v="1450AA-S-58354"/>
    <n v="1"/>
    <s v="PÇ"/>
    <n v="16.8"/>
    <n v="16.8"/>
    <n v="0"/>
    <n v="0"/>
    <n v="0"/>
    <n v="0.9"/>
    <n v="0.1"/>
    <m/>
    <m/>
    <x v="0"/>
    <n v="0"/>
    <m/>
    <n v="0"/>
    <n v="16.8"/>
    <m/>
    <n v="0"/>
    <n v="0"/>
    <n v="0"/>
    <m/>
    <m/>
    <m/>
    <n v="0"/>
    <n v="0"/>
    <n v="0"/>
    <n v="0"/>
    <m/>
    <m/>
  </r>
  <r>
    <n v="0"/>
    <s v="CMS S.60.10.000"/>
    <x v="1"/>
    <m/>
    <m/>
    <m/>
    <x v="0"/>
    <m/>
    <m/>
    <x v="0"/>
    <x v="0"/>
    <s v="LINHA DO CIRCUITO ARENOSO LINHA DE DESCARGA DO DISTRIBUIDOR DI-145A-9916"/>
    <s v="SC-011"/>
    <s v="SP 8354 H"/>
    <m/>
    <s v="1450AA-S-58354"/>
    <n v="1"/>
    <s v="PÇ"/>
    <n v="8.4"/>
    <n v="8.4"/>
    <n v="0"/>
    <n v="0"/>
    <n v="0"/>
    <n v="0.9"/>
    <n v="0.1"/>
    <m/>
    <m/>
    <x v="0"/>
    <n v="0"/>
    <m/>
    <n v="0"/>
    <n v="8.4"/>
    <m/>
    <n v="0"/>
    <n v="0"/>
    <n v="0"/>
    <m/>
    <m/>
    <m/>
    <n v="0"/>
    <n v="0"/>
    <n v="0"/>
    <n v="0"/>
    <m/>
    <m/>
  </r>
  <r>
    <n v="0"/>
    <s v="CMS S.60.10.000"/>
    <x v="1"/>
    <m/>
    <m/>
    <m/>
    <x v="0"/>
    <m/>
    <m/>
    <x v="0"/>
    <x v="0"/>
    <s v="LINHA DO CIRCUITO ARENOSO LINHA DE DESCARGA DO DISTRIBUIDOR DI-145A-9916"/>
    <s v="SC-011"/>
    <s v="SP 8354 J"/>
    <m/>
    <s v="1450AA-S-58354"/>
    <n v="1"/>
    <s v="PÇ"/>
    <n v="40.200000000000003"/>
    <n v="40.200000000000003"/>
    <n v="0"/>
    <n v="0"/>
    <n v="0"/>
    <n v="0.9"/>
    <n v="0.1"/>
    <m/>
    <m/>
    <x v="0"/>
    <n v="0"/>
    <m/>
    <n v="0"/>
    <n v="40.200000000000003"/>
    <m/>
    <n v="0"/>
    <n v="0"/>
    <n v="0"/>
    <m/>
    <m/>
    <m/>
    <n v="0"/>
    <n v="0"/>
    <n v="0"/>
    <n v="0"/>
    <m/>
    <m/>
  </r>
  <r>
    <n v="0"/>
    <s v="CMS S.60.10.000"/>
    <x v="1"/>
    <m/>
    <m/>
    <m/>
    <x v="0"/>
    <m/>
    <m/>
    <x v="0"/>
    <x v="0"/>
    <s v="LINHA DO CIRCUITO ULTRAFINO LINHA DE DESCARGA DO DISTRIBUIDOR DI 145A-9904"/>
    <s v="SC-026"/>
    <s v="SP8361 A"/>
    <m/>
    <s v="1450AA-S-58361"/>
    <n v="2"/>
    <s v="PÇ"/>
    <n v="28.1"/>
    <n v="56.2"/>
    <n v="0"/>
    <n v="0"/>
    <n v="0"/>
    <n v="0.9"/>
    <n v="0.1"/>
    <m/>
    <m/>
    <x v="0"/>
    <n v="0"/>
    <m/>
    <n v="0"/>
    <n v="56.2"/>
    <m/>
    <n v="0"/>
    <n v="0"/>
    <n v="0"/>
    <m/>
    <m/>
    <m/>
    <n v="0"/>
    <n v="0"/>
    <n v="0"/>
    <n v="0"/>
    <m/>
    <m/>
  </r>
  <r>
    <n v="0"/>
    <s v="CMS S.60.10.000"/>
    <x v="1"/>
    <m/>
    <m/>
    <m/>
    <x v="0"/>
    <m/>
    <m/>
    <x v="0"/>
    <x v="0"/>
    <s v="LINHA DO CIRCUITO ULTRAFINO LINHA DE DESCARGA DO DISTRIBUIDOR DI 145A-9904"/>
    <s v="SC-026"/>
    <s v="SP8361 B"/>
    <m/>
    <s v="1450AA-S-58361"/>
    <n v="1"/>
    <s v="PÇ"/>
    <n v="25.8"/>
    <n v="25.8"/>
    <n v="0"/>
    <n v="0"/>
    <n v="0"/>
    <n v="0.9"/>
    <n v="0.1"/>
    <m/>
    <m/>
    <x v="0"/>
    <n v="0"/>
    <m/>
    <n v="0"/>
    <n v="25.8"/>
    <m/>
    <n v="0"/>
    <n v="0"/>
    <n v="0"/>
    <m/>
    <m/>
    <m/>
    <n v="0"/>
    <n v="0"/>
    <n v="0"/>
    <n v="0"/>
    <m/>
    <m/>
  </r>
  <r>
    <n v="0"/>
    <s v="CMS S.60.10.000"/>
    <x v="1"/>
    <m/>
    <m/>
    <m/>
    <x v="0"/>
    <m/>
    <m/>
    <x v="0"/>
    <x v="0"/>
    <s v="LINHA DO CIRCUITO ULTRAFINO LINHA DE DESCARGA DO DISTRIBUIDOR DI 145A-9904"/>
    <s v="SC-026"/>
    <s v="SP8361 C"/>
    <m/>
    <s v="1450AA-S-58361"/>
    <n v="2"/>
    <s v="PÇ"/>
    <n v="23.3"/>
    <n v="46.6"/>
    <n v="0"/>
    <n v="0"/>
    <n v="0"/>
    <n v="0.9"/>
    <n v="0.1"/>
    <m/>
    <m/>
    <x v="0"/>
    <n v="0"/>
    <m/>
    <n v="0"/>
    <n v="46.6"/>
    <m/>
    <n v="0"/>
    <n v="0"/>
    <n v="0"/>
    <m/>
    <m/>
    <m/>
    <n v="0"/>
    <n v="0"/>
    <n v="0"/>
    <n v="0"/>
    <m/>
    <m/>
  </r>
  <r>
    <n v="0"/>
    <s v="CMS S.60.10.000"/>
    <x v="1"/>
    <m/>
    <m/>
    <m/>
    <x v="0"/>
    <m/>
    <m/>
    <x v="0"/>
    <x v="0"/>
    <s v="LINHA DO CIRCUITO ULTRAFINO LINHA DE DESCARGA DO DISTRIBUIDOR DI 145A-9904"/>
    <s v="SC-026"/>
    <s v="SP8361 D"/>
    <m/>
    <s v="1450AA-S-58361"/>
    <n v="2"/>
    <s v="PÇ"/>
    <n v="21.9"/>
    <n v="43.8"/>
    <n v="0"/>
    <n v="0"/>
    <n v="0"/>
    <n v="0.9"/>
    <n v="0.1"/>
    <m/>
    <m/>
    <x v="0"/>
    <n v="0"/>
    <m/>
    <n v="0"/>
    <n v="43.8"/>
    <m/>
    <n v="0"/>
    <n v="0"/>
    <n v="0"/>
    <m/>
    <m/>
    <m/>
    <n v="0"/>
    <n v="0"/>
    <n v="0"/>
    <n v="0"/>
    <m/>
    <m/>
  </r>
  <r>
    <n v="0"/>
    <s v="CMS S.60.10.000"/>
    <x v="1"/>
    <m/>
    <m/>
    <m/>
    <x v="0"/>
    <m/>
    <m/>
    <x v="0"/>
    <x v="0"/>
    <s v="LINHA DO CIRCUITO ULTRAFINO LINHA DE DESCARGA DO DISTRIBUIDOR DI 145A-9904"/>
    <s v="SC-026"/>
    <s v="SP8361 E"/>
    <m/>
    <s v="1450AA-S-58361"/>
    <n v="12"/>
    <s v="PÇ"/>
    <n v="15.8"/>
    <n v="189.60000000000002"/>
    <n v="0"/>
    <n v="0"/>
    <n v="0"/>
    <n v="0.9"/>
    <n v="0.1"/>
    <m/>
    <m/>
    <x v="0"/>
    <n v="0"/>
    <m/>
    <n v="0"/>
    <n v="189.60000000000002"/>
    <m/>
    <n v="0"/>
    <n v="0"/>
    <n v="0"/>
    <m/>
    <m/>
    <m/>
    <n v="0"/>
    <n v="0"/>
    <n v="0"/>
    <n v="0"/>
    <m/>
    <m/>
  </r>
  <r>
    <n v="0"/>
    <s v="CMS S.60.10.000"/>
    <x v="1"/>
    <m/>
    <m/>
    <m/>
    <x v="0"/>
    <m/>
    <m/>
    <x v="0"/>
    <x v="0"/>
    <s v="LINHA DO CIRCUITO ULTRAFINO LINHA DE DESCARGA DO DISTRIBUIDOR DI 145A-9904"/>
    <s v="SC-026"/>
    <s v="SP8361 F"/>
    <m/>
    <s v="1450AA-S-58361"/>
    <n v="12"/>
    <s v="PÇ"/>
    <n v="15"/>
    <n v="180"/>
    <n v="0"/>
    <n v="0"/>
    <n v="0"/>
    <n v="0.9"/>
    <n v="0.1"/>
    <m/>
    <m/>
    <x v="0"/>
    <n v="0"/>
    <m/>
    <n v="0"/>
    <n v="180"/>
    <m/>
    <n v="0"/>
    <n v="0"/>
    <n v="0"/>
    <m/>
    <m/>
    <m/>
    <n v="0"/>
    <n v="0"/>
    <n v="0"/>
    <n v="0"/>
    <m/>
    <m/>
  </r>
  <r>
    <n v="0"/>
    <s v="CMS S.60.10.000"/>
    <x v="1"/>
    <m/>
    <m/>
    <m/>
    <x v="0"/>
    <m/>
    <m/>
    <x v="0"/>
    <x v="0"/>
    <s v="LINHA DO CIRCUITO ULTRAFINO LINHA DE DESCARGA DO DISTRIBUIDOR DI 145A-9904"/>
    <s v="SC-026"/>
    <s v="SP8361 G"/>
    <m/>
    <s v="1450AA-S-58361"/>
    <n v="2"/>
    <s v="PÇ"/>
    <n v="22.7"/>
    <n v="45.4"/>
    <n v="0"/>
    <n v="0"/>
    <n v="0"/>
    <n v="0.9"/>
    <n v="0.1"/>
    <m/>
    <m/>
    <x v="0"/>
    <n v="0"/>
    <m/>
    <n v="0"/>
    <n v="45.4"/>
    <m/>
    <n v="0"/>
    <n v="0"/>
    <n v="0"/>
    <m/>
    <m/>
    <m/>
    <n v="0"/>
    <n v="0"/>
    <n v="0"/>
    <n v="0"/>
    <m/>
    <m/>
  </r>
  <r>
    <n v="0"/>
    <s v="CMS S.60.10.000"/>
    <x v="1"/>
    <m/>
    <m/>
    <m/>
    <x v="0"/>
    <m/>
    <m/>
    <x v="0"/>
    <x v="0"/>
    <s v="LINHA DO CIRCUITO ULTRAFINO LINHA DE DESCARGA DO DISTRIBUIDOR DI 145A-9904"/>
    <s v="SC-026"/>
    <s v="SP8361 H"/>
    <m/>
    <s v="1450AA-S-58361"/>
    <n v="2"/>
    <s v="PÇ"/>
    <n v="19.3"/>
    <n v="38.6"/>
    <n v="0"/>
    <n v="0"/>
    <n v="0"/>
    <n v="0.9"/>
    <n v="0.1"/>
    <m/>
    <m/>
    <x v="0"/>
    <n v="0"/>
    <m/>
    <n v="0"/>
    <n v="38.6"/>
    <m/>
    <n v="0"/>
    <n v="0"/>
    <n v="0"/>
    <m/>
    <m/>
    <m/>
    <n v="0"/>
    <n v="0"/>
    <n v="0"/>
    <n v="0"/>
    <m/>
    <m/>
  </r>
  <r>
    <n v="0"/>
    <s v="CMS S.60.10.000"/>
    <x v="1"/>
    <m/>
    <m/>
    <m/>
    <x v="0"/>
    <m/>
    <m/>
    <x v="0"/>
    <x v="0"/>
    <s v="LINHA DO CIRCUITO ULTRAFINO LINHA DE DESCARGA DO DISTRIBUIDOR DI 145A-9904"/>
    <s v="SC-026"/>
    <s v="SP8361 J"/>
    <m/>
    <s v="1450AA-S-58361"/>
    <n v="1"/>
    <s v="PÇ"/>
    <n v="10"/>
    <n v="10"/>
    <n v="0"/>
    <n v="0"/>
    <n v="0"/>
    <n v="0.9"/>
    <n v="0.1"/>
    <m/>
    <m/>
    <x v="0"/>
    <n v="0"/>
    <m/>
    <n v="0"/>
    <n v="10"/>
    <m/>
    <n v="0"/>
    <n v="0"/>
    <n v="0"/>
    <m/>
    <m/>
    <m/>
    <n v="0"/>
    <n v="0"/>
    <n v="0"/>
    <n v="0"/>
    <m/>
    <m/>
  </r>
  <r>
    <n v="0"/>
    <s v="CMS S.60.10.000"/>
    <x v="1"/>
    <m/>
    <m/>
    <m/>
    <x v="0"/>
    <m/>
    <m/>
    <x v="0"/>
    <x v="0"/>
    <s v="LINHA DO CIRCUITO ULTRAFINO LINHA DE DESCARGA DO DISTRIBUIDOR DI 145A-9904"/>
    <s v="SC-026"/>
    <s v="8361 K"/>
    <m/>
    <s v="1450AA-S-58361"/>
    <n v="1"/>
    <s v="PÇ"/>
    <n v="12"/>
    <n v="12"/>
    <n v="0"/>
    <n v="0"/>
    <n v="0"/>
    <n v="0.9"/>
    <n v="0.1"/>
    <m/>
    <m/>
    <x v="0"/>
    <n v="0"/>
    <m/>
    <n v="0"/>
    <n v="12"/>
    <m/>
    <n v="0"/>
    <n v="0"/>
    <n v="0"/>
    <m/>
    <m/>
    <m/>
    <n v="0"/>
    <n v="0"/>
    <n v="0"/>
    <n v="0"/>
    <m/>
    <m/>
  </r>
  <r>
    <n v="0"/>
    <s v="CMS S.60.10.000"/>
    <x v="1"/>
    <m/>
    <m/>
    <m/>
    <x v="0"/>
    <m/>
    <m/>
    <x v="0"/>
    <x v="0"/>
    <s v="LINHA DO CIRCUITO ULTRAFINO LINHA DE DESCARGA DO DISTRIBUIDOR DI 145A-9904"/>
    <s v="SC-026"/>
    <s v="8361 L"/>
    <m/>
    <s v="1450AA-S-58361"/>
    <n v="1"/>
    <s v="PÇ"/>
    <n v="12"/>
    <n v="12"/>
    <n v="0"/>
    <n v="0"/>
    <n v="0"/>
    <n v="0.9"/>
    <n v="0.1"/>
    <m/>
    <m/>
    <x v="0"/>
    <n v="0"/>
    <m/>
    <n v="0"/>
    <n v="12"/>
    <m/>
    <n v="0"/>
    <n v="0"/>
    <n v="0"/>
    <m/>
    <m/>
    <m/>
    <n v="0"/>
    <n v="0"/>
    <n v="0"/>
    <n v="0"/>
    <m/>
    <m/>
  </r>
  <r>
    <n v="0"/>
    <s v="CMS S.60.10.000"/>
    <x v="1"/>
    <m/>
    <m/>
    <m/>
    <x v="0"/>
    <m/>
    <m/>
    <x v="0"/>
    <x v="0"/>
    <s v="LINHA DO CIRCUITO ARENOSO LINHA DE DESCARGA DO DISTRIBUIDOR DI 145A-9913"/>
    <s v="SC-026"/>
    <s v="8361 M"/>
    <m/>
    <s v="1450AA-S-58361"/>
    <n v="1"/>
    <s v="PÇ"/>
    <n v="20"/>
    <n v="20"/>
    <n v="0"/>
    <n v="0"/>
    <n v="0"/>
    <n v="0.9"/>
    <n v="0.1"/>
    <m/>
    <m/>
    <x v="0"/>
    <n v="0"/>
    <m/>
    <n v="0"/>
    <n v="20"/>
    <m/>
    <n v="0"/>
    <n v="0"/>
    <n v="0"/>
    <m/>
    <m/>
    <m/>
    <n v="0"/>
    <n v="0"/>
    <n v="0"/>
    <n v="0"/>
    <m/>
    <m/>
  </r>
  <r>
    <n v="0"/>
    <s v="CMS S.60.10.000"/>
    <x v="1"/>
    <m/>
    <m/>
    <m/>
    <x v="0"/>
    <m/>
    <m/>
    <x v="0"/>
    <x v="0"/>
    <s v="LINHA DO CIRCUITO ARENOSO LINHA DE DESCARGA DO DISTRIBUIDOR DI 145A-9913"/>
    <s v="SC-014"/>
    <s v="SP 8364 A"/>
    <s v="1450AA-L-70046"/>
    <s v="1450AA-S-58364"/>
    <n v="1"/>
    <s v="PÇ"/>
    <n v="12"/>
    <n v="12"/>
    <n v="0"/>
    <n v="0"/>
    <n v="0"/>
    <n v="0.9"/>
    <n v="0.1"/>
    <m/>
    <m/>
    <x v="0"/>
    <n v="0"/>
    <m/>
    <n v="0"/>
    <n v="12"/>
    <m/>
    <n v="0"/>
    <n v="0"/>
    <n v="0"/>
    <m/>
    <m/>
    <m/>
    <n v="0"/>
    <n v="0"/>
    <n v="0"/>
    <n v="0"/>
    <m/>
    <m/>
  </r>
  <r>
    <n v="0"/>
    <s v="CMS S.60.10.000"/>
    <x v="1"/>
    <m/>
    <m/>
    <m/>
    <x v="0"/>
    <m/>
    <m/>
    <x v="0"/>
    <x v="0"/>
    <s v="LINHA DO CIRCUITO ARENOSO LINHA DE DESCARGA DO DISTRIBUIDOR DI 145A-9913"/>
    <s v="SC-014"/>
    <s v="SP 8364 B"/>
    <s v="1450AA-L-70046"/>
    <s v="1450AA-S-58364"/>
    <n v="1"/>
    <s v="PÇ"/>
    <n v="14.4"/>
    <n v="14.4"/>
    <n v="0"/>
    <n v="0"/>
    <n v="0"/>
    <n v="0.9"/>
    <n v="0.1"/>
    <m/>
    <m/>
    <x v="0"/>
    <n v="0"/>
    <m/>
    <n v="0"/>
    <n v="14.4"/>
    <m/>
    <n v="0"/>
    <n v="0"/>
    <n v="0"/>
    <m/>
    <m/>
    <m/>
    <n v="0"/>
    <n v="0"/>
    <n v="0"/>
    <n v="0"/>
    <m/>
    <m/>
  </r>
  <r>
    <n v="0"/>
    <s v="CMS S.60.10.000"/>
    <x v="1"/>
    <m/>
    <m/>
    <m/>
    <x v="0"/>
    <m/>
    <m/>
    <x v="0"/>
    <x v="0"/>
    <s v="LINHA DO CIRCUITO ARENOSO LINHA DE DESCARGA DO DISTRIBUIDOR DI 145A-9913"/>
    <s v="SC-014"/>
    <s v="SP 8364 C"/>
    <s v="1450AA-L-70046"/>
    <s v="1450AA-S-58364"/>
    <n v="1"/>
    <s v="PÇ"/>
    <n v="46.2"/>
    <n v="46.2"/>
    <n v="0"/>
    <n v="0"/>
    <n v="0"/>
    <n v="0.9"/>
    <n v="0.1"/>
    <m/>
    <m/>
    <x v="0"/>
    <n v="0"/>
    <m/>
    <n v="0"/>
    <n v="46.2"/>
    <m/>
    <n v="0"/>
    <n v="0"/>
    <n v="0"/>
    <m/>
    <m/>
    <m/>
    <n v="0"/>
    <n v="0"/>
    <n v="0"/>
    <n v="0"/>
    <m/>
    <m/>
  </r>
  <r>
    <n v="0"/>
    <s v="CMS S.60.10.000"/>
    <x v="1"/>
    <m/>
    <m/>
    <m/>
    <x v="0"/>
    <m/>
    <m/>
    <x v="0"/>
    <x v="0"/>
    <s v="LINHA DO CIRCUITO ARENOSO LINHA DE DESCARGA DO DISTRIBUIDOR DI 145A-9913"/>
    <s v="SC-014"/>
    <s v="SP 8364 D"/>
    <s v="1450AA-L-70046"/>
    <s v="1450AA-S-58364"/>
    <n v="1"/>
    <s v="PÇ"/>
    <n v="14"/>
    <n v="14"/>
    <n v="0"/>
    <n v="0"/>
    <n v="0"/>
    <n v="0.9"/>
    <n v="0.1"/>
    <m/>
    <m/>
    <x v="0"/>
    <n v="0"/>
    <m/>
    <n v="0"/>
    <n v="14"/>
    <m/>
    <n v="0"/>
    <n v="0"/>
    <n v="0"/>
    <m/>
    <m/>
    <m/>
    <n v="0"/>
    <n v="0"/>
    <n v="0"/>
    <n v="0"/>
    <m/>
    <m/>
  </r>
  <r>
    <n v="0"/>
    <s v="CMS S.60.10.000"/>
    <x v="1"/>
    <m/>
    <m/>
    <m/>
    <x v="0"/>
    <m/>
    <m/>
    <x v="0"/>
    <x v="0"/>
    <s v="LINHA DO CIRCUITO ARENOSO LINHA DE DESCARGA DO DISTRIBUIDOR DI 145A-9913"/>
    <s v="SC-014"/>
    <s v="SP 8364 E"/>
    <s v="1450AA-L-70046"/>
    <s v="1450AA-S-58364"/>
    <n v="1"/>
    <s v="PÇ"/>
    <n v="2.2000000000000002"/>
    <n v="2.2000000000000002"/>
    <n v="0"/>
    <n v="0"/>
    <n v="0"/>
    <n v="0.9"/>
    <n v="0.1"/>
    <m/>
    <m/>
    <x v="0"/>
    <n v="0"/>
    <m/>
    <n v="0"/>
    <n v="2.2000000000000002"/>
    <m/>
    <n v="0"/>
    <n v="0"/>
    <n v="0"/>
    <m/>
    <m/>
    <m/>
    <n v="0"/>
    <n v="0"/>
    <n v="0"/>
    <n v="0"/>
    <m/>
    <m/>
  </r>
  <r>
    <n v="0"/>
    <s v="CMS S.60.10.000"/>
    <x v="1"/>
    <m/>
    <m/>
    <m/>
    <x v="0"/>
    <m/>
    <m/>
    <x v="0"/>
    <x v="0"/>
    <s v="LINHA DO CIRCUITO ARENOSO LINHA DE DESCARGA DO DISTRIBUIDOR DI 145A-9913"/>
    <s v="SC-014"/>
    <s v="SP 8364 F"/>
    <s v="1450AA-L-70046"/>
    <s v="1450AA-S-58364"/>
    <n v="1"/>
    <s v="PÇ"/>
    <n v="6"/>
    <n v="6"/>
    <n v="0"/>
    <n v="0"/>
    <n v="0"/>
    <n v="0.9"/>
    <n v="0.1"/>
    <m/>
    <m/>
    <x v="0"/>
    <n v="0"/>
    <m/>
    <n v="0"/>
    <n v="6"/>
    <m/>
    <n v="0"/>
    <n v="0"/>
    <n v="0"/>
    <m/>
    <m/>
    <m/>
    <n v="0"/>
    <n v="0"/>
    <n v="0"/>
    <n v="0"/>
    <m/>
    <m/>
  </r>
  <r>
    <n v="0"/>
    <s v="CMS S.60.10.000"/>
    <x v="1"/>
    <m/>
    <m/>
    <m/>
    <x v="0"/>
    <m/>
    <m/>
    <x v="0"/>
    <x v="0"/>
    <s v="LINHA DO CIRCUITO ARENOSO LINHA DE DESCARGA DO DISTRIBUIDOR DI 145A-9913"/>
    <s v="SC-014"/>
    <s v="SP 8364 G"/>
    <s v="1450AA-L-70046"/>
    <s v="1450AA-S-58364"/>
    <n v="2"/>
    <s v="PÇ"/>
    <n v="22.5"/>
    <n v="45"/>
    <n v="0"/>
    <n v="0"/>
    <n v="0"/>
    <n v="0.9"/>
    <n v="0.1"/>
    <m/>
    <m/>
    <x v="0"/>
    <n v="0"/>
    <m/>
    <n v="0"/>
    <n v="45"/>
    <m/>
    <n v="0"/>
    <n v="0"/>
    <n v="0"/>
    <m/>
    <m/>
    <m/>
    <n v="0"/>
    <n v="0"/>
    <n v="0"/>
    <n v="0"/>
    <m/>
    <m/>
  </r>
  <r>
    <n v="0"/>
    <s v="CMS S.60.10.000"/>
    <x v="1"/>
    <m/>
    <m/>
    <m/>
    <x v="0"/>
    <m/>
    <m/>
    <x v="0"/>
    <x v="0"/>
    <s v="LINHA DO CIRCUITO ARENOSO LINHA DE DESCARGA DO DISTRIBUIDOR DI 145A-9913"/>
    <s v="SC-014"/>
    <s v="SP 8364 H"/>
    <s v="1450AA-L-70046"/>
    <s v="1450AA-S-58364"/>
    <n v="2"/>
    <s v="PÇ"/>
    <n v="38.6"/>
    <n v="77.2"/>
    <n v="0"/>
    <n v="0"/>
    <n v="0"/>
    <n v="0.9"/>
    <n v="0.1"/>
    <m/>
    <m/>
    <x v="0"/>
    <n v="0"/>
    <m/>
    <n v="0"/>
    <n v="77.2"/>
    <m/>
    <n v="0"/>
    <n v="0"/>
    <n v="0"/>
    <m/>
    <m/>
    <m/>
    <n v="0"/>
    <n v="0"/>
    <n v="0"/>
    <n v="0"/>
    <m/>
    <m/>
  </r>
  <r>
    <n v="0"/>
    <s v="CMS S.60.10.000"/>
    <x v="1"/>
    <m/>
    <m/>
    <m/>
    <x v="0"/>
    <m/>
    <m/>
    <x v="0"/>
    <x v="0"/>
    <s v="LINHA DO CIRCUITO ARENOSO LINHA DE DESCARGA DO DISTRIBUIDOR DI 145A-9913"/>
    <s v="SC-014"/>
    <s v="SP 8364 J"/>
    <s v="1450AA-L-70046"/>
    <s v="1450AA-S-58364"/>
    <n v="6"/>
    <s v="PÇ"/>
    <n v="0.5"/>
    <n v="3"/>
    <n v="0"/>
    <n v="0"/>
    <n v="0"/>
    <n v="0.9"/>
    <n v="0.1"/>
    <m/>
    <m/>
    <x v="0"/>
    <n v="0"/>
    <m/>
    <n v="0"/>
    <n v="3"/>
    <m/>
    <n v="0"/>
    <n v="0"/>
    <n v="0"/>
    <m/>
    <m/>
    <m/>
    <n v="0"/>
    <n v="0"/>
    <n v="0"/>
    <n v="0"/>
    <m/>
    <m/>
  </r>
  <r>
    <n v="0"/>
    <s v="CMS S.60.10.000"/>
    <x v="1"/>
    <m/>
    <m/>
    <m/>
    <x v="0"/>
    <m/>
    <m/>
    <x v="0"/>
    <x v="0"/>
    <s v="LINHA DO CIRCUITO ARENOSO LINHA DE DESCARGA DO DISTRIBUIDOR DI 145A-9913"/>
    <s v="SC-014"/>
    <s v="SP 8364 K"/>
    <s v="1450AA-L-70046"/>
    <s v="1450AA-S-58364"/>
    <n v="2"/>
    <s v="PÇ"/>
    <n v="0.4"/>
    <n v="0.8"/>
    <n v="0"/>
    <n v="0"/>
    <n v="0"/>
    <n v="0.9"/>
    <n v="0.1"/>
    <m/>
    <m/>
    <x v="0"/>
    <n v="0"/>
    <m/>
    <n v="0"/>
    <n v="0.8"/>
    <m/>
    <n v="0"/>
    <n v="0"/>
    <n v="0"/>
    <m/>
    <m/>
    <m/>
    <n v="0"/>
    <n v="0"/>
    <n v="0"/>
    <n v="0"/>
    <m/>
    <m/>
  </r>
  <r>
    <n v="0"/>
    <s v="CMS S.60.10.000"/>
    <x v="1"/>
    <m/>
    <m/>
    <m/>
    <x v="0"/>
    <m/>
    <m/>
    <x v="0"/>
    <x v="0"/>
    <s v="LINHA DO CIRCUITO ARENOSO LINHA DE DESCARGA DO DISTRIBUIDOR DI 145A-9913"/>
    <s v="SC-014"/>
    <s v="SP 8365 A"/>
    <s v="1450AA-L-70046"/>
    <s v="1450AA-S-58365"/>
    <n v="6"/>
    <s v="PÇ"/>
    <n v="34.5"/>
    <n v="207"/>
    <n v="0"/>
    <n v="0"/>
    <n v="0"/>
    <n v="0.9"/>
    <n v="0.1"/>
    <m/>
    <m/>
    <x v="0"/>
    <n v="0"/>
    <m/>
    <n v="0"/>
    <n v="207"/>
    <m/>
    <n v="0"/>
    <n v="0"/>
    <n v="0"/>
    <m/>
    <m/>
    <m/>
    <n v="0"/>
    <n v="0"/>
    <n v="0"/>
    <n v="0"/>
    <m/>
    <m/>
  </r>
  <r>
    <n v="0"/>
    <s v="CMS S.60.10.000"/>
    <x v="1"/>
    <m/>
    <m/>
    <m/>
    <x v="0"/>
    <m/>
    <m/>
    <x v="0"/>
    <x v="0"/>
    <s v="LINHA DO CIRCUITO ARENOSO LINHA DE DESCARGA DO DISTRIBUIDOR DI 145A-9913"/>
    <s v="SC-014"/>
    <s v="SP 8365 B"/>
    <s v="1450AA-L-70046"/>
    <s v="1450AA-S-58365"/>
    <n v="3"/>
    <s v="PÇ"/>
    <n v="5.3999999999999995"/>
    <n v="16.2"/>
    <n v="0"/>
    <n v="0"/>
    <n v="0"/>
    <n v="0.9"/>
    <n v="0.1"/>
    <m/>
    <m/>
    <x v="0"/>
    <n v="0"/>
    <m/>
    <n v="0"/>
    <n v="16.2"/>
    <m/>
    <n v="0"/>
    <n v="0"/>
    <n v="0"/>
    <m/>
    <m/>
    <m/>
    <n v="0"/>
    <n v="0"/>
    <n v="0"/>
    <n v="0"/>
    <m/>
    <m/>
  </r>
  <r>
    <n v="0"/>
    <s v="CMS S.60.10.000"/>
    <x v="1"/>
    <m/>
    <m/>
    <m/>
    <x v="0"/>
    <m/>
    <m/>
    <x v="0"/>
    <x v="0"/>
    <s v="LINHA DO CIRCUITO ARENOSO LINHA DE DESCARGA DO DISTRIBUIDOR DI 145A-9913"/>
    <s v="SC-014"/>
    <s v="SP 8365 C"/>
    <s v="1450AA-L-70046"/>
    <s v="1450AA-S-58365"/>
    <n v="1"/>
    <s v="PÇ"/>
    <n v="12.100000000000001"/>
    <n v="12.100000000000001"/>
    <n v="0"/>
    <n v="0"/>
    <n v="0"/>
    <n v="0.9"/>
    <n v="0.1"/>
    <m/>
    <m/>
    <x v="0"/>
    <n v="0"/>
    <m/>
    <n v="0"/>
    <n v="12.100000000000001"/>
    <m/>
    <n v="0"/>
    <n v="0"/>
    <n v="0"/>
    <m/>
    <m/>
    <m/>
    <n v="0"/>
    <n v="0"/>
    <n v="0"/>
    <n v="0"/>
    <m/>
    <m/>
  </r>
  <r>
    <n v="0"/>
    <s v="CMS S.60.10.000"/>
    <x v="1"/>
    <m/>
    <m/>
    <m/>
    <x v="0"/>
    <m/>
    <m/>
    <x v="0"/>
    <x v="0"/>
    <s v="LINHA DO CIRCUITO ARENOSO LINHA DE DESCARGA DO DISTRIBUIDOR DI 145A-9913"/>
    <s v="SC-014"/>
    <s v="SP 8365 D"/>
    <s v="1450AA-L-70046"/>
    <s v="1450AA-S-58365"/>
    <n v="2"/>
    <s v="PÇ"/>
    <n v="12.799999999999999"/>
    <n v="25.599999999999998"/>
    <n v="0"/>
    <n v="0"/>
    <n v="0"/>
    <n v="0.9"/>
    <n v="0.1"/>
    <m/>
    <m/>
    <x v="0"/>
    <n v="0"/>
    <m/>
    <n v="0"/>
    <n v="25.599999999999998"/>
    <m/>
    <n v="0"/>
    <n v="0"/>
    <n v="0"/>
    <m/>
    <m/>
    <m/>
    <n v="0"/>
    <n v="0"/>
    <n v="0"/>
    <n v="0"/>
    <m/>
    <m/>
  </r>
  <r>
    <n v="0"/>
    <s v="CMS S.60.10.000"/>
    <x v="1"/>
    <m/>
    <m/>
    <m/>
    <x v="0"/>
    <m/>
    <m/>
    <x v="0"/>
    <x v="0"/>
    <s v="LINHA DO CIRCUITO ARENOSO LINHA DE DESCARGA DO DISTRIBUIDOR DI 145A-9913"/>
    <s v="SC-014"/>
    <s v="SP 8365 E"/>
    <s v="1450AA-L-70046"/>
    <s v="1450AA-S-58365"/>
    <n v="3"/>
    <s v="PÇ"/>
    <n v="4.8"/>
    <n v="14.399999999999999"/>
    <n v="0"/>
    <n v="0"/>
    <n v="0"/>
    <n v="0.9"/>
    <n v="0.1"/>
    <m/>
    <m/>
    <x v="0"/>
    <n v="0"/>
    <m/>
    <n v="0"/>
    <n v="14.399999999999999"/>
    <m/>
    <n v="0"/>
    <n v="0"/>
    <n v="0"/>
    <m/>
    <m/>
    <m/>
    <n v="0"/>
    <n v="0"/>
    <n v="0"/>
    <n v="0"/>
    <m/>
    <m/>
  </r>
  <r>
    <n v="0"/>
    <s v="CMS S.60.10.000"/>
    <x v="1"/>
    <m/>
    <m/>
    <m/>
    <x v="0"/>
    <m/>
    <m/>
    <x v="0"/>
    <x v="0"/>
    <s v="LINHA DO CIRCUITO ARENOSO LINHA DE DESCARGA DO DISTRIBUIDOR DI 145A-9913"/>
    <s v="SC-014"/>
    <s v="SP 8365 F"/>
    <s v="1450AA-L-70046"/>
    <s v="1450AA-S-58365"/>
    <n v="4"/>
    <s v="PÇ"/>
    <n v="3.6999999999999997"/>
    <n v="14.799999999999999"/>
    <n v="0"/>
    <n v="0"/>
    <n v="0"/>
    <n v="0.9"/>
    <n v="0.1"/>
    <m/>
    <m/>
    <x v="0"/>
    <n v="0"/>
    <m/>
    <n v="0"/>
    <n v="14.799999999999999"/>
    <m/>
    <n v="0"/>
    <n v="0"/>
    <n v="0"/>
    <m/>
    <m/>
    <m/>
    <n v="0"/>
    <n v="0"/>
    <n v="0"/>
    <n v="0"/>
    <m/>
    <m/>
  </r>
  <r>
    <n v="0"/>
    <s v="CMS S.60.10.000"/>
    <x v="1"/>
    <m/>
    <m/>
    <m/>
    <x v="0"/>
    <m/>
    <m/>
    <x v="0"/>
    <x v="0"/>
    <s v="LINHA DO CIRCUITO ARENOSO LINHA DE DESCARGA DO DISTRIBUIDOR DI 145A-9913"/>
    <s v="SC-014"/>
    <s v="SP 8365 G"/>
    <s v="1450AA-L-70046"/>
    <s v="1450AA-S-58365"/>
    <n v="1"/>
    <s v="PÇ"/>
    <n v="9.1999999999999993"/>
    <n v="9.1999999999999993"/>
    <n v="0"/>
    <n v="0"/>
    <n v="0"/>
    <n v="0.9"/>
    <n v="0.1"/>
    <m/>
    <m/>
    <x v="0"/>
    <n v="0"/>
    <m/>
    <n v="0"/>
    <n v="9.1999999999999993"/>
    <m/>
    <n v="0"/>
    <n v="0"/>
    <n v="0"/>
    <m/>
    <m/>
    <m/>
    <n v="0"/>
    <n v="0"/>
    <n v="0"/>
    <n v="0"/>
    <m/>
    <m/>
  </r>
  <r>
    <n v="0"/>
    <s v="CMS S.60.10.000"/>
    <x v="1"/>
    <m/>
    <m/>
    <m/>
    <x v="0"/>
    <m/>
    <m/>
    <x v="0"/>
    <x v="0"/>
    <s v="LINHA DO CIRCUITO ARENOSO LINHA DE DESCARGA DO DISTRIBUIDOR DI 145A-9913"/>
    <s v="SC-014"/>
    <s v="SP 8365 H"/>
    <s v="1450AA-L-70046"/>
    <s v="1450AA-S-58365"/>
    <n v="1"/>
    <s v="PÇ"/>
    <n v="12.2"/>
    <n v="12.2"/>
    <n v="0"/>
    <n v="0"/>
    <n v="0"/>
    <n v="0.9"/>
    <n v="0.1"/>
    <m/>
    <m/>
    <x v="0"/>
    <n v="0"/>
    <m/>
    <n v="0"/>
    <n v="12.2"/>
    <m/>
    <n v="0"/>
    <n v="0"/>
    <n v="0"/>
    <m/>
    <m/>
    <m/>
    <n v="0"/>
    <n v="0"/>
    <n v="0"/>
    <n v="0"/>
    <m/>
    <m/>
  </r>
  <r>
    <n v="0"/>
    <s v="CMS S.60.10.000"/>
    <x v="1"/>
    <m/>
    <m/>
    <m/>
    <x v="0"/>
    <m/>
    <m/>
    <x v="0"/>
    <x v="0"/>
    <s v="LINHA DO CIRCUITO ARENOSO LINHA DE DESCARGA DO DISTRIBUIDOR DI 145A-9913"/>
    <s v="SC-014"/>
    <s v="SP 8365 J"/>
    <s v="1450AA-L-70046"/>
    <s v="1450AA-S-58365"/>
    <n v="1"/>
    <s v="PÇ"/>
    <n v="12.2"/>
    <n v="12.2"/>
    <n v="0"/>
    <n v="0"/>
    <n v="0"/>
    <n v="0.9"/>
    <n v="0.1"/>
    <m/>
    <m/>
    <x v="0"/>
    <n v="0"/>
    <m/>
    <n v="0"/>
    <n v="12.2"/>
    <m/>
    <n v="0"/>
    <n v="0"/>
    <n v="0"/>
    <m/>
    <m/>
    <m/>
    <n v="0"/>
    <n v="0"/>
    <n v="0"/>
    <n v="0"/>
    <m/>
    <m/>
  </r>
  <r>
    <n v="0"/>
    <s v="CMS S.60.10.000"/>
    <x v="1"/>
    <m/>
    <m/>
    <m/>
    <x v="0"/>
    <m/>
    <m/>
    <x v="0"/>
    <x v="0"/>
    <s v="LINHA DO CIRCUITO ARENOSO LINHA DE DESCARGA DO DISTRIBUIDOR DI 145A-9913"/>
    <s v="SC-014"/>
    <s v="SP 8365 K"/>
    <s v="1450AA-L-70046"/>
    <s v="1450AA-S-58365"/>
    <n v="1"/>
    <s v="PÇ"/>
    <n v="0.5"/>
    <n v="0.5"/>
    <n v="0"/>
    <n v="0"/>
    <n v="0"/>
    <n v="0.9"/>
    <n v="0.1"/>
    <m/>
    <m/>
    <x v="0"/>
    <n v="0"/>
    <m/>
    <n v="0"/>
    <n v="0.5"/>
    <m/>
    <n v="0"/>
    <n v="0"/>
    <n v="0"/>
    <m/>
    <m/>
    <m/>
    <n v="0"/>
    <n v="0"/>
    <n v="0"/>
    <n v="0"/>
    <m/>
    <m/>
  </r>
  <r>
    <n v="0"/>
    <s v="CMS S.60.10.000"/>
    <x v="1"/>
    <m/>
    <m/>
    <m/>
    <x v="0"/>
    <m/>
    <m/>
    <x v="0"/>
    <x v="0"/>
    <s v="LINHA DO CIRCUITO ARENOSO LINHA DE DESCARGA DO DISTRIBUIDOR DI 145A-9913"/>
    <s v="SC-014"/>
    <s v="SP 8365 L"/>
    <s v="1450AA-L-70046"/>
    <s v="1450AA-S-58365"/>
    <n v="1"/>
    <s v="PÇ"/>
    <n v="0.6"/>
    <n v="0.6"/>
    <n v="0"/>
    <n v="0"/>
    <n v="0"/>
    <n v="0.9"/>
    <n v="0.1"/>
    <m/>
    <m/>
    <x v="0"/>
    <n v="0"/>
    <m/>
    <n v="0"/>
    <n v="0.6"/>
    <m/>
    <n v="0"/>
    <n v="0"/>
    <n v="0"/>
    <m/>
    <m/>
    <m/>
    <n v="0"/>
    <n v="0"/>
    <n v="0"/>
    <n v="0"/>
    <m/>
    <m/>
  </r>
  <r>
    <n v="0"/>
    <s v="CMS S.60.10.000"/>
    <x v="1"/>
    <m/>
    <m/>
    <m/>
    <x v="0"/>
    <m/>
    <m/>
    <x v="0"/>
    <x v="0"/>
    <s v="LINHA DO CIRCUITO ARENOSO LINHA DE DESCARGA DO DISTRIBUIDOR DI 145A-9913"/>
    <s v="SC-014"/>
    <s v="SP 8365 M"/>
    <s v="1450AA-L-70046"/>
    <s v="1450AA-S-58365"/>
    <n v="2"/>
    <s v="PÇ"/>
    <n v="2.6999999999999997"/>
    <n v="5.3999999999999995"/>
    <n v="0"/>
    <n v="0"/>
    <n v="0"/>
    <n v="0.9"/>
    <n v="0.1"/>
    <m/>
    <m/>
    <x v="0"/>
    <n v="0"/>
    <m/>
    <n v="0"/>
    <n v="5.3999999999999995"/>
    <m/>
    <n v="0"/>
    <n v="0"/>
    <n v="0"/>
    <m/>
    <m/>
    <m/>
    <n v="0"/>
    <n v="0"/>
    <n v="0"/>
    <n v="0"/>
    <m/>
    <m/>
  </r>
  <r>
    <n v="0"/>
    <s v="CMS S.60.10.000"/>
    <x v="1"/>
    <m/>
    <m/>
    <m/>
    <x v="0"/>
    <m/>
    <m/>
    <x v="0"/>
    <x v="0"/>
    <s v="LINHA DE UNDERFLOW DAS PENEIRAS DESAGUADORAS"/>
    <s v="SC-026"/>
    <s v="SP 8307 S"/>
    <s v="1450AA-L-70113"/>
    <s v="1450AA-S-58307"/>
    <n v="1"/>
    <s v="PÇ"/>
    <n v="56.9"/>
    <n v="56.9"/>
    <n v="0"/>
    <n v="0"/>
    <n v="0"/>
    <n v="0.9"/>
    <n v="0.1"/>
    <m/>
    <m/>
    <x v="0"/>
    <n v="0"/>
    <m/>
    <n v="0"/>
    <n v="56.9"/>
    <m/>
    <n v="0"/>
    <n v="0"/>
    <n v="0"/>
    <m/>
    <m/>
    <m/>
    <n v="0"/>
    <n v="0"/>
    <n v="0"/>
    <n v="0"/>
    <m/>
    <m/>
  </r>
  <r>
    <n v="0"/>
    <s v="CMS S.60.10.000"/>
    <x v="1"/>
    <m/>
    <m/>
    <m/>
    <x v="0"/>
    <m/>
    <m/>
    <x v="0"/>
    <x v="0"/>
    <s v="LINHA DE BY PASS DAS PENEIRAS ALIMENTAÇÃO DO TANQUE TQ-145A-9703"/>
    <s v="SC-010"/>
    <s v="SP 8313 U"/>
    <s v="1450AA-L-70111"/>
    <s v="1450AA-S-58313"/>
    <n v="6"/>
    <s v="PÇ"/>
    <n v="2.7"/>
    <n v="16.200000000000003"/>
    <n v="0"/>
    <n v="0"/>
    <n v="0"/>
    <n v="0.9"/>
    <n v="0.1"/>
    <m/>
    <m/>
    <x v="0"/>
    <n v="0"/>
    <m/>
    <n v="0"/>
    <n v="16.200000000000003"/>
    <m/>
    <n v="0"/>
    <n v="0"/>
    <n v="0"/>
    <m/>
    <m/>
    <m/>
    <n v="0"/>
    <n v="0"/>
    <n v="0"/>
    <n v="0"/>
    <m/>
    <m/>
  </r>
  <r>
    <n v="0"/>
    <s v="CMS S.60.10.000"/>
    <x v="1"/>
    <m/>
    <m/>
    <m/>
    <x v="0"/>
    <m/>
    <m/>
    <x v="0"/>
    <x v="0"/>
    <s v="LINHA DO CIRCUITO ULTRAFINO, LINHA DE DESCARGA DO DISTRIBUIDOR DI-145A-9907"/>
    <s v="SC-026"/>
    <s v="SP 8355 A"/>
    <m/>
    <s v="1450AA-S-58355"/>
    <n v="8"/>
    <s v="PÇ"/>
    <n v="18.900000000000002"/>
    <n v="151.20000000000002"/>
    <n v="0"/>
    <n v="0"/>
    <n v="0"/>
    <n v="0.9"/>
    <n v="0.1"/>
    <m/>
    <m/>
    <x v="0"/>
    <n v="0"/>
    <m/>
    <n v="0"/>
    <n v="151.20000000000002"/>
    <m/>
    <n v="0"/>
    <n v="0"/>
    <n v="0"/>
    <m/>
    <m/>
    <m/>
    <n v="0"/>
    <n v="0"/>
    <n v="0"/>
    <n v="0"/>
    <m/>
    <m/>
  </r>
  <r>
    <n v="0"/>
    <s v="CMS S.60.10.000"/>
    <x v="1"/>
    <m/>
    <m/>
    <m/>
    <x v="0"/>
    <m/>
    <m/>
    <x v="0"/>
    <x v="0"/>
    <s v="LINHA DO CIRCUITO ULTRAFINO, LINHA DE DESCARGA DO DISTRIBUIDOR DI-145A-9907"/>
    <s v="SC-026"/>
    <s v="SP 8355 B"/>
    <m/>
    <s v="1450AA-S-58355"/>
    <n v="4"/>
    <s v="PÇ"/>
    <n v="3.4"/>
    <n v="13.6"/>
    <n v="0"/>
    <n v="0"/>
    <n v="0"/>
    <n v="0.9"/>
    <n v="0.1"/>
    <m/>
    <m/>
    <x v="0"/>
    <n v="0"/>
    <m/>
    <n v="0"/>
    <n v="13.6"/>
    <m/>
    <n v="0"/>
    <n v="0"/>
    <n v="0"/>
    <m/>
    <m/>
    <m/>
    <n v="0"/>
    <n v="0"/>
    <n v="0"/>
    <n v="0"/>
    <m/>
    <m/>
  </r>
  <r>
    <n v="0"/>
    <s v="CMS S.60.10.000"/>
    <x v="1"/>
    <m/>
    <m/>
    <m/>
    <x v="0"/>
    <m/>
    <m/>
    <x v="0"/>
    <x v="0"/>
    <s v="LINHA DO CIRCUITO ULTRAFINO, LINHA DE DESCARGA DO DISTRIBUIDOR DI-145A-9907"/>
    <s v="SC-026"/>
    <s v="SP 8355 C"/>
    <m/>
    <s v="1450AA-S-58355"/>
    <n v="1"/>
    <s v="PÇ"/>
    <n v="4.3"/>
    <n v="4.3"/>
    <n v="0"/>
    <n v="0"/>
    <n v="0"/>
    <n v="0.9"/>
    <n v="0.1"/>
    <m/>
    <m/>
    <x v="0"/>
    <n v="0"/>
    <m/>
    <n v="0"/>
    <n v="4.3"/>
    <m/>
    <n v="0"/>
    <n v="0"/>
    <n v="0"/>
    <m/>
    <m/>
    <m/>
    <n v="0"/>
    <n v="0"/>
    <n v="0"/>
    <n v="0"/>
    <m/>
    <m/>
  </r>
  <r>
    <n v="0"/>
    <s v="CMS S.60.10.000"/>
    <x v="1"/>
    <m/>
    <m/>
    <m/>
    <x v="0"/>
    <m/>
    <m/>
    <x v="0"/>
    <x v="0"/>
    <s v="LINHA DO CIRCUITO ULTRAFINO, LINHA DE DESCARGA DO DISTRIBUIDOR DI-145A-9907"/>
    <s v="SC-026"/>
    <s v="SP 8355 D"/>
    <m/>
    <s v="1450AA-S-58355"/>
    <n v="1"/>
    <s v="PÇ"/>
    <n v="4"/>
    <n v="4"/>
    <n v="0"/>
    <n v="0"/>
    <n v="0"/>
    <n v="0.9"/>
    <n v="0.1"/>
    <m/>
    <m/>
    <x v="0"/>
    <n v="0"/>
    <m/>
    <n v="0"/>
    <n v="4"/>
    <m/>
    <n v="0"/>
    <n v="0"/>
    <n v="0"/>
    <m/>
    <m/>
    <m/>
    <n v="0"/>
    <n v="0"/>
    <n v="0"/>
    <n v="0"/>
    <m/>
    <m/>
  </r>
  <r>
    <n v="0"/>
    <s v="CMS S.60.10.000"/>
    <x v="1"/>
    <m/>
    <m/>
    <m/>
    <x v="0"/>
    <m/>
    <m/>
    <x v="0"/>
    <x v="0"/>
    <s v="LINHA DE ALIMENTAÇÃO DOS DISTRIBUIDORES DI-145A-9904/9905/9906/9907/9908"/>
    <s v="SC-026"/>
    <s v="SP 8357 A"/>
    <m/>
    <s v="1450AA-S-58357"/>
    <n v="1"/>
    <s v="PÇ"/>
    <n v="5.9"/>
    <n v="5.9"/>
    <n v="0"/>
    <n v="0"/>
    <n v="0"/>
    <n v="0.9"/>
    <n v="0.1"/>
    <m/>
    <m/>
    <x v="0"/>
    <n v="0"/>
    <m/>
    <n v="0"/>
    <n v="5.9"/>
    <m/>
    <n v="0"/>
    <n v="0"/>
    <n v="0"/>
    <m/>
    <m/>
    <m/>
    <n v="0"/>
    <n v="0"/>
    <n v="0"/>
    <n v="0"/>
    <m/>
    <m/>
  </r>
  <r>
    <n v="0"/>
    <s v="CMS S.60.10.000"/>
    <x v="1"/>
    <m/>
    <m/>
    <m/>
    <x v="0"/>
    <m/>
    <m/>
    <x v="0"/>
    <x v="0"/>
    <s v="LINHA DE ALIMENTAÇÃO DOS DISTRIBUIDORES DI-145A-9904/9905/9906/9907/9908"/>
    <s v="SC-026"/>
    <s v="SP 8357 B"/>
    <m/>
    <s v="1450AA-S-58357"/>
    <n v="2"/>
    <s v="PÇ"/>
    <n v="12.899999999999999"/>
    <n v="25.799999999999997"/>
    <n v="0"/>
    <n v="0"/>
    <n v="0"/>
    <n v="0.9"/>
    <n v="0.1"/>
    <m/>
    <m/>
    <x v="0"/>
    <n v="0"/>
    <m/>
    <n v="0"/>
    <n v="25.799999999999997"/>
    <m/>
    <n v="0"/>
    <n v="0"/>
    <n v="0"/>
    <m/>
    <m/>
    <m/>
    <n v="0"/>
    <n v="0"/>
    <n v="0"/>
    <n v="0"/>
    <m/>
    <m/>
  </r>
  <r>
    <n v="0"/>
    <s v="CMS S.60.10.000"/>
    <x v="1"/>
    <m/>
    <m/>
    <m/>
    <x v="0"/>
    <m/>
    <m/>
    <x v="0"/>
    <x v="0"/>
    <s v="LINHA DE ALIMENTAÇÃO DOS DISTRIBUIDORES DI-145A-9904/9905/9906/9907/9908"/>
    <s v="SC-026"/>
    <s v="SP 8357 C"/>
    <m/>
    <s v="1450AA-S-58357"/>
    <n v="1"/>
    <s v="PÇ"/>
    <n v="4.0999999999999996"/>
    <n v="4.0999999999999996"/>
    <n v="0"/>
    <n v="0"/>
    <n v="0"/>
    <n v="0.9"/>
    <n v="0.1"/>
    <m/>
    <m/>
    <x v="0"/>
    <n v="0"/>
    <m/>
    <n v="0"/>
    <n v="4.0999999999999996"/>
    <m/>
    <n v="0"/>
    <n v="0"/>
    <n v="0"/>
    <m/>
    <m/>
    <m/>
    <n v="0"/>
    <n v="0"/>
    <n v="0"/>
    <n v="0"/>
    <m/>
    <m/>
  </r>
  <r>
    <n v="0"/>
    <s v="CMS S.60.10.000"/>
    <x v="1"/>
    <m/>
    <m/>
    <m/>
    <x v="0"/>
    <m/>
    <m/>
    <x v="0"/>
    <x v="0"/>
    <s v="LINHA DE ALIMENTAÇÃO DOS DISTRIBUIDORES DI-145A-9904/9905/9906/9907/9908"/>
    <s v="SC-026"/>
    <s v="SP 8357 D"/>
    <m/>
    <s v="1450AA-S-58357"/>
    <n v="1"/>
    <s v="PÇ"/>
    <n v="17"/>
    <n v="17"/>
    <n v="0"/>
    <n v="0"/>
    <n v="0"/>
    <n v="0.9"/>
    <n v="0.1"/>
    <m/>
    <m/>
    <x v="0"/>
    <n v="0"/>
    <m/>
    <n v="0"/>
    <n v="17"/>
    <m/>
    <n v="0"/>
    <n v="0"/>
    <n v="0"/>
    <m/>
    <m/>
    <m/>
    <n v="0"/>
    <n v="0"/>
    <n v="0"/>
    <n v="0"/>
    <m/>
    <m/>
  </r>
  <r>
    <n v="0"/>
    <s v="CMS S.60.10.000"/>
    <x v="1"/>
    <m/>
    <m/>
    <m/>
    <x v="0"/>
    <m/>
    <m/>
    <x v="0"/>
    <x v="0"/>
    <s v="LINHA DE ALIMENTAÇÃO DOS DISTRIBUIDORES DI-145A-9904/9905/9906/9907/9908"/>
    <s v="SC-026"/>
    <s v="SP 8357 E"/>
    <m/>
    <s v="1450AA-S-58357"/>
    <n v="1"/>
    <s v="PÇ"/>
    <n v="9.5"/>
    <n v="9.5"/>
    <n v="0"/>
    <n v="0"/>
    <n v="0"/>
    <n v="0.9"/>
    <n v="0.1"/>
    <m/>
    <m/>
    <x v="0"/>
    <n v="0"/>
    <m/>
    <n v="0"/>
    <n v="9.5"/>
    <m/>
    <n v="0"/>
    <n v="0"/>
    <n v="0"/>
    <m/>
    <m/>
    <m/>
    <n v="0"/>
    <n v="0"/>
    <n v="0"/>
    <n v="0"/>
    <m/>
    <m/>
  </r>
  <r>
    <n v="0"/>
    <s v="CMS S.60.10.000"/>
    <x v="1"/>
    <m/>
    <m/>
    <m/>
    <x v="0"/>
    <m/>
    <m/>
    <x v="0"/>
    <x v="0"/>
    <s v="LINHA DE ALIMENTAÇÃO DOS DISTRIBUIDORES DI-145A-9904/9905/9906/9907/9908"/>
    <s v="SC-026"/>
    <s v="SP 8357 F"/>
    <m/>
    <s v="1450AA-S-58357"/>
    <n v="2"/>
    <s v="PÇ"/>
    <n v="19.2"/>
    <n v="38.4"/>
    <n v="0"/>
    <n v="0"/>
    <n v="0"/>
    <n v="0.9"/>
    <n v="0.1"/>
    <m/>
    <m/>
    <x v="0"/>
    <n v="0"/>
    <m/>
    <n v="0"/>
    <n v="38.4"/>
    <m/>
    <n v="0"/>
    <n v="0"/>
    <n v="0"/>
    <m/>
    <m/>
    <m/>
    <n v="0"/>
    <n v="0"/>
    <n v="0"/>
    <n v="0"/>
    <m/>
    <m/>
  </r>
  <r>
    <n v="0"/>
    <s v="CMS S.60.10.000"/>
    <x v="1"/>
    <m/>
    <m/>
    <m/>
    <x v="0"/>
    <m/>
    <m/>
    <x v="0"/>
    <x v="0"/>
    <s v="LINHA DE ALIMENTAÇÃO DOS DISTRIBUIDORES DI-145A-9904/9905/9906/9907/9908"/>
    <s v="SC-026"/>
    <s v="SP 8357 G"/>
    <m/>
    <s v="1450AA-S-58357"/>
    <n v="1"/>
    <s v="PÇ"/>
    <n v="26.7"/>
    <n v="26.7"/>
    <n v="0"/>
    <n v="0"/>
    <n v="0"/>
    <n v="0.9"/>
    <n v="0.1"/>
    <m/>
    <m/>
    <x v="0"/>
    <n v="0"/>
    <m/>
    <n v="0"/>
    <n v="26.7"/>
    <m/>
    <n v="0"/>
    <n v="0"/>
    <n v="0"/>
    <m/>
    <m/>
    <m/>
    <n v="0"/>
    <n v="0"/>
    <n v="0"/>
    <n v="0"/>
    <m/>
    <m/>
  </r>
  <r>
    <n v="0"/>
    <s v="CMS S.60.10.000"/>
    <x v="1"/>
    <m/>
    <m/>
    <m/>
    <x v="0"/>
    <m/>
    <m/>
    <x v="0"/>
    <x v="0"/>
    <s v="LINHA DE ALIMENTAÇÃO DOS DISTRIBUIDORES DI-145A-9904/9905/9906/9907/9908"/>
    <s v="SC-026"/>
    <s v="SP 8357 H"/>
    <m/>
    <s v="1450AA-S-58357"/>
    <n v="1"/>
    <s v="PÇ"/>
    <n v="17.5"/>
    <n v="17.5"/>
    <n v="0"/>
    <n v="0"/>
    <n v="0"/>
    <n v="0.9"/>
    <n v="0.1"/>
    <m/>
    <m/>
    <x v="0"/>
    <n v="0"/>
    <m/>
    <n v="0"/>
    <n v="17.5"/>
    <m/>
    <n v="0"/>
    <n v="0"/>
    <n v="0"/>
    <m/>
    <m/>
    <m/>
    <n v="0"/>
    <n v="0"/>
    <n v="0"/>
    <n v="0"/>
    <m/>
    <m/>
  </r>
  <r>
    <n v="0"/>
    <s v="CMS S.60.10.000"/>
    <x v="1"/>
    <m/>
    <m/>
    <m/>
    <x v="0"/>
    <m/>
    <m/>
    <x v="0"/>
    <x v="0"/>
    <s v="LINHA DE ALIMENTAÇÃO DOS DISTRIBUIDORES DI-145A-9904/9905/9906/9907/9908"/>
    <s v="SC-026"/>
    <s v="SP 8357 J"/>
    <m/>
    <s v="1450AA-S-58357"/>
    <n v="1"/>
    <s v="PÇ"/>
    <n v="16.5"/>
    <n v="16.5"/>
    <n v="0"/>
    <n v="0"/>
    <n v="0"/>
    <n v="0.9"/>
    <n v="0.1"/>
    <m/>
    <m/>
    <x v="0"/>
    <n v="0"/>
    <m/>
    <n v="0"/>
    <n v="16.5"/>
    <m/>
    <n v="0"/>
    <n v="0"/>
    <n v="0"/>
    <m/>
    <m/>
    <m/>
    <n v="0"/>
    <n v="0"/>
    <n v="0"/>
    <n v="0"/>
    <m/>
    <m/>
  </r>
  <r>
    <n v="0"/>
    <s v="CMS S.60.10.000"/>
    <x v="1"/>
    <m/>
    <m/>
    <m/>
    <x v="0"/>
    <m/>
    <m/>
    <x v="0"/>
    <x v="0"/>
    <s v="LINHA DE ALIMENTAÇÃO DOS DISTRIBUIDORES DI-145A-9904/9905/9906/9907/9908"/>
    <s v="SC-026"/>
    <s v="SP 8357 K"/>
    <m/>
    <s v="1450AA-S-58357"/>
    <n v="1"/>
    <s v="PÇ"/>
    <n v="9.9"/>
    <n v="9.9"/>
    <n v="0"/>
    <n v="0"/>
    <n v="0"/>
    <n v="0.9"/>
    <n v="0.1"/>
    <m/>
    <m/>
    <x v="0"/>
    <n v="0"/>
    <m/>
    <n v="0"/>
    <n v="9.9"/>
    <m/>
    <n v="0"/>
    <n v="0"/>
    <n v="0"/>
    <m/>
    <m/>
    <m/>
    <n v="0"/>
    <n v="0"/>
    <n v="0"/>
    <n v="0"/>
    <m/>
    <m/>
  </r>
  <r>
    <n v="0"/>
    <s v="CMS S.60.10.000"/>
    <x v="1"/>
    <m/>
    <m/>
    <m/>
    <x v="0"/>
    <m/>
    <m/>
    <x v="0"/>
    <x v="0"/>
    <s v="LINHA DO CIRCUITO ULTRAFINO LINHA DE DESCARGA DO DISTRIBUIDOR DI 145A-9905"/>
    <s v="SC-026"/>
    <s v="SP 8362 A"/>
    <m/>
    <s v="1450AA-S-58362"/>
    <n v="1"/>
    <s v="PÇ"/>
    <n v="9.9"/>
    <n v="9.9"/>
    <n v="0"/>
    <n v="0"/>
    <n v="0"/>
    <n v="0.9"/>
    <n v="0.1"/>
    <m/>
    <m/>
    <x v="0"/>
    <n v="0"/>
    <m/>
    <n v="0"/>
    <n v="9.9"/>
    <m/>
    <n v="0"/>
    <n v="0"/>
    <n v="0"/>
    <m/>
    <m/>
    <m/>
    <n v="0"/>
    <n v="0"/>
    <n v="0"/>
    <n v="0"/>
    <m/>
    <m/>
  </r>
  <r>
    <n v="0"/>
    <s v="CMS S.60.10.000"/>
    <x v="1"/>
    <m/>
    <m/>
    <m/>
    <x v="0"/>
    <m/>
    <m/>
    <x v="0"/>
    <x v="0"/>
    <s v="LINHA DO CIRCUITO ULTRAFINO LINHA DE DESCARGA DO DISTRIBUIDOR DI 145A-9905"/>
    <s v="SC-026"/>
    <s v="SP 8362 B"/>
    <m/>
    <s v="1450AA-S-58362"/>
    <n v="1"/>
    <s v="PÇ"/>
    <n v="34.4"/>
    <n v="34.4"/>
    <n v="0"/>
    <n v="0"/>
    <n v="0"/>
    <n v="0.9"/>
    <n v="0.1"/>
    <m/>
    <m/>
    <x v="0"/>
    <n v="0"/>
    <m/>
    <n v="0"/>
    <n v="34.4"/>
    <m/>
    <n v="0"/>
    <n v="0"/>
    <n v="0"/>
    <m/>
    <m/>
    <m/>
    <n v="0"/>
    <n v="0"/>
    <n v="0"/>
    <n v="0"/>
    <m/>
    <m/>
  </r>
  <r>
    <n v="0"/>
    <s v="CMS S.60.10.000"/>
    <x v="1"/>
    <m/>
    <m/>
    <m/>
    <x v="0"/>
    <m/>
    <m/>
    <x v="0"/>
    <x v="0"/>
    <s v="LINHA DO CIRCUITO ULTRAFINO LINHA DE DESCARGA DO DISTRIBUIDOR DI 145A-9905"/>
    <s v="SC-026"/>
    <s v="SP 8362 C"/>
    <m/>
    <s v="1450AA-S-58362"/>
    <n v="1"/>
    <s v="PÇ"/>
    <n v="22.7"/>
    <n v="22.7"/>
    <n v="0"/>
    <n v="0"/>
    <n v="0"/>
    <n v="0.9"/>
    <n v="0.1"/>
    <m/>
    <m/>
    <x v="0"/>
    <n v="0"/>
    <m/>
    <n v="0"/>
    <n v="22.7"/>
    <m/>
    <n v="0"/>
    <n v="0"/>
    <n v="0"/>
    <m/>
    <m/>
    <m/>
    <n v="0"/>
    <n v="0"/>
    <n v="0"/>
    <n v="0"/>
    <m/>
    <m/>
  </r>
  <r>
    <n v="0"/>
    <s v="CMS S.60.10.000"/>
    <x v="1"/>
    <m/>
    <m/>
    <m/>
    <x v="0"/>
    <m/>
    <m/>
    <x v="0"/>
    <x v="0"/>
    <s v="LINHA DO CIRCUITO ULTRAFINO LINHA DE DESCARGA DO DISTRIBUIDOR DI 145A-9905"/>
    <s v="SC-026"/>
    <s v="SP 8362 D"/>
    <m/>
    <s v="1450AA-S-58362"/>
    <n v="1"/>
    <s v="PÇ"/>
    <n v="3.1"/>
    <n v="3.1"/>
    <n v="0"/>
    <n v="0"/>
    <n v="0"/>
    <n v="0.9"/>
    <n v="0.1"/>
    <m/>
    <m/>
    <x v="0"/>
    <n v="0"/>
    <m/>
    <n v="0"/>
    <n v="3.1"/>
    <m/>
    <n v="0"/>
    <n v="0"/>
    <n v="0"/>
    <m/>
    <m/>
    <m/>
    <n v="0"/>
    <n v="0"/>
    <n v="0"/>
    <n v="0"/>
    <m/>
    <m/>
  </r>
  <r>
    <n v="0"/>
    <s v="CMS S.60.10.000"/>
    <x v="1"/>
    <m/>
    <m/>
    <m/>
    <x v="0"/>
    <m/>
    <m/>
    <x v="0"/>
    <x v="0"/>
    <s v="LINHA DO CIRCUITO ULTRAFINO LINHA DE DESCARGA DO DISTRIBUIDOR DI 145A-9905"/>
    <s v="SC-026"/>
    <s v="SP 8362 E"/>
    <m/>
    <s v="1450AA-S-58362"/>
    <n v="4"/>
    <s v="PÇ"/>
    <n v="38"/>
    <n v="152"/>
    <n v="0"/>
    <n v="0"/>
    <n v="0"/>
    <n v="0.9"/>
    <n v="0.1"/>
    <m/>
    <m/>
    <x v="0"/>
    <n v="0"/>
    <m/>
    <n v="0"/>
    <n v="152"/>
    <m/>
    <n v="0"/>
    <n v="0"/>
    <n v="0"/>
    <m/>
    <m/>
    <m/>
    <n v="0"/>
    <n v="0"/>
    <n v="0"/>
    <n v="0"/>
    <m/>
    <m/>
  </r>
  <r>
    <n v="0"/>
    <s v="CMS S.60.10.000"/>
    <x v="1"/>
    <m/>
    <m/>
    <m/>
    <x v="0"/>
    <m/>
    <m/>
    <x v="0"/>
    <x v="0"/>
    <s v="LINHA DO CIRCUITO ULTRAFINO LINHA DE DESCARGA DO DISTRIBUIDOR DI 145A-9905"/>
    <s v="SC-026"/>
    <s v="SP 8362 F"/>
    <m/>
    <s v="1450AA-S-58362"/>
    <n v="2"/>
    <s v="PÇ"/>
    <n v="41.9"/>
    <n v="83.8"/>
    <n v="0"/>
    <n v="0"/>
    <n v="0"/>
    <n v="0.9"/>
    <n v="0.1"/>
    <m/>
    <m/>
    <x v="0"/>
    <n v="0"/>
    <m/>
    <n v="0"/>
    <n v="83.8"/>
    <m/>
    <n v="0"/>
    <n v="0"/>
    <n v="0"/>
    <m/>
    <m/>
    <m/>
    <n v="0"/>
    <n v="0"/>
    <n v="0"/>
    <n v="0"/>
    <m/>
    <m/>
  </r>
  <r>
    <n v="0"/>
    <s v="CMS S.60.10.000"/>
    <x v="1"/>
    <m/>
    <m/>
    <m/>
    <x v="0"/>
    <m/>
    <m/>
    <x v="0"/>
    <x v="0"/>
    <s v="LINHA DO CIRCUITO ULTRAFINO LINHA DE DESCARGA DO DISTRIBUIDOR DI 145A-9905"/>
    <s v="SC-026"/>
    <s v="SP 8362 L"/>
    <m/>
    <s v="1450AA-S-58362"/>
    <n v="2"/>
    <s v="PÇ"/>
    <n v="13.3"/>
    <n v="26.6"/>
    <n v="0"/>
    <n v="0"/>
    <n v="0"/>
    <n v="0.9"/>
    <n v="0.1"/>
    <m/>
    <m/>
    <x v="0"/>
    <n v="0"/>
    <m/>
    <n v="0"/>
    <n v="26.6"/>
    <m/>
    <n v="0"/>
    <n v="0"/>
    <n v="0"/>
    <m/>
    <m/>
    <m/>
    <n v="0"/>
    <n v="0"/>
    <n v="0"/>
    <n v="0"/>
    <m/>
    <m/>
  </r>
  <r>
    <n v="0"/>
    <s v="CMS S.60.10.000"/>
    <x v="1"/>
    <m/>
    <m/>
    <m/>
    <x v="0"/>
    <m/>
    <m/>
    <x v="0"/>
    <x v="0"/>
    <s v="LINHA DO CIRCUITO ULTRAFINO LINHA DE DESCARGA DO DISTRIBUIDOR DI 145A-9905"/>
    <s v="SC-026"/>
    <s v="SP 8362 M"/>
    <m/>
    <s v="1450AA-S-58362"/>
    <n v="8"/>
    <s v="PÇ"/>
    <n v="14.9"/>
    <n v="119.2"/>
    <n v="0"/>
    <n v="0"/>
    <n v="0"/>
    <n v="0.9"/>
    <n v="0.1"/>
    <m/>
    <m/>
    <x v="0"/>
    <n v="0"/>
    <m/>
    <n v="0"/>
    <n v="119.2"/>
    <m/>
    <n v="0"/>
    <n v="0"/>
    <n v="0"/>
    <m/>
    <m/>
    <m/>
    <n v="0"/>
    <n v="0"/>
    <n v="0"/>
    <n v="0"/>
    <m/>
    <m/>
  </r>
  <r>
    <n v="0"/>
    <s v="CMS S.60.10.000"/>
    <x v="1"/>
    <m/>
    <m/>
    <m/>
    <x v="0"/>
    <m/>
    <m/>
    <x v="0"/>
    <x v="0"/>
    <s v="LINHA DO CIRCUITO ULTRAFINO LINHA DE DESCARGA DO DISTRIBUIDOR DI 145A-9905"/>
    <s v="SC-026"/>
    <s v="SP 8362 N"/>
    <m/>
    <s v="1450AA-S-58362"/>
    <n v="1"/>
    <s v="PÇ"/>
    <n v="11.8"/>
    <n v="11.8"/>
    <n v="0"/>
    <n v="0"/>
    <n v="0"/>
    <n v="0.9"/>
    <n v="0.1"/>
    <m/>
    <m/>
    <x v="0"/>
    <n v="0"/>
    <m/>
    <n v="0"/>
    <n v="11.8"/>
    <m/>
    <n v="0"/>
    <n v="0"/>
    <n v="0"/>
    <m/>
    <m/>
    <m/>
    <n v="0"/>
    <n v="0"/>
    <n v="0"/>
    <n v="0"/>
    <m/>
    <m/>
  </r>
  <r>
    <n v="0"/>
    <s v="CMS S.60.10.000"/>
    <x v="1"/>
    <m/>
    <m/>
    <m/>
    <x v="0"/>
    <m/>
    <m/>
    <x v="0"/>
    <x v="0"/>
    <s v="LINHA DO CIRCUITO ULTRAFINO LINHA DE DESCARGA DO DISTRIBUIDOR DI 145A-9905"/>
    <s v="SC-026"/>
    <s v="SP 8362 P"/>
    <m/>
    <s v="1450AA-S-58362"/>
    <n v="1"/>
    <s v="PÇ"/>
    <n v="63.5"/>
    <n v="63.5"/>
    <n v="0"/>
    <n v="0"/>
    <n v="0"/>
    <n v="0.9"/>
    <n v="0.1"/>
    <m/>
    <m/>
    <x v="0"/>
    <n v="0"/>
    <m/>
    <n v="0"/>
    <n v="63.5"/>
    <m/>
    <n v="0"/>
    <n v="0"/>
    <n v="0"/>
    <m/>
    <m/>
    <m/>
    <n v="0"/>
    <n v="0"/>
    <n v="0"/>
    <n v="0"/>
    <m/>
    <m/>
  </r>
  <r>
    <n v="0"/>
    <s v="CMS S.60.10.000"/>
    <x v="1"/>
    <m/>
    <m/>
    <m/>
    <x v="0"/>
    <m/>
    <m/>
    <x v="0"/>
    <x v="0"/>
    <s v="LINHA DO CIRCUITO ULTRAFINO LINHA DE DESCARGA DO DISTRIBUIDOR DI 145A-9906"/>
    <s v="SC-026"/>
    <s v="SP 8363 A"/>
    <m/>
    <s v="1450AA-S-58363"/>
    <n v="1"/>
    <s v="PÇ"/>
    <n v="11.5"/>
    <n v="11.5"/>
    <n v="0"/>
    <n v="0"/>
    <n v="0"/>
    <n v="0.9"/>
    <n v="0.1"/>
    <m/>
    <m/>
    <x v="0"/>
    <n v="0"/>
    <m/>
    <n v="0"/>
    <n v="11.5"/>
    <m/>
    <n v="0"/>
    <n v="0"/>
    <n v="0"/>
    <m/>
    <m/>
    <m/>
    <n v="0"/>
    <n v="0"/>
    <n v="0"/>
    <n v="0"/>
    <m/>
    <m/>
  </r>
  <r>
    <n v="0"/>
    <s v="CMS S.60.10.000"/>
    <x v="1"/>
    <m/>
    <m/>
    <m/>
    <x v="0"/>
    <m/>
    <m/>
    <x v="0"/>
    <x v="0"/>
    <s v="LINHA DO CIRCUITO ULTRAFINO LINHA DE DESCARGA DO DISTRIBUIDOR DI 145A-9906"/>
    <s v="SC-026"/>
    <s v="SP 8363 B"/>
    <m/>
    <s v="1450AA-S-58363"/>
    <n v="1"/>
    <s v="PÇ"/>
    <n v="9.9"/>
    <n v="9.9"/>
    <n v="0"/>
    <n v="0"/>
    <n v="0"/>
    <n v="0.9"/>
    <n v="0.1"/>
    <m/>
    <m/>
    <x v="0"/>
    <n v="0"/>
    <m/>
    <n v="0"/>
    <n v="9.9"/>
    <m/>
    <n v="0"/>
    <n v="0"/>
    <n v="0"/>
    <m/>
    <m/>
    <m/>
    <n v="0"/>
    <n v="0"/>
    <n v="0"/>
    <n v="0"/>
    <m/>
    <m/>
  </r>
  <r>
    <n v="0"/>
    <s v="CMS S.60.10.000"/>
    <x v="1"/>
    <m/>
    <m/>
    <m/>
    <x v="0"/>
    <m/>
    <m/>
    <x v="0"/>
    <x v="0"/>
    <s v="LINHA DO CIRCUITO ULTRAFINO LINHA DE DESCARGA DO DISTRIBUIDOR DI 145A-9906"/>
    <s v="SC-026"/>
    <s v="SP 8363 C"/>
    <m/>
    <s v="1450AA-S-58363"/>
    <n v="8"/>
    <s v="PÇ"/>
    <n v="7.8"/>
    <n v="62.4"/>
    <n v="0"/>
    <n v="0"/>
    <n v="0"/>
    <n v="0.9"/>
    <n v="0.1"/>
    <m/>
    <m/>
    <x v="0"/>
    <n v="0"/>
    <m/>
    <n v="0"/>
    <n v="62.4"/>
    <m/>
    <n v="0"/>
    <n v="0"/>
    <n v="0"/>
    <m/>
    <m/>
    <m/>
    <n v="0"/>
    <n v="0"/>
    <n v="0"/>
    <n v="0"/>
    <m/>
    <m/>
  </r>
  <r>
    <n v="0"/>
    <s v="CMS S.60.10.000"/>
    <x v="1"/>
    <m/>
    <m/>
    <m/>
    <x v="0"/>
    <m/>
    <m/>
    <x v="0"/>
    <x v="0"/>
    <s v="LINHA DO CIRCUITO ULTRAFINO LINHA DE DESCARGA DO DISTRIBUIDOR DI 145A-9906"/>
    <s v="SC-026"/>
    <s v="SP 8363 D"/>
    <m/>
    <s v="1450AA-S-58363"/>
    <n v="8"/>
    <s v="PÇ"/>
    <n v="10"/>
    <n v="80"/>
    <n v="0"/>
    <n v="0"/>
    <n v="0"/>
    <n v="0.9"/>
    <n v="0.1"/>
    <m/>
    <m/>
    <x v="0"/>
    <n v="0"/>
    <m/>
    <n v="0"/>
    <n v="80"/>
    <m/>
    <n v="0"/>
    <n v="0"/>
    <n v="0"/>
    <m/>
    <m/>
    <m/>
    <n v="0"/>
    <n v="0"/>
    <n v="0"/>
    <n v="0"/>
    <m/>
    <m/>
  </r>
  <r>
    <n v="0"/>
    <s v="CMS S.60.10.000"/>
    <x v="1"/>
    <m/>
    <m/>
    <m/>
    <x v="0"/>
    <m/>
    <m/>
    <x v="0"/>
    <x v="0"/>
    <s v="LINHA DO CIRCUITO ULTRAFINO LINHA DE DESCARGA DO DISTRIBUIDOR DI 145A-9906"/>
    <s v="SC-026"/>
    <s v="SP 8363 E"/>
    <m/>
    <s v="1450AA-S-58363"/>
    <n v="1"/>
    <s v="PÇ"/>
    <n v="12.7"/>
    <n v="12.7"/>
    <n v="0"/>
    <n v="0"/>
    <n v="0"/>
    <n v="0.9"/>
    <n v="0.1"/>
    <m/>
    <m/>
    <x v="0"/>
    <n v="0"/>
    <m/>
    <n v="0"/>
    <n v="12.7"/>
    <m/>
    <n v="0"/>
    <n v="0"/>
    <n v="0"/>
    <m/>
    <m/>
    <m/>
    <n v="0"/>
    <n v="0"/>
    <n v="0"/>
    <n v="0"/>
    <m/>
    <m/>
  </r>
  <r>
    <n v="0"/>
    <s v="CMS S.60.10.000"/>
    <x v="1"/>
    <m/>
    <m/>
    <m/>
    <x v="0"/>
    <m/>
    <m/>
    <x v="0"/>
    <x v="0"/>
    <s v="LINHA DO CIRCUITO ULTRAFINO LINHA DE DESCARGA DO DISTRIBUIDOR DI 145A-9906"/>
    <s v="SC-026"/>
    <s v="SP 8363 F"/>
    <m/>
    <s v="1450AA-S-58363"/>
    <n v="1"/>
    <s v="PÇ"/>
    <n v="11"/>
    <n v="11"/>
    <n v="0"/>
    <n v="0"/>
    <n v="0"/>
    <n v="0.9"/>
    <n v="0.1"/>
    <m/>
    <m/>
    <x v="0"/>
    <n v="0"/>
    <m/>
    <n v="0"/>
    <n v="11"/>
    <m/>
    <n v="0"/>
    <n v="0"/>
    <n v="0"/>
    <m/>
    <m/>
    <m/>
    <n v="0"/>
    <n v="0"/>
    <n v="0"/>
    <n v="0"/>
    <m/>
    <m/>
  </r>
  <r>
    <n v="0"/>
    <s v="CMS S.60.10.000"/>
    <x v="1"/>
    <m/>
    <m/>
    <m/>
    <x v="0"/>
    <m/>
    <m/>
    <x v="0"/>
    <x v="0"/>
    <s v="LINHA DO CIRCUITO ULTRAFINO LINHA DE DESCARGA DO DISTRIBUIDOR DI 145A-9906"/>
    <s v="SC-026"/>
    <s v="SP 8363 G"/>
    <m/>
    <s v="1450AA-S-58363"/>
    <n v="1"/>
    <s v="PÇ"/>
    <n v="0.70000000000000007"/>
    <n v="0.70000000000000007"/>
    <n v="0"/>
    <n v="0"/>
    <n v="0"/>
    <n v="0.9"/>
    <n v="0.1"/>
    <m/>
    <m/>
    <x v="0"/>
    <n v="0"/>
    <m/>
    <n v="0"/>
    <n v="0.70000000000000007"/>
    <m/>
    <n v="0"/>
    <n v="0"/>
    <n v="0"/>
    <m/>
    <m/>
    <m/>
    <n v="0"/>
    <n v="0"/>
    <n v="0"/>
    <n v="0"/>
    <m/>
    <m/>
  </r>
  <r>
    <n v="0"/>
    <s v="CMS S.60.10.000"/>
    <x v="1"/>
    <m/>
    <m/>
    <m/>
    <x v="0"/>
    <m/>
    <m/>
    <x v="0"/>
    <x v="0"/>
    <s v="LINHA DO CIRCUITO ULTRAFINO LINHA DE DESCARGA DO DISTRIBUIDOR DI 145A-9906"/>
    <s v="SC-026"/>
    <s v="SP 8363 K"/>
    <m/>
    <s v="1450AA-S-58363"/>
    <n v="2"/>
    <s v="PÇ"/>
    <n v="10.200000000000001"/>
    <n v="20.400000000000002"/>
    <n v="0"/>
    <n v="0"/>
    <n v="0"/>
    <n v="0.9"/>
    <n v="0.1"/>
    <m/>
    <m/>
    <x v="0"/>
    <n v="0"/>
    <m/>
    <n v="0"/>
    <n v="20.400000000000002"/>
    <m/>
    <n v="0"/>
    <n v="0"/>
    <n v="0"/>
    <m/>
    <m/>
    <m/>
    <n v="0"/>
    <n v="0"/>
    <n v="0"/>
    <n v="0"/>
    <m/>
    <m/>
  </r>
  <r>
    <n v="0"/>
    <s v="CMS S.60.10.000"/>
    <x v="1"/>
    <m/>
    <m/>
    <m/>
    <x v="0"/>
    <m/>
    <m/>
    <x v="0"/>
    <x v="0"/>
    <s v="LINHA DO CIRCUITO ULTRAFINO LINHA DE DESCARGA DO DISTRIBUIDOR DI 145A-9906"/>
    <s v="SC-026"/>
    <s v="SP 8363 L"/>
    <m/>
    <s v="1450AA-S-58363"/>
    <n v="7"/>
    <s v="PÇ"/>
    <n v="85.2"/>
    <n v="596.4"/>
    <n v="0"/>
    <n v="0"/>
    <n v="0"/>
    <n v="0.9"/>
    <n v="0.1"/>
    <m/>
    <m/>
    <x v="0"/>
    <n v="0"/>
    <m/>
    <n v="0"/>
    <n v="596.4"/>
    <m/>
    <n v="0"/>
    <n v="0"/>
    <n v="0"/>
    <m/>
    <m/>
    <m/>
    <n v="0"/>
    <n v="0"/>
    <n v="0"/>
    <n v="0"/>
    <m/>
    <m/>
  </r>
  <r>
    <n v="0"/>
    <s v="CMS S.60.10.000"/>
    <x v="1"/>
    <m/>
    <m/>
    <m/>
    <x v="0"/>
    <m/>
    <m/>
    <x v="0"/>
    <x v="0"/>
    <s v="LINHA DO CIRCUITO ULTRAFINO LINHA DE DESCARGA DO DISTRIBUIDOR DI 145A-9906"/>
    <s v="SC-026"/>
    <s v="SP 8363 M"/>
    <m/>
    <s v="1450AA-S-58363"/>
    <n v="4"/>
    <s v="PÇ"/>
    <n v="3.4"/>
    <n v="13.6"/>
    <n v="0"/>
    <n v="0"/>
    <n v="0"/>
    <n v="0.9"/>
    <n v="0.1"/>
    <m/>
    <m/>
    <x v="0"/>
    <n v="0"/>
    <m/>
    <n v="0"/>
    <n v="13.6"/>
    <m/>
    <n v="0"/>
    <n v="0"/>
    <n v="0"/>
    <m/>
    <m/>
    <m/>
    <n v="0"/>
    <n v="0"/>
    <n v="0"/>
    <n v="0"/>
    <m/>
    <m/>
  </r>
  <r>
    <n v="0"/>
    <s v="CMS S.60.10.000"/>
    <x v="1"/>
    <m/>
    <m/>
    <m/>
    <x v="0"/>
    <m/>
    <m/>
    <x v="0"/>
    <x v="0"/>
    <s v="LINHA DO CIRCUITO ULTRAFINO LINHA DE DESCARGA DO DISTRIBUIDOR DI 145A-9906"/>
    <s v="SC-026"/>
    <s v="SP 8363 N"/>
    <m/>
    <s v="1450AA-S-58363"/>
    <n v="14"/>
    <s v="PÇ"/>
    <n v="44.6"/>
    <n v="624.4"/>
    <n v="0"/>
    <n v="0"/>
    <n v="0"/>
    <n v="0.9"/>
    <n v="0.1"/>
    <m/>
    <m/>
    <x v="0"/>
    <n v="0"/>
    <m/>
    <n v="0"/>
    <n v="624.4"/>
    <m/>
    <n v="0"/>
    <n v="0"/>
    <n v="0"/>
    <m/>
    <m/>
    <m/>
    <n v="0"/>
    <n v="0"/>
    <n v="0"/>
    <n v="0"/>
    <m/>
    <m/>
  </r>
  <r>
    <n v="0"/>
    <s v="CMS S.60.10.000"/>
    <x v="1"/>
    <m/>
    <m/>
    <m/>
    <x v="0"/>
    <m/>
    <m/>
    <x v="0"/>
    <x v="0"/>
    <s v="LINHA DO CIRCUITO ULTRAFINO LINHA DE DESCARGA DO DISTRIBUIDOR DI 145A-9906"/>
    <s v="SC-026"/>
    <s v="SP 8363 P"/>
    <m/>
    <s v="1450AA-S-58363"/>
    <n v="2"/>
    <s v="PÇ"/>
    <n v="7.5"/>
    <n v="15"/>
    <n v="0"/>
    <n v="0"/>
    <n v="0"/>
    <n v="0.9"/>
    <n v="0.1"/>
    <m/>
    <m/>
    <x v="0"/>
    <n v="0"/>
    <m/>
    <n v="0"/>
    <n v="15"/>
    <m/>
    <n v="0"/>
    <n v="0"/>
    <n v="0"/>
    <m/>
    <m/>
    <m/>
    <n v="0"/>
    <n v="0"/>
    <n v="0"/>
    <n v="0"/>
    <m/>
    <m/>
  </r>
  <r>
    <n v="0"/>
    <s v="CMS S.60.10.000"/>
    <x v="1"/>
    <m/>
    <m/>
    <m/>
    <x v="0"/>
    <m/>
    <m/>
    <x v="0"/>
    <x v="0"/>
    <s v="LINHA DO CIRCUITO ULTRAFINO LINHA DE DESCARGA DO DISTRIBUIDOR DI 145A-9906"/>
    <s v="SC-026"/>
    <s v="SP 8363 Q"/>
    <m/>
    <s v="1450AA-S-58363"/>
    <n v="2"/>
    <s v="PÇ"/>
    <n v="5.6000000000000005"/>
    <n v="11.200000000000001"/>
    <n v="0"/>
    <n v="0"/>
    <n v="0"/>
    <n v="0.9"/>
    <n v="0.1"/>
    <m/>
    <m/>
    <x v="0"/>
    <n v="0"/>
    <m/>
    <n v="0"/>
    <n v="11.200000000000001"/>
    <m/>
    <n v="0"/>
    <n v="0"/>
    <n v="0"/>
    <m/>
    <m/>
    <m/>
    <n v="0"/>
    <n v="0"/>
    <n v="0"/>
    <n v="0"/>
    <m/>
    <m/>
  </r>
  <r>
    <n v="0"/>
    <s v="CMS S.60.10.000"/>
    <x v="1"/>
    <m/>
    <m/>
    <m/>
    <x v="0"/>
    <m/>
    <m/>
    <x v="0"/>
    <x v="0"/>
    <s v="LINHA DO CIRCUITO ULTRAFINO LINHA DE DESCARGA DO DISTRIBUIDOR DI 145A-9906"/>
    <s v="SC-026"/>
    <s v="SP 8363 R"/>
    <m/>
    <s v="1450AA-S-58363"/>
    <n v="7"/>
    <s v="PÇ"/>
    <n v="3.6"/>
    <n v="25.2"/>
    <n v="0"/>
    <n v="0"/>
    <n v="0"/>
    <n v="0.9"/>
    <n v="0.1"/>
    <m/>
    <m/>
    <x v="0"/>
    <n v="0"/>
    <m/>
    <n v="0"/>
    <n v="25.2"/>
    <m/>
    <n v="0"/>
    <n v="0"/>
    <n v="0"/>
    <m/>
    <m/>
    <m/>
    <n v="0"/>
    <n v="0"/>
    <n v="0"/>
    <n v="0"/>
    <m/>
    <m/>
  </r>
  <r>
    <n v="0"/>
    <s v="CMS S.60.10.000"/>
    <x v="1"/>
    <m/>
    <m/>
    <m/>
    <x v="0"/>
    <m/>
    <m/>
    <x v="0"/>
    <x v="0"/>
    <s v="LINHA DO CIRCUITO ULTRAFINO LINHA DE DESCARGA DO DISTRIBUIDOR DI 145A-9906"/>
    <s v="SC-026"/>
    <s v="SP 8363 S"/>
    <m/>
    <s v="1450AA-S-58363"/>
    <n v="1"/>
    <s v="PÇ"/>
    <n v="25.5"/>
    <n v="25.5"/>
    <n v="0"/>
    <n v="0"/>
    <n v="0"/>
    <n v="0.9"/>
    <n v="0.1"/>
    <m/>
    <m/>
    <x v="0"/>
    <n v="0"/>
    <m/>
    <n v="0"/>
    <n v="25.5"/>
    <m/>
    <n v="0"/>
    <n v="0"/>
    <n v="0"/>
    <m/>
    <m/>
    <m/>
    <n v="0"/>
    <n v="0"/>
    <n v="0"/>
    <n v="0"/>
    <m/>
    <m/>
  </r>
  <r>
    <n v="0"/>
    <s v="CMS S.60.10.000"/>
    <x v="1"/>
    <m/>
    <m/>
    <m/>
    <x v="0"/>
    <m/>
    <m/>
    <x v="0"/>
    <x v="0"/>
    <s v="LINHA DO CIRCUITO ULTRAFINO LINHA DE DESCARGA DO DISTRIBUIDOR DI 145A-9906"/>
    <s v="SC-026"/>
    <s v="SP 8363 T"/>
    <m/>
    <s v="1450AA-S-58363"/>
    <n v="1"/>
    <s v="PÇ"/>
    <n v="21.5"/>
    <n v="21.5"/>
    <n v="0"/>
    <n v="0"/>
    <n v="0"/>
    <n v="0.9"/>
    <n v="0.1"/>
    <m/>
    <m/>
    <x v="0"/>
    <n v="0"/>
    <m/>
    <n v="0"/>
    <n v="21.5"/>
    <m/>
    <n v="0"/>
    <n v="0"/>
    <n v="0"/>
    <m/>
    <m/>
    <m/>
    <n v="0"/>
    <n v="0"/>
    <n v="0"/>
    <n v="0"/>
    <m/>
    <m/>
  </r>
  <r>
    <n v="0"/>
    <s v="CMS S.60.10.000"/>
    <x v="1"/>
    <m/>
    <m/>
    <m/>
    <x v="0"/>
    <m/>
    <m/>
    <x v="0"/>
    <x v="0"/>
    <s v="LINHA DO CIRCUITO ULTRAFINO LINHA DE DESCARGA DO DISTRIBUIDOR DI 145A-9906"/>
    <s v="SC-026"/>
    <s v="SP 8363 U"/>
    <m/>
    <s v="1450AA-S-58363"/>
    <n v="4"/>
    <s v="PÇ"/>
    <n v="21.4"/>
    <n v="85.6"/>
    <n v="0"/>
    <n v="0"/>
    <n v="0"/>
    <n v="0.9"/>
    <n v="0.1"/>
    <m/>
    <m/>
    <x v="0"/>
    <n v="0"/>
    <m/>
    <n v="0"/>
    <n v="85.6"/>
    <m/>
    <n v="0"/>
    <n v="0"/>
    <n v="0"/>
    <m/>
    <m/>
    <m/>
    <n v="0"/>
    <n v="0"/>
    <n v="0"/>
    <n v="0"/>
    <m/>
    <m/>
  </r>
  <r>
    <n v="0"/>
    <s v="CMS S.60.10.000"/>
    <x v="1"/>
    <m/>
    <m/>
    <m/>
    <x v="0"/>
    <m/>
    <m/>
    <x v="0"/>
    <x v="0"/>
    <s v="LINHA DO CIRCUITO ULTRAFINO LINHA DE DESCARGA DO DISTRIBUIDOR DI 145A-9906"/>
    <s v="SC-026"/>
    <s v="SP 8363 V"/>
    <m/>
    <s v="1450AA-S-58363"/>
    <n v="4"/>
    <s v="PÇ"/>
    <n v="8.1999999999999993"/>
    <n v="32.799999999999997"/>
    <n v="0"/>
    <n v="0"/>
    <n v="0"/>
    <n v="0.9"/>
    <n v="0.1"/>
    <m/>
    <m/>
    <x v="0"/>
    <n v="0"/>
    <m/>
    <n v="0"/>
    <n v="32.799999999999997"/>
    <m/>
    <n v="0"/>
    <n v="0"/>
    <n v="0"/>
    <m/>
    <m/>
    <m/>
    <n v="0"/>
    <n v="0"/>
    <n v="0"/>
    <n v="0"/>
    <m/>
    <m/>
  </r>
  <r>
    <n v="0"/>
    <s v="CMS S.60.10.000"/>
    <x v="1"/>
    <m/>
    <m/>
    <m/>
    <x v="0"/>
    <m/>
    <m/>
    <x v="0"/>
    <x v="0"/>
    <s v="LINHA DO CIRCUITO ULTRAFINO LINHA DE DESCARGA DO DISTRIBUIDOR DI 145A-9906"/>
    <s v="SC-026"/>
    <s v="SP 8363 W"/>
    <m/>
    <s v="1450AA-S-58363"/>
    <n v="2"/>
    <s v="PÇ"/>
    <n v="9.3000000000000007"/>
    <n v="18.600000000000001"/>
    <n v="0"/>
    <n v="0"/>
    <n v="0"/>
    <n v="0.9"/>
    <n v="0.1"/>
    <m/>
    <m/>
    <x v="0"/>
    <n v="0"/>
    <m/>
    <n v="0"/>
    <n v="18.600000000000001"/>
    <m/>
    <n v="0"/>
    <n v="0"/>
    <n v="0"/>
    <m/>
    <m/>
    <m/>
    <n v="0"/>
    <n v="0"/>
    <n v="0"/>
    <n v="0"/>
    <m/>
    <m/>
  </r>
  <r>
    <n v="0"/>
    <s v="CMS S.60.10.000"/>
    <x v="1"/>
    <m/>
    <m/>
    <m/>
    <x v="0"/>
    <m/>
    <m/>
    <x v="0"/>
    <x v="0"/>
    <s v="LINHA DO CIRCUITO ULTRAFINO LINHA DE DESCARGA DO DISTRIBUIDOR DI 145A-9906"/>
    <s v="SC-026"/>
    <s v="SP 8363 X"/>
    <m/>
    <s v="1450AA-S-58363"/>
    <n v="2"/>
    <s v="PÇ"/>
    <n v="16.3"/>
    <n v="32.6"/>
    <n v="0"/>
    <n v="0"/>
    <n v="0"/>
    <n v="0.9"/>
    <n v="0.1"/>
    <m/>
    <m/>
    <x v="0"/>
    <n v="0"/>
    <m/>
    <n v="0"/>
    <n v="32.6"/>
    <m/>
    <n v="0"/>
    <n v="0"/>
    <n v="0"/>
    <m/>
    <m/>
    <m/>
    <n v="0"/>
    <n v="0"/>
    <n v="0"/>
    <n v="0"/>
    <m/>
    <m/>
  </r>
  <r>
    <n v="0"/>
    <s v="CMS S.60.10.000"/>
    <x v="1"/>
    <m/>
    <m/>
    <m/>
    <x v="0"/>
    <m/>
    <m/>
    <x v="0"/>
    <x v="0"/>
    <s v="LINHA DO CIRCUITO ULTRAFINO LINHA DE DESCARGA DO DISTRIBUIDOR DI 145A-9906"/>
    <s v="SC-026"/>
    <s v="SP 8363 Y"/>
    <m/>
    <s v="1450AA-S-58363"/>
    <n v="1"/>
    <s v="PÇ"/>
    <n v="10.5"/>
    <n v="10.5"/>
    <n v="0"/>
    <n v="0"/>
    <n v="0"/>
    <n v="0.9"/>
    <n v="0.1"/>
    <m/>
    <m/>
    <x v="0"/>
    <n v="0"/>
    <m/>
    <n v="0"/>
    <n v="10.5"/>
    <m/>
    <n v="0"/>
    <n v="0"/>
    <n v="0"/>
    <m/>
    <m/>
    <m/>
    <n v="0"/>
    <n v="0"/>
    <n v="0"/>
    <n v="0"/>
    <m/>
    <m/>
  </r>
  <r>
    <n v="0"/>
    <s v="CMS S.60.10.000"/>
    <x v="1"/>
    <m/>
    <m/>
    <m/>
    <x v="0"/>
    <m/>
    <m/>
    <x v="0"/>
    <x v="0"/>
    <s v="LINHA DO CIRCUITO ULTRAFINO LINHA DE DESCARGA DO DISTRIBUIDOR DI 145A-9906"/>
    <s v="SC-026"/>
    <s v="SP 8363 Z"/>
    <m/>
    <s v="1450AA-S-58363"/>
    <n v="4"/>
    <s v="PÇ"/>
    <n v="21.2"/>
    <n v="84.8"/>
    <n v="0"/>
    <n v="0"/>
    <n v="0"/>
    <n v="0.9"/>
    <n v="0.1"/>
    <m/>
    <m/>
    <x v="0"/>
    <n v="0"/>
    <m/>
    <n v="0"/>
    <n v="84.8"/>
    <m/>
    <n v="0"/>
    <n v="0"/>
    <n v="0"/>
    <m/>
    <m/>
    <m/>
    <n v="0"/>
    <n v="0"/>
    <n v="0"/>
    <n v="0"/>
    <m/>
    <m/>
  </r>
  <r>
    <n v="0"/>
    <s v="CMS S.60.10.000"/>
    <x v="1"/>
    <m/>
    <m/>
    <m/>
    <x v="0"/>
    <m/>
    <m/>
    <x v="0"/>
    <x v="0"/>
    <s v="LINHA DO CIRCUITO ULTRAFINO LINHA DE DESCARGA DO DISTRIBUIDOR DI 145A-9906"/>
    <s v="SC-026"/>
    <s v="SP 8363 AA"/>
    <m/>
    <s v="1450AA-S-58363"/>
    <n v="2"/>
    <s v="PÇ"/>
    <n v="1.3"/>
    <n v="2.6"/>
    <n v="0"/>
    <n v="0"/>
    <n v="0"/>
    <n v="0.9"/>
    <n v="0.1"/>
    <m/>
    <m/>
    <x v="0"/>
    <n v="0"/>
    <m/>
    <n v="0"/>
    <n v="2.6"/>
    <m/>
    <n v="0"/>
    <n v="0"/>
    <n v="0"/>
    <m/>
    <m/>
    <m/>
    <n v="0"/>
    <n v="0"/>
    <n v="0"/>
    <n v="0"/>
    <m/>
    <m/>
  </r>
  <r>
    <n v="0"/>
    <s v="CMS S.60.10.000"/>
    <x v="1"/>
    <m/>
    <m/>
    <m/>
    <x v="0"/>
    <m/>
    <m/>
    <x v="0"/>
    <x v="0"/>
    <s v="LINHA DE ALIMENTAÇÃO DOS DISTRIBUIDORES DI-145A-9904/9905/9906/9907/9908"/>
    <s v="SC-026"/>
    <s v="SP 8358 A"/>
    <m/>
    <s v="1450AA-S-58358"/>
    <n v="2"/>
    <s v="PÇ"/>
    <n v="12.1"/>
    <n v="24.2"/>
    <n v="0"/>
    <n v="0"/>
    <n v="0"/>
    <n v="0.9"/>
    <n v="0.1"/>
    <m/>
    <m/>
    <x v="0"/>
    <n v="0"/>
    <m/>
    <n v="0"/>
    <n v="24.2"/>
    <m/>
    <n v="0"/>
    <n v="0"/>
    <n v="0"/>
    <m/>
    <m/>
    <m/>
    <n v="0"/>
    <n v="0"/>
    <n v="0"/>
    <n v="0"/>
    <m/>
    <m/>
  </r>
  <r>
    <n v="0"/>
    <s v="CMS S.60.10.000"/>
    <x v="1"/>
    <m/>
    <m/>
    <m/>
    <x v="0"/>
    <m/>
    <m/>
    <x v="0"/>
    <x v="0"/>
    <s v="LINHA DE ALIMENTAÇÃO DOS DISTRIBUIDORES DI-145A-9904/9905/9906/9907/9908"/>
    <s v="SC-026"/>
    <s v="SP 8358 B"/>
    <m/>
    <s v="1450AA-S-58358"/>
    <n v="2"/>
    <s v="PÇ"/>
    <n v="11.8"/>
    <n v="23.6"/>
    <n v="0"/>
    <n v="0"/>
    <n v="0"/>
    <n v="0.9"/>
    <n v="0.1"/>
    <m/>
    <m/>
    <x v="0"/>
    <n v="0"/>
    <m/>
    <n v="0"/>
    <n v="23.6"/>
    <m/>
    <n v="0"/>
    <n v="0"/>
    <n v="0"/>
    <m/>
    <m/>
    <m/>
    <n v="0"/>
    <n v="0"/>
    <n v="0"/>
    <n v="0"/>
    <m/>
    <m/>
  </r>
  <r>
    <n v="0"/>
    <s v="CMS S.60.10.000"/>
    <x v="1"/>
    <m/>
    <m/>
    <m/>
    <x v="0"/>
    <m/>
    <m/>
    <x v="0"/>
    <x v="0"/>
    <s v="LINHA DE ALIMENTAÇÃO DOS DISTRIBUIDORES DI-145A-9904/9905/9906/9907/9908"/>
    <s v="SC-026"/>
    <s v="SP 8358 C"/>
    <m/>
    <s v="1450AA-S-58358"/>
    <n v="1"/>
    <s v="PÇ"/>
    <n v="12"/>
    <n v="12"/>
    <n v="0"/>
    <n v="0"/>
    <n v="0"/>
    <n v="0.9"/>
    <n v="0.1"/>
    <m/>
    <m/>
    <x v="0"/>
    <n v="0"/>
    <m/>
    <n v="0"/>
    <n v="12"/>
    <m/>
    <n v="0"/>
    <n v="0"/>
    <n v="0"/>
    <m/>
    <m/>
    <m/>
    <n v="0"/>
    <n v="0"/>
    <n v="0"/>
    <n v="0"/>
    <m/>
    <m/>
  </r>
  <r>
    <n v="0"/>
    <s v="CMS S.60.10.000"/>
    <x v="1"/>
    <m/>
    <m/>
    <m/>
    <x v="0"/>
    <m/>
    <m/>
    <x v="0"/>
    <x v="0"/>
    <s v="LINHA DE ALIMENTAÇÃO DOS DISTRIBUIDORES DI-145A-9904/9905/9906/9907/9908"/>
    <s v="SC-026"/>
    <s v="SP 8358 D"/>
    <m/>
    <s v="1450AA-S-58358"/>
    <n v="1"/>
    <s v="PÇ"/>
    <n v="13.3"/>
    <n v="13.3"/>
    <n v="0"/>
    <n v="0"/>
    <n v="0"/>
    <n v="0.9"/>
    <n v="0.1"/>
    <m/>
    <m/>
    <x v="0"/>
    <n v="0"/>
    <m/>
    <n v="0"/>
    <n v="13.3"/>
    <m/>
    <n v="0"/>
    <n v="0"/>
    <n v="0"/>
    <m/>
    <m/>
    <m/>
    <n v="0"/>
    <n v="0"/>
    <n v="0"/>
    <n v="0"/>
    <m/>
    <m/>
  </r>
  <r>
    <n v="0"/>
    <s v="CMS S.60.10.000"/>
    <x v="1"/>
    <m/>
    <m/>
    <m/>
    <x v="0"/>
    <m/>
    <m/>
    <x v="0"/>
    <x v="0"/>
    <s v="LINHA DE ALIMENTAÇÃO DOS DISTRIBUIDORES DI-145A-9904/9905/9906/9907/9908"/>
    <s v="SC-026"/>
    <s v="SP 8358 E"/>
    <m/>
    <s v="1450AA-S-58358"/>
    <n v="1"/>
    <s v="PÇ"/>
    <n v="13.200000000000001"/>
    <n v="13.200000000000001"/>
    <n v="0"/>
    <n v="0"/>
    <n v="0"/>
    <n v="0.9"/>
    <n v="0.1"/>
    <m/>
    <m/>
    <x v="0"/>
    <n v="0"/>
    <m/>
    <n v="0"/>
    <n v="13.200000000000001"/>
    <m/>
    <n v="0"/>
    <n v="0"/>
    <n v="0"/>
    <m/>
    <m/>
    <m/>
    <n v="0"/>
    <n v="0"/>
    <n v="0"/>
    <n v="0"/>
    <m/>
    <m/>
  </r>
  <r>
    <n v="0"/>
    <s v="CMS S.60.10.000"/>
    <x v="1"/>
    <m/>
    <m/>
    <m/>
    <x v="0"/>
    <m/>
    <m/>
    <x v="0"/>
    <x v="0"/>
    <s v="LINHA DE ALIMENTAÇÃO DOS DISTRIBUIDORES DI-145A-9904/9905/9906/9907/9908"/>
    <s v="SC-026"/>
    <s v="SP 8358 F"/>
    <m/>
    <s v="1450AA-S-58358"/>
    <n v="1"/>
    <s v="PÇ"/>
    <n v="16.399999999999999"/>
    <n v="16.399999999999999"/>
    <n v="0"/>
    <n v="0"/>
    <n v="0"/>
    <n v="0.9"/>
    <n v="0.1"/>
    <m/>
    <m/>
    <x v="0"/>
    <n v="0"/>
    <m/>
    <n v="0"/>
    <n v="16.399999999999999"/>
    <m/>
    <n v="0"/>
    <n v="0"/>
    <n v="0"/>
    <m/>
    <m/>
    <m/>
    <n v="0"/>
    <n v="0"/>
    <n v="0"/>
    <n v="0"/>
    <m/>
    <m/>
  </r>
  <r>
    <n v="0"/>
    <s v="CMS S.60.10.000"/>
    <x v="1"/>
    <m/>
    <m/>
    <m/>
    <x v="0"/>
    <m/>
    <m/>
    <x v="0"/>
    <x v="0"/>
    <s v="LINHA DE ALIMENTAÇÃO DOS DISTRIBUIDORES DI-145A-9904/9905/9906/9907/9908"/>
    <s v="SC-026"/>
    <s v="SP 8358 G"/>
    <m/>
    <s v="1450AA-S-58358"/>
    <n v="1"/>
    <s v="PÇ"/>
    <n v="14.799999999999999"/>
    <n v="14.799999999999999"/>
    <n v="0"/>
    <n v="0"/>
    <n v="0"/>
    <n v="0.9"/>
    <n v="0.1"/>
    <m/>
    <m/>
    <x v="0"/>
    <n v="0"/>
    <m/>
    <n v="0"/>
    <n v="14.799999999999999"/>
    <m/>
    <n v="0"/>
    <n v="0"/>
    <n v="0"/>
    <m/>
    <m/>
    <m/>
    <n v="0"/>
    <n v="0"/>
    <n v="0"/>
    <n v="0"/>
    <m/>
    <m/>
  </r>
  <r>
    <n v="0"/>
    <s v="CMS S.60.10.000"/>
    <x v="1"/>
    <m/>
    <m/>
    <m/>
    <x v="0"/>
    <m/>
    <m/>
    <x v="0"/>
    <x v="0"/>
    <s v="LINHA DE ALIMENTAÇÃO DOS DISTRIBUIDORES DI-145A-9904/9905/9906/9907/9908"/>
    <s v="SC-026"/>
    <s v="SP 8358 H"/>
    <m/>
    <s v="1450AA-S-58358"/>
    <n v="4"/>
    <s v="PÇ"/>
    <n v="180.3"/>
    <n v="721.2"/>
    <n v="0"/>
    <n v="0"/>
    <n v="0"/>
    <n v="0.9"/>
    <n v="0.1"/>
    <m/>
    <m/>
    <x v="0"/>
    <n v="0"/>
    <m/>
    <n v="0"/>
    <n v="721.2"/>
    <m/>
    <n v="0"/>
    <n v="0"/>
    <n v="0"/>
    <m/>
    <m/>
    <m/>
    <n v="0"/>
    <n v="0"/>
    <n v="0"/>
    <n v="0"/>
    <m/>
    <m/>
  </r>
  <r>
    <n v="0"/>
    <s v="CMS S.60.10.000"/>
    <x v="1"/>
    <m/>
    <m/>
    <m/>
    <x v="0"/>
    <m/>
    <m/>
    <x v="0"/>
    <x v="0"/>
    <s v="LINHA DE ALIMENTAÇÃO DOS DISTRIBUIDORES DI-145A-9904/9905/9906/9907/9908"/>
    <s v="SC-026"/>
    <s v="SP 8358 J"/>
    <m/>
    <s v="1450AA-S-58358"/>
    <n v="8"/>
    <s v="PÇ"/>
    <n v="69.900000000000006"/>
    <n v="559.20000000000005"/>
    <n v="0"/>
    <n v="0"/>
    <n v="0"/>
    <n v="0.9"/>
    <n v="0.1"/>
    <m/>
    <m/>
    <x v="0"/>
    <n v="0"/>
    <m/>
    <n v="0"/>
    <n v="559.20000000000005"/>
    <m/>
    <n v="0"/>
    <n v="0"/>
    <n v="0"/>
    <m/>
    <m/>
    <m/>
    <n v="0"/>
    <n v="0"/>
    <n v="0"/>
    <n v="0"/>
    <m/>
    <m/>
  </r>
  <r>
    <n v="0"/>
    <s v="CMS S.60.10.000"/>
    <x v="1"/>
    <m/>
    <m/>
    <m/>
    <x v="0"/>
    <m/>
    <m/>
    <x v="0"/>
    <x v="0"/>
    <s v="LINHA DE ALIMENTAÇÃO DOS DISTRIBUIDORES DI-145A-9904/9905/9906/9907/9908"/>
    <s v="SC-026"/>
    <s v="SP 8358 K"/>
    <m/>
    <s v="1450AA-S-58358"/>
    <n v="14"/>
    <s v="PÇ"/>
    <n v="58.9"/>
    <n v="824.6"/>
    <n v="0"/>
    <n v="0"/>
    <n v="0"/>
    <n v="0.9"/>
    <n v="0.1"/>
    <m/>
    <m/>
    <x v="0"/>
    <n v="0"/>
    <m/>
    <n v="0"/>
    <n v="824.6"/>
    <m/>
    <n v="0"/>
    <n v="0"/>
    <n v="0"/>
    <m/>
    <m/>
    <m/>
    <n v="0"/>
    <n v="0"/>
    <n v="0"/>
    <n v="0"/>
    <m/>
    <m/>
  </r>
  <r>
    <n v="0"/>
    <s v="CMS S.60.10.000"/>
    <x v="1"/>
    <m/>
    <m/>
    <m/>
    <x v="0"/>
    <m/>
    <m/>
    <x v="0"/>
    <x v="0"/>
    <s v="LINHA DE ALIMENTAÇÃO DOS DISTRIBUIDORES DI-145A-9904/9905/9906/9907/9908"/>
    <s v="SC-026"/>
    <s v="SP 8358 L"/>
    <m/>
    <s v="1450AA-S-58358"/>
    <n v="2"/>
    <s v="PÇ"/>
    <n v="23.8"/>
    <n v="47.6"/>
    <n v="0"/>
    <n v="0"/>
    <n v="0"/>
    <n v="0.9"/>
    <n v="0.1"/>
    <m/>
    <m/>
    <x v="0"/>
    <n v="0"/>
    <m/>
    <n v="0"/>
    <n v="47.6"/>
    <m/>
    <n v="0"/>
    <n v="0"/>
    <n v="0"/>
    <m/>
    <m/>
    <m/>
    <n v="0"/>
    <n v="0"/>
    <n v="0"/>
    <n v="0"/>
    <m/>
    <m/>
  </r>
  <r>
    <m/>
    <m/>
    <x v="0"/>
    <m/>
    <m/>
    <m/>
    <x v="0"/>
    <m/>
    <m/>
    <x v="0"/>
    <x v="0"/>
    <m/>
    <m/>
    <m/>
    <m/>
    <m/>
    <m/>
    <m/>
    <m/>
    <m/>
    <m/>
    <m/>
    <m/>
    <m/>
    <m/>
    <m/>
    <m/>
    <x v="0"/>
    <m/>
    <m/>
    <m/>
    <m/>
    <m/>
    <m/>
    <m/>
    <m/>
    <m/>
    <m/>
    <m/>
    <m/>
    <m/>
    <m/>
    <m/>
    <m/>
    <m/>
  </r>
  <r>
    <s v="2.4.3.1.6"/>
    <s v="CMS M.60.10.000"/>
    <x v="2"/>
    <n v="1"/>
    <s v="SPOOL"/>
    <n v="16"/>
    <x v="1"/>
    <s v="SIM"/>
    <s v="NÃO"/>
    <x v="1"/>
    <x v="1"/>
    <s v="UNDER DO HIDROCICLONE HC- 145A-9913 PARA DISTRIBUIDOR DI- 145A-9911"/>
    <m/>
    <m/>
    <m/>
    <s v="1450AA-T-70215_FL10"/>
    <n v="1"/>
    <s v="PÇ"/>
    <n v="0.48499999999999999"/>
    <n v="0.48499999999999999"/>
    <n v="3249.8"/>
    <n v="1576.153"/>
    <n v="0"/>
    <n v="0.9"/>
    <n v="0.1"/>
    <n v="1"/>
    <n v="1"/>
    <x v="1"/>
    <n v="0.48499999999999999"/>
    <m/>
    <n v="0.48499999999999999"/>
    <n v="0"/>
    <m/>
    <n v="0.4"/>
    <n v="0.5"/>
    <n v="0.1"/>
    <n v="1"/>
    <n v="1"/>
    <n v="1"/>
    <n v="1576.153"/>
    <n v="0"/>
    <n v="1576.153"/>
    <n v="0"/>
    <m/>
    <m/>
  </r>
  <r>
    <s v="2.4.3.1.6"/>
    <s v="CMS M.60.10.000"/>
    <x v="2"/>
    <n v="3"/>
    <s v="SPOOL"/>
    <n v="16"/>
    <x v="2"/>
    <s v="NÃO"/>
    <s v="NÃO"/>
    <x v="1"/>
    <x v="1"/>
    <s v="UNDER DO HIDROCICLONE HC- 145A-9913 PARA DISTRIBUIDOR DI- 145A-9911"/>
    <m/>
    <m/>
    <m/>
    <s v="1450AA-T-70215_FL09"/>
    <n v="1"/>
    <s v="PÇ"/>
    <n v="0.59"/>
    <n v="0.59"/>
    <n v="3249.8"/>
    <n v="1917.3820000000001"/>
    <n v="0"/>
    <n v="0.9"/>
    <n v="0.1"/>
    <n v="1"/>
    <n v="1"/>
    <x v="1"/>
    <n v="0.59"/>
    <m/>
    <n v="0.59"/>
    <n v="0"/>
    <m/>
    <n v="0.4"/>
    <n v="0.5"/>
    <n v="0.1"/>
    <n v="1"/>
    <n v="1"/>
    <n v="1"/>
    <n v="1917.3820000000001"/>
    <n v="0"/>
    <n v="1917.3820000000001"/>
    <n v="0"/>
    <m/>
    <m/>
  </r>
  <r>
    <s v="2.4.3.1.6"/>
    <s v="CMS M.60.10.000"/>
    <x v="2"/>
    <n v="4"/>
    <s v="SPOOL"/>
    <n v="16"/>
    <x v="1"/>
    <s v="NÃO"/>
    <s v="NÃO"/>
    <x v="1"/>
    <x v="1"/>
    <s v="UNDER DO HIDROCICLONE HC- 145A-9913 PARA DISTRIBUIDOR DI- 145A-9911"/>
    <m/>
    <m/>
    <m/>
    <s v="1450AA-T-70215_FL07"/>
    <n v="1"/>
    <s v="PÇ"/>
    <n v="4"/>
    <n v="4"/>
    <n v="3249.8"/>
    <n v="12999.2"/>
    <n v="0"/>
    <n v="0.9"/>
    <n v="0.1"/>
    <n v="1"/>
    <n v="1"/>
    <x v="1"/>
    <n v="4"/>
    <m/>
    <n v="4"/>
    <n v="0"/>
    <m/>
    <n v="0.4"/>
    <n v="0.5"/>
    <n v="0.1"/>
    <n v="1"/>
    <n v="1"/>
    <n v="1"/>
    <n v="12999.2"/>
    <n v="0"/>
    <n v="12999.2"/>
    <n v="0"/>
    <m/>
    <m/>
  </r>
  <r>
    <s v="2.4.3.1.6"/>
    <s v="CMS M.60.10.000"/>
    <x v="2"/>
    <n v="5"/>
    <s v="CURVA"/>
    <n v="16"/>
    <x v="1"/>
    <s v="NÃO"/>
    <s v="NÃO"/>
    <x v="1"/>
    <x v="1"/>
    <s v="UNDER DO HIDROCICLONE HC- 145A-9913 PARA DISTRIBUIDOR DI- 145A-9911"/>
    <m/>
    <m/>
    <m/>
    <s v="1450AA-T-70215_FL11"/>
    <n v="1"/>
    <s v="PÇ"/>
    <n v="0.59899999999999998"/>
    <n v="0.59899999999999998"/>
    <n v="3249.8"/>
    <n v="1946.6302000000001"/>
    <n v="0"/>
    <n v="0.9"/>
    <n v="0.1"/>
    <n v="1"/>
    <n v="1"/>
    <x v="1"/>
    <n v="0.59899999999999998"/>
    <m/>
    <n v="0.59899999999999998"/>
    <n v="0"/>
    <m/>
    <n v="0.4"/>
    <n v="0.5"/>
    <n v="0.1"/>
    <n v="1"/>
    <n v="1"/>
    <n v="1"/>
    <n v="1946.6302000000001"/>
    <n v="0"/>
    <n v="1946.6302000000001"/>
    <n v="0"/>
    <m/>
    <m/>
  </r>
  <r>
    <s v="2.4.3.1.6"/>
    <s v="CMS M.60.10.000"/>
    <x v="2"/>
    <n v="6"/>
    <s v="SPOOL"/>
    <n v="16"/>
    <x v="2"/>
    <s v="NÃO"/>
    <s v="NÃO"/>
    <x v="1"/>
    <x v="1"/>
    <s v="UNDER DO HIDROCICLONE HC- 145A-9913 PARA DISTRIBUIDOR DI- 145A-9911"/>
    <m/>
    <m/>
    <m/>
    <s v="1450AA-T-70215_FL08"/>
    <n v="1"/>
    <s v="PÇ"/>
    <n v="0.56999999999999995"/>
    <n v="0.56999999999999995"/>
    <n v="3249.8"/>
    <n v="1852.386"/>
    <n v="0"/>
    <n v="0.9"/>
    <n v="0.1"/>
    <n v="1"/>
    <n v="1"/>
    <x v="1"/>
    <n v="0.56999999999999995"/>
    <m/>
    <n v="0.56999999999999995"/>
    <n v="0"/>
    <m/>
    <n v="0.4"/>
    <n v="0.5"/>
    <n v="0.1"/>
    <n v="1"/>
    <n v="1"/>
    <n v="1"/>
    <n v="1852.386"/>
    <n v="0"/>
    <n v="1852.386"/>
    <n v="0"/>
    <m/>
    <m/>
  </r>
  <r>
    <s v="2.4.3.1.6"/>
    <s v="CMS M.60.10.000"/>
    <x v="2"/>
    <n v="1"/>
    <s v="SPOOL"/>
    <n v="16"/>
    <x v="1"/>
    <s v="SIM"/>
    <s v="NÃO"/>
    <x v="2"/>
    <x v="1"/>
    <s v="UNDER DO HIDROCICLONE HC- 145A-9911 PARA DISTRIBUIDOR DI- 145A-9911"/>
    <m/>
    <m/>
    <m/>
    <s v="1450AA-T-70217_FL09"/>
    <n v="1"/>
    <s v="PÇ"/>
    <n v="0.48499999999999999"/>
    <n v="0.48499999999999999"/>
    <n v="3249.8"/>
    <n v="1576.153"/>
    <n v="0"/>
    <n v="0.9"/>
    <n v="0.1"/>
    <n v="1"/>
    <n v="1"/>
    <x v="1"/>
    <n v="0.48499999999999999"/>
    <m/>
    <n v="0.48499999999999999"/>
    <n v="0"/>
    <m/>
    <n v="0.4"/>
    <n v="0.5"/>
    <n v="0.1"/>
    <n v="1"/>
    <n v="1"/>
    <n v="1"/>
    <n v="1576.153"/>
    <n v="0"/>
    <n v="1576.153"/>
    <n v="0"/>
    <m/>
    <m/>
  </r>
  <r>
    <s v="2.4.3.1.6"/>
    <s v="CMS M.60.10.000"/>
    <x v="2"/>
    <n v="3"/>
    <s v="SPOOL"/>
    <n v="16"/>
    <x v="1"/>
    <s v="NÃO"/>
    <s v="NÃO"/>
    <x v="2"/>
    <x v="1"/>
    <s v="UNDER DO HIDROCICLONE HC- 145A-9911 PARA DISTRIBUIDOR DI- 145A-9911"/>
    <m/>
    <m/>
    <m/>
    <s v="1450AA-T-70217_FL07"/>
    <n v="1"/>
    <s v="PÇ"/>
    <n v="0.4"/>
    <n v="0.4"/>
    <n v="3249.8"/>
    <n v="1299.92"/>
    <n v="0"/>
    <n v="0.9"/>
    <n v="0.1"/>
    <n v="1"/>
    <n v="1"/>
    <x v="1"/>
    <n v="0.4"/>
    <m/>
    <n v="0.4"/>
    <n v="0"/>
    <m/>
    <n v="0.4"/>
    <n v="0.5"/>
    <n v="0.1"/>
    <n v="1"/>
    <n v="1"/>
    <n v="1"/>
    <n v="1299.92"/>
    <n v="0"/>
    <n v="1299.92"/>
    <n v="0"/>
    <m/>
    <m/>
  </r>
  <r>
    <s v="2.4.3.1.6"/>
    <s v="CMS M.60.10.000"/>
    <x v="2"/>
    <n v="4"/>
    <s v="CURVA"/>
    <n v="16"/>
    <x v="1"/>
    <s v="NÃO"/>
    <s v="NÃO"/>
    <x v="2"/>
    <x v="1"/>
    <s v="UNDER DO HIDROCICLONE HC- 145A-9911 PARA DISTRIBUIDOR DI- 145A-9911"/>
    <m/>
    <m/>
    <m/>
    <s v="1450AA-T-70217_FL10"/>
    <n v="1"/>
    <s v="PÇ"/>
    <n v="0.59899999999999998"/>
    <n v="0.59899999999999998"/>
    <n v="3249.8"/>
    <n v="1946.6302000000001"/>
    <n v="0"/>
    <n v="0.9"/>
    <n v="0.1"/>
    <n v="1"/>
    <n v="1"/>
    <x v="1"/>
    <n v="0.59899999999999998"/>
    <m/>
    <n v="0.59899999999999998"/>
    <n v="0"/>
    <m/>
    <n v="0.4"/>
    <n v="0.5"/>
    <n v="0.1"/>
    <n v="1"/>
    <n v="1"/>
    <n v="1"/>
    <n v="1946.6302000000001"/>
    <n v="0"/>
    <n v="1946.6302000000001"/>
    <n v="0"/>
    <m/>
    <m/>
  </r>
  <r>
    <s v="2.4.3.1.6"/>
    <s v="CMS M.60.10.000"/>
    <x v="2"/>
    <n v="5"/>
    <s v="SPOOL"/>
    <n v="16"/>
    <x v="2"/>
    <s v="NÃO"/>
    <s v="NÃO"/>
    <x v="2"/>
    <x v="1"/>
    <s v="UNDER DO HIDROCICLONE HC- 145A-9911 PARA DISTRIBUIDOR DI- 145A-9911"/>
    <m/>
    <m/>
    <m/>
    <s v="1450AA-T-70217_FL08"/>
    <n v="1"/>
    <s v="PÇ"/>
    <n v="0.54"/>
    <n v="0.54"/>
    <n v="3249.8"/>
    <n v="1754.8920000000003"/>
    <n v="0"/>
    <n v="0.9"/>
    <n v="0.1"/>
    <n v="1"/>
    <n v="1"/>
    <x v="1"/>
    <n v="0.54"/>
    <m/>
    <n v="0.54"/>
    <n v="0"/>
    <m/>
    <n v="0.4"/>
    <n v="0.5"/>
    <n v="0.1"/>
    <n v="1"/>
    <n v="1"/>
    <n v="1"/>
    <n v="1754.8920000000003"/>
    <n v="0"/>
    <n v="1754.8920000000003"/>
    <n v="0"/>
    <m/>
    <m/>
  </r>
  <r>
    <s v="2.4.3.1.3"/>
    <s v="CMS M.60.10.000"/>
    <x v="2"/>
    <n v="1"/>
    <s v="SPOOL"/>
    <n v="10"/>
    <x v="1"/>
    <s v="NÃO"/>
    <s v="NÃO"/>
    <x v="3"/>
    <x v="2"/>
    <s v="UNDER DO ESPESSADOR ES- 142A-9801 PARA DISTRIBUIDOR DI- 145A-9911"/>
    <m/>
    <m/>
    <m/>
    <s v="1450AA-T-70265_FL08"/>
    <n v="1"/>
    <s v="PÇ"/>
    <n v="1.5"/>
    <n v="1.5"/>
    <n v="2238.89"/>
    <n v="3358.335"/>
    <n v="0"/>
    <n v="0.9"/>
    <n v="0.1"/>
    <n v="1"/>
    <n v="1"/>
    <x v="1"/>
    <n v="1.5"/>
    <m/>
    <n v="1.5"/>
    <n v="0"/>
    <m/>
    <n v="0.4"/>
    <n v="0.5"/>
    <n v="0.1"/>
    <n v="1"/>
    <n v="1"/>
    <n v="1"/>
    <n v="3358.335"/>
    <n v="0"/>
    <n v="3358.335"/>
    <n v="0"/>
    <m/>
    <m/>
  </r>
  <r>
    <s v="2.4.3.1.3"/>
    <s v="CMS M.60.10.000"/>
    <x v="2"/>
    <n v="2"/>
    <s v="SPOOL"/>
    <n v="10"/>
    <x v="1"/>
    <s v="NÃO"/>
    <s v="NÃO"/>
    <x v="3"/>
    <x v="2"/>
    <s v="UNDER DO ESPESSADOR ES- 142A-9801 PARA DISTRIBUIDOR DI- 145A-9911"/>
    <m/>
    <m/>
    <m/>
    <s v="1450AA-T-70265_FL09"/>
    <n v="1"/>
    <s v="PÇ"/>
    <n v="2"/>
    <n v="2"/>
    <n v="2238.89"/>
    <n v="4477.78"/>
    <n v="0"/>
    <n v="0.9"/>
    <n v="0.1"/>
    <n v="1"/>
    <n v="1"/>
    <x v="1"/>
    <n v="2"/>
    <m/>
    <n v="2"/>
    <n v="0"/>
    <m/>
    <n v="0.4"/>
    <n v="0.5"/>
    <n v="0.1"/>
    <n v="1"/>
    <n v="1"/>
    <n v="1"/>
    <n v="4477.78"/>
    <n v="0"/>
    <n v="4477.78"/>
    <n v="0"/>
    <m/>
    <m/>
  </r>
  <r>
    <s v="2.4.3.1.3"/>
    <s v="CMS M.60.10.000"/>
    <x v="2"/>
    <n v="3"/>
    <s v="SPOOL"/>
    <n v="10"/>
    <x v="2"/>
    <s v="NÃO"/>
    <s v="NÃO"/>
    <x v="3"/>
    <x v="2"/>
    <s v="UNDER DO ESPESSADOR ES- 142A-9801 PARA DISTRIBUIDOR DI- 145A-9911"/>
    <m/>
    <m/>
    <m/>
    <s v="1450AA-T-70265_FL10"/>
    <n v="1"/>
    <s v="PÇ"/>
    <n v="0.43"/>
    <n v="0.43"/>
    <n v="2238.89"/>
    <n v="962.72269999999992"/>
    <n v="0"/>
    <n v="0.9"/>
    <n v="0.1"/>
    <n v="1"/>
    <n v="1"/>
    <x v="1"/>
    <n v="0.43"/>
    <m/>
    <n v="0.43"/>
    <n v="0"/>
    <m/>
    <n v="0.4"/>
    <n v="0.5"/>
    <n v="0.1"/>
    <n v="1"/>
    <n v="1"/>
    <n v="1"/>
    <n v="962.72269999999992"/>
    <n v="0"/>
    <n v="962.72269999999992"/>
    <n v="0"/>
    <m/>
    <m/>
  </r>
  <r>
    <s v="2.4.3.1.3"/>
    <s v="CMS M.60.10.000"/>
    <x v="2"/>
    <n v="4"/>
    <s v="SPOOL"/>
    <n v="10"/>
    <x v="2"/>
    <s v="NÃO"/>
    <s v="NÃO"/>
    <x v="3"/>
    <x v="2"/>
    <s v="UNDER DO ESPESSADOR ES- 142A-9801 PARA DISTRIBUIDOR DI- 145A-9911"/>
    <m/>
    <m/>
    <m/>
    <s v="1450AA-T-70265_FL11"/>
    <n v="1"/>
    <s v="PÇ"/>
    <n v="0.94"/>
    <n v="0.94"/>
    <n v="2238.89"/>
    <n v="2104.5565999999999"/>
    <n v="0"/>
    <n v="0.9"/>
    <n v="0.1"/>
    <n v="1"/>
    <n v="1"/>
    <x v="1"/>
    <n v="0.94"/>
    <m/>
    <n v="0.94"/>
    <n v="0"/>
    <m/>
    <n v="0.4"/>
    <n v="0.5"/>
    <n v="0.1"/>
    <n v="1"/>
    <n v="1"/>
    <n v="1"/>
    <n v="2104.5565999999999"/>
    <n v="0"/>
    <n v="2104.5565999999999"/>
    <n v="0"/>
    <m/>
    <m/>
  </r>
  <r>
    <s v="2.4.3.1.3"/>
    <s v="CMS M.60.10.000"/>
    <x v="2"/>
    <n v="5"/>
    <s v="CURVA"/>
    <n v="10"/>
    <x v="1"/>
    <s v="NÃO"/>
    <s v="NÃO"/>
    <x v="3"/>
    <x v="2"/>
    <s v="UNDER DO ESPESSADOR ES- 142A-9801 PARA DISTRIBUIDOR DI- 145A-9911"/>
    <m/>
    <m/>
    <m/>
    <s v="1450AA-T-70265_FL12"/>
    <n v="1"/>
    <s v="PÇ"/>
    <n v="0.35399999999999998"/>
    <n v="0.35399999999999998"/>
    <n v="2238.89"/>
    <n v="792.56705999999997"/>
    <n v="0"/>
    <n v="0.9"/>
    <n v="0.1"/>
    <n v="1"/>
    <n v="1"/>
    <x v="1"/>
    <n v="0.35399999999999998"/>
    <m/>
    <n v="0.35399999999999998"/>
    <n v="0"/>
    <m/>
    <n v="0.4"/>
    <n v="0.5"/>
    <n v="0.1"/>
    <n v="1"/>
    <n v="1"/>
    <n v="1"/>
    <n v="792.56705999999997"/>
    <n v="0"/>
    <n v="792.56705999999997"/>
    <n v="0"/>
    <m/>
    <m/>
  </r>
  <r>
    <s v="2.4.3.1.3"/>
    <s v="CMS M.60.10.000"/>
    <x v="2"/>
    <n v="6"/>
    <s v="CURVA"/>
    <n v="10"/>
    <x v="1"/>
    <s v="NÃO"/>
    <s v="NÃO"/>
    <x v="3"/>
    <x v="2"/>
    <s v="UNDER DO ESPESSADOR ES- 142A-9801 PARA DISTRIBUIDOR DI- 145A-9911"/>
    <m/>
    <m/>
    <m/>
    <s v="1450AA-T-70265_FL13"/>
    <n v="1"/>
    <s v="PÇ"/>
    <n v="0.65100000000000002"/>
    <n v="0.65100000000000002"/>
    <n v="2238.89"/>
    <n v="1457.51739"/>
    <n v="0"/>
    <n v="0.9"/>
    <n v="0.1"/>
    <n v="1"/>
    <n v="1"/>
    <x v="1"/>
    <n v="0.65100000000000002"/>
    <m/>
    <n v="0.65100000000000002"/>
    <n v="0"/>
    <m/>
    <n v="0.4"/>
    <n v="0.5"/>
    <n v="0.1"/>
    <n v="1"/>
    <n v="1"/>
    <n v="1"/>
    <n v="1457.51739"/>
    <n v="0"/>
    <n v="1457.51739"/>
    <n v="0"/>
    <m/>
    <m/>
  </r>
  <r>
    <s v="2.4.3.1.3"/>
    <s v="CMS M.60.10.000"/>
    <x v="2"/>
    <n v="7"/>
    <s v="CURVA"/>
    <n v="10"/>
    <x v="1"/>
    <s v="NÃO"/>
    <s v="NÃO"/>
    <x v="3"/>
    <x v="2"/>
    <s v="UNDER DO ESPESSADOR ES- 142A-9801 PARA DISTRIBUIDOR DI- 145A-9911"/>
    <m/>
    <m/>
    <m/>
    <s v="1450AA-T-70265_FL14"/>
    <n v="1"/>
    <s v="PÇ"/>
    <n v="0.90300000000000002"/>
    <n v="0.90300000000000002"/>
    <n v="2238.89"/>
    <n v="2021.71767"/>
    <n v="0"/>
    <n v="0.9"/>
    <n v="0.1"/>
    <n v="1"/>
    <n v="1"/>
    <x v="1"/>
    <n v="0.90300000000000002"/>
    <m/>
    <n v="0.90300000000000002"/>
    <n v="0"/>
    <m/>
    <n v="0.4"/>
    <n v="0.5"/>
    <n v="0.1"/>
    <n v="1"/>
    <n v="1"/>
    <n v="1"/>
    <n v="2021.71767"/>
    <n v="0"/>
    <n v="2021.71767"/>
    <n v="0"/>
    <m/>
    <m/>
  </r>
  <r>
    <s v="2.4.3.1.3"/>
    <s v="CMS M.60.10.000"/>
    <x v="2"/>
    <n v="8"/>
    <s v="REDUÇÃO"/>
    <s v="12 X 10"/>
    <x v="1"/>
    <s v="NÃO"/>
    <s v="NÃO"/>
    <x v="3"/>
    <x v="2"/>
    <s v="UNDER DO ESPESSADOR ES- 142A-9801 PARA DISTRIBUIDOR DI- 145A-9911"/>
    <m/>
    <m/>
    <m/>
    <s v="1450AA-T-70265_FL15"/>
    <n v="1"/>
    <s v="PÇ"/>
    <n v="0.45300000000000001"/>
    <n v="0.45300000000000001"/>
    <n v="2238.89"/>
    <n v="1014.21717"/>
    <n v="0"/>
    <n v="0.9"/>
    <n v="0.1"/>
    <n v="1"/>
    <n v="1"/>
    <x v="1"/>
    <n v="0.45300000000000001"/>
    <m/>
    <n v="0.45300000000000001"/>
    <n v="0"/>
    <m/>
    <n v="0.4"/>
    <n v="0.5"/>
    <n v="0.1"/>
    <n v="1"/>
    <n v="1"/>
    <n v="1"/>
    <n v="1014.21717"/>
    <n v="0"/>
    <n v="1014.21717"/>
    <n v="0"/>
    <m/>
    <m/>
  </r>
  <r>
    <s v="2.4.3.1.8"/>
    <s v="CMS M.60.10.000"/>
    <x v="2"/>
    <n v="1"/>
    <s v="SPOOL"/>
    <n v="22"/>
    <x v="1"/>
    <s v="SIM"/>
    <s v="NÃO"/>
    <x v="4"/>
    <x v="2"/>
    <s v="DISPOSIÇÃO DE REJEITOS DISTRIBUIDOR DI-145A-9911"/>
    <m/>
    <m/>
    <m/>
    <s v="1450AA-T-70220"/>
    <n v="1"/>
    <s v="PÇ"/>
    <n v="0.92100000000000004"/>
    <n v="0.92100000000000004"/>
    <n v="2788.58"/>
    <n v="2568.2821800000002"/>
    <n v="0"/>
    <n v="0.9"/>
    <n v="0.1"/>
    <n v="1"/>
    <n v="1"/>
    <x v="1"/>
    <n v="0.92100000000000004"/>
    <m/>
    <n v="0.92100000000000004"/>
    <n v="0"/>
    <m/>
    <n v="0.4"/>
    <n v="0.5"/>
    <n v="0.1"/>
    <n v="1"/>
    <n v="1"/>
    <n v="1"/>
    <n v="2568.2821800000002"/>
    <n v="0"/>
    <n v="2568.2821800000002"/>
    <n v="0"/>
    <m/>
    <m/>
  </r>
  <r>
    <s v="2.4.3.1.6"/>
    <s v="CMS M.60.10.000"/>
    <x v="2"/>
    <n v="1"/>
    <s v="SPOOL"/>
    <n v="16"/>
    <x v="1"/>
    <s v="SIM"/>
    <s v="NÃO"/>
    <x v="4"/>
    <x v="2"/>
    <s v="DISPOSIÇÃO DE REJEITOS DISTRIBUIDOR DI-145A-9911"/>
    <m/>
    <m/>
    <m/>
    <s v="1450AA-T-70221"/>
    <n v="7"/>
    <s v="PÇ"/>
    <n v="0.35799999999999998"/>
    <n v="2.5059999999999998"/>
    <n v="3249.8"/>
    <n v="8143.9987999999994"/>
    <n v="0"/>
    <n v="0.9"/>
    <n v="0.1"/>
    <n v="1"/>
    <n v="1"/>
    <x v="1"/>
    <n v="2.5059999999999998"/>
    <m/>
    <n v="2.5059999999999998"/>
    <n v="0"/>
    <m/>
    <n v="0.4"/>
    <n v="0.5"/>
    <n v="0.1"/>
    <n v="1"/>
    <n v="1"/>
    <n v="1"/>
    <n v="8143.9987999999994"/>
    <n v="0"/>
    <n v="8143.9987999999994"/>
    <n v="0"/>
    <m/>
    <m/>
  </r>
  <r>
    <s v="2.4.3.1.5"/>
    <s v="CMS M.60.10.000"/>
    <x v="2"/>
    <n v="1"/>
    <s v="SPOOL"/>
    <n v="14"/>
    <x v="1"/>
    <s v="SIM"/>
    <s v="NÃO"/>
    <x v="4"/>
    <x v="1"/>
    <s v="DISPOSIÇÃO DE REJEITOS LINHA DO CIRCUITO ARENOSO DISTRIBUIDORES DI-145A-9912/9913/9914/9915"/>
    <m/>
    <m/>
    <m/>
    <s v="1450AA-T-70222"/>
    <n v="1"/>
    <s v="PÇ"/>
    <n v="0.90600000000000003"/>
    <n v="0.90600000000000003"/>
    <n v="2725.4"/>
    <n v="2469.2124000000003"/>
    <n v="0"/>
    <n v="0.9"/>
    <n v="0.1"/>
    <n v="1"/>
    <n v="1"/>
    <x v="1"/>
    <n v="0.90600000000000003"/>
    <m/>
    <n v="0.90600000000000003"/>
    <n v="0"/>
    <m/>
    <n v="0.4"/>
    <n v="0.5"/>
    <n v="0.1"/>
    <n v="1"/>
    <n v="1"/>
    <n v="1"/>
    <n v="2469.2124000000003"/>
    <n v="0"/>
    <n v="2469.2124000000003"/>
    <n v="0"/>
    <m/>
    <m/>
  </r>
  <r>
    <s v="2.4.3.1.2"/>
    <s v="CMS M.60.10.000"/>
    <x v="2"/>
    <n v="1"/>
    <s v="SPOOL"/>
    <n v="8"/>
    <x v="1"/>
    <s v="SIM"/>
    <s v="NÃO"/>
    <x v="4"/>
    <x v="1"/>
    <s v="DISPOSIÇÃO DE REJEITOS LINHA DO CIRCUITO ARENOSO DISTRIBUIDORES DI-145A-9912/9913/9914/9915"/>
    <m/>
    <m/>
    <m/>
    <s v="1450AA-T-70223"/>
    <n v="6"/>
    <s v="PÇ"/>
    <n v="0.32300000000000001"/>
    <n v="1.9380000000000002"/>
    <n v="1651.88"/>
    <n v="3201.3434400000006"/>
    <n v="0"/>
    <n v="0.9"/>
    <n v="0.1"/>
    <n v="1"/>
    <n v="1"/>
    <x v="1"/>
    <n v="1.9380000000000002"/>
    <m/>
    <n v="1.9380000000000002"/>
    <n v="0"/>
    <m/>
    <n v="0.4"/>
    <n v="0.5"/>
    <n v="0.1"/>
    <n v="1"/>
    <n v="1"/>
    <n v="1"/>
    <n v="3201.3434400000006"/>
    <n v="0"/>
    <n v="3201.3434400000006"/>
    <n v="0"/>
    <m/>
    <m/>
  </r>
  <r>
    <s v="2.4.3.1.1"/>
    <s v="CMS M.60.10.000"/>
    <x v="2"/>
    <n v="1"/>
    <s v="SPOOL"/>
    <n v="6"/>
    <x v="1"/>
    <s v="SIM"/>
    <s v="NÃO"/>
    <x v="4"/>
    <x v="1"/>
    <s v="DISPOSIÇÃO DE REJEITOS LINHA DO CIRCUITO ULTRAFINO DISTRIBUIDORES DI-145A-9904/9905/9906/9907"/>
    <m/>
    <m/>
    <m/>
    <s v="1450AA-T-70224"/>
    <n v="6"/>
    <s v="PÇ"/>
    <n v="0.32300000000000001"/>
    <n v="1.9380000000000002"/>
    <n v="1169.77"/>
    <n v="2267.0142600000004"/>
    <n v="0"/>
    <n v="0.9"/>
    <n v="0.1"/>
    <n v="1"/>
    <n v="1"/>
    <x v="1"/>
    <n v="1.9380000000000002"/>
    <m/>
    <n v="1.9380000000000002"/>
    <n v="0"/>
    <m/>
    <n v="0.4"/>
    <n v="0.5"/>
    <n v="0.1"/>
    <n v="1"/>
    <n v="1"/>
    <n v="1"/>
    <n v="2267.0142600000004"/>
    <n v="0"/>
    <n v="2267.0142600000004"/>
    <n v="0"/>
    <m/>
    <m/>
  </r>
  <r>
    <s v="2.4.3.1.3"/>
    <s v="CMS M.60.10.000"/>
    <x v="2"/>
    <n v="1"/>
    <s v="SPOOL"/>
    <n v="10"/>
    <x v="1"/>
    <s v="SIM"/>
    <s v="NÃO"/>
    <x v="4"/>
    <x v="1"/>
    <s v="DISPOSIÇÃO DE REJEITOS LINHA DO CIRCUITO ULTRAFINO DISTRIBUIDORES DI-145A-9904/9905/9906/9907"/>
    <m/>
    <m/>
    <m/>
    <s v="1450AA-T-70225"/>
    <n v="1"/>
    <s v="PÇ"/>
    <n v="0.78"/>
    <n v="0.78"/>
    <n v="2238.89"/>
    <n v="1746.3342"/>
    <n v="0"/>
    <n v="0.9"/>
    <n v="0.1"/>
    <n v="1"/>
    <n v="1"/>
    <x v="1"/>
    <n v="0.78"/>
    <m/>
    <n v="0.78"/>
    <n v="0"/>
    <m/>
    <n v="0.4"/>
    <n v="0.5"/>
    <n v="0.1"/>
    <n v="1"/>
    <n v="1"/>
    <n v="1"/>
    <n v="1746.3342"/>
    <n v="0"/>
    <n v="1746.3342"/>
    <n v="0"/>
    <m/>
    <m/>
  </r>
  <r>
    <s v="2.4.3.1.5"/>
    <s v="CMS M.60.10.000"/>
    <x v="2"/>
    <n v="1"/>
    <s v="SPOOL"/>
    <n v="14"/>
    <x v="1"/>
    <s v="SIM"/>
    <s v="NÃO"/>
    <x v="4"/>
    <x v="2"/>
    <s v="DISPOSIÇÃO DE REJEITOS LINHA DO CIRCUITO ARENOSO DISTRIBUIDORES DI-145A-9916"/>
    <m/>
    <m/>
    <m/>
    <s v="1450AA-T-70226"/>
    <n v="1"/>
    <s v="PÇ"/>
    <n v="0.90100000000000002"/>
    <n v="0.90100000000000002"/>
    <n v="2725.4"/>
    <n v="2455.5853999999999"/>
    <n v="0"/>
    <n v="0.9"/>
    <n v="0.1"/>
    <n v="1"/>
    <n v="1"/>
    <x v="1"/>
    <n v="0.90100000000000002"/>
    <m/>
    <n v="0.90100000000000002"/>
    <n v="0"/>
    <m/>
    <n v="0.4"/>
    <n v="0.5"/>
    <n v="0.1"/>
    <n v="1"/>
    <n v="1"/>
    <n v="1"/>
    <n v="2455.5853999999999"/>
    <n v="0"/>
    <n v="2455.5853999999999"/>
    <n v="0"/>
    <m/>
    <m/>
  </r>
  <r>
    <s v="2.4.3.1.4"/>
    <s v="CMS M.60.10.000"/>
    <x v="2"/>
    <n v="1"/>
    <s v="SPOOL"/>
    <n v="12"/>
    <x v="1"/>
    <s v="SIM"/>
    <s v="NÃO"/>
    <x v="4"/>
    <x v="2"/>
    <s v="DISPOSIÇÃO DE REJEITOS LINHA DO CIRCUITO ARENOSO DISTRIBUIDORES DI-145A-9916"/>
    <m/>
    <m/>
    <m/>
    <s v="1450AA-T-70227"/>
    <n v="2"/>
    <s v="PÇ"/>
    <n v="0.35799999999999998"/>
    <n v="0.71599999999999997"/>
    <n v="2576.75"/>
    <n v="1844.953"/>
    <n v="0"/>
    <n v="0.9"/>
    <n v="0.1"/>
    <n v="1"/>
    <n v="1"/>
    <x v="1"/>
    <n v="0.71599999999999997"/>
    <m/>
    <n v="0.71599999999999997"/>
    <n v="0"/>
    <m/>
    <n v="0.4"/>
    <n v="0.5"/>
    <n v="0.1"/>
    <n v="1"/>
    <n v="1"/>
    <n v="1"/>
    <n v="1844.953"/>
    <n v="0"/>
    <n v="1844.953"/>
    <n v="0"/>
    <m/>
    <m/>
  </r>
  <r>
    <s v="2.4.3.1.2"/>
    <s v="CMS M.60.10.000"/>
    <x v="2"/>
    <n v="1"/>
    <s v="SPOOL"/>
    <n v="8"/>
    <x v="1"/>
    <s v="SIM"/>
    <s v="NÃO"/>
    <x v="4"/>
    <x v="3"/>
    <s v="DISPOSIÇÃO DE REJEITOS LINHA DO CIRCUITO ULTRAFINO DISTRIBUIDORES DI-145A-9908"/>
    <m/>
    <m/>
    <m/>
    <s v="1450AA-T-70228"/>
    <n v="2"/>
    <s v="PÇ"/>
    <n v="0.32300000000000001"/>
    <n v="0.64600000000000002"/>
    <n v="1651.88"/>
    <n v="1067.1144800000002"/>
    <n v="0"/>
    <n v="0.9"/>
    <n v="0.1"/>
    <n v="1"/>
    <n v="1"/>
    <x v="1"/>
    <n v="0.64600000000000002"/>
    <m/>
    <n v="0.64600000000000002"/>
    <n v="0"/>
    <m/>
    <n v="0.4"/>
    <n v="0.5"/>
    <n v="0.1"/>
    <n v="1"/>
    <n v="1"/>
    <n v="1"/>
    <n v="1067.1144800000002"/>
    <n v="0"/>
    <n v="1067.1144800000002"/>
    <n v="0"/>
    <m/>
    <m/>
  </r>
  <r>
    <s v="2.4.3.1.3"/>
    <s v="CMS M.60.10.000"/>
    <x v="2"/>
    <n v="1"/>
    <s v="SPOOL"/>
    <n v="10"/>
    <x v="1"/>
    <s v="SIM"/>
    <s v="NÃO"/>
    <x v="4"/>
    <x v="3"/>
    <s v="DISPOSIÇÃO DE REJEITOS LINHA DO CIRCUITO ULTRAFINO DISTRIBUIDORES DI-145A-9908"/>
    <m/>
    <m/>
    <m/>
    <s v="1450AA-T-70229"/>
    <n v="1"/>
    <s v="PÇ"/>
    <n v="0.72199999999999998"/>
    <n v="0.72199999999999998"/>
    <n v="2238.89"/>
    <n v="1616.47858"/>
    <n v="0"/>
    <n v="0.9"/>
    <n v="0.1"/>
    <n v="1"/>
    <n v="1"/>
    <x v="1"/>
    <n v="0.72199999999999998"/>
    <m/>
    <n v="0.72199999999999998"/>
    <n v="0"/>
    <m/>
    <n v="0.4"/>
    <n v="0.5"/>
    <n v="0.1"/>
    <n v="1"/>
    <n v="1"/>
    <n v="1"/>
    <n v="1616.47858"/>
    <n v="0"/>
    <n v="1616.47858"/>
    <n v="0"/>
    <m/>
    <m/>
  </r>
  <r>
    <s v="2.4.3.1.3"/>
    <s v="CMS M.60.10.000"/>
    <x v="2"/>
    <n v="1"/>
    <s v="CURVA"/>
    <n v="10"/>
    <x v="1"/>
    <s v="NÃO"/>
    <s v="SIM"/>
    <x v="5"/>
    <x v="1"/>
    <s v="LINHA DE UNDERFLOW DAS PENEIRAS DESAGUADORAS RETRABALHO DO UNDERFLOW DA PENEIRA PN-143A-9721"/>
    <m/>
    <m/>
    <m/>
    <s v="1450AA-T-70231_FL06"/>
    <n v="1"/>
    <s v="PÇ"/>
    <n v="0.69099999999999995"/>
    <n v="0.69099999999999995"/>
    <n v="2238.89"/>
    <n v="1547.0729899999999"/>
    <n v="0"/>
    <n v="0.9"/>
    <n v="0.1"/>
    <n v="1"/>
    <n v="1"/>
    <x v="1"/>
    <n v="0.69099999999999995"/>
    <m/>
    <n v="0.69099999999999995"/>
    <n v="0"/>
    <m/>
    <n v="0.4"/>
    <n v="0.5"/>
    <n v="0.1"/>
    <n v="1"/>
    <n v="1"/>
    <n v="1"/>
    <n v="1547.0729899999999"/>
    <n v="0"/>
    <n v="1547.0729899999999"/>
    <n v="0"/>
    <m/>
    <m/>
  </r>
  <r>
    <s v="2.4.3.1.3"/>
    <s v="CMS M.60.10.000"/>
    <x v="2"/>
    <n v="2"/>
    <s v="SPOOL"/>
    <n v="10"/>
    <x v="1"/>
    <s v="NÃO"/>
    <s v="SIM"/>
    <x v="5"/>
    <x v="1"/>
    <s v="LINHA DE UNDERFLOW DAS PENEIRAS DESAGUADORAS RETRABALHO DO UNDERFLOW DA PENEIRA PN-143A-9721"/>
    <m/>
    <m/>
    <m/>
    <s v="1450AA-T-70231_FL07"/>
    <n v="1"/>
    <s v="PÇ"/>
    <n v="3.1"/>
    <n v="3.1"/>
    <n v="2238.89"/>
    <n v="6940.5590000000002"/>
    <n v="0"/>
    <n v="0.9"/>
    <n v="0.1"/>
    <n v="1"/>
    <n v="1"/>
    <x v="1"/>
    <n v="3.1"/>
    <m/>
    <n v="3.1"/>
    <n v="0"/>
    <m/>
    <n v="0.4"/>
    <n v="0.5"/>
    <n v="0.1"/>
    <n v="1"/>
    <n v="1"/>
    <n v="1"/>
    <n v="6940.5590000000002"/>
    <n v="0"/>
    <n v="6940.5590000000002"/>
    <n v="0"/>
    <m/>
    <m/>
  </r>
  <r>
    <s v="2.4.3.1.3"/>
    <s v="CMS M.60.10.000"/>
    <x v="2"/>
    <n v="3"/>
    <s v="SPOOL"/>
    <n v="10"/>
    <x v="2"/>
    <s v="NÃO"/>
    <s v="SIM"/>
    <x v="5"/>
    <x v="1"/>
    <s v="LINHA DE UNDERFLOW DAS PENEIRAS DESAGUADORAS RETRABALHO DO UNDERFLOW DA PENEIRA PN-143A-9721"/>
    <m/>
    <m/>
    <m/>
    <s v="1450AA-T-70231_FL08"/>
    <n v="2"/>
    <s v="PÇ"/>
    <n v="0.5"/>
    <n v="1"/>
    <n v="2238.89"/>
    <n v="2238.89"/>
    <n v="0"/>
    <n v="0.9"/>
    <n v="0.1"/>
    <n v="1"/>
    <n v="1"/>
    <x v="1"/>
    <n v="1"/>
    <m/>
    <n v="1"/>
    <n v="0"/>
    <m/>
    <n v="0.4"/>
    <n v="0.5"/>
    <n v="0.1"/>
    <n v="1"/>
    <n v="1"/>
    <n v="1"/>
    <n v="2238.89"/>
    <n v="0"/>
    <n v="2238.89"/>
    <n v="0"/>
    <m/>
    <m/>
  </r>
  <r>
    <s v="2.4.3.1.3"/>
    <s v="CMS M.60.10.000"/>
    <x v="2"/>
    <n v="1"/>
    <s v="SPOOL"/>
    <n v="10"/>
    <x v="1"/>
    <s v="NÃO"/>
    <s v="SIM"/>
    <x v="6"/>
    <x v="1"/>
    <s v="LINHA DE UNDERFLOW DAS PENEIRAS DESAGUADORAS RETRABALHO DO UNDERFLOW DA PENEIRA PN-143A-9722"/>
    <m/>
    <m/>
    <m/>
    <s v="1450AA-T-70233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6"/>
    <x v="1"/>
    <s v="LINHA DE UNDERFLOW DAS PENEIRAS DESAGUADORAS RETRABALHO DO UNDERFLOW DA PENEIRA PN-143A-9722"/>
    <m/>
    <m/>
    <m/>
    <s v="1450AA-T-70233_FL05"/>
    <n v="1"/>
    <s v="PÇ"/>
    <n v="0.4"/>
    <n v="0.4"/>
    <n v="2238.89"/>
    <n v="895.55600000000004"/>
    <n v="0"/>
    <n v="0.9"/>
    <n v="0.1"/>
    <n v="1"/>
    <n v="1"/>
    <x v="1"/>
    <n v="0.4"/>
    <m/>
    <n v="0.4"/>
    <n v="0"/>
    <m/>
    <n v="0.4"/>
    <n v="0.5"/>
    <n v="0.1"/>
    <n v="1"/>
    <n v="1"/>
    <n v="1"/>
    <n v="895.55600000000004"/>
    <n v="0"/>
    <n v="895.55600000000004"/>
    <n v="0"/>
    <m/>
    <m/>
  </r>
  <r>
    <s v="2.4.3.1.3"/>
    <s v="CMS M.60.10.000"/>
    <x v="2"/>
    <n v="1"/>
    <s v="SPOOL"/>
    <n v="10"/>
    <x v="1"/>
    <s v="NÃO"/>
    <s v="SIM"/>
    <x v="7"/>
    <x v="1"/>
    <s v="LINHA DE UNDERFLOW DAS PENEIRAS DESAGUADORAS RETRABALHO DO UNDERFLOW DA PENEIRA PN-143A-9723"/>
    <m/>
    <m/>
    <m/>
    <s v="1450AA-T-70235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7"/>
    <x v="1"/>
    <s v="LINHA DE UNDERFLOW DAS PENEIRAS DESAGUADORAS RETRABALHO DO UNDERFLOW DA PENEIRA PN-143A-9723"/>
    <m/>
    <m/>
    <m/>
    <s v="1450AA-T-70235_FL05"/>
    <n v="1"/>
    <s v="PÇ"/>
    <n v="0.45"/>
    <n v="0.45"/>
    <n v="2238.89"/>
    <n v="1007.5005"/>
    <n v="0"/>
    <n v="0.9"/>
    <n v="0.1"/>
    <n v="1"/>
    <n v="1"/>
    <x v="1"/>
    <n v="0.45"/>
    <m/>
    <n v="0.45"/>
    <n v="0"/>
    <m/>
    <n v="0.4"/>
    <n v="0.5"/>
    <n v="0.1"/>
    <n v="1"/>
    <n v="1"/>
    <n v="1"/>
    <n v="1007.5005"/>
    <n v="0"/>
    <n v="1007.5005"/>
    <n v="0"/>
    <m/>
    <m/>
  </r>
  <r>
    <s v="2.4.3.1.3"/>
    <s v="CMS M.60.10.000"/>
    <x v="2"/>
    <n v="1"/>
    <s v="SPOOL"/>
    <n v="10"/>
    <x v="1"/>
    <s v="NÃO"/>
    <s v="SIM"/>
    <x v="8"/>
    <x v="1"/>
    <s v="LINHA DE UNDERFLOW DAS PENEIRAS DESAGUADORAS RETRABALHO DO UNDERFLOW DA PENEIRA PN-143A-9724"/>
    <m/>
    <m/>
    <m/>
    <s v="1450AA-T-70237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8"/>
    <x v="1"/>
    <s v="LINHA DE UNDERFLOW DAS PENEIRAS DESAGUADORAS RETRABALHO DO UNDERFLOW DA PENEIRA PN-143A-9724"/>
    <m/>
    <m/>
    <m/>
    <s v="1450AA-T-70237_FL05"/>
    <n v="1"/>
    <s v="PÇ"/>
    <n v="0.45"/>
    <n v="0.45"/>
    <n v="2238.89"/>
    <n v="1007.5005"/>
    <n v="0"/>
    <n v="0.9"/>
    <n v="0.1"/>
    <n v="1"/>
    <n v="1"/>
    <x v="1"/>
    <n v="0.45"/>
    <m/>
    <n v="0.45"/>
    <n v="0"/>
    <m/>
    <n v="0.4"/>
    <n v="0.5"/>
    <n v="0.1"/>
    <n v="1"/>
    <n v="1"/>
    <n v="1"/>
    <n v="1007.5005"/>
    <n v="0"/>
    <n v="1007.5005"/>
    <n v="0"/>
    <m/>
    <m/>
  </r>
  <r>
    <s v="2.4.3.1.3"/>
    <s v="CMS M.60.10.000"/>
    <x v="2"/>
    <n v="1"/>
    <s v="CURVA"/>
    <n v="10"/>
    <x v="1"/>
    <s v="NÃO"/>
    <s v="SIM"/>
    <x v="9"/>
    <x v="1"/>
    <s v="LINHA DE UNDERFLOW DAS PENEIRAS DESAGUADORAS RETRABALHO DO UNDERFLOW DA PENEIRA PN-143A-9725"/>
    <m/>
    <m/>
    <m/>
    <s v="1450AA-T-70239_FL06"/>
    <n v="1"/>
    <s v="PÇ"/>
    <n v="0.6"/>
    <n v="0.6"/>
    <n v="2238.89"/>
    <n v="1343.3339999999998"/>
    <n v="0"/>
    <n v="0.9"/>
    <n v="0.1"/>
    <n v="1"/>
    <n v="1"/>
    <x v="1"/>
    <n v="0.6"/>
    <m/>
    <n v="0.6"/>
    <n v="0"/>
    <m/>
    <n v="0.4"/>
    <n v="0.5"/>
    <n v="0.1"/>
    <n v="1"/>
    <n v="1"/>
    <n v="1"/>
    <n v="1343.3339999999998"/>
    <n v="0"/>
    <n v="1343.3339999999998"/>
    <n v="0"/>
    <m/>
    <m/>
  </r>
  <r>
    <s v="2.4.3.1.3"/>
    <s v="CMS M.60.10.000"/>
    <x v="2"/>
    <n v="2"/>
    <s v="SPOOL"/>
    <n v="10"/>
    <x v="1"/>
    <s v="NÃO"/>
    <s v="SIM"/>
    <x v="9"/>
    <x v="1"/>
    <s v="LINHA DE UNDERFLOW DAS PENEIRAS DESAGUADORAS RETRABALHO DO UNDERFLOW DA PENEIRA PN-143A-9725"/>
    <m/>
    <m/>
    <m/>
    <s v="1450AA-T-70239_FL07"/>
    <n v="1"/>
    <s v="PÇ"/>
    <n v="2.2999999999999998"/>
    <n v="2.2999999999999998"/>
    <n v="2238.89"/>
    <n v="5149.4469999999992"/>
    <n v="0"/>
    <n v="0.9"/>
    <n v="0.1"/>
    <n v="1"/>
    <n v="1"/>
    <x v="1"/>
    <n v="2.2999999999999998"/>
    <m/>
    <n v="2.2999999999999998"/>
    <n v="0"/>
    <m/>
    <n v="0.4"/>
    <n v="0.5"/>
    <n v="0.1"/>
    <n v="1"/>
    <n v="1"/>
    <n v="1"/>
    <n v="5149.4469999999992"/>
    <n v="0"/>
    <n v="5149.4469999999992"/>
    <n v="0"/>
    <m/>
    <m/>
  </r>
  <r>
    <s v="2.4.3.1.3"/>
    <s v="CMS M.60.10.000"/>
    <x v="2"/>
    <n v="3"/>
    <s v="SPOOL"/>
    <n v="10"/>
    <x v="2"/>
    <s v="NÃO"/>
    <s v="SIM"/>
    <x v="9"/>
    <x v="1"/>
    <s v="LINHA DE UNDERFLOW DAS PENEIRAS DESAGUADORAS RETRABALHO DO UNDERFLOW DA PENEIRA PN-143A-9725"/>
    <m/>
    <m/>
    <m/>
    <s v="1450AA-T-70239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9"/>
    <x v="1"/>
    <s v="LINHA DE UNDERFLOW DAS PENEIRAS DESAGUADORAS RETRABALHO DO UNDERFLOW DA PENEIRA PN-143A-9725"/>
    <m/>
    <m/>
    <m/>
    <s v="1450AA-T-70239_FL09"/>
    <n v="1"/>
    <s v="PÇ"/>
    <n v="0.4"/>
    <n v="0.4"/>
    <n v="2238.89"/>
    <n v="895.55600000000004"/>
    <n v="0"/>
    <n v="0.9"/>
    <n v="0.1"/>
    <n v="1"/>
    <n v="1"/>
    <x v="1"/>
    <n v="0.4"/>
    <m/>
    <n v="0.4"/>
    <n v="0"/>
    <m/>
    <n v="0.4"/>
    <n v="0.5"/>
    <n v="0.1"/>
    <n v="1"/>
    <n v="1"/>
    <n v="1"/>
    <n v="895.55600000000004"/>
    <n v="0"/>
    <n v="895.55600000000004"/>
    <n v="0"/>
    <m/>
    <m/>
  </r>
  <r>
    <s v="2.4.3.1.3"/>
    <s v="CMS M.60.10.000"/>
    <x v="2"/>
    <n v="5"/>
    <s v="SPOOL"/>
    <n v="10"/>
    <x v="2"/>
    <s v="NÃO"/>
    <s v="SIM"/>
    <x v="9"/>
    <x v="1"/>
    <s v="LINHA DE UNDERFLOW DAS PENEIRAS DESAGUADORAS RETRABALHO DO UNDERFLOW DA PENEIRA PN-143A-9725"/>
    <m/>
    <m/>
    <m/>
    <s v="1450AA-T-70239_FL10"/>
    <n v="1"/>
    <s v="PÇ"/>
    <n v="0.6"/>
    <n v="0.6"/>
    <n v="2238.89"/>
    <n v="1343.3339999999998"/>
    <n v="0"/>
    <n v="0.9"/>
    <n v="0.1"/>
    <n v="1"/>
    <n v="1"/>
    <x v="1"/>
    <n v="0.6"/>
    <m/>
    <n v="0.6"/>
    <n v="0"/>
    <m/>
    <n v="0.4"/>
    <n v="0.5"/>
    <n v="0.1"/>
    <n v="1"/>
    <n v="1"/>
    <n v="1"/>
    <n v="1343.3339999999998"/>
    <n v="0"/>
    <n v="1343.3339999999998"/>
    <n v="0"/>
    <m/>
    <m/>
  </r>
  <r>
    <s v="2.4.3.1.3"/>
    <s v="CMS M.60.10.000"/>
    <x v="2"/>
    <n v="1"/>
    <s v="CURVA"/>
    <n v="10"/>
    <x v="1"/>
    <s v="NÃO"/>
    <s v="SIM"/>
    <x v="10"/>
    <x v="1"/>
    <s v="LINHA DE UNDERFLOW DAS PENEIRAS DESAGUADORAS RETRABALHO DO UNDERFLOW DA PENEIRA PN-143A-9726"/>
    <m/>
    <m/>
    <m/>
    <s v="1450AA-T-70241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0"/>
    <x v="1"/>
    <s v="LINHA DE UNDERFLOW DAS PENEIRAS DESAGUADORAS RETRABALHO DO UNDERFLOW DA PENEIRA PN-143A-9726"/>
    <m/>
    <m/>
    <m/>
    <s v="1450AA-T-70241_FL07"/>
    <n v="1"/>
    <s v="PÇ"/>
    <n v="1.45"/>
    <n v="1.45"/>
    <n v="2238.89"/>
    <n v="3246.3904999999995"/>
    <n v="0"/>
    <n v="0.9"/>
    <n v="0.1"/>
    <n v="1"/>
    <n v="1"/>
    <x v="1"/>
    <n v="1.45"/>
    <m/>
    <n v="1.45"/>
    <n v="0"/>
    <m/>
    <n v="0.4"/>
    <n v="0.5"/>
    <n v="0.1"/>
    <n v="1"/>
    <n v="1"/>
    <n v="1"/>
    <n v="3246.3904999999995"/>
    <n v="0"/>
    <n v="3246.3904999999995"/>
    <n v="0"/>
    <m/>
    <m/>
  </r>
  <r>
    <s v="2.4.3.1.3"/>
    <s v="CMS M.60.10.000"/>
    <x v="2"/>
    <n v="3"/>
    <s v="SPOOL"/>
    <n v="10"/>
    <x v="2"/>
    <s v="NÃO"/>
    <s v="SIM"/>
    <x v="10"/>
    <x v="1"/>
    <s v="LINHA DE UNDERFLOW DAS PENEIRAS DESAGUADORAS RETRABALHO DO UNDERFLOW DA PENEIRA PN-143A-9726"/>
    <m/>
    <m/>
    <m/>
    <s v="1450AA-T-70241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10"/>
    <x v="1"/>
    <s v="LINHA DE UNDERFLOW DAS PENEIRAS DESAGUADORAS RETRABALHO DO UNDERFLOW DA PENEIRA PN-143A-9726"/>
    <m/>
    <m/>
    <m/>
    <s v="1450AA-T-70241_FL09"/>
    <n v="1"/>
    <s v="PÇ"/>
    <n v="0.4"/>
    <n v="0.4"/>
    <n v="2238.89"/>
    <n v="895.55600000000004"/>
    <n v="0"/>
    <n v="0.9"/>
    <n v="0.1"/>
    <n v="1"/>
    <n v="1"/>
    <x v="1"/>
    <n v="0.4"/>
    <m/>
    <n v="0.4"/>
    <n v="0"/>
    <m/>
    <n v="0.4"/>
    <n v="0.5"/>
    <n v="0.1"/>
    <n v="1"/>
    <n v="1"/>
    <n v="1"/>
    <n v="895.55600000000004"/>
    <n v="0"/>
    <n v="895.55600000000004"/>
    <n v="0"/>
    <m/>
    <m/>
  </r>
  <r>
    <s v="2.4.3.1.3"/>
    <s v="CMS M.60.10.000"/>
    <x v="2"/>
    <n v="5"/>
    <s v="SPOOL"/>
    <n v="10"/>
    <x v="2"/>
    <s v="NÃO"/>
    <s v="SIM"/>
    <x v="10"/>
    <x v="1"/>
    <s v="LINHA DE UNDERFLOW DAS PENEIRAS DESAGUADORAS RETRABALHO DO UNDERFLOW DA PENEIRA PN-143A-9726"/>
    <m/>
    <m/>
    <m/>
    <s v="1450AA-T-70241_FL10"/>
    <n v="1"/>
    <s v="PÇ"/>
    <n v="1.05"/>
    <n v="1.05"/>
    <n v="2238.89"/>
    <n v="2350.8344999999999"/>
    <n v="0"/>
    <n v="0.9"/>
    <n v="0.1"/>
    <n v="1"/>
    <n v="1"/>
    <x v="1"/>
    <n v="1.05"/>
    <m/>
    <n v="1.05"/>
    <n v="0"/>
    <m/>
    <n v="0.4"/>
    <n v="0.5"/>
    <n v="0.1"/>
    <n v="1"/>
    <n v="1"/>
    <n v="1"/>
    <n v="2350.8344999999999"/>
    <n v="0"/>
    <n v="2350.8344999999999"/>
    <n v="0"/>
    <m/>
    <m/>
  </r>
  <r>
    <s v="2.4.3.1.3"/>
    <s v="CMS M.60.10.000"/>
    <x v="2"/>
    <n v="1"/>
    <s v="CURVA"/>
    <n v="10"/>
    <x v="1"/>
    <s v="NÃO"/>
    <s v="SIM"/>
    <x v="11"/>
    <x v="2"/>
    <s v="LINHA DE UNDERFLOW DAS PENEIRAS DESAGUADORAS RETRABALHO DO UNDERFLOW DA PENEIRA PN-143A-9727"/>
    <m/>
    <m/>
    <m/>
    <s v="1450AA-T-70243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1"/>
    <x v="2"/>
    <s v="LINHA DE UNDERFLOW DAS PENEIRAS DESAGUADORAS RETRABALHO DO UNDERFLOW DA PENEIRA PN-143A-9727"/>
    <m/>
    <m/>
    <m/>
    <s v="1450AA-T-70243_FL07"/>
    <n v="1"/>
    <s v="PÇ"/>
    <n v="1.45"/>
    <n v="1.45"/>
    <n v="2238.89"/>
    <n v="3246.3904999999995"/>
    <n v="0"/>
    <n v="0.9"/>
    <n v="0.1"/>
    <n v="1"/>
    <n v="1"/>
    <x v="1"/>
    <n v="1.45"/>
    <m/>
    <n v="1.45"/>
    <n v="0"/>
    <m/>
    <n v="0.4"/>
    <n v="0.5"/>
    <n v="0.1"/>
    <n v="1"/>
    <n v="1"/>
    <n v="1"/>
    <n v="3246.3904999999995"/>
    <n v="0"/>
    <n v="3246.3904999999995"/>
    <n v="0"/>
    <m/>
    <m/>
  </r>
  <r>
    <s v="2.4.3.1.3"/>
    <s v="CMS M.60.10.000"/>
    <x v="2"/>
    <n v="3"/>
    <s v="SPOOL"/>
    <n v="10"/>
    <x v="2"/>
    <s v="NÃO"/>
    <s v="SIM"/>
    <x v="11"/>
    <x v="2"/>
    <s v="LINHA DE UNDERFLOW DAS PENEIRAS DESAGUADORAS RETRABALHO DO UNDERFLOW DA PENEIRA PN-143A-9727"/>
    <m/>
    <m/>
    <m/>
    <s v="1450AA-T-70243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11"/>
    <x v="2"/>
    <s v="LINHA DE UNDERFLOW DAS PENEIRAS DESAGUADORAS RETRABALHO DO UNDERFLOW DA PENEIRA PN-143A-9727"/>
    <m/>
    <m/>
    <m/>
    <s v="1450AA-T-70243_FL09"/>
    <n v="1"/>
    <s v="PÇ"/>
    <n v="0.55000000000000004"/>
    <n v="0.55000000000000004"/>
    <n v="2238.89"/>
    <n v="1231.3895"/>
    <n v="0"/>
    <n v="0.9"/>
    <n v="0.1"/>
    <n v="1"/>
    <n v="1"/>
    <x v="1"/>
    <n v="0.55000000000000004"/>
    <m/>
    <n v="0.55000000000000004"/>
    <n v="0"/>
    <m/>
    <n v="0.4"/>
    <n v="0.5"/>
    <n v="0.1"/>
    <n v="1"/>
    <n v="1"/>
    <n v="1"/>
    <n v="1231.3895"/>
    <n v="0"/>
    <n v="1231.3895"/>
    <n v="0"/>
    <m/>
    <m/>
  </r>
  <r>
    <s v="2.4.3.1.3"/>
    <s v="CMS M.60.10.000"/>
    <x v="2"/>
    <n v="5"/>
    <s v="SPOOL"/>
    <n v="10"/>
    <x v="2"/>
    <s v="NÃO"/>
    <s v="SIM"/>
    <x v="11"/>
    <x v="2"/>
    <s v="LINHA DE UNDERFLOW DAS PENEIRAS DESAGUADORAS RETRABALHO DO UNDERFLOW DA PENEIRA PN-143A-9727"/>
    <m/>
    <m/>
    <m/>
    <s v="1450AA-T-70243_FL10"/>
    <n v="1"/>
    <s v="PÇ"/>
    <n v="1.05"/>
    <n v="1.05"/>
    <n v="2238.89"/>
    <n v="2350.8344999999999"/>
    <n v="0"/>
    <n v="0.9"/>
    <n v="0.1"/>
    <n v="1"/>
    <n v="1"/>
    <x v="1"/>
    <n v="1.05"/>
    <m/>
    <n v="1.05"/>
    <n v="0"/>
    <m/>
    <n v="0.4"/>
    <n v="0.5"/>
    <n v="0.1"/>
    <n v="1"/>
    <n v="1"/>
    <n v="1"/>
    <n v="2350.8344999999999"/>
    <n v="0"/>
    <n v="2350.8344999999999"/>
    <n v="0"/>
    <m/>
    <m/>
  </r>
  <r>
    <s v="2.4.3.1.3"/>
    <s v="CMS M.60.10.000"/>
    <x v="2"/>
    <n v="1"/>
    <s v="CURVA"/>
    <n v="10"/>
    <x v="1"/>
    <s v="NÃO"/>
    <s v="SIM"/>
    <x v="12"/>
    <x v="2"/>
    <s v="LINHA DE UNDERFLOW DAS PENEIRAS DESAGUADORAS RETRABALHO DO UNDERFLOW DA PENEIRA PN-143A-9728"/>
    <m/>
    <m/>
    <m/>
    <s v="1450AA-T-70245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2"/>
    <x v="2"/>
    <s v="LINHA DE UNDERFLOW DAS PENEIRAS DESAGUADORAS RETRABALHO DO UNDERFLOW DA PENEIRA PN-143A-9728"/>
    <m/>
    <m/>
    <m/>
    <s v="1450AA-T-70245_FL07"/>
    <n v="1"/>
    <s v="PÇ"/>
    <n v="1.55"/>
    <n v="1.55"/>
    <n v="2238.89"/>
    <n v="3470.2795000000001"/>
    <n v="0"/>
    <n v="0.9"/>
    <n v="0.1"/>
    <n v="1"/>
    <n v="1"/>
    <x v="1"/>
    <n v="1.55"/>
    <m/>
    <n v="1.55"/>
    <n v="0"/>
    <m/>
    <n v="0.4"/>
    <n v="0.5"/>
    <n v="0.1"/>
    <n v="1"/>
    <n v="1"/>
    <n v="1"/>
    <n v="3470.2795000000001"/>
    <n v="0"/>
    <n v="3470.2795000000001"/>
    <n v="0"/>
    <m/>
    <m/>
  </r>
  <r>
    <s v="2.4.3.1.3"/>
    <s v="CMS M.60.10.000"/>
    <x v="2"/>
    <n v="3"/>
    <s v="SPOOL"/>
    <n v="10"/>
    <x v="2"/>
    <s v="NÃO"/>
    <s v="SIM"/>
    <x v="12"/>
    <x v="2"/>
    <s v="LINHA DE UNDERFLOW DAS PENEIRAS DESAGUADORAS RETRABALHO DO UNDERFLOW DA PENEIRA PN-143A-9728"/>
    <m/>
    <m/>
    <m/>
    <s v="1450AA-T-70245_FL08"/>
    <n v="3"/>
    <s v="PÇ"/>
    <n v="0.6"/>
    <n v="1.7999999999999998"/>
    <n v="2238.89"/>
    <n v="4030.0019999999995"/>
    <n v="0"/>
    <n v="0.9"/>
    <n v="0.1"/>
    <n v="1"/>
    <n v="1"/>
    <x v="1"/>
    <n v="1.7999999999999998"/>
    <m/>
    <n v="1.7999999999999998"/>
    <n v="0"/>
    <m/>
    <n v="0.4"/>
    <n v="0.5"/>
    <n v="0.1"/>
    <n v="1"/>
    <n v="1"/>
    <n v="1"/>
    <n v="4030.0019999999995"/>
    <n v="0"/>
    <n v="4030.0019999999995"/>
    <n v="0"/>
    <m/>
    <m/>
  </r>
  <r>
    <s v="2.4.3.1.3"/>
    <s v="CMS M.60.10.000"/>
    <x v="2"/>
    <n v="1"/>
    <s v="CURVA"/>
    <n v="10"/>
    <x v="1"/>
    <s v="NÃO"/>
    <s v="SIM"/>
    <x v="13"/>
    <x v="2"/>
    <s v="LINHA DE UNDERFLOW DAS PENEIRAS DESAGUADORAS RETRABALHO DO UNDERFLOW DA PENEIRA PN-143A-9729"/>
    <m/>
    <m/>
    <m/>
    <s v="1450AA-T-70247_FL06"/>
    <n v="1"/>
    <s v="PÇ"/>
    <n v="0.67300000000000004"/>
    <n v="0.67300000000000004"/>
    <n v="2238.89"/>
    <n v="1506.77297"/>
    <n v="0"/>
    <n v="0.9"/>
    <n v="0.1"/>
    <n v="1"/>
    <n v="1"/>
    <x v="1"/>
    <n v="0.67300000000000004"/>
    <m/>
    <n v="0.67300000000000004"/>
    <n v="0"/>
    <m/>
    <n v="0.4"/>
    <n v="0.5"/>
    <n v="0.1"/>
    <n v="1"/>
    <n v="1"/>
    <n v="1"/>
    <n v="1506.77297"/>
    <n v="0"/>
    <n v="1506.77297"/>
    <n v="0"/>
    <m/>
    <m/>
  </r>
  <r>
    <s v="2.4.3.1.3"/>
    <s v="CMS M.60.10.000"/>
    <x v="2"/>
    <n v="2"/>
    <s v="SPOOL"/>
    <n v="10"/>
    <x v="1"/>
    <s v="NÃO"/>
    <s v="SIM"/>
    <x v="13"/>
    <x v="2"/>
    <s v="LINHA DE UNDERFLOW DAS PENEIRAS DESAGUADORAS RETRABALHO DO UNDERFLOW DA PENEIRA PN-143A-9729"/>
    <m/>
    <m/>
    <m/>
    <s v="1450AA-T-70247_FL07"/>
    <n v="1"/>
    <s v="PÇ"/>
    <n v="2"/>
    <n v="2"/>
    <n v="2238.89"/>
    <n v="4477.78"/>
    <n v="0"/>
    <n v="0.9"/>
    <n v="0.1"/>
    <n v="1"/>
    <n v="1"/>
    <x v="1"/>
    <n v="2"/>
    <m/>
    <n v="2"/>
    <n v="0"/>
    <m/>
    <n v="0.4"/>
    <n v="0.5"/>
    <n v="0.1"/>
    <n v="1"/>
    <n v="1"/>
    <n v="1"/>
    <n v="4477.78"/>
    <n v="0"/>
    <n v="4477.78"/>
    <n v="0"/>
    <m/>
    <m/>
  </r>
  <r>
    <s v="2.4.3.1.3"/>
    <s v="CMS M.60.10.000"/>
    <x v="2"/>
    <n v="3"/>
    <s v="SPOOL"/>
    <n v="10"/>
    <x v="2"/>
    <s v="NÃO"/>
    <s v="SIM"/>
    <x v="13"/>
    <x v="2"/>
    <s v="LINHA DE UNDERFLOW DAS PENEIRAS DESAGUADORAS RETRABALHO DO UNDERFLOW DA PENEIRA PN-143A-9729"/>
    <m/>
    <m/>
    <m/>
    <s v="1450AA-T-70247_FL08"/>
    <n v="1"/>
    <s v="PÇ"/>
    <n v="0.25"/>
    <n v="0.25"/>
    <n v="2238.89"/>
    <n v="559.72249999999997"/>
    <n v="0"/>
    <n v="0.9"/>
    <n v="0.1"/>
    <n v="1"/>
    <n v="1"/>
    <x v="1"/>
    <n v="0.25"/>
    <m/>
    <n v="0.25"/>
    <n v="0"/>
    <m/>
    <n v="0.4"/>
    <n v="0.5"/>
    <n v="0.1"/>
    <n v="1"/>
    <n v="1"/>
    <n v="1"/>
    <n v="559.72249999999997"/>
    <n v="0"/>
    <n v="559.72249999999997"/>
    <n v="0"/>
    <m/>
    <m/>
  </r>
  <r>
    <s v="2.4.3.1.3"/>
    <s v="CMS M.60.10.000"/>
    <x v="2"/>
    <n v="4"/>
    <s v="SPOOL"/>
    <n v="10"/>
    <x v="2"/>
    <s v="NÃO"/>
    <s v="SIM"/>
    <x v="13"/>
    <x v="2"/>
    <s v="LINHA DE UNDERFLOW DAS PENEIRAS DESAGUADORAS RETRABALHO DO UNDERFLOW DA PENEIRA PN-143A-9729"/>
    <m/>
    <m/>
    <m/>
    <s v="1450AA-T-70247_FL09"/>
    <n v="1"/>
    <s v="PÇ"/>
    <n v="0.35"/>
    <n v="0.35"/>
    <n v="2238.89"/>
    <n v="783.61149999999986"/>
    <n v="0"/>
    <n v="0.9"/>
    <n v="0.1"/>
    <n v="1"/>
    <n v="1"/>
    <x v="1"/>
    <n v="0.35"/>
    <m/>
    <n v="0.35"/>
    <n v="0"/>
    <m/>
    <n v="0.4"/>
    <n v="0.5"/>
    <n v="0.1"/>
    <n v="1"/>
    <n v="1"/>
    <n v="1"/>
    <n v="783.61149999999986"/>
    <n v="0"/>
    <n v="783.61149999999986"/>
    <n v="0"/>
    <m/>
    <m/>
  </r>
  <r>
    <s v="2.4.3.1.3"/>
    <s v="CMS M.60.10.000"/>
    <x v="2"/>
    <n v="5"/>
    <s v="SPOOL"/>
    <n v="10"/>
    <x v="2"/>
    <s v="NÃO"/>
    <s v="SIM"/>
    <x v="13"/>
    <x v="2"/>
    <s v="LINHA DE UNDERFLOW DAS PENEIRAS DESAGUADORAS RETRABALHO DO UNDERFLOW DA PENEIRA PN-143A-9729"/>
    <m/>
    <m/>
    <m/>
    <s v="1450AA-T-70247_FL10"/>
    <n v="1"/>
    <s v="PÇ"/>
    <n v="0.6"/>
    <n v="0.6"/>
    <n v="2238.89"/>
    <n v="1343.3339999999998"/>
    <n v="0"/>
    <n v="0.9"/>
    <n v="0.1"/>
    <n v="1"/>
    <n v="1"/>
    <x v="1"/>
    <n v="0.6"/>
    <m/>
    <n v="0.6"/>
    <n v="0"/>
    <m/>
    <n v="0.4"/>
    <n v="0.5"/>
    <n v="0.1"/>
    <n v="1"/>
    <n v="1"/>
    <n v="1"/>
    <n v="1343.3339999999998"/>
    <n v="0"/>
    <n v="1343.3339999999998"/>
    <n v="0"/>
    <m/>
    <m/>
  </r>
  <r>
    <s v="2.4.3.1.3"/>
    <s v="CMS M.60.10.000"/>
    <x v="2"/>
    <n v="1"/>
    <s v="SPOOL"/>
    <n v="10"/>
    <x v="1"/>
    <s v="SIM"/>
    <s v="NÃO"/>
    <x v="14"/>
    <x v="1"/>
    <s v="LINHA DO CIRCUITO ARENOSO LINHA DE UNDERFLOW DAS PENEIRAS DESAGUADORAS"/>
    <m/>
    <m/>
    <m/>
    <s v="1450AA-T-70251_FL22"/>
    <n v="6"/>
    <s v="PÇ"/>
    <n v="0.5"/>
    <n v="3"/>
    <n v="2238.89"/>
    <n v="6716.67"/>
    <n v="0"/>
    <n v="0.9"/>
    <n v="0.1"/>
    <n v="1"/>
    <n v="1"/>
    <x v="1"/>
    <n v="3"/>
    <m/>
    <n v="3"/>
    <n v="0"/>
    <m/>
    <n v="0.4"/>
    <n v="0.5"/>
    <n v="0.1"/>
    <n v="1"/>
    <n v="1"/>
    <n v="1"/>
    <n v="6716.67"/>
    <n v="0"/>
    <n v="6716.67"/>
    <n v="0"/>
    <m/>
    <m/>
  </r>
  <r>
    <s v="2.4.3.1.3"/>
    <s v="CMS M.60.10.000"/>
    <x v="2"/>
    <n v="2"/>
    <s v="SPOOL"/>
    <n v="10"/>
    <x v="1"/>
    <s v="NÃO"/>
    <s v="NÃO"/>
    <x v="14"/>
    <x v="1"/>
    <s v="LINHA DO CIRCUITO ARENOSO LINHA DE UNDERFLOW DAS PENEIRAS DESAGUADORAS"/>
    <m/>
    <m/>
    <m/>
    <s v="1450AA-T-70251_FL41"/>
    <n v="1"/>
    <s v="PÇ"/>
    <n v="2.5"/>
    <n v="2.5"/>
    <n v="2238.89"/>
    <n v="5597.2249999999995"/>
    <n v="0"/>
    <n v="0.9"/>
    <n v="0.1"/>
    <n v="1"/>
    <n v="1"/>
    <x v="1"/>
    <n v="2.5"/>
    <m/>
    <n v="2.5"/>
    <n v="0"/>
    <m/>
    <n v="0.4"/>
    <n v="0.5"/>
    <n v="0.1"/>
    <n v="1"/>
    <n v="1"/>
    <n v="1"/>
    <n v="5597.2249999999995"/>
    <n v="0"/>
    <n v="5597.2249999999995"/>
    <n v="0"/>
    <m/>
    <m/>
  </r>
  <r>
    <s v="2.4.3.1.3"/>
    <s v="CMS M.60.10.000"/>
    <x v="2"/>
    <n v="3"/>
    <s v="DERIVAÇÃO "/>
    <n v="10"/>
    <x v="1"/>
    <s v="NÃO"/>
    <s v="NÃO"/>
    <x v="14"/>
    <x v="1"/>
    <s v="LINHA DO CIRCUITO ARENOSO LINHA DE UNDERFLOW DAS PENEIRAS DESAGUADORAS"/>
    <m/>
    <m/>
    <m/>
    <s v="1450AA-T-70251_FL26"/>
    <n v="1"/>
    <s v="PÇ"/>
    <n v="1.7"/>
    <n v="1.7"/>
    <n v="2238.89"/>
    <n v="3806.1129999999998"/>
    <n v="0"/>
    <n v="0.9"/>
    <n v="0.1"/>
    <n v="1"/>
    <n v="1"/>
    <x v="1"/>
    <n v="1.7"/>
    <m/>
    <n v="1.7"/>
    <n v="0"/>
    <m/>
    <n v="0.4"/>
    <n v="0.5"/>
    <n v="0.1"/>
    <n v="1"/>
    <n v="1"/>
    <n v="1"/>
    <n v="3806.1129999999998"/>
    <n v="0"/>
    <n v="3806.1129999999998"/>
    <n v="0"/>
    <m/>
    <m/>
  </r>
  <r>
    <s v="2.4.3.1.3"/>
    <s v="CMS M.60.10.000"/>
    <x v="2"/>
    <n v="4"/>
    <s v="SPOOL"/>
    <n v="10"/>
    <x v="2"/>
    <s v="NÃO"/>
    <s v="NÃO"/>
    <x v="14"/>
    <x v="1"/>
    <s v="LINHA DO CIRCUITO ARENOSO LINHA DE UNDERFLOW DAS PENEIRAS DESAGUADORAS"/>
    <m/>
    <m/>
    <m/>
    <s v="1450AA-T-70251_FL52"/>
    <n v="2"/>
    <s v="PÇ"/>
    <n v="0.5"/>
    <n v="1"/>
    <n v="2238.89"/>
    <n v="2238.89"/>
    <n v="0"/>
    <n v="0.9"/>
    <n v="0.1"/>
    <n v="1"/>
    <n v="1"/>
    <x v="1"/>
    <n v="1"/>
    <m/>
    <n v="1"/>
    <n v="0"/>
    <m/>
    <n v="0.4"/>
    <n v="0.5"/>
    <n v="0.1"/>
    <n v="1"/>
    <n v="1"/>
    <n v="1"/>
    <n v="2238.89"/>
    <n v="0"/>
    <n v="2238.89"/>
    <n v="0"/>
    <m/>
    <m/>
  </r>
  <r>
    <s v="2.4.3.1.3"/>
    <s v="CMS M.60.10.000"/>
    <x v="2"/>
    <n v="5"/>
    <s v="REDUÇÃO"/>
    <s v="14 X 10"/>
    <x v="1"/>
    <s v="NÃO"/>
    <s v="NÃO"/>
    <x v="14"/>
    <x v="1"/>
    <s v="LINHA DO CIRCUITO ARENOSO LINHA DE UNDERFLOW DAS PENEIRAS DESAGUADORAS"/>
    <m/>
    <m/>
    <m/>
    <s v="1450AA-T-70251_FL23"/>
    <n v="1"/>
    <s v="PÇ"/>
    <n v="0.63"/>
    <n v="0.63"/>
    <n v="2238.89"/>
    <n v="1410.5006999999998"/>
    <n v="0"/>
    <n v="0.9"/>
    <n v="0.1"/>
    <n v="1"/>
    <n v="1"/>
    <x v="1"/>
    <n v="0.63"/>
    <m/>
    <n v="0.63"/>
    <n v="0"/>
    <m/>
    <n v="0.4"/>
    <n v="0.5"/>
    <n v="0.1"/>
    <n v="1"/>
    <n v="1"/>
    <n v="1"/>
    <n v="1410.5006999999998"/>
    <n v="0"/>
    <n v="1410.5006999999998"/>
    <n v="0"/>
    <m/>
    <m/>
  </r>
  <r>
    <s v="2.4.3.1.3"/>
    <s v="CMS M.60.10.000"/>
    <x v="2"/>
    <n v="6"/>
    <s v="DERIVAÇÃO "/>
    <s v="14 X 10"/>
    <x v="1"/>
    <s v="NÃO"/>
    <s v="NÃO"/>
    <x v="14"/>
    <x v="1"/>
    <s v="LINHA DO CIRCUITO ARENOSO LINHA DE UNDERFLOW DAS PENEIRAS DESAGUADORAS"/>
    <m/>
    <m/>
    <m/>
    <s v="1450AA-T-70251_FL27"/>
    <n v="4"/>
    <s v="PÇ"/>
    <n v="1.9"/>
    <n v="7.6"/>
    <n v="2238.89"/>
    <n v="17015.563999999998"/>
    <n v="0"/>
    <n v="0.9"/>
    <n v="0.1"/>
    <n v="1"/>
    <n v="1"/>
    <x v="1"/>
    <n v="7.6"/>
    <m/>
    <n v="7.6"/>
    <n v="0"/>
    <m/>
    <n v="0.4"/>
    <n v="0.5"/>
    <n v="0.1"/>
    <n v="1"/>
    <n v="1"/>
    <n v="1"/>
    <n v="17015.563999999998"/>
    <n v="0"/>
    <n v="17015.563999999998"/>
    <n v="0"/>
    <m/>
    <m/>
  </r>
  <r>
    <s v="2.4.3.1.5"/>
    <s v="CMS M.60.10.000"/>
    <x v="2"/>
    <n v="7"/>
    <s v="SPOOL"/>
    <n v="14"/>
    <x v="2"/>
    <s v="NÃO"/>
    <s v="NÃO"/>
    <x v="14"/>
    <x v="1"/>
    <s v="LINHA DO CIRCUITO ARENOSO LINHA DE UNDERFLOW DAS PENEIRAS DESAGUADORAS"/>
    <m/>
    <m/>
    <m/>
    <s v="1450AA-T-70251_FL55"/>
    <n v="4"/>
    <s v="PÇ"/>
    <n v="0.4"/>
    <n v="1.6"/>
    <n v="2725.4"/>
    <n v="4360.6400000000003"/>
    <n v="0"/>
    <n v="0.9"/>
    <n v="0.1"/>
    <n v="1"/>
    <n v="1"/>
    <x v="1"/>
    <n v="1.6"/>
    <m/>
    <n v="1.6"/>
    <n v="0"/>
    <m/>
    <n v="0.4"/>
    <n v="0.5"/>
    <n v="0.1"/>
    <n v="1"/>
    <n v="1"/>
    <n v="1"/>
    <n v="4360.6400000000003"/>
    <n v="0"/>
    <n v="4360.6400000000003"/>
    <n v="0"/>
    <m/>
    <m/>
  </r>
  <r>
    <s v="2.4.3.1.3"/>
    <s v="CMS M.60.10.000"/>
    <x v="2"/>
    <n v="8"/>
    <s v="DERIVAÇÃO "/>
    <s v="14 X 10"/>
    <x v="1"/>
    <s v="NÃO"/>
    <s v="NÃO"/>
    <x v="14"/>
    <x v="1"/>
    <s v="LINHA DO CIRCUITO ARENOSO LINHA DE UNDERFLOW DAS PENEIRAS DESAGUADORAS"/>
    <m/>
    <m/>
    <m/>
    <s v="1450AA-T-70251_FL29"/>
    <n v="3"/>
    <s v="PÇ"/>
    <n v="1.9"/>
    <n v="5.6999999999999993"/>
    <n v="2238.89"/>
    <n v="12761.672999999997"/>
    <n v="0"/>
    <n v="0.9"/>
    <n v="0.1"/>
    <n v="1"/>
    <n v="1"/>
    <x v="1"/>
    <n v="5.6999999999999993"/>
    <m/>
    <n v="5.6999999999999993"/>
    <n v="0"/>
    <m/>
    <n v="0.4"/>
    <n v="0.5"/>
    <n v="0.1"/>
    <n v="1"/>
    <n v="1"/>
    <n v="1"/>
    <n v="12761.672999999997"/>
    <n v="0"/>
    <n v="12761.672999999997"/>
    <n v="0"/>
    <m/>
    <m/>
  </r>
  <r>
    <s v="2.4.3.1.5"/>
    <s v="CMS M.60.10.000"/>
    <x v="2"/>
    <n v="9"/>
    <s v="SPOOL"/>
    <n v="14"/>
    <x v="1"/>
    <s v="NÃO"/>
    <s v="NÃO"/>
    <x v="14"/>
    <x v="1"/>
    <s v="LINHA DO CIRCUITO ARENOSO LINHA DE UNDERFLOW DAS PENEIRAS DESAGUADORAS"/>
    <m/>
    <m/>
    <m/>
    <s v="1450AA-T-70251_FL42"/>
    <n v="2"/>
    <s v="PÇ"/>
    <n v="1.8"/>
    <n v="3.6"/>
    <n v="2725.4"/>
    <n v="9811.44"/>
    <n v="0"/>
    <n v="0.9"/>
    <n v="0.1"/>
    <n v="1"/>
    <n v="1"/>
    <x v="1"/>
    <n v="3.6"/>
    <m/>
    <n v="3.6"/>
    <n v="0"/>
    <m/>
    <n v="0.4"/>
    <n v="0.5"/>
    <n v="0.1"/>
    <n v="1"/>
    <n v="1"/>
    <n v="1"/>
    <n v="9811.44"/>
    <n v="0"/>
    <n v="9811.44"/>
    <n v="0"/>
    <m/>
    <m/>
  </r>
  <r>
    <s v="2.4.3.1.7"/>
    <s v="CMS M.60.10.000"/>
    <x v="2"/>
    <n v="10"/>
    <s v="SPOOL"/>
    <n v="20"/>
    <x v="2"/>
    <s v="NÃO"/>
    <s v="NÃO"/>
    <x v="14"/>
    <x v="1"/>
    <s v="LINHA DO CIRCUITO ARENOSO LINHA DE UNDERFLOW DAS PENEIRAS DESAGUADORAS"/>
    <m/>
    <m/>
    <m/>
    <s v="1450AA-T-70251_FL62"/>
    <n v="2"/>
    <s v="PÇ"/>
    <n v="0.8"/>
    <n v="1.6"/>
    <n v="3789.72"/>
    <n v="6063.5519999999997"/>
    <n v="0"/>
    <n v="0.9"/>
    <n v="0.1"/>
    <n v="1"/>
    <n v="1"/>
    <x v="1"/>
    <n v="1.6"/>
    <m/>
    <n v="1.6"/>
    <n v="0"/>
    <m/>
    <n v="0.4"/>
    <n v="0.5"/>
    <n v="0.1"/>
    <n v="1"/>
    <n v="1"/>
    <n v="1"/>
    <n v="6063.5519999999997"/>
    <n v="0"/>
    <n v="6063.5519999999997"/>
    <n v="0"/>
    <m/>
    <m/>
  </r>
  <r>
    <s v="2.4.3.1.5"/>
    <s v="CMS M.60.10.000"/>
    <x v="2"/>
    <n v="11"/>
    <s v="SPOOL"/>
    <n v="14"/>
    <x v="1"/>
    <s v="NÃO"/>
    <s v="NÃO"/>
    <x v="14"/>
    <x v="1"/>
    <s v="LINHA DO CIRCUITO ARENOSO LINHA DE UNDERFLOW DAS PENEIRAS DESAGUADORAS"/>
    <m/>
    <m/>
    <m/>
    <s v="1450AA-T-70251_FL43"/>
    <n v="1"/>
    <s v="PÇ"/>
    <n v="2"/>
    <n v="2"/>
    <n v="2725.4"/>
    <n v="5450.8"/>
    <n v="0"/>
    <n v="0.9"/>
    <n v="0.1"/>
    <n v="1"/>
    <n v="1"/>
    <x v="1"/>
    <n v="2"/>
    <m/>
    <n v="2"/>
    <n v="0"/>
    <m/>
    <n v="0.4"/>
    <n v="0.5"/>
    <n v="0.1"/>
    <n v="1"/>
    <n v="1"/>
    <n v="1"/>
    <n v="5450.8"/>
    <n v="0"/>
    <n v="5450.8"/>
    <n v="0"/>
    <m/>
    <m/>
  </r>
  <r>
    <s v="2.4.3.1.5"/>
    <s v="CMS M.60.10.000"/>
    <x v="2"/>
    <n v="12"/>
    <s v="SPOOL"/>
    <n v="14"/>
    <x v="2"/>
    <s v="NÃO"/>
    <s v="NÃO"/>
    <x v="14"/>
    <x v="1"/>
    <s v="LINHA DO CIRCUITO ARENOSO LINHA DE UNDERFLOW DAS PENEIRAS DESAGUADORAS"/>
    <m/>
    <m/>
    <m/>
    <s v="1450AA-T-70251_FL56"/>
    <n v="1"/>
    <s v="PÇ"/>
    <n v="0.5"/>
    <n v="0.5"/>
    <n v="2725.4"/>
    <n v="1362.7"/>
    <n v="0"/>
    <n v="0.9"/>
    <n v="0.1"/>
    <n v="1"/>
    <n v="1"/>
    <x v="1"/>
    <n v="0.5"/>
    <m/>
    <n v="0.5"/>
    <n v="0"/>
    <m/>
    <n v="0.4"/>
    <n v="0.5"/>
    <n v="0.1"/>
    <n v="1"/>
    <n v="1"/>
    <n v="1"/>
    <n v="1362.7"/>
    <n v="0"/>
    <n v="1362.7"/>
    <n v="0"/>
    <m/>
    <m/>
  </r>
  <r>
    <s v="2.4.3.1.3"/>
    <s v="CMS M.60.10.000"/>
    <x v="2"/>
    <n v="13"/>
    <s v="SPOOL"/>
    <n v="10"/>
    <x v="2"/>
    <s v="NÃO"/>
    <s v="NÃO"/>
    <x v="14"/>
    <x v="1"/>
    <s v="LINHA DO CIRCUITO ARENOSO LINHA DE UNDERFLOW DAS PENEIRAS DESAGUADORAS"/>
    <m/>
    <m/>
    <m/>
    <s v="1450AA-T-70251_FL51"/>
    <n v="2"/>
    <s v="PÇ"/>
    <n v="0.4"/>
    <n v="0.8"/>
    <n v="2238.89"/>
    <n v="1791.1120000000001"/>
    <n v="0"/>
    <n v="0.9"/>
    <n v="0.1"/>
    <n v="1"/>
    <n v="1"/>
    <x v="1"/>
    <n v="0.8"/>
    <m/>
    <n v="0.8"/>
    <n v="0"/>
    <m/>
    <n v="0.4"/>
    <n v="0.5"/>
    <n v="0.1"/>
    <n v="1"/>
    <n v="1"/>
    <n v="1"/>
    <n v="1791.1120000000001"/>
    <n v="0"/>
    <n v="1791.1120000000001"/>
    <n v="0"/>
    <m/>
    <m/>
  </r>
  <r>
    <s v="2.4.3.1.3"/>
    <s v="CMS M.60.10.000"/>
    <x v="2"/>
    <n v="14"/>
    <s v="DERIVAÇÃO "/>
    <s v="14 X 10"/>
    <x v="1"/>
    <s v="NÃO"/>
    <s v="NÃO"/>
    <x v="14"/>
    <x v="1"/>
    <s v="LINHA DO CIRCUITO ARENOSO LINHA DE UNDERFLOW DAS PENEIRAS DESAGUADORAS"/>
    <m/>
    <m/>
    <m/>
    <s v="1450AA-T-70251_FL28"/>
    <n v="1"/>
    <s v="PÇ"/>
    <n v="1.9"/>
    <n v="1.9"/>
    <n v="2238.89"/>
    <n v="4253.8909999999996"/>
    <n v="0"/>
    <n v="0.9"/>
    <n v="0.1"/>
    <n v="1"/>
    <n v="1"/>
    <x v="1"/>
    <n v="1.9"/>
    <m/>
    <n v="1.9"/>
    <n v="0"/>
    <m/>
    <n v="0.4"/>
    <n v="0.5"/>
    <n v="0.1"/>
    <n v="1"/>
    <n v="1"/>
    <n v="1"/>
    <n v="4253.8909999999996"/>
    <n v="0"/>
    <n v="4253.8909999999996"/>
    <n v="0"/>
    <m/>
    <m/>
  </r>
  <r>
    <s v="2.4.3.1.5"/>
    <s v="CMS M.60.10.000"/>
    <x v="2"/>
    <n v="15"/>
    <s v="REDUÇÃO"/>
    <s v="20 X 14"/>
    <x v="1"/>
    <s v="NÃO"/>
    <s v="NÃO"/>
    <x v="14"/>
    <x v="1"/>
    <s v="LINHA DO CIRCUITO ARENOSO LINHA DE UNDERFLOW DAS PENEIRAS DESAGUADORAS"/>
    <m/>
    <m/>
    <m/>
    <s v="1450AA-T-70251_FL24"/>
    <n v="1"/>
    <s v="PÇ"/>
    <n v="0.81"/>
    <n v="0.81"/>
    <n v="2725.4"/>
    <n v="2207.5740000000001"/>
    <n v="0"/>
    <n v="0.9"/>
    <n v="0.1"/>
    <n v="1"/>
    <n v="1"/>
    <x v="1"/>
    <n v="0.81"/>
    <m/>
    <n v="0.81"/>
    <n v="0"/>
    <m/>
    <n v="0.4"/>
    <n v="0.5"/>
    <n v="0.1"/>
    <n v="1"/>
    <n v="1"/>
    <n v="1"/>
    <n v="2207.5740000000001"/>
    <n v="0"/>
    <n v="2207.5740000000001"/>
    <n v="0"/>
    <m/>
    <m/>
  </r>
  <r>
    <s v="2.4.3.1.7"/>
    <s v="CMS M.60.10.000"/>
    <x v="2"/>
    <n v="16"/>
    <s v="SPOOL"/>
    <n v="20"/>
    <x v="2"/>
    <s v="NÃO"/>
    <s v="NÃO"/>
    <x v="14"/>
    <x v="1"/>
    <s v="LINHA DO CIRCUITO ARENOSO LINHA DE UNDERFLOW DAS PENEIRAS DESAGUADORAS"/>
    <m/>
    <m/>
    <m/>
    <s v="1450AA-T-70251_FL60"/>
    <n v="2"/>
    <s v="PÇ"/>
    <n v="0.5"/>
    <n v="1"/>
    <n v="3789.72"/>
    <n v="3789.72"/>
    <n v="0"/>
    <n v="0.9"/>
    <n v="0.1"/>
    <n v="1"/>
    <n v="1"/>
    <x v="1"/>
    <n v="1"/>
    <m/>
    <n v="1"/>
    <n v="0"/>
    <m/>
    <n v="0.4"/>
    <n v="0.5"/>
    <n v="0.1"/>
    <n v="1"/>
    <n v="1"/>
    <n v="1"/>
    <n v="3789.72"/>
    <n v="0"/>
    <n v="3789.72"/>
    <n v="0"/>
    <m/>
    <m/>
  </r>
  <r>
    <s v="2.4.3.1.7"/>
    <s v="CMS M.60.10.000"/>
    <x v="2"/>
    <n v="17"/>
    <s v="SPOOL"/>
    <n v="20"/>
    <x v="1"/>
    <s v="NÃO"/>
    <s v="NÃO"/>
    <x v="14"/>
    <x v="1"/>
    <s v="LINHA DO CIRCUITO ARENOSO LINHA DE UNDERFLOW DAS PENEIRAS DESAGUADORAS"/>
    <m/>
    <m/>
    <m/>
    <s v="1450AA-T-70251_FL44"/>
    <n v="3"/>
    <s v="PÇ"/>
    <n v="2"/>
    <n v="6"/>
    <n v="3789.72"/>
    <n v="22738.32"/>
    <n v="0"/>
    <n v="0.9"/>
    <n v="0.1"/>
    <n v="1"/>
    <n v="1"/>
    <x v="1"/>
    <n v="6"/>
    <m/>
    <n v="6"/>
    <n v="0"/>
    <m/>
    <n v="0.4"/>
    <n v="0.5"/>
    <n v="0.1"/>
    <n v="1"/>
    <n v="1"/>
    <n v="1"/>
    <n v="22738.32"/>
    <n v="0"/>
    <n v="22738.32"/>
    <n v="0"/>
    <m/>
    <m/>
  </r>
  <r>
    <s v="2.4.3.1.3"/>
    <s v="CMS M.60.10.000"/>
    <x v="2"/>
    <n v="18"/>
    <s v="DERIVAÇÃO "/>
    <s v="20 X 10"/>
    <x v="1"/>
    <s v="NÃO"/>
    <s v="NÃO"/>
    <x v="14"/>
    <x v="1"/>
    <s v="LINHA DO CIRCUITO ARENOSO LINHA DE UNDERFLOW DAS PENEIRAS DESAGUADORAS"/>
    <m/>
    <m/>
    <m/>
    <s v="1450AA-T-70251_FL31"/>
    <n v="2"/>
    <s v="PÇ"/>
    <n v="1.121"/>
    <n v="2.242"/>
    <n v="2238.89"/>
    <n v="5019.5913799999998"/>
    <n v="0"/>
    <n v="0.9"/>
    <n v="0.1"/>
    <n v="1"/>
    <n v="1"/>
    <x v="1"/>
    <n v="2.242"/>
    <m/>
    <n v="2.242"/>
    <n v="0"/>
    <m/>
    <n v="0.4"/>
    <n v="0.5"/>
    <n v="0.1"/>
    <n v="1"/>
    <n v="1"/>
    <n v="1"/>
    <n v="5019.5913799999998"/>
    <n v="0"/>
    <n v="5019.5913799999998"/>
    <n v="0"/>
    <m/>
    <m/>
  </r>
  <r>
    <s v="2.4.3.1.7"/>
    <s v="CMS M.60.10.000"/>
    <x v="2"/>
    <n v="19"/>
    <s v="SPOOL"/>
    <n v="20"/>
    <x v="2"/>
    <s v="NÃO"/>
    <s v="NÃO"/>
    <x v="14"/>
    <x v="1"/>
    <s v="LINHA DO CIRCUITO ARENOSO LINHA DE UNDERFLOW DAS PENEIRAS DESAGUADORAS"/>
    <m/>
    <m/>
    <m/>
    <s v="1450AA-T-70251_FL59"/>
    <n v="2"/>
    <s v="PÇ"/>
    <n v="0.4"/>
    <n v="0.8"/>
    <n v="3789.72"/>
    <n v="3031.7759999999998"/>
    <n v="0"/>
    <n v="0.9"/>
    <n v="0.1"/>
    <n v="1"/>
    <n v="1"/>
    <x v="1"/>
    <n v="0.8"/>
    <m/>
    <n v="0.8"/>
    <n v="0"/>
    <m/>
    <n v="0.4"/>
    <n v="0.5"/>
    <n v="0.1"/>
    <n v="1"/>
    <n v="1"/>
    <n v="1"/>
    <n v="3031.7759999999998"/>
    <n v="0"/>
    <n v="3031.7759999999998"/>
    <n v="0"/>
    <m/>
    <m/>
  </r>
  <r>
    <s v="2.4.3.1.3"/>
    <s v="CMS M.60.10.000"/>
    <x v="2"/>
    <n v="20"/>
    <s v="DERIVAÇÃO "/>
    <s v="20 X 10"/>
    <x v="1"/>
    <s v="NÃO"/>
    <s v="NÃO"/>
    <x v="14"/>
    <x v="1"/>
    <s v="LINHA DO CIRCUITO ARENOSO LINHA DE UNDERFLOW DAS PENEIRAS DESAGUADORAS"/>
    <m/>
    <m/>
    <m/>
    <s v="1450AA-T-70251_FL30"/>
    <n v="2"/>
    <s v="PÇ"/>
    <n v="1.7"/>
    <n v="3.4"/>
    <n v="2238.89"/>
    <n v="7612.2259999999997"/>
    <n v="0"/>
    <n v="0.9"/>
    <n v="0.1"/>
    <n v="1"/>
    <n v="1"/>
    <x v="1"/>
    <n v="3.4"/>
    <m/>
    <n v="3.4"/>
    <n v="0"/>
    <m/>
    <n v="0.4"/>
    <n v="0.5"/>
    <n v="0.1"/>
    <n v="1"/>
    <n v="1"/>
    <n v="1"/>
    <n v="7612.2259999999997"/>
    <n v="0"/>
    <n v="7612.2259999999997"/>
    <n v="0"/>
    <m/>
    <m/>
  </r>
  <r>
    <s v="2.4.3.1.3"/>
    <s v="CMS M.60.10.000"/>
    <x v="2"/>
    <n v="1"/>
    <s v="DERIVAÇÃO "/>
    <s v="20 X 10"/>
    <x v="1"/>
    <s v="NÃO"/>
    <s v="NÃO"/>
    <x v="14"/>
    <x v="1"/>
    <s v="LINHA DO CIRCUITO ARENOSO LINHA DE UNDERFLOW DAS PENEIRAS DESAGUADORAS"/>
    <m/>
    <m/>
    <m/>
    <s v="1450AA-T-70251_FL31"/>
    <n v="3"/>
    <s v="PÇ"/>
    <n v="1.121"/>
    <n v="3.363"/>
    <n v="2238.89"/>
    <n v="7529.3870699999998"/>
    <n v="0"/>
    <n v="0.9"/>
    <n v="0.1"/>
    <n v="1"/>
    <n v="1"/>
    <x v="1"/>
    <n v="3.363"/>
    <m/>
    <n v="3.363"/>
    <n v="0"/>
    <m/>
    <n v="0.4"/>
    <n v="0.5"/>
    <n v="0.1"/>
    <n v="1"/>
    <n v="1"/>
    <n v="1"/>
    <n v="7529.3870699999998"/>
    <n v="0"/>
    <n v="7529.3870699999998"/>
    <n v="0"/>
    <m/>
    <m/>
  </r>
  <r>
    <s v="2.4.3.1.3"/>
    <s v="CMS M.60.10.000"/>
    <x v="2"/>
    <n v="2"/>
    <s v="SPOOL"/>
    <n v="10"/>
    <x v="2"/>
    <s v="NÃO"/>
    <s v="NÃO"/>
    <x v="14"/>
    <x v="1"/>
    <s v="LINHA DO CIRCUITO ARENOSO LINHA DE UNDERFLOW DAS PENEIRAS DESAGUADORAS"/>
    <m/>
    <m/>
    <m/>
    <s v="1450AA-T-70251_FL53"/>
    <n v="1"/>
    <s v="PÇ"/>
    <n v="0.65"/>
    <n v="0.65"/>
    <n v="2238.89"/>
    <n v="1455.2784999999999"/>
    <n v="0"/>
    <n v="0.9"/>
    <n v="0.1"/>
    <n v="1"/>
    <n v="1"/>
    <x v="1"/>
    <n v="0.65"/>
    <m/>
    <n v="0.65"/>
    <n v="0"/>
    <m/>
    <n v="0.4"/>
    <n v="0.5"/>
    <n v="0.1"/>
    <n v="1"/>
    <n v="1"/>
    <n v="1"/>
    <n v="1455.2784999999999"/>
    <n v="0"/>
    <n v="1455.2784999999999"/>
    <n v="0"/>
    <m/>
    <m/>
  </r>
  <r>
    <s v="2.4.3.1.3"/>
    <s v="CMS M.60.10.000"/>
    <x v="2"/>
    <n v="3"/>
    <s v="DERIVAÇÃO "/>
    <s v="20 X 10"/>
    <x v="1"/>
    <s v="NÃO"/>
    <s v="NÃO"/>
    <x v="14"/>
    <x v="1"/>
    <s v="LINHA DO CIRCUITO ARENOSO LINHA DE UNDERFLOW DAS PENEIRAS DESAGUADORAS"/>
    <m/>
    <m/>
    <m/>
    <s v="1450AA-T-70251_FL30"/>
    <n v="2"/>
    <s v="PÇ"/>
    <n v="1.7"/>
    <n v="3.4"/>
    <n v="2238.89"/>
    <n v="7612.2259999999997"/>
    <n v="0"/>
    <n v="0.9"/>
    <n v="0.1"/>
    <n v="1"/>
    <n v="1"/>
    <x v="1"/>
    <n v="3.4"/>
    <m/>
    <n v="3.4"/>
    <n v="0"/>
    <m/>
    <n v="0.4"/>
    <n v="0.5"/>
    <n v="0.1"/>
    <n v="1"/>
    <n v="1"/>
    <n v="1"/>
    <n v="7612.2259999999997"/>
    <n v="0"/>
    <n v="7612.2259999999997"/>
    <n v="0"/>
    <m/>
    <m/>
  </r>
  <r>
    <s v="2.4.3.1.7"/>
    <s v="CMS M.60.10.000"/>
    <x v="2"/>
    <n v="4"/>
    <s v="SPOOL"/>
    <n v="20"/>
    <x v="1"/>
    <s v="NÃO"/>
    <s v="NÃO"/>
    <x v="14"/>
    <x v="1"/>
    <s v="LINHA DO CIRCUITO ARENOSO LINHA DE UNDERFLOW DAS PENEIRAS DESAGUADORAS"/>
    <m/>
    <m/>
    <m/>
    <s v="1450AA-T-70251_FL44"/>
    <n v="2"/>
    <s v="PÇ"/>
    <n v="2"/>
    <n v="4"/>
    <n v="3789.72"/>
    <n v="15158.88"/>
    <n v="0"/>
    <n v="0.9"/>
    <n v="0.1"/>
    <n v="1"/>
    <n v="1"/>
    <x v="1"/>
    <n v="4"/>
    <m/>
    <n v="4"/>
    <n v="0"/>
    <m/>
    <n v="0.4"/>
    <n v="0.5"/>
    <n v="0.1"/>
    <n v="1"/>
    <n v="1"/>
    <n v="1"/>
    <n v="15158.88"/>
    <n v="0"/>
    <n v="15158.88"/>
    <n v="0"/>
    <m/>
    <m/>
  </r>
  <r>
    <s v="2.4.3.1.7"/>
    <s v="CMS M.60.10.000"/>
    <x v="2"/>
    <n v="5"/>
    <s v="SPOOL"/>
    <n v="20"/>
    <x v="2"/>
    <s v="NÃO"/>
    <s v="NÃO"/>
    <x v="14"/>
    <x v="1"/>
    <s v="LINHA DO CIRCUITO ARENOSO LINHA DE UNDERFLOW DAS PENEIRAS DESAGUADORAS"/>
    <m/>
    <m/>
    <m/>
    <s v="1450AA-T-70251_FL62"/>
    <n v="2"/>
    <s v="PÇ"/>
    <n v="0.8"/>
    <n v="1.6"/>
    <n v="3789.72"/>
    <n v="6063.5519999999997"/>
    <n v="0"/>
    <n v="0.9"/>
    <n v="0.1"/>
    <n v="1"/>
    <n v="1"/>
    <x v="1"/>
    <n v="1.6"/>
    <m/>
    <n v="1.6"/>
    <n v="0"/>
    <m/>
    <n v="0.4"/>
    <n v="0.5"/>
    <n v="0.1"/>
    <n v="1"/>
    <n v="1"/>
    <n v="1"/>
    <n v="6063.5519999999997"/>
    <n v="0"/>
    <n v="6063.5519999999997"/>
    <n v="0"/>
    <m/>
    <m/>
  </r>
  <r>
    <s v="2.4.3.1.3"/>
    <s v="CMS M.60.10.000"/>
    <x v="2"/>
    <n v="6"/>
    <s v="SPOOL"/>
    <n v="10"/>
    <x v="2"/>
    <s v="NÃO"/>
    <s v="NÃO"/>
    <x v="14"/>
    <x v="1"/>
    <s v="LINHA DO CIRCUITO ARENOSO LINHA DE UNDERFLOW DAS PENEIRAS DESAGUADORAS"/>
    <m/>
    <m/>
    <m/>
    <s v="1450AA-T-70251_FL54"/>
    <n v="1"/>
    <s v="PÇ"/>
    <n v="0.85"/>
    <n v="0.85"/>
    <n v="2238.89"/>
    <n v="1903.0564999999999"/>
    <n v="0"/>
    <n v="0.9"/>
    <n v="0.1"/>
    <n v="1"/>
    <n v="1"/>
    <x v="1"/>
    <n v="0.85"/>
    <m/>
    <n v="0.85"/>
    <n v="0"/>
    <m/>
    <n v="0.4"/>
    <n v="0.5"/>
    <n v="0.1"/>
    <n v="1"/>
    <n v="1"/>
    <n v="1"/>
    <n v="1903.0564999999999"/>
    <n v="0"/>
    <n v="1903.0564999999999"/>
    <n v="0"/>
    <m/>
    <m/>
  </r>
  <r>
    <s v="2.4.3.1.7"/>
    <s v="CMS M.60.10.000"/>
    <x v="2"/>
    <n v="7"/>
    <s v="SPOOL"/>
    <n v="20"/>
    <x v="1"/>
    <s v="NÃO"/>
    <s v="NÃO"/>
    <x v="14"/>
    <x v="1"/>
    <s v="LINHA DO CIRCUITO ARENOSO LINHA DE UNDERFLOW DAS PENEIRAS DESAGUADORAS"/>
    <m/>
    <m/>
    <m/>
    <s v="1450AA-T-70251_FL45"/>
    <n v="1"/>
    <s v="PÇ"/>
    <n v="3"/>
    <n v="3"/>
    <n v="3789.72"/>
    <n v="11369.16"/>
    <n v="0"/>
    <n v="0.9"/>
    <n v="0.1"/>
    <n v="1"/>
    <n v="1"/>
    <x v="1"/>
    <n v="3"/>
    <m/>
    <n v="3"/>
    <n v="0"/>
    <m/>
    <n v="0.4"/>
    <n v="0.5"/>
    <n v="0.1"/>
    <n v="1"/>
    <n v="1"/>
    <n v="1"/>
    <n v="11369.16"/>
    <n v="0"/>
    <n v="11369.16"/>
    <n v="0"/>
    <m/>
    <m/>
  </r>
  <r>
    <s v="2.4.3.1.7"/>
    <s v="CMS M.60.10.000"/>
    <x v="2"/>
    <n v="8"/>
    <s v="SPOOL"/>
    <n v="20"/>
    <x v="2"/>
    <s v="NÃO"/>
    <s v="NÃO"/>
    <x v="14"/>
    <x v="1"/>
    <s v="LINHA DO CIRCUITO ARENOSO LINHA DE UNDERFLOW DAS PENEIRAS DESAGUADORAS"/>
    <m/>
    <m/>
    <m/>
    <s v="1450AA-T-70251_FL61"/>
    <n v="1"/>
    <s v="PÇ"/>
    <n v="0.7"/>
    <n v="0.7"/>
    <n v="3789.72"/>
    <n v="2652.8039999999996"/>
    <n v="0"/>
    <n v="0.9"/>
    <n v="0.1"/>
    <n v="1"/>
    <n v="1"/>
    <x v="1"/>
    <n v="0.7"/>
    <m/>
    <n v="0.7"/>
    <n v="0"/>
    <m/>
    <n v="0.4"/>
    <n v="0.5"/>
    <n v="0.1"/>
    <n v="1"/>
    <n v="1"/>
    <n v="1"/>
    <n v="2652.8039999999996"/>
    <n v="0"/>
    <n v="2652.8039999999996"/>
    <n v="0"/>
    <m/>
    <m/>
  </r>
  <r>
    <s v="2.4.3.1.7"/>
    <s v="CMS M.60.10.000"/>
    <x v="2"/>
    <n v="9"/>
    <s v="REDUÇÃO"/>
    <s v="22 X 20"/>
    <x v="1"/>
    <s v="NÃO"/>
    <s v="NÃO"/>
    <x v="14"/>
    <x v="1"/>
    <s v="LINHA DO CIRCUITO ARENOSO LINHA DE UNDERFLOW DAS PENEIRAS DESAGUADORAS"/>
    <m/>
    <m/>
    <m/>
    <s v="1450AA-T-70251_FL25"/>
    <n v="1"/>
    <s v="PÇ"/>
    <n v="1.008"/>
    <n v="1.008"/>
    <n v="3789.72"/>
    <n v="3820.0377599999997"/>
    <n v="0"/>
    <n v="0.9"/>
    <n v="0.1"/>
    <n v="1"/>
    <n v="1"/>
    <x v="1"/>
    <n v="1.008"/>
    <m/>
    <n v="1.008"/>
    <n v="0"/>
    <m/>
    <n v="0.4"/>
    <n v="0.5"/>
    <n v="0.1"/>
    <n v="1"/>
    <n v="1"/>
    <n v="1"/>
    <n v="3820.0377599999997"/>
    <n v="0"/>
    <n v="3820.0377599999997"/>
    <n v="0"/>
    <m/>
    <m/>
  </r>
  <r>
    <s v="2.4.3.1.3"/>
    <s v="CMS M.60.10.000"/>
    <x v="2"/>
    <n v="10"/>
    <s v="DERIVAÇÃO "/>
    <s v="22 X 10"/>
    <x v="1"/>
    <s v="NÃO"/>
    <s v="NÃO"/>
    <x v="14"/>
    <x v="1"/>
    <s v="LINHA DO CIRCUITO ARENOSO LINHA DE UNDERFLOW DAS PENEIRAS DESAGUADORAS"/>
    <m/>
    <m/>
    <m/>
    <s v="1450AA-T-70251_FL33"/>
    <n v="2"/>
    <s v="PÇ"/>
    <n v="1.121"/>
    <n v="2.242"/>
    <n v="2238.89"/>
    <n v="5019.5913799999998"/>
    <n v="0"/>
    <n v="0.9"/>
    <n v="0.1"/>
    <n v="1"/>
    <n v="1"/>
    <x v="1"/>
    <n v="2.242"/>
    <m/>
    <n v="2.242"/>
    <n v="0"/>
    <m/>
    <n v="0.4"/>
    <n v="0.5"/>
    <n v="0.1"/>
    <n v="1"/>
    <n v="1"/>
    <n v="1"/>
    <n v="5019.5913799999998"/>
    <n v="0"/>
    <n v="5019.5913799999998"/>
    <n v="0"/>
    <m/>
    <m/>
  </r>
  <r>
    <s v="2.4.3.1.3"/>
    <s v="CMS M.60.10.000"/>
    <x v="2"/>
    <n v="11"/>
    <s v="SPOOL"/>
    <n v="10"/>
    <x v="2"/>
    <s v="NÃO"/>
    <s v="NÃO"/>
    <x v="14"/>
    <x v="1"/>
    <s v="LINHA DO CIRCUITO ARENOSO LINHA DE UNDERFLOW DAS PENEIRAS DESAGUADORAS"/>
    <m/>
    <m/>
    <m/>
    <s v="1450AA-T-70251_FL50"/>
    <n v="1"/>
    <s v="PÇ"/>
    <n v="0.3"/>
    <n v="0.3"/>
    <n v="2238.89"/>
    <n v="671.66699999999992"/>
    <n v="0"/>
    <n v="0.9"/>
    <n v="0.1"/>
    <n v="1"/>
    <n v="1"/>
    <x v="1"/>
    <n v="0.3"/>
    <m/>
    <n v="0.3"/>
    <n v="0"/>
    <m/>
    <n v="0.4"/>
    <n v="0.5"/>
    <n v="0.1"/>
    <n v="1"/>
    <n v="1"/>
    <n v="1"/>
    <n v="671.66699999999992"/>
    <n v="0"/>
    <n v="671.66699999999992"/>
    <n v="0"/>
    <m/>
    <m/>
  </r>
  <r>
    <s v="2.4.3.1.8"/>
    <s v="CMS M.60.10.000"/>
    <x v="2"/>
    <n v="12"/>
    <s v="SPOOL"/>
    <n v="22"/>
    <x v="1"/>
    <s v="NÃO"/>
    <s v="NÃO"/>
    <x v="14"/>
    <x v="1"/>
    <s v="LINHA DO CIRCUITO ARENOSO LINHA DE UNDERFLOW DAS PENEIRAS DESAGUADORAS"/>
    <m/>
    <m/>
    <m/>
    <s v="1450AA-T-70251_FL47"/>
    <n v="1"/>
    <s v="PÇ"/>
    <n v="4"/>
    <n v="4"/>
    <n v="2788.58"/>
    <n v="11154.32"/>
    <n v="0"/>
    <n v="0.9"/>
    <n v="0.1"/>
    <n v="1"/>
    <n v="1"/>
    <x v="1"/>
    <n v="4"/>
    <m/>
    <n v="4"/>
    <n v="0"/>
    <m/>
    <n v="0.4"/>
    <n v="0.5"/>
    <n v="0.1"/>
    <n v="1"/>
    <n v="1"/>
    <n v="1"/>
    <n v="11154.32"/>
    <n v="0"/>
    <n v="11154.32"/>
    <n v="0"/>
    <m/>
    <m/>
  </r>
  <r>
    <s v="2.4.3.1.8"/>
    <s v="CMS M.60.10.000"/>
    <x v="2"/>
    <n v="13"/>
    <s v="SPOOL"/>
    <n v="22"/>
    <x v="2"/>
    <s v="NÃO"/>
    <s v="NÃO"/>
    <x v="14"/>
    <x v="1"/>
    <s v="LINHA DO CIRCUITO ARENOSO LINHA DE UNDERFLOW DAS PENEIRAS DESAGUADORAS"/>
    <m/>
    <m/>
    <m/>
    <s v="1450AA-T-70251_FL64"/>
    <n v="1"/>
    <s v="PÇ"/>
    <n v="0.7"/>
    <n v="0.7"/>
    <n v="2788.58"/>
    <n v="1952.0059999999999"/>
    <n v="0"/>
    <n v="0.9"/>
    <n v="0.1"/>
    <n v="1"/>
    <n v="1"/>
    <x v="1"/>
    <n v="0.7"/>
    <m/>
    <n v="0.7"/>
    <n v="0"/>
    <m/>
    <n v="0.4"/>
    <n v="0.5"/>
    <n v="0.1"/>
    <n v="1"/>
    <n v="1"/>
    <n v="1"/>
    <n v="1952.0059999999999"/>
    <n v="0"/>
    <n v="1952.0059999999999"/>
    <n v="0"/>
    <m/>
    <m/>
  </r>
  <r>
    <s v="2.4.3.1.3"/>
    <s v="CMS M.60.10.000"/>
    <x v="2"/>
    <n v="14"/>
    <s v="SPOOL"/>
    <n v="10"/>
    <x v="2"/>
    <s v="NÃO"/>
    <s v="NÃO"/>
    <x v="14"/>
    <x v="1"/>
    <s v="LINHA DO CIRCUITO ARENOSO LINHA DE UNDERFLOW DAS PENEIRAS DESAGUADORAS"/>
    <m/>
    <m/>
    <m/>
    <s v="1450AA-T-70251_FL52"/>
    <n v="1"/>
    <s v="PÇ"/>
    <n v="0.5"/>
    <n v="0.5"/>
    <n v="2238.89"/>
    <n v="1119.4449999999999"/>
    <n v="0"/>
    <n v="0.9"/>
    <n v="0.1"/>
    <n v="1"/>
    <n v="1"/>
    <x v="1"/>
    <n v="0.5"/>
    <m/>
    <n v="0.5"/>
    <n v="0"/>
    <m/>
    <n v="0.4"/>
    <n v="0.5"/>
    <n v="0.1"/>
    <n v="1"/>
    <n v="1"/>
    <n v="1"/>
    <n v="1119.4449999999999"/>
    <n v="0"/>
    <n v="1119.4449999999999"/>
    <n v="0"/>
    <m/>
    <m/>
  </r>
  <r>
    <s v="2.4.3.1.8"/>
    <s v="CMS M.60.10.000"/>
    <x v="2"/>
    <n v="15"/>
    <s v="CURVA"/>
    <n v="22"/>
    <x v="1"/>
    <s v="NÃO"/>
    <s v="NÃO"/>
    <x v="14"/>
    <x v="1"/>
    <s v="LINHA DO CIRCUITO ARENOSO LINHA DE UNDERFLOW DAS PENEIRAS DESAGUADORAS"/>
    <m/>
    <m/>
    <m/>
    <s v="1450AA-T-70251_FL36"/>
    <n v="2"/>
    <s v="PÇ"/>
    <n v="0.57999999999999996"/>
    <n v="1.1599999999999999"/>
    <n v="2788.58"/>
    <n v="3234.7527999999998"/>
    <n v="0"/>
    <n v="0.9"/>
    <n v="0.1"/>
    <n v="1"/>
    <n v="1"/>
    <x v="1"/>
    <n v="1.1599999999999999"/>
    <m/>
    <n v="1.1599999999999999"/>
    <n v="0"/>
    <m/>
    <n v="0.4"/>
    <n v="0.5"/>
    <n v="0.1"/>
    <n v="1"/>
    <n v="1"/>
    <n v="1"/>
    <n v="3234.7527999999998"/>
    <n v="0"/>
    <n v="3234.7527999999998"/>
    <n v="0"/>
    <m/>
    <m/>
  </r>
  <r>
    <s v="2.4.3.1.8"/>
    <s v="CMS M.60.10.000"/>
    <x v="2"/>
    <n v="16"/>
    <s v="SPOOL"/>
    <n v="22"/>
    <x v="1"/>
    <s v="NÃO"/>
    <s v="NÃO"/>
    <x v="14"/>
    <x v="1"/>
    <s v="LINHA DO CIRCUITO ARENOSO LINHA DE UNDERFLOW DAS PENEIRAS DESAGUADORAS"/>
    <m/>
    <m/>
    <m/>
    <s v="1450AA-T-70251_FL48"/>
    <n v="1"/>
    <s v="PÇ"/>
    <n v="4.5"/>
    <n v="4.5"/>
    <n v="2788.58"/>
    <n v="12548.61"/>
    <n v="0"/>
    <n v="0.9"/>
    <n v="0.1"/>
    <n v="1"/>
    <n v="1"/>
    <x v="1"/>
    <n v="4.5"/>
    <m/>
    <n v="4.5"/>
    <n v="0"/>
    <m/>
    <n v="0.4"/>
    <n v="0.5"/>
    <n v="0.1"/>
    <n v="1"/>
    <n v="1"/>
    <n v="1"/>
    <n v="12548.61"/>
    <n v="0"/>
    <n v="12548.61"/>
    <n v="0"/>
    <m/>
    <m/>
  </r>
  <r>
    <s v="2.4.3.1.8"/>
    <s v="CMS M.60.10.000"/>
    <x v="2"/>
    <n v="17"/>
    <s v="SPOOL"/>
    <n v="22"/>
    <x v="2"/>
    <s v="NÃO"/>
    <s v="NÃO"/>
    <x v="14"/>
    <x v="1"/>
    <s v="LINHA DO CIRCUITO ARENOSO LINHA DE UNDERFLOW DAS PENEIRAS DESAGUADORAS"/>
    <m/>
    <m/>
    <m/>
    <s v="1450AA-T-70251_FL66"/>
    <n v="1"/>
    <s v="PÇ"/>
    <n v="0.9"/>
    <n v="0.9"/>
    <n v="2788.58"/>
    <n v="2509.7220000000002"/>
    <n v="0"/>
    <n v="0.9"/>
    <n v="0.1"/>
    <n v="1"/>
    <n v="1"/>
    <x v="1"/>
    <n v="0.9"/>
    <m/>
    <n v="0.9"/>
    <n v="0"/>
    <m/>
    <n v="0.4"/>
    <n v="0.5"/>
    <n v="0.1"/>
    <n v="1"/>
    <n v="1"/>
    <n v="1"/>
    <n v="2509.7220000000002"/>
    <n v="0"/>
    <n v="2509.7220000000002"/>
    <n v="0"/>
    <m/>
    <m/>
  </r>
  <r>
    <s v="2.4.3.1.5"/>
    <s v="CMS M.60.10.000"/>
    <x v="2"/>
    <n v="18"/>
    <s v="DERIVAÇÃO "/>
    <s v="22 X 14"/>
    <x v="1"/>
    <s v="NÃO"/>
    <s v="NÃO"/>
    <x v="14"/>
    <x v="1"/>
    <s v="LINHA DO CIRCUITO ARENOSO LINHA DE UNDERFLOW DAS PENEIRAS DESAGUADORAS"/>
    <m/>
    <m/>
    <m/>
    <s v="1450AA-T-70251_FL32"/>
    <n v="2"/>
    <s v="PÇ"/>
    <n v="2.8"/>
    <n v="5.6"/>
    <n v="2725.4"/>
    <n v="15262.24"/>
    <n v="0"/>
    <n v="0.9"/>
    <n v="0.1"/>
    <n v="1"/>
    <n v="1"/>
    <x v="1"/>
    <n v="5.6"/>
    <m/>
    <n v="5.6"/>
    <n v="0"/>
    <m/>
    <n v="0.4"/>
    <n v="0.5"/>
    <n v="0.1"/>
    <n v="1"/>
    <n v="1"/>
    <n v="1"/>
    <n v="15262.24"/>
    <n v="0"/>
    <n v="15262.24"/>
    <n v="0"/>
    <m/>
    <m/>
  </r>
  <r>
    <s v="2.4.3.1.5"/>
    <s v="CMS M.60.10.000"/>
    <x v="2"/>
    <n v="19"/>
    <s v="CURVA"/>
    <n v="14"/>
    <x v="1"/>
    <s v="NÃO"/>
    <s v="NÃO"/>
    <x v="14"/>
    <x v="1"/>
    <s v="LINHA DO CIRCUITO ARENOSO LINHA DE UNDERFLOW DAS PENEIRAS DESAGUADORAS"/>
    <m/>
    <m/>
    <m/>
    <s v="1450AA-T-70251_FL35"/>
    <n v="2"/>
    <s v="PÇ"/>
    <n v="0.55000000000000004"/>
    <n v="1.1000000000000001"/>
    <n v="2725.4"/>
    <n v="2997.9400000000005"/>
    <n v="0"/>
    <n v="0.9"/>
    <n v="0.1"/>
    <n v="1"/>
    <n v="1"/>
    <x v="1"/>
    <n v="1.1000000000000001"/>
    <m/>
    <n v="1.1000000000000001"/>
    <n v="0"/>
    <m/>
    <n v="0.4"/>
    <n v="0.5"/>
    <n v="0.1"/>
    <n v="1"/>
    <n v="1"/>
    <n v="1"/>
    <n v="2997.9400000000005"/>
    <n v="0"/>
    <n v="2997.9400000000005"/>
    <n v="0"/>
    <m/>
    <m/>
  </r>
  <r>
    <s v="2.4.3.1.5"/>
    <s v="CMS M.60.10.000"/>
    <x v="2"/>
    <n v="20"/>
    <s v="SPOOL"/>
    <n v="14"/>
    <x v="2"/>
    <s v="NÃO"/>
    <s v="NÃO"/>
    <x v="14"/>
    <x v="1"/>
    <s v="LINHA DO CIRCUITO ARENOSO LINHA DE UNDERFLOW DAS PENEIRAS DESAGUADORAS"/>
    <m/>
    <m/>
    <m/>
    <s v="1450AA-T-70251_FL57"/>
    <n v="1"/>
    <s v="PÇ"/>
    <n v="0.8"/>
    <n v="0.8"/>
    <n v="2725.4"/>
    <n v="2180.3200000000002"/>
    <n v="0"/>
    <n v="0.9"/>
    <n v="0.1"/>
    <n v="1"/>
    <n v="1"/>
    <x v="1"/>
    <n v="0.8"/>
    <m/>
    <n v="0.8"/>
    <n v="0"/>
    <m/>
    <n v="0.4"/>
    <n v="0.5"/>
    <n v="0.1"/>
    <n v="1"/>
    <n v="1"/>
    <n v="1"/>
    <n v="2180.3200000000002"/>
    <n v="0"/>
    <n v="2180.3200000000002"/>
    <n v="0"/>
    <m/>
    <m/>
  </r>
  <r>
    <s v="2.4.3.1.8"/>
    <s v="CMS M.60.10.000"/>
    <x v="2"/>
    <n v="21"/>
    <s v="SPOOL"/>
    <n v="22"/>
    <x v="1"/>
    <s v="NÃO"/>
    <s v="NÃO"/>
    <x v="14"/>
    <x v="1"/>
    <s v="LINHA DO CIRCUITO ARENOSO LINHA DE UNDERFLOW DAS PENEIRAS DESAGUADORAS"/>
    <m/>
    <m/>
    <m/>
    <s v="1450AA-T-70251_FL46"/>
    <n v="2"/>
    <s v="PÇ"/>
    <n v="2"/>
    <n v="4"/>
    <n v="2788.58"/>
    <n v="11154.32"/>
    <n v="0"/>
    <n v="0.9"/>
    <n v="0.1"/>
    <n v="1"/>
    <n v="1"/>
    <x v="1"/>
    <n v="4"/>
    <m/>
    <n v="4"/>
    <n v="0"/>
    <m/>
    <n v="0.4"/>
    <n v="0.5"/>
    <n v="0.1"/>
    <n v="1"/>
    <n v="1"/>
    <n v="1"/>
    <n v="11154.32"/>
    <n v="0"/>
    <n v="11154.32"/>
    <n v="0"/>
    <m/>
    <m/>
  </r>
  <r>
    <s v="2.4.3.1.8"/>
    <s v="CMS M.60.10.000"/>
    <x v="2"/>
    <n v="22"/>
    <s v="SPOOL"/>
    <n v="22"/>
    <x v="2"/>
    <s v="NÃO"/>
    <s v="NÃO"/>
    <x v="14"/>
    <x v="1"/>
    <s v="LINHA DO CIRCUITO ARENOSO LINHA DE UNDERFLOW DAS PENEIRAS DESAGUADORAS"/>
    <m/>
    <m/>
    <m/>
    <s v="1450AA-T-70251_FL63"/>
    <n v="1"/>
    <s v="PÇ"/>
    <n v="0.5"/>
    <n v="0.5"/>
    <n v="2788.58"/>
    <n v="1394.29"/>
    <n v="0"/>
    <n v="0.9"/>
    <n v="0.1"/>
    <n v="1"/>
    <n v="1"/>
    <x v="1"/>
    <n v="0.5"/>
    <m/>
    <n v="0.5"/>
    <n v="0"/>
    <m/>
    <n v="0.4"/>
    <n v="0.5"/>
    <n v="0.1"/>
    <n v="1"/>
    <n v="1"/>
    <n v="1"/>
    <n v="1394.29"/>
    <n v="0"/>
    <n v="1394.29"/>
    <n v="0"/>
    <m/>
    <m/>
  </r>
  <r>
    <s v="2.4.3.1.5"/>
    <s v="CMS M.60.10.000"/>
    <x v="2"/>
    <n v="23"/>
    <s v="SPOOL"/>
    <n v="14"/>
    <x v="2"/>
    <s v="NÃO"/>
    <s v="NÃO"/>
    <x v="14"/>
    <x v="1"/>
    <s v="LINHA DO CIRCUITO ARENOSO LINHA DE UNDERFLOW DAS PENEIRAS DESAGUADORAS"/>
    <m/>
    <m/>
    <m/>
    <s v="1450AA-T-70251_FL58"/>
    <n v="1"/>
    <s v="PÇ"/>
    <n v="0.95"/>
    <n v="0.95"/>
    <n v="2725.4"/>
    <n v="2589.13"/>
    <n v="0"/>
    <n v="0.9"/>
    <n v="0.1"/>
    <n v="1"/>
    <n v="1"/>
    <x v="1"/>
    <n v="0.95"/>
    <m/>
    <n v="0.95"/>
    <n v="0"/>
    <m/>
    <n v="0.4"/>
    <n v="0.5"/>
    <n v="0.1"/>
    <n v="1"/>
    <n v="1"/>
    <n v="1"/>
    <n v="2589.13"/>
    <n v="0"/>
    <n v="2589.13"/>
    <n v="0"/>
    <m/>
    <m/>
  </r>
  <r>
    <s v="2.4.3.1.8"/>
    <s v="CMS M.60.10.000"/>
    <x v="2"/>
    <n v="24"/>
    <s v="SPOOL"/>
    <n v="22"/>
    <x v="1"/>
    <s v="NÃO"/>
    <s v="NÃO"/>
    <x v="14"/>
    <x v="1"/>
    <s v="LINHA DO CIRCUITO ARENOSO LINHA DE UNDERFLOW DAS PENEIRAS DESAGUADORAS"/>
    <m/>
    <m/>
    <m/>
    <s v="1450AA-T-70251_FL49"/>
    <n v="1"/>
    <s v="PÇ"/>
    <n v="6"/>
    <n v="6"/>
    <n v="2788.58"/>
    <n v="16731.48"/>
    <n v="0"/>
    <n v="0.9"/>
    <n v="0.1"/>
    <n v="1"/>
    <n v="1"/>
    <x v="1"/>
    <n v="6"/>
    <m/>
    <n v="6"/>
    <n v="0"/>
    <m/>
    <n v="0.4"/>
    <n v="0.5"/>
    <n v="0.1"/>
    <n v="1"/>
    <n v="1"/>
    <n v="1"/>
    <n v="16731.48"/>
    <n v="0"/>
    <n v="16731.48"/>
    <n v="0"/>
    <m/>
    <m/>
  </r>
  <r>
    <s v="2.4.3.1.8"/>
    <s v="CMS M.60.10.000"/>
    <x v="2"/>
    <n v="25"/>
    <s v="SPOOL"/>
    <n v="22"/>
    <x v="2"/>
    <s v="NÃO"/>
    <s v="NÃO"/>
    <x v="14"/>
    <x v="1"/>
    <s v="LINHA DO CIRCUITO ARENOSO LINHA DE UNDERFLOW DAS PENEIRAS DESAGUADORAS"/>
    <m/>
    <m/>
    <m/>
    <s v="1450AA-T-70251_FL65"/>
    <n v="1"/>
    <s v="PÇ"/>
    <n v="0.85"/>
    <n v="0.85"/>
    <n v="2788.58"/>
    <n v="2370.2929999999997"/>
    <n v="0"/>
    <n v="0.9"/>
    <n v="0.1"/>
    <n v="1"/>
    <n v="1"/>
    <x v="1"/>
    <n v="0.85"/>
    <m/>
    <n v="0.85"/>
    <n v="0"/>
    <m/>
    <n v="0.4"/>
    <n v="0.5"/>
    <n v="0.1"/>
    <n v="1"/>
    <n v="1"/>
    <n v="1"/>
    <n v="2370.2929999999997"/>
    <n v="0"/>
    <n v="2370.2929999999997"/>
    <n v="0"/>
    <m/>
    <m/>
  </r>
  <r>
    <s v="2.4.3.1.8"/>
    <s v="CMS M.60.10.000"/>
    <x v="2"/>
    <n v="1"/>
    <s v="CURVA"/>
    <n v="22"/>
    <x v="1"/>
    <s v="NÃO"/>
    <s v="NÃO"/>
    <x v="14"/>
    <x v="1"/>
    <s v="LINHA DO CIRCUITO ARENOSO LINHA DE UNDERFLOW DAS PENEIRAS DESAGUADORAS"/>
    <m/>
    <m/>
    <m/>
    <s v="1450AA-T-70251_FL40"/>
    <n v="1"/>
    <s v="PÇ"/>
    <n v="1.738"/>
    <n v="1.738"/>
    <n v="2788.58"/>
    <n v="4846.5520399999996"/>
    <n v="0"/>
    <n v="0.9"/>
    <n v="0.1"/>
    <n v="1"/>
    <n v="1"/>
    <x v="1"/>
    <n v="1.738"/>
    <m/>
    <n v="1.738"/>
    <n v="0"/>
    <m/>
    <n v="0.4"/>
    <n v="0.5"/>
    <n v="0.1"/>
    <n v="1"/>
    <n v="1"/>
    <n v="1"/>
    <n v="4846.5520399999996"/>
    <n v="0"/>
    <n v="4846.5520399999996"/>
    <n v="0"/>
    <m/>
    <m/>
  </r>
  <r>
    <s v="2.4.3.1.8"/>
    <s v="CMS M.60.10.000"/>
    <x v="2"/>
    <n v="2"/>
    <s v="SPOOL"/>
    <n v="22"/>
    <x v="2"/>
    <s v="NÃO"/>
    <s v="NÃO"/>
    <x v="14"/>
    <x v="1"/>
    <s v="LINHA DO CIRCUITO ARENOSO LINHA DE UNDERFLOW DAS PENEIRAS DESAGUADORAS"/>
    <m/>
    <m/>
    <m/>
    <s v="1450AA-T-70251_FL65"/>
    <n v="2"/>
    <s v="PÇ"/>
    <n v="0.85"/>
    <n v="1.7"/>
    <n v="2788.58"/>
    <n v="4740.5859999999993"/>
    <n v="0"/>
    <n v="0.9"/>
    <n v="0.1"/>
    <n v="1"/>
    <n v="1"/>
    <x v="1"/>
    <n v="1.7"/>
    <m/>
    <n v="1.7"/>
    <n v="0"/>
    <m/>
    <n v="0.4"/>
    <n v="0.5"/>
    <n v="0.1"/>
    <n v="1"/>
    <n v="1"/>
    <n v="1"/>
    <n v="4740.5859999999993"/>
    <n v="0"/>
    <n v="4740.5859999999993"/>
    <n v="0"/>
    <m/>
    <m/>
  </r>
  <r>
    <s v="2.4.3.1.8"/>
    <s v="CMS M.60.10.000"/>
    <x v="2"/>
    <n v="3"/>
    <s v="CURVA"/>
    <n v="22"/>
    <x v="1"/>
    <s v="NÃO"/>
    <s v="NÃO"/>
    <x v="14"/>
    <x v="1"/>
    <s v="LINHA DO CIRCUITO ARENOSO LINHA DE UNDERFLOW DAS PENEIRAS DESAGUADORAS"/>
    <m/>
    <m/>
    <m/>
    <s v="1450AA-T-70251_FL37"/>
    <n v="1"/>
    <s v="PÇ"/>
    <n v="1.028"/>
    <n v="1.028"/>
    <n v="2788.58"/>
    <n v="2866.6602400000002"/>
    <n v="0"/>
    <n v="0.9"/>
    <n v="0.1"/>
    <n v="1"/>
    <n v="1"/>
    <x v="1"/>
    <n v="1.028"/>
    <m/>
    <n v="1.028"/>
    <n v="0"/>
    <m/>
    <n v="0.4"/>
    <n v="0.5"/>
    <n v="0.1"/>
    <n v="1"/>
    <n v="1"/>
    <n v="1"/>
    <n v="2866.6602400000002"/>
    <n v="0"/>
    <n v="2866.6602400000002"/>
    <n v="0"/>
    <m/>
    <m/>
  </r>
  <r>
    <s v="2.4.3.1.8"/>
    <s v="CMS M.60.10.000"/>
    <x v="2"/>
    <n v="4"/>
    <s v="SPOOL"/>
    <n v="22"/>
    <x v="1"/>
    <s v="NÃO"/>
    <s v="NÃO"/>
    <x v="14"/>
    <x v="1"/>
    <s v="LINHA DO CIRCUITO ARENOSO LINHA DE UNDERFLOW DAS PENEIRAS DESAGUADORAS"/>
    <m/>
    <m/>
    <m/>
    <s v="1450AA-T-70251_FL49"/>
    <n v="7"/>
    <s v="PÇ"/>
    <n v="6"/>
    <n v="42"/>
    <n v="2788.58"/>
    <n v="117120.36"/>
    <n v="0"/>
    <n v="0.9"/>
    <n v="0.1"/>
    <n v="1"/>
    <n v="1"/>
    <x v="1"/>
    <n v="42"/>
    <m/>
    <n v="42"/>
    <n v="0"/>
    <m/>
    <n v="0.4"/>
    <n v="0.5"/>
    <n v="0.1"/>
    <n v="1"/>
    <n v="1"/>
    <n v="1"/>
    <n v="117120.36"/>
    <n v="0"/>
    <n v="117120.36"/>
    <n v="0"/>
    <m/>
    <m/>
  </r>
  <r>
    <s v="2.4.3.1.8"/>
    <s v="CMS M.60.10.000"/>
    <x v="2"/>
    <n v="5"/>
    <s v="SPOOL"/>
    <n v="22"/>
    <x v="1"/>
    <s v="NÃO"/>
    <s v="NÃO"/>
    <x v="14"/>
    <x v="1"/>
    <s v="LINHA DO CIRCUITO ARENOSO LINHA DE UNDERFLOW DAS PENEIRAS DESAGUADORAS"/>
    <m/>
    <m/>
    <m/>
    <s v="1450AA-T-70251_FL46"/>
    <n v="2"/>
    <s v="PÇ"/>
    <n v="2"/>
    <n v="4"/>
    <n v="2788.58"/>
    <n v="11154.32"/>
    <n v="0"/>
    <n v="0.9"/>
    <n v="0.1"/>
    <n v="1"/>
    <n v="1"/>
    <x v="1"/>
    <n v="4"/>
    <m/>
    <n v="4"/>
    <n v="0"/>
    <m/>
    <n v="0.4"/>
    <n v="0.5"/>
    <n v="0.1"/>
    <n v="1"/>
    <n v="1"/>
    <n v="1"/>
    <n v="11154.32"/>
    <n v="0"/>
    <n v="11154.32"/>
    <n v="0"/>
    <m/>
    <m/>
  </r>
  <r>
    <s v="2.4.3.1.8"/>
    <s v="CMS M.60.10.000"/>
    <x v="2"/>
    <n v="6"/>
    <s v="SPOOL"/>
    <n v="22"/>
    <x v="2"/>
    <s v="NÃO"/>
    <s v="NÃO"/>
    <x v="14"/>
    <x v="1"/>
    <s v="LINHA DO CIRCUITO ARENOSO LINHA DE UNDERFLOW DAS PENEIRAS DESAGUADORAS"/>
    <m/>
    <m/>
    <m/>
    <s v="1450AA-T-70251_FL68"/>
    <n v="1"/>
    <s v="PÇ"/>
    <n v="1.3"/>
    <n v="1.3"/>
    <n v="2788.58"/>
    <n v="3625.154"/>
    <n v="0"/>
    <n v="0.9"/>
    <n v="0.1"/>
    <n v="1"/>
    <n v="1"/>
    <x v="1"/>
    <n v="1.3"/>
    <m/>
    <n v="1.3"/>
    <n v="0"/>
    <m/>
    <n v="0.4"/>
    <n v="0.5"/>
    <n v="0.1"/>
    <n v="1"/>
    <n v="1"/>
    <n v="1"/>
    <n v="3625.154"/>
    <n v="0"/>
    <n v="3625.154"/>
    <n v="0"/>
    <m/>
    <m/>
  </r>
  <r>
    <s v="2.4.3.1.8"/>
    <s v="CMS M.60.10.000"/>
    <x v="2"/>
    <n v="7"/>
    <s v="CURVA"/>
    <n v="22"/>
    <x v="1"/>
    <s v="NÃO"/>
    <s v="NÃO"/>
    <x v="14"/>
    <x v="1"/>
    <s v="LINHA DO CIRCUITO ARENOSO LINHA DE UNDERFLOW DAS PENEIRAS DESAGUADORAS"/>
    <m/>
    <m/>
    <m/>
    <s v="1450AA-T-70251_FL38"/>
    <n v="1"/>
    <s v="PÇ"/>
    <n v="1.165"/>
    <n v="1.165"/>
    <n v="2788.58"/>
    <n v="3248.6957000000002"/>
    <n v="0"/>
    <n v="0.9"/>
    <n v="0.1"/>
    <n v="1"/>
    <n v="1"/>
    <x v="1"/>
    <n v="1.165"/>
    <m/>
    <n v="1.165"/>
    <n v="0"/>
    <m/>
    <n v="0.4"/>
    <n v="0.5"/>
    <n v="0.1"/>
    <n v="1"/>
    <n v="1"/>
    <n v="1"/>
    <n v="3248.6957000000002"/>
    <n v="0"/>
    <n v="3248.6957000000002"/>
    <n v="0"/>
    <m/>
    <m/>
  </r>
  <r>
    <s v="2.4.3.1.8"/>
    <s v="CMS M.60.10.000"/>
    <x v="2"/>
    <n v="8"/>
    <s v="SPOOL"/>
    <n v="22"/>
    <x v="2"/>
    <s v="NÃO"/>
    <s v="NÃO"/>
    <x v="14"/>
    <x v="1"/>
    <s v="LINHA DO CIRCUITO ARENOSO LINHA DE UNDERFLOW DAS PENEIRAS DESAGUADORAS"/>
    <m/>
    <m/>
    <m/>
    <s v="1450AA-T-70251_FL67"/>
    <n v="1"/>
    <s v="PÇ"/>
    <n v="1.1000000000000001"/>
    <n v="1.1000000000000001"/>
    <n v="2788.58"/>
    <n v="3067.4380000000001"/>
    <n v="0"/>
    <n v="0.9"/>
    <n v="0.1"/>
    <n v="1"/>
    <n v="1"/>
    <x v="1"/>
    <n v="1.1000000000000001"/>
    <m/>
    <n v="1.1000000000000001"/>
    <n v="0"/>
    <m/>
    <n v="0.4"/>
    <n v="0.5"/>
    <n v="0.1"/>
    <n v="1"/>
    <n v="1"/>
    <n v="1"/>
    <n v="3067.4380000000001"/>
    <n v="0"/>
    <n v="3067.4380000000001"/>
    <n v="0"/>
    <m/>
    <m/>
  </r>
  <r>
    <s v="2.4.3.1.8"/>
    <s v="CMS M.60.10.000"/>
    <x v="2"/>
    <n v="9"/>
    <s v="CURVA"/>
    <n v="22"/>
    <x v="1"/>
    <s v="NÃO"/>
    <s v="NÃO"/>
    <x v="14"/>
    <x v="1"/>
    <s v="LINHA DO CIRCUITO ARENOSO LINHA DE UNDERFLOW DAS PENEIRAS DESAGUADORAS"/>
    <m/>
    <m/>
    <m/>
    <s v="1450AA-T-70251_FL39"/>
    <n v="1"/>
    <s v="PÇ"/>
    <n v="1.6839999999999999"/>
    <n v="1.6839999999999999"/>
    <n v="2788.58"/>
    <n v="4695.9687199999998"/>
    <n v="0"/>
    <n v="0.9"/>
    <n v="0.1"/>
    <n v="1"/>
    <n v="1"/>
    <x v="1"/>
    <n v="1.6839999999999999"/>
    <m/>
    <n v="1.6839999999999999"/>
    <n v="0"/>
    <m/>
    <n v="0.4"/>
    <n v="0.5"/>
    <n v="0.1"/>
    <n v="1"/>
    <n v="1"/>
    <n v="1"/>
    <n v="4695.9687199999998"/>
    <n v="0"/>
    <n v="4695.9687199999998"/>
    <n v="0"/>
    <m/>
    <m/>
  </r>
  <r>
    <s v="2.4.3.1.8"/>
    <s v="CMS M.60.10.000"/>
    <x v="2"/>
    <n v="10"/>
    <s v="SPOOL"/>
    <n v="22"/>
    <x v="1"/>
    <s v="NÃO"/>
    <s v="NÃO"/>
    <x v="14"/>
    <x v="1"/>
    <s v="LINHA DO CIRCUITO ARENOSO LINHA DE UNDERFLOW DAS PENEIRAS DESAGUADORAS"/>
    <m/>
    <m/>
    <m/>
    <s v="1450AA-T-70251_FL34"/>
    <n v="1"/>
    <s v="PÇ"/>
    <n v="2.4"/>
    <n v="2.4"/>
    <n v="2788.58"/>
    <n v="6692.5919999999996"/>
    <n v="0"/>
    <n v="0.9"/>
    <n v="0.1"/>
    <n v="1"/>
    <n v="1"/>
    <x v="1"/>
    <n v="2.4"/>
    <m/>
    <n v="2.4"/>
    <n v="0"/>
    <m/>
    <n v="0.4"/>
    <n v="0.5"/>
    <n v="0.1"/>
    <n v="1"/>
    <n v="1"/>
    <n v="1"/>
    <n v="6692.5919999999996"/>
    <n v="0"/>
    <n v="6692.5919999999996"/>
    <n v="0"/>
    <m/>
    <m/>
  </r>
  <r>
    <s v="2.4.3.1.6"/>
    <s v="CMS M.60.10.000"/>
    <x v="2"/>
    <n v="1"/>
    <s v="CURVA"/>
    <n v="16"/>
    <x v="1"/>
    <s v="NÃO"/>
    <s v="NÃO"/>
    <x v="15"/>
    <x v="2"/>
    <s v="DISPOSIÇÃO DE REJEITOS LINHA DO CIRCUITO ARENOSO DISTRIBUIDOR DI-145A-9911 PARA DISTRIBUIDOR DI 145A-9912"/>
    <m/>
    <m/>
    <m/>
    <s v="1450AA-T-70254_FL18"/>
    <n v="1"/>
    <s v="PÇ"/>
    <n v="1.2090000000000001"/>
    <n v="1.2090000000000001"/>
    <n v="3249.8"/>
    <n v="3929.0082000000007"/>
    <n v="0"/>
    <n v="0.9"/>
    <n v="0.1"/>
    <n v="1"/>
    <n v="1"/>
    <x v="1"/>
    <n v="1.2090000000000001"/>
    <m/>
    <n v="1.2090000000000001"/>
    <n v="0"/>
    <m/>
    <n v="0.4"/>
    <n v="0.5"/>
    <n v="0.1"/>
    <n v="1"/>
    <n v="1"/>
    <n v="1"/>
    <n v="3929.0082000000007"/>
    <n v="0"/>
    <n v="3929.0082000000007"/>
    <n v="0"/>
    <m/>
    <m/>
  </r>
  <r>
    <s v="2.4.3.1.5"/>
    <s v="CMS M.60.10.000"/>
    <x v="2"/>
    <n v="2"/>
    <s v="REDUÇÃO"/>
    <s v="16 X 14"/>
    <x v="1"/>
    <s v="NÃO"/>
    <s v="NÃO"/>
    <x v="15"/>
    <x v="2"/>
    <s v="DISPOSIÇÃO DE REJEITOS LINHA DO CIRCUITO ARENOSO DISTRIBUIDOR DI-145A-9911 PARA DISTRIBUIDOR DI 145A-9912"/>
    <m/>
    <m/>
    <m/>
    <s v="1450AA-T-70254_FL19"/>
    <n v="1"/>
    <s v="PÇ"/>
    <n v="0.7"/>
    <n v="0.7"/>
    <n v="2725.4"/>
    <n v="1907.78"/>
    <n v="0"/>
    <n v="0.9"/>
    <n v="0.1"/>
    <n v="1"/>
    <n v="1"/>
    <x v="1"/>
    <n v="0.7"/>
    <m/>
    <n v="0.7"/>
    <n v="0"/>
    <m/>
    <n v="0.4"/>
    <n v="0.5"/>
    <n v="0.1"/>
    <n v="1"/>
    <n v="1"/>
    <n v="1"/>
    <n v="1907.78"/>
    <n v="0"/>
    <n v="1907.78"/>
    <n v="0"/>
    <m/>
    <m/>
  </r>
  <r>
    <s v="2.4.3.1.5"/>
    <s v="CMS M.60.10.000"/>
    <x v="2"/>
    <n v="3"/>
    <s v="SPOOL"/>
    <n v="14"/>
    <x v="1"/>
    <s v="NÃO"/>
    <s v="NÃO"/>
    <x v="15"/>
    <x v="2"/>
    <s v="DISPOSIÇÃO DE REJEITOS LINHA DO CIRCUITO ARENOSO DISTRIBUIDOR DI-145A-9911 PARA DISTRIBUIDOR DI 145A-9912"/>
    <m/>
    <m/>
    <m/>
    <s v="1450AA-T-70254_FL08"/>
    <n v="1"/>
    <s v="PÇ"/>
    <n v="0.185"/>
    <n v="0.185"/>
    <n v="2725.4"/>
    <n v="504.19900000000001"/>
    <n v="0"/>
    <n v="0.9"/>
    <n v="0.1"/>
    <n v="1"/>
    <n v="1"/>
    <x v="1"/>
    <n v="0.185"/>
    <m/>
    <n v="0.185"/>
    <n v="0"/>
    <m/>
    <n v="0.4"/>
    <n v="0.5"/>
    <n v="0.1"/>
    <n v="1"/>
    <n v="1"/>
    <n v="1"/>
    <n v="504.19900000000001"/>
    <n v="0"/>
    <n v="504.19900000000001"/>
    <n v="0"/>
    <m/>
    <m/>
  </r>
  <r>
    <s v="2.4.3.1.5"/>
    <s v="CMS M.60.10.000"/>
    <x v="2"/>
    <n v="4"/>
    <s v="CURVA"/>
    <n v="14"/>
    <x v="1"/>
    <s v="NÃO"/>
    <s v="NÃO"/>
    <x v="15"/>
    <x v="2"/>
    <s v="DISPOSIÇÃO DE REJEITOS LINHA DO CIRCUITO ARENOSO DISTRIBUIDOR DI-145A-9911 PARA DISTRIBUIDOR DI 145A-9912"/>
    <m/>
    <m/>
    <m/>
    <s v="1450AA-T-70254_FL15"/>
    <n v="1"/>
    <s v="PÇ"/>
    <n v="0.48799999999999999"/>
    <n v="0.48799999999999999"/>
    <n v="2725.4"/>
    <n v="1329.9952000000001"/>
    <n v="0"/>
    <n v="0.9"/>
    <n v="0.1"/>
    <n v="1"/>
    <n v="1"/>
    <x v="1"/>
    <n v="0.48799999999999999"/>
    <m/>
    <n v="0.48799999999999999"/>
    <n v="0"/>
    <m/>
    <n v="0.4"/>
    <n v="0.5"/>
    <n v="0.1"/>
    <n v="1"/>
    <n v="1"/>
    <n v="1"/>
    <n v="1329.9952000000001"/>
    <n v="0"/>
    <n v="1329.9952000000001"/>
    <n v="0"/>
    <m/>
    <m/>
  </r>
  <r>
    <s v="2.4.3.1.5"/>
    <s v="CMS M.60.10.000"/>
    <x v="2"/>
    <n v="5"/>
    <s v="SPOOL"/>
    <n v="14"/>
    <x v="2"/>
    <s v="NÃO"/>
    <s v="NÃO"/>
    <x v="15"/>
    <x v="2"/>
    <s v="DISPOSIÇÃO DE REJEITOS LINHA DO CIRCUITO ARENOSO DISTRIBUIDOR DI-145A-9911 PARA DISTRIBUIDOR DI 145A-9912"/>
    <m/>
    <m/>
    <m/>
    <s v="1450AA-T-70254_FL13"/>
    <n v="1"/>
    <s v="PÇ"/>
    <n v="0.35499999999999998"/>
    <n v="0.35499999999999998"/>
    <n v="2725.4"/>
    <n v="967.51699999999994"/>
    <n v="0"/>
    <n v="0.9"/>
    <n v="0.1"/>
    <n v="1"/>
    <n v="1"/>
    <x v="1"/>
    <n v="0.35499999999999998"/>
    <m/>
    <n v="0.35499999999999998"/>
    <n v="0"/>
    <m/>
    <n v="0.4"/>
    <n v="0.5"/>
    <n v="0.1"/>
    <n v="1"/>
    <n v="1"/>
    <n v="1"/>
    <n v="967.51699999999994"/>
    <n v="0"/>
    <n v="967.51699999999994"/>
    <n v="0"/>
    <m/>
    <m/>
  </r>
  <r>
    <s v="2.4.3.1.5"/>
    <s v="CMS M.60.10.000"/>
    <x v="2"/>
    <n v="6"/>
    <s v="SPOOL"/>
    <n v="14"/>
    <x v="1"/>
    <s v="NÃO"/>
    <s v="NÃO"/>
    <x v="15"/>
    <x v="2"/>
    <s v="DISPOSIÇÃO DE REJEITOS LINHA DO CIRCUITO ARENOSO DISTRIBUIDOR DI-145A-9911 PARA DISTRIBUIDOR DI 145A-9912"/>
    <m/>
    <m/>
    <m/>
    <s v="1450AA-T-70254_FL11"/>
    <n v="1"/>
    <s v="PÇ"/>
    <n v="3.3"/>
    <n v="3.3"/>
    <n v="2725.4"/>
    <n v="8993.82"/>
    <n v="0"/>
    <n v="0.9"/>
    <n v="0.1"/>
    <n v="1"/>
    <n v="1"/>
    <x v="1"/>
    <n v="3.3"/>
    <m/>
    <n v="3.3"/>
    <n v="0"/>
    <m/>
    <n v="0.4"/>
    <n v="0.5"/>
    <n v="0.1"/>
    <n v="1"/>
    <n v="1"/>
    <n v="1"/>
    <n v="8993.82"/>
    <n v="0"/>
    <n v="8993.82"/>
    <n v="0"/>
    <m/>
    <m/>
  </r>
  <r>
    <s v="2.4.3.1.5"/>
    <s v="CMS M.60.10.000"/>
    <x v="2"/>
    <n v="7"/>
    <s v="CURVA"/>
    <n v="14"/>
    <x v="1"/>
    <s v="NÃO"/>
    <s v="NÃO"/>
    <x v="15"/>
    <x v="2"/>
    <s v="DISPOSIÇÃO DE REJEITOS LINHA DO CIRCUITO ARENOSO DISTRIBUIDOR DI-145A-9911 PARA DISTRIBUIDOR DI 145A-9912"/>
    <m/>
    <m/>
    <m/>
    <s v="1450AA-T-70254_FL14"/>
    <n v="1"/>
    <s v="PÇ"/>
    <n v="0.45400000000000001"/>
    <n v="0.45400000000000001"/>
    <n v="2725.4"/>
    <n v="1237.3316"/>
    <n v="0"/>
    <n v="0.9"/>
    <n v="0.1"/>
    <n v="1"/>
    <n v="1"/>
    <x v="1"/>
    <n v="0.45400000000000001"/>
    <m/>
    <n v="0.45400000000000001"/>
    <n v="0"/>
    <m/>
    <n v="0.4"/>
    <n v="0.5"/>
    <n v="0.1"/>
    <n v="1"/>
    <n v="1"/>
    <n v="1"/>
    <n v="1237.3316"/>
    <n v="0"/>
    <n v="1237.3316"/>
    <n v="0"/>
    <m/>
    <m/>
  </r>
  <r>
    <s v="2.4.3.1.5"/>
    <s v="CMS M.60.10.000"/>
    <x v="2"/>
    <n v="8"/>
    <s v="SPOOL"/>
    <n v="14"/>
    <x v="1"/>
    <s v="NÃO"/>
    <s v="NÃO"/>
    <x v="15"/>
    <x v="2"/>
    <s v="DISPOSIÇÃO DE REJEITOS LINHA DO CIRCUITO ARENOSO DISTRIBUIDOR DI-145A-9911 PARA DISTRIBUIDOR DI 145A-9912"/>
    <m/>
    <m/>
    <m/>
    <s v="1450AA-T-70254_FL10"/>
    <n v="1"/>
    <s v="PÇ"/>
    <n v="2.0710000000000002"/>
    <n v="2.0710000000000002"/>
    <n v="2725.4"/>
    <n v="5644.3034000000007"/>
    <n v="0"/>
    <n v="0.9"/>
    <n v="0.1"/>
    <n v="1"/>
    <n v="1"/>
    <x v="1"/>
    <n v="2.0710000000000002"/>
    <m/>
    <n v="2.0710000000000002"/>
    <n v="0"/>
    <m/>
    <n v="0.4"/>
    <n v="0.5"/>
    <n v="0.1"/>
    <n v="1"/>
    <n v="1"/>
    <n v="1"/>
    <n v="5644.3034000000007"/>
    <n v="0"/>
    <n v="5644.3034000000007"/>
    <n v="0"/>
    <m/>
    <m/>
  </r>
  <r>
    <s v="2.4.3.1.5"/>
    <s v="CMS M.60.10.000"/>
    <x v="2"/>
    <n v="9"/>
    <s v="CURVA"/>
    <n v="14"/>
    <x v="1"/>
    <s v="NÃO"/>
    <s v="NÃO"/>
    <x v="15"/>
    <x v="2"/>
    <s v="DISPOSIÇÃO DE REJEITOS LINHA DO CIRCUITO ARENOSO DISTRIBUIDOR DI-145A-9911 PARA DISTRIBUIDOR DI 145A-9912"/>
    <m/>
    <m/>
    <m/>
    <s v="1450AA-T-70254_FL17"/>
    <n v="1"/>
    <s v="PÇ"/>
    <n v="0.81799999999999995"/>
    <n v="0.81799999999999995"/>
    <n v="2725.4"/>
    <n v="2229.3771999999999"/>
    <n v="0"/>
    <n v="0.9"/>
    <n v="0.1"/>
    <n v="1"/>
    <n v="1"/>
    <x v="1"/>
    <n v="0.81799999999999995"/>
    <m/>
    <n v="0.81799999999999995"/>
    <n v="0"/>
    <m/>
    <n v="0.4"/>
    <n v="0.5"/>
    <n v="0.1"/>
    <n v="1"/>
    <n v="1"/>
    <n v="1"/>
    <n v="2229.3771999999999"/>
    <n v="0"/>
    <n v="2229.3771999999999"/>
    <n v="0"/>
    <m/>
    <m/>
  </r>
  <r>
    <s v="2.4.3.1.5"/>
    <s v="CMS M.60.10.000"/>
    <x v="2"/>
    <n v="10"/>
    <s v="SPOOL"/>
    <n v="14"/>
    <x v="1"/>
    <s v="NÃO"/>
    <s v="NÃO"/>
    <x v="15"/>
    <x v="2"/>
    <s v="DISPOSIÇÃO DE REJEITOS LINHA DO CIRCUITO ARENOSO DISTRIBUIDOR DI-145A-9911 PARA DISTRIBUIDOR DI 145A-9912"/>
    <m/>
    <m/>
    <m/>
    <s v="1450AA-T-70254_FL12"/>
    <n v="1"/>
    <s v="PÇ"/>
    <n v="5.4580000000000002"/>
    <n v="5.4580000000000002"/>
    <n v="2725.4"/>
    <n v="14875.233200000001"/>
    <n v="0"/>
    <n v="0.9"/>
    <n v="0.1"/>
    <n v="1"/>
    <n v="1"/>
    <x v="1"/>
    <n v="5.4580000000000002"/>
    <m/>
    <n v="5.4580000000000002"/>
    <n v="0"/>
    <m/>
    <n v="0.4"/>
    <n v="0.5"/>
    <n v="0.1"/>
    <n v="1"/>
    <n v="1"/>
    <n v="1"/>
    <n v="14875.233200000001"/>
    <n v="0"/>
    <n v="14875.233200000001"/>
    <n v="0"/>
    <m/>
    <m/>
  </r>
  <r>
    <s v="2.4.3.1.5"/>
    <s v="CMS M.60.10.000"/>
    <x v="2"/>
    <n v="11"/>
    <s v="CURVA"/>
    <n v="14"/>
    <x v="1"/>
    <s v="NÃO"/>
    <s v="NÃO"/>
    <x v="15"/>
    <x v="2"/>
    <s v="DISPOSIÇÃO DE REJEITOS LINHA DO CIRCUITO ARENOSO DISTRIBUIDOR DI-145A-9911 PARA DISTRIBUIDOR DI 145A-9912"/>
    <m/>
    <m/>
    <m/>
    <s v="1450AA-T-70254_FL16"/>
    <n v="1"/>
    <s v="PÇ"/>
    <n v="0.61299999999999999"/>
    <n v="0.61299999999999999"/>
    <n v="2725.4"/>
    <n v="1670.6702"/>
    <n v="0"/>
    <n v="0.9"/>
    <n v="0.1"/>
    <n v="1"/>
    <n v="1"/>
    <x v="1"/>
    <n v="0.61299999999999999"/>
    <m/>
    <n v="0.61299999999999999"/>
    <n v="0"/>
    <m/>
    <n v="0.4"/>
    <n v="0.5"/>
    <n v="0.1"/>
    <n v="1"/>
    <n v="1"/>
    <n v="1"/>
    <n v="1670.6702"/>
    <n v="0"/>
    <n v="1670.6702"/>
    <n v="0"/>
    <m/>
    <m/>
  </r>
  <r>
    <s v="2.4.3.1.5"/>
    <s v="CMS M.60.10.000"/>
    <x v="2"/>
    <n v="12"/>
    <s v="SPOOL"/>
    <n v="14"/>
    <x v="1"/>
    <s v="NÃO"/>
    <s v="NÃO"/>
    <x v="15"/>
    <x v="2"/>
    <s v="DISPOSIÇÃO DE REJEITOS LINHA DO CIRCUITO ARENOSO DISTRIBUIDOR DI-145A-9911 PARA DISTRIBUIDOR DI 145A-9912"/>
    <m/>
    <m/>
    <m/>
    <s v="1450AA-T-70254_FL20"/>
    <n v="1"/>
    <s v="PÇ"/>
    <n v="1.5"/>
    <n v="1.5"/>
    <n v="2725.4"/>
    <n v="4088.1000000000004"/>
    <n v="0"/>
    <n v="0.9"/>
    <n v="0.1"/>
    <n v="1"/>
    <n v="1"/>
    <x v="1"/>
    <n v="1.5"/>
    <m/>
    <n v="1.5"/>
    <n v="0"/>
    <m/>
    <n v="0.4"/>
    <n v="0.5"/>
    <n v="0.1"/>
    <n v="1"/>
    <n v="1"/>
    <n v="1"/>
    <n v="4088.1000000000004"/>
    <n v="0"/>
    <n v="4088.1000000000004"/>
    <n v="0"/>
    <m/>
    <m/>
  </r>
  <r>
    <s v="2.4.3.1.5"/>
    <s v="CMS M.60.10.000"/>
    <x v="2"/>
    <n v="13"/>
    <s v="SPOOL"/>
    <n v="14"/>
    <x v="1"/>
    <s v="NÃO"/>
    <s v="NÃO"/>
    <x v="15"/>
    <x v="2"/>
    <s v="DISPOSIÇÃO DE REJEITOS LINHA DO CIRCUITO ARENOSO DISTRIBUIDOR DI-145A-9911 PARA DISTRIBUIDOR DI 145A-9912"/>
    <m/>
    <m/>
    <m/>
    <s v="1450AA-T-70254_FL09"/>
    <n v="1"/>
    <s v="PÇ"/>
    <n v="0.28899999999999998"/>
    <n v="0.28899999999999998"/>
    <n v="2725.4"/>
    <n v="787.64059999999995"/>
    <n v="0"/>
    <n v="0.9"/>
    <n v="0.1"/>
    <n v="1"/>
    <n v="1"/>
    <x v="1"/>
    <n v="0.28899999999999998"/>
    <m/>
    <n v="0.28899999999999998"/>
    <n v="0"/>
    <m/>
    <n v="0.4"/>
    <n v="0.5"/>
    <n v="0.1"/>
    <n v="1"/>
    <n v="1"/>
    <n v="1"/>
    <n v="787.64059999999995"/>
    <n v="0"/>
    <n v="787.64059999999995"/>
    <n v="0"/>
    <m/>
    <m/>
  </r>
  <r>
    <s v="2.4.3.1.6"/>
    <s v="CMS M.60.10.000"/>
    <x v="2"/>
    <n v="1"/>
    <s v="CURVA"/>
    <n v="16"/>
    <x v="1"/>
    <s v="NÃO"/>
    <s v="NÃO"/>
    <x v="16"/>
    <x v="2"/>
    <s v="DISPOSIÇÃO DE REJEITOS LINHA DO CIRCUITO ARENOSO DISTRIBUIDOR DI-145A-9911 PARA DISTRIBUIDOR DI 145A-9913"/>
    <m/>
    <m/>
    <m/>
    <s v="1450AA-T-70256_FL15"/>
    <n v="1"/>
    <s v="PÇ"/>
    <n v="1.2090000000000001"/>
    <n v="1.2090000000000001"/>
    <n v="3249.8"/>
    <n v="3929.0082000000007"/>
    <n v="0"/>
    <n v="0.9"/>
    <n v="0.1"/>
    <n v="1"/>
    <n v="1"/>
    <x v="1"/>
    <n v="1.2090000000000001"/>
    <m/>
    <n v="1.2090000000000001"/>
    <n v="0"/>
    <m/>
    <n v="0.4"/>
    <n v="0.5"/>
    <n v="0.1"/>
    <n v="1"/>
    <n v="1"/>
    <n v="1"/>
    <n v="3929.0082000000007"/>
    <n v="0"/>
    <n v="3929.0082000000007"/>
    <n v="0"/>
    <m/>
    <m/>
  </r>
  <r>
    <s v="2.4.3.1.5"/>
    <s v="CMS M.60.10.000"/>
    <x v="2"/>
    <n v="2"/>
    <s v="REDUÇÃO"/>
    <s v="16 X 14"/>
    <x v="1"/>
    <s v="NÃO"/>
    <s v="NÃO"/>
    <x v="16"/>
    <x v="2"/>
    <s v="DISPOSIÇÃO DE REJEITOS LINHA DO CIRCUITO ARENOSO DISTRIBUIDOR DI-145A-9911 PARA DISTRIBUIDOR DI 145A-9913"/>
    <m/>
    <m/>
    <m/>
    <s v="1450AA-T-70256_FL16"/>
    <n v="1"/>
    <s v="PÇ"/>
    <n v="1"/>
    <n v="1"/>
    <n v="2725.4"/>
    <n v="2725.4"/>
    <n v="0"/>
    <n v="0.9"/>
    <n v="0.1"/>
    <n v="1"/>
    <n v="1"/>
    <x v="1"/>
    <n v="1"/>
    <m/>
    <n v="1"/>
    <n v="0"/>
    <m/>
    <n v="0.4"/>
    <n v="0.5"/>
    <n v="0.1"/>
    <n v="1"/>
    <n v="1"/>
    <n v="1"/>
    <n v="2725.4"/>
    <n v="0"/>
    <n v="2725.4"/>
    <n v="0"/>
    <m/>
    <m/>
  </r>
  <r>
    <s v="2.4.3.1.5"/>
    <s v="CMS M.60.10.000"/>
    <x v="2"/>
    <n v="3"/>
    <s v="SPOOL"/>
    <n v="14"/>
    <x v="2"/>
    <s v="NÃO"/>
    <s v="NÃO"/>
    <x v="16"/>
    <x v="2"/>
    <s v="DISPOSIÇÃO DE REJEITOS LINHA DO CIRCUITO ARENOSO DISTRIBUIDOR DI-145A-9911 PARA DISTRIBUIDOR DI 145A-9913"/>
    <m/>
    <m/>
    <m/>
    <s v="1450AA-T-70256_FL12"/>
    <n v="1"/>
    <s v="PÇ"/>
    <n v="0.375"/>
    <n v="0.375"/>
    <n v="2725.4"/>
    <n v="1022.0250000000001"/>
    <n v="0"/>
    <n v="0.9"/>
    <n v="0.1"/>
    <n v="1"/>
    <n v="1"/>
    <x v="1"/>
    <n v="0.375"/>
    <m/>
    <n v="0.375"/>
    <n v="0"/>
    <m/>
    <n v="0.4"/>
    <n v="0.5"/>
    <n v="0.1"/>
    <n v="1"/>
    <n v="1"/>
    <n v="1"/>
    <n v="1022.0250000000001"/>
    <n v="0"/>
    <n v="1022.0250000000001"/>
    <n v="0"/>
    <m/>
    <m/>
  </r>
  <r>
    <s v="2.4.3.1.5"/>
    <s v="CMS M.60.10.000"/>
    <x v="2"/>
    <n v="4"/>
    <s v="SPOOL"/>
    <n v="14"/>
    <x v="1"/>
    <s v="NÃO"/>
    <s v="NÃO"/>
    <x v="16"/>
    <x v="2"/>
    <s v="DISPOSIÇÃO DE REJEITOS LINHA DO CIRCUITO ARENOSO DISTRIBUIDOR DI-145A-9911 PARA DISTRIBUIDOR DI 145A-9913"/>
    <m/>
    <m/>
    <m/>
    <s v="1450AA-T-70256_FL11"/>
    <n v="1"/>
    <s v="PÇ"/>
    <n v="2.4"/>
    <n v="2.4"/>
    <n v="2725.4"/>
    <n v="6540.96"/>
    <n v="0"/>
    <n v="0.9"/>
    <n v="0.1"/>
    <n v="1"/>
    <n v="1"/>
    <x v="1"/>
    <n v="2.4"/>
    <m/>
    <n v="2.4"/>
    <n v="0"/>
    <m/>
    <n v="0.4"/>
    <n v="0.5"/>
    <n v="0.1"/>
    <n v="1"/>
    <n v="1"/>
    <n v="1"/>
    <n v="6540.96"/>
    <n v="0"/>
    <n v="6540.96"/>
    <n v="0"/>
    <m/>
    <m/>
  </r>
  <r>
    <s v="2.4.3.1.5"/>
    <s v="CMS M.60.10.000"/>
    <x v="2"/>
    <n v="5"/>
    <s v="CURVA"/>
    <n v="14"/>
    <x v="1"/>
    <s v="NÃO"/>
    <s v="NÃO"/>
    <x v="16"/>
    <x v="2"/>
    <s v="DISPOSIÇÃO DE REJEITOS LINHA DO CIRCUITO ARENOSO DISTRIBUIDOR DI-145A-9911 PARA DISTRIBUIDOR DI 145A-9913"/>
    <m/>
    <m/>
    <m/>
    <s v="1450AA-T-70256_FL14"/>
    <n v="1"/>
    <s v="PÇ"/>
    <n v="0.61299999999999999"/>
    <n v="0.61299999999999999"/>
    <n v="2725.4"/>
    <n v="1670.6702"/>
    <n v="0"/>
    <n v="0.9"/>
    <n v="0.1"/>
    <n v="1"/>
    <n v="1"/>
    <x v="1"/>
    <n v="0.61299999999999999"/>
    <m/>
    <n v="0.61299999999999999"/>
    <n v="0"/>
    <m/>
    <n v="0.4"/>
    <n v="0.5"/>
    <n v="0.1"/>
    <n v="1"/>
    <n v="1"/>
    <n v="1"/>
    <n v="1670.6702"/>
    <n v="0"/>
    <n v="1670.6702"/>
    <n v="0"/>
    <m/>
    <m/>
  </r>
  <r>
    <s v="2.4.3.1.5"/>
    <s v="CMS M.60.10.000"/>
    <x v="2"/>
    <n v="6"/>
    <s v="SPOOL"/>
    <n v="14"/>
    <x v="1"/>
    <s v="NÃO"/>
    <s v="NÃO"/>
    <x v="16"/>
    <x v="2"/>
    <s v="DISPOSIÇÃO DE REJEITOS LINHA DO CIRCUITO ARENOSO DISTRIBUIDOR DI-145A-9911 PARA DISTRIBUIDOR DI 145A-9913"/>
    <m/>
    <m/>
    <m/>
    <s v="1450AA-T-70256_FL10"/>
    <n v="1"/>
    <s v="PÇ"/>
    <n v="1.3660000000000001"/>
    <n v="1.3660000000000001"/>
    <n v="2725.4"/>
    <n v="3722.8964000000005"/>
    <n v="0"/>
    <n v="0.9"/>
    <n v="0.1"/>
    <n v="1"/>
    <n v="1"/>
    <x v="1"/>
    <n v="1.3660000000000001"/>
    <m/>
    <n v="1.3660000000000001"/>
    <n v="0"/>
    <m/>
    <n v="0.4"/>
    <n v="0.5"/>
    <n v="0.1"/>
    <n v="1"/>
    <n v="1"/>
    <n v="1"/>
    <n v="3722.8964000000005"/>
    <n v="0"/>
    <n v="3722.8964000000005"/>
    <n v="0"/>
    <m/>
    <m/>
  </r>
  <r>
    <s v="2.4.3.1.5"/>
    <s v="CMS M.60.10.000"/>
    <x v="2"/>
    <n v="7"/>
    <s v="CURVA"/>
    <n v="14"/>
    <x v="1"/>
    <s v="NÃO"/>
    <s v="NÃO"/>
    <x v="16"/>
    <x v="2"/>
    <s v="DISPOSIÇÃO DE REJEITOS LINHA DO CIRCUITO ARENOSO DISTRIBUIDOR DI-145A-9911 PARA DISTRIBUIDOR DI 145A-9913"/>
    <m/>
    <m/>
    <m/>
    <s v="1450AA-T-70256_FL13"/>
    <n v="1"/>
    <s v="PÇ"/>
    <n v="0.52100000000000002"/>
    <n v="0.52100000000000002"/>
    <n v="2725.4"/>
    <n v="1419.9334000000001"/>
    <n v="0"/>
    <n v="0.9"/>
    <n v="0.1"/>
    <n v="1"/>
    <n v="1"/>
    <x v="0"/>
    <n v="0.46890000000000004"/>
    <m/>
    <n v="0.46890000000000004"/>
    <n v="5.209999999999998E-2"/>
    <m/>
    <n v="0.4"/>
    <n v="0.5"/>
    <n v="0.1"/>
    <m/>
    <m/>
    <m/>
    <n v="0"/>
    <n v="0"/>
    <n v="0"/>
    <n v="1419.9334000000001"/>
    <m/>
    <m/>
  </r>
  <r>
    <s v="2.4.3.1.5"/>
    <s v="CMS M.60.10.000"/>
    <x v="2"/>
    <n v="8"/>
    <s v="SPOOL"/>
    <n v="14"/>
    <x v="1"/>
    <s v="NÃO"/>
    <s v="NÃO"/>
    <x v="16"/>
    <x v="2"/>
    <s v="DISPOSIÇÃO DE REJEITOS LINHA DO CIRCUITO ARENOSO DISTRIBUIDOR DI-145A-9911 PARA DISTRIBUIDOR DI 145A-9913"/>
    <m/>
    <m/>
    <m/>
    <s v="1450AA-T-70256_FL09"/>
    <n v="1"/>
    <s v="PÇ"/>
    <n v="1.07"/>
    <n v="1.07"/>
    <n v="2725.4"/>
    <n v="2916.1780000000003"/>
    <n v="0"/>
    <n v="0.9"/>
    <n v="0.1"/>
    <n v="1"/>
    <n v="1"/>
    <x v="0"/>
    <n v="0.96300000000000008"/>
    <m/>
    <n v="0.96300000000000008"/>
    <n v="0.10699999999999998"/>
    <m/>
    <n v="0.4"/>
    <n v="0.5"/>
    <n v="0.1"/>
    <m/>
    <m/>
    <m/>
    <n v="0"/>
    <n v="0"/>
    <n v="0"/>
    <n v="2916.1780000000003"/>
    <m/>
    <m/>
  </r>
  <r>
    <s v="2.4.3.1.5"/>
    <s v="CMS M.60.10.000"/>
    <x v="2"/>
    <n v="9"/>
    <s v="SPOOL"/>
    <n v="14"/>
    <x v="1"/>
    <s v="NÃO"/>
    <s v="NÃO"/>
    <x v="16"/>
    <x v="2"/>
    <s v="DISPOSIÇÃO DE REJEITOS LINHA DO CIRCUITO ARENOSO DISTRIBUIDOR DI-145A-9911 PARA DISTRIBUIDOR DI 145A-9913"/>
    <m/>
    <m/>
    <m/>
    <s v="1450AA-T-70256_FL17"/>
    <n v="1"/>
    <s v="PÇ"/>
    <n v="1.5"/>
    <n v="1.5"/>
    <n v="2725.4"/>
    <n v="4088.1000000000004"/>
    <n v="0"/>
    <n v="0.9"/>
    <n v="0.1"/>
    <n v="1"/>
    <n v="1"/>
    <x v="0"/>
    <n v="1.35"/>
    <m/>
    <n v="1.35"/>
    <n v="0.14999999999999991"/>
    <m/>
    <n v="0.4"/>
    <n v="0.5"/>
    <n v="0.1"/>
    <m/>
    <m/>
    <m/>
    <n v="0"/>
    <n v="0"/>
    <n v="0"/>
    <n v="4088.1000000000004"/>
    <m/>
    <m/>
  </r>
  <r>
    <s v="2.4.3.1.5"/>
    <s v="CMS M.60.10.000"/>
    <x v="2"/>
    <n v="10"/>
    <s v="SPOOL"/>
    <n v="14"/>
    <x v="1"/>
    <s v="NÃO"/>
    <s v="NÃO"/>
    <x v="16"/>
    <x v="2"/>
    <s v="DISPOSIÇÃO DE REJEITOS LINHA DO CIRCUITO ARENOSO DISTRIBUIDOR DI-145A-9911 PARA DISTRIBUIDOR DI 145A-9913"/>
    <m/>
    <m/>
    <m/>
    <s v="1450AA-T-70256_FL08"/>
    <n v="1"/>
    <s v="PÇ"/>
    <n v="0.27100000000000002"/>
    <n v="0.27100000000000002"/>
    <n v="2725.4"/>
    <n v="738.5834000000001"/>
    <n v="0"/>
    <n v="0.9"/>
    <n v="0.1"/>
    <n v="1"/>
    <n v="1"/>
    <x v="0"/>
    <n v="0.24390000000000003"/>
    <m/>
    <n v="0.24390000000000003"/>
    <n v="2.7099999999999985E-2"/>
    <m/>
    <n v="0.4"/>
    <n v="0.5"/>
    <n v="0.1"/>
    <m/>
    <m/>
    <m/>
    <n v="0"/>
    <n v="0"/>
    <n v="0"/>
    <n v="738.5834000000001"/>
    <m/>
    <m/>
  </r>
  <r>
    <s v="2.4.3.1.6"/>
    <s v="CMS M.60.10.000"/>
    <x v="2"/>
    <n v="1"/>
    <s v="CURVA"/>
    <n v="16"/>
    <x v="1"/>
    <s v="NÃO"/>
    <s v="NÃO"/>
    <x v="17"/>
    <x v="1"/>
    <s v="DISPOSIÇÃO DE REJEITOS LINHA DO CIRCUITO ARENOSO DISTRIBUIDOR DI-145A-9911 PARA DISTRIBUIDOR DI 145A-9914"/>
    <m/>
    <m/>
    <m/>
    <s v="1450AA-T-70258_FL17"/>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7"/>
    <x v="1"/>
    <s v="DISPOSIÇÃO DE REJEITOS LINHA DO CIRCUITO ARENOSO DISTRIBUIDOR DI-145A-9911 PARA DISTRIBUIDOR DI 145A-9914"/>
    <m/>
    <m/>
    <m/>
    <s v="1450AA-T-70258_FL18"/>
    <n v="1"/>
    <s v="PÇ"/>
    <n v="0.7"/>
    <n v="0.7"/>
    <n v="2725.4"/>
    <n v="1907.78"/>
    <n v="0"/>
    <n v="0.9"/>
    <n v="0.1"/>
    <n v="1"/>
    <n v="1"/>
    <x v="0"/>
    <n v="0.63"/>
    <m/>
    <n v="0.63"/>
    <n v="6.9999999999999951E-2"/>
    <m/>
    <n v="0.4"/>
    <n v="0.5"/>
    <n v="0.1"/>
    <m/>
    <m/>
    <m/>
    <n v="0"/>
    <n v="0"/>
    <n v="0"/>
    <n v="1907.78"/>
    <m/>
    <m/>
  </r>
  <r>
    <s v="2.4.3.1.5"/>
    <s v="CMS M.60.10.000"/>
    <x v="2"/>
    <n v="3"/>
    <s v="SPOOL"/>
    <n v="14"/>
    <x v="2"/>
    <s v="NÃO"/>
    <s v="NÃO"/>
    <x v="17"/>
    <x v="1"/>
    <s v="DISPOSIÇÃO DE REJEITOS LINHA DO CIRCUITO ARENOSO DISTRIBUIDOR DI-145A-9911 PARA DISTRIBUIDOR DI 145A-9914"/>
    <m/>
    <m/>
    <m/>
    <s v="1450AA-T-70258_FL12"/>
    <n v="1"/>
    <s v="PÇ"/>
    <n v="0.32"/>
    <n v="0.32"/>
    <n v="2725.4"/>
    <n v="872.12800000000004"/>
    <n v="0"/>
    <n v="0.9"/>
    <n v="0.1"/>
    <n v="1"/>
    <n v="1"/>
    <x v="0"/>
    <n v="0.28800000000000003"/>
    <m/>
    <n v="0.28800000000000003"/>
    <n v="3.1999999999999973E-2"/>
    <m/>
    <n v="0.4"/>
    <n v="0.5"/>
    <n v="0.1"/>
    <m/>
    <m/>
    <m/>
    <n v="0"/>
    <n v="0"/>
    <n v="0"/>
    <n v="872.12800000000004"/>
    <m/>
    <m/>
  </r>
  <r>
    <s v="2.4.3.1.5"/>
    <s v="CMS M.60.10.000"/>
    <x v="2"/>
    <n v="4"/>
    <s v="SPOOL"/>
    <n v="14"/>
    <x v="1"/>
    <s v="NÃO"/>
    <s v="NÃO"/>
    <x v="17"/>
    <x v="1"/>
    <s v="DISPOSIÇÃO DE REJEITOS LINHA DO CIRCUITO ARENOSO DISTRIBUIDOR DI-145A-9911 PARA DISTRIBUIDOR DI 145A-9914"/>
    <m/>
    <m/>
    <m/>
    <s v="1450AA-T-70258_FL09"/>
    <n v="1"/>
    <s v="PÇ"/>
    <n v="1.4"/>
    <n v="1.4"/>
    <n v="2725.4"/>
    <n v="3815.56"/>
    <n v="0"/>
    <n v="0.9"/>
    <n v="0.1"/>
    <n v="1"/>
    <n v="1"/>
    <x v="0"/>
    <n v="1.26"/>
    <m/>
    <n v="1.26"/>
    <n v="0.1399999999999999"/>
    <m/>
    <n v="0.4"/>
    <n v="0.5"/>
    <n v="0.1"/>
    <m/>
    <m/>
    <m/>
    <n v="0"/>
    <n v="0"/>
    <n v="0"/>
    <n v="3815.56"/>
    <m/>
    <m/>
  </r>
  <r>
    <s v="2.4.3.1.5"/>
    <s v="CMS M.60.10.000"/>
    <x v="2"/>
    <n v="5"/>
    <s v="CURVA"/>
    <n v="14"/>
    <x v="1"/>
    <s v="NÃO"/>
    <s v="NÃO"/>
    <x v="17"/>
    <x v="1"/>
    <s v="DISPOSIÇÃO DE REJEITOS LINHA DO CIRCUITO ARENOSO DISTRIBUIDOR DI-145A-9911 PARA DISTRIBUIDOR DI 145A-9914"/>
    <m/>
    <m/>
    <m/>
    <s v="1450AA-T-70258_FL14"/>
    <n v="1"/>
    <s v="PÇ"/>
    <n v="0.34200000000000003"/>
    <n v="0.34200000000000003"/>
    <n v="2725.4"/>
    <n v="932.08680000000015"/>
    <n v="0"/>
    <n v="0.9"/>
    <n v="0.1"/>
    <n v="1"/>
    <n v="1"/>
    <x v="0"/>
    <n v="0.30780000000000002"/>
    <m/>
    <n v="0.30780000000000002"/>
    <n v="3.4200000000000008E-2"/>
    <m/>
    <n v="0.4"/>
    <n v="0.5"/>
    <n v="0.1"/>
    <m/>
    <m/>
    <m/>
    <n v="0"/>
    <n v="0"/>
    <n v="0"/>
    <n v="932.08680000000015"/>
    <m/>
    <m/>
  </r>
  <r>
    <s v="2.4.3.1.5"/>
    <s v="CMS M.60.10.000"/>
    <x v="2"/>
    <n v="6"/>
    <s v="SPOOL"/>
    <n v="14"/>
    <x v="1"/>
    <s v="NÃO"/>
    <s v="NÃO"/>
    <x v="17"/>
    <x v="1"/>
    <s v="DISPOSIÇÃO DE REJEITOS LINHA DO CIRCUITO ARENOSO DISTRIBUIDOR DI-145A-9911 PARA DISTRIBUIDOR DI 145A-9914"/>
    <m/>
    <m/>
    <m/>
    <s v="1450AA-T-70258_FL10"/>
    <n v="1"/>
    <s v="PÇ"/>
    <n v="3.1259999999999999"/>
    <n v="3.1259999999999999"/>
    <n v="2725.4"/>
    <n v="8519.6003999999994"/>
    <n v="0"/>
    <n v="0.9"/>
    <n v="0.1"/>
    <n v="1"/>
    <n v="1"/>
    <x v="0"/>
    <n v="2.8134000000000001"/>
    <m/>
    <n v="2.8134000000000001"/>
    <n v="0.31259999999999977"/>
    <m/>
    <n v="0.4"/>
    <n v="0.5"/>
    <n v="0.1"/>
    <m/>
    <m/>
    <m/>
    <n v="0"/>
    <n v="0"/>
    <n v="0"/>
    <n v="8519.6003999999994"/>
    <m/>
    <m/>
  </r>
  <r>
    <s v="2.4.3.1.5"/>
    <s v="CMS M.60.10.000"/>
    <x v="2"/>
    <n v="7"/>
    <s v="CURVA"/>
    <n v="14"/>
    <x v="1"/>
    <s v="NÃO"/>
    <s v="NÃO"/>
    <x v="17"/>
    <x v="1"/>
    <s v="DISPOSIÇÃO DE REJEITOS LINHA DO CIRCUITO ARENOSO DISTRIBUIDOR DI-145A-9911 PARA DISTRIBUIDOR DI 145A-9914"/>
    <m/>
    <m/>
    <m/>
    <s v="1450AA-T-70258_FL16"/>
    <n v="1"/>
    <s v="PÇ"/>
    <n v="0.76900000000000002"/>
    <n v="0.76900000000000002"/>
    <n v="2725.4"/>
    <n v="2095.8326000000002"/>
    <n v="0"/>
    <n v="0.9"/>
    <n v="0.1"/>
    <n v="1"/>
    <n v="1"/>
    <x v="0"/>
    <n v="0.69210000000000005"/>
    <m/>
    <n v="0.69210000000000005"/>
    <n v="7.6899999999999968E-2"/>
    <m/>
    <n v="0.4"/>
    <n v="0.5"/>
    <n v="0.1"/>
    <m/>
    <m/>
    <m/>
    <n v="0"/>
    <n v="0"/>
    <n v="0"/>
    <n v="2095.8326000000002"/>
    <m/>
    <m/>
  </r>
  <r>
    <s v="2.4.3.1.5"/>
    <s v="CMS M.60.10.000"/>
    <x v="2"/>
    <n v="8"/>
    <s v="SPOOL"/>
    <n v="14"/>
    <x v="1"/>
    <s v="NÃO"/>
    <s v="NÃO"/>
    <x v="17"/>
    <x v="1"/>
    <s v="DISPOSIÇÃO DE REJEITOS LINHA DO CIRCUITO ARENOSO DISTRIBUIDOR DI-145A-9911 PARA DISTRIBUIDOR DI 145A-9914"/>
    <m/>
    <m/>
    <m/>
    <s v="1450AA-T-70258_FL11"/>
    <n v="2"/>
    <s v="PÇ"/>
    <n v="3.4"/>
    <n v="6.8"/>
    <n v="2725.4"/>
    <n v="18532.72"/>
    <n v="0"/>
    <n v="0.9"/>
    <n v="0.1"/>
    <n v="1"/>
    <n v="1"/>
    <x v="0"/>
    <n v="6.12"/>
    <m/>
    <n v="6.12"/>
    <n v="0.67999999999999972"/>
    <m/>
    <n v="0.4"/>
    <n v="0.5"/>
    <n v="0.1"/>
    <m/>
    <m/>
    <m/>
    <n v="0"/>
    <n v="0"/>
    <n v="0"/>
    <n v="18532.72"/>
    <m/>
    <m/>
  </r>
  <r>
    <s v="2.4.3.1.5"/>
    <s v="CMS M.60.10.000"/>
    <x v="2"/>
    <n v="9"/>
    <s v="SPOOL"/>
    <n v="14"/>
    <x v="2"/>
    <s v="NÃO"/>
    <s v="NÃO"/>
    <x v="17"/>
    <x v="1"/>
    <s v="DISPOSIÇÃO DE REJEITOS LINHA DO CIRCUITO ARENOSO DISTRIBUIDOR DI-145A-9911 PARA DISTRIBUIDOR DI 145A-9914"/>
    <m/>
    <m/>
    <m/>
    <s v="1450AA-T-70258_FL13"/>
    <n v="1"/>
    <s v="PÇ"/>
    <n v="0.42"/>
    <n v="0.42"/>
    <n v="2725.4"/>
    <n v="1144.6679999999999"/>
    <n v="0"/>
    <n v="0.9"/>
    <n v="0.1"/>
    <n v="1"/>
    <n v="1"/>
    <x v="0"/>
    <n v="0.378"/>
    <m/>
    <n v="0.378"/>
    <n v="4.1999999999999982E-2"/>
    <m/>
    <n v="0.4"/>
    <n v="0.5"/>
    <n v="0.1"/>
    <m/>
    <m/>
    <m/>
    <n v="0"/>
    <n v="0"/>
    <n v="0"/>
    <n v="1144.6679999999999"/>
    <m/>
    <m/>
  </r>
  <r>
    <s v="2.4.3.1.5"/>
    <s v="CMS M.60.10.000"/>
    <x v="2"/>
    <n v="10"/>
    <s v="CURVA"/>
    <n v="14"/>
    <x v="1"/>
    <s v="NÃO"/>
    <s v="NÃO"/>
    <x v="17"/>
    <x v="1"/>
    <s v="DISPOSIÇÃO DE REJEITOS LINHA DO CIRCUITO ARENOSO DISTRIBUIDOR DI-145A-9911 PARA DISTRIBUIDOR DI 145A-9914"/>
    <m/>
    <m/>
    <m/>
    <s v="1450AA-T-70258_FL15"/>
    <n v="1"/>
    <s v="PÇ"/>
    <n v="0.61299999999999999"/>
    <n v="0.61299999999999999"/>
    <n v="2725.4"/>
    <n v="1670.6702"/>
    <n v="0"/>
    <n v="0.9"/>
    <n v="0.1"/>
    <n v="1"/>
    <n v="1"/>
    <x v="0"/>
    <n v="0.55169999999999997"/>
    <m/>
    <n v="0.55169999999999997"/>
    <n v="6.1300000000000021E-2"/>
    <m/>
    <n v="0.4"/>
    <n v="0.5"/>
    <n v="0.1"/>
    <m/>
    <m/>
    <m/>
    <n v="0"/>
    <n v="0"/>
    <n v="0"/>
    <n v="1670.6702"/>
    <m/>
    <m/>
  </r>
  <r>
    <s v="2.4.3.1.5"/>
    <s v="CMS M.60.10.000"/>
    <x v="2"/>
    <n v="11"/>
    <s v="SPOOL"/>
    <n v="14"/>
    <x v="1"/>
    <s v="NÃO"/>
    <s v="NÃO"/>
    <x v="17"/>
    <x v="1"/>
    <s v="DISPOSIÇÃO DE REJEITOS LINHA DO CIRCUITO ARENOSO DISTRIBUIDOR DI-145A-9911 PARA DISTRIBUIDOR DI 145A-9914"/>
    <m/>
    <m/>
    <m/>
    <s v="1450AA-T-70258_FL19"/>
    <n v="1"/>
    <s v="PÇ"/>
    <n v="1.5"/>
    <n v="1.5"/>
    <n v="2725.4"/>
    <n v="4088.1000000000004"/>
    <n v="0"/>
    <n v="0.9"/>
    <n v="0.1"/>
    <n v="1"/>
    <n v="1"/>
    <x v="0"/>
    <n v="1.35"/>
    <m/>
    <n v="1.35"/>
    <n v="0.14999999999999991"/>
    <m/>
    <n v="0.4"/>
    <n v="0.5"/>
    <n v="0.1"/>
    <m/>
    <m/>
    <m/>
    <n v="0"/>
    <n v="0"/>
    <n v="0"/>
    <n v="4088.1000000000004"/>
    <m/>
    <m/>
  </r>
  <r>
    <s v="2.4.3.1.5"/>
    <s v="CMS M.60.10.000"/>
    <x v="2"/>
    <n v="12"/>
    <s v="SPOOL"/>
    <n v="14"/>
    <x v="1"/>
    <s v="NÃO"/>
    <s v="NÃO"/>
    <x v="17"/>
    <x v="1"/>
    <s v="DISPOSIÇÃO DE REJEITOS LINHA DO CIRCUITO ARENOSO DISTRIBUIDOR DI-145A-9911 PARA DISTRIBUIDOR DI 145A-9914"/>
    <m/>
    <m/>
    <m/>
    <s v="1450AA-T-70258_FL08"/>
    <n v="1"/>
    <s v="PÇ"/>
    <n v="0.27700000000000002"/>
    <n v="0.27700000000000002"/>
    <n v="2725.4"/>
    <n v="754.93580000000009"/>
    <n v="0"/>
    <n v="0.9"/>
    <n v="0.1"/>
    <n v="1"/>
    <n v="1"/>
    <x v="0"/>
    <n v="0.24930000000000002"/>
    <m/>
    <n v="0.24930000000000002"/>
    <n v="2.7700000000000002E-2"/>
    <m/>
    <n v="0.4"/>
    <n v="0.5"/>
    <n v="0.1"/>
    <m/>
    <m/>
    <m/>
    <n v="0"/>
    <n v="0"/>
    <n v="0"/>
    <n v="754.93580000000009"/>
    <m/>
    <m/>
  </r>
  <r>
    <s v="2.4.3.1.6"/>
    <s v="CMS M.60.10.000"/>
    <x v="2"/>
    <n v="1"/>
    <s v="CURVA"/>
    <n v="16"/>
    <x v="1"/>
    <s v="NÃO"/>
    <s v="NÃO"/>
    <x v="18"/>
    <x v="1"/>
    <s v="DISPOSIÇÃO DE REJEITOS LINHA DO CIRCUITO ARENOSO DISTRIBUIDOR DI-145A-9911 PARA DISTRIBUIDOR DI 145A-9915"/>
    <m/>
    <m/>
    <m/>
    <s v="1450AA-T-70260_FL20"/>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8"/>
    <x v="1"/>
    <s v="DISPOSIÇÃO DE REJEITOS LINHA DO CIRCUITO ARENOSO DISTRIBUIDOR DI-145A-9911 PARA DISTRIBUIDOR DI 145A-9915"/>
    <m/>
    <m/>
    <m/>
    <s v="1450AA-T-70260_FL21"/>
    <n v="1"/>
    <s v="PÇ"/>
    <n v="0.7"/>
    <n v="0.7"/>
    <n v="2725.4"/>
    <n v="1907.78"/>
    <n v="0"/>
    <n v="0.9"/>
    <n v="0.1"/>
    <n v="1"/>
    <n v="1"/>
    <x v="0"/>
    <n v="0.63"/>
    <m/>
    <n v="0.63"/>
    <n v="6.9999999999999951E-2"/>
    <m/>
    <n v="0.4"/>
    <n v="0.5"/>
    <n v="0.1"/>
    <m/>
    <m/>
    <m/>
    <n v="0"/>
    <n v="0"/>
    <n v="0"/>
    <n v="1907.78"/>
    <m/>
    <m/>
  </r>
  <r>
    <s v="2.4.3.1.5"/>
    <s v="CMS M.60.10.000"/>
    <x v="2"/>
    <n v="3"/>
    <s v="SPOOL"/>
    <n v="14"/>
    <x v="1"/>
    <s v="NÃO"/>
    <s v="NÃO"/>
    <x v="18"/>
    <x v="1"/>
    <s v="DISPOSIÇÃO DE REJEITOS LINHA DO CIRCUITO ARENOSO DISTRIBUIDOR DI-145A-9911 PARA DISTRIBUIDOR DI 145A-9915"/>
    <m/>
    <m/>
    <m/>
    <s v="1450AA-T-70260_FL08"/>
    <n v="1"/>
    <s v="PÇ"/>
    <n v="0.185"/>
    <n v="0.185"/>
    <n v="2725.4"/>
    <n v="504.19900000000001"/>
    <n v="0"/>
    <n v="0.9"/>
    <n v="0.1"/>
    <n v="1"/>
    <n v="1"/>
    <x v="0"/>
    <n v="0.16650000000000001"/>
    <m/>
    <n v="0.16650000000000001"/>
    <n v="1.8499999999999989E-2"/>
    <m/>
    <n v="0.4"/>
    <n v="0.5"/>
    <n v="0.1"/>
    <m/>
    <m/>
    <m/>
    <n v="0"/>
    <n v="0"/>
    <n v="0"/>
    <n v="504.19900000000001"/>
    <m/>
    <m/>
  </r>
  <r>
    <s v="2.4.3.1.5"/>
    <s v="CMS M.60.10.000"/>
    <x v="2"/>
    <n v="4"/>
    <s v="CURVA"/>
    <n v="14"/>
    <x v="1"/>
    <s v="NÃO"/>
    <s v="NÃO"/>
    <x v="18"/>
    <x v="1"/>
    <s v="DISPOSIÇÃO DE REJEITOS LINHA DO CIRCUITO ARENOSO DISTRIBUIDOR DI-145A-9911 PARA DISTRIBUIDOR DI 145A-9915"/>
    <m/>
    <m/>
    <m/>
    <s v="1450AA-T-70260_FL17"/>
    <n v="1"/>
    <s v="PÇ"/>
    <n v="0.48799999999999999"/>
    <n v="0.48799999999999999"/>
    <n v="2725.4"/>
    <n v="1329.9952000000001"/>
    <n v="0"/>
    <n v="0.9"/>
    <n v="0.1"/>
    <n v="1"/>
    <n v="1"/>
    <x v="0"/>
    <n v="0.43919999999999998"/>
    <m/>
    <n v="0.43919999999999998"/>
    <n v="4.880000000000001E-2"/>
    <m/>
    <n v="0.4"/>
    <n v="0.5"/>
    <n v="0.1"/>
    <m/>
    <m/>
    <m/>
    <n v="0"/>
    <n v="0"/>
    <n v="0"/>
    <n v="1329.9952000000001"/>
    <m/>
    <m/>
  </r>
  <r>
    <s v="2.4.3.1.5"/>
    <s v="CMS M.60.10.000"/>
    <x v="2"/>
    <n v="5"/>
    <s v="SPOOL"/>
    <n v="14"/>
    <x v="2"/>
    <s v="NÃO"/>
    <s v="NÃO"/>
    <x v="18"/>
    <x v="1"/>
    <s v="DISPOSIÇÃO DE REJEITOS LINHA DO CIRCUITO ARENOSO DISTRIBUIDOR DI-145A-9911 PARA DISTRIBUIDOR DI 145A-9915"/>
    <m/>
    <m/>
    <m/>
    <s v="1450AA-T-70260_FL15"/>
    <n v="1"/>
    <s v="PÇ"/>
    <n v="0.38"/>
    <n v="0.38"/>
    <n v="2725.4"/>
    <n v="1035.652"/>
    <n v="0"/>
    <n v="0.9"/>
    <n v="0.1"/>
    <n v="1"/>
    <n v="1"/>
    <x v="0"/>
    <n v="0.34200000000000003"/>
    <m/>
    <n v="0.34200000000000003"/>
    <n v="3.7999999999999978E-2"/>
    <m/>
    <n v="0.4"/>
    <n v="0.5"/>
    <n v="0.1"/>
    <m/>
    <m/>
    <m/>
    <n v="0"/>
    <n v="0"/>
    <n v="0"/>
    <n v="1035.652"/>
    <m/>
    <m/>
  </r>
  <r>
    <s v="2.4.3.1.5"/>
    <s v="CMS M.60.10.000"/>
    <x v="2"/>
    <n v="6"/>
    <s v="SPOOL"/>
    <n v="14"/>
    <x v="1"/>
    <s v="NÃO"/>
    <s v="NÃO"/>
    <x v="18"/>
    <x v="1"/>
    <s v="DISPOSIÇÃO DE REJEITOS LINHA DO CIRCUITO ARENOSO DISTRIBUIDOR DI-145A-9911 PARA DISTRIBUIDOR DI 145A-9915"/>
    <m/>
    <m/>
    <m/>
    <s v="1450AA-T-70260_FL10"/>
    <n v="1"/>
    <s v="PÇ"/>
    <n v="2.4"/>
    <n v="2.4"/>
    <n v="2725.4"/>
    <n v="6540.96"/>
    <n v="0"/>
    <n v="0.9"/>
    <n v="0.1"/>
    <n v="1"/>
    <n v="1"/>
    <x v="0"/>
    <n v="2.16"/>
    <m/>
    <n v="2.16"/>
    <n v="0.23999999999999977"/>
    <m/>
    <n v="0.4"/>
    <n v="0.5"/>
    <n v="0.1"/>
    <m/>
    <m/>
    <m/>
    <n v="0"/>
    <n v="0"/>
    <n v="0"/>
    <n v="6540.96"/>
    <m/>
    <m/>
  </r>
  <r>
    <s v="2.4.3.1.5"/>
    <s v="CMS M.60.10.000"/>
    <x v="2"/>
    <n v="7"/>
    <s v="CURVA"/>
    <n v="14"/>
    <x v="1"/>
    <s v="NÃO"/>
    <s v="NÃO"/>
    <x v="18"/>
    <x v="1"/>
    <s v="DISPOSIÇÃO DE REJEITOS LINHA DO CIRCUITO ARENOSO DISTRIBUIDOR DI-145A-9911 PARA DISTRIBUIDOR DI 145A-9915"/>
    <m/>
    <m/>
    <m/>
    <s v="1450AA-T-70260_FL16"/>
    <n v="1"/>
    <s v="PÇ"/>
    <n v="0.45400000000000001"/>
    <n v="0.45400000000000001"/>
    <n v="2725.4"/>
    <n v="1237.3316"/>
    <n v="0"/>
    <n v="0.9"/>
    <n v="0.1"/>
    <n v="1"/>
    <n v="1"/>
    <x v="0"/>
    <n v="0.40860000000000002"/>
    <m/>
    <n v="0.40860000000000002"/>
    <n v="4.5399999999999996E-2"/>
    <m/>
    <n v="0.4"/>
    <n v="0.5"/>
    <n v="0.1"/>
    <m/>
    <m/>
    <m/>
    <n v="0"/>
    <n v="0"/>
    <n v="0"/>
    <n v="1237.3316"/>
    <m/>
    <m/>
  </r>
  <r>
    <s v="2.4.3.1.5"/>
    <s v="CMS M.60.10.000"/>
    <x v="2"/>
    <n v="8"/>
    <s v="SPOOL"/>
    <n v="14"/>
    <x v="1"/>
    <s v="NÃO"/>
    <s v="NÃO"/>
    <x v="18"/>
    <x v="1"/>
    <s v="DISPOSIÇÃO DE REJEITOS LINHA DO CIRCUITO ARENOSO DISTRIBUIDOR DI-145A-9911 PARA DISTRIBUIDOR DI 145A-9915"/>
    <m/>
    <m/>
    <m/>
    <s v="1450AA-T-70260_FL11"/>
    <n v="1"/>
    <s v="PÇ"/>
    <n v="3.0339999999999998"/>
    <n v="3.0339999999999998"/>
    <n v="2725.4"/>
    <n v="8268.8636000000006"/>
    <n v="0"/>
    <n v="0.9"/>
    <n v="0.1"/>
    <n v="1"/>
    <n v="1"/>
    <x v="0"/>
    <n v="2.7305999999999999"/>
    <m/>
    <n v="2.7305999999999999"/>
    <n v="0.30339999999999989"/>
    <m/>
    <n v="0.4"/>
    <n v="0.5"/>
    <n v="0.1"/>
    <m/>
    <m/>
    <m/>
    <n v="0"/>
    <n v="0"/>
    <n v="0"/>
    <n v="8268.8636000000006"/>
    <m/>
    <m/>
  </r>
  <r>
    <s v="2.4.3.1.5"/>
    <s v="CMS M.60.10.000"/>
    <x v="2"/>
    <n v="9"/>
    <s v="CURVA"/>
    <n v="14"/>
    <x v="1"/>
    <s v="NÃO"/>
    <s v="NÃO"/>
    <x v="18"/>
    <x v="1"/>
    <s v="DISPOSIÇÃO DE REJEITOS LINHA DO CIRCUITO ARENOSO DISTRIBUIDOR DI-145A-9911 PARA DISTRIBUIDOR DI 145A-9915"/>
    <m/>
    <m/>
    <m/>
    <s v="1450AA-T-70260_FL19"/>
    <n v="1"/>
    <s v="PÇ"/>
    <n v="0.78"/>
    <n v="0.78"/>
    <n v="2725.4"/>
    <n v="2125.8120000000004"/>
    <n v="0"/>
    <n v="0.9"/>
    <n v="0.1"/>
    <n v="1"/>
    <n v="1"/>
    <x v="0"/>
    <n v="0.70200000000000007"/>
    <m/>
    <n v="0.70200000000000007"/>
    <n v="7.7999999999999958E-2"/>
    <m/>
    <n v="0.4"/>
    <n v="0.5"/>
    <n v="0.1"/>
    <m/>
    <m/>
    <m/>
    <n v="0"/>
    <n v="0"/>
    <n v="0"/>
    <n v="2125.8120000000004"/>
    <m/>
    <m/>
  </r>
  <r>
    <s v="2.4.3.1.5"/>
    <s v="CMS M.60.10.000"/>
    <x v="2"/>
    <n v="10"/>
    <s v="SPOOL"/>
    <n v="14"/>
    <x v="1"/>
    <s v="NÃO"/>
    <s v="NÃO"/>
    <x v="18"/>
    <x v="1"/>
    <s v="DISPOSIÇÃO DE REJEITOS LINHA DO CIRCUITO ARENOSO DISTRIBUIDOR DI-145A-9911 PARA DISTRIBUIDOR DI 145A-9915"/>
    <m/>
    <m/>
    <m/>
    <s v="1450AA-T-70260_FL13"/>
    <n v="1"/>
    <s v="PÇ"/>
    <n v="6"/>
    <n v="6"/>
    <n v="2725.4"/>
    <n v="16352.400000000001"/>
    <n v="0"/>
    <n v="0.9"/>
    <n v="0.1"/>
    <n v="1"/>
    <n v="1"/>
    <x v="0"/>
    <n v="5.4"/>
    <m/>
    <n v="5.4"/>
    <n v="0.59999999999999964"/>
    <m/>
    <n v="0.4"/>
    <n v="0.5"/>
    <n v="0.1"/>
    <m/>
    <m/>
    <m/>
    <n v="0"/>
    <n v="0"/>
    <n v="0"/>
    <n v="16352.400000000001"/>
    <m/>
    <m/>
  </r>
  <r>
    <s v="2.4.3.1.5"/>
    <s v="CMS M.60.10.000"/>
    <x v="2"/>
    <n v="11"/>
    <s v="SPOOL"/>
    <n v="14"/>
    <x v="1"/>
    <s v="NÃO"/>
    <s v="NÃO"/>
    <x v="18"/>
    <x v="1"/>
    <s v="DISPOSIÇÃO DE REJEITOS LINHA DO CIRCUITO ARENOSO DISTRIBUIDOR DI-145A-9911 PARA DISTRIBUIDOR DI 145A-9915"/>
    <m/>
    <m/>
    <m/>
    <s v="1450AA-T-70260_FL12"/>
    <n v="1"/>
    <s v="PÇ"/>
    <n v="4.2"/>
    <n v="4.2"/>
    <n v="2725.4"/>
    <n v="11446.68"/>
    <n v="0"/>
    <n v="0.9"/>
    <n v="0.1"/>
    <n v="1"/>
    <n v="1"/>
    <x v="0"/>
    <n v="3.7800000000000002"/>
    <m/>
    <n v="3.7800000000000002"/>
    <n v="0.41999999999999993"/>
    <m/>
    <n v="0.4"/>
    <n v="0.5"/>
    <n v="0.1"/>
    <m/>
    <m/>
    <m/>
    <n v="0"/>
    <n v="0"/>
    <n v="0"/>
    <n v="11446.68"/>
    <m/>
    <m/>
  </r>
  <r>
    <s v="2.4.3.1.5"/>
    <s v="CMS M.60.10.000"/>
    <x v="2"/>
    <n v="12"/>
    <s v="SPOOL"/>
    <n v="14"/>
    <x v="2"/>
    <s v="NÃO"/>
    <s v="NÃO"/>
    <x v="18"/>
    <x v="1"/>
    <s v="DISPOSIÇÃO DE REJEITOS LINHA DO CIRCUITO ARENOSO DISTRIBUIDOR DI-145A-9911 PARA DISTRIBUIDOR DI 145A-9915"/>
    <m/>
    <m/>
    <m/>
    <s v="1450AA-T-70260_FL14"/>
    <n v="1"/>
    <s v="PÇ"/>
    <n v="0.34"/>
    <n v="0.34"/>
    <n v="2725.4"/>
    <n v="926.63600000000008"/>
    <n v="0"/>
    <n v="0.9"/>
    <n v="0.1"/>
    <n v="1"/>
    <n v="1"/>
    <x v="0"/>
    <n v="0.30600000000000005"/>
    <m/>
    <n v="0.30600000000000005"/>
    <n v="3.3999999999999975E-2"/>
    <m/>
    <n v="0.4"/>
    <n v="0.5"/>
    <n v="0.1"/>
    <m/>
    <m/>
    <m/>
    <n v="0"/>
    <n v="0"/>
    <n v="0"/>
    <n v="926.63600000000008"/>
    <m/>
    <m/>
  </r>
  <r>
    <s v="2.4.3.1.5"/>
    <s v="CMS M.60.10.000"/>
    <x v="2"/>
    <n v="13"/>
    <s v="CURVA"/>
    <n v="14"/>
    <x v="1"/>
    <s v="NÃO"/>
    <s v="NÃO"/>
    <x v="18"/>
    <x v="1"/>
    <s v="DISPOSIÇÃO DE REJEITOS LINHA DO CIRCUITO ARENOSO DISTRIBUIDOR DI-145A-9911 PARA DISTRIBUIDOR DI 145A-9915"/>
    <m/>
    <m/>
    <m/>
    <s v="1450AA-T-70260_FL18"/>
    <n v="1"/>
    <s v="PÇ"/>
    <n v="0.61299999999999999"/>
    <n v="0.61299999999999999"/>
    <n v="2725.4"/>
    <n v="1670.6702"/>
    <n v="0"/>
    <n v="0.9"/>
    <n v="0.1"/>
    <n v="1"/>
    <n v="1"/>
    <x v="0"/>
    <n v="0.55169999999999997"/>
    <m/>
    <n v="0.55169999999999997"/>
    <n v="6.1300000000000021E-2"/>
    <m/>
    <n v="0.4"/>
    <n v="0.5"/>
    <n v="0.1"/>
    <m/>
    <m/>
    <m/>
    <n v="0"/>
    <n v="0"/>
    <n v="0"/>
    <n v="1670.6702"/>
    <m/>
    <m/>
  </r>
  <r>
    <s v="2.4.3.1.5"/>
    <s v="CMS M.60.10.000"/>
    <x v="2"/>
    <n v="14"/>
    <s v="SPOOL"/>
    <n v="14"/>
    <x v="1"/>
    <s v="NÃO"/>
    <s v="NÃO"/>
    <x v="18"/>
    <x v="1"/>
    <s v="DISPOSIÇÃO DE REJEITOS LINHA DO CIRCUITO ARENOSO DISTRIBUIDOR DI-145A-9911 PARA DISTRIBUIDOR DI 145A-9915"/>
    <m/>
    <m/>
    <m/>
    <s v="1450AA-T-70260_FL22"/>
    <n v="1"/>
    <s v="PÇ"/>
    <n v="1.5"/>
    <n v="1.5"/>
    <n v="2725.4"/>
    <n v="4088.1000000000004"/>
    <n v="0"/>
    <n v="0.9"/>
    <n v="0.1"/>
    <n v="1"/>
    <n v="1"/>
    <x v="0"/>
    <n v="1.35"/>
    <m/>
    <n v="1.35"/>
    <n v="0.14999999999999991"/>
    <m/>
    <n v="0.4"/>
    <n v="0.5"/>
    <n v="0.1"/>
    <m/>
    <m/>
    <m/>
    <n v="0"/>
    <n v="0"/>
    <n v="0"/>
    <n v="4088.1000000000004"/>
    <m/>
    <m/>
  </r>
  <r>
    <s v="2.4.3.1.5"/>
    <s v="CMS M.60.10.000"/>
    <x v="2"/>
    <n v="15"/>
    <s v="SPOOL"/>
    <n v="14"/>
    <x v="1"/>
    <s v="NÃO"/>
    <s v="NÃO"/>
    <x v="18"/>
    <x v="1"/>
    <s v="DISPOSIÇÃO DE REJEITOS LINHA DO CIRCUITO ARENOSO DISTRIBUIDOR DI-145A-9911 PARA DISTRIBUIDOR DI 145A-9915"/>
    <m/>
    <m/>
    <m/>
    <s v="1450AA-T-70260_FL09"/>
    <n v="1"/>
    <s v="PÇ"/>
    <n v="0.38100000000000001"/>
    <n v="0.38100000000000001"/>
    <n v="2725.4"/>
    <n v="1038.3774000000001"/>
    <n v="0"/>
    <n v="0.9"/>
    <n v="0.1"/>
    <n v="1"/>
    <n v="1"/>
    <x v="0"/>
    <n v="0.34290000000000004"/>
    <m/>
    <n v="0.34290000000000004"/>
    <n v="3.8099999999999967E-2"/>
    <m/>
    <n v="0.4"/>
    <n v="0.5"/>
    <n v="0.1"/>
    <m/>
    <m/>
    <m/>
    <n v="0"/>
    <n v="0"/>
    <n v="0"/>
    <n v="1038.3774000000001"/>
    <m/>
    <m/>
  </r>
  <r>
    <s v="2.4.3.1.6"/>
    <s v="CMS M.60.10.000"/>
    <x v="2"/>
    <n v="1"/>
    <s v="CURVA"/>
    <n v="16"/>
    <x v="1"/>
    <s v="NÃO"/>
    <s v="NÃO"/>
    <x v="19"/>
    <x v="2"/>
    <s v="DISPOSIÇÃO DE REJEITOS LINHA DO CIRCUITO ARENOSO DISTRIBUIDOR DI-145A-9911 PARA DISTRIBUIDOR DI 145A-9916"/>
    <m/>
    <m/>
    <m/>
    <s v="1450AA-T-70264_FL25"/>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9"/>
    <x v="2"/>
    <s v="DISPOSIÇÃO DE REJEITOS LINHA DO CIRCUITO ARENOSO DISTRIBUIDOR DI-145A-9911 PARA DISTRIBUIDOR DI 145A-9916"/>
    <m/>
    <m/>
    <m/>
    <s v="1450AA-T-70264_FL26"/>
    <n v="1"/>
    <s v="PÇ"/>
    <n v="0.7"/>
    <n v="0.7"/>
    <n v="2725.4"/>
    <n v="1907.78"/>
    <n v="0"/>
    <n v="0.9"/>
    <n v="0.1"/>
    <n v="1"/>
    <n v="1"/>
    <x v="0"/>
    <n v="0.63"/>
    <m/>
    <n v="0.63"/>
    <n v="6.9999999999999951E-2"/>
    <m/>
    <n v="0.4"/>
    <n v="0.5"/>
    <n v="0.1"/>
    <m/>
    <m/>
    <m/>
    <n v="0"/>
    <n v="0"/>
    <n v="0"/>
    <n v="1907.78"/>
    <m/>
    <m/>
  </r>
  <r>
    <s v="2.4.3.1.5"/>
    <s v="CMS M.60.10.000"/>
    <x v="2"/>
    <n v="3"/>
    <s v="SPOOL"/>
    <n v="14"/>
    <x v="2"/>
    <s v="NÃO"/>
    <s v="NÃO"/>
    <x v="19"/>
    <x v="2"/>
    <s v="DISPOSIÇÃO DE REJEITOS LINHA DO CIRCUITO ARENOSO DISTRIBUIDOR DI-145A-9911 PARA DISTRIBUIDOR DI 145A-9916"/>
    <m/>
    <m/>
    <m/>
    <s v="1450AA-T-70264_FL17"/>
    <n v="1"/>
    <s v="PÇ"/>
    <n v="0.375"/>
    <n v="0.375"/>
    <n v="2725.4"/>
    <n v="1022.0250000000001"/>
    <n v="0"/>
    <n v="0.9"/>
    <n v="0.1"/>
    <n v="1"/>
    <n v="1"/>
    <x v="0"/>
    <n v="0.33750000000000002"/>
    <m/>
    <n v="0.33750000000000002"/>
    <n v="3.7499999999999978E-2"/>
    <m/>
    <n v="0.4"/>
    <n v="0.5"/>
    <n v="0.1"/>
    <m/>
    <m/>
    <m/>
    <n v="0"/>
    <n v="0"/>
    <n v="0"/>
    <n v="1022.0250000000001"/>
    <m/>
    <m/>
  </r>
  <r>
    <s v="2.4.3.1.5"/>
    <s v="CMS M.60.10.000"/>
    <x v="2"/>
    <n v="4"/>
    <s v="SPOOL"/>
    <n v="14"/>
    <x v="1"/>
    <s v="NÃO"/>
    <s v="NÃO"/>
    <x v="19"/>
    <x v="2"/>
    <s v="DISPOSIÇÃO DE REJEITOS LINHA DO CIRCUITO ARENOSO DISTRIBUIDOR DI-145A-9911 PARA DISTRIBUIDOR DI 145A-9916"/>
    <m/>
    <m/>
    <m/>
    <s v="1450AA-T-70264_FL11"/>
    <n v="1"/>
    <s v="PÇ"/>
    <n v="2.4"/>
    <n v="2.4"/>
    <n v="2725.4"/>
    <n v="6540.96"/>
    <n v="0"/>
    <n v="0.9"/>
    <n v="0.1"/>
    <n v="1"/>
    <n v="1"/>
    <x v="0"/>
    <n v="2.16"/>
    <m/>
    <n v="2.16"/>
    <n v="0.23999999999999977"/>
    <m/>
    <n v="0.4"/>
    <n v="0.5"/>
    <n v="0.1"/>
    <m/>
    <m/>
    <m/>
    <n v="0"/>
    <n v="0"/>
    <n v="0"/>
    <n v="6540.96"/>
    <m/>
    <m/>
  </r>
  <r>
    <s v="2.4.3.1.5"/>
    <s v="CMS M.60.10.000"/>
    <x v="2"/>
    <n v="5"/>
    <s v="CURVA"/>
    <n v="14"/>
    <x v="1"/>
    <s v="NÃO"/>
    <s v="NÃO"/>
    <x v="19"/>
    <x v="2"/>
    <s v="DISPOSIÇÃO DE REJEITOS LINHA DO CIRCUITO ARENOSO DISTRIBUIDOR DI-145A-9911 PARA DISTRIBUIDOR DI 145A-9916"/>
    <m/>
    <m/>
    <m/>
    <s v="1450AA-T-70264_FL21"/>
    <n v="1"/>
    <s v="PÇ"/>
    <n v="0.45400000000000001"/>
    <n v="0.45400000000000001"/>
    <n v="2725.4"/>
    <n v="1237.3316"/>
    <n v="0"/>
    <n v="0.9"/>
    <n v="0.1"/>
    <n v="1"/>
    <n v="1"/>
    <x v="0"/>
    <n v="0.40860000000000002"/>
    <m/>
    <n v="0.40860000000000002"/>
    <n v="4.5399999999999996E-2"/>
    <m/>
    <n v="0.4"/>
    <n v="0.5"/>
    <n v="0.1"/>
    <m/>
    <m/>
    <m/>
    <n v="0"/>
    <n v="0"/>
    <n v="0"/>
    <n v="1237.3316"/>
    <m/>
    <m/>
  </r>
  <r>
    <s v="2.4.3.1.5"/>
    <s v="CMS M.60.10.000"/>
    <x v="2"/>
    <n v="6"/>
    <s v="SPOOL"/>
    <n v="14"/>
    <x v="1"/>
    <s v="NÃO"/>
    <s v="NÃO"/>
    <x v="19"/>
    <x v="2"/>
    <s v="DISPOSIÇÃO DE REJEITOS LINHA DO CIRCUITO ARENOSO DISTRIBUIDOR DI-145A-9911 PARA DISTRIBUIDOR DI 145A-9916"/>
    <m/>
    <m/>
    <m/>
    <s v="1450AA-T-70264_FL12"/>
    <n v="1"/>
    <s v="PÇ"/>
    <n v="3.448"/>
    <n v="3.448"/>
    <n v="2725.4"/>
    <n v="9397.1792000000005"/>
    <n v="0"/>
    <n v="0.9"/>
    <n v="0.1"/>
    <n v="1"/>
    <n v="1"/>
    <x v="0"/>
    <n v="3.1032000000000002"/>
    <m/>
    <n v="3.1032000000000002"/>
    <n v="0.34479999999999977"/>
    <m/>
    <n v="0.4"/>
    <n v="0.5"/>
    <n v="0.1"/>
    <m/>
    <m/>
    <m/>
    <n v="0"/>
    <n v="0"/>
    <n v="0"/>
    <n v="9397.1792000000005"/>
    <m/>
    <m/>
  </r>
  <r>
    <s v="2.4.3.1.5"/>
    <s v="CMS M.60.10.000"/>
    <x v="2"/>
    <n v="7"/>
    <s v="CURVA"/>
    <n v="14"/>
    <x v="1"/>
    <s v="NÃO"/>
    <s v="NÃO"/>
    <x v="19"/>
    <x v="2"/>
    <s v="DISPOSIÇÃO DE REJEITOS LINHA DO CIRCUITO ARENOSO DISTRIBUIDOR DI-145A-9911 PARA DISTRIBUIDOR DI 145A-9916"/>
    <m/>
    <m/>
    <m/>
    <s v="1450AA-T-70264_FL20"/>
    <n v="1"/>
    <s v="PÇ"/>
    <n v="0.39800000000000002"/>
    <n v="0.39800000000000002"/>
    <n v="2725.4"/>
    <n v="1084.7092"/>
    <n v="0"/>
    <n v="0.9"/>
    <n v="0.1"/>
    <n v="1"/>
    <n v="1"/>
    <x v="0"/>
    <n v="0.35820000000000002"/>
    <m/>
    <n v="0.35820000000000002"/>
    <n v="3.9800000000000002E-2"/>
    <m/>
    <n v="0.4"/>
    <n v="0.5"/>
    <n v="0.1"/>
    <m/>
    <m/>
    <m/>
    <n v="0"/>
    <n v="0"/>
    <n v="0"/>
    <n v="1084.7092"/>
    <m/>
    <m/>
  </r>
  <r>
    <s v="2.4.3.1.5"/>
    <s v="CMS M.60.10.000"/>
    <x v="2"/>
    <n v="8"/>
    <s v="SPOOL"/>
    <n v="14"/>
    <x v="1"/>
    <s v="NÃO"/>
    <s v="NÃO"/>
    <x v="19"/>
    <x v="2"/>
    <s v="DISPOSIÇÃO DE REJEITOS LINHA DO CIRCUITO ARENOSO DISTRIBUIDOR DI-145A-9911 PARA DISTRIBUIDOR DI 145A-9916"/>
    <m/>
    <m/>
    <m/>
    <s v="1450AA-T-70264_FL10"/>
    <n v="1"/>
    <s v="PÇ"/>
    <n v="1.8"/>
    <n v="1.8"/>
    <n v="2725.4"/>
    <n v="4905.72"/>
    <n v="0"/>
    <n v="0.9"/>
    <n v="0.1"/>
    <n v="1"/>
    <n v="1"/>
    <x v="0"/>
    <n v="1.62"/>
    <m/>
    <n v="1.62"/>
    <n v="0.17999999999999994"/>
    <m/>
    <n v="0.4"/>
    <n v="0.5"/>
    <n v="0.1"/>
    <m/>
    <m/>
    <m/>
    <n v="0"/>
    <n v="0"/>
    <n v="0"/>
    <n v="4905.72"/>
    <m/>
    <m/>
  </r>
  <r>
    <s v="2.4.3.1.5"/>
    <s v="CMS M.60.10.000"/>
    <x v="2"/>
    <n v="9"/>
    <s v="CURVA"/>
    <n v="14"/>
    <x v="1"/>
    <s v="NÃO"/>
    <s v="NÃO"/>
    <x v="19"/>
    <x v="2"/>
    <s v="DISPOSIÇÃO DE REJEITOS LINHA DO CIRCUITO ARENOSO DISTRIBUIDOR DI-145A-9911 PARA DISTRIBUIDOR DI 145A-9916"/>
    <m/>
    <m/>
    <m/>
    <s v="1450AA-T-70264_FL23"/>
    <n v="1"/>
    <s v="PÇ"/>
    <n v="0.79"/>
    <n v="0.79"/>
    <n v="2725.4"/>
    <n v="2153.0660000000003"/>
    <n v="0"/>
    <n v="0.9"/>
    <n v="0.1"/>
    <n v="1"/>
    <n v="1"/>
    <x v="0"/>
    <n v="0.71100000000000008"/>
    <m/>
    <n v="0.71100000000000008"/>
    <n v="7.8999999999999959E-2"/>
    <m/>
    <n v="0.4"/>
    <n v="0.5"/>
    <n v="0.1"/>
    <m/>
    <m/>
    <m/>
    <n v="0"/>
    <n v="0"/>
    <n v="0"/>
    <n v="2153.0660000000003"/>
    <m/>
    <m/>
  </r>
  <r>
    <s v="2.4.3.1.5"/>
    <s v="CMS M.60.10.000"/>
    <x v="2"/>
    <n v="10"/>
    <s v="SPOOL"/>
    <n v="14"/>
    <x v="1"/>
    <s v="NÃO"/>
    <s v="NÃO"/>
    <x v="19"/>
    <x v="2"/>
    <s v="DISPOSIÇÃO DE REJEITOS LINHA DO CIRCUITO ARENOSO DISTRIBUIDOR DI-145A-9911 PARA DISTRIBUIDOR DI 145A-9916"/>
    <m/>
    <m/>
    <m/>
    <s v="1450AA-T-70264_FL15"/>
    <n v="5"/>
    <s v="PÇ"/>
    <n v="6"/>
    <n v="30"/>
    <n v="2725.4"/>
    <n v="81762"/>
    <n v="0"/>
    <n v="0.9"/>
    <n v="0.1"/>
    <n v="1"/>
    <n v="1"/>
    <x v="0"/>
    <n v="27"/>
    <m/>
    <n v="27"/>
    <n v="3"/>
    <m/>
    <n v="0.4"/>
    <n v="0.5"/>
    <n v="0.1"/>
    <m/>
    <m/>
    <m/>
    <n v="0"/>
    <n v="0"/>
    <n v="0"/>
    <n v="81762"/>
    <m/>
    <m/>
  </r>
  <r>
    <s v="2.4.3.1.5"/>
    <s v="CMS M.60.10.000"/>
    <x v="2"/>
    <n v="11"/>
    <s v="SPOOL"/>
    <n v="14"/>
    <x v="1"/>
    <s v="NÃO"/>
    <s v="NÃO"/>
    <x v="19"/>
    <x v="2"/>
    <s v="DISPOSIÇÃO DE REJEITOS LINHA DO CIRCUITO ARENOSO DISTRIBUIDOR DI-145A-9911 PARA DISTRIBUIDOR DI 145A-9916"/>
    <m/>
    <m/>
    <m/>
    <s v="1450AA-T-70264_FL13"/>
    <n v="1"/>
    <s v="PÇ"/>
    <n v="3.8"/>
    <n v="3.8"/>
    <n v="2725.4"/>
    <n v="10356.52"/>
    <n v="0"/>
    <n v="0.9"/>
    <n v="0.1"/>
    <n v="1"/>
    <n v="1"/>
    <x v="0"/>
    <n v="3.42"/>
    <m/>
    <n v="3.42"/>
    <n v="0.37999999999999989"/>
    <m/>
    <n v="0.4"/>
    <n v="0.5"/>
    <n v="0.1"/>
    <m/>
    <m/>
    <m/>
    <n v="0"/>
    <n v="0"/>
    <n v="0"/>
    <n v="10356.52"/>
    <m/>
    <m/>
  </r>
  <r>
    <s v="2.4.3.1.5"/>
    <s v="CMS M.60.10.000"/>
    <x v="2"/>
    <n v="12"/>
    <s v="SPOOL"/>
    <n v="14"/>
    <x v="2"/>
    <s v="NÃO"/>
    <s v="NÃO"/>
    <x v="19"/>
    <x v="2"/>
    <s v="DISPOSIÇÃO DE REJEITOS LINHA DO CIRCUITO ARENOSO DISTRIBUIDOR DI-145A-9911 PARA DISTRIBUIDOR DI 145A-9916"/>
    <m/>
    <m/>
    <m/>
    <s v="1450AA-T-70264_FL19"/>
    <n v="1"/>
    <s v="PÇ"/>
    <n v="0.44"/>
    <n v="0.44"/>
    <n v="2725.4"/>
    <n v="1199.1760000000002"/>
    <n v="0"/>
    <n v="0.9"/>
    <n v="0.1"/>
    <n v="1"/>
    <n v="1"/>
    <x v="0"/>
    <n v="0.39600000000000002"/>
    <m/>
    <n v="0.39600000000000002"/>
    <n v="4.3999999999999984E-2"/>
    <m/>
    <n v="0.4"/>
    <n v="0.5"/>
    <n v="0.1"/>
    <m/>
    <m/>
    <m/>
    <n v="0"/>
    <n v="0"/>
    <n v="0"/>
    <n v="1199.1760000000002"/>
    <m/>
    <m/>
  </r>
  <r>
    <s v="2.4.3.1.5"/>
    <s v="CMS M.60.10.000"/>
    <x v="2"/>
    <n v="13"/>
    <s v="CURVA"/>
    <n v="14"/>
    <x v="1"/>
    <s v="NÃO"/>
    <s v="NÃO"/>
    <x v="19"/>
    <x v="2"/>
    <s v="DISPOSIÇÃO DE REJEITOS LINHA DO CIRCUITO ARENOSO DISTRIBUIDOR DI-145A-9911 PARA DISTRIBUIDOR DI 145A-9916"/>
    <m/>
    <m/>
    <m/>
    <s v="1450AA-T-70264_FL22"/>
    <n v="2"/>
    <s v="PÇ"/>
    <n v="0.64"/>
    <n v="1.28"/>
    <n v="2725.4"/>
    <n v="3488.5120000000002"/>
    <n v="0"/>
    <n v="0.9"/>
    <n v="0.1"/>
    <n v="1"/>
    <n v="1"/>
    <x v="0"/>
    <n v="1.1520000000000001"/>
    <m/>
    <n v="1.1520000000000001"/>
    <n v="0.12799999999999989"/>
    <m/>
    <n v="0.4"/>
    <n v="0.5"/>
    <n v="0.1"/>
    <m/>
    <m/>
    <m/>
    <n v="0"/>
    <n v="0"/>
    <n v="0"/>
    <n v="3488.5120000000002"/>
    <m/>
    <m/>
  </r>
  <r>
    <s v="2.4.3.1.5"/>
    <s v="CMS M.60.10.000"/>
    <x v="2"/>
    <n v="14"/>
    <s v="SPOOL"/>
    <n v="14"/>
    <x v="1"/>
    <s v="NÃO"/>
    <s v="NÃO"/>
    <x v="19"/>
    <x v="2"/>
    <s v="DISPOSIÇÃO DE REJEITOS LINHA DO CIRCUITO ARENOSO DISTRIBUIDOR DI-145A-9911 PARA DISTRIBUIDOR DI 145A-9916"/>
    <m/>
    <m/>
    <m/>
    <s v="1450AA-T-70264_FL08"/>
    <n v="1"/>
    <s v="PÇ"/>
    <n v="0.42799999999999999"/>
    <n v="0.42799999999999999"/>
    <n v="2725.4"/>
    <n v="1166.4712"/>
    <n v="0"/>
    <n v="0.9"/>
    <n v="0.1"/>
    <n v="1"/>
    <n v="1"/>
    <x v="0"/>
    <n v="0.38519999999999999"/>
    <m/>
    <n v="0.38519999999999999"/>
    <n v="4.2800000000000005E-2"/>
    <m/>
    <n v="0.4"/>
    <n v="0.5"/>
    <n v="0.1"/>
    <m/>
    <m/>
    <m/>
    <n v="0"/>
    <n v="0"/>
    <n v="0"/>
    <n v="1166.4712"/>
    <m/>
    <m/>
  </r>
  <r>
    <s v="2.4.3.1.5"/>
    <s v="CMS M.60.10.000"/>
    <x v="2"/>
    <n v="15"/>
    <s v="SPOOL"/>
    <n v="14"/>
    <x v="1"/>
    <s v="NÃO"/>
    <s v="NÃO"/>
    <x v="19"/>
    <x v="2"/>
    <s v="DISPOSIÇÃO DE REJEITOS LINHA DO CIRCUITO ARENOSO DISTRIBUIDOR DI-145A-9911 PARA DISTRIBUIDOR DI 145A-9916"/>
    <m/>
    <m/>
    <m/>
    <s v="1450AA-T-70264_FL14"/>
    <n v="1"/>
    <s v="PÇ"/>
    <n v="4.2"/>
    <n v="4.2"/>
    <n v="2725.4"/>
    <n v="11446.68"/>
    <n v="0"/>
    <n v="0.9"/>
    <n v="0.1"/>
    <n v="1"/>
    <n v="1"/>
    <x v="0"/>
    <n v="3.7800000000000002"/>
    <m/>
    <n v="3.7800000000000002"/>
    <n v="0.41999999999999993"/>
    <m/>
    <n v="0.4"/>
    <n v="0.5"/>
    <n v="0.1"/>
    <m/>
    <m/>
    <m/>
    <n v="0"/>
    <n v="0"/>
    <n v="0"/>
    <n v="11446.68"/>
    <m/>
    <m/>
  </r>
  <r>
    <s v="2.4.3.1.5"/>
    <s v="CMS M.60.10.000"/>
    <x v="2"/>
    <n v="16"/>
    <s v="SPOOL"/>
    <n v="14"/>
    <x v="1"/>
    <s v="NÃO"/>
    <s v="NÃO"/>
    <x v="19"/>
    <x v="2"/>
    <s v="DISPOSIÇÃO DE REJEITOS LINHA DO CIRCUITO ARENOSO DISTRIBUIDOR DI-145A-9911 PARA DISTRIBUIDOR DI 145A-9916"/>
    <m/>
    <m/>
    <m/>
    <s v="1450AA-T-70264_FL16"/>
    <n v="1"/>
    <s v="PÇ"/>
    <n v="0.32"/>
    <n v="0.32"/>
    <n v="2725.4"/>
    <n v="872.12800000000004"/>
    <n v="0"/>
    <n v="0.9"/>
    <n v="0.1"/>
    <n v="1"/>
    <n v="1"/>
    <x v="0"/>
    <n v="0.28800000000000003"/>
    <m/>
    <n v="0.28800000000000003"/>
    <n v="3.1999999999999973E-2"/>
    <m/>
    <n v="0.4"/>
    <n v="0.5"/>
    <n v="0.1"/>
    <m/>
    <m/>
    <m/>
    <n v="0"/>
    <n v="0"/>
    <n v="0"/>
    <n v="872.12800000000004"/>
    <m/>
    <m/>
  </r>
  <r>
    <s v="2.4.3.1.5"/>
    <s v="CMS M.60.10.000"/>
    <x v="2"/>
    <n v="17"/>
    <s v="CURVA"/>
    <n v="14"/>
    <x v="1"/>
    <s v="NÃO"/>
    <s v="NÃO"/>
    <x v="19"/>
    <x v="2"/>
    <s v="DISPOSIÇÃO DE REJEITOS LINHA DO CIRCUITO ARENOSO DISTRIBUIDOR DI-145A-9911 PARA DISTRIBUIDOR DI 145A-9916"/>
    <m/>
    <m/>
    <m/>
    <s v="1450AA-T-70264_FL24"/>
    <n v="1"/>
    <s v="PÇ"/>
    <n v="1.927"/>
    <n v="1.927"/>
    <n v="2725.4"/>
    <n v="5251.8458000000001"/>
    <n v="0"/>
    <n v="0.9"/>
    <n v="0.1"/>
    <n v="1"/>
    <n v="1"/>
    <x v="0"/>
    <n v="1.7343000000000002"/>
    <m/>
    <n v="1.7343000000000002"/>
    <n v="0.19269999999999987"/>
    <m/>
    <n v="0.4"/>
    <n v="0.5"/>
    <n v="0.1"/>
    <m/>
    <m/>
    <m/>
    <n v="0"/>
    <n v="0"/>
    <n v="0"/>
    <n v="5251.8458000000001"/>
    <m/>
    <m/>
  </r>
  <r>
    <s v="2.4.3.1.5"/>
    <s v="CMS M.60.10.000"/>
    <x v="2"/>
    <n v="18"/>
    <s v="SPOOL"/>
    <n v="14"/>
    <x v="1"/>
    <s v="NÃO"/>
    <s v="NÃO"/>
    <x v="19"/>
    <x v="2"/>
    <s v="DISPOSIÇÃO DE REJEITOS LINHA DO CIRCUITO ARENOSO DISTRIBUIDOR DI-145A-9911 PARA DISTRIBUIDOR DI 145A-9916"/>
    <m/>
    <m/>
    <m/>
    <s v="1450AA-T-70264_FL09"/>
    <n v="1"/>
    <s v="PÇ"/>
    <n v="0.5"/>
    <n v="0.5"/>
    <n v="2725.4"/>
    <n v="1362.7"/>
    <n v="0"/>
    <n v="0.9"/>
    <n v="0.1"/>
    <n v="1"/>
    <n v="1"/>
    <x v="0"/>
    <n v="0.45"/>
    <m/>
    <n v="0.45"/>
    <n v="4.9999999999999989E-2"/>
    <m/>
    <n v="0.4"/>
    <n v="0.5"/>
    <n v="0.1"/>
    <m/>
    <m/>
    <m/>
    <n v="0"/>
    <n v="0"/>
    <n v="0"/>
    <n v="1362.7"/>
    <m/>
    <m/>
  </r>
  <r>
    <s v="2.4.3.1.5"/>
    <s v="CMS M.60.10.000"/>
    <x v="2"/>
    <n v="19"/>
    <s v="SPOOL"/>
    <n v="14"/>
    <x v="2"/>
    <s v="NÃO"/>
    <s v="NÃO"/>
    <x v="19"/>
    <x v="2"/>
    <s v="DISPOSIÇÃO DE REJEITOS LINHA DO CIRCUITO ARENOSO DISTRIBUIDOR DI-145A-9911 PARA DISTRIBUIDOR DI 145A-9916"/>
    <m/>
    <m/>
    <m/>
    <s v="1450AA-T-70264_FL18"/>
    <n v="1"/>
    <s v="PÇ"/>
    <n v="0.43"/>
    <n v="0.43"/>
    <n v="2725.4"/>
    <n v="1171.922"/>
    <n v="0"/>
    <n v="0.9"/>
    <n v="0.1"/>
    <n v="1"/>
    <n v="1"/>
    <x v="0"/>
    <n v="0.38700000000000001"/>
    <m/>
    <n v="0.38700000000000001"/>
    <n v="4.2999999999999983E-2"/>
    <m/>
    <n v="0.4"/>
    <n v="0.5"/>
    <n v="0.1"/>
    <m/>
    <m/>
    <m/>
    <n v="0"/>
    <n v="0"/>
    <n v="0"/>
    <n v="1171.922"/>
    <m/>
    <m/>
  </r>
  <r>
    <s v="2.4.3.1.5"/>
    <s v="CMS M.60.10.000"/>
    <x v="2"/>
    <n v="20"/>
    <s v="SPOOL"/>
    <n v="14"/>
    <x v="1"/>
    <s v="NÃO"/>
    <s v="NÃO"/>
    <x v="19"/>
    <x v="2"/>
    <s v="DISPOSIÇÃO DE REJEITOS LINHA DO CIRCUITO ARENOSO DISTRIBUIDOR DI-145A-9911 PARA DISTRIBUIDOR DI 145A-9916"/>
    <m/>
    <m/>
    <m/>
    <s v="1450AA-T-70264_FL27"/>
    <n v="1"/>
    <s v="PÇ"/>
    <n v="1.5"/>
    <n v="1.5"/>
    <n v="2725.4"/>
    <n v="4088.1000000000004"/>
    <n v="0"/>
    <n v="0.9"/>
    <n v="0.1"/>
    <n v="1"/>
    <n v="1"/>
    <x v="0"/>
    <n v="1.35"/>
    <m/>
    <n v="1.35"/>
    <n v="0.14999999999999991"/>
    <m/>
    <n v="0.4"/>
    <n v="0.5"/>
    <n v="0.1"/>
    <m/>
    <m/>
    <m/>
    <n v="0"/>
    <n v="0"/>
    <n v="0"/>
    <n v="4088.1000000000004"/>
    <m/>
    <m/>
  </r>
  <r>
    <s v="2.4.3.1.3"/>
    <s v="CMS M.60.10.000"/>
    <x v="2"/>
    <n v="1"/>
    <s v="SPOOL"/>
    <n v="10"/>
    <x v="1"/>
    <s v="NÃO"/>
    <s v="NÃO"/>
    <x v="20"/>
    <x v="2"/>
    <s v="DISPOSIÇÃO DE REJEITOS LINHA DO CIRCUITO ARENOSO UNDER DO ESPESSADOR ES-142A-9801 PARA DISTRIBUIDOR DI-145A-9911"/>
    <m/>
    <m/>
    <m/>
    <s v="1450AA-T-70267_FL14"/>
    <n v="1"/>
    <s v="PÇ"/>
    <n v="0.438"/>
    <n v="0.438"/>
    <n v="2238.89"/>
    <n v="980.6338199999999"/>
    <n v="0"/>
    <n v="0.9"/>
    <n v="0.1"/>
    <n v="1"/>
    <n v="1"/>
    <x v="0"/>
    <n v="0.39419999999999999"/>
    <m/>
    <n v="0.39419999999999999"/>
    <n v="4.3800000000000006E-2"/>
    <m/>
    <n v="0.4"/>
    <n v="0.5"/>
    <n v="0.1"/>
    <m/>
    <m/>
    <m/>
    <n v="0"/>
    <n v="0"/>
    <n v="0"/>
    <n v="980.6338199999999"/>
    <m/>
    <m/>
  </r>
  <r>
    <s v="2.4.3.1.6"/>
    <s v="CMS M.60.10.000"/>
    <x v="2"/>
    <n v="2"/>
    <s v="DERIVAÇÃO "/>
    <s v="22 X 16"/>
    <x v="1"/>
    <s v="NÃO"/>
    <s v="NÃO"/>
    <x v="20"/>
    <x v="2"/>
    <s v="DISPOSIÇÃO DE REJEITOS LINHA DO CIRCUITO ARENOSO UNDER DO ESPESSADOR ES-142A-9801 PARA DISTRIBUIDOR DI-145A-9911"/>
    <m/>
    <m/>
    <m/>
    <s v="1450AA-T-70267_FL15"/>
    <n v="2"/>
    <s v="PÇ"/>
    <n v="1.3129999999999999"/>
    <n v="2.6259999999999999"/>
    <n v="3249.8"/>
    <n v="8533.9748"/>
    <n v="0"/>
    <n v="0.9"/>
    <n v="0.1"/>
    <n v="1"/>
    <n v="1"/>
    <x v="0"/>
    <n v="2.3633999999999999"/>
    <m/>
    <n v="2.3633999999999999"/>
    <n v="0.26259999999999994"/>
    <m/>
    <n v="0.4"/>
    <n v="0.5"/>
    <n v="0.1"/>
    <m/>
    <m/>
    <m/>
    <n v="0"/>
    <n v="0"/>
    <n v="0"/>
    <n v="8533.9748"/>
    <m/>
    <m/>
  </r>
  <r>
    <s v="2.4.3.1.3"/>
    <s v="CMS M.60.10.000"/>
    <x v="2"/>
    <n v="3"/>
    <s v="SPOOL"/>
    <n v="10"/>
    <x v="1"/>
    <s v="NÃO"/>
    <s v="NÃO"/>
    <x v="20"/>
    <x v="2"/>
    <s v="DISPOSIÇÃO DE REJEITOS LINHA DO CIRCUITO ARENOSO UNDER DO ESPESSADOR ES-142A-9801 PARA DISTRIBUIDOR DI-145A-9911"/>
    <m/>
    <m/>
    <m/>
    <s v="1450AA-T-70267_FL16"/>
    <n v="1"/>
    <s v="PÇ"/>
    <n v="0.61399999999999999"/>
    <n v="0.61399999999999999"/>
    <n v="2238.89"/>
    <n v="1374.6784599999999"/>
    <n v="0"/>
    <n v="0.9"/>
    <n v="0.1"/>
    <n v="1"/>
    <n v="1"/>
    <x v="0"/>
    <n v="0.55259999999999998"/>
    <m/>
    <n v="0.55259999999999998"/>
    <n v="6.140000000000001E-2"/>
    <m/>
    <n v="0.4"/>
    <n v="0.5"/>
    <n v="0.1"/>
    <m/>
    <m/>
    <m/>
    <n v="0"/>
    <n v="0"/>
    <n v="0"/>
    <n v="1374.6784599999999"/>
    <m/>
    <m/>
  </r>
  <r>
    <s v="2.4.3.1.3"/>
    <s v="CMS M.60.10.000"/>
    <x v="2"/>
    <n v="4"/>
    <s v="SPOOL"/>
    <n v="10"/>
    <x v="1"/>
    <s v="NÃO"/>
    <s v="NÃO"/>
    <x v="20"/>
    <x v="2"/>
    <s v="DISPOSIÇÃO DE REJEITOS LINHA DO CIRCUITO ARENOSO UNDER DO ESPESSADOR ES-142A-9801 PARA DISTRIBUIDOR DI-145A-9911"/>
    <m/>
    <m/>
    <m/>
    <s v="1450AA-T-70267_FL17"/>
    <n v="1"/>
    <s v="PÇ"/>
    <n v="0.75"/>
    <n v="0.75"/>
    <n v="2238.89"/>
    <n v="1679.1675"/>
    <n v="0"/>
    <n v="0.9"/>
    <n v="0.1"/>
    <n v="1"/>
    <n v="1"/>
    <x v="0"/>
    <n v="0.67500000000000004"/>
    <m/>
    <n v="0.67500000000000004"/>
    <n v="7.4999999999999956E-2"/>
    <m/>
    <n v="0.4"/>
    <n v="0.5"/>
    <n v="0.1"/>
    <m/>
    <m/>
    <m/>
    <n v="0"/>
    <n v="0"/>
    <n v="0"/>
    <n v="1679.1675"/>
    <m/>
    <m/>
  </r>
  <r>
    <s v="2.4.3.1.3"/>
    <s v="CMS M.60.10.000"/>
    <x v="2"/>
    <n v="5"/>
    <s v="SPOOL"/>
    <n v="10"/>
    <x v="1"/>
    <s v="NÃO"/>
    <s v="NÃO"/>
    <x v="20"/>
    <x v="2"/>
    <s v="DISPOSIÇÃO DE REJEITOS LINHA DO CIRCUITO ARENOSO UNDER DO ESPESSADOR ES-142A-9801 PARA DISTRIBUIDOR DI-145A-9911"/>
    <m/>
    <m/>
    <m/>
    <s v="1450AA-T-70267_FL18"/>
    <n v="1"/>
    <s v="PÇ"/>
    <n v="0.76500000000000001"/>
    <n v="0.76500000000000001"/>
    <n v="2238.89"/>
    <n v="1712.7508499999999"/>
    <n v="0"/>
    <n v="0.9"/>
    <n v="0.1"/>
    <n v="1"/>
    <n v="1"/>
    <x v="0"/>
    <n v="0.6885"/>
    <m/>
    <n v="0.6885"/>
    <n v="7.6500000000000012E-2"/>
    <m/>
    <n v="0.4"/>
    <n v="0.5"/>
    <n v="0.1"/>
    <m/>
    <m/>
    <m/>
    <n v="0"/>
    <n v="0"/>
    <n v="0"/>
    <n v="1712.7508499999999"/>
    <m/>
    <m/>
  </r>
  <r>
    <s v="2.4.3.1.3"/>
    <s v="CMS M.60.10.000"/>
    <x v="2"/>
    <n v="6"/>
    <s v="SPOOL"/>
    <n v="10"/>
    <x v="1"/>
    <s v="NÃO"/>
    <s v="NÃO"/>
    <x v="20"/>
    <x v="2"/>
    <s v="DISPOSIÇÃO DE REJEITOS LINHA DO CIRCUITO ARENOSO UNDER DO ESPESSADOR ES-142A-9801 PARA DISTRIBUIDOR DI-145A-9911"/>
    <m/>
    <m/>
    <m/>
    <s v="1450AA-T-70267_FL19"/>
    <n v="1"/>
    <s v="PÇ"/>
    <n v="1.3"/>
    <n v="1.3"/>
    <n v="2238.89"/>
    <n v="2910.5569999999998"/>
    <n v="0"/>
    <n v="0.9"/>
    <n v="0.1"/>
    <n v="1"/>
    <n v="1"/>
    <x v="0"/>
    <n v="1.1700000000000002"/>
    <m/>
    <n v="1.1700000000000002"/>
    <n v="0.12999999999999989"/>
    <m/>
    <n v="0.4"/>
    <n v="0.5"/>
    <n v="0.1"/>
    <m/>
    <m/>
    <m/>
    <n v="0"/>
    <n v="0"/>
    <n v="0"/>
    <n v="2910.5569999999998"/>
    <m/>
    <m/>
  </r>
  <r>
    <s v="2.4.3.1.3"/>
    <s v="CMS M.60.10.000"/>
    <x v="2"/>
    <n v="7"/>
    <s v="SPOOL"/>
    <n v="10"/>
    <x v="1"/>
    <s v="NÃO"/>
    <s v="NÃO"/>
    <x v="20"/>
    <x v="2"/>
    <s v="DISPOSIÇÃO DE REJEITOS LINHA DO CIRCUITO ARENOSO UNDER DO ESPESSADOR ES-142A-9801 PARA DISTRIBUIDOR DI-145A-9911"/>
    <m/>
    <m/>
    <m/>
    <s v="1450AA-T-70267_FL20"/>
    <n v="2"/>
    <s v="PÇ"/>
    <n v="1.5"/>
    <n v="3"/>
    <n v="2238.89"/>
    <n v="6716.67"/>
    <n v="0"/>
    <n v="0.9"/>
    <n v="0.1"/>
    <n v="1"/>
    <n v="1"/>
    <x v="0"/>
    <n v="2.7"/>
    <m/>
    <n v="2.7"/>
    <n v="0.29999999999999982"/>
    <m/>
    <n v="0.4"/>
    <n v="0.5"/>
    <n v="0.1"/>
    <m/>
    <m/>
    <m/>
    <n v="0"/>
    <n v="0"/>
    <n v="0"/>
    <n v="6716.67"/>
    <m/>
    <m/>
  </r>
  <r>
    <s v="2.4.3.1.3"/>
    <s v="CMS M.60.10.000"/>
    <x v="2"/>
    <n v="8"/>
    <s v="SPOOL"/>
    <n v="10"/>
    <x v="1"/>
    <s v="NÃO"/>
    <s v="NÃO"/>
    <x v="20"/>
    <x v="2"/>
    <s v="DISPOSIÇÃO DE REJEITOS LINHA DO CIRCUITO ARENOSO UNDER DO ESPESSADOR ES-142A-9801 PARA DISTRIBUIDOR DI-145A-9911"/>
    <m/>
    <m/>
    <m/>
    <s v="1450AA-T-70267_FL21"/>
    <n v="2"/>
    <s v="PÇ"/>
    <n v="2"/>
    <n v="4"/>
    <n v="2238.89"/>
    <n v="8955.56"/>
    <n v="0"/>
    <n v="0.9"/>
    <n v="0.1"/>
    <n v="1"/>
    <n v="1"/>
    <x v="0"/>
    <n v="3.6"/>
    <m/>
    <n v="3.6"/>
    <n v="0.39999999999999991"/>
    <m/>
    <n v="0.4"/>
    <n v="0.5"/>
    <n v="0.1"/>
    <m/>
    <m/>
    <m/>
    <n v="0"/>
    <n v="0"/>
    <n v="0"/>
    <n v="8955.56"/>
    <m/>
    <m/>
  </r>
  <r>
    <s v="2.4.3.1.3"/>
    <s v="CMS M.60.10.000"/>
    <x v="2"/>
    <n v="9"/>
    <s v="SPOOL"/>
    <n v="10"/>
    <x v="1"/>
    <s v="NÃO"/>
    <s v="NÃO"/>
    <x v="20"/>
    <x v="2"/>
    <s v="DISPOSIÇÃO DE REJEITOS LINHA DO CIRCUITO ARENOSO UNDER DO ESPESSADOR ES-142A-9801 PARA DISTRIBUIDOR DI-145A-9911"/>
    <m/>
    <m/>
    <m/>
    <s v="1450AA-T-70267_FL22"/>
    <n v="1"/>
    <s v="PÇ"/>
    <n v="2.137"/>
    <n v="2.137"/>
    <n v="2238.89"/>
    <n v="4784.5079299999998"/>
    <n v="0"/>
    <n v="0.9"/>
    <n v="0.1"/>
    <n v="1"/>
    <n v="1"/>
    <x v="0"/>
    <n v="1.9233"/>
    <m/>
    <n v="1.9233"/>
    <n v="0.2137"/>
    <m/>
    <n v="0.4"/>
    <n v="0.5"/>
    <n v="0.1"/>
    <m/>
    <m/>
    <m/>
    <n v="0"/>
    <n v="0"/>
    <n v="0"/>
    <n v="4784.5079299999998"/>
    <m/>
    <m/>
  </r>
  <r>
    <s v="2.4.3.1.3"/>
    <s v="CMS M.60.10.000"/>
    <x v="2"/>
    <n v="10"/>
    <s v="SPOOL"/>
    <n v="10"/>
    <x v="1"/>
    <s v="NÃO"/>
    <s v="NÃO"/>
    <x v="20"/>
    <x v="2"/>
    <s v="DISPOSIÇÃO DE REJEITOS LINHA DO CIRCUITO ARENOSO UNDER DO ESPESSADOR ES-142A-9801 PARA DISTRIBUIDOR DI-145A-9911"/>
    <m/>
    <m/>
    <m/>
    <s v="1450AA-T-70267_FL23"/>
    <n v="5"/>
    <s v="PÇ"/>
    <n v="2.5"/>
    <n v="12.5"/>
    <n v="2238.89"/>
    <n v="27986.125"/>
    <n v="0"/>
    <n v="0.9"/>
    <n v="0.1"/>
    <n v="1"/>
    <n v="1"/>
    <x v="0"/>
    <n v="11.25"/>
    <m/>
    <n v="11.25"/>
    <n v="1.25"/>
    <m/>
    <n v="0.4"/>
    <n v="0.5"/>
    <n v="0.1"/>
    <m/>
    <m/>
    <m/>
    <n v="0"/>
    <n v="0"/>
    <n v="0"/>
    <n v="27986.125"/>
    <m/>
    <m/>
  </r>
  <r>
    <s v="2.4.3.1.3"/>
    <s v="CMS M.60.10.000"/>
    <x v="2"/>
    <n v="11"/>
    <s v="SPOOL"/>
    <n v="10"/>
    <x v="1"/>
    <s v="NÃO"/>
    <s v="NÃO"/>
    <x v="20"/>
    <x v="2"/>
    <s v="DISPOSIÇÃO DE REJEITOS LINHA DO CIRCUITO ARENOSO UNDER DO ESPESSADOR ES-142A-9801 PARA DISTRIBUIDOR DI-145A-9911"/>
    <m/>
    <m/>
    <m/>
    <s v="1450AA-T-70267_FL24"/>
    <n v="1"/>
    <s v="PÇ"/>
    <n v="2.6"/>
    <n v="2.6"/>
    <n v="2238.89"/>
    <n v="5821.1139999999996"/>
    <n v="0"/>
    <n v="0.9"/>
    <n v="0.1"/>
    <n v="1"/>
    <n v="1"/>
    <x v="0"/>
    <n v="2.3400000000000003"/>
    <m/>
    <n v="2.3400000000000003"/>
    <n v="0.25999999999999979"/>
    <m/>
    <n v="0.4"/>
    <n v="0.5"/>
    <n v="0.1"/>
    <m/>
    <m/>
    <m/>
    <n v="0"/>
    <n v="0"/>
    <n v="0"/>
    <n v="5821.1139999999996"/>
    <m/>
    <m/>
  </r>
  <r>
    <s v="2.4.3.1.3"/>
    <s v="CMS M.60.10.000"/>
    <x v="2"/>
    <n v="12"/>
    <s v="SPOOL"/>
    <n v="10"/>
    <x v="1"/>
    <s v="NÃO"/>
    <s v="NÃO"/>
    <x v="20"/>
    <x v="2"/>
    <s v="DISPOSIÇÃO DE REJEITOS LINHA DO CIRCUITO ARENOSO UNDER DO ESPESSADOR ES-142A-9801 PARA DISTRIBUIDOR DI-145A-9911"/>
    <m/>
    <m/>
    <m/>
    <s v="1450AA-T-70267_FL25"/>
    <n v="1"/>
    <s v="PÇ"/>
    <n v="3.5"/>
    <n v="3.5"/>
    <n v="2238.89"/>
    <n v="7836.1149999999998"/>
    <n v="0"/>
    <n v="0.9"/>
    <n v="0.1"/>
    <n v="1"/>
    <n v="1"/>
    <x v="0"/>
    <n v="3.15"/>
    <m/>
    <n v="3.15"/>
    <n v="0.35000000000000009"/>
    <m/>
    <n v="0.4"/>
    <n v="0.5"/>
    <n v="0.1"/>
    <m/>
    <m/>
    <m/>
    <n v="0"/>
    <n v="0"/>
    <n v="0"/>
    <n v="7836.1149999999998"/>
    <m/>
    <m/>
  </r>
  <r>
    <s v="2.4.3.1.3"/>
    <s v="CMS M.60.10.000"/>
    <x v="2"/>
    <n v="13"/>
    <s v="SPOOL"/>
    <n v="10"/>
    <x v="1"/>
    <s v="NÃO"/>
    <s v="NÃO"/>
    <x v="20"/>
    <x v="2"/>
    <s v="DISPOSIÇÃO DE REJEITOS LINHA DO CIRCUITO ARENOSO UNDER DO ESPESSADOR ES-142A-9801 PARA DISTRIBUIDOR DI-145A-9911"/>
    <m/>
    <m/>
    <m/>
    <s v="1450AA-T-70267_FL26"/>
    <n v="1"/>
    <s v="PÇ"/>
    <n v="4"/>
    <n v="4"/>
    <n v="2238.89"/>
    <n v="8955.56"/>
    <n v="0"/>
    <n v="0.9"/>
    <n v="0.1"/>
    <n v="1"/>
    <n v="1"/>
    <x v="0"/>
    <n v="3.6"/>
    <m/>
    <n v="3.6"/>
    <n v="0.39999999999999991"/>
    <m/>
    <n v="0.4"/>
    <n v="0.5"/>
    <n v="0.1"/>
    <m/>
    <m/>
    <m/>
    <n v="0"/>
    <n v="0"/>
    <n v="0"/>
    <n v="8955.56"/>
    <m/>
    <m/>
  </r>
  <r>
    <s v="2.4.3.1.3"/>
    <s v="CMS M.60.10.000"/>
    <x v="2"/>
    <n v="14"/>
    <s v="SPOOL"/>
    <n v="10"/>
    <x v="1"/>
    <s v="NÃO"/>
    <s v="NÃO"/>
    <x v="20"/>
    <x v="2"/>
    <s v="DISPOSIÇÃO DE REJEITOS LINHA DO CIRCUITO ARENOSO UNDER DO ESPESSADOR ES-142A-9801 PARA DISTRIBUIDOR DI-145A-9911"/>
    <m/>
    <m/>
    <m/>
    <s v="1450AA-T-70267_FL27"/>
    <n v="1"/>
    <s v="PÇ"/>
    <n v="5"/>
    <n v="5"/>
    <n v="2238.89"/>
    <n v="11194.449999999999"/>
    <n v="0"/>
    <n v="0.9"/>
    <n v="0.1"/>
    <n v="1"/>
    <n v="1"/>
    <x v="0"/>
    <n v="4.5"/>
    <m/>
    <n v="4.5"/>
    <n v="0.5"/>
    <m/>
    <n v="0.4"/>
    <n v="0.5"/>
    <n v="0.1"/>
    <m/>
    <m/>
    <m/>
    <n v="0"/>
    <n v="0"/>
    <n v="0"/>
    <n v="11194.449999999999"/>
    <m/>
    <m/>
  </r>
  <r>
    <s v="2.4.3.1.3"/>
    <s v="CMS M.60.10.000"/>
    <x v="2"/>
    <n v="15"/>
    <s v="SPOOL"/>
    <n v="10"/>
    <x v="1"/>
    <s v="NÃO"/>
    <s v="NÃO"/>
    <x v="20"/>
    <x v="2"/>
    <s v="DISPOSIÇÃO DE REJEITOS LINHA DO CIRCUITO ARENOSO UNDER DO ESPESSADOR ES-142A-9801 PARA DISTRIBUIDOR DI-145A-9911"/>
    <m/>
    <m/>
    <m/>
    <s v="1450AA-T-70267_FL28"/>
    <n v="1"/>
    <s v="PÇ"/>
    <n v="5.5"/>
    <n v="5.5"/>
    <n v="2238.89"/>
    <n v="12313.894999999999"/>
    <n v="0"/>
    <n v="0.9"/>
    <n v="0.1"/>
    <n v="1"/>
    <n v="1"/>
    <x v="0"/>
    <n v="4.95"/>
    <m/>
    <n v="4.95"/>
    <n v="0.54999999999999982"/>
    <m/>
    <n v="0.4"/>
    <n v="0.5"/>
    <n v="0.1"/>
    <m/>
    <m/>
    <m/>
    <n v="0"/>
    <n v="0"/>
    <n v="0"/>
    <n v="12313.894999999999"/>
    <m/>
    <m/>
  </r>
  <r>
    <s v="2.4.3.1.3"/>
    <s v="CMS M.60.10.000"/>
    <x v="2"/>
    <n v="16"/>
    <s v="SPOOL"/>
    <n v="10"/>
    <x v="1"/>
    <s v="NÃO"/>
    <s v="NÃO"/>
    <x v="20"/>
    <x v="2"/>
    <s v="DISPOSIÇÃO DE REJEITOS LINHA DO CIRCUITO ARENOSO UNDER DO ESPESSADOR ES-142A-9801 PARA DISTRIBUIDOR DI-145A-9911"/>
    <m/>
    <m/>
    <m/>
    <s v="1450AA-T-70267_FL29"/>
    <n v="6"/>
    <s v="PÇ"/>
    <n v="6"/>
    <n v="36"/>
    <n v="2238.89"/>
    <n v="80600.039999999994"/>
    <n v="0"/>
    <n v="0.9"/>
    <n v="0.1"/>
    <n v="1"/>
    <n v="1"/>
    <x v="0"/>
    <n v="32.4"/>
    <m/>
    <n v="32.4"/>
    <n v="3.6000000000000014"/>
    <m/>
    <n v="0.4"/>
    <n v="0.5"/>
    <n v="0.1"/>
    <m/>
    <m/>
    <m/>
    <n v="0"/>
    <n v="0"/>
    <n v="0"/>
    <n v="80600.039999999994"/>
    <m/>
    <m/>
  </r>
  <r>
    <s v="2.4.3.1.3"/>
    <s v="CMS M.60.10.000"/>
    <x v="2"/>
    <n v="17"/>
    <s v="SPOOL"/>
    <n v="10"/>
    <x v="1"/>
    <s v="SIM"/>
    <s v="NÃO"/>
    <x v="20"/>
    <x v="2"/>
    <s v="DISPOSIÇÃO DE REJEITOS LINHA DO CIRCUITO ARENOSO UNDER DO ESPESSADOR ES-142A-9801 PARA DISTRIBUIDOR DI-145A-9911"/>
    <m/>
    <m/>
    <m/>
    <s v="1450AA-T-70267_FL30"/>
    <n v="1"/>
    <s v="PÇ"/>
    <n v="0.35499999999999998"/>
    <n v="0.35499999999999998"/>
    <n v="2238.89"/>
    <n v="794.80594999999994"/>
    <n v="0"/>
    <n v="0.9"/>
    <n v="0.1"/>
    <n v="1"/>
    <n v="1"/>
    <x v="0"/>
    <n v="0.31950000000000001"/>
    <m/>
    <n v="0.31950000000000001"/>
    <n v="3.5499999999999976E-2"/>
    <m/>
    <n v="0.4"/>
    <n v="0.5"/>
    <n v="0.1"/>
    <m/>
    <m/>
    <m/>
    <n v="0"/>
    <n v="0"/>
    <n v="0"/>
    <n v="794.80594999999994"/>
    <m/>
    <m/>
  </r>
  <r>
    <s v="2.4.3.1.3"/>
    <s v="CMS M.60.10.000"/>
    <x v="2"/>
    <n v="18"/>
    <s v="SPOOL"/>
    <n v="10"/>
    <x v="2"/>
    <s v="NÃO"/>
    <s v="NÃO"/>
    <x v="20"/>
    <x v="2"/>
    <s v="DISPOSIÇÃO DE REJEITOS LINHA DO CIRCUITO ARENOSO UNDER DO ESPESSADOR ES-142A-9801 PARA DISTRIBUIDOR DI-145A-9911"/>
    <m/>
    <m/>
    <m/>
    <s v="1450AA-T-70267_FL31"/>
    <n v="1"/>
    <s v="PÇ"/>
    <n v="0.27"/>
    <n v="0.27"/>
    <n v="2238.89"/>
    <n v="604.50030000000004"/>
    <n v="0"/>
    <n v="0.9"/>
    <n v="0.1"/>
    <n v="1"/>
    <n v="1"/>
    <x v="0"/>
    <n v="0.24300000000000002"/>
    <m/>
    <n v="0.24300000000000002"/>
    <n v="2.6999999999999996E-2"/>
    <m/>
    <n v="0.4"/>
    <n v="0.5"/>
    <n v="0.1"/>
    <m/>
    <m/>
    <m/>
    <n v="0"/>
    <n v="0"/>
    <n v="0"/>
    <n v="604.50030000000004"/>
    <m/>
    <m/>
  </r>
  <r>
    <s v="2.4.3.1.3"/>
    <s v="CMS M.60.10.000"/>
    <x v="2"/>
    <n v="19"/>
    <s v="SPOOL"/>
    <n v="10"/>
    <x v="2"/>
    <s v="NÃO"/>
    <s v="NÃO"/>
    <x v="20"/>
    <x v="2"/>
    <s v="DISPOSIÇÃO DE REJEITOS LINHA DO CIRCUITO ARENOSO UNDER DO ESPESSADOR ES-142A-9801 PARA DISTRIBUIDOR DI-145A-9911"/>
    <m/>
    <m/>
    <m/>
    <s v="1450AA-T-70267_FL32"/>
    <n v="1"/>
    <s v="PÇ"/>
    <n v="0.38"/>
    <n v="0.38"/>
    <n v="2238.89"/>
    <n v="850.77819999999997"/>
    <n v="0"/>
    <n v="0.9"/>
    <n v="0.1"/>
    <n v="1"/>
    <n v="1"/>
    <x v="0"/>
    <n v="0.34200000000000003"/>
    <m/>
    <n v="0.34200000000000003"/>
    <n v="3.7999999999999978E-2"/>
    <m/>
    <n v="0.4"/>
    <n v="0.5"/>
    <n v="0.1"/>
    <m/>
    <m/>
    <m/>
    <n v="0"/>
    <n v="0"/>
    <n v="0"/>
    <n v="850.77819999999997"/>
    <m/>
    <m/>
  </r>
  <r>
    <s v="2.4.3.1.3"/>
    <s v="CMS M.60.10.000"/>
    <x v="2"/>
    <n v="20"/>
    <s v="SPOOL"/>
    <n v="10"/>
    <x v="2"/>
    <s v="NÃO"/>
    <s v="NÃO"/>
    <x v="20"/>
    <x v="2"/>
    <s v="DISPOSIÇÃO DE REJEITOS LINHA DO CIRCUITO ARENOSO UNDER DO ESPESSADOR ES-142A-9801 PARA DISTRIBUIDOR DI-145A-9911"/>
    <m/>
    <m/>
    <m/>
    <s v="1450AA-T-70267_FL33"/>
    <n v="2"/>
    <s v="PÇ"/>
    <n v="0.39"/>
    <n v="0.78"/>
    <n v="2238.89"/>
    <n v="1746.3342"/>
    <n v="0"/>
    <n v="0.9"/>
    <n v="0.1"/>
    <n v="1"/>
    <n v="1"/>
    <x v="0"/>
    <n v="0.70200000000000007"/>
    <m/>
    <n v="0.70200000000000007"/>
    <n v="7.7999999999999958E-2"/>
    <m/>
    <n v="0.4"/>
    <n v="0.5"/>
    <n v="0.1"/>
    <m/>
    <m/>
    <m/>
    <n v="0"/>
    <n v="0"/>
    <n v="0"/>
    <n v="1746.3342"/>
    <m/>
    <m/>
  </r>
  <r>
    <s v="2.4.3.1.3"/>
    <s v="CMS M.60.10.000"/>
    <x v="2"/>
    <n v="21"/>
    <s v="SPOOL"/>
    <n v="10"/>
    <x v="2"/>
    <s v="NÃO"/>
    <s v="NÃO"/>
    <x v="20"/>
    <x v="2"/>
    <s v="DISPOSIÇÃO DE REJEITOS LINHA DO CIRCUITO ARENOSO UNDER DO ESPESSADOR ES-142A-9801 PARA DISTRIBUIDOR DI-145A-9911"/>
    <m/>
    <m/>
    <m/>
    <s v="1450AA-T-70267_FL34"/>
    <n v="1"/>
    <s v="PÇ"/>
    <n v="0.44"/>
    <n v="0.44"/>
    <n v="2238.89"/>
    <n v="985.11159999999995"/>
    <n v="0"/>
    <n v="0.9"/>
    <n v="0.1"/>
    <n v="1"/>
    <n v="1"/>
    <x v="0"/>
    <n v="0.39600000000000002"/>
    <m/>
    <n v="0.39600000000000002"/>
    <n v="4.3999999999999984E-2"/>
    <m/>
    <n v="0.4"/>
    <n v="0.5"/>
    <n v="0.1"/>
    <m/>
    <m/>
    <m/>
    <n v="0"/>
    <n v="0"/>
    <n v="0"/>
    <n v="985.11159999999995"/>
    <m/>
    <m/>
  </r>
  <r>
    <s v="2.4.3.1.3"/>
    <s v="CMS M.60.10.000"/>
    <x v="2"/>
    <n v="22"/>
    <s v="SPOOL"/>
    <n v="10"/>
    <x v="2"/>
    <s v="NÃO"/>
    <s v="NÃO"/>
    <x v="20"/>
    <x v="2"/>
    <s v="DISPOSIÇÃO DE REJEITOS LINHA DO CIRCUITO ARENOSO UNDER DO ESPESSADOR ES-142A-9801 PARA DISTRIBUIDOR DI-145A-9911"/>
    <m/>
    <m/>
    <m/>
    <s v="1450AA-T-70267_FL35"/>
    <n v="1"/>
    <s v="PÇ"/>
    <n v="0.49"/>
    <n v="0.49"/>
    <n v="2238.89"/>
    <n v="1097.0561"/>
    <n v="0"/>
    <n v="0.9"/>
    <n v="0.1"/>
    <n v="1"/>
    <n v="1"/>
    <x v="0"/>
    <n v="0.441"/>
    <m/>
    <n v="0.441"/>
    <n v="4.8999999999999988E-2"/>
    <m/>
    <n v="0.4"/>
    <n v="0.5"/>
    <n v="0.1"/>
    <m/>
    <m/>
    <m/>
    <n v="0"/>
    <n v="0"/>
    <n v="0"/>
    <n v="1097.0561"/>
    <m/>
    <m/>
  </r>
  <r>
    <s v="2.4.3.1.3"/>
    <s v="CMS M.60.10.000"/>
    <x v="2"/>
    <n v="23"/>
    <s v="SPOOL"/>
    <n v="10"/>
    <x v="2"/>
    <s v="NÃO"/>
    <s v="NÃO"/>
    <x v="20"/>
    <x v="2"/>
    <s v="DISPOSIÇÃO DE REJEITOS LINHA DO CIRCUITO ARENOSO UNDER DO ESPESSADOR ES-142A-9801 PARA DISTRIBUIDOR DI-145A-9911"/>
    <m/>
    <m/>
    <m/>
    <s v="1450AA-T-70267_FL36"/>
    <n v="1"/>
    <s v="PÇ"/>
    <n v="0.54"/>
    <n v="0.54"/>
    <n v="2238.89"/>
    <n v="1209.0006000000001"/>
    <n v="0"/>
    <n v="0.9"/>
    <n v="0.1"/>
    <n v="1"/>
    <n v="1"/>
    <x v="0"/>
    <n v="0.48600000000000004"/>
    <m/>
    <n v="0.48600000000000004"/>
    <n v="5.3999999999999992E-2"/>
    <m/>
    <n v="0.4"/>
    <n v="0.5"/>
    <n v="0.1"/>
    <m/>
    <m/>
    <m/>
    <n v="0"/>
    <n v="0"/>
    <n v="0"/>
    <n v="1209.0006000000001"/>
    <m/>
    <m/>
  </r>
  <r>
    <s v="2.4.3.1.3"/>
    <s v="CMS M.60.10.000"/>
    <x v="2"/>
    <n v="24"/>
    <s v="SPOOL"/>
    <n v="10"/>
    <x v="2"/>
    <s v="NÃO"/>
    <s v="NÃO"/>
    <x v="20"/>
    <x v="2"/>
    <s v="DISPOSIÇÃO DE REJEITOS LINHA DO CIRCUITO ARENOSO UNDER DO ESPESSADOR ES-142A-9801 PARA DISTRIBUIDOR DI-145A-9911"/>
    <m/>
    <m/>
    <m/>
    <s v="1450AA-T-70267_FL37"/>
    <n v="2"/>
    <s v="PÇ"/>
    <n v="0.56999999999999995"/>
    <n v="1.1399999999999999"/>
    <n v="2238.89"/>
    <n v="2552.3345999999997"/>
    <n v="0"/>
    <n v="0.9"/>
    <n v="0.1"/>
    <n v="1"/>
    <n v="1"/>
    <x v="0"/>
    <n v="1.026"/>
    <m/>
    <n v="1.026"/>
    <n v="0.11399999999999988"/>
    <m/>
    <n v="0.4"/>
    <n v="0.5"/>
    <n v="0.1"/>
    <m/>
    <m/>
    <m/>
    <n v="0"/>
    <n v="0"/>
    <n v="0"/>
    <n v="2552.3345999999997"/>
    <m/>
    <m/>
  </r>
  <r>
    <s v="2.4.3.1.3"/>
    <s v="CMS M.60.10.000"/>
    <x v="2"/>
    <n v="25"/>
    <s v="SPOOL"/>
    <n v="10"/>
    <x v="2"/>
    <s v="NÃO"/>
    <s v="NÃO"/>
    <x v="20"/>
    <x v="2"/>
    <s v="DISPOSIÇÃO DE REJEITOS LINHA DO CIRCUITO ARENOSO UNDER DO ESPESSADOR ES-142A-9801 PARA DISTRIBUIDOR DI-145A-9911"/>
    <m/>
    <m/>
    <m/>
    <s v="1450AA-T-70267_FL38"/>
    <n v="1"/>
    <s v="PÇ"/>
    <n v="0.75"/>
    <n v="0.75"/>
    <n v="2238.89"/>
    <n v="1679.1675"/>
    <n v="0"/>
    <n v="0.9"/>
    <n v="0.1"/>
    <n v="1"/>
    <n v="1"/>
    <x v="0"/>
    <n v="0.67500000000000004"/>
    <m/>
    <n v="0.67500000000000004"/>
    <n v="7.4999999999999956E-2"/>
    <m/>
    <n v="0.4"/>
    <n v="0.5"/>
    <n v="0.1"/>
    <m/>
    <m/>
    <m/>
    <n v="0"/>
    <n v="0"/>
    <n v="0"/>
    <n v="1679.1675"/>
    <m/>
    <m/>
  </r>
  <r>
    <s v="2.4.3.1.3"/>
    <s v="CMS M.60.10.000"/>
    <x v="2"/>
    <n v="26"/>
    <s v="SPOOL"/>
    <n v="10"/>
    <x v="2"/>
    <s v="NÃO"/>
    <s v="NÃO"/>
    <x v="20"/>
    <x v="2"/>
    <s v="DISPOSIÇÃO DE REJEITOS LINHA DO CIRCUITO ARENOSO UNDER DO ESPESSADOR ES-142A-9801 PARA DISTRIBUIDOR DI-145A-9911"/>
    <m/>
    <m/>
    <m/>
    <s v="1450AA-T-70267_FL39"/>
    <n v="2"/>
    <s v="PÇ"/>
    <n v="0.76500000000000001"/>
    <n v="1.53"/>
    <n v="2238.89"/>
    <n v="3425.5016999999998"/>
    <n v="0"/>
    <n v="0.9"/>
    <n v="0.1"/>
    <n v="1"/>
    <n v="1"/>
    <x v="0"/>
    <n v="1.377"/>
    <m/>
    <n v="1.377"/>
    <n v="0.15300000000000002"/>
    <m/>
    <n v="0.4"/>
    <n v="0.5"/>
    <n v="0.1"/>
    <m/>
    <m/>
    <m/>
    <n v="0"/>
    <n v="0"/>
    <n v="0"/>
    <n v="3425.5016999999998"/>
    <m/>
    <m/>
  </r>
  <r>
    <s v="2.4.3.1.3"/>
    <s v="CMS M.60.10.000"/>
    <x v="2"/>
    <n v="27"/>
    <s v="SPOOL"/>
    <n v="10"/>
    <x v="2"/>
    <s v="NÃO"/>
    <s v="NÃO"/>
    <x v="20"/>
    <x v="2"/>
    <s v="DISPOSIÇÃO DE REJEITOS LINHA DO CIRCUITO ARENOSO UNDER DO ESPESSADOR ES-142A-9801 PARA DISTRIBUIDOR DI-145A-9911"/>
    <m/>
    <m/>
    <m/>
    <s v="1450AA-T-70267_FL40"/>
    <n v="1"/>
    <s v="PÇ"/>
    <n v="0.99"/>
    <n v="0.99"/>
    <n v="2238.89"/>
    <n v="2216.5011"/>
    <n v="0"/>
    <n v="0.9"/>
    <n v="0.1"/>
    <n v="1"/>
    <n v="1"/>
    <x v="0"/>
    <n v="0.89100000000000001"/>
    <m/>
    <n v="0.89100000000000001"/>
    <n v="9.8999999999999977E-2"/>
    <m/>
    <n v="0.4"/>
    <n v="0.5"/>
    <n v="0.1"/>
    <m/>
    <m/>
    <m/>
    <n v="0"/>
    <n v="0"/>
    <n v="0"/>
    <n v="2216.5011"/>
    <m/>
    <m/>
  </r>
  <r>
    <s v="2.4.3.1.8"/>
    <s v="CMS M.60.10.000"/>
    <x v="2"/>
    <n v="28"/>
    <s v="SPOOL"/>
    <n v="22"/>
    <x v="2"/>
    <s v="NÃO"/>
    <s v="NÃO"/>
    <x v="20"/>
    <x v="2"/>
    <s v="DISPOSIÇÃO DE REJEITOS LINHA DO CIRCUITO ARENOSO UNDER DO ESPESSADOR ES-142A-9801 PARA DISTRIBUIDOR DI-145A-9911"/>
    <m/>
    <m/>
    <m/>
    <s v="1450AA-T-70267_FL41"/>
    <n v="1"/>
    <s v="PÇ"/>
    <n v="0.71499999999999997"/>
    <n v="0.71499999999999997"/>
    <n v="2788.58"/>
    <n v="1993.8346999999999"/>
    <n v="0"/>
    <n v="0.9"/>
    <n v="0.1"/>
    <n v="1"/>
    <n v="1"/>
    <x v="0"/>
    <n v="0.64349999999999996"/>
    <m/>
    <n v="0.64349999999999996"/>
    <n v="7.1500000000000008E-2"/>
    <m/>
    <n v="0.4"/>
    <n v="0.5"/>
    <n v="0.1"/>
    <m/>
    <m/>
    <m/>
    <n v="0"/>
    <n v="0"/>
    <n v="0"/>
    <n v="1993.8346999999999"/>
    <m/>
    <m/>
  </r>
  <r>
    <s v="2.4.3.1.3"/>
    <s v="CMS M.60.10.000"/>
    <x v="2"/>
    <n v="29"/>
    <s v="CURVA"/>
    <n v="10"/>
    <x v="1"/>
    <s v="NÃO"/>
    <s v="NÃO"/>
    <x v="20"/>
    <x v="2"/>
    <s v="DISPOSIÇÃO DE REJEITOS LINHA DO CIRCUITO ARENOSO UNDER DO ESPESSADOR ES-142A-9801 PARA DISTRIBUIDOR DI-145A-9911"/>
    <m/>
    <m/>
    <m/>
    <s v="1450AA-T-70267_FL42"/>
    <n v="1"/>
    <s v="PÇ"/>
    <n v="0.27400000000000002"/>
    <n v="0.27400000000000002"/>
    <n v="2238.89"/>
    <n v="613.45586000000003"/>
    <n v="0"/>
    <n v="0.9"/>
    <n v="0.1"/>
    <n v="1"/>
    <n v="1"/>
    <x v="0"/>
    <n v="0.24660000000000001"/>
    <m/>
    <n v="0.24660000000000001"/>
    <n v="2.7400000000000008E-2"/>
    <m/>
    <n v="0.4"/>
    <n v="0.5"/>
    <n v="0.1"/>
    <m/>
    <m/>
    <m/>
    <n v="0"/>
    <n v="0"/>
    <n v="0"/>
    <n v="613.45586000000003"/>
    <m/>
    <m/>
  </r>
  <r>
    <s v="2.4.3.1.3"/>
    <s v="CMS M.60.10.000"/>
    <x v="2"/>
    <n v="30"/>
    <s v="CURVA"/>
    <n v="10"/>
    <x v="1"/>
    <s v="NÃO"/>
    <s v="NÃO"/>
    <x v="20"/>
    <x v="2"/>
    <s v="DISPOSIÇÃO DE REJEITOS LINHA DO CIRCUITO ARENOSO UNDER DO ESPESSADOR ES-142A-9801 PARA DISTRIBUIDOR DI-145A-9911"/>
    <m/>
    <m/>
    <m/>
    <s v="1450AA-T-70267_FL43"/>
    <n v="3"/>
    <s v="PÇ"/>
    <n v="0.22700000000000001"/>
    <n v="0.68100000000000005"/>
    <n v="2238.89"/>
    <n v="1524.68409"/>
    <n v="0"/>
    <n v="0.9"/>
    <n v="0.1"/>
    <n v="1"/>
    <n v="1"/>
    <x v="0"/>
    <n v="0.61290000000000011"/>
    <m/>
    <n v="0.61290000000000011"/>
    <n v="6.8099999999999938E-2"/>
    <m/>
    <n v="0.4"/>
    <n v="0.5"/>
    <n v="0.1"/>
    <m/>
    <m/>
    <m/>
    <n v="0"/>
    <n v="0"/>
    <n v="0"/>
    <n v="1524.68409"/>
    <m/>
    <m/>
  </r>
  <r>
    <s v="2.4.3.1.3"/>
    <s v="CMS M.60.10.000"/>
    <x v="2"/>
    <n v="31"/>
    <s v="CURVA"/>
    <n v="10"/>
    <x v="1"/>
    <s v="NÃO"/>
    <s v="NÃO"/>
    <x v="20"/>
    <x v="2"/>
    <s v="DISPOSIÇÃO DE REJEITOS LINHA DO CIRCUITO ARENOSO UNDER DO ESPESSADOR ES-142A-9801 PARA DISTRIBUIDOR DI-145A-9911"/>
    <m/>
    <m/>
    <m/>
    <s v="1450AA-T-70267_FL44"/>
    <n v="1"/>
    <s v="PÇ"/>
    <n v="0.35399999999999998"/>
    <n v="0.35399999999999998"/>
    <n v="2238.89"/>
    <n v="792.56705999999997"/>
    <n v="0"/>
    <n v="0.9"/>
    <n v="0.1"/>
    <n v="1"/>
    <n v="1"/>
    <x v="0"/>
    <n v="0.31859999999999999"/>
    <m/>
    <n v="0.31859999999999999"/>
    <n v="3.5399999999999987E-2"/>
    <m/>
    <n v="0.4"/>
    <n v="0.5"/>
    <n v="0.1"/>
    <m/>
    <m/>
    <m/>
    <n v="0"/>
    <n v="0"/>
    <n v="0"/>
    <n v="792.56705999999997"/>
    <m/>
    <m/>
  </r>
  <r>
    <s v="2.4.3.1.3"/>
    <s v="CMS M.60.10.000"/>
    <x v="2"/>
    <n v="32"/>
    <s v="CURVA"/>
    <n v="10"/>
    <x v="1"/>
    <s v="NÃO"/>
    <s v="NÃO"/>
    <x v="20"/>
    <x v="2"/>
    <s v="DISPOSIÇÃO DE REJEITOS LINHA DO CIRCUITO ARENOSO UNDER DO ESPESSADOR ES-142A-9801 PARA DISTRIBUIDOR DI-145A-9911"/>
    <m/>
    <m/>
    <m/>
    <s v="1450AA-T-70267_FL45"/>
    <n v="2"/>
    <s v="PÇ"/>
    <n v="0.44"/>
    <n v="0.88"/>
    <n v="2238.89"/>
    <n v="1970.2231999999999"/>
    <n v="0"/>
    <n v="0.9"/>
    <n v="0.1"/>
    <n v="1"/>
    <n v="1"/>
    <x v="0"/>
    <n v="0.79200000000000004"/>
    <m/>
    <n v="0.79200000000000004"/>
    <n v="8.7999999999999967E-2"/>
    <m/>
    <n v="0.4"/>
    <n v="0.5"/>
    <n v="0.1"/>
    <m/>
    <m/>
    <m/>
    <n v="0"/>
    <n v="0"/>
    <n v="0"/>
    <n v="1970.2231999999999"/>
    <m/>
    <m/>
  </r>
  <r>
    <s v="2.4.3.1.3"/>
    <s v="CMS M.60.10.000"/>
    <x v="2"/>
    <n v="33"/>
    <s v="CURVA"/>
    <n v="10"/>
    <x v="1"/>
    <s v="NÃO"/>
    <s v="NÃO"/>
    <x v="20"/>
    <x v="2"/>
    <s v="DISPOSIÇÃO DE REJEITOS LINHA DO CIRCUITO ARENOSO UNDER DO ESPESSADOR ES-142A-9801 PARA DISTRIBUIDOR DI-145A-9911"/>
    <m/>
    <m/>
    <m/>
    <s v="1450AA-T-70267_FL46"/>
    <n v="4"/>
    <s v="PÇ"/>
    <n v="0.54100000000000004"/>
    <n v="2.1640000000000001"/>
    <n v="2238.89"/>
    <n v="4844.9579599999997"/>
    <n v="0"/>
    <n v="0.9"/>
    <n v="0.1"/>
    <n v="1"/>
    <n v="1"/>
    <x v="0"/>
    <n v="1.9476000000000002"/>
    <m/>
    <n v="1.9476000000000002"/>
    <n v="0.21639999999999993"/>
    <m/>
    <n v="0.4"/>
    <n v="0.5"/>
    <n v="0.1"/>
    <m/>
    <m/>
    <m/>
    <n v="0"/>
    <n v="0"/>
    <n v="0"/>
    <n v="4844.9579599999997"/>
    <m/>
    <m/>
  </r>
  <r>
    <s v="2.4.3.1.3"/>
    <s v="CMS M.60.10.000"/>
    <x v="2"/>
    <n v="34"/>
    <s v="CURVA"/>
    <n v="10"/>
    <x v="1"/>
    <s v="NÃO"/>
    <s v="NÃO"/>
    <x v="20"/>
    <x v="2"/>
    <s v="DISPOSIÇÃO DE REJEITOS LINHA DO CIRCUITO ARENOSO UNDER DO ESPESSADOR ES-142A-9801 PARA DISTRIBUIDOR DI-145A-9911"/>
    <m/>
    <m/>
    <m/>
    <s v="1450AA-T-70267_FL47"/>
    <n v="1"/>
    <s v="PÇ"/>
    <n v="0.59099999999999997"/>
    <n v="0.59099999999999997"/>
    <n v="2238.89"/>
    <n v="1323.1839899999998"/>
    <n v="0"/>
    <n v="0.9"/>
    <n v="0.1"/>
    <n v="1"/>
    <n v="1"/>
    <x v="0"/>
    <n v="0.53190000000000004"/>
    <m/>
    <n v="0.53190000000000004"/>
    <n v="5.909999999999993E-2"/>
    <m/>
    <n v="0.4"/>
    <n v="0.5"/>
    <n v="0.1"/>
    <m/>
    <m/>
    <m/>
    <n v="0"/>
    <n v="0"/>
    <n v="0"/>
    <n v="1323.1839899999998"/>
    <m/>
    <m/>
  </r>
  <r>
    <s v="2.4.3.1.3"/>
    <s v="CMS M.60.10.000"/>
    <x v="2"/>
    <n v="35"/>
    <s v="CURVA"/>
    <n v="10"/>
    <x v="1"/>
    <s v="NÃO"/>
    <s v="NÃO"/>
    <x v="20"/>
    <x v="2"/>
    <s v="DISPOSIÇÃO DE REJEITOS LINHA DO CIRCUITO ARENOSO UNDER DO ESPESSADOR ES-142A-9801 PARA DISTRIBUIDOR DI-145A-9911"/>
    <m/>
    <m/>
    <m/>
    <s v="1450AA-T-70267_FL48"/>
    <n v="2"/>
    <s v="PÇ"/>
    <n v="0.61199999999999999"/>
    <n v="1.224"/>
    <n v="2238.89"/>
    <n v="2740.4013599999998"/>
    <n v="0"/>
    <n v="0.9"/>
    <n v="0.1"/>
    <n v="1"/>
    <n v="1"/>
    <x v="0"/>
    <n v="1.1015999999999999"/>
    <m/>
    <n v="1.1015999999999999"/>
    <n v="0.12240000000000006"/>
    <m/>
    <n v="0.4"/>
    <n v="0.5"/>
    <n v="0.1"/>
    <m/>
    <m/>
    <m/>
    <n v="0"/>
    <n v="0"/>
    <n v="0"/>
    <n v="2740.4013599999998"/>
    <m/>
    <m/>
  </r>
  <r>
    <s v="2.4.3.1.3"/>
    <s v="CMS M.60.10.000"/>
    <x v="2"/>
    <n v="36"/>
    <s v="CURVA"/>
    <n v="10"/>
    <x v="1"/>
    <s v="NÃO"/>
    <s v="NÃO"/>
    <x v="20"/>
    <x v="2"/>
    <s v="DISPOSIÇÃO DE REJEITOS LINHA DO CIRCUITO ARENOSO UNDER DO ESPESSADOR ES-142A-9801 PARA DISTRIBUIDOR DI-145A-9911"/>
    <m/>
    <m/>
    <m/>
    <s v="1450AA-T-70267_FL49"/>
    <n v="2"/>
    <s v="PÇ"/>
    <n v="0.65100000000000002"/>
    <n v="1.302"/>
    <n v="2238.89"/>
    <n v="2915.03478"/>
    <n v="0"/>
    <n v="0.9"/>
    <n v="0.1"/>
    <n v="1"/>
    <n v="1"/>
    <x v="0"/>
    <n v="1.1718000000000002"/>
    <m/>
    <n v="1.1718000000000002"/>
    <n v="0.13019999999999987"/>
    <m/>
    <n v="0.4"/>
    <n v="0.5"/>
    <n v="0.1"/>
    <m/>
    <m/>
    <m/>
    <n v="0"/>
    <n v="0"/>
    <n v="0"/>
    <n v="2915.03478"/>
    <m/>
    <m/>
  </r>
  <r>
    <s v="2.4.3.1.3"/>
    <s v="CMS M.60.10.000"/>
    <x v="2"/>
    <n v="37"/>
    <s v="CURVA"/>
    <n v="10"/>
    <x v="1"/>
    <s v="NÃO"/>
    <s v="NÃO"/>
    <x v="20"/>
    <x v="2"/>
    <s v="DISPOSIÇÃO DE REJEITOS LINHA DO CIRCUITO ARENOSO UNDER DO ESPESSADOR ES-142A-9801 PARA DISTRIBUIDOR DI-145A-9911"/>
    <m/>
    <m/>
    <m/>
    <s v="1450AA-T-70267_FL50"/>
    <n v="1"/>
    <s v="PÇ"/>
    <n v="0.68300000000000005"/>
    <n v="0.68300000000000005"/>
    <n v="2238.89"/>
    <n v="1529.1618700000001"/>
    <n v="0"/>
    <n v="0.9"/>
    <n v="0.1"/>
    <n v="1"/>
    <n v="1"/>
    <x v="0"/>
    <n v="0.61470000000000002"/>
    <m/>
    <n v="0.61470000000000002"/>
    <n v="6.8300000000000027E-2"/>
    <m/>
    <n v="0.4"/>
    <n v="0.5"/>
    <n v="0.1"/>
    <m/>
    <m/>
    <m/>
    <n v="0"/>
    <n v="0"/>
    <n v="0"/>
    <n v="1529.1618700000001"/>
    <m/>
    <m/>
  </r>
  <r>
    <s v="2.4.3.1.3"/>
    <s v="CMS M.60.10.000"/>
    <x v="2"/>
    <n v="38"/>
    <s v="CURVA"/>
    <n v="10"/>
    <x v="1"/>
    <s v="NÃO"/>
    <s v="NÃO"/>
    <x v="20"/>
    <x v="2"/>
    <s v="DISPOSIÇÃO DE REJEITOS LINHA DO CIRCUITO ARENOSO UNDER DO ESPESSADOR ES-142A-9801 PARA DISTRIBUIDOR DI-145A-9911"/>
    <m/>
    <m/>
    <m/>
    <s v="1450AA-T-70267_FL51"/>
    <n v="1"/>
    <s v="PÇ"/>
    <n v="0.79900000000000004"/>
    <n v="0.79900000000000004"/>
    <n v="2238.89"/>
    <n v="1788.87311"/>
    <n v="0"/>
    <n v="0.9"/>
    <n v="0.1"/>
    <n v="1"/>
    <n v="1"/>
    <x v="0"/>
    <n v="0.71910000000000007"/>
    <m/>
    <n v="0.71910000000000007"/>
    <n v="7.9899999999999971E-2"/>
    <m/>
    <n v="0.4"/>
    <n v="0.5"/>
    <n v="0.1"/>
    <m/>
    <m/>
    <m/>
    <n v="0"/>
    <n v="0"/>
    <n v="0"/>
    <n v="1788.87311"/>
    <m/>
    <m/>
  </r>
  <r>
    <s v="2.4.3.1.3"/>
    <s v="CMS M.60.10.000"/>
    <x v="2"/>
    <n v="39"/>
    <s v="CURVA"/>
    <n v="10"/>
    <x v="1"/>
    <s v="NÃO"/>
    <s v="NÃO"/>
    <x v="20"/>
    <x v="2"/>
    <s v="DISPOSIÇÃO DE REJEITOS LINHA DO CIRCUITO ARENOSO UNDER DO ESPESSADOR ES-142A-9801 PARA DISTRIBUIDOR DI-145A-9911"/>
    <m/>
    <m/>
    <m/>
    <s v="1450AA-T-70267_FL52"/>
    <n v="1"/>
    <s v="PÇ"/>
    <n v="0.90300000000000002"/>
    <n v="0.90300000000000002"/>
    <n v="2238.89"/>
    <n v="2021.71767"/>
    <n v="0"/>
    <n v="0.9"/>
    <n v="0.1"/>
    <n v="1"/>
    <n v="1"/>
    <x v="0"/>
    <n v="0.81270000000000009"/>
    <m/>
    <n v="0.81270000000000009"/>
    <n v="9.0299999999999936E-2"/>
    <m/>
    <n v="0.4"/>
    <n v="0.5"/>
    <n v="0.1"/>
    <m/>
    <m/>
    <m/>
    <n v="0"/>
    <n v="0"/>
    <n v="0"/>
    <n v="2021.71767"/>
    <m/>
    <m/>
  </r>
  <r>
    <s v="2.4.3.1.3"/>
    <s v="CMS M.60.10.000"/>
    <x v="2"/>
    <n v="40"/>
    <s v="CURVA"/>
    <n v="10"/>
    <x v="1"/>
    <s v="NÃO"/>
    <s v="NÃO"/>
    <x v="20"/>
    <x v="2"/>
    <s v="DISPOSIÇÃO DE REJEITOS LINHA DO CIRCUITO ARENOSO UNDER DO ESPESSADOR ES-142A-9801 PARA DISTRIBUIDOR DI-145A-9911"/>
    <m/>
    <m/>
    <m/>
    <s v="1450AA-T-70267_FL53"/>
    <n v="1"/>
    <s v="PÇ"/>
    <n v="1.3759999999999999"/>
    <n v="1.3759999999999999"/>
    <n v="2238.89"/>
    <n v="3080.7126399999997"/>
    <n v="0"/>
    <n v="0.9"/>
    <n v="0.1"/>
    <n v="1"/>
    <n v="1"/>
    <x v="0"/>
    <n v="1.2383999999999999"/>
    <m/>
    <n v="1.2383999999999999"/>
    <n v="0.13759999999999994"/>
    <m/>
    <n v="0.4"/>
    <n v="0.5"/>
    <n v="0.1"/>
    <m/>
    <m/>
    <m/>
    <n v="0"/>
    <n v="0"/>
    <n v="0"/>
    <n v="3080.7126399999997"/>
    <m/>
    <m/>
  </r>
  <r>
    <s v="2.4.3.1.3"/>
    <s v="CMS M.60.10.000"/>
    <x v="2"/>
    <n v="41"/>
    <s v="DERIVAÇÃO "/>
    <n v="10"/>
    <x v="1"/>
    <s v="NÃO"/>
    <s v="NÃO"/>
    <x v="20"/>
    <x v="2"/>
    <s v="DISPOSIÇÃO DE REJEITOS LINHA DO CIRCUITO ARENOSO UNDER DO ESPESSADOR ES-142A-9801 PARA DISTRIBUIDOR DI-145A-9911"/>
    <m/>
    <m/>
    <m/>
    <s v="1450AA-T-70267_FL54"/>
    <n v="1"/>
    <s v="PÇ"/>
    <n v="2.0499999999999998"/>
    <n v="2.0499999999999998"/>
    <n v="2238.89"/>
    <n v="4589.7244999999994"/>
    <n v="0"/>
    <n v="0.9"/>
    <n v="0.1"/>
    <n v="1"/>
    <n v="1"/>
    <x v="0"/>
    <n v="1.845"/>
    <m/>
    <n v="1.845"/>
    <n v="0.20499999999999985"/>
    <m/>
    <n v="0.4"/>
    <n v="0.5"/>
    <n v="0.1"/>
    <m/>
    <m/>
    <m/>
    <n v="0"/>
    <n v="0"/>
    <n v="0"/>
    <n v="4589.7244999999994"/>
    <m/>
    <m/>
  </r>
  <r>
    <s v="2.4.3.1.3"/>
    <s v="CMS M.60.10.000"/>
    <x v="2"/>
    <n v="42"/>
    <s v="SPOOL"/>
    <n v="10"/>
    <x v="1"/>
    <s v="NÃO"/>
    <s v="NÃO"/>
    <x v="20"/>
    <x v="2"/>
    <s v="DISPOSIÇÃO DE REJEITOS LINHA DO CIRCUITO ARENOSO UNDER DO ESPESSADOR ES-142A-9801 PARA DISTRIBUIDOR DI-145A-9911"/>
    <m/>
    <m/>
    <m/>
    <s v="1450AA-T-70267_FL55"/>
    <n v="1"/>
    <s v="PÇ"/>
    <n v="1.39"/>
    <n v="1.39"/>
    <n v="2238.89"/>
    <n v="3112.0570999999995"/>
    <n v="0"/>
    <n v="0.9"/>
    <n v="0.1"/>
    <n v="1"/>
    <n v="1"/>
    <x v="0"/>
    <n v="1.2509999999999999"/>
    <m/>
    <n v="1.2509999999999999"/>
    <n v="0.13900000000000001"/>
    <m/>
    <n v="0.4"/>
    <n v="0.5"/>
    <n v="0.1"/>
    <m/>
    <m/>
    <m/>
    <n v="0"/>
    <n v="0"/>
    <n v="0"/>
    <n v="3112.0570999999995"/>
    <m/>
    <m/>
  </r>
  <r>
    <s v="2.4.3.1.3"/>
    <s v="CMS M.60.10.000"/>
    <x v="2"/>
    <n v="43"/>
    <s v="REDUÇÃO"/>
    <s v="12 X 10"/>
    <x v="1"/>
    <s v="NÃO"/>
    <s v="NÃO"/>
    <x v="20"/>
    <x v="2"/>
    <s v="DISPOSIÇÃO DE REJEITOS LINHA DO CIRCUITO ARENOSO UNDER DO ESPESSADOR ES-142A-9801 PARA DISTRIBUIDOR DI-145A-9911"/>
    <m/>
    <m/>
    <m/>
    <s v="1450AA-T-70267_FL56"/>
    <n v="1"/>
    <s v="PÇ"/>
    <n v="0.45300000000000001"/>
    <n v="0.45300000000000001"/>
    <n v="2238.89"/>
    <n v="1014.21717"/>
    <n v="0"/>
    <n v="0.9"/>
    <n v="0.1"/>
    <n v="1"/>
    <n v="1"/>
    <x v="0"/>
    <n v="0.40770000000000001"/>
    <m/>
    <n v="0.40770000000000001"/>
    <n v="4.5300000000000007E-2"/>
    <m/>
    <n v="0.4"/>
    <n v="0.5"/>
    <n v="0.1"/>
    <m/>
    <m/>
    <m/>
    <n v="0"/>
    <n v="0"/>
    <n v="0"/>
    <n v="1014.21717"/>
    <m/>
    <m/>
  </r>
  <r>
    <s v="2.4.3.1.1"/>
    <s v="CMS M.60.10.000"/>
    <x v="2"/>
    <n v="1"/>
    <s v="CURVA"/>
    <n v="6"/>
    <x v="1"/>
    <s v="NÃO"/>
    <s v="NÃO"/>
    <x v="21"/>
    <x v="3"/>
    <s v="DISPOSIÇÃO DE REJEITOS LINHA DO CIRCUITO ULTRAFINO DISTRIBUIDOR DI-145A-9904 PARA A PENEIRA PN-145A-9721"/>
    <m/>
    <m/>
    <m/>
    <s v="1450AA-T-70270_FL13"/>
    <n v="2"/>
    <s v="PÇ"/>
    <n v="0.46500000000000002"/>
    <n v="0.93"/>
    <n v="1169.77"/>
    <n v="1087.8860999999999"/>
    <n v="0"/>
    <n v="0.9"/>
    <n v="0.1"/>
    <n v="1"/>
    <n v="1"/>
    <x v="0"/>
    <n v="0.83700000000000008"/>
    <m/>
    <n v="0.83700000000000008"/>
    <n v="9.2999999999999972E-2"/>
    <m/>
    <n v="0.4"/>
    <n v="0.5"/>
    <n v="0.1"/>
    <m/>
    <m/>
    <m/>
    <n v="0"/>
    <n v="0"/>
    <n v="0"/>
    <n v="1087.8860999999999"/>
    <m/>
    <m/>
  </r>
  <r>
    <s v="2.4.3.1.1"/>
    <s v="CMS M.60.10.000"/>
    <x v="2"/>
    <n v="2"/>
    <s v="SPOOL"/>
    <n v="6"/>
    <x v="1"/>
    <s v="NÃO"/>
    <s v="NÃO"/>
    <x v="21"/>
    <x v="3"/>
    <s v="DISPOSIÇÃO DE REJEITOS LINHA DO CIRCUITO ULTRAFINO DISTRIBUIDOR DI-145A-9904 PARA A PENEIRA PN-145A-9721"/>
    <m/>
    <m/>
    <m/>
    <s v="1450AA-T-70270_FL15"/>
    <n v="1"/>
    <s v="PÇ"/>
    <n v="0.29599999999999999"/>
    <n v="0.29599999999999999"/>
    <n v="1169.77"/>
    <n v="346.25191999999998"/>
    <n v="0"/>
    <n v="0.9"/>
    <n v="0.1"/>
    <n v="1"/>
    <n v="1"/>
    <x v="0"/>
    <n v="0.26639999999999997"/>
    <m/>
    <n v="0.26639999999999997"/>
    <n v="2.9600000000000015E-2"/>
    <m/>
    <n v="0.4"/>
    <n v="0.5"/>
    <n v="0.1"/>
    <m/>
    <m/>
    <m/>
    <n v="0"/>
    <n v="0"/>
    <n v="0"/>
    <n v="346.25191999999998"/>
    <m/>
    <m/>
  </r>
  <r>
    <s v="2.4.3.1.1"/>
    <s v="CMS M.60.10.000"/>
    <x v="2"/>
    <n v="3"/>
    <s v="CURVA"/>
    <n v="6"/>
    <x v="1"/>
    <s v="NÃO"/>
    <s v="NÃO"/>
    <x v="21"/>
    <x v="3"/>
    <s v="DISPOSIÇÃO DE REJEITOS LINHA DO CIRCUITO ULTRAFINO DISTRIBUIDOR DI-145A-9904 PARA A PENEIRA PN-145A-9721"/>
    <m/>
    <m/>
    <m/>
    <s v="1450AA-T-70270_FL14"/>
    <n v="1"/>
    <s v="PÇ"/>
    <n v="0.48"/>
    <n v="0.48"/>
    <n v="1169.77"/>
    <n v="561.4896"/>
    <n v="0"/>
    <n v="0.9"/>
    <n v="0.1"/>
    <n v="1"/>
    <n v="1"/>
    <x v="0"/>
    <n v="0.432"/>
    <m/>
    <n v="0.432"/>
    <n v="4.7999999999999987E-2"/>
    <m/>
    <n v="0.4"/>
    <n v="0.5"/>
    <n v="0.1"/>
    <m/>
    <m/>
    <m/>
    <n v="0"/>
    <n v="0"/>
    <n v="0"/>
    <n v="561.4896"/>
    <m/>
    <m/>
  </r>
  <r>
    <s v="2.4.3.1.1"/>
    <s v="CMS M.60.10.000"/>
    <x v="2"/>
    <n v="4"/>
    <s v="SPOOL"/>
    <n v="6"/>
    <x v="2"/>
    <s v="NÃO"/>
    <s v="NÃO"/>
    <x v="21"/>
    <x v="3"/>
    <s v="DISPOSIÇÃO DE REJEITOS LINHA DO CIRCUITO ULTRAFINO DISTRIBUIDOR DI-145A-9904 PARA A PENEIRA PN-145A-9721"/>
    <m/>
    <m/>
    <m/>
    <s v="1450AA-T-70270_FL19"/>
    <n v="1"/>
    <s v="PÇ"/>
    <n v="0.35"/>
    <n v="0.35"/>
    <n v="1169.77"/>
    <n v="409.41949999999997"/>
    <n v="0"/>
    <n v="0.9"/>
    <n v="0.1"/>
    <n v="1"/>
    <n v="1"/>
    <x v="0"/>
    <n v="0.315"/>
    <m/>
    <n v="0.315"/>
    <n v="3.4999999999999976E-2"/>
    <m/>
    <n v="0.4"/>
    <n v="0.5"/>
    <n v="0.1"/>
    <m/>
    <m/>
    <m/>
    <n v="0"/>
    <n v="0"/>
    <n v="0"/>
    <n v="409.41949999999997"/>
    <m/>
    <m/>
  </r>
  <r>
    <s v="2.4.3.1.1"/>
    <s v="CMS M.60.10.000"/>
    <x v="2"/>
    <n v="5"/>
    <s v="CURVA"/>
    <n v="6"/>
    <x v="1"/>
    <s v="NÃO"/>
    <s v="NÃO"/>
    <x v="21"/>
    <x v="3"/>
    <s v="DISPOSIÇÃO DE REJEITOS LINHA DO CIRCUITO ULTRAFINO DISTRIBUIDOR DI-145A-9904 PARA A PENEIRA PN-145A-9721"/>
    <m/>
    <m/>
    <m/>
    <s v="1450AA-T-70270_FL11"/>
    <n v="1"/>
    <s v="PÇ"/>
    <n v="0.28999999999999998"/>
    <n v="0.28999999999999998"/>
    <n v="1169.77"/>
    <n v="339.23329999999999"/>
    <n v="0"/>
    <n v="0.9"/>
    <n v="0.1"/>
    <n v="1"/>
    <n v="1"/>
    <x v="0"/>
    <n v="0.26100000000000001"/>
    <m/>
    <n v="0.26100000000000001"/>
    <n v="2.899999999999997E-2"/>
    <m/>
    <n v="0.4"/>
    <n v="0.5"/>
    <n v="0.1"/>
    <m/>
    <m/>
    <m/>
    <n v="0"/>
    <n v="0"/>
    <n v="0"/>
    <n v="339.23329999999999"/>
    <m/>
    <m/>
  </r>
  <r>
    <s v="2.4.3.1.1"/>
    <s v="CMS M.60.10.000"/>
    <x v="2"/>
    <n v="6"/>
    <s v="SPOOL"/>
    <n v="6"/>
    <x v="1"/>
    <s v="NÃO"/>
    <s v="NÃO"/>
    <x v="21"/>
    <x v="3"/>
    <s v="DISPOSIÇÃO DE REJEITOS LINHA DO CIRCUITO ULTRAFINO DISTRIBUIDOR DI-145A-9904 PARA A PENEIRA PN-145A-9721"/>
    <m/>
    <m/>
    <m/>
    <s v="1450AA-T-70270_FL16"/>
    <n v="1"/>
    <s v="PÇ"/>
    <n v="0.63100000000000001"/>
    <n v="0.63100000000000001"/>
    <n v="1169.77"/>
    <n v="738.12486999999999"/>
    <n v="0"/>
    <n v="0.9"/>
    <n v="0.1"/>
    <n v="1"/>
    <n v="1"/>
    <x v="0"/>
    <n v="0.56790000000000007"/>
    <m/>
    <n v="0.56790000000000007"/>
    <n v="6.3099999999999934E-2"/>
    <m/>
    <n v="0.4"/>
    <n v="0.5"/>
    <n v="0.1"/>
    <m/>
    <m/>
    <m/>
    <n v="0"/>
    <n v="0"/>
    <n v="0"/>
    <n v="738.12486999999999"/>
    <m/>
    <m/>
  </r>
  <r>
    <s v="2.4.3.1.1"/>
    <s v="CMS M.60.10.000"/>
    <x v="2"/>
    <n v="7"/>
    <s v="CURVA"/>
    <n v="6"/>
    <x v="1"/>
    <s v="NÃO"/>
    <s v="NÃO"/>
    <x v="21"/>
    <x v="3"/>
    <s v="DISPOSIÇÃO DE REJEITOS LINHA DO CIRCUITO ULTRAFINO DISTRIBUIDOR DI-145A-9904 PARA A PENEIRA PN-145A-9721"/>
    <m/>
    <m/>
    <m/>
    <s v="1450AA-T-70270_FL12"/>
    <n v="1"/>
    <s v="PÇ"/>
    <n v="0.315"/>
    <n v="0.315"/>
    <n v="1169.77"/>
    <n v="368.47755000000001"/>
    <n v="0"/>
    <n v="0.9"/>
    <n v="0.1"/>
    <n v="1"/>
    <n v="1"/>
    <x v="0"/>
    <n v="0.28350000000000003"/>
    <m/>
    <n v="0.28350000000000003"/>
    <n v="3.1499999999999972E-2"/>
    <m/>
    <n v="0.4"/>
    <n v="0.5"/>
    <n v="0.1"/>
    <m/>
    <m/>
    <m/>
    <n v="0"/>
    <n v="0"/>
    <n v="0"/>
    <n v="368.47755000000001"/>
    <m/>
    <m/>
  </r>
  <r>
    <s v="2.4.3.1.1"/>
    <s v="CMS M.60.10.000"/>
    <x v="2"/>
    <n v="8"/>
    <s v="SPOOL"/>
    <n v="6"/>
    <x v="1"/>
    <s v="NÃO"/>
    <s v="NÃO"/>
    <x v="21"/>
    <x v="3"/>
    <s v="DISPOSIÇÃO DE REJEITOS LINHA DO CIRCUITO ULTRAFINO DISTRIBUIDOR DI-145A-9904 PARA A PENEIRA PN-145A-9721"/>
    <m/>
    <m/>
    <m/>
    <s v="1450AA-T-70270_FL17"/>
    <n v="1"/>
    <s v="PÇ"/>
    <n v="1.5"/>
    <n v="1.5"/>
    <n v="1169.77"/>
    <n v="1754.655"/>
    <n v="0"/>
    <n v="0.9"/>
    <n v="0.1"/>
    <n v="1"/>
    <n v="1"/>
    <x v="0"/>
    <n v="1.35"/>
    <m/>
    <n v="1.35"/>
    <n v="0.14999999999999991"/>
    <m/>
    <n v="0.4"/>
    <n v="0.5"/>
    <n v="0.1"/>
    <m/>
    <m/>
    <m/>
    <n v="0"/>
    <n v="0"/>
    <n v="0"/>
    <n v="1754.655"/>
    <m/>
    <m/>
  </r>
  <r>
    <s v="2.4.3.1.1"/>
    <s v="CMS M.60.10.000"/>
    <x v="2"/>
    <n v="9"/>
    <s v="SPOOL"/>
    <n v="6"/>
    <x v="1"/>
    <s v="NÃO"/>
    <s v="NÃO"/>
    <x v="21"/>
    <x v="3"/>
    <s v="DISPOSIÇÃO DE REJEITOS LINHA DO CIRCUITO ULTRAFINO DISTRIBUIDOR DI-145A-9904 PARA A PENEIRA PN-145A-9721"/>
    <m/>
    <m/>
    <m/>
    <s v="1450AA-T-70270_FL18"/>
    <n v="1"/>
    <s v="PÇ"/>
    <n v="3"/>
    <n v="3"/>
    <n v="1169.77"/>
    <n v="3509.31"/>
    <n v="0"/>
    <n v="0.9"/>
    <n v="0.1"/>
    <n v="1"/>
    <n v="1"/>
    <x v="0"/>
    <n v="2.7"/>
    <m/>
    <n v="2.7"/>
    <n v="0.29999999999999982"/>
    <m/>
    <n v="0.4"/>
    <n v="0.5"/>
    <n v="0.1"/>
    <m/>
    <m/>
    <m/>
    <n v="0"/>
    <n v="0"/>
    <n v="0"/>
    <n v="3509.31"/>
    <m/>
    <m/>
  </r>
  <r>
    <s v="2.4.3.1.1"/>
    <s v="CMS M.60.10.000"/>
    <x v="2"/>
    <n v="10"/>
    <s v="SPOOL"/>
    <n v="6"/>
    <x v="2"/>
    <s v="NÃO"/>
    <s v="NÃO"/>
    <x v="21"/>
    <x v="3"/>
    <s v="DISPOSIÇÃO DE REJEITOS LINHA DO CIRCUITO ULTRAFINO DISTRIBUIDOR DI-145A-9904 PARA A PENEIRA PN-145A-9721"/>
    <m/>
    <m/>
    <m/>
    <s v="1450AA-T-70270_FL20"/>
    <n v="2"/>
    <s v="PÇ"/>
    <n v="0.45"/>
    <n v="0.9"/>
    <n v="1169.77"/>
    <n v="1052.7930000000001"/>
    <n v="0"/>
    <n v="0.9"/>
    <n v="0.1"/>
    <n v="1"/>
    <n v="1"/>
    <x v="0"/>
    <n v="0.81"/>
    <m/>
    <n v="0.81"/>
    <n v="8.9999999999999969E-2"/>
    <m/>
    <n v="0.4"/>
    <n v="0.5"/>
    <n v="0.1"/>
    <m/>
    <m/>
    <m/>
    <n v="0"/>
    <n v="0"/>
    <n v="0"/>
    <n v="1052.7930000000001"/>
    <m/>
    <m/>
  </r>
  <r>
    <n v="0"/>
    <s v="CMS M.60.10.000"/>
    <x v="2"/>
    <n v="11"/>
    <s v="SPOOL"/>
    <s v="6 X 4"/>
    <x v="1"/>
    <s v="NÃO"/>
    <s v="NÃO"/>
    <x v="21"/>
    <x v="3"/>
    <s v="DISPOSIÇÃO DE REJEITOS LINHA DO CIRCUITO ULTRAFINO DISTRIBUIDOR DI-145A-9904 PARA A PENEIRA PN-145A-9721"/>
    <m/>
    <m/>
    <m/>
    <s v="1450AA-T-70270_FL09"/>
    <n v="1"/>
    <s v="PÇ"/>
    <n v="2.1349999999999998"/>
    <n v="2.1349999999999998"/>
    <n v="0"/>
    <n v="0"/>
    <n v="0"/>
    <n v="0.9"/>
    <n v="0.1"/>
    <n v="1"/>
    <n v="1"/>
    <x v="0"/>
    <n v="1.9214999999999998"/>
    <m/>
    <n v="1.9214999999999998"/>
    <n v="0.21350000000000002"/>
    <m/>
    <n v="0.4"/>
    <n v="0.5"/>
    <n v="0.1"/>
    <m/>
    <m/>
    <m/>
    <n v="0"/>
    <n v="0"/>
    <n v="0"/>
    <n v="0"/>
    <m/>
    <m/>
  </r>
  <r>
    <n v="0"/>
    <s v="CMS M.60.10.000"/>
    <x v="2"/>
    <n v="12"/>
    <s v="FLANGE"/>
    <n v="4"/>
    <x v="1"/>
    <s v="NÃO"/>
    <s v="NÃO"/>
    <x v="21"/>
    <x v="3"/>
    <s v="DISPOSIÇÃO DE REJEITOS LINHA DO CIRCUITO ULTRAFINO DISTRIBUIDOR DI-145A-9904 PARA A PENEIRA PN-145A-9721"/>
    <m/>
    <m/>
    <m/>
    <s v="1450AA-T-70270_FL03"/>
    <n v="2"/>
    <s v="PÇ"/>
    <n v="0"/>
    <n v="0"/>
    <n v="0"/>
    <n v="0"/>
    <n v="0"/>
    <n v="0.9"/>
    <n v="0.1"/>
    <n v="1"/>
    <n v="1"/>
    <x v="0"/>
    <n v="0"/>
    <m/>
    <n v="0"/>
    <n v="0"/>
    <m/>
    <n v="0.4"/>
    <n v="0.5"/>
    <n v="0.1"/>
    <m/>
    <m/>
    <m/>
    <n v="0"/>
    <n v="0"/>
    <n v="0"/>
    <n v="0"/>
    <m/>
    <m/>
  </r>
  <r>
    <s v="2.4.3.1.1"/>
    <s v="CMS M.60.10.000"/>
    <x v="2"/>
    <n v="1"/>
    <s v="SPOOL"/>
    <n v="6"/>
    <x v="1"/>
    <s v="NÃO"/>
    <s v="NÃO"/>
    <x v="22"/>
    <x v="3"/>
    <s v="DISPOSIÇÃO DE REJEITOS LINHA DO CIRCUITO ULTRAFINO DISTRIBUIDOR DI-145A-9904 PARA A PENEIRA PN-145A-9722"/>
    <m/>
    <m/>
    <m/>
    <s v="1450AA-T-70272_FL12"/>
    <n v="1"/>
    <s v="PÇ"/>
    <n v="0.2"/>
    <n v="0.2"/>
    <n v="1169.77"/>
    <n v="233.95400000000001"/>
    <n v="0"/>
    <n v="0.9"/>
    <n v="0.1"/>
    <n v="1"/>
    <n v="1"/>
    <x v="0"/>
    <n v="0.18000000000000002"/>
    <m/>
    <n v="0.18000000000000002"/>
    <n v="1.999999999999999E-2"/>
    <m/>
    <n v="0.4"/>
    <n v="0.5"/>
    <n v="0.1"/>
    <m/>
    <m/>
    <m/>
    <n v="0"/>
    <n v="0"/>
    <n v="0"/>
    <n v="233.95400000000001"/>
    <m/>
    <m/>
  </r>
  <r>
    <s v="2.4.3.1.1"/>
    <s v="CMS M.60.10.000"/>
    <x v="2"/>
    <n v="2"/>
    <s v="CURVA"/>
    <n v="6"/>
    <x v="1"/>
    <s v="NÃO"/>
    <s v="NÃO"/>
    <x v="22"/>
    <x v="3"/>
    <s v="DISPOSIÇÃO DE REJEITOS LINHA DO CIRCUITO ULTRAFINO DISTRIBUIDOR DI-145A-9904 PARA A PENEIRA PN-145A-9722"/>
    <m/>
    <m/>
    <m/>
    <s v="1450AA-T-70272_FL11"/>
    <n v="2"/>
    <s v="PÇ"/>
    <n v="0.46500000000000002"/>
    <n v="0.93"/>
    <n v="1169.77"/>
    <n v="1087.8860999999999"/>
    <n v="0"/>
    <n v="0.9"/>
    <n v="0.1"/>
    <n v="1"/>
    <n v="1"/>
    <x v="0"/>
    <n v="0.83700000000000008"/>
    <m/>
    <n v="0.83700000000000008"/>
    <n v="9.2999999999999972E-2"/>
    <m/>
    <n v="0.4"/>
    <n v="0.5"/>
    <n v="0.1"/>
    <m/>
    <m/>
    <m/>
    <n v="0"/>
    <n v="0"/>
    <n v="0"/>
    <n v="1087.8860999999999"/>
    <m/>
    <m/>
  </r>
  <r>
    <s v="2.4.3.1.1"/>
    <s v="CMS M.60.10.000"/>
    <x v="2"/>
    <n v="3"/>
    <s v="SPOOL"/>
    <n v="6"/>
    <x v="1"/>
    <s v="NÃO"/>
    <s v="NÃO"/>
    <x v="22"/>
    <x v="3"/>
    <s v="DISPOSIÇÃO DE REJEITOS LINHA DO CIRCUITO ULTRAFINO DISTRIBUIDOR DI-145A-9904 PARA A PENEIRA PN-145A-9722"/>
    <m/>
    <m/>
    <m/>
    <s v="1450AA-T-70272_FL13"/>
    <n v="1"/>
    <s v="PÇ"/>
    <n v="1.125"/>
    <n v="1.125"/>
    <n v="1169.77"/>
    <n v="1315.99125"/>
    <n v="0"/>
    <n v="0.9"/>
    <n v="0.1"/>
    <n v="1"/>
    <n v="1"/>
    <x v="0"/>
    <n v="1.0125"/>
    <m/>
    <n v="1.0125"/>
    <n v="0.11250000000000004"/>
    <m/>
    <n v="0.4"/>
    <n v="0.5"/>
    <n v="0.1"/>
    <m/>
    <m/>
    <m/>
    <n v="0"/>
    <n v="0"/>
    <n v="0"/>
    <n v="1315.99125"/>
    <m/>
    <m/>
  </r>
  <r>
    <s v="2.4.3.1.1"/>
    <s v="CMS M.60.10.000"/>
    <x v="2"/>
    <n v="4"/>
    <s v="SPOOL"/>
    <n v="6"/>
    <x v="1"/>
    <s v="NÃO"/>
    <s v="NÃO"/>
    <x v="22"/>
    <x v="3"/>
    <s v="DISPOSIÇÃO DE REJEITOS LINHA DO CIRCUITO ULTRAFINO DISTRIBUIDOR DI-145A-9904 PARA A PENEIRA PN-145A-9722"/>
    <m/>
    <m/>
    <m/>
    <s v="1450AA-T-70272_FL14"/>
    <n v="1"/>
    <s v="PÇ"/>
    <n v="3.2"/>
    <n v="3.2"/>
    <n v="1169.77"/>
    <n v="3743.2640000000001"/>
    <n v="0"/>
    <n v="0.9"/>
    <n v="0.1"/>
    <n v="1"/>
    <n v="1"/>
    <x v="0"/>
    <n v="2.8800000000000003"/>
    <m/>
    <n v="2.8800000000000003"/>
    <n v="0.31999999999999984"/>
    <m/>
    <n v="0.4"/>
    <n v="0.5"/>
    <n v="0.1"/>
    <m/>
    <m/>
    <m/>
    <n v="0"/>
    <n v="0"/>
    <n v="0"/>
    <n v="3743.2640000000001"/>
    <m/>
    <m/>
  </r>
  <r>
    <s v="2.4.3.1.1"/>
    <s v="CMS M.60.10.000"/>
    <x v="2"/>
    <n v="5"/>
    <s v="SPOOL"/>
    <n v="6"/>
    <x v="2"/>
    <s v="NÃO"/>
    <s v="NÃO"/>
    <x v="22"/>
    <x v="3"/>
    <s v="DISPOSIÇÃO DE REJEITOS LINHA DO CIRCUITO ULTRAFINO DISTRIBUIDOR DI-145A-9904 PARA A PENEIRA PN-145A-9722"/>
    <m/>
    <m/>
    <m/>
    <s v="1450AA-T-70272_FL15"/>
    <n v="1"/>
    <s v="PÇ"/>
    <n v="0.42"/>
    <n v="0.42"/>
    <n v="1169.77"/>
    <n v="491.30339999999995"/>
    <n v="0"/>
    <n v="0.9"/>
    <n v="0.1"/>
    <n v="1"/>
    <n v="1"/>
    <x v="0"/>
    <n v="0.378"/>
    <m/>
    <n v="0.378"/>
    <n v="4.1999999999999982E-2"/>
    <m/>
    <n v="0.4"/>
    <n v="0.5"/>
    <n v="0.1"/>
    <m/>
    <m/>
    <m/>
    <n v="0"/>
    <n v="0"/>
    <n v="0"/>
    <n v="491.30339999999995"/>
    <m/>
    <m/>
  </r>
  <r>
    <n v="0"/>
    <s v="CMS M.60.10.000"/>
    <x v="2"/>
    <n v="6"/>
    <s v="SPOOL"/>
    <s v="6 X 4"/>
    <x v="1"/>
    <s v="NÃO"/>
    <s v="NÃO"/>
    <x v="22"/>
    <x v="3"/>
    <s v="DISPOSIÇÃO DE REJEITOS LINHA DO CIRCUITO ULTRAFINO DISTRIBUIDOR DI-145A-9904 PARA A PENEIRA PN-145A-9722"/>
    <m/>
    <m/>
    <m/>
    <s v="1450AA-T-70272_FL09"/>
    <n v="1"/>
    <s v="PÇ"/>
    <n v="2.1349999999999998"/>
    <n v="2.1349999999999998"/>
    <n v="0"/>
    <n v="0"/>
    <n v="0"/>
    <n v="0.9"/>
    <n v="0.1"/>
    <n v="1"/>
    <n v="1"/>
    <x v="0"/>
    <n v="1.9214999999999998"/>
    <m/>
    <n v="1.9214999999999998"/>
    <n v="0.21350000000000002"/>
    <m/>
    <n v="0.4"/>
    <n v="0.5"/>
    <n v="0.1"/>
    <m/>
    <m/>
    <m/>
    <n v="0"/>
    <n v="0"/>
    <n v="0"/>
    <n v="0"/>
    <m/>
    <m/>
  </r>
  <r>
    <n v="0"/>
    <s v="CMS M.60.10.000"/>
    <x v="2"/>
    <n v="7"/>
    <s v="FLANGE"/>
    <n v="4"/>
    <x v="1"/>
    <s v="NÃO"/>
    <s v="NÃO"/>
    <x v="22"/>
    <x v="3"/>
    <s v="DISPOSIÇÃO DE REJEITOS LINHA DO CIRCUITO ULTRAFINO DISTRIBUIDOR DI-145A-9904 PARA A PENEIRA PN-145A-9722"/>
    <m/>
    <m/>
    <m/>
    <s v="1450AA-T-70272_FL03"/>
    <n v="2"/>
    <s v="PÇ"/>
    <n v="0"/>
    <n v="0"/>
    <n v="0"/>
    <n v="0"/>
    <n v="0"/>
    <n v="0.9"/>
    <n v="0.1"/>
    <n v="1"/>
    <n v="1"/>
    <x v="0"/>
    <n v="0"/>
    <m/>
    <n v="0"/>
    <n v="0"/>
    <m/>
    <n v="0.4"/>
    <n v="0.5"/>
    <n v="0.1"/>
    <m/>
    <m/>
    <m/>
    <n v="0"/>
    <n v="0"/>
    <n v="0"/>
    <n v="0"/>
    <m/>
    <m/>
  </r>
  <r>
    <s v="2.4.3.1.1"/>
    <s v="CMS M.60.10.000"/>
    <x v="2"/>
    <n v="1"/>
    <s v="CURVA"/>
    <n v="6"/>
    <x v="1"/>
    <s v="NÃO"/>
    <s v="NÃO"/>
    <x v="23"/>
    <x v="3"/>
    <s v="DISPOSIÇÃO DE REJEITOS LINHA DO CIRCUITO ULTRAFINO DISTRIBUIDOR DI-145A-9904 PARA A PENEIRA PN-145A-9723"/>
    <m/>
    <m/>
    <m/>
    <s v="1450AA-T-70274_FL12"/>
    <n v="2"/>
    <s v="PÇ"/>
    <n v="0.47"/>
    <n v="0.94"/>
    <n v="1169.77"/>
    <n v="1099.5837999999999"/>
    <n v="0"/>
    <n v="0.9"/>
    <n v="0.1"/>
    <n v="1"/>
    <n v="1"/>
    <x v="0"/>
    <n v="0.84599999999999997"/>
    <m/>
    <n v="0.84599999999999997"/>
    <n v="9.3999999999999972E-2"/>
    <m/>
    <n v="0.4"/>
    <n v="0.5"/>
    <n v="0.1"/>
    <m/>
    <m/>
    <m/>
    <n v="0"/>
    <n v="0"/>
    <n v="0"/>
    <n v="1099.5837999999999"/>
    <m/>
    <m/>
  </r>
  <r>
    <s v="2.4.3.1.1"/>
    <s v="CMS M.60.10.000"/>
    <x v="2"/>
    <n v="2"/>
    <s v="SPOOL"/>
    <n v="6"/>
    <x v="1"/>
    <s v="NÃO"/>
    <s v="NÃO"/>
    <x v="23"/>
    <x v="3"/>
    <s v="DISPOSIÇÃO DE REJEITOS LINHA DO CIRCUITO ULTRAFINO DISTRIBUIDOR DI-145A-9904 PARA A PENEIRA PN-145A-9723"/>
    <m/>
    <m/>
    <m/>
    <s v="1450AA-T-70274_FL16"/>
    <n v="1"/>
    <s v="PÇ"/>
    <n v="2.5"/>
    <n v="2.5"/>
    <n v="1169.77"/>
    <n v="2924.4250000000002"/>
    <n v="0"/>
    <n v="0.9"/>
    <n v="0.1"/>
    <n v="1"/>
    <n v="1"/>
    <x v="0"/>
    <n v="2.25"/>
    <m/>
    <n v="2.25"/>
    <n v="0.25"/>
    <m/>
    <n v="0.4"/>
    <n v="0.5"/>
    <n v="0.1"/>
    <m/>
    <m/>
    <m/>
    <n v="0"/>
    <n v="0"/>
    <n v="0"/>
    <n v="2924.4250000000002"/>
    <m/>
    <m/>
  </r>
  <r>
    <s v="2.4.3.1.1"/>
    <s v="CMS M.60.10.000"/>
    <x v="2"/>
    <n v="3"/>
    <s v="SPOOL"/>
    <n v="6"/>
    <x v="2"/>
    <s v="NÃO"/>
    <s v="NÃO"/>
    <x v="23"/>
    <x v="3"/>
    <s v="DISPOSIÇÃO DE REJEITOS LINHA DO CIRCUITO ULTRAFINO DISTRIBUIDOR DI-145A-9904 PARA A PENEIRA PN-145A-9723"/>
    <m/>
    <m/>
    <m/>
    <s v="1450AA-T-70274_FL17"/>
    <n v="2"/>
    <s v="PÇ"/>
    <n v="0.4"/>
    <n v="0.8"/>
    <n v="1169.77"/>
    <n v="935.81600000000003"/>
    <n v="0"/>
    <n v="0.9"/>
    <n v="0.1"/>
    <n v="1"/>
    <n v="1"/>
    <x v="0"/>
    <n v="0.72000000000000008"/>
    <m/>
    <n v="0.72000000000000008"/>
    <n v="7.999999999999996E-2"/>
    <m/>
    <n v="0.4"/>
    <n v="0.5"/>
    <n v="0.1"/>
    <m/>
    <m/>
    <m/>
    <n v="0"/>
    <n v="0"/>
    <n v="0"/>
    <n v="935.81600000000003"/>
    <m/>
    <m/>
  </r>
  <r>
    <s v="2.4.3.1.1"/>
    <s v="CMS M.60.10.000"/>
    <x v="2"/>
    <n v="4"/>
    <s v="SPOOL"/>
    <n v="6"/>
    <x v="1"/>
    <s v="NÃO"/>
    <s v="NÃO"/>
    <x v="23"/>
    <x v="3"/>
    <s v="DISPOSIÇÃO DE REJEITOS LINHA DO CIRCUITO ULTRAFINO DISTRIBUIDOR DI-145A-9904 PARA A PENEIRA PN-145A-9723"/>
    <m/>
    <m/>
    <m/>
    <s v="1450AA-T-70274_FL13"/>
    <n v="1"/>
    <s v="PÇ"/>
    <n v="0.96399999999999997"/>
    <n v="0.96399999999999997"/>
    <n v="1169.77"/>
    <n v="1127.6582799999999"/>
    <n v="0"/>
    <n v="0.9"/>
    <n v="0.1"/>
    <n v="1"/>
    <n v="1"/>
    <x v="0"/>
    <n v="0.86760000000000004"/>
    <m/>
    <n v="0.86760000000000004"/>
    <n v="9.639999999999993E-2"/>
    <m/>
    <n v="0.4"/>
    <n v="0.5"/>
    <n v="0.1"/>
    <m/>
    <m/>
    <m/>
    <n v="0"/>
    <n v="0"/>
    <n v="0"/>
    <n v="1127.6582799999999"/>
    <m/>
    <m/>
  </r>
  <r>
    <s v="2.4.3.1.1"/>
    <s v="CMS M.60.10.000"/>
    <x v="2"/>
    <n v="5"/>
    <s v="CURVA"/>
    <n v="6"/>
    <x v="1"/>
    <s v="NÃO"/>
    <s v="NÃO"/>
    <x v="23"/>
    <x v="3"/>
    <s v="DISPOSIÇÃO DE REJEITOS LINHA DO CIRCUITO ULTRAFINO DISTRIBUIDOR DI-145A-9904 PARA A PENEIRA PN-145A-9723"/>
    <m/>
    <m/>
    <m/>
    <s v="1450AA-T-70274_FL11"/>
    <n v="2"/>
    <s v="PÇ"/>
    <n v="0.435"/>
    <n v="0.87"/>
    <n v="1169.77"/>
    <n v="1017.6999"/>
    <n v="0"/>
    <n v="0.9"/>
    <n v="0.1"/>
    <m/>
    <m/>
    <x v="0"/>
    <n v="0"/>
    <m/>
    <n v="0"/>
    <n v="0.87"/>
    <m/>
    <n v="0.4"/>
    <n v="0.5"/>
    <n v="0.1"/>
    <m/>
    <m/>
    <m/>
    <n v="0"/>
    <n v="0"/>
    <n v="0"/>
    <n v="1017.6999"/>
    <m/>
    <m/>
  </r>
  <r>
    <s v="2.4.3.1.1"/>
    <s v="CMS M.60.10.000"/>
    <x v="2"/>
    <n v="6"/>
    <s v="SPOOL"/>
    <n v="6"/>
    <x v="1"/>
    <s v="NÃO"/>
    <s v="NÃO"/>
    <x v="23"/>
    <x v="3"/>
    <s v="DISPOSIÇÃO DE REJEITOS LINHA DO CIRCUITO ULTRAFINO DISTRIBUIDOR DI-145A-9904 PARA A PENEIRA PN-145A-9723"/>
    <m/>
    <m/>
    <m/>
    <s v="1450AA-T-70274_FL15"/>
    <n v="1"/>
    <s v="PÇ"/>
    <n v="2.3050000000000002"/>
    <n v="2.3050000000000002"/>
    <n v="1169.77"/>
    <n v="2696.3198500000003"/>
    <n v="0"/>
    <n v="0.9"/>
    <n v="0.1"/>
    <m/>
    <m/>
    <x v="0"/>
    <n v="0"/>
    <m/>
    <n v="0"/>
    <n v="2.3050000000000002"/>
    <m/>
    <n v="0.4"/>
    <n v="0.5"/>
    <n v="0.1"/>
    <m/>
    <m/>
    <m/>
    <n v="0"/>
    <n v="0"/>
    <n v="0"/>
    <n v="2696.3198500000003"/>
    <m/>
    <m/>
  </r>
  <r>
    <s v="2.4.3.1.1"/>
    <s v="CMS M.60.10.000"/>
    <x v="2"/>
    <n v="7"/>
    <s v="SPOOL"/>
    <n v="6"/>
    <x v="1"/>
    <s v="NÃO"/>
    <s v="NÃO"/>
    <x v="23"/>
    <x v="3"/>
    <s v="DISPOSIÇÃO DE REJEITOS LINHA DO CIRCUITO ULTRAFINO DISTRIBUIDOR DI-145A-9904 PARA A PENEIRA PN-145A-9723"/>
    <m/>
    <m/>
    <m/>
    <s v="1450AA-T-70274_FL14"/>
    <n v="1"/>
    <s v="PÇ"/>
    <n v="1.5"/>
    <n v="1.5"/>
    <n v="1169.77"/>
    <n v="1754.655"/>
    <n v="0"/>
    <n v="0.9"/>
    <n v="0.1"/>
    <m/>
    <m/>
    <x v="0"/>
    <n v="0"/>
    <m/>
    <n v="0"/>
    <n v="1.5"/>
    <m/>
    <n v="0.4"/>
    <n v="0.5"/>
    <n v="0.1"/>
    <m/>
    <m/>
    <m/>
    <n v="0"/>
    <n v="0"/>
    <n v="0"/>
    <n v="1754.655"/>
    <m/>
    <m/>
  </r>
  <r>
    <n v="0"/>
    <s v="CMS M.60.10.000"/>
    <x v="2"/>
    <n v="8"/>
    <s v="SPOOL"/>
    <s v="6 X 4"/>
    <x v="1"/>
    <s v="NÃO"/>
    <s v="NÃO"/>
    <x v="23"/>
    <x v="3"/>
    <s v="DISPOSIÇÃO DE REJEITOS LINHA DO CIRCUITO ULTRAFINO DISTRIBUIDOR DI-145A-9904 PARA A PENEIRA PN-145A-9723"/>
    <m/>
    <m/>
    <m/>
    <s v="1450AA-T-70274_FL09"/>
    <n v="1"/>
    <s v="PÇ"/>
    <n v="2.1349999999999998"/>
    <n v="2.1349999999999998"/>
    <n v="0"/>
    <n v="0"/>
    <n v="0"/>
    <n v="0.9"/>
    <n v="0.1"/>
    <m/>
    <m/>
    <x v="0"/>
    <n v="0"/>
    <m/>
    <n v="0"/>
    <n v="2.1349999999999998"/>
    <m/>
    <n v="0.4"/>
    <n v="0.5"/>
    <n v="0.1"/>
    <m/>
    <m/>
    <m/>
    <n v="0"/>
    <n v="0"/>
    <n v="0"/>
    <n v="0"/>
    <m/>
    <m/>
  </r>
  <r>
    <n v="0"/>
    <s v="CMS M.60.10.000"/>
    <x v="2"/>
    <n v="9"/>
    <s v="FLANGE"/>
    <n v="4"/>
    <x v="1"/>
    <s v="NÃO"/>
    <s v="NÃO"/>
    <x v="23"/>
    <x v="3"/>
    <s v="DISPOSIÇÃO DE REJEITOS LINHA DO CIRCUITO ULTRAFINO DISTRIBUIDOR DI-145A-9904 PARA A PENEIRA PN-145A-9723"/>
    <m/>
    <m/>
    <m/>
    <s v="1450AA-T-70274_FL03"/>
    <n v="2"/>
    <s v="PÇ"/>
    <n v="0"/>
    <n v="0"/>
    <n v="0"/>
    <n v="0"/>
    <n v="0"/>
    <n v="0.9"/>
    <n v="0.1"/>
    <m/>
    <m/>
    <x v="0"/>
    <n v="0"/>
    <m/>
    <n v="0"/>
    <n v="0"/>
    <m/>
    <n v="0.4"/>
    <n v="0.5"/>
    <n v="0.1"/>
    <m/>
    <m/>
    <m/>
    <n v="0"/>
    <n v="0"/>
    <n v="0"/>
    <n v="0"/>
    <m/>
    <m/>
  </r>
  <r>
    <s v="2.4.3.1.1"/>
    <s v="CMS M.60.10.000"/>
    <x v="2"/>
    <n v="1"/>
    <s v="CURVA"/>
    <n v="6"/>
    <x v="1"/>
    <s v="NÃO"/>
    <s v="NÃO"/>
    <x v="24"/>
    <x v="3"/>
    <s v="DISPOSIÇÃO DE REJEITOS LINHA DO CIRCUITO ULTRAFINO DISTRIBUIDOR DI-145A-9904 PARA A PENEIRA PN-145A-9701"/>
    <m/>
    <m/>
    <m/>
    <s v="1450AA-T-70276_FL16"/>
    <n v="2"/>
    <s v="PÇ"/>
    <n v="0.46500000000000002"/>
    <n v="0.93"/>
    <n v="1169.77"/>
    <n v="1087.8860999999999"/>
    <n v="0"/>
    <n v="0.9"/>
    <n v="0.1"/>
    <m/>
    <m/>
    <x v="0"/>
    <n v="0"/>
    <m/>
    <n v="0"/>
    <n v="0.93"/>
    <m/>
    <n v="0.4"/>
    <n v="0.5"/>
    <n v="0.1"/>
    <m/>
    <m/>
    <m/>
    <n v="0"/>
    <n v="0"/>
    <n v="0"/>
    <n v="1087.8860999999999"/>
    <m/>
    <m/>
  </r>
  <r>
    <s v="2.4.3.1.1"/>
    <s v="CMS M.60.10.000"/>
    <x v="2"/>
    <n v="2"/>
    <s v="SPOOL"/>
    <n v="6"/>
    <x v="1"/>
    <s v="NÃO"/>
    <s v="NÃO"/>
    <x v="24"/>
    <x v="3"/>
    <s v="DISPOSIÇÃO DE REJEITOS LINHA DO CIRCUITO ULTRAFINO DISTRIBUIDOR DI-145A-9904 PARA A PENEIRA PN-145A-9701"/>
    <m/>
    <m/>
    <m/>
    <s v="1450AA-T-70276_FL17"/>
    <n v="1"/>
    <s v="PÇ"/>
    <n v="0.28100000000000003"/>
    <n v="0.28100000000000003"/>
    <n v="1169.77"/>
    <n v="328.70537000000002"/>
    <n v="0"/>
    <n v="0.9"/>
    <n v="0.1"/>
    <m/>
    <m/>
    <x v="0"/>
    <n v="0"/>
    <m/>
    <n v="0"/>
    <n v="0.28100000000000003"/>
    <m/>
    <n v="0.4"/>
    <n v="0.5"/>
    <n v="0.1"/>
    <m/>
    <m/>
    <m/>
    <n v="0"/>
    <n v="0"/>
    <n v="0"/>
    <n v="328.70537000000002"/>
    <m/>
    <m/>
  </r>
  <r>
    <s v="2.4.3.1.1"/>
    <s v="CMS M.60.10.000"/>
    <x v="2"/>
    <n v="3"/>
    <s v="CURVA"/>
    <n v="6"/>
    <x v="1"/>
    <s v="NÃO"/>
    <s v="NÃO"/>
    <x v="24"/>
    <x v="3"/>
    <s v="DISPOSIÇÃO DE REJEITOS LINHA DO CIRCUITO ULTRAFINO DISTRIBUIDOR DI-145A-9904 PARA A PENEIRA PN-145A-9701"/>
    <m/>
    <m/>
    <m/>
    <s v="1450AA-T-70276_FL13"/>
    <n v="1"/>
    <s v="PÇ"/>
    <n v="0.42"/>
    <n v="0.42"/>
    <n v="1169.77"/>
    <n v="491.30339999999995"/>
    <n v="0"/>
    <n v="0.9"/>
    <n v="0.1"/>
    <m/>
    <m/>
    <x v="0"/>
    <n v="0"/>
    <m/>
    <n v="0"/>
    <n v="0.42"/>
    <m/>
    <n v="0.4"/>
    <n v="0.5"/>
    <n v="0.1"/>
    <m/>
    <m/>
    <m/>
    <n v="0"/>
    <n v="0"/>
    <n v="0"/>
    <n v="491.30339999999995"/>
    <m/>
    <m/>
  </r>
  <r>
    <s v="2.4.3.1.1"/>
    <s v="CMS M.60.10.000"/>
    <x v="2"/>
    <n v="4"/>
    <s v="SPOOL"/>
    <n v="6"/>
    <x v="1"/>
    <s v="NÃO"/>
    <s v="NÃO"/>
    <x v="24"/>
    <x v="3"/>
    <s v="DISPOSIÇÃO DE REJEITOS LINHA DO CIRCUITO ULTRAFINO DISTRIBUIDOR DI-145A-9904 PARA A PENEIRA PN-145A-9701"/>
    <m/>
    <m/>
    <m/>
    <s v="1450AA-T-70276_FL19"/>
    <n v="1"/>
    <s v="PÇ"/>
    <n v="1.4"/>
    <n v="1.4"/>
    <n v="1169.77"/>
    <n v="1637.6779999999999"/>
    <n v="0"/>
    <n v="0.9"/>
    <n v="0.1"/>
    <m/>
    <m/>
    <x v="0"/>
    <n v="0"/>
    <m/>
    <n v="0"/>
    <n v="1.4"/>
    <m/>
    <n v="0.4"/>
    <n v="0.5"/>
    <n v="0.1"/>
    <m/>
    <m/>
    <m/>
    <n v="0"/>
    <n v="0"/>
    <n v="0"/>
    <n v="1637.6779999999999"/>
    <m/>
    <m/>
  </r>
  <r>
    <s v="2.4.3.1.1"/>
    <s v="CMS M.60.10.000"/>
    <x v="2"/>
    <n v="5"/>
    <s v="SPOOL"/>
    <n v="6"/>
    <x v="2"/>
    <s v="NÃO"/>
    <s v="NÃO"/>
    <x v="24"/>
    <x v="3"/>
    <s v="DISPOSIÇÃO DE REJEITOS LINHA DO CIRCUITO ULTRAFINO DISTRIBUIDOR DI-145A-9904 PARA A PENEIRA PN-145A-9701"/>
    <m/>
    <m/>
    <m/>
    <s v="1450AA-T-70276_FL23"/>
    <n v="2"/>
    <s v="PÇ"/>
    <n v="0.35"/>
    <n v="0.7"/>
    <n v="1169.77"/>
    <n v="818.83899999999994"/>
    <n v="0"/>
    <n v="0.9"/>
    <n v="0.1"/>
    <m/>
    <m/>
    <x v="0"/>
    <n v="0"/>
    <m/>
    <n v="0"/>
    <n v="0.7"/>
    <m/>
    <n v="0.4"/>
    <n v="0.5"/>
    <n v="0.1"/>
    <m/>
    <m/>
    <m/>
    <n v="0"/>
    <n v="0"/>
    <n v="0"/>
    <n v="818.83899999999994"/>
    <m/>
    <m/>
  </r>
  <r>
    <s v="2.4.3.1.1"/>
    <s v="CMS M.60.10.000"/>
    <x v="2"/>
    <n v="6"/>
    <s v="CURVA"/>
    <n v="6"/>
    <x v="1"/>
    <s v="NÃO"/>
    <s v="NÃO"/>
    <x v="24"/>
    <x v="3"/>
    <s v="DISPOSIÇÃO DE REJEITOS LINHA DO CIRCUITO ULTRAFINO DISTRIBUIDOR DI-145A-9904 PARA A PENEIRA PN-145A-9701"/>
    <m/>
    <m/>
    <m/>
    <s v="1450AA-T-70276_FL12"/>
    <n v="1"/>
    <s v="PÇ"/>
    <n v="0.32500000000000001"/>
    <n v="0.32500000000000001"/>
    <n v="1169.77"/>
    <n v="380.17525000000001"/>
    <n v="0"/>
    <n v="0.9"/>
    <n v="0.1"/>
    <m/>
    <m/>
    <x v="0"/>
    <n v="0"/>
    <m/>
    <n v="0"/>
    <n v="0.32500000000000001"/>
    <m/>
    <n v="0.4"/>
    <n v="0.5"/>
    <n v="0.1"/>
    <m/>
    <m/>
    <m/>
    <n v="0"/>
    <n v="0"/>
    <n v="0"/>
    <n v="380.17525000000001"/>
    <m/>
    <m/>
  </r>
  <r>
    <s v="2.4.3.1.1"/>
    <s v="CMS M.60.10.000"/>
    <x v="2"/>
    <n v="7"/>
    <s v="SPOOL"/>
    <n v="6"/>
    <x v="1"/>
    <s v="NÃO"/>
    <s v="NÃO"/>
    <x v="24"/>
    <x v="3"/>
    <s v="DISPOSIÇÃO DE REJEITOS LINHA DO CIRCUITO ULTRAFINO DISTRIBUIDOR DI-145A-9904 PARA A PENEIRA PN-145A-9701"/>
    <m/>
    <m/>
    <m/>
    <s v="1450AA-T-70276_FL21"/>
    <n v="1"/>
    <s v="PÇ"/>
    <n v="2.02"/>
    <n v="2.02"/>
    <n v="1169.77"/>
    <n v="2362.9353999999998"/>
    <n v="0"/>
    <n v="0.9"/>
    <n v="0.1"/>
    <m/>
    <m/>
    <x v="0"/>
    <n v="0"/>
    <m/>
    <n v="0"/>
    <n v="2.02"/>
    <m/>
    <n v="0.4"/>
    <n v="0.5"/>
    <n v="0.1"/>
    <m/>
    <m/>
    <m/>
    <n v="0"/>
    <n v="0"/>
    <n v="0"/>
    <n v="2362.9353999999998"/>
    <m/>
    <m/>
  </r>
  <r>
    <s v="2.4.3.1.1"/>
    <s v="CMS M.60.10.000"/>
    <x v="2"/>
    <n v="8"/>
    <s v="SPOOL"/>
    <n v="6"/>
    <x v="1"/>
    <s v="NÃO"/>
    <s v="NÃO"/>
    <x v="24"/>
    <x v="3"/>
    <s v="DISPOSIÇÃO DE REJEITOS LINHA DO CIRCUITO ULTRAFINO DISTRIBUIDOR DI-145A-9904 PARA A PENEIRA PN-145A-9701"/>
    <m/>
    <m/>
    <m/>
    <s v="1450AA-T-70276_FL22"/>
    <n v="2"/>
    <s v="PÇ"/>
    <n v="3"/>
    <n v="6"/>
    <n v="1169.77"/>
    <n v="7018.62"/>
    <n v="0"/>
    <n v="0.9"/>
    <n v="0.1"/>
    <m/>
    <m/>
    <x v="0"/>
    <n v="0"/>
    <m/>
    <n v="0"/>
    <n v="6"/>
    <m/>
    <n v="0.4"/>
    <n v="0.5"/>
    <n v="0.1"/>
    <m/>
    <m/>
    <m/>
    <n v="0"/>
    <n v="0"/>
    <n v="0"/>
    <n v="7018.62"/>
    <m/>
    <m/>
  </r>
  <r>
    <s v="2.4.3.1.1"/>
    <s v="CMS M.60.10.000"/>
    <x v="2"/>
    <n v="9"/>
    <s v="SPOOL"/>
    <n v="6"/>
    <x v="2"/>
    <s v="NÃO"/>
    <s v="NÃO"/>
    <x v="24"/>
    <x v="3"/>
    <s v="DISPOSIÇÃO DE REJEITOS LINHA DO CIRCUITO ULTRAFINO DISTRIBUIDOR DI-145A-9904 PARA A PENEIRA PN-145A-9701"/>
    <m/>
    <m/>
    <m/>
    <s v="1450AA-T-70276_FL24"/>
    <n v="1"/>
    <s v="PÇ"/>
    <n v="0.55000000000000004"/>
    <n v="0.55000000000000004"/>
    <n v="1169.77"/>
    <n v="643.37350000000004"/>
    <n v="0"/>
    <n v="0.9"/>
    <n v="0.1"/>
    <m/>
    <m/>
    <x v="0"/>
    <n v="0"/>
    <m/>
    <n v="0"/>
    <n v="0.55000000000000004"/>
    <m/>
    <n v="0.4"/>
    <n v="0.5"/>
    <n v="0.1"/>
    <m/>
    <m/>
    <m/>
    <n v="0"/>
    <n v="0"/>
    <n v="0"/>
    <n v="643.37350000000004"/>
    <m/>
    <m/>
  </r>
  <r>
    <s v="2.4.3.1.1"/>
    <s v="CMS M.60.10.000"/>
    <x v="2"/>
    <n v="10"/>
    <s v="CURVA"/>
    <n v="6"/>
    <x v="1"/>
    <s v="NÃO"/>
    <s v="NÃO"/>
    <x v="24"/>
    <x v="3"/>
    <s v="DISPOSIÇÃO DE REJEITOS LINHA DO CIRCUITO ULTRAFINO DISTRIBUIDOR DI-145A-9904 PARA A PENEIRA PN-145A-9701"/>
    <m/>
    <m/>
    <m/>
    <s v="1450AA-T-70276_FL15"/>
    <n v="1"/>
    <s v="PÇ"/>
    <n v="0.42"/>
    <n v="0.42"/>
    <n v="1169.77"/>
    <n v="491.30339999999995"/>
    <n v="0"/>
    <n v="0.9"/>
    <n v="0.1"/>
    <m/>
    <m/>
    <x v="0"/>
    <n v="0"/>
    <m/>
    <n v="0"/>
    <n v="0.42"/>
    <m/>
    <n v="0.4"/>
    <n v="0.5"/>
    <n v="0.1"/>
    <m/>
    <m/>
    <m/>
    <n v="0"/>
    <n v="0"/>
    <n v="0"/>
    <n v="491.30339999999995"/>
    <m/>
    <m/>
  </r>
  <r>
    <s v="2.4.3.1.1"/>
    <s v="CMS M.60.10.000"/>
    <x v="2"/>
    <n v="11"/>
    <s v="SPOOL"/>
    <n v="6"/>
    <x v="1"/>
    <s v="NÃO"/>
    <s v="NÃO"/>
    <x v="24"/>
    <x v="3"/>
    <s v="DISPOSIÇÃO DE REJEITOS LINHA DO CIRCUITO ULTRAFINO DISTRIBUIDOR DI-145A-9904 PARA A PENEIRA PN-145A-9701"/>
    <m/>
    <m/>
    <m/>
    <s v="1450AA-T-70276_FL20"/>
    <n v="1"/>
    <s v="PÇ"/>
    <n v="1.93"/>
    <n v="1.93"/>
    <n v="1169.77"/>
    <n v="2257.6560999999997"/>
    <n v="0"/>
    <n v="0.9"/>
    <n v="0.1"/>
    <m/>
    <m/>
    <x v="0"/>
    <n v="0"/>
    <m/>
    <n v="0"/>
    <n v="1.93"/>
    <m/>
    <n v="0.4"/>
    <n v="0.5"/>
    <n v="0.1"/>
    <m/>
    <m/>
    <m/>
    <n v="0"/>
    <n v="0"/>
    <n v="0"/>
    <n v="2257.6560999999997"/>
    <m/>
    <m/>
  </r>
  <r>
    <s v="2.4.3.1.1"/>
    <s v="CMS M.60.10.000"/>
    <x v="2"/>
    <n v="12"/>
    <s v="CURVA"/>
    <n v="6"/>
    <x v="1"/>
    <s v="NÃO"/>
    <s v="NÃO"/>
    <x v="24"/>
    <x v="3"/>
    <s v="DISPOSIÇÃO DE REJEITOS LINHA DO CIRCUITO ULTRAFINO DISTRIBUIDOR DI-145A-9904 PARA A PENEIRA PN-145A-9701"/>
    <m/>
    <m/>
    <m/>
    <s v="1450AA-T-70276_FL14"/>
    <n v="1"/>
    <s v="PÇ"/>
    <n v="0.51200000000000001"/>
    <n v="0.51200000000000001"/>
    <n v="1169.77"/>
    <n v="598.92223999999999"/>
    <n v="0"/>
    <n v="0.9"/>
    <n v="0.1"/>
    <m/>
    <m/>
    <x v="0"/>
    <n v="0"/>
    <m/>
    <n v="0"/>
    <n v="0.51200000000000001"/>
    <m/>
    <n v="0.4"/>
    <n v="0.5"/>
    <n v="0.1"/>
    <m/>
    <m/>
    <m/>
    <n v="0"/>
    <n v="0"/>
    <n v="0"/>
    <n v="598.92223999999999"/>
    <m/>
    <m/>
  </r>
  <r>
    <s v="2.4.3.1.1"/>
    <s v="CMS M.60.10.000"/>
    <x v="2"/>
    <n v="13"/>
    <s v="SPOOL"/>
    <n v="6"/>
    <x v="1"/>
    <s v="NÃO"/>
    <s v="NÃO"/>
    <x v="24"/>
    <x v="3"/>
    <s v="DISPOSIÇÃO DE REJEITOS LINHA DO CIRCUITO ULTRAFINO DISTRIBUIDOR DI-145A-9904 PARA A PENEIRA PN-145A-9701"/>
    <m/>
    <m/>
    <m/>
    <s v="1450AA-T-70276_FL18"/>
    <n v="1"/>
    <s v="PÇ"/>
    <n v="1.349"/>
    <n v="1.349"/>
    <n v="1169.77"/>
    <n v="1578.01973"/>
    <n v="0"/>
    <n v="0.9"/>
    <n v="0.1"/>
    <m/>
    <m/>
    <x v="0"/>
    <n v="0"/>
    <m/>
    <n v="0"/>
    <n v="1.349"/>
    <m/>
    <n v="0.4"/>
    <n v="0.5"/>
    <n v="0.1"/>
    <m/>
    <m/>
    <m/>
    <n v="0"/>
    <n v="0"/>
    <n v="0"/>
    <n v="1578.01973"/>
    <m/>
    <m/>
  </r>
  <r>
    <s v="2.4.3.1.1"/>
    <s v="CMS M.60.10.000"/>
    <x v="2"/>
    <n v="14"/>
    <s v="SPOOL"/>
    <n v="6"/>
    <x v="1"/>
    <s v="NÃO"/>
    <s v="NÃO"/>
    <x v="24"/>
    <x v="3"/>
    <s v="DISPOSIÇÃO DE REJEITOS LINHA DO CIRCUITO ULTRAFINO DISTRIBUIDOR DI-145A-9904 PARA A PENEIRA PN-145A-9701"/>
    <m/>
    <m/>
    <m/>
    <s v="1450AA-T-70276_FL11"/>
    <n v="1"/>
    <s v="PÇ"/>
    <n v="0.82"/>
    <n v="0.82"/>
    <n v="1169.77"/>
    <n v="959.21139999999991"/>
    <n v="0"/>
    <n v="0.9"/>
    <n v="0.1"/>
    <m/>
    <m/>
    <x v="0"/>
    <n v="0"/>
    <m/>
    <n v="0"/>
    <n v="0.82"/>
    <m/>
    <n v="0.4"/>
    <n v="0.5"/>
    <n v="0.1"/>
    <m/>
    <m/>
    <m/>
    <n v="0"/>
    <n v="0"/>
    <n v="0"/>
    <n v="959.21139999999991"/>
    <m/>
    <m/>
  </r>
  <r>
    <n v="0"/>
    <s v="CMS M.60.10.000"/>
    <x v="2"/>
    <n v="15"/>
    <s v="SPOOL"/>
    <s v="6 X 4"/>
    <x v="1"/>
    <s v="NÃO"/>
    <s v="NÃO"/>
    <x v="24"/>
    <x v="3"/>
    <s v="DISPOSIÇÃO DE REJEITOS LINHA DO CIRCUITO ULTRAFINO DISTRIBUIDOR DI-145A-9904 PARA A PENEIRA PN-145A-9701"/>
    <m/>
    <m/>
    <m/>
    <s v="1450AA-T-70276_FL09"/>
    <n v="1"/>
    <s v="PÇ"/>
    <n v="2.1349999999999998"/>
    <n v="2.1349999999999998"/>
    <n v="0"/>
    <n v="0"/>
    <n v="0"/>
    <n v="0.9"/>
    <n v="0.1"/>
    <m/>
    <m/>
    <x v="0"/>
    <n v="0"/>
    <m/>
    <n v="0"/>
    <n v="2.1349999999999998"/>
    <m/>
    <n v="0.4"/>
    <n v="0.5"/>
    <n v="0.1"/>
    <m/>
    <m/>
    <m/>
    <n v="0"/>
    <n v="0"/>
    <n v="0"/>
    <n v="0"/>
    <m/>
    <m/>
  </r>
  <r>
    <n v="0"/>
    <s v="CMS M.60.10.000"/>
    <x v="2"/>
    <n v="16"/>
    <s v="FLANGE"/>
    <n v="4"/>
    <x v="1"/>
    <s v="NÃO"/>
    <s v="NÃO"/>
    <x v="24"/>
    <x v="3"/>
    <s v="DISPOSIÇÃO DE REJEITOS LINHA DO CIRCUITO ULTRAFINO DISTRIBUIDOR DI-145A-9904 PARA A PENEIRA PN-145A-9701"/>
    <m/>
    <m/>
    <m/>
    <s v="1450AA-T-70276_FL03"/>
    <n v="2"/>
    <s v="PÇ"/>
    <n v="0"/>
    <n v="0"/>
    <n v="0"/>
    <n v="0"/>
    <n v="0"/>
    <n v="0.9"/>
    <n v="0.1"/>
    <m/>
    <m/>
    <x v="0"/>
    <n v="0"/>
    <m/>
    <n v="0"/>
    <n v="0"/>
    <m/>
    <n v="0.4"/>
    <n v="0.5"/>
    <n v="0.1"/>
    <m/>
    <m/>
    <m/>
    <n v="0"/>
    <n v="0"/>
    <n v="0"/>
    <n v="0"/>
    <m/>
    <m/>
  </r>
  <r>
    <s v="2.4.3.1.1"/>
    <s v="CMS M.60.10.000"/>
    <x v="2"/>
    <n v="1"/>
    <s v="CURVA"/>
    <n v="6"/>
    <x v="1"/>
    <s v="NÃO"/>
    <s v="NÃO"/>
    <x v="25"/>
    <x v="3"/>
    <s v="DISPOSIÇÃO DE REJEITOS LINHA DO CIRCUITO ULTRAFINO DISTRIBUIDOR DI-145A-9904 PARA A PENEIRA PN-145A-9702"/>
    <m/>
    <m/>
    <m/>
    <s v="1450AA-T-70278_FL14"/>
    <n v="2"/>
    <s v="PÇ"/>
    <n v="0.46"/>
    <n v="0.92"/>
    <n v="1169.77"/>
    <n v="1076.1884"/>
    <n v="0"/>
    <n v="0.9"/>
    <n v="0.1"/>
    <m/>
    <m/>
    <x v="0"/>
    <n v="0"/>
    <m/>
    <n v="0"/>
    <n v="0.92"/>
    <m/>
    <n v="0.4"/>
    <n v="0.5"/>
    <n v="0.1"/>
    <m/>
    <m/>
    <m/>
    <n v="0"/>
    <n v="0"/>
    <n v="0"/>
    <n v="1076.1884"/>
    <m/>
    <m/>
  </r>
  <r>
    <s v="2.4.3.1.1"/>
    <s v="CMS M.60.10.000"/>
    <x v="2"/>
    <n v="2"/>
    <s v="SPOOL"/>
    <n v="6"/>
    <x v="1"/>
    <s v="NÃO"/>
    <s v="NÃO"/>
    <x v="25"/>
    <x v="3"/>
    <s v="DISPOSIÇÃO DE REJEITOS LINHA DO CIRCUITO ULTRAFINO DISTRIBUIDOR DI-145A-9904 PARA A PENEIRA PN-145A-9702"/>
    <m/>
    <m/>
    <m/>
    <s v="1450AA-T-70278_FL15"/>
    <n v="1"/>
    <s v="PÇ"/>
    <n v="0.69"/>
    <n v="0.69"/>
    <n v="1169.77"/>
    <n v="807.14129999999989"/>
    <n v="0"/>
    <n v="0.9"/>
    <n v="0.1"/>
    <m/>
    <m/>
    <x v="0"/>
    <n v="0"/>
    <m/>
    <n v="0"/>
    <n v="0.69"/>
    <m/>
    <n v="0.4"/>
    <n v="0.5"/>
    <n v="0.1"/>
    <m/>
    <m/>
    <m/>
    <n v="0"/>
    <n v="0"/>
    <n v="0"/>
    <n v="807.14129999999989"/>
    <m/>
    <m/>
  </r>
  <r>
    <s v="2.4.3.1.1"/>
    <s v="CMS M.60.10.000"/>
    <x v="2"/>
    <n v="3"/>
    <s v="SPOOL"/>
    <n v="6"/>
    <x v="2"/>
    <s v="NÃO"/>
    <s v="NÃO"/>
    <x v="25"/>
    <x v="3"/>
    <s v="DISPOSIÇÃO DE REJEITOS LINHA DO CIRCUITO ULTRAFINO DISTRIBUIDOR DI-145A-9904 PARA A PENEIRA PN-145A-9702"/>
    <m/>
    <m/>
    <m/>
    <s v="1450AA-T-70278_FL19"/>
    <n v="2"/>
    <s v="PÇ"/>
    <n v="0.35"/>
    <n v="0.7"/>
    <n v="1169.77"/>
    <n v="818.83899999999994"/>
    <n v="0"/>
    <n v="0.9"/>
    <n v="0.1"/>
    <m/>
    <m/>
    <x v="0"/>
    <n v="0"/>
    <m/>
    <n v="0"/>
    <n v="0.7"/>
    <m/>
    <n v="0.4"/>
    <n v="0.5"/>
    <n v="0.1"/>
    <m/>
    <m/>
    <m/>
    <n v="0"/>
    <n v="0"/>
    <n v="0"/>
    <n v="818.83899999999994"/>
    <m/>
    <m/>
  </r>
  <r>
    <s v="2.4.3.1.1"/>
    <s v="CMS M.60.10.000"/>
    <x v="2"/>
    <n v="4"/>
    <s v="SPOOL"/>
    <n v="6"/>
    <x v="1"/>
    <s v="NÃO"/>
    <s v="NÃO"/>
    <x v="25"/>
    <x v="3"/>
    <s v="DISPOSIÇÃO DE REJEITOS LINHA DO CIRCUITO ULTRAFINO DISTRIBUIDOR DI-145A-9904 PARA A PENEIRA PN-145A-9702"/>
    <m/>
    <m/>
    <m/>
    <s v="1450AA-T-70278_FL18"/>
    <n v="2"/>
    <s v="PÇ"/>
    <n v="3.2"/>
    <n v="6.4"/>
    <n v="1169.77"/>
    <n v="7486.5280000000002"/>
    <n v="0"/>
    <n v="0.9"/>
    <n v="0.1"/>
    <m/>
    <m/>
    <x v="0"/>
    <n v="0"/>
    <m/>
    <n v="0"/>
    <n v="6.4"/>
    <m/>
    <n v="0.4"/>
    <n v="0.5"/>
    <n v="0.1"/>
    <m/>
    <m/>
    <m/>
    <n v="0"/>
    <n v="0"/>
    <n v="0"/>
    <n v="7486.5280000000002"/>
    <m/>
    <m/>
  </r>
  <r>
    <s v="2.4.3.1.1"/>
    <s v="CMS M.60.10.000"/>
    <x v="2"/>
    <n v="5"/>
    <s v="SPOOL"/>
    <n v="6"/>
    <x v="2"/>
    <s v="NÃO"/>
    <s v="NÃO"/>
    <x v="25"/>
    <x v="3"/>
    <s v="DISPOSIÇÃO DE REJEITOS LINHA DO CIRCUITO ULTRAFINO DISTRIBUIDOR DI-145A-9904 PARA A PENEIRA PN-145A-9702"/>
    <m/>
    <m/>
    <m/>
    <s v="1450AA-T-70278_FL20"/>
    <n v="1"/>
    <s v="PÇ"/>
    <n v="0.4"/>
    <n v="0.4"/>
    <n v="1169.77"/>
    <n v="467.90800000000002"/>
    <n v="0"/>
    <n v="0.9"/>
    <n v="0.1"/>
    <m/>
    <m/>
    <x v="0"/>
    <n v="0"/>
    <m/>
    <n v="0"/>
    <n v="0.4"/>
    <m/>
    <n v="0.4"/>
    <n v="0.5"/>
    <n v="0.1"/>
    <m/>
    <m/>
    <m/>
    <n v="0"/>
    <n v="0"/>
    <n v="0"/>
    <n v="467.90800000000002"/>
    <m/>
    <m/>
  </r>
  <r>
    <s v="2.4.3.1.1"/>
    <s v="CMS M.60.10.000"/>
    <x v="2"/>
    <n v="6"/>
    <s v="CURVA"/>
    <n v="6"/>
    <x v="1"/>
    <s v="NÃO"/>
    <s v="NÃO"/>
    <x v="25"/>
    <x v="3"/>
    <s v="DISPOSIÇÃO DE REJEITOS LINHA DO CIRCUITO ULTRAFINO DISTRIBUIDOR DI-145A-9904 PARA A PENEIRA PN-145A-9702"/>
    <m/>
    <m/>
    <m/>
    <s v="1450AA-T-70278_FL13"/>
    <n v="1"/>
    <s v="PÇ"/>
    <n v="0.42"/>
    <n v="0.42"/>
    <n v="1169.77"/>
    <n v="491.30339999999995"/>
    <n v="0"/>
    <n v="0.9"/>
    <n v="0.1"/>
    <m/>
    <m/>
    <x v="0"/>
    <n v="0"/>
    <m/>
    <n v="0"/>
    <n v="0.42"/>
    <m/>
    <n v="0.4"/>
    <n v="0.5"/>
    <n v="0.1"/>
    <m/>
    <m/>
    <m/>
    <n v="0"/>
    <n v="0"/>
    <n v="0"/>
    <n v="491.30339999999995"/>
    <m/>
    <m/>
  </r>
  <r>
    <s v="2.4.3.1.1"/>
    <s v="CMS M.60.10.000"/>
    <x v="2"/>
    <n v="7"/>
    <s v="SPOOL"/>
    <n v="6"/>
    <x v="1"/>
    <s v="NÃO"/>
    <s v="NÃO"/>
    <x v="25"/>
    <x v="3"/>
    <s v="DISPOSIÇÃO DE REJEITOS LINHA DO CIRCUITO ULTRAFINO DISTRIBUIDOR DI-145A-9904 PARA A PENEIRA PN-145A-9702"/>
    <m/>
    <m/>
    <m/>
    <s v="1450AA-T-70278_FL17"/>
    <n v="1"/>
    <s v="PÇ"/>
    <n v="1.93"/>
    <n v="1.93"/>
    <n v="1169.77"/>
    <n v="2257.6560999999997"/>
    <n v="0"/>
    <n v="0.9"/>
    <n v="0.1"/>
    <m/>
    <m/>
    <x v="0"/>
    <n v="0"/>
    <m/>
    <n v="0"/>
    <n v="1.93"/>
    <m/>
    <n v="0.4"/>
    <n v="0.5"/>
    <n v="0.1"/>
    <m/>
    <m/>
    <m/>
    <n v="0"/>
    <n v="0"/>
    <n v="0"/>
    <n v="2257.6560999999997"/>
    <m/>
    <m/>
  </r>
  <r>
    <s v="2.4.3.1.1"/>
    <s v="CMS M.60.10.000"/>
    <x v="2"/>
    <n v="8"/>
    <s v="CURVA"/>
    <n v="6"/>
    <x v="1"/>
    <s v="NÃO"/>
    <s v="NÃO"/>
    <x v="25"/>
    <x v="3"/>
    <s v="DISPOSIÇÃO DE REJEITOS LINHA DO CIRCUITO ULTRAFINO DISTRIBUIDOR DI-145A-9904 PARA A PENEIRA PN-145A-9702"/>
    <m/>
    <m/>
    <m/>
    <s v="1450AA-T-70278_FL12"/>
    <n v="1"/>
    <s v="PÇ"/>
    <n v="0.51200000000000001"/>
    <n v="0.51200000000000001"/>
    <n v="1169.77"/>
    <n v="598.92223999999999"/>
    <n v="0"/>
    <n v="0.9"/>
    <n v="0.1"/>
    <m/>
    <m/>
    <x v="0"/>
    <n v="0"/>
    <m/>
    <n v="0"/>
    <n v="0.51200000000000001"/>
    <m/>
    <n v="0.4"/>
    <n v="0.5"/>
    <n v="0.1"/>
    <m/>
    <m/>
    <m/>
    <n v="0"/>
    <n v="0"/>
    <n v="0"/>
    <n v="598.92223999999999"/>
    <m/>
    <m/>
  </r>
  <r>
    <s v="2.4.3.1.1"/>
    <s v="CMS M.60.10.000"/>
    <x v="2"/>
    <n v="9"/>
    <s v="SPOOL"/>
    <n v="6"/>
    <x v="1"/>
    <s v="NÃO"/>
    <s v="NÃO"/>
    <x v="25"/>
    <x v="3"/>
    <s v="DISPOSIÇÃO DE REJEITOS LINHA DO CIRCUITO ULTRAFINO DISTRIBUIDOR DI-145A-9904 PARA A PENEIRA PN-145A-9702"/>
    <m/>
    <m/>
    <m/>
    <s v="1450AA-T-70278_FL16"/>
    <n v="1"/>
    <s v="PÇ"/>
    <n v="1.349"/>
    <n v="1.349"/>
    <n v="1169.77"/>
    <n v="1578.01973"/>
    <n v="0"/>
    <n v="0.9"/>
    <n v="0.1"/>
    <m/>
    <m/>
    <x v="0"/>
    <n v="0"/>
    <m/>
    <n v="0"/>
    <n v="1.349"/>
    <m/>
    <n v="0.4"/>
    <n v="0.5"/>
    <n v="0.1"/>
    <m/>
    <m/>
    <m/>
    <n v="0"/>
    <n v="0"/>
    <n v="0"/>
    <n v="1578.01973"/>
    <m/>
    <m/>
  </r>
  <r>
    <s v="2.4.3.1.1"/>
    <s v="CMS M.60.10.000"/>
    <x v="2"/>
    <n v="10"/>
    <s v="SPOOL"/>
    <n v="6"/>
    <x v="1"/>
    <s v="NÃO"/>
    <s v="NÃO"/>
    <x v="25"/>
    <x v="3"/>
    <s v="DISPOSIÇÃO DE REJEITOS LINHA DO CIRCUITO ULTRAFINO DISTRIBUIDOR DI-145A-9904 PARA A PENEIRA PN-145A-9702"/>
    <m/>
    <m/>
    <m/>
    <s v="1450AA-T-70278_FL11"/>
    <n v="1"/>
    <s v="PÇ"/>
    <n v="0.82"/>
    <n v="0.82"/>
    <n v="1169.77"/>
    <n v="959.21139999999991"/>
    <n v="0"/>
    <n v="0.9"/>
    <n v="0.1"/>
    <m/>
    <m/>
    <x v="0"/>
    <n v="0"/>
    <m/>
    <n v="0"/>
    <n v="0.82"/>
    <m/>
    <n v="0.4"/>
    <n v="0.5"/>
    <n v="0.1"/>
    <m/>
    <m/>
    <m/>
    <n v="0"/>
    <n v="0"/>
    <n v="0"/>
    <n v="959.21139999999991"/>
    <m/>
    <m/>
  </r>
  <r>
    <n v="0"/>
    <s v="CMS M.60.10.000"/>
    <x v="2"/>
    <n v="11"/>
    <s v="SPOOL"/>
    <s v="6 X 4"/>
    <x v="1"/>
    <s v="NÃO"/>
    <s v="NÃO"/>
    <x v="25"/>
    <x v="3"/>
    <s v="DISPOSIÇÃO DE REJEITOS LINHA DO CIRCUITO ULTRAFINO DISTRIBUIDOR DI-145A-9904 PARA A PENEIRA PN-145A-9702"/>
    <m/>
    <m/>
    <m/>
    <s v="1450AA-T-70278_FL09"/>
    <n v="1"/>
    <s v="PÇ"/>
    <n v="2.1349999999999998"/>
    <n v="2.1349999999999998"/>
    <n v="0"/>
    <n v="0"/>
    <n v="0"/>
    <n v="0.9"/>
    <n v="0.1"/>
    <m/>
    <m/>
    <x v="0"/>
    <n v="0"/>
    <m/>
    <n v="0"/>
    <n v="2.1349999999999998"/>
    <m/>
    <n v="0.4"/>
    <n v="0.5"/>
    <n v="0.1"/>
    <m/>
    <m/>
    <m/>
    <n v="0"/>
    <n v="0"/>
    <n v="0"/>
    <n v="0"/>
    <m/>
    <m/>
  </r>
  <r>
    <n v="0"/>
    <s v="CMS M.60.10.000"/>
    <x v="2"/>
    <n v="12"/>
    <s v="FLANGE"/>
    <n v="4"/>
    <x v="1"/>
    <s v="NÃO"/>
    <s v="NÃO"/>
    <x v="25"/>
    <x v="3"/>
    <s v="DISPOSIÇÃO DE REJEITOS LINHA DO CIRCUITO ULTRAFINO DISTRIBUIDOR DI-145A-9904 PARA A PENEIRA PN-145A-9702"/>
    <m/>
    <m/>
    <m/>
    <s v="1450AA-T-70278_FL03"/>
    <n v="2"/>
    <s v="PÇ"/>
    <n v="0"/>
    <n v="0"/>
    <n v="0"/>
    <n v="0"/>
    <n v="0"/>
    <n v="0.9"/>
    <n v="0.1"/>
    <m/>
    <m/>
    <x v="0"/>
    <n v="0"/>
    <m/>
    <n v="0"/>
    <n v="0"/>
    <m/>
    <n v="0.4"/>
    <n v="0.5"/>
    <n v="0.1"/>
    <m/>
    <m/>
    <m/>
    <n v="0"/>
    <n v="0"/>
    <n v="0"/>
    <n v="0"/>
    <m/>
    <m/>
  </r>
  <r>
    <s v="2.4.3.1.1"/>
    <s v="CMS M.60.10.000"/>
    <x v="2"/>
    <n v="1"/>
    <s v="CURVA"/>
    <n v="6"/>
    <x v="1"/>
    <s v="NÃO"/>
    <s v="NÃO"/>
    <x v="26"/>
    <x v="3"/>
    <s v="DISPOSIÇÃO DE REJEITOS LINHA DO CIRCUITO ULTRAFINO DISTRIBUIDOR DI-145A-9904 PARA A PENEIRA PN-145A-9703"/>
    <m/>
    <m/>
    <m/>
    <s v="1450AA-T-70280_FL15"/>
    <n v="2"/>
    <s v="PÇ"/>
    <n v="0.46500000000000002"/>
    <n v="0.93"/>
    <n v="1169.77"/>
    <n v="1087.8860999999999"/>
    <n v="0"/>
    <n v="0.9"/>
    <n v="0.1"/>
    <m/>
    <m/>
    <x v="0"/>
    <n v="0"/>
    <m/>
    <n v="0"/>
    <n v="0.93"/>
    <m/>
    <n v="0.4"/>
    <n v="0.5"/>
    <n v="0.1"/>
    <m/>
    <m/>
    <m/>
    <n v="0"/>
    <n v="0"/>
    <n v="0"/>
    <n v="1087.8860999999999"/>
    <m/>
    <m/>
  </r>
  <r>
    <s v="2.4.3.1.1"/>
    <s v="CMS M.60.10.000"/>
    <x v="2"/>
    <n v="2"/>
    <s v="SPOOL"/>
    <n v="6"/>
    <x v="1"/>
    <s v="NÃO"/>
    <s v="NÃO"/>
    <x v="26"/>
    <x v="3"/>
    <s v="DISPOSIÇÃO DE REJEITOS LINHA DO CIRCUITO ULTRAFINO DISTRIBUIDOR DI-145A-9904 PARA A PENEIRA PN-145A-9703"/>
    <m/>
    <m/>
    <m/>
    <s v="1450AA-T-70280_FL17"/>
    <n v="2"/>
    <s v="PÇ"/>
    <n v="1.6220000000000001"/>
    <n v="3.2440000000000002"/>
    <n v="1169.77"/>
    <n v="3794.7338800000002"/>
    <n v="0"/>
    <n v="0.9"/>
    <n v="0.1"/>
    <m/>
    <m/>
    <x v="0"/>
    <n v="0"/>
    <m/>
    <n v="0"/>
    <n v="3.2440000000000002"/>
    <m/>
    <n v="0.4"/>
    <n v="0.5"/>
    <n v="0.1"/>
    <m/>
    <m/>
    <m/>
    <n v="0"/>
    <n v="0"/>
    <n v="0"/>
    <n v="3794.7338800000002"/>
    <m/>
    <m/>
  </r>
  <r>
    <s v="2.4.3.1.1"/>
    <s v="CMS M.60.10.000"/>
    <x v="2"/>
    <n v="3"/>
    <s v="CURVA"/>
    <n v="6"/>
    <x v="1"/>
    <s v="NÃO"/>
    <s v="NÃO"/>
    <x v="26"/>
    <x v="3"/>
    <s v="DISPOSIÇÃO DE REJEITOS LINHA DO CIRCUITO ULTRAFINO DISTRIBUIDOR DI-145A-9904 PARA A PENEIRA PN-145A-9703"/>
    <m/>
    <m/>
    <m/>
    <s v="1450AA-T-70280_FL12"/>
    <n v="1"/>
    <s v="PÇ"/>
    <n v="0.39500000000000002"/>
    <n v="0.39500000000000002"/>
    <n v="1169.77"/>
    <n v="462.05914999999999"/>
    <n v="0"/>
    <n v="0.9"/>
    <n v="0.1"/>
    <m/>
    <m/>
    <x v="0"/>
    <n v="0"/>
    <m/>
    <n v="0"/>
    <n v="0.39500000000000002"/>
    <m/>
    <n v="0.4"/>
    <n v="0.5"/>
    <n v="0.1"/>
    <m/>
    <m/>
    <m/>
    <n v="0"/>
    <n v="0"/>
    <n v="0"/>
    <n v="462.05914999999999"/>
    <m/>
    <m/>
  </r>
  <r>
    <s v="2.4.3.1.1"/>
    <s v="CMS M.60.10.000"/>
    <x v="2"/>
    <n v="4"/>
    <s v="SPOOL"/>
    <n v="6"/>
    <x v="2"/>
    <s v="NÃO"/>
    <s v="NÃO"/>
    <x v="26"/>
    <x v="3"/>
    <s v="DISPOSIÇÃO DE REJEITOS LINHA DO CIRCUITO ULTRAFINO DISTRIBUIDOR DI-145A-9904 PARA A PENEIRA PN-145A-9703"/>
    <m/>
    <m/>
    <m/>
    <s v="1450AA-T-70280_FL21"/>
    <n v="1"/>
    <s v="PÇ"/>
    <n v="0.4"/>
    <n v="0.4"/>
    <n v="1169.77"/>
    <n v="467.90800000000002"/>
    <n v="0"/>
    <n v="0.9"/>
    <n v="0.1"/>
    <m/>
    <m/>
    <x v="0"/>
    <n v="0"/>
    <m/>
    <n v="0"/>
    <n v="0.4"/>
    <m/>
    <n v="0.4"/>
    <n v="0.5"/>
    <n v="0.1"/>
    <m/>
    <m/>
    <m/>
    <n v="0"/>
    <n v="0"/>
    <n v="0"/>
    <n v="467.90800000000002"/>
    <m/>
    <m/>
  </r>
  <r>
    <s v="2.4.3.1.1"/>
    <s v="CMS M.60.10.000"/>
    <x v="2"/>
    <n v="5"/>
    <s v="SPOOL"/>
    <n v="6"/>
    <x v="1"/>
    <s v="NÃO"/>
    <s v="NÃO"/>
    <x v="26"/>
    <x v="3"/>
    <s v="DISPOSIÇÃO DE REJEITOS LINHA DO CIRCUITO ULTRAFINO DISTRIBUIDOR DI-145A-9904 PARA A PENEIRA PN-145A-9703"/>
    <m/>
    <m/>
    <m/>
    <s v="1450AA-T-70280_FL19"/>
    <n v="2"/>
    <s v="PÇ"/>
    <n v="3"/>
    <n v="6"/>
    <n v="1169.77"/>
    <n v="7018.62"/>
    <n v="0"/>
    <n v="0.9"/>
    <n v="0.1"/>
    <m/>
    <m/>
    <x v="0"/>
    <n v="0"/>
    <m/>
    <n v="0"/>
    <n v="6"/>
    <m/>
    <n v="0.4"/>
    <n v="0.5"/>
    <n v="0.1"/>
    <m/>
    <m/>
    <m/>
    <n v="0"/>
    <n v="0"/>
    <n v="0"/>
    <n v="7018.62"/>
    <m/>
    <m/>
  </r>
  <r>
    <s v="2.4.3.1.1"/>
    <s v="CMS M.60.10.000"/>
    <x v="2"/>
    <n v="6"/>
    <s v="SPOOL"/>
    <n v="6"/>
    <x v="2"/>
    <s v="NÃO"/>
    <s v="NÃO"/>
    <x v="26"/>
    <x v="3"/>
    <s v="DISPOSIÇÃO DE REJEITOS LINHA DO CIRCUITO ULTRAFINO DISTRIBUIDOR DI-145A-9904 PARA A PENEIRA PN-145A-9703"/>
    <m/>
    <m/>
    <m/>
    <s v="1450AA-T-70280_FL22"/>
    <n v="1"/>
    <s v="PÇ"/>
    <n v="0.55000000000000004"/>
    <n v="0.55000000000000004"/>
    <n v="1169.77"/>
    <n v="643.37350000000004"/>
    <n v="0"/>
    <n v="0.9"/>
    <n v="0.1"/>
    <m/>
    <m/>
    <x v="0"/>
    <n v="0"/>
    <m/>
    <n v="0"/>
    <n v="0.55000000000000004"/>
    <m/>
    <n v="0.4"/>
    <n v="0.5"/>
    <n v="0.1"/>
    <m/>
    <m/>
    <m/>
    <n v="0"/>
    <n v="0"/>
    <n v="0"/>
    <n v="643.37350000000004"/>
    <m/>
    <m/>
  </r>
  <r>
    <s v="2.4.3.1.1"/>
    <s v="CMS M.60.10.000"/>
    <x v="2"/>
    <n v="7"/>
    <s v="CURVA"/>
    <n v="6"/>
    <x v="1"/>
    <s v="NÃO"/>
    <s v="NÃO"/>
    <x v="26"/>
    <x v="3"/>
    <s v="DISPOSIÇÃO DE REJEITOS LINHA DO CIRCUITO ULTRAFINO DISTRIBUIDOR DI-145A-9904 PARA A PENEIRA PN-145A-9703"/>
    <m/>
    <m/>
    <m/>
    <s v="1450AA-T-70280_FL14"/>
    <n v="1"/>
    <s v="PÇ"/>
    <n v="0.42"/>
    <n v="0.42"/>
    <n v="1169.77"/>
    <n v="491.30339999999995"/>
    <n v="0"/>
    <n v="0.9"/>
    <n v="0.1"/>
    <m/>
    <m/>
    <x v="0"/>
    <n v="0"/>
    <m/>
    <n v="0"/>
    <n v="0.42"/>
    <m/>
    <n v="0.4"/>
    <n v="0.5"/>
    <n v="0.1"/>
    <m/>
    <m/>
    <m/>
    <n v="0"/>
    <n v="0"/>
    <n v="0"/>
    <n v="491.30339999999995"/>
    <m/>
    <m/>
  </r>
  <r>
    <s v="2.4.3.1.1"/>
    <s v="CMS M.60.10.000"/>
    <x v="2"/>
    <n v="8"/>
    <s v="SPOOL"/>
    <n v="6"/>
    <x v="1"/>
    <s v="NÃO"/>
    <s v="NÃO"/>
    <x v="26"/>
    <x v="3"/>
    <s v="DISPOSIÇÃO DE REJEITOS LINHA DO CIRCUITO ULTRAFINO DISTRIBUIDOR DI-145A-9904 PARA A PENEIRA PN-145A-9703"/>
    <m/>
    <m/>
    <m/>
    <s v="1450AA-T-70280_FL18"/>
    <n v="1"/>
    <s v="PÇ"/>
    <n v="1.93"/>
    <n v="1.93"/>
    <n v="1169.77"/>
    <n v="2257.6560999999997"/>
    <n v="0"/>
    <n v="0.9"/>
    <n v="0.1"/>
    <m/>
    <m/>
    <x v="0"/>
    <n v="0"/>
    <m/>
    <n v="0"/>
    <n v="1.93"/>
    <m/>
    <n v="0.4"/>
    <n v="0.5"/>
    <n v="0.1"/>
    <m/>
    <m/>
    <m/>
    <n v="0"/>
    <n v="0"/>
    <n v="0"/>
    <n v="2257.6560999999997"/>
    <m/>
    <m/>
  </r>
  <r>
    <s v="2.4.3.1.1"/>
    <s v="CMS M.60.10.000"/>
    <x v="2"/>
    <n v="9"/>
    <s v="CURVA"/>
    <n v="6"/>
    <x v="1"/>
    <s v="NÃO"/>
    <s v="NÃO"/>
    <x v="26"/>
    <x v="3"/>
    <s v="DISPOSIÇÃO DE REJEITOS LINHA DO CIRCUITO ULTRAFINO DISTRIBUIDOR DI-145A-9904 PARA A PENEIRA PN-145A-9703"/>
    <m/>
    <m/>
    <m/>
    <s v="1450AA-T-70280_FL13"/>
    <n v="1"/>
    <s v="PÇ"/>
    <n v="0.51200000000000001"/>
    <n v="0.51200000000000001"/>
    <n v="1169.77"/>
    <n v="598.92223999999999"/>
    <n v="0"/>
    <n v="0.9"/>
    <n v="0.1"/>
    <m/>
    <m/>
    <x v="0"/>
    <n v="0"/>
    <m/>
    <n v="0"/>
    <n v="0.51200000000000001"/>
    <m/>
    <n v="0.4"/>
    <n v="0.5"/>
    <n v="0.1"/>
    <m/>
    <m/>
    <m/>
    <n v="0"/>
    <n v="0"/>
    <n v="0"/>
    <n v="598.92223999999999"/>
    <m/>
    <m/>
  </r>
  <r>
    <s v="2.4.3.1.1"/>
    <s v="CMS M.60.10.000"/>
    <x v="2"/>
    <n v="10"/>
    <s v="SPOOL"/>
    <n v="6"/>
    <x v="1"/>
    <s v="NÃO"/>
    <s v="NÃO"/>
    <x v="26"/>
    <x v="3"/>
    <s v="DISPOSIÇÃO DE REJEITOS LINHA DO CIRCUITO ULTRAFINO DISTRIBUIDOR DI-145A-9904 PARA A PENEIRA PN-145A-9703"/>
    <m/>
    <m/>
    <m/>
    <s v="1450AA-T-70280_FL16"/>
    <n v="1"/>
    <s v="PÇ"/>
    <n v="1.351"/>
    <n v="1.351"/>
    <n v="1169.77"/>
    <n v="1580.3592699999999"/>
    <n v="0"/>
    <n v="0.9"/>
    <n v="0.1"/>
    <m/>
    <m/>
    <x v="0"/>
    <n v="0"/>
    <m/>
    <n v="0"/>
    <n v="1.351"/>
    <m/>
    <n v="0.4"/>
    <n v="0.5"/>
    <n v="0.1"/>
    <m/>
    <m/>
    <m/>
    <n v="0"/>
    <n v="0"/>
    <n v="0"/>
    <n v="1580.3592699999999"/>
    <m/>
    <m/>
  </r>
  <r>
    <s v="2.4.3.1.1"/>
    <s v="CMS M.60.10.000"/>
    <x v="2"/>
    <n v="11"/>
    <s v="SPOOL"/>
    <n v="6"/>
    <x v="1"/>
    <s v="NÃO"/>
    <s v="NÃO"/>
    <x v="26"/>
    <x v="3"/>
    <s v="DISPOSIÇÃO DE REJEITOS LINHA DO CIRCUITO ULTRAFINO DISTRIBUIDOR DI-145A-9904 PARA A PENEIRA PN-145A-9703"/>
    <m/>
    <m/>
    <m/>
    <s v="1450AA-T-70280_FL11"/>
    <n v="1"/>
    <s v="PÇ"/>
    <n v="0.82"/>
    <n v="0.82"/>
    <n v="1169.77"/>
    <n v="959.21139999999991"/>
    <n v="0"/>
    <n v="0.9"/>
    <n v="0.1"/>
    <m/>
    <m/>
    <x v="0"/>
    <n v="0"/>
    <m/>
    <n v="0"/>
    <n v="0.82"/>
    <m/>
    <n v="0.4"/>
    <n v="0.5"/>
    <n v="0.1"/>
    <m/>
    <m/>
    <m/>
    <n v="0"/>
    <n v="0"/>
    <n v="0"/>
    <n v="959.21139999999991"/>
    <m/>
    <m/>
  </r>
  <r>
    <s v="2.4.3.1.1"/>
    <s v="CMS M.60.10.000"/>
    <x v="2"/>
    <n v="12"/>
    <s v="SPOOL"/>
    <n v="6"/>
    <x v="2"/>
    <s v="NÃO"/>
    <s v="NÃO"/>
    <x v="26"/>
    <x v="3"/>
    <s v="DISPOSIÇÃO DE REJEITOS LINHA DO CIRCUITO ULTRAFINO DISTRIBUIDOR DI-145A-9904 PARA A PENEIRA PN-145A-9703"/>
    <m/>
    <m/>
    <m/>
    <s v="1450AA-T-70280_FL20"/>
    <n v="1"/>
    <s v="PÇ"/>
    <n v="0.35"/>
    <n v="0.35"/>
    <n v="1169.77"/>
    <n v="409.41949999999997"/>
    <n v="0"/>
    <n v="0.9"/>
    <n v="0.1"/>
    <m/>
    <m/>
    <x v="0"/>
    <n v="0"/>
    <m/>
    <n v="0"/>
    <n v="0.35"/>
    <m/>
    <n v="0.4"/>
    <n v="0.5"/>
    <n v="0.1"/>
    <m/>
    <m/>
    <m/>
    <n v="0"/>
    <n v="0"/>
    <n v="0"/>
    <n v="409.41949999999997"/>
    <m/>
    <m/>
  </r>
  <r>
    <n v="0"/>
    <s v="CMS M.60.10.000"/>
    <x v="2"/>
    <n v="13"/>
    <s v="SPOOL"/>
    <s v="6 X 4"/>
    <x v="1"/>
    <s v="NÃO"/>
    <s v="NÃO"/>
    <x v="26"/>
    <x v="3"/>
    <s v="DISPOSIÇÃO DE REJEITOS LINHA DO CIRCUITO ULTRAFINO DISTRIBUIDOR DI-145A-9904 PARA A PENEIRA PN-145A-9703"/>
    <m/>
    <m/>
    <m/>
    <s v="1450AA-T-70280_FL09"/>
    <n v="1"/>
    <s v="PÇ"/>
    <n v="2.1349999999999998"/>
    <n v="2.1349999999999998"/>
    <n v="0"/>
    <n v="0"/>
    <n v="0"/>
    <n v="0.9"/>
    <n v="0.1"/>
    <m/>
    <m/>
    <x v="0"/>
    <n v="0"/>
    <m/>
    <n v="0"/>
    <n v="2.1349999999999998"/>
    <m/>
    <n v="0.4"/>
    <n v="0.5"/>
    <n v="0.1"/>
    <m/>
    <m/>
    <m/>
    <n v="0"/>
    <n v="0"/>
    <n v="0"/>
    <n v="0"/>
    <m/>
    <m/>
  </r>
  <r>
    <n v="0"/>
    <s v="CMS M.60.10.000"/>
    <x v="2"/>
    <n v="14"/>
    <s v="FLANGE"/>
    <n v="4"/>
    <x v="1"/>
    <s v="NÃO"/>
    <s v="NÃO"/>
    <x v="26"/>
    <x v="3"/>
    <s v="DISPOSIÇÃO DE REJEITOS LINHA DO CIRCUITO ULTRAFINO DISTRIBUIDOR DI-145A-9904 PARA A PENEIRA PN-145A-9703"/>
    <m/>
    <m/>
    <m/>
    <s v="1450AA-T-70280_FL03"/>
    <n v="2"/>
    <s v="PÇ"/>
    <n v="0"/>
    <n v="0"/>
    <n v="0"/>
    <n v="0"/>
    <n v="0"/>
    <n v="0.9"/>
    <n v="0.1"/>
    <m/>
    <m/>
    <x v="0"/>
    <n v="0"/>
    <m/>
    <n v="0"/>
    <n v="0"/>
    <m/>
    <n v="0.4"/>
    <n v="0.5"/>
    <n v="0.1"/>
    <m/>
    <m/>
    <m/>
    <n v="0"/>
    <n v="0"/>
    <n v="0"/>
    <n v="0"/>
    <m/>
    <m/>
  </r>
  <r>
    <s v="2.4.3.1.1"/>
    <s v="CMS M.60.10.000"/>
    <x v="2"/>
    <n v="1"/>
    <s v="SPOOL"/>
    <n v="6"/>
    <x v="1"/>
    <s v="NÃO"/>
    <s v="NÃO"/>
    <x v="27"/>
    <x v="3"/>
    <s v="DISPOSIÇÃO DE REJEITOS LINHA DO CIRCUITO ULTRAFINO DISTRIBUIDOR DI-145A-9905 PARA A PENEIRA PN-145A-9724"/>
    <m/>
    <m/>
    <m/>
    <s v="1450AA-T-70283_FL12"/>
    <n v="3"/>
    <s v="PÇ"/>
    <n v="2"/>
    <n v="6"/>
    <n v="1169.77"/>
    <n v="7018.62"/>
    <n v="0"/>
    <n v="0.9"/>
    <n v="0.1"/>
    <m/>
    <m/>
    <x v="0"/>
    <n v="0"/>
    <m/>
    <n v="0"/>
    <n v="6"/>
    <m/>
    <n v="0.4"/>
    <n v="0.5"/>
    <n v="0.1"/>
    <m/>
    <m/>
    <m/>
    <n v="0"/>
    <n v="0"/>
    <n v="0"/>
    <n v="7018.62"/>
    <m/>
    <m/>
  </r>
  <r>
    <s v="2.4.3.1.1"/>
    <s v="CMS M.60.10.000"/>
    <x v="2"/>
    <n v="2"/>
    <s v="SPOOL"/>
    <n v="6"/>
    <x v="1"/>
    <s v="NÃO"/>
    <s v="NÃO"/>
    <x v="27"/>
    <x v="3"/>
    <s v="DISPOSIÇÃO DE REJEITOS LINHA DO CIRCUITO ULTRAFINO DISTRIBUIDOR DI-145A-9905 PARA A PENEIRA PN-145A-9724"/>
    <m/>
    <m/>
    <m/>
    <s v="1450AA-T-70283_FL11"/>
    <n v="1"/>
    <s v="PÇ"/>
    <n v="1.5"/>
    <n v="1.5"/>
    <n v="1169.77"/>
    <n v="1754.655"/>
    <n v="0"/>
    <n v="0.9"/>
    <n v="0.1"/>
    <m/>
    <m/>
    <x v="0"/>
    <n v="0"/>
    <m/>
    <n v="0"/>
    <n v="1.5"/>
    <m/>
    <n v="0.4"/>
    <n v="0.5"/>
    <n v="0.1"/>
    <m/>
    <m/>
    <m/>
    <n v="0"/>
    <n v="0"/>
    <n v="0"/>
    <n v="1754.655"/>
    <m/>
    <m/>
  </r>
  <r>
    <s v="2.4.3.1.1"/>
    <s v="CMS M.60.10.000"/>
    <x v="2"/>
    <n v="3"/>
    <s v="SPOOL"/>
    <n v="6"/>
    <x v="1"/>
    <s v="NÃO"/>
    <s v="NÃO"/>
    <x v="27"/>
    <x v="3"/>
    <s v="DISPOSIÇÃO DE REJEITOS LINHA DO CIRCUITO ULTRAFINO DISTRIBUIDOR DI-145A-9905 PARA A PENEIRA PN-145A-9724"/>
    <m/>
    <m/>
    <m/>
    <s v="1450AA-T-70283_FL10"/>
    <n v="1"/>
    <s v="PÇ"/>
    <n v="0.75"/>
    <n v="0.75"/>
    <n v="1169.77"/>
    <n v="877.32749999999999"/>
    <n v="0"/>
    <n v="0.9"/>
    <n v="0.1"/>
    <m/>
    <m/>
    <x v="0"/>
    <n v="0"/>
    <m/>
    <n v="0"/>
    <n v="0.75"/>
    <m/>
    <n v="0.4"/>
    <n v="0.5"/>
    <n v="0.1"/>
    <m/>
    <m/>
    <m/>
    <n v="0"/>
    <n v="0"/>
    <n v="0"/>
    <n v="877.32749999999999"/>
    <m/>
    <m/>
  </r>
  <r>
    <s v="2.4.3.1.1"/>
    <s v="CMS M.60.10.000"/>
    <x v="2"/>
    <n v="4"/>
    <s v="SPOOL"/>
    <n v="6"/>
    <x v="2"/>
    <s v="NÃO"/>
    <s v="NÃO"/>
    <x v="27"/>
    <x v="3"/>
    <s v="DISPOSIÇÃO DE REJEITOS LINHA DO CIRCUITO ULTRAFINO DISTRIBUIDOR DI-145A-9905 PARA A PENEIRA PN-145A-9724"/>
    <m/>
    <m/>
    <m/>
    <s v="1450AA-T-70283_FL15"/>
    <n v="1"/>
    <s v="PÇ"/>
    <n v="0.52"/>
    <n v="0.52"/>
    <n v="1169.77"/>
    <n v="608.28039999999999"/>
    <n v="0"/>
    <n v="0.9"/>
    <n v="0.1"/>
    <m/>
    <m/>
    <x v="0"/>
    <n v="0"/>
    <m/>
    <n v="0"/>
    <n v="0.52"/>
    <m/>
    <n v="0.4"/>
    <n v="0.5"/>
    <n v="0.1"/>
    <m/>
    <m/>
    <m/>
    <n v="0"/>
    <n v="0"/>
    <n v="0"/>
    <n v="608.28039999999999"/>
    <m/>
    <m/>
  </r>
  <r>
    <s v="2.4.3.1.1"/>
    <s v="CMS M.60.10.000"/>
    <x v="2"/>
    <n v="5"/>
    <s v="SPOOL"/>
    <n v="6"/>
    <x v="2"/>
    <s v="NÃO"/>
    <s v="NÃO"/>
    <x v="27"/>
    <x v="3"/>
    <s v="DISPOSIÇÃO DE REJEITOS LINHA DO CIRCUITO ULTRAFINO DISTRIBUIDOR DI-145A-9905 PARA A PENEIRA PN-145A-9724"/>
    <m/>
    <m/>
    <m/>
    <s v="1450AA-T-70283_FL14"/>
    <n v="1"/>
    <s v="PÇ"/>
    <n v="0.34"/>
    <n v="0.34"/>
    <n v="1169.77"/>
    <n v="397.72180000000003"/>
    <n v="0"/>
    <n v="0.9"/>
    <n v="0.1"/>
    <m/>
    <m/>
    <x v="0"/>
    <n v="0"/>
    <m/>
    <n v="0"/>
    <n v="0.34"/>
    <m/>
    <n v="0.4"/>
    <n v="0.5"/>
    <n v="0.1"/>
    <m/>
    <m/>
    <m/>
    <n v="0"/>
    <n v="0"/>
    <n v="0"/>
    <n v="397.72180000000003"/>
    <m/>
    <m/>
  </r>
  <r>
    <s v="2.4.3.1.1"/>
    <s v="CMS M.60.10.000"/>
    <x v="2"/>
    <n v="6"/>
    <s v="SPOOL"/>
    <n v="6"/>
    <x v="2"/>
    <s v="NÃO"/>
    <s v="NÃO"/>
    <x v="27"/>
    <x v="3"/>
    <s v="DISPOSIÇÃO DE REJEITOS LINHA DO CIRCUITO ULTRAFINO DISTRIBUIDOR DI-145A-9905 PARA A PENEIRA PN-145A-9724"/>
    <m/>
    <m/>
    <m/>
    <s v="1450AA-T-70283_FL13"/>
    <n v="1"/>
    <s v="PÇ"/>
    <n v="0.31"/>
    <n v="0.31"/>
    <n v="1169.77"/>
    <n v="362.62869999999998"/>
    <n v="0"/>
    <n v="0.9"/>
    <n v="0.1"/>
    <m/>
    <m/>
    <x v="0"/>
    <n v="0"/>
    <m/>
    <n v="0"/>
    <n v="0.31"/>
    <m/>
    <n v="0.4"/>
    <n v="0.5"/>
    <n v="0.1"/>
    <m/>
    <m/>
    <m/>
    <n v="0"/>
    <n v="0"/>
    <n v="0"/>
    <n v="362.62869999999998"/>
    <m/>
    <m/>
  </r>
  <r>
    <s v="2.4.3.1.1"/>
    <s v="CMS M.60.10.000"/>
    <x v="2"/>
    <n v="7"/>
    <s v="SPOOL"/>
    <n v="6"/>
    <x v="1"/>
    <s v="NÃO"/>
    <s v="NÃO"/>
    <x v="27"/>
    <x v="3"/>
    <s v="DISPOSIÇÃO DE REJEITOS LINHA DO CIRCUITO ULTRAFINO DISTRIBUIDOR DI-145A-9905 PARA A PENEIRA PN-145A-9724"/>
    <m/>
    <m/>
    <m/>
    <s v="1450AA-T-70283_FL09"/>
    <n v="2"/>
    <s v="PÇ"/>
    <n v="0.3"/>
    <n v="0.6"/>
    <n v="1169.77"/>
    <n v="701.86199999999997"/>
    <n v="0"/>
    <n v="0.9"/>
    <n v="0.1"/>
    <m/>
    <m/>
    <x v="0"/>
    <n v="0"/>
    <m/>
    <n v="0"/>
    <n v="0.6"/>
    <m/>
    <n v="0.4"/>
    <n v="0.5"/>
    <n v="0.1"/>
    <m/>
    <m/>
    <m/>
    <n v="0"/>
    <n v="0"/>
    <n v="0"/>
    <n v="701.86199999999997"/>
    <m/>
    <m/>
  </r>
  <r>
    <s v="2.4.3.1.1"/>
    <s v="CMS M.60.10.000"/>
    <x v="2"/>
    <n v="8"/>
    <s v="CURVA"/>
    <n v="6"/>
    <x v="1"/>
    <s v="NÃO"/>
    <s v="NÃO"/>
    <x v="27"/>
    <x v="3"/>
    <s v="DISPOSIÇÃO DE REJEITOS LINHA DO CIRCUITO ULTRAFINO DISTRIBUIDOR DI-145A-9905 PARA A PENEIRA PN-145A-9724"/>
    <m/>
    <m/>
    <m/>
    <s v="1450AA-T-70283_FL18"/>
    <n v="3"/>
    <s v="PÇ"/>
    <n v="0.46500000000000002"/>
    <n v="1.395"/>
    <n v="1169.77"/>
    <n v="1631.82915"/>
    <n v="0"/>
    <n v="0.9"/>
    <n v="0.1"/>
    <m/>
    <m/>
    <x v="0"/>
    <n v="0"/>
    <m/>
    <n v="0"/>
    <n v="1.395"/>
    <m/>
    <n v="0.4"/>
    <n v="0.5"/>
    <n v="0.1"/>
    <m/>
    <m/>
    <m/>
    <n v="0"/>
    <n v="0"/>
    <n v="0"/>
    <n v="1631.82915"/>
    <m/>
    <m/>
  </r>
  <r>
    <s v="2.4.3.1.1"/>
    <s v="CMS M.60.10.000"/>
    <x v="2"/>
    <n v="9"/>
    <s v="CURVA"/>
    <n v="6"/>
    <x v="1"/>
    <s v="NÃO"/>
    <s v="NÃO"/>
    <x v="27"/>
    <x v="3"/>
    <s v="DISPOSIÇÃO DE REJEITOS LINHA DO CIRCUITO ULTRAFINO DISTRIBUIDOR DI-145A-9905 PARA A PENEIRA PN-145A-9724"/>
    <m/>
    <m/>
    <m/>
    <s v="1450AA-T-70283_FL17"/>
    <n v="1"/>
    <s v="PÇ"/>
    <n v="0.315"/>
    <n v="0.315"/>
    <n v="1169.77"/>
    <n v="368.47755000000001"/>
    <n v="0"/>
    <n v="0.9"/>
    <n v="0.1"/>
    <m/>
    <m/>
    <x v="0"/>
    <n v="0"/>
    <m/>
    <n v="0"/>
    <n v="0.315"/>
    <m/>
    <n v="0.4"/>
    <n v="0.5"/>
    <n v="0.1"/>
    <m/>
    <m/>
    <m/>
    <n v="0"/>
    <n v="0"/>
    <n v="0"/>
    <n v="368.47755000000001"/>
    <m/>
    <m/>
  </r>
  <r>
    <s v="2.4.3.1.1"/>
    <s v="CMS M.60.10.000"/>
    <x v="2"/>
    <n v="10"/>
    <s v="CURVA"/>
    <n v="6"/>
    <x v="1"/>
    <s v="NÃO"/>
    <s v="NÃO"/>
    <x v="27"/>
    <x v="3"/>
    <s v="DISPOSIÇÃO DE REJEITOS LINHA DO CIRCUITO ULTRAFINO DISTRIBUIDOR DI-145A-9905 PARA A PENEIRA PN-145A-9724"/>
    <m/>
    <m/>
    <m/>
    <s v="1450AA-T-70283_FL16"/>
    <n v="1"/>
    <s v="PÇ"/>
    <n v="0.23499999999999999"/>
    <n v="0.23499999999999999"/>
    <n v="1169.77"/>
    <n v="274.89594999999997"/>
    <n v="0"/>
    <n v="0.9"/>
    <n v="0.1"/>
    <m/>
    <m/>
    <x v="0"/>
    <n v="0"/>
    <m/>
    <n v="0"/>
    <n v="0.23499999999999999"/>
    <m/>
    <n v="0.4"/>
    <n v="0.5"/>
    <n v="0.1"/>
    <m/>
    <m/>
    <m/>
    <n v="0"/>
    <n v="0"/>
    <n v="0"/>
    <n v="274.89594999999997"/>
    <m/>
    <m/>
  </r>
  <r>
    <n v="0"/>
    <s v="CMS M.60.10.000"/>
    <x v="2"/>
    <n v="11"/>
    <s v="SPOOL"/>
    <s v="6 X 4"/>
    <x v="1"/>
    <s v="NÃO"/>
    <s v="NÃO"/>
    <x v="27"/>
    <x v="3"/>
    <s v="DISPOSIÇÃO DE REJEITOS LINHA DO CIRCUITO ULTRAFINO DISTRIBUIDOR DI-145A-9905 PARA A PENEIRA PN-145A-9724"/>
    <m/>
    <m/>
    <m/>
    <s v="1450AA-T-70283_FL19"/>
    <n v="1"/>
    <s v="PÇ"/>
    <n v="2.1349999999999998"/>
    <n v="2.1349999999999998"/>
    <n v="0"/>
    <n v="0"/>
    <n v="0"/>
    <n v="0.9"/>
    <n v="0.1"/>
    <m/>
    <m/>
    <x v="0"/>
    <n v="0"/>
    <m/>
    <n v="0"/>
    <n v="2.1349999999999998"/>
    <m/>
    <n v="0.4"/>
    <n v="0.5"/>
    <n v="0.1"/>
    <m/>
    <m/>
    <m/>
    <n v="0"/>
    <n v="0"/>
    <n v="0"/>
    <n v="0"/>
    <m/>
    <m/>
  </r>
  <r>
    <n v="0"/>
    <s v="CMS M.60.10.000"/>
    <x v="2"/>
    <n v="12"/>
    <s v="FLANGE"/>
    <n v="4"/>
    <x v="1"/>
    <s v="NÃO"/>
    <s v="NÃO"/>
    <x v="27"/>
    <x v="3"/>
    <s v="DISPOSIÇÃO DE REJEITOS LINHA DO CIRCUITO ULTRAFINO DISTRIBUIDOR DI-145A-9905 PARA A PENEIRA PN-145A-9724"/>
    <m/>
    <m/>
    <m/>
    <s v="1450AA-T-70283_FL03"/>
    <n v="2"/>
    <s v="PÇ"/>
    <n v="0"/>
    <n v="0"/>
    <n v="0"/>
    <n v="0"/>
    <n v="0"/>
    <n v="0.9"/>
    <n v="0.1"/>
    <m/>
    <m/>
    <x v="0"/>
    <n v="0"/>
    <m/>
    <n v="0"/>
    <n v="0"/>
    <m/>
    <n v="0.4"/>
    <n v="0.5"/>
    <n v="0.1"/>
    <m/>
    <m/>
    <m/>
    <n v="0"/>
    <n v="0"/>
    <n v="0"/>
    <n v="0"/>
    <m/>
    <m/>
  </r>
  <r>
    <s v="2.4.3.1.1"/>
    <s v="CMS M.60.10.000"/>
    <x v="2"/>
    <n v="1"/>
    <s v="SPOOL"/>
    <n v="6"/>
    <x v="1"/>
    <s v="NÃO"/>
    <s v="NÃO"/>
    <x v="28"/>
    <x v="3"/>
    <s v="DISPOSIÇÃO DE REJEITOS LINHA DO CIRCUITO ULTRAFINO DISTRIBUIDOR DI-145A-9905 PARA A PENEIRA PN-145A-9725"/>
    <m/>
    <m/>
    <m/>
    <s v="1450AA-T-70440_FL12"/>
    <n v="1"/>
    <s v="PÇ"/>
    <n v="1.9"/>
    <n v="1.9"/>
    <n v="1169.77"/>
    <n v="2222.5629999999996"/>
    <n v="0"/>
    <n v="0.9"/>
    <n v="0.1"/>
    <m/>
    <m/>
    <x v="0"/>
    <n v="0"/>
    <m/>
    <n v="0"/>
    <n v="1.9"/>
    <m/>
    <n v="0.4"/>
    <n v="0.5"/>
    <n v="0.1"/>
    <m/>
    <m/>
    <m/>
    <n v="0"/>
    <n v="0"/>
    <n v="0"/>
    <n v="2222.5629999999996"/>
    <m/>
    <m/>
  </r>
  <r>
    <s v="2.4.3.1.1"/>
    <s v="CMS M.60.10.000"/>
    <x v="2"/>
    <n v="2"/>
    <s v="SPOOL"/>
    <n v="6"/>
    <x v="1"/>
    <s v="NÃO"/>
    <s v="NÃO"/>
    <x v="28"/>
    <x v="3"/>
    <s v="DISPOSIÇÃO DE REJEITOS LINHA DO CIRCUITO ULTRAFINO DISTRIBUIDOR DI-145A-9905 PARA A PENEIRA PN-145A-9725"/>
    <m/>
    <m/>
    <m/>
    <s v="1450AA-T-70440_FL11"/>
    <n v="1"/>
    <s v="PÇ"/>
    <n v="1.05"/>
    <n v="1.05"/>
    <n v="1169.77"/>
    <n v="1228.2585000000001"/>
    <n v="0"/>
    <n v="0.9"/>
    <n v="0.1"/>
    <m/>
    <m/>
    <x v="0"/>
    <n v="0"/>
    <m/>
    <n v="0"/>
    <n v="1.05"/>
    <m/>
    <n v="0.4"/>
    <n v="0.5"/>
    <n v="0.1"/>
    <m/>
    <m/>
    <m/>
    <n v="0"/>
    <n v="0"/>
    <n v="0"/>
    <n v="1228.2585000000001"/>
    <m/>
    <m/>
  </r>
  <r>
    <s v="2.4.3.1.1"/>
    <s v="CMS M.60.10.000"/>
    <x v="2"/>
    <n v="3"/>
    <s v="SPOOL"/>
    <n v="6"/>
    <x v="1"/>
    <s v="NÃO"/>
    <s v="NÃO"/>
    <x v="28"/>
    <x v="3"/>
    <s v="DISPOSIÇÃO DE REJEITOS LINHA DO CIRCUITO ULTRAFINO DISTRIBUIDOR DI-145A-9905 PARA A PENEIRA PN-145A-9725"/>
    <m/>
    <m/>
    <m/>
    <s v="1450AA-T-70440_FL10"/>
    <n v="1"/>
    <s v="PÇ"/>
    <n v="1"/>
    <n v="1"/>
    <n v="1169.77"/>
    <n v="1169.77"/>
    <n v="0"/>
    <n v="0.9"/>
    <n v="0.1"/>
    <m/>
    <m/>
    <x v="0"/>
    <n v="0"/>
    <m/>
    <n v="0"/>
    <n v="1"/>
    <m/>
    <n v="0.4"/>
    <n v="0.5"/>
    <n v="0.1"/>
    <m/>
    <m/>
    <m/>
    <n v="0"/>
    <n v="0"/>
    <n v="0"/>
    <n v="1169.77"/>
    <m/>
    <m/>
  </r>
  <r>
    <s v="2.4.3.1.1"/>
    <s v="CMS M.60.10.000"/>
    <x v="2"/>
    <n v="4"/>
    <s v="SPOOL"/>
    <n v="6"/>
    <x v="1"/>
    <s v="NÃO"/>
    <s v="NÃO"/>
    <x v="28"/>
    <x v="3"/>
    <s v="DISPOSIÇÃO DE REJEITOS LINHA DO CIRCUITO ULTRAFINO DISTRIBUIDOR DI-145A-9905 PARA A PENEIRA PN-145A-9725"/>
    <m/>
    <m/>
    <m/>
    <s v="1450AA-T-70440_FL09"/>
    <n v="1"/>
    <s v="PÇ"/>
    <n v="0.9"/>
    <n v="0.9"/>
    <n v="1169.77"/>
    <n v="1052.7930000000001"/>
    <n v="0"/>
    <n v="0.9"/>
    <n v="0.1"/>
    <m/>
    <m/>
    <x v="0"/>
    <n v="0"/>
    <m/>
    <n v="0"/>
    <n v="0.9"/>
    <m/>
    <n v="0.4"/>
    <n v="0.5"/>
    <n v="0.1"/>
    <m/>
    <m/>
    <m/>
    <n v="0"/>
    <n v="0"/>
    <n v="0"/>
    <n v="1052.7930000000001"/>
    <m/>
    <m/>
  </r>
  <r>
    <s v="2.4.3.1.1"/>
    <s v="CMS M.60.10.000"/>
    <x v="2"/>
    <n v="5"/>
    <s v="SPOOL"/>
    <n v="6"/>
    <x v="2"/>
    <s v="NÃO"/>
    <s v="NÃO"/>
    <x v="28"/>
    <x v="3"/>
    <s v="DISPOSIÇÃO DE REJEITOS LINHA DO CIRCUITO ULTRAFINO DISTRIBUIDOR DI-145A-9905 PARA A PENEIRA PN-145A-9725"/>
    <m/>
    <m/>
    <m/>
    <s v="1450AA-T-70440_FL14"/>
    <n v="1"/>
    <s v="PÇ"/>
    <n v="0.4"/>
    <n v="0.4"/>
    <n v="1169.77"/>
    <n v="467.90800000000002"/>
    <n v="0"/>
    <n v="0.9"/>
    <n v="0.1"/>
    <m/>
    <m/>
    <x v="0"/>
    <n v="0"/>
    <m/>
    <n v="0"/>
    <n v="0.4"/>
    <m/>
    <n v="0.4"/>
    <n v="0.5"/>
    <n v="0.1"/>
    <m/>
    <m/>
    <m/>
    <n v="0"/>
    <n v="0"/>
    <n v="0"/>
    <n v="467.90800000000002"/>
    <m/>
    <m/>
  </r>
  <r>
    <s v="2.4.3.1.1"/>
    <s v="CMS M.60.10.000"/>
    <x v="2"/>
    <n v="6"/>
    <s v="SPOOL"/>
    <n v="6"/>
    <x v="2"/>
    <s v="NÃO"/>
    <s v="NÃO"/>
    <x v="28"/>
    <x v="3"/>
    <s v="DISPOSIÇÃO DE REJEITOS LINHA DO CIRCUITO ULTRAFINO DISTRIBUIDOR DI-145A-9905 PARA A PENEIRA PN-145A-9725"/>
    <m/>
    <m/>
    <m/>
    <s v="1450AA-T-70440_FL13"/>
    <n v="1"/>
    <s v="PÇ"/>
    <n v="0.37"/>
    <n v="0.37"/>
    <n v="1169.77"/>
    <n v="432.81489999999997"/>
    <n v="0"/>
    <n v="0.9"/>
    <n v="0.1"/>
    <m/>
    <m/>
    <x v="0"/>
    <n v="0"/>
    <m/>
    <n v="0"/>
    <n v="0.37"/>
    <m/>
    <n v="0.4"/>
    <n v="0.5"/>
    <n v="0.1"/>
    <m/>
    <m/>
    <m/>
    <n v="0"/>
    <n v="0"/>
    <n v="0"/>
    <n v="432.81489999999997"/>
    <m/>
    <m/>
  </r>
  <r>
    <s v="2.4.3.1.1"/>
    <s v="CMS M.60.10.000"/>
    <x v="2"/>
    <n v="7"/>
    <s v="CURVA"/>
    <n v="6"/>
    <x v="1"/>
    <s v="NÃO"/>
    <s v="NÃO"/>
    <x v="28"/>
    <x v="3"/>
    <s v="DISPOSIÇÃO DE REJEITOS LINHA DO CIRCUITO ULTRAFINO DISTRIBUIDOR DI-145A-9905 PARA A PENEIRA PN-145A-9725"/>
    <m/>
    <m/>
    <m/>
    <s v="1450AA-T-70440_FL17"/>
    <n v="1"/>
    <s v="PÇ"/>
    <n v="0.46899999999999997"/>
    <n v="0.46899999999999997"/>
    <n v="1169.77"/>
    <n v="548.62212999999997"/>
    <n v="0"/>
    <n v="0.9"/>
    <n v="0.1"/>
    <m/>
    <m/>
    <x v="0"/>
    <n v="0"/>
    <m/>
    <n v="0"/>
    <n v="0.46899999999999997"/>
    <m/>
    <n v="0.4"/>
    <n v="0.5"/>
    <n v="0.1"/>
    <m/>
    <m/>
    <m/>
    <n v="0"/>
    <n v="0"/>
    <n v="0"/>
    <n v="548.62212999999997"/>
    <m/>
    <m/>
  </r>
  <r>
    <s v="2.4.3.1.1"/>
    <s v="CMS M.60.10.000"/>
    <x v="2"/>
    <n v="8"/>
    <s v="CURVA"/>
    <n v="6"/>
    <x v="1"/>
    <s v="NÃO"/>
    <s v="NÃO"/>
    <x v="28"/>
    <x v="3"/>
    <s v="DISPOSIÇÃO DE REJEITOS LINHA DO CIRCUITO ULTRAFINO DISTRIBUIDOR DI-145A-9905 PARA A PENEIRA PN-145A-9725"/>
    <m/>
    <m/>
    <m/>
    <s v="1450AA-T-70440_FL16"/>
    <n v="1"/>
    <s v="PÇ"/>
    <n v="0.36399999999999999"/>
    <n v="0.36399999999999999"/>
    <n v="1169.77"/>
    <n v="425.79627999999997"/>
    <n v="0"/>
    <n v="0.9"/>
    <n v="0.1"/>
    <m/>
    <m/>
    <x v="0"/>
    <n v="0"/>
    <m/>
    <n v="0"/>
    <n v="0.36399999999999999"/>
    <m/>
    <n v="0.4"/>
    <n v="0.5"/>
    <n v="0.1"/>
    <m/>
    <m/>
    <m/>
    <n v="0"/>
    <n v="0"/>
    <n v="0"/>
    <n v="425.79627999999997"/>
    <m/>
    <m/>
  </r>
  <r>
    <s v="2.4.3.1.1"/>
    <s v="CMS M.60.10.000"/>
    <x v="2"/>
    <n v="9"/>
    <s v="CURVA"/>
    <n v="6"/>
    <x v="1"/>
    <s v="NÃO"/>
    <s v="NÃO"/>
    <x v="28"/>
    <x v="3"/>
    <s v="DISPOSIÇÃO DE REJEITOS LINHA DO CIRCUITO ULTRAFINO DISTRIBUIDOR DI-145A-9905 PARA A PENEIRA PN-145A-9725"/>
    <m/>
    <m/>
    <m/>
    <s v="1450AA-T-70440_FL15"/>
    <n v="1"/>
    <s v="PÇ"/>
    <n v="0.188"/>
    <n v="0.188"/>
    <n v="1169.77"/>
    <n v="219.91676000000001"/>
    <n v="0"/>
    <n v="0.9"/>
    <n v="0.1"/>
    <m/>
    <m/>
    <x v="0"/>
    <n v="0"/>
    <m/>
    <n v="0"/>
    <n v="0.188"/>
    <m/>
    <n v="0.4"/>
    <n v="0.5"/>
    <n v="0.1"/>
    <m/>
    <m/>
    <m/>
    <n v="0"/>
    <n v="0"/>
    <n v="0"/>
    <n v="219.91676000000001"/>
    <m/>
    <m/>
  </r>
  <r>
    <n v="0"/>
    <s v="CMS M.60.10.000"/>
    <x v="2"/>
    <n v="10"/>
    <s v="SPOOL"/>
    <s v="6 X 4"/>
    <x v="1"/>
    <s v="NÃO"/>
    <s v="NÃO"/>
    <x v="28"/>
    <x v="3"/>
    <s v="DISPOSIÇÃO DE REJEITOS LINHA DO CIRCUITO ULTRAFINO DISTRIBUIDOR DI-145A-9905 PARA A PENEIRA PN-145A-9725"/>
    <m/>
    <m/>
    <m/>
    <s v="1450AA-T-70440_FL18"/>
    <n v="1"/>
    <s v="PÇ"/>
    <n v="2.1349999999999998"/>
    <n v="2.1349999999999998"/>
    <n v="0"/>
    <n v="0"/>
    <n v="0"/>
    <n v="0.9"/>
    <n v="0.1"/>
    <m/>
    <m/>
    <x v="0"/>
    <n v="0"/>
    <m/>
    <n v="0"/>
    <n v="2.1349999999999998"/>
    <m/>
    <n v="0.4"/>
    <n v="0.5"/>
    <n v="0.1"/>
    <m/>
    <m/>
    <m/>
    <n v="0"/>
    <n v="0"/>
    <n v="0"/>
    <n v="0"/>
    <m/>
    <m/>
  </r>
  <r>
    <n v="0"/>
    <s v="CMS M.60.10.000"/>
    <x v="2"/>
    <n v="11"/>
    <s v="FLANGE"/>
    <n v="4"/>
    <x v="1"/>
    <s v="NÃO"/>
    <s v="NÃO"/>
    <x v="28"/>
    <x v="3"/>
    <s v="DISPOSIÇÃO DE REJEITOS LINHA DO CIRCUITO ULTRAFINO DISTRIBUIDOR DI-145A-9905 PARA A PENEIRA PN-145A-9725"/>
    <m/>
    <m/>
    <m/>
    <s v="1450AA-T-70440_FL03"/>
    <n v="2"/>
    <s v="PÇ"/>
    <n v="0"/>
    <n v="0"/>
    <n v="0"/>
    <n v="0"/>
    <n v="0"/>
    <n v="0.9"/>
    <n v="0.1"/>
    <m/>
    <m/>
    <x v="0"/>
    <n v="0"/>
    <m/>
    <n v="0"/>
    <n v="0"/>
    <m/>
    <n v="0.4"/>
    <n v="0.5"/>
    <n v="0.1"/>
    <m/>
    <m/>
    <m/>
    <n v="0"/>
    <n v="0"/>
    <n v="0"/>
    <n v="0"/>
    <m/>
    <m/>
  </r>
  <r>
    <s v="2.4.3.1.2"/>
    <s v="CMS M.60.10.000"/>
    <x v="2"/>
    <n v="1"/>
    <s v="CURVA"/>
    <n v="8"/>
    <x v="1"/>
    <s v="NÃO"/>
    <s v="NÃO"/>
    <x v="29"/>
    <x v="2"/>
    <s v="DISPOSIÇÃO DE REJEITOS LINHA DO CIRCUITO ARENOSO DISTRIBUIDOR DI-145A-9912 PARA A PENEIRA PN-145A-9701"/>
    <m/>
    <m/>
    <m/>
    <s v="1450AA-T-70378_FL17"/>
    <n v="2"/>
    <s v="PÇ"/>
    <n v="0.61099999999999999"/>
    <n v="1.222"/>
    <n v="1651.88"/>
    <n v="2018.59736"/>
    <n v="0"/>
    <n v="0.9"/>
    <n v="0.1"/>
    <m/>
    <m/>
    <x v="0"/>
    <n v="0"/>
    <m/>
    <n v="0"/>
    <n v="1.222"/>
    <m/>
    <n v="0.4"/>
    <n v="0.5"/>
    <n v="0.1"/>
    <m/>
    <m/>
    <m/>
    <n v="0"/>
    <n v="0"/>
    <n v="0"/>
    <n v="2018.59736"/>
    <m/>
    <m/>
  </r>
  <r>
    <s v="2.4.3.1.2"/>
    <s v="CMS M.60.10.000"/>
    <x v="2"/>
    <n v="2"/>
    <s v="SPOOL"/>
    <n v="8"/>
    <x v="1"/>
    <s v="NÃO"/>
    <s v="NÃO"/>
    <x v="29"/>
    <x v="2"/>
    <s v="DISPOSIÇÃO DE REJEITOS LINHA DO CIRCUITO ARENOSO DISTRIBUIDOR DI-145A-9912 PARA A PENEIRA PN-145A-9701"/>
    <m/>
    <m/>
    <m/>
    <s v="1450AA-T-70378_FL09"/>
    <n v="2"/>
    <s v="PÇ"/>
    <n v="0.81599999999999995"/>
    <n v="1.6319999999999999"/>
    <n v="1651.88"/>
    <n v="2695.86816"/>
    <n v="0"/>
    <n v="0.9"/>
    <n v="0.1"/>
    <m/>
    <m/>
    <x v="0"/>
    <n v="0"/>
    <m/>
    <n v="0"/>
    <n v="1.6319999999999999"/>
    <m/>
    <n v="0.4"/>
    <n v="0.5"/>
    <n v="0.1"/>
    <m/>
    <m/>
    <m/>
    <n v="0"/>
    <n v="0"/>
    <n v="0"/>
    <n v="2695.86816"/>
    <m/>
    <m/>
  </r>
  <r>
    <s v="2.4.3.1.2"/>
    <s v="CMS M.60.10.000"/>
    <x v="2"/>
    <n v="3"/>
    <s v="CURVA"/>
    <n v="8"/>
    <x v="1"/>
    <s v="NÃO"/>
    <s v="NÃO"/>
    <x v="29"/>
    <x v="2"/>
    <s v="DISPOSIÇÃO DE REJEITOS LINHA DO CIRCUITO ARENOSO DISTRIBUIDOR DI-145A-9912 PARA A PENEIRA PN-145A-9701"/>
    <m/>
    <m/>
    <m/>
    <s v="1450AA-T-70378_FL15"/>
    <n v="1"/>
    <s v="PÇ"/>
    <n v="0.32100000000000001"/>
    <n v="0.32100000000000001"/>
    <n v="1651.88"/>
    <n v="530.25348000000008"/>
    <n v="0"/>
    <n v="0.9"/>
    <n v="0.1"/>
    <m/>
    <m/>
    <x v="0"/>
    <n v="0"/>
    <m/>
    <n v="0"/>
    <n v="0.32100000000000001"/>
    <m/>
    <n v="0.4"/>
    <n v="0.5"/>
    <n v="0.1"/>
    <m/>
    <m/>
    <m/>
    <n v="0"/>
    <n v="0"/>
    <n v="0"/>
    <n v="530.25348000000008"/>
    <m/>
    <m/>
  </r>
  <r>
    <s v="2.4.3.1.2"/>
    <s v="CMS M.60.10.000"/>
    <x v="2"/>
    <n v="4"/>
    <s v="SPOOL"/>
    <n v="8"/>
    <x v="2"/>
    <s v="NÃO"/>
    <s v="NÃO"/>
    <x v="29"/>
    <x v="2"/>
    <s v="DISPOSIÇÃO DE REJEITOS LINHA DO CIRCUITO ARENOSO DISTRIBUIDOR DI-145A-9912 PARA A PENEIRA PN-145A-9701"/>
    <m/>
    <m/>
    <m/>
    <s v="1450AA-T-70378_FL14"/>
    <n v="2"/>
    <s v="PÇ"/>
    <n v="0.62"/>
    <n v="1.24"/>
    <n v="1651.88"/>
    <n v="2048.3312000000001"/>
    <n v="0"/>
    <n v="0.9"/>
    <n v="0.1"/>
    <m/>
    <m/>
    <x v="0"/>
    <n v="0"/>
    <m/>
    <n v="0"/>
    <n v="1.24"/>
    <m/>
    <n v="0.4"/>
    <n v="0.5"/>
    <n v="0.1"/>
    <m/>
    <m/>
    <m/>
    <n v="0"/>
    <n v="0"/>
    <n v="0"/>
    <n v="2048.3312000000001"/>
    <m/>
    <m/>
  </r>
  <r>
    <s v="2.4.3.1.2"/>
    <s v="CMS M.60.10.000"/>
    <x v="2"/>
    <n v="5"/>
    <s v="SPOOL"/>
    <n v="8"/>
    <x v="1"/>
    <s v="NÃO"/>
    <s v="NÃO"/>
    <x v="29"/>
    <x v="2"/>
    <s v="DISPOSIÇÃO DE REJEITOS LINHA DO CIRCUITO ARENOSO DISTRIBUIDOR DI-145A-9912 PARA A PENEIRA PN-145A-9701"/>
    <m/>
    <m/>
    <m/>
    <s v="1450AA-T-70378_FL13"/>
    <n v="2"/>
    <s v="PÇ"/>
    <n v="4.8"/>
    <n v="9.6"/>
    <n v="1651.88"/>
    <n v="15858.048000000001"/>
    <n v="0"/>
    <n v="0.9"/>
    <n v="0.1"/>
    <m/>
    <m/>
    <x v="0"/>
    <n v="0"/>
    <m/>
    <n v="0"/>
    <n v="9.6"/>
    <m/>
    <n v="0.4"/>
    <n v="0.5"/>
    <n v="0.1"/>
    <m/>
    <m/>
    <m/>
    <n v="0"/>
    <n v="0"/>
    <n v="0"/>
    <n v="15858.048000000001"/>
    <m/>
    <m/>
  </r>
  <r>
    <s v="2.4.3.1.2"/>
    <s v="CMS M.60.10.000"/>
    <x v="2"/>
    <n v="6"/>
    <s v="SPOOL"/>
    <n v="8"/>
    <x v="1"/>
    <s v="NÃO"/>
    <s v="NÃO"/>
    <x v="29"/>
    <x v="2"/>
    <s v="DISPOSIÇÃO DE REJEITOS LINHA DO CIRCUITO ARENOSO DISTRIBUIDOR DI-145A-9912 PARA A PENEIRA PN-145A-9701"/>
    <m/>
    <m/>
    <m/>
    <s v="1450AA-T-70378_FL11"/>
    <n v="1"/>
    <s v="PÇ"/>
    <n v="1.5"/>
    <n v="1.5"/>
    <n v="1651.88"/>
    <n v="2477.8200000000002"/>
    <n v="0"/>
    <n v="0.9"/>
    <n v="0.1"/>
    <m/>
    <m/>
    <x v="0"/>
    <n v="0"/>
    <m/>
    <n v="0"/>
    <n v="1.5"/>
    <m/>
    <n v="0.4"/>
    <n v="0.5"/>
    <n v="0.1"/>
    <m/>
    <m/>
    <m/>
    <n v="0"/>
    <n v="0"/>
    <n v="0"/>
    <n v="2477.8200000000002"/>
    <m/>
    <m/>
  </r>
  <r>
    <s v="2.4.3.1.2"/>
    <s v="CMS M.60.10.000"/>
    <x v="2"/>
    <n v="7"/>
    <s v="SPOOL"/>
    <n v="8"/>
    <x v="1"/>
    <s v="NÃO"/>
    <s v="NÃO"/>
    <x v="29"/>
    <x v="2"/>
    <s v="DISPOSIÇÃO DE REJEITOS LINHA DO CIRCUITO ARENOSO DISTRIBUIDOR DI-145A-9912 PARA A PENEIRA PN-145A-9701"/>
    <m/>
    <m/>
    <m/>
    <s v="1450AA-T-70378_FL12"/>
    <n v="1"/>
    <s v="PÇ"/>
    <n v="3"/>
    <n v="3"/>
    <n v="1651.88"/>
    <n v="4955.6400000000003"/>
    <n v="0"/>
    <n v="0.9"/>
    <n v="0.1"/>
    <m/>
    <m/>
    <x v="0"/>
    <n v="0"/>
    <m/>
    <n v="0"/>
    <n v="3"/>
    <m/>
    <n v="0.4"/>
    <n v="0.5"/>
    <n v="0.1"/>
    <m/>
    <m/>
    <m/>
    <n v="0"/>
    <n v="0"/>
    <n v="0"/>
    <n v="4955.6400000000003"/>
    <m/>
    <m/>
  </r>
  <r>
    <s v="2.4.3.1.2"/>
    <s v="CMS M.60.10.000"/>
    <x v="2"/>
    <n v="8"/>
    <s v="CURVA"/>
    <n v="8"/>
    <x v="1"/>
    <s v="NÃO"/>
    <s v="NÃO"/>
    <x v="29"/>
    <x v="2"/>
    <s v="DISPOSIÇÃO DE REJEITOS LINHA DO CIRCUITO ARENOSO DISTRIBUIDOR DI-145A-9912 PARA A PENEIRA PN-145A-9701"/>
    <m/>
    <m/>
    <m/>
    <s v="1450AA-T-70378_FL16"/>
    <n v="1"/>
    <s v="PÇ"/>
    <n v="0.54200000000000004"/>
    <n v="0.54200000000000004"/>
    <n v="1651.88"/>
    <n v="895.31896000000017"/>
    <n v="0"/>
    <n v="0.9"/>
    <n v="0.1"/>
    <m/>
    <m/>
    <x v="0"/>
    <n v="0"/>
    <m/>
    <n v="0"/>
    <n v="0.54200000000000004"/>
    <m/>
    <n v="0.4"/>
    <n v="0.5"/>
    <n v="0.1"/>
    <m/>
    <m/>
    <m/>
    <n v="0"/>
    <n v="0"/>
    <n v="0"/>
    <n v="895.31896000000017"/>
    <m/>
    <m/>
  </r>
  <r>
    <s v="2.4.3.1.2"/>
    <s v="CMS M.60.10.000"/>
    <x v="2"/>
    <n v="9"/>
    <s v="CURVA"/>
    <n v="8"/>
    <x v="1"/>
    <s v="NÃO"/>
    <s v="NÃO"/>
    <x v="29"/>
    <x v="2"/>
    <s v="DISPOSIÇÃO DE REJEITOS LINHA DO CIRCUITO ARENOSO DISTRIBUIDOR DI-145A-9912 PARA A PENEIRA PN-145A-9701"/>
    <m/>
    <m/>
    <m/>
    <s v="1450AA-T-70378_FL18"/>
    <n v="1"/>
    <s v="PÇ"/>
    <n v="0.63800000000000001"/>
    <n v="0.63800000000000001"/>
    <n v="1651.88"/>
    <n v="1053.8994400000001"/>
    <n v="0"/>
    <n v="0.9"/>
    <n v="0.1"/>
    <m/>
    <m/>
    <x v="0"/>
    <n v="0"/>
    <m/>
    <n v="0"/>
    <n v="0.63800000000000001"/>
    <m/>
    <n v="0.4"/>
    <n v="0.5"/>
    <n v="0.1"/>
    <m/>
    <m/>
    <m/>
    <n v="0"/>
    <n v="0"/>
    <n v="0"/>
    <n v="1053.8994400000001"/>
    <m/>
    <m/>
  </r>
  <r>
    <s v="2.4.3.1.2"/>
    <s v="CMS M.60.10.000"/>
    <x v="2"/>
    <n v="10"/>
    <s v="SPOOL"/>
    <n v="8"/>
    <x v="1"/>
    <s v="NÃO"/>
    <s v="NÃO"/>
    <x v="29"/>
    <x v="2"/>
    <s v="DISPOSIÇÃO DE REJEITOS LINHA DO CIRCUITO ARENOSO DISTRIBUIDOR DI-145A-9912 PARA A PENEIRA PN-145A-9701"/>
    <m/>
    <m/>
    <m/>
    <s v="1450AA-T-70378_FL10"/>
    <n v="1"/>
    <s v="PÇ"/>
    <n v="1.34"/>
    <n v="1.34"/>
    <n v="1651.88"/>
    <n v="2213.5192000000002"/>
    <n v="0"/>
    <n v="0.9"/>
    <n v="0.1"/>
    <m/>
    <m/>
    <x v="0"/>
    <n v="0"/>
    <m/>
    <n v="0"/>
    <n v="1.34"/>
    <m/>
    <n v="0.4"/>
    <n v="0.5"/>
    <n v="0.1"/>
    <m/>
    <m/>
    <m/>
    <n v="0"/>
    <n v="0"/>
    <n v="0"/>
    <n v="2213.5192000000002"/>
    <m/>
    <m/>
  </r>
  <r>
    <s v="2.4.3.1.2"/>
    <s v="CMS M.60.10.000"/>
    <x v="2"/>
    <n v="11"/>
    <s v="SPOOL"/>
    <n v="8"/>
    <x v="1"/>
    <s v="NÃO"/>
    <s v="NÃO"/>
    <x v="29"/>
    <x v="2"/>
    <s v="DISPOSIÇÃO DE REJEITOS LINHA DO CIRCUITO ARENOSO DISTRIBUIDOR DI-145A-9912 PARA A PENEIRA PN-145A-9701"/>
    <m/>
    <m/>
    <m/>
    <s v="1450AA-T-70378_FL19"/>
    <n v="1"/>
    <s v="PÇ"/>
    <n v="0.96"/>
    <n v="0.96"/>
    <n v="1651.88"/>
    <n v="1585.8048000000001"/>
    <n v="0"/>
    <n v="0.9"/>
    <n v="0.1"/>
    <m/>
    <m/>
    <x v="0"/>
    <n v="0"/>
    <m/>
    <n v="0"/>
    <n v="0.96"/>
    <m/>
    <n v="0.4"/>
    <n v="0.5"/>
    <n v="0.1"/>
    <m/>
    <m/>
    <m/>
    <n v="0"/>
    <n v="0"/>
    <n v="0"/>
    <n v="1585.8048000000001"/>
    <m/>
    <m/>
  </r>
  <r>
    <s v="2.4.3.1.1"/>
    <s v="CMS M.60.10.000"/>
    <x v="2"/>
    <n v="12"/>
    <s v="SPOOL"/>
    <s v="8 X 6"/>
    <x v="1"/>
    <s v="NÃO"/>
    <s v="NÃO"/>
    <x v="29"/>
    <x v="2"/>
    <s v="DISPOSIÇÃO DE REJEITOS LINHA DO CIRCUITO ARENOSO DISTRIBUIDOR DI-145A-9912 PARA A PENEIRA PN-145A-9701"/>
    <m/>
    <m/>
    <m/>
    <s v="1450AA-T-70378_FL20"/>
    <n v="1"/>
    <s v="PÇ"/>
    <n v="2.113"/>
    <n v="2.113"/>
    <n v="1169.77"/>
    <n v="2471.7240099999999"/>
    <n v="0"/>
    <n v="0.9"/>
    <n v="0.1"/>
    <m/>
    <m/>
    <x v="0"/>
    <n v="0"/>
    <m/>
    <n v="0"/>
    <n v="2.113"/>
    <m/>
    <n v="0.4"/>
    <n v="0.5"/>
    <n v="0.1"/>
    <m/>
    <m/>
    <m/>
    <n v="0"/>
    <n v="0"/>
    <n v="0"/>
    <n v="2471.7240099999999"/>
    <m/>
    <m/>
  </r>
  <r>
    <s v="2.4.3.1.2"/>
    <s v="CMS M.60.10.000"/>
    <x v="2"/>
    <n v="13"/>
    <s v="FLANGE"/>
    <n v="8"/>
    <x v="1"/>
    <s v="NÃO"/>
    <s v="NÃO"/>
    <x v="29"/>
    <x v="2"/>
    <s v="DISPOSIÇÃO DE REJEITOS LINHA DO CIRCUITO ARENOSO DISTRIBUIDOR DI-145A-9912 PARA A PENEIRA PN-145A-9701"/>
    <m/>
    <m/>
    <m/>
    <s v="1450AA-T-70378_FL08"/>
    <n v="2"/>
    <s v="PÇ"/>
    <n v="0"/>
    <n v="0"/>
    <n v="1651.88"/>
    <n v="0"/>
    <n v="0"/>
    <n v="0.9"/>
    <n v="0.1"/>
    <m/>
    <m/>
    <x v="0"/>
    <n v="0"/>
    <m/>
    <n v="0"/>
    <n v="0"/>
    <m/>
    <n v="0.4"/>
    <n v="0.5"/>
    <n v="0.1"/>
    <m/>
    <m/>
    <m/>
    <n v="0"/>
    <n v="0"/>
    <n v="0"/>
    <n v="0"/>
    <m/>
    <m/>
  </r>
  <r>
    <s v="2.4.3.1.2"/>
    <s v="CMS M.60.10.000"/>
    <x v="2"/>
    <n v="1"/>
    <s v="CURVA"/>
    <n v="8"/>
    <x v="1"/>
    <s v="NÃO"/>
    <s v="NÃO"/>
    <x v="30"/>
    <x v="2"/>
    <s v="DISPOSIÇÃO DE REJEITOS LINHA DO CIRCUITO ARENOSO DISTRIBUIDOR DI-145A-9912 PARA A PENEIRA PN-145A-9721"/>
    <m/>
    <m/>
    <m/>
    <s v="1450AA-T-70380_FL13"/>
    <n v="3"/>
    <s v="PÇ"/>
    <n v="0.61099999999999999"/>
    <n v="1.833"/>
    <n v="1651.88"/>
    <n v="3027.8960400000001"/>
    <n v="0"/>
    <n v="0.9"/>
    <n v="0.1"/>
    <m/>
    <m/>
    <x v="0"/>
    <n v="0"/>
    <m/>
    <n v="0"/>
    <n v="1.833"/>
    <m/>
    <n v="0.4"/>
    <n v="0.5"/>
    <n v="0.1"/>
    <m/>
    <m/>
    <m/>
    <n v="0"/>
    <n v="0"/>
    <n v="0"/>
    <n v="3027.8960400000001"/>
    <m/>
    <m/>
  </r>
  <r>
    <s v="2.4.3.1.2"/>
    <s v="CMS M.60.10.000"/>
    <x v="2"/>
    <n v="2"/>
    <s v="SPOOL"/>
    <n v="8"/>
    <x v="1"/>
    <s v="NÃO"/>
    <s v="NÃO"/>
    <x v="30"/>
    <x v="2"/>
    <s v="DISPOSIÇÃO DE REJEITOS LINHA DO CIRCUITO ARENOSO DISTRIBUIDOR DI-145A-9912 PARA A PENEIRA PN-145A-9721"/>
    <m/>
    <m/>
    <m/>
    <s v="1450AA-T-70380_FL07"/>
    <n v="1"/>
    <s v="PÇ"/>
    <n v="0.23499999999999999"/>
    <n v="0.23499999999999999"/>
    <n v="1651.88"/>
    <n v="388.1918"/>
    <n v="0"/>
    <n v="0.9"/>
    <n v="0.1"/>
    <m/>
    <m/>
    <x v="0"/>
    <n v="0"/>
    <m/>
    <n v="0"/>
    <n v="0.23499999999999999"/>
    <m/>
    <n v="0.4"/>
    <n v="0.5"/>
    <n v="0.1"/>
    <m/>
    <m/>
    <m/>
    <n v="0"/>
    <n v="0"/>
    <n v="0"/>
    <n v="388.1918"/>
    <m/>
    <m/>
  </r>
  <r>
    <s v="2.4.3.1.2"/>
    <s v="CMS M.60.10.000"/>
    <x v="2"/>
    <n v="3"/>
    <s v="CURVA"/>
    <n v="8"/>
    <x v="1"/>
    <s v="NÃO"/>
    <s v="NÃO"/>
    <x v="30"/>
    <x v="2"/>
    <s v="DISPOSIÇÃO DE REJEITOS LINHA DO CIRCUITO ARENOSO DISTRIBUIDOR DI-145A-9912 PARA A PENEIRA PN-145A-9721"/>
    <m/>
    <m/>
    <m/>
    <s v="1450AA-T-70380_FL12"/>
    <n v="1"/>
    <s v="PÇ"/>
    <n v="0.32100000000000001"/>
    <n v="0.32100000000000001"/>
    <n v="1651.88"/>
    <n v="530.25348000000008"/>
    <n v="0"/>
    <n v="0.9"/>
    <n v="0.1"/>
    <m/>
    <m/>
    <x v="0"/>
    <n v="0"/>
    <m/>
    <n v="0"/>
    <n v="0.32100000000000001"/>
    <m/>
    <n v="0.4"/>
    <n v="0.5"/>
    <n v="0.1"/>
    <m/>
    <m/>
    <m/>
    <n v="0"/>
    <n v="0"/>
    <n v="0"/>
    <n v="530.25348000000008"/>
    <m/>
    <m/>
  </r>
  <r>
    <s v="2.4.3.1.2"/>
    <s v="CMS M.60.10.000"/>
    <x v="2"/>
    <n v="4"/>
    <s v="SPOOL"/>
    <n v="8"/>
    <x v="2"/>
    <s v="NÃO"/>
    <s v="NÃO"/>
    <x v="30"/>
    <x v="2"/>
    <s v="DISPOSIÇÃO DE REJEITOS LINHA DO CIRCUITO ARENOSO DISTRIBUIDOR DI-145A-9912 PARA A PENEIRA PN-145A-9721"/>
    <m/>
    <m/>
    <m/>
    <s v="1450AA-T-70380_FL11"/>
    <n v="1"/>
    <s v="PÇ"/>
    <n v="0.6"/>
    <n v="0.6"/>
    <n v="1651.88"/>
    <n v="991.12800000000004"/>
    <n v="0"/>
    <n v="0.9"/>
    <n v="0.1"/>
    <m/>
    <m/>
    <x v="0"/>
    <n v="0"/>
    <m/>
    <n v="0"/>
    <n v="0.6"/>
    <m/>
    <n v="0.4"/>
    <n v="0.5"/>
    <n v="0.1"/>
    <m/>
    <m/>
    <m/>
    <n v="0"/>
    <n v="0"/>
    <n v="0"/>
    <n v="991.12800000000004"/>
    <m/>
    <m/>
  </r>
  <r>
    <s v="2.4.3.1.2"/>
    <s v="CMS M.60.10.000"/>
    <x v="2"/>
    <n v="5"/>
    <s v="SPOOL"/>
    <n v="8"/>
    <x v="1"/>
    <s v="NÃO"/>
    <s v="NÃO"/>
    <x v="30"/>
    <x v="2"/>
    <s v="DISPOSIÇÃO DE REJEITOS LINHA DO CIRCUITO ARENOSO DISTRIBUIDOR DI-145A-9912 PARA A PENEIRA PN-145A-9721"/>
    <m/>
    <m/>
    <m/>
    <s v="1450AA-T-70380_FL09"/>
    <n v="2"/>
    <s v="PÇ"/>
    <n v="3.7"/>
    <n v="7.4"/>
    <n v="1651.88"/>
    <n v="12223.912000000002"/>
    <n v="0"/>
    <n v="0.9"/>
    <n v="0.1"/>
    <m/>
    <m/>
    <x v="0"/>
    <n v="0"/>
    <m/>
    <n v="0"/>
    <n v="7.4"/>
    <m/>
    <n v="0.4"/>
    <n v="0.5"/>
    <n v="0.1"/>
    <m/>
    <m/>
    <m/>
    <n v="0"/>
    <n v="0"/>
    <n v="0"/>
    <n v="12223.912000000002"/>
    <m/>
    <m/>
  </r>
  <r>
    <s v="2.4.3.1.2"/>
    <s v="CMS M.60.10.000"/>
    <x v="2"/>
    <n v="6"/>
    <s v="SPOOL"/>
    <n v="8"/>
    <x v="1"/>
    <s v="NÃO"/>
    <s v="NÃO"/>
    <x v="30"/>
    <x v="2"/>
    <s v="DISPOSIÇÃO DE REJEITOS LINHA DO CIRCUITO ARENOSO DISTRIBUIDOR DI-145A-9912 PARA A PENEIRA PN-145A-9721"/>
    <m/>
    <m/>
    <m/>
    <s v="1450AA-T-70380_FL06"/>
    <n v="1"/>
    <s v="PÇ"/>
    <n v="0.18099999999999999"/>
    <n v="0.18099999999999999"/>
    <n v="1651.88"/>
    <n v="298.99027999999998"/>
    <n v="0"/>
    <n v="0.9"/>
    <n v="0.1"/>
    <m/>
    <m/>
    <x v="0"/>
    <n v="0"/>
    <m/>
    <n v="0"/>
    <n v="0.18099999999999999"/>
    <m/>
    <n v="0.4"/>
    <n v="0.5"/>
    <n v="0.1"/>
    <m/>
    <m/>
    <m/>
    <n v="0"/>
    <n v="0"/>
    <n v="0"/>
    <n v="298.99027999999998"/>
    <m/>
    <m/>
  </r>
  <r>
    <s v="2.4.3.1.2"/>
    <s v="CMS M.60.10.000"/>
    <x v="2"/>
    <n v="7"/>
    <s v="SPOOL"/>
    <n v="8"/>
    <x v="1"/>
    <s v="NÃO"/>
    <s v="NÃO"/>
    <x v="30"/>
    <x v="2"/>
    <s v="DISPOSIÇÃO DE REJEITOS LINHA DO CIRCUITO ARENOSO DISTRIBUIDOR DI-145A-9912 PARA A PENEIRA PN-145A-9721"/>
    <m/>
    <m/>
    <m/>
    <s v="1450AA-T-70380_FL08"/>
    <n v="1"/>
    <s v="PÇ"/>
    <n v="0.32500000000000001"/>
    <n v="0.32500000000000001"/>
    <n v="1651.88"/>
    <n v="536.8610000000001"/>
    <n v="0"/>
    <n v="0.9"/>
    <n v="0.1"/>
    <m/>
    <m/>
    <x v="0"/>
    <n v="0"/>
    <m/>
    <n v="0"/>
    <n v="0.32500000000000001"/>
    <m/>
    <n v="0.4"/>
    <n v="0.5"/>
    <n v="0.1"/>
    <m/>
    <m/>
    <m/>
    <n v="0"/>
    <n v="0"/>
    <n v="0"/>
    <n v="536.8610000000001"/>
    <m/>
    <m/>
  </r>
  <r>
    <s v="2.4.3.1.2"/>
    <s v="CMS M.60.10.000"/>
    <x v="2"/>
    <n v="8"/>
    <s v="SPOOL"/>
    <n v="8"/>
    <x v="1"/>
    <s v="NÃO"/>
    <s v="NÃO"/>
    <x v="30"/>
    <x v="2"/>
    <s v="DISPOSIÇÃO DE REJEITOS LINHA DO CIRCUITO ARENOSO DISTRIBUIDOR DI-145A-9912 PARA A PENEIRA PN-145A-9721"/>
    <m/>
    <m/>
    <m/>
    <s v="1450AA-T-70380_FL14"/>
    <n v="1"/>
    <s v="PÇ"/>
    <n v="1.01"/>
    <n v="1.01"/>
    <n v="1651.88"/>
    <n v="1668.3988000000002"/>
    <n v="0"/>
    <n v="0.9"/>
    <n v="0.1"/>
    <m/>
    <m/>
    <x v="0"/>
    <n v="0"/>
    <m/>
    <n v="0"/>
    <n v="1.01"/>
    <m/>
    <n v="0.4"/>
    <n v="0.5"/>
    <n v="0.1"/>
    <m/>
    <m/>
    <m/>
    <n v="0"/>
    <n v="0"/>
    <n v="0"/>
    <n v="1668.3988000000002"/>
    <m/>
    <m/>
  </r>
  <r>
    <s v="2.4.3.1.2"/>
    <s v="CMS M.60.10.000"/>
    <x v="2"/>
    <n v="9"/>
    <s v="SPOOL"/>
    <n v="8"/>
    <x v="2"/>
    <s v="NÃO"/>
    <s v="NÃO"/>
    <x v="30"/>
    <x v="2"/>
    <s v="DISPOSIÇÃO DE REJEITOS LINHA DO CIRCUITO ARENOSO DISTRIBUIDOR DI-145A-9912 PARA A PENEIRA PN-145A-9721"/>
    <m/>
    <m/>
    <m/>
    <s v="1450AA-T-70380_FL10"/>
    <n v="1"/>
    <s v="PÇ"/>
    <n v="0.51"/>
    <n v="0.51"/>
    <n v="1651.88"/>
    <n v="842.45880000000011"/>
    <n v="0"/>
    <n v="0.9"/>
    <n v="0.1"/>
    <m/>
    <m/>
    <x v="0"/>
    <n v="0"/>
    <m/>
    <n v="0"/>
    <n v="0.51"/>
    <m/>
    <n v="0.4"/>
    <n v="0.5"/>
    <n v="0.1"/>
    <m/>
    <m/>
    <m/>
    <n v="0"/>
    <n v="0"/>
    <n v="0"/>
    <n v="842.45880000000011"/>
    <m/>
    <m/>
  </r>
  <r>
    <s v="2.4.3.1.2"/>
    <s v="CMS M.60.10.000"/>
    <x v="2"/>
    <n v="1"/>
    <s v="SPOOL"/>
    <n v="8"/>
    <x v="1"/>
    <s v="NÃO"/>
    <s v="NÃO"/>
    <x v="31"/>
    <x v="2"/>
    <s v="DISPOSIÇÃO DE REJEITOS LINHA DO CIRCUITO ARENOSO DISTRIBUIDOR DI-145A-9912 PARA A PENEIRA PN-145A-9702"/>
    <m/>
    <m/>
    <m/>
    <s v="1450AA-T-70382_FL09"/>
    <n v="1"/>
    <s v="PÇ"/>
    <n v="0.33500000000000002"/>
    <n v="0.33500000000000002"/>
    <n v="1651.88"/>
    <n v="553.37980000000005"/>
    <n v="0"/>
    <n v="0.9"/>
    <n v="0.1"/>
    <m/>
    <m/>
    <x v="0"/>
    <n v="0"/>
    <m/>
    <n v="0"/>
    <n v="0.33500000000000002"/>
    <m/>
    <n v="0.4"/>
    <n v="0.5"/>
    <n v="0.1"/>
    <m/>
    <m/>
    <m/>
    <n v="0"/>
    <n v="0"/>
    <n v="0"/>
    <n v="553.37980000000005"/>
    <m/>
    <m/>
  </r>
  <r>
    <s v="2.4.3.1.2"/>
    <s v="CMS M.60.10.000"/>
    <x v="2"/>
    <n v="2"/>
    <s v="CURVA"/>
    <n v="8"/>
    <x v="1"/>
    <s v="NÃO"/>
    <s v="NÃO"/>
    <x v="31"/>
    <x v="2"/>
    <s v="DISPOSIÇÃO DE REJEITOS LINHA DO CIRCUITO ARENOSO DISTRIBUIDOR DI-145A-9912 PARA A PENEIRA PN-145A-9702"/>
    <m/>
    <m/>
    <m/>
    <s v="1450AA-T-70382_FL20"/>
    <n v="2"/>
    <s v="PÇ"/>
    <n v="0.61099999999999999"/>
    <n v="1.222"/>
    <n v="1651.88"/>
    <n v="2018.59736"/>
    <n v="0"/>
    <n v="0.9"/>
    <n v="0.1"/>
    <m/>
    <m/>
    <x v="0"/>
    <n v="0"/>
    <m/>
    <n v="0"/>
    <n v="1.222"/>
    <m/>
    <n v="0.4"/>
    <n v="0.5"/>
    <n v="0.1"/>
    <m/>
    <m/>
    <m/>
    <n v="0"/>
    <n v="0"/>
    <n v="0"/>
    <n v="2018.59736"/>
    <m/>
    <m/>
  </r>
  <r>
    <s v="2.4.3.1.2"/>
    <s v="CMS M.60.10.000"/>
    <x v="2"/>
    <n v="3"/>
    <s v="SPOOL"/>
    <n v="8"/>
    <x v="1"/>
    <s v="NÃO"/>
    <s v="NÃO"/>
    <x v="31"/>
    <x v="2"/>
    <s v="DISPOSIÇÃO DE REJEITOS LINHA DO CIRCUITO ARENOSO DISTRIBUIDOR DI-145A-9912 PARA A PENEIRA PN-145A-9702"/>
    <m/>
    <m/>
    <m/>
    <s v="1450AA-T-70382_FL10"/>
    <n v="1"/>
    <s v="PÇ"/>
    <n v="0.42299999999999999"/>
    <n v="0.42299999999999999"/>
    <n v="1651.88"/>
    <n v="698.74524000000008"/>
    <n v="0"/>
    <n v="0.9"/>
    <n v="0.1"/>
    <m/>
    <m/>
    <x v="0"/>
    <n v="0"/>
    <m/>
    <n v="0"/>
    <n v="0.42299999999999999"/>
    <m/>
    <n v="0.4"/>
    <n v="0.5"/>
    <n v="0.1"/>
    <m/>
    <m/>
    <m/>
    <n v="0"/>
    <n v="0"/>
    <n v="0"/>
    <n v="698.74524000000008"/>
    <m/>
    <m/>
  </r>
  <r>
    <s v="2.4.3.1.2"/>
    <s v="CMS M.60.10.000"/>
    <x v="2"/>
    <n v="4"/>
    <s v="CURVA"/>
    <n v="8"/>
    <x v="1"/>
    <s v="NÃO"/>
    <s v="NÃO"/>
    <x v="31"/>
    <x v="2"/>
    <s v="DISPOSIÇÃO DE REJEITOS LINHA DO CIRCUITO ARENOSO DISTRIBUIDOR DI-145A-9912 PARA A PENEIRA PN-145A-9702"/>
    <m/>
    <m/>
    <m/>
    <s v="1450AA-T-70382_FL18"/>
    <n v="1"/>
    <s v="PÇ"/>
    <n v="0.32100000000000001"/>
    <n v="0.32100000000000001"/>
    <n v="1651.88"/>
    <n v="530.25348000000008"/>
    <n v="0"/>
    <n v="0.9"/>
    <n v="0.1"/>
    <m/>
    <m/>
    <x v="0"/>
    <n v="0"/>
    <m/>
    <n v="0"/>
    <n v="0.32100000000000001"/>
    <m/>
    <n v="0.4"/>
    <n v="0.5"/>
    <n v="0.1"/>
    <m/>
    <m/>
    <m/>
    <n v="0"/>
    <n v="0"/>
    <n v="0"/>
    <n v="530.25348000000008"/>
    <m/>
    <m/>
  </r>
  <r>
    <s v="2.4.3.1.2"/>
    <s v="CMS M.60.10.000"/>
    <x v="2"/>
    <n v="5"/>
    <s v="SPOOL"/>
    <n v="8"/>
    <x v="2"/>
    <s v="NÃO"/>
    <s v="NÃO"/>
    <x v="31"/>
    <x v="2"/>
    <s v="DISPOSIÇÃO DE REJEITOS LINHA DO CIRCUITO ARENOSO DISTRIBUIDOR DI-145A-9912 PARA A PENEIRA PN-145A-9702"/>
    <m/>
    <m/>
    <m/>
    <s v="1450AA-T-70382_FL16"/>
    <n v="1"/>
    <s v="PÇ"/>
    <n v="0.46"/>
    <n v="0.46"/>
    <n v="1651.88"/>
    <n v="759.86480000000006"/>
    <n v="0"/>
    <n v="0.9"/>
    <n v="0.1"/>
    <m/>
    <m/>
    <x v="0"/>
    <n v="0"/>
    <m/>
    <n v="0"/>
    <n v="0.46"/>
    <m/>
    <n v="0.4"/>
    <n v="0.5"/>
    <n v="0.1"/>
    <m/>
    <m/>
    <m/>
    <n v="0"/>
    <n v="0"/>
    <n v="0"/>
    <n v="759.86480000000006"/>
    <m/>
    <m/>
  </r>
  <r>
    <s v="2.4.3.1.2"/>
    <s v="CMS M.60.10.000"/>
    <x v="2"/>
    <n v="6"/>
    <s v="SPOOL"/>
    <n v="8"/>
    <x v="1"/>
    <s v="NÃO"/>
    <s v="NÃO"/>
    <x v="31"/>
    <x v="2"/>
    <s v="DISPOSIÇÃO DE REJEITOS LINHA DO CIRCUITO ARENOSO DISTRIBUIDOR DI-145A-9912 PARA A PENEIRA PN-145A-9702"/>
    <m/>
    <m/>
    <m/>
    <s v="1450AA-T-70382_FL15"/>
    <n v="1"/>
    <s v="PÇ"/>
    <n v="6"/>
    <n v="6"/>
    <n v="1651.88"/>
    <n v="9911.2800000000007"/>
    <n v="0"/>
    <n v="0.9"/>
    <n v="0.1"/>
    <m/>
    <m/>
    <x v="0"/>
    <n v="0"/>
    <m/>
    <n v="0"/>
    <n v="6"/>
    <m/>
    <n v="0.4"/>
    <n v="0.5"/>
    <n v="0.1"/>
    <m/>
    <m/>
    <m/>
    <n v="0"/>
    <n v="0"/>
    <n v="0"/>
    <n v="9911.2800000000007"/>
    <m/>
    <m/>
  </r>
  <r>
    <s v="2.4.3.1.2"/>
    <s v="CMS M.60.10.000"/>
    <x v="2"/>
    <n v="7"/>
    <s v="SPOOL"/>
    <n v="8"/>
    <x v="1"/>
    <s v="NÃO"/>
    <s v="NÃO"/>
    <x v="31"/>
    <x v="2"/>
    <s v="DISPOSIÇÃO DE REJEITOS LINHA DO CIRCUITO ARENOSO DISTRIBUIDOR DI-145A-9912 PARA A PENEIRA PN-145A-9702"/>
    <m/>
    <m/>
    <m/>
    <s v="1450AA-T-70382_FL13"/>
    <n v="1"/>
    <s v="PÇ"/>
    <n v="1.5"/>
    <n v="1.5"/>
    <n v="1651.88"/>
    <n v="2477.8200000000002"/>
    <n v="0"/>
    <n v="0.9"/>
    <n v="0.1"/>
    <m/>
    <m/>
    <x v="0"/>
    <n v="0"/>
    <m/>
    <n v="0"/>
    <n v="1.5"/>
    <m/>
    <n v="0.4"/>
    <n v="0.5"/>
    <n v="0.1"/>
    <m/>
    <m/>
    <m/>
    <n v="0"/>
    <n v="0"/>
    <n v="0"/>
    <n v="2477.8200000000002"/>
    <m/>
    <m/>
  </r>
  <r>
    <s v="2.4.3.1.2"/>
    <s v="CMS M.60.10.000"/>
    <x v="2"/>
    <n v="8"/>
    <s v="SPOOL"/>
    <n v="8"/>
    <x v="1"/>
    <s v="NÃO"/>
    <s v="NÃO"/>
    <x v="31"/>
    <x v="2"/>
    <s v="DISPOSIÇÃO DE REJEITOS LINHA DO CIRCUITO ARENOSO DISTRIBUIDOR DI-145A-9912 PARA A PENEIRA PN-145A-9702"/>
    <m/>
    <m/>
    <m/>
    <s v="1450AA-T-70382_FL14"/>
    <n v="1"/>
    <s v="PÇ"/>
    <n v="3"/>
    <n v="3"/>
    <n v="1651.88"/>
    <n v="4955.6400000000003"/>
    <n v="0"/>
    <n v="0.9"/>
    <n v="0.1"/>
    <m/>
    <m/>
    <x v="0"/>
    <n v="0"/>
    <m/>
    <n v="0"/>
    <n v="3"/>
    <m/>
    <n v="0.4"/>
    <n v="0.5"/>
    <n v="0.1"/>
    <m/>
    <m/>
    <m/>
    <n v="0"/>
    <n v="0"/>
    <n v="0"/>
    <n v="4955.6400000000003"/>
    <m/>
    <m/>
  </r>
  <r>
    <s v="2.4.3.1.2"/>
    <s v="CMS M.60.10.000"/>
    <x v="2"/>
    <n v="9"/>
    <s v="SPOOL"/>
    <n v="8"/>
    <x v="2"/>
    <s v="NÃO"/>
    <s v="NÃO"/>
    <x v="31"/>
    <x v="2"/>
    <s v="DISPOSIÇÃO DE REJEITOS LINHA DO CIRCUITO ARENOSO DISTRIBUIDOR DI-145A-9912 PARA A PENEIRA PN-145A-9702"/>
    <m/>
    <m/>
    <m/>
    <s v="1450AA-T-70382_FL17"/>
    <n v="1"/>
    <s v="PÇ"/>
    <n v="0.65"/>
    <n v="0.65"/>
    <n v="1651.88"/>
    <n v="1073.7220000000002"/>
    <n v="0"/>
    <n v="0.9"/>
    <n v="0.1"/>
    <m/>
    <m/>
    <x v="0"/>
    <n v="0"/>
    <m/>
    <n v="0"/>
    <n v="0.65"/>
    <m/>
    <n v="0.4"/>
    <n v="0.5"/>
    <n v="0.1"/>
    <m/>
    <m/>
    <m/>
    <n v="0"/>
    <n v="0"/>
    <n v="0"/>
    <n v="1073.7220000000002"/>
    <m/>
    <m/>
  </r>
  <r>
    <s v="2.4.3.1.2"/>
    <s v="CMS M.60.10.000"/>
    <x v="2"/>
    <n v="10"/>
    <s v="CURVA"/>
    <n v="8"/>
    <x v="1"/>
    <s v="NÃO"/>
    <s v="NÃO"/>
    <x v="31"/>
    <x v="2"/>
    <s v="DISPOSIÇÃO DE REJEITOS LINHA DO CIRCUITO ARENOSO DISTRIBUIDOR DI-145A-9912 PARA A PENEIRA PN-145A-9702"/>
    <m/>
    <m/>
    <m/>
    <s v="1450AA-T-70382_FL19"/>
    <n v="1"/>
    <s v="PÇ"/>
    <n v="0.54200000000000004"/>
    <n v="0.54200000000000004"/>
    <n v="1651.88"/>
    <n v="895.31896000000017"/>
    <n v="0"/>
    <n v="0.9"/>
    <n v="0.1"/>
    <m/>
    <m/>
    <x v="0"/>
    <n v="0"/>
    <m/>
    <n v="0"/>
    <n v="0.54200000000000004"/>
    <m/>
    <n v="0.4"/>
    <n v="0.5"/>
    <n v="0.1"/>
    <m/>
    <m/>
    <m/>
    <n v="0"/>
    <n v="0"/>
    <n v="0"/>
    <n v="895.31896000000017"/>
    <m/>
    <m/>
  </r>
  <r>
    <s v="2.4.3.1.2"/>
    <s v="CMS M.60.10.000"/>
    <x v="2"/>
    <n v="11"/>
    <s v="SPOOL"/>
    <n v="8"/>
    <x v="1"/>
    <s v="NÃO"/>
    <s v="NÃO"/>
    <x v="31"/>
    <x v="2"/>
    <s v="DISPOSIÇÃO DE REJEITOS LINHA DO CIRCUITO ARENOSO DISTRIBUIDOR DI-145A-9912 PARA A PENEIRA PN-145A-9702"/>
    <m/>
    <m/>
    <m/>
    <s v="1450AA-T-70382_FL11"/>
    <n v="1"/>
    <s v="PÇ"/>
    <n v="0.81599999999999995"/>
    <n v="0.81599999999999995"/>
    <n v="1651.88"/>
    <n v="1347.93408"/>
    <n v="0"/>
    <n v="0.9"/>
    <n v="0.1"/>
    <m/>
    <m/>
    <x v="0"/>
    <n v="0"/>
    <m/>
    <n v="0"/>
    <n v="0.81599999999999995"/>
    <m/>
    <n v="0.4"/>
    <n v="0.5"/>
    <n v="0.1"/>
    <m/>
    <m/>
    <m/>
    <n v="0"/>
    <n v="0"/>
    <n v="0"/>
    <n v="1347.93408"/>
    <m/>
    <m/>
  </r>
  <r>
    <s v="2.4.3.1.2"/>
    <s v="CMS M.60.10.000"/>
    <x v="2"/>
    <n v="12"/>
    <s v="CURVA"/>
    <n v="8"/>
    <x v="1"/>
    <s v="NÃO"/>
    <s v="NÃO"/>
    <x v="31"/>
    <x v="2"/>
    <s v="DISPOSIÇÃO DE REJEITOS LINHA DO CIRCUITO ARENOSO DISTRIBUIDOR DI-145A-9912 PARA A PENEIRA PN-145A-9702"/>
    <m/>
    <m/>
    <m/>
    <s v="1450AA-T-70382_FL21"/>
    <n v="1"/>
    <s v="PÇ"/>
    <n v="0.63800000000000001"/>
    <n v="0.63800000000000001"/>
    <n v="1651.88"/>
    <n v="1053.8994400000001"/>
    <n v="0"/>
    <n v="0.9"/>
    <n v="0.1"/>
    <m/>
    <m/>
    <x v="0"/>
    <n v="0"/>
    <m/>
    <n v="0"/>
    <n v="0.63800000000000001"/>
    <m/>
    <n v="0.4"/>
    <n v="0.5"/>
    <n v="0.1"/>
    <m/>
    <m/>
    <m/>
    <n v="0"/>
    <n v="0"/>
    <n v="0"/>
    <n v="1053.8994400000001"/>
    <m/>
    <m/>
  </r>
  <r>
    <s v="2.4.3.1.2"/>
    <s v="CMS M.60.10.000"/>
    <x v="2"/>
    <n v="13"/>
    <s v="SPOOL"/>
    <n v="8"/>
    <x v="1"/>
    <s v="NÃO"/>
    <s v="NÃO"/>
    <x v="31"/>
    <x v="2"/>
    <s v="DISPOSIÇÃO DE REJEITOS LINHA DO CIRCUITO ARENOSO DISTRIBUIDOR DI-145A-9912 PARA A PENEIRA PN-145A-9702"/>
    <m/>
    <m/>
    <m/>
    <s v="1450AA-T-70382_FL12"/>
    <n v="1"/>
    <s v="PÇ"/>
    <n v="1.34"/>
    <n v="1.34"/>
    <n v="1651.88"/>
    <n v="2213.5192000000002"/>
    <n v="0"/>
    <n v="0.9"/>
    <n v="0.1"/>
    <m/>
    <m/>
    <x v="0"/>
    <n v="0"/>
    <m/>
    <n v="0"/>
    <n v="1.34"/>
    <m/>
    <n v="0.4"/>
    <n v="0.5"/>
    <n v="0.1"/>
    <m/>
    <m/>
    <m/>
    <n v="0"/>
    <n v="0"/>
    <n v="0"/>
    <n v="2213.5192000000002"/>
    <m/>
    <m/>
  </r>
  <r>
    <s v="2.4.3.1.2"/>
    <s v="CMS M.60.10.000"/>
    <x v="2"/>
    <n v="14"/>
    <s v="SPOOL"/>
    <n v="8"/>
    <x v="1"/>
    <s v="NÃO"/>
    <s v="NÃO"/>
    <x v="31"/>
    <x v="2"/>
    <s v="DISPOSIÇÃO DE REJEITOS LINHA DO CIRCUITO ARENOSO DISTRIBUIDOR DI-145A-9912 PARA A PENEIRA PN-145A-9702"/>
    <m/>
    <m/>
    <m/>
    <s v="1450AA-T-70382_FL22"/>
    <n v="1"/>
    <s v="PÇ"/>
    <n v="0.96"/>
    <n v="0.96"/>
    <n v="1651.88"/>
    <n v="1585.8048000000001"/>
    <n v="0"/>
    <n v="0.9"/>
    <n v="0.1"/>
    <m/>
    <m/>
    <x v="0"/>
    <n v="0"/>
    <m/>
    <n v="0"/>
    <n v="0.96"/>
    <m/>
    <n v="0.4"/>
    <n v="0.5"/>
    <n v="0.1"/>
    <m/>
    <m/>
    <m/>
    <n v="0"/>
    <n v="0"/>
    <n v="0"/>
    <n v="1585.8048000000001"/>
    <m/>
    <m/>
  </r>
  <r>
    <s v="2.4.3.1.1"/>
    <s v="CMS M.60.10.000"/>
    <x v="2"/>
    <n v="15"/>
    <s v="SPOOL"/>
    <s v="8 X 6"/>
    <x v="1"/>
    <s v="NÃO"/>
    <s v="NÃO"/>
    <x v="31"/>
    <x v="2"/>
    <s v="DISPOSIÇÃO DE REJEITOS LINHA DO CIRCUITO ARENOSO DISTRIBUIDOR DI-145A-9912 PARA A PENEIRA PN-145A-9702"/>
    <m/>
    <m/>
    <m/>
    <s v="1450AA-T-70382_FL23"/>
    <n v="1"/>
    <s v="PÇ"/>
    <n v="2.113"/>
    <n v="2.113"/>
    <n v="1169.77"/>
    <n v="2471.7240099999999"/>
    <n v="0"/>
    <n v="0.9"/>
    <n v="0.1"/>
    <m/>
    <m/>
    <x v="0"/>
    <n v="0"/>
    <m/>
    <n v="0"/>
    <n v="2.113"/>
    <m/>
    <n v="0.4"/>
    <n v="0.5"/>
    <n v="0.1"/>
    <m/>
    <m/>
    <m/>
    <n v="0"/>
    <n v="0"/>
    <n v="0"/>
    <n v="2471.7240099999999"/>
    <m/>
    <m/>
  </r>
  <r>
    <s v="2.4.3.1.1"/>
    <s v="CMS M.60.10.000"/>
    <x v="2"/>
    <n v="16"/>
    <s v="FLANGE"/>
    <n v="6"/>
    <x v="1"/>
    <s v="NÃO"/>
    <s v="NÃO"/>
    <x v="31"/>
    <x v="2"/>
    <s v="DISPOSIÇÃO DE REJEITOS LINHA DO CIRCUITO ARENOSO DISTRIBUIDOR DI-145A-9912 PARA A PENEIRA PN-145A-9702"/>
    <m/>
    <m/>
    <m/>
    <s v="1450AA-T-70382_FL08"/>
    <n v="2"/>
    <s v="PÇ"/>
    <n v="0"/>
    <n v="0"/>
    <n v="1169.77"/>
    <n v="0"/>
    <n v="0"/>
    <n v="0.9"/>
    <n v="0.1"/>
    <m/>
    <m/>
    <x v="0"/>
    <n v="0"/>
    <m/>
    <n v="0"/>
    <n v="0"/>
    <m/>
    <n v="0.4"/>
    <n v="0.5"/>
    <n v="0.1"/>
    <m/>
    <m/>
    <m/>
    <n v="0"/>
    <n v="0"/>
    <n v="0"/>
    <n v="0"/>
    <m/>
    <m/>
  </r>
  <r>
    <s v="2.4.3.1.2"/>
    <s v="CMS M.60.10.000"/>
    <x v="2"/>
    <n v="1"/>
    <s v="SPOOL"/>
    <n v="8"/>
    <x v="1"/>
    <s v="NÃO"/>
    <s v="NÃO"/>
    <x v="32"/>
    <x v="2"/>
    <s v="DISPOSIÇÃO DE REJEITOS LINHA DO CIRCUITO ARENOSO DISTRIBUIDOR DI-145A-9912 PARA A PENEIRA PN-145A-9722"/>
    <m/>
    <m/>
    <m/>
    <s v="1450AA-T-70384_FL06"/>
    <n v="1"/>
    <s v="PÇ"/>
    <n v="0.14899999999999999"/>
    <n v="0.14899999999999999"/>
    <n v="1651.88"/>
    <n v="246.13012000000001"/>
    <n v="0"/>
    <n v="0.9"/>
    <n v="0.1"/>
    <m/>
    <m/>
    <x v="0"/>
    <n v="0"/>
    <m/>
    <n v="0"/>
    <n v="0.14899999999999999"/>
    <m/>
    <n v="0.4"/>
    <n v="0.5"/>
    <n v="0.1"/>
    <m/>
    <m/>
    <m/>
    <n v="0"/>
    <n v="0"/>
    <n v="0"/>
    <n v="246.13012000000001"/>
    <m/>
    <m/>
  </r>
  <r>
    <s v="2.4.3.1.2"/>
    <s v="CMS M.60.10.000"/>
    <x v="2"/>
    <n v="2"/>
    <s v="CURVA"/>
    <n v="8"/>
    <x v="1"/>
    <s v="NÃO"/>
    <s v="NÃO"/>
    <x v="32"/>
    <x v="2"/>
    <s v="DISPOSIÇÃO DE REJEITOS LINHA DO CIRCUITO ARENOSO DISTRIBUIDOR DI-145A-9912 PARA A PENEIRA PN-145A-9722"/>
    <m/>
    <m/>
    <m/>
    <s v="1450AA-T-70384_FL14"/>
    <n v="1"/>
    <s v="PÇ"/>
    <n v="0.33200000000000002"/>
    <n v="0.33200000000000002"/>
    <n v="1651.88"/>
    <n v="548.42416000000003"/>
    <n v="0"/>
    <n v="0.9"/>
    <n v="0.1"/>
    <m/>
    <m/>
    <x v="0"/>
    <n v="0"/>
    <m/>
    <n v="0"/>
    <n v="0.33200000000000002"/>
    <m/>
    <n v="0.4"/>
    <n v="0.5"/>
    <n v="0.1"/>
    <m/>
    <m/>
    <m/>
    <n v="0"/>
    <n v="0"/>
    <n v="0"/>
    <n v="548.42416000000003"/>
    <m/>
    <m/>
  </r>
  <r>
    <s v="2.4.3.1.2"/>
    <s v="CMS M.60.10.000"/>
    <x v="2"/>
    <n v="3"/>
    <s v="SPOOL"/>
    <n v="8"/>
    <x v="1"/>
    <s v="NÃO"/>
    <s v="NÃO"/>
    <x v="32"/>
    <x v="2"/>
    <s v="DISPOSIÇÃO DE REJEITOS LINHA DO CIRCUITO ARENOSO DISTRIBUIDOR DI-145A-9912 PARA A PENEIRA PN-145A-9722"/>
    <m/>
    <m/>
    <m/>
    <s v="1450AA-T-70384_FL08"/>
    <n v="1"/>
    <s v="PÇ"/>
    <n v="0.30399999999999999"/>
    <n v="0.30399999999999999"/>
    <n v="1651.88"/>
    <n v="502.17152000000004"/>
    <n v="0"/>
    <n v="0.9"/>
    <n v="0.1"/>
    <m/>
    <m/>
    <x v="0"/>
    <n v="0"/>
    <m/>
    <n v="0"/>
    <n v="0.30399999999999999"/>
    <m/>
    <n v="0.4"/>
    <n v="0.5"/>
    <n v="0.1"/>
    <m/>
    <m/>
    <m/>
    <n v="0"/>
    <n v="0"/>
    <n v="0"/>
    <n v="502.17152000000004"/>
    <m/>
    <m/>
  </r>
  <r>
    <s v="2.4.3.1.2"/>
    <s v="CMS M.60.10.000"/>
    <x v="2"/>
    <n v="4"/>
    <s v="CURVA"/>
    <n v="8"/>
    <x v="1"/>
    <s v="NÃO"/>
    <s v="NÃO"/>
    <x v="32"/>
    <x v="2"/>
    <s v="DISPOSIÇÃO DE REJEITOS LINHA DO CIRCUITO ARENOSO DISTRIBUIDOR DI-145A-9912 PARA A PENEIRA PN-145A-9722"/>
    <m/>
    <m/>
    <m/>
    <s v="1450AA-T-70384_FL13"/>
    <n v="1"/>
    <s v="PÇ"/>
    <n v="0.33200000000000002"/>
    <n v="0.33200000000000002"/>
    <n v="1651.88"/>
    <n v="548.42416000000003"/>
    <n v="0"/>
    <n v="0.9"/>
    <n v="0.1"/>
    <m/>
    <m/>
    <x v="0"/>
    <n v="0"/>
    <m/>
    <n v="0"/>
    <n v="0.33200000000000002"/>
    <m/>
    <n v="0.4"/>
    <n v="0.5"/>
    <n v="0.1"/>
    <m/>
    <m/>
    <m/>
    <n v="0"/>
    <n v="0"/>
    <n v="0"/>
    <n v="548.42416000000003"/>
    <m/>
    <m/>
  </r>
  <r>
    <s v="2.4.3.1.2"/>
    <s v="CMS M.60.10.000"/>
    <x v="2"/>
    <n v="5"/>
    <s v="SPOOL"/>
    <n v="8"/>
    <x v="2"/>
    <s v="NÃO"/>
    <s v="NÃO"/>
    <x v="32"/>
    <x v="2"/>
    <s v="DISPOSIÇÃO DE REJEITOS LINHA DO CIRCUITO ARENOSO DISTRIBUIDOR DI-145A-9912 PARA A PENEIRA PN-145A-9722"/>
    <m/>
    <m/>
    <m/>
    <s v="1450AA-T-70384_FL11"/>
    <n v="1"/>
    <s v="PÇ"/>
    <n v="0.34499999999999997"/>
    <n v="0.34499999999999997"/>
    <n v="1651.88"/>
    <n v="569.89859999999999"/>
    <n v="0"/>
    <n v="0.9"/>
    <n v="0.1"/>
    <m/>
    <m/>
    <x v="0"/>
    <n v="0"/>
    <m/>
    <n v="0"/>
    <n v="0.34499999999999997"/>
    <m/>
    <n v="0.4"/>
    <n v="0.5"/>
    <n v="0.1"/>
    <m/>
    <m/>
    <m/>
    <n v="0"/>
    <n v="0"/>
    <n v="0"/>
    <n v="569.89859999999999"/>
    <m/>
    <m/>
  </r>
  <r>
    <s v="2.4.3.1.2"/>
    <s v="CMS M.60.10.000"/>
    <x v="2"/>
    <n v="6"/>
    <s v="SPOOL"/>
    <n v="8"/>
    <x v="1"/>
    <s v="NÃO"/>
    <s v="NÃO"/>
    <x v="32"/>
    <x v="2"/>
    <s v="DISPOSIÇÃO DE REJEITOS LINHA DO CIRCUITO ARENOSO DISTRIBUIDOR DI-145A-9912 PARA A PENEIRA PN-145A-9722"/>
    <m/>
    <m/>
    <m/>
    <s v="1450AA-T-70384_FL10"/>
    <n v="1"/>
    <s v="PÇ"/>
    <n v="3.7"/>
    <n v="3.7"/>
    <n v="1651.88"/>
    <n v="6111.956000000001"/>
    <n v="0"/>
    <n v="0.9"/>
    <n v="0.1"/>
    <m/>
    <m/>
    <x v="0"/>
    <n v="0"/>
    <m/>
    <n v="0"/>
    <n v="3.7"/>
    <m/>
    <n v="0.4"/>
    <n v="0.5"/>
    <n v="0.1"/>
    <m/>
    <m/>
    <m/>
    <n v="0"/>
    <n v="0"/>
    <n v="0"/>
    <n v="6111.956000000001"/>
    <m/>
    <m/>
  </r>
  <r>
    <s v="2.4.3.1.2"/>
    <s v="CMS M.60.10.000"/>
    <x v="2"/>
    <n v="7"/>
    <s v="CURVA"/>
    <n v="8"/>
    <x v="1"/>
    <s v="NÃO"/>
    <s v="NÃO"/>
    <x v="32"/>
    <x v="2"/>
    <s v="DISPOSIÇÃO DE REJEITOS LINHA DO CIRCUITO ARENOSO DISTRIBUIDOR DI-145A-9912 PARA A PENEIRA PN-145A-9722"/>
    <m/>
    <m/>
    <m/>
    <s v="1450AA-T-70384_FL15"/>
    <n v="2"/>
    <s v="PÇ"/>
    <n v="0.61099999999999999"/>
    <n v="1.222"/>
    <n v="1651.88"/>
    <n v="2018.59736"/>
    <n v="0"/>
    <n v="0.9"/>
    <n v="0.1"/>
    <m/>
    <m/>
    <x v="0"/>
    <n v="0"/>
    <m/>
    <n v="0"/>
    <n v="1.222"/>
    <m/>
    <n v="0.4"/>
    <n v="0.5"/>
    <n v="0.1"/>
    <m/>
    <m/>
    <m/>
    <n v="0"/>
    <n v="0"/>
    <n v="0"/>
    <n v="2018.59736"/>
    <m/>
    <m/>
  </r>
  <r>
    <s v="2.4.3.1.2"/>
    <s v="CMS M.60.10.000"/>
    <x v="2"/>
    <n v="8"/>
    <s v="SPOOL"/>
    <n v="8"/>
    <x v="1"/>
    <s v="NÃO"/>
    <s v="NÃO"/>
    <x v="32"/>
    <x v="2"/>
    <s v="DISPOSIÇÃO DE REJEITOS LINHA DO CIRCUITO ARENOSO DISTRIBUIDOR DI-145A-9912 PARA A PENEIRA PN-145A-9722"/>
    <m/>
    <m/>
    <m/>
    <s v="1450AA-T-70384_FL07"/>
    <n v="1"/>
    <s v="PÇ"/>
    <n v="0.19400000000000001"/>
    <n v="0.19400000000000001"/>
    <n v="1651.88"/>
    <n v="320.46472000000006"/>
    <n v="0"/>
    <n v="0.9"/>
    <n v="0.1"/>
    <m/>
    <m/>
    <x v="0"/>
    <n v="0"/>
    <m/>
    <n v="0"/>
    <n v="0.19400000000000001"/>
    <m/>
    <n v="0.4"/>
    <n v="0.5"/>
    <n v="0.1"/>
    <m/>
    <m/>
    <m/>
    <n v="0"/>
    <n v="0"/>
    <n v="0"/>
    <n v="320.46472000000006"/>
    <m/>
    <m/>
  </r>
  <r>
    <s v="2.4.3.1.2"/>
    <s v="CMS M.60.10.000"/>
    <x v="2"/>
    <n v="9"/>
    <s v="SPOOL"/>
    <n v="8"/>
    <x v="1"/>
    <s v="NÃO"/>
    <s v="NÃO"/>
    <x v="32"/>
    <x v="2"/>
    <s v="DISPOSIÇÃO DE REJEITOS LINHA DO CIRCUITO ARENOSO DISTRIBUIDOR DI-145A-9912 PARA A PENEIRA PN-145A-9722"/>
    <m/>
    <m/>
    <m/>
    <s v="1450AA-T-70384_FL09"/>
    <n v="1"/>
    <s v="PÇ"/>
    <n v="0.32500000000000001"/>
    <n v="0.32500000000000001"/>
    <n v="1651.88"/>
    <n v="536.8610000000001"/>
    <n v="0"/>
    <n v="0.9"/>
    <n v="0.1"/>
    <m/>
    <m/>
    <x v="0"/>
    <n v="0"/>
    <m/>
    <n v="0"/>
    <n v="0.32500000000000001"/>
    <m/>
    <n v="0.4"/>
    <n v="0.5"/>
    <n v="0.1"/>
    <m/>
    <m/>
    <m/>
    <n v="0"/>
    <n v="0"/>
    <n v="0"/>
    <n v="536.8610000000001"/>
    <m/>
    <m/>
  </r>
  <r>
    <s v="2.4.3.1.2"/>
    <s v="CMS M.60.10.000"/>
    <x v="2"/>
    <n v="10"/>
    <s v="SPOOL"/>
    <n v="8"/>
    <x v="1"/>
    <s v="NÃO"/>
    <s v="NÃO"/>
    <x v="32"/>
    <x v="2"/>
    <s v="DISPOSIÇÃO DE REJEITOS LINHA DO CIRCUITO ARENOSO DISTRIBUIDOR DI-145A-9912 PARA A PENEIRA PN-145A-9722"/>
    <m/>
    <m/>
    <m/>
    <s v="1450AA-T-70384_FL16"/>
    <n v="1"/>
    <s v="PÇ"/>
    <n v="1.01"/>
    <n v="1.01"/>
    <n v="1651.88"/>
    <n v="1668.3988000000002"/>
    <n v="0"/>
    <n v="0.9"/>
    <n v="0.1"/>
    <m/>
    <m/>
    <x v="0"/>
    <n v="0"/>
    <m/>
    <n v="0"/>
    <n v="1.01"/>
    <m/>
    <n v="0.4"/>
    <n v="0.5"/>
    <n v="0.1"/>
    <m/>
    <m/>
    <m/>
    <n v="0"/>
    <n v="0"/>
    <n v="0"/>
    <n v="1668.3988000000002"/>
    <m/>
    <m/>
  </r>
  <r>
    <s v="2.4.3.1.2"/>
    <s v="CMS M.60.10.000"/>
    <x v="2"/>
    <n v="11"/>
    <s v="SPOOL"/>
    <n v="8"/>
    <x v="2"/>
    <s v="NÃO"/>
    <s v="NÃO"/>
    <x v="32"/>
    <x v="2"/>
    <s v="DISPOSIÇÃO DE REJEITOS LINHA DO CIRCUITO ARENOSO DISTRIBUIDOR DI-145A-9912 PARA A PENEIRA PN-145A-9722"/>
    <m/>
    <m/>
    <m/>
    <s v="1450AA-T-70384_FL12"/>
    <n v="1"/>
    <s v="PÇ"/>
    <n v="0.51"/>
    <n v="0.51"/>
    <n v="1651.88"/>
    <n v="842.45880000000011"/>
    <n v="0"/>
    <n v="0.9"/>
    <n v="0.1"/>
    <m/>
    <m/>
    <x v="0"/>
    <n v="0"/>
    <n v="0"/>
    <n v="0"/>
    <n v="0.51"/>
    <s v="X"/>
    <n v="0.4"/>
    <n v="0.5"/>
    <n v="0.1"/>
    <s v="X"/>
    <s v="X"/>
    <s v="X"/>
    <n v="0"/>
    <n v="0"/>
    <n v="0"/>
    <n v="842.45880000000011"/>
    <s v="X"/>
    <s v="X"/>
  </r>
  <r>
    <s v="2.4.3.1.2"/>
    <s v="CMS M.60.10.000"/>
    <x v="2"/>
    <n v="1"/>
    <s v="SPOOL"/>
    <n v="8"/>
    <x v="1"/>
    <s v="NÃO"/>
    <s v="NÃO"/>
    <x v="33"/>
    <x v="2"/>
    <s v="DISPOSIÇÃO DE REJEITOS LINHA DO CIRCUITO ARENOSO DISTRIBUIDOR DI-145A-9912 PARA A PENEIRA PN-145A-9703"/>
    <m/>
    <m/>
    <m/>
    <s v="1450AA-T-70386_FL09"/>
    <n v="1"/>
    <s v="PÇ"/>
    <n v="0.67600000000000005"/>
    <n v="0.67600000000000005"/>
    <n v="1651.88"/>
    <n v="1116.6708800000001"/>
    <n v="0"/>
    <n v="0.9"/>
    <n v="0.1"/>
    <m/>
    <m/>
    <x v="0"/>
    <m/>
    <m/>
    <m/>
    <m/>
    <m/>
    <m/>
    <m/>
    <m/>
    <m/>
    <m/>
    <m/>
    <m/>
    <m/>
    <m/>
    <m/>
    <m/>
    <m/>
  </r>
  <r>
    <s v="2.4.3.1.2"/>
    <s v="CMS M.60.10.000"/>
    <x v="2"/>
    <n v="2"/>
    <s v="CURVA"/>
    <n v="8"/>
    <x v="1"/>
    <s v="NÃO"/>
    <s v="NÃO"/>
    <x v="33"/>
    <x v="2"/>
    <s v="DISPOSIÇÃO DE REJEITOS LINHA DO CIRCUITO ARENOSO DISTRIBUIDOR DI-145A-9912 PARA A PENEIRA PN-145A-9703"/>
    <m/>
    <m/>
    <m/>
    <s v="1450AA-T-70386_FL19"/>
    <n v="2"/>
    <s v="PÇ"/>
    <n v="0.61099999999999999"/>
    <n v="1.222"/>
    <n v="1651.88"/>
    <n v="2018.59736"/>
    <n v="0"/>
    <n v="0.9"/>
    <n v="0.1"/>
    <m/>
    <m/>
    <x v="0"/>
    <m/>
    <m/>
    <m/>
    <m/>
    <m/>
    <m/>
    <m/>
    <m/>
    <m/>
    <m/>
    <m/>
    <m/>
    <m/>
    <m/>
    <m/>
    <m/>
    <m/>
  </r>
  <r>
    <s v="2.4.3.1.2"/>
    <s v="CMS M.60.10.000"/>
    <x v="2"/>
    <n v="3"/>
    <s v="SPOOL"/>
    <n v="8"/>
    <x v="1"/>
    <s v="NÃO"/>
    <s v="NÃO"/>
    <x v="33"/>
    <x v="2"/>
    <s v="DISPOSIÇÃO DE REJEITOS LINHA DO CIRCUITO ARENOSO DISTRIBUIDOR DI-145A-9912 PARA A PENEIRA PN-145A-9703"/>
    <m/>
    <m/>
    <m/>
    <s v="1450AA-T-70386_FL10"/>
    <n v="2"/>
    <s v="PÇ"/>
    <n v="0.81599999999999995"/>
    <n v="1.6319999999999999"/>
    <n v="1651.88"/>
    <n v="2695.86816"/>
    <n v="0"/>
    <n v="0.9"/>
    <n v="0.1"/>
    <m/>
    <m/>
    <x v="0"/>
    <m/>
    <m/>
    <m/>
    <m/>
    <m/>
    <m/>
    <m/>
    <m/>
    <m/>
    <m/>
    <m/>
    <m/>
    <m/>
    <m/>
    <m/>
    <m/>
    <m/>
  </r>
  <r>
    <s v="2.4.3.1.2"/>
    <s v="CMS M.60.10.000"/>
    <x v="2"/>
    <n v="4"/>
    <s v="CURVA"/>
    <n v="8"/>
    <x v="1"/>
    <s v="NÃO"/>
    <s v="NÃO"/>
    <x v="33"/>
    <x v="2"/>
    <s v="DISPOSIÇÃO DE REJEITOS LINHA DO CIRCUITO ARENOSO DISTRIBUIDOR DI-145A-9912 PARA A PENEIRA PN-145A-9703"/>
    <m/>
    <m/>
    <m/>
    <s v="1450AA-T-70386_FL17"/>
    <n v="1"/>
    <s v="PÇ"/>
    <n v="0.32100000000000001"/>
    <n v="0.32100000000000001"/>
    <n v="1651.88"/>
    <n v="530.25348000000008"/>
    <n v="0"/>
    <n v="0.9"/>
    <n v="0.1"/>
    <m/>
    <m/>
    <x v="0"/>
    <m/>
    <m/>
    <m/>
    <m/>
    <m/>
    <m/>
    <m/>
    <m/>
    <m/>
    <m/>
    <m/>
    <m/>
    <m/>
    <m/>
    <m/>
    <m/>
    <m/>
  </r>
  <r>
    <s v="2.4.3.1.2"/>
    <s v="CMS M.60.10.000"/>
    <x v="2"/>
    <n v="5"/>
    <s v="SPOOL"/>
    <n v="8"/>
    <x v="2"/>
    <s v="NÃO"/>
    <s v="NÃO"/>
    <x v="33"/>
    <x v="2"/>
    <s v="DISPOSIÇÃO DE REJEITOS LINHA DO CIRCUITO ARENOSO DISTRIBUIDOR DI-145A-9912 PARA A PENEIRA PN-145A-9703"/>
    <m/>
    <m/>
    <m/>
    <s v="1450AA-T-70386_FL15"/>
    <n v="1"/>
    <s v="PÇ"/>
    <n v="0.34499999999999997"/>
    <n v="0.34499999999999997"/>
    <n v="1651.88"/>
    <n v="569.89859999999999"/>
    <n v="0"/>
    <n v="0.9"/>
    <n v="0.1"/>
    <m/>
    <m/>
    <x v="0"/>
    <m/>
    <m/>
    <m/>
    <m/>
    <m/>
    <m/>
    <m/>
    <m/>
    <m/>
    <m/>
    <m/>
    <m/>
    <m/>
    <m/>
    <m/>
    <m/>
    <m/>
  </r>
  <r>
    <s v="2.4.3.1.2"/>
    <s v="CMS M.60.10.000"/>
    <x v="2"/>
    <n v="6"/>
    <s v="SPOOL"/>
    <n v="8"/>
    <x v="1"/>
    <s v="NÃO"/>
    <s v="NÃO"/>
    <x v="33"/>
    <x v="2"/>
    <s v="DISPOSIÇÃO DE REJEITOS LINHA DO CIRCUITO ARENOSO DISTRIBUIDOR DI-145A-9912 PARA A PENEIRA PN-145A-9703"/>
    <m/>
    <m/>
    <m/>
    <s v="1450AA-T-70386_FL13"/>
    <n v="1"/>
    <s v="PÇ"/>
    <n v="1.8"/>
    <n v="1.8"/>
    <n v="1651.88"/>
    <n v="2973.3840000000005"/>
    <n v="0"/>
    <n v="0.9"/>
    <n v="0.1"/>
    <m/>
    <m/>
    <x v="0"/>
    <m/>
    <m/>
    <m/>
    <m/>
    <m/>
    <m/>
    <m/>
    <m/>
    <m/>
    <m/>
    <m/>
    <m/>
    <m/>
    <m/>
    <m/>
    <m/>
    <m/>
  </r>
  <r>
    <s v="2.4.3.1.2"/>
    <s v="CMS M.60.10.000"/>
    <x v="2"/>
    <n v="7"/>
    <s v="SPOOL"/>
    <n v="8"/>
    <x v="1"/>
    <s v="NÃO"/>
    <s v="NÃO"/>
    <x v="33"/>
    <x v="2"/>
    <s v="DISPOSIÇÃO DE REJEITOS LINHA DO CIRCUITO ARENOSO DISTRIBUIDOR DI-145A-9912 PARA A PENEIRA PN-145A-9703"/>
    <m/>
    <m/>
    <m/>
    <s v="1450AA-T-70386_FL12"/>
    <n v="1"/>
    <s v="PÇ"/>
    <n v="1.5"/>
    <n v="1.5"/>
    <n v="1651.88"/>
    <n v="2477.8200000000002"/>
    <n v="0"/>
    <n v="0.9"/>
    <n v="0.1"/>
    <m/>
    <m/>
    <x v="0"/>
    <m/>
    <m/>
    <m/>
    <m/>
    <m/>
    <m/>
    <m/>
    <m/>
    <m/>
    <m/>
    <m/>
    <m/>
    <m/>
    <m/>
    <m/>
    <m/>
    <m/>
  </r>
  <r>
    <s v="2.4.3.1.2"/>
    <s v="CMS M.60.10.000"/>
    <x v="2"/>
    <n v="8"/>
    <s v="SPOOL"/>
    <n v="8"/>
    <x v="1"/>
    <s v="NÃO"/>
    <s v="NÃO"/>
    <x v="33"/>
    <x v="2"/>
    <s v="DISPOSIÇÃO DE REJEITOS LINHA DO CIRCUITO ARENOSO DISTRIBUIDOR DI-145A-9912 PARA A PENEIRA PN-145A-9703"/>
    <m/>
    <m/>
    <m/>
    <s v="1450AA-T-70386_FL14"/>
    <n v="1"/>
    <s v="PÇ"/>
    <n v="3"/>
    <n v="3"/>
    <n v="1651.88"/>
    <n v="4955.6400000000003"/>
    <n v="0"/>
    <n v="0.9"/>
    <n v="0.1"/>
    <m/>
    <m/>
    <x v="0"/>
    <m/>
    <m/>
    <m/>
    <m/>
    <m/>
    <m/>
    <m/>
    <m/>
    <m/>
    <m/>
    <m/>
    <m/>
    <m/>
    <m/>
    <m/>
    <m/>
    <m/>
  </r>
  <r>
    <s v="2.4.3.1.2"/>
    <s v="CMS M.60.10.000"/>
    <x v="2"/>
    <n v="9"/>
    <s v="SPOOL"/>
    <n v="8"/>
    <x v="2"/>
    <s v="NÃO"/>
    <s v="NÃO"/>
    <x v="33"/>
    <x v="2"/>
    <s v="DISPOSIÇÃO DE REJEITOS LINHA DO CIRCUITO ARENOSO DISTRIBUIDOR DI-145A-9912 PARA A PENEIRA PN-145A-9703"/>
    <m/>
    <m/>
    <m/>
    <s v="1450AA-T-70386_FL16"/>
    <n v="1"/>
    <s v="PÇ"/>
    <n v="0.65"/>
    <n v="0.65"/>
    <n v="1651.88"/>
    <n v="1073.7220000000002"/>
    <n v="0"/>
    <n v="0.9"/>
    <n v="0.1"/>
    <m/>
    <m/>
    <x v="0"/>
    <m/>
    <m/>
    <m/>
    <m/>
    <m/>
    <m/>
    <m/>
    <m/>
    <m/>
    <m/>
    <m/>
    <m/>
    <m/>
    <m/>
    <m/>
    <m/>
    <m/>
  </r>
  <r>
    <s v="2.4.3.1.2"/>
    <s v="CMS M.60.10.000"/>
    <x v="2"/>
    <n v="10"/>
    <s v="CURVA"/>
    <n v="8"/>
    <x v="1"/>
    <s v="NÃO"/>
    <s v="NÃO"/>
    <x v="33"/>
    <x v="2"/>
    <s v="DISPOSIÇÃO DE REJEITOS LINHA DO CIRCUITO ARENOSO DISTRIBUIDOR DI-145A-9912 PARA A PENEIRA PN-145A-9703"/>
    <m/>
    <m/>
    <m/>
    <s v="1450AA-T-70386_FL18"/>
    <n v="1"/>
    <s v="PÇ"/>
    <n v="0.54200000000000004"/>
    <n v="0.54200000000000004"/>
    <n v="1651.88"/>
    <n v="895.31896000000017"/>
    <n v="0"/>
    <n v="0.9"/>
    <n v="0.1"/>
    <m/>
    <m/>
    <x v="0"/>
    <m/>
    <m/>
    <m/>
    <m/>
    <m/>
    <m/>
    <m/>
    <m/>
    <m/>
    <m/>
    <m/>
    <m/>
    <m/>
    <m/>
    <m/>
    <m/>
    <m/>
  </r>
  <r>
    <s v="2.4.3.1.2"/>
    <s v="CMS M.60.10.000"/>
    <x v="2"/>
    <n v="11"/>
    <s v="CURVA"/>
    <n v="8"/>
    <x v="1"/>
    <s v="NÃO"/>
    <s v="NÃO"/>
    <x v="33"/>
    <x v="2"/>
    <s v="DISPOSIÇÃO DE REJEITOS LINHA DO CIRCUITO ARENOSO DISTRIBUIDOR DI-145A-9912 PARA A PENEIRA PN-145A-9703"/>
    <m/>
    <m/>
    <m/>
    <s v="1450AA-T-70386_FL20"/>
    <n v="1"/>
    <s v="PÇ"/>
    <n v="0.63800000000000001"/>
    <n v="0.63800000000000001"/>
    <n v="1651.88"/>
    <n v="1053.8994400000001"/>
    <n v="0"/>
    <n v="0.9"/>
    <n v="0.1"/>
    <m/>
    <m/>
    <x v="0"/>
    <m/>
    <m/>
    <m/>
    <m/>
    <m/>
    <m/>
    <m/>
    <m/>
    <m/>
    <m/>
    <m/>
    <m/>
    <m/>
    <m/>
    <m/>
    <m/>
    <m/>
  </r>
  <r>
    <s v="2.4.3.1.2"/>
    <s v="CMS M.60.10.000"/>
    <x v="2"/>
    <n v="12"/>
    <s v="SPOOL"/>
    <n v="8"/>
    <x v="1"/>
    <s v="NÃO"/>
    <s v="NÃO"/>
    <x v="33"/>
    <x v="2"/>
    <s v="DISPOSIÇÃO DE REJEITOS LINHA DO CIRCUITO ARENOSO DISTRIBUIDOR DI-145A-9912 PARA A PENEIRA PN-145A-9703"/>
    <m/>
    <m/>
    <m/>
    <s v="1450AA-T-70386_FL11"/>
    <n v="1"/>
    <s v="PÇ"/>
    <n v="1.34"/>
    <n v="1.34"/>
    <n v="1651.88"/>
    <n v="2213.5192000000002"/>
    <n v="0"/>
    <n v="0.9"/>
    <n v="0.1"/>
    <m/>
    <m/>
    <x v="0"/>
    <m/>
    <m/>
    <m/>
    <m/>
    <m/>
    <m/>
    <m/>
    <m/>
    <m/>
    <m/>
    <m/>
    <m/>
    <m/>
    <m/>
    <m/>
    <m/>
    <m/>
  </r>
  <r>
    <s v="2.4.3.1.2"/>
    <s v="CMS M.60.10.000"/>
    <x v="2"/>
    <n v="13"/>
    <s v="SPOOL"/>
    <n v="8"/>
    <x v="1"/>
    <s v="NÃO"/>
    <s v="NÃO"/>
    <x v="33"/>
    <x v="2"/>
    <s v="DISPOSIÇÃO DE REJEITOS LINHA DO CIRCUITO ARENOSO DISTRIBUIDOR DI-145A-9912 PARA A PENEIRA PN-145A-9703"/>
    <m/>
    <m/>
    <m/>
    <s v="1450AA-T-70386_FL21"/>
    <n v="1"/>
    <s v="PÇ"/>
    <n v="0.96"/>
    <n v="0.96"/>
    <n v="1651.88"/>
    <n v="1585.8048000000001"/>
    <n v="0"/>
    <n v="0.9"/>
    <n v="0.1"/>
    <m/>
    <m/>
    <x v="0"/>
    <m/>
    <m/>
    <m/>
    <m/>
    <m/>
    <m/>
    <m/>
    <m/>
    <m/>
    <m/>
    <m/>
    <m/>
    <m/>
    <m/>
    <m/>
    <m/>
    <m/>
  </r>
  <r>
    <s v="2.4.3.1.1"/>
    <s v="CMS M.60.10.000"/>
    <x v="2"/>
    <n v="14"/>
    <s v="SPOOL"/>
    <s v="8 X 6"/>
    <x v="1"/>
    <s v="NÃO"/>
    <s v="NÃO"/>
    <x v="33"/>
    <x v="2"/>
    <s v="DISPOSIÇÃO DE REJEITOS LINHA DO CIRCUITO ARENOSO DISTRIBUIDOR DI-145A-9912 PARA A PENEIRA PN-145A-9703"/>
    <m/>
    <m/>
    <m/>
    <s v="1450AA-T-70386_FL22"/>
    <n v="1"/>
    <s v="PÇ"/>
    <n v="2.113"/>
    <n v="2.113"/>
    <n v="1169.77"/>
    <n v="2471.7240099999999"/>
    <n v="0"/>
    <n v="0.9"/>
    <n v="0.1"/>
    <m/>
    <m/>
    <x v="0"/>
    <m/>
    <m/>
    <m/>
    <m/>
    <m/>
    <m/>
    <m/>
    <m/>
    <m/>
    <m/>
    <m/>
    <m/>
    <m/>
    <m/>
    <m/>
    <m/>
    <m/>
  </r>
  <r>
    <s v="2.4.3.1.1"/>
    <s v="CMS M.60.10.000"/>
    <x v="2"/>
    <n v="15"/>
    <s v="FLANGE"/>
    <n v="6"/>
    <x v="1"/>
    <s v="NÃO"/>
    <s v="NÃO"/>
    <x v="33"/>
    <x v="2"/>
    <s v="DISPOSIÇÃO DE REJEITOS LINHA DO CIRCUITO ARENOSO DISTRIBUIDOR DI-145A-9912 PARA A PENEIRA PN-145A-9703"/>
    <m/>
    <m/>
    <m/>
    <s v="1450AA-T-70386_FL08"/>
    <n v="2"/>
    <s v="PÇ"/>
    <n v="0"/>
    <n v="0"/>
    <n v="1169.77"/>
    <n v="0"/>
    <n v="0"/>
    <n v="0.9"/>
    <n v="0.1"/>
    <m/>
    <m/>
    <x v="0"/>
    <m/>
    <m/>
    <m/>
    <m/>
    <m/>
    <m/>
    <m/>
    <m/>
    <m/>
    <m/>
    <m/>
    <m/>
    <m/>
    <m/>
    <m/>
    <m/>
    <m/>
  </r>
  <r>
    <s v="2.4.3.1.2"/>
    <s v="CMS M.60.10.000"/>
    <x v="2"/>
    <n v="1"/>
    <s v="SPOOL"/>
    <n v="8"/>
    <x v="1"/>
    <s v="NÃO"/>
    <s v="NÃO"/>
    <x v="34"/>
    <x v="2"/>
    <s v="DISPOSIÇÃO DE REJEITOS LINHA DO CIRCUITO ARENOSO DISTRIBUIDOR DI-145A-9912 PARA A PENEIRA PN-145A-9723"/>
    <m/>
    <m/>
    <m/>
    <s v="1450AA-T-70388_FL09"/>
    <n v="1"/>
    <s v="PÇ"/>
    <n v="0.69099999999999995"/>
    <n v="0.69099999999999995"/>
    <n v="1651.88"/>
    <n v="1141.4490800000001"/>
    <n v="0"/>
    <n v="0.9"/>
    <n v="0.1"/>
    <m/>
    <m/>
    <x v="0"/>
    <m/>
    <m/>
    <m/>
    <m/>
    <m/>
    <m/>
    <m/>
    <m/>
    <m/>
    <m/>
    <m/>
    <m/>
    <m/>
    <m/>
    <m/>
    <m/>
    <m/>
  </r>
  <r>
    <s v="2.4.3.1.2"/>
    <s v="CMS M.60.10.000"/>
    <x v="2"/>
    <n v="2"/>
    <s v="CURVA"/>
    <n v="8"/>
    <x v="1"/>
    <s v="NÃO"/>
    <s v="NÃO"/>
    <x v="34"/>
    <x v="2"/>
    <s v="DISPOSIÇÃO DE REJEITOS LINHA DO CIRCUITO ARENOSO DISTRIBUIDOR DI-145A-9912 PARA A PENEIRA PN-145A-9723"/>
    <m/>
    <m/>
    <m/>
    <s v="1450AA-T-70388_FL11"/>
    <n v="3"/>
    <s v="PÇ"/>
    <n v="0.61099999999999999"/>
    <n v="1.833"/>
    <n v="1651.88"/>
    <n v="3027.8960400000001"/>
    <n v="0"/>
    <n v="0.9"/>
    <n v="0.1"/>
    <m/>
    <m/>
    <x v="0"/>
    <m/>
    <m/>
    <m/>
    <m/>
    <m/>
    <m/>
    <m/>
    <m/>
    <m/>
    <m/>
    <m/>
    <m/>
    <m/>
    <m/>
    <m/>
    <m/>
    <m/>
  </r>
  <r>
    <s v="2.4.3.1.2"/>
    <s v="CMS M.60.10.000"/>
    <x v="2"/>
    <n v="3"/>
    <s v="SPOOL"/>
    <n v="8"/>
    <x v="1"/>
    <s v="NÃO"/>
    <s v="NÃO"/>
    <x v="34"/>
    <x v="2"/>
    <s v="DISPOSIÇÃO DE REJEITOS LINHA DO CIRCUITO ARENOSO DISTRIBUIDOR DI-145A-9912 PARA A PENEIRA PN-145A-9723"/>
    <m/>
    <m/>
    <m/>
    <s v="1450AA-T-70388_FL07"/>
    <n v="1"/>
    <s v="PÇ"/>
    <n v="0.25800000000000001"/>
    <n v="0.25800000000000001"/>
    <n v="1651.88"/>
    <n v="426.18504000000001"/>
    <n v="0"/>
    <n v="0.9"/>
    <n v="0.1"/>
    <m/>
    <m/>
    <x v="0"/>
    <m/>
    <m/>
    <m/>
    <m/>
    <m/>
    <m/>
    <m/>
    <m/>
    <m/>
    <m/>
    <m/>
    <m/>
    <m/>
    <m/>
    <m/>
    <m/>
    <m/>
  </r>
  <r>
    <s v="2.4.3.1.2"/>
    <s v="CMS M.60.10.000"/>
    <x v="2"/>
    <n v="4"/>
    <s v="SPOOL"/>
    <n v="8"/>
    <x v="1"/>
    <s v="NÃO"/>
    <s v="NÃO"/>
    <x v="34"/>
    <x v="2"/>
    <s v="DISPOSIÇÃO DE REJEITOS LINHA DO CIRCUITO ARENOSO DISTRIBUIDOR DI-145A-9912 PARA A PENEIRA PN-145A-9723"/>
    <m/>
    <m/>
    <m/>
    <s v="1450AA-T-70388_FL06"/>
    <n v="1"/>
    <s v="PÇ"/>
    <n v="0.19800000000000001"/>
    <n v="0.19800000000000001"/>
    <n v="1651.88"/>
    <n v="327.07224000000002"/>
    <n v="0"/>
    <n v="0.9"/>
    <n v="0.1"/>
    <m/>
    <m/>
    <x v="0"/>
    <m/>
    <m/>
    <m/>
    <m/>
    <m/>
    <m/>
    <m/>
    <m/>
    <m/>
    <m/>
    <m/>
    <m/>
    <m/>
    <m/>
    <m/>
    <m/>
    <m/>
  </r>
  <r>
    <s v="2.4.3.1.2"/>
    <s v="CMS M.60.10.000"/>
    <x v="2"/>
    <n v="5"/>
    <s v="SPOOL"/>
    <n v="8"/>
    <x v="1"/>
    <s v="NÃO"/>
    <s v="NÃO"/>
    <x v="34"/>
    <x v="2"/>
    <s v="DISPOSIÇÃO DE REJEITOS LINHA DO CIRCUITO ARENOSO DISTRIBUIDOR DI-145A-9912 PARA A PENEIRA PN-145A-9723"/>
    <m/>
    <m/>
    <m/>
    <s v="1450AA-T-70388_FL08"/>
    <n v="1"/>
    <s v="PÇ"/>
    <n v="0.32500000000000001"/>
    <n v="0.32500000000000001"/>
    <n v="1651.88"/>
    <n v="536.8610000000001"/>
    <n v="0"/>
    <n v="0.9"/>
    <n v="0.1"/>
    <m/>
    <m/>
    <x v="0"/>
    <m/>
    <m/>
    <m/>
    <m/>
    <m/>
    <m/>
    <m/>
    <m/>
    <m/>
    <m/>
    <m/>
    <m/>
    <m/>
    <m/>
    <m/>
    <m/>
    <m/>
  </r>
  <r>
    <s v="2.4.3.1.2"/>
    <s v="CMS M.60.10.000"/>
    <x v="2"/>
    <n v="6"/>
    <s v="SPOOL"/>
    <n v="8"/>
    <x v="1"/>
    <s v="NÃO"/>
    <s v="NÃO"/>
    <x v="34"/>
    <x v="2"/>
    <s v="DISPOSIÇÃO DE REJEITOS LINHA DO CIRCUITO ARENOSO DISTRIBUIDOR DI-145A-9912 PARA A PENEIRA PN-145A-9723"/>
    <m/>
    <m/>
    <m/>
    <s v="1450AA-T-70388_FL12"/>
    <n v="1"/>
    <s v="PÇ"/>
    <n v="1.01"/>
    <n v="1.01"/>
    <n v="1651.88"/>
    <n v="1668.3988000000002"/>
    <n v="0"/>
    <n v="0.9"/>
    <n v="0.1"/>
    <m/>
    <m/>
    <x v="0"/>
    <m/>
    <m/>
    <m/>
    <m/>
    <m/>
    <m/>
    <m/>
    <m/>
    <m/>
    <m/>
    <m/>
    <m/>
    <m/>
    <m/>
    <m/>
    <m/>
    <m/>
  </r>
  <r>
    <s v="2.4.3.1.2"/>
    <s v="CMS M.60.10.000"/>
    <x v="2"/>
    <n v="7"/>
    <s v="SPOOL"/>
    <n v="8"/>
    <x v="2"/>
    <s v="NÃO"/>
    <s v="NÃO"/>
    <x v="34"/>
    <x v="2"/>
    <s v="DISPOSIÇÃO DE REJEITOS LINHA DO CIRCUITO ARENOSO DISTRIBUIDOR DI-145A-9912 PARA A PENEIRA PN-145A-9723"/>
    <m/>
    <m/>
    <m/>
    <s v="1450AA-T-70388_FL10"/>
    <n v="1"/>
    <s v="PÇ"/>
    <n v="0.51"/>
    <n v="0.51"/>
    <n v="1651.88"/>
    <n v="842.45880000000011"/>
    <n v="0"/>
    <n v="0.9"/>
    <n v="0.1"/>
    <m/>
    <m/>
    <x v="0"/>
    <m/>
    <m/>
    <m/>
    <m/>
    <m/>
    <m/>
    <m/>
    <m/>
    <m/>
    <m/>
    <m/>
    <m/>
    <m/>
    <m/>
    <m/>
    <m/>
    <m/>
  </r>
  <r>
    <s v="2.4.3.1.2"/>
    <s v="CMS M.60.10.000"/>
    <x v="2"/>
    <n v="1"/>
    <s v="CURVA"/>
    <n v="8"/>
    <x v="1"/>
    <s v="NÃO"/>
    <s v="NÃO"/>
    <x v="35"/>
    <x v="2"/>
    <s v="DISPOSIÇÃO DE REJEITOS LINHA DO CIRCUITO ARENOSO DISTRIBUIDOR DI-145A-9913 PARA A PENEIRA PN-145A-9704"/>
    <m/>
    <m/>
    <m/>
    <s v="1450AA-T-70391_FL16"/>
    <n v="2"/>
    <s v="PÇ"/>
    <n v="0.61099999999999999"/>
    <n v="1.222"/>
    <n v="1651.88"/>
    <n v="2018.59736"/>
    <n v="0"/>
    <n v="0.9"/>
    <n v="0.1"/>
    <m/>
    <m/>
    <x v="0"/>
    <m/>
    <m/>
    <m/>
    <m/>
    <m/>
    <m/>
    <m/>
    <m/>
    <m/>
    <m/>
    <m/>
    <m/>
    <m/>
    <m/>
    <m/>
    <m/>
    <m/>
  </r>
  <r>
    <s v="2.4.3.1.2"/>
    <s v="CMS M.60.10.000"/>
    <x v="2"/>
    <n v="2"/>
    <s v="SPOOL"/>
    <n v="8"/>
    <x v="1"/>
    <s v="NÃO"/>
    <s v="NÃO"/>
    <x v="35"/>
    <x v="2"/>
    <s v="DISPOSIÇÃO DE REJEITOS LINHA DO CIRCUITO ARENOSO DISTRIBUIDOR DI-145A-9913 PARA A PENEIRA PN-145A-9704"/>
    <m/>
    <m/>
    <m/>
    <s v="1450AA-T-70391_FL09"/>
    <n v="2"/>
    <s v="PÇ"/>
    <n v="0.81499999999999995"/>
    <n v="1.63"/>
    <n v="1651.88"/>
    <n v="2692.5644000000002"/>
    <n v="0"/>
    <n v="0.9"/>
    <n v="0.1"/>
    <m/>
    <m/>
    <x v="0"/>
    <m/>
    <m/>
    <m/>
    <m/>
    <m/>
    <m/>
    <m/>
    <m/>
    <m/>
    <m/>
    <m/>
    <m/>
    <m/>
    <m/>
    <m/>
    <m/>
    <m/>
  </r>
  <r>
    <s v="2.4.3.1.2"/>
    <s v="CMS M.60.10.000"/>
    <x v="2"/>
    <n v="3"/>
    <s v="CURVA"/>
    <n v="8"/>
    <x v="1"/>
    <s v="NÃO"/>
    <s v="NÃO"/>
    <x v="35"/>
    <x v="2"/>
    <s v="DISPOSIÇÃO DE REJEITOS LINHA DO CIRCUITO ARENOSO DISTRIBUIDOR DI-145A-9913 PARA A PENEIRA PN-145A-9704"/>
    <m/>
    <m/>
    <m/>
    <s v="1450AA-T-70391_FL14"/>
    <n v="1"/>
    <s v="PÇ"/>
    <n v="0.32100000000000001"/>
    <n v="0.32100000000000001"/>
    <n v="1651.88"/>
    <n v="530.25348000000008"/>
    <n v="0"/>
    <n v="0.9"/>
    <n v="0.1"/>
    <m/>
    <m/>
    <x v="0"/>
    <m/>
    <m/>
    <m/>
    <m/>
    <m/>
    <m/>
    <m/>
    <m/>
    <m/>
    <m/>
    <m/>
    <m/>
    <m/>
    <m/>
    <m/>
    <m/>
    <m/>
  </r>
  <r>
    <s v="2.4.3.1.2"/>
    <s v="CMS M.60.10.000"/>
    <x v="2"/>
    <n v="4"/>
    <s v="SPOOL"/>
    <n v="8"/>
    <x v="2"/>
    <s v="NÃO"/>
    <s v="NÃO"/>
    <x v="35"/>
    <x v="2"/>
    <s v="DISPOSIÇÃO DE REJEITOS LINHA DO CIRCUITO ARENOSO DISTRIBUIDOR DI-145A-9913 PARA A PENEIRA PN-145A-9704"/>
    <m/>
    <m/>
    <m/>
    <s v="1450AA-T-70391_FL12"/>
    <n v="2"/>
    <s v="PÇ"/>
    <n v="0.45"/>
    <n v="0.9"/>
    <n v="1651.88"/>
    <n v="1486.6920000000002"/>
    <n v="0"/>
    <n v="0.9"/>
    <n v="0.1"/>
    <m/>
    <m/>
    <x v="0"/>
    <m/>
    <m/>
    <m/>
    <m/>
    <m/>
    <m/>
    <m/>
    <m/>
    <m/>
    <m/>
    <m/>
    <m/>
    <m/>
    <m/>
    <m/>
    <m/>
    <m/>
  </r>
  <r>
    <s v="2.4.3.1.2"/>
    <s v="CMS M.60.10.000"/>
    <x v="2"/>
    <n v="5"/>
    <s v="SPOOL"/>
    <n v="8"/>
    <x v="1"/>
    <s v="NÃO"/>
    <s v="NÃO"/>
    <x v="35"/>
    <x v="2"/>
    <s v="DISPOSIÇÃO DE REJEITOS LINHA DO CIRCUITO ARENOSO DISTRIBUIDOR DI-145A-9913 PARA A PENEIRA PN-145A-9704"/>
    <m/>
    <m/>
    <m/>
    <s v="1450AA-T-70391_FL11"/>
    <n v="1"/>
    <s v="PÇ"/>
    <n v="3.5"/>
    <n v="3.5"/>
    <n v="1651.88"/>
    <n v="5781.58"/>
    <n v="0"/>
    <n v="0.9"/>
    <n v="0.1"/>
    <m/>
    <m/>
    <x v="0"/>
    <m/>
    <m/>
    <m/>
    <m/>
    <m/>
    <m/>
    <m/>
    <m/>
    <m/>
    <m/>
    <m/>
    <m/>
    <m/>
    <m/>
    <m/>
    <m/>
    <m/>
  </r>
  <r>
    <s v="2.4.3.1.2"/>
    <s v="CMS M.60.10.000"/>
    <x v="2"/>
    <n v="6"/>
    <s v="SPOOL"/>
    <n v="8"/>
    <x v="1"/>
    <s v="NÃO"/>
    <s v="NÃO"/>
    <x v="35"/>
    <x v="2"/>
    <s v="DISPOSIÇÃO DE REJEITOS LINHA DO CIRCUITO ARENOSO DISTRIBUIDOR DI-145A-9913 PARA A PENEIRA PN-145A-9704"/>
    <m/>
    <m/>
    <m/>
    <s v="1450AA-T-70391_FL10"/>
    <n v="1"/>
    <s v="PÇ"/>
    <n v="1.5"/>
    <n v="1.5"/>
    <n v="1651.88"/>
    <n v="2477.8200000000002"/>
    <n v="0"/>
    <n v="0.9"/>
    <n v="0.1"/>
    <m/>
    <m/>
    <x v="0"/>
    <m/>
    <m/>
    <m/>
    <m/>
    <m/>
    <m/>
    <m/>
    <m/>
    <m/>
    <m/>
    <m/>
    <m/>
    <m/>
    <m/>
    <m/>
    <m/>
    <m/>
  </r>
  <r>
    <s v="2.4.3.1.2"/>
    <s v="CMS M.60.10.000"/>
    <x v="2"/>
    <n v="7"/>
    <s v="SPOOL"/>
    <n v="8"/>
    <x v="2"/>
    <s v="NÃO"/>
    <s v="NÃO"/>
    <x v="35"/>
    <x v="2"/>
    <s v="DISPOSIÇÃO DE REJEITOS LINHA DO CIRCUITO ARENOSO DISTRIBUIDOR DI-145A-9913 PARA A PENEIRA PN-145A-9704"/>
    <m/>
    <m/>
    <m/>
    <s v="1450AA-T-70391_FL13"/>
    <n v="2"/>
    <s v="PÇ"/>
    <n v="0.97499999999999998"/>
    <n v="1.95"/>
    <n v="1651.88"/>
    <n v="3221.1660000000002"/>
    <n v="0"/>
    <n v="0.9"/>
    <n v="0.1"/>
    <m/>
    <m/>
    <x v="0"/>
    <m/>
    <m/>
    <m/>
    <m/>
    <m/>
    <m/>
    <m/>
    <m/>
    <m/>
    <m/>
    <m/>
    <m/>
    <m/>
    <m/>
    <m/>
    <m/>
    <m/>
  </r>
  <r>
    <s v="2.4.3.1.2"/>
    <s v="CMS M.60.10.000"/>
    <x v="2"/>
    <n v="8"/>
    <s v="CURVA"/>
    <n v="8"/>
    <x v="1"/>
    <s v="NÃO"/>
    <s v="NÃO"/>
    <x v="35"/>
    <x v="2"/>
    <s v="DISPOSIÇÃO DE REJEITOS LINHA DO CIRCUITO ARENOSO DISTRIBUIDOR DI-145A-9913 PARA A PENEIRA PN-145A-9704"/>
    <m/>
    <m/>
    <m/>
    <s v="1450AA-T-70391_FL15"/>
    <n v="1"/>
    <s v="PÇ"/>
    <n v="0.54200000000000004"/>
    <n v="0.54200000000000004"/>
    <n v="1651.88"/>
    <n v="895.31896000000017"/>
    <n v="0"/>
    <n v="0.9"/>
    <n v="0.1"/>
    <m/>
    <m/>
    <x v="0"/>
    <m/>
    <m/>
    <m/>
    <m/>
    <m/>
    <m/>
    <m/>
    <m/>
    <m/>
    <m/>
    <m/>
    <m/>
    <m/>
    <m/>
    <m/>
    <m/>
    <m/>
  </r>
  <r>
    <s v="2.4.3.1.2"/>
    <s v="CMS M.60.10.000"/>
    <x v="2"/>
    <n v="9"/>
    <s v="CURVA"/>
    <n v="8"/>
    <x v="1"/>
    <s v="NÃO"/>
    <s v="NÃO"/>
    <x v="35"/>
    <x v="2"/>
    <s v="DISPOSIÇÃO DE REJEITOS LINHA DO CIRCUITO ARENOSO DISTRIBUIDOR DI-145A-9913 PARA A PENEIRA PN-145A-9704"/>
    <m/>
    <m/>
    <m/>
    <s v="1450AA-T-70391_FL17"/>
    <n v="1"/>
    <s v="PÇ"/>
    <n v="0.65300000000000002"/>
    <n v="0.65300000000000002"/>
    <n v="1651.88"/>
    <n v="1078.6776400000001"/>
    <n v="0"/>
    <n v="0.9"/>
    <n v="0.1"/>
    <m/>
    <m/>
    <x v="0"/>
    <m/>
    <m/>
    <m/>
    <m/>
    <m/>
    <m/>
    <m/>
    <m/>
    <m/>
    <m/>
    <m/>
    <m/>
    <m/>
    <m/>
    <m/>
    <m/>
    <m/>
  </r>
  <r>
    <s v="2.4.3.1.2"/>
    <s v="CMS M.60.10.000"/>
    <x v="2"/>
    <n v="10"/>
    <s v="SPOOL"/>
    <n v="8"/>
    <x v="1"/>
    <s v="NÃO"/>
    <s v="NÃO"/>
    <x v="35"/>
    <x v="2"/>
    <s v="DISPOSIÇÃO DE REJEITOS LINHA DO CIRCUITO ARENOSO DISTRIBUIDOR DI-145A-9913 PARA A PENEIRA PN-145A-9704"/>
    <m/>
    <m/>
    <m/>
    <s v="1450AA-T-70391_FL18"/>
    <n v="1"/>
    <s v="PÇ"/>
    <n v="0.96"/>
    <n v="0.96"/>
    <n v="1651.88"/>
    <n v="1585.8048000000001"/>
    <n v="0"/>
    <n v="0.9"/>
    <n v="0.1"/>
    <m/>
    <m/>
    <x v="0"/>
    <m/>
    <m/>
    <m/>
    <m/>
    <m/>
    <m/>
    <m/>
    <m/>
    <m/>
    <m/>
    <m/>
    <m/>
    <m/>
    <m/>
    <m/>
    <m/>
    <m/>
  </r>
  <r>
    <s v="2.4.3.1.1"/>
    <s v="CMS M.60.10.000"/>
    <x v="2"/>
    <n v="11"/>
    <s v="SPOOL"/>
    <s v="8 X 6"/>
    <x v="1"/>
    <s v="NÃO"/>
    <s v="NÃO"/>
    <x v="35"/>
    <x v="2"/>
    <s v="DISPOSIÇÃO DE REJEITOS LINHA DO CIRCUITO ARENOSO DISTRIBUIDOR DI-145A-9913 PARA A PENEIRA PN-145A-9704"/>
    <m/>
    <m/>
    <m/>
    <s v="1450AA-T-70391_FL19"/>
    <n v="1"/>
    <s v="PÇ"/>
    <n v="2.113"/>
    <n v="2.113"/>
    <n v="1169.77"/>
    <n v="2471.7240099999999"/>
    <n v="0"/>
    <n v="0.9"/>
    <n v="0.1"/>
    <m/>
    <m/>
    <x v="0"/>
    <m/>
    <m/>
    <m/>
    <m/>
    <m/>
    <m/>
    <m/>
    <m/>
    <m/>
    <m/>
    <m/>
    <m/>
    <m/>
    <m/>
    <m/>
    <m/>
    <m/>
  </r>
  <r>
    <s v="2.4.3.1.1"/>
    <s v="CMS M.60.10.000"/>
    <x v="2"/>
    <n v="12"/>
    <s v="FLANGE"/>
    <n v="6"/>
    <x v="1"/>
    <s v="NÃO"/>
    <s v="NÃO"/>
    <x v="35"/>
    <x v="2"/>
    <s v="DISPOSIÇÃO DE REJEITOS LINHA DO CIRCUITO ARENOSO DISTRIBUIDOR DI-145A-9913 PARA A PENEIRA PN-145A-9704"/>
    <m/>
    <m/>
    <m/>
    <s v="1450AA-T-70391_FL08"/>
    <n v="2"/>
    <s v="PÇ"/>
    <n v="0"/>
    <n v="0"/>
    <n v="1169.77"/>
    <n v="0"/>
    <n v="0"/>
    <n v="0.9"/>
    <n v="0.1"/>
    <m/>
    <m/>
    <x v="0"/>
    <m/>
    <m/>
    <m/>
    <m/>
    <m/>
    <m/>
    <m/>
    <m/>
    <m/>
    <m/>
    <m/>
    <m/>
    <m/>
    <m/>
    <m/>
    <m/>
    <m/>
  </r>
  <r>
    <s v="2.4.3.1.2"/>
    <s v="CMS M.60.10.000"/>
    <x v="2"/>
    <n v="1"/>
    <s v="CURVA"/>
    <n v="8"/>
    <x v="1"/>
    <s v="NÃO"/>
    <s v="NÃO"/>
    <x v="36"/>
    <x v="2"/>
    <s v="DISPOSIÇÃO DE REJEITOS LINHA DO CIRCUITO ARENOSO DISTRIBUIDOR DI-145A-9913 PARA A PENEIRA PN-145A-9724"/>
    <m/>
    <m/>
    <m/>
    <s v="1450AA-T-70393_FL13"/>
    <n v="3"/>
    <s v="PÇ"/>
    <n v="0.61099999999999999"/>
    <n v="1.833"/>
    <n v="1651.88"/>
    <n v="3027.8960400000001"/>
    <n v="0"/>
    <n v="0.9"/>
    <n v="0.1"/>
    <m/>
    <m/>
    <x v="0"/>
    <m/>
    <m/>
    <m/>
    <m/>
    <m/>
    <m/>
    <m/>
    <m/>
    <m/>
    <m/>
    <m/>
    <m/>
    <m/>
    <m/>
    <m/>
    <m/>
    <m/>
  </r>
  <r>
    <s v="2.4.3.1.2"/>
    <s v="CMS M.60.10.000"/>
    <x v="2"/>
    <n v="2"/>
    <s v="SPOOL"/>
    <n v="8"/>
    <x v="1"/>
    <s v="NÃO"/>
    <s v="NÃO"/>
    <x v="36"/>
    <x v="2"/>
    <s v="DISPOSIÇÃO DE REJEITOS LINHA DO CIRCUITO ARENOSO DISTRIBUIDOR DI-145A-9913 PARA A PENEIRA PN-145A-9724"/>
    <m/>
    <m/>
    <m/>
    <s v="1450AA-T-70393_FL06"/>
    <n v="1"/>
    <s v="PÇ"/>
    <n v="0.23499999999999999"/>
    <n v="0.23499999999999999"/>
    <n v="1651.88"/>
    <n v="388.1918"/>
    <n v="0"/>
    <n v="0.9"/>
    <n v="0.1"/>
    <m/>
    <m/>
    <x v="0"/>
    <m/>
    <m/>
    <m/>
    <m/>
    <m/>
    <m/>
    <m/>
    <m/>
    <m/>
    <m/>
    <m/>
    <m/>
    <m/>
    <m/>
    <m/>
    <m/>
    <m/>
  </r>
  <r>
    <s v="2.4.3.1.2"/>
    <s v="CMS M.60.10.000"/>
    <x v="2"/>
    <n v="3"/>
    <s v="CURVA"/>
    <n v="8"/>
    <x v="1"/>
    <s v="NÃO"/>
    <s v="NÃO"/>
    <x v="36"/>
    <x v="2"/>
    <s v="DISPOSIÇÃO DE REJEITOS LINHA DO CIRCUITO ARENOSO DISTRIBUIDOR DI-145A-9913 PARA A PENEIRA PN-145A-9724"/>
    <m/>
    <m/>
    <m/>
    <s v="1450AA-T-70393_FL12"/>
    <n v="1"/>
    <s v="PÇ"/>
    <n v="0.32100000000000001"/>
    <n v="0.32100000000000001"/>
    <n v="1651.88"/>
    <n v="530.25348000000008"/>
    <n v="0"/>
    <n v="0.9"/>
    <n v="0.1"/>
    <m/>
    <m/>
    <x v="0"/>
    <m/>
    <m/>
    <m/>
    <m/>
    <m/>
    <m/>
    <m/>
    <m/>
    <m/>
    <m/>
    <m/>
    <m/>
    <m/>
    <m/>
    <m/>
    <m/>
    <m/>
  </r>
  <r>
    <s v="2.4.3.1.2"/>
    <s v="CMS M.60.10.000"/>
    <x v="2"/>
    <n v="4"/>
    <s v="SPOOL"/>
    <n v="8"/>
    <x v="2"/>
    <s v="NÃO"/>
    <s v="NÃO"/>
    <x v="36"/>
    <x v="2"/>
    <s v="DISPOSIÇÃO DE REJEITOS LINHA DO CIRCUITO ARENOSO DISTRIBUIDOR DI-145A-9913 PARA A PENEIRA PN-145A-9724"/>
    <m/>
    <m/>
    <m/>
    <s v="1450AA-T-70393_FL10"/>
    <n v="1"/>
    <s v="PÇ"/>
    <n v="0.37"/>
    <n v="0.37"/>
    <n v="1651.88"/>
    <n v="611.19560000000001"/>
    <n v="0"/>
    <n v="0.9"/>
    <n v="0.1"/>
    <m/>
    <m/>
    <x v="0"/>
    <m/>
    <m/>
    <m/>
    <m/>
    <m/>
    <m/>
    <m/>
    <m/>
    <m/>
    <m/>
    <m/>
    <m/>
    <m/>
    <m/>
    <m/>
    <m/>
    <m/>
  </r>
  <r>
    <s v="2.4.3.1.2"/>
    <s v="CMS M.60.10.000"/>
    <x v="2"/>
    <n v="5"/>
    <s v="SPOOL"/>
    <n v="8"/>
    <x v="1"/>
    <s v="NÃO"/>
    <s v="NÃO"/>
    <x v="36"/>
    <x v="2"/>
    <s v="DISPOSIÇÃO DE REJEITOS LINHA DO CIRCUITO ARENOSO DISTRIBUIDOR DI-145A-9913 PARA A PENEIRA PN-145A-9724"/>
    <m/>
    <m/>
    <m/>
    <s v="1450AA-T-70393_FL09"/>
    <n v="1"/>
    <s v="PÇ"/>
    <n v="1.3"/>
    <n v="1.3"/>
    <n v="1651.88"/>
    <n v="2147.4440000000004"/>
    <n v="0"/>
    <n v="0.9"/>
    <n v="0.1"/>
    <m/>
    <m/>
    <x v="0"/>
    <m/>
    <m/>
    <m/>
    <m/>
    <m/>
    <m/>
    <m/>
    <m/>
    <m/>
    <m/>
    <m/>
    <m/>
    <m/>
    <m/>
    <m/>
    <m/>
    <m/>
  </r>
  <r>
    <s v="2.4.3.1.2"/>
    <s v="CMS M.60.10.000"/>
    <x v="2"/>
    <n v="6"/>
    <s v="SPOOL"/>
    <n v="8"/>
    <x v="1"/>
    <s v="NÃO"/>
    <s v="NÃO"/>
    <x v="36"/>
    <x v="2"/>
    <s v="DISPOSIÇÃO DE REJEITOS LINHA DO CIRCUITO ARENOSO DISTRIBUIDOR DI-145A-9913 PARA A PENEIRA PN-145A-9724"/>
    <m/>
    <m/>
    <m/>
    <s v="1450AA-T-70393_FL08"/>
    <n v="1"/>
    <s v="PÇ"/>
    <n v="0.73199999999999998"/>
    <n v="0.73199999999999998"/>
    <n v="1651.88"/>
    <n v="1209.17616"/>
    <n v="0"/>
    <n v="0.9"/>
    <n v="0.1"/>
    <m/>
    <m/>
    <x v="0"/>
    <m/>
    <m/>
    <m/>
    <m/>
    <m/>
    <m/>
    <m/>
    <m/>
    <m/>
    <m/>
    <m/>
    <m/>
    <m/>
    <m/>
    <m/>
    <m/>
    <m/>
  </r>
  <r>
    <s v="2.4.3.1.2"/>
    <s v="CMS M.60.10.000"/>
    <x v="2"/>
    <n v="7"/>
    <s v="SPOOL"/>
    <n v="8"/>
    <x v="1"/>
    <s v="NÃO"/>
    <s v="NÃO"/>
    <x v="36"/>
    <x v="2"/>
    <s v="DISPOSIÇÃO DE REJEITOS LINHA DO CIRCUITO ARENOSO DISTRIBUIDOR DI-145A-9913 PARA A PENEIRA PN-145A-9724"/>
    <m/>
    <m/>
    <m/>
    <s v="1450AA-T-70393_FL07"/>
    <n v="1"/>
    <s v="PÇ"/>
    <n v="0.32500000000000001"/>
    <n v="0.32500000000000001"/>
    <n v="1651.88"/>
    <n v="536.8610000000001"/>
    <n v="0"/>
    <n v="0.9"/>
    <n v="0.1"/>
    <m/>
    <m/>
    <x v="0"/>
    <m/>
    <m/>
    <m/>
    <m/>
    <m/>
    <m/>
    <m/>
    <m/>
    <m/>
    <m/>
    <m/>
    <m/>
    <m/>
    <m/>
    <m/>
    <m/>
    <m/>
  </r>
  <r>
    <s v="2.4.3.1.2"/>
    <s v="CMS M.60.10.000"/>
    <x v="2"/>
    <n v="8"/>
    <s v="SPOOL"/>
    <n v="8"/>
    <x v="1"/>
    <s v="NÃO"/>
    <s v="NÃO"/>
    <x v="36"/>
    <x v="2"/>
    <s v="DISPOSIÇÃO DE REJEITOS LINHA DO CIRCUITO ARENOSO DISTRIBUIDOR DI-145A-9913 PARA A PENEIRA PN-145A-9724"/>
    <m/>
    <m/>
    <m/>
    <s v="1450AA-T-70393_FL14"/>
    <n v="1"/>
    <s v="PÇ"/>
    <n v="1.01"/>
    <n v="1.01"/>
    <n v="1651.88"/>
    <n v="1668.3988000000002"/>
    <n v="0"/>
    <n v="0.9"/>
    <n v="0.1"/>
    <m/>
    <m/>
    <x v="0"/>
    <m/>
    <m/>
    <m/>
    <m/>
    <m/>
    <m/>
    <m/>
    <m/>
    <m/>
    <m/>
    <m/>
    <m/>
    <m/>
    <m/>
    <m/>
    <m/>
    <m/>
  </r>
  <r>
    <s v="2.4.3.1.2"/>
    <s v="CMS M.60.10.000"/>
    <x v="2"/>
    <n v="9"/>
    <s v="SPOOL"/>
    <n v="8"/>
    <x v="2"/>
    <s v="NÃO"/>
    <s v="NÃO"/>
    <x v="36"/>
    <x v="2"/>
    <s v="DISPOSIÇÃO DE REJEITOS LINHA DO CIRCUITO ARENOSO DISTRIBUIDOR DI-145A-9913 PARA A PENEIRA PN-145A-9724"/>
    <m/>
    <m/>
    <m/>
    <s v="1450AA-T-70393_FL11"/>
    <n v="1"/>
    <s v="PÇ"/>
    <n v="0.51"/>
    <n v="0.51"/>
    <n v="1651.88"/>
    <n v="842.45880000000011"/>
    <n v="0"/>
    <n v="0.9"/>
    <n v="0.1"/>
    <m/>
    <m/>
    <x v="0"/>
    <m/>
    <m/>
    <m/>
    <m/>
    <m/>
    <m/>
    <m/>
    <m/>
    <m/>
    <m/>
    <m/>
    <m/>
    <m/>
    <m/>
    <m/>
    <m/>
    <m/>
  </r>
  <r>
    <s v="2.4.3.1.2"/>
    <s v="CMS M.60.10.000"/>
    <x v="2"/>
    <n v="1"/>
    <s v="SPOOL"/>
    <n v="8"/>
    <x v="1"/>
    <s v="NÃO"/>
    <s v="NÃO"/>
    <x v="37"/>
    <x v="2"/>
    <s v="DISPOSIÇÃO DE REJEITOS LINHA DO CIRCUITO ARENOSO DISTRIBUIDOR DI-145A-9913 PARA A PENEIRA PN-145A-9705"/>
    <m/>
    <m/>
    <m/>
    <s v="1450AA-T-70395_FL09"/>
    <n v="1"/>
    <s v="PÇ"/>
    <n v="0.33500000000000002"/>
    <n v="0.33500000000000002"/>
    <n v="1651.88"/>
    <n v="553.37980000000005"/>
    <n v="0"/>
    <n v="0.9"/>
    <n v="0.1"/>
    <m/>
    <m/>
    <x v="0"/>
    <m/>
    <m/>
    <m/>
    <m/>
    <m/>
    <m/>
    <m/>
    <m/>
    <m/>
    <m/>
    <m/>
    <m/>
    <m/>
    <m/>
    <m/>
    <m/>
    <m/>
  </r>
  <r>
    <s v="2.4.3.1.2"/>
    <s v="CMS M.60.10.000"/>
    <x v="2"/>
    <n v="2"/>
    <s v="CURVA"/>
    <n v="8"/>
    <x v="1"/>
    <s v="NÃO"/>
    <s v="NÃO"/>
    <x v="37"/>
    <x v="2"/>
    <s v="DISPOSIÇÃO DE REJEITOS LINHA DO CIRCUITO ARENOSO DISTRIBUIDOR DI-145A-9913 PARA A PENEIRA PN-145A-9705"/>
    <m/>
    <m/>
    <m/>
    <s v="1450AA-T-70395_FL17"/>
    <n v="2"/>
    <s v="PÇ"/>
    <n v="0.61099999999999999"/>
    <n v="1.222"/>
    <n v="1651.88"/>
    <n v="2018.59736"/>
    <n v="0"/>
    <n v="0.9"/>
    <n v="0.1"/>
    <m/>
    <m/>
    <x v="0"/>
    <m/>
    <m/>
    <m/>
    <m/>
    <m/>
    <m/>
    <m/>
    <m/>
    <m/>
    <m/>
    <m/>
    <m/>
    <m/>
    <m/>
    <m/>
    <m/>
    <m/>
  </r>
  <r>
    <s v="2.4.3.1.2"/>
    <s v="CMS M.60.10.000"/>
    <x v="2"/>
    <n v="3"/>
    <s v="SPOOL"/>
    <n v="8"/>
    <x v="1"/>
    <s v="NÃO"/>
    <s v="NÃO"/>
    <x v="37"/>
    <x v="2"/>
    <s v="DISPOSIÇÃO DE REJEITOS LINHA DO CIRCUITO ARENOSO DISTRIBUIDOR DI-145A-9913 PARA A PENEIRA PN-145A-9705"/>
    <m/>
    <m/>
    <m/>
    <s v="1450AA-T-70395_FL13"/>
    <n v="2"/>
    <s v="PÇ"/>
    <n v="1.5"/>
    <n v="3"/>
    <n v="1651.88"/>
    <n v="4955.6400000000003"/>
    <n v="0"/>
    <n v="0.9"/>
    <n v="0.1"/>
    <m/>
    <m/>
    <x v="0"/>
    <m/>
    <m/>
    <m/>
    <m/>
    <m/>
    <m/>
    <m/>
    <m/>
    <m/>
    <m/>
    <m/>
    <m/>
    <m/>
    <m/>
    <m/>
    <m/>
    <m/>
  </r>
  <r>
    <s v="2.4.3.1.2"/>
    <s v="CMS M.60.10.000"/>
    <x v="2"/>
    <n v="4"/>
    <s v="SPOOL"/>
    <n v="8"/>
    <x v="2"/>
    <s v="NÃO"/>
    <s v="NÃO"/>
    <x v="37"/>
    <x v="2"/>
    <s v="DISPOSIÇÃO DE REJEITOS LINHA DO CIRCUITO ARENOSO DISTRIBUIDOR DI-145A-9913 PARA A PENEIRA PN-145A-9705"/>
    <m/>
    <m/>
    <m/>
    <s v="1450AA-T-70395_FL15"/>
    <n v="1"/>
    <s v="PÇ"/>
    <n v="0.67"/>
    <n v="0.67"/>
    <n v="1651.88"/>
    <n v="1106.7596000000001"/>
    <n v="0"/>
    <n v="0.9"/>
    <n v="0.1"/>
    <m/>
    <m/>
    <x v="0"/>
    <m/>
    <m/>
    <m/>
    <m/>
    <m/>
    <m/>
    <m/>
    <m/>
    <m/>
    <m/>
    <m/>
    <m/>
    <m/>
    <m/>
    <m/>
    <m/>
    <m/>
  </r>
  <r>
    <s v="2.4.3.1.2"/>
    <s v="CMS M.60.10.000"/>
    <x v="2"/>
    <n v="5"/>
    <s v="SPOOL"/>
    <n v="8"/>
    <x v="1"/>
    <s v="NÃO"/>
    <s v="NÃO"/>
    <x v="37"/>
    <x v="2"/>
    <s v="DISPOSIÇÃO DE REJEITOS LINHA DO CIRCUITO ARENOSO DISTRIBUIDOR DI-145A-9913 PARA A PENEIRA PN-145A-9705"/>
    <m/>
    <m/>
    <m/>
    <s v="1450AA-T-70395_FL14"/>
    <n v="1"/>
    <s v="PÇ"/>
    <n v="3.5"/>
    <n v="3.5"/>
    <n v="1651.88"/>
    <n v="5781.58"/>
    <n v="0"/>
    <n v="0.9"/>
    <n v="0.1"/>
    <m/>
    <m/>
    <x v="0"/>
    <m/>
    <m/>
    <m/>
    <m/>
    <m/>
    <m/>
    <m/>
    <m/>
    <m/>
    <m/>
    <m/>
    <m/>
    <m/>
    <m/>
    <m/>
    <m/>
    <m/>
  </r>
  <r>
    <s v="2.4.3.1.2"/>
    <s v="CMS M.60.10.000"/>
    <x v="2"/>
    <n v="6"/>
    <s v="SPOOL"/>
    <n v="8"/>
    <x v="2"/>
    <s v="NÃO"/>
    <s v="NÃO"/>
    <x v="37"/>
    <x v="2"/>
    <s v="DISPOSIÇÃO DE REJEITOS LINHA DO CIRCUITO ARENOSO DISTRIBUIDOR DI-145A-9913 PARA A PENEIRA PN-145A-9705"/>
    <m/>
    <m/>
    <m/>
    <s v="1450AA-T-70395_FL11"/>
    <n v="2"/>
    <s v="PÇ"/>
    <n v="0.56000000000000005"/>
    <n v="1.1200000000000001"/>
    <n v="1651.88"/>
    <n v="1850.1056000000003"/>
    <n v="0"/>
    <n v="0.9"/>
    <n v="0.1"/>
    <m/>
    <m/>
    <x v="0"/>
    <m/>
    <m/>
    <m/>
    <m/>
    <m/>
    <m/>
    <m/>
    <m/>
    <m/>
    <m/>
    <m/>
    <m/>
    <m/>
    <m/>
    <m/>
    <m/>
    <m/>
  </r>
  <r>
    <s v="2.4.3.1.2"/>
    <s v="CMS M.60.10.000"/>
    <x v="2"/>
    <n v="7"/>
    <s v="CURVA"/>
    <n v="8"/>
    <x v="1"/>
    <s v="NÃO"/>
    <s v="NÃO"/>
    <x v="37"/>
    <x v="2"/>
    <s v="DISPOSIÇÃO DE REJEITOS LINHA DO CIRCUITO ARENOSO DISTRIBUIDOR DI-145A-9913 PARA A PENEIRA PN-145A-9705"/>
    <m/>
    <m/>
    <m/>
    <s v="1450AA-T-70395_FL16"/>
    <n v="1"/>
    <s v="PÇ"/>
    <n v="0.54200000000000004"/>
    <n v="0.54200000000000004"/>
    <n v="1651.88"/>
    <n v="895.31896000000017"/>
    <n v="0"/>
    <n v="0.9"/>
    <n v="0.1"/>
    <m/>
    <m/>
    <x v="0"/>
    <m/>
    <m/>
    <m/>
    <m/>
    <m/>
    <m/>
    <m/>
    <m/>
    <m/>
    <m/>
    <m/>
    <m/>
    <m/>
    <m/>
    <m/>
    <m/>
    <m/>
  </r>
  <r>
    <s v="2.4.3.1.2"/>
    <s v="CMS M.60.10.000"/>
    <x v="2"/>
    <n v="8"/>
    <s v="SPOOL"/>
    <n v="8"/>
    <x v="2"/>
    <s v="NÃO"/>
    <s v="NÃO"/>
    <x v="37"/>
    <x v="2"/>
    <s v="DISPOSIÇÃO DE REJEITOS LINHA DO CIRCUITO ARENOSO DISTRIBUIDOR DI-145A-9913 PARA A PENEIRA PN-145A-9705"/>
    <m/>
    <m/>
    <m/>
    <s v="1450AA-T-70395_FL12"/>
    <n v="1"/>
    <s v="PÇ"/>
    <n v="0.97499999999999998"/>
    <n v="0.97499999999999998"/>
    <n v="1651.88"/>
    <n v="1610.5830000000001"/>
    <n v="0"/>
    <n v="0.9"/>
    <n v="0.1"/>
    <m/>
    <m/>
    <x v="0"/>
    <m/>
    <m/>
    <m/>
    <m/>
    <m/>
    <m/>
    <m/>
    <m/>
    <m/>
    <m/>
    <m/>
    <m/>
    <m/>
    <m/>
    <m/>
    <m/>
    <m/>
  </r>
  <r>
    <s v="2.4.3.1.2"/>
    <s v="CMS M.60.10.000"/>
    <x v="2"/>
    <n v="9"/>
    <s v="CURVA"/>
    <n v="8"/>
    <x v="1"/>
    <s v="NÃO"/>
    <s v="NÃO"/>
    <x v="37"/>
    <x v="2"/>
    <s v="DISPOSIÇÃO DE REJEITOS LINHA DO CIRCUITO ARENOSO DISTRIBUIDOR DI-145A-9913 PARA A PENEIRA PN-145A-9705"/>
    <m/>
    <m/>
    <m/>
    <s v="1450AA-T-70395_FL18"/>
    <n v="1"/>
    <s v="PÇ"/>
    <n v="0.65300000000000002"/>
    <n v="0.65300000000000002"/>
    <n v="1651.88"/>
    <n v="1078.6776400000001"/>
    <n v="0"/>
    <n v="0.9"/>
    <n v="0.1"/>
    <m/>
    <m/>
    <x v="0"/>
    <m/>
    <m/>
    <m/>
    <m/>
    <m/>
    <m/>
    <m/>
    <m/>
    <m/>
    <m/>
    <m/>
    <m/>
    <m/>
    <m/>
    <m/>
    <m/>
    <m/>
  </r>
  <r>
    <s v="2.4.3.1.2"/>
    <s v="CMS M.60.10.000"/>
    <x v="2"/>
    <n v="10"/>
    <s v="SPOOL"/>
    <n v="8"/>
    <x v="1"/>
    <s v="NÃO"/>
    <s v="NÃO"/>
    <x v="37"/>
    <x v="2"/>
    <s v="DISPOSIÇÃO DE REJEITOS LINHA DO CIRCUITO ARENOSO DISTRIBUIDOR DI-145A-9913 PARA A PENEIRA PN-145A-9705"/>
    <m/>
    <m/>
    <m/>
    <s v="1450AA-T-70395_FL10"/>
    <n v="1"/>
    <s v="PÇ"/>
    <n v="0.8"/>
    <n v="0.8"/>
    <n v="1651.88"/>
    <n v="1321.5040000000001"/>
    <n v="0"/>
    <n v="0.9"/>
    <n v="0.1"/>
    <m/>
    <m/>
    <x v="0"/>
    <m/>
    <m/>
    <m/>
    <m/>
    <m/>
    <m/>
    <m/>
    <m/>
    <m/>
    <m/>
    <m/>
    <m/>
    <m/>
    <m/>
    <m/>
    <m/>
    <m/>
  </r>
  <r>
    <s v="2.4.3.1.2"/>
    <s v="CMS M.60.10.000"/>
    <x v="2"/>
    <n v="11"/>
    <s v="SPOOL"/>
    <n v="8"/>
    <x v="1"/>
    <s v="NÃO"/>
    <s v="NÃO"/>
    <x v="37"/>
    <x v="2"/>
    <s v="DISPOSIÇÃO DE REJEITOS LINHA DO CIRCUITO ARENOSO DISTRIBUIDOR DI-145A-9913 PARA A PENEIRA PN-145A-9705"/>
    <m/>
    <m/>
    <m/>
    <s v="1450AA-T-70395_FL19"/>
    <n v="1"/>
    <s v="PÇ"/>
    <n v="0.96"/>
    <n v="0.96"/>
    <n v="1651.88"/>
    <n v="1585.8048000000001"/>
    <n v="0"/>
    <n v="0.9"/>
    <n v="0.1"/>
    <m/>
    <m/>
    <x v="0"/>
    <m/>
    <m/>
    <m/>
    <m/>
    <m/>
    <m/>
    <m/>
    <m/>
    <m/>
    <m/>
    <m/>
    <m/>
    <m/>
    <m/>
    <m/>
    <m/>
    <m/>
  </r>
  <r>
    <s v="2.4.3.1.1"/>
    <s v="CMS M.60.10.000"/>
    <x v="2"/>
    <n v="12"/>
    <s v="SPOOL"/>
    <s v="8 X 6"/>
    <x v="1"/>
    <s v="NÃO"/>
    <s v="NÃO"/>
    <x v="37"/>
    <x v="2"/>
    <s v="DISPOSIÇÃO DE REJEITOS LINHA DO CIRCUITO ARENOSO DISTRIBUIDOR DI-145A-9913 PARA A PENEIRA PN-145A-9705"/>
    <m/>
    <m/>
    <m/>
    <s v="1450AA-T-70395_FL20"/>
    <n v="1"/>
    <s v="PÇ"/>
    <n v="2.113"/>
    <n v="2.113"/>
    <n v="1169.77"/>
    <n v="2471.7240099999999"/>
    <n v="0"/>
    <n v="0.9"/>
    <n v="0.1"/>
    <m/>
    <m/>
    <x v="0"/>
    <m/>
    <m/>
    <m/>
    <m/>
    <m/>
    <m/>
    <m/>
    <m/>
    <m/>
    <m/>
    <m/>
    <m/>
    <m/>
    <m/>
    <m/>
    <m/>
    <m/>
  </r>
  <r>
    <s v="2.4.3.1.1"/>
    <s v="CMS M.60.10.000"/>
    <x v="2"/>
    <n v="13"/>
    <s v="FLANGE"/>
    <n v="6"/>
    <x v="1"/>
    <s v="NÃO"/>
    <s v="NÃO"/>
    <x v="37"/>
    <x v="2"/>
    <s v="DISPOSIÇÃO DE REJEITOS LINHA DO CIRCUITO ARENOSO DISTRIBUIDOR DI-145A-9913 PARA A PENEIRA PN-145A-9705"/>
    <m/>
    <m/>
    <m/>
    <s v="1450AA-T-70395_FL08"/>
    <n v="2"/>
    <s v="PÇ"/>
    <n v="0"/>
    <n v="0"/>
    <n v="1169.77"/>
    <n v="0"/>
    <n v="0"/>
    <n v="0.9"/>
    <n v="0.1"/>
    <m/>
    <m/>
    <x v="0"/>
    <m/>
    <m/>
    <m/>
    <m/>
    <m/>
    <m/>
    <m/>
    <m/>
    <m/>
    <m/>
    <m/>
    <m/>
    <m/>
    <m/>
    <m/>
    <m/>
    <m/>
  </r>
  <r>
    <s v="2.4.3.1.2"/>
    <s v="CMS M.60.10.000"/>
    <x v="2"/>
    <n v="1"/>
    <s v="SPOOL"/>
    <n v="8"/>
    <x v="1"/>
    <s v="NÃO"/>
    <s v="NÃO"/>
    <x v="38"/>
    <x v="2"/>
    <s v="DISPOSIÇÃO DE REJEITOS LINHA DO CIRCUITO ARENOSO DISTRIBUIDOR DI-145A-9913 PARA A PENEIRA PN-145A-9725"/>
    <m/>
    <m/>
    <m/>
    <s v="1450AA-T-70397_FL06"/>
    <n v="1"/>
    <s v="PÇ"/>
    <n v="0.14899999999999999"/>
    <n v="0.14899999999999999"/>
    <n v="1651.88"/>
    <n v="246.13012000000001"/>
    <n v="0"/>
    <n v="0.9"/>
    <n v="0.1"/>
    <m/>
    <m/>
    <x v="0"/>
    <m/>
    <m/>
    <m/>
    <m/>
    <m/>
    <m/>
    <m/>
    <m/>
    <m/>
    <m/>
    <m/>
    <m/>
    <m/>
    <m/>
    <m/>
    <m/>
    <m/>
  </r>
  <r>
    <s v="2.4.3.1.2"/>
    <s v="CMS M.60.10.000"/>
    <x v="2"/>
    <n v="2"/>
    <s v="CURVA"/>
    <n v="8"/>
    <x v="1"/>
    <s v="NÃO"/>
    <s v="NÃO"/>
    <x v="38"/>
    <x v="2"/>
    <s v="DISPOSIÇÃO DE REJEITOS LINHA DO CIRCUITO ARENOSO DISTRIBUIDOR DI-145A-9913 PARA A PENEIRA PN-145A-9725"/>
    <m/>
    <m/>
    <m/>
    <s v="1450AA-T-70397_FL10"/>
    <n v="2"/>
    <s v="PÇ"/>
    <n v="0.33200000000000002"/>
    <n v="0.66400000000000003"/>
    <n v="1651.88"/>
    <n v="1096.8483200000001"/>
    <n v="0"/>
    <n v="0.9"/>
    <n v="0.1"/>
    <m/>
    <m/>
    <x v="0"/>
    <m/>
    <m/>
    <m/>
    <m/>
    <m/>
    <m/>
    <m/>
    <m/>
    <m/>
    <m/>
    <m/>
    <m/>
    <m/>
    <m/>
    <m/>
    <m/>
    <m/>
  </r>
  <r>
    <s v="2.4.3.1.2"/>
    <s v="CMS M.60.10.000"/>
    <x v="2"/>
    <n v="3"/>
    <s v="SPOOL"/>
    <n v="8"/>
    <x v="1"/>
    <s v="NÃO"/>
    <s v="NÃO"/>
    <x v="38"/>
    <x v="2"/>
    <s v="DISPOSIÇÃO DE REJEITOS LINHA DO CIRCUITO ARENOSO DISTRIBUIDOR DI-145A-9913 PARA A PENEIRA PN-145A-9725"/>
    <m/>
    <m/>
    <m/>
    <s v="1450AA-T-70397_FL08"/>
    <n v="1"/>
    <s v="PÇ"/>
    <n v="0.93"/>
    <n v="0.93"/>
    <n v="1651.88"/>
    <n v="1536.2484000000002"/>
    <n v="0"/>
    <n v="0.9"/>
    <n v="0.1"/>
    <m/>
    <m/>
    <x v="0"/>
    <m/>
    <m/>
    <m/>
    <m/>
    <m/>
    <m/>
    <m/>
    <m/>
    <m/>
    <m/>
    <m/>
    <m/>
    <m/>
    <m/>
    <m/>
    <m/>
    <m/>
  </r>
  <r>
    <s v="2.4.3.1.2"/>
    <s v="CMS M.60.10.000"/>
    <x v="2"/>
    <n v="4"/>
    <s v="CURVA"/>
    <n v="8"/>
    <x v="1"/>
    <s v="NÃO"/>
    <s v="NÃO"/>
    <x v="38"/>
    <x v="2"/>
    <s v="DISPOSIÇÃO DE REJEITOS LINHA DO CIRCUITO ARENOSO DISTRIBUIDOR DI-145A-9913 PARA A PENEIRA PN-145A-9725"/>
    <m/>
    <m/>
    <m/>
    <s v="1450AA-T-70397_FL11"/>
    <n v="1"/>
    <s v="PÇ"/>
    <n v="0.61099999999999999"/>
    <n v="0.61099999999999999"/>
    <n v="1651.88"/>
    <n v="1009.29868"/>
    <n v="0"/>
    <n v="0.9"/>
    <n v="0.1"/>
    <m/>
    <m/>
    <x v="0"/>
    <m/>
    <m/>
    <m/>
    <m/>
    <m/>
    <m/>
    <m/>
    <m/>
    <m/>
    <m/>
    <m/>
    <m/>
    <m/>
    <m/>
    <m/>
    <m/>
    <m/>
  </r>
  <r>
    <s v="2.4.3.1.2"/>
    <s v="CMS M.60.10.000"/>
    <x v="2"/>
    <n v="5"/>
    <s v="SPOOL"/>
    <n v="8"/>
    <x v="1"/>
    <s v="NÃO"/>
    <s v="NÃO"/>
    <x v="38"/>
    <x v="2"/>
    <s v="DISPOSIÇÃO DE REJEITOS LINHA DO CIRCUITO ARENOSO DISTRIBUIDOR DI-145A-9913 PARA A PENEIRA PN-145A-9725"/>
    <m/>
    <m/>
    <m/>
    <s v="1450AA-T-70397_FL07"/>
    <n v="1"/>
    <s v="PÇ"/>
    <n v="0.32500000000000001"/>
    <n v="0.32500000000000001"/>
    <n v="1651.88"/>
    <n v="536.8610000000001"/>
    <n v="0"/>
    <n v="0.9"/>
    <n v="0.1"/>
    <m/>
    <m/>
    <x v="0"/>
    <m/>
    <m/>
    <m/>
    <m/>
    <m/>
    <m/>
    <m/>
    <m/>
    <m/>
    <m/>
    <m/>
    <m/>
    <m/>
    <m/>
    <m/>
    <m/>
    <m/>
  </r>
  <r>
    <s v="2.4.3.1.2"/>
    <s v="CMS M.60.10.000"/>
    <x v="2"/>
    <n v="6"/>
    <s v="SPOOL"/>
    <n v="8"/>
    <x v="1"/>
    <s v="NÃO"/>
    <s v="NÃO"/>
    <x v="38"/>
    <x v="2"/>
    <s v="DISPOSIÇÃO DE REJEITOS LINHA DO CIRCUITO ARENOSO DISTRIBUIDOR DI-145A-9913 PARA A PENEIRA PN-145A-9725"/>
    <m/>
    <m/>
    <m/>
    <s v="1450AA-T-70397_FL12"/>
    <n v="1"/>
    <s v="PÇ"/>
    <n v="1.01"/>
    <n v="1.01"/>
    <n v="1651.88"/>
    <n v="1668.3988000000002"/>
    <n v="0"/>
    <n v="0.9"/>
    <n v="0.1"/>
    <m/>
    <m/>
    <x v="0"/>
    <m/>
    <m/>
    <m/>
    <m/>
    <m/>
    <m/>
    <m/>
    <m/>
    <m/>
    <m/>
    <m/>
    <m/>
    <m/>
    <m/>
    <m/>
    <m/>
    <m/>
  </r>
  <r>
    <s v="2.4.3.1.2"/>
    <s v="CMS M.60.10.000"/>
    <x v="2"/>
    <n v="7"/>
    <s v="SPOOL"/>
    <n v="8"/>
    <x v="2"/>
    <s v="NÃO"/>
    <s v="NÃO"/>
    <x v="38"/>
    <x v="2"/>
    <s v="DISPOSIÇÃO DE REJEITOS LINHA DO CIRCUITO ARENOSO DISTRIBUIDOR DI-145A-9913 PARA A PENEIRA PN-145A-9725"/>
    <m/>
    <m/>
    <m/>
    <s v="1450AA-T-70397_FL09"/>
    <n v="1"/>
    <s v="PÇ"/>
    <n v="0.51"/>
    <n v="0.51"/>
    <n v="1651.88"/>
    <n v="842.45880000000011"/>
    <n v="0"/>
    <n v="0.9"/>
    <n v="0.1"/>
    <m/>
    <m/>
    <x v="0"/>
    <m/>
    <m/>
    <m/>
    <m/>
    <m/>
    <m/>
    <m/>
    <m/>
    <m/>
    <m/>
    <m/>
    <m/>
    <m/>
    <m/>
    <m/>
    <m/>
    <m/>
  </r>
  <r>
    <s v="2.4.3.1.2"/>
    <s v="CMS M.60.10.000"/>
    <x v="2"/>
    <n v="1"/>
    <s v="CURVA"/>
    <n v="8"/>
    <x v="1"/>
    <s v="NÃO"/>
    <s v="NÃO"/>
    <x v="39"/>
    <x v="2"/>
    <s v="DISPOSIÇÃO DE REJEITOS LINHA DO CIRCUITO ARENOSO DISTRIBUIDOR DI-145A-9913 PARA A PENEIRA PN-145A-9706"/>
    <m/>
    <m/>
    <m/>
    <s v="1450AA-T-70399_FL17"/>
    <n v="2"/>
    <s v="PÇ"/>
    <n v="0.61099999999999999"/>
    <n v="1.222"/>
    <n v="1651.88"/>
    <n v="2018.59736"/>
    <n v="0"/>
    <n v="0.9"/>
    <n v="0.1"/>
    <m/>
    <m/>
    <x v="0"/>
    <m/>
    <m/>
    <m/>
    <m/>
    <m/>
    <m/>
    <m/>
    <m/>
    <m/>
    <m/>
    <m/>
    <m/>
    <m/>
    <m/>
    <m/>
    <m/>
    <m/>
  </r>
  <r>
    <s v="2.4.3.1.2"/>
    <s v="CMS M.60.10.000"/>
    <x v="2"/>
    <n v="2"/>
    <s v="SPOOL"/>
    <n v="8"/>
    <x v="1"/>
    <s v="NÃO"/>
    <s v="NÃO"/>
    <x v="39"/>
    <x v="2"/>
    <s v="DISPOSIÇÃO DE REJEITOS LINHA DO CIRCUITO ARENOSO DISTRIBUIDOR DI-145A-9913 PARA A PENEIRA PN-145A-9706"/>
    <m/>
    <m/>
    <m/>
    <s v="1450AA-T-70399_FL09"/>
    <n v="2"/>
    <s v="PÇ"/>
    <n v="0.81499999999999995"/>
    <n v="1.63"/>
    <n v="1651.88"/>
    <n v="2692.5644000000002"/>
    <n v="0"/>
    <n v="0.9"/>
    <n v="0.1"/>
    <m/>
    <m/>
    <x v="0"/>
    <m/>
    <m/>
    <m/>
    <m/>
    <m/>
    <m/>
    <m/>
    <m/>
    <m/>
    <m/>
    <m/>
    <m/>
    <m/>
    <m/>
    <m/>
    <m/>
    <m/>
  </r>
  <r>
    <s v="2.4.3.1.2"/>
    <s v="CMS M.60.10.000"/>
    <x v="2"/>
    <n v="3"/>
    <s v="CURVA"/>
    <n v="8"/>
    <x v="1"/>
    <s v="NÃO"/>
    <s v="NÃO"/>
    <x v="39"/>
    <x v="2"/>
    <s v="DISPOSIÇÃO DE REJEITOS LINHA DO CIRCUITO ARENOSO DISTRIBUIDOR DI-145A-9913 PARA A PENEIRA PN-145A-9706"/>
    <m/>
    <m/>
    <m/>
    <s v="1450AA-T-70399_FL15"/>
    <n v="1"/>
    <s v="PÇ"/>
    <n v="0.32100000000000001"/>
    <n v="0.32100000000000001"/>
    <n v="1651.88"/>
    <n v="530.25348000000008"/>
    <n v="0"/>
    <n v="0.9"/>
    <n v="0.1"/>
    <m/>
    <m/>
    <x v="0"/>
    <m/>
    <m/>
    <m/>
    <m/>
    <m/>
    <m/>
    <m/>
    <m/>
    <m/>
    <m/>
    <m/>
    <m/>
    <m/>
    <m/>
    <m/>
    <m/>
    <m/>
  </r>
  <r>
    <s v="2.4.3.1.2"/>
    <s v="CMS M.60.10.000"/>
    <x v="2"/>
    <n v="4"/>
    <s v="SPOOL"/>
    <n v="8"/>
    <x v="2"/>
    <s v="NÃO"/>
    <s v="NÃO"/>
    <x v="39"/>
    <x v="2"/>
    <s v="DISPOSIÇÃO DE REJEITOS LINHA DO CIRCUITO ARENOSO DISTRIBUIDOR DI-145A-9913 PARA A PENEIRA PN-145A-9706"/>
    <m/>
    <m/>
    <m/>
    <s v="1450AA-T-70399_FL13"/>
    <n v="1"/>
    <s v="PÇ"/>
    <n v="0.35"/>
    <n v="0.35"/>
    <n v="1651.88"/>
    <n v="578.15800000000002"/>
    <n v="0"/>
    <n v="0.9"/>
    <n v="0.1"/>
    <m/>
    <m/>
    <x v="0"/>
    <m/>
    <m/>
    <m/>
    <m/>
    <m/>
    <m/>
    <m/>
    <m/>
    <m/>
    <m/>
    <m/>
    <m/>
    <m/>
    <m/>
    <m/>
    <m/>
    <m/>
  </r>
  <r>
    <s v="2.4.3.1.2"/>
    <s v="CMS M.60.10.000"/>
    <x v="2"/>
    <n v="5"/>
    <s v="SPOOL"/>
    <n v="8"/>
    <x v="1"/>
    <s v="NÃO"/>
    <s v="NÃO"/>
    <x v="39"/>
    <x v="2"/>
    <s v="DISPOSIÇÃO DE REJEITOS LINHA DO CIRCUITO ARENOSO DISTRIBUIDOR DI-145A-9913 PARA A PENEIRA PN-145A-9706"/>
    <m/>
    <m/>
    <m/>
    <s v="1450AA-T-70399_FL12"/>
    <n v="2"/>
    <s v="PÇ"/>
    <n v="3.5"/>
    <n v="7"/>
    <n v="1651.88"/>
    <n v="11563.16"/>
    <n v="0"/>
    <n v="0.9"/>
    <n v="0.1"/>
    <m/>
    <m/>
    <x v="0"/>
    <m/>
    <m/>
    <m/>
    <m/>
    <m/>
    <m/>
    <m/>
    <m/>
    <m/>
    <m/>
    <m/>
    <m/>
    <m/>
    <m/>
    <m/>
    <m/>
    <m/>
  </r>
  <r>
    <s v="2.4.3.1.2"/>
    <s v="CMS M.60.10.000"/>
    <x v="2"/>
    <n v="6"/>
    <s v="SPOOL"/>
    <n v="8"/>
    <x v="1"/>
    <s v="NÃO"/>
    <s v="NÃO"/>
    <x v="39"/>
    <x v="2"/>
    <s v="DISPOSIÇÃO DE REJEITOS LINHA DO CIRCUITO ARENOSO DISTRIBUIDOR DI-145A-9913 PARA A PENEIRA PN-145A-9706"/>
    <m/>
    <m/>
    <m/>
    <s v="1450AA-T-70399_FL11"/>
    <n v="1"/>
    <s v="PÇ"/>
    <n v="1.5"/>
    <n v="1.5"/>
    <n v="1651.88"/>
    <n v="2477.8200000000002"/>
    <n v="0"/>
    <n v="0.9"/>
    <n v="0.1"/>
    <m/>
    <m/>
    <x v="0"/>
    <m/>
    <m/>
    <m/>
    <m/>
    <m/>
    <m/>
    <m/>
    <m/>
    <m/>
    <m/>
    <m/>
    <m/>
    <m/>
    <m/>
    <m/>
    <m/>
    <m/>
  </r>
  <r>
    <s v="2.4.3.1.2"/>
    <s v="CMS M.60.10.000"/>
    <x v="2"/>
    <n v="7"/>
    <s v="SPOOL"/>
    <n v="8"/>
    <x v="2"/>
    <s v="NÃO"/>
    <s v="NÃO"/>
    <x v="39"/>
    <x v="2"/>
    <s v="DISPOSIÇÃO DE REJEITOS LINHA DO CIRCUITO ARENOSO DISTRIBUIDOR DI-145A-9913 PARA A PENEIRA PN-145A-9706"/>
    <m/>
    <m/>
    <m/>
    <s v="1450AA-T-70399_FL14"/>
    <n v="1"/>
    <s v="PÇ"/>
    <n v="0.67500000000000004"/>
    <n v="0.67500000000000004"/>
    <n v="1651.88"/>
    <n v="1115.0190000000002"/>
    <n v="0"/>
    <n v="0.9"/>
    <n v="0.1"/>
    <m/>
    <m/>
    <x v="0"/>
    <m/>
    <m/>
    <m/>
    <m/>
    <m/>
    <m/>
    <m/>
    <m/>
    <m/>
    <m/>
    <m/>
    <m/>
    <m/>
    <m/>
    <m/>
    <m/>
    <m/>
  </r>
  <r>
    <s v="2.4.3.1.2"/>
    <s v="CMS M.60.10.000"/>
    <x v="2"/>
    <n v="8"/>
    <s v="CURVA"/>
    <n v="8"/>
    <x v="1"/>
    <s v="NÃO"/>
    <s v="NÃO"/>
    <x v="39"/>
    <x v="2"/>
    <s v="DISPOSIÇÃO DE REJEITOS LINHA DO CIRCUITO ARENOSO DISTRIBUIDOR DI-145A-9913 PARA A PENEIRA PN-145A-9706"/>
    <m/>
    <m/>
    <m/>
    <s v="1450AA-T-70399_FL16"/>
    <n v="1"/>
    <s v="PÇ"/>
    <n v="0.54200000000000004"/>
    <n v="0.54200000000000004"/>
    <n v="1651.88"/>
    <n v="895.31896000000017"/>
    <n v="0"/>
    <n v="0.9"/>
    <n v="0.1"/>
    <m/>
    <m/>
    <x v="0"/>
    <m/>
    <m/>
    <m/>
    <m/>
    <m/>
    <m/>
    <m/>
    <m/>
    <m/>
    <m/>
    <m/>
    <m/>
    <m/>
    <m/>
    <m/>
    <m/>
    <m/>
  </r>
  <r>
    <s v="2.4.3.1.2"/>
    <s v="CMS M.60.10.000"/>
    <x v="2"/>
    <n v="9"/>
    <s v="CURVA"/>
    <n v="8"/>
    <x v="1"/>
    <s v="NÃO"/>
    <s v="NÃO"/>
    <x v="39"/>
    <x v="2"/>
    <s v="DISPOSIÇÃO DE REJEITOS LINHA DO CIRCUITO ARENOSO DISTRIBUIDOR DI-145A-9913 PARA A PENEIRA PN-145A-9706"/>
    <m/>
    <m/>
    <m/>
    <s v="1450AA-T-70399_FL18"/>
    <n v="1"/>
    <s v="PÇ"/>
    <n v="0.63800000000000001"/>
    <n v="0.63800000000000001"/>
    <n v="1651.88"/>
    <n v="1053.8994400000001"/>
    <n v="0"/>
    <n v="0.9"/>
    <n v="0.1"/>
    <m/>
    <m/>
    <x v="0"/>
    <m/>
    <m/>
    <m/>
    <m/>
    <m/>
    <m/>
    <m/>
    <m/>
    <m/>
    <m/>
    <m/>
    <m/>
    <m/>
    <m/>
    <m/>
    <m/>
    <m/>
  </r>
  <r>
    <s v="2.4.3.1.2"/>
    <s v="CMS M.60.10.000"/>
    <x v="2"/>
    <n v="10"/>
    <s v="SPOOL"/>
    <n v="8"/>
    <x v="1"/>
    <s v="NÃO"/>
    <s v="NÃO"/>
    <x v="39"/>
    <x v="2"/>
    <s v="DISPOSIÇÃO DE REJEITOS LINHA DO CIRCUITO ARENOSO DISTRIBUIDOR DI-145A-9913 PARA A PENEIRA PN-145A-9706"/>
    <m/>
    <m/>
    <m/>
    <s v="1450AA-T-70399_FL10"/>
    <n v="1"/>
    <s v="PÇ"/>
    <n v="1.34"/>
    <n v="1.34"/>
    <n v="1651.88"/>
    <n v="2213.5192000000002"/>
    <n v="0"/>
    <n v="0.9"/>
    <n v="0.1"/>
    <m/>
    <m/>
    <x v="0"/>
    <m/>
    <m/>
    <m/>
    <m/>
    <m/>
    <m/>
    <m/>
    <m/>
    <m/>
    <m/>
    <m/>
    <m/>
    <m/>
    <m/>
    <m/>
    <m/>
    <m/>
  </r>
  <r>
    <s v="2.4.3.1.2"/>
    <s v="CMS M.60.10.000"/>
    <x v="2"/>
    <n v="11"/>
    <s v="SPOOL"/>
    <n v="8"/>
    <x v="1"/>
    <s v="NÃO"/>
    <s v="NÃO"/>
    <x v="39"/>
    <x v="2"/>
    <s v="DISPOSIÇÃO DE REJEITOS LINHA DO CIRCUITO ARENOSO DISTRIBUIDOR DI-145A-9913 PARA A PENEIRA PN-145A-9706"/>
    <m/>
    <m/>
    <m/>
    <s v="1450AA-T-70399_FL19"/>
    <n v="1"/>
    <s v="PÇ"/>
    <n v="0.96"/>
    <n v="0.96"/>
    <n v="1651.88"/>
    <n v="1585.8048000000001"/>
    <n v="0"/>
    <n v="0.9"/>
    <n v="0.1"/>
    <m/>
    <m/>
    <x v="0"/>
    <m/>
    <m/>
    <m/>
    <m/>
    <m/>
    <m/>
    <m/>
    <m/>
    <m/>
    <m/>
    <m/>
    <m/>
    <m/>
    <m/>
    <m/>
    <m/>
    <m/>
  </r>
  <r>
    <s v="2.4.3.1.1"/>
    <s v="CMS M.60.10.000"/>
    <x v="2"/>
    <n v="12"/>
    <s v="SPOOL"/>
    <s v="8 X 6"/>
    <x v="1"/>
    <s v="NÃO"/>
    <s v="NÃO"/>
    <x v="39"/>
    <x v="2"/>
    <s v="DISPOSIÇÃO DE REJEITOS LINHA DO CIRCUITO ARENOSO DISTRIBUIDOR DI-145A-9913 PARA A PENEIRA PN-145A-9706"/>
    <m/>
    <m/>
    <m/>
    <s v="1450AA-T-70399_FL20"/>
    <n v="1"/>
    <s v="PÇ"/>
    <n v="2.113"/>
    <n v="2.113"/>
    <n v="1169.77"/>
    <n v="2471.7240099999999"/>
    <n v="0"/>
    <n v="0.9"/>
    <n v="0.1"/>
    <m/>
    <m/>
    <x v="0"/>
    <m/>
    <m/>
    <m/>
    <m/>
    <m/>
    <m/>
    <m/>
    <m/>
    <m/>
    <m/>
    <m/>
    <m/>
    <m/>
    <m/>
    <m/>
    <m/>
    <m/>
  </r>
  <r>
    <s v="2.4.3.1.1"/>
    <s v="CMS M.60.10.000"/>
    <x v="2"/>
    <n v="13"/>
    <s v="FLANGE"/>
    <n v="6"/>
    <x v="1"/>
    <s v="NÃO"/>
    <s v="NÃO"/>
    <x v="39"/>
    <x v="2"/>
    <s v="DISPOSIÇÃO DE REJEITOS LINHA DO CIRCUITO ARENOSO DISTRIBUIDOR DI-145A-9913 PARA A PENEIRA PN-145A-9706"/>
    <m/>
    <m/>
    <m/>
    <s v="1450AA-T-70399_FL08"/>
    <n v="2"/>
    <s v="PÇ"/>
    <n v="0"/>
    <n v="0"/>
    <n v="1169.77"/>
    <n v="0"/>
    <n v="0"/>
    <n v="0.9"/>
    <n v="0.1"/>
    <m/>
    <m/>
    <x v="0"/>
    <m/>
    <m/>
    <m/>
    <m/>
    <m/>
    <m/>
    <m/>
    <m/>
    <m/>
    <m/>
    <m/>
    <m/>
    <m/>
    <m/>
    <m/>
    <m/>
    <m/>
  </r>
  <r>
    <s v="2.4.3.1.2"/>
    <s v="CMS M.60.10.000"/>
    <x v="2"/>
    <n v="1"/>
    <s v="CURVA"/>
    <n v="8"/>
    <x v="1"/>
    <s v="NÃO"/>
    <s v="NÃO"/>
    <x v="40"/>
    <x v="2"/>
    <s v="DISPOSIÇÃO DE REJEITOS LINHA DO CIRCUITO ARENOSO DISTRIBUIDOR DI-145A-9913 PARA A PENEIRA PN-145A-9726"/>
    <m/>
    <m/>
    <m/>
    <s v="1450AA-T-70401_FL13"/>
    <n v="3"/>
    <s v="PÇ"/>
    <n v="0.61099999999999999"/>
    <n v="1.833"/>
    <n v="1651.88"/>
    <n v="3027.8960400000001"/>
    <n v="0"/>
    <n v="0.9"/>
    <n v="0.1"/>
    <m/>
    <m/>
    <x v="0"/>
    <m/>
    <m/>
    <m/>
    <m/>
    <m/>
    <m/>
    <m/>
    <m/>
    <m/>
    <m/>
    <m/>
    <m/>
    <m/>
    <m/>
    <m/>
    <m/>
    <m/>
  </r>
  <r>
    <s v="2.4.3.1.2"/>
    <s v="CMS M.60.10.000"/>
    <x v="2"/>
    <n v="2"/>
    <s v="SPOOL"/>
    <n v="8"/>
    <x v="1"/>
    <s v="NÃO"/>
    <s v="NÃO"/>
    <x v="40"/>
    <x v="2"/>
    <s v="DISPOSIÇÃO DE REJEITOS LINHA DO CIRCUITO ARENOSO DISTRIBUIDOR DI-145A-9913 PARA A PENEIRA PN-145A-9726"/>
    <m/>
    <m/>
    <m/>
    <s v="1450AA-T-70401_FL06"/>
    <n v="1"/>
    <s v="PÇ"/>
    <n v="0.23499999999999999"/>
    <n v="0.23499999999999999"/>
    <n v="1651.88"/>
    <n v="388.1918"/>
    <n v="0"/>
    <n v="0.9"/>
    <n v="0.1"/>
    <m/>
    <m/>
    <x v="0"/>
    <m/>
    <m/>
    <m/>
    <m/>
    <m/>
    <m/>
    <m/>
    <m/>
    <m/>
    <m/>
    <m/>
    <m/>
    <m/>
    <m/>
    <m/>
    <m/>
    <m/>
  </r>
  <r>
    <s v="2.4.3.1.2"/>
    <s v="CMS M.60.10.000"/>
    <x v="2"/>
    <n v="3"/>
    <s v="CURVA"/>
    <n v="8"/>
    <x v="1"/>
    <s v="NÃO"/>
    <s v="NÃO"/>
    <x v="40"/>
    <x v="2"/>
    <s v="DISPOSIÇÃO DE REJEITOS LINHA DO CIRCUITO ARENOSO DISTRIBUIDOR DI-145A-9913 PARA A PENEIRA PN-145A-9726"/>
    <m/>
    <m/>
    <m/>
    <s v="1450AA-T-70401_FL12"/>
    <n v="1"/>
    <s v="PÇ"/>
    <n v="0.32100000000000001"/>
    <n v="0.32100000000000001"/>
    <n v="1651.88"/>
    <n v="530.25348000000008"/>
    <n v="0"/>
    <n v="0.9"/>
    <n v="0.1"/>
    <m/>
    <m/>
    <x v="0"/>
    <m/>
    <m/>
    <m/>
    <m/>
    <m/>
    <m/>
    <m/>
    <m/>
    <m/>
    <m/>
    <m/>
    <m/>
    <m/>
    <m/>
    <m/>
    <m/>
    <m/>
  </r>
  <r>
    <s v="2.4.3.1.2"/>
    <s v="CMS M.60.10.000"/>
    <x v="2"/>
    <n v="4"/>
    <s v="SPOOL"/>
    <n v="8"/>
    <x v="2"/>
    <s v="NÃO"/>
    <s v="NÃO"/>
    <x v="40"/>
    <x v="2"/>
    <s v="DISPOSIÇÃO DE REJEITOS LINHA DO CIRCUITO ARENOSO DISTRIBUIDOR DI-145A-9913 PARA A PENEIRA PN-145A-9726"/>
    <m/>
    <m/>
    <m/>
    <s v="1450AA-T-70401_FL10"/>
    <n v="1"/>
    <s v="PÇ"/>
    <n v="0.49"/>
    <n v="0.49"/>
    <n v="1651.88"/>
    <n v="809.4212"/>
    <n v="0"/>
    <n v="0.9"/>
    <n v="0.1"/>
    <m/>
    <m/>
    <x v="0"/>
    <m/>
    <m/>
    <m/>
    <m/>
    <m/>
    <m/>
    <m/>
    <m/>
    <m/>
    <m/>
    <m/>
    <m/>
    <m/>
    <m/>
    <m/>
    <m/>
    <m/>
  </r>
  <r>
    <s v="2.4.3.1.2"/>
    <s v="CMS M.60.10.000"/>
    <x v="2"/>
    <n v="5"/>
    <s v="SPOOL"/>
    <n v="8"/>
    <x v="1"/>
    <s v="NÃO"/>
    <s v="NÃO"/>
    <x v="40"/>
    <x v="2"/>
    <s v="DISPOSIÇÃO DE REJEITOS LINHA DO CIRCUITO ARENOSO DISTRIBUIDOR DI-145A-9913 PARA A PENEIRA PN-145A-9726"/>
    <m/>
    <m/>
    <m/>
    <s v="1450AA-T-70401_FL09"/>
    <n v="1"/>
    <s v="PÇ"/>
    <n v="4.8"/>
    <n v="4.8"/>
    <n v="1651.88"/>
    <n v="7929.0240000000003"/>
    <n v="0"/>
    <n v="0.9"/>
    <n v="0.1"/>
    <m/>
    <m/>
    <x v="0"/>
    <m/>
    <m/>
    <m/>
    <m/>
    <m/>
    <m/>
    <m/>
    <m/>
    <m/>
    <m/>
    <m/>
    <m/>
    <m/>
    <m/>
    <m/>
    <m/>
    <m/>
  </r>
  <r>
    <s v="2.4.3.1.2"/>
    <s v="CMS M.60.10.000"/>
    <x v="2"/>
    <n v="6"/>
    <s v="SPOOL"/>
    <n v="8"/>
    <x v="1"/>
    <s v="NÃO"/>
    <s v="NÃO"/>
    <x v="40"/>
    <x v="2"/>
    <s v="DISPOSIÇÃO DE REJEITOS LINHA DO CIRCUITO ARENOSO DISTRIBUIDOR DI-145A-9913 PARA A PENEIRA PN-145A-9726"/>
    <m/>
    <m/>
    <m/>
    <s v="1450AA-T-70401_FL08"/>
    <n v="1"/>
    <s v="PÇ"/>
    <n v="0.41799999999999998"/>
    <n v="0.41799999999999998"/>
    <n v="1651.88"/>
    <n v="690.48584000000005"/>
    <n v="0"/>
    <n v="0.9"/>
    <n v="0.1"/>
    <m/>
    <m/>
    <x v="0"/>
    <m/>
    <m/>
    <m/>
    <m/>
    <m/>
    <m/>
    <m/>
    <m/>
    <m/>
    <m/>
    <m/>
    <m/>
    <m/>
    <m/>
    <m/>
    <m/>
    <m/>
  </r>
  <r>
    <s v="2.4.3.1.2"/>
    <s v="CMS M.60.10.000"/>
    <x v="2"/>
    <n v="7"/>
    <s v="SPOOL"/>
    <n v="8"/>
    <x v="1"/>
    <s v="NÃO"/>
    <s v="NÃO"/>
    <x v="40"/>
    <x v="2"/>
    <s v="DISPOSIÇÃO DE REJEITOS LINHA DO CIRCUITO ARENOSO DISTRIBUIDOR DI-145A-9913 PARA A PENEIRA PN-145A-9726"/>
    <m/>
    <m/>
    <m/>
    <s v="1450AA-T-70401_FL07"/>
    <n v="1"/>
    <s v="PÇ"/>
    <n v="0.32500000000000001"/>
    <n v="0.32500000000000001"/>
    <n v="1651.88"/>
    <n v="536.8610000000001"/>
    <n v="0"/>
    <n v="0.9"/>
    <n v="0.1"/>
    <m/>
    <m/>
    <x v="0"/>
    <m/>
    <m/>
    <m/>
    <m/>
    <m/>
    <m/>
    <m/>
    <m/>
    <m/>
    <m/>
    <m/>
    <m/>
    <m/>
    <m/>
    <m/>
    <m/>
    <m/>
  </r>
  <r>
    <s v="2.4.3.1.2"/>
    <s v="CMS M.60.10.000"/>
    <x v="2"/>
    <n v="8"/>
    <s v="SPOOL"/>
    <n v="8"/>
    <x v="1"/>
    <s v="NÃO"/>
    <s v="NÃO"/>
    <x v="40"/>
    <x v="2"/>
    <s v="DISPOSIÇÃO DE REJEITOS LINHA DO CIRCUITO ARENOSO DISTRIBUIDOR DI-145A-9913 PARA A PENEIRA PN-145A-9726"/>
    <m/>
    <m/>
    <m/>
    <s v="1450AA-T-70401_FL14"/>
    <n v="1"/>
    <s v="PÇ"/>
    <n v="1.01"/>
    <n v="1.01"/>
    <n v="1651.88"/>
    <n v="1668.3988000000002"/>
    <n v="0"/>
    <n v="0.9"/>
    <n v="0.1"/>
    <m/>
    <m/>
    <x v="0"/>
    <m/>
    <m/>
    <m/>
    <m/>
    <m/>
    <m/>
    <m/>
    <m/>
    <m/>
    <m/>
    <m/>
    <m/>
    <m/>
    <m/>
    <m/>
    <m/>
    <m/>
  </r>
  <r>
    <s v="2.4.3.1.2"/>
    <s v="CMS M.60.10.000"/>
    <x v="2"/>
    <n v="9"/>
    <s v="SPOOL"/>
    <n v="8"/>
    <x v="2"/>
    <s v="NÃO"/>
    <s v="NÃO"/>
    <x v="40"/>
    <x v="2"/>
    <s v="DISPOSIÇÃO DE REJEITOS LINHA DO CIRCUITO ARENOSO DISTRIBUIDOR DI-145A-9913 PARA A PENEIRA PN-145A-9726"/>
    <m/>
    <m/>
    <m/>
    <s v="1450AA-T-70401_FL11"/>
    <n v="1"/>
    <s v="PÇ"/>
    <n v="0.51"/>
    <n v="0.51"/>
    <n v="1651.88"/>
    <n v="842.45880000000011"/>
    <n v="0"/>
    <n v="0.9"/>
    <n v="0.1"/>
    <m/>
    <m/>
    <x v="0"/>
    <m/>
    <m/>
    <m/>
    <m/>
    <m/>
    <m/>
    <m/>
    <m/>
    <m/>
    <m/>
    <m/>
    <m/>
    <m/>
    <m/>
    <m/>
    <m/>
    <m/>
  </r>
  <r>
    <s v="2.4.3.1.2"/>
    <s v="CMS M.60.10.000"/>
    <x v="2"/>
    <n v="1"/>
    <s v="CURVA"/>
    <n v="8"/>
    <x v="1"/>
    <s v="NÃO"/>
    <s v="NÃO"/>
    <x v="41"/>
    <x v="1"/>
    <s v="DISPOSIÇÃO DE REJEITOS LINHA DO CIRCUITO ARENOSO DISTRIBUIDOR DI-145A-9914 PARA A PENEIRA PN-145A-9707"/>
    <m/>
    <m/>
    <m/>
    <s v="1450AA-T-70404_FL8"/>
    <n v="2"/>
    <s v="PÇ"/>
    <n v="0.61099999999999999"/>
    <n v="1.222"/>
    <n v="1651.88"/>
    <n v="2018.59736"/>
    <n v="0"/>
    <n v="0.9"/>
    <n v="0.1"/>
    <m/>
    <m/>
    <x v="0"/>
    <m/>
    <m/>
    <m/>
    <m/>
    <m/>
    <m/>
    <m/>
    <m/>
    <m/>
    <m/>
    <m/>
    <m/>
    <m/>
    <m/>
    <m/>
    <m/>
    <m/>
  </r>
  <r>
    <s v="2.4.3.1.2"/>
    <s v="CMS M.60.10.000"/>
    <x v="2"/>
    <n v="2"/>
    <s v="SPOOL"/>
    <n v="8"/>
    <x v="1"/>
    <s v="NÃO"/>
    <s v="NÃO"/>
    <x v="41"/>
    <x v="1"/>
    <s v="DISPOSIÇÃO DE REJEITOS LINHA DO CIRCUITO ARENOSO DISTRIBUIDOR DI-145A-9914 PARA A PENEIRA PN-145A-9707"/>
    <m/>
    <m/>
    <m/>
    <s v="1450AA-T-70404_FL10"/>
    <n v="2"/>
    <s v="PÇ"/>
    <n v="0.81499999999999995"/>
    <n v="1.63"/>
    <n v="1651.88"/>
    <n v="2692.5644000000002"/>
    <n v="0"/>
    <n v="0.9"/>
    <n v="0.1"/>
    <m/>
    <m/>
    <x v="0"/>
    <m/>
    <m/>
    <m/>
    <m/>
    <m/>
    <m/>
    <m/>
    <m/>
    <m/>
    <m/>
    <m/>
    <m/>
    <m/>
    <m/>
    <m/>
    <m/>
    <m/>
  </r>
  <r>
    <s v="2.4.3.1.2"/>
    <s v="CMS M.60.10.000"/>
    <x v="2"/>
    <n v="3"/>
    <s v="CURVA"/>
    <n v="8"/>
    <x v="1"/>
    <s v="NÃO"/>
    <s v="NÃO"/>
    <x v="41"/>
    <x v="1"/>
    <s v="DISPOSIÇÃO DE REJEITOS LINHA DO CIRCUITO ARENOSO DISTRIBUIDOR DI-145A-9914 PARA A PENEIRA PN-145A-9707"/>
    <m/>
    <m/>
    <m/>
    <s v="1450AA-T-70404_FL16"/>
    <n v="1"/>
    <s v="PÇ"/>
    <n v="0.32100000000000001"/>
    <n v="0.32100000000000001"/>
    <n v="1651.88"/>
    <n v="530.25348000000008"/>
    <n v="0"/>
    <n v="0.9"/>
    <n v="0.1"/>
    <m/>
    <m/>
    <x v="0"/>
    <m/>
    <m/>
    <m/>
    <m/>
    <m/>
    <m/>
    <m/>
    <m/>
    <m/>
    <m/>
    <m/>
    <m/>
    <m/>
    <m/>
    <m/>
    <m/>
    <m/>
  </r>
  <r>
    <s v="2.4.3.1.2"/>
    <s v="CMS M.60.10.000"/>
    <x v="2"/>
    <n v="4"/>
    <s v="SPOOL"/>
    <n v="8"/>
    <x v="2"/>
    <s v="NÃO"/>
    <s v="NÃO"/>
    <x v="41"/>
    <x v="1"/>
    <s v="DISPOSIÇÃO DE REJEITOS LINHA DO CIRCUITO ARENOSO DISTRIBUIDOR DI-145A-9914 PARA A PENEIRA PN-145A-9707"/>
    <m/>
    <m/>
    <m/>
    <s v="1450AA-T-70404_FL14"/>
    <n v="1"/>
    <s v="PÇ"/>
    <n v="0.39"/>
    <n v="0.39"/>
    <n v="1651.88"/>
    <n v="644.23320000000001"/>
    <n v="0"/>
    <n v="0.9"/>
    <n v="0.1"/>
    <m/>
    <m/>
    <x v="0"/>
    <m/>
    <m/>
    <m/>
    <m/>
    <m/>
    <m/>
    <m/>
    <m/>
    <m/>
    <m/>
    <m/>
    <m/>
    <m/>
    <m/>
    <m/>
    <m/>
    <m/>
  </r>
  <r>
    <s v="2.4.3.1.2"/>
    <s v="CMS M.60.10.000"/>
    <x v="2"/>
    <n v="5"/>
    <s v="SPOOL"/>
    <n v="8"/>
    <x v="1"/>
    <s v="NÃO"/>
    <s v="NÃO"/>
    <x v="41"/>
    <x v="1"/>
    <s v="DISPOSIÇÃO DE REJEITOS LINHA DO CIRCUITO ARENOSO DISTRIBUIDOR DI-145A-9914 PARA A PENEIRA PN-145A-9707"/>
    <m/>
    <m/>
    <m/>
    <s v="1450AA-T-70404_FL09"/>
    <n v="1"/>
    <s v="PÇ"/>
    <n v="0.7"/>
    <n v="0.7"/>
    <n v="1651.88"/>
    <n v="1156.316"/>
    <n v="0"/>
    <n v="0.9"/>
    <n v="0.1"/>
    <m/>
    <m/>
    <x v="0"/>
    <m/>
    <m/>
    <m/>
    <m/>
    <m/>
    <m/>
    <m/>
    <m/>
    <m/>
    <m/>
    <m/>
    <m/>
    <m/>
    <m/>
    <m/>
    <m/>
    <m/>
  </r>
  <r>
    <s v="2.4.3.1.2"/>
    <s v="CMS M.60.10.000"/>
    <x v="2"/>
    <n v="6"/>
    <s v="SPOOL"/>
    <n v="8"/>
    <x v="1"/>
    <s v="NÃO"/>
    <s v="NÃO"/>
    <x v="41"/>
    <x v="1"/>
    <s v="DISPOSIÇÃO DE REJEITOS LINHA DO CIRCUITO ARENOSO DISTRIBUIDOR DI-145A-9914 PARA A PENEIRA PN-145A-9707"/>
    <m/>
    <m/>
    <m/>
    <s v="1450AA-T-70404_FL12"/>
    <n v="1"/>
    <s v="PÇ"/>
    <n v="1.5"/>
    <n v="1.5"/>
    <n v="1651.88"/>
    <n v="2477.8200000000002"/>
    <n v="0"/>
    <n v="0.9"/>
    <n v="0.1"/>
    <m/>
    <m/>
    <x v="0"/>
    <m/>
    <m/>
    <m/>
    <m/>
    <m/>
    <m/>
    <m/>
    <m/>
    <m/>
    <m/>
    <m/>
    <m/>
    <m/>
    <m/>
    <m/>
    <m/>
    <m/>
  </r>
  <r>
    <s v="2.4.3.1.2"/>
    <s v="CMS M.60.10.000"/>
    <x v="2"/>
    <n v="7"/>
    <s v="SPOOL"/>
    <n v="8"/>
    <x v="1"/>
    <s v="NÃO"/>
    <s v="NÃO"/>
    <x v="41"/>
    <x v="1"/>
    <s v="DISPOSIÇÃO DE REJEITOS LINHA DO CIRCUITO ARENOSO DISTRIBUIDOR DI-145A-9914 PARA A PENEIRA PN-145A-9707"/>
    <m/>
    <m/>
    <m/>
    <s v="1450AA-T-70404_FL13"/>
    <n v="1"/>
    <s v="PÇ"/>
    <n v="4"/>
    <n v="4"/>
    <n v="1651.88"/>
    <n v="6607.52"/>
    <n v="0"/>
    <n v="0.9"/>
    <n v="0.1"/>
    <m/>
    <m/>
    <x v="0"/>
    <m/>
    <m/>
    <m/>
    <m/>
    <m/>
    <m/>
    <m/>
    <m/>
    <m/>
    <m/>
    <m/>
    <m/>
    <m/>
    <m/>
    <m/>
    <m/>
    <m/>
  </r>
  <r>
    <s v="2.4.3.1.2"/>
    <s v="CMS M.60.10.000"/>
    <x v="2"/>
    <n v="8"/>
    <s v="SPOOL"/>
    <n v="8"/>
    <x v="2"/>
    <s v="NÃO"/>
    <s v="NÃO"/>
    <x v="41"/>
    <x v="1"/>
    <s v="DISPOSIÇÃO DE REJEITOS LINHA DO CIRCUITO ARENOSO DISTRIBUIDOR DI-145A-9914 PARA A PENEIRA PN-145A-9707"/>
    <m/>
    <m/>
    <m/>
    <s v="1450AA-T-70404_FL15"/>
    <n v="1"/>
    <s v="PÇ"/>
    <n v="0.42"/>
    <n v="0.42"/>
    <n v="1651.88"/>
    <n v="693.78960000000006"/>
    <n v="0"/>
    <n v="0.9"/>
    <n v="0.1"/>
    <m/>
    <m/>
    <x v="0"/>
    <m/>
    <m/>
    <m/>
    <m/>
    <m/>
    <m/>
    <m/>
    <m/>
    <m/>
    <m/>
    <m/>
    <m/>
    <m/>
    <m/>
    <m/>
    <m/>
    <m/>
  </r>
  <r>
    <s v="2.4.3.1.2"/>
    <s v="CMS M.60.10.000"/>
    <x v="2"/>
    <n v="9"/>
    <s v="CURVA"/>
    <n v="8"/>
    <x v="1"/>
    <s v="NÃO"/>
    <s v="NÃO"/>
    <x v="41"/>
    <x v="1"/>
    <s v="DISPOSIÇÃO DE REJEITOS LINHA DO CIRCUITO ARENOSO DISTRIBUIDOR DI-145A-9914 PARA A PENEIRA PN-145A-9707"/>
    <m/>
    <m/>
    <m/>
    <s v="1450AA-T-70404_FL17"/>
    <n v="1"/>
    <s v="PÇ"/>
    <n v="0.54200000000000004"/>
    <n v="0.54200000000000004"/>
    <n v="1651.88"/>
    <n v="895.31896000000017"/>
    <n v="0"/>
    <n v="0.9"/>
    <n v="0.1"/>
    <m/>
    <m/>
    <x v="0"/>
    <m/>
    <m/>
    <m/>
    <m/>
    <m/>
    <m/>
    <m/>
    <m/>
    <m/>
    <m/>
    <m/>
    <m/>
    <m/>
    <m/>
    <m/>
    <m/>
    <m/>
  </r>
  <r>
    <s v="2.4.3.1.2"/>
    <s v="CMS M.60.10.000"/>
    <x v="2"/>
    <n v="10"/>
    <s v="CURVA"/>
    <n v="8"/>
    <x v="1"/>
    <s v="NÃO"/>
    <s v="NÃO"/>
    <x v="41"/>
    <x v="1"/>
    <s v="DISPOSIÇÃO DE REJEITOS LINHA DO CIRCUITO ARENOSO DISTRIBUIDOR DI-145A-9914 PARA A PENEIRA PN-145A-9707"/>
    <m/>
    <m/>
    <m/>
    <s v="1450AA-T-70404_FL19"/>
    <n v="1"/>
    <s v="PÇ"/>
    <n v="0.63800000000000001"/>
    <n v="0.63800000000000001"/>
    <n v="1651.88"/>
    <n v="1053.8994400000001"/>
    <n v="0"/>
    <n v="0.9"/>
    <n v="0.1"/>
    <m/>
    <m/>
    <x v="0"/>
    <m/>
    <m/>
    <m/>
    <m/>
    <m/>
    <m/>
    <m/>
    <m/>
    <m/>
    <m/>
    <m/>
    <m/>
    <m/>
    <m/>
    <m/>
    <m/>
    <m/>
  </r>
  <r>
    <s v="2.4.3.1.2"/>
    <s v="CMS M.60.10.000"/>
    <x v="2"/>
    <n v="11"/>
    <s v="SPOOL"/>
    <n v="8"/>
    <x v="1"/>
    <s v="NÃO"/>
    <s v="NÃO"/>
    <x v="41"/>
    <x v="1"/>
    <s v="DISPOSIÇÃO DE REJEITOS LINHA DO CIRCUITO ARENOSO DISTRIBUIDOR DI-145A-9914 PARA A PENEIRA PN-145A-9707"/>
    <m/>
    <m/>
    <m/>
    <s v="1450AA-T-70404_FL11"/>
    <n v="1"/>
    <s v="PÇ"/>
    <n v="1.34"/>
    <n v="1.34"/>
    <n v="1651.88"/>
    <n v="2213.5192000000002"/>
    <n v="0"/>
    <n v="0.9"/>
    <n v="0.1"/>
    <m/>
    <m/>
    <x v="0"/>
    <m/>
    <m/>
    <m/>
    <m/>
    <m/>
    <m/>
    <m/>
    <m/>
    <m/>
    <m/>
    <m/>
    <m/>
    <m/>
    <m/>
    <m/>
    <m/>
    <m/>
  </r>
  <r>
    <s v="2.4.3.1.2"/>
    <s v="CMS M.60.10.000"/>
    <x v="2"/>
    <n v="12"/>
    <s v="SPOOL"/>
    <n v="8"/>
    <x v="1"/>
    <s v="NÃO"/>
    <s v="NÃO"/>
    <x v="41"/>
    <x v="1"/>
    <s v="DISPOSIÇÃO DE REJEITOS LINHA DO CIRCUITO ARENOSO DISTRIBUIDOR DI-145A-9914 PARA A PENEIRA PN-145A-9707"/>
    <m/>
    <m/>
    <m/>
    <s v="1450AA-T-70404_FL20"/>
    <n v="1"/>
    <s v="PÇ"/>
    <n v="0.96"/>
    <n v="0.96"/>
    <n v="1651.88"/>
    <n v="1585.8048000000001"/>
    <n v="0"/>
    <n v="0.9"/>
    <n v="0.1"/>
    <m/>
    <m/>
    <x v="0"/>
    <m/>
    <m/>
    <m/>
    <m/>
    <m/>
    <m/>
    <m/>
    <m/>
    <m/>
    <m/>
    <m/>
    <m/>
    <m/>
    <m/>
    <m/>
    <m/>
    <m/>
  </r>
  <r>
    <s v="2.4.3.1.1"/>
    <s v="CMS M.60.10.000"/>
    <x v="2"/>
    <n v="13"/>
    <s v="SPOOL"/>
    <s v="8 X 6"/>
    <x v="1"/>
    <s v="NÃO"/>
    <s v="NÃO"/>
    <x v="41"/>
    <x v="1"/>
    <s v="DISPOSIÇÃO DE REJEITOS LINHA DO CIRCUITO ARENOSO DISTRIBUIDOR DI-145A-9914 PARA A PENEIRA PN-145A-9707"/>
    <m/>
    <m/>
    <m/>
    <s v="1450AA-T-70404_FL21"/>
    <n v="1"/>
    <s v="PÇ"/>
    <n v="2.113"/>
    <n v="2.113"/>
    <n v="1169.77"/>
    <n v="2471.7240099999999"/>
    <n v="0"/>
    <n v="0.9"/>
    <n v="0.1"/>
    <m/>
    <m/>
    <x v="0"/>
    <m/>
    <m/>
    <m/>
    <m/>
    <m/>
    <m/>
    <m/>
    <m/>
    <m/>
    <m/>
    <m/>
    <m/>
    <m/>
    <m/>
    <m/>
    <m/>
    <m/>
  </r>
  <r>
    <s v="2.4.3.1.1"/>
    <s v="CMS M.60.10.000"/>
    <x v="2"/>
    <n v="14"/>
    <s v="FLANGE"/>
    <n v="6"/>
    <x v="1"/>
    <s v="NÃO"/>
    <s v="NÃO"/>
    <x v="41"/>
    <x v="1"/>
    <s v="DISPOSIÇÃO DE REJEITOS LINHA DO CIRCUITO ARENOSO DISTRIBUIDOR DI-145A-9914 PARA A PENEIRA PN-145A-9707"/>
    <m/>
    <m/>
    <m/>
    <s v="1450AA-T-70404_FL08"/>
    <n v="2"/>
    <s v="PÇ"/>
    <n v="0"/>
    <n v="0"/>
    <n v="1169.77"/>
    <n v="0"/>
    <n v="0"/>
    <n v="0.9"/>
    <n v="0.1"/>
    <m/>
    <m/>
    <x v="0"/>
    <m/>
    <m/>
    <m/>
    <m/>
    <m/>
    <m/>
    <m/>
    <m/>
    <m/>
    <m/>
    <m/>
    <m/>
    <m/>
    <m/>
    <m/>
    <m/>
    <m/>
  </r>
  <r>
    <s v="2.4.3.1.2"/>
    <s v="CMS M.60.10.000"/>
    <x v="2"/>
    <n v="1"/>
    <s v="CURVA"/>
    <n v="8"/>
    <x v="1"/>
    <s v="NÃO"/>
    <s v="NÃO"/>
    <x v="42"/>
    <x v="1"/>
    <s v="DISPOSIÇÃO DE REJEITOS LINHA DO CIRCUITO ARENOSO DISTRIBUIDOR DI-145A-9914 PARA A PENEIRA PN-145A-9727"/>
    <m/>
    <m/>
    <m/>
    <s v="1450AA-T-70406_FL13"/>
    <n v="3"/>
    <s v="PÇ"/>
    <n v="0.61099999999999999"/>
    <n v="1.833"/>
    <n v="1651.88"/>
    <n v="3027.8960400000001"/>
    <n v="0"/>
    <n v="0.9"/>
    <n v="0.1"/>
    <m/>
    <m/>
    <x v="0"/>
    <m/>
    <m/>
    <m/>
    <m/>
    <m/>
    <m/>
    <m/>
    <m/>
    <m/>
    <m/>
    <m/>
    <m/>
    <m/>
    <m/>
    <m/>
    <m/>
    <m/>
  </r>
  <r>
    <s v="2.4.3.1.2"/>
    <s v="CMS M.60.10.000"/>
    <x v="2"/>
    <n v="2"/>
    <s v="SPOOL"/>
    <n v="8"/>
    <x v="1"/>
    <s v="NÃO"/>
    <s v="NÃO"/>
    <x v="42"/>
    <x v="1"/>
    <s v="DISPOSIÇÃO DE REJEITOS LINHA DO CIRCUITO ARENOSO DISTRIBUIDOR DI-145A-9914 PARA A PENEIRA PN-145A-9727"/>
    <m/>
    <m/>
    <m/>
    <s v="1450AA-T-70406_FL06"/>
    <n v="1"/>
    <s v="PÇ"/>
    <n v="0.23499999999999999"/>
    <n v="0.23499999999999999"/>
    <n v="1651.88"/>
    <n v="388.1918"/>
    <n v="0"/>
    <n v="0.9"/>
    <n v="0.1"/>
    <m/>
    <m/>
    <x v="0"/>
    <m/>
    <m/>
    <m/>
    <m/>
    <m/>
    <m/>
    <m/>
    <m/>
    <m/>
    <m/>
    <m/>
    <m/>
    <m/>
    <m/>
    <m/>
    <m/>
    <m/>
  </r>
  <r>
    <s v="2.4.3.1.2"/>
    <s v="CMS M.60.10.000"/>
    <x v="2"/>
    <n v="3"/>
    <s v="CURVA"/>
    <n v="8"/>
    <x v="1"/>
    <s v="NÃO"/>
    <s v="NÃO"/>
    <x v="42"/>
    <x v="1"/>
    <s v="DISPOSIÇÃO DE REJEITOS LINHA DO CIRCUITO ARENOSO DISTRIBUIDOR DI-145A-9914 PARA A PENEIRA PN-145A-9727"/>
    <m/>
    <m/>
    <m/>
    <s v="1450AA-T-70406_FL12"/>
    <n v="1"/>
    <s v="PÇ"/>
    <n v="0.32100000000000001"/>
    <n v="0.32100000000000001"/>
    <n v="1651.88"/>
    <n v="530.25348000000008"/>
    <n v="0"/>
    <n v="0.9"/>
    <n v="0.1"/>
    <m/>
    <m/>
    <x v="0"/>
    <m/>
    <m/>
    <m/>
    <m/>
    <m/>
    <m/>
    <m/>
    <m/>
    <m/>
    <m/>
    <m/>
    <m/>
    <m/>
    <m/>
    <m/>
    <m/>
    <m/>
  </r>
  <r>
    <s v="2.4.3.1.2"/>
    <s v="CMS M.60.10.000"/>
    <x v="2"/>
    <n v="4"/>
    <s v="SPOOL"/>
    <n v="8"/>
    <x v="1"/>
    <s v="NÃO"/>
    <s v="NÃO"/>
    <x v="42"/>
    <x v="1"/>
    <s v="DISPOSIÇÃO DE REJEITOS LINHA DO CIRCUITO ARENOSO DISTRIBUIDOR DI-145A-9914 PARA A PENEIRA PN-145A-9727"/>
    <m/>
    <m/>
    <m/>
    <s v="1450AA-T-70406_FL08"/>
    <n v="1"/>
    <s v="PÇ"/>
    <n v="0.37"/>
    <n v="0.37"/>
    <n v="1651.88"/>
    <n v="611.19560000000001"/>
    <n v="0"/>
    <n v="0.9"/>
    <n v="0.1"/>
    <m/>
    <m/>
    <x v="0"/>
    <m/>
    <m/>
    <m/>
    <m/>
    <m/>
    <m/>
    <m/>
    <m/>
    <m/>
    <m/>
    <m/>
    <m/>
    <m/>
    <m/>
    <m/>
    <m/>
    <m/>
  </r>
  <r>
    <s v="2.4.3.1.2"/>
    <s v="CMS M.60.10.000"/>
    <x v="2"/>
    <n v="5"/>
    <s v="SPOOL"/>
    <n v="8"/>
    <x v="2"/>
    <s v="NÃO"/>
    <s v="NÃO"/>
    <x v="42"/>
    <x v="1"/>
    <s v="DISPOSIÇÃO DE REJEITOS LINHA DO CIRCUITO ARENOSO DISTRIBUIDOR DI-145A-9914 PARA A PENEIRA PN-145A-9727"/>
    <m/>
    <m/>
    <m/>
    <s v="1450AA-T-70406_FL10"/>
    <n v="1"/>
    <s v="PÇ"/>
    <n v="0.34"/>
    <n v="0.34"/>
    <n v="1651.88"/>
    <n v="561.63920000000007"/>
    <n v="0"/>
    <n v="0.9"/>
    <n v="0.1"/>
    <m/>
    <m/>
    <x v="0"/>
    <m/>
    <m/>
    <m/>
    <m/>
    <m/>
    <m/>
    <m/>
    <m/>
    <m/>
    <m/>
    <m/>
    <m/>
    <m/>
    <m/>
    <m/>
    <m/>
    <m/>
  </r>
  <r>
    <s v="2.4.3.1.2"/>
    <s v="CMS M.60.10.000"/>
    <x v="2"/>
    <n v="6"/>
    <s v="SPOOL"/>
    <n v="8"/>
    <x v="1"/>
    <s v="NÃO"/>
    <s v="NÃO"/>
    <x v="42"/>
    <x v="1"/>
    <s v="DISPOSIÇÃO DE REJEITOS LINHA DO CIRCUITO ARENOSO DISTRIBUIDOR DI-145A-9914 PARA A PENEIRA PN-145A-9727"/>
    <m/>
    <m/>
    <m/>
    <s v="1450AA-T-70406_FL09"/>
    <n v="1"/>
    <s v="PÇ"/>
    <n v="0.6"/>
    <n v="0.6"/>
    <n v="1651.88"/>
    <n v="991.12800000000004"/>
    <n v="0"/>
    <n v="0.9"/>
    <n v="0.1"/>
    <m/>
    <m/>
    <x v="0"/>
    <m/>
    <m/>
    <m/>
    <m/>
    <m/>
    <m/>
    <m/>
    <m/>
    <m/>
    <m/>
    <m/>
    <m/>
    <m/>
    <m/>
    <m/>
    <m/>
    <m/>
  </r>
  <r>
    <s v="2.4.3.1.2"/>
    <s v="CMS M.60.10.000"/>
    <x v="2"/>
    <n v="7"/>
    <s v="SPOOL"/>
    <n v="8"/>
    <x v="1"/>
    <s v="NÃO"/>
    <s v="NÃO"/>
    <x v="42"/>
    <x v="1"/>
    <s v="DISPOSIÇÃO DE REJEITOS LINHA DO CIRCUITO ARENOSO DISTRIBUIDOR DI-145A-9914 PARA A PENEIRA PN-145A-9727"/>
    <m/>
    <m/>
    <m/>
    <s v="1450AA-T-70406_FL07"/>
    <n v="1"/>
    <s v="PÇ"/>
    <n v="0.32500000000000001"/>
    <n v="0.32500000000000001"/>
    <n v="1651.88"/>
    <n v="536.8610000000001"/>
    <n v="0"/>
    <n v="0.9"/>
    <n v="0.1"/>
    <m/>
    <m/>
    <x v="0"/>
    <m/>
    <m/>
    <m/>
    <m/>
    <m/>
    <m/>
    <m/>
    <m/>
    <m/>
    <m/>
    <m/>
    <m/>
    <m/>
    <m/>
    <m/>
    <m/>
    <m/>
  </r>
  <r>
    <s v="2.4.3.1.2"/>
    <s v="CMS M.60.10.000"/>
    <x v="2"/>
    <n v="8"/>
    <s v="SPOOL"/>
    <n v="8"/>
    <x v="1"/>
    <s v="NÃO"/>
    <s v="NÃO"/>
    <x v="42"/>
    <x v="1"/>
    <s v="DISPOSIÇÃO DE REJEITOS LINHA DO CIRCUITO ARENOSO DISTRIBUIDOR DI-145A-9914 PARA A PENEIRA PN-145A-9727"/>
    <m/>
    <m/>
    <m/>
    <s v="1450AA-T-70406_FL14"/>
    <n v="1"/>
    <s v="PÇ"/>
    <n v="1.01"/>
    <n v="1.01"/>
    <n v="1651.88"/>
    <n v="1668.3988000000002"/>
    <n v="0"/>
    <n v="0.9"/>
    <n v="0.1"/>
    <m/>
    <m/>
    <x v="0"/>
    <m/>
    <m/>
    <m/>
    <m/>
    <m/>
    <m/>
    <m/>
    <m/>
    <m/>
    <m/>
    <m/>
    <m/>
    <m/>
    <m/>
    <m/>
    <m/>
    <m/>
  </r>
  <r>
    <s v="2.4.3.1.2"/>
    <s v="CMS M.60.10.000"/>
    <x v="2"/>
    <n v="9"/>
    <s v="SPOOL"/>
    <n v="8"/>
    <x v="2"/>
    <s v="NÃO"/>
    <s v="NÃO"/>
    <x v="42"/>
    <x v="1"/>
    <s v="DISPOSIÇÃO DE REJEITOS LINHA DO CIRCUITO ARENOSO DISTRIBUIDOR DI-145A-9914 PARA A PENEIRA PN-145A-9727"/>
    <m/>
    <m/>
    <m/>
    <s v="1450AA-T-70406_FL11"/>
    <n v="1"/>
    <s v="PÇ"/>
    <n v="0.51"/>
    <n v="0.51"/>
    <n v="1651.88"/>
    <n v="842.45880000000011"/>
    <n v="0"/>
    <n v="0.9"/>
    <n v="0.1"/>
    <m/>
    <m/>
    <x v="0"/>
    <m/>
    <m/>
    <m/>
    <m/>
    <m/>
    <m/>
    <m/>
    <m/>
    <m/>
    <m/>
    <m/>
    <m/>
    <m/>
    <m/>
    <m/>
    <m/>
    <m/>
  </r>
  <r>
    <s v="2.4.3.1.2"/>
    <s v="CMS M.60.10.000"/>
    <x v="2"/>
    <n v="1"/>
    <s v="SPOOL"/>
    <n v="8"/>
    <x v="1"/>
    <s v="NÃO"/>
    <s v="NÃO"/>
    <x v="43"/>
    <x v="1"/>
    <s v="DISPOSIÇÃO DE REJEITOS LINHA DO CIRCUITO ARENOSO DISTRIBUIDOR DI-145A-9914 PARA A PENEIRA PN-145A-9708"/>
    <m/>
    <m/>
    <m/>
    <s v="1450AA-T-70408_FL09"/>
    <n v="1"/>
    <s v="PÇ"/>
    <n v="0.33500000000000002"/>
    <n v="0.33500000000000002"/>
    <n v="1651.88"/>
    <n v="553.37980000000005"/>
    <n v="0"/>
    <n v="0.9"/>
    <n v="0.1"/>
    <m/>
    <m/>
    <x v="0"/>
    <m/>
    <m/>
    <m/>
    <m/>
    <m/>
    <m/>
    <m/>
    <m/>
    <m/>
    <m/>
    <m/>
    <m/>
    <m/>
    <m/>
    <m/>
    <m/>
    <m/>
  </r>
  <r>
    <s v="2.4.3.1.2"/>
    <s v="CMS M.60.10.000"/>
    <x v="2"/>
    <n v="2"/>
    <s v="CURVA"/>
    <n v="8"/>
    <x v="1"/>
    <s v="NÃO"/>
    <s v="NÃO"/>
    <x v="43"/>
    <x v="1"/>
    <s v="DISPOSIÇÃO DE REJEITOS LINHA DO CIRCUITO ARENOSO DISTRIBUIDOR DI-145A-9914 PARA A PENEIRA PN-145A-9708"/>
    <m/>
    <m/>
    <m/>
    <s v="1450AA-T-70408_FL19"/>
    <n v="2"/>
    <s v="PÇ"/>
    <n v="0.61099999999999999"/>
    <n v="1.222"/>
    <n v="1651.88"/>
    <n v="2018.59736"/>
    <n v="0"/>
    <n v="0.9"/>
    <n v="0.1"/>
    <m/>
    <m/>
    <x v="0"/>
    <m/>
    <m/>
    <m/>
    <m/>
    <m/>
    <m/>
    <m/>
    <m/>
    <m/>
    <m/>
    <m/>
    <m/>
    <m/>
    <m/>
    <m/>
    <m/>
    <m/>
  </r>
  <r>
    <s v="2.4.3.1.2"/>
    <s v="CMS M.60.10.000"/>
    <x v="2"/>
    <n v="3"/>
    <s v="SPOOL"/>
    <n v="8"/>
    <x v="1"/>
    <s v="NÃO"/>
    <s v="NÃO"/>
    <x v="43"/>
    <x v="1"/>
    <s v="DISPOSIÇÃO DE REJEITOS LINHA DO CIRCUITO ARENOSO DISTRIBUIDOR DI-145A-9914 PARA A PENEIRA PN-145A-9708"/>
    <m/>
    <m/>
    <m/>
    <s v="1450AA-T-70408_FL10"/>
    <n v="1"/>
    <s v="PÇ"/>
    <n v="0.42299999999999999"/>
    <n v="0.42299999999999999"/>
    <n v="1651.88"/>
    <n v="698.74524000000008"/>
    <n v="0"/>
    <n v="0.9"/>
    <n v="0.1"/>
    <m/>
    <m/>
    <x v="0"/>
    <m/>
    <m/>
    <m/>
    <m/>
    <m/>
    <m/>
    <m/>
    <m/>
    <m/>
    <m/>
    <m/>
    <m/>
    <m/>
    <m/>
    <m/>
    <m/>
    <m/>
  </r>
  <r>
    <s v="2.4.3.1.2"/>
    <s v="CMS M.60.10.000"/>
    <x v="2"/>
    <n v="4"/>
    <s v="CURVA"/>
    <n v="8"/>
    <x v="1"/>
    <s v="NÃO"/>
    <s v="NÃO"/>
    <x v="43"/>
    <x v="1"/>
    <s v="DISPOSIÇÃO DE REJEITOS LINHA DO CIRCUITO ARENOSO DISTRIBUIDOR DI-145A-9914 PARA A PENEIRA PN-145A-9708"/>
    <m/>
    <m/>
    <m/>
    <s v="1450AA-T-70408_FL17"/>
    <n v="1"/>
    <s v="PÇ"/>
    <n v="0.32100000000000001"/>
    <n v="0.32100000000000001"/>
    <n v="1651.88"/>
    <n v="530.25348000000008"/>
    <n v="0"/>
    <n v="0.9"/>
    <n v="0.1"/>
    <m/>
    <m/>
    <x v="0"/>
    <m/>
    <m/>
    <m/>
    <m/>
    <m/>
    <m/>
    <m/>
    <m/>
    <m/>
    <m/>
    <m/>
    <m/>
    <m/>
    <m/>
    <m/>
    <m/>
    <m/>
  </r>
  <r>
    <s v="2.4.3.1.2"/>
    <s v="CMS M.60.10.000"/>
    <x v="2"/>
    <n v="5"/>
    <s v="SPOOL"/>
    <n v="8"/>
    <x v="2"/>
    <s v="NÃO"/>
    <s v="NÃO"/>
    <x v="43"/>
    <x v="1"/>
    <s v="DISPOSIÇÃO DE REJEITOS LINHA DO CIRCUITO ARENOSO DISTRIBUIDOR DI-145A-9914 PARA A PENEIRA PN-145A-9708"/>
    <m/>
    <m/>
    <m/>
    <s v="1450AA-T-70408_FL15"/>
    <n v="1"/>
    <s v="PÇ"/>
    <n v="0.39500000000000002"/>
    <n v="0.39500000000000002"/>
    <n v="1651.88"/>
    <n v="652.49260000000004"/>
    <n v="0"/>
    <n v="0.9"/>
    <n v="0.1"/>
    <m/>
    <m/>
    <x v="0"/>
    <m/>
    <m/>
    <m/>
    <m/>
    <m/>
    <m/>
    <m/>
    <m/>
    <m/>
    <m/>
    <m/>
    <m/>
    <m/>
    <m/>
    <m/>
    <m/>
    <m/>
  </r>
  <r>
    <s v="2.4.3.1.2"/>
    <s v="CMS M.60.10.000"/>
    <x v="2"/>
    <n v="6"/>
    <s v="SPOOL"/>
    <n v="8"/>
    <x v="1"/>
    <s v="NÃO"/>
    <s v="NÃO"/>
    <x v="43"/>
    <x v="1"/>
    <s v="DISPOSIÇÃO DE REJEITOS LINHA DO CIRCUITO ARENOSO DISTRIBUIDOR DI-145A-9914 PARA A PENEIRA PN-145A-9708"/>
    <m/>
    <m/>
    <m/>
    <s v="1450AA-T-70408_FL13"/>
    <n v="2"/>
    <s v="PÇ"/>
    <n v="1.5"/>
    <n v="3"/>
    <n v="1651.88"/>
    <n v="4955.6400000000003"/>
    <n v="0"/>
    <n v="0.9"/>
    <n v="0.1"/>
    <m/>
    <m/>
    <x v="0"/>
    <m/>
    <m/>
    <m/>
    <m/>
    <m/>
    <m/>
    <m/>
    <m/>
    <m/>
    <m/>
    <m/>
    <m/>
    <m/>
    <m/>
    <m/>
    <m/>
    <m/>
  </r>
  <r>
    <s v="2.4.3.1.2"/>
    <s v="CMS M.60.10.000"/>
    <x v="2"/>
    <n v="7"/>
    <s v="SPOOL"/>
    <n v="8"/>
    <x v="1"/>
    <s v="NÃO"/>
    <s v="NÃO"/>
    <x v="43"/>
    <x v="1"/>
    <s v="DISPOSIÇÃO DE REJEITOS LINHA DO CIRCUITO ARENOSO DISTRIBUIDOR DI-145A-9914 PARA A PENEIRA PN-145A-9708"/>
    <m/>
    <m/>
    <m/>
    <s v="1450AA-T-70408_FL14"/>
    <n v="1"/>
    <s v="PÇ"/>
    <n v="3.5"/>
    <n v="3.5"/>
    <n v="1651.88"/>
    <n v="5781.58"/>
    <n v="0"/>
    <n v="0.9"/>
    <n v="0.1"/>
    <m/>
    <m/>
    <x v="0"/>
    <m/>
    <m/>
    <m/>
    <m/>
    <m/>
    <m/>
    <m/>
    <m/>
    <m/>
    <m/>
    <m/>
    <m/>
    <m/>
    <m/>
    <m/>
    <m/>
    <m/>
  </r>
  <r>
    <s v="2.4.3.1.2"/>
    <s v="CMS M.60.10.000"/>
    <x v="2"/>
    <n v="8"/>
    <s v="SPOOL"/>
    <n v="8"/>
    <x v="2"/>
    <s v="NÃO"/>
    <s v="NÃO"/>
    <x v="43"/>
    <x v="1"/>
    <s v="DISPOSIÇÃO DE REJEITOS LINHA DO CIRCUITO ARENOSO DISTRIBUIDOR DI-145A-9914 PARA A PENEIRA PN-145A-9708"/>
    <m/>
    <m/>
    <m/>
    <s v="1450AA-T-70408_FL16"/>
    <n v="1"/>
    <s v="PÇ"/>
    <n v="0.54500000000000004"/>
    <n v="0.54500000000000004"/>
    <n v="1651.88"/>
    <n v="900.27460000000008"/>
    <n v="0"/>
    <n v="0.9"/>
    <n v="0.1"/>
    <m/>
    <m/>
    <x v="0"/>
    <m/>
    <m/>
    <m/>
    <m/>
    <m/>
    <m/>
    <m/>
    <m/>
    <m/>
    <m/>
    <m/>
    <m/>
    <m/>
    <m/>
    <m/>
    <m/>
    <m/>
  </r>
  <r>
    <s v="2.4.3.1.2"/>
    <s v="CMS M.60.10.000"/>
    <x v="2"/>
    <n v="9"/>
    <s v="CURVA"/>
    <n v="8"/>
    <x v="1"/>
    <s v="NÃO"/>
    <s v="NÃO"/>
    <x v="43"/>
    <x v="1"/>
    <s v="DISPOSIÇÃO DE REJEITOS LINHA DO CIRCUITO ARENOSO DISTRIBUIDOR DI-145A-9914 PARA A PENEIRA PN-145A-9708"/>
    <m/>
    <m/>
    <m/>
    <s v="1450AA-T-70408_FL18"/>
    <n v="1"/>
    <s v="PÇ"/>
    <n v="0.54200000000000004"/>
    <n v="0.54200000000000004"/>
    <n v="1651.88"/>
    <n v="895.31896000000017"/>
    <n v="0"/>
    <n v="0.9"/>
    <n v="0.1"/>
    <m/>
    <m/>
    <x v="0"/>
    <m/>
    <m/>
    <m/>
    <m/>
    <m/>
    <m/>
    <m/>
    <m/>
    <m/>
    <m/>
    <m/>
    <m/>
    <m/>
    <m/>
    <m/>
    <m/>
    <m/>
  </r>
  <r>
    <s v="2.4.3.1.2"/>
    <s v="CMS M.60.10.000"/>
    <x v="2"/>
    <n v="10"/>
    <s v="SPOOL"/>
    <n v="8"/>
    <x v="1"/>
    <s v="NÃO"/>
    <s v="NÃO"/>
    <x v="43"/>
    <x v="1"/>
    <s v="DISPOSIÇÃO DE REJEITOS LINHA DO CIRCUITO ARENOSO DISTRIBUIDOR DI-145A-9914 PARA A PENEIRA PN-145A-9708"/>
    <m/>
    <m/>
    <m/>
    <s v="1450AA-T-70408_FL11"/>
    <n v="1"/>
    <s v="PÇ"/>
    <n v="0.81599999999999995"/>
    <n v="0.81599999999999995"/>
    <n v="1651.88"/>
    <n v="1347.93408"/>
    <n v="0"/>
    <n v="0.9"/>
    <n v="0.1"/>
    <m/>
    <m/>
    <x v="0"/>
    <m/>
    <m/>
    <m/>
    <m/>
    <m/>
    <m/>
    <m/>
    <m/>
    <m/>
    <m/>
    <m/>
    <m/>
    <m/>
    <m/>
    <m/>
    <m/>
    <m/>
  </r>
  <r>
    <s v="2.4.3.1.2"/>
    <s v="CMS M.60.10.000"/>
    <x v="2"/>
    <n v="11"/>
    <s v="CURVA"/>
    <n v="8"/>
    <x v="1"/>
    <s v="NÃO"/>
    <s v="NÃO"/>
    <x v="43"/>
    <x v="1"/>
    <s v="DISPOSIÇÃO DE REJEITOS LINHA DO CIRCUITO ARENOSO DISTRIBUIDOR DI-145A-9914 PARA A PENEIRA PN-145A-9708"/>
    <m/>
    <m/>
    <m/>
    <s v="1450AA-T-70408_FL20"/>
    <n v="1"/>
    <s v="PÇ"/>
    <n v="0.63800000000000001"/>
    <n v="0.63800000000000001"/>
    <n v="1651.88"/>
    <n v="1053.8994400000001"/>
    <n v="0"/>
    <n v="0.9"/>
    <n v="0.1"/>
    <m/>
    <m/>
    <x v="0"/>
    <m/>
    <m/>
    <m/>
    <m/>
    <m/>
    <m/>
    <m/>
    <m/>
    <m/>
    <m/>
    <m/>
    <m/>
    <m/>
    <m/>
    <m/>
    <m/>
    <m/>
  </r>
  <r>
    <s v="2.4.3.1.2"/>
    <s v="CMS M.60.10.000"/>
    <x v="2"/>
    <n v="12"/>
    <s v="SPOOL"/>
    <n v="8"/>
    <x v="1"/>
    <s v="NÃO"/>
    <s v="NÃO"/>
    <x v="43"/>
    <x v="1"/>
    <s v="DISPOSIÇÃO DE REJEITOS LINHA DO CIRCUITO ARENOSO DISTRIBUIDOR DI-145A-9914 PARA A PENEIRA PN-145A-9708"/>
    <m/>
    <m/>
    <m/>
    <s v="1450AA-T-70408_FL12"/>
    <n v="1"/>
    <s v="PÇ"/>
    <n v="1.34"/>
    <n v="1.34"/>
    <n v="1651.88"/>
    <n v="2213.5192000000002"/>
    <n v="0"/>
    <n v="0.9"/>
    <n v="0.1"/>
    <m/>
    <m/>
    <x v="0"/>
    <m/>
    <m/>
    <m/>
    <m/>
    <m/>
    <m/>
    <m/>
    <m/>
    <m/>
    <m/>
    <m/>
    <m/>
    <m/>
    <m/>
    <m/>
    <m/>
    <m/>
  </r>
  <r>
    <s v="2.4.3.1.2"/>
    <s v="CMS M.60.10.000"/>
    <x v="2"/>
    <n v="13"/>
    <s v="SPOOL"/>
    <n v="8"/>
    <x v="1"/>
    <s v="NÃO"/>
    <s v="NÃO"/>
    <x v="43"/>
    <x v="1"/>
    <s v="DISPOSIÇÃO DE REJEITOS LINHA DO CIRCUITO ARENOSO DISTRIBUIDOR DI-145A-9914 PARA A PENEIRA PN-145A-9708"/>
    <m/>
    <m/>
    <m/>
    <s v="1450AA-T-70408_FL21"/>
    <n v="1"/>
    <s v="PÇ"/>
    <n v="0.96"/>
    <n v="0.96"/>
    <n v="1651.88"/>
    <n v="1585.8048000000001"/>
    <n v="0"/>
    <n v="0.9"/>
    <n v="0.1"/>
    <m/>
    <m/>
    <x v="0"/>
    <m/>
    <m/>
    <m/>
    <m/>
    <m/>
    <m/>
    <m/>
    <m/>
    <m/>
    <m/>
    <m/>
    <m/>
    <m/>
    <m/>
    <m/>
    <m/>
    <m/>
  </r>
  <r>
    <s v="2.4.3.1.1"/>
    <s v="CMS M.60.10.000"/>
    <x v="2"/>
    <n v="14"/>
    <s v="SPOOL"/>
    <s v="8 X 6"/>
    <x v="1"/>
    <s v="NÃO"/>
    <s v="NÃO"/>
    <x v="43"/>
    <x v="1"/>
    <s v="DISPOSIÇÃO DE REJEITOS LINHA DO CIRCUITO ARENOSO DISTRIBUIDOR DI-145A-9914 PARA A PENEIRA PN-145A-9708"/>
    <m/>
    <m/>
    <m/>
    <s v="1450AA-T-70408_FL22"/>
    <n v="1"/>
    <s v="PÇ"/>
    <n v="2.113"/>
    <n v="2.113"/>
    <n v="1169.77"/>
    <n v="2471.7240099999999"/>
    <n v="0"/>
    <n v="0.9"/>
    <n v="0.1"/>
    <m/>
    <m/>
    <x v="0"/>
    <m/>
    <m/>
    <m/>
    <m/>
    <m/>
    <m/>
    <m/>
    <m/>
    <m/>
    <m/>
    <m/>
    <m/>
    <m/>
    <m/>
    <m/>
    <m/>
    <m/>
  </r>
  <r>
    <s v="2.4.3.1.1"/>
    <s v="CMS M.60.10.000"/>
    <x v="2"/>
    <n v="15"/>
    <s v="FLANGE"/>
    <n v="6"/>
    <x v="1"/>
    <s v="NÃO"/>
    <s v="NÃO"/>
    <x v="43"/>
    <x v="1"/>
    <s v="DISPOSIÇÃO DE REJEITOS LINHA DO CIRCUITO ARENOSO DISTRIBUIDOR DI-145A-9914 PARA A PENEIRA PN-145A-9708"/>
    <m/>
    <m/>
    <m/>
    <s v="1450AA-T-70408_FL08"/>
    <n v="2"/>
    <s v="PÇ"/>
    <n v="0"/>
    <n v="0"/>
    <n v="1169.77"/>
    <n v="0"/>
    <n v="0"/>
    <n v="0.9"/>
    <n v="0.1"/>
    <m/>
    <m/>
    <x v="0"/>
    <m/>
    <m/>
    <m/>
    <m/>
    <m/>
    <m/>
    <m/>
    <m/>
    <m/>
    <m/>
    <m/>
    <m/>
    <m/>
    <m/>
    <m/>
    <m/>
    <m/>
  </r>
  <r>
    <s v="2.4.3.1.2"/>
    <s v="CMS M.60.10.000"/>
    <x v="2"/>
    <n v="1"/>
    <s v="SPOOL"/>
    <n v="8"/>
    <x v="1"/>
    <s v="NÃO"/>
    <s v="NÃO"/>
    <x v="44"/>
    <x v="1"/>
    <s v="DISPOSIÇÃO DE REJEITOS LINHA DO CIRCUITO ARENOSO DISTRIBUIDOR DI-145A-9914 PARA A PENEIRA PN-145A-9728"/>
    <m/>
    <m/>
    <m/>
    <s v="1450AA-T-70410_FL06"/>
    <n v="1"/>
    <s v="PÇ"/>
    <n v="0.15"/>
    <n v="0.15"/>
    <n v="1651.88"/>
    <n v="247.78200000000001"/>
    <n v="0"/>
    <n v="0.9"/>
    <n v="0.1"/>
    <m/>
    <m/>
    <x v="0"/>
    <m/>
    <m/>
    <m/>
    <m/>
    <m/>
    <m/>
    <m/>
    <m/>
    <m/>
    <m/>
    <m/>
    <m/>
    <m/>
    <m/>
    <m/>
    <m/>
    <m/>
  </r>
  <r>
    <s v="2.4.3.1.2"/>
    <s v="CMS M.60.10.000"/>
    <x v="2"/>
    <n v="2"/>
    <s v="CURVA"/>
    <n v="8"/>
    <x v="1"/>
    <s v="NÃO"/>
    <s v="NÃO"/>
    <x v="44"/>
    <x v="1"/>
    <s v="DISPOSIÇÃO DE REJEITOS LINHA DO CIRCUITO ARENOSO DISTRIBUIDOR DI-145A-9914 PARA A PENEIRA PN-145A-9728"/>
    <m/>
    <m/>
    <m/>
    <s v="1450AA-T-70410_FL14"/>
    <n v="1"/>
    <s v="PÇ"/>
    <n v="0.33200000000000002"/>
    <n v="0.33200000000000002"/>
    <n v="1651.88"/>
    <n v="548.42416000000003"/>
    <n v="0"/>
    <n v="0.9"/>
    <n v="0.1"/>
    <m/>
    <m/>
    <x v="0"/>
    <m/>
    <m/>
    <m/>
    <m/>
    <m/>
    <m/>
    <m/>
    <m/>
    <m/>
    <m/>
    <m/>
    <m/>
    <m/>
    <m/>
    <m/>
    <m/>
    <m/>
  </r>
  <r>
    <s v="2.4.3.1.2"/>
    <s v="CMS M.60.10.000"/>
    <x v="2"/>
    <n v="3"/>
    <s v="SPOOL"/>
    <n v="8"/>
    <x v="1"/>
    <s v="NÃO"/>
    <s v="NÃO"/>
    <x v="44"/>
    <x v="1"/>
    <s v="DISPOSIÇÃO DE REJEITOS LINHA DO CIRCUITO ARENOSO DISTRIBUIDOR DI-145A-9914 PARA A PENEIRA PN-145A-9728"/>
    <m/>
    <m/>
    <m/>
    <s v="1450AA-T-70410_FL08"/>
    <n v="1"/>
    <s v="PÇ"/>
    <n v="0.30499999999999999"/>
    <n v="0.30499999999999999"/>
    <n v="1651.88"/>
    <n v="503.82340000000005"/>
    <n v="0"/>
    <n v="0.9"/>
    <n v="0.1"/>
    <m/>
    <m/>
    <x v="0"/>
    <m/>
    <m/>
    <m/>
    <m/>
    <m/>
    <m/>
    <m/>
    <m/>
    <m/>
    <m/>
    <m/>
    <m/>
    <m/>
    <m/>
    <m/>
    <m/>
    <m/>
  </r>
  <r>
    <s v="2.4.3.1.2"/>
    <s v="CMS M.60.10.000"/>
    <x v="2"/>
    <n v="4"/>
    <s v="CURVA"/>
    <n v="8"/>
    <x v="1"/>
    <s v="NÃO"/>
    <s v="NÃO"/>
    <x v="44"/>
    <x v="1"/>
    <s v="DISPOSIÇÃO DE REJEITOS LINHA DO CIRCUITO ARENOSO DISTRIBUIDOR DI-145A-9914 PARA A PENEIRA PN-145A-9728"/>
    <m/>
    <m/>
    <m/>
    <s v="1450AA-T-70410_FL13"/>
    <n v="1"/>
    <s v="PÇ"/>
    <n v="0.32100000000000001"/>
    <n v="0.32100000000000001"/>
    <n v="1651.88"/>
    <n v="530.25348000000008"/>
    <n v="0"/>
    <n v="0.9"/>
    <n v="0.1"/>
    <m/>
    <m/>
    <x v="0"/>
    <m/>
    <m/>
    <m/>
    <m/>
    <m/>
    <m/>
    <m/>
    <m/>
    <m/>
    <m/>
    <m/>
    <m/>
    <m/>
    <m/>
    <m/>
    <m/>
    <m/>
  </r>
  <r>
    <s v="2.4.3.1.2"/>
    <s v="CMS M.60.10.000"/>
    <x v="2"/>
    <n v="5"/>
    <s v="SPOOL"/>
    <n v="8"/>
    <x v="2"/>
    <s v="NÃO"/>
    <s v="NÃO"/>
    <x v="44"/>
    <x v="1"/>
    <s v="DISPOSIÇÃO DE REJEITOS LINHA DO CIRCUITO ARENOSO DISTRIBUIDOR DI-145A-9914 PARA A PENEIRA PN-145A-9728"/>
    <m/>
    <m/>
    <m/>
    <s v="1450AA-T-70410_FL11"/>
    <n v="1"/>
    <s v="PÇ"/>
    <n v="0.44500000000000001"/>
    <n v="0.44500000000000001"/>
    <n v="1651.88"/>
    <n v="735.08660000000009"/>
    <n v="0"/>
    <n v="0.9"/>
    <n v="0.1"/>
    <m/>
    <m/>
    <x v="0"/>
    <m/>
    <m/>
    <m/>
    <m/>
    <m/>
    <m/>
    <m/>
    <m/>
    <m/>
    <m/>
    <m/>
    <m/>
    <m/>
    <m/>
    <m/>
    <m/>
    <m/>
  </r>
  <r>
    <s v="2.4.3.1.2"/>
    <s v="CMS M.60.10.000"/>
    <x v="2"/>
    <n v="6"/>
    <s v="SPOOL"/>
    <n v="8"/>
    <x v="1"/>
    <s v="NÃO"/>
    <s v="NÃO"/>
    <x v="44"/>
    <x v="1"/>
    <s v="DISPOSIÇÃO DE REJEITOS LINHA DO CIRCUITO ARENOSO DISTRIBUIDOR DI-145A-9914 PARA A PENEIRA PN-145A-9728"/>
    <m/>
    <m/>
    <m/>
    <s v="1450AA-T-70410_FL10"/>
    <n v="1"/>
    <s v="PÇ"/>
    <n v="2.7"/>
    <n v="2.7"/>
    <n v="1651.88"/>
    <n v="4460.0760000000009"/>
    <n v="0"/>
    <n v="0.9"/>
    <n v="0.1"/>
    <m/>
    <m/>
    <x v="0"/>
    <m/>
    <m/>
    <m/>
    <m/>
    <m/>
    <m/>
    <m/>
    <m/>
    <m/>
    <m/>
    <m/>
    <m/>
    <m/>
    <m/>
    <m/>
    <m/>
    <m/>
  </r>
  <r>
    <s v="2.4.3.1.2"/>
    <s v="CMS M.60.10.000"/>
    <x v="2"/>
    <n v="7"/>
    <s v="CURVA"/>
    <n v="8"/>
    <x v="1"/>
    <s v="NÃO"/>
    <s v="NÃO"/>
    <x v="44"/>
    <x v="1"/>
    <s v="DISPOSIÇÃO DE REJEITOS LINHA DO CIRCUITO ARENOSO DISTRIBUIDOR DI-145A-9914 PARA A PENEIRA PN-145A-9728"/>
    <m/>
    <m/>
    <m/>
    <s v="1450AA-T-70410_FL15"/>
    <n v="2"/>
    <s v="PÇ"/>
    <n v="0.61099999999999999"/>
    <n v="1.222"/>
    <n v="1651.88"/>
    <n v="2018.59736"/>
    <n v="0"/>
    <n v="0.9"/>
    <n v="0.1"/>
    <m/>
    <m/>
    <x v="0"/>
    <m/>
    <m/>
    <m/>
    <m/>
    <m/>
    <m/>
    <m/>
    <m/>
    <m/>
    <m/>
    <m/>
    <m/>
    <m/>
    <m/>
    <m/>
    <m/>
    <m/>
  </r>
  <r>
    <s v="2.4.3.1.2"/>
    <s v="CMS M.60.10.000"/>
    <x v="2"/>
    <n v="8"/>
    <s v="SPOOL"/>
    <n v="8"/>
    <x v="1"/>
    <s v="NÃO"/>
    <s v="NÃO"/>
    <x v="44"/>
    <x v="1"/>
    <s v="DISPOSIÇÃO DE REJEITOS LINHA DO CIRCUITO ARENOSO DISTRIBUIDOR DI-145A-9914 PARA A PENEIRA PN-145A-9728"/>
    <m/>
    <m/>
    <m/>
    <s v="1450AA-T-70410_FL07"/>
    <n v="1"/>
    <s v="PÇ"/>
    <n v="0.27300000000000002"/>
    <n v="0.27300000000000002"/>
    <n v="1651.88"/>
    <n v="450.96324000000004"/>
    <n v="0"/>
    <n v="0.9"/>
    <n v="0.1"/>
    <m/>
    <m/>
    <x v="0"/>
    <m/>
    <m/>
    <m/>
    <m/>
    <m/>
    <m/>
    <m/>
    <m/>
    <m/>
    <m/>
    <m/>
    <m/>
    <m/>
    <m/>
    <m/>
    <m/>
    <m/>
  </r>
  <r>
    <s v="2.4.3.1.2"/>
    <s v="CMS M.60.10.000"/>
    <x v="2"/>
    <n v="9"/>
    <s v="SPOOL"/>
    <n v="8"/>
    <x v="1"/>
    <s v="NÃO"/>
    <s v="NÃO"/>
    <x v="44"/>
    <x v="1"/>
    <s v="DISPOSIÇÃO DE REJEITOS LINHA DO CIRCUITO ARENOSO DISTRIBUIDOR DI-145A-9914 PARA A PENEIRA PN-145A-9728"/>
    <m/>
    <m/>
    <m/>
    <s v="1450AA-T-70410_FL09"/>
    <n v="1"/>
    <s v="PÇ"/>
    <n v="0.32500000000000001"/>
    <n v="0.32500000000000001"/>
    <n v="1651.88"/>
    <n v="536.8610000000001"/>
    <n v="0"/>
    <n v="0.9"/>
    <n v="0.1"/>
    <m/>
    <m/>
    <x v="0"/>
    <m/>
    <m/>
    <m/>
    <m/>
    <m/>
    <m/>
    <m/>
    <m/>
    <m/>
    <m/>
    <m/>
    <m/>
    <m/>
    <m/>
    <m/>
    <m/>
    <m/>
  </r>
  <r>
    <s v="2.4.3.1.2"/>
    <s v="CMS M.60.10.000"/>
    <x v="2"/>
    <n v="10"/>
    <s v="SPOOL"/>
    <n v="8"/>
    <x v="1"/>
    <s v="NÃO"/>
    <s v="NÃO"/>
    <x v="44"/>
    <x v="1"/>
    <s v="DISPOSIÇÃO DE REJEITOS LINHA DO CIRCUITO ARENOSO DISTRIBUIDOR DI-145A-9914 PARA A PENEIRA PN-145A-9728"/>
    <m/>
    <m/>
    <m/>
    <s v="1450AA-T-70410_FL16"/>
    <n v="1"/>
    <s v="PÇ"/>
    <n v="1.01"/>
    <n v="1.01"/>
    <n v="1651.88"/>
    <n v="1668.3988000000002"/>
    <n v="0"/>
    <n v="0.9"/>
    <n v="0.1"/>
    <m/>
    <m/>
    <x v="0"/>
    <m/>
    <m/>
    <m/>
    <m/>
    <m/>
    <m/>
    <m/>
    <m/>
    <m/>
    <m/>
    <m/>
    <m/>
    <m/>
    <m/>
    <m/>
    <m/>
    <m/>
  </r>
  <r>
    <s v="2.4.3.1.2"/>
    <s v="CMS M.60.10.000"/>
    <x v="2"/>
    <n v="11"/>
    <s v="SPOOL"/>
    <n v="8"/>
    <x v="2"/>
    <s v="NÃO"/>
    <s v="NÃO"/>
    <x v="44"/>
    <x v="1"/>
    <s v="DISPOSIÇÃO DE REJEITOS LINHA DO CIRCUITO ARENOSO DISTRIBUIDOR DI-145A-9914 PARA A PENEIRA PN-145A-9728"/>
    <m/>
    <m/>
    <m/>
    <s v="1450AA-T-70410_FL12"/>
    <n v="1"/>
    <s v="PÇ"/>
    <n v="0.51"/>
    <n v="0.51"/>
    <n v="1651.88"/>
    <n v="842.45880000000011"/>
    <n v="0"/>
    <n v="0.9"/>
    <n v="0.1"/>
    <m/>
    <m/>
    <x v="0"/>
    <m/>
    <m/>
    <m/>
    <m/>
    <m/>
    <m/>
    <m/>
    <m/>
    <m/>
    <m/>
    <m/>
    <m/>
    <m/>
    <m/>
    <m/>
    <m/>
    <m/>
  </r>
  <r>
    <s v="2.4.3.1.2"/>
    <s v="CMS M.60.10.000"/>
    <x v="2"/>
    <n v="1"/>
    <s v="CURVA"/>
    <n v="8"/>
    <x v="1"/>
    <s v="NÃO"/>
    <s v="NÃO"/>
    <x v="45"/>
    <x v="1"/>
    <s v="DISPOSIÇÃO DE REJEITOS LINHA DO CIRCUITO ARENOSO DISTRIBUIDOR DI-145A-9914 PARA A PENEIRA PN-145A-9709"/>
    <m/>
    <m/>
    <m/>
    <s v="1450AA-T-70412_FL21"/>
    <n v="4"/>
    <s v="PÇ"/>
    <n v="0.61099999999999999"/>
    <n v="2.444"/>
    <n v="1651.88"/>
    <n v="4037.19472"/>
    <n v="0"/>
    <n v="0.9"/>
    <n v="0.1"/>
    <m/>
    <m/>
    <x v="0"/>
    <m/>
    <m/>
    <m/>
    <m/>
    <m/>
    <m/>
    <m/>
    <m/>
    <m/>
    <m/>
    <m/>
    <m/>
    <m/>
    <m/>
    <m/>
    <m/>
    <m/>
  </r>
  <r>
    <s v="2.4.3.1.2"/>
    <s v="CMS M.60.10.000"/>
    <x v="2"/>
    <n v="2"/>
    <s v="SPOOL"/>
    <n v="8"/>
    <x v="1"/>
    <s v="NÃO"/>
    <s v="NÃO"/>
    <x v="45"/>
    <x v="1"/>
    <s v="DISPOSIÇÃO DE REJEITOS LINHA DO CIRCUITO ARENOSO DISTRIBUIDOR DI-145A-9914 PARA A PENEIRA PN-145A-9709"/>
    <m/>
    <m/>
    <m/>
    <s v="1450AA-T-70412_FL10"/>
    <n v="2"/>
    <s v="PÇ"/>
    <n v="0.81499999999999995"/>
    <n v="1.63"/>
    <n v="1651.88"/>
    <n v="2692.5644000000002"/>
    <n v="0"/>
    <n v="0.9"/>
    <n v="0.1"/>
    <m/>
    <m/>
    <x v="0"/>
    <m/>
    <m/>
    <m/>
    <m/>
    <m/>
    <m/>
    <m/>
    <m/>
    <m/>
    <m/>
    <m/>
    <m/>
    <m/>
    <m/>
    <m/>
    <m/>
    <m/>
  </r>
  <r>
    <s v="2.4.3.1.2"/>
    <s v="CMS M.60.10.000"/>
    <x v="2"/>
    <n v="3"/>
    <s v="CURVA"/>
    <n v="8"/>
    <x v="1"/>
    <s v="NÃO"/>
    <s v="NÃO"/>
    <x v="45"/>
    <x v="1"/>
    <s v="DISPOSIÇÃO DE REJEITOS LINHA DO CIRCUITO ARENOSO DISTRIBUIDOR DI-145A-9914 PARA A PENEIRA PN-145A-9709"/>
    <m/>
    <m/>
    <m/>
    <s v="1450AA-T-70412_FL19"/>
    <n v="1"/>
    <s v="PÇ"/>
    <n v="0.32100000000000001"/>
    <n v="0.32100000000000001"/>
    <n v="1651.88"/>
    <n v="530.25348000000008"/>
    <n v="0"/>
    <n v="0.9"/>
    <n v="0.1"/>
    <m/>
    <m/>
    <x v="0"/>
    <m/>
    <m/>
    <m/>
    <m/>
    <m/>
    <m/>
    <m/>
    <m/>
    <m/>
    <m/>
    <m/>
    <m/>
    <m/>
    <m/>
    <m/>
    <m/>
    <m/>
  </r>
  <r>
    <s v="2.4.3.1.2"/>
    <s v="CMS M.60.10.000"/>
    <x v="2"/>
    <n v="4"/>
    <s v="SPOOL"/>
    <n v="8"/>
    <x v="2"/>
    <s v="NÃO"/>
    <s v="NÃO"/>
    <x v="45"/>
    <x v="1"/>
    <s v="DISPOSIÇÃO DE REJEITOS LINHA DO CIRCUITO ARENOSO DISTRIBUIDOR DI-145A-9914 PARA A PENEIRA PN-145A-9709"/>
    <m/>
    <m/>
    <m/>
    <s v="1450AA-T-70412_FL17"/>
    <n v="1"/>
    <s v="PÇ"/>
    <n v="0.48"/>
    <n v="0.48"/>
    <n v="1651.88"/>
    <n v="792.90240000000006"/>
    <n v="0"/>
    <n v="0.9"/>
    <n v="0.1"/>
    <m/>
    <m/>
    <x v="0"/>
    <m/>
    <m/>
    <m/>
    <m/>
    <m/>
    <m/>
    <m/>
    <m/>
    <m/>
    <m/>
    <m/>
    <m/>
    <m/>
    <m/>
    <m/>
    <m/>
    <m/>
  </r>
  <r>
    <s v="2.4.3.1.2"/>
    <s v="CMS M.60.10.000"/>
    <x v="2"/>
    <n v="5"/>
    <s v="SPOOL"/>
    <n v="8"/>
    <x v="1"/>
    <s v="NÃO"/>
    <s v="NÃO"/>
    <x v="45"/>
    <x v="1"/>
    <s v="DISPOSIÇÃO DE REJEITOS LINHA DO CIRCUITO ARENOSO DISTRIBUIDOR DI-145A-9914 PARA A PENEIRA PN-145A-9709"/>
    <m/>
    <m/>
    <m/>
    <s v="1450AA-T-70412_FL13"/>
    <n v="1"/>
    <s v="PÇ"/>
    <n v="2"/>
    <n v="2"/>
    <n v="1651.88"/>
    <n v="3303.76"/>
    <n v="0"/>
    <n v="0.9"/>
    <n v="0.1"/>
    <m/>
    <m/>
    <x v="0"/>
    <m/>
    <m/>
    <m/>
    <m/>
    <m/>
    <m/>
    <m/>
    <m/>
    <m/>
    <m/>
    <m/>
    <m/>
    <m/>
    <m/>
    <m/>
    <m/>
    <m/>
  </r>
  <r>
    <s v="2.4.3.1.2"/>
    <s v="CMS M.60.10.000"/>
    <x v="2"/>
    <n v="6"/>
    <s v="SPOOL"/>
    <n v="8"/>
    <x v="1"/>
    <s v="NÃO"/>
    <s v="NÃO"/>
    <x v="45"/>
    <x v="1"/>
    <s v="DISPOSIÇÃO DE REJEITOS LINHA DO CIRCUITO ARENOSO DISTRIBUIDOR DI-145A-9914 PARA A PENEIRA PN-145A-9709"/>
    <m/>
    <m/>
    <m/>
    <s v="1450AA-T-70412_FL09"/>
    <n v="1"/>
    <s v="PÇ"/>
    <n v="0.39500000000000002"/>
    <n v="0.39500000000000002"/>
    <n v="1651.88"/>
    <n v="652.49260000000004"/>
    <n v="0"/>
    <n v="0.9"/>
    <n v="0.1"/>
    <m/>
    <m/>
    <x v="0"/>
    <m/>
    <m/>
    <m/>
    <m/>
    <m/>
    <m/>
    <m/>
    <m/>
    <m/>
    <m/>
    <m/>
    <m/>
    <m/>
    <m/>
    <m/>
    <m/>
    <m/>
  </r>
  <r>
    <s v="2.4.3.1.2"/>
    <s v="CMS M.60.10.000"/>
    <x v="2"/>
    <n v="7"/>
    <s v="SPOOL"/>
    <n v="8"/>
    <x v="2"/>
    <s v="NÃO"/>
    <s v="NÃO"/>
    <x v="45"/>
    <x v="1"/>
    <s v="DISPOSIÇÃO DE REJEITOS LINHA DO CIRCUITO ARENOSO DISTRIBUIDOR DI-145A-9914 PARA A PENEIRA PN-145A-9709"/>
    <m/>
    <m/>
    <m/>
    <s v="1450AA-T-70412_FL16"/>
    <n v="1"/>
    <s v="PÇ"/>
    <n v="0.42"/>
    <n v="0.42"/>
    <n v="1651.88"/>
    <n v="693.78960000000006"/>
    <n v="0"/>
    <n v="0.9"/>
    <n v="0.1"/>
    <m/>
    <m/>
    <x v="0"/>
    <m/>
    <m/>
    <m/>
    <m/>
    <m/>
    <m/>
    <m/>
    <m/>
    <m/>
    <m/>
    <m/>
    <m/>
    <m/>
    <m/>
    <m/>
    <m/>
    <m/>
  </r>
  <r>
    <s v="2.4.3.1.2"/>
    <s v="CMS M.60.10.000"/>
    <x v="2"/>
    <n v="8"/>
    <s v="SPOOL"/>
    <n v="8"/>
    <x v="1"/>
    <s v="NÃO"/>
    <s v="NÃO"/>
    <x v="45"/>
    <x v="1"/>
    <s v="DISPOSIÇÃO DE REJEITOS LINHA DO CIRCUITO ARENOSO DISTRIBUIDOR DI-145A-9914 PARA A PENEIRA PN-145A-9709"/>
    <m/>
    <m/>
    <m/>
    <s v="1450AA-T-70412_FL14"/>
    <n v="1"/>
    <s v="PÇ"/>
    <n v="2.2999999999999998"/>
    <n v="2.2999999999999998"/>
    <n v="1651.88"/>
    <n v="3799.3240000000001"/>
    <n v="0"/>
    <n v="0.9"/>
    <n v="0.1"/>
    <m/>
    <m/>
    <x v="0"/>
    <m/>
    <m/>
    <m/>
    <m/>
    <m/>
    <m/>
    <m/>
    <m/>
    <m/>
    <m/>
    <m/>
    <m/>
    <m/>
    <m/>
    <m/>
    <m/>
    <m/>
  </r>
  <r>
    <s v="2.4.3.1.2"/>
    <s v="CMS M.60.10.000"/>
    <x v="2"/>
    <n v="9"/>
    <s v="SPOOL"/>
    <n v="8"/>
    <x v="1"/>
    <s v="NÃO"/>
    <s v="NÃO"/>
    <x v="45"/>
    <x v="1"/>
    <s v="DISPOSIÇÃO DE REJEITOS LINHA DO CIRCUITO ARENOSO DISTRIBUIDOR DI-145A-9914 PARA A PENEIRA PN-145A-9709"/>
    <m/>
    <m/>
    <m/>
    <s v="1450AA-T-70412_FL11"/>
    <n v="1"/>
    <s v="PÇ"/>
    <n v="1"/>
    <n v="1"/>
    <n v="1651.88"/>
    <n v="1651.88"/>
    <n v="0"/>
    <n v="0.9"/>
    <n v="0.1"/>
    <m/>
    <m/>
    <x v="0"/>
    <m/>
    <m/>
    <m/>
    <m/>
    <m/>
    <m/>
    <m/>
    <m/>
    <m/>
    <m/>
    <m/>
    <m/>
    <m/>
    <m/>
    <m/>
    <m/>
    <m/>
  </r>
  <r>
    <s v="2.4.3.1.2"/>
    <s v="CMS M.60.10.000"/>
    <x v="2"/>
    <n v="10"/>
    <s v="SPOOL"/>
    <n v="8"/>
    <x v="1"/>
    <s v="NÃO"/>
    <s v="NÃO"/>
    <x v="45"/>
    <x v="1"/>
    <s v="DISPOSIÇÃO DE REJEITOS LINHA DO CIRCUITO ARENOSO DISTRIBUIDOR DI-145A-9914 PARA A PENEIRA PN-145A-9709"/>
    <m/>
    <m/>
    <m/>
    <s v="1450AA-T-70412_FL15"/>
    <n v="1"/>
    <s v="PÇ"/>
    <n v="3"/>
    <n v="3"/>
    <n v="1651.88"/>
    <n v="4955.6400000000003"/>
    <n v="0"/>
    <n v="0.9"/>
    <n v="0.1"/>
    <m/>
    <m/>
    <x v="0"/>
    <m/>
    <m/>
    <m/>
    <m/>
    <m/>
    <m/>
    <m/>
    <m/>
    <m/>
    <m/>
    <m/>
    <m/>
    <m/>
    <m/>
    <m/>
    <m/>
    <m/>
  </r>
  <r>
    <s v="2.4.3.1.2"/>
    <s v="CMS M.60.10.000"/>
    <x v="2"/>
    <n v="11"/>
    <s v="SPOOL"/>
    <n v="8"/>
    <x v="2"/>
    <s v="NÃO"/>
    <s v="NÃO"/>
    <x v="45"/>
    <x v="1"/>
    <s v="DISPOSIÇÃO DE REJEITOS LINHA DO CIRCUITO ARENOSO DISTRIBUIDOR DI-145A-9914 PARA A PENEIRA PN-145A-9709"/>
    <m/>
    <m/>
    <m/>
    <s v="1450AA-T-70412_FL18"/>
    <n v="1"/>
    <s v="PÇ"/>
    <n v="0.56499999999999995"/>
    <n v="0.56499999999999995"/>
    <n v="1651.88"/>
    <n v="933.31219999999996"/>
    <n v="0"/>
    <n v="0.9"/>
    <n v="0.1"/>
    <m/>
    <m/>
    <x v="0"/>
    <m/>
    <m/>
    <m/>
    <m/>
    <m/>
    <m/>
    <m/>
    <m/>
    <m/>
    <m/>
    <m/>
    <m/>
    <m/>
    <m/>
    <m/>
    <m/>
    <m/>
  </r>
  <r>
    <s v="2.4.3.1.2"/>
    <s v="CMS M.60.10.000"/>
    <x v="2"/>
    <n v="12"/>
    <s v="CURVA"/>
    <n v="8"/>
    <x v="1"/>
    <s v="NÃO"/>
    <s v="NÃO"/>
    <x v="45"/>
    <x v="1"/>
    <s v="DISPOSIÇÃO DE REJEITOS LINHA DO CIRCUITO ARENOSO DISTRIBUIDOR DI-145A-9914 PARA A PENEIRA PN-145A-9709"/>
    <m/>
    <m/>
    <m/>
    <s v="1450AA-T-70412_FL20"/>
    <n v="1"/>
    <s v="PÇ"/>
    <n v="0.54200000000000004"/>
    <n v="0.54200000000000004"/>
    <n v="1651.88"/>
    <n v="895.31896000000017"/>
    <n v="0"/>
    <n v="0.9"/>
    <n v="0.1"/>
    <m/>
    <m/>
    <x v="0"/>
    <m/>
    <m/>
    <m/>
    <m/>
    <m/>
    <m/>
    <m/>
    <m/>
    <m/>
    <m/>
    <m/>
    <m/>
    <m/>
    <m/>
    <m/>
    <m/>
    <m/>
  </r>
  <r>
    <s v="2.4.3.1.2"/>
    <s v="CMS M.60.10.000"/>
    <x v="2"/>
    <n v="13"/>
    <s v="CURVA"/>
    <n v="8"/>
    <x v="1"/>
    <s v="NÃO"/>
    <s v="NÃO"/>
    <x v="45"/>
    <x v="1"/>
    <s v="DISPOSIÇÃO DE REJEITOS LINHA DO CIRCUITO ARENOSO DISTRIBUIDOR DI-145A-9914 PARA A PENEIRA PN-145A-9709"/>
    <m/>
    <m/>
    <m/>
    <s v="1450AA-T-70412_FL22"/>
    <n v="1"/>
    <s v="PÇ"/>
    <n v="0.63800000000000001"/>
    <n v="0.63800000000000001"/>
    <n v="1651.88"/>
    <n v="1053.8994400000001"/>
    <n v="0"/>
    <n v="0.9"/>
    <n v="0.1"/>
    <m/>
    <m/>
    <x v="0"/>
    <m/>
    <m/>
    <m/>
    <m/>
    <m/>
    <m/>
    <m/>
    <m/>
    <m/>
    <m/>
    <m/>
    <m/>
    <m/>
    <m/>
    <m/>
    <m/>
    <m/>
  </r>
  <r>
    <s v="2.4.3.1.2"/>
    <s v="CMS M.60.10.000"/>
    <x v="2"/>
    <n v="14"/>
    <s v="SPOOL"/>
    <n v="8"/>
    <x v="1"/>
    <s v="NÃO"/>
    <s v="NÃO"/>
    <x v="45"/>
    <x v="1"/>
    <s v="DISPOSIÇÃO DE REJEITOS LINHA DO CIRCUITO ARENOSO DISTRIBUIDOR DI-145A-9914 PARA A PENEIRA PN-145A-9709"/>
    <m/>
    <m/>
    <m/>
    <s v="1450AA-T-70412_FL12"/>
    <n v="1"/>
    <s v="PÇ"/>
    <n v="1.34"/>
    <n v="1.34"/>
    <n v="1651.88"/>
    <n v="2213.5192000000002"/>
    <n v="0"/>
    <n v="0.9"/>
    <n v="0.1"/>
    <m/>
    <m/>
    <x v="0"/>
    <m/>
    <m/>
    <m/>
    <m/>
    <m/>
    <m/>
    <m/>
    <m/>
    <m/>
    <m/>
    <m/>
    <m/>
    <m/>
    <m/>
    <m/>
    <m/>
    <m/>
  </r>
  <r>
    <s v="2.4.3.1.2"/>
    <s v="CMS M.60.10.000"/>
    <x v="2"/>
    <n v="15"/>
    <s v="SPOOL"/>
    <n v="8"/>
    <x v="1"/>
    <s v="NÃO"/>
    <s v="NÃO"/>
    <x v="45"/>
    <x v="1"/>
    <s v="DISPOSIÇÃO DE REJEITOS LINHA DO CIRCUITO ARENOSO DISTRIBUIDOR DI-145A-9914 PARA A PENEIRA PN-145A-9709"/>
    <m/>
    <m/>
    <m/>
    <s v="1450AA-T-70412_FL23"/>
    <n v="1"/>
    <s v="PÇ"/>
    <n v="0.96"/>
    <n v="0.96"/>
    <n v="1651.88"/>
    <n v="1585.8048000000001"/>
    <n v="0"/>
    <n v="0.9"/>
    <n v="0.1"/>
    <m/>
    <m/>
    <x v="0"/>
    <m/>
    <m/>
    <m/>
    <m/>
    <m/>
    <m/>
    <m/>
    <m/>
    <m/>
    <m/>
    <m/>
    <m/>
    <m/>
    <m/>
    <m/>
    <m/>
    <m/>
  </r>
  <r>
    <s v="2.4.3.1.1"/>
    <s v="CMS M.60.10.000"/>
    <x v="2"/>
    <n v="16"/>
    <s v="SPOOL"/>
    <s v="8 X 6"/>
    <x v="1"/>
    <s v="NÃO"/>
    <s v="NÃO"/>
    <x v="45"/>
    <x v="1"/>
    <s v="DISPOSIÇÃO DE REJEITOS LINHA DO CIRCUITO ARENOSO DISTRIBUIDOR DI-145A-9914 PARA A PENEIRA PN-145A-9709"/>
    <m/>
    <m/>
    <m/>
    <s v="1450AA-T-70412_FL24"/>
    <n v="1"/>
    <s v="PÇ"/>
    <n v="2.113"/>
    <n v="2.113"/>
    <n v="1169.77"/>
    <n v="2471.7240099999999"/>
    <n v="0"/>
    <n v="0.9"/>
    <n v="0.1"/>
    <m/>
    <m/>
    <x v="0"/>
    <m/>
    <m/>
    <m/>
    <m/>
    <m/>
    <m/>
    <m/>
    <m/>
    <m/>
    <m/>
    <m/>
    <m/>
    <m/>
    <m/>
    <m/>
    <m/>
    <m/>
  </r>
  <r>
    <s v="2.4.3.1.2"/>
    <s v="CMS M.60.10.000"/>
    <x v="2"/>
    <n v="17"/>
    <s v="FLANGE"/>
    <n v="8"/>
    <x v="1"/>
    <s v="NÃO"/>
    <s v="NÃO"/>
    <x v="45"/>
    <x v="1"/>
    <s v="DISPOSIÇÃO DE REJEITOS LINHA DO CIRCUITO ARENOSO DISTRIBUIDOR DI-145A-9914 PARA A PENEIRA PN-145A-9709"/>
    <m/>
    <m/>
    <m/>
    <s v="1450AA-T-70412_FL08"/>
    <n v="2"/>
    <s v="PÇ"/>
    <n v="0"/>
    <n v="0"/>
    <n v="1651.88"/>
    <n v="0"/>
    <n v="0"/>
    <n v="0.9"/>
    <n v="0.1"/>
    <m/>
    <m/>
    <x v="0"/>
    <m/>
    <m/>
    <m/>
    <m/>
    <m/>
    <m/>
    <m/>
    <m/>
    <m/>
    <m/>
    <m/>
    <m/>
    <m/>
    <m/>
    <m/>
    <m/>
    <m/>
  </r>
  <r>
    <s v="2.4.3.1.2"/>
    <s v="CMS M.60.10.000"/>
    <x v="2"/>
    <n v="1"/>
    <s v="CURVA"/>
    <n v="8"/>
    <x v="1"/>
    <s v="NÃO"/>
    <s v="NÃO"/>
    <x v="46"/>
    <x v="1"/>
    <s v="DISPOSIÇÃO DE REJEITOS LINHA DO CIRCUITO ARENOSO DISTRIBUIDOR DI-145A-9914 PARA A PENEIRA PN-145A-9729"/>
    <m/>
    <m/>
    <m/>
    <s v="1450AA-T-70414_FL14"/>
    <n v="3"/>
    <s v="PÇ"/>
    <n v="0.61099999999999999"/>
    <n v="1.833"/>
    <n v="1651.88"/>
    <n v="3027.8960400000001"/>
    <n v="0"/>
    <n v="0.9"/>
    <n v="0.1"/>
    <m/>
    <m/>
    <x v="0"/>
    <m/>
    <m/>
    <m/>
    <m/>
    <m/>
    <m/>
    <m/>
    <m/>
    <m/>
    <m/>
    <m/>
    <m/>
    <m/>
    <m/>
    <m/>
    <m/>
    <m/>
  </r>
  <r>
    <s v="2.4.3.1.2"/>
    <s v="CMS M.60.10.000"/>
    <x v="2"/>
    <n v="2"/>
    <s v="SPOOL"/>
    <n v="8"/>
    <x v="1"/>
    <s v="NÃO"/>
    <s v="NÃO"/>
    <x v="46"/>
    <x v="1"/>
    <s v="DISPOSIÇÃO DE REJEITOS LINHA DO CIRCUITO ARENOSO DISTRIBUIDOR DI-145A-9914 PARA A PENEIRA PN-145A-9729"/>
    <m/>
    <m/>
    <m/>
    <s v="1450AA-T-70414_FL06"/>
    <n v="1"/>
    <s v="PÇ"/>
    <n v="0.23499999999999999"/>
    <n v="0.23499999999999999"/>
    <n v="1651.88"/>
    <n v="388.1918"/>
    <n v="0"/>
    <n v="0.9"/>
    <n v="0.1"/>
    <m/>
    <m/>
    <x v="0"/>
    <m/>
    <m/>
    <m/>
    <m/>
    <m/>
    <m/>
    <m/>
    <m/>
    <m/>
    <m/>
    <m/>
    <m/>
    <m/>
    <m/>
    <m/>
    <m/>
    <m/>
  </r>
  <r>
    <s v="2.4.3.1.2"/>
    <s v="CMS M.60.10.000"/>
    <x v="2"/>
    <n v="3"/>
    <s v="CURVA"/>
    <n v="8"/>
    <x v="1"/>
    <s v="NÃO"/>
    <s v="NÃO"/>
    <x v="46"/>
    <x v="1"/>
    <s v="DISPOSIÇÃO DE REJEITOS LINHA DO CIRCUITO ARENOSO DISTRIBUIDOR DI-145A-9914 PARA A PENEIRA PN-145A-9729"/>
    <m/>
    <m/>
    <m/>
    <s v="1450AA-T-70414_FL13"/>
    <n v="1"/>
    <s v="PÇ"/>
    <n v="0.32100000000000001"/>
    <n v="0.32100000000000001"/>
    <n v="1651.88"/>
    <n v="530.25348000000008"/>
    <n v="0"/>
    <n v="0.9"/>
    <n v="0.1"/>
    <m/>
    <m/>
    <x v="0"/>
    <m/>
    <m/>
    <m/>
    <m/>
    <m/>
    <m/>
    <m/>
    <m/>
    <m/>
    <m/>
    <m/>
    <m/>
    <m/>
    <m/>
    <m/>
    <m/>
    <m/>
  </r>
  <r>
    <s v="2.4.3.1.2"/>
    <s v="CMS M.60.10.000"/>
    <x v="2"/>
    <n v="4"/>
    <s v="SPOOL"/>
    <n v="8"/>
    <x v="2"/>
    <s v="NÃO"/>
    <s v="NÃO"/>
    <x v="46"/>
    <x v="1"/>
    <s v="DISPOSIÇÃO DE REJEITOS LINHA DO CIRCUITO ARENOSO DISTRIBUIDOR DI-145A-9914 PARA A PENEIRA PN-145A-9729"/>
    <m/>
    <m/>
    <m/>
    <s v="1450AA-T-70414_FL11"/>
    <n v="1"/>
    <s v="PÇ"/>
    <n v="0.49"/>
    <n v="0.49"/>
    <n v="1651.88"/>
    <n v="809.4212"/>
    <n v="0"/>
    <n v="0.9"/>
    <n v="0.1"/>
    <m/>
    <m/>
    <x v="0"/>
    <m/>
    <m/>
    <m/>
    <m/>
    <m/>
    <m/>
    <m/>
    <m/>
    <m/>
    <m/>
    <m/>
    <m/>
    <m/>
    <m/>
    <m/>
    <m/>
    <m/>
  </r>
  <r>
    <s v="2.4.3.1.2"/>
    <s v="CMS M.60.10.000"/>
    <x v="2"/>
    <n v="5"/>
    <s v="SPOOL"/>
    <n v="8"/>
    <x v="1"/>
    <s v="NÃO"/>
    <s v="NÃO"/>
    <x v="46"/>
    <x v="1"/>
    <s v="DISPOSIÇÃO DE REJEITOS LINHA DO CIRCUITO ARENOSO DISTRIBUIDOR DI-145A-9914 PARA A PENEIRA PN-145A-9729"/>
    <m/>
    <m/>
    <m/>
    <s v="1450AA-T-70414_FL08"/>
    <n v="1"/>
    <s v="PÇ"/>
    <n v="2.7"/>
    <n v="2.7"/>
    <n v="1651.88"/>
    <n v="4460.0760000000009"/>
    <n v="0"/>
    <n v="0.9"/>
    <n v="0.1"/>
    <m/>
    <m/>
    <x v="0"/>
    <m/>
    <m/>
    <m/>
    <m/>
    <m/>
    <m/>
    <m/>
    <m/>
    <m/>
    <m/>
    <m/>
    <m/>
    <m/>
    <m/>
    <m/>
    <m/>
    <m/>
  </r>
  <r>
    <s v="2.4.3.1.2"/>
    <s v="CMS M.60.10.000"/>
    <x v="2"/>
    <n v="6"/>
    <s v="SPOOL"/>
    <n v="8"/>
    <x v="1"/>
    <s v="NÃO"/>
    <s v="NÃO"/>
    <x v="46"/>
    <x v="1"/>
    <s v="DISPOSIÇÃO DE REJEITOS LINHA DO CIRCUITO ARENOSO DISTRIBUIDOR DI-145A-9914 PARA A PENEIRA PN-145A-9729"/>
    <m/>
    <m/>
    <m/>
    <s v="1450AA-T-70414_FL07"/>
    <n v="1"/>
    <s v="PÇ"/>
    <n v="0.26"/>
    <n v="0.26"/>
    <n v="1651.88"/>
    <n v="429.48880000000003"/>
    <n v="0"/>
    <n v="0.9"/>
    <n v="0.1"/>
    <m/>
    <m/>
    <x v="0"/>
    <m/>
    <m/>
    <m/>
    <m/>
    <m/>
    <m/>
    <m/>
    <m/>
    <m/>
    <m/>
    <m/>
    <m/>
    <m/>
    <m/>
    <m/>
    <m/>
    <m/>
  </r>
  <r>
    <s v="2.4.3.1.2"/>
    <s v="CMS M.60.10.000"/>
    <x v="2"/>
    <n v="7"/>
    <s v="SPOOL"/>
    <n v="8"/>
    <x v="2"/>
    <s v="NÃO"/>
    <s v="NÃO"/>
    <x v="46"/>
    <x v="1"/>
    <s v="DISPOSIÇÃO DE REJEITOS LINHA DO CIRCUITO ARENOSO DISTRIBUIDOR DI-145A-9914 PARA A PENEIRA PN-145A-9729"/>
    <m/>
    <m/>
    <m/>
    <s v="1450AA-T-70414_FL10"/>
    <n v="1"/>
    <s v="PÇ"/>
    <n v="0.33"/>
    <n v="0.33"/>
    <n v="1651.88"/>
    <n v="545.12040000000002"/>
    <n v="0"/>
    <n v="0.9"/>
    <n v="0.1"/>
    <m/>
    <m/>
    <x v="0"/>
    <m/>
    <m/>
    <m/>
    <m/>
    <m/>
    <m/>
    <m/>
    <m/>
    <m/>
    <m/>
    <m/>
    <m/>
    <m/>
    <m/>
    <m/>
    <m/>
    <m/>
  </r>
  <r>
    <s v="2.4.3.1.2"/>
    <s v="CMS M.60.10.000"/>
    <x v="2"/>
    <n v="8"/>
    <s v="SPOOL"/>
    <n v="8"/>
    <x v="1"/>
    <s v="NÃO"/>
    <s v="NÃO"/>
    <x v="46"/>
    <x v="1"/>
    <s v="DISPOSIÇÃO DE REJEITOS LINHA DO CIRCUITO ARENOSO DISTRIBUIDOR DI-145A-9914 PARA A PENEIRA PN-145A-9729"/>
    <m/>
    <m/>
    <m/>
    <s v="1450AA-T-70414_FL09"/>
    <n v="1"/>
    <s v="PÇ"/>
    <n v="4"/>
    <n v="4"/>
    <n v="1651.88"/>
    <n v="6607.52"/>
    <n v="0"/>
    <n v="0.9"/>
    <n v="0.1"/>
    <m/>
    <m/>
    <x v="0"/>
    <m/>
    <m/>
    <m/>
    <m/>
    <m/>
    <m/>
    <m/>
    <m/>
    <m/>
    <m/>
    <m/>
    <m/>
    <m/>
    <m/>
    <m/>
    <m/>
    <m/>
  </r>
  <r>
    <s v="2.4.3.1.2"/>
    <s v="CMS M.60.10.000"/>
    <x v="2"/>
    <n v="9"/>
    <s v="SPOOL"/>
    <n v="8"/>
    <x v="1"/>
    <s v="NÃO"/>
    <s v="NÃO"/>
    <x v="46"/>
    <x v="1"/>
    <s v="DISPOSIÇÃO DE REJEITOS LINHA DO CIRCUITO ARENOSO DISTRIBUIDOR DI-145A-9914 PARA A PENEIRA PN-145A-9729"/>
    <m/>
    <m/>
    <m/>
    <s v="1450AA-T-70414_FL15"/>
    <n v="1"/>
    <s v="PÇ"/>
    <n v="1.01"/>
    <n v="1.01"/>
    <n v="1651.88"/>
    <n v="1668.3988000000002"/>
    <n v="0"/>
    <n v="0.9"/>
    <n v="0.1"/>
    <m/>
    <m/>
    <x v="0"/>
    <m/>
    <m/>
    <m/>
    <m/>
    <m/>
    <m/>
    <m/>
    <m/>
    <m/>
    <m/>
    <m/>
    <m/>
    <m/>
    <m/>
    <m/>
    <m/>
    <m/>
  </r>
  <r>
    <s v="2.4.3.1.2"/>
    <s v="CMS M.60.10.000"/>
    <x v="2"/>
    <n v="10"/>
    <s v="SPOOL"/>
    <n v="8"/>
    <x v="2"/>
    <s v="NÃO"/>
    <s v="NÃO"/>
    <x v="46"/>
    <x v="1"/>
    <s v="DISPOSIÇÃO DE REJEITOS LINHA DO CIRCUITO ARENOSO DISTRIBUIDOR DI-145A-9914 PARA A PENEIRA PN-145A-9729"/>
    <m/>
    <m/>
    <m/>
    <s v="1450AA-T-70414_FL12"/>
    <n v="1"/>
    <s v="PÇ"/>
    <n v="0.51"/>
    <n v="0.51"/>
    <n v="1651.88"/>
    <n v="842.45880000000011"/>
    <n v="0"/>
    <n v="0.9"/>
    <n v="0.1"/>
    <m/>
    <m/>
    <x v="0"/>
    <m/>
    <m/>
    <m/>
    <m/>
    <m/>
    <m/>
    <m/>
    <m/>
    <m/>
    <m/>
    <m/>
    <m/>
    <m/>
    <m/>
    <m/>
    <m/>
    <m/>
  </r>
  <r>
    <s v="2.4.3.1.2"/>
    <s v="CMS M.60.10.000"/>
    <x v="2"/>
    <n v="1"/>
    <s v="SPOOL"/>
    <n v="8"/>
    <x v="1"/>
    <s v="NÃO"/>
    <s v="NÃO"/>
    <x v="47"/>
    <x v="1"/>
    <s v="DISPOSIÇÃO DE REJEITOS LINHA DO CIRCUITO ARENOSO DISTRIBUIDOR DI-145A-9915 PARA A PENEIRA PN-145A-9710"/>
    <m/>
    <m/>
    <m/>
    <s v="1450AA-T-70417_FL09"/>
    <n v="1"/>
    <s v="PÇ"/>
    <n v="0.15"/>
    <n v="0.15"/>
    <n v="1651.88"/>
    <n v="247.78200000000001"/>
    <n v="0"/>
    <n v="0.9"/>
    <n v="0.1"/>
    <m/>
    <m/>
    <x v="0"/>
    <m/>
    <m/>
    <m/>
    <m/>
    <m/>
    <m/>
    <m/>
    <m/>
    <m/>
    <m/>
    <m/>
    <m/>
    <m/>
    <m/>
    <m/>
    <m/>
    <m/>
  </r>
  <r>
    <s v="2.4.3.1.2"/>
    <s v="CMS M.60.10.000"/>
    <x v="2"/>
    <n v="2"/>
    <s v="SPOOL"/>
    <n v="8"/>
    <x v="1"/>
    <s v="NÃO"/>
    <s v="NÃO"/>
    <x v="47"/>
    <x v="1"/>
    <s v="DISPOSIÇÃO DE REJEITOS LINHA DO CIRCUITO ARENOSO DISTRIBUIDOR DI-145A-9915 PARA A PENEIRA PN-145A-9710"/>
    <m/>
    <m/>
    <m/>
    <s v="1450AA-T-70417_FL10"/>
    <n v="1"/>
    <s v="PÇ"/>
    <n v="1"/>
    <n v="1"/>
    <n v="1651.88"/>
    <n v="1651.88"/>
    <n v="0"/>
    <n v="0.9"/>
    <n v="0.1"/>
    <m/>
    <m/>
    <x v="0"/>
    <m/>
    <m/>
    <m/>
    <m/>
    <m/>
    <m/>
    <m/>
    <m/>
    <m/>
    <m/>
    <m/>
    <m/>
    <m/>
    <m/>
    <m/>
    <m/>
    <m/>
  </r>
  <r>
    <s v="2.4.3.1.2"/>
    <s v="CMS M.60.10.000"/>
    <x v="2"/>
    <n v="3"/>
    <s v="SPOOL"/>
    <n v="8"/>
    <x v="1"/>
    <s v="NÃO"/>
    <s v="NÃO"/>
    <x v="47"/>
    <x v="1"/>
    <s v="DISPOSIÇÃO DE REJEITOS LINHA DO CIRCUITO ARENOSO DISTRIBUIDOR DI-145A-9915 PARA A PENEIRA PN-145A-9710"/>
    <m/>
    <m/>
    <m/>
    <s v="1450AA-T-70417_FL11"/>
    <n v="1"/>
    <s v="PÇ"/>
    <n v="1.1459999999999999"/>
    <n v="1.1459999999999999"/>
    <n v="1651.88"/>
    <n v="1893.05448"/>
    <n v="0"/>
    <n v="0.9"/>
    <n v="0.1"/>
    <m/>
    <m/>
    <x v="0"/>
    <m/>
    <m/>
    <m/>
    <m/>
    <m/>
    <m/>
    <m/>
    <m/>
    <m/>
    <m/>
    <m/>
    <m/>
    <m/>
    <m/>
    <m/>
    <m/>
    <m/>
  </r>
  <r>
    <s v="2.4.3.1.2"/>
    <s v="CMS M.60.10.000"/>
    <x v="2"/>
    <n v="4"/>
    <s v="SPOOL"/>
    <n v="8"/>
    <x v="1"/>
    <s v="NÃO"/>
    <s v="NÃO"/>
    <x v="47"/>
    <x v="1"/>
    <s v="DISPOSIÇÃO DE REJEITOS LINHA DO CIRCUITO ARENOSO DISTRIBUIDOR DI-145A-9915 PARA A PENEIRA PN-145A-9710"/>
    <m/>
    <m/>
    <m/>
    <s v="1450AA-T-70417_FL12"/>
    <n v="1"/>
    <s v="PÇ"/>
    <n v="1.23"/>
    <n v="1.23"/>
    <n v="1651.88"/>
    <n v="2031.8124"/>
    <n v="0"/>
    <n v="0.9"/>
    <n v="0.1"/>
    <m/>
    <m/>
    <x v="0"/>
    <m/>
    <m/>
    <m/>
    <m/>
    <m/>
    <m/>
    <m/>
    <m/>
    <m/>
    <m/>
    <m/>
    <m/>
    <m/>
    <m/>
    <m/>
    <m/>
    <m/>
  </r>
  <r>
    <s v="2.4.3.1.2"/>
    <s v="CMS M.60.10.000"/>
    <x v="2"/>
    <n v="5"/>
    <s v="SPOOL"/>
    <n v="8"/>
    <x v="1"/>
    <s v="NÃO"/>
    <s v="NÃO"/>
    <x v="47"/>
    <x v="1"/>
    <s v="DISPOSIÇÃO DE REJEITOS LINHA DO CIRCUITO ARENOSO DISTRIBUIDOR DI-145A-9915 PARA A PENEIRA PN-145A-9710"/>
    <m/>
    <m/>
    <m/>
    <s v="1450AA-T-70417_FL13"/>
    <n v="1"/>
    <s v="PÇ"/>
    <n v="1.3340000000000001"/>
    <n v="1.3340000000000001"/>
    <n v="1651.88"/>
    <n v="2203.6079200000004"/>
    <n v="0"/>
    <n v="0.9"/>
    <n v="0.1"/>
    <m/>
    <m/>
    <x v="0"/>
    <m/>
    <m/>
    <m/>
    <m/>
    <m/>
    <m/>
    <m/>
    <m/>
    <m/>
    <m/>
    <m/>
    <m/>
    <m/>
    <m/>
    <m/>
    <m/>
    <m/>
  </r>
  <r>
    <s v="2.4.3.1.2"/>
    <s v="CMS M.60.10.000"/>
    <x v="2"/>
    <n v="6"/>
    <s v="SPOOL"/>
    <n v="8"/>
    <x v="1"/>
    <s v="NÃO"/>
    <s v="NÃO"/>
    <x v="47"/>
    <x v="1"/>
    <s v="DISPOSIÇÃO DE REJEITOS LINHA DO CIRCUITO ARENOSO DISTRIBUIDOR DI-145A-9915 PARA A PENEIRA PN-145A-9710"/>
    <m/>
    <m/>
    <m/>
    <s v="1450AA-T-70417_FL14"/>
    <n v="1"/>
    <s v="PÇ"/>
    <n v="2.7"/>
    <n v="2.7"/>
    <n v="1651.88"/>
    <n v="4460.0760000000009"/>
    <n v="0"/>
    <n v="0.9"/>
    <n v="0.1"/>
    <m/>
    <m/>
    <x v="0"/>
    <m/>
    <m/>
    <m/>
    <m/>
    <m/>
    <m/>
    <m/>
    <m/>
    <m/>
    <m/>
    <m/>
    <m/>
    <m/>
    <m/>
    <m/>
    <m/>
    <m/>
  </r>
  <r>
    <s v="2.4.3.1.2"/>
    <s v="CMS M.60.10.000"/>
    <x v="2"/>
    <n v="7"/>
    <s v="SPOOL"/>
    <n v="8"/>
    <x v="1"/>
    <s v="NÃO"/>
    <s v="NÃO"/>
    <x v="47"/>
    <x v="1"/>
    <s v="DISPOSIÇÃO DE REJEITOS LINHA DO CIRCUITO ARENOSO DISTRIBUIDOR DI-145A-9915 PARA A PENEIRA PN-145A-9710"/>
    <m/>
    <m/>
    <m/>
    <s v="1450AA-T-70417_FL15"/>
    <n v="1"/>
    <s v="PÇ"/>
    <n v="3"/>
    <n v="3"/>
    <n v="1651.88"/>
    <n v="4955.6400000000003"/>
    <n v="0"/>
    <n v="0.9"/>
    <n v="0.1"/>
    <m/>
    <m/>
    <x v="0"/>
    <m/>
    <m/>
    <m/>
    <m/>
    <m/>
    <m/>
    <m/>
    <m/>
    <m/>
    <m/>
    <m/>
    <m/>
    <m/>
    <m/>
    <m/>
    <m/>
    <m/>
  </r>
  <r>
    <s v="2.4.3.1.2"/>
    <s v="CMS M.60.10.000"/>
    <x v="2"/>
    <n v="8"/>
    <s v="SPOOL"/>
    <n v="8"/>
    <x v="1"/>
    <s v="NÃO"/>
    <s v="NÃO"/>
    <x v="47"/>
    <x v="1"/>
    <s v="DISPOSIÇÃO DE REJEITOS LINHA DO CIRCUITO ARENOSO DISTRIBUIDOR DI-145A-9915 PARA A PENEIRA PN-145A-9710"/>
    <m/>
    <m/>
    <m/>
    <s v="1450AA-T-70417_FL16"/>
    <n v="1"/>
    <s v="PÇ"/>
    <n v="3.7"/>
    <n v="3.7"/>
    <n v="1651.88"/>
    <n v="6111.956000000001"/>
    <n v="0"/>
    <n v="0.9"/>
    <n v="0.1"/>
    <m/>
    <m/>
    <x v="0"/>
    <m/>
    <m/>
    <m/>
    <m/>
    <m/>
    <m/>
    <m/>
    <m/>
    <m/>
    <m/>
    <m/>
    <m/>
    <m/>
    <m/>
    <m/>
    <m/>
    <m/>
  </r>
  <r>
    <s v="2.4.3.1.2"/>
    <s v="CMS M.60.10.000"/>
    <x v="2"/>
    <n v="9"/>
    <s v="SPOOL"/>
    <n v="8"/>
    <x v="2"/>
    <s v="NÃO"/>
    <s v="NÃO"/>
    <x v="47"/>
    <x v="1"/>
    <s v="DISPOSIÇÃO DE REJEITOS LINHA DO CIRCUITO ARENOSO DISTRIBUIDOR DI-145A-9915 PARA A PENEIRA PN-145A-9710"/>
    <m/>
    <m/>
    <m/>
    <s v="1450AA-T-70417_FL17"/>
    <n v="1"/>
    <s v="PÇ"/>
    <n v="0.55000000000000004"/>
    <n v="0.55000000000000004"/>
    <n v="1651.88"/>
    <n v="908.53400000000011"/>
    <n v="0"/>
    <n v="0.9"/>
    <n v="0.1"/>
    <m/>
    <m/>
    <x v="0"/>
    <m/>
    <m/>
    <m/>
    <m/>
    <m/>
    <m/>
    <m/>
    <m/>
    <m/>
    <m/>
    <m/>
    <m/>
    <m/>
    <m/>
    <m/>
    <m/>
    <m/>
  </r>
  <r>
    <s v="2.4.3.1.2"/>
    <s v="CMS M.60.10.000"/>
    <x v="2"/>
    <n v="10"/>
    <s v="SPOOL"/>
    <n v="8"/>
    <x v="2"/>
    <s v="NÃO"/>
    <s v="NÃO"/>
    <x v="47"/>
    <x v="1"/>
    <s v="DISPOSIÇÃO DE REJEITOS LINHA DO CIRCUITO ARENOSO DISTRIBUIDOR DI-145A-9915 PARA A PENEIRA PN-145A-9710"/>
    <m/>
    <m/>
    <m/>
    <s v="1450AA-T-70417_FL18"/>
    <n v="1"/>
    <s v="PÇ"/>
    <n v="0.6"/>
    <n v="0.6"/>
    <n v="1651.88"/>
    <n v="991.12800000000004"/>
    <n v="0"/>
    <n v="0.9"/>
    <n v="0.1"/>
    <m/>
    <m/>
    <x v="0"/>
    <m/>
    <m/>
    <m/>
    <m/>
    <m/>
    <m/>
    <m/>
    <m/>
    <m/>
    <m/>
    <m/>
    <m/>
    <m/>
    <m/>
    <m/>
    <m/>
    <m/>
  </r>
  <r>
    <s v="2.4.3.1.2"/>
    <s v="CMS M.60.10.000"/>
    <x v="2"/>
    <n v="11"/>
    <s v="CURVA"/>
    <n v="8"/>
    <x v="1"/>
    <s v="NÃO"/>
    <s v="NÃO"/>
    <x v="47"/>
    <x v="1"/>
    <s v="DISPOSIÇÃO DE REJEITOS LINHA DO CIRCUITO ARENOSO DISTRIBUIDOR DI-145A-9915 PARA A PENEIRA PN-145A-9710"/>
    <m/>
    <m/>
    <m/>
    <s v="1450AA-T-70417_FL19"/>
    <n v="1"/>
    <s v="PÇ"/>
    <n v="0.32100000000000001"/>
    <n v="0.32100000000000001"/>
    <n v="1651.88"/>
    <n v="530.25348000000008"/>
    <n v="0"/>
    <n v="0.9"/>
    <n v="0.1"/>
    <m/>
    <m/>
    <x v="0"/>
    <m/>
    <m/>
    <m/>
    <m/>
    <m/>
    <m/>
    <m/>
    <m/>
    <m/>
    <m/>
    <m/>
    <m/>
    <m/>
    <m/>
    <m/>
    <m/>
    <m/>
  </r>
  <r>
    <s v="2.4.3.1.2"/>
    <s v="CMS M.60.10.000"/>
    <x v="2"/>
    <n v="12"/>
    <s v="CURVA"/>
    <n v="8"/>
    <x v="1"/>
    <s v="NÃO"/>
    <s v="NÃO"/>
    <x v="47"/>
    <x v="1"/>
    <s v="DISPOSIÇÃO DE REJEITOS LINHA DO CIRCUITO ARENOSO DISTRIBUIDOR DI-145A-9915 PARA A PENEIRA PN-145A-9710"/>
    <m/>
    <m/>
    <m/>
    <s v="1450AA-T-70417_FL20"/>
    <n v="1"/>
    <s v="PÇ"/>
    <n v="0.438"/>
    <n v="0.438"/>
    <n v="1651.88"/>
    <n v="723.52344000000005"/>
    <n v="0"/>
    <n v="0.9"/>
    <n v="0.1"/>
    <m/>
    <m/>
    <x v="0"/>
    <m/>
    <m/>
    <m/>
    <m/>
    <m/>
    <m/>
    <m/>
    <m/>
    <m/>
    <m/>
    <m/>
    <m/>
    <m/>
    <m/>
    <m/>
    <m/>
    <m/>
  </r>
  <r>
    <s v="2.4.3.1.2"/>
    <s v="CMS M.60.10.000"/>
    <x v="2"/>
    <n v="13"/>
    <s v="CURVA"/>
    <n v="8"/>
    <x v="1"/>
    <s v="NÃO"/>
    <s v="NÃO"/>
    <x v="47"/>
    <x v="1"/>
    <s v="DISPOSIÇÃO DE REJEITOS LINHA DO CIRCUITO ARENOSO DISTRIBUIDOR DI-145A-9915 PARA A PENEIRA PN-145A-9710"/>
    <m/>
    <m/>
    <m/>
    <s v="1450AA-T-70417_FL21"/>
    <n v="1"/>
    <s v="PÇ"/>
    <n v="0.54200000000000004"/>
    <n v="0.54200000000000004"/>
    <n v="1651.88"/>
    <n v="895.31896000000017"/>
    <n v="0"/>
    <n v="0.9"/>
    <n v="0.1"/>
    <m/>
    <m/>
    <x v="0"/>
    <m/>
    <m/>
    <m/>
    <m/>
    <m/>
    <m/>
    <m/>
    <m/>
    <m/>
    <m/>
    <m/>
    <m/>
    <m/>
    <m/>
    <m/>
    <m/>
    <m/>
  </r>
  <r>
    <s v="2.4.3.1.2"/>
    <s v="CMS M.60.10.000"/>
    <x v="2"/>
    <n v="14"/>
    <s v="CURVA"/>
    <n v="8"/>
    <x v="1"/>
    <s v="NÃO"/>
    <s v="NÃO"/>
    <x v="47"/>
    <x v="1"/>
    <s v="DISPOSIÇÃO DE REJEITOS LINHA DO CIRCUITO ARENOSO DISTRIBUIDOR DI-145A-9915 PARA A PENEIRA PN-145A-9710"/>
    <m/>
    <m/>
    <m/>
    <s v="1450AA-T-70417_FL22"/>
    <n v="1"/>
    <s v="PÇ"/>
    <n v="0.61099999999999999"/>
    <n v="0.61099999999999999"/>
    <n v="1651.88"/>
    <n v="1009.29868"/>
    <n v="0"/>
    <n v="0.9"/>
    <n v="0.1"/>
    <m/>
    <m/>
    <x v="0"/>
    <m/>
    <m/>
    <m/>
    <m/>
    <m/>
    <m/>
    <m/>
    <m/>
    <m/>
    <m/>
    <m/>
    <m/>
    <m/>
    <m/>
    <m/>
    <m/>
    <m/>
  </r>
  <r>
    <s v="2.4.3.1.2"/>
    <s v="CMS M.60.10.000"/>
    <x v="2"/>
    <n v="15"/>
    <s v="CURVA"/>
    <n v="8"/>
    <x v="1"/>
    <s v="NÃO"/>
    <s v="NÃO"/>
    <x v="47"/>
    <x v="1"/>
    <s v="DISPOSIÇÃO DE REJEITOS LINHA DO CIRCUITO ARENOSO DISTRIBUIDOR DI-145A-9915 PARA A PENEIRA PN-145A-9710"/>
    <m/>
    <m/>
    <m/>
    <s v="1450AA-T-70417_FL23"/>
    <n v="1"/>
    <s v="PÇ"/>
    <n v="0.63800000000000001"/>
    <n v="0.63800000000000001"/>
    <n v="1651.88"/>
    <n v="1053.8994400000001"/>
    <n v="0"/>
    <n v="0.9"/>
    <n v="0.1"/>
    <m/>
    <m/>
    <x v="0"/>
    <m/>
    <m/>
    <m/>
    <m/>
    <m/>
    <m/>
    <m/>
    <m/>
    <m/>
    <m/>
    <m/>
    <m/>
    <m/>
    <m/>
    <m/>
    <m/>
    <m/>
  </r>
  <r>
    <s v="2.4.3.1.2"/>
    <s v="CMS M.60.10.000"/>
    <x v="2"/>
    <n v="16"/>
    <s v="SPOOL"/>
    <n v="8"/>
    <x v="1"/>
    <s v="NÃO"/>
    <s v="NÃO"/>
    <x v="47"/>
    <x v="1"/>
    <s v="DISPOSIÇÃO DE REJEITOS LINHA DO CIRCUITO ARENOSO DISTRIBUIDOR DI-145A-9915 PARA A PENEIRA PN-145A-9710"/>
    <m/>
    <m/>
    <m/>
    <s v="1450AA-T-70417_FL24"/>
    <n v="1"/>
    <s v="PÇ"/>
    <n v="0.96"/>
    <n v="0.96"/>
    <n v="1651.88"/>
    <n v="1585.8048000000001"/>
    <n v="0"/>
    <n v="0.9"/>
    <n v="0.1"/>
    <m/>
    <m/>
    <x v="0"/>
    <m/>
    <m/>
    <m/>
    <m/>
    <m/>
    <m/>
    <m/>
    <m/>
    <m/>
    <m/>
    <m/>
    <m/>
    <m/>
    <m/>
    <m/>
    <m/>
    <m/>
  </r>
  <r>
    <s v="2.4.3.1.1"/>
    <s v="CMS M.60.10.000"/>
    <x v="2"/>
    <n v="17"/>
    <s v="SPOOL"/>
    <s v="8 X 6"/>
    <x v="1"/>
    <s v="NÃO"/>
    <s v="NÃO"/>
    <x v="47"/>
    <x v="1"/>
    <s v="DISPOSIÇÃO DE REJEITOS LINHA DO CIRCUITO ARENOSO DISTRIBUIDOR DI-145A-9915 PARA A PENEIRA PN-145A-9710"/>
    <m/>
    <m/>
    <m/>
    <s v="1450AA-T-70417_FL25"/>
    <n v="1"/>
    <s v="PÇ"/>
    <n v="1.883"/>
    <n v="1.883"/>
    <n v="1169.77"/>
    <n v="2202.6769100000001"/>
    <n v="0"/>
    <n v="0.9"/>
    <n v="0.1"/>
    <m/>
    <m/>
    <x v="0"/>
    <m/>
    <m/>
    <m/>
    <m/>
    <m/>
    <m/>
    <m/>
    <m/>
    <m/>
    <m/>
    <m/>
    <m/>
    <m/>
    <m/>
    <m/>
    <m/>
    <m/>
  </r>
  <r>
    <s v="2.4.3.1.1"/>
    <s v="CMS M.60.10.000"/>
    <x v="2"/>
    <n v="18"/>
    <s v="FLANGE"/>
    <n v="6"/>
    <x v="1"/>
    <s v="NÃO"/>
    <s v="NÃO"/>
    <x v="47"/>
    <x v="1"/>
    <s v="DISPOSIÇÃO DE REJEITOS LINHA DO CIRCUITO ARENOSO DISTRIBUIDOR DI-145A-9915 PARA A PENEIRA PN-145A-9710"/>
    <m/>
    <m/>
    <m/>
    <s v="1450AA-T-70417_FL08"/>
    <n v="2"/>
    <s v="PÇ"/>
    <n v="0"/>
    <n v="0"/>
    <n v="1169.77"/>
    <n v="0"/>
    <n v="0"/>
    <n v="0.9"/>
    <n v="0.1"/>
    <m/>
    <m/>
    <x v="0"/>
    <m/>
    <m/>
    <m/>
    <m/>
    <m/>
    <m/>
    <m/>
    <m/>
    <m/>
    <m/>
    <m/>
    <m/>
    <m/>
    <m/>
    <m/>
    <m/>
    <m/>
  </r>
  <r>
    <s v="2.4.3.1.2"/>
    <s v="CMS M.60.10.000"/>
    <x v="2"/>
    <n v="1"/>
    <s v="SPOOL"/>
    <n v="8"/>
    <x v="1"/>
    <s v="NÃO"/>
    <s v="NÃO"/>
    <x v="48"/>
    <x v="1"/>
    <s v="DISPOSIÇÃO DE REJEITOS LINHA DO CIRCUITO ARENOSO DISTRIBUIDOR DI-145A-9915 PARA A PENEIRA PN-145A-9733"/>
    <m/>
    <m/>
    <m/>
    <s v="1450AA-T-70419_FL06"/>
    <n v="1"/>
    <s v="PÇ"/>
    <n v="0.23499999999999999"/>
    <n v="0.23499999999999999"/>
    <n v="1651.88"/>
    <n v="388.1918"/>
    <n v="0"/>
    <n v="0.9"/>
    <n v="0.1"/>
    <m/>
    <m/>
    <x v="0"/>
    <m/>
    <m/>
    <m/>
    <m/>
    <m/>
    <m/>
    <m/>
    <m/>
    <m/>
    <m/>
    <m/>
    <m/>
    <m/>
    <m/>
    <m/>
    <m/>
    <m/>
  </r>
  <r>
    <s v="2.4.3.1.2"/>
    <s v="CMS M.60.10.000"/>
    <x v="2"/>
    <n v="2"/>
    <s v="SPOOL"/>
    <n v="8"/>
    <x v="1"/>
    <s v="NÃO"/>
    <s v="NÃO"/>
    <x v="48"/>
    <x v="1"/>
    <s v="DISPOSIÇÃO DE REJEITOS LINHA DO CIRCUITO ARENOSO DISTRIBUIDOR DI-145A-9915 PARA A PENEIRA PN-145A-9733"/>
    <m/>
    <m/>
    <m/>
    <s v="1450AA-T-70419_FL07"/>
    <n v="1"/>
    <s v="PÇ"/>
    <n v="0.69099999999999995"/>
    <n v="0.69099999999999995"/>
    <n v="1651.88"/>
    <n v="1141.4490800000001"/>
    <n v="0"/>
    <n v="0.9"/>
    <n v="0.1"/>
    <m/>
    <m/>
    <x v="0"/>
    <m/>
    <m/>
    <m/>
    <m/>
    <m/>
    <m/>
    <m/>
    <m/>
    <m/>
    <m/>
    <m/>
    <m/>
    <m/>
    <m/>
    <m/>
    <m/>
    <m/>
  </r>
  <r>
    <s v="2.4.3.1.2"/>
    <s v="CMS M.60.10.000"/>
    <x v="2"/>
    <n v="3"/>
    <s v="SPOOL"/>
    <n v="8"/>
    <x v="1"/>
    <s v="NÃO"/>
    <s v="NÃO"/>
    <x v="48"/>
    <x v="1"/>
    <s v="DISPOSIÇÃO DE REJEITOS LINHA DO CIRCUITO ARENOSO DISTRIBUIDOR DI-145A-9915 PARA A PENEIRA PN-145A-9733"/>
    <m/>
    <m/>
    <m/>
    <s v="1450AA-T-70419_FL08"/>
    <n v="2"/>
    <s v="PÇ"/>
    <n v="4.5"/>
    <n v="9"/>
    <n v="1651.88"/>
    <n v="14866.920000000002"/>
    <n v="0"/>
    <n v="0.9"/>
    <n v="0.1"/>
    <m/>
    <m/>
    <x v="0"/>
    <m/>
    <m/>
    <m/>
    <m/>
    <m/>
    <m/>
    <m/>
    <m/>
    <m/>
    <m/>
    <m/>
    <m/>
    <m/>
    <m/>
    <m/>
    <m/>
    <m/>
  </r>
  <r>
    <s v="2.4.3.1.2"/>
    <s v="CMS M.60.10.000"/>
    <x v="2"/>
    <n v="4"/>
    <s v="SPOOL"/>
    <n v="8"/>
    <x v="2"/>
    <s v="NÃO"/>
    <s v="NÃO"/>
    <x v="48"/>
    <x v="1"/>
    <s v="DISPOSIÇÃO DE REJEITOS LINHA DO CIRCUITO ARENOSO DISTRIBUIDOR DI-145A-9915 PARA A PENEIRA PN-145A-9733"/>
    <m/>
    <m/>
    <m/>
    <s v="1450AA-T-70419_FL09"/>
    <n v="1"/>
    <s v="PÇ"/>
    <n v="0.44"/>
    <n v="0.44"/>
    <n v="1651.88"/>
    <n v="726.82720000000006"/>
    <n v="0"/>
    <n v="0.9"/>
    <n v="0.1"/>
    <m/>
    <m/>
    <x v="0"/>
    <m/>
    <m/>
    <m/>
    <m/>
    <m/>
    <m/>
    <m/>
    <m/>
    <m/>
    <m/>
    <m/>
    <m/>
    <m/>
    <m/>
    <m/>
    <m/>
    <m/>
  </r>
  <r>
    <s v="2.4.3.1.2"/>
    <s v="CMS M.60.10.000"/>
    <x v="2"/>
    <n v="5"/>
    <s v="SPOOL"/>
    <n v="8"/>
    <x v="2"/>
    <s v="NÃO"/>
    <s v="NÃO"/>
    <x v="48"/>
    <x v="1"/>
    <s v="DISPOSIÇÃO DE REJEITOS LINHA DO CIRCUITO ARENOSO DISTRIBUIDOR DI-145A-9915 PARA A PENEIRA PN-145A-9733"/>
    <m/>
    <m/>
    <m/>
    <s v="1450AA-T-70419_FL10"/>
    <n v="1"/>
    <s v="PÇ"/>
    <n v="0.51"/>
    <n v="0.51"/>
    <n v="1651.88"/>
    <n v="842.45880000000011"/>
    <n v="0"/>
    <n v="0.9"/>
    <n v="0.1"/>
    <m/>
    <m/>
    <x v="0"/>
    <m/>
    <m/>
    <m/>
    <m/>
    <m/>
    <m/>
    <m/>
    <m/>
    <m/>
    <m/>
    <m/>
    <m/>
    <m/>
    <m/>
    <m/>
    <m/>
    <m/>
  </r>
  <r>
    <s v="2.4.3.1.2"/>
    <s v="CMS M.60.10.000"/>
    <x v="2"/>
    <n v="6"/>
    <s v="CURVA"/>
    <n v="8"/>
    <x v="1"/>
    <s v="NÃO"/>
    <s v="NÃO"/>
    <x v="48"/>
    <x v="1"/>
    <s v="DISPOSIÇÃO DE REJEITOS LINHA DO CIRCUITO ARENOSO DISTRIBUIDOR DI-145A-9915 PARA A PENEIRA PN-145A-9733"/>
    <m/>
    <m/>
    <m/>
    <s v="1450AA-T-70419_FL11"/>
    <n v="1"/>
    <s v="PÇ"/>
    <n v="0.32100000000000001"/>
    <n v="0.32100000000000001"/>
    <n v="1651.88"/>
    <n v="530.25348000000008"/>
    <n v="0"/>
    <n v="0.9"/>
    <n v="0.1"/>
    <m/>
    <m/>
    <x v="0"/>
    <m/>
    <m/>
    <m/>
    <m/>
    <m/>
    <m/>
    <m/>
    <m/>
    <m/>
    <m/>
    <m/>
    <m/>
    <m/>
    <m/>
    <m/>
    <m/>
    <m/>
  </r>
  <r>
    <s v="2.4.3.1.2"/>
    <s v="CMS M.60.10.000"/>
    <x v="2"/>
    <n v="7"/>
    <s v="CURVA"/>
    <n v="8"/>
    <x v="1"/>
    <s v="NÃO"/>
    <s v="NÃO"/>
    <x v="48"/>
    <x v="1"/>
    <s v="DISPOSIÇÃO DE REJEITOS LINHA DO CIRCUITO ARENOSO DISTRIBUIDOR DI-145A-9915 PARA A PENEIRA PN-145A-9733"/>
    <m/>
    <m/>
    <m/>
    <s v="1450AA-T-70419_FL12"/>
    <n v="1"/>
    <s v="PÇ"/>
    <n v="0.61099999999999999"/>
    <n v="0.61099999999999999"/>
    <n v="1651.88"/>
    <n v="1009.29868"/>
    <n v="0"/>
    <n v="0.9"/>
    <n v="0.1"/>
    <m/>
    <m/>
    <x v="0"/>
    <m/>
    <m/>
    <m/>
    <m/>
    <m/>
    <m/>
    <m/>
    <m/>
    <m/>
    <m/>
    <m/>
    <m/>
    <m/>
    <m/>
    <m/>
    <m/>
    <m/>
  </r>
  <r>
    <s v="2.4.3.1.2"/>
    <s v="CMS M.60.10.000"/>
    <x v="2"/>
    <n v="8"/>
    <s v="SPOOL"/>
    <n v="8"/>
    <x v="1"/>
    <s v="NÃO"/>
    <s v="NÃO"/>
    <x v="48"/>
    <x v="1"/>
    <s v="DISPOSIÇÃO DE REJEITOS LINHA DO CIRCUITO ARENOSO DISTRIBUIDOR DI-145A-9915 PARA A PENEIRA PN-145A-9733"/>
    <m/>
    <m/>
    <m/>
    <s v="1450AA-T-70419_FL13"/>
    <n v="1"/>
    <s v="PÇ"/>
    <n v="1.01"/>
    <n v="1.01"/>
    <n v="1651.88"/>
    <n v="1668.3988000000002"/>
    <n v="0"/>
    <n v="0.9"/>
    <n v="0.1"/>
    <m/>
    <m/>
    <x v="0"/>
    <m/>
    <m/>
    <m/>
    <m/>
    <m/>
    <m/>
    <m/>
    <m/>
    <m/>
    <m/>
    <m/>
    <m/>
    <m/>
    <m/>
    <m/>
    <m/>
    <m/>
  </r>
  <r>
    <s v="2.4.3.1.2"/>
    <s v="CMS M.60.10.000"/>
    <x v="2"/>
    <n v="1"/>
    <s v="SPOOL"/>
    <n v="8"/>
    <x v="1"/>
    <s v="NÃO"/>
    <s v="NÃO"/>
    <x v="49"/>
    <x v="1"/>
    <s v="DISPOSIÇÃO DE REJEITOS LINHA DO CIRCUITO ARENOSO DISTRIBUIDOR DI-145A-9915 PARA A PENEIRA PN-145A-9711"/>
    <m/>
    <m/>
    <m/>
    <s v="1450AA-T-70421_FL09"/>
    <n v="1"/>
    <s v="PÇ"/>
    <n v="0.73599999999999999"/>
    <n v="0.73599999999999999"/>
    <n v="1651.88"/>
    <n v="1215.78368"/>
    <n v="0"/>
    <n v="0.9"/>
    <n v="0.1"/>
    <m/>
    <m/>
    <x v="0"/>
    <m/>
    <m/>
    <m/>
    <m/>
    <m/>
    <m/>
    <m/>
    <m/>
    <m/>
    <m/>
    <m/>
    <m/>
    <m/>
    <m/>
    <m/>
    <m/>
    <m/>
  </r>
  <r>
    <s v="2.4.3.1.2"/>
    <s v="CMS M.60.10.000"/>
    <x v="2"/>
    <n v="2"/>
    <s v="SPOOL"/>
    <n v="8"/>
    <x v="1"/>
    <s v="NÃO"/>
    <s v="NÃO"/>
    <x v="49"/>
    <x v="1"/>
    <s v="DISPOSIÇÃO DE REJEITOS LINHA DO CIRCUITO ARENOSO DISTRIBUIDOR DI-145A-9915 PARA A PENEIRA PN-145A-9711"/>
    <m/>
    <m/>
    <m/>
    <s v="1450AA-T-70421_FL10"/>
    <n v="1"/>
    <s v="PÇ"/>
    <n v="1"/>
    <n v="1"/>
    <n v="1651.88"/>
    <n v="1651.88"/>
    <n v="0"/>
    <n v="0.9"/>
    <n v="0.1"/>
    <m/>
    <m/>
    <x v="0"/>
    <m/>
    <m/>
    <m/>
    <m/>
    <m/>
    <m/>
    <m/>
    <m/>
    <m/>
    <m/>
    <m/>
    <m/>
    <m/>
    <m/>
    <m/>
    <m/>
    <m/>
  </r>
  <r>
    <s v="2.4.3.1.2"/>
    <s v="CMS M.60.10.000"/>
    <x v="2"/>
    <n v="3"/>
    <s v="SPOOL"/>
    <n v="8"/>
    <x v="1"/>
    <s v="NÃO"/>
    <s v="NÃO"/>
    <x v="49"/>
    <x v="1"/>
    <s v="DISPOSIÇÃO DE REJEITOS LINHA DO CIRCUITO ARENOSO DISTRIBUIDOR DI-145A-9915 PARA A PENEIRA PN-145A-9711"/>
    <m/>
    <m/>
    <m/>
    <s v="1450AA-T-70421_FL11"/>
    <n v="1"/>
    <s v="PÇ"/>
    <n v="1.1459999999999999"/>
    <n v="1.1459999999999999"/>
    <n v="1651.88"/>
    <n v="1893.05448"/>
    <n v="0"/>
    <n v="0.9"/>
    <n v="0.1"/>
    <m/>
    <m/>
    <x v="0"/>
    <m/>
    <m/>
    <m/>
    <m/>
    <m/>
    <m/>
    <m/>
    <m/>
    <m/>
    <m/>
    <m/>
    <m/>
    <m/>
    <m/>
    <m/>
    <m/>
    <m/>
  </r>
  <r>
    <s v="2.4.3.1.2"/>
    <s v="CMS M.60.10.000"/>
    <x v="2"/>
    <n v="4"/>
    <s v="SPOOL"/>
    <n v="8"/>
    <x v="1"/>
    <s v="NÃO"/>
    <s v="NÃO"/>
    <x v="49"/>
    <x v="1"/>
    <s v="DISPOSIÇÃO DE REJEITOS LINHA DO CIRCUITO ARENOSO DISTRIBUIDOR DI-145A-9915 PARA A PENEIRA PN-145A-9711"/>
    <m/>
    <m/>
    <m/>
    <s v="1450AA-T-70421_FL12"/>
    <n v="1"/>
    <s v="PÇ"/>
    <n v="1.3340000000000001"/>
    <n v="1.3340000000000001"/>
    <n v="1651.88"/>
    <n v="2203.6079200000004"/>
    <n v="0"/>
    <n v="0.9"/>
    <n v="0.1"/>
    <m/>
    <m/>
    <x v="0"/>
    <m/>
    <m/>
    <m/>
    <m/>
    <m/>
    <m/>
    <m/>
    <m/>
    <m/>
    <m/>
    <m/>
    <m/>
    <m/>
    <m/>
    <m/>
    <m/>
    <m/>
  </r>
  <r>
    <s v="2.4.3.1.2"/>
    <s v="CMS M.60.10.000"/>
    <x v="2"/>
    <n v="5"/>
    <s v="SPOOL"/>
    <n v="8"/>
    <x v="1"/>
    <s v="NÃO"/>
    <s v="NÃO"/>
    <x v="49"/>
    <x v="1"/>
    <s v="DISPOSIÇÃO DE REJEITOS LINHA DO CIRCUITO ARENOSO DISTRIBUIDOR DI-145A-9915 PARA A PENEIRA PN-145A-9711"/>
    <m/>
    <m/>
    <m/>
    <s v="1450AA-T-70421_FL13"/>
    <n v="1"/>
    <s v="PÇ"/>
    <n v="3"/>
    <n v="3"/>
    <n v="1651.88"/>
    <n v="4955.6400000000003"/>
    <n v="0"/>
    <n v="0.9"/>
    <n v="0.1"/>
    <m/>
    <m/>
    <x v="0"/>
    <m/>
    <m/>
    <m/>
    <m/>
    <m/>
    <m/>
    <m/>
    <m/>
    <m/>
    <m/>
    <m/>
    <m/>
    <m/>
    <m/>
    <m/>
    <m/>
    <m/>
  </r>
  <r>
    <s v="2.4.3.1.2"/>
    <s v="CMS M.60.10.000"/>
    <x v="2"/>
    <n v="6"/>
    <s v="SPOOL"/>
    <n v="8"/>
    <x v="1"/>
    <s v="NÃO"/>
    <s v="NÃO"/>
    <x v="49"/>
    <x v="1"/>
    <s v="DISPOSIÇÃO DE REJEITOS LINHA DO CIRCUITO ARENOSO DISTRIBUIDOR DI-145A-9915 PARA A PENEIRA PN-145A-9711"/>
    <m/>
    <m/>
    <m/>
    <s v="1450AA-T-70421_FL14"/>
    <n v="1"/>
    <s v="PÇ"/>
    <n v="5"/>
    <n v="5"/>
    <n v="1651.88"/>
    <n v="8259.4000000000015"/>
    <n v="0"/>
    <n v="0.9"/>
    <n v="0.1"/>
    <m/>
    <m/>
    <x v="0"/>
    <m/>
    <m/>
    <m/>
    <m/>
    <m/>
    <m/>
    <m/>
    <m/>
    <m/>
    <m/>
    <m/>
    <m/>
    <m/>
    <m/>
    <m/>
    <m/>
    <m/>
  </r>
  <r>
    <s v="2.4.3.1.2"/>
    <s v="CMS M.60.10.000"/>
    <x v="2"/>
    <n v="7"/>
    <s v="SPOOL"/>
    <n v="8"/>
    <x v="1"/>
    <s v="NÃO"/>
    <s v="NÃO"/>
    <x v="49"/>
    <x v="1"/>
    <s v="DISPOSIÇÃO DE REJEITOS LINHA DO CIRCUITO ARENOSO DISTRIBUIDOR DI-145A-9915 PARA A PENEIRA PN-145A-9711"/>
    <m/>
    <m/>
    <m/>
    <s v="1450AA-T-70421_FL15"/>
    <n v="1"/>
    <s v="PÇ"/>
    <n v="6"/>
    <n v="6"/>
    <n v="1651.88"/>
    <n v="9911.2800000000007"/>
    <n v="0"/>
    <n v="0.9"/>
    <n v="0.1"/>
    <m/>
    <m/>
    <x v="0"/>
    <m/>
    <m/>
    <m/>
    <m/>
    <m/>
    <m/>
    <m/>
    <m/>
    <m/>
    <m/>
    <m/>
    <m/>
    <m/>
    <m/>
    <m/>
    <m/>
    <m/>
  </r>
  <r>
    <s v="2.4.3.1.2"/>
    <s v="CMS M.60.10.000"/>
    <x v="2"/>
    <n v="8"/>
    <s v="SPOOL"/>
    <n v="8"/>
    <x v="2"/>
    <s v="NÃO"/>
    <s v="NÃO"/>
    <x v="49"/>
    <x v="1"/>
    <s v="DISPOSIÇÃO DE REJEITOS LINHA DO CIRCUITO ARENOSO DISTRIBUIDOR DI-145A-9915 PARA A PENEIRA PN-145A-9711"/>
    <m/>
    <m/>
    <m/>
    <s v="1450AA-T-70421_FL16"/>
    <n v="1"/>
    <s v="PÇ"/>
    <n v="0.32"/>
    <n v="0.32"/>
    <n v="1651.88"/>
    <n v="528.60160000000008"/>
    <n v="0"/>
    <n v="0.9"/>
    <n v="0.1"/>
    <m/>
    <m/>
    <x v="0"/>
    <m/>
    <m/>
    <m/>
    <m/>
    <m/>
    <m/>
    <m/>
    <m/>
    <m/>
    <m/>
    <m/>
    <m/>
    <m/>
    <m/>
    <m/>
    <m/>
    <m/>
  </r>
  <r>
    <s v="2.4.3.1.2"/>
    <s v="CMS M.60.10.000"/>
    <x v="2"/>
    <n v="9"/>
    <s v="SPOOL"/>
    <n v="8"/>
    <x v="2"/>
    <s v="NÃO"/>
    <s v="NÃO"/>
    <x v="49"/>
    <x v="1"/>
    <s v="DISPOSIÇÃO DE REJEITOS LINHA DO CIRCUITO ARENOSO DISTRIBUIDOR DI-145A-9915 PARA A PENEIRA PN-145A-9711"/>
    <m/>
    <m/>
    <m/>
    <s v="1450AA-T-70421_FL17"/>
    <n v="1"/>
    <s v="PÇ"/>
    <n v="0.61"/>
    <n v="0.61"/>
    <n v="1651.88"/>
    <n v="1007.6468000000001"/>
    <n v="0"/>
    <n v="0.9"/>
    <n v="0.1"/>
    <m/>
    <m/>
    <x v="0"/>
    <m/>
    <m/>
    <m/>
    <m/>
    <m/>
    <m/>
    <m/>
    <m/>
    <m/>
    <m/>
    <m/>
    <m/>
    <m/>
    <m/>
    <m/>
    <m/>
    <m/>
  </r>
  <r>
    <s v="2.4.3.1.2"/>
    <s v="CMS M.60.10.000"/>
    <x v="2"/>
    <n v="10"/>
    <s v="CURVA"/>
    <n v="8"/>
    <x v="1"/>
    <s v="NÃO"/>
    <s v="NÃO"/>
    <x v="49"/>
    <x v="1"/>
    <s v="DISPOSIÇÃO DE REJEITOS LINHA DO CIRCUITO ARENOSO DISTRIBUIDOR DI-145A-9915 PARA A PENEIRA PN-145A-9711"/>
    <m/>
    <m/>
    <m/>
    <s v="1450AA-T-70421_FL18"/>
    <n v="1"/>
    <s v="PÇ"/>
    <n v="0.32100000000000001"/>
    <n v="0.32100000000000001"/>
    <n v="1651.88"/>
    <n v="530.25348000000008"/>
    <n v="0"/>
    <n v="0.9"/>
    <n v="0.1"/>
    <m/>
    <m/>
    <x v="0"/>
    <m/>
    <m/>
    <m/>
    <m/>
    <m/>
    <m/>
    <m/>
    <m/>
    <m/>
    <m/>
    <m/>
    <m/>
    <m/>
    <m/>
    <m/>
    <m/>
    <m/>
  </r>
  <r>
    <s v="2.4.3.1.2"/>
    <s v="CMS M.60.10.000"/>
    <x v="2"/>
    <n v="11"/>
    <s v="CURVA"/>
    <n v="8"/>
    <x v="1"/>
    <s v="NÃO"/>
    <s v="NÃO"/>
    <x v="49"/>
    <x v="1"/>
    <s v="DISPOSIÇÃO DE REJEITOS LINHA DO CIRCUITO ARENOSO DISTRIBUIDOR DI-145A-9915 PARA A PENEIRA PN-145A-9711"/>
    <m/>
    <m/>
    <m/>
    <s v="1450AA-T-70421_FL19"/>
    <n v="1"/>
    <s v="PÇ"/>
    <n v="0.438"/>
    <n v="0.438"/>
    <n v="1651.88"/>
    <n v="723.52344000000005"/>
    <n v="0"/>
    <n v="0.9"/>
    <n v="0.1"/>
    <m/>
    <m/>
    <x v="0"/>
    <m/>
    <m/>
    <m/>
    <m/>
    <m/>
    <m/>
    <m/>
    <m/>
    <m/>
    <m/>
    <m/>
    <m/>
    <m/>
    <m/>
    <m/>
    <m/>
    <m/>
  </r>
  <r>
    <s v="2.4.3.1.2"/>
    <s v="CMS M.60.10.000"/>
    <x v="2"/>
    <n v="12"/>
    <s v="CURVA"/>
    <n v="8"/>
    <x v="1"/>
    <s v="NÃO"/>
    <s v="NÃO"/>
    <x v="49"/>
    <x v="1"/>
    <s v="DISPOSIÇÃO DE REJEITOS LINHA DO CIRCUITO ARENOSO DISTRIBUIDOR DI-145A-9915 PARA A PENEIRA PN-145A-9711"/>
    <m/>
    <m/>
    <m/>
    <s v="1450AA-T-70421_FL20"/>
    <n v="1"/>
    <s v="PÇ"/>
    <n v="0.54200000000000004"/>
    <n v="0.54200000000000004"/>
    <n v="1651.88"/>
    <n v="895.31896000000017"/>
    <n v="0"/>
    <n v="0.9"/>
    <n v="0.1"/>
    <m/>
    <m/>
    <x v="0"/>
    <m/>
    <m/>
    <m/>
    <m/>
    <m/>
    <m/>
    <m/>
    <m/>
    <m/>
    <m/>
    <m/>
    <m/>
    <m/>
    <m/>
    <m/>
    <m/>
    <m/>
  </r>
  <r>
    <s v="2.4.3.1.2"/>
    <s v="CMS M.60.10.000"/>
    <x v="2"/>
    <n v="13"/>
    <s v="CURVA"/>
    <n v="8"/>
    <x v="1"/>
    <s v="NÃO"/>
    <s v="NÃO"/>
    <x v="49"/>
    <x v="1"/>
    <s v="DISPOSIÇÃO DE REJEITOS LINHA DO CIRCUITO ARENOSO DISTRIBUIDOR DI-145A-9915 PARA A PENEIRA PN-145A-9711"/>
    <m/>
    <m/>
    <m/>
    <s v="1450AA-T-70421_FL21"/>
    <n v="1"/>
    <s v="PÇ"/>
    <n v="0.61099999999999999"/>
    <n v="0.61099999999999999"/>
    <n v="1651.88"/>
    <n v="1009.29868"/>
    <n v="0"/>
    <n v="0.9"/>
    <n v="0.1"/>
    <m/>
    <m/>
    <x v="0"/>
    <m/>
    <m/>
    <m/>
    <m/>
    <m/>
    <m/>
    <m/>
    <m/>
    <m/>
    <m/>
    <m/>
    <m/>
    <m/>
    <m/>
    <m/>
    <m/>
    <m/>
  </r>
  <r>
    <s v="2.4.3.1.2"/>
    <s v="CMS M.60.10.000"/>
    <x v="2"/>
    <n v="14"/>
    <s v="CURVA"/>
    <n v="8"/>
    <x v="1"/>
    <s v="NÃO"/>
    <s v="NÃO"/>
    <x v="49"/>
    <x v="1"/>
    <s v="DISPOSIÇÃO DE REJEITOS LINHA DO CIRCUITO ARENOSO DISTRIBUIDOR DI-145A-9915 PARA A PENEIRA PN-145A-9711"/>
    <m/>
    <m/>
    <m/>
    <s v="1450AA-T-70421_FL22"/>
    <n v="1"/>
    <s v="PÇ"/>
    <n v="0.63800000000000001"/>
    <n v="0.63800000000000001"/>
    <n v="1651.88"/>
    <n v="1053.8994400000001"/>
    <n v="0"/>
    <n v="0.9"/>
    <n v="0.1"/>
    <m/>
    <m/>
    <x v="0"/>
    <m/>
    <m/>
    <m/>
    <m/>
    <m/>
    <m/>
    <m/>
    <m/>
    <m/>
    <m/>
    <m/>
    <m/>
    <m/>
    <m/>
    <m/>
    <m/>
    <m/>
  </r>
  <r>
    <s v="2.4.3.1.2"/>
    <s v="CMS M.60.10.000"/>
    <x v="2"/>
    <n v="15"/>
    <s v="SPOOL"/>
    <n v="8"/>
    <x v="1"/>
    <s v="NÃO"/>
    <s v="NÃO"/>
    <x v="49"/>
    <x v="1"/>
    <s v="DISPOSIÇÃO DE REJEITOS LINHA DO CIRCUITO ARENOSO DISTRIBUIDOR DI-145A-9915 PARA A PENEIRA PN-145A-9711"/>
    <m/>
    <m/>
    <m/>
    <s v="1450AA-T-70421_FL23"/>
    <n v="1"/>
    <s v="PÇ"/>
    <n v="0.96"/>
    <n v="0.96"/>
    <n v="1651.88"/>
    <n v="1585.8048000000001"/>
    <n v="0"/>
    <n v="0.9"/>
    <n v="0.1"/>
    <m/>
    <m/>
    <x v="0"/>
    <m/>
    <m/>
    <m/>
    <m/>
    <m/>
    <m/>
    <m/>
    <m/>
    <m/>
    <m/>
    <m/>
    <m/>
    <m/>
    <m/>
    <m/>
    <m/>
    <m/>
  </r>
  <r>
    <s v="2.4.3.1.2"/>
    <s v="CMS M.60.10.000"/>
    <x v="2"/>
    <n v="16"/>
    <s v="SPOOL"/>
    <n v="8"/>
    <x v="1"/>
    <s v="NÃO"/>
    <s v="NÃO"/>
    <x v="49"/>
    <x v="1"/>
    <s v="DISPOSIÇÃO DE REJEITOS LINHA DO CIRCUITO ARENOSO DISTRIBUIDOR DI-145A-9915 PARA A PENEIRA PN-145A-9711"/>
    <m/>
    <m/>
    <m/>
    <s v="1450AA-T-70421_FL24"/>
    <n v="1"/>
    <s v="PÇ"/>
    <n v="1.883"/>
    <n v="1.883"/>
    <n v="1651.88"/>
    <n v="3110.4900400000001"/>
    <n v="0"/>
    <n v="0.9"/>
    <n v="0.1"/>
    <m/>
    <m/>
    <x v="0"/>
    <m/>
    <m/>
    <m/>
    <m/>
    <m/>
    <m/>
    <m/>
    <m/>
    <m/>
    <m/>
    <m/>
    <m/>
    <m/>
    <m/>
    <m/>
    <m/>
    <m/>
  </r>
  <r>
    <s v="2.4.3.1.2"/>
    <s v="CMS M.60.10.000"/>
    <x v="2"/>
    <n v="17"/>
    <s v="FLANGE"/>
    <n v="8"/>
    <x v="1"/>
    <s v="NÃO"/>
    <s v="NÃO"/>
    <x v="49"/>
    <x v="1"/>
    <s v="DISPOSIÇÃO DE REJEITOS LINHA DO CIRCUITO ARENOSO DISTRIBUIDOR DI-145A-9915 PARA A PENEIRA PN-145A-9711"/>
    <m/>
    <m/>
    <m/>
    <s v="1450AA-T-70421_FL08"/>
    <n v="2"/>
    <s v="PÇ"/>
    <n v="0"/>
    <n v="0"/>
    <n v="1651.88"/>
    <n v="0"/>
    <n v="0"/>
    <n v="0.9"/>
    <n v="0.1"/>
    <m/>
    <m/>
    <x v="0"/>
    <m/>
    <m/>
    <m/>
    <m/>
    <m/>
    <m/>
    <m/>
    <m/>
    <m/>
    <m/>
    <m/>
    <m/>
    <m/>
    <m/>
    <m/>
    <m/>
    <m/>
  </r>
  <r>
    <s v="2.4.3.1.2"/>
    <s v="CMS M.60.10.000"/>
    <x v="2"/>
    <n v="1"/>
    <s v="SPOOL"/>
    <n v="8"/>
    <x v="1"/>
    <s v="NÃO"/>
    <s v="NÃO"/>
    <x v="50"/>
    <x v="1"/>
    <s v="DISPOSIÇÃO DE REJEITOS LINHA DO CIRCUITO ARENOSO DISTRIBUIDOR DI-145A-9915 PARA A PENEIRA PN-145A-9734"/>
    <m/>
    <m/>
    <m/>
    <s v="1450AA-T-70423_FL06"/>
    <n v="1"/>
    <s v="PÇ"/>
    <n v="0.15"/>
    <n v="0.15"/>
    <n v="1651.88"/>
    <n v="247.78200000000001"/>
    <n v="0"/>
    <n v="0.9"/>
    <n v="0.1"/>
    <m/>
    <m/>
    <x v="0"/>
    <m/>
    <m/>
    <m/>
    <m/>
    <m/>
    <m/>
    <m/>
    <m/>
    <m/>
    <m/>
    <m/>
    <m/>
    <m/>
    <m/>
    <m/>
    <m/>
    <m/>
  </r>
  <r>
    <s v="2.4.3.1.2"/>
    <s v="CMS M.60.10.000"/>
    <x v="2"/>
    <n v="2"/>
    <s v="SPOOL"/>
    <n v="8"/>
    <x v="1"/>
    <s v="NÃO"/>
    <s v="NÃO"/>
    <x v="50"/>
    <x v="1"/>
    <s v="DISPOSIÇÃO DE REJEITOS LINHA DO CIRCUITO ARENOSO DISTRIBUIDOR DI-145A-9915 PARA A PENEIRA PN-145A-9734"/>
    <m/>
    <m/>
    <m/>
    <s v="1450AA-T-70423_FL07"/>
    <n v="1"/>
    <s v="PÇ"/>
    <n v="0.30499999999999999"/>
    <n v="0.30499999999999999"/>
    <n v="1651.88"/>
    <n v="503.82340000000005"/>
    <n v="0"/>
    <n v="0.9"/>
    <n v="0.1"/>
    <m/>
    <m/>
    <x v="0"/>
    <m/>
    <m/>
    <m/>
    <m/>
    <m/>
    <m/>
    <m/>
    <m/>
    <m/>
    <m/>
    <m/>
    <m/>
    <m/>
    <m/>
    <m/>
    <m/>
    <m/>
  </r>
  <r>
    <s v="2.4.3.1.2"/>
    <s v="CMS M.60.10.000"/>
    <x v="2"/>
    <n v="3"/>
    <s v="SPOOL"/>
    <n v="8"/>
    <x v="1"/>
    <s v="NÃO"/>
    <s v="NÃO"/>
    <x v="50"/>
    <x v="1"/>
    <s v="DISPOSIÇÃO DE REJEITOS LINHA DO CIRCUITO ARENOSO DISTRIBUIDOR DI-145A-9915 PARA A PENEIRA PN-145A-9734"/>
    <m/>
    <m/>
    <m/>
    <s v="1450AA-T-70423_FL08"/>
    <n v="1"/>
    <s v="PÇ"/>
    <n v="1.2"/>
    <n v="1.2"/>
    <n v="1651.88"/>
    <n v="1982.2560000000001"/>
    <n v="0"/>
    <n v="0.9"/>
    <n v="0.1"/>
    <m/>
    <m/>
    <x v="0"/>
    <m/>
    <m/>
    <m/>
    <m/>
    <m/>
    <m/>
    <m/>
    <m/>
    <m/>
    <m/>
    <m/>
    <m/>
    <m/>
    <m/>
    <m/>
    <m/>
    <m/>
  </r>
  <r>
    <s v="2.4.3.1.2"/>
    <s v="CMS M.60.10.000"/>
    <x v="2"/>
    <n v="4"/>
    <s v="SPOOL"/>
    <n v="8"/>
    <x v="1"/>
    <s v="NÃO"/>
    <s v="NÃO"/>
    <x v="50"/>
    <x v="1"/>
    <s v="DISPOSIÇÃO DE REJEITOS LINHA DO CIRCUITO ARENOSO DISTRIBUIDOR DI-145A-9915 PARA A PENEIRA PN-145A-9734"/>
    <m/>
    <m/>
    <m/>
    <s v="1450AA-T-70423_FL09"/>
    <n v="2"/>
    <s v="PÇ"/>
    <n v="6"/>
    <n v="12"/>
    <n v="1651.88"/>
    <n v="19822.560000000001"/>
    <n v="0"/>
    <n v="0.9"/>
    <n v="0.1"/>
    <m/>
    <m/>
    <x v="0"/>
    <m/>
    <m/>
    <m/>
    <m/>
    <m/>
    <m/>
    <m/>
    <m/>
    <m/>
    <m/>
    <m/>
    <m/>
    <m/>
    <m/>
    <m/>
    <m/>
    <m/>
  </r>
  <r>
    <s v="2.4.3.1.2"/>
    <s v="CMS M.60.10.000"/>
    <x v="2"/>
    <n v="5"/>
    <s v="SPOOL"/>
    <n v="8"/>
    <x v="2"/>
    <s v="NÃO"/>
    <s v="NÃO"/>
    <x v="50"/>
    <x v="1"/>
    <s v="DISPOSIÇÃO DE REJEITOS LINHA DO CIRCUITO ARENOSO DISTRIBUIDOR DI-145A-9915 PARA A PENEIRA PN-145A-9734"/>
    <m/>
    <m/>
    <m/>
    <s v="1450AA-T-70423_FL10"/>
    <n v="1"/>
    <s v="PÇ"/>
    <n v="0.36"/>
    <n v="0.36"/>
    <n v="1651.88"/>
    <n v="594.67680000000007"/>
    <n v="0"/>
    <n v="0.9"/>
    <n v="0.1"/>
    <m/>
    <m/>
    <x v="0"/>
    <m/>
    <m/>
    <m/>
    <m/>
    <m/>
    <m/>
    <m/>
    <m/>
    <m/>
    <m/>
    <m/>
    <m/>
    <m/>
    <m/>
    <m/>
    <m/>
    <m/>
  </r>
  <r>
    <s v="2.4.3.1.2"/>
    <s v="CMS M.60.10.000"/>
    <x v="2"/>
    <n v="6"/>
    <s v="SPOOL"/>
    <n v="8"/>
    <x v="2"/>
    <s v="NÃO"/>
    <s v="NÃO"/>
    <x v="50"/>
    <x v="1"/>
    <s v="DISPOSIÇÃO DE REJEITOS LINHA DO CIRCUITO ARENOSO DISTRIBUIDOR DI-145A-9915 PARA A PENEIRA PN-145A-9734"/>
    <m/>
    <m/>
    <m/>
    <s v="1450AA-T-70423_FL11"/>
    <n v="1"/>
    <s v="PÇ"/>
    <n v="0.51"/>
    <n v="0.51"/>
    <n v="1651.88"/>
    <n v="842.45880000000011"/>
    <n v="0"/>
    <n v="0.9"/>
    <n v="0.1"/>
    <m/>
    <m/>
    <x v="0"/>
    <m/>
    <m/>
    <m/>
    <m/>
    <m/>
    <m/>
    <m/>
    <m/>
    <m/>
    <m/>
    <m/>
    <m/>
    <m/>
    <m/>
    <m/>
    <m/>
    <m/>
  </r>
  <r>
    <s v="2.4.3.1.2"/>
    <s v="CMS M.60.10.000"/>
    <x v="2"/>
    <n v="7"/>
    <s v="CURVA"/>
    <n v="8"/>
    <x v="1"/>
    <s v="NÃO"/>
    <s v="NÃO"/>
    <x v="50"/>
    <x v="1"/>
    <s v="DISPOSIÇÃO DE REJEITOS LINHA DO CIRCUITO ARENOSO DISTRIBUIDOR DI-145A-9915 PARA A PENEIRA PN-145A-9734"/>
    <m/>
    <m/>
    <m/>
    <s v="1450AA-T-70423_FL12"/>
    <n v="1"/>
    <s v="PÇ"/>
    <n v="0.32100000000000001"/>
    <n v="0.32100000000000001"/>
    <n v="1651.88"/>
    <n v="530.25348000000008"/>
    <n v="0"/>
    <n v="0.9"/>
    <n v="0.1"/>
    <m/>
    <m/>
    <x v="0"/>
    <m/>
    <m/>
    <m/>
    <m/>
    <m/>
    <m/>
    <m/>
    <m/>
    <m/>
    <m/>
    <m/>
    <m/>
    <m/>
    <m/>
    <m/>
    <m/>
    <m/>
  </r>
  <r>
    <s v="2.4.3.1.2"/>
    <s v="CMS M.60.10.000"/>
    <x v="2"/>
    <n v="8"/>
    <s v="CURVA"/>
    <n v="8"/>
    <x v="1"/>
    <s v="NÃO"/>
    <s v="NÃO"/>
    <x v="50"/>
    <x v="1"/>
    <s v="DISPOSIÇÃO DE REJEITOS LINHA DO CIRCUITO ARENOSO DISTRIBUIDOR DI-145A-9915 PARA A PENEIRA PN-145A-9734"/>
    <m/>
    <m/>
    <m/>
    <s v="1450AA-T-70423_FL13"/>
    <n v="1"/>
    <s v="PÇ"/>
    <n v="0.33200000000000002"/>
    <n v="0.33200000000000002"/>
    <n v="1651.88"/>
    <n v="548.42416000000003"/>
    <n v="0"/>
    <n v="0.9"/>
    <n v="0.1"/>
    <m/>
    <m/>
    <x v="0"/>
    <m/>
    <m/>
    <m/>
    <m/>
    <m/>
    <m/>
    <m/>
    <m/>
    <m/>
    <m/>
    <m/>
    <m/>
    <m/>
    <m/>
    <m/>
    <m/>
    <m/>
  </r>
  <r>
    <s v="2.4.3.1.2"/>
    <s v="CMS M.60.10.000"/>
    <x v="2"/>
    <n v="9"/>
    <s v="SPOOL"/>
    <n v="8"/>
    <x v="1"/>
    <s v="NÃO"/>
    <s v="NÃO"/>
    <x v="50"/>
    <x v="1"/>
    <s v="DISPOSIÇÃO DE REJEITOS LINHA DO CIRCUITO ARENOSO DISTRIBUIDOR DI-145A-9915 PARA A PENEIRA PN-145A-9734"/>
    <m/>
    <m/>
    <m/>
    <s v="1450AA-T-70423_FL14"/>
    <n v="1"/>
    <s v="PÇ"/>
    <n v="1.01"/>
    <n v="1.01"/>
    <n v="1651.88"/>
    <n v="1668.3988000000002"/>
    <n v="0"/>
    <n v="0.9"/>
    <n v="0.1"/>
    <m/>
    <m/>
    <x v="0"/>
    <m/>
    <m/>
    <m/>
    <m/>
    <m/>
    <m/>
    <m/>
    <m/>
    <m/>
    <m/>
    <m/>
    <m/>
    <m/>
    <m/>
    <m/>
    <m/>
    <m/>
  </r>
  <r>
    <s v="2.4.3.1.2"/>
    <s v="CMS M.60.10.000"/>
    <x v="2"/>
    <n v="1"/>
    <s v="SPOOL"/>
    <n v="8"/>
    <x v="1"/>
    <s v="NÃO"/>
    <s v="NÃO"/>
    <x v="51"/>
    <x v="1"/>
    <s v="DISPOSIÇÃO DE REJEITOS LINHA DO CIRCUITO ARENOSO DISTRIBUIDOR DI-145A-9915 PARA A PENEIRA PN-145A-9712"/>
    <m/>
    <m/>
    <m/>
    <s v="1450AA-T-70425_FL09"/>
    <n v="1"/>
    <s v="PÇ"/>
    <n v="0.81499999999999995"/>
    <n v="0.81499999999999995"/>
    <n v="1651.88"/>
    <n v="1346.2822000000001"/>
    <n v="0"/>
    <n v="0.9"/>
    <n v="0.1"/>
    <m/>
    <m/>
    <x v="0"/>
    <m/>
    <m/>
    <m/>
    <m/>
    <m/>
    <m/>
    <m/>
    <m/>
    <m/>
    <m/>
    <m/>
    <m/>
    <m/>
    <m/>
    <m/>
    <m/>
    <m/>
  </r>
  <r>
    <s v="2.4.3.1.2"/>
    <s v="CMS M.60.10.000"/>
    <x v="2"/>
    <n v="2"/>
    <s v="SPOOL"/>
    <n v="8"/>
    <x v="1"/>
    <s v="NÃO"/>
    <s v="NÃO"/>
    <x v="51"/>
    <x v="1"/>
    <s v="DISPOSIÇÃO DE REJEITOS LINHA DO CIRCUITO ARENOSO DISTRIBUIDOR DI-145A-9915 PARA A PENEIRA PN-145A-9712"/>
    <m/>
    <m/>
    <m/>
    <s v="1450AA-T-70425_FL10"/>
    <n v="1"/>
    <s v="PÇ"/>
    <n v="1"/>
    <n v="1"/>
    <n v="1651.88"/>
    <n v="1651.88"/>
    <n v="0"/>
    <n v="0.9"/>
    <n v="0.1"/>
    <m/>
    <m/>
    <x v="0"/>
    <m/>
    <m/>
    <m/>
    <m/>
    <m/>
    <m/>
    <m/>
    <m/>
    <m/>
    <m/>
    <m/>
    <m/>
    <m/>
    <m/>
    <m/>
    <m/>
    <m/>
  </r>
  <r>
    <s v="2.4.3.1.2"/>
    <s v="CMS M.60.10.000"/>
    <x v="2"/>
    <n v="3"/>
    <s v="SPOOL"/>
    <n v="8"/>
    <x v="1"/>
    <s v="NÃO"/>
    <s v="NÃO"/>
    <x v="51"/>
    <x v="1"/>
    <s v="DISPOSIÇÃO DE REJEITOS LINHA DO CIRCUITO ARENOSO DISTRIBUIDOR DI-145A-9915 PARA A PENEIRA PN-145A-9712"/>
    <m/>
    <m/>
    <m/>
    <s v="1450AA-T-70425_FL11"/>
    <n v="1"/>
    <s v="PÇ"/>
    <n v="1.1459999999999999"/>
    <n v="1.1459999999999999"/>
    <n v="1651.88"/>
    <n v="1893.05448"/>
    <n v="0"/>
    <n v="0.9"/>
    <n v="0.1"/>
    <m/>
    <m/>
    <x v="0"/>
    <m/>
    <m/>
    <m/>
    <m/>
    <m/>
    <m/>
    <m/>
    <m/>
    <m/>
    <m/>
    <m/>
    <m/>
    <m/>
    <m/>
    <m/>
    <m/>
    <m/>
  </r>
  <r>
    <s v="2.4.3.1.2"/>
    <s v="CMS M.60.10.000"/>
    <x v="2"/>
    <n v="4"/>
    <s v="SPOOL"/>
    <n v="8"/>
    <x v="1"/>
    <s v="NÃO"/>
    <s v="NÃO"/>
    <x v="51"/>
    <x v="1"/>
    <s v="DISPOSIÇÃO DE REJEITOS LINHA DO CIRCUITO ARENOSO DISTRIBUIDOR DI-145A-9915 PARA A PENEIRA PN-145A-9712"/>
    <m/>
    <m/>
    <m/>
    <s v="1450AA-T-70425_FL12"/>
    <n v="1"/>
    <s v="PÇ"/>
    <n v="1.3340000000000001"/>
    <n v="1.3340000000000001"/>
    <n v="1651.88"/>
    <n v="2203.6079200000004"/>
    <n v="0"/>
    <n v="0.9"/>
    <n v="0.1"/>
    <m/>
    <m/>
    <x v="0"/>
    <m/>
    <m/>
    <m/>
    <m/>
    <m/>
    <m/>
    <m/>
    <m/>
    <m/>
    <m/>
    <m/>
    <m/>
    <m/>
    <m/>
    <m/>
    <m/>
    <m/>
  </r>
  <r>
    <s v="2.4.3.1.2"/>
    <s v="CMS M.60.10.000"/>
    <x v="2"/>
    <n v="5"/>
    <s v="SPOOL"/>
    <n v="8"/>
    <x v="1"/>
    <s v="NÃO"/>
    <s v="NÃO"/>
    <x v="51"/>
    <x v="1"/>
    <s v="DISPOSIÇÃO DE REJEITOS LINHA DO CIRCUITO ARENOSO DISTRIBUIDOR DI-145A-9915 PARA A PENEIRA PN-145A-9712"/>
    <m/>
    <m/>
    <m/>
    <s v="1450AA-T-70425_FL13"/>
    <n v="1"/>
    <s v="PÇ"/>
    <n v="3"/>
    <n v="3"/>
    <n v="1651.88"/>
    <n v="4955.6400000000003"/>
    <n v="0"/>
    <n v="0.9"/>
    <n v="0.1"/>
    <m/>
    <m/>
    <x v="0"/>
    <m/>
    <m/>
    <m/>
    <m/>
    <m/>
    <m/>
    <m/>
    <m/>
    <m/>
    <m/>
    <m/>
    <m/>
    <m/>
    <m/>
    <m/>
    <m/>
    <m/>
  </r>
  <r>
    <s v="2.4.3.1.2"/>
    <s v="CMS M.60.10.000"/>
    <x v="2"/>
    <n v="6"/>
    <s v="SPOOL"/>
    <n v="8"/>
    <x v="1"/>
    <s v="NÃO"/>
    <s v="NÃO"/>
    <x v="51"/>
    <x v="1"/>
    <s v="DISPOSIÇÃO DE REJEITOS LINHA DO CIRCUITO ARENOSO DISTRIBUIDOR DI-145A-9915 PARA A PENEIRA PN-145A-9712"/>
    <m/>
    <m/>
    <m/>
    <s v="1450AA-T-70425_FL14"/>
    <n v="1"/>
    <s v="PÇ"/>
    <n v="3.7"/>
    <n v="3.7"/>
    <n v="1651.88"/>
    <n v="6111.956000000001"/>
    <n v="0"/>
    <n v="0.9"/>
    <n v="0.1"/>
    <m/>
    <m/>
    <x v="0"/>
    <m/>
    <m/>
    <m/>
    <m/>
    <m/>
    <m/>
    <m/>
    <m/>
    <m/>
    <m/>
    <m/>
    <m/>
    <m/>
    <m/>
    <m/>
    <m/>
    <m/>
  </r>
  <r>
    <s v="2.4.3.1.2"/>
    <s v="CMS M.60.10.000"/>
    <x v="2"/>
    <n v="7"/>
    <s v="SPOOL"/>
    <n v="8"/>
    <x v="1"/>
    <s v="NÃO"/>
    <s v="NÃO"/>
    <x v="51"/>
    <x v="1"/>
    <s v="DISPOSIÇÃO DE REJEITOS LINHA DO CIRCUITO ARENOSO DISTRIBUIDOR DI-145A-9915 PARA A PENEIRA PN-145A-9712"/>
    <m/>
    <m/>
    <m/>
    <s v="1450AA-T-70425_FL15"/>
    <n v="2"/>
    <s v="PÇ"/>
    <n v="6"/>
    <n v="12"/>
    <n v="1651.88"/>
    <n v="19822.560000000001"/>
    <n v="0"/>
    <n v="0.9"/>
    <n v="0.1"/>
    <m/>
    <m/>
    <x v="0"/>
    <m/>
    <m/>
    <m/>
    <m/>
    <m/>
    <m/>
    <m/>
    <m/>
    <m/>
    <m/>
    <m/>
    <m/>
    <m/>
    <m/>
    <m/>
    <m/>
    <m/>
  </r>
  <r>
    <s v="2.4.3.1.2"/>
    <s v="CMS M.60.10.000"/>
    <x v="2"/>
    <n v="8"/>
    <s v="SPOOL"/>
    <n v="8"/>
    <x v="2"/>
    <s v="NÃO"/>
    <s v="NÃO"/>
    <x v="51"/>
    <x v="1"/>
    <s v="DISPOSIÇÃO DE REJEITOS LINHA DO CIRCUITO ARENOSO DISTRIBUIDOR DI-145A-9915 PARA A PENEIRA PN-145A-9712"/>
    <m/>
    <m/>
    <m/>
    <s v="1450AA-T-70425_FL16"/>
    <n v="1"/>
    <s v="PÇ"/>
    <n v="0.48499999999999999"/>
    <n v="0.48499999999999999"/>
    <n v="1651.88"/>
    <n v="801.16180000000008"/>
    <n v="0"/>
    <n v="0.9"/>
    <n v="0.1"/>
    <m/>
    <m/>
    <x v="0"/>
    <m/>
    <m/>
    <m/>
    <m/>
    <m/>
    <m/>
    <m/>
    <m/>
    <m/>
    <m/>
    <m/>
    <m/>
    <m/>
    <m/>
    <m/>
    <m/>
    <m/>
  </r>
  <r>
    <s v="2.4.3.1.2"/>
    <s v="CMS M.60.10.000"/>
    <x v="2"/>
    <n v="9"/>
    <s v="SPOOL"/>
    <n v="8"/>
    <x v="2"/>
    <s v="NÃO"/>
    <s v="NÃO"/>
    <x v="51"/>
    <x v="1"/>
    <s v="DISPOSIÇÃO DE REJEITOS LINHA DO CIRCUITO ARENOSO DISTRIBUIDOR DI-145A-9915 PARA A PENEIRA PN-145A-9712"/>
    <m/>
    <m/>
    <m/>
    <s v="1450AA-T-70425_FL17"/>
    <n v="1"/>
    <s v="PÇ"/>
    <n v="0.495"/>
    <n v="0.495"/>
    <n v="1651.88"/>
    <n v="817.68060000000003"/>
    <n v="0"/>
    <n v="0.9"/>
    <n v="0.1"/>
    <m/>
    <m/>
    <x v="0"/>
    <m/>
    <m/>
    <m/>
    <m/>
    <m/>
    <m/>
    <m/>
    <m/>
    <m/>
    <m/>
    <m/>
    <m/>
    <m/>
    <m/>
    <m/>
    <m/>
    <m/>
  </r>
  <r>
    <s v="2.4.3.1.2"/>
    <s v="CMS M.60.10.000"/>
    <x v="2"/>
    <n v="10"/>
    <s v="CURVA"/>
    <n v="8"/>
    <x v="1"/>
    <s v="NÃO"/>
    <s v="NÃO"/>
    <x v="51"/>
    <x v="1"/>
    <s v="DISPOSIÇÃO DE REJEITOS LINHA DO CIRCUITO ARENOSO DISTRIBUIDOR DI-145A-9915 PARA A PENEIRA PN-145A-9712"/>
    <m/>
    <m/>
    <m/>
    <s v="1450AA-T-70425_FL18"/>
    <n v="1"/>
    <s v="PÇ"/>
    <n v="0.32100000000000001"/>
    <n v="0.32100000000000001"/>
    <n v="1651.88"/>
    <n v="530.25348000000008"/>
    <n v="0"/>
    <n v="0.9"/>
    <n v="0.1"/>
    <m/>
    <m/>
    <x v="0"/>
    <m/>
    <m/>
    <m/>
    <m/>
    <m/>
    <m/>
    <m/>
    <m/>
    <m/>
    <m/>
    <m/>
    <m/>
    <m/>
    <m/>
    <m/>
    <m/>
    <m/>
  </r>
  <r>
    <s v="2.4.3.1.2"/>
    <s v="CMS M.60.10.000"/>
    <x v="2"/>
    <n v="11"/>
    <s v="CURVA"/>
    <n v="8"/>
    <x v="1"/>
    <s v="NÃO"/>
    <s v="NÃO"/>
    <x v="51"/>
    <x v="1"/>
    <s v="DISPOSIÇÃO DE REJEITOS LINHA DO CIRCUITO ARENOSO DISTRIBUIDOR DI-145A-9915 PARA A PENEIRA PN-145A-9712"/>
    <m/>
    <m/>
    <m/>
    <s v="1450AA-T-70425_FL19"/>
    <n v="1"/>
    <s v="PÇ"/>
    <n v="0.54200000000000004"/>
    <n v="0.54200000000000004"/>
    <n v="1651.88"/>
    <n v="895.31896000000017"/>
    <n v="0"/>
    <n v="0.9"/>
    <n v="0.1"/>
    <m/>
    <m/>
    <x v="0"/>
    <m/>
    <m/>
    <m/>
    <m/>
    <m/>
    <m/>
    <m/>
    <m/>
    <m/>
    <m/>
    <m/>
    <m/>
    <m/>
    <m/>
    <m/>
    <m/>
    <m/>
  </r>
  <r>
    <s v="2.4.3.1.2"/>
    <s v="CMS M.60.10.000"/>
    <x v="2"/>
    <n v="12"/>
    <s v="CURVA"/>
    <n v="8"/>
    <x v="1"/>
    <s v="NÃO"/>
    <s v="NÃO"/>
    <x v="51"/>
    <x v="1"/>
    <s v="DISPOSIÇÃO DE REJEITOS LINHA DO CIRCUITO ARENOSO DISTRIBUIDOR DI-145A-9915 PARA A PENEIRA PN-145A-9712"/>
    <m/>
    <m/>
    <m/>
    <s v="1450AA-T-70425_FL20"/>
    <n v="2"/>
    <s v="PÇ"/>
    <n v="0.61099999999999999"/>
    <n v="1.222"/>
    <n v="1651.88"/>
    <n v="2018.59736"/>
    <n v="0"/>
    <n v="0.9"/>
    <n v="0.1"/>
    <m/>
    <m/>
    <x v="0"/>
    <m/>
    <m/>
    <m/>
    <m/>
    <m/>
    <m/>
    <m/>
    <m/>
    <m/>
    <m/>
    <m/>
    <m/>
    <m/>
    <m/>
    <m/>
    <m/>
    <m/>
  </r>
  <r>
    <s v="2.4.3.1.2"/>
    <s v="CMS M.60.10.000"/>
    <x v="2"/>
    <n v="13"/>
    <s v="CURVA"/>
    <n v="8"/>
    <x v="1"/>
    <s v="NÃO"/>
    <s v="NÃO"/>
    <x v="51"/>
    <x v="1"/>
    <s v="DISPOSIÇÃO DE REJEITOS LINHA DO CIRCUITO ARENOSO DISTRIBUIDOR DI-145A-9915 PARA A PENEIRA PN-145A-9712"/>
    <m/>
    <m/>
    <m/>
    <s v="1450AA-T-70425_FL21"/>
    <n v="1"/>
    <s v="PÇ"/>
    <n v="0.63800000000000001"/>
    <n v="0.63800000000000001"/>
    <n v="1651.88"/>
    <n v="1053.8994400000001"/>
    <n v="0"/>
    <n v="0.9"/>
    <n v="0.1"/>
    <m/>
    <m/>
    <x v="0"/>
    <m/>
    <m/>
    <m/>
    <m/>
    <m/>
    <m/>
    <m/>
    <m/>
    <m/>
    <m/>
    <m/>
    <m/>
    <m/>
    <m/>
    <m/>
    <m/>
    <m/>
  </r>
  <r>
    <s v="2.4.3.1.2"/>
    <s v="CMS M.60.10.000"/>
    <x v="2"/>
    <n v="14"/>
    <s v="SPOOL"/>
    <n v="8"/>
    <x v="1"/>
    <s v="NÃO"/>
    <s v="NÃO"/>
    <x v="51"/>
    <x v="1"/>
    <s v="DISPOSIÇÃO DE REJEITOS LINHA DO CIRCUITO ARENOSO DISTRIBUIDOR DI-145A-9915 PARA A PENEIRA PN-145A-9712"/>
    <m/>
    <m/>
    <m/>
    <s v="1450AA-T-70425_FL22"/>
    <n v="1"/>
    <s v="PÇ"/>
    <n v="0.96"/>
    <n v="0.96"/>
    <n v="1651.88"/>
    <n v="1585.8048000000001"/>
    <n v="0"/>
    <n v="0.9"/>
    <n v="0.1"/>
    <m/>
    <m/>
    <x v="0"/>
    <m/>
    <m/>
    <m/>
    <m/>
    <m/>
    <m/>
    <m/>
    <m/>
    <m/>
    <m/>
    <m/>
    <m/>
    <m/>
    <m/>
    <m/>
    <m/>
    <m/>
  </r>
  <r>
    <s v="2.4.3.1.1"/>
    <s v="CMS M.60.10.000"/>
    <x v="2"/>
    <n v="15"/>
    <s v="SPOOL"/>
    <s v="8 X 6"/>
    <x v="1"/>
    <s v="NÃO"/>
    <s v="NÃO"/>
    <x v="51"/>
    <x v="1"/>
    <s v="DISPOSIÇÃO DE REJEITOS LINHA DO CIRCUITO ARENOSO DISTRIBUIDOR DI-145A-9915 PARA A PENEIRA PN-145A-9712"/>
    <m/>
    <m/>
    <m/>
    <s v="1450AA-T-70425_FL23"/>
    <n v="1"/>
    <s v="PÇ"/>
    <n v="1.883"/>
    <n v="1.883"/>
    <n v="1169.77"/>
    <n v="2202.6769100000001"/>
    <n v="0"/>
    <n v="0.9"/>
    <n v="0.1"/>
    <m/>
    <m/>
    <x v="0"/>
    <m/>
    <m/>
    <m/>
    <m/>
    <m/>
    <m/>
    <m/>
    <m/>
    <m/>
    <m/>
    <m/>
    <m/>
    <m/>
    <m/>
    <m/>
    <m/>
    <m/>
  </r>
  <r>
    <s v="2.4.3.1.1"/>
    <s v="CMS M.60.10.000"/>
    <x v="2"/>
    <n v="16"/>
    <s v="FLANGE"/>
    <n v="6"/>
    <x v="1"/>
    <s v="NÃO"/>
    <s v="NÃO"/>
    <x v="51"/>
    <x v="1"/>
    <s v="DISPOSIÇÃO DE REJEITOS LINHA DO CIRCUITO ARENOSO DISTRIBUIDOR DI-145A-9915 PARA A PENEIRA PN-145A-9712"/>
    <m/>
    <m/>
    <m/>
    <s v="1450AA-T-70425_FL08"/>
    <n v="2"/>
    <s v="PÇ"/>
    <n v="0"/>
    <n v="0"/>
    <n v="1169.77"/>
    <n v="0"/>
    <n v="0"/>
    <n v="0.9"/>
    <n v="0.1"/>
    <m/>
    <m/>
    <x v="0"/>
    <m/>
    <m/>
    <m/>
    <m/>
    <m/>
    <m/>
    <m/>
    <m/>
    <m/>
    <m/>
    <m/>
    <m/>
    <m/>
    <m/>
    <m/>
    <m/>
    <m/>
  </r>
  <r>
    <s v="2.4.3.1.2"/>
    <s v="CMS M.60.10.000"/>
    <x v="2"/>
    <n v="1"/>
    <s v="SPOOL"/>
    <n v="8"/>
    <x v="1"/>
    <s v="NÃO"/>
    <s v="NÃO"/>
    <x v="52"/>
    <x v="1"/>
    <s v="DISPOSIÇÃO DE REJEITOS LINHA DO CIRCUITO ARENOSO DISTRIBUIDOR DI-145A-9915 PARA A PENEIRA PN-145A-9735"/>
    <m/>
    <m/>
    <m/>
    <s v="1450AA-T-70427_FL06"/>
    <n v="1"/>
    <s v="PÇ"/>
    <n v="0.23499999999999999"/>
    <n v="0.23499999999999999"/>
    <n v="1651.88"/>
    <n v="388.1918"/>
    <n v="0"/>
    <n v="0.9"/>
    <n v="0.1"/>
    <m/>
    <m/>
    <x v="0"/>
    <m/>
    <m/>
    <m/>
    <m/>
    <m/>
    <m/>
    <m/>
    <m/>
    <m/>
    <m/>
    <m/>
    <m/>
    <m/>
    <m/>
    <m/>
    <m/>
    <m/>
  </r>
  <r>
    <s v="2.4.3.1.2"/>
    <s v="CMS M.60.10.000"/>
    <x v="2"/>
    <n v="2"/>
    <s v="SPOOL"/>
    <n v="8"/>
    <x v="1"/>
    <s v="NÃO"/>
    <s v="NÃO"/>
    <x v="52"/>
    <x v="1"/>
    <s v="DISPOSIÇÃO DE REJEITOS LINHA DO CIRCUITO ARENOSO DISTRIBUIDOR DI-145A-9915 PARA A PENEIRA PN-145A-9735"/>
    <m/>
    <m/>
    <m/>
    <s v="1450AA-T-70427_FL07"/>
    <n v="3"/>
    <s v="PÇ"/>
    <n v="6"/>
    <n v="18"/>
    <n v="1651.88"/>
    <n v="29733.840000000004"/>
    <n v="0"/>
    <n v="0.9"/>
    <n v="0.1"/>
    <m/>
    <m/>
    <x v="0"/>
    <m/>
    <m/>
    <m/>
    <m/>
    <m/>
    <m/>
    <m/>
    <m/>
    <m/>
    <m/>
    <m/>
    <m/>
    <m/>
    <m/>
    <m/>
    <m/>
    <m/>
  </r>
  <r>
    <s v="2.4.3.1.2"/>
    <s v="CMS M.60.10.000"/>
    <x v="2"/>
    <n v="3"/>
    <s v="SPOOL"/>
    <n v="8"/>
    <x v="2"/>
    <s v="NÃO"/>
    <s v="NÃO"/>
    <x v="52"/>
    <x v="1"/>
    <s v="DISPOSIÇÃO DE REJEITOS LINHA DO CIRCUITO ARENOSO DISTRIBUIDOR DI-145A-9915 PARA A PENEIRA PN-145A-9735"/>
    <m/>
    <m/>
    <m/>
    <s v="1450AA-T-70427_FL08"/>
    <n v="1"/>
    <s v="PÇ"/>
    <n v="0.41"/>
    <n v="0.41"/>
    <n v="1651.88"/>
    <n v="677.27080000000001"/>
    <n v="0"/>
    <n v="0.9"/>
    <n v="0.1"/>
    <m/>
    <m/>
    <x v="0"/>
    <m/>
    <m/>
    <m/>
    <m/>
    <m/>
    <m/>
    <m/>
    <m/>
    <m/>
    <m/>
    <m/>
    <m/>
    <m/>
    <m/>
    <m/>
    <m/>
    <m/>
  </r>
  <r>
    <s v="2.4.3.1.2"/>
    <s v="CMS M.60.10.000"/>
    <x v="2"/>
    <n v="4"/>
    <s v="SPOOL"/>
    <n v="8"/>
    <x v="2"/>
    <s v="NÃO"/>
    <s v="NÃO"/>
    <x v="52"/>
    <x v="1"/>
    <s v="DISPOSIÇÃO DE REJEITOS LINHA DO CIRCUITO ARENOSO DISTRIBUIDOR DI-145A-9915 PARA A PENEIRA PN-145A-9735"/>
    <m/>
    <m/>
    <m/>
    <s v="1450AA-T-70427_FL09"/>
    <n v="1"/>
    <s v="PÇ"/>
    <n v="0.51500000000000001"/>
    <n v="0.51500000000000001"/>
    <n v="1651.88"/>
    <n v="850.71820000000002"/>
    <n v="0"/>
    <n v="0.9"/>
    <n v="0.1"/>
    <m/>
    <m/>
    <x v="0"/>
    <m/>
    <m/>
    <m/>
    <m/>
    <m/>
    <m/>
    <m/>
    <m/>
    <m/>
    <m/>
    <m/>
    <m/>
    <m/>
    <m/>
    <m/>
    <m/>
    <m/>
  </r>
  <r>
    <s v="2.4.3.1.2"/>
    <s v="CMS M.60.10.000"/>
    <x v="2"/>
    <n v="5"/>
    <s v="CURVA"/>
    <n v="8"/>
    <x v="1"/>
    <s v="NÃO"/>
    <s v="NÃO"/>
    <x v="52"/>
    <x v="1"/>
    <s v="DISPOSIÇÃO DE REJEITOS LINHA DO CIRCUITO ARENOSO DISTRIBUIDOR DI-145A-9915 PARA A PENEIRA PN-145A-9735"/>
    <m/>
    <m/>
    <m/>
    <s v="1450AA-T-70427_FL10"/>
    <n v="1"/>
    <s v="PÇ"/>
    <n v="0.32100000000000001"/>
    <n v="0.32100000000000001"/>
    <n v="1651.88"/>
    <n v="530.25348000000008"/>
    <n v="0"/>
    <n v="0.9"/>
    <n v="0.1"/>
    <m/>
    <m/>
    <x v="0"/>
    <m/>
    <m/>
    <m/>
    <m/>
    <m/>
    <m/>
    <m/>
    <m/>
    <m/>
    <m/>
    <m/>
    <m/>
    <m/>
    <m/>
    <m/>
    <m/>
    <m/>
  </r>
  <r>
    <s v="2.4.3.1.2"/>
    <s v="CMS M.60.10.000"/>
    <x v="2"/>
    <n v="6"/>
    <s v="CURVA"/>
    <n v="8"/>
    <x v="1"/>
    <s v="NÃO"/>
    <s v="NÃO"/>
    <x v="52"/>
    <x v="1"/>
    <s v="DISPOSIÇÃO DE REJEITOS LINHA DO CIRCUITO ARENOSO DISTRIBUIDOR DI-145A-9915 PARA A PENEIRA PN-145A-9735"/>
    <m/>
    <m/>
    <m/>
    <s v="1450AA-T-70427_FL11"/>
    <n v="1"/>
    <s v="PÇ"/>
    <n v="0.61099999999999999"/>
    <n v="0.61099999999999999"/>
    <n v="1651.88"/>
    <n v="1009.29868"/>
    <n v="0"/>
    <n v="0.9"/>
    <n v="0.1"/>
    <m/>
    <m/>
    <x v="0"/>
    <m/>
    <m/>
    <m/>
    <m/>
    <m/>
    <m/>
    <m/>
    <m/>
    <m/>
    <m/>
    <m/>
    <m/>
    <m/>
    <m/>
    <m/>
    <m/>
    <m/>
  </r>
  <r>
    <s v="2.4.3.1.2"/>
    <s v="CMS M.60.10.000"/>
    <x v="2"/>
    <n v="7"/>
    <s v="SPOOL"/>
    <n v="8"/>
    <x v="1"/>
    <s v="NÃO"/>
    <s v="NÃO"/>
    <x v="52"/>
    <x v="1"/>
    <s v="DISPOSIÇÃO DE REJEITOS LINHA DO CIRCUITO ARENOSO DISTRIBUIDOR DI-145A-9915 PARA A PENEIRA PN-145A-9735"/>
    <m/>
    <m/>
    <m/>
    <s v="1450AA-T-70427_FL12"/>
    <n v="1"/>
    <s v="PÇ"/>
    <n v="1.01"/>
    <n v="1.01"/>
    <n v="1651.88"/>
    <n v="1668.3988000000002"/>
    <n v="0"/>
    <n v="0.9"/>
    <n v="0.1"/>
    <m/>
    <m/>
    <x v="0"/>
    <m/>
    <m/>
    <m/>
    <m/>
    <m/>
    <m/>
    <m/>
    <m/>
    <m/>
    <m/>
    <m/>
    <m/>
    <m/>
    <m/>
    <m/>
    <m/>
    <m/>
  </r>
  <r>
    <s v="2.4.3.1.4"/>
    <s v="CMS M.60.10.000"/>
    <x v="2"/>
    <n v="1"/>
    <s v="SPOOL"/>
    <n v="12"/>
    <x v="1"/>
    <s v="NÃO"/>
    <s v="NÃO"/>
    <x v="53"/>
    <x v="2"/>
    <s v="DISPOSIÇÃO DE REJEITOS LINHA DO CIRCUITO ARENOSO DISTRIBUIDOR DI-145A-9916 PARA A PENEIRA PN-145A-9717"/>
    <m/>
    <m/>
    <m/>
    <s v="1450AA-T-70430_FL09"/>
    <n v="1"/>
    <s v="PÇ"/>
    <n v="0.34"/>
    <n v="0.34"/>
    <n v="2576.75"/>
    <n v="876.09500000000003"/>
    <n v="0"/>
    <n v="0.9"/>
    <n v="0.1"/>
    <m/>
    <m/>
    <x v="0"/>
    <m/>
    <m/>
    <m/>
    <m/>
    <m/>
    <m/>
    <m/>
    <m/>
    <m/>
    <m/>
    <m/>
    <m/>
    <m/>
    <m/>
    <m/>
    <m/>
    <m/>
  </r>
  <r>
    <s v="2.4.3.1.4"/>
    <s v="CMS M.60.10.000"/>
    <x v="2"/>
    <n v="2"/>
    <s v="CURVA"/>
    <n v="12"/>
    <x v="1"/>
    <s v="NÃO"/>
    <s v="NÃO"/>
    <x v="53"/>
    <x v="2"/>
    <s v="DISPOSIÇÃO DE REJEITOS LINHA DO CIRCUITO ARENOSO DISTRIBUIDOR DI-145A-9916 PARA A PENEIRA PN-145A-9717"/>
    <m/>
    <m/>
    <m/>
    <s v="1450AA-T-70430_FL12"/>
    <n v="2"/>
    <s v="PÇ"/>
    <n v="0.47899999999999998"/>
    <n v="0.95799999999999996"/>
    <n v="2576.75"/>
    <n v="2468.5264999999999"/>
    <n v="0"/>
    <n v="0.9"/>
    <n v="0.1"/>
    <m/>
    <m/>
    <x v="0"/>
    <m/>
    <m/>
    <m/>
    <m/>
    <m/>
    <m/>
    <m/>
    <m/>
    <m/>
    <m/>
    <m/>
    <m/>
    <m/>
    <m/>
    <m/>
    <m/>
    <m/>
  </r>
  <r>
    <s v="2.4.3.1.4"/>
    <s v="CMS M.60.10.000"/>
    <x v="2"/>
    <n v="3"/>
    <s v="SPOOL"/>
    <n v="12"/>
    <x v="2"/>
    <s v="NÃO"/>
    <s v="NÃO"/>
    <x v="53"/>
    <x v="2"/>
    <s v="DISPOSIÇÃO DE REJEITOS LINHA DO CIRCUITO ARENOSO DISTRIBUIDOR DI-145A-9916 PARA A PENEIRA PN-145A-9717"/>
    <m/>
    <m/>
    <m/>
    <s v="1450AA-T-70430_FL11"/>
    <n v="1"/>
    <s v="PÇ"/>
    <n v="0.61499999999999999"/>
    <n v="0.61499999999999999"/>
    <n v="2576.75"/>
    <n v="1584.7012500000001"/>
    <n v="0"/>
    <n v="0.9"/>
    <n v="0.1"/>
    <m/>
    <m/>
    <x v="0"/>
    <m/>
    <m/>
    <m/>
    <m/>
    <m/>
    <m/>
    <m/>
    <m/>
    <m/>
    <m/>
    <m/>
    <m/>
    <m/>
    <m/>
    <m/>
    <m/>
    <m/>
  </r>
  <r>
    <s v="2.4.3.1.4"/>
    <s v="CMS M.60.10.000"/>
    <x v="2"/>
    <n v="4"/>
    <s v="SPOOL"/>
    <n v="12"/>
    <x v="2"/>
    <s v="NÃO"/>
    <s v="NÃO"/>
    <x v="53"/>
    <x v="2"/>
    <s v="DISPOSIÇÃO DE REJEITOS LINHA DO CIRCUITO ARENOSO DISTRIBUIDOR DI-145A-9916 PARA A PENEIRA PN-145A-9717"/>
    <m/>
    <m/>
    <m/>
    <s v="1450AA-T-70430_FL10"/>
    <n v="1"/>
    <s v="PÇ"/>
    <n v="0.53"/>
    <n v="0.53"/>
    <n v="2576.75"/>
    <n v="1365.6775"/>
    <n v="0"/>
    <n v="0.9"/>
    <n v="0.1"/>
    <m/>
    <m/>
    <x v="0"/>
    <m/>
    <m/>
    <m/>
    <m/>
    <m/>
    <m/>
    <m/>
    <m/>
    <m/>
    <m/>
    <m/>
    <m/>
    <m/>
    <m/>
    <m/>
    <m/>
    <m/>
  </r>
  <r>
    <s v="2.4.3.1.2"/>
    <s v="CMS M.60.10.000"/>
    <x v="2"/>
    <n v="5"/>
    <s v="SPOOL"/>
    <s v="12 X 8"/>
    <x v="1"/>
    <s v="NÃO"/>
    <s v="NÃO"/>
    <x v="53"/>
    <x v="2"/>
    <s v="DISPOSIÇÃO DE REJEITOS LINHA DO CIRCUITO ARENOSO DISTRIBUIDOR DI-145A-9916 PARA A PENEIRA PN-145A-9717"/>
    <m/>
    <m/>
    <m/>
    <s v="1450AA-T-70430_FL13"/>
    <n v="1"/>
    <s v="PÇ"/>
    <n v="3.0649999999999999"/>
    <n v="3.0649999999999999"/>
    <n v="1651.88"/>
    <n v="5063.0122000000001"/>
    <n v="0"/>
    <n v="0.9"/>
    <n v="0.1"/>
    <m/>
    <m/>
    <x v="0"/>
    <m/>
    <m/>
    <m/>
    <m/>
    <m/>
    <m/>
    <m/>
    <m/>
    <m/>
    <m/>
    <m/>
    <m/>
    <m/>
    <m/>
    <m/>
    <m/>
    <m/>
  </r>
  <r>
    <s v="2.4.3.1.2"/>
    <s v="CMS M.60.10.000"/>
    <x v="2"/>
    <n v="6"/>
    <s v="FLANGE"/>
    <n v="8"/>
    <x v="1"/>
    <s v="NÃO"/>
    <s v="NÃO"/>
    <x v="53"/>
    <x v="2"/>
    <s v="DISPOSIÇÃO DE REJEITOS LINHA DO CIRCUITO ARENOSO DISTRIBUIDOR DI-145A-9916 PARA A PENEIRA PN-145A-9717"/>
    <m/>
    <m/>
    <m/>
    <s v="1450AA-T-70430_FL03"/>
    <n v="2"/>
    <s v="PÇ"/>
    <n v="0"/>
    <n v="0"/>
    <n v="1651.88"/>
    <n v="0"/>
    <n v="0"/>
    <n v="0.9"/>
    <n v="0.1"/>
    <m/>
    <m/>
    <x v="0"/>
    <m/>
    <m/>
    <m/>
    <m/>
    <m/>
    <m/>
    <m/>
    <m/>
    <m/>
    <m/>
    <m/>
    <m/>
    <m/>
    <m/>
    <m/>
    <m/>
    <m/>
  </r>
  <r>
    <s v="2.4.3.1.4"/>
    <s v="CMS M.60.10.000"/>
    <x v="2"/>
    <n v="1"/>
    <s v="CURVA"/>
    <n v="12"/>
    <x v="1"/>
    <s v="NÃO"/>
    <s v="NÃO"/>
    <x v="54"/>
    <x v="2"/>
    <s v="DISPOSIÇÃO DE REJEITOS LINHA DO CIRCUITO ARENOSO DISTRIBUIDOR DI-145A-9916 PARA A PENEIRA PN-145A-9716"/>
    <m/>
    <m/>
    <m/>
    <s v="1450AA-T-70432_FL13"/>
    <n v="2"/>
    <s v="PÇ"/>
    <n v="0.88"/>
    <n v="1.76"/>
    <n v="2576.75"/>
    <n v="4535.08"/>
    <n v="0"/>
    <n v="0.9"/>
    <n v="0.1"/>
    <m/>
    <m/>
    <x v="0"/>
    <m/>
    <m/>
    <m/>
    <m/>
    <m/>
    <m/>
    <m/>
    <m/>
    <m/>
    <m/>
    <m/>
    <m/>
    <m/>
    <m/>
    <m/>
    <m/>
    <m/>
  </r>
  <r>
    <s v="2.4.3.1.4"/>
    <s v="CMS M.60.10.000"/>
    <x v="2"/>
    <n v="2"/>
    <s v="SPOOL"/>
    <n v="12"/>
    <x v="1"/>
    <s v="NÃO"/>
    <s v="NÃO"/>
    <x v="54"/>
    <x v="2"/>
    <s v="DISPOSIÇÃO DE REJEITOS LINHA DO CIRCUITO ARENOSO DISTRIBUIDOR DI-145A-9916 PARA A PENEIRA PN-145A-9716"/>
    <m/>
    <m/>
    <m/>
    <s v="1450AA-T-70432_FL09"/>
    <n v="1"/>
    <s v="PÇ"/>
    <n v="0.29099999999999998"/>
    <n v="0.29099999999999998"/>
    <n v="2576.75"/>
    <n v="749.83425"/>
    <n v="0"/>
    <n v="0.9"/>
    <n v="0.1"/>
    <m/>
    <m/>
    <x v="0"/>
    <m/>
    <m/>
    <m/>
    <m/>
    <m/>
    <m/>
    <m/>
    <m/>
    <m/>
    <m/>
    <m/>
    <m/>
    <m/>
    <m/>
    <m/>
    <m/>
    <m/>
  </r>
  <r>
    <s v="2.4.3.1.4"/>
    <s v="CMS M.60.10.000"/>
    <x v="2"/>
    <n v="3"/>
    <s v="SPOOL"/>
    <n v="12"/>
    <x v="2"/>
    <s v="NÃO"/>
    <s v="NÃO"/>
    <x v="54"/>
    <x v="2"/>
    <s v="DISPOSIÇÃO DE REJEITOS LINHA DO CIRCUITO ARENOSO DISTRIBUIDOR DI-145A-9916 PARA A PENEIRA PN-145A-9716"/>
    <m/>
    <m/>
    <m/>
    <s v="1450AA-T-70432_FL11"/>
    <n v="1"/>
    <s v="PÇ"/>
    <n v="0.33"/>
    <n v="0.33"/>
    <n v="2576.75"/>
    <n v="850.32749999999999"/>
    <n v="0"/>
    <n v="0.9"/>
    <n v="0.1"/>
    <m/>
    <m/>
    <x v="0"/>
    <m/>
    <m/>
    <m/>
    <m/>
    <m/>
    <m/>
    <m/>
    <m/>
    <m/>
    <m/>
    <m/>
    <m/>
    <m/>
    <m/>
    <m/>
    <m/>
    <m/>
  </r>
  <r>
    <s v="2.4.3.1.4"/>
    <s v="CMS M.60.10.000"/>
    <x v="2"/>
    <n v="4"/>
    <s v="SPOOL"/>
    <n v="12"/>
    <x v="1"/>
    <s v="NÃO"/>
    <s v="NÃO"/>
    <x v="54"/>
    <x v="2"/>
    <s v="DISPOSIÇÃO DE REJEITOS LINHA DO CIRCUITO ARENOSO DISTRIBUIDOR DI-145A-9916 PARA A PENEIRA PN-145A-9716"/>
    <m/>
    <m/>
    <m/>
    <s v="1450AA-T-70432_FL10"/>
    <n v="1"/>
    <s v="PÇ"/>
    <n v="2"/>
    <n v="2"/>
    <n v="2576.75"/>
    <n v="5153.5"/>
    <n v="0"/>
    <n v="0.9"/>
    <n v="0.1"/>
    <m/>
    <m/>
    <x v="0"/>
    <m/>
    <m/>
    <m/>
    <m/>
    <m/>
    <m/>
    <m/>
    <m/>
    <m/>
    <m/>
    <m/>
    <m/>
    <m/>
    <m/>
    <m/>
    <m/>
    <m/>
  </r>
  <r>
    <s v="2.4.3.1.4"/>
    <s v="CMS M.60.10.000"/>
    <x v="2"/>
    <n v="5"/>
    <s v="SPOOL"/>
    <n v="12"/>
    <x v="2"/>
    <s v="NÃO"/>
    <s v="NÃO"/>
    <x v="54"/>
    <x v="2"/>
    <s v="DISPOSIÇÃO DE REJEITOS LINHA DO CIRCUITO ARENOSO DISTRIBUIDOR DI-145A-9916 PARA A PENEIRA PN-145A-9716"/>
    <m/>
    <m/>
    <m/>
    <s v="1450AA-T-70432_FL12"/>
    <n v="1"/>
    <s v="PÇ"/>
    <n v="0.57999999999999996"/>
    <n v="0.57999999999999996"/>
    <n v="2576.75"/>
    <n v="1494.5149999999999"/>
    <n v="0"/>
    <n v="0.9"/>
    <n v="0.1"/>
    <m/>
    <m/>
    <x v="0"/>
    <m/>
    <m/>
    <m/>
    <m/>
    <m/>
    <m/>
    <m/>
    <m/>
    <m/>
    <m/>
    <m/>
    <m/>
    <m/>
    <m/>
    <m/>
    <m/>
    <m/>
  </r>
  <r>
    <s v="2.4.3.1.2"/>
    <s v="CMS M.60.10.000"/>
    <x v="2"/>
    <n v="6"/>
    <s v="SPOOL"/>
    <s v="12 X 8"/>
    <x v="1"/>
    <s v="NÃO"/>
    <s v="NÃO"/>
    <x v="54"/>
    <x v="2"/>
    <s v="DISPOSIÇÃO DE REJEITOS LINHA DO CIRCUITO ARENOSO DISTRIBUIDOR DI-145A-9916 PARA A PENEIRA PN-145A-9716"/>
    <m/>
    <m/>
    <m/>
    <s v="1450AA-T-70432_FL14"/>
    <n v="1"/>
    <s v="PÇ"/>
    <n v="3.0649999999999999"/>
    <n v="3.0649999999999999"/>
    <n v="1651.88"/>
    <n v="5063.0122000000001"/>
    <n v="0"/>
    <n v="0.9"/>
    <n v="0.1"/>
    <m/>
    <m/>
    <x v="0"/>
    <m/>
    <m/>
    <m/>
    <m/>
    <m/>
    <m/>
    <m/>
    <m/>
    <m/>
    <m/>
    <m/>
    <m/>
    <m/>
    <m/>
    <m/>
    <m/>
    <m/>
  </r>
  <r>
    <s v="2.4.3.1.2"/>
    <s v="CMS M.60.10.000"/>
    <x v="2"/>
    <n v="7"/>
    <s v="FLANGE"/>
    <n v="8"/>
    <x v="1"/>
    <s v="NÃO"/>
    <s v="NÃO"/>
    <x v="54"/>
    <x v="2"/>
    <s v="DISPOSIÇÃO DE REJEITOS LINHA DO CIRCUITO ARENOSO DISTRIBUIDOR DI-145A-9916 PARA A PENEIRA PN-145A-9716"/>
    <m/>
    <m/>
    <m/>
    <s v="1450AA-T-70432_FL03"/>
    <n v="2"/>
    <s v="PÇ"/>
    <n v="0"/>
    <n v="0"/>
    <n v="1651.88"/>
    <n v="0"/>
    <n v="0"/>
    <n v="0.9"/>
    <n v="0.1"/>
    <m/>
    <m/>
    <x v="0"/>
    <m/>
    <m/>
    <m/>
    <m/>
    <m/>
    <m/>
    <m/>
    <m/>
    <m/>
    <m/>
    <m/>
    <m/>
    <m/>
    <m/>
    <m/>
    <m/>
    <m/>
  </r>
  <r>
    <n v="0"/>
    <s v="CMS M.60.10.000"/>
    <x v="2"/>
    <n v="1"/>
    <s v="SPOOL"/>
    <n v="18"/>
    <x v="1"/>
    <s v="SIM"/>
    <s v="NÃO"/>
    <x v="4"/>
    <x v="3"/>
    <s v="DISPOSIÇÃO DE REJEITOS LINHA DO CIRCUITO ULTRAFINO DISTRIBUIDOR DI-145A-9903 "/>
    <m/>
    <m/>
    <m/>
    <s v="-"/>
    <n v="1"/>
    <s v="PÇ"/>
    <n v="0.89300000000000002"/>
    <n v="0.89300000000000002"/>
    <n v="0"/>
    <n v="0"/>
    <n v="0"/>
    <n v="0.9"/>
    <n v="0.1"/>
    <m/>
    <m/>
    <x v="0"/>
    <m/>
    <m/>
    <m/>
    <m/>
    <m/>
    <m/>
    <m/>
    <m/>
    <m/>
    <m/>
    <m/>
    <m/>
    <m/>
    <m/>
    <m/>
    <m/>
    <m/>
  </r>
  <r>
    <s v="2.4.3.1.5"/>
    <s v="CMS M.60.10.000"/>
    <x v="2"/>
    <n v="1"/>
    <s v="SPOOL"/>
    <n v="14"/>
    <x v="1"/>
    <s v="SIM"/>
    <s v="NÃO"/>
    <x v="4"/>
    <x v="3"/>
    <s v="DISPOSIÇÃO DE REJEITOS LINHA DO CIRCUITO ULTRAFINO DISTRIBUIDOR DI-145A-9903 "/>
    <m/>
    <m/>
    <m/>
    <s v="-"/>
    <n v="6"/>
    <s v="PÇ"/>
    <n v="0.36099999999999999"/>
    <n v="2.1659999999999999"/>
    <n v="2725.4"/>
    <n v="5903.2164000000002"/>
    <n v="0"/>
    <n v="0.9"/>
    <n v="0.1"/>
    <m/>
    <m/>
    <x v="0"/>
    <m/>
    <m/>
    <m/>
    <m/>
    <m/>
    <m/>
    <m/>
    <m/>
    <m/>
    <m/>
    <m/>
    <m/>
    <m/>
    <m/>
    <m/>
    <m/>
    <m/>
  </r>
  <r>
    <s v="2.4.3.1.3"/>
    <s v="CMS M.60.10.000"/>
    <x v="2"/>
    <n v="1"/>
    <s v="SPOOL"/>
    <n v="10"/>
    <x v="1"/>
    <s v="NÃO"/>
    <s v="NÃO"/>
    <x v="55"/>
    <x v="3"/>
    <s v="DISPOSIÇÃO DE REJEITOS LINHA DO CIRCUITO ULTRAFINO UNDER DO ES-145A-9901 PARA DISTRIBUIDOR DI-145A-9903"/>
    <m/>
    <m/>
    <m/>
    <s v="1450AA-T-70437_FL15"/>
    <n v="1"/>
    <s v="PÇ"/>
    <n v="4"/>
    <n v="4"/>
    <n v="2238.89"/>
    <n v="8955.56"/>
    <n v="0"/>
    <n v="0.9"/>
    <n v="0.1"/>
    <m/>
    <m/>
    <x v="0"/>
    <m/>
    <m/>
    <m/>
    <m/>
    <m/>
    <m/>
    <m/>
    <m/>
    <m/>
    <m/>
    <m/>
    <m/>
    <m/>
    <m/>
    <m/>
    <m/>
    <m/>
  </r>
  <r>
    <s v="2.4.3.1.3"/>
    <s v="CMS M.60.10.000"/>
    <x v="2"/>
    <n v="2"/>
    <s v="SPOOL"/>
    <n v="10"/>
    <x v="1"/>
    <s v="NÃO"/>
    <s v="NÃO"/>
    <x v="55"/>
    <x v="3"/>
    <s v="DISPOSIÇÃO DE REJEITOS LINHA DO CIRCUITO ULTRAFINO UNDER DO ES-145A-9901 PARA DISTRIBUIDOR DI-145A-9903"/>
    <m/>
    <m/>
    <m/>
    <s v="1450AA-T-70437_FL08"/>
    <n v="1"/>
    <s v="PÇ"/>
    <n v="1.5"/>
    <n v="1.5"/>
    <n v="2238.89"/>
    <n v="3358.335"/>
    <n v="0"/>
    <n v="0.9"/>
    <n v="0.1"/>
    <m/>
    <m/>
    <x v="0"/>
    <m/>
    <m/>
    <m/>
    <m/>
    <m/>
    <m/>
    <m/>
    <m/>
    <m/>
    <m/>
    <m/>
    <m/>
    <m/>
    <m/>
    <m/>
    <m/>
    <m/>
  </r>
  <r>
    <s v="2.4.3.1.3"/>
    <s v="CMS M.60.10.000"/>
    <x v="2"/>
    <n v="3"/>
    <s v="SPOOL"/>
    <n v="10"/>
    <x v="1"/>
    <s v="NÃO"/>
    <s v="NÃO"/>
    <x v="55"/>
    <x v="3"/>
    <s v="DISPOSIÇÃO DE REJEITOS LINHA DO CIRCUITO ULTRAFINO UNDER DO ES-145A-9901 PARA DISTRIBUIDOR DI-145A-9903"/>
    <m/>
    <m/>
    <m/>
    <s v="1450AA-T-70437_FL12"/>
    <n v="3"/>
    <s v="PÇ"/>
    <n v="2.5"/>
    <n v="7.5"/>
    <n v="2238.89"/>
    <n v="16791.674999999999"/>
    <n v="0"/>
    <n v="0.9"/>
    <n v="0.1"/>
    <m/>
    <m/>
    <x v="0"/>
    <m/>
    <m/>
    <m/>
    <m/>
    <m/>
    <m/>
    <m/>
    <m/>
    <m/>
    <m/>
    <m/>
    <m/>
    <m/>
    <m/>
    <m/>
    <m/>
    <m/>
  </r>
  <r>
    <s v="2.4.3.1.3"/>
    <s v="CMS M.60.10.000"/>
    <x v="2"/>
    <n v="4"/>
    <s v="SPOOL"/>
    <n v="10"/>
    <x v="1"/>
    <s v="NÃO"/>
    <s v="NÃO"/>
    <x v="55"/>
    <x v="3"/>
    <s v="DISPOSIÇÃO DE REJEITOS LINHA DO CIRCUITO ULTRAFINO UNDER DO ES-145A-9901 PARA DISTRIBUIDOR DI-145A-9903"/>
    <m/>
    <m/>
    <m/>
    <s v="1450AA-T-70437_FL17"/>
    <n v="4"/>
    <s v="PÇ"/>
    <n v="6"/>
    <n v="24"/>
    <n v="2238.89"/>
    <n v="53733.36"/>
    <n v="0"/>
    <n v="0.9"/>
    <n v="0.1"/>
    <m/>
    <m/>
    <x v="0"/>
    <m/>
    <m/>
    <m/>
    <m/>
    <m/>
    <m/>
    <m/>
    <m/>
    <m/>
    <m/>
    <m/>
    <m/>
    <m/>
    <m/>
    <m/>
    <m/>
    <m/>
  </r>
  <r>
    <s v="2.4.3.1.3"/>
    <s v="CMS M.60.10.000"/>
    <x v="2"/>
    <n v="5"/>
    <s v="SPOOL"/>
    <n v="10"/>
    <x v="1"/>
    <s v="NÃO"/>
    <s v="NÃO"/>
    <x v="55"/>
    <x v="3"/>
    <s v="DISPOSIÇÃO DE REJEITOS LINHA DO CIRCUITO ULTRAFINO UNDER DO ES-145A-9901 PARA DISTRIBUIDOR DI-145A-9903"/>
    <m/>
    <m/>
    <m/>
    <s v="1450AA-T-70437_FL14"/>
    <n v="1"/>
    <s v="PÇ"/>
    <n v="3.5"/>
    <n v="3.5"/>
    <n v="2238.89"/>
    <n v="7836.1149999999998"/>
    <n v="0"/>
    <n v="0.9"/>
    <n v="0.1"/>
    <m/>
    <m/>
    <x v="0"/>
    <m/>
    <m/>
    <m/>
    <m/>
    <m/>
    <m/>
    <m/>
    <m/>
    <m/>
    <m/>
    <m/>
    <m/>
    <m/>
    <m/>
    <m/>
    <m/>
    <m/>
  </r>
  <r>
    <s v="2.4.3.1.3"/>
    <s v="CMS M.60.10.000"/>
    <x v="2"/>
    <n v="6"/>
    <s v="SPOOL"/>
    <n v="10"/>
    <x v="2"/>
    <s v="NÃO"/>
    <s v="NÃO"/>
    <x v="55"/>
    <x v="3"/>
    <s v="DISPOSIÇÃO DE REJEITOS LINHA DO CIRCUITO ULTRAFINO UNDER DO ES-145A-9901 PARA DISTRIBUIDOR DI-145A-9903"/>
    <m/>
    <m/>
    <m/>
    <s v="1450AA-T-70437_FL28"/>
    <n v="1"/>
    <s v="PÇ"/>
    <n v="0.97"/>
    <n v="0.97"/>
    <n v="2238.89"/>
    <n v="2171.7232999999997"/>
    <n v="0"/>
    <n v="0.9"/>
    <n v="0.1"/>
    <m/>
    <m/>
    <x v="0"/>
    <m/>
    <m/>
    <m/>
    <m/>
    <m/>
    <m/>
    <m/>
    <m/>
    <m/>
    <m/>
    <m/>
    <m/>
    <m/>
    <m/>
    <m/>
    <m/>
    <m/>
  </r>
  <r>
    <s v="2.4.3.1.3"/>
    <s v="CMS M.60.10.000"/>
    <x v="2"/>
    <n v="7"/>
    <s v="SPOOL"/>
    <n v="10"/>
    <x v="2"/>
    <s v="NÃO"/>
    <s v="NÃO"/>
    <x v="55"/>
    <x v="3"/>
    <s v="DISPOSIÇÃO DE REJEITOS LINHA DO CIRCUITO ULTRAFINO UNDER DO ES-145A-9901 PARA DISTRIBUIDOR DI-145A-9903"/>
    <m/>
    <m/>
    <m/>
    <s v="1450AA-T-70437_FL23"/>
    <n v="1"/>
    <s v="PÇ"/>
    <n v="0.66500000000000004"/>
    <n v="0.66500000000000004"/>
    <n v="2238.89"/>
    <n v="1488.86185"/>
    <n v="0"/>
    <n v="0.9"/>
    <n v="0.1"/>
    <m/>
    <m/>
    <x v="0"/>
    <m/>
    <m/>
    <m/>
    <m/>
    <m/>
    <m/>
    <m/>
    <m/>
    <m/>
    <m/>
    <m/>
    <m/>
    <m/>
    <m/>
    <m/>
    <m/>
    <m/>
  </r>
  <r>
    <s v="2.4.3.1.3"/>
    <s v="CMS M.60.10.000"/>
    <x v="2"/>
    <n v="8"/>
    <s v="SPOOL"/>
    <n v="10"/>
    <x v="2"/>
    <s v="NÃO"/>
    <s v="NÃO"/>
    <x v="55"/>
    <x v="3"/>
    <s v="DISPOSIÇÃO DE REJEITOS LINHA DO CIRCUITO ULTRAFINO UNDER DO ES-145A-9901 PARA DISTRIBUIDOR DI-145A-9903"/>
    <m/>
    <m/>
    <m/>
    <s v="1450AA-T-70437_FL26"/>
    <n v="1"/>
    <s v="PÇ"/>
    <n v="0.9"/>
    <n v="0.9"/>
    <n v="2238.89"/>
    <n v="2015.001"/>
    <n v="0"/>
    <n v="0.9"/>
    <n v="0.1"/>
    <m/>
    <m/>
    <x v="0"/>
    <m/>
    <m/>
    <m/>
    <m/>
    <m/>
    <m/>
    <m/>
    <m/>
    <m/>
    <m/>
    <m/>
    <m/>
    <m/>
    <m/>
    <m/>
    <m/>
    <m/>
  </r>
  <r>
    <s v="2.4.3.1.3"/>
    <s v="CMS M.60.10.000"/>
    <x v="2"/>
    <n v="9"/>
    <s v="SPOOL"/>
    <n v="10"/>
    <x v="2"/>
    <s v="NÃO"/>
    <s v="NÃO"/>
    <x v="55"/>
    <x v="3"/>
    <s v="DISPOSIÇÃO DE REJEITOS LINHA DO CIRCUITO ULTRAFINO UNDER DO ES-145A-9901 PARA DISTRIBUIDOR DI-145A-9903"/>
    <m/>
    <m/>
    <m/>
    <s v="1450AA-T-70437_FL25"/>
    <n v="1"/>
    <s v="PÇ"/>
    <n v="0.82"/>
    <n v="0.82"/>
    <n v="2238.89"/>
    <n v="1835.8897999999997"/>
    <n v="0"/>
    <n v="0.9"/>
    <n v="0.1"/>
    <m/>
    <m/>
    <x v="0"/>
    <m/>
    <m/>
    <m/>
    <m/>
    <m/>
    <m/>
    <m/>
    <m/>
    <m/>
    <m/>
    <m/>
    <m/>
    <m/>
    <m/>
    <m/>
    <m/>
    <m/>
  </r>
  <r>
    <s v="2.4.3.1.3"/>
    <s v="CMS M.60.10.000"/>
    <x v="2"/>
    <n v="10"/>
    <s v="SPOOL"/>
    <n v="10"/>
    <x v="2"/>
    <s v="NÃO"/>
    <s v="NÃO"/>
    <x v="55"/>
    <x v="3"/>
    <s v="DISPOSIÇÃO DE REJEITOS LINHA DO CIRCUITO ULTRAFINO UNDER DO ES-145A-9901 PARA DISTRIBUIDOR DI-145A-9903"/>
    <m/>
    <m/>
    <m/>
    <s v="1450AA-T-70437_FL21"/>
    <n v="1"/>
    <s v="PÇ"/>
    <n v="0.6"/>
    <n v="0.6"/>
    <n v="2238.89"/>
    <n v="1343.3339999999998"/>
    <n v="0"/>
    <n v="0.9"/>
    <n v="0.1"/>
    <m/>
    <m/>
    <x v="0"/>
    <m/>
    <m/>
    <m/>
    <m/>
    <m/>
    <m/>
    <m/>
    <m/>
    <m/>
    <m/>
    <m/>
    <m/>
    <m/>
    <m/>
    <m/>
    <m/>
    <m/>
  </r>
  <r>
    <s v="2.4.3.1.3"/>
    <s v="CMS M.60.10.000"/>
    <x v="2"/>
    <n v="11"/>
    <s v="SPOOL"/>
    <n v="10"/>
    <x v="2"/>
    <s v="NÃO"/>
    <s v="NÃO"/>
    <x v="55"/>
    <x v="3"/>
    <s v="DISPOSIÇÃO DE REJEITOS LINHA DO CIRCUITO ULTRAFINO UNDER DO ES-145A-9901 PARA DISTRIBUIDOR DI-145A-9903"/>
    <m/>
    <m/>
    <m/>
    <s v="1450AA-T-70437_FL22"/>
    <n v="1"/>
    <s v="PÇ"/>
    <n v="0.62"/>
    <n v="0.62"/>
    <n v="2238.89"/>
    <n v="1388.1117999999999"/>
    <n v="0"/>
    <n v="0.9"/>
    <n v="0.1"/>
    <m/>
    <m/>
    <x v="0"/>
    <m/>
    <m/>
    <m/>
    <m/>
    <m/>
    <m/>
    <m/>
    <m/>
    <m/>
    <m/>
    <m/>
    <m/>
    <m/>
    <m/>
    <m/>
    <m/>
    <m/>
  </r>
  <r>
    <s v="2.4.3.1.3"/>
    <s v="CMS M.60.10.000"/>
    <x v="2"/>
    <n v="12"/>
    <s v="CURVA"/>
    <n v="10"/>
    <x v="1"/>
    <s v="NÃO"/>
    <s v="NÃO"/>
    <x v="55"/>
    <x v="3"/>
    <s v="DISPOSIÇÃO DE REJEITOS LINHA DO CIRCUITO ULTRAFINO UNDER DO ES-145A-9901 PARA DISTRIBUIDOR DI-145A-9903"/>
    <m/>
    <m/>
    <m/>
    <s v="1450AA-T-70437_FL34"/>
    <n v="1"/>
    <s v="PÇ"/>
    <n v="0.69799999999999995"/>
    <n v="0.69799999999999995"/>
    <n v="2238.89"/>
    <n v="1562.7452199999998"/>
    <n v="0"/>
    <n v="0.9"/>
    <n v="0.1"/>
    <m/>
    <m/>
    <x v="0"/>
    <m/>
    <m/>
    <m/>
    <m/>
    <m/>
    <m/>
    <m/>
    <m/>
    <m/>
    <m/>
    <m/>
    <m/>
    <m/>
    <m/>
    <m/>
    <m/>
    <m/>
  </r>
  <r>
    <s v="2.4.3.1.3"/>
    <s v="CMS M.60.10.000"/>
    <x v="2"/>
    <n v="13"/>
    <s v="CURVA"/>
    <n v="10"/>
    <x v="1"/>
    <s v="NÃO"/>
    <s v="NÃO"/>
    <x v="55"/>
    <x v="3"/>
    <s v="DISPOSIÇÃO DE REJEITOS LINHA DO CIRCUITO ULTRAFINO UNDER DO ES-145A-9901 PARA DISTRIBUIDOR DI-145A-9903"/>
    <m/>
    <m/>
    <m/>
    <s v="1450AA-T-70437_FL41"/>
    <n v="2"/>
    <s v="PÇ"/>
    <n v="1.4059999999999999"/>
    <n v="2.8119999999999998"/>
    <n v="2238.89"/>
    <n v="6295.758679999999"/>
    <n v="0"/>
    <n v="0.9"/>
    <n v="0.1"/>
    <m/>
    <m/>
    <x v="0"/>
    <m/>
    <m/>
    <m/>
    <m/>
    <m/>
    <m/>
    <m/>
    <m/>
    <m/>
    <m/>
    <m/>
    <m/>
    <m/>
    <m/>
    <m/>
    <m/>
    <m/>
  </r>
  <r>
    <s v="2.4.3.1.3"/>
    <s v="CMS M.60.10.000"/>
    <x v="2"/>
    <n v="14"/>
    <s v="CURVA"/>
    <n v="10"/>
    <x v="1"/>
    <s v="NÃO"/>
    <s v="NÃO"/>
    <x v="55"/>
    <x v="3"/>
    <s v="DISPOSIÇÃO DE REJEITOS LINHA DO CIRCUITO ULTRAFINO UNDER DO ES-145A-9901 PARA DISTRIBUIDOR DI-145A-9903"/>
    <m/>
    <m/>
    <m/>
    <s v="1450AA-T-70437_FL36"/>
    <n v="1"/>
    <s v="PÇ"/>
    <n v="0.92700000000000005"/>
    <n v="0.92700000000000005"/>
    <n v="2238.89"/>
    <n v="2075.4510300000002"/>
    <n v="0"/>
    <n v="0.9"/>
    <n v="0.1"/>
    <m/>
    <m/>
    <x v="0"/>
    <m/>
    <m/>
    <m/>
    <m/>
    <m/>
    <m/>
    <m/>
    <m/>
    <m/>
    <m/>
    <m/>
    <m/>
    <m/>
    <m/>
    <m/>
    <m/>
    <m/>
  </r>
  <r>
    <s v="2.4.3.1.3"/>
    <s v="CMS M.60.10.000"/>
    <x v="2"/>
    <n v="15"/>
    <s v="CURVA"/>
    <n v="10"/>
    <x v="1"/>
    <s v="NÃO"/>
    <s v="NÃO"/>
    <x v="55"/>
    <x v="3"/>
    <s v="DISPOSIÇÃO DE REJEITOS LINHA DO CIRCUITO ULTRAFINO UNDER DO ES-145A-9901 PARA DISTRIBUIDOR DI-145A-9903"/>
    <m/>
    <m/>
    <m/>
    <s v="1450AA-T-70437_FL39"/>
    <n v="1"/>
    <s v="PÇ"/>
    <n v="1.36"/>
    <n v="1.36"/>
    <n v="2238.89"/>
    <n v="3044.8904000000002"/>
    <n v="0"/>
    <n v="0.9"/>
    <n v="0.1"/>
    <m/>
    <m/>
    <x v="0"/>
    <m/>
    <m/>
    <m/>
    <m/>
    <m/>
    <m/>
    <m/>
    <m/>
    <m/>
    <m/>
    <m/>
    <m/>
    <m/>
    <m/>
    <m/>
    <m/>
    <m/>
  </r>
  <r>
    <s v="2.4.3.1.3"/>
    <s v="CMS M.60.10.000"/>
    <x v="2"/>
    <n v="16"/>
    <s v="CURVA"/>
    <n v="10"/>
    <x v="1"/>
    <s v="NÃO"/>
    <s v="NÃO"/>
    <x v="55"/>
    <x v="3"/>
    <s v="DISPOSIÇÃO DE REJEITOS LINHA DO CIRCUITO ULTRAFINO UNDER DO ES-145A-9901 PARA DISTRIBUIDOR DI-145A-9903"/>
    <m/>
    <m/>
    <m/>
    <s v="1450AA-T-70437_FL35"/>
    <n v="1"/>
    <s v="PÇ"/>
    <n v="0.77500000000000002"/>
    <n v="0.77500000000000002"/>
    <n v="2238.89"/>
    <n v="1735.13975"/>
    <n v="0"/>
    <n v="0.9"/>
    <n v="0.1"/>
    <m/>
    <m/>
    <x v="0"/>
    <m/>
    <m/>
    <m/>
    <m/>
    <m/>
    <m/>
    <m/>
    <m/>
    <m/>
    <m/>
    <m/>
    <m/>
    <m/>
    <m/>
    <m/>
    <m/>
    <m/>
  </r>
  <r>
    <s v="2.4.3.1.3"/>
    <s v="CMS M.60.10.000"/>
    <x v="2"/>
    <n v="17"/>
    <s v="CURVA"/>
    <n v="10"/>
    <x v="1"/>
    <s v="NÃO"/>
    <s v="NÃO"/>
    <x v="55"/>
    <x v="3"/>
    <s v="DISPOSIÇÃO DE REJEITOS LINHA DO CIRCUITO ULTRAFINO UNDER DO ES-145A-9901 PARA DISTRIBUIDOR DI-145A-9903"/>
    <m/>
    <m/>
    <m/>
    <s v="1450AA-T-70437_FL37"/>
    <n v="1"/>
    <s v="PÇ"/>
    <n v="1.2190000000000001"/>
    <n v="1.2190000000000001"/>
    <n v="2238.89"/>
    <n v="2729.2069099999999"/>
    <n v="0"/>
    <n v="0.9"/>
    <n v="0.1"/>
    <m/>
    <m/>
    <x v="0"/>
    <m/>
    <m/>
    <m/>
    <m/>
    <m/>
    <m/>
    <m/>
    <m/>
    <m/>
    <m/>
    <m/>
    <m/>
    <m/>
    <m/>
    <m/>
    <m/>
    <m/>
  </r>
  <r>
    <s v="2.4.3.1.3"/>
    <s v="CMS M.60.10.000"/>
    <x v="2"/>
    <n v="18"/>
    <s v="CURVA"/>
    <n v="10"/>
    <x v="1"/>
    <s v="NÃO"/>
    <s v="NÃO"/>
    <x v="55"/>
    <x v="3"/>
    <s v="DISPOSIÇÃO DE REJEITOS LINHA DO CIRCUITO ULTRAFINO UNDER DO ES-145A-9901 PARA DISTRIBUIDOR DI-145A-9903"/>
    <m/>
    <m/>
    <m/>
    <s v="1450AA-T-70437_FL40"/>
    <n v="1"/>
    <s v="PÇ"/>
    <n v="1.3759999999999999"/>
    <n v="1.3759999999999999"/>
    <n v="2238.89"/>
    <n v="3080.7126399999997"/>
    <n v="0"/>
    <n v="0.9"/>
    <n v="0.1"/>
    <m/>
    <m/>
    <x v="0"/>
    <m/>
    <m/>
    <m/>
    <m/>
    <m/>
    <m/>
    <m/>
    <m/>
    <m/>
    <m/>
    <m/>
    <m/>
    <m/>
    <m/>
    <m/>
    <m/>
    <m/>
  </r>
  <r>
    <s v="2.4.3.1.1"/>
    <s v="CMS M.60.10.000"/>
    <x v="2"/>
    <n v="1"/>
    <s v="SPOOL"/>
    <n v="6"/>
    <x v="1"/>
    <s v="NÃO"/>
    <s v="NÃO"/>
    <x v="56"/>
    <x v="3"/>
    <s v="DISPOSIÇÃO DE REJEITOS LINHA DO CIRCUITO ULTRAFINO DISTRIBUIDOR DI-145A-9905 PARA A PENEIRA PN-145A-9726"/>
    <m/>
    <m/>
    <m/>
    <s v="1450AA-T-70442_FL11"/>
    <n v="1"/>
    <s v="PÇ"/>
    <n v="2.5"/>
    <n v="2.5"/>
    <n v="1169.77"/>
    <n v="2924.4250000000002"/>
    <n v="0"/>
    <n v="0.9"/>
    <n v="0.1"/>
    <m/>
    <m/>
    <x v="0"/>
    <m/>
    <m/>
    <m/>
    <m/>
    <m/>
    <m/>
    <m/>
    <m/>
    <m/>
    <m/>
    <m/>
    <m/>
    <m/>
    <m/>
    <m/>
    <m/>
    <m/>
  </r>
  <r>
    <s v="2.4.3.1.1"/>
    <s v="CMS M.60.10.000"/>
    <x v="2"/>
    <n v="2"/>
    <s v="SPOOL"/>
    <n v="6"/>
    <x v="1"/>
    <s v="NÃO"/>
    <s v="NÃO"/>
    <x v="56"/>
    <x v="3"/>
    <s v="DISPOSIÇÃO DE REJEITOS LINHA DO CIRCUITO ULTRAFINO DISTRIBUIDOR DI-145A-9905 PARA A PENEIRA PN-145A-9726"/>
    <m/>
    <m/>
    <m/>
    <s v="1450AA-T-70442_FL10"/>
    <n v="1"/>
    <s v="PÇ"/>
    <n v="2"/>
    <n v="2"/>
    <n v="1169.77"/>
    <n v="2339.54"/>
    <n v="0"/>
    <n v="0.9"/>
    <n v="0.1"/>
    <m/>
    <m/>
    <x v="0"/>
    <m/>
    <m/>
    <m/>
    <m/>
    <m/>
    <m/>
    <m/>
    <m/>
    <m/>
    <m/>
    <m/>
    <m/>
    <m/>
    <m/>
    <m/>
    <m/>
    <m/>
  </r>
  <r>
    <s v="2.4.3.1.1"/>
    <s v="CMS M.60.10.000"/>
    <x v="2"/>
    <n v="3"/>
    <s v="SPOOL"/>
    <n v="6"/>
    <x v="1"/>
    <s v="NÃO"/>
    <s v="NÃO"/>
    <x v="56"/>
    <x v="3"/>
    <s v="DISPOSIÇÃO DE REJEITOS LINHA DO CIRCUITO ULTRAFINO DISTRIBUIDOR DI-145A-9905 PARA A PENEIRA PN-145A-9726"/>
    <m/>
    <m/>
    <m/>
    <s v="1450AA-T-70442_FL09"/>
    <n v="2"/>
    <s v="PÇ"/>
    <n v="0.75"/>
    <n v="1.5"/>
    <n v="1169.77"/>
    <n v="1754.655"/>
    <n v="0"/>
    <n v="0.9"/>
    <n v="0.1"/>
    <m/>
    <m/>
    <x v="0"/>
    <m/>
    <m/>
    <m/>
    <m/>
    <m/>
    <m/>
    <m/>
    <m/>
    <m/>
    <m/>
    <m/>
    <m/>
    <m/>
    <m/>
    <m/>
    <m/>
    <m/>
  </r>
  <r>
    <s v="2.4.3.1.1"/>
    <s v="CMS M.60.10.000"/>
    <x v="2"/>
    <n v="4"/>
    <s v="SPOOL"/>
    <n v="6"/>
    <x v="2"/>
    <s v="NÃO"/>
    <s v="NÃO"/>
    <x v="56"/>
    <x v="3"/>
    <s v="DISPOSIÇÃO DE REJEITOS LINHA DO CIRCUITO ULTRAFINO DISTRIBUIDOR DI-145A-9905 PARA A PENEIRA PN-145A-9726"/>
    <m/>
    <m/>
    <m/>
    <s v="1450AA-T-70442_FL14"/>
    <n v="1"/>
    <s v="PÇ"/>
    <n v="0.54"/>
    <n v="0.54"/>
    <n v="1169.77"/>
    <n v="631.67579999999998"/>
    <n v="0"/>
    <n v="0.9"/>
    <n v="0.1"/>
    <m/>
    <m/>
    <x v="0"/>
    <m/>
    <m/>
    <m/>
    <m/>
    <m/>
    <m/>
    <m/>
    <m/>
    <m/>
    <m/>
    <m/>
    <m/>
    <m/>
    <m/>
    <m/>
    <m/>
    <m/>
  </r>
  <r>
    <s v="2.4.3.1.1"/>
    <s v="CMS M.60.10.000"/>
    <x v="2"/>
    <n v="5"/>
    <s v="SPOOL"/>
    <n v="6"/>
    <x v="2"/>
    <s v="NÃO"/>
    <s v="NÃO"/>
    <x v="56"/>
    <x v="3"/>
    <s v="DISPOSIÇÃO DE REJEITOS LINHA DO CIRCUITO ULTRAFINO DISTRIBUIDOR DI-145A-9905 PARA A PENEIRA PN-145A-9726"/>
    <m/>
    <m/>
    <m/>
    <s v="1450AA-T-70442_FL13"/>
    <n v="1"/>
    <s v="PÇ"/>
    <n v="0.36"/>
    <n v="0.36"/>
    <n v="1169.77"/>
    <n v="421.11719999999997"/>
    <n v="0"/>
    <n v="0.9"/>
    <n v="0.1"/>
    <m/>
    <m/>
    <x v="0"/>
    <m/>
    <m/>
    <m/>
    <m/>
    <m/>
    <m/>
    <m/>
    <m/>
    <m/>
    <m/>
    <m/>
    <m/>
    <m/>
    <m/>
    <m/>
    <m/>
    <m/>
  </r>
  <r>
    <s v="2.4.3.1.1"/>
    <s v="CMS M.60.10.000"/>
    <x v="2"/>
    <n v="6"/>
    <s v="SPOOL"/>
    <n v="6"/>
    <x v="2"/>
    <s v="NÃO"/>
    <s v="NÃO"/>
    <x v="56"/>
    <x v="3"/>
    <s v="DISPOSIÇÃO DE REJEITOS LINHA DO CIRCUITO ULTRAFINO DISTRIBUIDOR DI-145A-9905 PARA A PENEIRA PN-145A-9726"/>
    <m/>
    <m/>
    <m/>
    <s v="1450AA-T-70442_FL12"/>
    <n v="1"/>
    <s v="PÇ"/>
    <n v="0.34"/>
    <n v="0.34"/>
    <n v="1169.77"/>
    <n v="397.72180000000003"/>
    <n v="0"/>
    <n v="0.9"/>
    <n v="0.1"/>
    <m/>
    <m/>
    <x v="0"/>
    <m/>
    <m/>
    <m/>
    <m/>
    <m/>
    <m/>
    <m/>
    <m/>
    <m/>
    <m/>
    <m/>
    <m/>
    <m/>
    <m/>
    <m/>
    <m/>
    <m/>
  </r>
  <r>
    <s v="2.4.3.1.1"/>
    <s v="CMS M.60.10.000"/>
    <x v="2"/>
    <n v="7"/>
    <s v="CURVA"/>
    <n v="6"/>
    <x v="1"/>
    <s v="NÃO"/>
    <s v="NÃO"/>
    <x v="56"/>
    <x v="3"/>
    <s v="DISPOSIÇÃO DE REJEITOS LINHA DO CIRCUITO ULTRAFINO DISTRIBUIDOR DI-145A-9905 PARA A PENEIRA PN-145A-9726"/>
    <m/>
    <m/>
    <m/>
    <s v="1450AA-T-70442_FL16"/>
    <n v="2"/>
    <s v="PÇ"/>
    <n v="0.46500000000000002"/>
    <n v="0.93"/>
    <n v="1169.77"/>
    <n v="1087.8860999999999"/>
    <n v="0"/>
    <n v="0.9"/>
    <n v="0.1"/>
    <m/>
    <m/>
    <x v="0"/>
    <m/>
    <m/>
    <m/>
    <m/>
    <m/>
    <m/>
    <m/>
    <m/>
    <m/>
    <m/>
    <m/>
    <m/>
    <m/>
    <m/>
    <m/>
    <m/>
    <m/>
  </r>
  <r>
    <s v="2.4.3.1.1"/>
    <s v="CMS M.60.10.000"/>
    <x v="2"/>
    <n v="8"/>
    <s v="CURVA"/>
    <n v="6"/>
    <x v="1"/>
    <s v="NÃO"/>
    <s v="NÃO"/>
    <x v="56"/>
    <x v="3"/>
    <s v="DISPOSIÇÃO DE REJEITOS LINHA DO CIRCUITO ULTRAFINO DISTRIBUIDOR DI-145A-9905 PARA A PENEIRA PN-145A-9726"/>
    <m/>
    <m/>
    <m/>
    <s v="1450AA-T-70442_FL15"/>
    <n v="1"/>
    <s v="PÇ"/>
    <n v="0.32500000000000001"/>
    <n v="0.32500000000000001"/>
    <n v="1169.77"/>
    <n v="380.17525000000001"/>
    <n v="0"/>
    <n v="0.9"/>
    <n v="0.1"/>
    <m/>
    <m/>
    <x v="0"/>
    <m/>
    <m/>
    <m/>
    <m/>
    <m/>
    <m/>
    <m/>
    <m/>
    <m/>
    <m/>
    <m/>
    <m/>
    <m/>
    <m/>
    <m/>
    <m/>
    <m/>
  </r>
  <r>
    <n v="0"/>
    <s v="CMS M.60.10.000"/>
    <x v="2"/>
    <n v="9"/>
    <s v="SPOOL"/>
    <s v="6 X 4"/>
    <x v="1"/>
    <s v="NÃO"/>
    <s v="NÃO"/>
    <x v="56"/>
    <x v="3"/>
    <s v="DISPOSIÇÃO DE REJEITOS LINHA DO CIRCUITO ULTRAFINO DISTRIBUIDOR DI-145A-9905 PARA A PENEIRA PN-145A-9726"/>
    <m/>
    <m/>
    <m/>
    <s v="1450AA-T-70442_FL17"/>
    <n v="1"/>
    <s v="PÇ"/>
    <n v="2.1349999999999998"/>
    <n v="2.1349999999999998"/>
    <n v="0"/>
    <n v="0"/>
    <n v="0"/>
    <n v="0.9"/>
    <n v="0.1"/>
    <m/>
    <m/>
    <x v="0"/>
    <m/>
    <m/>
    <m/>
    <m/>
    <m/>
    <m/>
    <m/>
    <m/>
    <m/>
    <m/>
    <m/>
    <m/>
    <m/>
    <m/>
    <m/>
    <m/>
    <m/>
  </r>
  <r>
    <n v="0"/>
    <s v="CMS M.60.10.000"/>
    <x v="2"/>
    <n v="10"/>
    <s v="FLANGE"/>
    <n v="4"/>
    <x v="1"/>
    <s v="NÃO"/>
    <s v="NÃO"/>
    <x v="56"/>
    <x v="3"/>
    <s v="DISPOSIÇÃO DE REJEITOS LINHA DO CIRCUITO ULTRAFINO DISTRIBUIDOR DI-145A-9905 PARA A PENEIRA PN-145A-9726"/>
    <m/>
    <m/>
    <m/>
    <s v="1450AA-T-70442_FL03"/>
    <n v="2"/>
    <s v="PÇ"/>
    <n v="0"/>
    <n v="0"/>
    <n v="0"/>
    <n v="0"/>
    <n v="0"/>
    <n v="0.9"/>
    <n v="0.1"/>
    <m/>
    <m/>
    <x v="0"/>
    <m/>
    <m/>
    <m/>
    <m/>
    <m/>
    <m/>
    <m/>
    <m/>
    <m/>
    <m/>
    <m/>
    <m/>
    <m/>
    <m/>
    <m/>
    <m/>
    <m/>
  </r>
  <r>
    <s v="2.4.3.1.1"/>
    <s v="CMS M.60.10.000"/>
    <x v="2"/>
    <n v="1"/>
    <s v="SPOOL"/>
    <n v="6"/>
    <x v="1"/>
    <s v="NÃO"/>
    <s v="NÃO"/>
    <x v="57"/>
    <x v="3"/>
    <s v="DISPOSIÇÃO DE REJEITOS LINHA DO CIRCUITO ULTRAFINO DISTRIBUIDOR DI-145A-9905 PARA A PENEIRA PN-145A-9704"/>
    <m/>
    <m/>
    <m/>
    <s v="1450AA-T-70444_FL16"/>
    <n v="1"/>
    <s v="PÇ"/>
    <n v="2.5"/>
    <n v="2.5"/>
    <n v="1169.77"/>
    <n v="2924.4250000000002"/>
    <n v="0"/>
    <n v="0.9"/>
    <n v="0.1"/>
    <m/>
    <m/>
    <x v="0"/>
    <m/>
    <m/>
    <m/>
    <m/>
    <m/>
    <m/>
    <m/>
    <m/>
    <m/>
    <m/>
    <m/>
    <m/>
    <m/>
    <m/>
    <m/>
    <m/>
    <m/>
  </r>
  <r>
    <s v="2.4.3.1.1"/>
    <s v="CMS M.60.10.000"/>
    <x v="2"/>
    <n v="2"/>
    <s v="SPOOL"/>
    <n v="6"/>
    <x v="1"/>
    <s v="NÃO"/>
    <s v="NÃO"/>
    <x v="57"/>
    <x v="3"/>
    <s v="DISPOSIÇÃO DE REJEITOS LINHA DO CIRCUITO ULTRAFINO DISTRIBUIDOR DI-145A-9905 PARA A PENEIRA PN-145A-9704"/>
    <m/>
    <m/>
    <m/>
    <s v="1450AA-T-70444_FL15"/>
    <n v="1"/>
    <s v="PÇ"/>
    <n v="2.2000000000000002"/>
    <n v="2.2000000000000002"/>
    <n v="1169.77"/>
    <n v="2573.4940000000001"/>
    <n v="0"/>
    <n v="0.9"/>
    <n v="0.1"/>
    <m/>
    <m/>
    <x v="0"/>
    <m/>
    <m/>
    <m/>
    <m/>
    <m/>
    <m/>
    <m/>
    <m/>
    <m/>
    <m/>
    <m/>
    <m/>
    <m/>
    <m/>
    <m/>
    <m/>
    <m/>
  </r>
  <r>
    <s v="2.4.3.1.1"/>
    <s v="CMS M.60.10.000"/>
    <x v="2"/>
    <n v="3"/>
    <s v="SPOOL"/>
    <n v="6"/>
    <x v="1"/>
    <s v="NÃO"/>
    <s v="NÃO"/>
    <x v="57"/>
    <x v="3"/>
    <s v="DISPOSIÇÃO DE REJEITOS LINHA DO CIRCUITO ULTRAFINO DISTRIBUIDOR DI-145A-9905 PARA A PENEIRA PN-145A-9704"/>
    <m/>
    <m/>
    <m/>
    <s v="1450AA-T-70444_FL14"/>
    <n v="1"/>
    <s v="PÇ"/>
    <n v="2"/>
    <n v="2"/>
    <n v="1169.77"/>
    <n v="2339.54"/>
    <n v="0"/>
    <n v="0.9"/>
    <n v="0.1"/>
    <m/>
    <m/>
    <x v="0"/>
    <m/>
    <m/>
    <m/>
    <m/>
    <m/>
    <m/>
    <m/>
    <m/>
    <m/>
    <m/>
    <m/>
    <m/>
    <m/>
    <m/>
    <m/>
    <m/>
    <m/>
  </r>
  <r>
    <s v="2.4.3.1.1"/>
    <s v="CMS M.60.10.000"/>
    <x v="2"/>
    <n v="4"/>
    <s v="SPOOL"/>
    <n v="6"/>
    <x v="1"/>
    <s v="NÃO"/>
    <s v="NÃO"/>
    <x v="57"/>
    <x v="3"/>
    <s v="DISPOSIÇÃO DE REJEITOS LINHA DO CIRCUITO ULTRAFINO DISTRIBUIDOR DI-145A-9905 PARA A PENEIRA PN-145A-9704"/>
    <m/>
    <m/>
    <m/>
    <s v="1450AA-T-70444_FL13"/>
    <n v="1"/>
    <s v="PÇ"/>
    <n v="1.6"/>
    <n v="1.6"/>
    <n v="1169.77"/>
    <n v="1871.6320000000001"/>
    <n v="0"/>
    <n v="0.9"/>
    <n v="0.1"/>
    <m/>
    <m/>
    <x v="0"/>
    <m/>
    <m/>
    <m/>
    <m/>
    <m/>
    <m/>
    <m/>
    <m/>
    <m/>
    <m/>
    <m/>
    <m/>
    <m/>
    <m/>
    <m/>
    <m/>
    <m/>
  </r>
  <r>
    <s v="2.4.3.1.1"/>
    <s v="CMS M.60.10.000"/>
    <x v="2"/>
    <n v="5"/>
    <s v="SPOOL"/>
    <n v="6"/>
    <x v="1"/>
    <s v="NÃO"/>
    <s v="NÃO"/>
    <x v="57"/>
    <x v="3"/>
    <s v="DISPOSIÇÃO DE REJEITOS LINHA DO CIRCUITO ULTRAFINO DISTRIBUIDOR DI-145A-9905 PARA A PENEIRA PN-145A-9704"/>
    <m/>
    <m/>
    <m/>
    <s v="1450AA-T-70444_FL12"/>
    <n v="1"/>
    <s v="PÇ"/>
    <n v="1.1000000000000001"/>
    <n v="1.1000000000000001"/>
    <n v="1169.77"/>
    <n v="1286.7470000000001"/>
    <n v="0"/>
    <n v="0.9"/>
    <n v="0.1"/>
    <m/>
    <m/>
    <x v="0"/>
    <m/>
    <m/>
    <m/>
    <m/>
    <m/>
    <m/>
    <m/>
    <m/>
    <m/>
    <m/>
    <m/>
    <m/>
    <m/>
    <m/>
    <m/>
    <m/>
    <m/>
  </r>
  <r>
    <s v="2.4.3.1.1"/>
    <s v="CMS M.60.10.000"/>
    <x v="2"/>
    <n v="6"/>
    <s v="SPOOL"/>
    <n v="6"/>
    <x v="1"/>
    <s v="NÃO"/>
    <s v="NÃO"/>
    <x v="57"/>
    <x v="3"/>
    <s v="DISPOSIÇÃO DE REJEITOS LINHA DO CIRCUITO ULTRAFINO DISTRIBUIDOR DI-145A-9905 PARA A PENEIRA PN-145A-9704"/>
    <m/>
    <m/>
    <m/>
    <s v="1450AA-T-70444_FL11"/>
    <n v="1"/>
    <s v="PÇ"/>
    <n v="1"/>
    <n v="1"/>
    <n v="1169.77"/>
    <n v="1169.77"/>
    <n v="0"/>
    <n v="0.9"/>
    <n v="0.1"/>
    <m/>
    <m/>
    <x v="0"/>
    <m/>
    <m/>
    <m/>
    <m/>
    <m/>
    <m/>
    <m/>
    <m/>
    <m/>
    <m/>
    <m/>
    <m/>
    <m/>
    <m/>
    <m/>
    <m/>
    <m/>
  </r>
  <r>
    <s v="2.4.3.1.1"/>
    <s v="CMS M.60.10.000"/>
    <x v="2"/>
    <n v="7"/>
    <s v="SPOOL"/>
    <n v="6"/>
    <x v="1"/>
    <s v="NÃO"/>
    <s v="NÃO"/>
    <x v="57"/>
    <x v="3"/>
    <s v="DISPOSIÇÃO DE REJEITOS LINHA DO CIRCUITO ULTRAFINO DISTRIBUIDOR DI-145A-9905 PARA A PENEIRA PN-145A-9704"/>
    <m/>
    <m/>
    <m/>
    <s v="1450AA-T-70444_FL10"/>
    <n v="1"/>
    <s v="PÇ"/>
    <n v="0.89"/>
    <n v="0.89"/>
    <n v="1169.77"/>
    <n v="1041.0953"/>
    <n v="0"/>
    <n v="0.9"/>
    <n v="0.1"/>
    <m/>
    <m/>
    <x v="0"/>
    <m/>
    <m/>
    <m/>
    <m/>
    <m/>
    <m/>
    <m/>
    <m/>
    <m/>
    <m/>
    <m/>
    <m/>
    <m/>
    <m/>
    <m/>
    <m/>
    <m/>
  </r>
  <r>
    <s v="2.4.3.1.1"/>
    <s v="CMS M.60.10.000"/>
    <x v="2"/>
    <n v="8"/>
    <s v="SPOOL"/>
    <n v="6"/>
    <x v="1"/>
    <s v="NÃO"/>
    <s v="NÃO"/>
    <x v="57"/>
    <x v="3"/>
    <s v="DISPOSIÇÃO DE REJEITOS LINHA DO CIRCUITO ULTRAFINO DISTRIBUIDOR DI-145A-9905 PARA A PENEIRA PN-145A-9704"/>
    <m/>
    <m/>
    <m/>
    <s v="1450AA-T-70444_FL09"/>
    <n v="1"/>
    <s v="PÇ"/>
    <n v="0.75"/>
    <n v="0.75"/>
    <n v="1169.77"/>
    <n v="877.32749999999999"/>
    <n v="0"/>
    <n v="0.9"/>
    <n v="0.1"/>
    <m/>
    <m/>
    <x v="0"/>
    <m/>
    <m/>
    <m/>
    <m/>
    <m/>
    <m/>
    <m/>
    <m/>
    <m/>
    <m/>
    <m/>
    <m/>
    <m/>
    <m/>
    <m/>
    <m/>
    <m/>
  </r>
  <r>
    <s v="2.4.3.1.1"/>
    <s v="CMS M.60.10.000"/>
    <x v="2"/>
    <n v="9"/>
    <s v="SPOOL"/>
    <n v="6"/>
    <x v="2"/>
    <s v="NÃO"/>
    <s v="NÃO"/>
    <x v="57"/>
    <x v="3"/>
    <s v="DISPOSIÇÃO DE REJEITOS LINHA DO CIRCUITO ULTRAFINO DISTRIBUIDOR DI-145A-9905 PARA A PENEIRA PN-145A-9704"/>
    <m/>
    <m/>
    <m/>
    <s v="1450AA-T-70444_FL20"/>
    <n v="3"/>
    <s v="PÇ"/>
    <n v="0.44"/>
    <n v="1.32"/>
    <n v="1169.77"/>
    <n v="1544.0964000000001"/>
    <n v="0"/>
    <n v="0.9"/>
    <n v="0.1"/>
    <m/>
    <m/>
    <x v="0"/>
    <m/>
    <m/>
    <m/>
    <m/>
    <m/>
    <m/>
    <m/>
    <m/>
    <m/>
    <m/>
    <m/>
    <m/>
    <m/>
    <m/>
    <m/>
    <m/>
    <m/>
  </r>
  <r>
    <s v="2.4.3.1.1"/>
    <s v="CMS M.60.10.000"/>
    <x v="2"/>
    <n v="10"/>
    <s v="SPOOL"/>
    <n v="6"/>
    <x v="2"/>
    <s v="NÃO"/>
    <s v="NÃO"/>
    <x v="57"/>
    <x v="3"/>
    <s v="DISPOSIÇÃO DE REJEITOS LINHA DO CIRCUITO ULTRAFINO DISTRIBUIDOR DI-145A-9905 PARA A PENEIRA PN-145A-9704"/>
    <m/>
    <m/>
    <m/>
    <s v="1450AA-T-70444_FL19"/>
    <n v="1"/>
    <s v="PÇ"/>
    <n v="0.41"/>
    <n v="0.41"/>
    <n v="1169.77"/>
    <n v="479.60569999999996"/>
    <n v="0"/>
    <n v="0.9"/>
    <n v="0.1"/>
    <m/>
    <m/>
    <x v="0"/>
    <m/>
    <m/>
    <m/>
    <m/>
    <m/>
    <m/>
    <m/>
    <m/>
    <m/>
    <m/>
    <m/>
    <m/>
    <m/>
    <m/>
    <m/>
    <m/>
    <m/>
  </r>
  <r>
    <s v="2.4.3.1.1"/>
    <s v="CMS M.60.10.000"/>
    <x v="2"/>
    <n v="11"/>
    <s v="SPOOL"/>
    <n v="6"/>
    <x v="2"/>
    <s v="NÃO"/>
    <s v="NÃO"/>
    <x v="57"/>
    <x v="3"/>
    <s v="DISPOSIÇÃO DE REJEITOS LINHA DO CIRCUITO ULTRAFINO DISTRIBUIDOR DI-145A-9905 PARA A PENEIRA PN-145A-9704"/>
    <m/>
    <m/>
    <m/>
    <s v="1450AA-T-70444_FL18"/>
    <n v="1"/>
    <s v="PÇ"/>
    <n v="0.39"/>
    <n v="0.39"/>
    <n v="1169.77"/>
    <n v="456.21030000000002"/>
    <n v="0"/>
    <n v="0.9"/>
    <n v="0.1"/>
    <m/>
    <m/>
    <x v="0"/>
    <m/>
    <m/>
    <m/>
    <m/>
    <m/>
    <m/>
    <m/>
    <m/>
    <m/>
    <m/>
    <m/>
    <m/>
    <m/>
    <m/>
    <m/>
    <m/>
    <m/>
  </r>
  <r>
    <s v="2.4.3.1.1"/>
    <s v="CMS M.60.10.000"/>
    <x v="2"/>
    <n v="12"/>
    <s v="SPOOL"/>
    <n v="6"/>
    <x v="2"/>
    <s v="NÃO"/>
    <s v="NÃO"/>
    <x v="57"/>
    <x v="3"/>
    <s v="DISPOSIÇÃO DE REJEITOS LINHA DO CIRCUITO ULTRAFINO DISTRIBUIDOR DI-145A-9905 PARA A PENEIRA PN-145A-9704"/>
    <m/>
    <m/>
    <m/>
    <s v="1450AA-T-70444_FL17"/>
    <n v="1"/>
    <s v="PÇ"/>
    <n v="0.33"/>
    <n v="0.33"/>
    <n v="1169.77"/>
    <n v="386.02410000000003"/>
    <n v="0"/>
    <n v="0.9"/>
    <n v="0.1"/>
    <m/>
    <m/>
    <x v="0"/>
    <m/>
    <m/>
    <m/>
    <m/>
    <m/>
    <m/>
    <m/>
    <m/>
    <m/>
    <m/>
    <m/>
    <m/>
    <m/>
    <m/>
    <m/>
    <m/>
    <m/>
  </r>
  <r>
    <s v="2.4.3.1.1"/>
    <s v="CMS M.60.10.000"/>
    <x v="2"/>
    <n v="13"/>
    <s v="CURVA"/>
    <n v="6"/>
    <x v="1"/>
    <s v="NÃO"/>
    <s v="NÃO"/>
    <x v="57"/>
    <x v="3"/>
    <s v="DISPOSIÇÃO DE REJEITOS LINHA DO CIRCUITO ULTRAFINO DISTRIBUIDOR DI-145A-9905 PARA A PENEIRA PN-145A-9704"/>
    <m/>
    <m/>
    <m/>
    <s v="1450AA-T-70444_FL26"/>
    <n v="1"/>
    <s v="PÇ"/>
    <n v="0.48"/>
    <n v="0.48"/>
    <n v="1169.77"/>
    <n v="561.4896"/>
    <n v="0"/>
    <n v="0.9"/>
    <n v="0.1"/>
    <m/>
    <m/>
    <x v="0"/>
    <m/>
    <m/>
    <m/>
    <m/>
    <m/>
    <m/>
    <m/>
    <m/>
    <m/>
    <m/>
    <m/>
    <m/>
    <m/>
    <m/>
    <m/>
    <m/>
    <m/>
  </r>
  <r>
    <s v="2.4.3.1.1"/>
    <s v="CMS M.60.10.000"/>
    <x v="2"/>
    <n v="14"/>
    <s v="CURVA"/>
    <n v="6"/>
    <x v="1"/>
    <s v="NÃO"/>
    <s v="NÃO"/>
    <x v="57"/>
    <x v="3"/>
    <s v="DISPOSIÇÃO DE REJEITOS LINHA DO CIRCUITO ULTRAFINO DISTRIBUIDOR DI-145A-9905 PARA A PENEIRA PN-145A-9704"/>
    <m/>
    <m/>
    <m/>
    <s v="1450AA-T-70444_FL25"/>
    <n v="2"/>
    <s v="PÇ"/>
    <n v="0.46500000000000002"/>
    <n v="0.93"/>
    <n v="1169.77"/>
    <n v="1087.8860999999999"/>
    <n v="0"/>
    <n v="0.9"/>
    <n v="0.1"/>
    <m/>
    <m/>
    <x v="0"/>
    <m/>
    <m/>
    <m/>
    <m/>
    <m/>
    <m/>
    <m/>
    <m/>
    <m/>
    <m/>
    <m/>
    <m/>
    <m/>
    <m/>
    <m/>
    <m/>
    <m/>
  </r>
  <r>
    <s v="2.4.3.1.1"/>
    <s v="CMS M.60.10.000"/>
    <x v="2"/>
    <n v="15"/>
    <s v="CURVA"/>
    <n v="6"/>
    <x v="1"/>
    <s v="NÃO"/>
    <s v="NÃO"/>
    <x v="57"/>
    <x v="3"/>
    <s v="DISPOSIÇÃO DE REJEITOS LINHA DO CIRCUITO ULTRAFINO DISTRIBUIDOR DI-145A-9905 PARA A PENEIRA PN-145A-9704"/>
    <m/>
    <m/>
    <m/>
    <s v="1450AA-T-70444_FL24"/>
    <n v="1"/>
    <s v="PÇ"/>
    <n v="0.41899999999999998"/>
    <n v="0.41899999999999998"/>
    <n v="1169.77"/>
    <n v="490.13362999999998"/>
    <n v="0"/>
    <n v="0.9"/>
    <n v="0.1"/>
    <m/>
    <m/>
    <x v="0"/>
    <m/>
    <m/>
    <m/>
    <m/>
    <m/>
    <m/>
    <m/>
    <m/>
    <m/>
    <m/>
    <m/>
    <m/>
    <m/>
    <m/>
    <m/>
    <m/>
    <m/>
  </r>
  <r>
    <s v="2.4.3.1.1"/>
    <s v="CMS M.60.10.000"/>
    <x v="2"/>
    <n v="16"/>
    <s v="CURVA"/>
    <n v="6"/>
    <x v="1"/>
    <s v="NÃO"/>
    <s v="NÃO"/>
    <x v="57"/>
    <x v="3"/>
    <s v="DISPOSIÇÃO DE REJEITOS LINHA DO CIRCUITO ULTRAFINO DISTRIBUIDOR DI-145A-9905 PARA A PENEIRA PN-145A-9704"/>
    <m/>
    <m/>
    <m/>
    <s v="1450AA-T-70444_FL23"/>
    <n v="1"/>
    <s v="PÇ"/>
    <n v="0.51"/>
    <n v="0.51"/>
    <n v="1169.77"/>
    <n v="596.58270000000005"/>
    <n v="0"/>
    <n v="0.9"/>
    <n v="0.1"/>
    <m/>
    <m/>
    <x v="0"/>
    <m/>
    <m/>
    <m/>
    <m/>
    <m/>
    <m/>
    <m/>
    <m/>
    <m/>
    <m/>
    <m/>
    <m/>
    <m/>
    <m/>
    <m/>
    <m/>
    <m/>
  </r>
  <r>
    <s v="2.4.3.1.1"/>
    <s v="CMS M.60.10.000"/>
    <x v="2"/>
    <n v="17"/>
    <s v="CURVA"/>
    <n v="6"/>
    <x v="1"/>
    <s v="NÃO"/>
    <s v="NÃO"/>
    <x v="57"/>
    <x v="3"/>
    <s v="DISPOSIÇÃO DE REJEITOS LINHA DO CIRCUITO ULTRAFINO DISTRIBUIDOR DI-145A-9905 PARA A PENEIRA PN-145A-9704"/>
    <m/>
    <m/>
    <m/>
    <s v="1450AA-T-70444_FL22"/>
    <n v="1"/>
    <s v="PÇ"/>
    <n v="0.316"/>
    <n v="0.316"/>
    <n v="1169.77"/>
    <n v="369.64731999999998"/>
    <n v="0"/>
    <n v="0.9"/>
    <n v="0.1"/>
    <m/>
    <m/>
    <x v="0"/>
    <m/>
    <m/>
    <m/>
    <m/>
    <m/>
    <m/>
    <m/>
    <m/>
    <m/>
    <m/>
    <m/>
    <m/>
    <m/>
    <m/>
    <m/>
    <m/>
    <m/>
  </r>
  <r>
    <s v="2.4.3.1.1"/>
    <s v="CMS M.60.10.000"/>
    <x v="2"/>
    <n v="18"/>
    <s v="CURVA"/>
    <n v="6"/>
    <x v="1"/>
    <s v="NÃO"/>
    <s v="NÃO"/>
    <x v="57"/>
    <x v="3"/>
    <s v="DISPOSIÇÃO DE REJEITOS LINHA DO CIRCUITO ULTRAFINO DISTRIBUIDOR DI-145A-9905 PARA A PENEIRA PN-145A-9704"/>
    <m/>
    <m/>
    <m/>
    <s v="1450AA-T-70444_FL21"/>
    <n v="1"/>
    <s v="PÇ"/>
    <n v="0.23699999999999999"/>
    <n v="0.23699999999999999"/>
    <n v="1169.77"/>
    <n v="277.23548999999997"/>
    <n v="0"/>
    <n v="0.9"/>
    <n v="0.1"/>
    <m/>
    <m/>
    <x v="0"/>
    <m/>
    <m/>
    <m/>
    <m/>
    <m/>
    <m/>
    <m/>
    <m/>
    <m/>
    <m/>
    <m/>
    <m/>
    <m/>
    <m/>
    <m/>
    <m/>
    <m/>
  </r>
  <r>
    <s v="2.4.3.1.1"/>
    <s v="CMS M.60.10.000"/>
    <x v="2"/>
    <n v="19"/>
    <s v="SPOOL"/>
    <n v="6"/>
    <x v="1"/>
    <s v="NÃO"/>
    <s v="NÃO"/>
    <x v="57"/>
    <x v="3"/>
    <s v="DISPOSIÇÃO DE REJEITOS LINHA DO CIRCUITO ULTRAFINO DISTRIBUIDOR DI-145A-9905 PARA A PENEIRA PN-145A-9704"/>
    <m/>
    <m/>
    <m/>
    <s v="1450AA-T-70444_FL27"/>
    <n v="1"/>
    <s v="PÇ"/>
    <n v="0.75"/>
    <n v="0.75"/>
    <n v="1169.77"/>
    <n v="877.32749999999999"/>
    <n v="0"/>
    <n v="0.9"/>
    <n v="0.1"/>
    <m/>
    <m/>
    <x v="0"/>
    <m/>
    <m/>
    <m/>
    <m/>
    <m/>
    <m/>
    <m/>
    <m/>
    <m/>
    <m/>
    <m/>
    <m/>
    <m/>
    <m/>
    <m/>
    <m/>
    <m/>
  </r>
  <r>
    <n v="0"/>
    <s v="CMS M.60.10.000"/>
    <x v="2"/>
    <n v="20"/>
    <s v="SPOOL"/>
    <s v="6 X 4"/>
    <x v="1"/>
    <s v="NÃO"/>
    <s v="NÃO"/>
    <x v="57"/>
    <x v="3"/>
    <s v="DISPOSIÇÃO DE REJEITOS LINHA DO CIRCUITO ULTRAFINO DISTRIBUIDOR DI-145A-9905 PARA A PENEIRA PN-145A-9704"/>
    <m/>
    <m/>
    <m/>
    <s v="1450AA-T-70444_FL28"/>
    <n v="1"/>
    <s v="PÇ"/>
    <n v="2.1349999999999998"/>
    <n v="2.1349999999999998"/>
    <n v="0"/>
    <n v="0"/>
    <n v="0"/>
    <n v="0.9"/>
    <n v="0.1"/>
    <m/>
    <m/>
    <x v="0"/>
    <m/>
    <m/>
    <m/>
    <m/>
    <m/>
    <m/>
    <m/>
    <m/>
    <m/>
    <m/>
    <m/>
    <m/>
    <m/>
    <m/>
    <m/>
    <m/>
    <m/>
  </r>
  <r>
    <n v="0"/>
    <s v="CMS M.60.10.000"/>
    <x v="2"/>
    <n v="21"/>
    <s v="FLANGE"/>
    <n v="4"/>
    <x v="1"/>
    <s v="NÃO"/>
    <s v="NÃO"/>
    <x v="57"/>
    <x v="3"/>
    <s v="DISPOSIÇÃO DE REJEITOS LINHA DO CIRCUITO ULTRAFINO DISTRIBUIDOR DI-145A-9905 PARA A PENEIRA PN-145A-9704"/>
    <m/>
    <m/>
    <m/>
    <s v="1450AA-T-70444_FL03"/>
    <n v="2"/>
    <s v="PÇ"/>
    <n v="0"/>
    <n v="0"/>
    <n v="0"/>
    <n v="0"/>
    <n v="0"/>
    <n v="0.9"/>
    <n v="0.1"/>
    <m/>
    <m/>
    <x v="0"/>
    <m/>
    <m/>
    <m/>
    <m/>
    <m/>
    <m/>
    <m/>
    <m/>
    <m/>
    <m/>
    <m/>
    <m/>
    <m/>
    <m/>
    <m/>
    <m/>
    <m/>
  </r>
  <r>
    <s v="2.4.3.1.1"/>
    <s v="CMS M.60.10.000"/>
    <x v="2"/>
    <n v="1"/>
    <s v="SPOOL"/>
    <n v="6"/>
    <x v="1"/>
    <s v="NÃO"/>
    <s v="NÃO"/>
    <x v="58"/>
    <x v="3"/>
    <s v="DISPOSIÇÃO DE REJEITOS LINHA DO CIRCUITO ULTRAFINO DISTRIBUIDOR DI-145A-9905 PARA A PENEIRA PN-145A-9705"/>
    <m/>
    <m/>
    <m/>
    <s v="1450AA-T-70446_FL14"/>
    <n v="1"/>
    <s v="PÇ"/>
    <n v="2.5"/>
    <n v="2.5"/>
    <n v="1169.77"/>
    <n v="2924.4250000000002"/>
    <n v="0"/>
    <n v="0.9"/>
    <n v="0.1"/>
    <m/>
    <m/>
    <x v="0"/>
    <m/>
    <m/>
    <m/>
    <m/>
    <m/>
    <m/>
    <m/>
    <m/>
    <m/>
    <m/>
    <m/>
    <m/>
    <m/>
    <m/>
    <m/>
    <m/>
    <m/>
  </r>
  <r>
    <s v="2.4.3.1.1"/>
    <s v="CMS M.60.10.000"/>
    <x v="2"/>
    <n v="2"/>
    <s v="SPOOL"/>
    <n v="6"/>
    <x v="1"/>
    <s v="NÃO"/>
    <s v="NÃO"/>
    <x v="58"/>
    <x v="3"/>
    <s v="DISPOSIÇÃO DE REJEITOS LINHA DO CIRCUITO ULTRAFINO DISTRIBUIDOR DI-145A-9905 PARA A PENEIRA PN-145A-9705"/>
    <m/>
    <m/>
    <m/>
    <s v="1450AA-T-70446_FL13"/>
    <n v="1"/>
    <s v="PÇ"/>
    <n v="2"/>
    <n v="2"/>
    <n v="1169.77"/>
    <n v="2339.54"/>
    <n v="0"/>
    <n v="0.9"/>
    <n v="0.1"/>
    <m/>
    <m/>
    <x v="0"/>
    <m/>
    <m/>
    <m/>
    <m/>
    <m/>
    <m/>
    <m/>
    <m/>
    <m/>
    <m/>
    <m/>
    <m/>
    <m/>
    <m/>
    <m/>
    <m/>
    <m/>
  </r>
  <r>
    <s v="2.4.3.1.1"/>
    <s v="CMS M.60.10.000"/>
    <x v="2"/>
    <n v="3"/>
    <s v="SPOOL"/>
    <n v="6"/>
    <x v="1"/>
    <s v="NÃO"/>
    <s v="NÃO"/>
    <x v="58"/>
    <x v="3"/>
    <s v="DISPOSIÇÃO DE REJEITOS LINHA DO CIRCUITO ULTRAFINO DISTRIBUIDOR DI-145A-9905 PARA A PENEIRA PN-145A-9705"/>
    <m/>
    <m/>
    <m/>
    <s v="1450AA-T-70446_FL12"/>
    <n v="1"/>
    <s v="PÇ"/>
    <n v="1.669"/>
    <n v="1.669"/>
    <n v="1169.77"/>
    <n v="1952.3461299999999"/>
    <n v="0"/>
    <n v="0.9"/>
    <n v="0.1"/>
    <m/>
    <m/>
    <x v="0"/>
    <m/>
    <m/>
    <m/>
    <m/>
    <m/>
    <m/>
    <m/>
    <m/>
    <m/>
    <m/>
    <m/>
    <m/>
    <m/>
    <m/>
    <m/>
    <m/>
    <m/>
  </r>
  <r>
    <s v="2.4.3.1.1"/>
    <s v="CMS M.60.10.000"/>
    <x v="2"/>
    <n v="4"/>
    <s v="SPOOL"/>
    <n v="6"/>
    <x v="1"/>
    <s v="NÃO"/>
    <s v="NÃO"/>
    <x v="58"/>
    <x v="3"/>
    <s v="DISPOSIÇÃO DE REJEITOS LINHA DO CIRCUITO ULTRAFINO DISTRIBUIDOR DI-145A-9905 PARA A PENEIRA PN-145A-9705"/>
    <m/>
    <m/>
    <m/>
    <s v="1450AA-T-70446_FL11"/>
    <n v="1"/>
    <s v="PÇ"/>
    <n v="1.6"/>
    <n v="1.6"/>
    <n v="1169.77"/>
    <n v="1871.6320000000001"/>
    <n v="0"/>
    <n v="0.9"/>
    <n v="0.1"/>
    <m/>
    <m/>
    <x v="0"/>
    <m/>
    <m/>
    <m/>
    <m/>
    <m/>
    <m/>
    <m/>
    <m/>
    <m/>
    <m/>
    <m/>
    <m/>
    <m/>
    <m/>
    <m/>
    <m/>
    <m/>
  </r>
  <r>
    <s v="2.4.3.1.1"/>
    <s v="CMS M.60.10.000"/>
    <x v="2"/>
    <n v="5"/>
    <s v="SPOOL"/>
    <n v="6"/>
    <x v="1"/>
    <s v="NÃO"/>
    <s v="NÃO"/>
    <x v="58"/>
    <x v="3"/>
    <s v="DISPOSIÇÃO DE REJEITOS LINHA DO CIRCUITO ULTRAFINO DISTRIBUIDOR DI-145A-9905 PARA A PENEIRA PN-145A-9705"/>
    <m/>
    <m/>
    <m/>
    <s v="1450AA-T-70446_FL10"/>
    <n v="1"/>
    <s v="PÇ"/>
    <n v="1.3"/>
    <n v="1.3"/>
    <n v="1169.77"/>
    <n v="1520.701"/>
    <n v="0"/>
    <n v="0.9"/>
    <n v="0.1"/>
    <m/>
    <m/>
    <x v="0"/>
    <m/>
    <m/>
    <m/>
    <m/>
    <m/>
    <m/>
    <m/>
    <m/>
    <m/>
    <m/>
    <m/>
    <m/>
    <m/>
    <m/>
    <m/>
    <m/>
    <m/>
  </r>
  <r>
    <s v="2.4.3.1.1"/>
    <s v="CMS M.60.10.000"/>
    <x v="2"/>
    <n v="6"/>
    <s v="SPOOL"/>
    <n v="6"/>
    <x v="1"/>
    <s v="NÃO"/>
    <s v="NÃO"/>
    <x v="58"/>
    <x v="3"/>
    <s v="DISPOSIÇÃO DE REJEITOS LINHA DO CIRCUITO ULTRAFINO DISTRIBUIDOR DI-145A-9905 PARA A PENEIRA PN-145A-9705"/>
    <m/>
    <m/>
    <m/>
    <s v="1450AA-T-70446_FL09"/>
    <n v="1"/>
    <s v="PÇ"/>
    <n v="1"/>
    <n v="1"/>
    <n v="1169.77"/>
    <n v="1169.77"/>
    <n v="0"/>
    <n v="0.9"/>
    <n v="0.1"/>
    <m/>
    <m/>
    <x v="0"/>
    <m/>
    <m/>
    <m/>
    <m/>
    <m/>
    <m/>
    <m/>
    <m/>
    <m/>
    <m/>
    <m/>
    <m/>
    <m/>
    <m/>
    <m/>
    <m/>
    <m/>
  </r>
  <r>
    <s v="2.4.3.1.1"/>
    <s v="CMS M.60.10.000"/>
    <x v="2"/>
    <n v="7"/>
    <s v="SPOOL"/>
    <n v="6"/>
    <x v="2"/>
    <s v="NÃO"/>
    <s v="NÃO"/>
    <x v="58"/>
    <x v="3"/>
    <s v="DISPOSIÇÃO DE REJEITOS LINHA DO CIRCUITO ULTRAFINO DISTRIBUIDOR DI-145A-9905 PARA A PENEIRA PN-145A-9705"/>
    <m/>
    <m/>
    <m/>
    <s v="1450AA-T-70446_FL18"/>
    <n v="1"/>
    <s v="PÇ"/>
    <n v="0.52"/>
    <n v="0.52"/>
    <n v="1169.77"/>
    <n v="608.28039999999999"/>
    <n v="0"/>
    <n v="0.9"/>
    <n v="0.1"/>
    <m/>
    <m/>
    <x v="0"/>
    <m/>
    <m/>
    <m/>
    <m/>
    <m/>
    <m/>
    <m/>
    <m/>
    <m/>
    <m/>
    <m/>
    <m/>
    <m/>
    <m/>
    <m/>
    <m/>
    <m/>
  </r>
  <r>
    <s v="2.4.3.1.1"/>
    <s v="CMS M.60.10.000"/>
    <x v="2"/>
    <n v="8"/>
    <s v="SPOOL"/>
    <n v="6"/>
    <x v="2"/>
    <s v="NÃO"/>
    <s v="NÃO"/>
    <x v="58"/>
    <x v="3"/>
    <s v="DISPOSIÇÃO DE REJEITOS LINHA DO CIRCUITO ULTRAFINO DISTRIBUIDOR DI-145A-9905 PARA A PENEIRA PN-145A-9705"/>
    <m/>
    <m/>
    <m/>
    <s v="1450AA-T-70446_FL17"/>
    <n v="1"/>
    <s v="PÇ"/>
    <n v="0.48"/>
    <n v="0.48"/>
    <n v="1169.77"/>
    <n v="561.4896"/>
    <n v="0"/>
    <n v="0.9"/>
    <n v="0.1"/>
    <m/>
    <m/>
    <x v="0"/>
    <m/>
    <m/>
    <m/>
    <m/>
    <m/>
    <m/>
    <m/>
    <m/>
    <m/>
    <m/>
    <m/>
    <m/>
    <m/>
    <m/>
    <m/>
    <m/>
    <m/>
  </r>
  <r>
    <s v="2.4.3.1.1"/>
    <s v="CMS M.60.10.000"/>
    <x v="2"/>
    <n v="9"/>
    <s v="SPOOL"/>
    <n v="6"/>
    <x v="2"/>
    <s v="NÃO"/>
    <s v="NÃO"/>
    <x v="58"/>
    <x v="3"/>
    <s v="DISPOSIÇÃO DE REJEITOS LINHA DO CIRCUITO ULTRAFINO DISTRIBUIDOR DI-145A-9905 PARA A PENEIRA PN-145A-9705"/>
    <m/>
    <m/>
    <m/>
    <s v="1450AA-T-70446_FL16"/>
    <n v="1"/>
    <s v="PÇ"/>
    <n v="0.42"/>
    <n v="0.42"/>
    <n v="1169.77"/>
    <n v="491.30339999999995"/>
    <n v="0"/>
    <n v="0.9"/>
    <n v="0.1"/>
    <m/>
    <m/>
    <x v="0"/>
    <m/>
    <m/>
    <m/>
    <m/>
    <m/>
    <m/>
    <m/>
    <m/>
    <m/>
    <m/>
    <m/>
    <m/>
    <m/>
    <m/>
    <m/>
    <m/>
    <m/>
  </r>
  <r>
    <s v="2.4.3.1.1"/>
    <s v="CMS M.60.10.000"/>
    <x v="2"/>
    <n v="10"/>
    <s v="SPOOL"/>
    <n v="6"/>
    <x v="2"/>
    <s v="NÃO"/>
    <s v="NÃO"/>
    <x v="58"/>
    <x v="3"/>
    <s v="DISPOSIÇÃO DE REJEITOS LINHA DO CIRCUITO ULTRAFINO DISTRIBUIDOR DI-145A-9905 PARA A PENEIRA PN-145A-9705"/>
    <m/>
    <m/>
    <m/>
    <s v="1450AA-T-70446_FL15"/>
    <n v="2"/>
    <s v="PÇ"/>
    <n v="0.33"/>
    <n v="0.66"/>
    <n v="1169.77"/>
    <n v="772.04820000000007"/>
    <n v="0"/>
    <n v="0.9"/>
    <n v="0.1"/>
    <m/>
    <m/>
    <x v="0"/>
    <m/>
    <m/>
    <m/>
    <m/>
    <m/>
    <m/>
    <m/>
    <m/>
    <m/>
    <m/>
    <m/>
    <m/>
    <m/>
    <m/>
    <m/>
    <m/>
    <m/>
  </r>
  <r>
    <s v="2.4.3.1.1"/>
    <s v="CMS M.60.10.000"/>
    <x v="2"/>
    <n v="11"/>
    <s v="CURVA"/>
    <n v="6"/>
    <x v="1"/>
    <s v="NÃO"/>
    <s v="NÃO"/>
    <x v="58"/>
    <x v="3"/>
    <s v="DISPOSIÇÃO DE REJEITOS LINHA DO CIRCUITO ULTRAFINO DISTRIBUIDOR DI-145A-9905 PARA A PENEIRA PN-145A-9705"/>
    <m/>
    <m/>
    <m/>
    <s v="1450AA-T-70446_FL21"/>
    <n v="2"/>
    <s v="PÇ"/>
    <n v="0.46899999999999997"/>
    <n v="0.93799999999999994"/>
    <n v="1169.77"/>
    <n v="1097.2442599999999"/>
    <n v="0"/>
    <n v="0.9"/>
    <n v="0.1"/>
    <m/>
    <m/>
    <x v="0"/>
    <m/>
    <m/>
    <m/>
    <m/>
    <m/>
    <m/>
    <m/>
    <m/>
    <m/>
    <m/>
    <m/>
    <m/>
    <m/>
    <m/>
    <m/>
    <m/>
    <m/>
  </r>
  <r>
    <s v="2.4.3.1.1"/>
    <s v="CMS M.60.10.000"/>
    <x v="2"/>
    <n v="12"/>
    <s v="CURVA"/>
    <n v="6"/>
    <x v="1"/>
    <s v="NÃO"/>
    <s v="NÃO"/>
    <x v="58"/>
    <x v="3"/>
    <s v="DISPOSIÇÃO DE REJEITOS LINHA DO CIRCUITO ULTRAFINO DISTRIBUIDOR DI-145A-9905 PARA A PENEIRA PN-145A-9705"/>
    <m/>
    <m/>
    <m/>
    <s v="1450AA-T-70446_FL20"/>
    <n v="1"/>
    <s v="PÇ"/>
    <n v="0.41899999999999998"/>
    <n v="0.41899999999999998"/>
    <n v="1169.77"/>
    <n v="490.13362999999998"/>
    <n v="0"/>
    <n v="0.9"/>
    <n v="0.1"/>
    <m/>
    <m/>
    <x v="0"/>
    <m/>
    <m/>
    <m/>
    <m/>
    <m/>
    <m/>
    <m/>
    <m/>
    <m/>
    <m/>
    <m/>
    <m/>
    <m/>
    <m/>
    <m/>
    <m/>
    <m/>
  </r>
  <r>
    <s v="2.4.3.1.1"/>
    <s v="CMS M.60.10.000"/>
    <x v="2"/>
    <n v="13"/>
    <s v="CURVA"/>
    <n v="6"/>
    <x v="1"/>
    <s v="NÃO"/>
    <s v="NÃO"/>
    <x v="58"/>
    <x v="3"/>
    <s v="DISPOSIÇÃO DE REJEITOS LINHA DO CIRCUITO ULTRAFINO DISTRIBUIDOR DI-145A-9905 PARA A PENEIRA PN-145A-9705"/>
    <m/>
    <m/>
    <m/>
    <s v="1450AA-T-70446_FL19"/>
    <n v="1"/>
    <s v="PÇ"/>
    <n v="0.51"/>
    <n v="0.51"/>
    <n v="1169.77"/>
    <n v="596.58270000000005"/>
    <n v="0"/>
    <n v="0.9"/>
    <n v="0.1"/>
    <m/>
    <m/>
    <x v="0"/>
    <m/>
    <m/>
    <m/>
    <m/>
    <m/>
    <m/>
    <m/>
    <m/>
    <m/>
    <m/>
    <m/>
    <m/>
    <m/>
    <m/>
    <m/>
    <m/>
    <m/>
  </r>
  <r>
    <s v="2.4.3.1.1"/>
    <s v="CMS M.60.10.000"/>
    <x v="2"/>
    <n v="14"/>
    <s v="SPOOL"/>
    <n v="6"/>
    <x v="1"/>
    <s v="NÃO"/>
    <s v="NÃO"/>
    <x v="58"/>
    <x v="3"/>
    <s v="DISPOSIÇÃO DE REJEITOS LINHA DO CIRCUITO ULTRAFINO DISTRIBUIDOR DI-145A-9905 PARA A PENEIRA PN-145A-9705"/>
    <m/>
    <m/>
    <m/>
    <s v="1450AA-T-70446_FL22"/>
    <n v="1"/>
    <s v="PÇ"/>
    <n v="0.75"/>
    <n v="0.75"/>
    <n v="1169.77"/>
    <n v="877.32749999999999"/>
    <n v="0"/>
    <n v="0.9"/>
    <n v="0.1"/>
    <m/>
    <m/>
    <x v="0"/>
    <m/>
    <m/>
    <m/>
    <m/>
    <m/>
    <m/>
    <m/>
    <m/>
    <m/>
    <m/>
    <m/>
    <m/>
    <m/>
    <m/>
    <m/>
    <m/>
    <m/>
  </r>
  <r>
    <n v="0"/>
    <s v="CMS M.60.10.000"/>
    <x v="2"/>
    <n v="15"/>
    <s v="SPOOL"/>
    <s v="6 X 4"/>
    <x v="1"/>
    <s v="NÃO"/>
    <s v="NÃO"/>
    <x v="58"/>
    <x v="3"/>
    <s v="DISPOSIÇÃO DE REJEITOS LINHA DO CIRCUITO ULTRAFINO DISTRIBUIDOR DI-145A-9905 PARA A PENEIRA PN-145A-9705"/>
    <m/>
    <m/>
    <m/>
    <s v="1450AA-T-70446_FL23"/>
    <n v="1"/>
    <s v="PÇ"/>
    <n v="2.1349999999999998"/>
    <n v="2.1349999999999998"/>
    <n v="0"/>
    <n v="0"/>
    <n v="0"/>
    <n v="0.9"/>
    <n v="0.1"/>
    <m/>
    <m/>
    <x v="0"/>
    <m/>
    <m/>
    <m/>
    <m/>
    <m/>
    <m/>
    <m/>
    <m/>
    <m/>
    <m/>
    <m/>
    <m/>
    <m/>
    <m/>
    <m/>
    <m/>
    <m/>
  </r>
  <r>
    <n v="0"/>
    <s v="CMS M.60.10.000"/>
    <x v="2"/>
    <n v="16"/>
    <s v="FLANGE"/>
    <n v="4"/>
    <x v="1"/>
    <s v="NÃO"/>
    <s v="NÃO"/>
    <x v="58"/>
    <x v="3"/>
    <s v="DISPOSIÇÃO DE REJEITOS LINHA DO CIRCUITO ULTRAFINO DISTRIBUIDOR DI-145A-9905 PARA A PENEIRA PN-145A-9705"/>
    <m/>
    <m/>
    <m/>
    <s v="1450AA-T-70446_FL03"/>
    <n v="2"/>
    <s v="PÇ"/>
    <n v="0"/>
    <n v="0"/>
    <n v="0"/>
    <n v="0"/>
    <n v="0"/>
    <n v="0.9"/>
    <n v="0.1"/>
    <m/>
    <m/>
    <x v="0"/>
    <m/>
    <m/>
    <m/>
    <m/>
    <m/>
    <m/>
    <m/>
    <m/>
    <m/>
    <m/>
    <m/>
    <m/>
    <m/>
    <m/>
    <m/>
    <m/>
    <m/>
  </r>
  <r>
    <s v="2.4.3.1.1"/>
    <s v="CMS M.60.10.000"/>
    <x v="2"/>
    <n v="1"/>
    <s v="SPOOL"/>
    <n v="6"/>
    <x v="1"/>
    <s v="NÃO"/>
    <s v="NÃO"/>
    <x v="59"/>
    <x v="3"/>
    <s v="DISPOSIÇÃO DE REJEITOS LINHA DO CIRCUITO ULTRAFINO DISTRIBUIDOR DI-145A-9906 PARA A PENEIRA PN-145A-9727"/>
    <m/>
    <m/>
    <m/>
    <s v="1450AA-T-70451_FL15"/>
    <n v="1"/>
    <s v="PÇ"/>
    <n v="0.25"/>
    <n v="0.25"/>
    <n v="1169.77"/>
    <n v="292.4425"/>
    <n v="0"/>
    <n v="0.9"/>
    <n v="0.1"/>
    <m/>
    <m/>
    <x v="0"/>
    <m/>
    <m/>
    <m/>
    <m/>
    <m/>
    <m/>
    <m/>
    <m/>
    <m/>
    <m/>
    <m/>
    <m/>
    <m/>
    <m/>
    <m/>
    <m/>
    <m/>
  </r>
  <r>
    <s v="2.4.3.1.1"/>
    <s v="CMS M.60.10.000"/>
    <x v="2"/>
    <n v="2"/>
    <s v="CURVA"/>
    <n v="6"/>
    <x v="1"/>
    <s v="NÃO"/>
    <s v="NÃO"/>
    <x v="59"/>
    <x v="3"/>
    <s v="DISPOSIÇÃO DE REJEITOS LINHA DO CIRCUITO ULTRAFINO DISTRIBUIDOR DI-145A-9906 PARA A PENEIRA PN-145A-9727"/>
    <m/>
    <m/>
    <m/>
    <s v="1450AA-T-70451_FL14"/>
    <n v="1"/>
    <s v="PÇ"/>
    <n v="0.46500000000000002"/>
    <n v="0.46500000000000002"/>
    <n v="1169.77"/>
    <n v="543.94304999999997"/>
    <n v="0"/>
    <n v="0.9"/>
    <n v="0.1"/>
    <m/>
    <m/>
    <x v="0"/>
    <m/>
    <m/>
    <m/>
    <m/>
    <m/>
    <m/>
    <m/>
    <m/>
    <m/>
    <m/>
    <m/>
    <m/>
    <m/>
    <m/>
    <m/>
    <m/>
    <m/>
  </r>
  <r>
    <s v="2.4.3.1.1"/>
    <s v="CMS M.60.10.000"/>
    <x v="2"/>
    <n v="3"/>
    <s v="SPOOL"/>
    <n v="6"/>
    <x v="2"/>
    <s v="NÃO"/>
    <s v="NÃO"/>
    <x v="59"/>
    <x v="3"/>
    <s v="DISPOSIÇÃO DE REJEITOS LINHA DO CIRCUITO ULTRAFINO DISTRIBUIDOR DI-145A-9906 PARA A PENEIRA PN-145A-9727"/>
    <m/>
    <m/>
    <m/>
    <s v="1450AA-T-70451_FL22"/>
    <n v="1"/>
    <s v="PÇ"/>
    <n v="0.42"/>
    <n v="0.42"/>
    <n v="1169.77"/>
    <n v="491.30339999999995"/>
    <n v="0"/>
    <n v="0.9"/>
    <n v="0.1"/>
    <m/>
    <m/>
    <x v="0"/>
    <m/>
    <m/>
    <m/>
    <m/>
    <m/>
    <m/>
    <m/>
    <m/>
    <m/>
    <m/>
    <m/>
    <m/>
    <m/>
    <m/>
    <m/>
    <m/>
    <m/>
  </r>
  <r>
    <s v="2.4.3.1.1"/>
    <s v="CMS M.60.10.000"/>
    <x v="2"/>
    <n v="4"/>
    <s v="CURVA"/>
    <n v="6"/>
    <x v="1"/>
    <s v="NÃO"/>
    <s v="NÃO"/>
    <x v="59"/>
    <x v="3"/>
    <s v="DISPOSIÇÃO DE REJEITOS LINHA DO CIRCUITO ULTRAFINO DISTRIBUIDOR DI-145A-9906 PARA A PENEIRA PN-145A-9727"/>
    <m/>
    <m/>
    <m/>
    <s v="1450AA-T-70451_FL13"/>
    <n v="1"/>
    <s v="PÇ"/>
    <n v="0.48"/>
    <n v="0.48"/>
    <n v="1169.77"/>
    <n v="561.4896"/>
    <n v="0"/>
    <n v="0.9"/>
    <n v="0.1"/>
    <m/>
    <m/>
    <x v="0"/>
    <m/>
    <m/>
    <m/>
    <m/>
    <m/>
    <m/>
    <m/>
    <m/>
    <m/>
    <m/>
    <m/>
    <m/>
    <m/>
    <m/>
    <m/>
    <m/>
    <m/>
  </r>
  <r>
    <s v="2.4.3.1.1"/>
    <s v="CMS M.60.10.000"/>
    <x v="2"/>
    <n v="5"/>
    <s v="CURVA"/>
    <n v="6"/>
    <x v="1"/>
    <s v="NÃO"/>
    <s v="NÃO"/>
    <x v="59"/>
    <x v="3"/>
    <s v="DISPOSIÇÃO DE REJEITOS LINHA DO CIRCUITO ULTRAFINO DISTRIBUIDOR DI-145A-9906 PARA A PENEIRA PN-145A-9727"/>
    <m/>
    <m/>
    <m/>
    <s v="1450AA-T-70451_FL12"/>
    <n v="1"/>
    <s v="PÇ"/>
    <n v="0.154"/>
    <n v="0.154"/>
    <n v="1169.77"/>
    <n v="180.14457999999999"/>
    <n v="0"/>
    <n v="0.9"/>
    <n v="0.1"/>
    <m/>
    <m/>
    <x v="0"/>
    <m/>
    <m/>
    <m/>
    <m/>
    <m/>
    <m/>
    <m/>
    <m/>
    <m/>
    <m/>
    <m/>
    <m/>
    <m/>
    <m/>
    <m/>
    <m/>
    <m/>
  </r>
  <r>
    <s v="2.4.3.1.1"/>
    <s v="CMS M.60.10.000"/>
    <x v="2"/>
    <n v="6"/>
    <s v="SPOOL"/>
    <n v="6"/>
    <x v="1"/>
    <s v="NÃO"/>
    <s v="NÃO"/>
    <x v="59"/>
    <x v="3"/>
    <s v="DISPOSIÇÃO DE REJEITOS LINHA DO CIRCUITO ULTRAFINO DISTRIBUIDOR DI-145A-9906 PARA A PENEIRA PN-145A-9727"/>
    <m/>
    <m/>
    <m/>
    <s v="1450AA-T-70451_FL16"/>
    <n v="1"/>
    <s v="PÇ"/>
    <n v="3"/>
    <n v="3"/>
    <n v="1169.77"/>
    <n v="3509.31"/>
    <n v="0"/>
    <n v="0.9"/>
    <n v="0.1"/>
    <m/>
    <m/>
    <x v="0"/>
    <m/>
    <m/>
    <m/>
    <m/>
    <m/>
    <m/>
    <m/>
    <m/>
    <m/>
    <m/>
    <m/>
    <m/>
    <m/>
    <m/>
    <m/>
    <m/>
    <m/>
  </r>
  <r>
    <s v="2.4.3.1.1"/>
    <s v="CMS M.60.10.000"/>
    <x v="2"/>
    <n v="7"/>
    <s v="SPOOL"/>
    <n v="6"/>
    <x v="2"/>
    <s v="NÃO"/>
    <s v="NÃO"/>
    <x v="59"/>
    <x v="3"/>
    <s v="DISPOSIÇÃO DE REJEITOS LINHA DO CIRCUITO ULTRAFINO DISTRIBUIDOR DI-145A-9906 PARA A PENEIRA PN-145A-9727"/>
    <m/>
    <m/>
    <m/>
    <s v="1450AA-T-70451_FL19"/>
    <n v="1"/>
    <s v="PÇ"/>
    <n v="0.92"/>
    <n v="0.92"/>
    <n v="1169.77"/>
    <n v="1076.1884"/>
    <n v="0"/>
    <n v="0.9"/>
    <n v="0.1"/>
    <m/>
    <m/>
    <x v="0"/>
    <m/>
    <m/>
    <m/>
    <m/>
    <m/>
    <m/>
    <m/>
    <m/>
    <m/>
    <m/>
    <m/>
    <m/>
    <m/>
    <m/>
    <m/>
    <m/>
    <m/>
  </r>
  <r>
    <s v="2.4.3.1.1"/>
    <s v="CMS M.60.10.000"/>
    <x v="2"/>
    <n v="8"/>
    <s v="CURVA"/>
    <n v="6"/>
    <x v="1"/>
    <s v="NÃO"/>
    <s v="NÃO"/>
    <x v="59"/>
    <x v="3"/>
    <s v="DISPOSIÇÃO DE REJEITOS LINHA DO CIRCUITO ULTRAFINO DISTRIBUIDOR DI-145A-9906 PARA A PENEIRA PN-145A-9727"/>
    <m/>
    <m/>
    <m/>
    <s v="1450AA-T-70451_FL11"/>
    <n v="1"/>
    <s v="PÇ"/>
    <n v="0.315"/>
    <n v="0.315"/>
    <n v="1169.77"/>
    <n v="368.47755000000001"/>
    <n v="0"/>
    <n v="0.9"/>
    <n v="0.1"/>
    <m/>
    <m/>
    <x v="0"/>
    <m/>
    <m/>
    <m/>
    <m/>
    <m/>
    <m/>
    <m/>
    <m/>
    <m/>
    <m/>
    <m/>
    <m/>
    <m/>
    <m/>
    <m/>
    <m/>
    <m/>
  </r>
  <r>
    <s v="2.4.3.1.1"/>
    <s v="CMS M.60.10.000"/>
    <x v="2"/>
    <n v="9"/>
    <s v="SPOOL"/>
    <n v="6"/>
    <x v="1"/>
    <s v="NÃO"/>
    <s v="NÃO"/>
    <x v="59"/>
    <x v="3"/>
    <s v="DISPOSIÇÃO DE REJEITOS LINHA DO CIRCUITO ULTRAFINO DISTRIBUIDOR DI-145A-9906 PARA A PENEIRA PN-145A-9727"/>
    <m/>
    <m/>
    <m/>
    <s v="1450AA-T-70451_FL17"/>
    <n v="1"/>
    <s v="PÇ"/>
    <n v="1.2"/>
    <n v="1.2"/>
    <n v="1169.77"/>
    <n v="1403.7239999999999"/>
    <n v="0"/>
    <n v="0.9"/>
    <n v="0.1"/>
    <m/>
    <m/>
    <x v="0"/>
    <m/>
    <m/>
    <m/>
    <m/>
    <m/>
    <m/>
    <m/>
    <m/>
    <m/>
    <m/>
    <m/>
    <m/>
    <m/>
    <m/>
    <m/>
    <m/>
    <m/>
  </r>
  <r>
    <s v="2.4.3.1.1"/>
    <s v="CMS M.60.10.000"/>
    <x v="2"/>
    <n v="10"/>
    <s v="SPOOL"/>
    <n v="6"/>
    <x v="2"/>
    <s v="NÃO"/>
    <s v="NÃO"/>
    <x v="59"/>
    <x v="3"/>
    <s v="DISPOSIÇÃO DE REJEITOS LINHA DO CIRCUITO ULTRAFINO DISTRIBUIDOR DI-145A-9906 PARA A PENEIRA PN-145A-9727"/>
    <m/>
    <m/>
    <m/>
    <s v="1450AA-T-70451_FL20"/>
    <n v="1"/>
    <s v="PÇ"/>
    <n v="0.65"/>
    <n v="0.65"/>
    <n v="1169.77"/>
    <n v="760.35050000000001"/>
    <n v="0"/>
    <n v="0.9"/>
    <n v="0.1"/>
    <m/>
    <m/>
    <x v="0"/>
    <m/>
    <m/>
    <m/>
    <m/>
    <m/>
    <m/>
    <m/>
    <m/>
    <m/>
    <m/>
    <m/>
    <m/>
    <m/>
    <m/>
    <m/>
    <m/>
    <m/>
  </r>
  <r>
    <s v="2.4.3.1.1"/>
    <s v="CMS M.60.10.000"/>
    <x v="2"/>
    <n v="11"/>
    <s v="SPOOL"/>
    <n v="6"/>
    <x v="1"/>
    <s v="NÃO"/>
    <s v="NÃO"/>
    <x v="59"/>
    <x v="3"/>
    <s v="DISPOSIÇÃO DE REJEITOS LINHA DO CIRCUITO ULTRAFINO DISTRIBUIDOR DI-145A-9906 PARA A PENEIRA PN-145A-9727"/>
    <m/>
    <m/>
    <m/>
    <s v="1450AA-T-70451_FL18"/>
    <n v="1"/>
    <s v="PÇ"/>
    <n v="1.5"/>
    <n v="1.5"/>
    <n v="1169.77"/>
    <n v="1754.655"/>
    <n v="0"/>
    <n v="0.9"/>
    <n v="0.1"/>
    <m/>
    <m/>
    <x v="0"/>
    <m/>
    <m/>
    <m/>
    <m/>
    <m/>
    <m/>
    <m/>
    <m/>
    <m/>
    <m/>
    <m/>
    <m/>
    <m/>
    <m/>
    <m/>
    <m/>
    <m/>
  </r>
  <r>
    <s v="2.4.3.1.1"/>
    <s v="CMS M.60.10.000"/>
    <x v="2"/>
    <n v="12"/>
    <s v="SPOOL"/>
    <n v="6"/>
    <x v="2"/>
    <s v="NÃO"/>
    <s v="NÃO"/>
    <x v="59"/>
    <x v="3"/>
    <s v="DISPOSIÇÃO DE REJEITOS LINHA DO CIRCUITO ULTRAFINO DISTRIBUIDOR DI-145A-9906 PARA A PENEIRA PN-145A-9727"/>
    <m/>
    <m/>
    <m/>
    <s v="1450AA-T-70451_FL21"/>
    <n v="1"/>
    <s v="PÇ"/>
    <n v="0.51"/>
    <n v="0.51"/>
    <n v="1169.77"/>
    <n v="596.58270000000005"/>
    <n v="0"/>
    <n v="0.9"/>
    <n v="0.1"/>
    <m/>
    <m/>
    <x v="0"/>
    <m/>
    <m/>
    <m/>
    <m/>
    <m/>
    <m/>
    <m/>
    <m/>
    <m/>
    <m/>
    <m/>
    <m/>
    <m/>
    <m/>
    <m/>
    <m/>
    <m/>
  </r>
  <r>
    <n v="0"/>
    <s v="CMS M.60.10.000"/>
    <x v="2"/>
    <n v="13"/>
    <s v="SPOOL"/>
    <s v="6 X 4"/>
    <x v="1"/>
    <s v="NÃO"/>
    <s v="NÃO"/>
    <x v="59"/>
    <x v="3"/>
    <s v="DISPOSIÇÃO DE REJEITOS LINHA DO CIRCUITO ULTRAFINO DISTRIBUIDOR DI-145A-9906 PARA A PENEIRA PN-145A-9727"/>
    <m/>
    <m/>
    <m/>
    <s v="1450AA-T-70451_FL09"/>
    <n v="1"/>
    <s v="PÇ"/>
    <n v="2.1349999999999998"/>
    <n v="2.1349999999999998"/>
    <n v="0"/>
    <n v="0"/>
    <n v="0"/>
    <n v="0.9"/>
    <n v="0.1"/>
    <m/>
    <m/>
    <x v="0"/>
    <m/>
    <m/>
    <m/>
    <m/>
    <m/>
    <m/>
    <m/>
    <m/>
    <m/>
    <m/>
    <m/>
    <m/>
    <m/>
    <m/>
    <m/>
    <m/>
    <m/>
  </r>
  <r>
    <n v="0"/>
    <s v="CMS M.60.10.000"/>
    <x v="2"/>
    <n v="14"/>
    <s v="FLANGE"/>
    <n v="4"/>
    <x v="1"/>
    <s v="NÃO"/>
    <s v="NÃO"/>
    <x v="59"/>
    <x v="3"/>
    <s v="DISPOSIÇÃO DE REJEITOS LINHA DO CIRCUITO ULTRAFINO DISTRIBUIDOR DI-145A-9906 PARA A PENEIRA PN-145A-9727"/>
    <m/>
    <m/>
    <m/>
    <s v="1450AA-T-70451_FL03"/>
    <n v="1"/>
    <s v="PÇ"/>
    <n v="0"/>
    <n v="0"/>
    <n v="0"/>
    <n v="0"/>
    <n v="0"/>
    <n v="0.9"/>
    <n v="0.1"/>
    <m/>
    <m/>
    <x v="0"/>
    <m/>
    <m/>
    <m/>
    <m/>
    <m/>
    <m/>
    <m/>
    <m/>
    <m/>
    <m/>
    <m/>
    <m/>
    <m/>
    <m/>
    <m/>
    <m/>
    <m/>
  </r>
  <r>
    <s v="2.4.3.1.1"/>
    <s v="CMS M.60.10.000"/>
    <x v="2"/>
    <n v="1"/>
    <s v="SPOOL"/>
    <n v="6"/>
    <x v="1"/>
    <s v="NÃO"/>
    <s v="NÃO"/>
    <x v="60"/>
    <x v="3"/>
    <s v="DISPOSIÇÃO DE REJEITOS LINHA DO CIRCUITO ULTRAFINO DISTRIBUIDOR DI-145A-9906 PARA A PENEIRA PN-145A-9728"/>
    <m/>
    <m/>
    <m/>
    <s v="1450AA-T-70453_FL16"/>
    <n v="1"/>
    <s v="PÇ"/>
    <n v="0.25"/>
    <n v="0.25"/>
    <n v="1169.77"/>
    <n v="292.4425"/>
    <n v="0"/>
    <n v="0.9"/>
    <n v="0.1"/>
    <m/>
    <m/>
    <x v="0"/>
    <m/>
    <m/>
    <m/>
    <m/>
    <m/>
    <m/>
    <m/>
    <m/>
    <m/>
    <m/>
    <m/>
    <m/>
    <m/>
    <m/>
    <m/>
    <m/>
    <m/>
  </r>
  <r>
    <s v="2.4.3.1.1"/>
    <s v="CMS M.60.10.000"/>
    <x v="2"/>
    <n v="2"/>
    <s v="CURVA"/>
    <n v="6"/>
    <x v="1"/>
    <s v="NÃO"/>
    <s v="NÃO"/>
    <x v="60"/>
    <x v="3"/>
    <s v="DISPOSIÇÃO DE REJEITOS LINHA DO CIRCUITO ULTRAFINO DISTRIBUIDOR DI-145A-9906 PARA A PENEIRA PN-145A-9728"/>
    <m/>
    <m/>
    <m/>
    <s v="1450AA-T-70453_FL15"/>
    <n v="1"/>
    <s v="PÇ"/>
    <n v="0.46500000000000002"/>
    <n v="0.46500000000000002"/>
    <n v="1169.77"/>
    <n v="543.94304999999997"/>
    <n v="0"/>
    <n v="0.9"/>
    <n v="0.1"/>
    <m/>
    <m/>
    <x v="0"/>
    <m/>
    <m/>
    <m/>
    <m/>
    <m/>
    <m/>
    <m/>
    <m/>
    <m/>
    <m/>
    <m/>
    <m/>
    <m/>
    <m/>
    <m/>
    <m/>
    <m/>
  </r>
  <r>
    <s v="2.4.3.1.1"/>
    <s v="CMS M.60.10.000"/>
    <x v="2"/>
    <n v="3"/>
    <s v="SPOOL"/>
    <n v="6"/>
    <x v="2"/>
    <s v="NÃO"/>
    <s v="NÃO"/>
    <x v="60"/>
    <x v="3"/>
    <s v="DISPOSIÇÃO DE REJEITOS LINHA DO CIRCUITO ULTRAFINO DISTRIBUIDOR DI-145A-9906 PARA A PENEIRA PN-145A-9728"/>
    <m/>
    <m/>
    <m/>
    <s v="1450AA-T-70453_FL21"/>
    <n v="1"/>
    <s v="PÇ"/>
    <n v="0.86"/>
    <n v="0.86"/>
    <n v="1169.77"/>
    <n v="1006.0022"/>
    <n v="0"/>
    <n v="0.9"/>
    <n v="0.1"/>
    <m/>
    <m/>
    <x v="0"/>
    <m/>
    <m/>
    <m/>
    <m/>
    <m/>
    <m/>
    <m/>
    <m/>
    <m/>
    <m/>
    <m/>
    <m/>
    <m/>
    <m/>
    <m/>
    <m/>
    <m/>
  </r>
  <r>
    <s v="2.4.3.1.1"/>
    <s v="CMS M.60.10.000"/>
    <x v="2"/>
    <n v="4"/>
    <s v="CURVA"/>
    <n v="6"/>
    <x v="1"/>
    <s v="NÃO"/>
    <s v="NÃO"/>
    <x v="60"/>
    <x v="3"/>
    <s v="DISPOSIÇÃO DE REJEITOS LINHA DO CIRCUITO ULTRAFINO DISTRIBUIDOR DI-145A-9906 PARA A PENEIRA PN-145A-9728"/>
    <m/>
    <m/>
    <m/>
    <s v="1450AA-T-70453_FL11"/>
    <n v="1"/>
    <s v="PÇ"/>
    <n v="0.48"/>
    <n v="0.48"/>
    <n v="1169.77"/>
    <n v="561.4896"/>
    <n v="0"/>
    <n v="0.9"/>
    <n v="0.1"/>
    <m/>
    <m/>
    <x v="0"/>
    <m/>
    <m/>
    <m/>
    <m/>
    <m/>
    <m/>
    <m/>
    <m/>
    <m/>
    <m/>
    <m/>
    <m/>
    <m/>
    <m/>
    <m/>
    <m/>
    <m/>
  </r>
  <r>
    <s v="2.4.3.1.1"/>
    <s v="CMS M.60.10.000"/>
    <x v="2"/>
    <n v="5"/>
    <s v="SPOOL"/>
    <n v="6"/>
    <x v="2"/>
    <s v="NÃO"/>
    <s v="NÃO"/>
    <x v="60"/>
    <x v="3"/>
    <s v="DISPOSIÇÃO DE REJEITOS LINHA DO CIRCUITO ULTRAFINO DISTRIBUIDOR DI-145A-9906 PARA A PENEIRA PN-145A-9728"/>
    <m/>
    <m/>
    <m/>
    <s v="1450AA-T-70453_FL19"/>
    <n v="3"/>
    <s v="PÇ"/>
    <n v="0.5"/>
    <n v="1.5"/>
    <n v="1169.77"/>
    <n v="1754.655"/>
    <n v="0"/>
    <n v="0.9"/>
    <n v="0.1"/>
    <m/>
    <m/>
    <x v="0"/>
    <m/>
    <m/>
    <m/>
    <m/>
    <m/>
    <m/>
    <m/>
    <m/>
    <m/>
    <m/>
    <m/>
    <m/>
    <m/>
    <m/>
    <m/>
    <m/>
    <m/>
  </r>
  <r>
    <s v="2.4.3.1.1"/>
    <s v="CMS M.60.10.000"/>
    <x v="2"/>
    <n v="6"/>
    <s v="CURVA"/>
    <n v="6"/>
    <x v="1"/>
    <s v="NÃO"/>
    <s v="NÃO"/>
    <x v="60"/>
    <x v="3"/>
    <s v="DISPOSIÇÃO DE REJEITOS LINHA DO CIRCUITO ULTRAFINO DISTRIBUIDOR DI-145A-9906 PARA A PENEIRA PN-145A-9728"/>
    <m/>
    <m/>
    <m/>
    <s v="1450AA-T-70453_FL14"/>
    <n v="1"/>
    <s v="PÇ"/>
    <n v="0.223"/>
    <n v="0.223"/>
    <n v="1169.77"/>
    <n v="260.85870999999997"/>
    <n v="0"/>
    <n v="0.9"/>
    <n v="0.1"/>
    <m/>
    <m/>
    <x v="0"/>
    <m/>
    <m/>
    <m/>
    <m/>
    <m/>
    <m/>
    <m/>
    <m/>
    <m/>
    <m/>
    <m/>
    <m/>
    <m/>
    <m/>
    <m/>
    <m/>
    <m/>
  </r>
  <r>
    <s v="2.4.3.1.1"/>
    <s v="CMS M.60.10.000"/>
    <x v="2"/>
    <n v="7"/>
    <s v="SPOOL"/>
    <n v="6"/>
    <x v="1"/>
    <s v="NÃO"/>
    <s v="NÃO"/>
    <x v="60"/>
    <x v="3"/>
    <s v="DISPOSIÇÃO DE REJEITOS LINHA DO CIRCUITO ULTRAFINO DISTRIBUIDOR DI-145A-9906 PARA A PENEIRA PN-145A-9728"/>
    <m/>
    <m/>
    <m/>
    <s v="1450AA-T-70453_FL17"/>
    <n v="1"/>
    <s v="PÇ"/>
    <n v="2.5"/>
    <n v="2.5"/>
    <n v="1169.77"/>
    <n v="2924.4250000000002"/>
    <n v="0"/>
    <n v="0.9"/>
    <n v="0.1"/>
    <m/>
    <m/>
    <x v="0"/>
    <m/>
    <m/>
    <m/>
    <m/>
    <m/>
    <m/>
    <m/>
    <m/>
    <m/>
    <m/>
    <m/>
    <m/>
    <m/>
    <m/>
    <m/>
    <m/>
    <m/>
  </r>
  <r>
    <s v="2.4.3.1.1"/>
    <s v="CMS M.60.10.000"/>
    <x v="2"/>
    <n v="8"/>
    <s v="CURVA"/>
    <n v="6"/>
    <x v="1"/>
    <s v="NÃO"/>
    <s v="NÃO"/>
    <x v="60"/>
    <x v="3"/>
    <s v="DISPOSIÇÃO DE REJEITOS LINHA DO CIRCUITO ULTRAFINO DISTRIBUIDOR DI-145A-9906 PARA A PENEIRA PN-145A-9728"/>
    <m/>
    <m/>
    <m/>
    <s v="1450AA-T-70453_FL13"/>
    <n v="1"/>
    <s v="PÇ"/>
    <n v="0.42"/>
    <n v="0.42"/>
    <n v="1169.77"/>
    <n v="491.30339999999995"/>
    <n v="0"/>
    <n v="0.9"/>
    <n v="0.1"/>
    <m/>
    <m/>
    <x v="0"/>
    <m/>
    <m/>
    <m/>
    <m/>
    <m/>
    <m/>
    <m/>
    <m/>
    <m/>
    <m/>
    <m/>
    <m/>
    <m/>
    <m/>
    <m/>
    <m/>
    <m/>
  </r>
  <r>
    <s v="2.4.3.1.1"/>
    <s v="CMS M.60.10.000"/>
    <x v="2"/>
    <n v="9"/>
    <s v="SPOOL"/>
    <n v="6"/>
    <x v="2"/>
    <s v="NÃO"/>
    <s v="NÃO"/>
    <x v="60"/>
    <x v="3"/>
    <s v="DISPOSIÇÃO DE REJEITOS LINHA DO CIRCUITO ULTRAFINO DISTRIBUIDOR DI-145A-9906 PARA A PENEIRA PN-145A-9728"/>
    <m/>
    <m/>
    <m/>
    <s v="1450AA-T-70453_FL20"/>
    <n v="1"/>
    <s v="PÇ"/>
    <n v="0.4"/>
    <n v="0.4"/>
    <n v="1169.77"/>
    <n v="467.90800000000002"/>
    <n v="0"/>
    <n v="0.9"/>
    <n v="0.1"/>
    <m/>
    <m/>
    <x v="0"/>
    <m/>
    <m/>
    <m/>
    <m/>
    <m/>
    <m/>
    <m/>
    <m/>
    <m/>
    <m/>
    <m/>
    <m/>
    <m/>
    <m/>
    <m/>
    <m/>
    <m/>
  </r>
  <r>
    <s v="2.4.3.1.1"/>
    <s v="CMS M.60.10.000"/>
    <x v="2"/>
    <n v="10"/>
    <s v="CURVA"/>
    <n v="6"/>
    <x v="1"/>
    <s v="NÃO"/>
    <s v="NÃO"/>
    <x v="60"/>
    <x v="3"/>
    <s v="DISPOSIÇÃO DE REJEITOS LINHA DO CIRCUITO ULTRAFINO DISTRIBUIDOR DI-145A-9906 PARA A PENEIRA PN-145A-9728"/>
    <m/>
    <m/>
    <m/>
    <s v="1450AA-T-70453_FL12"/>
    <n v="1"/>
    <s v="PÇ"/>
    <n v="0.47"/>
    <n v="0.47"/>
    <n v="1169.77"/>
    <n v="549.79189999999994"/>
    <n v="0"/>
    <n v="0.9"/>
    <n v="0.1"/>
    <m/>
    <m/>
    <x v="0"/>
    <m/>
    <m/>
    <m/>
    <m/>
    <m/>
    <m/>
    <m/>
    <m/>
    <m/>
    <m/>
    <m/>
    <m/>
    <m/>
    <m/>
    <m/>
    <m/>
    <m/>
  </r>
  <r>
    <s v="2.4.3.1.1"/>
    <s v="CMS M.60.10.000"/>
    <x v="2"/>
    <n v="11"/>
    <s v="SPOOL"/>
    <n v="6"/>
    <x v="1"/>
    <s v="NÃO"/>
    <s v="NÃO"/>
    <x v="60"/>
    <x v="3"/>
    <s v="DISPOSIÇÃO DE REJEITOS LINHA DO CIRCUITO ULTRAFINO DISTRIBUIDOR DI-145A-9906 PARA A PENEIRA PN-145A-9728"/>
    <m/>
    <m/>
    <m/>
    <s v="1450AA-T-70453_FL18"/>
    <n v="1"/>
    <s v="PÇ"/>
    <n v="1.7"/>
    <n v="1.7"/>
    <n v="1169.77"/>
    <n v="1988.6089999999999"/>
    <n v="0"/>
    <n v="0.9"/>
    <n v="0.1"/>
    <m/>
    <m/>
    <x v="0"/>
    <m/>
    <m/>
    <m/>
    <m/>
    <m/>
    <m/>
    <m/>
    <m/>
    <m/>
    <m/>
    <m/>
    <m/>
    <m/>
    <m/>
    <m/>
    <m/>
    <m/>
  </r>
  <r>
    <n v="0"/>
    <s v="CMS M.60.10.000"/>
    <x v="2"/>
    <n v="12"/>
    <s v="SPOOL"/>
    <s v="6 X 4"/>
    <x v="1"/>
    <s v="NÃO"/>
    <s v="NÃO"/>
    <x v="60"/>
    <x v="3"/>
    <s v="DISPOSIÇÃO DE REJEITOS LINHA DO CIRCUITO ULTRAFINO DISTRIBUIDOR DI-145A-9906 PARA A PENEIRA PN-145A-9728"/>
    <m/>
    <m/>
    <m/>
    <s v="1450AA-T-70453_FL09"/>
    <n v="1"/>
    <s v="PÇ"/>
    <n v="2.1349999999999998"/>
    <n v="2.1349999999999998"/>
    <n v="0"/>
    <n v="0"/>
    <n v="0"/>
    <n v="0.9"/>
    <n v="0.1"/>
    <m/>
    <m/>
    <x v="0"/>
    <m/>
    <m/>
    <m/>
    <m/>
    <m/>
    <m/>
    <m/>
    <m/>
    <m/>
    <m/>
    <m/>
    <m/>
    <m/>
    <m/>
    <m/>
    <m/>
    <m/>
  </r>
  <r>
    <n v="0"/>
    <s v="CMS M.60.10.000"/>
    <x v="2"/>
    <n v="13"/>
    <s v="FLANGE"/>
    <n v="4"/>
    <x v="1"/>
    <s v="NÃO"/>
    <s v="NÃO"/>
    <x v="60"/>
    <x v="3"/>
    <s v="DISPOSIÇÃO DE REJEITOS LINHA DO CIRCUITO ULTRAFINO DISTRIBUIDOR DI-145A-9906 PARA A PENEIRA PN-145A-9728"/>
    <m/>
    <m/>
    <m/>
    <s v="1450AA-T-70453_FL03"/>
    <n v="2"/>
    <s v="PÇ"/>
    <n v="0"/>
    <n v="0"/>
    <n v="0"/>
    <n v="0"/>
    <n v="0"/>
    <n v="0.9"/>
    <n v="0.1"/>
    <m/>
    <m/>
    <x v="0"/>
    <m/>
    <m/>
    <m/>
    <m/>
    <m/>
    <m/>
    <m/>
    <m/>
    <m/>
    <m/>
    <m/>
    <m/>
    <m/>
    <m/>
    <m/>
    <m/>
    <m/>
  </r>
  <r>
    <s v="2.4.3.1.1"/>
    <s v="CMS M.60.10.000"/>
    <x v="2"/>
    <n v="1"/>
    <s v="CURVA"/>
    <n v="6"/>
    <x v="1"/>
    <s v="NÃO"/>
    <s v="NÃO"/>
    <x v="61"/>
    <x v="3"/>
    <s v="DISPOSIÇÃO DE REJEITOS LINHA DO CIRCUITO ULTRAFINO DISTRIBUIDOR DI-145A-9906 PARA A PENEIRA PN-145A-9729"/>
    <m/>
    <m/>
    <m/>
    <s v="1450AA-T-70455_FL11"/>
    <n v="2"/>
    <s v="PÇ"/>
    <n v="0.46500000000000002"/>
    <n v="0.93"/>
    <n v="1169.77"/>
    <n v="1087.8860999999999"/>
    <n v="0"/>
    <n v="0.9"/>
    <n v="0.1"/>
    <m/>
    <m/>
    <x v="0"/>
    <m/>
    <m/>
    <m/>
    <m/>
    <m/>
    <m/>
    <m/>
    <m/>
    <m/>
    <m/>
    <m/>
    <m/>
    <m/>
    <m/>
    <m/>
    <m/>
    <m/>
  </r>
  <r>
    <s v="2.4.3.1.1"/>
    <s v="CMS M.60.10.000"/>
    <x v="2"/>
    <n v="2"/>
    <s v="SPOOL"/>
    <n v="6"/>
    <x v="2"/>
    <s v="NÃO"/>
    <s v="NÃO"/>
    <x v="61"/>
    <x v="3"/>
    <s v="DISPOSIÇÃO DE REJEITOS LINHA DO CIRCUITO ULTRAFINO DISTRIBUIDOR DI-145A-9906 PARA A PENEIRA PN-145A-9729"/>
    <m/>
    <m/>
    <m/>
    <s v="1450AA-T-70455_FL14"/>
    <n v="1"/>
    <s v="PÇ"/>
    <n v="0.94"/>
    <n v="0.94"/>
    <n v="1169.77"/>
    <n v="1099.5837999999999"/>
    <n v="0"/>
    <n v="0.9"/>
    <n v="0.1"/>
    <m/>
    <m/>
    <x v="0"/>
    <m/>
    <m/>
    <m/>
    <m/>
    <m/>
    <m/>
    <m/>
    <m/>
    <m/>
    <m/>
    <m/>
    <m/>
    <m/>
    <m/>
    <m/>
    <m/>
    <m/>
  </r>
  <r>
    <s v="2.4.3.1.1"/>
    <s v="CMS M.60.10.000"/>
    <x v="2"/>
    <n v="3"/>
    <s v="SPOOL"/>
    <n v="6"/>
    <x v="1"/>
    <s v="NÃO"/>
    <s v="NÃO"/>
    <x v="61"/>
    <x v="3"/>
    <s v="DISPOSIÇÃO DE REJEITOS LINHA DO CIRCUITO ULTRAFINO DISTRIBUIDOR DI-145A-9906 PARA A PENEIRA PN-145A-9729"/>
    <m/>
    <m/>
    <m/>
    <s v="1450AA-T-70455_FL12"/>
    <n v="1"/>
    <s v="PÇ"/>
    <n v="2.5"/>
    <n v="2.5"/>
    <n v="1169.77"/>
    <n v="2924.4250000000002"/>
    <n v="0"/>
    <n v="0.9"/>
    <n v="0.1"/>
    <m/>
    <m/>
    <x v="0"/>
    <m/>
    <m/>
    <m/>
    <m/>
    <m/>
    <m/>
    <m/>
    <m/>
    <m/>
    <m/>
    <m/>
    <m/>
    <m/>
    <m/>
    <m/>
    <m/>
    <m/>
  </r>
  <r>
    <s v="2.4.3.1.1"/>
    <s v="CMS M.60.10.000"/>
    <x v="2"/>
    <n v="4"/>
    <s v="SPOOL"/>
    <n v="6"/>
    <x v="2"/>
    <s v="NÃO"/>
    <s v="NÃO"/>
    <x v="61"/>
    <x v="3"/>
    <s v="DISPOSIÇÃO DE REJEITOS LINHA DO CIRCUITO ULTRAFINO DISTRIBUIDOR DI-145A-9906 PARA A PENEIRA PN-145A-9729"/>
    <m/>
    <m/>
    <m/>
    <s v="1450AA-T-70455_FL13"/>
    <n v="1"/>
    <s v="PÇ"/>
    <n v="0.6"/>
    <n v="0.6"/>
    <n v="1169.77"/>
    <n v="701.86199999999997"/>
    <n v="0"/>
    <n v="0.9"/>
    <n v="0.1"/>
    <m/>
    <m/>
    <x v="0"/>
    <m/>
    <m/>
    <m/>
    <m/>
    <m/>
    <m/>
    <m/>
    <m/>
    <m/>
    <m/>
    <m/>
    <m/>
    <m/>
    <m/>
    <m/>
    <m/>
    <m/>
  </r>
  <r>
    <n v="0"/>
    <s v="CMS M.60.10.000"/>
    <x v="2"/>
    <n v="5"/>
    <s v="SPOOL"/>
    <s v="6 X 4"/>
    <x v="1"/>
    <s v="NÃO"/>
    <s v="NÃO"/>
    <x v="61"/>
    <x v="3"/>
    <s v="DISPOSIÇÃO DE REJEITOS LINHA DO CIRCUITO ULTRAFINO DISTRIBUIDOR DI-145A-9906 PARA A PENEIRA PN-145A-9729"/>
    <m/>
    <m/>
    <m/>
    <s v="1450AA-T-70455_FL09"/>
    <n v="1"/>
    <s v="PÇ"/>
    <n v="2.1349999999999998"/>
    <n v="2.1349999999999998"/>
    <n v="0"/>
    <n v="0"/>
    <n v="0"/>
    <n v="0.9"/>
    <n v="0.1"/>
    <m/>
    <m/>
    <x v="0"/>
    <m/>
    <m/>
    <m/>
    <m/>
    <m/>
    <m/>
    <m/>
    <m/>
    <m/>
    <m/>
    <m/>
    <m/>
    <m/>
    <m/>
    <m/>
    <m/>
    <m/>
  </r>
  <r>
    <n v="0"/>
    <s v="CMS M.60.10.000"/>
    <x v="2"/>
    <n v="6"/>
    <s v="FLANGE"/>
    <n v="4"/>
    <x v="1"/>
    <s v="NÃO"/>
    <s v="NÃO"/>
    <x v="61"/>
    <x v="3"/>
    <s v="DISPOSIÇÃO DE REJEITOS LINHA DO CIRCUITO ULTRAFINO DISTRIBUIDOR DI-145A-9906 PARA A PENEIRA PN-145A-9729"/>
    <m/>
    <m/>
    <m/>
    <s v="1450AA-T-70455_FL03"/>
    <n v="2"/>
    <s v="PÇ"/>
    <n v="0"/>
    <n v="0"/>
    <n v="0"/>
    <n v="0"/>
    <n v="0"/>
    <n v="0.9"/>
    <n v="0.1"/>
    <m/>
    <m/>
    <x v="0"/>
    <m/>
    <m/>
    <m/>
    <m/>
    <m/>
    <m/>
    <m/>
    <m/>
    <m/>
    <m/>
    <m/>
    <m/>
    <m/>
    <m/>
    <m/>
    <m/>
    <m/>
  </r>
  <r>
    <s v="2.4.3.1.1"/>
    <s v="CMS M.60.10.000"/>
    <x v="2"/>
    <n v="1"/>
    <s v="CURVA"/>
    <n v="6"/>
    <x v="1"/>
    <s v="NÃO"/>
    <s v="NÃO"/>
    <x v="62"/>
    <x v="3"/>
    <s v="DISPOSIÇÃO DE REJEITOS LINHA DO CIRCUITO ULTRAFINO DISTRIBUIDOR DI-145A-9906 PARA A PENEIRA PN-145A-9707"/>
    <m/>
    <m/>
    <m/>
    <s v="1450AA-T-70457_FL16"/>
    <n v="2"/>
    <s v="PÇ"/>
    <n v="0.46500000000000002"/>
    <n v="0.93"/>
    <n v="1169.77"/>
    <n v="1087.8860999999999"/>
    <n v="0"/>
    <n v="0.9"/>
    <n v="0.1"/>
    <m/>
    <m/>
    <x v="0"/>
    <m/>
    <m/>
    <m/>
    <m/>
    <m/>
    <m/>
    <m/>
    <m/>
    <m/>
    <m/>
    <m/>
    <m/>
    <m/>
    <m/>
    <m/>
    <m/>
    <m/>
  </r>
  <r>
    <s v="2.4.3.1.1"/>
    <s v="CMS M.60.10.000"/>
    <x v="2"/>
    <n v="2"/>
    <s v="SPOOL"/>
    <n v="6"/>
    <x v="2"/>
    <s v="NÃO"/>
    <s v="NÃO"/>
    <x v="62"/>
    <x v="3"/>
    <s v="DISPOSIÇÃO DE REJEITOS LINHA DO CIRCUITO ULTRAFINO DISTRIBUIDOR DI-145A-9906 PARA A PENEIRA PN-145A-9707"/>
    <m/>
    <m/>
    <m/>
    <s v="1450AA-T-70457_FL22"/>
    <n v="2"/>
    <s v="PÇ"/>
    <n v="0.4"/>
    <n v="0.8"/>
    <n v="1169.77"/>
    <n v="935.81600000000003"/>
    <n v="0"/>
    <n v="0.9"/>
    <n v="0.1"/>
    <m/>
    <m/>
    <x v="0"/>
    <m/>
    <m/>
    <m/>
    <m/>
    <m/>
    <m/>
    <m/>
    <m/>
    <m/>
    <m/>
    <m/>
    <m/>
    <m/>
    <m/>
    <m/>
    <m/>
    <m/>
  </r>
  <r>
    <s v="2.4.3.1.1"/>
    <s v="CMS M.60.10.000"/>
    <x v="2"/>
    <n v="3"/>
    <s v="CURVA"/>
    <n v="6"/>
    <x v="1"/>
    <s v="NÃO"/>
    <s v="NÃO"/>
    <x v="62"/>
    <x v="3"/>
    <s v="DISPOSIÇÃO DE REJEITOS LINHA DO CIRCUITO ULTRAFINO DISTRIBUIDOR DI-145A-9906 PARA A PENEIRA PN-145A-9707"/>
    <m/>
    <m/>
    <m/>
    <s v="1450AA-T-70457_FL13"/>
    <n v="1"/>
    <s v="PÇ"/>
    <n v="0.42"/>
    <n v="0.42"/>
    <n v="1169.77"/>
    <n v="491.30339999999995"/>
    <n v="0"/>
    <n v="0.9"/>
    <n v="0.1"/>
    <m/>
    <m/>
    <x v="0"/>
    <m/>
    <m/>
    <m/>
    <m/>
    <m/>
    <m/>
    <m/>
    <m/>
    <m/>
    <m/>
    <m/>
    <m/>
    <m/>
    <m/>
    <m/>
    <m/>
    <m/>
  </r>
  <r>
    <s v="2.4.3.1.1"/>
    <s v="CMS M.60.10.000"/>
    <x v="2"/>
    <n v="4"/>
    <s v="SPOOL"/>
    <n v="6"/>
    <x v="1"/>
    <s v="NÃO"/>
    <s v="NÃO"/>
    <x v="62"/>
    <x v="3"/>
    <s v="DISPOSIÇÃO DE REJEITOS LINHA DO CIRCUITO ULTRAFINO DISTRIBUIDOR DI-145A-9906 PARA A PENEIRA PN-145A-9707"/>
    <m/>
    <m/>
    <m/>
    <s v="1450AA-T-70457_FL17"/>
    <n v="4"/>
    <s v="PÇ"/>
    <n v="2.5"/>
    <n v="10"/>
    <n v="1169.77"/>
    <n v="11697.7"/>
    <n v="0"/>
    <n v="0.9"/>
    <n v="0.1"/>
    <m/>
    <m/>
    <x v="0"/>
    <m/>
    <m/>
    <m/>
    <m/>
    <m/>
    <m/>
    <m/>
    <m/>
    <m/>
    <m/>
    <m/>
    <m/>
    <m/>
    <m/>
    <m/>
    <m/>
    <m/>
  </r>
  <r>
    <s v="2.4.3.1.1"/>
    <s v="CMS M.60.10.000"/>
    <x v="2"/>
    <n v="5"/>
    <s v="SPOOL"/>
    <n v="6"/>
    <x v="2"/>
    <s v="NÃO"/>
    <s v="NÃO"/>
    <x v="62"/>
    <x v="3"/>
    <s v="DISPOSIÇÃO DE REJEITOS LINHA DO CIRCUITO ULTRAFINO DISTRIBUIDOR DI-145A-9906 PARA A PENEIRA PN-145A-9707"/>
    <m/>
    <m/>
    <m/>
    <s v="1450AA-T-70457_FL21"/>
    <n v="2"/>
    <s v="PÇ"/>
    <n v="0.3"/>
    <n v="0.6"/>
    <n v="1169.77"/>
    <n v="701.86199999999997"/>
    <n v="0"/>
    <n v="0.9"/>
    <n v="0.1"/>
    <m/>
    <m/>
    <x v="0"/>
    <m/>
    <m/>
    <m/>
    <m/>
    <m/>
    <m/>
    <m/>
    <m/>
    <m/>
    <m/>
    <m/>
    <m/>
    <m/>
    <m/>
    <m/>
    <m/>
    <m/>
  </r>
  <r>
    <s v="2.4.3.1.1"/>
    <s v="CMS M.60.10.000"/>
    <x v="2"/>
    <n v="6"/>
    <s v="CURVA"/>
    <n v="6"/>
    <x v="1"/>
    <s v="NÃO"/>
    <s v="NÃO"/>
    <x v="62"/>
    <x v="3"/>
    <s v="DISPOSIÇÃO DE REJEITOS LINHA DO CIRCUITO ULTRAFINO DISTRIBUIDOR DI-145A-9906 PARA A PENEIRA PN-145A-9707"/>
    <m/>
    <m/>
    <m/>
    <s v="1450AA-T-70457_FL12"/>
    <n v="1"/>
    <s v="PÇ"/>
    <n v="0.32500000000000001"/>
    <n v="0.32500000000000001"/>
    <n v="1169.77"/>
    <n v="380.17525000000001"/>
    <n v="0"/>
    <n v="0.9"/>
    <n v="0.1"/>
    <m/>
    <m/>
    <x v="0"/>
    <m/>
    <m/>
    <m/>
    <m/>
    <m/>
    <m/>
    <m/>
    <m/>
    <m/>
    <m/>
    <m/>
    <m/>
    <m/>
    <m/>
    <m/>
    <m/>
    <m/>
  </r>
  <r>
    <s v="2.4.3.1.1"/>
    <s v="CMS M.60.10.000"/>
    <x v="2"/>
    <n v="7"/>
    <s v="SPOOL"/>
    <n v="6"/>
    <x v="1"/>
    <s v="NÃO"/>
    <s v="NÃO"/>
    <x v="62"/>
    <x v="3"/>
    <s v="DISPOSIÇÃO DE REJEITOS LINHA DO CIRCUITO ULTRAFINO DISTRIBUIDOR DI-145A-9906 PARA A PENEIRA PN-145A-9707"/>
    <m/>
    <m/>
    <m/>
    <s v="1450AA-T-70457_FL19"/>
    <n v="2"/>
    <s v="PÇ"/>
    <n v="1.5"/>
    <n v="3"/>
    <n v="1169.77"/>
    <n v="3509.31"/>
    <n v="0"/>
    <n v="0.9"/>
    <n v="0.1"/>
    <m/>
    <m/>
    <x v="0"/>
    <m/>
    <m/>
    <m/>
    <m/>
    <m/>
    <m/>
    <m/>
    <m/>
    <m/>
    <m/>
    <m/>
    <m/>
    <m/>
    <m/>
    <m/>
    <m/>
    <m/>
  </r>
  <r>
    <s v="2.4.3.1.1"/>
    <s v="CMS M.60.10.000"/>
    <x v="2"/>
    <n v="8"/>
    <s v="SPOOL"/>
    <n v="6"/>
    <x v="2"/>
    <s v="NÃO"/>
    <s v="NÃO"/>
    <x v="62"/>
    <x v="3"/>
    <s v="DISPOSIÇÃO DE REJEITOS LINHA DO CIRCUITO ULTRAFINO DISTRIBUIDOR DI-145A-9906 PARA A PENEIRA PN-145A-9707"/>
    <m/>
    <m/>
    <m/>
    <s v="1450AA-T-70457_FL24"/>
    <n v="1"/>
    <s v="PÇ"/>
    <n v="0.62"/>
    <n v="0.62"/>
    <n v="1169.77"/>
    <n v="725.25739999999996"/>
    <n v="0"/>
    <n v="0.9"/>
    <n v="0.1"/>
    <m/>
    <m/>
    <x v="0"/>
    <m/>
    <m/>
    <m/>
    <m/>
    <m/>
    <m/>
    <m/>
    <m/>
    <m/>
    <m/>
    <m/>
    <m/>
    <m/>
    <m/>
    <m/>
    <m/>
    <m/>
  </r>
  <r>
    <s v="2.4.3.1.1"/>
    <s v="CMS M.60.10.000"/>
    <x v="2"/>
    <n v="9"/>
    <s v="SPOOL"/>
    <n v="6"/>
    <x v="1"/>
    <s v="NÃO"/>
    <s v="NÃO"/>
    <x v="62"/>
    <x v="3"/>
    <s v="DISPOSIÇÃO DE REJEITOS LINHA DO CIRCUITO ULTRAFINO DISTRIBUIDOR DI-145A-9906 PARA A PENEIRA PN-145A-9707"/>
    <m/>
    <m/>
    <m/>
    <s v="1450AA-T-70457_FL18"/>
    <n v="1"/>
    <s v="PÇ"/>
    <n v="2"/>
    <n v="2"/>
    <n v="1169.77"/>
    <n v="2339.54"/>
    <n v="0"/>
    <n v="0.9"/>
    <n v="0.1"/>
    <m/>
    <m/>
    <x v="0"/>
    <m/>
    <m/>
    <m/>
    <m/>
    <m/>
    <m/>
    <m/>
    <m/>
    <m/>
    <m/>
    <m/>
    <m/>
    <m/>
    <m/>
    <m/>
    <m/>
    <m/>
  </r>
  <r>
    <s v="2.4.3.1.1"/>
    <s v="CMS M.60.10.000"/>
    <x v="2"/>
    <n v="10"/>
    <s v="SPOOL"/>
    <n v="6"/>
    <x v="2"/>
    <s v="NÃO"/>
    <s v="NÃO"/>
    <x v="62"/>
    <x v="3"/>
    <s v="DISPOSIÇÃO DE REJEITOS LINHA DO CIRCUITO ULTRAFINO DISTRIBUIDOR DI-145A-9906 PARA A PENEIRA PN-145A-9707"/>
    <m/>
    <m/>
    <m/>
    <s v="1450AA-T-70457_FL25"/>
    <n v="1"/>
    <s v="PÇ"/>
    <n v="0.68"/>
    <n v="0.68"/>
    <n v="1169.77"/>
    <n v="795.44360000000006"/>
    <n v="0"/>
    <n v="0.9"/>
    <n v="0.1"/>
    <m/>
    <m/>
    <x v="0"/>
    <m/>
    <m/>
    <m/>
    <m/>
    <m/>
    <m/>
    <m/>
    <m/>
    <m/>
    <m/>
    <m/>
    <m/>
    <m/>
    <m/>
    <m/>
    <m/>
    <m/>
  </r>
  <r>
    <s v="2.4.3.1.1"/>
    <s v="CMS M.60.10.000"/>
    <x v="2"/>
    <n v="11"/>
    <s v="CURVA"/>
    <n v="6"/>
    <x v="1"/>
    <s v="NÃO"/>
    <s v="NÃO"/>
    <x v="62"/>
    <x v="3"/>
    <s v="DISPOSIÇÃO DE REJEITOS LINHA DO CIRCUITO ULTRAFINO DISTRIBUIDOR DI-145A-9906 PARA A PENEIRA PN-145A-9707"/>
    <m/>
    <m/>
    <m/>
    <s v="1450AA-T-70457_FL15"/>
    <n v="1"/>
    <s v="PÇ"/>
    <n v="0.42"/>
    <n v="0.42"/>
    <n v="1169.77"/>
    <n v="491.30339999999995"/>
    <n v="0"/>
    <n v="0.9"/>
    <n v="0.1"/>
    <m/>
    <m/>
    <x v="0"/>
    <m/>
    <m/>
    <m/>
    <m/>
    <m/>
    <m/>
    <m/>
    <m/>
    <m/>
    <m/>
    <m/>
    <m/>
    <m/>
    <m/>
    <m/>
    <m/>
    <m/>
  </r>
  <r>
    <s v="2.4.3.1.1"/>
    <s v="CMS M.60.10.000"/>
    <x v="2"/>
    <n v="12"/>
    <s v="SPOOL"/>
    <n v="6"/>
    <x v="2"/>
    <s v="NÃO"/>
    <s v="NÃO"/>
    <x v="62"/>
    <x v="3"/>
    <s v="DISPOSIÇÃO DE REJEITOS LINHA DO CIRCUITO ULTRAFINO DISTRIBUIDOR DI-145A-9906 PARA A PENEIRA PN-145A-9707"/>
    <m/>
    <m/>
    <m/>
    <s v="1450AA-T-70457_FL23"/>
    <n v="1"/>
    <s v="PÇ"/>
    <n v="0.53"/>
    <n v="0.53"/>
    <n v="1169.77"/>
    <n v="619.97810000000004"/>
    <n v="0"/>
    <n v="0.9"/>
    <n v="0.1"/>
    <m/>
    <m/>
    <x v="0"/>
    <m/>
    <m/>
    <m/>
    <m/>
    <m/>
    <m/>
    <m/>
    <m/>
    <m/>
    <m/>
    <m/>
    <m/>
    <m/>
    <m/>
    <m/>
    <m/>
    <m/>
  </r>
  <r>
    <s v="2.4.3.1.1"/>
    <s v="CMS M.60.10.000"/>
    <x v="2"/>
    <n v="13"/>
    <s v="CURVA"/>
    <n v="6"/>
    <x v="1"/>
    <s v="NÃO"/>
    <s v="NÃO"/>
    <x v="62"/>
    <x v="3"/>
    <s v="DISPOSIÇÃO DE REJEITOS LINHA DO CIRCUITO ULTRAFINO DISTRIBUIDOR DI-145A-9906 PARA A PENEIRA PN-145A-9707"/>
    <m/>
    <m/>
    <m/>
    <s v="1450AA-T-70457_FL14"/>
    <n v="1"/>
    <s v="PÇ"/>
    <n v="0.51200000000000001"/>
    <n v="0.51200000000000001"/>
    <n v="1169.77"/>
    <n v="598.92223999999999"/>
    <n v="0"/>
    <n v="0.9"/>
    <n v="0.1"/>
    <m/>
    <m/>
    <x v="0"/>
    <m/>
    <m/>
    <m/>
    <m/>
    <m/>
    <m/>
    <m/>
    <m/>
    <m/>
    <m/>
    <m/>
    <m/>
    <m/>
    <m/>
    <m/>
    <m/>
    <m/>
  </r>
  <r>
    <s v="2.4.3.1.1"/>
    <s v="CMS M.60.10.000"/>
    <x v="2"/>
    <n v="14"/>
    <s v="SPOOL"/>
    <n v="6"/>
    <x v="1"/>
    <s v="NÃO"/>
    <s v="NÃO"/>
    <x v="62"/>
    <x v="3"/>
    <s v="DISPOSIÇÃO DE REJEITOS LINHA DO CIRCUITO ULTRAFINO DISTRIBUIDOR DI-145A-9906 PARA A PENEIRA PN-145A-9707"/>
    <m/>
    <m/>
    <m/>
    <s v="1450AA-T-70457_FL20"/>
    <n v="1"/>
    <s v="PÇ"/>
    <n v="1.2"/>
    <n v="1.2"/>
    <n v="1169.77"/>
    <n v="1403.7239999999999"/>
    <n v="0"/>
    <n v="0.9"/>
    <n v="0.1"/>
    <m/>
    <m/>
    <x v="0"/>
    <m/>
    <m/>
    <m/>
    <m/>
    <m/>
    <m/>
    <m/>
    <m/>
    <m/>
    <m/>
    <m/>
    <m/>
    <m/>
    <m/>
    <m/>
    <m/>
    <m/>
  </r>
  <r>
    <s v="2.4.3.1.1"/>
    <s v="CMS M.60.10.000"/>
    <x v="2"/>
    <n v="15"/>
    <s v="SPOOL"/>
    <n v="6"/>
    <x v="1"/>
    <s v="NÃO"/>
    <s v="NÃO"/>
    <x v="62"/>
    <x v="3"/>
    <s v="DISPOSIÇÃO DE REJEITOS LINHA DO CIRCUITO ULTRAFINO DISTRIBUIDOR DI-145A-9906 PARA A PENEIRA PN-145A-9707"/>
    <m/>
    <m/>
    <m/>
    <s v="1450AA-T-70457_FL11"/>
    <n v="1"/>
    <s v="PÇ"/>
    <n v="0.75"/>
    <n v="0.75"/>
    <n v="1169.77"/>
    <n v="877.32749999999999"/>
    <n v="0"/>
    <n v="0.9"/>
    <n v="0.1"/>
    <m/>
    <m/>
    <x v="0"/>
    <m/>
    <m/>
    <m/>
    <m/>
    <m/>
    <m/>
    <m/>
    <m/>
    <m/>
    <m/>
    <m/>
    <m/>
    <m/>
    <m/>
    <m/>
    <m/>
    <m/>
  </r>
  <r>
    <s v="2.4.3.1.1"/>
    <s v="CMS M.60.10.000"/>
    <x v="2"/>
    <n v="16"/>
    <s v="SPOOL"/>
    <n v="6"/>
    <x v="1"/>
    <s v="NÃO"/>
    <s v="NÃO"/>
    <x v="62"/>
    <x v="3"/>
    <s v="DISPOSIÇÃO DE REJEITOS LINHA DO CIRCUITO ULTRAFINO DISTRIBUIDOR DI-145A-9906 PARA A PENEIRA PN-145A-9707"/>
    <m/>
    <m/>
    <m/>
    <s v="1450AA-T-70457_FL09"/>
    <n v="1"/>
    <s v="PÇ"/>
    <n v="2.1349999999999998"/>
    <n v="2.1349999999999998"/>
    <n v="1169.77"/>
    <n v="2497.4589499999997"/>
    <n v="0"/>
    <n v="0.9"/>
    <n v="0.1"/>
    <m/>
    <m/>
    <x v="0"/>
    <m/>
    <m/>
    <m/>
    <m/>
    <m/>
    <m/>
    <m/>
    <m/>
    <m/>
    <m/>
    <m/>
    <m/>
    <m/>
    <m/>
    <m/>
    <m/>
    <m/>
  </r>
  <r>
    <s v="2.4.3.1.1"/>
    <s v="CMS M.60.10.000"/>
    <x v="2"/>
    <n v="17"/>
    <s v="FLANGE"/>
    <n v="6"/>
    <x v="1"/>
    <s v="NÃO"/>
    <s v="NÃO"/>
    <x v="62"/>
    <x v="3"/>
    <s v="DISPOSIÇÃO DE REJEITOS LINHA DO CIRCUITO ULTRAFINO DISTRIBUIDOR DI-145A-9906 PARA A PENEIRA PN-145A-9707"/>
    <m/>
    <m/>
    <m/>
    <s v="1450AA-T-70457_FL03"/>
    <n v="2"/>
    <s v="PÇ"/>
    <n v="0"/>
    <n v="0"/>
    <n v="1169.77"/>
    <n v="0"/>
    <n v="0"/>
    <n v="0.9"/>
    <n v="0.1"/>
    <m/>
    <m/>
    <x v="0"/>
    <m/>
    <m/>
    <m/>
    <m/>
    <m/>
    <m/>
    <m/>
    <m/>
    <m/>
    <m/>
    <m/>
    <m/>
    <m/>
    <m/>
    <m/>
    <m/>
    <m/>
  </r>
  <r>
    <s v="2.4.3.1.1"/>
    <s v="CMS M.60.10.000"/>
    <x v="2"/>
    <n v="1"/>
    <s v="CURVA"/>
    <n v="6"/>
    <x v="1"/>
    <s v="NÃO"/>
    <s v="NÃO"/>
    <x v="63"/>
    <x v="3"/>
    <s v="DISPOSIÇÃO DE REJEITOS LINHA DO CIRCUITO ULTRAFINO DISTRIBUIDOR DI-145A-9906 PARA A PENEIRA PN-145A-9708"/>
    <m/>
    <m/>
    <m/>
    <s v="1450AA-T-70459_FL15"/>
    <n v="2"/>
    <s v="PÇ"/>
    <n v="0.46500000000000002"/>
    <n v="0.93"/>
    <n v="1169.77"/>
    <n v="1087.8860999999999"/>
    <n v="0"/>
    <n v="0.9"/>
    <n v="0.1"/>
    <m/>
    <m/>
    <x v="0"/>
    <m/>
    <m/>
    <m/>
    <m/>
    <m/>
    <m/>
    <m/>
    <m/>
    <m/>
    <m/>
    <m/>
    <m/>
    <m/>
    <m/>
    <m/>
    <m/>
    <m/>
  </r>
  <r>
    <s v="2.4.3.1.1"/>
    <s v="CMS M.60.10.000"/>
    <x v="2"/>
    <n v="2"/>
    <s v="CURVA"/>
    <n v="6"/>
    <x v="1"/>
    <s v="NÃO"/>
    <s v="NÃO"/>
    <x v="63"/>
    <x v="3"/>
    <s v="DISPOSIÇÃO DE REJEITOS LINHA DO CIRCUITO ULTRAFINO DISTRIBUIDOR DI-145A-9906 PARA A PENEIRA PN-145A-9708"/>
    <m/>
    <m/>
    <m/>
    <s v="1450AA-T-70459_FL17"/>
    <n v="1"/>
    <s v="PÇ"/>
    <n v="0.48"/>
    <n v="0.48"/>
    <n v="1169.77"/>
    <n v="561.4896"/>
    <n v="0"/>
    <n v="0.9"/>
    <n v="0.1"/>
    <m/>
    <m/>
    <x v="0"/>
    <m/>
    <m/>
    <m/>
    <m/>
    <m/>
    <m/>
    <m/>
    <m/>
    <m/>
    <m/>
    <m/>
    <m/>
    <m/>
    <m/>
    <m/>
    <m/>
    <m/>
  </r>
  <r>
    <s v="2.4.3.1.1"/>
    <s v="CMS M.60.10.000"/>
    <x v="2"/>
    <n v="3"/>
    <s v="SPOOL"/>
    <n v="6"/>
    <x v="2"/>
    <s v="NÃO"/>
    <s v="NÃO"/>
    <x v="63"/>
    <x v="3"/>
    <s v="DISPOSIÇÃO DE REJEITOS LINHA DO CIRCUITO ULTRAFINO DISTRIBUIDOR DI-145A-9906 PARA A PENEIRA PN-145A-9708"/>
    <m/>
    <m/>
    <m/>
    <s v="1450AA-T-70459_FL23"/>
    <n v="1"/>
    <s v="PÇ"/>
    <n v="0.83"/>
    <n v="0.83"/>
    <n v="1169.77"/>
    <n v="970.90909999999997"/>
    <n v="0"/>
    <n v="0.9"/>
    <n v="0.1"/>
    <m/>
    <m/>
    <x v="0"/>
    <m/>
    <m/>
    <m/>
    <m/>
    <m/>
    <m/>
    <m/>
    <m/>
    <m/>
    <m/>
    <m/>
    <m/>
    <m/>
    <m/>
    <m/>
    <m/>
    <m/>
  </r>
  <r>
    <s v="2.4.3.1.1"/>
    <s v="CMS M.60.10.000"/>
    <x v="2"/>
    <n v="4"/>
    <s v="CURVA"/>
    <n v="6"/>
    <x v="1"/>
    <s v="NÃO"/>
    <s v="NÃO"/>
    <x v="63"/>
    <x v="3"/>
    <s v="DISPOSIÇÃO DE REJEITOS LINHA DO CIRCUITO ULTRAFINO DISTRIBUIDOR DI-145A-9906 PARA A PENEIRA PN-145A-9708"/>
    <m/>
    <m/>
    <m/>
    <s v="1450AA-T-70459_FL14"/>
    <n v="1"/>
    <s v="PÇ"/>
    <n v="0.23300000000000001"/>
    <n v="0.23300000000000001"/>
    <n v="1169.77"/>
    <n v="272.55641000000003"/>
    <n v="0"/>
    <n v="0.9"/>
    <n v="0.1"/>
    <m/>
    <m/>
    <x v="0"/>
    <m/>
    <m/>
    <m/>
    <m/>
    <m/>
    <m/>
    <m/>
    <m/>
    <m/>
    <m/>
    <m/>
    <m/>
    <m/>
    <m/>
    <m/>
    <m/>
    <m/>
  </r>
  <r>
    <s v="2.4.3.1.1"/>
    <s v="CMS M.60.10.000"/>
    <x v="2"/>
    <n v="5"/>
    <s v="SPOOL"/>
    <n v="6"/>
    <x v="1"/>
    <s v="NÃO"/>
    <s v="NÃO"/>
    <x v="63"/>
    <x v="3"/>
    <s v="DISPOSIÇÃO DE REJEITOS LINHA DO CIRCUITO ULTRAFINO DISTRIBUIDOR DI-145A-9906 PARA A PENEIRA PN-145A-9708"/>
    <m/>
    <m/>
    <m/>
    <s v="1450AA-T-70459_FL18"/>
    <n v="2"/>
    <s v="PÇ"/>
    <n v="2"/>
    <n v="4"/>
    <n v="1169.77"/>
    <n v="4679.08"/>
    <n v="0"/>
    <n v="0.9"/>
    <n v="0.1"/>
    <m/>
    <m/>
    <x v="0"/>
    <m/>
    <m/>
    <m/>
    <m/>
    <m/>
    <m/>
    <m/>
    <m/>
    <m/>
    <m/>
    <m/>
    <m/>
    <m/>
    <m/>
    <m/>
    <m/>
    <m/>
  </r>
  <r>
    <s v="2.4.3.1.1"/>
    <s v="CMS M.60.10.000"/>
    <x v="2"/>
    <n v="6"/>
    <s v="SPOOL"/>
    <n v="6"/>
    <x v="2"/>
    <s v="NÃO"/>
    <s v="NÃO"/>
    <x v="63"/>
    <x v="3"/>
    <s v="DISPOSIÇÃO DE REJEITOS LINHA DO CIRCUITO ULTRAFINO DISTRIBUIDOR DI-145A-9906 PARA A PENEIRA PN-145A-9708"/>
    <m/>
    <m/>
    <m/>
    <s v="1450AA-T-70459_FL24"/>
    <n v="3"/>
    <s v="PÇ"/>
    <n v="0.56000000000000005"/>
    <n v="1.6800000000000002"/>
    <n v="1169.77"/>
    <n v="1965.2136000000003"/>
    <n v="0"/>
    <n v="0.9"/>
    <n v="0.1"/>
    <m/>
    <m/>
    <x v="0"/>
    <m/>
    <m/>
    <m/>
    <m/>
    <m/>
    <m/>
    <m/>
    <m/>
    <m/>
    <m/>
    <m/>
    <m/>
    <m/>
    <m/>
    <m/>
    <m/>
    <m/>
  </r>
  <r>
    <s v="2.4.3.1.1"/>
    <s v="CMS M.60.10.000"/>
    <x v="2"/>
    <n v="7"/>
    <s v="CURVA"/>
    <n v="6"/>
    <x v="1"/>
    <s v="NÃO"/>
    <s v="NÃO"/>
    <x v="63"/>
    <x v="3"/>
    <s v="DISPOSIÇÃO DE REJEITOS LINHA DO CIRCUITO ULTRAFINO DISTRIBUIDOR DI-145A-9906 PARA A PENEIRA PN-145A-9708"/>
    <m/>
    <m/>
    <m/>
    <s v="1450AA-T-70459_FL16"/>
    <n v="1"/>
    <s v="PÇ"/>
    <n v="0.32500000000000001"/>
    <n v="0.32500000000000001"/>
    <n v="1169.77"/>
    <n v="380.17525000000001"/>
    <n v="0"/>
    <n v="0.9"/>
    <n v="0.1"/>
    <m/>
    <m/>
    <x v="0"/>
    <m/>
    <m/>
    <m/>
    <m/>
    <m/>
    <m/>
    <m/>
    <m/>
    <m/>
    <m/>
    <m/>
    <m/>
    <m/>
    <m/>
    <m/>
    <m/>
    <m/>
  </r>
  <r>
    <s v="2.4.3.1.1"/>
    <s v="CMS M.60.10.000"/>
    <x v="2"/>
    <n v="8"/>
    <s v="SPOOL"/>
    <n v="6"/>
    <x v="1"/>
    <s v="NÃO"/>
    <s v="NÃO"/>
    <x v="63"/>
    <x v="3"/>
    <s v="DISPOSIÇÃO DE REJEITOS LINHA DO CIRCUITO ULTRAFINO DISTRIBUIDOR DI-145A-9906 PARA A PENEIRA PN-145A-9708"/>
    <m/>
    <m/>
    <m/>
    <s v="1450AA-T-70459_FL19"/>
    <n v="1"/>
    <s v="PÇ"/>
    <n v="0.8"/>
    <n v="0.8"/>
    <n v="1169.77"/>
    <n v="935.81600000000003"/>
    <n v="0"/>
    <n v="0.9"/>
    <n v="0.1"/>
    <m/>
    <m/>
    <x v="0"/>
    <m/>
    <m/>
    <m/>
    <m/>
    <m/>
    <m/>
    <m/>
    <m/>
    <m/>
    <m/>
    <m/>
    <m/>
    <m/>
    <m/>
    <m/>
    <m/>
    <m/>
  </r>
  <r>
    <s v="2.4.3.1.1"/>
    <s v="CMS M.60.10.000"/>
    <x v="2"/>
    <n v="9"/>
    <s v="SPOOL"/>
    <n v="6"/>
    <x v="1"/>
    <s v="NÃO"/>
    <s v="NÃO"/>
    <x v="63"/>
    <x v="3"/>
    <s v="DISPOSIÇÃO DE REJEITOS LINHA DO CIRCUITO ULTRAFINO DISTRIBUIDOR DI-145A-9906 PARA A PENEIRA PN-145A-9708"/>
    <m/>
    <m/>
    <m/>
    <s v="1450AA-T-70459_FL20"/>
    <n v="1"/>
    <s v="PÇ"/>
    <n v="2.5"/>
    <n v="2.5"/>
    <n v="1169.77"/>
    <n v="2924.4250000000002"/>
    <n v="0"/>
    <n v="0.9"/>
    <n v="0.1"/>
    <m/>
    <m/>
    <x v="0"/>
    <m/>
    <m/>
    <m/>
    <m/>
    <m/>
    <m/>
    <m/>
    <m/>
    <m/>
    <m/>
    <m/>
    <m/>
    <m/>
    <m/>
    <m/>
    <m/>
    <m/>
  </r>
  <r>
    <s v="2.4.3.1.1"/>
    <s v="CMS M.60.10.000"/>
    <x v="2"/>
    <n v="10"/>
    <s v="SPOOL"/>
    <n v="6"/>
    <x v="2"/>
    <s v="NÃO"/>
    <s v="NÃO"/>
    <x v="63"/>
    <x v="3"/>
    <s v="DISPOSIÇÃO DE REJEITOS LINHA DO CIRCUITO ULTRAFINO DISTRIBUIDOR DI-145A-9906 PARA A PENEIRA PN-145A-9708"/>
    <m/>
    <m/>
    <m/>
    <s v="1450AA-T-70459_FL25"/>
    <n v="1"/>
    <s v="PÇ"/>
    <n v="0.71"/>
    <n v="0.71"/>
    <n v="1169.77"/>
    <n v="830.5367"/>
    <n v="0"/>
    <n v="0.9"/>
    <n v="0.1"/>
    <m/>
    <m/>
    <x v="0"/>
    <m/>
    <m/>
    <m/>
    <m/>
    <m/>
    <m/>
    <m/>
    <m/>
    <m/>
    <m/>
    <m/>
    <m/>
    <m/>
    <m/>
    <m/>
    <m/>
    <m/>
  </r>
  <r>
    <s v="2.4.3.1.1"/>
    <s v="CMS M.60.10.000"/>
    <x v="2"/>
    <n v="11"/>
    <s v="CURVA"/>
    <n v="6"/>
    <x v="1"/>
    <s v="NÃO"/>
    <s v="NÃO"/>
    <x v="63"/>
    <x v="3"/>
    <s v="DISPOSIÇÃO DE REJEITOS LINHA DO CIRCUITO ULTRAFINO DISTRIBUIDOR DI-145A-9906 PARA A PENEIRA PN-145A-9708"/>
    <m/>
    <m/>
    <m/>
    <s v="1450AA-T-70459_FL12"/>
    <n v="1"/>
    <s v="PÇ"/>
    <n v="0.42"/>
    <n v="0.42"/>
    <n v="1169.77"/>
    <n v="491.30339999999995"/>
    <n v="0"/>
    <n v="0.9"/>
    <n v="0.1"/>
    <m/>
    <m/>
    <x v="0"/>
    <m/>
    <m/>
    <m/>
    <m/>
    <m/>
    <m/>
    <m/>
    <m/>
    <m/>
    <m/>
    <m/>
    <m/>
    <m/>
    <m/>
    <m/>
    <m/>
    <m/>
  </r>
  <r>
    <s v="2.4.3.1.1"/>
    <s v="CMS M.60.10.000"/>
    <x v="2"/>
    <n v="12"/>
    <s v="SPOOL"/>
    <n v="6"/>
    <x v="1"/>
    <s v="NÃO"/>
    <s v="NÃO"/>
    <x v="63"/>
    <x v="3"/>
    <s v="DISPOSIÇÃO DE REJEITOS LINHA DO CIRCUITO ULTRAFINO DISTRIBUIDOR DI-145A-9906 PARA A PENEIRA PN-145A-9708"/>
    <m/>
    <m/>
    <m/>
    <s v="1450AA-T-70459_FL21"/>
    <n v="1"/>
    <s v="PÇ"/>
    <n v="1.5"/>
    <n v="1.5"/>
    <n v="1169.77"/>
    <n v="1754.655"/>
    <n v="0"/>
    <n v="0.9"/>
    <n v="0.1"/>
    <m/>
    <m/>
    <x v="0"/>
    <m/>
    <m/>
    <m/>
    <m/>
    <m/>
    <m/>
    <m/>
    <m/>
    <m/>
    <m/>
    <m/>
    <m/>
    <m/>
    <m/>
    <m/>
    <m/>
    <m/>
  </r>
  <r>
    <s v="2.4.3.1.1"/>
    <s v="CMS M.60.10.000"/>
    <x v="2"/>
    <n v="13"/>
    <s v="CURVA"/>
    <n v="6"/>
    <x v="1"/>
    <s v="NÃO"/>
    <s v="NÃO"/>
    <x v="63"/>
    <x v="3"/>
    <s v="DISPOSIÇÃO DE REJEITOS LINHA DO CIRCUITO ULTRAFINO DISTRIBUIDOR DI-145A-9906 PARA A PENEIRA PN-145A-9708"/>
    <m/>
    <m/>
    <m/>
    <s v="1450AA-T-70459_FL13"/>
    <n v="1"/>
    <s v="PÇ"/>
    <n v="0.51200000000000001"/>
    <n v="0.51200000000000001"/>
    <n v="1169.77"/>
    <n v="598.92223999999999"/>
    <n v="0"/>
    <n v="0.9"/>
    <n v="0.1"/>
    <m/>
    <m/>
    <x v="0"/>
    <m/>
    <m/>
    <m/>
    <m/>
    <m/>
    <m/>
    <m/>
    <m/>
    <m/>
    <m/>
    <m/>
    <m/>
    <m/>
    <m/>
    <m/>
    <m/>
    <m/>
  </r>
  <r>
    <s v="2.4.3.1.1"/>
    <s v="CMS M.60.10.000"/>
    <x v="2"/>
    <n v="14"/>
    <s v="SPOOL"/>
    <n v="6"/>
    <x v="1"/>
    <s v="NÃO"/>
    <s v="NÃO"/>
    <x v="63"/>
    <x v="3"/>
    <s v="DISPOSIÇÃO DE REJEITOS LINHA DO CIRCUITO ULTRAFINO DISTRIBUIDOR DI-145A-9906 PARA A PENEIRA PN-145A-9708"/>
    <m/>
    <m/>
    <m/>
    <s v="1450AA-T-70459_FL22"/>
    <n v="1"/>
    <s v="PÇ"/>
    <n v="1.2"/>
    <n v="1.2"/>
    <n v="1169.77"/>
    <n v="1403.7239999999999"/>
    <n v="0"/>
    <n v="0.9"/>
    <n v="0.1"/>
    <m/>
    <m/>
    <x v="0"/>
    <m/>
    <m/>
    <m/>
    <m/>
    <m/>
    <m/>
    <m/>
    <m/>
    <m/>
    <m/>
    <m/>
    <m/>
    <m/>
    <m/>
    <m/>
    <m/>
    <m/>
  </r>
  <r>
    <s v="2.4.3.1.1"/>
    <s v="CMS M.60.10.000"/>
    <x v="2"/>
    <n v="15"/>
    <s v="SPOOL"/>
    <n v="6"/>
    <x v="2"/>
    <s v="NÃO"/>
    <s v="NÃO"/>
    <x v="63"/>
    <x v="3"/>
    <s v="DISPOSIÇÃO DE REJEITOS LINHA DO CIRCUITO ULTRAFINO DISTRIBUIDOR DI-145A-9906 PARA A PENEIRA PN-145A-9708"/>
    <m/>
    <m/>
    <m/>
    <s v="1450AA-T-70459_FL26"/>
    <n v="2"/>
    <s v="PÇ"/>
    <n v="0.36"/>
    <n v="0.72"/>
    <n v="1169.77"/>
    <n v="842.23439999999994"/>
    <n v="0"/>
    <n v="0.9"/>
    <n v="0.1"/>
    <m/>
    <m/>
    <x v="0"/>
    <m/>
    <m/>
    <m/>
    <m/>
    <m/>
    <m/>
    <m/>
    <m/>
    <m/>
    <m/>
    <m/>
    <m/>
    <m/>
    <m/>
    <m/>
    <m/>
    <m/>
  </r>
  <r>
    <s v="2.4.3.1.1"/>
    <s v="CMS M.60.10.000"/>
    <x v="2"/>
    <n v="16"/>
    <s v="SPOOL"/>
    <n v="6"/>
    <x v="1"/>
    <s v="NÃO"/>
    <s v="NÃO"/>
    <x v="63"/>
    <x v="3"/>
    <s v="DISPOSIÇÃO DE REJEITOS LINHA DO CIRCUITO ULTRAFINO DISTRIBUIDOR DI-145A-9906 PARA A PENEIRA PN-145A-9708"/>
    <m/>
    <m/>
    <m/>
    <s v="1450AA-T-70459_FL11"/>
    <n v="1"/>
    <s v="PÇ"/>
    <n v="0.75"/>
    <n v="0.75"/>
    <n v="1169.77"/>
    <n v="877.32749999999999"/>
    <n v="0"/>
    <n v="0.9"/>
    <n v="0.1"/>
    <m/>
    <m/>
    <x v="0"/>
    <m/>
    <m/>
    <m/>
    <m/>
    <m/>
    <m/>
    <m/>
    <m/>
    <m/>
    <m/>
    <m/>
    <m/>
    <m/>
    <m/>
    <m/>
    <m/>
    <m/>
  </r>
  <r>
    <n v="0"/>
    <s v="CMS M.60.10.000"/>
    <x v="2"/>
    <n v="17"/>
    <s v="SPOOL"/>
    <s v="6 X 4"/>
    <x v="1"/>
    <s v="NÃO"/>
    <s v="NÃO"/>
    <x v="63"/>
    <x v="3"/>
    <s v="DISPOSIÇÃO DE REJEITOS LINHA DO CIRCUITO ULTRAFINO DISTRIBUIDOR DI-145A-9906 PARA A PENEIRA PN-145A-9708"/>
    <m/>
    <m/>
    <m/>
    <s v="1450AA-T-70459_FL09"/>
    <n v="1"/>
    <s v="PÇ"/>
    <n v="2.1349999999999998"/>
    <n v="2.1349999999999998"/>
    <n v="0"/>
    <n v="0"/>
    <n v="0"/>
    <n v="0.9"/>
    <n v="0.1"/>
    <m/>
    <m/>
    <x v="0"/>
    <m/>
    <m/>
    <m/>
    <m/>
    <m/>
    <m/>
    <m/>
    <m/>
    <m/>
    <m/>
    <m/>
    <m/>
    <m/>
    <m/>
    <m/>
    <m/>
    <m/>
  </r>
  <r>
    <n v="0"/>
    <s v="CMS M.60.10.000"/>
    <x v="2"/>
    <n v="18"/>
    <s v="FLANGE"/>
    <n v="4"/>
    <x v="1"/>
    <s v="NÃO"/>
    <s v="NÃO"/>
    <x v="63"/>
    <x v="3"/>
    <s v="DISPOSIÇÃO DE REJEITOS LINHA DO CIRCUITO ULTRAFINO DISTRIBUIDOR DI-145A-9906 PARA A PENEIRA PN-145A-9708"/>
    <m/>
    <m/>
    <m/>
    <s v="1450AA-T-70459_FL03"/>
    <n v="2"/>
    <s v="PÇ"/>
    <n v="0"/>
    <n v="0"/>
    <n v="0"/>
    <n v="0"/>
    <n v="0"/>
    <n v="0.9"/>
    <n v="0.1"/>
    <m/>
    <m/>
    <x v="0"/>
    <m/>
    <m/>
    <m/>
    <m/>
    <m/>
    <m/>
    <m/>
    <m/>
    <m/>
    <m/>
    <m/>
    <m/>
    <m/>
    <m/>
    <m/>
    <m/>
    <m/>
  </r>
  <r>
    <s v="2.4.3.1.1"/>
    <s v="CMS M.60.10.000"/>
    <x v="2"/>
    <n v="1"/>
    <s v="SPOOL"/>
    <n v="6"/>
    <x v="1"/>
    <s v="NÃO"/>
    <s v="NÃO"/>
    <x v="64"/>
    <x v="3"/>
    <s v="DISPOSIÇÃO DE REJEITOS LINHA DO CIRCUITO ULTRAFINO DISTRIBUIDOR DI-145A-9906 PARA A PENEIRA PN-145A-9709"/>
    <m/>
    <m/>
    <m/>
    <s v="1450AA-T-70461_FL15"/>
    <n v="1"/>
    <s v="PÇ"/>
    <n v="3"/>
    <n v="3"/>
    <n v="1169.77"/>
    <n v="3509.31"/>
    <n v="0"/>
    <n v="0.9"/>
    <n v="0.1"/>
    <m/>
    <m/>
    <x v="0"/>
    <m/>
    <m/>
    <m/>
    <m/>
    <m/>
    <m/>
    <m/>
    <m/>
    <m/>
    <m/>
    <m/>
    <m/>
    <m/>
    <m/>
    <m/>
    <m/>
    <m/>
  </r>
  <r>
    <s v="2.4.3.1.1"/>
    <s v="CMS M.60.10.000"/>
    <x v="2"/>
    <n v="2"/>
    <s v="SPOOL"/>
    <n v="6"/>
    <x v="1"/>
    <s v="NÃO"/>
    <s v="NÃO"/>
    <x v="64"/>
    <x v="3"/>
    <s v="DISPOSIÇÃO DE REJEITOS LINHA DO CIRCUITO ULTRAFINO DISTRIBUIDOR DI-145A-9906 PARA A PENEIRA PN-145A-9709"/>
    <m/>
    <m/>
    <m/>
    <s v="1450AA-T-70461_FL16"/>
    <n v="1"/>
    <s v="PÇ"/>
    <n v="2.5"/>
    <n v="2.5"/>
    <n v="1169.77"/>
    <n v="2924.4250000000002"/>
    <n v="0"/>
    <n v="0.9"/>
    <n v="0.1"/>
    <m/>
    <m/>
    <x v="0"/>
    <m/>
    <m/>
    <m/>
    <m/>
    <m/>
    <m/>
    <m/>
    <m/>
    <m/>
    <m/>
    <m/>
    <m/>
    <m/>
    <m/>
    <m/>
    <m/>
    <m/>
  </r>
  <r>
    <s v="2.4.3.1.1"/>
    <s v="CMS M.60.10.000"/>
    <x v="2"/>
    <n v="3"/>
    <s v="SPOOL"/>
    <n v="6"/>
    <x v="1"/>
    <s v="NÃO"/>
    <s v="NÃO"/>
    <x v="64"/>
    <x v="3"/>
    <s v="DISPOSIÇÃO DE REJEITOS LINHA DO CIRCUITO ULTRAFINO DISTRIBUIDOR DI-145A-9906 PARA A PENEIRA PN-145A-9709"/>
    <m/>
    <m/>
    <m/>
    <s v="1450AA-T-70461_FL17"/>
    <n v="1"/>
    <s v="PÇ"/>
    <n v="1.5"/>
    <n v="1.5"/>
    <n v="1169.77"/>
    <n v="1754.655"/>
    <n v="0"/>
    <n v="0.9"/>
    <n v="0.1"/>
    <m/>
    <m/>
    <x v="0"/>
    <m/>
    <m/>
    <m/>
    <m/>
    <m/>
    <m/>
    <m/>
    <m/>
    <m/>
    <m/>
    <m/>
    <m/>
    <m/>
    <m/>
    <m/>
    <m/>
    <m/>
  </r>
  <r>
    <s v="2.4.3.1.1"/>
    <s v="CMS M.60.10.000"/>
    <x v="2"/>
    <n v="4"/>
    <s v="SPOOL"/>
    <n v="6"/>
    <x v="1"/>
    <s v="NÃO"/>
    <s v="NÃO"/>
    <x v="64"/>
    <x v="3"/>
    <s v="DISPOSIÇÃO DE REJEITOS LINHA DO CIRCUITO ULTRAFINO DISTRIBUIDOR DI-145A-9906 PARA A PENEIRA PN-145A-9709"/>
    <m/>
    <m/>
    <m/>
    <s v="1450AA-T-70461_FL18"/>
    <n v="1"/>
    <s v="PÇ"/>
    <n v="1.2"/>
    <n v="1.2"/>
    <n v="1169.77"/>
    <n v="1403.7239999999999"/>
    <n v="0"/>
    <n v="0.9"/>
    <n v="0.1"/>
    <m/>
    <m/>
    <x v="0"/>
    <m/>
    <m/>
    <m/>
    <m/>
    <m/>
    <m/>
    <m/>
    <m/>
    <m/>
    <m/>
    <m/>
    <m/>
    <m/>
    <m/>
    <m/>
    <m/>
    <m/>
  </r>
  <r>
    <s v="2.4.3.1.1"/>
    <s v="CMS M.60.10.000"/>
    <x v="2"/>
    <n v="5"/>
    <s v="SPOOL"/>
    <n v="6"/>
    <x v="2"/>
    <s v="NÃO"/>
    <s v="NÃO"/>
    <x v="64"/>
    <x v="3"/>
    <s v="DISPOSIÇÃO DE REJEITOS LINHA DO CIRCUITO ULTRAFINO DISTRIBUIDOR DI-145A-9906 PARA A PENEIRA PN-145A-9709"/>
    <m/>
    <m/>
    <m/>
    <s v="1450AA-T-70461_FL19"/>
    <n v="1"/>
    <s v="PÇ"/>
    <n v="1.06"/>
    <n v="1.06"/>
    <n v="1169.77"/>
    <n v="1239.9562000000001"/>
    <n v="0"/>
    <n v="0.9"/>
    <n v="0.1"/>
    <m/>
    <m/>
    <x v="0"/>
    <m/>
    <m/>
    <m/>
    <m/>
    <m/>
    <m/>
    <m/>
    <m/>
    <m/>
    <m/>
    <m/>
    <m/>
    <m/>
    <m/>
    <m/>
    <m/>
    <m/>
  </r>
  <r>
    <s v="2.4.3.1.1"/>
    <s v="CMS M.60.10.000"/>
    <x v="2"/>
    <n v="6"/>
    <s v="SPOOL"/>
    <n v="6"/>
    <x v="2"/>
    <s v="NÃO"/>
    <s v="NÃO"/>
    <x v="64"/>
    <x v="3"/>
    <s v="DISPOSIÇÃO DE REJEITOS LINHA DO CIRCUITO ULTRAFINO DISTRIBUIDOR DI-145A-9906 PARA A PENEIRA PN-145A-9709"/>
    <m/>
    <m/>
    <m/>
    <s v="1450AA-T-70461_FL20"/>
    <n v="2"/>
    <s v="PÇ"/>
    <n v="0.53"/>
    <n v="1.06"/>
    <n v="1169.77"/>
    <n v="1239.9562000000001"/>
    <n v="0"/>
    <n v="0.9"/>
    <n v="0.1"/>
    <m/>
    <m/>
    <x v="0"/>
    <m/>
    <m/>
    <m/>
    <m/>
    <m/>
    <m/>
    <m/>
    <m/>
    <m/>
    <m/>
    <m/>
    <m/>
    <m/>
    <m/>
    <m/>
    <m/>
    <m/>
  </r>
  <r>
    <s v="2.4.3.1.1"/>
    <s v="CMS M.60.10.000"/>
    <x v="2"/>
    <n v="7"/>
    <s v="SPOOL"/>
    <n v="6"/>
    <x v="2"/>
    <s v="NÃO"/>
    <s v="NÃO"/>
    <x v="64"/>
    <x v="3"/>
    <s v="DISPOSIÇÃO DE REJEITOS LINHA DO CIRCUITO ULTRAFINO DISTRIBUIDOR DI-145A-9906 PARA A PENEIRA PN-145A-9709"/>
    <m/>
    <m/>
    <m/>
    <s v="1450AA-T-70461_FL21"/>
    <n v="2"/>
    <s v="PÇ"/>
    <n v="0.36"/>
    <n v="0.72"/>
    <n v="1169.77"/>
    <n v="842.23439999999994"/>
    <n v="0"/>
    <n v="0.9"/>
    <n v="0.1"/>
    <m/>
    <m/>
    <x v="0"/>
    <m/>
    <m/>
    <m/>
    <m/>
    <m/>
    <m/>
    <m/>
    <m/>
    <m/>
    <m/>
    <m/>
    <m/>
    <m/>
    <m/>
    <m/>
    <m/>
    <m/>
  </r>
  <r>
    <s v="2.4.3.1.1"/>
    <s v="CMS M.60.10.000"/>
    <x v="2"/>
    <n v="8"/>
    <s v="CURVA"/>
    <n v="6"/>
    <x v="1"/>
    <s v="NÃO"/>
    <s v="NÃO"/>
    <x v="64"/>
    <x v="3"/>
    <s v="DISPOSIÇÃO DE REJEITOS LINHA DO CIRCUITO ULTRAFINO DISTRIBUIDOR DI-145A-9906 PARA A PENEIRA PN-145A-9709"/>
    <m/>
    <m/>
    <m/>
    <s v="1450AA-T-70461_FL14"/>
    <n v="2"/>
    <s v="PÇ"/>
    <n v="0.46500000000000002"/>
    <n v="0.93"/>
    <n v="1169.77"/>
    <n v="1087.8860999999999"/>
    <n v="0"/>
    <n v="0.9"/>
    <n v="0.1"/>
    <m/>
    <m/>
    <x v="0"/>
    <m/>
    <m/>
    <m/>
    <m/>
    <m/>
    <m/>
    <m/>
    <m/>
    <m/>
    <m/>
    <m/>
    <m/>
    <m/>
    <m/>
    <m/>
    <m/>
    <m/>
  </r>
  <r>
    <s v="2.4.3.1.1"/>
    <s v="CMS M.60.10.000"/>
    <x v="2"/>
    <n v="9"/>
    <s v="CURVA"/>
    <n v="6"/>
    <x v="1"/>
    <s v="NÃO"/>
    <s v="NÃO"/>
    <x v="64"/>
    <x v="3"/>
    <s v="DISPOSIÇÃO DE REJEITOS LINHA DO CIRCUITO ULTRAFINO DISTRIBUIDOR DI-145A-9906 PARA A PENEIRA PN-145A-9709"/>
    <m/>
    <m/>
    <m/>
    <s v="1450AA-T-70461_FL12"/>
    <n v="1"/>
    <s v="PÇ"/>
    <n v="0.42"/>
    <n v="0.42"/>
    <n v="1169.77"/>
    <n v="491.30339999999995"/>
    <n v="0"/>
    <n v="0.9"/>
    <n v="0.1"/>
    <m/>
    <m/>
    <x v="0"/>
    <m/>
    <m/>
    <m/>
    <m/>
    <m/>
    <m/>
    <m/>
    <m/>
    <m/>
    <m/>
    <m/>
    <m/>
    <m/>
    <m/>
    <m/>
    <m/>
    <m/>
  </r>
  <r>
    <s v="2.4.3.1.1"/>
    <s v="CMS M.60.10.000"/>
    <x v="2"/>
    <n v="10"/>
    <s v="CURVA"/>
    <n v="6"/>
    <x v="1"/>
    <s v="NÃO"/>
    <s v="NÃO"/>
    <x v="64"/>
    <x v="3"/>
    <s v="DISPOSIÇÃO DE REJEITOS LINHA DO CIRCUITO ULTRAFINO DISTRIBUIDOR DI-145A-9906 PARA A PENEIRA PN-145A-9709"/>
    <m/>
    <m/>
    <m/>
    <s v="1450AA-T-70461_FL13"/>
    <n v="1"/>
    <s v="PÇ"/>
    <n v="0.51200000000000001"/>
    <n v="0.51200000000000001"/>
    <n v="1169.77"/>
    <n v="598.92223999999999"/>
    <n v="0"/>
    <n v="0.9"/>
    <n v="0.1"/>
    <m/>
    <m/>
    <x v="0"/>
    <m/>
    <m/>
    <m/>
    <m/>
    <m/>
    <m/>
    <m/>
    <m/>
    <m/>
    <m/>
    <m/>
    <m/>
    <m/>
    <m/>
    <m/>
    <m/>
    <m/>
  </r>
  <r>
    <s v="2.4.3.1.1"/>
    <s v="CMS M.60.10.000"/>
    <x v="2"/>
    <n v="11"/>
    <s v="SPOOL"/>
    <n v="6"/>
    <x v="1"/>
    <s v="NÃO"/>
    <s v="NÃO"/>
    <x v="64"/>
    <x v="3"/>
    <s v="DISPOSIÇÃO DE REJEITOS LINHA DO CIRCUITO ULTRAFINO DISTRIBUIDOR DI-145A-9906 PARA A PENEIRA PN-145A-9709"/>
    <m/>
    <m/>
    <m/>
    <s v="1450AA-T-70461_FL11"/>
    <n v="1"/>
    <s v="PÇ"/>
    <n v="0.75"/>
    <n v="0.75"/>
    <n v="1169.77"/>
    <n v="877.32749999999999"/>
    <n v="0"/>
    <n v="0.9"/>
    <n v="0.1"/>
    <m/>
    <m/>
    <x v="0"/>
    <m/>
    <m/>
    <m/>
    <m/>
    <m/>
    <m/>
    <m/>
    <m/>
    <m/>
    <m/>
    <m/>
    <m/>
    <m/>
    <m/>
    <m/>
    <m/>
    <m/>
  </r>
  <r>
    <n v="0"/>
    <s v="CMS M.60.10.000"/>
    <x v="2"/>
    <n v="12"/>
    <s v="SPOOL"/>
    <s v="6 X 4"/>
    <x v="1"/>
    <s v="NÃO"/>
    <s v="NÃO"/>
    <x v="64"/>
    <x v="3"/>
    <s v="DISPOSIÇÃO DE REJEITOS LINHA DO CIRCUITO ULTRAFINO DISTRIBUIDOR DI-145A-9906 PARA A PENEIRA PN-145A-9709"/>
    <m/>
    <m/>
    <m/>
    <s v="1450AA-T-70461_FL09"/>
    <n v="1"/>
    <s v="PÇ"/>
    <n v="2.1349999999999998"/>
    <n v="2.1349999999999998"/>
    <n v="0"/>
    <n v="0"/>
    <n v="0"/>
    <n v="0.9"/>
    <n v="0.1"/>
    <m/>
    <m/>
    <x v="0"/>
    <m/>
    <m/>
    <m/>
    <m/>
    <m/>
    <m/>
    <m/>
    <m/>
    <m/>
    <m/>
    <m/>
    <m/>
    <m/>
    <m/>
    <m/>
    <m/>
    <m/>
  </r>
  <r>
    <n v="0"/>
    <s v="CMS M.60.10.000"/>
    <x v="2"/>
    <n v="13"/>
    <s v="FLANGE"/>
    <n v="4"/>
    <x v="1"/>
    <s v="NÃO"/>
    <s v="NÃO"/>
    <x v="64"/>
    <x v="3"/>
    <s v="DISPOSIÇÃO DE REJEITOS LINHA DO CIRCUITO ULTRAFINO DISTRIBUIDOR DI-145A-9906 PARA A PENEIRA PN-145A-9709"/>
    <m/>
    <m/>
    <m/>
    <s v="1450AA-T-70461_FL03"/>
    <n v="2"/>
    <s v="PÇ"/>
    <n v="0"/>
    <n v="0"/>
    <n v="0"/>
    <n v="0"/>
    <n v="0"/>
    <n v="0.9"/>
    <n v="0.1"/>
    <m/>
    <m/>
    <x v="0"/>
    <m/>
    <m/>
    <m/>
    <m/>
    <m/>
    <m/>
    <m/>
    <m/>
    <m/>
    <m/>
    <m/>
    <m/>
    <m/>
    <m/>
    <m/>
    <m/>
    <m/>
  </r>
  <r>
    <s v="2.4.3.1.1"/>
    <s v="CMS M.60.10.000"/>
    <x v="2"/>
    <n v="1"/>
    <s v="SPOOL"/>
    <n v="6"/>
    <x v="1"/>
    <s v="NÃO"/>
    <s v="NÃO"/>
    <x v="65"/>
    <x v="3"/>
    <s v="DISPOSIÇÃO DE REJEITOS LINHA DO CIRCUITO ULTRAFINO DISTRIBUIDOR DI-145A-9907 PARA A PENEIRA PN-145A-9733"/>
    <m/>
    <m/>
    <m/>
    <s v="1450AA-T-70464_FL12"/>
    <n v="1"/>
    <s v="PÇ"/>
    <n v="0.28799999999999998"/>
    <n v="0.28799999999999998"/>
    <n v="1169.77"/>
    <n v="336.89375999999999"/>
    <n v="0"/>
    <n v="0.9"/>
    <n v="0.1"/>
    <m/>
    <m/>
    <x v="0"/>
    <m/>
    <m/>
    <m/>
    <m/>
    <m/>
    <m/>
    <m/>
    <m/>
    <m/>
    <m/>
    <m/>
    <m/>
    <m/>
    <m/>
    <m/>
    <m/>
    <m/>
  </r>
  <r>
    <s v="2.4.3.1.1"/>
    <s v="CMS M.60.10.000"/>
    <x v="2"/>
    <n v="2"/>
    <s v="CURVA"/>
    <n v="6"/>
    <x v="1"/>
    <s v="NÃO"/>
    <s v="NÃO"/>
    <x v="65"/>
    <x v="3"/>
    <s v="DISPOSIÇÃO DE REJEITOS LINHA DO CIRCUITO ULTRAFINO DISTRIBUIDOR DI-145A-9907 PARA A PENEIRA PN-145A-9733"/>
    <m/>
    <m/>
    <m/>
    <s v="1450AA-T-70464_FL11"/>
    <n v="2"/>
    <s v="PÇ"/>
    <n v="0.46500000000000002"/>
    <n v="0.93"/>
    <n v="1169.77"/>
    <n v="1087.8860999999999"/>
    <n v="0"/>
    <n v="0.9"/>
    <n v="0.1"/>
    <m/>
    <m/>
    <x v="0"/>
    <m/>
    <m/>
    <m/>
    <m/>
    <m/>
    <m/>
    <m/>
    <m/>
    <m/>
    <m/>
    <m/>
    <m/>
    <m/>
    <m/>
    <m/>
    <m/>
    <m/>
  </r>
  <r>
    <s v="2.4.3.1.1"/>
    <s v="CMS M.60.10.000"/>
    <x v="2"/>
    <n v="3"/>
    <s v="SPOOL"/>
    <n v="6"/>
    <x v="1"/>
    <s v="NÃO"/>
    <s v="NÃO"/>
    <x v="65"/>
    <x v="3"/>
    <s v="DISPOSIÇÃO DE REJEITOS LINHA DO CIRCUITO ULTRAFINO DISTRIBUIDOR DI-145A-9907 PARA A PENEIRA PN-145A-9733"/>
    <m/>
    <m/>
    <m/>
    <s v="1450AA-T-70464_FL13"/>
    <n v="1"/>
    <s v="PÇ"/>
    <n v="1"/>
    <n v="1"/>
    <n v="1169.77"/>
    <n v="1169.77"/>
    <n v="0"/>
    <n v="0.9"/>
    <n v="0.1"/>
    <m/>
    <m/>
    <x v="0"/>
    <m/>
    <m/>
    <m/>
    <m/>
    <m/>
    <m/>
    <m/>
    <m/>
    <m/>
    <m/>
    <m/>
    <m/>
    <m/>
    <m/>
    <m/>
    <m/>
    <m/>
  </r>
  <r>
    <s v="2.4.3.1.1"/>
    <s v="CMS M.60.10.000"/>
    <x v="2"/>
    <n v="4"/>
    <s v="SPOOL"/>
    <n v="6"/>
    <x v="2"/>
    <s v="NÃO"/>
    <s v="NÃO"/>
    <x v="65"/>
    <x v="3"/>
    <s v="DISPOSIÇÃO DE REJEITOS LINHA DO CIRCUITO ULTRAFINO DISTRIBUIDOR DI-145A-9907 PARA A PENEIRA PN-145A-9733"/>
    <m/>
    <m/>
    <m/>
    <s v="1450AA-T-70464_FL16"/>
    <n v="1"/>
    <s v="PÇ"/>
    <n v="0.5"/>
    <n v="0.5"/>
    <n v="1169.77"/>
    <n v="584.88499999999999"/>
    <n v="0"/>
    <n v="0.9"/>
    <n v="0.1"/>
    <m/>
    <m/>
    <x v="0"/>
    <m/>
    <m/>
    <m/>
    <m/>
    <m/>
    <m/>
    <m/>
    <m/>
    <m/>
    <m/>
    <m/>
    <m/>
    <m/>
    <m/>
    <m/>
    <m/>
    <m/>
  </r>
  <r>
    <s v="2.4.3.1.1"/>
    <s v="CMS M.60.10.000"/>
    <x v="2"/>
    <n v="5"/>
    <s v="SPOOL"/>
    <n v="6"/>
    <x v="1"/>
    <s v="NÃO"/>
    <s v="NÃO"/>
    <x v="65"/>
    <x v="3"/>
    <s v="DISPOSIÇÃO DE REJEITOS LINHA DO CIRCUITO ULTRAFINO DISTRIBUIDOR DI-145A-9907 PARA A PENEIRA PN-145A-9733"/>
    <m/>
    <m/>
    <m/>
    <s v="1450AA-T-70464_FL14"/>
    <n v="1"/>
    <s v="PÇ"/>
    <n v="2.2999999999999998"/>
    <n v="2.2999999999999998"/>
    <n v="1169.77"/>
    <n v="2690.4709999999995"/>
    <n v="0"/>
    <n v="0.9"/>
    <n v="0.1"/>
    <m/>
    <m/>
    <x v="0"/>
    <m/>
    <m/>
    <m/>
    <m/>
    <m/>
    <m/>
    <m/>
    <m/>
    <m/>
    <m/>
    <m/>
    <m/>
    <m/>
    <m/>
    <m/>
    <m/>
    <m/>
  </r>
  <r>
    <s v="2.4.3.1.1"/>
    <s v="CMS M.60.10.000"/>
    <x v="2"/>
    <n v="6"/>
    <s v="SPOOL"/>
    <n v="6"/>
    <x v="2"/>
    <s v="NÃO"/>
    <s v="NÃO"/>
    <x v="65"/>
    <x v="3"/>
    <s v="DISPOSIÇÃO DE REJEITOS LINHA DO CIRCUITO ULTRAFINO DISTRIBUIDOR DI-145A-9907 PARA A PENEIRA PN-145A-9733"/>
    <m/>
    <m/>
    <m/>
    <s v="1450AA-T-70464_FL15"/>
    <n v="1"/>
    <s v="PÇ"/>
    <n v="0.45"/>
    <n v="0.45"/>
    <n v="1169.77"/>
    <n v="526.39650000000006"/>
    <n v="0"/>
    <n v="0.9"/>
    <n v="0.1"/>
    <m/>
    <m/>
    <x v="0"/>
    <m/>
    <m/>
    <m/>
    <m/>
    <m/>
    <m/>
    <m/>
    <m/>
    <m/>
    <m/>
    <m/>
    <m/>
    <m/>
    <m/>
    <m/>
    <m/>
    <m/>
  </r>
  <r>
    <n v="0"/>
    <s v="CMS M.60.10.000"/>
    <x v="2"/>
    <n v="7"/>
    <s v="SPOOL"/>
    <s v="6 X 4"/>
    <x v="1"/>
    <s v="NÃO"/>
    <s v="NÃO"/>
    <x v="65"/>
    <x v="3"/>
    <s v="DISPOSIÇÃO DE REJEITOS LINHA DO CIRCUITO ULTRAFINO DISTRIBUIDOR DI-145A-9907 PARA A PENEIRA PN-145A-9733"/>
    <m/>
    <m/>
    <m/>
    <s v="1450AA-T-70464_FL09"/>
    <n v="1"/>
    <s v="PÇ"/>
    <n v="2.1349999999999998"/>
    <n v="2.1349999999999998"/>
    <n v="0"/>
    <n v="0"/>
    <n v="0"/>
    <n v="0.9"/>
    <n v="0.1"/>
    <m/>
    <m/>
    <x v="0"/>
    <m/>
    <m/>
    <m/>
    <m/>
    <m/>
    <m/>
    <m/>
    <m/>
    <m/>
    <m/>
    <m/>
    <m/>
    <m/>
    <m/>
    <m/>
    <m/>
    <m/>
  </r>
  <r>
    <n v="0"/>
    <s v="CMS M.60.10.000"/>
    <x v="2"/>
    <n v="8"/>
    <s v="FLANGE"/>
    <n v="4"/>
    <x v="1"/>
    <s v="NÃO"/>
    <s v="NÃO"/>
    <x v="65"/>
    <x v="3"/>
    <s v="DISPOSIÇÃO DE REJEITOS LINHA DO CIRCUITO ULTRAFINO DISTRIBUIDOR DI-145A-9907 PARA A PENEIRA PN-145A-9733"/>
    <m/>
    <m/>
    <m/>
    <s v="1450AA-T-70464_FL03"/>
    <n v="2"/>
    <s v="PÇ"/>
    <n v="0"/>
    <n v="0"/>
    <n v="0"/>
    <n v="0"/>
    <n v="0"/>
    <n v="0.9"/>
    <n v="0.1"/>
    <m/>
    <m/>
    <x v="0"/>
    <m/>
    <m/>
    <m/>
    <m/>
    <m/>
    <m/>
    <m/>
    <m/>
    <m/>
    <m/>
    <m/>
    <m/>
    <m/>
    <m/>
    <m/>
    <m/>
    <m/>
  </r>
  <r>
    <s v="2.4.3.1.1"/>
    <s v="CMS M.60.10.000"/>
    <x v="2"/>
    <n v="1"/>
    <s v="SPOOL"/>
    <n v="6"/>
    <x v="1"/>
    <s v="NÃO"/>
    <s v="NÃO"/>
    <x v="66"/>
    <x v="3"/>
    <s v="DISPOSIÇÃO DE REJEITOS LINHA DO CIRCUITO ULTRAFINO DISTRIBUIDOR DI-145A-9907 PARA A PENEIRA PN-145A-9734"/>
    <m/>
    <m/>
    <m/>
    <s v="1450AA-T-70466_FL14"/>
    <n v="1"/>
    <s v="PÇ"/>
    <n v="0.2"/>
    <n v="0.2"/>
    <n v="1169.77"/>
    <n v="233.95400000000001"/>
    <n v="0"/>
    <n v="0.9"/>
    <n v="0.1"/>
    <m/>
    <m/>
    <x v="0"/>
    <m/>
    <m/>
    <m/>
    <m/>
    <m/>
    <m/>
    <m/>
    <m/>
    <m/>
    <m/>
    <m/>
    <m/>
    <m/>
    <m/>
    <m/>
    <m/>
    <m/>
  </r>
  <r>
    <s v="2.4.3.1.1"/>
    <s v="CMS M.60.10.000"/>
    <x v="2"/>
    <n v="2"/>
    <s v="CURVA"/>
    <n v="6"/>
    <x v="1"/>
    <s v="NÃO"/>
    <s v="NÃO"/>
    <x v="66"/>
    <x v="3"/>
    <s v="DISPOSIÇÃO DE REJEITOS LINHA DO CIRCUITO ULTRAFINO DISTRIBUIDOR DI-145A-9907 PARA A PENEIRA PN-145A-9734"/>
    <m/>
    <m/>
    <m/>
    <s v="1450AA-T-70466_FL12"/>
    <n v="1"/>
    <s v="PÇ"/>
    <n v="0.46500000000000002"/>
    <n v="0.46500000000000002"/>
    <n v="1169.77"/>
    <n v="543.94304999999997"/>
    <n v="0"/>
    <n v="0.9"/>
    <n v="0.1"/>
    <m/>
    <m/>
    <x v="0"/>
    <m/>
    <m/>
    <m/>
    <m/>
    <m/>
    <m/>
    <m/>
    <m/>
    <m/>
    <m/>
    <m/>
    <m/>
    <m/>
    <m/>
    <m/>
    <m/>
    <m/>
  </r>
  <r>
    <s v="2.4.3.1.1"/>
    <s v="CMS M.60.10.000"/>
    <x v="2"/>
    <n v="3"/>
    <s v="SPOOL"/>
    <n v="6"/>
    <x v="1"/>
    <s v="NÃO"/>
    <s v="NÃO"/>
    <x v="66"/>
    <x v="3"/>
    <s v="DISPOSIÇÃO DE REJEITOS LINHA DO CIRCUITO ULTRAFINO DISTRIBUIDOR DI-145A-9907 PARA A PENEIRA PN-145A-9734"/>
    <m/>
    <m/>
    <m/>
    <s v="1450AA-T-70466_FL15"/>
    <n v="1"/>
    <s v="PÇ"/>
    <n v="1.5"/>
    <n v="1.5"/>
    <n v="1169.77"/>
    <n v="1754.655"/>
    <n v="0"/>
    <n v="0.9"/>
    <n v="0.1"/>
    <m/>
    <m/>
    <x v="0"/>
    <m/>
    <m/>
    <m/>
    <m/>
    <m/>
    <m/>
    <m/>
    <m/>
    <m/>
    <m/>
    <m/>
    <m/>
    <m/>
    <m/>
    <m/>
    <m/>
    <m/>
  </r>
  <r>
    <s v="2.4.3.1.1"/>
    <s v="CMS M.60.10.000"/>
    <x v="2"/>
    <n v="4"/>
    <s v="SPOOL"/>
    <n v="6"/>
    <x v="2"/>
    <s v="NÃO"/>
    <s v="NÃO"/>
    <x v="66"/>
    <x v="3"/>
    <s v="DISPOSIÇÃO DE REJEITOS LINHA DO CIRCUITO ULTRAFINO DISTRIBUIDOR DI-145A-9907 PARA A PENEIRA PN-145A-9734"/>
    <m/>
    <m/>
    <m/>
    <s v="1450AA-T-70466_FL18"/>
    <n v="2"/>
    <s v="PÇ"/>
    <n v="0.45"/>
    <n v="0.9"/>
    <n v="1169.77"/>
    <n v="1052.7930000000001"/>
    <n v="0"/>
    <n v="0.9"/>
    <n v="0.1"/>
    <m/>
    <m/>
    <x v="0"/>
    <m/>
    <m/>
    <m/>
    <m/>
    <m/>
    <m/>
    <m/>
    <m/>
    <m/>
    <m/>
    <m/>
    <m/>
    <m/>
    <m/>
    <m/>
    <m/>
    <m/>
  </r>
  <r>
    <s v="2.4.3.1.1"/>
    <s v="CMS M.60.10.000"/>
    <x v="2"/>
    <n v="5"/>
    <s v="CURVA"/>
    <n v="6"/>
    <x v="1"/>
    <s v="NÃO"/>
    <s v="NÃO"/>
    <x v="66"/>
    <x v="3"/>
    <s v="DISPOSIÇÃO DE REJEITOS LINHA DO CIRCUITO ULTRAFINO DISTRIBUIDOR DI-145A-9907 PARA A PENEIRA PN-145A-9734"/>
    <m/>
    <m/>
    <m/>
    <s v="1450AA-T-70466_FL11"/>
    <n v="1"/>
    <s v="PÇ"/>
    <n v="0.35"/>
    <n v="0.35"/>
    <n v="1169.77"/>
    <n v="409.41949999999997"/>
    <n v="0"/>
    <n v="0.9"/>
    <n v="0.1"/>
    <m/>
    <m/>
    <x v="0"/>
    <m/>
    <m/>
    <m/>
    <m/>
    <m/>
    <m/>
    <m/>
    <m/>
    <m/>
    <m/>
    <m/>
    <m/>
    <m/>
    <m/>
    <m/>
    <m/>
    <m/>
  </r>
  <r>
    <s v="2.4.3.1.1"/>
    <s v="CMS M.60.10.000"/>
    <x v="2"/>
    <n v="6"/>
    <s v="SPOOL"/>
    <n v="6"/>
    <x v="1"/>
    <s v="NÃO"/>
    <s v="NÃO"/>
    <x v="66"/>
    <x v="3"/>
    <s v="DISPOSIÇÃO DE REJEITOS LINHA DO CIRCUITO ULTRAFINO DISTRIBUIDOR DI-145A-9907 PARA A PENEIRA PN-145A-9734"/>
    <m/>
    <m/>
    <m/>
    <s v="1450AA-T-70466_FL17"/>
    <n v="1"/>
    <s v="PÇ"/>
    <n v="2.5"/>
    <n v="2.5"/>
    <n v="1169.77"/>
    <n v="2924.4250000000002"/>
    <n v="0"/>
    <n v="0.9"/>
    <n v="0.1"/>
    <m/>
    <m/>
    <x v="0"/>
    <m/>
    <m/>
    <m/>
    <m/>
    <m/>
    <m/>
    <m/>
    <m/>
    <m/>
    <m/>
    <m/>
    <m/>
    <m/>
    <m/>
    <m/>
    <m/>
    <m/>
  </r>
  <r>
    <s v="2.4.3.1.1"/>
    <s v="CMS M.60.10.000"/>
    <x v="2"/>
    <n v="7"/>
    <s v="CURVA"/>
    <n v="6"/>
    <x v="1"/>
    <s v="NÃO"/>
    <s v="NÃO"/>
    <x v="66"/>
    <x v="3"/>
    <s v="DISPOSIÇÃO DE REJEITOS LINHA DO CIRCUITO ULTRAFINO DISTRIBUIDOR DI-145A-9907 PARA A PENEIRA PN-145A-9734"/>
    <m/>
    <m/>
    <m/>
    <s v="1450AA-T-70466_FL13"/>
    <n v="1"/>
    <s v="PÇ"/>
    <n v="0.48"/>
    <n v="0.48"/>
    <n v="1169.77"/>
    <n v="561.4896"/>
    <n v="0"/>
    <n v="0.9"/>
    <n v="0.1"/>
    <m/>
    <m/>
    <x v="0"/>
    <m/>
    <m/>
    <m/>
    <m/>
    <m/>
    <m/>
    <m/>
    <m/>
    <m/>
    <m/>
    <m/>
    <m/>
    <m/>
    <m/>
    <m/>
    <m/>
    <m/>
  </r>
  <r>
    <s v="2.4.3.1.1"/>
    <s v="CMS M.60.10.000"/>
    <x v="2"/>
    <n v="8"/>
    <s v="SPOOL"/>
    <n v="6"/>
    <x v="1"/>
    <s v="NÃO"/>
    <s v="NÃO"/>
    <x v="66"/>
    <x v="3"/>
    <s v="DISPOSIÇÃO DE REJEITOS LINHA DO CIRCUITO ULTRAFINO DISTRIBUIDOR DI-145A-9907 PARA A PENEIRA PN-145A-9734"/>
    <m/>
    <m/>
    <m/>
    <s v="1450AA-T-70466_FL16"/>
    <n v="1"/>
    <s v="PÇ"/>
    <n v="2"/>
    <n v="2"/>
    <n v="1169.77"/>
    <n v="2339.54"/>
    <n v="0"/>
    <n v="0.9"/>
    <n v="0.1"/>
    <m/>
    <m/>
    <x v="0"/>
    <m/>
    <m/>
    <m/>
    <m/>
    <m/>
    <m/>
    <m/>
    <m/>
    <m/>
    <m/>
    <m/>
    <m/>
    <m/>
    <m/>
    <m/>
    <m/>
    <m/>
  </r>
  <r>
    <s v="2.4.3.1.1"/>
    <s v="CMS M.60.10.000"/>
    <x v="2"/>
    <n v="9"/>
    <s v="SPOOL"/>
    <n v="6"/>
    <x v="2"/>
    <s v="NÃO"/>
    <s v="NÃO"/>
    <x v="66"/>
    <x v="3"/>
    <s v="DISPOSIÇÃO DE REJEITOS LINHA DO CIRCUITO ULTRAFINO DISTRIBUIDOR DI-145A-9907 PARA A PENEIRA PN-145A-9734"/>
    <m/>
    <m/>
    <m/>
    <s v="1450AA-T-70466_FL19"/>
    <n v="1"/>
    <s v="PÇ"/>
    <n v="0.67500000000000004"/>
    <n v="0.67500000000000004"/>
    <n v="1169.77"/>
    <n v="789.59475000000009"/>
    <n v="0"/>
    <n v="0.9"/>
    <n v="0.1"/>
    <m/>
    <m/>
    <x v="0"/>
    <m/>
    <m/>
    <m/>
    <m/>
    <m/>
    <m/>
    <m/>
    <m/>
    <m/>
    <m/>
    <m/>
    <m/>
    <m/>
    <m/>
    <m/>
    <m/>
    <m/>
  </r>
  <r>
    <n v="0"/>
    <s v="CMS M.60.10.000"/>
    <x v="2"/>
    <n v="10"/>
    <s v="SPOOL"/>
    <s v="6 X 4"/>
    <x v="1"/>
    <s v="NÃO"/>
    <s v="NÃO"/>
    <x v="66"/>
    <x v="3"/>
    <s v="DISPOSIÇÃO DE REJEITOS LINHA DO CIRCUITO ULTRAFINO DISTRIBUIDOR DI-145A-9907 PARA A PENEIRA PN-145A-9734"/>
    <m/>
    <m/>
    <m/>
    <s v="1450AA-T-70466_FL09"/>
    <n v="1"/>
    <s v="PÇ"/>
    <n v="2.1349999999999998"/>
    <n v="2.1349999999999998"/>
    <n v="0"/>
    <n v="0"/>
    <n v="0"/>
    <n v="0.9"/>
    <n v="0.1"/>
    <m/>
    <m/>
    <x v="0"/>
    <m/>
    <m/>
    <m/>
    <m/>
    <m/>
    <m/>
    <m/>
    <m/>
    <m/>
    <m/>
    <m/>
    <m/>
    <m/>
    <m/>
    <m/>
    <m/>
    <m/>
  </r>
  <r>
    <n v="0"/>
    <s v="CMS M.60.10.000"/>
    <x v="2"/>
    <n v="11"/>
    <s v="FLANGE"/>
    <n v="4"/>
    <x v="1"/>
    <s v="NÃO"/>
    <s v="NÃO"/>
    <x v="66"/>
    <x v="3"/>
    <s v="DISPOSIÇÃO DE REJEITOS LINHA DO CIRCUITO ULTRAFINO DISTRIBUIDOR DI-145A-9907 PARA A PENEIRA PN-145A-9734"/>
    <m/>
    <m/>
    <m/>
    <s v="1450AA-T-70466_FL03"/>
    <n v="2"/>
    <s v="PÇ"/>
    <n v="0"/>
    <n v="0"/>
    <n v="0"/>
    <n v="0"/>
    <n v="0"/>
    <n v="0.9"/>
    <n v="0.1"/>
    <m/>
    <m/>
    <x v="0"/>
    <m/>
    <m/>
    <m/>
    <m/>
    <m/>
    <m/>
    <m/>
    <m/>
    <m/>
    <m/>
    <m/>
    <m/>
    <m/>
    <m/>
    <m/>
    <m/>
    <m/>
  </r>
  <r>
    <s v="2.4.3.1.1"/>
    <s v="CMS M.60.10.000"/>
    <x v="2"/>
    <n v="1"/>
    <s v="CURVA"/>
    <n v="6"/>
    <x v="1"/>
    <s v="NÃO"/>
    <s v="NÃO"/>
    <x v="67"/>
    <x v="3"/>
    <s v="DISPOSIÇÃO DE REJEITOS LINHA DO CIRCUITO ULTRAFINO DISTRIBUIDOR DI-145A-9907 PARA A PENEIRA PN-145A-9735"/>
    <m/>
    <m/>
    <m/>
    <s v="1450AA-T-70468_FL12"/>
    <n v="2"/>
    <s v="PÇ"/>
    <n v="0.46500000000000002"/>
    <n v="0.93"/>
    <n v="1169.77"/>
    <n v="1087.8860999999999"/>
    <n v="0"/>
    <n v="0.9"/>
    <n v="0.1"/>
    <m/>
    <m/>
    <x v="0"/>
    <m/>
    <m/>
    <m/>
    <m/>
    <m/>
    <m/>
    <m/>
    <m/>
    <m/>
    <m/>
    <m/>
    <m/>
    <m/>
    <m/>
    <m/>
    <m/>
    <m/>
  </r>
  <r>
    <s v="2.4.3.1.1"/>
    <s v="CMS M.60.10.000"/>
    <x v="2"/>
    <n v="2"/>
    <s v="SPOOL"/>
    <n v="6"/>
    <x v="1"/>
    <s v="NÃO"/>
    <s v="NÃO"/>
    <x v="67"/>
    <x v="3"/>
    <s v="DISPOSIÇÃO DE REJEITOS LINHA DO CIRCUITO ULTRAFINO DISTRIBUIDOR DI-145A-9907 PARA A PENEIRA PN-145A-9735"/>
    <m/>
    <m/>
    <m/>
    <s v="1450AA-T-70468_FL15"/>
    <n v="1"/>
    <s v="PÇ"/>
    <n v="2.5"/>
    <n v="2.5"/>
    <n v="1169.77"/>
    <n v="2924.4250000000002"/>
    <n v="0"/>
    <n v="0.9"/>
    <n v="0.1"/>
    <m/>
    <m/>
    <x v="0"/>
    <m/>
    <m/>
    <m/>
    <m/>
    <m/>
    <m/>
    <m/>
    <m/>
    <m/>
    <m/>
    <m/>
    <m/>
    <m/>
    <m/>
    <m/>
    <m/>
    <m/>
  </r>
  <r>
    <s v="2.4.3.1.1"/>
    <s v="CMS M.60.10.000"/>
    <x v="2"/>
    <n v="3"/>
    <s v="SPOOL"/>
    <n v="6"/>
    <x v="1"/>
    <s v="NÃO"/>
    <s v="NÃO"/>
    <x v="67"/>
    <x v="3"/>
    <s v="DISPOSIÇÃO DE REJEITOS LINHA DO CIRCUITO ULTRAFINO DISTRIBUIDOR DI-145A-9907 PARA A PENEIRA PN-145A-9735"/>
    <m/>
    <m/>
    <m/>
    <s v="1450AA-T-70468_FL14"/>
    <n v="3"/>
    <s v="PÇ"/>
    <n v="2"/>
    <n v="6"/>
    <n v="1169.77"/>
    <n v="7018.62"/>
    <n v="0"/>
    <n v="0.9"/>
    <n v="0.1"/>
    <m/>
    <m/>
    <x v="0"/>
    <m/>
    <m/>
    <m/>
    <m/>
    <m/>
    <m/>
    <m/>
    <m/>
    <m/>
    <m/>
    <m/>
    <m/>
    <m/>
    <m/>
    <m/>
    <m/>
    <m/>
  </r>
  <r>
    <s v="2.4.3.1.1"/>
    <s v="CMS M.60.10.000"/>
    <x v="2"/>
    <n v="4"/>
    <s v="SPOOL"/>
    <n v="6"/>
    <x v="2"/>
    <s v="NÃO"/>
    <s v="NÃO"/>
    <x v="67"/>
    <x v="3"/>
    <s v="DISPOSIÇÃO DE REJEITOS LINHA DO CIRCUITO ULTRAFINO DISTRIBUIDOR DI-145A-9907 PARA A PENEIRA PN-145A-9735"/>
    <m/>
    <m/>
    <m/>
    <s v="1450AA-T-70468_FL17"/>
    <n v="2"/>
    <s v="PÇ"/>
    <n v="0.8"/>
    <n v="1.6"/>
    <n v="1169.77"/>
    <n v="1871.6320000000001"/>
    <n v="0"/>
    <n v="0.9"/>
    <n v="0.1"/>
    <m/>
    <m/>
    <x v="0"/>
    <m/>
    <m/>
    <m/>
    <m/>
    <m/>
    <m/>
    <m/>
    <m/>
    <m/>
    <m/>
    <m/>
    <m/>
    <m/>
    <m/>
    <m/>
    <m/>
    <m/>
  </r>
  <r>
    <s v="2.4.3.1.1"/>
    <s v="CMS M.60.10.000"/>
    <x v="2"/>
    <n v="5"/>
    <s v="CURVA"/>
    <n v="6"/>
    <x v="1"/>
    <s v="NÃO"/>
    <s v="NÃO"/>
    <x v="67"/>
    <x v="3"/>
    <s v="DISPOSIÇÃO DE REJEITOS LINHA DO CIRCUITO ULTRAFINO DISTRIBUIDOR DI-145A-9907 PARA A PENEIRA PN-145A-9735"/>
    <m/>
    <m/>
    <m/>
    <s v="1450AA-T-70468_FL11"/>
    <n v="1"/>
    <s v="PÇ"/>
    <n v="0.32500000000000001"/>
    <n v="0.32500000000000001"/>
    <n v="1169.77"/>
    <n v="380.17525000000001"/>
    <n v="0"/>
    <n v="0.9"/>
    <n v="0.1"/>
    <m/>
    <m/>
    <x v="0"/>
    <m/>
    <m/>
    <m/>
    <m/>
    <m/>
    <m/>
    <m/>
    <m/>
    <m/>
    <m/>
    <m/>
    <m/>
    <m/>
    <m/>
    <m/>
    <m/>
    <m/>
  </r>
  <r>
    <s v="2.4.3.1.1"/>
    <s v="CMS M.60.10.000"/>
    <x v="2"/>
    <n v="6"/>
    <s v="SPOOL"/>
    <n v="6"/>
    <x v="2"/>
    <s v="NÃO"/>
    <s v="NÃO"/>
    <x v="67"/>
    <x v="3"/>
    <s v="DISPOSIÇÃO DE REJEITOS LINHA DO CIRCUITO ULTRAFINO DISTRIBUIDOR DI-145A-9907 PARA A PENEIRA PN-145A-9735"/>
    <m/>
    <m/>
    <m/>
    <s v="1450AA-T-70468_FL16"/>
    <n v="1"/>
    <s v="PÇ"/>
    <n v="0.55000000000000004"/>
    <n v="0.55000000000000004"/>
    <n v="1169.77"/>
    <n v="643.37350000000004"/>
    <n v="0"/>
    <n v="0.9"/>
    <n v="0.1"/>
    <m/>
    <m/>
    <x v="0"/>
    <m/>
    <m/>
    <m/>
    <m/>
    <m/>
    <m/>
    <m/>
    <m/>
    <m/>
    <m/>
    <m/>
    <m/>
    <m/>
    <m/>
    <m/>
    <m/>
    <m/>
  </r>
  <r>
    <s v="2.4.3.1.1"/>
    <s v="CMS M.60.10.000"/>
    <x v="2"/>
    <n v="7"/>
    <s v="SPOOL"/>
    <n v="6"/>
    <x v="1"/>
    <s v="NÃO"/>
    <s v="NÃO"/>
    <x v="67"/>
    <x v="3"/>
    <s v="DISPOSIÇÃO DE REJEITOS LINHA DO CIRCUITO ULTRAFINO DISTRIBUIDOR DI-145A-9907 PARA A PENEIRA PN-145A-9735"/>
    <m/>
    <m/>
    <m/>
    <s v="1450AA-T-70468_FL13"/>
    <n v="1"/>
    <s v="PÇ"/>
    <n v="1.5"/>
    <n v="1.5"/>
    <n v="1169.77"/>
    <n v="1754.655"/>
    <n v="0"/>
    <n v="0.9"/>
    <n v="0.1"/>
    <m/>
    <m/>
    <x v="0"/>
    <m/>
    <m/>
    <m/>
    <m/>
    <m/>
    <m/>
    <m/>
    <m/>
    <m/>
    <m/>
    <m/>
    <m/>
    <m/>
    <m/>
    <m/>
    <m/>
    <m/>
  </r>
  <r>
    <n v="0"/>
    <s v="CMS M.60.10.000"/>
    <x v="2"/>
    <n v="8"/>
    <s v="SPOOL"/>
    <s v="6 X 4"/>
    <x v="1"/>
    <s v="NÃO"/>
    <s v="NÃO"/>
    <x v="67"/>
    <x v="3"/>
    <s v="DISPOSIÇÃO DE REJEITOS LINHA DO CIRCUITO ULTRAFINO DISTRIBUIDOR DI-145A-9907 PARA A PENEIRA PN-145A-9735"/>
    <m/>
    <m/>
    <m/>
    <s v="1450AA-T-70468_FL09"/>
    <n v="1"/>
    <s v="PÇ"/>
    <n v="2.1150000000000002"/>
    <n v="2.1150000000000002"/>
    <n v="0"/>
    <n v="0"/>
    <n v="0"/>
    <n v="0.9"/>
    <n v="0.1"/>
    <m/>
    <m/>
    <x v="0"/>
    <m/>
    <m/>
    <m/>
    <m/>
    <m/>
    <m/>
    <m/>
    <m/>
    <m/>
    <m/>
    <m/>
    <m/>
    <m/>
    <m/>
    <m/>
    <m/>
    <m/>
  </r>
  <r>
    <n v="0"/>
    <s v="CMS M.60.10.000"/>
    <x v="2"/>
    <n v="9"/>
    <s v="FLANGE"/>
    <n v="4"/>
    <x v="1"/>
    <s v="NÃO"/>
    <s v="NÃO"/>
    <x v="67"/>
    <x v="3"/>
    <s v="DISPOSIÇÃO DE REJEITOS LINHA DO CIRCUITO ULTRAFINO DISTRIBUIDOR DI-145A-9907 PARA A PENEIRA PN-145A-9735"/>
    <m/>
    <m/>
    <m/>
    <s v="1450AA-T-70468_FL03"/>
    <n v="2"/>
    <s v="PÇ"/>
    <n v="0"/>
    <n v="0"/>
    <n v="0"/>
    <n v="0"/>
    <n v="0"/>
    <n v="0.9"/>
    <n v="0.1"/>
    <m/>
    <m/>
    <x v="0"/>
    <m/>
    <m/>
    <m/>
    <m/>
    <m/>
    <m/>
    <m/>
    <m/>
    <m/>
    <m/>
    <m/>
    <m/>
    <m/>
    <m/>
    <m/>
    <m/>
    <m/>
  </r>
  <r>
    <s v="2.4.3.1.1"/>
    <s v="CMS M.60.10.000"/>
    <x v="2"/>
    <n v="1"/>
    <s v="SPOOL"/>
    <n v="6"/>
    <x v="1"/>
    <s v="NÃO"/>
    <s v="NÃO"/>
    <x v="68"/>
    <x v="3"/>
    <s v="DISPOSIÇÃO DE REJEITOS LINHA DO CIRCUITO ULTRAFINO DISTRIBUIDOR DI-145A-9907 PARA A PENEIRA PN-145A-9710"/>
    <m/>
    <m/>
    <m/>
    <s v="1450AA-T-70470_FL18"/>
    <n v="2"/>
    <s v="PÇ"/>
    <n v="2.5"/>
    <n v="5"/>
    <n v="1169.77"/>
    <n v="5848.85"/>
    <n v="0"/>
    <n v="0.9"/>
    <n v="0.1"/>
    <m/>
    <m/>
    <x v="0"/>
    <m/>
    <m/>
    <m/>
    <m/>
    <m/>
    <m/>
    <m/>
    <m/>
    <m/>
    <m/>
    <m/>
    <m/>
    <m/>
    <m/>
    <m/>
    <m/>
    <m/>
  </r>
  <r>
    <s v="2.4.3.1.1"/>
    <s v="CMS M.60.10.000"/>
    <x v="2"/>
    <n v="2"/>
    <s v="SPOOL"/>
    <n v="6"/>
    <x v="1"/>
    <s v="NÃO"/>
    <s v="NÃO"/>
    <x v="68"/>
    <x v="3"/>
    <s v="DISPOSIÇÃO DE REJEITOS LINHA DO CIRCUITO ULTRAFINO DISTRIBUIDOR DI-145A-9907 PARA A PENEIRA PN-145A-9710"/>
    <m/>
    <m/>
    <m/>
    <s v="1450AA-T-70470_FL17"/>
    <n v="2"/>
    <s v="PÇ"/>
    <n v="1.5"/>
    <n v="3"/>
    <n v="1169.77"/>
    <n v="3509.31"/>
    <n v="0"/>
    <n v="0.9"/>
    <n v="0.1"/>
    <m/>
    <m/>
    <x v="0"/>
    <m/>
    <m/>
    <m/>
    <m/>
    <m/>
    <m/>
    <m/>
    <m/>
    <m/>
    <m/>
    <m/>
    <m/>
    <m/>
    <m/>
    <m/>
    <m/>
    <m/>
  </r>
  <r>
    <s v="2.4.3.1.1"/>
    <s v="CMS M.60.10.000"/>
    <x v="2"/>
    <n v="3"/>
    <s v="SPOOL"/>
    <n v="6"/>
    <x v="1"/>
    <s v="NÃO"/>
    <s v="NÃO"/>
    <x v="68"/>
    <x v="3"/>
    <s v="DISPOSIÇÃO DE REJEITOS LINHA DO CIRCUITO ULTRAFINO DISTRIBUIDOR DI-145A-9907 PARA A PENEIRA PN-145A-9710"/>
    <m/>
    <m/>
    <m/>
    <s v="1450AA-T-70470_FL16"/>
    <n v="1"/>
    <s v="PÇ"/>
    <n v="0.87"/>
    <n v="0.87"/>
    <n v="1169.77"/>
    <n v="1017.6999"/>
    <n v="0"/>
    <n v="0.9"/>
    <n v="0.1"/>
    <m/>
    <m/>
    <x v="0"/>
    <m/>
    <m/>
    <m/>
    <m/>
    <m/>
    <m/>
    <m/>
    <m/>
    <m/>
    <m/>
    <m/>
    <m/>
    <m/>
    <m/>
    <m/>
    <m/>
    <m/>
  </r>
  <r>
    <s v="2.4.3.1.1"/>
    <s v="CMS M.60.10.000"/>
    <x v="2"/>
    <n v="4"/>
    <s v="SPOOL"/>
    <n v="6"/>
    <x v="1"/>
    <s v="NÃO"/>
    <s v="NÃO"/>
    <x v="68"/>
    <x v="3"/>
    <s v="DISPOSIÇÃO DE REJEITOS LINHA DO CIRCUITO ULTRAFINO DISTRIBUIDOR DI-145A-9907 PARA A PENEIRA PN-145A-9710"/>
    <m/>
    <m/>
    <m/>
    <s v="1450AA-T-70470_FL15"/>
    <n v="1"/>
    <s v="PÇ"/>
    <n v="0.2"/>
    <n v="0.2"/>
    <n v="1169.77"/>
    <n v="233.95400000000001"/>
    <n v="0"/>
    <n v="0.9"/>
    <n v="0.1"/>
    <m/>
    <m/>
    <x v="0"/>
    <m/>
    <m/>
    <m/>
    <m/>
    <m/>
    <m/>
    <m/>
    <m/>
    <m/>
    <m/>
    <m/>
    <m/>
    <m/>
    <m/>
    <m/>
    <m/>
    <m/>
  </r>
  <r>
    <s v="2.4.3.1.1"/>
    <s v="CMS M.60.10.000"/>
    <x v="2"/>
    <n v="5"/>
    <s v="SPOOL"/>
    <n v="6"/>
    <x v="2"/>
    <s v="NÃO"/>
    <s v="NÃO"/>
    <x v="68"/>
    <x v="3"/>
    <s v="DISPOSIÇÃO DE REJEITOS LINHA DO CIRCUITO ULTRAFINO DISTRIBUIDOR DI-145A-9907 PARA A PENEIRA PN-145A-9710"/>
    <m/>
    <m/>
    <m/>
    <s v="1450AA-T-70470_FL22"/>
    <n v="1"/>
    <s v="PÇ"/>
    <n v="0.65"/>
    <n v="0.65"/>
    <n v="1169.77"/>
    <n v="760.35050000000001"/>
    <n v="0"/>
    <n v="0.9"/>
    <n v="0.1"/>
    <m/>
    <m/>
    <x v="0"/>
    <m/>
    <m/>
    <m/>
    <m/>
    <m/>
    <m/>
    <m/>
    <m/>
    <m/>
    <m/>
    <m/>
    <m/>
    <m/>
    <m/>
    <m/>
    <m/>
    <m/>
  </r>
  <r>
    <s v="2.4.3.1.1"/>
    <s v="CMS M.60.10.000"/>
    <x v="2"/>
    <n v="6"/>
    <s v="SPOOL"/>
    <n v="6"/>
    <x v="2"/>
    <s v="NÃO"/>
    <s v="NÃO"/>
    <x v="68"/>
    <x v="3"/>
    <s v="DISPOSIÇÃO DE REJEITOS LINHA DO CIRCUITO ULTRAFINO DISTRIBUIDOR DI-145A-9907 PARA A PENEIRA PN-145A-9710"/>
    <m/>
    <m/>
    <m/>
    <s v="1450AA-T-70470_FL21"/>
    <n v="1"/>
    <s v="PÇ"/>
    <n v="0.6"/>
    <n v="0.6"/>
    <n v="1169.77"/>
    <n v="701.86199999999997"/>
    <n v="0"/>
    <n v="0.9"/>
    <n v="0.1"/>
    <m/>
    <m/>
    <x v="0"/>
    <m/>
    <m/>
    <m/>
    <m/>
    <m/>
    <m/>
    <m/>
    <m/>
    <m/>
    <m/>
    <m/>
    <m/>
    <m/>
    <m/>
    <m/>
    <m/>
    <m/>
  </r>
  <r>
    <s v="2.4.3.1.1"/>
    <s v="CMS M.60.10.000"/>
    <x v="2"/>
    <n v="7"/>
    <s v="SPOOL"/>
    <n v="6"/>
    <x v="2"/>
    <s v="NÃO"/>
    <s v="NÃO"/>
    <x v="68"/>
    <x v="3"/>
    <s v="DISPOSIÇÃO DE REJEITOS LINHA DO CIRCUITO ULTRAFINO DISTRIBUIDOR DI-145A-9907 PARA A PENEIRA PN-145A-9710"/>
    <m/>
    <m/>
    <m/>
    <s v="1450AA-T-70470_FL20"/>
    <n v="1"/>
    <s v="PÇ"/>
    <n v="0.4"/>
    <n v="0.4"/>
    <n v="1169.77"/>
    <n v="467.90800000000002"/>
    <n v="0"/>
    <n v="0.9"/>
    <n v="0.1"/>
    <m/>
    <m/>
    <x v="0"/>
    <m/>
    <m/>
    <m/>
    <m/>
    <m/>
    <m/>
    <m/>
    <m/>
    <m/>
    <m/>
    <m/>
    <m/>
    <m/>
    <m/>
    <m/>
    <m/>
    <m/>
  </r>
  <r>
    <s v="2.4.3.1.1"/>
    <s v="CMS M.60.10.000"/>
    <x v="2"/>
    <n v="8"/>
    <s v="SPOOL"/>
    <n v="6"/>
    <x v="2"/>
    <s v="NÃO"/>
    <s v="NÃO"/>
    <x v="68"/>
    <x v="3"/>
    <s v="DISPOSIÇÃO DE REJEITOS LINHA DO CIRCUITO ULTRAFINO DISTRIBUIDOR DI-145A-9907 PARA A PENEIRA PN-145A-9710"/>
    <m/>
    <m/>
    <m/>
    <s v="1450AA-T-70470_FL19"/>
    <n v="1"/>
    <s v="PÇ"/>
    <n v="0.3"/>
    <n v="0.3"/>
    <n v="1169.77"/>
    <n v="350.93099999999998"/>
    <n v="0"/>
    <n v="0.9"/>
    <n v="0.1"/>
    <m/>
    <m/>
    <x v="0"/>
    <m/>
    <m/>
    <m/>
    <m/>
    <m/>
    <m/>
    <m/>
    <m/>
    <m/>
    <m/>
    <m/>
    <m/>
    <m/>
    <m/>
    <m/>
    <m/>
    <m/>
  </r>
  <r>
    <s v="2.4.3.1.1"/>
    <s v="CMS M.60.10.000"/>
    <x v="2"/>
    <n v="9"/>
    <s v="CURVA"/>
    <n v="6"/>
    <x v="1"/>
    <s v="NÃO"/>
    <s v="NÃO"/>
    <x v="68"/>
    <x v="3"/>
    <s v="DISPOSIÇÃO DE REJEITOS LINHA DO CIRCUITO ULTRAFINO DISTRIBUIDOR DI-145A-9907 PARA A PENEIRA PN-145A-9710"/>
    <m/>
    <m/>
    <m/>
    <s v="1450AA-T-70470_FL14"/>
    <n v="2"/>
    <s v="PÇ"/>
    <n v="0.46500000000000002"/>
    <n v="0.93"/>
    <n v="1169.77"/>
    <n v="1087.8860999999999"/>
    <n v="0"/>
    <n v="0.9"/>
    <n v="0.1"/>
    <m/>
    <m/>
    <x v="0"/>
    <m/>
    <m/>
    <m/>
    <m/>
    <m/>
    <m/>
    <m/>
    <m/>
    <m/>
    <m/>
    <m/>
    <m/>
    <m/>
    <m/>
    <m/>
    <m/>
    <m/>
  </r>
  <r>
    <s v="2.4.3.1.1"/>
    <s v="CMS M.60.10.000"/>
    <x v="2"/>
    <n v="10"/>
    <s v="CURVA"/>
    <n v="6"/>
    <x v="1"/>
    <s v="NÃO"/>
    <s v="NÃO"/>
    <x v="68"/>
    <x v="3"/>
    <s v="DISPOSIÇÃO DE REJEITOS LINHA DO CIRCUITO ULTRAFINO DISTRIBUIDOR DI-145A-9907 PARA A PENEIRA PN-145A-9710"/>
    <m/>
    <m/>
    <m/>
    <s v="1450AA-T-70470_FL13"/>
    <n v="1"/>
    <s v="PÇ"/>
    <n v="0.42"/>
    <n v="0.42"/>
    <n v="1169.77"/>
    <n v="491.30339999999995"/>
    <n v="0"/>
    <n v="0.9"/>
    <n v="0.1"/>
    <m/>
    <m/>
    <x v="0"/>
    <m/>
    <m/>
    <m/>
    <m/>
    <m/>
    <m/>
    <m/>
    <m/>
    <m/>
    <m/>
    <m/>
    <m/>
    <m/>
    <m/>
    <m/>
    <m/>
    <m/>
  </r>
  <r>
    <s v="2.4.3.1.1"/>
    <s v="CMS M.60.10.000"/>
    <x v="2"/>
    <n v="11"/>
    <s v="CURVA"/>
    <n v="6"/>
    <x v="1"/>
    <s v="NÃO"/>
    <s v="NÃO"/>
    <x v="68"/>
    <x v="3"/>
    <s v="DISPOSIÇÃO DE REJEITOS LINHA DO CIRCUITO ULTRAFINO DISTRIBUIDOR DI-145A-9907 PARA A PENEIRA PN-145A-9710"/>
    <m/>
    <m/>
    <m/>
    <s v="1450AA-T-70470_FL12"/>
    <n v="1"/>
    <s v="PÇ"/>
    <n v="0.42"/>
    <n v="0.42"/>
    <n v="1169.77"/>
    <n v="491.30339999999995"/>
    <n v="0"/>
    <n v="0.9"/>
    <n v="0.1"/>
    <m/>
    <m/>
    <x v="0"/>
    <m/>
    <m/>
    <m/>
    <m/>
    <m/>
    <m/>
    <m/>
    <m/>
    <m/>
    <m/>
    <m/>
    <m/>
    <m/>
    <m/>
    <m/>
    <m/>
    <m/>
  </r>
  <r>
    <s v="2.4.3.1.1"/>
    <s v="CMS M.60.10.000"/>
    <x v="2"/>
    <n v="12"/>
    <s v="SPOOL"/>
    <n v="6"/>
    <x v="1"/>
    <s v="NÃO"/>
    <s v="NÃO"/>
    <x v="68"/>
    <x v="3"/>
    <s v="DISPOSIÇÃO DE REJEITOS LINHA DO CIRCUITO ULTRAFINO DISTRIBUIDOR DI-145A-9907 PARA A PENEIRA PN-145A-9710"/>
    <m/>
    <m/>
    <m/>
    <s v="1450AA-T-70470_FL11"/>
    <n v="1"/>
    <s v="PÇ"/>
    <n v="0.75"/>
    <n v="0.75"/>
    <n v="1169.77"/>
    <n v="877.32749999999999"/>
    <n v="0"/>
    <n v="0.9"/>
    <n v="0.1"/>
    <m/>
    <m/>
    <x v="0"/>
    <m/>
    <m/>
    <m/>
    <m/>
    <m/>
    <m/>
    <m/>
    <m/>
    <m/>
    <m/>
    <m/>
    <m/>
    <m/>
    <m/>
    <m/>
    <m/>
    <m/>
  </r>
  <r>
    <n v="0"/>
    <s v="CMS M.60.10.000"/>
    <x v="2"/>
    <n v="13"/>
    <s v="SPOOL"/>
    <s v="6 X 4"/>
    <x v="1"/>
    <s v="NÃO"/>
    <s v="NÃO"/>
    <x v="68"/>
    <x v="3"/>
    <s v="DISPOSIÇÃO DE REJEITOS LINHA DO CIRCUITO ULTRAFINO DISTRIBUIDOR DI-145A-9907 PARA A PENEIRA PN-145A-9710"/>
    <m/>
    <m/>
    <m/>
    <s v="1450AA-T-70470_FL09"/>
    <n v="1"/>
    <s v="PÇ"/>
    <n v="2.1349999999999998"/>
    <n v="2.1349999999999998"/>
    <n v="0"/>
    <n v="0"/>
    <n v="0"/>
    <n v="0.9"/>
    <n v="0.1"/>
    <m/>
    <m/>
    <x v="0"/>
    <m/>
    <m/>
    <m/>
    <m/>
    <m/>
    <m/>
    <m/>
    <m/>
    <m/>
    <m/>
    <m/>
    <m/>
    <m/>
    <m/>
    <m/>
    <m/>
    <m/>
  </r>
  <r>
    <n v="0"/>
    <s v="CMS M.60.10.000"/>
    <x v="2"/>
    <n v="14"/>
    <s v="FLANGE"/>
    <n v="4"/>
    <x v="1"/>
    <s v="NÃO"/>
    <s v="NÃO"/>
    <x v="68"/>
    <x v="3"/>
    <s v="DISPOSIÇÃO DE REJEITOS LINHA DO CIRCUITO ULTRAFINO DISTRIBUIDOR DI-145A-9907 PARA A PENEIRA PN-145A-9710"/>
    <m/>
    <m/>
    <m/>
    <s v="1450AA-T-70470_FL03"/>
    <n v="2"/>
    <s v="PÇ"/>
    <n v="0"/>
    <n v="0"/>
    <n v="0"/>
    <n v="0"/>
    <n v="0"/>
    <n v="0.9"/>
    <n v="0.1"/>
    <m/>
    <m/>
    <x v="0"/>
    <m/>
    <m/>
    <m/>
    <m/>
    <m/>
    <m/>
    <m/>
    <m/>
    <m/>
    <m/>
    <m/>
    <m/>
    <m/>
    <m/>
    <m/>
    <m/>
    <m/>
  </r>
  <r>
    <s v="2.4.3.1.1"/>
    <s v="CMS M.60.10.000"/>
    <x v="2"/>
    <n v="1"/>
    <s v="SPOOL"/>
    <n v="6"/>
    <x v="1"/>
    <s v="NÃO"/>
    <s v="NÃO"/>
    <x v="69"/>
    <x v="3"/>
    <s v="DISPOSIÇÃO DE REJEITOS LINHA DO CIRCUITO ULTRAFINO DISTRIBUIDOR DI-145A-9907 PARA A PENEIRA PN-145A-9711"/>
    <m/>
    <m/>
    <m/>
    <s v="1450AA-T-70472_FL20"/>
    <n v="2"/>
    <s v="PÇ"/>
    <n v="2.5"/>
    <n v="5"/>
    <n v="1169.77"/>
    <n v="5848.85"/>
    <n v="0"/>
    <n v="0.9"/>
    <n v="0.1"/>
    <m/>
    <m/>
    <x v="0"/>
    <m/>
    <m/>
    <m/>
    <m/>
    <m/>
    <m/>
    <m/>
    <m/>
    <m/>
    <m/>
    <m/>
    <m/>
    <m/>
    <m/>
    <m/>
    <m/>
    <m/>
  </r>
  <r>
    <s v="2.4.3.1.1"/>
    <s v="CMS M.60.10.000"/>
    <x v="2"/>
    <n v="2"/>
    <s v="SPOOL"/>
    <n v="6"/>
    <x v="1"/>
    <s v="NÃO"/>
    <s v="NÃO"/>
    <x v="69"/>
    <x v="3"/>
    <s v="DISPOSIÇÃO DE REJEITOS LINHA DO CIRCUITO ULTRAFINO DISTRIBUIDOR DI-145A-9907 PARA A PENEIRA PN-145A-9711"/>
    <m/>
    <m/>
    <m/>
    <s v="1450AA-T-70472_FL19"/>
    <n v="2"/>
    <s v="PÇ"/>
    <n v="1.5"/>
    <n v="3"/>
    <n v="1169.77"/>
    <n v="3509.31"/>
    <n v="0"/>
    <n v="0.9"/>
    <n v="0.1"/>
    <m/>
    <m/>
    <x v="0"/>
    <m/>
    <m/>
    <m/>
    <m/>
    <m/>
    <m/>
    <m/>
    <m/>
    <m/>
    <m/>
    <m/>
    <m/>
    <m/>
    <m/>
    <m/>
    <m/>
    <m/>
  </r>
  <r>
    <s v="2.4.3.1.1"/>
    <s v="CMS M.60.10.000"/>
    <x v="2"/>
    <n v="3"/>
    <s v="SPOOL"/>
    <n v="6"/>
    <x v="1"/>
    <s v="NÃO"/>
    <s v="NÃO"/>
    <x v="69"/>
    <x v="3"/>
    <s v="DISPOSIÇÃO DE REJEITOS LINHA DO CIRCUITO ULTRAFINO DISTRIBUIDOR DI-145A-9907 PARA A PENEIRA PN-145A-9711"/>
    <m/>
    <m/>
    <m/>
    <s v="1450AA-T-70472_FL18"/>
    <n v="1"/>
    <s v="PÇ"/>
    <n v="1.2"/>
    <n v="1.2"/>
    <n v="1169.77"/>
    <n v="1403.7239999999999"/>
    <n v="0"/>
    <n v="0.9"/>
    <n v="0.1"/>
    <m/>
    <m/>
    <x v="0"/>
    <m/>
    <m/>
    <m/>
    <m/>
    <m/>
    <m/>
    <m/>
    <m/>
    <m/>
    <m/>
    <m/>
    <m/>
    <m/>
    <m/>
    <m/>
    <m/>
    <m/>
  </r>
  <r>
    <s v="2.4.3.1.1"/>
    <s v="CMS M.60.10.000"/>
    <x v="2"/>
    <n v="4"/>
    <s v="SPOOL"/>
    <n v="6"/>
    <x v="1"/>
    <s v="NÃO"/>
    <s v="NÃO"/>
    <x v="69"/>
    <x v="3"/>
    <s v="DISPOSIÇÃO DE REJEITOS LINHA DO CIRCUITO ULTRAFINO DISTRIBUIDOR DI-145A-9907 PARA A PENEIRA PN-145A-9711"/>
    <m/>
    <m/>
    <m/>
    <s v="1450AA-T-70472_FL17"/>
    <n v="1"/>
    <s v="PÇ"/>
    <n v="0.8"/>
    <n v="0.8"/>
    <n v="1169.77"/>
    <n v="935.81600000000003"/>
    <n v="0"/>
    <n v="0.9"/>
    <n v="0.1"/>
    <m/>
    <m/>
    <x v="0"/>
    <m/>
    <m/>
    <m/>
    <m/>
    <m/>
    <m/>
    <m/>
    <m/>
    <m/>
    <m/>
    <m/>
    <m/>
    <m/>
    <m/>
    <m/>
    <m/>
    <m/>
  </r>
  <r>
    <s v="2.4.3.1.1"/>
    <s v="CMS M.60.10.000"/>
    <x v="2"/>
    <n v="7"/>
    <s v="SPOOL"/>
    <n v="6"/>
    <x v="1"/>
    <s v="NÃO"/>
    <s v="NÃO"/>
    <x v="69"/>
    <x v="3"/>
    <s v="DISPOSIÇÃO DE REJEITOS LINHA DO CIRCUITO ULTRAFINO DISTRIBUIDOR DI-145A-9907 PARA A PENEIRA PN-145A-9711"/>
    <m/>
    <m/>
    <m/>
    <s v="1450AA-T-70472_FL16"/>
    <n v="1"/>
    <s v="PÇ"/>
    <n v="0.2"/>
    <n v="0.2"/>
    <n v="1169.77"/>
    <n v="233.95400000000001"/>
    <n v="0"/>
    <n v="0.9"/>
    <n v="0.1"/>
    <m/>
    <m/>
    <x v="0"/>
    <m/>
    <m/>
    <m/>
    <m/>
    <m/>
    <m/>
    <m/>
    <m/>
    <m/>
    <m/>
    <m/>
    <m/>
    <m/>
    <m/>
    <m/>
    <m/>
    <m/>
  </r>
  <r>
    <s v="2.4.3.1.1"/>
    <s v="CMS M.60.10.000"/>
    <x v="2"/>
    <n v="6"/>
    <s v="SPOOL"/>
    <n v="6"/>
    <x v="2"/>
    <s v="NÃO"/>
    <s v="NÃO"/>
    <x v="69"/>
    <x v="3"/>
    <s v="DISPOSIÇÃO DE REJEITOS LINHA DO CIRCUITO ULTRAFINO DISTRIBUIDOR DI-145A-9907 PARA A PENEIRA PN-145A-9711"/>
    <m/>
    <m/>
    <m/>
    <s v="1450AA-T-70472_FL23"/>
    <n v="2"/>
    <s v="PÇ"/>
    <n v="0.6"/>
    <n v="1.2"/>
    <n v="1169.77"/>
    <n v="1403.7239999999999"/>
    <n v="0"/>
    <n v="0.9"/>
    <n v="0.1"/>
    <m/>
    <m/>
    <x v="0"/>
    <m/>
    <m/>
    <m/>
    <m/>
    <m/>
    <m/>
    <m/>
    <m/>
    <m/>
    <m/>
    <m/>
    <m/>
    <m/>
    <m/>
    <m/>
    <m/>
    <m/>
  </r>
  <r>
    <s v="2.4.3.1.1"/>
    <s v="CMS M.60.10.000"/>
    <x v="2"/>
    <n v="7"/>
    <s v="SPOOL"/>
    <n v="6"/>
    <x v="2"/>
    <s v="NÃO"/>
    <s v="NÃO"/>
    <x v="69"/>
    <x v="3"/>
    <s v="DISPOSIÇÃO DE REJEITOS LINHA DO CIRCUITO ULTRAFINO DISTRIBUIDOR DI-145A-9907 PARA A PENEIRA PN-145A-9711"/>
    <m/>
    <m/>
    <m/>
    <s v="1450AA-T-70472_FL22"/>
    <n v="2"/>
    <s v="PÇ"/>
    <n v="0.47499999999999998"/>
    <n v="0.95"/>
    <n v="1169.77"/>
    <n v="1111.2814999999998"/>
    <n v="0"/>
    <n v="0.9"/>
    <n v="0.1"/>
    <m/>
    <m/>
    <x v="0"/>
    <m/>
    <m/>
    <m/>
    <m/>
    <m/>
    <m/>
    <m/>
    <m/>
    <m/>
    <m/>
    <m/>
    <m/>
    <m/>
    <m/>
    <m/>
    <m/>
    <m/>
  </r>
  <r>
    <s v="2.4.3.1.1"/>
    <s v="CMS M.60.10.000"/>
    <x v="2"/>
    <n v="8"/>
    <s v="SPOOL"/>
    <n v="6"/>
    <x v="2"/>
    <s v="NÃO"/>
    <s v="NÃO"/>
    <x v="69"/>
    <x v="3"/>
    <s v="DISPOSIÇÃO DE REJEITOS LINHA DO CIRCUITO ULTRAFINO DISTRIBUIDOR DI-145A-9907 PARA A PENEIRA PN-145A-9711"/>
    <m/>
    <m/>
    <m/>
    <s v="1450AA-T-70472_FL21"/>
    <n v="1"/>
    <s v="PÇ"/>
    <n v="0.4"/>
    <n v="0.4"/>
    <n v="1169.77"/>
    <n v="467.90800000000002"/>
    <n v="0"/>
    <n v="0.9"/>
    <n v="0.1"/>
    <m/>
    <m/>
    <x v="0"/>
    <m/>
    <m/>
    <m/>
    <m/>
    <m/>
    <m/>
    <m/>
    <m/>
    <m/>
    <m/>
    <m/>
    <m/>
    <m/>
    <m/>
    <m/>
    <m/>
    <m/>
  </r>
  <r>
    <s v="2.4.3.1.1"/>
    <s v="CMS M.60.10.000"/>
    <x v="2"/>
    <n v="9"/>
    <s v="CURVA"/>
    <n v="6"/>
    <x v="1"/>
    <s v="NÃO"/>
    <s v="NÃO"/>
    <x v="69"/>
    <x v="3"/>
    <s v="DISPOSIÇÃO DE REJEITOS LINHA DO CIRCUITO ULTRAFINO DISTRIBUIDOR DI-145A-9907 PARA A PENEIRA PN-145A-9711"/>
    <m/>
    <m/>
    <m/>
    <s v="1450AA-T-70472_FL15"/>
    <n v="2"/>
    <s v="PÇ"/>
    <n v="0.46500000000000002"/>
    <n v="0.93"/>
    <n v="1169.77"/>
    <n v="1087.8860999999999"/>
    <n v="0"/>
    <n v="0.9"/>
    <n v="0.1"/>
    <m/>
    <m/>
    <x v="0"/>
    <m/>
    <m/>
    <m/>
    <m/>
    <m/>
    <m/>
    <m/>
    <m/>
    <m/>
    <m/>
    <m/>
    <m/>
    <m/>
    <m/>
    <m/>
    <m/>
    <m/>
  </r>
  <r>
    <s v="2.4.3.1.1"/>
    <s v="CMS M.60.10.000"/>
    <x v="2"/>
    <n v="10"/>
    <s v="CURVA"/>
    <n v="6"/>
    <x v="1"/>
    <s v="NÃO"/>
    <s v="NÃO"/>
    <x v="69"/>
    <x v="3"/>
    <s v="DISPOSIÇÃO DE REJEITOS LINHA DO CIRCUITO ULTRAFINO DISTRIBUIDOR DI-145A-9907 PARA A PENEIRA PN-145A-9711"/>
    <m/>
    <m/>
    <m/>
    <s v="1450AA-T-70472_FL14"/>
    <n v="1"/>
    <s v="PÇ"/>
    <n v="0.42"/>
    <n v="0.42"/>
    <n v="1169.77"/>
    <n v="491.30339999999995"/>
    <n v="0"/>
    <n v="0.9"/>
    <n v="0.1"/>
    <m/>
    <m/>
    <x v="0"/>
    <m/>
    <m/>
    <m/>
    <m/>
    <m/>
    <m/>
    <m/>
    <m/>
    <m/>
    <m/>
    <m/>
    <m/>
    <m/>
    <m/>
    <m/>
    <m/>
    <m/>
  </r>
  <r>
    <s v="2.4.3.1.1"/>
    <s v="CMS M.60.10.000"/>
    <x v="2"/>
    <n v="11"/>
    <s v="CURVA"/>
    <n v="6"/>
    <x v="1"/>
    <s v="NÃO"/>
    <s v="NÃO"/>
    <x v="69"/>
    <x v="3"/>
    <s v="DISPOSIÇÃO DE REJEITOS LINHA DO CIRCUITO ULTRAFINO DISTRIBUIDOR DI-145A-9907 PARA A PENEIRA PN-145A-9711"/>
    <m/>
    <m/>
    <m/>
    <s v="1450AA-T-70472_FL13"/>
    <n v="1"/>
    <s v="PÇ"/>
    <n v="0.42"/>
    <n v="0.42"/>
    <n v="1169.77"/>
    <n v="491.30339999999995"/>
    <n v="0"/>
    <n v="0.9"/>
    <n v="0.1"/>
    <m/>
    <m/>
    <x v="0"/>
    <m/>
    <m/>
    <m/>
    <m/>
    <m/>
    <m/>
    <m/>
    <m/>
    <m/>
    <m/>
    <m/>
    <m/>
    <m/>
    <m/>
    <m/>
    <m/>
    <m/>
  </r>
  <r>
    <s v="2.4.3.1.1"/>
    <s v="CMS M.60.10.000"/>
    <x v="2"/>
    <n v="12"/>
    <s v="CURVA"/>
    <n v="6"/>
    <x v="1"/>
    <s v="NÃO"/>
    <s v="NÃO"/>
    <x v="69"/>
    <x v="3"/>
    <s v="DISPOSIÇÃO DE REJEITOS LINHA DO CIRCUITO ULTRAFINO DISTRIBUIDOR DI-145A-9907 PARA A PENEIRA PN-145A-9711"/>
    <m/>
    <m/>
    <m/>
    <s v="1450AA-T-70472_FL12"/>
    <n v="1"/>
    <s v="PÇ"/>
    <n v="0.35"/>
    <n v="0.35"/>
    <n v="1169.77"/>
    <n v="409.41949999999997"/>
    <n v="0"/>
    <n v="0.9"/>
    <n v="0.1"/>
    <m/>
    <m/>
    <x v="0"/>
    <m/>
    <m/>
    <m/>
    <m/>
    <m/>
    <m/>
    <m/>
    <m/>
    <m/>
    <m/>
    <m/>
    <m/>
    <m/>
    <m/>
    <m/>
    <m/>
    <m/>
  </r>
  <r>
    <s v="2.4.3.1.1"/>
    <s v="CMS M.60.10.000"/>
    <x v="2"/>
    <n v="13"/>
    <s v="SPOOL"/>
    <n v="6"/>
    <x v="1"/>
    <s v="NÃO"/>
    <s v="NÃO"/>
    <x v="69"/>
    <x v="3"/>
    <s v="DISPOSIÇÃO DE REJEITOS LINHA DO CIRCUITO ULTRAFINO DISTRIBUIDOR DI-145A-9907 PARA A PENEIRA PN-145A-9711"/>
    <m/>
    <m/>
    <m/>
    <s v="1450AA-T-70472_FL11"/>
    <n v="1"/>
    <s v="PÇ"/>
    <n v="0.75"/>
    <n v="0.75"/>
    <n v="1169.77"/>
    <n v="877.32749999999999"/>
    <n v="0"/>
    <n v="0.9"/>
    <n v="0.1"/>
    <m/>
    <m/>
    <x v="0"/>
    <m/>
    <m/>
    <m/>
    <m/>
    <m/>
    <m/>
    <m/>
    <m/>
    <m/>
    <m/>
    <m/>
    <m/>
    <m/>
    <m/>
    <m/>
    <m/>
    <m/>
  </r>
  <r>
    <n v="0"/>
    <s v="CMS M.60.10.000"/>
    <x v="2"/>
    <n v="14"/>
    <s v="SPOOL"/>
    <s v="6 X 4"/>
    <x v="1"/>
    <s v="NÃO"/>
    <s v="NÃO"/>
    <x v="69"/>
    <x v="3"/>
    <s v="DISPOSIÇÃO DE REJEITOS LINHA DO CIRCUITO ULTRAFINO DISTRIBUIDOR DI-145A-9907 PARA A PENEIRA PN-145A-9711"/>
    <m/>
    <m/>
    <m/>
    <s v="1450AA-T-70472_FL09"/>
    <n v="1"/>
    <s v="PÇ"/>
    <n v="2.1349999999999998"/>
    <n v="2.1349999999999998"/>
    <n v="0"/>
    <n v="0"/>
    <n v="0"/>
    <n v="0.9"/>
    <n v="0.1"/>
    <m/>
    <m/>
    <x v="0"/>
    <m/>
    <m/>
    <m/>
    <m/>
    <m/>
    <m/>
    <m/>
    <m/>
    <m/>
    <m/>
    <m/>
    <m/>
    <m/>
    <m/>
    <m/>
    <m/>
    <m/>
  </r>
  <r>
    <n v="0"/>
    <s v="CMS M.60.10.000"/>
    <x v="2"/>
    <n v="15"/>
    <s v="FLANGE"/>
    <n v="4"/>
    <x v="1"/>
    <s v="NÃO"/>
    <s v="NÃO"/>
    <x v="69"/>
    <x v="3"/>
    <s v="DISPOSIÇÃO DE REJEITOS LINHA DO CIRCUITO ULTRAFINO DISTRIBUIDOR DI-145A-9907 PARA A PENEIRA PN-145A-9711"/>
    <m/>
    <m/>
    <m/>
    <s v="1450AA-T-70472_FL03"/>
    <n v="2"/>
    <s v="PÇ"/>
    <n v="0"/>
    <n v="0"/>
    <n v="0"/>
    <n v="0"/>
    <n v="0"/>
    <n v="0.9"/>
    <n v="0.1"/>
    <m/>
    <m/>
    <x v="0"/>
    <m/>
    <m/>
    <m/>
    <m/>
    <m/>
    <m/>
    <m/>
    <m/>
    <m/>
    <m/>
    <m/>
    <m/>
    <m/>
    <m/>
    <m/>
    <m/>
    <m/>
  </r>
  <r>
    <s v="2.4.3.1.1"/>
    <s v="CMS M.60.10.000"/>
    <x v="2"/>
    <n v="1"/>
    <s v="CURVA"/>
    <n v="6"/>
    <x v="1"/>
    <s v="NÃO"/>
    <s v="NÃO"/>
    <x v="70"/>
    <x v="3"/>
    <s v="DISPOSIÇÃO DE REJEITOS LINHA DO CIRCUITO ULTRAFINO DISTRIBUIDOR DI-145A-9907 PARA A PENEIRA PN-145A-9712"/>
    <m/>
    <m/>
    <m/>
    <s v="1450AA-T-70474_FL15"/>
    <n v="2"/>
    <s v="PÇ"/>
    <n v="0.46500000000000002"/>
    <n v="0.93"/>
    <n v="1169.77"/>
    <n v="1087.8860999999999"/>
    <n v="0"/>
    <n v="0.9"/>
    <n v="0.1"/>
    <m/>
    <m/>
    <x v="0"/>
    <m/>
    <m/>
    <m/>
    <m/>
    <m/>
    <m/>
    <m/>
    <m/>
    <m/>
    <m/>
    <m/>
    <m/>
    <m/>
    <m/>
    <m/>
    <m/>
    <m/>
  </r>
  <r>
    <s v="2.4.3.1.1"/>
    <s v="CMS M.60.10.000"/>
    <x v="2"/>
    <n v="2"/>
    <s v="SPOOL"/>
    <n v="6"/>
    <x v="1"/>
    <s v="NÃO"/>
    <s v="NÃO"/>
    <x v="70"/>
    <x v="3"/>
    <s v="DISPOSIÇÃO DE REJEITOS LINHA DO CIRCUITO ULTRAFINO DISTRIBUIDOR DI-145A-9907 PARA A PENEIRA PN-145A-9712"/>
    <m/>
    <m/>
    <m/>
    <s v="1450AA-T-70474_FL20"/>
    <n v="2"/>
    <s v="PÇ"/>
    <n v="2.8"/>
    <n v="5.6"/>
    <n v="1169.77"/>
    <n v="6550.7119999999995"/>
    <n v="0"/>
    <n v="0.9"/>
    <n v="0.1"/>
    <m/>
    <m/>
    <x v="0"/>
    <m/>
    <m/>
    <m/>
    <m/>
    <m/>
    <m/>
    <m/>
    <m/>
    <m/>
    <m/>
    <m/>
    <m/>
    <m/>
    <m/>
    <m/>
    <m/>
    <m/>
  </r>
  <r>
    <s v="2.4.3.1.1"/>
    <s v="CMS M.60.10.000"/>
    <x v="2"/>
    <n v="3"/>
    <s v="SPOOL"/>
    <n v="6"/>
    <x v="2"/>
    <s v="NÃO"/>
    <s v="NÃO"/>
    <x v="70"/>
    <x v="3"/>
    <s v="DISPOSIÇÃO DE REJEITOS LINHA DO CIRCUITO ULTRAFINO DISTRIBUIDOR DI-145A-9907 PARA A PENEIRA PN-145A-9712"/>
    <m/>
    <m/>
    <m/>
    <s v="1450AA-T-70474_FL24"/>
    <n v="1"/>
    <s v="PÇ"/>
    <n v="0.85"/>
    <n v="0.85"/>
    <n v="1169.77"/>
    <n v="994.30449999999996"/>
    <n v="0"/>
    <n v="0.9"/>
    <n v="0.1"/>
    <m/>
    <m/>
    <x v="0"/>
    <m/>
    <m/>
    <m/>
    <m/>
    <m/>
    <m/>
    <m/>
    <m/>
    <m/>
    <m/>
    <m/>
    <m/>
    <m/>
    <m/>
    <m/>
    <m/>
    <m/>
  </r>
  <r>
    <s v="2.4.3.1.1"/>
    <s v="CMS M.60.10.000"/>
    <x v="2"/>
    <n v="4"/>
    <s v="SPOOL"/>
    <n v="6"/>
    <x v="1"/>
    <s v="NÃO"/>
    <s v="NÃO"/>
    <x v="70"/>
    <x v="3"/>
    <s v="DISPOSIÇÃO DE REJEITOS LINHA DO CIRCUITO ULTRAFINO DISTRIBUIDOR DI-145A-9907 PARA A PENEIRA PN-145A-9712"/>
    <m/>
    <m/>
    <m/>
    <s v="1450AA-T-70474_FL12"/>
    <n v="1"/>
    <s v="PÇ"/>
    <n v="0.35"/>
    <n v="0.35"/>
    <n v="1169.77"/>
    <n v="409.41949999999997"/>
    <n v="0"/>
    <n v="0.9"/>
    <n v="0.1"/>
    <m/>
    <m/>
    <x v="0"/>
    <m/>
    <m/>
    <m/>
    <m/>
    <m/>
    <m/>
    <m/>
    <m/>
    <m/>
    <m/>
    <m/>
    <m/>
    <m/>
    <m/>
    <m/>
    <m/>
    <m/>
  </r>
  <r>
    <s v="2.4.3.1.1"/>
    <s v="CMS M.60.10.000"/>
    <x v="2"/>
    <n v="5"/>
    <s v="SPOOL"/>
    <n v="6"/>
    <x v="1"/>
    <s v="NÃO"/>
    <s v="NÃO"/>
    <x v="70"/>
    <x v="3"/>
    <s v="DISPOSIÇÃO DE REJEITOS LINHA DO CIRCUITO ULTRAFINO DISTRIBUIDOR DI-145A-9907 PARA A PENEIRA PN-145A-9712"/>
    <m/>
    <m/>
    <m/>
    <s v="1450AA-T-70474_FL16"/>
    <n v="1"/>
    <s v="PÇ"/>
    <n v="1.2"/>
    <n v="1.2"/>
    <n v="1169.77"/>
    <n v="1403.7239999999999"/>
    <n v="0"/>
    <n v="0.9"/>
    <n v="0.1"/>
    <m/>
    <m/>
    <x v="0"/>
    <m/>
    <m/>
    <m/>
    <m/>
    <m/>
    <m/>
    <m/>
    <m/>
    <m/>
    <m/>
    <m/>
    <m/>
    <m/>
    <m/>
    <m/>
    <m/>
    <m/>
  </r>
  <r>
    <s v="2.4.3.1.1"/>
    <s v="CMS M.60.10.000"/>
    <x v="2"/>
    <n v="6"/>
    <s v="SPOOL"/>
    <n v="6"/>
    <x v="2"/>
    <s v="NÃO"/>
    <s v="NÃO"/>
    <x v="70"/>
    <x v="3"/>
    <s v="DISPOSIÇÃO DE REJEITOS LINHA DO CIRCUITO ULTRAFINO DISTRIBUIDOR DI-145A-9907 PARA A PENEIRA PN-145A-9712"/>
    <m/>
    <m/>
    <m/>
    <s v="1450AA-T-70474_FL22"/>
    <n v="2"/>
    <s v="PÇ"/>
    <n v="0.6"/>
    <n v="1.2"/>
    <n v="1169.77"/>
    <n v="1403.7239999999999"/>
    <n v="0"/>
    <n v="0.9"/>
    <n v="0.1"/>
    <m/>
    <m/>
    <x v="0"/>
    <m/>
    <m/>
    <m/>
    <m/>
    <m/>
    <m/>
    <m/>
    <m/>
    <m/>
    <m/>
    <m/>
    <m/>
    <m/>
    <m/>
    <m/>
    <m/>
    <m/>
  </r>
  <r>
    <s v="2.4.3.1.1"/>
    <s v="CMS M.60.10.000"/>
    <x v="2"/>
    <n v="7"/>
    <s v="SPOOL"/>
    <n v="6"/>
    <x v="1"/>
    <s v="NÃO"/>
    <s v="NÃO"/>
    <x v="70"/>
    <x v="3"/>
    <s v="DISPOSIÇÃO DE REJEITOS LINHA DO CIRCUITO ULTRAFINO DISTRIBUIDOR DI-145A-9907 PARA A PENEIRA PN-145A-9712"/>
    <m/>
    <m/>
    <m/>
    <s v="1450AA-T-70474_FL19"/>
    <n v="1"/>
    <s v="PÇ"/>
    <n v="2.5"/>
    <n v="2.5"/>
    <n v="1169.77"/>
    <n v="2924.4250000000002"/>
    <n v="0"/>
    <n v="0.9"/>
    <n v="0.1"/>
    <m/>
    <m/>
    <x v="0"/>
    <m/>
    <m/>
    <m/>
    <m/>
    <m/>
    <m/>
    <m/>
    <m/>
    <m/>
    <m/>
    <m/>
    <m/>
    <m/>
    <m/>
    <m/>
    <m/>
    <m/>
  </r>
  <r>
    <s v="2.4.3.1.1"/>
    <s v="CMS M.60.10.000"/>
    <x v="2"/>
    <n v="8"/>
    <s v="SPOOL"/>
    <n v="6"/>
    <x v="1"/>
    <s v="NÃO"/>
    <s v="NÃO"/>
    <x v="70"/>
    <x v="3"/>
    <s v="DISPOSIÇÃO DE REJEITOS LINHA DO CIRCUITO ULTRAFINO DISTRIBUIDOR DI-145A-9907 PARA A PENEIRA PN-145A-9712"/>
    <m/>
    <m/>
    <m/>
    <s v="1450AA-T-70474_FL18"/>
    <n v="1"/>
    <s v="PÇ"/>
    <n v="2"/>
    <n v="2"/>
    <n v="1169.77"/>
    <n v="2339.54"/>
    <n v="0"/>
    <n v="0.9"/>
    <n v="0.1"/>
    <m/>
    <m/>
    <x v="0"/>
    <m/>
    <m/>
    <m/>
    <m/>
    <m/>
    <m/>
    <m/>
    <m/>
    <m/>
    <m/>
    <m/>
    <m/>
    <m/>
    <m/>
    <m/>
    <m/>
    <m/>
  </r>
  <r>
    <s v="2.4.3.1.1"/>
    <s v="CMS M.60.10.000"/>
    <x v="2"/>
    <n v="9"/>
    <s v="SPOOL"/>
    <n v="6"/>
    <x v="2"/>
    <s v="NÃO"/>
    <s v="NÃO"/>
    <x v="70"/>
    <x v="3"/>
    <s v="DISPOSIÇÃO DE REJEITOS LINHA DO CIRCUITO ULTRAFINO DISTRIBUIDOR DI-145A-9907 PARA A PENEIRA PN-145A-9712"/>
    <m/>
    <m/>
    <m/>
    <s v="1450AA-T-70474_FL23"/>
    <n v="1"/>
    <s v="PÇ"/>
    <n v="0.7"/>
    <n v="0.7"/>
    <n v="1169.77"/>
    <n v="818.83899999999994"/>
    <n v="0"/>
    <n v="0.9"/>
    <n v="0.1"/>
    <m/>
    <m/>
    <x v="0"/>
    <m/>
    <m/>
    <m/>
    <m/>
    <m/>
    <m/>
    <m/>
    <m/>
    <m/>
    <m/>
    <m/>
    <m/>
    <m/>
    <m/>
    <m/>
    <m/>
    <m/>
  </r>
  <r>
    <s v="2.4.3.1.1"/>
    <s v="CMS M.60.10.000"/>
    <x v="2"/>
    <n v="10"/>
    <s v="CURVA"/>
    <n v="6"/>
    <x v="1"/>
    <s v="NÃO"/>
    <s v="NÃO"/>
    <x v="70"/>
    <x v="3"/>
    <s v="DISPOSIÇÃO DE REJEITOS LINHA DO CIRCUITO ULTRAFINO DISTRIBUIDOR DI-145A-9907 PARA A PENEIRA PN-145A-9712"/>
    <m/>
    <m/>
    <m/>
    <s v="1450AA-T-70474_FL14"/>
    <n v="1"/>
    <s v="PÇ"/>
    <n v="0.42"/>
    <n v="0.42"/>
    <n v="1169.77"/>
    <n v="491.30339999999995"/>
    <n v="0"/>
    <n v="0.9"/>
    <n v="0.1"/>
    <m/>
    <m/>
    <x v="0"/>
    <m/>
    <m/>
    <m/>
    <m/>
    <m/>
    <m/>
    <m/>
    <m/>
    <m/>
    <m/>
    <m/>
    <m/>
    <m/>
    <m/>
    <m/>
    <m/>
    <m/>
  </r>
  <r>
    <s v="2.4.3.1.1"/>
    <s v="CMS M.60.10.000"/>
    <x v="2"/>
    <n v="11"/>
    <s v="SPOOL"/>
    <n v="6"/>
    <x v="1"/>
    <s v="NÃO"/>
    <s v="NÃO"/>
    <x v="70"/>
    <x v="3"/>
    <s v="DISPOSIÇÃO DE REJEITOS LINHA DO CIRCUITO ULTRAFINO DISTRIBUIDOR DI-145A-9907 PARA A PENEIRA PN-145A-9712"/>
    <m/>
    <m/>
    <m/>
    <s v="1450AA-T-70474_FL17"/>
    <n v="2"/>
    <s v="PÇ"/>
    <n v="1.5"/>
    <n v="3"/>
    <n v="1169.77"/>
    <n v="3509.31"/>
    <n v="0"/>
    <n v="0.9"/>
    <n v="0.1"/>
    <m/>
    <m/>
    <x v="0"/>
    <m/>
    <m/>
    <m/>
    <m/>
    <m/>
    <m/>
    <m/>
    <m/>
    <m/>
    <m/>
    <m/>
    <m/>
    <m/>
    <m/>
    <m/>
    <m/>
    <m/>
  </r>
  <r>
    <s v="2.4.3.1.1"/>
    <s v="CMS M.60.10.000"/>
    <x v="2"/>
    <n v="12"/>
    <s v="CURVA"/>
    <n v="6"/>
    <x v="1"/>
    <s v="NÃO"/>
    <s v="NÃO"/>
    <x v="70"/>
    <x v="3"/>
    <s v="DISPOSIÇÃO DE REJEITOS LINHA DO CIRCUITO ULTRAFINO DISTRIBUIDOR DI-145A-9907 PARA A PENEIRA PN-145A-9712"/>
    <m/>
    <m/>
    <m/>
    <s v="1450AA-T-70474_FL13"/>
    <n v="1"/>
    <s v="PÇ"/>
    <n v="0.42"/>
    <n v="0.42"/>
    <n v="1169.77"/>
    <n v="491.30339999999995"/>
    <n v="0"/>
    <n v="0.9"/>
    <n v="0.1"/>
    <m/>
    <m/>
    <x v="0"/>
    <m/>
    <m/>
    <m/>
    <m/>
    <m/>
    <m/>
    <m/>
    <m/>
    <m/>
    <m/>
    <m/>
    <m/>
    <m/>
    <m/>
    <m/>
    <m/>
    <m/>
  </r>
  <r>
    <s v="2.4.3.1.1"/>
    <s v="CMS M.60.10.000"/>
    <x v="2"/>
    <n v="13"/>
    <s v="SPOOL"/>
    <n v="6"/>
    <x v="2"/>
    <s v="NÃO"/>
    <s v="NÃO"/>
    <x v="70"/>
    <x v="3"/>
    <s v="DISPOSIÇÃO DE REJEITOS LINHA DO CIRCUITO ULTRAFINO DISTRIBUIDOR DI-145A-9907 PARA A PENEIRA PN-145A-9712"/>
    <m/>
    <m/>
    <m/>
    <s v="1450AA-T-70474_FL21"/>
    <n v="1"/>
    <s v="PÇ"/>
    <n v="0.4"/>
    <n v="0.4"/>
    <n v="1169.77"/>
    <n v="467.90800000000002"/>
    <n v="0"/>
    <n v="0.9"/>
    <n v="0.1"/>
    <m/>
    <m/>
    <x v="0"/>
    <m/>
    <m/>
    <m/>
    <m/>
    <m/>
    <m/>
    <m/>
    <m/>
    <m/>
    <m/>
    <m/>
    <m/>
    <m/>
    <m/>
    <m/>
    <m/>
    <m/>
  </r>
  <r>
    <s v="2.4.3.1.1"/>
    <s v="CMS M.60.10.000"/>
    <x v="2"/>
    <n v="14"/>
    <s v="SPOOL"/>
    <n v="6"/>
    <x v="1"/>
    <s v="NÃO"/>
    <s v="NÃO"/>
    <x v="70"/>
    <x v="3"/>
    <s v="DISPOSIÇÃO DE REJEITOS LINHA DO CIRCUITO ULTRAFINO DISTRIBUIDOR DI-145A-9907 PARA A PENEIRA PN-145A-9712"/>
    <m/>
    <m/>
    <m/>
    <s v="1450AA-T-70474_FL11"/>
    <n v="1"/>
    <s v="PÇ"/>
    <n v="0.75"/>
    <n v="0.75"/>
    <n v="1169.77"/>
    <n v="877.32749999999999"/>
    <n v="0"/>
    <n v="0.9"/>
    <n v="0.1"/>
    <m/>
    <m/>
    <x v="0"/>
    <m/>
    <m/>
    <m/>
    <m/>
    <m/>
    <m/>
    <m/>
    <m/>
    <m/>
    <m/>
    <m/>
    <m/>
    <m/>
    <m/>
    <m/>
    <m/>
    <m/>
  </r>
  <r>
    <n v="0"/>
    <s v="CMS M.60.10.000"/>
    <x v="2"/>
    <n v="15"/>
    <s v="SPOOL"/>
    <s v="6 X 4"/>
    <x v="1"/>
    <s v="NÃO"/>
    <s v="NÃO"/>
    <x v="70"/>
    <x v="3"/>
    <s v="DISPOSIÇÃO DE REJEITOS LINHA DO CIRCUITO ULTRAFINO DISTRIBUIDOR DI-145A-9907 PARA A PENEIRA PN-145A-9712"/>
    <m/>
    <m/>
    <m/>
    <s v="1450AA-T-70474_FL09"/>
    <n v="1"/>
    <s v="PÇ"/>
    <n v="2.1349999999999998"/>
    <n v="2.1349999999999998"/>
    <n v="0"/>
    <n v="0"/>
    <n v="0"/>
    <n v="0.9"/>
    <n v="0.1"/>
    <m/>
    <m/>
    <x v="0"/>
    <m/>
    <m/>
    <m/>
    <m/>
    <m/>
    <m/>
    <m/>
    <m/>
    <m/>
    <m/>
    <m/>
    <m/>
    <m/>
    <m/>
    <m/>
    <m/>
    <m/>
  </r>
  <r>
    <n v="0"/>
    <s v="CMS M.60.10.000"/>
    <x v="2"/>
    <n v="16"/>
    <s v="FLANGE"/>
    <n v="4"/>
    <x v="1"/>
    <s v="NÃO"/>
    <s v="NÃO"/>
    <x v="70"/>
    <x v="3"/>
    <s v="DISPOSIÇÃO DE REJEITOS LINHA DO CIRCUITO ULTRAFINO DISTRIBUIDOR DI-145A-9907 PARA A PENEIRA PN-145A-9712"/>
    <m/>
    <m/>
    <m/>
    <s v="1450AA-T-70474_FL03"/>
    <n v="2"/>
    <s v="PÇ"/>
    <n v="0"/>
    <n v="0"/>
    <n v="0"/>
    <n v="0"/>
    <n v="0"/>
    <n v="0.9"/>
    <n v="0.1"/>
    <m/>
    <m/>
    <x v="0"/>
    <m/>
    <m/>
    <m/>
    <m/>
    <m/>
    <m/>
    <m/>
    <m/>
    <m/>
    <m/>
    <m/>
    <m/>
    <m/>
    <m/>
    <m/>
    <m/>
    <m/>
  </r>
  <r>
    <s v="2.4.3.1.5"/>
    <s v="CMS M.60.10.000"/>
    <x v="2"/>
    <n v="1"/>
    <s v="SPOOL"/>
    <n v="14"/>
    <x v="2"/>
    <s v="NÃO"/>
    <s v="NÃO"/>
    <x v="71"/>
    <x v="3"/>
    <s v="DISPOSIÇÃO DE REJEITOS LINHA DO CIRCUITO ULTRAFINO DISTRIBUIDOR DI-145A-9903 PARA DISTRIBUIDOR DI-145A-9904"/>
    <m/>
    <m/>
    <m/>
    <s v="1450AA-T-70482_FL15"/>
    <n v="1"/>
    <s v="PÇ"/>
    <n v="0.64"/>
    <n v="0.64"/>
    <n v="2725.4"/>
    <n v="1744.2560000000001"/>
    <n v="0"/>
    <n v="0.9"/>
    <n v="0.1"/>
    <m/>
    <m/>
    <x v="0"/>
    <m/>
    <m/>
    <m/>
    <m/>
    <m/>
    <m/>
    <m/>
    <m/>
    <m/>
    <m/>
    <m/>
    <m/>
    <m/>
    <m/>
    <m/>
    <m/>
    <m/>
  </r>
  <r>
    <s v="2.4.3.1.5"/>
    <s v="CMS M.60.10.000"/>
    <x v="2"/>
    <n v="2"/>
    <s v="CURVA"/>
    <n v="14"/>
    <x v="1"/>
    <s v="NÃO"/>
    <s v="NÃO"/>
    <x v="71"/>
    <x v="3"/>
    <s v="DISPOSIÇÃO DE REJEITOS LINHA DO CIRCUITO ULTRAFINO DISTRIBUIDOR DI-145A-9903 PARA DISTRIBUIDOR DI-145A-9904"/>
    <m/>
    <m/>
    <m/>
    <s v="1450AA-T-70482_FL21"/>
    <n v="1"/>
    <s v="PÇ"/>
    <n v="0.94499999999999995"/>
    <n v="0.94499999999999995"/>
    <n v="2725.4"/>
    <n v="2575.5030000000002"/>
    <n v="0"/>
    <n v="0.9"/>
    <n v="0.1"/>
    <m/>
    <m/>
    <x v="0"/>
    <m/>
    <m/>
    <m/>
    <m/>
    <m/>
    <m/>
    <m/>
    <m/>
    <m/>
    <m/>
    <m/>
    <m/>
    <m/>
    <m/>
    <m/>
    <m/>
    <m/>
  </r>
  <r>
    <s v="2.4.3.1.3"/>
    <s v="CMS M.60.10.000"/>
    <x v="2"/>
    <n v="3"/>
    <s v="REDUÇÃO"/>
    <s v="14 X 10"/>
    <x v="1"/>
    <s v="NÃO"/>
    <s v="NÃO"/>
    <x v="71"/>
    <x v="3"/>
    <s v="DISPOSIÇÃO DE REJEITOS LINHA DO CIRCUITO ULTRAFINO DISTRIBUIDOR DI-145A-9903 PARA DISTRIBUIDOR DI-145A-9904"/>
    <m/>
    <m/>
    <m/>
    <s v="1450AA-T-70482_FL22"/>
    <n v="1"/>
    <s v="PÇ"/>
    <n v="0.63"/>
    <n v="0.63"/>
    <n v="2238.89"/>
    <n v="1410.5006999999998"/>
    <n v="0"/>
    <n v="0.9"/>
    <n v="0.1"/>
    <m/>
    <m/>
    <x v="0"/>
    <m/>
    <m/>
    <m/>
    <m/>
    <m/>
    <m/>
    <m/>
    <m/>
    <m/>
    <m/>
    <m/>
    <m/>
    <m/>
    <m/>
    <m/>
    <m/>
    <m/>
  </r>
  <r>
    <s v="2.4.3.1.3"/>
    <s v="CMS M.60.10.000"/>
    <x v="2"/>
    <n v="4"/>
    <s v="CURVA"/>
    <n v="10"/>
    <x v="1"/>
    <s v="NÃO"/>
    <s v="NÃO"/>
    <x v="71"/>
    <x v="3"/>
    <s v="DISPOSIÇÃO DE REJEITOS LINHA DO CIRCUITO ULTRAFINO DISTRIBUIDOR DI-145A-9903 PARA DISTRIBUIDOR DI-145A-9904"/>
    <m/>
    <m/>
    <m/>
    <s v="1450AA-T-70482_FL20"/>
    <n v="1"/>
    <s v="PÇ"/>
    <n v="0.77"/>
    <n v="0.77"/>
    <n v="2238.89"/>
    <n v="1723.9452999999999"/>
    <n v="0"/>
    <n v="0.9"/>
    <n v="0.1"/>
    <m/>
    <m/>
    <x v="0"/>
    <m/>
    <m/>
    <m/>
    <m/>
    <m/>
    <m/>
    <m/>
    <m/>
    <m/>
    <m/>
    <m/>
    <m/>
    <m/>
    <m/>
    <m/>
    <m/>
    <m/>
  </r>
  <r>
    <s v="2.4.3.1.3"/>
    <s v="CMS M.60.10.000"/>
    <x v="2"/>
    <n v="5"/>
    <s v="CURVA"/>
    <n v="10"/>
    <x v="1"/>
    <s v="NÃO"/>
    <s v="NÃO"/>
    <x v="71"/>
    <x v="3"/>
    <s v="DISPOSIÇÃO DE REJEITOS LINHA DO CIRCUITO ULTRAFINO DISTRIBUIDOR DI-145A-9903 PARA DISTRIBUIDOR DI-145A-9904"/>
    <m/>
    <m/>
    <m/>
    <s v="1450AA-T-70482_FL19"/>
    <n v="1"/>
    <s v="PÇ"/>
    <n v="1.35"/>
    <n v="1.35"/>
    <n v="2238.89"/>
    <n v="3022.5014999999999"/>
    <n v="0"/>
    <n v="0.9"/>
    <n v="0.1"/>
    <m/>
    <m/>
    <x v="0"/>
    <m/>
    <m/>
    <m/>
    <m/>
    <m/>
    <m/>
    <m/>
    <m/>
    <m/>
    <m/>
    <m/>
    <m/>
    <m/>
    <m/>
    <m/>
    <m/>
    <m/>
  </r>
  <r>
    <s v="2.4.3.1.3"/>
    <s v="CMS M.60.10.000"/>
    <x v="2"/>
    <n v="6"/>
    <s v="SPOOL"/>
    <n v="10"/>
    <x v="1"/>
    <s v="NÃO"/>
    <s v="NÃO"/>
    <x v="71"/>
    <x v="3"/>
    <s v="DISPOSIÇÃO DE REJEITOS LINHA DO CIRCUITO ULTRAFINO DISTRIBUIDOR DI-145A-9903 PARA DISTRIBUIDOR DI-145A-9904"/>
    <m/>
    <m/>
    <m/>
    <s v="1450AA-T-70482_FL10"/>
    <n v="1"/>
    <s v="PÇ"/>
    <n v="5"/>
    <n v="5"/>
    <n v="2238.89"/>
    <n v="11194.449999999999"/>
    <n v="0"/>
    <n v="0.9"/>
    <n v="0.1"/>
    <m/>
    <m/>
    <x v="0"/>
    <m/>
    <m/>
    <m/>
    <m/>
    <m/>
    <m/>
    <m/>
    <m/>
    <m/>
    <m/>
    <m/>
    <m/>
    <m/>
    <m/>
    <m/>
    <m/>
    <m/>
  </r>
  <r>
    <s v="2.4.3.1.5"/>
    <s v="CMS M.60.10.000"/>
    <x v="2"/>
    <n v="7"/>
    <s v="SPOOL"/>
    <n v="14"/>
    <x v="2"/>
    <s v="NÃO"/>
    <s v="NÃO"/>
    <x v="71"/>
    <x v="3"/>
    <s v="DISPOSIÇÃO DE REJEITOS LINHA DO CIRCUITO ULTRAFINO DISTRIBUIDOR DI-145A-9903 PARA DISTRIBUIDOR DI-145A-9904"/>
    <m/>
    <m/>
    <m/>
    <s v="1450AA-T-70482_FL12"/>
    <n v="1"/>
    <s v="PÇ"/>
    <n v="0.43"/>
    <n v="0.43"/>
    <n v="2725.4"/>
    <n v="1171.922"/>
    <n v="0"/>
    <n v="0.9"/>
    <n v="0.1"/>
    <m/>
    <m/>
    <x v="0"/>
    <m/>
    <m/>
    <m/>
    <m/>
    <m/>
    <m/>
    <m/>
    <m/>
    <m/>
    <m/>
    <m/>
    <m/>
    <m/>
    <m/>
    <m/>
    <m/>
    <m/>
  </r>
  <r>
    <s v="2.4.3.1.3"/>
    <s v="CMS M.60.10.000"/>
    <x v="2"/>
    <n v="8"/>
    <s v="CURVA"/>
    <n v="10"/>
    <x v="1"/>
    <s v="NÃO"/>
    <s v="NÃO"/>
    <x v="71"/>
    <x v="3"/>
    <s v="DISPOSIÇÃO DE REJEITOS LINHA DO CIRCUITO ULTRAFINO DISTRIBUIDOR DI-145A-9903 PARA DISTRIBUIDOR DI-145A-9904"/>
    <m/>
    <m/>
    <m/>
    <s v="1450AA-T-70482_FL17"/>
    <n v="1"/>
    <s v="PÇ"/>
    <n v="0.8"/>
    <n v="0.8"/>
    <n v="2238.89"/>
    <n v="1791.1120000000001"/>
    <n v="0"/>
    <n v="0.9"/>
    <n v="0.1"/>
    <m/>
    <m/>
    <x v="0"/>
    <m/>
    <m/>
    <m/>
    <m/>
    <m/>
    <m/>
    <m/>
    <m/>
    <m/>
    <m/>
    <m/>
    <m/>
    <m/>
    <m/>
    <m/>
    <m/>
    <m/>
  </r>
  <r>
    <s v="2.4.3.1.3"/>
    <s v="CMS M.60.10.000"/>
    <x v="2"/>
    <n v="9"/>
    <s v="SPOOL"/>
    <n v="10"/>
    <x v="2"/>
    <s v="NÃO"/>
    <s v="NÃO"/>
    <x v="71"/>
    <x v="3"/>
    <s v="DISPOSIÇÃO DE REJEITOS LINHA DO CIRCUITO ULTRAFINO DISTRIBUIDOR DI-145A-9903 PARA DISTRIBUIDOR DI-145A-9904"/>
    <m/>
    <m/>
    <m/>
    <s v="1450AA-T-70482_FL14"/>
    <n v="1"/>
    <s v="PÇ"/>
    <n v="1.37"/>
    <n v="1.37"/>
    <n v="2238.89"/>
    <n v="3067.2793000000001"/>
    <n v="0"/>
    <n v="0.9"/>
    <n v="0.1"/>
    <m/>
    <m/>
    <x v="0"/>
    <m/>
    <m/>
    <m/>
    <m/>
    <m/>
    <m/>
    <m/>
    <m/>
    <m/>
    <m/>
    <m/>
    <m/>
    <m/>
    <m/>
    <m/>
    <m/>
    <m/>
  </r>
  <r>
    <s v="2.4.3.1.3"/>
    <s v="CMS M.60.10.000"/>
    <x v="2"/>
    <n v="10"/>
    <s v="CURVA"/>
    <n v="10"/>
    <x v="1"/>
    <s v="NÃO"/>
    <s v="NÃO"/>
    <x v="71"/>
    <x v="3"/>
    <s v="DISPOSIÇÃO DE REJEITOS LINHA DO CIRCUITO ULTRAFINO DISTRIBUIDOR DI-145A-9903 PARA DISTRIBUIDOR DI-145A-9904"/>
    <m/>
    <m/>
    <m/>
    <s v="1450AA-T-70482_FL16"/>
    <n v="1"/>
    <s v="PÇ"/>
    <n v="0.69799999999999995"/>
    <n v="0.69799999999999995"/>
    <n v="2238.89"/>
    <n v="1562.7452199999998"/>
    <n v="0"/>
    <n v="0.9"/>
    <n v="0.1"/>
    <m/>
    <m/>
    <x v="0"/>
    <m/>
    <m/>
    <m/>
    <m/>
    <m/>
    <m/>
    <m/>
    <m/>
    <m/>
    <m/>
    <m/>
    <m/>
    <m/>
    <m/>
    <m/>
    <m/>
    <m/>
  </r>
  <r>
    <s v="2.4.3.1.3"/>
    <s v="CMS M.60.10.000"/>
    <x v="2"/>
    <n v="11"/>
    <s v="SPOOL"/>
    <n v="10"/>
    <x v="1"/>
    <s v="NÃO"/>
    <s v="NÃO"/>
    <x v="71"/>
    <x v="3"/>
    <s v="DISPOSIÇÃO DE REJEITOS LINHA DO CIRCUITO ULTRAFINO DISTRIBUIDOR DI-145A-9903 PARA DISTRIBUIDOR DI-145A-9904"/>
    <m/>
    <m/>
    <m/>
    <s v="1450AA-T-70482_FL11"/>
    <n v="2"/>
    <s v="PÇ"/>
    <n v="6"/>
    <n v="12"/>
    <n v="2238.89"/>
    <n v="26866.68"/>
    <n v="0"/>
    <n v="0.9"/>
    <n v="0.1"/>
    <m/>
    <m/>
    <x v="0"/>
    <m/>
    <m/>
    <m/>
    <m/>
    <m/>
    <m/>
    <m/>
    <m/>
    <m/>
    <m/>
    <m/>
    <m/>
    <m/>
    <m/>
    <m/>
    <m/>
    <m/>
  </r>
  <r>
    <s v="2.4.3.1.3"/>
    <s v="CMS M.60.10.000"/>
    <x v="2"/>
    <n v="12"/>
    <s v="SPOOL"/>
    <n v="10"/>
    <x v="1"/>
    <s v="NÃO"/>
    <s v="NÃO"/>
    <x v="71"/>
    <x v="3"/>
    <s v="DISPOSIÇÃO DE REJEITOS LINHA DO CIRCUITO ULTRAFINO DISTRIBUIDOR DI-145A-9903 PARA DISTRIBUIDOR DI-145A-9904"/>
    <m/>
    <m/>
    <m/>
    <s v="1450AA-T-70482_FL09"/>
    <n v="1"/>
    <s v="PÇ"/>
    <n v="1.5"/>
    <n v="1.5"/>
    <n v="2238.89"/>
    <n v="3358.335"/>
    <n v="0"/>
    <n v="0.9"/>
    <n v="0.1"/>
    <m/>
    <m/>
    <x v="0"/>
    <m/>
    <m/>
    <m/>
    <m/>
    <m/>
    <m/>
    <m/>
    <m/>
    <m/>
    <m/>
    <m/>
    <m/>
    <m/>
    <m/>
    <m/>
    <m/>
    <m/>
  </r>
  <r>
    <s v="2.4.3.1.5"/>
    <s v="CMS M.60.10.000"/>
    <x v="2"/>
    <n v="13"/>
    <s v="SPOOL"/>
    <n v="14"/>
    <x v="2"/>
    <s v="NÃO"/>
    <s v="NÃO"/>
    <x v="71"/>
    <x v="3"/>
    <s v="DISPOSIÇÃO DE REJEITOS LINHA DO CIRCUITO ULTRAFINO DISTRIBUIDOR DI-145A-9903 PARA DISTRIBUIDOR DI-145A-9904"/>
    <m/>
    <m/>
    <m/>
    <s v="1450AA-T-70482_FL13"/>
    <n v="1"/>
    <s v="PÇ"/>
    <n v="0.9"/>
    <n v="0.9"/>
    <n v="2725.4"/>
    <n v="2452.86"/>
    <n v="0"/>
    <n v="0.9"/>
    <n v="0.1"/>
    <m/>
    <m/>
    <x v="0"/>
    <m/>
    <m/>
    <m/>
    <m/>
    <m/>
    <m/>
    <m/>
    <m/>
    <m/>
    <m/>
    <m/>
    <m/>
    <m/>
    <m/>
    <m/>
    <m/>
    <m/>
  </r>
  <r>
    <s v="2.4.3.1.3"/>
    <s v="CMS M.60.10.000"/>
    <x v="2"/>
    <n v="14"/>
    <s v="CURVA"/>
    <n v="10"/>
    <x v="1"/>
    <s v="NÃO"/>
    <s v="NÃO"/>
    <x v="71"/>
    <x v="3"/>
    <s v="DISPOSIÇÃO DE REJEITOS LINHA DO CIRCUITO ULTRAFINO DISTRIBUIDOR DI-145A-9903 PARA DISTRIBUIDOR DI-145A-9904"/>
    <m/>
    <m/>
    <m/>
    <s v="1450AA-T-70482_FL18"/>
    <n v="1"/>
    <s v="PÇ"/>
    <n v="0.93600000000000005"/>
    <n v="0.93600000000000005"/>
    <n v="2238.89"/>
    <n v="2095.60104"/>
    <n v="0"/>
    <n v="0.9"/>
    <n v="0.1"/>
    <m/>
    <m/>
    <x v="0"/>
    <m/>
    <m/>
    <m/>
    <m/>
    <m/>
    <m/>
    <m/>
    <m/>
    <m/>
    <m/>
    <m/>
    <m/>
    <m/>
    <m/>
    <m/>
    <m/>
    <m/>
  </r>
  <r>
    <s v="2.4.3.1.3"/>
    <s v="CMS M.60.10.000"/>
    <x v="2"/>
    <n v="15"/>
    <s v="SPOOL"/>
    <n v="10"/>
    <x v="1"/>
    <s v="NÃO"/>
    <s v="NÃO"/>
    <x v="71"/>
    <x v="3"/>
    <s v="DISPOSIÇÃO DE REJEITOS LINHA DO CIRCUITO ULTRAFINO DISTRIBUIDOR DI-145A-9903 PARA DISTRIBUIDOR DI-145A-9904"/>
    <m/>
    <m/>
    <m/>
    <s v="1450AA-T-70482_FL23"/>
    <n v="1"/>
    <s v="PÇ"/>
    <n v="1.5"/>
    <n v="1.5"/>
    <n v="2238.89"/>
    <n v="3358.335"/>
    <n v="0"/>
    <n v="0.9"/>
    <n v="0.1"/>
    <m/>
    <m/>
    <x v="0"/>
    <m/>
    <m/>
    <m/>
    <m/>
    <m/>
    <m/>
    <m/>
    <m/>
    <m/>
    <m/>
    <m/>
    <m/>
    <m/>
    <m/>
    <m/>
    <m/>
    <m/>
  </r>
  <r>
    <s v="2.4.3.1.5"/>
    <s v="CMS M.60.10.000"/>
    <x v="2"/>
    <n v="1"/>
    <s v="CURVA"/>
    <n v="14"/>
    <x v="1"/>
    <s v="NÃO"/>
    <s v="NÃO"/>
    <x v="72"/>
    <x v="3"/>
    <s v="DISPOSIÇÃO DE REJEITOS LINHA DO CIRCUITO ULTRAFINO DISTRIBUIDOR DI-145A-9903 PARA DISTRIBUIDOR DI-145A-9905"/>
    <m/>
    <m/>
    <m/>
    <s v="1450AA-T-70484_FL14"/>
    <n v="1"/>
    <s v="PÇ"/>
    <n v="0.94499999999999995"/>
    <n v="0.94499999999999995"/>
    <n v="2725.4"/>
    <n v="2575.5030000000002"/>
    <n v="0"/>
    <n v="0.9"/>
    <n v="0.1"/>
    <m/>
    <m/>
    <x v="0"/>
    <m/>
    <m/>
    <m/>
    <m/>
    <m/>
    <m/>
    <m/>
    <m/>
    <m/>
    <m/>
    <m/>
    <m/>
    <m/>
    <m/>
    <m/>
    <m/>
    <m/>
  </r>
  <r>
    <s v="2.4.3.1.3"/>
    <s v="CMS M.60.10.000"/>
    <x v="2"/>
    <n v="2"/>
    <s v="REDUÇÃO"/>
    <s v="14 X 10"/>
    <x v="1"/>
    <s v="NÃO"/>
    <s v="NÃO"/>
    <x v="72"/>
    <x v="3"/>
    <s v="DISPOSIÇÃO DE REJEITOS LINHA DO CIRCUITO ULTRAFINO DISTRIBUIDOR DI-145A-9903 PARA DISTRIBUIDOR DI-145A-9905"/>
    <m/>
    <m/>
    <m/>
    <s v="1450AA-T-70484_FL15"/>
    <n v="1"/>
    <s v="PÇ"/>
    <n v="0.63"/>
    <n v="0.63"/>
    <n v="2238.89"/>
    <n v="1410.5006999999998"/>
    <n v="0"/>
    <n v="0.9"/>
    <n v="0.1"/>
    <m/>
    <m/>
    <x v="0"/>
    <m/>
    <m/>
    <m/>
    <m/>
    <m/>
    <m/>
    <m/>
    <m/>
    <m/>
    <m/>
    <m/>
    <m/>
    <m/>
    <m/>
    <m/>
    <m/>
    <m/>
  </r>
  <r>
    <s v="2.4.3.1.3"/>
    <s v="CMS M.60.10.000"/>
    <x v="2"/>
    <n v="3"/>
    <s v="SPOOL"/>
    <n v="10"/>
    <x v="1"/>
    <s v="NÃO"/>
    <s v="NÃO"/>
    <x v="72"/>
    <x v="3"/>
    <s v="DISPOSIÇÃO DE REJEITOS LINHA DO CIRCUITO ULTRAFINO DISTRIBUIDOR DI-145A-9903 PARA DISTRIBUIDOR DI-145A-9905"/>
    <m/>
    <m/>
    <m/>
    <s v="1450AA-T-70484_FL08"/>
    <n v="1"/>
    <s v="PÇ"/>
    <n v="0.3"/>
    <n v="0.3"/>
    <n v="2238.89"/>
    <n v="671.66699999999992"/>
    <n v="0"/>
    <n v="0.9"/>
    <n v="0.1"/>
    <m/>
    <m/>
    <x v="0"/>
    <m/>
    <m/>
    <m/>
    <m/>
    <m/>
    <m/>
    <m/>
    <m/>
    <m/>
    <m/>
    <m/>
    <m/>
    <m/>
    <m/>
    <m/>
    <m/>
    <m/>
  </r>
  <r>
    <s v="2.4.3.1.3"/>
    <s v="CMS M.60.10.000"/>
    <x v="2"/>
    <n v="4"/>
    <s v="CURVA"/>
    <n v="10"/>
    <x v="1"/>
    <s v="NÃO"/>
    <s v="NÃO"/>
    <x v="72"/>
    <x v="3"/>
    <s v="DISPOSIÇÃO DE REJEITOS LINHA DO CIRCUITO ULTRAFINO DISTRIBUIDOR DI-145A-9903 PARA DISTRIBUIDOR DI-145A-9905"/>
    <m/>
    <m/>
    <m/>
    <s v="1450AA-T-70484_FL13"/>
    <n v="1"/>
    <s v="PÇ"/>
    <n v="0.77"/>
    <n v="0.77"/>
    <n v="2238.89"/>
    <n v="1723.9452999999999"/>
    <n v="0"/>
    <n v="0.9"/>
    <n v="0.1"/>
    <m/>
    <m/>
    <x v="0"/>
    <m/>
    <m/>
    <m/>
    <m/>
    <m/>
    <m/>
    <m/>
    <m/>
    <m/>
    <m/>
    <m/>
    <m/>
    <m/>
    <m/>
    <m/>
    <m/>
    <m/>
  </r>
  <r>
    <s v="2.4.3.1.3"/>
    <s v="CMS M.60.10.000"/>
    <x v="2"/>
    <n v="5"/>
    <s v="CURVA"/>
    <n v="10"/>
    <x v="1"/>
    <s v="NÃO"/>
    <s v="NÃO"/>
    <x v="72"/>
    <x v="3"/>
    <s v="DISPOSIÇÃO DE REJEITOS LINHA DO CIRCUITO ULTRAFINO DISTRIBUIDOR DI-145A-9903 PARA DISTRIBUIDOR DI-145A-9905"/>
    <m/>
    <m/>
    <m/>
    <s v="1450AA-T-70484_FL12"/>
    <n v="3"/>
    <s v="PÇ"/>
    <n v="1.35"/>
    <n v="4.0500000000000007"/>
    <n v="2238.89"/>
    <n v="9067.5045000000009"/>
    <n v="0"/>
    <n v="0.9"/>
    <n v="0.1"/>
    <m/>
    <m/>
    <x v="0"/>
    <m/>
    <m/>
    <m/>
    <m/>
    <m/>
    <m/>
    <m/>
    <m/>
    <m/>
    <m/>
    <m/>
    <m/>
    <m/>
    <m/>
    <m/>
    <m/>
    <m/>
  </r>
  <r>
    <s v="2.4.3.1.3"/>
    <s v="CMS M.60.10.000"/>
    <x v="2"/>
    <n v="6"/>
    <s v="SPOOL"/>
    <n v="10"/>
    <x v="1"/>
    <s v="NÃO"/>
    <s v="NÃO"/>
    <x v="72"/>
    <x v="3"/>
    <s v="DISPOSIÇÃO DE REJEITOS LINHA DO CIRCUITO ULTRAFINO DISTRIBUIDOR DI-145A-9903 PARA DISTRIBUIDOR DI-145A-9905"/>
    <m/>
    <m/>
    <m/>
    <s v="1450AA-T-70484_FL10"/>
    <n v="1"/>
    <s v="PÇ"/>
    <n v="4.5"/>
    <n v="4.5"/>
    <n v="2238.89"/>
    <n v="10075.004999999999"/>
    <n v="0"/>
    <n v="0.9"/>
    <n v="0.1"/>
    <m/>
    <m/>
    <x v="0"/>
    <m/>
    <m/>
    <m/>
    <m/>
    <m/>
    <m/>
    <m/>
    <m/>
    <m/>
    <m/>
    <m/>
    <m/>
    <m/>
    <m/>
    <m/>
    <m/>
    <m/>
  </r>
  <r>
    <s v="2.4.3.1.3"/>
    <s v="CMS M.60.10.000"/>
    <x v="2"/>
    <n v="7"/>
    <s v="SPOOL"/>
    <n v="10"/>
    <x v="2"/>
    <s v="NÃO"/>
    <s v="NÃO"/>
    <x v="72"/>
    <x v="3"/>
    <s v="DISPOSIÇÃO DE REJEITOS LINHA DO CIRCUITO ULTRAFINO DISTRIBUIDOR DI-145A-9903 PARA DISTRIBUIDOR DI-145A-9905"/>
    <m/>
    <m/>
    <m/>
    <s v="1450AA-T-70484_FL11"/>
    <n v="2"/>
    <s v="PÇ"/>
    <n v="0.43"/>
    <n v="0.86"/>
    <n v="2238.89"/>
    <n v="1925.4453999999998"/>
    <n v="0"/>
    <n v="0.9"/>
    <n v="0.1"/>
    <m/>
    <m/>
    <x v="0"/>
    <m/>
    <m/>
    <m/>
    <m/>
    <m/>
    <m/>
    <m/>
    <m/>
    <m/>
    <m/>
    <m/>
    <m/>
    <m/>
    <m/>
    <m/>
    <m/>
    <m/>
  </r>
  <r>
    <s v="2.4.3.1.3"/>
    <s v="CMS M.60.10.000"/>
    <x v="2"/>
    <n v="8"/>
    <s v="SPOOL"/>
    <n v="10"/>
    <x v="1"/>
    <s v="NÃO"/>
    <s v="NÃO"/>
    <x v="72"/>
    <x v="3"/>
    <s v="DISPOSIÇÃO DE REJEITOS LINHA DO CIRCUITO ULTRAFINO DISTRIBUIDOR DI-145A-9903 PARA DISTRIBUIDOR DI-145A-9905"/>
    <m/>
    <m/>
    <m/>
    <s v="1450AA-T-70484_FL09"/>
    <n v="1"/>
    <s v="PÇ"/>
    <n v="1"/>
    <n v="1"/>
    <n v="2238.89"/>
    <n v="2238.89"/>
    <n v="0"/>
    <n v="0.9"/>
    <n v="0.1"/>
    <m/>
    <m/>
    <x v="0"/>
    <m/>
    <m/>
    <m/>
    <m/>
    <m/>
    <m/>
    <m/>
    <m/>
    <m/>
    <m/>
    <m/>
    <m/>
    <m/>
    <m/>
    <m/>
    <m/>
    <m/>
  </r>
  <r>
    <s v="2.4.3.1.3"/>
    <s v="CMS M.60.10.000"/>
    <x v="2"/>
    <n v="9"/>
    <s v="SPOOL"/>
    <n v="10"/>
    <x v="1"/>
    <s v="NÃO"/>
    <s v="NÃO"/>
    <x v="72"/>
    <x v="3"/>
    <s v="DISPOSIÇÃO DE REJEITOS LINHA DO CIRCUITO ULTRAFINO DISTRIBUIDOR DI-145A-9903 PARA DISTRIBUIDOR DI-145A-9905"/>
    <m/>
    <m/>
    <m/>
    <s v="1450AA-T-70484_FL16"/>
    <n v="1"/>
    <s v="PÇ"/>
    <n v="1.5"/>
    <n v="1.5"/>
    <n v="2238.89"/>
    <n v="3358.335"/>
    <n v="0"/>
    <n v="0.9"/>
    <n v="0.1"/>
    <m/>
    <m/>
    <x v="0"/>
    <m/>
    <m/>
    <m/>
    <m/>
    <m/>
    <m/>
    <m/>
    <m/>
    <m/>
    <m/>
    <m/>
    <m/>
    <m/>
    <m/>
    <m/>
    <m/>
    <m/>
  </r>
  <r>
    <s v="2.4.3.1.5"/>
    <s v="CMS M.60.10.000"/>
    <x v="2"/>
    <n v="1"/>
    <s v="SPOOL"/>
    <n v="14"/>
    <x v="1"/>
    <s v="NÃO"/>
    <s v="NÃO"/>
    <x v="73"/>
    <x v="3"/>
    <s v="DISPOSIÇÃO DE REJEITOS LINHA DO CIRCUITO ULTRAFINO DISTRIBUIDOR DI-145A-9903 PARA DISTRIBUIDOR DI-145A-9906"/>
    <m/>
    <m/>
    <m/>
    <s v="1450AA-T-70486_FL20"/>
    <n v="1"/>
    <s v="PÇ"/>
    <n v="0.52"/>
    <n v="0.52"/>
    <n v="2725.4"/>
    <n v="1417.2080000000001"/>
    <n v="0"/>
    <n v="0.9"/>
    <n v="0.1"/>
    <m/>
    <m/>
    <x v="0"/>
    <m/>
    <m/>
    <m/>
    <m/>
    <m/>
    <m/>
    <m/>
    <m/>
    <m/>
    <m/>
    <m/>
    <m/>
    <m/>
    <m/>
    <m/>
    <m/>
    <m/>
  </r>
  <r>
    <s v="2.4.3.1.5"/>
    <s v="CMS M.60.10.000"/>
    <x v="2"/>
    <n v="2"/>
    <s v="CURVA"/>
    <n v="14"/>
    <x v="1"/>
    <s v="NÃO"/>
    <s v="NÃO"/>
    <x v="73"/>
    <x v="3"/>
    <s v="DISPOSIÇÃO DE REJEITOS LINHA DO CIRCUITO ULTRAFINO DISTRIBUIDOR DI-145A-9903 PARA DISTRIBUIDOR DI-145A-9906"/>
    <m/>
    <m/>
    <m/>
    <s v="1450AA-T-70486_FL22"/>
    <n v="1"/>
    <s v="PÇ"/>
    <n v="0.94499999999999995"/>
    <n v="0.94499999999999995"/>
    <n v="2725.4"/>
    <n v="2575.5030000000002"/>
    <n v="0"/>
    <n v="0.9"/>
    <n v="0.1"/>
    <m/>
    <m/>
    <x v="0"/>
    <m/>
    <m/>
    <m/>
    <m/>
    <m/>
    <m/>
    <m/>
    <m/>
    <m/>
    <m/>
    <m/>
    <m/>
    <m/>
    <m/>
    <m/>
    <m/>
    <m/>
  </r>
  <r>
    <s v="2.4.3.1.3"/>
    <s v="CMS M.60.10.000"/>
    <x v="2"/>
    <n v="3"/>
    <s v="REDUÇÃO"/>
    <s v="14 X 10"/>
    <x v="1"/>
    <s v="NÃO"/>
    <s v="NÃO"/>
    <x v="73"/>
    <x v="3"/>
    <s v="DISPOSIÇÃO DE REJEITOS LINHA DO CIRCUITO ULTRAFINO DISTRIBUIDOR DI-145A-9903 PARA DISTRIBUIDOR DI-145A-9906"/>
    <m/>
    <m/>
    <m/>
    <s v="1450AA-T-70486_FL23"/>
    <n v="1"/>
    <s v="PÇ"/>
    <n v="0.63"/>
    <n v="0.63"/>
    <n v="2238.89"/>
    <n v="1410.5006999999998"/>
    <n v="0"/>
    <n v="0.9"/>
    <n v="0.1"/>
    <m/>
    <m/>
    <x v="0"/>
    <m/>
    <m/>
    <m/>
    <m/>
    <m/>
    <m/>
    <m/>
    <m/>
    <m/>
    <m/>
    <m/>
    <m/>
    <m/>
    <m/>
    <m/>
    <m/>
    <m/>
  </r>
  <r>
    <s v="2.4.3.1.3"/>
    <s v="CMS M.60.10.000"/>
    <x v="2"/>
    <n v="4"/>
    <s v="SPOOL"/>
    <n v="10"/>
    <x v="2"/>
    <s v="NÃO"/>
    <s v="NÃO"/>
    <x v="73"/>
    <x v="3"/>
    <s v="DISPOSIÇÃO DE REJEITOS LINHA DO CIRCUITO ULTRAFINO DISTRIBUIDOR DI-145A-9903 PARA DISTRIBUIDOR DI-145A-9906"/>
    <m/>
    <m/>
    <m/>
    <s v="1450AA-T-70486_FL16"/>
    <n v="1"/>
    <s v="PÇ"/>
    <n v="0.57999999999999996"/>
    <n v="0.57999999999999996"/>
    <n v="2238.89"/>
    <n v="1298.5561999999998"/>
    <n v="0"/>
    <n v="0.9"/>
    <n v="0.1"/>
    <m/>
    <m/>
    <x v="0"/>
    <m/>
    <m/>
    <m/>
    <m/>
    <m/>
    <m/>
    <m/>
    <m/>
    <m/>
    <m/>
    <m/>
    <m/>
    <m/>
    <m/>
    <m/>
    <m/>
    <m/>
  </r>
  <r>
    <s v="2.4.3.1.3"/>
    <s v="CMS M.60.10.000"/>
    <x v="2"/>
    <n v="5"/>
    <s v="CURVA"/>
    <n v="10"/>
    <x v="1"/>
    <s v="NÃO"/>
    <s v="NÃO"/>
    <x v="73"/>
    <x v="3"/>
    <s v="DISPOSIÇÃO DE REJEITOS LINHA DO CIRCUITO ULTRAFINO DISTRIBUIDOR DI-145A-9903 PARA DISTRIBUIDOR DI-145A-9906"/>
    <m/>
    <m/>
    <m/>
    <s v="1450AA-T-70486_FL21"/>
    <n v="1"/>
    <s v="PÇ"/>
    <n v="0.621"/>
    <n v="0.621"/>
    <n v="2238.89"/>
    <n v="1390.35069"/>
    <n v="0"/>
    <n v="0.9"/>
    <n v="0.1"/>
    <m/>
    <m/>
    <x v="0"/>
    <m/>
    <m/>
    <m/>
    <m/>
    <m/>
    <m/>
    <m/>
    <m/>
    <m/>
    <m/>
    <m/>
    <m/>
    <m/>
    <m/>
    <m/>
    <m/>
    <m/>
  </r>
  <r>
    <s v="2.4.3.1.3"/>
    <s v="CMS M.60.10.000"/>
    <x v="2"/>
    <n v="6"/>
    <s v="SPOOL"/>
    <n v="10"/>
    <x v="1"/>
    <s v="NÃO"/>
    <s v="NÃO"/>
    <x v="73"/>
    <x v="3"/>
    <s v="DISPOSIÇÃO DE REJEITOS LINHA DO CIRCUITO ULTRAFINO DISTRIBUIDOR DI-145A-9903 PARA DISTRIBUIDOR DI-145A-9906"/>
    <m/>
    <m/>
    <m/>
    <s v="1450AA-T-70486_FL08"/>
    <n v="1"/>
    <s v="PÇ"/>
    <n v="3.5"/>
    <n v="3.5"/>
    <n v="2238.89"/>
    <n v="7836.1149999999998"/>
    <n v="0"/>
    <n v="0.9"/>
    <n v="0.1"/>
    <m/>
    <m/>
    <x v="0"/>
    <m/>
    <m/>
    <m/>
    <m/>
    <m/>
    <m/>
    <m/>
    <m/>
    <m/>
    <m/>
    <m/>
    <m/>
    <m/>
    <m/>
    <m/>
    <m/>
    <m/>
  </r>
  <r>
    <s v="2.4.3.1.3"/>
    <s v="CMS M.60.10.000"/>
    <x v="2"/>
    <n v="7"/>
    <s v="SPOOL"/>
    <n v="10"/>
    <x v="2"/>
    <s v="NÃO"/>
    <s v="NÃO"/>
    <x v="73"/>
    <x v="3"/>
    <s v="DISPOSIÇÃO DE REJEITOS LINHA DO CIRCUITO ULTRAFINO DISTRIBUIDOR DI-145A-9903 PARA DISTRIBUIDOR DI-145A-9906"/>
    <m/>
    <m/>
    <m/>
    <s v="1450AA-T-70486_FL25"/>
    <n v="1"/>
    <s v="PÇ"/>
    <n v="0.65"/>
    <n v="0.65"/>
    <n v="2238.89"/>
    <n v="1455.2784999999999"/>
    <n v="0"/>
    <n v="0.9"/>
    <n v="0.1"/>
    <m/>
    <m/>
    <x v="0"/>
    <m/>
    <m/>
    <m/>
    <m/>
    <m/>
    <m/>
    <m/>
    <m/>
    <m/>
    <m/>
    <m/>
    <m/>
    <m/>
    <m/>
    <m/>
    <m/>
    <m/>
  </r>
  <r>
    <s v="2.4.3.1.3"/>
    <s v="CMS M.60.10.000"/>
    <x v="2"/>
    <n v="8"/>
    <s v="CURVA"/>
    <n v="10"/>
    <x v="1"/>
    <s v="NÃO"/>
    <s v="NÃO"/>
    <x v="73"/>
    <x v="3"/>
    <s v="DISPOSIÇÃO DE REJEITOS LINHA DO CIRCUITO ULTRAFINO DISTRIBUIDOR DI-145A-9903 PARA DISTRIBUIDOR DI-145A-9906"/>
    <m/>
    <m/>
    <m/>
    <s v="1450AA-T-70486_FL19"/>
    <n v="1"/>
    <s v="PÇ"/>
    <n v="1.35"/>
    <n v="1.35"/>
    <n v="2238.89"/>
    <n v="3022.5014999999999"/>
    <n v="0"/>
    <n v="0.9"/>
    <n v="0.1"/>
    <m/>
    <m/>
    <x v="0"/>
    <m/>
    <m/>
    <m/>
    <m/>
    <m/>
    <m/>
    <m/>
    <m/>
    <m/>
    <m/>
    <m/>
    <m/>
    <m/>
    <m/>
    <m/>
    <m/>
    <m/>
  </r>
  <r>
    <s v="2.4.3.1.3"/>
    <s v="CMS M.60.10.000"/>
    <x v="2"/>
    <n v="9"/>
    <s v="SPOOL"/>
    <n v="10"/>
    <x v="1"/>
    <s v="NÃO"/>
    <s v="NÃO"/>
    <x v="73"/>
    <x v="3"/>
    <s v="DISPOSIÇÃO DE REJEITOS LINHA DO CIRCUITO ULTRAFINO DISTRIBUIDOR DI-145A-9903 PARA DISTRIBUIDOR DI-145A-9906"/>
    <m/>
    <m/>
    <m/>
    <s v="1450AA-T-70486_FL12"/>
    <n v="1"/>
    <s v="PÇ"/>
    <n v="3"/>
    <n v="3"/>
    <n v="2238.89"/>
    <n v="6716.67"/>
    <n v="0"/>
    <n v="0.9"/>
    <n v="0.1"/>
    <m/>
    <m/>
    <x v="0"/>
    <m/>
    <m/>
    <m/>
    <m/>
    <m/>
    <m/>
    <m/>
    <m/>
    <m/>
    <m/>
    <m/>
    <m/>
    <m/>
    <m/>
    <m/>
    <m/>
    <m/>
  </r>
  <r>
    <s v="2.4.3.1.3"/>
    <s v="CMS M.60.10.000"/>
    <x v="2"/>
    <n v="10"/>
    <s v="SPOOL"/>
    <n v="10"/>
    <x v="2"/>
    <s v="NÃO"/>
    <s v="NÃO"/>
    <x v="73"/>
    <x v="3"/>
    <s v="DISPOSIÇÃO DE REJEITOS LINHA DO CIRCUITO ULTRAFINO DISTRIBUIDOR DI-145A-9903 PARA DISTRIBUIDOR DI-145A-9906"/>
    <m/>
    <m/>
    <m/>
    <s v="1450AA-T-70486_FL15"/>
    <n v="2"/>
    <s v="PÇ"/>
    <n v="0.75"/>
    <n v="1.5"/>
    <n v="2238.89"/>
    <n v="3358.335"/>
    <n v="0"/>
    <n v="0.9"/>
    <n v="0.1"/>
    <m/>
    <m/>
    <x v="0"/>
    <m/>
    <m/>
    <m/>
    <m/>
    <m/>
    <m/>
    <m/>
    <m/>
    <m/>
    <m/>
    <m/>
    <m/>
    <m/>
    <m/>
    <m/>
    <m/>
    <m/>
  </r>
  <r>
    <s v="2.4.3.1.3"/>
    <s v="CMS M.60.10.000"/>
    <x v="2"/>
    <n v="11"/>
    <s v="CURVA"/>
    <n v="10"/>
    <x v="1"/>
    <s v="NÃO"/>
    <s v="NÃO"/>
    <x v="73"/>
    <x v="3"/>
    <s v="DISPOSIÇÃO DE REJEITOS LINHA DO CIRCUITO ULTRAFINO DISTRIBUIDOR DI-145A-9903 PARA DISTRIBUIDOR DI-145A-9906"/>
    <m/>
    <m/>
    <m/>
    <s v="1450AA-T-70486_FL17"/>
    <n v="1"/>
    <s v="PÇ"/>
    <n v="0.46500000000000002"/>
    <n v="0.46500000000000002"/>
    <n v="2238.89"/>
    <n v="1041.08385"/>
    <n v="0"/>
    <n v="0.9"/>
    <n v="0.1"/>
    <m/>
    <m/>
    <x v="0"/>
    <m/>
    <m/>
    <m/>
    <m/>
    <m/>
    <m/>
    <m/>
    <m/>
    <m/>
    <m/>
    <m/>
    <m/>
    <m/>
    <m/>
    <m/>
    <m/>
    <m/>
  </r>
  <r>
    <s v="2.4.3.1.3"/>
    <s v="CMS M.60.10.000"/>
    <x v="2"/>
    <n v="12"/>
    <s v="SPOOL"/>
    <n v="10"/>
    <x v="1"/>
    <s v="NÃO"/>
    <s v="NÃO"/>
    <x v="73"/>
    <x v="3"/>
    <s v="DISPOSIÇÃO DE REJEITOS LINHA DO CIRCUITO ULTRAFINO DISTRIBUIDOR DI-145A-9903 PARA DISTRIBUIDOR DI-145A-9906"/>
    <m/>
    <m/>
    <m/>
    <s v="1450AA-T-70486_FL13"/>
    <n v="2"/>
    <s v="PÇ"/>
    <n v="6"/>
    <n v="12"/>
    <n v="2238.89"/>
    <n v="26866.68"/>
    <n v="0"/>
    <n v="0.9"/>
    <n v="0.1"/>
    <m/>
    <m/>
    <x v="0"/>
    <m/>
    <m/>
    <m/>
    <m/>
    <m/>
    <m/>
    <m/>
    <m/>
    <m/>
    <m/>
    <m/>
    <m/>
    <m/>
    <m/>
    <m/>
    <m/>
    <m/>
  </r>
  <r>
    <s v="2.4.3.1.3"/>
    <s v="CMS M.60.10.000"/>
    <x v="2"/>
    <n v="13"/>
    <s v="SPOOL"/>
    <n v="10"/>
    <x v="1"/>
    <s v="NÃO"/>
    <s v="NÃO"/>
    <x v="73"/>
    <x v="3"/>
    <s v="DISPOSIÇÃO DE REJEITOS LINHA DO CIRCUITO ULTRAFINO DISTRIBUIDOR DI-145A-9903 PARA DISTRIBUIDOR DI-145A-9906"/>
    <m/>
    <m/>
    <m/>
    <s v="1450AA-T-70486_FL09"/>
    <n v="1"/>
    <s v="PÇ"/>
    <n v="0.9"/>
    <n v="0.9"/>
    <n v="2238.89"/>
    <n v="2015.001"/>
    <n v="0"/>
    <n v="0.9"/>
    <n v="0.1"/>
    <m/>
    <m/>
    <x v="0"/>
    <m/>
    <m/>
    <m/>
    <m/>
    <m/>
    <m/>
    <m/>
    <m/>
    <m/>
    <m/>
    <m/>
    <m/>
    <m/>
    <m/>
    <m/>
    <m/>
    <m/>
  </r>
  <r>
    <s v="2.4.3.1.3"/>
    <s v="CMS M.60.10.000"/>
    <x v="2"/>
    <n v="14"/>
    <s v="CURVA"/>
    <n v="10"/>
    <x v="1"/>
    <s v="NÃO"/>
    <s v="NÃO"/>
    <x v="73"/>
    <x v="3"/>
    <s v="DISPOSIÇÃO DE REJEITOS LINHA DO CIRCUITO ULTRAFINO DISTRIBUIDOR DI-145A-9903 PARA DISTRIBUIDOR DI-145A-9906"/>
    <m/>
    <m/>
    <m/>
    <s v="1450AA-T-70486_FL18"/>
    <n v="2"/>
    <s v="PÇ"/>
    <n v="0.69799999999999995"/>
    <n v="1.3959999999999999"/>
    <n v="2238.89"/>
    <n v="3125.4904399999996"/>
    <n v="0"/>
    <n v="0.9"/>
    <n v="0.1"/>
    <m/>
    <m/>
    <x v="0"/>
    <m/>
    <m/>
    <m/>
    <m/>
    <m/>
    <m/>
    <m/>
    <m/>
    <m/>
    <m/>
    <m/>
    <m/>
    <m/>
    <m/>
    <m/>
    <m/>
    <m/>
  </r>
  <r>
    <s v="2.4.3.1.3"/>
    <s v="CMS M.60.10.000"/>
    <x v="2"/>
    <n v="15"/>
    <s v="SPOOL"/>
    <n v="10"/>
    <x v="1"/>
    <s v="NÃO"/>
    <s v="NÃO"/>
    <x v="73"/>
    <x v="3"/>
    <s v="DISPOSIÇÃO DE REJEITOS LINHA DO CIRCUITO ULTRAFINO DISTRIBUIDOR DI-145A-9903 PARA DISTRIBUIDOR DI-145A-9906"/>
    <m/>
    <m/>
    <m/>
    <s v="1450AA-T-70486_FL10"/>
    <n v="1"/>
    <s v="PÇ"/>
    <n v="1.5"/>
    <n v="1.5"/>
    <n v="2238.89"/>
    <n v="3358.335"/>
    <n v="0"/>
    <n v="0.9"/>
    <n v="0.1"/>
    <m/>
    <m/>
    <x v="0"/>
    <m/>
    <m/>
    <m/>
    <m/>
    <m/>
    <m/>
    <m/>
    <m/>
    <m/>
    <m/>
    <m/>
    <m/>
    <m/>
    <m/>
    <m/>
    <m/>
    <m/>
  </r>
  <r>
    <s v="2.4.3.1.3"/>
    <s v="CMS M.60.10.000"/>
    <x v="2"/>
    <n v="16"/>
    <s v="SPOOL"/>
    <n v="10"/>
    <x v="1"/>
    <s v="NÃO"/>
    <s v="NÃO"/>
    <x v="73"/>
    <x v="3"/>
    <s v="DISPOSIÇÃO DE REJEITOS LINHA DO CIRCUITO ULTRAFINO DISTRIBUIDOR DI-145A-9903 PARA DISTRIBUIDOR DI-145A-9906"/>
    <m/>
    <m/>
    <m/>
    <s v="1450AA-T-70486_FL11"/>
    <n v="1"/>
    <s v="PÇ"/>
    <n v="2"/>
    <n v="2"/>
    <n v="2238.89"/>
    <n v="4477.78"/>
    <n v="0"/>
    <n v="0.9"/>
    <n v="0.1"/>
    <m/>
    <m/>
    <x v="0"/>
    <m/>
    <m/>
    <m/>
    <m/>
    <m/>
    <m/>
    <m/>
    <m/>
    <m/>
    <m/>
    <m/>
    <m/>
    <m/>
    <m/>
    <m/>
    <m/>
    <m/>
  </r>
  <r>
    <s v="2.4.3.1.3"/>
    <s v="CMS M.60.10.000"/>
    <x v="2"/>
    <n v="17"/>
    <s v="SPOOL"/>
    <n v="10"/>
    <x v="2"/>
    <s v="NÃO"/>
    <s v="NÃO"/>
    <x v="73"/>
    <x v="3"/>
    <s v="DISPOSIÇÃO DE REJEITOS LINHA DO CIRCUITO ULTRAFINO DISTRIBUIDOR DI-145A-9903 PARA DISTRIBUIDOR DI-145A-9906"/>
    <m/>
    <m/>
    <m/>
    <s v="1450AA-T-70486_FL14"/>
    <n v="1"/>
    <s v="PÇ"/>
    <n v="0.43"/>
    <n v="0.43"/>
    <n v="2238.89"/>
    <n v="962.72269999999992"/>
    <n v="0"/>
    <n v="0.9"/>
    <n v="0.1"/>
    <m/>
    <m/>
    <x v="0"/>
    <m/>
    <m/>
    <m/>
    <m/>
    <m/>
    <m/>
    <m/>
    <m/>
    <m/>
    <m/>
    <m/>
    <m/>
    <m/>
    <m/>
    <m/>
    <m/>
    <m/>
  </r>
  <r>
    <s v="2.4.3.1.3"/>
    <s v="CMS M.60.10.000"/>
    <x v="2"/>
    <n v="18"/>
    <s v="SPOOL"/>
    <n v="10"/>
    <x v="1"/>
    <s v="NÃO"/>
    <s v="NÃO"/>
    <x v="73"/>
    <x v="3"/>
    <s v="DISPOSIÇÃO DE REJEITOS LINHA DO CIRCUITO ULTRAFINO DISTRIBUIDOR DI-145A-9903 PARA DISTRIBUIDOR DI-145A-9906"/>
    <m/>
    <m/>
    <m/>
    <s v="1450AA-T-70486_FL24"/>
    <n v="1"/>
    <s v="PÇ"/>
    <n v="1.5"/>
    <n v="1.5"/>
    <n v="2238.89"/>
    <n v="3358.335"/>
    <n v="0"/>
    <n v="0.9"/>
    <n v="0.1"/>
    <m/>
    <m/>
    <x v="0"/>
    <m/>
    <m/>
    <m/>
    <m/>
    <m/>
    <m/>
    <m/>
    <m/>
    <m/>
    <m/>
    <m/>
    <m/>
    <m/>
    <m/>
    <m/>
    <m/>
    <m/>
  </r>
  <r>
    <s v="2.4.3.1.5"/>
    <s v="CMS M.60.10.000"/>
    <x v="2"/>
    <n v="1"/>
    <s v="CURVA"/>
    <n v="14"/>
    <x v="1"/>
    <s v="NÃO"/>
    <s v="NÃO"/>
    <x v="74"/>
    <x v="3"/>
    <s v="DISPOSIÇÃO DE REJEITOS LINHA DO CIRCUITO ULTRAFINO DISTRIBUIDOR DI-145A-9903 PARA DISTRIBUIDOR DI-145A-9907"/>
    <m/>
    <m/>
    <m/>
    <s v="1450AA-T-70488_FL21"/>
    <n v="1"/>
    <s v="PÇ"/>
    <n v="0.94499999999999995"/>
    <n v="0.94499999999999995"/>
    <n v="2725.4"/>
    <n v="2575.5030000000002"/>
    <n v="0"/>
    <n v="0.9"/>
    <n v="0.1"/>
    <m/>
    <m/>
    <x v="0"/>
    <m/>
    <m/>
    <m/>
    <m/>
    <m/>
    <m/>
    <m/>
    <m/>
    <m/>
    <m/>
    <m/>
    <m/>
    <m/>
    <m/>
    <m/>
    <m/>
    <m/>
  </r>
  <r>
    <s v="2.4.3.1.3"/>
    <s v="CMS M.60.10.000"/>
    <x v="2"/>
    <n v="2"/>
    <s v="REDUÇÃO"/>
    <s v="14 X 10"/>
    <x v="1"/>
    <s v="NÃO"/>
    <s v="NÃO"/>
    <x v="74"/>
    <x v="3"/>
    <s v="DISPOSIÇÃO DE REJEITOS LINHA DO CIRCUITO ULTRAFINO DISTRIBUIDOR DI-145A-9903 PARA DISTRIBUIDOR DI-145A-9907"/>
    <m/>
    <m/>
    <m/>
    <s v="1450AA-T-70488_FL22"/>
    <n v="1"/>
    <s v="PÇ"/>
    <n v="0.63"/>
    <n v="0.63"/>
    <n v="2238.89"/>
    <n v="1410.5006999999998"/>
    <n v="0"/>
    <n v="0.9"/>
    <n v="0.1"/>
    <m/>
    <m/>
    <x v="0"/>
    <m/>
    <m/>
    <m/>
    <m/>
    <m/>
    <m/>
    <m/>
    <m/>
    <m/>
    <m/>
    <m/>
    <m/>
    <m/>
    <m/>
    <m/>
    <m/>
    <m/>
  </r>
  <r>
    <s v="2.4.3.1.3"/>
    <s v="CMS M.60.10.000"/>
    <x v="2"/>
    <n v="3"/>
    <s v="CURVA"/>
    <n v="10"/>
    <x v="1"/>
    <s v="NÃO"/>
    <s v="NÃO"/>
    <x v="74"/>
    <x v="3"/>
    <s v="DISPOSIÇÃO DE REJEITOS LINHA DO CIRCUITO ULTRAFINO DISTRIBUIDOR DI-145A-9903 PARA DISTRIBUIDOR DI-145A-9907"/>
    <m/>
    <m/>
    <m/>
    <s v="1450AA-T-70488_FL20"/>
    <n v="1"/>
    <s v="PÇ"/>
    <n v="0.4"/>
    <n v="0.4"/>
    <n v="2238.89"/>
    <n v="895.55600000000004"/>
    <n v="0"/>
    <n v="0.9"/>
    <n v="0.1"/>
    <m/>
    <m/>
    <x v="0"/>
    <m/>
    <m/>
    <m/>
    <m/>
    <m/>
    <m/>
    <m/>
    <m/>
    <m/>
    <m/>
    <m/>
    <m/>
    <m/>
    <m/>
    <m/>
    <m/>
    <m/>
  </r>
  <r>
    <s v="2.4.3.1.3"/>
    <s v="CMS M.60.10.000"/>
    <x v="2"/>
    <n v="4"/>
    <s v="SPOOL"/>
    <n v="10"/>
    <x v="2"/>
    <s v="NÃO"/>
    <s v="NÃO"/>
    <x v="74"/>
    <x v="3"/>
    <s v="DISPOSIÇÃO DE REJEITOS LINHA DO CIRCUITO ULTRAFINO DISTRIBUIDOR DI-145A-9903 PARA DISTRIBUIDOR DI-145A-9907"/>
    <m/>
    <m/>
    <m/>
    <s v="1450AA-T-70488_FL14"/>
    <n v="1"/>
    <s v="PÇ"/>
    <n v="0.9"/>
    <n v="0.9"/>
    <n v="2238.89"/>
    <n v="2015.001"/>
    <n v="0"/>
    <n v="0.9"/>
    <n v="0.1"/>
    <m/>
    <m/>
    <x v="0"/>
    <m/>
    <m/>
    <m/>
    <m/>
    <m/>
    <m/>
    <m/>
    <m/>
    <m/>
    <m/>
    <m/>
    <m/>
    <m/>
    <m/>
    <m/>
    <m/>
    <m/>
  </r>
  <r>
    <s v="2.4.3.1.3"/>
    <s v="CMS M.60.10.000"/>
    <x v="2"/>
    <n v="5"/>
    <s v="CURVA"/>
    <n v="10"/>
    <x v="1"/>
    <s v="NÃO"/>
    <s v="NÃO"/>
    <x v="74"/>
    <x v="3"/>
    <s v="DISPOSIÇÃO DE REJEITOS LINHA DO CIRCUITO ULTRAFINO DISTRIBUIDOR DI-145A-9903 PARA DISTRIBUIDOR DI-145A-9907"/>
    <m/>
    <m/>
    <m/>
    <s v="1450AA-T-70488_FL18"/>
    <n v="1"/>
    <s v="PÇ"/>
    <n v="0.78"/>
    <n v="0.78"/>
    <n v="2238.89"/>
    <n v="1746.3342"/>
    <n v="0"/>
    <n v="0.9"/>
    <n v="0.1"/>
    <m/>
    <m/>
    <x v="0"/>
    <m/>
    <m/>
    <m/>
    <m/>
    <m/>
    <m/>
    <m/>
    <m/>
    <m/>
    <m/>
    <m/>
    <m/>
    <m/>
    <m/>
    <m/>
    <m/>
    <m/>
  </r>
  <r>
    <s v="2.4.3.1.3"/>
    <s v="CMS M.60.10.000"/>
    <x v="2"/>
    <n v="6"/>
    <s v="SPOOL"/>
    <n v="10"/>
    <x v="1"/>
    <s v="NÃO"/>
    <s v="NÃO"/>
    <x v="74"/>
    <x v="3"/>
    <s v="DISPOSIÇÃO DE REJEITOS LINHA DO CIRCUITO ULTRAFINO DISTRIBUIDOR DI-145A-9903 PARA DISTRIBUIDOR DI-145A-9907"/>
    <m/>
    <m/>
    <m/>
    <s v="1450AA-T-70488_FL10"/>
    <n v="1"/>
    <s v="PÇ"/>
    <n v="3.5"/>
    <n v="3.5"/>
    <n v="2238.89"/>
    <n v="7836.1149999999998"/>
    <n v="0"/>
    <n v="0.9"/>
    <n v="0.1"/>
    <m/>
    <m/>
    <x v="0"/>
    <m/>
    <m/>
    <m/>
    <m/>
    <m/>
    <m/>
    <m/>
    <m/>
    <m/>
    <m/>
    <m/>
    <m/>
    <m/>
    <m/>
    <m/>
    <m/>
    <m/>
  </r>
  <r>
    <s v="2.4.3.1.3"/>
    <s v="CMS M.60.10.000"/>
    <x v="2"/>
    <n v="7"/>
    <s v="SPOOL"/>
    <n v="10"/>
    <x v="2"/>
    <s v="NÃO"/>
    <s v="NÃO"/>
    <x v="74"/>
    <x v="3"/>
    <s v="DISPOSIÇÃO DE REJEITOS LINHA DO CIRCUITO ULTRAFINO DISTRIBUIDOR DI-145A-9903 PARA DISTRIBUIDOR DI-145A-9907"/>
    <m/>
    <m/>
    <m/>
    <s v="1450AA-T-70488_FL15"/>
    <n v="1"/>
    <s v="PÇ"/>
    <n v="1"/>
    <n v="1"/>
    <n v="2238.89"/>
    <n v="2238.89"/>
    <n v="0"/>
    <n v="0.9"/>
    <n v="0.1"/>
    <m/>
    <m/>
    <x v="0"/>
    <m/>
    <m/>
    <m/>
    <m/>
    <m/>
    <m/>
    <m/>
    <m/>
    <m/>
    <m/>
    <m/>
    <m/>
    <m/>
    <m/>
    <m/>
    <m/>
    <m/>
  </r>
  <r>
    <s v="2.4.3.1.3"/>
    <s v="CMS M.60.10.000"/>
    <x v="2"/>
    <n v="8"/>
    <s v="CURVA"/>
    <n v="10"/>
    <x v="1"/>
    <s v="NÃO"/>
    <s v="NÃO"/>
    <x v="74"/>
    <x v="3"/>
    <s v="DISPOSIÇÃO DE REJEITOS LINHA DO CIRCUITO ULTRAFINO DISTRIBUIDOR DI-145A-9903 PARA DISTRIBUIDOR DI-145A-9907"/>
    <m/>
    <m/>
    <m/>
    <s v="1450AA-T-70488_FL19"/>
    <n v="1"/>
    <s v="PÇ"/>
    <n v="1.35"/>
    <n v="1.35"/>
    <n v="2238.89"/>
    <n v="3022.5014999999999"/>
    <n v="0"/>
    <n v="0.9"/>
    <n v="0.1"/>
    <m/>
    <m/>
    <x v="0"/>
    <m/>
    <m/>
    <m/>
    <m/>
    <m/>
    <m/>
    <m/>
    <m/>
    <m/>
    <m/>
    <m/>
    <m/>
    <m/>
    <m/>
    <m/>
    <m/>
    <m/>
  </r>
  <r>
    <s v="2.4.3.1.3"/>
    <s v="CMS M.60.10.000"/>
    <x v="2"/>
    <n v="9"/>
    <s v="SPOOL"/>
    <n v="10"/>
    <x v="1"/>
    <s v="NÃO"/>
    <s v="NÃO"/>
    <x v="74"/>
    <x v="3"/>
    <s v="DISPOSIÇÃO DE REJEITOS LINHA DO CIRCUITO ULTRAFINO DISTRIBUIDOR DI-145A-9903 PARA DISTRIBUIDOR DI-145A-9907"/>
    <m/>
    <m/>
    <m/>
    <s v="1450AA-T-70488_FL09"/>
    <n v="1"/>
    <s v="PÇ"/>
    <n v="3"/>
    <n v="3"/>
    <n v="2238.89"/>
    <n v="6716.67"/>
    <n v="0"/>
    <n v="0.9"/>
    <n v="0.1"/>
    <m/>
    <m/>
    <x v="0"/>
    <m/>
    <m/>
    <m/>
    <m/>
    <m/>
    <m/>
    <m/>
    <m/>
    <m/>
    <m/>
    <m/>
    <m/>
    <m/>
    <m/>
    <m/>
    <m/>
    <m/>
  </r>
  <r>
    <s v="2.4.3.1.3"/>
    <s v="CMS M.60.10.000"/>
    <x v="2"/>
    <n v="10"/>
    <s v="SPOOL"/>
    <n v="10"/>
    <x v="2"/>
    <s v="NÃO"/>
    <s v="NÃO"/>
    <x v="74"/>
    <x v="3"/>
    <s v="DISPOSIÇÃO DE REJEITOS LINHA DO CIRCUITO ULTRAFINO DISTRIBUIDOR DI-145A-9903 PARA DISTRIBUIDOR DI-145A-9907"/>
    <m/>
    <m/>
    <m/>
    <s v="1450AA-T-70488_FL13"/>
    <n v="2"/>
    <s v="PÇ"/>
    <n v="0.75"/>
    <n v="1.5"/>
    <n v="2238.89"/>
    <n v="3358.335"/>
    <n v="0"/>
    <n v="0.9"/>
    <n v="0.1"/>
    <m/>
    <m/>
    <x v="0"/>
    <m/>
    <m/>
    <m/>
    <m/>
    <m/>
    <m/>
    <m/>
    <m/>
    <m/>
    <m/>
    <m/>
    <m/>
    <m/>
    <m/>
    <m/>
    <m/>
    <m/>
  </r>
  <r>
    <s v="2.4.3.1.3"/>
    <s v="CMS M.60.10.000"/>
    <x v="2"/>
    <n v="11"/>
    <s v="CURVA"/>
    <n v="10"/>
    <x v="1"/>
    <s v="NÃO"/>
    <s v="NÃO"/>
    <x v="74"/>
    <x v="3"/>
    <s v="DISPOSIÇÃO DE REJEITOS LINHA DO CIRCUITO ULTRAFINO DISTRIBUIDOR DI-145A-9903 PARA DISTRIBUIDOR DI-145A-9907"/>
    <m/>
    <m/>
    <m/>
    <s v="1450AA-T-70488_FL16"/>
    <n v="1"/>
    <s v="PÇ"/>
    <n v="0.46500000000000002"/>
    <n v="0.46500000000000002"/>
    <n v="2238.89"/>
    <n v="1041.08385"/>
    <n v="0"/>
    <n v="0.9"/>
    <n v="0.1"/>
    <m/>
    <m/>
    <x v="0"/>
    <m/>
    <m/>
    <m/>
    <m/>
    <m/>
    <m/>
    <m/>
    <m/>
    <m/>
    <m/>
    <m/>
    <m/>
    <m/>
    <m/>
    <m/>
    <m/>
    <m/>
  </r>
  <r>
    <s v="2.4.3.1.3"/>
    <s v="CMS M.60.10.000"/>
    <x v="2"/>
    <n v="12"/>
    <s v="SPOOL"/>
    <n v="10"/>
    <x v="1"/>
    <s v="NÃO"/>
    <s v="NÃO"/>
    <x v="74"/>
    <x v="3"/>
    <s v="DISPOSIÇÃO DE REJEITOS LINHA DO CIRCUITO ULTRAFINO DISTRIBUIDOR DI-145A-9903 PARA DISTRIBUIDOR DI-145A-9907"/>
    <m/>
    <m/>
    <m/>
    <s v="1450AA-T-70488_FL11"/>
    <n v="2"/>
    <s v="PÇ"/>
    <n v="4.5"/>
    <n v="9"/>
    <n v="2238.89"/>
    <n v="20150.009999999998"/>
    <n v="0"/>
    <n v="0.9"/>
    <n v="0.1"/>
    <m/>
    <m/>
    <x v="0"/>
    <m/>
    <m/>
    <m/>
    <m/>
    <m/>
    <m/>
    <m/>
    <m/>
    <m/>
    <m/>
    <m/>
    <m/>
    <m/>
    <m/>
    <m/>
    <m/>
    <m/>
  </r>
  <r>
    <s v="2.4.3.1.3"/>
    <s v="CMS M.60.10.000"/>
    <x v="2"/>
    <n v="13"/>
    <s v="CURVA"/>
    <n v="10"/>
    <x v="1"/>
    <s v="NÃO"/>
    <s v="NÃO"/>
    <x v="74"/>
    <x v="3"/>
    <s v="DISPOSIÇÃO DE REJEITOS LINHA DO CIRCUITO ULTRAFINO DISTRIBUIDOR DI-145A-9903 PARA DISTRIBUIDOR DI-145A-9907"/>
    <m/>
    <m/>
    <m/>
    <s v="1450AA-T-70488_FL17"/>
    <n v="2"/>
    <s v="PÇ"/>
    <n v="0.69799999999999995"/>
    <n v="1.3959999999999999"/>
    <n v="2238.89"/>
    <n v="3125.4904399999996"/>
    <n v="0"/>
    <n v="0.9"/>
    <n v="0.1"/>
    <m/>
    <m/>
    <x v="0"/>
    <m/>
    <m/>
    <m/>
    <m/>
    <m/>
    <m/>
    <m/>
    <m/>
    <m/>
    <m/>
    <m/>
    <m/>
    <m/>
    <m/>
    <m/>
    <m/>
    <m/>
  </r>
  <r>
    <s v="2.4.3.1.3"/>
    <s v="CMS M.60.10.000"/>
    <x v="2"/>
    <n v="14"/>
    <s v="SPOOL"/>
    <n v="10"/>
    <x v="1"/>
    <s v="NÃO"/>
    <s v="NÃO"/>
    <x v="74"/>
    <x v="3"/>
    <s v="DISPOSIÇÃO DE REJEITOS LINHA DO CIRCUITO ULTRAFINO DISTRIBUIDOR DI-145A-9903 PARA DISTRIBUIDOR DI-145A-9907"/>
    <m/>
    <m/>
    <m/>
    <s v="1450AA-T-70488_FL08"/>
    <n v="1"/>
    <s v="PÇ"/>
    <n v="1.5"/>
    <n v="1.5"/>
    <n v="2238.89"/>
    <n v="3358.335"/>
    <n v="0"/>
    <n v="0.9"/>
    <n v="0.1"/>
    <m/>
    <m/>
    <x v="0"/>
    <m/>
    <m/>
    <m/>
    <m/>
    <m/>
    <m/>
    <m/>
    <m/>
    <m/>
    <m/>
    <m/>
    <m/>
    <m/>
    <m/>
    <m/>
    <m/>
    <m/>
  </r>
  <r>
    <s v="2.4.3.1.3"/>
    <s v="CMS M.60.10.000"/>
    <x v="2"/>
    <n v="15"/>
    <s v="SPOOL"/>
    <n v="10"/>
    <x v="2"/>
    <s v="NÃO"/>
    <s v="NÃO"/>
    <x v="74"/>
    <x v="3"/>
    <s v="DISPOSIÇÃO DE REJEITOS LINHA DO CIRCUITO ULTRAFINO DISTRIBUIDOR DI-145A-9903 PARA DISTRIBUIDOR DI-145A-9907"/>
    <m/>
    <m/>
    <m/>
    <s v="1450AA-T-70488_FL12"/>
    <n v="1"/>
    <s v="PÇ"/>
    <n v="0.43"/>
    <n v="0.43"/>
    <n v="2238.89"/>
    <n v="962.72269999999992"/>
    <n v="0"/>
    <n v="0.9"/>
    <n v="0.1"/>
    <m/>
    <m/>
    <x v="0"/>
    <m/>
    <m/>
    <m/>
    <m/>
    <m/>
    <m/>
    <m/>
    <m/>
    <m/>
    <m/>
    <m/>
    <m/>
    <m/>
    <m/>
    <m/>
    <m/>
    <m/>
  </r>
  <r>
    <s v="2.4.3.1.3"/>
    <s v="CMS M.60.10.000"/>
    <x v="2"/>
    <n v="16"/>
    <s v="SPOOL"/>
    <n v="10"/>
    <x v="1"/>
    <s v="NÃO"/>
    <s v="NÃO"/>
    <x v="74"/>
    <x v="3"/>
    <s v="DISPOSIÇÃO DE REJEITOS LINHA DO CIRCUITO ULTRAFINO DISTRIBUIDOR DI-145A-9903 PARA DISTRIBUIDOR DI-145A-9907"/>
    <m/>
    <m/>
    <m/>
    <s v="1450AA-T-70488_FL23"/>
    <n v="1"/>
    <s v="PÇ"/>
    <n v="1.5"/>
    <n v="1.5"/>
    <n v="2238.89"/>
    <n v="3358.335"/>
    <n v="0"/>
    <n v="0.9"/>
    <n v="0.1"/>
    <m/>
    <m/>
    <x v="0"/>
    <m/>
    <m/>
    <m/>
    <m/>
    <m/>
    <m/>
    <m/>
    <m/>
    <m/>
    <m/>
    <m/>
    <m/>
    <m/>
    <m/>
    <m/>
    <m/>
    <m/>
  </r>
  <r>
    <s v="2.4.3.1.5"/>
    <s v="CMS M.60.10.000"/>
    <x v="2"/>
    <n v="1"/>
    <s v="CURVA"/>
    <n v="14"/>
    <x v="1"/>
    <s v="NÃO"/>
    <s v="NÃO"/>
    <x v="75"/>
    <x v="3"/>
    <s v="DISPOSIÇÃO DE REJEITOS LINHA DO CIRCUITO ULTRAFINO DISTRIBUIDOR DI-145A-9903 PARA DISTRIBUIDOR DI-145A-9908"/>
    <m/>
    <m/>
    <m/>
    <s v="1450AA-T-70490_FL22"/>
    <n v="1"/>
    <s v="PÇ"/>
    <n v="0.94499999999999995"/>
    <n v="0.94499999999999995"/>
    <n v="2725.4"/>
    <n v="2575.5030000000002"/>
    <n v="0"/>
    <n v="0.9"/>
    <n v="0.1"/>
    <m/>
    <m/>
    <x v="0"/>
    <m/>
    <m/>
    <m/>
    <m/>
    <m/>
    <m/>
    <m/>
    <m/>
    <m/>
    <m/>
    <m/>
    <m/>
    <m/>
    <m/>
    <m/>
    <m/>
    <m/>
  </r>
  <r>
    <s v="2.4.3.1.3"/>
    <s v="CMS M.60.10.000"/>
    <x v="2"/>
    <n v="2"/>
    <s v="REDUÇÃO"/>
    <s v="14 X 10"/>
    <x v="1"/>
    <s v="NÃO"/>
    <s v="NÃO"/>
    <x v="75"/>
    <x v="3"/>
    <s v="DISPOSIÇÃO DE REJEITOS LINHA DO CIRCUITO ULTRAFINO DISTRIBUIDOR DI-145A-9903 PARA DISTRIBUIDOR DI-145A-9908"/>
    <m/>
    <m/>
    <m/>
    <s v="1450AA-T-70490_FL23"/>
    <n v="1"/>
    <s v="PÇ"/>
    <n v="0.63"/>
    <n v="0.63"/>
    <n v="2238.89"/>
    <n v="1410.5006999999998"/>
    <n v="0"/>
    <n v="0.9"/>
    <n v="0.1"/>
    <m/>
    <m/>
    <x v="0"/>
    <m/>
    <m/>
    <m/>
    <m/>
    <m/>
    <m/>
    <m/>
    <m/>
    <m/>
    <m/>
    <m/>
    <m/>
    <m/>
    <m/>
    <m/>
    <m/>
    <m/>
  </r>
  <r>
    <s v="2.4.3.1.3"/>
    <s v="CMS M.60.10.000"/>
    <x v="2"/>
    <n v="3"/>
    <s v="SPOOL"/>
    <n v="10"/>
    <x v="1"/>
    <s v="NÃO"/>
    <s v="NÃO"/>
    <x v="75"/>
    <x v="3"/>
    <s v="DISPOSIÇÃO DE REJEITOS LINHA DO CIRCUITO ULTRAFINO DISTRIBUIDOR DI-145A-9903 PARA DISTRIBUIDOR DI-145A-9908"/>
    <m/>
    <m/>
    <m/>
    <s v="1450AA-T-70490_FL11"/>
    <n v="1"/>
    <s v="PÇ"/>
    <n v="0.33500000000000002"/>
    <n v="0.33500000000000002"/>
    <n v="2238.89"/>
    <n v="750.02814999999998"/>
    <n v="0"/>
    <n v="0.9"/>
    <n v="0.1"/>
    <m/>
    <m/>
    <x v="0"/>
    <m/>
    <m/>
    <m/>
    <m/>
    <m/>
    <m/>
    <m/>
    <m/>
    <m/>
    <m/>
    <m/>
    <m/>
    <m/>
    <m/>
    <m/>
    <m/>
    <m/>
  </r>
  <r>
    <s v="2.4.3.1.3"/>
    <s v="CMS M.60.10.000"/>
    <x v="2"/>
    <n v="4"/>
    <s v="CURVA"/>
    <n v="10"/>
    <x v="1"/>
    <s v="NÃO"/>
    <s v="NÃO"/>
    <x v="75"/>
    <x v="3"/>
    <s v="DISPOSIÇÃO DE REJEITOS LINHA DO CIRCUITO ULTRAFINO DISTRIBUIDOR DI-145A-9903 PARA DISTRIBUIDOR DI-145A-9908"/>
    <m/>
    <m/>
    <m/>
    <s v="1450AA-T-70490_FL15"/>
    <n v="1"/>
    <s v="PÇ"/>
    <n v="0.33"/>
    <n v="0.33"/>
    <n v="2238.89"/>
    <n v="738.83370000000002"/>
    <n v="0"/>
    <n v="0.9"/>
    <n v="0.1"/>
    <m/>
    <m/>
    <x v="0"/>
    <m/>
    <m/>
    <m/>
    <m/>
    <m/>
    <m/>
    <m/>
    <m/>
    <m/>
    <m/>
    <m/>
    <m/>
    <m/>
    <m/>
    <m/>
    <m/>
    <m/>
  </r>
  <r>
    <s v="2.4.3.1.3"/>
    <s v="CMS M.60.10.000"/>
    <x v="2"/>
    <n v="5"/>
    <s v="SPOOL"/>
    <n v="10"/>
    <x v="2"/>
    <s v="NÃO"/>
    <s v="NÃO"/>
    <x v="75"/>
    <x v="3"/>
    <s v="DISPOSIÇÃO DE REJEITOS LINHA DO CIRCUITO ULTRAFINO DISTRIBUIDOR DI-145A-9903 PARA DISTRIBUIDOR DI-145A-9908"/>
    <m/>
    <m/>
    <m/>
    <s v="1450AA-T-70490_FL18"/>
    <n v="3"/>
    <s v="PÇ"/>
    <n v="0.9"/>
    <n v="2.7"/>
    <n v="2238.89"/>
    <n v="6045.0029999999997"/>
    <n v="0"/>
    <n v="0.9"/>
    <n v="0.1"/>
    <m/>
    <m/>
    <x v="0"/>
    <m/>
    <m/>
    <m/>
    <m/>
    <m/>
    <m/>
    <m/>
    <m/>
    <m/>
    <m/>
    <m/>
    <m/>
    <m/>
    <m/>
    <m/>
    <m/>
    <m/>
  </r>
  <r>
    <s v="2.4.3.1.3"/>
    <s v="CMS M.60.10.000"/>
    <x v="2"/>
    <n v="6"/>
    <s v="CURVA"/>
    <n v="10"/>
    <x v="1"/>
    <s v="NÃO"/>
    <s v="NÃO"/>
    <x v="75"/>
    <x v="3"/>
    <s v="DISPOSIÇÃO DE REJEITOS LINHA DO CIRCUITO ULTRAFINO DISTRIBUIDOR DI-145A-9903 PARA DISTRIBUIDOR DI-145A-9908"/>
    <m/>
    <m/>
    <m/>
    <s v="1450AA-T-70490_FL19"/>
    <n v="2"/>
    <s v="PÇ"/>
    <n v="0.46500000000000002"/>
    <n v="0.93"/>
    <n v="2238.89"/>
    <n v="2082.1677"/>
    <n v="0"/>
    <n v="0.9"/>
    <n v="0.1"/>
    <m/>
    <m/>
    <x v="0"/>
    <m/>
    <m/>
    <m/>
    <m/>
    <m/>
    <m/>
    <m/>
    <m/>
    <m/>
    <m/>
    <m/>
    <m/>
    <m/>
    <m/>
    <m/>
    <m/>
    <m/>
  </r>
  <r>
    <s v="2.4.3.1.3"/>
    <s v="CMS M.60.10.000"/>
    <x v="2"/>
    <n v="7"/>
    <s v="SPOOL"/>
    <n v="10"/>
    <x v="1"/>
    <s v="NÃO"/>
    <s v="NÃO"/>
    <x v="75"/>
    <x v="3"/>
    <s v="DISPOSIÇÃO DE REJEITOS LINHA DO CIRCUITO ULTRAFINO DISTRIBUIDOR DI-145A-9903 PARA DISTRIBUIDOR DI-145A-9908"/>
    <m/>
    <m/>
    <m/>
    <s v="1450AA-T-70490_FL12"/>
    <n v="2"/>
    <s v="PÇ"/>
    <n v="3"/>
    <n v="6"/>
    <n v="2238.89"/>
    <n v="13433.34"/>
    <n v="0"/>
    <n v="0.9"/>
    <n v="0.1"/>
    <m/>
    <m/>
    <x v="0"/>
    <m/>
    <m/>
    <m/>
    <m/>
    <m/>
    <m/>
    <m/>
    <m/>
    <m/>
    <m/>
    <m/>
    <m/>
    <m/>
    <m/>
    <m/>
    <m/>
    <m/>
  </r>
  <r>
    <s v="2.4.3.1.3"/>
    <s v="CMS M.60.10.000"/>
    <x v="2"/>
    <n v="8"/>
    <s v="CURVA"/>
    <n v="10"/>
    <x v="1"/>
    <s v="NÃO"/>
    <s v="NÃO"/>
    <x v="75"/>
    <x v="3"/>
    <s v="DISPOSIÇÃO DE REJEITOS LINHA DO CIRCUITO ULTRAFINO DISTRIBUIDOR DI-145A-9903 PARA DISTRIBUIDOR DI-145A-9908"/>
    <m/>
    <m/>
    <m/>
    <s v="1450AA-T-70490_FL21"/>
    <n v="3"/>
    <s v="PÇ"/>
    <n v="1.35"/>
    <n v="4.0500000000000007"/>
    <n v="2238.89"/>
    <n v="9067.5045000000009"/>
    <n v="0"/>
    <n v="0.9"/>
    <n v="0.1"/>
    <m/>
    <m/>
    <x v="0"/>
    <m/>
    <m/>
    <m/>
    <m/>
    <m/>
    <m/>
    <m/>
    <m/>
    <m/>
    <m/>
    <m/>
    <m/>
    <m/>
    <m/>
    <m/>
    <m/>
    <m/>
  </r>
  <r>
    <s v="2.4.3.1.3"/>
    <s v="CMS M.60.10.000"/>
    <x v="2"/>
    <n v="9"/>
    <s v="SPOOL"/>
    <n v="10"/>
    <x v="2"/>
    <s v="NÃO"/>
    <s v="NÃO"/>
    <x v="75"/>
    <x v="3"/>
    <s v="DISPOSIÇÃO DE REJEITOS LINHA DO CIRCUITO ULTRAFINO DISTRIBUIDOR DI-145A-9903 PARA DISTRIBUIDOR DI-145A-9908"/>
    <m/>
    <m/>
    <m/>
    <s v="1450AA-T-70490_FL16"/>
    <n v="1"/>
    <s v="PÇ"/>
    <n v="0.75"/>
    <n v="0.75"/>
    <n v="2238.89"/>
    <n v="1679.1675"/>
    <n v="0"/>
    <n v="0.9"/>
    <n v="0.1"/>
    <m/>
    <m/>
    <x v="0"/>
    <m/>
    <m/>
    <m/>
    <m/>
    <m/>
    <m/>
    <m/>
    <m/>
    <m/>
    <m/>
    <m/>
    <m/>
    <m/>
    <m/>
    <m/>
    <m/>
    <m/>
  </r>
  <r>
    <s v="2.4.3.1.3"/>
    <s v="CMS M.60.10.000"/>
    <x v="2"/>
    <n v="10"/>
    <s v="SPOOL"/>
    <n v="10"/>
    <x v="1"/>
    <s v="NÃO"/>
    <s v="NÃO"/>
    <x v="75"/>
    <x v="3"/>
    <s v="DISPOSIÇÃO DE REJEITOS LINHA DO CIRCUITO ULTRAFINO DISTRIBUIDOR DI-145A-9903 PARA DISTRIBUIDOR DI-145A-9908"/>
    <m/>
    <m/>
    <m/>
    <s v="1450AA-T-70490_FL13"/>
    <n v="2"/>
    <s v="PÇ"/>
    <n v="5.5"/>
    <n v="11"/>
    <n v="2238.89"/>
    <n v="24627.789999999997"/>
    <n v="0"/>
    <n v="0.9"/>
    <n v="0.1"/>
    <m/>
    <m/>
    <x v="0"/>
    <m/>
    <m/>
    <m/>
    <m/>
    <m/>
    <m/>
    <m/>
    <m/>
    <m/>
    <m/>
    <m/>
    <m/>
    <m/>
    <m/>
    <m/>
    <m/>
    <m/>
  </r>
  <r>
    <s v="2.4.3.1.3"/>
    <s v="CMS M.60.10.000"/>
    <x v="2"/>
    <n v="11"/>
    <s v="SPOOL"/>
    <n v="10"/>
    <x v="1"/>
    <s v="NÃO"/>
    <s v="NÃO"/>
    <x v="75"/>
    <x v="3"/>
    <s v="DISPOSIÇÃO DE REJEITOS LINHA DO CIRCUITO ULTRAFINO DISTRIBUIDOR DI-145A-9903 PARA DISTRIBUIDOR DI-145A-9908"/>
    <m/>
    <m/>
    <m/>
    <s v="1450AA-T-70490_FL10"/>
    <n v="1"/>
    <s v="PÇ"/>
    <n v="1.5"/>
    <n v="1.5"/>
    <n v="2238.89"/>
    <n v="3358.335"/>
    <n v="0"/>
    <n v="0.9"/>
    <n v="0.1"/>
    <m/>
    <m/>
    <x v="0"/>
    <m/>
    <m/>
    <m/>
    <m/>
    <m/>
    <m/>
    <m/>
    <m/>
    <m/>
    <m/>
    <m/>
    <m/>
    <m/>
    <m/>
    <m/>
    <m/>
    <m/>
  </r>
  <r>
    <s v="2.4.3.1.3"/>
    <s v="CMS M.60.10.000"/>
    <x v="2"/>
    <n v="12"/>
    <s v="CURVA"/>
    <n v="10"/>
    <x v="1"/>
    <s v="NÃO"/>
    <s v="NÃO"/>
    <x v="75"/>
    <x v="3"/>
    <s v="DISPOSIÇÃO DE REJEITOS LINHA DO CIRCUITO ULTRAFINO DISTRIBUIDOR DI-145A-9903 PARA DISTRIBUIDOR DI-145A-9908"/>
    <m/>
    <m/>
    <m/>
    <s v="1450AA-T-70490_FL20"/>
    <n v="2"/>
    <s v="PÇ"/>
    <n v="0.69799999999999995"/>
    <n v="1.3959999999999999"/>
    <n v="2238.89"/>
    <n v="3125.4904399999996"/>
    <n v="0"/>
    <n v="0.9"/>
    <n v="0.1"/>
    <m/>
    <m/>
    <x v="0"/>
    <m/>
    <m/>
    <m/>
    <m/>
    <m/>
    <m/>
    <m/>
    <m/>
    <m/>
    <m/>
    <m/>
    <m/>
    <m/>
    <m/>
    <m/>
    <m/>
    <m/>
  </r>
  <r>
    <s v="2.4.3.1.3"/>
    <s v="CMS M.60.10.000"/>
    <x v="2"/>
    <n v="13"/>
    <s v="SPOOL"/>
    <n v="10"/>
    <x v="1"/>
    <s v="NÃO"/>
    <s v="NÃO"/>
    <x v="75"/>
    <x v="3"/>
    <s v="DISPOSIÇÃO DE REJEITOS LINHA DO CIRCUITO ULTRAFINO DISTRIBUIDOR DI-145A-9903 PARA DISTRIBUIDOR DI-145A-9908"/>
    <m/>
    <m/>
    <m/>
    <s v="1450AA-T-70490_FL09"/>
    <n v="2"/>
    <s v="PÇ"/>
    <n v="1"/>
    <n v="2"/>
    <n v="2238.89"/>
    <n v="4477.78"/>
    <n v="0"/>
    <n v="0.9"/>
    <n v="0.1"/>
    <m/>
    <m/>
    <x v="0"/>
    <m/>
    <m/>
    <m/>
    <m/>
    <m/>
    <m/>
    <m/>
    <m/>
    <m/>
    <m/>
    <m/>
    <m/>
    <m/>
    <m/>
    <m/>
    <m/>
    <m/>
  </r>
  <r>
    <s v="2.4.3.1.3"/>
    <s v="CMS M.60.10.000"/>
    <x v="2"/>
    <n v="14"/>
    <s v="SPOOL"/>
    <n v="10"/>
    <x v="1"/>
    <s v="NÃO"/>
    <s v="NÃO"/>
    <x v="75"/>
    <x v="3"/>
    <s v="DISPOSIÇÃO DE REJEITOS LINHA DO CIRCUITO ULTRAFINO DISTRIBUIDOR DI-145A-9903 PARA DISTRIBUIDOR DI-145A-9908"/>
    <m/>
    <m/>
    <m/>
    <s v="1450AA-T-70490_FL14"/>
    <n v="3"/>
    <s v="PÇ"/>
    <n v="6"/>
    <n v="18"/>
    <n v="2238.89"/>
    <n v="40300.019999999997"/>
    <n v="0"/>
    <n v="0.9"/>
    <n v="0.1"/>
    <m/>
    <m/>
    <x v="0"/>
    <m/>
    <m/>
    <m/>
    <m/>
    <m/>
    <m/>
    <m/>
    <m/>
    <m/>
    <m/>
    <m/>
    <m/>
    <m/>
    <m/>
    <m/>
    <m/>
    <m/>
  </r>
  <r>
    <s v="2.4.3.1.3"/>
    <s v="CMS M.60.10.000"/>
    <x v="2"/>
    <n v="15"/>
    <s v="SPOOL"/>
    <n v="10"/>
    <x v="2"/>
    <s v="NÃO"/>
    <s v="NÃO"/>
    <x v="75"/>
    <x v="3"/>
    <s v="DISPOSIÇÃO DE REJEITOS LINHA DO CIRCUITO ULTRAFINO DISTRIBUIDOR DI-145A-9903 PARA DISTRIBUIDOR DI-145A-9908"/>
    <m/>
    <m/>
    <m/>
    <s v="1450AA-T-70490_FL17"/>
    <n v="1"/>
    <s v="PÇ"/>
    <n v="0.8"/>
    <n v="0.8"/>
    <n v="2238.89"/>
    <n v="1791.1120000000001"/>
    <n v="0"/>
    <n v="0.9"/>
    <n v="0.1"/>
    <m/>
    <m/>
    <x v="0"/>
    <m/>
    <m/>
    <m/>
    <m/>
    <m/>
    <m/>
    <m/>
    <m/>
    <m/>
    <m/>
    <m/>
    <m/>
    <m/>
    <m/>
    <m/>
    <m/>
    <m/>
  </r>
  <r>
    <s v="2.4.3.1.3"/>
    <s v="CMS M.60.10.000"/>
    <x v="2"/>
    <n v="16"/>
    <s v="SPOOL"/>
    <n v="10"/>
    <x v="1"/>
    <s v="NÃO"/>
    <s v="NÃO"/>
    <x v="75"/>
    <x v="3"/>
    <s v="DISPOSIÇÃO DE REJEITOS LINHA DO CIRCUITO ULTRAFINO DISTRIBUIDOR DI-145A-9903 PARA DISTRIBUIDOR DI-145A-9908"/>
    <m/>
    <m/>
    <m/>
    <s v="1450AA-T-70490_FL08"/>
    <n v="1"/>
    <s v="PÇ"/>
    <n v="0.8"/>
    <n v="0.8"/>
    <n v="2238.89"/>
    <n v="1791.1120000000001"/>
    <n v="0"/>
    <n v="0.9"/>
    <n v="0.1"/>
    <m/>
    <m/>
    <x v="0"/>
    <m/>
    <m/>
    <m/>
    <m/>
    <m/>
    <m/>
    <m/>
    <m/>
    <m/>
    <m/>
    <m/>
    <m/>
    <m/>
    <m/>
    <m/>
    <m/>
    <m/>
  </r>
  <r>
    <s v="2.4.3.1.3"/>
    <s v="CMS M.60.10.000"/>
    <x v="2"/>
    <n v="17"/>
    <s v="SPOOL"/>
    <n v="10"/>
    <x v="1"/>
    <s v="NÃO"/>
    <s v="NÃO"/>
    <x v="75"/>
    <x v="3"/>
    <s v="DISPOSIÇÃO DE REJEITOS LINHA DO CIRCUITO ULTRAFINO DISTRIBUIDOR DI-145A-9903 PARA DISTRIBUIDOR DI-145A-9908"/>
    <m/>
    <m/>
    <m/>
    <s v="1450AA-T-70490_FL24"/>
    <n v="1"/>
    <s v="PÇ"/>
    <n v="1.5"/>
    <n v="1.5"/>
    <n v="2238.89"/>
    <n v="3358.335"/>
    <n v="0"/>
    <n v="0.9"/>
    <n v="0.1"/>
    <m/>
    <m/>
    <x v="0"/>
    <m/>
    <m/>
    <m/>
    <m/>
    <m/>
    <m/>
    <m/>
    <m/>
    <m/>
    <m/>
    <m/>
    <m/>
    <m/>
    <m/>
    <m/>
    <m/>
    <m/>
  </r>
  <r>
    <s v="2.4.3.1.2"/>
    <s v="CMS M.60.10.000"/>
    <x v="2"/>
    <n v="1"/>
    <s v="CURVA"/>
    <n v="8"/>
    <x v="1"/>
    <s v="NÃO"/>
    <s v="NÃO"/>
    <x v="76"/>
    <x v="3"/>
    <s v="DISPOSIÇÃO DE REJEITOS LINHA DO CIRCUITO ULTRAFINO DISTRIBUIDOR DI-145A-9908 PARA A PENEIRA PN-145A-9716"/>
    <m/>
    <m/>
    <m/>
    <s v="1450AA-T-70493_FL19"/>
    <n v="1"/>
    <s v="PÇ"/>
    <n v="0.57999999999999996"/>
    <n v="0.57999999999999996"/>
    <n v="1651.88"/>
    <n v="958.09040000000005"/>
    <n v="0"/>
    <n v="0.9"/>
    <n v="0.1"/>
    <m/>
    <m/>
    <x v="0"/>
    <m/>
    <m/>
    <m/>
    <m/>
    <m/>
    <m/>
    <m/>
    <m/>
    <m/>
    <m/>
    <m/>
    <m/>
    <m/>
    <m/>
    <m/>
    <m/>
    <m/>
  </r>
  <r>
    <s v="2.4.3.1.2"/>
    <s v="CMS M.60.10.000"/>
    <x v="2"/>
    <n v="2"/>
    <s v="SPOOL"/>
    <n v="8"/>
    <x v="1"/>
    <s v="NÃO"/>
    <s v="NÃO"/>
    <x v="76"/>
    <x v="3"/>
    <s v="DISPOSIÇÃO DE REJEITOS LINHA DO CIRCUITO ULTRAFINO DISTRIBUIDOR DI-145A-9908 PARA A PENEIRA PN-145A-9716"/>
    <m/>
    <m/>
    <m/>
    <s v="1450AA-T-70493_FL12"/>
    <n v="1"/>
    <s v="PÇ"/>
    <n v="1.5"/>
    <n v="1.5"/>
    <n v="1651.88"/>
    <n v="2477.8200000000002"/>
    <n v="0"/>
    <n v="0.9"/>
    <n v="0.1"/>
    <m/>
    <m/>
    <x v="0"/>
    <m/>
    <m/>
    <m/>
    <m/>
    <m/>
    <m/>
    <m/>
    <m/>
    <m/>
    <m/>
    <m/>
    <m/>
    <m/>
    <m/>
    <m/>
    <m/>
    <m/>
  </r>
  <r>
    <s v="2.4.3.1.2"/>
    <s v="CMS M.60.10.000"/>
    <x v="2"/>
    <n v="3"/>
    <s v="SPOOL"/>
    <n v="8"/>
    <x v="2"/>
    <s v="NÃO"/>
    <s v="NÃO"/>
    <x v="76"/>
    <x v="3"/>
    <s v="DISPOSIÇÃO DE REJEITOS LINHA DO CIRCUITO ULTRAFINO DISTRIBUIDOR DI-145A-9908 PARA A PENEIRA PN-145A-9716"/>
    <m/>
    <m/>
    <m/>
    <s v="1450AA-T-70493_FL15"/>
    <n v="1"/>
    <s v="PÇ"/>
    <n v="0.54"/>
    <n v="0.54"/>
    <n v="1651.88"/>
    <n v="892.01520000000016"/>
    <n v="0"/>
    <n v="0.9"/>
    <n v="0.1"/>
    <m/>
    <m/>
    <x v="0"/>
    <m/>
    <m/>
    <m/>
    <m/>
    <m/>
    <m/>
    <m/>
    <m/>
    <m/>
    <m/>
    <m/>
    <m/>
    <m/>
    <m/>
    <m/>
    <m/>
    <m/>
  </r>
  <r>
    <s v="2.4.3.1.2"/>
    <s v="CMS M.60.10.000"/>
    <x v="2"/>
    <n v="4"/>
    <s v="CURVA"/>
    <n v="8"/>
    <x v="1"/>
    <s v="NÃO"/>
    <s v="NÃO"/>
    <x v="76"/>
    <x v="3"/>
    <s v="DISPOSIÇÃO DE REJEITOS LINHA DO CIRCUITO ULTRAFINO DISTRIBUIDOR DI-145A-9908 PARA A PENEIRA PN-145A-9716"/>
    <m/>
    <m/>
    <m/>
    <s v="1450AA-T-70493_FL17"/>
    <n v="1"/>
    <s v="PÇ"/>
    <n v="0.47"/>
    <n v="0.47"/>
    <n v="1651.88"/>
    <n v="776.3836"/>
    <n v="0"/>
    <n v="0.9"/>
    <n v="0.1"/>
    <m/>
    <m/>
    <x v="0"/>
    <m/>
    <m/>
    <m/>
    <m/>
    <m/>
    <m/>
    <m/>
    <m/>
    <m/>
    <m/>
    <m/>
    <m/>
    <m/>
    <m/>
    <m/>
    <m/>
    <m/>
  </r>
  <r>
    <s v="2.4.3.1.2"/>
    <s v="CMS M.60.10.000"/>
    <x v="2"/>
    <n v="5"/>
    <s v="SPOOL"/>
    <n v="8"/>
    <x v="1"/>
    <s v="NÃO"/>
    <s v="NÃO"/>
    <x v="76"/>
    <x v="3"/>
    <s v="DISPOSIÇÃO DE REJEITOS LINHA DO CIRCUITO ULTRAFINO DISTRIBUIDOR DI-145A-9908 PARA A PENEIRA PN-145A-9716"/>
    <m/>
    <m/>
    <m/>
    <s v="1450AA-T-70493_FL13"/>
    <n v="1"/>
    <s v="PÇ"/>
    <n v="3"/>
    <n v="3"/>
    <n v="1651.88"/>
    <n v="4955.6400000000003"/>
    <n v="0"/>
    <n v="0.9"/>
    <n v="0.1"/>
    <m/>
    <m/>
    <x v="0"/>
    <m/>
    <m/>
    <m/>
    <m/>
    <m/>
    <m/>
    <m/>
    <m/>
    <m/>
    <m/>
    <m/>
    <m/>
    <m/>
    <m/>
    <m/>
    <m/>
    <m/>
  </r>
  <r>
    <s v="2.4.3.1.2"/>
    <s v="CMS M.60.10.000"/>
    <x v="2"/>
    <n v="6"/>
    <s v="SPOOL"/>
    <n v="8"/>
    <x v="2"/>
    <s v="NÃO"/>
    <s v="NÃO"/>
    <x v="76"/>
    <x v="3"/>
    <s v="DISPOSIÇÃO DE REJEITOS LINHA DO CIRCUITO ULTRAFINO DISTRIBUIDOR DI-145A-9908 PARA A PENEIRA PN-145A-9716"/>
    <m/>
    <m/>
    <m/>
    <s v="1450AA-T-70493_FL16"/>
    <n v="1"/>
    <s v="PÇ"/>
    <n v="0.8"/>
    <n v="0.8"/>
    <n v="1651.88"/>
    <n v="1321.5040000000001"/>
    <n v="0"/>
    <n v="0.9"/>
    <n v="0.1"/>
    <m/>
    <m/>
    <x v="0"/>
    <m/>
    <m/>
    <m/>
    <m/>
    <m/>
    <m/>
    <m/>
    <m/>
    <m/>
    <m/>
    <m/>
    <m/>
    <m/>
    <m/>
    <m/>
    <m/>
    <m/>
  </r>
  <r>
    <s v="2.4.3.1.2"/>
    <s v="CMS M.60.10.000"/>
    <x v="2"/>
    <n v="7"/>
    <s v="CURVA"/>
    <n v="8"/>
    <x v="1"/>
    <s v="NÃO"/>
    <s v="NÃO"/>
    <x v="76"/>
    <x v="3"/>
    <s v="DISPOSIÇÃO DE REJEITOS LINHA DO CIRCUITO ULTRAFINO DISTRIBUIDOR DI-145A-9908 PARA A PENEIRA PN-145A-9716"/>
    <m/>
    <m/>
    <m/>
    <s v="1450AA-T-70493_FL20"/>
    <n v="1"/>
    <s v="PÇ"/>
    <n v="0.61099999999999999"/>
    <n v="0.61099999999999999"/>
    <n v="1651.88"/>
    <n v="1009.29868"/>
    <n v="0"/>
    <n v="0.9"/>
    <n v="0.1"/>
    <m/>
    <m/>
    <x v="0"/>
    <m/>
    <m/>
    <m/>
    <m/>
    <m/>
    <m/>
    <m/>
    <m/>
    <m/>
    <m/>
    <m/>
    <m/>
    <m/>
    <m/>
    <m/>
    <m/>
    <m/>
  </r>
  <r>
    <s v="2.4.3.1.2"/>
    <s v="CMS M.60.10.000"/>
    <x v="2"/>
    <n v="8"/>
    <s v="SPOOL"/>
    <n v="8"/>
    <x v="1"/>
    <s v="NÃO"/>
    <s v="NÃO"/>
    <x v="76"/>
    <x v="3"/>
    <s v="DISPOSIÇÃO DE REJEITOS LINHA DO CIRCUITO ULTRAFINO DISTRIBUIDOR DI-145A-9908 PARA A PENEIRA PN-145A-9716"/>
    <m/>
    <m/>
    <m/>
    <s v="1450AA-T-70493_FL11"/>
    <n v="1"/>
    <s v="PÇ"/>
    <n v="1.19"/>
    <n v="1.19"/>
    <n v="1651.88"/>
    <n v="1965.7372"/>
    <n v="0"/>
    <n v="0.9"/>
    <n v="0.1"/>
    <m/>
    <m/>
    <x v="0"/>
    <m/>
    <m/>
    <m/>
    <m/>
    <m/>
    <m/>
    <m/>
    <m/>
    <m/>
    <m/>
    <m/>
    <m/>
    <m/>
    <m/>
    <m/>
    <m/>
    <m/>
  </r>
  <r>
    <s v="2.4.3.1.2"/>
    <s v="CMS M.60.10.000"/>
    <x v="2"/>
    <n v="9"/>
    <s v="CURVA"/>
    <n v="8"/>
    <x v="1"/>
    <s v="NÃO"/>
    <s v="NÃO"/>
    <x v="76"/>
    <x v="3"/>
    <s v="DISPOSIÇÃO DE REJEITOS LINHA DO CIRCUITO ULTRAFINO DISTRIBUIDOR DI-145A-9908 PARA A PENEIRA PN-145A-9716"/>
    <m/>
    <m/>
    <m/>
    <s v="1450AA-T-70493_FL18"/>
    <n v="1"/>
    <s v="PÇ"/>
    <n v="0.54200000000000004"/>
    <n v="0.54200000000000004"/>
    <n v="1651.88"/>
    <n v="895.31896000000017"/>
    <n v="0"/>
    <n v="0.9"/>
    <n v="0.1"/>
    <m/>
    <m/>
    <x v="0"/>
    <m/>
    <m/>
    <m/>
    <m/>
    <m/>
    <m/>
    <m/>
    <m/>
    <m/>
    <m/>
    <m/>
    <m/>
    <m/>
    <m/>
    <m/>
    <m/>
    <m/>
  </r>
  <r>
    <s v="2.4.3.1.2"/>
    <s v="CMS M.60.10.000"/>
    <x v="2"/>
    <n v="10"/>
    <s v="SPOOL"/>
    <n v="8"/>
    <x v="2"/>
    <s v="NÃO"/>
    <s v="NÃO"/>
    <x v="76"/>
    <x v="3"/>
    <s v="DISPOSIÇÃO DE REJEITOS LINHA DO CIRCUITO ULTRAFINO DISTRIBUIDOR DI-145A-9908 PARA A PENEIRA PN-145A-9716"/>
    <m/>
    <m/>
    <m/>
    <s v="1450AA-T-70493_FL14"/>
    <n v="1"/>
    <s v="PÇ"/>
    <n v="0.37"/>
    <n v="0.37"/>
    <n v="1651.88"/>
    <n v="611.19560000000001"/>
    <n v="0"/>
    <n v="0.9"/>
    <n v="0.1"/>
    <m/>
    <m/>
    <x v="0"/>
    <m/>
    <m/>
    <m/>
    <m/>
    <m/>
    <m/>
    <m/>
    <m/>
    <m/>
    <m/>
    <m/>
    <m/>
    <m/>
    <m/>
    <m/>
    <m/>
    <m/>
  </r>
  <r>
    <s v="2.4.3.1.1"/>
    <s v="CMS M.60.10.000"/>
    <x v="2"/>
    <n v="11"/>
    <s v="SPOOL"/>
    <s v="8 X 6"/>
    <x v="1"/>
    <s v="NÃO"/>
    <s v="NÃO"/>
    <x v="76"/>
    <x v="3"/>
    <s v="DISPOSIÇÃO DE REJEITOS LINHA DO CIRCUITO ULTRAFINO DISTRIBUIDOR DI-145A-9908 PARA A PENEIRA PN-145A-9716"/>
    <m/>
    <m/>
    <m/>
    <s v="1450AA-T-70493_FL09"/>
    <n v="1"/>
    <s v="PÇ"/>
    <n v="2.2999999999999998"/>
    <n v="2.2999999999999998"/>
    <n v="1169.77"/>
    <n v="2690.4709999999995"/>
    <n v="0"/>
    <n v="0.9"/>
    <n v="0.1"/>
    <m/>
    <m/>
    <x v="0"/>
    <m/>
    <m/>
    <m/>
    <m/>
    <m/>
    <m/>
    <m/>
    <m/>
    <m/>
    <m/>
    <m/>
    <m/>
    <m/>
    <m/>
    <m/>
    <m/>
    <m/>
  </r>
  <r>
    <s v="2.4.3.1.1"/>
    <s v="CMS M.60.10.000"/>
    <x v="2"/>
    <n v="12"/>
    <s v="FLANGE"/>
    <n v="6"/>
    <x v="1"/>
    <s v="NÃO"/>
    <s v="NÃO"/>
    <x v="76"/>
    <x v="3"/>
    <s v="DISPOSIÇÃO DE REJEITOS LINHA DO CIRCUITO ULTRAFINO DISTRIBUIDOR DI-145A-9908 PARA A PENEIRA PN-145A-9716"/>
    <m/>
    <m/>
    <m/>
    <s v="1450AA-T-70493_FL08"/>
    <n v="2"/>
    <s v="PÇ"/>
    <n v="0"/>
    <n v="0"/>
    <n v="1169.77"/>
    <n v="0"/>
    <n v="0"/>
    <n v="0.9"/>
    <n v="0.1"/>
    <m/>
    <m/>
    <x v="0"/>
    <m/>
    <m/>
    <m/>
    <m/>
    <m/>
    <m/>
    <m/>
    <m/>
    <m/>
    <m/>
    <m/>
    <m/>
    <m/>
    <m/>
    <m/>
    <m/>
    <m/>
  </r>
  <r>
    <s v="2.4.3.1.2"/>
    <s v="CMS M.60.10.000"/>
    <x v="2"/>
    <n v="1"/>
    <s v="CURVA"/>
    <n v="8"/>
    <x v="1"/>
    <s v="NÃO"/>
    <s v="NÃO"/>
    <x v="77"/>
    <x v="3"/>
    <s v="DISPOSIÇÃO DE REJEITOS LINHA DO CIRCUITO ULTRAFINO DISTRIBUIDOR DI-145A-9908 PARA A PENEIRA PN-145A-9717"/>
    <m/>
    <m/>
    <m/>
    <s v="1450AA-T-70495_FL19"/>
    <n v="1"/>
    <s v="PÇ"/>
    <n v="0.57999999999999996"/>
    <n v="0.57999999999999996"/>
    <n v="1651.88"/>
    <n v="958.09040000000005"/>
    <n v="0"/>
    <n v="0.9"/>
    <n v="0.1"/>
    <m/>
    <m/>
    <x v="0"/>
    <m/>
    <m/>
    <m/>
    <m/>
    <m/>
    <m/>
    <m/>
    <m/>
    <m/>
    <m/>
    <m/>
    <m/>
    <m/>
    <m/>
    <m/>
    <m/>
    <m/>
  </r>
  <r>
    <s v="2.4.3.1.2"/>
    <s v="CMS M.60.10.000"/>
    <x v="2"/>
    <n v="2"/>
    <s v="SPOOL"/>
    <n v="8"/>
    <x v="1"/>
    <s v="NÃO"/>
    <s v="NÃO"/>
    <x v="77"/>
    <x v="3"/>
    <s v="DISPOSIÇÃO DE REJEITOS LINHA DO CIRCUITO ULTRAFINO DISTRIBUIDOR DI-145A-9908 PARA A PENEIRA PN-145A-9717"/>
    <m/>
    <m/>
    <m/>
    <s v="1450AA-T-70495_FL11"/>
    <n v="1"/>
    <s v="PÇ"/>
    <n v="0.8"/>
    <n v="0.8"/>
    <n v="1651.88"/>
    <n v="1321.5040000000001"/>
    <n v="0"/>
    <n v="0.9"/>
    <n v="0.1"/>
    <m/>
    <m/>
    <x v="0"/>
    <m/>
    <m/>
    <m/>
    <m/>
    <m/>
    <m/>
    <m/>
    <m/>
    <m/>
    <m/>
    <m/>
    <m/>
    <m/>
    <m/>
    <m/>
    <m/>
    <m/>
  </r>
  <r>
    <s v="2.4.3.1.2"/>
    <s v="CMS M.60.10.000"/>
    <x v="2"/>
    <n v="3"/>
    <s v="SPOOL"/>
    <n v="8"/>
    <x v="2"/>
    <s v="NÃO"/>
    <s v="NÃO"/>
    <x v="77"/>
    <x v="3"/>
    <s v="DISPOSIÇÃO DE REJEITOS LINHA DO CIRCUITO ULTRAFINO DISTRIBUIDOR DI-145A-9908 PARA A PENEIRA PN-145A-9717"/>
    <m/>
    <m/>
    <m/>
    <s v="1450AA-T-70495_FL15"/>
    <n v="1"/>
    <s v="PÇ"/>
    <n v="0.57999999999999996"/>
    <n v="0.57999999999999996"/>
    <n v="1651.88"/>
    <n v="958.09040000000005"/>
    <n v="0"/>
    <n v="0.9"/>
    <n v="0.1"/>
    <m/>
    <m/>
    <x v="0"/>
    <m/>
    <m/>
    <m/>
    <m/>
    <m/>
    <m/>
    <m/>
    <m/>
    <m/>
    <m/>
    <m/>
    <m/>
    <m/>
    <m/>
    <m/>
    <m/>
    <m/>
  </r>
  <r>
    <s v="2.4.3.1.2"/>
    <s v="CMS M.60.10.000"/>
    <x v="2"/>
    <n v="4"/>
    <s v="CURVA"/>
    <n v="8"/>
    <x v="1"/>
    <s v="NÃO"/>
    <s v="NÃO"/>
    <x v="77"/>
    <x v="3"/>
    <s v="DISPOSIÇÃO DE REJEITOS LINHA DO CIRCUITO ULTRAFINO DISTRIBUIDOR DI-145A-9908 PARA A PENEIRA PN-145A-9717"/>
    <m/>
    <m/>
    <m/>
    <s v="1450AA-T-70495_FL17"/>
    <n v="1"/>
    <s v="PÇ"/>
    <n v="0.505"/>
    <n v="0.505"/>
    <n v="1651.88"/>
    <n v="834.19940000000008"/>
    <n v="0"/>
    <n v="0.9"/>
    <n v="0.1"/>
    <m/>
    <m/>
    <x v="0"/>
    <m/>
    <m/>
    <m/>
    <m/>
    <m/>
    <m/>
    <m/>
    <m/>
    <m/>
    <m/>
    <m/>
    <m/>
    <m/>
    <m/>
    <m/>
    <m/>
    <m/>
  </r>
  <r>
    <s v="2.4.3.1.2"/>
    <s v="CMS M.60.10.000"/>
    <x v="2"/>
    <n v="5"/>
    <s v="SPOOL"/>
    <n v="8"/>
    <x v="1"/>
    <s v="NÃO"/>
    <s v="NÃO"/>
    <x v="77"/>
    <x v="3"/>
    <s v="DISPOSIÇÃO DE REJEITOS LINHA DO CIRCUITO ULTRAFINO DISTRIBUIDOR DI-145A-9908 PARA A PENEIRA PN-145A-9717"/>
    <m/>
    <m/>
    <m/>
    <s v="1450AA-T-70495_FL13"/>
    <n v="1"/>
    <s v="PÇ"/>
    <n v="3.5"/>
    <n v="3.5"/>
    <n v="1651.88"/>
    <n v="5781.58"/>
    <n v="0"/>
    <n v="0.9"/>
    <n v="0.1"/>
    <m/>
    <m/>
    <x v="0"/>
    <m/>
    <m/>
    <m/>
    <m/>
    <m/>
    <m/>
    <m/>
    <m/>
    <m/>
    <m/>
    <m/>
    <m/>
    <m/>
    <m/>
    <m/>
    <m/>
    <m/>
  </r>
  <r>
    <s v="2.4.3.1.2"/>
    <s v="CMS M.60.10.000"/>
    <x v="2"/>
    <n v="6"/>
    <s v="SPOOL"/>
    <n v="8"/>
    <x v="2"/>
    <s v="NÃO"/>
    <s v="NÃO"/>
    <x v="77"/>
    <x v="3"/>
    <s v="DISPOSIÇÃO DE REJEITOS LINHA DO CIRCUITO ULTRAFINO DISTRIBUIDOR DI-145A-9908 PARA A PENEIRA PN-145A-9717"/>
    <m/>
    <m/>
    <m/>
    <s v="1450AA-T-70495_FL16"/>
    <n v="1"/>
    <s v="PÇ"/>
    <n v="0.78"/>
    <n v="0.78"/>
    <n v="1651.88"/>
    <n v="1288.4664"/>
    <n v="0"/>
    <n v="0.9"/>
    <n v="0.1"/>
    <m/>
    <m/>
    <x v="0"/>
    <m/>
    <m/>
    <m/>
    <m/>
    <m/>
    <m/>
    <m/>
    <m/>
    <m/>
    <m/>
    <m/>
    <m/>
    <m/>
    <m/>
    <m/>
    <m/>
    <m/>
  </r>
  <r>
    <s v="2.4.3.1.2"/>
    <s v="CMS M.60.10.000"/>
    <x v="2"/>
    <n v="7"/>
    <s v="CURVA"/>
    <n v="8"/>
    <x v="1"/>
    <s v="NÃO"/>
    <s v="NÃO"/>
    <x v="77"/>
    <x v="3"/>
    <s v="DISPOSIÇÃO DE REJEITOS LINHA DO CIRCUITO ULTRAFINO DISTRIBUIDOR DI-145A-9908 PARA A PENEIRA PN-145A-9717"/>
    <m/>
    <m/>
    <m/>
    <s v="1450AA-T-70495_FL20"/>
    <n v="1"/>
    <s v="PÇ"/>
    <n v="0.61099999999999999"/>
    <n v="0.61099999999999999"/>
    <n v="1651.88"/>
    <n v="1009.29868"/>
    <n v="0"/>
    <n v="0.9"/>
    <n v="0.1"/>
    <m/>
    <m/>
    <x v="0"/>
    <m/>
    <m/>
    <m/>
    <m/>
    <m/>
    <m/>
    <m/>
    <m/>
    <m/>
    <m/>
    <m/>
    <m/>
    <m/>
    <m/>
    <m/>
    <m/>
    <m/>
  </r>
  <r>
    <s v="2.4.3.1.2"/>
    <s v="CMS M.60.10.000"/>
    <x v="2"/>
    <n v="8"/>
    <s v="SPOOL"/>
    <n v="8"/>
    <x v="1"/>
    <s v="NÃO"/>
    <s v="NÃO"/>
    <x v="77"/>
    <x v="3"/>
    <s v="DISPOSIÇÃO DE REJEITOS LINHA DO CIRCUITO ULTRAFINO DISTRIBUIDOR DI-145A-9908 PARA A PENEIRA PN-145A-9717"/>
    <m/>
    <m/>
    <m/>
    <s v="1450AA-T-70495_FL12"/>
    <n v="1"/>
    <s v="PÇ"/>
    <n v="1.17"/>
    <n v="1.17"/>
    <n v="1651.88"/>
    <n v="1932.6995999999999"/>
    <n v="0"/>
    <n v="0.9"/>
    <n v="0.1"/>
    <m/>
    <m/>
    <x v="0"/>
    <m/>
    <m/>
    <m/>
    <m/>
    <m/>
    <m/>
    <m/>
    <m/>
    <m/>
    <m/>
    <m/>
    <m/>
    <m/>
    <m/>
    <m/>
    <m/>
    <m/>
  </r>
  <r>
    <s v="2.4.3.1.2"/>
    <s v="CMS M.60.10.000"/>
    <x v="2"/>
    <n v="9"/>
    <s v="CURVA"/>
    <n v="8"/>
    <x v="1"/>
    <s v="NÃO"/>
    <s v="NÃO"/>
    <x v="77"/>
    <x v="3"/>
    <s v="DISPOSIÇÃO DE REJEITOS LINHA DO CIRCUITO ULTRAFINO DISTRIBUIDOR DI-145A-9908 PARA A PENEIRA PN-145A-9717"/>
    <m/>
    <m/>
    <m/>
    <s v="1450AA-T-70495_FL18"/>
    <n v="1"/>
    <s v="PÇ"/>
    <n v="0.54200000000000004"/>
    <n v="0.54200000000000004"/>
    <n v="1651.88"/>
    <n v="895.31896000000017"/>
    <n v="0"/>
    <n v="0.9"/>
    <n v="0.1"/>
    <m/>
    <m/>
    <x v="0"/>
    <m/>
    <m/>
    <m/>
    <m/>
    <m/>
    <m/>
    <m/>
    <m/>
    <m/>
    <m/>
    <m/>
    <m/>
    <m/>
    <m/>
    <m/>
    <m/>
    <m/>
  </r>
  <r>
    <s v="2.4.3.1.2"/>
    <s v="CMS M.60.10.000"/>
    <x v="2"/>
    <n v="9"/>
    <s v="CURVA"/>
    <n v="8"/>
    <x v="1"/>
    <s v="NÃO"/>
    <s v="NÃO"/>
    <x v="77"/>
    <x v="3"/>
    <s v="DISPOSIÇÃO DE REJEITOS LINHA DO CIRCUITO ULTRAFINO DISTRIBUIDOR DI-145A-9908 PARA A PENEIRA PN-145A-9717"/>
    <m/>
    <m/>
    <m/>
    <s v="1450AA-T-70495_FL18"/>
    <n v="1"/>
    <s v="PÇ"/>
    <n v="0.54200000000000004"/>
    <n v="0.54200000000000004"/>
    <n v="1651.88"/>
    <n v="895.31896000000017"/>
    <n v="0"/>
    <n v="0.9"/>
    <n v="0.1"/>
    <m/>
    <m/>
    <x v="0"/>
    <m/>
    <m/>
    <m/>
    <m/>
    <m/>
    <m/>
    <m/>
    <m/>
    <m/>
    <m/>
    <m/>
    <m/>
    <m/>
    <m/>
    <m/>
    <m/>
    <m/>
  </r>
  <r>
    <s v="2.4.3.1.1"/>
    <s v="CMS M.60.10.000"/>
    <x v="2"/>
    <n v="11"/>
    <s v="SPOOL"/>
    <s v="8 X 6"/>
    <x v="1"/>
    <s v="NÃO"/>
    <s v="NÃO"/>
    <x v="77"/>
    <x v="3"/>
    <s v="DISPOSIÇÃO DE REJEITOS LINHA DO CIRCUITO ULTRAFINO DISTRIBUIDOR DI-145A-9908 PARA A PENEIRA PN-145A-9717"/>
    <m/>
    <m/>
    <m/>
    <s v="1450AA-T-70495_FL09"/>
    <n v="1"/>
    <s v="PÇ"/>
    <n v="2.2999999999999998"/>
    <n v="2.2999999999999998"/>
    <n v="1169.77"/>
    <n v="2690.4709999999995"/>
    <n v="0"/>
    <n v="0.9"/>
    <n v="0.1"/>
    <m/>
    <m/>
    <x v="0"/>
    <m/>
    <m/>
    <m/>
    <m/>
    <m/>
    <m/>
    <m/>
    <m/>
    <m/>
    <m/>
    <m/>
    <m/>
    <m/>
    <m/>
    <m/>
    <m/>
    <m/>
  </r>
  <r>
    <s v="2.4.3.1.1"/>
    <s v="CMS M.60.10.000"/>
    <x v="2"/>
    <n v="12"/>
    <s v="FLANGE"/>
    <n v="6"/>
    <x v="1"/>
    <s v="NÃO"/>
    <s v="NÃO"/>
    <x v="77"/>
    <x v="3"/>
    <s v="DISPOSIÇÃO DE REJEITOS LINHA DO CIRCUITO ULTRAFINO DISTRIBUIDOR DI-145A-9908 PARA A PENEIRA PN-145A-9717"/>
    <m/>
    <m/>
    <m/>
    <s v="1450AA-T-70495_FL08"/>
    <n v="2"/>
    <s v="PÇ"/>
    <n v="0"/>
    <n v="0"/>
    <n v="1169.77"/>
    <n v="0"/>
    <n v="0"/>
    <n v="0.9"/>
    <n v="0.1"/>
    <m/>
    <m/>
    <x v="0"/>
    <m/>
    <m/>
    <m/>
    <m/>
    <m/>
    <m/>
    <m/>
    <m/>
    <m/>
    <m/>
    <m/>
    <m/>
    <m/>
    <m/>
    <m/>
    <m/>
    <m/>
  </r>
  <r>
    <s v="2.4.3.1.3"/>
    <s v="CMS M.60.10.000"/>
    <x v="2"/>
    <n v="1"/>
    <s v="SPOOL"/>
    <n v="10"/>
    <x v="1"/>
    <s v="NÃO"/>
    <s v="NÃO"/>
    <x v="78"/>
    <x v="1"/>
    <s v="DISPOSIÇÃO DE REJEITOS LINHA DE BYPASS DAS PENEIRAS LINHA DO SEPARADOR MAGNÉTICO SM-143A-9601 P/ TANQUE TQ-142A-9701 ( BYPASS DAS PENEIRAS PN-143A-9701/9721 )"/>
    <m/>
    <m/>
    <m/>
    <s v="1450AA-T-70500_FL11"/>
    <n v="1"/>
    <s v="PÇ"/>
    <n v="1"/>
    <n v="1"/>
    <n v="2238.89"/>
    <n v="2238.89"/>
    <n v="0"/>
    <n v="0.9"/>
    <n v="0.1"/>
    <m/>
    <m/>
    <x v="0"/>
    <m/>
    <m/>
    <m/>
    <m/>
    <m/>
    <m/>
    <m/>
    <m/>
    <m/>
    <m/>
    <m/>
    <m/>
    <m/>
    <m/>
    <m/>
    <m/>
    <m/>
  </r>
  <r>
    <s v="2.4.3.1.3"/>
    <s v="CMS M.60.10.000"/>
    <x v="2"/>
    <n v="2"/>
    <s v="SPOOL"/>
    <n v="10"/>
    <x v="1"/>
    <s v="NÃO"/>
    <s v="NÃO"/>
    <x v="78"/>
    <x v="1"/>
    <s v="DISPOSIÇÃO DE REJEITOS LINHA DE BYPASS DAS PENEIRAS LINHA DO SEPARADOR MAGNÉTICO SM-143A-9601 P/ TANQUE TQ-142A-9701 ( BYPASS DAS PENEIRAS PN-143A-9701/9721 )"/>
    <m/>
    <m/>
    <m/>
    <s v="1450AA-T-70500_FL12"/>
    <n v="1"/>
    <s v="PÇ"/>
    <n v="1.49"/>
    <n v="1.49"/>
    <n v="2238.89"/>
    <n v="3335.9460999999997"/>
    <n v="0"/>
    <n v="0.9"/>
    <n v="0.1"/>
    <m/>
    <m/>
    <x v="0"/>
    <m/>
    <m/>
    <m/>
    <m/>
    <m/>
    <m/>
    <m/>
    <m/>
    <m/>
    <m/>
    <m/>
    <m/>
    <m/>
    <m/>
    <m/>
    <m/>
    <m/>
  </r>
  <r>
    <s v="2.4.3.1.3"/>
    <s v="CMS M.60.10.000"/>
    <x v="2"/>
    <n v="3"/>
    <s v="SPOOL"/>
    <n v="10"/>
    <x v="1"/>
    <s v="NÃO"/>
    <s v="NÃO"/>
    <x v="78"/>
    <x v="1"/>
    <s v="DISPOSIÇÃO DE REJEITOS LINHA DE BYPASS DAS PENEIRAS LINHA DO SEPARADOR MAGNÉTICO SM-143A-9601 P/ TANQUE TQ-142A-9701 ( BYPASS DAS PENEIRAS PN-143A-9701/9721 )"/>
    <m/>
    <m/>
    <m/>
    <s v="1450AA-T-70500_FL13"/>
    <n v="1"/>
    <s v="PÇ"/>
    <n v="6"/>
    <n v="6"/>
    <n v="2238.89"/>
    <n v="13433.34"/>
    <n v="0"/>
    <n v="0.9"/>
    <n v="0.1"/>
    <m/>
    <m/>
    <x v="0"/>
    <m/>
    <m/>
    <m/>
    <m/>
    <m/>
    <m/>
    <m/>
    <m/>
    <m/>
    <m/>
    <m/>
    <m/>
    <m/>
    <m/>
    <m/>
    <m/>
    <m/>
  </r>
  <r>
    <s v="2.4.3.1.3"/>
    <s v="CMS M.60.10.000"/>
    <x v="2"/>
    <n v="4"/>
    <s v="SPOOL"/>
    <n v="10"/>
    <x v="1"/>
    <s v="NÃO"/>
    <s v="NÃO"/>
    <x v="78"/>
    <x v="1"/>
    <s v="DISPOSIÇÃO DE REJEITOS LINHA DE BYPASS DAS PENEIRAS LINHA DO SEPARADOR MAGNÉTICO SM-143A-9601 P/ TANQUE TQ-142A-9701 ( BYPASS DAS PENEIRAS PN-143A-9701/9721 )"/>
    <m/>
    <m/>
    <m/>
    <s v="1450AA-T-70500_FL14"/>
    <n v="1"/>
    <s v="PÇ"/>
    <n v="3"/>
    <n v="3"/>
    <n v="2238.89"/>
    <n v="6716.67"/>
    <n v="0"/>
    <n v="0.9"/>
    <n v="0.1"/>
    <m/>
    <m/>
    <x v="0"/>
    <m/>
    <m/>
    <m/>
    <m/>
    <m/>
    <m/>
    <m/>
    <m/>
    <m/>
    <m/>
    <m/>
    <m/>
    <m/>
    <m/>
    <m/>
    <m/>
    <m/>
  </r>
  <r>
    <s v="2.4.3.1.3"/>
    <s v="CMS M.60.10.000"/>
    <x v="2"/>
    <n v="5"/>
    <s v="SPOOL"/>
    <n v="10"/>
    <x v="1"/>
    <s v="NÃO"/>
    <s v="NÃO"/>
    <x v="78"/>
    <x v="1"/>
    <s v="DISPOSIÇÃO DE REJEITOS LINHA DE BYPASS DAS PENEIRAS LINHA DO SEPARADOR MAGNÉTICO SM-143A-9601 P/ TANQUE TQ-142A-9701 ( BYPASS DAS PENEIRAS PN-143A-9701/9721 )"/>
    <m/>
    <m/>
    <m/>
    <s v="1450AA-T-70500_FL16"/>
    <n v="1"/>
    <s v="PÇ"/>
    <n v="2.8"/>
    <n v="2.8"/>
    <n v="2238.89"/>
    <n v="6268.8919999999989"/>
    <n v="0"/>
    <n v="0.9"/>
    <n v="0.1"/>
    <m/>
    <m/>
    <x v="0"/>
    <m/>
    <m/>
    <m/>
    <m/>
    <m/>
    <m/>
    <m/>
    <m/>
    <m/>
    <m/>
    <m/>
    <m/>
    <m/>
    <m/>
    <m/>
    <m/>
    <m/>
  </r>
  <r>
    <s v="2.4.3.1.3"/>
    <s v="CMS M.60.10.000"/>
    <x v="2"/>
    <n v="6"/>
    <s v="SPOOL"/>
    <n v="10"/>
    <x v="1"/>
    <s v="NÃO"/>
    <s v="NÃO"/>
    <x v="78"/>
    <x v="1"/>
    <s v="DISPOSIÇÃO DE REJEITOS LINHA DE BYPASS DAS PENEIRAS LINHA DO SEPARADOR MAGNÉTICO SM-143A-9601 P/ TANQUE TQ-142A-9701 ( BYPASS DAS PENEIRAS PN-143A-9701/9721 )"/>
    <m/>
    <m/>
    <m/>
    <s v="1450AA-T-70500_FL17"/>
    <n v="1"/>
    <s v="PÇ"/>
    <n v="2.5"/>
    <n v="2.5"/>
    <n v="2238.89"/>
    <n v="5597.2249999999995"/>
    <n v="0"/>
    <n v="0.9"/>
    <n v="0.1"/>
    <m/>
    <m/>
    <x v="0"/>
    <m/>
    <m/>
    <m/>
    <m/>
    <m/>
    <m/>
    <m/>
    <m/>
    <m/>
    <m/>
    <m/>
    <m/>
    <m/>
    <m/>
    <m/>
    <m/>
    <m/>
  </r>
  <r>
    <s v="2.4.3.1.3"/>
    <s v="CMS M.60.10.000"/>
    <x v="2"/>
    <n v="7"/>
    <s v="SPOOL"/>
    <n v="10"/>
    <x v="2"/>
    <s v="NÃO"/>
    <s v="NÃO"/>
    <x v="78"/>
    <x v="1"/>
    <s v="DISPOSIÇÃO DE REJEITOS LINHA DE BYPASS DAS PENEIRAS LINHA DO SEPARADOR MAGNÉTICO SM-143A-9601 P/ TANQUE TQ-142A-9701 ( BYPASS DAS PENEIRAS PN-143A-9701/9721 )"/>
    <m/>
    <m/>
    <m/>
    <s v="1450AA-T-70500_FL19"/>
    <n v="1"/>
    <s v="PÇ"/>
    <n v="0.4"/>
    <n v="0.4"/>
    <n v="2238.89"/>
    <n v="895.55600000000004"/>
    <n v="0"/>
    <n v="0.9"/>
    <n v="0.1"/>
    <m/>
    <m/>
    <x v="0"/>
    <m/>
    <m/>
    <m/>
    <m/>
    <m/>
    <m/>
    <m/>
    <m/>
    <m/>
    <m/>
    <m/>
    <m/>
    <m/>
    <m/>
    <m/>
    <m/>
    <m/>
  </r>
  <r>
    <s v="2.4.3.1.3"/>
    <s v="CMS M.60.10.000"/>
    <x v="2"/>
    <n v="8"/>
    <s v="SPOOL"/>
    <n v="10"/>
    <x v="2"/>
    <s v="NÃO"/>
    <s v="NÃO"/>
    <x v="78"/>
    <x v="1"/>
    <s v="DISPOSIÇÃO DE REJEITOS LINHA DE BYPASS DAS PENEIRAS LINHA DO SEPARADOR MAGNÉTICO SM-143A-9601 P/ TANQUE TQ-142A-9701 ( BYPASS DAS PENEIRAS PN-143A-9701/9721 )"/>
    <m/>
    <m/>
    <m/>
    <s v="1450AA-T-70500_FL18"/>
    <n v="1"/>
    <s v="PÇ"/>
    <n v="0.45"/>
    <n v="0.45"/>
    <n v="2238.89"/>
    <n v="1007.5005"/>
    <n v="0"/>
    <n v="0.9"/>
    <n v="0.1"/>
    <m/>
    <m/>
    <x v="0"/>
    <m/>
    <m/>
    <m/>
    <m/>
    <m/>
    <m/>
    <m/>
    <m/>
    <m/>
    <m/>
    <m/>
    <m/>
    <m/>
    <m/>
    <m/>
    <m/>
    <m/>
  </r>
  <r>
    <s v="2.4.3.1.3"/>
    <s v="CMS M.60.10.000"/>
    <x v="2"/>
    <n v="9"/>
    <s v="CURVA"/>
    <n v="10"/>
    <x v="1"/>
    <s v="NÃO"/>
    <s v="NÃO"/>
    <x v="78"/>
    <x v="1"/>
    <s v="DISPOSIÇÃO DE REJEITOS LINHA DE BYPASS DAS PENEIRAS LINHA DO SEPARADOR MAGNÉTICO SM-143A-9601 P/ TANQUE TQ-142A-9701 ( BYPASS DAS PENEIRAS PN-143A-9701/9721 )"/>
    <m/>
    <m/>
    <m/>
    <s v="1450AA-T-70500_FL07"/>
    <n v="1"/>
    <s v="PÇ"/>
    <n v="0.67500000000000004"/>
    <n v="0.67500000000000004"/>
    <n v="2238.89"/>
    <n v="1511.2507499999999"/>
    <n v="0"/>
    <n v="0.9"/>
    <n v="0.1"/>
    <m/>
    <m/>
    <x v="0"/>
    <m/>
    <m/>
    <m/>
    <m/>
    <m/>
    <m/>
    <m/>
    <m/>
    <m/>
    <m/>
    <m/>
    <m/>
    <m/>
    <m/>
    <m/>
    <m/>
    <m/>
  </r>
  <r>
    <s v="2.4.3.1.3"/>
    <s v="CMS M.60.10.000"/>
    <x v="2"/>
    <n v="10"/>
    <s v="CURVA"/>
    <n v="10"/>
    <x v="1"/>
    <s v="NÃO"/>
    <s v="NÃO"/>
    <x v="78"/>
    <x v="1"/>
    <s v="DISPOSIÇÃO DE REJEITOS LINHA DE BYPASS DAS PENEIRAS LINHA DO SEPARADOR MAGNÉTICO SM-143A-9601 P/ TANQUE TQ-142A-9701 ( BYPASS DAS PENEIRAS PN-143A-9701/9721 )"/>
    <m/>
    <m/>
    <m/>
    <s v="1450AA-T-70500_FL06"/>
    <n v="1"/>
    <s v="PÇ"/>
    <n v="0.432"/>
    <n v="0.432"/>
    <n v="2238.89"/>
    <n v="967.20047999999997"/>
    <n v="0"/>
    <n v="0.9"/>
    <n v="0.1"/>
    <m/>
    <m/>
    <x v="0"/>
    <m/>
    <m/>
    <m/>
    <m/>
    <m/>
    <m/>
    <m/>
    <m/>
    <m/>
    <m/>
    <m/>
    <m/>
    <m/>
    <m/>
    <m/>
    <m/>
    <m/>
  </r>
  <r>
    <s v="2.4.3.1.3"/>
    <s v="CMS M.60.10.000"/>
    <x v="2"/>
    <n v="11"/>
    <s v="CURVA"/>
    <n v="10"/>
    <x v="1"/>
    <s v="NÃO"/>
    <s v="NÃO"/>
    <x v="78"/>
    <x v="1"/>
    <s v="DISPOSIÇÃO DE REJEITOS LINHA DE BYPASS DAS PENEIRAS LINHA DO SEPARADOR MAGNÉTICO SM-143A-9601 P/ TANQUE TQ-142A-9701 ( BYPASS DAS PENEIRAS PN-143A-9701/9721 )"/>
    <m/>
    <m/>
    <m/>
    <s v="1450AA-T-70500_FL08"/>
    <n v="1"/>
    <s v="PÇ"/>
    <n v="1.264"/>
    <n v="1.264"/>
    <n v="2238.89"/>
    <n v="2829.95696"/>
    <n v="0"/>
    <n v="0.9"/>
    <n v="0.1"/>
    <m/>
    <m/>
    <x v="0"/>
    <m/>
    <m/>
    <m/>
    <m/>
    <m/>
    <m/>
    <m/>
    <m/>
    <m/>
    <m/>
    <m/>
    <m/>
    <m/>
    <m/>
    <m/>
    <m/>
    <m/>
  </r>
  <r>
    <s v="2.4.3.1.3"/>
    <s v="CMS M.60.10.000"/>
    <x v="2"/>
    <n v="12"/>
    <s v="SPOOL"/>
    <n v="10"/>
    <x v="1"/>
    <s v="NÃO"/>
    <s v="NÃO"/>
    <x v="78"/>
    <x v="1"/>
    <s v="DISPOSIÇÃO DE REJEITOS LINHA DE BYPASS DAS PENEIRAS LINHA DO SEPARADOR MAGNÉTICO SM-143A-9601 P/ TANQUE TQ-142A-9701 ( BYPASS DAS PENEIRAS PN-143A-9701/9721 )"/>
    <m/>
    <m/>
    <m/>
    <s v="1450AA-T-70500_FL10"/>
    <n v="1"/>
    <s v="PÇ"/>
    <n v="1.302"/>
    <n v="1.302"/>
    <n v="2238.89"/>
    <n v="2915.03478"/>
    <n v="0"/>
    <n v="0.9"/>
    <n v="0.1"/>
    <m/>
    <m/>
    <x v="0"/>
    <m/>
    <m/>
    <m/>
    <m/>
    <m/>
    <m/>
    <m/>
    <m/>
    <m/>
    <m/>
    <m/>
    <m/>
    <m/>
    <m/>
    <m/>
    <m/>
    <m/>
  </r>
  <r>
    <s v="2.4.3.1.3"/>
    <s v="CMS M.60.10.000"/>
    <x v="2"/>
    <n v="13"/>
    <s v="SPOOL"/>
    <n v="10"/>
    <x v="1"/>
    <s v="NÃO"/>
    <s v="NÃO"/>
    <x v="78"/>
    <x v="1"/>
    <s v="DISPOSIÇÃO DE REJEITOS LINHA DE BYPASS DAS PENEIRAS LINHA DO SEPARADOR MAGNÉTICO SM-143A-9601 P/ TANQUE TQ-142A-9701 ( BYPASS DAS PENEIRAS PN-143A-9701/9721 )"/>
    <m/>
    <m/>
    <m/>
    <s v="1450AA-T-70500_FL09"/>
    <n v="1"/>
    <s v="PÇ"/>
    <n v="1.302"/>
    <n v="1.302"/>
    <n v="2238.89"/>
    <n v="2915.03478"/>
    <n v="0"/>
    <n v="0.9"/>
    <n v="0.1"/>
    <m/>
    <m/>
    <x v="0"/>
    <m/>
    <m/>
    <m/>
    <m/>
    <m/>
    <m/>
    <m/>
    <m/>
    <m/>
    <m/>
    <m/>
    <m/>
    <m/>
    <m/>
    <m/>
    <m/>
    <m/>
  </r>
  <r>
    <s v="2.4.3.1.3"/>
    <s v="CMS M.60.10.000"/>
    <x v="2"/>
    <n v="14"/>
    <s v="SPOOL"/>
    <n v="10"/>
    <x v="2"/>
    <s v="NÃO"/>
    <s v="NÃO"/>
    <x v="78"/>
    <x v="1"/>
    <s v="DISPOSIÇÃO DE REJEITOS LINHA DE BYPASS DAS PENEIRAS LINHA DO SEPARADOR MAGNÉTICO SM-143A-9601 P/ TANQUE TQ-142A-9701 ( BYPASS DAS PENEIRAS PN-143A-9701/9721 )"/>
    <m/>
    <m/>
    <m/>
    <s v="1450AA-T-70500_FL15"/>
    <n v="1"/>
    <s v="PÇ"/>
    <n v="0.35"/>
    <n v="0.35"/>
    <n v="2238.89"/>
    <n v="783.61149999999986"/>
    <n v="0"/>
    <n v="0.9"/>
    <n v="0.1"/>
    <m/>
    <m/>
    <x v="0"/>
    <m/>
    <m/>
    <m/>
    <m/>
    <m/>
    <m/>
    <m/>
    <m/>
    <m/>
    <m/>
    <m/>
    <m/>
    <m/>
    <m/>
    <m/>
    <m/>
    <m/>
  </r>
  <r>
    <s v="2.4.3.1.3"/>
    <s v="CMS M.60.10.000"/>
    <x v="2"/>
    <n v="1"/>
    <s v="SPOOL"/>
    <n v="10"/>
    <x v="1"/>
    <s v="NÃO"/>
    <s v="NÃO"/>
    <x v="79"/>
    <x v="1"/>
    <s v="DISPOSIÇÃO DE REJEITOS LINHA DE BYPASS DAS PENEIRAS LINHA DO SEPARADOR MAGNÉTICO SM-143A-9602 P/ TANQUE TQ-142A-9701 ( BYPASS DAS PENEIRAS PN-143A-9702/9722 )"/>
    <m/>
    <m/>
    <m/>
    <s v="1450AA-T-70502_FL11"/>
    <n v="1"/>
    <s v="PÇ"/>
    <n v="1.5"/>
    <n v="1.5"/>
    <n v="2238.89"/>
    <n v="3358.335"/>
    <n v="0"/>
    <n v="0.9"/>
    <n v="0.1"/>
    <m/>
    <m/>
    <x v="0"/>
    <m/>
    <m/>
    <m/>
    <m/>
    <m/>
    <m/>
    <m/>
    <m/>
    <m/>
    <m/>
    <m/>
    <m/>
    <m/>
    <m/>
    <m/>
    <m/>
    <m/>
  </r>
  <r>
    <s v="2.4.3.1.3"/>
    <s v="CMS M.60.10.000"/>
    <x v="2"/>
    <n v="2"/>
    <s v="SPOOL"/>
    <n v="10"/>
    <x v="1"/>
    <s v="NÃO"/>
    <s v="NÃO"/>
    <x v="79"/>
    <x v="1"/>
    <s v="DISPOSIÇÃO DE REJEITOS LINHA DE BYPASS DAS PENEIRAS LINHA DO SEPARADOR MAGNÉTICO SM-143A-9602 P/ TANQUE TQ-142A-9701 ( BYPASS DAS PENEIRAS PN-143A-9702/9722 )"/>
    <m/>
    <m/>
    <m/>
    <s v="1450AA-T-70502_FL12"/>
    <n v="1"/>
    <s v="PÇ"/>
    <n v="2.0150000000000001"/>
    <n v="2.0150000000000001"/>
    <n v="2238.89"/>
    <n v="4511.3633499999996"/>
    <n v="0"/>
    <n v="0.9"/>
    <n v="0.1"/>
    <m/>
    <m/>
    <x v="0"/>
    <m/>
    <m/>
    <m/>
    <m/>
    <m/>
    <m/>
    <m/>
    <m/>
    <m/>
    <m/>
    <m/>
    <m/>
    <m/>
    <m/>
    <m/>
    <m/>
    <m/>
  </r>
  <r>
    <s v="2.4.3.1.3"/>
    <s v="CMS M.60.10.000"/>
    <x v="2"/>
    <n v="3"/>
    <s v="SPOOL"/>
    <n v="10"/>
    <x v="1"/>
    <s v="NÃO"/>
    <s v="NÃO"/>
    <x v="79"/>
    <x v="1"/>
    <s v="DISPOSIÇÃO DE REJEITOS LINHA DE BYPASS DAS PENEIRAS LINHA DO SEPARADOR MAGNÉTICO SM-143A-9602 P/ TANQUE TQ-142A-9701 ( BYPASS DAS PENEIRAS PN-143A-9702/9722 )"/>
    <m/>
    <m/>
    <m/>
    <s v="1450AA-T-70502_FL16"/>
    <n v="1"/>
    <s v="PÇ"/>
    <n v="6"/>
    <n v="6"/>
    <n v="2238.89"/>
    <n v="13433.34"/>
    <n v="0"/>
    <n v="0.9"/>
    <n v="0.1"/>
    <m/>
    <m/>
    <x v="0"/>
    <m/>
    <m/>
    <m/>
    <m/>
    <m/>
    <m/>
    <m/>
    <m/>
    <m/>
    <m/>
    <m/>
    <m/>
    <m/>
    <m/>
    <m/>
    <m/>
    <m/>
  </r>
  <r>
    <s v="2.4.3.1.3"/>
    <s v="CMS M.60.10.000"/>
    <x v="2"/>
    <n v="4"/>
    <s v="SPOOL"/>
    <n v="10"/>
    <x v="1"/>
    <s v="NÃO"/>
    <s v="NÃO"/>
    <x v="79"/>
    <x v="1"/>
    <s v="DISPOSIÇÃO DE REJEITOS LINHA DE BYPASS DAS PENEIRAS LINHA DO SEPARADOR MAGNÉTICO SM-143A-9602 P/ TANQUE TQ-142A-9701 ( BYPASS DAS PENEIRAS PN-143A-9702/9722 )"/>
    <m/>
    <m/>
    <m/>
    <s v="1450AA-T-70502_FL15"/>
    <n v="1"/>
    <s v="PÇ"/>
    <n v="3"/>
    <n v="3"/>
    <n v="2238.89"/>
    <n v="6716.67"/>
    <n v="0"/>
    <n v="0.9"/>
    <n v="0.1"/>
    <m/>
    <m/>
    <x v="0"/>
    <m/>
    <m/>
    <m/>
    <m/>
    <m/>
    <m/>
    <m/>
    <m/>
    <m/>
    <m/>
    <m/>
    <m/>
    <m/>
    <m/>
    <m/>
    <m/>
    <m/>
  </r>
  <r>
    <s v="2.4.3.1.3"/>
    <s v="CMS M.60.10.000"/>
    <x v="2"/>
    <n v="5"/>
    <s v="SPOOL"/>
    <n v="10"/>
    <x v="1"/>
    <s v="NÃO"/>
    <s v="NÃO"/>
    <x v="79"/>
    <x v="1"/>
    <s v="DISPOSIÇÃO DE REJEITOS LINHA DE BYPASS DAS PENEIRAS LINHA DO SEPARADOR MAGNÉTICO SM-143A-9602 P/ TANQUE TQ-142A-9701 ( BYPASS DAS PENEIRAS PN-143A-9702/9722 )"/>
    <m/>
    <m/>
    <m/>
    <s v="1450AA-T-70502_FL14"/>
    <n v="1"/>
    <s v="PÇ"/>
    <n v="2.8"/>
    <n v="2.8"/>
    <n v="2238.89"/>
    <n v="6268.8919999999989"/>
    <n v="0"/>
    <n v="0.9"/>
    <n v="0.1"/>
    <m/>
    <m/>
    <x v="0"/>
    <m/>
    <m/>
    <m/>
    <m/>
    <m/>
    <m/>
    <m/>
    <m/>
    <m/>
    <m/>
    <m/>
    <m/>
    <m/>
    <m/>
    <m/>
    <m/>
    <m/>
  </r>
  <r>
    <s v="2.4.3.1.3"/>
    <s v="CMS M.60.10.000"/>
    <x v="2"/>
    <n v="6"/>
    <s v="SPOOL"/>
    <n v="10"/>
    <x v="1"/>
    <s v="NÃO"/>
    <s v="NÃO"/>
    <x v="79"/>
    <x v="1"/>
    <s v="DISPOSIÇÃO DE REJEITOS LINHA DE BYPASS DAS PENEIRAS LINHA DO SEPARADOR MAGNÉTICO SM-143A-9602 P/ TANQUE TQ-142A-9701 ( BYPASS DAS PENEIRAS PN-143A-9702/9722 )"/>
    <m/>
    <m/>
    <m/>
    <s v="1450AA-T-70502_FL13"/>
    <n v="1"/>
    <s v="PÇ"/>
    <n v="2.5"/>
    <n v="2.5"/>
    <n v="2238.89"/>
    <n v="5597.2249999999995"/>
    <n v="0"/>
    <n v="0.9"/>
    <n v="0.1"/>
    <m/>
    <m/>
    <x v="0"/>
    <m/>
    <m/>
    <m/>
    <m/>
    <m/>
    <m/>
    <m/>
    <m/>
    <m/>
    <m/>
    <m/>
    <m/>
    <m/>
    <m/>
    <m/>
    <m/>
    <m/>
  </r>
  <r>
    <s v="2.4.3.1.3"/>
    <s v="CMS M.60.10.000"/>
    <x v="2"/>
    <n v="7"/>
    <s v="SPOOL"/>
    <n v="10"/>
    <x v="2"/>
    <s v="NÃO"/>
    <s v="NÃO"/>
    <x v="79"/>
    <x v="1"/>
    <s v="DISPOSIÇÃO DE REJEITOS LINHA DE BYPASS DAS PENEIRAS LINHA DO SEPARADOR MAGNÉTICO SM-143A-9602 P/ TANQUE TQ-142A-9701 ( BYPASS DAS PENEIRAS PN-143A-9702/9722 )"/>
    <m/>
    <m/>
    <m/>
    <s v="1450AA-T-70502_FL17"/>
    <n v="1"/>
    <s v="PÇ"/>
    <n v="0.32"/>
    <n v="0.32"/>
    <n v="2238.89"/>
    <n v="716.44479999999999"/>
    <n v="0"/>
    <n v="0.9"/>
    <n v="0.1"/>
    <m/>
    <m/>
    <x v="0"/>
    <m/>
    <m/>
    <m/>
    <m/>
    <m/>
    <m/>
    <m/>
    <m/>
    <m/>
    <m/>
    <m/>
    <m/>
    <m/>
    <m/>
    <m/>
    <m/>
    <m/>
  </r>
  <r>
    <s v="2.4.3.1.3"/>
    <s v="CMS M.60.10.000"/>
    <x v="2"/>
    <n v="8"/>
    <s v="SPOOL"/>
    <n v="10"/>
    <x v="2"/>
    <s v="NÃO"/>
    <s v="NÃO"/>
    <x v="79"/>
    <x v="1"/>
    <s v="DISPOSIÇÃO DE REJEITOS LINHA DE BYPASS DAS PENEIRAS LINHA DO SEPARADOR MAGNÉTICO SM-143A-9602 P/ TANQUE TQ-142A-9701 ( BYPASS DAS PENEIRAS PN-143A-9702/9722 )"/>
    <m/>
    <m/>
    <m/>
    <s v="1450AA-T-70502_FL18"/>
    <n v="2"/>
    <s v="PÇ"/>
    <n v="0.48"/>
    <n v="0.96"/>
    <n v="2238.89"/>
    <n v="2149.3343999999997"/>
    <n v="0"/>
    <n v="0.9"/>
    <n v="0.1"/>
    <m/>
    <m/>
    <x v="0"/>
    <m/>
    <m/>
    <m/>
    <m/>
    <m/>
    <m/>
    <m/>
    <m/>
    <m/>
    <m/>
    <m/>
    <m/>
    <m/>
    <m/>
    <m/>
    <m/>
    <m/>
  </r>
  <r>
    <s v="2.4.3.1.3"/>
    <s v="CMS M.60.10.000"/>
    <x v="2"/>
    <n v="9"/>
    <s v="CURVA"/>
    <n v="10"/>
    <x v="1"/>
    <s v="NÃO"/>
    <s v="NÃO"/>
    <x v="79"/>
    <x v="1"/>
    <s v="DISPOSIÇÃO DE REJEITOS LINHA DE BYPASS DAS PENEIRAS LINHA DO SEPARADOR MAGNÉTICO SM-143A-9602 P/ TANQUE TQ-142A-9701 ( BYPASS DAS PENEIRAS PN-143A-9702/9722 )"/>
    <m/>
    <m/>
    <m/>
    <s v="1450AA-T-70502_FL07"/>
    <n v="1"/>
    <s v="PÇ"/>
    <n v="0.67500000000000004"/>
    <n v="0.67500000000000004"/>
    <n v="2238.89"/>
    <n v="1511.2507499999999"/>
    <n v="0"/>
    <n v="0.9"/>
    <n v="0.1"/>
    <m/>
    <m/>
    <x v="0"/>
    <m/>
    <m/>
    <m/>
    <m/>
    <m/>
    <m/>
    <m/>
    <m/>
    <m/>
    <m/>
    <m/>
    <m/>
    <m/>
    <m/>
    <m/>
    <m/>
    <m/>
  </r>
  <r>
    <s v="2.4.3.1.3"/>
    <s v="CMS M.60.10.000"/>
    <x v="2"/>
    <n v="10"/>
    <s v="CURVA"/>
    <n v="10"/>
    <x v="1"/>
    <s v="NÃO"/>
    <s v="NÃO"/>
    <x v="79"/>
    <x v="1"/>
    <s v="DISPOSIÇÃO DE REJEITOS LINHA DE BYPASS DAS PENEIRAS LINHA DO SEPARADOR MAGNÉTICO SM-143A-9602 P/ TANQUE TQ-142A-9701 ( BYPASS DAS PENEIRAS PN-143A-9702/9722 )"/>
    <m/>
    <m/>
    <m/>
    <s v="1450AA-T-70502_FL06"/>
    <n v="1"/>
    <s v="PÇ"/>
    <n v="0.432"/>
    <n v="0.432"/>
    <n v="2238.89"/>
    <n v="967.20047999999997"/>
    <n v="0"/>
    <n v="0.9"/>
    <n v="0.1"/>
    <m/>
    <m/>
    <x v="0"/>
    <m/>
    <m/>
    <m/>
    <m/>
    <m/>
    <m/>
    <m/>
    <m/>
    <m/>
    <m/>
    <m/>
    <m/>
    <m/>
    <m/>
    <m/>
    <m/>
    <m/>
  </r>
  <r>
    <s v="2.4.3.1.3"/>
    <s v="CMS M.60.10.000"/>
    <x v="2"/>
    <n v="11"/>
    <s v="CURVA"/>
    <n v="10"/>
    <x v="1"/>
    <s v="NÃO"/>
    <s v="NÃO"/>
    <x v="79"/>
    <x v="1"/>
    <s v="DISPOSIÇÃO DE REJEITOS LINHA DE BYPASS DAS PENEIRAS LINHA DO SEPARADOR MAGNÉTICO SM-143A-9602 P/ TANQUE TQ-142A-9701 ( BYPASS DAS PENEIRAS PN-143A-9702/9722 )"/>
    <m/>
    <m/>
    <m/>
    <s v="1450AA-T-70502_FL08"/>
    <n v="1"/>
    <s v="PÇ"/>
    <n v="1.264"/>
    <n v="1.264"/>
    <n v="2238.89"/>
    <n v="2829.95696"/>
    <n v="0"/>
    <n v="0.9"/>
    <n v="0.1"/>
    <m/>
    <m/>
    <x v="0"/>
    <m/>
    <m/>
    <m/>
    <m/>
    <m/>
    <m/>
    <m/>
    <m/>
    <m/>
    <m/>
    <m/>
    <m/>
    <m/>
    <m/>
    <m/>
    <m/>
    <m/>
  </r>
  <r>
    <s v="2.4.3.1.3"/>
    <s v="CMS M.60.10.000"/>
    <x v="2"/>
    <n v="12"/>
    <s v="SPOOL"/>
    <n v="10"/>
    <x v="1"/>
    <s v="NÃO"/>
    <s v="NÃO"/>
    <x v="79"/>
    <x v="1"/>
    <s v="DISPOSIÇÃO DE REJEITOS LINHA DE BYPASS DAS PENEIRAS LINHA DO SEPARADOR MAGNÉTICO SM-143A-9602 P/ TANQUE TQ-142A-9701 ( BYPASS DAS PENEIRAS PN-143A-9702/9722 )"/>
    <m/>
    <m/>
    <m/>
    <s v="1450AA-T-70502_FL10"/>
    <n v="1"/>
    <s v="PÇ"/>
    <n v="1.2949999999999999"/>
    <n v="1.2949999999999999"/>
    <n v="2238.89"/>
    <n v="2899.3625499999998"/>
    <n v="0"/>
    <n v="0.9"/>
    <n v="0.1"/>
    <m/>
    <m/>
    <x v="0"/>
    <m/>
    <m/>
    <m/>
    <m/>
    <m/>
    <m/>
    <m/>
    <m/>
    <m/>
    <m/>
    <m/>
    <m/>
    <m/>
    <m/>
    <m/>
    <m/>
    <m/>
  </r>
  <r>
    <s v="2.4.3.1.3"/>
    <s v="CMS M.60.10.000"/>
    <x v="2"/>
    <n v="13"/>
    <s v="SPOOL"/>
    <n v="10"/>
    <x v="1"/>
    <s v="NÃO"/>
    <s v="NÃO"/>
    <x v="79"/>
    <x v="1"/>
    <s v="DISPOSIÇÃO DE REJEITOS LINHA DE BYPASS DAS PENEIRAS LINHA DO SEPARADOR MAGNÉTICO SM-143A-9602 P/ TANQUE TQ-142A-9701 ( BYPASS DAS PENEIRAS PN-143A-9702/9722 )"/>
    <m/>
    <m/>
    <m/>
    <s v="1450AA-T-70502_FL09"/>
    <n v="1"/>
    <s v="PÇ"/>
    <n v="1.2849999999999999"/>
    <n v="1.2849999999999999"/>
    <n v="2238.89"/>
    <n v="2876.9736499999995"/>
    <n v="0"/>
    <n v="0.9"/>
    <n v="0.1"/>
    <m/>
    <m/>
    <x v="0"/>
    <m/>
    <m/>
    <m/>
    <m/>
    <m/>
    <m/>
    <m/>
    <m/>
    <m/>
    <m/>
    <m/>
    <m/>
    <m/>
    <m/>
    <m/>
    <m/>
    <m/>
  </r>
  <r>
    <s v="2.4.3.1.3"/>
    <s v="CMS M.60.10.000"/>
    <x v="2"/>
    <n v="1"/>
    <s v="SPOOL"/>
    <n v="10"/>
    <x v="1"/>
    <s v="NÃO"/>
    <s v="NÃO"/>
    <x v="80"/>
    <x v="1"/>
    <s v="DISPOSIÇÃO DE REJEITOS LINHA DE BYPASS DAS PENEIRAS LINHA DO SEPARADOR MAGNÉTICO SM-143A-9603 P/ TANQUE TQ-142A-9701 ( BYPASS DAS PENEIRAS PN-143A-9703/9723 )"/>
    <m/>
    <m/>
    <m/>
    <s v="1450AA-T-70504_FL12"/>
    <n v="1"/>
    <s v="PÇ"/>
    <n v="1.27"/>
    <n v="1.27"/>
    <n v="2238.89"/>
    <n v="2843.3903"/>
    <n v="0"/>
    <n v="0.9"/>
    <n v="0.1"/>
    <m/>
    <m/>
    <x v="0"/>
    <m/>
    <m/>
    <m/>
    <m/>
    <m/>
    <m/>
    <m/>
    <m/>
    <m/>
    <m/>
    <m/>
    <m/>
    <m/>
    <m/>
    <m/>
    <m/>
    <m/>
  </r>
  <r>
    <s v="2.4.3.1.3"/>
    <s v="CMS M.60.10.000"/>
    <x v="2"/>
    <n v="2"/>
    <s v="SPOOL"/>
    <n v="10"/>
    <x v="1"/>
    <s v="NÃO"/>
    <s v="NÃO"/>
    <x v="80"/>
    <x v="1"/>
    <s v="DISPOSIÇÃO DE REJEITOS LINHA DE BYPASS DAS PENEIRAS LINHA DO SEPARADOR MAGNÉTICO SM-143A-9603 P/ TANQUE TQ-142A-9701 ( BYPASS DAS PENEIRAS PN-143A-9703/9723 )"/>
    <m/>
    <m/>
    <m/>
    <s v="1450AA-T-70504_FL13"/>
    <n v="1"/>
    <s v="PÇ"/>
    <n v="3.14"/>
    <n v="3.14"/>
    <n v="2238.89"/>
    <n v="7030.1145999999999"/>
    <n v="0"/>
    <n v="0.9"/>
    <n v="0.1"/>
    <m/>
    <m/>
    <x v="0"/>
    <m/>
    <m/>
    <m/>
    <m/>
    <m/>
    <m/>
    <m/>
    <m/>
    <m/>
    <m/>
    <m/>
    <m/>
    <m/>
    <m/>
    <m/>
    <m/>
    <m/>
  </r>
  <r>
    <s v="2.4.3.1.3"/>
    <s v="CMS M.60.10.000"/>
    <x v="2"/>
    <n v="3"/>
    <s v="SPOOL"/>
    <n v="10"/>
    <x v="1"/>
    <s v="NÃO"/>
    <s v="NÃO"/>
    <x v="80"/>
    <x v="1"/>
    <s v="DISPOSIÇÃO DE REJEITOS LINHA DE BYPASS DAS PENEIRAS LINHA DO SEPARADOR MAGNÉTICO SM-143A-9603 P/ TANQUE TQ-142A-9701 ( BYPASS DAS PENEIRAS PN-143A-9703/9723 )"/>
    <m/>
    <m/>
    <m/>
    <s v="1450AA-T-70504_FL14"/>
    <n v="1"/>
    <s v="PÇ"/>
    <n v="3.5"/>
    <n v="3.5"/>
    <n v="2238.89"/>
    <n v="7836.1149999999998"/>
    <n v="0"/>
    <n v="0.9"/>
    <n v="0.1"/>
    <m/>
    <m/>
    <x v="0"/>
    <m/>
    <m/>
    <m/>
    <m/>
    <m/>
    <m/>
    <m/>
    <m/>
    <m/>
    <m/>
    <m/>
    <m/>
    <m/>
    <m/>
    <m/>
    <m/>
    <m/>
  </r>
  <r>
    <s v="2.4.3.1.3"/>
    <s v="CMS M.60.10.000"/>
    <x v="2"/>
    <n v="4"/>
    <s v="SPOOL"/>
    <n v="10"/>
    <x v="1"/>
    <s v="NÃO"/>
    <s v="NÃO"/>
    <x v="80"/>
    <x v="1"/>
    <s v="DISPOSIÇÃO DE REJEITOS LINHA DE BYPASS DAS PENEIRAS LINHA DO SEPARADOR MAGNÉTICO SM-143A-9603 P/ TANQUE TQ-142A-9701 ( BYPASS DAS PENEIRAS PN-143A-9703/9723 )"/>
    <m/>
    <m/>
    <m/>
    <s v="1450AA-T-70504_FL15"/>
    <n v="2"/>
    <s v="PÇ"/>
    <n v="6"/>
    <n v="12"/>
    <n v="2238.89"/>
    <n v="26866.68"/>
    <n v="0"/>
    <n v="0.9"/>
    <n v="0.1"/>
    <m/>
    <m/>
    <x v="0"/>
    <m/>
    <m/>
    <m/>
    <m/>
    <m/>
    <m/>
    <m/>
    <m/>
    <m/>
    <m/>
    <m/>
    <m/>
    <m/>
    <m/>
    <m/>
    <m/>
    <m/>
  </r>
  <r>
    <s v="2.4.3.1.3"/>
    <s v="CMS M.60.10.000"/>
    <x v="2"/>
    <n v="5"/>
    <s v="SPOOL"/>
    <n v="10"/>
    <x v="1"/>
    <s v="NÃO"/>
    <s v="NÃO"/>
    <x v="80"/>
    <x v="1"/>
    <s v="DISPOSIÇÃO DE REJEITOS LINHA DE BYPASS DAS PENEIRAS LINHA DO SEPARADOR MAGNÉTICO SM-143A-9603 P/ TANQUE TQ-142A-9701 ( BYPASS DAS PENEIRAS PN-143A-9703/9723 )"/>
    <m/>
    <m/>
    <m/>
    <s v="1450AA-T-70504_FL16"/>
    <n v="1"/>
    <s v="PÇ"/>
    <n v="2.9"/>
    <n v="2.9"/>
    <n v="2238.89"/>
    <n v="6492.780999999999"/>
    <n v="0"/>
    <n v="0.9"/>
    <n v="0.1"/>
    <m/>
    <m/>
    <x v="0"/>
    <m/>
    <m/>
    <m/>
    <m/>
    <m/>
    <m/>
    <m/>
    <m/>
    <m/>
    <m/>
    <m/>
    <m/>
    <m/>
    <m/>
    <m/>
    <m/>
    <m/>
  </r>
  <r>
    <s v="2.4.3.1.3"/>
    <s v="CMS M.60.10.000"/>
    <x v="2"/>
    <n v="6"/>
    <s v="SPOOL"/>
    <n v="10"/>
    <x v="1"/>
    <s v="NÃO"/>
    <s v="NÃO"/>
    <x v="80"/>
    <x v="1"/>
    <s v="DISPOSIÇÃO DE REJEITOS LINHA DE BYPASS DAS PENEIRAS LINHA DO SEPARADOR MAGNÉTICO SM-143A-9603 P/ TANQUE TQ-142A-9701 ( BYPASS DAS PENEIRAS PN-143A-9703/9723 )"/>
    <m/>
    <m/>
    <m/>
    <s v="1450AA-T-70504_FL17"/>
    <n v="1"/>
    <s v="PÇ"/>
    <n v="1.3"/>
    <n v="1.3"/>
    <n v="2238.89"/>
    <n v="2910.5569999999998"/>
    <n v="0"/>
    <n v="0.9"/>
    <n v="0.1"/>
    <m/>
    <m/>
    <x v="0"/>
    <m/>
    <m/>
    <m/>
    <m/>
    <m/>
    <m/>
    <m/>
    <m/>
    <m/>
    <m/>
    <m/>
    <m/>
    <m/>
    <m/>
    <m/>
    <m/>
    <m/>
  </r>
  <r>
    <s v="2.4.3.1.3"/>
    <s v="CMS M.60.10.000"/>
    <x v="2"/>
    <n v="7"/>
    <s v="SPOOL"/>
    <n v="10"/>
    <x v="1"/>
    <s v="NÃO"/>
    <s v="NÃO"/>
    <x v="80"/>
    <x v="1"/>
    <s v="DISPOSIÇÃO DE REJEITOS LINHA DE BYPASS DAS PENEIRAS LINHA DO SEPARADOR MAGNÉTICO SM-143A-9603 P/ TANQUE TQ-142A-9701 ( BYPASS DAS PENEIRAS PN-143A-9703/9723 )"/>
    <m/>
    <m/>
    <m/>
    <s v="1450AA-T-70504_FL18"/>
    <n v="1"/>
    <s v="PÇ"/>
    <n v="0.5"/>
    <n v="0.5"/>
    <n v="2238.89"/>
    <n v="1119.4449999999999"/>
    <n v="0"/>
    <n v="0.9"/>
    <n v="0.1"/>
    <m/>
    <m/>
    <x v="0"/>
    <m/>
    <m/>
    <m/>
    <m/>
    <m/>
    <m/>
    <m/>
    <m/>
    <m/>
    <m/>
    <m/>
    <m/>
    <m/>
    <m/>
    <m/>
    <m/>
    <m/>
  </r>
  <r>
    <s v="2.4.3.1.3"/>
    <s v="CMS M.60.10.000"/>
    <x v="2"/>
    <n v="8"/>
    <s v="SPOOL"/>
    <n v="10"/>
    <x v="1"/>
    <s v="NÃO"/>
    <s v="NÃO"/>
    <x v="80"/>
    <x v="1"/>
    <s v="DISPOSIÇÃO DE REJEITOS LINHA DE BYPASS DAS PENEIRAS LINHA DO SEPARADOR MAGNÉTICO SM-143A-9603 P/ TANQUE TQ-142A-9701 ( BYPASS DAS PENEIRAS PN-143A-9703/9723 )"/>
    <m/>
    <m/>
    <m/>
    <s v="1450AA-T-70504_FL19"/>
    <n v="1"/>
    <s v="PÇ"/>
    <n v="0.7"/>
    <n v="0.7"/>
    <n v="2238.89"/>
    <n v="1567.2229999999997"/>
    <n v="0"/>
    <n v="0.9"/>
    <n v="0.1"/>
    <m/>
    <m/>
    <x v="0"/>
    <m/>
    <m/>
    <m/>
    <m/>
    <m/>
    <m/>
    <m/>
    <m/>
    <m/>
    <m/>
    <m/>
    <m/>
    <m/>
    <m/>
    <m/>
    <m/>
    <m/>
  </r>
  <r>
    <s v="2.4.3.1.3"/>
    <s v="CMS M.60.10.000"/>
    <x v="2"/>
    <n v="9"/>
    <s v="SPOOL"/>
    <n v="10"/>
    <x v="2"/>
    <s v="NÃO"/>
    <s v="NÃO"/>
    <x v="80"/>
    <x v="1"/>
    <s v="DISPOSIÇÃO DE REJEITOS LINHA DE BYPASS DAS PENEIRAS LINHA DO SEPARADOR MAGNÉTICO SM-143A-9603 P/ TANQUE TQ-142A-9701 ( BYPASS DAS PENEIRAS PN-143A-9703/9723 )"/>
    <m/>
    <m/>
    <m/>
    <s v="1450AA-T-70504_FL21"/>
    <n v="1"/>
    <s v="PÇ"/>
    <n v="0.53"/>
    <n v="0.53"/>
    <n v="2238.89"/>
    <n v="1186.6116999999999"/>
    <n v="0"/>
    <n v="0.9"/>
    <n v="0.1"/>
    <m/>
    <m/>
    <x v="0"/>
    <m/>
    <m/>
    <m/>
    <m/>
    <m/>
    <m/>
    <m/>
    <m/>
    <m/>
    <m/>
    <m/>
    <m/>
    <m/>
    <m/>
    <m/>
    <m/>
    <m/>
  </r>
  <r>
    <s v="2.4.3.1.3"/>
    <s v="CMS M.60.10.000"/>
    <x v="2"/>
    <n v="10"/>
    <s v="SPOOL"/>
    <n v="10"/>
    <x v="2"/>
    <s v="NÃO"/>
    <s v="NÃO"/>
    <x v="80"/>
    <x v="1"/>
    <s v="DISPOSIÇÃO DE REJEITOS LINHA DE BYPASS DAS PENEIRAS LINHA DO SEPARADOR MAGNÉTICO SM-143A-9603 P/ TANQUE TQ-142A-9701 ( BYPASS DAS PENEIRAS PN-143A-9703/9723 )"/>
    <m/>
    <m/>
    <m/>
    <s v="1450AA-T-70504_FL20"/>
    <n v="1"/>
    <s v="PÇ"/>
    <n v="0.41"/>
    <n v="0.41"/>
    <n v="2238.89"/>
    <n v="917.94489999999985"/>
    <n v="0"/>
    <n v="0.9"/>
    <n v="0.1"/>
    <m/>
    <m/>
    <x v="0"/>
    <m/>
    <m/>
    <m/>
    <m/>
    <m/>
    <m/>
    <m/>
    <m/>
    <m/>
    <m/>
    <m/>
    <m/>
    <m/>
    <m/>
    <m/>
    <m/>
    <m/>
  </r>
  <r>
    <s v="2.4.3.1.3"/>
    <s v="CMS M.60.10.000"/>
    <x v="2"/>
    <n v="11"/>
    <s v="SPOOL"/>
    <n v="10"/>
    <x v="2"/>
    <s v="NÃO"/>
    <s v="NÃO"/>
    <x v="80"/>
    <x v="1"/>
    <s v="DISPOSIÇÃO DE REJEITOS LINHA DE BYPASS DAS PENEIRAS LINHA DO SEPARADOR MAGNÉTICO SM-143A-9603 P/ TANQUE TQ-142A-9701 ( BYPASS DAS PENEIRAS PN-143A-9703/9723 )"/>
    <m/>
    <m/>
    <m/>
    <s v="1450AA-T-70504_FL22"/>
    <n v="1"/>
    <s v="PÇ"/>
    <n v="0.35"/>
    <n v="0.35"/>
    <n v="2238.89"/>
    <n v="783.61149999999986"/>
    <n v="0"/>
    <n v="0.9"/>
    <n v="0.1"/>
    <m/>
    <m/>
    <x v="0"/>
    <m/>
    <m/>
    <m/>
    <m/>
    <m/>
    <m/>
    <m/>
    <m/>
    <m/>
    <m/>
    <m/>
    <m/>
    <m/>
    <m/>
    <m/>
    <m/>
    <m/>
  </r>
  <r>
    <s v="2.4.3.1.3"/>
    <s v="CMS M.60.10.000"/>
    <x v="2"/>
    <n v="12"/>
    <s v="CURVA"/>
    <n v="10"/>
    <x v="1"/>
    <s v="NÃO"/>
    <s v="NÃO"/>
    <x v="80"/>
    <x v="1"/>
    <s v="DISPOSIÇÃO DE REJEITOS LINHA DE BYPASS DAS PENEIRAS LINHA DO SEPARADOR MAGNÉTICO SM-143A-9603 P/ TANQUE TQ-142A-9701 ( BYPASS DAS PENEIRAS PN-143A-9703/9723 )"/>
    <m/>
    <m/>
    <m/>
    <s v="1450AA-T-70504_FL06"/>
    <n v="1"/>
    <s v="PÇ"/>
    <n v="1.06"/>
    <n v="1.06"/>
    <n v="2238.89"/>
    <n v="2373.2233999999999"/>
    <n v="0"/>
    <n v="0.9"/>
    <n v="0.1"/>
    <m/>
    <m/>
    <x v="0"/>
    <m/>
    <m/>
    <m/>
    <m/>
    <m/>
    <m/>
    <m/>
    <m/>
    <m/>
    <m/>
    <m/>
    <m/>
    <m/>
    <m/>
    <m/>
    <m/>
    <m/>
  </r>
  <r>
    <s v="2.4.3.1.3"/>
    <s v="CMS M.60.10.000"/>
    <x v="2"/>
    <n v="13"/>
    <s v="CURVA"/>
    <n v="10"/>
    <x v="1"/>
    <s v="NÃO"/>
    <s v="NÃO"/>
    <x v="80"/>
    <x v="1"/>
    <s v="DISPOSIÇÃO DE REJEITOS LINHA DE BYPASS DAS PENEIRAS LINHA DO SEPARADOR MAGNÉTICO SM-143A-9603 P/ TANQUE TQ-142A-9701 ( BYPASS DAS PENEIRAS PN-143A-9703/9723 )"/>
    <m/>
    <m/>
    <m/>
    <s v="1450AA-T-70504_FL09"/>
    <n v="1"/>
    <s v="PÇ"/>
    <n v="0.432"/>
    <n v="0.432"/>
    <n v="2238.89"/>
    <n v="967.20047999999997"/>
    <n v="0"/>
    <n v="0.9"/>
    <n v="0.1"/>
    <m/>
    <m/>
    <x v="0"/>
    <m/>
    <m/>
    <m/>
    <m/>
    <m/>
    <m/>
    <m/>
    <m/>
    <m/>
    <m/>
    <m/>
    <m/>
    <m/>
    <m/>
    <m/>
    <m/>
    <m/>
  </r>
  <r>
    <s v="2.4.3.1.3"/>
    <s v="CMS M.60.10.000"/>
    <x v="2"/>
    <n v="14"/>
    <s v="CURVA"/>
    <n v="10"/>
    <x v="1"/>
    <s v="NÃO"/>
    <s v="NÃO"/>
    <x v="80"/>
    <x v="1"/>
    <s v="DISPOSIÇÃO DE REJEITOS LINHA DE BYPASS DAS PENEIRAS LINHA DO SEPARADOR MAGNÉTICO SM-143A-9603 P/ TANQUE TQ-142A-9701 ( BYPASS DAS PENEIRAS PN-143A-9703/9723 )"/>
    <m/>
    <m/>
    <m/>
    <s v="1450AA-T-70504_FL08"/>
    <n v="1"/>
    <s v="PÇ"/>
    <n v="0.85699999999999998"/>
    <n v="0.85699999999999998"/>
    <n v="2238.89"/>
    <n v="1918.7287299999998"/>
    <n v="0"/>
    <n v="0.9"/>
    <n v="0.1"/>
    <m/>
    <m/>
    <x v="0"/>
    <m/>
    <m/>
    <m/>
    <m/>
    <m/>
    <m/>
    <m/>
    <m/>
    <m/>
    <m/>
    <m/>
    <m/>
    <m/>
    <m/>
    <m/>
    <m/>
    <m/>
  </r>
  <r>
    <s v="2.4.3.1.3"/>
    <s v="CMS M.60.10.000"/>
    <x v="2"/>
    <n v="15"/>
    <s v="CURVA"/>
    <n v="10"/>
    <x v="1"/>
    <s v="NÃO"/>
    <s v="NÃO"/>
    <x v="80"/>
    <x v="1"/>
    <s v="DISPOSIÇÃO DE REJEITOS LINHA DE BYPASS DAS PENEIRAS LINHA DO SEPARADOR MAGNÉTICO SM-143A-9603 P/ TANQUE TQ-142A-9701 ( BYPASS DAS PENEIRAS PN-143A-9703/9723 )"/>
    <m/>
    <m/>
    <m/>
    <s v="1450AA-T-70504_FL07"/>
    <n v="1"/>
    <s v="PÇ"/>
    <n v="1.1299999999999999"/>
    <n v="1.1299999999999999"/>
    <n v="2238.89"/>
    <n v="2529.9456999999998"/>
    <n v="0"/>
    <n v="0.9"/>
    <n v="0.1"/>
    <m/>
    <m/>
    <x v="0"/>
    <m/>
    <m/>
    <m/>
    <m/>
    <m/>
    <m/>
    <m/>
    <m/>
    <m/>
    <m/>
    <m/>
    <m/>
    <m/>
    <m/>
    <m/>
    <m/>
    <m/>
  </r>
  <r>
    <s v="2.4.3.1.3"/>
    <s v="CMS M.60.10.000"/>
    <x v="2"/>
    <n v="16"/>
    <s v="SPOOL"/>
    <n v="10"/>
    <x v="1"/>
    <s v="NÃO"/>
    <s v="NÃO"/>
    <x v="80"/>
    <x v="1"/>
    <s v="DISPOSIÇÃO DE REJEITOS LINHA DE BYPASS DAS PENEIRAS LINHA DO SEPARADOR MAGNÉTICO SM-143A-9603 P/ TANQUE TQ-142A-9701 ( BYPASS DAS PENEIRAS PN-143A-9703/9723 )"/>
    <m/>
    <m/>
    <m/>
    <s v="1450AA-T-70504_FL10"/>
    <n v="1"/>
    <s v="PÇ"/>
    <n v="1.22"/>
    <n v="1.22"/>
    <n v="2238.89"/>
    <n v="2731.4458"/>
    <n v="0"/>
    <n v="0.9"/>
    <n v="0.1"/>
    <m/>
    <m/>
    <x v="0"/>
    <m/>
    <m/>
    <m/>
    <m/>
    <m/>
    <m/>
    <m/>
    <m/>
    <m/>
    <m/>
    <m/>
    <m/>
    <m/>
    <m/>
    <m/>
    <m/>
    <m/>
  </r>
  <r>
    <s v="2.4.3.1.3"/>
    <s v="CMS M.60.10.000"/>
    <x v="2"/>
    <n v="17"/>
    <s v="SPOOL"/>
    <n v="10"/>
    <x v="1"/>
    <s v="NÃO"/>
    <s v="NÃO"/>
    <x v="80"/>
    <x v="1"/>
    <s v="DISPOSIÇÃO DE REJEITOS LINHA DE BYPASS DAS PENEIRAS LINHA DO SEPARADOR MAGNÉTICO SM-143A-9603 P/ TANQUE TQ-142A-9701 ( BYPASS DAS PENEIRAS PN-143A-9703/9723 )"/>
    <m/>
    <m/>
    <m/>
    <s v="1450AA-T-70504_FL11"/>
    <n v="2"/>
    <s v="PÇ"/>
    <n v="1.22"/>
    <n v="2.44"/>
    <n v="2238.89"/>
    <n v="5462.8915999999999"/>
    <n v="0"/>
    <n v="0.9"/>
    <n v="0.1"/>
    <m/>
    <m/>
    <x v="0"/>
    <m/>
    <m/>
    <m/>
    <m/>
    <m/>
    <m/>
    <m/>
    <m/>
    <m/>
    <m/>
    <m/>
    <m/>
    <m/>
    <m/>
    <m/>
    <m/>
    <m/>
  </r>
  <r>
    <s v="2.4.3.1.3"/>
    <s v="CMS M.60.10.000"/>
    <x v="2"/>
    <n v="1"/>
    <s v="SPOOL"/>
    <n v="10"/>
    <x v="1"/>
    <s v="NÃO"/>
    <s v="NÃO"/>
    <x v="81"/>
    <x v="1"/>
    <s v="DISPOSIÇÃO DE REJEITOS LINHA DE BYPASS DAS PENEIRAS LINHA DO SEPARADOR MAGNÉTICO SM-143A-9604 P/ TANQUE TQ-142A-9702 ( BYPASS DAS PENEIRAS PN-143A-9704/9724 )"/>
    <m/>
    <m/>
    <m/>
    <s v="1450AA-T-70506_FL06"/>
    <n v="1"/>
    <s v="PÇ"/>
    <n v="0.69499999999999995"/>
    <n v="0.69499999999999995"/>
    <n v="2238.89"/>
    <n v="1556.0285499999998"/>
    <n v="0"/>
    <n v="0.9"/>
    <n v="0.1"/>
    <m/>
    <m/>
    <x v="0"/>
    <m/>
    <m/>
    <m/>
    <m/>
    <m/>
    <m/>
    <m/>
    <m/>
    <m/>
    <m/>
    <m/>
    <m/>
    <m/>
    <m/>
    <m/>
    <m/>
    <m/>
  </r>
  <r>
    <s v="2.4.3.1.3"/>
    <s v="CMS M.60.10.000"/>
    <x v="2"/>
    <n v="2"/>
    <s v="SPOOL"/>
    <n v="10"/>
    <x v="1"/>
    <s v="NÃO"/>
    <s v="NÃO"/>
    <x v="81"/>
    <x v="1"/>
    <s v="DISPOSIÇÃO DE REJEITOS LINHA DE BYPASS DAS PENEIRAS LINHA DO SEPARADOR MAGNÉTICO SM-143A-9604 P/ TANQUE TQ-142A-9702 ( BYPASS DAS PENEIRAS PN-143A-9704/9724 )"/>
    <m/>
    <m/>
    <m/>
    <s v="1450AA-T-70506_FL07"/>
    <n v="1"/>
    <s v="PÇ"/>
    <n v="2.6779999999999999"/>
    <n v="2.6779999999999999"/>
    <n v="2238.89"/>
    <n v="5995.7474199999997"/>
    <n v="0"/>
    <n v="0.9"/>
    <n v="0.1"/>
    <m/>
    <m/>
    <x v="0"/>
    <m/>
    <m/>
    <m/>
    <m/>
    <m/>
    <m/>
    <m/>
    <m/>
    <m/>
    <m/>
    <m/>
    <m/>
    <m/>
    <m/>
    <m/>
    <m/>
    <m/>
  </r>
  <r>
    <s v="2.4.3.1.3"/>
    <s v="CMS M.60.10.000"/>
    <x v="2"/>
    <n v="3"/>
    <s v="SPOOL"/>
    <n v="10"/>
    <x v="1"/>
    <s v="NÃO"/>
    <s v="NÃO"/>
    <x v="81"/>
    <x v="1"/>
    <s v="DISPOSIÇÃO DE REJEITOS LINHA DE BYPASS DAS PENEIRAS LINHA DO SEPARADOR MAGNÉTICO SM-143A-9604 P/ TANQUE TQ-142A-9702 ( BYPASS DAS PENEIRAS PN-143A-9704/9724 )"/>
    <m/>
    <m/>
    <m/>
    <s v="1450AA-T-70506_FL08"/>
    <n v="3"/>
    <s v="PÇ"/>
    <n v="5.5"/>
    <n v="16.5"/>
    <n v="2238.89"/>
    <n v="36941.684999999998"/>
    <n v="0"/>
    <n v="0.9"/>
    <n v="0.1"/>
    <m/>
    <m/>
    <x v="0"/>
    <m/>
    <m/>
    <m/>
    <m/>
    <m/>
    <m/>
    <m/>
    <m/>
    <m/>
    <m/>
    <m/>
    <m/>
    <m/>
    <m/>
    <m/>
    <m/>
    <m/>
  </r>
  <r>
    <s v="2.4.3.1.3"/>
    <s v="CMS M.60.10.000"/>
    <x v="2"/>
    <n v="4"/>
    <s v="SPOOL"/>
    <n v="10"/>
    <x v="1"/>
    <s v="NÃO"/>
    <s v="NÃO"/>
    <x v="81"/>
    <x v="1"/>
    <s v="DISPOSIÇÃO DE REJEITOS LINHA DE BYPASS DAS PENEIRAS LINHA DO SEPARADOR MAGNÉTICO SM-143A-9604 P/ TANQUE TQ-142A-9702 ( BYPASS DAS PENEIRAS PN-143A-9704/9724 )"/>
    <m/>
    <m/>
    <m/>
    <s v="1450AA-T-70506_FL09"/>
    <n v="1"/>
    <s v="PÇ"/>
    <n v="6"/>
    <n v="6"/>
    <n v="2238.89"/>
    <n v="13433.34"/>
    <n v="0"/>
    <n v="0.9"/>
    <n v="0.1"/>
    <m/>
    <m/>
    <x v="0"/>
    <m/>
    <m/>
    <m/>
    <m/>
    <m/>
    <m/>
    <m/>
    <m/>
    <m/>
    <m/>
    <m/>
    <m/>
    <m/>
    <m/>
    <m/>
    <m/>
    <m/>
  </r>
  <r>
    <s v="2.4.3.1.3"/>
    <s v="CMS M.60.10.000"/>
    <x v="2"/>
    <n v="5"/>
    <s v="SPOOL"/>
    <n v="10"/>
    <x v="2"/>
    <s v="NÃO"/>
    <s v="NÃO"/>
    <x v="81"/>
    <x v="1"/>
    <s v="DISPOSIÇÃO DE REJEITOS LINHA DE BYPASS DAS PENEIRAS LINHA DO SEPARADOR MAGNÉTICO SM-143A-9604 P/ TANQUE TQ-142A-9702 ( BYPASS DAS PENEIRAS PN-143A-9704/9724 )"/>
    <m/>
    <m/>
    <m/>
    <s v="1450AA-T-70506_FL12"/>
    <n v="1"/>
    <s v="PÇ"/>
    <n v="0.65"/>
    <n v="0.65"/>
    <n v="2238.89"/>
    <n v="1455.2784999999999"/>
    <n v="0"/>
    <n v="0.9"/>
    <n v="0.1"/>
    <m/>
    <m/>
    <x v="0"/>
    <m/>
    <m/>
    <m/>
    <m/>
    <m/>
    <m/>
    <m/>
    <m/>
    <m/>
    <m/>
    <m/>
    <m/>
    <m/>
    <m/>
    <m/>
    <m/>
    <m/>
  </r>
  <r>
    <s v="2.4.3.1.3"/>
    <s v="CMS M.60.10.000"/>
    <x v="2"/>
    <n v="6"/>
    <s v="SPOOL"/>
    <n v="10"/>
    <x v="2"/>
    <s v="NÃO"/>
    <s v="NÃO"/>
    <x v="81"/>
    <x v="1"/>
    <s v="DISPOSIÇÃO DE REJEITOS LINHA DE BYPASS DAS PENEIRAS LINHA DO SEPARADOR MAGNÉTICO SM-143A-9604 P/ TANQUE TQ-142A-9702 ( BYPASS DAS PENEIRAS PN-143A-9704/9724 )"/>
    <m/>
    <m/>
    <m/>
    <s v="1450AA-T-70506_FL10"/>
    <n v="1"/>
    <s v="PÇ"/>
    <n v="0.4"/>
    <n v="0.4"/>
    <n v="2238.89"/>
    <n v="895.55600000000004"/>
    <n v="0"/>
    <n v="0.9"/>
    <n v="0.1"/>
    <m/>
    <m/>
    <x v="0"/>
    <m/>
    <m/>
    <m/>
    <m/>
    <m/>
    <m/>
    <m/>
    <m/>
    <m/>
    <m/>
    <m/>
    <m/>
    <m/>
    <m/>
    <m/>
    <m/>
    <m/>
  </r>
  <r>
    <s v="2.4.3.1.3"/>
    <s v="CMS M.60.10.000"/>
    <x v="2"/>
    <n v="7"/>
    <s v="SPOOL"/>
    <n v="10"/>
    <x v="2"/>
    <s v="NÃO"/>
    <s v="NÃO"/>
    <x v="81"/>
    <x v="1"/>
    <s v="DISPOSIÇÃO DE REJEITOS LINHA DE BYPASS DAS PENEIRAS LINHA DO SEPARADOR MAGNÉTICO SM-143A-9604 P/ TANQUE TQ-142A-9702 ( BYPASS DAS PENEIRAS PN-143A-9704/9724 )"/>
    <m/>
    <m/>
    <m/>
    <s v="1450AA-T-70506_FL11"/>
    <n v="1"/>
    <s v="PÇ"/>
    <n v="0.5"/>
    <n v="0.5"/>
    <n v="2238.89"/>
    <n v="1119.4449999999999"/>
    <n v="0"/>
    <n v="0.9"/>
    <n v="0.1"/>
    <m/>
    <m/>
    <x v="0"/>
    <m/>
    <m/>
    <m/>
    <m/>
    <m/>
    <m/>
    <m/>
    <m/>
    <m/>
    <m/>
    <m/>
    <m/>
    <m/>
    <m/>
    <m/>
    <m/>
    <m/>
  </r>
  <r>
    <s v="2.4.3.1.3"/>
    <s v="CMS M.60.10.000"/>
    <x v="2"/>
    <n v="8"/>
    <s v="CURVA"/>
    <n v="10"/>
    <x v="1"/>
    <s v="NÃO"/>
    <s v="NÃO"/>
    <x v="81"/>
    <x v="1"/>
    <s v="DISPOSIÇÃO DE REJEITOS LINHA DE BYPASS DAS PENEIRAS LINHA DO SEPARADOR MAGNÉTICO SM-143A-9604 P/ TANQUE TQ-142A-9702 ( BYPASS DAS PENEIRAS PN-143A-9704/9724 )"/>
    <m/>
    <m/>
    <m/>
    <s v="1450AA-T-70506_FL14"/>
    <n v="1"/>
    <s v="PÇ"/>
    <n v="0.96299999999999997"/>
    <n v="0.96299999999999997"/>
    <n v="2238.89"/>
    <n v="2156.05107"/>
    <n v="0"/>
    <n v="0.9"/>
    <n v="0.1"/>
    <m/>
    <m/>
    <x v="0"/>
    <m/>
    <m/>
    <m/>
    <m/>
    <m/>
    <m/>
    <m/>
    <m/>
    <m/>
    <m/>
    <m/>
    <m/>
    <m/>
    <m/>
    <m/>
    <m/>
    <m/>
  </r>
  <r>
    <s v="2.4.3.1.3"/>
    <s v="CMS M.60.10.000"/>
    <x v="2"/>
    <n v="9"/>
    <s v="CURVA"/>
    <n v="10"/>
    <x v="1"/>
    <s v="NÃO"/>
    <s v="NÃO"/>
    <x v="81"/>
    <x v="1"/>
    <s v="DISPOSIÇÃO DE REJEITOS LINHA DE BYPASS DAS PENEIRAS LINHA DO SEPARADOR MAGNÉTICO SM-143A-9604 P/ TANQUE TQ-142A-9702 ( BYPASS DAS PENEIRAS PN-143A-9704/9724 )"/>
    <m/>
    <m/>
    <m/>
    <s v="1450AA-T-70506_FL13"/>
    <n v="1"/>
    <s v="PÇ"/>
    <n v="0.60299999999999998"/>
    <n v="0.60299999999999998"/>
    <n v="2238.89"/>
    <n v="1350.0506699999999"/>
    <n v="0"/>
    <n v="0.9"/>
    <n v="0.1"/>
    <m/>
    <m/>
    <x v="0"/>
    <m/>
    <m/>
    <m/>
    <m/>
    <m/>
    <m/>
    <m/>
    <m/>
    <m/>
    <m/>
    <m/>
    <m/>
    <m/>
    <m/>
    <m/>
    <m/>
    <m/>
  </r>
  <r>
    <s v="2.4.3.1.3"/>
    <s v="CMS M.60.10.000"/>
    <x v="2"/>
    <n v="10"/>
    <s v="CURVA"/>
    <n v="10"/>
    <x v="1"/>
    <s v="NÃO"/>
    <s v="NÃO"/>
    <x v="81"/>
    <x v="1"/>
    <s v="DISPOSIÇÃO DE REJEITOS LINHA DE BYPASS DAS PENEIRAS LINHA DO SEPARADOR MAGNÉTICO SM-143A-9604 P/ TANQUE TQ-142A-9702 ( BYPASS DAS PENEIRAS PN-143A-9704/9724 )"/>
    <m/>
    <m/>
    <m/>
    <s v="1450AA-T-70506_FL15"/>
    <n v="1"/>
    <s v="PÇ"/>
    <n v="1.264"/>
    <n v="1.264"/>
    <n v="2238.89"/>
    <n v="2829.95696"/>
    <n v="0"/>
    <n v="0.9"/>
    <n v="0.1"/>
    <m/>
    <m/>
    <x v="0"/>
    <m/>
    <m/>
    <m/>
    <m/>
    <m/>
    <m/>
    <m/>
    <m/>
    <m/>
    <m/>
    <m/>
    <m/>
    <m/>
    <m/>
    <m/>
    <m/>
    <m/>
  </r>
  <r>
    <s v="2.4.3.1.3"/>
    <s v="CMS M.60.10.000"/>
    <x v="2"/>
    <n v="11"/>
    <s v="SPOOL"/>
    <n v="10"/>
    <x v="1"/>
    <s v="NÃO"/>
    <s v="NÃO"/>
    <x v="81"/>
    <x v="1"/>
    <s v="DISPOSIÇÃO DE REJEITOS LINHA DE BYPASS DAS PENEIRAS LINHA DO SEPARADOR MAGNÉTICO SM-143A-9604 P/ TANQUE TQ-142A-9702 ( BYPASS DAS PENEIRAS PN-143A-9704/9724 )"/>
    <m/>
    <m/>
    <m/>
    <s v="1450AA-T-70506_FL18"/>
    <n v="1"/>
    <s v="PÇ"/>
    <n v="1.2070000000000001"/>
    <n v="1.2070000000000001"/>
    <n v="2238.89"/>
    <n v="2702.3402299999998"/>
    <n v="0"/>
    <n v="0.9"/>
    <n v="0.1"/>
    <m/>
    <m/>
    <x v="0"/>
    <m/>
    <m/>
    <m/>
    <m/>
    <m/>
    <m/>
    <m/>
    <m/>
    <m/>
    <m/>
    <m/>
    <m/>
    <m/>
    <m/>
    <m/>
    <m/>
    <m/>
  </r>
  <r>
    <s v="2.4.3.1.3"/>
    <s v="CMS M.60.10.000"/>
    <x v="2"/>
    <n v="12"/>
    <s v="SPOOL"/>
    <n v="10"/>
    <x v="1"/>
    <s v="NÃO"/>
    <s v="NÃO"/>
    <x v="81"/>
    <x v="1"/>
    <s v="DISPOSIÇÃO DE REJEITOS LINHA DE BYPASS DAS PENEIRAS LINHA DO SEPARADOR MAGNÉTICO SM-143A-9604 P/ TANQUE TQ-142A-9702 ( BYPASS DAS PENEIRAS PN-143A-9704/9724 )"/>
    <m/>
    <m/>
    <m/>
    <s v="1450AA-T-70506_FL16"/>
    <n v="1"/>
    <s v="PÇ"/>
    <n v="1.22"/>
    <n v="1.22"/>
    <n v="2238.89"/>
    <n v="2731.4458"/>
    <n v="0"/>
    <n v="0.9"/>
    <n v="0.1"/>
    <m/>
    <m/>
    <x v="0"/>
    <m/>
    <m/>
    <m/>
    <m/>
    <m/>
    <m/>
    <m/>
    <m/>
    <m/>
    <m/>
    <m/>
    <m/>
    <m/>
    <m/>
    <m/>
    <m/>
    <m/>
  </r>
  <r>
    <s v="2.4.3.1.3"/>
    <s v="CMS M.60.10.000"/>
    <x v="2"/>
    <n v="13"/>
    <s v="SPOOL"/>
    <n v="10"/>
    <x v="1"/>
    <s v="NÃO"/>
    <s v="NÃO"/>
    <x v="81"/>
    <x v="1"/>
    <s v="DISPOSIÇÃO DE REJEITOS LINHA DE BYPASS DAS PENEIRAS LINHA DO SEPARADOR MAGNÉTICO SM-143A-9604 P/ TANQUE TQ-142A-9702 ( BYPASS DAS PENEIRAS PN-143A-9704/9724 )"/>
    <m/>
    <m/>
    <m/>
    <s v="1450AA-T-70506_FL17"/>
    <n v="1"/>
    <s v="PÇ"/>
    <n v="1.22"/>
    <n v="1.22"/>
    <n v="2238.89"/>
    <n v="2731.4458"/>
    <n v="0"/>
    <n v="0.9"/>
    <n v="0.1"/>
    <m/>
    <m/>
    <x v="0"/>
    <m/>
    <m/>
    <m/>
    <m/>
    <m/>
    <m/>
    <m/>
    <m/>
    <m/>
    <m/>
    <m/>
    <m/>
    <m/>
    <m/>
    <m/>
    <m/>
    <m/>
  </r>
  <r>
    <s v="2.4.3.1.3"/>
    <s v="CMS M.60.10.000"/>
    <x v="2"/>
    <n v="1"/>
    <s v="SPOOL"/>
    <n v="10"/>
    <x v="1"/>
    <s v="NÃO"/>
    <s v="NÃO"/>
    <x v="82"/>
    <x v="1"/>
    <s v="DISPOSIÇÃO DE REJEITOS LINHA DE BYPASS DAS PENEIRAS LINHA DO SEPARADOR MAGNÉTICO SM-143A-9605 P/ TANQUE TQ-142A-9702 ( BYPASS DAS PENEIRAS PN-143A-9705/9725 )"/>
    <m/>
    <m/>
    <m/>
    <s v="1450AA-T-70508_FL06"/>
    <n v="1"/>
    <s v="PÇ"/>
    <n v="1.46"/>
    <n v="1.46"/>
    <n v="2238.89"/>
    <n v="3268.7793999999999"/>
    <n v="0"/>
    <n v="0.9"/>
    <n v="0.1"/>
    <m/>
    <m/>
    <x v="0"/>
    <m/>
    <m/>
    <m/>
    <m/>
    <m/>
    <m/>
    <m/>
    <m/>
    <m/>
    <m/>
    <m/>
    <m/>
    <m/>
    <m/>
    <m/>
    <m/>
    <m/>
  </r>
  <r>
    <s v="2.4.3.1.3"/>
    <s v="CMS M.60.10.000"/>
    <x v="2"/>
    <n v="2"/>
    <s v="CURVA"/>
    <n v="10"/>
    <x v="1"/>
    <s v="NÃO"/>
    <s v="NÃO"/>
    <x v="82"/>
    <x v="1"/>
    <s v="DISPOSIÇÃO DE REJEITOS LINHA DE BYPASS DAS PENEIRAS LINHA DO SEPARADOR MAGNÉTICO SM-143A-9605 P/ TANQUE TQ-142A-9702 ( BYPASS DAS PENEIRAS PN-143A-9705/9725 )"/>
    <m/>
    <m/>
    <m/>
    <s v="1450AA-T-70508_FL12"/>
    <n v="1"/>
    <s v="PÇ"/>
    <n v="1.218"/>
    <n v="1.218"/>
    <n v="2238.89"/>
    <n v="2726.9680199999998"/>
    <n v="0"/>
    <n v="0.9"/>
    <n v="0.1"/>
    <m/>
    <m/>
    <x v="0"/>
    <m/>
    <m/>
    <m/>
    <m/>
    <m/>
    <m/>
    <m/>
    <m/>
    <m/>
    <m/>
    <m/>
    <m/>
    <m/>
    <m/>
    <m/>
    <m/>
    <m/>
  </r>
  <r>
    <s v="2.4.3.1.3"/>
    <s v="CMS M.60.10.000"/>
    <x v="2"/>
    <n v="3"/>
    <s v="SPOOL"/>
    <n v="10"/>
    <x v="1"/>
    <s v="NÃO"/>
    <s v="NÃO"/>
    <x v="82"/>
    <x v="1"/>
    <s v="DISPOSIÇÃO DE REJEITOS LINHA DE BYPASS DAS PENEIRAS LINHA DO SEPARADOR MAGNÉTICO SM-143A-9605 P/ TANQUE TQ-142A-9702 ( BYPASS DAS PENEIRAS PN-143A-9705/9725 )"/>
    <m/>
    <m/>
    <m/>
    <s v="1450AA-T-70508_FL07"/>
    <n v="1"/>
    <s v="PÇ"/>
    <n v="2.69"/>
    <n v="2.69"/>
    <n v="2238.89"/>
    <n v="6022.6140999999998"/>
    <n v="0"/>
    <n v="0.9"/>
    <n v="0.1"/>
    <m/>
    <m/>
    <x v="0"/>
    <m/>
    <m/>
    <m/>
    <m/>
    <m/>
    <m/>
    <m/>
    <m/>
    <m/>
    <m/>
    <m/>
    <m/>
    <m/>
    <m/>
    <m/>
    <m/>
    <m/>
  </r>
  <r>
    <s v="2.4.3.1.3"/>
    <s v="CMS M.60.10.000"/>
    <x v="2"/>
    <n v="4"/>
    <s v="SPOOL"/>
    <n v="10"/>
    <x v="1"/>
    <s v="NÃO"/>
    <s v="NÃO"/>
    <x v="82"/>
    <x v="1"/>
    <s v="DISPOSIÇÃO DE REJEITOS LINHA DE BYPASS DAS PENEIRAS LINHA DO SEPARADOR MAGNÉTICO SM-143A-9605 P/ TANQUE TQ-142A-9702 ( BYPASS DAS PENEIRAS PN-143A-9705/9725 )"/>
    <m/>
    <m/>
    <m/>
    <s v="1450AA-T-70508_FL14"/>
    <n v="1"/>
    <s v="PÇ"/>
    <n v="1.2170000000000001"/>
    <n v="1.2170000000000001"/>
    <n v="2238.89"/>
    <n v="2724.7291300000002"/>
    <n v="0"/>
    <n v="0.9"/>
    <n v="0.1"/>
    <m/>
    <m/>
    <x v="0"/>
    <m/>
    <m/>
    <m/>
    <m/>
    <m/>
    <m/>
    <m/>
    <m/>
    <m/>
    <m/>
    <m/>
    <m/>
    <m/>
    <m/>
    <m/>
    <m/>
    <m/>
  </r>
  <r>
    <s v="2.4.3.1.3"/>
    <s v="CMS M.60.10.000"/>
    <x v="2"/>
    <n v="5"/>
    <s v="SPOOL"/>
    <n v="10"/>
    <x v="1"/>
    <s v="NÃO"/>
    <s v="NÃO"/>
    <x v="82"/>
    <x v="1"/>
    <s v="DISPOSIÇÃO DE REJEITOS LINHA DE BYPASS DAS PENEIRAS LINHA DO SEPARADOR MAGNÉTICO SM-143A-9605 P/ TANQUE TQ-142A-9702 ( BYPASS DAS PENEIRAS PN-143A-9705/9725 )"/>
    <m/>
    <m/>
    <m/>
    <s v="1450AA-T-70508_FL09"/>
    <n v="1"/>
    <s v="PÇ"/>
    <n v="6"/>
    <n v="6"/>
    <n v="2238.89"/>
    <n v="13433.34"/>
    <n v="0"/>
    <n v="0.9"/>
    <n v="0.1"/>
    <m/>
    <m/>
    <x v="0"/>
    <m/>
    <m/>
    <m/>
    <m/>
    <m/>
    <m/>
    <m/>
    <m/>
    <m/>
    <m/>
    <m/>
    <m/>
    <m/>
    <m/>
    <m/>
    <m/>
    <m/>
  </r>
  <r>
    <s v="2.4.3.1.3"/>
    <s v="CMS M.60.10.000"/>
    <x v="2"/>
    <n v="6"/>
    <s v="SPOOL"/>
    <n v="10"/>
    <x v="1"/>
    <s v="NÃO"/>
    <s v="NÃO"/>
    <x v="82"/>
    <x v="1"/>
    <s v="DISPOSIÇÃO DE REJEITOS LINHA DE BYPASS DAS PENEIRAS LINHA DO SEPARADOR MAGNÉTICO SM-143A-9605 P/ TANQUE TQ-142A-9702 ( BYPASS DAS PENEIRAS PN-143A-9705/9725 )"/>
    <m/>
    <m/>
    <m/>
    <s v="1450AA-T-70508_FL08"/>
    <n v="2"/>
    <s v="PÇ"/>
    <n v="5.5"/>
    <n v="11"/>
    <n v="2238.89"/>
    <n v="24627.789999999997"/>
    <n v="0"/>
    <n v="0.9"/>
    <n v="0.1"/>
    <m/>
    <m/>
    <x v="0"/>
    <m/>
    <m/>
    <m/>
    <m/>
    <m/>
    <m/>
    <m/>
    <m/>
    <m/>
    <m/>
    <m/>
    <m/>
    <m/>
    <m/>
    <m/>
    <m/>
    <m/>
  </r>
  <r>
    <s v="2.4.3.1.3"/>
    <s v="CMS M.60.10.000"/>
    <x v="2"/>
    <n v="7"/>
    <s v="SPOOL"/>
    <n v="10"/>
    <x v="2"/>
    <s v="NÃO"/>
    <s v="NÃO"/>
    <x v="82"/>
    <x v="1"/>
    <s v="DISPOSIÇÃO DE REJEITOS LINHA DE BYPASS DAS PENEIRAS LINHA DO SEPARADOR MAGNÉTICO SM-143A-9605 P/ TANQUE TQ-142A-9702 ( BYPASS DAS PENEIRAS PN-143A-9705/9725 )"/>
    <m/>
    <m/>
    <m/>
    <s v="1450AA-T-70508_FL10"/>
    <n v="1"/>
    <s v="PÇ"/>
    <n v="0.46"/>
    <n v="0.46"/>
    <n v="2238.89"/>
    <n v="1029.8894"/>
    <n v="0"/>
    <n v="0.9"/>
    <n v="0.1"/>
    <m/>
    <m/>
    <x v="0"/>
    <m/>
    <m/>
    <m/>
    <m/>
    <m/>
    <m/>
    <m/>
    <m/>
    <m/>
    <m/>
    <m/>
    <m/>
    <m/>
    <m/>
    <m/>
    <m/>
    <m/>
  </r>
  <r>
    <s v="2.4.3.1.3"/>
    <s v="CMS M.60.10.000"/>
    <x v="2"/>
    <n v="8"/>
    <s v="SPOOL"/>
    <n v="10"/>
    <x v="2"/>
    <s v="NÃO"/>
    <s v="NÃO"/>
    <x v="82"/>
    <x v="1"/>
    <s v="DISPOSIÇÃO DE REJEITOS LINHA DE BYPASS DAS PENEIRAS LINHA DO SEPARADOR MAGNÉTICO SM-143A-9605 P/ TANQUE TQ-142A-9702 ( BYPASS DAS PENEIRAS PN-143A-9705/9725 )"/>
    <m/>
    <m/>
    <m/>
    <s v="1450AA-T-70508_FL11"/>
    <n v="1"/>
    <s v="PÇ"/>
    <n v="0.47"/>
    <n v="0.47"/>
    <n v="2238.89"/>
    <n v="1052.2782999999999"/>
    <n v="0"/>
    <n v="0.9"/>
    <n v="0.1"/>
    <m/>
    <m/>
    <x v="0"/>
    <m/>
    <m/>
    <m/>
    <m/>
    <m/>
    <m/>
    <m/>
    <m/>
    <m/>
    <m/>
    <m/>
    <m/>
    <m/>
    <m/>
    <m/>
    <m/>
    <m/>
  </r>
  <r>
    <s v="2.4.3.1.3"/>
    <s v="CMS M.60.10.000"/>
    <x v="2"/>
    <n v="9"/>
    <s v="SPOOL"/>
    <n v="10"/>
    <x v="1"/>
    <s v="NÃO"/>
    <s v="NÃO"/>
    <x v="82"/>
    <x v="1"/>
    <s v="DISPOSIÇÃO DE REJEITOS LINHA DE BYPASS DAS PENEIRAS LINHA DO SEPARADOR MAGNÉTICO SM-143A-9605 P/ TANQUE TQ-142A-9702 ( BYPASS DAS PENEIRAS PN-143A-9705/9725 )"/>
    <m/>
    <m/>
    <m/>
    <s v="1450AA-T-70508_FL15"/>
    <n v="1"/>
    <s v="PÇ"/>
    <n v="1.2170000000000001"/>
    <n v="1.2170000000000001"/>
    <n v="2238.89"/>
    <n v="2724.7291300000002"/>
    <n v="0"/>
    <n v="0.9"/>
    <n v="0.1"/>
    <m/>
    <m/>
    <x v="0"/>
    <m/>
    <m/>
    <m/>
    <m/>
    <m/>
    <m/>
    <m/>
    <m/>
    <m/>
    <m/>
    <m/>
    <m/>
    <m/>
    <m/>
    <m/>
    <m/>
    <m/>
  </r>
  <r>
    <s v="2.4.3.1.3"/>
    <s v="CMS M.60.10.000"/>
    <x v="2"/>
    <n v="10"/>
    <s v="CURVA"/>
    <n v="10"/>
    <x v="1"/>
    <s v="NÃO"/>
    <s v="NÃO"/>
    <x v="82"/>
    <x v="1"/>
    <s v="DISPOSIÇÃO DE REJEITOS LINHA DE BYPASS DAS PENEIRAS LINHA DO SEPARADOR MAGNÉTICO SM-143A-9605 P/ TANQUE TQ-142A-9702 ( BYPASS DAS PENEIRAS PN-143A-9705/9725 )"/>
    <m/>
    <m/>
    <m/>
    <s v="1450AA-T-70508_FL13"/>
    <n v="1"/>
    <s v="PÇ"/>
    <n v="1.264"/>
    <n v="1.264"/>
    <n v="2238.89"/>
    <n v="2829.95696"/>
    <n v="0"/>
    <n v="0.9"/>
    <n v="0.1"/>
    <m/>
    <m/>
    <x v="0"/>
    <m/>
    <m/>
    <m/>
    <m/>
    <m/>
    <m/>
    <m/>
    <m/>
    <m/>
    <m/>
    <m/>
    <m/>
    <m/>
    <m/>
    <m/>
    <m/>
    <m/>
  </r>
  <r>
    <s v="2.4.3.1.3"/>
    <s v="CMS M.60.10.000"/>
    <x v="2"/>
    <n v="1"/>
    <s v="SPOOL"/>
    <n v="10"/>
    <x v="1"/>
    <s v="NÃO"/>
    <s v="NÃO"/>
    <x v="83"/>
    <x v="1"/>
    <s v="DISPOSIÇÃO DE REJEITOS LINHA DE BYPASS DAS PENEIRAS LINHA DO SEPARADOR MAGNÉTICO SM-143A-9606 P/ TANQUE TQ-142A-9702 ( BYPASS DAS PENEIRAS PN-143A-9706/9726 )"/>
    <m/>
    <m/>
    <m/>
    <s v="1450AA-T-70510_FL06"/>
    <n v="1"/>
    <s v="PÇ"/>
    <n v="0.83"/>
    <n v="0.83"/>
    <n v="2238.89"/>
    <n v="1858.2786999999998"/>
    <n v="0"/>
    <n v="0.9"/>
    <n v="0.1"/>
    <m/>
    <m/>
    <x v="0"/>
    <m/>
    <m/>
    <m/>
    <m/>
    <m/>
    <m/>
    <m/>
    <m/>
    <m/>
    <m/>
    <m/>
    <m/>
    <m/>
    <m/>
    <m/>
    <m/>
    <m/>
  </r>
  <r>
    <s v="2.4.3.1.3"/>
    <s v="CMS M.60.10.000"/>
    <x v="2"/>
    <n v="2"/>
    <s v="CURVA"/>
    <n v="10"/>
    <x v="1"/>
    <s v="NÃO"/>
    <s v="NÃO"/>
    <x v="83"/>
    <x v="1"/>
    <s v="DISPOSIÇÃO DE REJEITOS LINHA DE BYPASS DAS PENEIRAS LINHA DO SEPARADOR MAGNÉTICO SM-143A-9606 P/ TANQUE TQ-142A-9702 ( BYPASS DAS PENEIRAS PN-143A-9706/9726 )"/>
    <m/>
    <m/>
    <m/>
    <s v="1450AA-T-70510_FL14"/>
    <n v="1"/>
    <s v="PÇ"/>
    <n v="1.0609999999999999"/>
    <n v="1.0609999999999999"/>
    <n v="2238.89"/>
    <n v="2375.4622899999999"/>
    <n v="0"/>
    <n v="0.9"/>
    <n v="0.1"/>
    <m/>
    <m/>
    <x v="0"/>
    <m/>
    <m/>
    <m/>
    <m/>
    <m/>
    <m/>
    <m/>
    <m/>
    <m/>
    <m/>
    <m/>
    <m/>
    <m/>
    <m/>
    <m/>
    <m/>
    <m/>
  </r>
  <r>
    <s v="2.4.3.1.3"/>
    <s v="CMS M.60.10.000"/>
    <x v="2"/>
    <n v="3"/>
    <s v="SPOOL"/>
    <n v="10"/>
    <x v="1"/>
    <s v="NÃO"/>
    <s v="NÃO"/>
    <x v="83"/>
    <x v="1"/>
    <s v="DISPOSIÇÃO DE REJEITOS LINHA DE BYPASS DAS PENEIRAS LINHA DO SEPARADOR MAGNÉTICO SM-143A-9606 P/ TANQUE TQ-142A-9702 ( BYPASS DAS PENEIRAS PN-143A-9706/9726 )"/>
    <m/>
    <m/>
    <m/>
    <s v="1450AA-T-70510_FL07"/>
    <n v="1"/>
    <s v="PÇ"/>
    <n v="3"/>
    <n v="3"/>
    <n v="2238.89"/>
    <n v="6716.67"/>
    <n v="0"/>
    <n v="0.9"/>
    <n v="0.1"/>
    <m/>
    <m/>
    <x v="0"/>
    <m/>
    <m/>
    <m/>
    <m/>
    <m/>
    <m/>
    <m/>
    <m/>
    <m/>
    <m/>
    <m/>
    <m/>
    <m/>
    <m/>
    <m/>
    <m/>
    <m/>
  </r>
  <r>
    <s v="2.4.3.1.3"/>
    <s v="CMS M.60.10.000"/>
    <x v="2"/>
    <n v="4"/>
    <s v="SPOOL"/>
    <n v="10"/>
    <x v="1"/>
    <s v="NÃO"/>
    <s v="NÃO"/>
    <x v="83"/>
    <x v="1"/>
    <s v="DISPOSIÇÃO DE REJEITOS LINHA DE BYPASS DAS PENEIRAS LINHA DO SEPARADOR MAGNÉTICO SM-143A-9606 P/ TANQUE TQ-142A-9702 ( BYPASS DAS PENEIRAS PN-143A-9706/9726 )"/>
    <m/>
    <m/>
    <m/>
    <s v="1450AA-T-70510_FL16"/>
    <n v="1"/>
    <s v="PÇ"/>
    <n v="1.2170000000000001"/>
    <n v="1.2170000000000001"/>
    <n v="2238.89"/>
    <n v="2724.7291300000002"/>
    <n v="0"/>
    <n v="0.9"/>
    <n v="0.1"/>
    <m/>
    <m/>
    <x v="0"/>
    <m/>
    <m/>
    <m/>
    <m/>
    <m/>
    <m/>
    <m/>
    <m/>
    <m/>
    <m/>
    <m/>
    <m/>
    <m/>
    <m/>
    <m/>
    <m/>
    <m/>
  </r>
  <r>
    <s v="2.4.3.1.3"/>
    <s v="CMS M.60.10.000"/>
    <x v="2"/>
    <n v="5"/>
    <s v="SPOOL"/>
    <n v="10"/>
    <x v="1"/>
    <s v="NÃO"/>
    <s v="NÃO"/>
    <x v="83"/>
    <x v="1"/>
    <s v="DISPOSIÇÃO DE REJEITOS LINHA DE BYPASS DAS PENEIRAS LINHA DO SEPARADOR MAGNÉTICO SM-143A-9606 P/ TANQUE TQ-142A-9702 ( BYPASS DAS PENEIRAS PN-143A-9706/9726 )"/>
    <m/>
    <m/>
    <m/>
    <s v="1450AA-T-70510_FL08"/>
    <n v="1"/>
    <s v="PÇ"/>
    <n v="3.5"/>
    <n v="3.5"/>
    <n v="2238.89"/>
    <n v="7836.1149999999998"/>
    <n v="0"/>
    <n v="0.9"/>
    <n v="0.1"/>
    <m/>
    <m/>
    <x v="0"/>
    <m/>
    <m/>
    <m/>
    <m/>
    <m/>
    <m/>
    <m/>
    <m/>
    <m/>
    <m/>
    <m/>
    <m/>
    <m/>
    <m/>
    <m/>
    <m/>
    <m/>
  </r>
  <r>
    <s v="2.4.3.1.3"/>
    <s v="CMS M.60.10.000"/>
    <x v="2"/>
    <n v="6"/>
    <s v="CURVA"/>
    <n v="10"/>
    <x v="1"/>
    <s v="NÃO"/>
    <s v="NÃO"/>
    <x v="83"/>
    <x v="1"/>
    <s v="DISPOSIÇÃO DE REJEITOS LINHA DE BYPASS DAS PENEIRAS LINHA DO SEPARADOR MAGNÉTICO SM-143A-9606 P/ TANQUE TQ-142A-9702 ( BYPASS DAS PENEIRAS PN-143A-9706/9726 )"/>
    <m/>
    <m/>
    <m/>
    <s v="1450AA-T-70510_FL13"/>
    <n v="1"/>
    <s v="PÇ"/>
    <n v="0.432"/>
    <n v="0.432"/>
    <n v="2238.89"/>
    <n v="967.20047999999997"/>
    <n v="0"/>
    <n v="0.9"/>
    <n v="0.1"/>
    <m/>
    <m/>
    <x v="0"/>
    <m/>
    <m/>
    <m/>
    <m/>
    <m/>
    <m/>
    <m/>
    <m/>
    <m/>
    <m/>
    <m/>
    <m/>
    <m/>
    <m/>
    <m/>
    <m/>
    <m/>
  </r>
  <r>
    <s v="2.4.3.1.3"/>
    <s v="CMS M.60.10.000"/>
    <x v="2"/>
    <n v="7"/>
    <s v="SPOOL"/>
    <n v="10"/>
    <x v="1"/>
    <s v="NÃO"/>
    <s v="NÃO"/>
    <x v="83"/>
    <x v="1"/>
    <s v="DISPOSIÇÃO DE REJEITOS LINHA DE BYPASS DAS PENEIRAS LINHA DO SEPARADOR MAGNÉTICO SM-143A-9606 P/ TANQUE TQ-142A-9702 ( BYPASS DAS PENEIRAS PN-143A-9706/9726 )"/>
    <m/>
    <m/>
    <m/>
    <s v="1450AA-T-70510_FL10"/>
    <n v="1"/>
    <s v="PÇ"/>
    <n v="6"/>
    <n v="6"/>
    <n v="2238.89"/>
    <n v="13433.34"/>
    <n v="0"/>
    <n v="0.9"/>
    <n v="0.1"/>
    <m/>
    <m/>
    <x v="0"/>
    <m/>
    <m/>
    <m/>
    <m/>
    <m/>
    <m/>
    <m/>
    <m/>
    <m/>
    <m/>
    <m/>
    <m/>
    <m/>
    <m/>
    <m/>
    <m/>
    <m/>
  </r>
  <r>
    <s v="2.4.3.1.3"/>
    <s v="CMS M.60.10.000"/>
    <x v="2"/>
    <n v="8"/>
    <s v="SPOOL"/>
    <n v="10"/>
    <x v="1"/>
    <s v="NÃO"/>
    <s v="NÃO"/>
    <x v="83"/>
    <x v="1"/>
    <s v="DISPOSIÇÃO DE REJEITOS LINHA DE BYPASS DAS PENEIRAS LINHA DO SEPARADOR MAGNÉTICO SM-143A-9606 P/ TANQUE TQ-142A-9702 ( BYPASS DAS PENEIRAS PN-143A-9706/9726 )"/>
    <m/>
    <m/>
    <m/>
    <s v="1450AA-T-70510_FL09"/>
    <n v="2"/>
    <s v="PÇ"/>
    <n v="5.5"/>
    <n v="11"/>
    <n v="2238.89"/>
    <n v="24627.789999999997"/>
    <n v="0"/>
    <n v="0.9"/>
    <n v="0.1"/>
    <m/>
    <m/>
    <x v="0"/>
    <m/>
    <m/>
    <m/>
    <m/>
    <m/>
    <m/>
    <m/>
    <m/>
    <m/>
    <m/>
    <m/>
    <m/>
    <m/>
    <m/>
    <m/>
    <m/>
    <m/>
  </r>
  <r>
    <s v="2.4.3.1.3"/>
    <s v="CMS M.60.10.000"/>
    <x v="2"/>
    <n v="9"/>
    <s v="SPOOL"/>
    <n v="10"/>
    <x v="2"/>
    <s v="NÃO"/>
    <s v="NÃO"/>
    <x v="83"/>
    <x v="1"/>
    <s v="DISPOSIÇÃO DE REJEITOS LINHA DE BYPASS DAS PENEIRAS LINHA DO SEPARADOR MAGNÉTICO SM-143A-9606 P/ TANQUE TQ-142A-9702 ( BYPASS DAS PENEIRAS PN-143A-9706/9726 )"/>
    <m/>
    <m/>
    <m/>
    <s v="1450AA-T-70510_FL11"/>
    <n v="1"/>
    <s v="PÇ"/>
    <n v="0.39"/>
    <n v="0.39"/>
    <n v="2238.89"/>
    <n v="873.1671"/>
    <n v="0"/>
    <n v="0.9"/>
    <n v="0.1"/>
    <m/>
    <m/>
    <x v="0"/>
    <m/>
    <m/>
    <m/>
    <m/>
    <m/>
    <m/>
    <m/>
    <m/>
    <m/>
    <m/>
    <m/>
    <m/>
    <m/>
    <m/>
    <m/>
    <m/>
    <m/>
  </r>
  <r>
    <s v="2.4.3.1.3"/>
    <s v="CMS M.60.10.000"/>
    <x v="2"/>
    <n v="10"/>
    <s v="SPOOL"/>
    <n v="10"/>
    <x v="1"/>
    <s v="NÃO"/>
    <s v="NÃO"/>
    <x v="83"/>
    <x v="1"/>
    <s v="DISPOSIÇÃO DE REJEITOS LINHA DE BYPASS DAS PENEIRAS LINHA DO SEPARADOR MAGNÉTICO SM-143A-9606 P/ TANQUE TQ-142A-9702 ( BYPASS DAS PENEIRAS PN-143A-9706/9726 )"/>
    <m/>
    <m/>
    <m/>
    <s v="1450AA-T-70510_FL17"/>
    <n v="1"/>
    <s v="PÇ"/>
    <n v="1.2170000000000001"/>
    <n v="1.2170000000000001"/>
    <n v="2238.89"/>
    <n v="2724.7291300000002"/>
    <n v="0"/>
    <n v="0.9"/>
    <n v="0.1"/>
    <m/>
    <m/>
    <x v="0"/>
    <m/>
    <m/>
    <m/>
    <m/>
    <m/>
    <m/>
    <m/>
    <m/>
    <m/>
    <m/>
    <m/>
    <m/>
    <m/>
    <m/>
    <m/>
    <m/>
    <m/>
  </r>
  <r>
    <s v="2.4.3.1.3"/>
    <s v="CMS M.60.10.000"/>
    <x v="2"/>
    <n v="11"/>
    <s v="SPOOL"/>
    <n v="10"/>
    <x v="2"/>
    <s v="NÃO"/>
    <s v="NÃO"/>
    <x v="83"/>
    <x v="1"/>
    <s v="DISPOSIÇÃO DE REJEITOS LINHA DE BYPASS DAS PENEIRAS LINHA DO SEPARADOR MAGNÉTICO SM-143A-9606 P/ TANQUE TQ-142A-9702 ( BYPASS DAS PENEIRAS PN-143A-9706/9726 )"/>
    <m/>
    <m/>
    <m/>
    <s v="1450AA-T-70510_FL12"/>
    <n v="1"/>
    <s v="PÇ"/>
    <n v="0.85"/>
    <n v="0.85"/>
    <n v="2238.89"/>
    <n v="1903.0564999999999"/>
    <n v="0"/>
    <n v="0.9"/>
    <n v="0.1"/>
    <m/>
    <m/>
    <x v="0"/>
    <m/>
    <m/>
    <m/>
    <m/>
    <m/>
    <m/>
    <m/>
    <m/>
    <m/>
    <m/>
    <m/>
    <m/>
    <m/>
    <m/>
    <m/>
    <m/>
    <m/>
  </r>
  <r>
    <s v="2.4.3.1.3"/>
    <s v="CMS M.60.10.000"/>
    <x v="2"/>
    <n v="12"/>
    <s v="CURVA"/>
    <n v="10"/>
    <x v="1"/>
    <s v="NÃO"/>
    <s v="NÃO"/>
    <x v="83"/>
    <x v="1"/>
    <s v="DISPOSIÇÃO DE REJEITOS LINHA DE BYPASS DAS PENEIRAS LINHA DO SEPARADOR MAGNÉTICO SM-143A-9606 P/ TANQUE TQ-142A-9702 ( BYPASS DAS PENEIRAS PN-143A-9706/9726 )"/>
    <m/>
    <m/>
    <m/>
    <s v="1450AA-T-70510_FL15"/>
    <n v="1"/>
    <s v="PÇ"/>
    <n v="1.264"/>
    <n v="1.264"/>
    <n v="2238.89"/>
    <n v="2829.95696"/>
    <n v="0"/>
    <n v="0.9"/>
    <n v="0.1"/>
    <m/>
    <m/>
    <x v="0"/>
    <m/>
    <m/>
    <m/>
    <m/>
    <m/>
    <m/>
    <m/>
    <m/>
    <m/>
    <m/>
    <m/>
    <m/>
    <m/>
    <m/>
    <m/>
    <m/>
    <m/>
  </r>
  <r>
    <s v="2.4.3.1.3"/>
    <s v="CMS M.60.10.000"/>
    <x v="2"/>
    <n v="1"/>
    <s v="SPOOL"/>
    <n v="10"/>
    <x v="1"/>
    <s v="NÃO"/>
    <s v="NÃO"/>
    <x v="84"/>
    <x v="2"/>
    <s v="DISPOSIÇÃO DE REJEITOS LINHA DE BYPASS DAS PENEIRAS LINHA DO SEPARADOR MAGNÉTICO SM-143A-9707 P/ TANQUE TQ-142A-9703 ( BYPASS DAS PENEIRAS PN-143A-9707/9727 )"/>
    <m/>
    <m/>
    <m/>
    <s v="1450AA-T-70512_FL13"/>
    <n v="1"/>
    <s v="PÇ"/>
    <n v="2.2799999999999998"/>
    <n v="2.2799999999999998"/>
    <n v="2238.89"/>
    <n v="5104.6691999999994"/>
    <n v="0"/>
    <n v="0.9"/>
    <n v="0.1"/>
    <m/>
    <m/>
    <x v="0"/>
    <m/>
    <m/>
    <m/>
    <m/>
    <m/>
    <m/>
    <m/>
    <m/>
    <m/>
    <m/>
    <m/>
    <m/>
    <m/>
    <m/>
    <m/>
    <m/>
    <m/>
  </r>
  <r>
    <s v="2.4.3.1.3"/>
    <s v="CMS M.60.10.000"/>
    <x v="2"/>
    <n v="2"/>
    <s v="SPOOL"/>
    <n v="10"/>
    <x v="1"/>
    <s v="NÃO"/>
    <s v="NÃO"/>
    <x v="84"/>
    <x v="2"/>
    <s v="DISPOSIÇÃO DE REJEITOS LINHA DE BYPASS DAS PENEIRAS LINHA DO SEPARADOR MAGNÉTICO SM-143A-9707 P/ TANQUE TQ-142A-9703 ( BYPASS DAS PENEIRAS PN-143A-9707/9727 )"/>
    <m/>
    <m/>
    <m/>
    <s v="1450AA-T-70512_FL12"/>
    <n v="1"/>
    <s v="PÇ"/>
    <n v="2.0150000000000001"/>
    <n v="2.0150000000000001"/>
    <n v="2238.89"/>
    <n v="4511.3633499999996"/>
    <n v="0"/>
    <n v="0.9"/>
    <n v="0.1"/>
    <m/>
    <m/>
    <x v="0"/>
    <m/>
    <m/>
    <m/>
    <m/>
    <m/>
    <m/>
    <m/>
    <m/>
    <m/>
    <m/>
    <m/>
    <m/>
    <m/>
    <m/>
    <m/>
    <m/>
    <m/>
  </r>
  <r>
    <s v="2.4.3.1.3"/>
    <s v="CMS M.60.10.000"/>
    <x v="2"/>
    <n v="3"/>
    <s v="SPOOL"/>
    <n v="10"/>
    <x v="1"/>
    <s v="NÃO"/>
    <s v="NÃO"/>
    <x v="84"/>
    <x v="2"/>
    <s v="DISPOSIÇÃO DE REJEITOS LINHA DE BYPASS DAS PENEIRAS LINHA DO SEPARADOR MAGNÉTICO SM-143A-9707 P/ TANQUE TQ-142A-9703 ( BYPASS DAS PENEIRAS PN-143A-9707/9727 )"/>
    <m/>
    <m/>
    <m/>
    <s v="1450AA-T-70512_FL15"/>
    <n v="2"/>
    <s v="PÇ"/>
    <n v="6"/>
    <n v="12"/>
    <n v="2238.89"/>
    <n v="26866.68"/>
    <n v="0"/>
    <n v="0.9"/>
    <n v="0.1"/>
    <m/>
    <m/>
    <x v="0"/>
    <m/>
    <m/>
    <m/>
    <m/>
    <m/>
    <m/>
    <m/>
    <m/>
    <m/>
    <m/>
    <m/>
    <m/>
    <m/>
    <m/>
    <m/>
    <m/>
    <m/>
  </r>
  <r>
    <s v="2.4.3.1.3"/>
    <s v="CMS M.60.10.000"/>
    <x v="2"/>
    <n v="4"/>
    <s v="SPOOL"/>
    <n v="10"/>
    <x v="1"/>
    <s v="NÃO"/>
    <s v="NÃO"/>
    <x v="84"/>
    <x v="2"/>
    <s v="DISPOSIÇÃO DE REJEITOS LINHA DE BYPASS DAS PENEIRAS LINHA DO SEPARADOR MAGNÉTICO SM-143A-9707 P/ TANQUE TQ-142A-9703 ( BYPASS DAS PENEIRAS PN-143A-9707/9727 )"/>
    <m/>
    <m/>
    <m/>
    <s v="1450AA-T-70512_FL14"/>
    <n v="1"/>
    <s v="PÇ"/>
    <n v="4"/>
    <n v="4"/>
    <n v="2238.89"/>
    <n v="8955.56"/>
    <n v="0"/>
    <n v="0.9"/>
    <n v="0.1"/>
    <m/>
    <m/>
    <x v="0"/>
    <m/>
    <m/>
    <m/>
    <m/>
    <m/>
    <m/>
    <m/>
    <m/>
    <m/>
    <m/>
    <m/>
    <m/>
    <m/>
    <m/>
    <m/>
    <m/>
    <m/>
  </r>
  <r>
    <s v="2.4.3.1.3"/>
    <s v="CMS M.60.10.000"/>
    <x v="2"/>
    <n v="5"/>
    <s v="SPOOL"/>
    <n v="10"/>
    <x v="1"/>
    <s v="NÃO"/>
    <s v="NÃO"/>
    <x v="84"/>
    <x v="2"/>
    <s v="DISPOSIÇÃO DE REJEITOS LINHA DE BYPASS DAS PENEIRAS LINHA DO SEPARADOR MAGNÉTICO SM-143A-9707 P/ TANQUE TQ-142A-9703 ( BYPASS DAS PENEIRAS PN-143A-9707/9727 )"/>
    <m/>
    <m/>
    <m/>
    <s v="1450AA-T-70512_FL16"/>
    <n v="1"/>
    <s v="PÇ"/>
    <n v="3"/>
    <n v="3"/>
    <n v="2238.89"/>
    <n v="6716.67"/>
    <n v="0"/>
    <n v="0.9"/>
    <n v="0.1"/>
    <m/>
    <m/>
    <x v="0"/>
    <m/>
    <m/>
    <m/>
    <m/>
    <m/>
    <m/>
    <m/>
    <m/>
    <m/>
    <m/>
    <m/>
    <m/>
    <m/>
    <m/>
    <m/>
    <m/>
    <m/>
  </r>
  <r>
    <s v="2.4.3.1.3"/>
    <s v="CMS M.60.10.000"/>
    <x v="2"/>
    <n v="6"/>
    <s v="SPOOL"/>
    <n v="10"/>
    <x v="1"/>
    <s v="NÃO"/>
    <s v="NÃO"/>
    <x v="84"/>
    <x v="2"/>
    <s v="DISPOSIÇÃO DE REJEITOS LINHA DE BYPASS DAS PENEIRAS LINHA DO SEPARADOR MAGNÉTICO SM-143A-9707 P/ TANQUE TQ-142A-9703 ( BYPASS DAS PENEIRAS PN-143A-9707/9727 )"/>
    <m/>
    <m/>
    <m/>
    <s v="1450AA-T-70512_FL17"/>
    <n v="1"/>
    <s v="PÇ"/>
    <n v="5.5"/>
    <n v="5.5"/>
    <n v="2238.89"/>
    <n v="12313.894999999999"/>
    <n v="0"/>
    <n v="0.9"/>
    <n v="0.1"/>
    <m/>
    <m/>
    <x v="0"/>
    <m/>
    <m/>
    <m/>
    <m/>
    <m/>
    <m/>
    <m/>
    <m/>
    <m/>
    <m/>
    <m/>
    <m/>
    <m/>
    <m/>
    <m/>
    <m/>
    <m/>
  </r>
  <r>
    <s v="2.4.3.1.3"/>
    <s v="CMS M.60.10.000"/>
    <x v="2"/>
    <n v="7"/>
    <s v="SPOOL"/>
    <n v="10"/>
    <x v="2"/>
    <s v="NÃO"/>
    <s v="NÃO"/>
    <x v="84"/>
    <x v="2"/>
    <s v="DISPOSIÇÃO DE REJEITOS LINHA DE BYPASS DAS PENEIRAS LINHA DO SEPARADOR MAGNÉTICO SM-143A-9707 P/ TANQUE TQ-142A-9703 ( BYPASS DAS PENEIRAS PN-143A-9707/9727 )"/>
    <m/>
    <m/>
    <m/>
    <s v="1450AA-T-70512_FL18"/>
    <n v="3"/>
    <s v="PÇ"/>
    <n v="0.6"/>
    <n v="1.7999999999999998"/>
    <n v="2238.89"/>
    <n v="4030.0019999999995"/>
    <n v="0"/>
    <n v="0.9"/>
    <n v="0.1"/>
    <m/>
    <m/>
    <x v="0"/>
    <m/>
    <m/>
    <m/>
    <m/>
    <m/>
    <m/>
    <m/>
    <m/>
    <m/>
    <m/>
    <m/>
    <m/>
    <m/>
    <m/>
    <m/>
    <m/>
    <m/>
  </r>
  <r>
    <s v="2.4.3.1.3"/>
    <s v="CMS M.60.10.000"/>
    <x v="2"/>
    <n v="8"/>
    <s v="SPOOL"/>
    <n v="10"/>
    <x v="2"/>
    <s v="NÃO"/>
    <s v="NÃO"/>
    <x v="84"/>
    <x v="2"/>
    <s v="DISPOSIÇÃO DE REJEITOS LINHA DE BYPASS DAS PENEIRAS LINHA DO SEPARADOR MAGNÉTICO SM-143A-9707 P/ TANQUE TQ-142A-9703 ( BYPASS DAS PENEIRAS PN-143A-9707/9727 )"/>
    <m/>
    <m/>
    <m/>
    <s v="1450AA-T-70512_FL19"/>
    <n v="2"/>
    <s v="PÇ"/>
    <n v="0.48"/>
    <n v="0.96"/>
    <n v="2238.89"/>
    <n v="2149.3343999999997"/>
    <n v="0"/>
    <n v="0.9"/>
    <n v="0.1"/>
    <m/>
    <m/>
    <x v="0"/>
    <m/>
    <m/>
    <m/>
    <m/>
    <m/>
    <m/>
    <m/>
    <m/>
    <m/>
    <m/>
    <m/>
    <m/>
    <m/>
    <m/>
    <m/>
    <m/>
    <m/>
  </r>
  <r>
    <s v="2.4.3.1.3"/>
    <s v="CMS M.60.10.000"/>
    <x v="2"/>
    <n v="9"/>
    <s v="CURVA"/>
    <n v="10"/>
    <x v="1"/>
    <s v="NÃO"/>
    <s v="NÃO"/>
    <x v="84"/>
    <x v="2"/>
    <s v="DISPOSIÇÃO DE REJEITOS LINHA DE BYPASS DAS PENEIRAS LINHA DO SEPARADOR MAGNÉTICO SM-143A-9707 P/ TANQUE TQ-142A-9703 ( BYPASS DAS PENEIRAS PN-143A-9707/9727 )"/>
    <m/>
    <m/>
    <m/>
    <s v="1450AA-T-70512_FL06"/>
    <n v="1"/>
    <s v="PÇ"/>
    <n v="0.28699999999999998"/>
    <n v="0.28699999999999998"/>
    <n v="2238.89"/>
    <n v="642.56142999999986"/>
    <n v="0"/>
    <n v="0.9"/>
    <n v="0.1"/>
    <m/>
    <m/>
    <x v="0"/>
    <m/>
    <m/>
    <m/>
    <m/>
    <m/>
    <m/>
    <m/>
    <m/>
    <m/>
    <m/>
    <m/>
    <m/>
    <m/>
    <m/>
    <m/>
    <m/>
    <m/>
  </r>
  <r>
    <s v="2.4.3.1.3"/>
    <s v="CMS M.60.10.000"/>
    <x v="2"/>
    <n v="10"/>
    <s v="CURVA"/>
    <n v="10"/>
    <x v="1"/>
    <s v="NÃO"/>
    <s v="NÃO"/>
    <x v="84"/>
    <x v="2"/>
    <s v="DISPOSIÇÃO DE REJEITOS LINHA DE BYPASS DAS PENEIRAS LINHA DO SEPARADOR MAGNÉTICO SM-143A-9707 P/ TANQUE TQ-142A-9703 ( BYPASS DAS PENEIRAS PN-143A-9707/9727 )"/>
    <m/>
    <m/>
    <m/>
    <s v="1450AA-T-70512_FL07"/>
    <n v="1"/>
    <s v="PÇ"/>
    <n v="1.169"/>
    <n v="1.169"/>
    <n v="2238.89"/>
    <n v="2617.2624099999998"/>
    <n v="0"/>
    <n v="0.9"/>
    <n v="0.1"/>
    <m/>
    <m/>
    <x v="0"/>
    <m/>
    <m/>
    <m/>
    <m/>
    <m/>
    <m/>
    <m/>
    <m/>
    <m/>
    <m/>
    <m/>
    <m/>
    <m/>
    <m/>
    <m/>
    <m/>
    <m/>
  </r>
  <r>
    <s v="2.4.3.1.3"/>
    <s v="CMS M.60.10.000"/>
    <x v="2"/>
    <n v="11"/>
    <s v="SPOOL"/>
    <n v="10"/>
    <x v="1"/>
    <s v="NÃO"/>
    <s v="NÃO"/>
    <x v="84"/>
    <x v="2"/>
    <s v="DISPOSIÇÃO DE REJEITOS LINHA DE BYPASS DAS PENEIRAS LINHA DO SEPARADOR MAGNÉTICO SM-143A-9707 P/ TANQUE TQ-142A-9703 ( BYPASS DAS PENEIRAS PN-143A-9707/9727 )"/>
    <m/>
    <m/>
    <m/>
    <s v="1450AA-T-70512_FL08"/>
    <n v="1"/>
    <s v="PÇ"/>
    <n v="1.29"/>
    <n v="1.29"/>
    <n v="2238.89"/>
    <n v="2888.1680999999999"/>
    <n v="0"/>
    <n v="0.9"/>
    <n v="0.1"/>
    <m/>
    <m/>
    <x v="0"/>
    <m/>
    <m/>
    <m/>
    <m/>
    <m/>
    <m/>
    <m/>
    <m/>
    <m/>
    <m/>
    <m/>
    <m/>
    <m/>
    <m/>
    <m/>
    <m/>
    <m/>
  </r>
  <r>
    <s v="2.4.3.1.3"/>
    <s v="CMS M.60.10.000"/>
    <x v="2"/>
    <n v="12"/>
    <s v="SPOOL"/>
    <n v="10"/>
    <x v="1"/>
    <s v="NÃO"/>
    <s v="NÃO"/>
    <x v="84"/>
    <x v="2"/>
    <s v="DISPOSIÇÃO DE REJEITOS LINHA DE BYPASS DAS PENEIRAS LINHA DO SEPARADOR MAGNÉTICO SM-143A-9707 P/ TANQUE TQ-142A-9703 ( BYPASS DAS PENEIRAS PN-143A-9707/9727 )"/>
    <m/>
    <m/>
    <m/>
    <s v="1450AA-T-70512_FL09"/>
    <n v="1"/>
    <s v="PÇ"/>
    <n v="1.29"/>
    <n v="1.29"/>
    <n v="2238.89"/>
    <n v="2888.1680999999999"/>
    <n v="0"/>
    <n v="0.9"/>
    <n v="0.1"/>
    <m/>
    <m/>
    <x v="0"/>
    <m/>
    <m/>
    <m/>
    <m/>
    <m/>
    <m/>
    <m/>
    <m/>
    <m/>
    <m/>
    <m/>
    <m/>
    <m/>
    <m/>
    <m/>
    <m/>
    <m/>
  </r>
  <r>
    <s v="2.4.3.1.3"/>
    <s v="CMS M.60.10.000"/>
    <x v="2"/>
    <n v="13"/>
    <s v="SPOOL"/>
    <n v="10"/>
    <x v="1"/>
    <s v="NÃO"/>
    <s v="NÃO"/>
    <x v="84"/>
    <x v="2"/>
    <s v="DISPOSIÇÃO DE REJEITOS LINHA DE BYPASS DAS PENEIRAS LINHA DO SEPARADOR MAGNÉTICO SM-143A-9707 P/ TANQUE TQ-142A-9703 ( BYPASS DAS PENEIRAS PN-143A-9707/9727 )"/>
    <m/>
    <m/>
    <m/>
    <s v="1450AA-T-70512_FL10"/>
    <n v="1"/>
    <s v="PÇ"/>
    <n v="1.29"/>
    <n v="1.29"/>
    <n v="2238.89"/>
    <n v="2888.1680999999999"/>
    <n v="0"/>
    <n v="0.9"/>
    <n v="0.1"/>
    <m/>
    <m/>
    <x v="0"/>
    <m/>
    <m/>
    <m/>
    <m/>
    <m/>
    <m/>
    <m/>
    <m/>
    <m/>
    <m/>
    <m/>
    <m/>
    <m/>
    <m/>
    <m/>
    <m/>
    <m/>
  </r>
  <r>
    <s v="2.4.3.1.3"/>
    <s v="CMS M.60.10.000"/>
    <x v="2"/>
    <n v="14"/>
    <s v="SPOOL"/>
    <n v="10"/>
    <x v="1"/>
    <s v="NÃO"/>
    <s v="NÃO"/>
    <x v="84"/>
    <x v="2"/>
    <s v="DISPOSIÇÃO DE REJEITOS LINHA DE BYPASS DAS PENEIRAS LINHA DO SEPARADOR MAGNÉTICO SM-143A-9707 P/ TANQUE TQ-142A-9703 ( BYPASS DAS PENEIRAS PN-143A-9707/9727 )"/>
    <m/>
    <m/>
    <m/>
    <s v="1450AA-T-70512_FL11"/>
    <n v="1"/>
    <s v="PÇ"/>
    <n v="1.29"/>
    <n v="1.29"/>
    <n v="2238.89"/>
    <n v="2888.1680999999999"/>
    <n v="0"/>
    <n v="0.9"/>
    <n v="0.1"/>
    <m/>
    <m/>
    <x v="0"/>
    <m/>
    <m/>
    <m/>
    <m/>
    <m/>
    <m/>
    <m/>
    <m/>
    <m/>
    <m/>
    <m/>
    <m/>
    <m/>
    <m/>
    <m/>
    <m/>
    <m/>
  </r>
  <r>
    <s v="2.4.3.1.3"/>
    <s v="CMS M.60.10.000"/>
    <x v="2"/>
    <n v="1"/>
    <s v="SPOOL"/>
    <n v="10"/>
    <x v="1"/>
    <s v="NÃO"/>
    <s v="NÃO"/>
    <x v="85"/>
    <x v="2"/>
    <s v="DISPOSIÇÃO DE REJEITOS LINHA DE BYPASS DAS PENEIRAS LINHA DO SEPARADOR MAGNÉTICO SM-143A-9708 P/ TANQUE TQ-142A-9703 ( BYPASS DAS PENEIRAS PN-143A-9708/9728 )"/>
    <m/>
    <m/>
    <m/>
    <s v="1450AA-T-70514_FL18"/>
    <n v="1"/>
    <s v="PÇ"/>
    <n v="0.62"/>
    <n v="0.62"/>
    <n v="2238.89"/>
    <n v="1388.1117999999999"/>
    <n v="0"/>
    <n v="0.9"/>
    <n v="0.1"/>
    <m/>
    <m/>
    <x v="0"/>
    <m/>
    <m/>
    <m/>
    <m/>
    <m/>
    <m/>
    <m/>
    <m/>
    <m/>
    <m/>
    <m/>
    <m/>
    <m/>
    <m/>
    <m/>
    <m/>
    <m/>
  </r>
  <r>
    <s v="2.4.3.1.3"/>
    <s v="CMS M.60.10.000"/>
    <x v="2"/>
    <n v="2"/>
    <s v="SPOOL"/>
    <n v="10"/>
    <x v="1"/>
    <s v="NÃO"/>
    <s v="NÃO"/>
    <x v="85"/>
    <x v="2"/>
    <s v="DISPOSIÇÃO DE REJEITOS LINHA DE BYPASS DAS PENEIRAS LINHA DO SEPARADOR MAGNÉTICO SM-143A-9708 P/ TANQUE TQ-142A-9703 ( BYPASS DAS PENEIRAS PN-143A-9708/9728 )"/>
    <m/>
    <m/>
    <m/>
    <s v="1450AA-T-70514_FL14"/>
    <n v="1"/>
    <s v="PÇ"/>
    <n v="3.1"/>
    <n v="3.1"/>
    <n v="2238.89"/>
    <n v="6940.5590000000002"/>
    <n v="0"/>
    <n v="0.9"/>
    <n v="0.1"/>
    <m/>
    <m/>
    <x v="0"/>
    <m/>
    <m/>
    <m/>
    <m/>
    <m/>
    <m/>
    <m/>
    <m/>
    <m/>
    <m/>
    <m/>
    <m/>
    <m/>
    <m/>
    <m/>
    <m/>
    <m/>
  </r>
  <r>
    <s v="2.4.3.1.3"/>
    <s v="CMS M.60.10.000"/>
    <x v="2"/>
    <n v="3"/>
    <s v="SPOOL"/>
    <n v="10"/>
    <x v="1"/>
    <s v="NÃO"/>
    <s v="NÃO"/>
    <x v="85"/>
    <x v="2"/>
    <s v="DISPOSIÇÃO DE REJEITOS LINHA DE BYPASS DAS PENEIRAS LINHA DO SEPARADOR MAGNÉTICO SM-143A-9708 P/ TANQUE TQ-142A-9703 ( BYPASS DAS PENEIRAS PN-143A-9708/9728 )"/>
    <m/>
    <m/>
    <m/>
    <s v="1450AA-T-70514_FL17"/>
    <n v="1"/>
    <s v="PÇ"/>
    <n v="0.55000000000000004"/>
    <n v="0.55000000000000004"/>
    <n v="2238.89"/>
    <n v="1231.3895"/>
    <n v="0"/>
    <n v="0.9"/>
    <n v="0.1"/>
    <m/>
    <m/>
    <x v="0"/>
    <m/>
    <m/>
    <m/>
    <m/>
    <m/>
    <m/>
    <m/>
    <m/>
    <m/>
    <m/>
    <m/>
    <m/>
    <m/>
    <m/>
    <m/>
    <m/>
    <m/>
  </r>
  <r>
    <s v="2.4.3.1.3"/>
    <s v="CMS M.60.10.000"/>
    <x v="2"/>
    <n v="4"/>
    <s v="SPOOL"/>
    <n v="10"/>
    <x v="1"/>
    <s v="NÃO"/>
    <s v="NÃO"/>
    <x v="85"/>
    <x v="2"/>
    <s v="DISPOSIÇÃO DE REJEITOS LINHA DE BYPASS DAS PENEIRAS LINHA DO SEPARADOR MAGNÉTICO SM-143A-9708 P/ TANQUE TQ-142A-9703 ( BYPASS DAS PENEIRAS PN-143A-9708/9728 )"/>
    <m/>
    <m/>
    <m/>
    <s v="1450AA-T-70514_FL13"/>
    <n v="3"/>
    <s v="PÇ"/>
    <n v="6"/>
    <n v="18"/>
    <n v="2238.89"/>
    <n v="40300.019999999997"/>
    <n v="0"/>
    <n v="0.9"/>
    <n v="0.1"/>
    <m/>
    <m/>
    <x v="0"/>
    <m/>
    <m/>
    <m/>
    <m/>
    <m/>
    <m/>
    <m/>
    <m/>
    <m/>
    <m/>
    <m/>
    <m/>
    <m/>
    <m/>
    <m/>
    <m/>
    <m/>
  </r>
  <r>
    <s v="2.4.3.1.3"/>
    <s v="CMS M.60.10.000"/>
    <x v="2"/>
    <n v="5"/>
    <s v="SPOOL"/>
    <n v="10"/>
    <x v="1"/>
    <s v="NÃO"/>
    <s v="NÃO"/>
    <x v="85"/>
    <x v="2"/>
    <s v="DISPOSIÇÃO DE REJEITOS LINHA DE BYPASS DAS PENEIRAS LINHA DO SEPARADOR MAGNÉTICO SM-143A-9708 P/ TANQUE TQ-142A-9703 ( BYPASS DAS PENEIRAS PN-143A-9708/9728 )"/>
    <m/>
    <m/>
    <m/>
    <s v="1450AA-T-70514_FL16"/>
    <n v="1"/>
    <s v="PÇ"/>
    <n v="1"/>
    <n v="1"/>
    <n v="2238.89"/>
    <n v="2238.89"/>
    <n v="0"/>
    <n v="0.9"/>
    <n v="0.1"/>
    <m/>
    <m/>
    <x v="0"/>
    <m/>
    <m/>
    <m/>
    <m/>
    <m/>
    <m/>
    <m/>
    <m/>
    <m/>
    <m/>
    <m/>
    <m/>
    <m/>
    <m/>
    <m/>
    <m/>
    <m/>
  </r>
  <r>
    <s v="2.4.3.1.3"/>
    <s v="CMS M.60.10.000"/>
    <x v="2"/>
    <n v="6"/>
    <s v="SPOOL"/>
    <n v="10"/>
    <x v="1"/>
    <s v="NÃO"/>
    <s v="NÃO"/>
    <x v="85"/>
    <x v="2"/>
    <s v="DISPOSIÇÃO DE REJEITOS LINHA DE BYPASS DAS PENEIRAS LINHA DO SEPARADOR MAGNÉTICO SM-143A-9708 P/ TANQUE TQ-142A-9703 ( BYPASS DAS PENEIRAS PN-143A-9708/9728 )"/>
    <m/>
    <m/>
    <m/>
    <s v="1450AA-T-70514_FL15"/>
    <n v="1"/>
    <s v="PÇ"/>
    <n v="1.9"/>
    <n v="1.9"/>
    <n v="2238.89"/>
    <n v="4253.8909999999996"/>
    <n v="0"/>
    <n v="0.9"/>
    <n v="0.1"/>
    <m/>
    <m/>
    <x v="0"/>
    <m/>
    <m/>
    <m/>
    <m/>
    <m/>
    <m/>
    <m/>
    <m/>
    <m/>
    <m/>
    <m/>
    <m/>
    <m/>
    <m/>
    <m/>
    <m/>
    <m/>
  </r>
  <r>
    <s v="2.4.3.1.3"/>
    <s v="CMS M.60.10.000"/>
    <x v="2"/>
    <n v="7"/>
    <s v="SPOOL"/>
    <n v="10"/>
    <x v="2"/>
    <s v="NÃO"/>
    <s v="NÃO"/>
    <x v="85"/>
    <x v="2"/>
    <s v="DISPOSIÇÃO DE REJEITOS LINHA DE BYPASS DAS PENEIRAS LINHA DO SEPARADOR MAGNÉTICO SM-143A-9708 P/ TANQUE TQ-142A-9703 ( BYPASS DAS PENEIRAS PN-143A-9708/9728 )"/>
    <m/>
    <m/>
    <m/>
    <s v="1450AA-T-70514_FL19"/>
    <n v="1"/>
    <s v="PÇ"/>
    <n v="0.85"/>
    <n v="0.85"/>
    <n v="2238.89"/>
    <n v="1903.0564999999999"/>
    <n v="0"/>
    <n v="0.9"/>
    <n v="0.1"/>
    <m/>
    <m/>
    <x v="0"/>
    <m/>
    <m/>
    <m/>
    <m/>
    <m/>
    <m/>
    <m/>
    <m/>
    <m/>
    <m/>
    <m/>
    <m/>
    <m/>
    <m/>
    <m/>
    <m/>
    <m/>
  </r>
  <r>
    <s v="2.4.3.1.3"/>
    <s v="CMS M.60.10.000"/>
    <x v="2"/>
    <n v="8"/>
    <s v="SPOOL"/>
    <n v="10"/>
    <x v="2"/>
    <s v="NÃO"/>
    <s v="NÃO"/>
    <x v="85"/>
    <x v="2"/>
    <s v="DISPOSIÇÃO DE REJEITOS LINHA DE BYPASS DAS PENEIRAS LINHA DO SEPARADOR MAGNÉTICO SM-143A-9708 P/ TANQUE TQ-142A-9703 ( BYPASS DAS PENEIRAS PN-143A-9708/9728 )"/>
    <m/>
    <m/>
    <m/>
    <s v="1450AA-T-70514_FL20"/>
    <n v="1"/>
    <s v="PÇ"/>
    <n v="0.48"/>
    <n v="0.48"/>
    <n v="2238.89"/>
    <n v="1074.6671999999999"/>
    <n v="0"/>
    <n v="0.9"/>
    <n v="0.1"/>
    <m/>
    <m/>
    <x v="0"/>
    <m/>
    <m/>
    <m/>
    <m/>
    <m/>
    <m/>
    <m/>
    <m/>
    <m/>
    <m/>
    <m/>
    <m/>
    <m/>
    <m/>
    <m/>
    <m/>
    <m/>
  </r>
  <r>
    <s v="2.4.3.1.3"/>
    <s v="CMS M.60.10.000"/>
    <x v="2"/>
    <n v="9"/>
    <s v="SPOOL"/>
    <n v="10"/>
    <x v="2"/>
    <s v="NÃO"/>
    <s v="NÃO"/>
    <x v="85"/>
    <x v="2"/>
    <s v="DISPOSIÇÃO DE REJEITOS LINHA DE BYPASS DAS PENEIRAS LINHA DO SEPARADOR MAGNÉTICO SM-143A-9708 P/ TANQUE TQ-142A-9703 ( BYPASS DAS PENEIRAS PN-143A-9708/9728 )"/>
    <m/>
    <m/>
    <m/>
    <s v="1450AA-T-70514_FL21"/>
    <n v="1"/>
    <s v="PÇ"/>
    <n v="0.65"/>
    <n v="0.65"/>
    <n v="2238.89"/>
    <n v="1455.2784999999999"/>
    <n v="0"/>
    <n v="0.9"/>
    <n v="0.1"/>
    <m/>
    <m/>
    <x v="0"/>
    <m/>
    <m/>
    <m/>
    <m/>
    <m/>
    <m/>
    <m/>
    <m/>
    <m/>
    <m/>
    <m/>
    <m/>
    <m/>
    <m/>
    <m/>
    <m/>
    <m/>
  </r>
  <r>
    <s v="2.4.3.1.3"/>
    <s v="CMS M.60.10.000"/>
    <x v="2"/>
    <n v="10"/>
    <s v="CURVA"/>
    <n v="10"/>
    <x v="1"/>
    <s v="NÃO"/>
    <s v="NÃO"/>
    <x v="85"/>
    <x v="2"/>
    <s v="DISPOSIÇÃO DE REJEITOS LINHA DE BYPASS DAS PENEIRAS LINHA DO SEPARADOR MAGNÉTICO SM-143A-9708 P/ TANQUE TQ-142A-9703 ( BYPASS DAS PENEIRAS PN-143A-9708/9728 )"/>
    <m/>
    <m/>
    <m/>
    <s v="1450AA-T-70514_FL06"/>
    <n v="1"/>
    <s v="PÇ"/>
    <n v="1.002"/>
    <n v="1.002"/>
    <n v="2238.89"/>
    <n v="2243.36778"/>
    <n v="0"/>
    <n v="0.9"/>
    <n v="0.1"/>
    <m/>
    <m/>
    <x v="0"/>
    <m/>
    <m/>
    <m/>
    <m/>
    <m/>
    <m/>
    <m/>
    <m/>
    <m/>
    <m/>
    <m/>
    <m/>
    <m/>
    <m/>
    <m/>
    <m/>
    <m/>
  </r>
  <r>
    <s v="2.4.3.1.3"/>
    <s v="CMS M.60.10.000"/>
    <x v="2"/>
    <n v="11"/>
    <s v="CURVA"/>
    <n v="10"/>
    <x v="1"/>
    <s v="NÃO"/>
    <s v="NÃO"/>
    <x v="85"/>
    <x v="2"/>
    <s v="DISPOSIÇÃO DE REJEITOS LINHA DE BYPASS DAS PENEIRAS LINHA DO SEPARADOR MAGNÉTICO SM-143A-9708 P/ TANQUE TQ-142A-9703 ( BYPASS DAS PENEIRAS PN-143A-9708/9728 )"/>
    <m/>
    <m/>
    <m/>
    <s v="1450AA-T-70514_FL07"/>
    <n v="1"/>
    <s v="PÇ"/>
    <n v="0.96299999999999997"/>
    <n v="0.96299999999999997"/>
    <n v="2238.89"/>
    <n v="2156.05107"/>
    <n v="0"/>
    <n v="0.9"/>
    <n v="0.1"/>
    <m/>
    <m/>
    <x v="0"/>
    <m/>
    <m/>
    <m/>
    <m/>
    <m/>
    <m/>
    <m/>
    <m/>
    <m/>
    <m/>
    <m/>
    <m/>
    <m/>
    <m/>
    <m/>
    <m/>
    <m/>
  </r>
  <r>
    <s v="2.4.3.1.3"/>
    <s v="CMS M.60.10.000"/>
    <x v="2"/>
    <n v="12"/>
    <s v="CURVA"/>
    <n v="10"/>
    <x v="1"/>
    <s v="NÃO"/>
    <s v="NÃO"/>
    <x v="85"/>
    <x v="2"/>
    <s v="DISPOSIÇÃO DE REJEITOS LINHA DE BYPASS DAS PENEIRAS LINHA DO SEPARADOR MAGNÉTICO SM-143A-9708 P/ TANQUE TQ-142A-9703 ( BYPASS DAS PENEIRAS PN-143A-9708/9728 )"/>
    <m/>
    <m/>
    <m/>
    <s v="1450AA-T-70514_FL08"/>
    <n v="1"/>
    <s v="PÇ"/>
    <n v="1.1040000000000001"/>
    <n v="1.1040000000000001"/>
    <n v="2238.89"/>
    <n v="2471.7345599999999"/>
    <n v="0"/>
    <n v="0.9"/>
    <n v="0.1"/>
    <m/>
    <m/>
    <x v="0"/>
    <m/>
    <m/>
    <m/>
    <m/>
    <m/>
    <m/>
    <m/>
    <m/>
    <m/>
    <m/>
    <m/>
    <m/>
    <m/>
    <m/>
    <m/>
    <m/>
    <m/>
  </r>
  <r>
    <s v="2.4.3.1.3"/>
    <s v="CMS M.60.10.000"/>
    <x v="2"/>
    <n v="13"/>
    <s v="CURVA"/>
    <n v="10"/>
    <x v="1"/>
    <s v="NÃO"/>
    <s v="NÃO"/>
    <x v="85"/>
    <x v="2"/>
    <s v="DISPOSIÇÃO DE REJEITOS LINHA DE BYPASS DAS PENEIRAS LINHA DO SEPARADOR MAGNÉTICO SM-143A-9708 P/ TANQUE TQ-142A-9703 ( BYPASS DAS PENEIRAS PN-143A-9708/9728 )"/>
    <m/>
    <m/>
    <m/>
    <s v="1450AA-T-70514_FL09"/>
    <n v="1"/>
    <s v="PÇ"/>
    <n v="1.169"/>
    <n v="1.169"/>
    <n v="2238.89"/>
    <n v="2617.2624099999998"/>
    <n v="0"/>
    <n v="0.9"/>
    <n v="0.1"/>
    <m/>
    <m/>
    <x v="0"/>
    <m/>
    <m/>
    <m/>
    <m/>
    <m/>
    <m/>
    <m/>
    <m/>
    <m/>
    <m/>
    <m/>
    <m/>
    <m/>
    <m/>
    <m/>
    <m/>
    <m/>
  </r>
  <r>
    <s v="2.4.3.1.3"/>
    <s v="CMS M.60.10.000"/>
    <x v="2"/>
    <n v="14"/>
    <s v="CURVA"/>
    <n v="10"/>
    <x v="1"/>
    <s v="NÃO"/>
    <s v="NÃO"/>
    <x v="85"/>
    <x v="2"/>
    <s v="DISPOSIÇÃO DE REJEITOS LINHA DE BYPASS DAS PENEIRAS LINHA DO SEPARADOR MAGNÉTICO SM-143A-9708 P/ TANQUE TQ-142A-9703 ( BYPASS DAS PENEIRAS PN-143A-9708/9728 )"/>
    <m/>
    <m/>
    <m/>
    <s v="1450AA-T-70514_FL10"/>
    <n v="1"/>
    <s v="PÇ"/>
    <n v="1.1299999999999999"/>
    <n v="1.1299999999999999"/>
    <n v="2238.89"/>
    <n v="2529.9456999999998"/>
    <n v="0"/>
    <n v="0.9"/>
    <n v="0.1"/>
    <m/>
    <m/>
    <x v="0"/>
    <m/>
    <m/>
    <m/>
    <m/>
    <m/>
    <m/>
    <m/>
    <m/>
    <m/>
    <m/>
    <m/>
    <m/>
    <m/>
    <m/>
    <m/>
    <m/>
    <m/>
  </r>
  <r>
    <s v="2.4.3.1.3"/>
    <s v="CMS M.60.10.000"/>
    <x v="2"/>
    <n v="15"/>
    <s v="SPOOL"/>
    <n v="10"/>
    <x v="1"/>
    <s v="NÃO"/>
    <s v="NÃO"/>
    <x v="85"/>
    <x v="2"/>
    <s v="DISPOSIÇÃO DE REJEITOS LINHA DE BYPASS DAS PENEIRAS LINHA DO SEPARADOR MAGNÉTICO SM-143A-9708 P/ TANQUE TQ-142A-9703 ( BYPASS DAS PENEIRAS PN-143A-9708/9728 )"/>
    <m/>
    <m/>
    <m/>
    <s v="1450AA-T-70514_FL12"/>
    <n v="1"/>
    <s v="PÇ"/>
    <n v="1.202"/>
    <n v="1.202"/>
    <n v="2238.89"/>
    <n v="2691.1457799999998"/>
    <n v="0"/>
    <n v="0.9"/>
    <n v="0.1"/>
    <m/>
    <m/>
    <x v="0"/>
    <m/>
    <m/>
    <m/>
    <m/>
    <m/>
    <m/>
    <m/>
    <m/>
    <m/>
    <m/>
    <m/>
    <m/>
    <m/>
    <m/>
    <m/>
    <m/>
    <m/>
  </r>
  <r>
    <s v="2.4.3.1.3"/>
    <s v="CMS M.60.10.000"/>
    <x v="2"/>
    <n v="16"/>
    <s v="SPOOL"/>
    <n v="10"/>
    <x v="1"/>
    <s v="NÃO"/>
    <s v="NÃO"/>
    <x v="85"/>
    <x v="2"/>
    <s v="DISPOSIÇÃO DE REJEITOS LINHA DE BYPASS DAS PENEIRAS LINHA DO SEPARADOR MAGNÉTICO SM-143A-9708 P/ TANQUE TQ-142A-9703 ( BYPASS DAS PENEIRAS PN-143A-9708/9728 )"/>
    <m/>
    <m/>
    <m/>
    <s v="1450AA-T-70514_FL11"/>
    <n v="1"/>
    <s v="PÇ"/>
    <n v="1.202"/>
    <n v="1.202"/>
    <n v="2238.89"/>
    <n v="2691.1457799999998"/>
    <n v="0"/>
    <n v="0.9"/>
    <n v="0.1"/>
    <m/>
    <m/>
    <x v="0"/>
    <m/>
    <m/>
    <m/>
    <m/>
    <m/>
    <m/>
    <m/>
    <m/>
    <m/>
    <m/>
    <m/>
    <m/>
    <m/>
    <m/>
    <m/>
    <m/>
    <m/>
  </r>
  <r>
    <s v="2.4.3.1.3"/>
    <s v="CMS M.60.10.000"/>
    <x v="2"/>
    <n v="1"/>
    <s v="SPOOL"/>
    <n v="10"/>
    <x v="1"/>
    <s v="NÃO"/>
    <s v="NÃO"/>
    <x v="86"/>
    <x v="2"/>
    <s v="DISPOSIÇÃO DE REJEITOS LINHA DE BYPASS DAS PENEIRAS LINHA DO SEPARADOR MAGNÉTICO SM-143A-9609 P/ TANQUE TQ-142A-9703 ( BYPASS DAS PENEIRAS PN-143A-9709/9729 )"/>
    <m/>
    <m/>
    <m/>
    <s v="1450AA-T-70516_FL13"/>
    <n v="1"/>
    <s v="PÇ"/>
    <n v="1.29"/>
    <n v="1.29"/>
    <n v="2238.89"/>
    <n v="2888.1680999999999"/>
    <n v="0"/>
    <n v="0.9"/>
    <n v="0.1"/>
    <m/>
    <m/>
    <x v="0"/>
    <m/>
    <m/>
    <m/>
    <m/>
    <m/>
    <m/>
    <m/>
    <m/>
    <m/>
    <m/>
    <m/>
    <m/>
    <m/>
    <m/>
    <m/>
    <m/>
    <m/>
  </r>
  <r>
    <s v="2.4.3.1.3"/>
    <s v="CMS M.60.10.000"/>
    <x v="2"/>
    <n v="2"/>
    <s v="SPOOL"/>
    <n v="10"/>
    <x v="1"/>
    <s v="NÃO"/>
    <s v="NÃO"/>
    <x v="86"/>
    <x v="2"/>
    <s v="DISPOSIÇÃO DE REJEITOS LINHA DE BYPASS DAS PENEIRAS LINHA DO SEPARADOR MAGNÉTICO SM-143A-9609 P/ TANQUE TQ-142A-9703 ( BYPASS DAS PENEIRAS PN-143A-9709/9729 )"/>
    <m/>
    <m/>
    <m/>
    <s v="1450AA-T-70516_FL14"/>
    <n v="1"/>
    <s v="PÇ"/>
    <n v="0.39"/>
    <n v="0.39"/>
    <n v="2238.89"/>
    <n v="873.1671"/>
    <n v="0"/>
    <n v="0.9"/>
    <n v="0.1"/>
    <m/>
    <m/>
    <x v="0"/>
    <m/>
    <m/>
    <m/>
    <m/>
    <m/>
    <m/>
    <m/>
    <m/>
    <m/>
    <m/>
    <m/>
    <m/>
    <m/>
    <m/>
    <m/>
    <m/>
    <m/>
  </r>
  <r>
    <s v="2.4.3.1.3"/>
    <s v="CMS M.60.10.000"/>
    <x v="2"/>
    <n v="3"/>
    <s v="SPOOL"/>
    <n v="10"/>
    <x v="1"/>
    <s v="NÃO"/>
    <s v="NÃO"/>
    <x v="86"/>
    <x v="2"/>
    <s v="DISPOSIÇÃO DE REJEITOS LINHA DE BYPASS DAS PENEIRAS LINHA DO SEPARADOR MAGNÉTICO SM-143A-9609 P/ TANQUE TQ-142A-9703 ( BYPASS DAS PENEIRAS PN-143A-9709/9729 )"/>
    <m/>
    <m/>
    <m/>
    <s v="1450AA-T-70516_FL15"/>
    <n v="1"/>
    <s v="PÇ"/>
    <n v="1"/>
    <n v="1"/>
    <n v="2238.89"/>
    <n v="2238.89"/>
    <n v="0"/>
    <n v="0.9"/>
    <n v="0.1"/>
    <m/>
    <m/>
    <x v="0"/>
    <m/>
    <m/>
    <m/>
    <m/>
    <m/>
    <m/>
    <m/>
    <m/>
    <m/>
    <m/>
    <m/>
    <m/>
    <m/>
    <m/>
    <m/>
    <m/>
    <m/>
  </r>
  <r>
    <s v="2.4.3.1.3"/>
    <s v="CMS M.60.10.000"/>
    <x v="2"/>
    <n v="4"/>
    <s v="SPOOL"/>
    <n v="10"/>
    <x v="1"/>
    <s v="NÃO"/>
    <s v="NÃO"/>
    <x v="86"/>
    <x v="2"/>
    <s v="DISPOSIÇÃO DE REJEITOS LINHA DE BYPASS DAS PENEIRAS LINHA DO SEPARADOR MAGNÉTICO SM-143A-9609 P/ TANQUE TQ-142A-9703 ( BYPASS DAS PENEIRAS PN-143A-9709/9729 )"/>
    <m/>
    <m/>
    <m/>
    <s v="1450AA-T-70516_FL16"/>
    <n v="1"/>
    <s v="PÇ"/>
    <n v="0.78"/>
    <n v="0.78"/>
    <n v="2238.89"/>
    <n v="1746.3342"/>
    <n v="0"/>
    <n v="0.9"/>
    <n v="0.1"/>
    <m/>
    <m/>
    <x v="0"/>
    <m/>
    <m/>
    <m/>
    <m/>
    <m/>
    <m/>
    <m/>
    <m/>
    <m/>
    <m/>
    <m/>
    <m/>
    <m/>
    <m/>
    <m/>
    <m/>
    <m/>
  </r>
  <r>
    <s v="2.4.3.1.3"/>
    <s v="CMS M.60.10.000"/>
    <x v="2"/>
    <n v="5"/>
    <s v="SPOOL"/>
    <n v="10"/>
    <x v="1"/>
    <s v="NÃO"/>
    <s v="NÃO"/>
    <x v="86"/>
    <x v="2"/>
    <s v="DISPOSIÇÃO DE REJEITOS LINHA DE BYPASS DAS PENEIRAS LINHA DO SEPARADOR MAGNÉTICO SM-143A-9609 P/ TANQUE TQ-142A-9703 ( BYPASS DAS PENEIRAS PN-143A-9709/9729 )"/>
    <m/>
    <m/>
    <m/>
    <s v="1450AA-T-70516_FL17"/>
    <n v="2"/>
    <s v="PÇ"/>
    <n v="6"/>
    <n v="12"/>
    <n v="2238.89"/>
    <n v="26866.68"/>
    <n v="0"/>
    <n v="0.9"/>
    <n v="0.1"/>
    <m/>
    <m/>
    <x v="0"/>
    <m/>
    <m/>
    <m/>
    <m/>
    <m/>
    <m/>
    <m/>
    <m/>
    <m/>
    <m/>
    <m/>
    <m/>
    <m/>
    <m/>
    <m/>
    <m/>
    <m/>
  </r>
  <r>
    <s v="2.4.3.1.3"/>
    <s v="CMS M.60.10.000"/>
    <x v="2"/>
    <n v="6"/>
    <s v="SPOOL"/>
    <n v="10"/>
    <x v="1"/>
    <s v="NÃO"/>
    <s v="NÃO"/>
    <x v="86"/>
    <x v="2"/>
    <s v="DISPOSIÇÃO DE REJEITOS LINHA DE BYPASS DAS PENEIRAS LINHA DO SEPARADOR MAGNÉTICO SM-143A-9609 P/ TANQUE TQ-142A-9703 ( BYPASS DAS PENEIRAS PN-143A-9709/9729 )"/>
    <m/>
    <m/>
    <m/>
    <s v="1450AA-T-70516_FL18"/>
    <n v="1"/>
    <s v="PÇ"/>
    <n v="3.5"/>
    <n v="3.5"/>
    <n v="2238.89"/>
    <n v="7836.1149999999998"/>
    <n v="0"/>
    <n v="0.9"/>
    <n v="0.1"/>
    <m/>
    <m/>
    <x v="0"/>
    <m/>
    <m/>
    <m/>
    <m/>
    <m/>
    <m/>
    <m/>
    <m/>
    <m/>
    <m/>
    <m/>
    <m/>
    <m/>
    <m/>
    <m/>
    <m/>
    <m/>
  </r>
  <r>
    <s v="2.4.3.1.3"/>
    <s v="CMS M.60.10.000"/>
    <x v="2"/>
    <n v="7"/>
    <s v="SPOOL"/>
    <n v="10"/>
    <x v="1"/>
    <s v="NÃO"/>
    <s v="NÃO"/>
    <x v="86"/>
    <x v="2"/>
    <s v="DISPOSIÇÃO DE REJEITOS LINHA DE BYPASS DAS PENEIRAS LINHA DO SEPARADOR MAGNÉTICO SM-143A-9609 P/ TANQUE TQ-142A-9703 ( BYPASS DAS PENEIRAS PN-143A-9709/9729 )"/>
    <m/>
    <m/>
    <m/>
    <s v="1450AA-T-70516_FL19"/>
    <n v="1"/>
    <s v="PÇ"/>
    <n v="2.786"/>
    <n v="2.786"/>
    <n v="2238.89"/>
    <n v="6237.5475399999996"/>
    <n v="0"/>
    <n v="0.9"/>
    <n v="0.1"/>
    <m/>
    <m/>
    <x v="0"/>
    <m/>
    <m/>
    <m/>
    <m/>
    <m/>
    <m/>
    <m/>
    <m/>
    <m/>
    <m/>
    <m/>
    <m/>
    <m/>
    <m/>
    <m/>
    <m/>
    <m/>
  </r>
  <r>
    <s v="2.4.3.1.3"/>
    <s v="CMS M.60.10.000"/>
    <x v="2"/>
    <n v="8"/>
    <s v="SPOOL"/>
    <n v="10"/>
    <x v="1"/>
    <s v="NÃO"/>
    <s v="NÃO"/>
    <x v="86"/>
    <x v="2"/>
    <s v="DISPOSIÇÃO DE REJEITOS LINHA DE BYPASS DAS PENEIRAS LINHA DO SEPARADOR MAGNÉTICO SM-143A-9609 P/ TANQUE TQ-142A-9703 ( BYPASS DAS PENEIRAS PN-143A-9709/9729 )"/>
    <m/>
    <m/>
    <m/>
    <s v="1450AA-T-70516_FL20"/>
    <n v="1"/>
    <s v="PÇ"/>
    <n v="5.5"/>
    <n v="5.5"/>
    <n v="2238.89"/>
    <n v="12313.894999999999"/>
    <n v="0"/>
    <n v="0.9"/>
    <n v="0.1"/>
    <m/>
    <m/>
    <x v="0"/>
    <m/>
    <m/>
    <m/>
    <m/>
    <m/>
    <m/>
    <m/>
    <m/>
    <m/>
    <m/>
    <m/>
    <m/>
    <m/>
    <m/>
    <m/>
    <m/>
    <m/>
  </r>
  <r>
    <s v="2.4.3.1.3"/>
    <s v="CMS M.60.10.000"/>
    <x v="2"/>
    <n v="9"/>
    <s v="SPOOL"/>
    <n v="10"/>
    <x v="2"/>
    <s v="NÃO"/>
    <s v="NÃO"/>
    <x v="86"/>
    <x v="2"/>
    <s v="DISPOSIÇÃO DE REJEITOS LINHA DE BYPASS DAS PENEIRAS LINHA DO SEPARADOR MAGNÉTICO SM-143A-9609 P/ TANQUE TQ-142A-9703 ( BYPASS DAS PENEIRAS PN-143A-9709/9729 )"/>
    <m/>
    <m/>
    <m/>
    <s v="1450AA-T-70516_FL21"/>
    <n v="1"/>
    <s v="PÇ"/>
    <n v="0.63"/>
    <n v="0.63"/>
    <n v="2238.89"/>
    <n v="1410.5006999999998"/>
    <n v="0"/>
    <n v="0.9"/>
    <n v="0.1"/>
    <m/>
    <m/>
    <x v="0"/>
    <m/>
    <m/>
    <m/>
    <m/>
    <m/>
    <m/>
    <m/>
    <m/>
    <m/>
    <m/>
    <m/>
    <m/>
    <m/>
    <m/>
    <m/>
    <m/>
    <m/>
  </r>
  <r>
    <s v="2.4.3.1.3"/>
    <s v="CMS M.60.10.000"/>
    <x v="2"/>
    <n v="10"/>
    <s v="SPOOL"/>
    <n v="10"/>
    <x v="2"/>
    <s v="NÃO"/>
    <s v="NÃO"/>
    <x v="86"/>
    <x v="2"/>
    <s v="DISPOSIÇÃO DE REJEITOS LINHA DE BYPASS DAS PENEIRAS LINHA DO SEPARADOR MAGNÉTICO SM-143A-9609 P/ TANQUE TQ-142A-9703 ( BYPASS DAS PENEIRAS PN-143A-9709/9729 )"/>
    <m/>
    <m/>
    <m/>
    <s v="1450AA-T-70516_FL22"/>
    <n v="1"/>
    <s v="PÇ"/>
    <n v="0.47"/>
    <n v="0.47"/>
    <n v="2238.89"/>
    <n v="1052.2782999999999"/>
    <n v="0"/>
    <n v="0.9"/>
    <n v="0.1"/>
    <m/>
    <m/>
    <x v="0"/>
    <m/>
    <m/>
    <m/>
    <m/>
    <m/>
    <m/>
    <m/>
    <m/>
    <m/>
    <m/>
    <m/>
    <m/>
    <m/>
    <m/>
    <m/>
    <m/>
    <m/>
  </r>
  <r>
    <s v="2.4.3.1.3"/>
    <s v="CMS M.60.10.000"/>
    <x v="2"/>
    <n v="11"/>
    <s v="SPOOL"/>
    <n v="10"/>
    <x v="2"/>
    <s v="NÃO"/>
    <s v="NÃO"/>
    <x v="86"/>
    <x v="2"/>
    <s v="DISPOSIÇÃO DE REJEITOS LINHA DE BYPASS DAS PENEIRAS LINHA DO SEPARADOR MAGNÉTICO SM-143A-9609 P/ TANQUE TQ-142A-9703 ( BYPASS DAS PENEIRAS PN-143A-9709/9729 )"/>
    <m/>
    <m/>
    <m/>
    <s v="1450AA-T-70516_FL23"/>
    <n v="1"/>
    <s v="PÇ"/>
    <n v="0.56999999999999995"/>
    <n v="0.56999999999999995"/>
    <n v="2238.89"/>
    <n v="1276.1672999999998"/>
    <n v="0"/>
    <n v="0.9"/>
    <n v="0.1"/>
    <m/>
    <m/>
    <x v="0"/>
    <m/>
    <m/>
    <m/>
    <m/>
    <m/>
    <m/>
    <m/>
    <m/>
    <m/>
    <m/>
    <m/>
    <m/>
    <m/>
    <m/>
    <m/>
    <m/>
    <m/>
  </r>
  <r>
    <s v="2.4.3.1.3"/>
    <s v="CMS M.60.10.000"/>
    <x v="2"/>
    <n v="12"/>
    <s v="CURVA"/>
    <n v="10"/>
    <x v="1"/>
    <s v="NÃO"/>
    <s v="NÃO"/>
    <x v="86"/>
    <x v="2"/>
    <s v="DISPOSIÇÃO DE REJEITOS LINHA DE BYPASS DAS PENEIRAS LINHA DO SEPARADOR MAGNÉTICO SM-143A-9609 P/ TANQUE TQ-142A-9703 ( BYPASS DAS PENEIRAS PN-143A-9709/9729 )"/>
    <m/>
    <m/>
    <m/>
    <s v="1450AA-T-70516_FL06"/>
    <n v="1"/>
    <s v="PÇ"/>
    <n v="1.264"/>
    <n v="1.264"/>
    <n v="2238.89"/>
    <n v="2829.95696"/>
    <n v="0"/>
    <n v="0.9"/>
    <n v="0.1"/>
    <m/>
    <m/>
    <x v="0"/>
    <m/>
    <m/>
    <m/>
    <m/>
    <m/>
    <m/>
    <m/>
    <m/>
    <m/>
    <m/>
    <m/>
    <m/>
    <m/>
    <m/>
    <m/>
    <m/>
    <m/>
  </r>
  <r>
    <s v="2.4.3.1.3"/>
    <s v="CMS M.60.10.000"/>
    <x v="2"/>
    <n v="13"/>
    <s v="CURVA"/>
    <n v="10"/>
    <x v="1"/>
    <s v="NÃO"/>
    <s v="NÃO"/>
    <x v="86"/>
    <x v="2"/>
    <s v="DISPOSIÇÃO DE REJEITOS LINHA DE BYPASS DAS PENEIRAS LINHA DO SEPARADOR MAGNÉTICO SM-143A-9609 P/ TANQUE TQ-142A-9703 ( BYPASS DAS PENEIRAS PN-143A-9709/9729 )"/>
    <m/>
    <m/>
    <m/>
    <s v="1450AA-T-70516_FL07"/>
    <n v="1"/>
    <s v="PÇ"/>
    <n v="0.77300000000000002"/>
    <n v="0.77300000000000002"/>
    <n v="2238.89"/>
    <n v="1730.6619699999999"/>
    <n v="0"/>
    <n v="0.9"/>
    <n v="0.1"/>
    <m/>
    <m/>
    <x v="0"/>
    <m/>
    <m/>
    <m/>
    <m/>
    <m/>
    <m/>
    <m/>
    <m/>
    <m/>
    <m/>
    <m/>
    <m/>
    <m/>
    <m/>
    <m/>
    <m/>
    <m/>
  </r>
  <r>
    <s v="2.4.3.1.3"/>
    <s v="CMS M.60.10.000"/>
    <x v="2"/>
    <n v="14"/>
    <s v="CURVA"/>
    <n v="10"/>
    <x v="1"/>
    <s v="NÃO"/>
    <s v="NÃO"/>
    <x v="86"/>
    <x v="2"/>
    <s v="DISPOSIÇÃO DE REJEITOS LINHA DE BYPASS DAS PENEIRAS LINHA DO SEPARADOR MAGNÉTICO SM-143A-9609 P/ TANQUE TQ-142A-9703 ( BYPASS DAS PENEIRAS PN-143A-9709/9729 )"/>
    <m/>
    <m/>
    <m/>
    <s v="1450AA-T-70516_FL08"/>
    <n v="1"/>
    <s v="PÇ"/>
    <n v="1.0609999999999999"/>
    <n v="1.0609999999999999"/>
    <n v="2238.89"/>
    <n v="2375.4622899999999"/>
    <n v="0"/>
    <n v="0.9"/>
    <n v="0.1"/>
    <m/>
    <m/>
    <x v="0"/>
    <m/>
    <m/>
    <m/>
    <m/>
    <m/>
    <m/>
    <m/>
    <m/>
    <m/>
    <m/>
    <m/>
    <m/>
    <m/>
    <m/>
    <m/>
    <m/>
    <m/>
  </r>
  <r>
    <s v="2.4.3.1.3"/>
    <s v="CMS M.60.10.000"/>
    <x v="2"/>
    <n v="15"/>
    <s v="CURVA"/>
    <n v="10"/>
    <x v="1"/>
    <s v="NÃO"/>
    <s v="NÃO"/>
    <x v="86"/>
    <x v="2"/>
    <s v="DISPOSIÇÃO DE REJEITOS LINHA DE BYPASS DAS PENEIRAS LINHA DO SEPARADOR MAGNÉTICO SM-143A-9609 P/ TANQUE TQ-142A-9703 ( BYPASS DAS PENEIRAS PN-143A-9709/9729 )"/>
    <m/>
    <m/>
    <m/>
    <s v="1450AA-T-70516_FL09"/>
    <n v="1"/>
    <s v="PÇ"/>
    <n v="1.002"/>
    <n v="1.002"/>
    <n v="2238.89"/>
    <n v="2243.36778"/>
    <n v="0"/>
    <n v="0.9"/>
    <n v="0.1"/>
    <m/>
    <m/>
    <x v="0"/>
    <m/>
    <m/>
    <m/>
    <m/>
    <m/>
    <m/>
    <m/>
    <m/>
    <m/>
    <m/>
    <m/>
    <m/>
    <m/>
    <m/>
    <m/>
    <m/>
    <m/>
  </r>
  <r>
    <s v="2.4.3.1.3"/>
    <s v="CMS M.60.10.000"/>
    <x v="2"/>
    <n v="16"/>
    <s v="SPOOL"/>
    <n v="10"/>
    <x v="1"/>
    <s v="NÃO"/>
    <s v="NÃO"/>
    <x v="86"/>
    <x v="2"/>
    <s v="DISPOSIÇÃO DE REJEITOS LINHA DE BYPASS DAS PENEIRAS LINHA DO SEPARADOR MAGNÉTICO SM-143A-9609 P/ TANQUE TQ-142A-9703 ( BYPASS DAS PENEIRAS PN-143A-9709/9729 )"/>
    <m/>
    <m/>
    <m/>
    <s v="1450AA-T-70516_FL10"/>
    <n v="1"/>
    <s v="PÇ"/>
    <n v="1.22"/>
    <n v="1.22"/>
    <n v="2238.89"/>
    <n v="2731.4458"/>
    <n v="0"/>
    <n v="0.9"/>
    <n v="0.1"/>
    <m/>
    <m/>
    <x v="0"/>
    <m/>
    <m/>
    <m/>
    <m/>
    <m/>
    <m/>
    <m/>
    <m/>
    <m/>
    <m/>
    <m/>
    <m/>
    <m/>
    <m/>
    <m/>
    <m/>
    <m/>
  </r>
  <r>
    <s v="2.4.3.1.3"/>
    <s v="CMS M.60.10.000"/>
    <x v="2"/>
    <n v="17"/>
    <s v="SPOOL"/>
    <n v="10"/>
    <x v="1"/>
    <s v="NÃO"/>
    <s v="NÃO"/>
    <x v="86"/>
    <x v="2"/>
    <s v="DISPOSIÇÃO DE REJEITOS LINHA DE BYPASS DAS PENEIRAS LINHA DO SEPARADOR MAGNÉTICO SM-143A-9609 P/ TANQUE TQ-142A-9703 ( BYPASS DAS PENEIRAS PN-143A-9709/9729 )"/>
    <m/>
    <m/>
    <m/>
    <s v="1450AA-T-70516_FL11"/>
    <n v="1"/>
    <s v="PÇ"/>
    <n v="1.22"/>
    <n v="1.22"/>
    <n v="2238.89"/>
    <n v="2731.4458"/>
    <n v="0"/>
    <n v="0.9"/>
    <n v="0.1"/>
    <m/>
    <m/>
    <x v="0"/>
    <m/>
    <m/>
    <m/>
    <m/>
    <m/>
    <m/>
    <m/>
    <m/>
    <m/>
    <m/>
    <m/>
    <m/>
    <m/>
    <m/>
    <m/>
    <m/>
    <m/>
  </r>
  <r>
    <s v="2.4.3.1.3"/>
    <s v="CMS M.60.10.000"/>
    <x v="2"/>
    <n v="18"/>
    <s v="SPOOL"/>
    <n v="10"/>
    <x v="1"/>
    <s v="NÃO"/>
    <s v="NÃO"/>
    <x v="86"/>
    <x v="2"/>
    <s v="DISPOSIÇÃO DE REJEITOS LINHA DE BYPASS DAS PENEIRAS LINHA DO SEPARADOR MAGNÉTICO SM-143A-9609 P/ TANQUE TQ-142A-9703 ( BYPASS DAS PENEIRAS PN-143A-9709/9729 )"/>
    <m/>
    <m/>
    <m/>
    <s v="1450AA-T-70516_FL12"/>
    <n v="1"/>
    <s v="PÇ"/>
    <n v="1.22"/>
    <n v="1.22"/>
    <n v="2238.89"/>
    <n v="2731.4458"/>
    <n v="0"/>
    <n v="0.9"/>
    <n v="0.1"/>
    <m/>
    <m/>
    <x v="0"/>
    <m/>
    <m/>
    <m/>
    <m/>
    <m/>
    <m/>
    <m/>
    <m/>
    <m/>
    <m/>
    <m/>
    <m/>
    <m/>
    <m/>
    <m/>
    <m/>
    <m/>
  </r>
  <r>
    <s v="2.4.3.1.3"/>
    <s v="CMS M.60.10.000"/>
    <x v="2"/>
    <n v="1"/>
    <s v="SPOOL"/>
    <n v="10"/>
    <x v="1"/>
    <s v="NÃO"/>
    <s v="NÃO"/>
    <x v="87"/>
    <x v="2"/>
    <s v="DISPOSIÇÃO DE REJEITOS LINHA DE BYPASS DAS PENEIRAS LINHA DO SEPARADOR MAGNÉTICO SM-143A-9613 P/ TANQUE TQ-142A-9704 ( BYPASS DAS PENEIRAS PN-143A-9710/9733 )"/>
    <m/>
    <m/>
    <m/>
    <s v="1450AA-T-70518_FL15"/>
    <n v="2"/>
    <s v="PÇ"/>
    <n v="6"/>
    <n v="12"/>
    <n v="2238.89"/>
    <n v="26866.68"/>
    <n v="0"/>
    <n v="0.9"/>
    <n v="0.1"/>
    <m/>
    <m/>
    <x v="0"/>
    <m/>
    <m/>
    <m/>
    <m/>
    <m/>
    <m/>
    <m/>
    <m/>
    <m/>
    <m/>
    <m/>
    <m/>
    <m/>
    <m/>
    <m/>
    <m/>
    <m/>
  </r>
  <r>
    <s v="2.4.3.1.3"/>
    <s v="CMS M.60.10.000"/>
    <x v="2"/>
    <n v="2"/>
    <s v="SPOOL"/>
    <n v="10"/>
    <x v="1"/>
    <s v="NÃO"/>
    <s v="NÃO"/>
    <x v="87"/>
    <x v="2"/>
    <s v="DISPOSIÇÃO DE REJEITOS LINHA DE BYPASS DAS PENEIRAS LINHA DO SEPARADOR MAGNÉTICO SM-143A-9613 P/ TANQUE TQ-142A-9704 ( BYPASS DAS PENEIRAS PN-143A-9710/9733 )"/>
    <m/>
    <m/>
    <m/>
    <s v="1450AA-T-70518_FL14"/>
    <n v="1"/>
    <s v="PÇ"/>
    <n v="5"/>
    <n v="5"/>
    <n v="2238.89"/>
    <n v="11194.449999999999"/>
    <n v="0"/>
    <n v="0.9"/>
    <n v="0.1"/>
    <m/>
    <m/>
    <x v="0"/>
    <m/>
    <m/>
    <m/>
    <m/>
    <m/>
    <m/>
    <m/>
    <m/>
    <m/>
    <m/>
    <m/>
    <m/>
    <m/>
    <m/>
    <m/>
    <m/>
    <m/>
  </r>
  <r>
    <s v="2.4.3.1.3"/>
    <s v="CMS M.60.10.000"/>
    <x v="2"/>
    <n v="3"/>
    <s v="SPOOL"/>
    <n v="10"/>
    <x v="1"/>
    <s v="NÃO"/>
    <s v="NÃO"/>
    <x v="87"/>
    <x v="2"/>
    <s v="DISPOSIÇÃO DE REJEITOS LINHA DE BYPASS DAS PENEIRAS LINHA DO SEPARADOR MAGNÉTICO SM-143A-9613 P/ TANQUE TQ-142A-9704 ( BYPASS DAS PENEIRAS PN-143A-9710/9733 )"/>
    <m/>
    <m/>
    <m/>
    <s v="1450AA-T-70518_FL13"/>
    <n v="1"/>
    <s v="PÇ"/>
    <n v="3.8"/>
    <n v="3.8"/>
    <n v="2238.89"/>
    <n v="8507.7819999999992"/>
    <n v="0"/>
    <n v="0.9"/>
    <n v="0.1"/>
    <m/>
    <m/>
    <x v="0"/>
    <m/>
    <m/>
    <m/>
    <m/>
    <m/>
    <m/>
    <m/>
    <m/>
    <m/>
    <m/>
    <m/>
    <m/>
    <m/>
    <m/>
    <m/>
    <m/>
    <m/>
  </r>
  <r>
    <s v="2.4.3.1.3"/>
    <s v="CMS M.60.10.000"/>
    <x v="2"/>
    <n v="4"/>
    <s v="SPOOL"/>
    <n v="10"/>
    <x v="1"/>
    <s v="NÃO"/>
    <s v="NÃO"/>
    <x v="87"/>
    <x v="2"/>
    <s v="DISPOSIÇÃO DE REJEITOS LINHA DE BYPASS DAS PENEIRAS LINHA DO SEPARADOR MAGNÉTICO SM-143A-9613 P/ TANQUE TQ-142A-9704 ( BYPASS DAS PENEIRAS PN-143A-9710/9733 )"/>
    <m/>
    <m/>
    <m/>
    <s v="1450AA-T-70518_FL12"/>
    <n v="1"/>
    <s v="PÇ"/>
    <n v="3"/>
    <n v="3"/>
    <n v="2238.89"/>
    <n v="6716.67"/>
    <n v="0"/>
    <n v="0.9"/>
    <n v="0.1"/>
    <m/>
    <m/>
    <x v="0"/>
    <m/>
    <m/>
    <m/>
    <m/>
    <m/>
    <m/>
    <m/>
    <m/>
    <m/>
    <m/>
    <m/>
    <m/>
    <m/>
    <m/>
    <m/>
    <m/>
    <m/>
  </r>
  <r>
    <s v="2.4.3.1.3"/>
    <s v="CMS M.60.10.000"/>
    <x v="2"/>
    <n v="5"/>
    <s v="SPOOL"/>
    <n v="10"/>
    <x v="1"/>
    <s v="NÃO"/>
    <s v="NÃO"/>
    <x v="87"/>
    <x v="2"/>
    <s v="DISPOSIÇÃO DE REJEITOS LINHA DE BYPASS DAS PENEIRAS LINHA DO SEPARADOR MAGNÉTICO SM-143A-9613 P/ TANQUE TQ-142A-9704 ( BYPASS DAS PENEIRAS PN-143A-9710/9733 )"/>
    <m/>
    <m/>
    <m/>
    <s v="1450AA-T-70518_FL11"/>
    <n v="1"/>
    <s v="PÇ"/>
    <n v="2.827"/>
    <n v="2.827"/>
    <n v="2238.89"/>
    <n v="6329.3420299999998"/>
    <n v="0"/>
    <n v="0.9"/>
    <n v="0.1"/>
    <m/>
    <m/>
    <x v="0"/>
    <m/>
    <m/>
    <m/>
    <m/>
    <m/>
    <m/>
    <m/>
    <m/>
    <m/>
    <m/>
    <m/>
    <m/>
    <m/>
    <m/>
    <m/>
    <m/>
    <m/>
  </r>
  <r>
    <s v="2.4.3.1.3"/>
    <s v="CMS M.60.10.000"/>
    <x v="2"/>
    <n v="6"/>
    <s v="SPOOL"/>
    <n v="10"/>
    <x v="1"/>
    <s v="NÃO"/>
    <s v="NÃO"/>
    <x v="87"/>
    <x v="2"/>
    <s v="DISPOSIÇÃO DE REJEITOS LINHA DE BYPASS DAS PENEIRAS LINHA DO SEPARADOR MAGNÉTICO SM-143A-9613 P/ TANQUE TQ-142A-9704 ( BYPASS DAS PENEIRAS PN-143A-9710/9733 )"/>
    <m/>
    <m/>
    <m/>
    <s v="1450AA-T-70518_FL10"/>
    <n v="1"/>
    <s v="PÇ"/>
    <n v="1.6"/>
    <n v="1.6"/>
    <n v="2238.89"/>
    <n v="3582.2240000000002"/>
    <n v="0"/>
    <n v="0.9"/>
    <n v="0.1"/>
    <m/>
    <m/>
    <x v="0"/>
    <m/>
    <m/>
    <m/>
    <m/>
    <m/>
    <m/>
    <m/>
    <m/>
    <m/>
    <m/>
    <m/>
    <m/>
    <m/>
    <m/>
    <m/>
    <m/>
    <m/>
  </r>
  <r>
    <s v="2.4.3.1.3"/>
    <s v="CMS M.60.10.000"/>
    <x v="2"/>
    <n v="7"/>
    <s v="SPOOL"/>
    <n v="10"/>
    <x v="1"/>
    <s v="NÃO"/>
    <s v="NÃO"/>
    <x v="87"/>
    <x v="2"/>
    <s v="DISPOSIÇÃO DE REJEITOS LINHA DE BYPASS DAS PENEIRAS LINHA DO SEPARADOR MAGNÉTICO SM-143A-9613 P/ TANQUE TQ-142A-9704 ( BYPASS DAS PENEIRAS PN-143A-9710/9733 )"/>
    <m/>
    <m/>
    <m/>
    <s v="1450AA-T-70518_FL09"/>
    <n v="1"/>
    <s v="PÇ"/>
    <n v="1.5"/>
    <n v="1.5"/>
    <n v="2238.89"/>
    <n v="3358.335"/>
    <n v="0"/>
    <n v="0.9"/>
    <n v="0.1"/>
    <m/>
    <m/>
    <x v="0"/>
    <m/>
    <m/>
    <m/>
    <m/>
    <m/>
    <m/>
    <m/>
    <m/>
    <m/>
    <m/>
    <m/>
    <m/>
    <m/>
    <m/>
    <m/>
    <m/>
    <m/>
  </r>
  <r>
    <s v="2.4.3.1.3"/>
    <s v="CMS M.60.10.000"/>
    <x v="2"/>
    <n v="8"/>
    <s v="SPOOL"/>
    <n v="10"/>
    <x v="1"/>
    <s v="NÃO"/>
    <s v="NÃO"/>
    <x v="87"/>
    <x v="2"/>
    <s v="DISPOSIÇÃO DE REJEITOS LINHA DE BYPASS DAS PENEIRAS LINHA DO SEPARADOR MAGNÉTICO SM-143A-9613 P/ TANQUE TQ-142A-9704 ( BYPASS DAS PENEIRAS PN-143A-9710/9733 )"/>
    <m/>
    <m/>
    <m/>
    <s v="1450AA-T-70518_FL08"/>
    <n v="1"/>
    <s v="PÇ"/>
    <n v="1.325"/>
    <n v="1.325"/>
    <n v="2238.89"/>
    <n v="2966.5292499999996"/>
    <n v="0"/>
    <n v="0.9"/>
    <n v="0.1"/>
    <m/>
    <m/>
    <x v="0"/>
    <m/>
    <m/>
    <m/>
    <m/>
    <m/>
    <m/>
    <m/>
    <m/>
    <m/>
    <m/>
    <m/>
    <m/>
    <m/>
    <m/>
    <m/>
    <m/>
    <m/>
  </r>
  <r>
    <s v="2.4.3.1.3"/>
    <s v="CMS M.60.10.000"/>
    <x v="2"/>
    <n v="9"/>
    <s v="SPOOL"/>
    <n v="10"/>
    <x v="1"/>
    <s v="NÃO"/>
    <s v="NÃO"/>
    <x v="87"/>
    <x v="2"/>
    <s v="DISPOSIÇÃO DE REJEITOS LINHA DE BYPASS DAS PENEIRAS LINHA DO SEPARADOR MAGNÉTICO SM-143A-9613 P/ TANQUE TQ-142A-9704 ( BYPASS DAS PENEIRAS PN-143A-9710/9733 )"/>
    <m/>
    <m/>
    <m/>
    <s v="1450AA-T-70518_FL07"/>
    <n v="2"/>
    <s v="PÇ"/>
    <n v="1.2"/>
    <n v="2.4"/>
    <n v="2238.89"/>
    <n v="5373.3359999999993"/>
    <n v="0"/>
    <n v="0.9"/>
    <n v="0.1"/>
    <m/>
    <m/>
    <x v="0"/>
    <m/>
    <m/>
    <m/>
    <m/>
    <m/>
    <m/>
    <m/>
    <m/>
    <m/>
    <m/>
    <m/>
    <m/>
    <m/>
    <m/>
    <m/>
    <m/>
    <m/>
  </r>
  <r>
    <s v="2.4.3.1.3"/>
    <s v="CMS M.60.10.000"/>
    <x v="2"/>
    <n v="10"/>
    <s v="SPOOL"/>
    <n v="10"/>
    <x v="1"/>
    <s v="NÃO"/>
    <s v="NÃO"/>
    <x v="87"/>
    <x v="2"/>
    <s v="DISPOSIÇÃO DE REJEITOS LINHA DE BYPASS DAS PENEIRAS LINHA DO SEPARADOR MAGNÉTICO SM-143A-9613 P/ TANQUE TQ-142A-9704 ( BYPASS DAS PENEIRAS PN-143A-9710/9733 )"/>
    <m/>
    <m/>
    <m/>
    <s v="1450AA-T-70518_FL06"/>
    <n v="1"/>
    <s v="PÇ"/>
    <n v="0.62"/>
    <n v="0.62"/>
    <n v="2238.89"/>
    <n v="1388.1117999999999"/>
    <n v="0"/>
    <n v="0.9"/>
    <n v="0.1"/>
    <m/>
    <m/>
    <x v="0"/>
    <m/>
    <m/>
    <m/>
    <m/>
    <m/>
    <m/>
    <m/>
    <m/>
    <m/>
    <m/>
    <m/>
    <m/>
    <m/>
    <m/>
    <m/>
    <m/>
    <m/>
  </r>
  <r>
    <s v="2.4.3.1.3"/>
    <s v="CMS M.60.10.000"/>
    <x v="2"/>
    <n v="11"/>
    <s v="SPOOL"/>
    <n v="10"/>
    <x v="2"/>
    <s v="NÃO"/>
    <s v="NÃO"/>
    <x v="87"/>
    <x v="2"/>
    <s v="DISPOSIÇÃO DE REJEITOS LINHA DE BYPASS DAS PENEIRAS LINHA DO SEPARADOR MAGNÉTICO SM-143A-9613 P/ TANQUE TQ-142A-9704 ( BYPASS DAS PENEIRAS PN-143A-9710/9733 )"/>
    <m/>
    <m/>
    <m/>
    <s v="1450AA-T-70518_FL18"/>
    <n v="1"/>
    <s v="PÇ"/>
    <n v="0.68"/>
    <n v="0.68"/>
    <n v="2238.89"/>
    <n v="1522.4452000000001"/>
    <n v="0"/>
    <n v="0.9"/>
    <n v="0.1"/>
    <m/>
    <m/>
    <x v="0"/>
    <m/>
    <m/>
    <m/>
    <m/>
    <m/>
    <m/>
    <m/>
    <m/>
    <m/>
    <m/>
    <m/>
    <m/>
    <m/>
    <m/>
    <m/>
    <m/>
    <m/>
  </r>
  <r>
    <s v="2.4.3.1.3"/>
    <s v="CMS M.60.10.000"/>
    <x v="2"/>
    <n v="12"/>
    <s v="SPOOL"/>
    <n v="10"/>
    <x v="2"/>
    <s v="NÃO"/>
    <s v="NÃO"/>
    <x v="87"/>
    <x v="2"/>
    <s v="DISPOSIÇÃO DE REJEITOS LINHA DE BYPASS DAS PENEIRAS LINHA DO SEPARADOR MAGNÉTICO SM-143A-9613 P/ TANQUE TQ-142A-9704 ( BYPASS DAS PENEIRAS PN-143A-9710/9733 )"/>
    <m/>
    <m/>
    <m/>
    <s v="1450AA-T-70518_FL17"/>
    <n v="1"/>
    <s v="PÇ"/>
    <n v="0.4"/>
    <n v="0.4"/>
    <n v="2238.89"/>
    <n v="895.55600000000004"/>
    <n v="0"/>
    <n v="0.9"/>
    <n v="0.1"/>
    <m/>
    <m/>
    <x v="0"/>
    <m/>
    <m/>
    <m/>
    <m/>
    <m/>
    <m/>
    <m/>
    <m/>
    <m/>
    <m/>
    <m/>
    <m/>
    <m/>
    <m/>
    <m/>
    <m/>
    <m/>
  </r>
  <r>
    <s v="2.4.3.1.3"/>
    <s v="CMS M.60.10.000"/>
    <x v="2"/>
    <n v="13"/>
    <s v="SPOOL"/>
    <n v="10"/>
    <x v="2"/>
    <s v="NÃO"/>
    <s v="NÃO"/>
    <x v="87"/>
    <x v="2"/>
    <s v="DISPOSIÇÃO DE REJEITOS LINHA DE BYPASS DAS PENEIRAS LINHA DO SEPARADOR MAGNÉTICO SM-143A-9613 P/ TANQUE TQ-142A-9704 ( BYPASS DAS PENEIRAS PN-143A-9710/9733 )"/>
    <m/>
    <m/>
    <m/>
    <s v="1450AA-T-70518_FL16"/>
    <n v="1"/>
    <s v="PÇ"/>
    <n v="0.32"/>
    <n v="0.32"/>
    <n v="2238.89"/>
    <n v="716.44479999999999"/>
    <n v="0"/>
    <n v="0.9"/>
    <n v="0.1"/>
    <m/>
    <m/>
    <x v="0"/>
    <m/>
    <m/>
    <m/>
    <m/>
    <m/>
    <m/>
    <m/>
    <m/>
    <m/>
    <m/>
    <m/>
    <m/>
    <m/>
    <m/>
    <m/>
    <m/>
    <m/>
  </r>
  <r>
    <s v="2.4.3.1.3"/>
    <s v="CMS M.60.10.000"/>
    <x v="2"/>
    <n v="14"/>
    <s v="CURVA"/>
    <n v="10"/>
    <x v="1"/>
    <s v="NÃO"/>
    <s v="NÃO"/>
    <x v="87"/>
    <x v="2"/>
    <s v="DISPOSIÇÃO DE REJEITOS LINHA DE BYPASS DAS PENEIRAS LINHA DO SEPARADOR MAGNÉTICO SM-143A-9613 P/ TANQUE TQ-142A-9704 ( BYPASS DAS PENEIRAS PN-143A-9710/9733 )"/>
    <m/>
    <m/>
    <m/>
    <s v="1450AA-T-70518_FL24"/>
    <n v="1"/>
    <s v="PÇ"/>
    <n v="1.264"/>
    <n v="1.264"/>
    <n v="2238.89"/>
    <n v="2829.95696"/>
    <n v="0"/>
    <n v="0.9"/>
    <n v="0.1"/>
    <m/>
    <m/>
    <x v="0"/>
    <m/>
    <m/>
    <m/>
    <m/>
    <m/>
    <m/>
    <m/>
    <m/>
    <m/>
    <m/>
    <m/>
    <m/>
    <m/>
    <m/>
    <m/>
    <m/>
    <m/>
  </r>
  <r>
    <s v="2.4.3.1.3"/>
    <s v="CMS M.60.10.000"/>
    <x v="2"/>
    <n v="15"/>
    <s v="CURVA"/>
    <n v="10"/>
    <x v="1"/>
    <s v="NÃO"/>
    <s v="NÃO"/>
    <x v="87"/>
    <x v="2"/>
    <s v="DISPOSIÇÃO DE REJEITOS LINHA DE BYPASS DAS PENEIRAS LINHA DO SEPARADOR MAGNÉTICO SM-143A-9613 P/ TANQUE TQ-142A-9704 ( BYPASS DAS PENEIRAS PN-143A-9710/9733 )"/>
    <m/>
    <m/>
    <m/>
    <s v="1450AA-T-70518_FL23"/>
    <n v="1"/>
    <s v="PÇ"/>
    <n v="1.129"/>
    <n v="1.129"/>
    <n v="2238.89"/>
    <n v="2527.7068099999997"/>
    <n v="0"/>
    <n v="0.9"/>
    <n v="0.1"/>
    <m/>
    <m/>
    <x v="0"/>
    <m/>
    <m/>
    <m/>
    <m/>
    <m/>
    <m/>
    <m/>
    <m/>
    <m/>
    <m/>
    <m/>
    <m/>
    <m/>
    <m/>
    <m/>
    <m/>
    <m/>
  </r>
  <r>
    <s v="2.4.3.1.3"/>
    <s v="CMS M.60.10.000"/>
    <x v="2"/>
    <n v="16"/>
    <s v="CURVA"/>
    <n v="10"/>
    <x v="1"/>
    <s v="NÃO"/>
    <s v="NÃO"/>
    <x v="87"/>
    <x v="2"/>
    <s v="DISPOSIÇÃO DE REJEITOS LINHA DE BYPASS DAS PENEIRAS LINHA DO SEPARADOR MAGNÉTICO SM-143A-9613 P/ TANQUE TQ-142A-9704 ( BYPASS DAS PENEIRAS PN-143A-9710/9733 )"/>
    <m/>
    <m/>
    <m/>
    <s v="1450AA-T-70518_FL22"/>
    <n v="1"/>
    <s v="PÇ"/>
    <n v="0.63700000000000001"/>
    <n v="0.63700000000000001"/>
    <n v="2238.89"/>
    <n v="1426.17293"/>
    <n v="0"/>
    <n v="0.9"/>
    <n v="0.1"/>
    <m/>
    <m/>
    <x v="0"/>
    <m/>
    <m/>
    <m/>
    <m/>
    <m/>
    <m/>
    <m/>
    <m/>
    <m/>
    <m/>
    <m/>
    <m/>
    <m/>
    <m/>
    <m/>
    <m/>
    <m/>
  </r>
  <r>
    <s v="2.4.3.1.3"/>
    <s v="CMS M.60.10.000"/>
    <x v="2"/>
    <n v="17"/>
    <s v="CURVA"/>
    <n v="10"/>
    <x v="1"/>
    <s v="NÃO"/>
    <s v="NÃO"/>
    <x v="87"/>
    <x v="2"/>
    <s v="DISPOSIÇÃO DE REJEITOS LINHA DE BYPASS DAS PENEIRAS LINHA DO SEPARADOR MAGNÉTICO SM-143A-9613 P/ TANQUE TQ-142A-9704 ( BYPASS DAS PENEIRAS PN-143A-9710/9733 )"/>
    <m/>
    <m/>
    <m/>
    <s v="1450AA-T-70518_FL21"/>
    <n v="1"/>
    <s v="PÇ"/>
    <n v="0.53500000000000003"/>
    <n v="0.53500000000000003"/>
    <n v="2238.89"/>
    <n v="1197.8061499999999"/>
    <n v="0"/>
    <n v="0.9"/>
    <n v="0.1"/>
    <m/>
    <m/>
    <x v="0"/>
    <m/>
    <m/>
    <m/>
    <m/>
    <m/>
    <m/>
    <m/>
    <m/>
    <m/>
    <m/>
    <m/>
    <m/>
    <m/>
    <m/>
    <m/>
    <m/>
    <m/>
  </r>
  <r>
    <s v="2.4.3.1.3"/>
    <s v="CMS M.60.10.000"/>
    <x v="2"/>
    <n v="18"/>
    <s v="CURVA"/>
    <n v="10"/>
    <x v="1"/>
    <s v="NÃO"/>
    <s v="NÃO"/>
    <x v="87"/>
    <x v="2"/>
    <s v="DISPOSIÇÃO DE REJEITOS LINHA DE BYPASS DAS PENEIRAS LINHA DO SEPARADOR MAGNÉTICO SM-143A-9613 P/ TANQUE TQ-142A-9704 ( BYPASS DAS PENEIRAS PN-143A-9710/9733 )"/>
    <m/>
    <m/>
    <m/>
    <s v="1450AA-T-70518_FL20"/>
    <n v="2"/>
    <s v="PÇ"/>
    <n v="0.46400000000000002"/>
    <n v="0.92800000000000005"/>
    <n v="2238.89"/>
    <n v="2077.6899199999998"/>
    <n v="0"/>
    <n v="0.9"/>
    <n v="0.1"/>
    <m/>
    <m/>
    <x v="0"/>
    <m/>
    <m/>
    <m/>
    <m/>
    <m/>
    <m/>
    <m/>
    <m/>
    <m/>
    <m/>
    <m/>
    <m/>
    <m/>
    <m/>
    <m/>
    <m/>
    <m/>
  </r>
  <r>
    <s v="2.4.3.1.3"/>
    <s v="CMS M.60.10.000"/>
    <x v="2"/>
    <n v="19"/>
    <s v="CURVA"/>
    <n v="10"/>
    <x v="1"/>
    <s v="NÃO"/>
    <s v="NÃO"/>
    <x v="87"/>
    <x v="2"/>
    <s v="DISPOSIÇÃO DE REJEITOS LINHA DE BYPASS DAS PENEIRAS LINHA DO SEPARADOR MAGNÉTICO SM-143A-9613 P/ TANQUE TQ-142A-9704 ( BYPASS DAS PENEIRAS PN-143A-9710/9733 )"/>
    <m/>
    <m/>
    <m/>
    <s v="1450AA-T-70518_FL19"/>
    <n v="1"/>
    <s v="PÇ"/>
    <n v="0.41099999999999998"/>
    <n v="0.41099999999999998"/>
    <n v="2238.89"/>
    <n v="920.18378999999993"/>
    <n v="0"/>
    <n v="0.9"/>
    <n v="0.1"/>
    <m/>
    <m/>
    <x v="0"/>
    <m/>
    <m/>
    <m/>
    <m/>
    <m/>
    <m/>
    <m/>
    <m/>
    <m/>
    <m/>
    <m/>
    <m/>
    <m/>
    <m/>
    <m/>
    <m/>
    <m/>
  </r>
  <r>
    <s v="2.4.3.1.3"/>
    <s v="CMS M.60.10.000"/>
    <x v="2"/>
    <n v="20"/>
    <s v="SPOOL"/>
    <n v="10"/>
    <x v="1"/>
    <s v="NÃO"/>
    <s v="NÃO"/>
    <x v="87"/>
    <x v="2"/>
    <s v="DISPOSIÇÃO DE REJEITOS LINHA DE BYPASS DAS PENEIRAS LINHA DO SEPARADOR MAGNÉTICO SM-143A-9613 P/ TANQUE TQ-142A-9704 ( BYPASS DAS PENEIRAS PN-143A-9710/9733 )"/>
    <m/>
    <m/>
    <m/>
    <s v="1450AA-T-70518_FL26"/>
    <n v="1"/>
    <s v="PÇ"/>
    <n v="1.22"/>
    <n v="1.22"/>
    <n v="2238.89"/>
    <n v="2731.4458"/>
    <n v="0"/>
    <n v="0.9"/>
    <n v="0.1"/>
    <m/>
    <m/>
    <x v="0"/>
    <m/>
    <m/>
    <m/>
    <m/>
    <m/>
    <m/>
    <m/>
    <m/>
    <m/>
    <m/>
    <m/>
    <m/>
    <m/>
    <m/>
    <m/>
    <m/>
    <m/>
  </r>
  <r>
    <s v="2.4.3.1.3"/>
    <s v="CMS M.60.10.000"/>
    <x v="2"/>
    <n v="21"/>
    <s v="SPOOL"/>
    <n v="10"/>
    <x v="1"/>
    <s v="NÃO"/>
    <s v="NÃO"/>
    <x v="87"/>
    <x v="2"/>
    <s v="DISPOSIÇÃO DE REJEITOS LINHA DE BYPASS DAS PENEIRAS LINHA DO SEPARADOR MAGNÉTICO SM-143A-9613 P/ TANQUE TQ-142A-9704 ( BYPASS DAS PENEIRAS PN-143A-9710/9733 )"/>
    <m/>
    <m/>
    <m/>
    <s v="1450AA-T-70518_FL25"/>
    <n v="1"/>
    <s v="PÇ"/>
    <n v="1.22"/>
    <n v="1.22"/>
    <n v="2238.89"/>
    <n v="2731.4458"/>
    <n v="0"/>
    <n v="0.9"/>
    <n v="0.1"/>
    <m/>
    <m/>
    <x v="0"/>
    <m/>
    <m/>
    <m/>
    <m/>
    <m/>
    <m/>
    <m/>
    <m/>
    <m/>
    <m/>
    <m/>
    <m/>
    <m/>
    <m/>
    <m/>
    <m/>
    <m/>
  </r>
  <r>
    <s v="2.4.3.1.3"/>
    <s v="CMS M.60.10.000"/>
    <x v="2"/>
    <n v="1"/>
    <s v="SPOOL"/>
    <n v="10"/>
    <x v="1"/>
    <s v="NÃO"/>
    <s v="NÃO"/>
    <x v="88"/>
    <x v="2"/>
    <s v="DISPOSIÇÃO DE REJEITOS LINHA DE BYPASS DAS PENEIRAS LINHA DO SEPARADOR MAGNÉTICO SM-143A-9614 P/ TANQUE TQ-142A-9704 ( BYPASS DAS PENEIRAS PN-143A-9711/9734 )"/>
    <m/>
    <m/>
    <m/>
    <s v="1450AA-T-70520_FL12"/>
    <n v="4"/>
    <s v="PÇ"/>
    <n v="6"/>
    <n v="24"/>
    <n v="2238.89"/>
    <n v="53733.36"/>
    <n v="0"/>
    <n v="0.9"/>
    <n v="0.1"/>
    <m/>
    <m/>
    <x v="0"/>
    <m/>
    <m/>
    <m/>
    <m/>
    <m/>
    <m/>
    <m/>
    <m/>
    <m/>
    <m/>
    <m/>
    <m/>
    <m/>
    <m/>
    <m/>
    <m/>
    <m/>
  </r>
  <r>
    <s v="2.4.3.1.3"/>
    <s v="CMS M.60.10.000"/>
    <x v="2"/>
    <n v="2"/>
    <s v="SPOOL"/>
    <n v="10"/>
    <x v="1"/>
    <s v="NÃO"/>
    <s v="NÃO"/>
    <x v="88"/>
    <x v="2"/>
    <s v="DISPOSIÇÃO DE REJEITOS LINHA DE BYPASS DAS PENEIRAS LINHA DO SEPARADOR MAGNÉTICO SM-143A-9614 P/ TANQUE TQ-142A-9704 ( BYPASS DAS PENEIRAS PN-143A-9711/9734 )"/>
    <m/>
    <m/>
    <m/>
    <s v="1450AA-T-70520_FL11"/>
    <n v="1"/>
    <s v="PÇ"/>
    <n v="4.9050000000000002"/>
    <n v="4.9050000000000002"/>
    <n v="2238.89"/>
    <n v="10981.755450000001"/>
    <n v="0"/>
    <n v="0.9"/>
    <n v="0.1"/>
    <m/>
    <m/>
    <x v="0"/>
    <m/>
    <m/>
    <m/>
    <m/>
    <m/>
    <m/>
    <m/>
    <m/>
    <m/>
    <m/>
    <m/>
    <m/>
    <m/>
    <m/>
    <m/>
    <m/>
    <m/>
  </r>
  <r>
    <s v="2.4.3.1.3"/>
    <s v="CMS M.60.10.000"/>
    <x v="2"/>
    <n v="3"/>
    <s v="SPOOL"/>
    <n v="10"/>
    <x v="1"/>
    <s v="NÃO"/>
    <s v="NÃO"/>
    <x v="88"/>
    <x v="2"/>
    <s v="DISPOSIÇÃO DE REJEITOS LINHA DE BYPASS DAS PENEIRAS LINHA DO SEPARADOR MAGNÉTICO SM-143A-9614 P/ TANQUE TQ-142A-9704 ( BYPASS DAS PENEIRAS PN-143A-9711/9734 )"/>
    <m/>
    <m/>
    <m/>
    <s v="1450AA-T-70520_FL10"/>
    <n v="1"/>
    <s v="PÇ"/>
    <n v="2"/>
    <n v="2"/>
    <n v="2238.89"/>
    <n v="4477.78"/>
    <n v="0"/>
    <n v="0.9"/>
    <n v="0.1"/>
    <m/>
    <m/>
    <x v="0"/>
    <m/>
    <m/>
    <m/>
    <m/>
    <m/>
    <m/>
    <m/>
    <m/>
    <m/>
    <m/>
    <m/>
    <m/>
    <m/>
    <m/>
    <m/>
    <m/>
    <m/>
  </r>
  <r>
    <s v="2.4.3.1.3"/>
    <s v="CMS M.60.10.000"/>
    <x v="2"/>
    <n v="4"/>
    <s v="SPOOL"/>
    <n v="10"/>
    <x v="1"/>
    <s v="NÃO"/>
    <s v="NÃO"/>
    <x v="88"/>
    <x v="2"/>
    <s v="DISPOSIÇÃO DE REJEITOS LINHA DE BYPASS DAS PENEIRAS LINHA DO SEPARADOR MAGNÉTICO SM-143A-9614 P/ TANQUE TQ-142A-9704 ( BYPASS DAS PENEIRAS PN-143A-9711/9734 )"/>
    <m/>
    <m/>
    <m/>
    <s v="1450AA-T-70520_FL09"/>
    <n v="1"/>
    <s v="PÇ"/>
    <n v="1.9850000000000001"/>
    <n v="1.9850000000000001"/>
    <n v="2238.89"/>
    <n v="4444.1966499999999"/>
    <n v="0"/>
    <n v="0.9"/>
    <n v="0.1"/>
    <m/>
    <m/>
    <x v="0"/>
    <m/>
    <m/>
    <m/>
    <m/>
    <m/>
    <m/>
    <m/>
    <m/>
    <m/>
    <m/>
    <m/>
    <m/>
    <m/>
    <m/>
    <m/>
    <m/>
    <m/>
  </r>
  <r>
    <s v="2.4.3.1.3"/>
    <s v="CMS M.60.10.000"/>
    <x v="2"/>
    <n v="5"/>
    <s v="SPOOL"/>
    <n v="10"/>
    <x v="1"/>
    <s v="NÃO"/>
    <s v="NÃO"/>
    <x v="88"/>
    <x v="2"/>
    <s v="DISPOSIÇÃO DE REJEITOS LINHA DE BYPASS DAS PENEIRAS LINHA DO SEPARADOR MAGNÉTICO SM-143A-9614 P/ TANQUE TQ-142A-9704 ( BYPASS DAS PENEIRAS PN-143A-9711/9734 )"/>
    <m/>
    <m/>
    <m/>
    <s v="1450AA-T-70520_FL08"/>
    <n v="1"/>
    <s v="PÇ"/>
    <n v="1"/>
    <n v="1"/>
    <n v="2238.89"/>
    <n v="2238.89"/>
    <n v="0"/>
    <n v="0.9"/>
    <n v="0.1"/>
    <m/>
    <m/>
    <x v="0"/>
    <m/>
    <m/>
    <m/>
    <m/>
    <m/>
    <m/>
    <m/>
    <m/>
    <m/>
    <m/>
    <m/>
    <m/>
    <m/>
    <m/>
    <m/>
    <m/>
    <m/>
  </r>
  <r>
    <s v="2.4.3.1.3"/>
    <s v="CMS M.60.10.000"/>
    <x v="2"/>
    <n v="6"/>
    <s v="SPOOL"/>
    <n v="10"/>
    <x v="1"/>
    <s v="NÃO"/>
    <s v="NÃO"/>
    <x v="88"/>
    <x v="2"/>
    <s v="DISPOSIÇÃO DE REJEITOS LINHA DE BYPASS DAS PENEIRAS LINHA DO SEPARADOR MAGNÉTICO SM-143A-9614 P/ TANQUE TQ-142A-9704 ( BYPASS DAS PENEIRAS PN-143A-9711/9734 )"/>
    <m/>
    <m/>
    <m/>
    <s v="1450AA-T-70520_FL07"/>
    <n v="1"/>
    <s v="PÇ"/>
    <n v="0.89"/>
    <n v="0.89"/>
    <n v="2238.89"/>
    <n v="1992.6120999999998"/>
    <n v="0"/>
    <n v="0.9"/>
    <n v="0.1"/>
    <m/>
    <m/>
    <x v="0"/>
    <m/>
    <m/>
    <m/>
    <m/>
    <m/>
    <m/>
    <m/>
    <m/>
    <m/>
    <m/>
    <m/>
    <m/>
    <m/>
    <m/>
    <m/>
    <m/>
    <m/>
  </r>
  <r>
    <s v="2.4.3.1.3"/>
    <s v="CMS M.60.10.000"/>
    <x v="2"/>
    <n v="7"/>
    <s v="SPOOL"/>
    <n v="10"/>
    <x v="1"/>
    <s v="NÃO"/>
    <s v="NÃO"/>
    <x v="88"/>
    <x v="2"/>
    <s v="DISPOSIÇÃO DE REJEITOS LINHA DE BYPASS DAS PENEIRAS LINHA DO SEPARADOR MAGNÉTICO SM-143A-9614 P/ TANQUE TQ-142A-9704 ( BYPASS DAS PENEIRAS PN-143A-9711/9734 )"/>
    <m/>
    <m/>
    <m/>
    <s v="1450AA-T-70520_FL06"/>
    <n v="1"/>
    <s v="PÇ"/>
    <n v="0.83099999999999996"/>
    <n v="0.83099999999999996"/>
    <n v="2238.89"/>
    <n v="1860.5175899999997"/>
    <n v="0"/>
    <n v="0.9"/>
    <n v="0.1"/>
    <m/>
    <m/>
    <x v="0"/>
    <m/>
    <m/>
    <m/>
    <m/>
    <m/>
    <m/>
    <m/>
    <m/>
    <m/>
    <m/>
    <m/>
    <m/>
    <m/>
    <m/>
    <m/>
    <m/>
    <m/>
  </r>
  <r>
    <s v="2.4.3.1.3"/>
    <s v="CMS M.60.10.000"/>
    <x v="2"/>
    <n v="8"/>
    <s v="SPOOL"/>
    <n v="10"/>
    <x v="2"/>
    <s v="NÃO"/>
    <s v="NÃO"/>
    <x v="88"/>
    <x v="2"/>
    <s v="DISPOSIÇÃO DE REJEITOS LINHA DE BYPASS DAS PENEIRAS LINHA DO SEPARADOR MAGNÉTICO SM-143A-9614 P/ TANQUE TQ-142A-9704 ( BYPASS DAS PENEIRAS PN-143A-9711/9734 )"/>
    <m/>
    <m/>
    <m/>
    <s v="1450AA-T-70520_FL16"/>
    <n v="1"/>
    <s v="PÇ"/>
    <n v="0.68"/>
    <n v="0.68"/>
    <n v="2238.89"/>
    <n v="1522.4452000000001"/>
    <n v="0"/>
    <n v="0.9"/>
    <n v="0.1"/>
    <m/>
    <m/>
    <x v="0"/>
    <m/>
    <m/>
    <m/>
    <m/>
    <m/>
    <m/>
    <m/>
    <m/>
    <m/>
    <m/>
    <m/>
    <m/>
    <m/>
    <m/>
    <m/>
    <m/>
    <m/>
  </r>
  <r>
    <s v="2.4.3.1.3"/>
    <s v="CMS M.60.10.000"/>
    <x v="2"/>
    <n v="9"/>
    <s v="SPOOL"/>
    <n v="10"/>
    <x v="2"/>
    <s v="NÃO"/>
    <s v="NÃO"/>
    <x v="88"/>
    <x v="2"/>
    <s v="DISPOSIÇÃO DE REJEITOS LINHA DE BYPASS DAS PENEIRAS LINHA DO SEPARADOR MAGNÉTICO SM-143A-9614 P/ TANQUE TQ-142A-9704 ( BYPASS DAS PENEIRAS PN-143A-9711/9734 )"/>
    <m/>
    <m/>
    <m/>
    <s v="1450AA-T-70520_FL15"/>
    <n v="1"/>
    <s v="PÇ"/>
    <n v="0.6"/>
    <n v="0.6"/>
    <n v="2238.89"/>
    <n v="1343.3339999999998"/>
    <n v="0"/>
    <n v="0.9"/>
    <n v="0.1"/>
    <m/>
    <m/>
    <x v="0"/>
    <m/>
    <m/>
    <m/>
    <m/>
    <m/>
    <m/>
    <m/>
    <m/>
    <m/>
    <m/>
    <m/>
    <m/>
    <m/>
    <m/>
    <m/>
    <m/>
    <m/>
  </r>
  <r>
    <s v="2.4.3.1.3"/>
    <s v="CMS M.60.10.000"/>
    <x v="2"/>
    <n v="10"/>
    <s v="SPOOL"/>
    <n v="10"/>
    <x v="2"/>
    <s v="NÃO"/>
    <s v="NÃO"/>
    <x v="88"/>
    <x v="2"/>
    <s v="DISPOSIÇÃO DE REJEITOS LINHA DE BYPASS DAS PENEIRAS LINHA DO SEPARADOR MAGNÉTICO SM-143A-9614 P/ TANQUE TQ-142A-9704 ( BYPASS DAS PENEIRAS PN-143A-9711/9734 )"/>
    <m/>
    <m/>
    <m/>
    <s v="1450AA-T-70520_FL14"/>
    <n v="1"/>
    <s v="PÇ"/>
    <n v="0.52"/>
    <n v="0.52"/>
    <n v="2238.89"/>
    <n v="1164.2228"/>
    <n v="0"/>
    <n v="0.9"/>
    <n v="0.1"/>
    <m/>
    <m/>
    <x v="0"/>
    <m/>
    <m/>
    <m/>
    <m/>
    <m/>
    <m/>
    <m/>
    <m/>
    <m/>
    <m/>
    <m/>
    <m/>
    <m/>
    <m/>
    <m/>
    <m/>
    <m/>
  </r>
  <r>
    <s v="2.4.3.1.3"/>
    <s v="CMS M.60.10.000"/>
    <x v="2"/>
    <n v="11"/>
    <s v="SPOOL"/>
    <n v="10"/>
    <x v="2"/>
    <s v="NÃO"/>
    <s v="NÃO"/>
    <x v="88"/>
    <x v="2"/>
    <s v="DISPOSIÇÃO DE REJEITOS LINHA DE BYPASS DAS PENEIRAS LINHA DO SEPARADOR MAGNÉTICO SM-143A-9614 P/ TANQUE TQ-142A-9704 ( BYPASS DAS PENEIRAS PN-143A-9711/9734 )"/>
    <m/>
    <m/>
    <m/>
    <s v="1450AA-T-70520_FL13"/>
    <n v="1"/>
    <s v="PÇ"/>
    <n v="0.4"/>
    <n v="0.4"/>
    <n v="2238.89"/>
    <n v="895.55600000000004"/>
    <n v="0"/>
    <n v="0.9"/>
    <n v="0.1"/>
    <m/>
    <m/>
    <x v="0"/>
    <m/>
    <m/>
    <m/>
    <m/>
    <m/>
    <m/>
    <m/>
    <m/>
    <m/>
    <m/>
    <m/>
    <m/>
    <m/>
    <m/>
    <m/>
    <m/>
    <m/>
  </r>
  <r>
    <s v="2.4.3.1.3"/>
    <s v="CMS M.60.10.000"/>
    <x v="2"/>
    <n v="12"/>
    <s v="CURVA"/>
    <n v="10"/>
    <x v="1"/>
    <s v="NÃO"/>
    <s v="NÃO"/>
    <x v="88"/>
    <x v="2"/>
    <s v="DISPOSIÇÃO DE REJEITOS LINHA DE BYPASS DAS PENEIRAS LINHA DO SEPARADOR MAGNÉTICO SM-143A-9614 P/ TANQUE TQ-142A-9704 ( BYPASS DAS PENEIRAS PN-143A-9711/9734 )"/>
    <m/>
    <m/>
    <m/>
    <s v="1450AA-T-70520_FL20"/>
    <n v="1"/>
    <s v="PÇ"/>
    <n v="1.129"/>
    <n v="1.129"/>
    <n v="2238.89"/>
    <n v="2527.7068099999997"/>
    <n v="0"/>
    <n v="0.9"/>
    <n v="0.1"/>
    <m/>
    <m/>
    <x v="0"/>
    <m/>
    <m/>
    <m/>
    <m/>
    <m/>
    <m/>
    <m/>
    <m/>
    <m/>
    <m/>
    <m/>
    <m/>
    <m/>
    <m/>
    <m/>
    <m/>
    <m/>
  </r>
  <r>
    <s v="2.4.3.1.3"/>
    <s v="CMS M.60.10.000"/>
    <x v="2"/>
    <n v="13"/>
    <s v="CURVA"/>
    <n v="10"/>
    <x v="1"/>
    <s v="NÃO"/>
    <s v="NÃO"/>
    <x v="88"/>
    <x v="2"/>
    <s v="DISPOSIÇÃO DE REJEITOS LINHA DE BYPASS DAS PENEIRAS LINHA DO SEPARADOR MAGNÉTICO SM-143A-9614 P/ TANQUE TQ-142A-9704 ( BYPASS DAS PENEIRAS PN-143A-9711/9734 )"/>
    <m/>
    <m/>
    <m/>
    <s v="1450AA-T-70520_FL19"/>
    <n v="1"/>
    <s v="PÇ"/>
    <n v="1.044"/>
    <n v="1.044"/>
    <n v="2238.89"/>
    <n v="2337.4011599999999"/>
    <n v="0"/>
    <n v="0.9"/>
    <n v="0.1"/>
    <m/>
    <m/>
    <x v="0"/>
    <m/>
    <m/>
    <m/>
    <m/>
    <m/>
    <m/>
    <m/>
    <m/>
    <m/>
    <m/>
    <m/>
    <m/>
    <m/>
    <m/>
    <m/>
    <m/>
    <m/>
  </r>
  <r>
    <s v="2.4.3.1.3"/>
    <s v="CMS M.60.10.000"/>
    <x v="2"/>
    <n v="14"/>
    <s v="CURVA"/>
    <n v="10"/>
    <x v="1"/>
    <s v="NÃO"/>
    <s v="NÃO"/>
    <x v="88"/>
    <x v="2"/>
    <s v="DISPOSIÇÃO DE REJEITOS LINHA DE BYPASS DAS PENEIRAS LINHA DO SEPARADOR MAGNÉTICO SM-143A-9614 P/ TANQUE TQ-142A-9704 ( BYPASS DAS PENEIRAS PN-143A-9711/9734 )"/>
    <m/>
    <m/>
    <m/>
    <s v="1450AA-T-70520_FL18"/>
    <n v="1"/>
    <s v="PÇ"/>
    <n v="0.96299999999999997"/>
    <n v="0.96299999999999997"/>
    <n v="2238.89"/>
    <n v="2156.05107"/>
    <n v="0"/>
    <n v="0.9"/>
    <n v="0.1"/>
    <m/>
    <m/>
    <x v="0"/>
    <m/>
    <m/>
    <m/>
    <m/>
    <m/>
    <m/>
    <m/>
    <m/>
    <m/>
    <m/>
    <m/>
    <m/>
    <m/>
    <m/>
    <m/>
    <m/>
    <m/>
  </r>
  <r>
    <s v="2.4.3.1.3"/>
    <s v="CMS M.60.10.000"/>
    <x v="2"/>
    <n v="15"/>
    <s v="CURVA"/>
    <n v="10"/>
    <x v="1"/>
    <s v="NÃO"/>
    <s v="NÃO"/>
    <x v="88"/>
    <x v="2"/>
    <s v="DISPOSIÇÃO DE REJEITOS LINHA DE BYPASS DAS PENEIRAS LINHA DO SEPARADOR MAGNÉTICO SM-143A-9614 P/ TANQUE TQ-142A-9704 ( BYPASS DAS PENEIRAS PN-143A-9711/9734 )"/>
    <m/>
    <m/>
    <m/>
    <s v="1450AA-T-70520_FL17"/>
    <n v="1"/>
    <s v="PÇ"/>
    <n v="0.22700000000000001"/>
    <n v="0.22700000000000001"/>
    <n v="2238.89"/>
    <n v="508.22802999999999"/>
    <n v="0"/>
    <n v="0.9"/>
    <n v="0.1"/>
    <m/>
    <m/>
    <x v="0"/>
    <m/>
    <m/>
    <m/>
    <m/>
    <m/>
    <m/>
    <m/>
    <m/>
    <m/>
    <m/>
    <m/>
    <m/>
    <m/>
    <m/>
    <m/>
    <m/>
    <m/>
  </r>
  <r>
    <s v="2.4.3.1.3"/>
    <s v="CMS M.60.10.000"/>
    <x v="2"/>
    <n v="16"/>
    <s v="SPOOL"/>
    <n v="10"/>
    <x v="1"/>
    <s v="NÃO"/>
    <s v="NÃO"/>
    <x v="88"/>
    <x v="2"/>
    <s v="DISPOSIÇÃO DE REJEITOS LINHA DE BYPASS DAS PENEIRAS LINHA DO SEPARADOR MAGNÉTICO SM-143A-9614 P/ TANQUE TQ-142A-9704 ( BYPASS DAS PENEIRAS PN-143A-9711/9734 )"/>
    <m/>
    <m/>
    <m/>
    <s v="1450AA-T-70520_FL23"/>
    <n v="1"/>
    <s v="PÇ"/>
    <n v="1.22"/>
    <n v="1.22"/>
    <n v="2238.89"/>
    <n v="2731.4458"/>
    <n v="0"/>
    <n v="0.9"/>
    <n v="0.1"/>
    <m/>
    <m/>
    <x v="0"/>
    <m/>
    <m/>
    <m/>
    <m/>
    <m/>
    <m/>
    <m/>
    <m/>
    <m/>
    <m/>
    <m/>
    <m/>
    <m/>
    <m/>
    <m/>
    <m/>
    <m/>
  </r>
  <r>
    <s v="2.4.3.1.3"/>
    <s v="CMS M.60.10.000"/>
    <x v="2"/>
    <n v="17"/>
    <s v="SPOOL"/>
    <n v="10"/>
    <x v="1"/>
    <s v="NÃO"/>
    <s v="NÃO"/>
    <x v="88"/>
    <x v="2"/>
    <s v="DISPOSIÇÃO DE REJEITOS LINHA DE BYPASS DAS PENEIRAS LINHA DO SEPARADOR MAGNÉTICO SM-143A-9614 P/ TANQUE TQ-142A-9704 ( BYPASS DAS PENEIRAS PN-143A-9711/9734 )"/>
    <m/>
    <m/>
    <m/>
    <s v="1450AA-T-70520_FL22"/>
    <n v="1"/>
    <s v="PÇ"/>
    <n v="1.2230000000000001"/>
    <n v="1.2230000000000001"/>
    <n v="2238.89"/>
    <n v="2738.1624700000002"/>
    <n v="0"/>
    <n v="0.9"/>
    <n v="0.1"/>
    <m/>
    <m/>
    <x v="0"/>
    <m/>
    <m/>
    <m/>
    <m/>
    <m/>
    <m/>
    <m/>
    <m/>
    <m/>
    <m/>
    <m/>
    <m/>
    <m/>
    <m/>
    <m/>
    <m/>
    <m/>
  </r>
  <r>
    <s v="2.4.3.1.3"/>
    <s v="CMS M.60.10.000"/>
    <x v="2"/>
    <n v="18"/>
    <s v="SPOOL"/>
    <n v="10"/>
    <x v="1"/>
    <s v="NÃO"/>
    <s v="NÃO"/>
    <x v="88"/>
    <x v="2"/>
    <s v="DISPOSIÇÃO DE REJEITOS LINHA DE BYPASS DAS PENEIRAS LINHA DO SEPARADOR MAGNÉTICO SM-143A-9614 P/ TANQUE TQ-142A-9704 ( BYPASS DAS PENEIRAS PN-143A-9711/9734 )"/>
    <m/>
    <m/>
    <m/>
    <s v="1450AA-T-70520_FL21"/>
    <n v="1"/>
    <s v="PÇ"/>
    <n v="1.22"/>
    <n v="1.22"/>
    <n v="2238.89"/>
    <n v="2731.4458"/>
    <n v="0"/>
    <n v="0.9"/>
    <n v="0.1"/>
    <m/>
    <m/>
    <x v="0"/>
    <m/>
    <m/>
    <m/>
    <m/>
    <m/>
    <m/>
    <m/>
    <m/>
    <m/>
    <m/>
    <m/>
    <m/>
    <m/>
    <m/>
    <m/>
    <m/>
    <m/>
  </r>
  <r>
    <s v="2.4.3.1.3"/>
    <s v="CMS M.60.10.000"/>
    <x v="2"/>
    <n v="1"/>
    <s v="SPOOL"/>
    <n v="10"/>
    <x v="1"/>
    <s v="NÃO"/>
    <s v="NÃO"/>
    <x v="89"/>
    <x v="2"/>
    <s v="DISPOSIÇÃO DE REJEITOS LINHA DE BYPASS DAS PENEIRAS LINHA DO SEPARADOR MAGNÉTICO SM-143A-9615 P/ TANQUE TQ-142A-9704 ( BYPASS DAS PENEIRAS PN-143A-9712/9735 )"/>
    <m/>
    <m/>
    <m/>
    <s v="1450AA-T-70522_FL14"/>
    <n v="1"/>
    <s v="PÇ"/>
    <n v="5.5"/>
    <n v="5.5"/>
    <n v="2238.89"/>
    <n v="12313.894999999999"/>
    <n v="0"/>
    <n v="0.9"/>
    <n v="0.1"/>
    <m/>
    <m/>
    <x v="0"/>
    <m/>
    <m/>
    <m/>
    <m/>
    <m/>
    <m/>
    <m/>
    <m/>
    <m/>
    <m/>
    <m/>
    <m/>
    <m/>
    <m/>
    <m/>
    <m/>
    <m/>
  </r>
  <r>
    <s v="2.4.3.1.3"/>
    <s v="CMS M.60.10.000"/>
    <x v="2"/>
    <n v="2"/>
    <s v="SPOOL"/>
    <n v="10"/>
    <x v="1"/>
    <s v="NÃO"/>
    <s v="NÃO"/>
    <x v="89"/>
    <x v="2"/>
    <s v="DISPOSIÇÃO DE REJEITOS LINHA DE BYPASS DAS PENEIRAS LINHA DO SEPARADOR MAGNÉTICO SM-143A-9615 P/ TANQUE TQ-142A-9704 ( BYPASS DAS PENEIRAS PN-143A-9712/9735 )"/>
    <m/>
    <m/>
    <m/>
    <s v="1450AA-T-70522_FL13"/>
    <n v="2"/>
    <s v="PÇ"/>
    <n v="5"/>
    <n v="10"/>
    <n v="2238.89"/>
    <n v="22388.899999999998"/>
    <n v="0"/>
    <n v="0.9"/>
    <n v="0.1"/>
    <m/>
    <m/>
    <x v="0"/>
    <m/>
    <m/>
    <m/>
    <m/>
    <m/>
    <m/>
    <m/>
    <m/>
    <m/>
    <m/>
    <m/>
    <m/>
    <m/>
    <m/>
    <m/>
    <m/>
    <m/>
  </r>
  <r>
    <s v="2.4.3.1.3"/>
    <s v="CMS M.60.10.000"/>
    <x v="2"/>
    <n v="3"/>
    <s v="SPOOL"/>
    <n v="10"/>
    <x v="1"/>
    <s v="NÃO"/>
    <s v="NÃO"/>
    <x v="89"/>
    <x v="2"/>
    <s v="DISPOSIÇÃO DE REJEITOS LINHA DE BYPASS DAS PENEIRAS LINHA DO SEPARADOR MAGNÉTICO SM-143A-9615 P/ TANQUE TQ-142A-9704 ( BYPASS DAS PENEIRAS PN-143A-9712/9735 )"/>
    <m/>
    <m/>
    <m/>
    <s v="1450AA-T-70522_FL12"/>
    <n v="1"/>
    <s v="PÇ"/>
    <n v="4.71"/>
    <n v="4.71"/>
    <n v="2238.89"/>
    <n v="10545.171899999999"/>
    <n v="0"/>
    <n v="0.9"/>
    <n v="0.1"/>
    <m/>
    <m/>
    <x v="0"/>
    <m/>
    <m/>
    <m/>
    <m/>
    <m/>
    <m/>
    <m/>
    <m/>
    <m/>
    <m/>
    <m/>
    <m/>
    <m/>
    <m/>
    <m/>
    <m/>
    <m/>
  </r>
  <r>
    <s v="2.4.3.1.3"/>
    <s v="CMS M.60.10.000"/>
    <x v="2"/>
    <n v="4"/>
    <s v="SPOOL"/>
    <n v="10"/>
    <x v="1"/>
    <s v="NÃO"/>
    <s v="NÃO"/>
    <x v="89"/>
    <x v="2"/>
    <s v="DISPOSIÇÃO DE REJEITOS LINHA DE BYPASS DAS PENEIRAS LINHA DO SEPARADOR MAGNÉTICO SM-143A-9615 P/ TANQUE TQ-142A-9704 ( BYPASS DAS PENEIRAS PN-143A-9712/9735 )"/>
    <m/>
    <m/>
    <m/>
    <s v="1450AA-T-70522_FL11"/>
    <n v="1"/>
    <s v="PÇ"/>
    <n v="4"/>
    <n v="4"/>
    <n v="2238.89"/>
    <n v="8955.56"/>
    <n v="0"/>
    <n v="0.9"/>
    <n v="0.1"/>
    <m/>
    <m/>
    <x v="0"/>
    <m/>
    <m/>
    <m/>
    <m/>
    <m/>
    <m/>
    <m/>
    <m/>
    <m/>
    <m/>
    <m/>
    <m/>
    <m/>
    <m/>
    <m/>
    <m/>
    <m/>
  </r>
  <r>
    <s v="2.4.3.1.3"/>
    <s v="CMS M.60.10.000"/>
    <x v="2"/>
    <n v="5"/>
    <s v="SPOOL"/>
    <n v="10"/>
    <x v="1"/>
    <s v="NÃO"/>
    <s v="NÃO"/>
    <x v="89"/>
    <x v="2"/>
    <s v="DISPOSIÇÃO DE REJEITOS LINHA DE BYPASS DAS PENEIRAS LINHA DO SEPARADOR MAGNÉTICO SM-143A-9615 P/ TANQUE TQ-142A-9704 ( BYPASS DAS PENEIRAS PN-143A-9712/9735 )"/>
    <m/>
    <m/>
    <m/>
    <s v="1450AA-T-70522_FL10"/>
    <n v="1"/>
    <s v="PÇ"/>
    <n v="3.4"/>
    <n v="3.4"/>
    <n v="2238.89"/>
    <n v="7612.2259999999997"/>
    <n v="0"/>
    <n v="0.9"/>
    <n v="0.1"/>
    <m/>
    <m/>
    <x v="0"/>
    <m/>
    <m/>
    <m/>
    <m/>
    <m/>
    <m/>
    <m/>
    <m/>
    <m/>
    <m/>
    <m/>
    <m/>
    <m/>
    <m/>
    <m/>
    <m/>
    <m/>
  </r>
  <r>
    <s v="2.4.3.1.3"/>
    <s v="CMS M.60.10.000"/>
    <x v="2"/>
    <n v="6"/>
    <s v="SPOOL"/>
    <n v="10"/>
    <x v="1"/>
    <s v="NÃO"/>
    <s v="NÃO"/>
    <x v="89"/>
    <x v="2"/>
    <s v="DISPOSIÇÃO DE REJEITOS LINHA DE BYPASS DAS PENEIRAS LINHA DO SEPARADOR MAGNÉTICO SM-143A-9615 P/ TANQUE TQ-142A-9704 ( BYPASS DAS PENEIRAS PN-143A-9712/9735 )"/>
    <m/>
    <m/>
    <m/>
    <s v="1450AA-T-70522_FL09"/>
    <n v="1"/>
    <s v="PÇ"/>
    <n v="2.028"/>
    <n v="2.028"/>
    <n v="2238.89"/>
    <n v="4540.4689199999993"/>
    <n v="0"/>
    <n v="0.9"/>
    <n v="0.1"/>
    <m/>
    <m/>
    <x v="0"/>
    <m/>
    <m/>
    <m/>
    <m/>
    <m/>
    <m/>
    <m/>
    <m/>
    <m/>
    <m/>
    <m/>
    <m/>
    <m/>
    <m/>
    <m/>
    <m/>
    <m/>
  </r>
  <r>
    <s v="2.4.3.1.3"/>
    <s v="CMS M.60.10.000"/>
    <x v="2"/>
    <n v="7"/>
    <s v="SPOOL"/>
    <n v="10"/>
    <x v="1"/>
    <s v="NÃO"/>
    <s v="NÃO"/>
    <x v="89"/>
    <x v="2"/>
    <s v="DISPOSIÇÃO DE REJEITOS LINHA DE BYPASS DAS PENEIRAS LINHA DO SEPARADOR MAGNÉTICO SM-143A-9615 P/ TANQUE TQ-142A-9704 ( BYPASS DAS PENEIRAS PN-143A-9712/9735 )"/>
    <m/>
    <m/>
    <m/>
    <s v="1450AA-T-70522_FL08"/>
    <n v="1"/>
    <s v="PÇ"/>
    <n v="1.758"/>
    <n v="1.758"/>
    <n v="2238.89"/>
    <n v="3935.9686199999996"/>
    <n v="0"/>
    <n v="0.9"/>
    <n v="0.1"/>
    <m/>
    <m/>
    <x v="0"/>
    <m/>
    <m/>
    <m/>
    <m/>
    <m/>
    <m/>
    <m/>
    <m/>
    <m/>
    <m/>
    <m/>
    <m/>
    <m/>
    <m/>
    <m/>
    <m/>
    <m/>
  </r>
  <r>
    <s v="2.4.3.1.3"/>
    <s v="CMS M.60.10.000"/>
    <x v="2"/>
    <n v="8"/>
    <s v="SPOOL"/>
    <n v="10"/>
    <x v="1"/>
    <s v="NÃO"/>
    <s v="NÃO"/>
    <x v="89"/>
    <x v="2"/>
    <s v="DISPOSIÇÃO DE REJEITOS LINHA DE BYPASS DAS PENEIRAS LINHA DO SEPARADOR MAGNÉTICO SM-143A-9615 P/ TANQUE TQ-142A-9704 ( BYPASS DAS PENEIRAS PN-143A-9712/9735 )"/>
    <m/>
    <m/>
    <m/>
    <s v="1450AA-T-70522_FL07"/>
    <n v="2"/>
    <s v="PÇ"/>
    <n v="1.5"/>
    <n v="3"/>
    <n v="2238.89"/>
    <n v="6716.67"/>
    <n v="0"/>
    <n v="0.9"/>
    <n v="0.1"/>
    <m/>
    <m/>
    <x v="0"/>
    <m/>
    <m/>
    <m/>
    <m/>
    <m/>
    <m/>
    <m/>
    <m/>
    <m/>
    <m/>
    <m/>
    <m/>
    <m/>
    <m/>
    <m/>
    <m/>
    <m/>
  </r>
  <r>
    <s v="2.4.3.1.3"/>
    <s v="CMS M.60.10.000"/>
    <x v="2"/>
    <n v="9"/>
    <s v="SPOOL"/>
    <n v="10"/>
    <x v="1"/>
    <s v="NÃO"/>
    <s v="NÃO"/>
    <x v="89"/>
    <x v="2"/>
    <s v="DISPOSIÇÃO DE REJEITOS LINHA DE BYPASS DAS PENEIRAS LINHA DO SEPARADOR MAGNÉTICO SM-143A-9615 P/ TANQUE TQ-142A-9704 ( BYPASS DAS PENEIRAS PN-143A-9712/9735 )"/>
    <m/>
    <m/>
    <m/>
    <s v="1450AA-T-70522_FL06"/>
    <n v="1"/>
    <s v="PÇ"/>
    <n v="1.1839999999999999"/>
    <n v="1.1839999999999999"/>
    <n v="2238.89"/>
    <n v="2650.8457599999997"/>
    <n v="0"/>
    <n v="0.9"/>
    <n v="0.1"/>
    <m/>
    <m/>
    <x v="0"/>
    <m/>
    <m/>
    <m/>
    <m/>
    <m/>
    <m/>
    <m/>
    <m/>
    <m/>
    <m/>
    <m/>
    <m/>
    <m/>
    <m/>
    <m/>
    <m/>
    <m/>
  </r>
  <r>
    <s v="2.4.3.1.3"/>
    <s v="CMS M.60.10.000"/>
    <x v="2"/>
    <n v="10"/>
    <s v="SPOOL"/>
    <n v="10"/>
    <x v="2"/>
    <s v="NÃO"/>
    <s v="NÃO"/>
    <x v="89"/>
    <x v="2"/>
    <s v="DISPOSIÇÃO DE REJEITOS LINHA DE BYPASS DAS PENEIRAS LINHA DO SEPARADOR MAGNÉTICO SM-143A-9615 P/ TANQUE TQ-142A-9704 ( BYPASS DAS PENEIRAS PN-143A-9712/9735 )"/>
    <m/>
    <m/>
    <m/>
    <s v="1450AA-T-70522_FL19"/>
    <n v="1"/>
    <s v="PÇ"/>
    <n v="0.69"/>
    <n v="0.69"/>
    <n v="2238.89"/>
    <n v="1544.8340999999998"/>
    <n v="0"/>
    <n v="0.9"/>
    <n v="0.1"/>
    <m/>
    <m/>
    <x v="0"/>
    <m/>
    <m/>
    <m/>
    <m/>
    <m/>
    <m/>
    <m/>
    <m/>
    <m/>
    <m/>
    <m/>
    <m/>
    <m/>
    <m/>
    <m/>
    <m/>
    <m/>
  </r>
  <r>
    <s v="2.4.3.1.3"/>
    <s v="CMS M.60.10.000"/>
    <x v="2"/>
    <n v="11"/>
    <s v="SPOOL"/>
    <n v="10"/>
    <x v="2"/>
    <s v="NÃO"/>
    <s v="NÃO"/>
    <x v="89"/>
    <x v="2"/>
    <s v="DISPOSIÇÃO DE REJEITOS LINHA DE BYPASS DAS PENEIRAS LINHA DO SEPARADOR MAGNÉTICO SM-143A-9615 P/ TANQUE TQ-142A-9704 ( BYPASS DAS PENEIRAS PN-143A-9712/9735 )"/>
    <m/>
    <m/>
    <m/>
    <s v="1450AA-T-70522_FL18"/>
    <n v="1"/>
    <s v="PÇ"/>
    <n v="0.51"/>
    <n v="0.51"/>
    <n v="2238.89"/>
    <n v="1141.8338999999999"/>
    <n v="0"/>
    <n v="0.9"/>
    <n v="0.1"/>
    <m/>
    <m/>
    <x v="0"/>
    <m/>
    <m/>
    <m/>
    <m/>
    <m/>
    <m/>
    <m/>
    <m/>
    <m/>
    <m/>
    <m/>
    <m/>
    <m/>
    <m/>
    <m/>
    <m/>
    <m/>
  </r>
  <r>
    <s v="2.4.3.1.3"/>
    <s v="CMS M.60.10.000"/>
    <x v="2"/>
    <n v="12"/>
    <s v="SPOOL"/>
    <n v="10"/>
    <x v="2"/>
    <s v="NÃO"/>
    <s v="NÃO"/>
    <x v="89"/>
    <x v="2"/>
    <s v="DISPOSIÇÃO DE REJEITOS LINHA DE BYPASS DAS PENEIRAS LINHA DO SEPARADOR MAGNÉTICO SM-143A-9615 P/ TANQUE TQ-142A-9704 ( BYPASS DAS PENEIRAS PN-143A-9712/9735 )"/>
    <m/>
    <m/>
    <m/>
    <s v="1450AA-T-70522_FL17"/>
    <n v="1"/>
    <s v="PÇ"/>
    <n v="0.48"/>
    <n v="0.48"/>
    <n v="2238.89"/>
    <n v="1074.6671999999999"/>
    <n v="0"/>
    <n v="0.9"/>
    <n v="0.1"/>
    <m/>
    <m/>
    <x v="0"/>
    <m/>
    <m/>
    <m/>
    <m/>
    <m/>
    <m/>
    <m/>
    <m/>
    <m/>
    <m/>
    <m/>
    <m/>
    <m/>
    <m/>
    <m/>
    <m/>
    <m/>
  </r>
  <r>
    <s v="2.4.3.1.3"/>
    <s v="CMS M.60.10.000"/>
    <x v="2"/>
    <n v="13"/>
    <s v="SPOOL"/>
    <n v="10"/>
    <x v="2"/>
    <s v="NÃO"/>
    <s v="NÃO"/>
    <x v="89"/>
    <x v="2"/>
    <s v="DISPOSIÇÃO DE REJEITOS LINHA DE BYPASS DAS PENEIRAS LINHA DO SEPARADOR MAGNÉTICO SM-143A-9615 P/ TANQUE TQ-142A-9704 ( BYPASS DAS PENEIRAS PN-143A-9712/9735 )"/>
    <m/>
    <m/>
    <m/>
    <s v="1450AA-T-70522_FL16"/>
    <n v="1"/>
    <s v="PÇ"/>
    <n v="0.44"/>
    <n v="0.44"/>
    <n v="2238.89"/>
    <n v="985.11159999999995"/>
    <n v="0"/>
    <n v="0.9"/>
    <n v="0.1"/>
    <m/>
    <m/>
    <x v="0"/>
    <m/>
    <m/>
    <m/>
    <m/>
    <m/>
    <m/>
    <m/>
    <m/>
    <m/>
    <m/>
    <m/>
    <m/>
    <m/>
    <m/>
    <m/>
    <m/>
    <m/>
  </r>
  <r>
    <s v="2.4.3.1.3"/>
    <s v="CMS M.60.10.000"/>
    <x v="2"/>
    <n v="14"/>
    <s v="SPOOL"/>
    <n v="10"/>
    <x v="2"/>
    <s v="NÃO"/>
    <s v="NÃO"/>
    <x v="89"/>
    <x v="2"/>
    <s v="DISPOSIÇÃO DE REJEITOS LINHA DE BYPASS DAS PENEIRAS LINHA DO SEPARADOR MAGNÉTICO SM-143A-9615 P/ TANQUE TQ-142A-9704 ( BYPASS DAS PENEIRAS PN-143A-9712/9735 )"/>
    <m/>
    <m/>
    <m/>
    <s v="1450AA-T-70522_FL15"/>
    <n v="1"/>
    <s v="PÇ"/>
    <n v="0.39"/>
    <n v="0.39"/>
    <n v="2238.89"/>
    <n v="873.1671"/>
    <n v="0"/>
    <n v="0.9"/>
    <n v="0.1"/>
    <m/>
    <m/>
    <x v="0"/>
    <m/>
    <m/>
    <m/>
    <m/>
    <m/>
    <m/>
    <m/>
    <m/>
    <m/>
    <m/>
    <m/>
    <m/>
    <m/>
    <m/>
    <m/>
    <m/>
    <m/>
  </r>
  <r>
    <s v="2.4.3.1.3"/>
    <s v="CMS M.60.10.000"/>
    <x v="2"/>
    <n v="15"/>
    <s v="CURVA"/>
    <n v="10"/>
    <x v="1"/>
    <s v="NÃO"/>
    <s v="NÃO"/>
    <x v="89"/>
    <x v="2"/>
    <s v="DISPOSIÇÃO DE REJEITOS LINHA DE BYPASS DAS PENEIRAS LINHA DO SEPARADOR MAGNÉTICO SM-143A-9615 P/ TANQUE TQ-142A-9704 ( BYPASS DAS PENEIRAS PN-143A-9712/9735 )"/>
    <m/>
    <m/>
    <m/>
    <s v="1450AA-T-70522_FL22"/>
    <n v="1"/>
    <s v="PÇ"/>
    <n v="0.58899999999999997"/>
    <n v="0.58899999999999997"/>
    <n v="2238.89"/>
    <n v="1318.7062099999998"/>
    <n v="0"/>
    <n v="0.9"/>
    <n v="0.1"/>
    <m/>
    <m/>
    <x v="0"/>
    <m/>
    <m/>
    <m/>
    <m/>
    <m/>
    <m/>
    <m/>
    <m/>
    <m/>
    <m/>
    <m/>
    <m/>
    <m/>
    <m/>
    <m/>
    <m/>
    <m/>
  </r>
  <r>
    <s v="2.4.3.1.3"/>
    <s v="CMS M.60.10.000"/>
    <x v="2"/>
    <n v="16"/>
    <s v="CURVA"/>
    <n v="10"/>
    <x v="1"/>
    <s v="NÃO"/>
    <s v="NÃO"/>
    <x v="89"/>
    <x v="2"/>
    <s v="DISPOSIÇÃO DE REJEITOS LINHA DE BYPASS DAS PENEIRAS LINHA DO SEPARADOR MAGNÉTICO SM-143A-9615 P/ TANQUE TQ-142A-9704 ( BYPASS DAS PENEIRAS PN-143A-9712/9735 )"/>
    <m/>
    <m/>
    <m/>
    <s v="1450AA-T-70522_FL21"/>
    <n v="3"/>
    <s v="PÇ"/>
    <n v="0.22700000000000001"/>
    <n v="0.68100000000000005"/>
    <n v="2238.89"/>
    <n v="1524.68409"/>
    <n v="0"/>
    <n v="0.9"/>
    <n v="0.1"/>
    <m/>
    <m/>
    <x v="0"/>
    <m/>
    <m/>
    <m/>
    <m/>
    <m/>
    <m/>
    <m/>
    <m/>
    <m/>
    <m/>
    <m/>
    <m/>
    <m/>
    <m/>
    <m/>
    <m/>
    <m/>
  </r>
  <r>
    <s v="2.4.3.1.3"/>
    <s v="CMS M.60.10.000"/>
    <x v="2"/>
    <n v="17"/>
    <s v="CURVA"/>
    <n v="10"/>
    <x v="1"/>
    <s v="NÃO"/>
    <s v="NÃO"/>
    <x v="89"/>
    <x v="2"/>
    <s v="DISPOSIÇÃO DE REJEITOS LINHA DE BYPASS DAS PENEIRAS LINHA DO SEPARADOR MAGNÉTICO SM-143A-9615 P/ TANQUE TQ-142A-9704 ( BYPASS DAS PENEIRAS PN-143A-9712/9735 )"/>
    <m/>
    <m/>
    <m/>
    <s v="1450AA-T-70522_FL20"/>
    <n v="1"/>
    <s v="PÇ"/>
    <n v="0.33400000000000002"/>
    <n v="0.33400000000000002"/>
    <n v="2238.89"/>
    <n v="747.78926000000001"/>
    <n v="0"/>
    <n v="0.9"/>
    <n v="0.1"/>
    <m/>
    <m/>
    <x v="0"/>
    <m/>
    <m/>
    <m/>
    <m/>
    <m/>
    <m/>
    <m/>
    <m/>
    <m/>
    <m/>
    <m/>
    <m/>
    <m/>
    <m/>
    <m/>
    <m/>
    <m/>
  </r>
  <r>
    <s v="2.4.3.1.3"/>
    <s v="CMS M.60.10.000"/>
    <x v="2"/>
    <n v="18"/>
    <s v="SPOOL"/>
    <n v="10"/>
    <x v="1"/>
    <s v="NÃO"/>
    <s v="NÃO"/>
    <x v="89"/>
    <x v="2"/>
    <s v="DISPOSIÇÃO DE REJEITOS LINHA DE BYPASS DAS PENEIRAS LINHA DO SEPARADOR MAGNÉTICO SM-143A-9615 P/ TANQUE TQ-142A-9704 ( BYPASS DAS PENEIRAS PN-143A-9712/9735 )"/>
    <m/>
    <m/>
    <m/>
    <s v="1450AA-T-70522_FL25"/>
    <n v="1"/>
    <s v="PÇ"/>
    <n v="1.226"/>
    <n v="1.226"/>
    <n v="2238.89"/>
    <n v="2744.87914"/>
    <n v="0"/>
    <n v="0.9"/>
    <n v="0.1"/>
    <m/>
    <m/>
    <x v="0"/>
    <m/>
    <m/>
    <m/>
    <m/>
    <m/>
    <m/>
    <m/>
    <m/>
    <m/>
    <m/>
    <m/>
    <m/>
    <m/>
    <m/>
    <m/>
    <m/>
    <m/>
  </r>
  <r>
    <s v="2.4.3.1.3"/>
    <s v="CMS M.60.10.000"/>
    <x v="2"/>
    <n v="19"/>
    <s v="SPOOL"/>
    <n v="10"/>
    <x v="1"/>
    <s v="NÃO"/>
    <s v="NÃO"/>
    <x v="89"/>
    <x v="2"/>
    <s v="DISPOSIÇÃO DE REJEITOS LINHA DE BYPASS DAS PENEIRAS LINHA DO SEPARADOR MAGNÉTICO SM-143A-9615 P/ TANQUE TQ-142A-9704 ( BYPASS DAS PENEIRAS PN-143A-9712/9735 )"/>
    <m/>
    <m/>
    <m/>
    <s v="1450AA-T-70522_FL24"/>
    <n v="1"/>
    <s v="PÇ"/>
    <n v="1.29"/>
    <n v="1.29"/>
    <n v="2238.89"/>
    <n v="2888.1680999999999"/>
    <n v="0"/>
    <n v="0.9"/>
    <n v="0.1"/>
    <m/>
    <m/>
    <x v="0"/>
    <m/>
    <m/>
    <m/>
    <m/>
    <m/>
    <m/>
    <m/>
    <m/>
    <m/>
    <m/>
    <m/>
    <m/>
    <m/>
    <m/>
    <m/>
    <m/>
    <m/>
  </r>
  <r>
    <s v="2.4.3.1.3"/>
    <s v="CMS M.60.10.000"/>
    <x v="2"/>
    <n v="20"/>
    <s v="SPOOL"/>
    <n v="10"/>
    <x v="1"/>
    <s v="NÃO"/>
    <s v="NÃO"/>
    <x v="89"/>
    <x v="2"/>
    <s v="DISPOSIÇÃO DE REJEITOS LINHA DE BYPASS DAS PENEIRAS LINHA DO SEPARADOR MAGNÉTICO SM-143A-9615 P/ TANQUE TQ-142A-9704 ( BYPASS DAS PENEIRAS PN-143A-9712/9735 )"/>
    <m/>
    <m/>
    <m/>
    <s v="1450AA-T-70522_FL23"/>
    <n v="2"/>
    <s v="PÇ"/>
    <n v="1.2170000000000001"/>
    <n v="2.4340000000000002"/>
    <n v="2238.89"/>
    <n v="5449.4582600000003"/>
    <n v="0"/>
    <n v="0.9"/>
    <n v="0.1"/>
    <m/>
    <m/>
    <x v="0"/>
    <m/>
    <m/>
    <m/>
    <m/>
    <m/>
    <m/>
    <m/>
    <m/>
    <m/>
    <m/>
    <m/>
    <m/>
    <m/>
    <m/>
    <m/>
    <m/>
    <m/>
  </r>
  <r>
    <s v="2.4.3.1.3"/>
    <s v="CMS M.60.10.000"/>
    <x v="2"/>
    <n v="1"/>
    <s v="SPOOL"/>
    <n v="10"/>
    <x v="1"/>
    <s v="NÃO"/>
    <s v="NÃO"/>
    <x v="90"/>
    <x v="2"/>
    <s v="DISPOSIÇÃO DE REJEITOS LINHA DE BYPASS DAS PENEIRAS LINHA DO SEPARADOR MAGNÉTICO SM-143A-9616/17/18 P/ TANQUE TQ-142A-9722 ( BYPASS DAS PENEIRAS PN-143A-9716/9717 )"/>
    <m/>
    <m/>
    <m/>
    <s v="1450AA-T-70524_FL13"/>
    <n v="1"/>
    <s v="PÇ"/>
    <n v="2"/>
    <n v="2"/>
    <n v="2238.89"/>
    <n v="4477.78"/>
    <n v="0"/>
    <n v="0.9"/>
    <n v="0.1"/>
    <m/>
    <m/>
    <x v="0"/>
    <m/>
    <m/>
    <m/>
    <m/>
    <m/>
    <m/>
    <m/>
    <m/>
    <m/>
    <m/>
    <m/>
    <m/>
    <m/>
    <m/>
    <m/>
    <m/>
    <m/>
  </r>
  <r>
    <s v="2.4.3.1.3"/>
    <s v="CMS M.60.10.000"/>
    <x v="2"/>
    <n v="2"/>
    <s v="SPOOL"/>
    <n v="10"/>
    <x v="1"/>
    <s v="NÃO"/>
    <s v="NÃO"/>
    <x v="90"/>
    <x v="2"/>
    <s v="DISPOSIÇÃO DE REJEITOS LINHA DE BYPASS DAS PENEIRAS LINHA DO SEPARADOR MAGNÉTICO SM-143A-9616/17/18 P/ TANQUE TQ-142A-9722 ( BYPASS DAS PENEIRAS PN-143A-9716/9717 )"/>
    <m/>
    <m/>
    <m/>
    <s v="1450AA-T-70524_FL14"/>
    <n v="1"/>
    <s v="PÇ"/>
    <n v="0.7"/>
    <n v="0.7"/>
    <n v="2238.89"/>
    <n v="1567.2229999999997"/>
    <n v="0"/>
    <n v="0.9"/>
    <n v="0.1"/>
    <m/>
    <m/>
    <x v="0"/>
    <m/>
    <m/>
    <m/>
    <m/>
    <m/>
    <m/>
    <m/>
    <m/>
    <m/>
    <m/>
    <m/>
    <m/>
    <m/>
    <m/>
    <m/>
    <m/>
    <m/>
  </r>
  <r>
    <s v="2.4.3.1.3"/>
    <s v="CMS M.60.10.000"/>
    <x v="2"/>
    <n v="3"/>
    <s v="SPOOL"/>
    <n v="10"/>
    <x v="1"/>
    <s v="NÃO"/>
    <s v="NÃO"/>
    <x v="90"/>
    <x v="2"/>
    <s v="DISPOSIÇÃO DE REJEITOS LINHA DE BYPASS DAS PENEIRAS LINHA DO SEPARADOR MAGNÉTICO SM-143A-9616/17/18 P/ TANQUE TQ-142A-9722 ( BYPASS DAS PENEIRAS PN-143A-9716/9717 )"/>
    <m/>
    <m/>
    <m/>
    <s v="1450AA-T-70524_FL15"/>
    <n v="1"/>
    <s v="PÇ"/>
    <n v="1"/>
    <n v="1"/>
    <n v="2238.89"/>
    <n v="2238.89"/>
    <n v="0"/>
    <n v="0.9"/>
    <n v="0.1"/>
    <m/>
    <m/>
    <x v="0"/>
    <m/>
    <m/>
    <m/>
    <m/>
    <m/>
    <m/>
    <m/>
    <m/>
    <m/>
    <m/>
    <m/>
    <m/>
    <m/>
    <m/>
    <m/>
    <m/>
    <m/>
  </r>
  <r>
    <s v="2.4.3.1.3"/>
    <s v="CMS M.60.10.000"/>
    <x v="2"/>
    <n v="4"/>
    <s v="SPOOL"/>
    <n v="10"/>
    <x v="1"/>
    <s v="NÃO"/>
    <s v="NÃO"/>
    <x v="90"/>
    <x v="2"/>
    <s v="DISPOSIÇÃO DE REJEITOS LINHA DE BYPASS DAS PENEIRAS LINHA DO SEPARADOR MAGNÉTICO SM-143A-9616/17/18 P/ TANQUE TQ-142A-9722 ( BYPASS DAS PENEIRAS PN-143A-9716/9717 )"/>
    <m/>
    <m/>
    <m/>
    <s v="1450AA-T-70524_FL16"/>
    <n v="1"/>
    <s v="PÇ"/>
    <n v="0.5"/>
    <n v="0.5"/>
    <n v="2238.89"/>
    <n v="1119.4449999999999"/>
    <n v="0"/>
    <n v="0.9"/>
    <n v="0.1"/>
    <m/>
    <m/>
    <x v="0"/>
    <m/>
    <m/>
    <m/>
    <m/>
    <m/>
    <m/>
    <m/>
    <m/>
    <m/>
    <m/>
    <m/>
    <m/>
    <m/>
    <m/>
    <m/>
    <m/>
    <m/>
  </r>
  <r>
    <s v="2.4.3.1.3"/>
    <s v="CMS M.60.10.000"/>
    <x v="2"/>
    <n v="5"/>
    <s v="SPOOL"/>
    <n v="10"/>
    <x v="2"/>
    <s v="NÃO"/>
    <s v="NÃO"/>
    <x v="90"/>
    <x v="2"/>
    <s v="DISPOSIÇÃO DE REJEITOS LINHA DE BYPASS DAS PENEIRAS LINHA DO SEPARADOR MAGNÉTICO SM-143A-9616/17/18 P/ TANQUE TQ-142A-9722 ( BYPASS DAS PENEIRAS PN-143A-9716/9717 )"/>
    <m/>
    <m/>
    <m/>
    <s v="1450AA-T-70524_FL17"/>
    <n v="1"/>
    <s v="PÇ"/>
    <n v="0.4"/>
    <n v="0.4"/>
    <n v="2238.89"/>
    <n v="895.55600000000004"/>
    <n v="0"/>
    <n v="0.9"/>
    <n v="0.1"/>
    <m/>
    <m/>
    <x v="0"/>
    <m/>
    <m/>
    <m/>
    <m/>
    <m/>
    <m/>
    <m/>
    <m/>
    <m/>
    <m/>
    <m/>
    <m/>
    <m/>
    <m/>
    <m/>
    <m/>
    <m/>
  </r>
  <r>
    <s v="2.4.3.1.3"/>
    <s v="CMS M.60.10.000"/>
    <x v="2"/>
    <n v="6"/>
    <s v="SPOOL"/>
    <n v="10"/>
    <x v="2"/>
    <s v="NÃO"/>
    <s v="NÃO"/>
    <x v="90"/>
    <x v="2"/>
    <s v="DISPOSIÇÃO DE REJEITOS LINHA DE BYPASS DAS PENEIRAS LINHA DO SEPARADOR MAGNÉTICO SM-143A-9616/17/18 P/ TANQUE TQ-142A-9722 ( BYPASS DAS PENEIRAS PN-143A-9716/9717 )"/>
    <m/>
    <m/>
    <m/>
    <s v="1450AA-T-70524_FL18"/>
    <n v="2"/>
    <s v="PÇ"/>
    <n v="0.46"/>
    <n v="0.92"/>
    <n v="2238.89"/>
    <n v="2059.7788"/>
    <n v="0"/>
    <n v="0.9"/>
    <n v="0.1"/>
    <m/>
    <m/>
    <x v="0"/>
    <m/>
    <m/>
    <m/>
    <m/>
    <m/>
    <m/>
    <m/>
    <m/>
    <m/>
    <m/>
    <m/>
    <m/>
    <m/>
    <m/>
    <m/>
    <m/>
    <m/>
  </r>
  <r>
    <s v="2.4.3.1.3"/>
    <s v="CMS M.60.10.000"/>
    <x v="2"/>
    <n v="7"/>
    <s v="CURVA"/>
    <n v="10"/>
    <x v="1"/>
    <s v="NÃO"/>
    <s v="NÃO"/>
    <x v="90"/>
    <x v="2"/>
    <s v="DISPOSIÇÃO DE REJEITOS LINHA DE BYPASS DAS PENEIRAS LINHA DO SEPARADOR MAGNÉTICO SM-143A-9616/17/18 P/ TANQUE TQ-142A-9722 ( BYPASS DAS PENEIRAS PN-143A-9716/9717 )"/>
    <m/>
    <m/>
    <m/>
    <s v="1450AA-T-70524_FL19"/>
    <n v="1"/>
    <s v="PÇ"/>
    <n v="0.53500000000000003"/>
    <n v="0.53500000000000003"/>
    <n v="2238.89"/>
    <n v="1197.8061499999999"/>
    <n v="0"/>
    <n v="0.9"/>
    <n v="0.1"/>
    <m/>
    <m/>
    <x v="0"/>
    <m/>
    <m/>
    <m/>
    <m/>
    <m/>
    <m/>
    <m/>
    <m/>
    <m/>
    <m/>
    <m/>
    <m/>
    <m/>
    <m/>
    <m/>
    <m/>
    <m/>
  </r>
  <r>
    <s v="2.4.3.1.3"/>
    <s v="CMS M.60.10.000"/>
    <x v="2"/>
    <n v="8"/>
    <s v="CURVA"/>
    <n v="10"/>
    <x v="1"/>
    <s v="NÃO"/>
    <s v="NÃO"/>
    <x v="90"/>
    <x v="2"/>
    <s v="DISPOSIÇÃO DE REJEITOS LINHA DE BYPASS DAS PENEIRAS LINHA DO SEPARADOR MAGNÉTICO SM-143A-9616/17/18 P/ TANQUE TQ-142A-9722 ( BYPASS DAS PENEIRAS PN-143A-9716/9717 )"/>
    <m/>
    <m/>
    <m/>
    <s v="1450AA-T-70524_FL20"/>
    <n v="1"/>
    <s v="PÇ"/>
    <n v="0.52700000000000002"/>
    <n v="0.52700000000000002"/>
    <n v="2238.89"/>
    <n v="1179.8950299999999"/>
    <n v="0"/>
    <n v="0.9"/>
    <n v="0.1"/>
    <m/>
    <m/>
    <x v="0"/>
    <m/>
    <m/>
    <m/>
    <m/>
    <m/>
    <m/>
    <m/>
    <m/>
    <m/>
    <m/>
    <m/>
    <m/>
    <m/>
    <m/>
    <m/>
    <m/>
    <m/>
  </r>
  <r>
    <s v="2.4.3.1.3"/>
    <s v="CMS M.60.10.000"/>
    <x v="2"/>
    <n v="9"/>
    <s v="REDUÇÃO"/>
    <s v="12 X 10"/>
    <x v="1"/>
    <s v="NÃO"/>
    <s v="NÃO"/>
    <x v="90"/>
    <x v="2"/>
    <s v="DISPOSIÇÃO DE REJEITOS LINHA DE BYPASS DAS PENEIRAS LINHA DO SEPARADOR MAGNÉTICO SM-143A-9616/17/18 P/ TANQUE TQ-142A-9722 ( BYPASS DAS PENEIRAS PN-143A-9716/9717 )"/>
    <m/>
    <m/>
    <m/>
    <s v="1450AA-T-70524_FL21"/>
    <n v="1"/>
    <s v="PÇ"/>
    <n v="0.46"/>
    <n v="0.46"/>
    <n v="2238.89"/>
    <n v="1029.8894"/>
    <n v="0"/>
    <n v="0.9"/>
    <n v="0.1"/>
    <m/>
    <m/>
    <x v="0"/>
    <m/>
    <m/>
    <m/>
    <m/>
    <m/>
    <m/>
    <m/>
    <m/>
    <m/>
    <m/>
    <m/>
    <m/>
    <m/>
    <m/>
    <m/>
    <m/>
    <m/>
  </r>
  <r>
    <s v="2.4.3.1.4"/>
    <s v="CMS M.60.10.000"/>
    <x v="2"/>
    <n v="10"/>
    <s v="REDUÇÃO"/>
    <s v="18 X 12"/>
    <x v="1"/>
    <s v="NÃO"/>
    <s v="NÃO"/>
    <x v="90"/>
    <x v="2"/>
    <s v="DISPOSIÇÃO DE REJEITOS LINHA DE BYPASS DAS PENEIRAS LINHA DO SEPARADOR MAGNÉTICO SM-143A-9616/17/18 P/ TANQUE TQ-142A-9722 ( BYPASS DAS PENEIRAS PN-143A-9716/9717 )"/>
    <m/>
    <m/>
    <m/>
    <s v="1450AA-T-70524_FL22"/>
    <n v="1"/>
    <s v="PÇ"/>
    <n v="0.78100000000000003"/>
    <n v="0.78100000000000003"/>
    <n v="2576.75"/>
    <n v="2012.4417500000002"/>
    <n v="0"/>
    <n v="0.9"/>
    <n v="0.1"/>
    <m/>
    <m/>
    <x v="0"/>
    <m/>
    <m/>
    <m/>
    <m/>
    <m/>
    <m/>
    <m/>
    <m/>
    <m/>
    <m/>
    <m/>
    <m/>
    <m/>
    <m/>
    <m/>
    <m/>
    <m/>
  </r>
  <r>
    <s v="2.4.3.1.3"/>
    <s v="CMS M.60.10.000"/>
    <x v="2"/>
    <n v="11"/>
    <s v="DERIVAÇÃO"/>
    <s v="18 X 10"/>
    <x v="1"/>
    <s v="NÃO"/>
    <s v="NÃO"/>
    <x v="90"/>
    <x v="2"/>
    <s v="DISPOSIÇÃO DE REJEITOS LINHA DE BYPASS DAS PENEIRAS LINHA DO SEPARADOR MAGNÉTICO SM-143A-9616/17/18 P/ TANQUE TQ-142A-9722 ( BYPASS DAS PENEIRAS PN-143A-9716/9717 )"/>
    <m/>
    <m/>
    <m/>
    <s v="1450AA-T-70524_FL23"/>
    <n v="2"/>
    <s v="PÇ"/>
    <n v="2.1760000000000002"/>
    <n v="4.3520000000000003"/>
    <n v="2238.89"/>
    <n v="9743.6492799999996"/>
    <n v="0"/>
    <n v="0.9"/>
    <n v="0.1"/>
    <m/>
    <m/>
    <x v="0"/>
    <m/>
    <m/>
    <m/>
    <m/>
    <m/>
    <m/>
    <m/>
    <m/>
    <m/>
    <m/>
    <m/>
    <m/>
    <m/>
    <m/>
    <m/>
    <m/>
    <m/>
  </r>
  <r>
    <n v="0"/>
    <s v="CMS M.60.10.000"/>
    <x v="2"/>
    <n v="12"/>
    <s v="SPOOL"/>
    <n v="18"/>
    <x v="1"/>
    <s v="NÃO"/>
    <s v="NÃO"/>
    <x v="90"/>
    <x v="2"/>
    <s v="DISPOSIÇÃO DE REJEITOS LINHA DE BYPASS DAS PENEIRAS LINHA DO SEPARADOR MAGNÉTICO SM-143A-9616/17/18 P/ TANQUE TQ-142A-9722 ( BYPASS DAS PENEIRAS PN-143A-9716/9717 )"/>
    <m/>
    <m/>
    <m/>
    <s v="1450AA-T-70524_FL24"/>
    <n v="2"/>
    <s v="PÇ"/>
    <n v="6"/>
    <n v="12"/>
    <n v="0"/>
    <n v="0"/>
    <n v="0"/>
    <n v="0.9"/>
    <n v="0.1"/>
    <m/>
    <m/>
    <x v="0"/>
    <m/>
    <m/>
    <m/>
    <m/>
    <m/>
    <m/>
    <m/>
    <m/>
    <m/>
    <m/>
    <m/>
    <m/>
    <m/>
    <m/>
    <m/>
    <m/>
    <m/>
  </r>
  <r>
    <n v="0"/>
    <s v="CMS M.60.10.000"/>
    <x v="2"/>
    <n v="13"/>
    <s v="SPOOL"/>
    <n v="18"/>
    <x v="1"/>
    <s v="NÃO"/>
    <s v="NÃO"/>
    <x v="90"/>
    <x v="2"/>
    <s v="DISPOSIÇÃO DE REJEITOS LINHA DE BYPASS DAS PENEIRAS LINHA DO SEPARADOR MAGNÉTICO SM-143A-9616/17/18 P/ TANQUE TQ-142A-9722 ( BYPASS DAS PENEIRAS PN-143A-9716/9717 )"/>
    <m/>
    <m/>
    <m/>
    <s v="1450AA-T-70524_FL25"/>
    <n v="1"/>
    <s v="PÇ"/>
    <n v="3.3"/>
    <n v="3.3"/>
    <n v="0"/>
    <n v="0"/>
    <n v="0"/>
    <n v="0.9"/>
    <n v="0.1"/>
    <m/>
    <m/>
    <x v="0"/>
    <m/>
    <m/>
    <m/>
    <m/>
    <m/>
    <m/>
    <m/>
    <m/>
    <m/>
    <m/>
    <m/>
    <m/>
    <m/>
    <m/>
    <m/>
    <m/>
    <m/>
  </r>
  <r>
    <n v="0"/>
    <s v="CMS M.60.10.000"/>
    <x v="2"/>
    <n v="14"/>
    <s v="SPOOL"/>
    <n v="18"/>
    <x v="1"/>
    <s v="NÃO"/>
    <s v="NÃO"/>
    <x v="90"/>
    <x v="2"/>
    <s v="DISPOSIÇÃO DE REJEITOS LINHA DE BYPASS DAS PENEIRAS LINHA DO SEPARADOR MAGNÉTICO SM-143A-9616/17/18 P/ TANQUE TQ-142A-9722 ( BYPASS DAS PENEIRAS PN-143A-9716/9717 )"/>
    <m/>
    <m/>
    <m/>
    <s v="1450AA-T-70524_FL26"/>
    <n v="1"/>
    <s v="PÇ"/>
    <n v="1.395"/>
    <n v="1.395"/>
    <n v="0"/>
    <n v="0"/>
    <n v="0"/>
    <n v="0.9"/>
    <n v="0.1"/>
    <m/>
    <m/>
    <x v="0"/>
    <m/>
    <m/>
    <m/>
    <m/>
    <m/>
    <m/>
    <m/>
    <m/>
    <m/>
    <m/>
    <m/>
    <m/>
    <m/>
    <m/>
    <m/>
    <m/>
    <m/>
  </r>
  <r>
    <n v="0"/>
    <s v="CMS M.60.10.000"/>
    <x v="2"/>
    <n v="15"/>
    <s v="SPOOL"/>
    <n v="18"/>
    <x v="1"/>
    <s v="NÃO"/>
    <s v="NÃO"/>
    <x v="90"/>
    <x v="2"/>
    <s v="DISPOSIÇÃO DE REJEITOS LINHA DE BYPASS DAS PENEIRAS LINHA DO SEPARADOR MAGNÉTICO SM-143A-9616/17/18 P/ TANQUE TQ-142A-9722 ( BYPASS DAS PENEIRAS PN-143A-9716/9717 )"/>
    <m/>
    <m/>
    <m/>
    <s v="1450AA-T-70524_FL27"/>
    <n v="2"/>
    <s v="PÇ"/>
    <n v="4"/>
    <n v="8"/>
    <n v="0"/>
    <n v="0"/>
    <n v="0"/>
    <n v="0.9"/>
    <n v="0.1"/>
    <m/>
    <m/>
    <x v="0"/>
    <m/>
    <m/>
    <m/>
    <m/>
    <m/>
    <m/>
    <m/>
    <m/>
    <m/>
    <m/>
    <m/>
    <m/>
    <m/>
    <m/>
    <m/>
    <m/>
    <m/>
  </r>
  <r>
    <n v="0"/>
    <s v="CMS M.60.10.000"/>
    <x v="2"/>
    <n v="16"/>
    <s v="SPOOL"/>
    <n v="18"/>
    <x v="1"/>
    <s v="NÃO"/>
    <s v="NÃO"/>
    <x v="90"/>
    <x v="2"/>
    <s v="DISPOSIÇÃO DE REJEITOS LINHA DE BYPASS DAS PENEIRAS LINHA DO SEPARADOR MAGNÉTICO SM-143A-9616/17/18 P/ TANQUE TQ-142A-9722 ( BYPASS DAS PENEIRAS PN-143A-9716/9717 )"/>
    <m/>
    <m/>
    <m/>
    <s v="1450AA-T-70524_FL28"/>
    <n v="1"/>
    <s v="PÇ"/>
    <n v="0.66500000000000004"/>
    <n v="0.66500000000000004"/>
    <n v="0"/>
    <n v="0"/>
    <n v="0"/>
    <n v="0.9"/>
    <n v="0.1"/>
    <m/>
    <m/>
    <x v="0"/>
    <m/>
    <m/>
    <m/>
    <m/>
    <m/>
    <m/>
    <m/>
    <m/>
    <m/>
    <m/>
    <m/>
    <m/>
    <m/>
    <m/>
    <m/>
    <m/>
    <m/>
  </r>
  <r>
    <n v="0"/>
    <s v="CMS M.60.10.000"/>
    <x v="2"/>
    <n v="17"/>
    <s v="SPOOL"/>
    <n v="18"/>
    <x v="2"/>
    <s v="NÃO"/>
    <s v="NÃO"/>
    <x v="90"/>
    <x v="2"/>
    <s v="DISPOSIÇÃO DE REJEITOS LINHA DE BYPASS DAS PENEIRAS LINHA DO SEPARADOR MAGNÉTICO SM-143A-9616/17/18 P/ TANQUE TQ-142A-9722 ( BYPASS DAS PENEIRAS PN-143A-9716/9717 )"/>
    <m/>
    <m/>
    <m/>
    <s v="1450AA-T-70524_FL29"/>
    <n v="2"/>
    <s v="PÇ"/>
    <n v="0.55000000000000004"/>
    <n v="1.1000000000000001"/>
    <n v="0"/>
    <n v="0"/>
    <n v="0"/>
    <n v="0.9"/>
    <n v="0.1"/>
    <m/>
    <m/>
    <x v="0"/>
    <m/>
    <m/>
    <m/>
    <m/>
    <m/>
    <m/>
    <m/>
    <m/>
    <m/>
    <m/>
    <m/>
    <m/>
    <m/>
    <m/>
    <m/>
    <m/>
    <m/>
  </r>
  <r>
    <n v="0"/>
    <s v="CMS M.60.10.000"/>
    <x v="2"/>
    <n v="18"/>
    <s v="SPOOL"/>
    <n v="18"/>
    <x v="2"/>
    <s v="NÃO"/>
    <s v="NÃO"/>
    <x v="90"/>
    <x v="2"/>
    <s v="DISPOSIÇÃO DE REJEITOS LINHA DE BYPASS DAS PENEIRAS LINHA DO SEPARADOR MAGNÉTICO SM-143A-9616/17/18 P/ TANQUE TQ-142A-9722 ( BYPASS DAS PENEIRAS PN-143A-9716/9717 )"/>
    <m/>
    <m/>
    <m/>
    <s v="1450AA-T-70524_FL30"/>
    <n v="2"/>
    <s v="PÇ"/>
    <n v="0.46"/>
    <n v="0.92"/>
    <n v="0"/>
    <n v="0"/>
    <n v="0"/>
    <n v="0.9"/>
    <n v="0.1"/>
    <m/>
    <m/>
    <x v="0"/>
    <m/>
    <m/>
    <m/>
    <m/>
    <m/>
    <m/>
    <m/>
    <m/>
    <m/>
    <m/>
    <m/>
    <m/>
    <m/>
    <m/>
    <m/>
    <m/>
    <m/>
  </r>
  <r>
    <n v="0"/>
    <s v="CMS M.60.10.000"/>
    <x v="2"/>
    <n v="19"/>
    <s v="CURVA"/>
    <n v="18"/>
    <x v="1"/>
    <s v="NÃO"/>
    <s v="NÃO"/>
    <x v="90"/>
    <x v="2"/>
    <s v="DISPOSIÇÃO DE REJEITOS LINHA DE BYPASS DAS PENEIRAS LINHA DO SEPARADOR MAGNÉTICO SM-143A-9616/17/18 P/ TANQUE TQ-142A-9722 ( BYPASS DAS PENEIRAS PN-143A-9716/9717 )"/>
    <m/>
    <m/>
    <m/>
    <s v="1450AA-T-70524_FL31"/>
    <n v="1"/>
    <s v="PÇ"/>
    <n v="2.3889999999999998"/>
    <n v="2.3889999999999998"/>
    <n v="0"/>
    <n v="0"/>
    <n v="0"/>
    <n v="0.9"/>
    <n v="0.1"/>
    <m/>
    <m/>
    <x v="0"/>
    <m/>
    <m/>
    <m/>
    <m/>
    <m/>
    <m/>
    <m/>
    <m/>
    <m/>
    <m/>
    <m/>
    <m/>
    <m/>
    <m/>
    <m/>
    <m/>
    <m/>
  </r>
  <r>
    <n v="0"/>
    <s v="CMS M.60.10.000"/>
    <x v="2"/>
    <n v="20"/>
    <s v="CURVA"/>
    <n v="18"/>
    <x v="1"/>
    <s v="NÃO"/>
    <s v="NÃO"/>
    <x v="90"/>
    <x v="2"/>
    <s v="DISPOSIÇÃO DE REJEITOS LINHA DE BYPASS DAS PENEIRAS LINHA DO SEPARADOR MAGNÉTICO SM-143A-9616/17/18 P/ TANQUE TQ-142A-9722 ( BYPASS DAS PENEIRAS PN-143A-9716/9717 )"/>
    <m/>
    <m/>
    <m/>
    <s v="1450AA-T-70524_FL32"/>
    <n v="1"/>
    <s v="PÇ"/>
    <n v="1.2350000000000001"/>
    <n v="1.2350000000000001"/>
    <n v="0"/>
    <n v="0"/>
    <n v="0"/>
    <n v="0.9"/>
    <n v="0.1"/>
    <m/>
    <m/>
    <x v="0"/>
    <m/>
    <m/>
    <m/>
    <m/>
    <m/>
    <m/>
    <m/>
    <m/>
    <m/>
    <m/>
    <m/>
    <m/>
    <m/>
    <m/>
    <m/>
    <m/>
    <m/>
  </r>
  <r>
    <n v="0"/>
    <s v="CMS M.60.10.000"/>
    <x v="2"/>
    <n v="21"/>
    <s v="CURVA"/>
    <n v="18"/>
    <x v="1"/>
    <s v="NÃO"/>
    <s v="NÃO"/>
    <x v="90"/>
    <x v="2"/>
    <s v="DISPOSIÇÃO DE REJEITOS LINHA DE BYPASS DAS PENEIRAS LINHA DO SEPARADOR MAGNÉTICO SM-143A-9616/17/18 P/ TANQUE TQ-142A-9722 ( BYPASS DAS PENEIRAS PN-143A-9716/9717 )"/>
    <m/>
    <m/>
    <m/>
    <s v="1450AA-T-70524_FL33"/>
    <n v="1"/>
    <s v="PÇ"/>
    <n v="1.591"/>
    <n v="1.591"/>
    <n v="0"/>
    <n v="0"/>
    <n v="0"/>
    <n v="0.9"/>
    <n v="0.1"/>
    <m/>
    <m/>
    <x v="0"/>
    <m/>
    <m/>
    <m/>
    <m/>
    <m/>
    <m/>
    <m/>
    <m/>
    <m/>
    <m/>
    <m/>
    <m/>
    <m/>
    <m/>
    <m/>
    <m/>
    <m/>
  </r>
  <r>
    <n v="0"/>
    <s v="CMS M.60.10.000"/>
    <x v="2"/>
    <n v="22"/>
    <s v="SPOOL"/>
    <n v="18"/>
    <x v="1"/>
    <s v="NÃO"/>
    <s v="NÃO"/>
    <x v="90"/>
    <x v="2"/>
    <s v="DISPOSIÇÃO DE REJEITOS LINHA DE BYPASS DAS PENEIRAS LINHA DO SEPARADOR MAGNÉTICO SM-143A-9616/17/18 P/ TANQUE TQ-142A-9722 ( BYPASS DAS PENEIRAS PN-143A-9716/9717 )"/>
    <m/>
    <m/>
    <m/>
    <s v="1450AA-T-70524_FL34"/>
    <n v="1"/>
    <s v="PÇ"/>
    <n v="1.8859999999999999"/>
    <n v="1.8859999999999999"/>
    <n v="0"/>
    <n v="0"/>
    <n v="0"/>
    <n v="0.9"/>
    <n v="0.1"/>
    <m/>
    <m/>
    <x v="0"/>
    <m/>
    <m/>
    <m/>
    <m/>
    <m/>
    <m/>
    <m/>
    <m/>
    <m/>
    <m/>
    <m/>
    <m/>
    <m/>
    <m/>
    <m/>
    <m/>
    <m/>
  </r>
  <r>
    <n v="0"/>
    <s v="CMS M.60.10.000"/>
    <x v="2"/>
    <n v="23"/>
    <s v="SPOOL"/>
    <n v="18"/>
    <x v="1"/>
    <s v="NÃO"/>
    <s v="NÃO"/>
    <x v="90"/>
    <x v="2"/>
    <s v="DISPOSIÇÃO DE REJEITOS LINHA DE BYPASS DAS PENEIRAS LINHA DO SEPARADOR MAGNÉTICO SM-143A-9616/17/18 P/ TANQUE TQ-142A-9722 ( BYPASS DAS PENEIRAS PN-143A-9716/9717 )"/>
    <m/>
    <m/>
    <m/>
    <s v="1450AA-T-70524_FL35"/>
    <n v="1"/>
    <s v="PÇ"/>
    <n v="1.8859999999999999"/>
    <n v="1.8859999999999999"/>
    <n v="0"/>
    <n v="0"/>
    <n v="0"/>
    <n v="0.9"/>
    <n v="0.1"/>
    <m/>
    <m/>
    <x v="0"/>
    <m/>
    <m/>
    <m/>
    <m/>
    <m/>
    <m/>
    <m/>
    <m/>
    <m/>
    <m/>
    <m/>
    <m/>
    <m/>
    <m/>
    <m/>
    <m/>
    <m/>
  </r>
  <r>
    <s v="2.4.3.1.3"/>
    <s v="CMS M.60.10.000"/>
    <x v="2"/>
    <n v="1"/>
    <s v="SPOOL"/>
    <n v="10"/>
    <x v="1"/>
    <s v="NÃO"/>
    <s v="NÃO"/>
    <x v="55"/>
    <x v="3"/>
    <s v="DISPOSIÇÃO DE REJEITOS LINHA DO CIRCUITO ULTRAFINO UNDER DO ES-145A-9901 PARA DISTRIBUIDOR DI-145A-9903"/>
    <m/>
    <m/>
    <m/>
    <s v="1450AA-T-70437_FL15"/>
    <n v="1"/>
    <s v="PÇ"/>
    <n v="4"/>
    <n v="4"/>
    <n v="2238.89"/>
    <n v="8955.56"/>
    <n v="0"/>
    <n v="0.9"/>
    <n v="0.1"/>
    <m/>
    <m/>
    <x v="0"/>
    <m/>
    <m/>
    <m/>
    <m/>
    <m/>
    <m/>
    <m/>
    <m/>
    <m/>
    <m/>
    <m/>
    <m/>
    <m/>
    <m/>
    <m/>
    <m/>
    <m/>
  </r>
  <r>
    <s v="2.4.3.1.3"/>
    <s v="CMS M.60.10.000"/>
    <x v="2"/>
    <n v="2"/>
    <s v="SPOOL"/>
    <n v="10"/>
    <x v="1"/>
    <s v="NÃO"/>
    <s v="NÃO"/>
    <x v="55"/>
    <x v="3"/>
    <s v="DISPOSIÇÃO DE REJEITOS LINHA DO CIRCUITO ULTRAFINO UNDER DO ES-145A-9901 PARA DISTRIBUIDOR DI-145A-9903"/>
    <m/>
    <m/>
    <m/>
    <s v="1450AA-T-70437_FL17"/>
    <n v="3"/>
    <s v="PÇ"/>
    <n v="6"/>
    <n v="18"/>
    <n v="2238.89"/>
    <n v="40300.019999999997"/>
    <n v="0"/>
    <n v="0.9"/>
    <n v="0.1"/>
    <m/>
    <m/>
    <x v="0"/>
    <m/>
    <m/>
    <m/>
    <m/>
    <m/>
    <m/>
    <m/>
    <m/>
    <m/>
    <m/>
    <m/>
    <m/>
    <m/>
    <m/>
    <m/>
    <m/>
    <m/>
  </r>
  <r>
    <s v="2.4.3.1.3"/>
    <s v="CMS M.60.10.000"/>
    <x v="2"/>
    <n v="3"/>
    <s v="SPOOL"/>
    <n v="10"/>
    <x v="1"/>
    <s v="NÃO"/>
    <s v="NÃO"/>
    <x v="55"/>
    <x v="3"/>
    <s v="DISPOSIÇÃO DE REJEITOS LINHA DO CIRCUITO ULTRAFINO UNDER DO ES-145A-9901 PARA DISTRIBUIDOR DI-145A-9903"/>
    <m/>
    <m/>
    <m/>
    <s v="1450AA-T-70437_FL14"/>
    <n v="2"/>
    <s v="PÇ"/>
    <n v="3.5"/>
    <n v="7"/>
    <n v="2238.89"/>
    <n v="15672.23"/>
    <n v="0"/>
    <n v="0.9"/>
    <n v="0.1"/>
    <m/>
    <m/>
    <x v="0"/>
    <m/>
    <m/>
    <m/>
    <m/>
    <m/>
    <m/>
    <m/>
    <m/>
    <m/>
    <m/>
    <m/>
    <m/>
    <m/>
    <m/>
    <m/>
    <m/>
    <m/>
  </r>
  <r>
    <s v="2.4.3.1.3"/>
    <s v="CMS M.60.10.000"/>
    <x v="2"/>
    <n v="4"/>
    <s v="SPOOL"/>
    <n v="10"/>
    <x v="1"/>
    <s v="NÃO"/>
    <s v="NÃO"/>
    <x v="55"/>
    <x v="3"/>
    <s v="DISPOSIÇÃO DE REJEITOS LINHA DO CIRCUITO ULTRAFINO UNDER DO ES-145A-9901 PARA DISTRIBUIDOR DI-145A-9903"/>
    <m/>
    <m/>
    <m/>
    <s v="1450AA-T-70437_FL10"/>
    <n v="1"/>
    <s v="PÇ"/>
    <n v="2.2850000000000001"/>
    <n v="2.2850000000000001"/>
    <n v="2238.89"/>
    <n v="5115.8636500000002"/>
    <n v="0"/>
    <n v="0.9"/>
    <n v="0.1"/>
    <m/>
    <m/>
    <x v="0"/>
    <m/>
    <m/>
    <m/>
    <m/>
    <m/>
    <m/>
    <m/>
    <m/>
    <m/>
    <m/>
    <m/>
    <m/>
    <m/>
    <m/>
    <m/>
    <m/>
    <m/>
  </r>
  <r>
    <s v="2.4.3.1.3"/>
    <s v="CMS M.60.10.000"/>
    <x v="2"/>
    <n v="5"/>
    <s v="SPOOL"/>
    <n v="10"/>
    <x v="1"/>
    <s v="NÃO"/>
    <s v="NÃO"/>
    <x v="55"/>
    <x v="3"/>
    <s v="DISPOSIÇÃO DE REJEITOS LINHA DO CIRCUITO ULTRAFINO UNDER DO ES-145A-9901 PARA DISTRIBUIDOR DI-145A-9903"/>
    <m/>
    <m/>
    <m/>
    <s v="1450AA-T-70437_FL07"/>
    <n v="1"/>
    <s v="PÇ"/>
    <n v="1.2450000000000001"/>
    <n v="1.2450000000000001"/>
    <n v="2238.89"/>
    <n v="2787.4180500000002"/>
    <n v="0"/>
    <n v="0.9"/>
    <n v="0.1"/>
    <m/>
    <m/>
    <x v="0"/>
    <m/>
    <m/>
    <m/>
    <m/>
    <m/>
    <m/>
    <m/>
    <m/>
    <m/>
    <m/>
    <m/>
    <m/>
    <m/>
    <m/>
    <m/>
    <m/>
    <m/>
  </r>
  <r>
    <s v="2.4.3.1.3"/>
    <s v="CMS M.60.10.000"/>
    <x v="2"/>
    <n v="6"/>
    <s v="SPOOL"/>
    <n v="10"/>
    <x v="2"/>
    <s v="NÃO"/>
    <s v="NÃO"/>
    <x v="55"/>
    <x v="3"/>
    <s v="DISPOSIÇÃO DE REJEITOS LINHA DO CIRCUITO ULTRAFINO UNDER DO ES-145A-9901 PARA DISTRIBUIDOR DI-145A-9903"/>
    <m/>
    <m/>
    <m/>
    <s v="1450AA-T-70437_FL27"/>
    <n v="1"/>
    <s v="PÇ"/>
    <n v="0.92"/>
    <n v="0.92"/>
    <n v="2238.89"/>
    <n v="2059.7788"/>
    <n v="0"/>
    <n v="0.9"/>
    <n v="0.1"/>
    <m/>
    <m/>
    <x v="0"/>
    <m/>
    <m/>
    <m/>
    <m/>
    <m/>
    <m/>
    <m/>
    <m/>
    <m/>
    <m/>
    <m/>
    <m/>
    <m/>
    <m/>
    <m/>
    <m/>
    <m/>
  </r>
  <r>
    <s v="2.4.3.1.3"/>
    <s v="CMS M.60.10.000"/>
    <x v="2"/>
    <n v="7"/>
    <s v="CURVA"/>
    <n v="10"/>
    <x v="1"/>
    <s v="NÃO"/>
    <s v="NÃO"/>
    <x v="55"/>
    <x v="3"/>
    <s v="DISPOSIÇÃO DE REJEITOS LINHA DO CIRCUITO ULTRAFINO UNDER DO ES-145A-9901 PARA DISTRIBUIDOR DI-145A-9903"/>
    <m/>
    <m/>
    <m/>
    <s v="1450AA-T-70437_FL30"/>
    <n v="2"/>
    <s v="PÇ"/>
    <n v="0.46300000000000002"/>
    <n v="0.92600000000000005"/>
    <n v="2238.89"/>
    <n v="2073.2121400000001"/>
    <n v="0"/>
    <n v="0.9"/>
    <n v="0.1"/>
    <m/>
    <m/>
    <x v="0"/>
    <m/>
    <m/>
    <m/>
    <m/>
    <m/>
    <m/>
    <m/>
    <m/>
    <m/>
    <m/>
    <m/>
    <m/>
    <m/>
    <m/>
    <m/>
    <m/>
    <m/>
  </r>
  <r>
    <s v="2.4.3.1.3"/>
    <s v="CMS M.60.10.000"/>
    <x v="2"/>
    <n v="8"/>
    <s v="CURVA"/>
    <n v="10"/>
    <x v="1"/>
    <s v="NÃO"/>
    <s v="NÃO"/>
    <x v="55"/>
    <x v="3"/>
    <s v="DISPOSIÇÃO DE REJEITOS LINHA DO CIRCUITO ULTRAFINO UNDER DO ES-145A-9901 PARA DISTRIBUIDOR DI-145A-9903"/>
    <m/>
    <m/>
    <m/>
    <s v="1450AA-T-70437_FL29"/>
    <n v="2"/>
    <s v="PÇ"/>
    <n v="0.38600000000000001"/>
    <n v="0.77200000000000002"/>
    <n v="2238.89"/>
    <n v="1728.42308"/>
    <n v="0"/>
    <n v="0.9"/>
    <n v="0.1"/>
    <m/>
    <m/>
    <x v="0"/>
    <m/>
    <m/>
    <m/>
    <m/>
    <m/>
    <m/>
    <m/>
    <m/>
    <m/>
    <m/>
    <m/>
    <m/>
    <m/>
    <m/>
    <m/>
    <m/>
    <m/>
  </r>
  <r>
    <s v="2.4.3.1.3"/>
    <s v="CMS M.60.10.000"/>
    <x v="2"/>
    <n v="1"/>
    <s v="SPOOL"/>
    <n v="10"/>
    <x v="1"/>
    <s v="NÃO"/>
    <s v="NÃO"/>
    <x v="91"/>
    <x v="3"/>
    <s v="DISPOSIÇÃO DE REJEITOS LINHA DO CIRCUITO ULTRAFINO UNDER DO ES-145A-9901 PARA DISTRIBUIDOR DI-145A-9903"/>
    <m/>
    <m/>
    <m/>
    <s v="1450AA-T-70437_FL16"/>
    <n v="2"/>
    <s v="PÇ"/>
    <n v="5.5"/>
    <n v="11"/>
    <n v="2238.89"/>
    <n v="24627.789999999997"/>
    <n v="0"/>
    <n v="0.9"/>
    <n v="0.1"/>
    <m/>
    <m/>
    <x v="0"/>
    <m/>
    <m/>
    <m/>
    <m/>
    <m/>
    <m/>
    <m/>
    <m/>
    <m/>
    <m/>
    <m/>
    <m/>
    <m/>
    <m/>
    <m/>
    <m/>
    <m/>
  </r>
  <r>
    <s v="2.4.3.1.3"/>
    <s v="CMS M.60.10.000"/>
    <x v="2"/>
    <n v="2"/>
    <s v="SPOOL"/>
    <n v="10"/>
    <x v="1"/>
    <s v="NÃO"/>
    <s v="NÃO"/>
    <x v="91"/>
    <x v="3"/>
    <s v="DISPOSIÇÃO DE REJEITOS LINHA DO CIRCUITO ULTRAFINO UNDER DO ES-145A-9901 PARA DISTRIBUIDOR DI-145A-9903"/>
    <m/>
    <m/>
    <m/>
    <s v="1450AA-T-70437_FL12"/>
    <n v="2"/>
    <s v="PÇ"/>
    <n v="2.5"/>
    <n v="5"/>
    <n v="2238.89"/>
    <n v="11194.449999999999"/>
    <n v="0"/>
    <n v="0.9"/>
    <n v="0.1"/>
    <m/>
    <m/>
    <x v="0"/>
    <m/>
    <m/>
    <m/>
    <m/>
    <m/>
    <m/>
    <m/>
    <m/>
    <m/>
    <m/>
    <m/>
    <m/>
    <m/>
    <m/>
    <m/>
    <m/>
    <m/>
  </r>
  <r>
    <s v="2.4.3.1.3"/>
    <s v="CMS M.60.10.000"/>
    <x v="2"/>
    <n v="3"/>
    <s v="SPOOL"/>
    <n v="10"/>
    <x v="1"/>
    <s v="NÃO"/>
    <s v="NÃO"/>
    <x v="91"/>
    <x v="3"/>
    <s v="DISPOSIÇÃO DE REJEITOS LINHA DO CIRCUITO ULTRAFINO UNDER DO ES-145A-9901 PARA DISTRIBUIDOR DI-145A-9903"/>
    <m/>
    <m/>
    <m/>
    <s v="1450AA-T-70437_FL15"/>
    <n v="1"/>
    <s v="PÇ"/>
    <n v="4"/>
    <n v="4"/>
    <n v="2238.89"/>
    <n v="8955.56"/>
    <n v="0"/>
    <n v="0.9"/>
    <n v="0.1"/>
    <m/>
    <m/>
    <x v="0"/>
    <m/>
    <m/>
    <m/>
    <m/>
    <m/>
    <m/>
    <m/>
    <m/>
    <m/>
    <m/>
    <m/>
    <m/>
    <m/>
    <m/>
    <m/>
    <m/>
    <m/>
  </r>
  <r>
    <s v="2.4.3.1.3"/>
    <s v="CMS M.60.10.000"/>
    <x v="2"/>
    <n v="4"/>
    <s v="SPOOL"/>
    <n v="10"/>
    <x v="1"/>
    <s v="NÃO"/>
    <s v="NÃO"/>
    <x v="91"/>
    <x v="3"/>
    <s v="DISPOSIÇÃO DE REJEITOS LINHA DO CIRCUITO ULTRAFINO UNDER DO ES-145A-9901 PARA DISTRIBUIDOR DI-145A-9903"/>
    <m/>
    <m/>
    <m/>
    <s v="1450AA-T-70437_FL09"/>
    <n v="1"/>
    <s v="PÇ"/>
    <n v="2"/>
    <n v="2"/>
    <n v="2238.89"/>
    <n v="4477.78"/>
    <n v="0"/>
    <n v="0.9"/>
    <n v="0.1"/>
    <m/>
    <m/>
    <x v="0"/>
    <m/>
    <m/>
    <m/>
    <m/>
    <m/>
    <m/>
    <m/>
    <m/>
    <m/>
    <m/>
    <m/>
    <m/>
    <m/>
    <m/>
    <m/>
    <m/>
    <m/>
  </r>
  <r>
    <s v="2.4.3.1.3"/>
    <s v="CMS M.60.10.000"/>
    <x v="2"/>
    <n v="5"/>
    <s v="SPOOL"/>
    <n v="10"/>
    <x v="1"/>
    <s v="NÃO"/>
    <s v="NÃO"/>
    <x v="91"/>
    <x v="3"/>
    <s v="DISPOSIÇÃO DE REJEITOS LINHA DO CIRCUITO ULTRAFINO UNDER DO ES-145A-9901 PARA DISTRIBUIDOR DI-145A-9903"/>
    <m/>
    <m/>
    <m/>
    <s v="1450AA-T-70437_FL13"/>
    <n v="1"/>
    <s v="PÇ"/>
    <n v="2.8"/>
    <n v="2.8"/>
    <n v="2238.89"/>
    <n v="6268.8919999999989"/>
    <n v="0"/>
    <n v="0.9"/>
    <n v="0.1"/>
    <m/>
    <m/>
    <x v="0"/>
    <m/>
    <m/>
    <m/>
    <m/>
    <m/>
    <m/>
    <m/>
    <m/>
    <m/>
    <m/>
    <m/>
    <m/>
    <m/>
    <m/>
    <m/>
    <m/>
    <m/>
  </r>
  <r>
    <s v="2.4.3.1.3"/>
    <s v="CMS M.60.10.000"/>
    <x v="2"/>
    <n v="6"/>
    <s v="SPOOL"/>
    <n v="10"/>
    <x v="1"/>
    <s v="NÃO"/>
    <s v="NÃO"/>
    <x v="91"/>
    <x v="3"/>
    <s v="DISPOSIÇÃO DE REJEITOS LINHA DO CIRCUITO ULTRAFINO UNDER DO ES-145A-9901 PARA DISTRIBUIDOR DI-145A-9903"/>
    <m/>
    <m/>
    <m/>
    <s v="1450AA-T-70437_FL06"/>
    <n v="1"/>
    <s v="PÇ"/>
    <n v="1"/>
    <n v="1"/>
    <n v="2238.89"/>
    <n v="2238.89"/>
    <n v="0"/>
    <n v="0.9"/>
    <n v="0.1"/>
    <m/>
    <m/>
    <x v="0"/>
    <m/>
    <m/>
    <m/>
    <m/>
    <m/>
    <m/>
    <m/>
    <m/>
    <m/>
    <m/>
    <m/>
    <m/>
    <m/>
    <m/>
    <m/>
    <m/>
    <m/>
  </r>
  <r>
    <s v="2.4.3.1.3"/>
    <s v="CMS M.60.10.000"/>
    <x v="2"/>
    <n v="7"/>
    <s v="SPOOL"/>
    <n v="10"/>
    <x v="1"/>
    <s v="NÃO"/>
    <s v="NÃO"/>
    <x v="91"/>
    <x v="3"/>
    <s v="DISPOSIÇÃO DE REJEITOS LINHA DO CIRCUITO ULTRAFINO UNDER DO ES-145A-9901 PARA DISTRIBUIDOR DI-145A-9903"/>
    <m/>
    <m/>
    <m/>
    <s v="1450AA-T-70437_FL10"/>
    <n v="1"/>
    <s v="PÇ"/>
    <n v="2.2850000000000001"/>
    <n v="2.2850000000000001"/>
    <n v="2238.89"/>
    <n v="5115.8636500000002"/>
    <n v="0"/>
    <n v="0.9"/>
    <n v="0.1"/>
    <m/>
    <m/>
    <x v="0"/>
    <m/>
    <m/>
    <m/>
    <m/>
    <m/>
    <m/>
    <m/>
    <m/>
    <m/>
    <m/>
    <m/>
    <m/>
    <m/>
    <m/>
    <m/>
    <m/>
    <m/>
  </r>
  <r>
    <s v="2.4.3.1.3"/>
    <s v="CMS M.60.10.000"/>
    <x v="2"/>
    <n v="8"/>
    <s v="SPOOL"/>
    <n v="10"/>
    <x v="1"/>
    <s v="NÃO"/>
    <s v="NÃO"/>
    <x v="91"/>
    <x v="3"/>
    <s v="DISPOSIÇÃO DE REJEITOS LINHA DO CIRCUITO ULTRAFINO UNDER DO ES-145A-9901 PARA DISTRIBUIDOR DI-145A-9903"/>
    <m/>
    <m/>
    <m/>
    <s v="1450AA-T-70437_FL11"/>
    <n v="1"/>
    <s v="PÇ"/>
    <n v="2.2999999999999998"/>
    <n v="2.2999999999999998"/>
    <n v="2238.89"/>
    <n v="5149.4469999999992"/>
    <n v="0"/>
    <n v="0.9"/>
    <n v="0.1"/>
    <m/>
    <m/>
    <x v="0"/>
    <m/>
    <m/>
    <m/>
    <m/>
    <m/>
    <m/>
    <m/>
    <m/>
    <m/>
    <m/>
    <m/>
    <m/>
    <m/>
    <m/>
    <m/>
    <m/>
    <m/>
  </r>
  <r>
    <s v="2.4.3.1.3"/>
    <s v="CMS M.60.10.000"/>
    <x v="2"/>
    <n v="9"/>
    <s v="SPOOL"/>
    <n v="10"/>
    <x v="2"/>
    <s v="NÃO"/>
    <s v="NÃO"/>
    <x v="91"/>
    <x v="3"/>
    <s v="DISPOSIÇÃO DE REJEITOS LINHA DO CIRCUITO ULTRAFINO UNDER DO ES-145A-9901 PARA DISTRIBUIDOR DI-145A-9903"/>
    <m/>
    <m/>
    <m/>
    <s v="1450AA-T-70437_FL24"/>
    <n v="1"/>
    <s v="PÇ"/>
    <n v="0.76"/>
    <n v="0.76"/>
    <n v="2238.89"/>
    <n v="1701.5563999999999"/>
    <n v="0"/>
    <n v="0.9"/>
    <n v="0.1"/>
    <m/>
    <m/>
    <x v="0"/>
    <m/>
    <m/>
    <m/>
    <m/>
    <m/>
    <m/>
    <m/>
    <m/>
    <m/>
    <m/>
    <m/>
    <m/>
    <m/>
    <m/>
    <m/>
    <m/>
    <m/>
  </r>
  <r>
    <s v="2.4.3.1.3"/>
    <s v="CMS M.60.10.000"/>
    <x v="2"/>
    <n v="10"/>
    <s v="SPOOL"/>
    <n v="10"/>
    <x v="2"/>
    <s v="NÃO"/>
    <s v="NÃO"/>
    <x v="91"/>
    <x v="3"/>
    <s v="DISPOSIÇÃO DE REJEITOS LINHA DO CIRCUITO ULTRAFINO UNDER DO ES-145A-9901 PARA DISTRIBUIDOR DI-145A-9903"/>
    <m/>
    <m/>
    <m/>
    <s v="1450AA-T-70437_FL20"/>
    <n v="1"/>
    <s v="PÇ"/>
    <n v="0.49"/>
    <n v="0.49"/>
    <n v="2238.89"/>
    <n v="1097.0561"/>
    <n v="0"/>
    <n v="0.9"/>
    <n v="0.1"/>
    <m/>
    <m/>
    <x v="0"/>
    <m/>
    <m/>
    <m/>
    <m/>
    <m/>
    <m/>
    <m/>
    <m/>
    <m/>
    <m/>
    <m/>
    <m/>
    <m/>
    <m/>
    <m/>
    <m/>
    <m/>
  </r>
  <r>
    <s v="2.4.3.1.3"/>
    <s v="CMS M.60.10.000"/>
    <x v="2"/>
    <n v="11"/>
    <s v="SPOOL"/>
    <n v="10"/>
    <x v="2"/>
    <s v="NÃO"/>
    <s v="NÃO"/>
    <x v="91"/>
    <x v="3"/>
    <s v="DISPOSIÇÃO DE REJEITOS LINHA DO CIRCUITO ULTRAFINO UNDER DO ES-145A-9901 PARA DISTRIBUIDOR DI-145A-9903"/>
    <m/>
    <m/>
    <m/>
    <s v="1450AA-T-70437_FL18"/>
    <n v="1"/>
    <s v="PÇ"/>
    <n v="0.31"/>
    <n v="0.31"/>
    <n v="2238.89"/>
    <n v="694.05589999999995"/>
    <n v="0"/>
    <n v="0.9"/>
    <n v="0.1"/>
    <m/>
    <m/>
    <x v="0"/>
    <m/>
    <m/>
    <m/>
    <m/>
    <m/>
    <m/>
    <m/>
    <m/>
    <m/>
    <m/>
    <m/>
    <m/>
    <m/>
    <m/>
    <m/>
    <m/>
    <m/>
  </r>
  <r>
    <s v="2.4.3.1.3"/>
    <s v="CMS M.60.10.000"/>
    <x v="2"/>
    <n v="12"/>
    <s v="SPOOL"/>
    <n v="10"/>
    <x v="2"/>
    <s v="NÃO"/>
    <s v="NÃO"/>
    <x v="91"/>
    <x v="3"/>
    <s v="DISPOSIÇÃO DE REJEITOS LINHA DO CIRCUITO ULTRAFINO UNDER DO ES-145A-9901 PARA DISTRIBUIDOR DI-145A-9903"/>
    <m/>
    <m/>
    <m/>
    <s v="1450AA-T-70437_FL19"/>
    <n v="1"/>
    <s v="PÇ"/>
    <n v="0.47"/>
    <n v="0.47"/>
    <n v="2238.89"/>
    <n v="1052.2782999999999"/>
    <n v="0"/>
    <n v="0.9"/>
    <n v="0.1"/>
    <m/>
    <m/>
    <x v="0"/>
    <m/>
    <m/>
    <m/>
    <m/>
    <m/>
    <m/>
    <m/>
    <m/>
    <m/>
    <m/>
    <m/>
    <m/>
    <m/>
    <m/>
    <m/>
    <m/>
    <m/>
  </r>
  <r>
    <s v="2.4.3.1.3"/>
    <s v="CMS M.60.10.000"/>
    <x v="2"/>
    <n v="13"/>
    <s v="CURVA"/>
    <n v="10"/>
    <x v="1"/>
    <s v="NÃO"/>
    <s v="NÃO"/>
    <x v="91"/>
    <x v="3"/>
    <s v="DISPOSIÇÃO DE REJEITOS LINHA DO CIRCUITO ULTRAFINO UNDER DO ES-145A-9901 PARA DISTRIBUIDOR DI-145A-9903"/>
    <m/>
    <m/>
    <m/>
    <s v="1450AA-T-70437_FL32"/>
    <n v="1"/>
    <s v="PÇ"/>
    <n v="0.54100000000000004"/>
    <n v="0.54100000000000004"/>
    <n v="2238.89"/>
    <n v="1211.2394899999999"/>
    <n v="0"/>
    <n v="0.9"/>
    <n v="0.1"/>
    <m/>
    <m/>
    <x v="0"/>
    <m/>
    <m/>
    <m/>
    <m/>
    <m/>
    <m/>
    <m/>
    <m/>
    <m/>
    <m/>
    <m/>
    <m/>
    <m/>
    <m/>
    <m/>
    <m/>
    <m/>
  </r>
  <r>
    <s v="2.4.3.1.3"/>
    <s v="CMS M.60.10.000"/>
    <x v="2"/>
    <n v="14"/>
    <s v="CURVA"/>
    <n v="10"/>
    <x v="1"/>
    <s v="NÃO"/>
    <s v="NÃO"/>
    <x v="91"/>
    <x v="3"/>
    <s v="DISPOSIÇÃO DE REJEITOS LINHA DO CIRCUITO ULTRAFINO UNDER DO ES-145A-9901 PARA DISTRIBUIDOR DI-145A-9903"/>
    <m/>
    <m/>
    <m/>
    <s v="1450AA-T-70437_FL31"/>
    <n v="1"/>
    <s v="PÇ"/>
    <n v="0.52600000000000002"/>
    <n v="0.52600000000000002"/>
    <n v="2238.89"/>
    <n v="1177.6561400000001"/>
    <n v="0"/>
    <n v="0.9"/>
    <n v="0.1"/>
    <m/>
    <m/>
    <x v="0"/>
    <m/>
    <m/>
    <m/>
    <m/>
    <m/>
    <m/>
    <m/>
    <m/>
    <m/>
    <m/>
    <m/>
    <m/>
    <m/>
    <m/>
    <m/>
    <m/>
    <m/>
  </r>
  <r>
    <s v="2.4.3.1.3"/>
    <s v="CMS M.60.10.000"/>
    <x v="2"/>
    <n v="15"/>
    <s v="CURVA"/>
    <n v="10"/>
    <x v="1"/>
    <s v="NÃO"/>
    <s v="NÃO"/>
    <x v="91"/>
    <x v="3"/>
    <s v="DISPOSIÇÃO DE REJEITOS LINHA DO CIRCUITO ULTRAFINO UNDER DO ES-145A-9901 PARA DISTRIBUIDOR DI-145A-9903"/>
    <m/>
    <m/>
    <m/>
    <s v="1450AA-T-70437_FL33"/>
    <n v="1"/>
    <s v="PÇ"/>
    <n v="0.60599999999999998"/>
    <n v="0.60599999999999998"/>
    <n v="2238.89"/>
    <n v="1356.7673399999999"/>
    <n v="0"/>
    <n v="0.9"/>
    <n v="0.1"/>
    <m/>
    <m/>
    <x v="0"/>
    <m/>
    <m/>
    <m/>
    <m/>
    <m/>
    <m/>
    <m/>
    <m/>
    <m/>
    <m/>
    <m/>
    <m/>
    <m/>
    <m/>
    <m/>
    <m/>
    <m/>
  </r>
  <r>
    <s v="2.4.3.1.3"/>
    <s v="CMS M.60.10.000"/>
    <x v="2"/>
    <n v="16"/>
    <s v="CURVA"/>
    <n v="10"/>
    <x v="1"/>
    <s v="NÃO"/>
    <s v="NÃO"/>
    <x v="91"/>
    <x v="3"/>
    <s v="DISPOSIÇÃO DE REJEITOS LINHA DO CIRCUITO ULTRAFINO UNDER DO ES-145A-9901 PARA DISTRIBUIDOR DI-145A-9903"/>
    <m/>
    <m/>
    <m/>
    <s v="1450AA-T-70437_FL34"/>
    <n v="2"/>
    <s v="PÇ"/>
    <n v="0.69799999999999995"/>
    <n v="1.3959999999999999"/>
    <n v="2238.89"/>
    <n v="3125.4904399999996"/>
    <n v="0"/>
    <n v="0.9"/>
    <n v="0.1"/>
    <m/>
    <m/>
    <x v="0"/>
    <m/>
    <m/>
    <m/>
    <m/>
    <m/>
    <m/>
    <m/>
    <m/>
    <m/>
    <m/>
    <m/>
    <m/>
    <m/>
    <m/>
    <m/>
    <m/>
    <m/>
  </r>
  <r>
    <s v="2.4.3.1.3"/>
    <s v="CMS M.60.10.000"/>
    <x v="2"/>
    <n v="17"/>
    <s v="CURVA"/>
    <n v="10"/>
    <x v="1"/>
    <s v="NÃO"/>
    <s v="NÃO"/>
    <x v="91"/>
    <x v="3"/>
    <s v="DISPOSIÇÃO DE REJEITOS LINHA DO CIRCUITO ULTRAFINO UNDER DO ES-145A-9901 PARA DISTRIBUIDOR DI-145A-9903"/>
    <m/>
    <m/>
    <m/>
    <s v="1450AA-T-70437_FL38"/>
    <n v="2"/>
    <s v="PÇ"/>
    <n v="1.25"/>
    <n v="2.5"/>
    <n v="2238.89"/>
    <n v="5597.2249999999995"/>
    <n v="0"/>
    <n v="0.9"/>
    <n v="0.1"/>
    <m/>
    <m/>
    <x v="0"/>
    <m/>
    <m/>
    <m/>
    <m/>
    <m/>
    <m/>
    <m/>
    <m/>
    <m/>
    <m/>
    <m/>
    <m/>
    <m/>
    <m/>
    <m/>
    <m/>
    <m/>
  </r>
  <r>
    <s v="2.4.3.1.3"/>
    <s v="CMS M.60.10.000"/>
    <x v="2"/>
    <n v="18"/>
    <s v="DERIVAÇÃO"/>
    <n v="10"/>
    <x v="1"/>
    <s v="NÃO"/>
    <s v="NÃO"/>
    <x v="91"/>
    <x v="3"/>
    <s v="DISPOSIÇÃO DE REJEITOS LINHA DO CIRCUITO ULTRAFINO UNDER DO ES-145A-9901 PARA DISTRIBUIDOR DI-145A-9903"/>
    <m/>
    <m/>
    <m/>
    <s v="1450AA-T-70437_FL42"/>
    <n v="1"/>
    <s v="PÇ"/>
    <n v="1.518"/>
    <n v="1.518"/>
    <n v="2238.89"/>
    <n v="3398.6350199999997"/>
    <n v="0"/>
    <n v="0.9"/>
    <n v="0.1"/>
    <m/>
    <m/>
    <x v="0"/>
    <m/>
    <m/>
    <m/>
    <m/>
    <m/>
    <m/>
    <m/>
    <m/>
    <m/>
    <m/>
    <m/>
    <m/>
    <m/>
    <m/>
    <m/>
    <m/>
    <m/>
  </r>
  <r>
    <s v="2.4.3.1.3"/>
    <s v="CMS M.60.10.000"/>
    <x v="2"/>
    <n v="19"/>
    <s v="SPOOL"/>
    <n v="10"/>
    <x v="1"/>
    <s v="NÃO"/>
    <s v="NÃO"/>
    <x v="91"/>
    <x v="3"/>
    <s v="DISPOSIÇÃO DE REJEITOS LINHA DO CIRCUITO ULTRAFINO UNDER DO ES-145A-9901 PARA DISTRIBUIDOR DI-145A-9903"/>
    <m/>
    <m/>
    <m/>
    <s v="1450AA-T-70437_FL43"/>
    <n v="1"/>
    <s v="PÇ"/>
    <n v="1.38"/>
    <n v="1.38"/>
    <n v="2238.89"/>
    <n v="3089.6681999999996"/>
    <n v="0"/>
    <n v="0.9"/>
    <n v="0.1"/>
    <m/>
    <m/>
    <x v="0"/>
    <m/>
    <m/>
    <m/>
    <m/>
    <m/>
    <m/>
    <m/>
    <m/>
    <m/>
    <m/>
    <m/>
    <m/>
    <m/>
    <m/>
    <m/>
    <m/>
    <m/>
  </r>
  <r>
    <s v="2.4.3.1.3"/>
    <s v="CMS M.60.10.000"/>
    <x v="2"/>
    <n v="1"/>
    <s v="SPOOL"/>
    <n v="10"/>
    <x v="1"/>
    <s v="NÃO"/>
    <s v="NÃO"/>
    <x v="92"/>
    <x v="3"/>
    <s v="DISPOSIÇÃO DE REJEITOS LINHA DO CIRCUITO ULTRAFINO UNDER DO ES-145A-9901 PARA DISTRIBUIDOR DI-145A-9903"/>
    <m/>
    <m/>
    <m/>
    <s v="1450AA-T-70439_FL19"/>
    <n v="3"/>
    <s v="PÇ"/>
    <n v="6"/>
    <n v="18"/>
    <n v="2238.89"/>
    <n v="40300.019999999997"/>
    <n v="0"/>
    <n v="0.9"/>
    <n v="0.1"/>
    <m/>
    <m/>
    <x v="0"/>
    <m/>
    <m/>
    <m/>
    <m/>
    <m/>
    <m/>
    <m/>
    <m/>
    <m/>
    <m/>
    <m/>
    <m/>
    <m/>
    <m/>
    <m/>
    <m/>
    <m/>
  </r>
  <r>
    <s v="2.4.3.1.3"/>
    <s v="CMS M.60.10.000"/>
    <x v="2"/>
    <n v="2"/>
    <s v="SPOOL"/>
    <n v="10"/>
    <x v="1"/>
    <s v="NÃO"/>
    <s v="NÃO"/>
    <x v="92"/>
    <x v="3"/>
    <s v="DISPOSIÇÃO DE REJEITOS LINHA DO CIRCUITO ULTRAFINO UNDER DO ES-145A-9901 PARA DISTRIBUIDOR DI-145A-9903"/>
    <m/>
    <m/>
    <m/>
    <s v="1450AA-T-70439_FL17"/>
    <n v="1"/>
    <s v="PÇ"/>
    <n v="4.5"/>
    <n v="4.5"/>
    <n v="2238.89"/>
    <n v="10075.004999999999"/>
    <n v="0"/>
    <n v="0.9"/>
    <n v="0.1"/>
    <m/>
    <m/>
    <x v="0"/>
    <m/>
    <m/>
    <m/>
    <m/>
    <m/>
    <m/>
    <m/>
    <m/>
    <m/>
    <m/>
    <m/>
    <m/>
    <m/>
    <m/>
    <m/>
    <m/>
    <m/>
  </r>
  <r>
    <s v="2.4.3.1.3"/>
    <s v="CMS M.60.10.000"/>
    <x v="2"/>
    <n v="3"/>
    <s v="SPOOL"/>
    <n v="10"/>
    <x v="1"/>
    <s v="NÃO"/>
    <s v="NÃO"/>
    <x v="92"/>
    <x v="3"/>
    <s v="DISPOSIÇÃO DE REJEITOS LINHA DO CIRCUITO ULTRAFINO UNDER DO ES-145A-9901 PARA DISTRIBUIDOR DI-145A-9903"/>
    <m/>
    <m/>
    <m/>
    <s v="1450AA-T-70439_FL15"/>
    <n v="2"/>
    <s v="PÇ"/>
    <n v="3.5"/>
    <n v="7"/>
    <n v="2238.89"/>
    <n v="15672.23"/>
    <n v="0"/>
    <n v="0.9"/>
    <n v="0.1"/>
    <m/>
    <m/>
    <x v="0"/>
    <m/>
    <m/>
    <m/>
    <m/>
    <m/>
    <m/>
    <m/>
    <m/>
    <m/>
    <m/>
    <m/>
    <m/>
    <m/>
    <m/>
    <m/>
    <m/>
    <m/>
  </r>
  <r>
    <s v="2.4.3.1.3"/>
    <s v="CMS M.60.10.000"/>
    <x v="2"/>
    <n v="4"/>
    <s v="SPOOL"/>
    <n v="10"/>
    <x v="1"/>
    <s v="NÃO"/>
    <s v="NÃO"/>
    <x v="92"/>
    <x v="3"/>
    <s v="DISPOSIÇÃO DE REJEITOS LINHA DO CIRCUITO ULTRAFINO UNDER DO ES-145A-9901 PARA DISTRIBUIDOR DI-145A-9903"/>
    <m/>
    <m/>
    <m/>
    <s v="1450AA-T-70439_FL11"/>
    <n v="1"/>
    <s v="PÇ"/>
    <n v="2.2999999999999998"/>
    <n v="2.2999999999999998"/>
    <n v="2238.89"/>
    <n v="5149.4469999999992"/>
    <n v="0"/>
    <n v="0.9"/>
    <n v="0.1"/>
    <m/>
    <m/>
    <x v="0"/>
    <m/>
    <m/>
    <m/>
    <m/>
    <m/>
    <m/>
    <m/>
    <m/>
    <m/>
    <m/>
    <m/>
    <m/>
    <m/>
    <m/>
    <m/>
    <m/>
    <m/>
  </r>
  <r>
    <s v="2.4.3.1.3"/>
    <s v="CMS M.60.10.000"/>
    <x v="2"/>
    <n v="5"/>
    <s v="SPOOL"/>
    <n v="10"/>
    <x v="1"/>
    <s v="NÃO"/>
    <s v="NÃO"/>
    <x v="92"/>
    <x v="3"/>
    <s v="DISPOSIÇÃO DE REJEITOS LINHA DO CIRCUITO ULTRAFINO UNDER DO ES-145A-9901 PARA DISTRIBUIDOR DI-145A-9903"/>
    <m/>
    <m/>
    <m/>
    <s v="1450AA-T-70439_FL08"/>
    <n v="1"/>
    <s v="PÇ"/>
    <n v="1.3"/>
    <n v="1.3"/>
    <n v="2238.89"/>
    <n v="2910.5569999999998"/>
    <n v="0"/>
    <n v="0.9"/>
    <n v="0.1"/>
    <m/>
    <m/>
    <x v="0"/>
    <m/>
    <m/>
    <m/>
    <m/>
    <m/>
    <m/>
    <m/>
    <m/>
    <m/>
    <m/>
    <m/>
    <m/>
    <m/>
    <m/>
    <m/>
    <m/>
    <m/>
  </r>
  <r>
    <s v="2.4.3.1.3"/>
    <s v="CMS M.60.10.000"/>
    <x v="2"/>
    <n v="6"/>
    <s v="SPOOL"/>
    <n v="10"/>
    <x v="2"/>
    <s v="NÃO"/>
    <s v="NÃO"/>
    <x v="92"/>
    <x v="3"/>
    <s v="DISPOSIÇÃO DE REJEITOS LINHA DO CIRCUITO ULTRAFINO UNDER DO ES-145A-9901 PARA DISTRIBUIDOR DI-145A-9903"/>
    <m/>
    <m/>
    <m/>
    <s v="1450AA-T-70439_FL24"/>
    <n v="1"/>
    <s v="PÇ"/>
    <n v="0.6"/>
    <n v="0.6"/>
    <n v="2238.89"/>
    <n v="1343.3339999999998"/>
    <n v="0"/>
    <n v="0.9"/>
    <n v="0.1"/>
    <m/>
    <m/>
    <x v="0"/>
    <m/>
    <m/>
    <m/>
    <m/>
    <m/>
    <m/>
    <m/>
    <m/>
    <m/>
    <m/>
    <m/>
    <m/>
    <m/>
    <m/>
    <m/>
    <m/>
    <m/>
  </r>
  <r>
    <s v="2.4.3.1.3"/>
    <s v="CMS M.60.10.000"/>
    <x v="2"/>
    <n v="7"/>
    <s v="CURVA"/>
    <n v="10"/>
    <x v="1"/>
    <s v="NÃO"/>
    <s v="NÃO"/>
    <x v="92"/>
    <x v="3"/>
    <s v="DISPOSIÇÃO DE REJEITOS LINHA DO CIRCUITO ULTRAFINO UNDER DO ES-145A-9901 PARA DISTRIBUIDOR DI-145A-9903"/>
    <m/>
    <m/>
    <m/>
    <s v="1450AA-T-70439_FL31"/>
    <n v="2"/>
    <s v="PÇ"/>
    <n v="0.46300000000000002"/>
    <n v="0.92600000000000005"/>
    <n v="2238.89"/>
    <n v="2073.2121400000001"/>
    <n v="0"/>
    <n v="0.9"/>
    <n v="0.1"/>
    <m/>
    <m/>
    <x v="0"/>
    <m/>
    <m/>
    <m/>
    <m/>
    <m/>
    <m/>
    <m/>
    <m/>
    <m/>
    <m/>
    <m/>
    <m/>
    <m/>
    <m/>
    <m/>
    <m/>
    <m/>
  </r>
  <r>
    <s v="2.4.3.1.3"/>
    <s v="CMS M.60.10.000"/>
    <x v="2"/>
    <n v="8"/>
    <s v="CURVA"/>
    <n v="10"/>
    <x v="1"/>
    <s v="NÃO"/>
    <s v="NÃO"/>
    <x v="92"/>
    <x v="3"/>
    <s v="DISPOSIÇÃO DE REJEITOS LINHA DO CIRCUITO ULTRAFINO UNDER DO ES-145A-9901 PARA DISTRIBUIDOR DI-145A-9903"/>
    <m/>
    <m/>
    <m/>
    <s v="1450AA-T-70439_FL30"/>
    <n v="2"/>
    <s v="PÇ"/>
    <n v="0.38600000000000001"/>
    <n v="0.77200000000000002"/>
    <n v="2238.89"/>
    <n v="1728.42308"/>
    <n v="0"/>
    <n v="0.9"/>
    <n v="0.1"/>
    <m/>
    <m/>
    <x v="0"/>
    <m/>
    <m/>
    <m/>
    <m/>
    <m/>
    <m/>
    <m/>
    <m/>
    <m/>
    <m/>
    <m/>
    <m/>
    <m/>
    <m/>
    <m/>
    <m/>
    <m/>
  </r>
  <r>
    <s v="2.4.3.1.3"/>
    <s v="CMS M.60.10.000"/>
    <x v="2"/>
    <n v="1"/>
    <s v="SPOOL"/>
    <n v="10"/>
    <x v="1"/>
    <s v="NÃO"/>
    <s v="NÃO"/>
    <x v="93"/>
    <x v="3"/>
    <s v="DISPOSIÇÃO DE REJEITOS LINHA DO CIRCUITO ULTRAFINO UNDER DO ES-145A-9901 PARA DISTRIBUIDOR DI-145A-9903"/>
    <m/>
    <m/>
    <m/>
    <s v="1450AA-T-70439_FL18"/>
    <n v="2"/>
    <s v="PÇ"/>
    <n v="5.5"/>
    <n v="11"/>
    <n v="2238.89"/>
    <n v="24627.789999999997"/>
    <n v="0"/>
    <n v="0.9"/>
    <n v="0.1"/>
    <m/>
    <m/>
    <x v="0"/>
    <m/>
    <m/>
    <m/>
    <m/>
    <m/>
    <m/>
    <m/>
    <m/>
    <m/>
    <m/>
    <m/>
    <m/>
    <m/>
    <m/>
    <m/>
    <m/>
    <m/>
  </r>
  <r>
    <s v="2.4.3.1.3"/>
    <s v="CMS M.60.10.000"/>
    <x v="2"/>
    <n v="2"/>
    <s v="SPOOL"/>
    <n v="10"/>
    <x v="1"/>
    <s v="NÃO"/>
    <s v="NÃO"/>
    <x v="93"/>
    <x v="3"/>
    <s v="DISPOSIÇÃO DE REJEITOS LINHA DO CIRCUITO ULTRAFINO UNDER DO ES-145A-9901 PARA DISTRIBUIDOR DI-145A-9903"/>
    <m/>
    <m/>
    <m/>
    <s v="1450AA-T-70439_FL12"/>
    <n v="1"/>
    <s v="PÇ"/>
    <n v="2.5"/>
    <n v="2.5"/>
    <n v="2238.89"/>
    <n v="5597.2249999999995"/>
    <n v="0"/>
    <n v="0.9"/>
    <n v="0.1"/>
    <m/>
    <m/>
    <x v="0"/>
    <m/>
    <m/>
    <m/>
    <m/>
    <m/>
    <m/>
    <m/>
    <m/>
    <m/>
    <m/>
    <m/>
    <m/>
    <m/>
    <m/>
    <m/>
    <m/>
    <m/>
  </r>
  <r>
    <s v="2.4.3.1.3"/>
    <s v="CMS M.60.10.000"/>
    <x v="2"/>
    <n v="3"/>
    <s v="SPOOL"/>
    <n v="10"/>
    <x v="1"/>
    <s v="NÃO"/>
    <s v="NÃO"/>
    <x v="93"/>
    <x v="3"/>
    <s v="DISPOSIÇÃO DE REJEITOS LINHA DO CIRCUITO ULTRAFINO UNDER DO ES-145A-9901 PARA DISTRIBUIDOR DI-145A-9903"/>
    <m/>
    <m/>
    <m/>
    <s v="1450AA-T-70439_FL15"/>
    <n v="2"/>
    <s v="PÇ"/>
    <n v="3.5"/>
    <n v="7"/>
    <n v="2238.89"/>
    <n v="15672.23"/>
    <n v="0"/>
    <n v="0.9"/>
    <n v="0.1"/>
    <m/>
    <m/>
    <x v="0"/>
    <m/>
    <m/>
    <m/>
    <m/>
    <m/>
    <m/>
    <m/>
    <m/>
    <m/>
    <m/>
    <m/>
    <m/>
    <m/>
    <m/>
    <m/>
    <m/>
    <m/>
  </r>
  <r>
    <s v="2.4.3.1.3"/>
    <s v="CMS M.60.10.000"/>
    <x v="2"/>
    <n v="4"/>
    <s v="SPOOL"/>
    <n v="10"/>
    <x v="1"/>
    <s v="NÃO"/>
    <s v="NÃO"/>
    <x v="93"/>
    <x v="3"/>
    <s v="DISPOSIÇÃO DE REJEITOS LINHA DO CIRCUITO ULTRAFINO UNDER DO ES-145A-9901 PARA DISTRIBUIDOR DI-145A-9903"/>
    <m/>
    <m/>
    <m/>
    <s v="1450AA-T-70439_FL07"/>
    <n v="1"/>
    <s v="PÇ"/>
    <n v="0.7"/>
    <n v="0.7"/>
    <n v="2238.89"/>
    <n v="1567.2229999999997"/>
    <n v="0"/>
    <n v="0.9"/>
    <n v="0.1"/>
    <m/>
    <m/>
    <x v="0"/>
    <m/>
    <m/>
    <m/>
    <m/>
    <m/>
    <m/>
    <m/>
    <m/>
    <m/>
    <m/>
    <m/>
    <m/>
    <m/>
    <m/>
    <m/>
    <m/>
    <m/>
  </r>
  <r>
    <s v="2.4.3.1.3"/>
    <s v="CMS M.60.10.000"/>
    <x v="2"/>
    <n v="5"/>
    <s v="SPOOL"/>
    <n v="10"/>
    <x v="1"/>
    <s v="NÃO"/>
    <s v="NÃO"/>
    <x v="93"/>
    <x v="3"/>
    <s v="DISPOSIÇÃO DE REJEITOS LINHA DO CIRCUITO ULTRAFINO UNDER DO ES-145A-9901 PARA DISTRIBUIDOR DI-145A-9903"/>
    <m/>
    <m/>
    <m/>
    <s v="1450AA-T-70439_FL06"/>
    <n v="1"/>
    <s v="PÇ"/>
    <n v="0.46"/>
    <n v="0.46"/>
    <n v="2238.89"/>
    <n v="1029.8894"/>
    <n v="0"/>
    <n v="0.9"/>
    <n v="0.1"/>
    <m/>
    <m/>
    <x v="0"/>
    <m/>
    <m/>
    <m/>
    <m/>
    <m/>
    <m/>
    <m/>
    <m/>
    <m/>
    <m/>
    <m/>
    <m/>
    <m/>
    <m/>
    <m/>
    <m/>
    <m/>
  </r>
  <r>
    <s v="2.4.3.1.3"/>
    <s v="CMS M.60.10.000"/>
    <x v="2"/>
    <n v="6"/>
    <s v="SPOOL"/>
    <n v="10"/>
    <x v="1"/>
    <s v="NÃO"/>
    <s v="NÃO"/>
    <x v="93"/>
    <x v="3"/>
    <s v="DISPOSIÇÃO DE REJEITOS LINHA DO CIRCUITO ULTRAFINO UNDER DO ES-145A-9901 PARA DISTRIBUIDOR DI-145A-9903"/>
    <m/>
    <m/>
    <m/>
    <s v="1450AA-T-70439_FL13"/>
    <n v="1"/>
    <s v="PÇ"/>
    <n v="2.8570000000000002"/>
    <n v="2.8570000000000002"/>
    <n v="2238.89"/>
    <n v="6396.5087300000005"/>
    <n v="0"/>
    <n v="0.9"/>
    <n v="0.1"/>
    <m/>
    <m/>
    <x v="0"/>
    <m/>
    <m/>
    <m/>
    <m/>
    <m/>
    <m/>
    <m/>
    <m/>
    <m/>
    <m/>
    <m/>
    <m/>
    <m/>
    <m/>
    <m/>
    <m/>
    <m/>
  </r>
  <r>
    <s v="2.4.3.1.3"/>
    <s v="CMS M.60.10.000"/>
    <x v="2"/>
    <n v="7"/>
    <s v="SPOOL"/>
    <n v="10"/>
    <x v="1"/>
    <s v="NÃO"/>
    <s v="NÃO"/>
    <x v="93"/>
    <x v="3"/>
    <s v="DISPOSIÇÃO DE REJEITOS LINHA DO CIRCUITO ULTRAFINO UNDER DO ES-145A-9901 PARA DISTRIBUIDOR DI-145A-9903"/>
    <m/>
    <m/>
    <m/>
    <s v="1450AA-T-70439_FL08"/>
    <n v="1"/>
    <s v="PÇ"/>
    <n v="1.3"/>
    <n v="1.3"/>
    <n v="2238.89"/>
    <n v="2910.5569999999998"/>
    <n v="0"/>
    <n v="0.9"/>
    <n v="0.1"/>
    <m/>
    <m/>
    <x v="0"/>
    <m/>
    <m/>
    <m/>
    <m/>
    <m/>
    <m/>
    <m/>
    <m/>
    <m/>
    <m/>
    <m/>
    <m/>
    <m/>
    <m/>
    <m/>
    <m/>
    <m/>
  </r>
  <r>
    <s v="2.4.3.1.3"/>
    <s v="CMS M.60.10.000"/>
    <x v="2"/>
    <n v="8"/>
    <s v="SPOOL"/>
    <n v="10"/>
    <x v="1"/>
    <s v="NÃO"/>
    <s v="NÃO"/>
    <x v="93"/>
    <x v="3"/>
    <s v="DISPOSIÇÃO DE REJEITOS LINHA DO CIRCUITO ULTRAFINO UNDER DO ES-145A-9901 PARA DISTRIBUIDOR DI-145A-9903"/>
    <m/>
    <m/>
    <m/>
    <s v="1450AA-T-70439_FL10"/>
    <n v="1"/>
    <s v="PÇ"/>
    <n v="2.2850000000000001"/>
    <n v="2.2850000000000001"/>
    <n v="2238.89"/>
    <n v="5115.8636500000002"/>
    <n v="0"/>
    <n v="0.9"/>
    <n v="0.1"/>
    <m/>
    <m/>
    <x v="0"/>
    <m/>
    <m/>
    <m/>
    <m/>
    <m/>
    <m/>
    <m/>
    <m/>
    <m/>
    <m/>
    <m/>
    <m/>
    <m/>
    <m/>
    <m/>
    <m/>
    <m/>
  </r>
  <r>
    <s v="2.4.3.1.3"/>
    <s v="CMS M.60.10.000"/>
    <x v="2"/>
    <n v="9"/>
    <s v="SPOOL"/>
    <n v="10"/>
    <x v="1"/>
    <s v="NÃO"/>
    <s v="NÃO"/>
    <x v="93"/>
    <x v="3"/>
    <s v="DISPOSIÇÃO DE REJEITOS LINHA DO CIRCUITO ULTRAFINO UNDER DO ES-145A-9901 PARA DISTRIBUIDOR DI-145A-9903"/>
    <m/>
    <m/>
    <m/>
    <s v="1450AA-T-70439_FL11"/>
    <n v="1"/>
    <s v="PÇ"/>
    <n v="2.2999999999999998"/>
    <n v="2.2999999999999998"/>
    <n v="2238.89"/>
    <n v="5149.4469999999992"/>
    <n v="0"/>
    <n v="0.9"/>
    <n v="0.1"/>
    <m/>
    <m/>
    <x v="0"/>
    <m/>
    <m/>
    <m/>
    <m/>
    <m/>
    <m/>
    <m/>
    <m/>
    <m/>
    <m/>
    <m/>
    <m/>
    <m/>
    <m/>
    <m/>
    <m/>
    <m/>
  </r>
  <r>
    <s v="2.4.3.1.3"/>
    <s v="CMS M.60.10.000"/>
    <x v="2"/>
    <n v="10"/>
    <s v="SPOOL"/>
    <n v="10"/>
    <x v="2"/>
    <s v="NÃO"/>
    <s v="NÃO"/>
    <x v="93"/>
    <x v="3"/>
    <s v="DISPOSIÇÃO DE REJEITOS LINHA DO CIRCUITO ULTRAFINO UNDER DO ES-145A-9901 PARA DISTRIBUIDOR DI-145A-9903"/>
    <m/>
    <m/>
    <m/>
    <s v="1450AA-T-70439_FL25"/>
    <n v="1"/>
    <s v="PÇ"/>
    <n v="0.62"/>
    <n v="0.62"/>
    <n v="2238.89"/>
    <n v="1388.1117999999999"/>
    <n v="0"/>
    <n v="0.9"/>
    <n v="0.1"/>
    <m/>
    <m/>
    <x v="0"/>
    <m/>
    <m/>
    <m/>
    <m/>
    <m/>
    <m/>
    <m/>
    <m/>
    <m/>
    <m/>
    <m/>
    <m/>
    <m/>
    <m/>
    <m/>
    <m/>
    <m/>
  </r>
  <r>
    <s v="2.4.3.1.3"/>
    <s v="CMS M.60.10.000"/>
    <x v="2"/>
    <n v="11"/>
    <s v="SPOOL"/>
    <n v="10"/>
    <x v="2"/>
    <s v="NÃO"/>
    <s v="NÃO"/>
    <x v="93"/>
    <x v="3"/>
    <s v="DISPOSIÇÃO DE REJEITOS LINHA DO CIRCUITO ULTRAFINO UNDER DO ES-145A-9901 PARA DISTRIBUIDOR DI-145A-9903"/>
    <m/>
    <m/>
    <m/>
    <s v="1450AA-T-70439_FL22"/>
    <n v="1"/>
    <s v="PÇ"/>
    <n v="0.44"/>
    <n v="0.44"/>
    <n v="2238.89"/>
    <n v="985.11159999999995"/>
    <n v="0"/>
    <n v="0.9"/>
    <n v="0.1"/>
    <m/>
    <m/>
    <x v="0"/>
    <m/>
    <m/>
    <m/>
    <m/>
    <m/>
    <m/>
    <m/>
    <m/>
    <m/>
    <m/>
    <m/>
    <m/>
    <m/>
    <m/>
    <m/>
    <m/>
    <m/>
  </r>
  <r>
    <s v="2.4.3.1.3"/>
    <s v="CMS M.60.10.000"/>
    <x v="2"/>
    <n v="12"/>
    <s v="SPOOL"/>
    <n v="10"/>
    <x v="2"/>
    <s v="NÃO"/>
    <s v="NÃO"/>
    <x v="93"/>
    <x v="3"/>
    <s v="DISPOSIÇÃO DE REJEITOS LINHA DO CIRCUITO ULTRAFINO UNDER DO ES-145A-9901 PARA DISTRIBUIDOR DI-145A-9903"/>
    <m/>
    <m/>
    <m/>
    <s v="1450AA-T-70439_FL20"/>
    <n v="1"/>
    <s v="PÇ"/>
    <n v="0.28999999999999998"/>
    <n v="0.28999999999999998"/>
    <n v="2238.89"/>
    <n v="649.27809999999988"/>
    <n v="0"/>
    <n v="0.9"/>
    <n v="0.1"/>
    <m/>
    <m/>
    <x v="0"/>
    <m/>
    <m/>
    <m/>
    <m/>
    <m/>
    <m/>
    <m/>
    <m/>
    <m/>
    <m/>
    <m/>
    <m/>
    <m/>
    <m/>
    <m/>
    <m/>
    <m/>
  </r>
  <r>
    <s v="2.4.3.1.3"/>
    <s v="CMS M.60.10.000"/>
    <x v="2"/>
    <n v="13"/>
    <s v="SPOOL"/>
    <n v="10"/>
    <x v="2"/>
    <s v="NÃO"/>
    <s v="NÃO"/>
    <x v="93"/>
    <x v="3"/>
    <s v="DISPOSIÇÃO DE REJEITOS LINHA DO CIRCUITO ULTRAFINO UNDER DO ES-145A-9901 PARA DISTRIBUIDOR DI-145A-9903"/>
    <m/>
    <m/>
    <m/>
    <s v="1450AA-T-70439_FL23"/>
    <n v="1"/>
    <s v="PÇ"/>
    <n v="0.47"/>
    <n v="0.47"/>
    <n v="2238.89"/>
    <n v="1052.2782999999999"/>
    <n v="0"/>
    <n v="0.9"/>
    <n v="0.1"/>
    <m/>
    <m/>
    <x v="0"/>
    <m/>
    <m/>
    <m/>
    <m/>
    <m/>
    <m/>
    <m/>
    <m/>
    <m/>
    <m/>
    <m/>
    <m/>
    <m/>
    <m/>
    <m/>
    <m/>
    <m/>
  </r>
  <r>
    <s v="2.4.3.1.3"/>
    <s v="CMS M.60.10.000"/>
    <x v="2"/>
    <n v="14"/>
    <s v="CURVA"/>
    <n v="10"/>
    <x v="1"/>
    <s v="NÃO"/>
    <s v="NÃO"/>
    <x v="93"/>
    <x v="3"/>
    <s v="DISPOSIÇÃO DE REJEITOS LINHA DO CIRCUITO ULTRAFINO UNDER DO ES-145A-9901 PARA DISTRIBUIDOR DI-145A-9903"/>
    <m/>
    <m/>
    <m/>
    <s v="1450AA-T-70439_FL32"/>
    <n v="2"/>
    <s v="PÇ"/>
    <n v="0.54100000000000004"/>
    <n v="1.0820000000000001"/>
    <n v="2238.89"/>
    <n v="2422.4789799999999"/>
    <n v="0"/>
    <n v="0.9"/>
    <n v="0.1"/>
    <m/>
    <m/>
    <x v="0"/>
    <m/>
    <m/>
    <m/>
    <m/>
    <m/>
    <m/>
    <m/>
    <m/>
    <m/>
    <m/>
    <m/>
    <m/>
    <m/>
    <m/>
    <m/>
    <m/>
    <m/>
  </r>
  <r>
    <s v="2.4.3.1.3"/>
    <s v="CMS M.60.10.000"/>
    <x v="2"/>
    <n v="15"/>
    <s v="CURVA"/>
    <n v="10"/>
    <x v="1"/>
    <s v="NÃO"/>
    <s v="NÃO"/>
    <x v="93"/>
    <x v="3"/>
    <s v="DISPOSIÇÃO DE REJEITOS LINHA DO CIRCUITO ULTRAFINO UNDER DO ES-145A-9901 PARA DISTRIBUIDOR DI-145A-9903"/>
    <m/>
    <m/>
    <m/>
    <s v="1450AA-T-70439_FL36"/>
    <n v="1"/>
    <s v="PÇ"/>
    <n v="0.85799999999999998"/>
    <n v="0.85799999999999998"/>
    <n v="2238.89"/>
    <n v="1920.9676199999999"/>
    <n v="0"/>
    <n v="0.9"/>
    <n v="0.1"/>
    <m/>
    <m/>
    <x v="0"/>
    <m/>
    <m/>
    <m/>
    <m/>
    <m/>
    <m/>
    <m/>
    <m/>
    <m/>
    <m/>
    <m/>
    <m/>
    <m/>
    <m/>
    <m/>
    <m/>
    <m/>
  </r>
  <r>
    <s v="2.4.3.1.3"/>
    <s v="CMS M.60.10.000"/>
    <x v="2"/>
    <n v="16"/>
    <s v="CURVA"/>
    <n v="10"/>
    <x v="1"/>
    <s v="NÃO"/>
    <s v="NÃO"/>
    <x v="93"/>
    <x v="3"/>
    <s v="DISPOSIÇÃO DE REJEITOS LINHA DO CIRCUITO ULTRAFINO UNDER DO ES-145A-9901 PARA DISTRIBUIDOR DI-145A-9903"/>
    <m/>
    <m/>
    <m/>
    <s v="1450AA-T-70439_FL33"/>
    <n v="1"/>
    <s v="PÇ"/>
    <n v="0.6"/>
    <n v="0.6"/>
    <n v="2238.89"/>
    <n v="1343.3339999999998"/>
    <n v="0"/>
    <n v="0.9"/>
    <n v="0.1"/>
    <m/>
    <m/>
    <x v="0"/>
    <m/>
    <m/>
    <m/>
    <m/>
    <m/>
    <m/>
    <m/>
    <m/>
    <m/>
    <m/>
    <m/>
    <m/>
    <m/>
    <m/>
    <m/>
    <m/>
    <m/>
  </r>
  <r>
    <s v="2.4.3.1.3"/>
    <s v="CMS M.60.10.000"/>
    <x v="2"/>
    <n v="17"/>
    <s v="CURVA"/>
    <n v="10"/>
    <x v="1"/>
    <s v="NÃO"/>
    <s v="NÃO"/>
    <x v="93"/>
    <x v="3"/>
    <s v="DISPOSIÇÃO DE REJEITOS LINHA DO CIRCUITO ULTRAFINO UNDER DO ES-145A-9901 PARA DISTRIBUIDOR DI-145A-9903"/>
    <m/>
    <m/>
    <m/>
    <s v="1450AA-T-70439_FL34"/>
    <n v="2"/>
    <s v="PÇ"/>
    <n v="0.69799999999999995"/>
    <n v="1.3959999999999999"/>
    <n v="2238.89"/>
    <n v="3125.4904399999996"/>
    <n v="0"/>
    <n v="0.9"/>
    <n v="0.1"/>
    <m/>
    <m/>
    <x v="0"/>
    <m/>
    <m/>
    <m/>
    <m/>
    <m/>
    <m/>
    <m/>
    <m/>
    <m/>
    <m/>
    <m/>
    <m/>
    <m/>
    <m/>
    <m/>
    <m/>
    <m/>
  </r>
  <r>
    <s v="2.4.3.1.3"/>
    <s v="CMS M.60.10.000"/>
    <x v="2"/>
    <n v="18"/>
    <s v="CURVA"/>
    <n v="10"/>
    <x v="1"/>
    <s v="NÃO"/>
    <s v="NÃO"/>
    <x v="93"/>
    <x v="3"/>
    <s v="DISPOSIÇÃO DE REJEITOS LINHA DO CIRCUITO ULTRAFINO UNDER DO ES-145A-9901 PARA DISTRIBUIDOR DI-145A-9903"/>
    <m/>
    <m/>
    <m/>
    <s v="1450AA-T-70439_FL39"/>
    <n v="1"/>
    <s v="PÇ"/>
    <n v="1.25"/>
    <n v="1.25"/>
    <n v="2238.89"/>
    <n v="2798.6124999999997"/>
    <n v="0"/>
    <n v="0.9"/>
    <n v="0.1"/>
    <m/>
    <m/>
    <x v="0"/>
    <m/>
    <m/>
    <m/>
    <m/>
    <m/>
    <m/>
    <m/>
    <m/>
    <m/>
    <m/>
    <m/>
    <m/>
    <m/>
    <m/>
    <m/>
    <m/>
    <m/>
  </r>
  <r>
    <s v="2.4.3.1.3"/>
    <s v="CMS M.60.10.000"/>
    <x v="2"/>
    <n v="19"/>
    <s v="DERIVAÇÃO"/>
    <n v="10"/>
    <x v="1"/>
    <s v="NÃO"/>
    <s v="NÃO"/>
    <x v="93"/>
    <x v="3"/>
    <s v="DISPOSIÇÃO DE REJEITOS LINHA DO CIRCUITO ULTRAFINO UNDER DO ES-145A-9901 PARA DISTRIBUIDOR DI-145A-9903"/>
    <m/>
    <m/>
    <m/>
    <s v="1450AA-T-70439_FL43"/>
    <n v="1"/>
    <s v="PÇ"/>
    <n v="1.518"/>
    <n v="1.518"/>
    <n v="2238.89"/>
    <n v="3398.6350199999997"/>
    <n v="0"/>
    <n v="0.9"/>
    <n v="0.1"/>
    <m/>
    <m/>
    <x v="0"/>
    <m/>
    <m/>
    <m/>
    <m/>
    <m/>
    <m/>
    <m/>
    <m/>
    <m/>
    <m/>
    <m/>
    <m/>
    <m/>
    <m/>
    <m/>
    <m/>
    <m/>
  </r>
  <r>
    <s v="2.4.3.1.3"/>
    <s v="CMS M.60.10.000"/>
    <x v="2"/>
    <n v="20"/>
    <s v="SPOOL"/>
    <n v="10"/>
    <x v="1"/>
    <s v="NÃO"/>
    <s v="NÃO"/>
    <x v="93"/>
    <x v="3"/>
    <s v="DISPOSIÇÃO DE REJEITOS LINHA DO CIRCUITO ULTRAFINO UNDER DO ES-145A-9901 PARA DISTRIBUIDOR DI-145A-9903"/>
    <m/>
    <m/>
    <m/>
    <s v="1450AA-T-70439_FL44"/>
    <n v="1"/>
    <s v="PÇ"/>
    <n v="1.38"/>
    <n v="1.38"/>
    <n v="2238.89"/>
    <n v="3089.6681999999996"/>
    <n v="0"/>
    <n v="0.9"/>
    <n v="0.1"/>
    <m/>
    <m/>
    <x v="0"/>
    <m/>
    <m/>
    <m/>
    <m/>
    <m/>
    <m/>
    <m/>
    <m/>
    <m/>
    <m/>
    <m/>
    <m/>
    <m/>
    <m/>
    <m/>
    <m/>
    <m/>
  </r>
  <r>
    <s v="2.4.3.1.3"/>
    <s v="CMS M.60.10.000"/>
    <x v="2"/>
    <n v="22"/>
    <s v="CURVA"/>
    <n v="10"/>
    <x v="1"/>
    <s v="NÃO"/>
    <s v="NÃO"/>
    <x v="93"/>
    <x v="3"/>
    <s v="DISPOSIÇÃO DE REJEITOS LINHA DO CIRCUITO ULTRAFINO UNDER DO ES-145A-9901 PARA DISTRIBUIDOR DI-145A-9903"/>
    <m/>
    <m/>
    <m/>
    <s v="1450AA-T-70439_FL45"/>
    <n v="1"/>
    <s v="PÇ"/>
    <n v="0.72499999999999998"/>
    <n v="0.72499999999999998"/>
    <n v="2238.89"/>
    <n v="1623.1952499999998"/>
    <n v="0"/>
    <n v="0.9"/>
    <n v="0.1"/>
    <m/>
    <m/>
    <x v="0"/>
    <m/>
    <m/>
    <m/>
    <m/>
    <m/>
    <m/>
    <m/>
    <m/>
    <m/>
    <m/>
    <m/>
    <m/>
    <m/>
    <m/>
    <m/>
    <m/>
    <m/>
  </r>
  <r>
    <s v="2.4.3.1.3"/>
    <s v="CMS M.60.10.000"/>
    <x v="2"/>
    <n v="1"/>
    <s v="SPOOL"/>
    <n v="10"/>
    <x v="1"/>
    <s v="NÃO"/>
    <s v="NÃO"/>
    <x v="92"/>
    <x v="3"/>
    <s v="DISPOSIÇÃO DE REJEITOS LINHA DO CIRCUITO ULTRAFINO UNDER DO ES-145A-9901 PARA DISTRIBUIDOR DI-145A-9903"/>
    <m/>
    <m/>
    <m/>
    <s v="1450AA-T-70439_FL14"/>
    <n v="1"/>
    <s v="PÇ"/>
    <n v="3"/>
    <n v="3"/>
    <n v="2238.89"/>
    <n v="6716.67"/>
    <n v="0"/>
    <n v="0.9"/>
    <n v="0.1"/>
    <m/>
    <m/>
    <x v="0"/>
    <m/>
    <m/>
    <m/>
    <m/>
    <m/>
    <m/>
    <m/>
    <m/>
    <m/>
    <m/>
    <m/>
    <m/>
    <m/>
    <m/>
    <m/>
    <m/>
    <m/>
  </r>
  <r>
    <s v="2.4.3.1.3"/>
    <s v="CMS M.60.10.000"/>
    <x v="2"/>
    <n v="2"/>
    <s v="SPOOL"/>
    <n v="10"/>
    <x v="1"/>
    <s v="NÃO"/>
    <s v="NÃO"/>
    <x v="92"/>
    <x v="3"/>
    <s v="DISPOSIÇÃO DE REJEITOS LINHA DO CIRCUITO ULTRAFINO UNDER DO ES-145A-9901 PARA DISTRIBUIDOR DI-145A-9903"/>
    <m/>
    <m/>
    <m/>
    <s v="1450AA-T-70439_FL09"/>
    <n v="1"/>
    <s v="PÇ"/>
    <n v="1.5"/>
    <n v="1.5"/>
    <n v="2238.89"/>
    <n v="3358.335"/>
    <n v="0"/>
    <n v="0.9"/>
    <n v="0.1"/>
    <m/>
    <m/>
    <x v="0"/>
    <m/>
    <m/>
    <m/>
    <m/>
    <m/>
    <m/>
    <m/>
    <m/>
    <m/>
    <m/>
    <m/>
    <m/>
    <m/>
    <m/>
    <m/>
    <m/>
    <m/>
  </r>
  <r>
    <s v="2.4.3.1.3"/>
    <s v="CMS M.60.10.000"/>
    <x v="2"/>
    <n v="3"/>
    <s v="SPOOL"/>
    <n v="10"/>
    <x v="1"/>
    <s v="NÃO"/>
    <s v="NÃO"/>
    <x v="92"/>
    <x v="3"/>
    <s v="DISPOSIÇÃO DE REJEITOS LINHA DO CIRCUITO ULTRAFINO UNDER DO ES-145A-9901 PARA DISTRIBUIDOR DI-145A-9903"/>
    <m/>
    <m/>
    <m/>
    <s v="1450AA-T-70439_FL19"/>
    <n v="5"/>
    <s v="PÇ"/>
    <n v="6"/>
    <n v="30"/>
    <n v="2238.89"/>
    <n v="67166.7"/>
    <n v="0"/>
    <n v="0.9"/>
    <n v="0.1"/>
    <m/>
    <m/>
    <x v="0"/>
    <m/>
    <m/>
    <m/>
    <m/>
    <m/>
    <m/>
    <m/>
    <m/>
    <m/>
    <m/>
    <m/>
    <m/>
    <m/>
    <m/>
    <m/>
    <m/>
    <m/>
  </r>
  <r>
    <s v="2.4.3.1.3"/>
    <s v="CMS M.60.10.000"/>
    <x v="2"/>
    <n v="4"/>
    <s v="SPOOL"/>
    <n v="10"/>
    <x v="1"/>
    <s v="NÃO"/>
    <s v="NÃO"/>
    <x v="92"/>
    <x v="3"/>
    <s v="DISPOSIÇÃO DE REJEITOS LINHA DO CIRCUITO ULTRAFINO UNDER DO ES-145A-9901 PARA DISTRIBUIDOR DI-145A-9903"/>
    <m/>
    <m/>
    <m/>
    <s v="1450AA-T-70439_FL16"/>
    <n v="1"/>
    <s v="PÇ"/>
    <n v="4"/>
    <n v="4"/>
    <n v="2238.89"/>
    <n v="8955.56"/>
    <n v="0"/>
    <n v="0.9"/>
    <n v="0.1"/>
    <m/>
    <m/>
    <x v="0"/>
    <m/>
    <m/>
    <m/>
    <m/>
    <m/>
    <m/>
    <m/>
    <m/>
    <m/>
    <m/>
    <m/>
    <m/>
    <m/>
    <m/>
    <m/>
    <m/>
    <m/>
  </r>
  <r>
    <s v="2.4.3.1.3"/>
    <s v="CMS M.60.10.000"/>
    <x v="2"/>
    <n v="5"/>
    <s v="SPOOL"/>
    <n v="10"/>
    <x v="1"/>
    <s v="NÃO"/>
    <s v="NÃO"/>
    <x v="92"/>
    <x v="3"/>
    <s v="DISPOSIÇÃO DE REJEITOS LINHA DO CIRCUITO ULTRAFINO UNDER DO ES-145A-9901 PARA DISTRIBUIDOR DI-145A-9903"/>
    <m/>
    <m/>
    <m/>
    <s v="1450AA-T-70439_FL12"/>
    <n v="1"/>
    <s v="PÇ"/>
    <n v="2.5"/>
    <n v="2.5"/>
    <n v="2238.89"/>
    <n v="5597.2249999999995"/>
    <n v="0"/>
    <n v="0.9"/>
    <n v="0.1"/>
    <m/>
    <m/>
    <x v="0"/>
    <m/>
    <m/>
    <m/>
    <m/>
    <m/>
    <m/>
    <m/>
    <m/>
    <m/>
    <m/>
    <m/>
    <m/>
    <m/>
    <m/>
    <m/>
    <m/>
    <m/>
  </r>
  <r>
    <s v="2.4.3.1.3"/>
    <s v="CMS M.60.10.000"/>
    <x v="2"/>
    <n v="6"/>
    <s v="SPOOL"/>
    <n v="10"/>
    <x v="2"/>
    <s v="NÃO"/>
    <s v="NÃO"/>
    <x v="92"/>
    <x v="3"/>
    <s v="DISPOSIÇÃO DE REJEITOS LINHA DO CIRCUITO ULTRAFINO UNDER DO ES-145A-9901 PARA DISTRIBUIDOR DI-145A-9903"/>
    <m/>
    <m/>
    <m/>
    <s v="1450AA-T-70439_FL29"/>
    <n v="1"/>
    <s v="PÇ"/>
    <n v="1.2350000000000001"/>
    <n v="1.2350000000000001"/>
    <n v="2238.89"/>
    <n v="2765.0291499999998"/>
    <n v="0"/>
    <n v="0.9"/>
    <n v="0.1"/>
    <m/>
    <m/>
    <x v="0"/>
    <m/>
    <m/>
    <m/>
    <m/>
    <m/>
    <m/>
    <m/>
    <m/>
    <m/>
    <m/>
    <m/>
    <m/>
    <m/>
    <m/>
    <m/>
    <m/>
    <m/>
  </r>
  <r>
    <s v="2.4.3.1.3"/>
    <s v="CMS M.60.10.000"/>
    <x v="2"/>
    <n v="7"/>
    <s v="SPOOL"/>
    <n v="10"/>
    <x v="2"/>
    <s v="NÃO"/>
    <s v="NÃO"/>
    <x v="92"/>
    <x v="3"/>
    <s v="DISPOSIÇÃO DE REJEITOS LINHA DO CIRCUITO ULTRAFINO UNDER DO ES-145A-9901 PARA DISTRIBUIDOR DI-145A-9903"/>
    <m/>
    <m/>
    <m/>
    <s v="1450AA-T-70439_FL27"/>
    <n v="1"/>
    <s v="PÇ"/>
    <n v="0.91"/>
    <n v="0.91"/>
    <n v="2238.89"/>
    <n v="2037.3898999999999"/>
    <n v="0"/>
    <n v="0.9"/>
    <n v="0.1"/>
    <m/>
    <m/>
    <x v="0"/>
    <m/>
    <m/>
    <m/>
    <m/>
    <m/>
    <m/>
    <m/>
    <m/>
    <m/>
    <m/>
    <m/>
    <m/>
    <m/>
    <m/>
    <m/>
    <m/>
    <m/>
  </r>
  <r>
    <s v="2.4.3.1.3"/>
    <s v="CMS M.60.10.000"/>
    <x v="2"/>
    <n v="8"/>
    <s v="SPOOL"/>
    <n v="10"/>
    <x v="2"/>
    <s v="NÃO"/>
    <s v="NÃO"/>
    <x v="92"/>
    <x v="3"/>
    <s v="DISPOSIÇÃO DE REJEITOS LINHA DO CIRCUITO ULTRAFINO UNDER DO ES-145A-9901 PARA DISTRIBUIDOR DI-145A-9903"/>
    <m/>
    <m/>
    <m/>
    <s v="1450AA-T-70439_FL26"/>
    <n v="1"/>
    <s v="PÇ"/>
    <n v="0.8"/>
    <n v="0.8"/>
    <n v="2238.89"/>
    <n v="1791.1120000000001"/>
    <n v="0"/>
    <n v="0.9"/>
    <n v="0.1"/>
    <m/>
    <m/>
    <x v="0"/>
    <m/>
    <m/>
    <m/>
    <m/>
    <m/>
    <m/>
    <m/>
    <m/>
    <m/>
    <m/>
    <m/>
    <m/>
    <m/>
    <m/>
    <m/>
    <m/>
    <m/>
  </r>
  <r>
    <s v="2.4.3.1.3"/>
    <s v="CMS M.60.10.000"/>
    <x v="2"/>
    <n v="9"/>
    <s v="SPOOL"/>
    <n v="10"/>
    <x v="2"/>
    <s v="NÃO"/>
    <s v="NÃO"/>
    <x v="92"/>
    <x v="3"/>
    <s v="DISPOSIÇÃO DE REJEITOS LINHA DO CIRCUITO ULTRAFINO UNDER DO ES-145A-9901 PARA DISTRIBUIDOR DI-145A-9903"/>
    <m/>
    <m/>
    <m/>
    <s v="1450AA-T-70439_FL21"/>
    <n v="1"/>
    <s v="PÇ"/>
    <n v="0.42"/>
    <n v="0.42"/>
    <n v="2238.89"/>
    <n v="940.33379999999988"/>
    <n v="0"/>
    <n v="0.9"/>
    <n v="0.1"/>
    <m/>
    <m/>
    <x v="0"/>
    <m/>
    <m/>
    <m/>
    <m/>
    <m/>
    <m/>
    <m/>
    <m/>
    <m/>
    <m/>
    <m/>
    <m/>
    <m/>
    <m/>
    <m/>
    <m/>
    <m/>
  </r>
  <r>
    <s v="2.4.3.1.3"/>
    <s v="CMS M.60.10.000"/>
    <x v="2"/>
    <n v="10"/>
    <s v="SPOOL"/>
    <n v="10"/>
    <x v="2"/>
    <s v="NÃO"/>
    <s v="NÃO"/>
    <x v="92"/>
    <x v="3"/>
    <s v="DISPOSIÇÃO DE REJEITOS LINHA DO CIRCUITO ULTRAFINO UNDER DO ES-145A-9901 PARA DISTRIBUIDOR DI-145A-9903"/>
    <m/>
    <m/>
    <m/>
    <s v="1450AA-T-70439_FL28"/>
    <n v="1"/>
    <s v="PÇ"/>
    <n v="1.0549999999999999"/>
    <n v="1.0549999999999999"/>
    <n v="2238.89"/>
    <n v="2362.0289499999999"/>
    <n v="0"/>
    <n v="0.9"/>
    <n v="0.1"/>
    <m/>
    <m/>
    <x v="0"/>
    <m/>
    <m/>
    <m/>
    <m/>
    <m/>
    <m/>
    <m/>
    <m/>
    <m/>
    <m/>
    <m/>
    <m/>
    <m/>
    <m/>
    <m/>
    <m/>
    <m/>
  </r>
  <r>
    <s v="2.4.3.1.3"/>
    <s v="CMS M.60.10.000"/>
    <x v="2"/>
    <n v="11"/>
    <s v="CURVA"/>
    <n v="10"/>
    <x v="1"/>
    <s v="NÃO"/>
    <s v="NÃO"/>
    <x v="92"/>
    <x v="3"/>
    <s v="DISPOSIÇÃO DE REJEITOS LINHA DO CIRCUITO ULTRAFINO UNDER DO ES-145A-9901 PARA DISTRIBUIDOR DI-145A-9903"/>
    <m/>
    <m/>
    <m/>
    <s v="1450AA-T-70439_FL42"/>
    <n v="3"/>
    <s v="PÇ"/>
    <n v="1.4059999999999999"/>
    <n v="4.218"/>
    <n v="2238.89"/>
    <n v="9443.6380199999985"/>
    <n v="0"/>
    <n v="0.9"/>
    <n v="0.1"/>
    <m/>
    <m/>
    <x v="0"/>
    <m/>
    <m/>
    <m/>
    <m/>
    <m/>
    <m/>
    <m/>
    <m/>
    <m/>
    <m/>
    <m/>
    <m/>
    <m/>
    <m/>
    <m/>
    <m/>
    <m/>
  </r>
  <r>
    <s v="2.4.3.1.3"/>
    <s v="CMS M.60.10.000"/>
    <x v="2"/>
    <n v="12"/>
    <s v="CURVA"/>
    <n v="10"/>
    <x v="1"/>
    <s v="NÃO"/>
    <s v="NÃO"/>
    <x v="92"/>
    <x v="3"/>
    <s v="DISPOSIÇÃO DE REJEITOS LINHA DO CIRCUITO ULTRAFINO UNDER DO ES-145A-9901 PARA DISTRIBUIDOR DI-145A-9903"/>
    <m/>
    <m/>
    <m/>
    <s v="1450AA-T-70439_FL37"/>
    <n v="1"/>
    <s v="PÇ"/>
    <n v="0.92800000000000005"/>
    <n v="0.92800000000000005"/>
    <n v="2238.89"/>
    <n v="2077.6899199999998"/>
    <n v="0"/>
    <n v="0.9"/>
    <n v="0.1"/>
    <m/>
    <m/>
    <x v="0"/>
    <m/>
    <m/>
    <m/>
    <m/>
    <m/>
    <m/>
    <m/>
    <m/>
    <m/>
    <m/>
    <m/>
    <m/>
    <m/>
    <m/>
    <m/>
    <m/>
    <m/>
  </r>
  <r>
    <s v="2.4.3.1.3"/>
    <s v="CMS M.60.10.000"/>
    <x v="2"/>
    <n v="13"/>
    <s v="CURVA"/>
    <n v="10"/>
    <x v="1"/>
    <s v="NÃO"/>
    <s v="NÃO"/>
    <x v="92"/>
    <x v="3"/>
    <s v="DISPOSIÇÃO DE REJEITOS LINHA DO CIRCUITO ULTRAFINO UNDER DO ES-145A-9901 PARA DISTRIBUIDOR DI-145A-9903"/>
    <m/>
    <m/>
    <m/>
    <s v="1450AA-T-70439_FL40"/>
    <n v="1"/>
    <s v="PÇ"/>
    <n v="1.36"/>
    <n v="1.36"/>
    <n v="2238.89"/>
    <n v="3044.8904000000002"/>
    <n v="0"/>
    <n v="0.9"/>
    <n v="0.1"/>
    <m/>
    <m/>
    <x v="0"/>
    <m/>
    <m/>
    <m/>
    <m/>
    <m/>
    <m/>
    <m/>
    <m/>
    <m/>
    <m/>
    <m/>
    <m/>
    <m/>
    <m/>
    <m/>
    <m/>
    <m/>
  </r>
  <r>
    <s v="2.4.3.1.3"/>
    <s v="CMS M.60.10.000"/>
    <x v="2"/>
    <n v="14"/>
    <s v="CURVA"/>
    <n v="10"/>
    <x v="1"/>
    <s v="NÃO"/>
    <s v="NÃO"/>
    <x v="92"/>
    <x v="3"/>
    <s v="DISPOSIÇÃO DE REJEITOS LINHA DO CIRCUITO ULTRAFINO UNDER DO ES-145A-9901 PARA DISTRIBUIDOR DI-145A-9903"/>
    <m/>
    <m/>
    <m/>
    <s v="1450AA-T-70439_FL35"/>
    <n v="1"/>
    <s v="PÇ"/>
    <n v="0.71399999999999997"/>
    <n v="0.71399999999999997"/>
    <n v="2238.89"/>
    <n v="1598.5674599999998"/>
    <n v="0"/>
    <n v="0.9"/>
    <n v="0.1"/>
    <m/>
    <m/>
    <x v="0"/>
    <m/>
    <m/>
    <m/>
    <m/>
    <m/>
    <m/>
    <m/>
    <m/>
    <m/>
    <m/>
    <m/>
    <m/>
    <m/>
    <m/>
    <m/>
    <m/>
    <m/>
  </r>
  <r>
    <s v="2.4.3.1.3"/>
    <s v="CMS M.60.10.000"/>
    <x v="2"/>
    <n v="15"/>
    <s v="CURVA"/>
    <n v="10"/>
    <x v="1"/>
    <s v="NÃO"/>
    <s v="NÃO"/>
    <x v="92"/>
    <x v="3"/>
    <s v="DISPOSIÇÃO DE REJEITOS LINHA DO CIRCUITO ULTRAFINO UNDER DO ES-145A-9901 PARA DISTRIBUIDOR DI-145A-9903"/>
    <m/>
    <m/>
    <m/>
    <s v="1450AA-T-70439_FL38"/>
    <n v="1"/>
    <s v="PÇ"/>
    <n v="1.1779999999999999"/>
    <n v="1.1779999999999999"/>
    <n v="2238.89"/>
    <n v="2637.4124199999997"/>
    <n v="0"/>
    <n v="0.9"/>
    <n v="0.1"/>
    <m/>
    <m/>
    <x v="0"/>
    <m/>
    <m/>
    <m/>
    <m/>
    <m/>
    <m/>
    <m/>
    <m/>
    <m/>
    <m/>
    <m/>
    <m/>
    <m/>
    <m/>
    <m/>
    <m/>
    <m/>
  </r>
  <r>
    <s v="2.4.3.1.3"/>
    <s v="CMS M.60.10.000"/>
    <x v="2"/>
    <n v="16"/>
    <s v="CURVA"/>
    <n v="10"/>
    <x v="1"/>
    <s v="NÃO"/>
    <s v="NÃO"/>
    <x v="92"/>
    <x v="3"/>
    <s v="DISPOSIÇÃO DE REJEITOS LINHA DO CIRCUITO ULTRAFINO UNDER DO ES-145A-9901 PARA DISTRIBUIDOR DI-145A-9903"/>
    <m/>
    <m/>
    <m/>
    <s v="1450AA-T-70439_FL41"/>
    <n v="1"/>
    <s v="PÇ"/>
    <n v="1.3759999999999999"/>
    <n v="1.3759999999999999"/>
    <n v="2238.89"/>
    <n v="3080.7126399999997"/>
    <n v="0"/>
    <n v="0.9"/>
    <n v="0.1"/>
    <m/>
    <m/>
    <x v="0"/>
    <m/>
    <m/>
    <m/>
    <m/>
    <m/>
    <m/>
    <m/>
    <m/>
    <m/>
    <m/>
    <m/>
    <m/>
    <m/>
    <m/>
    <m/>
    <m/>
    <m/>
  </r>
  <r>
    <s v="2.4.3.1.3"/>
    <s v="CMS M.60.10.000"/>
    <x v="2"/>
    <n v="17"/>
    <s v="SPOOL"/>
    <n v="10"/>
    <x v="1"/>
    <s v="NÃO"/>
    <s v="NÃO"/>
    <x v="92"/>
    <x v="3"/>
    <s v="DISPOSIÇÃO DE REJEITOS LINHA DO CIRCUITO ULTRAFINO UNDER DO ES-145A-9901 PARA DISTRIBUIDOR DI-145A-9903"/>
    <m/>
    <m/>
    <m/>
    <s v="1450AA-T-70439_FL24"/>
    <n v="1"/>
    <s v="PÇ"/>
    <n v="0.6"/>
    <n v="0.6"/>
    <n v="2238.89"/>
    <n v="1343.3339999999998"/>
    <n v="0"/>
    <n v="0.9"/>
    <n v="0.1"/>
    <m/>
    <m/>
    <x v="0"/>
    <m/>
    <m/>
    <m/>
    <m/>
    <m/>
    <m/>
    <m/>
    <m/>
    <m/>
    <m/>
    <m/>
    <m/>
    <m/>
    <m/>
    <m/>
    <m/>
    <m/>
  </r>
  <r>
    <s v="2.4.3.1.6"/>
    <s v="CMS M.60.10.000"/>
    <x v="2"/>
    <n v="1"/>
    <s v="CURVA"/>
    <n v="16"/>
    <x v="1"/>
    <s v="NÃO"/>
    <s v="NÃO"/>
    <x v="94"/>
    <x v="2"/>
    <s v="LINHA DO CIRCUITO ARENOSO DISTRIBUIDOR DI-145A-9911 PARA DISTRIBUIDOR DI 145A-9916"/>
    <m/>
    <m/>
    <m/>
    <s v="1450AA-T-70262_FL23"/>
    <n v="1"/>
    <s v="PÇ"/>
    <n v="1.2090000000000001"/>
    <n v="1.2090000000000001"/>
    <n v="3249.8"/>
    <n v="3929.0082000000007"/>
    <n v="0"/>
    <n v="0.9"/>
    <n v="0.1"/>
    <m/>
    <m/>
    <x v="0"/>
    <m/>
    <m/>
    <m/>
    <m/>
    <m/>
    <m/>
    <m/>
    <m/>
    <m/>
    <m/>
    <m/>
    <m/>
    <m/>
    <m/>
    <m/>
    <m/>
    <m/>
  </r>
  <r>
    <s v="2.4.3.1.5"/>
    <s v="CMS M.60.10.000"/>
    <x v="2"/>
    <n v="2"/>
    <s v="REDUÇÃO"/>
    <s v="16 X 14"/>
    <x v="1"/>
    <s v="NÃO"/>
    <s v="NÃO"/>
    <x v="94"/>
    <x v="2"/>
    <s v="LINHA DO CIRCUITO ARENOSO DISTRIBUIDOR DI-145A-9911 PARA DISTRIBUIDOR DI 145A-9916"/>
    <m/>
    <m/>
    <m/>
    <s v="1450AA-T-70262_FL24"/>
    <n v="1"/>
    <s v="PÇ"/>
    <n v="0.7"/>
    <n v="0.7"/>
    <n v="2725.4"/>
    <n v="1907.78"/>
    <n v="0"/>
    <n v="0.9"/>
    <n v="0.1"/>
    <m/>
    <m/>
    <x v="0"/>
    <m/>
    <m/>
    <m/>
    <m/>
    <m/>
    <m/>
    <m/>
    <m/>
    <m/>
    <m/>
    <m/>
    <m/>
    <m/>
    <m/>
    <m/>
    <m/>
    <m/>
  </r>
  <r>
    <s v="2.4.3.1.5"/>
    <s v="CMS M.60.10.000"/>
    <x v="2"/>
    <n v="3"/>
    <s v="SPOOL"/>
    <n v="14"/>
    <x v="2"/>
    <s v="NÃO"/>
    <s v="NÃO"/>
    <x v="94"/>
    <x v="2"/>
    <s v="LINHA DO CIRCUITO ARENOSO DISTRIBUIDOR DI-145A-9911 PARA DISTRIBUIDOR DI 145A-9916"/>
    <m/>
    <m/>
    <m/>
    <s v="1450AA-T-70262_FL15"/>
    <n v="1"/>
    <s v="PÇ"/>
    <n v="0.35"/>
    <n v="0.35"/>
    <n v="2725.4"/>
    <n v="953.89"/>
    <n v="0"/>
    <n v="0.9"/>
    <n v="0.1"/>
    <m/>
    <m/>
    <x v="0"/>
    <m/>
    <m/>
    <m/>
    <m/>
    <m/>
    <m/>
    <m/>
    <m/>
    <m/>
    <m/>
    <m/>
    <m/>
    <m/>
    <m/>
    <m/>
    <m/>
    <m/>
  </r>
  <r>
    <s v="2.4.3.1.5"/>
    <s v="CMS M.60.10.000"/>
    <x v="2"/>
    <n v="4"/>
    <s v="SPOOL"/>
    <n v="14"/>
    <x v="1"/>
    <s v="NÃO"/>
    <s v="NÃO"/>
    <x v="94"/>
    <x v="2"/>
    <s v="LINHA DO CIRCUITO ARENOSO DISTRIBUIDOR DI-145A-9911 PARA DISTRIBUIDOR DI 145A-9916"/>
    <m/>
    <m/>
    <m/>
    <s v="1450AA-T-70262_FL10"/>
    <n v="1"/>
    <s v="PÇ"/>
    <n v="2.4"/>
    <n v="2.4"/>
    <n v="2725.4"/>
    <n v="6540.96"/>
    <n v="0"/>
    <n v="0.9"/>
    <n v="0.1"/>
    <m/>
    <m/>
    <x v="0"/>
    <m/>
    <m/>
    <m/>
    <m/>
    <m/>
    <m/>
    <m/>
    <m/>
    <m/>
    <m/>
    <m/>
    <m/>
    <m/>
    <m/>
    <m/>
    <m/>
    <m/>
  </r>
  <r>
    <s v="2.4.3.1.5"/>
    <s v="CMS M.60.10.000"/>
    <x v="2"/>
    <n v="5"/>
    <s v="CURVA"/>
    <n v="14"/>
    <x v="1"/>
    <s v="NÃO"/>
    <s v="NÃO"/>
    <x v="94"/>
    <x v="2"/>
    <s v="LINHA DO CIRCUITO ARENOSO DISTRIBUIDOR DI-145A-9911 PARA DISTRIBUIDOR DI 145A-9916"/>
    <m/>
    <m/>
    <m/>
    <s v="1450AA-T-70262_FL19"/>
    <n v="1"/>
    <s v="PÇ"/>
    <n v="0.27200000000000002"/>
    <n v="0.27200000000000002"/>
    <n v="2725.4"/>
    <n v="741.30880000000013"/>
    <n v="0"/>
    <n v="0.9"/>
    <n v="0.1"/>
    <m/>
    <m/>
    <x v="0"/>
    <m/>
    <m/>
    <m/>
    <m/>
    <m/>
    <m/>
    <m/>
    <m/>
    <m/>
    <m/>
    <m/>
    <m/>
    <m/>
    <m/>
    <m/>
    <m/>
    <m/>
  </r>
  <r>
    <s v="2.4.3.1.5"/>
    <s v="CMS M.60.10.000"/>
    <x v="2"/>
    <n v="6"/>
    <s v="SPOOL"/>
    <n v="14"/>
    <x v="1"/>
    <s v="NÃO"/>
    <s v="NÃO"/>
    <x v="94"/>
    <x v="2"/>
    <s v="LINHA DO CIRCUITO ARENOSO DISTRIBUIDOR DI-145A-9911 PARA DISTRIBUIDOR DI 145A-9916"/>
    <m/>
    <m/>
    <m/>
    <s v="1450AA-T-70262_FL13"/>
    <n v="1"/>
    <s v="PÇ"/>
    <n v="4.9829999999999997"/>
    <n v="4.9829999999999997"/>
    <n v="2725.4"/>
    <n v="13580.6682"/>
    <n v="0"/>
    <n v="0.9"/>
    <n v="0.1"/>
    <m/>
    <m/>
    <x v="0"/>
    <m/>
    <m/>
    <m/>
    <m/>
    <m/>
    <m/>
    <m/>
    <m/>
    <m/>
    <m/>
    <m/>
    <m/>
    <m/>
    <m/>
    <m/>
    <m/>
    <m/>
  </r>
  <r>
    <s v="2.4.3.1.5"/>
    <s v="CMS M.60.10.000"/>
    <x v="2"/>
    <n v="7"/>
    <s v="CURVA"/>
    <n v="14"/>
    <x v="1"/>
    <s v="NÃO"/>
    <s v="NÃO"/>
    <x v="94"/>
    <x v="2"/>
    <s v="LINHA DO CIRCUITO ARENOSO DISTRIBUIDOR DI-145A-9911 PARA DISTRIBUIDOR DI 145A-9916"/>
    <m/>
    <m/>
    <m/>
    <s v="1450AA-T-70262_FL21"/>
    <n v="1"/>
    <s v="PÇ"/>
    <n v="1.095"/>
    <n v="1.095"/>
    <n v="2725.4"/>
    <n v="2984.3130000000001"/>
    <n v="0"/>
    <n v="0.9"/>
    <n v="0.1"/>
    <m/>
    <m/>
    <x v="0"/>
    <m/>
    <m/>
    <m/>
    <m/>
    <m/>
    <m/>
    <m/>
    <m/>
    <m/>
    <m/>
    <m/>
    <m/>
    <m/>
    <m/>
    <m/>
    <m/>
    <m/>
  </r>
  <r>
    <s v="2.4.3.1.5"/>
    <s v="CMS M.60.10.000"/>
    <x v="2"/>
    <n v="8"/>
    <s v="SPOOL"/>
    <n v="14"/>
    <x v="1"/>
    <s v="NÃO"/>
    <s v="NÃO"/>
    <x v="94"/>
    <x v="2"/>
    <s v="LINHA DO CIRCUITO ARENOSO DISTRIBUIDOR DI-145A-9911 PARA DISTRIBUIDOR DI 145A-9916"/>
    <m/>
    <m/>
    <m/>
    <s v="1450AA-T-70262_FL14"/>
    <n v="6"/>
    <s v="PÇ"/>
    <n v="6"/>
    <n v="36"/>
    <n v="2725.4"/>
    <n v="98114.400000000009"/>
    <n v="0"/>
    <n v="0.9"/>
    <n v="0.1"/>
    <m/>
    <m/>
    <x v="0"/>
    <m/>
    <m/>
    <m/>
    <m/>
    <m/>
    <m/>
    <m/>
    <m/>
    <m/>
    <m/>
    <m/>
    <m/>
    <m/>
    <m/>
    <m/>
    <m/>
    <m/>
  </r>
  <r>
    <s v="2.4.3.1.5"/>
    <s v="CMS M.60.10.000"/>
    <x v="2"/>
    <n v="9"/>
    <s v="SPOOL"/>
    <n v="14"/>
    <x v="1"/>
    <s v="NÃO"/>
    <s v="NÃO"/>
    <x v="94"/>
    <x v="2"/>
    <s v="LINHA DO CIRCUITO ARENOSO DISTRIBUIDOR DI-145A-9911 PARA DISTRIBUIDOR DI 145A-9916"/>
    <m/>
    <m/>
    <m/>
    <s v="1450AA-T-70262_FL11"/>
    <n v="1"/>
    <s v="PÇ"/>
    <n v="2.6"/>
    <n v="2.6"/>
    <n v="2725.4"/>
    <n v="7086.0400000000009"/>
    <n v="0"/>
    <n v="0.9"/>
    <n v="0.1"/>
    <m/>
    <m/>
    <x v="0"/>
    <m/>
    <m/>
    <m/>
    <m/>
    <m/>
    <m/>
    <m/>
    <m/>
    <m/>
    <m/>
    <m/>
    <m/>
    <m/>
    <m/>
    <m/>
    <m/>
    <m/>
  </r>
  <r>
    <s v="2.4.3.1.5"/>
    <s v="CMS M.60.10.000"/>
    <x v="2"/>
    <n v="10"/>
    <s v="SPOOL"/>
    <n v="14"/>
    <x v="2"/>
    <s v="NÃO"/>
    <s v="NÃO"/>
    <x v="94"/>
    <x v="2"/>
    <s v="LINHA DO CIRCUITO ARENOSO DISTRIBUIDOR DI-145A-9911 PARA DISTRIBUIDOR DI 145A-9916"/>
    <m/>
    <m/>
    <m/>
    <s v="1450AA-T-70262_FL17"/>
    <n v="1"/>
    <s v="PÇ"/>
    <n v="0.41"/>
    <n v="0.41"/>
    <n v="2725.4"/>
    <n v="1117.414"/>
    <n v="0"/>
    <n v="0.9"/>
    <n v="0.1"/>
    <m/>
    <m/>
    <x v="0"/>
    <m/>
    <m/>
    <m/>
    <m/>
    <m/>
    <m/>
    <m/>
    <m/>
    <m/>
    <m/>
    <m/>
    <m/>
    <m/>
    <m/>
    <m/>
    <m/>
    <m/>
  </r>
  <r>
    <s v="2.4.3.1.5"/>
    <s v="CMS M.60.10.000"/>
    <x v="2"/>
    <n v="11"/>
    <s v="CURVA"/>
    <n v="14"/>
    <x v="1"/>
    <s v="NÃO"/>
    <s v="NÃO"/>
    <x v="94"/>
    <x v="2"/>
    <s v="LINHA DO CIRCUITO ARENOSO DISTRIBUIDOR DI-145A-9911 PARA DISTRIBUIDOR DI 145A-9916"/>
    <m/>
    <m/>
    <m/>
    <s v="1450AA-T-70262_FL20"/>
    <n v="2"/>
    <s v="PÇ"/>
    <n v="0.64"/>
    <n v="1.28"/>
    <n v="2725.4"/>
    <n v="3488.5120000000002"/>
    <n v="0"/>
    <n v="0.9"/>
    <n v="0.1"/>
    <m/>
    <m/>
    <x v="0"/>
    <m/>
    <m/>
    <m/>
    <m/>
    <m/>
    <m/>
    <m/>
    <m/>
    <m/>
    <m/>
    <m/>
    <m/>
    <m/>
    <m/>
    <m/>
    <m/>
    <m/>
  </r>
  <r>
    <s v="2.4.3.1.5"/>
    <s v="CMS M.60.10.000"/>
    <x v="2"/>
    <n v="12"/>
    <s v="SPOOL"/>
    <n v="14"/>
    <x v="1"/>
    <s v="NÃO"/>
    <s v="NÃO"/>
    <x v="94"/>
    <x v="2"/>
    <s v="LINHA DO CIRCUITO ARENOSO DISTRIBUIDOR DI-145A-9911 PARA DISTRIBUIDOR DI 145A-9916"/>
    <m/>
    <m/>
    <m/>
    <s v="1450AA-T-70262_FL08"/>
    <n v="1"/>
    <s v="PÇ"/>
    <n v="0.42799999999999999"/>
    <n v="0.42799999999999999"/>
    <n v="2725.4"/>
    <n v="1166.4712"/>
    <n v="0"/>
    <n v="0.9"/>
    <n v="0.1"/>
    <m/>
    <m/>
    <x v="0"/>
    <m/>
    <m/>
    <m/>
    <m/>
    <m/>
    <m/>
    <m/>
    <m/>
    <m/>
    <m/>
    <m/>
    <m/>
    <m/>
    <m/>
    <m/>
    <m/>
    <m/>
  </r>
  <r>
    <s v="2.4.3.1.5"/>
    <s v="CMS M.60.10.000"/>
    <x v="2"/>
    <n v="13"/>
    <s v="SPOOL"/>
    <n v="14"/>
    <x v="1"/>
    <s v="NÃO"/>
    <s v="NÃO"/>
    <x v="94"/>
    <x v="2"/>
    <s v="LINHA DO CIRCUITO ARENOSO DISTRIBUIDOR DI-145A-9911 PARA DISTRIBUIDOR DI 145A-9916"/>
    <m/>
    <m/>
    <m/>
    <s v="1450AA-T-70262_FL12"/>
    <n v="1"/>
    <s v="PÇ"/>
    <n v="4.2"/>
    <n v="4.2"/>
    <n v="2725.4"/>
    <n v="11446.68"/>
    <n v="0"/>
    <n v="0.9"/>
    <n v="0.1"/>
    <m/>
    <m/>
    <x v="0"/>
    <m/>
    <m/>
    <m/>
    <m/>
    <m/>
    <m/>
    <m/>
    <m/>
    <m/>
    <m/>
    <m/>
    <m/>
    <m/>
    <m/>
    <m/>
    <m/>
    <m/>
  </r>
  <r>
    <s v="2.4.3.1.5"/>
    <s v="CMS M.60.10.000"/>
    <x v="2"/>
    <n v="14"/>
    <s v="SPOOL"/>
    <n v="14"/>
    <x v="2"/>
    <s v="NÃO"/>
    <s v="NÃO"/>
    <x v="94"/>
    <x v="2"/>
    <s v="LINHA DO CIRCUITO ARENOSO DISTRIBUIDOR DI-145A-9911 PARA DISTRIBUIDOR DI 145A-9916"/>
    <m/>
    <m/>
    <m/>
    <s v="1450AA-T-70262_FL16"/>
    <n v="1"/>
    <s v="PÇ"/>
    <n v="0.375"/>
    <n v="0.375"/>
    <n v="2725.4"/>
    <n v="1022.0250000000001"/>
    <n v="0"/>
    <n v="0.9"/>
    <n v="0.1"/>
    <m/>
    <m/>
    <x v="0"/>
    <m/>
    <m/>
    <m/>
    <m/>
    <m/>
    <m/>
    <m/>
    <m/>
    <m/>
    <m/>
    <m/>
    <m/>
    <m/>
    <m/>
    <m/>
    <m/>
    <m/>
  </r>
  <r>
    <s v="2.4.3.1.5"/>
    <s v="CMS M.60.10.000"/>
    <x v="2"/>
    <n v="15"/>
    <s v="CURVA"/>
    <n v="14"/>
    <x v="1"/>
    <s v="NÃO"/>
    <s v="NÃO"/>
    <x v="94"/>
    <x v="2"/>
    <s v="LINHA DO CIRCUITO ARENOSO DISTRIBUIDOR DI-145A-9911 PARA DISTRIBUIDOR DI 145A-9916"/>
    <m/>
    <m/>
    <m/>
    <s v="1450AA-T-70262_FL22"/>
    <n v="1"/>
    <s v="PÇ"/>
    <n v="1.927"/>
    <n v="1.927"/>
    <n v="2725.4"/>
    <n v="5251.8458000000001"/>
    <n v="0"/>
    <n v="0.9"/>
    <n v="0.1"/>
    <m/>
    <m/>
    <x v="0"/>
    <m/>
    <m/>
    <m/>
    <m/>
    <m/>
    <m/>
    <m/>
    <m/>
    <m/>
    <m/>
    <m/>
    <m/>
    <m/>
    <m/>
    <m/>
    <m/>
    <m/>
  </r>
  <r>
    <s v="2.4.3.1.5"/>
    <s v="CMS M.60.10.000"/>
    <x v="2"/>
    <n v="16"/>
    <s v="SPOOL"/>
    <n v="14"/>
    <x v="1"/>
    <s v="NÃO"/>
    <s v="NÃO"/>
    <x v="94"/>
    <x v="2"/>
    <s v="LINHA DO CIRCUITO ARENOSO DISTRIBUIDOR DI-145A-9911 PARA DISTRIBUIDOR DI 145A-9916"/>
    <m/>
    <m/>
    <m/>
    <s v="1450AA-T-70262_FL09"/>
    <n v="1"/>
    <s v="PÇ"/>
    <n v="0.5"/>
    <n v="0.5"/>
    <n v="2725.4"/>
    <n v="1362.7"/>
    <n v="0"/>
    <n v="0.9"/>
    <n v="0.1"/>
    <m/>
    <m/>
    <x v="0"/>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s v="1880BB-M-15043"/>
    <n v="0"/>
    <s v="Adutora"/>
    <x v="0"/>
    <x v="0"/>
    <x v="0"/>
    <n v="1"/>
    <n v="558.4"/>
    <n v="558.4"/>
    <m/>
    <m/>
    <n v="1"/>
    <n v="1"/>
    <m/>
    <n v="5.2280532242782399E-3"/>
    <n v="5.2280532242782399E-3"/>
  </r>
  <r>
    <s v="1880BB-M-15043"/>
    <n v="0"/>
    <s v="Adutora"/>
    <x v="0"/>
    <x v="0"/>
    <x v="0"/>
    <n v="1"/>
    <n v="558.4"/>
    <n v="558.4"/>
    <m/>
    <m/>
    <n v="1"/>
    <n v="1"/>
    <m/>
    <n v="5.2280532242782399E-3"/>
    <n v="5.2280532242782399E-3"/>
  </r>
  <r>
    <s v="1880BB-M-15043"/>
    <n v="0"/>
    <s v="Adutora"/>
    <x v="0"/>
    <x v="0"/>
    <x v="0"/>
    <n v="9"/>
    <n v="558.40000000000009"/>
    <n v="5025.6000000000004"/>
    <m/>
    <m/>
    <n v="1"/>
    <n v="1"/>
    <m/>
    <n v="4.7052479018504165E-2"/>
    <n v="4.7052479018504165E-2"/>
  </r>
  <r>
    <s v="1880BB-M-15043"/>
    <n v="0"/>
    <s v="Adutora"/>
    <x v="0"/>
    <x v="0"/>
    <x v="1"/>
    <n v="4"/>
    <n v="87.3"/>
    <n v="349.2"/>
    <m/>
    <m/>
    <n v="1"/>
    <n v="1"/>
    <m/>
    <n v="3.2694057770737131E-3"/>
    <n v="3.2694057770737131E-3"/>
  </r>
  <r>
    <s v="1880BB-M-15043"/>
    <n v="0"/>
    <s v="Adutora"/>
    <x v="0"/>
    <x v="0"/>
    <x v="0"/>
    <n v="1"/>
    <n v="558.4"/>
    <n v="558.4"/>
    <m/>
    <m/>
    <n v="1"/>
    <n v="1"/>
    <m/>
    <n v="5.2280532242782399E-3"/>
    <n v="5.2280532242782399E-3"/>
  </r>
  <r>
    <s v="1880BB-M-15043"/>
    <n v="0"/>
    <s v="Adutora"/>
    <x v="0"/>
    <x v="0"/>
    <x v="2"/>
    <n v="1"/>
    <n v="952.4"/>
    <n v="952.4"/>
    <m/>
    <m/>
    <n v="1"/>
    <n v="1"/>
    <m/>
    <n v="8.9169016669100928E-3"/>
    <n v="8.9169016669100928E-3"/>
  </r>
  <r>
    <s v="1880BB-M-15043"/>
    <n v="0"/>
    <s v="Adutora"/>
    <x v="0"/>
    <x v="0"/>
    <x v="3"/>
    <n v="2"/>
    <n v="498"/>
    <n v="996"/>
    <m/>
    <m/>
    <n v="1"/>
    <n v="1"/>
    <m/>
    <n v="9.3251092610693535E-3"/>
    <n v="9.3251092610693535E-3"/>
  </r>
  <r>
    <s v="1880BB-M-15043"/>
    <n v="0"/>
    <s v="Adutora"/>
    <x v="0"/>
    <x v="0"/>
    <x v="4"/>
    <n v="1"/>
    <n v="28.8"/>
    <n v="28.8"/>
    <m/>
    <m/>
    <n v="1"/>
    <n v="1"/>
    <m/>
    <n v="2.6964171357308977E-4"/>
    <n v="2.6964171357308977E-4"/>
  </r>
  <r>
    <s v="1880BB-M-15043"/>
    <n v="0"/>
    <s v="Adutora"/>
    <x v="0"/>
    <x v="0"/>
    <x v="5"/>
    <n v="2"/>
    <n v="28.05"/>
    <n v="56.1"/>
    <m/>
    <m/>
    <n v="1"/>
    <n v="1"/>
    <m/>
    <n v="5.2523958789758103E-4"/>
    <n v="5.2523958789758103E-4"/>
  </r>
  <r>
    <s v="1880BB-M-15043"/>
    <n v="0"/>
    <s v="Adutora"/>
    <x v="0"/>
    <x v="0"/>
    <x v="6"/>
    <n v="1"/>
    <n v="28.8"/>
    <n v="28.8"/>
    <m/>
    <m/>
    <n v="1"/>
    <n v="1"/>
    <m/>
    <n v="2.6964171357308977E-4"/>
    <n v="2.6964171357308977E-4"/>
  </r>
  <r>
    <s v="1880BB-M-15043"/>
    <n v="0"/>
    <s v="Adutora"/>
    <x v="0"/>
    <x v="0"/>
    <x v="7"/>
    <n v="1"/>
    <n v="12.3"/>
    <n v="12.3"/>
    <m/>
    <m/>
    <n v="1"/>
    <n v="1"/>
    <m/>
    <n v="1.1515948183850708E-4"/>
    <n v="1.1515948183850708E-4"/>
  </r>
  <r>
    <s v="1880BB-M-15043"/>
    <n v="0"/>
    <s v="Adutora"/>
    <x v="0"/>
    <x v="0"/>
    <x v="8"/>
    <n v="2"/>
    <n v="11.8"/>
    <n v="23.6"/>
    <m/>
    <m/>
    <n v="1"/>
    <n v="1"/>
    <m/>
    <n v="2.2095640417794856E-4"/>
    <n v="2.2095640417794856E-4"/>
  </r>
  <r>
    <s v="1880BB-M-15043"/>
    <n v="0"/>
    <s v="Adutora"/>
    <x v="0"/>
    <x v="0"/>
    <x v="9"/>
    <n v="1"/>
    <n v="28.4"/>
    <n v="28.4"/>
    <m/>
    <m/>
    <n v="1"/>
    <n v="1"/>
    <m/>
    <n v="2.658966897734635E-4"/>
    <n v="2.658966897734635E-4"/>
  </r>
  <r>
    <s v="1880BB-M-15043"/>
    <n v="0"/>
    <s v="Adutora"/>
    <x v="0"/>
    <x v="0"/>
    <x v="10"/>
    <n v="1"/>
    <n v="99.8"/>
    <n v="99.8"/>
    <m/>
    <m/>
    <n v="1"/>
    <n v="1"/>
    <m/>
    <n v="9.3438343800674839E-4"/>
    <n v="9.3438343800674839E-4"/>
  </r>
  <r>
    <s v="1880BB-M-15043"/>
    <n v="0"/>
    <s v="Adutora"/>
    <x v="0"/>
    <x v="0"/>
    <x v="11"/>
    <n v="8"/>
    <n v="1.2875000000000001"/>
    <n v="10.3"/>
    <m/>
    <m/>
    <n v="1"/>
    <n v="1"/>
    <m/>
    <n v="9.6434362840375847E-5"/>
    <n v="9.6434362840375847E-5"/>
  </r>
  <r>
    <s v="1880BB-M-15043"/>
    <n v="0"/>
    <s v="Adutora"/>
    <x v="0"/>
    <x v="0"/>
    <x v="12"/>
    <n v="16"/>
    <n v="0.66874999999999996"/>
    <n v="10.7"/>
    <m/>
    <m/>
    <n v="1"/>
    <n v="1"/>
    <m/>
    <n v="1.0017938664000208E-4"/>
    <n v="1.0017938664000208E-4"/>
  </r>
  <r>
    <s v="1880BB-M-15043"/>
    <n v="0"/>
    <s v="Adutora"/>
    <x v="0"/>
    <x v="0"/>
    <x v="13"/>
    <n v="1"/>
    <n v="67.7"/>
    <n v="67.7"/>
    <m/>
    <m/>
    <n v="1"/>
    <n v="1"/>
    <m/>
    <n v="6.3384527808674218E-4"/>
    <n v="6.3384527808674218E-4"/>
  </r>
  <r>
    <s v="1880BB-M-15043"/>
    <n v="0"/>
    <s v="Adutora"/>
    <x v="0"/>
    <x v="0"/>
    <x v="14"/>
    <n v="1"/>
    <n v="26.8"/>
    <n v="26.8"/>
    <m/>
    <m/>
    <n v="1"/>
    <n v="1"/>
    <m/>
    <n v="2.509165945749585E-4"/>
    <n v="2.509165945749585E-4"/>
  </r>
  <r>
    <s v="1880BB-M-15043"/>
    <n v="0"/>
    <s v="Adutora"/>
    <x v="0"/>
    <x v="0"/>
    <x v="15"/>
    <n v="1"/>
    <n v="75"/>
    <n v="75"/>
    <m/>
    <m/>
    <n v="1"/>
    <n v="1"/>
    <m/>
    <n v="7.0219196242992114E-4"/>
    <n v="7.0219196242992114E-4"/>
  </r>
  <r>
    <s v="1880BB-M-15043"/>
    <n v="0"/>
    <s v="Adutora"/>
    <x v="0"/>
    <x v="0"/>
    <x v="16"/>
    <n v="1"/>
    <n v="42.6"/>
    <n v="42.6"/>
    <m/>
    <m/>
    <n v="1"/>
    <n v="1"/>
    <m/>
    <n v="3.9884503466019523E-4"/>
    <n v="3.9884503466019523E-4"/>
  </r>
  <r>
    <s v="1880BB-M-15043"/>
    <n v="0"/>
    <s v="Adutora"/>
    <x v="0"/>
    <x v="0"/>
    <x v="17"/>
    <n v="1"/>
    <n v="26.2"/>
    <n v="26.2"/>
    <m/>
    <m/>
    <n v="1"/>
    <n v="1"/>
    <m/>
    <n v="2.4529905887551914E-4"/>
    <n v="2.4529905887551914E-4"/>
  </r>
  <r>
    <s v="1880BB-M-15043"/>
    <n v="0"/>
    <s v="Adutora"/>
    <x v="0"/>
    <x v="0"/>
    <x v="18"/>
    <n v="1"/>
    <n v="41"/>
    <n v="41"/>
    <m/>
    <m/>
    <n v="1"/>
    <n v="1"/>
    <m/>
    <n v="3.8386493946169023E-4"/>
    <n v="3.8386493946169023E-4"/>
  </r>
  <r>
    <s v="1880BB-M-15043"/>
    <n v="0"/>
    <s v="Adutora"/>
    <x v="0"/>
    <x v="0"/>
    <x v="19"/>
    <n v="2"/>
    <n v="46.1"/>
    <n v="92.2"/>
    <m/>
    <m/>
    <n v="1"/>
    <n v="1"/>
    <m/>
    <n v="8.6322798581384976E-4"/>
    <n v="8.6322798581384976E-4"/>
  </r>
  <r>
    <s v="1880BB-M-15043"/>
    <n v="0"/>
    <s v="Adutora"/>
    <x v="0"/>
    <x v="0"/>
    <x v="20"/>
    <n v="1"/>
    <n v="48.2"/>
    <n v="48.2"/>
    <m/>
    <m/>
    <n v="1"/>
    <n v="1"/>
    <m/>
    <n v="4.512753678549627E-4"/>
    <n v="4.512753678549627E-4"/>
  </r>
  <r>
    <s v="1880BB-M-15043"/>
    <n v="0"/>
    <s v="Adutora"/>
    <x v="0"/>
    <x v="0"/>
    <x v="21"/>
    <n v="2"/>
    <n v="3.2"/>
    <n v="6.4"/>
    <m/>
    <m/>
    <n v="1"/>
    <n v="1"/>
    <m/>
    <n v="5.9920380794019942E-5"/>
    <n v="5.9920380794019942E-5"/>
  </r>
  <r>
    <s v="1880BB-M-15043"/>
    <n v="0"/>
    <s v="Adutora"/>
    <x v="0"/>
    <x v="0"/>
    <x v="22"/>
    <n v="2"/>
    <n v="5.9"/>
    <n v="11.8"/>
    <m/>
    <m/>
    <n v="1"/>
    <n v="1"/>
    <m/>
    <n v="1.1047820208897428E-4"/>
    <n v="1.1047820208897428E-4"/>
  </r>
  <r>
    <s v="1880BB-M-15043"/>
    <n v="0"/>
    <s v="Adutora"/>
    <x v="0"/>
    <x v="0"/>
    <x v="23"/>
    <n v="1"/>
    <n v="31.4"/>
    <n v="31.4"/>
    <m/>
    <m/>
    <n v="1"/>
    <n v="1"/>
    <m/>
    <n v="2.9398436827066034E-4"/>
    <n v="2.9398436827066034E-4"/>
  </r>
  <r>
    <s v="1880BB-M-15043"/>
    <n v="0"/>
    <s v="Adutora"/>
    <x v="0"/>
    <x v="0"/>
    <x v="24"/>
    <n v="1"/>
    <n v="132"/>
    <n v="132"/>
    <m/>
    <m/>
    <n v="1"/>
    <n v="1"/>
    <m/>
    <n v="1.2358578538766614E-3"/>
    <n v="1.2358578538766614E-3"/>
  </r>
  <r>
    <s v="1880BB-M-15043"/>
    <n v="0"/>
    <s v="Adutora"/>
    <x v="0"/>
    <x v="0"/>
    <x v="25"/>
    <n v="1"/>
    <n v="23"/>
    <n v="23"/>
    <m/>
    <m/>
    <n v="1"/>
    <n v="1"/>
    <m/>
    <n v="2.1533886847850916E-4"/>
    <n v="2.1533886847850916E-4"/>
  </r>
  <r>
    <s v="1880BB-M-15043"/>
    <n v="0"/>
    <s v="Adutora"/>
    <x v="0"/>
    <x v="0"/>
    <x v="26"/>
    <n v="1"/>
    <n v="65.2"/>
    <n v="65.2"/>
    <m/>
    <m/>
    <n v="1"/>
    <n v="1"/>
    <m/>
    <n v="6.1043887933907815E-4"/>
    <n v="6.1043887933907815E-4"/>
  </r>
  <r>
    <s v="1880BB-M-15043"/>
    <n v="0"/>
    <s v="Adutora"/>
    <x v="0"/>
    <x v="0"/>
    <x v="27"/>
    <n v="1"/>
    <n v="1"/>
    <n v="1"/>
    <m/>
    <m/>
    <n v="1"/>
    <n v="1"/>
    <m/>
    <n v="9.3625594990656159E-6"/>
    <n v="9.3625594990656159E-6"/>
  </r>
  <r>
    <s v="1880BB-M-15043"/>
    <n v="0"/>
    <s v="Adutora"/>
    <x v="0"/>
    <x v="0"/>
    <x v="28"/>
    <n v="8"/>
    <n v="1.7"/>
    <n v="13.6"/>
    <m/>
    <m/>
    <n v="1"/>
    <n v="1"/>
    <m/>
    <n v="1.2733080918729238E-4"/>
    <n v="1.2733080918729238E-4"/>
  </r>
  <r>
    <s v="1880BB-M-15043"/>
    <n v="0"/>
    <s v="Adutora"/>
    <x v="0"/>
    <x v="0"/>
    <x v="29"/>
    <n v="2"/>
    <n v="2.75"/>
    <n v="5.5"/>
    <m/>
    <m/>
    <n v="1"/>
    <n v="1"/>
    <m/>
    <n v="5.149407724486089E-5"/>
    <n v="5.149407724486089E-5"/>
  </r>
  <r>
    <s v="1880BB-M-15043"/>
    <n v="0"/>
    <s v="Adutora"/>
    <x v="0"/>
    <x v="0"/>
    <x v="30"/>
    <n v="2"/>
    <n v="3.6"/>
    <n v="7.2"/>
    <m/>
    <m/>
    <n v="1"/>
    <n v="1"/>
    <m/>
    <n v="6.7410428393272441E-5"/>
    <n v="6.7410428393272441E-5"/>
  </r>
  <r>
    <s v="1880BB-M-15049"/>
    <n v="0"/>
    <s v="Platô"/>
    <x v="1"/>
    <x v="1"/>
    <x v="31"/>
    <n v="2"/>
    <n v="168.8"/>
    <n v="337.6"/>
    <m/>
    <m/>
    <n v="1"/>
    <n v="1"/>
    <m/>
    <n v="3.1608000868845521E-3"/>
    <n v="3.1608000868845521E-3"/>
  </r>
  <r>
    <s v="1880BB-M-15049"/>
    <n v="0"/>
    <s v="Platô"/>
    <x v="1"/>
    <x v="1"/>
    <x v="32"/>
    <n v="1"/>
    <n v="638.70000000000005"/>
    <n v="638.70000000000005"/>
    <m/>
    <m/>
    <n v="1"/>
    <n v="1"/>
    <m/>
    <n v="5.9798667520532091E-3"/>
    <n v="5.9798667520532091E-3"/>
  </r>
  <r>
    <s v="1880BB-M-15049"/>
    <n v="0"/>
    <s v="Platô"/>
    <x v="1"/>
    <x v="1"/>
    <x v="33"/>
    <n v="1"/>
    <n v="201.2"/>
    <n v="201.2"/>
    <m/>
    <m/>
    <n v="1"/>
    <n v="1"/>
    <m/>
    <n v="1.8837469712120018E-3"/>
    <n v="1.8837469712120018E-3"/>
  </r>
  <r>
    <s v="1880BB-M-15049"/>
    <n v="0"/>
    <s v="Platô"/>
    <x v="1"/>
    <x v="1"/>
    <x v="32"/>
    <n v="1"/>
    <n v="638.70000000000005"/>
    <n v="638.70000000000005"/>
    <m/>
    <m/>
    <n v="1"/>
    <n v="1"/>
    <m/>
    <n v="5.9798667520532091E-3"/>
    <n v="5.9798667520532091E-3"/>
  </r>
  <r>
    <s v="1880BB-M-15049"/>
    <n v="0"/>
    <s v="Platô"/>
    <x v="1"/>
    <x v="1"/>
    <x v="33"/>
    <n v="1"/>
    <n v="201.2"/>
    <n v="201.2"/>
    <m/>
    <m/>
    <n v="1"/>
    <n v="1"/>
    <m/>
    <n v="1.8837469712120018E-3"/>
    <n v="1.8837469712120018E-3"/>
  </r>
  <r>
    <s v="1880BB-M-15049"/>
    <n v="0"/>
    <s v="Platô"/>
    <x v="1"/>
    <x v="1"/>
    <x v="34"/>
    <n v="1"/>
    <n v="413.8"/>
    <n v="413.8"/>
    <m/>
    <m/>
    <n v="1"/>
    <n v="1"/>
    <m/>
    <n v="3.8742271207133521E-3"/>
    <n v="3.8742271207133521E-3"/>
  </r>
  <r>
    <s v="1880BB-M-15049"/>
    <n v="0"/>
    <s v="Platô"/>
    <x v="1"/>
    <x v="1"/>
    <x v="35"/>
    <n v="2"/>
    <n v="10.1"/>
    <n v="20.2"/>
    <m/>
    <m/>
    <n v="1"/>
    <n v="1"/>
    <m/>
    <n v="1.8912370188112543E-4"/>
    <n v="1.8912370188112543E-4"/>
  </r>
  <r>
    <s v="1880BB-M-15049"/>
    <n v="0"/>
    <s v="Platô"/>
    <x v="1"/>
    <x v="1"/>
    <x v="36"/>
    <n v="2"/>
    <n v="35.200000000000003"/>
    <n v="70.400000000000006"/>
    <m/>
    <m/>
    <n v="1"/>
    <n v="1"/>
    <m/>
    <n v="6.5912418873421942E-4"/>
    <n v="6.5912418873421942E-4"/>
  </r>
  <r>
    <s v="1880BB-M-15049"/>
    <n v="0"/>
    <s v="Platô"/>
    <x v="1"/>
    <x v="1"/>
    <x v="37"/>
    <n v="3"/>
    <n v="4.8"/>
    <n v="14.399999999999999"/>
    <m/>
    <m/>
    <n v="1"/>
    <n v="1"/>
    <m/>
    <n v="1.3482085678654486E-4"/>
    <n v="1.3482085678654486E-4"/>
  </r>
  <r>
    <s v="1880BB-M-15049"/>
    <n v="0"/>
    <s v="Platô"/>
    <x v="1"/>
    <x v="1"/>
    <x v="38"/>
    <n v="3"/>
    <n v="3.9"/>
    <n v="11.7"/>
    <m/>
    <m/>
    <n v="1"/>
    <n v="1"/>
    <m/>
    <n v="1.095419461390677E-4"/>
    <n v="1.095419461390677E-4"/>
  </r>
  <r>
    <s v="1880BB-M-15049"/>
    <n v="0"/>
    <s v="Platô"/>
    <x v="1"/>
    <x v="1"/>
    <x v="39"/>
    <n v="3"/>
    <n v="5.9"/>
    <n v="17.700000000000003"/>
    <m/>
    <m/>
    <n v="1"/>
    <n v="1"/>
    <m/>
    <n v="1.6571730313346143E-4"/>
    <n v="1.6571730313346143E-4"/>
  </r>
  <r>
    <s v="1880BB-M-15049"/>
    <n v="0"/>
    <s v="Platô"/>
    <x v="1"/>
    <x v="1"/>
    <x v="40"/>
    <n v="6"/>
    <n v="1.1000000000000001"/>
    <n v="6.6000000000000005"/>
    <m/>
    <m/>
    <n v="1"/>
    <n v="1"/>
    <m/>
    <n v="6.1792892693833074E-5"/>
    <n v="6.1792892693833074E-5"/>
  </r>
  <r>
    <s v="1880BB-M-15049"/>
    <n v="0"/>
    <s v="Platô"/>
    <x v="1"/>
    <x v="1"/>
    <x v="41"/>
    <n v="1"/>
    <n v="0.9"/>
    <n v="0.9"/>
    <m/>
    <m/>
    <n v="1"/>
    <n v="1"/>
    <m/>
    <n v="8.4263035491590552E-6"/>
    <n v="8.4263035491590552E-6"/>
  </r>
  <r>
    <s v="1880BB-M-15049"/>
    <n v="0"/>
    <s v="Platô"/>
    <x v="1"/>
    <x v="1"/>
    <x v="42"/>
    <n v="2"/>
    <n v="2.2999999999999998"/>
    <n v="4.5999999999999996"/>
    <m/>
    <m/>
    <n v="1"/>
    <n v="1"/>
    <m/>
    <n v="4.3067773695701832E-5"/>
    <n v="4.3067773695701832E-5"/>
  </r>
  <r>
    <s v="1880BB-M-15049"/>
    <n v="0"/>
    <s v="Platô"/>
    <x v="1"/>
    <x v="1"/>
    <x v="43"/>
    <n v="1"/>
    <n v="1.6"/>
    <n v="1.6"/>
    <m/>
    <m/>
    <n v="1"/>
    <n v="1"/>
    <m/>
    <n v="1.4980095198504985E-5"/>
    <n v="1.4980095198504985E-5"/>
  </r>
  <r>
    <s v="1880BB-M-15049"/>
    <n v="0"/>
    <s v="Platô"/>
    <x v="1"/>
    <x v="1"/>
    <x v="44"/>
    <n v="1"/>
    <n v="2.7"/>
    <n v="2.7"/>
    <m/>
    <m/>
    <n v="1"/>
    <n v="1"/>
    <m/>
    <n v="2.5278910647477166E-5"/>
    <n v="2.5278910647477166E-5"/>
  </r>
  <r>
    <s v="1880BB-M-15049"/>
    <n v="0"/>
    <s v="Platô"/>
    <x v="1"/>
    <x v="1"/>
    <x v="45"/>
    <n v="2"/>
    <n v="3.6"/>
    <n v="7.2"/>
    <m/>
    <m/>
    <n v="1"/>
    <n v="1"/>
    <m/>
    <n v="6.7410428393272441E-5"/>
    <n v="6.7410428393272441E-5"/>
  </r>
  <r>
    <s v="1880BB-M-15049"/>
    <n v="0"/>
    <s v="Platô"/>
    <x v="1"/>
    <x v="1"/>
    <x v="46"/>
    <n v="2"/>
    <n v="4.8"/>
    <n v="9.6"/>
    <m/>
    <m/>
    <n v="1"/>
    <n v="1"/>
    <m/>
    <n v="8.9880571191029913E-5"/>
    <n v="8.9880571191029913E-5"/>
  </r>
  <r>
    <s v="1880BB-M-15049"/>
    <n v="0"/>
    <s v="Platô"/>
    <x v="1"/>
    <x v="1"/>
    <x v="47"/>
    <n v="1"/>
    <n v="5.5"/>
    <n v="5.5"/>
    <m/>
    <m/>
    <n v="1"/>
    <n v="1"/>
    <m/>
    <n v="5.149407724486089E-5"/>
    <n v="5.149407724486089E-5"/>
  </r>
  <r>
    <s v="1880BB-M-15049"/>
    <n v="0"/>
    <s v="Platô"/>
    <x v="1"/>
    <x v="1"/>
    <x v="48"/>
    <n v="1"/>
    <n v="16.7"/>
    <n v="16.7"/>
    <m/>
    <m/>
    <n v="1"/>
    <n v="1"/>
    <m/>
    <n v="1.5635474363439577E-4"/>
    <n v="1.5635474363439577E-4"/>
  </r>
  <r>
    <s v="1880BB-M-15049"/>
    <n v="0"/>
    <s v="Platô"/>
    <x v="1"/>
    <x v="1"/>
    <x v="48"/>
    <n v="1"/>
    <n v="38.700000000000003"/>
    <n v="38.700000000000003"/>
    <m/>
    <m/>
    <n v="1"/>
    <n v="1"/>
    <m/>
    <n v="3.6233105261383936E-4"/>
    <n v="3.6233105261383936E-4"/>
  </r>
  <r>
    <s v="1880BB-M-15049"/>
    <n v="0"/>
    <s v="Platô"/>
    <x v="1"/>
    <x v="1"/>
    <x v="49"/>
    <n v="1"/>
    <n v="23.3"/>
    <n v="23.3"/>
    <m/>
    <m/>
    <n v="1"/>
    <n v="1"/>
    <m/>
    <n v="2.1814763632822885E-4"/>
    <n v="2.1814763632822885E-4"/>
  </r>
  <r>
    <s v="1880BB-M-15049"/>
    <n v="0"/>
    <s v="Platô"/>
    <x v="1"/>
    <x v="1"/>
    <x v="50"/>
    <n v="2"/>
    <n v="0.2"/>
    <n v="0.4"/>
    <m/>
    <m/>
    <n v="1"/>
    <n v="1"/>
    <m/>
    <n v="3.7450237996262464E-6"/>
    <n v="3.7450237996262464E-6"/>
  </r>
  <r>
    <s v="1880BB-M-15049"/>
    <n v="0"/>
    <s v="Platô"/>
    <x v="1"/>
    <x v="1"/>
    <x v="51"/>
    <n v="6"/>
    <n v="0.8"/>
    <n v="4.8000000000000007"/>
    <m/>
    <m/>
    <n v="1"/>
    <n v="1"/>
    <m/>
    <n v="4.4940285595514963E-5"/>
    <n v="4.4940285595514963E-5"/>
  </r>
  <r>
    <s v="1880BB-M-15049"/>
    <n v="0"/>
    <s v="Platô"/>
    <x v="1"/>
    <x v="1"/>
    <x v="52"/>
    <n v="12"/>
    <n v="0.5"/>
    <n v="6"/>
    <m/>
    <m/>
    <n v="1"/>
    <n v="1"/>
    <m/>
    <n v="5.6175356994393692E-5"/>
    <n v="5.6175356994393692E-5"/>
  </r>
  <r>
    <s v="1880BB-M-15049"/>
    <n v="0"/>
    <s v="Platô"/>
    <x v="1"/>
    <x v="1"/>
    <x v="53"/>
    <n v="8"/>
    <n v="0.4"/>
    <n v="3.2"/>
    <m/>
    <m/>
    <n v="1"/>
    <n v="1"/>
    <m/>
    <n v="2.9960190397009971E-5"/>
    <n v="2.9960190397009971E-5"/>
  </r>
  <r>
    <s v="1880BB-M-15049"/>
    <n v="0"/>
    <s v="Platô"/>
    <x v="1"/>
    <x v="1"/>
    <x v="54"/>
    <n v="1"/>
    <n v="2.2000000000000002"/>
    <n v="2.2000000000000002"/>
    <m/>
    <m/>
    <n v="1"/>
    <n v="1"/>
    <m/>
    <n v="2.0597630897944357E-5"/>
    <n v="2.0597630897944357E-5"/>
  </r>
  <r>
    <s v="1880BB-M-15049"/>
    <n v="0"/>
    <s v="Platô"/>
    <x v="1"/>
    <x v="1"/>
    <x v="55"/>
    <n v="2"/>
    <n v="1.6"/>
    <n v="3.2"/>
    <m/>
    <m/>
    <n v="1"/>
    <n v="1"/>
    <m/>
    <n v="2.9960190397009971E-5"/>
    <n v="2.9960190397009971E-5"/>
  </r>
  <r>
    <s v="1880BB-M-150453"/>
    <n v="0"/>
    <s v="Rejeitodudo"/>
    <x v="2"/>
    <x v="2"/>
    <x v="56"/>
    <n v="1"/>
    <n v="357.5"/>
    <n v="357.5"/>
    <m/>
    <m/>
    <n v="1"/>
    <n v="1"/>
    <m/>
    <n v="3.3471150209159577E-3"/>
    <n v="3.3471150209159577E-3"/>
  </r>
  <r>
    <s v="1880BB-M-150453"/>
    <n v="0"/>
    <s v="Rejeitodudo"/>
    <x v="2"/>
    <x v="2"/>
    <x v="57"/>
    <n v="1"/>
    <n v="357.5"/>
    <n v="357.5"/>
    <m/>
    <m/>
    <n v="1"/>
    <n v="1"/>
    <m/>
    <n v="3.3471150209159577E-3"/>
    <n v="3.3471150209159577E-3"/>
  </r>
  <r>
    <s v="1880BB-M-150453"/>
    <n v="0"/>
    <s v="Rejeitodudo"/>
    <x v="2"/>
    <x v="2"/>
    <x v="58"/>
    <n v="2"/>
    <n v="54.2"/>
    <n v="108.4"/>
    <m/>
    <m/>
    <n v="1"/>
    <n v="1"/>
    <m/>
    <n v="1.0149014496987129E-3"/>
    <n v="1.0149014496987129E-3"/>
  </r>
  <r>
    <s v="1880BB-M-150453"/>
    <n v="0"/>
    <s v="Rejeitodudo"/>
    <x v="2"/>
    <x v="2"/>
    <x v="59"/>
    <n v="2"/>
    <n v="68"/>
    <n v="136"/>
    <m/>
    <m/>
    <n v="1"/>
    <n v="1"/>
    <m/>
    <n v="1.2733080918729237E-3"/>
    <n v="1.2733080918729237E-3"/>
  </r>
  <r>
    <s v="1880BB-M-150453"/>
    <n v="0"/>
    <s v="Rejeitodudo"/>
    <x v="2"/>
    <x v="2"/>
    <x v="60"/>
    <n v="1"/>
    <n v="28.5"/>
    <n v="28.5"/>
    <m/>
    <m/>
    <n v="1"/>
    <n v="1"/>
    <m/>
    <n v="2.6683294572337005E-4"/>
    <n v="2.6683294572337005E-4"/>
  </r>
  <r>
    <s v="1880BB-M-150453"/>
    <n v="0"/>
    <s v="Rejeitodudo"/>
    <x v="2"/>
    <x v="2"/>
    <x v="61"/>
    <n v="2"/>
    <n v="36.299999999999997"/>
    <n v="72.599999999999994"/>
    <m/>
    <m/>
    <n v="1"/>
    <n v="1"/>
    <m/>
    <n v="6.7972181963216367E-4"/>
    <n v="6.7972181963216367E-4"/>
  </r>
  <r>
    <s v="1880BB-M-150453"/>
    <n v="0"/>
    <s v="Rejeitodudo"/>
    <x v="2"/>
    <x v="2"/>
    <x v="62"/>
    <n v="1"/>
    <n v="25.6"/>
    <n v="25.6"/>
    <m/>
    <m/>
    <n v="1"/>
    <n v="1"/>
    <m/>
    <n v="2.3968152317607977E-4"/>
    <n v="2.3968152317607977E-4"/>
  </r>
  <r>
    <s v="1880BB-M-150453"/>
    <n v="0"/>
    <s v="Rejeitodudo"/>
    <x v="2"/>
    <x v="2"/>
    <x v="63"/>
    <n v="2"/>
    <n v="8.1"/>
    <n v="16.2"/>
    <m/>
    <m/>
    <n v="1"/>
    <n v="1"/>
    <m/>
    <n v="1.5167346388486296E-4"/>
    <n v="1.5167346388486296E-4"/>
  </r>
  <r>
    <s v="1880BB-M-150453"/>
    <n v="0"/>
    <s v="Rejeitodudo"/>
    <x v="2"/>
    <x v="2"/>
    <x v="64"/>
    <n v="2"/>
    <n v="34.5"/>
    <n v="69"/>
    <m/>
    <m/>
    <n v="1"/>
    <n v="1"/>
    <m/>
    <n v="6.4601660543552747E-4"/>
    <n v="6.4601660543552747E-4"/>
  </r>
  <r>
    <s v="1880BB-M-150453"/>
    <n v="0"/>
    <s v="Rejeitodudo"/>
    <x v="2"/>
    <x v="2"/>
    <x v="65"/>
    <n v="1"/>
    <n v="51.6"/>
    <n v="51.6"/>
    <m/>
    <m/>
    <n v="1"/>
    <n v="1"/>
    <m/>
    <n v="4.831080701517858E-4"/>
    <n v="4.831080701517858E-4"/>
  </r>
  <r>
    <s v="1880BB-M-150453"/>
    <n v="0"/>
    <s v="Rejeitodudo"/>
    <x v="2"/>
    <x v="2"/>
    <x v="66"/>
    <n v="1"/>
    <n v="15"/>
    <n v="15"/>
    <m/>
    <m/>
    <n v="1"/>
    <n v="1"/>
    <m/>
    <n v="1.4043839248598422E-4"/>
    <n v="1.4043839248598422E-4"/>
  </r>
  <r>
    <s v="1880BB-M-150453"/>
    <n v="0"/>
    <s v="Rejeitodudo"/>
    <x v="2"/>
    <x v="2"/>
    <x v="67"/>
    <n v="1"/>
    <n v="10.8"/>
    <n v="10.8"/>
    <m/>
    <m/>
    <n v="1"/>
    <n v="1"/>
    <m/>
    <n v="1.0111564258990866E-4"/>
    <n v="1.0111564258990866E-4"/>
  </r>
  <r>
    <s v="1880BB-M-150453"/>
    <n v="0"/>
    <s v="Rejeitodudo"/>
    <x v="2"/>
    <x v="2"/>
    <x v="68"/>
    <n v="4"/>
    <n v="2.5"/>
    <n v="10"/>
    <m/>
    <m/>
    <n v="1"/>
    <n v="1"/>
    <m/>
    <n v="9.3625594990656163E-5"/>
    <n v="9.3625594990656163E-5"/>
  </r>
  <r>
    <s v="1880BB-M-150453"/>
    <n v="0"/>
    <s v="Rejeitodudo"/>
    <x v="2"/>
    <x v="2"/>
    <x v="69"/>
    <n v="8"/>
    <n v="1"/>
    <n v="8"/>
    <m/>
    <m/>
    <n v="1"/>
    <n v="1"/>
    <m/>
    <n v="7.4900475992524927E-5"/>
    <n v="7.4900475992524927E-5"/>
  </r>
  <r>
    <s v="1880BB-M-150453"/>
    <n v="0"/>
    <s v="Rejeitodudo"/>
    <x v="2"/>
    <x v="2"/>
    <x v="70"/>
    <n v="2"/>
    <n v="63.4"/>
    <n v="126.8"/>
    <m/>
    <m/>
    <n v="1"/>
    <n v="1"/>
    <m/>
    <n v="1.18717254448152E-3"/>
    <n v="1.18717254448152E-3"/>
  </r>
  <r>
    <s v="1880BB-M-150453"/>
    <n v="0"/>
    <s v="Rejeitodudo"/>
    <x v="2"/>
    <x v="2"/>
    <x v="70"/>
    <n v="2"/>
    <n v="63.4"/>
    <n v="126.8"/>
    <m/>
    <m/>
    <n v="1"/>
    <n v="1"/>
    <m/>
    <n v="1.18717254448152E-3"/>
    <n v="1.18717254448152E-3"/>
  </r>
  <r>
    <s v="1880BB-M-150453"/>
    <n v="0"/>
    <s v="Rejeitodudo"/>
    <x v="2"/>
    <x v="2"/>
    <x v="71"/>
    <n v="2"/>
    <n v="27"/>
    <n v="54"/>
    <m/>
    <m/>
    <n v="1"/>
    <n v="1"/>
    <m/>
    <n v="5.0557821294954322E-4"/>
    <n v="5.0557821294954322E-4"/>
  </r>
  <r>
    <s v="1880BB-M-150453"/>
    <n v="0"/>
    <s v="Rejeitodudo"/>
    <x v="2"/>
    <x v="2"/>
    <x v="72"/>
    <n v="1"/>
    <n v="135"/>
    <n v="135"/>
    <m/>
    <m/>
    <n v="1"/>
    <n v="1"/>
    <m/>
    <n v="1.2639455323738581E-3"/>
    <n v="1.2639455323738581E-3"/>
  </r>
  <r>
    <s v="1880BB-M-150453"/>
    <n v="0"/>
    <s v="Rejeitodudo"/>
    <x v="2"/>
    <x v="2"/>
    <x v="73"/>
    <n v="1"/>
    <n v="66.400000000000006"/>
    <n v="66.400000000000006"/>
    <m/>
    <m/>
    <n v="1"/>
    <n v="1"/>
    <m/>
    <n v="6.2167395073795689E-4"/>
    <n v="6.2167395073795689E-4"/>
  </r>
  <r>
    <s v="1880BB-M-150453"/>
    <n v="0"/>
    <s v="Rejeitodudo"/>
    <x v="2"/>
    <x v="2"/>
    <x v="74"/>
    <n v="1"/>
    <n v="100"/>
    <n v="100"/>
    <m/>
    <m/>
    <n v="1"/>
    <n v="1"/>
    <m/>
    <n v="9.362559499065616E-4"/>
    <n v="9.362559499065616E-4"/>
  </r>
  <r>
    <s v="1880BB-M-150453"/>
    <n v="0"/>
    <s v="Rejeitodudo"/>
    <x v="2"/>
    <x v="2"/>
    <x v="75"/>
    <n v="2"/>
    <n v="1.4"/>
    <n v="2.8"/>
    <m/>
    <m/>
    <n v="1"/>
    <n v="1"/>
    <m/>
    <n v="2.6215166597383721E-5"/>
    <n v="2.6215166597383721E-5"/>
  </r>
  <r>
    <s v="1880BB-M-150453"/>
    <n v="0"/>
    <s v="Rejeitodudo"/>
    <x v="2"/>
    <x v="2"/>
    <x v="76"/>
    <n v="2"/>
    <n v="22.15"/>
    <n v="44.3"/>
    <m/>
    <m/>
    <n v="1"/>
    <n v="1"/>
    <m/>
    <n v="4.1476138580860678E-4"/>
    <n v="4.1476138580860678E-4"/>
  </r>
  <r>
    <s v="1880BB-M-150453"/>
    <n v="0"/>
    <s v="Rejeitodudo"/>
    <x v="2"/>
    <x v="2"/>
    <x v="77"/>
    <n v="2"/>
    <n v="1"/>
    <n v="2"/>
    <m/>
    <m/>
    <n v="1"/>
    <n v="1"/>
    <m/>
    <n v="1.8725118998131232E-5"/>
    <n v="1.8725118998131232E-5"/>
  </r>
  <r>
    <s v="1880BB-M-150454"/>
    <n v="0"/>
    <s v="Platô"/>
    <x v="3"/>
    <x v="3"/>
    <x v="78"/>
    <n v="4"/>
    <n v="17.600000000000001"/>
    <n v="70.400000000000006"/>
    <m/>
    <m/>
    <m/>
    <m/>
    <m/>
    <n v="6.5912418873421942E-4"/>
    <n v="0"/>
  </r>
  <r>
    <s v="1880BB-M-150454"/>
    <n v="0"/>
    <s v="Platô"/>
    <x v="3"/>
    <x v="3"/>
    <x v="79"/>
    <n v="2"/>
    <n v="265.8"/>
    <n v="531.6"/>
    <m/>
    <m/>
    <m/>
    <m/>
    <m/>
    <n v="4.9771366297032818E-3"/>
    <n v="0"/>
  </r>
  <r>
    <s v="1880BB-M-150454"/>
    <n v="0"/>
    <s v="Platô"/>
    <x v="3"/>
    <x v="3"/>
    <x v="79"/>
    <n v="1"/>
    <n v="234.9"/>
    <n v="234.9"/>
    <m/>
    <m/>
    <m/>
    <m/>
    <m/>
    <n v="2.1992652263305131E-3"/>
    <n v="0"/>
  </r>
  <r>
    <s v="1880BB-M-150454"/>
    <n v="0"/>
    <s v="Platô"/>
    <x v="3"/>
    <x v="3"/>
    <x v="80"/>
    <n v="2"/>
    <n v="81.599999999999994"/>
    <n v="163.19999999999999"/>
    <m/>
    <m/>
    <m/>
    <m/>
    <m/>
    <n v="1.5279697102475085E-3"/>
    <n v="0"/>
  </r>
  <r>
    <s v="1880BB-M-150454"/>
    <n v="0"/>
    <s v="Platô"/>
    <x v="3"/>
    <x v="3"/>
    <x v="81"/>
    <n v="1"/>
    <n v="504.7"/>
    <n v="504.7"/>
    <m/>
    <m/>
    <m/>
    <m/>
    <m/>
    <n v="4.7252837791784165E-3"/>
    <n v="0"/>
  </r>
  <r>
    <s v="1880BB-M-150454"/>
    <n v="0"/>
    <s v="Platô"/>
    <x v="3"/>
    <x v="3"/>
    <x v="82"/>
    <n v="2"/>
    <n v="67.3"/>
    <n v="134.6"/>
    <m/>
    <m/>
    <m/>
    <m/>
    <m/>
    <n v="1.2602005085742319E-3"/>
    <n v="0"/>
  </r>
  <r>
    <s v="1880BB-M-150454"/>
    <n v="0"/>
    <s v="Platô"/>
    <x v="3"/>
    <x v="3"/>
    <x v="83"/>
    <n v="12"/>
    <n v="4.7"/>
    <n v="56.400000000000006"/>
    <m/>
    <m/>
    <m/>
    <m/>
    <m/>
    <n v="5.280483557473008E-4"/>
    <n v="0"/>
  </r>
  <r>
    <s v="1880BB-M-150454"/>
    <n v="0"/>
    <s v="Platô"/>
    <x v="3"/>
    <x v="3"/>
    <x v="84"/>
    <n v="6"/>
    <n v="5.8"/>
    <n v="34.799999999999997"/>
    <m/>
    <m/>
    <m/>
    <m/>
    <m/>
    <n v="3.2581707056748339E-4"/>
    <n v="0"/>
  </r>
  <r>
    <s v="1880BB-M-150454"/>
    <n v="0"/>
    <s v="Platô"/>
    <x v="3"/>
    <x v="3"/>
    <x v="79"/>
    <n v="1"/>
    <n v="234.9"/>
    <n v="234.9"/>
    <m/>
    <m/>
    <m/>
    <m/>
    <m/>
    <n v="2.1992652263305131E-3"/>
    <n v="0"/>
  </r>
  <r>
    <s v="1880BB-M-150454"/>
    <n v="0"/>
    <s v="Platô"/>
    <x v="3"/>
    <x v="3"/>
    <x v="85"/>
    <n v="4"/>
    <n v="75"/>
    <n v="300"/>
    <m/>
    <m/>
    <m/>
    <m/>
    <m/>
    <n v="2.8087678497196846E-3"/>
    <n v="0"/>
  </r>
  <r>
    <s v="1880BB-M-150454"/>
    <n v="0"/>
    <s v="Platô"/>
    <x v="3"/>
    <x v="3"/>
    <x v="86"/>
    <n v="1"/>
    <n v="132.80000000000001"/>
    <n v="132.80000000000001"/>
    <m/>
    <m/>
    <m/>
    <m/>
    <m/>
    <n v="1.2433479014759138E-3"/>
    <n v="0"/>
  </r>
  <r>
    <s v="1880BB-M-150454"/>
    <n v="0"/>
    <s v="Platô"/>
    <x v="3"/>
    <x v="3"/>
    <x v="87"/>
    <n v="1"/>
    <n v="97.6"/>
    <n v="97.6"/>
    <m/>
    <m/>
    <m/>
    <m/>
    <m/>
    <n v="9.1378580710880402E-4"/>
    <n v="0"/>
  </r>
  <r>
    <s v="1880BB-M-150454"/>
    <n v="0"/>
    <s v="Platô"/>
    <x v="3"/>
    <x v="3"/>
    <x v="88"/>
    <n v="1"/>
    <n v="41.2"/>
    <n v="41.2"/>
    <m/>
    <m/>
    <m/>
    <m/>
    <m/>
    <n v="3.8573745136150339E-4"/>
    <n v="0"/>
  </r>
  <r>
    <s v="1880BB-M-150454"/>
    <n v="0"/>
    <s v="Platô"/>
    <x v="3"/>
    <x v="3"/>
    <x v="89"/>
    <n v="1"/>
    <n v="44.5"/>
    <n v="44.5"/>
    <m/>
    <m/>
    <m/>
    <m/>
    <m/>
    <n v="4.1663389770841988E-4"/>
    <n v="0"/>
  </r>
  <r>
    <s v="1880BB-M-150454"/>
    <n v="0"/>
    <s v="Platô"/>
    <x v="3"/>
    <x v="3"/>
    <x v="90"/>
    <n v="1"/>
    <n v="12.3"/>
    <n v="12.3"/>
    <m/>
    <m/>
    <m/>
    <m/>
    <m/>
    <n v="1.1515948183850708E-4"/>
    <n v="0"/>
  </r>
  <r>
    <s v="1880BB-M-150454"/>
    <n v="0"/>
    <s v="Platô"/>
    <x v="3"/>
    <x v="3"/>
    <x v="91"/>
    <n v="1"/>
    <n v="332"/>
    <n v="332"/>
    <m/>
    <m/>
    <m/>
    <m/>
    <m/>
    <n v="3.1083697536897843E-3"/>
    <n v="0"/>
  </r>
  <r>
    <s v="1880BB-M-150454"/>
    <n v="0"/>
    <s v="Platô"/>
    <x v="3"/>
    <x v="3"/>
    <x v="90"/>
    <n v="6"/>
    <n v="6.2"/>
    <n v="37.200000000000003"/>
    <m/>
    <m/>
    <m/>
    <m/>
    <m/>
    <n v="3.4828721336524092E-4"/>
    <n v="0"/>
  </r>
  <r>
    <s v="1880BB-M-150454"/>
    <n v="0"/>
    <s v="Platô"/>
    <x v="3"/>
    <x v="3"/>
    <x v="78"/>
    <n v="8"/>
    <n v="8.6"/>
    <n v="68.8"/>
    <m/>
    <m/>
    <m/>
    <m/>
    <m/>
    <n v="6.4414409353571436E-4"/>
    <n v="0"/>
  </r>
  <r>
    <s v="1880BB-M-150454"/>
    <n v="0"/>
    <s v="Platô"/>
    <x v="3"/>
    <x v="3"/>
    <x v="78"/>
    <n v="8"/>
    <n v="7.9"/>
    <n v="63.2"/>
    <m/>
    <m/>
    <m/>
    <m/>
    <m/>
    <n v="5.9171376034094689E-4"/>
    <n v="0"/>
  </r>
  <r>
    <s v="1880BB-M-150454"/>
    <n v="0"/>
    <s v="Platô"/>
    <x v="3"/>
    <x v="3"/>
    <x v="78"/>
    <n v="4"/>
    <n v="7"/>
    <n v="28"/>
    <m/>
    <m/>
    <m/>
    <m/>
    <m/>
    <n v="2.6215166597383724E-4"/>
    <n v="0"/>
  </r>
  <r>
    <s v="1880BB-M-150454"/>
    <n v="0"/>
    <s v="Platô"/>
    <x v="3"/>
    <x v="3"/>
    <x v="78"/>
    <n v="4"/>
    <n v="6.5"/>
    <n v="26"/>
    <m/>
    <m/>
    <m/>
    <m/>
    <m/>
    <n v="2.43426546975706E-4"/>
    <n v="0"/>
  </r>
  <r>
    <s v="1880BB-M-150454"/>
    <n v="0"/>
    <s v="Platô"/>
    <x v="3"/>
    <x v="3"/>
    <x v="92"/>
    <n v="1"/>
    <n v="268.7"/>
    <n v="268.7"/>
    <m/>
    <m/>
    <m/>
    <m/>
    <m/>
    <n v="2.515719737398931E-3"/>
    <n v="0"/>
  </r>
  <r>
    <s v="1880BB-M-150454"/>
    <n v="0"/>
    <s v="Platô"/>
    <x v="3"/>
    <x v="3"/>
    <x v="93"/>
    <n v="4"/>
    <n v="1.5"/>
    <n v="6"/>
    <m/>
    <m/>
    <m/>
    <m/>
    <m/>
    <n v="5.6175356994393692E-5"/>
    <n v="0"/>
  </r>
  <r>
    <s v="1880BB-M-150454"/>
    <n v="0"/>
    <s v="Platô"/>
    <x v="3"/>
    <x v="3"/>
    <x v="94"/>
    <n v="4"/>
    <n v="1.3"/>
    <n v="5.2"/>
    <m/>
    <m/>
    <m/>
    <m/>
    <m/>
    <n v="4.8685309395141206E-5"/>
    <n v="0"/>
  </r>
  <r>
    <s v="1880BB-M-150454"/>
    <n v="0"/>
    <s v="Platô"/>
    <x v="3"/>
    <x v="3"/>
    <x v="95"/>
    <n v="4"/>
    <n v="0.5"/>
    <n v="2"/>
    <m/>
    <m/>
    <m/>
    <m/>
    <m/>
    <n v="1.8725118998131232E-5"/>
    <n v="0"/>
  </r>
  <r>
    <s v="1880BB-M-150454"/>
    <n v="0"/>
    <s v="Platô"/>
    <x v="3"/>
    <x v="3"/>
    <x v="96"/>
    <n v="2"/>
    <n v="3"/>
    <n v="6"/>
    <m/>
    <m/>
    <m/>
    <m/>
    <m/>
    <n v="5.6175356994393692E-5"/>
    <n v="0"/>
  </r>
  <r>
    <s v="1880BB-M-150454"/>
    <n v="0"/>
    <s v="Platô"/>
    <x v="3"/>
    <x v="3"/>
    <x v="97"/>
    <n v="2"/>
    <n v="0.5"/>
    <n v="1"/>
    <m/>
    <m/>
    <m/>
    <m/>
    <m/>
    <n v="9.3625594990656159E-6"/>
    <n v="0"/>
  </r>
  <r>
    <s v="1880BB-M-150454"/>
    <n v="0"/>
    <s v="Platô"/>
    <x v="3"/>
    <x v="3"/>
    <x v="98"/>
    <n v="4"/>
    <n v="1.3"/>
    <n v="5.2"/>
    <m/>
    <m/>
    <m/>
    <m/>
    <m/>
    <n v="4.8685309395141206E-5"/>
    <n v="0"/>
  </r>
  <r>
    <s v="1880BB-M-150454"/>
    <n v="0"/>
    <s v="Platô"/>
    <x v="3"/>
    <x v="3"/>
    <x v="99"/>
    <n v="4"/>
    <n v="1.3"/>
    <n v="5.2"/>
    <m/>
    <m/>
    <m/>
    <m/>
    <m/>
    <n v="4.8685309395141206E-5"/>
    <n v="0"/>
  </r>
  <r>
    <s v="1880BB-M-150454"/>
    <n v="0"/>
    <s v="Platô"/>
    <x v="3"/>
    <x v="3"/>
    <x v="100"/>
    <n v="2"/>
    <n v="2.7"/>
    <n v="5.4"/>
    <m/>
    <m/>
    <m/>
    <m/>
    <m/>
    <n v="5.0557821294954331E-5"/>
    <n v="0"/>
  </r>
  <r>
    <s v="1880BB-M-15055"/>
    <s v="CANCELADO"/>
    <m/>
    <x v="4"/>
    <x v="4"/>
    <x v="101"/>
    <n v="2"/>
    <m/>
    <n v="0"/>
    <m/>
    <m/>
    <m/>
    <m/>
    <m/>
    <n v="0"/>
    <n v="0"/>
  </r>
  <r>
    <s v="1880BB-M-15055"/>
    <s v="CANCELADO"/>
    <m/>
    <x v="4"/>
    <x v="4"/>
    <x v="102"/>
    <n v="1"/>
    <m/>
    <n v="0"/>
    <m/>
    <m/>
    <m/>
    <m/>
    <m/>
    <n v="0"/>
    <n v="0"/>
  </r>
  <r>
    <s v="1880BB-M-15055"/>
    <s v="CANCELADO"/>
    <m/>
    <x v="4"/>
    <x v="4"/>
    <x v="103"/>
    <n v="1"/>
    <m/>
    <n v="0"/>
    <m/>
    <m/>
    <m/>
    <m/>
    <m/>
    <n v="0"/>
    <n v="0"/>
  </r>
  <r>
    <s v="1880BB-M-15055"/>
    <s v="CANCELADO"/>
    <m/>
    <x v="4"/>
    <x v="4"/>
    <x v="104"/>
    <n v="8"/>
    <m/>
    <n v="0"/>
    <m/>
    <m/>
    <m/>
    <m/>
    <m/>
    <n v="0"/>
    <n v="0"/>
  </r>
  <r>
    <s v="1880BB-M-15055"/>
    <s v="CANCELADO"/>
    <m/>
    <x v="4"/>
    <x v="4"/>
    <x v="105"/>
    <n v="4"/>
    <m/>
    <n v="0"/>
    <m/>
    <m/>
    <m/>
    <m/>
    <m/>
    <n v="0"/>
    <n v="0"/>
  </r>
  <r>
    <s v="1880BB-M-15055"/>
    <s v="CANCELADO"/>
    <m/>
    <x v="4"/>
    <x v="4"/>
    <x v="106"/>
    <n v="2"/>
    <m/>
    <n v="0"/>
    <m/>
    <m/>
    <m/>
    <m/>
    <m/>
    <n v="0"/>
    <n v="0"/>
  </r>
  <r>
    <s v="1880BB-M-15055"/>
    <s v="CANCELADO"/>
    <m/>
    <x v="4"/>
    <x v="4"/>
    <x v="58"/>
    <n v="3"/>
    <m/>
    <n v="0"/>
    <m/>
    <m/>
    <m/>
    <m/>
    <m/>
    <n v="0"/>
    <n v="0"/>
  </r>
  <r>
    <s v="1880BB-M-15055"/>
    <s v="CANCELADO"/>
    <m/>
    <x v="4"/>
    <x v="4"/>
    <x v="107"/>
    <n v="3"/>
    <m/>
    <n v="0"/>
    <m/>
    <m/>
    <m/>
    <m/>
    <m/>
    <n v="0"/>
    <n v="0"/>
  </r>
  <r>
    <s v="1880BB-M-15055"/>
    <s v="CANCELADO"/>
    <m/>
    <x v="4"/>
    <x v="4"/>
    <x v="108"/>
    <n v="1"/>
    <m/>
    <n v="0"/>
    <m/>
    <m/>
    <m/>
    <m/>
    <m/>
    <n v="0"/>
    <n v="0"/>
  </r>
  <r>
    <s v="1880BB-M-15055"/>
    <s v="CANCELADO"/>
    <m/>
    <x v="4"/>
    <x v="4"/>
    <x v="109"/>
    <n v="1"/>
    <m/>
    <n v="0"/>
    <m/>
    <m/>
    <m/>
    <m/>
    <m/>
    <n v="0"/>
    <n v="0"/>
  </r>
  <r>
    <s v="1880BB-M-15055"/>
    <s v="CANCELADO"/>
    <m/>
    <x v="4"/>
    <x v="4"/>
    <x v="110"/>
    <n v="1"/>
    <m/>
    <n v="0"/>
    <m/>
    <m/>
    <m/>
    <m/>
    <m/>
    <n v="0"/>
    <n v="0"/>
  </r>
  <r>
    <s v="1880BB-M-15055"/>
    <s v="CANCELADO"/>
    <m/>
    <x v="4"/>
    <x v="4"/>
    <x v="111"/>
    <n v="16"/>
    <m/>
    <n v="0"/>
    <m/>
    <m/>
    <m/>
    <m/>
    <m/>
    <n v="0"/>
    <n v="0"/>
  </r>
  <r>
    <s v="1880BB-M-15055"/>
    <s v="CANCELADO"/>
    <m/>
    <x v="4"/>
    <x v="4"/>
    <x v="112"/>
    <n v="16"/>
    <m/>
    <n v="0"/>
    <m/>
    <m/>
    <m/>
    <m/>
    <m/>
    <n v="0"/>
    <n v="0"/>
  </r>
  <r>
    <s v="1880BB-M-15055"/>
    <s v="CANCELADO"/>
    <m/>
    <x v="4"/>
    <x v="4"/>
    <x v="113"/>
    <n v="16"/>
    <m/>
    <n v="0"/>
    <m/>
    <m/>
    <m/>
    <m/>
    <m/>
    <n v="0"/>
    <n v="0"/>
  </r>
  <r>
    <s v="1880BB-M-15056"/>
    <s v="CANCELADO"/>
    <m/>
    <x v="5"/>
    <x v="5"/>
    <x v="101"/>
    <n v="2"/>
    <m/>
    <n v="0"/>
    <m/>
    <m/>
    <m/>
    <m/>
    <m/>
    <n v="0"/>
    <n v="0"/>
  </r>
  <r>
    <s v="1880BB-M-15056"/>
    <s v="CANCELADO"/>
    <m/>
    <x v="5"/>
    <x v="5"/>
    <x v="102"/>
    <n v="1"/>
    <m/>
    <n v="0"/>
    <m/>
    <m/>
    <m/>
    <m/>
    <m/>
    <n v="0"/>
    <n v="0"/>
  </r>
  <r>
    <s v="1880BB-M-15056"/>
    <s v="CANCELADO"/>
    <m/>
    <x v="5"/>
    <x v="5"/>
    <x v="103"/>
    <n v="1"/>
    <m/>
    <n v="0"/>
    <m/>
    <m/>
    <m/>
    <m/>
    <m/>
    <n v="0"/>
    <n v="0"/>
  </r>
  <r>
    <s v="1880BB-M-15056"/>
    <s v="CANCELADO"/>
    <m/>
    <x v="5"/>
    <x v="5"/>
    <x v="104"/>
    <n v="8"/>
    <m/>
    <n v="0"/>
    <m/>
    <m/>
    <m/>
    <m/>
    <m/>
    <n v="0"/>
    <n v="0"/>
  </r>
  <r>
    <s v="1880BB-M-15056"/>
    <s v="CANCELADO"/>
    <m/>
    <x v="5"/>
    <x v="5"/>
    <x v="105"/>
    <n v="4"/>
    <m/>
    <n v="0"/>
    <m/>
    <m/>
    <m/>
    <m/>
    <m/>
    <n v="0"/>
    <n v="0"/>
  </r>
  <r>
    <s v="1880BB-M-15056"/>
    <s v="CANCELADO"/>
    <m/>
    <x v="5"/>
    <x v="5"/>
    <x v="106"/>
    <n v="3"/>
    <m/>
    <n v="0"/>
    <m/>
    <m/>
    <m/>
    <m/>
    <m/>
    <n v="0"/>
    <n v="0"/>
  </r>
  <r>
    <s v="1880BB-M-15056"/>
    <s v="CANCELADO"/>
    <m/>
    <x v="5"/>
    <x v="5"/>
    <x v="58"/>
    <n v="3"/>
    <m/>
    <n v="0"/>
    <m/>
    <m/>
    <m/>
    <m/>
    <m/>
    <n v="0"/>
    <n v="0"/>
  </r>
  <r>
    <s v="1880BB-M-15056"/>
    <s v="CANCELADO"/>
    <m/>
    <x v="5"/>
    <x v="5"/>
    <x v="107"/>
    <n v="3"/>
    <m/>
    <n v="0"/>
    <m/>
    <m/>
    <m/>
    <m/>
    <m/>
    <n v="0"/>
    <n v="0"/>
  </r>
  <r>
    <s v="1880BB-M-15056"/>
    <s v="CANCELADO"/>
    <m/>
    <x v="5"/>
    <x v="5"/>
    <x v="108"/>
    <n v="1"/>
    <m/>
    <n v="0"/>
    <m/>
    <m/>
    <m/>
    <m/>
    <m/>
    <n v="0"/>
    <n v="0"/>
  </r>
  <r>
    <s v="1880BB-M-15056"/>
    <s v="CANCELADO"/>
    <m/>
    <x v="5"/>
    <x v="5"/>
    <x v="109"/>
    <n v="1"/>
    <m/>
    <n v="0"/>
    <m/>
    <m/>
    <m/>
    <m/>
    <m/>
    <n v="0"/>
    <n v="0"/>
  </r>
  <r>
    <s v="1880BB-M-15056"/>
    <s v="CANCELADO"/>
    <m/>
    <x v="5"/>
    <x v="5"/>
    <x v="110"/>
    <n v="1"/>
    <m/>
    <n v="0"/>
    <m/>
    <m/>
    <m/>
    <m/>
    <m/>
    <n v="0"/>
    <n v="0"/>
  </r>
  <r>
    <s v="1880BB-M-15056"/>
    <s v="CANCELADO"/>
    <m/>
    <x v="5"/>
    <x v="5"/>
    <x v="111"/>
    <n v="16"/>
    <m/>
    <n v="0"/>
    <m/>
    <m/>
    <m/>
    <m/>
    <m/>
    <n v="0"/>
    <n v="0"/>
  </r>
  <r>
    <s v="1880BB-M-15056"/>
    <s v="CANCELADO"/>
    <m/>
    <x v="5"/>
    <x v="5"/>
    <x v="112"/>
    <n v="16"/>
    <m/>
    <n v="0"/>
    <m/>
    <m/>
    <m/>
    <m/>
    <m/>
    <n v="0"/>
    <n v="0"/>
  </r>
  <r>
    <s v="1880BB-M-15056"/>
    <s v="CANCELADO"/>
    <m/>
    <x v="5"/>
    <x v="5"/>
    <x v="113"/>
    <n v="16"/>
    <m/>
    <n v="0"/>
    <m/>
    <m/>
    <m/>
    <m/>
    <m/>
    <n v="0"/>
    <n v="0"/>
  </r>
  <r>
    <s v="1880BB-M-15057"/>
    <n v="0"/>
    <s v="Platô"/>
    <x v="6"/>
    <x v="6"/>
    <x v="114"/>
    <n v="1"/>
    <n v="2820"/>
    <n v="2820"/>
    <m/>
    <m/>
    <m/>
    <m/>
    <m/>
    <n v="2.6402417787365035E-2"/>
    <n v="0"/>
  </r>
  <r>
    <s v="1880BB-M-15057"/>
    <n v="0"/>
    <s v="Platô"/>
    <x v="6"/>
    <x v="6"/>
    <x v="115"/>
    <n v="1"/>
    <n v="1975"/>
    <n v="1975"/>
    <m/>
    <m/>
    <m/>
    <m/>
    <m/>
    <n v="1.8491055010654591E-2"/>
    <n v="0"/>
  </r>
  <r>
    <s v="1880BB-M-15057"/>
    <n v="0"/>
    <s v="Platô"/>
    <x v="6"/>
    <x v="6"/>
    <x v="116"/>
    <n v="36"/>
    <n v="0.58333333333333337"/>
    <n v="21"/>
    <m/>
    <m/>
    <m/>
    <m/>
    <m/>
    <n v="1.9661374948037793E-4"/>
    <n v="0"/>
  </r>
  <r>
    <s v="1880BB-M-15057"/>
    <n v="0"/>
    <s v="Platô"/>
    <x v="6"/>
    <x v="6"/>
    <x v="117"/>
    <n v="109"/>
    <n v="0.19266055045871561"/>
    <n v="21"/>
    <m/>
    <m/>
    <m/>
    <m/>
    <m/>
    <n v="1.9661374948037793E-4"/>
    <n v="0"/>
  </r>
  <r>
    <s v="1880BB-M-15057"/>
    <n v="0"/>
    <s v="Platô"/>
    <x v="6"/>
    <x v="6"/>
    <x v="118"/>
    <n v="109"/>
    <n v="4.5871559633027525E-2"/>
    <n v="5"/>
    <m/>
    <m/>
    <m/>
    <m/>
    <m/>
    <n v="4.6812797495328081E-5"/>
    <n v="0"/>
  </r>
  <r>
    <s v="1880BB-M-15057"/>
    <n v="0"/>
    <s v="Platô"/>
    <x v="6"/>
    <x v="6"/>
    <x v="119"/>
    <n v="16"/>
    <n v="0.125"/>
    <n v="2"/>
    <m/>
    <m/>
    <m/>
    <m/>
    <m/>
    <n v="1.8725118998131232E-5"/>
    <n v="0"/>
  </r>
  <r>
    <s v="1880BB-M-15057"/>
    <n v="0"/>
    <s v="Platô"/>
    <x v="6"/>
    <x v="6"/>
    <x v="120"/>
    <n v="400"/>
    <n v="5.5E-2"/>
    <n v="22"/>
    <m/>
    <m/>
    <m/>
    <m/>
    <m/>
    <n v="2.0597630897944356E-4"/>
    <n v="0"/>
  </r>
  <r>
    <s v="1880BB-M-15057"/>
    <n v="0"/>
    <s v="Platô"/>
    <x v="6"/>
    <x v="6"/>
    <x v="121"/>
    <n v="400"/>
    <n v="0.02"/>
    <n v="8"/>
    <m/>
    <m/>
    <m/>
    <m/>
    <m/>
    <n v="7.4900475992524927E-5"/>
    <n v="0"/>
  </r>
  <r>
    <s v="1880BB-M-15057"/>
    <n v="0"/>
    <s v="Platô"/>
    <x v="6"/>
    <x v="6"/>
    <x v="122"/>
    <n v="32"/>
    <n v="1.40625"/>
    <n v="45"/>
    <m/>
    <m/>
    <m/>
    <m/>
    <m/>
    <n v="4.213151774579527E-4"/>
    <n v="0"/>
  </r>
  <r>
    <s v="1880BB-M-15057"/>
    <n v="0"/>
    <s v="Platô"/>
    <x v="6"/>
    <x v="6"/>
    <x v="123"/>
    <n v="32"/>
    <n v="0.59375"/>
    <n v="19"/>
    <m/>
    <m/>
    <m/>
    <m/>
    <m/>
    <n v="1.7788863048224669E-4"/>
    <n v="0"/>
  </r>
  <r>
    <s v="1880BB-M-15057"/>
    <n v="0"/>
    <s v="Platô"/>
    <x v="6"/>
    <x v="6"/>
    <x v="124"/>
    <n v="32"/>
    <n v="0.125"/>
    <n v="4"/>
    <m/>
    <m/>
    <m/>
    <m/>
    <m/>
    <n v="3.7450237996262464E-5"/>
    <n v="0"/>
  </r>
  <r>
    <s v="1880BB-M-15057"/>
    <n v="0"/>
    <s v="Platô"/>
    <x v="6"/>
    <x v="6"/>
    <x v="125"/>
    <n v="73"/>
    <n v="0.49315068493150682"/>
    <n v="36"/>
    <m/>
    <m/>
    <m/>
    <m/>
    <m/>
    <n v="3.3705214196636218E-4"/>
    <n v="0"/>
  </r>
  <r>
    <s v="1880BB-M-15057"/>
    <n v="0"/>
    <s v="Platô"/>
    <x v="6"/>
    <x v="6"/>
    <x v="126"/>
    <n v="384"/>
    <n v="0.11458333333333333"/>
    <n v="44"/>
    <m/>
    <m/>
    <m/>
    <m/>
    <m/>
    <n v="4.1195261795888712E-4"/>
    <n v="0"/>
  </r>
  <r>
    <s v="1880BB-M-15059"/>
    <n v="0"/>
    <s v="Platô"/>
    <x v="6"/>
    <x v="6"/>
    <x v="127"/>
    <n v="1"/>
    <n v="1868"/>
    <n v="1868"/>
    <m/>
    <m/>
    <n v="1"/>
    <n v="1"/>
    <m/>
    <n v="1.7489261144254569E-2"/>
    <n v="1.7489261144254569E-2"/>
  </r>
  <r>
    <s v="1880BB-M-15059"/>
    <n v="0"/>
    <s v="Platô"/>
    <x v="6"/>
    <x v="6"/>
    <x v="127"/>
    <n v="1"/>
    <n v="1868"/>
    <n v="1868"/>
    <m/>
    <m/>
    <n v="1"/>
    <n v="1"/>
    <m/>
    <n v="1.7489261144254569E-2"/>
    <n v="1.7489261144254569E-2"/>
  </r>
  <r>
    <s v="1880BB-M-15059"/>
    <n v="0"/>
    <s v="Platô"/>
    <x v="6"/>
    <x v="6"/>
    <x v="127"/>
    <n v="1"/>
    <n v="1868"/>
    <n v="1868"/>
    <m/>
    <m/>
    <n v="1"/>
    <n v="1"/>
    <m/>
    <n v="1.7489261144254569E-2"/>
    <n v="1.7489261144254569E-2"/>
  </r>
  <r>
    <s v="1880BB-M-15059"/>
    <n v="0"/>
    <s v="Platô"/>
    <x v="6"/>
    <x v="6"/>
    <x v="128"/>
    <n v="1"/>
    <n v="709"/>
    <n v="709"/>
    <m/>
    <m/>
    <n v="1"/>
    <n v="1"/>
    <m/>
    <n v="6.6380546848375218E-3"/>
    <n v="6.6380546848375218E-3"/>
  </r>
  <r>
    <s v="1880BB-M-15059"/>
    <n v="0"/>
    <s v="Platô"/>
    <x v="6"/>
    <x v="6"/>
    <x v="127"/>
    <n v="1"/>
    <n v="1868"/>
    <n v="1868"/>
    <m/>
    <m/>
    <n v="1"/>
    <n v="1"/>
    <m/>
    <n v="1.7489261144254569E-2"/>
    <n v="1.7489261144254569E-2"/>
  </r>
  <r>
    <s v="1880BB-M-15059"/>
    <n v="0"/>
    <s v="Platô"/>
    <x v="6"/>
    <x v="6"/>
    <x v="129"/>
    <n v="1"/>
    <n v="573"/>
    <n v="573"/>
    <m/>
    <m/>
    <n v="1"/>
    <n v="1"/>
    <m/>
    <n v="5.3647465929645977E-3"/>
    <n v="5.3647465929645977E-3"/>
  </r>
  <r>
    <s v="1880BB-M-15059"/>
    <n v="0"/>
    <s v="Platô"/>
    <x v="6"/>
    <x v="6"/>
    <x v="130"/>
    <n v="1"/>
    <n v="1610"/>
    <n v="1610"/>
    <m/>
    <m/>
    <n v="1"/>
    <n v="1"/>
    <m/>
    <n v="1.5073720793495641E-2"/>
    <n v="1.5073720793495641E-2"/>
  </r>
  <r>
    <s v="1880BB-M-15059"/>
    <n v="0"/>
    <s v="Platô"/>
    <x v="6"/>
    <x v="6"/>
    <x v="127"/>
    <n v="2"/>
    <n v="1868"/>
    <n v="3736"/>
    <m/>
    <m/>
    <n v="1"/>
    <n v="1"/>
    <m/>
    <n v="3.4978522288509138E-2"/>
    <n v="3.4978522288509138E-2"/>
  </r>
  <r>
    <s v="1880BB-M-15059"/>
    <n v="0"/>
    <s v="Platô"/>
    <x v="6"/>
    <x v="6"/>
    <x v="131"/>
    <n v="6"/>
    <n v="1046"/>
    <n v="6276"/>
    <m/>
    <m/>
    <n v="1"/>
    <n v="1"/>
    <m/>
    <n v="5.8759423416135804E-2"/>
    <n v="5.8759423416135804E-2"/>
  </r>
  <r>
    <s v="1880BB-M-15059"/>
    <n v="0"/>
    <s v="Platô"/>
    <x v="6"/>
    <x v="6"/>
    <x v="131"/>
    <n v="1"/>
    <n v="1046"/>
    <n v="1046"/>
    <m/>
    <m/>
    <n v="1"/>
    <n v="1"/>
    <m/>
    <n v="9.7932372360226335E-3"/>
    <n v="9.7932372360226335E-3"/>
  </r>
  <r>
    <s v="1880BB-M-15059"/>
    <n v="0"/>
    <s v="Platô"/>
    <x v="6"/>
    <x v="6"/>
    <x v="132"/>
    <n v="1"/>
    <n v="902"/>
    <n v="902"/>
    <m/>
    <m/>
    <n v="1"/>
    <n v="1"/>
    <m/>
    <n v="8.4450286681571861E-3"/>
    <n v="8.4450286681571861E-3"/>
  </r>
  <r>
    <s v="1880BB-M-15059"/>
    <n v="0"/>
    <s v="Platô"/>
    <x v="6"/>
    <x v="6"/>
    <x v="133"/>
    <n v="6"/>
    <n v="1434"/>
    <n v="8604"/>
    <m/>
    <m/>
    <n v="1"/>
    <n v="1"/>
    <m/>
    <n v="8.0555461929960562E-2"/>
    <n v="8.0555461929960562E-2"/>
  </r>
  <r>
    <s v="1880BB-M-15059"/>
    <n v="0"/>
    <s v="Platô"/>
    <x v="6"/>
    <x v="6"/>
    <x v="133"/>
    <n v="1"/>
    <n v="1434"/>
    <n v="1434"/>
    <m/>
    <m/>
    <n v="1"/>
    <n v="1"/>
    <m/>
    <n v="1.3425910321660094E-2"/>
    <n v="1.3425910321660094E-2"/>
  </r>
  <r>
    <s v="1880BB-M-15059"/>
    <n v="0"/>
    <s v="Platô"/>
    <x v="6"/>
    <x v="6"/>
    <x v="134"/>
    <n v="1"/>
    <n v="1234"/>
    <n v="1234"/>
    <m/>
    <m/>
    <n v="1"/>
    <n v="1"/>
    <m/>
    <n v="1.155339842184697E-2"/>
    <n v="1.155339842184697E-2"/>
  </r>
  <r>
    <s v="1880BB-M-15059"/>
    <n v="0"/>
    <s v="Platô"/>
    <x v="6"/>
    <x v="6"/>
    <x v="135"/>
    <n v="6"/>
    <n v="982"/>
    <n v="5892"/>
    <m/>
    <m/>
    <n v="1"/>
    <n v="1"/>
    <m/>
    <n v="5.5164200568494609E-2"/>
    <n v="5.5164200568494609E-2"/>
  </r>
  <r>
    <s v="1880BB-M-15059"/>
    <n v="0"/>
    <s v="Platô"/>
    <x v="6"/>
    <x v="6"/>
    <x v="136"/>
    <n v="1"/>
    <n v="1308"/>
    <n v="1308"/>
    <m/>
    <m/>
    <n v="1"/>
    <n v="1"/>
    <m/>
    <n v="1.2246227824777826E-2"/>
    <n v="1.2246227824777826E-2"/>
  </r>
  <r>
    <s v="1880BB-M-15059"/>
    <n v="0"/>
    <s v="Platô"/>
    <x v="6"/>
    <x v="6"/>
    <x v="137"/>
    <n v="1"/>
    <n v="844"/>
    <n v="844"/>
    <m/>
    <m/>
    <n v="1"/>
    <n v="1"/>
    <m/>
    <n v="7.9020002172113801E-3"/>
    <n v="7.9020002172113801E-3"/>
  </r>
  <r>
    <s v="1880BB-M-15059"/>
    <n v="0"/>
    <s v="Platô"/>
    <x v="6"/>
    <x v="6"/>
    <x v="127"/>
    <n v="7"/>
    <n v="1868"/>
    <n v="13076"/>
    <m/>
    <m/>
    <n v="1"/>
    <n v="1"/>
    <m/>
    <n v="0.12242482800978199"/>
    <n v="0.12242482800978199"/>
  </r>
  <r>
    <s v="1880BB-M-15059"/>
    <n v="0"/>
    <s v="Platô"/>
    <x v="6"/>
    <x v="6"/>
    <x v="138"/>
    <n v="2"/>
    <n v="1451"/>
    <n v="2902"/>
    <m/>
    <m/>
    <n v="1"/>
    <n v="1"/>
    <m/>
    <n v="2.7170147666288415E-2"/>
    <n v="2.7170147666288415E-2"/>
  </r>
  <r>
    <s v="1880BB-M-15059"/>
    <n v="0"/>
    <s v="Platô"/>
    <x v="6"/>
    <x v="6"/>
    <x v="138"/>
    <n v="2"/>
    <n v="834"/>
    <n v="1668"/>
    <m/>
    <m/>
    <n v="1"/>
    <n v="1"/>
    <m/>
    <n v="1.5616749244441447E-2"/>
    <n v="1.5616749244441447E-2"/>
  </r>
  <r>
    <s v="1880BB-M-15059"/>
    <n v="0"/>
    <s v="Platô"/>
    <x v="6"/>
    <x v="6"/>
    <x v="138"/>
    <n v="2"/>
    <n v="834"/>
    <n v="1668"/>
    <m/>
    <m/>
    <n v="1"/>
    <n v="1"/>
    <m/>
    <n v="1.5616749244441447E-2"/>
    <n v="1.5616749244441447E-2"/>
  </r>
  <r>
    <s v="1880BB-M-15059"/>
    <n v="0"/>
    <s v="Platô"/>
    <x v="6"/>
    <x v="6"/>
    <x v="139"/>
    <n v="2"/>
    <n v="374"/>
    <n v="748"/>
    <m/>
    <m/>
    <n v="1"/>
    <n v="1"/>
    <m/>
    <n v="7.0031945053010804E-3"/>
    <n v="7.0031945053010804E-3"/>
  </r>
  <r>
    <s v="1880BB-M-15059"/>
    <n v="0"/>
    <s v="Platô"/>
    <x v="6"/>
    <x v="6"/>
    <x v="139"/>
    <n v="2"/>
    <n v="374"/>
    <n v="748"/>
    <m/>
    <m/>
    <n v="1"/>
    <n v="1"/>
    <m/>
    <n v="7.0031945053010804E-3"/>
    <n v="7.0031945053010804E-3"/>
  </r>
  <r>
    <s v="1880BB-M-15059"/>
    <n v="0"/>
    <s v="Platô"/>
    <x v="6"/>
    <x v="6"/>
    <x v="140"/>
    <n v="1"/>
    <n v="996"/>
    <n v="996"/>
    <m/>
    <m/>
    <n v="1"/>
    <n v="1"/>
    <m/>
    <n v="9.3251092610693535E-3"/>
    <n v="9.3251092610693535E-3"/>
  </r>
  <r>
    <s v="1880BB-M-15059"/>
    <n v="0"/>
    <s v="Platô"/>
    <x v="6"/>
    <x v="6"/>
    <x v="141"/>
    <n v="1"/>
    <n v="13"/>
    <n v="13"/>
    <m/>
    <m/>
    <n v="1"/>
    <n v="1"/>
    <m/>
    <n v="1.21713273487853E-4"/>
    <n v="1.21713273487853E-4"/>
  </r>
  <r>
    <s v="1880BB-M-15059"/>
    <n v="0"/>
    <s v="Platô"/>
    <x v="6"/>
    <x v="6"/>
    <x v="142"/>
    <n v="1"/>
    <n v="3"/>
    <n v="3"/>
    <m/>
    <m/>
    <n v="1"/>
    <n v="1"/>
    <m/>
    <n v="2.8087678497196846E-5"/>
    <n v="2.8087678497196846E-5"/>
  </r>
  <r>
    <s v="1880BB-M-15059"/>
    <n v="0"/>
    <s v="Platô"/>
    <x v="6"/>
    <x v="6"/>
    <x v="143"/>
    <n v="1"/>
    <n v="21"/>
    <n v="21"/>
    <m/>
    <m/>
    <m/>
    <m/>
    <m/>
    <n v="1.9661374948037793E-4"/>
    <n v="0"/>
  </r>
  <r>
    <s v="1880BB-M-15059"/>
    <n v="0"/>
    <s v="Platô"/>
    <x v="6"/>
    <x v="6"/>
    <x v="144"/>
    <n v="1"/>
    <n v="14"/>
    <n v="14"/>
    <m/>
    <m/>
    <m/>
    <m/>
    <m/>
    <n v="1.3107583298691862E-4"/>
    <n v="0"/>
  </r>
  <r>
    <s v="1880BB-M-15059"/>
    <n v="0"/>
    <s v="Platô"/>
    <x v="6"/>
    <x v="6"/>
    <x v="145"/>
    <n v="1"/>
    <n v="747"/>
    <n v="747"/>
    <m/>
    <m/>
    <n v="1"/>
    <n v="1"/>
    <m/>
    <n v="6.9938319458020147E-3"/>
    <n v="6.9938319458020147E-3"/>
  </r>
  <r>
    <s v="1880BB-M-15059"/>
    <n v="0"/>
    <s v="Platô"/>
    <x v="6"/>
    <x v="6"/>
    <x v="146"/>
    <n v="1"/>
    <n v="806"/>
    <n v="806"/>
    <m/>
    <m/>
    <n v="1"/>
    <n v="1"/>
    <m/>
    <n v="7.5462229562468864E-3"/>
    <n v="7.5462229562468864E-3"/>
  </r>
  <r>
    <s v="1880BB-M-15059"/>
    <n v="0"/>
    <s v="Platô"/>
    <x v="6"/>
    <x v="6"/>
    <x v="147"/>
    <n v="7"/>
    <n v="88"/>
    <n v="616"/>
    <m/>
    <m/>
    <m/>
    <m/>
    <m/>
    <n v="5.7673366514244193E-3"/>
    <n v="0"/>
  </r>
  <r>
    <s v="1880BB-M-15059"/>
    <n v="0"/>
    <s v="Platô"/>
    <x v="6"/>
    <x v="6"/>
    <x v="148"/>
    <n v="2"/>
    <n v="61"/>
    <n v="122"/>
    <m/>
    <m/>
    <m/>
    <m/>
    <m/>
    <n v="1.1422322588860051E-3"/>
    <n v="0"/>
  </r>
  <r>
    <s v="1880BB-M-15061"/>
    <n v="0"/>
    <s v="Platô"/>
    <x v="6"/>
    <x v="6"/>
    <x v="149"/>
    <n v="1"/>
    <n v="459"/>
    <n v="459"/>
    <m/>
    <m/>
    <m/>
    <m/>
    <m/>
    <n v="4.2974148100711172E-3"/>
    <n v="0"/>
  </r>
  <r>
    <s v="1880BB-M-15061"/>
    <n v="0"/>
    <s v="Platô"/>
    <x v="6"/>
    <x v="6"/>
    <x v="150"/>
    <n v="1"/>
    <n v="75"/>
    <n v="75"/>
    <m/>
    <m/>
    <m/>
    <m/>
    <m/>
    <n v="7.0219196242992114E-4"/>
    <n v="0"/>
  </r>
  <r>
    <s v="1880BB-M-15061"/>
    <n v="0"/>
    <s v="Platô"/>
    <x v="6"/>
    <x v="6"/>
    <x v="151"/>
    <n v="1"/>
    <n v="75"/>
    <n v="75"/>
    <m/>
    <m/>
    <m/>
    <m/>
    <m/>
    <n v="7.0219196242992114E-4"/>
    <n v="0"/>
  </r>
  <r>
    <s v="1880BB-M-15061"/>
    <n v="0"/>
    <s v="Platô"/>
    <x v="6"/>
    <x v="6"/>
    <x v="152"/>
    <n v="1"/>
    <n v="475"/>
    <n v="475"/>
    <m/>
    <m/>
    <m/>
    <m/>
    <m/>
    <n v="4.4472157620561673E-3"/>
    <n v="0"/>
  </r>
  <r>
    <s v="1880BB-M-15061"/>
    <n v="0"/>
    <s v="Platô"/>
    <x v="6"/>
    <x v="6"/>
    <x v="153"/>
    <n v="3"/>
    <n v="28"/>
    <n v="84"/>
    <m/>
    <m/>
    <m/>
    <m/>
    <m/>
    <n v="7.8645499792151172E-4"/>
    <n v="0"/>
  </r>
  <r>
    <s v="1880BB-M-15061"/>
    <n v="0"/>
    <s v="Platô"/>
    <x v="6"/>
    <x v="6"/>
    <x v="154"/>
    <n v="3"/>
    <n v="41"/>
    <n v="123"/>
    <m/>
    <m/>
    <m/>
    <m/>
    <m/>
    <n v="1.1515948183850708E-3"/>
    <n v="0"/>
  </r>
  <r>
    <s v="1880BB-M-15061"/>
    <n v="0"/>
    <s v="Platô"/>
    <x v="6"/>
    <x v="6"/>
    <x v="155"/>
    <n v="3"/>
    <n v="89"/>
    <n v="267"/>
    <m/>
    <m/>
    <m/>
    <m/>
    <m/>
    <n v="2.4998033862505195E-3"/>
    <n v="0"/>
  </r>
  <r>
    <s v="1880BB-M-15061"/>
    <n v="0"/>
    <s v="Platô"/>
    <x v="6"/>
    <x v="6"/>
    <x v="156"/>
    <n v="3"/>
    <n v="119"/>
    <n v="357"/>
    <m/>
    <m/>
    <m/>
    <m/>
    <m/>
    <n v="3.3424337411664248E-3"/>
    <n v="0"/>
  </r>
  <r>
    <s v="1880BB-M-15061"/>
    <n v="0"/>
    <s v="Platô"/>
    <x v="6"/>
    <x v="6"/>
    <x v="157"/>
    <n v="3"/>
    <n v="66"/>
    <n v="198"/>
    <m/>
    <m/>
    <m/>
    <m/>
    <m/>
    <n v="1.8537867808149919E-3"/>
    <n v="0"/>
  </r>
  <r>
    <s v="1880BB-M-15061"/>
    <n v="0"/>
    <s v="Platô"/>
    <x v="6"/>
    <x v="6"/>
    <x v="155"/>
    <n v="3"/>
    <n v="29"/>
    <n v="87"/>
    <m/>
    <m/>
    <m/>
    <m/>
    <m/>
    <n v="8.1454267641870861E-4"/>
    <n v="0"/>
  </r>
  <r>
    <s v="1880BB-M-15061"/>
    <n v="0"/>
    <s v="Platô"/>
    <x v="6"/>
    <x v="6"/>
    <x v="158"/>
    <n v="1"/>
    <n v="60"/>
    <n v="60"/>
    <m/>
    <m/>
    <m/>
    <m/>
    <m/>
    <n v="5.6175356994393689E-4"/>
    <n v="0"/>
  </r>
  <r>
    <s v="1880BB-M-15061"/>
    <n v="0"/>
    <s v="Platô"/>
    <x v="6"/>
    <x v="6"/>
    <x v="159"/>
    <n v="2"/>
    <n v="96"/>
    <n v="192"/>
    <m/>
    <m/>
    <m/>
    <m/>
    <m/>
    <n v="1.7976114238205981E-3"/>
    <n v="0"/>
  </r>
  <r>
    <s v="1880BB-M-15061"/>
    <n v="0"/>
    <s v="Platô"/>
    <x v="6"/>
    <x v="6"/>
    <x v="160"/>
    <n v="1"/>
    <n v="120"/>
    <n v="120"/>
    <m/>
    <m/>
    <m/>
    <m/>
    <m/>
    <n v="1.1235071398878738E-3"/>
    <n v="0"/>
  </r>
  <r>
    <s v="1880BB-M-15061"/>
    <n v="0"/>
    <s v="Platô"/>
    <x v="6"/>
    <x v="6"/>
    <x v="161"/>
    <n v="1"/>
    <n v="45"/>
    <n v="45"/>
    <m/>
    <m/>
    <m/>
    <m/>
    <m/>
    <n v="4.213151774579527E-4"/>
    <n v="0"/>
  </r>
  <r>
    <s v="1880BB-M-15061"/>
    <n v="0"/>
    <s v="Platô"/>
    <x v="6"/>
    <x v="6"/>
    <x v="162"/>
    <n v="1"/>
    <n v="59"/>
    <n v="59"/>
    <m/>
    <m/>
    <m/>
    <m/>
    <m/>
    <n v="5.5239101044487137E-4"/>
    <n v="0"/>
  </r>
  <r>
    <s v="1880BB-M-15061"/>
    <n v="0"/>
    <s v="Platô"/>
    <x v="6"/>
    <x v="6"/>
    <x v="163"/>
    <n v="1"/>
    <n v="20"/>
    <n v="20"/>
    <m/>
    <m/>
    <m/>
    <m/>
    <m/>
    <n v="1.8725118998131233E-4"/>
    <n v="0"/>
  </r>
  <r>
    <s v="1880BB-M-15061"/>
    <n v="0"/>
    <s v="Platô"/>
    <x v="6"/>
    <x v="6"/>
    <x v="164"/>
    <n v="2"/>
    <n v="15"/>
    <n v="30"/>
    <m/>
    <m/>
    <m/>
    <m/>
    <m/>
    <n v="2.8087678497196845E-4"/>
    <n v="0"/>
  </r>
  <r>
    <s v="1880BB-M-15061"/>
    <n v="0"/>
    <s v="Platô"/>
    <x v="6"/>
    <x v="6"/>
    <x v="165"/>
    <n v="1"/>
    <n v="29"/>
    <n v="29"/>
    <m/>
    <m/>
    <m/>
    <m/>
    <m/>
    <n v="2.7151422547290287E-4"/>
    <n v="0"/>
  </r>
  <r>
    <s v="1880BB-M-15061"/>
    <n v="0"/>
    <s v="Platô"/>
    <x v="6"/>
    <x v="6"/>
    <x v="166"/>
    <n v="1"/>
    <n v="17"/>
    <n v="17"/>
    <m/>
    <m/>
    <m/>
    <m/>
    <m/>
    <n v="1.5916351148411546E-4"/>
    <n v="0"/>
  </r>
  <r>
    <s v="1880BB-M-15061"/>
    <n v="0"/>
    <s v="Platô"/>
    <x v="6"/>
    <x v="6"/>
    <x v="167"/>
    <n v="1"/>
    <n v="70"/>
    <n v="70"/>
    <m/>
    <m/>
    <m/>
    <m/>
    <m/>
    <n v="6.553791649345931E-4"/>
    <n v="0"/>
  </r>
  <r>
    <s v="1880BB-M-15061"/>
    <n v="0"/>
    <s v="Platô"/>
    <x v="6"/>
    <x v="6"/>
    <x v="168"/>
    <n v="3"/>
    <n v="2"/>
    <n v="6"/>
    <m/>
    <m/>
    <m/>
    <m/>
    <m/>
    <n v="5.6175356994393692E-5"/>
    <n v="0"/>
  </r>
  <r>
    <s v="1880BB-M-15061"/>
    <n v="0"/>
    <s v="Platô"/>
    <x v="6"/>
    <x v="6"/>
    <x v="169"/>
    <n v="2"/>
    <n v="2"/>
    <n v="4"/>
    <m/>
    <m/>
    <m/>
    <m/>
    <m/>
    <n v="3.7450237996262464E-5"/>
    <n v="0"/>
  </r>
  <r>
    <s v="1880BB-M-15061"/>
    <n v="0"/>
    <s v="Platô"/>
    <x v="6"/>
    <x v="6"/>
    <x v="170"/>
    <n v="2"/>
    <n v="6"/>
    <n v="12"/>
    <m/>
    <m/>
    <m/>
    <m/>
    <m/>
    <n v="1.1235071398878738E-4"/>
    <n v="0"/>
  </r>
  <r>
    <s v="1880BB-M-15061"/>
    <n v="0"/>
    <s v="Platô"/>
    <x v="6"/>
    <x v="6"/>
    <x v="171"/>
    <n v="2"/>
    <n v="5"/>
    <n v="10"/>
    <m/>
    <m/>
    <m/>
    <m/>
    <m/>
    <n v="9.3625594990656163E-5"/>
    <n v="0"/>
  </r>
  <r>
    <s v="1880BB-M-15061"/>
    <n v="0"/>
    <s v="Platô"/>
    <x v="6"/>
    <x v="6"/>
    <x v="172"/>
    <n v="1"/>
    <n v="1"/>
    <n v="1"/>
    <m/>
    <m/>
    <m/>
    <m/>
    <m/>
    <n v="9.3625594990656159E-6"/>
    <n v="0"/>
  </r>
  <r>
    <s v="1880BB-M-15061"/>
    <n v="0"/>
    <s v="Platô"/>
    <x v="6"/>
    <x v="6"/>
    <x v="173"/>
    <n v="1"/>
    <n v="2"/>
    <n v="2"/>
    <m/>
    <m/>
    <m/>
    <m/>
    <m/>
    <n v="1.8725118998131232E-5"/>
    <n v="0"/>
  </r>
  <r>
    <s v="1880BB-M-15061"/>
    <n v="0"/>
    <s v="Platô"/>
    <x v="6"/>
    <x v="6"/>
    <x v="174"/>
    <n v="1"/>
    <n v="430"/>
    <n v="430"/>
    <m/>
    <m/>
    <m/>
    <m/>
    <m/>
    <n v="4.0259005845982151E-3"/>
    <n v="0"/>
  </r>
  <r>
    <s v="1880BB-M-15062"/>
    <n v="0"/>
    <s v="Platô"/>
    <x v="6"/>
    <x v="6"/>
    <x v="175"/>
    <n v="1"/>
    <n v="84"/>
    <n v="84"/>
    <m/>
    <m/>
    <m/>
    <m/>
    <m/>
    <n v="7.8645499792151172E-4"/>
    <n v="0"/>
  </r>
  <r>
    <s v="1880BB-M-15062"/>
    <n v="0"/>
    <s v="Platô"/>
    <x v="6"/>
    <x v="6"/>
    <x v="176"/>
    <n v="2"/>
    <n v="10"/>
    <n v="20"/>
    <m/>
    <m/>
    <m/>
    <m/>
    <m/>
    <n v="1.8725118998131233E-4"/>
    <n v="0"/>
  </r>
  <r>
    <s v="1880BB-M-15062"/>
    <n v="0"/>
    <s v="Platô"/>
    <x v="6"/>
    <x v="6"/>
    <x v="177"/>
    <n v="2"/>
    <n v="3"/>
    <n v="6"/>
    <m/>
    <m/>
    <m/>
    <m/>
    <m/>
    <n v="5.6175356994393692E-5"/>
    <n v="0"/>
  </r>
  <r>
    <s v="1880BB-M-15062"/>
    <n v="0"/>
    <s v="Platô"/>
    <x v="6"/>
    <x v="6"/>
    <x v="178"/>
    <n v="2"/>
    <n v="9"/>
    <n v="18"/>
    <m/>
    <m/>
    <m/>
    <m/>
    <m/>
    <n v="1.6852607098318109E-4"/>
    <n v="0"/>
  </r>
  <r>
    <s v="1880BB-M-15062"/>
    <n v="0"/>
    <s v="Platô"/>
    <x v="6"/>
    <x v="6"/>
    <x v="179"/>
    <n v="1"/>
    <n v="3"/>
    <n v="3"/>
    <m/>
    <m/>
    <m/>
    <m/>
    <m/>
    <n v="2.8087678497196846E-5"/>
    <n v="0"/>
  </r>
  <r>
    <s v="1880BB-M-15062"/>
    <n v="0"/>
    <s v="Platô"/>
    <x v="6"/>
    <x v="6"/>
    <x v="180"/>
    <n v="1"/>
    <n v="2"/>
    <n v="2"/>
    <m/>
    <m/>
    <m/>
    <m/>
    <m/>
    <n v="1.8725118998131232E-5"/>
    <n v="0"/>
  </r>
  <r>
    <s v="1880BB-M-15062"/>
    <n v="0"/>
    <s v="Platô"/>
    <x v="6"/>
    <x v="6"/>
    <x v="178"/>
    <n v="2"/>
    <n v="9"/>
    <n v="18"/>
    <m/>
    <m/>
    <m/>
    <m/>
    <m/>
    <n v="1.6852607098318109E-4"/>
    <n v="0"/>
  </r>
  <r>
    <s v="1880BB-M-15062"/>
    <n v="0"/>
    <s v="Platô"/>
    <x v="6"/>
    <x v="6"/>
    <x v="181"/>
    <n v="1"/>
    <n v="3"/>
    <n v="3"/>
    <m/>
    <m/>
    <m/>
    <m/>
    <m/>
    <n v="2.8087678497196846E-5"/>
    <n v="0"/>
  </r>
  <r>
    <s v="1880BB-M-15062"/>
    <n v="0"/>
    <s v="Platô"/>
    <x v="6"/>
    <x v="6"/>
    <x v="182"/>
    <n v="1"/>
    <n v="2"/>
    <n v="2"/>
    <m/>
    <m/>
    <m/>
    <m/>
    <m/>
    <n v="1.8725118998131232E-5"/>
    <n v="0"/>
  </r>
  <r>
    <s v="1880BB-M-15062"/>
    <n v="0"/>
    <s v="Platô"/>
    <x v="6"/>
    <x v="6"/>
    <x v="183"/>
    <n v="1"/>
    <n v="67"/>
    <n v="67"/>
    <m/>
    <m/>
    <m/>
    <m/>
    <m/>
    <n v="6.2729148643739631E-4"/>
    <n v="0"/>
  </r>
  <r>
    <s v="1880BB-M-15062"/>
    <n v="0"/>
    <s v="Platô"/>
    <x v="6"/>
    <x v="6"/>
    <x v="184"/>
    <n v="1"/>
    <n v="9"/>
    <n v="9"/>
    <m/>
    <m/>
    <m/>
    <m/>
    <m/>
    <n v="8.4263035491590545E-5"/>
    <n v="0"/>
  </r>
  <r>
    <s v="1880BB-M-15062"/>
    <n v="0"/>
    <s v="Platô"/>
    <x v="6"/>
    <x v="6"/>
    <x v="185"/>
    <n v="1"/>
    <n v="10"/>
    <n v="10"/>
    <m/>
    <m/>
    <m/>
    <m/>
    <m/>
    <n v="9.3625594990656163E-5"/>
    <n v="0"/>
  </r>
  <r>
    <s v="1880BB-M-15062"/>
    <n v="0"/>
    <s v="Platô"/>
    <x v="6"/>
    <x v="6"/>
    <x v="186"/>
    <n v="1"/>
    <n v="1"/>
    <n v="1"/>
    <m/>
    <m/>
    <m/>
    <m/>
    <m/>
    <n v="9.3625594990656159E-6"/>
    <n v="0"/>
  </r>
  <r>
    <s v="1880BB-M-15062"/>
    <n v="0"/>
    <s v="Platô"/>
    <x v="6"/>
    <x v="6"/>
    <x v="170"/>
    <n v="1"/>
    <n v="6"/>
    <n v="6"/>
    <m/>
    <m/>
    <m/>
    <m/>
    <m/>
    <n v="5.6175356994393692E-5"/>
    <n v="0"/>
  </r>
  <r>
    <s v="1880BB-M-15062"/>
    <n v="0"/>
    <s v="Platô"/>
    <x v="6"/>
    <x v="6"/>
    <x v="187"/>
    <n v="1"/>
    <n v="1"/>
    <n v="1"/>
    <m/>
    <m/>
    <m/>
    <m/>
    <m/>
    <n v="9.3625594990656159E-6"/>
    <n v="0"/>
  </r>
  <r>
    <s v="1880BB-M-15062"/>
    <n v="0"/>
    <s v="Platô"/>
    <x v="6"/>
    <x v="6"/>
    <x v="188"/>
    <n v="8"/>
    <n v="766"/>
    <n v="6128"/>
    <m/>
    <m/>
    <m/>
    <m/>
    <m/>
    <n v="5.7373764610274096E-2"/>
    <n v="0"/>
  </r>
  <r>
    <s v="1880BB-M-15062"/>
    <n v="0"/>
    <s v="Platô"/>
    <x v="6"/>
    <x v="6"/>
    <x v="189"/>
    <n v="32"/>
    <n v="48"/>
    <n v="1536"/>
    <m/>
    <m/>
    <n v="1"/>
    <n v="1"/>
    <m/>
    <n v="1.4380891390564785E-2"/>
    <n v="1.4380891390564785E-2"/>
  </r>
  <r>
    <s v="1880BB-M-15062"/>
    <n v="0"/>
    <s v="Platô"/>
    <x v="6"/>
    <x v="6"/>
    <x v="190"/>
    <n v="32"/>
    <n v="24"/>
    <n v="768"/>
    <m/>
    <m/>
    <m/>
    <m/>
    <m/>
    <n v="7.1904456952823926E-3"/>
    <n v="0"/>
  </r>
  <r>
    <s v="1880BB-M-15062"/>
    <n v="0"/>
    <s v="Platô"/>
    <x v="6"/>
    <x v="6"/>
    <x v="191"/>
    <n v="1"/>
    <n v="2"/>
    <n v="2"/>
    <m/>
    <m/>
    <m/>
    <m/>
    <m/>
    <n v="1.8725118998131232E-5"/>
    <n v="0"/>
  </r>
  <r>
    <s v="1880BB-M-15063"/>
    <n v="0"/>
    <s v="Platô"/>
    <x v="6"/>
    <x v="6"/>
    <x v="192"/>
    <n v="1"/>
    <n v="39"/>
    <n v="39"/>
    <m/>
    <m/>
    <m/>
    <m/>
    <m/>
    <n v="3.6513982046355902E-4"/>
    <n v="0"/>
  </r>
  <r>
    <s v="1880BB-M-15063"/>
    <n v="0"/>
    <s v="Platô"/>
    <x v="6"/>
    <x v="6"/>
    <x v="193"/>
    <n v="1"/>
    <n v="530"/>
    <n v="530"/>
    <m/>
    <m/>
    <m/>
    <m/>
    <m/>
    <n v="4.9621565345047761E-3"/>
    <n v="0"/>
  </r>
  <r>
    <s v="1880BB-M-15063"/>
    <n v="0"/>
    <s v="Platô"/>
    <x v="6"/>
    <x v="6"/>
    <x v="194"/>
    <n v="1"/>
    <n v="81"/>
    <n v="81"/>
    <m/>
    <m/>
    <m/>
    <m/>
    <m/>
    <n v="7.5836731942431493E-4"/>
    <n v="0"/>
  </r>
  <r>
    <s v="1880BB-M-15063"/>
    <n v="0"/>
    <s v="Platô"/>
    <x v="6"/>
    <x v="6"/>
    <x v="194"/>
    <n v="1"/>
    <n v="213"/>
    <n v="213"/>
    <m/>
    <m/>
    <m/>
    <m/>
    <m/>
    <n v="1.9942251733009761E-3"/>
    <n v="0"/>
  </r>
  <r>
    <s v="1880BB-M-15063"/>
    <n v="0"/>
    <s v="Platô"/>
    <x v="6"/>
    <x v="6"/>
    <x v="195"/>
    <n v="2"/>
    <n v="0.5"/>
    <n v="1"/>
    <m/>
    <m/>
    <m/>
    <m/>
    <m/>
    <n v="9.3625594990656159E-6"/>
    <n v="0"/>
  </r>
  <r>
    <s v="1880BB-M-15063"/>
    <n v="0"/>
    <s v="Platô"/>
    <x v="6"/>
    <x v="6"/>
    <x v="196"/>
    <n v="1"/>
    <n v="2230"/>
    <n v="2230"/>
    <m/>
    <m/>
    <m/>
    <m/>
    <m/>
    <n v="2.0878507682916322E-2"/>
    <n v="0"/>
  </r>
  <r>
    <s v="1880BB-M-15063"/>
    <n v="0"/>
    <s v="Platô"/>
    <x v="6"/>
    <x v="6"/>
    <x v="197"/>
    <n v="1"/>
    <n v="199"/>
    <n v="199"/>
    <m/>
    <m/>
    <m/>
    <m/>
    <m/>
    <n v="1.8631493403140575E-3"/>
    <n v="0"/>
  </r>
  <r>
    <s v="1880BB-M-15063"/>
    <n v="0"/>
    <s v="Platô"/>
    <x v="6"/>
    <x v="6"/>
    <x v="198"/>
    <n v="14"/>
    <n v="30"/>
    <n v="420"/>
    <m/>
    <m/>
    <m/>
    <m/>
    <m/>
    <n v="3.9322749896075586E-3"/>
    <n v="0"/>
  </r>
  <r>
    <s v="1880BB-M-15063"/>
    <n v="0"/>
    <s v="Platô"/>
    <x v="6"/>
    <x v="6"/>
    <x v="199"/>
    <n v="2"/>
    <n v="29"/>
    <n v="58"/>
    <m/>
    <m/>
    <m/>
    <m/>
    <m/>
    <n v="5.4302845094580574E-4"/>
    <n v="0"/>
  </r>
  <r>
    <s v="1880BB-M-15063"/>
    <n v="0"/>
    <s v="Platô"/>
    <x v="6"/>
    <x v="6"/>
    <x v="200"/>
    <n v="2"/>
    <n v="27"/>
    <n v="54"/>
    <m/>
    <m/>
    <m/>
    <m/>
    <m/>
    <n v="5.0557821294954322E-4"/>
    <n v="0"/>
  </r>
  <r>
    <s v="1880BB-M-15063"/>
    <n v="0"/>
    <s v="Platô"/>
    <x v="6"/>
    <x v="6"/>
    <x v="201"/>
    <n v="2"/>
    <n v="25"/>
    <n v="50"/>
    <m/>
    <m/>
    <m/>
    <m/>
    <m/>
    <n v="4.681279749532808E-4"/>
    <n v="0"/>
  </r>
  <r>
    <s v="1880BB-M-15063"/>
    <n v="0"/>
    <s v="Platô"/>
    <x v="6"/>
    <x v="6"/>
    <x v="202"/>
    <n v="2"/>
    <n v="23"/>
    <n v="46"/>
    <m/>
    <m/>
    <m/>
    <m/>
    <m/>
    <n v="4.3067773695701833E-4"/>
    <n v="0"/>
  </r>
  <r>
    <s v="1880BB-M-15063"/>
    <n v="0"/>
    <s v="Platô"/>
    <x v="6"/>
    <x v="6"/>
    <x v="203"/>
    <n v="2"/>
    <n v="21"/>
    <n v="42"/>
    <m/>
    <m/>
    <m/>
    <m/>
    <m/>
    <n v="3.9322749896075586E-4"/>
    <n v="0"/>
  </r>
  <r>
    <s v="1880BB-M-15063"/>
    <n v="0"/>
    <s v="Platô"/>
    <x v="6"/>
    <x v="6"/>
    <x v="204"/>
    <n v="1"/>
    <n v="229"/>
    <n v="229"/>
    <m/>
    <m/>
    <m/>
    <m/>
    <m/>
    <n v="2.1440261252860262E-3"/>
    <n v="0"/>
  </r>
  <r>
    <s v="1880BB-M-15063"/>
    <n v="0"/>
    <s v="Platô"/>
    <x v="6"/>
    <x v="6"/>
    <x v="205"/>
    <n v="1"/>
    <n v="1243"/>
    <n v="1243"/>
    <m/>
    <m/>
    <m/>
    <m/>
    <m/>
    <n v="1.163766145733856E-2"/>
    <n v="0"/>
  </r>
  <r>
    <s v="1880BB-M-15063"/>
    <n v="0"/>
    <s v="Platô"/>
    <x v="6"/>
    <x v="6"/>
    <x v="206"/>
    <n v="2"/>
    <n v="35"/>
    <n v="70"/>
    <m/>
    <m/>
    <m/>
    <m/>
    <m/>
    <n v="6.553791649345931E-4"/>
    <n v="0"/>
  </r>
  <r>
    <s v="1880BB-M-15063"/>
    <n v="0"/>
    <s v="Platô"/>
    <x v="6"/>
    <x v="6"/>
    <x v="207"/>
    <n v="2"/>
    <n v="34"/>
    <n v="68"/>
    <m/>
    <m/>
    <m/>
    <m/>
    <m/>
    <n v="6.3665404593646184E-4"/>
    <n v="0"/>
  </r>
  <r>
    <s v="1880BB-M-15063"/>
    <n v="0"/>
    <s v="Platô"/>
    <x v="6"/>
    <x v="6"/>
    <x v="208"/>
    <n v="3"/>
    <n v="33"/>
    <n v="99"/>
    <m/>
    <m/>
    <m/>
    <m/>
    <m/>
    <n v="9.2689339040749597E-4"/>
    <n v="0"/>
  </r>
  <r>
    <s v="1880BB-M-15063"/>
    <n v="0"/>
    <s v="Platô"/>
    <x v="6"/>
    <x v="6"/>
    <x v="209"/>
    <n v="10"/>
    <n v="7"/>
    <n v="70"/>
    <m/>
    <m/>
    <m/>
    <m/>
    <m/>
    <n v="6.553791649345931E-4"/>
    <n v="0"/>
  </r>
  <r>
    <s v="1880BB-M-15063"/>
    <n v="0"/>
    <s v="Platô"/>
    <x v="6"/>
    <x v="6"/>
    <x v="210"/>
    <n v="15"/>
    <n v="9"/>
    <n v="135"/>
    <m/>
    <m/>
    <m/>
    <m/>
    <m/>
    <n v="1.2639455323738581E-3"/>
    <n v="0"/>
  </r>
  <r>
    <s v="1880BB-M-15063"/>
    <n v="0"/>
    <s v="Platô"/>
    <x v="6"/>
    <x v="6"/>
    <x v="211"/>
    <n v="1"/>
    <n v="22"/>
    <n v="22"/>
    <m/>
    <m/>
    <m/>
    <m/>
    <m/>
    <n v="2.0597630897944356E-4"/>
    <n v="0"/>
  </r>
  <r>
    <s v="1880BB-M-15063"/>
    <n v="0"/>
    <s v="Platô"/>
    <x v="6"/>
    <x v="6"/>
    <x v="212"/>
    <n v="2"/>
    <n v="5"/>
    <n v="10"/>
    <m/>
    <m/>
    <m/>
    <m/>
    <m/>
    <n v="9.3625594990656163E-5"/>
    <n v="0"/>
  </r>
  <r>
    <s v="1880BB-M-15063"/>
    <n v="0"/>
    <s v="Platô"/>
    <x v="6"/>
    <x v="6"/>
    <x v="213"/>
    <n v="1"/>
    <n v="3"/>
    <n v="3"/>
    <m/>
    <m/>
    <m/>
    <m/>
    <m/>
    <n v="2.8087678497196846E-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EFD69-BF4D-43A3-A65C-7F49628CFD9D}" name="Tabela dinâ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4" firstHeaderRow="0"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Qtd. Fev." fld="30" baseField="6" baseItem="0" numFmtId="43"/>
    <dataField name="Soma de Qtd _x000a_Físico Acum. Anterior"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344AA3-E0DF-4914-A2A9-5EBD663AE123}" name="Tabela dinâmica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D6" firstHeaderRow="0" firstDataRow="1" firstDataCol="1"/>
  <pivotFields count="45">
    <pivotField showAll="0"/>
    <pivotField showAll="0"/>
    <pivotField axis="axisRow" showAll="0">
      <items count="4">
        <item h="1" sd="0" x="1"/>
        <item x="2"/>
        <item sd="0" x="0"/>
        <item t="default"/>
      </items>
    </pivotField>
    <pivotField showAll="0"/>
    <pivotField showAll="0"/>
    <pivotField showAll="0"/>
    <pivotField showAll="0">
      <items count="4">
        <item x="1"/>
        <item sd="0" x="2"/>
        <item x="0"/>
        <item t="default"/>
      </items>
    </pivotField>
    <pivotField showAll="0"/>
    <pivotField showAll="0"/>
    <pivotField showAll="0">
      <items count="96">
        <item x="4"/>
        <item x="78"/>
        <item x="79"/>
        <item x="80"/>
        <item x="81"/>
        <item x="82"/>
        <item x="83"/>
        <item x="84"/>
        <item x="85"/>
        <item x="86"/>
        <item x="5"/>
        <item x="6"/>
        <item x="7"/>
        <item x="8"/>
        <item x="9"/>
        <item x="10"/>
        <item x="11"/>
        <item x="12"/>
        <item x="13"/>
        <item x="87"/>
        <item x="88"/>
        <item x="89"/>
        <item x="71"/>
        <item x="72"/>
        <item x="73"/>
        <item x="74"/>
        <item x="75"/>
        <item x="3"/>
        <item x="54"/>
        <item x="53"/>
        <item x="94"/>
        <item x="15"/>
        <item x="16"/>
        <item x="17"/>
        <item x="18"/>
        <item x="19"/>
        <item x="2"/>
        <item x="1"/>
        <item x="14"/>
        <item x="24"/>
        <item x="21"/>
        <item x="25"/>
        <item x="22"/>
        <item x="26"/>
        <item x="23"/>
        <item x="57"/>
        <item x="27"/>
        <item x="58"/>
        <item x="28"/>
        <item x="56"/>
        <item x="62"/>
        <item x="59"/>
        <item x="63"/>
        <item x="60"/>
        <item x="64"/>
        <item x="61"/>
        <item x="68"/>
        <item x="65"/>
        <item x="69"/>
        <item x="66"/>
        <item x="70"/>
        <item x="67"/>
        <item x="76"/>
        <item x="77"/>
        <item x="29"/>
        <item x="30"/>
        <item x="31"/>
        <item x="32"/>
        <item x="33"/>
        <item x="34"/>
        <item x="35"/>
        <item x="36"/>
        <item x="37"/>
        <item x="38"/>
        <item x="39"/>
        <item x="40"/>
        <item x="41"/>
        <item x="42"/>
        <item x="43"/>
        <item x="44"/>
        <item x="45"/>
        <item x="46"/>
        <item x="48"/>
        <item x="49"/>
        <item x="50"/>
        <item x="51"/>
        <item x="52"/>
        <item x="47"/>
        <item x="55"/>
        <item x="91"/>
        <item x="92"/>
        <item x="93"/>
        <item x="20"/>
        <item x="90"/>
        <item x="0"/>
        <item t="default"/>
      </items>
    </pivotField>
    <pivotField showAll="0">
      <items count="5">
        <item x="1"/>
        <item x="2"/>
        <item x="3"/>
        <item sd="0"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v="1"/>
    </i>
    <i>
      <x v="2"/>
    </i>
    <i t="grand">
      <x/>
    </i>
  </rowItems>
  <colFields count="1">
    <field x="-2"/>
  </colFields>
  <colItems count="3">
    <i>
      <x/>
    </i>
    <i i="1">
      <x v="1"/>
    </i>
    <i i="2">
      <x v="2"/>
    </i>
  </colItems>
  <dataFields count="3">
    <dataField name="Peso Total (m)" fld="19" baseField="2" baseItem="1"/>
    <dataField name="Qtd. Fisico (m)" fld="28" baseField="2" baseItem="1"/>
    <dataField name="Teste hidrostático " fld="27" baseField="2" baseItem="1"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6C1F14-1F11-4365-BC4B-A158E8D2F3C9}" name="Tabela dinâmica3"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Descrição">
  <location ref="A3:D11" firstHeaderRow="0" firstDataRow="1" firstDataCol="1"/>
  <pivotFields count="16">
    <pivotField showAll="0"/>
    <pivotField showAll="0"/>
    <pivotField showAll="0"/>
    <pivotField axis="axisRow" showAll="0">
      <items count="8">
        <item x="2"/>
        <item x="4"/>
        <item x="5"/>
        <item x="3"/>
        <item x="6"/>
        <item x="1"/>
        <item x="0"/>
        <item t="default"/>
      </items>
    </pivotField>
    <pivotField showAll="0">
      <items count="8">
        <item x="2"/>
        <item x="4"/>
        <item x="5"/>
        <item x="3"/>
        <item x="6"/>
        <item x="1"/>
        <item x="0"/>
        <item t="default"/>
      </items>
    </pivotField>
    <pivotField showAll="0">
      <items count="215">
        <item x="118"/>
        <item x="124"/>
        <item x="113"/>
        <item x="121"/>
        <item x="97"/>
        <item x="95"/>
        <item x="50"/>
        <item x="195"/>
        <item x="27"/>
        <item x="98"/>
        <item x="94"/>
        <item x="99"/>
        <item x="93"/>
        <item x="101"/>
        <item x="63"/>
        <item x="67"/>
        <item x="62"/>
        <item x="36"/>
        <item x="78"/>
        <item x="192"/>
        <item x="190"/>
        <item x="188"/>
        <item x="184"/>
        <item x="185"/>
        <item x="189"/>
        <item x="180"/>
        <item x="178"/>
        <item x="182"/>
        <item x="183"/>
        <item x="179"/>
        <item x="181"/>
        <item x="176"/>
        <item x="177"/>
        <item x="193"/>
        <item x="204"/>
        <item x="211"/>
        <item x="208"/>
        <item x="207"/>
        <item x="206"/>
        <item x="212"/>
        <item x="209"/>
        <item x="210"/>
        <item x="213"/>
        <item x="203"/>
        <item x="202"/>
        <item x="201"/>
        <item x="200"/>
        <item x="199"/>
        <item x="198"/>
        <item x="175"/>
        <item x="194"/>
        <item x="197"/>
        <item x="205"/>
        <item x="196"/>
        <item x="25"/>
        <item x="26"/>
        <item x="11"/>
        <item x="12"/>
        <item x="28"/>
        <item x="4"/>
        <item x="1"/>
        <item x="0"/>
        <item x="29"/>
        <item x="30"/>
        <item x="5"/>
        <item x="6"/>
        <item x="3"/>
        <item x="2"/>
        <item x="16"/>
        <item x="13"/>
        <item x="24"/>
        <item x="160"/>
        <item x="135"/>
        <item x="171"/>
        <item x="158"/>
        <item x="159"/>
        <item x="174"/>
        <item x="137"/>
        <item x="136"/>
        <item x="134"/>
        <item x="133"/>
        <item x="145"/>
        <item x="131"/>
        <item x="132"/>
        <item x="140"/>
        <item x="139"/>
        <item x="129"/>
        <item x="130"/>
        <item x="128"/>
        <item x="138"/>
        <item x="127"/>
        <item x="167"/>
        <item x="155"/>
        <item x="146"/>
        <item x="55"/>
        <item x="91"/>
        <item x="83"/>
        <item x="84"/>
        <item x="81"/>
        <item x="53"/>
        <item x="68"/>
        <item x="105"/>
        <item x="109"/>
        <item x="52"/>
        <item x="49"/>
        <item x="70"/>
        <item x="31"/>
        <item x="33"/>
        <item x="32"/>
        <item x="65"/>
        <item x="40"/>
        <item x="102"/>
        <item x="57"/>
        <item x="56"/>
        <item x="43"/>
        <item x="46"/>
        <item x="37"/>
        <item x="64"/>
        <item x="66"/>
        <item x="107"/>
        <item x="51"/>
        <item x="104"/>
        <item x="69"/>
        <item x="75"/>
        <item x="77"/>
        <item x="35"/>
        <item x="79"/>
        <item x="103"/>
        <item x="34"/>
        <item x="82"/>
        <item x="90"/>
        <item x="48"/>
        <item x="80"/>
        <item x="143"/>
        <item x="72"/>
        <item x="165"/>
        <item x="154"/>
        <item x="157"/>
        <item x="162"/>
        <item x="173"/>
        <item x="151"/>
        <item x="150"/>
        <item x="170"/>
        <item x="144"/>
        <item x="18"/>
        <item x="15"/>
        <item x="10"/>
        <item x="22"/>
        <item x="106"/>
        <item x="45"/>
        <item x="61"/>
        <item x="59"/>
        <item x="42"/>
        <item x="85"/>
        <item x="74"/>
        <item x="39"/>
        <item x="191"/>
        <item x="163"/>
        <item x="148"/>
        <item x="147"/>
        <item x="164"/>
        <item x="125"/>
        <item x="116"/>
        <item x="122"/>
        <item x="119"/>
        <item x="126"/>
        <item x="111"/>
        <item x="76"/>
        <item x="117"/>
        <item x="123"/>
        <item x="120"/>
        <item x="112"/>
        <item x="108"/>
        <item x="114"/>
        <item x="92"/>
        <item x="71"/>
        <item x="115"/>
        <item x="187"/>
        <item x="166"/>
        <item x="153"/>
        <item x="156"/>
        <item x="161"/>
        <item x="172"/>
        <item x="168"/>
        <item x="149"/>
        <item x="152"/>
        <item x="186"/>
        <item x="169"/>
        <item x="141"/>
        <item x="142"/>
        <item x="17"/>
        <item x="14"/>
        <item x="23"/>
        <item x="9"/>
        <item x="21"/>
        <item x="96"/>
        <item x="100"/>
        <item x="54"/>
        <item x="60"/>
        <item x="58"/>
        <item x="41"/>
        <item x="88"/>
        <item x="89"/>
        <item x="87"/>
        <item x="86"/>
        <item x="73"/>
        <item x="44"/>
        <item x="38"/>
        <item x="47"/>
        <item x="110"/>
        <item x="8"/>
        <item x="7"/>
        <item x="19"/>
        <item x="20"/>
        <item t="default"/>
      </items>
    </pivotField>
    <pivotField showAll="0"/>
    <pivotField showAll="0"/>
    <pivotField dataField="1" numFmtId="43" showAll="0"/>
    <pivotField showAll="0"/>
    <pivotField showAll="0"/>
    <pivotField showAll="0"/>
    <pivotField showAll="0"/>
    <pivotField showAll="0"/>
    <pivotField dataField="1" numFmtId="10" showAll="0"/>
    <pivotField dataField="1" numFmtId="10" showAll="0"/>
  </pivotFields>
  <rowFields count="1">
    <field x="3"/>
  </rowFields>
  <rowItems count="8">
    <i>
      <x/>
    </i>
    <i>
      <x v="1"/>
    </i>
    <i>
      <x v="2"/>
    </i>
    <i>
      <x v="3"/>
    </i>
    <i>
      <x v="4"/>
    </i>
    <i>
      <x v="5"/>
    </i>
    <i>
      <x v="6"/>
    </i>
    <i t="grand">
      <x/>
    </i>
  </rowItems>
  <colFields count="1">
    <field x="-2"/>
  </colFields>
  <colItems count="3">
    <i>
      <x/>
    </i>
    <i i="1">
      <x v="1"/>
    </i>
    <i i="2">
      <x v="2"/>
    </i>
  </colItems>
  <dataFields count="3">
    <dataField name="Soma de Peso Total _x000a_(kg / m)" fld="8" baseField="0" baseItem="0" numFmtId="4"/>
    <dataField name="Soma de Total Geral %" fld="14" baseField="0" baseItem="0" numFmtId="10"/>
    <dataField name="Soma de Total Geral Avançado %" fld="15" baseField="0" baseItem="0" numFmtId="10"/>
  </dataFields>
  <formats count="11">
    <format dxfId="11">
      <pivotArea field="3" type="button" dataOnly="0" labelOnly="1" outline="0" axis="axisRow" fieldPosition="0"/>
    </format>
    <format dxfId="10">
      <pivotArea dataOnly="0" labelOnly="1" outline="0" fieldPosition="0">
        <references count="1">
          <reference field="4294967294" count="3">
            <x v="0"/>
            <x v="1"/>
            <x v="2"/>
          </reference>
        </references>
      </pivotArea>
    </format>
    <format dxfId="9">
      <pivotArea field="3" type="button" dataOnly="0" labelOnly="1" outline="0" axis="axisRow" fieldPosition="0"/>
    </format>
    <format dxfId="8">
      <pivotArea dataOnly="0" labelOnly="1" outline="0" fieldPosition="0">
        <references count="1">
          <reference field="4294967294" count="3">
            <x v="0"/>
            <x v="1"/>
            <x v="2"/>
          </reference>
        </references>
      </pivotArea>
    </format>
    <format dxfId="7">
      <pivotArea field="3" type="button" dataOnly="0" labelOnly="1" outline="0" axis="axisRow" fieldPosition="0"/>
    </format>
    <format dxfId="6">
      <pivotArea dataOnly="0" labelOnly="1" outline="0" fieldPosition="0">
        <references count="1">
          <reference field="4294967294" count="1">
            <x v="0"/>
          </reference>
        </references>
      </pivotArea>
    </format>
    <format dxfId="5">
      <pivotArea dataOnly="0" labelOnly="1" outline="0" fieldPosition="0">
        <references count="1">
          <reference field="4294967294" count="1">
            <x v="1"/>
          </reference>
        </references>
      </pivotArea>
    </format>
    <format dxfId="4">
      <pivotArea dataOnly="0" labelOnly="1" outline="0" fieldPosition="0">
        <references count="1">
          <reference field="4294967294" count="1">
            <x v="2"/>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98B170-DAA1-4CEE-88B2-472D1D2345F6}" name="Tabela dinâ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6" firstHeaderRow="1" firstDataRow="1" firstDataCol="1"/>
  <pivotFields count="18">
    <pivotField axis="axisRow" showAll="0">
      <items count="3">
        <item x="1"/>
        <item x="0"/>
        <item t="default"/>
      </items>
    </pivotField>
    <pivotField showAll="0"/>
    <pivotField showAll="0"/>
    <pivotField showAll="0">
      <items count="3">
        <item x="1"/>
        <item x="0"/>
        <item t="default"/>
      </items>
    </pivotField>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oma de COMPRIMENTO"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7F4F-5B68-4BE3-BB25-B0A991AE9477}">
  <sheetPr>
    <tabColor rgb="FF04745F"/>
    <pageSetUpPr fitToPage="1"/>
  </sheetPr>
  <dimension ref="A1:Q794"/>
  <sheetViews>
    <sheetView showGridLines="0" topLeftCell="C1" zoomScaleNormal="100" zoomScaleSheetLayoutView="100" workbookViewId="0">
      <pane ySplit="7" topLeftCell="A752" activePane="bottomLeft" state="frozen"/>
      <selection activeCell="B23" sqref="B23"/>
      <selection pane="bottomLeft" activeCell="B23" sqref="B23"/>
    </sheetView>
  </sheetViews>
  <sheetFormatPr defaultRowHeight="11.25" x14ac:dyDescent="0.25"/>
  <cols>
    <col min="1" max="1" width="8.7109375" style="396" customWidth="1"/>
    <col min="2" max="2" width="63.85546875" style="96" customWidth="1"/>
    <col min="3" max="3" width="6.140625" style="96" bestFit="1" customWidth="1"/>
    <col min="4" max="4" width="3.85546875" style="96" bestFit="1" customWidth="1"/>
    <col min="5" max="6" width="2.7109375" style="96" bestFit="1" customWidth="1"/>
    <col min="7" max="7" width="2.85546875" style="96" bestFit="1" customWidth="1"/>
    <col min="8" max="8" width="3.7109375" style="96" bestFit="1" customWidth="1"/>
    <col min="9" max="9" width="9" style="96" bestFit="1" customWidth="1"/>
    <col min="10" max="10" width="12.42578125" style="96" customWidth="1"/>
    <col min="11" max="11" width="11" style="398" bestFit="1" customWidth="1"/>
    <col min="12" max="12" width="9" style="96" bestFit="1" customWidth="1"/>
    <col min="13" max="13" width="10.7109375" style="96" bestFit="1" customWidth="1"/>
    <col min="14" max="14" width="11" style="96" bestFit="1" customWidth="1"/>
    <col min="15" max="15" width="9" style="96" bestFit="1" customWidth="1"/>
    <col min="16" max="16" width="10.7109375" style="96" bestFit="1" customWidth="1"/>
    <col min="17" max="17" width="11" style="96" bestFit="1" customWidth="1"/>
    <col min="18" max="16384" width="9.140625" style="96"/>
  </cols>
  <sheetData>
    <row r="1" spans="1:17" ht="33.75" customHeight="1" x14ac:dyDescent="0.25">
      <c r="A1" s="448" t="s">
        <v>7055</v>
      </c>
      <c r="B1" s="449"/>
      <c r="C1" s="449"/>
      <c r="D1" s="449"/>
      <c r="E1" s="449"/>
      <c r="F1" s="449"/>
      <c r="G1" s="449"/>
      <c r="H1" s="449"/>
      <c r="I1" s="449"/>
      <c r="J1" s="449"/>
      <c r="K1" s="449"/>
      <c r="L1" s="449"/>
      <c r="M1" s="449"/>
      <c r="N1" s="450"/>
      <c r="O1" s="451" t="s">
        <v>7056</v>
      </c>
      <c r="P1" s="452"/>
      <c r="Q1" s="453"/>
    </row>
    <row r="2" spans="1:17" ht="12" customHeight="1" x14ac:dyDescent="0.25">
      <c r="A2" s="454" t="s">
        <v>7057</v>
      </c>
      <c r="B2" s="455"/>
      <c r="C2" s="455"/>
      <c r="D2" s="455"/>
      <c r="E2" s="455"/>
      <c r="F2" s="455"/>
      <c r="G2" s="455"/>
      <c r="H2" s="455"/>
      <c r="I2" s="455"/>
      <c r="J2" s="455"/>
      <c r="K2" s="455"/>
      <c r="L2" s="455"/>
      <c r="M2" s="455"/>
      <c r="N2" s="456"/>
      <c r="O2" s="457" t="s">
        <v>7058</v>
      </c>
      <c r="P2" s="458"/>
      <c r="Q2" s="459"/>
    </row>
    <row r="3" spans="1:17" ht="12" customHeight="1" x14ac:dyDescent="0.25">
      <c r="A3" s="460" t="s">
        <v>7059</v>
      </c>
      <c r="B3" s="461"/>
      <c r="C3" s="461"/>
      <c r="D3" s="461"/>
      <c r="E3" s="461"/>
      <c r="F3" s="461"/>
      <c r="G3" s="461"/>
      <c r="H3" s="461"/>
      <c r="I3" s="461"/>
      <c r="J3" s="461"/>
      <c r="K3" s="461"/>
      <c r="L3" s="461"/>
      <c r="M3" s="461"/>
      <c r="N3" s="462"/>
      <c r="O3" s="466" t="s">
        <v>7060</v>
      </c>
      <c r="P3" s="467"/>
      <c r="Q3" s="468"/>
    </row>
    <row r="4" spans="1:17" ht="12" customHeight="1" x14ac:dyDescent="0.25">
      <c r="A4" s="460"/>
      <c r="B4" s="461"/>
      <c r="C4" s="461"/>
      <c r="D4" s="461"/>
      <c r="E4" s="461"/>
      <c r="F4" s="461"/>
      <c r="G4" s="461"/>
      <c r="H4" s="461"/>
      <c r="I4" s="461"/>
      <c r="J4" s="461"/>
      <c r="K4" s="461"/>
      <c r="L4" s="461"/>
      <c r="M4" s="461"/>
      <c r="N4" s="462"/>
      <c r="O4" s="457" t="s">
        <v>7061</v>
      </c>
      <c r="P4" s="458"/>
      <c r="Q4" s="459"/>
    </row>
    <row r="5" spans="1:17" ht="12" customHeight="1" x14ac:dyDescent="0.25">
      <c r="A5" s="463"/>
      <c r="B5" s="464"/>
      <c r="C5" s="464"/>
      <c r="D5" s="464"/>
      <c r="E5" s="464"/>
      <c r="F5" s="464"/>
      <c r="G5" s="464"/>
      <c r="H5" s="464"/>
      <c r="I5" s="464"/>
      <c r="J5" s="464"/>
      <c r="K5" s="464"/>
      <c r="L5" s="464"/>
      <c r="M5" s="464"/>
      <c r="N5" s="465"/>
      <c r="O5" s="457" t="s">
        <v>7062</v>
      </c>
      <c r="P5" s="458"/>
      <c r="Q5" s="459"/>
    </row>
    <row r="6" spans="1:17" ht="12" customHeight="1" x14ac:dyDescent="0.25">
      <c r="A6" s="440" t="s">
        <v>34</v>
      </c>
      <c r="B6" s="441" t="s">
        <v>38</v>
      </c>
      <c r="C6" s="441" t="s">
        <v>7063</v>
      </c>
      <c r="D6" s="442" t="s">
        <v>7064</v>
      </c>
      <c r="E6" s="443"/>
      <c r="F6" s="443"/>
      <c r="G6" s="443"/>
      <c r="H6" s="444"/>
      <c r="I6" s="439" t="s">
        <v>7065</v>
      </c>
      <c r="J6" s="439"/>
      <c r="K6" s="439"/>
      <c r="L6" s="439" t="s">
        <v>7066</v>
      </c>
      <c r="M6" s="439"/>
      <c r="N6" s="439"/>
      <c r="O6" s="439" t="s">
        <v>7067</v>
      </c>
      <c r="P6" s="439"/>
      <c r="Q6" s="439"/>
    </row>
    <row r="7" spans="1:17" x14ac:dyDescent="0.25">
      <c r="A7" s="440"/>
      <c r="B7" s="441"/>
      <c r="C7" s="441"/>
      <c r="D7" s="445"/>
      <c r="E7" s="446"/>
      <c r="F7" s="446"/>
      <c r="G7" s="446"/>
      <c r="H7" s="447"/>
      <c r="I7" s="97" t="s">
        <v>7068</v>
      </c>
      <c r="J7" s="98" t="s">
        <v>7069</v>
      </c>
      <c r="K7" s="98" t="s">
        <v>7070</v>
      </c>
      <c r="L7" s="97" t="s">
        <v>7068</v>
      </c>
      <c r="M7" s="98" t="s">
        <v>7069</v>
      </c>
      <c r="N7" s="98" t="s">
        <v>7070</v>
      </c>
      <c r="O7" s="97" t="s">
        <v>7068</v>
      </c>
      <c r="P7" s="98" t="s">
        <v>7069</v>
      </c>
      <c r="Q7" s="98" t="s">
        <v>7070</v>
      </c>
    </row>
    <row r="8" spans="1:17" x14ac:dyDescent="0.25">
      <c r="A8" s="99" t="s">
        <v>4250</v>
      </c>
      <c r="B8" s="99" t="s">
        <v>7071</v>
      </c>
      <c r="C8" s="100"/>
      <c r="D8" s="101"/>
      <c r="E8" s="102"/>
      <c r="F8" s="103"/>
      <c r="G8" s="103"/>
      <c r="H8" s="104"/>
      <c r="I8" s="105"/>
      <c r="J8" s="106"/>
      <c r="K8" s="107"/>
      <c r="L8" s="105"/>
      <c r="M8" s="106"/>
      <c r="N8" s="107"/>
      <c r="O8" s="105"/>
      <c r="P8" s="106"/>
      <c r="Q8" s="107"/>
    </row>
    <row r="9" spans="1:17" x14ac:dyDescent="0.25">
      <c r="A9" s="108" t="s">
        <v>7072</v>
      </c>
      <c r="B9" s="108" t="s">
        <v>7073</v>
      </c>
      <c r="C9" s="109"/>
      <c r="D9" s="109"/>
      <c r="E9" s="110"/>
      <c r="F9" s="111"/>
      <c r="G9" s="111"/>
      <c r="H9" s="112"/>
      <c r="I9" s="113"/>
      <c r="J9" s="114"/>
      <c r="K9" s="115"/>
      <c r="L9" s="113"/>
      <c r="M9" s="114"/>
      <c r="N9" s="115"/>
      <c r="O9" s="113"/>
      <c r="P9" s="114"/>
      <c r="Q9" s="115"/>
    </row>
    <row r="10" spans="1:17" x14ac:dyDescent="0.25">
      <c r="A10" s="116" t="s">
        <v>7074</v>
      </c>
      <c r="B10" s="116" t="s">
        <v>7075</v>
      </c>
      <c r="C10" s="117"/>
      <c r="D10" s="117"/>
      <c r="E10" s="118"/>
      <c r="F10" s="119"/>
      <c r="G10" s="119"/>
      <c r="H10" s="120"/>
      <c r="I10" s="121"/>
      <c r="J10" s="122"/>
      <c r="K10" s="123"/>
      <c r="L10" s="121"/>
      <c r="M10" s="122"/>
      <c r="N10" s="123"/>
      <c r="O10" s="121"/>
      <c r="P10" s="122"/>
      <c r="Q10" s="123"/>
    </row>
    <row r="11" spans="1:17" x14ac:dyDescent="0.25">
      <c r="A11" s="124" t="s">
        <v>7076</v>
      </c>
      <c r="B11" s="124" t="s">
        <v>7077</v>
      </c>
      <c r="C11" s="125"/>
      <c r="D11" s="125"/>
      <c r="E11" s="126"/>
      <c r="F11" s="127"/>
      <c r="G11" s="127"/>
      <c r="H11" s="128"/>
      <c r="I11" s="129"/>
      <c r="J11" s="130"/>
      <c r="K11" s="131"/>
      <c r="L11" s="129"/>
      <c r="M11" s="130"/>
      <c r="N11" s="131"/>
      <c r="O11" s="129"/>
      <c r="P11" s="130"/>
      <c r="Q11" s="131"/>
    </row>
    <row r="12" spans="1:17" x14ac:dyDescent="0.25">
      <c r="A12" s="132" t="s">
        <v>44</v>
      </c>
      <c r="B12" s="132" t="s">
        <v>7078</v>
      </c>
      <c r="C12" s="133" t="s">
        <v>48</v>
      </c>
      <c r="D12" s="133" t="s">
        <v>1</v>
      </c>
      <c r="E12" s="134" t="s">
        <v>7079</v>
      </c>
      <c r="F12" s="134">
        <v>5</v>
      </c>
      <c r="G12" s="134">
        <v>20</v>
      </c>
      <c r="H12" s="135">
        <v>1</v>
      </c>
      <c r="I12" s="136">
        <v>1</v>
      </c>
      <c r="J12" s="137">
        <v>176793.29</v>
      </c>
      <c r="K12" s="138">
        <f>ROUND(I12*J12,2)</f>
        <v>176793.29</v>
      </c>
      <c r="L12" s="136"/>
      <c r="M12" s="137"/>
      <c r="N12" s="138"/>
      <c r="O12" s="136">
        <f>SUM(L12,I12)</f>
        <v>1</v>
      </c>
      <c r="P12" s="137">
        <f>IF(M12&lt;&gt;"",M12,J12)</f>
        <v>176793.29</v>
      </c>
      <c r="Q12" s="138">
        <f>ROUND(O12*P12,2)</f>
        <v>176793.29</v>
      </c>
    </row>
    <row r="13" spans="1:17" x14ac:dyDescent="0.25">
      <c r="A13" s="132" t="s">
        <v>50</v>
      </c>
      <c r="B13" s="132" t="s">
        <v>7080</v>
      </c>
      <c r="C13" s="133" t="s">
        <v>48</v>
      </c>
      <c r="D13" s="133" t="s">
        <v>1</v>
      </c>
      <c r="E13" s="134" t="s">
        <v>7079</v>
      </c>
      <c r="F13" s="134">
        <v>5</v>
      </c>
      <c r="G13" s="134">
        <v>20</v>
      </c>
      <c r="H13" s="135">
        <v>2</v>
      </c>
      <c r="I13" s="136">
        <v>1</v>
      </c>
      <c r="J13" s="137">
        <v>26287</v>
      </c>
      <c r="K13" s="138">
        <f t="shared" ref="K13:K71" si="0">ROUND(I13*J13,2)</f>
        <v>26287</v>
      </c>
      <c r="L13" s="136"/>
      <c r="M13" s="137"/>
      <c r="N13" s="138"/>
      <c r="O13" s="136">
        <f>SUM(L13,I13)</f>
        <v>1</v>
      </c>
      <c r="P13" s="137">
        <f>IF(M13&lt;&gt;"",M13,J13)</f>
        <v>26287</v>
      </c>
      <c r="Q13" s="138">
        <f>ROUND(O13*P13,2)</f>
        <v>26287</v>
      </c>
    </row>
    <row r="14" spans="1:17" x14ac:dyDescent="0.25">
      <c r="A14" s="139" t="s">
        <v>7081</v>
      </c>
      <c r="B14" s="139" t="s">
        <v>7082</v>
      </c>
      <c r="C14" s="140"/>
      <c r="D14" s="140"/>
      <c r="E14" s="141"/>
      <c r="F14" s="142"/>
      <c r="G14" s="142"/>
      <c r="H14" s="143"/>
      <c r="I14" s="144"/>
      <c r="J14" s="145" t="s">
        <v>7083</v>
      </c>
      <c r="K14" s="146"/>
      <c r="L14" s="144"/>
      <c r="M14" s="145" t="s">
        <v>7083</v>
      </c>
      <c r="N14" s="146"/>
      <c r="O14" s="144"/>
      <c r="P14" s="145" t="s">
        <v>7083</v>
      </c>
      <c r="Q14" s="146"/>
    </row>
    <row r="15" spans="1:17" x14ac:dyDescent="0.25">
      <c r="A15" s="147" t="s">
        <v>7084</v>
      </c>
      <c r="B15" s="147" t="s">
        <v>7085</v>
      </c>
      <c r="C15" s="148"/>
      <c r="D15" s="148"/>
      <c r="E15" s="149"/>
      <c r="F15" s="149"/>
      <c r="G15" s="149"/>
      <c r="H15" s="150"/>
      <c r="I15" s="151"/>
      <c r="J15" s="152" t="s">
        <v>7083</v>
      </c>
      <c r="K15" s="153"/>
      <c r="L15" s="151"/>
      <c r="M15" s="152" t="s">
        <v>7083</v>
      </c>
      <c r="N15" s="153"/>
      <c r="O15" s="151"/>
      <c r="P15" s="152" t="s">
        <v>7083</v>
      </c>
      <c r="Q15" s="153"/>
    </row>
    <row r="16" spans="1:17" x14ac:dyDescent="0.25">
      <c r="A16" s="132" t="s">
        <v>7086</v>
      </c>
      <c r="B16" s="132" t="s">
        <v>7087</v>
      </c>
      <c r="C16" s="133" t="s">
        <v>48</v>
      </c>
      <c r="D16" s="133" t="s">
        <v>1</v>
      </c>
      <c r="E16" s="134" t="s">
        <v>7079</v>
      </c>
      <c r="F16" s="134">
        <v>50</v>
      </c>
      <c r="G16" s="134">
        <v>50</v>
      </c>
      <c r="H16" s="135">
        <v>50</v>
      </c>
      <c r="I16" s="136">
        <v>1</v>
      </c>
      <c r="J16" s="137">
        <v>6643321.5800000001</v>
      </c>
      <c r="K16" s="138">
        <f t="shared" si="0"/>
        <v>6643321.5800000001</v>
      </c>
      <c r="L16" s="136"/>
      <c r="M16" s="137"/>
      <c r="N16" s="138"/>
      <c r="O16" s="136">
        <f>SUM(L16,I16)</f>
        <v>1</v>
      </c>
      <c r="P16" s="137">
        <f>IF(M16&lt;&gt;"",M16,J16)</f>
        <v>6643321.5800000001</v>
      </c>
      <c r="Q16" s="138">
        <f>ROUND(O16*P16,2)</f>
        <v>6643321.5800000001</v>
      </c>
    </row>
    <row r="17" spans="1:17" x14ac:dyDescent="0.25">
      <c r="A17" s="147" t="s">
        <v>7088</v>
      </c>
      <c r="B17" s="147" t="s">
        <v>7089</v>
      </c>
      <c r="C17" s="148"/>
      <c r="D17" s="148"/>
      <c r="E17" s="149"/>
      <c r="F17" s="149"/>
      <c r="G17" s="149"/>
      <c r="H17" s="150"/>
      <c r="I17" s="151"/>
      <c r="J17" s="152" t="s">
        <v>7083</v>
      </c>
      <c r="K17" s="153"/>
      <c r="L17" s="151"/>
      <c r="M17" s="152" t="s">
        <v>7083</v>
      </c>
      <c r="N17" s="153"/>
      <c r="O17" s="151"/>
      <c r="P17" s="152" t="s">
        <v>7083</v>
      </c>
      <c r="Q17" s="153"/>
    </row>
    <row r="18" spans="1:17" x14ac:dyDescent="0.25">
      <c r="A18" s="132" t="s">
        <v>7090</v>
      </c>
      <c r="B18" s="132" t="s">
        <v>7091</v>
      </c>
      <c r="C18" s="133" t="s">
        <v>48</v>
      </c>
      <c r="D18" s="133" t="s">
        <v>1</v>
      </c>
      <c r="E18" s="134" t="s">
        <v>7079</v>
      </c>
      <c r="F18" s="134">
        <v>5</v>
      </c>
      <c r="G18" s="134">
        <v>5</v>
      </c>
      <c r="H18" s="135">
        <v>100</v>
      </c>
      <c r="I18" s="136">
        <v>1</v>
      </c>
      <c r="J18" s="137">
        <v>1301170.19</v>
      </c>
      <c r="K18" s="138">
        <f t="shared" si="0"/>
        <v>1301170.19</v>
      </c>
      <c r="L18" s="136"/>
      <c r="M18" s="137"/>
      <c r="N18" s="138"/>
      <c r="O18" s="136">
        <f t="shared" ref="O18:O21" si="1">SUM(L18,I18)</f>
        <v>1</v>
      </c>
      <c r="P18" s="137">
        <f t="shared" ref="P18:P21" si="2">IF(M18&lt;&gt;"",M18,J18)</f>
        <v>1301170.19</v>
      </c>
      <c r="Q18" s="138">
        <f t="shared" ref="Q18:Q21" si="3">ROUND(O18*P18,2)</f>
        <v>1301170.19</v>
      </c>
    </row>
    <row r="19" spans="1:17" x14ac:dyDescent="0.25">
      <c r="A19" s="132" t="s">
        <v>7092</v>
      </c>
      <c r="B19" s="132" t="s">
        <v>7093</v>
      </c>
      <c r="C19" s="133" t="s">
        <v>48</v>
      </c>
      <c r="D19" s="133" t="s">
        <v>1</v>
      </c>
      <c r="E19" s="134" t="s">
        <v>7079</v>
      </c>
      <c r="F19" s="134">
        <v>5</v>
      </c>
      <c r="G19" s="134">
        <v>5</v>
      </c>
      <c r="H19" s="135">
        <v>100</v>
      </c>
      <c r="I19" s="136">
        <v>1</v>
      </c>
      <c r="J19" s="137">
        <v>532538.97</v>
      </c>
      <c r="K19" s="138">
        <f t="shared" si="0"/>
        <v>532538.97</v>
      </c>
      <c r="L19" s="136"/>
      <c r="M19" s="137"/>
      <c r="N19" s="138"/>
      <c r="O19" s="136">
        <f t="shared" si="1"/>
        <v>1</v>
      </c>
      <c r="P19" s="137">
        <f t="shared" si="2"/>
        <v>532538.97</v>
      </c>
      <c r="Q19" s="138">
        <f t="shared" si="3"/>
        <v>532538.97</v>
      </c>
    </row>
    <row r="20" spans="1:17" x14ac:dyDescent="0.25">
      <c r="A20" s="132" t="s">
        <v>7094</v>
      </c>
      <c r="B20" s="132" t="s">
        <v>7095</v>
      </c>
      <c r="C20" s="133" t="s">
        <v>48</v>
      </c>
      <c r="D20" s="133" t="s">
        <v>1</v>
      </c>
      <c r="E20" s="134" t="s">
        <v>7079</v>
      </c>
      <c r="F20" s="134">
        <v>5</v>
      </c>
      <c r="G20" s="134">
        <v>5</v>
      </c>
      <c r="H20" s="135">
        <v>200</v>
      </c>
      <c r="I20" s="136">
        <v>1</v>
      </c>
      <c r="J20" s="137">
        <v>69532.78</v>
      </c>
      <c r="K20" s="138">
        <f t="shared" si="0"/>
        <v>69532.78</v>
      </c>
      <c r="L20" s="136"/>
      <c r="M20" s="137"/>
      <c r="N20" s="138"/>
      <c r="O20" s="136">
        <f t="shared" si="1"/>
        <v>1</v>
      </c>
      <c r="P20" s="137">
        <f t="shared" si="2"/>
        <v>69532.78</v>
      </c>
      <c r="Q20" s="138">
        <f t="shared" si="3"/>
        <v>69532.78</v>
      </c>
    </row>
    <row r="21" spans="1:17" x14ac:dyDescent="0.25">
      <c r="A21" s="132" t="s">
        <v>7096</v>
      </c>
      <c r="B21" s="132" t="s">
        <v>7097</v>
      </c>
      <c r="C21" s="133" t="s">
        <v>48</v>
      </c>
      <c r="D21" s="133" t="s">
        <v>1</v>
      </c>
      <c r="E21" s="134" t="s">
        <v>7079</v>
      </c>
      <c r="F21" s="134">
        <v>5</v>
      </c>
      <c r="G21" s="134">
        <v>5</v>
      </c>
      <c r="H21" s="135">
        <v>200</v>
      </c>
      <c r="I21" s="136">
        <v>1</v>
      </c>
      <c r="J21" s="137">
        <v>26896.65</v>
      </c>
      <c r="K21" s="138">
        <f t="shared" si="0"/>
        <v>26896.65</v>
      </c>
      <c r="L21" s="136"/>
      <c r="M21" s="137"/>
      <c r="N21" s="138"/>
      <c r="O21" s="136">
        <f t="shared" si="1"/>
        <v>1</v>
      </c>
      <c r="P21" s="137">
        <f t="shared" si="2"/>
        <v>26896.65</v>
      </c>
      <c r="Q21" s="138">
        <f t="shared" si="3"/>
        <v>26896.65</v>
      </c>
    </row>
    <row r="22" spans="1:17" x14ac:dyDescent="0.25">
      <c r="A22" s="147" t="s">
        <v>7098</v>
      </c>
      <c r="B22" s="147" t="s">
        <v>7099</v>
      </c>
      <c r="C22" s="148"/>
      <c r="D22" s="148"/>
      <c r="E22" s="149"/>
      <c r="F22" s="149"/>
      <c r="G22" s="149"/>
      <c r="H22" s="150"/>
      <c r="I22" s="151"/>
      <c r="J22" s="152" t="s">
        <v>7083</v>
      </c>
      <c r="K22" s="153"/>
      <c r="L22" s="151"/>
      <c r="M22" s="152" t="s">
        <v>7083</v>
      </c>
      <c r="N22" s="153"/>
      <c r="O22" s="151"/>
      <c r="P22" s="152" t="s">
        <v>7083</v>
      </c>
      <c r="Q22" s="153"/>
    </row>
    <row r="23" spans="1:17" x14ac:dyDescent="0.25">
      <c r="A23" s="132" t="s">
        <v>7100</v>
      </c>
      <c r="B23" s="132" t="s">
        <v>7101</v>
      </c>
      <c r="C23" s="133" t="s">
        <v>48</v>
      </c>
      <c r="D23" s="133" t="s">
        <v>1</v>
      </c>
      <c r="E23" s="134" t="s">
        <v>7079</v>
      </c>
      <c r="F23" s="134">
        <v>5</v>
      </c>
      <c r="G23" s="134">
        <v>5</v>
      </c>
      <c r="H23" s="135">
        <v>25</v>
      </c>
      <c r="I23" s="136">
        <v>1</v>
      </c>
      <c r="J23" s="137">
        <v>62210.53</v>
      </c>
      <c r="K23" s="138">
        <f t="shared" si="0"/>
        <v>62210.53</v>
      </c>
      <c r="L23" s="136"/>
      <c r="M23" s="137"/>
      <c r="N23" s="138"/>
      <c r="O23" s="136">
        <f t="shared" ref="O23:O24" si="4">SUM(L23,I23)</f>
        <v>1</v>
      </c>
      <c r="P23" s="137">
        <f t="shared" ref="P23:P24" si="5">IF(M23&lt;&gt;"",M23,J23)</f>
        <v>62210.53</v>
      </c>
      <c r="Q23" s="138">
        <f t="shared" ref="Q23:Q24" si="6">ROUND(O23*P23,2)</f>
        <v>62210.53</v>
      </c>
    </row>
    <row r="24" spans="1:17" x14ac:dyDescent="0.25">
      <c r="A24" s="132" t="s">
        <v>7102</v>
      </c>
      <c r="B24" s="132" t="s">
        <v>7103</v>
      </c>
      <c r="C24" s="133" t="s">
        <v>48</v>
      </c>
      <c r="D24" s="133" t="s">
        <v>1</v>
      </c>
      <c r="E24" s="134" t="s">
        <v>7079</v>
      </c>
      <c r="F24" s="134">
        <v>5</v>
      </c>
      <c r="G24" s="134">
        <v>5</v>
      </c>
      <c r="H24" s="135">
        <v>50</v>
      </c>
      <c r="I24" s="136">
        <v>1</v>
      </c>
      <c r="J24" s="137">
        <v>50411.35</v>
      </c>
      <c r="K24" s="138">
        <f t="shared" si="0"/>
        <v>50411.35</v>
      </c>
      <c r="L24" s="136"/>
      <c r="M24" s="137"/>
      <c r="N24" s="138"/>
      <c r="O24" s="136">
        <f t="shared" si="4"/>
        <v>1</v>
      </c>
      <c r="P24" s="137">
        <f t="shared" si="5"/>
        <v>50411.35</v>
      </c>
      <c r="Q24" s="138">
        <f t="shared" si="6"/>
        <v>50411.35</v>
      </c>
    </row>
    <row r="25" spans="1:17" x14ac:dyDescent="0.25">
      <c r="A25" s="154" t="s">
        <v>7083</v>
      </c>
      <c r="B25" s="154" t="s">
        <v>7104</v>
      </c>
      <c r="C25" s="155"/>
      <c r="D25" s="155"/>
      <c r="E25" s="156"/>
      <c r="F25" s="156"/>
      <c r="G25" s="156"/>
      <c r="H25" s="157"/>
      <c r="I25" s="158"/>
      <c r="J25" s="159"/>
      <c r="K25" s="160">
        <f>SUBTOTAL(9,K12:K24)</f>
        <v>8889162.3399999999</v>
      </c>
      <c r="L25" s="158"/>
      <c r="M25" s="159"/>
      <c r="N25" s="160">
        <f>SUBTOTAL(9,N12:N24)</f>
        <v>0</v>
      </c>
      <c r="O25" s="158"/>
      <c r="P25" s="159"/>
      <c r="Q25" s="160">
        <f>SUBTOTAL(9,Q12:Q24)</f>
        <v>8889162.3399999999</v>
      </c>
    </row>
    <row r="26" spans="1:17" x14ac:dyDescent="0.25">
      <c r="A26" s="161" t="s">
        <v>7105</v>
      </c>
      <c r="B26" s="161" t="s">
        <v>7106</v>
      </c>
      <c r="C26" s="101"/>
      <c r="D26" s="101"/>
      <c r="E26" s="102"/>
      <c r="F26" s="103"/>
      <c r="G26" s="103"/>
      <c r="H26" s="104"/>
      <c r="I26" s="162"/>
      <c r="J26" s="163"/>
      <c r="K26" s="164"/>
      <c r="L26" s="162"/>
      <c r="M26" s="163"/>
      <c r="N26" s="164"/>
      <c r="O26" s="162"/>
      <c r="P26" s="163"/>
      <c r="Q26" s="164"/>
    </row>
    <row r="27" spans="1:17" x14ac:dyDescent="0.25">
      <c r="A27" s="165" t="s">
        <v>7107</v>
      </c>
      <c r="B27" s="165" t="s">
        <v>7108</v>
      </c>
      <c r="C27" s="166"/>
      <c r="D27" s="166"/>
      <c r="E27" s="167"/>
      <c r="F27" s="111"/>
      <c r="G27" s="111"/>
      <c r="H27" s="112"/>
      <c r="I27" s="168"/>
      <c r="J27" s="114"/>
      <c r="K27" s="115"/>
      <c r="L27" s="168"/>
      <c r="M27" s="114"/>
      <c r="N27" s="115"/>
      <c r="O27" s="168"/>
      <c r="P27" s="114"/>
      <c r="Q27" s="115"/>
    </row>
    <row r="28" spans="1:17" x14ac:dyDescent="0.25">
      <c r="A28" s="139" t="s">
        <v>7109</v>
      </c>
      <c r="B28" s="139" t="s">
        <v>7110</v>
      </c>
      <c r="C28" s="140"/>
      <c r="D28" s="140"/>
      <c r="E28" s="141"/>
      <c r="F28" s="142"/>
      <c r="G28" s="142"/>
      <c r="H28" s="143"/>
      <c r="I28" s="144"/>
      <c r="J28" s="145"/>
      <c r="K28" s="146"/>
      <c r="L28" s="144"/>
      <c r="M28" s="145"/>
      <c r="N28" s="146"/>
      <c r="O28" s="144"/>
      <c r="P28" s="145"/>
      <c r="Q28" s="146"/>
    </row>
    <row r="29" spans="1:17" x14ac:dyDescent="0.25">
      <c r="A29" s="169" t="s">
        <v>7111</v>
      </c>
      <c r="B29" s="169" t="s">
        <v>7112</v>
      </c>
      <c r="C29" s="170"/>
      <c r="D29" s="170"/>
      <c r="E29" s="171"/>
      <c r="F29" s="171"/>
      <c r="G29" s="171"/>
      <c r="H29" s="172"/>
      <c r="I29" s="173"/>
      <c r="J29" s="174"/>
      <c r="K29" s="175"/>
      <c r="L29" s="173"/>
      <c r="M29" s="174"/>
      <c r="N29" s="175"/>
      <c r="O29" s="173"/>
      <c r="P29" s="174"/>
      <c r="Q29" s="175"/>
    </row>
    <row r="30" spans="1:17" x14ac:dyDescent="0.25">
      <c r="A30" s="176" t="s">
        <v>262</v>
      </c>
      <c r="B30" s="176" t="s">
        <v>7113</v>
      </c>
      <c r="C30" s="177"/>
      <c r="D30" s="177"/>
      <c r="E30" s="178"/>
      <c r="F30" s="178"/>
      <c r="G30" s="178"/>
      <c r="H30" s="179"/>
      <c r="I30" s="180"/>
      <c r="J30" s="181"/>
      <c r="K30" s="182"/>
      <c r="L30" s="180"/>
      <c r="M30" s="181"/>
      <c r="N30" s="182"/>
      <c r="O30" s="180"/>
      <c r="P30" s="181"/>
      <c r="Q30" s="182"/>
    </row>
    <row r="31" spans="1:17" x14ac:dyDescent="0.25">
      <c r="A31" s="183" t="s">
        <v>7114</v>
      </c>
      <c r="B31" s="183" t="s">
        <v>7115</v>
      </c>
      <c r="C31" s="184" t="s">
        <v>75</v>
      </c>
      <c r="D31" s="184" t="s">
        <v>1</v>
      </c>
      <c r="E31" s="185" t="s">
        <v>7079</v>
      </c>
      <c r="F31" s="185">
        <v>10</v>
      </c>
      <c r="G31" s="185">
        <v>25</v>
      </c>
      <c r="H31" s="186">
        <v>15</v>
      </c>
      <c r="I31" s="187">
        <v>4</v>
      </c>
      <c r="J31" s="188">
        <v>766.85</v>
      </c>
      <c r="K31" s="189">
        <f t="shared" si="0"/>
        <v>3067.4</v>
      </c>
      <c r="L31" s="187"/>
      <c r="M31" s="137"/>
      <c r="N31" s="138"/>
      <c r="O31" s="136">
        <f>SUM(L31,I31)</f>
        <v>4</v>
      </c>
      <c r="P31" s="137">
        <f>IF(M31&lt;&gt;"",M31,J31)</f>
        <v>766.85</v>
      </c>
      <c r="Q31" s="138">
        <f>ROUND(O31*P31,2)</f>
        <v>3067.4</v>
      </c>
    </row>
    <row r="32" spans="1:17" x14ac:dyDescent="0.25">
      <c r="A32" s="176" t="s">
        <v>268</v>
      </c>
      <c r="B32" s="176" t="s">
        <v>7116</v>
      </c>
      <c r="C32" s="177"/>
      <c r="D32" s="177"/>
      <c r="E32" s="178"/>
      <c r="F32" s="178"/>
      <c r="G32" s="178"/>
      <c r="H32" s="179"/>
      <c r="I32" s="180"/>
      <c r="J32" s="181" t="s">
        <v>7083</v>
      </c>
      <c r="K32" s="182"/>
      <c r="L32" s="180"/>
      <c r="M32" s="181" t="s">
        <v>7083</v>
      </c>
      <c r="N32" s="182"/>
      <c r="O32" s="180"/>
      <c r="P32" s="181" t="s">
        <v>7083</v>
      </c>
      <c r="Q32" s="182"/>
    </row>
    <row r="33" spans="1:17" ht="22.5" x14ac:dyDescent="0.25">
      <c r="A33" s="183" t="s">
        <v>7117</v>
      </c>
      <c r="B33" s="183" t="s">
        <v>7118</v>
      </c>
      <c r="C33" s="184" t="s">
        <v>75</v>
      </c>
      <c r="D33" s="184" t="s">
        <v>1</v>
      </c>
      <c r="E33" s="185" t="s">
        <v>7079</v>
      </c>
      <c r="F33" s="185">
        <v>10</v>
      </c>
      <c r="G33" s="185">
        <v>25</v>
      </c>
      <c r="H33" s="186">
        <v>20</v>
      </c>
      <c r="I33" s="187">
        <v>4</v>
      </c>
      <c r="J33" s="188">
        <v>29.54</v>
      </c>
      <c r="K33" s="189">
        <f t="shared" si="0"/>
        <v>118.16</v>
      </c>
      <c r="L33" s="187"/>
      <c r="M33" s="137"/>
      <c r="N33" s="138"/>
      <c r="O33" s="136">
        <f t="shared" ref="O33:O34" si="7">SUM(L33,I33)</f>
        <v>4</v>
      </c>
      <c r="P33" s="137">
        <f t="shared" ref="P33:P34" si="8">IF(M33&lt;&gt;"",M33,J33)</f>
        <v>29.54</v>
      </c>
      <c r="Q33" s="138">
        <f t="shared" ref="Q33:Q34" si="9">ROUND(O33*P33,2)</f>
        <v>118.16</v>
      </c>
    </row>
    <row r="34" spans="1:17" ht="22.5" x14ac:dyDescent="0.25">
      <c r="A34" s="183" t="s">
        <v>7119</v>
      </c>
      <c r="B34" s="183" t="s">
        <v>7120</v>
      </c>
      <c r="C34" s="184" t="s">
        <v>108</v>
      </c>
      <c r="D34" s="184" t="s">
        <v>1</v>
      </c>
      <c r="E34" s="185" t="s">
        <v>7079</v>
      </c>
      <c r="F34" s="185">
        <v>10</v>
      </c>
      <c r="G34" s="185">
        <v>25</v>
      </c>
      <c r="H34" s="135">
        <v>25</v>
      </c>
      <c r="I34" s="187">
        <v>20</v>
      </c>
      <c r="J34" s="188">
        <v>9.23</v>
      </c>
      <c r="K34" s="189">
        <f t="shared" si="0"/>
        <v>184.6</v>
      </c>
      <c r="L34" s="187"/>
      <c r="M34" s="137"/>
      <c r="N34" s="138"/>
      <c r="O34" s="136">
        <f t="shared" si="7"/>
        <v>20</v>
      </c>
      <c r="P34" s="137">
        <f t="shared" si="8"/>
        <v>9.23</v>
      </c>
      <c r="Q34" s="138">
        <f t="shared" si="9"/>
        <v>184.6</v>
      </c>
    </row>
    <row r="35" spans="1:17" x14ac:dyDescent="0.25">
      <c r="A35" s="139" t="s">
        <v>7121</v>
      </c>
      <c r="B35" s="139" t="s">
        <v>7122</v>
      </c>
      <c r="C35" s="140"/>
      <c r="D35" s="140"/>
      <c r="E35" s="141"/>
      <c r="F35" s="142"/>
      <c r="G35" s="142"/>
      <c r="H35" s="143"/>
      <c r="I35" s="144"/>
      <c r="J35" s="145" t="s">
        <v>7083</v>
      </c>
      <c r="K35" s="146"/>
      <c r="L35" s="144"/>
      <c r="M35" s="145" t="s">
        <v>7083</v>
      </c>
      <c r="N35" s="146"/>
      <c r="O35" s="144"/>
      <c r="P35" s="145" t="s">
        <v>7083</v>
      </c>
      <c r="Q35" s="146"/>
    </row>
    <row r="36" spans="1:17" x14ac:dyDescent="0.25">
      <c r="A36" s="169" t="s">
        <v>7123</v>
      </c>
      <c r="B36" s="169" t="s">
        <v>7124</v>
      </c>
      <c r="C36" s="170"/>
      <c r="D36" s="170"/>
      <c r="E36" s="171"/>
      <c r="F36" s="171"/>
      <c r="G36" s="171"/>
      <c r="H36" s="172"/>
      <c r="I36" s="173"/>
      <c r="J36" s="174" t="s">
        <v>7083</v>
      </c>
      <c r="K36" s="175"/>
      <c r="L36" s="173"/>
      <c r="M36" s="174" t="s">
        <v>7083</v>
      </c>
      <c r="N36" s="175"/>
      <c r="O36" s="173"/>
      <c r="P36" s="174" t="s">
        <v>7083</v>
      </c>
      <c r="Q36" s="175"/>
    </row>
    <row r="37" spans="1:17" x14ac:dyDescent="0.25">
      <c r="A37" s="176" t="s">
        <v>7125</v>
      </c>
      <c r="B37" s="176" t="s">
        <v>7126</v>
      </c>
      <c r="C37" s="177"/>
      <c r="D37" s="177"/>
      <c r="E37" s="178"/>
      <c r="F37" s="178"/>
      <c r="G37" s="178"/>
      <c r="H37" s="179"/>
      <c r="I37" s="180"/>
      <c r="J37" s="181"/>
      <c r="K37" s="182"/>
      <c r="L37" s="180"/>
      <c r="M37" s="181"/>
      <c r="N37" s="182"/>
      <c r="O37" s="180"/>
      <c r="P37" s="181"/>
      <c r="Q37" s="182"/>
    </row>
    <row r="38" spans="1:17" x14ac:dyDescent="0.25">
      <c r="A38" s="183" t="s">
        <v>7127</v>
      </c>
      <c r="B38" s="183" t="s">
        <v>7128</v>
      </c>
      <c r="C38" s="184" t="s">
        <v>88</v>
      </c>
      <c r="D38" s="184" t="s">
        <v>1</v>
      </c>
      <c r="E38" s="185" t="s">
        <v>7079</v>
      </c>
      <c r="F38" s="185">
        <v>65</v>
      </c>
      <c r="G38" s="185">
        <v>5</v>
      </c>
      <c r="H38" s="186">
        <v>0</v>
      </c>
      <c r="I38" s="187">
        <v>60</v>
      </c>
      <c r="J38" s="188">
        <v>233.38</v>
      </c>
      <c r="K38" s="189">
        <f t="shared" si="0"/>
        <v>14002.8</v>
      </c>
      <c r="L38" s="187"/>
      <c r="M38" s="137"/>
      <c r="N38" s="138"/>
      <c r="O38" s="136">
        <f>SUM(L38,I38)</f>
        <v>60</v>
      </c>
      <c r="P38" s="137">
        <f>IF(M38&lt;&gt;"",M38,J38)</f>
        <v>233.38</v>
      </c>
      <c r="Q38" s="138">
        <f>ROUND(O38*P38,2)</f>
        <v>14002.8</v>
      </c>
    </row>
    <row r="39" spans="1:17" x14ac:dyDescent="0.25">
      <c r="A39" s="169" t="s">
        <v>7129</v>
      </c>
      <c r="B39" s="169" t="s">
        <v>7130</v>
      </c>
      <c r="C39" s="170"/>
      <c r="D39" s="170"/>
      <c r="E39" s="171"/>
      <c r="F39" s="171"/>
      <c r="G39" s="171"/>
      <c r="H39" s="172"/>
      <c r="I39" s="173"/>
      <c r="J39" s="174" t="s">
        <v>7083</v>
      </c>
      <c r="K39" s="175"/>
      <c r="L39" s="173"/>
      <c r="M39" s="174" t="s">
        <v>7083</v>
      </c>
      <c r="N39" s="175"/>
      <c r="O39" s="173"/>
      <c r="P39" s="174" t="s">
        <v>7083</v>
      </c>
      <c r="Q39" s="175"/>
    </row>
    <row r="40" spans="1:17" x14ac:dyDescent="0.25">
      <c r="A40" s="176" t="s">
        <v>7131</v>
      </c>
      <c r="B40" s="176" t="s">
        <v>7132</v>
      </c>
      <c r="C40" s="177"/>
      <c r="D40" s="177"/>
      <c r="E40" s="178"/>
      <c r="F40" s="178"/>
      <c r="G40" s="178"/>
      <c r="H40" s="179"/>
      <c r="I40" s="180"/>
      <c r="J40" s="181" t="s">
        <v>7083</v>
      </c>
      <c r="K40" s="182"/>
      <c r="L40" s="180"/>
      <c r="M40" s="181" t="s">
        <v>7083</v>
      </c>
      <c r="N40" s="182"/>
      <c r="O40" s="180"/>
      <c r="P40" s="181" t="s">
        <v>7083</v>
      </c>
      <c r="Q40" s="182"/>
    </row>
    <row r="41" spans="1:17" x14ac:dyDescent="0.25">
      <c r="A41" s="183" t="s">
        <v>7133</v>
      </c>
      <c r="B41" s="183" t="s">
        <v>148</v>
      </c>
      <c r="C41" s="184" t="s">
        <v>149</v>
      </c>
      <c r="D41" s="184" t="s">
        <v>1</v>
      </c>
      <c r="E41" s="185" t="s">
        <v>7079</v>
      </c>
      <c r="F41" s="185">
        <v>65</v>
      </c>
      <c r="G41" s="185">
        <v>10</v>
      </c>
      <c r="H41" s="186">
        <v>0</v>
      </c>
      <c r="I41" s="187">
        <v>350</v>
      </c>
      <c r="J41" s="188">
        <v>17.809999999999999</v>
      </c>
      <c r="K41" s="189">
        <f t="shared" si="0"/>
        <v>6233.5</v>
      </c>
      <c r="L41" s="187"/>
      <c r="M41" s="137"/>
      <c r="N41" s="138"/>
      <c r="O41" s="136">
        <f>SUM(L41,I41)</f>
        <v>350</v>
      </c>
      <c r="P41" s="137">
        <f>IF(M41&lt;&gt;"",M41,J41)</f>
        <v>17.809999999999999</v>
      </c>
      <c r="Q41" s="138">
        <f>ROUND(O41*P41,2)</f>
        <v>6233.5</v>
      </c>
    </row>
    <row r="42" spans="1:17" x14ac:dyDescent="0.25">
      <c r="A42" s="169" t="s">
        <v>7134</v>
      </c>
      <c r="B42" s="169" t="s">
        <v>7135</v>
      </c>
      <c r="C42" s="170"/>
      <c r="D42" s="170"/>
      <c r="E42" s="171"/>
      <c r="F42" s="171"/>
      <c r="G42" s="171"/>
      <c r="H42" s="172"/>
      <c r="I42" s="173"/>
      <c r="J42" s="174" t="s">
        <v>7083</v>
      </c>
      <c r="K42" s="175"/>
      <c r="L42" s="173"/>
      <c r="M42" s="174" t="s">
        <v>7083</v>
      </c>
      <c r="N42" s="175"/>
      <c r="O42" s="173"/>
      <c r="P42" s="174" t="s">
        <v>7083</v>
      </c>
      <c r="Q42" s="175"/>
    </row>
    <row r="43" spans="1:17" ht="22.5" x14ac:dyDescent="0.25">
      <c r="A43" s="176" t="s">
        <v>7136</v>
      </c>
      <c r="B43" s="176" t="s">
        <v>7137</v>
      </c>
      <c r="C43" s="177"/>
      <c r="D43" s="177"/>
      <c r="E43" s="178"/>
      <c r="F43" s="178"/>
      <c r="G43" s="178"/>
      <c r="H43" s="179"/>
      <c r="I43" s="180"/>
      <c r="J43" s="181" t="s">
        <v>7083</v>
      </c>
      <c r="K43" s="182"/>
      <c r="L43" s="180"/>
      <c r="M43" s="181" t="s">
        <v>7083</v>
      </c>
      <c r="N43" s="182"/>
      <c r="O43" s="180"/>
      <c r="P43" s="181" t="s">
        <v>7083</v>
      </c>
      <c r="Q43" s="182"/>
    </row>
    <row r="44" spans="1:17" x14ac:dyDescent="0.25">
      <c r="A44" s="183" t="s">
        <v>7138</v>
      </c>
      <c r="B44" s="183" t="s">
        <v>7139</v>
      </c>
      <c r="C44" s="184" t="s">
        <v>75</v>
      </c>
      <c r="D44" s="184" t="s">
        <v>1</v>
      </c>
      <c r="E44" s="185" t="s">
        <v>7079</v>
      </c>
      <c r="F44" s="185">
        <v>65</v>
      </c>
      <c r="G44" s="185">
        <v>15</v>
      </c>
      <c r="H44" s="186">
        <v>0</v>
      </c>
      <c r="I44" s="187">
        <v>1</v>
      </c>
      <c r="J44" s="188">
        <v>967.2</v>
      </c>
      <c r="K44" s="189">
        <f t="shared" si="0"/>
        <v>967.2</v>
      </c>
      <c r="L44" s="187"/>
      <c r="M44" s="137"/>
      <c r="N44" s="138"/>
      <c r="O44" s="136">
        <f t="shared" ref="O44:O45" si="10">SUM(L44,I44)</f>
        <v>1</v>
      </c>
      <c r="P44" s="137">
        <f t="shared" ref="P44:P45" si="11">IF(M44&lt;&gt;"",M44,J44)</f>
        <v>967.2</v>
      </c>
      <c r="Q44" s="138">
        <f t="shared" ref="Q44:Q45" si="12">ROUND(O44*P44,2)</f>
        <v>967.2</v>
      </c>
    </row>
    <row r="45" spans="1:17" x14ac:dyDescent="0.25">
      <c r="A45" s="183" t="s">
        <v>7140</v>
      </c>
      <c r="B45" s="183" t="s">
        <v>7141</v>
      </c>
      <c r="C45" s="184" t="s">
        <v>75</v>
      </c>
      <c r="D45" s="184" t="s">
        <v>1</v>
      </c>
      <c r="E45" s="185" t="s">
        <v>7079</v>
      </c>
      <c r="F45" s="185">
        <v>65</v>
      </c>
      <c r="G45" s="185">
        <v>15</v>
      </c>
      <c r="H45" s="186">
        <v>0</v>
      </c>
      <c r="I45" s="187">
        <v>5</v>
      </c>
      <c r="J45" s="188">
        <v>1067.24</v>
      </c>
      <c r="K45" s="189">
        <f t="shared" si="0"/>
        <v>5336.2</v>
      </c>
      <c r="L45" s="187"/>
      <c r="M45" s="137"/>
      <c r="N45" s="138"/>
      <c r="O45" s="136">
        <f t="shared" si="10"/>
        <v>5</v>
      </c>
      <c r="P45" s="137">
        <f t="shared" si="11"/>
        <v>1067.24</v>
      </c>
      <c r="Q45" s="138">
        <f t="shared" si="12"/>
        <v>5336.2</v>
      </c>
    </row>
    <row r="46" spans="1:17" x14ac:dyDescent="0.25">
      <c r="A46" s="169" t="s">
        <v>7142</v>
      </c>
      <c r="B46" s="169" t="s">
        <v>7143</v>
      </c>
      <c r="C46" s="170"/>
      <c r="D46" s="170"/>
      <c r="E46" s="171"/>
      <c r="F46" s="171"/>
      <c r="G46" s="171"/>
      <c r="H46" s="172"/>
      <c r="I46" s="173"/>
      <c r="J46" s="174" t="s">
        <v>7083</v>
      </c>
      <c r="K46" s="175"/>
      <c r="L46" s="173"/>
      <c r="M46" s="174" t="s">
        <v>7083</v>
      </c>
      <c r="N46" s="175"/>
      <c r="O46" s="173"/>
      <c r="P46" s="174" t="s">
        <v>7083</v>
      </c>
      <c r="Q46" s="175"/>
    </row>
    <row r="47" spans="1:17" x14ac:dyDescent="0.25">
      <c r="A47" s="176" t="s">
        <v>7144</v>
      </c>
      <c r="B47" s="176" t="s">
        <v>7145</v>
      </c>
      <c r="C47" s="177"/>
      <c r="D47" s="177"/>
      <c r="E47" s="178"/>
      <c r="F47" s="178"/>
      <c r="G47" s="178"/>
      <c r="H47" s="179"/>
      <c r="I47" s="180"/>
      <c r="J47" s="181" t="s">
        <v>7083</v>
      </c>
      <c r="K47" s="182"/>
      <c r="L47" s="180"/>
      <c r="M47" s="181" t="s">
        <v>7083</v>
      </c>
      <c r="N47" s="182"/>
      <c r="O47" s="180"/>
      <c r="P47" s="181" t="s">
        <v>7083</v>
      </c>
      <c r="Q47" s="182"/>
    </row>
    <row r="48" spans="1:17" x14ac:dyDescent="0.25">
      <c r="A48" s="183" t="s">
        <v>7146</v>
      </c>
      <c r="B48" s="183" t="s">
        <v>7147</v>
      </c>
      <c r="C48" s="184" t="s">
        <v>460</v>
      </c>
      <c r="D48" s="184" t="s">
        <v>1</v>
      </c>
      <c r="E48" s="185" t="s">
        <v>7079</v>
      </c>
      <c r="F48" s="185">
        <v>65</v>
      </c>
      <c r="G48" s="185">
        <v>25</v>
      </c>
      <c r="H48" s="186">
        <v>5</v>
      </c>
      <c r="I48" s="187">
        <v>68</v>
      </c>
      <c r="J48" s="188">
        <v>406.57</v>
      </c>
      <c r="K48" s="189">
        <f t="shared" si="0"/>
        <v>27646.76</v>
      </c>
      <c r="L48" s="187"/>
      <c r="M48" s="137"/>
      <c r="N48" s="138"/>
      <c r="O48" s="136">
        <f t="shared" ref="O48:O50" si="13">SUM(L48,I48)</f>
        <v>68</v>
      </c>
      <c r="P48" s="137">
        <f t="shared" ref="P48:P50" si="14">IF(M48&lt;&gt;"",M48,J48)</f>
        <v>406.57</v>
      </c>
      <c r="Q48" s="138">
        <f t="shared" ref="Q48:Q50" si="15">ROUND(O48*P48,2)</f>
        <v>27646.76</v>
      </c>
    </row>
    <row r="49" spans="1:17" x14ac:dyDescent="0.25">
      <c r="A49" s="183" t="s">
        <v>7148</v>
      </c>
      <c r="B49" s="183" t="s">
        <v>7149</v>
      </c>
      <c r="C49" s="184" t="s">
        <v>149</v>
      </c>
      <c r="D49" s="184" t="s">
        <v>1</v>
      </c>
      <c r="E49" s="185" t="s">
        <v>7079</v>
      </c>
      <c r="F49" s="185">
        <v>65</v>
      </c>
      <c r="G49" s="185">
        <v>25</v>
      </c>
      <c r="H49" s="186">
        <v>5</v>
      </c>
      <c r="I49" s="187">
        <v>100</v>
      </c>
      <c r="J49" s="188">
        <v>42.16</v>
      </c>
      <c r="K49" s="189">
        <f t="shared" si="0"/>
        <v>4216</v>
      </c>
      <c r="L49" s="187"/>
      <c r="M49" s="137"/>
      <c r="N49" s="138"/>
      <c r="O49" s="136">
        <f t="shared" si="13"/>
        <v>100</v>
      </c>
      <c r="P49" s="137">
        <f t="shared" si="14"/>
        <v>42.16</v>
      </c>
      <c r="Q49" s="138">
        <f t="shared" si="15"/>
        <v>4216</v>
      </c>
    </row>
    <row r="50" spans="1:17" x14ac:dyDescent="0.25">
      <c r="A50" s="183" t="s">
        <v>7150</v>
      </c>
      <c r="B50" s="183" t="s">
        <v>7151</v>
      </c>
      <c r="C50" s="184" t="s">
        <v>460</v>
      </c>
      <c r="D50" s="184" t="s">
        <v>1</v>
      </c>
      <c r="E50" s="185" t="s">
        <v>7079</v>
      </c>
      <c r="F50" s="185">
        <v>65</v>
      </c>
      <c r="G50" s="185">
        <v>25</v>
      </c>
      <c r="H50" s="186">
        <v>5</v>
      </c>
      <c r="I50" s="187">
        <v>68</v>
      </c>
      <c r="J50" s="188">
        <v>67.63</v>
      </c>
      <c r="K50" s="189">
        <f t="shared" si="0"/>
        <v>4598.84</v>
      </c>
      <c r="L50" s="187"/>
      <c r="M50" s="137"/>
      <c r="N50" s="138"/>
      <c r="O50" s="136">
        <f t="shared" si="13"/>
        <v>68</v>
      </c>
      <c r="P50" s="137">
        <f t="shared" si="14"/>
        <v>67.63</v>
      </c>
      <c r="Q50" s="138">
        <f t="shared" si="15"/>
        <v>4598.84</v>
      </c>
    </row>
    <row r="51" spans="1:17" x14ac:dyDescent="0.25">
      <c r="A51" s="176" t="s">
        <v>7152</v>
      </c>
      <c r="B51" s="176" t="s">
        <v>7153</v>
      </c>
      <c r="C51" s="177"/>
      <c r="D51" s="177"/>
      <c r="E51" s="178"/>
      <c r="F51" s="178"/>
      <c r="G51" s="178"/>
      <c r="H51" s="179"/>
      <c r="I51" s="180"/>
      <c r="J51" s="181" t="s">
        <v>7083</v>
      </c>
      <c r="K51" s="182"/>
      <c r="L51" s="180"/>
      <c r="M51" s="181" t="s">
        <v>7083</v>
      </c>
      <c r="N51" s="182"/>
      <c r="O51" s="180"/>
      <c r="P51" s="181" t="s">
        <v>7083</v>
      </c>
      <c r="Q51" s="182"/>
    </row>
    <row r="52" spans="1:17" x14ac:dyDescent="0.25">
      <c r="A52" s="183" t="s">
        <v>7154</v>
      </c>
      <c r="B52" s="183" t="s">
        <v>7155</v>
      </c>
      <c r="C52" s="184" t="s">
        <v>149</v>
      </c>
      <c r="D52" s="184" t="s">
        <v>1</v>
      </c>
      <c r="E52" s="185" t="s">
        <v>7079</v>
      </c>
      <c r="F52" s="185">
        <v>65</v>
      </c>
      <c r="G52" s="185">
        <v>25</v>
      </c>
      <c r="H52" s="186">
        <v>10</v>
      </c>
      <c r="I52" s="187">
        <v>200</v>
      </c>
      <c r="J52" s="188">
        <v>29.87</v>
      </c>
      <c r="K52" s="189">
        <f t="shared" si="0"/>
        <v>5974</v>
      </c>
      <c r="L52" s="187"/>
      <c r="M52" s="137"/>
      <c r="N52" s="138"/>
      <c r="O52" s="136">
        <f>SUM(L52,I52)</f>
        <v>200</v>
      </c>
      <c r="P52" s="137">
        <f>IF(M52&lt;&gt;"",M52,J52)</f>
        <v>29.87</v>
      </c>
      <c r="Q52" s="138">
        <f>ROUND(O52*P52,2)</f>
        <v>5974</v>
      </c>
    </row>
    <row r="53" spans="1:17" x14ac:dyDescent="0.25">
      <c r="A53" s="169" t="s">
        <v>7156</v>
      </c>
      <c r="B53" s="169" t="s">
        <v>7157</v>
      </c>
      <c r="C53" s="170"/>
      <c r="D53" s="170"/>
      <c r="E53" s="171"/>
      <c r="F53" s="171"/>
      <c r="G53" s="171"/>
      <c r="H53" s="172"/>
      <c r="I53" s="173"/>
      <c r="J53" s="174" t="s">
        <v>7083</v>
      </c>
      <c r="K53" s="175"/>
      <c r="L53" s="173"/>
      <c r="M53" s="174" t="s">
        <v>7083</v>
      </c>
      <c r="N53" s="175"/>
      <c r="O53" s="173"/>
      <c r="P53" s="174" t="s">
        <v>7083</v>
      </c>
      <c r="Q53" s="175"/>
    </row>
    <row r="54" spans="1:17" x14ac:dyDescent="0.25">
      <c r="A54" s="176" t="s">
        <v>7158</v>
      </c>
      <c r="B54" s="176" t="s">
        <v>7159</v>
      </c>
      <c r="C54" s="177"/>
      <c r="D54" s="177"/>
      <c r="E54" s="178"/>
      <c r="F54" s="178"/>
      <c r="G54" s="178"/>
      <c r="H54" s="179"/>
      <c r="I54" s="180"/>
      <c r="J54" s="181" t="s">
        <v>7083</v>
      </c>
      <c r="K54" s="182"/>
      <c r="L54" s="180"/>
      <c r="M54" s="181" t="s">
        <v>7083</v>
      </c>
      <c r="N54" s="182"/>
      <c r="O54" s="180"/>
      <c r="P54" s="181" t="s">
        <v>7083</v>
      </c>
      <c r="Q54" s="182"/>
    </row>
    <row r="55" spans="1:17" x14ac:dyDescent="0.25">
      <c r="A55" s="183" t="s">
        <v>7160</v>
      </c>
      <c r="B55" s="183" t="s">
        <v>7161</v>
      </c>
      <c r="C55" s="184" t="s">
        <v>88</v>
      </c>
      <c r="D55" s="184" t="s">
        <v>1</v>
      </c>
      <c r="E55" s="185" t="s">
        <v>7079</v>
      </c>
      <c r="F55" s="185">
        <v>65</v>
      </c>
      <c r="G55" s="185">
        <v>40</v>
      </c>
      <c r="H55" s="186">
        <v>0</v>
      </c>
      <c r="I55" s="187">
        <v>13</v>
      </c>
      <c r="J55" s="188">
        <v>1786.46</v>
      </c>
      <c r="K55" s="189">
        <f t="shared" si="0"/>
        <v>23223.98</v>
      </c>
      <c r="L55" s="187"/>
      <c r="M55" s="137"/>
      <c r="N55" s="138"/>
      <c r="O55" s="136">
        <f t="shared" ref="O55:O56" si="16">SUM(L55,I55)</f>
        <v>13</v>
      </c>
      <c r="P55" s="137">
        <f t="shared" ref="P55:P56" si="17">IF(M55&lt;&gt;"",M55,J55)</f>
        <v>1786.46</v>
      </c>
      <c r="Q55" s="138">
        <f t="shared" ref="Q55:Q56" si="18">ROUND(O55*P55,2)</f>
        <v>23223.98</v>
      </c>
    </row>
    <row r="56" spans="1:17" ht="22.5" x14ac:dyDescent="0.25">
      <c r="A56" s="183" t="s">
        <v>7162</v>
      </c>
      <c r="B56" s="183" t="s">
        <v>7163</v>
      </c>
      <c r="C56" s="184" t="s">
        <v>48</v>
      </c>
      <c r="D56" s="184" t="s">
        <v>1</v>
      </c>
      <c r="E56" s="185" t="s">
        <v>7079</v>
      </c>
      <c r="F56" s="185">
        <v>65</v>
      </c>
      <c r="G56" s="185">
        <v>40</v>
      </c>
      <c r="H56" s="186">
        <v>0</v>
      </c>
      <c r="I56" s="187">
        <v>1</v>
      </c>
      <c r="J56" s="188">
        <v>31570.27</v>
      </c>
      <c r="K56" s="189">
        <f t="shared" si="0"/>
        <v>31570.27</v>
      </c>
      <c r="L56" s="187"/>
      <c r="M56" s="137"/>
      <c r="N56" s="138"/>
      <c r="O56" s="136">
        <f t="shared" si="16"/>
        <v>1</v>
      </c>
      <c r="P56" s="137">
        <f t="shared" si="17"/>
        <v>31570.27</v>
      </c>
      <c r="Q56" s="138">
        <f t="shared" si="18"/>
        <v>31570.27</v>
      </c>
    </row>
    <row r="57" spans="1:17" x14ac:dyDescent="0.25">
      <c r="A57" s="176" t="s">
        <v>7164</v>
      </c>
      <c r="B57" s="176" t="s">
        <v>7165</v>
      </c>
      <c r="C57" s="177"/>
      <c r="D57" s="177"/>
      <c r="E57" s="178"/>
      <c r="F57" s="178"/>
      <c r="G57" s="178"/>
      <c r="H57" s="179"/>
      <c r="I57" s="180"/>
      <c r="J57" s="181" t="s">
        <v>7083</v>
      </c>
      <c r="K57" s="182"/>
      <c r="L57" s="180"/>
      <c r="M57" s="181" t="s">
        <v>7083</v>
      </c>
      <c r="N57" s="182"/>
      <c r="O57" s="180"/>
      <c r="P57" s="181" t="s">
        <v>7083</v>
      </c>
      <c r="Q57" s="182"/>
    </row>
    <row r="58" spans="1:17" x14ac:dyDescent="0.25">
      <c r="A58" s="183" t="s">
        <v>7166</v>
      </c>
      <c r="B58" s="183" t="s">
        <v>7167</v>
      </c>
      <c r="C58" s="184" t="s">
        <v>378</v>
      </c>
      <c r="D58" s="184" t="s">
        <v>1</v>
      </c>
      <c r="E58" s="185" t="s">
        <v>7079</v>
      </c>
      <c r="F58" s="185">
        <v>65</v>
      </c>
      <c r="G58" s="185">
        <v>40</v>
      </c>
      <c r="H58" s="186">
        <v>0</v>
      </c>
      <c r="I58" s="187">
        <v>4</v>
      </c>
      <c r="J58" s="188">
        <v>1510.91</v>
      </c>
      <c r="K58" s="189">
        <f t="shared" si="0"/>
        <v>6043.64</v>
      </c>
      <c r="L58" s="187"/>
      <c r="M58" s="137"/>
      <c r="N58" s="138"/>
      <c r="O58" s="136">
        <f>SUM(L58,I58)</f>
        <v>4</v>
      </c>
      <c r="P58" s="137">
        <f>IF(M58&lt;&gt;"",M58,J58)</f>
        <v>1510.91</v>
      </c>
      <c r="Q58" s="138">
        <f>ROUND(O58*P58,2)</f>
        <v>6043.64</v>
      </c>
    </row>
    <row r="59" spans="1:17" x14ac:dyDescent="0.25">
      <c r="A59" s="176" t="s">
        <v>7168</v>
      </c>
      <c r="B59" s="176" t="s">
        <v>7169</v>
      </c>
      <c r="C59" s="177"/>
      <c r="D59" s="177"/>
      <c r="E59" s="178"/>
      <c r="F59" s="178"/>
      <c r="G59" s="178"/>
      <c r="H59" s="179"/>
      <c r="I59" s="180"/>
      <c r="J59" s="181" t="s">
        <v>7083</v>
      </c>
      <c r="K59" s="182"/>
      <c r="L59" s="180"/>
      <c r="M59" s="181" t="s">
        <v>7083</v>
      </c>
      <c r="N59" s="182"/>
      <c r="O59" s="180"/>
      <c r="P59" s="181" t="s">
        <v>7083</v>
      </c>
      <c r="Q59" s="182"/>
    </row>
    <row r="60" spans="1:17" x14ac:dyDescent="0.25">
      <c r="A60" s="183" t="s">
        <v>7170</v>
      </c>
      <c r="B60" s="183" t="s">
        <v>7171</v>
      </c>
      <c r="C60" s="184" t="s">
        <v>88</v>
      </c>
      <c r="D60" s="184" t="s">
        <v>1</v>
      </c>
      <c r="E60" s="185" t="s">
        <v>7079</v>
      </c>
      <c r="F60" s="185">
        <v>65</v>
      </c>
      <c r="G60" s="185">
        <v>40</v>
      </c>
      <c r="H60" s="186">
        <v>0</v>
      </c>
      <c r="I60" s="187">
        <v>25</v>
      </c>
      <c r="J60" s="188">
        <v>76.67</v>
      </c>
      <c r="K60" s="189">
        <f t="shared" si="0"/>
        <v>1916.75</v>
      </c>
      <c r="L60" s="187"/>
      <c r="M60" s="137"/>
      <c r="N60" s="138"/>
      <c r="O60" s="136">
        <f t="shared" ref="O60:O61" si="19">SUM(L60,I60)</f>
        <v>25</v>
      </c>
      <c r="P60" s="137">
        <f t="shared" ref="P60:P61" si="20">IF(M60&lt;&gt;"",M60,J60)</f>
        <v>76.67</v>
      </c>
      <c r="Q60" s="138">
        <f t="shared" ref="Q60:Q61" si="21">ROUND(O60*P60,2)</f>
        <v>1916.75</v>
      </c>
    </row>
    <row r="61" spans="1:17" x14ac:dyDescent="0.25">
      <c r="A61" s="183" t="s">
        <v>7172</v>
      </c>
      <c r="B61" s="183" t="s">
        <v>7173</v>
      </c>
      <c r="C61" s="184" t="s">
        <v>88</v>
      </c>
      <c r="D61" s="184" t="s">
        <v>1</v>
      </c>
      <c r="E61" s="185" t="s">
        <v>7079</v>
      </c>
      <c r="F61" s="185">
        <v>65</v>
      </c>
      <c r="G61" s="185">
        <v>40</v>
      </c>
      <c r="H61" s="186">
        <v>0</v>
      </c>
      <c r="I61" s="187">
        <v>25</v>
      </c>
      <c r="J61" s="188">
        <v>172.71</v>
      </c>
      <c r="K61" s="189">
        <f t="shared" si="0"/>
        <v>4317.75</v>
      </c>
      <c r="L61" s="187"/>
      <c r="M61" s="137"/>
      <c r="N61" s="138"/>
      <c r="O61" s="136">
        <f t="shared" si="19"/>
        <v>25</v>
      </c>
      <c r="P61" s="137">
        <f t="shared" si="20"/>
        <v>172.71</v>
      </c>
      <c r="Q61" s="138">
        <f t="shared" si="21"/>
        <v>4317.75</v>
      </c>
    </row>
    <row r="62" spans="1:17" x14ac:dyDescent="0.25">
      <c r="A62" s="169" t="s">
        <v>7174</v>
      </c>
      <c r="B62" s="169" t="s">
        <v>7175</v>
      </c>
      <c r="C62" s="170"/>
      <c r="D62" s="170"/>
      <c r="E62" s="171"/>
      <c r="F62" s="171"/>
      <c r="G62" s="171"/>
      <c r="H62" s="172"/>
      <c r="I62" s="173"/>
      <c r="J62" s="174" t="s">
        <v>7083</v>
      </c>
      <c r="K62" s="175"/>
      <c r="L62" s="173"/>
      <c r="M62" s="174" t="s">
        <v>7083</v>
      </c>
      <c r="N62" s="175"/>
      <c r="O62" s="173"/>
      <c r="P62" s="174" t="s">
        <v>7083</v>
      </c>
      <c r="Q62" s="175"/>
    </row>
    <row r="63" spans="1:17" x14ac:dyDescent="0.25">
      <c r="A63" s="183" t="s">
        <v>7176</v>
      </c>
      <c r="B63" s="183" t="s">
        <v>7177</v>
      </c>
      <c r="C63" s="184" t="s">
        <v>247</v>
      </c>
      <c r="D63" s="184" t="s">
        <v>1</v>
      </c>
      <c r="E63" s="185" t="s">
        <v>7079</v>
      </c>
      <c r="F63" s="185">
        <v>65</v>
      </c>
      <c r="G63" s="185">
        <v>45</v>
      </c>
      <c r="H63" s="186">
        <v>0</v>
      </c>
      <c r="I63" s="187">
        <v>8</v>
      </c>
      <c r="J63" s="188">
        <v>321.27</v>
      </c>
      <c r="K63" s="189">
        <f t="shared" si="0"/>
        <v>2570.16</v>
      </c>
      <c r="L63" s="187"/>
      <c r="M63" s="137"/>
      <c r="N63" s="138"/>
      <c r="O63" s="136">
        <f>SUM(L63,I63)</f>
        <v>8</v>
      </c>
      <c r="P63" s="137">
        <f>IF(M63&lt;&gt;"",M63,J63)</f>
        <v>321.27</v>
      </c>
      <c r="Q63" s="138">
        <f>ROUND(O63*P63,2)</f>
        <v>2570.16</v>
      </c>
    </row>
    <row r="64" spans="1:17" x14ac:dyDescent="0.25">
      <c r="A64" s="190" t="s">
        <v>7178</v>
      </c>
      <c r="B64" s="191" t="s">
        <v>7179</v>
      </c>
      <c r="C64" s="141"/>
      <c r="D64" s="140"/>
      <c r="E64" s="141"/>
      <c r="F64" s="142"/>
      <c r="G64" s="142"/>
      <c r="H64" s="143"/>
      <c r="I64" s="192"/>
      <c r="J64" s="193" t="s">
        <v>7083</v>
      </c>
      <c r="K64" s="194"/>
      <c r="L64" s="192"/>
      <c r="M64" s="193" t="s">
        <v>7083</v>
      </c>
      <c r="N64" s="194"/>
      <c r="O64" s="192"/>
      <c r="P64" s="193" t="s">
        <v>7083</v>
      </c>
      <c r="Q64" s="194"/>
    </row>
    <row r="65" spans="1:17" x14ac:dyDescent="0.25">
      <c r="A65" s="195" t="s">
        <v>7180</v>
      </c>
      <c r="B65" s="196" t="s">
        <v>7181</v>
      </c>
      <c r="C65" s="171"/>
      <c r="D65" s="170"/>
      <c r="E65" s="171"/>
      <c r="F65" s="171"/>
      <c r="G65" s="171"/>
      <c r="H65" s="172"/>
      <c r="I65" s="197"/>
      <c r="J65" s="198" t="s">
        <v>7083</v>
      </c>
      <c r="K65" s="199"/>
      <c r="L65" s="197"/>
      <c r="M65" s="198" t="s">
        <v>7083</v>
      </c>
      <c r="N65" s="199"/>
      <c r="O65" s="197"/>
      <c r="P65" s="198" t="s">
        <v>7083</v>
      </c>
      <c r="Q65" s="199"/>
    </row>
    <row r="66" spans="1:17" ht="22.5" x14ac:dyDescent="0.25">
      <c r="A66" s="200" t="s">
        <v>7182</v>
      </c>
      <c r="B66" s="201" t="s">
        <v>7183</v>
      </c>
      <c r="C66" s="185" t="s">
        <v>88</v>
      </c>
      <c r="D66" s="184" t="s">
        <v>1</v>
      </c>
      <c r="E66" s="185" t="s">
        <v>7079</v>
      </c>
      <c r="F66" s="185">
        <v>75</v>
      </c>
      <c r="G66" s="185">
        <v>16</v>
      </c>
      <c r="H66" s="186">
        <v>1</v>
      </c>
      <c r="I66" s="202">
        <v>2.2000000000000002</v>
      </c>
      <c r="J66" s="203">
        <v>1754.38</v>
      </c>
      <c r="K66" s="204">
        <f t="shared" si="0"/>
        <v>3859.64</v>
      </c>
      <c r="L66" s="202"/>
      <c r="M66" s="137"/>
      <c r="N66" s="138"/>
      <c r="O66" s="136">
        <f>SUM(L66,I66)</f>
        <v>2.2000000000000002</v>
      </c>
      <c r="P66" s="137">
        <f>IF(M66&lt;&gt;"",M66,J66)</f>
        <v>1754.38</v>
      </c>
      <c r="Q66" s="138">
        <f>ROUND(O66*P66,2)</f>
        <v>3859.64</v>
      </c>
    </row>
    <row r="67" spans="1:17" x14ac:dyDescent="0.25">
      <c r="A67" s="165" t="s">
        <v>7184</v>
      </c>
      <c r="B67" s="165" t="s">
        <v>7185</v>
      </c>
      <c r="C67" s="166"/>
      <c r="D67" s="166"/>
      <c r="E67" s="167"/>
      <c r="F67" s="111"/>
      <c r="G67" s="111"/>
      <c r="H67" s="112"/>
      <c r="I67" s="168"/>
      <c r="J67" s="114" t="s">
        <v>7083</v>
      </c>
      <c r="K67" s="115"/>
      <c r="L67" s="168"/>
      <c r="M67" s="114" t="s">
        <v>7083</v>
      </c>
      <c r="N67" s="115"/>
      <c r="O67" s="168"/>
      <c r="P67" s="114" t="s">
        <v>7083</v>
      </c>
      <c r="Q67" s="115"/>
    </row>
    <row r="68" spans="1:17" x14ac:dyDescent="0.25">
      <c r="A68" s="139" t="s">
        <v>7186</v>
      </c>
      <c r="B68" s="139" t="s">
        <v>7187</v>
      </c>
      <c r="C68" s="140"/>
      <c r="D68" s="140"/>
      <c r="E68" s="141"/>
      <c r="F68" s="142"/>
      <c r="G68" s="142"/>
      <c r="H68" s="143"/>
      <c r="I68" s="144"/>
      <c r="J68" s="145" t="s">
        <v>7083</v>
      </c>
      <c r="K68" s="146"/>
      <c r="L68" s="144"/>
      <c r="M68" s="145" t="s">
        <v>7083</v>
      </c>
      <c r="N68" s="146"/>
      <c r="O68" s="144"/>
      <c r="P68" s="145" t="s">
        <v>7083</v>
      </c>
      <c r="Q68" s="146"/>
    </row>
    <row r="69" spans="1:17" x14ac:dyDescent="0.25">
      <c r="A69" s="169" t="s">
        <v>7188</v>
      </c>
      <c r="B69" s="169" t="s">
        <v>7189</v>
      </c>
      <c r="C69" s="170"/>
      <c r="D69" s="170"/>
      <c r="E69" s="171"/>
      <c r="F69" s="171"/>
      <c r="G69" s="171"/>
      <c r="H69" s="172"/>
      <c r="I69" s="173"/>
      <c r="J69" s="174" t="s">
        <v>7083</v>
      </c>
      <c r="K69" s="175"/>
      <c r="L69" s="173"/>
      <c r="M69" s="174" t="s">
        <v>7083</v>
      </c>
      <c r="N69" s="175"/>
      <c r="O69" s="173"/>
      <c r="P69" s="174" t="s">
        <v>7083</v>
      </c>
      <c r="Q69" s="175"/>
    </row>
    <row r="70" spans="1:17" x14ac:dyDescent="0.25">
      <c r="A70" s="176" t="s">
        <v>271</v>
      </c>
      <c r="B70" s="176" t="s">
        <v>7190</v>
      </c>
      <c r="C70" s="177"/>
      <c r="D70" s="177"/>
      <c r="E70" s="178"/>
      <c r="F70" s="178"/>
      <c r="G70" s="178"/>
      <c r="H70" s="179"/>
      <c r="I70" s="180"/>
      <c r="J70" s="181" t="s">
        <v>7083</v>
      </c>
      <c r="K70" s="182"/>
      <c r="L70" s="180"/>
      <c r="M70" s="181" t="s">
        <v>7083</v>
      </c>
      <c r="N70" s="182"/>
      <c r="O70" s="180"/>
      <c r="P70" s="181" t="s">
        <v>7083</v>
      </c>
      <c r="Q70" s="182"/>
    </row>
    <row r="71" spans="1:17" ht="22.5" x14ac:dyDescent="0.25">
      <c r="A71" s="183" t="s">
        <v>7191</v>
      </c>
      <c r="B71" s="183" t="s">
        <v>7192</v>
      </c>
      <c r="C71" s="184" t="s">
        <v>911</v>
      </c>
      <c r="D71" s="184" t="s">
        <v>1</v>
      </c>
      <c r="E71" s="185" t="s">
        <v>7193</v>
      </c>
      <c r="F71" s="185">
        <v>10</v>
      </c>
      <c r="G71" s="185">
        <v>60</v>
      </c>
      <c r="H71" s="186">
        <v>0</v>
      </c>
      <c r="I71" s="187">
        <v>1</v>
      </c>
      <c r="J71" s="188">
        <v>5923.41</v>
      </c>
      <c r="K71" s="189">
        <f t="shared" si="0"/>
        <v>5923.41</v>
      </c>
      <c r="L71" s="187"/>
      <c r="M71" s="137"/>
      <c r="N71" s="138"/>
      <c r="O71" s="136">
        <f>SUM(L71,I71)</f>
        <v>1</v>
      </c>
      <c r="P71" s="137">
        <f>IF(M71&lt;&gt;"",M71,J71)</f>
        <v>5923.41</v>
      </c>
      <c r="Q71" s="138">
        <f>ROUND(O71*P71,2)</f>
        <v>5923.41</v>
      </c>
    </row>
    <row r="72" spans="1:17" x14ac:dyDescent="0.25">
      <c r="A72" s="205" t="s">
        <v>276</v>
      </c>
      <c r="B72" s="206" t="s">
        <v>7194</v>
      </c>
      <c r="C72" s="178"/>
      <c r="D72" s="177"/>
      <c r="E72" s="178"/>
      <c r="F72" s="178"/>
      <c r="G72" s="178"/>
      <c r="H72" s="179"/>
      <c r="I72" s="207"/>
      <c r="J72" s="208" t="s">
        <v>7083</v>
      </c>
      <c r="K72" s="209"/>
      <c r="L72" s="207"/>
      <c r="M72" s="208" t="s">
        <v>7083</v>
      </c>
      <c r="N72" s="209"/>
      <c r="O72" s="207"/>
      <c r="P72" s="208" t="s">
        <v>7083</v>
      </c>
      <c r="Q72" s="209"/>
    </row>
    <row r="73" spans="1:17" ht="33.75" x14ac:dyDescent="0.25">
      <c r="A73" s="183" t="s">
        <v>7195</v>
      </c>
      <c r="B73" s="183" t="s">
        <v>7196</v>
      </c>
      <c r="C73" s="184" t="s">
        <v>88</v>
      </c>
      <c r="D73" s="184" t="s">
        <v>1</v>
      </c>
      <c r="E73" s="185" t="s">
        <v>7079</v>
      </c>
      <c r="F73" s="185">
        <v>95</v>
      </c>
      <c r="G73" s="185">
        <v>20</v>
      </c>
      <c r="H73" s="186">
        <v>45</v>
      </c>
      <c r="I73" s="187">
        <v>2</v>
      </c>
      <c r="J73" s="188">
        <v>500.48</v>
      </c>
      <c r="K73" s="189">
        <f t="shared" ref="K73:K134" si="22">ROUND(I73*J73,2)</f>
        <v>1000.96</v>
      </c>
      <c r="L73" s="187"/>
      <c r="M73" s="137"/>
      <c r="N73" s="138"/>
      <c r="O73" s="136">
        <f t="shared" ref="O73:O79" si="23">SUM(L73,I73)</f>
        <v>2</v>
      </c>
      <c r="P73" s="137">
        <f t="shared" ref="P73:P79" si="24">IF(M73&lt;&gt;"",M73,J73)</f>
        <v>500.48</v>
      </c>
      <c r="Q73" s="138">
        <f t="shared" ref="Q73:Q79" si="25">ROUND(O73*P73,2)</f>
        <v>1000.96</v>
      </c>
    </row>
    <row r="74" spans="1:17" ht="22.5" x14ac:dyDescent="0.25">
      <c r="A74" s="183" t="s">
        <v>7197</v>
      </c>
      <c r="B74" s="183" t="s">
        <v>7198</v>
      </c>
      <c r="C74" s="184" t="s">
        <v>88</v>
      </c>
      <c r="D74" s="184" t="s">
        <v>1</v>
      </c>
      <c r="E74" s="185" t="s">
        <v>7079</v>
      </c>
      <c r="F74" s="185">
        <v>95</v>
      </c>
      <c r="G74" s="185">
        <v>20</v>
      </c>
      <c r="H74" s="186">
        <v>45</v>
      </c>
      <c r="I74" s="187">
        <v>1</v>
      </c>
      <c r="J74" s="188">
        <v>500.48</v>
      </c>
      <c r="K74" s="189">
        <f t="shared" si="22"/>
        <v>500.48</v>
      </c>
      <c r="L74" s="187"/>
      <c r="M74" s="137"/>
      <c r="N74" s="138"/>
      <c r="O74" s="136">
        <f t="shared" si="23"/>
        <v>1</v>
      </c>
      <c r="P74" s="137">
        <f t="shared" si="24"/>
        <v>500.48</v>
      </c>
      <c r="Q74" s="138">
        <f t="shared" si="25"/>
        <v>500.48</v>
      </c>
    </row>
    <row r="75" spans="1:17" ht="22.5" x14ac:dyDescent="0.25">
      <c r="A75" s="183" t="s">
        <v>7199</v>
      </c>
      <c r="B75" s="183" t="s">
        <v>7200</v>
      </c>
      <c r="C75" s="184" t="s">
        <v>88</v>
      </c>
      <c r="D75" s="184" t="s">
        <v>1</v>
      </c>
      <c r="E75" s="185" t="s">
        <v>7079</v>
      </c>
      <c r="F75" s="185">
        <v>95</v>
      </c>
      <c r="G75" s="185">
        <v>20</v>
      </c>
      <c r="H75" s="186">
        <v>45</v>
      </c>
      <c r="I75" s="187">
        <v>1</v>
      </c>
      <c r="J75" s="188">
        <v>500.48</v>
      </c>
      <c r="K75" s="189">
        <f t="shared" si="22"/>
        <v>500.48</v>
      </c>
      <c r="L75" s="187"/>
      <c r="M75" s="137"/>
      <c r="N75" s="138"/>
      <c r="O75" s="136">
        <f t="shared" si="23"/>
        <v>1</v>
      </c>
      <c r="P75" s="137">
        <f t="shared" si="24"/>
        <v>500.48</v>
      </c>
      <c r="Q75" s="138">
        <f t="shared" si="25"/>
        <v>500.48</v>
      </c>
    </row>
    <row r="76" spans="1:17" ht="33.75" x14ac:dyDescent="0.25">
      <c r="A76" s="183" t="s">
        <v>7201</v>
      </c>
      <c r="B76" s="183" t="s">
        <v>7202</v>
      </c>
      <c r="C76" s="184" t="s">
        <v>88</v>
      </c>
      <c r="D76" s="184" t="s">
        <v>1</v>
      </c>
      <c r="E76" s="185" t="s">
        <v>7079</v>
      </c>
      <c r="F76" s="185">
        <v>95</v>
      </c>
      <c r="G76" s="185">
        <v>20</v>
      </c>
      <c r="H76" s="186">
        <v>45</v>
      </c>
      <c r="I76" s="187">
        <v>2</v>
      </c>
      <c r="J76" s="188">
        <v>500.48</v>
      </c>
      <c r="K76" s="189">
        <f t="shared" si="22"/>
        <v>1000.96</v>
      </c>
      <c r="L76" s="187"/>
      <c r="M76" s="137"/>
      <c r="N76" s="138"/>
      <c r="O76" s="136">
        <f t="shared" si="23"/>
        <v>2</v>
      </c>
      <c r="P76" s="137">
        <f t="shared" si="24"/>
        <v>500.48</v>
      </c>
      <c r="Q76" s="138">
        <f t="shared" si="25"/>
        <v>1000.96</v>
      </c>
    </row>
    <row r="77" spans="1:17" ht="22.5" x14ac:dyDescent="0.25">
      <c r="A77" s="183" t="s">
        <v>7203</v>
      </c>
      <c r="B77" s="183" t="s">
        <v>7204</v>
      </c>
      <c r="C77" s="184" t="s">
        <v>911</v>
      </c>
      <c r="D77" s="184" t="s">
        <v>1</v>
      </c>
      <c r="E77" s="185" t="s">
        <v>7193</v>
      </c>
      <c r="F77" s="185">
        <v>75</v>
      </c>
      <c r="G77" s="185">
        <v>60</v>
      </c>
      <c r="H77" s="186" t="s">
        <v>7205</v>
      </c>
      <c r="I77" s="187">
        <v>2</v>
      </c>
      <c r="J77" s="188">
        <v>3000.17</v>
      </c>
      <c r="K77" s="189">
        <f t="shared" si="22"/>
        <v>6000.34</v>
      </c>
      <c r="L77" s="187"/>
      <c r="M77" s="137"/>
      <c r="N77" s="138"/>
      <c r="O77" s="136">
        <f t="shared" si="23"/>
        <v>2</v>
      </c>
      <c r="P77" s="137">
        <f t="shared" si="24"/>
        <v>3000.17</v>
      </c>
      <c r="Q77" s="138">
        <f t="shared" si="25"/>
        <v>6000.34</v>
      </c>
    </row>
    <row r="78" spans="1:17" ht="22.5" x14ac:dyDescent="0.25">
      <c r="A78" s="183" t="s">
        <v>7206</v>
      </c>
      <c r="B78" s="183" t="s">
        <v>7207</v>
      </c>
      <c r="C78" s="184" t="s">
        <v>911</v>
      </c>
      <c r="D78" s="184" t="s">
        <v>1</v>
      </c>
      <c r="E78" s="185" t="s">
        <v>7193</v>
      </c>
      <c r="F78" s="185">
        <v>75</v>
      </c>
      <c r="G78" s="185">
        <v>60</v>
      </c>
      <c r="H78" s="186" t="s">
        <v>7205</v>
      </c>
      <c r="I78" s="187">
        <v>1</v>
      </c>
      <c r="J78" s="188">
        <v>553.21</v>
      </c>
      <c r="K78" s="189">
        <f t="shared" si="22"/>
        <v>553.21</v>
      </c>
      <c r="L78" s="187"/>
      <c r="M78" s="137"/>
      <c r="N78" s="138"/>
      <c r="O78" s="136">
        <f t="shared" si="23"/>
        <v>1</v>
      </c>
      <c r="P78" s="137">
        <f t="shared" si="24"/>
        <v>553.21</v>
      </c>
      <c r="Q78" s="138">
        <f t="shared" si="25"/>
        <v>553.21</v>
      </c>
    </row>
    <row r="79" spans="1:17" ht="22.5" x14ac:dyDescent="0.25">
      <c r="A79" s="183" t="s">
        <v>7208</v>
      </c>
      <c r="B79" s="183" t="s">
        <v>7209</v>
      </c>
      <c r="C79" s="184" t="s">
        <v>911</v>
      </c>
      <c r="D79" s="184" t="s">
        <v>1</v>
      </c>
      <c r="E79" s="185" t="s">
        <v>7193</v>
      </c>
      <c r="F79" s="185">
        <v>75</v>
      </c>
      <c r="G79" s="185">
        <v>60</v>
      </c>
      <c r="H79" s="186" t="s">
        <v>7205</v>
      </c>
      <c r="I79" s="187">
        <v>5</v>
      </c>
      <c r="J79" s="188">
        <v>658.91</v>
      </c>
      <c r="K79" s="189">
        <f t="shared" si="22"/>
        <v>3294.55</v>
      </c>
      <c r="L79" s="187"/>
      <c r="M79" s="137"/>
      <c r="N79" s="138"/>
      <c r="O79" s="136">
        <f t="shared" si="23"/>
        <v>5</v>
      </c>
      <c r="P79" s="137">
        <f t="shared" si="24"/>
        <v>658.91</v>
      </c>
      <c r="Q79" s="138">
        <f t="shared" si="25"/>
        <v>3294.55</v>
      </c>
    </row>
    <row r="80" spans="1:17" x14ac:dyDescent="0.25">
      <c r="A80" s="139" t="s">
        <v>7210</v>
      </c>
      <c r="B80" s="139" t="s">
        <v>7211</v>
      </c>
      <c r="C80" s="140"/>
      <c r="D80" s="140"/>
      <c r="E80" s="141"/>
      <c r="F80" s="142"/>
      <c r="G80" s="142"/>
      <c r="H80" s="143"/>
      <c r="I80" s="144"/>
      <c r="J80" s="145" t="s">
        <v>7083</v>
      </c>
      <c r="K80" s="146"/>
      <c r="L80" s="144"/>
      <c r="M80" s="145" t="s">
        <v>7083</v>
      </c>
      <c r="N80" s="146"/>
      <c r="O80" s="144"/>
      <c r="P80" s="145" t="s">
        <v>7083</v>
      </c>
      <c r="Q80" s="146"/>
    </row>
    <row r="81" spans="1:17" x14ac:dyDescent="0.25">
      <c r="A81" s="169" t="s">
        <v>7212</v>
      </c>
      <c r="B81" s="169" t="s">
        <v>7213</v>
      </c>
      <c r="C81" s="170"/>
      <c r="D81" s="170"/>
      <c r="E81" s="171"/>
      <c r="F81" s="171"/>
      <c r="G81" s="171"/>
      <c r="H81" s="172"/>
      <c r="I81" s="173"/>
      <c r="J81" s="174" t="s">
        <v>7083</v>
      </c>
      <c r="K81" s="175"/>
      <c r="L81" s="173"/>
      <c r="M81" s="174" t="s">
        <v>7083</v>
      </c>
      <c r="N81" s="175"/>
      <c r="O81" s="173"/>
      <c r="P81" s="174" t="s">
        <v>7083</v>
      </c>
      <c r="Q81" s="175"/>
    </row>
    <row r="82" spans="1:17" x14ac:dyDescent="0.25">
      <c r="A82" s="176" t="s">
        <v>303</v>
      </c>
      <c r="B82" s="176" t="s">
        <v>7214</v>
      </c>
      <c r="C82" s="177"/>
      <c r="D82" s="177"/>
      <c r="E82" s="178"/>
      <c r="F82" s="178"/>
      <c r="G82" s="178"/>
      <c r="H82" s="179"/>
      <c r="I82" s="180"/>
      <c r="J82" s="181" t="s">
        <v>7083</v>
      </c>
      <c r="K82" s="182"/>
      <c r="L82" s="180"/>
      <c r="M82" s="181" t="s">
        <v>7083</v>
      </c>
      <c r="N82" s="182"/>
      <c r="O82" s="180"/>
      <c r="P82" s="181" t="s">
        <v>7083</v>
      </c>
      <c r="Q82" s="182"/>
    </row>
    <row r="83" spans="1:17" x14ac:dyDescent="0.25">
      <c r="A83" s="183" t="s">
        <v>7215</v>
      </c>
      <c r="B83" s="183" t="s">
        <v>7216</v>
      </c>
      <c r="C83" s="184" t="s">
        <v>88</v>
      </c>
      <c r="D83" s="184" t="s">
        <v>1</v>
      </c>
      <c r="E83" s="185" t="s">
        <v>7193</v>
      </c>
      <c r="F83" s="185">
        <v>55</v>
      </c>
      <c r="G83" s="185">
        <v>30</v>
      </c>
      <c r="H83" s="186">
        <v>0</v>
      </c>
      <c r="I83" s="187">
        <v>1.28</v>
      </c>
      <c r="J83" s="188">
        <v>2459.9699999999998</v>
      </c>
      <c r="K83" s="189">
        <f t="shared" si="22"/>
        <v>3148.76</v>
      </c>
      <c r="L83" s="187"/>
      <c r="M83" s="137"/>
      <c r="N83" s="138"/>
      <c r="O83" s="136">
        <f>SUM(L83,I83)</f>
        <v>1.28</v>
      </c>
      <c r="P83" s="137">
        <f>IF(M83&lt;&gt;"",M83,J83)</f>
        <v>2459.9699999999998</v>
      </c>
      <c r="Q83" s="138">
        <f>ROUND(O83*P83,2)</f>
        <v>3148.76</v>
      </c>
    </row>
    <row r="84" spans="1:17" x14ac:dyDescent="0.25">
      <c r="A84" s="139" t="s">
        <v>7217</v>
      </c>
      <c r="B84" s="139" t="s">
        <v>7218</v>
      </c>
      <c r="C84" s="140"/>
      <c r="D84" s="140"/>
      <c r="E84" s="141"/>
      <c r="F84" s="142"/>
      <c r="G84" s="142"/>
      <c r="H84" s="143"/>
      <c r="I84" s="144"/>
      <c r="J84" s="145" t="s">
        <v>7083</v>
      </c>
      <c r="K84" s="146"/>
      <c r="L84" s="144"/>
      <c r="M84" s="145" t="s">
        <v>7083</v>
      </c>
      <c r="N84" s="146"/>
      <c r="O84" s="144"/>
      <c r="P84" s="145" t="s">
        <v>7083</v>
      </c>
      <c r="Q84" s="146"/>
    </row>
    <row r="85" spans="1:17" x14ac:dyDescent="0.25">
      <c r="A85" s="169" t="s">
        <v>7219</v>
      </c>
      <c r="B85" s="169" t="s">
        <v>7220</v>
      </c>
      <c r="C85" s="170"/>
      <c r="D85" s="170"/>
      <c r="E85" s="171"/>
      <c r="F85" s="171"/>
      <c r="G85" s="171"/>
      <c r="H85" s="172"/>
      <c r="I85" s="173"/>
      <c r="J85" s="174" t="s">
        <v>7083</v>
      </c>
      <c r="K85" s="175"/>
      <c r="L85" s="173"/>
      <c r="M85" s="174" t="s">
        <v>7083</v>
      </c>
      <c r="N85" s="175"/>
      <c r="O85" s="173"/>
      <c r="P85" s="174" t="s">
        <v>7083</v>
      </c>
      <c r="Q85" s="175"/>
    </row>
    <row r="86" spans="1:17" x14ac:dyDescent="0.25">
      <c r="A86" s="176" t="s">
        <v>7221</v>
      </c>
      <c r="B86" s="176" t="s">
        <v>7222</v>
      </c>
      <c r="C86" s="177"/>
      <c r="D86" s="177"/>
      <c r="E86" s="178"/>
      <c r="F86" s="178"/>
      <c r="G86" s="178"/>
      <c r="H86" s="179"/>
      <c r="I86" s="180"/>
      <c r="J86" s="181" t="s">
        <v>7083</v>
      </c>
      <c r="K86" s="182"/>
      <c r="L86" s="180"/>
      <c r="M86" s="181" t="s">
        <v>7083</v>
      </c>
      <c r="N86" s="182"/>
      <c r="O86" s="180"/>
      <c r="P86" s="181" t="s">
        <v>7083</v>
      </c>
      <c r="Q86" s="182"/>
    </row>
    <row r="87" spans="1:17" ht="22.5" x14ac:dyDescent="0.25">
      <c r="A87" s="183" t="s">
        <v>7223</v>
      </c>
      <c r="B87" s="183" t="s">
        <v>7224</v>
      </c>
      <c r="C87" s="184" t="s">
        <v>378</v>
      </c>
      <c r="D87" s="184" t="s">
        <v>1</v>
      </c>
      <c r="E87" s="185" t="s">
        <v>7193</v>
      </c>
      <c r="F87" s="185">
        <v>60</v>
      </c>
      <c r="G87" s="185">
        <v>10</v>
      </c>
      <c r="H87" s="186">
        <v>0</v>
      </c>
      <c r="I87" s="187">
        <v>58</v>
      </c>
      <c r="J87" s="188">
        <v>1537.61</v>
      </c>
      <c r="K87" s="189">
        <f t="shared" si="22"/>
        <v>89181.38</v>
      </c>
      <c r="L87" s="187"/>
      <c r="M87" s="137"/>
      <c r="N87" s="138"/>
      <c r="O87" s="136">
        <f>SUM(L87,I87)</f>
        <v>58</v>
      </c>
      <c r="P87" s="137">
        <f>IF(M87&lt;&gt;"",M87,J87)</f>
        <v>1537.61</v>
      </c>
      <c r="Q87" s="138">
        <f>ROUND(O87*P87,2)</f>
        <v>89181.38</v>
      </c>
    </row>
    <row r="88" spans="1:17" x14ac:dyDescent="0.25">
      <c r="A88" s="176" t="s">
        <v>7225</v>
      </c>
      <c r="B88" s="176" t="s">
        <v>7226</v>
      </c>
      <c r="C88" s="177"/>
      <c r="D88" s="177"/>
      <c r="E88" s="178"/>
      <c r="F88" s="178"/>
      <c r="G88" s="178"/>
      <c r="H88" s="179"/>
      <c r="I88" s="180"/>
      <c r="J88" s="181" t="s">
        <v>7083</v>
      </c>
      <c r="K88" s="182"/>
      <c r="L88" s="180"/>
      <c r="M88" s="181" t="s">
        <v>7083</v>
      </c>
      <c r="N88" s="182"/>
      <c r="O88" s="180"/>
      <c r="P88" s="181" t="s">
        <v>7083</v>
      </c>
      <c r="Q88" s="182"/>
    </row>
    <row r="89" spans="1:17" ht="33.75" x14ac:dyDescent="0.25">
      <c r="A89" s="183" t="s">
        <v>7227</v>
      </c>
      <c r="B89" s="183" t="s">
        <v>7228</v>
      </c>
      <c r="C89" s="184" t="s">
        <v>378</v>
      </c>
      <c r="D89" s="184" t="s">
        <v>1</v>
      </c>
      <c r="E89" s="185" t="s">
        <v>7193</v>
      </c>
      <c r="F89" s="185">
        <v>60</v>
      </c>
      <c r="G89" s="185">
        <v>10</v>
      </c>
      <c r="H89" s="186">
        <v>0</v>
      </c>
      <c r="I89" s="187">
        <v>28.2</v>
      </c>
      <c r="J89" s="188">
        <v>3036.89</v>
      </c>
      <c r="K89" s="189">
        <f t="shared" si="22"/>
        <v>85640.3</v>
      </c>
      <c r="L89" s="187"/>
      <c r="M89" s="137"/>
      <c r="N89" s="138"/>
      <c r="O89" s="136">
        <f t="shared" ref="O89:O90" si="26">SUM(L89,I89)</f>
        <v>28.2</v>
      </c>
      <c r="P89" s="137">
        <f t="shared" ref="P89:P90" si="27">IF(M89&lt;&gt;"",M89,J89)</f>
        <v>3036.89</v>
      </c>
      <c r="Q89" s="138">
        <f t="shared" ref="Q89:Q90" si="28">ROUND(O89*P89,2)</f>
        <v>85640.3</v>
      </c>
    </row>
    <row r="90" spans="1:17" ht="33.75" x14ac:dyDescent="0.25">
      <c r="A90" s="183" t="s">
        <v>7229</v>
      </c>
      <c r="B90" s="183" t="s">
        <v>7230</v>
      </c>
      <c r="C90" s="184" t="s">
        <v>378</v>
      </c>
      <c r="D90" s="184" t="s">
        <v>1</v>
      </c>
      <c r="E90" s="185" t="s">
        <v>7193</v>
      </c>
      <c r="F90" s="185">
        <v>60</v>
      </c>
      <c r="G90" s="185">
        <v>10</v>
      </c>
      <c r="H90" s="186">
        <v>0</v>
      </c>
      <c r="I90" s="187">
        <v>22</v>
      </c>
      <c r="J90" s="188">
        <v>3956.16</v>
      </c>
      <c r="K90" s="189">
        <f t="shared" si="22"/>
        <v>87035.520000000004</v>
      </c>
      <c r="L90" s="187"/>
      <c r="M90" s="137"/>
      <c r="N90" s="138"/>
      <c r="O90" s="136">
        <f t="shared" si="26"/>
        <v>22</v>
      </c>
      <c r="P90" s="137">
        <f t="shared" si="27"/>
        <v>3956.16</v>
      </c>
      <c r="Q90" s="138">
        <f t="shared" si="28"/>
        <v>87035.520000000004</v>
      </c>
    </row>
    <row r="91" spans="1:17" x14ac:dyDescent="0.25">
      <c r="A91" s="176" t="s">
        <v>7231</v>
      </c>
      <c r="B91" s="176" t="s">
        <v>7232</v>
      </c>
      <c r="C91" s="177"/>
      <c r="D91" s="177"/>
      <c r="E91" s="178"/>
      <c r="F91" s="178"/>
      <c r="G91" s="178"/>
      <c r="H91" s="179"/>
      <c r="I91" s="180"/>
      <c r="J91" s="181" t="s">
        <v>7083</v>
      </c>
      <c r="K91" s="182"/>
      <c r="L91" s="180"/>
      <c r="M91" s="181" t="s">
        <v>7083</v>
      </c>
      <c r="N91" s="182"/>
      <c r="O91" s="180"/>
      <c r="P91" s="181" t="s">
        <v>7083</v>
      </c>
      <c r="Q91" s="182"/>
    </row>
    <row r="92" spans="1:17" ht="22.5" x14ac:dyDescent="0.25">
      <c r="A92" s="183" t="s">
        <v>7233</v>
      </c>
      <c r="B92" s="183" t="s">
        <v>7234</v>
      </c>
      <c r="C92" s="184" t="s">
        <v>378</v>
      </c>
      <c r="D92" s="184" t="s">
        <v>1</v>
      </c>
      <c r="E92" s="185" t="s">
        <v>7193</v>
      </c>
      <c r="F92" s="185">
        <v>60</v>
      </c>
      <c r="G92" s="185">
        <v>10</v>
      </c>
      <c r="H92" s="186">
        <v>5</v>
      </c>
      <c r="I92" s="187">
        <v>150</v>
      </c>
      <c r="J92" s="188">
        <v>494.11</v>
      </c>
      <c r="K92" s="189">
        <f t="shared" si="22"/>
        <v>74116.5</v>
      </c>
      <c r="L92" s="187"/>
      <c r="M92" s="137"/>
      <c r="N92" s="138"/>
      <c r="O92" s="136">
        <f>SUM(L92,I92)</f>
        <v>150</v>
      </c>
      <c r="P92" s="137">
        <f>IF(M92&lt;&gt;"",M92,J92)</f>
        <v>494.11</v>
      </c>
      <c r="Q92" s="138">
        <f>ROUND(O92*P92,2)</f>
        <v>74116.5</v>
      </c>
    </row>
    <row r="93" spans="1:17" x14ac:dyDescent="0.25">
      <c r="A93" s="176" t="s">
        <v>7235</v>
      </c>
      <c r="B93" s="176" t="s">
        <v>7236</v>
      </c>
      <c r="C93" s="177"/>
      <c r="D93" s="177"/>
      <c r="E93" s="178"/>
      <c r="F93" s="178"/>
      <c r="G93" s="178"/>
      <c r="H93" s="179"/>
      <c r="I93" s="180"/>
      <c r="J93" s="181" t="s">
        <v>7083</v>
      </c>
      <c r="K93" s="182"/>
      <c r="L93" s="180"/>
      <c r="M93" s="181" t="s">
        <v>7083</v>
      </c>
      <c r="N93" s="182"/>
      <c r="O93" s="180"/>
      <c r="P93" s="181" t="s">
        <v>7083</v>
      </c>
      <c r="Q93" s="182"/>
    </row>
    <row r="94" spans="1:17" ht="22.5" x14ac:dyDescent="0.25">
      <c r="A94" s="183" t="s">
        <v>7237</v>
      </c>
      <c r="B94" s="183" t="s">
        <v>7238</v>
      </c>
      <c r="C94" s="184" t="s">
        <v>378</v>
      </c>
      <c r="D94" s="184" t="s">
        <v>1</v>
      </c>
      <c r="E94" s="185" t="s">
        <v>7193</v>
      </c>
      <c r="F94" s="185">
        <v>60</v>
      </c>
      <c r="G94" s="185">
        <v>10</v>
      </c>
      <c r="H94" s="186">
        <v>5</v>
      </c>
      <c r="I94" s="187">
        <v>50</v>
      </c>
      <c r="J94" s="188">
        <v>637.52</v>
      </c>
      <c r="K94" s="189">
        <f t="shared" si="22"/>
        <v>31876</v>
      </c>
      <c r="L94" s="187"/>
      <c r="M94" s="137"/>
      <c r="N94" s="138"/>
      <c r="O94" s="136">
        <f t="shared" ref="O94:O100" si="29">SUM(L94,I94)</f>
        <v>50</v>
      </c>
      <c r="P94" s="137">
        <f t="shared" ref="P94:P100" si="30">IF(M94&lt;&gt;"",M94,J94)</f>
        <v>637.52</v>
      </c>
      <c r="Q94" s="138">
        <f t="shared" ref="Q94:Q100" si="31">ROUND(O94*P94,2)</f>
        <v>31876</v>
      </c>
    </row>
    <row r="95" spans="1:17" ht="22.5" x14ac:dyDescent="0.25">
      <c r="A95" s="183" t="s">
        <v>7239</v>
      </c>
      <c r="B95" s="183" t="s">
        <v>7240</v>
      </c>
      <c r="C95" s="184" t="s">
        <v>378</v>
      </c>
      <c r="D95" s="184" t="s">
        <v>1</v>
      </c>
      <c r="E95" s="185" t="s">
        <v>7193</v>
      </c>
      <c r="F95" s="185">
        <v>60</v>
      </c>
      <c r="G95" s="185">
        <v>10</v>
      </c>
      <c r="H95" s="186">
        <v>0</v>
      </c>
      <c r="I95" s="187">
        <v>6</v>
      </c>
      <c r="J95" s="188">
        <v>2178.36</v>
      </c>
      <c r="K95" s="189">
        <f t="shared" si="22"/>
        <v>13070.16</v>
      </c>
      <c r="L95" s="187">
        <v>4</v>
      </c>
      <c r="M95" s="137">
        <f>J95</f>
        <v>2178.36</v>
      </c>
      <c r="N95" s="189">
        <f t="shared" ref="N95:N96" si="32">ROUND(L95*M95,2)</f>
        <v>8713.44</v>
      </c>
      <c r="O95" s="136">
        <f t="shared" si="29"/>
        <v>10</v>
      </c>
      <c r="P95" s="137">
        <f t="shared" si="30"/>
        <v>2178.36</v>
      </c>
      <c r="Q95" s="138">
        <f t="shared" si="31"/>
        <v>21783.599999999999</v>
      </c>
    </row>
    <row r="96" spans="1:17" ht="22.5" x14ac:dyDescent="0.25">
      <c r="A96" s="183" t="s">
        <v>7241</v>
      </c>
      <c r="B96" s="183" t="s">
        <v>7242</v>
      </c>
      <c r="C96" s="184" t="s">
        <v>378</v>
      </c>
      <c r="D96" s="184" t="s">
        <v>1</v>
      </c>
      <c r="E96" s="185" t="s">
        <v>7193</v>
      </c>
      <c r="F96" s="185">
        <v>60</v>
      </c>
      <c r="G96" s="185">
        <v>10</v>
      </c>
      <c r="H96" s="186">
        <v>0</v>
      </c>
      <c r="I96" s="187">
        <v>12</v>
      </c>
      <c r="J96" s="188">
        <v>3075.69</v>
      </c>
      <c r="K96" s="189">
        <f t="shared" si="22"/>
        <v>36908.28</v>
      </c>
      <c r="L96" s="187">
        <v>9</v>
      </c>
      <c r="M96" s="137">
        <f>J96</f>
        <v>3075.69</v>
      </c>
      <c r="N96" s="189">
        <f t="shared" si="32"/>
        <v>27681.21</v>
      </c>
      <c r="O96" s="136">
        <f t="shared" si="29"/>
        <v>21</v>
      </c>
      <c r="P96" s="137">
        <f t="shared" si="30"/>
        <v>3075.69</v>
      </c>
      <c r="Q96" s="138">
        <f t="shared" si="31"/>
        <v>64589.49</v>
      </c>
    </row>
    <row r="97" spans="1:17" ht="22.5" x14ac:dyDescent="0.25">
      <c r="A97" s="183" t="s">
        <v>7243</v>
      </c>
      <c r="B97" s="183" t="s">
        <v>7244</v>
      </c>
      <c r="C97" s="184" t="s">
        <v>378</v>
      </c>
      <c r="D97" s="184" t="s">
        <v>1</v>
      </c>
      <c r="E97" s="185" t="s">
        <v>7193</v>
      </c>
      <c r="F97" s="185">
        <v>60</v>
      </c>
      <c r="G97" s="185">
        <v>10</v>
      </c>
      <c r="H97" s="186">
        <v>0</v>
      </c>
      <c r="I97" s="187">
        <v>12</v>
      </c>
      <c r="J97" s="188">
        <v>4025.52</v>
      </c>
      <c r="K97" s="189">
        <f t="shared" si="22"/>
        <v>48306.239999999998</v>
      </c>
      <c r="L97" s="187"/>
      <c r="M97" s="137"/>
      <c r="N97" s="138"/>
      <c r="O97" s="136">
        <f t="shared" si="29"/>
        <v>12</v>
      </c>
      <c r="P97" s="137">
        <f t="shared" si="30"/>
        <v>4025.52</v>
      </c>
      <c r="Q97" s="138">
        <f t="shared" si="31"/>
        <v>48306.239999999998</v>
      </c>
    </row>
    <row r="98" spans="1:17" ht="22.5" x14ac:dyDescent="0.25">
      <c r="A98" s="183" t="s">
        <v>7245</v>
      </c>
      <c r="B98" s="183" t="s">
        <v>7246</v>
      </c>
      <c r="C98" s="184" t="s">
        <v>378</v>
      </c>
      <c r="D98" s="184" t="s">
        <v>1</v>
      </c>
      <c r="E98" s="185" t="s">
        <v>7193</v>
      </c>
      <c r="F98" s="185">
        <v>60</v>
      </c>
      <c r="G98" s="185">
        <v>10</v>
      </c>
      <c r="H98" s="186">
        <v>0</v>
      </c>
      <c r="I98" s="187">
        <v>12</v>
      </c>
      <c r="J98" s="188">
        <v>4888.55</v>
      </c>
      <c r="K98" s="189">
        <f t="shared" si="22"/>
        <v>58662.6</v>
      </c>
      <c r="L98" s="187"/>
      <c r="M98" s="137"/>
      <c r="N98" s="138"/>
      <c r="O98" s="136">
        <f t="shared" si="29"/>
        <v>12</v>
      </c>
      <c r="P98" s="137">
        <f t="shared" si="30"/>
        <v>4888.55</v>
      </c>
      <c r="Q98" s="138">
        <f t="shared" si="31"/>
        <v>58662.6</v>
      </c>
    </row>
    <row r="99" spans="1:17" ht="22.5" x14ac:dyDescent="0.25">
      <c r="A99" s="183" t="s">
        <v>7247</v>
      </c>
      <c r="B99" s="183" t="s">
        <v>7248</v>
      </c>
      <c r="C99" s="184" t="s">
        <v>378</v>
      </c>
      <c r="D99" s="184" t="s">
        <v>1</v>
      </c>
      <c r="E99" s="185" t="s">
        <v>7193</v>
      </c>
      <c r="F99" s="185">
        <v>60</v>
      </c>
      <c r="G99" s="185">
        <v>10</v>
      </c>
      <c r="H99" s="186">
        <v>0</v>
      </c>
      <c r="I99" s="187">
        <v>12</v>
      </c>
      <c r="J99" s="188">
        <v>5775.2</v>
      </c>
      <c r="K99" s="189">
        <f t="shared" si="22"/>
        <v>69302.399999999994</v>
      </c>
      <c r="L99" s="187"/>
      <c r="M99" s="137"/>
      <c r="N99" s="138"/>
      <c r="O99" s="136">
        <f t="shared" si="29"/>
        <v>12</v>
      </c>
      <c r="P99" s="137">
        <f t="shared" si="30"/>
        <v>5775.2</v>
      </c>
      <c r="Q99" s="138">
        <f t="shared" si="31"/>
        <v>69302.399999999994</v>
      </c>
    </row>
    <row r="100" spans="1:17" ht="22.5" x14ac:dyDescent="0.25">
      <c r="A100" s="183" t="s">
        <v>7249</v>
      </c>
      <c r="B100" s="183" t="s">
        <v>7250</v>
      </c>
      <c r="C100" s="184" t="s">
        <v>378</v>
      </c>
      <c r="D100" s="184" t="s">
        <v>1</v>
      </c>
      <c r="E100" s="185" t="s">
        <v>7193</v>
      </c>
      <c r="F100" s="185">
        <v>60</v>
      </c>
      <c r="G100" s="185">
        <v>10</v>
      </c>
      <c r="H100" s="186">
        <v>0</v>
      </c>
      <c r="I100" s="187">
        <v>12</v>
      </c>
      <c r="J100" s="188">
        <v>8263.81</v>
      </c>
      <c r="K100" s="189">
        <f t="shared" si="22"/>
        <v>99165.72</v>
      </c>
      <c r="L100" s="187"/>
      <c r="M100" s="137"/>
      <c r="N100" s="138"/>
      <c r="O100" s="136">
        <f t="shared" si="29"/>
        <v>12</v>
      </c>
      <c r="P100" s="137">
        <f t="shared" si="30"/>
        <v>8263.81</v>
      </c>
      <c r="Q100" s="138">
        <f t="shared" si="31"/>
        <v>99165.72</v>
      </c>
    </row>
    <row r="101" spans="1:17" ht="22.5" x14ac:dyDescent="0.25">
      <c r="A101" s="176" t="s">
        <v>7251</v>
      </c>
      <c r="B101" s="176" t="s">
        <v>7252</v>
      </c>
      <c r="C101" s="177"/>
      <c r="D101" s="177"/>
      <c r="E101" s="178"/>
      <c r="F101" s="178"/>
      <c r="G101" s="178"/>
      <c r="H101" s="179"/>
      <c r="I101" s="180"/>
      <c r="J101" s="181" t="s">
        <v>7083</v>
      </c>
      <c r="K101" s="182"/>
      <c r="L101" s="180"/>
      <c r="M101" s="181" t="s">
        <v>7083</v>
      </c>
      <c r="N101" s="182"/>
      <c r="O101" s="180"/>
      <c r="P101" s="181" t="s">
        <v>7083</v>
      </c>
      <c r="Q101" s="182"/>
    </row>
    <row r="102" spans="1:17" ht="45" x14ac:dyDescent="0.25">
      <c r="A102" s="183" t="s">
        <v>7253</v>
      </c>
      <c r="B102" s="183" t="s">
        <v>7254</v>
      </c>
      <c r="C102" s="184" t="s">
        <v>378</v>
      </c>
      <c r="D102" s="184" t="s">
        <v>1</v>
      </c>
      <c r="E102" s="185" t="s">
        <v>7193</v>
      </c>
      <c r="F102" s="185">
        <v>60</v>
      </c>
      <c r="G102" s="185">
        <v>10</v>
      </c>
      <c r="H102" s="186">
        <v>0</v>
      </c>
      <c r="I102" s="187">
        <v>15</v>
      </c>
      <c r="J102" s="188">
        <v>2145.02</v>
      </c>
      <c r="K102" s="189">
        <f t="shared" si="22"/>
        <v>32175.3</v>
      </c>
      <c r="L102" s="187"/>
      <c r="M102" s="137"/>
      <c r="N102" s="138"/>
      <c r="O102" s="136">
        <f t="shared" ref="O102:O109" si="33">SUM(L102,I102)</f>
        <v>15</v>
      </c>
      <c r="P102" s="137">
        <f t="shared" ref="P102:P109" si="34">IF(M102&lt;&gt;"",M102,J102)</f>
        <v>2145.02</v>
      </c>
      <c r="Q102" s="138">
        <f t="shared" ref="Q102:Q109" si="35">ROUND(O102*P102,2)</f>
        <v>32175.3</v>
      </c>
    </row>
    <row r="103" spans="1:17" ht="45" x14ac:dyDescent="0.25">
      <c r="A103" s="183" t="s">
        <v>7255</v>
      </c>
      <c r="B103" s="183" t="s">
        <v>7256</v>
      </c>
      <c r="C103" s="184" t="s">
        <v>378</v>
      </c>
      <c r="D103" s="184" t="s">
        <v>1</v>
      </c>
      <c r="E103" s="185" t="s">
        <v>7193</v>
      </c>
      <c r="F103" s="185">
        <v>60</v>
      </c>
      <c r="G103" s="185">
        <v>10</v>
      </c>
      <c r="H103" s="186">
        <v>0</v>
      </c>
      <c r="I103" s="187">
        <v>15</v>
      </c>
      <c r="J103" s="188">
        <v>3172.32</v>
      </c>
      <c r="K103" s="189">
        <f t="shared" si="22"/>
        <v>47584.800000000003</v>
      </c>
      <c r="L103" s="187">
        <f>12+64</f>
        <v>76</v>
      </c>
      <c r="M103" s="137">
        <f t="shared" ref="M103:M105" si="36">J103</f>
        <v>3172.32</v>
      </c>
      <c r="N103" s="189">
        <f t="shared" ref="N103:N105" si="37">ROUND(L103*M103,2)</f>
        <v>241096.32000000001</v>
      </c>
      <c r="O103" s="136">
        <f t="shared" si="33"/>
        <v>91</v>
      </c>
      <c r="P103" s="137">
        <f t="shared" si="34"/>
        <v>3172.32</v>
      </c>
      <c r="Q103" s="138">
        <f t="shared" si="35"/>
        <v>288681.12</v>
      </c>
    </row>
    <row r="104" spans="1:17" ht="45" x14ac:dyDescent="0.25">
      <c r="A104" s="183" t="s">
        <v>7257</v>
      </c>
      <c r="B104" s="183" t="s">
        <v>7258</v>
      </c>
      <c r="C104" s="184" t="s">
        <v>378</v>
      </c>
      <c r="D104" s="184" t="s">
        <v>1</v>
      </c>
      <c r="E104" s="185" t="s">
        <v>7193</v>
      </c>
      <c r="F104" s="185">
        <v>60</v>
      </c>
      <c r="G104" s="185">
        <v>10</v>
      </c>
      <c r="H104" s="186">
        <v>0</v>
      </c>
      <c r="I104" s="187">
        <v>15</v>
      </c>
      <c r="J104" s="188">
        <v>4133.26</v>
      </c>
      <c r="K104" s="189">
        <f t="shared" si="22"/>
        <v>61998.9</v>
      </c>
      <c r="L104" s="187">
        <v>38</v>
      </c>
      <c r="M104" s="137">
        <f t="shared" si="36"/>
        <v>4133.26</v>
      </c>
      <c r="N104" s="189">
        <f t="shared" si="37"/>
        <v>157063.88</v>
      </c>
      <c r="O104" s="136">
        <f t="shared" si="33"/>
        <v>53</v>
      </c>
      <c r="P104" s="137">
        <f t="shared" si="34"/>
        <v>4133.26</v>
      </c>
      <c r="Q104" s="138">
        <f t="shared" si="35"/>
        <v>219062.78</v>
      </c>
    </row>
    <row r="105" spans="1:17" ht="45" x14ac:dyDescent="0.25">
      <c r="A105" s="183" t="s">
        <v>7259</v>
      </c>
      <c r="B105" s="183" t="s">
        <v>7260</v>
      </c>
      <c r="C105" s="184" t="s">
        <v>378</v>
      </c>
      <c r="D105" s="184" t="s">
        <v>1</v>
      </c>
      <c r="E105" s="185" t="s">
        <v>7193</v>
      </c>
      <c r="F105" s="185">
        <v>60</v>
      </c>
      <c r="G105" s="185">
        <v>10</v>
      </c>
      <c r="H105" s="186">
        <v>0</v>
      </c>
      <c r="I105" s="187">
        <v>15</v>
      </c>
      <c r="J105" s="188">
        <v>5086</v>
      </c>
      <c r="K105" s="189">
        <f t="shared" si="22"/>
        <v>76290</v>
      </c>
      <c r="L105" s="187">
        <v>3</v>
      </c>
      <c r="M105" s="137">
        <f t="shared" si="36"/>
        <v>5086</v>
      </c>
      <c r="N105" s="189">
        <f t="shared" si="37"/>
        <v>15258</v>
      </c>
      <c r="O105" s="136">
        <f t="shared" si="33"/>
        <v>18</v>
      </c>
      <c r="P105" s="137">
        <f t="shared" si="34"/>
        <v>5086</v>
      </c>
      <c r="Q105" s="138">
        <f t="shared" si="35"/>
        <v>91548</v>
      </c>
    </row>
    <row r="106" spans="1:17" ht="45" x14ac:dyDescent="0.25">
      <c r="A106" s="183" t="s">
        <v>7261</v>
      </c>
      <c r="B106" s="183" t="s">
        <v>7262</v>
      </c>
      <c r="C106" s="184" t="s">
        <v>378</v>
      </c>
      <c r="D106" s="184" t="s">
        <v>1</v>
      </c>
      <c r="E106" s="185" t="s">
        <v>7193</v>
      </c>
      <c r="F106" s="185">
        <v>60</v>
      </c>
      <c r="G106" s="185">
        <v>10</v>
      </c>
      <c r="H106" s="186">
        <v>0</v>
      </c>
      <c r="I106" s="187">
        <v>15</v>
      </c>
      <c r="J106" s="188">
        <v>6156.57</v>
      </c>
      <c r="K106" s="189">
        <f t="shared" si="22"/>
        <v>92348.55</v>
      </c>
      <c r="L106" s="187"/>
      <c r="M106" s="137"/>
      <c r="N106" s="138"/>
      <c r="O106" s="136">
        <f t="shared" si="33"/>
        <v>15</v>
      </c>
      <c r="P106" s="137">
        <f t="shared" si="34"/>
        <v>6156.57</v>
      </c>
      <c r="Q106" s="138">
        <f t="shared" si="35"/>
        <v>92348.55</v>
      </c>
    </row>
    <row r="107" spans="1:17" ht="45" x14ac:dyDescent="0.25">
      <c r="A107" s="183" t="s">
        <v>7263</v>
      </c>
      <c r="B107" s="183" t="s">
        <v>7264</v>
      </c>
      <c r="C107" s="184" t="s">
        <v>378</v>
      </c>
      <c r="D107" s="184" t="s">
        <v>1</v>
      </c>
      <c r="E107" s="185" t="s">
        <v>7193</v>
      </c>
      <c r="F107" s="185">
        <v>60</v>
      </c>
      <c r="G107" s="185">
        <v>10</v>
      </c>
      <c r="H107" s="186">
        <v>0</v>
      </c>
      <c r="I107" s="187">
        <v>15</v>
      </c>
      <c r="J107" s="188">
        <v>7402.55</v>
      </c>
      <c r="K107" s="189">
        <f t="shared" si="22"/>
        <v>111038.25</v>
      </c>
      <c r="L107" s="187"/>
      <c r="M107" s="137"/>
      <c r="N107" s="138"/>
      <c r="O107" s="136">
        <f t="shared" si="33"/>
        <v>15</v>
      </c>
      <c r="P107" s="137">
        <f t="shared" si="34"/>
        <v>7402.55</v>
      </c>
      <c r="Q107" s="138">
        <f t="shared" si="35"/>
        <v>111038.25</v>
      </c>
    </row>
    <row r="108" spans="1:17" ht="45" x14ac:dyDescent="0.25">
      <c r="A108" s="183" t="s">
        <v>7265</v>
      </c>
      <c r="B108" s="183" t="s">
        <v>7266</v>
      </c>
      <c r="C108" s="184" t="s">
        <v>378</v>
      </c>
      <c r="D108" s="184" t="s">
        <v>1</v>
      </c>
      <c r="E108" s="185" t="s">
        <v>7193</v>
      </c>
      <c r="F108" s="185">
        <v>60</v>
      </c>
      <c r="G108" s="185">
        <v>10</v>
      </c>
      <c r="H108" s="186">
        <v>0</v>
      </c>
      <c r="I108" s="187">
        <v>15</v>
      </c>
      <c r="J108" s="188">
        <v>9532.16</v>
      </c>
      <c r="K108" s="189">
        <f t="shared" si="22"/>
        <v>142982.39999999999</v>
      </c>
      <c r="L108" s="187"/>
      <c r="M108" s="137"/>
      <c r="N108" s="138"/>
      <c r="O108" s="136">
        <f t="shared" si="33"/>
        <v>15</v>
      </c>
      <c r="P108" s="137">
        <f t="shared" si="34"/>
        <v>9532.16</v>
      </c>
      <c r="Q108" s="138">
        <f t="shared" si="35"/>
        <v>142982.39999999999</v>
      </c>
    </row>
    <row r="109" spans="1:17" ht="45" x14ac:dyDescent="0.25">
      <c r="A109" s="183" t="s">
        <v>7267</v>
      </c>
      <c r="B109" s="183" t="s">
        <v>7268</v>
      </c>
      <c r="C109" s="184" t="s">
        <v>378</v>
      </c>
      <c r="D109" s="184" t="s">
        <v>1</v>
      </c>
      <c r="E109" s="185" t="s">
        <v>7193</v>
      </c>
      <c r="F109" s="185">
        <v>60</v>
      </c>
      <c r="G109" s="185">
        <v>10</v>
      </c>
      <c r="H109" s="186">
        <v>0</v>
      </c>
      <c r="I109" s="187">
        <v>15</v>
      </c>
      <c r="J109" s="188">
        <v>9636.23</v>
      </c>
      <c r="K109" s="189">
        <f t="shared" si="22"/>
        <v>144543.45000000001</v>
      </c>
      <c r="L109" s="187"/>
      <c r="M109" s="137"/>
      <c r="N109" s="138"/>
      <c r="O109" s="136">
        <f t="shared" si="33"/>
        <v>15</v>
      </c>
      <c r="P109" s="137">
        <f t="shared" si="34"/>
        <v>9636.23</v>
      </c>
      <c r="Q109" s="138">
        <f t="shared" si="35"/>
        <v>144543.45000000001</v>
      </c>
    </row>
    <row r="110" spans="1:17" x14ac:dyDescent="0.25">
      <c r="A110" s="176" t="s">
        <v>7269</v>
      </c>
      <c r="B110" s="176" t="s">
        <v>7270</v>
      </c>
      <c r="C110" s="177"/>
      <c r="D110" s="177"/>
      <c r="E110" s="178"/>
      <c r="F110" s="178"/>
      <c r="G110" s="178"/>
      <c r="H110" s="179"/>
      <c r="I110" s="180"/>
      <c r="J110" s="181" t="s">
        <v>7083</v>
      </c>
      <c r="K110" s="182"/>
      <c r="L110" s="180"/>
      <c r="M110" s="181" t="s">
        <v>7083</v>
      </c>
      <c r="N110" s="182"/>
      <c r="O110" s="180"/>
      <c r="P110" s="181" t="s">
        <v>7083</v>
      </c>
      <c r="Q110" s="182"/>
    </row>
    <row r="111" spans="1:17" ht="45" x14ac:dyDescent="0.25">
      <c r="A111" s="183" t="s">
        <v>7271</v>
      </c>
      <c r="B111" s="183" t="s">
        <v>7272</v>
      </c>
      <c r="C111" s="184" t="s">
        <v>460</v>
      </c>
      <c r="D111" s="184" t="s">
        <v>1</v>
      </c>
      <c r="E111" s="185" t="s">
        <v>7193</v>
      </c>
      <c r="F111" s="185">
        <v>60</v>
      </c>
      <c r="G111" s="185">
        <v>20</v>
      </c>
      <c r="H111" s="186">
        <v>0</v>
      </c>
      <c r="I111" s="187">
        <v>12</v>
      </c>
      <c r="J111" s="188">
        <v>3037.05</v>
      </c>
      <c r="K111" s="189">
        <f t="shared" si="22"/>
        <v>36444.6</v>
      </c>
      <c r="L111" s="187"/>
      <c r="M111" s="137"/>
      <c r="N111" s="138"/>
      <c r="O111" s="136">
        <f>SUM(L111,I111)</f>
        <v>12</v>
      </c>
      <c r="P111" s="137">
        <f>IF(M111&lt;&gt;"",M111,J111)</f>
        <v>3037.05</v>
      </c>
      <c r="Q111" s="138">
        <f>ROUND(O111*P111,2)</f>
        <v>36444.6</v>
      </c>
    </row>
    <row r="112" spans="1:17" x14ac:dyDescent="0.25">
      <c r="A112" s="176" t="s">
        <v>7273</v>
      </c>
      <c r="B112" s="176" t="s">
        <v>7274</v>
      </c>
      <c r="C112" s="177"/>
      <c r="D112" s="177"/>
      <c r="E112" s="178"/>
      <c r="F112" s="178"/>
      <c r="G112" s="178"/>
      <c r="H112" s="179"/>
      <c r="I112" s="180"/>
      <c r="J112" s="181" t="s">
        <v>7083</v>
      </c>
      <c r="K112" s="182"/>
      <c r="L112" s="180"/>
      <c r="M112" s="181" t="s">
        <v>7083</v>
      </c>
      <c r="N112" s="182"/>
      <c r="O112" s="180"/>
      <c r="P112" s="181" t="s">
        <v>7083</v>
      </c>
      <c r="Q112" s="182"/>
    </row>
    <row r="113" spans="1:17" x14ac:dyDescent="0.25">
      <c r="A113" s="183" t="s">
        <v>7275</v>
      </c>
      <c r="B113" s="183" t="s">
        <v>7276</v>
      </c>
      <c r="C113" s="184" t="s">
        <v>460</v>
      </c>
      <c r="D113" s="184" t="s">
        <v>1</v>
      </c>
      <c r="E113" s="185" t="s">
        <v>7193</v>
      </c>
      <c r="F113" s="185">
        <v>60</v>
      </c>
      <c r="G113" s="185">
        <v>20</v>
      </c>
      <c r="H113" s="186">
        <v>0</v>
      </c>
      <c r="I113" s="187">
        <v>9</v>
      </c>
      <c r="J113" s="188">
        <v>2274.52</v>
      </c>
      <c r="K113" s="189">
        <f t="shared" si="22"/>
        <v>20470.68</v>
      </c>
      <c r="L113" s="187">
        <v>7</v>
      </c>
      <c r="M113" s="137">
        <f>J113</f>
        <v>2274.52</v>
      </c>
      <c r="N113" s="189">
        <f t="shared" ref="N113" si="38">ROUND(L113*M113,2)</f>
        <v>15921.64</v>
      </c>
      <c r="O113" s="136">
        <f>SUM(L113,I113)</f>
        <v>16</v>
      </c>
      <c r="P113" s="137">
        <f>IF(M113&lt;&gt;"",M113,J113)</f>
        <v>2274.52</v>
      </c>
      <c r="Q113" s="138">
        <f>ROUND(O113*P113,2)</f>
        <v>36392.32</v>
      </c>
    </row>
    <row r="114" spans="1:17" x14ac:dyDescent="0.25">
      <c r="A114" s="169" t="s">
        <v>7277</v>
      </c>
      <c r="B114" s="169" t="s">
        <v>7278</v>
      </c>
      <c r="C114" s="170"/>
      <c r="D114" s="170"/>
      <c r="E114" s="171"/>
      <c r="F114" s="171"/>
      <c r="G114" s="171"/>
      <c r="H114" s="172"/>
      <c r="I114" s="173"/>
      <c r="J114" s="174" t="s">
        <v>7083</v>
      </c>
      <c r="K114" s="175"/>
      <c r="L114" s="173"/>
      <c r="M114" s="174" t="s">
        <v>7083</v>
      </c>
      <c r="N114" s="175"/>
      <c r="O114" s="173"/>
      <c r="P114" s="174" t="s">
        <v>7083</v>
      </c>
      <c r="Q114" s="175"/>
    </row>
    <row r="115" spans="1:17" x14ac:dyDescent="0.25">
      <c r="A115" s="176" t="s">
        <v>7279</v>
      </c>
      <c r="B115" s="176" t="s">
        <v>7280</v>
      </c>
      <c r="C115" s="177"/>
      <c r="D115" s="177"/>
      <c r="E115" s="178"/>
      <c r="F115" s="178"/>
      <c r="G115" s="178"/>
      <c r="H115" s="179"/>
      <c r="I115" s="180"/>
      <c r="J115" s="181" t="s">
        <v>7083</v>
      </c>
      <c r="K115" s="182"/>
      <c r="L115" s="180"/>
      <c r="M115" s="181" t="s">
        <v>7083</v>
      </c>
      <c r="N115" s="182"/>
      <c r="O115" s="180"/>
      <c r="P115" s="181" t="s">
        <v>7083</v>
      </c>
      <c r="Q115" s="182"/>
    </row>
    <row r="116" spans="1:17" x14ac:dyDescent="0.25">
      <c r="A116" s="183" t="s">
        <v>7281</v>
      </c>
      <c r="B116" s="183" t="s">
        <v>7282</v>
      </c>
      <c r="C116" s="184" t="s">
        <v>460</v>
      </c>
      <c r="D116" s="184" t="s">
        <v>1</v>
      </c>
      <c r="E116" s="185" t="s">
        <v>7193</v>
      </c>
      <c r="F116" s="185">
        <v>30</v>
      </c>
      <c r="G116" s="185">
        <v>80</v>
      </c>
      <c r="H116" s="186">
        <v>0</v>
      </c>
      <c r="I116" s="187">
        <v>5</v>
      </c>
      <c r="J116" s="188">
        <v>1594.05</v>
      </c>
      <c r="K116" s="189">
        <f t="shared" si="22"/>
        <v>7970.25</v>
      </c>
      <c r="L116" s="187"/>
      <c r="M116" s="137"/>
      <c r="N116" s="138"/>
      <c r="O116" s="136">
        <f>SUM(L116,I116)</f>
        <v>5</v>
      </c>
      <c r="P116" s="137">
        <f>IF(M116&lt;&gt;"",M116,J116)</f>
        <v>1594.05</v>
      </c>
      <c r="Q116" s="138">
        <f>ROUND(O116*P116,2)</f>
        <v>7970.25</v>
      </c>
    </row>
    <row r="117" spans="1:17" x14ac:dyDescent="0.25">
      <c r="A117" s="210" t="s">
        <v>7283</v>
      </c>
      <c r="B117" s="210" t="s">
        <v>7284</v>
      </c>
      <c r="C117" s="177"/>
      <c r="D117" s="177"/>
      <c r="E117" s="178"/>
      <c r="F117" s="178"/>
      <c r="G117" s="178"/>
      <c r="H117" s="179"/>
      <c r="I117" s="211"/>
      <c r="J117" s="212" t="s">
        <v>7083</v>
      </c>
      <c r="K117" s="182"/>
      <c r="L117" s="211"/>
      <c r="M117" s="212" t="s">
        <v>7083</v>
      </c>
      <c r="N117" s="182"/>
      <c r="O117" s="211"/>
      <c r="P117" s="212" t="s">
        <v>7083</v>
      </c>
      <c r="Q117" s="182"/>
    </row>
    <row r="118" spans="1:17" x14ac:dyDescent="0.25">
      <c r="A118" s="183" t="s">
        <v>7285</v>
      </c>
      <c r="B118" s="183" t="s">
        <v>7286</v>
      </c>
      <c r="C118" s="184" t="s">
        <v>460</v>
      </c>
      <c r="D118" s="184" t="s">
        <v>1</v>
      </c>
      <c r="E118" s="185" t="s">
        <v>7193</v>
      </c>
      <c r="F118" s="185">
        <v>30</v>
      </c>
      <c r="G118" s="185">
        <v>80</v>
      </c>
      <c r="H118" s="186">
        <v>0</v>
      </c>
      <c r="I118" s="187">
        <v>5</v>
      </c>
      <c r="J118" s="188">
        <v>2171.2800000000002</v>
      </c>
      <c r="K118" s="189">
        <f t="shared" si="22"/>
        <v>10856.4</v>
      </c>
      <c r="L118" s="187"/>
      <c r="M118" s="137"/>
      <c r="N118" s="138"/>
      <c r="O118" s="136">
        <f>SUM(L118,I118)</f>
        <v>5</v>
      </c>
      <c r="P118" s="137">
        <f>IF(M118&lt;&gt;"",M118,J118)</f>
        <v>2171.2800000000002</v>
      </c>
      <c r="Q118" s="138">
        <f>ROUND(O118*P118,2)</f>
        <v>10856.4</v>
      </c>
    </row>
    <row r="119" spans="1:17" x14ac:dyDescent="0.25">
      <c r="A119" s="176" t="s">
        <v>7287</v>
      </c>
      <c r="B119" s="176" t="s">
        <v>7288</v>
      </c>
      <c r="C119" s="177"/>
      <c r="D119" s="177"/>
      <c r="E119" s="178"/>
      <c r="F119" s="178"/>
      <c r="G119" s="178"/>
      <c r="H119" s="179"/>
      <c r="I119" s="180"/>
      <c r="J119" s="181" t="s">
        <v>7083</v>
      </c>
      <c r="K119" s="182"/>
      <c r="L119" s="180"/>
      <c r="M119" s="181" t="s">
        <v>7083</v>
      </c>
      <c r="N119" s="182"/>
      <c r="O119" s="180"/>
      <c r="P119" s="181" t="s">
        <v>7083</v>
      </c>
      <c r="Q119" s="182"/>
    </row>
    <row r="120" spans="1:17" ht="22.5" x14ac:dyDescent="0.25">
      <c r="A120" s="183" t="s">
        <v>7289</v>
      </c>
      <c r="B120" s="183" t="s">
        <v>7290</v>
      </c>
      <c r="C120" s="184" t="s">
        <v>460</v>
      </c>
      <c r="D120" s="184" t="s">
        <v>1</v>
      </c>
      <c r="E120" s="185" t="s">
        <v>7193</v>
      </c>
      <c r="F120" s="185">
        <v>30</v>
      </c>
      <c r="G120" s="185">
        <v>80</v>
      </c>
      <c r="H120" s="186">
        <v>0</v>
      </c>
      <c r="I120" s="187">
        <v>5</v>
      </c>
      <c r="J120" s="188">
        <v>3759.37</v>
      </c>
      <c r="K120" s="189">
        <f t="shared" si="22"/>
        <v>18796.849999999999</v>
      </c>
      <c r="L120" s="187"/>
      <c r="M120" s="137"/>
      <c r="N120" s="138"/>
      <c r="O120" s="136">
        <f>SUM(L120,I120)</f>
        <v>5</v>
      </c>
      <c r="P120" s="137">
        <f>IF(M120&lt;&gt;"",M120,J120)</f>
        <v>3759.37</v>
      </c>
      <c r="Q120" s="138">
        <f>ROUND(O120*P120,2)</f>
        <v>18796.849999999999</v>
      </c>
    </row>
    <row r="121" spans="1:17" x14ac:dyDescent="0.25">
      <c r="A121" s="169" t="s">
        <v>7291</v>
      </c>
      <c r="B121" s="169" t="s">
        <v>7292</v>
      </c>
      <c r="C121" s="170"/>
      <c r="D121" s="170"/>
      <c r="E121" s="171"/>
      <c r="F121" s="171"/>
      <c r="G121" s="171"/>
      <c r="H121" s="172"/>
      <c r="I121" s="173"/>
      <c r="J121" s="174" t="s">
        <v>7083</v>
      </c>
      <c r="K121" s="175"/>
      <c r="L121" s="173"/>
      <c r="M121" s="174" t="s">
        <v>7083</v>
      </c>
      <c r="N121" s="175"/>
      <c r="O121" s="173"/>
      <c r="P121" s="174" t="s">
        <v>7083</v>
      </c>
      <c r="Q121" s="175"/>
    </row>
    <row r="122" spans="1:17" x14ac:dyDescent="0.25">
      <c r="A122" s="176" t="s">
        <v>7293</v>
      </c>
      <c r="B122" s="176" t="s">
        <v>7294</v>
      </c>
      <c r="C122" s="177"/>
      <c r="D122" s="177"/>
      <c r="E122" s="178"/>
      <c r="F122" s="178"/>
      <c r="G122" s="178"/>
      <c r="H122" s="179"/>
      <c r="I122" s="180"/>
      <c r="J122" s="181" t="s">
        <v>7083</v>
      </c>
      <c r="K122" s="182"/>
      <c r="L122" s="180"/>
      <c r="M122" s="181" t="s">
        <v>7083</v>
      </c>
      <c r="N122" s="182"/>
      <c r="O122" s="180"/>
      <c r="P122" s="181" t="s">
        <v>7083</v>
      </c>
      <c r="Q122" s="182"/>
    </row>
    <row r="123" spans="1:17" ht="45" x14ac:dyDescent="0.25">
      <c r="A123" s="183" t="s">
        <v>7295</v>
      </c>
      <c r="B123" s="183" t="s">
        <v>7296</v>
      </c>
      <c r="C123" s="184" t="s">
        <v>378</v>
      </c>
      <c r="D123" s="184" t="s">
        <v>1</v>
      </c>
      <c r="E123" s="185" t="s">
        <v>7193</v>
      </c>
      <c r="F123" s="185">
        <v>60</v>
      </c>
      <c r="G123" s="185">
        <v>20</v>
      </c>
      <c r="H123" s="186">
        <v>5</v>
      </c>
      <c r="I123" s="187">
        <v>10</v>
      </c>
      <c r="J123" s="188">
        <v>229.17</v>
      </c>
      <c r="K123" s="189">
        <f t="shared" si="22"/>
        <v>2291.6999999999998</v>
      </c>
      <c r="L123" s="187"/>
      <c r="M123" s="137"/>
      <c r="N123" s="138"/>
      <c r="O123" s="136">
        <f t="shared" ref="O123:O124" si="39">SUM(L123,I123)</f>
        <v>10</v>
      </c>
      <c r="P123" s="137">
        <f t="shared" ref="P123:P124" si="40">IF(M123&lt;&gt;"",M123,J123)</f>
        <v>229.17</v>
      </c>
      <c r="Q123" s="138">
        <f t="shared" ref="Q123:Q124" si="41">ROUND(O123*P123,2)</f>
        <v>2291.6999999999998</v>
      </c>
    </row>
    <row r="124" spans="1:17" ht="45" x14ac:dyDescent="0.25">
      <c r="A124" s="183" t="s">
        <v>7297</v>
      </c>
      <c r="B124" s="183" t="s">
        <v>7298</v>
      </c>
      <c r="C124" s="184" t="s">
        <v>378</v>
      </c>
      <c r="D124" s="184" t="s">
        <v>1</v>
      </c>
      <c r="E124" s="185" t="s">
        <v>7193</v>
      </c>
      <c r="F124" s="185">
        <v>60</v>
      </c>
      <c r="G124" s="185">
        <v>20</v>
      </c>
      <c r="H124" s="186">
        <v>5</v>
      </c>
      <c r="I124" s="187">
        <v>1460</v>
      </c>
      <c r="J124" s="188">
        <v>210.54</v>
      </c>
      <c r="K124" s="189">
        <f t="shared" si="22"/>
        <v>307388.40000000002</v>
      </c>
      <c r="L124" s="187"/>
      <c r="M124" s="137"/>
      <c r="N124" s="138"/>
      <c r="O124" s="136">
        <f t="shared" si="39"/>
        <v>1460</v>
      </c>
      <c r="P124" s="137">
        <f t="shared" si="40"/>
        <v>210.54</v>
      </c>
      <c r="Q124" s="138">
        <f t="shared" si="41"/>
        <v>307388.40000000002</v>
      </c>
    </row>
    <row r="125" spans="1:17" x14ac:dyDescent="0.25">
      <c r="A125" s="139" t="s">
        <v>7299</v>
      </c>
      <c r="B125" s="139" t="s">
        <v>7300</v>
      </c>
      <c r="C125" s="140"/>
      <c r="D125" s="140"/>
      <c r="E125" s="141"/>
      <c r="F125" s="142"/>
      <c r="G125" s="142"/>
      <c r="H125" s="143"/>
      <c r="I125" s="144"/>
      <c r="J125" s="145" t="s">
        <v>7083</v>
      </c>
      <c r="K125" s="146"/>
      <c r="L125" s="144"/>
      <c r="M125" s="145" t="s">
        <v>7083</v>
      </c>
      <c r="N125" s="146"/>
      <c r="O125" s="144"/>
      <c r="P125" s="145" t="s">
        <v>7083</v>
      </c>
      <c r="Q125" s="146"/>
    </row>
    <row r="126" spans="1:17" x14ac:dyDescent="0.25">
      <c r="A126" s="169" t="s">
        <v>7301</v>
      </c>
      <c r="B126" s="169" t="s">
        <v>7302</v>
      </c>
      <c r="C126" s="170"/>
      <c r="D126" s="170"/>
      <c r="E126" s="171"/>
      <c r="F126" s="171"/>
      <c r="G126" s="171"/>
      <c r="H126" s="172"/>
      <c r="I126" s="173"/>
      <c r="J126" s="174" t="s">
        <v>7083</v>
      </c>
      <c r="K126" s="175"/>
      <c r="L126" s="173"/>
      <c r="M126" s="174" t="s">
        <v>7083</v>
      </c>
      <c r="N126" s="175"/>
      <c r="O126" s="173"/>
      <c r="P126" s="174" t="s">
        <v>7083</v>
      </c>
      <c r="Q126" s="175"/>
    </row>
    <row r="127" spans="1:17" x14ac:dyDescent="0.25">
      <c r="A127" s="176" t="s">
        <v>7303</v>
      </c>
      <c r="B127" s="176" t="s">
        <v>7304</v>
      </c>
      <c r="C127" s="177"/>
      <c r="D127" s="177"/>
      <c r="E127" s="178"/>
      <c r="F127" s="178"/>
      <c r="G127" s="178"/>
      <c r="H127" s="179"/>
      <c r="I127" s="180"/>
      <c r="J127" s="181" t="s">
        <v>7083</v>
      </c>
      <c r="K127" s="182"/>
      <c r="L127" s="180"/>
      <c r="M127" s="181" t="s">
        <v>7083</v>
      </c>
      <c r="N127" s="182"/>
      <c r="O127" s="180"/>
      <c r="P127" s="181" t="s">
        <v>7083</v>
      </c>
      <c r="Q127" s="182"/>
    </row>
    <row r="128" spans="1:17" x14ac:dyDescent="0.25">
      <c r="A128" s="183" t="s">
        <v>7050</v>
      </c>
      <c r="B128" s="183" t="s">
        <v>7305</v>
      </c>
      <c r="C128" s="184" t="s">
        <v>266</v>
      </c>
      <c r="D128" s="184" t="s">
        <v>1</v>
      </c>
      <c r="E128" s="185" t="s">
        <v>7193</v>
      </c>
      <c r="F128" s="185">
        <v>75</v>
      </c>
      <c r="G128" s="185">
        <v>10</v>
      </c>
      <c r="H128" s="186">
        <v>0</v>
      </c>
      <c r="I128" s="187">
        <v>94.1</v>
      </c>
      <c r="J128" s="188">
        <v>30113.29</v>
      </c>
      <c r="K128" s="189">
        <f t="shared" si="22"/>
        <v>2833660.59</v>
      </c>
      <c r="L128" s="187">
        <v>-34.1</v>
      </c>
      <c r="M128" s="137">
        <f>J128</f>
        <v>30113.29</v>
      </c>
      <c r="N128" s="189">
        <f t="shared" ref="N128" si="42">ROUND(L128*M128,2)</f>
        <v>-1026863.19</v>
      </c>
      <c r="O128" s="136">
        <f>SUM(L128,I128)</f>
        <v>59.999999999999993</v>
      </c>
      <c r="P128" s="137">
        <f>IF(M128&lt;&gt;"",M128,J128)</f>
        <v>30113.29</v>
      </c>
      <c r="Q128" s="138">
        <f>ROUND(O128*P128,2)</f>
        <v>1806797.4</v>
      </c>
    </row>
    <row r="129" spans="1:17" x14ac:dyDescent="0.25">
      <c r="A129" s="176" t="s">
        <v>7306</v>
      </c>
      <c r="B129" s="176" t="s">
        <v>7307</v>
      </c>
      <c r="C129" s="177"/>
      <c r="D129" s="177"/>
      <c r="E129" s="178"/>
      <c r="F129" s="178"/>
      <c r="G129" s="178"/>
      <c r="H129" s="179"/>
      <c r="I129" s="180"/>
      <c r="J129" s="181" t="s">
        <v>7083</v>
      </c>
      <c r="K129" s="182"/>
      <c r="L129" s="180"/>
      <c r="M129" s="181" t="s">
        <v>7083</v>
      </c>
      <c r="N129" s="182"/>
      <c r="O129" s="180"/>
      <c r="P129" s="181" t="s">
        <v>7083</v>
      </c>
      <c r="Q129" s="182"/>
    </row>
    <row r="130" spans="1:17" x14ac:dyDescent="0.25">
      <c r="A130" s="183" t="s">
        <v>7051</v>
      </c>
      <c r="B130" s="183" t="s">
        <v>7308</v>
      </c>
      <c r="C130" s="184" t="s">
        <v>88</v>
      </c>
      <c r="D130" s="184" t="s">
        <v>1</v>
      </c>
      <c r="E130" s="185" t="s">
        <v>7193</v>
      </c>
      <c r="F130" s="185">
        <v>55</v>
      </c>
      <c r="G130" s="185">
        <v>10</v>
      </c>
      <c r="H130" s="186">
        <v>900</v>
      </c>
      <c r="I130" s="187">
        <v>26</v>
      </c>
      <c r="J130" s="188">
        <v>858.28</v>
      </c>
      <c r="K130" s="189">
        <f t="shared" si="22"/>
        <v>22315.279999999999</v>
      </c>
      <c r="L130" s="187"/>
      <c r="M130" s="137"/>
      <c r="N130" s="138"/>
      <c r="O130" s="136">
        <f>SUM(L130,I130)</f>
        <v>26</v>
      </c>
      <c r="P130" s="137">
        <f>IF(M130&lt;&gt;"",M130,J130)</f>
        <v>858.28</v>
      </c>
      <c r="Q130" s="138">
        <f>ROUND(O130*P130,2)</f>
        <v>22315.279999999999</v>
      </c>
    </row>
    <row r="131" spans="1:17" x14ac:dyDescent="0.25">
      <c r="A131" s="176" t="s">
        <v>7309</v>
      </c>
      <c r="B131" s="176" t="s">
        <v>7310</v>
      </c>
      <c r="C131" s="177"/>
      <c r="D131" s="177"/>
      <c r="E131" s="178"/>
      <c r="F131" s="178"/>
      <c r="G131" s="178"/>
      <c r="H131" s="179"/>
      <c r="I131" s="180"/>
      <c r="J131" s="181" t="s">
        <v>7083</v>
      </c>
      <c r="K131" s="182"/>
      <c r="L131" s="180"/>
      <c r="M131" s="181" t="s">
        <v>7083</v>
      </c>
      <c r="N131" s="182"/>
      <c r="O131" s="180"/>
      <c r="P131" s="181" t="s">
        <v>7083</v>
      </c>
      <c r="Q131" s="182"/>
    </row>
    <row r="132" spans="1:17" x14ac:dyDescent="0.25">
      <c r="A132" s="183" t="s">
        <v>7311</v>
      </c>
      <c r="B132" s="183" t="s">
        <v>7312</v>
      </c>
      <c r="C132" s="184" t="s">
        <v>266</v>
      </c>
      <c r="D132" s="184" t="s">
        <v>1</v>
      </c>
      <c r="E132" s="185" t="s">
        <v>7193</v>
      </c>
      <c r="F132" s="185">
        <v>55</v>
      </c>
      <c r="G132" s="185">
        <v>10</v>
      </c>
      <c r="H132" s="186">
        <v>900</v>
      </c>
      <c r="I132" s="187">
        <v>6.45</v>
      </c>
      <c r="J132" s="188">
        <v>27681.71</v>
      </c>
      <c r="K132" s="189">
        <f t="shared" si="22"/>
        <v>178547.03</v>
      </c>
      <c r="L132" s="187"/>
      <c r="M132" s="137"/>
      <c r="N132" s="138"/>
      <c r="O132" s="136">
        <f>SUM(L132,I132)</f>
        <v>6.45</v>
      </c>
      <c r="P132" s="137">
        <f>IF(M132&lt;&gt;"",M132,J132)</f>
        <v>27681.71</v>
      </c>
      <c r="Q132" s="138">
        <f>ROUND(O132*P132,2)</f>
        <v>178547.03</v>
      </c>
    </row>
    <row r="133" spans="1:17" x14ac:dyDescent="0.25">
      <c r="A133" s="176" t="s">
        <v>7313</v>
      </c>
      <c r="B133" s="176" t="s">
        <v>7314</v>
      </c>
      <c r="C133" s="177"/>
      <c r="D133" s="177"/>
      <c r="E133" s="178"/>
      <c r="F133" s="178"/>
      <c r="G133" s="178"/>
      <c r="H133" s="179"/>
      <c r="I133" s="180"/>
      <c r="J133" s="181" t="s">
        <v>7083</v>
      </c>
      <c r="K133" s="182"/>
      <c r="L133" s="180"/>
      <c r="M133" s="181" t="s">
        <v>7083</v>
      </c>
      <c r="N133" s="182"/>
      <c r="O133" s="180"/>
      <c r="P133" s="181" t="s">
        <v>7083</v>
      </c>
      <c r="Q133" s="182"/>
    </row>
    <row r="134" spans="1:17" ht="22.5" x14ac:dyDescent="0.25">
      <c r="A134" s="183" t="s">
        <v>7052</v>
      </c>
      <c r="B134" s="183" t="s">
        <v>7315</v>
      </c>
      <c r="C134" s="184" t="s">
        <v>266</v>
      </c>
      <c r="D134" s="184" t="s">
        <v>1</v>
      </c>
      <c r="E134" s="185" t="s">
        <v>7193</v>
      </c>
      <c r="F134" s="185">
        <v>75</v>
      </c>
      <c r="G134" s="185">
        <v>30</v>
      </c>
      <c r="H134" s="186">
        <v>0</v>
      </c>
      <c r="I134" s="187">
        <v>12.46</v>
      </c>
      <c r="J134" s="188">
        <v>39182.76</v>
      </c>
      <c r="K134" s="189">
        <f t="shared" si="22"/>
        <v>488217.19</v>
      </c>
      <c r="L134" s="187"/>
      <c r="M134" s="137"/>
      <c r="N134" s="138"/>
      <c r="O134" s="136">
        <f>SUM(L134,I134)</f>
        <v>12.46</v>
      </c>
      <c r="P134" s="137">
        <f>IF(M134&lt;&gt;"",M134,J134)</f>
        <v>39182.76</v>
      </c>
      <c r="Q134" s="138">
        <f>ROUND(O134*P134,2)</f>
        <v>488217.19</v>
      </c>
    </row>
    <row r="135" spans="1:17" x14ac:dyDescent="0.25">
      <c r="A135" s="169" t="s">
        <v>7316</v>
      </c>
      <c r="B135" s="169" t="s">
        <v>7302</v>
      </c>
      <c r="C135" s="170"/>
      <c r="D135" s="170"/>
      <c r="E135" s="171"/>
      <c r="F135" s="171"/>
      <c r="G135" s="171"/>
      <c r="H135" s="172"/>
      <c r="I135" s="173"/>
      <c r="J135" s="174" t="s">
        <v>7083</v>
      </c>
      <c r="K135" s="175"/>
      <c r="L135" s="173"/>
      <c r="M135" s="174" t="s">
        <v>7083</v>
      </c>
      <c r="N135" s="175"/>
      <c r="O135" s="173"/>
      <c r="P135" s="174" t="s">
        <v>7083</v>
      </c>
      <c r="Q135" s="175"/>
    </row>
    <row r="136" spans="1:17" x14ac:dyDescent="0.25">
      <c r="A136" s="176" t="s">
        <v>7317</v>
      </c>
      <c r="B136" s="176" t="s">
        <v>7318</v>
      </c>
      <c r="C136" s="177"/>
      <c r="D136" s="177"/>
      <c r="E136" s="178"/>
      <c r="F136" s="178"/>
      <c r="G136" s="178"/>
      <c r="H136" s="179"/>
      <c r="I136" s="180"/>
      <c r="J136" s="181" t="s">
        <v>7083</v>
      </c>
      <c r="K136" s="182"/>
      <c r="L136" s="180"/>
      <c r="M136" s="181" t="s">
        <v>7083</v>
      </c>
      <c r="N136" s="182"/>
      <c r="O136" s="180"/>
      <c r="P136" s="181" t="s">
        <v>7083</v>
      </c>
      <c r="Q136" s="182"/>
    </row>
    <row r="137" spans="1:17" ht="22.5" x14ac:dyDescent="0.25">
      <c r="A137" s="183" t="s">
        <v>7319</v>
      </c>
      <c r="B137" s="183" t="s">
        <v>7320</v>
      </c>
      <c r="C137" s="184" t="s">
        <v>88</v>
      </c>
      <c r="D137" s="184" t="s">
        <v>1</v>
      </c>
      <c r="E137" s="185" t="s">
        <v>7079</v>
      </c>
      <c r="F137" s="185">
        <v>75</v>
      </c>
      <c r="G137" s="185">
        <v>28</v>
      </c>
      <c r="H137" s="186">
        <v>0</v>
      </c>
      <c r="I137" s="187">
        <v>35</v>
      </c>
      <c r="J137" s="188">
        <v>282.14999999999998</v>
      </c>
      <c r="K137" s="189">
        <f t="shared" ref="K137:K199" si="43">ROUND(I137*J137,2)</f>
        <v>9875.25</v>
      </c>
      <c r="L137" s="187"/>
      <c r="M137" s="137"/>
      <c r="N137" s="138"/>
      <c r="O137" s="136">
        <f>SUM(L137,I137)</f>
        <v>35</v>
      </c>
      <c r="P137" s="137">
        <f>IF(M137&lt;&gt;"",M137,J137)</f>
        <v>282.14999999999998</v>
      </c>
      <c r="Q137" s="138">
        <f>ROUND(O137*P137,2)</f>
        <v>9875.25</v>
      </c>
    </row>
    <row r="138" spans="1:17" x14ac:dyDescent="0.25">
      <c r="A138" s="139" t="s">
        <v>7321</v>
      </c>
      <c r="B138" s="139" t="s">
        <v>7322</v>
      </c>
      <c r="C138" s="140"/>
      <c r="D138" s="140"/>
      <c r="E138" s="141"/>
      <c r="F138" s="142"/>
      <c r="G138" s="142"/>
      <c r="H138" s="143"/>
      <c r="I138" s="144"/>
      <c r="J138" s="145" t="s">
        <v>7083</v>
      </c>
      <c r="K138" s="146"/>
      <c r="L138" s="144"/>
      <c r="M138" s="145" t="s">
        <v>7083</v>
      </c>
      <c r="N138" s="146"/>
      <c r="O138" s="144"/>
      <c r="P138" s="145" t="s">
        <v>7083</v>
      </c>
      <c r="Q138" s="146"/>
    </row>
    <row r="139" spans="1:17" x14ac:dyDescent="0.25">
      <c r="A139" s="169" t="s">
        <v>7323</v>
      </c>
      <c r="B139" s="169" t="s">
        <v>7324</v>
      </c>
      <c r="C139" s="170"/>
      <c r="D139" s="170"/>
      <c r="E139" s="171"/>
      <c r="F139" s="171"/>
      <c r="G139" s="171"/>
      <c r="H139" s="172"/>
      <c r="I139" s="173"/>
      <c r="J139" s="174" t="s">
        <v>7083</v>
      </c>
      <c r="K139" s="175"/>
      <c r="L139" s="173"/>
      <c r="M139" s="174" t="s">
        <v>7083</v>
      </c>
      <c r="N139" s="175"/>
      <c r="O139" s="173"/>
      <c r="P139" s="174" t="s">
        <v>7083</v>
      </c>
      <c r="Q139" s="175"/>
    </row>
    <row r="140" spans="1:17" ht="33.75" x14ac:dyDescent="0.25">
      <c r="A140" s="183" t="s">
        <v>7325</v>
      </c>
      <c r="B140" s="183" t="s">
        <v>7326</v>
      </c>
      <c r="C140" s="184" t="s">
        <v>460</v>
      </c>
      <c r="D140" s="184" t="s">
        <v>1</v>
      </c>
      <c r="E140" s="185" t="s">
        <v>7193</v>
      </c>
      <c r="F140" s="185">
        <v>30</v>
      </c>
      <c r="G140" s="185">
        <v>70</v>
      </c>
      <c r="H140" s="186">
        <v>900</v>
      </c>
      <c r="I140" s="187">
        <v>1</v>
      </c>
      <c r="J140" s="188">
        <v>1444.7</v>
      </c>
      <c r="K140" s="189">
        <f t="shared" si="43"/>
        <v>1444.7</v>
      </c>
      <c r="L140" s="187"/>
      <c r="M140" s="137"/>
      <c r="N140" s="138"/>
      <c r="O140" s="136">
        <f t="shared" ref="O140:O142" si="44">SUM(L140,I140)</f>
        <v>1</v>
      </c>
      <c r="P140" s="137">
        <f t="shared" ref="P140:P142" si="45">IF(M140&lt;&gt;"",M140,J140)</f>
        <v>1444.7</v>
      </c>
      <c r="Q140" s="138">
        <f t="shared" ref="Q140:Q142" si="46">ROUND(O140*P140,2)</f>
        <v>1444.7</v>
      </c>
    </row>
    <row r="141" spans="1:17" ht="45" x14ac:dyDescent="0.25">
      <c r="A141" s="183" t="s">
        <v>7327</v>
      </c>
      <c r="B141" s="183" t="s">
        <v>7328</v>
      </c>
      <c r="C141" s="184" t="s">
        <v>460</v>
      </c>
      <c r="D141" s="184" t="s">
        <v>1</v>
      </c>
      <c r="E141" s="185" t="s">
        <v>7193</v>
      </c>
      <c r="F141" s="185">
        <v>30</v>
      </c>
      <c r="G141" s="185">
        <v>70</v>
      </c>
      <c r="H141" s="186">
        <v>900</v>
      </c>
      <c r="I141" s="187">
        <v>2</v>
      </c>
      <c r="J141" s="188">
        <v>5669.5</v>
      </c>
      <c r="K141" s="189">
        <f t="shared" si="43"/>
        <v>11339</v>
      </c>
      <c r="L141" s="187"/>
      <c r="M141" s="137"/>
      <c r="N141" s="138"/>
      <c r="O141" s="136">
        <f t="shared" si="44"/>
        <v>2</v>
      </c>
      <c r="P141" s="137">
        <f t="shared" si="45"/>
        <v>5669.5</v>
      </c>
      <c r="Q141" s="138">
        <f t="shared" si="46"/>
        <v>11339</v>
      </c>
    </row>
    <row r="142" spans="1:17" ht="22.5" x14ac:dyDescent="0.25">
      <c r="A142" s="183" t="s">
        <v>7329</v>
      </c>
      <c r="B142" s="183" t="s">
        <v>7330</v>
      </c>
      <c r="C142" s="184" t="s">
        <v>460</v>
      </c>
      <c r="D142" s="184" t="s">
        <v>1</v>
      </c>
      <c r="E142" s="185" t="s">
        <v>7193</v>
      </c>
      <c r="F142" s="185">
        <v>30</v>
      </c>
      <c r="G142" s="185">
        <v>70</v>
      </c>
      <c r="H142" s="186">
        <v>900</v>
      </c>
      <c r="I142" s="187">
        <v>12</v>
      </c>
      <c r="J142" s="188">
        <v>1391.28</v>
      </c>
      <c r="K142" s="189">
        <f t="shared" si="43"/>
        <v>16695.36</v>
      </c>
      <c r="L142" s="187"/>
      <c r="M142" s="137"/>
      <c r="N142" s="138"/>
      <c r="O142" s="136">
        <f t="shared" si="44"/>
        <v>12</v>
      </c>
      <c r="P142" s="137">
        <f t="shared" si="45"/>
        <v>1391.28</v>
      </c>
      <c r="Q142" s="138">
        <f t="shared" si="46"/>
        <v>16695.36</v>
      </c>
    </row>
    <row r="143" spans="1:17" x14ac:dyDescent="0.25">
      <c r="A143" s="139" t="s">
        <v>7331</v>
      </c>
      <c r="B143" s="139" t="s">
        <v>7332</v>
      </c>
      <c r="C143" s="140"/>
      <c r="D143" s="140"/>
      <c r="E143" s="141"/>
      <c r="F143" s="142"/>
      <c r="G143" s="142"/>
      <c r="H143" s="143"/>
      <c r="I143" s="144"/>
      <c r="J143" s="145" t="s">
        <v>7083</v>
      </c>
      <c r="K143" s="146"/>
      <c r="L143" s="144"/>
      <c r="M143" s="145" t="s">
        <v>7083</v>
      </c>
      <c r="N143" s="146"/>
      <c r="O143" s="144"/>
      <c r="P143" s="145" t="s">
        <v>7083</v>
      </c>
      <c r="Q143" s="146"/>
    </row>
    <row r="144" spans="1:17" x14ac:dyDescent="0.25">
      <c r="A144" s="169" t="s">
        <v>7333</v>
      </c>
      <c r="B144" s="169" t="s">
        <v>7334</v>
      </c>
      <c r="C144" s="170"/>
      <c r="D144" s="170"/>
      <c r="E144" s="171"/>
      <c r="F144" s="171"/>
      <c r="G144" s="171"/>
      <c r="H144" s="172"/>
      <c r="I144" s="173"/>
      <c r="J144" s="174" t="s">
        <v>7083</v>
      </c>
      <c r="K144" s="175"/>
      <c r="L144" s="173"/>
      <c r="M144" s="174" t="s">
        <v>7083</v>
      </c>
      <c r="N144" s="175"/>
      <c r="O144" s="173"/>
      <c r="P144" s="174" t="s">
        <v>7083</v>
      </c>
      <c r="Q144" s="175"/>
    </row>
    <row r="145" spans="1:17" ht="22.5" x14ac:dyDescent="0.25">
      <c r="A145" s="176" t="s">
        <v>7335</v>
      </c>
      <c r="B145" s="176" t="s">
        <v>7336</v>
      </c>
      <c r="C145" s="177"/>
      <c r="D145" s="177"/>
      <c r="E145" s="178"/>
      <c r="F145" s="178"/>
      <c r="G145" s="178"/>
      <c r="H145" s="179"/>
      <c r="I145" s="180"/>
      <c r="J145" s="181" t="s">
        <v>7083</v>
      </c>
      <c r="K145" s="182"/>
      <c r="L145" s="180"/>
      <c r="M145" s="181" t="s">
        <v>7083</v>
      </c>
      <c r="N145" s="182"/>
      <c r="O145" s="180"/>
      <c r="P145" s="181" t="s">
        <v>7083</v>
      </c>
      <c r="Q145" s="182"/>
    </row>
    <row r="146" spans="1:17" ht="33.75" x14ac:dyDescent="0.25">
      <c r="A146" s="183" t="s">
        <v>7337</v>
      </c>
      <c r="B146" s="183" t="s">
        <v>7338</v>
      </c>
      <c r="C146" s="184" t="s">
        <v>378</v>
      </c>
      <c r="D146" s="184" t="s">
        <v>1</v>
      </c>
      <c r="E146" s="185" t="s">
        <v>7193</v>
      </c>
      <c r="F146" s="185">
        <v>70</v>
      </c>
      <c r="G146" s="185">
        <v>10</v>
      </c>
      <c r="H146" s="186">
        <v>900</v>
      </c>
      <c r="I146" s="187">
        <v>480</v>
      </c>
      <c r="J146" s="188">
        <v>87.86</v>
      </c>
      <c r="K146" s="189">
        <f t="shared" si="43"/>
        <v>42172.800000000003</v>
      </c>
      <c r="L146" s="187"/>
      <c r="M146" s="137"/>
      <c r="N146" s="138"/>
      <c r="O146" s="136">
        <f t="shared" ref="O146:O148" si="47">SUM(L146,I146)</f>
        <v>480</v>
      </c>
      <c r="P146" s="137">
        <f t="shared" ref="P146:P148" si="48">IF(M146&lt;&gt;"",M146,J146)</f>
        <v>87.86</v>
      </c>
      <c r="Q146" s="138">
        <f t="shared" ref="Q146:Q148" si="49">ROUND(O146*P146,2)</f>
        <v>42172.800000000003</v>
      </c>
    </row>
    <row r="147" spans="1:17" ht="33.75" x14ac:dyDescent="0.25">
      <c r="A147" s="183" t="s">
        <v>7339</v>
      </c>
      <c r="B147" s="183" t="s">
        <v>7340</v>
      </c>
      <c r="C147" s="184" t="s">
        <v>378</v>
      </c>
      <c r="D147" s="184" t="s">
        <v>1</v>
      </c>
      <c r="E147" s="185" t="s">
        <v>7193</v>
      </c>
      <c r="F147" s="185">
        <v>70</v>
      </c>
      <c r="G147" s="185">
        <v>10</v>
      </c>
      <c r="H147" s="186">
        <v>900</v>
      </c>
      <c r="I147" s="187">
        <v>480</v>
      </c>
      <c r="J147" s="188">
        <v>132.36000000000001</v>
      </c>
      <c r="K147" s="189">
        <f t="shared" si="43"/>
        <v>63532.800000000003</v>
      </c>
      <c r="L147" s="187"/>
      <c r="M147" s="137"/>
      <c r="N147" s="138"/>
      <c r="O147" s="136">
        <f t="shared" si="47"/>
        <v>480</v>
      </c>
      <c r="P147" s="137">
        <f t="shared" si="48"/>
        <v>132.36000000000001</v>
      </c>
      <c r="Q147" s="138">
        <f t="shared" si="49"/>
        <v>63532.800000000003</v>
      </c>
    </row>
    <row r="148" spans="1:17" ht="33.75" x14ac:dyDescent="0.25">
      <c r="A148" s="183" t="s">
        <v>7341</v>
      </c>
      <c r="B148" s="183" t="s">
        <v>7342</v>
      </c>
      <c r="C148" s="184" t="s">
        <v>378</v>
      </c>
      <c r="D148" s="184" t="s">
        <v>1</v>
      </c>
      <c r="E148" s="185" t="s">
        <v>7193</v>
      </c>
      <c r="F148" s="185">
        <v>70</v>
      </c>
      <c r="G148" s="185">
        <v>10</v>
      </c>
      <c r="H148" s="186">
        <v>900</v>
      </c>
      <c r="I148" s="187">
        <v>570</v>
      </c>
      <c r="J148" s="188">
        <v>208.17</v>
      </c>
      <c r="K148" s="189">
        <f t="shared" si="43"/>
        <v>118656.9</v>
      </c>
      <c r="L148" s="187"/>
      <c r="M148" s="137"/>
      <c r="N148" s="138"/>
      <c r="O148" s="136">
        <f t="shared" si="47"/>
        <v>570</v>
      </c>
      <c r="P148" s="137">
        <f t="shared" si="48"/>
        <v>208.17</v>
      </c>
      <c r="Q148" s="138">
        <f t="shared" si="49"/>
        <v>118656.9</v>
      </c>
    </row>
    <row r="149" spans="1:17" ht="22.5" x14ac:dyDescent="0.25">
      <c r="A149" s="176" t="s">
        <v>7343</v>
      </c>
      <c r="B149" s="176" t="s">
        <v>7344</v>
      </c>
      <c r="C149" s="177"/>
      <c r="D149" s="177"/>
      <c r="E149" s="178"/>
      <c r="F149" s="178"/>
      <c r="G149" s="178"/>
      <c r="H149" s="179"/>
      <c r="I149" s="180"/>
      <c r="J149" s="181" t="s">
        <v>7083</v>
      </c>
      <c r="K149" s="182"/>
      <c r="L149" s="180"/>
      <c r="M149" s="181" t="s">
        <v>7083</v>
      </c>
      <c r="N149" s="182"/>
      <c r="O149" s="180"/>
      <c r="P149" s="181" t="s">
        <v>7083</v>
      </c>
      <c r="Q149" s="182"/>
    </row>
    <row r="150" spans="1:17" ht="33.75" x14ac:dyDescent="0.25">
      <c r="A150" s="183" t="s">
        <v>7345</v>
      </c>
      <c r="B150" s="183" t="s">
        <v>7346</v>
      </c>
      <c r="C150" s="184" t="s">
        <v>378</v>
      </c>
      <c r="D150" s="184" t="s">
        <v>1</v>
      </c>
      <c r="E150" s="185" t="s">
        <v>7193</v>
      </c>
      <c r="F150" s="185">
        <v>70</v>
      </c>
      <c r="G150" s="185">
        <v>10</v>
      </c>
      <c r="H150" s="186">
        <v>900</v>
      </c>
      <c r="I150" s="187">
        <v>10.009999999999991</v>
      </c>
      <c r="J150" s="188">
        <v>23.12</v>
      </c>
      <c r="K150" s="189">
        <f t="shared" si="43"/>
        <v>231.43</v>
      </c>
      <c r="L150" s="187"/>
      <c r="M150" s="137"/>
      <c r="N150" s="138"/>
      <c r="O150" s="136">
        <f t="shared" ref="O150:O151" si="50">SUM(L150,I150)</f>
        <v>10.009999999999991</v>
      </c>
      <c r="P150" s="137">
        <f t="shared" ref="P150:P151" si="51">IF(M150&lt;&gt;"",M150,J150)</f>
        <v>23.12</v>
      </c>
      <c r="Q150" s="138">
        <f t="shared" ref="Q150:Q151" si="52">ROUND(O150*P150,2)</f>
        <v>231.43</v>
      </c>
    </row>
    <row r="151" spans="1:17" ht="33.75" x14ac:dyDescent="0.25">
      <c r="A151" s="183" t="s">
        <v>7347</v>
      </c>
      <c r="B151" s="183" t="s">
        <v>7348</v>
      </c>
      <c r="C151" s="184" t="s">
        <v>378</v>
      </c>
      <c r="D151" s="184" t="s">
        <v>1</v>
      </c>
      <c r="E151" s="185" t="s">
        <v>7193</v>
      </c>
      <c r="F151" s="185">
        <v>70</v>
      </c>
      <c r="G151" s="185">
        <v>10</v>
      </c>
      <c r="H151" s="186">
        <v>900</v>
      </c>
      <c r="I151" s="187">
        <v>50</v>
      </c>
      <c r="J151" s="188">
        <v>24.81</v>
      </c>
      <c r="K151" s="189">
        <f t="shared" si="43"/>
        <v>1240.5</v>
      </c>
      <c r="L151" s="187"/>
      <c r="M151" s="137"/>
      <c r="N151" s="138"/>
      <c r="O151" s="136">
        <f t="shared" si="50"/>
        <v>50</v>
      </c>
      <c r="P151" s="137">
        <f t="shared" si="51"/>
        <v>24.81</v>
      </c>
      <c r="Q151" s="138">
        <f t="shared" si="52"/>
        <v>1240.5</v>
      </c>
    </row>
    <row r="152" spans="1:17" ht="22.5" x14ac:dyDescent="0.25">
      <c r="A152" s="176" t="s">
        <v>7349</v>
      </c>
      <c r="B152" s="176" t="s">
        <v>7350</v>
      </c>
      <c r="C152" s="177"/>
      <c r="D152" s="177"/>
      <c r="E152" s="178"/>
      <c r="F152" s="178"/>
      <c r="G152" s="178"/>
      <c r="H152" s="179"/>
      <c r="I152" s="180"/>
      <c r="J152" s="181" t="s">
        <v>7083</v>
      </c>
      <c r="K152" s="182"/>
      <c r="L152" s="180"/>
      <c r="M152" s="181" t="s">
        <v>7083</v>
      </c>
      <c r="N152" s="182"/>
      <c r="O152" s="180"/>
      <c r="P152" s="181" t="s">
        <v>7083</v>
      </c>
      <c r="Q152" s="182"/>
    </row>
    <row r="153" spans="1:17" ht="33.75" x14ac:dyDescent="0.25">
      <c r="A153" s="183" t="s">
        <v>7351</v>
      </c>
      <c r="B153" s="183" t="s">
        <v>7352</v>
      </c>
      <c r="C153" s="184" t="s">
        <v>378</v>
      </c>
      <c r="D153" s="184" t="s">
        <v>1</v>
      </c>
      <c r="E153" s="185" t="s">
        <v>7193</v>
      </c>
      <c r="F153" s="185">
        <v>70</v>
      </c>
      <c r="G153" s="185">
        <v>10</v>
      </c>
      <c r="H153" s="186">
        <v>900</v>
      </c>
      <c r="I153" s="187">
        <v>120</v>
      </c>
      <c r="J153" s="188">
        <v>33.97</v>
      </c>
      <c r="K153" s="189">
        <f t="shared" si="43"/>
        <v>4076.4</v>
      </c>
      <c r="L153" s="187">
        <v>1000</v>
      </c>
      <c r="M153" s="137">
        <f>J153</f>
        <v>33.97</v>
      </c>
      <c r="N153" s="189">
        <f t="shared" ref="N153" si="53">ROUND(L153*M153,2)</f>
        <v>33970</v>
      </c>
      <c r="O153" s="136">
        <f t="shared" ref="O153:O154" si="54">SUM(L153,I153)</f>
        <v>1120</v>
      </c>
      <c r="P153" s="137">
        <f t="shared" ref="P153:P154" si="55">IF(M153&lt;&gt;"",M153,J153)</f>
        <v>33.97</v>
      </c>
      <c r="Q153" s="138">
        <f t="shared" ref="Q153:Q154" si="56">ROUND(O153*P153,2)</f>
        <v>38046.400000000001</v>
      </c>
    </row>
    <row r="154" spans="1:17" ht="33.75" x14ac:dyDescent="0.25">
      <c r="A154" s="183" t="s">
        <v>7353</v>
      </c>
      <c r="B154" s="183" t="s">
        <v>7354</v>
      </c>
      <c r="C154" s="184" t="s">
        <v>378</v>
      </c>
      <c r="D154" s="184" t="s">
        <v>1</v>
      </c>
      <c r="E154" s="185" t="s">
        <v>7193</v>
      </c>
      <c r="F154" s="185">
        <v>70</v>
      </c>
      <c r="G154" s="185">
        <v>10</v>
      </c>
      <c r="H154" s="186">
        <v>900</v>
      </c>
      <c r="I154" s="187">
        <v>470</v>
      </c>
      <c r="J154" s="188">
        <v>39.479999999999997</v>
      </c>
      <c r="K154" s="189">
        <f t="shared" si="43"/>
        <v>18555.599999999999</v>
      </c>
      <c r="L154" s="187"/>
      <c r="M154" s="137"/>
      <c r="N154" s="138"/>
      <c r="O154" s="136">
        <f t="shared" si="54"/>
        <v>470</v>
      </c>
      <c r="P154" s="137">
        <f t="shared" si="55"/>
        <v>39.479999999999997</v>
      </c>
      <c r="Q154" s="138">
        <f t="shared" si="56"/>
        <v>18555.599999999999</v>
      </c>
    </row>
    <row r="155" spans="1:17" ht="22.5" x14ac:dyDescent="0.25">
      <c r="A155" s="176" t="s">
        <v>7355</v>
      </c>
      <c r="B155" s="176" t="s">
        <v>7356</v>
      </c>
      <c r="C155" s="177"/>
      <c r="D155" s="177"/>
      <c r="E155" s="178"/>
      <c r="F155" s="178"/>
      <c r="G155" s="178"/>
      <c r="H155" s="179"/>
      <c r="I155" s="180"/>
      <c r="J155" s="181" t="s">
        <v>7083</v>
      </c>
      <c r="K155" s="182"/>
      <c r="L155" s="180"/>
      <c r="M155" s="181" t="s">
        <v>7083</v>
      </c>
      <c r="N155" s="182"/>
      <c r="O155" s="180"/>
      <c r="P155" s="181" t="s">
        <v>7083</v>
      </c>
      <c r="Q155" s="182"/>
    </row>
    <row r="156" spans="1:17" ht="33.75" x14ac:dyDescent="0.25">
      <c r="A156" s="183" t="s">
        <v>7357</v>
      </c>
      <c r="B156" s="183" t="s">
        <v>7358</v>
      </c>
      <c r="C156" s="184" t="s">
        <v>378</v>
      </c>
      <c r="D156" s="184" t="s">
        <v>1</v>
      </c>
      <c r="E156" s="185" t="s">
        <v>7193</v>
      </c>
      <c r="F156" s="185">
        <v>70</v>
      </c>
      <c r="G156" s="185">
        <v>10</v>
      </c>
      <c r="H156" s="186">
        <v>900</v>
      </c>
      <c r="I156" s="187">
        <v>440</v>
      </c>
      <c r="J156" s="188">
        <v>49.45</v>
      </c>
      <c r="K156" s="189">
        <f t="shared" si="43"/>
        <v>21758</v>
      </c>
      <c r="L156" s="187"/>
      <c r="M156" s="137"/>
      <c r="N156" s="138"/>
      <c r="O156" s="136">
        <f t="shared" ref="O156:O158" si="57">SUM(L156,I156)</f>
        <v>440</v>
      </c>
      <c r="P156" s="137">
        <f t="shared" ref="P156:P158" si="58">IF(M156&lt;&gt;"",M156,J156)</f>
        <v>49.45</v>
      </c>
      <c r="Q156" s="138">
        <f t="shared" ref="Q156:Q158" si="59">ROUND(O156*P156,2)</f>
        <v>21758</v>
      </c>
    </row>
    <row r="157" spans="1:17" ht="33.75" x14ac:dyDescent="0.25">
      <c r="A157" s="183" t="s">
        <v>7359</v>
      </c>
      <c r="B157" s="183" t="s">
        <v>7360</v>
      </c>
      <c r="C157" s="184" t="s">
        <v>378</v>
      </c>
      <c r="D157" s="184" t="s">
        <v>1</v>
      </c>
      <c r="E157" s="185" t="s">
        <v>7193</v>
      </c>
      <c r="F157" s="185">
        <v>70</v>
      </c>
      <c r="G157" s="185">
        <v>10</v>
      </c>
      <c r="H157" s="186">
        <v>900</v>
      </c>
      <c r="I157" s="187">
        <v>200</v>
      </c>
      <c r="J157" s="188">
        <v>70.930000000000007</v>
      </c>
      <c r="K157" s="189">
        <f t="shared" si="43"/>
        <v>14186</v>
      </c>
      <c r="L157" s="187"/>
      <c r="M157" s="137"/>
      <c r="N157" s="138"/>
      <c r="O157" s="136">
        <f t="shared" si="57"/>
        <v>200</v>
      </c>
      <c r="P157" s="137">
        <f t="shared" si="58"/>
        <v>70.930000000000007</v>
      </c>
      <c r="Q157" s="138">
        <f t="shared" si="59"/>
        <v>14186</v>
      </c>
    </row>
    <row r="158" spans="1:17" ht="33.75" x14ac:dyDescent="0.25">
      <c r="A158" s="183" t="s">
        <v>7361</v>
      </c>
      <c r="B158" s="183" t="s">
        <v>7362</v>
      </c>
      <c r="C158" s="184" t="s">
        <v>378</v>
      </c>
      <c r="D158" s="184" t="s">
        <v>1</v>
      </c>
      <c r="E158" s="185" t="s">
        <v>7193</v>
      </c>
      <c r="F158" s="185">
        <v>70</v>
      </c>
      <c r="G158" s="185">
        <v>10</v>
      </c>
      <c r="H158" s="186">
        <v>900</v>
      </c>
      <c r="I158" s="187">
        <v>540</v>
      </c>
      <c r="J158" s="188">
        <v>140.22999999999999</v>
      </c>
      <c r="K158" s="189">
        <f t="shared" si="43"/>
        <v>75724.2</v>
      </c>
      <c r="L158" s="187">
        <v>100</v>
      </c>
      <c r="M158" s="137">
        <f>J158</f>
        <v>140.22999999999999</v>
      </c>
      <c r="N158" s="189">
        <f t="shared" ref="N158" si="60">ROUND(L158*M158,2)</f>
        <v>14023</v>
      </c>
      <c r="O158" s="136">
        <f t="shared" si="57"/>
        <v>640</v>
      </c>
      <c r="P158" s="137">
        <f t="shared" si="58"/>
        <v>140.22999999999999</v>
      </c>
      <c r="Q158" s="138">
        <f t="shared" si="59"/>
        <v>89747.199999999997</v>
      </c>
    </row>
    <row r="159" spans="1:17" x14ac:dyDescent="0.25">
      <c r="A159" s="176" t="s">
        <v>7363</v>
      </c>
      <c r="B159" s="176" t="s">
        <v>7364</v>
      </c>
      <c r="C159" s="177"/>
      <c r="D159" s="177"/>
      <c r="E159" s="178"/>
      <c r="F159" s="178"/>
      <c r="G159" s="178"/>
      <c r="H159" s="179"/>
      <c r="I159" s="180"/>
      <c r="J159" s="181" t="s">
        <v>7083</v>
      </c>
      <c r="K159" s="182"/>
      <c r="L159" s="180"/>
      <c r="M159" s="181" t="s">
        <v>7083</v>
      </c>
      <c r="N159" s="182"/>
      <c r="O159" s="180"/>
      <c r="P159" s="181" t="s">
        <v>7083</v>
      </c>
      <c r="Q159" s="182"/>
    </row>
    <row r="160" spans="1:17" ht="22.5" x14ac:dyDescent="0.25">
      <c r="A160" s="183" t="s">
        <v>7365</v>
      </c>
      <c r="B160" s="183" t="s">
        <v>7366</v>
      </c>
      <c r="C160" s="184" t="s">
        <v>378</v>
      </c>
      <c r="D160" s="184" t="s">
        <v>1</v>
      </c>
      <c r="E160" s="185" t="s">
        <v>7193</v>
      </c>
      <c r="F160" s="185">
        <v>70</v>
      </c>
      <c r="G160" s="185">
        <v>10</v>
      </c>
      <c r="H160" s="186">
        <v>900</v>
      </c>
      <c r="I160" s="187">
        <v>180</v>
      </c>
      <c r="J160" s="188">
        <v>57.49</v>
      </c>
      <c r="K160" s="189">
        <f t="shared" si="43"/>
        <v>10348.200000000001</v>
      </c>
      <c r="L160" s="187"/>
      <c r="M160" s="137"/>
      <c r="N160" s="138"/>
      <c r="O160" s="136">
        <f t="shared" ref="O160:O162" si="61">SUM(L160,I160)</f>
        <v>180</v>
      </c>
      <c r="P160" s="137">
        <f t="shared" ref="P160:P162" si="62">IF(M160&lt;&gt;"",M160,J160)</f>
        <v>57.49</v>
      </c>
      <c r="Q160" s="138">
        <f t="shared" ref="Q160:Q162" si="63">ROUND(O160*P160,2)</f>
        <v>10348.200000000001</v>
      </c>
    </row>
    <row r="161" spans="1:17" ht="22.5" x14ac:dyDescent="0.25">
      <c r="A161" s="183" t="s">
        <v>7367</v>
      </c>
      <c r="B161" s="183" t="s">
        <v>7368</v>
      </c>
      <c r="C161" s="184" t="s">
        <v>378</v>
      </c>
      <c r="D161" s="184" t="s">
        <v>1</v>
      </c>
      <c r="E161" s="185" t="s">
        <v>7193</v>
      </c>
      <c r="F161" s="185">
        <v>70</v>
      </c>
      <c r="G161" s="185">
        <v>10</v>
      </c>
      <c r="H161" s="186">
        <v>900</v>
      </c>
      <c r="I161" s="187">
        <v>160</v>
      </c>
      <c r="J161" s="188">
        <v>65.81</v>
      </c>
      <c r="K161" s="189">
        <f t="shared" si="43"/>
        <v>10529.6</v>
      </c>
      <c r="L161" s="187"/>
      <c r="M161" s="137"/>
      <c r="N161" s="138"/>
      <c r="O161" s="136">
        <f t="shared" si="61"/>
        <v>160</v>
      </c>
      <c r="P161" s="137">
        <f t="shared" si="62"/>
        <v>65.81</v>
      </c>
      <c r="Q161" s="138">
        <f t="shared" si="63"/>
        <v>10529.6</v>
      </c>
    </row>
    <row r="162" spans="1:17" ht="22.5" x14ac:dyDescent="0.25">
      <c r="A162" s="183" t="s">
        <v>7369</v>
      </c>
      <c r="B162" s="183" t="s">
        <v>7370</v>
      </c>
      <c r="C162" s="184" t="s">
        <v>378</v>
      </c>
      <c r="D162" s="184" t="s">
        <v>1</v>
      </c>
      <c r="E162" s="185" t="s">
        <v>7193</v>
      </c>
      <c r="F162" s="185">
        <v>70</v>
      </c>
      <c r="G162" s="185">
        <v>10</v>
      </c>
      <c r="H162" s="186">
        <v>900</v>
      </c>
      <c r="I162" s="187">
        <v>190</v>
      </c>
      <c r="J162" s="188">
        <v>79.430000000000007</v>
      </c>
      <c r="K162" s="189">
        <f t="shared" si="43"/>
        <v>15091.7</v>
      </c>
      <c r="L162" s="187"/>
      <c r="M162" s="137"/>
      <c r="N162" s="138"/>
      <c r="O162" s="136">
        <f t="shared" si="61"/>
        <v>190</v>
      </c>
      <c r="P162" s="137">
        <f t="shared" si="62"/>
        <v>79.430000000000007</v>
      </c>
      <c r="Q162" s="138">
        <f t="shared" si="63"/>
        <v>15091.7</v>
      </c>
    </row>
    <row r="163" spans="1:17" ht="22.5" x14ac:dyDescent="0.25">
      <c r="A163" s="176" t="s">
        <v>7371</v>
      </c>
      <c r="B163" s="176" t="s">
        <v>7372</v>
      </c>
      <c r="C163" s="177"/>
      <c r="D163" s="177"/>
      <c r="E163" s="178"/>
      <c r="F163" s="178"/>
      <c r="G163" s="178"/>
      <c r="H163" s="179"/>
      <c r="I163" s="180"/>
      <c r="J163" s="181" t="s">
        <v>7083</v>
      </c>
      <c r="K163" s="182"/>
      <c r="L163" s="180"/>
      <c r="M163" s="181" t="s">
        <v>7083</v>
      </c>
      <c r="N163" s="182"/>
      <c r="O163" s="180"/>
      <c r="P163" s="181" t="s">
        <v>7083</v>
      </c>
      <c r="Q163" s="182"/>
    </row>
    <row r="164" spans="1:17" ht="22.5" x14ac:dyDescent="0.25">
      <c r="A164" s="183" t="s">
        <v>7373</v>
      </c>
      <c r="B164" s="183" t="s">
        <v>7374</v>
      </c>
      <c r="C164" s="184" t="s">
        <v>378</v>
      </c>
      <c r="D164" s="184" t="s">
        <v>1</v>
      </c>
      <c r="E164" s="185" t="s">
        <v>7193</v>
      </c>
      <c r="F164" s="185">
        <v>70</v>
      </c>
      <c r="G164" s="185">
        <v>10</v>
      </c>
      <c r="H164" s="186">
        <v>900</v>
      </c>
      <c r="I164" s="187">
        <v>50</v>
      </c>
      <c r="J164" s="188">
        <v>18.38</v>
      </c>
      <c r="K164" s="189">
        <f t="shared" si="43"/>
        <v>919</v>
      </c>
      <c r="L164" s="187"/>
      <c r="M164" s="137"/>
      <c r="N164" s="138"/>
      <c r="O164" s="136">
        <f t="shared" ref="O164:O166" si="64">SUM(L164,I164)</f>
        <v>50</v>
      </c>
      <c r="P164" s="137">
        <f t="shared" ref="P164:P166" si="65">IF(M164&lt;&gt;"",M164,J164)</f>
        <v>18.38</v>
      </c>
      <c r="Q164" s="138">
        <f t="shared" ref="Q164:Q166" si="66">ROUND(O164*P164,2)</f>
        <v>919</v>
      </c>
    </row>
    <row r="165" spans="1:17" ht="22.5" x14ac:dyDescent="0.25">
      <c r="A165" s="183" t="s">
        <v>7375</v>
      </c>
      <c r="B165" s="183" t="s">
        <v>7376</v>
      </c>
      <c r="C165" s="184" t="s">
        <v>378</v>
      </c>
      <c r="D165" s="184" t="s">
        <v>1</v>
      </c>
      <c r="E165" s="185" t="s">
        <v>7193</v>
      </c>
      <c r="F165" s="185">
        <v>70</v>
      </c>
      <c r="G165" s="185">
        <v>10</v>
      </c>
      <c r="H165" s="186">
        <v>900</v>
      </c>
      <c r="I165" s="187">
        <v>20</v>
      </c>
      <c r="J165" s="188">
        <v>21.26</v>
      </c>
      <c r="K165" s="189">
        <f t="shared" si="43"/>
        <v>425.2</v>
      </c>
      <c r="L165" s="187"/>
      <c r="M165" s="137"/>
      <c r="N165" s="138"/>
      <c r="O165" s="136">
        <f t="shared" si="64"/>
        <v>20</v>
      </c>
      <c r="P165" s="137">
        <f t="shared" si="65"/>
        <v>21.26</v>
      </c>
      <c r="Q165" s="138">
        <f t="shared" si="66"/>
        <v>425.2</v>
      </c>
    </row>
    <row r="166" spans="1:17" ht="22.5" x14ac:dyDescent="0.25">
      <c r="A166" s="183" t="s">
        <v>7377</v>
      </c>
      <c r="B166" s="183" t="s">
        <v>7378</v>
      </c>
      <c r="C166" s="184" t="s">
        <v>378</v>
      </c>
      <c r="D166" s="184" t="s">
        <v>1</v>
      </c>
      <c r="E166" s="185" t="s">
        <v>7193</v>
      </c>
      <c r="F166" s="185">
        <v>70</v>
      </c>
      <c r="G166" s="185">
        <v>10</v>
      </c>
      <c r="H166" s="186">
        <v>900</v>
      </c>
      <c r="I166" s="187">
        <v>20</v>
      </c>
      <c r="J166" s="188">
        <v>26.29</v>
      </c>
      <c r="K166" s="189">
        <f t="shared" si="43"/>
        <v>525.79999999999995</v>
      </c>
      <c r="L166" s="187"/>
      <c r="M166" s="137"/>
      <c r="N166" s="138"/>
      <c r="O166" s="136">
        <f t="shared" si="64"/>
        <v>20</v>
      </c>
      <c r="P166" s="137">
        <f t="shared" si="65"/>
        <v>26.29</v>
      </c>
      <c r="Q166" s="138">
        <f t="shared" si="66"/>
        <v>525.79999999999995</v>
      </c>
    </row>
    <row r="167" spans="1:17" ht="22.5" x14ac:dyDescent="0.25">
      <c r="A167" s="169" t="s">
        <v>7379</v>
      </c>
      <c r="B167" s="169" t="s">
        <v>7380</v>
      </c>
      <c r="C167" s="170"/>
      <c r="D167" s="170"/>
      <c r="E167" s="171"/>
      <c r="F167" s="171"/>
      <c r="G167" s="171"/>
      <c r="H167" s="172"/>
      <c r="I167" s="173"/>
      <c r="J167" s="174" t="s">
        <v>7083</v>
      </c>
      <c r="K167" s="175"/>
      <c r="L167" s="173"/>
      <c r="M167" s="174" t="s">
        <v>7083</v>
      </c>
      <c r="N167" s="175"/>
      <c r="O167" s="173"/>
      <c r="P167" s="174" t="s">
        <v>7083</v>
      </c>
      <c r="Q167" s="175"/>
    </row>
    <row r="168" spans="1:17" x14ac:dyDescent="0.25">
      <c r="A168" s="176" t="s">
        <v>7381</v>
      </c>
      <c r="B168" s="176" t="s">
        <v>7382</v>
      </c>
      <c r="C168" s="177"/>
      <c r="D168" s="177"/>
      <c r="E168" s="178"/>
      <c r="F168" s="178"/>
      <c r="G168" s="178"/>
      <c r="H168" s="179"/>
      <c r="I168" s="180"/>
      <c r="J168" s="181" t="s">
        <v>7083</v>
      </c>
      <c r="K168" s="182"/>
      <c r="L168" s="180"/>
      <c r="M168" s="181" t="s">
        <v>7083</v>
      </c>
      <c r="N168" s="182"/>
      <c r="O168" s="180"/>
      <c r="P168" s="181" t="s">
        <v>7083</v>
      </c>
      <c r="Q168" s="182"/>
    </row>
    <row r="169" spans="1:17" ht="45" x14ac:dyDescent="0.25">
      <c r="A169" s="183" t="s">
        <v>7383</v>
      </c>
      <c r="B169" s="183" t="s">
        <v>7384</v>
      </c>
      <c r="C169" s="184" t="s">
        <v>378</v>
      </c>
      <c r="D169" s="184" t="s">
        <v>1</v>
      </c>
      <c r="E169" s="185" t="s">
        <v>7193</v>
      </c>
      <c r="F169" s="185">
        <v>70</v>
      </c>
      <c r="G169" s="185">
        <v>10</v>
      </c>
      <c r="H169" s="186">
        <v>900</v>
      </c>
      <c r="I169" s="187">
        <v>20</v>
      </c>
      <c r="J169" s="188">
        <v>25.75</v>
      </c>
      <c r="K169" s="189">
        <f t="shared" si="43"/>
        <v>515</v>
      </c>
      <c r="L169" s="187"/>
      <c r="M169" s="137"/>
      <c r="N169" s="138"/>
      <c r="O169" s="136">
        <f t="shared" ref="O169:O170" si="67">SUM(L169,I169)</f>
        <v>20</v>
      </c>
      <c r="P169" s="137">
        <f t="shared" ref="P169:P170" si="68">IF(M169&lt;&gt;"",M169,J169)</f>
        <v>25.75</v>
      </c>
      <c r="Q169" s="138">
        <f t="shared" ref="Q169:Q170" si="69">ROUND(O169*P169,2)</f>
        <v>515</v>
      </c>
    </row>
    <row r="170" spans="1:17" ht="45" x14ac:dyDescent="0.25">
      <c r="A170" s="183" t="s">
        <v>7385</v>
      </c>
      <c r="B170" s="183" t="s">
        <v>7386</v>
      </c>
      <c r="C170" s="184" t="s">
        <v>378</v>
      </c>
      <c r="D170" s="184" t="s">
        <v>1</v>
      </c>
      <c r="E170" s="185" t="s">
        <v>7193</v>
      </c>
      <c r="F170" s="185">
        <v>70</v>
      </c>
      <c r="G170" s="185">
        <v>10</v>
      </c>
      <c r="H170" s="186">
        <v>900</v>
      </c>
      <c r="I170" s="187">
        <v>20</v>
      </c>
      <c r="J170" s="188">
        <v>43.57</v>
      </c>
      <c r="K170" s="189">
        <f t="shared" si="43"/>
        <v>871.4</v>
      </c>
      <c r="L170" s="187"/>
      <c r="M170" s="137"/>
      <c r="N170" s="138"/>
      <c r="O170" s="136">
        <f t="shared" si="67"/>
        <v>20</v>
      </c>
      <c r="P170" s="137">
        <f t="shared" si="68"/>
        <v>43.57</v>
      </c>
      <c r="Q170" s="138">
        <f t="shared" si="69"/>
        <v>871.4</v>
      </c>
    </row>
    <row r="171" spans="1:17" ht="22.5" x14ac:dyDescent="0.25">
      <c r="A171" s="176" t="s">
        <v>7387</v>
      </c>
      <c r="B171" s="176" t="s">
        <v>7388</v>
      </c>
      <c r="C171" s="177"/>
      <c r="D171" s="177"/>
      <c r="E171" s="178"/>
      <c r="F171" s="178"/>
      <c r="G171" s="178"/>
      <c r="H171" s="179"/>
      <c r="I171" s="180"/>
      <c r="J171" s="181" t="s">
        <v>7083</v>
      </c>
      <c r="K171" s="182"/>
      <c r="L171" s="180"/>
      <c r="M171" s="181" t="s">
        <v>7083</v>
      </c>
      <c r="N171" s="182"/>
      <c r="O171" s="180"/>
      <c r="P171" s="181" t="s">
        <v>7083</v>
      </c>
      <c r="Q171" s="182"/>
    </row>
    <row r="172" spans="1:17" ht="33.75" x14ac:dyDescent="0.25">
      <c r="A172" s="183" t="s">
        <v>7389</v>
      </c>
      <c r="B172" s="183" t="s">
        <v>7390</v>
      </c>
      <c r="C172" s="184" t="s">
        <v>378</v>
      </c>
      <c r="D172" s="184" t="s">
        <v>1</v>
      </c>
      <c r="E172" s="185" t="s">
        <v>7193</v>
      </c>
      <c r="F172" s="185">
        <v>70</v>
      </c>
      <c r="G172" s="185">
        <v>10</v>
      </c>
      <c r="H172" s="186">
        <v>900</v>
      </c>
      <c r="I172" s="187">
        <v>3375</v>
      </c>
      <c r="J172" s="188">
        <v>28.02</v>
      </c>
      <c r="K172" s="189">
        <f t="shared" si="43"/>
        <v>94567.5</v>
      </c>
      <c r="L172" s="187">
        <v>1000</v>
      </c>
      <c r="M172" s="137">
        <f t="shared" ref="M172:M173" si="70">J172</f>
        <v>28.02</v>
      </c>
      <c r="N172" s="189">
        <f t="shared" ref="N172:N173" si="71">ROUND(L172*M172,2)</f>
        <v>28020</v>
      </c>
      <c r="O172" s="136">
        <f t="shared" ref="O172:O177" si="72">SUM(L172,I172)</f>
        <v>4375</v>
      </c>
      <c r="P172" s="137">
        <f t="shared" ref="P172:P177" si="73">IF(M172&lt;&gt;"",M172,J172)</f>
        <v>28.02</v>
      </c>
      <c r="Q172" s="138">
        <f t="shared" ref="Q172:Q177" si="74">ROUND(O172*P172,2)</f>
        <v>122587.5</v>
      </c>
    </row>
    <row r="173" spans="1:17" ht="33.75" x14ac:dyDescent="0.25">
      <c r="A173" s="183" t="s">
        <v>7391</v>
      </c>
      <c r="B173" s="183" t="s">
        <v>7392</v>
      </c>
      <c r="C173" s="184" t="s">
        <v>378</v>
      </c>
      <c r="D173" s="184" t="s">
        <v>1</v>
      </c>
      <c r="E173" s="185" t="s">
        <v>7193</v>
      </c>
      <c r="F173" s="185">
        <v>70</v>
      </c>
      <c r="G173" s="185">
        <v>10</v>
      </c>
      <c r="H173" s="186">
        <v>900</v>
      </c>
      <c r="I173" s="187">
        <v>703.94</v>
      </c>
      <c r="J173" s="188">
        <v>45.43</v>
      </c>
      <c r="K173" s="189">
        <f t="shared" si="43"/>
        <v>31979.99</v>
      </c>
      <c r="L173" s="187">
        <v>1.0599999999999454</v>
      </c>
      <c r="M173" s="137">
        <f t="shared" si="70"/>
        <v>45.43</v>
      </c>
      <c r="N173" s="189">
        <f t="shared" si="71"/>
        <v>48.16</v>
      </c>
      <c r="O173" s="136">
        <f t="shared" si="72"/>
        <v>705</v>
      </c>
      <c r="P173" s="137">
        <f t="shared" si="73"/>
        <v>45.43</v>
      </c>
      <c r="Q173" s="138">
        <f t="shared" si="74"/>
        <v>32028.15</v>
      </c>
    </row>
    <row r="174" spans="1:17" ht="33.75" x14ac:dyDescent="0.25">
      <c r="A174" s="183" t="s">
        <v>7393</v>
      </c>
      <c r="B174" s="183" t="s">
        <v>7394</v>
      </c>
      <c r="C174" s="184" t="s">
        <v>378</v>
      </c>
      <c r="D174" s="184" t="s">
        <v>1</v>
      </c>
      <c r="E174" s="185" t="s">
        <v>7193</v>
      </c>
      <c r="F174" s="185">
        <v>70</v>
      </c>
      <c r="G174" s="185">
        <v>10</v>
      </c>
      <c r="H174" s="186">
        <v>900</v>
      </c>
      <c r="I174" s="187">
        <v>710</v>
      </c>
      <c r="J174" s="188">
        <v>51.66</v>
      </c>
      <c r="K174" s="189">
        <f t="shared" si="43"/>
        <v>36678.6</v>
      </c>
      <c r="L174" s="187"/>
      <c r="M174" s="137"/>
      <c r="N174" s="138"/>
      <c r="O174" s="136">
        <f t="shared" si="72"/>
        <v>710</v>
      </c>
      <c r="P174" s="137">
        <f t="shared" si="73"/>
        <v>51.66</v>
      </c>
      <c r="Q174" s="138">
        <f t="shared" si="74"/>
        <v>36678.6</v>
      </c>
    </row>
    <row r="175" spans="1:17" ht="33.75" x14ac:dyDescent="0.25">
      <c r="A175" s="183" t="s">
        <v>7395</v>
      </c>
      <c r="B175" s="183" t="s">
        <v>7396</v>
      </c>
      <c r="C175" s="184" t="s">
        <v>378</v>
      </c>
      <c r="D175" s="184" t="s">
        <v>1</v>
      </c>
      <c r="E175" s="185" t="s">
        <v>7193</v>
      </c>
      <c r="F175" s="185">
        <v>70</v>
      </c>
      <c r="G175" s="185">
        <v>10</v>
      </c>
      <c r="H175" s="186">
        <v>900</v>
      </c>
      <c r="I175" s="187">
        <v>440</v>
      </c>
      <c r="J175" s="188">
        <v>68.5</v>
      </c>
      <c r="K175" s="189">
        <f t="shared" si="43"/>
        <v>30140</v>
      </c>
      <c r="L175" s="187">
        <v>300</v>
      </c>
      <c r="M175" s="137">
        <f>J175</f>
        <v>68.5</v>
      </c>
      <c r="N175" s="189">
        <f t="shared" ref="N175" si="75">ROUND(L175*M175,2)</f>
        <v>20550</v>
      </c>
      <c r="O175" s="136">
        <f t="shared" si="72"/>
        <v>740</v>
      </c>
      <c r="P175" s="137">
        <f t="shared" si="73"/>
        <v>68.5</v>
      </c>
      <c r="Q175" s="138">
        <f t="shared" si="74"/>
        <v>50690</v>
      </c>
    </row>
    <row r="176" spans="1:17" ht="33.75" x14ac:dyDescent="0.25">
      <c r="A176" s="183" t="s">
        <v>7397</v>
      </c>
      <c r="B176" s="183" t="s">
        <v>7398</v>
      </c>
      <c r="C176" s="184" t="s">
        <v>378</v>
      </c>
      <c r="D176" s="184" t="s">
        <v>1</v>
      </c>
      <c r="E176" s="185" t="s">
        <v>7193</v>
      </c>
      <c r="F176" s="185">
        <v>70</v>
      </c>
      <c r="G176" s="185">
        <v>10</v>
      </c>
      <c r="H176" s="186">
        <v>900</v>
      </c>
      <c r="I176" s="187">
        <v>2270</v>
      </c>
      <c r="J176" s="188">
        <v>76.02</v>
      </c>
      <c r="K176" s="189">
        <f t="shared" si="43"/>
        <v>172565.4</v>
      </c>
      <c r="L176" s="187"/>
      <c r="M176" s="137"/>
      <c r="N176" s="138"/>
      <c r="O176" s="136">
        <f t="shared" si="72"/>
        <v>2270</v>
      </c>
      <c r="P176" s="137">
        <f t="shared" si="73"/>
        <v>76.02</v>
      </c>
      <c r="Q176" s="138">
        <f t="shared" si="74"/>
        <v>172565.4</v>
      </c>
    </row>
    <row r="177" spans="1:17" ht="33.75" x14ac:dyDescent="0.25">
      <c r="A177" s="183" t="s">
        <v>7399</v>
      </c>
      <c r="B177" s="183" t="s">
        <v>7400</v>
      </c>
      <c r="C177" s="184" t="s">
        <v>378</v>
      </c>
      <c r="D177" s="184" t="s">
        <v>1</v>
      </c>
      <c r="E177" s="185" t="s">
        <v>7193</v>
      </c>
      <c r="F177" s="185">
        <v>70</v>
      </c>
      <c r="G177" s="185">
        <v>10</v>
      </c>
      <c r="H177" s="186">
        <v>900</v>
      </c>
      <c r="I177" s="187">
        <v>340</v>
      </c>
      <c r="J177" s="188">
        <v>114.17</v>
      </c>
      <c r="K177" s="189">
        <f t="shared" si="43"/>
        <v>38817.800000000003</v>
      </c>
      <c r="L177" s="187"/>
      <c r="M177" s="137"/>
      <c r="N177" s="138"/>
      <c r="O177" s="136">
        <f t="shared" si="72"/>
        <v>340</v>
      </c>
      <c r="P177" s="137">
        <f t="shared" si="73"/>
        <v>114.17</v>
      </c>
      <c r="Q177" s="138">
        <f t="shared" si="74"/>
        <v>38817.800000000003</v>
      </c>
    </row>
    <row r="178" spans="1:17" ht="22.5" x14ac:dyDescent="0.25">
      <c r="A178" s="176" t="s">
        <v>7401</v>
      </c>
      <c r="B178" s="176" t="s">
        <v>7402</v>
      </c>
      <c r="C178" s="177"/>
      <c r="D178" s="177"/>
      <c r="E178" s="178"/>
      <c r="F178" s="178"/>
      <c r="G178" s="178"/>
      <c r="H178" s="179"/>
      <c r="I178" s="180"/>
      <c r="J178" s="181" t="s">
        <v>7083</v>
      </c>
      <c r="K178" s="182"/>
      <c r="L178" s="180"/>
      <c r="M178" s="181" t="s">
        <v>7083</v>
      </c>
      <c r="N178" s="182"/>
      <c r="O178" s="180"/>
      <c r="P178" s="181" t="s">
        <v>7083</v>
      </c>
      <c r="Q178" s="182"/>
    </row>
    <row r="179" spans="1:17" ht="45" x14ac:dyDescent="0.25">
      <c r="A179" s="183" t="s">
        <v>7403</v>
      </c>
      <c r="B179" s="183" t="s">
        <v>7404</v>
      </c>
      <c r="C179" s="184" t="s">
        <v>378</v>
      </c>
      <c r="D179" s="184" t="s">
        <v>1</v>
      </c>
      <c r="E179" s="185" t="s">
        <v>7193</v>
      </c>
      <c r="F179" s="185">
        <v>70</v>
      </c>
      <c r="G179" s="185">
        <v>10</v>
      </c>
      <c r="H179" s="186">
        <v>900</v>
      </c>
      <c r="I179" s="187">
        <v>800</v>
      </c>
      <c r="J179" s="188">
        <v>121.19</v>
      </c>
      <c r="K179" s="189">
        <f t="shared" si="43"/>
        <v>96952</v>
      </c>
      <c r="L179" s="187"/>
      <c r="M179" s="137"/>
      <c r="N179" s="138"/>
      <c r="O179" s="136">
        <f>SUM(L179,I179)</f>
        <v>800</v>
      </c>
      <c r="P179" s="137">
        <f>IF(M179&lt;&gt;"",M179,J179)</f>
        <v>121.19</v>
      </c>
      <c r="Q179" s="138">
        <f>ROUND(O179*P179,2)</f>
        <v>96952</v>
      </c>
    </row>
    <row r="180" spans="1:17" x14ac:dyDescent="0.25">
      <c r="A180" s="176" t="s">
        <v>7405</v>
      </c>
      <c r="B180" s="176" t="s">
        <v>7406</v>
      </c>
      <c r="C180" s="177"/>
      <c r="D180" s="177"/>
      <c r="E180" s="178"/>
      <c r="F180" s="178"/>
      <c r="G180" s="178"/>
      <c r="H180" s="179"/>
      <c r="I180" s="180"/>
      <c r="J180" s="181" t="s">
        <v>7083</v>
      </c>
      <c r="K180" s="182"/>
      <c r="L180" s="180"/>
      <c r="M180" s="181" t="s">
        <v>7083</v>
      </c>
      <c r="N180" s="182"/>
      <c r="O180" s="180"/>
      <c r="P180" s="181" t="s">
        <v>7083</v>
      </c>
      <c r="Q180" s="182"/>
    </row>
    <row r="181" spans="1:17" ht="22.5" x14ac:dyDescent="0.25">
      <c r="A181" s="183" t="s">
        <v>7407</v>
      </c>
      <c r="B181" s="183" t="s">
        <v>7408</v>
      </c>
      <c r="C181" s="184" t="s">
        <v>378</v>
      </c>
      <c r="D181" s="184" t="s">
        <v>1</v>
      </c>
      <c r="E181" s="185" t="s">
        <v>7193</v>
      </c>
      <c r="F181" s="185">
        <v>70</v>
      </c>
      <c r="G181" s="185">
        <v>10</v>
      </c>
      <c r="H181" s="186">
        <v>900</v>
      </c>
      <c r="I181" s="187">
        <v>25</v>
      </c>
      <c r="J181" s="188">
        <v>69.03</v>
      </c>
      <c r="K181" s="189">
        <f t="shared" si="43"/>
        <v>1725.75</v>
      </c>
      <c r="L181" s="187"/>
      <c r="M181" s="137"/>
      <c r="N181" s="138"/>
      <c r="O181" s="136">
        <f t="shared" ref="O181:O182" si="76">SUM(L181,I181)</f>
        <v>25</v>
      </c>
      <c r="P181" s="137">
        <f t="shared" ref="P181:P182" si="77">IF(M181&lt;&gt;"",M181,J181)</f>
        <v>69.03</v>
      </c>
      <c r="Q181" s="138">
        <f t="shared" ref="Q181:Q182" si="78">ROUND(O181*P181,2)</f>
        <v>1725.75</v>
      </c>
    </row>
    <row r="182" spans="1:17" ht="22.5" x14ac:dyDescent="0.25">
      <c r="A182" s="183" t="s">
        <v>7409</v>
      </c>
      <c r="B182" s="183" t="s">
        <v>7410</v>
      </c>
      <c r="C182" s="184" t="s">
        <v>378</v>
      </c>
      <c r="D182" s="184" t="s">
        <v>1</v>
      </c>
      <c r="E182" s="185" t="s">
        <v>7193</v>
      </c>
      <c r="F182" s="185">
        <v>70</v>
      </c>
      <c r="G182" s="185">
        <v>10</v>
      </c>
      <c r="H182" s="186">
        <v>900</v>
      </c>
      <c r="I182" s="187">
        <v>50</v>
      </c>
      <c r="J182" s="188">
        <v>66.930000000000007</v>
      </c>
      <c r="K182" s="189">
        <f t="shared" si="43"/>
        <v>3346.5</v>
      </c>
      <c r="L182" s="187">
        <v>200</v>
      </c>
      <c r="M182" s="137">
        <f>J182</f>
        <v>66.930000000000007</v>
      </c>
      <c r="N182" s="189">
        <f t="shared" ref="N182" si="79">ROUND(L182*M182,2)</f>
        <v>13386</v>
      </c>
      <c r="O182" s="136">
        <f t="shared" si="76"/>
        <v>250</v>
      </c>
      <c r="P182" s="137">
        <f t="shared" si="77"/>
        <v>66.930000000000007</v>
      </c>
      <c r="Q182" s="138">
        <f t="shared" si="78"/>
        <v>16732.5</v>
      </c>
    </row>
    <row r="183" spans="1:17" ht="22.5" x14ac:dyDescent="0.25">
      <c r="A183" s="169" t="s">
        <v>7411</v>
      </c>
      <c r="B183" s="169" t="s">
        <v>7412</v>
      </c>
      <c r="C183" s="170"/>
      <c r="D183" s="170"/>
      <c r="E183" s="171"/>
      <c r="F183" s="171"/>
      <c r="G183" s="171"/>
      <c r="H183" s="172"/>
      <c r="I183" s="173"/>
      <c r="J183" s="174" t="s">
        <v>7083</v>
      </c>
      <c r="K183" s="175"/>
      <c r="L183" s="173"/>
      <c r="M183" s="174" t="s">
        <v>7083</v>
      </c>
      <c r="N183" s="175"/>
      <c r="O183" s="173"/>
      <c r="P183" s="174" t="s">
        <v>7083</v>
      </c>
      <c r="Q183" s="175"/>
    </row>
    <row r="184" spans="1:17" ht="22.5" x14ac:dyDescent="0.25">
      <c r="A184" s="183" t="s">
        <v>7413</v>
      </c>
      <c r="B184" s="183" t="s">
        <v>7414</v>
      </c>
      <c r="C184" s="184" t="s">
        <v>378</v>
      </c>
      <c r="D184" s="184" t="s">
        <v>1</v>
      </c>
      <c r="E184" s="185" t="s">
        <v>7193</v>
      </c>
      <c r="F184" s="185">
        <v>70</v>
      </c>
      <c r="G184" s="185">
        <v>30</v>
      </c>
      <c r="H184" s="186">
        <v>0</v>
      </c>
      <c r="I184" s="187">
        <v>300</v>
      </c>
      <c r="J184" s="188">
        <v>196.25</v>
      </c>
      <c r="K184" s="189">
        <f t="shared" si="43"/>
        <v>58875</v>
      </c>
      <c r="L184" s="187">
        <v>200</v>
      </c>
      <c r="M184" s="137">
        <f t="shared" ref="M184:M186" si="80">J184</f>
        <v>196.25</v>
      </c>
      <c r="N184" s="189">
        <f t="shared" ref="N184:N186" si="81">ROUND(L184*M184,2)</f>
        <v>39250</v>
      </c>
      <c r="O184" s="136">
        <f t="shared" ref="O184:O190" si="82">SUM(L184,I184)</f>
        <v>500</v>
      </c>
      <c r="P184" s="137">
        <f t="shared" ref="P184:P190" si="83">IF(M184&lt;&gt;"",M184,J184)</f>
        <v>196.25</v>
      </c>
      <c r="Q184" s="138">
        <f t="shared" ref="Q184:Q190" si="84">ROUND(O184*P184,2)</f>
        <v>98125</v>
      </c>
    </row>
    <row r="185" spans="1:17" ht="22.5" x14ac:dyDescent="0.25">
      <c r="A185" s="183" t="s">
        <v>7415</v>
      </c>
      <c r="B185" s="183" t="s">
        <v>7416</v>
      </c>
      <c r="C185" s="184" t="s">
        <v>378</v>
      </c>
      <c r="D185" s="184" t="s">
        <v>1</v>
      </c>
      <c r="E185" s="185" t="s">
        <v>7193</v>
      </c>
      <c r="F185" s="185">
        <v>70</v>
      </c>
      <c r="G185" s="185">
        <v>30</v>
      </c>
      <c r="H185" s="186">
        <v>0</v>
      </c>
      <c r="I185" s="187">
        <v>300</v>
      </c>
      <c r="J185" s="188">
        <v>255.82</v>
      </c>
      <c r="K185" s="189">
        <f t="shared" si="43"/>
        <v>76746</v>
      </c>
      <c r="L185" s="187">
        <v>100</v>
      </c>
      <c r="M185" s="137">
        <f t="shared" si="80"/>
        <v>255.82</v>
      </c>
      <c r="N185" s="189">
        <f t="shared" si="81"/>
        <v>25582</v>
      </c>
      <c r="O185" s="136">
        <f t="shared" si="82"/>
        <v>400</v>
      </c>
      <c r="P185" s="137">
        <f t="shared" si="83"/>
        <v>255.82</v>
      </c>
      <c r="Q185" s="138">
        <f t="shared" si="84"/>
        <v>102328</v>
      </c>
    </row>
    <row r="186" spans="1:17" ht="22.5" x14ac:dyDescent="0.25">
      <c r="A186" s="183" t="s">
        <v>7417</v>
      </c>
      <c r="B186" s="183" t="s">
        <v>7418</v>
      </c>
      <c r="C186" s="184" t="s">
        <v>378</v>
      </c>
      <c r="D186" s="184" t="s">
        <v>1</v>
      </c>
      <c r="E186" s="185" t="s">
        <v>7193</v>
      </c>
      <c r="F186" s="185">
        <v>70</v>
      </c>
      <c r="G186" s="185">
        <v>30</v>
      </c>
      <c r="H186" s="186">
        <v>0</v>
      </c>
      <c r="I186" s="187">
        <v>400</v>
      </c>
      <c r="J186" s="188">
        <v>328.5</v>
      </c>
      <c r="K186" s="189">
        <f t="shared" si="43"/>
        <v>131400</v>
      </c>
      <c r="L186" s="187">
        <v>50</v>
      </c>
      <c r="M186" s="137">
        <f t="shared" si="80"/>
        <v>328.5</v>
      </c>
      <c r="N186" s="189">
        <f t="shared" si="81"/>
        <v>16425</v>
      </c>
      <c r="O186" s="136">
        <f t="shared" si="82"/>
        <v>450</v>
      </c>
      <c r="P186" s="137">
        <f t="shared" si="83"/>
        <v>328.5</v>
      </c>
      <c r="Q186" s="138">
        <f t="shared" si="84"/>
        <v>147825</v>
      </c>
    </row>
    <row r="187" spans="1:17" ht="22.5" x14ac:dyDescent="0.25">
      <c r="A187" s="183" t="s">
        <v>7419</v>
      </c>
      <c r="B187" s="183" t="s">
        <v>7420</v>
      </c>
      <c r="C187" s="184" t="s">
        <v>378</v>
      </c>
      <c r="D187" s="184" t="s">
        <v>1</v>
      </c>
      <c r="E187" s="185" t="s">
        <v>7193</v>
      </c>
      <c r="F187" s="185">
        <v>70</v>
      </c>
      <c r="G187" s="185">
        <v>30</v>
      </c>
      <c r="H187" s="186">
        <v>0</v>
      </c>
      <c r="I187" s="187">
        <v>200</v>
      </c>
      <c r="J187" s="188">
        <v>382.13</v>
      </c>
      <c r="K187" s="189">
        <f t="shared" si="43"/>
        <v>76426</v>
      </c>
      <c r="L187" s="187"/>
      <c r="M187" s="137"/>
      <c r="N187" s="138"/>
      <c r="O187" s="136">
        <f t="shared" si="82"/>
        <v>200</v>
      </c>
      <c r="P187" s="137">
        <f t="shared" si="83"/>
        <v>382.13</v>
      </c>
      <c r="Q187" s="138">
        <f t="shared" si="84"/>
        <v>76426</v>
      </c>
    </row>
    <row r="188" spans="1:17" ht="22.5" x14ac:dyDescent="0.25">
      <c r="A188" s="183" t="s">
        <v>7421</v>
      </c>
      <c r="B188" s="183" t="s">
        <v>7422</v>
      </c>
      <c r="C188" s="184" t="s">
        <v>378</v>
      </c>
      <c r="D188" s="184" t="s">
        <v>1</v>
      </c>
      <c r="E188" s="185" t="s">
        <v>7193</v>
      </c>
      <c r="F188" s="185">
        <v>70</v>
      </c>
      <c r="G188" s="185">
        <v>30</v>
      </c>
      <c r="H188" s="186">
        <v>0</v>
      </c>
      <c r="I188" s="187">
        <v>150</v>
      </c>
      <c r="J188" s="188">
        <v>441.65</v>
      </c>
      <c r="K188" s="189">
        <f t="shared" si="43"/>
        <v>66247.5</v>
      </c>
      <c r="L188" s="187"/>
      <c r="M188" s="137"/>
      <c r="N188" s="138"/>
      <c r="O188" s="136">
        <f t="shared" si="82"/>
        <v>150</v>
      </c>
      <c r="P188" s="137">
        <f t="shared" si="83"/>
        <v>441.65</v>
      </c>
      <c r="Q188" s="138">
        <f t="shared" si="84"/>
        <v>66247.5</v>
      </c>
    </row>
    <row r="189" spans="1:17" ht="22.5" x14ac:dyDescent="0.25">
      <c r="A189" s="183" t="s">
        <v>7423</v>
      </c>
      <c r="B189" s="183" t="s">
        <v>7424</v>
      </c>
      <c r="C189" s="184" t="s">
        <v>378</v>
      </c>
      <c r="D189" s="184" t="s">
        <v>1</v>
      </c>
      <c r="E189" s="185" t="s">
        <v>7193</v>
      </c>
      <c r="F189" s="185">
        <v>70</v>
      </c>
      <c r="G189" s="185">
        <v>30</v>
      </c>
      <c r="H189" s="186">
        <v>0</v>
      </c>
      <c r="I189" s="187">
        <v>25</v>
      </c>
      <c r="J189" s="188">
        <v>535.88</v>
      </c>
      <c r="K189" s="189">
        <f t="shared" si="43"/>
        <v>13397</v>
      </c>
      <c r="L189" s="187"/>
      <c r="M189" s="137"/>
      <c r="N189" s="138"/>
      <c r="O189" s="136">
        <f t="shared" si="82"/>
        <v>25</v>
      </c>
      <c r="P189" s="137">
        <f t="shared" si="83"/>
        <v>535.88</v>
      </c>
      <c r="Q189" s="138">
        <f t="shared" si="84"/>
        <v>13397</v>
      </c>
    </row>
    <row r="190" spans="1:17" ht="22.5" x14ac:dyDescent="0.25">
      <c r="A190" s="183" t="s">
        <v>7425</v>
      </c>
      <c r="B190" s="183" t="s">
        <v>7426</v>
      </c>
      <c r="C190" s="184" t="s">
        <v>378</v>
      </c>
      <c r="D190" s="184" t="s">
        <v>1</v>
      </c>
      <c r="E190" s="185" t="s">
        <v>7193</v>
      </c>
      <c r="F190" s="185">
        <v>70</v>
      </c>
      <c r="G190" s="185">
        <v>30</v>
      </c>
      <c r="H190" s="186">
        <v>0</v>
      </c>
      <c r="I190" s="187">
        <v>150</v>
      </c>
      <c r="J190" s="188">
        <v>526.35</v>
      </c>
      <c r="K190" s="189">
        <f t="shared" si="43"/>
        <v>78952.5</v>
      </c>
      <c r="L190" s="187"/>
      <c r="M190" s="137"/>
      <c r="N190" s="138"/>
      <c r="O190" s="136">
        <f t="shared" si="82"/>
        <v>150</v>
      </c>
      <c r="P190" s="137">
        <f t="shared" si="83"/>
        <v>526.35</v>
      </c>
      <c r="Q190" s="138">
        <f t="shared" si="84"/>
        <v>78952.5</v>
      </c>
    </row>
    <row r="191" spans="1:17" ht="22.5" x14ac:dyDescent="0.25">
      <c r="A191" s="169" t="s">
        <v>7427</v>
      </c>
      <c r="B191" s="169" t="s">
        <v>7428</v>
      </c>
      <c r="C191" s="170"/>
      <c r="D191" s="170"/>
      <c r="E191" s="171"/>
      <c r="F191" s="171"/>
      <c r="G191" s="171"/>
      <c r="H191" s="172"/>
      <c r="I191" s="173"/>
      <c r="J191" s="174" t="s">
        <v>7083</v>
      </c>
      <c r="K191" s="175"/>
      <c r="L191" s="173"/>
      <c r="M191" s="174" t="s">
        <v>7083</v>
      </c>
      <c r="N191" s="175"/>
      <c r="O191" s="173"/>
      <c r="P191" s="174" t="s">
        <v>7083</v>
      </c>
      <c r="Q191" s="175"/>
    </row>
    <row r="192" spans="1:17" ht="22.5" x14ac:dyDescent="0.25">
      <c r="A192" s="183" t="s">
        <v>7429</v>
      </c>
      <c r="B192" s="183" t="s">
        <v>7430</v>
      </c>
      <c r="C192" s="184" t="s">
        <v>378</v>
      </c>
      <c r="D192" s="184" t="s">
        <v>1</v>
      </c>
      <c r="E192" s="185" t="s">
        <v>7193</v>
      </c>
      <c r="F192" s="185">
        <v>70</v>
      </c>
      <c r="G192" s="185">
        <v>30</v>
      </c>
      <c r="H192" s="186">
        <v>0</v>
      </c>
      <c r="I192" s="187">
        <v>1</v>
      </c>
      <c r="J192" s="188">
        <v>90.85</v>
      </c>
      <c r="K192" s="189">
        <f t="shared" si="43"/>
        <v>90.85</v>
      </c>
      <c r="L192" s="187"/>
      <c r="M192" s="137"/>
      <c r="N192" s="138"/>
      <c r="O192" s="136">
        <f>SUM(L192,I192)</f>
        <v>1</v>
      </c>
      <c r="P192" s="137">
        <f>IF(M192&lt;&gt;"",M192,J192)</f>
        <v>90.85</v>
      </c>
      <c r="Q192" s="138">
        <f>ROUND(O192*P192,2)</f>
        <v>90.85</v>
      </c>
    </row>
    <row r="193" spans="1:17" x14ac:dyDescent="0.25">
      <c r="A193" s="169" t="s">
        <v>7431</v>
      </c>
      <c r="B193" s="169" t="s">
        <v>7432</v>
      </c>
      <c r="C193" s="170"/>
      <c r="D193" s="170"/>
      <c r="E193" s="171"/>
      <c r="F193" s="171"/>
      <c r="G193" s="171"/>
      <c r="H193" s="172"/>
      <c r="I193" s="173"/>
      <c r="J193" s="174" t="s">
        <v>7083</v>
      </c>
      <c r="K193" s="175"/>
      <c r="L193" s="173"/>
      <c r="M193" s="174" t="s">
        <v>7083</v>
      </c>
      <c r="N193" s="175"/>
      <c r="O193" s="173"/>
      <c r="P193" s="174" t="s">
        <v>7083</v>
      </c>
      <c r="Q193" s="175"/>
    </row>
    <row r="194" spans="1:17" ht="22.5" x14ac:dyDescent="0.25">
      <c r="A194" s="183" t="s">
        <v>7433</v>
      </c>
      <c r="B194" s="183" t="s">
        <v>7434</v>
      </c>
      <c r="C194" s="184" t="s">
        <v>378</v>
      </c>
      <c r="D194" s="184" t="s">
        <v>1</v>
      </c>
      <c r="E194" s="185" t="s">
        <v>7193</v>
      </c>
      <c r="F194" s="185">
        <v>70</v>
      </c>
      <c r="G194" s="185">
        <v>30</v>
      </c>
      <c r="H194" s="186">
        <v>0</v>
      </c>
      <c r="I194" s="187">
        <v>10</v>
      </c>
      <c r="J194" s="188">
        <v>527.46</v>
      </c>
      <c r="K194" s="189">
        <f t="shared" si="43"/>
        <v>5274.6</v>
      </c>
      <c r="L194" s="187"/>
      <c r="M194" s="137"/>
      <c r="N194" s="138"/>
      <c r="O194" s="136">
        <f t="shared" ref="O194:O195" si="85">SUM(L194,I194)</f>
        <v>10</v>
      </c>
      <c r="P194" s="137">
        <f t="shared" ref="P194:P195" si="86">IF(M194&lt;&gt;"",M194,J194)</f>
        <v>527.46</v>
      </c>
      <c r="Q194" s="138">
        <f t="shared" ref="Q194:Q195" si="87">ROUND(O194*P194,2)</f>
        <v>5274.6</v>
      </c>
    </row>
    <row r="195" spans="1:17" ht="22.5" x14ac:dyDescent="0.25">
      <c r="A195" s="183" t="s">
        <v>7435</v>
      </c>
      <c r="B195" s="183" t="s">
        <v>7436</v>
      </c>
      <c r="C195" s="184" t="s">
        <v>378</v>
      </c>
      <c r="D195" s="184" t="s">
        <v>1</v>
      </c>
      <c r="E195" s="185" t="s">
        <v>7193</v>
      </c>
      <c r="F195" s="185">
        <v>70</v>
      </c>
      <c r="G195" s="185">
        <v>30</v>
      </c>
      <c r="H195" s="186">
        <v>0</v>
      </c>
      <c r="I195" s="187">
        <v>10</v>
      </c>
      <c r="J195" s="188">
        <v>486.14</v>
      </c>
      <c r="K195" s="189">
        <f t="shared" si="43"/>
        <v>4861.3999999999996</v>
      </c>
      <c r="L195" s="187"/>
      <c r="M195" s="137"/>
      <c r="N195" s="138"/>
      <c r="O195" s="136">
        <f t="shared" si="85"/>
        <v>10</v>
      </c>
      <c r="P195" s="137">
        <f t="shared" si="86"/>
        <v>486.14</v>
      </c>
      <c r="Q195" s="138">
        <f t="shared" si="87"/>
        <v>4861.3999999999996</v>
      </c>
    </row>
    <row r="196" spans="1:17" x14ac:dyDescent="0.25">
      <c r="A196" s="169" t="s">
        <v>7437</v>
      </c>
      <c r="B196" s="169" t="s">
        <v>7438</v>
      </c>
      <c r="C196" s="170"/>
      <c r="D196" s="170"/>
      <c r="E196" s="171"/>
      <c r="F196" s="171"/>
      <c r="G196" s="171"/>
      <c r="H196" s="172"/>
      <c r="I196" s="173"/>
      <c r="J196" s="174" t="s">
        <v>7083</v>
      </c>
      <c r="K196" s="175"/>
      <c r="L196" s="173"/>
      <c r="M196" s="174" t="s">
        <v>7083</v>
      </c>
      <c r="N196" s="175"/>
      <c r="O196" s="173"/>
      <c r="P196" s="174" t="s">
        <v>7083</v>
      </c>
      <c r="Q196" s="175"/>
    </row>
    <row r="197" spans="1:17" ht="22.5" x14ac:dyDescent="0.25">
      <c r="A197" s="183" t="s">
        <v>7439</v>
      </c>
      <c r="B197" s="183" t="s">
        <v>7440</v>
      </c>
      <c r="C197" s="184" t="s">
        <v>378</v>
      </c>
      <c r="D197" s="184" t="s">
        <v>1</v>
      </c>
      <c r="E197" s="185" t="s">
        <v>7193</v>
      </c>
      <c r="F197" s="185">
        <v>70</v>
      </c>
      <c r="G197" s="185">
        <v>30</v>
      </c>
      <c r="H197" s="186">
        <v>0</v>
      </c>
      <c r="I197" s="187">
        <v>170</v>
      </c>
      <c r="J197" s="188">
        <v>657.14</v>
      </c>
      <c r="K197" s="189">
        <f t="shared" si="43"/>
        <v>111713.8</v>
      </c>
      <c r="L197" s="187"/>
      <c r="M197" s="137"/>
      <c r="N197" s="138"/>
      <c r="O197" s="136">
        <f t="shared" ref="O197:O199" si="88">SUM(L197,I197)</f>
        <v>170</v>
      </c>
      <c r="P197" s="137">
        <f t="shared" ref="P197:P199" si="89">IF(M197&lt;&gt;"",M197,J197)</f>
        <v>657.14</v>
      </c>
      <c r="Q197" s="138">
        <f t="shared" ref="Q197:Q199" si="90">ROUND(O197*P197,2)</f>
        <v>111713.8</v>
      </c>
    </row>
    <row r="198" spans="1:17" ht="22.5" x14ac:dyDescent="0.25">
      <c r="A198" s="183" t="s">
        <v>7441</v>
      </c>
      <c r="B198" s="183" t="s">
        <v>7442</v>
      </c>
      <c r="C198" s="184" t="s">
        <v>378</v>
      </c>
      <c r="D198" s="184" t="s">
        <v>1</v>
      </c>
      <c r="E198" s="185" t="s">
        <v>7193</v>
      </c>
      <c r="F198" s="185">
        <v>70</v>
      </c>
      <c r="G198" s="185">
        <v>30</v>
      </c>
      <c r="H198" s="186">
        <v>0</v>
      </c>
      <c r="I198" s="187">
        <v>3</v>
      </c>
      <c r="J198" s="188">
        <v>897.18</v>
      </c>
      <c r="K198" s="189">
        <f t="shared" si="43"/>
        <v>2691.54</v>
      </c>
      <c r="L198" s="187"/>
      <c r="M198" s="137"/>
      <c r="N198" s="138"/>
      <c r="O198" s="136">
        <f t="shared" si="88"/>
        <v>3</v>
      </c>
      <c r="P198" s="137">
        <f t="shared" si="89"/>
        <v>897.18</v>
      </c>
      <c r="Q198" s="138">
        <f t="shared" si="90"/>
        <v>2691.54</v>
      </c>
    </row>
    <row r="199" spans="1:17" ht="22.5" x14ac:dyDescent="0.25">
      <c r="A199" s="183" t="s">
        <v>7443</v>
      </c>
      <c r="B199" s="183" t="s">
        <v>7444</v>
      </c>
      <c r="C199" s="184" t="s">
        <v>378</v>
      </c>
      <c r="D199" s="184" t="s">
        <v>1</v>
      </c>
      <c r="E199" s="185" t="s">
        <v>7193</v>
      </c>
      <c r="F199" s="185">
        <v>70</v>
      </c>
      <c r="G199" s="185">
        <v>30</v>
      </c>
      <c r="H199" s="186">
        <v>0</v>
      </c>
      <c r="I199" s="187">
        <v>3</v>
      </c>
      <c r="J199" s="188">
        <v>730.56</v>
      </c>
      <c r="K199" s="189">
        <f t="shared" si="43"/>
        <v>2191.6799999999998</v>
      </c>
      <c r="L199" s="187"/>
      <c r="M199" s="137"/>
      <c r="N199" s="138"/>
      <c r="O199" s="136">
        <f t="shared" si="88"/>
        <v>3</v>
      </c>
      <c r="P199" s="137">
        <f t="shared" si="89"/>
        <v>730.56</v>
      </c>
      <c r="Q199" s="138">
        <f t="shared" si="90"/>
        <v>2191.6799999999998</v>
      </c>
    </row>
    <row r="200" spans="1:17" x14ac:dyDescent="0.25">
      <c r="A200" s="169" t="s">
        <v>7445</v>
      </c>
      <c r="B200" s="169" t="s">
        <v>7446</v>
      </c>
      <c r="C200" s="170"/>
      <c r="D200" s="170"/>
      <c r="E200" s="171"/>
      <c r="F200" s="171"/>
      <c r="G200" s="171"/>
      <c r="H200" s="172"/>
      <c r="I200" s="173"/>
      <c r="J200" s="174" t="s">
        <v>7083</v>
      </c>
      <c r="K200" s="175"/>
      <c r="L200" s="173"/>
      <c r="M200" s="174" t="s">
        <v>7083</v>
      </c>
      <c r="N200" s="175"/>
      <c r="O200" s="173"/>
      <c r="P200" s="174" t="s">
        <v>7083</v>
      </c>
      <c r="Q200" s="175"/>
    </row>
    <row r="201" spans="1:17" ht="22.5" x14ac:dyDescent="0.25">
      <c r="A201" s="176" t="s">
        <v>7447</v>
      </c>
      <c r="B201" s="176" t="s">
        <v>7448</v>
      </c>
      <c r="C201" s="177"/>
      <c r="D201" s="177"/>
      <c r="E201" s="178"/>
      <c r="F201" s="178"/>
      <c r="G201" s="178"/>
      <c r="H201" s="179"/>
      <c r="I201" s="180"/>
      <c r="J201" s="181" t="s">
        <v>7083</v>
      </c>
      <c r="K201" s="182"/>
      <c r="L201" s="180"/>
      <c r="M201" s="181" t="s">
        <v>7083</v>
      </c>
      <c r="N201" s="182"/>
      <c r="O201" s="180"/>
      <c r="P201" s="181" t="s">
        <v>7083</v>
      </c>
      <c r="Q201" s="182"/>
    </row>
    <row r="202" spans="1:17" ht="22.5" x14ac:dyDescent="0.25">
      <c r="A202" s="183" t="s">
        <v>7449</v>
      </c>
      <c r="B202" s="183" t="s">
        <v>7450</v>
      </c>
      <c r="C202" s="184" t="s">
        <v>460</v>
      </c>
      <c r="D202" s="184" t="s">
        <v>1</v>
      </c>
      <c r="E202" s="185" t="s">
        <v>7193</v>
      </c>
      <c r="F202" s="185">
        <v>70</v>
      </c>
      <c r="G202" s="185">
        <v>60</v>
      </c>
      <c r="H202" s="186">
        <v>10</v>
      </c>
      <c r="I202" s="187">
        <v>2</v>
      </c>
      <c r="J202" s="188">
        <v>701.45</v>
      </c>
      <c r="K202" s="189">
        <f t="shared" ref="K202:K264" si="91">ROUND(I202*J202,2)</f>
        <v>1402.9</v>
      </c>
      <c r="L202" s="187"/>
      <c r="M202" s="137"/>
      <c r="N202" s="138"/>
      <c r="O202" s="136">
        <f>SUM(L202,I202)</f>
        <v>2</v>
      </c>
      <c r="P202" s="137">
        <f>IF(M202&lt;&gt;"",M202,J202)</f>
        <v>701.45</v>
      </c>
      <c r="Q202" s="138">
        <f>ROUND(O202*P202,2)</f>
        <v>1402.9</v>
      </c>
    </row>
    <row r="203" spans="1:17" x14ac:dyDescent="0.25">
      <c r="A203" s="176" t="s">
        <v>7451</v>
      </c>
      <c r="B203" s="176" t="s">
        <v>7452</v>
      </c>
      <c r="C203" s="177"/>
      <c r="D203" s="177"/>
      <c r="E203" s="178"/>
      <c r="F203" s="178"/>
      <c r="G203" s="178"/>
      <c r="H203" s="179"/>
      <c r="I203" s="180"/>
      <c r="J203" s="181" t="s">
        <v>7083</v>
      </c>
      <c r="K203" s="182"/>
      <c r="L203" s="180"/>
      <c r="M203" s="181" t="s">
        <v>7083</v>
      </c>
      <c r="N203" s="182"/>
      <c r="O203" s="180"/>
      <c r="P203" s="181" t="s">
        <v>7083</v>
      </c>
      <c r="Q203" s="182"/>
    </row>
    <row r="204" spans="1:17" ht="22.5" x14ac:dyDescent="0.25">
      <c r="A204" s="183" t="s">
        <v>7453</v>
      </c>
      <c r="B204" s="183" t="s">
        <v>7454</v>
      </c>
      <c r="C204" s="184" t="s">
        <v>460</v>
      </c>
      <c r="D204" s="184" t="s">
        <v>1</v>
      </c>
      <c r="E204" s="185" t="s">
        <v>7193</v>
      </c>
      <c r="F204" s="185">
        <v>70</v>
      </c>
      <c r="G204" s="185">
        <v>60</v>
      </c>
      <c r="H204" s="186">
        <v>10</v>
      </c>
      <c r="I204" s="187">
        <v>2</v>
      </c>
      <c r="J204" s="188">
        <v>711.96</v>
      </c>
      <c r="K204" s="189">
        <f t="shared" si="91"/>
        <v>1423.92</v>
      </c>
      <c r="L204" s="187"/>
      <c r="M204" s="137"/>
      <c r="N204" s="138"/>
      <c r="O204" s="136">
        <f>SUM(L204,I204)</f>
        <v>2</v>
      </c>
      <c r="P204" s="137">
        <f>IF(M204&lt;&gt;"",M204,J204)</f>
        <v>711.96</v>
      </c>
      <c r="Q204" s="138">
        <f>ROUND(O204*P204,2)</f>
        <v>1423.92</v>
      </c>
    </row>
    <row r="205" spans="1:17" x14ac:dyDescent="0.25">
      <c r="A205" s="169" t="s">
        <v>7455</v>
      </c>
      <c r="B205" s="169" t="s">
        <v>7456</v>
      </c>
      <c r="C205" s="170"/>
      <c r="D205" s="170"/>
      <c r="E205" s="171"/>
      <c r="F205" s="171"/>
      <c r="G205" s="171"/>
      <c r="H205" s="172"/>
      <c r="I205" s="173"/>
      <c r="J205" s="174" t="s">
        <v>7083</v>
      </c>
      <c r="K205" s="175"/>
      <c r="L205" s="173"/>
      <c r="M205" s="174" t="s">
        <v>7083</v>
      </c>
      <c r="N205" s="175"/>
      <c r="O205" s="173"/>
      <c r="P205" s="174" t="s">
        <v>7083</v>
      </c>
      <c r="Q205" s="175"/>
    </row>
    <row r="206" spans="1:17" x14ac:dyDescent="0.25">
      <c r="A206" s="176" t="s">
        <v>7457</v>
      </c>
      <c r="B206" s="176" t="s">
        <v>7458</v>
      </c>
      <c r="C206" s="177"/>
      <c r="D206" s="177"/>
      <c r="E206" s="178"/>
      <c r="F206" s="178"/>
      <c r="G206" s="178"/>
      <c r="H206" s="179"/>
      <c r="I206" s="180"/>
      <c r="J206" s="181" t="s">
        <v>7083</v>
      </c>
      <c r="K206" s="182"/>
      <c r="L206" s="180"/>
      <c r="M206" s="181" t="s">
        <v>7083</v>
      </c>
      <c r="N206" s="182"/>
      <c r="O206" s="180"/>
      <c r="P206" s="181" t="s">
        <v>7083</v>
      </c>
      <c r="Q206" s="182"/>
    </row>
    <row r="207" spans="1:17" ht="22.5" x14ac:dyDescent="0.25">
      <c r="A207" s="183" t="s">
        <v>7459</v>
      </c>
      <c r="B207" s="183" t="s">
        <v>7460</v>
      </c>
      <c r="C207" s="184" t="s">
        <v>460</v>
      </c>
      <c r="D207" s="184" t="s">
        <v>1</v>
      </c>
      <c r="E207" s="185" t="s">
        <v>7193</v>
      </c>
      <c r="F207" s="185">
        <v>70</v>
      </c>
      <c r="G207" s="185">
        <v>65</v>
      </c>
      <c r="H207" s="186">
        <v>10</v>
      </c>
      <c r="I207" s="187">
        <v>4</v>
      </c>
      <c r="J207" s="188">
        <v>299.86</v>
      </c>
      <c r="K207" s="189">
        <f t="shared" si="91"/>
        <v>1199.44</v>
      </c>
      <c r="L207" s="187"/>
      <c r="M207" s="137"/>
      <c r="N207" s="138"/>
      <c r="O207" s="136">
        <f t="shared" ref="O207:O208" si="92">SUM(L207,I207)</f>
        <v>4</v>
      </c>
      <c r="P207" s="137">
        <f t="shared" ref="P207:P208" si="93">IF(M207&lt;&gt;"",M207,J207)</f>
        <v>299.86</v>
      </c>
      <c r="Q207" s="138">
        <f t="shared" ref="Q207:Q208" si="94">ROUND(O207*P207,2)</f>
        <v>1199.44</v>
      </c>
    </row>
    <row r="208" spans="1:17" ht="22.5" x14ac:dyDescent="0.25">
      <c r="A208" s="183" t="s">
        <v>7461</v>
      </c>
      <c r="B208" s="183" t="s">
        <v>7462</v>
      </c>
      <c r="C208" s="184" t="s">
        <v>460</v>
      </c>
      <c r="D208" s="184" t="s">
        <v>1</v>
      </c>
      <c r="E208" s="185" t="s">
        <v>7193</v>
      </c>
      <c r="F208" s="185">
        <v>70</v>
      </c>
      <c r="G208" s="185">
        <v>65</v>
      </c>
      <c r="H208" s="186">
        <v>10</v>
      </c>
      <c r="I208" s="187">
        <v>1</v>
      </c>
      <c r="J208" s="188">
        <v>299.86</v>
      </c>
      <c r="K208" s="189">
        <f t="shared" si="91"/>
        <v>299.86</v>
      </c>
      <c r="L208" s="187"/>
      <c r="M208" s="137"/>
      <c r="N208" s="138"/>
      <c r="O208" s="136">
        <f t="shared" si="92"/>
        <v>1</v>
      </c>
      <c r="P208" s="137">
        <f t="shared" si="93"/>
        <v>299.86</v>
      </c>
      <c r="Q208" s="138">
        <f t="shared" si="94"/>
        <v>299.86</v>
      </c>
    </row>
    <row r="209" spans="1:17" x14ac:dyDescent="0.25">
      <c r="A209" s="176" t="s">
        <v>7463</v>
      </c>
      <c r="B209" s="176" t="s">
        <v>7464</v>
      </c>
      <c r="C209" s="177"/>
      <c r="D209" s="177"/>
      <c r="E209" s="178"/>
      <c r="F209" s="178"/>
      <c r="G209" s="178"/>
      <c r="H209" s="179"/>
      <c r="I209" s="180"/>
      <c r="J209" s="181" t="s">
        <v>7083</v>
      </c>
      <c r="K209" s="182"/>
      <c r="L209" s="180"/>
      <c r="M209" s="181" t="s">
        <v>7083</v>
      </c>
      <c r="N209" s="182"/>
      <c r="O209" s="180"/>
      <c r="P209" s="181" t="s">
        <v>7083</v>
      </c>
      <c r="Q209" s="182"/>
    </row>
    <row r="210" spans="1:17" x14ac:dyDescent="0.25">
      <c r="A210" s="183" t="s">
        <v>7465</v>
      </c>
      <c r="B210" s="183" t="s">
        <v>7466</v>
      </c>
      <c r="C210" s="184" t="s">
        <v>460</v>
      </c>
      <c r="D210" s="184" t="s">
        <v>1</v>
      </c>
      <c r="E210" s="185" t="s">
        <v>7193</v>
      </c>
      <c r="F210" s="185">
        <v>70</v>
      </c>
      <c r="G210" s="185">
        <v>65</v>
      </c>
      <c r="H210" s="186">
        <v>10</v>
      </c>
      <c r="I210" s="187">
        <v>1</v>
      </c>
      <c r="J210" s="188">
        <v>237.7</v>
      </c>
      <c r="K210" s="189">
        <f t="shared" si="91"/>
        <v>237.7</v>
      </c>
      <c r="L210" s="187"/>
      <c r="M210" s="137"/>
      <c r="N210" s="138"/>
      <c r="O210" s="136">
        <f t="shared" ref="O210:O214" si="95">SUM(L210,I210)</f>
        <v>1</v>
      </c>
      <c r="P210" s="137">
        <f t="shared" ref="P210:P214" si="96">IF(M210&lt;&gt;"",M210,J210)</f>
        <v>237.7</v>
      </c>
      <c r="Q210" s="138">
        <f t="shared" ref="Q210:Q214" si="97">ROUND(O210*P210,2)</f>
        <v>237.7</v>
      </c>
    </row>
    <row r="211" spans="1:17" x14ac:dyDescent="0.25">
      <c r="A211" s="183" t="s">
        <v>7467</v>
      </c>
      <c r="B211" s="183" t="s">
        <v>7468</v>
      </c>
      <c r="C211" s="184" t="s">
        <v>460</v>
      </c>
      <c r="D211" s="184" t="s">
        <v>1</v>
      </c>
      <c r="E211" s="185" t="s">
        <v>7193</v>
      </c>
      <c r="F211" s="185">
        <v>70</v>
      </c>
      <c r="G211" s="185">
        <v>65</v>
      </c>
      <c r="H211" s="186">
        <v>10</v>
      </c>
      <c r="I211" s="187">
        <v>5</v>
      </c>
      <c r="J211" s="188">
        <v>335.98</v>
      </c>
      <c r="K211" s="189">
        <f t="shared" si="91"/>
        <v>1679.9</v>
      </c>
      <c r="L211" s="187"/>
      <c r="M211" s="137"/>
      <c r="N211" s="138"/>
      <c r="O211" s="136">
        <f t="shared" si="95"/>
        <v>5</v>
      </c>
      <c r="P211" s="137">
        <f t="shared" si="96"/>
        <v>335.98</v>
      </c>
      <c r="Q211" s="138">
        <f t="shared" si="97"/>
        <v>1679.9</v>
      </c>
    </row>
    <row r="212" spans="1:17" x14ac:dyDescent="0.25">
      <c r="A212" s="183" t="s">
        <v>7469</v>
      </c>
      <c r="B212" s="183" t="s">
        <v>7470</v>
      </c>
      <c r="C212" s="184" t="s">
        <v>460</v>
      </c>
      <c r="D212" s="184" t="s">
        <v>1</v>
      </c>
      <c r="E212" s="185" t="s">
        <v>7193</v>
      </c>
      <c r="F212" s="185">
        <v>70</v>
      </c>
      <c r="G212" s="185">
        <v>65</v>
      </c>
      <c r="H212" s="186">
        <v>10</v>
      </c>
      <c r="I212" s="187">
        <v>9</v>
      </c>
      <c r="J212" s="188">
        <v>335.98</v>
      </c>
      <c r="K212" s="189">
        <f t="shared" si="91"/>
        <v>3023.82</v>
      </c>
      <c r="L212" s="187"/>
      <c r="M212" s="137"/>
      <c r="N212" s="138"/>
      <c r="O212" s="136">
        <f t="shared" si="95"/>
        <v>9</v>
      </c>
      <c r="P212" s="137">
        <f t="shared" si="96"/>
        <v>335.98</v>
      </c>
      <c r="Q212" s="138">
        <f t="shared" si="97"/>
        <v>3023.82</v>
      </c>
    </row>
    <row r="213" spans="1:17" ht="22.5" x14ac:dyDescent="0.25">
      <c r="A213" s="183" t="s">
        <v>7471</v>
      </c>
      <c r="B213" s="183" t="s">
        <v>7472</v>
      </c>
      <c r="C213" s="184" t="s">
        <v>460</v>
      </c>
      <c r="D213" s="184" t="s">
        <v>1</v>
      </c>
      <c r="E213" s="185" t="s">
        <v>7193</v>
      </c>
      <c r="F213" s="185">
        <v>70</v>
      </c>
      <c r="G213" s="185">
        <v>65</v>
      </c>
      <c r="H213" s="186">
        <v>10</v>
      </c>
      <c r="I213" s="187">
        <v>2</v>
      </c>
      <c r="J213" s="188">
        <v>668.52</v>
      </c>
      <c r="K213" s="189">
        <f t="shared" si="91"/>
        <v>1337.04</v>
      </c>
      <c r="L213" s="187"/>
      <c r="M213" s="137"/>
      <c r="N213" s="138"/>
      <c r="O213" s="136">
        <f t="shared" si="95"/>
        <v>2</v>
      </c>
      <c r="P213" s="137">
        <f t="shared" si="96"/>
        <v>668.52</v>
      </c>
      <c r="Q213" s="138">
        <f t="shared" si="97"/>
        <v>1337.04</v>
      </c>
    </row>
    <row r="214" spans="1:17" ht="22.5" x14ac:dyDescent="0.25">
      <c r="A214" s="183" t="s">
        <v>7473</v>
      </c>
      <c r="B214" s="183" t="s">
        <v>7474</v>
      </c>
      <c r="C214" s="184" t="s">
        <v>460</v>
      </c>
      <c r="D214" s="184" t="s">
        <v>1</v>
      </c>
      <c r="E214" s="185" t="s">
        <v>7193</v>
      </c>
      <c r="F214" s="185">
        <v>70</v>
      </c>
      <c r="G214" s="185">
        <v>65</v>
      </c>
      <c r="H214" s="186">
        <v>10</v>
      </c>
      <c r="I214" s="187">
        <v>1</v>
      </c>
      <c r="J214" s="188">
        <v>745.69</v>
      </c>
      <c r="K214" s="189">
        <f t="shared" si="91"/>
        <v>745.69</v>
      </c>
      <c r="L214" s="187">
        <v>1</v>
      </c>
      <c r="M214" s="137">
        <f>J214</f>
        <v>745.69</v>
      </c>
      <c r="N214" s="189">
        <f t="shared" ref="N214" si="98">ROUND(L214*M214,2)</f>
        <v>745.69</v>
      </c>
      <c r="O214" s="136">
        <f t="shared" si="95"/>
        <v>2</v>
      </c>
      <c r="P214" s="137">
        <f t="shared" si="96"/>
        <v>745.69</v>
      </c>
      <c r="Q214" s="138">
        <f t="shared" si="97"/>
        <v>1491.38</v>
      </c>
    </row>
    <row r="215" spans="1:17" x14ac:dyDescent="0.25">
      <c r="A215" s="176" t="s">
        <v>7475</v>
      </c>
      <c r="B215" s="176" t="s">
        <v>7476</v>
      </c>
      <c r="C215" s="177"/>
      <c r="D215" s="177"/>
      <c r="E215" s="178"/>
      <c r="F215" s="178"/>
      <c r="G215" s="178"/>
      <c r="H215" s="179"/>
      <c r="I215" s="180"/>
      <c r="J215" s="181" t="s">
        <v>7083</v>
      </c>
      <c r="K215" s="182"/>
      <c r="L215" s="180"/>
      <c r="M215" s="181" t="s">
        <v>7083</v>
      </c>
      <c r="N215" s="182"/>
      <c r="O215" s="180"/>
      <c r="P215" s="181" t="s">
        <v>7083</v>
      </c>
      <c r="Q215" s="182"/>
    </row>
    <row r="216" spans="1:17" x14ac:dyDescent="0.25">
      <c r="A216" s="183" t="s">
        <v>7477</v>
      </c>
      <c r="B216" s="183" t="s">
        <v>7478</v>
      </c>
      <c r="C216" s="184" t="s">
        <v>911</v>
      </c>
      <c r="D216" s="184" t="s">
        <v>1</v>
      </c>
      <c r="E216" s="185" t="s">
        <v>7193</v>
      </c>
      <c r="F216" s="185">
        <v>70</v>
      </c>
      <c r="G216" s="185">
        <v>65</v>
      </c>
      <c r="H216" s="186">
        <v>40</v>
      </c>
      <c r="I216" s="187">
        <v>5</v>
      </c>
      <c r="J216" s="188">
        <v>813.69</v>
      </c>
      <c r="K216" s="189">
        <f t="shared" si="91"/>
        <v>4068.45</v>
      </c>
      <c r="L216" s="187">
        <v>1</v>
      </c>
      <c r="M216" s="137">
        <f>J216</f>
        <v>813.69</v>
      </c>
      <c r="N216" s="189">
        <f t="shared" ref="N216" si="99">ROUND(L216*M216,2)</f>
        <v>813.69</v>
      </c>
      <c r="O216" s="136">
        <f t="shared" ref="O216:O217" si="100">SUM(L216,I216)</f>
        <v>6</v>
      </c>
      <c r="P216" s="137">
        <f t="shared" ref="P216:P217" si="101">IF(M216&lt;&gt;"",M216,J216)</f>
        <v>813.69</v>
      </c>
      <c r="Q216" s="138">
        <f t="shared" ref="Q216:Q217" si="102">ROUND(O216*P216,2)</f>
        <v>4882.1400000000003</v>
      </c>
    </row>
    <row r="217" spans="1:17" x14ac:dyDescent="0.25">
      <c r="A217" s="183" t="s">
        <v>7479</v>
      </c>
      <c r="B217" s="183" t="s">
        <v>7480</v>
      </c>
      <c r="C217" s="184" t="s">
        <v>460</v>
      </c>
      <c r="D217" s="184" t="s">
        <v>1</v>
      </c>
      <c r="E217" s="185" t="s">
        <v>7193</v>
      </c>
      <c r="F217" s="185">
        <v>70</v>
      </c>
      <c r="G217" s="185">
        <v>65</v>
      </c>
      <c r="H217" s="186">
        <v>40</v>
      </c>
      <c r="I217" s="187">
        <v>5</v>
      </c>
      <c r="J217" s="188">
        <v>686.51</v>
      </c>
      <c r="K217" s="189">
        <f t="shared" si="91"/>
        <v>3432.55</v>
      </c>
      <c r="L217" s="187"/>
      <c r="M217" s="137"/>
      <c r="N217" s="138"/>
      <c r="O217" s="136">
        <f t="shared" si="100"/>
        <v>5</v>
      </c>
      <c r="P217" s="137">
        <f t="shared" si="101"/>
        <v>686.51</v>
      </c>
      <c r="Q217" s="138">
        <f t="shared" si="102"/>
        <v>3432.55</v>
      </c>
    </row>
    <row r="218" spans="1:17" ht="22.5" x14ac:dyDescent="0.25">
      <c r="A218" s="169" t="s">
        <v>7481</v>
      </c>
      <c r="B218" s="169" t="s">
        <v>7482</v>
      </c>
      <c r="C218" s="170"/>
      <c r="D218" s="170"/>
      <c r="E218" s="171"/>
      <c r="F218" s="171"/>
      <c r="G218" s="171"/>
      <c r="H218" s="172"/>
      <c r="I218" s="173"/>
      <c r="J218" s="174" t="s">
        <v>7083</v>
      </c>
      <c r="K218" s="175"/>
      <c r="L218" s="173"/>
      <c r="M218" s="174" t="s">
        <v>7083</v>
      </c>
      <c r="N218" s="175"/>
      <c r="O218" s="173"/>
      <c r="P218" s="174" t="s">
        <v>7083</v>
      </c>
      <c r="Q218" s="175"/>
    </row>
    <row r="219" spans="1:17" x14ac:dyDescent="0.25">
      <c r="A219" s="183" t="s">
        <v>7483</v>
      </c>
      <c r="B219" s="183" t="s">
        <v>7484</v>
      </c>
      <c r="C219" s="184" t="s">
        <v>378</v>
      </c>
      <c r="D219" s="184" t="s">
        <v>1</v>
      </c>
      <c r="E219" s="185" t="s">
        <v>7193</v>
      </c>
      <c r="F219" s="185">
        <v>70</v>
      </c>
      <c r="G219" s="185">
        <v>70</v>
      </c>
      <c r="H219" s="186">
        <v>20</v>
      </c>
      <c r="I219" s="187">
        <v>250</v>
      </c>
      <c r="J219" s="188">
        <v>51.54</v>
      </c>
      <c r="K219" s="189">
        <f t="shared" si="91"/>
        <v>12885</v>
      </c>
      <c r="L219" s="187"/>
      <c r="M219" s="137"/>
      <c r="N219" s="138"/>
      <c r="O219" s="136">
        <f t="shared" ref="O219:O224" si="103">SUM(L219,I219)</f>
        <v>250</v>
      </c>
      <c r="P219" s="137">
        <f t="shared" ref="P219:P224" si="104">IF(M219&lt;&gt;"",M219,J219)</f>
        <v>51.54</v>
      </c>
      <c r="Q219" s="138">
        <f t="shared" ref="Q219:Q224" si="105">ROUND(O219*P219,2)</f>
        <v>12885</v>
      </c>
    </row>
    <row r="220" spans="1:17" x14ac:dyDescent="0.25">
      <c r="A220" s="183" t="s">
        <v>7485</v>
      </c>
      <c r="B220" s="183" t="s">
        <v>7486</v>
      </c>
      <c r="C220" s="184" t="s">
        <v>378</v>
      </c>
      <c r="D220" s="184" t="s">
        <v>1</v>
      </c>
      <c r="E220" s="185" t="s">
        <v>7193</v>
      </c>
      <c r="F220" s="185">
        <v>70</v>
      </c>
      <c r="G220" s="185">
        <v>70</v>
      </c>
      <c r="H220" s="186">
        <v>20</v>
      </c>
      <c r="I220" s="187">
        <v>150</v>
      </c>
      <c r="J220" s="188">
        <v>67.34</v>
      </c>
      <c r="K220" s="189">
        <f t="shared" si="91"/>
        <v>10101</v>
      </c>
      <c r="L220" s="187"/>
      <c r="M220" s="137"/>
      <c r="N220" s="138"/>
      <c r="O220" s="136">
        <f t="shared" si="103"/>
        <v>150</v>
      </c>
      <c r="P220" s="137">
        <f t="shared" si="104"/>
        <v>67.34</v>
      </c>
      <c r="Q220" s="138">
        <f t="shared" si="105"/>
        <v>10101</v>
      </c>
    </row>
    <row r="221" spans="1:17" x14ac:dyDescent="0.25">
      <c r="A221" s="183" t="s">
        <v>7487</v>
      </c>
      <c r="B221" s="183" t="s">
        <v>7488</v>
      </c>
      <c r="C221" s="184" t="s">
        <v>378</v>
      </c>
      <c r="D221" s="184" t="s">
        <v>1</v>
      </c>
      <c r="E221" s="185" t="s">
        <v>7193</v>
      </c>
      <c r="F221" s="185">
        <v>70</v>
      </c>
      <c r="G221" s="185">
        <v>70</v>
      </c>
      <c r="H221" s="186">
        <v>20</v>
      </c>
      <c r="I221" s="187">
        <v>20</v>
      </c>
      <c r="J221" s="188">
        <v>83.92</v>
      </c>
      <c r="K221" s="189">
        <f t="shared" si="91"/>
        <v>1678.4</v>
      </c>
      <c r="L221" s="187"/>
      <c r="M221" s="137"/>
      <c r="N221" s="138"/>
      <c r="O221" s="136">
        <f t="shared" si="103"/>
        <v>20</v>
      </c>
      <c r="P221" s="137">
        <f t="shared" si="104"/>
        <v>83.92</v>
      </c>
      <c r="Q221" s="138">
        <f t="shared" si="105"/>
        <v>1678.4</v>
      </c>
    </row>
    <row r="222" spans="1:17" x14ac:dyDescent="0.25">
      <c r="A222" s="183" t="s">
        <v>7489</v>
      </c>
      <c r="B222" s="183" t="s">
        <v>7490</v>
      </c>
      <c r="C222" s="184" t="s">
        <v>911</v>
      </c>
      <c r="D222" s="184" t="s">
        <v>1</v>
      </c>
      <c r="E222" s="185" t="s">
        <v>7193</v>
      </c>
      <c r="F222" s="185">
        <v>70</v>
      </c>
      <c r="G222" s="185">
        <v>70</v>
      </c>
      <c r="H222" s="186">
        <v>20</v>
      </c>
      <c r="I222" s="187">
        <v>2</v>
      </c>
      <c r="J222" s="188">
        <v>800.43</v>
      </c>
      <c r="K222" s="189">
        <f t="shared" si="91"/>
        <v>1600.86</v>
      </c>
      <c r="L222" s="187"/>
      <c r="M222" s="137"/>
      <c r="N222" s="138"/>
      <c r="O222" s="136">
        <f t="shared" si="103"/>
        <v>2</v>
      </c>
      <c r="P222" s="137">
        <f t="shared" si="104"/>
        <v>800.43</v>
      </c>
      <c r="Q222" s="138">
        <f t="shared" si="105"/>
        <v>1600.86</v>
      </c>
    </row>
    <row r="223" spans="1:17" x14ac:dyDescent="0.25">
      <c r="A223" s="183" t="s">
        <v>7491</v>
      </c>
      <c r="B223" s="183" t="s">
        <v>7492</v>
      </c>
      <c r="C223" s="184" t="s">
        <v>911</v>
      </c>
      <c r="D223" s="184" t="s">
        <v>1</v>
      </c>
      <c r="E223" s="185" t="s">
        <v>7193</v>
      </c>
      <c r="F223" s="185">
        <v>70</v>
      </c>
      <c r="G223" s="185">
        <v>70</v>
      </c>
      <c r="H223" s="186">
        <v>20</v>
      </c>
      <c r="I223" s="187">
        <v>4</v>
      </c>
      <c r="J223" s="188">
        <v>827.58</v>
      </c>
      <c r="K223" s="189">
        <f t="shared" si="91"/>
        <v>3310.32</v>
      </c>
      <c r="L223" s="187"/>
      <c r="M223" s="137"/>
      <c r="N223" s="138"/>
      <c r="O223" s="136">
        <f t="shared" si="103"/>
        <v>4</v>
      </c>
      <c r="P223" s="137">
        <f t="shared" si="104"/>
        <v>827.58</v>
      </c>
      <c r="Q223" s="138">
        <f t="shared" si="105"/>
        <v>3310.32</v>
      </c>
    </row>
    <row r="224" spans="1:17" ht="22.5" x14ac:dyDescent="0.25">
      <c r="A224" s="183" t="s">
        <v>7493</v>
      </c>
      <c r="B224" s="183" t="s">
        <v>7494</v>
      </c>
      <c r="C224" s="184" t="s">
        <v>460</v>
      </c>
      <c r="D224" s="184" t="s">
        <v>1</v>
      </c>
      <c r="E224" s="185" t="s">
        <v>7193</v>
      </c>
      <c r="F224" s="185">
        <v>70</v>
      </c>
      <c r="G224" s="185">
        <v>70</v>
      </c>
      <c r="H224" s="186">
        <v>20</v>
      </c>
      <c r="I224" s="187">
        <v>30</v>
      </c>
      <c r="J224" s="188">
        <v>167.46</v>
      </c>
      <c r="K224" s="189">
        <f t="shared" si="91"/>
        <v>5023.8</v>
      </c>
      <c r="L224" s="187"/>
      <c r="M224" s="137"/>
      <c r="N224" s="138"/>
      <c r="O224" s="136">
        <f t="shared" si="103"/>
        <v>30</v>
      </c>
      <c r="P224" s="137">
        <f t="shared" si="104"/>
        <v>167.46</v>
      </c>
      <c r="Q224" s="138">
        <f t="shared" si="105"/>
        <v>5023.8</v>
      </c>
    </row>
    <row r="225" spans="1:17" x14ac:dyDescent="0.25">
      <c r="A225" s="165" t="s">
        <v>7495</v>
      </c>
      <c r="B225" s="165" t="s">
        <v>7496</v>
      </c>
      <c r="C225" s="166"/>
      <c r="D225" s="166"/>
      <c r="E225" s="167"/>
      <c r="F225" s="111"/>
      <c r="G225" s="111"/>
      <c r="H225" s="112"/>
      <c r="I225" s="168"/>
      <c r="J225" s="114" t="s">
        <v>7083</v>
      </c>
      <c r="K225" s="115"/>
      <c r="L225" s="168"/>
      <c r="M225" s="114" t="s">
        <v>7083</v>
      </c>
      <c r="N225" s="115"/>
      <c r="O225" s="168"/>
      <c r="P225" s="114" t="s">
        <v>7083</v>
      </c>
      <c r="Q225" s="115"/>
    </row>
    <row r="226" spans="1:17" x14ac:dyDescent="0.25">
      <c r="A226" s="139" t="s">
        <v>7497</v>
      </c>
      <c r="B226" s="139" t="s">
        <v>7498</v>
      </c>
      <c r="C226" s="140"/>
      <c r="D226" s="140"/>
      <c r="E226" s="141"/>
      <c r="F226" s="142"/>
      <c r="G226" s="142"/>
      <c r="H226" s="143"/>
      <c r="I226" s="144"/>
      <c r="J226" s="145" t="s">
        <v>7083</v>
      </c>
      <c r="K226" s="146"/>
      <c r="L226" s="144"/>
      <c r="M226" s="145" t="s">
        <v>7083</v>
      </c>
      <c r="N226" s="146"/>
      <c r="O226" s="144"/>
      <c r="P226" s="145" t="s">
        <v>7083</v>
      </c>
      <c r="Q226" s="146"/>
    </row>
    <row r="227" spans="1:17" x14ac:dyDescent="0.25">
      <c r="A227" s="169" t="s">
        <v>7499</v>
      </c>
      <c r="B227" s="169" t="s">
        <v>7500</v>
      </c>
      <c r="C227" s="170"/>
      <c r="D227" s="170"/>
      <c r="E227" s="171"/>
      <c r="F227" s="171"/>
      <c r="G227" s="171"/>
      <c r="H227" s="172"/>
      <c r="I227" s="173"/>
      <c r="J227" s="174" t="s">
        <v>7083</v>
      </c>
      <c r="K227" s="175"/>
      <c r="L227" s="173"/>
      <c r="M227" s="174" t="s">
        <v>7083</v>
      </c>
      <c r="N227" s="175"/>
      <c r="O227" s="173"/>
      <c r="P227" s="174" t="s">
        <v>7083</v>
      </c>
      <c r="Q227" s="175"/>
    </row>
    <row r="228" spans="1:17" x14ac:dyDescent="0.25">
      <c r="A228" s="176" t="s">
        <v>343</v>
      </c>
      <c r="B228" s="176" t="s">
        <v>7501</v>
      </c>
      <c r="C228" s="177"/>
      <c r="D228" s="177"/>
      <c r="E228" s="178"/>
      <c r="F228" s="178"/>
      <c r="G228" s="178"/>
      <c r="H228" s="179"/>
      <c r="I228" s="180"/>
      <c r="J228" s="181" t="s">
        <v>7083</v>
      </c>
      <c r="K228" s="182"/>
      <c r="L228" s="180"/>
      <c r="M228" s="181" t="s">
        <v>7083</v>
      </c>
      <c r="N228" s="182"/>
      <c r="O228" s="180"/>
      <c r="P228" s="181" t="s">
        <v>7083</v>
      </c>
      <c r="Q228" s="182"/>
    </row>
    <row r="229" spans="1:17" ht="22.5" x14ac:dyDescent="0.25">
      <c r="A229" s="183" t="s">
        <v>7502</v>
      </c>
      <c r="B229" s="183" t="s">
        <v>7503</v>
      </c>
      <c r="C229" s="184" t="s">
        <v>911</v>
      </c>
      <c r="D229" s="184" t="s">
        <v>1</v>
      </c>
      <c r="E229" s="185" t="s">
        <v>7504</v>
      </c>
      <c r="F229" s="185">
        <v>10</v>
      </c>
      <c r="G229" s="185">
        <v>10</v>
      </c>
      <c r="H229" s="186">
        <v>0</v>
      </c>
      <c r="I229" s="187">
        <v>1</v>
      </c>
      <c r="J229" s="188">
        <v>32932.15</v>
      </c>
      <c r="K229" s="189">
        <f t="shared" si="91"/>
        <v>32932.15</v>
      </c>
      <c r="L229" s="187"/>
      <c r="M229" s="137"/>
      <c r="N229" s="138"/>
      <c r="O229" s="136">
        <f>SUM(L229,I229)</f>
        <v>1</v>
      </c>
      <c r="P229" s="137">
        <f>IF(M229&lt;&gt;"",M229,J229)</f>
        <v>32932.15</v>
      </c>
      <c r="Q229" s="138">
        <f>ROUND(O229*P229,2)</f>
        <v>32932.15</v>
      </c>
    </row>
    <row r="230" spans="1:17" x14ac:dyDescent="0.25">
      <c r="A230" s="169" t="s">
        <v>7505</v>
      </c>
      <c r="B230" s="169" t="s">
        <v>7506</v>
      </c>
      <c r="C230" s="170"/>
      <c r="D230" s="170"/>
      <c r="E230" s="171"/>
      <c r="F230" s="171"/>
      <c r="G230" s="171"/>
      <c r="H230" s="172"/>
      <c r="I230" s="173"/>
      <c r="J230" s="174" t="s">
        <v>7083</v>
      </c>
      <c r="K230" s="175"/>
      <c r="L230" s="173"/>
      <c r="M230" s="174" t="s">
        <v>7083</v>
      </c>
      <c r="N230" s="175"/>
      <c r="O230" s="173"/>
      <c r="P230" s="174" t="s">
        <v>7083</v>
      </c>
      <c r="Q230" s="175"/>
    </row>
    <row r="231" spans="1:17" x14ac:dyDescent="0.25">
      <c r="A231" s="176" t="s">
        <v>349</v>
      </c>
      <c r="B231" s="176" t="s">
        <v>7507</v>
      </c>
      <c r="C231" s="177"/>
      <c r="D231" s="177"/>
      <c r="E231" s="178"/>
      <c r="F231" s="178"/>
      <c r="G231" s="178"/>
      <c r="H231" s="179"/>
      <c r="I231" s="180"/>
      <c r="J231" s="181" t="s">
        <v>7083</v>
      </c>
      <c r="K231" s="182"/>
      <c r="L231" s="180"/>
      <c r="M231" s="181" t="s">
        <v>7083</v>
      </c>
      <c r="N231" s="182"/>
      <c r="O231" s="180"/>
      <c r="P231" s="181" t="s">
        <v>7083</v>
      </c>
      <c r="Q231" s="182"/>
    </row>
    <row r="232" spans="1:17" ht="33.75" x14ac:dyDescent="0.25">
      <c r="A232" s="213" t="s">
        <v>7508</v>
      </c>
      <c r="B232" s="213" t="s">
        <v>7509</v>
      </c>
      <c r="C232" s="214" t="s">
        <v>911</v>
      </c>
      <c r="D232" s="214" t="s">
        <v>1</v>
      </c>
      <c r="E232" s="215" t="s">
        <v>7504</v>
      </c>
      <c r="F232" s="215">
        <v>10</v>
      </c>
      <c r="G232" s="215">
        <v>30</v>
      </c>
      <c r="H232" s="186">
        <v>0</v>
      </c>
      <c r="I232" s="216">
        <v>1</v>
      </c>
      <c r="J232" s="217">
        <v>1445097.19</v>
      </c>
      <c r="K232" s="218">
        <f t="shared" si="91"/>
        <v>1445097.19</v>
      </c>
      <c r="L232" s="216"/>
      <c r="M232" s="137"/>
      <c r="N232" s="138"/>
      <c r="O232" s="136">
        <f t="shared" ref="O232:O233" si="106">SUM(L232,I232)</f>
        <v>1</v>
      </c>
      <c r="P232" s="137">
        <f t="shared" ref="P232:P233" si="107">IF(M232&lt;&gt;"",M232,J232)</f>
        <v>1445097.19</v>
      </c>
      <c r="Q232" s="138">
        <f t="shared" ref="Q232:Q233" si="108">ROUND(O232*P232,2)</f>
        <v>1445097.19</v>
      </c>
    </row>
    <row r="233" spans="1:17" ht="33.75" x14ac:dyDescent="0.25">
      <c r="A233" s="213" t="s">
        <v>7510</v>
      </c>
      <c r="B233" s="213" t="s">
        <v>7511</v>
      </c>
      <c r="C233" s="214" t="s">
        <v>911</v>
      </c>
      <c r="D233" s="214" t="s">
        <v>1</v>
      </c>
      <c r="E233" s="215" t="s">
        <v>7504</v>
      </c>
      <c r="F233" s="215">
        <v>10</v>
      </c>
      <c r="G233" s="215">
        <v>30</v>
      </c>
      <c r="H233" s="186">
        <v>0</v>
      </c>
      <c r="I233" s="216">
        <v>1</v>
      </c>
      <c r="J233" s="217">
        <v>1819476.57</v>
      </c>
      <c r="K233" s="218">
        <f t="shared" si="91"/>
        <v>1819476.57</v>
      </c>
      <c r="L233" s="216"/>
      <c r="M233" s="137"/>
      <c r="N233" s="138"/>
      <c r="O233" s="136">
        <f t="shared" si="106"/>
        <v>1</v>
      </c>
      <c r="P233" s="137">
        <f t="shared" si="107"/>
        <v>1819476.57</v>
      </c>
      <c r="Q233" s="138">
        <f t="shared" si="108"/>
        <v>1819476.57</v>
      </c>
    </row>
    <row r="234" spans="1:17" x14ac:dyDescent="0.25">
      <c r="A234" s="176" t="s">
        <v>351</v>
      </c>
      <c r="B234" s="176" t="s">
        <v>7512</v>
      </c>
      <c r="C234" s="177"/>
      <c r="D234" s="177"/>
      <c r="E234" s="178"/>
      <c r="F234" s="178"/>
      <c r="G234" s="178"/>
      <c r="H234" s="179"/>
      <c r="I234" s="180"/>
      <c r="J234" s="181" t="s">
        <v>7083</v>
      </c>
      <c r="K234" s="182"/>
      <c r="L234" s="180"/>
      <c r="M234" s="181" t="s">
        <v>7083</v>
      </c>
      <c r="N234" s="182"/>
      <c r="O234" s="180"/>
      <c r="P234" s="181" t="s">
        <v>7083</v>
      </c>
      <c r="Q234" s="182"/>
    </row>
    <row r="235" spans="1:17" ht="33.75" x14ac:dyDescent="0.25">
      <c r="A235" s="213" t="s">
        <v>7513</v>
      </c>
      <c r="B235" s="213" t="s">
        <v>7514</v>
      </c>
      <c r="C235" s="214" t="s">
        <v>911</v>
      </c>
      <c r="D235" s="214" t="s">
        <v>1</v>
      </c>
      <c r="E235" s="215" t="s">
        <v>7504</v>
      </c>
      <c r="F235" s="215">
        <v>10</v>
      </c>
      <c r="G235" s="215">
        <v>30</v>
      </c>
      <c r="H235" s="186">
        <v>0</v>
      </c>
      <c r="I235" s="216">
        <v>1</v>
      </c>
      <c r="J235" s="217">
        <v>76202.259999999995</v>
      </c>
      <c r="K235" s="218">
        <f t="shared" si="91"/>
        <v>76202.259999999995</v>
      </c>
      <c r="L235" s="216"/>
      <c r="M235" s="137"/>
      <c r="N235" s="138"/>
      <c r="O235" s="136">
        <f>SUM(L235,I235)</f>
        <v>1</v>
      </c>
      <c r="P235" s="137">
        <f>IF(M235&lt;&gt;"",M235,J235)</f>
        <v>76202.259999999995</v>
      </c>
      <c r="Q235" s="138">
        <f>ROUND(O235*P235,2)</f>
        <v>76202.259999999995</v>
      </c>
    </row>
    <row r="236" spans="1:17" x14ac:dyDescent="0.25">
      <c r="A236" s="176" t="s">
        <v>353</v>
      </c>
      <c r="B236" s="176" t="s">
        <v>7515</v>
      </c>
      <c r="C236" s="177"/>
      <c r="D236" s="177"/>
      <c r="E236" s="178"/>
      <c r="F236" s="178"/>
      <c r="G236" s="178"/>
      <c r="H236" s="179"/>
      <c r="I236" s="180"/>
      <c r="J236" s="181" t="s">
        <v>7083</v>
      </c>
      <c r="K236" s="182"/>
      <c r="L236" s="180"/>
      <c r="M236" s="181" t="s">
        <v>7083</v>
      </c>
      <c r="N236" s="182"/>
      <c r="O236" s="180"/>
      <c r="P236" s="181" t="s">
        <v>7083</v>
      </c>
      <c r="Q236" s="182"/>
    </row>
    <row r="237" spans="1:17" ht="33.75" x14ac:dyDescent="0.25">
      <c r="A237" s="183" t="s">
        <v>7516</v>
      </c>
      <c r="B237" s="183" t="s">
        <v>7517</v>
      </c>
      <c r="C237" s="184" t="s">
        <v>911</v>
      </c>
      <c r="D237" s="184" t="s">
        <v>1</v>
      </c>
      <c r="E237" s="185" t="s">
        <v>7504</v>
      </c>
      <c r="F237" s="185">
        <v>10</v>
      </c>
      <c r="G237" s="185">
        <v>30</v>
      </c>
      <c r="H237" s="186">
        <v>0</v>
      </c>
      <c r="I237" s="187">
        <v>1</v>
      </c>
      <c r="J237" s="188">
        <v>156885.65</v>
      </c>
      <c r="K237" s="189">
        <f t="shared" si="91"/>
        <v>156885.65</v>
      </c>
      <c r="L237" s="187"/>
      <c r="M237" s="137"/>
      <c r="N237" s="138"/>
      <c r="O237" s="136">
        <f>SUM(L237,I237)</f>
        <v>1</v>
      </c>
      <c r="P237" s="137">
        <f>IF(M237&lt;&gt;"",M237,J237)</f>
        <v>156885.65</v>
      </c>
      <c r="Q237" s="138">
        <f>ROUND(O237*P237,2)</f>
        <v>156885.65</v>
      </c>
    </row>
    <row r="238" spans="1:17" x14ac:dyDescent="0.25">
      <c r="A238" s="169" t="s">
        <v>7518</v>
      </c>
      <c r="B238" s="169" t="s">
        <v>7519</v>
      </c>
      <c r="C238" s="170"/>
      <c r="D238" s="170"/>
      <c r="E238" s="171"/>
      <c r="F238" s="171"/>
      <c r="G238" s="171"/>
      <c r="H238" s="172"/>
      <c r="I238" s="173"/>
      <c r="J238" s="174" t="s">
        <v>7083</v>
      </c>
      <c r="K238" s="175"/>
      <c r="L238" s="173"/>
      <c r="M238" s="174" t="s">
        <v>7083</v>
      </c>
      <c r="N238" s="175"/>
      <c r="O238" s="173"/>
      <c r="P238" s="174" t="s">
        <v>7083</v>
      </c>
      <c r="Q238" s="175"/>
    </row>
    <row r="239" spans="1:17" x14ac:dyDescent="0.25">
      <c r="A239" s="176" t="s">
        <v>357</v>
      </c>
      <c r="B239" s="176" t="s">
        <v>7520</v>
      </c>
      <c r="C239" s="177"/>
      <c r="D239" s="177"/>
      <c r="E239" s="178"/>
      <c r="F239" s="178"/>
      <c r="G239" s="178"/>
      <c r="H239" s="179"/>
      <c r="I239" s="180"/>
      <c r="J239" s="181" t="s">
        <v>7083</v>
      </c>
      <c r="K239" s="182"/>
      <c r="L239" s="180"/>
      <c r="M239" s="181" t="s">
        <v>7083</v>
      </c>
      <c r="N239" s="182"/>
      <c r="O239" s="180"/>
      <c r="P239" s="181" t="s">
        <v>7083</v>
      </c>
      <c r="Q239" s="182"/>
    </row>
    <row r="240" spans="1:17" x14ac:dyDescent="0.25">
      <c r="A240" s="183" t="s">
        <v>7521</v>
      </c>
      <c r="B240" s="183" t="s">
        <v>7522</v>
      </c>
      <c r="C240" s="184" t="s">
        <v>911</v>
      </c>
      <c r="D240" s="184" t="s">
        <v>1</v>
      </c>
      <c r="E240" s="185" t="s">
        <v>7504</v>
      </c>
      <c r="F240" s="185">
        <v>10</v>
      </c>
      <c r="G240" s="185">
        <v>40</v>
      </c>
      <c r="H240" s="186">
        <v>0</v>
      </c>
      <c r="I240" s="187">
        <v>1</v>
      </c>
      <c r="J240" s="188">
        <v>15666.71</v>
      </c>
      <c r="K240" s="189">
        <f t="shared" si="91"/>
        <v>15666.71</v>
      </c>
      <c r="L240" s="187"/>
      <c r="M240" s="137"/>
      <c r="N240" s="138"/>
      <c r="O240" s="136">
        <f>SUM(L240,I240)</f>
        <v>1</v>
      </c>
      <c r="P240" s="137">
        <f>IF(M240&lt;&gt;"",M240,J240)</f>
        <v>15666.71</v>
      </c>
      <c r="Q240" s="138">
        <f>ROUND(O240*P240,2)</f>
        <v>15666.71</v>
      </c>
    </row>
    <row r="241" spans="1:17" x14ac:dyDescent="0.25">
      <c r="A241" s="139" t="s">
        <v>7523</v>
      </c>
      <c r="B241" s="139" t="s">
        <v>7524</v>
      </c>
      <c r="C241" s="140"/>
      <c r="D241" s="140"/>
      <c r="E241" s="141"/>
      <c r="F241" s="142"/>
      <c r="G241" s="142"/>
      <c r="H241" s="143"/>
      <c r="I241" s="144"/>
      <c r="J241" s="145" t="s">
        <v>7083</v>
      </c>
      <c r="K241" s="146"/>
      <c r="L241" s="144"/>
      <c r="M241" s="145" t="s">
        <v>7083</v>
      </c>
      <c r="N241" s="146"/>
      <c r="O241" s="144"/>
      <c r="P241" s="145" t="s">
        <v>7083</v>
      </c>
      <c r="Q241" s="146"/>
    </row>
    <row r="242" spans="1:17" x14ac:dyDescent="0.25">
      <c r="A242" s="169" t="s">
        <v>7525</v>
      </c>
      <c r="B242" s="169" t="s">
        <v>7526</v>
      </c>
      <c r="C242" s="170"/>
      <c r="D242" s="170"/>
      <c r="E242" s="171"/>
      <c r="F242" s="171"/>
      <c r="G242" s="171"/>
      <c r="H242" s="172"/>
      <c r="I242" s="173"/>
      <c r="J242" s="174" t="s">
        <v>7083</v>
      </c>
      <c r="K242" s="175"/>
      <c r="L242" s="173"/>
      <c r="M242" s="174" t="s">
        <v>7083</v>
      </c>
      <c r="N242" s="175"/>
      <c r="O242" s="173"/>
      <c r="P242" s="174" t="s">
        <v>7083</v>
      </c>
      <c r="Q242" s="175"/>
    </row>
    <row r="243" spans="1:17" x14ac:dyDescent="0.25">
      <c r="A243" s="176" t="s">
        <v>7527</v>
      </c>
      <c r="B243" s="176" t="s">
        <v>7528</v>
      </c>
      <c r="C243" s="177"/>
      <c r="D243" s="177"/>
      <c r="E243" s="178"/>
      <c r="F243" s="178"/>
      <c r="G243" s="178"/>
      <c r="H243" s="179"/>
      <c r="I243" s="180"/>
      <c r="J243" s="181" t="s">
        <v>7083</v>
      </c>
      <c r="K243" s="182"/>
      <c r="L243" s="180"/>
      <c r="M243" s="181" t="s">
        <v>7083</v>
      </c>
      <c r="N243" s="182"/>
      <c r="O243" s="180"/>
      <c r="P243" s="181" t="s">
        <v>7083</v>
      </c>
      <c r="Q243" s="182"/>
    </row>
    <row r="244" spans="1:17" ht="22.5" x14ac:dyDescent="0.25">
      <c r="A244" s="183" t="s">
        <v>7529</v>
      </c>
      <c r="B244" s="183" t="s">
        <v>7530</v>
      </c>
      <c r="C244" s="184" t="s">
        <v>911</v>
      </c>
      <c r="D244" s="184" t="s">
        <v>1</v>
      </c>
      <c r="E244" s="185" t="s">
        <v>7504</v>
      </c>
      <c r="F244" s="185">
        <v>55</v>
      </c>
      <c r="G244" s="185">
        <v>10</v>
      </c>
      <c r="H244" s="186">
        <v>0</v>
      </c>
      <c r="I244" s="187">
        <v>38</v>
      </c>
      <c r="J244" s="188">
        <v>5053.8900000000003</v>
      </c>
      <c r="K244" s="189">
        <f t="shared" si="91"/>
        <v>192047.82</v>
      </c>
      <c r="L244" s="187"/>
      <c r="M244" s="137"/>
      <c r="N244" s="138"/>
      <c r="O244" s="136">
        <f>SUM(L244,I244)</f>
        <v>38</v>
      </c>
      <c r="P244" s="137">
        <f>IF(M244&lt;&gt;"",M244,J244)</f>
        <v>5053.8900000000003</v>
      </c>
      <c r="Q244" s="138">
        <f>ROUND(O244*P244,2)</f>
        <v>192047.82</v>
      </c>
    </row>
    <row r="245" spans="1:17" x14ac:dyDescent="0.25">
      <c r="A245" s="176" t="s">
        <v>7531</v>
      </c>
      <c r="B245" s="176" t="s">
        <v>7532</v>
      </c>
      <c r="C245" s="177"/>
      <c r="D245" s="177"/>
      <c r="E245" s="178"/>
      <c r="F245" s="178"/>
      <c r="G245" s="178"/>
      <c r="H245" s="179"/>
      <c r="I245" s="180"/>
      <c r="J245" s="181" t="s">
        <v>7083</v>
      </c>
      <c r="K245" s="182"/>
      <c r="L245" s="180"/>
      <c r="M245" s="181" t="s">
        <v>7083</v>
      </c>
      <c r="N245" s="182"/>
      <c r="O245" s="180"/>
      <c r="P245" s="181" t="s">
        <v>7083</v>
      </c>
      <c r="Q245" s="182"/>
    </row>
    <row r="246" spans="1:17" ht="22.5" x14ac:dyDescent="0.25">
      <c r="A246" s="183" t="s">
        <v>7533</v>
      </c>
      <c r="B246" s="183" t="s">
        <v>7534</v>
      </c>
      <c r="C246" s="184" t="s">
        <v>911</v>
      </c>
      <c r="D246" s="184" t="s">
        <v>1</v>
      </c>
      <c r="E246" s="185" t="s">
        <v>7504</v>
      </c>
      <c r="F246" s="185">
        <v>55</v>
      </c>
      <c r="G246" s="185">
        <v>10</v>
      </c>
      <c r="H246" s="186">
        <v>0</v>
      </c>
      <c r="I246" s="187">
        <v>0</v>
      </c>
      <c r="J246" s="188">
        <v>111905.33</v>
      </c>
      <c r="K246" s="189">
        <f t="shared" si="91"/>
        <v>0</v>
      </c>
      <c r="L246" s="187"/>
      <c r="M246" s="137"/>
      <c r="N246" s="138"/>
      <c r="O246" s="136">
        <f t="shared" ref="O246:O247" si="109">SUM(L246,I246)</f>
        <v>0</v>
      </c>
      <c r="P246" s="137">
        <f t="shared" ref="P246:P247" si="110">IF(M246&lt;&gt;"",M246,J246)</f>
        <v>111905.33</v>
      </c>
      <c r="Q246" s="138">
        <f t="shared" ref="Q246:Q247" si="111">ROUND(O246*P246,2)</f>
        <v>0</v>
      </c>
    </row>
    <row r="247" spans="1:17" x14ac:dyDescent="0.25">
      <c r="A247" s="183" t="s">
        <v>7535</v>
      </c>
      <c r="B247" s="183" t="s">
        <v>7536</v>
      </c>
      <c r="C247" s="184" t="s">
        <v>911</v>
      </c>
      <c r="D247" s="184" t="s">
        <v>1</v>
      </c>
      <c r="E247" s="185" t="s">
        <v>7504</v>
      </c>
      <c r="F247" s="185">
        <v>55</v>
      </c>
      <c r="G247" s="185">
        <v>10</v>
      </c>
      <c r="H247" s="186">
        <v>0</v>
      </c>
      <c r="I247" s="187">
        <v>1</v>
      </c>
      <c r="J247" s="188">
        <v>15986.47</v>
      </c>
      <c r="K247" s="189">
        <f t="shared" si="91"/>
        <v>15986.47</v>
      </c>
      <c r="L247" s="187"/>
      <c r="M247" s="137"/>
      <c r="N247" s="138"/>
      <c r="O247" s="136">
        <f t="shared" si="109"/>
        <v>1</v>
      </c>
      <c r="P247" s="137">
        <f t="shared" si="110"/>
        <v>15986.47</v>
      </c>
      <c r="Q247" s="138">
        <f t="shared" si="111"/>
        <v>15986.47</v>
      </c>
    </row>
    <row r="248" spans="1:17" x14ac:dyDescent="0.25">
      <c r="A248" s="176" t="s">
        <v>7537</v>
      </c>
      <c r="B248" s="176" t="s">
        <v>7538</v>
      </c>
      <c r="C248" s="177"/>
      <c r="D248" s="177"/>
      <c r="E248" s="178"/>
      <c r="F248" s="178"/>
      <c r="G248" s="178"/>
      <c r="H248" s="179"/>
      <c r="I248" s="180"/>
      <c r="J248" s="181" t="s">
        <v>7083</v>
      </c>
      <c r="K248" s="182"/>
      <c r="L248" s="180"/>
      <c r="M248" s="181" t="s">
        <v>7083</v>
      </c>
      <c r="N248" s="182"/>
      <c r="O248" s="180"/>
      <c r="P248" s="181" t="s">
        <v>7083</v>
      </c>
      <c r="Q248" s="182"/>
    </row>
    <row r="249" spans="1:17" ht="33.75" x14ac:dyDescent="0.25">
      <c r="A249" s="219" t="s">
        <v>7539</v>
      </c>
      <c r="B249" s="219" t="s">
        <v>7540</v>
      </c>
      <c r="C249" s="220" t="s">
        <v>911</v>
      </c>
      <c r="D249" s="220" t="s">
        <v>1</v>
      </c>
      <c r="E249" s="221" t="s">
        <v>7504</v>
      </c>
      <c r="F249" s="185">
        <v>55</v>
      </c>
      <c r="G249" s="185">
        <v>10</v>
      </c>
      <c r="H249" s="186">
        <v>0</v>
      </c>
      <c r="I249" s="187">
        <v>1</v>
      </c>
      <c r="J249" s="188">
        <v>104146.26</v>
      </c>
      <c r="K249" s="189">
        <f t="shared" si="91"/>
        <v>104146.26</v>
      </c>
      <c r="L249" s="187"/>
      <c r="M249" s="137"/>
      <c r="N249" s="138"/>
      <c r="O249" s="136">
        <f t="shared" ref="O249:O254" si="112">SUM(L249,I249)</f>
        <v>1</v>
      </c>
      <c r="P249" s="137">
        <f t="shared" ref="P249:P254" si="113">IF(M249&lt;&gt;"",M249,J249)</f>
        <v>104146.26</v>
      </c>
      <c r="Q249" s="138">
        <f t="shared" ref="Q249:Q254" si="114">ROUND(O249*P249,2)</f>
        <v>104146.26</v>
      </c>
    </row>
    <row r="250" spans="1:17" ht="33.75" x14ac:dyDescent="0.25">
      <c r="A250" s="219" t="s">
        <v>7541</v>
      </c>
      <c r="B250" s="219" t="s">
        <v>7542</v>
      </c>
      <c r="C250" s="220" t="s">
        <v>911</v>
      </c>
      <c r="D250" s="220" t="s">
        <v>1</v>
      </c>
      <c r="E250" s="221" t="s">
        <v>7504</v>
      </c>
      <c r="F250" s="185">
        <v>55</v>
      </c>
      <c r="G250" s="185">
        <v>10</v>
      </c>
      <c r="H250" s="186">
        <v>0</v>
      </c>
      <c r="I250" s="187">
        <v>1</v>
      </c>
      <c r="J250" s="188">
        <v>98434.33</v>
      </c>
      <c r="K250" s="189">
        <f t="shared" si="91"/>
        <v>98434.33</v>
      </c>
      <c r="L250" s="187"/>
      <c r="M250" s="137"/>
      <c r="N250" s="138"/>
      <c r="O250" s="136">
        <f t="shared" si="112"/>
        <v>1</v>
      </c>
      <c r="P250" s="137">
        <f t="shared" si="113"/>
        <v>98434.33</v>
      </c>
      <c r="Q250" s="138">
        <f t="shared" si="114"/>
        <v>98434.33</v>
      </c>
    </row>
    <row r="251" spans="1:17" ht="33.75" x14ac:dyDescent="0.25">
      <c r="A251" s="219" t="s">
        <v>7543</v>
      </c>
      <c r="B251" s="219" t="s">
        <v>7544</v>
      </c>
      <c r="C251" s="220" t="s">
        <v>911</v>
      </c>
      <c r="D251" s="220" t="s">
        <v>1</v>
      </c>
      <c r="E251" s="221" t="s">
        <v>7504</v>
      </c>
      <c r="F251" s="185">
        <v>55</v>
      </c>
      <c r="G251" s="185">
        <v>10</v>
      </c>
      <c r="H251" s="186">
        <v>0</v>
      </c>
      <c r="I251" s="187">
        <v>1</v>
      </c>
      <c r="J251" s="188">
        <v>49662.74</v>
      </c>
      <c r="K251" s="189">
        <f t="shared" si="91"/>
        <v>49662.74</v>
      </c>
      <c r="L251" s="187"/>
      <c r="M251" s="137"/>
      <c r="N251" s="138"/>
      <c r="O251" s="136">
        <f t="shared" si="112"/>
        <v>1</v>
      </c>
      <c r="P251" s="137">
        <f t="shared" si="113"/>
        <v>49662.74</v>
      </c>
      <c r="Q251" s="138">
        <f t="shared" si="114"/>
        <v>49662.74</v>
      </c>
    </row>
    <row r="252" spans="1:17" ht="33.75" x14ac:dyDescent="0.25">
      <c r="A252" s="219" t="s">
        <v>7545</v>
      </c>
      <c r="B252" s="219" t="s">
        <v>7546</v>
      </c>
      <c r="C252" s="220" t="s">
        <v>911</v>
      </c>
      <c r="D252" s="220" t="s">
        <v>1</v>
      </c>
      <c r="E252" s="221" t="s">
        <v>7504</v>
      </c>
      <c r="F252" s="185">
        <v>55</v>
      </c>
      <c r="G252" s="185">
        <v>10</v>
      </c>
      <c r="H252" s="186">
        <v>0</v>
      </c>
      <c r="I252" s="187">
        <v>1</v>
      </c>
      <c r="J252" s="188">
        <v>63040.21</v>
      </c>
      <c r="K252" s="189">
        <f t="shared" si="91"/>
        <v>63040.21</v>
      </c>
      <c r="L252" s="187"/>
      <c r="M252" s="137"/>
      <c r="N252" s="138"/>
      <c r="O252" s="136">
        <f t="shared" si="112"/>
        <v>1</v>
      </c>
      <c r="P252" s="137">
        <f t="shared" si="113"/>
        <v>63040.21</v>
      </c>
      <c r="Q252" s="138">
        <f t="shared" si="114"/>
        <v>63040.21</v>
      </c>
    </row>
    <row r="253" spans="1:17" ht="33.75" x14ac:dyDescent="0.25">
      <c r="A253" s="219" t="s">
        <v>7547</v>
      </c>
      <c r="B253" s="219" t="s">
        <v>7548</v>
      </c>
      <c r="C253" s="220" t="s">
        <v>911</v>
      </c>
      <c r="D253" s="220" t="s">
        <v>1</v>
      </c>
      <c r="E253" s="221" t="s">
        <v>7504</v>
      </c>
      <c r="F253" s="185">
        <v>55</v>
      </c>
      <c r="G253" s="185">
        <v>10</v>
      </c>
      <c r="H253" s="186">
        <v>0</v>
      </c>
      <c r="I253" s="187">
        <v>1</v>
      </c>
      <c r="J253" s="188">
        <v>215161.78</v>
      </c>
      <c r="K253" s="189">
        <f t="shared" si="91"/>
        <v>215161.78</v>
      </c>
      <c r="L253" s="187"/>
      <c r="M253" s="137"/>
      <c r="N253" s="138"/>
      <c r="O253" s="136">
        <f t="shared" si="112"/>
        <v>1</v>
      </c>
      <c r="P253" s="137">
        <f t="shared" si="113"/>
        <v>215161.78</v>
      </c>
      <c r="Q253" s="138">
        <f t="shared" si="114"/>
        <v>215161.78</v>
      </c>
    </row>
    <row r="254" spans="1:17" ht="33.75" x14ac:dyDescent="0.25">
      <c r="A254" s="219" t="s">
        <v>7549</v>
      </c>
      <c r="B254" s="219" t="s">
        <v>7550</v>
      </c>
      <c r="C254" s="220" t="s">
        <v>911</v>
      </c>
      <c r="D254" s="220" t="s">
        <v>1</v>
      </c>
      <c r="E254" s="221" t="s">
        <v>7504</v>
      </c>
      <c r="F254" s="185">
        <v>55</v>
      </c>
      <c r="G254" s="185">
        <v>10</v>
      </c>
      <c r="H254" s="186">
        <v>0</v>
      </c>
      <c r="I254" s="187">
        <v>1</v>
      </c>
      <c r="J254" s="188">
        <v>173648.13</v>
      </c>
      <c r="K254" s="189">
        <f t="shared" si="91"/>
        <v>173648.13</v>
      </c>
      <c r="L254" s="187"/>
      <c r="M254" s="137"/>
      <c r="N254" s="138"/>
      <c r="O254" s="136">
        <f t="shared" si="112"/>
        <v>1</v>
      </c>
      <c r="P254" s="137">
        <f t="shared" si="113"/>
        <v>173648.13</v>
      </c>
      <c r="Q254" s="138">
        <f t="shared" si="114"/>
        <v>173648.13</v>
      </c>
    </row>
    <row r="255" spans="1:17" x14ac:dyDescent="0.25">
      <c r="A255" s="165" t="s">
        <v>7551</v>
      </c>
      <c r="B255" s="165" t="s">
        <v>7552</v>
      </c>
      <c r="C255" s="166"/>
      <c r="D255" s="166"/>
      <c r="E255" s="167"/>
      <c r="F255" s="111"/>
      <c r="G255" s="111"/>
      <c r="H255" s="112"/>
      <c r="I255" s="168"/>
      <c r="J255" s="114" t="s">
        <v>7083</v>
      </c>
      <c r="K255" s="115"/>
      <c r="L255" s="168"/>
      <c r="M255" s="114" t="s">
        <v>7083</v>
      </c>
      <c r="N255" s="115"/>
      <c r="O255" s="168"/>
      <c r="P255" s="114" t="s">
        <v>7083</v>
      </c>
      <c r="Q255" s="115"/>
    </row>
    <row r="256" spans="1:17" x14ac:dyDescent="0.25">
      <c r="A256" s="139" t="s">
        <v>7553</v>
      </c>
      <c r="B256" s="139" t="s">
        <v>7554</v>
      </c>
      <c r="C256" s="140"/>
      <c r="D256" s="140"/>
      <c r="E256" s="141"/>
      <c r="F256" s="142"/>
      <c r="G256" s="142"/>
      <c r="H256" s="143"/>
      <c r="I256" s="144"/>
      <c r="J256" s="145" t="s">
        <v>7083</v>
      </c>
      <c r="K256" s="146"/>
      <c r="L256" s="144"/>
      <c r="M256" s="145" t="s">
        <v>7083</v>
      </c>
      <c r="N256" s="146"/>
      <c r="O256" s="144"/>
      <c r="P256" s="145" t="s">
        <v>7083</v>
      </c>
      <c r="Q256" s="146"/>
    </row>
    <row r="257" spans="1:17" x14ac:dyDescent="0.25">
      <c r="A257" s="169" t="s">
        <v>7555</v>
      </c>
      <c r="B257" s="169" t="s">
        <v>7556</v>
      </c>
      <c r="C257" s="170"/>
      <c r="D257" s="170"/>
      <c r="E257" s="171"/>
      <c r="F257" s="171"/>
      <c r="G257" s="171"/>
      <c r="H257" s="172"/>
      <c r="I257" s="173"/>
      <c r="J257" s="174" t="s">
        <v>7083</v>
      </c>
      <c r="K257" s="175"/>
      <c r="L257" s="173"/>
      <c r="M257" s="174" t="s">
        <v>7083</v>
      </c>
      <c r="N257" s="175"/>
      <c r="O257" s="173"/>
      <c r="P257" s="174" t="s">
        <v>7083</v>
      </c>
      <c r="Q257" s="175"/>
    </row>
    <row r="258" spans="1:17" ht="33.75" x14ac:dyDescent="0.25">
      <c r="A258" s="219" t="s">
        <v>360</v>
      </c>
      <c r="B258" s="219" t="s">
        <v>7557</v>
      </c>
      <c r="C258" s="220" t="s">
        <v>911</v>
      </c>
      <c r="D258" s="220" t="s">
        <v>1</v>
      </c>
      <c r="E258" s="221" t="s">
        <v>7504</v>
      </c>
      <c r="F258" s="185">
        <v>20</v>
      </c>
      <c r="G258" s="185">
        <v>20</v>
      </c>
      <c r="H258" s="186">
        <v>0</v>
      </c>
      <c r="I258" s="187">
        <v>6</v>
      </c>
      <c r="J258" s="188">
        <v>7945.8</v>
      </c>
      <c r="K258" s="189">
        <f t="shared" si="91"/>
        <v>47674.8</v>
      </c>
      <c r="L258" s="187"/>
      <c r="M258" s="137"/>
      <c r="N258" s="138"/>
      <c r="O258" s="136">
        <f t="shared" ref="O258:O259" si="115">SUM(L258,I258)</f>
        <v>6</v>
      </c>
      <c r="P258" s="137">
        <f t="shared" ref="P258:P259" si="116">IF(M258&lt;&gt;"",M258,J258)</f>
        <v>7945.8</v>
      </c>
      <c r="Q258" s="138">
        <f t="shared" ref="Q258:Q259" si="117">ROUND(O258*P258,2)</f>
        <v>47674.8</v>
      </c>
    </row>
    <row r="259" spans="1:17" ht="22.5" x14ac:dyDescent="0.25">
      <c r="A259" s="219" t="s">
        <v>362</v>
      </c>
      <c r="B259" s="219" t="s">
        <v>7558</v>
      </c>
      <c r="C259" s="220" t="s">
        <v>911</v>
      </c>
      <c r="D259" s="220" t="s">
        <v>1</v>
      </c>
      <c r="E259" s="221" t="s">
        <v>7504</v>
      </c>
      <c r="F259" s="185">
        <v>20</v>
      </c>
      <c r="G259" s="185">
        <v>20</v>
      </c>
      <c r="H259" s="186">
        <v>0</v>
      </c>
      <c r="I259" s="187">
        <v>2</v>
      </c>
      <c r="J259" s="188">
        <v>7945.8</v>
      </c>
      <c r="K259" s="189">
        <f t="shared" si="91"/>
        <v>15891.6</v>
      </c>
      <c r="L259" s="187"/>
      <c r="M259" s="137"/>
      <c r="N259" s="138"/>
      <c r="O259" s="136">
        <f t="shared" si="115"/>
        <v>2</v>
      </c>
      <c r="P259" s="137">
        <f t="shared" si="116"/>
        <v>7945.8</v>
      </c>
      <c r="Q259" s="138">
        <f t="shared" si="117"/>
        <v>15891.6</v>
      </c>
    </row>
    <row r="260" spans="1:17" ht="22.5" x14ac:dyDescent="0.25">
      <c r="A260" s="169" t="s">
        <v>7559</v>
      </c>
      <c r="B260" s="169" t="s">
        <v>7560</v>
      </c>
      <c r="C260" s="170"/>
      <c r="D260" s="170"/>
      <c r="E260" s="171"/>
      <c r="F260" s="171"/>
      <c r="G260" s="171"/>
      <c r="H260" s="172"/>
      <c r="I260" s="173"/>
      <c r="J260" s="174" t="s">
        <v>7083</v>
      </c>
      <c r="K260" s="175"/>
      <c r="L260" s="173"/>
      <c r="M260" s="174" t="s">
        <v>7083</v>
      </c>
      <c r="N260" s="175"/>
      <c r="O260" s="173"/>
      <c r="P260" s="174" t="s">
        <v>7083</v>
      </c>
      <c r="Q260" s="175"/>
    </row>
    <row r="261" spans="1:17" ht="33.75" x14ac:dyDescent="0.25">
      <c r="A261" s="219" t="s">
        <v>363</v>
      </c>
      <c r="B261" s="219" t="s">
        <v>7561</v>
      </c>
      <c r="C261" s="220" t="s">
        <v>911</v>
      </c>
      <c r="D261" s="220" t="s">
        <v>1</v>
      </c>
      <c r="E261" s="221" t="s">
        <v>7504</v>
      </c>
      <c r="F261" s="185">
        <v>20</v>
      </c>
      <c r="G261" s="185">
        <v>20</v>
      </c>
      <c r="H261" s="186">
        <v>1</v>
      </c>
      <c r="I261" s="187">
        <v>1</v>
      </c>
      <c r="J261" s="188">
        <v>15891.63</v>
      </c>
      <c r="K261" s="189">
        <f t="shared" si="91"/>
        <v>15891.63</v>
      </c>
      <c r="L261" s="187"/>
      <c r="M261" s="137"/>
      <c r="N261" s="138"/>
      <c r="O261" s="136">
        <f>SUM(L261,I261)</f>
        <v>1</v>
      </c>
      <c r="P261" s="137">
        <f>IF(M261&lt;&gt;"",M261,J261)</f>
        <v>15891.63</v>
      </c>
      <c r="Q261" s="138">
        <f>ROUND(O261*P261,2)</f>
        <v>15891.63</v>
      </c>
    </row>
    <row r="262" spans="1:17" x14ac:dyDescent="0.25">
      <c r="A262" s="169" t="s">
        <v>7562</v>
      </c>
      <c r="B262" s="169" t="s">
        <v>7563</v>
      </c>
      <c r="C262" s="170"/>
      <c r="D262" s="170"/>
      <c r="E262" s="171"/>
      <c r="F262" s="171"/>
      <c r="G262" s="171"/>
      <c r="H262" s="172"/>
      <c r="I262" s="173"/>
      <c r="J262" s="174" t="s">
        <v>7083</v>
      </c>
      <c r="K262" s="175"/>
      <c r="L262" s="173"/>
      <c r="M262" s="174" t="s">
        <v>7083</v>
      </c>
      <c r="N262" s="175"/>
      <c r="O262" s="173"/>
      <c r="P262" s="174" t="s">
        <v>7083</v>
      </c>
      <c r="Q262" s="175"/>
    </row>
    <row r="263" spans="1:17" ht="22.5" x14ac:dyDescent="0.25">
      <c r="A263" s="183" t="s">
        <v>366</v>
      </c>
      <c r="B263" s="183" t="s">
        <v>7564</v>
      </c>
      <c r="C263" s="184" t="s">
        <v>911</v>
      </c>
      <c r="D263" s="184" t="s">
        <v>1</v>
      </c>
      <c r="E263" s="185" t="s">
        <v>7504</v>
      </c>
      <c r="F263" s="185">
        <v>20</v>
      </c>
      <c r="G263" s="185">
        <v>20</v>
      </c>
      <c r="H263" s="186">
        <v>0</v>
      </c>
      <c r="I263" s="187">
        <v>1</v>
      </c>
      <c r="J263" s="188">
        <v>2167.04</v>
      </c>
      <c r="K263" s="189">
        <f t="shared" si="91"/>
        <v>2167.04</v>
      </c>
      <c r="L263" s="187"/>
      <c r="M263" s="137"/>
      <c r="N263" s="138"/>
      <c r="O263" s="136">
        <f t="shared" ref="O263:O264" si="118">SUM(L263,I263)</f>
        <v>1</v>
      </c>
      <c r="P263" s="137">
        <f t="shared" ref="P263:P264" si="119">IF(M263&lt;&gt;"",M263,J263)</f>
        <v>2167.04</v>
      </c>
      <c r="Q263" s="138">
        <f t="shared" ref="Q263:Q264" si="120">ROUND(O263*P263,2)</f>
        <v>2167.04</v>
      </c>
    </row>
    <row r="264" spans="1:17" ht="22.5" x14ac:dyDescent="0.25">
      <c r="A264" s="183" t="s">
        <v>368</v>
      </c>
      <c r="B264" s="183" t="s">
        <v>7565</v>
      </c>
      <c r="C264" s="184" t="s">
        <v>911</v>
      </c>
      <c r="D264" s="184" t="s">
        <v>1</v>
      </c>
      <c r="E264" s="185" t="s">
        <v>7504</v>
      </c>
      <c r="F264" s="185">
        <v>20</v>
      </c>
      <c r="G264" s="185">
        <v>20</v>
      </c>
      <c r="H264" s="186">
        <v>0</v>
      </c>
      <c r="I264" s="187">
        <v>1</v>
      </c>
      <c r="J264" s="188">
        <v>4334.09</v>
      </c>
      <c r="K264" s="189">
        <f t="shared" si="91"/>
        <v>4334.09</v>
      </c>
      <c r="L264" s="187"/>
      <c r="M264" s="137"/>
      <c r="N264" s="138"/>
      <c r="O264" s="136">
        <f t="shared" si="118"/>
        <v>1</v>
      </c>
      <c r="P264" s="137">
        <f t="shared" si="119"/>
        <v>4334.09</v>
      </c>
      <c r="Q264" s="138">
        <f t="shared" si="120"/>
        <v>4334.09</v>
      </c>
    </row>
    <row r="265" spans="1:17" x14ac:dyDescent="0.25">
      <c r="A265" s="139" t="s">
        <v>7566</v>
      </c>
      <c r="B265" s="139" t="s">
        <v>7567</v>
      </c>
      <c r="C265" s="140"/>
      <c r="D265" s="140"/>
      <c r="E265" s="141"/>
      <c r="F265" s="142"/>
      <c r="G265" s="142"/>
      <c r="H265" s="143"/>
      <c r="I265" s="144"/>
      <c r="J265" s="145" t="s">
        <v>7083</v>
      </c>
      <c r="K265" s="146"/>
      <c r="L265" s="144"/>
      <c r="M265" s="145" t="s">
        <v>7083</v>
      </c>
      <c r="N265" s="146"/>
      <c r="O265" s="144"/>
      <c r="P265" s="145" t="s">
        <v>7083</v>
      </c>
      <c r="Q265" s="146"/>
    </row>
    <row r="266" spans="1:17" x14ac:dyDescent="0.25">
      <c r="A266" s="169" t="s">
        <v>7568</v>
      </c>
      <c r="B266" s="169" t="s">
        <v>7569</v>
      </c>
      <c r="C266" s="170"/>
      <c r="D266" s="170"/>
      <c r="E266" s="171"/>
      <c r="F266" s="171"/>
      <c r="G266" s="171"/>
      <c r="H266" s="172"/>
      <c r="I266" s="173"/>
      <c r="J266" s="174" t="s">
        <v>7083</v>
      </c>
      <c r="K266" s="175"/>
      <c r="L266" s="173"/>
      <c r="M266" s="174" t="s">
        <v>7083</v>
      </c>
      <c r="N266" s="175"/>
      <c r="O266" s="173"/>
      <c r="P266" s="174" t="s">
        <v>7083</v>
      </c>
      <c r="Q266" s="175"/>
    </row>
    <row r="267" spans="1:17" ht="22.5" x14ac:dyDescent="0.25">
      <c r="A267" s="183" t="s">
        <v>7570</v>
      </c>
      <c r="B267" s="183" t="s">
        <v>7571</v>
      </c>
      <c r="C267" s="184" t="s">
        <v>911</v>
      </c>
      <c r="D267" s="184" t="s">
        <v>1</v>
      </c>
      <c r="E267" s="185" t="s">
        <v>7504</v>
      </c>
      <c r="F267" s="185">
        <v>30</v>
      </c>
      <c r="G267" s="185">
        <v>70</v>
      </c>
      <c r="H267" s="186">
        <v>0</v>
      </c>
      <c r="I267" s="187">
        <v>2</v>
      </c>
      <c r="J267" s="188">
        <v>5056.45</v>
      </c>
      <c r="K267" s="189">
        <f t="shared" ref="K267:K326" si="121">ROUND(I267*J267,2)</f>
        <v>10112.9</v>
      </c>
      <c r="L267" s="187"/>
      <c r="M267" s="137"/>
      <c r="N267" s="138"/>
      <c r="O267" s="136">
        <f>SUM(L267,I267)</f>
        <v>2</v>
      </c>
      <c r="P267" s="137">
        <f>IF(M267&lt;&gt;"",M267,J267)</f>
        <v>5056.45</v>
      </c>
      <c r="Q267" s="138">
        <f>ROUND(O267*P267,2)</f>
        <v>10112.9</v>
      </c>
    </row>
    <row r="268" spans="1:17" x14ac:dyDescent="0.25">
      <c r="A268" s="169" t="s">
        <v>7572</v>
      </c>
      <c r="B268" s="169" t="s">
        <v>7573</v>
      </c>
      <c r="C268" s="170"/>
      <c r="D268" s="170"/>
      <c r="E268" s="171"/>
      <c r="F268" s="171"/>
      <c r="G268" s="171"/>
      <c r="H268" s="172"/>
      <c r="I268" s="173"/>
      <c r="J268" s="174" t="s">
        <v>7083</v>
      </c>
      <c r="K268" s="175"/>
      <c r="L268" s="173"/>
      <c r="M268" s="174" t="s">
        <v>7083</v>
      </c>
      <c r="N268" s="175"/>
      <c r="O268" s="173"/>
      <c r="P268" s="174" t="s">
        <v>7083</v>
      </c>
      <c r="Q268" s="175"/>
    </row>
    <row r="269" spans="1:17" x14ac:dyDescent="0.25">
      <c r="A269" s="183" t="s">
        <v>7574</v>
      </c>
      <c r="B269" s="183" t="s">
        <v>7575</v>
      </c>
      <c r="C269" s="184" t="s">
        <v>911</v>
      </c>
      <c r="D269" s="184" t="s">
        <v>1</v>
      </c>
      <c r="E269" s="185" t="s">
        <v>7504</v>
      </c>
      <c r="F269" s="185">
        <v>30</v>
      </c>
      <c r="G269" s="185">
        <v>70</v>
      </c>
      <c r="H269" s="186">
        <v>0</v>
      </c>
      <c r="I269" s="187">
        <v>15</v>
      </c>
      <c r="J269" s="188">
        <v>1986.46</v>
      </c>
      <c r="K269" s="189">
        <f t="shared" si="121"/>
        <v>29796.9</v>
      </c>
      <c r="L269" s="187"/>
      <c r="M269" s="137"/>
      <c r="N269" s="138"/>
      <c r="O269" s="136">
        <f>SUM(L269,I269)</f>
        <v>15</v>
      </c>
      <c r="P269" s="137">
        <f>IF(M269&lt;&gt;"",M269,J269)</f>
        <v>1986.46</v>
      </c>
      <c r="Q269" s="138">
        <f>ROUND(O269*P269,2)</f>
        <v>29796.9</v>
      </c>
    </row>
    <row r="270" spans="1:17" x14ac:dyDescent="0.25">
      <c r="A270" s="169" t="s">
        <v>7576</v>
      </c>
      <c r="B270" s="169" t="s">
        <v>7577</v>
      </c>
      <c r="C270" s="170"/>
      <c r="D270" s="170"/>
      <c r="E270" s="171"/>
      <c r="F270" s="171"/>
      <c r="G270" s="171"/>
      <c r="H270" s="172"/>
      <c r="I270" s="173"/>
      <c r="J270" s="174" t="s">
        <v>7083</v>
      </c>
      <c r="K270" s="175"/>
      <c r="L270" s="173"/>
      <c r="M270" s="174" t="s">
        <v>7083</v>
      </c>
      <c r="N270" s="175"/>
      <c r="O270" s="173"/>
      <c r="P270" s="174" t="s">
        <v>7083</v>
      </c>
      <c r="Q270" s="175"/>
    </row>
    <row r="271" spans="1:17" ht="45" x14ac:dyDescent="0.25">
      <c r="A271" s="183" t="s">
        <v>7578</v>
      </c>
      <c r="B271" s="183" t="s">
        <v>7579</v>
      </c>
      <c r="C271" s="184" t="s">
        <v>911</v>
      </c>
      <c r="D271" s="184" t="s">
        <v>1</v>
      </c>
      <c r="E271" s="185" t="s">
        <v>7504</v>
      </c>
      <c r="F271" s="185">
        <v>30</v>
      </c>
      <c r="G271" s="185">
        <v>80</v>
      </c>
      <c r="H271" s="186">
        <v>0</v>
      </c>
      <c r="I271" s="187">
        <v>4</v>
      </c>
      <c r="J271" s="188">
        <v>1462.76</v>
      </c>
      <c r="K271" s="189">
        <f t="shared" si="121"/>
        <v>5851.04</v>
      </c>
      <c r="L271" s="187"/>
      <c r="M271" s="137"/>
      <c r="N271" s="138"/>
      <c r="O271" s="136">
        <f t="shared" ref="O271:O272" si="122">SUM(L271,I271)</f>
        <v>4</v>
      </c>
      <c r="P271" s="137">
        <f t="shared" ref="P271:P272" si="123">IF(M271&lt;&gt;"",M271,J271)</f>
        <v>1462.76</v>
      </c>
      <c r="Q271" s="138">
        <f t="shared" ref="Q271:Q272" si="124">ROUND(O271*P271,2)</f>
        <v>5851.04</v>
      </c>
    </row>
    <row r="272" spans="1:17" ht="45" x14ac:dyDescent="0.25">
      <c r="A272" s="183" t="s">
        <v>7580</v>
      </c>
      <c r="B272" s="183" t="s">
        <v>7581</v>
      </c>
      <c r="C272" s="184" t="s">
        <v>911</v>
      </c>
      <c r="D272" s="184" t="s">
        <v>1</v>
      </c>
      <c r="E272" s="185" t="s">
        <v>7504</v>
      </c>
      <c r="F272" s="185">
        <v>30</v>
      </c>
      <c r="G272" s="185">
        <v>80</v>
      </c>
      <c r="H272" s="186">
        <v>0</v>
      </c>
      <c r="I272" s="187">
        <v>4</v>
      </c>
      <c r="J272" s="188">
        <v>3216.25</v>
      </c>
      <c r="K272" s="189">
        <f t="shared" si="121"/>
        <v>12865</v>
      </c>
      <c r="L272" s="187"/>
      <c r="M272" s="137"/>
      <c r="N272" s="138"/>
      <c r="O272" s="136">
        <f t="shared" si="122"/>
        <v>4</v>
      </c>
      <c r="P272" s="137">
        <f t="shared" si="123"/>
        <v>3216.25</v>
      </c>
      <c r="Q272" s="138">
        <f t="shared" si="124"/>
        <v>12865</v>
      </c>
    </row>
    <row r="273" spans="1:17" x14ac:dyDescent="0.25">
      <c r="A273" s="139" t="s">
        <v>7582</v>
      </c>
      <c r="B273" s="139" t="s">
        <v>7583</v>
      </c>
      <c r="C273" s="140"/>
      <c r="D273" s="140"/>
      <c r="E273" s="141"/>
      <c r="F273" s="142"/>
      <c r="G273" s="142"/>
      <c r="H273" s="143"/>
      <c r="I273" s="144"/>
      <c r="J273" s="145" t="s">
        <v>7083</v>
      </c>
      <c r="K273" s="146"/>
      <c r="L273" s="144"/>
      <c r="M273" s="145" t="s">
        <v>7083</v>
      </c>
      <c r="N273" s="146"/>
      <c r="O273" s="144"/>
      <c r="P273" s="145" t="s">
        <v>7083</v>
      </c>
      <c r="Q273" s="146"/>
    </row>
    <row r="274" spans="1:17" x14ac:dyDescent="0.25">
      <c r="A274" s="169" t="s">
        <v>7584</v>
      </c>
      <c r="B274" s="169" t="s">
        <v>7583</v>
      </c>
      <c r="C274" s="170"/>
      <c r="D274" s="170"/>
      <c r="E274" s="171"/>
      <c r="F274" s="171"/>
      <c r="G274" s="171"/>
      <c r="H274" s="172"/>
      <c r="I274" s="173"/>
      <c r="J274" s="174" t="s">
        <v>7083</v>
      </c>
      <c r="K274" s="175"/>
      <c r="L274" s="173"/>
      <c r="M274" s="174" t="s">
        <v>7083</v>
      </c>
      <c r="N274" s="175"/>
      <c r="O274" s="173"/>
      <c r="P274" s="174" t="s">
        <v>7083</v>
      </c>
      <c r="Q274" s="175"/>
    </row>
    <row r="275" spans="1:17" ht="33.75" x14ac:dyDescent="0.25">
      <c r="A275" s="183" t="s">
        <v>7585</v>
      </c>
      <c r="B275" s="183" t="s">
        <v>7586</v>
      </c>
      <c r="C275" s="184" t="s">
        <v>378</v>
      </c>
      <c r="D275" s="184" t="s">
        <v>1</v>
      </c>
      <c r="E275" s="185" t="s">
        <v>7504</v>
      </c>
      <c r="F275" s="185">
        <v>60</v>
      </c>
      <c r="G275" s="185">
        <v>10</v>
      </c>
      <c r="H275" s="186">
        <v>0</v>
      </c>
      <c r="I275" s="187">
        <v>200.00000000000003</v>
      </c>
      <c r="J275" s="188">
        <v>1169.77</v>
      </c>
      <c r="K275" s="189">
        <f t="shared" si="121"/>
        <v>233954</v>
      </c>
      <c r="L275" s="187"/>
      <c r="M275" s="137"/>
      <c r="N275" s="138"/>
      <c r="O275" s="136">
        <f t="shared" ref="O275:O282" si="125">SUM(L275,I275)</f>
        <v>200.00000000000003</v>
      </c>
      <c r="P275" s="137">
        <f t="shared" ref="P275:P282" si="126">IF(M275&lt;&gt;"",M275,J275)</f>
        <v>1169.77</v>
      </c>
      <c r="Q275" s="138">
        <f t="shared" ref="Q275:Q282" si="127">ROUND(O275*P275,2)</f>
        <v>233954</v>
      </c>
    </row>
    <row r="276" spans="1:17" ht="45" x14ac:dyDescent="0.25">
      <c r="A276" s="183" t="s">
        <v>7587</v>
      </c>
      <c r="B276" s="183" t="s">
        <v>7588</v>
      </c>
      <c r="C276" s="184" t="s">
        <v>378</v>
      </c>
      <c r="D276" s="184" t="s">
        <v>1</v>
      </c>
      <c r="E276" s="185" t="s">
        <v>7504</v>
      </c>
      <c r="F276" s="185">
        <v>60</v>
      </c>
      <c r="G276" s="185">
        <v>10</v>
      </c>
      <c r="H276" s="186">
        <v>0</v>
      </c>
      <c r="I276" s="187">
        <v>310</v>
      </c>
      <c r="J276" s="188">
        <v>1651.88</v>
      </c>
      <c r="K276" s="189">
        <f t="shared" si="121"/>
        <v>512082.8</v>
      </c>
      <c r="L276" s="187"/>
      <c r="M276" s="137"/>
      <c r="N276" s="138"/>
      <c r="O276" s="136">
        <f t="shared" si="125"/>
        <v>310</v>
      </c>
      <c r="P276" s="137">
        <f t="shared" si="126"/>
        <v>1651.88</v>
      </c>
      <c r="Q276" s="138">
        <f t="shared" si="127"/>
        <v>512082.8</v>
      </c>
    </row>
    <row r="277" spans="1:17" ht="45" x14ac:dyDescent="0.25">
      <c r="A277" s="183" t="s">
        <v>7589</v>
      </c>
      <c r="B277" s="183" t="s">
        <v>7590</v>
      </c>
      <c r="C277" s="184" t="s">
        <v>378</v>
      </c>
      <c r="D277" s="184" t="s">
        <v>1</v>
      </c>
      <c r="E277" s="185" t="s">
        <v>7504</v>
      </c>
      <c r="F277" s="185">
        <v>60</v>
      </c>
      <c r="G277" s="185">
        <v>10</v>
      </c>
      <c r="H277" s="186">
        <v>0</v>
      </c>
      <c r="I277" s="187">
        <v>660</v>
      </c>
      <c r="J277" s="188">
        <v>2238.89</v>
      </c>
      <c r="K277" s="189">
        <f t="shared" si="121"/>
        <v>1477667.4</v>
      </c>
      <c r="L277" s="187"/>
      <c r="M277" s="137"/>
      <c r="N277" s="138"/>
      <c r="O277" s="136">
        <f t="shared" si="125"/>
        <v>660</v>
      </c>
      <c r="P277" s="137">
        <f t="shared" si="126"/>
        <v>2238.89</v>
      </c>
      <c r="Q277" s="138">
        <f t="shared" si="127"/>
        <v>1477667.4</v>
      </c>
    </row>
    <row r="278" spans="1:17" ht="45" x14ac:dyDescent="0.25">
      <c r="A278" s="183" t="s">
        <v>7591</v>
      </c>
      <c r="B278" s="183" t="s">
        <v>7592</v>
      </c>
      <c r="C278" s="184" t="s">
        <v>378</v>
      </c>
      <c r="D278" s="184" t="s">
        <v>1</v>
      </c>
      <c r="E278" s="185" t="s">
        <v>7504</v>
      </c>
      <c r="F278" s="185">
        <v>60</v>
      </c>
      <c r="G278" s="185">
        <v>10</v>
      </c>
      <c r="H278" s="186">
        <v>0</v>
      </c>
      <c r="I278" s="187">
        <v>6</v>
      </c>
      <c r="J278" s="188">
        <v>2576.75</v>
      </c>
      <c r="K278" s="189">
        <f t="shared" si="121"/>
        <v>15460.5</v>
      </c>
      <c r="L278" s="187"/>
      <c r="M278" s="137"/>
      <c r="N278" s="138"/>
      <c r="O278" s="136">
        <f t="shared" si="125"/>
        <v>6</v>
      </c>
      <c r="P278" s="137">
        <f t="shared" si="126"/>
        <v>2576.75</v>
      </c>
      <c r="Q278" s="138">
        <f t="shared" si="127"/>
        <v>15460.5</v>
      </c>
    </row>
    <row r="279" spans="1:17" ht="45" x14ac:dyDescent="0.25">
      <c r="A279" s="183" t="s">
        <v>7593</v>
      </c>
      <c r="B279" s="183" t="s">
        <v>7594</v>
      </c>
      <c r="C279" s="184" t="s">
        <v>378</v>
      </c>
      <c r="D279" s="184" t="s">
        <v>1</v>
      </c>
      <c r="E279" s="185" t="s">
        <v>7504</v>
      </c>
      <c r="F279" s="185">
        <v>60</v>
      </c>
      <c r="G279" s="185">
        <v>10</v>
      </c>
      <c r="H279" s="186">
        <v>0</v>
      </c>
      <c r="I279" s="187">
        <v>115</v>
      </c>
      <c r="J279" s="188">
        <v>2725.4</v>
      </c>
      <c r="K279" s="189">
        <f t="shared" si="121"/>
        <v>313421</v>
      </c>
      <c r="L279" s="187"/>
      <c r="M279" s="137"/>
      <c r="N279" s="138"/>
      <c r="O279" s="136">
        <f t="shared" si="125"/>
        <v>115</v>
      </c>
      <c r="P279" s="137">
        <f t="shared" si="126"/>
        <v>2725.4</v>
      </c>
      <c r="Q279" s="138">
        <f t="shared" si="127"/>
        <v>313421</v>
      </c>
    </row>
    <row r="280" spans="1:17" ht="45" x14ac:dyDescent="0.25">
      <c r="A280" s="183" t="s">
        <v>7595</v>
      </c>
      <c r="B280" s="183" t="s">
        <v>7596</v>
      </c>
      <c r="C280" s="184" t="s">
        <v>378</v>
      </c>
      <c r="D280" s="184" t="s">
        <v>1</v>
      </c>
      <c r="E280" s="185" t="s">
        <v>7504</v>
      </c>
      <c r="F280" s="185">
        <v>60</v>
      </c>
      <c r="G280" s="185">
        <v>10</v>
      </c>
      <c r="H280" s="186">
        <v>0</v>
      </c>
      <c r="I280" s="187">
        <v>6</v>
      </c>
      <c r="J280" s="188">
        <v>3249.8</v>
      </c>
      <c r="K280" s="189">
        <f t="shared" si="121"/>
        <v>19498.8</v>
      </c>
      <c r="L280" s="187"/>
      <c r="M280" s="137"/>
      <c r="N280" s="138"/>
      <c r="O280" s="136">
        <f t="shared" si="125"/>
        <v>6</v>
      </c>
      <c r="P280" s="137">
        <f t="shared" si="126"/>
        <v>3249.8</v>
      </c>
      <c r="Q280" s="138">
        <f t="shared" si="127"/>
        <v>19498.8</v>
      </c>
    </row>
    <row r="281" spans="1:17" ht="45" x14ac:dyDescent="0.25">
      <c r="A281" s="183" t="s">
        <v>7597</v>
      </c>
      <c r="B281" s="183" t="s">
        <v>7598</v>
      </c>
      <c r="C281" s="184" t="s">
        <v>378</v>
      </c>
      <c r="D281" s="184" t="s">
        <v>1</v>
      </c>
      <c r="E281" s="185" t="s">
        <v>7504</v>
      </c>
      <c r="F281" s="185">
        <v>60</v>
      </c>
      <c r="G281" s="185">
        <v>10</v>
      </c>
      <c r="H281" s="186">
        <v>0</v>
      </c>
      <c r="I281" s="187">
        <v>30</v>
      </c>
      <c r="J281" s="188">
        <v>3789.72</v>
      </c>
      <c r="K281" s="189">
        <f t="shared" si="121"/>
        <v>113691.6</v>
      </c>
      <c r="L281" s="187"/>
      <c r="M281" s="137"/>
      <c r="N281" s="138"/>
      <c r="O281" s="136">
        <f t="shared" si="125"/>
        <v>30</v>
      </c>
      <c r="P281" s="137">
        <f t="shared" si="126"/>
        <v>3789.72</v>
      </c>
      <c r="Q281" s="138">
        <f t="shared" si="127"/>
        <v>113691.6</v>
      </c>
    </row>
    <row r="282" spans="1:17" ht="45" x14ac:dyDescent="0.25">
      <c r="A282" s="183" t="s">
        <v>7599</v>
      </c>
      <c r="B282" s="183" t="s">
        <v>7600</v>
      </c>
      <c r="C282" s="184" t="s">
        <v>378</v>
      </c>
      <c r="D282" s="184" t="s">
        <v>1</v>
      </c>
      <c r="E282" s="185" t="s">
        <v>7504</v>
      </c>
      <c r="F282" s="185">
        <v>60</v>
      </c>
      <c r="G282" s="185">
        <v>10</v>
      </c>
      <c r="H282" s="186">
        <v>0</v>
      </c>
      <c r="I282" s="187">
        <v>123</v>
      </c>
      <c r="J282" s="188">
        <v>2788.58</v>
      </c>
      <c r="K282" s="189">
        <f t="shared" si="121"/>
        <v>342995.34</v>
      </c>
      <c r="L282" s="187">
        <v>-100</v>
      </c>
      <c r="M282" s="137">
        <f>J282</f>
        <v>2788.58</v>
      </c>
      <c r="N282" s="189">
        <f t="shared" ref="N282" si="128">ROUND(L282*M282,2)</f>
        <v>-278858</v>
      </c>
      <c r="O282" s="136">
        <f t="shared" si="125"/>
        <v>23</v>
      </c>
      <c r="P282" s="137">
        <f t="shared" si="126"/>
        <v>2788.58</v>
      </c>
      <c r="Q282" s="138">
        <f t="shared" si="127"/>
        <v>64137.34</v>
      </c>
    </row>
    <row r="283" spans="1:17" x14ac:dyDescent="0.25">
      <c r="A283" s="165" t="s">
        <v>7601</v>
      </c>
      <c r="B283" s="165" t="s">
        <v>7602</v>
      </c>
      <c r="C283" s="166"/>
      <c r="D283" s="166"/>
      <c r="E283" s="167"/>
      <c r="F283" s="111"/>
      <c r="G283" s="111"/>
      <c r="H283" s="112"/>
      <c r="I283" s="168"/>
      <c r="J283" s="114" t="s">
        <v>7083</v>
      </c>
      <c r="K283" s="115"/>
      <c r="L283" s="168"/>
      <c r="M283" s="114" t="s">
        <v>7083</v>
      </c>
      <c r="N283" s="115"/>
      <c r="O283" s="168"/>
      <c r="P283" s="114" t="s">
        <v>7083</v>
      </c>
      <c r="Q283" s="115"/>
    </row>
    <row r="284" spans="1:17" x14ac:dyDescent="0.25">
      <c r="A284" s="222" t="s">
        <v>7603</v>
      </c>
      <c r="B284" s="222" t="s">
        <v>7604</v>
      </c>
      <c r="C284" s="140"/>
      <c r="D284" s="140"/>
      <c r="E284" s="141"/>
      <c r="F284" s="142"/>
      <c r="G284" s="142"/>
      <c r="H284" s="143"/>
      <c r="I284" s="144"/>
      <c r="J284" s="145" t="s">
        <v>7083</v>
      </c>
      <c r="K284" s="146"/>
      <c r="L284" s="144"/>
      <c r="M284" s="145" t="s">
        <v>7083</v>
      </c>
      <c r="N284" s="146"/>
      <c r="O284" s="144"/>
      <c r="P284" s="145" t="s">
        <v>7083</v>
      </c>
      <c r="Q284" s="146"/>
    </row>
    <row r="285" spans="1:17" ht="33.75" x14ac:dyDescent="0.25">
      <c r="A285" s="183" t="s">
        <v>7605</v>
      </c>
      <c r="B285" s="183" t="s">
        <v>7606</v>
      </c>
      <c r="C285" s="184" t="s">
        <v>266</v>
      </c>
      <c r="D285" s="184" t="s">
        <v>1</v>
      </c>
      <c r="E285" s="185" t="s">
        <v>7607</v>
      </c>
      <c r="F285" s="185">
        <v>50</v>
      </c>
      <c r="G285" s="185">
        <v>0</v>
      </c>
      <c r="H285" s="186">
        <v>0</v>
      </c>
      <c r="I285" s="187">
        <v>50</v>
      </c>
      <c r="J285" s="188">
        <v>7993.27</v>
      </c>
      <c r="K285" s="189">
        <f t="shared" si="121"/>
        <v>399663.5</v>
      </c>
      <c r="L285" s="187"/>
      <c r="M285" s="137"/>
      <c r="N285" s="138"/>
      <c r="O285" s="136">
        <f>SUM(L285,I285)</f>
        <v>50</v>
      </c>
      <c r="P285" s="137">
        <f>IF(M285&lt;&gt;"",M285,J285)</f>
        <v>7993.27</v>
      </c>
      <c r="Q285" s="138">
        <f>ROUND(O285*P285,2)</f>
        <v>399663.5</v>
      </c>
    </row>
    <row r="286" spans="1:17" x14ac:dyDescent="0.25">
      <c r="A286" s="139" t="s">
        <v>7608</v>
      </c>
      <c r="B286" s="139" t="s">
        <v>7609</v>
      </c>
      <c r="C286" s="140"/>
      <c r="D286" s="140"/>
      <c r="E286" s="141"/>
      <c r="F286" s="142"/>
      <c r="G286" s="142"/>
      <c r="H286" s="143"/>
      <c r="I286" s="144"/>
      <c r="J286" s="145" t="s">
        <v>7083</v>
      </c>
      <c r="K286" s="146"/>
      <c r="L286" s="144"/>
      <c r="M286" s="145" t="s">
        <v>7083</v>
      </c>
      <c r="N286" s="146"/>
      <c r="O286" s="144"/>
      <c r="P286" s="145" t="s">
        <v>7083</v>
      </c>
      <c r="Q286" s="146"/>
    </row>
    <row r="287" spans="1:17" x14ac:dyDescent="0.25">
      <c r="A287" s="169" t="s">
        <v>7610</v>
      </c>
      <c r="B287" s="169" t="s">
        <v>7611</v>
      </c>
      <c r="C287" s="170"/>
      <c r="D287" s="170"/>
      <c r="E287" s="171"/>
      <c r="F287" s="171"/>
      <c r="G287" s="171"/>
      <c r="H287" s="172"/>
      <c r="I287" s="173"/>
      <c r="J287" s="174" t="s">
        <v>7083</v>
      </c>
      <c r="K287" s="175"/>
      <c r="L287" s="173"/>
      <c r="M287" s="174" t="s">
        <v>7083</v>
      </c>
      <c r="N287" s="175"/>
      <c r="O287" s="173"/>
      <c r="P287" s="174" t="s">
        <v>7083</v>
      </c>
      <c r="Q287" s="175"/>
    </row>
    <row r="288" spans="1:17" x14ac:dyDescent="0.25">
      <c r="A288" s="183" t="s">
        <v>396</v>
      </c>
      <c r="B288" s="183" t="s">
        <v>7612</v>
      </c>
      <c r="C288" s="184" t="s">
        <v>266</v>
      </c>
      <c r="D288" s="184" t="s">
        <v>1</v>
      </c>
      <c r="E288" s="185" t="s">
        <v>7607</v>
      </c>
      <c r="F288" s="185">
        <v>70</v>
      </c>
      <c r="G288" s="185">
        <v>10</v>
      </c>
      <c r="H288" s="186">
        <v>0</v>
      </c>
      <c r="I288" s="187">
        <v>2</v>
      </c>
      <c r="J288" s="188">
        <v>9029.34</v>
      </c>
      <c r="K288" s="189">
        <f t="shared" si="121"/>
        <v>18058.68</v>
      </c>
      <c r="L288" s="187"/>
      <c r="M288" s="137"/>
      <c r="N288" s="138"/>
      <c r="O288" s="136">
        <f>SUM(L288,I288)</f>
        <v>2</v>
      </c>
      <c r="P288" s="137">
        <f>IF(M288&lt;&gt;"",M288,J288)</f>
        <v>9029.34</v>
      </c>
      <c r="Q288" s="138">
        <f>ROUND(O288*P288,2)</f>
        <v>18058.68</v>
      </c>
    </row>
    <row r="289" spans="1:17" x14ac:dyDescent="0.25">
      <c r="A289" s="161" t="s">
        <v>7613</v>
      </c>
      <c r="B289" s="161" t="s">
        <v>7614</v>
      </c>
      <c r="C289" s="101"/>
      <c r="D289" s="101"/>
      <c r="E289" s="102"/>
      <c r="F289" s="103"/>
      <c r="G289" s="103"/>
      <c r="H289" s="104"/>
      <c r="I289" s="162"/>
      <c r="J289" s="163" t="s">
        <v>7083</v>
      </c>
      <c r="K289" s="164"/>
      <c r="L289" s="162"/>
      <c r="M289" s="163" t="s">
        <v>7083</v>
      </c>
      <c r="N289" s="164"/>
      <c r="O289" s="162"/>
      <c r="P289" s="163" t="s">
        <v>7083</v>
      </c>
      <c r="Q289" s="164"/>
    </row>
    <row r="290" spans="1:17" x14ac:dyDescent="0.25">
      <c r="A290" s="165" t="s">
        <v>4963</v>
      </c>
      <c r="B290" s="165" t="s">
        <v>7185</v>
      </c>
      <c r="C290" s="166"/>
      <c r="D290" s="166"/>
      <c r="E290" s="167"/>
      <c r="F290" s="111"/>
      <c r="G290" s="111"/>
      <c r="H290" s="112"/>
      <c r="I290" s="168"/>
      <c r="J290" s="114" t="s">
        <v>7083</v>
      </c>
      <c r="K290" s="115"/>
      <c r="L290" s="168"/>
      <c r="M290" s="114" t="s">
        <v>7083</v>
      </c>
      <c r="N290" s="115"/>
      <c r="O290" s="168"/>
      <c r="P290" s="114" t="s">
        <v>7083</v>
      </c>
      <c r="Q290" s="115"/>
    </row>
    <row r="291" spans="1:17" x14ac:dyDescent="0.25">
      <c r="A291" s="139" t="s">
        <v>7615</v>
      </c>
      <c r="B291" s="139" t="s">
        <v>7211</v>
      </c>
      <c r="C291" s="140"/>
      <c r="D291" s="140"/>
      <c r="E291" s="141"/>
      <c r="F291" s="142"/>
      <c r="G291" s="142"/>
      <c r="H291" s="143"/>
      <c r="I291" s="144"/>
      <c r="J291" s="145" t="s">
        <v>7083</v>
      </c>
      <c r="K291" s="146"/>
      <c r="L291" s="144"/>
      <c r="M291" s="145" t="s">
        <v>7083</v>
      </c>
      <c r="N291" s="146"/>
      <c r="O291" s="144"/>
      <c r="P291" s="145" t="s">
        <v>7083</v>
      </c>
      <c r="Q291" s="146"/>
    </row>
    <row r="292" spans="1:17" x14ac:dyDescent="0.25">
      <c r="A292" s="169" t="s">
        <v>7616</v>
      </c>
      <c r="B292" s="169" t="s">
        <v>7617</v>
      </c>
      <c r="C292" s="170"/>
      <c r="D292" s="170"/>
      <c r="E292" s="171"/>
      <c r="F292" s="171"/>
      <c r="G292" s="171"/>
      <c r="H292" s="172"/>
      <c r="I292" s="173"/>
      <c r="J292" s="174" t="s">
        <v>7083</v>
      </c>
      <c r="K292" s="175"/>
      <c r="L292" s="173"/>
      <c r="M292" s="174" t="s">
        <v>7083</v>
      </c>
      <c r="N292" s="175"/>
      <c r="O292" s="173"/>
      <c r="P292" s="174" t="s">
        <v>7083</v>
      </c>
      <c r="Q292" s="175"/>
    </row>
    <row r="293" spans="1:17" x14ac:dyDescent="0.25">
      <c r="A293" s="223" t="s">
        <v>490</v>
      </c>
      <c r="B293" s="223" t="s">
        <v>7618</v>
      </c>
      <c r="C293" s="177"/>
      <c r="D293" s="177"/>
      <c r="E293" s="178"/>
      <c r="F293" s="178"/>
      <c r="G293" s="178"/>
      <c r="H293" s="179"/>
      <c r="I293" s="180"/>
      <c r="J293" s="181" t="s">
        <v>7083</v>
      </c>
      <c r="K293" s="182"/>
      <c r="L293" s="180"/>
      <c r="M293" s="181" t="s">
        <v>7083</v>
      </c>
      <c r="N293" s="182"/>
      <c r="O293" s="180"/>
      <c r="P293" s="181" t="s">
        <v>7083</v>
      </c>
      <c r="Q293" s="182"/>
    </row>
    <row r="294" spans="1:17" x14ac:dyDescent="0.25">
      <c r="A294" s="183" t="s">
        <v>7619</v>
      </c>
      <c r="B294" s="183" t="s">
        <v>7620</v>
      </c>
      <c r="C294" s="184" t="s">
        <v>266</v>
      </c>
      <c r="D294" s="184" t="s">
        <v>1</v>
      </c>
      <c r="E294" s="185" t="s">
        <v>7193</v>
      </c>
      <c r="F294" s="185">
        <v>55</v>
      </c>
      <c r="G294" s="185">
        <v>10</v>
      </c>
      <c r="H294" s="186">
        <v>0</v>
      </c>
      <c r="I294" s="187">
        <v>0.1</v>
      </c>
      <c r="J294" s="188">
        <v>56677.03</v>
      </c>
      <c r="K294" s="189">
        <f t="shared" si="121"/>
        <v>5667.7</v>
      </c>
      <c r="L294" s="187"/>
      <c r="M294" s="137"/>
      <c r="N294" s="138"/>
      <c r="O294" s="136">
        <f>SUM(L294,I294)</f>
        <v>0.1</v>
      </c>
      <c r="P294" s="137">
        <f>IF(M294&lt;&gt;"",M294,J294)</f>
        <v>56677.03</v>
      </c>
      <c r="Q294" s="138">
        <f>ROUND(O294*P294,2)</f>
        <v>5667.7</v>
      </c>
    </row>
    <row r="295" spans="1:17" x14ac:dyDescent="0.25">
      <c r="A295" s="139" t="s">
        <v>7621</v>
      </c>
      <c r="B295" s="139" t="s">
        <v>7300</v>
      </c>
      <c r="C295" s="140"/>
      <c r="D295" s="140"/>
      <c r="E295" s="141"/>
      <c r="F295" s="142"/>
      <c r="G295" s="142"/>
      <c r="H295" s="143"/>
      <c r="I295" s="144"/>
      <c r="J295" s="145" t="s">
        <v>7083</v>
      </c>
      <c r="K295" s="146"/>
      <c r="L295" s="144"/>
      <c r="M295" s="145" t="s">
        <v>7083</v>
      </c>
      <c r="N295" s="146"/>
      <c r="O295" s="144"/>
      <c r="P295" s="145" t="s">
        <v>7083</v>
      </c>
      <c r="Q295" s="146"/>
    </row>
    <row r="296" spans="1:17" x14ac:dyDescent="0.25">
      <c r="A296" s="169" t="s">
        <v>7622</v>
      </c>
      <c r="B296" s="169" t="s">
        <v>7302</v>
      </c>
      <c r="C296" s="170"/>
      <c r="D296" s="170"/>
      <c r="E296" s="171"/>
      <c r="F296" s="171"/>
      <c r="G296" s="171"/>
      <c r="H296" s="172"/>
      <c r="I296" s="173"/>
      <c r="J296" s="174" t="s">
        <v>7083</v>
      </c>
      <c r="K296" s="175"/>
      <c r="L296" s="173"/>
      <c r="M296" s="174" t="s">
        <v>7083</v>
      </c>
      <c r="N296" s="175"/>
      <c r="O296" s="173"/>
      <c r="P296" s="174" t="s">
        <v>7083</v>
      </c>
      <c r="Q296" s="175"/>
    </row>
    <row r="297" spans="1:17" x14ac:dyDescent="0.25">
      <c r="A297" s="223" t="s">
        <v>502</v>
      </c>
      <c r="B297" s="223" t="s">
        <v>7623</v>
      </c>
      <c r="C297" s="177"/>
      <c r="D297" s="177"/>
      <c r="E297" s="178"/>
      <c r="F297" s="178"/>
      <c r="G297" s="178"/>
      <c r="H297" s="179"/>
      <c r="I297" s="180"/>
      <c r="J297" s="181" t="s">
        <v>7083</v>
      </c>
      <c r="K297" s="182"/>
      <c r="L297" s="180"/>
      <c r="M297" s="181" t="s">
        <v>7083</v>
      </c>
      <c r="N297" s="182"/>
      <c r="O297" s="180"/>
      <c r="P297" s="181" t="s">
        <v>7083</v>
      </c>
      <c r="Q297" s="182"/>
    </row>
    <row r="298" spans="1:17" x14ac:dyDescent="0.25">
      <c r="A298" s="183" t="s">
        <v>7624</v>
      </c>
      <c r="B298" s="183" t="s">
        <v>7305</v>
      </c>
      <c r="C298" s="184" t="s">
        <v>266</v>
      </c>
      <c r="D298" s="184" t="s">
        <v>1</v>
      </c>
      <c r="E298" s="185" t="s">
        <v>7193</v>
      </c>
      <c r="F298" s="185">
        <v>75</v>
      </c>
      <c r="G298" s="185">
        <v>10</v>
      </c>
      <c r="H298" s="186">
        <v>0</v>
      </c>
      <c r="I298" s="187">
        <v>1.1900000000000013</v>
      </c>
      <c r="J298" s="188">
        <v>30113.29</v>
      </c>
      <c r="K298" s="189">
        <f t="shared" si="121"/>
        <v>35834.82</v>
      </c>
      <c r="L298" s="187">
        <v>-1.0899999999999999</v>
      </c>
      <c r="M298" s="137">
        <f>J298</f>
        <v>30113.29</v>
      </c>
      <c r="N298" s="189">
        <f t="shared" ref="N298" si="129">ROUND(L298*M298,2)</f>
        <v>-32823.49</v>
      </c>
      <c r="O298" s="136">
        <f>SUM(L298,I298)</f>
        <v>0.10000000000000142</v>
      </c>
      <c r="P298" s="137">
        <f>IF(M298&lt;&gt;"",M298,J298)</f>
        <v>30113.29</v>
      </c>
      <c r="Q298" s="138">
        <f>ROUND(O298*P298,2)</f>
        <v>3011.33</v>
      </c>
    </row>
    <row r="299" spans="1:17" x14ac:dyDescent="0.25">
      <c r="A299" s="223" t="s">
        <v>505</v>
      </c>
      <c r="B299" s="223" t="s">
        <v>7310</v>
      </c>
      <c r="C299" s="177"/>
      <c r="D299" s="177"/>
      <c r="E299" s="178"/>
      <c r="F299" s="178"/>
      <c r="G299" s="178"/>
      <c r="H299" s="179"/>
      <c r="I299" s="180"/>
      <c r="J299" s="181" t="s">
        <v>7083</v>
      </c>
      <c r="K299" s="182"/>
      <c r="L299" s="180"/>
      <c r="M299" s="181" t="s">
        <v>7083</v>
      </c>
      <c r="N299" s="182"/>
      <c r="O299" s="180"/>
      <c r="P299" s="181" t="s">
        <v>7083</v>
      </c>
      <c r="Q299" s="182"/>
    </row>
    <row r="300" spans="1:17" x14ac:dyDescent="0.25">
      <c r="A300" s="183" t="s">
        <v>7625</v>
      </c>
      <c r="B300" s="183" t="s">
        <v>7312</v>
      </c>
      <c r="C300" s="184" t="s">
        <v>266</v>
      </c>
      <c r="D300" s="184" t="s">
        <v>1</v>
      </c>
      <c r="E300" s="185" t="s">
        <v>7193</v>
      </c>
      <c r="F300" s="185">
        <v>55</v>
      </c>
      <c r="G300" s="185">
        <v>10</v>
      </c>
      <c r="H300" s="186">
        <v>900</v>
      </c>
      <c r="I300" s="187">
        <v>0.10000000000000009</v>
      </c>
      <c r="J300" s="188">
        <v>30346.13</v>
      </c>
      <c r="K300" s="189">
        <f t="shared" si="121"/>
        <v>3034.61</v>
      </c>
      <c r="L300" s="187"/>
      <c r="M300" s="137"/>
      <c r="N300" s="138"/>
      <c r="O300" s="136">
        <f t="shared" ref="O300:O301" si="130">SUM(L300,I300)</f>
        <v>0.10000000000000009</v>
      </c>
      <c r="P300" s="137">
        <f t="shared" ref="P300:P301" si="131">IF(M300&lt;&gt;"",M300,J300)</f>
        <v>30346.13</v>
      </c>
      <c r="Q300" s="138">
        <f t="shared" ref="Q300:Q301" si="132">ROUND(O300*P300,2)</f>
        <v>3034.61</v>
      </c>
    </row>
    <row r="301" spans="1:17" x14ac:dyDescent="0.25">
      <c r="A301" s="183" t="s">
        <v>7626</v>
      </c>
      <c r="B301" s="183" t="s">
        <v>7627</v>
      </c>
      <c r="C301" s="184" t="s">
        <v>266</v>
      </c>
      <c r="D301" s="184" t="s">
        <v>1</v>
      </c>
      <c r="E301" s="185" t="s">
        <v>7193</v>
      </c>
      <c r="F301" s="185">
        <v>55</v>
      </c>
      <c r="G301" s="185">
        <v>10</v>
      </c>
      <c r="H301" s="186">
        <v>900</v>
      </c>
      <c r="I301" s="187">
        <v>25.2</v>
      </c>
      <c r="J301" s="188">
        <v>30346.13</v>
      </c>
      <c r="K301" s="189">
        <f t="shared" si="121"/>
        <v>764722.48</v>
      </c>
      <c r="L301" s="187">
        <v>-25.1</v>
      </c>
      <c r="M301" s="137">
        <f>J301</f>
        <v>30346.13</v>
      </c>
      <c r="N301" s="189">
        <f t="shared" ref="N301" si="133">ROUND(L301*M301,2)</f>
        <v>-761687.86</v>
      </c>
      <c r="O301" s="136">
        <f t="shared" si="130"/>
        <v>9.9999999999997868E-2</v>
      </c>
      <c r="P301" s="137">
        <f t="shared" si="131"/>
        <v>30346.13</v>
      </c>
      <c r="Q301" s="138">
        <f t="shared" si="132"/>
        <v>3034.61</v>
      </c>
    </row>
    <row r="302" spans="1:17" ht="22.5" x14ac:dyDescent="0.25">
      <c r="A302" s="223" t="s">
        <v>7628</v>
      </c>
      <c r="B302" s="223" t="s">
        <v>7629</v>
      </c>
      <c r="C302" s="177"/>
      <c r="D302" s="177"/>
      <c r="E302" s="178"/>
      <c r="F302" s="178"/>
      <c r="G302" s="178"/>
      <c r="H302" s="179"/>
      <c r="I302" s="180"/>
      <c r="J302" s="181" t="s">
        <v>7083</v>
      </c>
      <c r="K302" s="182"/>
      <c r="L302" s="180"/>
      <c r="M302" s="181" t="s">
        <v>7083</v>
      </c>
      <c r="N302" s="182"/>
      <c r="O302" s="180"/>
      <c r="P302" s="181" t="s">
        <v>7083</v>
      </c>
      <c r="Q302" s="182"/>
    </row>
    <row r="303" spans="1:17" ht="22.5" x14ac:dyDescent="0.25">
      <c r="A303" s="183" t="s">
        <v>7630</v>
      </c>
      <c r="B303" s="183" t="s">
        <v>7315</v>
      </c>
      <c r="C303" s="184" t="s">
        <v>266</v>
      </c>
      <c r="D303" s="184" t="s">
        <v>1</v>
      </c>
      <c r="E303" s="185" t="s">
        <v>7193</v>
      </c>
      <c r="F303" s="185">
        <v>75</v>
      </c>
      <c r="G303" s="185">
        <v>30</v>
      </c>
      <c r="H303" s="186">
        <v>0</v>
      </c>
      <c r="I303" s="187">
        <v>0.10000000000000009</v>
      </c>
      <c r="J303" s="188">
        <v>40959</v>
      </c>
      <c r="K303" s="189">
        <f t="shared" si="121"/>
        <v>4095.9</v>
      </c>
      <c r="L303" s="187"/>
      <c r="M303" s="137"/>
      <c r="N303" s="138"/>
      <c r="O303" s="136">
        <f>SUM(L303,I303)</f>
        <v>0.10000000000000009</v>
      </c>
      <c r="P303" s="137">
        <f>IF(M303&lt;&gt;"",M303,J303)</f>
        <v>40959</v>
      </c>
      <c r="Q303" s="138">
        <f>ROUND(O303*P303,2)</f>
        <v>4095.9</v>
      </c>
    </row>
    <row r="304" spans="1:17" x14ac:dyDescent="0.25">
      <c r="A304" s="165" t="s">
        <v>4932</v>
      </c>
      <c r="B304" s="165" t="s">
        <v>7602</v>
      </c>
      <c r="C304" s="166"/>
      <c r="D304" s="166"/>
      <c r="E304" s="167"/>
      <c r="F304" s="111"/>
      <c r="G304" s="111"/>
      <c r="H304" s="112"/>
      <c r="I304" s="168"/>
      <c r="J304" s="114" t="s">
        <v>7083</v>
      </c>
      <c r="K304" s="115"/>
      <c r="L304" s="168"/>
      <c r="M304" s="114" t="s">
        <v>7083</v>
      </c>
      <c r="N304" s="115"/>
      <c r="O304" s="168"/>
      <c r="P304" s="114" t="s">
        <v>7083</v>
      </c>
      <c r="Q304" s="115"/>
    </row>
    <row r="305" spans="1:17" x14ac:dyDescent="0.25">
      <c r="A305" s="222" t="s">
        <v>7631</v>
      </c>
      <c r="B305" s="222" t="s">
        <v>7604</v>
      </c>
      <c r="C305" s="140"/>
      <c r="D305" s="140"/>
      <c r="E305" s="141"/>
      <c r="F305" s="142"/>
      <c r="G305" s="142"/>
      <c r="H305" s="143"/>
      <c r="I305" s="144"/>
      <c r="J305" s="145" t="s">
        <v>7083</v>
      </c>
      <c r="K305" s="146"/>
      <c r="L305" s="144"/>
      <c r="M305" s="145" t="s">
        <v>7083</v>
      </c>
      <c r="N305" s="146"/>
      <c r="O305" s="144"/>
      <c r="P305" s="145" t="s">
        <v>7083</v>
      </c>
      <c r="Q305" s="146"/>
    </row>
    <row r="306" spans="1:17" ht="33.75" x14ac:dyDescent="0.25">
      <c r="A306" s="183" t="s">
        <v>7632</v>
      </c>
      <c r="B306" s="183" t="s">
        <v>7606</v>
      </c>
      <c r="C306" s="184" t="s">
        <v>266</v>
      </c>
      <c r="D306" s="184" t="s">
        <v>1</v>
      </c>
      <c r="E306" s="185" t="s">
        <v>7607</v>
      </c>
      <c r="F306" s="185">
        <v>50</v>
      </c>
      <c r="G306" s="185">
        <v>0</v>
      </c>
      <c r="H306" s="186">
        <v>0</v>
      </c>
      <c r="I306" s="187">
        <v>5.5</v>
      </c>
      <c r="J306" s="188">
        <v>7993.27</v>
      </c>
      <c r="K306" s="189">
        <f t="shared" si="121"/>
        <v>43962.99</v>
      </c>
      <c r="L306" s="187"/>
      <c r="M306" s="137"/>
      <c r="N306" s="138"/>
      <c r="O306" s="136">
        <f>SUM(L306,I306)</f>
        <v>5.5</v>
      </c>
      <c r="P306" s="137">
        <f>IF(M306&lt;&gt;"",M306,J306)</f>
        <v>7993.27</v>
      </c>
      <c r="Q306" s="138">
        <f>ROUND(O306*P306,2)</f>
        <v>43962.99</v>
      </c>
    </row>
    <row r="307" spans="1:17" x14ac:dyDescent="0.25">
      <c r="A307" s="161" t="s">
        <v>7633</v>
      </c>
      <c r="B307" s="161" t="s">
        <v>7634</v>
      </c>
      <c r="C307" s="101"/>
      <c r="D307" s="101"/>
      <c r="E307" s="102"/>
      <c r="F307" s="103"/>
      <c r="G307" s="103"/>
      <c r="H307" s="104"/>
      <c r="I307" s="162"/>
      <c r="J307" s="163" t="s">
        <v>7083</v>
      </c>
      <c r="K307" s="164"/>
      <c r="L307" s="162"/>
      <c r="M307" s="163" t="s">
        <v>7083</v>
      </c>
      <c r="N307" s="164"/>
      <c r="O307" s="162"/>
      <c r="P307" s="163" t="s">
        <v>7083</v>
      </c>
      <c r="Q307" s="164"/>
    </row>
    <row r="308" spans="1:17" x14ac:dyDescent="0.25">
      <c r="A308" s="165" t="s">
        <v>7635</v>
      </c>
      <c r="B308" s="165" t="s">
        <v>7185</v>
      </c>
      <c r="C308" s="166"/>
      <c r="D308" s="166"/>
      <c r="E308" s="167"/>
      <c r="F308" s="111"/>
      <c r="G308" s="111"/>
      <c r="H308" s="112"/>
      <c r="I308" s="168"/>
      <c r="J308" s="114" t="s">
        <v>7083</v>
      </c>
      <c r="K308" s="115"/>
      <c r="L308" s="168"/>
      <c r="M308" s="114" t="s">
        <v>7083</v>
      </c>
      <c r="N308" s="115"/>
      <c r="O308" s="168"/>
      <c r="P308" s="114" t="s">
        <v>7083</v>
      </c>
      <c r="Q308" s="115"/>
    </row>
    <row r="309" spans="1:17" x14ac:dyDescent="0.25">
      <c r="A309" s="224" t="s">
        <v>7636</v>
      </c>
      <c r="B309" s="224" t="s">
        <v>7332</v>
      </c>
      <c r="C309" s="140"/>
      <c r="D309" s="140"/>
      <c r="E309" s="141"/>
      <c r="F309" s="142"/>
      <c r="G309" s="142"/>
      <c r="H309" s="143"/>
      <c r="I309" s="225"/>
      <c r="J309" s="226" t="s">
        <v>7083</v>
      </c>
      <c r="K309" s="146"/>
      <c r="L309" s="225"/>
      <c r="M309" s="226" t="s">
        <v>7083</v>
      </c>
      <c r="N309" s="146"/>
      <c r="O309" s="225"/>
      <c r="P309" s="226" t="s">
        <v>7083</v>
      </c>
      <c r="Q309" s="146"/>
    </row>
    <row r="310" spans="1:17" ht="22.5" x14ac:dyDescent="0.25">
      <c r="A310" s="227" t="s">
        <v>7637</v>
      </c>
      <c r="B310" s="227" t="s">
        <v>7638</v>
      </c>
      <c r="C310" s="170"/>
      <c r="D310" s="170"/>
      <c r="E310" s="171"/>
      <c r="F310" s="171"/>
      <c r="G310" s="171"/>
      <c r="H310" s="172"/>
      <c r="I310" s="228"/>
      <c r="J310" s="229" t="s">
        <v>7083</v>
      </c>
      <c r="K310" s="175"/>
      <c r="L310" s="228"/>
      <c r="M310" s="229" t="s">
        <v>7083</v>
      </c>
      <c r="N310" s="175"/>
      <c r="O310" s="228"/>
      <c r="P310" s="229" t="s">
        <v>7083</v>
      </c>
      <c r="Q310" s="175"/>
    </row>
    <row r="311" spans="1:17" ht="33.75" x14ac:dyDescent="0.25">
      <c r="A311" s="183" t="s">
        <v>908</v>
      </c>
      <c r="B311" s="183" t="s">
        <v>7639</v>
      </c>
      <c r="C311" s="184" t="s">
        <v>378</v>
      </c>
      <c r="D311" s="184" t="s">
        <v>1</v>
      </c>
      <c r="E311" s="185" t="s">
        <v>7193</v>
      </c>
      <c r="F311" s="185">
        <v>70</v>
      </c>
      <c r="G311" s="185">
        <v>10</v>
      </c>
      <c r="H311" s="186">
        <v>900</v>
      </c>
      <c r="I311" s="187">
        <v>5</v>
      </c>
      <c r="J311" s="188">
        <v>481.62</v>
      </c>
      <c r="K311" s="189">
        <f t="shared" si="121"/>
        <v>2408.1</v>
      </c>
      <c r="L311" s="187"/>
      <c r="M311" s="137"/>
      <c r="N311" s="138"/>
      <c r="O311" s="136">
        <f>SUM(L311,I311)</f>
        <v>5</v>
      </c>
      <c r="P311" s="137">
        <f>IF(M311&lt;&gt;"",M311,J311)</f>
        <v>481.62</v>
      </c>
      <c r="Q311" s="138">
        <f>ROUND(O311*P311,2)</f>
        <v>2408.1</v>
      </c>
    </row>
    <row r="312" spans="1:17" x14ac:dyDescent="0.25">
      <c r="A312" s="227" t="s">
        <v>7640</v>
      </c>
      <c r="B312" s="227" t="s">
        <v>7641</v>
      </c>
      <c r="C312" s="170"/>
      <c r="D312" s="170"/>
      <c r="E312" s="171"/>
      <c r="F312" s="171"/>
      <c r="G312" s="171"/>
      <c r="H312" s="172"/>
      <c r="I312" s="228"/>
      <c r="J312" s="229" t="s">
        <v>7083</v>
      </c>
      <c r="K312" s="175"/>
      <c r="L312" s="228"/>
      <c r="M312" s="229" t="s">
        <v>7083</v>
      </c>
      <c r="N312" s="175"/>
      <c r="O312" s="228"/>
      <c r="P312" s="229" t="s">
        <v>7083</v>
      </c>
      <c r="Q312" s="175"/>
    </row>
    <row r="313" spans="1:17" x14ac:dyDescent="0.25">
      <c r="A313" s="183" t="s">
        <v>7642</v>
      </c>
      <c r="B313" s="183" t="s">
        <v>7643</v>
      </c>
      <c r="C313" s="184" t="s">
        <v>88</v>
      </c>
      <c r="D313" s="184" t="s">
        <v>1</v>
      </c>
      <c r="E313" s="185" t="s">
        <v>7079</v>
      </c>
      <c r="F313" s="185">
        <v>50</v>
      </c>
      <c r="G313" s="185">
        <v>5</v>
      </c>
      <c r="H313" s="186">
        <v>911</v>
      </c>
      <c r="I313" s="187">
        <v>4</v>
      </c>
      <c r="J313" s="188">
        <v>2680.96</v>
      </c>
      <c r="K313" s="189">
        <f t="shared" si="121"/>
        <v>10723.84</v>
      </c>
      <c r="L313" s="187"/>
      <c r="M313" s="137"/>
      <c r="N313" s="138"/>
      <c r="O313" s="136">
        <f>SUM(L313,I313)</f>
        <v>4</v>
      </c>
      <c r="P313" s="137">
        <f>IF(M313&lt;&gt;"",M313,J313)</f>
        <v>2680.96</v>
      </c>
      <c r="Q313" s="138">
        <f>ROUND(O313*P313,2)</f>
        <v>10723.84</v>
      </c>
    </row>
    <row r="314" spans="1:17" x14ac:dyDescent="0.25">
      <c r="A314" s="165" t="s">
        <v>7644</v>
      </c>
      <c r="B314" s="165" t="s">
        <v>7552</v>
      </c>
      <c r="C314" s="166"/>
      <c r="D314" s="166"/>
      <c r="E314" s="167"/>
      <c r="F314" s="111"/>
      <c r="G314" s="111"/>
      <c r="H314" s="112"/>
      <c r="I314" s="168"/>
      <c r="J314" s="114" t="s">
        <v>7083</v>
      </c>
      <c r="K314" s="115"/>
      <c r="L314" s="168"/>
      <c r="M314" s="114" t="s">
        <v>7083</v>
      </c>
      <c r="N314" s="115"/>
      <c r="O314" s="168"/>
      <c r="P314" s="114" t="s">
        <v>7083</v>
      </c>
      <c r="Q314" s="115"/>
    </row>
    <row r="315" spans="1:17" x14ac:dyDescent="0.25">
      <c r="A315" s="224" t="s">
        <v>7645</v>
      </c>
      <c r="B315" s="224" t="s">
        <v>7646</v>
      </c>
      <c r="C315" s="140"/>
      <c r="D315" s="140"/>
      <c r="E315" s="141"/>
      <c r="F315" s="142"/>
      <c r="G315" s="142"/>
      <c r="H315" s="143"/>
      <c r="I315" s="225"/>
      <c r="J315" s="226" t="s">
        <v>7083</v>
      </c>
      <c r="K315" s="146"/>
      <c r="L315" s="225"/>
      <c r="M315" s="226" t="s">
        <v>7083</v>
      </c>
      <c r="N315" s="146"/>
      <c r="O315" s="225"/>
      <c r="P315" s="226" t="s">
        <v>7083</v>
      </c>
      <c r="Q315" s="146"/>
    </row>
    <row r="316" spans="1:17" x14ac:dyDescent="0.25">
      <c r="A316" s="227" t="s">
        <v>7647</v>
      </c>
      <c r="B316" s="227" t="s">
        <v>7648</v>
      </c>
      <c r="C316" s="170"/>
      <c r="D316" s="170"/>
      <c r="E316" s="171"/>
      <c r="F316" s="171"/>
      <c r="G316" s="171"/>
      <c r="H316" s="172"/>
      <c r="I316" s="228"/>
      <c r="J316" s="229" t="s">
        <v>7083</v>
      </c>
      <c r="K316" s="175"/>
      <c r="L316" s="228"/>
      <c r="M316" s="229" t="s">
        <v>7083</v>
      </c>
      <c r="N316" s="175"/>
      <c r="O316" s="228"/>
      <c r="P316" s="229" t="s">
        <v>7083</v>
      </c>
      <c r="Q316" s="175"/>
    </row>
    <row r="317" spans="1:17" x14ac:dyDescent="0.25">
      <c r="A317" s="183" t="s">
        <v>1732</v>
      </c>
      <c r="B317" s="183" t="s">
        <v>7649</v>
      </c>
      <c r="C317" s="184" t="s">
        <v>911</v>
      </c>
      <c r="D317" s="184" t="s">
        <v>1</v>
      </c>
      <c r="E317" s="185" t="s">
        <v>7504</v>
      </c>
      <c r="F317" s="185">
        <v>10</v>
      </c>
      <c r="G317" s="185">
        <v>10</v>
      </c>
      <c r="H317" s="186">
        <v>0</v>
      </c>
      <c r="I317" s="187">
        <v>3</v>
      </c>
      <c r="J317" s="188">
        <v>25898.1</v>
      </c>
      <c r="K317" s="189">
        <f t="shared" si="121"/>
        <v>77694.3</v>
      </c>
      <c r="L317" s="187"/>
      <c r="M317" s="137"/>
      <c r="N317" s="138"/>
      <c r="O317" s="136">
        <f t="shared" ref="O317:O318" si="134">SUM(L317,I317)</f>
        <v>3</v>
      </c>
      <c r="P317" s="137">
        <f t="shared" ref="P317:P318" si="135">IF(M317&lt;&gt;"",M317,J317)</f>
        <v>25898.1</v>
      </c>
      <c r="Q317" s="138">
        <f t="shared" ref="Q317:Q318" si="136">ROUND(O317*P317,2)</f>
        <v>77694.3</v>
      </c>
    </row>
    <row r="318" spans="1:17" x14ac:dyDescent="0.25">
      <c r="A318" s="183" t="s">
        <v>1735</v>
      </c>
      <c r="B318" s="183" t="s">
        <v>7650</v>
      </c>
      <c r="C318" s="184" t="s">
        <v>911</v>
      </c>
      <c r="D318" s="184" t="s">
        <v>1</v>
      </c>
      <c r="E318" s="185" t="s">
        <v>7504</v>
      </c>
      <c r="F318" s="185">
        <v>10</v>
      </c>
      <c r="G318" s="185">
        <v>10</v>
      </c>
      <c r="H318" s="186">
        <v>0</v>
      </c>
      <c r="I318" s="187">
        <v>1</v>
      </c>
      <c r="J318" s="188">
        <v>11829.97</v>
      </c>
      <c r="K318" s="189">
        <f t="shared" si="121"/>
        <v>11829.97</v>
      </c>
      <c r="L318" s="187"/>
      <c r="M318" s="137"/>
      <c r="N318" s="138"/>
      <c r="O318" s="136">
        <f t="shared" si="134"/>
        <v>1</v>
      </c>
      <c r="P318" s="137">
        <f t="shared" si="135"/>
        <v>11829.97</v>
      </c>
      <c r="Q318" s="138">
        <f t="shared" si="136"/>
        <v>11829.97</v>
      </c>
    </row>
    <row r="319" spans="1:17" x14ac:dyDescent="0.25">
      <c r="A319" s="224" t="s">
        <v>7651</v>
      </c>
      <c r="B319" s="224" t="s">
        <v>7554</v>
      </c>
      <c r="C319" s="140"/>
      <c r="D319" s="140"/>
      <c r="E319" s="141"/>
      <c r="F319" s="142"/>
      <c r="G319" s="142"/>
      <c r="H319" s="143"/>
      <c r="I319" s="225"/>
      <c r="J319" s="226" t="s">
        <v>7083</v>
      </c>
      <c r="K319" s="146"/>
      <c r="L319" s="225"/>
      <c r="M319" s="226" t="s">
        <v>7083</v>
      </c>
      <c r="N319" s="146"/>
      <c r="O319" s="225"/>
      <c r="P319" s="226" t="s">
        <v>7083</v>
      </c>
      <c r="Q319" s="146"/>
    </row>
    <row r="320" spans="1:17" x14ac:dyDescent="0.25">
      <c r="A320" s="227" t="s">
        <v>7652</v>
      </c>
      <c r="B320" s="227" t="s">
        <v>7653</v>
      </c>
      <c r="C320" s="170"/>
      <c r="D320" s="170"/>
      <c r="E320" s="171"/>
      <c r="F320" s="171"/>
      <c r="G320" s="171"/>
      <c r="H320" s="172"/>
      <c r="I320" s="228"/>
      <c r="J320" s="229" t="s">
        <v>7083</v>
      </c>
      <c r="K320" s="175"/>
      <c r="L320" s="228"/>
      <c r="M320" s="229" t="s">
        <v>7083</v>
      </c>
      <c r="N320" s="175"/>
      <c r="O320" s="228"/>
      <c r="P320" s="229" t="s">
        <v>7083</v>
      </c>
      <c r="Q320" s="175"/>
    </row>
    <row r="321" spans="1:17" x14ac:dyDescent="0.25">
      <c r="A321" s="183" t="s">
        <v>1745</v>
      </c>
      <c r="B321" s="183" t="s">
        <v>7654</v>
      </c>
      <c r="C321" s="184" t="s">
        <v>911</v>
      </c>
      <c r="D321" s="184" t="s">
        <v>1</v>
      </c>
      <c r="E321" s="185" t="s">
        <v>7504</v>
      </c>
      <c r="F321" s="185">
        <v>20</v>
      </c>
      <c r="G321" s="185">
        <v>20</v>
      </c>
      <c r="H321" s="186">
        <v>0</v>
      </c>
      <c r="I321" s="187">
        <v>1</v>
      </c>
      <c r="J321" s="188">
        <v>4334.09</v>
      </c>
      <c r="K321" s="189">
        <f t="shared" si="121"/>
        <v>4334.09</v>
      </c>
      <c r="L321" s="187"/>
      <c r="M321" s="137"/>
      <c r="N321" s="138"/>
      <c r="O321" s="136">
        <f>SUM(L321,I321)</f>
        <v>1</v>
      </c>
      <c r="P321" s="137">
        <f>IF(M321&lt;&gt;"",M321,J321)</f>
        <v>4334.09</v>
      </c>
      <c r="Q321" s="138">
        <f>ROUND(O321*P321,2)</f>
        <v>4334.09</v>
      </c>
    </row>
    <row r="322" spans="1:17" x14ac:dyDescent="0.25">
      <c r="A322" s="165" t="s">
        <v>7655</v>
      </c>
      <c r="B322" s="165" t="s">
        <v>7602</v>
      </c>
      <c r="C322" s="166"/>
      <c r="D322" s="166"/>
      <c r="E322" s="167"/>
      <c r="F322" s="111"/>
      <c r="G322" s="111"/>
      <c r="H322" s="112"/>
      <c r="I322" s="168"/>
      <c r="J322" s="114" t="s">
        <v>7083</v>
      </c>
      <c r="K322" s="115"/>
      <c r="L322" s="168"/>
      <c r="M322" s="114" t="s">
        <v>7083</v>
      </c>
      <c r="N322" s="115"/>
      <c r="O322" s="168"/>
      <c r="P322" s="114" t="s">
        <v>7083</v>
      </c>
      <c r="Q322" s="115"/>
    </row>
    <row r="323" spans="1:17" x14ac:dyDescent="0.25">
      <c r="A323" s="224" t="s">
        <v>7656</v>
      </c>
      <c r="B323" s="224" t="s">
        <v>7657</v>
      </c>
      <c r="C323" s="140"/>
      <c r="D323" s="140"/>
      <c r="E323" s="141"/>
      <c r="F323" s="142"/>
      <c r="G323" s="142"/>
      <c r="H323" s="143"/>
      <c r="I323" s="225"/>
      <c r="J323" s="226" t="s">
        <v>7083</v>
      </c>
      <c r="K323" s="146"/>
      <c r="L323" s="225"/>
      <c r="M323" s="226" t="s">
        <v>7083</v>
      </c>
      <c r="N323" s="146"/>
      <c r="O323" s="225"/>
      <c r="P323" s="226" t="s">
        <v>7083</v>
      </c>
      <c r="Q323" s="146"/>
    </row>
    <row r="324" spans="1:17" x14ac:dyDescent="0.25">
      <c r="A324" s="183" t="s">
        <v>7658</v>
      </c>
      <c r="B324" s="183" t="s">
        <v>7659</v>
      </c>
      <c r="C324" s="184" t="s">
        <v>911</v>
      </c>
      <c r="D324" s="184" t="s">
        <v>1</v>
      </c>
      <c r="E324" s="185" t="s">
        <v>7607</v>
      </c>
      <c r="F324" s="185">
        <v>10</v>
      </c>
      <c r="G324" s="185">
        <v>20</v>
      </c>
      <c r="H324" s="186">
        <v>0</v>
      </c>
      <c r="I324" s="187">
        <v>3</v>
      </c>
      <c r="J324" s="188">
        <v>11510.3</v>
      </c>
      <c r="K324" s="189">
        <f t="shared" si="121"/>
        <v>34530.9</v>
      </c>
      <c r="L324" s="187"/>
      <c r="M324" s="137"/>
      <c r="N324" s="138"/>
      <c r="O324" s="136">
        <f t="shared" ref="O324:O326" si="137">SUM(L324,I324)</f>
        <v>3</v>
      </c>
      <c r="P324" s="137">
        <f t="shared" ref="P324:P326" si="138">IF(M324&lt;&gt;"",M324,J324)</f>
        <v>11510.3</v>
      </c>
      <c r="Q324" s="138">
        <f t="shared" ref="Q324:Q326" si="139">ROUND(O324*P324,2)</f>
        <v>34530.9</v>
      </c>
    </row>
    <row r="325" spans="1:17" x14ac:dyDescent="0.25">
      <c r="A325" s="183" t="s">
        <v>7660</v>
      </c>
      <c r="B325" s="183" t="s">
        <v>7661</v>
      </c>
      <c r="C325" s="184" t="s">
        <v>911</v>
      </c>
      <c r="D325" s="184" t="s">
        <v>1</v>
      </c>
      <c r="E325" s="185" t="s">
        <v>7607</v>
      </c>
      <c r="F325" s="185">
        <v>20</v>
      </c>
      <c r="G325" s="185">
        <v>9</v>
      </c>
      <c r="H325" s="186">
        <v>0</v>
      </c>
      <c r="I325" s="187">
        <v>1</v>
      </c>
      <c r="J325" s="188">
        <v>2167.04</v>
      </c>
      <c r="K325" s="189">
        <f t="shared" si="121"/>
        <v>2167.04</v>
      </c>
      <c r="L325" s="187"/>
      <c r="M325" s="137"/>
      <c r="N325" s="138"/>
      <c r="O325" s="136">
        <f t="shared" si="137"/>
        <v>1</v>
      </c>
      <c r="P325" s="137">
        <f t="shared" si="138"/>
        <v>2167.04</v>
      </c>
      <c r="Q325" s="138">
        <f t="shared" si="139"/>
        <v>2167.04</v>
      </c>
    </row>
    <row r="326" spans="1:17" x14ac:dyDescent="0.25">
      <c r="A326" s="183" t="s">
        <v>7662</v>
      </c>
      <c r="B326" s="183" t="s">
        <v>7663</v>
      </c>
      <c r="C326" s="184" t="s">
        <v>911</v>
      </c>
      <c r="D326" s="184" t="s">
        <v>1</v>
      </c>
      <c r="E326" s="185" t="s">
        <v>7607</v>
      </c>
      <c r="F326" s="185">
        <v>10</v>
      </c>
      <c r="G326" s="185">
        <v>20</v>
      </c>
      <c r="H326" s="186">
        <v>0</v>
      </c>
      <c r="I326" s="187">
        <v>1</v>
      </c>
      <c r="J326" s="188">
        <v>7105.09</v>
      </c>
      <c r="K326" s="189">
        <f t="shared" si="121"/>
        <v>7105.09</v>
      </c>
      <c r="L326" s="187"/>
      <c r="M326" s="137"/>
      <c r="N326" s="138"/>
      <c r="O326" s="136">
        <f t="shared" si="137"/>
        <v>1</v>
      </c>
      <c r="P326" s="137">
        <f t="shared" si="138"/>
        <v>7105.09</v>
      </c>
      <c r="Q326" s="138">
        <f t="shared" si="139"/>
        <v>7105.09</v>
      </c>
    </row>
    <row r="327" spans="1:17" x14ac:dyDescent="0.25">
      <c r="A327" s="161" t="s">
        <v>7664</v>
      </c>
      <c r="B327" s="161" t="s">
        <v>7665</v>
      </c>
      <c r="C327" s="101"/>
      <c r="D327" s="101"/>
      <c r="E327" s="102"/>
      <c r="F327" s="103"/>
      <c r="G327" s="103"/>
      <c r="H327" s="104"/>
      <c r="I327" s="162"/>
      <c r="J327" s="163" t="s">
        <v>7083</v>
      </c>
      <c r="K327" s="164"/>
      <c r="L327" s="162"/>
      <c r="M327" s="163" t="s">
        <v>7083</v>
      </c>
      <c r="N327" s="164"/>
      <c r="O327" s="162"/>
      <c r="P327" s="163" t="s">
        <v>7083</v>
      </c>
      <c r="Q327" s="164"/>
    </row>
    <row r="328" spans="1:17" x14ac:dyDescent="0.25">
      <c r="A328" s="139" t="s">
        <v>7666</v>
      </c>
      <c r="B328" s="139" t="s">
        <v>7667</v>
      </c>
      <c r="C328" s="140"/>
      <c r="D328" s="140"/>
      <c r="E328" s="141"/>
      <c r="F328" s="142"/>
      <c r="G328" s="142"/>
      <c r="H328" s="143"/>
      <c r="I328" s="144"/>
      <c r="J328" s="145" t="s">
        <v>7083</v>
      </c>
      <c r="K328" s="146"/>
      <c r="L328" s="144"/>
      <c r="M328" s="145" t="s">
        <v>7083</v>
      </c>
      <c r="N328" s="146"/>
      <c r="O328" s="144"/>
      <c r="P328" s="145" t="s">
        <v>7083</v>
      </c>
      <c r="Q328" s="146"/>
    </row>
    <row r="329" spans="1:17" x14ac:dyDescent="0.25">
      <c r="A329" s="183" t="s">
        <v>7668</v>
      </c>
      <c r="B329" s="183" t="s">
        <v>7669</v>
      </c>
      <c r="C329" s="184" t="s">
        <v>524</v>
      </c>
      <c r="D329" s="184" t="s">
        <v>1</v>
      </c>
      <c r="E329" s="185" t="s">
        <v>7670</v>
      </c>
      <c r="F329" s="185">
        <v>50</v>
      </c>
      <c r="G329" s="185">
        <v>50</v>
      </c>
      <c r="H329" s="186">
        <v>0</v>
      </c>
      <c r="I329" s="187">
        <v>2000</v>
      </c>
      <c r="J329" s="188">
        <v>58.58</v>
      </c>
      <c r="K329" s="189">
        <f t="shared" ref="K329:K331" si="140">ROUND(I329*J329,2)</f>
        <v>117160</v>
      </c>
      <c r="L329" s="187"/>
      <c r="M329" s="137"/>
      <c r="N329" s="138"/>
      <c r="O329" s="136">
        <f t="shared" ref="O329:O331" si="141">SUM(L329,I329)</f>
        <v>2000</v>
      </c>
      <c r="P329" s="137">
        <f t="shared" ref="P329:P331" si="142">IF(M329&lt;&gt;"",M329,J329)</f>
        <v>58.58</v>
      </c>
      <c r="Q329" s="138">
        <f t="shared" ref="Q329:Q331" si="143">ROUND(O329*P329,2)</f>
        <v>117160</v>
      </c>
    </row>
    <row r="330" spans="1:17" x14ac:dyDescent="0.25">
      <c r="A330" s="230" t="s">
        <v>7671</v>
      </c>
      <c r="B330" s="230" t="s">
        <v>7672</v>
      </c>
      <c r="C330" s="231" t="s">
        <v>524</v>
      </c>
      <c r="D330" s="231" t="s">
        <v>1</v>
      </c>
      <c r="E330" s="232" t="s">
        <v>7670</v>
      </c>
      <c r="F330" s="232">
        <v>50</v>
      </c>
      <c r="G330" s="232">
        <v>50</v>
      </c>
      <c r="H330" s="186">
        <v>0</v>
      </c>
      <c r="I330" s="187">
        <v>1000</v>
      </c>
      <c r="J330" s="233">
        <v>46.6</v>
      </c>
      <c r="K330" s="234">
        <f t="shared" si="140"/>
        <v>46600</v>
      </c>
      <c r="L330" s="187"/>
      <c r="M330" s="137"/>
      <c r="N330" s="138"/>
      <c r="O330" s="136">
        <f t="shared" si="141"/>
        <v>1000</v>
      </c>
      <c r="P330" s="137">
        <f t="shared" si="142"/>
        <v>46.6</v>
      </c>
      <c r="Q330" s="138">
        <f t="shared" si="143"/>
        <v>46600</v>
      </c>
    </row>
    <row r="331" spans="1:17" x14ac:dyDescent="0.25">
      <c r="A331" s="230" t="s">
        <v>7673</v>
      </c>
      <c r="B331" s="230" t="s">
        <v>7674</v>
      </c>
      <c r="C331" s="231" t="s">
        <v>524</v>
      </c>
      <c r="D331" s="231" t="s">
        <v>1</v>
      </c>
      <c r="E331" s="232" t="s">
        <v>7675</v>
      </c>
      <c r="F331" s="232">
        <v>5</v>
      </c>
      <c r="G331" s="232">
        <v>5</v>
      </c>
      <c r="H331" s="186">
        <v>10</v>
      </c>
      <c r="I331" s="235">
        <v>200</v>
      </c>
      <c r="J331" s="233">
        <v>274.31</v>
      </c>
      <c r="K331" s="234">
        <f t="shared" si="140"/>
        <v>54862</v>
      </c>
      <c r="L331" s="235"/>
      <c r="M331" s="137"/>
      <c r="N331" s="138"/>
      <c r="O331" s="136">
        <f t="shared" si="141"/>
        <v>200</v>
      </c>
      <c r="P331" s="137">
        <f t="shared" si="142"/>
        <v>274.31</v>
      </c>
      <c r="Q331" s="138">
        <f t="shared" si="143"/>
        <v>54862</v>
      </c>
    </row>
    <row r="332" spans="1:17" x14ac:dyDescent="0.25">
      <c r="A332" s="139" t="s">
        <v>7676</v>
      </c>
      <c r="B332" s="139" t="s">
        <v>7677</v>
      </c>
      <c r="C332" s="140"/>
      <c r="D332" s="140"/>
      <c r="E332" s="141"/>
      <c r="F332" s="142"/>
      <c r="G332" s="142"/>
      <c r="H332" s="143"/>
      <c r="I332" s="144"/>
      <c r="J332" s="145" t="s">
        <v>7083</v>
      </c>
      <c r="K332" s="146"/>
      <c r="L332" s="144"/>
      <c r="M332" s="145" t="s">
        <v>7083</v>
      </c>
      <c r="N332" s="146"/>
      <c r="O332" s="144"/>
      <c r="P332" s="145" t="s">
        <v>7083</v>
      </c>
      <c r="Q332" s="146"/>
    </row>
    <row r="333" spans="1:17" x14ac:dyDescent="0.25">
      <c r="A333" s="183" t="s">
        <v>7678</v>
      </c>
      <c r="B333" s="183" t="s">
        <v>7679</v>
      </c>
      <c r="C333" s="184" t="s">
        <v>524</v>
      </c>
      <c r="D333" s="184" t="s">
        <v>1</v>
      </c>
      <c r="E333" s="185" t="s">
        <v>7670</v>
      </c>
      <c r="F333" s="185">
        <v>50</v>
      </c>
      <c r="G333" s="185">
        <v>50</v>
      </c>
      <c r="H333" s="186">
        <v>0</v>
      </c>
      <c r="I333" s="187">
        <v>6000</v>
      </c>
      <c r="J333" s="188">
        <v>58.58</v>
      </c>
      <c r="K333" s="189">
        <f t="shared" ref="K333:K334" si="144">ROUND(I333*J333,2)</f>
        <v>351480</v>
      </c>
      <c r="L333" s="187"/>
      <c r="M333" s="137"/>
      <c r="N333" s="138"/>
      <c r="O333" s="136">
        <f t="shared" ref="O333:O334" si="145">SUM(L333,I333)</f>
        <v>6000</v>
      </c>
      <c r="P333" s="137">
        <f t="shared" ref="P333:P334" si="146">IF(M333&lt;&gt;"",M333,J333)</f>
        <v>58.58</v>
      </c>
      <c r="Q333" s="138">
        <f t="shared" ref="Q333:Q334" si="147">ROUND(O333*P333,2)</f>
        <v>351480</v>
      </c>
    </row>
    <row r="334" spans="1:17" x14ac:dyDescent="0.25">
      <c r="A334" s="230" t="s">
        <v>7680</v>
      </c>
      <c r="B334" s="230" t="s">
        <v>7681</v>
      </c>
      <c r="C334" s="231" t="s">
        <v>524</v>
      </c>
      <c r="D334" s="231" t="s">
        <v>1</v>
      </c>
      <c r="E334" s="232" t="s">
        <v>7670</v>
      </c>
      <c r="F334" s="232">
        <v>50</v>
      </c>
      <c r="G334" s="232">
        <v>50</v>
      </c>
      <c r="H334" s="186">
        <v>0</v>
      </c>
      <c r="I334" s="187">
        <v>-500</v>
      </c>
      <c r="J334" s="233">
        <v>46.6</v>
      </c>
      <c r="K334" s="234">
        <f t="shared" si="144"/>
        <v>-23300</v>
      </c>
      <c r="L334" s="187">
        <v>3000</v>
      </c>
      <c r="M334" s="137">
        <f>J334</f>
        <v>46.6</v>
      </c>
      <c r="N334" s="189">
        <f t="shared" ref="N334" si="148">ROUND(L334*M334,2)</f>
        <v>139800</v>
      </c>
      <c r="O334" s="136">
        <f t="shared" si="145"/>
        <v>2500</v>
      </c>
      <c r="P334" s="137">
        <f t="shared" si="146"/>
        <v>46.6</v>
      </c>
      <c r="Q334" s="138">
        <f t="shared" si="147"/>
        <v>116500</v>
      </c>
    </row>
    <row r="335" spans="1:17" x14ac:dyDescent="0.25">
      <c r="A335" s="161">
        <v>6</v>
      </c>
      <c r="B335" s="161" t="s">
        <v>7682</v>
      </c>
      <c r="C335" s="101"/>
      <c r="D335" s="101"/>
      <c r="E335" s="102"/>
      <c r="F335" s="103"/>
      <c r="G335" s="103"/>
      <c r="H335" s="104"/>
      <c r="I335" s="162"/>
      <c r="J335" s="163" t="s">
        <v>7083</v>
      </c>
      <c r="K335" s="164"/>
      <c r="L335" s="162"/>
      <c r="M335" s="163" t="s">
        <v>7083</v>
      </c>
      <c r="N335" s="164"/>
      <c r="O335" s="162"/>
      <c r="P335" s="163" t="s">
        <v>7083</v>
      </c>
      <c r="Q335" s="164"/>
    </row>
    <row r="336" spans="1:17" x14ac:dyDescent="0.25">
      <c r="A336" s="236" t="s">
        <v>7683</v>
      </c>
      <c r="B336" s="237" t="s">
        <v>7082</v>
      </c>
      <c r="C336" s="238"/>
      <c r="D336" s="239"/>
      <c r="E336" s="240"/>
      <c r="F336" s="241"/>
      <c r="G336" s="241"/>
      <c r="H336" s="242"/>
      <c r="I336" s="243"/>
      <c r="J336" s="243"/>
      <c r="K336" s="243"/>
      <c r="L336" s="243"/>
      <c r="M336" s="243"/>
      <c r="N336" s="243"/>
      <c r="O336" s="243"/>
      <c r="P336" s="243"/>
      <c r="Q336" s="243"/>
    </row>
    <row r="337" spans="1:17" x14ac:dyDescent="0.25">
      <c r="A337" s="244" t="s">
        <v>7684</v>
      </c>
      <c r="B337" s="245" t="s">
        <v>7085</v>
      </c>
      <c r="C337" s="246"/>
      <c r="D337" s="247"/>
      <c r="E337" s="248"/>
      <c r="F337" s="249"/>
      <c r="G337" s="249"/>
      <c r="H337" s="250"/>
      <c r="I337" s="251"/>
      <c r="J337" s="251"/>
      <c r="K337" s="251"/>
      <c r="L337" s="251"/>
      <c r="M337" s="251"/>
      <c r="N337" s="251"/>
      <c r="O337" s="251"/>
      <c r="P337" s="251"/>
      <c r="Q337" s="251"/>
    </row>
    <row r="338" spans="1:17" x14ac:dyDescent="0.25">
      <c r="A338" s="252" t="s">
        <v>7685</v>
      </c>
      <c r="B338" s="253" t="s">
        <v>7686</v>
      </c>
      <c r="C338" s="254" t="s">
        <v>48</v>
      </c>
      <c r="D338" s="255" t="s">
        <v>1</v>
      </c>
      <c r="E338" s="256" t="s">
        <v>7079</v>
      </c>
      <c r="F338" s="256">
        <v>50</v>
      </c>
      <c r="G338" s="256">
        <v>50</v>
      </c>
      <c r="H338" s="257">
        <v>51</v>
      </c>
      <c r="I338" s="258">
        <v>1</v>
      </c>
      <c r="J338" s="188">
        <v>1280307.26</v>
      </c>
      <c r="K338" s="234">
        <f t="shared" ref="K338" si="149">ROUND(I338*J338,2)</f>
        <v>1280307.26</v>
      </c>
      <c r="L338" s="187"/>
      <c r="M338" s="137"/>
      <c r="N338" s="138"/>
      <c r="O338" s="136">
        <f>SUM(L338,I338)</f>
        <v>1</v>
      </c>
      <c r="P338" s="137">
        <f>IF(M338&lt;&gt;"",M338,J338)</f>
        <v>1280307.26</v>
      </c>
      <c r="Q338" s="138">
        <f>ROUND(O338*P338,2)</f>
        <v>1280307.26</v>
      </c>
    </row>
    <row r="339" spans="1:17" x14ac:dyDescent="0.25">
      <c r="A339" s="244" t="s">
        <v>7687</v>
      </c>
      <c r="B339" s="245" t="s">
        <v>7089</v>
      </c>
      <c r="C339" s="246"/>
      <c r="D339" s="247"/>
      <c r="E339" s="248"/>
      <c r="F339" s="249"/>
      <c r="G339" s="249"/>
      <c r="H339" s="250"/>
      <c r="I339" s="251"/>
      <c r="J339" s="251"/>
      <c r="K339" s="251"/>
      <c r="L339" s="251"/>
      <c r="M339" s="251"/>
      <c r="N339" s="251"/>
      <c r="O339" s="251"/>
      <c r="P339" s="251"/>
      <c r="Q339" s="251"/>
    </row>
    <row r="340" spans="1:17" x14ac:dyDescent="0.25">
      <c r="A340" s="252" t="s">
        <v>7688</v>
      </c>
      <c r="B340" s="253" t="s">
        <v>7689</v>
      </c>
      <c r="C340" s="254" t="s">
        <v>48</v>
      </c>
      <c r="D340" s="255" t="s">
        <v>1</v>
      </c>
      <c r="E340" s="256" t="s">
        <v>7079</v>
      </c>
      <c r="F340" s="256">
        <v>5</v>
      </c>
      <c r="G340" s="256">
        <v>5</v>
      </c>
      <c r="H340" s="257">
        <v>100</v>
      </c>
      <c r="I340" s="258">
        <v>1</v>
      </c>
      <c r="J340" s="188">
        <v>212893.4</v>
      </c>
      <c r="K340" s="234">
        <f t="shared" ref="K340:K343" si="150">ROUND(I340*J340,2)</f>
        <v>212893.4</v>
      </c>
      <c r="L340" s="187"/>
      <c r="M340" s="137"/>
      <c r="N340" s="138"/>
      <c r="O340" s="136">
        <f t="shared" ref="O340:O343" si="151">SUM(L340,I340)</f>
        <v>1</v>
      </c>
      <c r="P340" s="137">
        <f t="shared" ref="P340:P343" si="152">IF(M340&lt;&gt;"",M340,J340)</f>
        <v>212893.4</v>
      </c>
      <c r="Q340" s="138">
        <f t="shared" ref="Q340:Q343" si="153">ROUND(O340*P340,2)</f>
        <v>212893.4</v>
      </c>
    </row>
    <row r="341" spans="1:17" x14ac:dyDescent="0.25">
      <c r="A341" s="252" t="s">
        <v>7690</v>
      </c>
      <c r="B341" s="253" t="s">
        <v>7691</v>
      </c>
      <c r="C341" s="254" t="s">
        <v>48</v>
      </c>
      <c r="D341" s="255" t="s">
        <v>1</v>
      </c>
      <c r="E341" s="256" t="s">
        <v>7079</v>
      </c>
      <c r="F341" s="256">
        <v>5</v>
      </c>
      <c r="G341" s="256">
        <v>5</v>
      </c>
      <c r="H341" s="257">
        <v>100</v>
      </c>
      <c r="I341" s="258">
        <v>1</v>
      </c>
      <c r="J341" s="188">
        <v>172556.54</v>
      </c>
      <c r="K341" s="234">
        <f t="shared" si="150"/>
        <v>172556.54</v>
      </c>
      <c r="L341" s="187"/>
      <c r="M341" s="137"/>
      <c r="N341" s="138"/>
      <c r="O341" s="136">
        <f t="shared" si="151"/>
        <v>1</v>
      </c>
      <c r="P341" s="137">
        <f t="shared" si="152"/>
        <v>172556.54</v>
      </c>
      <c r="Q341" s="138">
        <f t="shared" si="153"/>
        <v>172556.54</v>
      </c>
    </row>
    <row r="342" spans="1:17" x14ac:dyDescent="0.25">
      <c r="A342" s="252" t="s">
        <v>7692</v>
      </c>
      <c r="B342" s="253" t="s">
        <v>7693</v>
      </c>
      <c r="C342" s="254" t="s">
        <v>48</v>
      </c>
      <c r="D342" s="255" t="s">
        <v>1</v>
      </c>
      <c r="E342" s="256" t="s">
        <v>7079</v>
      </c>
      <c r="F342" s="256">
        <v>5</v>
      </c>
      <c r="G342" s="256">
        <v>5</v>
      </c>
      <c r="H342" s="257">
        <v>200</v>
      </c>
      <c r="I342" s="258">
        <v>1</v>
      </c>
      <c r="J342" s="188">
        <v>31166.98</v>
      </c>
      <c r="K342" s="234">
        <f t="shared" si="150"/>
        <v>31166.98</v>
      </c>
      <c r="L342" s="187"/>
      <c r="M342" s="137"/>
      <c r="N342" s="138"/>
      <c r="O342" s="136">
        <f t="shared" si="151"/>
        <v>1</v>
      </c>
      <c r="P342" s="137">
        <f t="shared" si="152"/>
        <v>31166.98</v>
      </c>
      <c r="Q342" s="138">
        <f t="shared" si="153"/>
        <v>31166.98</v>
      </c>
    </row>
    <row r="343" spans="1:17" x14ac:dyDescent="0.25">
      <c r="A343" s="252" t="s">
        <v>7694</v>
      </c>
      <c r="B343" s="253" t="s">
        <v>7695</v>
      </c>
      <c r="C343" s="254" t="s">
        <v>48</v>
      </c>
      <c r="D343" s="255" t="s">
        <v>1</v>
      </c>
      <c r="E343" s="256" t="s">
        <v>7079</v>
      </c>
      <c r="F343" s="256">
        <v>5</v>
      </c>
      <c r="G343" s="256">
        <v>5</v>
      </c>
      <c r="H343" s="257">
        <v>200</v>
      </c>
      <c r="I343" s="258">
        <v>1</v>
      </c>
      <c r="J343" s="188">
        <v>15122.75</v>
      </c>
      <c r="K343" s="234">
        <f t="shared" si="150"/>
        <v>15122.75</v>
      </c>
      <c r="L343" s="187"/>
      <c r="M343" s="137"/>
      <c r="N343" s="138"/>
      <c r="O343" s="136">
        <f t="shared" si="151"/>
        <v>1</v>
      </c>
      <c r="P343" s="137">
        <f t="shared" si="152"/>
        <v>15122.75</v>
      </c>
      <c r="Q343" s="138">
        <f t="shared" si="153"/>
        <v>15122.75</v>
      </c>
    </row>
    <row r="344" spans="1:17" x14ac:dyDescent="0.25">
      <c r="A344" s="236" t="s">
        <v>7696</v>
      </c>
      <c r="B344" s="237" t="s">
        <v>7108</v>
      </c>
      <c r="C344" s="238"/>
      <c r="D344" s="239"/>
      <c r="E344" s="240"/>
      <c r="F344" s="241"/>
      <c r="G344" s="241"/>
      <c r="H344" s="242"/>
      <c r="I344" s="259"/>
      <c r="J344" s="243"/>
      <c r="K344" s="243"/>
      <c r="L344" s="259"/>
      <c r="M344" s="243"/>
      <c r="N344" s="243"/>
      <c r="O344" s="259"/>
      <c r="P344" s="243"/>
      <c r="Q344" s="243"/>
    </row>
    <row r="345" spans="1:17" x14ac:dyDescent="0.25">
      <c r="A345" s="260" t="s">
        <v>7697</v>
      </c>
      <c r="B345" s="261" t="s">
        <v>7698</v>
      </c>
      <c r="C345" s="262"/>
      <c r="D345" s="263"/>
      <c r="E345" s="264"/>
      <c r="F345" s="264"/>
      <c r="G345" s="264"/>
      <c r="H345" s="265"/>
      <c r="I345" s="266"/>
      <c r="J345" s="267"/>
      <c r="K345" s="267"/>
      <c r="L345" s="266"/>
      <c r="M345" s="267"/>
      <c r="N345" s="267"/>
      <c r="O345" s="266"/>
      <c r="P345" s="267"/>
      <c r="Q345" s="267"/>
    </row>
    <row r="346" spans="1:17" x14ac:dyDescent="0.25">
      <c r="A346" s="252" t="s">
        <v>7699</v>
      </c>
      <c r="B346" s="253" t="s">
        <v>7700</v>
      </c>
      <c r="C346" s="254" t="s">
        <v>75</v>
      </c>
      <c r="D346" s="255" t="s">
        <v>1</v>
      </c>
      <c r="E346" s="256" t="s">
        <v>7079</v>
      </c>
      <c r="F346" s="256">
        <v>25</v>
      </c>
      <c r="G346" s="256">
        <v>5</v>
      </c>
      <c r="H346" s="186">
        <v>5</v>
      </c>
      <c r="I346" s="268">
        <v>1.6</v>
      </c>
      <c r="J346" s="188">
        <v>163.22999999999999</v>
      </c>
      <c r="K346" s="234">
        <f t="shared" ref="K346:K347" si="154">ROUND(I346*J346,2)</f>
        <v>261.17</v>
      </c>
      <c r="L346" s="269"/>
      <c r="M346" s="137"/>
      <c r="N346" s="138"/>
      <c r="O346" s="136">
        <f t="shared" ref="O346:O347" si="155">SUM(L346,I346)</f>
        <v>1.6</v>
      </c>
      <c r="P346" s="137">
        <f t="shared" ref="P346:P347" si="156">IF(M346&lt;&gt;"",M346,J346)</f>
        <v>163.22999999999999</v>
      </c>
      <c r="Q346" s="138">
        <f t="shared" ref="Q346:Q347" si="157">ROUND(O346*P346,2)</f>
        <v>261.17</v>
      </c>
    </row>
    <row r="347" spans="1:17" x14ac:dyDescent="0.25">
      <c r="A347" s="252" t="s">
        <v>7701</v>
      </c>
      <c r="B347" s="253" t="s">
        <v>7702</v>
      </c>
      <c r="C347" s="254" t="s">
        <v>75</v>
      </c>
      <c r="D347" s="255" t="s">
        <v>1</v>
      </c>
      <c r="E347" s="256" t="s">
        <v>7079</v>
      </c>
      <c r="F347" s="256">
        <v>25</v>
      </c>
      <c r="G347" s="256">
        <v>5</v>
      </c>
      <c r="H347" s="186">
        <v>5</v>
      </c>
      <c r="I347" s="268">
        <v>14.4</v>
      </c>
      <c r="J347" s="188">
        <v>49.8</v>
      </c>
      <c r="K347" s="234">
        <f t="shared" si="154"/>
        <v>717.12</v>
      </c>
      <c r="L347" s="269"/>
      <c r="M347" s="137"/>
      <c r="N347" s="138"/>
      <c r="O347" s="136">
        <f t="shared" si="155"/>
        <v>14.4</v>
      </c>
      <c r="P347" s="137">
        <f t="shared" si="156"/>
        <v>49.8</v>
      </c>
      <c r="Q347" s="138">
        <f t="shared" si="157"/>
        <v>717.12</v>
      </c>
    </row>
    <row r="348" spans="1:17" x14ac:dyDescent="0.25">
      <c r="A348" s="260" t="s">
        <v>7703</v>
      </c>
      <c r="B348" s="261" t="s">
        <v>7704</v>
      </c>
      <c r="C348" s="262"/>
      <c r="D348" s="263"/>
      <c r="E348" s="264"/>
      <c r="F348" s="264"/>
      <c r="G348" s="264"/>
      <c r="H348" s="265"/>
      <c r="I348" s="266"/>
      <c r="J348" s="267"/>
      <c r="K348" s="267"/>
      <c r="L348" s="266"/>
      <c r="M348" s="267"/>
      <c r="N348" s="267"/>
      <c r="O348" s="266"/>
      <c r="P348" s="267"/>
      <c r="Q348" s="267"/>
    </row>
    <row r="349" spans="1:17" x14ac:dyDescent="0.25">
      <c r="A349" s="252" t="s">
        <v>7705</v>
      </c>
      <c r="B349" s="253" t="s">
        <v>87</v>
      </c>
      <c r="C349" s="254" t="s">
        <v>88</v>
      </c>
      <c r="D349" s="255" t="s">
        <v>1</v>
      </c>
      <c r="E349" s="256" t="s">
        <v>7079</v>
      </c>
      <c r="F349" s="256">
        <v>25</v>
      </c>
      <c r="G349" s="256" t="s">
        <v>7706</v>
      </c>
      <c r="H349" s="186">
        <v>0</v>
      </c>
      <c r="I349" s="268">
        <v>13.08</v>
      </c>
      <c r="J349" s="188">
        <v>33.42</v>
      </c>
      <c r="K349" s="234">
        <f t="shared" ref="K349:K350" si="158">ROUND(I349*J349,2)</f>
        <v>437.13</v>
      </c>
      <c r="L349" s="269"/>
      <c r="M349" s="137"/>
      <c r="N349" s="138"/>
      <c r="O349" s="136">
        <f t="shared" ref="O349:O350" si="159">SUM(L349,I349)</f>
        <v>13.08</v>
      </c>
      <c r="P349" s="137">
        <f t="shared" ref="P349:P350" si="160">IF(M349&lt;&gt;"",M349,J349)</f>
        <v>33.42</v>
      </c>
      <c r="Q349" s="138">
        <f t="shared" ref="Q349:Q350" si="161">ROUND(O349*P349,2)</f>
        <v>437.13</v>
      </c>
    </row>
    <row r="350" spans="1:17" x14ac:dyDescent="0.25">
      <c r="A350" s="252" t="s">
        <v>7707</v>
      </c>
      <c r="B350" s="253" t="s">
        <v>7708</v>
      </c>
      <c r="C350" s="254" t="s">
        <v>88</v>
      </c>
      <c r="D350" s="255" t="s">
        <v>1</v>
      </c>
      <c r="E350" s="256" t="s">
        <v>7079</v>
      </c>
      <c r="F350" s="256">
        <v>25</v>
      </c>
      <c r="G350" s="256" t="s">
        <v>7706</v>
      </c>
      <c r="H350" s="186" t="s">
        <v>7709</v>
      </c>
      <c r="I350" s="268">
        <v>38.54</v>
      </c>
      <c r="J350" s="188">
        <v>108.31</v>
      </c>
      <c r="K350" s="234">
        <f t="shared" si="158"/>
        <v>4174.2700000000004</v>
      </c>
      <c r="L350" s="269"/>
      <c r="M350" s="137"/>
      <c r="N350" s="138"/>
      <c r="O350" s="136">
        <f t="shared" si="159"/>
        <v>38.54</v>
      </c>
      <c r="P350" s="137">
        <f t="shared" si="160"/>
        <v>108.31</v>
      </c>
      <c r="Q350" s="138">
        <f t="shared" si="161"/>
        <v>4174.2700000000004</v>
      </c>
    </row>
    <row r="351" spans="1:17" x14ac:dyDescent="0.25">
      <c r="A351" s="260" t="s">
        <v>7710</v>
      </c>
      <c r="B351" s="261" t="s">
        <v>7711</v>
      </c>
      <c r="C351" s="262"/>
      <c r="D351" s="263"/>
      <c r="E351" s="264"/>
      <c r="F351" s="264"/>
      <c r="G351" s="264"/>
      <c r="H351" s="265"/>
      <c r="I351" s="266"/>
      <c r="J351" s="267"/>
      <c r="K351" s="267"/>
      <c r="L351" s="266"/>
      <c r="M351" s="267"/>
      <c r="N351" s="267"/>
      <c r="O351" s="266"/>
      <c r="P351" s="267"/>
      <c r="Q351" s="267"/>
    </row>
    <row r="352" spans="1:17" x14ac:dyDescent="0.25">
      <c r="A352" s="252" t="s">
        <v>7712</v>
      </c>
      <c r="B352" s="253" t="s">
        <v>97</v>
      </c>
      <c r="C352" s="254" t="s">
        <v>75</v>
      </c>
      <c r="D352" s="255" t="s">
        <v>1</v>
      </c>
      <c r="E352" s="256" t="s">
        <v>7079</v>
      </c>
      <c r="F352" s="256">
        <v>25</v>
      </c>
      <c r="G352" s="256" t="s">
        <v>7713</v>
      </c>
      <c r="H352" s="186">
        <v>0</v>
      </c>
      <c r="I352" s="268">
        <v>1.21</v>
      </c>
      <c r="J352" s="188">
        <v>128.54</v>
      </c>
      <c r="K352" s="234">
        <f t="shared" ref="K352" si="162">ROUND(I352*J352,2)</f>
        <v>155.53</v>
      </c>
      <c r="L352" s="269"/>
      <c r="M352" s="137"/>
      <c r="N352" s="138"/>
      <c r="O352" s="136">
        <f>SUM(L352,I352)</f>
        <v>1.21</v>
      </c>
      <c r="P352" s="137">
        <f>IF(M352&lt;&gt;"",M352,J352)</f>
        <v>128.54</v>
      </c>
      <c r="Q352" s="138">
        <f>ROUND(O352*P352,2)</f>
        <v>155.53</v>
      </c>
    </row>
    <row r="353" spans="1:17" x14ac:dyDescent="0.25">
      <c r="A353" s="260" t="s">
        <v>7714</v>
      </c>
      <c r="B353" s="261" t="s">
        <v>7715</v>
      </c>
      <c r="C353" s="262"/>
      <c r="D353" s="263"/>
      <c r="E353" s="264"/>
      <c r="F353" s="264"/>
      <c r="G353" s="264"/>
      <c r="H353" s="265"/>
      <c r="I353" s="266"/>
      <c r="J353" s="267"/>
      <c r="K353" s="267"/>
      <c r="L353" s="266"/>
      <c r="M353" s="267"/>
      <c r="N353" s="267"/>
      <c r="O353" s="266"/>
      <c r="P353" s="267"/>
      <c r="Q353" s="267"/>
    </row>
    <row r="354" spans="1:17" ht="22.5" x14ac:dyDescent="0.25">
      <c r="A354" s="252" t="s">
        <v>7716</v>
      </c>
      <c r="B354" s="253" t="s">
        <v>7717</v>
      </c>
      <c r="C354" s="254" t="s">
        <v>75</v>
      </c>
      <c r="D354" s="255" t="s">
        <v>1</v>
      </c>
      <c r="E354" s="256" t="s">
        <v>7079</v>
      </c>
      <c r="F354" s="256">
        <v>25</v>
      </c>
      <c r="G354" s="256">
        <v>20</v>
      </c>
      <c r="H354" s="186">
        <v>0</v>
      </c>
      <c r="I354" s="268">
        <v>12.18</v>
      </c>
      <c r="J354" s="188">
        <v>32.020000000000003</v>
      </c>
      <c r="K354" s="234">
        <f t="shared" ref="K354" si="163">ROUND(I354*J354,2)</f>
        <v>390</v>
      </c>
      <c r="L354" s="269"/>
      <c r="M354" s="137"/>
      <c r="N354" s="138"/>
      <c r="O354" s="136">
        <f>SUM(L354,I354)</f>
        <v>12.18</v>
      </c>
      <c r="P354" s="137">
        <f>IF(M354&lt;&gt;"",M354,J354)</f>
        <v>32.020000000000003</v>
      </c>
      <c r="Q354" s="138">
        <f>ROUND(O354*P354,2)</f>
        <v>390</v>
      </c>
    </row>
    <row r="355" spans="1:17" x14ac:dyDescent="0.25">
      <c r="A355" s="260" t="s">
        <v>7718</v>
      </c>
      <c r="B355" s="261" t="s">
        <v>7719</v>
      </c>
      <c r="C355" s="262"/>
      <c r="D355" s="263"/>
      <c r="E355" s="264"/>
      <c r="F355" s="264"/>
      <c r="G355" s="264"/>
      <c r="H355" s="265"/>
      <c r="I355" s="266"/>
      <c r="J355" s="267"/>
      <c r="K355" s="267"/>
      <c r="L355" s="266"/>
      <c r="M355" s="267"/>
      <c r="N355" s="267"/>
      <c r="O355" s="266"/>
      <c r="P355" s="267"/>
      <c r="Q355" s="267"/>
    </row>
    <row r="356" spans="1:17" x14ac:dyDescent="0.25">
      <c r="A356" s="252" t="s">
        <v>7720</v>
      </c>
      <c r="B356" s="253" t="s">
        <v>7721</v>
      </c>
      <c r="C356" s="254" t="s">
        <v>108</v>
      </c>
      <c r="D356" s="255" t="s">
        <v>1</v>
      </c>
      <c r="E356" s="256" t="s">
        <v>7079</v>
      </c>
      <c r="F356" s="256">
        <v>25</v>
      </c>
      <c r="G356" s="256">
        <v>30</v>
      </c>
      <c r="H356" s="186">
        <v>0</v>
      </c>
      <c r="I356" s="268">
        <v>24.36</v>
      </c>
      <c r="J356" s="188">
        <v>10.210000000000001</v>
      </c>
      <c r="K356" s="234">
        <f t="shared" ref="K356" si="164">ROUND(I356*J356,2)</f>
        <v>248.72</v>
      </c>
      <c r="L356" s="269"/>
      <c r="M356" s="137"/>
      <c r="N356" s="138"/>
      <c r="O356" s="136">
        <f>SUM(L356,I356)</f>
        <v>24.36</v>
      </c>
      <c r="P356" s="137">
        <f>IF(M356&lt;&gt;"",M356,J356)</f>
        <v>10.210000000000001</v>
      </c>
      <c r="Q356" s="138">
        <f>ROUND(O356*P356,2)</f>
        <v>248.72</v>
      </c>
    </row>
    <row r="357" spans="1:17" x14ac:dyDescent="0.25">
      <c r="A357" s="260" t="s">
        <v>7722</v>
      </c>
      <c r="B357" s="261" t="s">
        <v>7723</v>
      </c>
      <c r="C357" s="262"/>
      <c r="D357" s="263"/>
      <c r="E357" s="264"/>
      <c r="F357" s="264"/>
      <c r="G357" s="264"/>
      <c r="H357" s="265"/>
      <c r="I357" s="266"/>
      <c r="J357" s="267"/>
      <c r="K357" s="267"/>
      <c r="L357" s="266"/>
      <c r="M357" s="267"/>
      <c r="N357" s="267"/>
      <c r="O357" s="266"/>
      <c r="P357" s="267"/>
      <c r="Q357" s="267"/>
    </row>
    <row r="358" spans="1:17" x14ac:dyDescent="0.25">
      <c r="A358" s="252" t="s">
        <v>7724</v>
      </c>
      <c r="B358" s="253" t="s">
        <v>7128</v>
      </c>
      <c r="C358" s="254" t="s">
        <v>88</v>
      </c>
      <c r="D358" s="255" t="s">
        <v>1</v>
      </c>
      <c r="E358" s="256" t="s">
        <v>7079</v>
      </c>
      <c r="F358" s="256">
        <v>65</v>
      </c>
      <c r="G358" s="256">
        <v>5</v>
      </c>
      <c r="H358" s="186">
        <v>0</v>
      </c>
      <c r="I358" s="268">
        <v>15.23</v>
      </c>
      <c r="J358" s="188">
        <v>233.38</v>
      </c>
      <c r="K358" s="234">
        <f t="shared" ref="K358" si="165">ROUND(I358*J358,2)</f>
        <v>3554.38</v>
      </c>
      <c r="L358" s="269"/>
      <c r="M358" s="137"/>
      <c r="N358" s="138"/>
      <c r="O358" s="136">
        <f>SUM(L358,I358)</f>
        <v>15.23</v>
      </c>
      <c r="P358" s="137">
        <f>IF(M358&lt;&gt;"",M358,J358)</f>
        <v>233.38</v>
      </c>
      <c r="Q358" s="138">
        <f>ROUND(O358*P358,2)</f>
        <v>3554.38</v>
      </c>
    </row>
    <row r="359" spans="1:17" ht="22.5" x14ac:dyDescent="0.25">
      <c r="A359" s="260" t="s">
        <v>7725</v>
      </c>
      <c r="B359" s="261" t="s">
        <v>7132</v>
      </c>
      <c r="C359" s="262"/>
      <c r="D359" s="263"/>
      <c r="E359" s="264"/>
      <c r="F359" s="264"/>
      <c r="G359" s="264"/>
      <c r="H359" s="265"/>
      <c r="I359" s="266"/>
      <c r="J359" s="267"/>
      <c r="K359" s="267"/>
      <c r="L359" s="266"/>
      <c r="M359" s="267"/>
      <c r="N359" s="267"/>
      <c r="O359" s="266"/>
      <c r="P359" s="267"/>
      <c r="Q359" s="267"/>
    </row>
    <row r="360" spans="1:17" x14ac:dyDescent="0.25">
      <c r="A360" s="252" t="s">
        <v>7726</v>
      </c>
      <c r="B360" s="253" t="s">
        <v>148</v>
      </c>
      <c r="C360" s="254" t="s">
        <v>149</v>
      </c>
      <c r="D360" s="255" t="s">
        <v>1</v>
      </c>
      <c r="E360" s="256" t="s">
        <v>7079</v>
      </c>
      <c r="F360" s="256">
        <v>65</v>
      </c>
      <c r="G360" s="256">
        <v>10</v>
      </c>
      <c r="H360" s="186">
        <v>0</v>
      </c>
      <c r="I360" s="268">
        <v>515.04</v>
      </c>
      <c r="J360" s="188">
        <v>17.809999999999999</v>
      </c>
      <c r="K360" s="234">
        <f t="shared" ref="K360" si="166">ROUND(I360*J360,2)</f>
        <v>9172.86</v>
      </c>
      <c r="L360" s="269"/>
      <c r="M360" s="137"/>
      <c r="N360" s="138"/>
      <c r="O360" s="136">
        <f>SUM(L360,I360)</f>
        <v>515.04</v>
      </c>
      <c r="P360" s="137">
        <f>IF(M360&lt;&gt;"",M360,J360)</f>
        <v>17.809999999999999</v>
      </c>
      <c r="Q360" s="138">
        <f>ROUND(O360*P360,2)</f>
        <v>9172.86</v>
      </c>
    </row>
    <row r="361" spans="1:17" ht="22.5" x14ac:dyDescent="0.25">
      <c r="A361" s="260" t="s">
        <v>7727</v>
      </c>
      <c r="B361" s="261" t="s">
        <v>7137</v>
      </c>
      <c r="C361" s="262"/>
      <c r="D361" s="263"/>
      <c r="E361" s="264"/>
      <c r="F361" s="264"/>
      <c r="G361" s="264"/>
      <c r="H361" s="265"/>
      <c r="I361" s="266"/>
      <c r="J361" s="267"/>
      <c r="K361" s="267"/>
      <c r="L361" s="266"/>
      <c r="M361" s="267"/>
      <c r="N361" s="267"/>
      <c r="O361" s="266"/>
      <c r="P361" s="267"/>
      <c r="Q361" s="267"/>
    </row>
    <row r="362" spans="1:17" x14ac:dyDescent="0.25">
      <c r="A362" s="252" t="s">
        <v>7728</v>
      </c>
      <c r="B362" s="253" t="s">
        <v>7139</v>
      </c>
      <c r="C362" s="254" t="s">
        <v>75</v>
      </c>
      <c r="D362" s="255" t="s">
        <v>1</v>
      </c>
      <c r="E362" s="256" t="s">
        <v>7079</v>
      </c>
      <c r="F362" s="256">
        <v>65</v>
      </c>
      <c r="G362" s="256">
        <v>15</v>
      </c>
      <c r="H362" s="186">
        <v>0</v>
      </c>
      <c r="I362" s="268">
        <v>0.61</v>
      </c>
      <c r="J362" s="188">
        <v>967.2</v>
      </c>
      <c r="K362" s="234">
        <f t="shared" ref="K362:K364" si="167">ROUND(I362*J362,2)</f>
        <v>589.99</v>
      </c>
      <c r="L362" s="269"/>
      <c r="M362" s="137"/>
      <c r="N362" s="138"/>
      <c r="O362" s="136">
        <f t="shared" ref="O362:O364" si="168">SUM(L362,I362)</f>
        <v>0.61</v>
      </c>
      <c r="P362" s="137">
        <f t="shared" ref="P362:P364" si="169">IF(M362&lt;&gt;"",M362,J362)</f>
        <v>967.2</v>
      </c>
      <c r="Q362" s="138">
        <f t="shared" ref="Q362:Q364" si="170">ROUND(O362*P362,2)</f>
        <v>589.99</v>
      </c>
    </row>
    <row r="363" spans="1:17" x14ac:dyDescent="0.25">
      <c r="A363" s="252" t="s">
        <v>7729</v>
      </c>
      <c r="B363" s="253" t="s">
        <v>7141</v>
      </c>
      <c r="C363" s="254" t="s">
        <v>75</v>
      </c>
      <c r="D363" s="255" t="s">
        <v>1</v>
      </c>
      <c r="E363" s="256" t="s">
        <v>7079</v>
      </c>
      <c r="F363" s="256">
        <v>65</v>
      </c>
      <c r="G363" s="256">
        <v>15</v>
      </c>
      <c r="H363" s="186">
        <v>0</v>
      </c>
      <c r="I363" s="268">
        <v>17.579999999999998</v>
      </c>
      <c r="J363" s="188">
        <v>1067.24</v>
      </c>
      <c r="K363" s="234">
        <f t="shared" si="167"/>
        <v>18762.080000000002</v>
      </c>
      <c r="L363" s="269"/>
      <c r="M363" s="137"/>
      <c r="N363" s="138"/>
      <c r="O363" s="136">
        <f t="shared" si="168"/>
        <v>17.579999999999998</v>
      </c>
      <c r="P363" s="137">
        <f t="shared" si="169"/>
        <v>1067.24</v>
      </c>
      <c r="Q363" s="138">
        <f t="shared" si="170"/>
        <v>18762.080000000002</v>
      </c>
    </row>
    <row r="364" spans="1:17" ht="22.5" x14ac:dyDescent="0.25">
      <c r="A364" s="252" t="s">
        <v>7730</v>
      </c>
      <c r="B364" s="253" t="s">
        <v>7731</v>
      </c>
      <c r="C364" s="254" t="s">
        <v>75</v>
      </c>
      <c r="D364" s="255" t="s">
        <v>1</v>
      </c>
      <c r="E364" s="256" t="s">
        <v>7079</v>
      </c>
      <c r="F364" s="256">
        <v>65</v>
      </c>
      <c r="G364" s="256">
        <v>20</v>
      </c>
      <c r="H364" s="186">
        <v>0</v>
      </c>
      <c r="I364" s="268">
        <v>5</v>
      </c>
      <c r="J364" s="188">
        <v>7949.13</v>
      </c>
      <c r="K364" s="234">
        <f t="shared" si="167"/>
        <v>39745.65</v>
      </c>
      <c r="L364" s="269"/>
      <c r="M364" s="137"/>
      <c r="N364" s="138"/>
      <c r="O364" s="136">
        <f t="shared" si="168"/>
        <v>5</v>
      </c>
      <c r="P364" s="137">
        <f t="shared" si="169"/>
        <v>7949.13</v>
      </c>
      <c r="Q364" s="138">
        <f t="shared" si="170"/>
        <v>39745.65</v>
      </c>
    </row>
    <row r="365" spans="1:17" x14ac:dyDescent="0.25">
      <c r="A365" s="260" t="s">
        <v>7732</v>
      </c>
      <c r="B365" s="261" t="s">
        <v>7733</v>
      </c>
      <c r="C365" s="262"/>
      <c r="D365" s="263"/>
      <c r="E365" s="264"/>
      <c r="F365" s="264"/>
      <c r="G365" s="264"/>
      <c r="H365" s="265"/>
      <c r="I365" s="266"/>
      <c r="J365" s="267"/>
      <c r="K365" s="267"/>
      <c r="L365" s="266"/>
      <c r="M365" s="267"/>
      <c r="N365" s="267"/>
      <c r="O365" s="266"/>
      <c r="P365" s="267"/>
      <c r="Q365" s="267"/>
    </row>
    <row r="366" spans="1:17" x14ac:dyDescent="0.25">
      <c r="A366" s="252" t="s">
        <v>7734</v>
      </c>
      <c r="B366" s="253" t="s">
        <v>208</v>
      </c>
      <c r="C366" s="254" t="s">
        <v>149</v>
      </c>
      <c r="D366" s="255" t="s">
        <v>1</v>
      </c>
      <c r="E366" s="256" t="s">
        <v>7079</v>
      </c>
      <c r="F366" s="256">
        <v>65</v>
      </c>
      <c r="G366" s="256" t="s">
        <v>7735</v>
      </c>
      <c r="H366" s="186">
        <v>10</v>
      </c>
      <c r="I366" s="268">
        <v>1600.65</v>
      </c>
      <c r="J366" s="188">
        <v>29.87</v>
      </c>
      <c r="K366" s="234">
        <f t="shared" ref="K366:K368" si="171">ROUND(I366*J366,2)</f>
        <v>47811.42</v>
      </c>
      <c r="L366" s="269"/>
      <c r="M366" s="137"/>
      <c r="N366" s="138"/>
      <c r="O366" s="136">
        <f t="shared" ref="O366:O368" si="172">SUM(L366,I366)</f>
        <v>1600.65</v>
      </c>
      <c r="P366" s="137">
        <f t="shared" ref="P366:P368" si="173">IF(M366&lt;&gt;"",M366,J366)</f>
        <v>29.87</v>
      </c>
      <c r="Q366" s="138">
        <f t="shared" ref="Q366:Q368" si="174">ROUND(O366*P366,2)</f>
        <v>47811.42</v>
      </c>
    </row>
    <row r="367" spans="1:17" x14ac:dyDescent="0.25">
      <c r="A367" s="252" t="s">
        <v>7736</v>
      </c>
      <c r="B367" s="253" t="s">
        <v>7147</v>
      </c>
      <c r="C367" s="254" t="s">
        <v>460</v>
      </c>
      <c r="D367" s="255" t="s">
        <v>1</v>
      </c>
      <c r="E367" s="256" t="s">
        <v>7079</v>
      </c>
      <c r="F367" s="256">
        <v>65</v>
      </c>
      <c r="G367" s="256">
        <v>25</v>
      </c>
      <c r="H367" s="186" t="s">
        <v>7737</v>
      </c>
      <c r="I367" s="268">
        <v>10</v>
      </c>
      <c r="J367" s="188">
        <v>406.57</v>
      </c>
      <c r="K367" s="234">
        <f t="shared" si="171"/>
        <v>4065.7</v>
      </c>
      <c r="L367" s="269"/>
      <c r="M367" s="137"/>
      <c r="N367" s="138"/>
      <c r="O367" s="136">
        <f t="shared" si="172"/>
        <v>10</v>
      </c>
      <c r="P367" s="137">
        <f t="shared" si="173"/>
        <v>406.57</v>
      </c>
      <c r="Q367" s="138">
        <f t="shared" si="174"/>
        <v>4065.7</v>
      </c>
    </row>
    <row r="368" spans="1:17" x14ac:dyDescent="0.25">
      <c r="A368" s="252" t="s">
        <v>7738</v>
      </c>
      <c r="B368" s="253" t="s">
        <v>7151</v>
      </c>
      <c r="C368" s="254" t="s">
        <v>460</v>
      </c>
      <c r="D368" s="255" t="s">
        <v>1</v>
      </c>
      <c r="E368" s="256" t="s">
        <v>7079</v>
      </c>
      <c r="F368" s="256">
        <v>65</v>
      </c>
      <c r="G368" s="256">
        <v>25</v>
      </c>
      <c r="H368" s="186" t="s">
        <v>7737</v>
      </c>
      <c r="I368" s="268">
        <v>10</v>
      </c>
      <c r="J368" s="188">
        <v>67.63</v>
      </c>
      <c r="K368" s="234">
        <f t="shared" si="171"/>
        <v>676.3</v>
      </c>
      <c r="L368" s="269"/>
      <c r="M368" s="137"/>
      <c r="N368" s="138"/>
      <c r="O368" s="136">
        <f t="shared" si="172"/>
        <v>10</v>
      </c>
      <c r="P368" s="137">
        <f t="shared" si="173"/>
        <v>67.63</v>
      </c>
      <c r="Q368" s="138">
        <f t="shared" si="174"/>
        <v>676.3</v>
      </c>
    </row>
    <row r="369" spans="1:17" x14ac:dyDescent="0.25">
      <c r="A369" s="260" t="s">
        <v>7739</v>
      </c>
      <c r="B369" s="261" t="s">
        <v>7740</v>
      </c>
      <c r="C369" s="262"/>
      <c r="D369" s="263"/>
      <c r="E369" s="264"/>
      <c r="F369" s="264"/>
      <c r="G369" s="264"/>
      <c r="H369" s="265"/>
      <c r="I369" s="266"/>
      <c r="J369" s="267"/>
      <c r="K369" s="267"/>
      <c r="L369" s="266"/>
      <c r="M369" s="267"/>
      <c r="N369" s="267"/>
      <c r="O369" s="266"/>
      <c r="P369" s="267"/>
      <c r="Q369" s="267"/>
    </row>
    <row r="370" spans="1:17" ht="22.5" x14ac:dyDescent="0.25">
      <c r="A370" s="252" t="s">
        <v>7741</v>
      </c>
      <c r="B370" s="253" t="s">
        <v>7742</v>
      </c>
      <c r="C370" s="254" t="s">
        <v>75</v>
      </c>
      <c r="D370" s="255" t="s">
        <v>1</v>
      </c>
      <c r="E370" s="256" t="s">
        <v>7079</v>
      </c>
      <c r="F370" s="256">
        <v>10</v>
      </c>
      <c r="G370" s="256">
        <v>5</v>
      </c>
      <c r="H370" s="257" t="s">
        <v>7743</v>
      </c>
      <c r="I370" s="268">
        <v>65</v>
      </c>
      <c r="J370" s="188">
        <v>81.239999999999995</v>
      </c>
      <c r="K370" s="234">
        <f t="shared" ref="K370" si="175">ROUND(I370*J370,2)</f>
        <v>5280.6</v>
      </c>
      <c r="L370" s="269"/>
      <c r="M370" s="137"/>
      <c r="N370" s="138"/>
      <c r="O370" s="136">
        <f>SUM(L370,I370)</f>
        <v>65</v>
      </c>
      <c r="P370" s="137">
        <f>IF(M370&lt;&gt;"",M370,J370)</f>
        <v>81.239999999999995</v>
      </c>
      <c r="Q370" s="138">
        <f>ROUND(O370*P370,2)</f>
        <v>5280.6</v>
      </c>
    </row>
    <row r="371" spans="1:17" ht="22.5" x14ac:dyDescent="0.25">
      <c r="A371" s="260" t="s">
        <v>7744</v>
      </c>
      <c r="B371" s="261" t="s">
        <v>7745</v>
      </c>
      <c r="C371" s="262" t="s">
        <v>7746</v>
      </c>
      <c r="D371" s="263"/>
      <c r="E371" s="264"/>
      <c r="F371" s="264"/>
      <c r="G371" s="264"/>
      <c r="H371" s="265"/>
      <c r="I371" s="266"/>
      <c r="J371" s="267"/>
      <c r="K371" s="267"/>
      <c r="L371" s="266"/>
      <c r="M371" s="267"/>
      <c r="N371" s="267"/>
      <c r="O371" s="266"/>
      <c r="P371" s="267"/>
      <c r="Q371" s="267"/>
    </row>
    <row r="372" spans="1:17" ht="22.5" x14ac:dyDescent="0.25">
      <c r="A372" s="252" t="s">
        <v>7747</v>
      </c>
      <c r="B372" s="253" t="s">
        <v>7748</v>
      </c>
      <c r="C372" s="254" t="s">
        <v>75</v>
      </c>
      <c r="D372" s="255" t="s">
        <v>1</v>
      </c>
      <c r="E372" s="256" t="s">
        <v>7079</v>
      </c>
      <c r="F372" s="256">
        <v>25</v>
      </c>
      <c r="G372" s="256">
        <v>50</v>
      </c>
      <c r="H372" s="186">
        <v>0</v>
      </c>
      <c r="I372" s="268">
        <v>115</v>
      </c>
      <c r="J372" s="188">
        <v>77.14</v>
      </c>
      <c r="K372" s="234">
        <f t="shared" ref="K372" si="176">ROUND(I372*J372,2)</f>
        <v>8871.1</v>
      </c>
      <c r="L372" s="269"/>
      <c r="M372" s="137"/>
      <c r="N372" s="138"/>
      <c r="O372" s="136">
        <f>SUM(L372,I372)</f>
        <v>115</v>
      </c>
      <c r="P372" s="137">
        <f>IF(M372&lt;&gt;"",M372,J372)</f>
        <v>77.14</v>
      </c>
      <c r="Q372" s="138">
        <f>ROUND(O372*P372,2)</f>
        <v>8871.1</v>
      </c>
    </row>
    <row r="373" spans="1:17" x14ac:dyDescent="0.25">
      <c r="A373" s="260" t="s">
        <v>7749</v>
      </c>
      <c r="B373" s="261" t="s">
        <v>7750</v>
      </c>
      <c r="C373" s="262"/>
      <c r="D373" s="263"/>
      <c r="E373" s="264"/>
      <c r="F373" s="264"/>
      <c r="G373" s="264"/>
      <c r="H373" s="265"/>
      <c r="I373" s="266"/>
      <c r="J373" s="267"/>
      <c r="K373" s="267"/>
      <c r="L373" s="266"/>
      <c r="M373" s="267"/>
      <c r="N373" s="267"/>
      <c r="O373" s="266"/>
      <c r="P373" s="267"/>
      <c r="Q373" s="267"/>
    </row>
    <row r="374" spans="1:17" ht="22.5" x14ac:dyDescent="0.25">
      <c r="A374" s="252" t="s">
        <v>7751</v>
      </c>
      <c r="B374" s="253" t="s">
        <v>7752</v>
      </c>
      <c r="C374" s="254" t="s">
        <v>108</v>
      </c>
      <c r="D374" s="255" t="s">
        <v>1</v>
      </c>
      <c r="E374" s="256" t="s">
        <v>7079</v>
      </c>
      <c r="F374" s="256">
        <v>25</v>
      </c>
      <c r="G374" s="256">
        <v>30</v>
      </c>
      <c r="H374" s="186">
        <v>0</v>
      </c>
      <c r="I374" s="268">
        <v>460</v>
      </c>
      <c r="J374" s="188">
        <v>11.51</v>
      </c>
      <c r="K374" s="234">
        <f t="shared" ref="K374" si="177">ROUND(I374*J374,2)</f>
        <v>5294.6</v>
      </c>
      <c r="L374" s="269"/>
      <c r="M374" s="137"/>
      <c r="N374" s="138"/>
      <c r="O374" s="136">
        <f>SUM(L374,I374)</f>
        <v>460</v>
      </c>
      <c r="P374" s="137">
        <f>IF(M374&lt;&gt;"",M374,J374)</f>
        <v>11.51</v>
      </c>
      <c r="Q374" s="138">
        <f>ROUND(O374*P374,2)</f>
        <v>5294.6</v>
      </c>
    </row>
    <row r="375" spans="1:17" x14ac:dyDescent="0.25">
      <c r="A375" s="236" t="s">
        <v>7753</v>
      </c>
      <c r="B375" s="237" t="s">
        <v>7754</v>
      </c>
      <c r="C375" s="238"/>
      <c r="D375" s="239"/>
      <c r="E375" s="240"/>
      <c r="F375" s="241"/>
      <c r="G375" s="241"/>
      <c r="H375" s="242"/>
      <c r="I375" s="270"/>
      <c r="J375" s="271"/>
      <c r="K375" s="271"/>
      <c r="L375" s="270"/>
      <c r="M375" s="271"/>
      <c r="N375" s="271"/>
      <c r="O375" s="270"/>
      <c r="P375" s="271"/>
      <c r="Q375" s="271"/>
    </row>
    <row r="376" spans="1:17" x14ac:dyDescent="0.25">
      <c r="A376" s="252" t="s">
        <v>7755</v>
      </c>
      <c r="B376" s="253" t="s">
        <v>7756</v>
      </c>
      <c r="C376" s="254" t="s">
        <v>911</v>
      </c>
      <c r="D376" s="255" t="s">
        <v>1</v>
      </c>
      <c r="E376" s="256" t="s">
        <v>7504</v>
      </c>
      <c r="F376" s="256">
        <v>10</v>
      </c>
      <c r="G376" s="256">
        <v>10</v>
      </c>
      <c r="H376" s="186">
        <v>0</v>
      </c>
      <c r="I376" s="268">
        <v>7</v>
      </c>
      <c r="J376" s="188">
        <v>25493.8</v>
      </c>
      <c r="K376" s="234">
        <f t="shared" ref="K376:K390" si="178">ROUND(I376*J376,2)</f>
        <v>178456.6</v>
      </c>
      <c r="L376" s="269"/>
      <c r="M376" s="137"/>
      <c r="N376" s="138"/>
      <c r="O376" s="136">
        <f t="shared" ref="O376:O390" si="179">SUM(L376,I376)</f>
        <v>7</v>
      </c>
      <c r="P376" s="137">
        <f t="shared" ref="P376:P390" si="180">IF(M376&lt;&gt;"",M376,J376)</f>
        <v>25493.8</v>
      </c>
      <c r="Q376" s="138">
        <f t="shared" ref="Q376:Q390" si="181">ROUND(O376*P376,2)</f>
        <v>178456.6</v>
      </c>
    </row>
    <row r="377" spans="1:17" ht="22.5" x14ac:dyDescent="0.25">
      <c r="A377" s="252" t="s">
        <v>7757</v>
      </c>
      <c r="B377" s="253" t="s">
        <v>7758</v>
      </c>
      <c r="C377" s="254" t="s">
        <v>378</v>
      </c>
      <c r="D377" s="255" t="s">
        <v>1</v>
      </c>
      <c r="E377" s="256" t="s">
        <v>7504</v>
      </c>
      <c r="F377" s="256">
        <v>60</v>
      </c>
      <c r="G377" s="256">
        <v>20</v>
      </c>
      <c r="H377" s="186">
        <v>0</v>
      </c>
      <c r="I377" s="268">
        <v>300</v>
      </c>
      <c r="J377" s="188">
        <v>554.07000000000005</v>
      </c>
      <c r="K377" s="234">
        <f t="shared" si="178"/>
        <v>166221</v>
      </c>
      <c r="L377" s="269"/>
      <c r="M377" s="137"/>
      <c r="N377" s="138"/>
      <c r="O377" s="136">
        <f t="shared" si="179"/>
        <v>300</v>
      </c>
      <c r="P377" s="137">
        <f t="shared" si="180"/>
        <v>554.07000000000005</v>
      </c>
      <c r="Q377" s="138">
        <f t="shared" si="181"/>
        <v>166221</v>
      </c>
    </row>
    <row r="378" spans="1:17" x14ac:dyDescent="0.25">
      <c r="A378" s="252" t="s">
        <v>7759</v>
      </c>
      <c r="B378" s="253" t="s">
        <v>7760</v>
      </c>
      <c r="C378" s="254" t="s">
        <v>911</v>
      </c>
      <c r="D378" s="255" t="s">
        <v>1</v>
      </c>
      <c r="E378" s="256" t="s">
        <v>7504</v>
      </c>
      <c r="F378" s="256">
        <v>70</v>
      </c>
      <c r="G378" s="256">
        <v>65</v>
      </c>
      <c r="H378" s="186">
        <v>0</v>
      </c>
      <c r="I378" s="268">
        <v>7</v>
      </c>
      <c r="J378" s="188">
        <v>1236.18</v>
      </c>
      <c r="K378" s="234">
        <f t="shared" si="178"/>
        <v>8653.26</v>
      </c>
      <c r="L378" s="269"/>
      <c r="M378" s="137"/>
      <c r="N378" s="138"/>
      <c r="O378" s="136">
        <f t="shared" si="179"/>
        <v>7</v>
      </c>
      <c r="P378" s="137">
        <f t="shared" si="180"/>
        <v>1236.18</v>
      </c>
      <c r="Q378" s="138">
        <f t="shared" si="181"/>
        <v>8653.26</v>
      </c>
    </row>
    <row r="379" spans="1:17" x14ac:dyDescent="0.25">
      <c r="A379" s="252" t="s">
        <v>7761</v>
      </c>
      <c r="B379" s="253" t="s">
        <v>7762</v>
      </c>
      <c r="C379" s="254" t="s">
        <v>378</v>
      </c>
      <c r="D379" s="255" t="s">
        <v>1</v>
      </c>
      <c r="E379" s="256" t="s">
        <v>7504</v>
      </c>
      <c r="F379" s="256">
        <v>60</v>
      </c>
      <c r="G379" s="256">
        <v>10</v>
      </c>
      <c r="H379" s="186">
        <v>0</v>
      </c>
      <c r="I379" s="268">
        <v>12</v>
      </c>
      <c r="J379" s="188">
        <v>3587.22</v>
      </c>
      <c r="K379" s="234">
        <f t="shared" si="178"/>
        <v>43046.64</v>
      </c>
      <c r="L379" s="269"/>
      <c r="M379" s="137"/>
      <c r="N379" s="138"/>
      <c r="O379" s="136">
        <f t="shared" si="179"/>
        <v>12</v>
      </c>
      <c r="P379" s="137">
        <f t="shared" si="180"/>
        <v>3587.22</v>
      </c>
      <c r="Q379" s="138">
        <f t="shared" si="181"/>
        <v>43046.64</v>
      </c>
    </row>
    <row r="380" spans="1:17" x14ac:dyDescent="0.25">
      <c r="A380" s="252" t="s">
        <v>7763</v>
      </c>
      <c r="B380" s="253" t="s">
        <v>7764</v>
      </c>
      <c r="C380" s="254" t="s">
        <v>378</v>
      </c>
      <c r="D380" s="255" t="s">
        <v>1</v>
      </c>
      <c r="E380" s="256" t="s">
        <v>7504</v>
      </c>
      <c r="F380" s="256">
        <v>60</v>
      </c>
      <c r="G380" s="256">
        <v>10</v>
      </c>
      <c r="H380" s="186">
        <v>0</v>
      </c>
      <c r="I380" s="268">
        <v>12</v>
      </c>
      <c r="J380" s="188">
        <v>6805.69</v>
      </c>
      <c r="K380" s="234">
        <f t="shared" si="178"/>
        <v>81668.28</v>
      </c>
      <c r="L380" s="269"/>
      <c r="M380" s="137"/>
      <c r="N380" s="138"/>
      <c r="O380" s="136">
        <f t="shared" si="179"/>
        <v>12</v>
      </c>
      <c r="P380" s="137">
        <f t="shared" si="180"/>
        <v>6805.69</v>
      </c>
      <c r="Q380" s="138">
        <f t="shared" si="181"/>
        <v>81668.28</v>
      </c>
    </row>
    <row r="381" spans="1:17" x14ac:dyDescent="0.25">
      <c r="A381" s="252" t="s">
        <v>7765</v>
      </c>
      <c r="B381" s="253" t="s">
        <v>7766</v>
      </c>
      <c r="C381" s="254" t="s">
        <v>460</v>
      </c>
      <c r="D381" s="255" t="s">
        <v>1</v>
      </c>
      <c r="E381" s="256" t="s">
        <v>7504</v>
      </c>
      <c r="F381" s="256">
        <v>30</v>
      </c>
      <c r="G381" s="256">
        <v>80</v>
      </c>
      <c r="H381" s="186">
        <v>0</v>
      </c>
      <c r="I381" s="268">
        <v>9</v>
      </c>
      <c r="J381" s="188">
        <v>2167.83</v>
      </c>
      <c r="K381" s="234">
        <f t="shared" si="178"/>
        <v>19510.47</v>
      </c>
      <c r="L381" s="269"/>
      <c r="M381" s="137"/>
      <c r="N381" s="138"/>
      <c r="O381" s="136">
        <f t="shared" si="179"/>
        <v>9</v>
      </c>
      <c r="P381" s="137">
        <f t="shared" si="180"/>
        <v>2167.83</v>
      </c>
      <c r="Q381" s="138">
        <f t="shared" si="181"/>
        <v>19510.47</v>
      </c>
    </row>
    <row r="382" spans="1:17" x14ac:dyDescent="0.25">
      <c r="A382" s="252" t="s">
        <v>7767</v>
      </c>
      <c r="B382" s="253" t="s">
        <v>7768</v>
      </c>
      <c r="C382" s="254" t="s">
        <v>460</v>
      </c>
      <c r="D382" s="255" t="s">
        <v>1</v>
      </c>
      <c r="E382" s="256" t="s">
        <v>7504</v>
      </c>
      <c r="F382" s="256">
        <v>30</v>
      </c>
      <c r="G382" s="256">
        <v>80</v>
      </c>
      <c r="H382" s="186">
        <v>0</v>
      </c>
      <c r="I382" s="268">
        <v>3</v>
      </c>
      <c r="J382" s="188">
        <v>2816.94</v>
      </c>
      <c r="K382" s="234">
        <f t="shared" si="178"/>
        <v>8450.82</v>
      </c>
      <c r="L382" s="269"/>
      <c r="M382" s="137"/>
      <c r="N382" s="138"/>
      <c r="O382" s="136">
        <f t="shared" si="179"/>
        <v>3</v>
      </c>
      <c r="P382" s="137">
        <f t="shared" si="180"/>
        <v>2816.94</v>
      </c>
      <c r="Q382" s="138">
        <f t="shared" si="181"/>
        <v>8450.82</v>
      </c>
    </row>
    <row r="383" spans="1:17" x14ac:dyDescent="0.25">
      <c r="A383" s="252" t="s">
        <v>7769</v>
      </c>
      <c r="B383" s="253" t="s">
        <v>7770</v>
      </c>
      <c r="C383" s="254" t="s">
        <v>460</v>
      </c>
      <c r="D383" s="255" t="s">
        <v>1</v>
      </c>
      <c r="E383" s="256" t="s">
        <v>7504</v>
      </c>
      <c r="F383" s="256">
        <v>30</v>
      </c>
      <c r="G383" s="256">
        <v>80</v>
      </c>
      <c r="H383" s="186">
        <v>0</v>
      </c>
      <c r="I383" s="268">
        <v>8</v>
      </c>
      <c r="J383" s="188">
        <v>4368.1000000000004</v>
      </c>
      <c r="K383" s="234">
        <f t="shared" si="178"/>
        <v>34944.800000000003</v>
      </c>
      <c r="L383" s="269"/>
      <c r="M383" s="137"/>
      <c r="N383" s="138"/>
      <c r="O383" s="136">
        <f t="shared" si="179"/>
        <v>8</v>
      </c>
      <c r="P383" s="137">
        <f t="shared" si="180"/>
        <v>4368.1000000000004</v>
      </c>
      <c r="Q383" s="138">
        <f t="shared" si="181"/>
        <v>34944.800000000003</v>
      </c>
    </row>
    <row r="384" spans="1:17" x14ac:dyDescent="0.25">
      <c r="A384" s="252" t="s">
        <v>7771</v>
      </c>
      <c r="B384" s="253" t="s">
        <v>7772</v>
      </c>
      <c r="C384" s="254" t="s">
        <v>460</v>
      </c>
      <c r="D384" s="255" t="s">
        <v>1</v>
      </c>
      <c r="E384" s="256" t="s">
        <v>7504</v>
      </c>
      <c r="F384" s="256">
        <v>30</v>
      </c>
      <c r="G384" s="256">
        <v>80</v>
      </c>
      <c r="H384" s="186">
        <v>0</v>
      </c>
      <c r="I384" s="268">
        <v>2</v>
      </c>
      <c r="J384" s="188">
        <v>9522.0400000000009</v>
      </c>
      <c r="K384" s="234">
        <f t="shared" si="178"/>
        <v>19044.080000000002</v>
      </c>
      <c r="L384" s="269"/>
      <c r="M384" s="137"/>
      <c r="N384" s="138"/>
      <c r="O384" s="136">
        <f t="shared" si="179"/>
        <v>2</v>
      </c>
      <c r="P384" s="137">
        <f t="shared" si="180"/>
        <v>9522.0400000000009</v>
      </c>
      <c r="Q384" s="138">
        <f t="shared" si="181"/>
        <v>19044.080000000002</v>
      </c>
    </row>
    <row r="385" spans="1:17" x14ac:dyDescent="0.25">
      <c r="A385" s="252" t="s">
        <v>7773</v>
      </c>
      <c r="B385" s="253" t="s">
        <v>7774</v>
      </c>
      <c r="C385" s="254" t="s">
        <v>460</v>
      </c>
      <c r="D385" s="255" t="s">
        <v>1</v>
      </c>
      <c r="E385" s="256" t="s">
        <v>7504</v>
      </c>
      <c r="F385" s="256">
        <v>30</v>
      </c>
      <c r="G385" s="256">
        <v>80</v>
      </c>
      <c r="H385" s="186">
        <v>0</v>
      </c>
      <c r="I385" s="268">
        <v>3</v>
      </c>
      <c r="J385" s="188">
        <v>5031.1099999999997</v>
      </c>
      <c r="K385" s="234">
        <f t="shared" si="178"/>
        <v>15093.33</v>
      </c>
      <c r="L385" s="269"/>
      <c r="M385" s="137"/>
      <c r="N385" s="138"/>
      <c r="O385" s="136">
        <f t="shared" si="179"/>
        <v>3</v>
      </c>
      <c r="P385" s="137">
        <f t="shared" si="180"/>
        <v>5031.1099999999997</v>
      </c>
      <c r="Q385" s="138">
        <f t="shared" si="181"/>
        <v>15093.33</v>
      </c>
    </row>
    <row r="386" spans="1:17" x14ac:dyDescent="0.25">
      <c r="A386" s="252" t="s">
        <v>7775</v>
      </c>
      <c r="B386" s="253" t="s">
        <v>7776</v>
      </c>
      <c r="C386" s="254" t="s">
        <v>460</v>
      </c>
      <c r="D386" s="255" t="s">
        <v>1</v>
      </c>
      <c r="E386" s="256" t="s">
        <v>7504</v>
      </c>
      <c r="F386" s="256">
        <v>30</v>
      </c>
      <c r="G386" s="256">
        <v>80</v>
      </c>
      <c r="H386" s="186">
        <v>0</v>
      </c>
      <c r="I386" s="268">
        <v>7</v>
      </c>
      <c r="J386" s="188">
        <v>7492.54</v>
      </c>
      <c r="K386" s="234">
        <f t="shared" si="178"/>
        <v>52447.78</v>
      </c>
      <c r="L386" s="269"/>
      <c r="M386" s="137"/>
      <c r="N386" s="138"/>
      <c r="O386" s="136">
        <f t="shared" si="179"/>
        <v>7</v>
      </c>
      <c r="P386" s="137">
        <f t="shared" si="180"/>
        <v>7492.54</v>
      </c>
      <c r="Q386" s="138">
        <f t="shared" si="181"/>
        <v>52447.78</v>
      </c>
    </row>
    <row r="387" spans="1:17" x14ac:dyDescent="0.25">
      <c r="A387" s="252" t="s">
        <v>7777</v>
      </c>
      <c r="B387" s="253" t="s">
        <v>7778</v>
      </c>
      <c r="C387" s="254" t="s">
        <v>460</v>
      </c>
      <c r="D387" s="255" t="s">
        <v>1</v>
      </c>
      <c r="E387" s="256" t="s">
        <v>7504</v>
      </c>
      <c r="F387" s="256">
        <v>60</v>
      </c>
      <c r="G387" s="256">
        <v>25</v>
      </c>
      <c r="H387" s="257">
        <v>10</v>
      </c>
      <c r="I387" s="268">
        <v>1</v>
      </c>
      <c r="J387" s="188">
        <v>7888.89</v>
      </c>
      <c r="K387" s="234">
        <f t="shared" si="178"/>
        <v>7888.89</v>
      </c>
      <c r="L387" s="269"/>
      <c r="M387" s="137"/>
      <c r="N387" s="138"/>
      <c r="O387" s="136">
        <f t="shared" si="179"/>
        <v>1</v>
      </c>
      <c r="P387" s="137">
        <f t="shared" si="180"/>
        <v>7888.89</v>
      </c>
      <c r="Q387" s="138">
        <f t="shared" si="181"/>
        <v>7888.89</v>
      </c>
    </row>
    <row r="388" spans="1:17" ht="22.5" x14ac:dyDescent="0.25">
      <c r="A388" s="252" t="s">
        <v>7779</v>
      </c>
      <c r="B388" s="253" t="s">
        <v>7780</v>
      </c>
      <c r="C388" s="254" t="s">
        <v>378</v>
      </c>
      <c r="D388" s="255" t="s">
        <v>1</v>
      </c>
      <c r="E388" s="256" t="s">
        <v>7504</v>
      </c>
      <c r="F388" s="256">
        <v>60</v>
      </c>
      <c r="G388" s="256">
        <v>10</v>
      </c>
      <c r="H388" s="186">
        <v>0</v>
      </c>
      <c r="I388" s="268">
        <v>124</v>
      </c>
      <c r="J388" s="188">
        <v>1105.94</v>
      </c>
      <c r="K388" s="234">
        <f t="shared" si="178"/>
        <v>137136.56</v>
      </c>
      <c r="L388" s="269"/>
      <c r="M388" s="137"/>
      <c r="N388" s="138"/>
      <c r="O388" s="136">
        <f t="shared" si="179"/>
        <v>124</v>
      </c>
      <c r="P388" s="137">
        <f t="shared" si="180"/>
        <v>1105.94</v>
      </c>
      <c r="Q388" s="138">
        <f t="shared" si="181"/>
        <v>137136.56</v>
      </c>
    </row>
    <row r="389" spans="1:17" ht="22.5" x14ac:dyDescent="0.25">
      <c r="A389" s="252" t="s">
        <v>7781</v>
      </c>
      <c r="B389" s="253" t="s">
        <v>7782</v>
      </c>
      <c r="C389" s="254" t="s">
        <v>378</v>
      </c>
      <c r="D389" s="255" t="s">
        <v>1</v>
      </c>
      <c r="E389" s="256" t="s">
        <v>7504</v>
      </c>
      <c r="F389" s="256">
        <v>60</v>
      </c>
      <c r="G389" s="256">
        <v>10</v>
      </c>
      <c r="H389" s="186">
        <v>0</v>
      </c>
      <c r="I389" s="268">
        <v>2028</v>
      </c>
      <c r="J389" s="188">
        <v>674.93</v>
      </c>
      <c r="K389" s="234">
        <f t="shared" si="178"/>
        <v>1368758.04</v>
      </c>
      <c r="L389" s="269"/>
      <c r="M389" s="137"/>
      <c r="N389" s="138"/>
      <c r="O389" s="136">
        <f t="shared" si="179"/>
        <v>2028</v>
      </c>
      <c r="P389" s="137">
        <f t="shared" si="180"/>
        <v>674.93</v>
      </c>
      <c r="Q389" s="138">
        <f t="shared" si="181"/>
        <v>1368758.04</v>
      </c>
    </row>
    <row r="390" spans="1:17" x14ac:dyDescent="0.25">
      <c r="A390" s="252" t="s">
        <v>7783</v>
      </c>
      <c r="B390" s="253" t="s">
        <v>7784</v>
      </c>
      <c r="C390" s="254" t="s">
        <v>460</v>
      </c>
      <c r="D390" s="255" t="s">
        <v>1</v>
      </c>
      <c r="E390" s="256" t="s">
        <v>7504</v>
      </c>
      <c r="F390" s="256">
        <v>30</v>
      </c>
      <c r="G390" s="256">
        <v>80</v>
      </c>
      <c r="H390" s="186">
        <v>0</v>
      </c>
      <c r="I390" s="272">
        <v>9</v>
      </c>
      <c r="J390" s="188">
        <v>2167.83</v>
      </c>
      <c r="K390" s="234">
        <f t="shared" si="178"/>
        <v>19510.47</v>
      </c>
      <c r="L390" s="269"/>
      <c r="M390" s="137"/>
      <c r="N390" s="138"/>
      <c r="O390" s="136">
        <f t="shared" si="179"/>
        <v>9</v>
      </c>
      <c r="P390" s="137">
        <f t="shared" si="180"/>
        <v>2167.83</v>
      </c>
      <c r="Q390" s="138">
        <f t="shared" si="181"/>
        <v>19510.47</v>
      </c>
    </row>
    <row r="391" spans="1:17" x14ac:dyDescent="0.25">
      <c r="A391" s="236" t="s">
        <v>7785</v>
      </c>
      <c r="B391" s="237" t="s">
        <v>7786</v>
      </c>
      <c r="C391" s="238"/>
      <c r="D391" s="239"/>
      <c r="E391" s="240"/>
      <c r="F391" s="241"/>
      <c r="G391" s="241"/>
      <c r="H391" s="242"/>
      <c r="I391" s="270"/>
      <c r="J391" s="271"/>
      <c r="K391" s="271"/>
      <c r="L391" s="270"/>
      <c r="M391" s="271"/>
      <c r="N391" s="271"/>
      <c r="O391" s="270"/>
      <c r="P391" s="271"/>
      <c r="Q391" s="271"/>
    </row>
    <row r="392" spans="1:17" x14ac:dyDescent="0.25">
      <c r="A392" s="252" t="s">
        <v>7787</v>
      </c>
      <c r="B392" s="253" t="s">
        <v>7788</v>
      </c>
      <c r="C392" s="254" t="s">
        <v>378</v>
      </c>
      <c r="D392" s="255" t="s">
        <v>1</v>
      </c>
      <c r="E392" s="256" t="s">
        <v>7607</v>
      </c>
      <c r="F392" s="256">
        <v>60</v>
      </c>
      <c r="G392" s="256">
        <v>10</v>
      </c>
      <c r="H392" s="257">
        <v>0</v>
      </c>
      <c r="I392" s="268">
        <v>12</v>
      </c>
      <c r="J392" s="188">
        <v>734.16</v>
      </c>
      <c r="K392" s="234">
        <f t="shared" ref="K392:K397" si="182">ROUND(I392*J392,2)</f>
        <v>8809.92</v>
      </c>
      <c r="L392" s="269"/>
      <c r="M392" s="137"/>
      <c r="N392" s="138"/>
      <c r="O392" s="136">
        <f t="shared" ref="O392:O397" si="183">SUM(L392,I392)</f>
        <v>12</v>
      </c>
      <c r="P392" s="137">
        <f t="shared" ref="P392:P397" si="184">IF(M392&lt;&gt;"",M392,J392)</f>
        <v>734.16</v>
      </c>
      <c r="Q392" s="138">
        <f t="shared" ref="Q392:Q397" si="185">ROUND(O392*P392,2)</f>
        <v>8809.92</v>
      </c>
    </row>
    <row r="393" spans="1:17" x14ac:dyDescent="0.25">
      <c r="A393" s="252" t="s">
        <v>7789</v>
      </c>
      <c r="B393" s="253" t="s">
        <v>7790</v>
      </c>
      <c r="C393" s="254" t="s">
        <v>460</v>
      </c>
      <c r="D393" s="255" t="s">
        <v>1</v>
      </c>
      <c r="E393" s="256" t="s">
        <v>7607</v>
      </c>
      <c r="F393" s="256">
        <v>60</v>
      </c>
      <c r="G393" s="256">
        <v>10</v>
      </c>
      <c r="H393" s="257">
        <v>0</v>
      </c>
      <c r="I393" s="268">
        <v>3</v>
      </c>
      <c r="J393" s="188">
        <v>885.69</v>
      </c>
      <c r="K393" s="234">
        <f t="shared" si="182"/>
        <v>2657.07</v>
      </c>
      <c r="L393" s="269"/>
      <c r="M393" s="137"/>
      <c r="N393" s="138"/>
      <c r="O393" s="136">
        <f t="shared" si="183"/>
        <v>3</v>
      </c>
      <c r="P393" s="137">
        <f t="shared" si="184"/>
        <v>885.69</v>
      </c>
      <c r="Q393" s="138">
        <f t="shared" si="185"/>
        <v>2657.07</v>
      </c>
    </row>
    <row r="394" spans="1:17" x14ac:dyDescent="0.25">
      <c r="A394" s="252" t="s">
        <v>7791</v>
      </c>
      <c r="B394" s="253" t="s">
        <v>7792</v>
      </c>
      <c r="C394" s="254" t="s">
        <v>460</v>
      </c>
      <c r="D394" s="255" t="s">
        <v>1</v>
      </c>
      <c r="E394" s="256" t="s">
        <v>7607</v>
      </c>
      <c r="F394" s="256">
        <v>60</v>
      </c>
      <c r="G394" s="256">
        <v>10</v>
      </c>
      <c r="H394" s="257">
        <v>0</v>
      </c>
      <c r="I394" s="268">
        <v>3</v>
      </c>
      <c r="J394" s="188">
        <v>1771.3</v>
      </c>
      <c r="K394" s="234">
        <f t="shared" si="182"/>
        <v>5313.9</v>
      </c>
      <c r="L394" s="269"/>
      <c r="M394" s="137"/>
      <c r="N394" s="138"/>
      <c r="O394" s="136">
        <f t="shared" si="183"/>
        <v>3</v>
      </c>
      <c r="P394" s="137">
        <f t="shared" si="184"/>
        <v>1771.3</v>
      </c>
      <c r="Q394" s="138">
        <f t="shared" si="185"/>
        <v>5313.9</v>
      </c>
    </row>
    <row r="395" spans="1:17" x14ac:dyDescent="0.25">
      <c r="A395" s="252" t="s">
        <v>7793</v>
      </c>
      <c r="B395" s="253" t="s">
        <v>7794</v>
      </c>
      <c r="C395" s="254" t="s">
        <v>460</v>
      </c>
      <c r="D395" s="255" t="s">
        <v>1</v>
      </c>
      <c r="E395" s="256" t="s">
        <v>7607</v>
      </c>
      <c r="F395" s="256">
        <v>60</v>
      </c>
      <c r="G395" s="256">
        <v>10</v>
      </c>
      <c r="H395" s="257">
        <v>0</v>
      </c>
      <c r="I395" s="268">
        <v>3</v>
      </c>
      <c r="J395" s="188">
        <v>3280.21</v>
      </c>
      <c r="K395" s="234">
        <f t="shared" si="182"/>
        <v>9840.6299999999992</v>
      </c>
      <c r="L395" s="269"/>
      <c r="M395" s="137"/>
      <c r="N395" s="138"/>
      <c r="O395" s="136">
        <f t="shared" si="183"/>
        <v>3</v>
      </c>
      <c r="P395" s="137">
        <f t="shared" si="184"/>
        <v>3280.21</v>
      </c>
      <c r="Q395" s="138">
        <f t="shared" si="185"/>
        <v>9840.6299999999992</v>
      </c>
    </row>
    <row r="396" spans="1:17" x14ac:dyDescent="0.25">
      <c r="A396" s="252" t="s">
        <v>7795</v>
      </c>
      <c r="B396" s="253" t="s">
        <v>7796</v>
      </c>
      <c r="C396" s="254" t="s">
        <v>266</v>
      </c>
      <c r="D396" s="255" t="s">
        <v>1</v>
      </c>
      <c r="E396" s="256" t="s">
        <v>7607</v>
      </c>
      <c r="F396" s="256">
        <v>50</v>
      </c>
      <c r="G396" s="256" t="s">
        <v>7797</v>
      </c>
      <c r="H396" s="257" t="s">
        <v>7709</v>
      </c>
      <c r="I396" s="268">
        <v>2</v>
      </c>
      <c r="J396" s="188">
        <v>6560.44</v>
      </c>
      <c r="K396" s="234">
        <f t="shared" si="182"/>
        <v>13120.88</v>
      </c>
      <c r="L396" s="269"/>
      <c r="M396" s="137"/>
      <c r="N396" s="138"/>
      <c r="O396" s="136">
        <f t="shared" si="183"/>
        <v>2</v>
      </c>
      <c r="P396" s="137">
        <f t="shared" si="184"/>
        <v>6560.44</v>
      </c>
      <c r="Q396" s="138">
        <f t="shared" si="185"/>
        <v>13120.88</v>
      </c>
    </row>
    <row r="397" spans="1:17" x14ac:dyDescent="0.25">
      <c r="A397" s="252" t="s">
        <v>7798</v>
      </c>
      <c r="B397" s="253" t="s">
        <v>7799</v>
      </c>
      <c r="C397" s="254" t="s">
        <v>378</v>
      </c>
      <c r="D397" s="255" t="s">
        <v>1</v>
      </c>
      <c r="E397" s="256" t="s">
        <v>7607</v>
      </c>
      <c r="F397" s="256">
        <v>50</v>
      </c>
      <c r="G397" s="256" t="s">
        <v>7797</v>
      </c>
      <c r="H397" s="257" t="s">
        <v>7709</v>
      </c>
      <c r="I397" s="268">
        <v>90</v>
      </c>
      <c r="J397" s="188">
        <v>601.59</v>
      </c>
      <c r="K397" s="234">
        <f t="shared" si="182"/>
        <v>54143.1</v>
      </c>
      <c r="L397" s="269"/>
      <c r="M397" s="137"/>
      <c r="N397" s="138"/>
      <c r="O397" s="136">
        <f t="shared" si="183"/>
        <v>90</v>
      </c>
      <c r="P397" s="137">
        <f t="shared" si="184"/>
        <v>601.59</v>
      </c>
      <c r="Q397" s="138">
        <f t="shared" si="185"/>
        <v>54143.1</v>
      </c>
    </row>
    <row r="398" spans="1:17" x14ac:dyDescent="0.25">
      <c r="A398" s="236" t="s">
        <v>7800</v>
      </c>
      <c r="B398" s="237" t="s">
        <v>7801</v>
      </c>
      <c r="C398" s="238"/>
      <c r="D398" s="239"/>
      <c r="E398" s="240"/>
      <c r="F398" s="241"/>
      <c r="G398" s="241"/>
      <c r="H398" s="242"/>
      <c r="I398" s="270"/>
      <c r="J398" s="271"/>
      <c r="K398" s="271"/>
      <c r="L398" s="270"/>
      <c r="M398" s="271"/>
      <c r="N398" s="271"/>
      <c r="O398" s="270"/>
      <c r="P398" s="271"/>
      <c r="Q398" s="271"/>
    </row>
    <row r="399" spans="1:17" ht="22.5" x14ac:dyDescent="0.25">
      <c r="A399" s="169" t="s">
        <v>7802</v>
      </c>
      <c r="B399" s="261" t="s">
        <v>7803</v>
      </c>
      <c r="C399" s="262"/>
      <c r="D399" s="263"/>
      <c r="E399" s="264"/>
      <c r="F399" s="264"/>
      <c r="G399" s="264"/>
      <c r="H399" s="265"/>
      <c r="I399" s="273"/>
      <c r="J399" s="274"/>
      <c r="K399" s="274"/>
      <c r="L399" s="273"/>
      <c r="M399" s="274"/>
      <c r="N399" s="274"/>
      <c r="O399" s="273"/>
      <c r="P399" s="274"/>
      <c r="Q399" s="274"/>
    </row>
    <row r="400" spans="1:17" ht="22.5" x14ac:dyDescent="0.25">
      <c r="A400" s="252" t="s">
        <v>7804</v>
      </c>
      <c r="B400" s="253" t="s">
        <v>7805</v>
      </c>
      <c r="C400" s="254" t="s">
        <v>378</v>
      </c>
      <c r="D400" s="255" t="s">
        <v>1</v>
      </c>
      <c r="E400" s="256" t="s">
        <v>7193</v>
      </c>
      <c r="F400" s="256">
        <v>60</v>
      </c>
      <c r="G400" s="256">
        <v>10</v>
      </c>
      <c r="H400" s="186">
        <v>0</v>
      </c>
      <c r="I400" s="272">
        <v>4</v>
      </c>
      <c r="J400" s="188">
        <v>4712</v>
      </c>
      <c r="K400" s="234">
        <f t="shared" ref="K400:K403" si="186">ROUND(I400*J400,2)</f>
        <v>18848</v>
      </c>
      <c r="L400" s="269"/>
      <c r="M400" s="137"/>
      <c r="N400" s="138"/>
      <c r="O400" s="136">
        <f t="shared" ref="O400:O403" si="187">SUM(L400,I400)</f>
        <v>4</v>
      </c>
      <c r="P400" s="137">
        <f t="shared" ref="P400:P403" si="188">IF(M400&lt;&gt;"",M400,J400)</f>
        <v>4712</v>
      </c>
      <c r="Q400" s="138">
        <f t="shared" ref="Q400:Q403" si="189">ROUND(O400*P400,2)</f>
        <v>18848</v>
      </c>
    </row>
    <row r="401" spans="1:17" ht="22.5" x14ac:dyDescent="0.25">
      <c r="A401" s="252" t="s">
        <v>7806</v>
      </c>
      <c r="B401" s="253" t="s">
        <v>7807</v>
      </c>
      <c r="C401" s="254" t="s">
        <v>378</v>
      </c>
      <c r="D401" s="255" t="s">
        <v>1</v>
      </c>
      <c r="E401" s="256" t="s">
        <v>7193</v>
      </c>
      <c r="F401" s="256">
        <v>60</v>
      </c>
      <c r="G401" s="256">
        <v>10</v>
      </c>
      <c r="H401" s="186">
        <v>0</v>
      </c>
      <c r="I401" s="272">
        <v>4</v>
      </c>
      <c r="J401" s="188">
        <v>6061.21</v>
      </c>
      <c r="K401" s="234">
        <f t="shared" si="186"/>
        <v>24244.84</v>
      </c>
      <c r="L401" s="269"/>
      <c r="M401" s="137"/>
      <c r="N401" s="138"/>
      <c r="O401" s="136">
        <f t="shared" si="187"/>
        <v>4</v>
      </c>
      <c r="P401" s="137">
        <f t="shared" si="188"/>
        <v>6061.21</v>
      </c>
      <c r="Q401" s="138">
        <f t="shared" si="189"/>
        <v>24244.84</v>
      </c>
    </row>
    <row r="402" spans="1:17" ht="22.5" x14ac:dyDescent="0.25">
      <c r="A402" s="252" t="s">
        <v>7808</v>
      </c>
      <c r="B402" s="253" t="s">
        <v>7809</v>
      </c>
      <c r="C402" s="254" t="s">
        <v>378</v>
      </c>
      <c r="D402" s="255" t="s">
        <v>1</v>
      </c>
      <c r="E402" s="256" t="s">
        <v>7193</v>
      </c>
      <c r="F402" s="256">
        <v>60</v>
      </c>
      <c r="G402" s="256">
        <v>10</v>
      </c>
      <c r="H402" s="186">
        <v>0</v>
      </c>
      <c r="I402" s="272">
        <v>12</v>
      </c>
      <c r="J402" s="188">
        <v>7333.56</v>
      </c>
      <c r="K402" s="234">
        <f t="shared" si="186"/>
        <v>88002.72</v>
      </c>
      <c r="L402" s="269"/>
      <c r="M402" s="137"/>
      <c r="N402" s="138"/>
      <c r="O402" s="136">
        <f t="shared" si="187"/>
        <v>12</v>
      </c>
      <c r="P402" s="137">
        <f t="shared" si="188"/>
        <v>7333.56</v>
      </c>
      <c r="Q402" s="138">
        <f t="shared" si="189"/>
        <v>88002.72</v>
      </c>
    </row>
    <row r="403" spans="1:17" ht="22.5" x14ac:dyDescent="0.25">
      <c r="A403" s="252" t="s">
        <v>7810</v>
      </c>
      <c r="B403" s="253" t="s">
        <v>7811</v>
      </c>
      <c r="C403" s="254" t="s">
        <v>378</v>
      </c>
      <c r="D403" s="255" t="s">
        <v>1</v>
      </c>
      <c r="E403" s="256" t="s">
        <v>7193</v>
      </c>
      <c r="F403" s="256">
        <v>60</v>
      </c>
      <c r="G403" s="256">
        <v>10</v>
      </c>
      <c r="H403" s="186">
        <v>0</v>
      </c>
      <c r="I403" s="272">
        <v>12</v>
      </c>
      <c r="J403" s="188">
        <v>19245.87</v>
      </c>
      <c r="K403" s="234">
        <f t="shared" si="186"/>
        <v>230950.44</v>
      </c>
      <c r="L403" s="269"/>
      <c r="M403" s="137"/>
      <c r="N403" s="138"/>
      <c r="O403" s="136">
        <f t="shared" si="187"/>
        <v>12</v>
      </c>
      <c r="P403" s="137">
        <f t="shared" si="188"/>
        <v>19245.87</v>
      </c>
      <c r="Q403" s="138">
        <f t="shared" si="189"/>
        <v>230950.44</v>
      </c>
    </row>
    <row r="404" spans="1:17" x14ac:dyDescent="0.25">
      <c r="A404" s="169" t="s">
        <v>7812</v>
      </c>
      <c r="B404" s="261" t="s">
        <v>7813</v>
      </c>
      <c r="C404" s="262"/>
      <c r="D404" s="263"/>
      <c r="E404" s="264"/>
      <c r="F404" s="264"/>
      <c r="G404" s="264"/>
      <c r="H404" s="265"/>
      <c r="I404" s="273"/>
      <c r="J404" s="274"/>
      <c r="K404" s="274"/>
      <c r="L404" s="273"/>
      <c r="M404" s="274"/>
      <c r="N404" s="274"/>
      <c r="O404" s="273"/>
      <c r="P404" s="274"/>
      <c r="Q404" s="274"/>
    </row>
    <row r="405" spans="1:17" x14ac:dyDescent="0.25">
      <c r="A405" s="252" t="s">
        <v>7814</v>
      </c>
      <c r="B405" s="253" t="s">
        <v>7815</v>
      </c>
      <c r="C405" s="254" t="s">
        <v>266</v>
      </c>
      <c r="D405" s="255" t="s">
        <v>1</v>
      </c>
      <c r="E405" s="256" t="s">
        <v>7193</v>
      </c>
      <c r="F405" s="256">
        <v>75</v>
      </c>
      <c r="G405" s="256">
        <v>30</v>
      </c>
      <c r="H405" s="186" t="s">
        <v>7709</v>
      </c>
      <c r="I405" s="272">
        <v>3.5</v>
      </c>
      <c r="J405" s="188">
        <v>40959</v>
      </c>
      <c r="K405" s="234">
        <f t="shared" ref="K405" si="190">ROUND(I405*J405,2)</f>
        <v>143356.5</v>
      </c>
      <c r="L405" s="269"/>
      <c r="M405" s="137"/>
      <c r="N405" s="138"/>
      <c r="O405" s="136">
        <f>SUM(L405,I405)</f>
        <v>3.5</v>
      </c>
      <c r="P405" s="137">
        <f>IF(M405&lt;&gt;"",M405,J405)</f>
        <v>40959</v>
      </c>
      <c r="Q405" s="138">
        <f>ROUND(O405*P405,2)</f>
        <v>143356.5</v>
      </c>
    </row>
    <row r="406" spans="1:17" x14ac:dyDescent="0.25">
      <c r="A406" s="236" t="s">
        <v>7816</v>
      </c>
      <c r="B406" s="237" t="s">
        <v>7554</v>
      </c>
      <c r="C406" s="238"/>
      <c r="D406" s="239"/>
      <c r="E406" s="240"/>
      <c r="F406" s="241"/>
      <c r="G406" s="241"/>
      <c r="H406" s="242"/>
      <c r="I406" s="270"/>
      <c r="J406" s="271"/>
      <c r="K406" s="271"/>
      <c r="L406" s="270"/>
      <c r="M406" s="271"/>
      <c r="N406" s="271"/>
      <c r="O406" s="270"/>
      <c r="P406" s="271"/>
      <c r="Q406" s="271"/>
    </row>
    <row r="407" spans="1:17" x14ac:dyDescent="0.25">
      <c r="A407" s="252" t="s">
        <v>7817</v>
      </c>
      <c r="B407" s="253" t="s">
        <v>7818</v>
      </c>
      <c r="C407" s="254" t="s">
        <v>7819</v>
      </c>
      <c r="D407" s="255" t="s">
        <v>1</v>
      </c>
      <c r="E407" s="256" t="s">
        <v>7504</v>
      </c>
      <c r="F407" s="256">
        <v>20</v>
      </c>
      <c r="G407" s="256">
        <v>20</v>
      </c>
      <c r="H407" s="186">
        <v>0</v>
      </c>
      <c r="I407" s="272">
        <v>7</v>
      </c>
      <c r="J407" s="188">
        <v>2472.41</v>
      </c>
      <c r="K407" s="234">
        <f t="shared" ref="K407:K410" si="191">ROUND(I407*J407,2)</f>
        <v>17306.87</v>
      </c>
      <c r="L407" s="269"/>
      <c r="M407" s="137"/>
      <c r="N407" s="138"/>
      <c r="O407" s="136">
        <f t="shared" ref="O407:O410" si="192">SUM(L407,I407)</f>
        <v>7</v>
      </c>
      <c r="P407" s="137">
        <f t="shared" ref="P407:P410" si="193">IF(M407&lt;&gt;"",M407,J407)</f>
        <v>2472.41</v>
      </c>
      <c r="Q407" s="138">
        <f t="shared" ref="Q407:Q410" si="194">ROUND(O407*P407,2)</f>
        <v>17306.87</v>
      </c>
    </row>
    <row r="408" spans="1:17" x14ac:dyDescent="0.25">
      <c r="A408" s="252" t="s">
        <v>7820</v>
      </c>
      <c r="B408" s="253" t="s">
        <v>7821</v>
      </c>
      <c r="C408" s="254" t="s">
        <v>7819</v>
      </c>
      <c r="D408" s="255" t="s">
        <v>1</v>
      </c>
      <c r="E408" s="256" t="s">
        <v>7504</v>
      </c>
      <c r="F408" s="256">
        <v>20</v>
      </c>
      <c r="G408" s="256">
        <v>9</v>
      </c>
      <c r="H408" s="186">
        <v>0</v>
      </c>
      <c r="I408" s="272">
        <v>3</v>
      </c>
      <c r="J408" s="188">
        <v>4532.75</v>
      </c>
      <c r="K408" s="234">
        <f t="shared" si="191"/>
        <v>13598.25</v>
      </c>
      <c r="L408" s="269"/>
      <c r="M408" s="137"/>
      <c r="N408" s="138"/>
      <c r="O408" s="136">
        <f t="shared" si="192"/>
        <v>3</v>
      </c>
      <c r="P408" s="137">
        <f t="shared" si="193"/>
        <v>4532.75</v>
      </c>
      <c r="Q408" s="138">
        <f t="shared" si="194"/>
        <v>13598.25</v>
      </c>
    </row>
    <row r="409" spans="1:17" ht="22.5" x14ac:dyDescent="0.25">
      <c r="A409" s="252" t="s">
        <v>7822</v>
      </c>
      <c r="B409" s="253" t="s">
        <v>7823</v>
      </c>
      <c r="C409" s="254" t="s">
        <v>7819</v>
      </c>
      <c r="D409" s="184" t="s">
        <v>1</v>
      </c>
      <c r="E409" s="185" t="s">
        <v>7504</v>
      </c>
      <c r="F409" s="185">
        <v>20</v>
      </c>
      <c r="G409" s="185">
        <v>20</v>
      </c>
      <c r="H409" s="186">
        <v>0</v>
      </c>
      <c r="I409" s="272">
        <v>2</v>
      </c>
      <c r="J409" s="188">
        <v>2472.41</v>
      </c>
      <c r="K409" s="234">
        <f t="shared" si="191"/>
        <v>4944.82</v>
      </c>
      <c r="L409" s="269"/>
      <c r="M409" s="137"/>
      <c r="N409" s="138"/>
      <c r="O409" s="136">
        <f t="shared" si="192"/>
        <v>2</v>
      </c>
      <c r="P409" s="137">
        <f t="shared" si="193"/>
        <v>2472.41</v>
      </c>
      <c r="Q409" s="138">
        <f t="shared" si="194"/>
        <v>4944.82</v>
      </c>
    </row>
    <row r="410" spans="1:17" ht="22.5" x14ac:dyDescent="0.25">
      <c r="A410" s="252" t="s">
        <v>7824</v>
      </c>
      <c r="B410" s="253" t="s">
        <v>7825</v>
      </c>
      <c r="C410" s="254" t="s">
        <v>7819</v>
      </c>
      <c r="D410" s="184" t="s">
        <v>1</v>
      </c>
      <c r="E410" s="185" t="s">
        <v>7504</v>
      </c>
      <c r="F410" s="185">
        <v>20</v>
      </c>
      <c r="G410" s="185">
        <v>20</v>
      </c>
      <c r="H410" s="186">
        <v>0</v>
      </c>
      <c r="I410" s="272">
        <v>2</v>
      </c>
      <c r="J410" s="188">
        <v>2472.41</v>
      </c>
      <c r="K410" s="234">
        <f t="shared" si="191"/>
        <v>4944.82</v>
      </c>
      <c r="L410" s="269"/>
      <c r="M410" s="137"/>
      <c r="N410" s="138"/>
      <c r="O410" s="136">
        <f t="shared" si="192"/>
        <v>2</v>
      </c>
      <c r="P410" s="137">
        <f t="shared" si="193"/>
        <v>2472.41</v>
      </c>
      <c r="Q410" s="138">
        <f t="shared" si="194"/>
        <v>4944.82</v>
      </c>
    </row>
    <row r="411" spans="1:17" x14ac:dyDescent="0.25">
      <c r="A411" s="236" t="s">
        <v>7826</v>
      </c>
      <c r="B411" s="237" t="s">
        <v>7332</v>
      </c>
      <c r="C411" s="238"/>
      <c r="D411" s="239"/>
      <c r="E411" s="240"/>
      <c r="F411" s="241"/>
      <c r="G411" s="241"/>
      <c r="H411" s="242"/>
      <c r="I411" s="270"/>
      <c r="J411" s="271"/>
      <c r="K411" s="271"/>
      <c r="L411" s="270"/>
      <c r="M411" s="271"/>
      <c r="N411" s="271"/>
      <c r="O411" s="270"/>
      <c r="P411" s="271"/>
      <c r="Q411" s="271"/>
    </row>
    <row r="412" spans="1:17" x14ac:dyDescent="0.25">
      <c r="A412" s="244" t="s">
        <v>7827</v>
      </c>
      <c r="B412" s="245" t="s">
        <v>7334</v>
      </c>
      <c r="C412" s="246"/>
      <c r="D412" s="247"/>
      <c r="E412" s="248"/>
      <c r="F412" s="249"/>
      <c r="G412" s="249"/>
      <c r="H412" s="250"/>
      <c r="I412" s="275"/>
      <c r="J412" s="276"/>
      <c r="K412" s="276"/>
      <c r="L412" s="275"/>
      <c r="M412" s="276"/>
      <c r="N412" s="276"/>
      <c r="O412" s="275"/>
      <c r="P412" s="276"/>
      <c r="Q412" s="276"/>
    </row>
    <row r="413" spans="1:17" ht="22.5" x14ac:dyDescent="0.25">
      <c r="A413" s="260" t="s">
        <v>7828</v>
      </c>
      <c r="B413" s="261" t="s">
        <v>7638</v>
      </c>
      <c r="C413" s="262"/>
      <c r="D413" s="263"/>
      <c r="E413" s="264"/>
      <c r="F413" s="264"/>
      <c r="G413" s="264"/>
      <c r="H413" s="265"/>
      <c r="I413" s="273"/>
      <c r="J413" s="274"/>
      <c r="K413" s="274"/>
      <c r="L413" s="273"/>
      <c r="M413" s="274"/>
      <c r="N413" s="274"/>
      <c r="O413" s="273"/>
      <c r="P413" s="274"/>
      <c r="Q413" s="274"/>
    </row>
    <row r="414" spans="1:17" ht="33.75" x14ac:dyDescent="0.25">
      <c r="A414" s="252" t="s">
        <v>7829</v>
      </c>
      <c r="B414" s="253" t="s">
        <v>7830</v>
      </c>
      <c r="C414" s="254" t="s">
        <v>378</v>
      </c>
      <c r="D414" s="255" t="s">
        <v>1</v>
      </c>
      <c r="E414" s="256" t="s">
        <v>7193</v>
      </c>
      <c r="F414" s="256">
        <v>70</v>
      </c>
      <c r="G414" s="256">
        <v>10</v>
      </c>
      <c r="H414" s="257">
        <v>900</v>
      </c>
      <c r="I414" s="272">
        <v>10</v>
      </c>
      <c r="J414" s="188">
        <v>273.77999999999997</v>
      </c>
      <c r="K414" s="234">
        <f t="shared" ref="K414:K415" si="195">ROUND(I414*J414,2)</f>
        <v>2737.8</v>
      </c>
      <c r="L414" s="269"/>
      <c r="M414" s="137"/>
      <c r="N414" s="138"/>
      <c r="O414" s="136">
        <f t="shared" ref="O414:O415" si="196">SUM(L414,I414)</f>
        <v>10</v>
      </c>
      <c r="P414" s="137">
        <f t="shared" ref="P414:P415" si="197">IF(M414&lt;&gt;"",M414,J414)</f>
        <v>273.77999999999997</v>
      </c>
      <c r="Q414" s="138">
        <f t="shared" ref="Q414:Q415" si="198">ROUND(O414*P414,2)</f>
        <v>2737.8</v>
      </c>
    </row>
    <row r="415" spans="1:17" ht="56.25" x14ac:dyDescent="0.25">
      <c r="A415" s="252" t="s">
        <v>7831</v>
      </c>
      <c r="B415" s="253" t="s">
        <v>7832</v>
      </c>
      <c r="C415" s="254" t="s">
        <v>378</v>
      </c>
      <c r="D415" s="255" t="s">
        <v>1</v>
      </c>
      <c r="E415" s="256" t="s">
        <v>7193</v>
      </c>
      <c r="F415" s="256">
        <v>70</v>
      </c>
      <c r="G415" s="256">
        <v>10</v>
      </c>
      <c r="H415" s="257">
        <v>900</v>
      </c>
      <c r="I415" s="272">
        <v>10</v>
      </c>
      <c r="J415" s="188">
        <v>266.33999999999997</v>
      </c>
      <c r="K415" s="234">
        <f t="shared" si="195"/>
        <v>2663.4</v>
      </c>
      <c r="L415" s="269"/>
      <c r="M415" s="137"/>
      <c r="N415" s="138"/>
      <c r="O415" s="136">
        <f t="shared" si="196"/>
        <v>10</v>
      </c>
      <c r="P415" s="137">
        <f t="shared" si="197"/>
        <v>266.33999999999997</v>
      </c>
      <c r="Q415" s="138">
        <f t="shared" si="198"/>
        <v>2663.4</v>
      </c>
    </row>
    <row r="416" spans="1:17" x14ac:dyDescent="0.25">
      <c r="A416" s="260" t="s">
        <v>7833</v>
      </c>
      <c r="B416" s="261" t="s">
        <v>7834</v>
      </c>
      <c r="C416" s="262"/>
      <c r="D416" s="263"/>
      <c r="E416" s="264"/>
      <c r="F416" s="264"/>
      <c r="G416" s="264"/>
      <c r="H416" s="265"/>
      <c r="I416" s="273"/>
      <c r="J416" s="274"/>
      <c r="K416" s="274"/>
      <c r="L416" s="273"/>
      <c r="M416" s="274"/>
      <c r="N416" s="274"/>
      <c r="O416" s="273"/>
      <c r="P416" s="274"/>
      <c r="Q416" s="274"/>
    </row>
    <row r="417" spans="1:17" ht="56.25" x14ac:dyDescent="0.25">
      <c r="A417" s="252" t="s">
        <v>7835</v>
      </c>
      <c r="B417" s="253" t="s">
        <v>7836</v>
      </c>
      <c r="C417" s="254" t="s">
        <v>378</v>
      </c>
      <c r="D417" s="255" t="s">
        <v>1</v>
      </c>
      <c r="E417" s="256" t="s">
        <v>7193</v>
      </c>
      <c r="F417" s="256">
        <v>70</v>
      </c>
      <c r="G417" s="256">
        <v>10</v>
      </c>
      <c r="H417" s="257">
        <v>900</v>
      </c>
      <c r="I417" s="272">
        <v>210</v>
      </c>
      <c r="J417" s="188">
        <v>56.14</v>
      </c>
      <c r="K417" s="234">
        <f t="shared" ref="K417" si="199">ROUND(I417*J417,2)</f>
        <v>11789.4</v>
      </c>
      <c r="L417" s="269"/>
      <c r="M417" s="137"/>
      <c r="N417" s="138"/>
      <c r="O417" s="136">
        <f>SUM(L417,I417)</f>
        <v>210</v>
      </c>
      <c r="P417" s="137">
        <f>IF(M417&lt;&gt;"",M417,J417)</f>
        <v>56.14</v>
      </c>
      <c r="Q417" s="138">
        <f>ROUND(O417*P417,2)</f>
        <v>11789.4</v>
      </c>
    </row>
    <row r="418" spans="1:17" x14ac:dyDescent="0.25">
      <c r="A418" s="244" t="s">
        <v>7837</v>
      </c>
      <c r="B418" s="245" t="s">
        <v>7838</v>
      </c>
      <c r="C418" s="246"/>
      <c r="D418" s="247"/>
      <c r="E418" s="248"/>
      <c r="F418" s="249"/>
      <c r="G418" s="249"/>
      <c r="H418" s="250"/>
      <c r="I418" s="275"/>
      <c r="J418" s="276"/>
      <c r="K418" s="276"/>
      <c r="L418" s="275"/>
      <c r="M418" s="276"/>
      <c r="N418" s="276"/>
      <c r="O418" s="275"/>
      <c r="P418" s="276"/>
      <c r="Q418" s="276"/>
    </row>
    <row r="419" spans="1:17" x14ac:dyDescent="0.25">
      <c r="A419" s="260" t="s">
        <v>7839</v>
      </c>
      <c r="B419" s="261" t="s">
        <v>7840</v>
      </c>
      <c r="C419" s="262"/>
      <c r="D419" s="263"/>
      <c r="E419" s="264"/>
      <c r="F419" s="264"/>
      <c r="G419" s="264"/>
      <c r="H419" s="265"/>
      <c r="I419" s="273"/>
      <c r="J419" s="274"/>
      <c r="K419" s="274"/>
      <c r="L419" s="273"/>
      <c r="M419" s="274"/>
      <c r="N419" s="274"/>
      <c r="O419" s="273"/>
      <c r="P419" s="274"/>
      <c r="Q419" s="274"/>
    </row>
    <row r="420" spans="1:17" ht="33.75" x14ac:dyDescent="0.25">
      <c r="A420" s="252" t="s">
        <v>7841</v>
      </c>
      <c r="B420" s="253" t="s">
        <v>7842</v>
      </c>
      <c r="C420" s="254" t="s">
        <v>378</v>
      </c>
      <c r="D420" s="255" t="s">
        <v>1</v>
      </c>
      <c r="E420" s="256" t="s">
        <v>7504</v>
      </c>
      <c r="F420" s="256">
        <v>70</v>
      </c>
      <c r="G420" s="256">
        <v>10</v>
      </c>
      <c r="H420" s="257">
        <v>0</v>
      </c>
      <c r="I420" s="272">
        <v>700</v>
      </c>
      <c r="J420" s="188">
        <v>47.38</v>
      </c>
      <c r="K420" s="234">
        <f t="shared" ref="K420:K422" si="200">ROUND(I420*J420,2)</f>
        <v>33166</v>
      </c>
      <c r="L420" s="269"/>
      <c r="M420" s="137"/>
      <c r="N420" s="138"/>
      <c r="O420" s="136">
        <f t="shared" ref="O420:O422" si="201">SUM(L420,I420)</f>
        <v>700</v>
      </c>
      <c r="P420" s="137">
        <f t="shared" ref="P420:P422" si="202">IF(M420&lt;&gt;"",M420,J420)</f>
        <v>47.38</v>
      </c>
      <c r="Q420" s="138">
        <f t="shared" ref="Q420:Q422" si="203">ROUND(O420*P420,2)</f>
        <v>33166</v>
      </c>
    </row>
    <row r="421" spans="1:17" ht="56.25" x14ac:dyDescent="0.25">
      <c r="A421" s="252" t="s">
        <v>7843</v>
      </c>
      <c r="B421" s="253" t="s">
        <v>7844</v>
      </c>
      <c r="C421" s="254" t="s">
        <v>378</v>
      </c>
      <c r="D421" s="255" t="s">
        <v>1</v>
      </c>
      <c r="E421" s="256" t="s">
        <v>7504</v>
      </c>
      <c r="F421" s="256">
        <v>70</v>
      </c>
      <c r="G421" s="256">
        <v>10</v>
      </c>
      <c r="H421" s="257">
        <v>0</v>
      </c>
      <c r="I421" s="272">
        <v>210</v>
      </c>
      <c r="J421" s="188">
        <v>64.91</v>
      </c>
      <c r="K421" s="234">
        <f t="shared" si="200"/>
        <v>13631.1</v>
      </c>
      <c r="L421" s="269"/>
      <c r="M421" s="137"/>
      <c r="N421" s="138"/>
      <c r="O421" s="136">
        <f t="shared" si="201"/>
        <v>210</v>
      </c>
      <c r="P421" s="137">
        <f t="shared" si="202"/>
        <v>64.91</v>
      </c>
      <c r="Q421" s="138">
        <f t="shared" si="203"/>
        <v>13631.1</v>
      </c>
    </row>
    <row r="422" spans="1:17" ht="22.5" x14ac:dyDescent="0.25">
      <c r="A422" s="252" t="s">
        <v>7845</v>
      </c>
      <c r="B422" s="253" t="s">
        <v>7846</v>
      </c>
      <c r="C422" s="254" t="s">
        <v>378</v>
      </c>
      <c r="D422" s="255" t="s">
        <v>1</v>
      </c>
      <c r="E422" s="256" t="s">
        <v>7504</v>
      </c>
      <c r="F422" s="256">
        <v>70</v>
      </c>
      <c r="G422" s="256">
        <v>10</v>
      </c>
      <c r="H422" s="257">
        <v>0</v>
      </c>
      <c r="I422" s="272">
        <v>210</v>
      </c>
      <c r="J422" s="188">
        <v>20.63</v>
      </c>
      <c r="K422" s="234">
        <f t="shared" si="200"/>
        <v>4332.3</v>
      </c>
      <c r="L422" s="269"/>
      <c r="M422" s="137"/>
      <c r="N422" s="138"/>
      <c r="O422" s="136">
        <f t="shared" si="201"/>
        <v>210</v>
      </c>
      <c r="P422" s="137">
        <f t="shared" si="202"/>
        <v>20.63</v>
      </c>
      <c r="Q422" s="138">
        <f t="shared" si="203"/>
        <v>4332.3</v>
      </c>
    </row>
    <row r="423" spans="1:17" x14ac:dyDescent="0.25">
      <c r="A423" s="260" t="s">
        <v>7847</v>
      </c>
      <c r="B423" s="261" t="s">
        <v>7848</v>
      </c>
      <c r="C423" s="262"/>
      <c r="D423" s="263"/>
      <c r="E423" s="264"/>
      <c r="F423" s="264"/>
      <c r="G423" s="264"/>
      <c r="H423" s="265"/>
      <c r="I423" s="273"/>
      <c r="J423" s="274"/>
      <c r="K423" s="274"/>
      <c r="L423" s="273"/>
      <c r="M423" s="274"/>
      <c r="N423" s="274"/>
      <c r="O423" s="273"/>
      <c r="P423" s="274"/>
      <c r="Q423" s="274"/>
    </row>
    <row r="424" spans="1:17" ht="56.25" x14ac:dyDescent="0.25">
      <c r="A424" s="252" t="s">
        <v>7849</v>
      </c>
      <c r="B424" s="253" t="s">
        <v>7850</v>
      </c>
      <c r="C424" s="254" t="s">
        <v>378</v>
      </c>
      <c r="D424" s="255" t="s">
        <v>1</v>
      </c>
      <c r="E424" s="256" t="s">
        <v>7504</v>
      </c>
      <c r="F424" s="256">
        <v>70</v>
      </c>
      <c r="G424" s="256">
        <v>10</v>
      </c>
      <c r="H424" s="257">
        <v>0</v>
      </c>
      <c r="I424" s="272">
        <v>10</v>
      </c>
      <c r="J424" s="188">
        <v>20.63</v>
      </c>
      <c r="K424" s="234">
        <f t="shared" ref="K424" si="204">ROUND(I424*J424,2)</f>
        <v>206.3</v>
      </c>
      <c r="L424" s="269"/>
      <c r="M424" s="137"/>
      <c r="N424" s="138"/>
      <c r="O424" s="136">
        <f>SUM(L424,I424)</f>
        <v>10</v>
      </c>
      <c r="P424" s="137">
        <f>IF(M424&lt;&gt;"",M424,J424)</f>
        <v>20.63</v>
      </c>
      <c r="Q424" s="138">
        <f>ROUND(O424*P424,2)</f>
        <v>206.3</v>
      </c>
    </row>
    <row r="425" spans="1:17" ht="22.5" x14ac:dyDescent="0.25">
      <c r="A425" s="244" t="s">
        <v>7851</v>
      </c>
      <c r="B425" s="245" t="s">
        <v>7380</v>
      </c>
      <c r="C425" s="246"/>
      <c r="D425" s="247"/>
      <c r="E425" s="248"/>
      <c r="F425" s="249"/>
      <c r="G425" s="249"/>
      <c r="H425" s="250"/>
      <c r="I425" s="275"/>
      <c r="J425" s="276" t="s">
        <v>7083</v>
      </c>
      <c r="K425" s="276"/>
      <c r="L425" s="275"/>
      <c r="M425" s="276"/>
      <c r="N425" s="276"/>
      <c r="O425" s="275"/>
      <c r="P425" s="276" t="s">
        <v>7083</v>
      </c>
      <c r="Q425" s="276"/>
    </row>
    <row r="426" spans="1:17" ht="22.5" x14ac:dyDescent="0.25">
      <c r="A426" s="260" t="s">
        <v>7852</v>
      </c>
      <c r="B426" s="261" t="s">
        <v>7388</v>
      </c>
      <c r="C426" s="262"/>
      <c r="D426" s="263"/>
      <c r="E426" s="264"/>
      <c r="F426" s="264"/>
      <c r="G426" s="264"/>
      <c r="H426" s="265"/>
      <c r="I426" s="273"/>
      <c r="J426" s="274"/>
      <c r="K426" s="274"/>
      <c r="L426" s="273"/>
      <c r="M426" s="274"/>
      <c r="N426" s="274"/>
      <c r="O426" s="273"/>
      <c r="P426" s="274"/>
      <c r="Q426" s="274"/>
    </row>
    <row r="427" spans="1:17" ht="33.75" x14ac:dyDescent="0.25">
      <c r="A427" s="252" t="s">
        <v>7853</v>
      </c>
      <c r="B427" s="253" t="s">
        <v>7854</v>
      </c>
      <c r="C427" s="254" t="s">
        <v>378</v>
      </c>
      <c r="D427" s="255" t="s">
        <v>1</v>
      </c>
      <c r="E427" s="256" t="s">
        <v>7193</v>
      </c>
      <c r="F427" s="256">
        <v>70</v>
      </c>
      <c r="G427" s="256">
        <v>10</v>
      </c>
      <c r="H427" s="257">
        <v>900</v>
      </c>
      <c r="I427" s="272">
        <v>70</v>
      </c>
      <c r="J427" s="188">
        <v>24.67</v>
      </c>
      <c r="K427" s="234">
        <f t="shared" ref="K427" si="205">ROUND(I427*J427,2)</f>
        <v>1726.9</v>
      </c>
      <c r="L427" s="269"/>
      <c r="M427" s="137"/>
      <c r="N427" s="138"/>
      <c r="O427" s="136">
        <f>SUM(L427,I427)</f>
        <v>70</v>
      </c>
      <c r="P427" s="137">
        <f>IF(M427&lt;&gt;"",M427,J427)</f>
        <v>24.67</v>
      </c>
      <c r="Q427" s="138">
        <f>ROUND(O427*P427,2)</f>
        <v>1726.9</v>
      </c>
    </row>
    <row r="428" spans="1:17" x14ac:dyDescent="0.25">
      <c r="A428" s="176" t="s">
        <v>7853</v>
      </c>
      <c r="B428" s="176" t="s">
        <v>7382</v>
      </c>
      <c r="C428" s="177"/>
      <c r="D428" s="177"/>
      <c r="E428" s="178"/>
      <c r="F428" s="178"/>
      <c r="G428" s="178"/>
      <c r="H428" s="179"/>
      <c r="I428" s="277"/>
      <c r="J428" s="181" t="s">
        <v>7083</v>
      </c>
      <c r="K428" s="182"/>
      <c r="L428" s="277"/>
      <c r="M428" s="181"/>
      <c r="N428" s="182"/>
      <c r="O428" s="277"/>
      <c r="P428" s="181" t="s">
        <v>7083</v>
      </c>
      <c r="Q428" s="182"/>
    </row>
    <row r="429" spans="1:17" ht="45" x14ac:dyDescent="0.25">
      <c r="A429" s="252" t="s">
        <v>7855</v>
      </c>
      <c r="B429" s="253" t="s">
        <v>7384</v>
      </c>
      <c r="C429" s="254" t="s">
        <v>378</v>
      </c>
      <c r="D429" s="255" t="s">
        <v>1</v>
      </c>
      <c r="E429" s="256" t="s">
        <v>7193</v>
      </c>
      <c r="F429" s="256">
        <v>70</v>
      </c>
      <c r="G429" s="256">
        <v>10</v>
      </c>
      <c r="H429" s="257">
        <v>900</v>
      </c>
      <c r="I429" s="272">
        <v>10</v>
      </c>
      <c r="J429" s="188">
        <v>31.74</v>
      </c>
      <c r="K429" s="234">
        <f t="shared" ref="K429" si="206">ROUND(I429*J429,2)</f>
        <v>317.39999999999998</v>
      </c>
      <c r="L429" s="269"/>
      <c r="M429" s="137"/>
      <c r="N429" s="138"/>
      <c r="O429" s="136">
        <f>SUM(L429,I429)</f>
        <v>10</v>
      </c>
      <c r="P429" s="137">
        <f>IF(M429&lt;&gt;"",M429,J429)</f>
        <v>31.74</v>
      </c>
      <c r="Q429" s="138">
        <f>ROUND(O429*P429,2)</f>
        <v>317.39999999999998</v>
      </c>
    </row>
    <row r="430" spans="1:17" x14ac:dyDescent="0.25">
      <c r="A430" s="260" t="s">
        <v>7856</v>
      </c>
      <c r="B430" s="261" t="s">
        <v>7464</v>
      </c>
      <c r="C430" s="262"/>
      <c r="D430" s="263"/>
      <c r="E430" s="264"/>
      <c r="F430" s="264"/>
      <c r="G430" s="264"/>
      <c r="H430" s="265"/>
      <c r="I430" s="273"/>
      <c r="J430" s="274" t="s">
        <v>7083</v>
      </c>
      <c r="K430" s="274"/>
      <c r="L430" s="273"/>
      <c r="M430" s="274"/>
      <c r="N430" s="274"/>
      <c r="O430" s="273"/>
      <c r="P430" s="274" t="s">
        <v>7083</v>
      </c>
      <c r="Q430" s="274"/>
    </row>
    <row r="431" spans="1:17" x14ac:dyDescent="0.25">
      <c r="A431" s="252" t="s">
        <v>7857</v>
      </c>
      <c r="B431" s="253" t="s">
        <v>7468</v>
      </c>
      <c r="C431" s="254" t="s">
        <v>460</v>
      </c>
      <c r="D431" s="255" t="s">
        <v>1</v>
      </c>
      <c r="E431" s="256" t="s">
        <v>7193</v>
      </c>
      <c r="F431" s="256">
        <v>70</v>
      </c>
      <c r="G431" s="256">
        <v>65</v>
      </c>
      <c r="H431" s="257">
        <v>10</v>
      </c>
      <c r="I431" s="272">
        <v>7</v>
      </c>
      <c r="J431" s="188">
        <v>242.89</v>
      </c>
      <c r="K431" s="234">
        <f t="shared" ref="K431:K432" si="207">ROUND(I431*J431,2)</f>
        <v>1700.23</v>
      </c>
      <c r="L431" s="269"/>
      <c r="M431" s="137"/>
      <c r="N431" s="138"/>
      <c r="O431" s="136">
        <f t="shared" ref="O431:O432" si="208">SUM(L431,I431)</f>
        <v>7</v>
      </c>
      <c r="P431" s="137">
        <f t="shared" ref="P431:P432" si="209">IF(M431&lt;&gt;"",M431,J431)</f>
        <v>242.89</v>
      </c>
      <c r="Q431" s="138">
        <f t="shared" ref="Q431:Q432" si="210">ROUND(O431*P431,2)</f>
        <v>1700.23</v>
      </c>
    </row>
    <row r="432" spans="1:17" x14ac:dyDescent="0.25">
      <c r="A432" s="252" t="s">
        <v>7858</v>
      </c>
      <c r="B432" s="253" t="s">
        <v>7470</v>
      </c>
      <c r="C432" s="254" t="s">
        <v>460</v>
      </c>
      <c r="D432" s="255" t="s">
        <v>1</v>
      </c>
      <c r="E432" s="256" t="s">
        <v>7193</v>
      </c>
      <c r="F432" s="256">
        <v>70</v>
      </c>
      <c r="G432" s="256">
        <v>65</v>
      </c>
      <c r="H432" s="257">
        <v>10</v>
      </c>
      <c r="I432" s="272">
        <v>7</v>
      </c>
      <c r="J432" s="188">
        <v>242.89</v>
      </c>
      <c r="K432" s="234">
        <f t="shared" si="207"/>
        <v>1700.23</v>
      </c>
      <c r="L432" s="269"/>
      <c r="M432" s="137"/>
      <c r="N432" s="138"/>
      <c r="O432" s="136">
        <f t="shared" si="208"/>
        <v>7</v>
      </c>
      <c r="P432" s="137">
        <f t="shared" si="209"/>
        <v>242.89</v>
      </c>
      <c r="Q432" s="138">
        <f t="shared" si="210"/>
        <v>1700.23</v>
      </c>
    </row>
    <row r="433" spans="1:17" x14ac:dyDescent="0.25">
      <c r="A433" s="260" t="s">
        <v>7859</v>
      </c>
      <c r="B433" s="261" t="s">
        <v>7860</v>
      </c>
      <c r="C433" s="262"/>
      <c r="D433" s="263"/>
      <c r="E433" s="264"/>
      <c r="F433" s="264"/>
      <c r="G433" s="264"/>
      <c r="H433" s="265"/>
      <c r="I433" s="266"/>
      <c r="J433" s="267"/>
      <c r="K433" s="267"/>
      <c r="L433" s="266"/>
      <c r="M433" s="267"/>
      <c r="N433" s="267"/>
      <c r="O433" s="266"/>
      <c r="P433" s="267"/>
      <c r="Q433" s="267"/>
    </row>
    <row r="434" spans="1:17" x14ac:dyDescent="0.25">
      <c r="A434" s="252" t="s">
        <v>7861</v>
      </c>
      <c r="B434" s="253" t="s">
        <v>7862</v>
      </c>
      <c r="C434" s="254" t="s">
        <v>378</v>
      </c>
      <c r="D434" s="255" t="s">
        <v>1</v>
      </c>
      <c r="E434" s="256" t="s">
        <v>7193</v>
      </c>
      <c r="F434" s="256">
        <v>70</v>
      </c>
      <c r="G434" s="256">
        <v>30</v>
      </c>
      <c r="H434" s="186">
        <v>0</v>
      </c>
      <c r="I434" s="268">
        <v>1000</v>
      </c>
      <c r="J434" s="188">
        <v>223.5</v>
      </c>
      <c r="K434" s="234">
        <f t="shared" ref="K434" si="211">ROUND(I434*J434,2)</f>
        <v>223500</v>
      </c>
      <c r="L434" s="269"/>
      <c r="M434" s="137"/>
      <c r="N434" s="138"/>
      <c r="O434" s="136">
        <f>SUM(L434,I434)</f>
        <v>1000</v>
      </c>
      <c r="P434" s="137">
        <f>IF(M434&lt;&gt;"",M434,J434)</f>
        <v>223.5</v>
      </c>
      <c r="Q434" s="138">
        <f>ROUND(O434*P434,2)</f>
        <v>223500</v>
      </c>
    </row>
    <row r="435" spans="1:17" ht="22.5" x14ac:dyDescent="0.25">
      <c r="A435" s="260" t="s">
        <v>7863</v>
      </c>
      <c r="B435" s="261" t="s">
        <v>7412</v>
      </c>
      <c r="C435" s="262"/>
      <c r="D435" s="263"/>
      <c r="E435" s="264"/>
      <c r="F435" s="264"/>
      <c r="G435" s="264"/>
      <c r="H435" s="265"/>
      <c r="I435" s="266"/>
      <c r="J435" s="267"/>
      <c r="K435" s="267"/>
      <c r="L435" s="266"/>
      <c r="M435" s="267"/>
      <c r="N435" s="267"/>
      <c r="O435" s="266"/>
      <c r="P435" s="267"/>
      <c r="Q435" s="267"/>
    </row>
    <row r="436" spans="1:17" ht="22.5" x14ac:dyDescent="0.25">
      <c r="A436" s="252" t="s">
        <v>7864</v>
      </c>
      <c r="B436" s="253" t="s">
        <v>7865</v>
      </c>
      <c r="C436" s="254" t="s">
        <v>378</v>
      </c>
      <c r="D436" s="255" t="s">
        <v>1</v>
      </c>
      <c r="E436" s="256" t="s">
        <v>7193</v>
      </c>
      <c r="F436" s="256">
        <v>70</v>
      </c>
      <c r="G436" s="256">
        <v>30</v>
      </c>
      <c r="H436" s="186">
        <v>0</v>
      </c>
      <c r="I436" s="268">
        <v>10</v>
      </c>
      <c r="J436" s="188">
        <v>125.5</v>
      </c>
      <c r="K436" s="234">
        <f t="shared" ref="K436:K441" si="212">ROUND(I436*J436,2)</f>
        <v>1255</v>
      </c>
      <c r="L436" s="268"/>
      <c r="M436" s="137"/>
      <c r="N436" s="138"/>
      <c r="O436" s="136">
        <f t="shared" ref="O436:O441" si="213">SUM(L436,I436)</f>
        <v>10</v>
      </c>
      <c r="P436" s="137">
        <f t="shared" ref="P436:P441" si="214">IF(M436&lt;&gt;"",M436,J436)</f>
        <v>125.5</v>
      </c>
      <c r="Q436" s="138">
        <f t="shared" ref="Q436:Q441" si="215">ROUND(O436*P436,2)</f>
        <v>1255</v>
      </c>
    </row>
    <row r="437" spans="1:17" ht="22.5" x14ac:dyDescent="0.25">
      <c r="A437" s="252" t="s">
        <v>7866</v>
      </c>
      <c r="B437" s="253" t="s">
        <v>7867</v>
      </c>
      <c r="C437" s="254" t="s">
        <v>378</v>
      </c>
      <c r="D437" s="255" t="s">
        <v>1</v>
      </c>
      <c r="E437" s="256" t="s">
        <v>7193</v>
      </c>
      <c r="F437" s="256">
        <v>70</v>
      </c>
      <c r="G437" s="256">
        <v>30</v>
      </c>
      <c r="H437" s="186">
        <v>0</v>
      </c>
      <c r="I437" s="268">
        <v>10</v>
      </c>
      <c r="J437" s="188">
        <v>167.38</v>
      </c>
      <c r="K437" s="234">
        <f t="shared" si="212"/>
        <v>1673.8</v>
      </c>
      <c r="L437" s="268"/>
      <c r="M437" s="137"/>
      <c r="N437" s="138"/>
      <c r="O437" s="136">
        <f t="shared" si="213"/>
        <v>10</v>
      </c>
      <c r="P437" s="137">
        <f t="shared" si="214"/>
        <v>167.38</v>
      </c>
      <c r="Q437" s="138">
        <f t="shared" si="215"/>
        <v>1673.8</v>
      </c>
    </row>
    <row r="438" spans="1:17" ht="22.5" x14ac:dyDescent="0.25">
      <c r="A438" s="252" t="s">
        <v>7868</v>
      </c>
      <c r="B438" s="253" t="s">
        <v>7869</v>
      </c>
      <c r="C438" s="254" t="s">
        <v>378</v>
      </c>
      <c r="D438" s="255" t="s">
        <v>1</v>
      </c>
      <c r="E438" s="256" t="s">
        <v>7193</v>
      </c>
      <c r="F438" s="256">
        <v>70</v>
      </c>
      <c r="G438" s="256">
        <v>30</v>
      </c>
      <c r="H438" s="186">
        <v>0</v>
      </c>
      <c r="I438" s="268">
        <v>10</v>
      </c>
      <c r="J438" s="188">
        <v>234.98</v>
      </c>
      <c r="K438" s="234">
        <f t="shared" si="212"/>
        <v>2349.8000000000002</v>
      </c>
      <c r="L438" s="268"/>
      <c r="M438" s="137"/>
      <c r="N438" s="138"/>
      <c r="O438" s="136">
        <f t="shared" si="213"/>
        <v>10</v>
      </c>
      <c r="P438" s="137">
        <f t="shared" si="214"/>
        <v>234.98</v>
      </c>
      <c r="Q438" s="138">
        <f t="shared" si="215"/>
        <v>2349.8000000000002</v>
      </c>
    </row>
    <row r="439" spans="1:17" x14ac:dyDescent="0.25">
      <c r="A439" s="252" t="s">
        <v>7870</v>
      </c>
      <c r="B439" s="253" t="s">
        <v>7871</v>
      </c>
      <c r="C439" s="254" t="s">
        <v>378</v>
      </c>
      <c r="D439" s="255" t="s">
        <v>1</v>
      </c>
      <c r="E439" s="256" t="s">
        <v>7193</v>
      </c>
      <c r="F439" s="256">
        <v>70</v>
      </c>
      <c r="G439" s="256">
        <v>30</v>
      </c>
      <c r="H439" s="186">
        <v>0</v>
      </c>
      <c r="I439" s="268">
        <v>15</v>
      </c>
      <c r="J439" s="188">
        <v>519.1</v>
      </c>
      <c r="K439" s="234">
        <f t="shared" si="212"/>
        <v>7786.5</v>
      </c>
      <c r="L439" s="268"/>
      <c r="M439" s="137"/>
      <c r="N439" s="138"/>
      <c r="O439" s="136">
        <f t="shared" si="213"/>
        <v>15</v>
      </c>
      <c r="P439" s="137">
        <f t="shared" si="214"/>
        <v>519.1</v>
      </c>
      <c r="Q439" s="138">
        <f t="shared" si="215"/>
        <v>7786.5</v>
      </c>
    </row>
    <row r="440" spans="1:17" ht="22.5" x14ac:dyDescent="0.25">
      <c r="A440" s="252" t="s">
        <v>7872</v>
      </c>
      <c r="B440" s="253" t="s">
        <v>7873</v>
      </c>
      <c r="C440" s="254" t="s">
        <v>378</v>
      </c>
      <c r="D440" s="255" t="s">
        <v>1</v>
      </c>
      <c r="E440" s="256" t="s">
        <v>7193</v>
      </c>
      <c r="F440" s="256">
        <v>70</v>
      </c>
      <c r="G440" s="256">
        <v>30</v>
      </c>
      <c r="H440" s="186">
        <v>0</v>
      </c>
      <c r="I440" s="268">
        <v>8</v>
      </c>
      <c r="J440" s="188">
        <v>90.98</v>
      </c>
      <c r="K440" s="234">
        <f t="shared" si="212"/>
        <v>727.84</v>
      </c>
      <c r="L440" s="268"/>
      <c r="M440" s="137"/>
      <c r="N440" s="138"/>
      <c r="O440" s="136">
        <f t="shared" si="213"/>
        <v>8</v>
      </c>
      <c r="P440" s="137">
        <f t="shared" si="214"/>
        <v>90.98</v>
      </c>
      <c r="Q440" s="138">
        <f t="shared" si="215"/>
        <v>727.84</v>
      </c>
    </row>
    <row r="441" spans="1:17" ht="22.5" x14ac:dyDescent="0.25">
      <c r="A441" s="252" t="s">
        <v>7874</v>
      </c>
      <c r="B441" s="253" t="s">
        <v>7875</v>
      </c>
      <c r="C441" s="254" t="s">
        <v>378</v>
      </c>
      <c r="D441" s="255" t="s">
        <v>1</v>
      </c>
      <c r="E441" s="256" t="s">
        <v>7193</v>
      </c>
      <c r="F441" s="256">
        <v>70</v>
      </c>
      <c r="G441" s="256">
        <v>30</v>
      </c>
      <c r="H441" s="186">
        <v>0</v>
      </c>
      <c r="I441" s="268">
        <v>8</v>
      </c>
      <c r="J441" s="188">
        <v>139.82</v>
      </c>
      <c r="K441" s="234">
        <f t="shared" si="212"/>
        <v>1118.56</v>
      </c>
      <c r="L441" s="268"/>
      <c r="M441" s="137"/>
      <c r="N441" s="138"/>
      <c r="O441" s="136">
        <f t="shared" si="213"/>
        <v>8</v>
      </c>
      <c r="P441" s="137">
        <f t="shared" si="214"/>
        <v>139.82</v>
      </c>
      <c r="Q441" s="138">
        <f t="shared" si="215"/>
        <v>1118.56</v>
      </c>
    </row>
    <row r="442" spans="1:17" x14ac:dyDescent="0.25">
      <c r="A442" s="169" t="s">
        <v>7876</v>
      </c>
      <c r="B442" s="169" t="s">
        <v>7432</v>
      </c>
      <c r="C442" s="170"/>
      <c r="D442" s="170"/>
      <c r="E442" s="171"/>
      <c r="F442" s="171"/>
      <c r="G442" s="171"/>
      <c r="H442" s="172"/>
      <c r="I442" s="278"/>
      <c r="J442" s="174" t="s">
        <v>7083</v>
      </c>
      <c r="K442" s="175"/>
      <c r="L442" s="278"/>
      <c r="M442" s="174"/>
      <c r="N442" s="175"/>
      <c r="O442" s="278"/>
      <c r="P442" s="174" t="s">
        <v>7083</v>
      </c>
      <c r="Q442" s="175"/>
    </row>
    <row r="443" spans="1:17" ht="22.5" x14ac:dyDescent="0.25">
      <c r="A443" s="252" t="s">
        <v>7877</v>
      </c>
      <c r="B443" s="253" t="s">
        <v>7878</v>
      </c>
      <c r="C443" s="254" t="s">
        <v>378</v>
      </c>
      <c r="D443" s="255" t="s">
        <v>1</v>
      </c>
      <c r="E443" s="256" t="s">
        <v>7193</v>
      </c>
      <c r="F443" s="256">
        <v>70</v>
      </c>
      <c r="G443" s="256">
        <v>30</v>
      </c>
      <c r="H443" s="186">
        <v>0</v>
      </c>
      <c r="I443" s="268">
        <v>10</v>
      </c>
      <c r="J443" s="188">
        <v>664.22</v>
      </c>
      <c r="K443" s="234">
        <f t="shared" ref="K443" si="216">ROUND(I443*J443,2)</f>
        <v>6642.2</v>
      </c>
      <c r="L443" s="268"/>
      <c r="M443" s="137"/>
      <c r="N443" s="138"/>
      <c r="O443" s="136">
        <f>SUM(L443,I443)</f>
        <v>10</v>
      </c>
      <c r="P443" s="137">
        <f>IF(M443&lt;&gt;"",M443,J443)</f>
        <v>664.22</v>
      </c>
      <c r="Q443" s="138">
        <f>ROUND(O443*P443,2)</f>
        <v>6642.2</v>
      </c>
    </row>
    <row r="444" spans="1:17" x14ac:dyDescent="0.25">
      <c r="A444" s="176" t="s">
        <v>7879</v>
      </c>
      <c r="B444" s="169" t="s">
        <v>7476</v>
      </c>
      <c r="C444" s="177"/>
      <c r="D444" s="177"/>
      <c r="E444" s="178"/>
      <c r="F444" s="178"/>
      <c r="G444" s="178"/>
      <c r="H444" s="179"/>
      <c r="I444" s="277"/>
      <c r="J444" s="181" t="s">
        <v>7083</v>
      </c>
      <c r="K444" s="182"/>
      <c r="L444" s="277"/>
      <c r="M444" s="181"/>
      <c r="N444" s="182"/>
      <c r="O444" s="277"/>
      <c r="P444" s="181" t="s">
        <v>7083</v>
      </c>
      <c r="Q444" s="182"/>
    </row>
    <row r="445" spans="1:17" ht="22.5" x14ac:dyDescent="0.25">
      <c r="A445" s="252" t="s">
        <v>7880</v>
      </c>
      <c r="B445" s="253" t="s">
        <v>7881</v>
      </c>
      <c r="C445" s="254" t="s">
        <v>911</v>
      </c>
      <c r="D445" s="255" t="s">
        <v>1</v>
      </c>
      <c r="E445" s="256" t="s">
        <v>7193</v>
      </c>
      <c r="F445" s="256">
        <v>70</v>
      </c>
      <c r="G445" s="256">
        <v>65</v>
      </c>
      <c r="H445" s="186">
        <v>40</v>
      </c>
      <c r="I445" s="268">
        <v>10</v>
      </c>
      <c r="J445" s="188">
        <v>2619.77</v>
      </c>
      <c r="K445" s="234">
        <f t="shared" ref="K445" si="217">ROUND(I445*J445,2)</f>
        <v>26197.7</v>
      </c>
      <c r="L445" s="268"/>
      <c r="M445" s="137"/>
      <c r="N445" s="138"/>
      <c r="O445" s="136">
        <f>SUM(L445,I445)</f>
        <v>10</v>
      </c>
      <c r="P445" s="137">
        <f>IF(M445&lt;&gt;"",M445,J445)</f>
        <v>2619.77</v>
      </c>
      <c r="Q445" s="138">
        <f>ROUND(O445*P445,2)</f>
        <v>26197.7</v>
      </c>
    </row>
    <row r="446" spans="1:17" x14ac:dyDescent="0.25">
      <c r="A446" s="236" t="s">
        <v>7882</v>
      </c>
      <c r="B446" s="165" t="s">
        <v>7883</v>
      </c>
      <c r="C446" s="279"/>
      <c r="D446" s="280"/>
      <c r="E446" s="281"/>
      <c r="F446" s="281"/>
      <c r="G446" s="281"/>
      <c r="H446" s="282"/>
      <c r="I446" s="283"/>
      <c r="J446" s="284"/>
      <c r="K446" s="284"/>
      <c r="L446" s="283"/>
      <c r="M446" s="284"/>
      <c r="N446" s="284"/>
      <c r="O446" s="283"/>
      <c r="P446" s="284"/>
      <c r="Q446" s="284"/>
    </row>
    <row r="447" spans="1:17" x14ac:dyDescent="0.25">
      <c r="A447" s="252" t="s">
        <v>7884</v>
      </c>
      <c r="B447" s="253" t="s">
        <v>7885</v>
      </c>
      <c r="C447" s="254" t="s">
        <v>524</v>
      </c>
      <c r="D447" s="231" t="s">
        <v>1</v>
      </c>
      <c r="E447" s="232" t="s">
        <v>7675</v>
      </c>
      <c r="F447" s="232">
        <v>5</v>
      </c>
      <c r="G447" s="232">
        <v>5</v>
      </c>
      <c r="H447" s="186">
        <v>10</v>
      </c>
      <c r="I447" s="268">
        <v>20</v>
      </c>
      <c r="J447" s="188">
        <v>274.31</v>
      </c>
      <c r="K447" s="234">
        <f t="shared" ref="K447" si="218">ROUND(I447*J447,2)</f>
        <v>5486.2</v>
      </c>
      <c r="L447" s="269"/>
      <c r="M447" s="137"/>
      <c r="N447" s="138"/>
      <c r="O447" s="136">
        <f>SUM(L447,I447)</f>
        <v>20</v>
      </c>
      <c r="P447" s="137">
        <f>IF(M447&lt;&gt;"",M447,J447)</f>
        <v>274.31</v>
      </c>
      <c r="Q447" s="138">
        <f>ROUND(O447*P447,2)</f>
        <v>5486.2</v>
      </c>
    </row>
    <row r="448" spans="1:17" x14ac:dyDescent="0.25">
      <c r="A448" s="236" t="s">
        <v>7886</v>
      </c>
      <c r="B448" s="165" t="s">
        <v>7887</v>
      </c>
      <c r="C448" s="279"/>
      <c r="D448" s="280"/>
      <c r="E448" s="281"/>
      <c r="F448" s="281"/>
      <c r="G448" s="281"/>
      <c r="H448" s="282"/>
      <c r="I448" s="283"/>
      <c r="J448" s="284"/>
      <c r="K448" s="284"/>
      <c r="L448" s="283"/>
      <c r="M448" s="284"/>
      <c r="N448" s="284"/>
      <c r="O448" s="283"/>
      <c r="P448" s="284"/>
      <c r="Q448" s="284"/>
    </row>
    <row r="449" spans="1:17" x14ac:dyDescent="0.25">
      <c r="A449" s="252" t="s">
        <v>7888</v>
      </c>
      <c r="B449" s="252" t="s">
        <v>7889</v>
      </c>
      <c r="C449" s="254" t="s">
        <v>524</v>
      </c>
      <c r="D449" s="285" t="s">
        <v>1</v>
      </c>
      <c r="E449" s="286" t="s">
        <v>7670</v>
      </c>
      <c r="F449" s="286">
        <v>50</v>
      </c>
      <c r="G449" s="286">
        <v>50</v>
      </c>
      <c r="H449" s="186">
        <v>0</v>
      </c>
      <c r="I449" s="272">
        <v>200</v>
      </c>
      <c r="J449" s="188">
        <v>58.58</v>
      </c>
      <c r="K449" s="234">
        <f t="shared" ref="K449:K450" si="219">ROUND(I449*J449,2)</f>
        <v>11716</v>
      </c>
      <c r="L449" s="269"/>
      <c r="M449" s="137"/>
      <c r="N449" s="138"/>
      <c r="O449" s="136">
        <f t="shared" ref="O449:O450" si="220">SUM(L449,I449)</f>
        <v>200</v>
      </c>
      <c r="P449" s="137">
        <f t="shared" ref="P449:P450" si="221">IF(M449&lt;&gt;"",M449,J449)</f>
        <v>58.58</v>
      </c>
      <c r="Q449" s="138">
        <f t="shared" ref="Q449:Q450" si="222">ROUND(O449*P449,2)</f>
        <v>11716</v>
      </c>
    </row>
    <row r="450" spans="1:17" x14ac:dyDescent="0.25">
      <c r="A450" s="252" t="s">
        <v>7890</v>
      </c>
      <c r="B450" s="252" t="s">
        <v>7891</v>
      </c>
      <c r="C450" s="254" t="s">
        <v>524</v>
      </c>
      <c r="D450" s="285" t="s">
        <v>1</v>
      </c>
      <c r="E450" s="286" t="s">
        <v>7670</v>
      </c>
      <c r="F450" s="286">
        <v>50</v>
      </c>
      <c r="G450" s="286">
        <v>50</v>
      </c>
      <c r="H450" s="186">
        <v>0</v>
      </c>
      <c r="I450" s="272">
        <v>200</v>
      </c>
      <c r="J450" s="188">
        <v>46.6</v>
      </c>
      <c r="K450" s="234">
        <f t="shared" si="219"/>
        <v>9320</v>
      </c>
      <c r="L450" s="269"/>
      <c r="M450" s="137"/>
      <c r="N450" s="138"/>
      <c r="O450" s="136">
        <f t="shared" si="220"/>
        <v>200</v>
      </c>
      <c r="P450" s="137">
        <f t="shared" si="221"/>
        <v>46.6</v>
      </c>
      <c r="Q450" s="138">
        <f t="shared" si="222"/>
        <v>9320</v>
      </c>
    </row>
    <row r="451" spans="1:17" x14ac:dyDescent="0.25">
      <c r="A451" s="287"/>
      <c r="B451" s="288" t="s">
        <v>7892</v>
      </c>
      <c r="C451" s="287"/>
      <c r="D451" s="289"/>
      <c r="E451" s="290"/>
      <c r="F451" s="291"/>
      <c r="G451" s="291"/>
      <c r="H451" s="292"/>
      <c r="I451" s="293"/>
      <c r="J451" s="294"/>
      <c r="K451" s="294">
        <f>SUBTOTAL(9,K335:K450)</f>
        <v>5034913.9900000021</v>
      </c>
      <c r="L451" s="293"/>
      <c r="M451" s="294"/>
      <c r="N451" s="294">
        <f>SUBTOTAL(9,N335:N450)</f>
        <v>0</v>
      </c>
      <c r="O451" s="293"/>
      <c r="P451" s="294"/>
      <c r="Q451" s="294">
        <f>SUBTOTAL(9,Q335:Q450)</f>
        <v>5034913.9900000021</v>
      </c>
    </row>
    <row r="452" spans="1:17" x14ac:dyDescent="0.25">
      <c r="A452" s="161" t="s">
        <v>7893</v>
      </c>
      <c r="B452" s="161" t="s">
        <v>7894</v>
      </c>
      <c r="C452" s="101"/>
      <c r="D452" s="101"/>
      <c r="E452" s="102"/>
      <c r="F452" s="103"/>
      <c r="G452" s="103"/>
      <c r="H452" s="104"/>
      <c r="I452" s="295"/>
      <c r="J452" s="163" t="s">
        <v>7083</v>
      </c>
      <c r="K452" s="164"/>
      <c r="L452" s="295"/>
      <c r="M452" s="163"/>
      <c r="N452" s="164"/>
      <c r="O452" s="295"/>
      <c r="P452" s="163" t="s">
        <v>7083</v>
      </c>
      <c r="Q452" s="164"/>
    </row>
    <row r="453" spans="1:17" x14ac:dyDescent="0.25">
      <c r="A453" s="296" t="s">
        <v>7895</v>
      </c>
      <c r="B453" s="297" t="s">
        <v>7896</v>
      </c>
      <c r="C453" s="238"/>
      <c r="D453" s="298"/>
      <c r="E453" s="299"/>
      <c r="F453" s="300"/>
      <c r="G453" s="300"/>
      <c r="H453" s="301"/>
      <c r="I453" s="302"/>
      <c r="J453" s="303" t="s">
        <v>7083</v>
      </c>
      <c r="K453" s="303"/>
      <c r="L453" s="302"/>
      <c r="M453" s="303"/>
      <c r="N453" s="303"/>
      <c r="O453" s="302"/>
      <c r="P453" s="303" t="s">
        <v>7083</v>
      </c>
      <c r="Q453" s="303"/>
    </row>
    <row r="454" spans="1:17" x14ac:dyDescent="0.25">
      <c r="A454" s="227" t="s">
        <v>7897</v>
      </c>
      <c r="B454" s="227" t="s">
        <v>7840</v>
      </c>
      <c r="C454" s="170"/>
      <c r="D454" s="170"/>
      <c r="E454" s="171"/>
      <c r="F454" s="171"/>
      <c r="G454" s="171"/>
      <c r="H454" s="172"/>
      <c r="I454" s="304"/>
      <c r="J454" s="229" t="s">
        <v>7083</v>
      </c>
      <c r="K454" s="175"/>
      <c r="L454" s="304"/>
      <c r="M454" s="229"/>
      <c r="N454" s="175"/>
      <c r="O454" s="304"/>
      <c r="P454" s="229" t="s">
        <v>7083</v>
      </c>
      <c r="Q454" s="175"/>
    </row>
    <row r="455" spans="1:17" ht="33.75" x14ac:dyDescent="0.25">
      <c r="A455" s="252" t="s">
        <v>7898</v>
      </c>
      <c r="B455" s="252" t="s">
        <v>7899</v>
      </c>
      <c r="C455" s="254" t="s">
        <v>378</v>
      </c>
      <c r="D455" s="285" t="s">
        <v>1</v>
      </c>
      <c r="E455" s="286" t="s">
        <v>7504</v>
      </c>
      <c r="F455" s="286">
        <v>70</v>
      </c>
      <c r="G455" s="286">
        <v>10</v>
      </c>
      <c r="H455" s="186">
        <v>0</v>
      </c>
      <c r="I455" s="272">
        <v>2745</v>
      </c>
      <c r="J455" s="188">
        <v>135.44</v>
      </c>
      <c r="K455" s="234">
        <f t="shared" ref="K455" si="223">ROUND(I455*J455,2)</f>
        <v>371782.8</v>
      </c>
      <c r="L455" s="269"/>
      <c r="M455" s="137"/>
      <c r="N455" s="138"/>
      <c r="O455" s="136">
        <f>SUM(L455,I455)</f>
        <v>2745</v>
      </c>
      <c r="P455" s="137">
        <f>IF(M455&lt;&gt;"",M455,J455)</f>
        <v>135.44</v>
      </c>
      <c r="Q455" s="138">
        <f>ROUND(O455*P455,2)</f>
        <v>371782.8</v>
      </c>
    </row>
    <row r="456" spans="1:17" x14ac:dyDescent="0.25">
      <c r="A456" s="287"/>
      <c r="B456" s="288" t="s">
        <v>7900</v>
      </c>
      <c r="C456" s="287"/>
      <c r="D456" s="305"/>
      <c r="E456" s="306"/>
      <c r="F456" s="307"/>
      <c r="G456" s="307"/>
      <c r="H456" s="308"/>
      <c r="I456" s="293"/>
      <c r="J456" s="294"/>
      <c r="K456" s="294">
        <f>SUBTOTAL(9,K452:K455)</f>
        <v>371782.8</v>
      </c>
      <c r="L456" s="293"/>
      <c r="M456" s="294"/>
      <c r="N456" s="294">
        <f>SUBTOTAL(9,N452:N455)</f>
        <v>0</v>
      </c>
      <c r="O456" s="293"/>
      <c r="P456" s="294"/>
      <c r="Q456" s="294">
        <f>SUBTOTAL(9,Q452:Q455)</f>
        <v>371782.8</v>
      </c>
    </row>
    <row r="457" spans="1:17" x14ac:dyDescent="0.25">
      <c r="A457" s="161" t="s">
        <v>7893</v>
      </c>
      <c r="B457" s="161" t="s">
        <v>7901</v>
      </c>
      <c r="C457" s="101"/>
      <c r="D457" s="101"/>
      <c r="E457" s="102"/>
      <c r="F457" s="103"/>
      <c r="G457" s="103"/>
      <c r="H457" s="104"/>
      <c r="I457" s="162"/>
      <c r="J457" s="163" t="s">
        <v>7083</v>
      </c>
      <c r="K457" s="164"/>
      <c r="L457" s="162"/>
      <c r="M457" s="163" t="s">
        <v>7083</v>
      </c>
      <c r="N457" s="164"/>
      <c r="O457" s="162"/>
      <c r="P457" s="163" t="s">
        <v>7083</v>
      </c>
      <c r="Q457" s="164"/>
    </row>
    <row r="458" spans="1:17" x14ac:dyDescent="0.25">
      <c r="A458" s="236" t="s">
        <v>7895</v>
      </c>
      <c r="B458" s="237" t="s">
        <v>7902</v>
      </c>
      <c r="C458" s="238"/>
      <c r="D458" s="239"/>
      <c r="E458" s="240"/>
      <c r="F458" s="241"/>
      <c r="G458" s="241"/>
      <c r="H458" s="242"/>
      <c r="I458" s="271"/>
      <c r="J458" s="271"/>
      <c r="K458" s="271"/>
      <c r="L458" s="309"/>
      <c r="M458" s="271"/>
      <c r="N458" s="271"/>
      <c r="O458" s="271"/>
      <c r="P458" s="271"/>
      <c r="Q458" s="271"/>
    </row>
    <row r="459" spans="1:17" x14ac:dyDescent="0.25">
      <c r="A459" s="244" t="s">
        <v>7897</v>
      </c>
      <c r="B459" s="245" t="s">
        <v>7903</v>
      </c>
      <c r="C459" s="246"/>
      <c r="D459" s="247"/>
      <c r="E459" s="248"/>
      <c r="F459" s="249"/>
      <c r="G459" s="249"/>
      <c r="H459" s="250"/>
      <c r="I459" s="276"/>
      <c r="J459" s="276"/>
      <c r="K459" s="276"/>
      <c r="L459" s="310"/>
      <c r="M459" s="276"/>
      <c r="N459" s="276"/>
      <c r="O459" s="276"/>
      <c r="P459" s="276"/>
      <c r="Q459" s="276"/>
    </row>
    <row r="460" spans="1:17" x14ac:dyDescent="0.25">
      <c r="A460" s="260" t="s">
        <v>7898</v>
      </c>
      <c r="B460" s="261" t="s">
        <v>7554</v>
      </c>
      <c r="C460" s="262"/>
      <c r="D460" s="263"/>
      <c r="E460" s="264"/>
      <c r="F460" s="264"/>
      <c r="G460" s="264"/>
      <c r="H460" s="265"/>
      <c r="I460" s="274"/>
      <c r="J460" s="274"/>
      <c r="K460" s="274"/>
      <c r="L460" s="311"/>
      <c r="M460" s="274"/>
      <c r="N460" s="274"/>
      <c r="O460" s="274"/>
      <c r="P460" s="274"/>
      <c r="Q460" s="274"/>
    </row>
    <row r="461" spans="1:17" x14ac:dyDescent="0.25">
      <c r="A461" s="312" t="s">
        <v>7904</v>
      </c>
      <c r="B461" s="313" t="s">
        <v>7554</v>
      </c>
      <c r="C461" s="314"/>
      <c r="D461" s="315"/>
      <c r="E461" s="316"/>
      <c r="F461" s="316"/>
      <c r="G461" s="316"/>
      <c r="H461" s="317"/>
      <c r="I461" s="267"/>
      <c r="J461" s="267"/>
      <c r="K461" s="267"/>
      <c r="L461" s="318"/>
      <c r="M461" s="267"/>
      <c r="N461" s="267"/>
      <c r="O461" s="267"/>
      <c r="P461" s="267"/>
      <c r="Q461" s="267"/>
    </row>
    <row r="462" spans="1:17" ht="22.5" x14ac:dyDescent="0.25">
      <c r="A462" s="319" t="s">
        <v>7905</v>
      </c>
      <c r="B462" s="320" t="s">
        <v>7906</v>
      </c>
      <c r="C462" s="321" t="s">
        <v>911</v>
      </c>
      <c r="D462" s="322" t="s">
        <v>1</v>
      </c>
      <c r="E462" s="323" t="s">
        <v>7504</v>
      </c>
      <c r="F462" s="323">
        <v>20</v>
      </c>
      <c r="G462" s="323">
        <v>20</v>
      </c>
      <c r="H462" s="324">
        <v>0</v>
      </c>
      <c r="I462" s="325">
        <v>1</v>
      </c>
      <c r="J462" s="326"/>
      <c r="K462" s="327"/>
      <c r="L462" s="328">
        <v>1</v>
      </c>
      <c r="M462" s="329"/>
      <c r="N462" s="330">
        <f t="shared" ref="N462:N464" si="224">ROUND(L462*M462,2)</f>
        <v>0</v>
      </c>
      <c r="O462" s="331">
        <f t="shared" ref="O462:O464" si="225">SUM(L462,I462)</f>
        <v>2</v>
      </c>
      <c r="P462" s="329">
        <f t="shared" ref="P462:P464" si="226">IF(M462&lt;&gt;"",M462,J462)</f>
        <v>0</v>
      </c>
      <c r="Q462" s="332">
        <f t="shared" ref="Q462:Q464" si="227">ROUND(O462*P462,2)</f>
        <v>0</v>
      </c>
    </row>
    <row r="463" spans="1:17" ht="22.5" x14ac:dyDescent="0.25">
      <c r="A463" s="319" t="s">
        <v>7907</v>
      </c>
      <c r="B463" s="320" t="s">
        <v>7908</v>
      </c>
      <c r="C463" s="321" t="s">
        <v>911</v>
      </c>
      <c r="D463" s="322" t="s">
        <v>1</v>
      </c>
      <c r="E463" s="323" t="s">
        <v>7504</v>
      </c>
      <c r="F463" s="323">
        <v>20</v>
      </c>
      <c r="G463" s="323">
        <v>20</v>
      </c>
      <c r="H463" s="324">
        <v>0</v>
      </c>
      <c r="I463" s="325">
        <v>1</v>
      </c>
      <c r="J463" s="326"/>
      <c r="K463" s="327"/>
      <c r="L463" s="328">
        <v>1</v>
      </c>
      <c r="M463" s="329"/>
      <c r="N463" s="330">
        <f t="shared" si="224"/>
        <v>0</v>
      </c>
      <c r="O463" s="331">
        <f t="shared" si="225"/>
        <v>2</v>
      </c>
      <c r="P463" s="329">
        <f t="shared" si="226"/>
        <v>0</v>
      </c>
      <c r="Q463" s="332">
        <f t="shared" si="227"/>
        <v>0</v>
      </c>
    </row>
    <row r="464" spans="1:17" ht="22.5" x14ac:dyDescent="0.25">
      <c r="A464" s="319" t="s">
        <v>7909</v>
      </c>
      <c r="B464" s="320" t="s">
        <v>7910</v>
      </c>
      <c r="C464" s="321" t="s">
        <v>7819</v>
      </c>
      <c r="D464" s="322" t="s">
        <v>1</v>
      </c>
      <c r="E464" s="323" t="s">
        <v>7504</v>
      </c>
      <c r="F464" s="323">
        <v>20</v>
      </c>
      <c r="G464" s="323">
        <v>92</v>
      </c>
      <c r="H464" s="324">
        <v>0</v>
      </c>
      <c r="I464" s="325">
        <v>1</v>
      </c>
      <c r="J464" s="326"/>
      <c r="K464" s="327"/>
      <c r="L464" s="328">
        <v>1</v>
      </c>
      <c r="M464" s="329"/>
      <c r="N464" s="330">
        <f t="shared" si="224"/>
        <v>0</v>
      </c>
      <c r="O464" s="331">
        <f t="shared" si="225"/>
        <v>2</v>
      </c>
      <c r="P464" s="329">
        <f t="shared" si="226"/>
        <v>0</v>
      </c>
      <c r="Q464" s="332">
        <f t="shared" si="227"/>
        <v>0</v>
      </c>
    </row>
    <row r="465" spans="1:17" x14ac:dyDescent="0.25">
      <c r="A465" s="169" t="s">
        <v>7911</v>
      </c>
      <c r="B465" s="169" t="s">
        <v>7567</v>
      </c>
      <c r="C465" s="170"/>
      <c r="D465" s="170"/>
      <c r="E465" s="171"/>
      <c r="F465" s="171"/>
      <c r="G465" s="171"/>
      <c r="H465" s="172"/>
      <c r="I465" s="173"/>
      <c r="J465" s="174" t="s">
        <v>7083</v>
      </c>
      <c r="K465" s="175"/>
      <c r="L465" s="173"/>
      <c r="M465" s="174"/>
      <c r="N465" s="175"/>
      <c r="O465" s="173"/>
      <c r="P465" s="174" t="s">
        <v>7083</v>
      </c>
      <c r="Q465" s="175"/>
    </row>
    <row r="466" spans="1:17" x14ac:dyDescent="0.25">
      <c r="A466" s="176" t="s">
        <v>7912</v>
      </c>
      <c r="B466" s="176" t="s">
        <v>7569</v>
      </c>
      <c r="C466" s="177"/>
      <c r="D466" s="177"/>
      <c r="E466" s="178"/>
      <c r="F466" s="178"/>
      <c r="G466" s="178"/>
      <c r="H466" s="179"/>
      <c r="I466" s="180"/>
      <c r="J466" s="181" t="s">
        <v>7083</v>
      </c>
      <c r="K466" s="182"/>
      <c r="L466" s="180"/>
      <c r="M466" s="181"/>
      <c r="N466" s="182"/>
      <c r="O466" s="180"/>
      <c r="P466" s="181" t="s">
        <v>7083</v>
      </c>
      <c r="Q466" s="182"/>
    </row>
    <row r="467" spans="1:17" ht="22.5" x14ac:dyDescent="0.25">
      <c r="A467" s="319" t="s">
        <v>7913</v>
      </c>
      <c r="B467" s="320" t="s">
        <v>7914</v>
      </c>
      <c r="C467" s="321" t="s">
        <v>460</v>
      </c>
      <c r="D467" s="322" t="s">
        <v>1</v>
      </c>
      <c r="E467" s="323" t="s">
        <v>7193</v>
      </c>
      <c r="F467" s="323">
        <v>30</v>
      </c>
      <c r="G467" s="323">
        <v>70</v>
      </c>
      <c r="H467" s="333">
        <v>900</v>
      </c>
      <c r="I467" s="334">
        <v>1</v>
      </c>
      <c r="J467" s="326"/>
      <c r="K467" s="327"/>
      <c r="L467" s="328">
        <v>1</v>
      </c>
      <c r="M467" s="329"/>
      <c r="N467" s="330">
        <f t="shared" ref="N467:N469" si="228">ROUND(L467*M467,2)</f>
        <v>0</v>
      </c>
      <c r="O467" s="331">
        <f t="shared" ref="O467:O469" si="229">SUM(L467,I467)</f>
        <v>2</v>
      </c>
      <c r="P467" s="329">
        <f t="shared" ref="P467:P469" si="230">IF(M467&lt;&gt;"",M467,J467)</f>
        <v>0</v>
      </c>
      <c r="Q467" s="332">
        <f t="shared" ref="Q467:Q469" si="231">ROUND(O467*P467,2)</f>
        <v>0</v>
      </c>
    </row>
    <row r="468" spans="1:17" ht="22.5" x14ac:dyDescent="0.25">
      <c r="A468" s="319" t="s">
        <v>7915</v>
      </c>
      <c r="B468" s="320" t="s">
        <v>7916</v>
      </c>
      <c r="C468" s="321" t="s">
        <v>460</v>
      </c>
      <c r="D468" s="322" t="s">
        <v>1</v>
      </c>
      <c r="E468" s="323" t="s">
        <v>7504</v>
      </c>
      <c r="F468" s="323">
        <v>30</v>
      </c>
      <c r="G468" s="323">
        <v>70</v>
      </c>
      <c r="H468" s="333">
        <v>0</v>
      </c>
      <c r="I468" s="334">
        <v>1</v>
      </c>
      <c r="J468" s="326"/>
      <c r="K468" s="327"/>
      <c r="L468" s="328">
        <v>1</v>
      </c>
      <c r="M468" s="329"/>
      <c r="N468" s="330">
        <f t="shared" si="228"/>
        <v>0</v>
      </c>
      <c r="O468" s="331">
        <f t="shared" si="229"/>
        <v>2</v>
      </c>
      <c r="P468" s="329">
        <f t="shared" si="230"/>
        <v>0</v>
      </c>
      <c r="Q468" s="332">
        <f t="shared" si="231"/>
        <v>0</v>
      </c>
    </row>
    <row r="469" spans="1:17" x14ac:dyDescent="0.25">
      <c r="A469" s="319" t="s">
        <v>7917</v>
      </c>
      <c r="B469" s="320" t="s">
        <v>7918</v>
      </c>
      <c r="C469" s="321" t="s">
        <v>460</v>
      </c>
      <c r="D469" s="322" t="s">
        <v>1</v>
      </c>
      <c r="E469" s="323" t="s">
        <v>7504</v>
      </c>
      <c r="F469" s="323">
        <v>30</v>
      </c>
      <c r="G469" s="323">
        <v>70</v>
      </c>
      <c r="H469" s="333">
        <v>0</v>
      </c>
      <c r="I469" s="334">
        <v>2</v>
      </c>
      <c r="J469" s="326"/>
      <c r="K469" s="327"/>
      <c r="L469" s="328">
        <v>2</v>
      </c>
      <c r="M469" s="329"/>
      <c r="N469" s="330">
        <f t="shared" si="228"/>
        <v>0</v>
      </c>
      <c r="O469" s="331">
        <f t="shared" si="229"/>
        <v>4</v>
      </c>
      <c r="P469" s="329">
        <f t="shared" si="230"/>
        <v>0</v>
      </c>
      <c r="Q469" s="332">
        <f t="shared" si="231"/>
        <v>0</v>
      </c>
    </row>
    <row r="470" spans="1:17" x14ac:dyDescent="0.25">
      <c r="A470" s="176" t="s">
        <v>7919</v>
      </c>
      <c r="B470" s="176" t="s">
        <v>7920</v>
      </c>
      <c r="C470" s="177"/>
      <c r="D470" s="177"/>
      <c r="E470" s="178"/>
      <c r="F470" s="178"/>
      <c r="G470" s="178"/>
      <c r="H470" s="179"/>
      <c r="I470" s="180"/>
      <c r="J470" s="181" t="s">
        <v>7083</v>
      </c>
      <c r="K470" s="182"/>
      <c r="L470" s="180"/>
      <c r="M470" s="181"/>
      <c r="N470" s="182"/>
      <c r="O470" s="180"/>
      <c r="P470" s="181" t="s">
        <v>7083</v>
      </c>
      <c r="Q470" s="182"/>
    </row>
    <row r="471" spans="1:17" x14ac:dyDescent="0.25">
      <c r="A471" s="319" t="s">
        <v>7921</v>
      </c>
      <c r="B471" s="320" t="s">
        <v>7922</v>
      </c>
      <c r="C471" s="321" t="s">
        <v>460</v>
      </c>
      <c r="D471" s="322" t="s">
        <v>1</v>
      </c>
      <c r="E471" s="323" t="s">
        <v>7504</v>
      </c>
      <c r="F471" s="323">
        <v>30</v>
      </c>
      <c r="G471" s="323">
        <v>60</v>
      </c>
      <c r="H471" s="333" t="s">
        <v>7709</v>
      </c>
      <c r="I471" s="334">
        <v>2</v>
      </c>
      <c r="J471" s="326"/>
      <c r="K471" s="327"/>
      <c r="L471" s="328">
        <v>2</v>
      </c>
      <c r="M471" s="329"/>
      <c r="N471" s="330">
        <f t="shared" ref="N471:N473" si="232">ROUND(L471*M471,2)</f>
        <v>0</v>
      </c>
      <c r="O471" s="331">
        <f t="shared" ref="O471:O473" si="233">SUM(L471,I471)</f>
        <v>4</v>
      </c>
      <c r="P471" s="329">
        <f t="shared" ref="P471:P473" si="234">IF(M471&lt;&gt;"",M471,J471)</f>
        <v>0</v>
      </c>
      <c r="Q471" s="332">
        <f t="shared" ref="Q471:Q473" si="235">ROUND(O471*P471,2)</f>
        <v>0</v>
      </c>
    </row>
    <row r="472" spans="1:17" x14ac:dyDescent="0.25">
      <c r="A472" s="319" t="s">
        <v>7923</v>
      </c>
      <c r="B472" s="320" t="s">
        <v>7924</v>
      </c>
      <c r="C472" s="321" t="s">
        <v>460</v>
      </c>
      <c r="D472" s="322" t="s">
        <v>1</v>
      </c>
      <c r="E472" s="323" t="s">
        <v>7504</v>
      </c>
      <c r="F472" s="323">
        <v>30</v>
      </c>
      <c r="G472" s="323">
        <v>60</v>
      </c>
      <c r="H472" s="333" t="s">
        <v>7709</v>
      </c>
      <c r="I472" s="334">
        <v>1</v>
      </c>
      <c r="J472" s="326"/>
      <c r="K472" s="327"/>
      <c r="L472" s="328">
        <v>1</v>
      </c>
      <c r="M472" s="329"/>
      <c r="N472" s="330">
        <f t="shared" si="232"/>
        <v>0</v>
      </c>
      <c r="O472" s="331">
        <f t="shared" si="233"/>
        <v>2</v>
      </c>
      <c r="P472" s="329">
        <f t="shared" si="234"/>
        <v>0</v>
      </c>
      <c r="Q472" s="332">
        <f t="shared" si="235"/>
        <v>0</v>
      </c>
    </row>
    <row r="473" spans="1:17" x14ac:dyDescent="0.25">
      <c r="A473" s="319" t="s">
        <v>7925</v>
      </c>
      <c r="B473" s="320" t="s">
        <v>7926</v>
      </c>
      <c r="C473" s="321" t="s">
        <v>460</v>
      </c>
      <c r="D473" s="322" t="s">
        <v>1</v>
      </c>
      <c r="E473" s="323" t="s">
        <v>7504</v>
      </c>
      <c r="F473" s="323">
        <v>30</v>
      </c>
      <c r="G473" s="323">
        <v>60</v>
      </c>
      <c r="H473" s="333" t="s">
        <v>7709</v>
      </c>
      <c r="I473" s="334">
        <v>1</v>
      </c>
      <c r="J473" s="326"/>
      <c r="K473" s="327"/>
      <c r="L473" s="328">
        <v>1</v>
      </c>
      <c r="M473" s="329"/>
      <c r="N473" s="330">
        <f t="shared" si="232"/>
        <v>0</v>
      </c>
      <c r="O473" s="331">
        <f t="shared" si="233"/>
        <v>2</v>
      </c>
      <c r="P473" s="329">
        <f t="shared" si="234"/>
        <v>0</v>
      </c>
      <c r="Q473" s="332">
        <f t="shared" si="235"/>
        <v>0</v>
      </c>
    </row>
    <row r="474" spans="1:17" ht="22.5" x14ac:dyDescent="0.25">
      <c r="A474" s="169" t="s">
        <v>7927</v>
      </c>
      <c r="B474" s="169" t="s">
        <v>7928</v>
      </c>
      <c r="C474" s="170"/>
      <c r="D474" s="170"/>
      <c r="E474" s="171"/>
      <c r="F474" s="171"/>
      <c r="G474" s="171"/>
      <c r="H474" s="172"/>
      <c r="I474" s="173"/>
      <c r="J474" s="174"/>
      <c r="K474" s="175"/>
      <c r="L474" s="173"/>
      <c r="M474" s="174"/>
      <c r="N474" s="182"/>
      <c r="O474" s="173"/>
      <c r="P474" s="174"/>
      <c r="Q474" s="175"/>
    </row>
    <row r="475" spans="1:17" x14ac:dyDescent="0.25">
      <c r="A475" s="176" t="s">
        <v>7929</v>
      </c>
      <c r="B475" s="176" t="s">
        <v>7930</v>
      </c>
      <c r="C475" s="177"/>
      <c r="D475" s="177"/>
      <c r="E475" s="178"/>
      <c r="F475" s="178"/>
      <c r="G475" s="178"/>
      <c r="H475" s="179"/>
      <c r="I475" s="180"/>
      <c r="J475" s="181" t="s">
        <v>7083</v>
      </c>
      <c r="K475" s="182"/>
      <c r="L475" s="180"/>
      <c r="M475" s="181"/>
      <c r="N475" s="182"/>
      <c r="O475" s="180"/>
      <c r="P475" s="181" t="s">
        <v>7083</v>
      </c>
      <c r="Q475" s="182"/>
    </row>
    <row r="476" spans="1:17" ht="56.25" x14ac:dyDescent="0.25">
      <c r="A476" s="319" t="s">
        <v>7931</v>
      </c>
      <c r="B476" s="320" t="s">
        <v>7932</v>
      </c>
      <c r="C476" s="321" t="s">
        <v>378</v>
      </c>
      <c r="D476" s="322" t="s">
        <v>1</v>
      </c>
      <c r="E476" s="323" t="s">
        <v>7504</v>
      </c>
      <c r="F476" s="323">
        <v>70</v>
      </c>
      <c r="G476" s="323">
        <v>10</v>
      </c>
      <c r="H476" s="333">
        <v>0</v>
      </c>
      <c r="I476" s="334">
        <v>800</v>
      </c>
      <c r="J476" s="326"/>
      <c r="K476" s="327"/>
      <c r="L476" s="328">
        <v>800</v>
      </c>
      <c r="M476" s="329"/>
      <c r="N476" s="330">
        <f t="shared" ref="N476" si="236">ROUND(L476*M476,2)</f>
        <v>0</v>
      </c>
      <c r="O476" s="331">
        <f>SUM(L476,I476)</f>
        <v>1600</v>
      </c>
      <c r="P476" s="329">
        <f>IF(M476&lt;&gt;"",M476,J476)</f>
        <v>0</v>
      </c>
      <c r="Q476" s="332">
        <f>ROUND(O476*P476,2)</f>
        <v>0</v>
      </c>
    </row>
    <row r="477" spans="1:17" x14ac:dyDescent="0.25">
      <c r="A477" s="176" t="s">
        <v>7933</v>
      </c>
      <c r="B477" s="176" t="s">
        <v>7934</v>
      </c>
      <c r="C477" s="177"/>
      <c r="D477" s="177"/>
      <c r="E477" s="178"/>
      <c r="F477" s="178"/>
      <c r="G477" s="178"/>
      <c r="H477" s="179"/>
      <c r="I477" s="180"/>
      <c r="J477" s="181"/>
      <c r="K477" s="182"/>
      <c r="L477" s="180"/>
      <c r="M477" s="181"/>
      <c r="N477" s="182"/>
      <c r="O477" s="180"/>
      <c r="P477" s="181" t="s">
        <v>7083</v>
      </c>
      <c r="Q477" s="182"/>
    </row>
    <row r="478" spans="1:17" ht="33.75" x14ac:dyDescent="0.25">
      <c r="A478" s="319" t="s">
        <v>7935</v>
      </c>
      <c r="B478" s="320" t="s">
        <v>7936</v>
      </c>
      <c r="C478" s="321" t="s">
        <v>378</v>
      </c>
      <c r="D478" s="322" t="s">
        <v>1</v>
      </c>
      <c r="E478" s="323" t="s">
        <v>7504</v>
      </c>
      <c r="F478" s="323">
        <v>70</v>
      </c>
      <c r="G478" s="323">
        <v>10</v>
      </c>
      <c r="H478" s="333">
        <v>0</v>
      </c>
      <c r="I478" s="334">
        <v>600</v>
      </c>
      <c r="J478" s="335"/>
      <c r="K478" s="330"/>
      <c r="L478" s="328">
        <v>600</v>
      </c>
      <c r="M478" s="329"/>
      <c r="N478" s="330">
        <f t="shared" ref="N478" si="237">ROUND(L478*M478,2)</f>
        <v>0</v>
      </c>
      <c r="O478" s="331">
        <f>SUM(L478,I478)</f>
        <v>1200</v>
      </c>
      <c r="P478" s="329">
        <f>IF(M478&lt;&gt;"",M478,J478)</f>
        <v>0</v>
      </c>
      <c r="Q478" s="332">
        <f>ROUND(O478*P478,2)</f>
        <v>0</v>
      </c>
    </row>
    <row r="479" spans="1:17" x14ac:dyDescent="0.25">
      <c r="A479" s="244" t="s">
        <v>7937</v>
      </c>
      <c r="B479" s="245" t="s">
        <v>7332</v>
      </c>
      <c r="C479" s="246"/>
      <c r="D479" s="247"/>
      <c r="E479" s="248"/>
      <c r="F479" s="249"/>
      <c r="G479" s="249"/>
      <c r="H479" s="250"/>
      <c r="I479" s="276"/>
      <c r="J479" s="276"/>
      <c r="K479" s="276"/>
      <c r="L479" s="310"/>
      <c r="M479" s="276"/>
      <c r="N479" s="276"/>
      <c r="O479" s="276"/>
      <c r="P479" s="276"/>
      <c r="Q479" s="276"/>
    </row>
    <row r="480" spans="1:17" x14ac:dyDescent="0.25">
      <c r="A480" s="260" t="s">
        <v>7938</v>
      </c>
      <c r="B480" s="261" t="s">
        <v>7334</v>
      </c>
      <c r="C480" s="262"/>
      <c r="D480" s="263"/>
      <c r="E480" s="264"/>
      <c r="F480" s="264"/>
      <c r="G480" s="264"/>
      <c r="H480" s="265"/>
      <c r="I480" s="274"/>
      <c r="J480" s="274"/>
      <c r="K480" s="274"/>
      <c r="L480" s="311"/>
      <c r="M480" s="274"/>
      <c r="N480" s="274"/>
      <c r="O480" s="274"/>
      <c r="P480" s="274"/>
      <c r="Q480" s="274"/>
    </row>
    <row r="481" spans="1:17" ht="22.5" x14ac:dyDescent="0.25">
      <c r="A481" s="312" t="s">
        <v>7939</v>
      </c>
      <c r="B481" s="313" t="s">
        <v>7638</v>
      </c>
      <c r="C481" s="314"/>
      <c r="D481" s="315"/>
      <c r="E481" s="316"/>
      <c r="F481" s="316"/>
      <c r="G481" s="316"/>
      <c r="H481" s="317"/>
      <c r="I481" s="267"/>
      <c r="J481" s="267"/>
      <c r="K481" s="267"/>
      <c r="L481" s="318"/>
      <c r="M481" s="267"/>
      <c r="N481" s="267"/>
      <c r="O481" s="267"/>
      <c r="P481" s="267"/>
      <c r="Q481" s="267"/>
    </row>
    <row r="482" spans="1:17" ht="22.5" x14ac:dyDescent="0.25">
      <c r="A482" s="319" t="s">
        <v>7940</v>
      </c>
      <c r="B482" s="320" t="s">
        <v>7941</v>
      </c>
      <c r="C482" s="321" t="s">
        <v>378</v>
      </c>
      <c r="D482" s="322" t="s">
        <v>1</v>
      </c>
      <c r="E482" s="323" t="s">
        <v>7193</v>
      </c>
      <c r="F482" s="323">
        <v>70</v>
      </c>
      <c r="G482" s="323">
        <v>10</v>
      </c>
      <c r="H482" s="333">
        <v>900</v>
      </c>
      <c r="I482" s="334">
        <v>450</v>
      </c>
      <c r="J482" s="326"/>
      <c r="K482" s="327"/>
      <c r="L482" s="328">
        <v>450</v>
      </c>
      <c r="M482" s="329"/>
      <c r="N482" s="330">
        <f t="shared" ref="N482:N483" si="238">ROUND(L482*M482,2)</f>
        <v>0</v>
      </c>
      <c r="O482" s="331">
        <f t="shared" ref="O482:O483" si="239">SUM(L482,I482)</f>
        <v>900</v>
      </c>
      <c r="P482" s="329">
        <f t="shared" ref="P482:P483" si="240">IF(M482&lt;&gt;"",M482,J482)</f>
        <v>0</v>
      </c>
      <c r="Q482" s="332">
        <f t="shared" ref="Q482:Q483" si="241">ROUND(O482*P482,2)</f>
        <v>0</v>
      </c>
    </row>
    <row r="483" spans="1:17" ht="22.5" x14ac:dyDescent="0.25">
      <c r="A483" s="319" t="s">
        <v>7942</v>
      </c>
      <c r="B483" s="320" t="s">
        <v>7943</v>
      </c>
      <c r="C483" s="321" t="s">
        <v>378</v>
      </c>
      <c r="D483" s="322" t="s">
        <v>1</v>
      </c>
      <c r="E483" s="323" t="s">
        <v>7193</v>
      </c>
      <c r="F483" s="323">
        <v>70</v>
      </c>
      <c r="G483" s="323">
        <v>10</v>
      </c>
      <c r="H483" s="333">
        <v>900</v>
      </c>
      <c r="I483" s="334">
        <v>100</v>
      </c>
      <c r="J483" s="326"/>
      <c r="K483" s="327"/>
      <c r="L483" s="328">
        <v>100</v>
      </c>
      <c r="M483" s="329"/>
      <c r="N483" s="330">
        <f t="shared" si="238"/>
        <v>0</v>
      </c>
      <c r="O483" s="331">
        <f t="shared" si="239"/>
        <v>200</v>
      </c>
      <c r="P483" s="329">
        <f t="shared" si="240"/>
        <v>0</v>
      </c>
      <c r="Q483" s="332">
        <f t="shared" si="241"/>
        <v>0</v>
      </c>
    </row>
    <row r="484" spans="1:17" ht="33.75" x14ac:dyDescent="0.25">
      <c r="A484" s="312" t="s">
        <v>7944</v>
      </c>
      <c r="B484" s="313" t="s">
        <v>7945</v>
      </c>
      <c r="C484" s="314"/>
      <c r="D484" s="315"/>
      <c r="E484" s="316"/>
      <c r="F484" s="316"/>
      <c r="G484" s="316"/>
      <c r="H484" s="317"/>
      <c r="I484" s="267"/>
      <c r="J484" s="267"/>
      <c r="K484" s="267"/>
      <c r="L484" s="318"/>
      <c r="M484" s="267"/>
      <c r="N484" s="267"/>
      <c r="O484" s="267"/>
      <c r="P484" s="267"/>
      <c r="Q484" s="267"/>
    </row>
    <row r="485" spans="1:17" ht="33.75" x14ac:dyDescent="0.25">
      <c r="A485" s="319" t="s">
        <v>7946</v>
      </c>
      <c r="B485" s="320" t="s">
        <v>7947</v>
      </c>
      <c r="C485" s="321" t="s">
        <v>378</v>
      </c>
      <c r="D485" s="322" t="s">
        <v>1</v>
      </c>
      <c r="E485" s="323" t="s">
        <v>7193</v>
      </c>
      <c r="F485" s="323">
        <v>70</v>
      </c>
      <c r="G485" s="323">
        <v>10</v>
      </c>
      <c r="H485" s="333">
        <v>900</v>
      </c>
      <c r="I485" s="334">
        <v>12</v>
      </c>
      <c r="J485" s="326"/>
      <c r="K485" s="327"/>
      <c r="L485" s="328">
        <v>12</v>
      </c>
      <c r="M485" s="329"/>
      <c r="N485" s="330">
        <f t="shared" ref="N485" si="242">ROUND(L485*M485,2)</f>
        <v>0</v>
      </c>
      <c r="O485" s="331">
        <f>SUM(L485,I485)</f>
        <v>24</v>
      </c>
      <c r="P485" s="329">
        <f>IF(M485&lt;&gt;"",M485,J485)</f>
        <v>0</v>
      </c>
      <c r="Q485" s="332">
        <f>ROUND(O485*P485,2)</f>
        <v>0</v>
      </c>
    </row>
    <row r="486" spans="1:17" ht="22.5" x14ac:dyDescent="0.25">
      <c r="A486" s="260" t="s">
        <v>7948</v>
      </c>
      <c r="B486" s="261" t="s">
        <v>7380</v>
      </c>
      <c r="C486" s="262"/>
      <c r="D486" s="263"/>
      <c r="E486" s="264"/>
      <c r="F486" s="264"/>
      <c r="G486" s="264"/>
      <c r="H486" s="265"/>
      <c r="I486" s="274"/>
      <c r="J486" s="274"/>
      <c r="K486" s="274"/>
      <c r="L486" s="311"/>
      <c r="M486" s="274"/>
      <c r="N486" s="274"/>
      <c r="O486" s="274"/>
      <c r="P486" s="274" t="s">
        <v>7083</v>
      </c>
      <c r="Q486" s="274"/>
    </row>
    <row r="487" spans="1:17" ht="22.5" x14ac:dyDescent="0.25">
      <c r="A487" s="312" t="s">
        <v>7949</v>
      </c>
      <c r="B487" s="313" t="s">
        <v>7388</v>
      </c>
      <c r="C487" s="314"/>
      <c r="D487" s="315"/>
      <c r="E487" s="316"/>
      <c r="F487" s="316"/>
      <c r="G487" s="316"/>
      <c r="H487" s="317"/>
      <c r="I487" s="267"/>
      <c r="J487" s="267"/>
      <c r="K487" s="267"/>
      <c r="L487" s="318"/>
      <c r="M487" s="267"/>
      <c r="N487" s="267"/>
      <c r="O487" s="267"/>
      <c r="P487" s="267"/>
      <c r="Q487" s="267"/>
    </row>
    <row r="488" spans="1:17" ht="33.75" x14ac:dyDescent="0.25">
      <c r="A488" s="319" t="s">
        <v>7950</v>
      </c>
      <c r="B488" s="320" t="s">
        <v>7951</v>
      </c>
      <c r="C488" s="321" t="s">
        <v>378</v>
      </c>
      <c r="D488" s="322" t="s">
        <v>1</v>
      </c>
      <c r="E488" s="323" t="s">
        <v>7193</v>
      </c>
      <c r="F488" s="323">
        <v>70</v>
      </c>
      <c r="G488" s="323">
        <v>10</v>
      </c>
      <c r="H488" s="333">
        <v>900</v>
      </c>
      <c r="I488" s="334">
        <v>70</v>
      </c>
      <c r="J488" s="326"/>
      <c r="K488" s="327"/>
      <c r="L488" s="328">
        <v>70</v>
      </c>
      <c r="M488" s="329"/>
      <c r="N488" s="330">
        <f t="shared" ref="N488:N489" si="243">ROUND(L488*M488,2)</f>
        <v>0</v>
      </c>
      <c r="O488" s="331">
        <f t="shared" ref="O488:O489" si="244">SUM(L488,I488)</f>
        <v>140</v>
      </c>
      <c r="P488" s="329">
        <f t="shared" ref="P488:P489" si="245">IF(M488&lt;&gt;"",M488,J488)</f>
        <v>0</v>
      </c>
      <c r="Q488" s="332">
        <f t="shared" ref="Q488:Q489" si="246">ROUND(O488*P488,2)</f>
        <v>0</v>
      </c>
    </row>
    <row r="489" spans="1:17" ht="33.75" x14ac:dyDescent="0.25">
      <c r="A489" s="319" t="s">
        <v>7952</v>
      </c>
      <c r="B489" s="320" t="s">
        <v>7953</v>
      </c>
      <c r="C489" s="321" t="s">
        <v>378</v>
      </c>
      <c r="D489" s="322" t="s">
        <v>1</v>
      </c>
      <c r="E489" s="323" t="s">
        <v>7193</v>
      </c>
      <c r="F489" s="323">
        <v>70</v>
      </c>
      <c r="G489" s="323">
        <v>10</v>
      </c>
      <c r="H489" s="333">
        <v>900</v>
      </c>
      <c r="I489" s="334">
        <v>160</v>
      </c>
      <c r="J489" s="326"/>
      <c r="K489" s="327"/>
      <c r="L489" s="328">
        <v>160</v>
      </c>
      <c r="M489" s="329"/>
      <c r="N489" s="330">
        <f t="shared" si="243"/>
        <v>0</v>
      </c>
      <c r="O489" s="331">
        <f t="shared" si="244"/>
        <v>320</v>
      </c>
      <c r="P489" s="329">
        <f t="shared" si="245"/>
        <v>0</v>
      </c>
      <c r="Q489" s="332">
        <f t="shared" si="246"/>
        <v>0</v>
      </c>
    </row>
    <row r="490" spans="1:17" ht="22.5" x14ac:dyDescent="0.25">
      <c r="A490" s="176" t="s">
        <v>7954</v>
      </c>
      <c r="B490" s="176" t="s">
        <v>7402</v>
      </c>
      <c r="C490" s="177"/>
      <c r="D490" s="177"/>
      <c r="E490" s="178"/>
      <c r="F490" s="178"/>
      <c r="G490" s="178"/>
      <c r="H490" s="179"/>
      <c r="I490" s="180"/>
      <c r="J490" s="181" t="s">
        <v>7083</v>
      </c>
      <c r="K490" s="182"/>
      <c r="L490" s="180"/>
      <c r="M490" s="181"/>
      <c r="N490" s="182"/>
      <c r="O490" s="180"/>
      <c r="P490" s="181" t="s">
        <v>7083</v>
      </c>
      <c r="Q490" s="182"/>
    </row>
    <row r="491" spans="1:17" ht="45" x14ac:dyDescent="0.25">
      <c r="A491" s="319" t="s">
        <v>7955</v>
      </c>
      <c r="B491" s="320" t="s">
        <v>7956</v>
      </c>
      <c r="C491" s="321" t="s">
        <v>378</v>
      </c>
      <c r="D491" s="322" t="s">
        <v>1</v>
      </c>
      <c r="E491" s="323" t="s">
        <v>7193</v>
      </c>
      <c r="F491" s="323">
        <v>70</v>
      </c>
      <c r="G491" s="323">
        <v>10</v>
      </c>
      <c r="H491" s="333">
        <v>900</v>
      </c>
      <c r="I491" s="334">
        <v>10</v>
      </c>
      <c r="J491" s="326"/>
      <c r="K491" s="327"/>
      <c r="L491" s="328">
        <v>10</v>
      </c>
      <c r="M491" s="329"/>
      <c r="N491" s="330">
        <f t="shared" ref="N491" si="247">ROUND(L491*M491,2)</f>
        <v>0</v>
      </c>
      <c r="O491" s="331">
        <f>SUM(L491,I491)</f>
        <v>20</v>
      </c>
      <c r="P491" s="329">
        <f>IF(M491&lt;&gt;"",M491,J491)</f>
        <v>0</v>
      </c>
      <c r="Q491" s="332">
        <f>ROUND(O491*P491,2)</f>
        <v>0</v>
      </c>
    </row>
    <row r="492" spans="1:17" x14ac:dyDescent="0.25">
      <c r="A492" s="176" t="s">
        <v>7957</v>
      </c>
      <c r="B492" s="176" t="s">
        <v>7406</v>
      </c>
      <c r="C492" s="177"/>
      <c r="D492" s="177"/>
      <c r="E492" s="178"/>
      <c r="F492" s="178"/>
      <c r="G492" s="178"/>
      <c r="H492" s="179"/>
      <c r="I492" s="180"/>
      <c r="J492" s="181" t="s">
        <v>7083</v>
      </c>
      <c r="K492" s="182"/>
      <c r="L492" s="180"/>
      <c r="M492" s="181"/>
      <c r="N492" s="182"/>
      <c r="O492" s="180"/>
      <c r="P492" s="181" t="s">
        <v>7083</v>
      </c>
      <c r="Q492" s="182"/>
    </row>
    <row r="493" spans="1:17" ht="22.5" x14ac:dyDescent="0.25">
      <c r="A493" s="319" t="s">
        <v>7958</v>
      </c>
      <c r="B493" s="320" t="s">
        <v>7410</v>
      </c>
      <c r="C493" s="321" t="s">
        <v>378</v>
      </c>
      <c r="D493" s="322" t="s">
        <v>1</v>
      </c>
      <c r="E493" s="323" t="s">
        <v>7193</v>
      </c>
      <c r="F493" s="323">
        <v>70</v>
      </c>
      <c r="G493" s="323">
        <v>10</v>
      </c>
      <c r="H493" s="333">
        <v>900</v>
      </c>
      <c r="I493" s="334">
        <v>120</v>
      </c>
      <c r="J493" s="326"/>
      <c r="K493" s="327"/>
      <c r="L493" s="328">
        <v>120</v>
      </c>
      <c r="M493" s="336"/>
      <c r="N493" s="330">
        <f t="shared" ref="N493" si="248">ROUND(L493*M493,2)</f>
        <v>0</v>
      </c>
      <c r="O493" s="331">
        <f>SUM(L493,I493)</f>
        <v>240</v>
      </c>
      <c r="P493" s="329">
        <f>IF(M493&lt;&gt;"",M493,J493)</f>
        <v>0</v>
      </c>
      <c r="Q493" s="332">
        <f>ROUND(O493*P493,2)</f>
        <v>0</v>
      </c>
    </row>
    <row r="494" spans="1:17" x14ac:dyDescent="0.25">
      <c r="A494" s="312" t="s">
        <v>7959</v>
      </c>
      <c r="B494" s="337" t="s">
        <v>7960</v>
      </c>
      <c r="C494" s="338"/>
      <c r="D494" s="339"/>
      <c r="E494" s="340"/>
      <c r="F494" s="341"/>
      <c r="G494" s="341"/>
      <c r="H494" s="342"/>
      <c r="I494" s="267"/>
      <c r="J494" s="267"/>
      <c r="K494" s="267"/>
      <c r="L494" s="318"/>
      <c r="M494" s="267"/>
      <c r="N494" s="267"/>
      <c r="O494" s="267"/>
      <c r="P494" s="267"/>
      <c r="Q494" s="267"/>
    </row>
    <row r="495" spans="1:17" x14ac:dyDescent="0.25">
      <c r="A495" s="319" t="s">
        <v>7961</v>
      </c>
      <c r="B495" s="320" t="s">
        <v>7962</v>
      </c>
      <c r="C495" s="321" t="s">
        <v>460</v>
      </c>
      <c r="D495" s="322" t="s">
        <v>1</v>
      </c>
      <c r="E495" s="323" t="s">
        <v>7193</v>
      </c>
      <c r="F495" s="323">
        <v>70</v>
      </c>
      <c r="G495" s="323">
        <v>10</v>
      </c>
      <c r="H495" s="333">
        <v>20</v>
      </c>
      <c r="I495" s="334">
        <v>6</v>
      </c>
      <c r="J495" s="326"/>
      <c r="K495" s="327"/>
      <c r="L495" s="328">
        <v>6</v>
      </c>
      <c r="M495" s="329"/>
      <c r="N495" s="330">
        <f t="shared" ref="N495" si="249">ROUND(L495*M495,2)</f>
        <v>0</v>
      </c>
      <c r="O495" s="331">
        <f>SUM(L495,I495)</f>
        <v>12</v>
      </c>
      <c r="P495" s="329">
        <f>IF(M495&lt;&gt;"",M495,J495)</f>
        <v>0</v>
      </c>
      <c r="Q495" s="332">
        <f>ROUND(O495*P495,2)</f>
        <v>0</v>
      </c>
    </row>
    <row r="496" spans="1:17" x14ac:dyDescent="0.25">
      <c r="A496" s="169" t="s">
        <v>7963</v>
      </c>
      <c r="B496" s="169" t="s">
        <v>7446</v>
      </c>
      <c r="C496" s="170"/>
      <c r="D496" s="170"/>
      <c r="E496" s="171"/>
      <c r="F496" s="171"/>
      <c r="G496" s="171"/>
      <c r="H496" s="172"/>
      <c r="I496" s="173"/>
      <c r="J496" s="174" t="s">
        <v>7083</v>
      </c>
      <c r="K496" s="175"/>
      <c r="L496" s="173"/>
      <c r="M496" s="174"/>
      <c r="N496" s="175"/>
      <c r="O496" s="173"/>
      <c r="P496" s="174" t="s">
        <v>7083</v>
      </c>
      <c r="Q496" s="175"/>
    </row>
    <row r="497" spans="1:17" x14ac:dyDescent="0.25">
      <c r="A497" s="319" t="s">
        <v>7964</v>
      </c>
      <c r="B497" s="320" t="s">
        <v>7965</v>
      </c>
      <c r="C497" s="321" t="s">
        <v>460</v>
      </c>
      <c r="D497" s="322" t="s">
        <v>1</v>
      </c>
      <c r="E497" s="323" t="s">
        <v>7193</v>
      </c>
      <c r="F497" s="323">
        <v>70</v>
      </c>
      <c r="G497" s="323">
        <v>60</v>
      </c>
      <c r="H497" s="333">
        <v>10</v>
      </c>
      <c r="I497" s="334">
        <v>9</v>
      </c>
      <c r="J497" s="326"/>
      <c r="K497" s="327"/>
      <c r="L497" s="328">
        <v>9</v>
      </c>
      <c r="M497" s="329"/>
      <c r="N497" s="330">
        <f t="shared" ref="N497:N502" si="250">ROUND(L497*M497,2)</f>
        <v>0</v>
      </c>
      <c r="O497" s="331">
        <f t="shared" ref="O497:O502" si="251">SUM(L497,I497)</f>
        <v>18</v>
      </c>
      <c r="P497" s="329">
        <f t="shared" ref="P497:P502" si="252">IF(M497&lt;&gt;"",M497,J497)</f>
        <v>0</v>
      </c>
      <c r="Q497" s="332">
        <f t="shared" ref="Q497:Q502" si="253">ROUND(O497*P497,2)</f>
        <v>0</v>
      </c>
    </row>
    <row r="498" spans="1:17" x14ac:dyDescent="0.25">
      <c r="A498" s="319" t="s">
        <v>7966</v>
      </c>
      <c r="B498" s="320" t="s">
        <v>7967</v>
      </c>
      <c r="C498" s="321" t="s">
        <v>460</v>
      </c>
      <c r="D498" s="322" t="s">
        <v>1</v>
      </c>
      <c r="E498" s="323" t="s">
        <v>7193</v>
      </c>
      <c r="F498" s="323">
        <v>70</v>
      </c>
      <c r="G498" s="323">
        <v>60</v>
      </c>
      <c r="H498" s="333">
        <v>10</v>
      </c>
      <c r="I498" s="334">
        <v>5</v>
      </c>
      <c r="J498" s="326"/>
      <c r="K498" s="327"/>
      <c r="L498" s="328">
        <v>5</v>
      </c>
      <c r="M498" s="329"/>
      <c r="N498" s="330">
        <f t="shared" si="250"/>
        <v>0</v>
      </c>
      <c r="O498" s="331">
        <f t="shared" si="251"/>
        <v>10</v>
      </c>
      <c r="P498" s="329">
        <f t="shared" si="252"/>
        <v>0</v>
      </c>
      <c r="Q498" s="332">
        <f t="shared" si="253"/>
        <v>0</v>
      </c>
    </row>
    <row r="499" spans="1:17" ht="33.75" x14ac:dyDescent="0.25">
      <c r="A499" s="319" t="s">
        <v>7968</v>
      </c>
      <c r="B499" s="320" t="s">
        <v>7969</v>
      </c>
      <c r="C499" s="321" t="s">
        <v>460</v>
      </c>
      <c r="D499" s="322" t="s">
        <v>1</v>
      </c>
      <c r="E499" s="323" t="s">
        <v>7193</v>
      </c>
      <c r="F499" s="323">
        <v>20</v>
      </c>
      <c r="G499" s="323">
        <v>36</v>
      </c>
      <c r="H499" s="333">
        <v>0</v>
      </c>
      <c r="I499" s="334">
        <v>3</v>
      </c>
      <c r="J499" s="326"/>
      <c r="K499" s="327"/>
      <c r="L499" s="328">
        <v>3</v>
      </c>
      <c r="M499" s="329"/>
      <c r="N499" s="330">
        <f t="shared" si="250"/>
        <v>0</v>
      </c>
      <c r="O499" s="331">
        <f t="shared" si="251"/>
        <v>6</v>
      </c>
      <c r="P499" s="329">
        <f t="shared" si="252"/>
        <v>0</v>
      </c>
      <c r="Q499" s="332">
        <f t="shared" si="253"/>
        <v>0</v>
      </c>
    </row>
    <row r="500" spans="1:17" ht="22.5" x14ac:dyDescent="0.25">
      <c r="A500" s="319" t="s">
        <v>7970</v>
      </c>
      <c r="B500" s="320" t="s">
        <v>7971</v>
      </c>
      <c r="C500" s="321" t="s">
        <v>911</v>
      </c>
      <c r="D500" s="322" t="s">
        <v>1</v>
      </c>
      <c r="E500" s="323" t="s">
        <v>7193</v>
      </c>
      <c r="F500" s="323">
        <v>70</v>
      </c>
      <c r="G500" s="323">
        <v>60</v>
      </c>
      <c r="H500" s="333">
        <v>10</v>
      </c>
      <c r="I500" s="334">
        <v>4</v>
      </c>
      <c r="J500" s="326"/>
      <c r="K500" s="327"/>
      <c r="L500" s="328">
        <v>4</v>
      </c>
      <c r="M500" s="329"/>
      <c r="N500" s="330">
        <f t="shared" si="250"/>
        <v>0</v>
      </c>
      <c r="O500" s="331">
        <f t="shared" si="251"/>
        <v>8</v>
      </c>
      <c r="P500" s="329">
        <f t="shared" si="252"/>
        <v>0</v>
      </c>
      <c r="Q500" s="332">
        <f t="shared" si="253"/>
        <v>0</v>
      </c>
    </row>
    <row r="501" spans="1:17" ht="33.75" x14ac:dyDescent="0.25">
      <c r="A501" s="319" t="s">
        <v>7972</v>
      </c>
      <c r="B501" s="320" t="s">
        <v>7973</v>
      </c>
      <c r="C501" s="321" t="s">
        <v>460</v>
      </c>
      <c r="D501" s="322" t="s">
        <v>1</v>
      </c>
      <c r="E501" s="323" t="s">
        <v>7079</v>
      </c>
      <c r="F501" s="323">
        <v>72</v>
      </c>
      <c r="G501" s="323">
        <v>10</v>
      </c>
      <c r="H501" s="333">
        <v>11</v>
      </c>
      <c r="I501" s="334">
        <v>1</v>
      </c>
      <c r="J501" s="326"/>
      <c r="K501" s="327"/>
      <c r="L501" s="328">
        <v>1</v>
      </c>
      <c r="M501" s="329"/>
      <c r="N501" s="330">
        <f t="shared" si="250"/>
        <v>0</v>
      </c>
      <c r="O501" s="331">
        <f t="shared" si="251"/>
        <v>2</v>
      </c>
      <c r="P501" s="329">
        <f t="shared" si="252"/>
        <v>0</v>
      </c>
      <c r="Q501" s="332">
        <f t="shared" si="253"/>
        <v>0</v>
      </c>
    </row>
    <row r="502" spans="1:17" x14ac:dyDescent="0.25">
      <c r="A502" s="319" t="s">
        <v>7974</v>
      </c>
      <c r="B502" s="320" t="s">
        <v>7975</v>
      </c>
      <c r="C502" s="321" t="s">
        <v>460</v>
      </c>
      <c r="D502" s="322" t="s">
        <v>1</v>
      </c>
      <c r="E502" s="323" t="s">
        <v>7079</v>
      </c>
      <c r="F502" s="323">
        <v>72</v>
      </c>
      <c r="G502" s="323">
        <v>10</v>
      </c>
      <c r="H502" s="333">
        <v>11</v>
      </c>
      <c r="I502" s="334">
        <v>4</v>
      </c>
      <c r="J502" s="326"/>
      <c r="K502" s="327"/>
      <c r="L502" s="328">
        <v>4</v>
      </c>
      <c r="M502" s="329"/>
      <c r="N502" s="330">
        <f t="shared" si="250"/>
        <v>0</v>
      </c>
      <c r="O502" s="331">
        <f t="shared" si="251"/>
        <v>8</v>
      </c>
      <c r="P502" s="329">
        <f t="shared" si="252"/>
        <v>0</v>
      </c>
      <c r="Q502" s="332">
        <f t="shared" si="253"/>
        <v>0</v>
      </c>
    </row>
    <row r="503" spans="1:17" x14ac:dyDescent="0.25">
      <c r="A503" s="169" t="s">
        <v>7976</v>
      </c>
      <c r="B503" s="169" t="s">
        <v>7458</v>
      </c>
      <c r="C503" s="177"/>
      <c r="D503" s="177"/>
      <c r="E503" s="178"/>
      <c r="F503" s="178"/>
      <c r="G503" s="178"/>
      <c r="H503" s="179"/>
      <c r="I503" s="180"/>
      <c r="J503" s="181" t="s">
        <v>7083</v>
      </c>
      <c r="K503" s="182"/>
      <c r="L503" s="180"/>
      <c r="M503" s="181"/>
      <c r="N503" s="182"/>
      <c r="O503" s="180"/>
      <c r="P503" s="181" t="s">
        <v>7083</v>
      </c>
      <c r="Q503" s="182"/>
    </row>
    <row r="504" spans="1:17" x14ac:dyDescent="0.25">
      <c r="A504" s="319" t="s">
        <v>7977</v>
      </c>
      <c r="B504" s="320" t="s">
        <v>7978</v>
      </c>
      <c r="C504" s="321" t="s">
        <v>460</v>
      </c>
      <c r="D504" s="322" t="s">
        <v>1</v>
      </c>
      <c r="E504" s="323" t="s">
        <v>7193</v>
      </c>
      <c r="F504" s="323">
        <v>70</v>
      </c>
      <c r="G504" s="323">
        <v>65</v>
      </c>
      <c r="H504" s="333">
        <v>10</v>
      </c>
      <c r="I504" s="334">
        <v>4</v>
      </c>
      <c r="J504" s="326"/>
      <c r="K504" s="327"/>
      <c r="L504" s="328">
        <v>4</v>
      </c>
      <c r="M504" s="336"/>
      <c r="N504" s="330">
        <f t="shared" ref="N504" si="254">ROUND(L504*M504,2)</f>
        <v>0</v>
      </c>
      <c r="O504" s="331">
        <f>SUM(L504,I504)</f>
        <v>8</v>
      </c>
      <c r="P504" s="329">
        <f>IF(M504&lt;&gt;"",M504,J504)</f>
        <v>0</v>
      </c>
      <c r="Q504" s="332">
        <f>ROUND(O504*P504,2)</f>
        <v>0</v>
      </c>
    </row>
    <row r="505" spans="1:17" ht="22.5" x14ac:dyDescent="0.25">
      <c r="A505" s="169" t="s">
        <v>7979</v>
      </c>
      <c r="B505" s="169" t="s">
        <v>7482</v>
      </c>
      <c r="C505" s="177"/>
      <c r="D505" s="177"/>
      <c r="E505" s="178"/>
      <c r="F505" s="178"/>
      <c r="G505" s="178"/>
      <c r="H505" s="179"/>
      <c r="I505" s="180"/>
      <c r="J505" s="181" t="s">
        <v>7083</v>
      </c>
      <c r="K505" s="182"/>
      <c r="L505" s="180"/>
      <c r="M505" s="181"/>
      <c r="N505" s="182"/>
      <c r="O505" s="180"/>
      <c r="P505" s="181" t="s">
        <v>7083</v>
      </c>
      <c r="Q505" s="182"/>
    </row>
    <row r="506" spans="1:17" x14ac:dyDescent="0.25">
      <c r="A506" s="319" t="s">
        <v>7980</v>
      </c>
      <c r="B506" s="320" t="s">
        <v>7484</v>
      </c>
      <c r="C506" s="321" t="s">
        <v>378</v>
      </c>
      <c r="D506" s="322" t="s">
        <v>1</v>
      </c>
      <c r="E506" s="323" t="s">
        <v>7193</v>
      </c>
      <c r="F506" s="323">
        <v>70</v>
      </c>
      <c r="G506" s="323">
        <v>70</v>
      </c>
      <c r="H506" s="333">
        <v>20</v>
      </c>
      <c r="I506" s="334">
        <v>50</v>
      </c>
      <c r="J506" s="326"/>
      <c r="K506" s="327"/>
      <c r="L506" s="328">
        <v>50</v>
      </c>
      <c r="M506" s="336"/>
      <c r="N506" s="330">
        <f t="shared" ref="N506:N513" si="255">ROUND(L506*M506,2)</f>
        <v>0</v>
      </c>
      <c r="O506" s="331">
        <f t="shared" ref="O506:O513" si="256">SUM(L506,I506)</f>
        <v>100</v>
      </c>
      <c r="P506" s="329">
        <f t="shared" ref="P506:P513" si="257">IF(M506&lt;&gt;"",M506,J506)</f>
        <v>0</v>
      </c>
      <c r="Q506" s="332">
        <f t="shared" ref="Q506:Q513" si="258">ROUND(O506*P506,2)</f>
        <v>0</v>
      </c>
    </row>
    <row r="507" spans="1:17" x14ac:dyDescent="0.25">
      <c r="A507" s="319" t="s">
        <v>7981</v>
      </c>
      <c r="B507" s="320" t="s">
        <v>7486</v>
      </c>
      <c r="C507" s="321" t="s">
        <v>378</v>
      </c>
      <c r="D507" s="322" t="s">
        <v>1</v>
      </c>
      <c r="E507" s="323" t="s">
        <v>7193</v>
      </c>
      <c r="F507" s="323">
        <v>70</v>
      </c>
      <c r="G507" s="323">
        <v>70</v>
      </c>
      <c r="H507" s="333">
        <v>20</v>
      </c>
      <c r="I507" s="334">
        <v>200</v>
      </c>
      <c r="J507" s="326"/>
      <c r="K507" s="327"/>
      <c r="L507" s="328">
        <v>200</v>
      </c>
      <c r="M507" s="336"/>
      <c r="N507" s="330">
        <f t="shared" si="255"/>
        <v>0</v>
      </c>
      <c r="O507" s="331">
        <f t="shared" si="256"/>
        <v>400</v>
      </c>
      <c r="P507" s="329">
        <f t="shared" si="257"/>
        <v>0</v>
      </c>
      <c r="Q507" s="332">
        <f t="shared" si="258"/>
        <v>0</v>
      </c>
    </row>
    <row r="508" spans="1:17" x14ac:dyDescent="0.25">
      <c r="A508" s="319" t="s">
        <v>7982</v>
      </c>
      <c r="B508" s="320" t="s">
        <v>7490</v>
      </c>
      <c r="C508" s="321" t="s">
        <v>911</v>
      </c>
      <c r="D508" s="322" t="s">
        <v>1</v>
      </c>
      <c r="E508" s="323" t="s">
        <v>7193</v>
      </c>
      <c r="F508" s="323">
        <v>70</v>
      </c>
      <c r="G508" s="323">
        <v>70</v>
      </c>
      <c r="H508" s="333">
        <v>20</v>
      </c>
      <c r="I508" s="334">
        <v>10</v>
      </c>
      <c r="J508" s="326"/>
      <c r="K508" s="327"/>
      <c r="L508" s="328">
        <v>10</v>
      </c>
      <c r="M508" s="336"/>
      <c r="N508" s="330">
        <f t="shared" si="255"/>
        <v>0</v>
      </c>
      <c r="O508" s="331">
        <f t="shared" si="256"/>
        <v>20</v>
      </c>
      <c r="P508" s="329">
        <f t="shared" si="257"/>
        <v>0</v>
      </c>
      <c r="Q508" s="332">
        <f t="shared" si="258"/>
        <v>0</v>
      </c>
    </row>
    <row r="509" spans="1:17" ht="22.5" x14ac:dyDescent="0.25">
      <c r="A509" s="319" t="s">
        <v>7983</v>
      </c>
      <c r="B509" s="320" t="s">
        <v>7494</v>
      </c>
      <c r="C509" s="321" t="s">
        <v>460</v>
      </c>
      <c r="D509" s="322" t="s">
        <v>1</v>
      </c>
      <c r="E509" s="323" t="s">
        <v>7193</v>
      </c>
      <c r="F509" s="323">
        <v>70</v>
      </c>
      <c r="G509" s="323">
        <v>70</v>
      </c>
      <c r="H509" s="333">
        <v>20</v>
      </c>
      <c r="I509" s="334">
        <v>20</v>
      </c>
      <c r="J509" s="326"/>
      <c r="K509" s="327"/>
      <c r="L509" s="328">
        <v>20</v>
      </c>
      <c r="M509" s="336"/>
      <c r="N509" s="330">
        <f t="shared" si="255"/>
        <v>0</v>
      </c>
      <c r="O509" s="331">
        <f t="shared" si="256"/>
        <v>40</v>
      </c>
      <c r="P509" s="329">
        <f t="shared" si="257"/>
        <v>0</v>
      </c>
      <c r="Q509" s="332">
        <f t="shared" si="258"/>
        <v>0</v>
      </c>
    </row>
    <row r="510" spans="1:17" x14ac:dyDescent="0.25">
      <c r="A510" s="319" t="s">
        <v>7984</v>
      </c>
      <c r="B510" s="320" t="s">
        <v>7492</v>
      </c>
      <c r="C510" s="321" t="s">
        <v>911</v>
      </c>
      <c r="D510" s="322" t="s">
        <v>1</v>
      </c>
      <c r="E510" s="323" t="s">
        <v>7193</v>
      </c>
      <c r="F510" s="323">
        <v>70</v>
      </c>
      <c r="G510" s="323">
        <v>70</v>
      </c>
      <c r="H510" s="333">
        <v>20</v>
      </c>
      <c r="I510" s="334">
        <v>10</v>
      </c>
      <c r="J510" s="326"/>
      <c r="K510" s="327"/>
      <c r="L510" s="328">
        <v>10</v>
      </c>
      <c r="M510" s="336"/>
      <c r="N510" s="330">
        <f t="shared" si="255"/>
        <v>0</v>
      </c>
      <c r="O510" s="331">
        <f t="shared" si="256"/>
        <v>20</v>
      </c>
      <c r="P510" s="329">
        <f t="shared" si="257"/>
        <v>0</v>
      </c>
      <c r="Q510" s="332">
        <f t="shared" si="258"/>
        <v>0</v>
      </c>
    </row>
    <row r="511" spans="1:17" ht="22.5" x14ac:dyDescent="0.25">
      <c r="A511" s="319" t="s">
        <v>7985</v>
      </c>
      <c r="B511" s="320" t="s">
        <v>7986</v>
      </c>
      <c r="C511" s="321" t="s">
        <v>460</v>
      </c>
      <c r="D511" s="322" t="s">
        <v>1</v>
      </c>
      <c r="E511" s="323" t="s">
        <v>7193</v>
      </c>
      <c r="F511" s="323">
        <v>70</v>
      </c>
      <c r="G511" s="323">
        <v>70</v>
      </c>
      <c r="H511" s="333">
        <v>20</v>
      </c>
      <c r="I511" s="334">
        <v>5</v>
      </c>
      <c r="J511" s="326"/>
      <c r="K511" s="327"/>
      <c r="L511" s="328">
        <v>5</v>
      </c>
      <c r="M511" s="329"/>
      <c r="N511" s="330">
        <f t="shared" si="255"/>
        <v>0</v>
      </c>
      <c r="O511" s="331">
        <f t="shared" si="256"/>
        <v>10</v>
      </c>
      <c r="P511" s="329">
        <f t="shared" si="257"/>
        <v>0</v>
      </c>
      <c r="Q511" s="332">
        <f t="shared" si="258"/>
        <v>0</v>
      </c>
    </row>
    <row r="512" spans="1:17" x14ac:dyDescent="0.25">
      <c r="A512" s="319" t="s">
        <v>7987</v>
      </c>
      <c r="B512" s="320" t="s">
        <v>7988</v>
      </c>
      <c r="C512" s="321" t="s">
        <v>460</v>
      </c>
      <c r="D512" s="322" t="s">
        <v>1</v>
      </c>
      <c r="E512" s="323" t="s">
        <v>7193</v>
      </c>
      <c r="F512" s="323">
        <v>70</v>
      </c>
      <c r="G512" s="323">
        <v>70</v>
      </c>
      <c r="H512" s="333">
        <v>20</v>
      </c>
      <c r="I512" s="334">
        <v>5</v>
      </c>
      <c r="J512" s="326"/>
      <c r="K512" s="327"/>
      <c r="L512" s="328">
        <v>5</v>
      </c>
      <c r="M512" s="329"/>
      <c r="N512" s="330">
        <f t="shared" si="255"/>
        <v>0</v>
      </c>
      <c r="O512" s="331">
        <f t="shared" si="256"/>
        <v>10</v>
      </c>
      <c r="P512" s="329">
        <f t="shared" si="257"/>
        <v>0</v>
      </c>
      <c r="Q512" s="332">
        <f t="shared" si="258"/>
        <v>0</v>
      </c>
    </row>
    <row r="513" spans="1:17" ht="22.5" x14ac:dyDescent="0.25">
      <c r="A513" s="319" t="s">
        <v>7989</v>
      </c>
      <c r="B513" s="320" t="s">
        <v>7990</v>
      </c>
      <c r="C513" s="321" t="s">
        <v>460</v>
      </c>
      <c r="D513" s="322" t="s">
        <v>1</v>
      </c>
      <c r="E513" s="323" t="s">
        <v>7193</v>
      </c>
      <c r="F513" s="323">
        <v>70</v>
      </c>
      <c r="G513" s="323">
        <v>70</v>
      </c>
      <c r="H513" s="333">
        <v>20</v>
      </c>
      <c r="I513" s="334">
        <v>1</v>
      </c>
      <c r="J513" s="326"/>
      <c r="K513" s="327"/>
      <c r="L513" s="328">
        <v>1</v>
      </c>
      <c r="M513" s="329"/>
      <c r="N513" s="330">
        <f t="shared" si="255"/>
        <v>0</v>
      </c>
      <c r="O513" s="331">
        <f t="shared" si="256"/>
        <v>2</v>
      </c>
      <c r="P513" s="329">
        <f t="shared" si="257"/>
        <v>0</v>
      </c>
      <c r="Q513" s="332">
        <f t="shared" si="258"/>
        <v>0</v>
      </c>
    </row>
    <row r="514" spans="1:17" x14ac:dyDescent="0.25">
      <c r="A514" s="244" t="s">
        <v>7991</v>
      </c>
      <c r="B514" s="245" t="s">
        <v>7322</v>
      </c>
      <c r="C514" s="246"/>
      <c r="D514" s="247"/>
      <c r="E514" s="248"/>
      <c r="F514" s="249"/>
      <c r="G514" s="249"/>
      <c r="H514" s="250"/>
      <c r="I514" s="276"/>
      <c r="J514" s="276"/>
      <c r="K514" s="276"/>
      <c r="L514" s="310"/>
      <c r="M514" s="276"/>
      <c r="N514" s="276"/>
      <c r="O514" s="276"/>
      <c r="P514" s="276"/>
      <c r="Q514" s="276"/>
    </row>
    <row r="515" spans="1:17" x14ac:dyDescent="0.25">
      <c r="A515" s="260" t="s">
        <v>7992</v>
      </c>
      <c r="B515" s="169" t="s">
        <v>7324</v>
      </c>
      <c r="C515" s="262"/>
      <c r="D515" s="263"/>
      <c r="E515" s="264"/>
      <c r="F515" s="264"/>
      <c r="G515" s="264"/>
      <c r="H515" s="265"/>
      <c r="I515" s="274"/>
      <c r="J515" s="274"/>
      <c r="K515" s="274"/>
      <c r="L515" s="311"/>
      <c r="M515" s="274"/>
      <c r="N515" s="274"/>
      <c r="O515" s="274"/>
      <c r="P515" s="274"/>
      <c r="Q515" s="274"/>
    </row>
    <row r="516" spans="1:17" ht="33.75" x14ac:dyDescent="0.25">
      <c r="A516" s="319" t="s">
        <v>7993</v>
      </c>
      <c r="B516" s="320" t="s">
        <v>7994</v>
      </c>
      <c r="C516" s="321" t="s">
        <v>911</v>
      </c>
      <c r="D516" s="322" t="s">
        <v>1</v>
      </c>
      <c r="E516" s="323" t="s">
        <v>7193</v>
      </c>
      <c r="F516" s="323">
        <v>30</v>
      </c>
      <c r="G516" s="323">
        <v>70</v>
      </c>
      <c r="H516" s="333">
        <v>900</v>
      </c>
      <c r="I516" s="334">
        <v>2</v>
      </c>
      <c r="J516" s="326"/>
      <c r="K516" s="327"/>
      <c r="L516" s="328">
        <v>2</v>
      </c>
      <c r="M516" s="336"/>
      <c r="N516" s="330">
        <f t="shared" ref="N516:N517" si="259">ROUND(L516*M516,2)</f>
        <v>0</v>
      </c>
      <c r="O516" s="331">
        <f t="shared" ref="O516:O517" si="260">SUM(L516,I516)</f>
        <v>4</v>
      </c>
      <c r="P516" s="329">
        <f t="shared" ref="P516:P517" si="261">IF(M516&lt;&gt;"",M516,J516)</f>
        <v>0</v>
      </c>
      <c r="Q516" s="332">
        <f t="shared" ref="Q516:Q517" si="262">ROUND(O516*P516,2)</f>
        <v>0</v>
      </c>
    </row>
    <row r="517" spans="1:17" ht="22.5" x14ac:dyDescent="0.25">
      <c r="A517" s="319" t="s">
        <v>7995</v>
      </c>
      <c r="B517" s="320" t="s">
        <v>7996</v>
      </c>
      <c r="C517" s="321" t="s">
        <v>460</v>
      </c>
      <c r="D517" s="322" t="s">
        <v>1</v>
      </c>
      <c r="E517" s="323" t="s">
        <v>7193</v>
      </c>
      <c r="F517" s="323">
        <v>30</v>
      </c>
      <c r="G517" s="323">
        <v>70</v>
      </c>
      <c r="H517" s="333">
        <v>900</v>
      </c>
      <c r="I517" s="334">
        <v>2</v>
      </c>
      <c r="J517" s="326"/>
      <c r="K517" s="327"/>
      <c r="L517" s="328">
        <v>2</v>
      </c>
      <c r="M517" s="336"/>
      <c r="N517" s="330">
        <f t="shared" si="259"/>
        <v>0</v>
      </c>
      <c r="O517" s="331">
        <f t="shared" si="260"/>
        <v>4</v>
      </c>
      <c r="P517" s="329">
        <f t="shared" si="261"/>
        <v>0</v>
      </c>
      <c r="Q517" s="332">
        <f t="shared" si="262"/>
        <v>0</v>
      </c>
    </row>
    <row r="518" spans="1:17" x14ac:dyDescent="0.25">
      <c r="A518" s="169" t="s">
        <v>7997</v>
      </c>
      <c r="B518" s="169" t="s">
        <v>7998</v>
      </c>
      <c r="C518" s="170"/>
      <c r="D518" s="170"/>
      <c r="E518" s="171"/>
      <c r="F518" s="171"/>
      <c r="G518" s="171"/>
      <c r="H518" s="172"/>
      <c r="I518" s="173"/>
      <c r="J518" s="174" t="s">
        <v>7083</v>
      </c>
      <c r="K518" s="175"/>
      <c r="L518" s="173"/>
      <c r="M518" s="174"/>
      <c r="N518" s="175"/>
      <c r="O518" s="173"/>
      <c r="P518" s="174" t="s">
        <v>7083</v>
      </c>
      <c r="Q518" s="175"/>
    </row>
    <row r="519" spans="1:17" x14ac:dyDescent="0.25">
      <c r="A519" s="319" t="s">
        <v>7999</v>
      </c>
      <c r="B519" s="320" t="s">
        <v>8000</v>
      </c>
      <c r="C519" s="321" t="s">
        <v>460</v>
      </c>
      <c r="D519" s="322" t="s">
        <v>1</v>
      </c>
      <c r="E519" s="323" t="s">
        <v>7193</v>
      </c>
      <c r="F519" s="323">
        <v>30</v>
      </c>
      <c r="G519" s="323">
        <v>60</v>
      </c>
      <c r="H519" s="333" t="s">
        <v>7205</v>
      </c>
      <c r="I519" s="334">
        <v>1</v>
      </c>
      <c r="J519" s="326"/>
      <c r="K519" s="327"/>
      <c r="L519" s="328">
        <v>1</v>
      </c>
      <c r="M519" s="329"/>
      <c r="N519" s="330">
        <f t="shared" ref="N519" si="263">ROUND(L519*M519,2)</f>
        <v>0</v>
      </c>
      <c r="O519" s="331">
        <f>SUM(L519,I519)</f>
        <v>2</v>
      </c>
      <c r="P519" s="329">
        <f>IF(M519&lt;&gt;"",M519,J519)</f>
        <v>0</v>
      </c>
      <c r="Q519" s="332">
        <f>ROUND(O519*P519,2)</f>
        <v>0</v>
      </c>
    </row>
    <row r="520" spans="1:17" x14ac:dyDescent="0.25">
      <c r="A520" s="287"/>
      <c r="B520" s="288" t="s">
        <v>8001</v>
      </c>
      <c r="C520" s="287"/>
      <c r="D520" s="289"/>
      <c r="E520" s="290"/>
      <c r="F520" s="291"/>
      <c r="G520" s="291"/>
      <c r="H520" s="292"/>
      <c r="I520" s="293"/>
      <c r="J520" s="294"/>
      <c r="K520" s="294">
        <f>SUBTOTAL(9,K457:K519)</f>
        <v>0</v>
      </c>
      <c r="L520" s="343"/>
      <c r="M520" s="294"/>
      <c r="N520" s="294">
        <f>SUBTOTAL(9,N457:N519)</f>
        <v>0</v>
      </c>
      <c r="O520" s="293"/>
      <c r="P520" s="294"/>
      <c r="Q520" s="294">
        <f>SUBTOTAL(9,Q457:Q519)</f>
        <v>0</v>
      </c>
    </row>
    <row r="521" spans="1:17" x14ac:dyDescent="0.25">
      <c r="A521" s="236" t="s">
        <v>8002</v>
      </c>
      <c r="B521" s="237" t="s">
        <v>8003</v>
      </c>
      <c r="C521" s="238"/>
      <c r="D521" s="239"/>
      <c r="E521" s="240"/>
      <c r="F521" s="241"/>
      <c r="G521" s="241"/>
      <c r="H521" s="242"/>
      <c r="I521" s="271"/>
      <c r="J521" s="271"/>
      <c r="K521" s="271"/>
      <c r="L521" s="309"/>
      <c r="M521" s="271"/>
      <c r="N521" s="271"/>
      <c r="O521" s="271"/>
      <c r="P521" s="271"/>
      <c r="Q521" s="271"/>
    </row>
    <row r="522" spans="1:17" x14ac:dyDescent="0.25">
      <c r="A522" s="139" t="s">
        <v>8004</v>
      </c>
      <c r="B522" s="139" t="s">
        <v>8005</v>
      </c>
      <c r="C522" s="140"/>
      <c r="D522" s="140"/>
      <c r="E522" s="141"/>
      <c r="F522" s="142"/>
      <c r="G522" s="142"/>
      <c r="H522" s="143"/>
      <c r="I522" s="144"/>
      <c r="J522" s="145"/>
      <c r="K522" s="146"/>
      <c r="L522" s="144"/>
      <c r="M522" s="145"/>
      <c r="N522" s="146"/>
      <c r="O522" s="144"/>
      <c r="P522" s="145" t="s">
        <v>7083</v>
      </c>
      <c r="Q522" s="146"/>
    </row>
    <row r="523" spans="1:17" x14ac:dyDescent="0.25">
      <c r="A523" s="344" t="s">
        <v>8006</v>
      </c>
      <c r="B523" s="169" t="s">
        <v>8005</v>
      </c>
      <c r="C523" s="170"/>
      <c r="D523" s="170"/>
      <c r="E523" s="171"/>
      <c r="F523" s="171"/>
      <c r="G523" s="171"/>
      <c r="H523" s="172"/>
      <c r="I523" s="173"/>
      <c r="J523" s="174"/>
      <c r="K523" s="175"/>
      <c r="L523" s="173"/>
      <c r="M523" s="174"/>
      <c r="N523" s="175"/>
      <c r="O523" s="173"/>
      <c r="P523" s="174" t="s">
        <v>7083</v>
      </c>
      <c r="Q523" s="175"/>
    </row>
    <row r="524" spans="1:17" x14ac:dyDescent="0.25">
      <c r="A524" s="345" t="s">
        <v>8007</v>
      </c>
      <c r="B524" s="176" t="s">
        <v>8008</v>
      </c>
      <c r="C524" s="177"/>
      <c r="D524" s="177"/>
      <c r="E524" s="178"/>
      <c r="F524" s="178"/>
      <c r="G524" s="178"/>
      <c r="H524" s="179"/>
      <c r="I524" s="180"/>
      <c r="J524" s="181"/>
      <c r="K524" s="182"/>
      <c r="L524" s="180"/>
      <c r="M524" s="181"/>
      <c r="N524" s="182"/>
      <c r="O524" s="180"/>
      <c r="P524" s="181" t="s">
        <v>7083</v>
      </c>
      <c r="Q524" s="182"/>
    </row>
    <row r="525" spans="1:17" x14ac:dyDescent="0.25">
      <c r="A525" s="346" t="s">
        <v>8009</v>
      </c>
      <c r="B525" s="347" t="s">
        <v>8010</v>
      </c>
      <c r="C525" s="348" t="s">
        <v>266</v>
      </c>
      <c r="D525" s="348" t="s">
        <v>1</v>
      </c>
      <c r="E525" s="349" t="s">
        <v>7504</v>
      </c>
      <c r="F525" s="349">
        <v>75</v>
      </c>
      <c r="G525" s="349">
        <v>10</v>
      </c>
      <c r="H525" s="324">
        <v>0</v>
      </c>
      <c r="I525" s="328">
        <v>2</v>
      </c>
      <c r="J525" s="335"/>
      <c r="K525" s="330"/>
      <c r="L525" s="328">
        <v>2</v>
      </c>
      <c r="M525" s="329"/>
      <c r="N525" s="330">
        <f t="shared" ref="N525" si="264">ROUND(L525*M525,2)</f>
        <v>0</v>
      </c>
      <c r="O525" s="331">
        <f>SUM(L525,I525)</f>
        <v>4</v>
      </c>
      <c r="P525" s="329">
        <f>IF(M525&lt;&gt;"",M525,J525)</f>
        <v>0</v>
      </c>
      <c r="Q525" s="332">
        <f>ROUND(O525*P525,2)</f>
        <v>0</v>
      </c>
    </row>
    <row r="526" spans="1:17" x14ac:dyDescent="0.25">
      <c r="A526" s="345" t="s">
        <v>8011</v>
      </c>
      <c r="B526" s="176" t="s">
        <v>8012</v>
      </c>
      <c r="C526" s="177"/>
      <c r="D526" s="177"/>
      <c r="E526" s="178"/>
      <c r="F526" s="178"/>
      <c r="G526" s="178"/>
      <c r="H526" s="179"/>
      <c r="I526" s="180"/>
      <c r="J526" s="181"/>
      <c r="K526" s="182"/>
      <c r="L526" s="180"/>
      <c r="M526" s="181"/>
      <c r="N526" s="182"/>
      <c r="O526" s="180"/>
      <c r="P526" s="181" t="s">
        <v>7083</v>
      </c>
      <c r="Q526" s="182"/>
    </row>
    <row r="527" spans="1:17" x14ac:dyDescent="0.25">
      <c r="A527" s="346" t="s">
        <v>8013</v>
      </c>
      <c r="B527" s="347" t="s">
        <v>8014</v>
      </c>
      <c r="C527" s="348" t="s">
        <v>88</v>
      </c>
      <c r="D527" s="348" t="s">
        <v>1</v>
      </c>
      <c r="E527" s="349" t="s">
        <v>7504</v>
      </c>
      <c r="F527" s="349">
        <v>75</v>
      </c>
      <c r="G527" s="349">
        <v>20</v>
      </c>
      <c r="H527" s="324">
        <v>0</v>
      </c>
      <c r="I527" s="328">
        <v>0.1</v>
      </c>
      <c r="J527" s="335"/>
      <c r="K527" s="330"/>
      <c r="L527" s="328">
        <v>0.1</v>
      </c>
      <c r="M527" s="329"/>
      <c r="N527" s="330">
        <f t="shared" ref="N527" si="265">ROUND(L527*M527,2)</f>
        <v>0</v>
      </c>
      <c r="O527" s="331">
        <f>SUM(L527,I527)</f>
        <v>0.2</v>
      </c>
      <c r="P527" s="329">
        <f>IF(M527&lt;&gt;"",M527,J527)</f>
        <v>0</v>
      </c>
      <c r="Q527" s="332">
        <f>ROUND(O527*P527,2)</f>
        <v>0</v>
      </c>
    </row>
    <row r="528" spans="1:17" x14ac:dyDescent="0.25">
      <c r="A528" s="345" t="s">
        <v>8015</v>
      </c>
      <c r="B528" s="176" t="s">
        <v>8016</v>
      </c>
      <c r="C528" s="177"/>
      <c r="D528" s="177"/>
      <c r="E528" s="178"/>
      <c r="F528" s="178"/>
      <c r="G528" s="178"/>
      <c r="H528" s="179"/>
      <c r="I528" s="180"/>
      <c r="J528" s="181"/>
      <c r="K528" s="182"/>
      <c r="L528" s="180"/>
      <c r="M528" s="181"/>
      <c r="N528" s="182"/>
      <c r="O528" s="180"/>
      <c r="P528" s="181" t="s">
        <v>7083</v>
      </c>
      <c r="Q528" s="182"/>
    </row>
    <row r="529" spans="1:17" x14ac:dyDescent="0.25">
      <c r="A529" s="346" t="s">
        <v>8017</v>
      </c>
      <c r="B529" s="347" t="s">
        <v>8018</v>
      </c>
      <c r="C529" s="348" t="s">
        <v>266</v>
      </c>
      <c r="D529" s="348" t="s">
        <v>1</v>
      </c>
      <c r="E529" s="349" t="s">
        <v>7504</v>
      </c>
      <c r="F529" s="349">
        <v>75</v>
      </c>
      <c r="G529" s="349">
        <v>20</v>
      </c>
      <c r="H529" s="324">
        <v>0</v>
      </c>
      <c r="I529" s="328">
        <v>0.1</v>
      </c>
      <c r="J529" s="335"/>
      <c r="K529" s="330"/>
      <c r="L529" s="328">
        <v>0.1</v>
      </c>
      <c r="M529" s="329"/>
      <c r="N529" s="330">
        <f t="shared" ref="N529" si="266">ROUND(L529*M529,2)</f>
        <v>0</v>
      </c>
      <c r="O529" s="331">
        <f>SUM(L529,I529)</f>
        <v>0.2</v>
      </c>
      <c r="P529" s="329">
        <f>IF(M529&lt;&gt;"",M529,J529)</f>
        <v>0</v>
      </c>
      <c r="Q529" s="332">
        <f>ROUND(O529*P529,2)</f>
        <v>0</v>
      </c>
    </row>
    <row r="530" spans="1:17" x14ac:dyDescent="0.25">
      <c r="A530" s="345" t="s">
        <v>8019</v>
      </c>
      <c r="B530" s="176" t="s">
        <v>8020</v>
      </c>
      <c r="C530" s="177"/>
      <c r="D530" s="177"/>
      <c r="E530" s="178"/>
      <c r="F530" s="178"/>
      <c r="G530" s="178"/>
      <c r="H530" s="179"/>
      <c r="I530" s="180"/>
      <c r="J530" s="181"/>
      <c r="K530" s="182"/>
      <c r="L530" s="180"/>
      <c r="M530" s="181"/>
      <c r="N530" s="182"/>
      <c r="O530" s="180"/>
      <c r="P530" s="181" t="s">
        <v>7083</v>
      </c>
      <c r="Q530" s="182"/>
    </row>
    <row r="531" spans="1:17" x14ac:dyDescent="0.25">
      <c r="A531" s="346" t="s">
        <v>8021</v>
      </c>
      <c r="B531" s="347" t="s">
        <v>8022</v>
      </c>
      <c r="C531" s="348" t="s">
        <v>266</v>
      </c>
      <c r="D531" s="348" t="s">
        <v>1</v>
      </c>
      <c r="E531" s="349" t="s">
        <v>7504</v>
      </c>
      <c r="F531" s="349">
        <v>75</v>
      </c>
      <c r="G531" s="349">
        <v>30</v>
      </c>
      <c r="H531" s="324">
        <v>0</v>
      </c>
      <c r="I531" s="328">
        <v>0.5</v>
      </c>
      <c r="J531" s="335"/>
      <c r="K531" s="330"/>
      <c r="L531" s="328">
        <v>0.5</v>
      </c>
      <c r="M531" s="329"/>
      <c r="N531" s="330">
        <f t="shared" ref="N531" si="267">ROUND(L531*M531,2)</f>
        <v>0</v>
      </c>
      <c r="O531" s="331">
        <f>SUM(L531,I531)</f>
        <v>1</v>
      </c>
      <c r="P531" s="329">
        <f>IF(M531&lt;&gt;"",M531,J531)</f>
        <v>0</v>
      </c>
      <c r="Q531" s="332">
        <f>ROUND(O531*P531,2)</f>
        <v>0</v>
      </c>
    </row>
    <row r="532" spans="1:17" x14ac:dyDescent="0.25">
      <c r="A532" s="139" t="s">
        <v>8023</v>
      </c>
      <c r="B532" s="139" t="s">
        <v>7496</v>
      </c>
      <c r="C532" s="140"/>
      <c r="D532" s="140"/>
      <c r="E532" s="141"/>
      <c r="F532" s="142"/>
      <c r="G532" s="142"/>
      <c r="H532" s="143"/>
      <c r="I532" s="144"/>
      <c r="J532" s="145" t="s">
        <v>7083</v>
      </c>
      <c r="K532" s="146"/>
      <c r="L532" s="144"/>
      <c r="M532" s="145"/>
      <c r="N532" s="146"/>
      <c r="O532" s="144"/>
      <c r="P532" s="145" t="s">
        <v>7083</v>
      </c>
      <c r="Q532" s="146"/>
    </row>
    <row r="533" spans="1:17" x14ac:dyDescent="0.25">
      <c r="A533" s="344" t="s">
        <v>8024</v>
      </c>
      <c r="B533" s="169" t="s">
        <v>7526</v>
      </c>
      <c r="C533" s="170"/>
      <c r="D533" s="170"/>
      <c r="E533" s="171"/>
      <c r="F533" s="171"/>
      <c r="G533" s="171"/>
      <c r="H533" s="172"/>
      <c r="I533" s="173"/>
      <c r="J533" s="174" t="s">
        <v>7083</v>
      </c>
      <c r="K533" s="175"/>
      <c r="L533" s="173"/>
      <c r="M533" s="174"/>
      <c r="N533" s="175"/>
      <c r="O533" s="173"/>
      <c r="P533" s="174" t="s">
        <v>7083</v>
      </c>
      <c r="Q533" s="175"/>
    </row>
    <row r="534" spans="1:17" x14ac:dyDescent="0.25">
      <c r="A534" s="345" t="s">
        <v>8025</v>
      </c>
      <c r="B534" s="176" t="s">
        <v>7532</v>
      </c>
      <c r="C534" s="177"/>
      <c r="D534" s="177"/>
      <c r="E534" s="178"/>
      <c r="F534" s="178"/>
      <c r="G534" s="178"/>
      <c r="H534" s="179"/>
      <c r="I534" s="180"/>
      <c r="J534" s="181" t="s">
        <v>7083</v>
      </c>
      <c r="K534" s="182"/>
      <c r="L534" s="180"/>
      <c r="M534" s="181"/>
      <c r="N534" s="182"/>
      <c r="O534" s="180"/>
      <c r="P534" s="181" t="s">
        <v>7083</v>
      </c>
      <c r="Q534" s="182"/>
    </row>
    <row r="535" spans="1:17" ht="22.5" x14ac:dyDescent="0.25">
      <c r="A535" s="346" t="s">
        <v>8026</v>
      </c>
      <c r="B535" s="347" t="s">
        <v>8027</v>
      </c>
      <c r="C535" s="348" t="s">
        <v>911</v>
      </c>
      <c r="D535" s="348" t="s">
        <v>1</v>
      </c>
      <c r="E535" s="349" t="s">
        <v>7504</v>
      </c>
      <c r="F535" s="349">
        <v>55</v>
      </c>
      <c r="G535" s="349">
        <v>10</v>
      </c>
      <c r="H535" s="324">
        <v>0</v>
      </c>
      <c r="I535" s="328">
        <v>1</v>
      </c>
      <c r="J535" s="335"/>
      <c r="K535" s="330"/>
      <c r="L535" s="328">
        <v>1</v>
      </c>
      <c r="M535" s="329"/>
      <c r="N535" s="330">
        <f t="shared" ref="N535" si="268">ROUND(L535*M535,2)</f>
        <v>0</v>
      </c>
      <c r="O535" s="331">
        <f>SUM(L535,I535)</f>
        <v>2</v>
      </c>
      <c r="P535" s="329">
        <f>IF(M535&lt;&gt;"",M535,J535)</f>
        <v>0</v>
      </c>
      <c r="Q535" s="332">
        <f>ROUND(O535*P535,2)</f>
        <v>0</v>
      </c>
    </row>
    <row r="536" spans="1:17" x14ac:dyDescent="0.25">
      <c r="A536" s="139" t="s">
        <v>8028</v>
      </c>
      <c r="B536" s="139" t="s">
        <v>7185</v>
      </c>
      <c r="C536" s="140"/>
      <c r="D536" s="140"/>
      <c r="E536" s="141"/>
      <c r="F536" s="142"/>
      <c r="G536" s="142"/>
      <c r="H536" s="143"/>
      <c r="I536" s="144"/>
      <c r="J536" s="145"/>
      <c r="K536" s="146"/>
      <c r="L536" s="144"/>
      <c r="M536" s="145"/>
      <c r="N536" s="146"/>
      <c r="O536" s="144"/>
      <c r="P536" s="145" t="s">
        <v>7083</v>
      </c>
      <c r="Q536" s="146"/>
    </row>
    <row r="537" spans="1:17" x14ac:dyDescent="0.25">
      <c r="A537" s="344" t="s">
        <v>8029</v>
      </c>
      <c r="B537" s="169" t="s">
        <v>7211</v>
      </c>
      <c r="C537" s="170"/>
      <c r="D537" s="170"/>
      <c r="E537" s="171"/>
      <c r="F537" s="171"/>
      <c r="G537" s="171"/>
      <c r="H537" s="172"/>
      <c r="I537" s="173"/>
      <c r="J537" s="174" t="s">
        <v>7083</v>
      </c>
      <c r="K537" s="175"/>
      <c r="L537" s="173"/>
      <c r="M537" s="174"/>
      <c r="N537" s="175"/>
      <c r="O537" s="173"/>
      <c r="P537" s="174" t="s">
        <v>7083</v>
      </c>
      <c r="Q537" s="175"/>
    </row>
    <row r="538" spans="1:17" x14ac:dyDescent="0.25">
      <c r="A538" s="345" t="s">
        <v>8030</v>
      </c>
      <c r="B538" s="176" t="s">
        <v>8031</v>
      </c>
      <c r="C538" s="177"/>
      <c r="D538" s="177"/>
      <c r="E538" s="178"/>
      <c r="F538" s="178"/>
      <c r="G538" s="178"/>
      <c r="H538" s="179"/>
      <c r="I538" s="180"/>
      <c r="J538" s="181" t="s">
        <v>7083</v>
      </c>
      <c r="K538" s="182"/>
      <c r="L538" s="180"/>
      <c r="M538" s="181"/>
      <c r="N538" s="182"/>
      <c r="O538" s="180"/>
      <c r="P538" s="181" t="s">
        <v>7083</v>
      </c>
      <c r="Q538" s="182"/>
    </row>
    <row r="539" spans="1:17" ht="33.75" x14ac:dyDescent="0.25">
      <c r="A539" s="350" t="s">
        <v>8032</v>
      </c>
      <c r="B539" s="351" t="s">
        <v>8033</v>
      </c>
      <c r="C539" s="352" t="s">
        <v>911</v>
      </c>
      <c r="D539" s="352" t="s">
        <v>1</v>
      </c>
      <c r="E539" s="353" t="s">
        <v>7193</v>
      </c>
      <c r="F539" s="349">
        <v>55</v>
      </c>
      <c r="G539" s="349">
        <v>10</v>
      </c>
      <c r="H539" s="324">
        <v>0</v>
      </c>
      <c r="I539" s="328">
        <v>1</v>
      </c>
      <c r="J539" s="335"/>
      <c r="K539" s="330"/>
      <c r="L539" s="328">
        <v>1</v>
      </c>
      <c r="M539" s="329"/>
      <c r="N539" s="330">
        <f t="shared" ref="N539" si="269">ROUND(L539*M539,2)</f>
        <v>0</v>
      </c>
      <c r="O539" s="331">
        <f>SUM(L539,I539)</f>
        <v>2</v>
      </c>
      <c r="P539" s="329">
        <f>IF(M539&lt;&gt;"",M539,J539)</f>
        <v>0</v>
      </c>
      <c r="Q539" s="332">
        <f>ROUND(O539*P539,2)</f>
        <v>0</v>
      </c>
    </row>
    <row r="540" spans="1:17" x14ac:dyDescent="0.25">
      <c r="A540" s="139" t="s">
        <v>8034</v>
      </c>
      <c r="B540" s="139" t="s">
        <v>7218</v>
      </c>
      <c r="C540" s="140"/>
      <c r="D540" s="140"/>
      <c r="E540" s="141"/>
      <c r="F540" s="142"/>
      <c r="G540" s="142"/>
      <c r="H540" s="143"/>
      <c r="I540" s="144"/>
      <c r="J540" s="145" t="s">
        <v>7083</v>
      </c>
      <c r="K540" s="146"/>
      <c r="L540" s="144"/>
      <c r="M540" s="145"/>
      <c r="N540" s="146"/>
      <c r="O540" s="144"/>
      <c r="P540" s="145" t="s">
        <v>7083</v>
      </c>
      <c r="Q540" s="146"/>
    </row>
    <row r="541" spans="1:17" x14ac:dyDescent="0.25">
      <c r="A541" s="344" t="s">
        <v>8035</v>
      </c>
      <c r="B541" s="169" t="s">
        <v>7220</v>
      </c>
      <c r="C541" s="170"/>
      <c r="D541" s="170"/>
      <c r="E541" s="171"/>
      <c r="F541" s="171"/>
      <c r="G541" s="171"/>
      <c r="H541" s="172"/>
      <c r="I541" s="173"/>
      <c r="J541" s="174" t="s">
        <v>7083</v>
      </c>
      <c r="K541" s="175"/>
      <c r="L541" s="173"/>
      <c r="M541" s="174"/>
      <c r="N541" s="175"/>
      <c r="O541" s="173"/>
      <c r="P541" s="174" t="s">
        <v>7083</v>
      </c>
      <c r="Q541" s="175"/>
    </row>
    <row r="542" spans="1:17" x14ac:dyDescent="0.25">
      <c r="A542" s="345" t="s">
        <v>8036</v>
      </c>
      <c r="B542" s="176" t="s">
        <v>7222</v>
      </c>
      <c r="C542" s="177"/>
      <c r="D542" s="177"/>
      <c r="E542" s="178"/>
      <c r="F542" s="178"/>
      <c r="G542" s="178"/>
      <c r="H542" s="179"/>
      <c r="I542" s="180"/>
      <c r="J542" s="181" t="s">
        <v>7083</v>
      </c>
      <c r="K542" s="182"/>
      <c r="L542" s="180"/>
      <c r="M542" s="181"/>
      <c r="N542" s="182"/>
      <c r="O542" s="180"/>
      <c r="P542" s="181" t="s">
        <v>7083</v>
      </c>
      <c r="Q542" s="182"/>
    </row>
    <row r="543" spans="1:17" ht="22.5" x14ac:dyDescent="0.25">
      <c r="A543" s="346" t="s">
        <v>8037</v>
      </c>
      <c r="B543" s="347" t="s">
        <v>7224</v>
      </c>
      <c r="C543" s="348" t="s">
        <v>378</v>
      </c>
      <c r="D543" s="348" t="s">
        <v>1</v>
      </c>
      <c r="E543" s="349" t="s">
        <v>7193</v>
      </c>
      <c r="F543" s="349">
        <v>60</v>
      </c>
      <c r="G543" s="349">
        <v>10</v>
      </c>
      <c r="H543" s="324">
        <v>0</v>
      </c>
      <c r="I543" s="328">
        <v>180</v>
      </c>
      <c r="J543" s="335"/>
      <c r="K543" s="330"/>
      <c r="L543" s="328">
        <v>180</v>
      </c>
      <c r="M543" s="329"/>
      <c r="N543" s="330">
        <f t="shared" ref="N543" si="270">ROUND(L543*M543,2)</f>
        <v>0</v>
      </c>
      <c r="O543" s="331">
        <f>SUM(L543,I543)</f>
        <v>360</v>
      </c>
      <c r="P543" s="329">
        <f>IF(M543&lt;&gt;"",M543,J543)</f>
        <v>0</v>
      </c>
      <c r="Q543" s="332">
        <f>ROUND(O543*P543,2)</f>
        <v>0</v>
      </c>
    </row>
    <row r="544" spans="1:17" x14ac:dyDescent="0.25">
      <c r="A544" s="345" t="s">
        <v>8038</v>
      </c>
      <c r="B544" s="176" t="s">
        <v>8039</v>
      </c>
      <c r="C544" s="177"/>
      <c r="D544" s="177"/>
      <c r="E544" s="178"/>
      <c r="F544" s="178"/>
      <c r="G544" s="178"/>
      <c r="H544" s="179"/>
      <c r="I544" s="180"/>
      <c r="J544" s="181" t="s">
        <v>7083</v>
      </c>
      <c r="K544" s="182"/>
      <c r="L544" s="180"/>
      <c r="M544" s="181"/>
      <c r="N544" s="182"/>
      <c r="O544" s="180"/>
      <c r="P544" s="181" t="s">
        <v>7083</v>
      </c>
      <c r="Q544" s="182"/>
    </row>
    <row r="545" spans="1:17" ht="22.5" x14ac:dyDescent="0.25">
      <c r="A545" s="346" t="s">
        <v>8040</v>
      </c>
      <c r="B545" s="347" t="s">
        <v>7234</v>
      </c>
      <c r="C545" s="348" t="s">
        <v>378</v>
      </c>
      <c r="D545" s="348" t="s">
        <v>1</v>
      </c>
      <c r="E545" s="349" t="s">
        <v>7193</v>
      </c>
      <c r="F545" s="349">
        <v>60</v>
      </c>
      <c r="G545" s="349">
        <v>10</v>
      </c>
      <c r="H545" s="324">
        <v>0</v>
      </c>
      <c r="I545" s="328">
        <v>12</v>
      </c>
      <c r="J545" s="335"/>
      <c r="K545" s="330"/>
      <c r="L545" s="328">
        <v>12</v>
      </c>
      <c r="M545" s="329"/>
      <c r="N545" s="330">
        <f t="shared" ref="N545" si="271">ROUND(L545*M545,2)</f>
        <v>0</v>
      </c>
      <c r="O545" s="331">
        <f>SUM(L545,I545)</f>
        <v>24</v>
      </c>
      <c r="P545" s="329">
        <f>IF(M545&lt;&gt;"",M545,J545)</f>
        <v>0</v>
      </c>
      <c r="Q545" s="332">
        <f>ROUND(O545*P545,2)</f>
        <v>0</v>
      </c>
    </row>
    <row r="546" spans="1:17" x14ac:dyDescent="0.25">
      <c r="A546" s="345" t="s">
        <v>8041</v>
      </c>
      <c r="B546" s="176" t="s">
        <v>7270</v>
      </c>
      <c r="C546" s="177"/>
      <c r="D546" s="177"/>
      <c r="E546" s="178"/>
      <c r="F546" s="178"/>
      <c r="G546" s="178"/>
      <c r="H546" s="179"/>
      <c r="I546" s="180"/>
      <c r="J546" s="181" t="s">
        <v>7083</v>
      </c>
      <c r="K546" s="182"/>
      <c r="L546" s="180"/>
      <c r="M546" s="181"/>
      <c r="N546" s="182"/>
      <c r="O546" s="180"/>
      <c r="P546" s="181" t="s">
        <v>7083</v>
      </c>
      <c r="Q546" s="182"/>
    </row>
    <row r="547" spans="1:17" ht="45" x14ac:dyDescent="0.25">
      <c r="A547" s="346" t="s">
        <v>8042</v>
      </c>
      <c r="B547" s="347" t="s">
        <v>8043</v>
      </c>
      <c r="C547" s="348" t="s">
        <v>460</v>
      </c>
      <c r="D547" s="348" t="s">
        <v>1</v>
      </c>
      <c r="E547" s="349" t="s">
        <v>7193</v>
      </c>
      <c r="F547" s="349">
        <v>60</v>
      </c>
      <c r="G547" s="349">
        <v>20</v>
      </c>
      <c r="H547" s="324">
        <v>0</v>
      </c>
      <c r="I547" s="328">
        <v>1</v>
      </c>
      <c r="J547" s="335"/>
      <c r="K547" s="330"/>
      <c r="L547" s="328">
        <v>1</v>
      </c>
      <c r="M547" s="329"/>
      <c r="N547" s="330">
        <f t="shared" ref="N547" si="272">ROUND(L547*M547,2)</f>
        <v>0</v>
      </c>
      <c r="O547" s="331">
        <f>SUM(L547,I547)</f>
        <v>2</v>
      </c>
      <c r="P547" s="329">
        <f>IF(M547&lt;&gt;"",M547,J547)</f>
        <v>0</v>
      </c>
      <c r="Q547" s="332">
        <f>ROUND(O547*P547,2)</f>
        <v>0</v>
      </c>
    </row>
    <row r="548" spans="1:17" x14ac:dyDescent="0.25">
      <c r="A548" s="345" t="s">
        <v>8044</v>
      </c>
      <c r="B548" s="176" t="s">
        <v>8045</v>
      </c>
      <c r="C548" s="177"/>
      <c r="D548" s="177"/>
      <c r="E548" s="178"/>
      <c r="F548" s="178"/>
      <c r="G548" s="178"/>
      <c r="H548" s="179"/>
      <c r="I548" s="180"/>
      <c r="J548" s="181"/>
      <c r="K548" s="182"/>
      <c r="L548" s="180"/>
      <c r="M548" s="181"/>
      <c r="N548" s="182"/>
      <c r="O548" s="180"/>
      <c r="P548" s="181" t="s">
        <v>7083</v>
      </c>
      <c r="Q548" s="182"/>
    </row>
    <row r="549" spans="1:17" ht="22.5" x14ac:dyDescent="0.25">
      <c r="A549" s="346" t="s">
        <v>8046</v>
      </c>
      <c r="B549" s="347" t="s">
        <v>8047</v>
      </c>
      <c r="C549" s="348" t="s">
        <v>378</v>
      </c>
      <c r="D549" s="348" t="s">
        <v>1</v>
      </c>
      <c r="E549" s="349" t="s">
        <v>7193</v>
      </c>
      <c r="F549" s="349">
        <v>60</v>
      </c>
      <c r="G549" s="349">
        <v>10</v>
      </c>
      <c r="H549" s="324">
        <v>0</v>
      </c>
      <c r="I549" s="328">
        <v>12</v>
      </c>
      <c r="J549" s="335"/>
      <c r="K549" s="330"/>
      <c r="L549" s="328">
        <v>12</v>
      </c>
      <c r="M549" s="329"/>
      <c r="N549" s="330">
        <f t="shared" ref="N549" si="273">ROUND(L549*M549,2)</f>
        <v>0</v>
      </c>
      <c r="O549" s="331">
        <f>SUM(L549,I549)</f>
        <v>24</v>
      </c>
      <c r="P549" s="329">
        <f>IF(M549&lt;&gt;"",M549,J549)</f>
        <v>0</v>
      </c>
      <c r="Q549" s="332">
        <f>ROUND(O549*P549,2)</f>
        <v>0</v>
      </c>
    </row>
    <row r="550" spans="1:17" ht="22.5" x14ac:dyDescent="0.25">
      <c r="A550" s="345" t="s">
        <v>8048</v>
      </c>
      <c r="B550" s="176" t="s">
        <v>7252</v>
      </c>
      <c r="C550" s="177"/>
      <c r="D550" s="177"/>
      <c r="E550" s="178"/>
      <c r="F550" s="178"/>
      <c r="G550" s="178"/>
      <c r="H550" s="179"/>
      <c r="I550" s="180"/>
      <c r="J550" s="181"/>
      <c r="K550" s="182"/>
      <c r="L550" s="180"/>
      <c r="M550" s="181"/>
      <c r="N550" s="182"/>
      <c r="O550" s="180"/>
      <c r="P550" s="181" t="s">
        <v>7083</v>
      </c>
      <c r="Q550" s="182"/>
    </row>
    <row r="551" spans="1:17" ht="45" x14ac:dyDescent="0.25">
      <c r="A551" s="346" t="s">
        <v>8049</v>
      </c>
      <c r="B551" s="347" t="s">
        <v>8050</v>
      </c>
      <c r="C551" s="348" t="s">
        <v>378</v>
      </c>
      <c r="D551" s="348" t="s">
        <v>1</v>
      </c>
      <c r="E551" s="349" t="s">
        <v>7193</v>
      </c>
      <c r="F551" s="349">
        <v>60</v>
      </c>
      <c r="G551" s="349">
        <v>10</v>
      </c>
      <c r="H551" s="324">
        <v>0</v>
      </c>
      <c r="I551" s="328">
        <v>15</v>
      </c>
      <c r="J551" s="335"/>
      <c r="K551" s="330"/>
      <c r="L551" s="328">
        <v>15</v>
      </c>
      <c r="M551" s="329"/>
      <c r="N551" s="330">
        <f t="shared" ref="N551" si="274">ROUND(L551*M551,2)</f>
        <v>0</v>
      </c>
      <c r="O551" s="331">
        <f>SUM(L551,I551)</f>
        <v>30</v>
      </c>
      <c r="P551" s="329">
        <f>IF(M551&lt;&gt;"",M551,J551)</f>
        <v>0</v>
      </c>
      <c r="Q551" s="332">
        <f>ROUND(O551*P551,2)</f>
        <v>0</v>
      </c>
    </row>
    <row r="552" spans="1:17" x14ac:dyDescent="0.25">
      <c r="A552" s="345" t="s">
        <v>8051</v>
      </c>
      <c r="B552" s="176" t="s">
        <v>7274</v>
      </c>
      <c r="C552" s="177"/>
      <c r="D552" s="177"/>
      <c r="E552" s="178"/>
      <c r="F552" s="178"/>
      <c r="G552" s="178"/>
      <c r="H552" s="179"/>
      <c r="I552" s="180"/>
      <c r="J552" s="181"/>
      <c r="K552" s="182"/>
      <c r="L552" s="180"/>
      <c r="M552" s="181"/>
      <c r="N552" s="182"/>
      <c r="O552" s="180"/>
      <c r="P552" s="181" t="s">
        <v>7083</v>
      </c>
      <c r="Q552" s="182"/>
    </row>
    <row r="553" spans="1:17" x14ac:dyDescent="0.25">
      <c r="A553" s="346" t="s">
        <v>8052</v>
      </c>
      <c r="B553" s="347" t="s">
        <v>8053</v>
      </c>
      <c r="C553" s="348" t="s">
        <v>460</v>
      </c>
      <c r="D553" s="348" t="s">
        <v>1</v>
      </c>
      <c r="E553" s="349" t="s">
        <v>7193</v>
      </c>
      <c r="F553" s="349">
        <v>60</v>
      </c>
      <c r="G553" s="349">
        <v>20</v>
      </c>
      <c r="H553" s="324">
        <v>0</v>
      </c>
      <c r="I553" s="328">
        <v>2</v>
      </c>
      <c r="J553" s="335"/>
      <c r="K553" s="330"/>
      <c r="L553" s="328">
        <v>2</v>
      </c>
      <c r="M553" s="329"/>
      <c r="N553" s="330">
        <f t="shared" ref="N553" si="275">ROUND(L553*M553,2)</f>
        <v>0</v>
      </c>
      <c r="O553" s="331">
        <f>SUM(L553,I553)</f>
        <v>4</v>
      </c>
      <c r="P553" s="329">
        <f>IF(M553&lt;&gt;"",M553,J553)</f>
        <v>0</v>
      </c>
      <c r="Q553" s="332">
        <f>ROUND(O553*P553,2)</f>
        <v>0</v>
      </c>
    </row>
    <row r="554" spans="1:17" x14ac:dyDescent="0.25">
      <c r="A554" s="344" t="s">
        <v>8054</v>
      </c>
      <c r="B554" s="169" t="s">
        <v>7278</v>
      </c>
      <c r="C554" s="170"/>
      <c r="D554" s="170"/>
      <c r="E554" s="171"/>
      <c r="F554" s="171"/>
      <c r="G554" s="171"/>
      <c r="H554" s="172"/>
      <c r="I554" s="173"/>
      <c r="J554" s="174" t="s">
        <v>7083</v>
      </c>
      <c r="K554" s="175"/>
      <c r="L554" s="173"/>
      <c r="M554" s="174"/>
      <c r="N554" s="175"/>
      <c r="O554" s="173"/>
      <c r="P554" s="174" t="s">
        <v>7083</v>
      </c>
      <c r="Q554" s="175"/>
    </row>
    <row r="555" spans="1:17" x14ac:dyDescent="0.25">
      <c r="A555" s="354" t="s">
        <v>8055</v>
      </c>
      <c r="B555" s="210" t="s">
        <v>7284</v>
      </c>
      <c r="C555" s="177"/>
      <c r="D555" s="177"/>
      <c r="E555" s="178"/>
      <c r="F555" s="178"/>
      <c r="G555" s="178"/>
      <c r="H555" s="179"/>
      <c r="I555" s="211"/>
      <c r="J555" s="212" t="s">
        <v>7083</v>
      </c>
      <c r="K555" s="182"/>
      <c r="L555" s="211"/>
      <c r="M555" s="212"/>
      <c r="N555" s="182"/>
      <c r="O555" s="211"/>
      <c r="P555" s="212" t="s">
        <v>7083</v>
      </c>
      <c r="Q555" s="182"/>
    </row>
    <row r="556" spans="1:17" x14ac:dyDescent="0.25">
      <c r="A556" s="346" t="s">
        <v>8056</v>
      </c>
      <c r="B556" s="347" t="s">
        <v>8057</v>
      </c>
      <c r="C556" s="348" t="s">
        <v>460</v>
      </c>
      <c r="D556" s="348" t="s">
        <v>1</v>
      </c>
      <c r="E556" s="349" t="s">
        <v>7193</v>
      </c>
      <c r="F556" s="349">
        <v>30</v>
      </c>
      <c r="G556" s="349">
        <v>80</v>
      </c>
      <c r="H556" s="324">
        <v>0</v>
      </c>
      <c r="I556" s="328">
        <v>3</v>
      </c>
      <c r="J556" s="335"/>
      <c r="K556" s="330"/>
      <c r="L556" s="328">
        <v>3</v>
      </c>
      <c r="M556" s="329"/>
      <c r="N556" s="330">
        <f t="shared" ref="N556:N557" si="276">ROUND(L556*M556,2)</f>
        <v>0</v>
      </c>
      <c r="O556" s="331">
        <f t="shared" ref="O556:O557" si="277">SUM(L556,I556)</f>
        <v>6</v>
      </c>
      <c r="P556" s="329">
        <f t="shared" ref="P556:P557" si="278">IF(M556&lt;&gt;"",M556,J556)</f>
        <v>0</v>
      </c>
      <c r="Q556" s="332">
        <f t="shared" ref="Q556:Q557" si="279">ROUND(O556*P556,2)</f>
        <v>0</v>
      </c>
    </row>
    <row r="557" spans="1:17" x14ac:dyDescent="0.25">
      <c r="A557" s="346" t="s">
        <v>8058</v>
      </c>
      <c r="B557" s="347" t="s">
        <v>8059</v>
      </c>
      <c r="C557" s="348" t="s">
        <v>460</v>
      </c>
      <c r="D557" s="348" t="s">
        <v>1</v>
      </c>
      <c r="E557" s="349" t="s">
        <v>7193</v>
      </c>
      <c r="F557" s="349">
        <v>30</v>
      </c>
      <c r="G557" s="349">
        <v>80</v>
      </c>
      <c r="H557" s="324">
        <v>0</v>
      </c>
      <c r="I557" s="328">
        <v>5</v>
      </c>
      <c r="J557" s="335"/>
      <c r="K557" s="330"/>
      <c r="L557" s="328">
        <v>5</v>
      </c>
      <c r="M557" s="329"/>
      <c r="N557" s="330">
        <f t="shared" si="276"/>
        <v>0</v>
      </c>
      <c r="O557" s="331">
        <f t="shared" si="277"/>
        <v>10</v>
      </c>
      <c r="P557" s="329">
        <f t="shared" si="278"/>
        <v>0</v>
      </c>
      <c r="Q557" s="332">
        <f t="shared" si="279"/>
        <v>0</v>
      </c>
    </row>
    <row r="558" spans="1:17" x14ac:dyDescent="0.25">
      <c r="A558" s="345" t="s">
        <v>8060</v>
      </c>
      <c r="B558" s="176" t="s">
        <v>8061</v>
      </c>
      <c r="C558" s="177"/>
      <c r="D558" s="177"/>
      <c r="E558" s="178"/>
      <c r="F558" s="178"/>
      <c r="G558" s="178"/>
      <c r="H558" s="179"/>
      <c r="I558" s="180"/>
      <c r="J558" s="181"/>
      <c r="K558" s="182"/>
      <c r="L558" s="180"/>
      <c r="M558" s="181"/>
      <c r="N558" s="182"/>
      <c r="O558" s="180"/>
      <c r="P558" s="181"/>
      <c r="Q558" s="182"/>
    </row>
    <row r="559" spans="1:17" x14ac:dyDescent="0.25">
      <c r="A559" s="355" t="s">
        <v>8062</v>
      </c>
      <c r="B559" s="320" t="s">
        <v>8061</v>
      </c>
      <c r="C559" s="321" t="s">
        <v>460</v>
      </c>
      <c r="D559" s="322" t="s">
        <v>1</v>
      </c>
      <c r="E559" s="323" t="s">
        <v>7193</v>
      </c>
      <c r="F559" s="323">
        <v>30</v>
      </c>
      <c r="G559" s="323">
        <v>80</v>
      </c>
      <c r="H559" s="324">
        <v>0</v>
      </c>
      <c r="I559" s="334">
        <v>2</v>
      </c>
      <c r="J559" s="335"/>
      <c r="K559" s="330"/>
      <c r="L559" s="328">
        <v>2</v>
      </c>
      <c r="M559" s="329"/>
      <c r="N559" s="330">
        <f t="shared" ref="N559" si="280">ROUND(L559*M559,2)</f>
        <v>0</v>
      </c>
      <c r="O559" s="331">
        <f>SUM(L559,I559)</f>
        <v>4</v>
      </c>
      <c r="P559" s="329">
        <f>IF(M559&lt;&gt;"",M559,J559)</f>
        <v>0</v>
      </c>
      <c r="Q559" s="332">
        <f>ROUND(O559*P559,2)</f>
        <v>0</v>
      </c>
    </row>
    <row r="560" spans="1:17" x14ac:dyDescent="0.25">
      <c r="A560" s="139" t="s">
        <v>8063</v>
      </c>
      <c r="B560" s="139" t="s">
        <v>7185</v>
      </c>
      <c r="C560" s="140"/>
      <c r="D560" s="140"/>
      <c r="E560" s="141"/>
      <c r="F560" s="142"/>
      <c r="G560" s="142"/>
      <c r="H560" s="143"/>
      <c r="I560" s="144"/>
      <c r="J560" s="145" t="s">
        <v>7083</v>
      </c>
      <c r="K560" s="146"/>
      <c r="L560" s="144"/>
      <c r="M560" s="145"/>
      <c r="N560" s="146"/>
      <c r="O560" s="144"/>
      <c r="P560" s="145" t="s">
        <v>7083</v>
      </c>
      <c r="Q560" s="146"/>
    </row>
    <row r="561" spans="1:17" x14ac:dyDescent="0.25">
      <c r="A561" s="344" t="s">
        <v>8064</v>
      </c>
      <c r="B561" s="169" t="s">
        <v>7218</v>
      </c>
      <c r="C561" s="170"/>
      <c r="D561" s="170"/>
      <c r="E561" s="171"/>
      <c r="F561" s="171"/>
      <c r="G561" s="171"/>
      <c r="H561" s="172"/>
      <c r="I561" s="173"/>
      <c r="J561" s="174" t="s">
        <v>7083</v>
      </c>
      <c r="K561" s="175"/>
      <c r="L561" s="173"/>
      <c r="M561" s="174"/>
      <c r="N561" s="175"/>
      <c r="O561" s="173"/>
      <c r="P561" s="174" t="s">
        <v>7083</v>
      </c>
      <c r="Q561" s="175"/>
    </row>
    <row r="562" spans="1:17" x14ac:dyDescent="0.25">
      <c r="A562" s="345" t="s">
        <v>8065</v>
      </c>
      <c r="B562" s="176" t="s">
        <v>7294</v>
      </c>
      <c r="C562" s="177"/>
      <c r="D562" s="177"/>
      <c r="E562" s="178"/>
      <c r="F562" s="178"/>
      <c r="G562" s="178"/>
      <c r="H562" s="179"/>
      <c r="I562" s="180"/>
      <c r="J562" s="181"/>
      <c r="K562" s="182"/>
      <c r="L562" s="180"/>
      <c r="M562" s="181"/>
      <c r="N562" s="182"/>
      <c r="O562" s="180"/>
      <c r="P562" s="181" t="s">
        <v>7083</v>
      </c>
      <c r="Q562" s="182"/>
    </row>
    <row r="563" spans="1:17" ht="33.75" x14ac:dyDescent="0.25">
      <c r="A563" s="346" t="s">
        <v>8066</v>
      </c>
      <c r="B563" s="347" t="s">
        <v>8067</v>
      </c>
      <c r="C563" s="348" t="s">
        <v>378</v>
      </c>
      <c r="D563" s="348" t="s">
        <v>1</v>
      </c>
      <c r="E563" s="349" t="s">
        <v>7193</v>
      </c>
      <c r="F563" s="349">
        <v>60</v>
      </c>
      <c r="G563" s="349">
        <v>20</v>
      </c>
      <c r="H563" s="324">
        <v>5</v>
      </c>
      <c r="I563" s="328">
        <v>10</v>
      </c>
      <c r="J563" s="335"/>
      <c r="K563" s="330"/>
      <c r="L563" s="328">
        <v>10</v>
      </c>
      <c r="M563" s="329"/>
      <c r="N563" s="330">
        <f t="shared" ref="N563" si="281">ROUND(L563*M563,2)</f>
        <v>0</v>
      </c>
      <c r="O563" s="331">
        <f>SUM(L563,I563)</f>
        <v>20</v>
      </c>
      <c r="P563" s="329">
        <f>IF(M563&lt;&gt;"",M563,J563)</f>
        <v>0</v>
      </c>
      <c r="Q563" s="332">
        <f>ROUND(O563*P563,2)</f>
        <v>0</v>
      </c>
    </row>
    <row r="564" spans="1:17" x14ac:dyDescent="0.25">
      <c r="A564" s="139" t="s">
        <v>8068</v>
      </c>
      <c r="B564" s="139" t="s">
        <v>7583</v>
      </c>
      <c r="C564" s="140"/>
      <c r="D564" s="140"/>
      <c r="E564" s="141"/>
      <c r="F564" s="142"/>
      <c r="G564" s="142"/>
      <c r="H564" s="143"/>
      <c r="I564" s="144"/>
      <c r="J564" s="145" t="s">
        <v>7083</v>
      </c>
      <c r="K564" s="146"/>
      <c r="L564" s="144"/>
      <c r="M564" s="145"/>
      <c r="N564" s="146"/>
      <c r="O564" s="144"/>
      <c r="P564" s="145" t="s">
        <v>7083</v>
      </c>
      <c r="Q564" s="146"/>
    </row>
    <row r="565" spans="1:17" x14ac:dyDescent="0.25">
      <c r="A565" s="344" t="s">
        <v>8069</v>
      </c>
      <c r="B565" s="169" t="s">
        <v>7583</v>
      </c>
      <c r="C565" s="170"/>
      <c r="D565" s="170"/>
      <c r="E565" s="171"/>
      <c r="F565" s="171"/>
      <c r="G565" s="171"/>
      <c r="H565" s="172"/>
      <c r="I565" s="173"/>
      <c r="J565" s="174" t="s">
        <v>7083</v>
      </c>
      <c r="K565" s="175"/>
      <c r="L565" s="173"/>
      <c r="M565" s="174"/>
      <c r="N565" s="175"/>
      <c r="O565" s="173"/>
      <c r="P565" s="174" t="s">
        <v>7083</v>
      </c>
      <c r="Q565" s="175"/>
    </row>
    <row r="566" spans="1:17" ht="22.5" x14ac:dyDescent="0.25">
      <c r="A566" s="345" t="s">
        <v>8070</v>
      </c>
      <c r="B566" s="176" t="s">
        <v>8071</v>
      </c>
      <c r="C566" s="177"/>
      <c r="D566" s="177"/>
      <c r="E566" s="178"/>
      <c r="F566" s="178"/>
      <c r="G566" s="178"/>
      <c r="H566" s="179"/>
      <c r="I566" s="180"/>
      <c r="J566" s="181"/>
      <c r="K566" s="182"/>
      <c r="L566" s="180"/>
      <c r="M566" s="181"/>
      <c r="N566" s="182"/>
      <c r="O566" s="180"/>
      <c r="P566" s="181" t="s">
        <v>7083</v>
      </c>
      <c r="Q566" s="182"/>
    </row>
    <row r="567" spans="1:17" ht="33.75" x14ac:dyDescent="0.25">
      <c r="A567" s="346" t="s">
        <v>8072</v>
      </c>
      <c r="B567" s="347" t="s">
        <v>8073</v>
      </c>
      <c r="C567" s="348" t="s">
        <v>378</v>
      </c>
      <c r="D567" s="348" t="s">
        <v>1</v>
      </c>
      <c r="E567" s="349" t="s">
        <v>7504</v>
      </c>
      <c r="F567" s="349">
        <v>60</v>
      </c>
      <c r="G567" s="349">
        <v>10</v>
      </c>
      <c r="H567" s="324">
        <v>0</v>
      </c>
      <c r="I567" s="328">
        <v>24</v>
      </c>
      <c r="J567" s="335"/>
      <c r="K567" s="330"/>
      <c r="L567" s="328">
        <v>24</v>
      </c>
      <c r="M567" s="329"/>
      <c r="N567" s="330">
        <f t="shared" ref="N567:N573" si="282">ROUND(L567*M567,2)</f>
        <v>0</v>
      </c>
      <c r="O567" s="331">
        <f t="shared" ref="O567:O573" si="283">SUM(L567,I567)</f>
        <v>48</v>
      </c>
      <c r="P567" s="329">
        <f t="shared" ref="P567:P573" si="284">IF(M567&lt;&gt;"",M567,J567)</f>
        <v>0</v>
      </c>
      <c r="Q567" s="332">
        <f t="shared" ref="Q567:Q573" si="285">ROUND(O567*P567,2)</f>
        <v>0</v>
      </c>
    </row>
    <row r="568" spans="1:17" ht="33.75" x14ac:dyDescent="0.25">
      <c r="A568" s="346" t="s">
        <v>8074</v>
      </c>
      <c r="B568" s="347" t="s">
        <v>8075</v>
      </c>
      <c r="C568" s="348" t="s">
        <v>378</v>
      </c>
      <c r="D568" s="348" t="s">
        <v>1</v>
      </c>
      <c r="E568" s="349" t="s">
        <v>7504</v>
      </c>
      <c r="F568" s="349">
        <v>60</v>
      </c>
      <c r="G568" s="349">
        <v>10</v>
      </c>
      <c r="H568" s="324">
        <v>0</v>
      </c>
      <c r="I568" s="328">
        <v>18</v>
      </c>
      <c r="J568" s="335"/>
      <c r="K568" s="330"/>
      <c r="L568" s="328">
        <v>18</v>
      </c>
      <c r="M568" s="329"/>
      <c r="N568" s="330">
        <f t="shared" si="282"/>
        <v>0</v>
      </c>
      <c r="O568" s="331">
        <f t="shared" si="283"/>
        <v>36</v>
      </c>
      <c r="P568" s="329">
        <f t="shared" si="284"/>
        <v>0</v>
      </c>
      <c r="Q568" s="332">
        <f t="shared" si="285"/>
        <v>0</v>
      </c>
    </row>
    <row r="569" spans="1:17" ht="33.75" x14ac:dyDescent="0.25">
      <c r="A569" s="346" t="s">
        <v>8076</v>
      </c>
      <c r="B569" s="347" t="s">
        <v>8077</v>
      </c>
      <c r="C569" s="348" t="s">
        <v>378</v>
      </c>
      <c r="D569" s="348" t="s">
        <v>1</v>
      </c>
      <c r="E569" s="349" t="s">
        <v>7504</v>
      </c>
      <c r="F569" s="349">
        <v>60</v>
      </c>
      <c r="G569" s="349">
        <v>10</v>
      </c>
      <c r="H569" s="324">
        <v>0</v>
      </c>
      <c r="I569" s="328">
        <v>3</v>
      </c>
      <c r="J569" s="335"/>
      <c r="K569" s="330"/>
      <c r="L569" s="328">
        <v>3</v>
      </c>
      <c r="M569" s="329"/>
      <c r="N569" s="330">
        <f t="shared" si="282"/>
        <v>0</v>
      </c>
      <c r="O569" s="331">
        <f t="shared" si="283"/>
        <v>6</v>
      </c>
      <c r="P569" s="329">
        <f t="shared" si="284"/>
        <v>0</v>
      </c>
      <c r="Q569" s="332">
        <f t="shared" si="285"/>
        <v>0</v>
      </c>
    </row>
    <row r="570" spans="1:17" ht="33.75" x14ac:dyDescent="0.25">
      <c r="A570" s="346" t="s">
        <v>8078</v>
      </c>
      <c r="B570" s="347" t="s">
        <v>8079</v>
      </c>
      <c r="C570" s="348" t="s">
        <v>378</v>
      </c>
      <c r="D570" s="348" t="s">
        <v>1</v>
      </c>
      <c r="E570" s="349" t="s">
        <v>7504</v>
      </c>
      <c r="F570" s="349">
        <v>60</v>
      </c>
      <c r="G570" s="349">
        <v>10</v>
      </c>
      <c r="H570" s="324">
        <v>0</v>
      </c>
      <c r="I570" s="328">
        <v>9</v>
      </c>
      <c r="J570" s="335"/>
      <c r="K570" s="330"/>
      <c r="L570" s="328">
        <v>9</v>
      </c>
      <c r="M570" s="329"/>
      <c r="N570" s="330">
        <f t="shared" si="282"/>
        <v>0</v>
      </c>
      <c r="O570" s="331">
        <f t="shared" si="283"/>
        <v>18</v>
      </c>
      <c r="P570" s="329">
        <f t="shared" si="284"/>
        <v>0</v>
      </c>
      <c r="Q570" s="332">
        <f t="shared" si="285"/>
        <v>0</v>
      </c>
    </row>
    <row r="571" spans="1:17" ht="33.75" x14ac:dyDescent="0.25">
      <c r="A571" s="346" t="s">
        <v>8080</v>
      </c>
      <c r="B571" s="347" t="s">
        <v>8081</v>
      </c>
      <c r="C571" s="348" t="s">
        <v>378</v>
      </c>
      <c r="D571" s="348" t="s">
        <v>1</v>
      </c>
      <c r="E571" s="349" t="s">
        <v>7504</v>
      </c>
      <c r="F571" s="349">
        <v>60</v>
      </c>
      <c r="G571" s="349">
        <v>10</v>
      </c>
      <c r="H571" s="324">
        <v>0</v>
      </c>
      <c r="I571" s="328">
        <v>3</v>
      </c>
      <c r="J571" s="335"/>
      <c r="K571" s="330"/>
      <c r="L571" s="328">
        <v>3</v>
      </c>
      <c r="M571" s="329"/>
      <c r="N571" s="330">
        <f t="shared" si="282"/>
        <v>0</v>
      </c>
      <c r="O571" s="331">
        <f t="shared" si="283"/>
        <v>6</v>
      </c>
      <c r="P571" s="329">
        <f t="shared" si="284"/>
        <v>0</v>
      </c>
      <c r="Q571" s="332">
        <f t="shared" si="285"/>
        <v>0</v>
      </c>
    </row>
    <row r="572" spans="1:17" ht="33.75" x14ac:dyDescent="0.25">
      <c r="A572" s="346" t="s">
        <v>8082</v>
      </c>
      <c r="B572" s="347" t="s">
        <v>8083</v>
      </c>
      <c r="C572" s="348" t="s">
        <v>378</v>
      </c>
      <c r="D572" s="348" t="s">
        <v>1</v>
      </c>
      <c r="E572" s="349" t="s">
        <v>7504</v>
      </c>
      <c r="F572" s="349">
        <v>60</v>
      </c>
      <c r="G572" s="349">
        <v>10</v>
      </c>
      <c r="H572" s="324">
        <v>0</v>
      </c>
      <c r="I572" s="328">
        <v>3</v>
      </c>
      <c r="J572" s="335"/>
      <c r="K572" s="330"/>
      <c r="L572" s="328">
        <v>3</v>
      </c>
      <c r="M572" s="329"/>
      <c r="N572" s="330">
        <f t="shared" si="282"/>
        <v>0</v>
      </c>
      <c r="O572" s="331">
        <f t="shared" si="283"/>
        <v>6</v>
      </c>
      <c r="P572" s="329">
        <f t="shared" si="284"/>
        <v>0</v>
      </c>
      <c r="Q572" s="332">
        <f t="shared" si="285"/>
        <v>0</v>
      </c>
    </row>
    <row r="573" spans="1:17" ht="33.75" x14ac:dyDescent="0.25">
      <c r="A573" s="346" t="s">
        <v>8084</v>
      </c>
      <c r="B573" s="347" t="s">
        <v>8085</v>
      </c>
      <c r="C573" s="348" t="s">
        <v>378</v>
      </c>
      <c r="D573" s="348" t="s">
        <v>1</v>
      </c>
      <c r="E573" s="349" t="s">
        <v>7504</v>
      </c>
      <c r="F573" s="349">
        <v>60</v>
      </c>
      <c r="G573" s="349">
        <v>10</v>
      </c>
      <c r="H573" s="324">
        <v>0</v>
      </c>
      <c r="I573" s="328">
        <v>6</v>
      </c>
      <c r="J573" s="335"/>
      <c r="K573" s="330"/>
      <c r="L573" s="328">
        <v>6</v>
      </c>
      <c r="M573" s="329"/>
      <c r="N573" s="330">
        <f t="shared" si="282"/>
        <v>0</v>
      </c>
      <c r="O573" s="331">
        <f t="shared" si="283"/>
        <v>12</v>
      </c>
      <c r="P573" s="329">
        <f t="shared" si="284"/>
        <v>0</v>
      </c>
      <c r="Q573" s="332">
        <f t="shared" si="285"/>
        <v>0</v>
      </c>
    </row>
    <row r="574" spans="1:17" x14ac:dyDescent="0.25">
      <c r="A574" s="345" t="s">
        <v>8086</v>
      </c>
      <c r="B574" s="176" t="s">
        <v>8087</v>
      </c>
      <c r="C574" s="177"/>
      <c r="D574" s="177"/>
      <c r="E574" s="178"/>
      <c r="F574" s="178"/>
      <c r="G574" s="178"/>
      <c r="H574" s="179"/>
      <c r="I574" s="180"/>
      <c r="J574" s="181"/>
      <c r="K574" s="182"/>
      <c r="L574" s="180"/>
      <c r="M574" s="181"/>
      <c r="N574" s="182"/>
      <c r="O574" s="180"/>
      <c r="P574" s="181" t="s">
        <v>7083</v>
      </c>
      <c r="Q574" s="182"/>
    </row>
    <row r="575" spans="1:17" ht="33.75" x14ac:dyDescent="0.25">
      <c r="A575" s="346" t="s">
        <v>8088</v>
      </c>
      <c r="B575" s="347" t="s">
        <v>8089</v>
      </c>
      <c r="C575" s="348" t="s">
        <v>378</v>
      </c>
      <c r="D575" s="348" t="s">
        <v>1</v>
      </c>
      <c r="E575" s="349" t="s">
        <v>7504</v>
      </c>
      <c r="F575" s="349">
        <v>60</v>
      </c>
      <c r="G575" s="349">
        <v>10</v>
      </c>
      <c r="H575" s="324">
        <v>0</v>
      </c>
      <c r="I575" s="328">
        <v>45</v>
      </c>
      <c r="J575" s="335"/>
      <c r="K575" s="330"/>
      <c r="L575" s="328">
        <v>45</v>
      </c>
      <c r="M575" s="329"/>
      <c r="N575" s="330">
        <f t="shared" ref="N575:N576" si="286">ROUND(L575*M575,2)</f>
        <v>0</v>
      </c>
      <c r="O575" s="331">
        <f t="shared" ref="O575:O576" si="287">SUM(L575,I575)</f>
        <v>90</v>
      </c>
      <c r="P575" s="329">
        <f t="shared" ref="P575:P576" si="288">IF(M575&lt;&gt;"",M575,J575)</f>
        <v>0</v>
      </c>
      <c r="Q575" s="332">
        <f t="shared" ref="Q575:Q576" si="289">ROUND(O575*P575,2)</f>
        <v>0</v>
      </c>
    </row>
    <row r="576" spans="1:17" ht="33.75" x14ac:dyDescent="0.25">
      <c r="A576" s="346" t="s">
        <v>8090</v>
      </c>
      <c r="B576" s="347" t="s">
        <v>8091</v>
      </c>
      <c r="C576" s="348" t="s">
        <v>378</v>
      </c>
      <c r="D576" s="348" t="s">
        <v>1</v>
      </c>
      <c r="E576" s="349" t="s">
        <v>7504</v>
      </c>
      <c r="F576" s="349">
        <v>60</v>
      </c>
      <c r="G576" s="349">
        <v>10</v>
      </c>
      <c r="H576" s="324">
        <v>0</v>
      </c>
      <c r="I576" s="328">
        <v>37</v>
      </c>
      <c r="J576" s="335"/>
      <c r="K576" s="330"/>
      <c r="L576" s="328">
        <v>37</v>
      </c>
      <c r="M576" s="329"/>
      <c r="N576" s="330">
        <f t="shared" si="286"/>
        <v>0</v>
      </c>
      <c r="O576" s="331">
        <f t="shared" si="287"/>
        <v>74</v>
      </c>
      <c r="P576" s="329">
        <f t="shared" si="288"/>
        <v>0</v>
      </c>
      <c r="Q576" s="332">
        <f t="shared" si="289"/>
        <v>0</v>
      </c>
    </row>
    <row r="577" spans="1:17" x14ac:dyDescent="0.25">
      <c r="A577" s="139" t="s">
        <v>8092</v>
      </c>
      <c r="B577" s="224" t="s">
        <v>7567</v>
      </c>
      <c r="C577" s="140"/>
      <c r="D577" s="140"/>
      <c r="E577" s="141"/>
      <c r="F577" s="142"/>
      <c r="G577" s="142"/>
      <c r="H577" s="143"/>
      <c r="I577" s="144"/>
      <c r="J577" s="145"/>
      <c r="K577" s="146"/>
      <c r="L577" s="144"/>
      <c r="M577" s="145"/>
      <c r="N577" s="146"/>
      <c r="O577" s="144"/>
      <c r="P577" s="145" t="s">
        <v>7083</v>
      </c>
      <c r="Q577" s="146"/>
    </row>
    <row r="578" spans="1:17" x14ac:dyDescent="0.25">
      <c r="A578" s="344" t="s">
        <v>8093</v>
      </c>
      <c r="B578" s="169" t="s">
        <v>7569</v>
      </c>
      <c r="C578" s="170"/>
      <c r="D578" s="170"/>
      <c r="E578" s="171"/>
      <c r="F578" s="171"/>
      <c r="G578" s="171"/>
      <c r="H578" s="172"/>
      <c r="I578" s="173"/>
      <c r="J578" s="174"/>
      <c r="K578" s="175"/>
      <c r="L578" s="173"/>
      <c r="M578" s="174"/>
      <c r="N578" s="175"/>
      <c r="O578" s="173"/>
      <c r="P578" s="174" t="s">
        <v>7083</v>
      </c>
      <c r="Q578" s="175"/>
    </row>
    <row r="579" spans="1:17" ht="33.75" x14ac:dyDescent="0.25">
      <c r="A579" s="346" t="s">
        <v>8094</v>
      </c>
      <c r="B579" s="347" t="s">
        <v>8095</v>
      </c>
      <c r="C579" s="321" t="s">
        <v>911</v>
      </c>
      <c r="D579" s="348" t="s">
        <v>1</v>
      </c>
      <c r="E579" s="349" t="s">
        <v>7504</v>
      </c>
      <c r="F579" s="349">
        <v>20</v>
      </c>
      <c r="G579" s="349">
        <v>20</v>
      </c>
      <c r="H579" s="324">
        <v>0</v>
      </c>
      <c r="I579" s="328">
        <v>1</v>
      </c>
      <c r="J579" s="335"/>
      <c r="K579" s="330"/>
      <c r="L579" s="328">
        <v>1</v>
      </c>
      <c r="M579" s="329"/>
      <c r="N579" s="330">
        <f t="shared" ref="N579" si="290">ROUND(L579*M579,2)</f>
        <v>0</v>
      </c>
      <c r="O579" s="331">
        <f>SUM(L579,I579)</f>
        <v>2</v>
      </c>
      <c r="P579" s="329">
        <f>IF(M579&lt;&gt;"",M579,J579)</f>
        <v>0</v>
      </c>
      <c r="Q579" s="332">
        <f>ROUND(O579*P579,2)</f>
        <v>0</v>
      </c>
    </row>
    <row r="580" spans="1:17" x14ac:dyDescent="0.25">
      <c r="A580" s="139" t="s">
        <v>8096</v>
      </c>
      <c r="B580" s="139" t="s">
        <v>7332</v>
      </c>
      <c r="C580" s="140"/>
      <c r="D580" s="140"/>
      <c r="E580" s="141"/>
      <c r="F580" s="142"/>
      <c r="G580" s="142"/>
      <c r="H580" s="143"/>
      <c r="I580" s="144"/>
      <c r="J580" s="145"/>
      <c r="K580" s="146"/>
      <c r="L580" s="144"/>
      <c r="M580" s="145"/>
      <c r="N580" s="146"/>
      <c r="O580" s="144"/>
      <c r="P580" s="145" t="s">
        <v>7083</v>
      </c>
      <c r="Q580" s="146"/>
    </row>
    <row r="581" spans="1:17" x14ac:dyDescent="0.25">
      <c r="A581" s="344" t="s">
        <v>8097</v>
      </c>
      <c r="B581" s="169" t="s">
        <v>7334</v>
      </c>
      <c r="C581" s="170"/>
      <c r="D581" s="170"/>
      <c r="E581" s="171"/>
      <c r="F581" s="171"/>
      <c r="G581" s="171"/>
      <c r="H581" s="172"/>
      <c r="I581" s="173"/>
      <c r="J581" s="174"/>
      <c r="K581" s="175"/>
      <c r="L581" s="173"/>
      <c r="M581" s="174"/>
      <c r="N581" s="175"/>
      <c r="O581" s="173"/>
      <c r="P581" s="174" t="s">
        <v>7083</v>
      </c>
      <c r="Q581" s="175"/>
    </row>
    <row r="582" spans="1:17" ht="22.5" x14ac:dyDescent="0.25">
      <c r="A582" s="345" t="s">
        <v>8098</v>
      </c>
      <c r="B582" s="176" t="s">
        <v>7356</v>
      </c>
      <c r="C582" s="177"/>
      <c r="D582" s="177"/>
      <c r="E582" s="178"/>
      <c r="F582" s="178"/>
      <c r="G582" s="178"/>
      <c r="H582" s="179"/>
      <c r="I582" s="180"/>
      <c r="J582" s="181"/>
      <c r="K582" s="182"/>
      <c r="L582" s="180"/>
      <c r="M582" s="181"/>
      <c r="N582" s="182"/>
      <c r="O582" s="180"/>
      <c r="P582" s="181" t="s">
        <v>7083</v>
      </c>
      <c r="Q582" s="182"/>
    </row>
    <row r="583" spans="1:17" ht="33.75" x14ac:dyDescent="0.25">
      <c r="A583" s="346" t="s">
        <v>8099</v>
      </c>
      <c r="B583" s="347" t="s">
        <v>8100</v>
      </c>
      <c r="C583" s="348" t="s">
        <v>378</v>
      </c>
      <c r="D583" s="348" t="s">
        <v>1</v>
      </c>
      <c r="E583" s="349" t="s">
        <v>7193</v>
      </c>
      <c r="F583" s="349">
        <v>70</v>
      </c>
      <c r="G583" s="349">
        <v>10</v>
      </c>
      <c r="H583" s="324">
        <v>900</v>
      </c>
      <c r="I583" s="328">
        <v>160</v>
      </c>
      <c r="J583" s="335"/>
      <c r="K583" s="330"/>
      <c r="L583" s="328">
        <v>160</v>
      </c>
      <c r="M583" s="329"/>
      <c r="N583" s="330">
        <f t="shared" ref="N583:N586" si="291">ROUND(L583*M583,2)</f>
        <v>0</v>
      </c>
      <c r="O583" s="331">
        <f t="shared" ref="O583:O586" si="292">SUM(L583,I583)</f>
        <v>320</v>
      </c>
      <c r="P583" s="329">
        <f t="shared" ref="P583:P586" si="293">IF(M583&lt;&gt;"",M583,J583)</f>
        <v>0</v>
      </c>
      <c r="Q583" s="332">
        <f t="shared" ref="Q583:Q586" si="294">ROUND(O583*P583,2)</f>
        <v>0</v>
      </c>
    </row>
    <row r="584" spans="1:17" ht="33.75" x14ac:dyDescent="0.25">
      <c r="A584" s="346" t="s">
        <v>8101</v>
      </c>
      <c r="B584" s="347" t="s">
        <v>7358</v>
      </c>
      <c r="C584" s="348" t="s">
        <v>378</v>
      </c>
      <c r="D584" s="348" t="s">
        <v>1</v>
      </c>
      <c r="E584" s="349" t="s">
        <v>7193</v>
      </c>
      <c r="F584" s="349">
        <v>70</v>
      </c>
      <c r="G584" s="349">
        <v>10</v>
      </c>
      <c r="H584" s="324">
        <v>900</v>
      </c>
      <c r="I584" s="328">
        <v>350</v>
      </c>
      <c r="J584" s="335"/>
      <c r="K584" s="330"/>
      <c r="L584" s="328">
        <v>350</v>
      </c>
      <c r="M584" s="329"/>
      <c r="N584" s="330">
        <f t="shared" si="291"/>
        <v>0</v>
      </c>
      <c r="O584" s="331">
        <f t="shared" si="292"/>
        <v>700</v>
      </c>
      <c r="P584" s="329">
        <f t="shared" si="293"/>
        <v>0</v>
      </c>
      <c r="Q584" s="332">
        <f t="shared" si="294"/>
        <v>0</v>
      </c>
    </row>
    <row r="585" spans="1:17" ht="33.75" x14ac:dyDescent="0.25">
      <c r="A585" s="346" t="s">
        <v>8102</v>
      </c>
      <c r="B585" s="347" t="s">
        <v>8103</v>
      </c>
      <c r="C585" s="348" t="s">
        <v>378</v>
      </c>
      <c r="D585" s="348" t="s">
        <v>1</v>
      </c>
      <c r="E585" s="349" t="s">
        <v>7193</v>
      </c>
      <c r="F585" s="349">
        <v>70</v>
      </c>
      <c r="G585" s="349">
        <v>10</v>
      </c>
      <c r="H585" s="324">
        <v>900</v>
      </c>
      <c r="I585" s="328">
        <v>50</v>
      </c>
      <c r="J585" s="335"/>
      <c r="K585" s="330"/>
      <c r="L585" s="328">
        <v>50</v>
      </c>
      <c r="M585" s="329"/>
      <c r="N585" s="330">
        <f t="shared" si="291"/>
        <v>0</v>
      </c>
      <c r="O585" s="331">
        <f t="shared" si="292"/>
        <v>100</v>
      </c>
      <c r="P585" s="329">
        <f t="shared" si="293"/>
        <v>0</v>
      </c>
      <c r="Q585" s="332">
        <f t="shared" si="294"/>
        <v>0</v>
      </c>
    </row>
    <row r="586" spans="1:17" ht="33.75" x14ac:dyDescent="0.25">
      <c r="A586" s="346" t="s">
        <v>8104</v>
      </c>
      <c r="B586" s="347" t="s">
        <v>8105</v>
      </c>
      <c r="C586" s="348" t="s">
        <v>378</v>
      </c>
      <c r="D586" s="348" t="s">
        <v>1</v>
      </c>
      <c r="E586" s="349" t="s">
        <v>7193</v>
      </c>
      <c r="F586" s="349">
        <v>70</v>
      </c>
      <c r="G586" s="349">
        <v>10</v>
      </c>
      <c r="H586" s="324">
        <v>900</v>
      </c>
      <c r="I586" s="328">
        <v>230</v>
      </c>
      <c r="J586" s="335"/>
      <c r="K586" s="330"/>
      <c r="L586" s="328">
        <v>230</v>
      </c>
      <c r="M586" s="329"/>
      <c r="N586" s="330">
        <f t="shared" si="291"/>
        <v>0</v>
      </c>
      <c r="O586" s="331">
        <f t="shared" si="292"/>
        <v>460</v>
      </c>
      <c r="P586" s="329">
        <f t="shared" si="293"/>
        <v>0</v>
      </c>
      <c r="Q586" s="332">
        <f t="shared" si="294"/>
        <v>0</v>
      </c>
    </row>
    <row r="587" spans="1:17" ht="22.5" x14ac:dyDescent="0.25">
      <c r="A587" s="344" t="s">
        <v>8106</v>
      </c>
      <c r="B587" s="169" t="s">
        <v>7380</v>
      </c>
      <c r="C587" s="170"/>
      <c r="D587" s="170"/>
      <c r="E587" s="171"/>
      <c r="F587" s="171"/>
      <c r="G587" s="171"/>
      <c r="H587" s="172"/>
      <c r="I587" s="173"/>
      <c r="J587" s="174"/>
      <c r="K587" s="175"/>
      <c r="L587" s="173"/>
      <c r="M587" s="174"/>
      <c r="N587" s="175"/>
      <c r="O587" s="173"/>
      <c r="P587" s="174" t="s">
        <v>7083</v>
      </c>
      <c r="Q587" s="175"/>
    </row>
    <row r="588" spans="1:17" ht="22.5" x14ac:dyDescent="0.25">
      <c r="A588" s="345" t="s">
        <v>8107</v>
      </c>
      <c r="B588" s="176" t="s">
        <v>7388</v>
      </c>
      <c r="C588" s="177"/>
      <c r="D588" s="177"/>
      <c r="E588" s="178"/>
      <c r="F588" s="178"/>
      <c r="G588" s="178"/>
      <c r="H588" s="179"/>
      <c r="I588" s="180"/>
      <c r="J588" s="181"/>
      <c r="K588" s="182"/>
      <c r="L588" s="180"/>
      <c r="M588" s="181"/>
      <c r="N588" s="182"/>
      <c r="O588" s="180"/>
      <c r="P588" s="181" t="s">
        <v>7083</v>
      </c>
      <c r="Q588" s="182"/>
    </row>
    <row r="589" spans="1:17" ht="33.75" x14ac:dyDescent="0.25">
      <c r="A589" s="346" t="s">
        <v>8108</v>
      </c>
      <c r="B589" s="347" t="s">
        <v>7951</v>
      </c>
      <c r="C589" s="348" t="s">
        <v>378</v>
      </c>
      <c r="D589" s="348" t="s">
        <v>1</v>
      </c>
      <c r="E589" s="349" t="s">
        <v>7193</v>
      </c>
      <c r="F589" s="349">
        <v>70</v>
      </c>
      <c r="G589" s="349">
        <v>10</v>
      </c>
      <c r="H589" s="324">
        <v>900</v>
      </c>
      <c r="I589" s="328">
        <v>440</v>
      </c>
      <c r="J589" s="335"/>
      <c r="K589" s="330"/>
      <c r="L589" s="328">
        <v>440</v>
      </c>
      <c r="M589" s="329"/>
      <c r="N589" s="330">
        <f t="shared" ref="N589:N590" si="295">ROUND(L589*M589,2)</f>
        <v>0</v>
      </c>
      <c r="O589" s="331">
        <f t="shared" ref="O589:O590" si="296">SUM(L589,I589)</f>
        <v>880</v>
      </c>
      <c r="P589" s="329">
        <f t="shared" ref="P589:P590" si="297">IF(M589&lt;&gt;"",M589,J589)</f>
        <v>0</v>
      </c>
      <c r="Q589" s="332">
        <f t="shared" ref="Q589:Q590" si="298">ROUND(O589*P589,2)</f>
        <v>0</v>
      </c>
    </row>
    <row r="590" spans="1:17" ht="33.75" x14ac:dyDescent="0.25">
      <c r="A590" s="346" t="s">
        <v>8109</v>
      </c>
      <c r="B590" s="347" t="s">
        <v>7396</v>
      </c>
      <c r="C590" s="348" t="s">
        <v>378</v>
      </c>
      <c r="D590" s="348" t="s">
        <v>1</v>
      </c>
      <c r="E590" s="349" t="s">
        <v>7193</v>
      </c>
      <c r="F590" s="349">
        <v>70</v>
      </c>
      <c r="G590" s="349">
        <v>10</v>
      </c>
      <c r="H590" s="324">
        <v>900</v>
      </c>
      <c r="I590" s="328">
        <v>1000</v>
      </c>
      <c r="J590" s="335"/>
      <c r="K590" s="330"/>
      <c r="L590" s="328">
        <v>1000</v>
      </c>
      <c r="M590" s="329"/>
      <c r="N590" s="330">
        <f t="shared" si="295"/>
        <v>0</v>
      </c>
      <c r="O590" s="331">
        <f t="shared" si="296"/>
        <v>2000</v>
      </c>
      <c r="P590" s="329">
        <f t="shared" si="297"/>
        <v>0</v>
      </c>
      <c r="Q590" s="332">
        <f t="shared" si="298"/>
        <v>0</v>
      </c>
    </row>
    <row r="591" spans="1:17" ht="22.5" x14ac:dyDescent="0.25">
      <c r="A591" s="344" t="s">
        <v>8110</v>
      </c>
      <c r="B591" s="169" t="s">
        <v>7412</v>
      </c>
      <c r="C591" s="170"/>
      <c r="D591" s="170"/>
      <c r="E591" s="171"/>
      <c r="F591" s="171"/>
      <c r="G591" s="171"/>
      <c r="H591" s="172"/>
      <c r="I591" s="173"/>
      <c r="J591" s="174"/>
      <c r="K591" s="175"/>
      <c r="L591" s="173"/>
      <c r="M591" s="174"/>
      <c r="N591" s="175"/>
      <c r="O591" s="173"/>
      <c r="P591" s="174" t="s">
        <v>7083</v>
      </c>
      <c r="Q591" s="175"/>
    </row>
    <row r="592" spans="1:17" ht="22.5" x14ac:dyDescent="0.25">
      <c r="A592" s="346" t="s">
        <v>8111</v>
      </c>
      <c r="B592" s="347" t="s">
        <v>8112</v>
      </c>
      <c r="C592" s="348" t="s">
        <v>378</v>
      </c>
      <c r="D592" s="348" t="s">
        <v>1</v>
      </c>
      <c r="E592" s="349" t="s">
        <v>7193</v>
      </c>
      <c r="F592" s="349">
        <v>70</v>
      </c>
      <c r="G592" s="349">
        <v>30</v>
      </c>
      <c r="H592" s="324">
        <v>0</v>
      </c>
      <c r="I592" s="328">
        <v>60</v>
      </c>
      <c r="J592" s="335"/>
      <c r="K592" s="330"/>
      <c r="L592" s="328">
        <v>60</v>
      </c>
      <c r="M592" s="329"/>
      <c r="N592" s="330">
        <f t="shared" ref="N592:N595" si="299">ROUND(L592*M592,2)</f>
        <v>0</v>
      </c>
      <c r="O592" s="331">
        <f t="shared" ref="O592:O595" si="300">SUM(L592,I592)</f>
        <v>120</v>
      </c>
      <c r="P592" s="329">
        <f t="shared" ref="P592:P595" si="301">IF(M592&lt;&gt;"",M592,J592)</f>
        <v>0</v>
      </c>
      <c r="Q592" s="332">
        <f t="shared" ref="Q592:Q595" si="302">ROUND(O592*P592,2)</f>
        <v>0</v>
      </c>
    </row>
    <row r="593" spans="1:17" ht="22.5" x14ac:dyDescent="0.25">
      <c r="A593" s="346" t="s">
        <v>8113</v>
      </c>
      <c r="B593" s="347" t="s">
        <v>8114</v>
      </c>
      <c r="C593" s="348" t="s">
        <v>378</v>
      </c>
      <c r="D593" s="348" t="s">
        <v>1</v>
      </c>
      <c r="E593" s="349" t="s">
        <v>7193</v>
      </c>
      <c r="F593" s="349">
        <v>70</v>
      </c>
      <c r="G593" s="349">
        <v>30</v>
      </c>
      <c r="H593" s="324">
        <v>0</v>
      </c>
      <c r="I593" s="328">
        <v>270</v>
      </c>
      <c r="J593" s="335"/>
      <c r="K593" s="330"/>
      <c r="L593" s="328">
        <v>270</v>
      </c>
      <c r="M593" s="329"/>
      <c r="N593" s="330">
        <f t="shared" si="299"/>
        <v>0</v>
      </c>
      <c r="O593" s="331">
        <f t="shared" si="300"/>
        <v>540</v>
      </c>
      <c r="P593" s="329">
        <f t="shared" si="301"/>
        <v>0</v>
      </c>
      <c r="Q593" s="332">
        <f t="shared" si="302"/>
        <v>0</v>
      </c>
    </row>
    <row r="594" spans="1:17" ht="22.5" x14ac:dyDescent="0.25">
      <c r="A594" s="346" t="s">
        <v>8115</v>
      </c>
      <c r="B594" s="347" t="s">
        <v>8116</v>
      </c>
      <c r="C594" s="348" t="s">
        <v>378</v>
      </c>
      <c r="D594" s="348" t="s">
        <v>1</v>
      </c>
      <c r="E594" s="349" t="s">
        <v>7193</v>
      </c>
      <c r="F594" s="349">
        <v>70</v>
      </c>
      <c r="G594" s="349">
        <v>30</v>
      </c>
      <c r="H594" s="324">
        <v>0</v>
      </c>
      <c r="I594" s="328">
        <v>60</v>
      </c>
      <c r="J594" s="335"/>
      <c r="K594" s="330"/>
      <c r="L594" s="328">
        <v>60</v>
      </c>
      <c r="M594" s="329"/>
      <c r="N594" s="330">
        <f t="shared" si="299"/>
        <v>0</v>
      </c>
      <c r="O594" s="331">
        <f t="shared" si="300"/>
        <v>120</v>
      </c>
      <c r="P594" s="329">
        <f t="shared" si="301"/>
        <v>0</v>
      </c>
      <c r="Q594" s="332">
        <f t="shared" si="302"/>
        <v>0</v>
      </c>
    </row>
    <row r="595" spans="1:17" ht="22.5" x14ac:dyDescent="0.25">
      <c r="A595" s="346" t="s">
        <v>8117</v>
      </c>
      <c r="B595" s="347" t="s">
        <v>8118</v>
      </c>
      <c r="C595" s="348" t="s">
        <v>378</v>
      </c>
      <c r="D595" s="348" t="s">
        <v>1</v>
      </c>
      <c r="E595" s="349" t="s">
        <v>7193</v>
      </c>
      <c r="F595" s="349">
        <v>70</v>
      </c>
      <c r="G595" s="349">
        <v>30</v>
      </c>
      <c r="H595" s="324">
        <v>0</v>
      </c>
      <c r="I595" s="328">
        <v>90</v>
      </c>
      <c r="J595" s="335"/>
      <c r="K595" s="330"/>
      <c r="L595" s="328">
        <v>90</v>
      </c>
      <c r="M595" s="329"/>
      <c r="N595" s="330">
        <f t="shared" si="299"/>
        <v>0</v>
      </c>
      <c r="O595" s="331">
        <f t="shared" si="300"/>
        <v>180</v>
      </c>
      <c r="P595" s="329">
        <f t="shared" si="301"/>
        <v>0</v>
      </c>
      <c r="Q595" s="332">
        <f t="shared" si="302"/>
        <v>0</v>
      </c>
    </row>
    <row r="596" spans="1:17" ht="22.5" x14ac:dyDescent="0.25">
      <c r="A596" s="344" t="s">
        <v>8119</v>
      </c>
      <c r="B596" s="169" t="s">
        <v>8120</v>
      </c>
      <c r="C596" s="170"/>
      <c r="D596" s="170"/>
      <c r="E596" s="171"/>
      <c r="F596" s="171"/>
      <c r="G596" s="171"/>
      <c r="H596" s="172"/>
      <c r="I596" s="173"/>
      <c r="J596" s="174"/>
      <c r="K596" s="175"/>
      <c r="L596" s="173"/>
      <c r="M596" s="174"/>
      <c r="N596" s="175"/>
      <c r="O596" s="173"/>
      <c r="P596" s="174"/>
      <c r="Q596" s="175"/>
    </row>
    <row r="597" spans="1:17" ht="33.75" x14ac:dyDescent="0.25">
      <c r="A597" s="346" t="s">
        <v>8121</v>
      </c>
      <c r="B597" s="347" t="s">
        <v>8122</v>
      </c>
      <c r="C597" s="348" t="s">
        <v>378</v>
      </c>
      <c r="D597" s="348" t="s">
        <v>1</v>
      </c>
      <c r="E597" s="349" t="s">
        <v>7193</v>
      </c>
      <c r="F597" s="349">
        <v>70</v>
      </c>
      <c r="G597" s="349">
        <v>30</v>
      </c>
      <c r="H597" s="324">
        <v>0</v>
      </c>
      <c r="I597" s="328">
        <v>83</v>
      </c>
      <c r="J597" s="335"/>
      <c r="K597" s="330"/>
      <c r="L597" s="328">
        <v>83</v>
      </c>
      <c r="M597" s="329"/>
      <c r="N597" s="330">
        <f t="shared" ref="N597:N603" si="303">ROUND(L597*M597,2)</f>
        <v>0</v>
      </c>
      <c r="O597" s="331">
        <f t="shared" ref="O597:O603" si="304">SUM(L597,I597)</f>
        <v>166</v>
      </c>
      <c r="P597" s="329">
        <f t="shared" ref="P597:P603" si="305">IF(M597&lt;&gt;"",M597,J597)</f>
        <v>0</v>
      </c>
      <c r="Q597" s="332">
        <f t="shared" ref="Q597:Q603" si="306">ROUND(O597*P597,2)</f>
        <v>0</v>
      </c>
    </row>
    <row r="598" spans="1:17" ht="22.5" x14ac:dyDescent="0.25">
      <c r="A598" s="346" t="s">
        <v>8123</v>
      </c>
      <c r="B598" s="347" t="s">
        <v>8124</v>
      </c>
      <c r="C598" s="348" t="s">
        <v>378</v>
      </c>
      <c r="D598" s="348" t="s">
        <v>1</v>
      </c>
      <c r="E598" s="349" t="s">
        <v>7193</v>
      </c>
      <c r="F598" s="349">
        <v>70</v>
      </c>
      <c r="G598" s="349">
        <v>30</v>
      </c>
      <c r="H598" s="324">
        <v>0</v>
      </c>
      <c r="I598" s="328">
        <v>68</v>
      </c>
      <c r="J598" s="335"/>
      <c r="K598" s="330"/>
      <c r="L598" s="328">
        <v>68</v>
      </c>
      <c r="M598" s="329"/>
      <c r="N598" s="330">
        <f t="shared" si="303"/>
        <v>0</v>
      </c>
      <c r="O598" s="331">
        <f t="shared" si="304"/>
        <v>136</v>
      </c>
      <c r="P598" s="329">
        <f t="shared" si="305"/>
        <v>0</v>
      </c>
      <c r="Q598" s="332">
        <f t="shared" si="306"/>
        <v>0</v>
      </c>
    </row>
    <row r="599" spans="1:17" ht="33.75" x14ac:dyDescent="0.25">
      <c r="A599" s="346" t="s">
        <v>8125</v>
      </c>
      <c r="B599" s="347" t="s">
        <v>8126</v>
      </c>
      <c r="C599" s="348" t="s">
        <v>378</v>
      </c>
      <c r="D599" s="348" t="s">
        <v>1</v>
      </c>
      <c r="E599" s="349" t="s">
        <v>7193</v>
      </c>
      <c r="F599" s="349">
        <v>70</v>
      </c>
      <c r="G599" s="349">
        <v>30</v>
      </c>
      <c r="H599" s="324">
        <v>0</v>
      </c>
      <c r="I599" s="328">
        <v>43</v>
      </c>
      <c r="J599" s="335"/>
      <c r="K599" s="330"/>
      <c r="L599" s="328">
        <v>43</v>
      </c>
      <c r="M599" s="329"/>
      <c r="N599" s="330">
        <f t="shared" si="303"/>
        <v>0</v>
      </c>
      <c r="O599" s="331">
        <f t="shared" si="304"/>
        <v>86</v>
      </c>
      <c r="P599" s="329">
        <f t="shared" si="305"/>
        <v>0</v>
      </c>
      <c r="Q599" s="332">
        <f t="shared" si="306"/>
        <v>0</v>
      </c>
    </row>
    <row r="600" spans="1:17" ht="22.5" x14ac:dyDescent="0.25">
      <c r="A600" s="346" t="s">
        <v>8127</v>
      </c>
      <c r="B600" s="347" t="s">
        <v>8128</v>
      </c>
      <c r="C600" s="348" t="s">
        <v>378</v>
      </c>
      <c r="D600" s="348" t="s">
        <v>1</v>
      </c>
      <c r="E600" s="349" t="s">
        <v>7193</v>
      </c>
      <c r="F600" s="349">
        <v>70</v>
      </c>
      <c r="G600" s="349">
        <v>30</v>
      </c>
      <c r="H600" s="324">
        <v>0</v>
      </c>
      <c r="I600" s="328">
        <v>23</v>
      </c>
      <c r="J600" s="335"/>
      <c r="K600" s="330"/>
      <c r="L600" s="328">
        <v>23</v>
      </c>
      <c r="M600" s="329"/>
      <c r="N600" s="330">
        <f t="shared" si="303"/>
        <v>0</v>
      </c>
      <c r="O600" s="331">
        <f t="shared" si="304"/>
        <v>46</v>
      </c>
      <c r="P600" s="329">
        <f t="shared" si="305"/>
        <v>0</v>
      </c>
      <c r="Q600" s="332">
        <f t="shared" si="306"/>
        <v>0</v>
      </c>
    </row>
    <row r="601" spans="1:17" ht="33.75" x14ac:dyDescent="0.25">
      <c r="A601" s="346" t="s">
        <v>8129</v>
      </c>
      <c r="B601" s="347" t="s">
        <v>8130</v>
      </c>
      <c r="C601" s="348" t="s">
        <v>378</v>
      </c>
      <c r="D601" s="348" t="s">
        <v>1</v>
      </c>
      <c r="E601" s="349" t="s">
        <v>7193</v>
      </c>
      <c r="F601" s="349">
        <v>70</v>
      </c>
      <c r="G601" s="349">
        <v>30</v>
      </c>
      <c r="H601" s="324">
        <v>0</v>
      </c>
      <c r="I601" s="328">
        <v>2</v>
      </c>
      <c r="J601" s="335"/>
      <c r="K601" s="330"/>
      <c r="L601" s="328">
        <v>2</v>
      </c>
      <c r="M601" s="329"/>
      <c r="N601" s="330">
        <f t="shared" si="303"/>
        <v>0</v>
      </c>
      <c r="O601" s="331">
        <f t="shared" si="304"/>
        <v>4</v>
      </c>
      <c r="P601" s="329">
        <f t="shared" si="305"/>
        <v>0</v>
      </c>
      <c r="Q601" s="332">
        <f t="shared" si="306"/>
        <v>0</v>
      </c>
    </row>
    <row r="602" spans="1:17" ht="22.5" x14ac:dyDescent="0.25">
      <c r="A602" s="346" t="s">
        <v>8131</v>
      </c>
      <c r="B602" s="347" t="s">
        <v>8132</v>
      </c>
      <c r="C602" s="348" t="s">
        <v>378</v>
      </c>
      <c r="D602" s="348" t="s">
        <v>1</v>
      </c>
      <c r="E602" s="349" t="s">
        <v>7193</v>
      </c>
      <c r="F602" s="349">
        <v>70</v>
      </c>
      <c r="G602" s="349">
        <v>30</v>
      </c>
      <c r="H602" s="324">
        <v>0</v>
      </c>
      <c r="I602" s="328">
        <v>2</v>
      </c>
      <c r="J602" s="335"/>
      <c r="K602" s="330"/>
      <c r="L602" s="328">
        <v>2</v>
      </c>
      <c r="M602" s="329"/>
      <c r="N602" s="330">
        <f t="shared" si="303"/>
        <v>0</v>
      </c>
      <c r="O602" s="331">
        <f t="shared" si="304"/>
        <v>4</v>
      </c>
      <c r="P602" s="329">
        <f t="shared" si="305"/>
        <v>0</v>
      </c>
      <c r="Q602" s="332">
        <f t="shared" si="306"/>
        <v>0</v>
      </c>
    </row>
    <row r="603" spans="1:17" ht="22.5" x14ac:dyDescent="0.25">
      <c r="A603" s="346" t="s">
        <v>8133</v>
      </c>
      <c r="B603" s="347" t="s">
        <v>8134</v>
      </c>
      <c r="C603" s="348" t="s">
        <v>378</v>
      </c>
      <c r="D603" s="348" t="s">
        <v>1</v>
      </c>
      <c r="E603" s="349" t="s">
        <v>7193</v>
      </c>
      <c r="F603" s="349">
        <v>70</v>
      </c>
      <c r="G603" s="349">
        <v>30</v>
      </c>
      <c r="H603" s="324">
        <v>0</v>
      </c>
      <c r="I603" s="328">
        <v>12</v>
      </c>
      <c r="J603" s="335"/>
      <c r="K603" s="330"/>
      <c r="L603" s="328">
        <v>12</v>
      </c>
      <c r="M603" s="329"/>
      <c r="N603" s="330">
        <f t="shared" si="303"/>
        <v>0</v>
      </c>
      <c r="O603" s="331">
        <f t="shared" si="304"/>
        <v>24</v>
      </c>
      <c r="P603" s="329">
        <f t="shared" si="305"/>
        <v>0</v>
      </c>
      <c r="Q603" s="332">
        <f t="shared" si="306"/>
        <v>0</v>
      </c>
    </row>
    <row r="604" spans="1:17" x14ac:dyDescent="0.25">
      <c r="A604" s="344" t="s">
        <v>8135</v>
      </c>
      <c r="B604" s="169" t="s">
        <v>7456</v>
      </c>
      <c r="C604" s="170"/>
      <c r="D604" s="170"/>
      <c r="E604" s="171"/>
      <c r="F604" s="171"/>
      <c r="G604" s="171"/>
      <c r="H604" s="172"/>
      <c r="I604" s="173"/>
      <c r="J604" s="174"/>
      <c r="K604" s="175"/>
      <c r="L604" s="173"/>
      <c r="M604" s="174"/>
      <c r="N604" s="175"/>
      <c r="O604" s="173"/>
      <c r="P604" s="174" t="s">
        <v>7083</v>
      </c>
      <c r="Q604" s="175"/>
    </row>
    <row r="605" spans="1:17" x14ac:dyDescent="0.25">
      <c r="A605" s="345" t="s">
        <v>8136</v>
      </c>
      <c r="B605" s="176" t="s">
        <v>7464</v>
      </c>
      <c r="C605" s="177"/>
      <c r="D605" s="177"/>
      <c r="E605" s="178"/>
      <c r="F605" s="178"/>
      <c r="G605" s="178"/>
      <c r="H605" s="179"/>
      <c r="I605" s="180"/>
      <c r="J605" s="181"/>
      <c r="K605" s="182"/>
      <c r="L605" s="180"/>
      <c r="M605" s="181"/>
      <c r="N605" s="182"/>
      <c r="O605" s="180"/>
      <c r="P605" s="181" t="s">
        <v>7083</v>
      </c>
      <c r="Q605" s="182"/>
    </row>
    <row r="606" spans="1:17" x14ac:dyDescent="0.25">
      <c r="A606" s="346" t="s">
        <v>8137</v>
      </c>
      <c r="B606" s="347" t="s">
        <v>7468</v>
      </c>
      <c r="C606" s="348" t="s">
        <v>460</v>
      </c>
      <c r="D606" s="348" t="s">
        <v>1</v>
      </c>
      <c r="E606" s="349" t="s">
        <v>7193</v>
      </c>
      <c r="F606" s="349">
        <v>70</v>
      </c>
      <c r="G606" s="349">
        <v>65</v>
      </c>
      <c r="H606" s="324">
        <v>10</v>
      </c>
      <c r="I606" s="328">
        <v>3</v>
      </c>
      <c r="J606" s="335"/>
      <c r="K606" s="330"/>
      <c r="L606" s="328">
        <v>3</v>
      </c>
      <c r="M606" s="329"/>
      <c r="N606" s="330">
        <f t="shared" ref="N606:N608" si="307">ROUND(L606*M606,2)</f>
        <v>0</v>
      </c>
      <c r="O606" s="331">
        <f t="shared" ref="O606:O608" si="308">SUM(L606,I606)</f>
        <v>6</v>
      </c>
      <c r="P606" s="329">
        <f t="shared" ref="P606:P608" si="309">IF(M606&lt;&gt;"",M606,J606)</f>
        <v>0</v>
      </c>
      <c r="Q606" s="332">
        <f t="shared" ref="Q606:Q608" si="310">ROUND(O606*P606,2)</f>
        <v>0</v>
      </c>
    </row>
    <row r="607" spans="1:17" x14ac:dyDescent="0.25">
      <c r="A607" s="346" t="s">
        <v>8138</v>
      </c>
      <c r="B607" s="347" t="s">
        <v>7470</v>
      </c>
      <c r="C607" s="348" t="s">
        <v>460</v>
      </c>
      <c r="D607" s="348" t="s">
        <v>1</v>
      </c>
      <c r="E607" s="349" t="s">
        <v>7193</v>
      </c>
      <c r="F607" s="349">
        <v>70</v>
      </c>
      <c r="G607" s="349">
        <v>65</v>
      </c>
      <c r="H607" s="324">
        <v>10</v>
      </c>
      <c r="I607" s="328">
        <v>3</v>
      </c>
      <c r="J607" s="335"/>
      <c r="K607" s="330"/>
      <c r="L607" s="328">
        <v>3</v>
      </c>
      <c r="M607" s="329"/>
      <c r="N607" s="330">
        <f t="shared" si="307"/>
        <v>0</v>
      </c>
      <c r="O607" s="331">
        <f t="shared" si="308"/>
        <v>6</v>
      </c>
      <c r="P607" s="329">
        <f t="shared" si="309"/>
        <v>0</v>
      </c>
      <c r="Q607" s="332">
        <f t="shared" si="310"/>
        <v>0</v>
      </c>
    </row>
    <row r="608" spans="1:17" ht="22.5" x14ac:dyDescent="0.25">
      <c r="A608" s="346" t="s">
        <v>8139</v>
      </c>
      <c r="B608" s="347" t="s">
        <v>8140</v>
      </c>
      <c r="C608" s="348" t="s">
        <v>460</v>
      </c>
      <c r="D608" s="348" t="s">
        <v>1</v>
      </c>
      <c r="E608" s="349" t="s">
        <v>7193</v>
      </c>
      <c r="F608" s="349">
        <v>70</v>
      </c>
      <c r="G608" s="349">
        <v>65</v>
      </c>
      <c r="H608" s="324">
        <v>10</v>
      </c>
      <c r="I608" s="328">
        <v>1</v>
      </c>
      <c r="J608" s="335"/>
      <c r="K608" s="330"/>
      <c r="L608" s="328">
        <v>1</v>
      </c>
      <c r="M608" s="329"/>
      <c r="N608" s="330">
        <f t="shared" si="307"/>
        <v>0</v>
      </c>
      <c r="O608" s="331">
        <f t="shared" si="308"/>
        <v>2</v>
      </c>
      <c r="P608" s="329">
        <f t="shared" si="309"/>
        <v>0</v>
      </c>
      <c r="Q608" s="332">
        <f t="shared" si="310"/>
        <v>0</v>
      </c>
    </row>
    <row r="609" spans="1:17" ht="22.5" x14ac:dyDescent="0.25">
      <c r="A609" s="344" t="s">
        <v>8141</v>
      </c>
      <c r="B609" s="169" t="s">
        <v>7482</v>
      </c>
      <c r="C609" s="170"/>
      <c r="D609" s="170"/>
      <c r="E609" s="171"/>
      <c r="F609" s="171"/>
      <c r="G609" s="171"/>
      <c r="H609" s="172"/>
      <c r="I609" s="173"/>
      <c r="J609" s="174"/>
      <c r="K609" s="175"/>
      <c r="L609" s="173"/>
      <c r="M609" s="174"/>
      <c r="N609" s="175"/>
      <c r="O609" s="173"/>
      <c r="P609" s="174" t="s">
        <v>7083</v>
      </c>
      <c r="Q609" s="175"/>
    </row>
    <row r="610" spans="1:17" x14ac:dyDescent="0.25">
      <c r="A610" s="346" t="s">
        <v>8142</v>
      </c>
      <c r="B610" s="347" t="s">
        <v>7486</v>
      </c>
      <c r="C610" s="348" t="s">
        <v>378</v>
      </c>
      <c r="D610" s="348" t="s">
        <v>1</v>
      </c>
      <c r="E610" s="349" t="s">
        <v>7193</v>
      </c>
      <c r="F610" s="349">
        <v>70</v>
      </c>
      <c r="G610" s="349">
        <v>70</v>
      </c>
      <c r="H610" s="324">
        <v>20</v>
      </c>
      <c r="I610" s="328">
        <v>300</v>
      </c>
      <c r="J610" s="335"/>
      <c r="K610" s="330"/>
      <c r="L610" s="328">
        <v>300</v>
      </c>
      <c r="M610" s="329"/>
      <c r="N610" s="330">
        <f t="shared" ref="N610" si="311">ROUND(L610*M610,2)</f>
        <v>0</v>
      </c>
      <c r="O610" s="331">
        <f>SUM(L610,I610)</f>
        <v>600</v>
      </c>
      <c r="P610" s="329">
        <f>IF(M610&lt;&gt;"",M610,J610)</f>
        <v>0</v>
      </c>
      <c r="Q610" s="332">
        <f>ROUND(O610*P610,2)</f>
        <v>0</v>
      </c>
    </row>
    <row r="611" spans="1:17" x14ac:dyDescent="0.25">
      <c r="A611" s="139" t="s">
        <v>8143</v>
      </c>
      <c r="B611" s="224" t="s">
        <v>7554</v>
      </c>
      <c r="C611" s="140"/>
      <c r="D611" s="140"/>
      <c r="E611" s="141"/>
      <c r="F611" s="142"/>
      <c r="G611" s="142"/>
      <c r="H611" s="143"/>
      <c r="I611" s="225"/>
      <c r="J611" s="226"/>
      <c r="K611" s="146"/>
      <c r="L611" s="225"/>
      <c r="M611" s="226"/>
      <c r="N611" s="146"/>
      <c r="O611" s="225"/>
      <c r="P611" s="226" t="s">
        <v>7083</v>
      </c>
      <c r="Q611" s="146"/>
    </row>
    <row r="612" spans="1:17" x14ac:dyDescent="0.25">
      <c r="A612" s="345" t="s">
        <v>8144</v>
      </c>
      <c r="B612" s="169" t="s">
        <v>7563</v>
      </c>
      <c r="C612" s="177"/>
      <c r="D612" s="177"/>
      <c r="E612" s="178"/>
      <c r="F612" s="178"/>
      <c r="G612" s="178"/>
      <c r="H612" s="179"/>
      <c r="I612" s="180"/>
      <c r="J612" s="181"/>
      <c r="K612" s="182"/>
      <c r="L612" s="180"/>
      <c r="M612" s="181"/>
      <c r="N612" s="182"/>
      <c r="O612" s="180"/>
      <c r="P612" s="181"/>
      <c r="Q612" s="182"/>
    </row>
    <row r="613" spans="1:17" x14ac:dyDescent="0.25">
      <c r="A613" s="356" t="s">
        <v>8145</v>
      </c>
      <c r="B613" s="347" t="s">
        <v>8146</v>
      </c>
      <c r="C613" s="321" t="s">
        <v>911</v>
      </c>
      <c r="D613" s="348" t="s">
        <v>1</v>
      </c>
      <c r="E613" s="349" t="s">
        <v>7504</v>
      </c>
      <c r="F613" s="349">
        <v>20</v>
      </c>
      <c r="G613" s="349">
        <v>20</v>
      </c>
      <c r="H613" s="357">
        <v>0</v>
      </c>
      <c r="I613" s="335">
        <v>1</v>
      </c>
      <c r="J613" s="335"/>
      <c r="K613" s="330"/>
      <c r="L613" s="328">
        <v>1</v>
      </c>
      <c r="M613" s="329"/>
      <c r="N613" s="330">
        <f t="shared" ref="N613" si="312">ROUND(L613*M613,2)</f>
        <v>0</v>
      </c>
      <c r="O613" s="331">
        <f>SUM(L613,I613)</f>
        <v>2</v>
      </c>
      <c r="P613" s="329">
        <f>IF(M613&lt;&gt;"",M613,J613)</f>
        <v>0</v>
      </c>
      <c r="Q613" s="332">
        <f>ROUND(O613*P613,2)</f>
        <v>0</v>
      </c>
    </row>
    <row r="614" spans="1:17" x14ac:dyDescent="0.25">
      <c r="A614" s="345" t="s">
        <v>8147</v>
      </c>
      <c r="B614" s="169" t="s">
        <v>8148</v>
      </c>
      <c r="C614" s="177"/>
      <c r="D614" s="177"/>
      <c r="E614" s="178"/>
      <c r="F614" s="178"/>
      <c r="G614" s="178"/>
      <c r="H614" s="179"/>
      <c r="I614" s="180"/>
      <c r="J614" s="181"/>
      <c r="K614" s="182"/>
      <c r="L614" s="180"/>
      <c r="M614" s="181"/>
      <c r="N614" s="182"/>
      <c r="O614" s="180"/>
      <c r="P614" s="181"/>
      <c r="Q614" s="182"/>
    </row>
    <row r="615" spans="1:17" ht="22.5" x14ac:dyDescent="0.25">
      <c r="A615" s="356" t="s">
        <v>8149</v>
      </c>
      <c r="B615" s="347" t="s">
        <v>8150</v>
      </c>
      <c r="C615" s="321" t="s">
        <v>911</v>
      </c>
      <c r="D615" s="348" t="s">
        <v>1</v>
      </c>
      <c r="E615" s="349" t="s">
        <v>7504</v>
      </c>
      <c r="F615" s="349">
        <v>20</v>
      </c>
      <c r="G615" s="349">
        <v>20</v>
      </c>
      <c r="H615" s="357">
        <v>0</v>
      </c>
      <c r="I615" s="335">
        <v>1</v>
      </c>
      <c r="J615" s="335"/>
      <c r="K615" s="330"/>
      <c r="L615" s="328">
        <v>1</v>
      </c>
      <c r="M615" s="329"/>
      <c r="N615" s="330">
        <f t="shared" ref="N615" si="313">ROUND(L615*M615,2)</f>
        <v>0</v>
      </c>
      <c r="O615" s="331">
        <f>SUM(L615,I615)</f>
        <v>2</v>
      </c>
      <c r="P615" s="329">
        <f>IF(M615&lt;&gt;"",M615,J615)</f>
        <v>0</v>
      </c>
      <c r="Q615" s="332">
        <f>ROUND(O615*P615,2)</f>
        <v>0</v>
      </c>
    </row>
    <row r="616" spans="1:17" x14ac:dyDescent="0.25">
      <c r="A616" s="345" t="s">
        <v>8151</v>
      </c>
      <c r="B616" s="169" t="s">
        <v>8152</v>
      </c>
      <c r="C616" s="177"/>
      <c r="D616" s="177"/>
      <c r="E616" s="178"/>
      <c r="F616" s="178"/>
      <c r="G616" s="178"/>
      <c r="H616" s="179"/>
      <c r="I616" s="180"/>
      <c r="J616" s="181"/>
      <c r="K616" s="182"/>
      <c r="L616" s="180"/>
      <c r="M616" s="181"/>
      <c r="N616" s="182"/>
      <c r="O616" s="180"/>
      <c r="P616" s="181"/>
      <c r="Q616" s="182"/>
    </row>
    <row r="617" spans="1:17" x14ac:dyDescent="0.25">
      <c r="A617" s="356" t="s">
        <v>8153</v>
      </c>
      <c r="B617" s="347" t="s">
        <v>8154</v>
      </c>
      <c r="C617" s="321" t="s">
        <v>911</v>
      </c>
      <c r="D617" s="348" t="s">
        <v>1</v>
      </c>
      <c r="E617" s="349" t="s">
        <v>7504</v>
      </c>
      <c r="F617" s="349">
        <v>30</v>
      </c>
      <c r="G617" s="349">
        <v>60</v>
      </c>
      <c r="H617" s="357" t="s">
        <v>7709</v>
      </c>
      <c r="I617" s="335">
        <v>3</v>
      </c>
      <c r="J617" s="335"/>
      <c r="K617" s="330"/>
      <c r="L617" s="328">
        <v>3</v>
      </c>
      <c r="M617" s="329"/>
      <c r="N617" s="330">
        <f t="shared" ref="N617:N618" si="314">ROUND(L617*M617,2)</f>
        <v>0</v>
      </c>
      <c r="O617" s="331">
        <f t="shared" ref="O617:O618" si="315">SUM(L617,I617)</f>
        <v>6</v>
      </c>
      <c r="P617" s="329">
        <f t="shared" ref="P617:P618" si="316">IF(M617&lt;&gt;"",M617,J617)</f>
        <v>0</v>
      </c>
      <c r="Q617" s="332">
        <f t="shared" ref="Q617:Q618" si="317">ROUND(O617*P617,2)</f>
        <v>0</v>
      </c>
    </row>
    <row r="618" spans="1:17" x14ac:dyDescent="0.25">
      <c r="A618" s="356" t="s">
        <v>8155</v>
      </c>
      <c r="B618" s="347" t="s">
        <v>8156</v>
      </c>
      <c r="C618" s="321" t="s">
        <v>911</v>
      </c>
      <c r="D618" s="348" t="s">
        <v>1</v>
      </c>
      <c r="E618" s="349" t="s">
        <v>7504</v>
      </c>
      <c r="F618" s="349">
        <v>30</v>
      </c>
      <c r="G618" s="349">
        <v>60</v>
      </c>
      <c r="H618" s="357" t="s">
        <v>7709</v>
      </c>
      <c r="I618" s="335">
        <v>3</v>
      </c>
      <c r="J618" s="335"/>
      <c r="K618" s="330"/>
      <c r="L618" s="328">
        <v>3</v>
      </c>
      <c r="M618" s="329"/>
      <c r="N618" s="330">
        <f t="shared" si="314"/>
        <v>0</v>
      </c>
      <c r="O618" s="331">
        <f t="shared" si="315"/>
        <v>6</v>
      </c>
      <c r="P618" s="329">
        <f t="shared" si="316"/>
        <v>0</v>
      </c>
      <c r="Q618" s="332">
        <f t="shared" si="317"/>
        <v>0</v>
      </c>
    </row>
    <row r="619" spans="1:17" x14ac:dyDescent="0.25">
      <c r="A619" s="345" t="s">
        <v>8157</v>
      </c>
      <c r="B619" s="169" t="s">
        <v>8158</v>
      </c>
      <c r="C619" s="177"/>
      <c r="D619" s="177"/>
      <c r="E619" s="178"/>
      <c r="F619" s="178"/>
      <c r="G619" s="178"/>
      <c r="H619" s="179"/>
      <c r="I619" s="180"/>
      <c r="J619" s="181"/>
      <c r="K619" s="182"/>
      <c r="L619" s="180"/>
      <c r="M619" s="181"/>
      <c r="N619" s="182"/>
      <c r="O619" s="180"/>
      <c r="P619" s="181"/>
      <c r="Q619" s="182"/>
    </row>
    <row r="620" spans="1:17" ht="22.5" x14ac:dyDescent="0.25">
      <c r="A620" s="358" t="s">
        <v>8159</v>
      </c>
      <c r="B620" s="347" t="s">
        <v>8160</v>
      </c>
      <c r="C620" s="321" t="s">
        <v>911</v>
      </c>
      <c r="D620" s="348" t="s">
        <v>1</v>
      </c>
      <c r="E620" s="349" t="s">
        <v>7504</v>
      </c>
      <c r="F620" s="349">
        <v>30</v>
      </c>
      <c r="G620" s="349">
        <v>80</v>
      </c>
      <c r="H620" s="357" t="s">
        <v>7709</v>
      </c>
      <c r="I620" s="335">
        <v>3</v>
      </c>
      <c r="J620" s="335"/>
      <c r="K620" s="330"/>
      <c r="L620" s="328">
        <v>3</v>
      </c>
      <c r="M620" s="329"/>
      <c r="N620" s="330">
        <f t="shared" ref="N620" si="318">ROUND(L620*M620,2)</f>
        <v>0</v>
      </c>
      <c r="O620" s="331">
        <f>SUM(L620,I620)</f>
        <v>6</v>
      </c>
      <c r="P620" s="329">
        <f>IF(M620&lt;&gt;"",M620,J620)</f>
        <v>0</v>
      </c>
      <c r="Q620" s="332">
        <f>ROUND(O620*P620,2)</f>
        <v>0</v>
      </c>
    </row>
    <row r="621" spans="1:17" x14ac:dyDescent="0.25">
      <c r="A621" s="344" t="s">
        <v>8161</v>
      </c>
      <c r="B621" s="169" t="s">
        <v>7556</v>
      </c>
      <c r="C621" s="170"/>
      <c r="D621" s="170"/>
      <c r="E621" s="171"/>
      <c r="F621" s="171"/>
      <c r="G621" s="171"/>
      <c r="H621" s="172"/>
      <c r="I621" s="173"/>
      <c r="J621" s="174"/>
      <c r="K621" s="175"/>
      <c r="L621" s="173"/>
      <c r="M621" s="174"/>
      <c r="N621" s="175"/>
      <c r="O621" s="173"/>
      <c r="P621" s="174" t="s">
        <v>7083</v>
      </c>
      <c r="Q621" s="175"/>
    </row>
    <row r="622" spans="1:17" x14ac:dyDescent="0.25">
      <c r="A622" s="350" t="s">
        <v>8162</v>
      </c>
      <c r="B622" s="351" t="s">
        <v>8163</v>
      </c>
      <c r="C622" s="321" t="s">
        <v>911</v>
      </c>
      <c r="D622" s="352" t="s">
        <v>1</v>
      </c>
      <c r="E622" s="353" t="s">
        <v>7504</v>
      </c>
      <c r="F622" s="349">
        <v>20</v>
      </c>
      <c r="G622" s="349">
        <v>20</v>
      </c>
      <c r="H622" s="324" t="s">
        <v>7709</v>
      </c>
      <c r="I622" s="328">
        <v>1</v>
      </c>
      <c r="J622" s="335"/>
      <c r="K622" s="330"/>
      <c r="L622" s="328">
        <v>1</v>
      </c>
      <c r="M622" s="329"/>
      <c r="N622" s="330">
        <f t="shared" ref="N622" si="319">ROUND(L622*M622,2)</f>
        <v>0</v>
      </c>
      <c r="O622" s="331">
        <f>SUM(L622,I622)</f>
        <v>2</v>
      </c>
      <c r="P622" s="329">
        <f>IF(M622&lt;&gt;"",M622,J622)</f>
        <v>0</v>
      </c>
      <c r="Q622" s="332">
        <f>ROUND(O622*P622,2)</f>
        <v>0</v>
      </c>
    </row>
    <row r="623" spans="1:17" x14ac:dyDescent="0.25">
      <c r="A623" s="344" t="s">
        <v>8164</v>
      </c>
      <c r="B623" s="169" t="s">
        <v>8165</v>
      </c>
      <c r="C623" s="170"/>
      <c r="D623" s="170"/>
      <c r="E623" s="171"/>
      <c r="F623" s="171"/>
      <c r="G623" s="171"/>
      <c r="H623" s="172"/>
      <c r="I623" s="173"/>
      <c r="J623" s="174"/>
      <c r="K623" s="175"/>
      <c r="L623" s="173"/>
      <c r="M623" s="174"/>
      <c r="N623" s="175"/>
      <c r="O623" s="173"/>
      <c r="P623" s="174" t="s">
        <v>7083</v>
      </c>
      <c r="Q623" s="175"/>
    </row>
    <row r="624" spans="1:17" x14ac:dyDescent="0.25">
      <c r="A624" s="350" t="s">
        <v>8166</v>
      </c>
      <c r="B624" s="359" t="s">
        <v>8167</v>
      </c>
      <c r="C624" s="352" t="s">
        <v>911</v>
      </c>
      <c r="D624" s="352" t="s">
        <v>1</v>
      </c>
      <c r="E624" s="353" t="s">
        <v>7504</v>
      </c>
      <c r="F624" s="349">
        <v>20</v>
      </c>
      <c r="G624" s="349">
        <v>20</v>
      </c>
      <c r="H624" s="324" t="s">
        <v>7709</v>
      </c>
      <c r="I624" s="360">
        <v>1</v>
      </c>
      <c r="J624" s="361"/>
      <c r="K624" s="330"/>
      <c r="L624" s="360">
        <v>1</v>
      </c>
      <c r="M624" s="329"/>
      <c r="N624" s="330">
        <f t="shared" ref="N624" si="320">ROUND(L624*M624,2)</f>
        <v>0</v>
      </c>
      <c r="O624" s="331">
        <f>SUM(L624,I624)</f>
        <v>2</v>
      </c>
      <c r="P624" s="329">
        <f>IF(M624&lt;&gt;"",M624,J624)</f>
        <v>0</v>
      </c>
      <c r="Q624" s="332">
        <f>ROUND(O624*P624,2)</f>
        <v>0</v>
      </c>
    </row>
    <row r="625" spans="1:17" x14ac:dyDescent="0.25">
      <c r="A625" s="345" t="s">
        <v>8168</v>
      </c>
      <c r="B625" s="227" t="s">
        <v>7653</v>
      </c>
      <c r="C625" s="170"/>
      <c r="D625" s="170"/>
      <c r="E625" s="171"/>
      <c r="F625" s="171"/>
      <c r="G625" s="171"/>
      <c r="H625" s="172"/>
      <c r="I625" s="228"/>
      <c r="J625" s="229"/>
      <c r="K625" s="175"/>
      <c r="L625" s="228"/>
      <c r="M625" s="229"/>
      <c r="N625" s="175"/>
      <c r="O625" s="228"/>
      <c r="P625" s="229" t="s">
        <v>7083</v>
      </c>
      <c r="Q625" s="175"/>
    </row>
    <row r="626" spans="1:17" ht="22.5" x14ac:dyDescent="0.25">
      <c r="A626" s="346" t="s">
        <v>8169</v>
      </c>
      <c r="B626" s="347" t="s">
        <v>8170</v>
      </c>
      <c r="C626" s="348" t="s">
        <v>8171</v>
      </c>
      <c r="D626" s="348" t="s">
        <v>1</v>
      </c>
      <c r="E626" s="349" t="s">
        <v>7504</v>
      </c>
      <c r="F626" s="349">
        <v>20</v>
      </c>
      <c r="G626" s="349">
        <v>40</v>
      </c>
      <c r="H626" s="324">
        <v>0</v>
      </c>
      <c r="I626" s="328">
        <v>4</v>
      </c>
      <c r="J626" s="335"/>
      <c r="K626" s="330"/>
      <c r="L626" s="328">
        <v>4</v>
      </c>
      <c r="M626" s="329"/>
      <c r="N626" s="330">
        <f t="shared" ref="N626" si="321">ROUND(L626*M626,2)</f>
        <v>0</v>
      </c>
      <c r="O626" s="331">
        <f>SUM(L626,I626)</f>
        <v>8</v>
      </c>
      <c r="P626" s="329">
        <f>IF(M626&lt;&gt;"",M626,J626)</f>
        <v>0</v>
      </c>
      <c r="Q626" s="332">
        <f>ROUND(O626*P626,2)</f>
        <v>0</v>
      </c>
    </row>
    <row r="627" spans="1:17" x14ac:dyDescent="0.25">
      <c r="A627" s="139" t="s">
        <v>8172</v>
      </c>
      <c r="B627" s="224" t="s">
        <v>7602</v>
      </c>
      <c r="C627" s="140"/>
      <c r="D627" s="140"/>
      <c r="E627" s="141"/>
      <c r="F627" s="142"/>
      <c r="G627" s="142"/>
      <c r="H627" s="143"/>
      <c r="I627" s="225"/>
      <c r="J627" s="226"/>
      <c r="K627" s="146"/>
      <c r="L627" s="225"/>
      <c r="M627" s="226"/>
      <c r="N627" s="146"/>
      <c r="O627" s="225"/>
      <c r="P627" s="226" t="s">
        <v>7083</v>
      </c>
      <c r="Q627" s="146"/>
    </row>
    <row r="628" spans="1:17" x14ac:dyDescent="0.25">
      <c r="A628" s="344" t="s">
        <v>8173</v>
      </c>
      <c r="B628" s="169" t="s">
        <v>8174</v>
      </c>
      <c r="C628" s="170"/>
      <c r="D628" s="170"/>
      <c r="E628" s="171"/>
      <c r="F628" s="171"/>
      <c r="G628" s="171"/>
      <c r="H628" s="172"/>
      <c r="I628" s="173"/>
      <c r="J628" s="174"/>
      <c r="K628" s="175"/>
      <c r="L628" s="173"/>
      <c r="M628" s="174"/>
      <c r="N628" s="175"/>
      <c r="O628" s="173"/>
      <c r="P628" s="174" t="s">
        <v>7083</v>
      </c>
      <c r="Q628" s="175"/>
    </row>
    <row r="629" spans="1:17" x14ac:dyDescent="0.25">
      <c r="A629" s="346" t="s">
        <v>8175</v>
      </c>
      <c r="B629" s="347" t="s">
        <v>8176</v>
      </c>
      <c r="C629" s="348" t="s">
        <v>911</v>
      </c>
      <c r="D629" s="348" t="s">
        <v>1</v>
      </c>
      <c r="E629" s="349" t="s">
        <v>7607</v>
      </c>
      <c r="F629" s="349">
        <v>20</v>
      </c>
      <c r="G629" s="349">
        <v>9</v>
      </c>
      <c r="H629" s="324">
        <v>0</v>
      </c>
      <c r="I629" s="328">
        <v>1</v>
      </c>
      <c r="J629" s="335"/>
      <c r="K629" s="330"/>
      <c r="L629" s="328">
        <v>1</v>
      </c>
      <c r="M629" s="329"/>
      <c r="N629" s="330">
        <f t="shared" ref="N629" si="322">ROUND(L629*M629,2)</f>
        <v>0</v>
      </c>
      <c r="O629" s="331">
        <f>SUM(L629,I629)</f>
        <v>2</v>
      </c>
      <c r="P629" s="329">
        <f>IF(M629&lt;&gt;"",M629,J629)</f>
        <v>0</v>
      </c>
      <c r="Q629" s="332">
        <f>ROUND(O629*P629,2)</f>
        <v>0</v>
      </c>
    </row>
    <row r="630" spans="1:17" x14ac:dyDescent="0.25">
      <c r="A630" s="139" t="s">
        <v>8177</v>
      </c>
      <c r="B630" s="224" t="s">
        <v>8178</v>
      </c>
      <c r="C630" s="140"/>
      <c r="D630" s="140"/>
      <c r="E630" s="141"/>
      <c r="F630" s="142"/>
      <c r="G630" s="142"/>
      <c r="H630" s="143"/>
      <c r="I630" s="225"/>
      <c r="J630" s="226"/>
      <c r="K630" s="146"/>
      <c r="L630" s="225"/>
      <c r="M630" s="226"/>
      <c r="N630" s="146"/>
      <c r="O630" s="225"/>
      <c r="P630" s="226" t="s">
        <v>7083</v>
      </c>
      <c r="Q630" s="146"/>
    </row>
    <row r="631" spans="1:17" x14ac:dyDescent="0.25">
      <c r="A631" s="344" t="s">
        <v>8179</v>
      </c>
      <c r="B631" s="169" t="s">
        <v>8180</v>
      </c>
      <c r="C631" s="170"/>
      <c r="D631" s="170"/>
      <c r="E631" s="171"/>
      <c r="F631" s="171"/>
      <c r="G631" s="171"/>
      <c r="H631" s="172"/>
      <c r="I631" s="173"/>
      <c r="J631" s="174"/>
      <c r="K631" s="175"/>
      <c r="L631" s="173"/>
      <c r="M631" s="174"/>
      <c r="N631" s="175"/>
      <c r="O631" s="173"/>
      <c r="P631" s="174" t="s">
        <v>7083</v>
      </c>
      <c r="Q631" s="175"/>
    </row>
    <row r="632" spans="1:17" x14ac:dyDescent="0.25">
      <c r="A632" s="346" t="s">
        <v>8181</v>
      </c>
      <c r="B632" s="347" t="s">
        <v>8182</v>
      </c>
      <c r="C632" s="348" t="s">
        <v>911</v>
      </c>
      <c r="D632" s="348" t="s">
        <v>1</v>
      </c>
      <c r="E632" s="349" t="s">
        <v>7504</v>
      </c>
      <c r="F632" s="349">
        <v>70</v>
      </c>
      <c r="G632" s="349">
        <v>65</v>
      </c>
      <c r="H632" s="324">
        <v>40</v>
      </c>
      <c r="I632" s="328">
        <v>1</v>
      </c>
      <c r="J632" s="335"/>
      <c r="K632" s="330"/>
      <c r="L632" s="328">
        <v>1</v>
      </c>
      <c r="M632" s="329"/>
      <c r="N632" s="330">
        <f t="shared" ref="N632" si="323">ROUND(L632*M632,2)</f>
        <v>0</v>
      </c>
      <c r="O632" s="331">
        <f>SUM(L632,I632)</f>
        <v>2</v>
      </c>
      <c r="P632" s="329">
        <f>IF(M632&lt;&gt;"",M632,J632)</f>
        <v>0</v>
      </c>
      <c r="Q632" s="332">
        <f>ROUND(O632*P632,2)</f>
        <v>0</v>
      </c>
    </row>
    <row r="633" spans="1:17" x14ac:dyDescent="0.25">
      <c r="A633" s="139" t="s">
        <v>8183</v>
      </c>
      <c r="B633" s="224" t="s">
        <v>8184</v>
      </c>
      <c r="C633" s="140"/>
      <c r="D633" s="140"/>
      <c r="E633" s="141"/>
      <c r="F633" s="142"/>
      <c r="G633" s="142"/>
      <c r="H633" s="143"/>
      <c r="I633" s="225"/>
      <c r="J633" s="226"/>
      <c r="K633" s="146"/>
      <c r="L633" s="225"/>
      <c r="M633" s="226"/>
      <c r="N633" s="146"/>
      <c r="O633" s="225"/>
      <c r="P633" s="226" t="s">
        <v>7083</v>
      </c>
      <c r="Q633" s="146"/>
    </row>
    <row r="634" spans="1:17" x14ac:dyDescent="0.25">
      <c r="A634" s="346" t="s">
        <v>8185</v>
      </c>
      <c r="B634" s="347" t="s">
        <v>8186</v>
      </c>
      <c r="C634" s="348" t="s">
        <v>378</v>
      </c>
      <c r="D634" s="348" t="s">
        <v>1</v>
      </c>
      <c r="E634" s="349" t="s">
        <v>7504</v>
      </c>
      <c r="F634" s="349">
        <v>70</v>
      </c>
      <c r="G634" s="349">
        <v>30</v>
      </c>
      <c r="H634" s="324">
        <v>1</v>
      </c>
      <c r="I634" s="328">
        <v>60</v>
      </c>
      <c r="J634" s="335"/>
      <c r="K634" s="330"/>
      <c r="L634" s="328">
        <v>60</v>
      </c>
      <c r="M634" s="329"/>
      <c r="N634" s="330">
        <f t="shared" ref="N634" si="324">ROUND(L634*M634,2)</f>
        <v>0</v>
      </c>
      <c r="O634" s="331">
        <f>SUM(L634,I634)</f>
        <v>120</v>
      </c>
      <c r="P634" s="329">
        <f>IF(M634&lt;&gt;"",M634,J634)</f>
        <v>0</v>
      </c>
      <c r="Q634" s="332">
        <f>ROUND(O634*P634,2)</f>
        <v>0</v>
      </c>
    </row>
    <row r="635" spans="1:17" x14ac:dyDescent="0.25">
      <c r="A635" s="139" t="s">
        <v>8187</v>
      </c>
      <c r="B635" s="224" t="s">
        <v>7883</v>
      </c>
      <c r="C635" s="140"/>
      <c r="D635" s="140"/>
      <c r="E635" s="141"/>
      <c r="F635" s="142"/>
      <c r="G635" s="142"/>
      <c r="H635" s="143"/>
      <c r="I635" s="225"/>
      <c r="J635" s="226"/>
      <c r="K635" s="146"/>
      <c r="L635" s="225"/>
      <c r="M635" s="226"/>
      <c r="N635" s="146"/>
      <c r="O635" s="225"/>
      <c r="P635" s="226"/>
      <c r="Q635" s="146"/>
    </row>
    <row r="636" spans="1:17" x14ac:dyDescent="0.25">
      <c r="A636" s="344" t="s">
        <v>8188</v>
      </c>
      <c r="B636" s="169" t="s">
        <v>8189</v>
      </c>
      <c r="C636" s="170"/>
      <c r="D636" s="170"/>
      <c r="E636" s="171"/>
      <c r="F636" s="171"/>
      <c r="G636" s="171"/>
      <c r="H636" s="172"/>
      <c r="I636" s="173"/>
      <c r="J636" s="174"/>
      <c r="K636" s="175"/>
      <c r="L636" s="173"/>
      <c r="M636" s="174"/>
      <c r="N636" s="175"/>
      <c r="O636" s="173"/>
      <c r="P636" s="174"/>
      <c r="Q636" s="175"/>
    </row>
    <row r="637" spans="1:17" x14ac:dyDescent="0.25">
      <c r="A637" s="355" t="s">
        <v>8190</v>
      </c>
      <c r="B637" s="320" t="s">
        <v>8191</v>
      </c>
      <c r="C637" s="321" t="s">
        <v>524</v>
      </c>
      <c r="D637" s="362" t="s">
        <v>1</v>
      </c>
      <c r="E637" s="363" t="s">
        <v>7675</v>
      </c>
      <c r="F637" s="363">
        <v>5</v>
      </c>
      <c r="G637" s="363">
        <v>5</v>
      </c>
      <c r="H637" s="324">
        <v>10</v>
      </c>
      <c r="I637" s="325">
        <v>10</v>
      </c>
      <c r="J637" s="335"/>
      <c r="K637" s="330"/>
      <c r="L637" s="328">
        <v>10</v>
      </c>
      <c r="M637" s="329"/>
      <c r="N637" s="330">
        <f t="shared" ref="N637" si="325">ROUND(L637*M637,2)</f>
        <v>0</v>
      </c>
      <c r="O637" s="331">
        <f>SUM(L637,I637)</f>
        <v>20</v>
      </c>
      <c r="P637" s="329">
        <f>IF(M637&lt;&gt;"",M637,J637)</f>
        <v>0</v>
      </c>
      <c r="Q637" s="332">
        <f>ROUND(O637*P637,2)</f>
        <v>0</v>
      </c>
    </row>
    <row r="638" spans="1:17" ht="22.5" x14ac:dyDescent="0.25">
      <c r="A638" s="287"/>
      <c r="B638" s="288" t="s">
        <v>8192</v>
      </c>
      <c r="C638" s="287"/>
      <c r="D638" s="289"/>
      <c r="E638" s="290"/>
      <c r="F638" s="291"/>
      <c r="G638" s="291"/>
      <c r="H638" s="292"/>
      <c r="I638" s="294"/>
      <c r="J638" s="294"/>
      <c r="K638" s="294">
        <f>SUBTOTAL(9,K521:K637)</f>
        <v>0</v>
      </c>
      <c r="L638" s="294"/>
      <c r="M638" s="294"/>
      <c r="N638" s="294">
        <f>SUBTOTAL(9,N521:N637)</f>
        <v>0</v>
      </c>
      <c r="O638" s="294"/>
      <c r="P638" s="294"/>
      <c r="Q638" s="294">
        <f>SUBTOTAL(9,Q521:Q637)</f>
        <v>0</v>
      </c>
    </row>
    <row r="639" spans="1:17" x14ac:dyDescent="0.25">
      <c r="A639" s="165" t="s">
        <v>8193</v>
      </c>
      <c r="B639" s="165" t="s">
        <v>8194</v>
      </c>
      <c r="C639" s="166"/>
      <c r="D639" s="166"/>
      <c r="E639" s="167"/>
      <c r="F639" s="111"/>
      <c r="G639" s="111"/>
      <c r="H639" s="112"/>
      <c r="I639" s="168"/>
      <c r="J639" s="114"/>
      <c r="K639" s="115"/>
      <c r="L639" s="168"/>
      <c r="M639" s="114"/>
      <c r="N639" s="115"/>
      <c r="O639" s="168"/>
      <c r="P639" s="114"/>
      <c r="Q639" s="115"/>
    </row>
    <row r="640" spans="1:17" x14ac:dyDescent="0.25">
      <c r="A640" s="139" t="s">
        <v>8195</v>
      </c>
      <c r="B640" s="139" t="s">
        <v>7903</v>
      </c>
      <c r="C640" s="140"/>
      <c r="D640" s="140"/>
      <c r="E640" s="141"/>
      <c r="F640" s="142"/>
      <c r="G640" s="142"/>
      <c r="H640" s="143"/>
      <c r="I640" s="144"/>
      <c r="J640" s="145"/>
      <c r="K640" s="146"/>
      <c r="L640" s="144"/>
      <c r="M640" s="145"/>
      <c r="N640" s="146"/>
      <c r="O640" s="144"/>
      <c r="P640" s="145" t="s">
        <v>7083</v>
      </c>
      <c r="Q640" s="146"/>
    </row>
    <row r="641" spans="1:17" x14ac:dyDescent="0.25">
      <c r="A641" s="169" t="s">
        <v>8196</v>
      </c>
      <c r="B641" s="169" t="s">
        <v>7524</v>
      </c>
      <c r="C641" s="170"/>
      <c r="D641" s="170"/>
      <c r="E641" s="171"/>
      <c r="F641" s="171"/>
      <c r="G641" s="171"/>
      <c r="H641" s="172"/>
      <c r="I641" s="173"/>
      <c r="J641" s="174"/>
      <c r="K641" s="175"/>
      <c r="L641" s="173"/>
      <c r="M641" s="174"/>
      <c r="N641" s="175"/>
      <c r="O641" s="173"/>
      <c r="P641" s="174" t="s">
        <v>7083</v>
      </c>
      <c r="Q641" s="175"/>
    </row>
    <row r="642" spans="1:17" x14ac:dyDescent="0.25">
      <c r="A642" s="223" t="s">
        <v>8197</v>
      </c>
      <c r="B642" s="223" t="s">
        <v>8198</v>
      </c>
      <c r="C642" s="177"/>
      <c r="D642" s="177"/>
      <c r="E642" s="178"/>
      <c r="F642" s="178"/>
      <c r="G642" s="178"/>
      <c r="H642" s="179"/>
      <c r="I642" s="180"/>
      <c r="J642" s="181"/>
      <c r="K642" s="182"/>
      <c r="L642" s="180"/>
      <c r="M642" s="181"/>
      <c r="N642" s="182"/>
      <c r="O642" s="180"/>
      <c r="P642" s="181" t="s">
        <v>7083</v>
      </c>
      <c r="Q642" s="182"/>
    </row>
    <row r="643" spans="1:17" x14ac:dyDescent="0.25">
      <c r="A643" s="347" t="s">
        <v>8199</v>
      </c>
      <c r="B643" s="347" t="s">
        <v>8200</v>
      </c>
      <c r="C643" s="348" t="s">
        <v>266</v>
      </c>
      <c r="D643" s="348" t="s">
        <v>1</v>
      </c>
      <c r="E643" s="349" t="s">
        <v>7504</v>
      </c>
      <c r="F643" s="349">
        <v>55</v>
      </c>
      <c r="G643" s="349">
        <v>10</v>
      </c>
      <c r="H643" s="324">
        <v>0</v>
      </c>
      <c r="I643" s="328">
        <v>9</v>
      </c>
      <c r="J643" s="335"/>
      <c r="K643" s="330"/>
      <c r="L643" s="328">
        <v>9</v>
      </c>
      <c r="M643" s="329"/>
      <c r="N643" s="330">
        <f t="shared" ref="N643" si="326">ROUND(L643*M643,2)</f>
        <v>0</v>
      </c>
      <c r="O643" s="331">
        <f>SUM(L643,I643)</f>
        <v>18</v>
      </c>
      <c r="P643" s="329">
        <f>IF(M643&lt;&gt;"",M643,J643)</f>
        <v>0</v>
      </c>
      <c r="Q643" s="332">
        <f>ROUND(O643*P643,2)</f>
        <v>0</v>
      </c>
    </row>
    <row r="644" spans="1:17" x14ac:dyDescent="0.25">
      <c r="A644" s="169" t="s">
        <v>8201</v>
      </c>
      <c r="B644" s="169" t="s">
        <v>8005</v>
      </c>
      <c r="C644" s="170"/>
      <c r="D644" s="170"/>
      <c r="E644" s="171"/>
      <c r="F644" s="171"/>
      <c r="G644" s="171"/>
      <c r="H644" s="172"/>
      <c r="I644" s="173"/>
      <c r="J644" s="174"/>
      <c r="K644" s="175"/>
      <c r="L644" s="173"/>
      <c r="M644" s="174"/>
      <c r="N644" s="175"/>
      <c r="O644" s="173"/>
      <c r="P644" s="174" t="s">
        <v>7083</v>
      </c>
      <c r="Q644" s="175"/>
    </row>
    <row r="645" spans="1:17" x14ac:dyDescent="0.25">
      <c r="A645" s="223" t="s">
        <v>8202</v>
      </c>
      <c r="B645" s="223" t="s">
        <v>8203</v>
      </c>
      <c r="C645" s="177"/>
      <c r="D645" s="177"/>
      <c r="E645" s="178"/>
      <c r="F645" s="178"/>
      <c r="G645" s="178"/>
      <c r="H645" s="179"/>
      <c r="I645" s="180"/>
      <c r="J645" s="181"/>
      <c r="K645" s="182"/>
      <c r="L645" s="180"/>
      <c r="M645" s="181"/>
      <c r="N645" s="182"/>
      <c r="O645" s="180"/>
      <c r="P645" s="181" t="s">
        <v>7083</v>
      </c>
      <c r="Q645" s="182"/>
    </row>
    <row r="646" spans="1:17" x14ac:dyDescent="0.25">
      <c r="A646" s="347" t="s">
        <v>8204</v>
      </c>
      <c r="B646" s="347" t="s">
        <v>8010</v>
      </c>
      <c r="C646" s="348" t="s">
        <v>266</v>
      </c>
      <c r="D646" s="348" t="s">
        <v>1</v>
      </c>
      <c r="E646" s="349" t="s">
        <v>7504</v>
      </c>
      <c r="F646" s="349">
        <v>75</v>
      </c>
      <c r="G646" s="349">
        <v>10</v>
      </c>
      <c r="H646" s="324">
        <v>0</v>
      </c>
      <c r="I646" s="328">
        <v>20.8</v>
      </c>
      <c r="J646" s="335"/>
      <c r="K646" s="330"/>
      <c r="L646" s="328">
        <v>20.8</v>
      </c>
      <c r="M646" s="329"/>
      <c r="N646" s="330">
        <f t="shared" ref="N646" si="327">ROUND(L646*M646,2)</f>
        <v>0</v>
      </c>
      <c r="O646" s="331">
        <f>SUM(L646,I646)</f>
        <v>41.6</v>
      </c>
      <c r="P646" s="329">
        <f>IF(M646&lt;&gt;"",M646,J646)</f>
        <v>0</v>
      </c>
      <c r="Q646" s="332">
        <f>ROUND(O646*P646,2)</f>
        <v>0</v>
      </c>
    </row>
    <row r="647" spans="1:17" x14ac:dyDescent="0.25">
      <c r="A647" s="223" t="s">
        <v>8205</v>
      </c>
      <c r="B647" s="223" t="s">
        <v>8016</v>
      </c>
      <c r="C647" s="177"/>
      <c r="D647" s="177"/>
      <c r="E647" s="178"/>
      <c r="F647" s="178"/>
      <c r="G647" s="178"/>
      <c r="H647" s="179"/>
      <c r="I647" s="180"/>
      <c r="J647" s="181"/>
      <c r="K647" s="182"/>
      <c r="L647" s="180"/>
      <c r="M647" s="181"/>
      <c r="N647" s="182"/>
      <c r="O647" s="180"/>
      <c r="P647" s="181" t="s">
        <v>7083</v>
      </c>
      <c r="Q647" s="182"/>
    </row>
    <row r="648" spans="1:17" x14ac:dyDescent="0.25">
      <c r="A648" s="347" t="s">
        <v>8206</v>
      </c>
      <c r="B648" s="347" t="s">
        <v>8018</v>
      </c>
      <c r="C648" s="348" t="s">
        <v>266</v>
      </c>
      <c r="D648" s="348" t="s">
        <v>1</v>
      </c>
      <c r="E648" s="349" t="s">
        <v>7504</v>
      </c>
      <c r="F648" s="349">
        <v>75</v>
      </c>
      <c r="G648" s="349">
        <v>20</v>
      </c>
      <c r="H648" s="324">
        <v>0</v>
      </c>
      <c r="I648" s="328">
        <v>1.5</v>
      </c>
      <c r="J648" s="335"/>
      <c r="K648" s="330"/>
      <c r="L648" s="328">
        <v>1.5</v>
      </c>
      <c r="M648" s="329"/>
      <c r="N648" s="330">
        <f t="shared" ref="N648:N649" si="328">ROUND(L648*M648,2)</f>
        <v>0</v>
      </c>
      <c r="O648" s="331">
        <f t="shared" ref="O648:O649" si="329">SUM(L648,I648)</f>
        <v>3</v>
      </c>
      <c r="P648" s="329">
        <f t="shared" ref="P648:P649" si="330">IF(M648&lt;&gt;"",M648,J648)</f>
        <v>0</v>
      </c>
      <c r="Q648" s="332">
        <f t="shared" ref="Q648:Q649" si="331">ROUND(O648*P648,2)</f>
        <v>0</v>
      </c>
    </row>
    <row r="649" spans="1:17" x14ac:dyDescent="0.25">
      <c r="A649" s="347" t="s">
        <v>8207</v>
      </c>
      <c r="B649" s="347" t="s">
        <v>8208</v>
      </c>
      <c r="C649" s="348" t="s">
        <v>266</v>
      </c>
      <c r="D649" s="348" t="s">
        <v>1</v>
      </c>
      <c r="E649" s="349" t="s">
        <v>7504</v>
      </c>
      <c r="F649" s="349">
        <v>75</v>
      </c>
      <c r="G649" s="349">
        <v>20</v>
      </c>
      <c r="H649" s="324">
        <v>0</v>
      </c>
      <c r="I649" s="328">
        <v>25.2</v>
      </c>
      <c r="J649" s="335"/>
      <c r="K649" s="330"/>
      <c r="L649" s="328">
        <v>25.2</v>
      </c>
      <c r="M649" s="329"/>
      <c r="N649" s="330">
        <f t="shared" si="328"/>
        <v>0</v>
      </c>
      <c r="O649" s="331">
        <f t="shared" si="329"/>
        <v>50.4</v>
      </c>
      <c r="P649" s="329">
        <f t="shared" si="330"/>
        <v>0</v>
      </c>
      <c r="Q649" s="332">
        <f t="shared" si="331"/>
        <v>0</v>
      </c>
    </row>
    <row r="650" spans="1:17" x14ac:dyDescent="0.25">
      <c r="A650" s="223" t="s">
        <v>8209</v>
      </c>
      <c r="B650" s="223" t="s">
        <v>8210</v>
      </c>
      <c r="C650" s="177"/>
      <c r="D650" s="177"/>
      <c r="E650" s="178"/>
      <c r="F650" s="178"/>
      <c r="G650" s="178"/>
      <c r="H650" s="179"/>
      <c r="I650" s="180"/>
      <c r="J650" s="181"/>
      <c r="K650" s="182"/>
      <c r="L650" s="180"/>
      <c r="M650" s="181"/>
      <c r="N650" s="182"/>
      <c r="O650" s="180"/>
      <c r="P650" s="181" t="s">
        <v>7083</v>
      </c>
      <c r="Q650" s="182"/>
    </row>
    <row r="651" spans="1:17" x14ac:dyDescent="0.25">
      <c r="A651" s="347" t="s">
        <v>8211</v>
      </c>
      <c r="B651" s="347" t="s">
        <v>8022</v>
      </c>
      <c r="C651" s="348" t="s">
        <v>266</v>
      </c>
      <c r="D651" s="348" t="s">
        <v>1</v>
      </c>
      <c r="E651" s="349" t="s">
        <v>7504</v>
      </c>
      <c r="F651" s="349">
        <v>75</v>
      </c>
      <c r="G651" s="349">
        <v>30</v>
      </c>
      <c r="H651" s="324">
        <v>0</v>
      </c>
      <c r="I651" s="328">
        <v>3</v>
      </c>
      <c r="J651" s="335"/>
      <c r="K651" s="330"/>
      <c r="L651" s="328">
        <v>3</v>
      </c>
      <c r="M651" s="329"/>
      <c r="N651" s="330">
        <f t="shared" ref="N651" si="332">ROUND(L651*M651,2)</f>
        <v>0</v>
      </c>
      <c r="O651" s="331">
        <f>SUM(L651,I651)</f>
        <v>6</v>
      </c>
      <c r="P651" s="329">
        <f>IF(M651&lt;&gt;"",M651,J651)</f>
        <v>0</v>
      </c>
      <c r="Q651" s="332">
        <f>ROUND(O651*P651,2)</f>
        <v>0</v>
      </c>
    </row>
    <row r="652" spans="1:17" x14ac:dyDescent="0.25">
      <c r="A652" s="287"/>
      <c r="B652" s="288" t="s">
        <v>8212</v>
      </c>
      <c r="C652" s="287"/>
      <c r="D652" s="289"/>
      <c r="E652" s="290"/>
      <c r="F652" s="291"/>
      <c r="G652" s="291"/>
      <c r="H652" s="292"/>
      <c r="I652" s="294"/>
      <c r="J652" s="294"/>
      <c r="K652" s="294">
        <f>SUBTOTAL(9,K639:K651)</f>
        <v>0</v>
      </c>
      <c r="L652" s="294"/>
      <c r="M652" s="294"/>
      <c r="N652" s="294">
        <f>SUBTOTAL(9,N639:N651)</f>
        <v>0</v>
      </c>
      <c r="O652" s="294"/>
      <c r="P652" s="294"/>
      <c r="Q652" s="294">
        <f>SUBTOTAL(9,Q639:Q651)</f>
        <v>0</v>
      </c>
    </row>
    <row r="653" spans="1:17" x14ac:dyDescent="0.25">
      <c r="A653" s="236" t="s">
        <v>8213</v>
      </c>
      <c r="B653" s="237" t="s">
        <v>8214</v>
      </c>
      <c r="C653" s="238"/>
      <c r="D653" s="239"/>
      <c r="E653" s="240"/>
      <c r="F653" s="241"/>
      <c r="G653" s="241"/>
      <c r="H653" s="242"/>
      <c r="I653" s="271"/>
      <c r="J653" s="271"/>
      <c r="K653" s="271"/>
      <c r="L653" s="271"/>
      <c r="M653" s="271"/>
      <c r="N653" s="271"/>
      <c r="O653" s="271"/>
      <c r="P653" s="271"/>
      <c r="Q653" s="271"/>
    </row>
    <row r="654" spans="1:17" x14ac:dyDescent="0.25">
      <c r="A654" s="244" t="s">
        <v>8215</v>
      </c>
      <c r="B654" s="245" t="s">
        <v>8216</v>
      </c>
      <c r="C654" s="246"/>
      <c r="D654" s="247"/>
      <c r="E654" s="248"/>
      <c r="F654" s="249"/>
      <c r="G654" s="249"/>
      <c r="H654" s="250"/>
      <c r="I654" s="276"/>
      <c r="J654" s="276"/>
      <c r="K654" s="276"/>
      <c r="L654" s="276"/>
      <c r="M654" s="276"/>
      <c r="N654" s="276"/>
      <c r="O654" s="276"/>
      <c r="P654" s="276"/>
      <c r="Q654" s="276"/>
    </row>
    <row r="655" spans="1:17" x14ac:dyDescent="0.25">
      <c r="A655" s="260" t="s">
        <v>8217</v>
      </c>
      <c r="B655" s="261" t="s">
        <v>7496</v>
      </c>
      <c r="C655" s="262"/>
      <c r="D655" s="263"/>
      <c r="E655" s="264"/>
      <c r="F655" s="264"/>
      <c r="G655" s="264"/>
      <c r="H655" s="265"/>
      <c r="I655" s="267"/>
      <c r="J655" s="267"/>
      <c r="K655" s="267"/>
      <c r="L655" s="267"/>
      <c r="M655" s="267"/>
      <c r="N655" s="267"/>
      <c r="O655" s="267"/>
      <c r="P655" s="267"/>
      <c r="Q655" s="267"/>
    </row>
    <row r="656" spans="1:17" x14ac:dyDescent="0.25">
      <c r="A656" s="319" t="s">
        <v>8218</v>
      </c>
      <c r="B656" s="320" t="s">
        <v>8219</v>
      </c>
      <c r="C656" s="321" t="s">
        <v>460</v>
      </c>
      <c r="D656" s="322" t="s">
        <v>1</v>
      </c>
      <c r="E656" s="323" t="s">
        <v>7504</v>
      </c>
      <c r="F656" s="323">
        <v>10</v>
      </c>
      <c r="G656" s="323">
        <v>10</v>
      </c>
      <c r="H656" s="324">
        <v>0</v>
      </c>
      <c r="I656" s="325">
        <v>19</v>
      </c>
      <c r="J656" s="335"/>
      <c r="K656" s="330"/>
      <c r="L656" s="328">
        <v>19</v>
      </c>
      <c r="M656" s="329"/>
      <c r="N656" s="330">
        <f t="shared" ref="N656:N657" si="333">ROUND(L656*M656,2)</f>
        <v>0</v>
      </c>
      <c r="O656" s="331">
        <f t="shared" ref="O656:O657" si="334">SUM(L656,I656)</f>
        <v>38</v>
      </c>
      <c r="P656" s="329">
        <f t="shared" ref="P656:P657" si="335">IF(M656&lt;&gt;"",M656,J656)</f>
        <v>0</v>
      </c>
      <c r="Q656" s="332">
        <f t="shared" ref="Q656:Q657" si="336">ROUND(O656*P656,2)</f>
        <v>0</v>
      </c>
    </row>
    <row r="657" spans="1:17" x14ac:dyDescent="0.25">
      <c r="A657" s="319" t="s">
        <v>8220</v>
      </c>
      <c r="B657" s="320" t="s">
        <v>8221</v>
      </c>
      <c r="C657" s="321" t="s">
        <v>911</v>
      </c>
      <c r="D657" s="322" t="s">
        <v>1</v>
      </c>
      <c r="E657" s="323" t="s">
        <v>7504</v>
      </c>
      <c r="F657" s="323">
        <v>10</v>
      </c>
      <c r="G657" s="323">
        <v>10</v>
      </c>
      <c r="H657" s="324">
        <v>0</v>
      </c>
      <c r="I657" s="325">
        <v>6</v>
      </c>
      <c r="J657" s="335"/>
      <c r="K657" s="330"/>
      <c r="L657" s="328">
        <v>6</v>
      </c>
      <c r="M657" s="329"/>
      <c r="N657" s="330">
        <f t="shared" si="333"/>
        <v>0</v>
      </c>
      <c r="O657" s="331">
        <f t="shared" si="334"/>
        <v>12</v>
      </c>
      <c r="P657" s="329">
        <f t="shared" si="335"/>
        <v>0</v>
      </c>
      <c r="Q657" s="332">
        <f t="shared" si="336"/>
        <v>0</v>
      </c>
    </row>
    <row r="658" spans="1:17" x14ac:dyDescent="0.25">
      <c r="A658" s="260" t="s">
        <v>8222</v>
      </c>
      <c r="B658" s="261" t="s">
        <v>8223</v>
      </c>
      <c r="C658" s="262"/>
      <c r="D658" s="263"/>
      <c r="E658" s="264"/>
      <c r="F658" s="264"/>
      <c r="G658" s="264"/>
      <c r="H658" s="265"/>
      <c r="I658" s="267"/>
      <c r="J658" s="267"/>
      <c r="K658" s="267"/>
      <c r="L658" s="267"/>
      <c r="M658" s="267"/>
      <c r="N658" s="267"/>
      <c r="O658" s="267"/>
      <c r="P658" s="267"/>
      <c r="Q658" s="267"/>
    </row>
    <row r="659" spans="1:17" ht="22.5" x14ac:dyDescent="0.25">
      <c r="A659" s="319" t="s">
        <v>8224</v>
      </c>
      <c r="B659" s="320" t="s">
        <v>8225</v>
      </c>
      <c r="C659" s="321" t="s">
        <v>266</v>
      </c>
      <c r="D659" s="322" t="s">
        <v>1</v>
      </c>
      <c r="E659" s="323" t="s">
        <v>7193</v>
      </c>
      <c r="F659" s="323">
        <v>75</v>
      </c>
      <c r="G659" s="323">
        <v>10</v>
      </c>
      <c r="H659" s="324">
        <v>0</v>
      </c>
      <c r="I659" s="325">
        <v>3</v>
      </c>
      <c r="J659" s="335"/>
      <c r="K659" s="330"/>
      <c r="L659" s="364">
        <v>3</v>
      </c>
      <c r="M659" s="329"/>
      <c r="N659" s="330">
        <f t="shared" ref="N659" si="337">ROUND(L659*M659,2)</f>
        <v>0</v>
      </c>
      <c r="O659" s="331">
        <f>SUM(L659,I659)</f>
        <v>6</v>
      </c>
      <c r="P659" s="329">
        <f>IF(M659&lt;&gt;"",M659,J659)</f>
        <v>0</v>
      </c>
      <c r="Q659" s="332">
        <f>ROUND(O659*P659,2)</f>
        <v>0</v>
      </c>
    </row>
    <row r="660" spans="1:17" x14ac:dyDescent="0.25">
      <c r="A660" s="260" t="s">
        <v>8226</v>
      </c>
      <c r="B660" s="261" t="s">
        <v>7604</v>
      </c>
      <c r="C660" s="262"/>
      <c r="D660" s="263"/>
      <c r="E660" s="264"/>
      <c r="F660" s="264"/>
      <c r="G660" s="264"/>
      <c r="H660" s="265"/>
      <c r="I660" s="267"/>
      <c r="J660" s="267"/>
      <c r="K660" s="267"/>
      <c r="L660" s="267"/>
      <c r="M660" s="267"/>
      <c r="N660" s="267"/>
      <c r="O660" s="267"/>
      <c r="P660" s="267"/>
      <c r="Q660" s="267"/>
    </row>
    <row r="661" spans="1:17" ht="22.5" x14ac:dyDescent="0.25">
      <c r="A661" s="319" t="s">
        <v>8227</v>
      </c>
      <c r="B661" s="320" t="s">
        <v>8228</v>
      </c>
      <c r="C661" s="321" t="s">
        <v>266</v>
      </c>
      <c r="D661" s="322" t="s">
        <v>1</v>
      </c>
      <c r="E661" s="323" t="s">
        <v>7607</v>
      </c>
      <c r="F661" s="323">
        <v>50</v>
      </c>
      <c r="G661" s="365">
        <v>0</v>
      </c>
      <c r="H661" s="324">
        <v>0</v>
      </c>
      <c r="I661" s="334">
        <v>8</v>
      </c>
      <c r="J661" s="335"/>
      <c r="K661" s="330"/>
      <c r="L661" s="366">
        <v>8</v>
      </c>
      <c r="M661" s="329"/>
      <c r="N661" s="330">
        <f t="shared" ref="N661" si="338">ROUND(L661*M661,2)</f>
        <v>0</v>
      </c>
      <c r="O661" s="331">
        <f>SUM(L661,I661)</f>
        <v>16</v>
      </c>
      <c r="P661" s="329">
        <f>IF(M661&lt;&gt;"",M661,J661)</f>
        <v>0</v>
      </c>
      <c r="Q661" s="332">
        <f>ROUND(O661*P661,2)</f>
        <v>0</v>
      </c>
    </row>
    <row r="662" spans="1:17" x14ac:dyDescent="0.25">
      <c r="A662" s="260" t="s">
        <v>8229</v>
      </c>
      <c r="B662" s="261" t="s">
        <v>8230</v>
      </c>
      <c r="C662" s="262"/>
      <c r="D662" s="263"/>
      <c r="E662" s="264"/>
      <c r="F662" s="264"/>
      <c r="G662" s="264"/>
      <c r="H662" s="265"/>
      <c r="I662" s="267"/>
      <c r="J662" s="267"/>
      <c r="K662" s="267"/>
      <c r="L662" s="267"/>
      <c r="M662" s="267"/>
      <c r="N662" s="267"/>
      <c r="O662" s="267"/>
      <c r="P662" s="267"/>
      <c r="Q662" s="267"/>
    </row>
    <row r="663" spans="1:17" x14ac:dyDescent="0.25">
      <c r="A663" s="319" t="s">
        <v>8231</v>
      </c>
      <c r="B663" s="320" t="s">
        <v>8232</v>
      </c>
      <c r="C663" s="321" t="s">
        <v>460</v>
      </c>
      <c r="D663" s="348" t="s">
        <v>1</v>
      </c>
      <c r="E663" s="349" t="s">
        <v>7607</v>
      </c>
      <c r="F663" s="349">
        <v>10</v>
      </c>
      <c r="G663" s="349">
        <v>20</v>
      </c>
      <c r="H663" s="324">
        <v>0</v>
      </c>
      <c r="I663" s="325">
        <v>19</v>
      </c>
      <c r="J663" s="335"/>
      <c r="K663" s="330"/>
      <c r="L663" s="364">
        <v>19</v>
      </c>
      <c r="M663" s="329"/>
      <c r="N663" s="330">
        <f t="shared" ref="N663:N664" si="339">ROUND(L663*M663,2)</f>
        <v>0</v>
      </c>
      <c r="O663" s="331">
        <f t="shared" ref="O663:O664" si="340">SUM(L663,I663)</f>
        <v>38</v>
      </c>
      <c r="P663" s="329">
        <f t="shared" ref="P663:P664" si="341">IF(M663&lt;&gt;"",M663,J663)</f>
        <v>0</v>
      </c>
      <c r="Q663" s="332">
        <f t="shared" ref="Q663:Q664" si="342">ROUND(O663*P663,2)</f>
        <v>0</v>
      </c>
    </row>
    <row r="664" spans="1:17" x14ac:dyDescent="0.25">
      <c r="A664" s="319" t="s">
        <v>8233</v>
      </c>
      <c r="B664" s="320" t="s">
        <v>8234</v>
      </c>
      <c r="C664" s="321" t="s">
        <v>911</v>
      </c>
      <c r="D664" s="348" t="s">
        <v>1</v>
      </c>
      <c r="E664" s="349" t="s">
        <v>7607</v>
      </c>
      <c r="F664" s="349">
        <v>10</v>
      </c>
      <c r="G664" s="349">
        <v>20</v>
      </c>
      <c r="H664" s="324">
        <v>0</v>
      </c>
      <c r="I664" s="325">
        <v>6</v>
      </c>
      <c r="J664" s="335"/>
      <c r="K664" s="330"/>
      <c r="L664" s="364">
        <v>6</v>
      </c>
      <c r="M664" s="329"/>
      <c r="N664" s="330">
        <f t="shared" si="339"/>
        <v>0</v>
      </c>
      <c r="O664" s="331">
        <f t="shared" si="340"/>
        <v>12</v>
      </c>
      <c r="P664" s="329">
        <f t="shared" si="341"/>
        <v>0</v>
      </c>
      <c r="Q664" s="332">
        <f t="shared" si="342"/>
        <v>0</v>
      </c>
    </row>
    <row r="665" spans="1:17" x14ac:dyDescent="0.25">
      <c r="A665" s="244" t="s">
        <v>8235</v>
      </c>
      <c r="B665" s="245" t="s">
        <v>8236</v>
      </c>
      <c r="C665" s="246"/>
      <c r="D665" s="247"/>
      <c r="E665" s="248"/>
      <c r="F665" s="249"/>
      <c r="G665" s="249"/>
      <c r="H665" s="250"/>
      <c r="I665" s="276"/>
      <c r="J665" s="276"/>
      <c r="K665" s="276"/>
      <c r="L665" s="276"/>
      <c r="M665" s="276"/>
      <c r="N665" s="276"/>
      <c r="O665" s="276"/>
      <c r="P665" s="276"/>
      <c r="Q665" s="276"/>
    </row>
    <row r="666" spans="1:17" x14ac:dyDescent="0.25">
      <c r="A666" s="260" t="s">
        <v>8237</v>
      </c>
      <c r="B666" s="261" t="s">
        <v>8238</v>
      </c>
      <c r="C666" s="262"/>
      <c r="D666" s="263"/>
      <c r="E666" s="264"/>
      <c r="F666" s="264"/>
      <c r="G666" s="264"/>
      <c r="H666" s="265"/>
      <c r="I666" s="267"/>
      <c r="J666" s="267"/>
      <c r="K666" s="267"/>
      <c r="L666" s="267"/>
      <c r="M666" s="267"/>
      <c r="N666" s="267"/>
      <c r="O666" s="267"/>
      <c r="P666" s="267"/>
      <c r="Q666" s="267"/>
    </row>
    <row r="667" spans="1:17" x14ac:dyDescent="0.25">
      <c r="A667" s="312" t="s">
        <v>8239</v>
      </c>
      <c r="B667" s="313" t="s">
        <v>8240</v>
      </c>
      <c r="C667" s="314"/>
      <c r="D667" s="315"/>
      <c r="E667" s="316"/>
      <c r="F667" s="316"/>
      <c r="G667" s="316"/>
      <c r="H667" s="317"/>
      <c r="I667" s="267"/>
      <c r="J667" s="267"/>
      <c r="K667" s="267"/>
      <c r="L667" s="267"/>
      <c r="M667" s="267"/>
      <c r="N667" s="267"/>
      <c r="O667" s="267"/>
      <c r="P667" s="267"/>
      <c r="Q667" s="267"/>
    </row>
    <row r="668" spans="1:17" ht="33.75" x14ac:dyDescent="0.25">
      <c r="A668" s="319" t="s">
        <v>8241</v>
      </c>
      <c r="B668" s="320" t="s">
        <v>8242</v>
      </c>
      <c r="C668" s="321" t="s">
        <v>378</v>
      </c>
      <c r="D668" s="322" t="s">
        <v>1</v>
      </c>
      <c r="E668" s="323" t="s">
        <v>7504</v>
      </c>
      <c r="F668" s="323">
        <v>60</v>
      </c>
      <c r="G668" s="323">
        <v>10</v>
      </c>
      <c r="H668" s="324">
        <v>0</v>
      </c>
      <c r="I668" s="334">
        <v>10</v>
      </c>
      <c r="J668" s="335"/>
      <c r="K668" s="330"/>
      <c r="L668" s="366">
        <v>10</v>
      </c>
      <c r="M668" s="329"/>
      <c r="N668" s="330">
        <f t="shared" ref="N668:N671" si="343">ROUND(L668*M668,2)</f>
        <v>0</v>
      </c>
      <c r="O668" s="331">
        <f t="shared" ref="O668:O671" si="344">SUM(L668,I668)</f>
        <v>20</v>
      </c>
      <c r="P668" s="329">
        <f t="shared" ref="P668:P671" si="345">IF(M668&lt;&gt;"",M668,J668)</f>
        <v>0</v>
      </c>
      <c r="Q668" s="332">
        <f t="shared" ref="Q668:Q671" si="346">ROUND(O668*P668,2)</f>
        <v>0</v>
      </c>
    </row>
    <row r="669" spans="1:17" ht="33.75" x14ac:dyDescent="0.25">
      <c r="A669" s="319" t="s">
        <v>8243</v>
      </c>
      <c r="B669" s="320" t="s">
        <v>8244</v>
      </c>
      <c r="C669" s="321" t="s">
        <v>378</v>
      </c>
      <c r="D669" s="322" t="s">
        <v>1</v>
      </c>
      <c r="E669" s="323" t="s">
        <v>7504</v>
      </c>
      <c r="F669" s="323">
        <v>60</v>
      </c>
      <c r="G669" s="323">
        <v>10</v>
      </c>
      <c r="H669" s="324">
        <v>0</v>
      </c>
      <c r="I669" s="334">
        <v>50</v>
      </c>
      <c r="J669" s="335"/>
      <c r="K669" s="330"/>
      <c r="L669" s="366">
        <v>50</v>
      </c>
      <c r="M669" s="329"/>
      <c r="N669" s="330">
        <f t="shared" si="343"/>
        <v>0</v>
      </c>
      <c r="O669" s="331">
        <f t="shared" si="344"/>
        <v>100</v>
      </c>
      <c r="P669" s="329">
        <f t="shared" si="345"/>
        <v>0</v>
      </c>
      <c r="Q669" s="332">
        <f t="shared" si="346"/>
        <v>0</v>
      </c>
    </row>
    <row r="670" spans="1:17" ht="33.75" x14ac:dyDescent="0.25">
      <c r="A670" s="319" t="s">
        <v>8245</v>
      </c>
      <c r="B670" s="320" t="s">
        <v>8246</v>
      </c>
      <c r="C670" s="321" t="s">
        <v>378</v>
      </c>
      <c r="D670" s="322" t="s">
        <v>1</v>
      </c>
      <c r="E670" s="323" t="s">
        <v>7504</v>
      </c>
      <c r="F670" s="323">
        <v>60</v>
      </c>
      <c r="G670" s="323">
        <v>10</v>
      </c>
      <c r="H670" s="324">
        <v>0</v>
      </c>
      <c r="I670" s="334">
        <v>10</v>
      </c>
      <c r="J670" s="335"/>
      <c r="K670" s="330"/>
      <c r="L670" s="366">
        <v>10</v>
      </c>
      <c r="M670" s="329"/>
      <c r="N670" s="330">
        <f t="shared" si="343"/>
        <v>0</v>
      </c>
      <c r="O670" s="331">
        <f t="shared" si="344"/>
        <v>20</v>
      </c>
      <c r="P670" s="329">
        <f t="shared" si="345"/>
        <v>0</v>
      </c>
      <c r="Q670" s="332">
        <f t="shared" si="346"/>
        <v>0</v>
      </c>
    </row>
    <row r="671" spans="1:17" ht="33.75" x14ac:dyDescent="0.25">
      <c r="A671" s="319" t="s">
        <v>8247</v>
      </c>
      <c r="B671" s="320" t="s">
        <v>8248</v>
      </c>
      <c r="C671" s="321" t="s">
        <v>378</v>
      </c>
      <c r="D671" s="322" t="s">
        <v>1</v>
      </c>
      <c r="E671" s="323" t="s">
        <v>7504</v>
      </c>
      <c r="F671" s="323">
        <v>60</v>
      </c>
      <c r="G671" s="323">
        <v>10</v>
      </c>
      <c r="H671" s="324">
        <v>0</v>
      </c>
      <c r="I671" s="334">
        <v>10</v>
      </c>
      <c r="J671" s="335"/>
      <c r="K671" s="330"/>
      <c r="L671" s="366">
        <v>10</v>
      </c>
      <c r="M671" s="329"/>
      <c r="N671" s="330">
        <f t="shared" si="343"/>
        <v>0</v>
      </c>
      <c r="O671" s="331">
        <f t="shared" si="344"/>
        <v>20</v>
      </c>
      <c r="P671" s="329">
        <f t="shared" si="345"/>
        <v>0</v>
      </c>
      <c r="Q671" s="332">
        <f t="shared" si="346"/>
        <v>0</v>
      </c>
    </row>
    <row r="672" spans="1:17" x14ac:dyDescent="0.25">
      <c r="A672" s="244" t="s">
        <v>8249</v>
      </c>
      <c r="B672" s="245" t="s">
        <v>8250</v>
      </c>
      <c r="C672" s="246"/>
      <c r="D672" s="247"/>
      <c r="E672" s="248"/>
      <c r="F672" s="249"/>
      <c r="G672" s="249"/>
      <c r="H672" s="250"/>
      <c r="I672" s="276"/>
      <c r="J672" s="276"/>
      <c r="K672" s="276"/>
      <c r="L672" s="276"/>
      <c r="M672" s="276"/>
      <c r="N672" s="276"/>
      <c r="O672" s="276"/>
      <c r="P672" s="276"/>
      <c r="Q672" s="276"/>
    </row>
    <row r="673" spans="1:17" x14ac:dyDescent="0.25">
      <c r="A673" s="319" t="s">
        <v>8251</v>
      </c>
      <c r="B673" s="319" t="s">
        <v>7889</v>
      </c>
      <c r="C673" s="321" t="s">
        <v>524</v>
      </c>
      <c r="D673" s="367" t="s">
        <v>1</v>
      </c>
      <c r="E673" s="368" t="s">
        <v>7670</v>
      </c>
      <c r="F673" s="368">
        <v>50</v>
      </c>
      <c r="G673" s="368">
        <v>50</v>
      </c>
      <c r="H673" s="324">
        <v>0</v>
      </c>
      <c r="I673" s="334">
        <v>100</v>
      </c>
      <c r="J673" s="335"/>
      <c r="K673" s="330"/>
      <c r="L673" s="366">
        <v>100</v>
      </c>
      <c r="M673" s="329"/>
      <c r="N673" s="330">
        <f t="shared" ref="N673:N674" si="347">ROUND(L673*M673,2)</f>
        <v>0</v>
      </c>
      <c r="O673" s="331">
        <f t="shared" ref="O673:O674" si="348">SUM(L673,I673)</f>
        <v>200</v>
      </c>
      <c r="P673" s="329">
        <f t="shared" ref="P673:P674" si="349">IF(M673&lt;&gt;"",M673,J673)</f>
        <v>0</v>
      </c>
      <c r="Q673" s="332">
        <f t="shared" ref="Q673:Q674" si="350">ROUND(O673*P673,2)</f>
        <v>0</v>
      </c>
    </row>
    <row r="674" spans="1:17" x14ac:dyDescent="0.25">
      <c r="A674" s="319" t="s">
        <v>8252</v>
      </c>
      <c r="B674" s="319" t="s">
        <v>7891</v>
      </c>
      <c r="C674" s="321" t="s">
        <v>524</v>
      </c>
      <c r="D674" s="367" t="s">
        <v>1</v>
      </c>
      <c r="E674" s="368" t="s">
        <v>7670</v>
      </c>
      <c r="F674" s="368">
        <v>50</v>
      </c>
      <c r="G674" s="368">
        <v>50</v>
      </c>
      <c r="H674" s="324">
        <v>0</v>
      </c>
      <c r="I674" s="334">
        <v>100</v>
      </c>
      <c r="J674" s="335"/>
      <c r="K674" s="330"/>
      <c r="L674" s="366">
        <v>100</v>
      </c>
      <c r="M674" s="329"/>
      <c r="N674" s="330">
        <f t="shared" si="347"/>
        <v>0</v>
      </c>
      <c r="O674" s="331">
        <f t="shared" si="348"/>
        <v>200</v>
      </c>
      <c r="P674" s="329">
        <f t="shared" si="349"/>
        <v>0</v>
      </c>
      <c r="Q674" s="332">
        <f t="shared" si="350"/>
        <v>0</v>
      </c>
    </row>
    <row r="675" spans="1:17" x14ac:dyDescent="0.25">
      <c r="A675" s="287"/>
      <c r="B675" s="288" t="s">
        <v>8253</v>
      </c>
      <c r="C675" s="287"/>
      <c r="D675" s="289"/>
      <c r="E675" s="290"/>
      <c r="F675" s="291"/>
      <c r="G675" s="291"/>
      <c r="H675" s="292"/>
      <c r="I675" s="294"/>
      <c r="J675" s="294"/>
      <c r="K675" s="294">
        <f>SUBTOTAL(9,K653:K674)</f>
        <v>0</v>
      </c>
      <c r="L675" s="294"/>
      <c r="M675" s="294"/>
      <c r="N675" s="294">
        <f>SUBTOTAL(9,N653:N674)</f>
        <v>0</v>
      </c>
      <c r="O675" s="294"/>
      <c r="P675" s="294"/>
      <c r="Q675" s="294">
        <f>SUBTOTAL(9,Q653:Q674)</f>
        <v>0</v>
      </c>
    </row>
    <row r="676" spans="1:17" x14ac:dyDescent="0.25">
      <c r="A676" s="236" t="s">
        <v>8254</v>
      </c>
      <c r="B676" s="237" t="s">
        <v>8255</v>
      </c>
      <c r="C676" s="238"/>
      <c r="D676" s="239"/>
      <c r="E676" s="240"/>
      <c r="F676" s="241"/>
      <c r="G676" s="241"/>
      <c r="H676" s="242"/>
      <c r="I676" s="271"/>
      <c r="J676" s="271"/>
      <c r="K676" s="271"/>
      <c r="L676" s="271"/>
      <c r="M676" s="271"/>
      <c r="N676" s="271"/>
      <c r="O676" s="271"/>
      <c r="P676" s="271"/>
      <c r="Q676" s="271"/>
    </row>
    <row r="677" spans="1:17" x14ac:dyDescent="0.25">
      <c r="A677" s="244" t="s">
        <v>8256</v>
      </c>
      <c r="B677" s="245" t="s">
        <v>8257</v>
      </c>
      <c r="C677" s="246"/>
      <c r="D677" s="247"/>
      <c r="E677" s="248"/>
      <c r="F677" s="249"/>
      <c r="G677" s="249"/>
      <c r="H677" s="250"/>
      <c r="I677" s="276"/>
      <c r="J677" s="276"/>
      <c r="K677" s="276"/>
      <c r="L677" s="276"/>
      <c r="M677" s="276"/>
      <c r="N677" s="276"/>
      <c r="O677" s="276"/>
      <c r="P677" s="276"/>
      <c r="Q677" s="276"/>
    </row>
    <row r="678" spans="1:17" x14ac:dyDescent="0.25">
      <c r="A678" s="260" t="s">
        <v>8258</v>
      </c>
      <c r="B678" s="261" t="s">
        <v>8259</v>
      </c>
      <c r="C678" s="262"/>
      <c r="D678" s="263"/>
      <c r="E678" s="264"/>
      <c r="F678" s="264"/>
      <c r="G678" s="264"/>
      <c r="H678" s="265"/>
      <c r="I678" s="274"/>
      <c r="J678" s="274"/>
      <c r="K678" s="274"/>
      <c r="L678" s="274"/>
      <c r="M678" s="274"/>
      <c r="N678" s="274"/>
      <c r="O678" s="274"/>
      <c r="P678" s="274"/>
      <c r="Q678" s="274"/>
    </row>
    <row r="679" spans="1:17" x14ac:dyDescent="0.25">
      <c r="A679" s="369" t="s">
        <v>8260</v>
      </c>
      <c r="B679" s="337" t="s">
        <v>8223</v>
      </c>
      <c r="C679" s="338"/>
      <c r="D679" s="339"/>
      <c r="E679" s="340"/>
      <c r="F679" s="341"/>
      <c r="G679" s="341"/>
      <c r="H679" s="342"/>
      <c r="I679" s="267"/>
      <c r="J679" s="267"/>
      <c r="K679" s="267"/>
      <c r="L679" s="267"/>
      <c r="M679" s="267"/>
      <c r="N679" s="267"/>
      <c r="O679" s="267"/>
      <c r="P679" s="267"/>
      <c r="Q679" s="267"/>
    </row>
    <row r="680" spans="1:17" ht="22.5" x14ac:dyDescent="0.25">
      <c r="A680" s="319" t="s">
        <v>8261</v>
      </c>
      <c r="B680" s="320" t="s">
        <v>8225</v>
      </c>
      <c r="C680" s="321" t="s">
        <v>266</v>
      </c>
      <c r="D680" s="322" t="s">
        <v>1</v>
      </c>
      <c r="E680" s="323" t="s">
        <v>7193</v>
      </c>
      <c r="F680" s="323">
        <v>75</v>
      </c>
      <c r="G680" s="323">
        <v>10</v>
      </c>
      <c r="H680" s="324">
        <v>0</v>
      </c>
      <c r="I680" s="325">
        <v>31</v>
      </c>
      <c r="J680" s="335"/>
      <c r="K680" s="330"/>
      <c r="L680" s="364">
        <v>31</v>
      </c>
      <c r="M680" s="329"/>
      <c r="N680" s="330">
        <f t="shared" ref="N680" si="351">ROUND(L680*M680,2)</f>
        <v>0</v>
      </c>
      <c r="O680" s="331">
        <f>SUM(L680,I680)</f>
        <v>62</v>
      </c>
      <c r="P680" s="329">
        <f>IF(M680&lt;&gt;"",M680,J680)</f>
        <v>0</v>
      </c>
      <c r="Q680" s="332">
        <f>ROUND(O680*P680,2)</f>
        <v>0</v>
      </c>
    </row>
    <row r="681" spans="1:17" x14ac:dyDescent="0.25">
      <c r="A681" s="369" t="s">
        <v>8262</v>
      </c>
      <c r="B681" s="337" t="s">
        <v>8263</v>
      </c>
      <c r="C681" s="338"/>
      <c r="D681" s="339"/>
      <c r="E681" s="340"/>
      <c r="F681" s="341"/>
      <c r="G681" s="341"/>
      <c r="H681" s="342"/>
      <c r="I681" s="267"/>
      <c r="J681" s="267"/>
      <c r="K681" s="267"/>
      <c r="L681" s="267"/>
      <c r="M681" s="267"/>
      <c r="N681" s="267"/>
      <c r="O681" s="267"/>
      <c r="P681" s="267"/>
      <c r="Q681" s="267"/>
    </row>
    <row r="682" spans="1:17" x14ac:dyDescent="0.25">
      <c r="A682" s="319" t="s">
        <v>8264</v>
      </c>
      <c r="B682" s="320" t="s">
        <v>8265</v>
      </c>
      <c r="C682" s="321" t="s">
        <v>8266</v>
      </c>
      <c r="D682" s="322" t="s">
        <v>1</v>
      </c>
      <c r="E682" s="323" t="s">
        <v>7193</v>
      </c>
      <c r="F682" s="323">
        <v>10</v>
      </c>
      <c r="G682" s="323">
        <v>10</v>
      </c>
      <c r="H682" s="324">
        <v>0</v>
      </c>
      <c r="I682" s="325">
        <v>2.8</v>
      </c>
      <c r="J682" s="335"/>
      <c r="K682" s="330"/>
      <c r="L682" s="364">
        <v>2.8</v>
      </c>
      <c r="M682" s="329"/>
      <c r="N682" s="330">
        <f t="shared" ref="N682" si="352">ROUND(L682*M682,2)</f>
        <v>0</v>
      </c>
      <c r="O682" s="331">
        <f>SUM(L682,I682)</f>
        <v>5.6</v>
      </c>
      <c r="P682" s="329">
        <f>IF(M682&lt;&gt;"",M682,J682)</f>
        <v>0</v>
      </c>
      <c r="Q682" s="332">
        <f>ROUND(O682*P682,2)</f>
        <v>0</v>
      </c>
    </row>
    <row r="683" spans="1:17" x14ac:dyDescent="0.25">
      <c r="A683" s="369" t="s">
        <v>8267</v>
      </c>
      <c r="B683" s="337" t="s">
        <v>8268</v>
      </c>
      <c r="C683" s="338"/>
      <c r="D683" s="339"/>
      <c r="E683" s="340"/>
      <c r="F683" s="341"/>
      <c r="G683" s="341"/>
      <c r="H683" s="342"/>
      <c r="I683" s="267"/>
      <c r="J683" s="267"/>
      <c r="K683" s="267"/>
      <c r="L683" s="267"/>
      <c r="M683" s="267"/>
      <c r="N683" s="267"/>
      <c r="O683" s="267"/>
      <c r="P683" s="267"/>
      <c r="Q683" s="267"/>
    </row>
    <row r="684" spans="1:17" x14ac:dyDescent="0.25">
      <c r="A684" s="319" t="s">
        <v>8269</v>
      </c>
      <c r="B684" s="320" t="s">
        <v>8270</v>
      </c>
      <c r="C684" s="321" t="s">
        <v>266</v>
      </c>
      <c r="D684" s="322" t="s">
        <v>1</v>
      </c>
      <c r="E684" s="323" t="s">
        <v>7193</v>
      </c>
      <c r="F684" s="323">
        <v>75</v>
      </c>
      <c r="G684" s="323">
        <v>10</v>
      </c>
      <c r="H684" s="324">
        <v>0</v>
      </c>
      <c r="I684" s="325">
        <v>1</v>
      </c>
      <c r="J684" s="335"/>
      <c r="K684" s="330"/>
      <c r="L684" s="364">
        <v>1</v>
      </c>
      <c r="M684" s="329"/>
      <c r="N684" s="330">
        <f t="shared" ref="N684" si="353">ROUND(L684*M684,2)</f>
        <v>0</v>
      </c>
      <c r="O684" s="331">
        <f>SUM(L684,I684)</f>
        <v>2</v>
      </c>
      <c r="P684" s="329">
        <f>IF(M684&lt;&gt;"",M684,J684)</f>
        <v>0</v>
      </c>
      <c r="Q684" s="332">
        <f>ROUND(O684*P684,2)</f>
        <v>0</v>
      </c>
    </row>
    <row r="685" spans="1:17" x14ac:dyDescent="0.25">
      <c r="A685" s="369" t="s">
        <v>8271</v>
      </c>
      <c r="B685" s="337" t="s">
        <v>8272</v>
      </c>
      <c r="C685" s="338"/>
      <c r="D685" s="339"/>
      <c r="E685" s="340"/>
      <c r="F685" s="341"/>
      <c r="G685" s="341"/>
      <c r="H685" s="342"/>
      <c r="I685" s="267"/>
      <c r="J685" s="267"/>
      <c r="K685" s="267"/>
      <c r="L685" s="267"/>
      <c r="M685" s="267"/>
      <c r="N685" s="267"/>
      <c r="O685" s="267"/>
      <c r="P685" s="267"/>
      <c r="Q685" s="267"/>
    </row>
    <row r="686" spans="1:17" ht="22.5" x14ac:dyDescent="0.25">
      <c r="A686" s="319" t="s">
        <v>8273</v>
      </c>
      <c r="B686" s="320" t="s">
        <v>8274</v>
      </c>
      <c r="C686" s="321" t="s">
        <v>266</v>
      </c>
      <c r="D686" s="322" t="s">
        <v>1</v>
      </c>
      <c r="E686" s="323" t="s">
        <v>7193</v>
      </c>
      <c r="F686" s="323">
        <v>55</v>
      </c>
      <c r="G686" s="323">
        <v>10</v>
      </c>
      <c r="H686" s="370">
        <v>900</v>
      </c>
      <c r="I686" s="325">
        <v>2</v>
      </c>
      <c r="J686" s="335"/>
      <c r="K686" s="330"/>
      <c r="L686" s="364">
        <v>2</v>
      </c>
      <c r="M686" s="329"/>
      <c r="N686" s="330">
        <f t="shared" ref="N686" si="354">ROUND(L686*M686,2)</f>
        <v>0</v>
      </c>
      <c r="O686" s="331">
        <f>SUM(L686,I686)</f>
        <v>4</v>
      </c>
      <c r="P686" s="329">
        <f>IF(M686&lt;&gt;"",M686,J686)</f>
        <v>0</v>
      </c>
      <c r="Q686" s="332">
        <f>ROUND(O686*P686,2)</f>
        <v>0</v>
      </c>
    </row>
    <row r="687" spans="1:17" ht="22.5" x14ac:dyDescent="0.25">
      <c r="A687" s="369" t="s">
        <v>8275</v>
      </c>
      <c r="B687" s="337" t="s">
        <v>7629</v>
      </c>
      <c r="C687" s="338"/>
      <c r="D687" s="339"/>
      <c r="E687" s="340"/>
      <c r="F687" s="341"/>
      <c r="G687" s="341"/>
      <c r="H687" s="342"/>
      <c r="I687" s="267"/>
      <c r="J687" s="267"/>
      <c r="K687" s="267"/>
      <c r="L687" s="267"/>
      <c r="M687" s="267"/>
      <c r="N687" s="267"/>
      <c r="O687" s="267"/>
      <c r="P687" s="267"/>
      <c r="Q687" s="267"/>
    </row>
    <row r="688" spans="1:17" ht="22.5" x14ac:dyDescent="0.25">
      <c r="A688" s="319" t="s">
        <v>8276</v>
      </c>
      <c r="B688" s="320" t="s">
        <v>8277</v>
      </c>
      <c r="C688" s="321" t="s">
        <v>266</v>
      </c>
      <c r="D688" s="322" t="s">
        <v>1</v>
      </c>
      <c r="E688" s="323" t="s">
        <v>7193</v>
      </c>
      <c r="F688" s="323">
        <v>75</v>
      </c>
      <c r="G688" s="323">
        <v>30</v>
      </c>
      <c r="H688" s="324">
        <v>0</v>
      </c>
      <c r="I688" s="325">
        <v>3</v>
      </c>
      <c r="J688" s="335"/>
      <c r="K688" s="330"/>
      <c r="L688" s="364">
        <v>3</v>
      </c>
      <c r="M688" s="329"/>
      <c r="N688" s="330">
        <f t="shared" ref="N688" si="355">ROUND(L688*M688,2)</f>
        <v>0</v>
      </c>
      <c r="O688" s="331">
        <f>SUM(L688,I688)</f>
        <v>6</v>
      </c>
      <c r="P688" s="329">
        <f>IF(M688&lt;&gt;"",M688,J688)</f>
        <v>0</v>
      </c>
      <c r="Q688" s="332">
        <f>ROUND(O688*P688,2)</f>
        <v>0</v>
      </c>
    </row>
    <row r="689" spans="1:17" x14ac:dyDescent="0.25">
      <c r="A689" s="244" t="s">
        <v>8278</v>
      </c>
      <c r="B689" s="245" t="s">
        <v>8236</v>
      </c>
      <c r="C689" s="246"/>
      <c r="D689" s="247"/>
      <c r="E689" s="248"/>
      <c r="F689" s="249"/>
      <c r="G689" s="249"/>
      <c r="H689" s="250"/>
      <c r="I689" s="251"/>
      <c r="J689" s="251"/>
      <c r="K689" s="251"/>
      <c r="L689" s="251"/>
      <c r="M689" s="251"/>
      <c r="N689" s="251"/>
      <c r="O689" s="251"/>
      <c r="P689" s="251"/>
      <c r="Q689" s="251"/>
    </row>
    <row r="690" spans="1:17" x14ac:dyDescent="0.25">
      <c r="A690" s="260" t="s">
        <v>8279</v>
      </c>
      <c r="B690" s="261" t="s">
        <v>8238</v>
      </c>
      <c r="C690" s="262"/>
      <c r="D690" s="263"/>
      <c r="E690" s="264"/>
      <c r="F690" s="264"/>
      <c r="G690" s="264"/>
      <c r="H690" s="265"/>
      <c r="I690" s="267"/>
      <c r="J690" s="267"/>
      <c r="K690" s="267"/>
      <c r="L690" s="267"/>
      <c r="M690" s="267"/>
      <c r="N690" s="267"/>
      <c r="O690" s="267"/>
      <c r="P690" s="267"/>
      <c r="Q690" s="267"/>
    </row>
    <row r="691" spans="1:17" x14ac:dyDescent="0.25">
      <c r="A691" s="312" t="s">
        <v>8280</v>
      </c>
      <c r="B691" s="313" t="s">
        <v>8240</v>
      </c>
      <c r="C691" s="314"/>
      <c r="D691" s="315"/>
      <c r="E691" s="316"/>
      <c r="F691" s="316"/>
      <c r="G691" s="316"/>
      <c r="H691" s="317"/>
      <c r="I691" s="267"/>
      <c r="J691" s="267"/>
      <c r="K691" s="267"/>
      <c r="L691" s="267"/>
      <c r="M691" s="267"/>
      <c r="N691" s="267"/>
      <c r="O691" s="267"/>
      <c r="P691" s="267"/>
      <c r="Q691" s="267"/>
    </row>
    <row r="692" spans="1:17" ht="22.5" x14ac:dyDescent="0.25">
      <c r="A692" s="319" t="s">
        <v>8281</v>
      </c>
      <c r="B692" s="320" t="s">
        <v>8282</v>
      </c>
      <c r="C692" s="321" t="s">
        <v>378</v>
      </c>
      <c r="D692" s="322" t="s">
        <v>1</v>
      </c>
      <c r="E692" s="323" t="s">
        <v>7504</v>
      </c>
      <c r="F692" s="323">
        <v>60</v>
      </c>
      <c r="G692" s="323">
        <v>10</v>
      </c>
      <c r="H692" s="324">
        <v>0</v>
      </c>
      <c r="I692" s="325">
        <v>10</v>
      </c>
      <c r="J692" s="335"/>
      <c r="K692" s="330"/>
      <c r="L692" s="364">
        <v>10</v>
      </c>
      <c r="M692" s="329"/>
      <c r="N692" s="330">
        <f t="shared" ref="N692:N693" si="356">ROUND(L692*M692,2)</f>
        <v>0</v>
      </c>
      <c r="O692" s="331">
        <f t="shared" ref="O692:O693" si="357">SUM(L692,I692)</f>
        <v>20</v>
      </c>
      <c r="P692" s="329">
        <f t="shared" ref="P692:P693" si="358">IF(M692&lt;&gt;"",M692,J692)</f>
        <v>0</v>
      </c>
      <c r="Q692" s="332">
        <f t="shared" ref="Q692:Q693" si="359">ROUND(O692*P692,2)</f>
        <v>0</v>
      </c>
    </row>
    <row r="693" spans="1:17" ht="22.5" x14ac:dyDescent="0.25">
      <c r="A693" s="319" t="s">
        <v>8283</v>
      </c>
      <c r="B693" s="320" t="s">
        <v>8284</v>
      </c>
      <c r="C693" s="321" t="s">
        <v>378</v>
      </c>
      <c r="D693" s="322" t="s">
        <v>1</v>
      </c>
      <c r="E693" s="323" t="s">
        <v>7504</v>
      </c>
      <c r="F693" s="323">
        <v>60</v>
      </c>
      <c r="G693" s="323">
        <v>10</v>
      </c>
      <c r="H693" s="324">
        <v>0</v>
      </c>
      <c r="I693" s="325">
        <v>10</v>
      </c>
      <c r="J693" s="335"/>
      <c r="K693" s="330"/>
      <c r="L693" s="364">
        <v>10</v>
      </c>
      <c r="M693" s="329"/>
      <c r="N693" s="330">
        <f t="shared" si="356"/>
        <v>0</v>
      </c>
      <c r="O693" s="331">
        <f t="shared" si="357"/>
        <v>20</v>
      </c>
      <c r="P693" s="329">
        <f t="shared" si="358"/>
        <v>0</v>
      </c>
      <c r="Q693" s="332">
        <f t="shared" si="359"/>
        <v>0</v>
      </c>
    </row>
    <row r="694" spans="1:17" x14ac:dyDescent="0.25">
      <c r="A694" s="312" t="s">
        <v>8285</v>
      </c>
      <c r="B694" s="313" t="s">
        <v>8286</v>
      </c>
      <c r="C694" s="338"/>
      <c r="D694" s="339"/>
      <c r="E694" s="340"/>
      <c r="F694" s="341"/>
      <c r="G694" s="341"/>
      <c r="H694" s="371"/>
      <c r="I694" s="267"/>
      <c r="J694" s="267"/>
      <c r="K694" s="267"/>
      <c r="L694" s="267"/>
      <c r="M694" s="267"/>
      <c r="N694" s="267"/>
      <c r="O694" s="267"/>
      <c r="P694" s="267"/>
      <c r="Q694" s="267"/>
    </row>
    <row r="695" spans="1:17" x14ac:dyDescent="0.25">
      <c r="A695" s="319" t="s">
        <v>8287</v>
      </c>
      <c r="B695" s="320" t="s">
        <v>8288</v>
      </c>
      <c r="C695" s="321" t="s">
        <v>460</v>
      </c>
      <c r="D695" s="322" t="s">
        <v>1</v>
      </c>
      <c r="E695" s="323" t="s">
        <v>7504</v>
      </c>
      <c r="F695" s="323">
        <v>30</v>
      </c>
      <c r="G695" s="323">
        <v>80</v>
      </c>
      <c r="H695" s="324">
        <v>0</v>
      </c>
      <c r="I695" s="334">
        <v>15</v>
      </c>
      <c r="J695" s="335"/>
      <c r="K695" s="330"/>
      <c r="L695" s="366">
        <v>15</v>
      </c>
      <c r="M695" s="329"/>
      <c r="N695" s="330">
        <f t="shared" ref="N695" si="360">ROUND(L695*M695,2)</f>
        <v>0</v>
      </c>
      <c r="O695" s="331">
        <f>SUM(L695,I695)</f>
        <v>30</v>
      </c>
      <c r="P695" s="329">
        <f>IF(M695&lt;&gt;"",M695,J695)</f>
        <v>0</v>
      </c>
      <c r="Q695" s="332">
        <f>ROUND(O695*P695,2)</f>
        <v>0</v>
      </c>
    </row>
    <row r="696" spans="1:17" x14ac:dyDescent="0.25">
      <c r="A696" s="312" t="s">
        <v>8289</v>
      </c>
      <c r="B696" s="313" t="s">
        <v>8290</v>
      </c>
      <c r="C696" s="338"/>
      <c r="D696" s="339"/>
      <c r="E696" s="340"/>
      <c r="F696" s="341"/>
      <c r="G696" s="341"/>
      <c r="H696" s="371"/>
      <c r="I696" s="267"/>
      <c r="J696" s="267"/>
      <c r="K696" s="267"/>
      <c r="L696" s="267"/>
      <c r="M696" s="267"/>
      <c r="N696" s="267"/>
      <c r="O696" s="267"/>
      <c r="P696" s="267"/>
      <c r="Q696" s="267"/>
    </row>
    <row r="697" spans="1:17" x14ac:dyDescent="0.25">
      <c r="A697" s="319" t="s">
        <v>8291</v>
      </c>
      <c r="B697" s="320" t="s">
        <v>8292</v>
      </c>
      <c r="C697" s="321" t="s">
        <v>460</v>
      </c>
      <c r="D697" s="322" t="s">
        <v>1</v>
      </c>
      <c r="E697" s="323" t="s">
        <v>7504</v>
      </c>
      <c r="F697" s="323">
        <v>30</v>
      </c>
      <c r="G697" s="323">
        <v>80</v>
      </c>
      <c r="H697" s="324">
        <v>0</v>
      </c>
      <c r="I697" s="334">
        <v>13</v>
      </c>
      <c r="J697" s="335"/>
      <c r="K697" s="330"/>
      <c r="L697" s="366">
        <v>13</v>
      </c>
      <c r="M697" s="329"/>
      <c r="N697" s="330">
        <f t="shared" ref="N697" si="361">ROUND(L697*M697,2)</f>
        <v>0</v>
      </c>
      <c r="O697" s="331">
        <f>SUM(L697,I697)</f>
        <v>26</v>
      </c>
      <c r="P697" s="329">
        <f>IF(M697&lt;&gt;"",M697,J697)</f>
        <v>0</v>
      </c>
      <c r="Q697" s="332">
        <f>ROUND(O697*P697,2)</f>
        <v>0</v>
      </c>
    </row>
    <row r="698" spans="1:17" x14ac:dyDescent="0.25">
      <c r="A698" s="312" t="s">
        <v>8293</v>
      </c>
      <c r="B698" s="313" t="s">
        <v>8294</v>
      </c>
      <c r="C698" s="338"/>
      <c r="D698" s="339"/>
      <c r="E698" s="340"/>
      <c r="F698" s="341"/>
      <c r="G698" s="341"/>
      <c r="H698" s="371"/>
      <c r="I698" s="267"/>
      <c r="J698" s="267"/>
      <c r="K698" s="267"/>
      <c r="L698" s="267"/>
      <c r="M698" s="267"/>
      <c r="N698" s="267"/>
      <c r="O698" s="267"/>
      <c r="P698" s="267"/>
      <c r="Q698" s="267"/>
    </row>
    <row r="699" spans="1:17" x14ac:dyDescent="0.25">
      <c r="A699" s="319" t="s">
        <v>8295</v>
      </c>
      <c r="B699" s="320" t="s">
        <v>8296</v>
      </c>
      <c r="C699" s="321" t="s">
        <v>460</v>
      </c>
      <c r="D699" s="322" t="s">
        <v>1</v>
      </c>
      <c r="E699" s="323" t="s">
        <v>7504</v>
      </c>
      <c r="F699" s="323">
        <v>30</v>
      </c>
      <c r="G699" s="323">
        <v>80</v>
      </c>
      <c r="H699" s="324">
        <v>0</v>
      </c>
      <c r="I699" s="334">
        <v>2</v>
      </c>
      <c r="J699" s="335"/>
      <c r="K699" s="330"/>
      <c r="L699" s="366">
        <v>2</v>
      </c>
      <c r="M699" s="329"/>
      <c r="N699" s="330">
        <f t="shared" ref="N699" si="362">ROUND(L699*M699,2)</f>
        <v>0</v>
      </c>
      <c r="O699" s="331">
        <f>SUM(L699,I699)</f>
        <v>4</v>
      </c>
      <c r="P699" s="329">
        <f>IF(M699&lt;&gt;"",M699,J699)</f>
        <v>0</v>
      </c>
      <c r="Q699" s="332">
        <f>ROUND(O699*P699,2)</f>
        <v>0</v>
      </c>
    </row>
    <row r="700" spans="1:17" s="377" customFormat="1" x14ac:dyDescent="0.25">
      <c r="A700" s="372" t="s">
        <v>8297</v>
      </c>
      <c r="B700" s="261" t="s">
        <v>8298</v>
      </c>
      <c r="C700" s="373"/>
      <c r="D700" s="374"/>
      <c r="E700" s="375"/>
      <c r="F700" s="376"/>
      <c r="G700" s="376"/>
      <c r="H700" s="342"/>
      <c r="I700" s="274"/>
      <c r="J700" s="274"/>
      <c r="K700" s="274"/>
      <c r="L700" s="274"/>
      <c r="M700" s="274"/>
      <c r="N700" s="274"/>
      <c r="O700" s="274"/>
      <c r="P700" s="274"/>
      <c r="Q700" s="274"/>
    </row>
    <row r="701" spans="1:17" ht="22.5" x14ac:dyDescent="0.25">
      <c r="A701" s="319" t="s">
        <v>8299</v>
      </c>
      <c r="B701" s="320" t="s">
        <v>8300</v>
      </c>
      <c r="C701" s="321" t="s">
        <v>460</v>
      </c>
      <c r="D701" s="322" t="s">
        <v>1</v>
      </c>
      <c r="E701" s="323" t="s">
        <v>7504</v>
      </c>
      <c r="F701" s="323">
        <v>60</v>
      </c>
      <c r="G701" s="323">
        <v>20</v>
      </c>
      <c r="H701" s="324">
        <v>0</v>
      </c>
      <c r="I701" s="334">
        <v>5</v>
      </c>
      <c r="J701" s="335"/>
      <c r="K701" s="330"/>
      <c r="L701" s="366">
        <v>5</v>
      </c>
      <c r="M701" s="329"/>
      <c r="N701" s="330">
        <f t="shared" ref="N701:N702" si="363">ROUND(L701*M701,2)</f>
        <v>0</v>
      </c>
      <c r="O701" s="331">
        <f t="shared" ref="O701:O702" si="364">SUM(L701,I701)</f>
        <v>10</v>
      </c>
      <c r="P701" s="329">
        <f t="shared" ref="P701:P702" si="365">IF(M701&lt;&gt;"",M701,J701)</f>
        <v>0</v>
      </c>
      <c r="Q701" s="332">
        <f t="shared" ref="Q701:Q702" si="366">ROUND(O701*P701,2)</f>
        <v>0</v>
      </c>
    </row>
    <row r="702" spans="1:17" ht="22.5" x14ac:dyDescent="0.25">
      <c r="A702" s="319" t="s">
        <v>8301</v>
      </c>
      <c r="B702" s="320" t="s">
        <v>8302</v>
      </c>
      <c r="C702" s="321" t="s">
        <v>460</v>
      </c>
      <c r="D702" s="322" t="s">
        <v>1</v>
      </c>
      <c r="E702" s="323" t="s">
        <v>7504</v>
      </c>
      <c r="F702" s="323">
        <v>60</v>
      </c>
      <c r="G702" s="323">
        <v>20</v>
      </c>
      <c r="H702" s="324">
        <v>0</v>
      </c>
      <c r="I702" s="334">
        <v>4</v>
      </c>
      <c r="J702" s="335"/>
      <c r="K702" s="330"/>
      <c r="L702" s="366">
        <v>4</v>
      </c>
      <c r="M702" s="329"/>
      <c r="N702" s="330">
        <f t="shared" si="363"/>
        <v>0</v>
      </c>
      <c r="O702" s="331">
        <f t="shared" si="364"/>
        <v>8</v>
      </c>
      <c r="P702" s="329">
        <f t="shared" si="365"/>
        <v>0</v>
      </c>
      <c r="Q702" s="332">
        <f t="shared" si="366"/>
        <v>0</v>
      </c>
    </row>
    <row r="703" spans="1:17" ht="22.5" x14ac:dyDescent="0.25">
      <c r="A703" s="260" t="s">
        <v>8303</v>
      </c>
      <c r="B703" s="261" t="s">
        <v>8304</v>
      </c>
      <c r="C703" s="262"/>
      <c r="D703" s="263"/>
      <c r="E703" s="264"/>
      <c r="F703" s="264"/>
      <c r="G703" s="264"/>
      <c r="H703" s="265"/>
      <c r="I703" s="267"/>
      <c r="J703" s="267"/>
      <c r="K703" s="267"/>
      <c r="L703" s="267"/>
      <c r="M703" s="267"/>
      <c r="N703" s="267"/>
      <c r="O703" s="267"/>
      <c r="P703" s="267"/>
      <c r="Q703" s="267"/>
    </row>
    <row r="704" spans="1:17" x14ac:dyDescent="0.25">
      <c r="A704" s="312" t="s">
        <v>8305</v>
      </c>
      <c r="B704" s="313" t="s">
        <v>8306</v>
      </c>
      <c r="C704" s="314"/>
      <c r="D704" s="315"/>
      <c r="E704" s="316"/>
      <c r="F704" s="316"/>
      <c r="G704" s="316"/>
      <c r="H704" s="317"/>
      <c r="I704" s="267"/>
      <c r="J704" s="267"/>
      <c r="K704" s="267"/>
      <c r="L704" s="267"/>
      <c r="M704" s="267"/>
      <c r="N704" s="267"/>
      <c r="O704" s="267"/>
      <c r="P704" s="267"/>
      <c r="Q704" s="267"/>
    </row>
    <row r="705" spans="1:17" ht="22.5" x14ac:dyDescent="0.25">
      <c r="A705" s="347" t="s">
        <v>8307</v>
      </c>
      <c r="B705" s="347" t="s">
        <v>8308</v>
      </c>
      <c r="C705" s="348" t="s">
        <v>378</v>
      </c>
      <c r="D705" s="348" t="s">
        <v>1</v>
      </c>
      <c r="E705" s="349" t="s">
        <v>7607</v>
      </c>
      <c r="F705" s="349">
        <v>60</v>
      </c>
      <c r="G705" s="349">
        <v>10</v>
      </c>
      <c r="H705" s="324">
        <v>0</v>
      </c>
      <c r="I705" s="328">
        <v>10</v>
      </c>
      <c r="J705" s="335"/>
      <c r="K705" s="330"/>
      <c r="L705" s="378">
        <v>10</v>
      </c>
      <c r="M705" s="329"/>
      <c r="N705" s="330">
        <f t="shared" ref="N705:N708" si="367">ROUND(L705*M705,2)</f>
        <v>0</v>
      </c>
      <c r="O705" s="331">
        <f t="shared" ref="O705:O708" si="368">SUM(L705,I705)</f>
        <v>20</v>
      </c>
      <c r="P705" s="329">
        <f t="shared" ref="P705:P708" si="369">IF(M705&lt;&gt;"",M705,J705)</f>
        <v>0</v>
      </c>
      <c r="Q705" s="332">
        <f t="shared" ref="Q705:Q708" si="370">ROUND(O705*P705,2)</f>
        <v>0</v>
      </c>
    </row>
    <row r="706" spans="1:17" ht="22.5" x14ac:dyDescent="0.25">
      <c r="A706" s="347" t="s">
        <v>8309</v>
      </c>
      <c r="B706" s="347" t="s">
        <v>8310</v>
      </c>
      <c r="C706" s="348" t="s">
        <v>378</v>
      </c>
      <c r="D706" s="348" t="s">
        <v>1</v>
      </c>
      <c r="E706" s="349" t="s">
        <v>7504</v>
      </c>
      <c r="F706" s="349">
        <v>60</v>
      </c>
      <c r="G706" s="349">
        <v>10</v>
      </c>
      <c r="H706" s="324">
        <v>0</v>
      </c>
      <c r="I706" s="328">
        <v>10</v>
      </c>
      <c r="J706" s="335"/>
      <c r="K706" s="330"/>
      <c r="L706" s="378">
        <v>10</v>
      </c>
      <c r="M706" s="329"/>
      <c r="N706" s="330">
        <f t="shared" si="367"/>
        <v>0</v>
      </c>
      <c r="O706" s="331">
        <f t="shared" si="368"/>
        <v>20</v>
      </c>
      <c r="P706" s="329">
        <f t="shared" si="369"/>
        <v>0</v>
      </c>
      <c r="Q706" s="332">
        <f t="shared" si="370"/>
        <v>0</v>
      </c>
    </row>
    <row r="707" spans="1:17" ht="22.5" x14ac:dyDescent="0.25">
      <c r="A707" s="319" t="s">
        <v>8311</v>
      </c>
      <c r="B707" s="379" t="s">
        <v>8312</v>
      </c>
      <c r="C707" s="380" t="s">
        <v>378</v>
      </c>
      <c r="D707" s="322" t="s">
        <v>1</v>
      </c>
      <c r="E707" s="323" t="s">
        <v>7607</v>
      </c>
      <c r="F707" s="323">
        <v>60</v>
      </c>
      <c r="G707" s="365">
        <v>10</v>
      </c>
      <c r="H707" s="333">
        <v>0</v>
      </c>
      <c r="I707" s="334">
        <v>10</v>
      </c>
      <c r="J707" s="335"/>
      <c r="K707" s="330"/>
      <c r="L707" s="366">
        <v>10</v>
      </c>
      <c r="M707" s="329"/>
      <c r="N707" s="330">
        <f t="shared" si="367"/>
        <v>0</v>
      </c>
      <c r="O707" s="331">
        <f t="shared" si="368"/>
        <v>20</v>
      </c>
      <c r="P707" s="329">
        <f t="shared" si="369"/>
        <v>0</v>
      </c>
      <c r="Q707" s="332">
        <f t="shared" si="370"/>
        <v>0</v>
      </c>
    </row>
    <row r="708" spans="1:17" ht="22.5" x14ac:dyDescent="0.25">
      <c r="A708" s="319" t="s">
        <v>8313</v>
      </c>
      <c r="B708" s="379" t="s">
        <v>8314</v>
      </c>
      <c r="C708" s="380" t="s">
        <v>378</v>
      </c>
      <c r="D708" s="322" t="s">
        <v>1</v>
      </c>
      <c r="E708" s="323" t="s">
        <v>7504</v>
      </c>
      <c r="F708" s="323">
        <v>60</v>
      </c>
      <c r="G708" s="365">
        <v>10</v>
      </c>
      <c r="H708" s="333">
        <v>0</v>
      </c>
      <c r="I708" s="334">
        <v>10</v>
      </c>
      <c r="J708" s="335"/>
      <c r="K708" s="330"/>
      <c r="L708" s="366">
        <v>10</v>
      </c>
      <c r="M708" s="329"/>
      <c r="N708" s="330">
        <f t="shared" si="367"/>
        <v>0</v>
      </c>
      <c r="O708" s="331">
        <f t="shared" si="368"/>
        <v>20</v>
      </c>
      <c r="P708" s="329">
        <f t="shared" si="369"/>
        <v>0</v>
      </c>
      <c r="Q708" s="332">
        <f t="shared" si="370"/>
        <v>0</v>
      </c>
    </row>
    <row r="709" spans="1:17" x14ac:dyDescent="0.25">
      <c r="A709" s="260" t="s">
        <v>8315</v>
      </c>
      <c r="B709" s="261" t="s">
        <v>8316</v>
      </c>
      <c r="C709" s="262"/>
      <c r="D709" s="263"/>
      <c r="E709" s="264"/>
      <c r="F709" s="264"/>
      <c r="G709" s="264"/>
      <c r="H709" s="265"/>
      <c r="I709" s="267"/>
      <c r="J709" s="267"/>
      <c r="K709" s="267"/>
      <c r="L709" s="267"/>
      <c r="M709" s="267"/>
      <c r="N709" s="267"/>
      <c r="O709" s="267"/>
      <c r="P709" s="267"/>
      <c r="Q709" s="267"/>
    </row>
    <row r="710" spans="1:17" x14ac:dyDescent="0.25">
      <c r="A710" s="312" t="s">
        <v>8317</v>
      </c>
      <c r="B710" s="313" t="s">
        <v>8318</v>
      </c>
      <c r="C710" s="314"/>
      <c r="D710" s="315"/>
      <c r="E710" s="316"/>
      <c r="F710" s="316"/>
      <c r="G710" s="316"/>
      <c r="H710" s="317"/>
      <c r="I710" s="267"/>
      <c r="J710" s="267"/>
      <c r="K710" s="267"/>
      <c r="L710" s="267"/>
      <c r="M710" s="267"/>
      <c r="N710" s="267"/>
      <c r="O710" s="267"/>
      <c r="P710" s="267"/>
      <c r="Q710" s="267"/>
    </row>
    <row r="711" spans="1:17" ht="22.5" x14ac:dyDescent="0.25">
      <c r="A711" s="319" t="s">
        <v>8319</v>
      </c>
      <c r="B711" s="379" t="s">
        <v>8320</v>
      </c>
      <c r="C711" s="380" t="s">
        <v>378</v>
      </c>
      <c r="D711" s="322" t="s">
        <v>1</v>
      </c>
      <c r="E711" s="323" t="s">
        <v>7607</v>
      </c>
      <c r="F711" s="323">
        <v>50</v>
      </c>
      <c r="G711" s="365">
        <v>0</v>
      </c>
      <c r="H711" s="324">
        <v>0</v>
      </c>
      <c r="I711" s="334">
        <v>2100</v>
      </c>
      <c r="J711" s="335"/>
      <c r="K711" s="330"/>
      <c r="L711" s="366">
        <v>2100</v>
      </c>
      <c r="M711" s="329"/>
      <c r="N711" s="330">
        <f t="shared" ref="N711" si="371">ROUND(L711*M711,2)</f>
        <v>0</v>
      </c>
      <c r="O711" s="331">
        <f>SUM(L711,I711)</f>
        <v>4200</v>
      </c>
      <c r="P711" s="329">
        <f>IF(M711&lt;&gt;"",M711,J711)</f>
        <v>0</v>
      </c>
      <c r="Q711" s="332">
        <f>ROUND(O711*P711,2)</f>
        <v>0</v>
      </c>
    </row>
    <row r="712" spans="1:17" x14ac:dyDescent="0.25">
      <c r="A712" s="260" t="s">
        <v>8321</v>
      </c>
      <c r="B712" s="261" t="s">
        <v>7218</v>
      </c>
      <c r="C712" s="262"/>
      <c r="D712" s="263"/>
      <c r="E712" s="264"/>
      <c r="F712" s="264"/>
      <c r="G712" s="264"/>
      <c r="H712" s="265"/>
      <c r="I712" s="267"/>
      <c r="J712" s="267"/>
      <c r="K712" s="267"/>
      <c r="L712" s="267"/>
      <c r="M712" s="267"/>
      <c r="N712" s="267"/>
      <c r="O712" s="267"/>
      <c r="P712" s="267"/>
      <c r="Q712" s="267"/>
    </row>
    <row r="713" spans="1:17" ht="22.5" x14ac:dyDescent="0.25">
      <c r="A713" s="319" t="s">
        <v>8322</v>
      </c>
      <c r="B713" s="320" t="s">
        <v>8323</v>
      </c>
      <c r="C713" s="321" t="s">
        <v>378</v>
      </c>
      <c r="D713" s="322" t="s">
        <v>1</v>
      </c>
      <c r="E713" s="323" t="s">
        <v>7193</v>
      </c>
      <c r="F713" s="323">
        <v>60</v>
      </c>
      <c r="G713" s="323">
        <v>10</v>
      </c>
      <c r="H713" s="324">
        <v>0</v>
      </c>
      <c r="I713" s="334">
        <v>50</v>
      </c>
      <c r="J713" s="335"/>
      <c r="K713" s="330"/>
      <c r="L713" s="366">
        <v>50</v>
      </c>
      <c r="M713" s="329"/>
      <c r="N713" s="330">
        <f t="shared" ref="N713:N715" si="372">ROUND(L713*M713,2)</f>
        <v>0</v>
      </c>
      <c r="O713" s="331">
        <f t="shared" ref="O713:O715" si="373">SUM(L713,I713)</f>
        <v>100</v>
      </c>
      <c r="P713" s="329">
        <f t="shared" ref="P713:P715" si="374">IF(M713&lt;&gt;"",M713,J713)</f>
        <v>0</v>
      </c>
      <c r="Q713" s="332">
        <f t="shared" ref="Q713:Q715" si="375">ROUND(O713*P713,2)</f>
        <v>0</v>
      </c>
    </row>
    <row r="714" spans="1:17" ht="22.5" x14ac:dyDescent="0.25">
      <c r="A714" s="347" t="s">
        <v>8324</v>
      </c>
      <c r="B714" s="347" t="s">
        <v>8325</v>
      </c>
      <c r="C714" s="348" t="s">
        <v>378</v>
      </c>
      <c r="D714" s="348" t="s">
        <v>1</v>
      </c>
      <c r="E714" s="349" t="s">
        <v>7193</v>
      </c>
      <c r="F714" s="349">
        <v>60</v>
      </c>
      <c r="G714" s="349">
        <v>10</v>
      </c>
      <c r="H714" s="324">
        <v>0</v>
      </c>
      <c r="I714" s="328">
        <v>1</v>
      </c>
      <c r="J714" s="335"/>
      <c r="K714" s="330"/>
      <c r="L714" s="378">
        <v>1</v>
      </c>
      <c r="M714" s="329"/>
      <c r="N714" s="330">
        <f t="shared" si="372"/>
        <v>0</v>
      </c>
      <c r="O714" s="331">
        <f t="shared" si="373"/>
        <v>2</v>
      </c>
      <c r="P714" s="329">
        <f t="shared" si="374"/>
        <v>0</v>
      </c>
      <c r="Q714" s="332">
        <f t="shared" si="375"/>
        <v>0</v>
      </c>
    </row>
    <row r="715" spans="1:17" ht="22.5" x14ac:dyDescent="0.25">
      <c r="A715" s="347" t="s">
        <v>8326</v>
      </c>
      <c r="B715" s="347" t="s">
        <v>8327</v>
      </c>
      <c r="C715" s="348" t="s">
        <v>378</v>
      </c>
      <c r="D715" s="348" t="s">
        <v>1</v>
      </c>
      <c r="E715" s="349" t="s">
        <v>7193</v>
      </c>
      <c r="F715" s="349">
        <v>60</v>
      </c>
      <c r="G715" s="349">
        <v>10</v>
      </c>
      <c r="H715" s="324">
        <v>0</v>
      </c>
      <c r="I715" s="328">
        <v>1</v>
      </c>
      <c r="J715" s="335"/>
      <c r="K715" s="330"/>
      <c r="L715" s="378">
        <v>1</v>
      </c>
      <c r="M715" s="329"/>
      <c r="N715" s="330">
        <f t="shared" si="372"/>
        <v>0</v>
      </c>
      <c r="O715" s="331">
        <f t="shared" si="373"/>
        <v>2</v>
      </c>
      <c r="P715" s="329">
        <f t="shared" si="374"/>
        <v>0</v>
      </c>
      <c r="Q715" s="332">
        <f t="shared" si="375"/>
        <v>0</v>
      </c>
    </row>
    <row r="716" spans="1:17" x14ac:dyDescent="0.25">
      <c r="A716" s="244" t="s">
        <v>8328</v>
      </c>
      <c r="B716" s="245" t="s">
        <v>8329</v>
      </c>
      <c r="C716" s="246"/>
      <c r="D716" s="247"/>
      <c r="E716" s="248"/>
      <c r="F716" s="249"/>
      <c r="G716" s="249"/>
      <c r="H716" s="250"/>
      <c r="I716" s="251"/>
      <c r="J716" s="251"/>
      <c r="K716" s="251"/>
      <c r="L716" s="251"/>
      <c r="M716" s="251"/>
      <c r="N716" s="251"/>
      <c r="O716" s="251"/>
      <c r="P716" s="251"/>
      <c r="Q716" s="251"/>
    </row>
    <row r="717" spans="1:17" x14ac:dyDescent="0.25">
      <c r="A717" s="260" t="s">
        <v>8330</v>
      </c>
      <c r="B717" s="261" t="s">
        <v>8331</v>
      </c>
      <c r="C717" s="262"/>
      <c r="D717" s="263"/>
      <c r="E717" s="264"/>
      <c r="F717" s="264"/>
      <c r="G717" s="264"/>
      <c r="H717" s="265"/>
      <c r="I717" s="381"/>
      <c r="J717" s="381"/>
      <c r="K717" s="381"/>
      <c r="L717" s="381"/>
      <c r="M717" s="381"/>
      <c r="N717" s="381"/>
      <c r="O717" s="381"/>
      <c r="P717" s="381"/>
      <c r="Q717" s="381"/>
    </row>
    <row r="718" spans="1:17" ht="22.5" x14ac:dyDescent="0.25">
      <c r="A718" s="319" t="s">
        <v>8332</v>
      </c>
      <c r="B718" s="320" t="s">
        <v>8333</v>
      </c>
      <c r="C718" s="321" t="s">
        <v>378</v>
      </c>
      <c r="D718" s="322" t="s">
        <v>1</v>
      </c>
      <c r="E718" s="323" t="s">
        <v>7193</v>
      </c>
      <c r="F718" s="323">
        <v>70</v>
      </c>
      <c r="G718" s="323">
        <v>30</v>
      </c>
      <c r="H718" s="324">
        <v>0</v>
      </c>
      <c r="I718" s="325">
        <v>6</v>
      </c>
      <c r="J718" s="335"/>
      <c r="K718" s="330"/>
      <c r="L718" s="364">
        <v>6</v>
      </c>
      <c r="M718" s="329"/>
      <c r="N718" s="330">
        <f t="shared" ref="N718:N719" si="376">ROUND(L718*M718,2)</f>
        <v>0</v>
      </c>
      <c r="O718" s="331">
        <f t="shared" ref="O718:O719" si="377">SUM(L718,I718)</f>
        <v>12</v>
      </c>
      <c r="P718" s="329">
        <f t="shared" ref="P718:P719" si="378">IF(M718&lt;&gt;"",M718,J718)</f>
        <v>0</v>
      </c>
      <c r="Q718" s="332">
        <f t="shared" ref="Q718:Q719" si="379">ROUND(O718*P718,2)</f>
        <v>0</v>
      </c>
    </row>
    <row r="719" spans="1:17" ht="22.5" x14ac:dyDescent="0.25">
      <c r="A719" s="319" t="s">
        <v>8334</v>
      </c>
      <c r="B719" s="320" t="s">
        <v>8335</v>
      </c>
      <c r="C719" s="321" t="s">
        <v>378</v>
      </c>
      <c r="D719" s="322" t="s">
        <v>1</v>
      </c>
      <c r="E719" s="323" t="s">
        <v>7193</v>
      </c>
      <c r="F719" s="323">
        <v>70</v>
      </c>
      <c r="G719" s="323">
        <v>30</v>
      </c>
      <c r="H719" s="324">
        <v>0</v>
      </c>
      <c r="I719" s="325">
        <v>18</v>
      </c>
      <c r="J719" s="335"/>
      <c r="K719" s="330"/>
      <c r="L719" s="364">
        <v>18</v>
      </c>
      <c r="M719" s="329"/>
      <c r="N719" s="330">
        <f t="shared" si="376"/>
        <v>0</v>
      </c>
      <c r="O719" s="331">
        <f t="shared" si="377"/>
        <v>36</v>
      </c>
      <c r="P719" s="329">
        <f t="shared" si="378"/>
        <v>0</v>
      </c>
      <c r="Q719" s="332">
        <f t="shared" si="379"/>
        <v>0</v>
      </c>
    </row>
    <row r="720" spans="1:17" x14ac:dyDescent="0.25">
      <c r="A720" s="260" t="s">
        <v>8336</v>
      </c>
      <c r="B720" s="261" t="s">
        <v>8337</v>
      </c>
      <c r="C720" s="262"/>
      <c r="D720" s="263"/>
      <c r="E720" s="264"/>
      <c r="F720" s="264"/>
      <c r="G720" s="264"/>
      <c r="H720" s="265"/>
      <c r="I720" s="381"/>
      <c r="J720" s="381"/>
      <c r="K720" s="381"/>
      <c r="L720" s="381"/>
      <c r="M720" s="381"/>
      <c r="N720" s="381"/>
      <c r="O720" s="381"/>
      <c r="P720" s="381"/>
      <c r="Q720" s="381"/>
    </row>
    <row r="721" spans="1:17" ht="22.5" x14ac:dyDescent="0.25">
      <c r="A721" s="319" t="s">
        <v>8338</v>
      </c>
      <c r="B721" s="320" t="s">
        <v>8339</v>
      </c>
      <c r="C721" s="321" t="s">
        <v>378</v>
      </c>
      <c r="D721" s="322" t="s">
        <v>1</v>
      </c>
      <c r="E721" s="323" t="s">
        <v>7193</v>
      </c>
      <c r="F721" s="323">
        <v>70</v>
      </c>
      <c r="G721" s="323">
        <v>30</v>
      </c>
      <c r="H721" s="324">
        <v>0</v>
      </c>
      <c r="I721" s="325">
        <v>26</v>
      </c>
      <c r="J721" s="335"/>
      <c r="K721" s="330"/>
      <c r="L721" s="364">
        <v>26</v>
      </c>
      <c r="M721" s="329"/>
      <c r="N721" s="330">
        <f t="shared" ref="N721:N722" si="380">ROUND(L721*M721,2)</f>
        <v>0</v>
      </c>
      <c r="O721" s="331">
        <f t="shared" ref="O721:O722" si="381">SUM(L721,I721)</f>
        <v>52</v>
      </c>
      <c r="P721" s="329">
        <f t="shared" ref="P721:P722" si="382">IF(M721&lt;&gt;"",M721,J721)</f>
        <v>0</v>
      </c>
      <c r="Q721" s="332">
        <f t="shared" ref="Q721:Q722" si="383">ROUND(O721*P721,2)</f>
        <v>0</v>
      </c>
    </row>
    <row r="722" spans="1:17" ht="22.5" x14ac:dyDescent="0.25">
      <c r="A722" s="319" t="s">
        <v>8340</v>
      </c>
      <c r="B722" s="320" t="s">
        <v>8341</v>
      </c>
      <c r="C722" s="321" t="s">
        <v>378</v>
      </c>
      <c r="D722" s="322" t="s">
        <v>1</v>
      </c>
      <c r="E722" s="323" t="s">
        <v>7193</v>
      </c>
      <c r="F722" s="323">
        <v>70</v>
      </c>
      <c r="G722" s="323">
        <v>30</v>
      </c>
      <c r="H722" s="324">
        <v>0</v>
      </c>
      <c r="I722" s="325">
        <v>35</v>
      </c>
      <c r="J722" s="335"/>
      <c r="K722" s="330"/>
      <c r="L722" s="364">
        <v>35</v>
      </c>
      <c r="M722" s="329"/>
      <c r="N722" s="330">
        <f t="shared" si="380"/>
        <v>0</v>
      </c>
      <c r="O722" s="331">
        <f t="shared" si="381"/>
        <v>70</v>
      </c>
      <c r="P722" s="329">
        <f t="shared" si="382"/>
        <v>0</v>
      </c>
      <c r="Q722" s="332">
        <f t="shared" si="383"/>
        <v>0</v>
      </c>
    </row>
    <row r="723" spans="1:17" x14ac:dyDescent="0.25">
      <c r="A723" s="260" t="s">
        <v>8342</v>
      </c>
      <c r="B723" s="261" t="s">
        <v>7334</v>
      </c>
      <c r="C723" s="262"/>
      <c r="D723" s="263"/>
      <c r="E723" s="264"/>
      <c r="F723" s="264"/>
      <c r="G723" s="264"/>
      <c r="H723" s="265"/>
      <c r="I723" s="381"/>
      <c r="J723" s="381"/>
      <c r="K723" s="381"/>
      <c r="L723" s="381"/>
      <c r="M723" s="381"/>
      <c r="N723" s="381"/>
      <c r="O723" s="381"/>
      <c r="P723" s="381"/>
      <c r="Q723" s="381"/>
    </row>
    <row r="724" spans="1:17" ht="22.5" x14ac:dyDescent="0.25">
      <c r="A724" s="312" t="s">
        <v>8343</v>
      </c>
      <c r="B724" s="337" t="s">
        <v>8344</v>
      </c>
      <c r="C724" s="338"/>
      <c r="D724" s="339"/>
      <c r="E724" s="340"/>
      <c r="F724" s="341"/>
      <c r="G724" s="341"/>
      <c r="H724" s="342"/>
      <c r="I724" s="267"/>
      <c r="J724" s="267"/>
      <c r="K724" s="267"/>
      <c r="L724" s="267"/>
      <c r="M724" s="267"/>
      <c r="N724" s="267"/>
      <c r="O724" s="267"/>
      <c r="P724" s="267"/>
      <c r="Q724" s="267"/>
    </row>
    <row r="725" spans="1:17" ht="33.75" x14ac:dyDescent="0.25">
      <c r="A725" s="319" t="s">
        <v>8345</v>
      </c>
      <c r="B725" s="320" t="s">
        <v>8346</v>
      </c>
      <c r="C725" s="321" t="s">
        <v>378</v>
      </c>
      <c r="D725" s="322" t="s">
        <v>1</v>
      </c>
      <c r="E725" s="323" t="s">
        <v>7193</v>
      </c>
      <c r="F725" s="323">
        <v>70</v>
      </c>
      <c r="G725" s="323">
        <v>10</v>
      </c>
      <c r="H725" s="370">
        <v>900</v>
      </c>
      <c r="I725" s="334">
        <v>500</v>
      </c>
      <c r="J725" s="335"/>
      <c r="K725" s="330"/>
      <c r="L725" s="366">
        <v>500</v>
      </c>
      <c r="M725" s="329"/>
      <c r="N725" s="330">
        <f t="shared" ref="N725" si="384">ROUND(L725*M725,2)</f>
        <v>0</v>
      </c>
      <c r="O725" s="331">
        <f>SUM(L725,I725)</f>
        <v>1000</v>
      </c>
      <c r="P725" s="329">
        <f>IF(M725&lt;&gt;"",M725,J725)</f>
        <v>0</v>
      </c>
      <c r="Q725" s="332">
        <f>ROUND(O725*P725,2)</f>
        <v>0</v>
      </c>
    </row>
    <row r="726" spans="1:17" x14ac:dyDescent="0.25">
      <c r="A726" s="260" t="s">
        <v>8347</v>
      </c>
      <c r="B726" s="337" t="s">
        <v>7960</v>
      </c>
      <c r="C726" s="338"/>
      <c r="D726" s="339"/>
      <c r="E726" s="340"/>
      <c r="F726" s="341"/>
      <c r="G726" s="341"/>
      <c r="H726" s="342"/>
      <c r="I726" s="267"/>
      <c r="J726" s="267"/>
      <c r="K726" s="267"/>
      <c r="L726" s="267"/>
      <c r="M726" s="267"/>
      <c r="N726" s="267"/>
      <c r="O726" s="267"/>
      <c r="P726" s="267"/>
      <c r="Q726" s="267"/>
    </row>
    <row r="727" spans="1:17" ht="22.5" x14ac:dyDescent="0.25">
      <c r="A727" s="319" t="s">
        <v>8348</v>
      </c>
      <c r="B727" s="320" t="s">
        <v>8349</v>
      </c>
      <c r="C727" s="321" t="s">
        <v>460</v>
      </c>
      <c r="D727" s="322" t="s">
        <v>1</v>
      </c>
      <c r="E727" s="323" t="s">
        <v>7193</v>
      </c>
      <c r="F727" s="323">
        <v>70</v>
      </c>
      <c r="G727" s="323">
        <v>10</v>
      </c>
      <c r="H727" s="370">
        <v>20</v>
      </c>
      <c r="I727" s="334">
        <v>16</v>
      </c>
      <c r="J727" s="335"/>
      <c r="K727" s="330"/>
      <c r="L727" s="366">
        <v>16</v>
      </c>
      <c r="M727" s="329"/>
      <c r="N727" s="330">
        <f t="shared" ref="N727" si="385">ROUND(L727*M727,2)</f>
        <v>0</v>
      </c>
      <c r="O727" s="331">
        <f>SUM(L727,I727)</f>
        <v>32</v>
      </c>
      <c r="P727" s="329">
        <f>IF(M727&lt;&gt;"",M727,J727)</f>
        <v>0</v>
      </c>
      <c r="Q727" s="332">
        <f>ROUND(O727*P727,2)</f>
        <v>0</v>
      </c>
    </row>
    <row r="728" spans="1:17" x14ac:dyDescent="0.25">
      <c r="A728" s="260" t="s">
        <v>8350</v>
      </c>
      <c r="B728" s="261" t="s">
        <v>7446</v>
      </c>
      <c r="C728" s="262"/>
      <c r="D728" s="263"/>
      <c r="E728" s="264"/>
      <c r="F728" s="264"/>
      <c r="G728" s="264"/>
      <c r="H728" s="265"/>
      <c r="I728" s="381"/>
      <c r="J728" s="381"/>
      <c r="K728" s="381"/>
      <c r="L728" s="381"/>
      <c r="M728" s="381"/>
      <c r="N728" s="381"/>
      <c r="O728" s="381"/>
      <c r="P728" s="381"/>
      <c r="Q728" s="381"/>
    </row>
    <row r="729" spans="1:17" x14ac:dyDescent="0.25">
      <c r="A729" s="312" t="s">
        <v>8351</v>
      </c>
      <c r="B729" s="337" t="s">
        <v>8352</v>
      </c>
      <c r="C729" s="338"/>
      <c r="D729" s="339"/>
      <c r="E729" s="340"/>
      <c r="F729" s="341"/>
      <c r="G729" s="341"/>
      <c r="H729" s="342"/>
      <c r="I729" s="267"/>
      <c r="J729" s="267"/>
      <c r="K729" s="267"/>
      <c r="L729" s="267"/>
      <c r="M729" s="267"/>
      <c r="N729" s="267"/>
      <c r="O729" s="267"/>
      <c r="P729" s="267"/>
      <c r="Q729" s="267"/>
    </row>
    <row r="730" spans="1:17" ht="22.5" x14ac:dyDescent="0.25">
      <c r="A730" s="319" t="s">
        <v>8353</v>
      </c>
      <c r="B730" s="320" t="s">
        <v>8354</v>
      </c>
      <c r="C730" s="321" t="s">
        <v>460</v>
      </c>
      <c r="D730" s="322" t="s">
        <v>1</v>
      </c>
      <c r="E730" s="323" t="s">
        <v>7193</v>
      </c>
      <c r="F730" s="323">
        <v>70</v>
      </c>
      <c r="G730" s="323">
        <v>60</v>
      </c>
      <c r="H730" s="324">
        <v>10</v>
      </c>
      <c r="I730" s="325">
        <v>10</v>
      </c>
      <c r="J730" s="335"/>
      <c r="K730" s="330"/>
      <c r="L730" s="364">
        <v>10</v>
      </c>
      <c r="M730" s="329"/>
      <c r="N730" s="330">
        <f t="shared" ref="N730" si="386">ROUND(L730*M730,2)</f>
        <v>0</v>
      </c>
      <c r="O730" s="331">
        <f>SUM(L730,I730)</f>
        <v>20</v>
      </c>
      <c r="P730" s="329">
        <f>IF(M730&lt;&gt;"",M730,J730)</f>
        <v>0</v>
      </c>
      <c r="Q730" s="332">
        <f>ROUND(O730*P730,2)</f>
        <v>0</v>
      </c>
    </row>
    <row r="731" spans="1:17" x14ac:dyDescent="0.25">
      <c r="A731" s="260" t="s">
        <v>8355</v>
      </c>
      <c r="B731" s="337" t="s">
        <v>7452</v>
      </c>
      <c r="C731" s="338"/>
      <c r="D731" s="339"/>
      <c r="E731" s="340"/>
      <c r="F731" s="341"/>
      <c r="G731" s="341"/>
      <c r="H731" s="342"/>
      <c r="I731" s="267"/>
      <c r="J731" s="267"/>
      <c r="K731" s="267"/>
      <c r="L731" s="267"/>
      <c r="M731" s="267"/>
      <c r="N731" s="267"/>
      <c r="O731" s="267"/>
      <c r="P731" s="267"/>
      <c r="Q731" s="267"/>
    </row>
    <row r="732" spans="1:17" ht="22.5" x14ac:dyDescent="0.25">
      <c r="A732" s="319" t="s">
        <v>8356</v>
      </c>
      <c r="B732" s="320" t="s">
        <v>7971</v>
      </c>
      <c r="C732" s="321" t="s">
        <v>911</v>
      </c>
      <c r="D732" s="322" t="s">
        <v>1</v>
      </c>
      <c r="E732" s="323" t="s">
        <v>7193</v>
      </c>
      <c r="F732" s="323">
        <v>70</v>
      </c>
      <c r="G732" s="323">
        <v>60</v>
      </c>
      <c r="H732" s="324">
        <v>10</v>
      </c>
      <c r="I732" s="325">
        <v>4</v>
      </c>
      <c r="J732" s="335"/>
      <c r="K732" s="330"/>
      <c r="L732" s="364">
        <v>4</v>
      </c>
      <c r="M732" s="329"/>
      <c r="N732" s="330">
        <f t="shared" ref="N732" si="387">ROUND(L732*M732,2)</f>
        <v>0</v>
      </c>
      <c r="O732" s="331">
        <f>SUM(L732,I732)</f>
        <v>8</v>
      </c>
      <c r="P732" s="329">
        <f>IF(M732&lt;&gt;"",M732,J732)</f>
        <v>0</v>
      </c>
      <c r="Q732" s="332">
        <f>ROUND(O732*P732,2)</f>
        <v>0</v>
      </c>
    </row>
    <row r="733" spans="1:17" x14ac:dyDescent="0.25">
      <c r="A733" s="260" t="s">
        <v>8357</v>
      </c>
      <c r="B733" s="261" t="s">
        <v>7456</v>
      </c>
      <c r="C733" s="262"/>
      <c r="D733" s="263"/>
      <c r="E733" s="264"/>
      <c r="F733" s="264"/>
      <c r="G733" s="264"/>
      <c r="H733" s="265"/>
      <c r="I733" s="381"/>
      <c r="J733" s="381"/>
      <c r="K733" s="381"/>
      <c r="L733" s="381"/>
      <c r="M733" s="381"/>
      <c r="N733" s="381"/>
      <c r="O733" s="381"/>
      <c r="P733" s="381"/>
      <c r="Q733" s="381"/>
    </row>
    <row r="734" spans="1:17" x14ac:dyDescent="0.25">
      <c r="A734" s="312" t="s">
        <v>8358</v>
      </c>
      <c r="B734" s="337" t="s">
        <v>7458</v>
      </c>
      <c r="C734" s="338"/>
      <c r="D734" s="339"/>
      <c r="E734" s="340"/>
      <c r="F734" s="341"/>
      <c r="G734" s="341"/>
      <c r="H734" s="342"/>
      <c r="I734" s="267"/>
      <c r="J734" s="267"/>
      <c r="K734" s="267"/>
      <c r="L734" s="267"/>
      <c r="M734" s="267"/>
      <c r="N734" s="267"/>
      <c r="O734" s="267"/>
      <c r="P734" s="267"/>
      <c r="Q734" s="267"/>
    </row>
    <row r="735" spans="1:17" x14ac:dyDescent="0.25">
      <c r="A735" s="319" t="s">
        <v>8359</v>
      </c>
      <c r="B735" s="320" t="s">
        <v>8360</v>
      </c>
      <c r="C735" s="321" t="s">
        <v>460</v>
      </c>
      <c r="D735" s="322" t="s">
        <v>1</v>
      </c>
      <c r="E735" s="323" t="s">
        <v>7193</v>
      </c>
      <c r="F735" s="323">
        <v>70</v>
      </c>
      <c r="G735" s="323">
        <v>65</v>
      </c>
      <c r="H735" s="324">
        <v>10</v>
      </c>
      <c r="I735" s="334">
        <v>4</v>
      </c>
      <c r="J735" s="335"/>
      <c r="K735" s="330"/>
      <c r="L735" s="366">
        <v>4</v>
      </c>
      <c r="M735" s="336"/>
      <c r="N735" s="330">
        <f t="shared" ref="N735" si="388">ROUND(L735*M735,2)</f>
        <v>0</v>
      </c>
      <c r="O735" s="331">
        <f>SUM(L735,I735)</f>
        <v>8</v>
      </c>
      <c r="P735" s="329">
        <f>IF(M735&lt;&gt;"",M735,J735)</f>
        <v>0</v>
      </c>
      <c r="Q735" s="332">
        <f>ROUND(O735*P735,2)</f>
        <v>0</v>
      </c>
    </row>
    <row r="736" spans="1:17" x14ac:dyDescent="0.25">
      <c r="A736" s="260" t="s">
        <v>8361</v>
      </c>
      <c r="B736" s="261" t="s">
        <v>8362</v>
      </c>
      <c r="C736" s="262"/>
      <c r="D736" s="263"/>
      <c r="E736" s="264"/>
      <c r="F736" s="264"/>
      <c r="G736" s="264"/>
      <c r="H736" s="265"/>
      <c r="I736" s="381"/>
      <c r="J736" s="381"/>
      <c r="K736" s="381"/>
      <c r="L736" s="381"/>
      <c r="M736" s="381"/>
      <c r="N736" s="381"/>
      <c r="O736" s="381"/>
      <c r="P736" s="381"/>
      <c r="Q736" s="381"/>
    </row>
    <row r="737" spans="1:17" x14ac:dyDescent="0.25">
      <c r="A737" s="312" t="s">
        <v>8363</v>
      </c>
      <c r="B737" s="337" t="s">
        <v>8362</v>
      </c>
      <c r="C737" s="338"/>
      <c r="D737" s="339"/>
      <c r="E737" s="340"/>
      <c r="F737" s="341"/>
      <c r="G737" s="341"/>
      <c r="H737" s="342"/>
      <c r="I737" s="267"/>
      <c r="J737" s="267"/>
      <c r="K737" s="267"/>
      <c r="L737" s="267"/>
      <c r="M737" s="267"/>
      <c r="N737" s="267"/>
      <c r="O737" s="267"/>
      <c r="P737" s="267"/>
      <c r="Q737" s="267"/>
    </row>
    <row r="738" spans="1:17" ht="33.75" x14ac:dyDescent="0.25">
      <c r="A738" s="319" t="s">
        <v>8364</v>
      </c>
      <c r="B738" s="320" t="s">
        <v>8365</v>
      </c>
      <c r="C738" s="321" t="s">
        <v>378</v>
      </c>
      <c r="D738" s="322" t="s">
        <v>1</v>
      </c>
      <c r="E738" s="323" t="s">
        <v>7193</v>
      </c>
      <c r="F738" s="323">
        <v>70</v>
      </c>
      <c r="G738" s="323">
        <v>10</v>
      </c>
      <c r="H738" s="370">
        <v>900</v>
      </c>
      <c r="I738" s="334">
        <v>15</v>
      </c>
      <c r="J738" s="335"/>
      <c r="K738" s="330"/>
      <c r="L738" s="366">
        <v>15</v>
      </c>
      <c r="M738" s="329"/>
      <c r="N738" s="330">
        <f t="shared" ref="N738:N739" si="389">ROUND(L738*M738,2)</f>
        <v>0</v>
      </c>
      <c r="O738" s="331">
        <f t="shared" ref="O738:O739" si="390">SUM(L738,I738)</f>
        <v>30</v>
      </c>
      <c r="P738" s="329">
        <f t="shared" ref="P738:P739" si="391">IF(M738&lt;&gt;"",M738,J738)</f>
        <v>0</v>
      </c>
      <c r="Q738" s="332">
        <f t="shared" ref="Q738:Q739" si="392">ROUND(O738*P738,2)</f>
        <v>0</v>
      </c>
    </row>
    <row r="739" spans="1:17" ht="33.75" x14ac:dyDescent="0.25">
      <c r="A739" s="319" t="s">
        <v>8366</v>
      </c>
      <c r="B739" s="320" t="s">
        <v>8367</v>
      </c>
      <c r="C739" s="321" t="s">
        <v>378</v>
      </c>
      <c r="D739" s="322" t="s">
        <v>1</v>
      </c>
      <c r="E739" s="323" t="s">
        <v>7193</v>
      </c>
      <c r="F739" s="323">
        <v>70</v>
      </c>
      <c r="G739" s="323">
        <v>10</v>
      </c>
      <c r="H739" s="370">
        <v>900</v>
      </c>
      <c r="I739" s="334">
        <v>15</v>
      </c>
      <c r="J739" s="335"/>
      <c r="K739" s="330"/>
      <c r="L739" s="366">
        <v>15</v>
      </c>
      <c r="M739" s="329"/>
      <c r="N739" s="330">
        <f t="shared" si="389"/>
        <v>0</v>
      </c>
      <c r="O739" s="331">
        <f t="shared" si="390"/>
        <v>30</v>
      </c>
      <c r="P739" s="329">
        <f t="shared" si="391"/>
        <v>0</v>
      </c>
      <c r="Q739" s="332">
        <f t="shared" si="392"/>
        <v>0</v>
      </c>
    </row>
    <row r="740" spans="1:17" x14ac:dyDescent="0.25">
      <c r="A740" s="176" t="s">
        <v>8368</v>
      </c>
      <c r="B740" s="169" t="s">
        <v>8158</v>
      </c>
      <c r="C740" s="177"/>
      <c r="D740" s="177"/>
      <c r="E740" s="178"/>
      <c r="F740" s="178"/>
      <c r="G740" s="178"/>
      <c r="H740" s="179"/>
      <c r="I740" s="180"/>
      <c r="J740" s="181"/>
      <c r="K740" s="182"/>
      <c r="L740" s="180"/>
      <c r="M740" s="181"/>
      <c r="N740" s="182"/>
      <c r="O740" s="180"/>
      <c r="P740" s="181"/>
      <c r="Q740" s="182"/>
    </row>
    <row r="741" spans="1:17" ht="33.75" x14ac:dyDescent="0.25">
      <c r="A741" s="347" t="s">
        <v>8369</v>
      </c>
      <c r="B741" s="347" t="s">
        <v>8370</v>
      </c>
      <c r="C741" s="348" t="s">
        <v>911</v>
      </c>
      <c r="D741" s="348" t="s">
        <v>1</v>
      </c>
      <c r="E741" s="349" t="s">
        <v>7504</v>
      </c>
      <c r="F741" s="349">
        <v>30</v>
      </c>
      <c r="G741" s="349">
        <v>80</v>
      </c>
      <c r="H741" s="324">
        <v>0</v>
      </c>
      <c r="I741" s="328">
        <v>2</v>
      </c>
      <c r="J741" s="335"/>
      <c r="K741" s="330"/>
      <c r="L741" s="378">
        <v>2</v>
      </c>
      <c r="M741" s="329"/>
      <c r="N741" s="330">
        <f t="shared" ref="N741" si="393">ROUND(L741*M741,2)</f>
        <v>0</v>
      </c>
      <c r="O741" s="331">
        <f>SUM(L741,I741)</f>
        <v>4</v>
      </c>
      <c r="P741" s="329">
        <f>IF(M741&lt;&gt;"",M741,J741)</f>
        <v>0</v>
      </c>
      <c r="Q741" s="332">
        <f>ROUND(O741*P741,2)</f>
        <v>0</v>
      </c>
    </row>
    <row r="742" spans="1:17" x14ac:dyDescent="0.25">
      <c r="A742" s="244" t="s">
        <v>8371</v>
      </c>
      <c r="B742" s="245" t="s">
        <v>8372</v>
      </c>
      <c r="C742" s="246"/>
      <c r="D742" s="247"/>
      <c r="E742" s="248"/>
      <c r="F742" s="249"/>
      <c r="G742" s="249"/>
      <c r="H742" s="250"/>
      <c r="I742" s="382"/>
      <c r="J742" s="382"/>
      <c r="K742" s="382"/>
      <c r="L742" s="382"/>
      <c r="M742" s="382"/>
      <c r="N742" s="382"/>
      <c r="O742" s="382"/>
      <c r="P742" s="382"/>
      <c r="Q742" s="382"/>
    </row>
    <row r="743" spans="1:17" x14ac:dyDescent="0.25">
      <c r="A743" s="260" t="s">
        <v>8373</v>
      </c>
      <c r="B743" s="261" t="s">
        <v>7179</v>
      </c>
      <c r="C743" s="262"/>
      <c r="D743" s="263"/>
      <c r="E743" s="264"/>
      <c r="F743" s="264"/>
      <c r="G743" s="264"/>
      <c r="H743" s="265"/>
      <c r="I743" s="383"/>
      <c r="J743" s="383"/>
      <c r="K743" s="383"/>
      <c r="L743" s="383"/>
      <c r="M743" s="383"/>
      <c r="N743" s="383"/>
      <c r="O743" s="383"/>
      <c r="P743" s="383"/>
      <c r="Q743" s="383"/>
    </row>
    <row r="744" spans="1:17" x14ac:dyDescent="0.25">
      <c r="A744" s="369" t="s">
        <v>8374</v>
      </c>
      <c r="B744" s="337" t="s">
        <v>8375</v>
      </c>
      <c r="C744" s="338"/>
      <c r="D744" s="339"/>
      <c r="E744" s="340"/>
      <c r="F744" s="341"/>
      <c r="G744" s="341"/>
      <c r="H744" s="342"/>
      <c r="I744" s="384"/>
      <c r="J744" s="384"/>
      <c r="K744" s="384"/>
      <c r="L744" s="384"/>
      <c r="M744" s="384"/>
      <c r="N744" s="384"/>
      <c r="O744" s="384"/>
      <c r="P744" s="384"/>
      <c r="Q744" s="384"/>
    </row>
    <row r="745" spans="1:17" ht="22.5" x14ac:dyDescent="0.25">
      <c r="A745" s="319" t="s">
        <v>8376</v>
      </c>
      <c r="B745" s="320" t="s">
        <v>8377</v>
      </c>
      <c r="C745" s="321" t="s">
        <v>460</v>
      </c>
      <c r="D745" s="322" t="s">
        <v>1</v>
      </c>
      <c r="E745" s="323" t="s">
        <v>7079</v>
      </c>
      <c r="F745" s="323">
        <v>75</v>
      </c>
      <c r="G745" s="323">
        <v>37</v>
      </c>
      <c r="H745" s="324">
        <v>0</v>
      </c>
      <c r="I745" s="385">
        <v>6</v>
      </c>
      <c r="J745" s="335"/>
      <c r="K745" s="330"/>
      <c r="L745" s="386">
        <v>6</v>
      </c>
      <c r="M745" s="329"/>
      <c r="N745" s="330">
        <f t="shared" ref="N745:N746" si="394">ROUND(L745*M745,2)</f>
        <v>0</v>
      </c>
      <c r="O745" s="331">
        <f t="shared" ref="O745:O746" si="395">SUM(L745,I745)</f>
        <v>12</v>
      </c>
      <c r="P745" s="329">
        <f t="shared" ref="P745:P746" si="396">IF(M745&lt;&gt;"",M745,J745)</f>
        <v>0</v>
      </c>
      <c r="Q745" s="332">
        <f t="shared" ref="Q745:Q746" si="397">ROUND(O745*P745,2)</f>
        <v>0</v>
      </c>
    </row>
    <row r="746" spans="1:17" ht="22.5" x14ac:dyDescent="0.25">
      <c r="A746" s="319" t="s">
        <v>8378</v>
      </c>
      <c r="B746" s="320" t="s">
        <v>8379</v>
      </c>
      <c r="C746" s="321" t="s">
        <v>460</v>
      </c>
      <c r="D746" s="322" t="s">
        <v>1</v>
      </c>
      <c r="E746" s="323" t="s">
        <v>7079</v>
      </c>
      <c r="F746" s="323">
        <v>75</v>
      </c>
      <c r="G746" s="323">
        <v>37</v>
      </c>
      <c r="H746" s="324">
        <v>0</v>
      </c>
      <c r="I746" s="385">
        <v>3</v>
      </c>
      <c r="J746" s="335"/>
      <c r="K746" s="330"/>
      <c r="L746" s="386">
        <v>3</v>
      </c>
      <c r="M746" s="329"/>
      <c r="N746" s="330">
        <f t="shared" si="394"/>
        <v>0</v>
      </c>
      <c r="O746" s="331">
        <f t="shared" si="395"/>
        <v>6</v>
      </c>
      <c r="P746" s="329">
        <f t="shared" si="396"/>
        <v>0</v>
      </c>
      <c r="Q746" s="332">
        <f t="shared" si="397"/>
        <v>0</v>
      </c>
    </row>
    <row r="747" spans="1:17" x14ac:dyDescent="0.25">
      <c r="A747" s="244" t="s">
        <v>8380</v>
      </c>
      <c r="B747" s="245" t="s">
        <v>8381</v>
      </c>
      <c r="C747" s="246"/>
      <c r="D747" s="247"/>
      <c r="E747" s="248"/>
      <c r="F747" s="249"/>
      <c r="G747" s="249"/>
      <c r="H747" s="250"/>
      <c r="I747" s="387"/>
      <c r="J747" s="387"/>
      <c r="K747" s="387"/>
      <c r="L747" s="387"/>
      <c r="M747" s="387"/>
      <c r="N747" s="387"/>
      <c r="O747" s="387"/>
      <c r="P747" s="387"/>
      <c r="Q747" s="387"/>
    </row>
    <row r="748" spans="1:17" x14ac:dyDescent="0.25">
      <c r="A748" s="260" t="s">
        <v>8382</v>
      </c>
      <c r="B748" s="261" t="s">
        <v>8383</v>
      </c>
      <c r="C748" s="262"/>
      <c r="D748" s="263"/>
      <c r="E748" s="264"/>
      <c r="F748" s="264"/>
      <c r="G748" s="264"/>
      <c r="H748" s="265"/>
      <c r="I748" s="381"/>
      <c r="J748" s="381"/>
      <c r="K748" s="381"/>
      <c r="L748" s="381"/>
      <c r="M748" s="381"/>
      <c r="N748" s="381"/>
      <c r="O748" s="381"/>
      <c r="P748" s="381"/>
      <c r="Q748" s="381"/>
    </row>
    <row r="749" spans="1:17" x14ac:dyDescent="0.25">
      <c r="A749" s="312" t="s">
        <v>8384</v>
      </c>
      <c r="B749" s="313" t="s">
        <v>8385</v>
      </c>
      <c r="C749" s="314"/>
      <c r="D749" s="315"/>
      <c r="E749" s="316"/>
      <c r="F749" s="316"/>
      <c r="G749" s="316"/>
      <c r="H749" s="317"/>
      <c r="I749" s="381"/>
      <c r="J749" s="381"/>
      <c r="K749" s="381"/>
      <c r="L749" s="381"/>
      <c r="M749" s="381"/>
      <c r="N749" s="381"/>
      <c r="O749" s="381"/>
      <c r="P749" s="381"/>
      <c r="Q749" s="381"/>
    </row>
    <row r="750" spans="1:17" x14ac:dyDescent="0.25">
      <c r="A750" s="319" t="s">
        <v>8386</v>
      </c>
      <c r="B750" s="320" t="s">
        <v>8385</v>
      </c>
      <c r="C750" s="321" t="s">
        <v>88</v>
      </c>
      <c r="D750" s="322" t="s">
        <v>1</v>
      </c>
      <c r="E750" s="323" t="s">
        <v>7193</v>
      </c>
      <c r="F750" s="323">
        <v>55</v>
      </c>
      <c r="G750" s="323">
        <v>10</v>
      </c>
      <c r="H750" s="324">
        <v>900</v>
      </c>
      <c r="I750" s="325">
        <v>30</v>
      </c>
      <c r="J750" s="335"/>
      <c r="K750" s="330"/>
      <c r="L750" s="364">
        <v>30</v>
      </c>
      <c r="M750" s="329"/>
      <c r="N750" s="330">
        <f t="shared" ref="N750" si="398">ROUND(L750*M750,2)</f>
        <v>0</v>
      </c>
      <c r="O750" s="331">
        <f>SUM(L750,I750)</f>
        <v>60</v>
      </c>
      <c r="P750" s="329">
        <f>IF(M750&lt;&gt;"",M750,J750)</f>
        <v>0</v>
      </c>
      <c r="Q750" s="332">
        <f>ROUND(O750*P750,2)</f>
        <v>0</v>
      </c>
    </row>
    <row r="751" spans="1:17" x14ac:dyDescent="0.25">
      <c r="A751" s="260" t="s">
        <v>8387</v>
      </c>
      <c r="B751" s="261" t="s">
        <v>8388</v>
      </c>
      <c r="C751" s="262"/>
      <c r="D751" s="263"/>
      <c r="E751" s="264"/>
      <c r="F751" s="264"/>
      <c r="G751" s="264"/>
      <c r="H751" s="265"/>
      <c r="I751" s="381"/>
      <c r="J751" s="381"/>
      <c r="K751" s="381"/>
      <c r="L751" s="381"/>
      <c r="M751" s="381"/>
      <c r="N751" s="381"/>
      <c r="O751" s="381"/>
      <c r="P751" s="381"/>
      <c r="Q751" s="381"/>
    </row>
    <row r="752" spans="1:17" x14ac:dyDescent="0.25">
      <c r="A752" s="312" t="s">
        <v>8389</v>
      </c>
      <c r="B752" s="313" t="s">
        <v>8390</v>
      </c>
      <c r="C752" s="314"/>
      <c r="D752" s="315"/>
      <c r="E752" s="316"/>
      <c r="F752" s="316"/>
      <c r="G752" s="316"/>
      <c r="H752" s="317"/>
      <c r="I752" s="381"/>
      <c r="J752" s="381"/>
      <c r="K752" s="381"/>
      <c r="L752" s="381"/>
      <c r="M752" s="381"/>
      <c r="N752" s="381"/>
      <c r="O752" s="381"/>
      <c r="P752" s="381"/>
      <c r="Q752" s="381"/>
    </row>
    <row r="753" spans="1:17" ht="22.5" x14ac:dyDescent="0.25">
      <c r="A753" s="319" t="s">
        <v>8391</v>
      </c>
      <c r="B753" s="320" t="s">
        <v>8392</v>
      </c>
      <c r="C753" s="321" t="s">
        <v>911</v>
      </c>
      <c r="D753" s="322" t="s">
        <v>1</v>
      </c>
      <c r="E753" s="323" t="s">
        <v>7504</v>
      </c>
      <c r="F753" s="323">
        <v>32</v>
      </c>
      <c r="G753" s="323">
        <v>20</v>
      </c>
      <c r="H753" s="333">
        <v>0</v>
      </c>
      <c r="I753" s="325">
        <v>2</v>
      </c>
      <c r="J753" s="326"/>
      <c r="K753" s="330"/>
      <c r="L753" s="364">
        <v>2</v>
      </c>
      <c r="M753" s="329"/>
      <c r="N753" s="330">
        <f t="shared" ref="N753" si="399">ROUND(L753*M753,2)</f>
        <v>0</v>
      </c>
      <c r="O753" s="331">
        <f>SUM(L753,I753)</f>
        <v>4</v>
      </c>
      <c r="P753" s="329">
        <f>IF(M753&lt;&gt;"",M753,J753)</f>
        <v>0</v>
      </c>
      <c r="Q753" s="332">
        <f>ROUND(O753*P753,2)</f>
        <v>0</v>
      </c>
    </row>
    <row r="754" spans="1:17" x14ac:dyDescent="0.25">
      <c r="A754" s="139" t="s">
        <v>8393</v>
      </c>
      <c r="B754" s="139" t="s">
        <v>7883</v>
      </c>
      <c r="C754" s="140"/>
      <c r="D754" s="140"/>
      <c r="E754" s="141"/>
      <c r="F754" s="142"/>
      <c r="G754" s="142"/>
      <c r="H754" s="143"/>
      <c r="I754" s="144"/>
      <c r="J754" s="145"/>
      <c r="K754" s="146"/>
      <c r="L754" s="144"/>
      <c r="M754" s="145"/>
      <c r="N754" s="146"/>
      <c r="O754" s="144"/>
      <c r="P754" s="145"/>
      <c r="Q754" s="146"/>
    </row>
    <row r="755" spans="1:17" x14ac:dyDescent="0.25">
      <c r="A755" s="169" t="s">
        <v>8394</v>
      </c>
      <c r="B755" s="169" t="s">
        <v>8189</v>
      </c>
      <c r="C755" s="170"/>
      <c r="D755" s="170"/>
      <c r="E755" s="171"/>
      <c r="F755" s="171"/>
      <c r="G755" s="171"/>
      <c r="H755" s="172"/>
      <c r="I755" s="173"/>
      <c r="J755" s="174"/>
      <c r="K755" s="175"/>
      <c r="L755" s="173"/>
      <c r="M755" s="174"/>
      <c r="N755" s="175"/>
      <c r="O755" s="173"/>
      <c r="P755" s="174"/>
      <c r="Q755" s="175"/>
    </row>
    <row r="756" spans="1:17" x14ac:dyDescent="0.25">
      <c r="A756" s="319" t="s">
        <v>8395</v>
      </c>
      <c r="B756" s="320" t="s">
        <v>8191</v>
      </c>
      <c r="C756" s="321" t="s">
        <v>524</v>
      </c>
      <c r="D756" s="362" t="s">
        <v>1</v>
      </c>
      <c r="E756" s="363" t="s">
        <v>7675</v>
      </c>
      <c r="F756" s="363">
        <v>5</v>
      </c>
      <c r="G756" s="363">
        <v>5</v>
      </c>
      <c r="H756" s="324">
        <v>10</v>
      </c>
      <c r="I756" s="325">
        <v>10</v>
      </c>
      <c r="J756" s="335"/>
      <c r="K756" s="330"/>
      <c r="L756" s="378">
        <v>10</v>
      </c>
      <c r="M756" s="329"/>
      <c r="N756" s="330">
        <f t="shared" ref="N756" si="400">ROUND(L756*M756,2)</f>
        <v>0</v>
      </c>
      <c r="O756" s="331">
        <f>SUM(L756,I756)</f>
        <v>20</v>
      </c>
      <c r="P756" s="329">
        <f>IF(M756&lt;&gt;"",M756,J756)</f>
        <v>0</v>
      </c>
      <c r="Q756" s="332">
        <f>ROUND(O756*P756,2)</f>
        <v>0</v>
      </c>
    </row>
    <row r="757" spans="1:17" x14ac:dyDescent="0.25">
      <c r="A757" s="244" t="s">
        <v>8396</v>
      </c>
      <c r="B757" s="245" t="s">
        <v>8250</v>
      </c>
      <c r="C757" s="246"/>
      <c r="D757" s="247"/>
      <c r="E757" s="248"/>
      <c r="F757" s="249"/>
      <c r="G757" s="249"/>
      <c r="H757" s="250"/>
      <c r="I757" s="276"/>
      <c r="J757" s="276"/>
      <c r="K757" s="276"/>
      <c r="L757" s="276"/>
      <c r="M757" s="276"/>
      <c r="N757" s="276"/>
      <c r="O757" s="276"/>
      <c r="P757" s="276"/>
      <c r="Q757" s="276"/>
    </row>
    <row r="758" spans="1:17" x14ac:dyDescent="0.25">
      <c r="A758" s="319" t="s">
        <v>8397</v>
      </c>
      <c r="B758" s="319" t="s">
        <v>7889</v>
      </c>
      <c r="C758" s="321" t="s">
        <v>524</v>
      </c>
      <c r="D758" s="367" t="s">
        <v>1</v>
      </c>
      <c r="E758" s="368" t="s">
        <v>7670</v>
      </c>
      <c r="F758" s="368">
        <v>50</v>
      </c>
      <c r="G758" s="368">
        <v>50</v>
      </c>
      <c r="H758" s="324">
        <v>0</v>
      </c>
      <c r="I758" s="334">
        <v>400</v>
      </c>
      <c r="J758" s="335"/>
      <c r="K758" s="330"/>
      <c r="L758" s="366">
        <v>400</v>
      </c>
      <c r="M758" s="329"/>
      <c r="N758" s="330">
        <f t="shared" ref="N758:N759" si="401">ROUND(L758*M758,2)</f>
        <v>0</v>
      </c>
      <c r="O758" s="331">
        <f t="shared" ref="O758:O759" si="402">SUM(L758,I758)</f>
        <v>800</v>
      </c>
      <c r="P758" s="329">
        <f t="shared" ref="P758:P759" si="403">IF(M758&lt;&gt;"",M758,J758)</f>
        <v>0</v>
      </c>
      <c r="Q758" s="332">
        <f t="shared" ref="Q758:Q759" si="404">ROUND(O758*P758,2)</f>
        <v>0</v>
      </c>
    </row>
    <row r="759" spans="1:17" x14ac:dyDescent="0.25">
      <c r="A759" s="319" t="s">
        <v>8398</v>
      </c>
      <c r="B759" s="319" t="s">
        <v>7891</v>
      </c>
      <c r="C759" s="321" t="s">
        <v>524</v>
      </c>
      <c r="D759" s="367" t="s">
        <v>1</v>
      </c>
      <c r="E759" s="368" t="s">
        <v>7670</v>
      </c>
      <c r="F759" s="368">
        <v>50</v>
      </c>
      <c r="G759" s="368">
        <v>50</v>
      </c>
      <c r="H759" s="324">
        <v>0</v>
      </c>
      <c r="I759" s="334">
        <v>400</v>
      </c>
      <c r="J759" s="335"/>
      <c r="K759" s="330"/>
      <c r="L759" s="366">
        <v>400</v>
      </c>
      <c r="M759" s="329"/>
      <c r="N759" s="330">
        <f t="shared" si="401"/>
        <v>0</v>
      </c>
      <c r="O759" s="331">
        <f t="shared" si="402"/>
        <v>800</v>
      </c>
      <c r="P759" s="329">
        <f t="shared" si="403"/>
        <v>0</v>
      </c>
      <c r="Q759" s="332">
        <f t="shared" si="404"/>
        <v>0</v>
      </c>
    </row>
    <row r="760" spans="1:17" x14ac:dyDescent="0.25">
      <c r="A760" s="287"/>
      <c r="B760" s="288" t="s">
        <v>8399</v>
      </c>
      <c r="C760" s="287"/>
      <c r="D760" s="289"/>
      <c r="E760" s="290"/>
      <c r="F760" s="291"/>
      <c r="G760" s="291"/>
      <c r="H760" s="292"/>
      <c r="I760" s="294"/>
      <c r="J760" s="294"/>
      <c r="K760" s="294">
        <f>SUBTOTAL(9,K676:K759)</f>
        <v>0</v>
      </c>
      <c r="L760" s="294"/>
      <c r="M760" s="294"/>
      <c r="N760" s="294">
        <f>SUBTOTAL(9,N676:N759)</f>
        <v>0</v>
      </c>
      <c r="O760" s="294"/>
      <c r="P760" s="294"/>
      <c r="Q760" s="294">
        <f>SUBTOTAL(9,Q676:Q759)</f>
        <v>0</v>
      </c>
    </row>
    <row r="761" spans="1:17" x14ac:dyDescent="0.25">
      <c r="A761" s="154" t="s">
        <v>7083</v>
      </c>
      <c r="B761" s="154" t="s">
        <v>8400</v>
      </c>
      <c r="C761" s="155"/>
      <c r="D761" s="155"/>
      <c r="E761" s="156"/>
      <c r="F761" s="156"/>
      <c r="G761" s="156"/>
      <c r="H761" s="388"/>
      <c r="I761" s="158"/>
      <c r="J761" s="159"/>
      <c r="K761" s="160">
        <f>SUBTOTAL(9,K26:K760)</f>
        <v>22135840.930000007</v>
      </c>
      <c r="L761" s="158"/>
      <c r="M761" s="159"/>
      <c r="N761" s="160">
        <f>SUBTOTAL(9,N26:N760)</f>
        <v>-1301884.5099999998</v>
      </c>
      <c r="O761" s="158"/>
      <c r="P761" s="159"/>
      <c r="Q761" s="160">
        <f>SUBTOTAL(9,Q26:Q760)</f>
        <v>20833956.410000004</v>
      </c>
    </row>
    <row r="762" spans="1:17" ht="18.75" customHeight="1" x14ac:dyDescent="0.25">
      <c r="A762" s="389"/>
      <c r="B762" s="389" t="s">
        <v>8401</v>
      </c>
      <c r="C762" s="390"/>
      <c r="D762" s="390"/>
      <c r="E762" s="391"/>
      <c r="F762" s="391"/>
      <c r="G762" s="391"/>
      <c r="H762" s="392"/>
      <c r="I762" s="393"/>
      <c r="J762" s="394"/>
      <c r="K762" s="395">
        <f>SUBTOTAL(9,K8:K761)</f>
        <v>31025003.269999992</v>
      </c>
      <c r="L762" s="393"/>
      <c r="M762" s="394"/>
      <c r="N762" s="395">
        <f>SUBTOTAL(9,N8:N761)</f>
        <v>-1301884.5099999998</v>
      </c>
      <c r="O762" s="393"/>
      <c r="P762" s="394"/>
      <c r="Q762" s="395">
        <f>SUBTOTAL(9,Q8:Q761)</f>
        <v>29723118.749999993</v>
      </c>
    </row>
    <row r="763" spans="1:17" x14ac:dyDescent="0.25">
      <c r="F763" s="397"/>
      <c r="G763" s="397"/>
    </row>
    <row r="764" spans="1:17" x14ac:dyDescent="0.25">
      <c r="F764" s="397"/>
      <c r="G764" s="397"/>
      <c r="K764" s="399"/>
      <c r="L764" s="400"/>
      <c r="N764" s="401">
        <f>Q762-N762-K762</f>
        <v>-1.0000001639127731E-2</v>
      </c>
      <c r="Q764" s="401"/>
    </row>
    <row r="765" spans="1:17" x14ac:dyDescent="0.25">
      <c r="F765" s="397"/>
      <c r="G765" s="397"/>
      <c r="N765" s="401"/>
    </row>
    <row r="766" spans="1:17" x14ac:dyDescent="0.25">
      <c r="F766" s="397"/>
    </row>
    <row r="767" spans="1:17" x14ac:dyDescent="0.25">
      <c r="F767" s="397"/>
    </row>
    <row r="768" spans="1:17" x14ac:dyDescent="0.25">
      <c r="F768" s="397"/>
    </row>
    <row r="769" spans="6:6" x14ac:dyDescent="0.25">
      <c r="F769" s="397"/>
    </row>
    <row r="770" spans="6:6" x14ac:dyDescent="0.25">
      <c r="F770" s="397"/>
    </row>
    <row r="771" spans="6:6" x14ac:dyDescent="0.25">
      <c r="F771" s="397"/>
    </row>
    <row r="772" spans="6:6" x14ac:dyDescent="0.25">
      <c r="F772" s="397"/>
    </row>
    <row r="773" spans="6:6" x14ac:dyDescent="0.25">
      <c r="F773" s="397"/>
    </row>
    <row r="774" spans="6:6" x14ac:dyDescent="0.25">
      <c r="F774" s="397"/>
    </row>
    <row r="775" spans="6:6" x14ac:dyDescent="0.25">
      <c r="F775" s="397"/>
    </row>
    <row r="776" spans="6:6" x14ac:dyDescent="0.25">
      <c r="F776" s="397"/>
    </row>
    <row r="777" spans="6:6" x14ac:dyDescent="0.25">
      <c r="F777" s="397"/>
    </row>
    <row r="778" spans="6:6" x14ac:dyDescent="0.25">
      <c r="F778" s="397"/>
    </row>
    <row r="779" spans="6:6" x14ac:dyDescent="0.25">
      <c r="F779" s="397"/>
    </row>
    <row r="780" spans="6:6" x14ac:dyDescent="0.25">
      <c r="F780" s="397"/>
    </row>
    <row r="781" spans="6:6" x14ac:dyDescent="0.25">
      <c r="F781" s="397"/>
    </row>
    <row r="782" spans="6:6" x14ac:dyDescent="0.25">
      <c r="F782" s="397"/>
    </row>
    <row r="783" spans="6:6" x14ac:dyDescent="0.25">
      <c r="F783" s="397"/>
    </row>
    <row r="784" spans="6:6" x14ac:dyDescent="0.25">
      <c r="F784" s="397"/>
    </row>
    <row r="785" spans="6:6" x14ac:dyDescent="0.25">
      <c r="F785" s="397"/>
    </row>
    <row r="786" spans="6:6" x14ac:dyDescent="0.25">
      <c r="F786" s="397"/>
    </row>
    <row r="787" spans="6:6" x14ac:dyDescent="0.25">
      <c r="F787" s="397"/>
    </row>
    <row r="788" spans="6:6" x14ac:dyDescent="0.25">
      <c r="F788" s="397"/>
    </row>
    <row r="789" spans="6:6" x14ac:dyDescent="0.25">
      <c r="F789" s="397"/>
    </row>
    <row r="790" spans="6:6" x14ac:dyDescent="0.25">
      <c r="F790" s="397"/>
    </row>
    <row r="791" spans="6:6" x14ac:dyDescent="0.25">
      <c r="F791" s="397"/>
    </row>
    <row r="792" spans="6:6" x14ac:dyDescent="0.25">
      <c r="F792" s="397"/>
    </row>
    <row r="793" spans="6:6" x14ac:dyDescent="0.25">
      <c r="F793" s="397"/>
    </row>
    <row r="794" spans="6:6" x14ac:dyDescent="0.25">
      <c r="F794" s="397"/>
    </row>
  </sheetData>
  <autoFilter ref="A7:Q764" xr:uid="{0C2CD1D4-4A67-4FC0-98DA-2A40F1B96323}"/>
  <mergeCells count="15">
    <mergeCell ref="A1:N1"/>
    <mergeCell ref="O1:Q1"/>
    <mergeCell ref="A2:N2"/>
    <mergeCell ref="O2:Q2"/>
    <mergeCell ref="A3:N5"/>
    <mergeCell ref="O3:Q3"/>
    <mergeCell ref="O4:Q4"/>
    <mergeCell ref="O5:Q5"/>
    <mergeCell ref="O6:Q6"/>
    <mergeCell ref="A6:A7"/>
    <mergeCell ref="B6:B7"/>
    <mergeCell ref="C6:C7"/>
    <mergeCell ref="D6:H7"/>
    <mergeCell ref="I6:K6"/>
    <mergeCell ref="L6:N6"/>
  </mergeCells>
  <printOptions horizontalCentered="1"/>
  <pageMargins left="0.39370078740157483" right="0.39370078740157483" top="0.59055118110236227" bottom="0.39370078740157483" header="1.299212598425197" footer="0"/>
  <pageSetup paperSize="8" firstPageNumber="2" fitToHeight="0" orientation="landscape" r:id="rId1"/>
  <headerFooter alignWithMargins="0">
    <oddHeader>&amp;R&amp;8&amp;P / &amp;N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641D-F6FC-4A28-802C-05DDD8F50436}">
  <sheetPr>
    <tabColor rgb="FFFF0000"/>
  </sheetPr>
  <dimension ref="A1:K3106"/>
  <sheetViews>
    <sheetView workbookViewId="0">
      <pane ySplit="1" topLeftCell="A2" activePane="bottomLeft" state="frozen"/>
      <selection activeCell="E23" sqref="E23"/>
      <selection pane="bottomLeft" activeCell="E23" sqref="E23"/>
    </sheetView>
  </sheetViews>
  <sheetFormatPr defaultRowHeight="15" x14ac:dyDescent="0.25"/>
  <cols>
    <col min="1" max="1" width="8.7109375" bestFit="1" customWidth="1"/>
    <col min="2" max="2" width="4.85546875" bestFit="1" customWidth="1"/>
    <col min="3" max="3" width="7.7109375" bestFit="1" customWidth="1"/>
    <col min="4" max="4" width="14.7109375" bestFit="1" customWidth="1"/>
    <col min="5" max="5" width="114" customWidth="1"/>
    <col min="6" max="6" width="7.5703125" bestFit="1" customWidth="1"/>
    <col min="7" max="7" width="13.42578125" bestFit="1" customWidth="1"/>
    <col min="8" max="8" width="9" style="11" bestFit="1" customWidth="1"/>
    <col min="9" max="9" width="11.7109375" style="11" bestFit="1" customWidth="1"/>
    <col min="10" max="10" width="15.5703125" style="11" bestFit="1" customWidth="1"/>
    <col min="11" max="11" width="13.5703125" style="11" bestFit="1" customWidth="1"/>
  </cols>
  <sheetData>
    <row r="1" spans="1:11" s="15" customFormat="1" ht="50.1" customHeight="1" x14ac:dyDescent="0.25">
      <c r="A1" s="13" t="s">
        <v>34</v>
      </c>
      <c r="B1" s="13" t="s">
        <v>35</v>
      </c>
      <c r="C1" s="13" t="s">
        <v>36</v>
      </c>
      <c r="D1" s="13" t="s">
        <v>37</v>
      </c>
      <c r="E1" s="13" t="s">
        <v>38</v>
      </c>
      <c r="F1" s="13" t="s">
        <v>39</v>
      </c>
      <c r="G1" s="13" t="s">
        <v>1</v>
      </c>
      <c r="H1" s="14" t="s">
        <v>40</v>
      </c>
      <c r="I1" s="14" t="s">
        <v>41</v>
      </c>
      <c r="J1" s="14" t="s">
        <v>42</v>
      </c>
      <c r="K1" s="14" t="s">
        <v>43</v>
      </c>
    </row>
    <row r="2" spans="1:11" x14ac:dyDescent="0.25">
      <c r="A2" s="8" t="s">
        <v>44</v>
      </c>
      <c r="B2" s="8" t="s">
        <v>45</v>
      </c>
      <c r="C2" s="8" t="s">
        <v>46</v>
      </c>
      <c r="D2" s="8">
        <v>4</v>
      </c>
      <c r="E2" s="8" t="s">
        <v>47</v>
      </c>
      <c r="F2" s="8" t="s">
        <v>48</v>
      </c>
      <c r="G2" s="8" t="s">
        <v>49</v>
      </c>
      <c r="H2" s="10">
        <v>1</v>
      </c>
      <c r="I2" s="10"/>
      <c r="J2" s="10">
        <v>1</v>
      </c>
      <c r="K2" s="10">
        <v>4381705.9000000004</v>
      </c>
    </row>
    <row r="3" spans="1:11" x14ac:dyDescent="0.25">
      <c r="A3" s="8" t="s">
        <v>50</v>
      </c>
      <c r="B3" s="8" t="s">
        <v>45</v>
      </c>
      <c r="C3" s="8" t="s">
        <v>51</v>
      </c>
      <c r="D3" s="8">
        <v>2</v>
      </c>
      <c r="E3" s="8" t="s">
        <v>52</v>
      </c>
      <c r="F3" s="8" t="s">
        <v>48</v>
      </c>
      <c r="G3" s="8" t="s">
        <v>53</v>
      </c>
      <c r="H3" s="10">
        <v>1</v>
      </c>
      <c r="I3" s="10"/>
      <c r="J3" s="10">
        <v>1</v>
      </c>
      <c r="K3" s="10">
        <v>2518535.12</v>
      </c>
    </row>
    <row r="4" spans="1:11" x14ac:dyDescent="0.25">
      <c r="A4" s="8" t="s">
        <v>54</v>
      </c>
      <c r="B4" s="8" t="s">
        <v>55</v>
      </c>
      <c r="C4" s="8" t="s">
        <v>56</v>
      </c>
      <c r="D4" s="8">
        <v>2</v>
      </c>
      <c r="E4" s="8" t="s">
        <v>57</v>
      </c>
      <c r="F4" s="8" t="s">
        <v>48</v>
      </c>
      <c r="G4" s="8" t="s">
        <v>58</v>
      </c>
      <c r="H4" s="10">
        <v>1</v>
      </c>
      <c r="I4" s="10"/>
      <c r="J4" s="10">
        <v>1</v>
      </c>
      <c r="K4" s="10">
        <v>6530431.2999999998</v>
      </c>
    </row>
    <row r="5" spans="1:11" x14ac:dyDescent="0.25">
      <c r="A5" s="8" t="s">
        <v>59</v>
      </c>
      <c r="B5" s="8" t="s">
        <v>55</v>
      </c>
      <c r="C5" s="8" t="s">
        <v>60</v>
      </c>
      <c r="D5" s="8">
        <v>1</v>
      </c>
      <c r="E5" s="8" t="s">
        <v>61</v>
      </c>
      <c r="F5" s="8" t="s">
        <v>62</v>
      </c>
      <c r="G5" s="8" t="s">
        <v>63</v>
      </c>
      <c r="H5" s="10">
        <v>23</v>
      </c>
      <c r="I5" s="10"/>
      <c r="J5" s="10">
        <v>23</v>
      </c>
      <c r="K5" s="10">
        <v>369900.77</v>
      </c>
    </row>
    <row r="6" spans="1:11" x14ac:dyDescent="0.25">
      <c r="A6" s="8" t="s">
        <v>64</v>
      </c>
      <c r="B6" s="8" t="s">
        <v>65</v>
      </c>
      <c r="C6" s="8" t="s">
        <v>56</v>
      </c>
      <c r="D6" s="8">
        <v>2</v>
      </c>
      <c r="E6" s="8" t="s">
        <v>66</v>
      </c>
      <c r="F6" s="8" t="s">
        <v>48</v>
      </c>
      <c r="G6" s="8" t="s">
        <v>67</v>
      </c>
      <c r="H6" s="10">
        <v>1</v>
      </c>
      <c r="I6" s="10"/>
      <c r="J6" s="10">
        <v>1</v>
      </c>
      <c r="K6" s="10">
        <v>5133167.3099999996</v>
      </c>
    </row>
    <row r="7" spans="1:11" x14ac:dyDescent="0.25">
      <c r="A7" s="8" t="s">
        <v>68</v>
      </c>
      <c r="B7" s="8" t="s">
        <v>65</v>
      </c>
      <c r="C7" s="8" t="s">
        <v>60</v>
      </c>
      <c r="D7" s="8">
        <v>1</v>
      </c>
      <c r="E7" s="8" t="s">
        <v>69</v>
      </c>
      <c r="F7" s="8" t="s">
        <v>62</v>
      </c>
      <c r="G7" s="8" t="s">
        <v>70</v>
      </c>
      <c r="H7" s="10">
        <v>23</v>
      </c>
      <c r="I7" s="10"/>
      <c r="J7" s="10">
        <v>23</v>
      </c>
      <c r="K7" s="10">
        <v>165979.28</v>
      </c>
    </row>
    <row r="8" spans="1:11" x14ac:dyDescent="0.25">
      <c r="A8" s="8" t="s">
        <v>71</v>
      </c>
      <c r="B8" s="8" t="s">
        <v>72</v>
      </c>
      <c r="C8" s="8" t="s">
        <v>73</v>
      </c>
      <c r="D8" s="8">
        <v>1</v>
      </c>
      <c r="E8" s="8" t="s">
        <v>74</v>
      </c>
      <c r="F8" s="8" t="s">
        <v>75</v>
      </c>
      <c r="G8" s="8" t="s">
        <v>76</v>
      </c>
      <c r="H8" s="10">
        <v>415.89</v>
      </c>
      <c r="I8" s="10"/>
      <c r="J8" s="10">
        <v>415.89</v>
      </c>
      <c r="K8" s="10">
        <v>277.23</v>
      </c>
    </row>
    <row r="9" spans="1:11" x14ac:dyDescent="0.25">
      <c r="A9" s="8" t="s">
        <v>77</v>
      </c>
      <c r="B9" s="8" t="s">
        <v>78</v>
      </c>
      <c r="C9" s="8" t="s">
        <v>73</v>
      </c>
      <c r="D9" s="8">
        <v>1</v>
      </c>
      <c r="E9" s="8" t="s">
        <v>74</v>
      </c>
      <c r="F9" s="8" t="s">
        <v>75</v>
      </c>
      <c r="G9" s="8" t="s">
        <v>76</v>
      </c>
      <c r="H9" s="10">
        <v>5.44</v>
      </c>
      <c r="I9" s="10"/>
      <c r="J9" s="10">
        <v>5.44</v>
      </c>
      <c r="K9" s="10">
        <v>277.23</v>
      </c>
    </row>
    <row r="10" spans="1:11" x14ac:dyDescent="0.25">
      <c r="A10" s="8" t="s">
        <v>79</v>
      </c>
      <c r="B10" s="8" t="s">
        <v>80</v>
      </c>
      <c r="C10" s="8" t="s">
        <v>73</v>
      </c>
      <c r="D10" s="8">
        <v>1</v>
      </c>
      <c r="E10" s="8" t="s">
        <v>74</v>
      </c>
      <c r="F10" s="8" t="s">
        <v>75</v>
      </c>
      <c r="G10" s="8" t="s">
        <v>76</v>
      </c>
      <c r="H10" s="10">
        <v>92.3</v>
      </c>
      <c r="I10" s="10"/>
      <c r="J10" s="10">
        <v>92.3</v>
      </c>
      <c r="K10" s="10">
        <v>277.23</v>
      </c>
    </row>
    <row r="11" spans="1:11" x14ac:dyDescent="0.25">
      <c r="A11" s="8" t="s">
        <v>81</v>
      </c>
      <c r="B11" s="8" t="s">
        <v>72</v>
      </c>
      <c r="C11" s="8" t="s">
        <v>73</v>
      </c>
      <c r="D11" s="8">
        <v>1</v>
      </c>
      <c r="E11" s="8" t="s">
        <v>82</v>
      </c>
      <c r="F11" s="8" t="s">
        <v>75</v>
      </c>
      <c r="G11" s="8" t="s">
        <v>76</v>
      </c>
      <c r="H11" s="10">
        <v>1146.21</v>
      </c>
      <c r="I11" s="10"/>
      <c r="J11" s="10">
        <v>1146.21</v>
      </c>
      <c r="K11" s="10">
        <v>40.33</v>
      </c>
    </row>
    <row r="12" spans="1:11" x14ac:dyDescent="0.25">
      <c r="A12" s="8" t="s">
        <v>83</v>
      </c>
      <c r="B12" s="8" t="s">
        <v>78</v>
      </c>
      <c r="C12" s="8" t="s">
        <v>73</v>
      </c>
      <c r="D12" s="8">
        <v>1</v>
      </c>
      <c r="E12" s="8" t="s">
        <v>82</v>
      </c>
      <c r="F12" s="8" t="s">
        <v>75</v>
      </c>
      <c r="G12" s="8" t="s">
        <v>76</v>
      </c>
      <c r="H12" s="10">
        <v>0.61</v>
      </c>
      <c r="I12" s="10"/>
      <c r="J12" s="10">
        <v>0.61</v>
      </c>
      <c r="K12" s="10">
        <v>40.33</v>
      </c>
    </row>
    <row r="13" spans="1:11" x14ac:dyDescent="0.25">
      <c r="A13" s="8" t="s">
        <v>84</v>
      </c>
      <c r="B13" s="8" t="s">
        <v>80</v>
      </c>
      <c r="C13" s="8" t="s">
        <v>73</v>
      </c>
      <c r="D13" s="8">
        <v>1</v>
      </c>
      <c r="E13" s="8" t="s">
        <v>82</v>
      </c>
      <c r="F13" s="8" t="s">
        <v>75</v>
      </c>
      <c r="G13" s="8" t="s">
        <v>76</v>
      </c>
      <c r="H13" s="10">
        <v>510.25</v>
      </c>
      <c r="I13" s="10"/>
      <c r="J13" s="10">
        <v>510.25</v>
      </c>
      <c r="K13" s="10">
        <v>40.33</v>
      </c>
    </row>
    <row r="14" spans="1:11" x14ac:dyDescent="0.25">
      <c r="A14" s="8" t="s">
        <v>85</v>
      </c>
      <c r="B14" s="8" t="s">
        <v>72</v>
      </c>
      <c r="C14" s="8" t="s">
        <v>86</v>
      </c>
      <c r="D14" s="8">
        <v>1</v>
      </c>
      <c r="E14" s="8" t="s">
        <v>87</v>
      </c>
      <c r="F14" s="8" t="s">
        <v>88</v>
      </c>
      <c r="G14" s="8" t="s">
        <v>89</v>
      </c>
      <c r="H14" s="10">
        <v>960.5</v>
      </c>
      <c r="I14" s="10"/>
      <c r="J14" s="10">
        <v>960.5</v>
      </c>
      <c r="K14" s="10">
        <v>20.67</v>
      </c>
    </row>
    <row r="15" spans="1:11" x14ac:dyDescent="0.25">
      <c r="A15" s="8" t="s">
        <v>90</v>
      </c>
      <c r="B15" s="8" t="s">
        <v>78</v>
      </c>
      <c r="C15" s="8" t="s">
        <v>86</v>
      </c>
      <c r="D15" s="8">
        <v>1</v>
      </c>
      <c r="E15" s="8" t="s">
        <v>87</v>
      </c>
      <c r="F15" s="8" t="s">
        <v>88</v>
      </c>
      <c r="G15" s="8" t="s">
        <v>89</v>
      </c>
      <c r="H15" s="10">
        <v>30.23</v>
      </c>
      <c r="I15" s="10"/>
      <c r="J15" s="10">
        <v>30.23</v>
      </c>
      <c r="K15" s="10">
        <v>20.67</v>
      </c>
    </row>
    <row r="16" spans="1:11" x14ac:dyDescent="0.25">
      <c r="A16" s="8" t="s">
        <v>91</v>
      </c>
      <c r="B16" s="8" t="s">
        <v>80</v>
      </c>
      <c r="C16" s="8" t="s">
        <v>86</v>
      </c>
      <c r="D16" s="8">
        <v>1</v>
      </c>
      <c r="E16" s="8" t="s">
        <v>87</v>
      </c>
      <c r="F16" s="8" t="s">
        <v>88</v>
      </c>
      <c r="G16" s="8" t="s">
        <v>89</v>
      </c>
      <c r="H16" s="10">
        <v>212.75</v>
      </c>
      <c r="I16" s="10"/>
      <c r="J16" s="10">
        <v>212.75</v>
      </c>
      <c r="K16" s="10">
        <v>20.67</v>
      </c>
    </row>
    <row r="17" spans="1:11" x14ac:dyDescent="0.25">
      <c r="A17" s="8" t="s">
        <v>92</v>
      </c>
      <c r="B17" s="8" t="s">
        <v>72</v>
      </c>
      <c r="C17" s="8" t="s">
        <v>73</v>
      </c>
      <c r="D17" s="8">
        <v>1</v>
      </c>
      <c r="E17" s="8" t="s">
        <v>93</v>
      </c>
      <c r="F17" s="8" t="s">
        <v>75</v>
      </c>
      <c r="G17" s="8" t="s">
        <v>94</v>
      </c>
      <c r="H17" s="10">
        <v>1000</v>
      </c>
      <c r="I17" s="10"/>
      <c r="J17" s="10">
        <v>1000</v>
      </c>
      <c r="K17" s="10">
        <v>78.55</v>
      </c>
    </row>
    <row r="18" spans="1:11" x14ac:dyDescent="0.25">
      <c r="A18" s="8" t="s">
        <v>95</v>
      </c>
      <c r="B18" s="8" t="s">
        <v>80</v>
      </c>
      <c r="C18" s="8" t="s">
        <v>73</v>
      </c>
      <c r="D18" s="8">
        <v>1</v>
      </c>
      <c r="E18" s="8" t="s">
        <v>93</v>
      </c>
      <c r="F18" s="8" t="s">
        <v>75</v>
      </c>
      <c r="G18" s="8" t="s">
        <v>94</v>
      </c>
      <c r="H18" s="10">
        <v>450</v>
      </c>
      <c r="I18" s="10"/>
      <c r="J18" s="10">
        <v>450</v>
      </c>
      <c r="K18" s="10">
        <v>78.55</v>
      </c>
    </row>
    <row r="19" spans="1:11" x14ac:dyDescent="0.25">
      <c r="A19" s="8" t="s">
        <v>96</v>
      </c>
      <c r="B19" s="8" t="s">
        <v>72</v>
      </c>
      <c r="C19" s="8" t="s">
        <v>73</v>
      </c>
      <c r="D19" s="8">
        <v>1</v>
      </c>
      <c r="E19" s="8" t="s">
        <v>97</v>
      </c>
      <c r="F19" s="8" t="s">
        <v>75</v>
      </c>
      <c r="G19" s="8" t="s">
        <v>94</v>
      </c>
      <c r="H19" s="10">
        <v>257.10000000000002</v>
      </c>
      <c r="I19" s="10"/>
      <c r="J19" s="10">
        <v>257.10000000000002</v>
      </c>
      <c r="K19" s="10">
        <v>103.36</v>
      </c>
    </row>
    <row r="20" spans="1:11" x14ac:dyDescent="0.25">
      <c r="A20" s="8" t="s">
        <v>98</v>
      </c>
      <c r="B20" s="8" t="s">
        <v>78</v>
      </c>
      <c r="C20" s="8" t="s">
        <v>73</v>
      </c>
      <c r="D20" s="8">
        <v>1</v>
      </c>
      <c r="E20" s="8" t="s">
        <v>97</v>
      </c>
      <c r="F20" s="8" t="s">
        <v>75</v>
      </c>
      <c r="G20" s="8" t="s">
        <v>94</v>
      </c>
      <c r="H20" s="10">
        <v>4.05</v>
      </c>
      <c r="I20" s="10"/>
      <c r="J20" s="10">
        <v>4.05</v>
      </c>
      <c r="K20" s="10">
        <v>103.36</v>
      </c>
    </row>
    <row r="21" spans="1:11" x14ac:dyDescent="0.25">
      <c r="A21" s="8" t="s">
        <v>99</v>
      </c>
      <c r="B21" s="8" t="s">
        <v>80</v>
      </c>
      <c r="C21" s="8" t="s">
        <v>73</v>
      </c>
      <c r="D21" s="8">
        <v>1</v>
      </c>
      <c r="E21" s="8" t="s">
        <v>97</v>
      </c>
      <c r="F21" s="8" t="s">
        <v>75</v>
      </c>
      <c r="G21" s="8" t="s">
        <v>94</v>
      </c>
      <c r="H21" s="10">
        <v>57.2</v>
      </c>
      <c r="I21" s="10"/>
      <c r="J21" s="10">
        <v>57.2</v>
      </c>
      <c r="K21" s="10">
        <v>103.36</v>
      </c>
    </row>
    <row r="22" spans="1:11" x14ac:dyDescent="0.25">
      <c r="A22" s="8" t="s">
        <v>100</v>
      </c>
      <c r="B22" s="8" t="s">
        <v>72</v>
      </c>
      <c r="C22" s="8" t="s">
        <v>73</v>
      </c>
      <c r="D22" s="8">
        <v>1</v>
      </c>
      <c r="E22" s="8" t="s">
        <v>101</v>
      </c>
      <c r="F22" s="8" t="s">
        <v>75</v>
      </c>
      <c r="G22" s="8" t="s">
        <v>102</v>
      </c>
      <c r="H22" s="10">
        <v>205</v>
      </c>
      <c r="I22" s="10"/>
      <c r="J22" s="10">
        <v>205</v>
      </c>
      <c r="K22" s="10">
        <v>35.950000000000003</v>
      </c>
    </row>
    <row r="23" spans="1:11" x14ac:dyDescent="0.25">
      <c r="A23" s="8" t="s">
        <v>103</v>
      </c>
      <c r="B23" s="8" t="s">
        <v>78</v>
      </c>
      <c r="C23" s="8" t="s">
        <v>73</v>
      </c>
      <c r="D23" s="8">
        <v>1</v>
      </c>
      <c r="E23" s="8" t="s">
        <v>101</v>
      </c>
      <c r="F23" s="8" t="s">
        <v>75</v>
      </c>
      <c r="G23" s="8" t="s">
        <v>102</v>
      </c>
      <c r="H23" s="10">
        <v>2</v>
      </c>
      <c r="I23" s="10"/>
      <c r="J23" s="10">
        <v>2</v>
      </c>
      <c r="K23" s="10">
        <v>35.950000000000003</v>
      </c>
    </row>
    <row r="24" spans="1:11" x14ac:dyDescent="0.25">
      <c r="A24" s="8" t="s">
        <v>104</v>
      </c>
      <c r="B24" s="8" t="s">
        <v>80</v>
      </c>
      <c r="C24" s="8" t="s">
        <v>73</v>
      </c>
      <c r="D24" s="8">
        <v>1</v>
      </c>
      <c r="E24" s="8" t="s">
        <v>101</v>
      </c>
      <c r="F24" s="8" t="s">
        <v>75</v>
      </c>
      <c r="G24" s="8" t="s">
        <v>102</v>
      </c>
      <c r="H24" s="10">
        <v>45.35</v>
      </c>
      <c r="I24" s="10"/>
      <c r="J24" s="10">
        <v>45.35</v>
      </c>
      <c r="K24" s="10">
        <v>35.950000000000003</v>
      </c>
    </row>
    <row r="25" spans="1:11" x14ac:dyDescent="0.25">
      <c r="A25" s="8" t="s">
        <v>105</v>
      </c>
      <c r="B25" s="8" t="s">
        <v>72</v>
      </c>
      <c r="C25" s="8" t="s">
        <v>106</v>
      </c>
      <c r="D25" s="8">
        <v>1</v>
      </c>
      <c r="E25" s="8" t="s">
        <v>107</v>
      </c>
      <c r="F25" s="8" t="s">
        <v>108</v>
      </c>
      <c r="G25" s="8" t="s">
        <v>109</v>
      </c>
      <c r="H25" s="10">
        <v>205</v>
      </c>
      <c r="I25" s="10"/>
      <c r="J25" s="10">
        <v>205</v>
      </c>
      <c r="K25" s="10">
        <v>6.63</v>
      </c>
    </row>
    <row r="26" spans="1:11" x14ac:dyDescent="0.25">
      <c r="A26" s="8" t="s">
        <v>110</v>
      </c>
      <c r="B26" s="8" t="s">
        <v>78</v>
      </c>
      <c r="C26" s="8" t="s">
        <v>106</v>
      </c>
      <c r="D26" s="8">
        <v>1</v>
      </c>
      <c r="E26" s="8" t="s">
        <v>107</v>
      </c>
      <c r="F26" s="8" t="s">
        <v>108</v>
      </c>
      <c r="G26" s="8" t="s">
        <v>109</v>
      </c>
      <c r="H26" s="10">
        <v>2</v>
      </c>
      <c r="I26" s="10"/>
      <c r="J26" s="10">
        <v>2</v>
      </c>
      <c r="K26" s="10">
        <v>6.63</v>
      </c>
    </row>
    <row r="27" spans="1:11" x14ac:dyDescent="0.25">
      <c r="A27" s="8" t="s">
        <v>111</v>
      </c>
      <c r="B27" s="8" t="s">
        <v>80</v>
      </c>
      <c r="C27" s="8" t="s">
        <v>106</v>
      </c>
      <c r="D27" s="8">
        <v>1</v>
      </c>
      <c r="E27" s="8" t="s">
        <v>107</v>
      </c>
      <c r="F27" s="8" t="s">
        <v>108</v>
      </c>
      <c r="G27" s="8" t="s">
        <v>109</v>
      </c>
      <c r="H27" s="10">
        <v>45.35</v>
      </c>
      <c r="I27" s="10"/>
      <c r="J27" s="10">
        <v>45.35</v>
      </c>
      <c r="K27" s="10">
        <v>6.63</v>
      </c>
    </row>
    <row r="28" spans="1:11" x14ac:dyDescent="0.25">
      <c r="A28" s="8" t="s">
        <v>112</v>
      </c>
      <c r="B28" s="8" t="s">
        <v>72</v>
      </c>
      <c r="C28" s="8" t="s">
        <v>86</v>
      </c>
      <c r="D28" s="8">
        <v>1</v>
      </c>
      <c r="E28" s="8" t="s">
        <v>113</v>
      </c>
      <c r="F28" s="8" t="s">
        <v>88</v>
      </c>
      <c r="G28" s="8" t="s">
        <v>114</v>
      </c>
      <c r="H28" s="10">
        <v>551</v>
      </c>
      <c r="I28" s="10"/>
      <c r="J28" s="10">
        <v>551</v>
      </c>
      <c r="K28" s="10">
        <v>377.18</v>
      </c>
    </row>
    <row r="29" spans="1:11" x14ac:dyDescent="0.25">
      <c r="A29" s="8" t="s">
        <v>115</v>
      </c>
      <c r="B29" s="8" t="s">
        <v>116</v>
      </c>
      <c r="C29" s="8" t="s">
        <v>86</v>
      </c>
      <c r="D29" s="8">
        <v>1</v>
      </c>
      <c r="E29" s="8" t="s">
        <v>113</v>
      </c>
      <c r="F29" s="8" t="s">
        <v>88</v>
      </c>
      <c r="G29" s="8" t="s">
        <v>114</v>
      </c>
      <c r="H29" s="10">
        <v>19.2</v>
      </c>
      <c r="I29" s="10"/>
      <c r="J29" s="10">
        <v>19.2</v>
      </c>
      <c r="K29" s="10">
        <v>377.18</v>
      </c>
    </row>
    <row r="30" spans="1:11" x14ac:dyDescent="0.25">
      <c r="A30" s="8" t="s">
        <v>117</v>
      </c>
      <c r="B30" s="8" t="s">
        <v>118</v>
      </c>
      <c r="C30" s="8" t="s">
        <v>86</v>
      </c>
      <c r="D30" s="8">
        <v>1</v>
      </c>
      <c r="E30" s="8" t="s">
        <v>113</v>
      </c>
      <c r="F30" s="8" t="s">
        <v>88</v>
      </c>
      <c r="G30" s="8" t="s">
        <v>114</v>
      </c>
      <c r="H30" s="10">
        <v>24</v>
      </c>
      <c r="I30" s="10"/>
      <c r="J30" s="10">
        <v>24</v>
      </c>
      <c r="K30" s="10">
        <v>377.18</v>
      </c>
    </row>
    <row r="31" spans="1:11" x14ac:dyDescent="0.25">
      <c r="A31" s="8" t="s">
        <v>119</v>
      </c>
      <c r="B31" s="8" t="s">
        <v>120</v>
      </c>
      <c r="C31" s="8" t="s">
        <v>86</v>
      </c>
      <c r="D31" s="8">
        <v>1</v>
      </c>
      <c r="E31" s="8" t="s">
        <v>113</v>
      </c>
      <c r="F31" s="8" t="s">
        <v>88</v>
      </c>
      <c r="G31" s="8" t="s">
        <v>114</v>
      </c>
      <c r="H31" s="10">
        <v>40</v>
      </c>
      <c r="I31" s="10"/>
      <c r="J31" s="10">
        <v>40</v>
      </c>
      <c r="K31" s="10">
        <v>377.18</v>
      </c>
    </row>
    <row r="32" spans="1:11" x14ac:dyDescent="0.25">
      <c r="A32" s="8" t="s">
        <v>121</v>
      </c>
      <c r="B32" s="8" t="s">
        <v>122</v>
      </c>
      <c r="C32" s="8" t="s">
        <v>86</v>
      </c>
      <c r="D32" s="8">
        <v>1</v>
      </c>
      <c r="E32" s="8" t="s">
        <v>113</v>
      </c>
      <c r="F32" s="8" t="s">
        <v>88</v>
      </c>
      <c r="G32" s="8" t="s">
        <v>114</v>
      </c>
      <c r="H32" s="10">
        <v>48</v>
      </c>
      <c r="I32" s="10"/>
      <c r="J32" s="10">
        <v>48</v>
      </c>
      <c r="K32" s="10">
        <v>377.18</v>
      </c>
    </row>
    <row r="33" spans="1:11" x14ac:dyDescent="0.25">
      <c r="A33" s="8" t="s">
        <v>123</v>
      </c>
      <c r="B33" s="8" t="s">
        <v>124</v>
      </c>
      <c r="C33" s="8" t="s">
        <v>86</v>
      </c>
      <c r="D33" s="8">
        <v>1</v>
      </c>
      <c r="E33" s="8" t="s">
        <v>113</v>
      </c>
      <c r="F33" s="8" t="s">
        <v>88</v>
      </c>
      <c r="G33" s="8" t="s">
        <v>114</v>
      </c>
      <c r="H33" s="10">
        <v>51.2</v>
      </c>
      <c r="I33" s="10"/>
      <c r="J33" s="10">
        <v>51.2</v>
      </c>
      <c r="K33" s="10">
        <v>377.18</v>
      </c>
    </row>
    <row r="34" spans="1:11" x14ac:dyDescent="0.25">
      <c r="A34" s="8" t="s">
        <v>125</v>
      </c>
      <c r="B34" s="8" t="s">
        <v>78</v>
      </c>
      <c r="C34" s="8" t="s">
        <v>86</v>
      </c>
      <c r="D34" s="8">
        <v>1</v>
      </c>
      <c r="E34" s="8" t="s">
        <v>113</v>
      </c>
      <c r="F34" s="8" t="s">
        <v>88</v>
      </c>
      <c r="G34" s="8" t="s">
        <v>114</v>
      </c>
      <c r="H34" s="10">
        <v>32</v>
      </c>
      <c r="I34" s="10"/>
      <c r="J34" s="10">
        <v>32</v>
      </c>
      <c r="K34" s="10">
        <v>377.18</v>
      </c>
    </row>
    <row r="35" spans="1:11" x14ac:dyDescent="0.25">
      <c r="A35" s="8" t="s">
        <v>126</v>
      </c>
      <c r="B35" s="8" t="s">
        <v>78</v>
      </c>
      <c r="C35" s="8" t="s">
        <v>86</v>
      </c>
      <c r="D35" s="8">
        <v>1</v>
      </c>
      <c r="E35" s="8" t="s">
        <v>113</v>
      </c>
      <c r="F35" s="8" t="s">
        <v>88</v>
      </c>
      <c r="G35" s="8" t="s">
        <v>114</v>
      </c>
      <c r="H35" s="10">
        <v>17.55</v>
      </c>
      <c r="I35" s="10"/>
      <c r="J35" s="10">
        <v>17.55</v>
      </c>
      <c r="K35" s="10">
        <v>377.18</v>
      </c>
    </row>
    <row r="36" spans="1:11" x14ac:dyDescent="0.25">
      <c r="A36" s="8" t="s">
        <v>127</v>
      </c>
      <c r="B36" s="8" t="s">
        <v>128</v>
      </c>
      <c r="C36" s="8" t="s">
        <v>86</v>
      </c>
      <c r="D36" s="8">
        <v>1</v>
      </c>
      <c r="E36" s="8" t="s">
        <v>113</v>
      </c>
      <c r="F36" s="8" t="s">
        <v>88</v>
      </c>
      <c r="G36" s="8" t="s">
        <v>114</v>
      </c>
      <c r="H36" s="10">
        <v>12.8</v>
      </c>
      <c r="I36" s="10"/>
      <c r="J36" s="10">
        <v>12.8</v>
      </c>
      <c r="K36" s="10">
        <v>377.18</v>
      </c>
    </row>
    <row r="37" spans="1:11" x14ac:dyDescent="0.25">
      <c r="A37" s="8" t="s">
        <v>129</v>
      </c>
      <c r="B37" s="8" t="s">
        <v>130</v>
      </c>
      <c r="C37" s="8" t="s">
        <v>86</v>
      </c>
      <c r="D37" s="8">
        <v>1</v>
      </c>
      <c r="E37" s="8" t="s">
        <v>113</v>
      </c>
      <c r="F37" s="8" t="s">
        <v>88</v>
      </c>
      <c r="G37" s="8" t="s">
        <v>114</v>
      </c>
      <c r="H37" s="10">
        <v>4.8</v>
      </c>
      <c r="I37" s="10"/>
      <c r="J37" s="10">
        <v>4.8</v>
      </c>
      <c r="K37" s="10">
        <v>377.18</v>
      </c>
    </row>
    <row r="38" spans="1:11" x14ac:dyDescent="0.25">
      <c r="A38" s="8" t="s">
        <v>131</v>
      </c>
      <c r="B38" s="8" t="s">
        <v>132</v>
      </c>
      <c r="C38" s="8" t="s">
        <v>86</v>
      </c>
      <c r="D38" s="8">
        <v>1</v>
      </c>
      <c r="E38" s="8" t="s">
        <v>113</v>
      </c>
      <c r="F38" s="8" t="s">
        <v>88</v>
      </c>
      <c r="G38" s="8" t="s">
        <v>114</v>
      </c>
      <c r="H38" s="10">
        <v>9.6</v>
      </c>
      <c r="I38" s="10"/>
      <c r="J38" s="10">
        <v>9.6</v>
      </c>
      <c r="K38" s="10">
        <v>377.18</v>
      </c>
    </row>
    <row r="39" spans="1:11" x14ac:dyDescent="0.25">
      <c r="A39" s="8" t="s">
        <v>133</v>
      </c>
      <c r="B39" s="8" t="s">
        <v>134</v>
      </c>
      <c r="C39" s="8" t="s">
        <v>86</v>
      </c>
      <c r="D39" s="8">
        <v>1</v>
      </c>
      <c r="E39" s="8" t="s">
        <v>113</v>
      </c>
      <c r="F39" s="8" t="s">
        <v>88</v>
      </c>
      <c r="G39" s="8" t="s">
        <v>114</v>
      </c>
      <c r="H39" s="10">
        <v>4.8</v>
      </c>
      <c r="I39" s="10"/>
      <c r="J39" s="10">
        <v>4.8</v>
      </c>
      <c r="K39" s="10">
        <v>377.18</v>
      </c>
    </row>
    <row r="40" spans="1:11" x14ac:dyDescent="0.25">
      <c r="A40" s="8" t="s">
        <v>135</v>
      </c>
      <c r="B40" s="8" t="s">
        <v>136</v>
      </c>
      <c r="C40" s="8" t="s">
        <v>86</v>
      </c>
      <c r="D40" s="8">
        <v>1</v>
      </c>
      <c r="E40" s="8" t="s">
        <v>113</v>
      </c>
      <c r="F40" s="8" t="s">
        <v>88</v>
      </c>
      <c r="G40" s="8" t="s">
        <v>114</v>
      </c>
      <c r="H40" s="10">
        <v>9.6</v>
      </c>
      <c r="I40" s="10"/>
      <c r="J40" s="10">
        <v>9.6</v>
      </c>
      <c r="K40" s="10">
        <v>377.18</v>
      </c>
    </row>
    <row r="41" spans="1:11" x14ac:dyDescent="0.25">
      <c r="A41" s="8" t="s">
        <v>137</v>
      </c>
      <c r="B41" s="8" t="s">
        <v>138</v>
      </c>
      <c r="C41" s="8" t="s">
        <v>86</v>
      </c>
      <c r="D41" s="8">
        <v>1</v>
      </c>
      <c r="E41" s="8" t="s">
        <v>113</v>
      </c>
      <c r="F41" s="8" t="s">
        <v>88</v>
      </c>
      <c r="G41" s="8" t="s">
        <v>114</v>
      </c>
      <c r="H41" s="10">
        <v>4.8</v>
      </c>
      <c r="I41" s="10"/>
      <c r="J41" s="10">
        <v>4.8</v>
      </c>
      <c r="K41" s="10">
        <v>377.18</v>
      </c>
    </row>
    <row r="42" spans="1:11" x14ac:dyDescent="0.25">
      <c r="A42" s="8" t="s">
        <v>139</v>
      </c>
      <c r="B42" s="8" t="s">
        <v>80</v>
      </c>
      <c r="C42" s="8" t="s">
        <v>86</v>
      </c>
      <c r="D42" s="8">
        <v>1</v>
      </c>
      <c r="E42" s="8" t="s">
        <v>113</v>
      </c>
      <c r="F42" s="8" t="s">
        <v>88</v>
      </c>
      <c r="G42" s="8" t="s">
        <v>114</v>
      </c>
      <c r="H42" s="10">
        <v>8</v>
      </c>
      <c r="I42" s="10"/>
      <c r="J42" s="10">
        <v>8</v>
      </c>
      <c r="K42" s="10">
        <v>377.18</v>
      </c>
    </row>
    <row r="43" spans="1:11" x14ac:dyDescent="0.25">
      <c r="A43" s="8" t="s">
        <v>140</v>
      </c>
      <c r="B43" s="8" t="s">
        <v>80</v>
      </c>
      <c r="C43" s="8" t="s">
        <v>86</v>
      </c>
      <c r="D43" s="8">
        <v>1</v>
      </c>
      <c r="E43" s="8" t="s">
        <v>113</v>
      </c>
      <c r="F43" s="8" t="s">
        <v>88</v>
      </c>
      <c r="G43" s="8" t="s">
        <v>114</v>
      </c>
      <c r="H43" s="10">
        <v>118.8</v>
      </c>
      <c r="I43" s="10"/>
      <c r="J43" s="10">
        <v>118.8</v>
      </c>
      <c r="K43" s="10">
        <v>377.18</v>
      </c>
    </row>
    <row r="44" spans="1:11" x14ac:dyDescent="0.25">
      <c r="A44" s="8" t="s">
        <v>141</v>
      </c>
      <c r="B44" s="8" t="s">
        <v>142</v>
      </c>
      <c r="C44" s="8" t="s">
        <v>86</v>
      </c>
      <c r="D44" s="8">
        <v>1</v>
      </c>
      <c r="E44" s="8" t="s">
        <v>113</v>
      </c>
      <c r="F44" s="8" t="s">
        <v>88</v>
      </c>
      <c r="G44" s="8" t="s">
        <v>114</v>
      </c>
      <c r="H44" s="10">
        <v>8</v>
      </c>
      <c r="I44" s="10"/>
      <c r="J44" s="10">
        <v>8</v>
      </c>
      <c r="K44" s="10">
        <v>377.18</v>
      </c>
    </row>
    <row r="45" spans="1:11" x14ac:dyDescent="0.25">
      <c r="A45" s="8" t="s">
        <v>143</v>
      </c>
      <c r="B45" s="8" t="s">
        <v>120</v>
      </c>
      <c r="C45" s="8" t="s">
        <v>86</v>
      </c>
      <c r="D45" s="8">
        <v>1</v>
      </c>
      <c r="E45" s="8" t="s">
        <v>144</v>
      </c>
      <c r="F45" s="8" t="s">
        <v>88</v>
      </c>
      <c r="G45" s="8" t="s">
        <v>145</v>
      </c>
      <c r="H45" s="10">
        <v>4263.18</v>
      </c>
      <c r="I45" s="10"/>
      <c r="J45" s="10">
        <v>4263.18</v>
      </c>
      <c r="K45" s="10">
        <v>456.7</v>
      </c>
    </row>
    <row r="46" spans="1:11" x14ac:dyDescent="0.25">
      <c r="A46" s="8" t="s">
        <v>146</v>
      </c>
      <c r="B46" s="8" t="s">
        <v>72</v>
      </c>
      <c r="C46" s="8" t="s">
        <v>147</v>
      </c>
      <c r="D46" s="8">
        <v>2</v>
      </c>
      <c r="E46" s="8" t="s">
        <v>148</v>
      </c>
      <c r="F46" s="8" t="s">
        <v>149</v>
      </c>
      <c r="G46" s="8" t="s">
        <v>150</v>
      </c>
      <c r="H46" s="10">
        <v>18128</v>
      </c>
      <c r="I46" s="10"/>
      <c r="J46" s="10">
        <v>18128</v>
      </c>
      <c r="K46" s="10">
        <v>16.84</v>
      </c>
    </row>
    <row r="47" spans="1:11" x14ac:dyDescent="0.25">
      <c r="A47" s="8" t="s">
        <v>151</v>
      </c>
      <c r="B47" s="8" t="s">
        <v>116</v>
      </c>
      <c r="C47" s="8" t="s">
        <v>147</v>
      </c>
      <c r="D47" s="8">
        <v>2</v>
      </c>
      <c r="E47" s="8" t="s">
        <v>148</v>
      </c>
      <c r="F47" s="8" t="s">
        <v>149</v>
      </c>
      <c r="G47" s="8" t="s">
        <v>150</v>
      </c>
      <c r="H47" s="10">
        <v>26.88</v>
      </c>
      <c r="I47" s="10"/>
      <c r="J47" s="10">
        <v>26.88</v>
      </c>
      <c r="K47" s="10">
        <v>16.84</v>
      </c>
    </row>
    <row r="48" spans="1:11" x14ac:dyDescent="0.25">
      <c r="A48" s="8" t="s">
        <v>152</v>
      </c>
      <c r="B48" s="8" t="s">
        <v>116</v>
      </c>
      <c r="C48" s="8" t="s">
        <v>147</v>
      </c>
      <c r="D48" s="8">
        <v>2</v>
      </c>
      <c r="E48" s="8" t="s">
        <v>148</v>
      </c>
      <c r="F48" s="8" t="s">
        <v>149</v>
      </c>
      <c r="G48" s="8" t="s">
        <v>150</v>
      </c>
      <c r="H48" s="10">
        <v>224</v>
      </c>
      <c r="I48" s="10"/>
      <c r="J48" s="10">
        <v>224</v>
      </c>
      <c r="K48" s="10">
        <v>16.84</v>
      </c>
    </row>
    <row r="49" spans="1:11" x14ac:dyDescent="0.25">
      <c r="A49" s="8" t="s">
        <v>153</v>
      </c>
      <c r="B49" s="8" t="s">
        <v>116</v>
      </c>
      <c r="C49" s="8" t="s">
        <v>147</v>
      </c>
      <c r="D49" s="8">
        <v>2</v>
      </c>
      <c r="E49" s="8" t="s">
        <v>148</v>
      </c>
      <c r="F49" s="8" t="s">
        <v>149</v>
      </c>
      <c r="G49" s="8" t="s">
        <v>150</v>
      </c>
      <c r="H49" s="10">
        <v>427</v>
      </c>
      <c r="I49" s="10"/>
      <c r="J49" s="10">
        <v>427</v>
      </c>
      <c r="K49" s="10">
        <v>16.84</v>
      </c>
    </row>
    <row r="50" spans="1:11" x14ac:dyDescent="0.25">
      <c r="A50" s="8" t="s">
        <v>154</v>
      </c>
      <c r="B50" s="8" t="s">
        <v>118</v>
      </c>
      <c r="C50" s="8" t="s">
        <v>147</v>
      </c>
      <c r="D50" s="8">
        <v>2</v>
      </c>
      <c r="E50" s="8" t="s">
        <v>148</v>
      </c>
      <c r="F50" s="8" t="s">
        <v>149</v>
      </c>
      <c r="G50" s="8" t="s">
        <v>150</v>
      </c>
      <c r="H50" s="10">
        <v>490</v>
      </c>
      <c r="I50" s="10"/>
      <c r="J50" s="10">
        <v>490</v>
      </c>
      <c r="K50" s="10">
        <v>16.84</v>
      </c>
    </row>
    <row r="51" spans="1:11" x14ac:dyDescent="0.25">
      <c r="A51" s="8" t="s">
        <v>155</v>
      </c>
      <c r="B51" s="8" t="s">
        <v>118</v>
      </c>
      <c r="C51" s="8" t="s">
        <v>147</v>
      </c>
      <c r="D51" s="8">
        <v>2</v>
      </c>
      <c r="E51" s="8" t="s">
        <v>148</v>
      </c>
      <c r="F51" s="8" t="s">
        <v>149</v>
      </c>
      <c r="G51" s="8" t="s">
        <v>150</v>
      </c>
      <c r="H51" s="10">
        <v>560</v>
      </c>
      <c r="I51" s="10"/>
      <c r="J51" s="10">
        <v>560</v>
      </c>
      <c r="K51" s="10">
        <v>16.84</v>
      </c>
    </row>
    <row r="52" spans="1:11" x14ac:dyDescent="0.25">
      <c r="A52" s="8" t="s">
        <v>156</v>
      </c>
      <c r="B52" s="8" t="s">
        <v>120</v>
      </c>
      <c r="C52" s="8" t="s">
        <v>147</v>
      </c>
      <c r="D52" s="8">
        <v>2</v>
      </c>
      <c r="E52" s="8" t="s">
        <v>148</v>
      </c>
      <c r="F52" s="8" t="s">
        <v>149</v>
      </c>
      <c r="G52" s="8" t="s">
        <v>150</v>
      </c>
      <c r="H52" s="10">
        <v>60806</v>
      </c>
      <c r="I52" s="10"/>
      <c r="J52" s="10">
        <v>60806</v>
      </c>
      <c r="K52" s="10">
        <v>16.84</v>
      </c>
    </row>
    <row r="53" spans="1:11" x14ac:dyDescent="0.25">
      <c r="A53" s="8" t="s">
        <v>157</v>
      </c>
      <c r="B53" s="8" t="s">
        <v>120</v>
      </c>
      <c r="C53" s="8" t="s">
        <v>147</v>
      </c>
      <c r="D53" s="8">
        <v>2</v>
      </c>
      <c r="E53" s="8" t="s">
        <v>148</v>
      </c>
      <c r="F53" s="8" t="s">
        <v>149</v>
      </c>
      <c r="G53" s="8" t="s">
        <v>150</v>
      </c>
      <c r="H53" s="10">
        <v>357</v>
      </c>
      <c r="I53" s="10"/>
      <c r="J53" s="10">
        <v>357</v>
      </c>
      <c r="K53" s="10">
        <v>16.84</v>
      </c>
    </row>
    <row r="54" spans="1:11" x14ac:dyDescent="0.25">
      <c r="A54" s="8" t="s">
        <v>158</v>
      </c>
      <c r="B54" s="8" t="s">
        <v>120</v>
      </c>
      <c r="C54" s="8" t="s">
        <v>147</v>
      </c>
      <c r="D54" s="8">
        <v>2</v>
      </c>
      <c r="E54" s="8" t="s">
        <v>148</v>
      </c>
      <c r="F54" s="8" t="s">
        <v>149</v>
      </c>
      <c r="G54" s="8" t="s">
        <v>150</v>
      </c>
      <c r="H54" s="10">
        <v>56</v>
      </c>
      <c r="I54" s="10"/>
      <c r="J54" s="10">
        <v>56</v>
      </c>
      <c r="K54" s="10">
        <v>16.84</v>
      </c>
    </row>
    <row r="55" spans="1:11" x14ac:dyDescent="0.25">
      <c r="A55" s="8" t="s">
        <v>159</v>
      </c>
      <c r="B55" s="8" t="s">
        <v>120</v>
      </c>
      <c r="C55" s="8" t="s">
        <v>147</v>
      </c>
      <c r="D55" s="8">
        <v>2</v>
      </c>
      <c r="E55" s="8" t="s">
        <v>148</v>
      </c>
      <c r="F55" s="8" t="s">
        <v>149</v>
      </c>
      <c r="G55" s="8" t="s">
        <v>150</v>
      </c>
      <c r="H55" s="10">
        <v>98</v>
      </c>
      <c r="I55" s="10"/>
      <c r="J55" s="10">
        <v>98</v>
      </c>
      <c r="K55" s="10">
        <v>16.84</v>
      </c>
    </row>
    <row r="56" spans="1:11" x14ac:dyDescent="0.25">
      <c r="A56" s="8" t="s">
        <v>160</v>
      </c>
      <c r="B56" s="8" t="s">
        <v>122</v>
      </c>
      <c r="C56" s="8" t="s">
        <v>147</v>
      </c>
      <c r="D56" s="8">
        <v>2</v>
      </c>
      <c r="E56" s="8" t="s">
        <v>148</v>
      </c>
      <c r="F56" s="8" t="s">
        <v>149</v>
      </c>
      <c r="G56" s="8" t="s">
        <v>150</v>
      </c>
      <c r="H56" s="10">
        <v>67.2</v>
      </c>
      <c r="I56" s="10"/>
      <c r="J56" s="10">
        <v>67.2</v>
      </c>
      <c r="K56" s="10">
        <v>16.84</v>
      </c>
    </row>
    <row r="57" spans="1:11" x14ac:dyDescent="0.25">
      <c r="A57" s="8" t="s">
        <v>161</v>
      </c>
      <c r="B57" s="8" t="s">
        <v>124</v>
      </c>
      <c r="C57" s="8" t="s">
        <v>147</v>
      </c>
      <c r="D57" s="8">
        <v>2</v>
      </c>
      <c r="E57" s="8" t="s">
        <v>148</v>
      </c>
      <c r="F57" s="8" t="s">
        <v>149</v>
      </c>
      <c r="G57" s="8" t="s">
        <v>150</v>
      </c>
      <c r="H57" s="10">
        <v>71.680000000000007</v>
      </c>
      <c r="I57" s="10"/>
      <c r="J57" s="10">
        <v>71.680000000000007</v>
      </c>
      <c r="K57" s="10">
        <v>16.84</v>
      </c>
    </row>
    <row r="58" spans="1:11" x14ac:dyDescent="0.25">
      <c r="A58" s="8" t="s">
        <v>162</v>
      </c>
      <c r="B58" s="8" t="s">
        <v>78</v>
      </c>
      <c r="C58" s="8" t="s">
        <v>147</v>
      </c>
      <c r="D58" s="8">
        <v>2</v>
      </c>
      <c r="E58" s="8" t="s">
        <v>148</v>
      </c>
      <c r="F58" s="8" t="s">
        <v>149</v>
      </c>
      <c r="G58" s="8" t="s">
        <v>150</v>
      </c>
      <c r="H58" s="10">
        <v>44.8</v>
      </c>
      <c r="I58" s="10"/>
      <c r="J58" s="10">
        <v>44.8</v>
      </c>
      <c r="K58" s="10">
        <v>16.84</v>
      </c>
    </row>
    <row r="59" spans="1:11" x14ac:dyDescent="0.25">
      <c r="A59" s="8" t="s">
        <v>163</v>
      </c>
      <c r="B59" s="8" t="s">
        <v>78</v>
      </c>
      <c r="C59" s="8" t="s">
        <v>147</v>
      </c>
      <c r="D59" s="8">
        <v>2</v>
      </c>
      <c r="E59" s="8" t="s">
        <v>148</v>
      </c>
      <c r="F59" s="8" t="s">
        <v>149</v>
      </c>
      <c r="G59" s="8" t="s">
        <v>150</v>
      </c>
      <c r="H59" s="10">
        <v>219</v>
      </c>
      <c r="I59" s="10"/>
      <c r="J59" s="10">
        <v>219</v>
      </c>
      <c r="K59" s="10">
        <v>16.84</v>
      </c>
    </row>
    <row r="60" spans="1:11" x14ac:dyDescent="0.25">
      <c r="A60" s="8" t="s">
        <v>164</v>
      </c>
      <c r="B60" s="8" t="s">
        <v>128</v>
      </c>
      <c r="C60" s="8" t="s">
        <v>147</v>
      </c>
      <c r="D60" s="8">
        <v>2</v>
      </c>
      <c r="E60" s="8" t="s">
        <v>148</v>
      </c>
      <c r="F60" s="8" t="s">
        <v>149</v>
      </c>
      <c r="G60" s="8" t="s">
        <v>150</v>
      </c>
      <c r="H60" s="10">
        <v>17.920000000000002</v>
      </c>
      <c r="I60" s="10"/>
      <c r="J60" s="10">
        <v>17.920000000000002</v>
      </c>
      <c r="K60" s="10">
        <v>16.84</v>
      </c>
    </row>
    <row r="61" spans="1:11" x14ac:dyDescent="0.25">
      <c r="A61" s="8" t="s">
        <v>165</v>
      </c>
      <c r="B61" s="8" t="s">
        <v>130</v>
      </c>
      <c r="C61" s="8" t="s">
        <v>147</v>
      </c>
      <c r="D61" s="8">
        <v>2</v>
      </c>
      <c r="E61" s="8" t="s">
        <v>148</v>
      </c>
      <c r="F61" s="8" t="s">
        <v>149</v>
      </c>
      <c r="G61" s="8" t="s">
        <v>150</v>
      </c>
      <c r="H61" s="10">
        <v>6.72</v>
      </c>
      <c r="I61" s="10"/>
      <c r="J61" s="10">
        <v>6.72</v>
      </c>
      <c r="K61" s="10">
        <v>16.84</v>
      </c>
    </row>
    <row r="62" spans="1:11" x14ac:dyDescent="0.25">
      <c r="A62" s="8" t="s">
        <v>166</v>
      </c>
      <c r="B62" s="8" t="s">
        <v>132</v>
      </c>
      <c r="C62" s="8" t="s">
        <v>147</v>
      </c>
      <c r="D62" s="8">
        <v>2</v>
      </c>
      <c r="E62" s="8" t="s">
        <v>148</v>
      </c>
      <c r="F62" s="8" t="s">
        <v>149</v>
      </c>
      <c r="G62" s="8" t="s">
        <v>150</v>
      </c>
      <c r="H62" s="10">
        <v>13.44</v>
      </c>
      <c r="I62" s="10"/>
      <c r="J62" s="10">
        <v>13.44</v>
      </c>
      <c r="K62" s="10">
        <v>16.84</v>
      </c>
    </row>
    <row r="63" spans="1:11" x14ac:dyDescent="0.25">
      <c r="A63" s="8" t="s">
        <v>167</v>
      </c>
      <c r="B63" s="8" t="s">
        <v>134</v>
      </c>
      <c r="C63" s="8" t="s">
        <v>147</v>
      </c>
      <c r="D63" s="8">
        <v>2</v>
      </c>
      <c r="E63" s="8" t="s">
        <v>148</v>
      </c>
      <c r="F63" s="8" t="s">
        <v>149</v>
      </c>
      <c r="G63" s="8" t="s">
        <v>150</v>
      </c>
      <c r="H63" s="10">
        <v>6.72</v>
      </c>
      <c r="I63" s="10"/>
      <c r="J63" s="10">
        <v>6.72</v>
      </c>
      <c r="K63" s="10">
        <v>16.84</v>
      </c>
    </row>
    <row r="64" spans="1:11" x14ac:dyDescent="0.25">
      <c r="A64" s="8" t="s">
        <v>168</v>
      </c>
      <c r="B64" s="8" t="s">
        <v>136</v>
      </c>
      <c r="C64" s="8" t="s">
        <v>147</v>
      </c>
      <c r="D64" s="8">
        <v>2</v>
      </c>
      <c r="E64" s="8" t="s">
        <v>148</v>
      </c>
      <c r="F64" s="8" t="s">
        <v>149</v>
      </c>
      <c r="G64" s="8" t="s">
        <v>150</v>
      </c>
      <c r="H64" s="10">
        <v>13.44</v>
      </c>
      <c r="I64" s="10"/>
      <c r="J64" s="10">
        <v>13.44</v>
      </c>
      <c r="K64" s="10">
        <v>16.84</v>
      </c>
    </row>
    <row r="65" spans="1:11" x14ac:dyDescent="0.25">
      <c r="A65" s="8" t="s">
        <v>169</v>
      </c>
      <c r="B65" s="8" t="s">
        <v>138</v>
      </c>
      <c r="C65" s="8" t="s">
        <v>147</v>
      </c>
      <c r="D65" s="8">
        <v>2</v>
      </c>
      <c r="E65" s="8" t="s">
        <v>148</v>
      </c>
      <c r="F65" s="8" t="s">
        <v>149</v>
      </c>
      <c r="G65" s="8" t="s">
        <v>150</v>
      </c>
      <c r="H65" s="10">
        <v>6.72</v>
      </c>
      <c r="I65" s="10"/>
      <c r="J65" s="10">
        <v>6.72</v>
      </c>
      <c r="K65" s="10">
        <v>16.84</v>
      </c>
    </row>
    <row r="66" spans="1:11" x14ac:dyDescent="0.25">
      <c r="A66" s="8" t="s">
        <v>170</v>
      </c>
      <c r="B66" s="8" t="s">
        <v>80</v>
      </c>
      <c r="C66" s="8" t="s">
        <v>147</v>
      </c>
      <c r="D66" s="8">
        <v>2</v>
      </c>
      <c r="E66" s="8" t="s">
        <v>148</v>
      </c>
      <c r="F66" s="8" t="s">
        <v>149</v>
      </c>
      <c r="G66" s="8" t="s">
        <v>150</v>
      </c>
      <c r="H66" s="10">
        <v>11.2</v>
      </c>
      <c r="I66" s="10"/>
      <c r="J66" s="10">
        <v>11.2</v>
      </c>
      <c r="K66" s="10">
        <v>16.84</v>
      </c>
    </row>
    <row r="67" spans="1:11" x14ac:dyDescent="0.25">
      <c r="A67" s="8" t="s">
        <v>171</v>
      </c>
      <c r="B67" s="8" t="s">
        <v>80</v>
      </c>
      <c r="C67" s="8" t="s">
        <v>147</v>
      </c>
      <c r="D67" s="8">
        <v>2</v>
      </c>
      <c r="E67" s="8" t="s">
        <v>148</v>
      </c>
      <c r="F67" s="8" t="s">
        <v>149</v>
      </c>
      <c r="G67" s="8" t="s">
        <v>150</v>
      </c>
      <c r="H67" s="10">
        <v>4006</v>
      </c>
      <c r="I67" s="10"/>
      <c r="J67" s="10">
        <v>4006</v>
      </c>
      <c r="K67" s="10">
        <v>16.84</v>
      </c>
    </row>
    <row r="68" spans="1:11" x14ac:dyDescent="0.25">
      <c r="A68" s="8" t="s">
        <v>172</v>
      </c>
      <c r="B68" s="8" t="s">
        <v>142</v>
      </c>
      <c r="C68" s="8" t="s">
        <v>147</v>
      </c>
      <c r="D68" s="8">
        <v>2</v>
      </c>
      <c r="E68" s="8" t="s">
        <v>148</v>
      </c>
      <c r="F68" s="8" t="s">
        <v>149</v>
      </c>
      <c r="G68" s="8" t="s">
        <v>150</v>
      </c>
      <c r="H68" s="10">
        <v>11.2</v>
      </c>
      <c r="I68" s="10"/>
      <c r="J68" s="10">
        <v>11.2</v>
      </c>
      <c r="K68" s="10">
        <v>16.84</v>
      </c>
    </row>
    <row r="69" spans="1:11" x14ac:dyDescent="0.25">
      <c r="A69" s="8" t="s">
        <v>173</v>
      </c>
      <c r="B69" s="8" t="s">
        <v>72</v>
      </c>
      <c r="C69" s="8" t="s">
        <v>73</v>
      </c>
      <c r="D69" s="8">
        <v>1</v>
      </c>
      <c r="E69" s="8" t="s">
        <v>174</v>
      </c>
      <c r="F69" s="8" t="s">
        <v>75</v>
      </c>
      <c r="G69" s="8" t="s">
        <v>175</v>
      </c>
      <c r="H69" s="10">
        <v>23.22</v>
      </c>
      <c r="I69" s="10"/>
      <c r="J69" s="10">
        <v>23.22</v>
      </c>
      <c r="K69" s="10">
        <v>1225.26</v>
      </c>
    </row>
    <row r="70" spans="1:11" x14ac:dyDescent="0.25">
      <c r="A70" s="8" t="s">
        <v>176</v>
      </c>
      <c r="B70" s="8" t="s">
        <v>78</v>
      </c>
      <c r="C70" s="8" t="s">
        <v>73</v>
      </c>
      <c r="D70" s="8">
        <v>1</v>
      </c>
      <c r="E70" s="8" t="s">
        <v>174</v>
      </c>
      <c r="F70" s="8" t="s">
        <v>75</v>
      </c>
      <c r="G70" s="8" t="s">
        <v>175</v>
      </c>
      <c r="H70" s="10">
        <v>0.63</v>
      </c>
      <c r="I70" s="10"/>
      <c r="J70" s="10">
        <v>0.63</v>
      </c>
      <c r="K70" s="10">
        <v>1225.26</v>
      </c>
    </row>
    <row r="71" spans="1:11" x14ac:dyDescent="0.25">
      <c r="A71" s="8" t="s">
        <v>177</v>
      </c>
      <c r="B71" s="8" t="s">
        <v>80</v>
      </c>
      <c r="C71" s="8" t="s">
        <v>73</v>
      </c>
      <c r="D71" s="8">
        <v>1</v>
      </c>
      <c r="E71" s="8" t="s">
        <v>174</v>
      </c>
      <c r="F71" s="8" t="s">
        <v>75</v>
      </c>
      <c r="G71" s="8" t="s">
        <v>175</v>
      </c>
      <c r="H71" s="10">
        <v>5.08</v>
      </c>
      <c r="I71" s="10"/>
      <c r="J71" s="10">
        <v>5.08</v>
      </c>
      <c r="K71" s="10">
        <v>1225.26</v>
      </c>
    </row>
    <row r="72" spans="1:11" x14ac:dyDescent="0.25">
      <c r="A72" s="8" t="s">
        <v>178</v>
      </c>
      <c r="B72" s="8" t="s">
        <v>72</v>
      </c>
      <c r="C72" s="8" t="s">
        <v>73</v>
      </c>
      <c r="D72" s="8">
        <v>1</v>
      </c>
      <c r="E72" s="8" t="s">
        <v>179</v>
      </c>
      <c r="F72" s="8" t="s">
        <v>75</v>
      </c>
      <c r="G72" s="8" t="s">
        <v>175</v>
      </c>
      <c r="H72" s="10">
        <v>226.6</v>
      </c>
      <c r="I72" s="10"/>
      <c r="J72" s="10">
        <v>226.6</v>
      </c>
      <c r="K72" s="10">
        <v>1380.87</v>
      </c>
    </row>
    <row r="73" spans="1:11" x14ac:dyDescent="0.25">
      <c r="A73" s="8" t="s">
        <v>180</v>
      </c>
      <c r="B73" s="8" t="s">
        <v>116</v>
      </c>
      <c r="C73" s="8" t="s">
        <v>73</v>
      </c>
      <c r="D73" s="8">
        <v>1</v>
      </c>
      <c r="E73" s="8" t="s">
        <v>179</v>
      </c>
      <c r="F73" s="8" t="s">
        <v>75</v>
      </c>
      <c r="G73" s="8" t="s">
        <v>175</v>
      </c>
      <c r="H73" s="10">
        <v>0.38</v>
      </c>
      <c r="I73" s="10"/>
      <c r="J73" s="10">
        <v>0.38</v>
      </c>
      <c r="K73" s="10">
        <v>1380.87</v>
      </c>
    </row>
    <row r="74" spans="1:11" x14ac:dyDescent="0.25">
      <c r="A74" s="8" t="s">
        <v>181</v>
      </c>
      <c r="B74" s="8" t="s">
        <v>116</v>
      </c>
      <c r="C74" s="8" t="s">
        <v>73</v>
      </c>
      <c r="D74" s="8">
        <v>1</v>
      </c>
      <c r="E74" s="8" t="s">
        <v>179</v>
      </c>
      <c r="F74" s="8" t="s">
        <v>75</v>
      </c>
      <c r="G74" s="8" t="s">
        <v>175</v>
      </c>
      <c r="H74" s="10">
        <v>3.2</v>
      </c>
      <c r="I74" s="10"/>
      <c r="J74" s="10">
        <v>3.2</v>
      </c>
      <c r="K74" s="10">
        <v>1380.87</v>
      </c>
    </row>
    <row r="75" spans="1:11" x14ac:dyDescent="0.25">
      <c r="A75" s="8" t="s">
        <v>182</v>
      </c>
      <c r="B75" s="8" t="s">
        <v>116</v>
      </c>
      <c r="C75" s="8" t="s">
        <v>73</v>
      </c>
      <c r="D75" s="8">
        <v>1</v>
      </c>
      <c r="E75" s="8" t="s">
        <v>179</v>
      </c>
      <c r="F75" s="8" t="s">
        <v>75</v>
      </c>
      <c r="G75" s="8" t="s">
        <v>175</v>
      </c>
      <c r="H75" s="10">
        <v>6.1</v>
      </c>
      <c r="I75" s="10"/>
      <c r="J75" s="10">
        <v>6.1</v>
      </c>
      <c r="K75" s="10">
        <v>1380.87</v>
      </c>
    </row>
    <row r="76" spans="1:11" x14ac:dyDescent="0.25">
      <c r="A76" s="8" t="s">
        <v>183</v>
      </c>
      <c r="B76" s="8" t="s">
        <v>118</v>
      </c>
      <c r="C76" s="8" t="s">
        <v>73</v>
      </c>
      <c r="D76" s="8">
        <v>1</v>
      </c>
      <c r="E76" s="8" t="s">
        <v>179</v>
      </c>
      <c r="F76" s="8" t="s">
        <v>75</v>
      </c>
      <c r="G76" s="8" t="s">
        <v>175</v>
      </c>
      <c r="H76" s="10">
        <v>0.48</v>
      </c>
      <c r="I76" s="10"/>
      <c r="J76" s="10">
        <v>0.48</v>
      </c>
      <c r="K76" s="10">
        <v>1380.87</v>
      </c>
    </row>
    <row r="77" spans="1:11" x14ac:dyDescent="0.25">
      <c r="A77" s="8" t="s">
        <v>184</v>
      </c>
      <c r="B77" s="8" t="s">
        <v>118</v>
      </c>
      <c r="C77" s="8" t="s">
        <v>73</v>
      </c>
      <c r="D77" s="8">
        <v>1</v>
      </c>
      <c r="E77" s="8" t="s">
        <v>179</v>
      </c>
      <c r="F77" s="8" t="s">
        <v>75</v>
      </c>
      <c r="G77" s="8" t="s">
        <v>175</v>
      </c>
      <c r="H77" s="10">
        <v>7</v>
      </c>
      <c r="I77" s="10"/>
      <c r="J77" s="10">
        <v>7</v>
      </c>
      <c r="K77" s="10">
        <v>1380.87</v>
      </c>
    </row>
    <row r="78" spans="1:11" x14ac:dyDescent="0.25">
      <c r="A78" s="8" t="s">
        <v>185</v>
      </c>
      <c r="B78" s="8" t="s">
        <v>118</v>
      </c>
      <c r="C78" s="8" t="s">
        <v>73</v>
      </c>
      <c r="D78" s="8">
        <v>1</v>
      </c>
      <c r="E78" s="8" t="s">
        <v>179</v>
      </c>
      <c r="F78" s="8" t="s">
        <v>75</v>
      </c>
      <c r="G78" s="8" t="s">
        <v>175</v>
      </c>
      <c r="H78" s="10">
        <v>8</v>
      </c>
      <c r="I78" s="10"/>
      <c r="J78" s="10">
        <v>8</v>
      </c>
      <c r="K78" s="10">
        <v>1380.87</v>
      </c>
    </row>
    <row r="79" spans="1:11" x14ac:dyDescent="0.25">
      <c r="A79" s="8" t="s">
        <v>186</v>
      </c>
      <c r="B79" s="8" t="s">
        <v>120</v>
      </c>
      <c r="C79" s="8" t="s">
        <v>73</v>
      </c>
      <c r="D79" s="8">
        <v>1</v>
      </c>
      <c r="E79" s="8" t="s">
        <v>179</v>
      </c>
      <c r="F79" s="8" t="s">
        <v>75</v>
      </c>
      <c r="G79" s="8" t="s">
        <v>175</v>
      </c>
      <c r="H79" s="10">
        <v>0.8</v>
      </c>
      <c r="I79" s="10"/>
      <c r="J79" s="10">
        <v>0.8</v>
      </c>
      <c r="K79" s="10">
        <v>1380.87</v>
      </c>
    </row>
    <row r="80" spans="1:11" x14ac:dyDescent="0.25">
      <c r="A80" s="8" t="s">
        <v>187</v>
      </c>
      <c r="B80" s="8" t="s">
        <v>120</v>
      </c>
      <c r="C80" s="8" t="s">
        <v>73</v>
      </c>
      <c r="D80" s="8">
        <v>1</v>
      </c>
      <c r="E80" s="8" t="s">
        <v>179</v>
      </c>
      <c r="F80" s="8" t="s">
        <v>75</v>
      </c>
      <c r="G80" s="8" t="s">
        <v>175</v>
      </c>
      <c r="H80" s="10">
        <v>5.0999999999999996</v>
      </c>
      <c r="I80" s="10"/>
      <c r="J80" s="10">
        <v>5.0999999999999996</v>
      </c>
      <c r="K80" s="10">
        <v>1380.87</v>
      </c>
    </row>
    <row r="81" spans="1:11" x14ac:dyDescent="0.25">
      <c r="A81" s="8" t="s">
        <v>188</v>
      </c>
      <c r="B81" s="8" t="s">
        <v>120</v>
      </c>
      <c r="C81" s="8" t="s">
        <v>73</v>
      </c>
      <c r="D81" s="8">
        <v>1</v>
      </c>
      <c r="E81" s="8" t="s">
        <v>179</v>
      </c>
      <c r="F81" s="8" t="s">
        <v>75</v>
      </c>
      <c r="G81" s="8" t="s">
        <v>175</v>
      </c>
      <c r="H81" s="10">
        <v>0.8</v>
      </c>
      <c r="I81" s="10"/>
      <c r="J81" s="10">
        <v>0.8</v>
      </c>
      <c r="K81" s="10">
        <v>1380.87</v>
      </c>
    </row>
    <row r="82" spans="1:11" x14ac:dyDescent="0.25">
      <c r="A82" s="8" t="s">
        <v>189</v>
      </c>
      <c r="B82" s="8" t="s">
        <v>120</v>
      </c>
      <c r="C82" s="8" t="s">
        <v>73</v>
      </c>
      <c r="D82" s="8">
        <v>1</v>
      </c>
      <c r="E82" s="8" t="s">
        <v>179</v>
      </c>
      <c r="F82" s="8" t="s">
        <v>75</v>
      </c>
      <c r="G82" s="8" t="s">
        <v>175</v>
      </c>
      <c r="H82" s="10">
        <v>1.4</v>
      </c>
      <c r="I82" s="10"/>
      <c r="J82" s="10">
        <v>1.4</v>
      </c>
      <c r="K82" s="10">
        <v>1380.87</v>
      </c>
    </row>
    <row r="83" spans="1:11" x14ac:dyDescent="0.25">
      <c r="A83" s="8" t="s">
        <v>190</v>
      </c>
      <c r="B83" s="8" t="s">
        <v>122</v>
      </c>
      <c r="C83" s="8" t="s">
        <v>73</v>
      </c>
      <c r="D83" s="8">
        <v>1</v>
      </c>
      <c r="E83" s="8" t="s">
        <v>179</v>
      </c>
      <c r="F83" s="8" t="s">
        <v>75</v>
      </c>
      <c r="G83" s="8" t="s">
        <v>175</v>
      </c>
      <c r="H83" s="10">
        <v>0.96</v>
      </c>
      <c r="I83" s="10"/>
      <c r="J83" s="10">
        <v>0.96</v>
      </c>
      <c r="K83" s="10">
        <v>1380.87</v>
      </c>
    </row>
    <row r="84" spans="1:11" x14ac:dyDescent="0.25">
      <c r="A84" s="8" t="s">
        <v>191</v>
      </c>
      <c r="B84" s="8" t="s">
        <v>124</v>
      </c>
      <c r="C84" s="8" t="s">
        <v>73</v>
      </c>
      <c r="D84" s="8">
        <v>1</v>
      </c>
      <c r="E84" s="8" t="s">
        <v>179</v>
      </c>
      <c r="F84" s="8" t="s">
        <v>75</v>
      </c>
      <c r="G84" s="8" t="s">
        <v>175</v>
      </c>
      <c r="H84" s="10">
        <v>1.02</v>
      </c>
      <c r="I84" s="10"/>
      <c r="J84" s="10">
        <v>1.02</v>
      </c>
      <c r="K84" s="10">
        <v>1380.87</v>
      </c>
    </row>
    <row r="85" spans="1:11" x14ac:dyDescent="0.25">
      <c r="A85" s="8" t="s">
        <v>192</v>
      </c>
      <c r="B85" s="8" t="s">
        <v>78</v>
      </c>
      <c r="C85" s="8" t="s">
        <v>73</v>
      </c>
      <c r="D85" s="8">
        <v>1</v>
      </c>
      <c r="E85" s="8" t="s">
        <v>179</v>
      </c>
      <c r="F85" s="8" t="s">
        <v>75</v>
      </c>
      <c r="G85" s="8" t="s">
        <v>175</v>
      </c>
      <c r="H85" s="10">
        <v>0.64</v>
      </c>
      <c r="I85" s="10"/>
      <c r="J85" s="10">
        <v>0.64</v>
      </c>
      <c r="K85" s="10">
        <v>1380.87</v>
      </c>
    </row>
    <row r="86" spans="1:11" x14ac:dyDescent="0.25">
      <c r="A86" s="8" t="s">
        <v>193</v>
      </c>
      <c r="B86" s="8" t="s">
        <v>78</v>
      </c>
      <c r="C86" s="8" t="s">
        <v>73</v>
      </c>
      <c r="D86" s="8">
        <v>1</v>
      </c>
      <c r="E86" s="8" t="s">
        <v>179</v>
      </c>
      <c r="F86" s="8" t="s">
        <v>75</v>
      </c>
      <c r="G86" s="8" t="s">
        <v>175</v>
      </c>
      <c r="H86" s="10">
        <v>2.74</v>
      </c>
      <c r="I86" s="10"/>
      <c r="J86" s="10">
        <v>2.74</v>
      </c>
      <c r="K86" s="10">
        <v>1380.87</v>
      </c>
    </row>
    <row r="87" spans="1:11" x14ac:dyDescent="0.25">
      <c r="A87" s="8" t="s">
        <v>194</v>
      </c>
      <c r="B87" s="8" t="s">
        <v>128</v>
      </c>
      <c r="C87" s="8" t="s">
        <v>73</v>
      </c>
      <c r="D87" s="8">
        <v>1</v>
      </c>
      <c r="E87" s="8" t="s">
        <v>179</v>
      </c>
      <c r="F87" s="8" t="s">
        <v>75</v>
      </c>
      <c r="G87" s="8" t="s">
        <v>175</v>
      </c>
      <c r="H87" s="10">
        <v>0.26</v>
      </c>
      <c r="I87" s="10"/>
      <c r="J87" s="10">
        <v>0.26</v>
      </c>
      <c r="K87" s="10">
        <v>1380.87</v>
      </c>
    </row>
    <row r="88" spans="1:11" x14ac:dyDescent="0.25">
      <c r="A88" s="8" t="s">
        <v>195</v>
      </c>
      <c r="B88" s="8" t="s">
        <v>130</v>
      </c>
      <c r="C88" s="8" t="s">
        <v>73</v>
      </c>
      <c r="D88" s="8">
        <v>1</v>
      </c>
      <c r="E88" s="8" t="s">
        <v>179</v>
      </c>
      <c r="F88" s="8" t="s">
        <v>75</v>
      </c>
      <c r="G88" s="8" t="s">
        <v>175</v>
      </c>
      <c r="H88" s="10">
        <v>0.1</v>
      </c>
      <c r="I88" s="10"/>
      <c r="J88" s="10">
        <v>0.1</v>
      </c>
      <c r="K88" s="10">
        <v>1380.87</v>
      </c>
    </row>
    <row r="89" spans="1:11" x14ac:dyDescent="0.25">
      <c r="A89" s="8" t="s">
        <v>196</v>
      </c>
      <c r="B89" s="8" t="s">
        <v>132</v>
      </c>
      <c r="C89" s="8" t="s">
        <v>73</v>
      </c>
      <c r="D89" s="8">
        <v>1</v>
      </c>
      <c r="E89" s="8" t="s">
        <v>179</v>
      </c>
      <c r="F89" s="8" t="s">
        <v>75</v>
      </c>
      <c r="G89" s="8" t="s">
        <v>175</v>
      </c>
      <c r="H89" s="10">
        <v>0.19</v>
      </c>
      <c r="I89" s="10"/>
      <c r="J89" s="10">
        <v>0.19</v>
      </c>
      <c r="K89" s="10">
        <v>1380.87</v>
      </c>
    </row>
    <row r="90" spans="1:11" x14ac:dyDescent="0.25">
      <c r="A90" s="8" t="s">
        <v>197</v>
      </c>
      <c r="B90" s="8" t="s">
        <v>134</v>
      </c>
      <c r="C90" s="8" t="s">
        <v>73</v>
      </c>
      <c r="D90" s="8">
        <v>1</v>
      </c>
      <c r="E90" s="8" t="s">
        <v>179</v>
      </c>
      <c r="F90" s="8" t="s">
        <v>75</v>
      </c>
      <c r="G90" s="8" t="s">
        <v>175</v>
      </c>
      <c r="H90" s="10">
        <v>0.1</v>
      </c>
      <c r="I90" s="10"/>
      <c r="J90" s="10">
        <v>0.1</v>
      </c>
      <c r="K90" s="10">
        <v>1380.87</v>
      </c>
    </row>
    <row r="91" spans="1:11" x14ac:dyDescent="0.25">
      <c r="A91" s="8" t="s">
        <v>198</v>
      </c>
      <c r="B91" s="8" t="s">
        <v>136</v>
      </c>
      <c r="C91" s="8" t="s">
        <v>73</v>
      </c>
      <c r="D91" s="8">
        <v>1</v>
      </c>
      <c r="E91" s="8" t="s">
        <v>179</v>
      </c>
      <c r="F91" s="8" t="s">
        <v>75</v>
      </c>
      <c r="G91" s="8" t="s">
        <v>175</v>
      </c>
      <c r="H91" s="10">
        <v>0.19</v>
      </c>
      <c r="I91" s="10"/>
      <c r="J91" s="10">
        <v>0.19</v>
      </c>
      <c r="K91" s="10">
        <v>1380.87</v>
      </c>
    </row>
    <row r="92" spans="1:11" x14ac:dyDescent="0.25">
      <c r="A92" s="8" t="s">
        <v>199</v>
      </c>
      <c r="B92" s="8" t="s">
        <v>138</v>
      </c>
      <c r="C92" s="8" t="s">
        <v>73</v>
      </c>
      <c r="D92" s="8">
        <v>1</v>
      </c>
      <c r="E92" s="8" t="s">
        <v>179</v>
      </c>
      <c r="F92" s="8" t="s">
        <v>75</v>
      </c>
      <c r="G92" s="8" t="s">
        <v>175</v>
      </c>
      <c r="H92" s="10">
        <v>0.1</v>
      </c>
      <c r="I92" s="10"/>
      <c r="J92" s="10">
        <v>0.1</v>
      </c>
      <c r="K92" s="10">
        <v>1380.87</v>
      </c>
    </row>
    <row r="93" spans="1:11" x14ac:dyDescent="0.25">
      <c r="A93" s="8" t="s">
        <v>200</v>
      </c>
      <c r="B93" s="8" t="s">
        <v>80</v>
      </c>
      <c r="C93" s="8" t="s">
        <v>73</v>
      </c>
      <c r="D93" s="8">
        <v>1</v>
      </c>
      <c r="E93" s="8" t="s">
        <v>179</v>
      </c>
      <c r="F93" s="8" t="s">
        <v>75</v>
      </c>
      <c r="G93" s="8" t="s">
        <v>175</v>
      </c>
      <c r="H93" s="10">
        <v>50.08</v>
      </c>
      <c r="I93" s="10"/>
      <c r="J93" s="10">
        <v>50.08</v>
      </c>
      <c r="K93" s="10">
        <v>1380.87</v>
      </c>
    </row>
    <row r="94" spans="1:11" x14ac:dyDescent="0.25">
      <c r="A94" s="8" t="s">
        <v>201</v>
      </c>
      <c r="B94" s="8" t="s">
        <v>80</v>
      </c>
      <c r="C94" s="8" t="s">
        <v>73</v>
      </c>
      <c r="D94" s="8">
        <v>1</v>
      </c>
      <c r="E94" s="8" t="s">
        <v>202</v>
      </c>
      <c r="F94" s="8" t="s">
        <v>75</v>
      </c>
      <c r="G94" s="8" t="s">
        <v>175</v>
      </c>
      <c r="H94" s="10">
        <v>0.16</v>
      </c>
      <c r="I94" s="10"/>
      <c r="J94" s="10">
        <v>0.16</v>
      </c>
      <c r="K94" s="10">
        <v>1451.37</v>
      </c>
    </row>
    <row r="95" spans="1:11" x14ac:dyDescent="0.25">
      <c r="A95" s="8" t="s">
        <v>203</v>
      </c>
      <c r="B95" s="8" t="s">
        <v>142</v>
      </c>
      <c r="C95" s="8" t="s">
        <v>73</v>
      </c>
      <c r="D95" s="8">
        <v>1</v>
      </c>
      <c r="E95" s="8" t="s">
        <v>202</v>
      </c>
      <c r="F95" s="8" t="s">
        <v>75</v>
      </c>
      <c r="G95" s="8" t="s">
        <v>175</v>
      </c>
      <c r="H95" s="10">
        <v>0.16</v>
      </c>
      <c r="I95" s="10"/>
      <c r="J95" s="10">
        <v>0.16</v>
      </c>
      <c r="K95" s="10">
        <v>1451.37</v>
      </c>
    </row>
    <row r="96" spans="1:11" x14ac:dyDescent="0.25">
      <c r="A96" s="8" t="s">
        <v>204</v>
      </c>
      <c r="B96" s="8" t="s">
        <v>120</v>
      </c>
      <c r="C96" s="8" t="s">
        <v>73</v>
      </c>
      <c r="D96" s="8">
        <v>1</v>
      </c>
      <c r="E96" s="8" t="s">
        <v>205</v>
      </c>
      <c r="F96" s="8" t="s">
        <v>75</v>
      </c>
      <c r="G96" s="8" t="s">
        <v>175</v>
      </c>
      <c r="H96" s="10">
        <v>607.5</v>
      </c>
      <c r="I96" s="10"/>
      <c r="J96" s="10">
        <v>607.5</v>
      </c>
      <c r="K96" s="10">
        <v>1451.37</v>
      </c>
    </row>
    <row r="97" spans="1:11" x14ac:dyDescent="0.25">
      <c r="A97" s="8" t="s">
        <v>206</v>
      </c>
      <c r="B97" s="8" t="s">
        <v>72</v>
      </c>
      <c r="C97" s="8" t="s">
        <v>207</v>
      </c>
      <c r="D97" s="8">
        <v>1</v>
      </c>
      <c r="E97" s="8" t="s">
        <v>208</v>
      </c>
      <c r="F97" s="8" t="s">
        <v>149</v>
      </c>
      <c r="G97" s="8" t="s">
        <v>209</v>
      </c>
      <c r="H97" s="10">
        <v>1359.6</v>
      </c>
      <c r="I97" s="10"/>
      <c r="J97" s="10">
        <v>1359.6</v>
      </c>
      <c r="K97" s="10">
        <v>37.869999999999997</v>
      </c>
    </row>
    <row r="98" spans="1:11" x14ac:dyDescent="0.25">
      <c r="A98" s="8" t="s">
        <v>210</v>
      </c>
      <c r="B98" s="8" t="s">
        <v>78</v>
      </c>
      <c r="C98" s="8" t="s">
        <v>207</v>
      </c>
      <c r="D98" s="8">
        <v>1</v>
      </c>
      <c r="E98" s="8" t="s">
        <v>208</v>
      </c>
      <c r="F98" s="8" t="s">
        <v>149</v>
      </c>
      <c r="G98" s="8" t="s">
        <v>209</v>
      </c>
      <c r="H98" s="10">
        <v>16.43</v>
      </c>
      <c r="I98" s="10"/>
      <c r="J98" s="10">
        <v>16.43</v>
      </c>
      <c r="K98" s="10">
        <v>37.869999999999997</v>
      </c>
    </row>
    <row r="99" spans="1:11" x14ac:dyDescent="0.25">
      <c r="A99" s="8" t="s">
        <v>211</v>
      </c>
      <c r="B99" s="8" t="s">
        <v>80</v>
      </c>
      <c r="C99" s="8" t="s">
        <v>207</v>
      </c>
      <c r="D99" s="8">
        <v>1</v>
      </c>
      <c r="E99" s="8" t="s">
        <v>208</v>
      </c>
      <c r="F99" s="8" t="s">
        <v>149</v>
      </c>
      <c r="G99" s="8" t="s">
        <v>209</v>
      </c>
      <c r="H99" s="10">
        <v>300.45</v>
      </c>
      <c r="I99" s="10"/>
      <c r="J99" s="10">
        <v>300.45</v>
      </c>
      <c r="K99" s="10">
        <v>37.869999999999997</v>
      </c>
    </row>
    <row r="100" spans="1:11" x14ac:dyDescent="0.25">
      <c r="A100" s="8" t="s">
        <v>212</v>
      </c>
      <c r="B100" s="8" t="s">
        <v>116</v>
      </c>
      <c r="C100" s="8" t="s">
        <v>213</v>
      </c>
      <c r="D100" s="8">
        <v>1</v>
      </c>
      <c r="E100" s="8" t="s">
        <v>214</v>
      </c>
      <c r="F100" s="8" t="s">
        <v>215</v>
      </c>
      <c r="G100" s="8" t="s">
        <v>216</v>
      </c>
      <c r="H100" s="10">
        <v>48</v>
      </c>
      <c r="I100" s="10"/>
      <c r="J100" s="10">
        <v>48</v>
      </c>
      <c r="K100" s="10">
        <v>175.87</v>
      </c>
    </row>
    <row r="101" spans="1:11" x14ac:dyDescent="0.25">
      <c r="A101" s="8" t="s">
        <v>217</v>
      </c>
      <c r="B101" s="8" t="s">
        <v>118</v>
      </c>
      <c r="C101" s="8" t="s">
        <v>213</v>
      </c>
      <c r="D101" s="8">
        <v>1</v>
      </c>
      <c r="E101" s="8" t="s">
        <v>214</v>
      </c>
      <c r="F101" s="8" t="s">
        <v>215</v>
      </c>
      <c r="G101" s="8" t="s">
        <v>216</v>
      </c>
      <c r="H101" s="10">
        <v>60</v>
      </c>
      <c r="I101" s="10"/>
      <c r="J101" s="10">
        <v>60</v>
      </c>
      <c r="K101" s="10">
        <v>175.87</v>
      </c>
    </row>
    <row r="102" spans="1:11" x14ac:dyDescent="0.25">
      <c r="A102" s="8" t="s">
        <v>218</v>
      </c>
      <c r="B102" s="8" t="s">
        <v>120</v>
      </c>
      <c r="C102" s="8" t="s">
        <v>213</v>
      </c>
      <c r="D102" s="8">
        <v>1</v>
      </c>
      <c r="E102" s="8" t="s">
        <v>214</v>
      </c>
      <c r="F102" s="8" t="s">
        <v>215</v>
      </c>
      <c r="G102" s="8" t="s">
        <v>216</v>
      </c>
      <c r="H102" s="10">
        <v>100</v>
      </c>
      <c r="I102" s="10"/>
      <c r="J102" s="10">
        <v>100</v>
      </c>
      <c r="K102" s="10">
        <v>175.87</v>
      </c>
    </row>
    <row r="103" spans="1:11" x14ac:dyDescent="0.25">
      <c r="A103" s="8" t="s">
        <v>219</v>
      </c>
      <c r="B103" s="8" t="s">
        <v>122</v>
      </c>
      <c r="C103" s="8" t="s">
        <v>213</v>
      </c>
      <c r="D103" s="8">
        <v>1</v>
      </c>
      <c r="E103" s="8" t="s">
        <v>214</v>
      </c>
      <c r="F103" s="8" t="s">
        <v>215</v>
      </c>
      <c r="G103" s="8" t="s">
        <v>216</v>
      </c>
      <c r="H103" s="10">
        <v>120</v>
      </c>
      <c r="I103" s="10"/>
      <c r="J103" s="10">
        <v>120</v>
      </c>
      <c r="K103" s="10">
        <v>175.87</v>
      </c>
    </row>
    <row r="104" spans="1:11" x14ac:dyDescent="0.25">
      <c r="A104" s="8" t="s">
        <v>220</v>
      </c>
      <c r="B104" s="8" t="s">
        <v>124</v>
      </c>
      <c r="C104" s="8" t="s">
        <v>213</v>
      </c>
      <c r="D104" s="8">
        <v>1</v>
      </c>
      <c r="E104" s="8" t="s">
        <v>214</v>
      </c>
      <c r="F104" s="8" t="s">
        <v>215</v>
      </c>
      <c r="G104" s="8" t="s">
        <v>216</v>
      </c>
      <c r="H104" s="10">
        <v>128</v>
      </c>
      <c r="I104" s="10"/>
      <c r="J104" s="10">
        <v>128</v>
      </c>
      <c r="K104" s="10">
        <v>175.87</v>
      </c>
    </row>
    <row r="105" spans="1:11" x14ac:dyDescent="0.25">
      <c r="A105" s="8" t="s">
        <v>221</v>
      </c>
      <c r="B105" s="8" t="s">
        <v>78</v>
      </c>
      <c r="C105" s="8" t="s">
        <v>213</v>
      </c>
      <c r="D105" s="8">
        <v>1</v>
      </c>
      <c r="E105" s="8" t="s">
        <v>214</v>
      </c>
      <c r="F105" s="8" t="s">
        <v>215</v>
      </c>
      <c r="G105" s="8" t="s">
        <v>216</v>
      </c>
      <c r="H105" s="10">
        <v>80</v>
      </c>
      <c r="I105" s="10"/>
      <c r="J105" s="10">
        <v>80</v>
      </c>
      <c r="K105" s="10">
        <v>175.87</v>
      </c>
    </row>
    <row r="106" spans="1:11" x14ac:dyDescent="0.25">
      <c r="A106" s="8" t="s">
        <v>222</v>
      </c>
      <c r="B106" s="8" t="s">
        <v>128</v>
      </c>
      <c r="C106" s="8" t="s">
        <v>213</v>
      </c>
      <c r="D106" s="8">
        <v>1</v>
      </c>
      <c r="E106" s="8" t="s">
        <v>214</v>
      </c>
      <c r="F106" s="8" t="s">
        <v>215</v>
      </c>
      <c r="G106" s="8" t="s">
        <v>216</v>
      </c>
      <c r="H106" s="10">
        <v>32</v>
      </c>
      <c r="I106" s="10"/>
      <c r="J106" s="10">
        <v>32</v>
      </c>
      <c r="K106" s="10">
        <v>175.87</v>
      </c>
    </row>
    <row r="107" spans="1:11" x14ac:dyDescent="0.25">
      <c r="A107" s="8" t="s">
        <v>223</v>
      </c>
      <c r="B107" s="8" t="s">
        <v>130</v>
      </c>
      <c r="C107" s="8" t="s">
        <v>213</v>
      </c>
      <c r="D107" s="8">
        <v>1</v>
      </c>
      <c r="E107" s="8" t="s">
        <v>214</v>
      </c>
      <c r="F107" s="8" t="s">
        <v>215</v>
      </c>
      <c r="G107" s="8" t="s">
        <v>216</v>
      </c>
      <c r="H107" s="10">
        <v>12</v>
      </c>
      <c r="I107" s="10"/>
      <c r="J107" s="10">
        <v>12</v>
      </c>
      <c r="K107" s="10">
        <v>175.87</v>
      </c>
    </row>
    <row r="108" spans="1:11" x14ac:dyDescent="0.25">
      <c r="A108" s="8" t="s">
        <v>224</v>
      </c>
      <c r="B108" s="8" t="s">
        <v>132</v>
      </c>
      <c r="C108" s="8" t="s">
        <v>213</v>
      </c>
      <c r="D108" s="8">
        <v>1</v>
      </c>
      <c r="E108" s="8" t="s">
        <v>214</v>
      </c>
      <c r="F108" s="8" t="s">
        <v>215</v>
      </c>
      <c r="G108" s="8" t="s">
        <v>216</v>
      </c>
      <c r="H108" s="10">
        <v>24</v>
      </c>
      <c r="I108" s="10"/>
      <c r="J108" s="10">
        <v>24</v>
      </c>
      <c r="K108" s="10">
        <v>175.87</v>
      </c>
    </row>
    <row r="109" spans="1:11" x14ac:dyDescent="0.25">
      <c r="A109" s="8" t="s">
        <v>225</v>
      </c>
      <c r="B109" s="8" t="s">
        <v>134</v>
      </c>
      <c r="C109" s="8" t="s">
        <v>213</v>
      </c>
      <c r="D109" s="8">
        <v>1</v>
      </c>
      <c r="E109" s="8" t="s">
        <v>214</v>
      </c>
      <c r="F109" s="8" t="s">
        <v>215</v>
      </c>
      <c r="G109" s="8" t="s">
        <v>216</v>
      </c>
      <c r="H109" s="10">
        <v>12</v>
      </c>
      <c r="I109" s="10"/>
      <c r="J109" s="10">
        <v>12</v>
      </c>
      <c r="K109" s="10">
        <v>175.87</v>
      </c>
    </row>
    <row r="110" spans="1:11" x14ac:dyDescent="0.25">
      <c r="A110" s="8" t="s">
        <v>226</v>
      </c>
      <c r="B110" s="8" t="s">
        <v>136</v>
      </c>
      <c r="C110" s="8" t="s">
        <v>213</v>
      </c>
      <c r="D110" s="8">
        <v>1</v>
      </c>
      <c r="E110" s="8" t="s">
        <v>214</v>
      </c>
      <c r="F110" s="8" t="s">
        <v>215</v>
      </c>
      <c r="G110" s="8" t="s">
        <v>216</v>
      </c>
      <c r="H110" s="10">
        <v>24</v>
      </c>
      <c r="I110" s="10"/>
      <c r="J110" s="10">
        <v>24</v>
      </c>
      <c r="K110" s="10">
        <v>175.87</v>
      </c>
    </row>
    <row r="111" spans="1:11" x14ac:dyDescent="0.25">
      <c r="A111" s="8" t="s">
        <v>227</v>
      </c>
      <c r="B111" s="8" t="s">
        <v>138</v>
      </c>
      <c r="C111" s="8" t="s">
        <v>213</v>
      </c>
      <c r="D111" s="8">
        <v>1</v>
      </c>
      <c r="E111" s="8" t="s">
        <v>214</v>
      </c>
      <c r="F111" s="8" t="s">
        <v>215</v>
      </c>
      <c r="G111" s="8" t="s">
        <v>216</v>
      </c>
      <c r="H111" s="10">
        <v>12</v>
      </c>
      <c r="I111" s="10"/>
      <c r="J111" s="10">
        <v>12</v>
      </c>
      <c r="K111" s="10">
        <v>175.87</v>
      </c>
    </row>
    <row r="112" spans="1:11" x14ac:dyDescent="0.25">
      <c r="A112" s="8" t="s">
        <v>228</v>
      </c>
      <c r="B112" s="8" t="s">
        <v>80</v>
      </c>
      <c r="C112" s="8" t="s">
        <v>213</v>
      </c>
      <c r="D112" s="8">
        <v>1</v>
      </c>
      <c r="E112" s="8" t="s">
        <v>214</v>
      </c>
      <c r="F112" s="8" t="s">
        <v>215</v>
      </c>
      <c r="G112" s="8" t="s">
        <v>216</v>
      </c>
      <c r="H112" s="10">
        <v>20</v>
      </c>
      <c r="I112" s="10"/>
      <c r="J112" s="10">
        <v>20</v>
      </c>
      <c r="K112" s="10">
        <v>175.87</v>
      </c>
    </row>
    <row r="113" spans="1:11" x14ac:dyDescent="0.25">
      <c r="A113" s="8" t="s">
        <v>229</v>
      </c>
      <c r="B113" s="8" t="s">
        <v>142</v>
      </c>
      <c r="C113" s="8" t="s">
        <v>213</v>
      </c>
      <c r="D113" s="8">
        <v>1</v>
      </c>
      <c r="E113" s="8" t="s">
        <v>214</v>
      </c>
      <c r="F113" s="8" t="s">
        <v>215</v>
      </c>
      <c r="G113" s="8" t="s">
        <v>216</v>
      </c>
      <c r="H113" s="10">
        <v>20</v>
      </c>
      <c r="I113" s="10"/>
      <c r="J113" s="10">
        <v>20</v>
      </c>
      <c r="K113" s="10">
        <v>175.87</v>
      </c>
    </row>
    <row r="114" spans="1:11" x14ac:dyDescent="0.25">
      <c r="A114" s="8" t="s">
        <v>230</v>
      </c>
      <c r="B114" s="8" t="s">
        <v>116</v>
      </c>
      <c r="C114" s="8" t="s">
        <v>213</v>
      </c>
      <c r="D114" s="8">
        <v>1</v>
      </c>
      <c r="E114" s="8" t="s">
        <v>231</v>
      </c>
      <c r="F114" s="8" t="s">
        <v>88</v>
      </c>
      <c r="G114" s="8" t="s">
        <v>216</v>
      </c>
      <c r="H114" s="10">
        <v>1.92</v>
      </c>
      <c r="I114" s="10"/>
      <c r="J114" s="10">
        <v>1.92</v>
      </c>
      <c r="K114" s="10">
        <v>277.23</v>
      </c>
    </row>
    <row r="115" spans="1:11" x14ac:dyDescent="0.25">
      <c r="A115" s="8" t="s">
        <v>232</v>
      </c>
      <c r="B115" s="8" t="s">
        <v>118</v>
      </c>
      <c r="C115" s="8" t="s">
        <v>213</v>
      </c>
      <c r="D115" s="8">
        <v>1</v>
      </c>
      <c r="E115" s="8" t="s">
        <v>231</v>
      </c>
      <c r="F115" s="8" t="s">
        <v>88</v>
      </c>
      <c r="G115" s="8" t="s">
        <v>216</v>
      </c>
      <c r="H115" s="10">
        <v>2.4</v>
      </c>
      <c r="I115" s="10"/>
      <c r="J115" s="10">
        <v>2.4</v>
      </c>
      <c r="K115" s="10">
        <v>277.23</v>
      </c>
    </row>
    <row r="116" spans="1:11" x14ac:dyDescent="0.25">
      <c r="A116" s="8" t="s">
        <v>233</v>
      </c>
      <c r="B116" s="8" t="s">
        <v>122</v>
      </c>
      <c r="C116" s="8" t="s">
        <v>213</v>
      </c>
      <c r="D116" s="8">
        <v>1</v>
      </c>
      <c r="E116" s="8" t="s">
        <v>231</v>
      </c>
      <c r="F116" s="8" t="s">
        <v>88</v>
      </c>
      <c r="G116" s="8" t="s">
        <v>216</v>
      </c>
      <c r="H116" s="10">
        <v>4.8</v>
      </c>
      <c r="I116" s="10"/>
      <c r="J116" s="10">
        <v>4.8</v>
      </c>
      <c r="K116" s="10">
        <v>277.23</v>
      </c>
    </row>
    <row r="117" spans="1:11" x14ac:dyDescent="0.25">
      <c r="A117" s="8" t="s">
        <v>234</v>
      </c>
      <c r="B117" s="8" t="s">
        <v>124</v>
      </c>
      <c r="C117" s="8" t="s">
        <v>213</v>
      </c>
      <c r="D117" s="8">
        <v>1</v>
      </c>
      <c r="E117" s="8" t="s">
        <v>231</v>
      </c>
      <c r="F117" s="8" t="s">
        <v>88</v>
      </c>
      <c r="G117" s="8" t="s">
        <v>216</v>
      </c>
      <c r="H117" s="10">
        <v>5.12</v>
      </c>
      <c r="I117" s="10"/>
      <c r="J117" s="10">
        <v>5.12</v>
      </c>
      <c r="K117" s="10">
        <v>277.23</v>
      </c>
    </row>
    <row r="118" spans="1:11" x14ac:dyDescent="0.25">
      <c r="A118" s="8" t="s">
        <v>235</v>
      </c>
      <c r="B118" s="8" t="s">
        <v>78</v>
      </c>
      <c r="C118" s="8" t="s">
        <v>213</v>
      </c>
      <c r="D118" s="8">
        <v>1</v>
      </c>
      <c r="E118" s="8" t="s">
        <v>231</v>
      </c>
      <c r="F118" s="8" t="s">
        <v>88</v>
      </c>
      <c r="G118" s="8" t="s">
        <v>216</v>
      </c>
      <c r="H118" s="10">
        <v>3.2</v>
      </c>
      <c r="I118" s="10"/>
      <c r="J118" s="10">
        <v>3.2</v>
      </c>
      <c r="K118" s="10">
        <v>277.23</v>
      </c>
    </row>
    <row r="119" spans="1:11" x14ac:dyDescent="0.25">
      <c r="A119" s="8" t="s">
        <v>236</v>
      </c>
      <c r="B119" s="8" t="s">
        <v>128</v>
      </c>
      <c r="C119" s="8" t="s">
        <v>213</v>
      </c>
      <c r="D119" s="8">
        <v>1</v>
      </c>
      <c r="E119" s="8" t="s">
        <v>231</v>
      </c>
      <c r="F119" s="8" t="s">
        <v>88</v>
      </c>
      <c r="G119" s="8" t="s">
        <v>216</v>
      </c>
      <c r="H119" s="10">
        <v>1.28</v>
      </c>
      <c r="I119" s="10"/>
      <c r="J119" s="10">
        <v>1.28</v>
      </c>
      <c r="K119" s="10">
        <v>277.23</v>
      </c>
    </row>
    <row r="120" spans="1:11" x14ac:dyDescent="0.25">
      <c r="A120" s="8" t="s">
        <v>237</v>
      </c>
      <c r="B120" s="8" t="s">
        <v>130</v>
      </c>
      <c r="C120" s="8" t="s">
        <v>213</v>
      </c>
      <c r="D120" s="8">
        <v>1</v>
      </c>
      <c r="E120" s="8" t="s">
        <v>231</v>
      </c>
      <c r="F120" s="8" t="s">
        <v>88</v>
      </c>
      <c r="G120" s="8" t="s">
        <v>216</v>
      </c>
      <c r="H120" s="10">
        <v>0.48</v>
      </c>
      <c r="I120" s="10"/>
      <c r="J120" s="10">
        <v>0.48</v>
      </c>
      <c r="K120" s="10">
        <v>277.23</v>
      </c>
    </row>
    <row r="121" spans="1:11" x14ac:dyDescent="0.25">
      <c r="A121" s="8" t="s">
        <v>238</v>
      </c>
      <c r="B121" s="8" t="s">
        <v>132</v>
      </c>
      <c r="C121" s="8" t="s">
        <v>213</v>
      </c>
      <c r="D121" s="8">
        <v>1</v>
      </c>
      <c r="E121" s="8" t="s">
        <v>231</v>
      </c>
      <c r="F121" s="8" t="s">
        <v>88</v>
      </c>
      <c r="G121" s="8" t="s">
        <v>216</v>
      </c>
      <c r="H121" s="10">
        <v>0.96</v>
      </c>
      <c r="I121" s="10"/>
      <c r="J121" s="10">
        <v>0.96</v>
      </c>
      <c r="K121" s="10">
        <v>277.23</v>
      </c>
    </row>
    <row r="122" spans="1:11" x14ac:dyDescent="0.25">
      <c r="A122" s="8" t="s">
        <v>239</v>
      </c>
      <c r="B122" s="8" t="s">
        <v>134</v>
      </c>
      <c r="C122" s="8" t="s">
        <v>213</v>
      </c>
      <c r="D122" s="8">
        <v>1</v>
      </c>
      <c r="E122" s="8" t="s">
        <v>231</v>
      </c>
      <c r="F122" s="8" t="s">
        <v>88</v>
      </c>
      <c r="G122" s="8" t="s">
        <v>216</v>
      </c>
      <c r="H122" s="10">
        <v>0.48</v>
      </c>
      <c r="I122" s="10"/>
      <c r="J122" s="10">
        <v>0.48</v>
      </c>
      <c r="K122" s="10">
        <v>277.23</v>
      </c>
    </row>
    <row r="123" spans="1:11" x14ac:dyDescent="0.25">
      <c r="A123" s="8" t="s">
        <v>240</v>
      </c>
      <c r="B123" s="8" t="s">
        <v>136</v>
      </c>
      <c r="C123" s="8" t="s">
        <v>213</v>
      </c>
      <c r="D123" s="8">
        <v>1</v>
      </c>
      <c r="E123" s="8" t="s">
        <v>231</v>
      </c>
      <c r="F123" s="8" t="s">
        <v>88</v>
      </c>
      <c r="G123" s="8" t="s">
        <v>216</v>
      </c>
      <c r="H123" s="10">
        <v>0.96</v>
      </c>
      <c r="I123" s="10"/>
      <c r="J123" s="10">
        <v>0.96</v>
      </c>
      <c r="K123" s="10">
        <v>277.23</v>
      </c>
    </row>
    <row r="124" spans="1:11" x14ac:dyDescent="0.25">
      <c r="A124" s="8" t="s">
        <v>241</v>
      </c>
      <c r="B124" s="8" t="s">
        <v>138</v>
      </c>
      <c r="C124" s="8" t="s">
        <v>213</v>
      </c>
      <c r="D124" s="8">
        <v>1</v>
      </c>
      <c r="E124" s="8" t="s">
        <v>231</v>
      </c>
      <c r="F124" s="8" t="s">
        <v>88</v>
      </c>
      <c r="G124" s="8" t="s">
        <v>216</v>
      </c>
      <c r="H124" s="10">
        <v>0.48</v>
      </c>
      <c r="I124" s="10"/>
      <c r="J124" s="10">
        <v>0.48</v>
      </c>
      <c r="K124" s="10">
        <v>277.23</v>
      </c>
    </row>
    <row r="125" spans="1:11" x14ac:dyDescent="0.25">
      <c r="A125" s="8" t="s">
        <v>242</v>
      </c>
      <c r="B125" s="8" t="s">
        <v>80</v>
      </c>
      <c r="C125" s="8" t="s">
        <v>213</v>
      </c>
      <c r="D125" s="8">
        <v>1</v>
      </c>
      <c r="E125" s="8" t="s">
        <v>231</v>
      </c>
      <c r="F125" s="8" t="s">
        <v>88</v>
      </c>
      <c r="G125" s="8" t="s">
        <v>216</v>
      </c>
      <c r="H125" s="10">
        <v>0.8</v>
      </c>
      <c r="I125" s="10"/>
      <c r="J125" s="10">
        <v>0.8</v>
      </c>
      <c r="K125" s="10">
        <v>277.23</v>
      </c>
    </row>
    <row r="126" spans="1:11" x14ac:dyDescent="0.25">
      <c r="A126" s="8" t="s">
        <v>243</v>
      </c>
      <c r="B126" s="8" t="s">
        <v>142</v>
      </c>
      <c r="C126" s="8" t="s">
        <v>213</v>
      </c>
      <c r="D126" s="8">
        <v>1</v>
      </c>
      <c r="E126" s="8" t="s">
        <v>231</v>
      </c>
      <c r="F126" s="8" t="s">
        <v>88</v>
      </c>
      <c r="G126" s="8" t="s">
        <v>216</v>
      </c>
      <c r="H126" s="10">
        <v>0.8</v>
      </c>
      <c r="I126" s="10"/>
      <c r="J126" s="10">
        <v>0.8</v>
      </c>
      <c r="K126" s="10">
        <v>277.23</v>
      </c>
    </row>
    <row r="127" spans="1:11" x14ac:dyDescent="0.25">
      <c r="A127" s="8" t="s">
        <v>244</v>
      </c>
      <c r="B127" s="8" t="s">
        <v>116</v>
      </c>
      <c r="C127" s="8" t="s">
        <v>245</v>
      </c>
      <c r="D127" s="8">
        <v>1</v>
      </c>
      <c r="E127" s="8" t="s">
        <v>246</v>
      </c>
      <c r="F127" s="8" t="s">
        <v>247</v>
      </c>
      <c r="G127" s="8" t="s">
        <v>248</v>
      </c>
      <c r="H127" s="10">
        <v>0.11</v>
      </c>
      <c r="I127" s="10"/>
      <c r="J127" s="10">
        <v>0.11</v>
      </c>
      <c r="K127" s="10">
        <v>58.59</v>
      </c>
    </row>
    <row r="128" spans="1:11" x14ac:dyDescent="0.25">
      <c r="A128" s="8" t="s">
        <v>249</v>
      </c>
      <c r="B128" s="8" t="s">
        <v>118</v>
      </c>
      <c r="C128" s="8" t="s">
        <v>245</v>
      </c>
      <c r="D128" s="8">
        <v>1</v>
      </c>
      <c r="E128" s="8" t="s">
        <v>246</v>
      </c>
      <c r="F128" s="8" t="s">
        <v>247</v>
      </c>
      <c r="G128" s="8" t="s">
        <v>248</v>
      </c>
      <c r="H128" s="10">
        <v>0.13</v>
      </c>
      <c r="I128" s="10"/>
      <c r="J128" s="10">
        <v>0.13</v>
      </c>
      <c r="K128" s="10">
        <v>58.59</v>
      </c>
    </row>
    <row r="129" spans="1:11" x14ac:dyDescent="0.25">
      <c r="A129" s="8" t="s">
        <v>250</v>
      </c>
      <c r="B129" s="8" t="s">
        <v>120</v>
      </c>
      <c r="C129" s="8" t="s">
        <v>245</v>
      </c>
      <c r="D129" s="8">
        <v>1</v>
      </c>
      <c r="E129" s="8" t="s">
        <v>246</v>
      </c>
      <c r="F129" s="8" t="s">
        <v>247</v>
      </c>
      <c r="G129" s="8" t="s">
        <v>248</v>
      </c>
      <c r="H129" s="10">
        <v>0.22</v>
      </c>
      <c r="I129" s="10"/>
      <c r="J129" s="10">
        <v>0.22</v>
      </c>
      <c r="K129" s="10">
        <v>58.59</v>
      </c>
    </row>
    <row r="130" spans="1:11" x14ac:dyDescent="0.25">
      <c r="A130" s="8" t="s">
        <v>251</v>
      </c>
      <c r="B130" s="8" t="s">
        <v>122</v>
      </c>
      <c r="C130" s="8" t="s">
        <v>245</v>
      </c>
      <c r="D130" s="8">
        <v>1</v>
      </c>
      <c r="E130" s="8" t="s">
        <v>246</v>
      </c>
      <c r="F130" s="8" t="s">
        <v>247</v>
      </c>
      <c r="G130" s="8" t="s">
        <v>248</v>
      </c>
      <c r="H130" s="10">
        <v>0.27</v>
      </c>
      <c r="I130" s="10"/>
      <c r="J130" s="10">
        <v>0.27</v>
      </c>
      <c r="K130" s="10">
        <v>58.59</v>
      </c>
    </row>
    <row r="131" spans="1:11" x14ac:dyDescent="0.25">
      <c r="A131" s="8" t="s">
        <v>252</v>
      </c>
      <c r="B131" s="8" t="s">
        <v>124</v>
      </c>
      <c r="C131" s="8" t="s">
        <v>245</v>
      </c>
      <c r="D131" s="8">
        <v>1</v>
      </c>
      <c r="E131" s="8" t="s">
        <v>246</v>
      </c>
      <c r="F131" s="8" t="s">
        <v>247</v>
      </c>
      <c r="G131" s="8" t="s">
        <v>248</v>
      </c>
      <c r="H131" s="10">
        <v>0.28000000000000003</v>
      </c>
      <c r="I131" s="10"/>
      <c r="J131" s="10">
        <v>0.28000000000000003</v>
      </c>
      <c r="K131" s="10">
        <v>58.59</v>
      </c>
    </row>
    <row r="132" spans="1:11" x14ac:dyDescent="0.25">
      <c r="A132" s="8" t="s">
        <v>253</v>
      </c>
      <c r="B132" s="8" t="s">
        <v>78</v>
      </c>
      <c r="C132" s="8" t="s">
        <v>245</v>
      </c>
      <c r="D132" s="8">
        <v>1</v>
      </c>
      <c r="E132" s="8" t="s">
        <v>246</v>
      </c>
      <c r="F132" s="8" t="s">
        <v>247</v>
      </c>
      <c r="G132" s="8" t="s">
        <v>248</v>
      </c>
      <c r="H132" s="10">
        <v>0.18</v>
      </c>
      <c r="I132" s="10"/>
      <c r="J132" s="10">
        <v>0.18</v>
      </c>
      <c r="K132" s="10">
        <v>58.59</v>
      </c>
    </row>
    <row r="133" spans="1:11" x14ac:dyDescent="0.25">
      <c r="A133" s="8" t="s">
        <v>254</v>
      </c>
      <c r="B133" s="8" t="s">
        <v>128</v>
      </c>
      <c r="C133" s="8" t="s">
        <v>245</v>
      </c>
      <c r="D133" s="8">
        <v>1</v>
      </c>
      <c r="E133" s="8" t="s">
        <v>246</v>
      </c>
      <c r="F133" s="8" t="s">
        <v>247</v>
      </c>
      <c r="G133" s="8" t="s">
        <v>248</v>
      </c>
      <c r="H133" s="10">
        <v>7.0000000000000007E-2</v>
      </c>
      <c r="I133" s="10"/>
      <c r="J133" s="10">
        <v>7.0000000000000007E-2</v>
      </c>
      <c r="K133" s="10">
        <v>58.59</v>
      </c>
    </row>
    <row r="134" spans="1:11" x14ac:dyDescent="0.25">
      <c r="A134" s="8" t="s">
        <v>255</v>
      </c>
      <c r="B134" s="8" t="s">
        <v>130</v>
      </c>
      <c r="C134" s="8" t="s">
        <v>245</v>
      </c>
      <c r="D134" s="8">
        <v>1</v>
      </c>
      <c r="E134" s="8" t="s">
        <v>246</v>
      </c>
      <c r="F134" s="8" t="s">
        <v>247</v>
      </c>
      <c r="G134" s="8" t="s">
        <v>248</v>
      </c>
      <c r="H134" s="10">
        <v>0.03</v>
      </c>
      <c r="I134" s="10"/>
      <c r="J134" s="10">
        <v>0.03</v>
      </c>
      <c r="K134" s="10">
        <v>58.59</v>
      </c>
    </row>
    <row r="135" spans="1:11" x14ac:dyDescent="0.25">
      <c r="A135" s="8" t="s">
        <v>256</v>
      </c>
      <c r="B135" s="8" t="s">
        <v>132</v>
      </c>
      <c r="C135" s="8" t="s">
        <v>245</v>
      </c>
      <c r="D135" s="8">
        <v>1</v>
      </c>
      <c r="E135" s="8" t="s">
        <v>246</v>
      </c>
      <c r="F135" s="8" t="s">
        <v>247</v>
      </c>
      <c r="G135" s="8" t="s">
        <v>248</v>
      </c>
      <c r="H135" s="10">
        <v>0.05</v>
      </c>
      <c r="I135" s="10"/>
      <c r="J135" s="10">
        <v>0.05</v>
      </c>
      <c r="K135" s="10">
        <v>58.59</v>
      </c>
    </row>
    <row r="136" spans="1:11" x14ac:dyDescent="0.25">
      <c r="A136" s="8" t="s">
        <v>257</v>
      </c>
      <c r="B136" s="8" t="s">
        <v>134</v>
      </c>
      <c r="C136" s="8" t="s">
        <v>245</v>
      </c>
      <c r="D136" s="8">
        <v>1</v>
      </c>
      <c r="E136" s="8" t="s">
        <v>246</v>
      </c>
      <c r="F136" s="8" t="s">
        <v>247</v>
      </c>
      <c r="G136" s="8" t="s">
        <v>248</v>
      </c>
      <c r="H136" s="10">
        <v>0.03</v>
      </c>
      <c r="I136" s="10"/>
      <c r="J136" s="10">
        <v>0.03</v>
      </c>
      <c r="K136" s="10">
        <v>58.59</v>
      </c>
    </row>
    <row r="137" spans="1:11" x14ac:dyDescent="0.25">
      <c r="A137" s="8" t="s">
        <v>258</v>
      </c>
      <c r="B137" s="8" t="s">
        <v>136</v>
      </c>
      <c r="C137" s="8" t="s">
        <v>245</v>
      </c>
      <c r="D137" s="8">
        <v>1</v>
      </c>
      <c r="E137" s="8" t="s">
        <v>246</v>
      </c>
      <c r="F137" s="8" t="s">
        <v>247</v>
      </c>
      <c r="G137" s="8" t="s">
        <v>248</v>
      </c>
      <c r="H137" s="10">
        <v>0.05</v>
      </c>
      <c r="I137" s="10"/>
      <c r="J137" s="10">
        <v>0.05</v>
      </c>
      <c r="K137" s="10">
        <v>58.59</v>
      </c>
    </row>
    <row r="138" spans="1:11" x14ac:dyDescent="0.25">
      <c r="A138" s="8" t="s">
        <v>259</v>
      </c>
      <c r="B138" s="8" t="s">
        <v>138</v>
      </c>
      <c r="C138" s="8" t="s">
        <v>245</v>
      </c>
      <c r="D138" s="8">
        <v>1</v>
      </c>
      <c r="E138" s="8" t="s">
        <v>246</v>
      </c>
      <c r="F138" s="8" t="s">
        <v>247</v>
      </c>
      <c r="G138" s="8" t="s">
        <v>248</v>
      </c>
      <c r="H138" s="10">
        <v>0.03</v>
      </c>
      <c r="I138" s="10"/>
      <c r="J138" s="10">
        <v>0.03</v>
      </c>
      <c r="K138" s="10">
        <v>58.59</v>
      </c>
    </row>
    <row r="139" spans="1:11" x14ac:dyDescent="0.25">
      <c r="A139" s="8" t="s">
        <v>260</v>
      </c>
      <c r="B139" s="8" t="s">
        <v>80</v>
      </c>
      <c r="C139" s="8" t="s">
        <v>245</v>
      </c>
      <c r="D139" s="8">
        <v>1</v>
      </c>
      <c r="E139" s="8" t="s">
        <v>246</v>
      </c>
      <c r="F139" s="8" t="s">
        <v>247</v>
      </c>
      <c r="G139" s="8" t="s">
        <v>248</v>
      </c>
      <c r="H139" s="10">
        <v>0.04</v>
      </c>
      <c r="I139" s="10"/>
      <c r="J139" s="10">
        <v>0.04</v>
      </c>
      <c r="K139" s="10">
        <v>58.59</v>
      </c>
    </row>
    <row r="140" spans="1:11" x14ac:dyDescent="0.25">
      <c r="A140" s="8" t="s">
        <v>261</v>
      </c>
      <c r="B140" s="8" t="s">
        <v>142</v>
      </c>
      <c r="C140" s="8" t="s">
        <v>245</v>
      </c>
      <c r="D140" s="8">
        <v>1</v>
      </c>
      <c r="E140" s="8" t="s">
        <v>246</v>
      </c>
      <c r="F140" s="8" t="s">
        <v>247</v>
      </c>
      <c r="G140" s="8" t="s">
        <v>248</v>
      </c>
      <c r="H140" s="10">
        <v>0.04</v>
      </c>
      <c r="I140" s="10"/>
      <c r="J140" s="10">
        <v>0.04</v>
      </c>
      <c r="K140" s="10">
        <v>58.59</v>
      </c>
    </row>
    <row r="141" spans="1:11" x14ac:dyDescent="0.25">
      <c r="A141" s="8" t="s">
        <v>262</v>
      </c>
      <c r="B141" s="8" t="s">
        <v>263</v>
      </c>
      <c r="C141" s="8" t="s">
        <v>264</v>
      </c>
      <c r="D141" s="8">
        <v>1</v>
      </c>
      <c r="E141" s="8" t="s">
        <v>265</v>
      </c>
      <c r="F141" s="8" t="s">
        <v>266</v>
      </c>
      <c r="G141" s="8" t="s">
        <v>267</v>
      </c>
      <c r="H141" s="10">
        <v>148.1</v>
      </c>
      <c r="I141" s="10"/>
      <c r="J141" s="10">
        <v>148.1</v>
      </c>
      <c r="K141" s="10">
        <v>2885.96</v>
      </c>
    </row>
    <row r="142" spans="1:11" x14ac:dyDescent="0.25">
      <c r="A142" s="8" t="s">
        <v>268</v>
      </c>
      <c r="B142" s="8" t="s">
        <v>269</v>
      </c>
      <c r="C142" s="8" t="s">
        <v>264</v>
      </c>
      <c r="D142" s="8">
        <v>1</v>
      </c>
      <c r="E142" s="8" t="s">
        <v>270</v>
      </c>
      <c r="F142" s="8" t="s">
        <v>266</v>
      </c>
      <c r="G142" s="8" t="s">
        <v>267</v>
      </c>
      <c r="H142" s="10">
        <v>148.1</v>
      </c>
      <c r="I142" s="10"/>
      <c r="J142" s="10">
        <v>148.1</v>
      </c>
      <c r="K142" s="10">
        <v>2885.96</v>
      </c>
    </row>
    <row r="143" spans="1:11" x14ac:dyDescent="0.25">
      <c r="A143" s="8" t="s">
        <v>271</v>
      </c>
      <c r="B143" s="8" t="s">
        <v>263</v>
      </c>
      <c r="C143" s="8" t="s">
        <v>272</v>
      </c>
      <c r="D143" s="8">
        <v>1</v>
      </c>
      <c r="E143" s="8" t="s">
        <v>273</v>
      </c>
      <c r="F143" s="8" t="s">
        <v>274</v>
      </c>
      <c r="G143" s="8" t="s">
        <v>275</v>
      </c>
      <c r="H143" s="10">
        <v>6</v>
      </c>
      <c r="I143" s="10"/>
      <c r="J143" s="10">
        <v>6</v>
      </c>
      <c r="K143" s="10">
        <v>331.61</v>
      </c>
    </row>
    <row r="144" spans="1:11" x14ac:dyDescent="0.25">
      <c r="A144" s="8" t="s">
        <v>276</v>
      </c>
      <c r="B144" s="8" t="s">
        <v>269</v>
      </c>
      <c r="C144" s="8" t="s">
        <v>272</v>
      </c>
      <c r="D144" s="8">
        <v>1</v>
      </c>
      <c r="E144" s="8" t="s">
        <v>277</v>
      </c>
      <c r="F144" s="8" t="s">
        <v>274</v>
      </c>
      <c r="G144" s="8" t="s">
        <v>275</v>
      </c>
      <c r="H144" s="10">
        <v>6</v>
      </c>
      <c r="I144" s="10"/>
      <c r="J144" s="10">
        <v>6</v>
      </c>
      <c r="K144" s="10">
        <v>331.61</v>
      </c>
    </row>
    <row r="145" spans="1:11" x14ac:dyDescent="0.25">
      <c r="A145" s="8" t="s">
        <v>278</v>
      </c>
      <c r="B145" s="8" t="s">
        <v>263</v>
      </c>
      <c r="C145" s="8" t="s">
        <v>272</v>
      </c>
      <c r="D145" s="8">
        <v>1</v>
      </c>
      <c r="E145" s="8" t="s">
        <v>279</v>
      </c>
      <c r="F145" s="8" t="s">
        <v>274</v>
      </c>
      <c r="G145" s="8" t="s">
        <v>275</v>
      </c>
      <c r="H145" s="10">
        <v>1</v>
      </c>
      <c r="I145" s="10"/>
      <c r="J145" s="10">
        <v>1</v>
      </c>
      <c r="K145" s="10">
        <v>331.61</v>
      </c>
    </row>
    <row r="146" spans="1:11" x14ac:dyDescent="0.25">
      <c r="A146" s="8" t="s">
        <v>280</v>
      </c>
      <c r="B146" s="8" t="s">
        <v>269</v>
      </c>
      <c r="C146" s="8" t="s">
        <v>272</v>
      </c>
      <c r="D146" s="8">
        <v>1</v>
      </c>
      <c r="E146" s="8" t="s">
        <v>281</v>
      </c>
      <c r="F146" s="8" t="s">
        <v>274</v>
      </c>
      <c r="G146" s="8" t="s">
        <v>275</v>
      </c>
      <c r="H146" s="10">
        <v>1</v>
      </c>
      <c r="I146" s="10"/>
      <c r="J146" s="10">
        <v>1</v>
      </c>
      <c r="K146" s="10">
        <v>331.61</v>
      </c>
    </row>
    <row r="147" spans="1:11" x14ac:dyDescent="0.25">
      <c r="A147" s="8" t="s">
        <v>282</v>
      </c>
      <c r="B147" s="8" t="s">
        <v>263</v>
      </c>
      <c r="C147" s="8" t="s">
        <v>272</v>
      </c>
      <c r="D147" s="8">
        <v>1</v>
      </c>
      <c r="E147" s="8" t="s">
        <v>283</v>
      </c>
      <c r="F147" s="8" t="s">
        <v>274</v>
      </c>
      <c r="G147" s="8" t="s">
        <v>275</v>
      </c>
      <c r="H147" s="10">
        <v>2</v>
      </c>
      <c r="I147" s="10"/>
      <c r="J147" s="10">
        <v>2</v>
      </c>
      <c r="K147" s="10">
        <v>663.21</v>
      </c>
    </row>
    <row r="148" spans="1:11" x14ac:dyDescent="0.25">
      <c r="A148" s="8" t="s">
        <v>284</v>
      </c>
      <c r="B148" s="8" t="s">
        <v>269</v>
      </c>
      <c r="C148" s="8" t="s">
        <v>272</v>
      </c>
      <c r="D148" s="8">
        <v>1</v>
      </c>
      <c r="E148" s="8" t="s">
        <v>285</v>
      </c>
      <c r="F148" s="8" t="s">
        <v>274</v>
      </c>
      <c r="G148" s="8" t="s">
        <v>275</v>
      </c>
      <c r="H148" s="10">
        <v>2</v>
      </c>
      <c r="I148" s="10"/>
      <c r="J148" s="10">
        <v>2</v>
      </c>
      <c r="K148" s="10">
        <v>663.21</v>
      </c>
    </row>
    <row r="149" spans="1:11" x14ac:dyDescent="0.25">
      <c r="A149" s="8" t="s">
        <v>286</v>
      </c>
      <c r="B149" s="8" t="s">
        <v>263</v>
      </c>
      <c r="C149" s="8" t="s">
        <v>272</v>
      </c>
      <c r="D149" s="8">
        <v>1</v>
      </c>
      <c r="E149" s="8" t="s">
        <v>287</v>
      </c>
      <c r="F149" s="8" t="s">
        <v>215</v>
      </c>
      <c r="G149" s="8" t="s">
        <v>275</v>
      </c>
      <c r="H149" s="10">
        <v>4</v>
      </c>
      <c r="I149" s="10"/>
      <c r="J149" s="10">
        <v>4</v>
      </c>
      <c r="K149" s="10">
        <v>331.61</v>
      </c>
    </row>
    <row r="150" spans="1:11" x14ac:dyDescent="0.25">
      <c r="A150" s="8" t="s">
        <v>288</v>
      </c>
      <c r="B150" s="8" t="s">
        <v>269</v>
      </c>
      <c r="C150" s="8" t="s">
        <v>272</v>
      </c>
      <c r="D150" s="8">
        <v>1</v>
      </c>
      <c r="E150" s="8" t="s">
        <v>289</v>
      </c>
      <c r="F150" s="8" t="s">
        <v>215</v>
      </c>
      <c r="G150" s="8" t="s">
        <v>275</v>
      </c>
      <c r="H150" s="10">
        <v>4</v>
      </c>
      <c r="I150" s="10"/>
      <c r="J150" s="10">
        <v>4</v>
      </c>
      <c r="K150" s="10">
        <v>331.61</v>
      </c>
    </row>
    <row r="151" spans="1:11" x14ac:dyDescent="0.25">
      <c r="A151" s="8" t="s">
        <v>290</v>
      </c>
      <c r="B151" s="8" t="s">
        <v>263</v>
      </c>
      <c r="C151" s="8" t="s">
        <v>272</v>
      </c>
      <c r="D151" s="8">
        <v>1</v>
      </c>
      <c r="E151" s="8" t="s">
        <v>291</v>
      </c>
      <c r="F151" s="8" t="s">
        <v>215</v>
      </c>
      <c r="G151" s="8" t="s">
        <v>275</v>
      </c>
      <c r="H151" s="10">
        <v>4</v>
      </c>
      <c r="I151" s="10"/>
      <c r="J151" s="10">
        <v>4</v>
      </c>
      <c r="K151" s="10">
        <v>401.93</v>
      </c>
    </row>
    <row r="152" spans="1:11" x14ac:dyDescent="0.25">
      <c r="A152" s="8" t="s">
        <v>292</v>
      </c>
      <c r="B152" s="8" t="s">
        <v>269</v>
      </c>
      <c r="C152" s="8" t="s">
        <v>272</v>
      </c>
      <c r="D152" s="8">
        <v>1</v>
      </c>
      <c r="E152" s="8" t="s">
        <v>291</v>
      </c>
      <c r="F152" s="8" t="s">
        <v>215</v>
      </c>
      <c r="G152" s="8" t="s">
        <v>275</v>
      </c>
      <c r="H152" s="10">
        <v>4</v>
      </c>
      <c r="I152" s="10"/>
      <c r="J152" s="10">
        <v>4</v>
      </c>
      <c r="K152" s="10">
        <v>401.93</v>
      </c>
    </row>
    <row r="153" spans="1:11" x14ac:dyDescent="0.25">
      <c r="A153" s="8" t="s">
        <v>293</v>
      </c>
      <c r="B153" s="8" t="s">
        <v>263</v>
      </c>
      <c r="C153" s="8" t="s">
        <v>272</v>
      </c>
      <c r="D153" s="8">
        <v>1</v>
      </c>
      <c r="E153" s="8" t="s">
        <v>294</v>
      </c>
      <c r="F153" s="8" t="s">
        <v>215</v>
      </c>
      <c r="G153" s="8" t="s">
        <v>275</v>
      </c>
      <c r="H153" s="10">
        <v>5</v>
      </c>
      <c r="I153" s="10"/>
      <c r="J153" s="10">
        <v>5</v>
      </c>
      <c r="K153" s="10">
        <v>401.93</v>
      </c>
    </row>
    <row r="154" spans="1:11" x14ac:dyDescent="0.25">
      <c r="A154" s="8" t="s">
        <v>295</v>
      </c>
      <c r="B154" s="8" t="s">
        <v>269</v>
      </c>
      <c r="C154" s="8" t="s">
        <v>272</v>
      </c>
      <c r="D154" s="8">
        <v>1</v>
      </c>
      <c r="E154" s="8" t="s">
        <v>296</v>
      </c>
      <c r="F154" s="8" t="s">
        <v>215</v>
      </c>
      <c r="G154" s="8" t="s">
        <v>275</v>
      </c>
      <c r="H154" s="10">
        <v>5</v>
      </c>
      <c r="I154" s="10"/>
      <c r="J154" s="10">
        <v>5</v>
      </c>
      <c r="K154" s="10">
        <v>401.93</v>
      </c>
    </row>
    <row r="155" spans="1:11" x14ac:dyDescent="0.25">
      <c r="A155" s="8" t="s">
        <v>297</v>
      </c>
      <c r="B155" s="8" t="s">
        <v>263</v>
      </c>
      <c r="C155" s="8" t="s">
        <v>272</v>
      </c>
      <c r="D155" s="8">
        <v>1</v>
      </c>
      <c r="E155" s="8" t="s">
        <v>298</v>
      </c>
      <c r="F155" s="8" t="s">
        <v>215</v>
      </c>
      <c r="G155" s="8" t="s">
        <v>275</v>
      </c>
      <c r="H155" s="10">
        <v>20</v>
      </c>
      <c r="I155" s="10"/>
      <c r="J155" s="10">
        <v>20</v>
      </c>
      <c r="K155" s="10">
        <v>331.61</v>
      </c>
    </row>
    <row r="156" spans="1:11" x14ac:dyDescent="0.25">
      <c r="A156" s="8" t="s">
        <v>299</v>
      </c>
      <c r="B156" s="8" t="s">
        <v>269</v>
      </c>
      <c r="C156" s="8" t="s">
        <v>272</v>
      </c>
      <c r="D156" s="8">
        <v>1</v>
      </c>
      <c r="E156" s="8" t="s">
        <v>298</v>
      </c>
      <c r="F156" s="8" t="s">
        <v>215</v>
      </c>
      <c r="G156" s="8" t="s">
        <v>275</v>
      </c>
      <c r="H156" s="10">
        <v>20</v>
      </c>
      <c r="I156" s="10"/>
      <c r="J156" s="10">
        <v>20</v>
      </c>
      <c r="K156" s="10">
        <v>331.61</v>
      </c>
    </row>
    <row r="157" spans="1:11" x14ac:dyDescent="0.25">
      <c r="A157" s="8" t="s">
        <v>300</v>
      </c>
      <c r="B157" s="8" t="s">
        <v>263</v>
      </c>
      <c r="C157" s="8" t="s">
        <v>272</v>
      </c>
      <c r="D157" s="8">
        <v>1</v>
      </c>
      <c r="E157" s="8" t="s">
        <v>301</v>
      </c>
      <c r="F157" s="8" t="s">
        <v>215</v>
      </c>
      <c r="G157" s="8" t="s">
        <v>275</v>
      </c>
      <c r="H157" s="10">
        <v>25</v>
      </c>
      <c r="I157" s="10"/>
      <c r="J157" s="10">
        <v>25</v>
      </c>
      <c r="K157" s="10">
        <v>331.61</v>
      </c>
    </row>
    <row r="158" spans="1:11" x14ac:dyDescent="0.25">
      <c r="A158" s="8" t="s">
        <v>302</v>
      </c>
      <c r="B158" s="8" t="s">
        <v>269</v>
      </c>
      <c r="C158" s="8" t="s">
        <v>272</v>
      </c>
      <c r="D158" s="8">
        <v>1</v>
      </c>
      <c r="E158" s="8" t="s">
        <v>301</v>
      </c>
      <c r="F158" s="8" t="s">
        <v>215</v>
      </c>
      <c r="G158" s="8" t="s">
        <v>275</v>
      </c>
      <c r="H158" s="10">
        <v>25</v>
      </c>
      <c r="I158" s="10"/>
      <c r="J158" s="10">
        <v>25</v>
      </c>
      <c r="K158" s="10">
        <v>331.61</v>
      </c>
    </row>
    <row r="159" spans="1:11" x14ac:dyDescent="0.25">
      <c r="A159" s="8" t="s">
        <v>303</v>
      </c>
      <c r="B159" s="8" t="s">
        <v>263</v>
      </c>
      <c r="C159" s="8" t="s">
        <v>272</v>
      </c>
      <c r="D159" s="8">
        <v>1</v>
      </c>
      <c r="E159" s="8" t="s">
        <v>304</v>
      </c>
      <c r="F159" s="8" t="s">
        <v>215</v>
      </c>
      <c r="G159" s="8" t="s">
        <v>275</v>
      </c>
      <c r="H159" s="10">
        <v>4</v>
      </c>
      <c r="I159" s="10"/>
      <c r="J159" s="10">
        <v>4</v>
      </c>
      <c r="K159" s="10">
        <v>331.61</v>
      </c>
    </row>
    <row r="160" spans="1:11" x14ac:dyDescent="0.25">
      <c r="A160" s="8" t="s">
        <v>305</v>
      </c>
      <c r="B160" s="8" t="s">
        <v>269</v>
      </c>
      <c r="C160" s="8" t="s">
        <v>272</v>
      </c>
      <c r="D160" s="8">
        <v>1</v>
      </c>
      <c r="E160" s="8" t="s">
        <v>306</v>
      </c>
      <c r="F160" s="8" t="s">
        <v>215</v>
      </c>
      <c r="G160" s="8" t="s">
        <v>275</v>
      </c>
      <c r="H160" s="10">
        <v>4</v>
      </c>
      <c r="I160" s="10"/>
      <c r="J160" s="10">
        <v>4</v>
      </c>
      <c r="K160" s="10">
        <v>331.61</v>
      </c>
    </row>
    <row r="161" spans="1:11" x14ac:dyDescent="0.25">
      <c r="A161" s="8" t="s">
        <v>307</v>
      </c>
      <c r="B161" s="8" t="s">
        <v>263</v>
      </c>
      <c r="C161" s="8" t="s">
        <v>272</v>
      </c>
      <c r="D161" s="8">
        <v>1</v>
      </c>
      <c r="E161" s="8" t="s">
        <v>308</v>
      </c>
      <c r="F161" s="8" t="s">
        <v>215</v>
      </c>
      <c r="G161" s="8" t="s">
        <v>275</v>
      </c>
      <c r="H161" s="10">
        <v>4</v>
      </c>
      <c r="I161" s="10"/>
      <c r="J161" s="10">
        <v>4</v>
      </c>
      <c r="K161" s="10">
        <v>663.21</v>
      </c>
    </row>
    <row r="162" spans="1:11" x14ac:dyDescent="0.25">
      <c r="A162" s="8" t="s">
        <v>309</v>
      </c>
      <c r="B162" s="8" t="s">
        <v>269</v>
      </c>
      <c r="C162" s="8" t="s">
        <v>272</v>
      </c>
      <c r="D162" s="8">
        <v>1</v>
      </c>
      <c r="E162" s="8" t="s">
        <v>310</v>
      </c>
      <c r="F162" s="8" t="s">
        <v>215</v>
      </c>
      <c r="G162" s="8" t="s">
        <v>275</v>
      </c>
      <c r="H162" s="10">
        <v>2</v>
      </c>
      <c r="I162" s="10"/>
      <c r="J162" s="10">
        <v>2</v>
      </c>
      <c r="K162" s="10">
        <v>663.21</v>
      </c>
    </row>
    <row r="163" spans="1:11" x14ac:dyDescent="0.25">
      <c r="A163" s="8" t="s">
        <v>311</v>
      </c>
      <c r="B163" s="8" t="s">
        <v>263</v>
      </c>
      <c r="C163" s="8" t="s">
        <v>272</v>
      </c>
      <c r="D163" s="8">
        <v>1</v>
      </c>
      <c r="E163" s="8" t="s">
        <v>312</v>
      </c>
      <c r="F163" s="8" t="s">
        <v>215</v>
      </c>
      <c r="G163" s="8" t="s">
        <v>275</v>
      </c>
      <c r="H163" s="10">
        <v>1</v>
      </c>
      <c r="I163" s="10"/>
      <c r="J163" s="10">
        <v>1</v>
      </c>
      <c r="K163" s="10">
        <v>331.61</v>
      </c>
    </row>
    <row r="164" spans="1:11" x14ac:dyDescent="0.25">
      <c r="A164" s="8" t="s">
        <v>313</v>
      </c>
      <c r="B164" s="8" t="s">
        <v>269</v>
      </c>
      <c r="C164" s="8" t="s">
        <v>272</v>
      </c>
      <c r="D164" s="8">
        <v>1</v>
      </c>
      <c r="E164" s="8" t="s">
        <v>314</v>
      </c>
      <c r="F164" s="8" t="s">
        <v>215</v>
      </c>
      <c r="G164" s="8" t="s">
        <v>275</v>
      </c>
      <c r="H164" s="10">
        <v>1</v>
      </c>
      <c r="I164" s="10"/>
      <c r="J164" s="10">
        <v>1</v>
      </c>
      <c r="K164" s="10">
        <v>331.61</v>
      </c>
    </row>
    <row r="165" spans="1:11" x14ac:dyDescent="0.25">
      <c r="A165" s="8" t="s">
        <v>315</v>
      </c>
      <c r="B165" s="8" t="s">
        <v>263</v>
      </c>
      <c r="C165" s="8" t="s">
        <v>272</v>
      </c>
      <c r="D165" s="8">
        <v>1</v>
      </c>
      <c r="E165" s="8" t="s">
        <v>316</v>
      </c>
      <c r="F165" s="8" t="s">
        <v>215</v>
      </c>
      <c r="G165" s="8" t="s">
        <v>275</v>
      </c>
      <c r="H165" s="10">
        <v>9</v>
      </c>
      <c r="I165" s="10"/>
      <c r="J165" s="10">
        <v>9</v>
      </c>
      <c r="K165" s="10">
        <v>331.61</v>
      </c>
    </row>
    <row r="166" spans="1:11" x14ac:dyDescent="0.25">
      <c r="A166" s="8" t="s">
        <v>317</v>
      </c>
      <c r="B166" s="8" t="s">
        <v>269</v>
      </c>
      <c r="C166" s="8" t="s">
        <v>272</v>
      </c>
      <c r="D166" s="8">
        <v>1</v>
      </c>
      <c r="E166" s="8" t="s">
        <v>318</v>
      </c>
      <c r="F166" s="8" t="s">
        <v>215</v>
      </c>
      <c r="G166" s="8" t="s">
        <v>275</v>
      </c>
      <c r="H166" s="10">
        <v>9</v>
      </c>
      <c r="I166" s="10"/>
      <c r="J166" s="10">
        <v>9</v>
      </c>
      <c r="K166" s="10">
        <v>331.61</v>
      </c>
    </row>
    <row r="167" spans="1:11" x14ac:dyDescent="0.25">
      <c r="A167" s="8" t="s">
        <v>319</v>
      </c>
      <c r="B167" s="8" t="s">
        <v>263</v>
      </c>
      <c r="C167" s="8" t="s">
        <v>272</v>
      </c>
      <c r="D167" s="8">
        <v>1</v>
      </c>
      <c r="E167" s="8" t="s">
        <v>320</v>
      </c>
      <c r="F167" s="8" t="s">
        <v>215</v>
      </c>
      <c r="G167" s="8" t="s">
        <v>275</v>
      </c>
      <c r="H167" s="10">
        <v>2</v>
      </c>
      <c r="I167" s="10"/>
      <c r="J167" s="10">
        <v>2</v>
      </c>
      <c r="K167" s="10">
        <v>331.61</v>
      </c>
    </row>
    <row r="168" spans="1:11" x14ac:dyDescent="0.25">
      <c r="A168" s="8" t="s">
        <v>321</v>
      </c>
      <c r="B168" s="8" t="s">
        <v>269</v>
      </c>
      <c r="C168" s="8" t="s">
        <v>272</v>
      </c>
      <c r="D168" s="8">
        <v>1</v>
      </c>
      <c r="E168" s="8" t="s">
        <v>322</v>
      </c>
      <c r="F168" s="8" t="s">
        <v>215</v>
      </c>
      <c r="G168" s="8" t="s">
        <v>275</v>
      </c>
      <c r="H168" s="10">
        <v>2</v>
      </c>
      <c r="I168" s="10"/>
      <c r="J168" s="10">
        <v>2</v>
      </c>
      <c r="K168" s="10">
        <v>331.61</v>
      </c>
    </row>
    <row r="169" spans="1:11" x14ac:dyDescent="0.25">
      <c r="A169" s="8" t="s">
        <v>323</v>
      </c>
      <c r="B169" s="8" t="s">
        <v>263</v>
      </c>
      <c r="C169" s="8" t="s">
        <v>272</v>
      </c>
      <c r="D169" s="8">
        <v>1</v>
      </c>
      <c r="E169" s="8" t="s">
        <v>324</v>
      </c>
      <c r="F169" s="8" t="s">
        <v>215</v>
      </c>
      <c r="G169" s="8" t="s">
        <v>275</v>
      </c>
      <c r="H169" s="10">
        <v>1</v>
      </c>
      <c r="I169" s="10"/>
      <c r="J169" s="10">
        <v>1</v>
      </c>
      <c r="K169" s="10">
        <v>331.61</v>
      </c>
    </row>
    <row r="170" spans="1:11" x14ac:dyDescent="0.25">
      <c r="A170" s="8" t="s">
        <v>325</v>
      </c>
      <c r="B170" s="8" t="s">
        <v>269</v>
      </c>
      <c r="C170" s="8" t="s">
        <v>272</v>
      </c>
      <c r="D170" s="8">
        <v>1</v>
      </c>
      <c r="E170" s="8" t="s">
        <v>326</v>
      </c>
      <c r="F170" s="8" t="s">
        <v>215</v>
      </c>
      <c r="G170" s="8" t="s">
        <v>275</v>
      </c>
      <c r="H170" s="10">
        <v>1</v>
      </c>
      <c r="I170" s="10"/>
      <c r="J170" s="10">
        <v>1</v>
      </c>
      <c r="K170" s="10">
        <v>331.61</v>
      </c>
    </row>
    <row r="171" spans="1:11" x14ac:dyDescent="0.25">
      <c r="A171" s="8" t="s">
        <v>327</v>
      </c>
      <c r="B171" s="8" t="s">
        <v>263</v>
      </c>
      <c r="C171" s="8" t="s">
        <v>272</v>
      </c>
      <c r="D171" s="8">
        <v>1</v>
      </c>
      <c r="E171" s="8" t="s">
        <v>328</v>
      </c>
      <c r="F171" s="8" t="s">
        <v>215</v>
      </c>
      <c r="G171" s="8" t="s">
        <v>275</v>
      </c>
      <c r="H171" s="10">
        <v>2</v>
      </c>
      <c r="I171" s="10"/>
      <c r="J171" s="10">
        <v>2</v>
      </c>
      <c r="K171" s="10">
        <v>331.61</v>
      </c>
    </row>
    <row r="172" spans="1:11" x14ac:dyDescent="0.25">
      <c r="A172" s="8" t="s">
        <v>329</v>
      </c>
      <c r="B172" s="8" t="s">
        <v>269</v>
      </c>
      <c r="C172" s="8" t="s">
        <v>272</v>
      </c>
      <c r="D172" s="8">
        <v>1</v>
      </c>
      <c r="E172" s="8" t="s">
        <v>330</v>
      </c>
      <c r="F172" s="8" t="s">
        <v>215</v>
      </c>
      <c r="G172" s="8" t="s">
        <v>275</v>
      </c>
      <c r="H172" s="10">
        <v>2</v>
      </c>
      <c r="I172" s="10"/>
      <c r="J172" s="10">
        <v>2</v>
      </c>
      <c r="K172" s="10">
        <v>331.61</v>
      </c>
    </row>
    <row r="173" spans="1:11" x14ac:dyDescent="0.25">
      <c r="A173" s="8" t="s">
        <v>331</v>
      </c>
      <c r="B173" s="8" t="s">
        <v>263</v>
      </c>
      <c r="C173" s="8" t="s">
        <v>272</v>
      </c>
      <c r="D173" s="8">
        <v>1</v>
      </c>
      <c r="E173" s="8" t="s">
        <v>332</v>
      </c>
      <c r="F173" s="8" t="s">
        <v>215</v>
      </c>
      <c r="G173" s="8" t="s">
        <v>275</v>
      </c>
      <c r="H173" s="10">
        <v>1</v>
      </c>
      <c r="I173" s="10"/>
      <c r="J173" s="10">
        <v>1</v>
      </c>
      <c r="K173" s="10">
        <v>331.61</v>
      </c>
    </row>
    <row r="174" spans="1:11" x14ac:dyDescent="0.25">
      <c r="A174" s="8" t="s">
        <v>333</v>
      </c>
      <c r="B174" s="8" t="s">
        <v>269</v>
      </c>
      <c r="C174" s="8" t="s">
        <v>272</v>
      </c>
      <c r="D174" s="8">
        <v>1</v>
      </c>
      <c r="E174" s="8" t="s">
        <v>334</v>
      </c>
      <c r="F174" s="8" t="s">
        <v>215</v>
      </c>
      <c r="G174" s="8" t="s">
        <v>275</v>
      </c>
      <c r="H174" s="10">
        <v>1</v>
      </c>
      <c r="I174" s="10"/>
      <c r="J174" s="10">
        <v>1</v>
      </c>
      <c r="K174" s="10">
        <v>331.61</v>
      </c>
    </row>
    <row r="175" spans="1:11" x14ac:dyDescent="0.25">
      <c r="A175" s="8" t="s">
        <v>335</v>
      </c>
      <c r="B175" s="8" t="s">
        <v>263</v>
      </c>
      <c r="C175" s="8" t="s">
        <v>272</v>
      </c>
      <c r="D175" s="8">
        <v>1</v>
      </c>
      <c r="E175" s="8" t="s">
        <v>336</v>
      </c>
      <c r="F175" s="8" t="s">
        <v>215</v>
      </c>
      <c r="G175" s="8" t="s">
        <v>275</v>
      </c>
      <c r="H175" s="10">
        <v>1</v>
      </c>
      <c r="I175" s="10"/>
      <c r="J175" s="10">
        <v>1</v>
      </c>
      <c r="K175" s="10">
        <v>331.61</v>
      </c>
    </row>
    <row r="176" spans="1:11" x14ac:dyDescent="0.25">
      <c r="A176" s="8" t="s">
        <v>337</v>
      </c>
      <c r="B176" s="8" t="s">
        <v>269</v>
      </c>
      <c r="C176" s="8" t="s">
        <v>272</v>
      </c>
      <c r="D176" s="8">
        <v>1</v>
      </c>
      <c r="E176" s="8" t="s">
        <v>338</v>
      </c>
      <c r="F176" s="8" t="s">
        <v>215</v>
      </c>
      <c r="G176" s="8" t="s">
        <v>275</v>
      </c>
      <c r="H176" s="10">
        <v>1</v>
      </c>
      <c r="I176" s="10"/>
      <c r="J176" s="10">
        <v>1</v>
      </c>
      <c r="K176" s="10">
        <v>331.61</v>
      </c>
    </row>
    <row r="177" spans="1:11" x14ac:dyDescent="0.25">
      <c r="A177" s="8" t="s">
        <v>339</v>
      </c>
      <c r="B177" s="8" t="s">
        <v>263</v>
      </c>
      <c r="C177" s="8" t="s">
        <v>272</v>
      </c>
      <c r="D177" s="8">
        <v>1</v>
      </c>
      <c r="E177" s="8" t="s">
        <v>340</v>
      </c>
      <c r="F177" s="8" t="s">
        <v>215</v>
      </c>
      <c r="G177" s="8" t="s">
        <v>275</v>
      </c>
      <c r="H177" s="10">
        <v>1</v>
      </c>
      <c r="I177" s="10"/>
      <c r="J177" s="10">
        <v>1</v>
      </c>
      <c r="K177" s="10">
        <v>331.61</v>
      </c>
    </row>
    <row r="178" spans="1:11" x14ac:dyDescent="0.25">
      <c r="A178" s="8" t="s">
        <v>341</v>
      </c>
      <c r="B178" s="8" t="s">
        <v>269</v>
      </c>
      <c r="C178" s="8" t="s">
        <v>272</v>
      </c>
      <c r="D178" s="8">
        <v>1</v>
      </c>
      <c r="E178" s="8" t="s">
        <v>342</v>
      </c>
      <c r="F178" s="8" t="s">
        <v>215</v>
      </c>
      <c r="G178" s="8" t="s">
        <v>275</v>
      </c>
      <c r="H178" s="10">
        <v>1</v>
      </c>
      <c r="I178" s="10"/>
      <c r="J178" s="10">
        <v>1</v>
      </c>
      <c r="K178" s="10">
        <v>331.61</v>
      </c>
    </row>
    <row r="179" spans="1:11" x14ac:dyDescent="0.25">
      <c r="A179" s="8" t="s">
        <v>343</v>
      </c>
      <c r="B179" s="8" t="s">
        <v>263</v>
      </c>
      <c r="C179" s="8" t="s">
        <v>344</v>
      </c>
      <c r="D179" s="8">
        <v>1</v>
      </c>
      <c r="E179" s="8" t="s">
        <v>345</v>
      </c>
      <c r="F179" s="8" t="s">
        <v>266</v>
      </c>
      <c r="G179" s="8" t="s">
        <v>346</v>
      </c>
      <c r="H179" s="10">
        <v>1.47</v>
      </c>
      <c r="I179" s="10"/>
      <c r="J179" s="10">
        <v>1.47</v>
      </c>
      <c r="K179" s="10">
        <v>3822.67</v>
      </c>
    </row>
    <row r="180" spans="1:11" x14ac:dyDescent="0.25">
      <c r="A180" s="8" t="s">
        <v>347</v>
      </c>
      <c r="B180" s="8" t="s">
        <v>269</v>
      </c>
      <c r="C180" s="8" t="s">
        <v>344</v>
      </c>
      <c r="D180" s="8">
        <v>1</v>
      </c>
      <c r="E180" s="8" t="s">
        <v>348</v>
      </c>
      <c r="F180" s="8" t="s">
        <v>266</v>
      </c>
      <c r="G180" s="8" t="s">
        <v>346</v>
      </c>
      <c r="H180" s="10">
        <v>1.47</v>
      </c>
      <c r="I180" s="10"/>
      <c r="J180" s="10">
        <v>1.47</v>
      </c>
      <c r="K180" s="10">
        <v>3822.67</v>
      </c>
    </row>
    <row r="181" spans="1:11" x14ac:dyDescent="0.25">
      <c r="A181" s="8" t="s">
        <v>349</v>
      </c>
      <c r="B181" s="8" t="s">
        <v>263</v>
      </c>
      <c r="C181" s="8" t="s">
        <v>344</v>
      </c>
      <c r="D181" s="8">
        <v>1</v>
      </c>
      <c r="E181" s="8" t="s">
        <v>350</v>
      </c>
      <c r="F181" s="8" t="s">
        <v>266</v>
      </c>
      <c r="G181" s="8" t="s">
        <v>346</v>
      </c>
      <c r="H181" s="10">
        <v>4.07</v>
      </c>
      <c r="I181" s="10"/>
      <c r="J181" s="10">
        <v>4.07</v>
      </c>
      <c r="K181" s="10">
        <v>3746.32</v>
      </c>
    </row>
    <row r="182" spans="1:11" x14ac:dyDescent="0.25">
      <c r="A182" s="8" t="s">
        <v>351</v>
      </c>
      <c r="B182" s="8" t="s">
        <v>263</v>
      </c>
      <c r="C182" s="8" t="s">
        <v>344</v>
      </c>
      <c r="D182" s="8">
        <v>1</v>
      </c>
      <c r="E182" s="8" t="s">
        <v>352</v>
      </c>
      <c r="F182" s="8" t="s">
        <v>266</v>
      </c>
      <c r="G182" s="8" t="s">
        <v>346</v>
      </c>
      <c r="H182" s="10">
        <v>4.07</v>
      </c>
      <c r="I182" s="10"/>
      <c r="J182" s="10">
        <v>4.07</v>
      </c>
      <c r="K182" s="10">
        <v>3746.32</v>
      </c>
    </row>
    <row r="183" spans="1:11" x14ac:dyDescent="0.25">
      <c r="A183" s="8" t="s">
        <v>353</v>
      </c>
      <c r="B183" s="8" t="s">
        <v>269</v>
      </c>
      <c r="C183" s="8" t="s">
        <v>344</v>
      </c>
      <c r="D183" s="8">
        <v>1</v>
      </c>
      <c r="E183" s="8" t="s">
        <v>354</v>
      </c>
      <c r="F183" s="8" t="s">
        <v>266</v>
      </c>
      <c r="G183" s="8" t="s">
        <v>346</v>
      </c>
      <c r="H183" s="10">
        <v>4.07</v>
      </c>
      <c r="I183" s="10"/>
      <c r="J183" s="10">
        <v>4.07</v>
      </c>
      <c r="K183" s="10">
        <v>3746.32</v>
      </c>
    </row>
    <row r="184" spans="1:11" x14ac:dyDescent="0.25">
      <c r="A184" s="8" t="s">
        <v>355</v>
      </c>
      <c r="B184" s="8" t="s">
        <v>269</v>
      </c>
      <c r="C184" s="8" t="s">
        <v>344</v>
      </c>
      <c r="D184" s="8">
        <v>1</v>
      </c>
      <c r="E184" s="8" t="s">
        <v>356</v>
      </c>
      <c r="F184" s="8" t="s">
        <v>266</v>
      </c>
      <c r="G184" s="8" t="s">
        <v>346</v>
      </c>
      <c r="H184" s="10">
        <v>4.07</v>
      </c>
      <c r="I184" s="10"/>
      <c r="J184" s="10">
        <v>4.07</v>
      </c>
      <c r="K184" s="10">
        <v>3746.32</v>
      </c>
    </row>
    <row r="185" spans="1:11" x14ac:dyDescent="0.25">
      <c r="A185" s="8" t="s">
        <v>357</v>
      </c>
      <c r="B185" s="8" t="s">
        <v>263</v>
      </c>
      <c r="C185" s="8" t="s">
        <v>344</v>
      </c>
      <c r="D185" s="8">
        <v>1</v>
      </c>
      <c r="E185" s="8" t="s">
        <v>358</v>
      </c>
      <c r="F185" s="8" t="s">
        <v>266</v>
      </c>
      <c r="G185" s="8" t="s">
        <v>346</v>
      </c>
      <c r="H185" s="10">
        <v>2</v>
      </c>
      <c r="I185" s="10"/>
      <c r="J185" s="10">
        <v>2</v>
      </c>
      <c r="K185" s="10">
        <v>3763.54</v>
      </c>
    </row>
    <row r="186" spans="1:11" x14ac:dyDescent="0.25">
      <c r="A186" s="8" t="s">
        <v>359</v>
      </c>
      <c r="B186" s="8" t="s">
        <v>269</v>
      </c>
      <c r="C186" s="8" t="s">
        <v>344</v>
      </c>
      <c r="D186" s="8">
        <v>1</v>
      </c>
      <c r="E186" s="8" t="s">
        <v>358</v>
      </c>
      <c r="F186" s="8" t="s">
        <v>266</v>
      </c>
      <c r="G186" s="8" t="s">
        <v>346</v>
      </c>
      <c r="H186" s="10">
        <v>2</v>
      </c>
      <c r="I186" s="10"/>
      <c r="J186" s="10">
        <v>2</v>
      </c>
      <c r="K186" s="10">
        <v>3763.54</v>
      </c>
    </row>
    <row r="187" spans="1:11" x14ac:dyDescent="0.25">
      <c r="A187" s="8" t="s">
        <v>360</v>
      </c>
      <c r="B187" s="8" t="s">
        <v>263</v>
      </c>
      <c r="C187" s="8" t="s">
        <v>344</v>
      </c>
      <c r="D187" s="8">
        <v>1</v>
      </c>
      <c r="E187" s="8" t="s">
        <v>361</v>
      </c>
      <c r="F187" s="8" t="s">
        <v>266</v>
      </c>
      <c r="G187" s="8" t="s">
        <v>346</v>
      </c>
      <c r="H187" s="10">
        <v>1.7</v>
      </c>
      <c r="I187" s="10"/>
      <c r="J187" s="10">
        <v>1.7</v>
      </c>
      <c r="K187" s="10">
        <v>4638.4399999999996</v>
      </c>
    </row>
    <row r="188" spans="1:11" x14ac:dyDescent="0.25">
      <c r="A188" s="8" t="s">
        <v>362</v>
      </c>
      <c r="B188" s="8" t="s">
        <v>269</v>
      </c>
      <c r="C188" s="8" t="s">
        <v>344</v>
      </c>
      <c r="D188" s="8">
        <v>1</v>
      </c>
      <c r="E188" s="8" t="s">
        <v>361</v>
      </c>
      <c r="F188" s="8" t="s">
        <v>266</v>
      </c>
      <c r="G188" s="8" t="s">
        <v>346</v>
      </c>
      <c r="H188" s="10">
        <v>1.5</v>
      </c>
      <c r="I188" s="10"/>
      <c r="J188" s="10">
        <v>1.5</v>
      </c>
      <c r="K188" s="10">
        <v>4638.4399999999996</v>
      </c>
    </row>
    <row r="189" spans="1:11" x14ac:dyDescent="0.25">
      <c r="A189" s="8" t="s">
        <v>363</v>
      </c>
      <c r="B189" s="8" t="s">
        <v>263</v>
      </c>
      <c r="C189" s="8" t="s">
        <v>344</v>
      </c>
      <c r="D189" s="8">
        <v>1</v>
      </c>
      <c r="E189" s="8" t="s">
        <v>364</v>
      </c>
      <c r="F189" s="8" t="s">
        <v>266</v>
      </c>
      <c r="G189" s="8" t="s">
        <v>346</v>
      </c>
      <c r="H189" s="10">
        <v>3</v>
      </c>
      <c r="I189" s="10"/>
      <c r="J189" s="10">
        <v>3</v>
      </c>
      <c r="K189" s="10">
        <v>6900.59</v>
      </c>
    </row>
    <row r="190" spans="1:11" x14ac:dyDescent="0.25">
      <c r="A190" s="8" t="s">
        <v>365</v>
      </c>
      <c r="B190" s="8" t="s">
        <v>269</v>
      </c>
      <c r="C190" s="8" t="s">
        <v>344</v>
      </c>
      <c r="D190" s="8">
        <v>1</v>
      </c>
      <c r="E190" s="8" t="s">
        <v>364</v>
      </c>
      <c r="F190" s="8" t="s">
        <v>266</v>
      </c>
      <c r="G190" s="8" t="s">
        <v>346</v>
      </c>
      <c r="H190" s="10">
        <v>2.5</v>
      </c>
      <c r="I190" s="10"/>
      <c r="J190" s="10">
        <v>2.5</v>
      </c>
      <c r="K190" s="10">
        <v>6900.59</v>
      </c>
    </row>
    <row r="191" spans="1:11" x14ac:dyDescent="0.25">
      <c r="A191" s="8" t="s">
        <v>366</v>
      </c>
      <c r="B191" s="8" t="s">
        <v>263</v>
      </c>
      <c r="C191" s="8" t="s">
        <v>344</v>
      </c>
      <c r="D191" s="8">
        <v>1</v>
      </c>
      <c r="E191" s="8" t="s">
        <v>367</v>
      </c>
      <c r="F191" s="8" t="s">
        <v>266</v>
      </c>
      <c r="G191" s="8" t="s">
        <v>346</v>
      </c>
      <c r="H191" s="10">
        <v>7.8</v>
      </c>
      <c r="I191" s="10"/>
      <c r="J191" s="10">
        <v>7.8</v>
      </c>
      <c r="K191" s="10">
        <v>4638.4399999999996</v>
      </c>
    </row>
    <row r="192" spans="1:11" x14ac:dyDescent="0.25">
      <c r="A192" s="8" t="s">
        <v>368</v>
      </c>
      <c r="B192" s="8" t="s">
        <v>269</v>
      </c>
      <c r="C192" s="8" t="s">
        <v>344</v>
      </c>
      <c r="D192" s="8">
        <v>1</v>
      </c>
      <c r="E192" s="8" t="s">
        <v>367</v>
      </c>
      <c r="F192" s="8" t="s">
        <v>266</v>
      </c>
      <c r="G192" s="8" t="s">
        <v>346</v>
      </c>
      <c r="H192" s="10">
        <v>7.5</v>
      </c>
      <c r="I192" s="10"/>
      <c r="J192" s="10">
        <v>7.5</v>
      </c>
      <c r="K192" s="10">
        <v>4638.4399999999996</v>
      </c>
    </row>
    <row r="193" spans="1:11" x14ac:dyDescent="0.25">
      <c r="A193" s="8" t="s">
        <v>369</v>
      </c>
      <c r="B193" s="8" t="s">
        <v>263</v>
      </c>
      <c r="C193" s="8" t="s">
        <v>344</v>
      </c>
      <c r="D193" s="8">
        <v>1</v>
      </c>
      <c r="E193" s="8" t="s">
        <v>370</v>
      </c>
      <c r="F193" s="8" t="s">
        <v>266</v>
      </c>
      <c r="G193" s="8" t="s">
        <v>346</v>
      </c>
      <c r="H193" s="10">
        <v>4.4000000000000004</v>
      </c>
      <c r="I193" s="10"/>
      <c r="J193" s="10">
        <v>4.4000000000000004</v>
      </c>
      <c r="K193" s="10">
        <v>4638.4399999999996</v>
      </c>
    </row>
    <row r="194" spans="1:11" x14ac:dyDescent="0.25">
      <c r="A194" s="8" t="s">
        <v>371</v>
      </c>
      <c r="B194" s="8" t="s">
        <v>269</v>
      </c>
      <c r="C194" s="8" t="s">
        <v>344</v>
      </c>
      <c r="D194" s="8">
        <v>1</v>
      </c>
      <c r="E194" s="8" t="s">
        <v>370</v>
      </c>
      <c r="F194" s="8" t="s">
        <v>266</v>
      </c>
      <c r="G194" s="8" t="s">
        <v>346</v>
      </c>
      <c r="H194" s="10">
        <v>3.8</v>
      </c>
      <c r="I194" s="10"/>
      <c r="J194" s="10">
        <v>3.8</v>
      </c>
      <c r="K194" s="10">
        <v>4638.4399999999996</v>
      </c>
    </row>
    <row r="195" spans="1:11" x14ac:dyDescent="0.25">
      <c r="A195" s="8" t="s">
        <v>372</v>
      </c>
      <c r="B195" s="8" t="s">
        <v>263</v>
      </c>
      <c r="C195" s="8" t="s">
        <v>344</v>
      </c>
      <c r="D195" s="8">
        <v>1</v>
      </c>
      <c r="E195" s="8" t="s">
        <v>373</v>
      </c>
      <c r="F195" s="8" t="s">
        <v>266</v>
      </c>
      <c r="G195" s="8" t="s">
        <v>346</v>
      </c>
      <c r="H195" s="10">
        <v>6</v>
      </c>
      <c r="I195" s="10"/>
      <c r="J195" s="10">
        <v>6</v>
      </c>
      <c r="K195" s="10">
        <v>6375.03</v>
      </c>
    </row>
    <row r="196" spans="1:11" x14ac:dyDescent="0.25">
      <c r="A196" s="8" t="s">
        <v>374</v>
      </c>
      <c r="B196" s="8" t="s">
        <v>269</v>
      </c>
      <c r="C196" s="8" t="s">
        <v>344</v>
      </c>
      <c r="D196" s="8">
        <v>1</v>
      </c>
      <c r="E196" s="8" t="s">
        <v>373</v>
      </c>
      <c r="F196" s="8" t="s">
        <v>266</v>
      </c>
      <c r="G196" s="8" t="s">
        <v>346</v>
      </c>
      <c r="H196" s="10">
        <v>6</v>
      </c>
      <c r="I196" s="10"/>
      <c r="J196" s="10">
        <v>6</v>
      </c>
      <c r="K196" s="10">
        <v>6375.03</v>
      </c>
    </row>
    <row r="197" spans="1:11" x14ac:dyDescent="0.25">
      <c r="A197" s="8" t="s">
        <v>375</v>
      </c>
      <c r="B197" s="8" t="s">
        <v>263</v>
      </c>
      <c r="C197" s="8" t="s">
        <v>376</v>
      </c>
      <c r="D197" s="8">
        <v>1</v>
      </c>
      <c r="E197" s="8" t="s">
        <v>377</v>
      </c>
      <c r="F197" s="8" t="s">
        <v>378</v>
      </c>
      <c r="G197" s="8" t="s">
        <v>379</v>
      </c>
      <c r="H197" s="10">
        <v>300</v>
      </c>
      <c r="I197" s="10"/>
      <c r="J197" s="10">
        <v>300</v>
      </c>
      <c r="K197" s="10">
        <v>11.04</v>
      </c>
    </row>
    <row r="198" spans="1:11" x14ac:dyDescent="0.25">
      <c r="A198" s="8" t="s">
        <v>380</v>
      </c>
      <c r="B198" s="8" t="s">
        <v>269</v>
      </c>
      <c r="C198" s="8" t="s">
        <v>376</v>
      </c>
      <c r="D198" s="8">
        <v>1</v>
      </c>
      <c r="E198" s="8" t="s">
        <v>377</v>
      </c>
      <c r="F198" s="8" t="s">
        <v>378</v>
      </c>
      <c r="G198" s="8" t="s">
        <v>379</v>
      </c>
      <c r="H198" s="10">
        <v>360</v>
      </c>
      <c r="I198" s="10"/>
      <c r="J198" s="10">
        <v>360</v>
      </c>
      <c r="K198" s="10">
        <v>11.04</v>
      </c>
    </row>
    <row r="199" spans="1:11" x14ac:dyDescent="0.25">
      <c r="A199" s="8" t="s">
        <v>381</v>
      </c>
      <c r="B199" s="8" t="s">
        <v>263</v>
      </c>
      <c r="C199" s="8" t="s">
        <v>376</v>
      </c>
      <c r="D199" s="8">
        <v>1</v>
      </c>
      <c r="E199" s="8" t="s">
        <v>382</v>
      </c>
      <c r="F199" s="8" t="s">
        <v>378</v>
      </c>
      <c r="G199" s="8" t="s">
        <v>379</v>
      </c>
      <c r="H199" s="10">
        <v>150</v>
      </c>
      <c r="I199" s="10"/>
      <c r="J199" s="10">
        <v>150</v>
      </c>
      <c r="K199" s="10">
        <v>11.04</v>
      </c>
    </row>
    <row r="200" spans="1:11" x14ac:dyDescent="0.25">
      <c r="A200" s="8" t="s">
        <v>383</v>
      </c>
      <c r="B200" s="8" t="s">
        <v>269</v>
      </c>
      <c r="C200" s="8" t="s">
        <v>376</v>
      </c>
      <c r="D200" s="8">
        <v>1</v>
      </c>
      <c r="E200" s="8" t="s">
        <v>382</v>
      </c>
      <c r="F200" s="8" t="s">
        <v>378</v>
      </c>
      <c r="G200" s="8" t="s">
        <v>379</v>
      </c>
      <c r="H200" s="10">
        <v>200</v>
      </c>
      <c r="I200" s="10"/>
      <c r="J200" s="10">
        <v>200</v>
      </c>
      <c r="K200" s="10">
        <v>11.04</v>
      </c>
    </row>
    <row r="201" spans="1:11" x14ac:dyDescent="0.25">
      <c r="A201" s="8" t="s">
        <v>384</v>
      </c>
      <c r="B201" s="8" t="s">
        <v>263</v>
      </c>
      <c r="C201" s="8" t="s">
        <v>376</v>
      </c>
      <c r="D201" s="8">
        <v>1</v>
      </c>
      <c r="E201" s="8" t="s">
        <v>385</v>
      </c>
      <c r="F201" s="8" t="s">
        <v>378</v>
      </c>
      <c r="G201" s="8" t="s">
        <v>379</v>
      </c>
      <c r="H201" s="10">
        <v>150</v>
      </c>
      <c r="I201" s="10"/>
      <c r="J201" s="10">
        <v>150</v>
      </c>
      <c r="K201" s="10">
        <v>11.04</v>
      </c>
    </row>
    <row r="202" spans="1:11" x14ac:dyDescent="0.25">
      <c r="A202" s="8" t="s">
        <v>386</v>
      </c>
      <c r="B202" s="8" t="s">
        <v>269</v>
      </c>
      <c r="C202" s="8" t="s">
        <v>376</v>
      </c>
      <c r="D202" s="8">
        <v>1</v>
      </c>
      <c r="E202" s="8" t="s">
        <v>385</v>
      </c>
      <c r="F202" s="8" t="s">
        <v>378</v>
      </c>
      <c r="G202" s="8" t="s">
        <v>379</v>
      </c>
      <c r="H202" s="10">
        <v>200</v>
      </c>
      <c r="I202" s="10"/>
      <c r="J202" s="10">
        <v>200</v>
      </c>
      <c r="K202" s="10">
        <v>11.04</v>
      </c>
    </row>
    <row r="203" spans="1:11" x14ac:dyDescent="0.25">
      <c r="A203" s="8" t="s">
        <v>387</v>
      </c>
      <c r="B203" s="8" t="s">
        <v>263</v>
      </c>
      <c r="C203" s="8" t="s">
        <v>376</v>
      </c>
      <c r="D203" s="8">
        <v>1</v>
      </c>
      <c r="E203" s="8" t="s">
        <v>388</v>
      </c>
      <c r="F203" s="8" t="s">
        <v>378</v>
      </c>
      <c r="G203" s="8" t="s">
        <v>379</v>
      </c>
      <c r="H203" s="10">
        <v>150</v>
      </c>
      <c r="I203" s="10"/>
      <c r="J203" s="10">
        <v>150</v>
      </c>
      <c r="K203" s="10">
        <v>11.04</v>
      </c>
    </row>
    <row r="204" spans="1:11" x14ac:dyDescent="0.25">
      <c r="A204" s="8" t="s">
        <v>389</v>
      </c>
      <c r="B204" s="8" t="s">
        <v>269</v>
      </c>
      <c r="C204" s="8" t="s">
        <v>376</v>
      </c>
      <c r="D204" s="8">
        <v>1</v>
      </c>
      <c r="E204" s="8" t="s">
        <v>388</v>
      </c>
      <c r="F204" s="8" t="s">
        <v>378</v>
      </c>
      <c r="G204" s="8" t="s">
        <v>379</v>
      </c>
      <c r="H204" s="10">
        <v>180</v>
      </c>
      <c r="I204" s="10"/>
      <c r="J204" s="10">
        <v>180</v>
      </c>
      <c r="K204" s="10">
        <v>11.04</v>
      </c>
    </row>
    <row r="205" spans="1:11" x14ac:dyDescent="0.25">
      <c r="A205" s="8" t="s">
        <v>390</v>
      </c>
      <c r="B205" s="8" t="s">
        <v>263</v>
      </c>
      <c r="C205" s="8" t="s">
        <v>376</v>
      </c>
      <c r="D205" s="8">
        <v>1</v>
      </c>
      <c r="E205" s="8" t="s">
        <v>391</v>
      </c>
      <c r="F205" s="8" t="s">
        <v>378</v>
      </c>
      <c r="G205" s="8" t="s">
        <v>379</v>
      </c>
      <c r="H205" s="10">
        <v>360</v>
      </c>
      <c r="I205" s="10"/>
      <c r="J205" s="10">
        <v>360</v>
      </c>
      <c r="K205" s="10">
        <v>11.04</v>
      </c>
    </row>
    <row r="206" spans="1:11" x14ac:dyDescent="0.25">
      <c r="A206" s="8" t="s">
        <v>392</v>
      </c>
      <c r="B206" s="8" t="s">
        <v>269</v>
      </c>
      <c r="C206" s="8" t="s">
        <v>376</v>
      </c>
      <c r="D206" s="8">
        <v>1</v>
      </c>
      <c r="E206" s="8" t="s">
        <v>391</v>
      </c>
      <c r="F206" s="8" t="s">
        <v>378</v>
      </c>
      <c r="G206" s="8" t="s">
        <v>379</v>
      </c>
      <c r="H206" s="10">
        <v>540</v>
      </c>
      <c r="I206" s="10"/>
      <c r="J206" s="10">
        <v>540</v>
      </c>
      <c r="K206" s="10">
        <v>11.04</v>
      </c>
    </row>
    <row r="207" spans="1:11" x14ac:dyDescent="0.25">
      <c r="A207" s="8" t="s">
        <v>393</v>
      </c>
      <c r="B207" s="8" t="s">
        <v>263</v>
      </c>
      <c r="C207" s="8" t="s">
        <v>376</v>
      </c>
      <c r="D207" s="8">
        <v>1</v>
      </c>
      <c r="E207" s="8" t="s">
        <v>394</v>
      </c>
      <c r="F207" s="8" t="s">
        <v>378</v>
      </c>
      <c r="G207" s="8" t="s">
        <v>379</v>
      </c>
      <c r="H207" s="10">
        <v>50</v>
      </c>
      <c r="I207" s="10"/>
      <c r="J207" s="10">
        <v>50</v>
      </c>
      <c r="K207" s="10">
        <v>11.04</v>
      </c>
    </row>
    <row r="208" spans="1:11" x14ac:dyDescent="0.25">
      <c r="A208" s="8" t="s">
        <v>395</v>
      </c>
      <c r="B208" s="8" t="s">
        <v>269</v>
      </c>
      <c r="C208" s="8" t="s">
        <v>376</v>
      </c>
      <c r="D208" s="8">
        <v>1</v>
      </c>
      <c r="E208" s="8" t="s">
        <v>394</v>
      </c>
      <c r="F208" s="8" t="s">
        <v>378</v>
      </c>
      <c r="G208" s="8" t="s">
        <v>379</v>
      </c>
      <c r="H208" s="10">
        <v>50</v>
      </c>
      <c r="I208" s="10"/>
      <c r="J208" s="10">
        <v>50</v>
      </c>
      <c r="K208" s="10">
        <v>11.04</v>
      </c>
    </row>
    <row r="209" spans="1:11" x14ac:dyDescent="0.25">
      <c r="A209" s="8" t="s">
        <v>396</v>
      </c>
      <c r="B209" s="8" t="s">
        <v>263</v>
      </c>
      <c r="C209" s="8" t="s">
        <v>376</v>
      </c>
      <c r="D209" s="8">
        <v>1</v>
      </c>
      <c r="E209" s="8" t="s">
        <v>397</v>
      </c>
      <c r="F209" s="8" t="s">
        <v>378</v>
      </c>
      <c r="G209" s="8" t="s">
        <v>379</v>
      </c>
      <c r="H209" s="10">
        <v>20</v>
      </c>
      <c r="I209" s="10"/>
      <c r="J209" s="10">
        <v>20</v>
      </c>
      <c r="K209" s="10">
        <v>11.04</v>
      </c>
    </row>
    <row r="210" spans="1:11" x14ac:dyDescent="0.25">
      <c r="A210" s="8" t="s">
        <v>398</v>
      </c>
      <c r="B210" s="8" t="s">
        <v>269</v>
      </c>
      <c r="C210" s="8" t="s">
        <v>376</v>
      </c>
      <c r="D210" s="8">
        <v>1</v>
      </c>
      <c r="E210" s="8" t="s">
        <v>397</v>
      </c>
      <c r="F210" s="8" t="s">
        <v>378</v>
      </c>
      <c r="G210" s="8" t="s">
        <v>379</v>
      </c>
      <c r="H210" s="10">
        <v>20</v>
      </c>
      <c r="I210" s="10"/>
      <c r="J210" s="10">
        <v>20</v>
      </c>
      <c r="K210" s="10">
        <v>11.04</v>
      </c>
    </row>
    <row r="211" spans="1:11" x14ac:dyDescent="0.25">
      <c r="A211" s="8" t="s">
        <v>399</v>
      </c>
      <c r="B211" s="8" t="s">
        <v>263</v>
      </c>
      <c r="C211" s="8" t="s">
        <v>376</v>
      </c>
      <c r="D211" s="8">
        <v>1</v>
      </c>
      <c r="E211" s="8" t="s">
        <v>400</v>
      </c>
      <c r="F211" s="8" t="s">
        <v>378</v>
      </c>
      <c r="G211" s="8" t="s">
        <v>379</v>
      </c>
      <c r="H211" s="10">
        <v>150</v>
      </c>
      <c r="I211" s="10"/>
      <c r="J211" s="10">
        <v>150</v>
      </c>
      <c r="K211" s="10">
        <v>11.04</v>
      </c>
    </row>
    <row r="212" spans="1:11" x14ac:dyDescent="0.25">
      <c r="A212" s="8" t="s">
        <v>401</v>
      </c>
      <c r="B212" s="8" t="s">
        <v>269</v>
      </c>
      <c r="C212" s="8" t="s">
        <v>376</v>
      </c>
      <c r="D212" s="8">
        <v>1</v>
      </c>
      <c r="E212" s="8" t="s">
        <v>400</v>
      </c>
      <c r="F212" s="8" t="s">
        <v>378</v>
      </c>
      <c r="G212" s="8" t="s">
        <v>379</v>
      </c>
      <c r="H212" s="10">
        <v>150</v>
      </c>
      <c r="I212" s="10"/>
      <c r="J212" s="10">
        <v>150</v>
      </c>
      <c r="K212" s="10">
        <v>11.04</v>
      </c>
    </row>
    <row r="213" spans="1:11" x14ac:dyDescent="0.25">
      <c r="A213" s="8" t="s">
        <v>402</v>
      </c>
      <c r="B213" s="8" t="s">
        <v>263</v>
      </c>
      <c r="C213" s="8" t="s">
        <v>376</v>
      </c>
      <c r="D213" s="8">
        <v>1</v>
      </c>
      <c r="E213" s="8" t="s">
        <v>403</v>
      </c>
      <c r="F213" s="8" t="s">
        <v>378</v>
      </c>
      <c r="G213" s="8" t="s">
        <v>379</v>
      </c>
      <c r="H213" s="10">
        <v>130</v>
      </c>
      <c r="I213" s="10"/>
      <c r="J213" s="10">
        <v>130</v>
      </c>
      <c r="K213" s="10">
        <v>11.04</v>
      </c>
    </row>
    <row r="214" spans="1:11" x14ac:dyDescent="0.25">
      <c r="A214" s="8" t="s">
        <v>404</v>
      </c>
      <c r="B214" s="8" t="s">
        <v>269</v>
      </c>
      <c r="C214" s="8" t="s">
        <v>376</v>
      </c>
      <c r="D214" s="8">
        <v>1</v>
      </c>
      <c r="E214" s="8" t="s">
        <v>403</v>
      </c>
      <c r="F214" s="8" t="s">
        <v>378</v>
      </c>
      <c r="G214" s="8" t="s">
        <v>379</v>
      </c>
      <c r="H214" s="10">
        <v>200</v>
      </c>
      <c r="I214" s="10"/>
      <c r="J214" s="10">
        <v>200</v>
      </c>
      <c r="K214" s="10">
        <v>11.04</v>
      </c>
    </row>
    <row r="215" spans="1:11" x14ac:dyDescent="0.25">
      <c r="A215" s="8" t="s">
        <v>405</v>
      </c>
      <c r="B215" s="8" t="s">
        <v>263</v>
      </c>
      <c r="C215" s="8" t="s">
        <v>376</v>
      </c>
      <c r="D215" s="8">
        <v>1</v>
      </c>
      <c r="E215" s="8" t="s">
        <v>406</v>
      </c>
      <c r="F215" s="8" t="s">
        <v>378</v>
      </c>
      <c r="G215" s="8" t="s">
        <v>379</v>
      </c>
      <c r="H215" s="10">
        <v>600</v>
      </c>
      <c r="I215" s="10"/>
      <c r="J215" s="10">
        <v>600</v>
      </c>
      <c r="K215" s="10">
        <v>11.04</v>
      </c>
    </row>
    <row r="216" spans="1:11" x14ac:dyDescent="0.25">
      <c r="A216" s="8" t="s">
        <v>407</v>
      </c>
      <c r="B216" s="8" t="s">
        <v>269</v>
      </c>
      <c r="C216" s="8" t="s">
        <v>376</v>
      </c>
      <c r="D216" s="8">
        <v>1</v>
      </c>
      <c r="E216" s="8" t="s">
        <v>406</v>
      </c>
      <c r="F216" s="8" t="s">
        <v>378</v>
      </c>
      <c r="G216" s="8" t="s">
        <v>379</v>
      </c>
      <c r="H216" s="10">
        <v>900</v>
      </c>
      <c r="I216" s="10"/>
      <c r="J216" s="10">
        <v>900</v>
      </c>
      <c r="K216" s="10">
        <v>11.04</v>
      </c>
    </row>
    <row r="217" spans="1:11" x14ac:dyDescent="0.25">
      <c r="A217" s="8" t="s">
        <v>408</v>
      </c>
      <c r="B217" s="8" t="s">
        <v>263</v>
      </c>
      <c r="C217" s="8" t="s">
        <v>376</v>
      </c>
      <c r="D217" s="8">
        <v>1</v>
      </c>
      <c r="E217" s="8" t="s">
        <v>409</v>
      </c>
      <c r="F217" s="8" t="s">
        <v>378</v>
      </c>
      <c r="G217" s="8" t="s">
        <v>379</v>
      </c>
      <c r="H217" s="10">
        <v>550</v>
      </c>
      <c r="I217" s="10"/>
      <c r="J217" s="10">
        <v>550</v>
      </c>
      <c r="K217" s="10">
        <v>11.04</v>
      </c>
    </row>
    <row r="218" spans="1:11" x14ac:dyDescent="0.25">
      <c r="A218" s="8" t="s">
        <v>410</v>
      </c>
      <c r="B218" s="8" t="s">
        <v>269</v>
      </c>
      <c r="C218" s="8" t="s">
        <v>376</v>
      </c>
      <c r="D218" s="8">
        <v>1</v>
      </c>
      <c r="E218" s="8" t="s">
        <v>409</v>
      </c>
      <c r="F218" s="8" t="s">
        <v>378</v>
      </c>
      <c r="G218" s="8" t="s">
        <v>379</v>
      </c>
      <c r="H218" s="10">
        <v>800</v>
      </c>
      <c r="I218" s="10"/>
      <c r="J218" s="10">
        <v>800</v>
      </c>
      <c r="K218" s="10">
        <v>11.04</v>
      </c>
    </row>
    <row r="219" spans="1:11" x14ac:dyDescent="0.25">
      <c r="A219" s="8" t="s">
        <v>411</v>
      </c>
      <c r="B219" s="8" t="s">
        <v>263</v>
      </c>
      <c r="C219" s="8" t="s">
        <v>376</v>
      </c>
      <c r="D219" s="8">
        <v>1</v>
      </c>
      <c r="E219" s="8" t="s">
        <v>412</v>
      </c>
      <c r="F219" s="8" t="s">
        <v>378</v>
      </c>
      <c r="G219" s="8" t="s">
        <v>379</v>
      </c>
      <c r="H219" s="10">
        <v>400</v>
      </c>
      <c r="I219" s="10"/>
      <c r="J219" s="10">
        <v>400</v>
      </c>
      <c r="K219" s="10">
        <v>11.04</v>
      </c>
    </row>
    <row r="220" spans="1:11" x14ac:dyDescent="0.25">
      <c r="A220" s="8" t="s">
        <v>413</v>
      </c>
      <c r="B220" s="8" t="s">
        <v>269</v>
      </c>
      <c r="C220" s="8" t="s">
        <v>376</v>
      </c>
      <c r="D220" s="8">
        <v>1</v>
      </c>
      <c r="E220" s="8" t="s">
        <v>412</v>
      </c>
      <c r="F220" s="8" t="s">
        <v>378</v>
      </c>
      <c r="G220" s="8" t="s">
        <v>379</v>
      </c>
      <c r="H220" s="10">
        <v>700</v>
      </c>
      <c r="I220" s="10"/>
      <c r="J220" s="10">
        <v>700</v>
      </c>
      <c r="K220" s="10">
        <v>11.04</v>
      </c>
    </row>
    <row r="221" spans="1:11" x14ac:dyDescent="0.25">
      <c r="A221" s="8" t="s">
        <v>414</v>
      </c>
      <c r="B221" s="8" t="s">
        <v>263</v>
      </c>
      <c r="C221" s="8" t="s">
        <v>376</v>
      </c>
      <c r="D221" s="8">
        <v>1</v>
      </c>
      <c r="E221" s="8" t="s">
        <v>415</v>
      </c>
      <c r="F221" s="8" t="s">
        <v>378</v>
      </c>
      <c r="G221" s="8" t="s">
        <v>379</v>
      </c>
      <c r="H221" s="10">
        <v>130</v>
      </c>
      <c r="I221" s="10"/>
      <c r="J221" s="10">
        <v>130</v>
      </c>
      <c r="K221" s="10">
        <v>11.04</v>
      </c>
    </row>
    <row r="222" spans="1:11" x14ac:dyDescent="0.25">
      <c r="A222" s="8" t="s">
        <v>416</v>
      </c>
      <c r="B222" s="8" t="s">
        <v>269</v>
      </c>
      <c r="C222" s="8" t="s">
        <v>376</v>
      </c>
      <c r="D222" s="8">
        <v>1</v>
      </c>
      <c r="E222" s="8" t="s">
        <v>415</v>
      </c>
      <c r="F222" s="8" t="s">
        <v>378</v>
      </c>
      <c r="G222" s="8" t="s">
        <v>379</v>
      </c>
      <c r="H222" s="10">
        <v>200</v>
      </c>
      <c r="I222" s="10"/>
      <c r="J222" s="10">
        <v>200</v>
      </c>
      <c r="K222" s="10">
        <v>11.04</v>
      </c>
    </row>
    <row r="223" spans="1:11" x14ac:dyDescent="0.25">
      <c r="A223" s="8" t="s">
        <v>417</v>
      </c>
      <c r="B223" s="8" t="s">
        <v>263</v>
      </c>
      <c r="C223" s="8" t="s">
        <v>376</v>
      </c>
      <c r="D223" s="8">
        <v>1</v>
      </c>
      <c r="E223" s="8" t="s">
        <v>418</v>
      </c>
      <c r="F223" s="8" t="s">
        <v>378</v>
      </c>
      <c r="G223" s="8" t="s">
        <v>419</v>
      </c>
      <c r="H223" s="10">
        <v>60</v>
      </c>
      <c r="I223" s="10"/>
      <c r="J223" s="10">
        <v>60</v>
      </c>
      <c r="K223" s="10">
        <v>45.78</v>
      </c>
    </row>
    <row r="224" spans="1:11" x14ac:dyDescent="0.25">
      <c r="A224" s="8" t="s">
        <v>420</v>
      </c>
      <c r="B224" s="8" t="s">
        <v>269</v>
      </c>
      <c r="C224" s="8" t="s">
        <v>376</v>
      </c>
      <c r="D224" s="8">
        <v>1</v>
      </c>
      <c r="E224" s="8" t="s">
        <v>418</v>
      </c>
      <c r="F224" s="8" t="s">
        <v>378</v>
      </c>
      <c r="G224" s="8" t="s">
        <v>419</v>
      </c>
      <c r="H224" s="10">
        <v>60</v>
      </c>
      <c r="I224" s="10"/>
      <c r="J224" s="10">
        <v>60</v>
      </c>
      <c r="K224" s="10">
        <v>45.78</v>
      </c>
    </row>
    <row r="225" spans="1:11" x14ac:dyDescent="0.25">
      <c r="A225" s="8" t="s">
        <v>421</v>
      </c>
      <c r="B225" s="8" t="s">
        <v>263</v>
      </c>
      <c r="C225" s="8" t="s">
        <v>376</v>
      </c>
      <c r="D225" s="8">
        <v>1</v>
      </c>
      <c r="E225" s="8" t="s">
        <v>422</v>
      </c>
      <c r="F225" s="8" t="s">
        <v>378</v>
      </c>
      <c r="G225" s="8" t="s">
        <v>419</v>
      </c>
      <c r="H225" s="10">
        <v>15</v>
      </c>
      <c r="I225" s="10"/>
      <c r="J225" s="10">
        <v>15</v>
      </c>
      <c r="K225" s="10">
        <v>45.78</v>
      </c>
    </row>
    <row r="226" spans="1:11" x14ac:dyDescent="0.25">
      <c r="A226" s="8" t="s">
        <v>423</v>
      </c>
      <c r="B226" s="8" t="s">
        <v>269</v>
      </c>
      <c r="C226" s="8" t="s">
        <v>376</v>
      </c>
      <c r="D226" s="8">
        <v>1</v>
      </c>
      <c r="E226" s="8" t="s">
        <v>422</v>
      </c>
      <c r="F226" s="8" t="s">
        <v>378</v>
      </c>
      <c r="G226" s="8" t="s">
        <v>419</v>
      </c>
      <c r="H226" s="10">
        <v>15</v>
      </c>
      <c r="I226" s="10"/>
      <c r="J226" s="10">
        <v>15</v>
      </c>
      <c r="K226" s="10">
        <v>45.78</v>
      </c>
    </row>
    <row r="227" spans="1:11" x14ac:dyDescent="0.25">
      <c r="A227" s="8" t="s">
        <v>424</v>
      </c>
      <c r="B227" s="8" t="s">
        <v>263</v>
      </c>
      <c r="C227" s="8" t="s">
        <v>376</v>
      </c>
      <c r="D227" s="8">
        <v>1</v>
      </c>
      <c r="E227" s="8" t="s">
        <v>425</v>
      </c>
      <c r="F227" s="8" t="s">
        <v>378</v>
      </c>
      <c r="G227" s="8" t="s">
        <v>419</v>
      </c>
      <c r="H227" s="10">
        <v>9</v>
      </c>
      <c r="I227" s="10"/>
      <c r="J227" s="10">
        <v>9</v>
      </c>
      <c r="K227" s="10">
        <v>68.67</v>
      </c>
    </row>
    <row r="228" spans="1:11" x14ac:dyDescent="0.25">
      <c r="A228" s="8" t="s">
        <v>426</v>
      </c>
      <c r="B228" s="8" t="s">
        <v>269</v>
      </c>
      <c r="C228" s="8" t="s">
        <v>376</v>
      </c>
      <c r="D228" s="8">
        <v>1</v>
      </c>
      <c r="E228" s="8" t="s">
        <v>425</v>
      </c>
      <c r="F228" s="8" t="s">
        <v>378</v>
      </c>
      <c r="G228" s="8" t="s">
        <v>419</v>
      </c>
      <c r="H228" s="10">
        <v>9</v>
      </c>
      <c r="I228" s="10"/>
      <c r="J228" s="10">
        <v>9</v>
      </c>
      <c r="K228" s="10">
        <v>68.67</v>
      </c>
    </row>
    <row r="229" spans="1:11" x14ac:dyDescent="0.25">
      <c r="A229" s="8" t="s">
        <v>427</v>
      </c>
      <c r="B229" s="8" t="s">
        <v>263</v>
      </c>
      <c r="C229" s="8" t="s">
        <v>376</v>
      </c>
      <c r="D229" s="8">
        <v>1</v>
      </c>
      <c r="E229" s="8" t="s">
        <v>428</v>
      </c>
      <c r="F229" s="8" t="s">
        <v>378</v>
      </c>
      <c r="G229" s="8" t="s">
        <v>419</v>
      </c>
      <c r="H229" s="10">
        <v>9</v>
      </c>
      <c r="I229" s="10"/>
      <c r="J229" s="10">
        <v>9</v>
      </c>
      <c r="K229" s="10">
        <v>68.67</v>
      </c>
    </row>
    <row r="230" spans="1:11" x14ac:dyDescent="0.25">
      <c r="A230" s="8" t="s">
        <v>429</v>
      </c>
      <c r="B230" s="8" t="s">
        <v>269</v>
      </c>
      <c r="C230" s="8" t="s">
        <v>376</v>
      </c>
      <c r="D230" s="8">
        <v>1</v>
      </c>
      <c r="E230" s="8" t="s">
        <v>428</v>
      </c>
      <c r="F230" s="8" t="s">
        <v>378</v>
      </c>
      <c r="G230" s="8" t="s">
        <v>419</v>
      </c>
      <c r="H230" s="10">
        <v>9</v>
      </c>
      <c r="I230" s="10"/>
      <c r="J230" s="10">
        <v>9</v>
      </c>
      <c r="K230" s="10">
        <v>68.67</v>
      </c>
    </row>
    <row r="231" spans="1:11" x14ac:dyDescent="0.25">
      <c r="A231" s="8" t="s">
        <v>430</v>
      </c>
      <c r="B231" s="8" t="s">
        <v>263</v>
      </c>
      <c r="C231" s="8" t="s">
        <v>376</v>
      </c>
      <c r="D231" s="8">
        <v>1</v>
      </c>
      <c r="E231" s="8" t="s">
        <v>431</v>
      </c>
      <c r="F231" s="8" t="s">
        <v>378</v>
      </c>
      <c r="G231" s="8" t="s">
        <v>419</v>
      </c>
      <c r="H231" s="10">
        <v>6</v>
      </c>
      <c r="I231" s="10"/>
      <c r="J231" s="10">
        <v>6</v>
      </c>
      <c r="K231" s="10">
        <v>91.56</v>
      </c>
    </row>
    <row r="232" spans="1:11" x14ac:dyDescent="0.25">
      <c r="A232" s="8" t="s">
        <v>432</v>
      </c>
      <c r="B232" s="8" t="s">
        <v>269</v>
      </c>
      <c r="C232" s="8" t="s">
        <v>376</v>
      </c>
      <c r="D232" s="8">
        <v>1</v>
      </c>
      <c r="E232" s="8" t="s">
        <v>431</v>
      </c>
      <c r="F232" s="8" t="s">
        <v>378</v>
      </c>
      <c r="G232" s="8" t="s">
        <v>419</v>
      </c>
      <c r="H232" s="10">
        <v>6</v>
      </c>
      <c r="I232" s="10"/>
      <c r="J232" s="10">
        <v>6</v>
      </c>
      <c r="K232" s="10">
        <v>91.56</v>
      </c>
    </row>
    <row r="233" spans="1:11" x14ac:dyDescent="0.25">
      <c r="A233" s="8" t="s">
        <v>433</v>
      </c>
      <c r="B233" s="8" t="s">
        <v>263</v>
      </c>
      <c r="C233" s="8" t="s">
        <v>376</v>
      </c>
      <c r="D233" s="8">
        <v>1</v>
      </c>
      <c r="E233" s="8" t="s">
        <v>434</v>
      </c>
      <c r="F233" s="8" t="s">
        <v>378</v>
      </c>
      <c r="G233" s="8" t="s">
        <v>419</v>
      </c>
      <c r="H233" s="10">
        <v>15</v>
      </c>
      <c r="I233" s="10"/>
      <c r="J233" s="10">
        <v>15</v>
      </c>
      <c r="K233" s="10">
        <v>91.56</v>
      </c>
    </row>
    <row r="234" spans="1:11" x14ac:dyDescent="0.25">
      <c r="A234" s="8" t="s">
        <v>435</v>
      </c>
      <c r="B234" s="8" t="s">
        <v>269</v>
      </c>
      <c r="C234" s="8" t="s">
        <v>376</v>
      </c>
      <c r="D234" s="8">
        <v>1</v>
      </c>
      <c r="E234" s="8" t="s">
        <v>434</v>
      </c>
      <c r="F234" s="8" t="s">
        <v>378</v>
      </c>
      <c r="G234" s="8" t="s">
        <v>419</v>
      </c>
      <c r="H234" s="10">
        <v>15</v>
      </c>
      <c r="I234" s="10"/>
      <c r="J234" s="10">
        <v>15</v>
      </c>
      <c r="K234" s="10">
        <v>91.56</v>
      </c>
    </row>
    <row r="235" spans="1:11" x14ac:dyDescent="0.25">
      <c r="A235" s="8" t="s">
        <v>436</v>
      </c>
      <c r="B235" s="8" t="s">
        <v>263</v>
      </c>
      <c r="C235" s="8" t="s">
        <v>376</v>
      </c>
      <c r="D235" s="8">
        <v>1</v>
      </c>
      <c r="E235" s="8" t="s">
        <v>437</v>
      </c>
      <c r="F235" s="8" t="s">
        <v>378</v>
      </c>
      <c r="G235" s="8" t="s">
        <v>419</v>
      </c>
      <c r="H235" s="10">
        <v>15</v>
      </c>
      <c r="I235" s="10"/>
      <c r="J235" s="10">
        <v>15</v>
      </c>
      <c r="K235" s="10">
        <v>45.78</v>
      </c>
    </row>
    <row r="236" spans="1:11" x14ac:dyDescent="0.25">
      <c r="A236" s="8" t="s">
        <v>438</v>
      </c>
      <c r="B236" s="8" t="s">
        <v>269</v>
      </c>
      <c r="C236" s="8" t="s">
        <v>376</v>
      </c>
      <c r="D236" s="8">
        <v>1</v>
      </c>
      <c r="E236" s="8" t="s">
        <v>437</v>
      </c>
      <c r="F236" s="8" t="s">
        <v>378</v>
      </c>
      <c r="G236" s="8" t="s">
        <v>419</v>
      </c>
      <c r="H236" s="10">
        <v>15</v>
      </c>
      <c r="I236" s="10"/>
      <c r="J236" s="10">
        <v>15</v>
      </c>
      <c r="K236" s="10">
        <v>45.78</v>
      </c>
    </row>
    <row r="237" spans="1:11" x14ac:dyDescent="0.25">
      <c r="A237" s="8" t="s">
        <v>439</v>
      </c>
      <c r="B237" s="8" t="s">
        <v>263</v>
      </c>
      <c r="C237" s="8" t="s">
        <v>376</v>
      </c>
      <c r="D237" s="8">
        <v>1</v>
      </c>
      <c r="E237" s="8" t="s">
        <v>440</v>
      </c>
      <c r="F237" s="8" t="s">
        <v>378</v>
      </c>
      <c r="G237" s="8" t="s">
        <v>419</v>
      </c>
      <c r="H237" s="10">
        <v>5</v>
      </c>
      <c r="I237" s="10"/>
      <c r="J237" s="10">
        <v>5</v>
      </c>
      <c r="K237" s="10">
        <v>45.78</v>
      </c>
    </row>
    <row r="238" spans="1:11" x14ac:dyDescent="0.25">
      <c r="A238" s="8" t="s">
        <v>441</v>
      </c>
      <c r="B238" s="8" t="s">
        <v>269</v>
      </c>
      <c r="C238" s="8" t="s">
        <v>376</v>
      </c>
      <c r="D238" s="8">
        <v>1</v>
      </c>
      <c r="E238" s="8" t="s">
        <v>440</v>
      </c>
      <c r="F238" s="8" t="s">
        <v>378</v>
      </c>
      <c r="G238" s="8" t="s">
        <v>419</v>
      </c>
      <c r="H238" s="10">
        <v>5</v>
      </c>
      <c r="I238" s="10"/>
      <c r="J238" s="10">
        <v>5</v>
      </c>
      <c r="K238" s="10">
        <v>45.78</v>
      </c>
    </row>
    <row r="239" spans="1:11" x14ac:dyDescent="0.25">
      <c r="A239" s="8" t="s">
        <v>442</v>
      </c>
      <c r="B239" s="8" t="s">
        <v>263</v>
      </c>
      <c r="C239" s="8" t="s">
        <v>376</v>
      </c>
      <c r="D239" s="8">
        <v>1</v>
      </c>
      <c r="E239" s="8" t="s">
        <v>443</v>
      </c>
      <c r="F239" s="8" t="s">
        <v>378</v>
      </c>
      <c r="G239" s="8" t="s">
        <v>419</v>
      </c>
      <c r="H239" s="10">
        <v>3</v>
      </c>
      <c r="I239" s="10"/>
      <c r="J239" s="10">
        <v>3</v>
      </c>
      <c r="K239" s="10">
        <v>68.67</v>
      </c>
    </row>
    <row r="240" spans="1:11" x14ac:dyDescent="0.25">
      <c r="A240" s="8" t="s">
        <v>444</v>
      </c>
      <c r="B240" s="8" t="s">
        <v>269</v>
      </c>
      <c r="C240" s="8" t="s">
        <v>376</v>
      </c>
      <c r="D240" s="8">
        <v>1</v>
      </c>
      <c r="E240" s="8" t="s">
        <v>443</v>
      </c>
      <c r="F240" s="8" t="s">
        <v>378</v>
      </c>
      <c r="G240" s="8" t="s">
        <v>419</v>
      </c>
      <c r="H240" s="10">
        <v>3</v>
      </c>
      <c r="I240" s="10"/>
      <c r="J240" s="10">
        <v>3</v>
      </c>
      <c r="K240" s="10">
        <v>68.67</v>
      </c>
    </row>
    <row r="241" spans="1:11" x14ac:dyDescent="0.25">
      <c r="A241" s="8" t="s">
        <v>445</v>
      </c>
      <c r="B241" s="8" t="s">
        <v>263</v>
      </c>
      <c r="C241" s="8" t="s">
        <v>376</v>
      </c>
      <c r="D241" s="8">
        <v>1</v>
      </c>
      <c r="E241" s="8" t="s">
        <v>446</v>
      </c>
      <c r="F241" s="8" t="s">
        <v>378</v>
      </c>
      <c r="G241" s="8" t="s">
        <v>419</v>
      </c>
      <c r="H241" s="10">
        <v>3</v>
      </c>
      <c r="I241" s="10"/>
      <c r="J241" s="10">
        <v>3</v>
      </c>
      <c r="K241" s="10">
        <v>68.67</v>
      </c>
    </row>
    <row r="242" spans="1:11" x14ac:dyDescent="0.25">
      <c r="A242" s="8" t="s">
        <v>447</v>
      </c>
      <c r="B242" s="8" t="s">
        <v>269</v>
      </c>
      <c r="C242" s="8" t="s">
        <v>376</v>
      </c>
      <c r="D242" s="8">
        <v>1</v>
      </c>
      <c r="E242" s="8" t="s">
        <v>446</v>
      </c>
      <c r="F242" s="8" t="s">
        <v>378</v>
      </c>
      <c r="G242" s="8" t="s">
        <v>419</v>
      </c>
      <c r="H242" s="10">
        <v>3</v>
      </c>
      <c r="I242" s="10"/>
      <c r="J242" s="10">
        <v>3</v>
      </c>
      <c r="K242" s="10">
        <v>68.67</v>
      </c>
    </row>
    <row r="243" spans="1:11" x14ac:dyDescent="0.25">
      <c r="A243" s="8" t="s">
        <v>448</v>
      </c>
      <c r="B243" s="8" t="s">
        <v>263</v>
      </c>
      <c r="C243" s="8" t="s">
        <v>376</v>
      </c>
      <c r="D243" s="8">
        <v>1</v>
      </c>
      <c r="E243" s="8" t="s">
        <v>449</v>
      </c>
      <c r="F243" s="8" t="s">
        <v>378</v>
      </c>
      <c r="G243" s="8" t="s">
        <v>419</v>
      </c>
      <c r="H243" s="10">
        <v>1</v>
      </c>
      <c r="I243" s="10"/>
      <c r="J243" s="10">
        <v>1</v>
      </c>
      <c r="K243" s="10">
        <v>91.56</v>
      </c>
    </row>
    <row r="244" spans="1:11" x14ac:dyDescent="0.25">
      <c r="A244" s="8" t="s">
        <v>450</v>
      </c>
      <c r="B244" s="8" t="s">
        <v>269</v>
      </c>
      <c r="C244" s="8" t="s">
        <v>376</v>
      </c>
      <c r="D244" s="8">
        <v>1</v>
      </c>
      <c r="E244" s="8" t="s">
        <v>449</v>
      </c>
      <c r="F244" s="8" t="s">
        <v>378</v>
      </c>
      <c r="G244" s="8" t="s">
        <v>419</v>
      </c>
      <c r="H244" s="10">
        <v>1</v>
      </c>
      <c r="I244" s="10"/>
      <c r="J244" s="10">
        <v>1</v>
      </c>
      <c r="K244" s="10">
        <v>91.56</v>
      </c>
    </row>
    <row r="245" spans="1:11" x14ac:dyDescent="0.25">
      <c r="A245" s="8" t="s">
        <v>451</v>
      </c>
      <c r="B245" s="8" t="s">
        <v>263</v>
      </c>
      <c r="C245" s="8" t="s">
        <v>376</v>
      </c>
      <c r="D245" s="8">
        <v>1</v>
      </c>
      <c r="E245" s="8" t="s">
        <v>452</v>
      </c>
      <c r="F245" s="8" t="s">
        <v>378</v>
      </c>
      <c r="G245" s="8" t="s">
        <v>419</v>
      </c>
      <c r="H245" s="10">
        <v>1</v>
      </c>
      <c r="I245" s="10"/>
      <c r="J245" s="10">
        <v>1</v>
      </c>
      <c r="K245" s="10">
        <v>91.56</v>
      </c>
    </row>
    <row r="246" spans="1:11" x14ac:dyDescent="0.25">
      <c r="A246" s="8" t="s">
        <v>453</v>
      </c>
      <c r="B246" s="8" t="s">
        <v>269</v>
      </c>
      <c r="C246" s="8" t="s">
        <v>376</v>
      </c>
      <c r="D246" s="8">
        <v>1</v>
      </c>
      <c r="E246" s="8" t="s">
        <v>452</v>
      </c>
      <c r="F246" s="8" t="s">
        <v>378</v>
      </c>
      <c r="G246" s="8" t="s">
        <v>419</v>
      </c>
      <c r="H246" s="10">
        <v>1</v>
      </c>
      <c r="I246" s="10"/>
      <c r="J246" s="10">
        <v>1</v>
      </c>
      <c r="K246" s="10">
        <v>91.56</v>
      </c>
    </row>
    <row r="247" spans="1:11" x14ac:dyDescent="0.25">
      <c r="A247" s="8" t="s">
        <v>454</v>
      </c>
      <c r="B247" s="8" t="s">
        <v>263</v>
      </c>
      <c r="C247" s="8" t="s">
        <v>376</v>
      </c>
      <c r="D247" s="8">
        <v>1</v>
      </c>
      <c r="E247" s="8" t="s">
        <v>455</v>
      </c>
      <c r="F247" s="8" t="s">
        <v>378</v>
      </c>
      <c r="G247" s="8" t="s">
        <v>419</v>
      </c>
      <c r="H247" s="10">
        <v>18</v>
      </c>
      <c r="I247" s="10"/>
      <c r="J247" s="10">
        <v>18</v>
      </c>
      <c r="K247" s="10">
        <v>137.34</v>
      </c>
    </row>
    <row r="248" spans="1:11" x14ac:dyDescent="0.25">
      <c r="A248" s="8" t="s">
        <v>456</v>
      </c>
      <c r="B248" s="8" t="s">
        <v>269</v>
      </c>
      <c r="C248" s="8" t="s">
        <v>376</v>
      </c>
      <c r="D248" s="8">
        <v>1</v>
      </c>
      <c r="E248" s="8" t="s">
        <v>455</v>
      </c>
      <c r="F248" s="8" t="s">
        <v>378</v>
      </c>
      <c r="G248" s="8" t="s">
        <v>419</v>
      </c>
      <c r="H248" s="10">
        <v>18</v>
      </c>
      <c r="I248" s="10"/>
      <c r="J248" s="10">
        <v>18</v>
      </c>
      <c r="K248" s="10">
        <v>137.34</v>
      </c>
    </row>
    <row r="249" spans="1:11" x14ac:dyDescent="0.25">
      <c r="A249" s="8" t="s">
        <v>457</v>
      </c>
      <c r="B249" s="8" t="s">
        <v>263</v>
      </c>
      <c r="C249" s="8" t="s">
        <v>458</v>
      </c>
      <c r="D249" s="8">
        <v>1</v>
      </c>
      <c r="E249" s="8" t="s">
        <v>459</v>
      </c>
      <c r="F249" s="8" t="s">
        <v>460</v>
      </c>
      <c r="G249" s="8" t="s">
        <v>461</v>
      </c>
      <c r="H249" s="10">
        <v>2</v>
      </c>
      <c r="I249" s="10"/>
      <c r="J249" s="10">
        <v>2</v>
      </c>
      <c r="K249" s="10">
        <v>301.45</v>
      </c>
    </row>
    <row r="250" spans="1:11" x14ac:dyDescent="0.25">
      <c r="A250" s="8" t="s">
        <v>462</v>
      </c>
      <c r="B250" s="8" t="s">
        <v>269</v>
      </c>
      <c r="C250" s="8" t="s">
        <v>458</v>
      </c>
      <c r="D250" s="8">
        <v>1</v>
      </c>
      <c r="E250" s="8" t="s">
        <v>459</v>
      </c>
      <c r="F250" s="8" t="s">
        <v>460</v>
      </c>
      <c r="G250" s="8" t="s">
        <v>461</v>
      </c>
      <c r="H250" s="10">
        <v>2</v>
      </c>
      <c r="I250" s="10"/>
      <c r="J250" s="10">
        <v>2</v>
      </c>
      <c r="K250" s="10">
        <v>301.45</v>
      </c>
    </row>
    <row r="251" spans="1:11" x14ac:dyDescent="0.25">
      <c r="A251" s="8" t="s">
        <v>463</v>
      </c>
      <c r="B251" s="8" t="s">
        <v>263</v>
      </c>
      <c r="C251" s="8" t="s">
        <v>376</v>
      </c>
      <c r="D251" s="8">
        <v>1</v>
      </c>
      <c r="E251" s="8" t="s">
        <v>464</v>
      </c>
      <c r="F251" s="8" t="s">
        <v>460</v>
      </c>
      <c r="G251" s="8" t="s">
        <v>379</v>
      </c>
      <c r="H251" s="10">
        <v>4</v>
      </c>
      <c r="I251" s="10"/>
      <c r="J251" s="10">
        <v>4</v>
      </c>
      <c r="K251" s="10">
        <v>200.97</v>
      </c>
    </row>
    <row r="252" spans="1:11" x14ac:dyDescent="0.25">
      <c r="A252" s="8" t="s">
        <v>465</v>
      </c>
      <c r="B252" s="8" t="s">
        <v>269</v>
      </c>
      <c r="C252" s="8" t="s">
        <v>376</v>
      </c>
      <c r="D252" s="8">
        <v>1</v>
      </c>
      <c r="E252" s="8" t="s">
        <v>464</v>
      </c>
      <c r="F252" s="8" t="s">
        <v>460</v>
      </c>
      <c r="G252" s="8" t="s">
        <v>379</v>
      </c>
      <c r="H252" s="10">
        <v>4</v>
      </c>
      <c r="I252" s="10"/>
      <c r="J252" s="10">
        <v>4</v>
      </c>
      <c r="K252" s="10">
        <v>200.97</v>
      </c>
    </row>
    <row r="253" spans="1:11" x14ac:dyDescent="0.25">
      <c r="A253" s="8" t="s">
        <v>466</v>
      </c>
      <c r="B253" s="8" t="s">
        <v>263</v>
      </c>
      <c r="C253" s="8" t="s">
        <v>376</v>
      </c>
      <c r="D253" s="8">
        <v>1</v>
      </c>
      <c r="E253" s="8" t="s">
        <v>467</v>
      </c>
      <c r="F253" s="8" t="s">
        <v>460</v>
      </c>
      <c r="G253" s="8" t="s">
        <v>379</v>
      </c>
      <c r="H253" s="10">
        <v>3</v>
      </c>
      <c r="I253" s="10"/>
      <c r="J253" s="10">
        <v>3</v>
      </c>
      <c r="K253" s="10">
        <v>366.24</v>
      </c>
    </row>
    <row r="254" spans="1:11" x14ac:dyDescent="0.25">
      <c r="A254" s="8" t="s">
        <v>468</v>
      </c>
      <c r="B254" s="8" t="s">
        <v>269</v>
      </c>
      <c r="C254" s="8" t="s">
        <v>376</v>
      </c>
      <c r="D254" s="8">
        <v>1</v>
      </c>
      <c r="E254" s="8" t="s">
        <v>467</v>
      </c>
      <c r="F254" s="8" t="s">
        <v>460</v>
      </c>
      <c r="G254" s="8" t="s">
        <v>379</v>
      </c>
      <c r="H254" s="10">
        <v>3</v>
      </c>
      <c r="I254" s="10"/>
      <c r="J254" s="10">
        <v>3</v>
      </c>
      <c r="K254" s="10">
        <v>366.24</v>
      </c>
    </row>
    <row r="255" spans="1:11" x14ac:dyDescent="0.25">
      <c r="A255" s="8" t="s">
        <v>469</v>
      </c>
      <c r="B255" s="8" t="s">
        <v>263</v>
      </c>
      <c r="C255" s="8" t="s">
        <v>376</v>
      </c>
      <c r="D255" s="8">
        <v>1</v>
      </c>
      <c r="E255" s="8" t="s">
        <v>470</v>
      </c>
      <c r="F255" s="8" t="s">
        <v>378</v>
      </c>
      <c r="G255" s="8" t="s">
        <v>471</v>
      </c>
      <c r="H255" s="10">
        <v>10</v>
      </c>
      <c r="I255" s="10"/>
      <c r="J255" s="10">
        <v>10</v>
      </c>
      <c r="K255" s="10">
        <v>11.04</v>
      </c>
    </row>
    <row r="256" spans="1:11" x14ac:dyDescent="0.25">
      <c r="A256" s="8" t="s">
        <v>472</v>
      </c>
      <c r="B256" s="8" t="s">
        <v>269</v>
      </c>
      <c r="C256" s="8" t="s">
        <v>376</v>
      </c>
      <c r="D256" s="8">
        <v>1</v>
      </c>
      <c r="E256" s="8" t="s">
        <v>470</v>
      </c>
      <c r="F256" s="8" t="s">
        <v>378</v>
      </c>
      <c r="G256" s="8" t="s">
        <v>471</v>
      </c>
      <c r="H256" s="10">
        <v>10</v>
      </c>
      <c r="I256" s="10"/>
      <c r="J256" s="10">
        <v>10</v>
      </c>
      <c r="K256" s="10">
        <v>11.04</v>
      </c>
    </row>
    <row r="257" spans="1:11" x14ac:dyDescent="0.25">
      <c r="A257" s="8" t="s">
        <v>473</v>
      </c>
      <c r="B257" s="8" t="s">
        <v>263</v>
      </c>
      <c r="C257" s="8" t="s">
        <v>376</v>
      </c>
      <c r="D257" s="8">
        <v>1</v>
      </c>
      <c r="E257" s="8" t="s">
        <v>474</v>
      </c>
      <c r="F257" s="8" t="s">
        <v>378</v>
      </c>
      <c r="G257" s="8" t="s">
        <v>471</v>
      </c>
      <c r="H257" s="10">
        <v>30</v>
      </c>
      <c r="I257" s="10"/>
      <c r="J257" s="10">
        <v>30</v>
      </c>
      <c r="K257" s="10">
        <v>11.04</v>
      </c>
    </row>
    <row r="258" spans="1:11" x14ac:dyDescent="0.25">
      <c r="A258" s="8" t="s">
        <v>475</v>
      </c>
      <c r="B258" s="8" t="s">
        <v>269</v>
      </c>
      <c r="C258" s="8" t="s">
        <v>376</v>
      </c>
      <c r="D258" s="8">
        <v>1</v>
      </c>
      <c r="E258" s="8" t="s">
        <v>474</v>
      </c>
      <c r="F258" s="8" t="s">
        <v>378</v>
      </c>
      <c r="G258" s="8" t="s">
        <v>471</v>
      </c>
      <c r="H258" s="10">
        <v>30</v>
      </c>
      <c r="I258" s="10"/>
      <c r="J258" s="10">
        <v>30</v>
      </c>
      <c r="K258" s="10">
        <v>11.04</v>
      </c>
    </row>
    <row r="259" spans="1:11" x14ac:dyDescent="0.25">
      <c r="A259" s="8" t="s">
        <v>476</v>
      </c>
      <c r="B259" s="8" t="s">
        <v>263</v>
      </c>
      <c r="C259" s="8" t="s">
        <v>344</v>
      </c>
      <c r="D259" s="8">
        <v>1</v>
      </c>
      <c r="E259" s="8" t="s">
        <v>477</v>
      </c>
      <c r="F259" s="8" t="s">
        <v>266</v>
      </c>
      <c r="G259" s="8" t="s">
        <v>346</v>
      </c>
      <c r="H259" s="10">
        <v>0.5</v>
      </c>
      <c r="I259" s="10"/>
      <c r="J259" s="10">
        <v>0.5</v>
      </c>
      <c r="K259" s="10">
        <v>3763.54</v>
      </c>
    </row>
    <row r="260" spans="1:11" x14ac:dyDescent="0.25">
      <c r="A260" s="8" t="s">
        <v>478</v>
      </c>
      <c r="B260" s="8" t="s">
        <v>269</v>
      </c>
      <c r="C260" s="8" t="s">
        <v>344</v>
      </c>
      <c r="D260" s="8">
        <v>1</v>
      </c>
      <c r="E260" s="8" t="s">
        <v>477</v>
      </c>
      <c r="F260" s="8" t="s">
        <v>266</v>
      </c>
      <c r="G260" s="8" t="s">
        <v>346</v>
      </c>
      <c r="H260" s="10">
        <v>0.5</v>
      </c>
      <c r="I260" s="10"/>
      <c r="J260" s="10">
        <v>0.5</v>
      </c>
      <c r="K260" s="10">
        <v>3763.54</v>
      </c>
    </row>
    <row r="261" spans="1:11" x14ac:dyDescent="0.25">
      <c r="A261" s="8" t="s">
        <v>479</v>
      </c>
      <c r="B261" s="8" t="s">
        <v>263</v>
      </c>
      <c r="C261" s="8" t="s">
        <v>344</v>
      </c>
      <c r="D261" s="8">
        <v>1</v>
      </c>
      <c r="E261" s="8" t="s">
        <v>480</v>
      </c>
      <c r="F261" s="8" t="s">
        <v>266</v>
      </c>
      <c r="G261" s="8" t="s">
        <v>346</v>
      </c>
      <c r="H261" s="10">
        <v>0.9</v>
      </c>
      <c r="I261" s="10"/>
      <c r="J261" s="10">
        <v>0.9</v>
      </c>
      <c r="K261" s="10">
        <v>3763.54</v>
      </c>
    </row>
    <row r="262" spans="1:11" x14ac:dyDescent="0.25">
      <c r="A262" s="8" t="s">
        <v>481</v>
      </c>
      <c r="B262" s="8" t="s">
        <v>269</v>
      </c>
      <c r="C262" s="8" t="s">
        <v>344</v>
      </c>
      <c r="D262" s="8">
        <v>1</v>
      </c>
      <c r="E262" s="8" t="s">
        <v>480</v>
      </c>
      <c r="F262" s="8" t="s">
        <v>266</v>
      </c>
      <c r="G262" s="8" t="s">
        <v>346</v>
      </c>
      <c r="H262" s="10">
        <v>0.9</v>
      </c>
      <c r="I262" s="10"/>
      <c r="J262" s="10">
        <v>0.9</v>
      </c>
      <c r="K262" s="10">
        <v>3763.54</v>
      </c>
    </row>
    <row r="263" spans="1:11" x14ac:dyDescent="0.25">
      <c r="A263" s="8" t="s">
        <v>482</v>
      </c>
      <c r="B263" s="8" t="s">
        <v>263</v>
      </c>
      <c r="C263" s="8" t="s">
        <v>344</v>
      </c>
      <c r="D263" s="8">
        <v>1</v>
      </c>
      <c r="E263" s="8" t="s">
        <v>483</v>
      </c>
      <c r="F263" s="8" t="s">
        <v>266</v>
      </c>
      <c r="G263" s="8" t="s">
        <v>346</v>
      </c>
      <c r="H263" s="10">
        <v>1</v>
      </c>
      <c r="I263" s="10"/>
      <c r="J263" s="10">
        <v>1</v>
      </c>
      <c r="K263" s="10">
        <v>3763.54</v>
      </c>
    </row>
    <row r="264" spans="1:11" x14ac:dyDescent="0.25">
      <c r="A264" s="8" t="s">
        <v>484</v>
      </c>
      <c r="B264" s="8" t="s">
        <v>269</v>
      </c>
      <c r="C264" s="8" t="s">
        <v>344</v>
      </c>
      <c r="D264" s="8">
        <v>1</v>
      </c>
      <c r="E264" s="8" t="s">
        <v>483</v>
      </c>
      <c r="F264" s="8" t="s">
        <v>266</v>
      </c>
      <c r="G264" s="8" t="s">
        <v>346</v>
      </c>
      <c r="H264" s="10">
        <v>1</v>
      </c>
      <c r="I264" s="10"/>
      <c r="J264" s="10">
        <v>1</v>
      </c>
      <c r="K264" s="10">
        <v>3763.54</v>
      </c>
    </row>
    <row r="265" spans="1:11" x14ac:dyDescent="0.25">
      <c r="A265" s="8" t="s">
        <v>485</v>
      </c>
      <c r="B265" s="8" t="s">
        <v>263</v>
      </c>
      <c r="C265" s="8" t="s">
        <v>344</v>
      </c>
      <c r="D265" s="8">
        <v>1</v>
      </c>
      <c r="E265" s="8" t="s">
        <v>486</v>
      </c>
      <c r="F265" s="8" t="s">
        <v>266</v>
      </c>
      <c r="G265" s="8" t="s">
        <v>346</v>
      </c>
      <c r="H265" s="10">
        <v>1.1000000000000001</v>
      </c>
      <c r="I265" s="10"/>
      <c r="J265" s="10">
        <v>1.1000000000000001</v>
      </c>
      <c r="K265" s="10">
        <v>3763.54</v>
      </c>
    </row>
    <row r="266" spans="1:11" x14ac:dyDescent="0.25">
      <c r="A266" s="8" t="s">
        <v>487</v>
      </c>
      <c r="B266" s="8" t="s">
        <v>269</v>
      </c>
      <c r="C266" s="8" t="s">
        <v>344</v>
      </c>
      <c r="D266" s="8">
        <v>1</v>
      </c>
      <c r="E266" s="8" t="s">
        <v>486</v>
      </c>
      <c r="F266" s="8" t="s">
        <v>266</v>
      </c>
      <c r="G266" s="8" t="s">
        <v>346</v>
      </c>
      <c r="H266" s="10">
        <v>1.1000000000000001</v>
      </c>
      <c r="I266" s="10"/>
      <c r="J266" s="10">
        <v>1.1000000000000001</v>
      </c>
      <c r="K266" s="10">
        <v>3763.54</v>
      </c>
    </row>
    <row r="267" spans="1:11" x14ac:dyDescent="0.25">
      <c r="A267" s="8" t="s">
        <v>488</v>
      </c>
      <c r="B267" s="8" t="s">
        <v>263</v>
      </c>
      <c r="C267" s="8" t="s">
        <v>344</v>
      </c>
      <c r="D267" s="8">
        <v>1</v>
      </c>
      <c r="E267" s="8" t="s">
        <v>358</v>
      </c>
      <c r="F267" s="8" t="s">
        <v>266</v>
      </c>
      <c r="G267" s="8" t="s">
        <v>346</v>
      </c>
      <c r="H267" s="10">
        <v>0.1</v>
      </c>
      <c r="I267" s="10"/>
      <c r="J267" s="10">
        <v>0.1</v>
      </c>
      <c r="K267" s="10">
        <v>3763.54</v>
      </c>
    </row>
    <row r="268" spans="1:11" x14ac:dyDescent="0.25">
      <c r="A268" s="8" t="s">
        <v>489</v>
      </c>
      <c r="B268" s="8" t="s">
        <v>269</v>
      </c>
      <c r="C268" s="8" t="s">
        <v>344</v>
      </c>
      <c r="D268" s="8">
        <v>1</v>
      </c>
      <c r="E268" s="8" t="s">
        <v>358</v>
      </c>
      <c r="F268" s="8" t="s">
        <v>266</v>
      </c>
      <c r="G268" s="8" t="s">
        <v>346</v>
      </c>
      <c r="H268" s="10">
        <v>0.1</v>
      </c>
      <c r="I268" s="10"/>
      <c r="J268" s="10">
        <v>0.1</v>
      </c>
      <c r="K268" s="10">
        <v>3763.54</v>
      </c>
    </row>
    <row r="269" spans="1:11" x14ac:dyDescent="0.25">
      <c r="A269" s="8" t="s">
        <v>490</v>
      </c>
      <c r="B269" s="8" t="s">
        <v>45</v>
      </c>
      <c r="C269" s="8" t="s">
        <v>491</v>
      </c>
      <c r="D269" s="8">
        <v>1</v>
      </c>
      <c r="E269" s="8" t="s">
        <v>492</v>
      </c>
      <c r="F269" s="8" t="s">
        <v>62</v>
      </c>
      <c r="G269" s="8" t="s">
        <v>493</v>
      </c>
      <c r="H269" s="10">
        <v>8</v>
      </c>
      <c r="I269" s="10"/>
      <c r="J269" s="10">
        <v>8</v>
      </c>
      <c r="K269" s="10">
        <v>54120</v>
      </c>
    </row>
    <row r="270" spans="1:11" x14ac:dyDescent="0.25">
      <c r="A270" s="8" t="s">
        <v>494</v>
      </c>
      <c r="B270" s="8" t="s">
        <v>45</v>
      </c>
      <c r="C270" s="8" t="s">
        <v>491</v>
      </c>
      <c r="D270" s="8">
        <v>1</v>
      </c>
      <c r="E270" s="8" t="s">
        <v>495</v>
      </c>
      <c r="F270" s="8" t="s">
        <v>496</v>
      </c>
      <c r="G270" s="8" t="s">
        <v>493</v>
      </c>
      <c r="H270" s="10">
        <v>154</v>
      </c>
      <c r="I270" s="10"/>
      <c r="J270" s="10">
        <v>154</v>
      </c>
      <c r="K270" s="10">
        <v>2706</v>
      </c>
    </row>
    <row r="271" spans="1:11" x14ac:dyDescent="0.25">
      <c r="A271" s="8" t="s">
        <v>497</v>
      </c>
      <c r="B271" s="8" t="s">
        <v>45</v>
      </c>
      <c r="C271" s="8" t="s">
        <v>491</v>
      </c>
      <c r="D271" s="8">
        <v>1</v>
      </c>
      <c r="E271" s="8" t="s">
        <v>498</v>
      </c>
      <c r="F271" s="8" t="s">
        <v>62</v>
      </c>
      <c r="G271" s="8" t="s">
        <v>499</v>
      </c>
      <c r="H271" s="10">
        <v>16</v>
      </c>
      <c r="I271" s="10"/>
      <c r="J271" s="10">
        <v>16</v>
      </c>
      <c r="K271" s="10">
        <v>30260</v>
      </c>
    </row>
    <row r="272" spans="1:11" x14ac:dyDescent="0.25">
      <c r="A272" s="8" t="s">
        <v>500</v>
      </c>
      <c r="B272" s="8" t="s">
        <v>45</v>
      </c>
      <c r="C272" s="8" t="s">
        <v>491</v>
      </c>
      <c r="D272" s="8">
        <v>1</v>
      </c>
      <c r="E272" s="8" t="s">
        <v>501</v>
      </c>
      <c r="F272" s="8" t="s">
        <v>496</v>
      </c>
      <c r="G272" s="8" t="s">
        <v>499</v>
      </c>
      <c r="H272" s="10">
        <v>264</v>
      </c>
      <c r="I272" s="10"/>
      <c r="J272" s="10">
        <v>264</v>
      </c>
      <c r="K272" s="10">
        <v>1513</v>
      </c>
    </row>
    <row r="273" spans="1:11" x14ac:dyDescent="0.25">
      <c r="A273" s="8" t="s">
        <v>502</v>
      </c>
      <c r="B273" s="8" t="s">
        <v>45</v>
      </c>
      <c r="C273" s="8" t="s">
        <v>491</v>
      </c>
      <c r="D273" s="8">
        <v>1</v>
      </c>
      <c r="E273" s="8" t="s">
        <v>503</v>
      </c>
      <c r="F273" s="8" t="s">
        <v>62</v>
      </c>
      <c r="G273" s="8" t="s">
        <v>504</v>
      </c>
      <c r="H273" s="10">
        <v>18</v>
      </c>
      <c r="I273" s="10"/>
      <c r="J273" s="10">
        <v>18</v>
      </c>
      <c r="K273" s="10">
        <v>26020</v>
      </c>
    </row>
    <row r="274" spans="1:11" x14ac:dyDescent="0.25">
      <c r="A274" s="8" t="s">
        <v>505</v>
      </c>
      <c r="B274" s="8" t="s">
        <v>45</v>
      </c>
      <c r="C274" s="8" t="s">
        <v>491</v>
      </c>
      <c r="D274" s="8">
        <v>1</v>
      </c>
      <c r="E274" s="8" t="s">
        <v>506</v>
      </c>
      <c r="F274" s="8" t="s">
        <v>496</v>
      </c>
      <c r="G274" s="8" t="s">
        <v>504</v>
      </c>
      <c r="H274" s="10">
        <v>308</v>
      </c>
      <c r="I274" s="10"/>
      <c r="J274" s="10">
        <v>308</v>
      </c>
      <c r="K274" s="10">
        <v>1301</v>
      </c>
    </row>
    <row r="275" spans="1:11" x14ac:dyDescent="0.25">
      <c r="A275" s="8" t="s">
        <v>507</v>
      </c>
      <c r="B275" s="8" t="s">
        <v>45</v>
      </c>
      <c r="C275" s="8" t="s">
        <v>491</v>
      </c>
      <c r="D275" s="8">
        <v>1</v>
      </c>
      <c r="E275" s="8" t="s">
        <v>508</v>
      </c>
      <c r="F275" s="8" t="s">
        <v>62</v>
      </c>
      <c r="G275" s="8" t="s">
        <v>504</v>
      </c>
      <c r="H275" s="10">
        <v>9</v>
      </c>
      <c r="I275" s="10"/>
      <c r="J275" s="10">
        <v>9</v>
      </c>
      <c r="K275" s="10">
        <v>4480</v>
      </c>
    </row>
    <row r="276" spans="1:11" x14ac:dyDescent="0.25">
      <c r="A276" s="8" t="s">
        <v>509</v>
      </c>
      <c r="B276" s="8" t="s">
        <v>45</v>
      </c>
      <c r="C276" s="8" t="s">
        <v>491</v>
      </c>
      <c r="D276" s="8">
        <v>1</v>
      </c>
      <c r="E276" s="8" t="s">
        <v>510</v>
      </c>
      <c r="F276" s="8" t="s">
        <v>62</v>
      </c>
      <c r="G276" s="8" t="s">
        <v>504</v>
      </c>
      <c r="H276" s="10">
        <v>16</v>
      </c>
      <c r="I276" s="10"/>
      <c r="J276" s="10">
        <v>16</v>
      </c>
      <c r="K276" s="10">
        <v>10000</v>
      </c>
    </row>
    <row r="277" spans="1:11" x14ac:dyDescent="0.25">
      <c r="A277" s="8" t="s">
        <v>511</v>
      </c>
      <c r="B277" s="8" t="s">
        <v>45</v>
      </c>
      <c r="C277" s="8" t="s">
        <v>491</v>
      </c>
      <c r="D277" s="8">
        <v>1</v>
      </c>
      <c r="E277" s="8" t="s">
        <v>512</v>
      </c>
      <c r="F277" s="8" t="s">
        <v>62</v>
      </c>
      <c r="G277" s="8" t="s">
        <v>504</v>
      </c>
      <c r="H277" s="10">
        <v>8</v>
      </c>
      <c r="I277" s="10"/>
      <c r="J277" s="10">
        <v>8</v>
      </c>
      <c r="K277" s="10">
        <v>44540</v>
      </c>
    </row>
    <row r="278" spans="1:11" x14ac:dyDescent="0.25">
      <c r="A278" s="8" t="s">
        <v>513</v>
      </c>
      <c r="B278" s="8" t="s">
        <v>45</v>
      </c>
      <c r="C278" s="8" t="s">
        <v>514</v>
      </c>
      <c r="D278" s="8">
        <v>1</v>
      </c>
      <c r="E278" s="8" t="s">
        <v>515</v>
      </c>
      <c r="F278" s="8" t="s">
        <v>516</v>
      </c>
      <c r="G278" s="8" t="s">
        <v>517</v>
      </c>
      <c r="H278" s="10">
        <v>14000</v>
      </c>
      <c r="I278" s="10"/>
      <c r="J278" s="10">
        <v>14000</v>
      </c>
      <c r="K278" s="10">
        <v>0.27</v>
      </c>
    </row>
    <row r="279" spans="1:11" x14ac:dyDescent="0.25">
      <c r="A279" s="8" t="s">
        <v>518</v>
      </c>
      <c r="B279" s="8" t="s">
        <v>45</v>
      </c>
      <c r="C279" s="8" t="s">
        <v>514</v>
      </c>
      <c r="D279" s="8">
        <v>1</v>
      </c>
      <c r="E279" s="8" t="s">
        <v>519</v>
      </c>
      <c r="F279" s="8" t="s">
        <v>520</v>
      </c>
      <c r="G279" s="8" t="s">
        <v>517</v>
      </c>
      <c r="H279" s="10">
        <v>28000</v>
      </c>
      <c r="I279" s="10"/>
      <c r="J279" s="10">
        <v>28000</v>
      </c>
      <c r="K279" s="10">
        <v>6</v>
      </c>
    </row>
    <row r="280" spans="1:11" x14ac:dyDescent="0.25">
      <c r="A280" s="8" t="s">
        <v>521</v>
      </c>
      <c r="B280" s="8" t="s">
        <v>45</v>
      </c>
      <c r="C280" s="8" t="s">
        <v>522</v>
      </c>
      <c r="D280" s="8">
        <v>1</v>
      </c>
      <c r="E280" s="8" t="s">
        <v>523</v>
      </c>
      <c r="F280" s="8" t="s">
        <v>524</v>
      </c>
      <c r="G280" s="8" t="s">
        <v>525</v>
      </c>
      <c r="H280" s="10">
        <v>2600</v>
      </c>
      <c r="I280" s="10"/>
      <c r="J280" s="10">
        <v>2600</v>
      </c>
      <c r="K280" s="10">
        <v>37.700000000000003</v>
      </c>
    </row>
    <row r="281" spans="1:11" x14ac:dyDescent="0.25">
      <c r="A281" s="8" t="s">
        <v>526</v>
      </c>
      <c r="B281" s="8" t="s">
        <v>45</v>
      </c>
      <c r="C281" s="8" t="s">
        <v>522</v>
      </c>
      <c r="D281" s="8">
        <v>1</v>
      </c>
      <c r="E281" s="8" t="s">
        <v>527</v>
      </c>
      <c r="F281" s="8" t="s">
        <v>524</v>
      </c>
      <c r="G281" s="8" t="s">
        <v>525</v>
      </c>
      <c r="H281" s="10">
        <v>260</v>
      </c>
      <c r="I281" s="10"/>
      <c r="J281" s="10">
        <v>260</v>
      </c>
      <c r="K281" s="10">
        <v>46.3</v>
      </c>
    </row>
    <row r="282" spans="1:11" x14ac:dyDescent="0.25">
      <c r="A282" s="8" t="s">
        <v>528</v>
      </c>
      <c r="B282" s="8" t="s">
        <v>45</v>
      </c>
      <c r="C282" s="8" t="s">
        <v>522</v>
      </c>
      <c r="D282" s="8">
        <v>1</v>
      </c>
      <c r="E282" s="8" t="s">
        <v>529</v>
      </c>
      <c r="F282" s="8" t="s">
        <v>524</v>
      </c>
      <c r="G282" s="8" t="s">
        <v>525</v>
      </c>
      <c r="H282" s="10">
        <v>130</v>
      </c>
      <c r="I282" s="10"/>
      <c r="J282" s="10">
        <v>130</v>
      </c>
      <c r="K282" s="10">
        <v>54.9</v>
      </c>
    </row>
    <row r="283" spans="1:11" x14ac:dyDescent="0.25">
      <c r="A283" s="8" t="s">
        <v>530</v>
      </c>
      <c r="B283" s="8" t="s">
        <v>45</v>
      </c>
      <c r="C283" s="8" t="s">
        <v>522</v>
      </c>
      <c r="D283" s="8">
        <v>1</v>
      </c>
      <c r="E283" s="8" t="s">
        <v>531</v>
      </c>
      <c r="F283" s="8" t="s">
        <v>524</v>
      </c>
      <c r="G283" s="8" t="s">
        <v>525</v>
      </c>
      <c r="H283" s="10">
        <v>78</v>
      </c>
      <c r="I283" s="10"/>
      <c r="J283" s="10">
        <v>78</v>
      </c>
      <c r="K283" s="10">
        <v>44.1</v>
      </c>
    </row>
    <row r="284" spans="1:11" x14ac:dyDescent="0.25">
      <c r="A284" s="8" t="s">
        <v>532</v>
      </c>
      <c r="B284" s="8" t="s">
        <v>45</v>
      </c>
      <c r="C284" s="8" t="s">
        <v>522</v>
      </c>
      <c r="D284" s="8">
        <v>1</v>
      </c>
      <c r="E284" s="8" t="s">
        <v>533</v>
      </c>
      <c r="F284" s="8" t="s">
        <v>524</v>
      </c>
      <c r="G284" s="8" t="s">
        <v>525</v>
      </c>
      <c r="H284" s="10">
        <v>8</v>
      </c>
      <c r="I284" s="10"/>
      <c r="J284" s="10">
        <v>8</v>
      </c>
      <c r="K284" s="10">
        <v>73.099999999999994</v>
      </c>
    </row>
    <row r="285" spans="1:11" x14ac:dyDescent="0.25">
      <c r="A285" s="8" t="s">
        <v>534</v>
      </c>
      <c r="B285" s="8" t="s">
        <v>45</v>
      </c>
      <c r="C285" s="8" t="s">
        <v>522</v>
      </c>
      <c r="D285" s="8">
        <v>1</v>
      </c>
      <c r="E285" s="8" t="s">
        <v>535</v>
      </c>
      <c r="F285" s="8" t="s">
        <v>524</v>
      </c>
      <c r="G285" s="8" t="s">
        <v>525</v>
      </c>
      <c r="H285" s="10">
        <v>4</v>
      </c>
      <c r="I285" s="10"/>
      <c r="J285" s="10">
        <v>4</v>
      </c>
      <c r="K285" s="10">
        <v>85</v>
      </c>
    </row>
    <row r="286" spans="1:11" x14ac:dyDescent="0.25">
      <c r="A286" s="8" t="s">
        <v>536</v>
      </c>
      <c r="B286" s="8" t="s">
        <v>45</v>
      </c>
      <c r="C286" s="8" t="s">
        <v>522</v>
      </c>
      <c r="D286" s="8">
        <v>1</v>
      </c>
      <c r="E286" s="8" t="s">
        <v>537</v>
      </c>
      <c r="F286" s="8" t="s">
        <v>524</v>
      </c>
      <c r="G286" s="8" t="s">
        <v>525</v>
      </c>
      <c r="H286" s="10">
        <v>1300</v>
      </c>
      <c r="I286" s="10"/>
      <c r="J286" s="10">
        <v>1300</v>
      </c>
      <c r="K286" s="10">
        <v>78.900000000000006</v>
      </c>
    </row>
    <row r="287" spans="1:11" x14ac:dyDescent="0.25">
      <c r="A287" s="8" t="s">
        <v>538</v>
      </c>
      <c r="B287" s="8" t="s">
        <v>45</v>
      </c>
      <c r="C287" s="8" t="s">
        <v>522</v>
      </c>
      <c r="D287" s="8">
        <v>1</v>
      </c>
      <c r="E287" s="8" t="s">
        <v>539</v>
      </c>
      <c r="F287" s="8" t="s">
        <v>524</v>
      </c>
      <c r="G287" s="8" t="s">
        <v>525</v>
      </c>
      <c r="H287" s="10">
        <v>130</v>
      </c>
      <c r="I287" s="10"/>
      <c r="J287" s="10">
        <v>130</v>
      </c>
      <c r="K287" s="10">
        <v>106.8</v>
      </c>
    </row>
    <row r="288" spans="1:11" x14ac:dyDescent="0.25">
      <c r="A288" s="8" t="s">
        <v>540</v>
      </c>
      <c r="B288" s="8" t="s">
        <v>45</v>
      </c>
      <c r="C288" s="8" t="s">
        <v>522</v>
      </c>
      <c r="D288" s="8">
        <v>1</v>
      </c>
      <c r="E288" s="8" t="s">
        <v>541</v>
      </c>
      <c r="F288" s="8" t="s">
        <v>524</v>
      </c>
      <c r="G288" s="8" t="s">
        <v>525</v>
      </c>
      <c r="H288" s="10">
        <v>65</v>
      </c>
      <c r="I288" s="10"/>
      <c r="J288" s="10">
        <v>65</v>
      </c>
      <c r="K288" s="10">
        <v>134.69999999999999</v>
      </c>
    </row>
    <row r="289" spans="1:11" x14ac:dyDescent="0.25">
      <c r="A289" s="8" t="s">
        <v>542</v>
      </c>
      <c r="B289" s="8" t="s">
        <v>45</v>
      </c>
      <c r="C289" s="8" t="s">
        <v>522</v>
      </c>
      <c r="D289" s="8">
        <v>1</v>
      </c>
      <c r="E289" s="8" t="s">
        <v>543</v>
      </c>
      <c r="F289" s="8" t="s">
        <v>524</v>
      </c>
      <c r="G289" s="8" t="s">
        <v>525</v>
      </c>
      <c r="H289" s="10">
        <v>39</v>
      </c>
      <c r="I289" s="10"/>
      <c r="J289" s="10">
        <v>39</v>
      </c>
      <c r="K289" s="10">
        <v>99.6</v>
      </c>
    </row>
    <row r="290" spans="1:11" x14ac:dyDescent="0.25">
      <c r="A290" s="8" t="s">
        <v>544</v>
      </c>
      <c r="B290" s="8" t="s">
        <v>45</v>
      </c>
      <c r="C290" s="8" t="s">
        <v>522</v>
      </c>
      <c r="D290" s="8">
        <v>1</v>
      </c>
      <c r="E290" s="8" t="s">
        <v>545</v>
      </c>
      <c r="F290" s="8" t="s">
        <v>524</v>
      </c>
      <c r="G290" s="8" t="s">
        <v>525</v>
      </c>
      <c r="H290" s="10">
        <v>8</v>
      </c>
      <c r="I290" s="10"/>
      <c r="J290" s="10">
        <v>8</v>
      </c>
      <c r="K290" s="10">
        <v>193.6</v>
      </c>
    </row>
    <row r="291" spans="1:11" x14ac:dyDescent="0.25">
      <c r="A291" s="8" t="s">
        <v>546</v>
      </c>
      <c r="B291" s="8" t="s">
        <v>45</v>
      </c>
      <c r="C291" s="8" t="s">
        <v>522</v>
      </c>
      <c r="D291" s="8">
        <v>1</v>
      </c>
      <c r="E291" s="8" t="s">
        <v>547</v>
      </c>
      <c r="F291" s="8" t="s">
        <v>524</v>
      </c>
      <c r="G291" s="8" t="s">
        <v>525</v>
      </c>
      <c r="H291" s="10">
        <v>4</v>
      </c>
      <c r="I291" s="10"/>
      <c r="J291" s="10">
        <v>4</v>
      </c>
      <c r="K291" s="10">
        <v>231.9</v>
      </c>
    </row>
    <row r="292" spans="1:11" x14ac:dyDescent="0.25">
      <c r="A292" s="8" t="s">
        <v>548</v>
      </c>
      <c r="B292" s="8" t="s">
        <v>45</v>
      </c>
      <c r="C292" s="8" t="s">
        <v>522</v>
      </c>
      <c r="D292" s="8">
        <v>1</v>
      </c>
      <c r="E292" s="8" t="s">
        <v>549</v>
      </c>
      <c r="F292" s="8" t="s">
        <v>524</v>
      </c>
      <c r="G292" s="8" t="s">
        <v>525</v>
      </c>
      <c r="H292" s="10">
        <v>3900</v>
      </c>
      <c r="I292" s="10"/>
      <c r="J292" s="10">
        <v>3900</v>
      </c>
      <c r="K292" s="10">
        <v>37.700000000000003</v>
      </c>
    </row>
    <row r="293" spans="1:11" x14ac:dyDescent="0.25">
      <c r="A293" s="8" t="s">
        <v>550</v>
      </c>
      <c r="B293" s="8" t="s">
        <v>45</v>
      </c>
      <c r="C293" s="8" t="s">
        <v>522</v>
      </c>
      <c r="D293" s="8">
        <v>1</v>
      </c>
      <c r="E293" s="8" t="s">
        <v>551</v>
      </c>
      <c r="F293" s="8" t="s">
        <v>524</v>
      </c>
      <c r="G293" s="8" t="s">
        <v>525</v>
      </c>
      <c r="H293" s="10">
        <v>390</v>
      </c>
      <c r="I293" s="10"/>
      <c r="J293" s="10">
        <v>390</v>
      </c>
      <c r="K293" s="10">
        <v>46.3</v>
      </c>
    </row>
    <row r="294" spans="1:11" x14ac:dyDescent="0.25">
      <c r="A294" s="8" t="s">
        <v>552</v>
      </c>
      <c r="B294" s="8" t="s">
        <v>45</v>
      </c>
      <c r="C294" s="8" t="s">
        <v>522</v>
      </c>
      <c r="D294" s="8">
        <v>1</v>
      </c>
      <c r="E294" s="8" t="s">
        <v>553</v>
      </c>
      <c r="F294" s="8" t="s">
        <v>524</v>
      </c>
      <c r="G294" s="8" t="s">
        <v>525</v>
      </c>
      <c r="H294" s="10">
        <v>195</v>
      </c>
      <c r="I294" s="10"/>
      <c r="J294" s="10">
        <v>195</v>
      </c>
      <c r="K294" s="10">
        <v>54.9</v>
      </c>
    </row>
    <row r="295" spans="1:11" x14ac:dyDescent="0.25">
      <c r="A295" s="8" t="s">
        <v>554</v>
      </c>
      <c r="B295" s="8" t="s">
        <v>45</v>
      </c>
      <c r="C295" s="8" t="s">
        <v>522</v>
      </c>
      <c r="D295" s="8">
        <v>1</v>
      </c>
      <c r="E295" s="8" t="s">
        <v>555</v>
      </c>
      <c r="F295" s="8" t="s">
        <v>524</v>
      </c>
      <c r="G295" s="8" t="s">
        <v>525</v>
      </c>
      <c r="H295" s="10">
        <v>117</v>
      </c>
      <c r="I295" s="10"/>
      <c r="J295" s="10">
        <v>117</v>
      </c>
      <c r="K295" s="10">
        <v>44.1</v>
      </c>
    </row>
    <row r="296" spans="1:11" x14ac:dyDescent="0.25">
      <c r="A296" s="8" t="s">
        <v>556</v>
      </c>
      <c r="B296" s="8" t="s">
        <v>45</v>
      </c>
      <c r="C296" s="8" t="s">
        <v>522</v>
      </c>
      <c r="D296" s="8">
        <v>1</v>
      </c>
      <c r="E296" s="8" t="s">
        <v>557</v>
      </c>
      <c r="F296" s="8" t="s">
        <v>524</v>
      </c>
      <c r="G296" s="8" t="s">
        <v>525</v>
      </c>
      <c r="H296" s="10">
        <v>12</v>
      </c>
      <c r="I296" s="10"/>
      <c r="J296" s="10">
        <v>12</v>
      </c>
      <c r="K296" s="10">
        <v>73.099999999999994</v>
      </c>
    </row>
    <row r="297" spans="1:11" x14ac:dyDescent="0.25">
      <c r="A297" s="8" t="s">
        <v>558</v>
      </c>
      <c r="B297" s="8" t="s">
        <v>45</v>
      </c>
      <c r="C297" s="8" t="s">
        <v>522</v>
      </c>
      <c r="D297" s="8">
        <v>1</v>
      </c>
      <c r="E297" s="8" t="s">
        <v>559</v>
      </c>
      <c r="F297" s="8" t="s">
        <v>524</v>
      </c>
      <c r="G297" s="8" t="s">
        <v>525</v>
      </c>
      <c r="H297" s="10">
        <v>6</v>
      </c>
      <c r="I297" s="10"/>
      <c r="J297" s="10">
        <v>6</v>
      </c>
      <c r="K297" s="10">
        <v>85</v>
      </c>
    </row>
    <row r="298" spans="1:11" x14ac:dyDescent="0.25">
      <c r="A298" s="8" t="s">
        <v>560</v>
      </c>
      <c r="B298" s="8" t="s">
        <v>45</v>
      </c>
      <c r="C298" s="8" t="s">
        <v>522</v>
      </c>
      <c r="D298" s="8">
        <v>1</v>
      </c>
      <c r="E298" s="8" t="s">
        <v>561</v>
      </c>
      <c r="F298" s="8" t="s">
        <v>524</v>
      </c>
      <c r="G298" s="8" t="s">
        <v>525</v>
      </c>
      <c r="H298" s="10">
        <v>10800</v>
      </c>
      <c r="I298" s="10"/>
      <c r="J298" s="10">
        <v>10800</v>
      </c>
      <c r="K298" s="10">
        <v>37.700000000000003</v>
      </c>
    </row>
    <row r="299" spans="1:11" x14ac:dyDescent="0.25">
      <c r="A299" s="8" t="s">
        <v>562</v>
      </c>
      <c r="B299" s="8" t="s">
        <v>45</v>
      </c>
      <c r="C299" s="8" t="s">
        <v>522</v>
      </c>
      <c r="D299" s="8">
        <v>1</v>
      </c>
      <c r="E299" s="8" t="s">
        <v>563</v>
      </c>
      <c r="F299" s="8" t="s">
        <v>524</v>
      </c>
      <c r="G299" s="8" t="s">
        <v>525</v>
      </c>
      <c r="H299" s="10">
        <v>1080</v>
      </c>
      <c r="I299" s="10"/>
      <c r="J299" s="10">
        <v>1080</v>
      </c>
      <c r="K299" s="10">
        <v>46.3</v>
      </c>
    </row>
    <row r="300" spans="1:11" x14ac:dyDescent="0.25">
      <c r="A300" s="8" t="s">
        <v>564</v>
      </c>
      <c r="B300" s="8" t="s">
        <v>45</v>
      </c>
      <c r="C300" s="8" t="s">
        <v>522</v>
      </c>
      <c r="D300" s="8">
        <v>1</v>
      </c>
      <c r="E300" s="8" t="s">
        <v>565</v>
      </c>
      <c r="F300" s="8" t="s">
        <v>524</v>
      </c>
      <c r="G300" s="8" t="s">
        <v>525</v>
      </c>
      <c r="H300" s="10">
        <v>540</v>
      </c>
      <c r="I300" s="10"/>
      <c r="J300" s="10">
        <v>540</v>
      </c>
      <c r="K300" s="10">
        <v>54.9</v>
      </c>
    </row>
    <row r="301" spans="1:11" x14ac:dyDescent="0.25">
      <c r="A301" s="8" t="s">
        <v>566</v>
      </c>
      <c r="B301" s="8" t="s">
        <v>45</v>
      </c>
      <c r="C301" s="8" t="s">
        <v>522</v>
      </c>
      <c r="D301" s="8">
        <v>1</v>
      </c>
      <c r="E301" s="8" t="s">
        <v>567</v>
      </c>
      <c r="F301" s="8" t="s">
        <v>524</v>
      </c>
      <c r="G301" s="8" t="s">
        <v>525</v>
      </c>
      <c r="H301" s="10">
        <v>324</v>
      </c>
      <c r="I301" s="10"/>
      <c r="J301" s="10">
        <v>324</v>
      </c>
      <c r="K301" s="10">
        <v>44.1</v>
      </c>
    </row>
    <row r="302" spans="1:11" x14ac:dyDescent="0.25">
      <c r="A302" s="8" t="s">
        <v>568</v>
      </c>
      <c r="B302" s="8" t="s">
        <v>45</v>
      </c>
      <c r="C302" s="8" t="s">
        <v>522</v>
      </c>
      <c r="D302" s="8">
        <v>1</v>
      </c>
      <c r="E302" s="8" t="s">
        <v>569</v>
      </c>
      <c r="F302" s="8" t="s">
        <v>524</v>
      </c>
      <c r="G302" s="8" t="s">
        <v>525</v>
      </c>
      <c r="H302" s="10">
        <v>32</v>
      </c>
      <c r="I302" s="10"/>
      <c r="J302" s="10">
        <v>32</v>
      </c>
      <c r="K302" s="10">
        <v>73.099999999999994</v>
      </c>
    </row>
    <row r="303" spans="1:11" x14ac:dyDescent="0.25">
      <c r="A303" s="8" t="s">
        <v>570</v>
      </c>
      <c r="B303" s="8" t="s">
        <v>45</v>
      </c>
      <c r="C303" s="8" t="s">
        <v>522</v>
      </c>
      <c r="D303" s="8">
        <v>1</v>
      </c>
      <c r="E303" s="8" t="s">
        <v>571</v>
      </c>
      <c r="F303" s="8" t="s">
        <v>524</v>
      </c>
      <c r="G303" s="8" t="s">
        <v>525</v>
      </c>
      <c r="H303" s="10">
        <v>16</v>
      </c>
      <c r="I303" s="10"/>
      <c r="J303" s="10">
        <v>16</v>
      </c>
      <c r="K303" s="10">
        <v>85</v>
      </c>
    </row>
    <row r="304" spans="1:11" x14ac:dyDescent="0.25">
      <c r="A304" s="8" t="s">
        <v>572</v>
      </c>
      <c r="B304" s="8" t="s">
        <v>45</v>
      </c>
      <c r="C304" s="8" t="s">
        <v>522</v>
      </c>
      <c r="D304" s="8">
        <v>1</v>
      </c>
      <c r="E304" s="8" t="s">
        <v>573</v>
      </c>
      <c r="F304" s="8" t="s">
        <v>524</v>
      </c>
      <c r="G304" s="8" t="s">
        <v>525</v>
      </c>
      <c r="H304" s="10">
        <v>7200</v>
      </c>
      <c r="I304" s="10"/>
      <c r="J304" s="10">
        <v>7200</v>
      </c>
      <c r="K304" s="10">
        <v>41.2</v>
      </c>
    </row>
    <row r="305" spans="1:11" x14ac:dyDescent="0.25">
      <c r="A305" s="8" t="s">
        <v>574</v>
      </c>
      <c r="B305" s="8" t="s">
        <v>45</v>
      </c>
      <c r="C305" s="8" t="s">
        <v>522</v>
      </c>
      <c r="D305" s="8">
        <v>1</v>
      </c>
      <c r="E305" s="8" t="s">
        <v>575</v>
      </c>
      <c r="F305" s="8" t="s">
        <v>524</v>
      </c>
      <c r="G305" s="8" t="s">
        <v>525</v>
      </c>
      <c r="H305" s="10">
        <v>720</v>
      </c>
      <c r="I305" s="10"/>
      <c r="J305" s="10">
        <v>720</v>
      </c>
      <c r="K305" s="10">
        <v>51.5</v>
      </c>
    </row>
    <row r="306" spans="1:11" x14ac:dyDescent="0.25">
      <c r="A306" s="8" t="s">
        <v>576</v>
      </c>
      <c r="B306" s="8" t="s">
        <v>45</v>
      </c>
      <c r="C306" s="8" t="s">
        <v>522</v>
      </c>
      <c r="D306" s="8">
        <v>1</v>
      </c>
      <c r="E306" s="8" t="s">
        <v>577</v>
      </c>
      <c r="F306" s="8" t="s">
        <v>524</v>
      </c>
      <c r="G306" s="8" t="s">
        <v>525</v>
      </c>
      <c r="H306" s="10">
        <v>360</v>
      </c>
      <c r="I306" s="10"/>
      <c r="J306" s="10">
        <v>360</v>
      </c>
      <c r="K306" s="10">
        <v>61.8</v>
      </c>
    </row>
    <row r="307" spans="1:11" x14ac:dyDescent="0.25">
      <c r="A307" s="8" t="s">
        <v>578</v>
      </c>
      <c r="B307" s="8" t="s">
        <v>45</v>
      </c>
      <c r="C307" s="8" t="s">
        <v>522</v>
      </c>
      <c r="D307" s="8">
        <v>1</v>
      </c>
      <c r="E307" s="8" t="s">
        <v>579</v>
      </c>
      <c r="F307" s="8" t="s">
        <v>524</v>
      </c>
      <c r="G307" s="8" t="s">
        <v>525</v>
      </c>
      <c r="H307" s="10">
        <v>216</v>
      </c>
      <c r="I307" s="10"/>
      <c r="J307" s="10">
        <v>216</v>
      </c>
      <c r="K307" s="10">
        <v>48.9</v>
      </c>
    </row>
    <row r="308" spans="1:11" x14ac:dyDescent="0.25">
      <c r="A308" s="8" t="s">
        <v>580</v>
      </c>
      <c r="B308" s="8" t="s">
        <v>45</v>
      </c>
      <c r="C308" s="8" t="s">
        <v>522</v>
      </c>
      <c r="D308" s="8">
        <v>1</v>
      </c>
      <c r="E308" s="8" t="s">
        <v>581</v>
      </c>
      <c r="F308" s="8" t="s">
        <v>524</v>
      </c>
      <c r="G308" s="8" t="s">
        <v>525</v>
      </c>
      <c r="H308" s="10">
        <v>22</v>
      </c>
      <c r="I308" s="10"/>
      <c r="J308" s="10">
        <v>22</v>
      </c>
      <c r="K308" s="10">
        <v>83.6</v>
      </c>
    </row>
    <row r="309" spans="1:11" x14ac:dyDescent="0.25">
      <c r="A309" s="8" t="s">
        <v>582</v>
      </c>
      <c r="B309" s="8" t="s">
        <v>45</v>
      </c>
      <c r="C309" s="8" t="s">
        <v>522</v>
      </c>
      <c r="D309" s="8">
        <v>1</v>
      </c>
      <c r="E309" s="8" t="s">
        <v>583</v>
      </c>
      <c r="F309" s="8" t="s">
        <v>524</v>
      </c>
      <c r="G309" s="8" t="s">
        <v>525</v>
      </c>
      <c r="H309" s="10">
        <v>12</v>
      </c>
      <c r="I309" s="10"/>
      <c r="J309" s="10">
        <v>12</v>
      </c>
      <c r="K309" s="10">
        <v>97.7</v>
      </c>
    </row>
    <row r="310" spans="1:11" x14ac:dyDescent="0.25">
      <c r="A310" s="8" t="s">
        <v>584</v>
      </c>
      <c r="B310" s="8" t="s">
        <v>45</v>
      </c>
      <c r="C310" s="8" t="s">
        <v>522</v>
      </c>
      <c r="D310" s="8">
        <v>1</v>
      </c>
      <c r="E310" s="8" t="s">
        <v>585</v>
      </c>
      <c r="F310" s="8" t="s">
        <v>524</v>
      </c>
      <c r="G310" s="8" t="s">
        <v>525</v>
      </c>
      <c r="H310" s="10">
        <v>2600</v>
      </c>
      <c r="I310" s="10"/>
      <c r="J310" s="10">
        <v>2600</v>
      </c>
      <c r="K310" s="10">
        <v>41.2</v>
      </c>
    </row>
    <row r="311" spans="1:11" x14ac:dyDescent="0.25">
      <c r="A311" s="8" t="s">
        <v>586</v>
      </c>
      <c r="B311" s="8" t="s">
        <v>45</v>
      </c>
      <c r="C311" s="8" t="s">
        <v>522</v>
      </c>
      <c r="D311" s="8">
        <v>1</v>
      </c>
      <c r="E311" s="8" t="s">
        <v>587</v>
      </c>
      <c r="F311" s="8" t="s">
        <v>524</v>
      </c>
      <c r="G311" s="8" t="s">
        <v>525</v>
      </c>
      <c r="H311" s="10">
        <v>260</v>
      </c>
      <c r="I311" s="10"/>
      <c r="J311" s="10">
        <v>260</v>
      </c>
      <c r="K311" s="10">
        <v>51.5</v>
      </c>
    </row>
    <row r="312" spans="1:11" x14ac:dyDescent="0.25">
      <c r="A312" s="8" t="s">
        <v>588</v>
      </c>
      <c r="B312" s="8" t="s">
        <v>45</v>
      </c>
      <c r="C312" s="8" t="s">
        <v>522</v>
      </c>
      <c r="D312" s="8">
        <v>1</v>
      </c>
      <c r="E312" s="8" t="s">
        <v>589</v>
      </c>
      <c r="F312" s="8" t="s">
        <v>524</v>
      </c>
      <c r="G312" s="8" t="s">
        <v>525</v>
      </c>
      <c r="H312" s="10">
        <v>130</v>
      </c>
      <c r="I312" s="10"/>
      <c r="J312" s="10">
        <v>130</v>
      </c>
      <c r="K312" s="10">
        <v>61.8</v>
      </c>
    </row>
    <row r="313" spans="1:11" x14ac:dyDescent="0.25">
      <c r="A313" s="8" t="s">
        <v>590</v>
      </c>
      <c r="B313" s="8" t="s">
        <v>45</v>
      </c>
      <c r="C313" s="8" t="s">
        <v>522</v>
      </c>
      <c r="D313" s="8">
        <v>1</v>
      </c>
      <c r="E313" s="8" t="s">
        <v>591</v>
      </c>
      <c r="F313" s="8" t="s">
        <v>524</v>
      </c>
      <c r="G313" s="8" t="s">
        <v>525</v>
      </c>
      <c r="H313" s="10">
        <v>78</v>
      </c>
      <c r="I313" s="10"/>
      <c r="J313" s="10">
        <v>78</v>
      </c>
      <c r="K313" s="10">
        <v>48.9</v>
      </c>
    </row>
    <row r="314" spans="1:11" x14ac:dyDescent="0.25">
      <c r="A314" s="8" t="s">
        <v>592</v>
      </c>
      <c r="B314" s="8" t="s">
        <v>45</v>
      </c>
      <c r="C314" s="8" t="s">
        <v>522</v>
      </c>
      <c r="D314" s="8">
        <v>1</v>
      </c>
      <c r="E314" s="8" t="s">
        <v>593</v>
      </c>
      <c r="F314" s="8" t="s">
        <v>524</v>
      </c>
      <c r="G314" s="8" t="s">
        <v>525</v>
      </c>
      <c r="H314" s="10">
        <v>8</v>
      </c>
      <c r="I314" s="10"/>
      <c r="J314" s="10">
        <v>8</v>
      </c>
      <c r="K314" s="10">
        <v>83.6</v>
      </c>
    </row>
    <row r="315" spans="1:11" x14ac:dyDescent="0.25">
      <c r="A315" s="8" t="s">
        <v>594</v>
      </c>
      <c r="B315" s="8" t="s">
        <v>45</v>
      </c>
      <c r="C315" s="8" t="s">
        <v>522</v>
      </c>
      <c r="D315" s="8">
        <v>1</v>
      </c>
      <c r="E315" s="8" t="s">
        <v>595</v>
      </c>
      <c r="F315" s="8" t="s">
        <v>524</v>
      </c>
      <c r="G315" s="8" t="s">
        <v>525</v>
      </c>
      <c r="H315" s="10">
        <v>4</v>
      </c>
      <c r="I315" s="10"/>
      <c r="J315" s="10">
        <v>4</v>
      </c>
      <c r="K315" s="10">
        <v>97.7</v>
      </c>
    </row>
    <row r="316" spans="1:11" x14ac:dyDescent="0.25">
      <c r="A316" s="8" t="s">
        <v>596</v>
      </c>
      <c r="B316" s="8" t="s">
        <v>45</v>
      </c>
      <c r="C316" s="8" t="s">
        <v>522</v>
      </c>
      <c r="D316" s="8">
        <v>1</v>
      </c>
      <c r="E316" s="8" t="s">
        <v>597</v>
      </c>
      <c r="F316" s="8" t="s">
        <v>524</v>
      </c>
      <c r="G316" s="8" t="s">
        <v>525</v>
      </c>
      <c r="H316" s="10">
        <v>3600</v>
      </c>
      <c r="I316" s="10"/>
      <c r="J316" s="10">
        <v>3600</v>
      </c>
      <c r="K316" s="10">
        <v>41.2</v>
      </c>
    </row>
    <row r="317" spans="1:11" x14ac:dyDescent="0.25">
      <c r="A317" s="8" t="s">
        <v>598</v>
      </c>
      <c r="B317" s="8" t="s">
        <v>45</v>
      </c>
      <c r="C317" s="8" t="s">
        <v>522</v>
      </c>
      <c r="D317" s="8">
        <v>1</v>
      </c>
      <c r="E317" s="8" t="s">
        <v>599</v>
      </c>
      <c r="F317" s="8" t="s">
        <v>524</v>
      </c>
      <c r="G317" s="8" t="s">
        <v>525</v>
      </c>
      <c r="H317" s="10">
        <v>360</v>
      </c>
      <c r="I317" s="10"/>
      <c r="J317" s="10">
        <v>360</v>
      </c>
      <c r="K317" s="10">
        <v>51.5</v>
      </c>
    </row>
    <row r="318" spans="1:11" x14ac:dyDescent="0.25">
      <c r="A318" s="8" t="s">
        <v>600</v>
      </c>
      <c r="B318" s="8" t="s">
        <v>45</v>
      </c>
      <c r="C318" s="8" t="s">
        <v>522</v>
      </c>
      <c r="D318" s="8">
        <v>1</v>
      </c>
      <c r="E318" s="8" t="s">
        <v>601</v>
      </c>
      <c r="F318" s="8" t="s">
        <v>524</v>
      </c>
      <c r="G318" s="8" t="s">
        <v>525</v>
      </c>
      <c r="H318" s="10">
        <v>180</v>
      </c>
      <c r="I318" s="10"/>
      <c r="J318" s="10">
        <v>180</v>
      </c>
      <c r="K318" s="10">
        <v>61.8</v>
      </c>
    </row>
    <row r="319" spans="1:11" x14ac:dyDescent="0.25">
      <c r="A319" s="8" t="s">
        <v>602</v>
      </c>
      <c r="B319" s="8" t="s">
        <v>45</v>
      </c>
      <c r="C319" s="8" t="s">
        <v>522</v>
      </c>
      <c r="D319" s="8">
        <v>1</v>
      </c>
      <c r="E319" s="8" t="s">
        <v>603</v>
      </c>
      <c r="F319" s="8" t="s">
        <v>524</v>
      </c>
      <c r="G319" s="8" t="s">
        <v>525</v>
      </c>
      <c r="H319" s="10">
        <v>108</v>
      </c>
      <c r="I319" s="10"/>
      <c r="J319" s="10">
        <v>108</v>
      </c>
      <c r="K319" s="10">
        <v>48.9</v>
      </c>
    </row>
    <row r="320" spans="1:11" x14ac:dyDescent="0.25">
      <c r="A320" s="8" t="s">
        <v>604</v>
      </c>
      <c r="B320" s="8" t="s">
        <v>45</v>
      </c>
      <c r="C320" s="8" t="s">
        <v>522</v>
      </c>
      <c r="D320" s="8">
        <v>1</v>
      </c>
      <c r="E320" s="8" t="s">
        <v>605</v>
      </c>
      <c r="F320" s="8" t="s">
        <v>524</v>
      </c>
      <c r="G320" s="8" t="s">
        <v>525</v>
      </c>
      <c r="H320" s="10">
        <v>11</v>
      </c>
      <c r="I320" s="10"/>
      <c r="J320" s="10">
        <v>11</v>
      </c>
      <c r="K320" s="10">
        <v>83.6</v>
      </c>
    </row>
    <row r="321" spans="1:11" x14ac:dyDescent="0.25">
      <c r="A321" s="8" t="s">
        <v>606</v>
      </c>
      <c r="B321" s="8" t="s">
        <v>45</v>
      </c>
      <c r="C321" s="8" t="s">
        <v>522</v>
      </c>
      <c r="D321" s="8">
        <v>1</v>
      </c>
      <c r="E321" s="8" t="s">
        <v>607</v>
      </c>
      <c r="F321" s="8" t="s">
        <v>524</v>
      </c>
      <c r="G321" s="8" t="s">
        <v>525</v>
      </c>
      <c r="H321" s="10">
        <v>6</v>
      </c>
      <c r="I321" s="10"/>
      <c r="J321" s="10">
        <v>6</v>
      </c>
      <c r="K321" s="10">
        <v>97.7</v>
      </c>
    </row>
    <row r="322" spans="1:11" x14ac:dyDescent="0.25">
      <c r="A322" s="8" t="s">
        <v>608</v>
      </c>
      <c r="B322" s="8" t="s">
        <v>45</v>
      </c>
      <c r="C322" s="8" t="s">
        <v>522</v>
      </c>
      <c r="D322" s="8">
        <v>1</v>
      </c>
      <c r="E322" s="8" t="s">
        <v>609</v>
      </c>
      <c r="F322" s="8" t="s">
        <v>524</v>
      </c>
      <c r="G322" s="8" t="s">
        <v>525</v>
      </c>
      <c r="H322" s="10">
        <v>7200</v>
      </c>
      <c r="I322" s="10"/>
      <c r="J322" s="10">
        <v>7200</v>
      </c>
      <c r="K322" s="10">
        <v>41.2</v>
      </c>
    </row>
    <row r="323" spans="1:11" x14ac:dyDescent="0.25">
      <c r="A323" s="8" t="s">
        <v>610</v>
      </c>
      <c r="B323" s="8" t="s">
        <v>45</v>
      </c>
      <c r="C323" s="8" t="s">
        <v>522</v>
      </c>
      <c r="D323" s="8">
        <v>1</v>
      </c>
      <c r="E323" s="8" t="s">
        <v>611</v>
      </c>
      <c r="F323" s="8" t="s">
        <v>524</v>
      </c>
      <c r="G323" s="8" t="s">
        <v>525</v>
      </c>
      <c r="H323" s="10">
        <v>720</v>
      </c>
      <c r="I323" s="10"/>
      <c r="J323" s="10">
        <v>720</v>
      </c>
      <c r="K323" s="10">
        <v>51.5</v>
      </c>
    </row>
    <row r="324" spans="1:11" x14ac:dyDescent="0.25">
      <c r="A324" s="8" t="s">
        <v>612</v>
      </c>
      <c r="B324" s="8" t="s">
        <v>45</v>
      </c>
      <c r="C324" s="8" t="s">
        <v>522</v>
      </c>
      <c r="D324" s="8">
        <v>1</v>
      </c>
      <c r="E324" s="8" t="s">
        <v>613</v>
      </c>
      <c r="F324" s="8" t="s">
        <v>524</v>
      </c>
      <c r="G324" s="8" t="s">
        <v>525</v>
      </c>
      <c r="H324" s="10">
        <v>360</v>
      </c>
      <c r="I324" s="10"/>
      <c r="J324" s="10">
        <v>360</v>
      </c>
      <c r="K324" s="10">
        <v>61.8</v>
      </c>
    </row>
    <row r="325" spans="1:11" x14ac:dyDescent="0.25">
      <c r="A325" s="8" t="s">
        <v>614</v>
      </c>
      <c r="B325" s="8" t="s">
        <v>45</v>
      </c>
      <c r="C325" s="8" t="s">
        <v>522</v>
      </c>
      <c r="D325" s="8">
        <v>1</v>
      </c>
      <c r="E325" s="8" t="s">
        <v>615</v>
      </c>
      <c r="F325" s="8" t="s">
        <v>524</v>
      </c>
      <c r="G325" s="8" t="s">
        <v>525</v>
      </c>
      <c r="H325" s="10">
        <v>216</v>
      </c>
      <c r="I325" s="10"/>
      <c r="J325" s="10">
        <v>216</v>
      </c>
      <c r="K325" s="10">
        <v>48.9</v>
      </c>
    </row>
    <row r="326" spans="1:11" x14ac:dyDescent="0.25">
      <c r="A326" s="8" t="s">
        <v>616</v>
      </c>
      <c r="B326" s="8" t="s">
        <v>45</v>
      </c>
      <c r="C326" s="8" t="s">
        <v>522</v>
      </c>
      <c r="D326" s="8">
        <v>1</v>
      </c>
      <c r="E326" s="8" t="s">
        <v>617</v>
      </c>
      <c r="F326" s="8" t="s">
        <v>524</v>
      </c>
      <c r="G326" s="8" t="s">
        <v>525</v>
      </c>
      <c r="H326" s="10">
        <v>22</v>
      </c>
      <c r="I326" s="10"/>
      <c r="J326" s="10">
        <v>22</v>
      </c>
      <c r="K326" s="10">
        <v>83.6</v>
      </c>
    </row>
    <row r="327" spans="1:11" x14ac:dyDescent="0.25">
      <c r="A327" s="8" t="s">
        <v>618</v>
      </c>
      <c r="B327" s="8" t="s">
        <v>45</v>
      </c>
      <c r="C327" s="8" t="s">
        <v>522</v>
      </c>
      <c r="D327" s="8">
        <v>1</v>
      </c>
      <c r="E327" s="8" t="s">
        <v>619</v>
      </c>
      <c r="F327" s="8" t="s">
        <v>524</v>
      </c>
      <c r="G327" s="8" t="s">
        <v>525</v>
      </c>
      <c r="H327" s="10">
        <v>12</v>
      </c>
      <c r="I327" s="10"/>
      <c r="J327" s="10">
        <v>12</v>
      </c>
      <c r="K327" s="10">
        <v>97.7</v>
      </c>
    </row>
    <row r="328" spans="1:11" x14ac:dyDescent="0.25">
      <c r="A328" s="8" t="s">
        <v>620</v>
      </c>
      <c r="B328" s="8" t="s">
        <v>45</v>
      </c>
      <c r="C328" s="8" t="s">
        <v>522</v>
      </c>
      <c r="D328" s="8">
        <v>1</v>
      </c>
      <c r="E328" s="8" t="s">
        <v>621</v>
      </c>
      <c r="F328" s="8" t="s">
        <v>524</v>
      </c>
      <c r="G328" s="8" t="s">
        <v>525</v>
      </c>
      <c r="H328" s="10">
        <v>5200</v>
      </c>
      <c r="I328" s="10"/>
      <c r="J328" s="10">
        <v>5200</v>
      </c>
      <c r="K328" s="10">
        <v>40.1</v>
      </c>
    </row>
    <row r="329" spans="1:11" x14ac:dyDescent="0.25">
      <c r="A329" s="8" t="s">
        <v>622</v>
      </c>
      <c r="B329" s="8" t="s">
        <v>45</v>
      </c>
      <c r="C329" s="8" t="s">
        <v>522</v>
      </c>
      <c r="D329" s="8">
        <v>1</v>
      </c>
      <c r="E329" s="8" t="s">
        <v>623</v>
      </c>
      <c r="F329" s="8" t="s">
        <v>524</v>
      </c>
      <c r="G329" s="8" t="s">
        <v>525</v>
      </c>
      <c r="H329" s="10">
        <v>520</v>
      </c>
      <c r="I329" s="10"/>
      <c r="J329" s="10">
        <v>520</v>
      </c>
      <c r="K329" s="10">
        <v>49.8</v>
      </c>
    </row>
    <row r="330" spans="1:11" x14ac:dyDescent="0.25">
      <c r="A330" s="8" t="s">
        <v>624</v>
      </c>
      <c r="B330" s="8" t="s">
        <v>45</v>
      </c>
      <c r="C330" s="8" t="s">
        <v>522</v>
      </c>
      <c r="D330" s="8">
        <v>1</v>
      </c>
      <c r="E330" s="8" t="s">
        <v>625</v>
      </c>
      <c r="F330" s="8" t="s">
        <v>524</v>
      </c>
      <c r="G330" s="8" t="s">
        <v>525</v>
      </c>
      <c r="H330" s="10">
        <v>260</v>
      </c>
      <c r="I330" s="10"/>
      <c r="J330" s="10">
        <v>260</v>
      </c>
      <c r="K330" s="10">
        <v>59.6</v>
      </c>
    </row>
    <row r="331" spans="1:11" x14ac:dyDescent="0.25">
      <c r="A331" s="8" t="s">
        <v>626</v>
      </c>
      <c r="B331" s="8" t="s">
        <v>45</v>
      </c>
      <c r="C331" s="8" t="s">
        <v>522</v>
      </c>
      <c r="D331" s="8">
        <v>1</v>
      </c>
      <c r="E331" s="8" t="s">
        <v>627</v>
      </c>
      <c r="F331" s="8" t="s">
        <v>524</v>
      </c>
      <c r="G331" s="8" t="s">
        <v>525</v>
      </c>
      <c r="H331" s="10">
        <v>156</v>
      </c>
      <c r="I331" s="10"/>
      <c r="J331" s="10">
        <v>156</v>
      </c>
      <c r="K331" s="10">
        <v>47.3</v>
      </c>
    </row>
    <row r="332" spans="1:11" x14ac:dyDescent="0.25">
      <c r="A332" s="8" t="s">
        <v>628</v>
      </c>
      <c r="B332" s="8" t="s">
        <v>45</v>
      </c>
      <c r="C332" s="8" t="s">
        <v>522</v>
      </c>
      <c r="D332" s="8">
        <v>1</v>
      </c>
      <c r="E332" s="8" t="s">
        <v>629</v>
      </c>
      <c r="F332" s="8" t="s">
        <v>524</v>
      </c>
      <c r="G332" s="8" t="s">
        <v>525</v>
      </c>
      <c r="H332" s="10">
        <v>16</v>
      </c>
      <c r="I332" s="10"/>
      <c r="J332" s="10">
        <v>16</v>
      </c>
      <c r="K332" s="10">
        <v>80.2</v>
      </c>
    </row>
    <row r="333" spans="1:11" x14ac:dyDescent="0.25">
      <c r="A333" s="8" t="s">
        <v>630</v>
      </c>
      <c r="B333" s="8" t="s">
        <v>45</v>
      </c>
      <c r="C333" s="8" t="s">
        <v>522</v>
      </c>
      <c r="D333" s="8">
        <v>1</v>
      </c>
      <c r="E333" s="8" t="s">
        <v>631</v>
      </c>
      <c r="F333" s="8" t="s">
        <v>524</v>
      </c>
      <c r="G333" s="8" t="s">
        <v>525</v>
      </c>
      <c r="H333" s="10">
        <v>8</v>
      </c>
      <c r="I333" s="10"/>
      <c r="J333" s="10">
        <v>8</v>
      </c>
      <c r="K333" s="10">
        <v>93.6</v>
      </c>
    </row>
    <row r="334" spans="1:11" x14ac:dyDescent="0.25">
      <c r="A334" s="8" t="s">
        <v>632</v>
      </c>
      <c r="B334" s="8" t="s">
        <v>45</v>
      </c>
      <c r="C334" s="8" t="s">
        <v>522</v>
      </c>
      <c r="D334" s="8">
        <v>1</v>
      </c>
      <c r="E334" s="8" t="s">
        <v>633</v>
      </c>
      <c r="F334" s="8" t="s">
        <v>524</v>
      </c>
      <c r="G334" s="8" t="s">
        <v>525</v>
      </c>
      <c r="H334" s="10">
        <v>10800</v>
      </c>
      <c r="I334" s="10"/>
      <c r="J334" s="10">
        <v>10800</v>
      </c>
      <c r="K334" s="10">
        <v>40.1</v>
      </c>
    </row>
    <row r="335" spans="1:11" x14ac:dyDescent="0.25">
      <c r="A335" s="8" t="s">
        <v>634</v>
      </c>
      <c r="B335" s="8" t="s">
        <v>45</v>
      </c>
      <c r="C335" s="8" t="s">
        <v>522</v>
      </c>
      <c r="D335" s="8">
        <v>1</v>
      </c>
      <c r="E335" s="8" t="s">
        <v>635</v>
      </c>
      <c r="F335" s="8" t="s">
        <v>524</v>
      </c>
      <c r="G335" s="8" t="s">
        <v>525</v>
      </c>
      <c r="H335" s="10">
        <v>1080</v>
      </c>
      <c r="I335" s="10"/>
      <c r="J335" s="10">
        <v>1080</v>
      </c>
      <c r="K335" s="10">
        <v>49.8</v>
      </c>
    </row>
    <row r="336" spans="1:11" x14ac:dyDescent="0.25">
      <c r="A336" s="8" t="s">
        <v>636</v>
      </c>
      <c r="B336" s="8" t="s">
        <v>45</v>
      </c>
      <c r="C336" s="8" t="s">
        <v>522</v>
      </c>
      <c r="D336" s="8">
        <v>1</v>
      </c>
      <c r="E336" s="8" t="s">
        <v>637</v>
      </c>
      <c r="F336" s="8" t="s">
        <v>524</v>
      </c>
      <c r="G336" s="8" t="s">
        <v>525</v>
      </c>
      <c r="H336" s="10">
        <v>540</v>
      </c>
      <c r="I336" s="10"/>
      <c r="J336" s="10">
        <v>540</v>
      </c>
      <c r="K336" s="10">
        <v>59.6</v>
      </c>
    </row>
    <row r="337" spans="1:11" x14ac:dyDescent="0.25">
      <c r="A337" s="8" t="s">
        <v>638</v>
      </c>
      <c r="B337" s="8" t="s">
        <v>45</v>
      </c>
      <c r="C337" s="8" t="s">
        <v>522</v>
      </c>
      <c r="D337" s="8">
        <v>1</v>
      </c>
      <c r="E337" s="8" t="s">
        <v>639</v>
      </c>
      <c r="F337" s="8" t="s">
        <v>524</v>
      </c>
      <c r="G337" s="8" t="s">
        <v>525</v>
      </c>
      <c r="H337" s="10">
        <v>324</v>
      </c>
      <c r="I337" s="10"/>
      <c r="J337" s="10">
        <v>324</v>
      </c>
      <c r="K337" s="10">
        <v>47.3</v>
      </c>
    </row>
    <row r="338" spans="1:11" x14ac:dyDescent="0.25">
      <c r="A338" s="8" t="s">
        <v>640</v>
      </c>
      <c r="B338" s="8" t="s">
        <v>45</v>
      </c>
      <c r="C338" s="8" t="s">
        <v>522</v>
      </c>
      <c r="D338" s="8">
        <v>1</v>
      </c>
      <c r="E338" s="8" t="s">
        <v>641</v>
      </c>
      <c r="F338" s="8" t="s">
        <v>524</v>
      </c>
      <c r="G338" s="8" t="s">
        <v>525</v>
      </c>
      <c r="H338" s="10">
        <v>32</v>
      </c>
      <c r="I338" s="10"/>
      <c r="J338" s="10">
        <v>32</v>
      </c>
      <c r="K338" s="10">
        <v>80.2</v>
      </c>
    </row>
    <row r="339" spans="1:11" x14ac:dyDescent="0.25">
      <c r="A339" s="8" t="s">
        <v>642</v>
      </c>
      <c r="B339" s="8" t="s">
        <v>45</v>
      </c>
      <c r="C339" s="8" t="s">
        <v>522</v>
      </c>
      <c r="D339" s="8">
        <v>1</v>
      </c>
      <c r="E339" s="8" t="s">
        <v>643</v>
      </c>
      <c r="F339" s="8" t="s">
        <v>524</v>
      </c>
      <c r="G339" s="8" t="s">
        <v>525</v>
      </c>
      <c r="H339" s="10">
        <v>16</v>
      </c>
      <c r="I339" s="10"/>
      <c r="J339" s="10">
        <v>16</v>
      </c>
      <c r="K339" s="10">
        <v>93.6</v>
      </c>
    </row>
    <row r="340" spans="1:11" x14ac:dyDescent="0.25">
      <c r="A340" s="8" t="s">
        <v>644</v>
      </c>
      <c r="B340" s="8" t="s">
        <v>45</v>
      </c>
      <c r="C340" s="8" t="s">
        <v>522</v>
      </c>
      <c r="D340" s="8">
        <v>1</v>
      </c>
      <c r="E340" s="8" t="s">
        <v>645</v>
      </c>
      <c r="F340" s="8" t="s">
        <v>524</v>
      </c>
      <c r="G340" s="8" t="s">
        <v>525</v>
      </c>
      <c r="H340" s="10">
        <v>3600</v>
      </c>
      <c r="I340" s="10"/>
      <c r="J340" s="10">
        <v>3600</v>
      </c>
      <c r="K340" s="10">
        <v>37.700000000000003</v>
      </c>
    </row>
    <row r="341" spans="1:11" x14ac:dyDescent="0.25">
      <c r="A341" s="8" t="s">
        <v>646</v>
      </c>
      <c r="B341" s="8" t="s">
        <v>45</v>
      </c>
      <c r="C341" s="8" t="s">
        <v>522</v>
      </c>
      <c r="D341" s="8">
        <v>1</v>
      </c>
      <c r="E341" s="8" t="s">
        <v>647</v>
      </c>
      <c r="F341" s="8" t="s">
        <v>524</v>
      </c>
      <c r="G341" s="8" t="s">
        <v>525</v>
      </c>
      <c r="H341" s="10">
        <v>360</v>
      </c>
      <c r="I341" s="10"/>
      <c r="J341" s="10">
        <v>360</v>
      </c>
      <c r="K341" s="10">
        <v>46.3</v>
      </c>
    </row>
    <row r="342" spans="1:11" x14ac:dyDescent="0.25">
      <c r="A342" s="8" t="s">
        <v>648</v>
      </c>
      <c r="B342" s="8" t="s">
        <v>45</v>
      </c>
      <c r="C342" s="8" t="s">
        <v>522</v>
      </c>
      <c r="D342" s="8">
        <v>1</v>
      </c>
      <c r="E342" s="8" t="s">
        <v>649</v>
      </c>
      <c r="F342" s="8" t="s">
        <v>524</v>
      </c>
      <c r="G342" s="8" t="s">
        <v>525</v>
      </c>
      <c r="H342" s="10">
        <v>180</v>
      </c>
      <c r="I342" s="10"/>
      <c r="J342" s="10">
        <v>180</v>
      </c>
      <c r="K342" s="10">
        <v>54.9</v>
      </c>
    </row>
    <row r="343" spans="1:11" x14ac:dyDescent="0.25">
      <c r="A343" s="8" t="s">
        <v>650</v>
      </c>
      <c r="B343" s="8" t="s">
        <v>45</v>
      </c>
      <c r="C343" s="8" t="s">
        <v>522</v>
      </c>
      <c r="D343" s="8">
        <v>1</v>
      </c>
      <c r="E343" s="8" t="s">
        <v>651</v>
      </c>
      <c r="F343" s="8" t="s">
        <v>524</v>
      </c>
      <c r="G343" s="8" t="s">
        <v>525</v>
      </c>
      <c r="H343" s="10">
        <v>108</v>
      </c>
      <c r="I343" s="10"/>
      <c r="J343" s="10">
        <v>108</v>
      </c>
      <c r="K343" s="10">
        <v>44.1</v>
      </c>
    </row>
    <row r="344" spans="1:11" x14ac:dyDescent="0.25">
      <c r="A344" s="8" t="s">
        <v>652</v>
      </c>
      <c r="B344" s="8" t="s">
        <v>45</v>
      </c>
      <c r="C344" s="8" t="s">
        <v>522</v>
      </c>
      <c r="D344" s="8">
        <v>1</v>
      </c>
      <c r="E344" s="8" t="s">
        <v>653</v>
      </c>
      <c r="F344" s="8" t="s">
        <v>524</v>
      </c>
      <c r="G344" s="8" t="s">
        <v>525</v>
      </c>
      <c r="H344" s="10">
        <v>11</v>
      </c>
      <c r="I344" s="10"/>
      <c r="J344" s="10">
        <v>11</v>
      </c>
      <c r="K344" s="10">
        <v>73.099999999999994</v>
      </c>
    </row>
    <row r="345" spans="1:11" x14ac:dyDescent="0.25">
      <c r="A345" s="8" t="s">
        <v>654</v>
      </c>
      <c r="B345" s="8" t="s">
        <v>45</v>
      </c>
      <c r="C345" s="8" t="s">
        <v>522</v>
      </c>
      <c r="D345" s="8">
        <v>1</v>
      </c>
      <c r="E345" s="8" t="s">
        <v>655</v>
      </c>
      <c r="F345" s="8" t="s">
        <v>524</v>
      </c>
      <c r="G345" s="8" t="s">
        <v>525</v>
      </c>
      <c r="H345" s="10">
        <v>6</v>
      </c>
      <c r="I345" s="10"/>
      <c r="J345" s="10">
        <v>6</v>
      </c>
      <c r="K345" s="10">
        <v>85</v>
      </c>
    </row>
    <row r="346" spans="1:11" x14ac:dyDescent="0.25">
      <c r="A346" s="8" t="s">
        <v>656</v>
      </c>
      <c r="B346" s="8" t="s">
        <v>45</v>
      </c>
      <c r="C346" s="8" t="s">
        <v>522</v>
      </c>
      <c r="D346" s="8">
        <v>1</v>
      </c>
      <c r="E346" s="8" t="s">
        <v>657</v>
      </c>
      <c r="F346" s="8" t="s">
        <v>524</v>
      </c>
      <c r="G346" s="8" t="s">
        <v>525</v>
      </c>
      <c r="H346" s="10">
        <v>5200</v>
      </c>
      <c r="I346" s="10"/>
      <c r="J346" s="10">
        <v>5200</v>
      </c>
      <c r="K346" s="10">
        <v>37.700000000000003</v>
      </c>
    </row>
    <row r="347" spans="1:11" x14ac:dyDescent="0.25">
      <c r="A347" s="8" t="s">
        <v>658</v>
      </c>
      <c r="B347" s="8" t="s">
        <v>45</v>
      </c>
      <c r="C347" s="8" t="s">
        <v>522</v>
      </c>
      <c r="D347" s="8">
        <v>1</v>
      </c>
      <c r="E347" s="8" t="s">
        <v>659</v>
      </c>
      <c r="F347" s="8" t="s">
        <v>524</v>
      </c>
      <c r="G347" s="8" t="s">
        <v>525</v>
      </c>
      <c r="H347" s="10">
        <v>520</v>
      </c>
      <c r="I347" s="10"/>
      <c r="J347" s="10">
        <v>520</v>
      </c>
      <c r="K347" s="10">
        <v>46.3</v>
      </c>
    </row>
    <row r="348" spans="1:11" x14ac:dyDescent="0.25">
      <c r="A348" s="8" t="s">
        <v>660</v>
      </c>
      <c r="B348" s="8" t="s">
        <v>45</v>
      </c>
      <c r="C348" s="8" t="s">
        <v>522</v>
      </c>
      <c r="D348" s="8">
        <v>1</v>
      </c>
      <c r="E348" s="8" t="s">
        <v>661</v>
      </c>
      <c r="F348" s="8" t="s">
        <v>524</v>
      </c>
      <c r="G348" s="8" t="s">
        <v>525</v>
      </c>
      <c r="H348" s="10">
        <v>260</v>
      </c>
      <c r="I348" s="10"/>
      <c r="J348" s="10">
        <v>260</v>
      </c>
      <c r="K348" s="10">
        <v>54.9</v>
      </c>
    </row>
    <row r="349" spans="1:11" x14ac:dyDescent="0.25">
      <c r="A349" s="8" t="s">
        <v>662</v>
      </c>
      <c r="B349" s="8" t="s">
        <v>45</v>
      </c>
      <c r="C349" s="8" t="s">
        <v>522</v>
      </c>
      <c r="D349" s="8">
        <v>1</v>
      </c>
      <c r="E349" s="8" t="s">
        <v>663</v>
      </c>
      <c r="F349" s="8" t="s">
        <v>524</v>
      </c>
      <c r="G349" s="8" t="s">
        <v>525</v>
      </c>
      <c r="H349" s="10">
        <v>156</v>
      </c>
      <c r="I349" s="10"/>
      <c r="J349" s="10">
        <v>156</v>
      </c>
      <c r="K349" s="10">
        <v>44.1</v>
      </c>
    </row>
    <row r="350" spans="1:11" x14ac:dyDescent="0.25">
      <c r="A350" s="8" t="s">
        <v>664</v>
      </c>
      <c r="B350" s="8" t="s">
        <v>45</v>
      </c>
      <c r="C350" s="8" t="s">
        <v>522</v>
      </c>
      <c r="D350" s="8">
        <v>1</v>
      </c>
      <c r="E350" s="8" t="s">
        <v>665</v>
      </c>
      <c r="F350" s="8" t="s">
        <v>524</v>
      </c>
      <c r="G350" s="8" t="s">
        <v>525</v>
      </c>
      <c r="H350" s="10">
        <v>16</v>
      </c>
      <c r="I350" s="10"/>
      <c r="J350" s="10">
        <v>16</v>
      </c>
      <c r="K350" s="10">
        <v>73.099999999999994</v>
      </c>
    </row>
    <row r="351" spans="1:11" x14ac:dyDescent="0.25">
      <c r="A351" s="8" t="s">
        <v>666</v>
      </c>
      <c r="B351" s="8" t="s">
        <v>45</v>
      </c>
      <c r="C351" s="8" t="s">
        <v>522</v>
      </c>
      <c r="D351" s="8">
        <v>1</v>
      </c>
      <c r="E351" s="8" t="s">
        <v>667</v>
      </c>
      <c r="F351" s="8" t="s">
        <v>524</v>
      </c>
      <c r="G351" s="8" t="s">
        <v>525</v>
      </c>
      <c r="H351" s="10">
        <v>8</v>
      </c>
      <c r="I351" s="10"/>
      <c r="J351" s="10">
        <v>8</v>
      </c>
      <c r="K351" s="10">
        <v>85</v>
      </c>
    </row>
    <row r="352" spans="1:11" x14ac:dyDescent="0.25">
      <c r="A352" s="8" t="s">
        <v>668</v>
      </c>
      <c r="B352" s="8" t="s">
        <v>45</v>
      </c>
      <c r="C352" s="8" t="s">
        <v>522</v>
      </c>
      <c r="D352" s="8">
        <v>1</v>
      </c>
      <c r="E352" s="8" t="s">
        <v>669</v>
      </c>
      <c r="F352" s="8" t="s">
        <v>524</v>
      </c>
      <c r="G352" s="8" t="s">
        <v>525</v>
      </c>
      <c r="H352" s="10">
        <v>5400</v>
      </c>
      <c r="I352" s="10"/>
      <c r="J352" s="10">
        <v>5400</v>
      </c>
      <c r="K352" s="10">
        <v>37.700000000000003</v>
      </c>
    </row>
    <row r="353" spans="1:11" x14ac:dyDescent="0.25">
      <c r="A353" s="8" t="s">
        <v>670</v>
      </c>
      <c r="B353" s="8" t="s">
        <v>45</v>
      </c>
      <c r="C353" s="8" t="s">
        <v>522</v>
      </c>
      <c r="D353" s="8">
        <v>1</v>
      </c>
      <c r="E353" s="8" t="s">
        <v>671</v>
      </c>
      <c r="F353" s="8" t="s">
        <v>524</v>
      </c>
      <c r="G353" s="8" t="s">
        <v>525</v>
      </c>
      <c r="H353" s="10">
        <v>540</v>
      </c>
      <c r="I353" s="10"/>
      <c r="J353" s="10">
        <v>540</v>
      </c>
      <c r="K353" s="10">
        <v>46.3</v>
      </c>
    </row>
    <row r="354" spans="1:11" x14ac:dyDescent="0.25">
      <c r="A354" s="8" t="s">
        <v>672</v>
      </c>
      <c r="B354" s="8" t="s">
        <v>45</v>
      </c>
      <c r="C354" s="8" t="s">
        <v>522</v>
      </c>
      <c r="D354" s="8">
        <v>1</v>
      </c>
      <c r="E354" s="8" t="s">
        <v>673</v>
      </c>
      <c r="F354" s="8" t="s">
        <v>524</v>
      </c>
      <c r="G354" s="8" t="s">
        <v>525</v>
      </c>
      <c r="H354" s="10">
        <v>270</v>
      </c>
      <c r="I354" s="10"/>
      <c r="J354" s="10">
        <v>270</v>
      </c>
      <c r="K354" s="10">
        <v>54.9</v>
      </c>
    </row>
    <row r="355" spans="1:11" x14ac:dyDescent="0.25">
      <c r="A355" s="8" t="s">
        <v>674</v>
      </c>
      <c r="B355" s="8" t="s">
        <v>45</v>
      </c>
      <c r="C355" s="8" t="s">
        <v>522</v>
      </c>
      <c r="D355" s="8">
        <v>1</v>
      </c>
      <c r="E355" s="8" t="s">
        <v>675</v>
      </c>
      <c r="F355" s="8" t="s">
        <v>524</v>
      </c>
      <c r="G355" s="8" t="s">
        <v>525</v>
      </c>
      <c r="H355" s="10">
        <v>162</v>
      </c>
      <c r="I355" s="10"/>
      <c r="J355" s="10">
        <v>162</v>
      </c>
      <c r="K355" s="10">
        <v>44.1</v>
      </c>
    </row>
    <row r="356" spans="1:11" x14ac:dyDescent="0.25">
      <c r="A356" s="8" t="s">
        <v>676</v>
      </c>
      <c r="B356" s="8" t="s">
        <v>45</v>
      </c>
      <c r="C356" s="8" t="s">
        <v>522</v>
      </c>
      <c r="D356" s="8">
        <v>1</v>
      </c>
      <c r="E356" s="8" t="s">
        <v>677</v>
      </c>
      <c r="F356" s="8" t="s">
        <v>524</v>
      </c>
      <c r="G356" s="8" t="s">
        <v>525</v>
      </c>
      <c r="H356" s="10">
        <v>16</v>
      </c>
      <c r="I356" s="10"/>
      <c r="J356" s="10">
        <v>16</v>
      </c>
      <c r="K356" s="10">
        <v>73.099999999999994</v>
      </c>
    </row>
    <row r="357" spans="1:11" x14ac:dyDescent="0.25">
      <c r="A357" s="8" t="s">
        <v>678</v>
      </c>
      <c r="B357" s="8" t="s">
        <v>45</v>
      </c>
      <c r="C357" s="8" t="s">
        <v>522</v>
      </c>
      <c r="D357" s="8">
        <v>1</v>
      </c>
      <c r="E357" s="8" t="s">
        <v>679</v>
      </c>
      <c r="F357" s="8" t="s">
        <v>524</v>
      </c>
      <c r="G357" s="8" t="s">
        <v>525</v>
      </c>
      <c r="H357" s="10">
        <v>8</v>
      </c>
      <c r="I357" s="10"/>
      <c r="J357" s="10">
        <v>8</v>
      </c>
      <c r="K357" s="10">
        <v>85</v>
      </c>
    </row>
    <row r="358" spans="1:11" x14ac:dyDescent="0.25">
      <c r="A358" s="8" t="s">
        <v>680</v>
      </c>
      <c r="B358" s="8" t="s">
        <v>45</v>
      </c>
      <c r="C358" s="8" t="s">
        <v>522</v>
      </c>
      <c r="D358" s="8">
        <v>1</v>
      </c>
      <c r="E358" s="8" t="s">
        <v>681</v>
      </c>
      <c r="F358" s="8" t="s">
        <v>524</v>
      </c>
      <c r="G358" s="8" t="s">
        <v>525</v>
      </c>
      <c r="H358" s="10">
        <v>5200</v>
      </c>
      <c r="I358" s="10"/>
      <c r="J358" s="10">
        <v>5200</v>
      </c>
      <c r="K358" s="10">
        <v>37.700000000000003</v>
      </c>
    </row>
    <row r="359" spans="1:11" x14ac:dyDescent="0.25">
      <c r="A359" s="8" t="s">
        <v>682</v>
      </c>
      <c r="B359" s="8" t="s">
        <v>45</v>
      </c>
      <c r="C359" s="8" t="s">
        <v>522</v>
      </c>
      <c r="D359" s="8">
        <v>1</v>
      </c>
      <c r="E359" s="8" t="s">
        <v>683</v>
      </c>
      <c r="F359" s="8" t="s">
        <v>524</v>
      </c>
      <c r="G359" s="8" t="s">
        <v>525</v>
      </c>
      <c r="H359" s="10">
        <v>520</v>
      </c>
      <c r="I359" s="10"/>
      <c r="J359" s="10">
        <v>520</v>
      </c>
      <c r="K359" s="10">
        <v>46.3</v>
      </c>
    </row>
    <row r="360" spans="1:11" x14ac:dyDescent="0.25">
      <c r="A360" s="8" t="s">
        <v>684</v>
      </c>
      <c r="B360" s="8" t="s">
        <v>45</v>
      </c>
      <c r="C360" s="8" t="s">
        <v>522</v>
      </c>
      <c r="D360" s="8">
        <v>1</v>
      </c>
      <c r="E360" s="8" t="s">
        <v>685</v>
      </c>
      <c r="F360" s="8" t="s">
        <v>524</v>
      </c>
      <c r="G360" s="8" t="s">
        <v>525</v>
      </c>
      <c r="H360" s="10">
        <v>260</v>
      </c>
      <c r="I360" s="10"/>
      <c r="J360" s="10">
        <v>260</v>
      </c>
      <c r="K360" s="10">
        <v>54.9</v>
      </c>
    </row>
    <row r="361" spans="1:11" x14ac:dyDescent="0.25">
      <c r="A361" s="8" t="s">
        <v>686</v>
      </c>
      <c r="B361" s="8" t="s">
        <v>45</v>
      </c>
      <c r="C361" s="8" t="s">
        <v>522</v>
      </c>
      <c r="D361" s="8">
        <v>1</v>
      </c>
      <c r="E361" s="8" t="s">
        <v>687</v>
      </c>
      <c r="F361" s="8" t="s">
        <v>524</v>
      </c>
      <c r="G361" s="8" t="s">
        <v>525</v>
      </c>
      <c r="H361" s="10">
        <v>156</v>
      </c>
      <c r="I361" s="10"/>
      <c r="J361" s="10">
        <v>156</v>
      </c>
      <c r="K361" s="10">
        <v>44.1</v>
      </c>
    </row>
    <row r="362" spans="1:11" x14ac:dyDescent="0.25">
      <c r="A362" s="8" t="s">
        <v>688</v>
      </c>
      <c r="B362" s="8" t="s">
        <v>45</v>
      </c>
      <c r="C362" s="8" t="s">
        <v>522</v>
      </c>
      <c r="D362" s="8">
        <v>1</v>
      </c>
      <c r="E362" s="8" t="s">
        <v>689</v>
      </c>
      <c r="F362" s="8" t="s">
        <v>524</v>
      </c>
      <c r="G362" s="8" t="s">
        <v>525</v>
      </c>
      <c r="H362" s="10">
        <v>16</v>
      </c>
      <c r="I362" s="10"/>
      <c r="J362" s="10">
        <v>16</v>
      </c>
      <c r="K362" s="10">
        <v>73.099999999999994</v>
      </c>
    </row>
    <row r="363" spans="1:11" x14ac:dyDescent="0.25">
      <c r="A363" s="8" t="s">
        <v>690</v>
      </c>
      <c r="B363" s="8" t="s">
        <v>45</v>
      </c>
      <c r="C363" s="8" t="s">
        <v>522</v>
      </c>
      <c r="D363" s="8">
        <v>1</v>
      </c>
      <c r="E363" s="8" t="s">
        <v>691</v>
      </c>
      <c r="F363" s="8" t="s">
        <v>524</v>
      </c>
      <c r="G363" s="8" t="s">
        <v>525</v>
      </c>
      <c r="H363" s="10">
        <v>8</v>
      </c>
      <c r="I363" s="10"/>
      <c r="J363" s="10">
        <v>8</v>
      </c>
      <c r="K363" s="10">
        <v>85</v>
      </c>
    </row>
    <row r="364" spans="1:11" x14ac:dyDescent="0.25">
      <c r="A364" s="8" t="s">
        <v>692</v>
      </c>
      <c r="B364" s="8" t="s">
        <v>45</v>
      </c>
      <c r="C364" s="8" t="s">
        <v>522</v>
      </c>
      <c r="D364" s="8">
        <v>1</v>
      </c>
      <c r="E364" s="8" t="s">
        <v>693</v>
      </c>
      <c r="F364" s="8" t="s">
        <v>524</v>
      </c>
      <c r="G364" s="8" t="s">
        <v>525</v>
      </c>
      <c r="H364" s="10">
        <v>5200</v>
      </c>
      <c r="I364" s="10"/>
      <c r="J364" s="10">
        <v>5200</v>
      </c>
      <c r="K364" s="10">
        <v>54.6</v>
      </c>
    </row>
    <row r="365" spans="1:11" x14ac:dyDescent="0.25">
      <c r="A365" s="8" t="s">
        <v>694</v>
      </c>
      <c r="B365" s="8" t="s">
        <v>45</v>
      </c>
      <c r="C365" s="8" t="s">
        <v>522</v>
      </c>
      <c r="D365" s="8">
        <v>1</v>
      </c>
      <c r="E365" s="8" t="s">
        <v>695</v>
      </c>
      <c r="F365" s="8" t="s">
        <v>524</v>
      </c>
      <c r="G365" s="8" t="s">
        <v>525</v>
      </c>
      <c r="H365" s="10">
        <v>520</v>
      </c>
      <c r="I365" s="10"/>
      <c r="J365" s="10">
        <v>520</v>
      </c>
      <c r="K365" s="10">
        <v>67.7</v>
      </c>
    </row>
    <row r="366" spans="1:11" x14ac:dyDescent="0.25">
      <c r="A366" s="8" t="s">
        <v>696</v>
      </c>
      <c r="B366" s="8" t="s">
        <v>45</v>
      </c>
      <c r="C366" s="8" t="s">
        <v>522</v>
      </c>
      <c r="D366" s="8">
        <v>1</v>
      </c>
      <c r="E366" s="8" t="s">
        <v>697</v>
      </c>
      <c r="F366" s="8" t="s">
        <v>524</v>
      </c>
      <c r="G366" s="8" t="s">
        <v>525</v>
      </c>
      <c r="H366" s="10">
        <v>260</v>
      </c>
      <c r="I366" s="10"/>
      <c r="J366" s="10">
        <v>260</v>
      </c>
      <c r="K366" s="10">
        <v>80.8</v>
      </c>
    </row>
    <row r="367" spans="1:11" x14ac:dyDescent="0.25">
      <c r="A367" s="8" t="s">
        <v>698</v>
      </c>
      <c r="B367" s="8" t="s">
        <v>45</v>
      </c>
      <c r="C367" s="8" t="s">
        <v>522</v>
      </c>
      <c r="D367" s="8">
        <v>1</v>
      </c>
      <c r="E367" s="8" t="s">
        <v>699</v>
      </c>
      <c r="F367" s="8" t="s">
        <v>524</v>
      </c>
      <c r="G367" s="8" t="s">
        <v>525</v>
      </c>
      <c r="H367" s="10">
        <v>156</v>
      </c>
      <c r="I367" s="10"/>
      <c r="J367" s="10">
        <v>156</v>
      </c>
      <c r="K367" s="10">
        <v>64.3</v>
      </c>
    </row>
    <row r="368" spans="1:11" x14ac:dyDescent="0.25">
      <c r="A368" s="8" t="s">
        <v>700</v>
      </c>
      <c r="B368" s="8" t="s">
        <v>45</v>
      </c>
      <c r="C368" s="8" t="s">
        <v>522</v>
      </c>
      <c r="D368" s="8">
        <v>1</v>
      </c>
      <c r="E368" s="8" t="s">
        <v>701</v>
      </c>
      <c r="F368" s="8" t="s">
        <v>524</v>
      </c>
      <c r="G368" s="8" t="s">
        <v>525</v>
      </c>
      <c r="H368" s="10">
        <v>16</v>
      </c>
      <c r="I368" s="10"/>
      <c r="J368" s="10">
        <v>16</v>
      </c>
      <c r="K368" s="10">
        <v>108.5</v>
      </c>
    </row>
    <row r="369" spans="1:11" x14ac:dyDescent="0.25">
      <c r="A369" s="8" t="s">
        <v>702</v>
      </c>
      <c r="B369" s="8" t="s">
        <v>45</v>
      </c>
      <c r="C369" s="8" t="s">
        <v>522</v>
      </c>
      <c r="D369" s="8">
        <v>1</v>
      </c>
      <c r="E369" s="8" t="s">
        <v>703</v>
      </c>
      <c r="F369" s="8" t="s">
        <v>524</v>
      </c>
      <c r="G369" s="8" t="s">
        <v>525</v>
      </c>
      <c r="H369" s="10">
        <v>8</v>
      </c>
      <c r="I369" s="10"/>
      <c r="J369" s="10">
        <v>8</v>
      </c>
      <c r="K369" s="10">
        <v>126.5</v>
      </c>
    </row>
    <row r="370" spans="1:11" x14ac:dyDescent="0.25">
      <c r="A370" s="8" t="s">
        <v>704</v>
      </c>
      <c r="B370" s="8" t="s">
        <v>45</v>
      </c>
      <c r="C370" s="8" t="s">
        <v>522</v>
      </c>
      <c r="D370" s="8">
        <v>1</v>
      </c>
      <c r="E370" s="8" t="s">
        <v>705</v>
      </c>
      <c r="F370" s="8" t="s">
        <v>524</v>
      </c>
      <c r="G370" s="8" t="s">
        <v>525</v>
      </c>
      <c r="H370" s="10">
        <v>7200</v>
      </c>
      <c r="I370" s="10"/>
      <c r="J370" s="10">
        <v>7200</v>
      </c>
      <c r="K370" s="10">
        <v>54.6</v>
      </c>
    </row>
    <row r="371" spans="1:11" x14ac:dyDescent="0.25">
      <c r="A371" s="8" t="s">
        <v>706</v>
      </c>
      <c r="B371" s="8" t="s">
        <v>45</v>
      </c>
      <c r="C371" s="8" t="s">
        <v>522</v>
      </c>
      <c r="D371" s="8">
        <v>1</v>
      </c>
      <c r="E371" s="8" t="s">
        <v>707</v>
      </c>
      <c r="F371" s="8" t="s">
        <v>524</v>
      </c>
      <c r="G371" s="8" t="s">
        <v>525</v>
      </c>
      <c r="H371" s="10">
        <v>720</v>
      </c>
      <c r="I371" s="10"/>
      <c r="J371" s="10">
        <v>720</v>
      </c>
      <c r="K371" s="10">
        <v>67.7</v>
      </c>
    </row>
    <row r="372" spans="1:11" x14ac:dyDescent="0.25">
      <c r="A372" s="8" t="s">
        <v>708</v>
      </c>
      <c r="B372" s="8" t="s">
        <v>45</v>
      </c>
      <c r="C372" s="8" t="s">
        <v>522</v>
      </c>
      <c r="D372" s="8">
        <v>1</v>
      </c>
      <c r="E372" s="8" t="s">
        <v>709</v>
      </c>
      <c r="F372" s="8" t="s">
        <v>524</v>
      </c>
      <c r="G372" s="8" t="s">
        <v>525</v>
      </c>
      <c r="H372" s="10">
        <v>360</v>
      </c>
      <c r="I372" s="10"/>
      <c r="J372" s="10">
        <v>360</v>
      </c>
      <c r="K372" s="10">
        <v>80.8</v>
      </c>
    </row>
    <row r="373" spans="1:11" x14ac:dyDescent="0.25">
      <c r="A373" s="8" t="s">
        <v>710</v>
      </c>
      <c r="B373" s="8" t="s">
        <v>45</v>
      </c>
      <c r="C373" s="8" t="s">
        <v>522</v>
      </c>
      <c r="D373" s="8">
        <v>1</v>
      </c>
      <c r="E373" s="8" t="s">
        <v>711</v>
      </c>
      <c r="F373" s="8" t="s">
        <v>524</v>
      </c>
      <c r="G373" s="8" t="s">
        <v>525</v>
      </c>
      <c r="H373" s="10">
        <v>216</v>
      </c>
      <c r="I373" s="10"/>
      <c r="J373" s="10">
        <v>216</v>
      </c>
      <c r="K373" s="10">
        <v>64.3</v>
      </c>
    </row>
    <row r="374" spans="1:11" x14ac:dyDescent="0.25">
      <c r="A374" s="8" t="s">
        <v>712</v>
      </c>
      <c r="B374" s="8" t="s">
        <v>45</v>
      </c>
      <c r="C374" s="8" t="s">
        <v>522</v>
      </c>
      <c r="D374" s="8">
        <v>1</v>
      </c>
      <c r="E374" s="8" t="s">
        <v>713</v>
      </c>
      <c r="F374" s="8" t="s">
        <v>524</v>
      </c>
      <c r="G374" s="8" t="s">
        <v>525</v>
      </c>
      <c r="H374" s="10">
        <v>22</v>
      </c>
      <c r="I374" s="10"/>
      <c r="J374" s="10">
        <v>22</v>
      </c>
      <c r="K374" s="10">
        <v>108.5</v>
      </c>
    </row>
    <row r="375" spans="1:11" x14ac:dyDescent="0.25">
      <c r="A375" s="8" t="s">
        <v>714</v>
      </c>
      <c r="B375" s="8" t="s">
        <v>45</v>
      </c>
      <c r="C375" s="8" t="s">
        <v>522</v>
      </c>
      <c r="D375" s="8">
        <v>1</v>
      </c>
      <c r="E375" s="8" t="s">
        <v>715</v>
      </c>
      <c r="F375" s="8" t="s">
        <v>524</v>
      </c>
      <c r="G375" s="8" t="s">
        <v>525</v>
      </c>
      <c r="H375" s="10">
        <v>11</v>
      </c>
      <c r="I375" s="10"/>
      <c r="J375" s="10">
        <v>11</v>
      </c>
      <c r="K375" s="10">
        <v>126.5</v>
      </c>
    </row>
    <row r="376" spans="1:11" x14ac:dyDescent="0.25">
      <c r="A376" s="8" t="s">
        <v>716</v>
      </c>
      <c r="B376" s="8" t="s">
        <v>45</v>
      </c>
      <c r="C376" s="8" t="s">
        <v>522</v>
      </c>
      <c r="D376" s="8">
        <v>1</v>
      </c>
      <c r="E376" s="8" t="s">
        <v>717</v>
      </c>
      <c r="F376" s="8" t="s">
        <v>524</v>
      </c>
      <c r="G376" s="8" t="s">
        <v>525</v>
      </c>
      <c r="H376" s="10">
        <v>5200</v>
      </c>
      <c r="I376" s="10"/>
      <c r="J376" s="10">
        <v>5200</v>
      </c>
      <c r="K376" s="10">
        <v>47.8</v>
      </c>
    </row>
    <row r="377" spans="1:11" x14ac:dyDescent="0.25">
      <c r="A377" s="8" t="s">
        <v>718</v>
      </c>
      <c r="B377" s="8" t="s">
        <v>45</v>
      </c>
      <c r="C377" s="8" t="s">
        <v>522</v>
      </c>
      <c r="D377" s="8">
        <v>1</v>
      </c>
      <c r="E377" s="8" t="s">
        <v>719</v>
      </c>
      <c r="F377" s="8" t="s">
        <v>524</v>
      </c>
      <c r="G377" s="8" t="s">
        <v>525</v>
      </c>
      <c r="H377" s="10">
        <v>520</v>
      </c>
      <c r="I377" s="10"/>
      <c r="J377" s="10">
        <v>520</v>
      </c>
      <c r="K377" s="10">
        <v>61.2</v>
      </c>
    </row>
    <row r="378" spans="1:11" x14ac:dyDescent="0.25">
      <c r="A378" s="8" t="s">
        <v>720</v>
      </c>
      <c r="B378" s="8" t="s">
        <v>45</v>
      </c>
      <c r="C378" s="8" t="s">
        <v>522</v>
      </c>
      <c r="D378" s="8">
        <v>1</v>
      </c>
      <c r="E378" s="8" t="s">
        <v>721</v>
      </c>
      <c r="F378" s="8" t="s">
        <v>524</v>
      </c>
      <c r="G378" s="8" t="s">
        <v>525</v>
      </c>
      <c r="H378" s="10">
        <v>260</v>
      </c>
      <c r="I378" s="10"/>
      <c r="J378" s="10">
        <v>260</v>
      </c>
      <c r="K378" s="10">
        <v>74.599999999999994</v>
      </c>
    </row>
    <row r="379" spans="1:11" x14ac:dyDescent="0.25">
      <c r="A379" s="8" t="s">
        <v>722</v>
      </c>
      <c r="B379" s="8" t="s">
        <v>45</v>
      </c>
      <c r="C379" s="8" t="s">
        <v>522</v>
      </c>
      <c r="D379" s="8">
        <v>1</v>
      </c>
      <c r="E379" s="8" t="s">
        <v>723</v>
      </c>
      <c r="F379" s="8" t="s">
        <v>524</v>
      </c>
      <c r="G379" s="8" t="s">
        <v>525</v>
      </c>
      <c r="H379" s="10">
        <v>156</v>
      </c>
      <c r="I379" s="10"/>
      <c r="J379" s="10">
        <v>156</v>
      </c>
      <c r="K379" s="10">
        <v>57.7</v>
      </c>
    </row>
    <row r="380" spans="1:11" x14ac:dyDescent="0.25">
      <c r="A380" s="8" t="s">
        <v>724</v>
      </c>
      <c r="B380" s="8" t="s">
        <v>45</v>
      </c>
      <c r="C380" s="8" t="s">
        <v>522</v>
      </c>
      <c r="D380" s="8">
        <v>1</v>
      </c>
      <c r="E380" s="8" t="s">
        <v>725</v>
      </c>
      <c r="F380" s="8" t="s">
        <v>524</v>
      </c>
      <c r="G380" s="8" t="s">
        <v>525</v>
      </c>
      <c r="H380" s="10">
        <v>16</v>
      </c>
      <c r="I380" s="10"/>
      <c r="J380" s="10">
        <v>16</v>
      </c>
      <c r="K380" s="10">
        <v>102.8</v>
      </c>
    </row>
    <row r="381" spans="1:11" x14ac:dyDescent="0.25">
      <c r="A381" s="8" t="s">
        <v>726</v>
      </c>
      <c r="B381" s="8" t="s">
        <v>45</v>
      </c>
      <c r="C381" s="8" t="s">
        <v>522</v>
      </c>
      <c r="D381" s="8">
        <v>1</v>
      </c>
      <c r="E381" s="8" t="s">
        <v>727</v>
      </c>
      <c r="F381" s="8" t="s">
        <v>524</v>
      </c>
      <c r="G381" s="8" t="s">
        <v>525</v>
      </c>
      <c r="H381" s="10">
        <v>8</v>
      </c>
      <c r="I381" s="10"/>
      <c r="J381" s="10">
        <v>8</v>
      </c>
      <c r="K381" s="10">
        <v>121.2</v>
      </c>
    </row>
    <row r="382" spans="1:11" x14ac:dyDescent="0.25">
      <c r="A382" s="8" t="s">
        <v>728</v>
      </c>
      <c r="B382" s="8" t="s">
        <v>45</v>
      </c>
      <c r="C382" s="8" t="s">
        <v>522</v>
      </c>
      <c r="D382" s="8">
        <v>1</v>
      </c>
      <c r="E382" s="8" t="s">
        <v>729</v>
      </c>
      <c r="F382" s="8" t="s">
        <v>524</v>
      </c>
      <c r="G382" s="8" t="s">
        <v>525</v>
      </c>
      <c r="H382" s="10">
        <v>10800</v>
      </c>
      <c r="I382" s="10"/>
      <c r="J382" s="10">
        <v>10800</v>
      </c>
      <c r="K382" s="10">
        <v>47.8</v>
      </c>
    </row>
    <row r="383" spans="1:11" x14ac:dyDescent="0.25">
      <c r="A383" s="8" t="s">
        <v>730</v>
      </c>
      <c r="B383" s="8" t="s">
        <v>45</v>
      </c>
      <c r="C383" s="8" t="s">
        <v>522</v>
      </c>
      <c r="D383" s="8">
        <v>1</v>
      </c>
      <c r="E383" s="8" t="s">
        <v>731</v>
      </c>
      <c r="F383" s="8" t="s">
        <v>524</v>
      </c>
      <c r="G383" s="8" t="s">
        <v>525</v>
      </c>
      <c r="H383" s="10">
        <v>1080</v>
      </c>
      <c r="I383" s="10"/>
      <c r="J383" s="10">
        <v>1080</v>
      </c>
      <c r="K383" s="10">
        <v>61.2</v>
      </c>
    </row>
    <row r="384" spans="1:11" x14ac:dyDescent="0.25">
      <c r="A384" s="8" t="s">
        <v>732</v>
      </c>
      <c r="B384" s="8" t="s">
        <v>45</v>
      </c>
      <c r="C384" s="8" t="s">
        <v>522</v>
      </c>
      <c r="D384" s="8">
        <v>1</v>
      </c>
      <c r="E384" s="8" t="s">
        <v>733</v>
      </c>
      <c r="F384" s="8" t="s">
        <v>524</v>
      </c>
      <c r="G384" s="8" t="s">
        <v>525</v>
      </c>
      <c r="H384" s="10">
        <v>540</v>
      </c>
      <c r="I384" s="10"/>
      <c r="J384" s="10">
        <v>540</v>
      </c>
      <c r="K384" s="10">
        <v>74.599999999999994</v>
      </c>
    </row>
    <row r="385" spans="1:11" x14ac:dyDescent="0.25">
      <c r="A385" s="8" t="s">
        <v>734</v>
      </c>
      <c r="B385" s="8" t="s">
        <v>45</v>
      </c>
      <c r="C385" s="8" t="s">
        <v>522</v>
      </c>
      <c r="D385" s="8">
        <v>1</v>
      </c>
      <c r="E385" s="8" t="s">
        <v>735</v>
      </c>
      <c r="F385" s="8" t="s">
        <v>524</v>
      </c>
      <c r="G385" s="8" t="s">
        <v>525</v>
      </c>
      <c r="H385" s="10">
        <v>324</v>
      </c>
      <c r="I385" s="10"/>
      <c r="J385" s="10">
        <v>324</v>
      </c>
      <c r="K385" s="10">
        <v>57.7</v>
      </c>
    </row>
    <row r="386" spans="1:11" x14ac:dyDescent="0.25">
      <c r="A386" s="8" t="s">
        <v>736</v>
      </c>
      <c r="B386" s="8" t="s">
        <v>45</v>
      </c>
      <c r="C386" s="8" t="s">
        <v>522</v>
      </c>
      <c r="D386" s="8">
        <v>1</v>
      </c>
      <c r="E386" s="8" t="s">
        <v>737</v>
      </c>
      <c r="F386" s="8" t="s">
        <v>524</v>
      </c>
      <c r="G386" s="8" t="s">
        <v>525</v>
      </c>
      <c r="H386" s="10">
        <v>32</v>
      </c>
      <c r="I386" s="10"/>
      <c r="J386" s="10">
        <v>32</v>
      </c>
      <c r="K386" s="10">
        <v>102.8</v>
      </c>
    </row>
    <row r="387" spans="1:11" x14ac:dyDescent="0.25">
      <c r="A387" s="8" t="s">
        <v>738</v>
      </c>
      <c r="B387" s="8" t="s">
        <v>45</v>
      </c>
      <c r="C387" s="8" t="s">
        <v>522</v>
      </c>
      <c r="D387" s="8">
        <v>1</v>
      </c>
      <c r="E387" s="8" t="s">
        <v>739</v>
      </c>
      <c r="F387" s="8" t="s">
        <v>524</v>
      </c>
      <c r="G387" s="8" t="s">
        <v>525</v>
      </c>
      <c r="H387" s="10">
        <v>16</v>
      </c>
      <c r="I387" s="10"/>
      <c r="J387" s="10">
        <v>16</v>
      </c>
      <c r="K387" s="10">
        <v>121.2</v>
      </c>
    </row>
    <row r="388" spans="1:11" x14ac:dyDescent="0.25">
      <c r="A388" s="8" t="s">
        <v>740</v>
      </c>
      <c r="B388" s="8" t="s">
        <v>45</v>
      </c>
      <c r="C388" s="8" t="s">
        <v>522</v>
      </c>
      <c r="D388" s="8">
        <v>1</v>
      </c>
      <c r="E388" s="8" t="s">
        <v>741</v>
      </c>
      <c r="F388" s="8" t="s">
        <v>524</v>
      </c>
      <c r="G388" s="8" t="s">
        <v>525</v>
      </c>
      <c r="H388" s="10">
        <v>5200</v>
      </c>
      <c r="I388" s="10"/>
      <c r="J388" s="10">
        <v>5200</v>
      </c>
      <c r="K388" s="10">
        <v>37.700000000000003</v>
      </c>
    </row>
    <row r="389" spans="1:11" x14ac:dyDescent="0.25">
      <c r="A389" s="8" t="s">
        <v>742</v>
      </c>
      <c r="B389" s="8" t="s">
        <v>45</v>
      </c>
      <c r="C389" s="8" t="s">
        <v>522</v>
      </c>
      <c r="D389" s="8">
        <v>1</v>
      </c>
      <c r="E389" s="8" t="s">
        <v>743</v>
      </c>
      <c r="F389" s="8" t="s">
        <v>524</v>
      </c>
      <c r="G389" s="8" t="s">
        <v>525</v>
      </c>
      <c r="H389" s="10">
        <v>520</v>
      </c>
      <c r="I389" s="10"/>
      <c r="J389" s="10">
        <v>520</v>
      </c>
      <c r="K389" s="10">
        <v>46.3</v>
      </c>
    </row>
    <row r="390" spans="1:11" x14ac:dyDescent="0.25">
      <c r="A390" s="8" t="s">
        <v>744</v>
      </c>
      <c r="B390" s="8" t="s">
        <v>45</v>
      </c>
      <c r="C390" s="8" t="s">
        <v>522</v>
      </c>
      <c r="D390" s="8">
        <v>1</v>
      </c>
      <c r="E390" s="8" t="s">
        <v>745</v>
      </c>
      <c r="F390" s="8" t="s">
        <v>524</v>
      </c>
      <c r="G390" s="8" t="s">
        <v>525</v>
      </c>
      <c r="H390" s="10">
        <v>260</v>
      </c>
      <c r="I390" s="10"/>
      <c r="J390" s="10">
        <v>260</v>
      </c>
      <c r="K390" s="10">
        <v>54.9</v>
      </c>
    </row>
    <row r="391" spans="1:11" x14ac:dyDescent="0.25">
      <c r="A391" s="8" t="s">
        <v>746</v>
      </c>
      <c r="B391" s="8" t="s">
        <v>45</v>
      </c>
      <c r="C391" s="8" t="s">
        <v>522</v>
      </c>
      <c r="D391" s="8">
        <v>1</v>
      </c>
      <c r="E391" s="8" t="s">
        <v>747</v>
      </c>
      <c r="F391" s="8" t="s">
        <v>524</v>
      </c>
      <c r="G391" s="8" t="s">
        <v>525</v>
      </c>
      <c r="H391" s="10">
        <v>156</v>
      </c>
      <c r="I391" s="10"/>
      <c r="J391" s="10">
        <v>156</v>
      </c>
      <c r="K391" s="10">
        <v>44.1</v>
      </c>
    </row>
    <row r="392" spans="1:11" x14ac:dyDescent="0.25">
      <c r="A392" s="8" t="s">
        <v>748</v>
      </c>
      <c r="B392" s="8" t="s">
        <v>45</v>
      </c>
      <c r="C392" s="8" t="s">
        <v>522</v>
      </c>
      <c r="D392" s="8">
        <v>1</v>
      </c>
      <c r="E392" s="8" t="s">
        <v>749</v>
      </c>
      <c r="F392" s="8" t="s">
        <v>524</v>
      </c>
      <c r="G392" s="8" t="s">
        <v>525</v>
      </c>
      <c r="H392" s="10">
        <v>16</v>
      </c>
      <c r="I392" s="10"/>
      <c r="J392" s="10">
        <v>16</v>
      </c>
      <c r="K392" s="10">
        <v>73.099999999999994</v>
      </c>
    </row>
    <row r="393" spans="1:11" x14ac:dyDescent="0.25">
      <c r="A393" s="8" t="s">
        <v>750</v>
      </c>
      <c r="B393" s="8" t="s">
        <v>45</v>
      </c>
      <c r="C393" s="8" t="s">
        <v>522</v>
      </c>
      <c r="D393" s="8">
        <v>1</v>
      </c>
      <c r="E393" s="8" t="s">
        <v>751</v>
      </c>
      <c r="F393" s="8" t="s">
        <v>524</v>
      </c>
      <c r="G393" s="8" t="s">
        <v>525</v>
      </c>
      <c r="H393" s="10">
        <v>8</v>
      </c>
      <c r="I393" s="10"/>
      <c r="J393" s="10">
        <v>8</v>
      </c>
      <c r="K393" s="10">
        <v>85</v>
      </c>
    </row>
    <row r="394" spans="1:11" x14ac:dyDescent="0.25">
      <c r="A394" s="8" t="s">
        <v>752</v>
      </c>
      <c r="B394" s="8" t="s">
        <v>45</v>
      </c>
      <c r="C394" s="8" t="s">
        <v>522</v>
      </c>
      <c r="D394" s="8">
        <v>1</v>
      </c>
      <c r="E394" s="8" t="s">
        <v>753</v>
      </c>
      <c r="F394" s="8" t="s">
        <v>524</v>
      </c>
      <c r="G394" s="8" t="s">
        <v>525</v>
      </c>
      <c r="H394" s="10">
        <v>5200</v>
      </c>
      <c r="I394" s="10"/>
      <c r="J394" s="10">
        <v>5200</v>
      </c>
      <c r="K394" s="10">
        <v>37.700000000000003</v>
      </c>
    </row>
    <row r="395" spans="1:11" x14ac:dyDescent="0.25">
      <c r="A395" s="8" t="s">
        <v>754</v>
      </c>
      <c r="B395" s="8" t="s">
        <v>45</v>
      </c>
      <c r="C395" s="8" t="s">
        <v>522</v>
      </c>
      <c r="D395" s="8">
        <v>1</v>
      </c>
      <c r="E395" s="8" t="s">
        <v>755</v>
      </c>
      <c r="F395" s="8" t="s">
        <v>524</v>
      </c>
      <c r="G395" s="8" t="s">
        <v>525</v>
      </c>
      <c r="H395" s="10">
        <v>520</v>
      </c>
      <c r="I395" s="10"/>
      <c r="J395" s="10">
        <v>520</v>
      </c>
      <c r="K395" s="10">
        <v>46.3</v>
      </c>
    </row>
    <row r="396" spans="1:11" x14ac:dyDescent="0.25">
      <c r="A396" s="8" t="s">
        <v>756</v>
      </c>
      <c r="B396" s="8" t="s">
        <v>45</v>
      </c>
      <c r="C396" s="8" t="s">
        <v>522</v>
      </c>
      <c r="D396" s="8">
        <v>1</v>
      </c>
      <c r="E396" s="8" t="s">
        <v>757</v>
      </c>
      <c r="F396" s="8" t="s">
        <v>524</v>
      </c>
      <c r="G396" s="8" t="s">
        <v>525</v>
      </c>
      <c r="H396" s="10">
        <v>260</v>
      </c>
      <c r="I396" s="10"/>
      <c r="J396" s="10">
        <v>260</v>
      </c>
      <c r="K396" s="10">
        <v>54.9</v>
      </c>
    </row>
    <row r="397" spans="1:11" x14ac:dyDescent="0.25">
      <c r="A397" s="8" t="s">
        <v>758</v>
      </c>
      <c r="B397" s="8" t="s">
        <v>45</v>
      </c>
      <c r="C397" s="8" t="s">
        <v>522</v>
      </c>
      <c r="D397" s="8">
        <v>1</v>
      </c>
      <c r="E397" s="8" t="s">
        <v>759</v>
      </c>
      <c r="F397" s="8" t="s">
        <v>524</v>
      </c>
      <c r="G397" s="8" t="s">
        <v>525</v>
      </c>
      <c r="H397" s="10">
        <v>156</v>
      </c>
      <c r="I397" s="10"/>
      <c r="J397" s="10">
        <v>156</v>
      </c>
      <c r="K397" s="10">
        <v>44.1</v>
      </c>
    </row>
    <row r="398" spans="1:11" x14ac:dyDescent="0.25">
      <c r="A398" s="8" t="s">
        <v>760</v>
      </c>
      <c r="B398" s="8" t="s">
        <v>45</v>
      </c>
      <c r="C398" s="8" t="s">
        <v>522</v>
      </c>
      <c r="D398" s="8">
        <v>1</v>
      </c>
      <c r="E398" s="8" t="s">
        <v>761</v>
      </c>
      <c r="F398" s="8" t="s">
        <v>524</v>
      </c>
      <c r="G398" s="8" t="s">
        <v>525</v>
      </c>
      <c r="H398" s="10">
        <v>16</v>
      </c>
      <c r="I398" s="10"/>
      <c r="J398" s="10">
        <v>16</v>
      </c>
      <c r="K398" s="10">
        <v>73.099999999999994</v>
      </c>
    </row>
    <row r="399" spans="1:11" x14ac:dyDescent="0.25">
      <c r="A399" s="8" t="s">
        <v>762</v>
      </c>
      <c r="B399" s="8" t="s">
        <v>45</v>
      </c>
      <c r="C399" s="8" t="s">
        <v>522</v>
      </c>
      <c r="D399" s="8">
        <v>1</v>
      </c>
      <c r="E399" s="8" t="s">
        <v>763</v>
      </c>
      <c r="F399" s="8" t="s">
        <v>524</v>
      </c>
      <c r="G399" s="8" t="s">
        <v>525</v>
      </c>
      <c r="H399" s="10">
        <v>8</v>
      </c>
      <c r="I399" s="10"/>
      <c r="J399" s="10">
        <v>8</v>
      </c>
      <c r="K399" s="10">
        <v>85</v>
      </c>
    </row>
    <row r="400" spans="1:11" x14ac:dyDescent="0.25">
      <c r="A400" s="8" t="s">
        <v>764</v>
      </c>
      <c r="B400" s="8" t="s">
        <v>45</v>
      </c>
      <c r="C400" s="8" t="s">
        <v>522</v>
      </c>
      <c r="D400" s="8">
        <v>1</v>
      </c>
      <c r="E400" s="8" t="s">
        <v>765</v>
      </c>
      <c r="F400" s="8" t="s">
        <v>524</v>
      </c>
      <c r="G400" s="8" t="s">
        <v>525</v>
      </c>
      <c r="H400" s="10">
        <v>5200</v>
      </c>
      <c r="I400" s="10"/>
      <c r="J400" s="10">
        <v>5200</v>
      </c>
      <c r="K400" s="10">
        <v>31.9</v>
      </c>
    </row>
    <row r="401" spans="1:11" x14ac:dyDescent="0.25">
      <c r="A401" s="8" t="s">
        <v>766</v>
      </c>
      <c r="B401" s="8" t="s">
        <v>45</v>
      </c>
      <c r="C401" s="8" t="s">
        <v>522</v>
      </c>
      <c r="D401" s="8">
        <v>1</v>
      </c>
      <c r="E401" s="8" t="s">
        <v>767</v>
      </c>
      <c r="F401" s="8" t="s">
        <v>524</v>
      </c>
      <c r="G401" s="8" t="s">
        <v>525</v>
      </c>
      <c r="H401" s="10">
        <v>520</v>
      </c>
      <c r="I401" s="10"/>
      <c r="J401" s="10">
        <v>520</v>
      </c>
      <c r="K401" s="10">
        <v>37.9</v>
      </c>
    </row>
    <row r="402" spans="1:11" x14ac:dyDescent="0.25">
      <c r="A402" s="8" t="s">
        <v>768</v>
      </c>
      <c r="B402" s="8" t="s">
        <v>45</v>
      </c>
      <c r="C402" s="8" t="s">
        <v>522</v>
      </c>
      <c r="D402" s="8">
        <v>1</v>
      </c>
      <c r="E402" s="8" t="s">
        <v>769</v>
      </c>
      <c r="F402" s="8" t="s">
        <v>524</v>
      </c>
      <c r="G402" s="8" t="s">
        <v>525</v>
      </c>
      <c r="H402" s="10">
        <v>260</v>
      </c>
      <c r="I402" s="10"/>
      <c r="J402" s="10">
        <v>260</v>
      </c>
      <c r="K402" s="10">
        <v>43.9</v>
      </c>
    </row>
    <row r="403" spans="1:11" x14ac:dyDescent="0.25">
      <c r="A403" s="8" t="s">
        <v>770</v>
      </c>
      <c r="B403" s="8" t="s">
        <v>45</v>
      </c>
      <c r="C403" s="8" t="s">
        <v>522</v>
      </c>
      <c r="D403" s="8">
        <v>1</v>
      </c>
      <c r="E403" s="8" t="s">
        <v>771</v>
      </c>
      <c r="F403" s="8" t="s">
        <v>524</v>
      </c>
      <c r="G403" s="8" t="s">
        <v>525</v>
      </c>
      <c r="H403" s="10">
        <v>156</v>
      </c>
      <c r="I403" s="10"/>
      <c r="J403" s="10">
        <v>156</v>
      </c>
      <c r="K403" s="10">
        <v>36.4</v>
      </c>
    </row>
    <row r="404" spans="1:11" x14ac:dyDescent="0.25">
      <c r="A404" s="8" t="s">
        <v>772</v>
      </c>
      <c r="B404" s="8" t="s">
        <v>45</v>
      </c>
      <c r="C404" s="8" t="s">
        <v>522</v>
      </c>
      <c r="D404" s="8">
        <v>1</v>
      </c>
      <c r="E404" s="8" t="s">
        <v>773</v>
      </c>
      <c r="F404" s="8" t="s">
        <v>524</v>
      </c>
      <c r="G404" s="8" t="s">
        <v>525</v>
      </c>
      <c r="H404" s="10">
        <v>16</v>
      </c>
      <c r="I404" s="10"/>
      <c r="J404" s="10">
        <v>16</v>
      </c>
      <c r="K404" s="10">
        <v>56.5</v>
      </c>
    </row>
    <row r="405" spans="1:11" x14ac:dyDescent="0.25">
      <c r="A405" s="8" t="s">
        <v>774</v>
      </c>
      <c r="B405" s="8" t="s">
        <v>45</v>
      </c>
      <c r="C405" s="8" t="s">
        <v>522</v>
      </c>
      <c r="D405" s="8">
        <v>1</v>
      </c>
      <c r="E405" s="8" t="s">
        <v>775</v>
      </c>
      <c r="F405" s="8" t="s">
        <v>524</v>
      </c>
      <c r="G405" s="8" t="s">
        <v>525</v>
      </c>
      <c r="H405" s="10">
        <v>8</v>
      </c>
      <c r="I405" s="10"/>
      <c r="J405" s="10">
        <v>8</v>
      </c>
      <c r="K405" s="10">
        <v>64.599999999999994</v>
      </c>
    </row>
    <row r="406" spans="1:11" x14ac:dyDescent="0.25">
      <c r="A406" s="8" t="s">
        <v>776</v>
      </c>
      <c r="B406" s="8" t="s">
        <v>45</v>
      </c>
      <c r="C406" s="8" t="s">
        <v>522</v>
      </c>
      <c r="D406" s="8">
        <v>1</v>
      </c>
      <c r="E406" s="8" t="s">
        <v>777</v>
      </c>
      <c r="F406" s="8" t="s">
        <v>524</v>
      </c>
      <c r="G406" s="8" t="s">
        <v>525</v>
      </c>
      <c r="H406" s="10">
        <v>21600</v>
      </c>
      <c r="I406" s="10"/>
      <c r="J406" s="10">
        <v>21600</v>
      </c>
      <c r="K406" s="10">
        <v>31.9</v>
      </c>
    </row>
    <row r="407" spans="1:11" x14ac:dyDescent="0.25">
      <c r="A407" s="8" t="s">
        <v>778</v>
      </c>
      <c r="B407" s="8" t="s">
        <v>45</v>
      </c>
      <c r="C407" s="8" t="s">
        <v>522</v>
      </c>
      <c r="D407" s="8">
        <v>1</v>
      </c>
      <c r="E407" s="8" t="s">
        <v>779</v>
      </c>
      <c r="F407" s="8" t="s">
        <v>524</v>
      </c>
      <c r="G407" s="8" t="s">
        <v>525</v>
      </c>
      <c r="H407" s="10">
        <v>2160</v>
      </c>
      <c r="I407" s="10"/>
      <c r="J407" s="10">
        <v>2160</v>
      </c>
      <c r="K407" s="10">
        <v>37.9</v>
      </c>
    </row>
    <row r="408" spans="1:11" x14ac:dyDescent="0.25">
      <c r="A408" s="8" t="s">
        <v>780</v>
      </c>
      <c r="B408" s="8" t="s">
        <v>45</v>
      </c>
      <c r="C408" s="8" t="s">
        <v>522</v>
      </c>
      <c r="D408" s="8">
        <v>1</v>
      </c>
      <c r="E408" s="8" t="s">
        <v>781</v>
      </c>
      <c r="F408" s="8" t="s">
        <v>524</v>
      </c>
      <c r="G408" s="8" t="s">
        <v>525</v>
      </c>
      <c r="H408" s="10">
        <v>1080</v>
      </c>
      <c r="I408" s="10"/>
      <c r="J408" s="10">
        <v>1080</v>
      </c>
      <c r="K408" s="10">
        <v>43.9</v>
      </c>
    </row>
    <row r="409" spans="1:11" x14ac:dyDescent="0.25">
      <c r="A409" s="8" t="s">
        <v>782</v>
      </c>
      <c r="B409" s="8" t="s">
        <v>45</v>
      </c>
      <c r="C409" s="8" t="s">
        <v>522</v>
      </c>
      <c r="D409" s="8">
        <v>1</v>
      </c>
      <c r="E409" s="8" t="s">
        <v>783</v>
      </c>
      <c r="F409" s="8" t="s">
        <v>524</v>
      </c>
      <c r="G409" s="8" t="s">
        <v>525</v>
      </c>
      <c r="H409" s="10">
        <v>648</v>
      </c>
      <c r="I409" s="10"/>
      <c r="J409" s="10">
        <v>648</v>
      </c>
      <c r="K409" s="10">
        <v>36.4</v>
      </c>
    </row>
    <row r="410" spans="1:11" x14ac:dyDescent="0.25">
      <c r="A410" s="8" t="s">
        <v>784</v>
      </c>
      <c r="B410" s="8" t="s">
        <v>45</v>
      </c>
      <c r="C410" s="8" t="s">
        <v>522</v>
      </c>
      <c r="D410" s="8">
        <v>1</v>
      </c>
      <c r="E410" s="8" t="s">
        <v>785</v>
      </c>
      <c r="F410" s="8" t="s">
        <v>524</v>
      </c>
      <c r="G410" s="8" t="s">
        <v>525</v>
      </c>
      <c r="H410" s="10">
        <v>65</v>
      </c>
      <c r="I410" s="10"/>
      <c r="J410" s="10">
        <v>65</v>
      </c>
      <c r="K410" s="10">
        <v>56.5</v>
      </c>
    </row>
    <row r="411" spans="1:11" x14ac:dyDescent="0.25">
      <c r="A411" s="8" t="s">
        <v>786</v>
      </c>
      <c r="B411" s="8" t="s">
        <v>45</v>
      </c>
      <c r="C411" s="8" t="s">
        <v>522</v>
      </c>
      <c r="D411" s="8">
        <v>1</v>
      </c>
      <c r="E411" s="8" t="s">
        <v>787</v>
      </c>
      <c r="F411" s="8" t="s">
        <v>524</v>
      </c>
      <c r="G411" s="8" t="s">
        <v>525</v>
      </c>
      <c r="H411" s="10">
        <v>32</v>
      </c>
      <c r="I411" s="10"/>
      <c r="J411" s="10">
        <v>32</v>
      </c>
      <c r="K411" s="10">
        <v>64.599999999999994</v>
      </c>
    </row>
    <row r="412" spans="1:11" x14ac:dyDescent="0.25">
      <c r="A412" s="8" t="s">
        <v>788</v>
      </c>
      <c r="B412" s="8" t="s">
        <v>45</v>
      </c>
      <c r="C412" s="8" t="s">
        <v>522</v>
      </c>
      <c r="D412" s="8">
        <v>1</v>
      </c>
      <c r="E412" s="8" t="s">
        <v>789</v>
      </c>
      <c r="F412" s="8" t="s">
        <v>524</v>
      </c>
      <c r="G412" s="8" t="s">
        <v>525</v>
      </c>
      <c r="H412" s="10">
        <v>1800</v>
      </c>
      <c r="I412" s="10"/>
      <c r="J412" s="10">
        <v>1800</v>
      </c>
      <c r="K412" s="10">
        <v>117.7</v>
      </c>
    </row>
    <row r="413" spans="1:11" x14ac:dyDescent="0.25">
      <c r="A413" s="8" t="s">
        <v>790</v>
      </c>
      <c r="B413" s="8" t="s">
        <v>45</v>
      </c>
      <c r="C413" s="8" t="s">
        <v>522</v>
      </c>
      <c r="D413" s="8">
        <v>1</v>
      </c>
      <c r="E413" s="8" t="s">
        <v>791</v>
      </c>
      <c r="F413" s="8" t="s">
        <v>524</v>
      </c>
      <c r="G413" s="8" t="s">
        <v>525</v>
      </c>
      <c r="H413" s="10">
        <v>180</v>
      </c>
      <c r="I413" s="10"/>
      <c r="J413" s="10">
        <v>180</v>
      </c>
      <c r="K413" s="10">
        <v>163.69999999999999</v>
      </c>
    </row>
    <row r="414" spans="1:11" x14ac:dyDescent="0.25">
      <c r="A414" s="8" t="s">
        <v>792</v>
      </c>
      <c r="B414" s="8" t="s">
        <v>45</v>
      </c>
      <c r="C414" s="8" t="s">
        <v>522</v>
      </c>
      <c r="D414" s="8">
        <v>1</v>
      </c>
      <c r="E414" s="8" t="s">
        <v>793</v>
      </c>
      <c r="F414" s="8" t="s">
        <v>524</v>
      </c>
      <c r="G414" s="8" t="s">
        <v>525</v>
      </c>
      <c r="H414" s="10">
        <v>90</v>
      </c>
      <c r="I414" s="10"/>
      <c r="J414" s="10">
        <v>90</v>
      </c>
      <c r="K414" s="10">
        <v>209.7</v>
      </c>
    </row>
    <row r="415" spans="1:11" x14ac:dyDescent="0.25">
      <c r="A415" s="8" t="s">
        <v>794</v>
      </c>
      <c r="B415" s="8" t="s">
        <v>45</v>
      </c>
      <c r="C415" s="8" t="s">
        <v>522</v>
      </c>
      <c r="D415" s="8">
        <v>1</v>
      </c>
      <c r="E415" s="8" t="s">
        <v>795</v>
      </c>
      <c r="F415" s="8" t="s">
        <v>524</v>
      </c>
      <c r="G415" s="8" t="s">
        <v>525</v>
      </c>
      <c r="H415" s="10">
        <v>54</v>
      </c>
      <c r="I415" s="10"/>
      <c r="J415" s="10">
        <v>54</v>
      </c>
      <c r="K415" s="10">
        <v>151.80000000000001</v>
      </c>
    </row>
    <row r="416" spans="1:11" x14ac:dyDescent="0.25">
      <c r="A416" s="8" t="s">
        <v>796</v>
      </c>
      <c r="B416" s="8" t="s">
        <v>45</v>
      </c>
      <c r="C416" s="8" t="s">
        <v>522</v>
      </c>
      <c r="D416" s="8">
        <v>1</v>
      </c>
      <c r="E416" s="8" t="s">
        <v>797</v>
      </c>
      <c r="F416" s="8" t="s">
        <v>524</v>
      </c>
      <c r="G416" s="8" t="s">
        <v>525</v>
      </c>
      <c r="H416" s="10">
        <v>8</v>
      </c>
      <c r="I416" s="10"/>
      <c r="J416" s="10">
        <v>8</v>
      </c>
      <c r="K416" s="10">
        <v>307</v>
      </c>
    </row>
    <row r="417" spans="1:11" x14ac:dyDescent="0.25">
      <c r="A417" s="8" t="s">
        <v>798</v>
      </c>
      <c r="B417" s="8" t="s">
        <v>45</v>
      </c>
      <c r="C417" s="8" t="s">
        <v>522</v>
      </c>
      <c r="D417" s="8">
        <v>1</v>
      </c>
      <c r="E417" s="8" t="s">
        <v>799</v>
      </c>
      <c r="F417" s="8" t="s">
        <v>524</v>
      </c>
      <c r="G417" s="8" t="s">
        <v>525</v>
      </c>
      <c r="H417" s="10">
        <v>4</v>
      </c>
      <c r="I417" s="10"/>
      <c r="J417" s="10">
        <v>4</v>
      </c>
      <c r="K417" s="10">
        <v>370</v>
      </c>
    </row>
    <row r="418" spans="1:11" x14ac:dyDescent="0.25">
      <c r="A418" s="8" t="s">
        <v>800</v>
      </c>
      <c r="B418" s="8" t="s">
        <v>45</v>
      </c>
      <c r="C418" s="8" t="s">
        <v>522</v>
      </c>
      <c r="D418" s="8">
        <v>1</v>
      </c>
      <c r="E418" s="8" t="s">
        <v>801</v>
      </c>
      <c r="F418" s="8" t="s">
        <v>524</v>
      </c>
      <c r="G418" s="8" t="s">
        <v>525</v>
      </c>
      <c r="H418" s="10">
        <v>5400</v>
      </c>
      <c r="I418" s="10"/>
      <c r="J418" s="10">
        <v>5400</v>
      </c>
      <c r="K418" s="10">
        <v>71.7</v>
      </c>
    </row>
    <row r="419" spans="1:11" x14ac:dyDescent="0.25">
      <c r="A419" s="8" t="s">
        <v>802</v>
      </c>
      <c r="B419" s="8" t="s">
        <v>45</v>
      </c>
      <c r="C419" s="8" t="s">
        <v>522</v>
      </c>
      <c r="D419" s="8">
        <v>1</v>
      </c>
      <c r="E419" s="8" t="s">
        <v>803</v>
      </c>
      <c r="F419" s="8" t="s">
        <v>524</v>
      </c>
      <c r="G419" s="8" t="s">
        <v>525</v>
      </c>
      <c r="H419" s="10">
        <v>540</v>
      </c>
      <c r="I419" s="10"/>
      <c r="J419" s="10">
        <v>540</v>
      </c>
      <c r="K419" s="10">
        <v>96.2</v>
      </c>
    </row>
    <row r="420" spans="1:11" x14ac:dyDescent="0.25">
      <c r="A420" s="8" t="s">
        <v>804</v>
      </c>
      <c r="B420" s="8" t="s">
        <v>45</v>
      </c>
      <c r="C420" s="8" t="s">
        <v>522</v>
      </c>
      <c r="D420" s="8">
        <v>1</v>
      </c>
      <c r="E420" s="8" t="s">
        <v>805</v>
      </c>
      <c r="F420" s="8" t="s">
        <v>524</v>
      </c>
      <c r="G420" s="8" t="s">
        <v>525</v>
      </c>
      <c r="H420" s="10">
        <v>270</v>
      </c>
      <c r="I420" s="10"/>
      <c r="J420" s="10">
        <v>270</v>
      </c>
      <c r="K420" s="10">
        <v>120.7</v>
      </c>
    </row>
    <row r="421" spans="1:11" x14ac:dyDescent="0.25">
      <c r="A421" s="8" t="s">
        <v>806</v>
      </c>
      <c r="B421" s="8" t="s">
        <v>45</v>
      </c>
      <c r="C421" s="8" t="s">
        <v>522</v>
      </c>
      <c r="D421" s="8">
        <v>1</v>
      </c>
      <c r="E421" s="8" t="s">
        <v>807</v>
      </c>
      <c r="F421" s="8" t="s">
        <v>524</v>
      </c>
      <c r="G421" s="8" t="s">
        <v>525</v>
      </c>
      <c r="H421" s="10">
        <v>162</v>
      </c>
      <c r="I421" s="10"/>
      <c r="J421" s="10">
        <v>162</v>
      </c>
      <c r="K421" s="10">
        <v>89.9</v>
      </c>
    </row>
    <row r="422" spans="1:11" x14ac:dyDescent="0.25">
      <c r="A422" s="8" t="s">
        <v>808</v>
      </c>
      <c r="B422" s="8" t="s">
        <v>45</v>
      </c>
      <c r="C422" s="8" t="s">
        <v>522</v>
      </c>
      <c r="D422" s="8">
        <v>1</v>
      </c>
      <c r="E422" s="8" t="s">
        <v>809</v>
      </c>
      <c r="F422" s="8" t="s">
        <v>524</v>
      </c>
      <c r="G422" s="8" t="s">
        <v>525</v>
      </c>
      <c r="H422" s="10">
        <v>16</v>
      </c>
      <c r="I422" s="10"/>
      <c r="J422" s="10">
        <v>16</v>
      </c>
      <c r="K422" s="10">
        <v>172.5</v>
      </c>
    </row>
    <row r="423" spans="1:11" x14ac:dyDescent="0.25">
      <c r="A423" s="8" t="s">
        <v>810</v>
      </c>
      <c r="B423" s="8" t="s">
        <v>45</v>
      </c>
      <c r="C423" s="8" t="s">
        <v>522</v>
      </c>
      <c r="D423" s="8">
        <v>1</v>
      </c>
      <c r="E423" s="8" t="s">
        <v>811</v>
      </c>
      <c r="F423" s="8" t="s">
        <v>524</v>
      </c>
      <c r="G423" s="8" t="s">
        <v>525</v>
      </c>
      <c r="H423" s="10">
        <v>8</v>
      </c>
      <c r="I423" s="10"/>
      <c r="J423" s="10">
        <v>8</v>
      </c>
      <c r="K423" s="10">
        <v>206.1</v>
      </c>
    </row>
    <row r="424" spans="1:11" x14ac:dyDescent="0.25">
      <c r="A424" s="8" t="s">
        <v>812</v>
      </c>
      <c r="B424" s="8" t="s">
        <v>45</v>
      </c>
      <c r="C424" s="8" t="s">
        <v>522</v>
      </c>
      <c r="D424" s="8">
        <v>1</v>
      </c>
      <c r="E424" s="8" t="s">
        <v>813</v>
      </c>
      <c r="F424" s="8" t="s">
        <v>524</v>
      </c>
      <c r="G424" s="8" t="s">
        <v>525</v>
      </c>
      <c r="H424" s="10">
        <v>1300</v>
      </c>
      <c r="I424" s="10"/>
      <c r="J424" s="10">
        <v>1300</v>
      </c>
      <c r="K424" s="10">
        <v>117.7</v>
      </c>
    </row>
    <row r="425" spans="1:11" x14ac:dyDescent="0.25">
      <c r="A425" s="8" t="s">
        <v>814</v>
      </c>
      <c r="B425" s="8" t="s">
        <v>45</v>
      </c>
      <c r="C425" s="8" t="s">
        <v>522</v>
      </c>
      <c r="D425" s="8">
        <v>1</v>
      </c>
      <c r="E425" s="8" t="s">
        <v>815</v>
      </c>
      <c r="F425" s="8" t="s">
        <v>524</v>
      </c>
      <c r="G425" s="8" t="s">
        <v>525</v>
      </c>
      <c r="H425" s="10">
        <v>130</v>
      </c>
      <c r="I425" s="10"/>
      <c r="J425" s="10">
        <v>130</v>
      </c>
      <c r="K425" s="10">
        <v>163.69999999999999</v>
      </c>
    </row>
    <row r="426" spans="1:11" x14ac:dyDescent="0.25">
      <c r="A426" s="8" t="s">
        <v>816</v>
      </c>
      <c r="B426" s="8" t="s">
        <v>45</v>
      </c>
      <c r="C426" s="8" t="s">
        <v>522</v>
      </c>
      <c r="D426" s="8">
        <v>1</v>
      </c>
      <c r="E426" s="8" t="s">
        <v>817</v>
      </c>
      <c r="F426" s="8" t="s">
        <v>524</v>
      </c>
      <c r="G426" s="8" t="s">
        <v>525</v>
      </c>
      <c r="H426" s="10">
        <v>65</v>
      </c>
      <c r="I426" s="10"/>
      <c r="J426" s="10">
        <v>65</v>
      </c>
      <c r="K426" s="10">
        <v>209.7</v>
      </c>
    </row>
    <row r="427" spans="1:11" x14ac:dyDescent="0.25">
      <c r="A427" s="8" t="s">
        <v>818</v>
      </c>
      <c r="B427" s="8" t="s">
        <v>45</v>
      </c>
      <c r="C427" s="8" t="s">
        <v>522</v>
      </c>
      <c r="D427" s="8">
        <v>1</v>
      </c>
      <c r="E427" s="8" t="s">
        <v>819</v>
      </c>
      <c r="F427" s="8" t="s">
        <v>524</v>
      </c>
      <c r="G427" s="8" t="s">
        <v>525</v>
      </c>
      <c r="H427" s="10">
        <v>39</v>
      </c>
      <c r="I427" s="10"/>
      <c r="J427" s="10">
        <v>39</v>
      </c>
      <c r="K427" s="10">
        <v>151.80000000000001</v>
      </c>
    </row>
    <row r="428" spans="1:11" x14ac:dyDescent="0.25">
      <c r="A428" s="8" t="s">
        <v>820</v>
      </c>
      <c r="B428" s="8" t="s">
        <v>45</v>
      </c>
      <c r="C428" s="8" t="s">
        <v>522</v>
      </c>
      <c r="D428" s="8">
        <v>1</v>
      </c>
      <c r="E428" s="8" t="s">
        <v>821</v>
      </c>
      <c r="F428" s="8" t="s">
        <v>524</v>
      </c>
      <c r="G428" s="8" t="s">
        <v>525</v>
      </c>
      <c r="H428" s="10">
        <v>8</v>
      </c>
      <c r="I428" s="10"/>
      <c r="J428" s="10">
        <v>8</v>
      </c>
      <c r="K428" s="10">
        <v>307</v>
      </c>
    </row>
    <row r="429" spans="1:11" x14ac:dyDescent="0.25">
      <c r="A429" s="8" t="s">
        <v>822</v>
      </c>
      <c r="B429" s="8" t="s">
        <v>45</v>
      </c>
      <c r="C429" s="8" t="s">
        <v>522</v>
      </c>
      <c r="D429" s="8">
        <v>1</v>
      </c>
      <c r="E429" s="8" t="s">
        <v>823</v>
      </c>
      <c r="F429" s="8" t="s">
        <v>524</v>
      </c>
      <c r="G429" s="8" t="s">
        <v>525</v>
      </c>
      <c r="H429" s="10">
        <v>4</v>
      </c>
      <c r="I429" s="10"/>
      <c r="J429" s="10">
        <v>4</v>
      </c>
      <c r="K429" s="10">
        <v>370</v>
      </c>
    </row>
    <row r="430" spans="1:11" x14ac:dyDescent="0.25">
      <c r="A430" s="8" t="s">
        <v>824</v>
      </c>
      <c r="B430" s="8" t="s">
        <v>45</v>
      </c>
      <c r="C430" s="8" t="s">
        <v>522</v>
      </c>
      <c r="D430" s="8">
        <v>1</v>
      </c>
      <c r="E430" s="8" t="s">
        <v>825</v>
      </c>
      <c r="F430" s="8" t="s">
        <v>524</v>
      </c>
      <c r="G430" s="8" t="s">
        <v>525</v>
      </c>
      <c r="H430" s="10">
        <v>5400</v>
      </c>
      <c r="I430" s="10"/>
      <c r="J430" s="10">
        <v>5400</v>
      </c>
      <c r="K430" s="10">
        <v>59.6</v>
      </c>
    </row>
    <row r="431" spans="1:11" x14ac:dyDescent="0.25">
      <c r="A431" s="8" t="s">
        <v>826</v>
      </c>
      <c r="B431" s="8" t="s">
        <v>45</v>
      </c>
      <c r="C431" s="8" t="s">
        <v>522</v>
      </c>
      <c r="D431" s="8">
        <v>1</v>
      </c>
      <c r="E431" s="8" t="s">
        <v>827</v>
      </c>
      <c r="F431" s="8" t="s">
        <v>524</v>
      </c>
      <c r="G431" s="8" t="s">
        <v>525</v>
      </c>
      <c r="H431" s="10">
        <v>540</v>
      </c>
      <c r="I431" s="10"/>
      <c r="J431" s="10">
        <v>540</v>
      </c>
      <c r="K431" s="10">
        <v>78.400000000000006</v>
      </c>
    </row>
    <row r="432" spans="1:11" x14ac:dyDescent="0.25">
      <c r="A432" s="8" t="s">
        <v>828</v>
      </c>
      <c r="B432" s="8" t="s">
        <v>45</v>
      </c>
      <c r="C432" s="8" t="s">
        <v>522</v>
      </c>
      <c r="D432" s="8">
        <v>1</v>
      </c>
      <c r="E432" s="8" t="s">
        <v>829</v>
      </c>
      <c r="F432" s="8" t="s">
        <v>524</v>
      </c>
      <c r="G432" s="8" t="s">
        <v>525</v>
      </c>
      <c r="H432" s="10">
        <v>270</v>
      </c>
      <c r="I432" s="10"/>
      <c r="J432" s="10">
        <v>270</v>
      </c>
      <c r="K432" s="10">
        <v>97.3</v>
      </c>
    </row>
    <row r="433" spans="1:11" x14ac:dyDescent="0.25">
      <c r="A433" s="8" t="s">
        <v>830</v>
      </c>
      <c r="B433" s="8" t="s">
        <v>45</v>
      </c>
      <c r="C433" s="8" t="s">
        <v>522</v>
      </c>
      <c r="D433" s="8">
        <v>1</v>
      </c>
      <c r="E433" s="8" t="s">
        <v>831</v>
      </c>
      <c r="F433" s="8" t="s">
        <v>524</v>
      </c>
      <c r="G433" s="8" t="s">
        <v>525</v>
      </c>
      <c r="H433" s="10">
        <v>162</v>
      </c>
      <c r="I433" s="10"/>
      <c r="J433" s="10">
        <v>162</v>
      </c>
      <c r="K433" s="10">
        <v>73.599999999999994</v>
      </c>
    </row>
    <row r="434" spans="1:11" x14ac:dyDescent="0.25">
      <c r="A434" s="8" t="s">
        <v>832</v>
      </c>
      <c r="B434" s="8" t="s">
        <v>45</v>
      </c>
      <c r="C434" s="8" t="s">
        <v>522</v>
      </c>
      <c r="D434" s="8">
        <v>1</v>
      </c>
      <c r="E434" s="8" t="s">
        <v>833</v>
      </c>
      <c r="F434" s="8" t="s">
        <v>524</v>
      </c>
      <c r="G434" s="8" t="s">
        <v>525</v>
      </c>
      <c r="H434" s="10">
        <v>16</v>
      </c>
      <c r="I434" s="10"/>
      <c r="J434" s="10">
        <v>16</v>
      </c>
      <c r="K434" s="10">
        <v>137.1</v>
      </c>
    </row>
    <row r="435" spans="1:11" x14ac:dyDescent="0.25">
      <c r="A435" s="8" t="s">
        <v>834</v>
      </c>
      <c r="B435" s="8" t="s">
        <v>45</v>
      </c>
      <c r="C435" s="8" t="s">
        <v>522</v>
      </c>
      <c r="D435" s="8">
        <v>1</v>
      </c>
      <c r="E435" s="8" t="s">
        <v>835</v>
      </c>
      <c r="F435" s="8" t="s">
        <v>524</v>
      </c>
      <c r="G435" s="8" t="s">
        <v>525</v>
      </c>
      <c r="H435" s="10">
        <v>8</v>
      </c>
      <c r="I435" s="10"/>
      <c r="J435" s="10">
        <v>8</v>
      </c>
      <c r="K435" s="10">
        <v>163</v>
      </c>
    </row>
    <row r="436" spans="1:11" x14ac:dyDescent="0.25">
      <c r="A436" s="8" t="s">
        <v>836</v>
      </c>
      <c r="B436" s="8" t="s">
        <v>45</v>
      </c>
      <c r="C436" s="8" t="s">
        <v>522</v>
      </c>
      <c r="D436" s="8">
        <v>1</v>
      </c>
      <c r="E436" s="8" t="s">
        <v>837</v>
      </c>
      <c r="F436" s="8" t="s">
        <v>524</v>
      </c>
      <c r="G436" s="8" t="s">
        <v>525</v>
      </c>
      <c r="H436" s="10">
        <v>2600</v>
      </c>
      <c r="I436" s="10"/>
      <c r="J436" s="10">
        <v>2600</v>
      </c>
      <c r="K436" s="10">
        <v>59.6</v>
      </c>
    </row>
    <row r="437" spans="1:11" x14ac:dyDescent="0.25">
      <c r="A437" s="8" t="s">
        <v>838</v>
      </c>
      <c r="B437" s="8" t="s">
        <v>45</v>
      </c>
      <c r="C437" s="8" t="s">
        <v>522</v>
      </c>
      <c r="D437" s="8">
        <v>1</v>
      </c>
      <c r="E437" s="8" t="s">
        <v>839</v>
      </c>
      <c r="F437" s="8" t="s">
        <v>524</v>
      </c>
      <c r="G437" s="8" t="s">
        <v>525</v>
      </c>
      <c r="H437" s="10">
        <v>260</v>
      </c>
      <c r="I437" s="10"/>
      <c r="J437" s="10">
        <v>260</v>
      </c>
      <c r="K437" s="10">
        <v>78.400000000000006</v>
      </c>
    </row>
    <row r="438" spans="1:11" x14ac:dyDescent="0.25">
      <c r="A438" s="8" t="s">
        <v>840</v>
      </c>
      <c r="B438" s="8" t="s">
        <v>45</v>
      </c>
      <c r="C438" s="8" t="s">
        <v>522</v>
      </c>
      <c r="D438" s="8">
        <v>1</v>
      </c>
      <c r="E438" s="8" t="s">
        <v>841</v>
      </c>
      <c r="F438" s="8" t="s">
        <v>524</v>
      </c>
      <c r="G438" s="8" t="s">
        <v>525</v>
      </c>
      <c r="H438" s="10">
        <v>130</v>
      </c>
      <c r="I438" s="10"/>
      <c r="J438" s="10">
        <v>130</v>
      </c>
      <c r="K438" s="10">
        <v>97.3</v>
      </c>
    </row>
    <row r="439" spans="1:11" x14ac:dyDescent="0.25">
      <c r="A439" s="8" t="s">
        <v>842</v>
      </c>
      <c r="B439" s="8" t="s">
        <v>45</v>
      </c>
      <c r="C439" s="8" t="s">
        <v>522</v>
      </c>
      <c r="D439" s="8">
        <v>1</v>
      </c>
      <c r="E439" s="8" t="s">
        <v>843</v>
      </c>
      <c r="F439" s="8" t="s">
        <v>524</v>
      </c>
      <c r="G439" s="8" t="s">
        <v>525</v>
      </c>
      <c r="H439" s="10">
        <v>78</v>
      </c>
      <c r="I439" s="10"/>
      <c r="J439" s="10">
        <v>78</v>
      </c>
      <c r="K439" s="10">
        <v>73.599999999999994</v>
      </c>
    </row>
    <row r="440" spans="1:11" x14ac:dyDescent="0.25">
      <c r="A440" s="8" t="s">
        <v>844</v>
      </c>
      <c r="B440" s="8" t="s">
        <v>45</v>
      </c>
      <c r="C440" s="8" t="s">
        <v>522</v>
      </c>
      <c r="D440" s="8">
        <v>1</v>
      </c>
      <c r="E440" s="8" t="s">
        <v>845</v>
      </c>
      <c r="F440" s="8" t="s">
        <v>524</v>
      </c>
      <c r="G440" s="8" t="s">
        <v>525</v>
      </c>
      <c r="H440" s="10">
        <v>8</v>
      </c>
      <c r="I440" s="10"/>
      <c r="J440" s="10">
        <v>8</v>
      </c>
      <c r="K440" s="10">
        <v>137.1</v>
      </c>
    </row>
    <row r="441" spans="1:11" x14ac:dyDescent="0.25">
      <c r="A441" s="8" t="s">
        <v>846</v>
      </c>
      <c r="B441" s="8" t="s">
        <v>45</v>
      </c>
      <c r="C441" s="8" t="s">
        <v>522</v>
      </c>
      <c r="D441" s="8">
        <v>1</v>
      </c>
      <c r="E441" s="8" t="s">
        <v>847</v>
      </c>
      <c r="F441" s="8" t="s">
        <v>524</v>
      </c>
      <c r="G441" s="8" t="s">
        <v>525</v>
      </c>
      <c r="H441" s="10">
        <v>4</v>
      </c>
      <c r="I441" s="10"/>
      <c r="J441" s="10">
        <v>4</v>
      </c>
      <c r="K441" s="10">
        <v>163</v>
      </c>
    </row>
    <row r="442" spans="1:11" x14ac:dyDescent="0.25">
      <c r="A442" s="8" t="s">
        <v>848</v>
      </c>
      <c r="B442" s="8" t="s">
        <v>45</v>
      </c>
      <c r="C442" s="8" t="s">
        <v>522</v>
      </c>
      <c r="D442" s="8">
        <v>1</v>
      </c>
      <c r="E442" s="8" t="s">
        <v>849</v>
      </c>
      <c r="F442" s="8" t="s">
        <v>524</v>
      </c>
      <c r="G442" s="8" t="s">
        <v>525</v>
      </c>
      <c r="H442" s="10">
        <v>2600</v>
      </c>
      <c r="I442" s="10"/>
      <c r="J442" s="10">
        <v>2600</v>
      </c>
      <c r="K442" s="10">
        <v>117.7</v>
      </c>
    </row>
    <row r="443" spans="1:11" x14ac:dyDescent="0.25">
      <c r="A443" s="8" t="s">
        <v>850</v>
      </c>
      <c r="B443" s="8" t="s">
        <v>45</v>
      </c>
      <c r="C443" s="8" t="s">
        <v>522</v>
      </c>
      <c r="D443" s="8">
        <v>1</v>
      </c>
      <c r="E443" s="8" t="s">
        <v>851</v>
      </c>
      <c r="F443" s="8" t="s">
        <v>524</v>
      </c>
      <c r="G443" s="8" t="s">
        <v>525</v>
      </c>
      <c r="H443" s="10">
        <v>260</v>
      </c>
      <c r="I443" s="10"/>
      <c r="J443" s="10">
        <v>260</v>
      </c>
      <c r="K443" s="10">
        <v>163.69999999999999</v>
      </c>
    </row>
    <row r="444" spans="1:11" x14ac:dyDescent="0.25">
      <c r="A444" s="8" t="s">
        <v>852</v>
      </c>
      <c r="B444" s="8" t="s">
        <v>45</v>
      </c>
      <c r="C444" s="8" t="s">
        <v>522</v>
      </c>
      <c r="D444" s="8">
        <v>1</v>
      </c>
      <c r="E444" s="8" t="s">
        <v>853</v>
      </c>
      <c r="F444" s="8" t="s">
        <v>524</v>
      </c>
      <c r="G444" s="8" t="s">
        <v>525</v>
      </c>
      <c r="H444" s="10">
        <v>130</v>
      </c>
      <c r="I444" s="10"/>
      <c r="J444" s="10">
        <v>130</v>
      </c>
      <c r="K444" s="10">
        <v>209.7</v>
      </c>
    </row>
    <row r="445" spans="1:11" x14ac:dyDescent="0.25">
      <c r="A445" s="8" t="s">
        <v>854</v>
      </c>
      <c r="B445" s="8" t="s">
        <v>45</v>
      </c>
      <c r="C445" s="8" t="s">
        <v>522</v>
      </c>
      <c r="D445" s="8">
        <v>1</v>
      </c>
      <c r="E445" s="8" t="s">
        <v>855</v>
      </c>
      <c r="F445" s="8" t="s">
        <v>524</v>
      </c>
      <c r="G445" s="8" t="s">
        <v>525</v>
      </c>
      <c r="H445" s="10">
        <v>78</v>
      </c>
      <c r="I445" s="10"/>
      <c r="J445" s="10">
        <v>78</v>
      </c>
      <c r="K445" s="10">
        <v>151.80000000000001</v>
      </c>
    </row>
    <row r="446" spans="1:11" x14ac:dyDescent="0.25">
      <c r="A446" s="8" t="s">
        <v>856</v>
      </c>
      <c r="B446" s="8" t="s">
        <v>45</v>
      </c>
      <c r="C446" s="8" t="s">
        <v>522</v>
      </c>
      <c r="D446" s="8">
        <v>1</v>
      </c>
      <c r="E446" s="8" t="s">
        <v>857</v>
      </c>
      <c r="F446" s="8" t="s">
        <v>524</v>
      </c>
      <c r="G446" s="8" t="s">
        <v>525</v>
      </c>
      <c r="H446" s="10">
        <v>8</v>
      </c>
      <c r="I446" s="10"/>
      <c r="J446" s="10">
        <v>8</v>
      </c>
      <c r="K446" s="10">
        <v>307</v>
      </c>
    </row>
    <row r="447" spans="1:11" x14ac:dyDescent="0.25">
      <c r="A447" s="8" t="s">
        <v>858</v>
      </c>
      <c r="B447" s="8" t="s">
        <v>45</v>
      </c>
      <c r="C447" s="8" t="s">
        <v>522</v>
      </c>
      <c r="D447" s="8">
        <v>1</v>
      </c>
      <c r="E447" s="8" t="s">
        <v>859</v>
      </c>
      <c r="F447" s="8" t="s">
        <v>524</v>
      </c>
      <c r="G447" s="8" t="s">
        <v>525</v>
      </c>
      <c r="H447" s="10">
        <v>4</v>
      </c>
      <c r="I447" s="10"/>
      <c r="J447" s="10">
        <v>4</v>
      </c>
      <c r="K447" s="10">
        <v>370</v>
      </c>
    </row>
    <row r="448" spans="1:11" x14ac:dyDescent="0.25">
      <c r="A448" s="8" t="s">
        <v>860</v>
      </c>
      <c r="B448" s="8" t="s">
        <v>45</v>
      </c>
      <c r="C448" s="8" t="s">
        <v>522</v>
      </c>
      <c r="D448" s="8">
        <v>1</v>
      </c>
      <c r="E448" s="8" t="s">
        <v>861</v>
      </c>
      <c r="F448" s="8" t="s">
        <v>524</v>
      </c>
      <c r="G448" s="8" t="s">
        <v>525</v>
      </c>
      <c r="H448" s="10">
        <v>1800</v>
      </c>
      <c r="I448" s="10"/>
      <c r="J448" s="10">
        <v>1800</v>
      </c>
      <c r="K448" s="10">
        <v>117.7</v>
      </c>
    </row>
    <row r="449" spans="1:11" x14ac:dyDescent="0.25">
      <c r="A449" s="8" t="s">
        <v>862</v>
      </c>
      <c r="B449" s="8" t="s">
        <v>45</v>
      </c>
      <c r="C449" s="8" t="s">
        <v>522</v>
      </c>
      <c r="D449" s="8">
        <v>1</v>
      </c>
      <c r="E449" s="8" t="s">
        <v>863</v>
      </c>
      <c r="F449" s="8" t="s">
        <v>524</v>
      </c>
      <c r="G449" s="8" t="s">
        <v>525</v>
      </c>
      <c r="H449" s="10">
        <v>180</v>
      </c>
      <c r="I449" s="10"/>
      <c r="J449" s="10">
        <v>180</v>
      </c>
      <c r="K449" s="10">
        <v>163.69999999999999</v>
      </c>
    </row>
    <row r="450" spans="1:11" x14ac:dyDescent="0.25">
      <c r="A450" s="8" t="s">
        <v>864</v>
      </c>
      <c r="B450" s="8" t="s">
        <v>45</v>
      </c>
      <c r="C450" s="8" t="s">
        <v>522</v>
      </c>
      <c r="D450" s="8">
        <v>1</v>
      </c>
      <c r="E450" s="8" t="s">
        <v>865</v>
      </c>
      <c r="F450" s="8" t="s">
        <v>524</v>
      </c>
      <c r="G450" s="8" t="s">
        <v>525</v>
      </c>
      <c r="H450" s="10">
        <v>90</v>
      </c>
      <c r="I450" s="10"/>
      <c r="J450" s="10">
        <v>90</v>
      </c>
      <c r="K450" s="10">
        <v>209.7</v>
      </c>
    </row>
    <row r="451" spans="1:11" x14ac:dyDescent="0.25">
      <c r="A451" s="8" t="s">
        <v>866</v>
      </c>
      <c r="B451" s="8" t="s">
        <v>45</v>
      </c>
      <c r="C451" s="8" t="s">
        <v>522</v>
      </c>
      <c r="D451" s="8">
        <v>1</v>
      </c>
      <c r="E451" s="8" t="s">
        <v>867</v>
      </c>
      <c r="F451" s="8" t="s">
        <v>524</v>
      </c>
      <c r="G451" s="8" t="s">
        <v>525</v>
      </c>
      <c r="H451" s="10">
        <v>54</v>
      </c>
      <c r="I451" s="10"/>
      <c r="J451" s="10">
        <v>54</v>
      </c>
      <c r="K451" s="10">
        <v>151.80000000000001</v>
      </c>
    </row>
    <row r="452" spans="1:11" x14ac:dyDescent="0.25">
      <c r="A452" s="8" t="s">
        <v>868</v>
      </c>
      <c r="B452" s="8" t="s">
        <v>45</v>
      </c>
      <c r="C452" s="8" t="s">
        <v>522</v>
      </c>
      <c r="D452" s="8">
        <v>1</v>
      </c>
      <c r="E452" s="8" t="s">
        <v>869</v>
      </c>
      <c r="F452" s="8" t="s">
        <v>524</v>
      </c>
      <c r="G452" s="8" t="s">
        <v>525</v>
      </c>
      <c r="H452" s="10">
        <v>8</v>
      </c>
      <c r="I452" s="10"/>
      <c r="J452" s="10">
        <v>8</v>
      </c>
      <c r="K452" s="10">
        <v>307</v>
      </c>
    </row>
    <row r="453" spans="1:11" x14ac:dyDescent="0.25">
      <c r="A453" s="8" t="s">
        <v>870</v>
      </c>
      <c r="B453" s="8" t="s">
        <v>45</v>
      </c>
      <c r="C453" s="8" t="s">
        <v>522</v>
      </c>
      <c r="D453" s="8">
        <v>1</v>
      </c>
      <c r="E453" s="8" t="s">
        <v>871</v>
      </c>
      <c r="F453" s="8" t="s">
        <v>524</v>
      </c>
      <c r="G453" s="8" t="s">
        <v>525</v>
      </c>
      <c r="H453" s="10">
        <v>4</v>
      </c>
      <c r="I453" s="10"/>
      <c r="J453" s="10">
        <v>4</v>
      </c>
      <c r="K453" s="10">
        <v>370</v>
      </c>
    </row>
    <row r="454" spans="1:11" x14ac:dyDescent="0.25">
      <c r="A454" s="8" t="s">
        <v>872</v>
      </c>
      <c r="B454" s="8" t="s">
        <v>45</v>
      </c>
      <c r="C454" s="8" t="s">
        <v>522</v>
      </c>
      <c r="D454" s="8">
        <v>1</v>
      </c>
      <c r="E454" s="8" t="s">
        <v>873</v>
      </c>
      <c r="F454" s="8" t="s">
        <v>524</v>
      </c>
      <c r="G454" s="8" t="s">
        <v>525</v>
      </c>
      <c r="H454" s="10">
        <v>1800</v>
      </c>
      <c r="I454" s="10"/>
      <c r="J454" s="10">
        <v>1800</v>
      </c>
      <c r="K454" s="10">
        <v>78.099999999999994</v>
      </c>
    </row>
    <row r="455" spans="1:11" x14ac:dyDescent="0.25">
      <c r="A455" s="8" t="s">
        <v>874</v>
      </c>
      <c r="B455" s="8" t="s">
        <v>45</v>
      </c>
      <c r="C455" s="8" t="s">
        <v>522</v>
      </c>
      <c r="D455" s="8">
        <v>1</v>
      </c>
      <c r="E455" s="8" t="s">
        <v>875</v>
      </c>
      <c r="F455" s="8" t="s">
        <v>524</v>
      </c>
      <c r="G455" s="8" t="s">
        <v>525</v>
      </c>
      <c r="H455" s="10">
        <v>180</v>
      </c>
      <c r="I455" s="10"/>
      <c r="J455" s="10">
        <v>180</v>
      </c>
      <c r="K455" s="10">
        <v>105.7</v>
      </c>
    </row>
    <row r="456" spans="1:11" x14ac:dyDescent="0.25">
      <c r="A456" s="8" t="s">
        <v>876</v>
      </c>
      <c r="B456" s="8" t="s">
        <v>45</v>
      </c>
      <c r="C456" s="8" t="s">
        <v>522</v>
      </c>
      <c r="D456" s="8">
        <v>1</v>
      </c>
      <c r="E456" s="8" t="s">
        <v>877</v>
      </c>
      <c r="F456" s="8" t="s">
        <v>524</v>
      </c>
      <c r="G456" s="8" t="s">
        <v>525</v>
      </c>
      <c r="H456" s="10">
        <v>90</v>
      </c>
      <c r="I456" s="10"/>
      <c r="J456" s="10">
        <v>90</v>
      </c>
      <c r="K456" s="10">
        <v>133.19999999999999</v>
      </c>
    </row>
    <row r="457" spans="1:11" x14ac:dyDescent="0.25">
      <c r="A457" s="8" t="s">
        <v>878</v>
      </c>
      <c r="B457" s="8" t="s">
        <v>45</v>
      </c>
      <c r="C457" s="8" t="s">
        <v>522</v>
      </c>
      <c r="D457" s="8">
        <v>1</v>
      </c>
      <c r="E457" s="8" t="s">
        <v>879</v>
      </c>
      <c r="F457" s="8" t="s">
        <v>524</v>
      </c>
      <c r="G457" s="8" t="s">
        <v>525</v>
      </c>
      <c r="H457" s="10">
        <v>54</v>
      </c>
      <c r="I457" s="10"/>
      <c r="J457" s="10">
        <v>54</v>
      </c>
      <c r="K457" s="10">
        <v>98.6</v>
      </c>
    </row>
    <row r="458" spans="1:11" x14ac:dyDescent="0.25">
      <c r="A458" s="8" t="s">
        <v>880</v>
      </c>
      <c r="B458" s="8" t="s">
        <v>45</v>
      </c>
      <c r="C458" s="8" t="s">
        <v>522</v>
      </c>
      <c r="D458" s="8">
        <v>1</v>
      </c>
      <c r="E458" s="8" t="s">
        <v>881</v>
      </c>
      <c r="F458" s="8" t="s">
        <v>524</v>
      </c>
      <c r="G458" s="8" t="s">
        <v>525</v>
      </c>
      <c r="H458" s="10">
        <v>8</v>
      </c>
      <c r="I458" s="10"/>
      <c r="J458" s="10">
        <v>8</v>
      </c>
      <c r="K458" s="10">
        <v>191.5</v>
      </c>
    </row>
    <row r="459" spans="1:11" x14ac:dyDescent="0.25">
      <c r="A459" s="8" t="s">
        <v>882</v>
      </c>
      <c r="B459" s="8" t="s">
        <v>45</v>
      </c>
      <c r="C459" s="8" t="s">
        <v>522</v>
      </c>
      <c r="D459" s="8">
        <v>1</v>
      </c>
      <c r="E459" s="8" t="s">
        <v>883</v>
      </c>
      <c r="F459" s="8" t="s">
        <v>524</v>
      </c>
      <c r="G459" s="8" t="s">
        <v>525</v>
      </c>
      <c r="H459" s="10">
        <v>4</v>
      </c>
      <c r="I459" s="10"/>
      <c r="J459" s="10">
        <v>4</v>
      </c>
      <c r="K459" s="10">
        <v>229.2</v>
      </c>
    </row>
    <row r="460" spans="1:11" x14ac:dyDescent="0.25">
      <c r="A460" s="8" t="s">
        <v>884</v>
      </c>
      <c r="B460" s="8" t="s">
        <v>45</v>
      </c>
      <c r="C460" s="8" t="s">
        <v>522</v>
      </c>
      <c r="D460" s="8">
        <v>1</v>
      </c>
      <c r="E460" s="8" t="s">
        <v>885</v>
      </c>
      <c r="F460" s="8" t="s">
        <v>524</v>
      </c>
      <c r="G460" s="8" t="s">
        <v>525</v>
      </c>
      <c r="H460" s="10">
        <v>1800</v>
      </c>
      <c r="I460" s="10"/>
      <c r="J460" s="10">
        <v>1800</v>
      </c>
      <c r="K460" s="10">
        <v>149</v>
      </c>
    </row>
    <row r="461" spans="1:11" x14ac:dyDescent="0.25">
      <c r="A461" s="8" t="s">
        <v>886</v>
      </c>
      <c r="B461" s="8" t="s">
        <v>45</v>
      </c>
      <c r="C461" s="8" t="s">
        <v>522</v>
      </c>
      <c r="D461" s="8">
        <v>1</v>
      </c>
      <c r="E461" s="8" t="s">
        <v>887</v>
      </c>
      <c r="F461" s="8" t="s">
        <v>524</v>
      </c>
      <c r="G461" s="8" t="s">
        <v>525</v>
      </c>
      <c r="H461" s="10">
        <v>180</v>
      </c>
      <c r="I461" s="10"/>
      <c r="J461" s="10">
        <v>180</v>
      </c>
      <c r="K461" s="10">
        <v>209.2</v>
      </c>
    </row>
    <row r="462" spans="1:11" x14ac:dyDescent="0.25">
      <c r="A462" s="8" t="s">
        <v>888</v>
      </c>
      <c r="B462" s="8" t="s">
        <v>45</v>
      </c>
      <c r="C462" s="8" t="s">
        <v>522</v>
      </c>
      <c r="D462" s="8">
        <v>1</v>
      </c>
      <c r="E462" s="8" t="s">
        <v>889</v>
      </c>
      <c r="F462" s="8" t="s">
        <v>524</v>
      </c>
      <c r="G462" s="8" t="s">
        <v>525</v>
      </c>
      <c r="H462" s="10">
        <v>90</v>
      </c>
      <c r="I462" s="10"/>
      <c r="J462" s="10">
        <v>90</v>
      </c>
      <c r="K462" s="10">
        <v>269.39999999999998</v>
      </c>
    </row>
    <row r="463" spans="1:11" x14ac:dyDescent="0.25">
      <c r="A463" s="8" t="s">
        <v>890</v>
      </c>
      <c r="B463" s="8" t="s">
        <v>45</v>
      </c>
      <c r="C463" s="8" t="s">
        <v>522</v>
      </c>
      <c r="D463" s="8">
        <v>1</v>
      </c>
      <c r="E463" s="8" t="s">
        <v>891</v>
      </c>
      <c r="F463" s="8" t="s">
        <v>524</v>
      </c>
      <c r="G463" s="8" t="s">
        <v>525</v>
      </c>
      <c r="H463" s="10">
        <v>54</v>
      </c>
      <c r="I463" s="10"/>
      <c r="J463" s="10">
        <v>54</v>
      </c>
      <c r="K463" s="10">
        <v>193.7</v>
      </c>
    </row>
    <row r="464" spans="1:11" x14ac:dyDescent="0.25">
      <c r="A464" s="8" t="s">
        <v>892</v>
      </c>
      <c r="B464" s="8" t="s">
        <v>45</v>
      </c>
      <c r="C464" s="8" t="s">
        <v>522</v>
      </c>
      <c r="D464" s="8">
        <v>1</v>
      </c>
      <c r="E464" s="8" t="s">
        <v>893</v>
      </c>
      <c r="F464" s="8" t="s">
        <v>524</v>
      </c>
      <c r="G464" s="8" t="s">
        <v>525</v>
      </c>
      <c r="H464" s="10">
        <v>8</v>
      </c>
      <c r="I464" s="10"/>
      <c r="J464" s="10">
        <v>8</v>
      </c>
      <c r="K464" s="10">
        <v>396.6</v>
      </c>
    </row>
    <row r="465" spans="1:11" x14ac:dyDescent="0.25">
      <c r="A465" s="8" t="s">
        <v>894</v>
      </c>
      <c r="B465" s="8" t="s">
        <v>45</v>
      </c>
      <c r="C465" s="8" t="s">
        <v>522</v>
      </c>
      <c r="D465" s="8">
        <v>1</v>
      </c>
      <c r="E465" s="8" t="s">
        <v>895</v>
      </c>
      <c r="F465" s="8" t="s">
        <v>524</v>
      </c>
      <c r="G465" s="8" t="s">
        <v>525</v>
      </c>
      <c r="H465" s="10">
        <v>4</v>
      </c>
      <c r="I465" s="10"/>
      <c r="J465" s="10">
        <v>4</v>
      </c>
      <c r="K465" s="10">
        <v>479.2</v>
      </c>
    </row>
    <row r="466" spans="1:11" x14ac:dyDescent="0.25">
      <c r="A466" s="8" t="s">
        <v>896</v>
      </c>
      <c r="B466" s="8" t="s">
        <v>45</v>
      </c>
      <c r="C466" s="8" t="s">
        <v>522</v>
      </c>
      <c r="D466" s="8">
        <v>1</v>
      </c>
      <c r="E466" s="8" t="s">
        <v>897</v>
      </c>
      <c r="F466" s="8" t="s">
        <v>524</v>
      </c>
      <c r="G466" s="8" t="s">
        <v>525</v>
      </c>
      <c r="H466" s="10">
        <v>3600</v>
      </c>
      <c r="I466" s="10"/>
      <c r="J466" s="10">
        <v>3600</v>
      </c>
      <c r="K466" s="10">
        <v>37.700000000000003</v>
      </c>
    </row>
    <row r="467" spans="1:11" x14ac:dyDescent="0.25">
      <c r="A467" s="8" t="s">
        <v>898</v>
      </c>
      <c r="B467" s="8" t="s">
        <v>45</v>
      </c>
      <c r="C467" s="8" t="s">
        <v>522</v>
      </c>
      <c r="D467" s="8">
        <v>1</v>
      </c>
      <c r="E467" s="8" t="s">
        <v>899</v>
      </c>
      <c r="F467" s="8" t="s">
        <v>524</v>
      </c>
      <c r="G467" s="8" t="s">
        <v>525</v>
      </c>
      <c r="H467" s="10">
        <v>360</v>
      </c>
      <c r="I467" s="10"/>
      <c r="J467" s="10">
        <v>360</v>
      </c>
      <c r="K467" s="10">
        <v>46.3</v>
      </c>
    </row>
    <row r="468" spans="1:11" x14ac:dyDescent="0.25">
      <c r="A468" s="8" t="s">
        <v>900</v>
      </c>
      <c r="B468" s="8" t="s">
        <v>45</v>
      </c>
      <c r="C468" s="8" t="s">
        <v>522</v>
      </c>
      <c r="D468" s="8">
        <v>1</v>
      </c>
      <c r="E468" s="8" t="s">
        <v>901</v>
      </c>
      <c r="F468" s="8" t="s">
        <v>524</v>
      </c>
      <c r="G468" s="8" t="s">
        <v>525</v>
      </c>
      <c r="H468" s="10">
        <v>180</v>
      </c>
      <c r="I468" s="10"/>
      <c r="J468" s="10">
        <v>180</v>
      </c>
      <c r="K468" s="10">
        <v>54.9</v>
      </c>
    </row>
    <row r="469" spans="1:11" x14ac:dyDescent="0.25">
      <c r="A469" s="8" t="s">
        <v>902</v>
      </c>
      <c r="B469" s="8" t="s">
        <v>45</v>
      </c>
      <c r="C469" s="8" t="s">
        <v>522</v>
      </c>
      <c r="D469" s="8">
        <v>1</v>
      </c>
      <c r="E469" s="8" t="s">
        <v>903</v>
      </c>
      <c r="F469" s="8" t="s">
        <v>524</v>
      </c>
      <c r="G469" s="8" t="s">
        <v>525</v>
      </c>
      <c r="H469" s="10">
        <v>108</v>
      </c>
      <c r="I469" s="10"/>
      <c r="J469" s="10">
        <v>108</v>
      </c>
      <c r="K469" s="10">
        <v>44.1</v>
      </c>
    </row>
    <row r="470" spans="1:11" x14ac:dyDescent="0.25">
      <c r="A470" s="8" t="s">
        <v>904</v>
      </c>
      <c r="B470" s="8" t="s">
        <v>45</v>
      </c>
      <c r="C470" s="8" t="s">
        <v>522</v>
      </c>
      <c r="D470" s="8">
        <v>1</v>
      </c>
      <c r="E470" s="8" t="s">
        <v>905</v>
      </c>
      <c r="F470" s="8" t="s">
        <v>524</v>
      </c>
      <c r="G470" s="8" t="s">
        <v>525</v>
      </c>
      <c r="H470" s="10">
        <v>12</v>
      </c>
      <c r="I470" s="10"/>
      <c r="J470" s="10">
        <v>12</v>
      </c>
      <c r="K470" s="10">
        <v>73.099999999999994</v>
      </c>
    </row>
    <row r="471" spans="1:11" x14ac:dyDescent="0.25">
      <c r="A471" s="8" t="s">
        <v>906</v>
      </c>
      <c r="B471" s="8" t="s">
        <v>45</v>
      </c>
      <c r="C471" s="8" t="s">
        <v>522</v>
      </c>
      <c r="D471" s="8">
        <v>1</v>
      </c>
      <c r="E471" s="8" t="s">
        <v>907</v>
      </c>
      <c r="F471" s="8" t="s">
        <v>524</v>
      </c>
      <c r="G471" s="8" t="s">
        <v>525</v>
      </c>
      <c r="H471" s="10">
        <v>8</v>
      </c>
      <c r="I471" s="10"/>
      <c r="J471" s="10">
        <v>8</v>
      </c>
      <c r="K471" s="10">
        <v>85</v>
      </c>
    </row>
    <row r="472" spans="1:11" x14ac:dyDescent="0.25">
      <c r="A472" s="8" t="s">
        <v>908</v>
      </c>
      <c r="B472" s="8" t="s">
        <v>132</v>
      </c>
      <c r="C472" s="8" t="s">
        <v>909</v>
      </c>
      <c r="D472" s="8">
        <v>5</v>
      </c>
      <c r="E472" s="8" t="s">
        <v>910</v>
      </c>
      <c r="F472" s="8" t="s">
        <v>911</v>
      </c>
      <c r="G472" s="8" t="s">
        <v>912</v>
      </c>
      <c r="H472" s="10">
        <v>1</v>
      </c>
      <c r="I472" s="10"/>
      <c r="J472" s="10">
        <v>1</v>
      </c>
      <c r="K472" s="10">
        <v>3741.88</v>
      </c>
    </row>
    <row r="473" spans="1:11" x14ac:dyDescent="0.25">
      <c r="A473" s="8" t="s">
        <v>913</v>
      </c>
      <c r="B473" s="8" t="s">
        <v>132</v>
      </c>
      <c r="C473" s="8" t="s">
        <v>909</v>
      </c>
      <c r="D473" s="8">
        <v>5</v>
      </c>
      <c r="E473" s="8" t="s">
        <v>914</v>
      </c>
      <c r="F473" s="8" t="s">
        <v>911</v>
      </c>
      <c r="G473" s="8" t="s">
        <v>912</v>
      </c>
      <c r="H473" s="10">
        <v>1</v>
      </c>
      <c r="I473" s="10"/>
      <c r="J473" s="10">
        <v>1</v>
      </c>
      <c r="K473" s="10">
        <v>4625.42</v>
      </c>
    </row>
    <row r="474" spans="1:11" x14ac:dyDescent="0.25">
      <c r="A474" s="8" t="s">
        <v>915</v>
      </c>
      <c r="B474" s="8" t="s">
        <v>134</v>
      </c>
      <c r="C474" s="8" t="s">
        <v>909</v>
      </c>
      <c r="D474" s="8">
        <v>5</v>
      </c>
      <c r="E474" s="8" t="s">
        <v>916</v>
      </c>
      <c r="F474" s="8" t="s">
        <v>911</v>
      </c>
      <c r="G474" s="8" t="s">
        <v>912</v>
      </c>
      <c r="H474" s="10">
        <v>1</v>
      </c>
      <c r="I474" s="10"/>
      <c r="J474" s="10">
        <v>1</v>
      </c>
      <c r="K474" s="10">
        <v>4459.92</v>
      </c>
    </row>
    <row r="475" spans="1:11" x14ac:dyDescent="0.25">
      <c r="A475" s="8" t="s">
        <v>917</v>
      </c>
      <c r="B475" s="8" t="s">
        <v>128</v>
      </c>
      <c r="C475" s="8" t="s">
        <v>918</v>
      </c>
      <c r="D475" s="8">
        <v>6</v>
      </c>
      <c r="E475" s="8" t="s">
        <v>919</v>
      </c>
      <c r="F475" s="8" t="s">
        <v>911</v>
      </c>
      <c r="G475" s="8" t="s">
        <v>920</v>
      </c>
      <c r="H475" s="10">
        <v>1</v>
      </c>
      <c r="I475" s="10"/>
      <c r="J475" s="10">
        <v>1</v>
      </c>
      <c r="K475" s="10">
        <v>26384.52</v>
      </c>
    </row>
    <row r="476" spans="1:11" x14ac:dyDescent="0.25">
      <c r="A476" s="8" t="s">
        <v>921</v>
      </c>
      <c r="B476" s="8" t="s">
        <v>78</v>
      </c>
      <c r="C476" s="8" t="s">
        <v>909</v>
      </c>
      <c r="D476" s="8">
        <v>5</v>
      </c>
      <c r="E476" s="8" t="s">
        <v>922</v>
      </c>
      <c r="F476" s="8" t="s">
        <v>911</v>
      </c>
      <c r="G476" s="8" t="s">
        <v>912</v>
      </c>
      <c r="H476" s="10">
        <v>1</v>
      </c>
      <c r="I476" s="10"/>
      <c r="J476" s="10">
        <v>1</v>
      </c>
      <c r="K476" s="10">
        <v>87547.26</v>
      </c>
    </row>
    <row r="477" spans="1:11" x14ac:dyDescent="0.25">
      <c r="A477" s="8" t="s">
        <v>923</v>
      </c>
      <c r="B477" s="8" t="s">
        <v>78</v>
      </c>
      <c r="C477" s="8" t="s">
        <v>909</v>
      </c>
      <c r="D477" s="8">
        <v>5</v>
      </c>
      <c r="E477" s="8" t="s">
        <v>924</v>
      </c>
      <c r="F477" s="8" t="s">
        <v>911</v>
      </c>
      <c r="G477" s="8" t="s">
        <v>912</v>
      </c>
      <c r="H477" s="10">
        <v>1</v>
      </c>
      <c r="I477" s="10"/>
      <c r="J477" s="10">
        <v>1</v>
      </c>
      <c r="K477" s="10">
        <v>87547.26</v>
      </c>
    </row>
    <row r="478" spans="1:11" x14ac:dyDescent="0.25">
      <c r="A478" s="8" t="s">
        <v>925</v>
      </c>
      <c r="B478" s="8" t="s">
        <v>120</v>
      </c>
      <c r="C478" s="8" t="s">
        <v>909</v>
      </c>
      <c r="D478" s="8">
        <v>5</v>
      </c>
      <c r="E478" s="8" t="s">
        <v>926</v>
      </c>
      <c r="F478" s="8" t="s">
        <v>911</v>
      </c>
      <c r="G478" s="8" t="s">
        <v>912</v>
      </c>
      <c r="H478" s="10">
        <v>1</v>
      </c>
      <c r="I478" s="10"/>
      <c r="J478" s="10">
        <v>1</v>
      </c>
      <c r="K478" s="10">
        <v>180785.09</v>
      </c>
    </row>
    <row r="479" spans="1:11" x14ac:dyDescent="0.25">
      <c r="A479" s="8" t="s">
        <v>927</v>
      </c>
      <c r="B479" s="8" t="s">
        <v>120</v>
      </c>
      <c r="C479" s="8" t="s">
        <v>909</v>
      </c>
      <c r="D479" s="8">
        <v>5</v>
      </c>
      <c r="E479" s="8" t="s">
        <v>928</v>
      </c>
      <c r="F479" s="8" t="s">
        <v>911</v>
      </c>
      <c r="G479" s="8" t="s">
        <v>912</v>
      </c>
      <c r="H479" s="10">
        <v>1</v>
      </c>
      <c r="I479" s="10"/>
      <c r="J479" s="10">
        <v>1</v>
      </c>
      <c r="K479" s="10">
        <v>180785.09</v>
      </c>
    </row>
    <row r="480" spans="1:11" x14ac:dyDescent="0.25">
      <c r="A480" s="8" t="s">
        <v>929</v>
      </c>
      <c r="B480" s="8" t="s">
        <v>120</v>
      </c>
      <c r="C480" s="8" t="s">
        <v>918</v>
      </c>
      <c r="D480" s="8">
        <v>6</v>
      </c>
      <c r="E480" s="8" t="s">
        <v>930</v>
      </c>
      <c r="F480" s="8" t="s">
        <v>911</v>
      </c>
      <c r="G480" s="8" t="s">
        <v>920</v>
      </c>
      <c r="H480" s="10">
        <v>1</v>
      </c>
      <c r="I480" s="10"/>
      <c r="J480" s="10">
        <v>1</v>
      </c>
      <c r="K480" s="10">
        <v>6676989.5499999998</v>
      </c>
    </row>
    <row r="481" spans="1:11" x14ac:dyDescent="0.25">
      <c r="A481" s="8" t="s">
        <v>931</v>
      </c>
      <c r="B481" s="8" t="s">
        <v>120</v>
      </c>
      <c r="C481" s="8" t="s">
        <v>918</v>
      </c>
      <c r="D481" s="8">
        <v>6</v>
      </c>
      <c r="E481" s="8" t="s">
        <v>932</v>
      </c>
      <c r="F481" s="8" t="s">
        <v>911</v>
      </c>
      <c r="G481" s="8" t="s">
        <v>920</v>
      </c>
      <c r="H481" s="10">
        <v>1</v>
      </c>
      <c r="I481" s="10"/>
      <c r="J481" s="10">
        <v>1</v>
      </c>
      <c r="K481" s="10">
        <v>6676989.5499999998</v>
      </c>
    </row>
    <row r="482" spans="1:11" x14ac:dyDescent="0.25">
      <c r="A482" s="8" t="s">
        <v>933</v>
      </c>
      <c r="B482" s="8" t="s">
        <v>78</v>
      </c>
      <c r="C482" s="8" t="s">
        <v>918</v>
      </c>
      <c r="D482" s="8">
        <v>6</v>
      </c>
      <c r="E482" s="8" t="s">
        <v>934</v>
      </c>
      <c r="F482" s="8" t="s">
        <v>911</v>
      </c>
      <c r="G482" s="8" t="s">
        <v>920</v>
      </c>
      <c r="H482" s="10">
        <v>1</v>
      </c>
      <c r="I482" s="10"/>
      <c r="J482" s="10">
        <v>1</v>
      </c>
      <c r="K482" s="10">
        <v>771889.8</v>
      </c>
    </row>
    <row r="483" spans="1:11" x14ac:dyDescent="0.25">
      <c r="A483" s="8" t="s">
        <v>935</v>
      </c>
      <c r="B483" s="8" t="s">
        <v>78</v>
      </c>
      <c r="C483" s="8" t="s">
        <v>918</v>
      </c>
      <c r="D483" s="8">
        <v>6</v>
      </c>
      <c r="E483" s="8" t="s">
        <v>936</v>
      </c>
      <c r="F483" s="8" t="s">
        <v>911</v>
      </c>
      <c r="G483" s="8" t="s">
        <v>920</v>
      </c>
      <c r="H483" s="10">
        <v>1</v>
      </c>
      <c r="I483" s="10"/>
      <c r="J483" s="10">
        <v>1</v>
      </c>
      <c r="K483" s="10">
        <v>771889.8</v>
      </c>
    </row>
    <row r="484" spans="1:11" x14ac:dyDescent="0.25">
      <c r="A484" s="8" t="s">
        <v>937</v>
      </c>
      <c r="B484" s="8" t="s">
        <v>78</v>
      </c>
      <c r="C484" s="8" t="s">
        <v>918</v>
      </c>
      <c r="D484" s="8">
        <v>6</v>
      </c>
      <c r="E484" s="8" t="s">
        <v>938</v>
      </c>
      <c r="F484" s="8" t="s">
        <v>911</v>
      </c>
      <c r="G484" s="8" t="s">
        <v>920</v>
      </c>
      <c r="H484" s="10">
        <v>1</v>
      </c>
      <c r="I484" s="10"/>
      <c r="J484" s="10">
        <v>1</v>
      </c>
      <c r="K484" s="10">
        <v>771889.8</v>
      </c>
    </row>
    <row r="485" spans="1:11" x14ac:dyDescent="0.25">
      <c r="A485" s="8" t="s">
        <v>939</v>
      </c>
      <c r="B485" s="8" t="s">
        <v>118</v>
      </c>
      <c r="C485" s="8" t="s">
        <v>918</v>
      </c>
      <c r="D485" s="8">
        <v>6</v>
      </c>
      <c r="E485" s="8" t="s">
        <v>940</v>
      </c>
      <c r="F485" s="8" t="s">
        <v>911</v>
      </c>
      <c r="G485" s="8" t="s">
        <v>920</v>
      </c>
      <c r="H485" s="10">
        <v>1</v>
      </c>
      <c r="I485" s="10"/>
      <c r="J485" s="10">
        <v>1</v>
      </c>
      <c r="K485" s="10">
        <v>1054474.3999999999</v>
      </c>
    </row>
    <row r="486" spans="1:11" x14ac:dyDescent="0.25">
      <c r="A486" s="8" t="s">
        <v>941</v>
      </c>
      <c r="B486" s="8" t="s">
        <v>118</v>
      </c>
      <c r="C486" s="8" t="s">
        <v>918</v>
      </c>
      <c r="D486" s="8">
        <v>6</v>
      </c>
      <c r="E486" s="8" t="s">
        <v>942</v>
      </c>
      <c r="F486" s="8" t="s">
        <v>911</v>
      </c>
      <c r="G486" s="8" t="s">
        <v>920</v>
      </c>
      <c r="H486" s="10">
        <v>1</v>
      </c>
      <c r="I486" s="10"/>
      <c r="J486" s="10">
        <v>1</v>
      </c>
      <c r="K486" s="10">
        <v>1054474.3999999999</v>
      </c>
    </row>
    <row r="487" spans="1:11" x14ac:dyDescent="0.25">
      <c r="A487" s="8" t="s">
        <v>943</v>
      </c>
      <c r="B487" s="8" t="s">
        <v>118</v>
      </c>
      <c r="C487" s="8" t="s">
        <v>918</v>
      </c>
      <c r="D487" s="8">
        <v>6</v>
      </c>
      <c r="E487" s="8" t="s">
        <v>944</v>
      </c>
      <c r="F487" s="8" t="s">
        <v>911</v>
      </c>
      <c r="G487" s="8" t="s">
        <v>920</v>
      </c>
      <c r="H487" s="10">
        <v>1</v>
      </c>
      <c r="I487" s="10"/>
      <c r="J487" s="10">
        <v>1</v>
      </c>
      <c r="K487" s="10">
        <v>1054474.3999999999</v>
      </c>
    </row>
    <row r="488" spans="1:11" x14ac:dyDescent="0.25">
      <c r="A488" s="8" t="s">
        <v>945</v>
      </c>
      <c r="B488" s="8" t="s">
        <v>78</v>
      </c>
      <c r="C488" s="8" t="s">
        <v>909</v>
      </c>
      <c r="D488" s="8">
        <v>5</v>
      </c>
      <c r="E488" s="8" t="s">
        <v>946</v>
      </c>
      <c r="F488" s="8" t="s">
        <v>911</v>
      </c>
      <c r="G488" s="8" t="s">
        <v>947</v>
      </c>
      <c r="H488" s="10">
        <v>1</v>
      </c>
      <c r="I488" s="10"/>
      <c r="J488" s="10">
        <v>1</v>
      </c>
      <c r="K488" s="10">
        <v>29118.76</v>
      </c>
    </row>
    <row r="489" spans="1:11" x14ac:dyDescent="0.25">
      <c r="A489" s="8" t="s">
        <v>948</v>
      </c>
      <c r="B489" s="8" t="s">
        <v>949</v>
      </c>
      <c r="C489" s="8" t="s">
        <v>909</v>
      </c>
      <c r="D489" s="8">
        <v>5</v>
      </c>
      <c r="E489" s="8" t="s">
        <v>950</v>
      </c>
      <c r="F489" s="8" t="s">
        <v>911</v>
      </c>
      <c r="G489" s="8" t="s">
        <v>947</v>
      </c>
      <c r="H489" s="10">
        <v>1</v>
      </c>
      <c r="I489" s="10"/>
      <c r="J489" s="10">
        <v>1</v>
      </c>
      <c r="K489" s="10">
        <v>28736.83</v>
      </c>
    </row>
    <row r="490" spans="1:11" x14ac:dyDescent="0.25">
      <c r="A490" s="8" t="s">
        <v>951</v>
      </c>
      <c r="B490" s="8" t="s">
        <v>120</v>
      </c>
      <c r="C490" s="8" t="s">
        <v>909</v>
      </c>
      <c r="D490" s="8">
        <v>5</v>
      </c>
      <c r="E490" s="8" t="s">
        <v>952</v>
      </c>
      <c r="F490" s="8" t="s">
        <v>911</v>
      </c>
      <c r="G490" s="8" t="s">
        <v>947</v>
      </c>
      <c r="H490" s="10">
        <v>1</v>
      </c>
      <c r="I490" s="10"/>
      <c r="J490" s="10">
        <v>1</v>
      </c>
      <c r="K490" s="10">
        <v>16790.34</v>
      </c>
    </row>
    <row r="491" spans="1:11" x14ac:dyDescent="0.25">
      <c r="A491" s="8" t="s">
        <v>953</v>
      </c>
      <c r="B491" s="8" t="s">
        <v>118</v>
      </c>
      <c r="C491" s="8" t="s">
        <v>909</v>
      </c>
      <c r="D491" s="8">
        <v>5</v>
      </c>
      <c r="E491" s="8" t="s">
        <v>954</v>
      </c>
      <c r="F491" s="8" t="s">
        <v>911</v>
      </c>
      <c r="G491" s="8" t="s">
        <v>947</v>
      </c>
      <c r="H491" s="10">
        <v>1</v>
      </c>
      <c r="I491" s="10"/>
      <c r="J491" s="10">
        <v>1</v>
      </c>
      <c r="K491" s="10">
        <v>47056.65</v>
      </c>
    </row>
    <row r="492" spans="1:11" x14ac:dyDescent="0.25">
      <c r="A492" s="8" t="s">
        <v>955</v>
      </c>
      <c r="B492" s="8" t="s">
        <v>120</v>
      </c>
      <c r="C492" s="8" t="s">
        <v>909</v>
      </c>
      <c r="D492" s="8">
        <v>5</v>
      </c>
      <c r="E492" s="8" t="s">
        <v>956</v>
      </c>
      <c r="F492" s="8" t="s">
        <v>911</v>
      </c>
      <c r="G492" s="8" t="s">
        <v>947</v>
      </c>
      <c r="H492" s="10">
        <v>1</v>
      </c>
      <c r="I492" s="10"/>
      <c r="J492" s="10">
        <v>1</v>
      </c>
      <c r="K492" s="10">
        <v>48880.55</v>
      </c>
    </row>
    <row r="493" spans="1:11" x14ac:dyDescent="0.25">
      <c r="A493" s="8" t="s">
        <v>957</v>
      </c>
      <c r="B493" s="8" t="s">
        <v>120</v>
      </c>
      <c r="C493" s="8" t="s">
        <v>909</v>
      </c>
      <c r="D493" s="8">
        <v>5</v>
      </c>
      <c r="E493" s="8" t="s">
        <v>958</v>
      </c>
      <c r="F493" s="8" t="s">
        <v>911</v>
      </c>
      <c r="G493" s="8" t="s">
        <v>947</v>
      </c>
      <c r="H493" s="10">
        <v>1</v>
      </c>
      <c r="I493" s="10"/>
      <c r="J493" s="10">
        <v>1</v>
      </c>
      <c r="K493" s="10">
        <v>46691.87</v>
      </c>
    </row>
    <row r="494" spans="1:11" x14ac:dyDescent="0.25">
      <c r="A494" s="8" t="s">
        <v>959</v>
      </c>
      <c r="B494" s="8" t="s">
        <v>78</v>
      </c>
      <c r="C494" s="8" t="s">
        <v>909</v>
      </c>
      <c r="D494" s="8">
        <v>5</v>
      </c>
      <c r="E494" s="8" t="s">
        <v>960</v>
      </c>
      <c r="F494" s="8" t="s">
        <v>911</v>
      </c>
      <c r="G494" s="8" t="s">
        <v>947</v>
      </c>
      <c r="H494" s="10">
        <v>1</v>
      </c>
      <c r="I494" s="10"/>
      <c r="J494" s="10">
        <v>1</v>
      </c>
      <c r="K494" s="10">
        <v>48237.29</v>
      </c>
    </row>
    <row r="495" spans="1:11" x14ac:dyDescent="0.25">
      <c r="A495" s="8" t="s">
        <v>961</v>
      </c>
      <c r="B495" s="8" t="s">
        <v>132</v>
      </c>
      <c r="C495" s="8" t="s">
        <v>909</v>
      </c>
      <c r="D495" s="8">
        <v>5</v>
      </c>
      <c r="E495" s="8" t="s">
        <v>962</v>
      </c>
      <c r="F495" s="8" t="s">
        <v>911</v>
      </c>
      <c r="G495" s="8" t="s">
        <v>947</v>
      </c>
      <c r="H495" s="10">
        <v>1</v>
      </c>
      <c r="I495" s="10"/>
      <c r="J495" s="10">
        <v>1</v>
      </c>
      <c r="K495" s="10">
        <v>25679.34</v>
      </c>
    </row>
    <row r="496" spans="1:11" x14ac:dyDescent="0.25">
      <c r="A496" s="8" t="s">
        <v>963</v>
      </c>
      <c r="B496" s="8" t="s">
        <v>132</v>
      </c>
      <c r="C496" s="8" t="s">
        <v>909</v>
      </c>
      <c r="D496" s="8">
        <v>5</v>
      </c>
      <c r="E496" s="8" t="s">
        <v>964</v>
      </c>
      <c r="F496" s="8" t="s">
        <v>911</v>
      </c>
      <c r="G496" s="8" t="s">
        <v>947</v>
      </c>
      <c r="H496" s="10">
        <v>1</v>
      </c>
      <c r="I496" s="10"/>
      <c r="J496" s="10">
        <v>1</v>
      </c>
      <c r="K496" s="10">
        <v>26173.18</v>
      </c>
    </row>
    <row r="497" spans="1:11" x14ac:dyDescent="0.25">
      <c r="A497" s="8" t="s">
        <v>965</v>
      </c>
      <c r="B497" s="8" t="s">
        <v>134</v>
      </c>
      <c r="C497" s="8" t="s">
        <v>909</v>
      </c>
      <c r="D497" s="8">
        <v>5</v>
      </c>
      <c r="E497" s="8" t="s">
        <v>966</v>
      </c>
      <c r="F497" s="8" t="s">
        <v>911</v>
      </c>
      <c r="G497" s="8" t="s">
        <v>947</v>
      </c>
      <c r="H497" s="10">
        <v>1</v>
      </c>
      <c r="I497" s="10"/>
      <c r="J497" s="10">
        <v>1</v>
      </c>
      <c r="K497" s="10">
        <v>22716.34</v>
      </c>
    </row>
    <row r="498" spans="1:11" x14ac:dyDescent="0.25">
      <c r="A498" s="8" t="s">
        <v>967</v>
      </c>
      <c r="B498" s="8" t="s">
        <v>118</v>
      </c>
      <c r="C498" s="8" t="s">
        <v>909</v>
      </c>
      <c r="D498" s="8">
        <v>5</v>
      </c>
      <c r="E498" s="8" t="s">
        <v>968</v>
      </c>
      <c r="F498" s="8" t="s">
        <v>911</v>
      </c>
      <c r="G498" s="8" t="s">
        <v>947</v>
      </c>
      <c r="H498" s="10">
        <v>1</v>
      </c>
      <c r="I498" s="10"/>
      <c r="J498" s="10">
        <v>1</v>
      </c>
      <c r="K498" s="10">
        <v>185013.43</v>
      </c>
    </row>
    <row r="499" spans="1:11" x14ac:dyDescent="0.25">
      <c r="A499" s="8" t="s">
        <v>969</v>
      </c>
      <c r="B499" s="8" t="s">
        <v>120</v>
      </c>
      <c r="C499" s="8" t="s">
        <v>909</v>
      </c>
      <c r="D499" s="8">
        <v>5</v>
      </c>
      <c r="E499" s="8" t="s">
        <v>970</v>
      </c>
      <c r="F499" s="8" t="s">
        <v>911</v>
      </c>
      <c r="G499" s="8" t="s">
        <v>947</v>
      </c>
      <c r="H499" s="10">
        <v>1</v>
      </c>
      <c r="I499" s="10"/>
      <c r="J499" s="10">
        <v>1</v>
      </c>
      <c r="K499" s="10">
        <v>146723.70000000001</v>
      </c>
    </row>
    <row r="500" spans="1:11" x14ac:dyDescent="0.25">
      <c r="A500" s="8" t="s">
        <v>971</v>
      </c>
      <c r="B500" s="8" t="s">
        <v>120</v>
      </c>
      <c r="C500" s="8" t="s">
        <v>909</v>
      </c>
      <c r="D500" s="8">
        <v>5</v>
      </c>
      <c r="E500" s="8" t="s">
        <v>972</v>
      </c>
      <c r="F500" s="8" t="s">
        <v>911</v>
      </c>
      <c r="G500" s="8" t="s">
        <v>947</v>
      </c>
      <c r="H500" s="10">
        <v>1</v>
      </c>
      <c r="I500" s="10"/>
      <c r="J500" s="10">
        <v>1</v>
      </c>
      <c r="K500" s="10">
        <v>200458.03</v>
      </c>
    </row>
    <row r="501" spans="1:11" x14ac:dyDescent="0.25">
      <c r="A501" s="8" t="s">
        <v>973</v>
      </c>
      <c r="B501" s="8" t="s">
        <v>118</v>
      </c>
      <c r="C501" s="8" t="s">
        <v>974</v>
      </c>
      <c r="D501" s="8">
        <v>5</v>
      </c>
      <c r="E501" s="8" t="s">
        <v>975</v>
      </c>
      <c r="F501" s="8" t="s">
        <v>266</v>
      </c>
      <c r="G501" s="8" t="s">
        <v>976</v>
      </c>
      <c r="H501" s="10">
        <v>3.5</v>
      </c>
      <c r="I501" s="10"/>
      <c r="J501" s="10">
        <v>3.5</v>
      </c>
      <c r="K501" s="10">
        <v>6469.03</v>
      </c>
    </row>
    <row r="502" spans="1:11" x14ac:dyDescent="0.25">
      <c r="A502" s="8" t="s">
        <v>977</v>
      </c>
      <c r="B502" s="8" t="s">
        <v>120</v>
      </c>
      <c r="C502" s="8" t="s">
        <v>974</v>
      </c>
      <c r="D502" s="8">
        <v>5</v>
      </c>
      <c r="E502" s="8" t="s">
        <v>975</v>
      </c>
      <c r="F502" s="8" t="s">
        <v>266</v>
      </c>
      <c r="G502" s="8" t="s">
        <v>976</v>
      </c>
      <c r="H502" s="10">
        <v>8.1</v>
      </c>
      <c r="I502" s="10"/>
      <c r="J502" s="10">
        <v>8.1</v>
      </c>
      <c r="K502" s="10">
        <v>6469.03</v>
      </c>
    </row>
    <row r="503" spans="1:11" x14ac:dyDescent="0.25">
      <c r="A503" s="8" t="s">
        <v>978</v>
      </c>
      <c r="B503" s="8" t="s">
        <v>78</v>
      </c>
      <c r="C503" s="8" t="s">
        <v>974</v>
      </c>
      <c r="D503" s="8">
        <v>5</v>
      </c>
      <c r="E503" s="8" t="s">
        <v>975</v>
      </c>
      <c r="F503" s="8" t="s">
        <v>266</v>
      </c>
      <c r="G503" s="8" t="s">
        <v>976</v>
      </c>
      <c r="H503" s="10">
        <v>2.5</v>
      </c>
      <c r="I503" s="10"/>
      <c r="J503" s="10">
        <v>2.5</v>
      </c>
      <c r="K503" s="10">
        <v>6469.03</v>
      </c>
    </row>
    <row r="504" spans="1:11" x14ac:dyDescent="0.25">
      <c r="A504" s="8" t="s">
        <v>979</v>
      </c>
      <c r="B504" s="8" t="s">
        <v>132</v>
      </c>
      <c r="C504" s="8" t="s">
        <v>974</v>
      </c>
      <c r="D504" s="8">
        <v>5</v>
      </c>
      <c r="E504" s="8" t="s">
        <v>975</v>
      </c>
      <c r="F504" s="8" t="s">
        <v>266</v>
      </c>
      <c r="G504" s="8" t="s">
        <v>976</v>
      </c>
      <c r="H504" s="10">
        <v>2.2000000000000002</v>
      </c>
      <c r="I504" s="10"/>
      <c r="J504" s="10">
        <v>2.2000000000000002</v>
      </c>
      <c r="K504" s="10">
        <v>6469.03</v>
      </c>
    </row>
    <row r="505" spans="1:11" x14ac:dyDescent="0.25">
      <c r="A505" s="8" t="s">
        <v>980</v>
      </c>
      <c r="B505" s="8" t="s">
        <v>134</v>
      </c>
      <c r="C505" s="8" t="s">
        <v>974</v>
      </c>
      <c r="D505" s="8">
        <v>5</v>
      </c>
      <c r="E505" s="8" t="s">
        <v>975</v>
      </c>
      <c r="F505" s="8" t="s">
        <v>266</v>
      </c>
      <c r="G505" s="8" t="s">
        <v>976</v>
      </c>
      <c r="H505" s="10">
        <v>1.8</v>
      </c>
      <c r="I505" s="10"/>
      <c r="J505" s="10">
        <v>1.8</v>
      </c>
      <c r="K505" s="10">
        <v>6469.03</v>
      </c>
    </row>
    <row r="506" spans="1:11" x14ac:dyDescent="0.25">
      <c r="A506" s="8" t="s">
        <v>981</v>
      </c>
      <c r="B506" s="8" t="s">
        <v>118</v>
      </c>
      <c r="C506" s="8" t="s">
        <v>974</v>
      </c>
      <c r="D506" s="8">
        <v>5</v>
      </c>
      <c r="E506" s="8" t="s">
        <v>982</v>
      </c>
      <c r="F506" s="8" t="s">
        <v>266</v>
      </c>
      <c r="G506" s="8" t="s">
        <v>976</v>
      </c>
      <c r="H506" s="10">
        <v>8.6999999999999993</v>
      </c>
      <c r="I506" s="10"/>
      <c r="J506" s="10">
        <v>8.6999999999999993</v>
      </c>
      <c r="K506" s="10">
        <v>6469.03</v>
      </c>
    </row>
    <row r="507" spans="1:11" x14ac:dyDescent="0.25">
      <c r="A507" s="8" t="s">
        <v>983</v>
      </c>
      <c r="B507" s="8" t="s">
        <v>120</v>
      </c>
      <c r="C507" s="8" t="s">
        <v>974</v>
      </c>
      <c r="D507" s="8">
        <v>5</v>
      </c>
      <c r="E507" s="8" t="s">
        <v>982</v>
      </c>
      <c r="F507" s="8" t="s">
        <v>266</v>
      </c>
      <c r="G507" s="8" t="s">
        <v>976</v>
      </c>
      <c r="H507" s="10">
        <v>17.5</v>
      </c>
      <c r="I507" s="10"/>
      <c r="J507" s="10">
        <v>17.5</v>
      </c>
      <c r="K507" s="10">
        <v>6469.03</v>
      </c>
    </row>
    <row r="508" spans="1:11" x14ac:dyDescent="0.25">
      <c r="A508" s="8" t="s">
        <v>984</v>
      </c>
      <c r="B508" s="8" t="s">
        <v>118</v>
      </c>
      <c r="C508" s="8" t="s">
        <v>974</v>
      </c>
      <c r="D508" s="8">
        <v>5</v>
      </c>
      <c r="E508" s="8" t="s">
        <v>985</v>
      </c>
      <c r="F508" s="8" t="s">
        <v>266</v>
      </c>
      <c r="G508" s="8" t="s">
        <v>976</v>
      </c>
      <c r="H508" s="10">
        <v>0.7</v>
      </c>
      <c r="I508" s="10"/>
      <c r="J508" s="10">
        <v>0.7</v>
      </c>
      <c r="K508" s="10">
        <v>9067.31</v>
      </c>
    </row>
    <row r="509" spans="1:11" x14ac:dyDescent="0.25">
      <c r="A509" s="8" t="s">
        <v>986</v>
      </c>
      <c r="B509" s="8" t="s">
        <v>120</v>
      </c>
      <c r="C509" s="8" t="s">
        <v>974</v>
      </c>
      <c r="D509" s="8">
        <v>5</v>
      </c>
      <c r="E509" s="8" t="s">
        <v>985</v>
      </c>
      <c r="F509" s="8" t="s">
        <v>266</v>
      </c>
      <c r="G509" s="8" t="s">
        <v>976</v>
      </c>
      <c r="H509" s="10">
        <v>1.3</v>
      </c>
      <c r="I509" s="10"/>
      <c r="J509" s="10">
        <v>1.3</v>
      </c>
      <c r="K509" s="10">
        <v>9067.31</v>
      </c>
    </row>
    <row r="510" spans="1:11" x14ac:dyDescent="0.25">
      <c r="A510" s="8" t="s">
        <v>987</v>
      </c>
      <c r="B510" s="8" t="s">
        <v>78</v>
      </c>
      <c r="C510" s="8" t="s">
        <v>974</v>
      </c>
      <c r="D510" s="8">
        <v>5</v>
      </c>
      <c r="E510" s="8" t="s">
        <v>985</v>
      </c>
      <c r="F510" s="8" t="s">
        <v>266</v>
      </c>
      <c r="G510" s="8" t="s">
        <v>976</v>
      </c>
      <c r="H510" s="10">
        <v>0.2</v>
      </c>
      <c r="I510" s="10"/>
      <c r="J510" s="10">
        <v>0.2</v>
      </c>
      <c r="K510" s="10">
        <v>9067.31</v>
      </c>
    </row>
    <row r="511" spans="1:11" x14ac:dyDescent="0.25">
      <c r="A511" s="8" t="s">
        <v>988</v>
      </c>
      <c r="B511" s="8" t="s">
        <v>132</v>
      </c>
      <c r="C511" s="8" t="s">
        <v>974</v>
      </c>
      <c r="D511" s="8">
        <v>5</v>
      </c>
      <c r="E511" s="8" t="s">
        <v>985</v>
      </c>
      <c r="F511" s="8" t="s">
        <v>266</v>
      </c>
      <c r="G511" s="8" t="s">
        <v>976</v>
      </c>
      <c r="H511" s="10">
        <v>0.2</v>
      </c>
      <c r="I511" s="10"/>
      <c r="J511" s="10">
        <v>0.2</v>
      </c>
      <c r="K511" s="10">
        <v>9067.31</v>
      </c>
    </row>
    <row r="512" spans="1:11" x14ac:dyDescent="0.25">
      <c r="A512" s="8" t="s">
        <v>989</v>
      </c>
      <c r="B512" s="8" t="s">
        <v>134</v>
      </c>
      <c r="C512" s="8" t="s">
        <v>974</v>
      </c>
      <c r="D512" s="8">
        <v>5</v>
      </c>
      <c r="E512" s="8" t="s">
        <v>985</v>
      </c>
      <c r="F512" s="8" t="s">
        <v>266</v>
      </c>
      <c r="G512" s="8" t="s">
        <v>976</v>
      </c>
      <c r="H512" s="10">
        <v>0.2</v>
      </c>
      <c r="I512" s="10"/>
      <c r="J512" s="10">
        <v>0.2</v>
      </c>
      <c r="K512" s="10">
        <v>9067.31</v>
      </c>
    </row>
    <row r="513" spans="1:11" x14ac:dyDescent="0.25">
      <c r="A513" s="8" t="s">
        <v>990</v>
      </c>
      <c r="B513" s="8" t="s">
        <v>116</v>
      </c>
      <c r="C513" s="8" t="s">
        <v>909</v>
      </c>
      <c r="D513" s="8">
        <v>5</v>
      </c>
      <c r="E513" s="8" t="s">
        <v>991</v>
      </c>
      <c r="F513" s="8" t="s">
        <v>911</v>
      </c>
      <c r="G513" s="8" t="s">
        <v>947</v>
      </c>
      <c r="H513" s="10">
        <v>1</v>
      </c>
      <c r="I513" s="10"/>
      <c r="J513" s="10">
        <v>1</v>
      </c>
      <c r="K513" s="10">
        <v>3772.43</v>
      </c>
    </row>
    <row r="514" spans="1:11" x14ac:dyDescent="0.25">
      <c r="A514" s="8" t="s">
        <v>992</v>
      </c>
      <c r="B514" s="8" t="s">
        <v>116</v>
      </c>
      <c r="C514" s="8" t="s">
        <v>909</v>
      </c>
      <c r="D514" s="8">
        <v>5</v>
      </c>
      <c r="E514" s="8" t="s">
        <v>993</v>
      </c>
      <c r="F514" s="8" t="s">
        <v>911</v>
      </c>
      <c r="G514" s="8" t="s">
        <v>947</v>
      </c>
      <c r="H514" s="10">
        <v>1</v>
      </c>
      <c r="I514" s="10"/>
      <c r="J514" s="10">
        <v>1</v>
      </c>
      <c r="K514" s="10">
        <v>5709.57</v>
      </c>
    </row>
    <row r="515" spans="1:11" x14ac:dyDescent="0.25">
      <c r="A515" s="8" t="s">
        <v>994</v>
      </c>
      <c r="B515" s="8" t="s">
        <v>116</v>
      </c>
      <c r="C515" s="8" t="s">
        <v>909</v>
      </c>
      <c r="D515" s="8">
        <v>5</v>
      </c>
      <c r="E515" s="8" t="s">
        <v>995</v>
      </c>
      <c r="F515" s="8" t="s">
        <v>911</v>
      </c>
      <c r="G515" s="8" t="s">
        <v>947</v>
      </c>
      <c r="H515" s="10">
        <v>1</v>
      </c>
      <c r="I515" s="10"/>
      <c r="J515" s="10">
        <v>1</v>
      </c>
      <c r="K515" s="10">
        <v>2644.72</v>
      </c>
    </row>
    <row r="516" spans="1:11" x14ac:dyDescent="0.25">
      <c r="A516" s="8" t="s">
        <v>996</v>
      </c>
      <c r="B516" s="8" t="s">
        <v>116</v>
      </c>
      <c r="C516" s="8" t="s">
        <v>909</v>
      </c>
      <c r="D516" s="8">
        <v>5</v>
      </c>
      <c r="E516" s="8" t="s">
        <v>997</v>
      </c>
      <c r="F516" s="8" t="s">
        <v>911</v>
      </c>
      <c r="G516" s="8" t="s">
        <v>947</v>
      </c>
      <c r="H516" s="10">
        <v>1</v>
      </c>
      <c r="I516" s="10"/>
      <c r="J516" s="10">
        <v>1</v>
      </c>
      <c r="K516" s="10">
        <v>2644.72</v>
      </c>
    </row>
    <row r="517" spans="1:11" x14ac:dyDescent="0.25">
      <c r="A517" s="8" t="s">
        <v>998</v>
      </c>
      <c r="B517" s="8" t="s">
        <v>116</v>
      </c>
      <c r="C517" s="8" t="s">
        <v>909</v>
      </c>
      <c r="D517" s="8">
        <v>5</v>
      </c>
      <c r="E517" s="8" t="s">
        <v>999</v>
      </c>
      <c r="F517" s="8" t="s">
        <v>911</v>
      </c>
      <c r="G517" s="8" t="s">
        <v>947</v>
      </c>
      <c r="H517" s="10">
        <v>1</v>
      </c>
      <c r="I517" s="10"/>
      <c r="J517" s="10">
        <v>1</v>
      </c>
      <c r="K517" s="10">
        <v>2644.72</v>
      </c>
    </row>
    <row r="518" spans="1:11" x14ac:dyDescent="0.25">
      <c r="A518" s="8" t="s">
        <v>1000</v>
      </c>
      <c r="B518" s="8" t="s">
        <v>116</v>
      </c>
      <c r="C518" s="8" t="s">
        <v>909</v>
      </c>
      <c r="D518" s="8">
        <v>5</v>
      </c>
      <c r="E518" s="8" t="s">
        <v>1001</v>
      </c>
      <c r="F518" s="8" t="s">
        <v>911</v>
      </c>
      <c r="G518" s="8" t="s">
        <v>947</v>
      </c>
      <c r="H518" s="10">
        <v>1</v>
      </c>
      <c r="I518" s="10"/>
      <c r="J518" s="10">
        <v>1</v>
      </c>
      <c r="K518" s="10">
        <v>2644.72</v>
      </c>
    </row>
    <row r="519" spans="1:11" x14ac:dyDescent="0.25">
      <c r="A519" s="8" t="s">
        <v>1002</v>
      </c>
      <c r="B519" s="8" t="s">
        <v>116</v>
      </c>
      <c r="C519" s="8" t="s">
        <v>909</v>
      </c>
      <c r="D519" s="8">
        <v>5</v>
      </c>
      <c r="E519" s="8" t="s">
        <v>1003</v>
      </c>
      <c r="F519" s="8" t="s">
        <v>911</v>
      </c>
      <c r="G519" s="8" t="s">
        <v>947</v>
      </c>
      <c r="H519" s="10">
        <v>1</v>
      </c>
      <c r="I519" s="10"/>
      <c r="J519" s="10">
        <v>1</v>
      </c>
      <c r="K519" s="10">
        <v>2644.72</v>
      </c>
    </row>
    <row r="520" spans="1:11" x14ac:dyDescent="0.25">
      <c r="A520" s="8" t="s">
        <v>1004</v>
      </c>
      <c r="B520" s="8" t="s">
        <v>120</v>
      </c>
      <c r="C520" s="8" t="s">
        <v>909</v>
      </c>
      <c r="D520" s="8">
        <v>5</v>
      </c>
      <c r="E520" s="8" t="s">
        <v>1005</v>
      </c>
      <c r="F520" s="8" t="s">
        <v>911</v>
      </c>
      <c r="G520" s="8" t="s">
        <v>947</v>
      </c>
      <c r="H520" s="10">
        <v>1</v>
      </c>
      <c r="I520" s="10"/>
      <c r="J520" s="10">
        <v>1</v>
      </c>
      <c r="K520" s="10">
        <v>2657.45</v>
      </c>
    </row>
    <row r="521" spans="1:11" x14ac:dyDescent="0.25">
      <c r="A521" s="8" t="s">
        <v>1006</v>
      </c>
      <c r="B521" s="8" t="s">
        <v>120</v>
      </c>
      <c r="C521" s="8" t="s">
        <v>909</v>
      </c>
      <c r="D521" s="8">
        <v>5</v>
      </c>
      <c r="E521" s="8" t="s">
        <v>1007</v>
      </c>
      <c r="F521" s="8" t="s">
        <v>911</v>
      </c>
      <c r="G521" s="8" t="s">
        <v>947</v>
      </c>
      <c r="H521" s="10">
        <v>1</v>
      </c>
      <c r="I521" s="10"/>
      <c r="J521" s="10">
        <v>1</v>
      </c>
      <c r="K521" s="10">
        <v>2657.45</v>
      </c>
    </row>
    <row r="522" spans="1:11" x14ac:dyDescent="0.25">
      <c r="A522" s="8" t="s">
        <v>1008</v>
      </c>
      <c r="B522" s="8" t="s">
        <v>120</v>
      </c>
      <c r="C522" s="8" t="s">
        <v>909</v>
      </c>
      <c r="D522" s="8">
        <v>5</v>
      </c>
      <c r="E522" s="8" t="s">
        <v>1009</v>
      </c>
      <c r="F522" s="8" t="s">
        <v>911</v>
      </c>
      <c r="G522" s="8" t="s">
        <v>947</v>
      </c>
      <c r="H522" s="10">
        <v>1</v>
      </c>
      <c r="I522" s="10"/>
      <c r="J522" s="10">
        <v>1</v>
      </c>
      <c r="K522" s="10">
        <v>2657.45</v>
      </c>
    </row>
    <row r="523" spans="1:11" x14ac:dyDescent="0.25">
      <c r="A523" s="8" t="s">
        <v>1010</v>
      </c>
      <c r="B523" s="8" t="s">
        <v>120</v>
      </c>
      <c r="C523" s="8" t="s">
        <v>909</v>
      </c>
      <c r="D523" s="8">
        <v>5</v>
      </c>
      <c r="E523" s="8" t="s">
        <v>1011</v>
      </c>
      <c r="F523" s="8" t="s">
        <v>911</v>
      </c>
      <c r="G523" s="8" t="s">
        <v>947</v>
      </c>
      <c r="H523" s="10">
        <v>1</v>
      </c>
      <c r="I523" s="10"/>
      <c r="J523" s="10">
        <v>1</v>
      </c>
      <c r="K523" s="10">
        <v>2644.72</v>
      </c>
    </row>
    <row r="524" spans="1:11" x14ac:dyDescent="0.25">
      <c r="A524" s="8" t="s">
        <v>1012</v>
      </c>
      <c r="B524" s="8" t="s">
        <v>120</v>
      </c>
      <c r="C524" s="8" t="s">
        <v>909</v>
      </c>
      <c r="D524" s="8">
        <v>5</v>
      </c>
      <c r="E524" s="8" t="s">
        <v>1013</v>
      </c>
      <c r="F524" s="8" t="s">
        <v>911</v>
      </c>
      <c r="G524" s="8" t="s">
        <v>947</v>
      </c>
      <c r="H524" s="10">
        <v>1</v>
      </c>
      <c r="I524" s="10"/>
      <c r="J524" s="10">
        <v>1</v>
      </c>
      <c r="K524" s="10">
        <v>2644.72</v>
      </c>
    </row>
    <row r="525" spans="1:11" x14ac:dyDescent="0.25">
      <c r="A525" s="8" t="s">
        <v>1014</v>
      </c>
      <c r="B525" s="8" t="s">
        <v>120</v>
      </c>
      <c r="C525" s="8" t="s">
        <v>909</v>
      </c>
      <c r="D525" s="8">
        <v>5</v>
      </c>
      <c r="E525" s="8" t="s">
        <v>1015</v>
      </c>
      <c r="F525" s="8" t="s">
        <v>911</v>
      </c>
      <c r="G525" s="8" t="s">
        <v>947</v>
      </c>
      <c r="H525" s="10">
        <v>1</v>
      </c>
      <c r="I525" s="10"/>
      <c r="J525" s="10">
        <v>1</v>
      </c>
      <c r="K525" s="10">
        <v>2644.72</v>
      </c>
    </row>
    <row r="526" spans="1:11" x14ac:dyDescent="0.25">
      <c r="A526" s="8" t="s">
        <v>1016</v>
      </c>
      <c r="B526" s="8" t="s">
        <v>120</v>
      </c>
      <c r="C526" s="8" t="s">
        <v>909</v>
      </c>
      <c r="D526" s="8">
        <v>5</v>
      </c>
      <c r="E526" s="8" t="s">
        <v>1017</v>
      </c>
      <c r="F526" s="8" t="s">
        <v>911</v>
      </c>
      <c r="G526" s="8" t="s">
        <v>947</v>
      </c>
      <c r="H526" s="10">
        <v>1</v>
      </c>
      <c r="I526" s="10"/>
      <c r="J526" s="10">
        <v>1</v>
      </c>
      <c r="K526" s="10">
        <v>2657.45</v>
      </c>
    </row>
    <row r="527" spans="1:11" x14ac:dyDescent="0.25">
      <c r="A527" s="8" t="s">
        <v>1018</v>
      </c>
      <c r="B527" s="8" t="s">
        <v>120</v>
      </c>
      <c r="C527" s="8" t="s">
        <v>909</v>
      </c>
      <c r="D527" s="8">
        <v>5</v>
      </c>
      <c r="E527" s="8" t="s">
        <v>1019</v>
      </c>
      <c r="F527" s="8" t="s">
        <v>911</v>
      </c>
      <c r="G527" s="8" t="s">
        <v>947</v>
      </c>
      <c r="H527" s="10">
        <v>1</v>
      </c>
      <c r="I527" s="10"/>
      <c r="J527" s="10">
        <v>1</v>
      </c>
      <c r="K527" s="10">
        <v>2657.45</v>
      </c>
    </row>
    <row r="528" spans="1:11" x14ac:dyDescent="0.25">
      <c r="A528" s="8" t="s">
        <v>1020</v>
      </c>
      <c r="B528" s="8" t="s">
        <v>120</v>
      </c>
      <c r="C528" s="8" t="s">
        <v>909</v>
      </c>
      <c r="D528" s="8">
        <v>5</v>
      </c>
      <c r="E528" s="8" t="s">
        <v>1021</v>
      </c>
      <c r="F528" s="8" t="s">
        <v>911</v>
      </c>
      <c r="G528" s="8" t="s">
        <v>947</v>
      </c>
      <c r="H528" s="10">
        <v>1</v>
      </c>
      <c r="I528" s="10"/>
      <c r="J528" s="10">
        <v>1</v>
      </c>
      <c r="K528" s="10">
        <v>2644.72</v>
      </c>
    </row>
    <row r="529" spans="1:11" x14ac:dyDescent="0.25">
      <c r="A529" s="8" t="s">
        <v>1022</v>
      </c>
      <c r="B529" s="8" t="s">
        <v>120</v>
      </c>
      <c r="C529" s="8" t="s">
        <v>909</v>
      </c>
      <c r="D529" s="8">
        <v>5</v>
      </c>
      <c r="E529" s="8" t="s">
        <v>1023</v>
      </c>
      <c r="F529" s="8" t="s">
        <v>911</v>
      </c>
      <c r="G529" s="8" t="s">
        <v>947</v>
      </c>
      <c r="H529" s="10">
        <v>1</v>
      </c>
      <c r="I529" s="10"/>
      <c r="J529" s="10">
        <v>1</v>
      </c>
      <c r="K529" s="10">
        <v>2657.45</v>
      </c>
    </row>
    <row r="530" spans="1:11" x14ac:dyDescent="0.25">
      <c r="A530" s="8" t="s">
        <v>1024</v>
      </c>
      <c r="B530" s="8" t="s">
        <v>120</v>
      </c>
      <c r="C530" s="8" t="s">
        <v>909</v>
      </c>
      <c r="D530" s="8">
        <v>5</v>
      </c>
      <c r="E530" s="8" t="s">
        <v>1025</v>
      </c>
      <c r="F530" s="8" t="s">
        <v>911</v>
      </c>
      <c r="G530" s="8" t="s">
        <v>947</v>
      </c>
      <c r="H530" s="10">
        <v>1</v>
      </c>
      <c r="I530" s="10"/>
      <c r="J530" s="10">
        <v>1</v>
      </c>
      <c r="K530" s="10">
        <v>2657.45</v>
      </c>
    </row>
    <row r="531" spans="1:11" x14ac:dyDescent="0.25">
      <c r="A531" s="8" t="s">
        <v>1026</v>
      </c>
      <c r="B531" s="8" t="s">
        <v>128</v>
      </c>
      <c r="C531" s="8" t="s">
        <v>909</v>
      </c>
      <c r="D531" s="8">
        <v>5</v>
      </c>
      <c r="E531" s="8" t="s">
        <v>1027</v>
      </c>
      <c r="F531" s="8" t="s">
        <v>911</v>
      </c>
      <c r="G531" s="8" t="s">
        <v>947</v>
      </c>
      <c r="H531" s="10">
        <v>1</v>
      </c>
      <c r="I531" s="10"/>
      <c r="J531" s="10">
        <v>1</v>
      </c>
      <c r="K531" s="10">
        <v>2619.2600000000002</v>
      </c>
    </row>
    <row r="532" spans="1:11" x14ac:dyDescent="0.25">
      <c r="A532" s="8" t="s">
        <v>1028</v>
      </c>
      <c r="B532" s="8" t="s">
        <v>1029</v>
      </c>
      <c r="C532" s="8" t="s">
        <v>909</v>
      </c>
      <c r="D532" s="8">
        <v>5</v>
      </c>
      <c r="E532" s="8" t="s">
        <v>1030</v>
      </c>
      <c r="F532" s="8" t="s">
        <v>911</v>
      </c>
      <c r="G532" s="8" t="s">
        <v>947</v>
      </c>
      <c r="H532" s="10">
        <v>1</v>
      </c>
      <c r="I532" s="10"/>
      <c r="J532" s="10">
        <v>1</v>
      </c>
      <c r="K532" s="10">
        <v>2631.99</v>
      </c>
    </row>
    <row r="533" spans="1:11" x14ac:dyDescent="0.25">
      <c r="A533" s="8" t="s">
        <v>1031</v>
      </c>
      <c r="B533" s="8" t="s">
        <v>118</v>
      </c>
      <c r="C533" s="8" t="s">
        <v>909</v>
      </c>
      <c r="D533" s="8">
        <v>5</v>
      </c>
      <c r="E533" s="8" t="s">
        <v>1032</v>
      </c>
      <c r="F533" s="8" t="s">
        <v>911</v>
      </c>
      <c r="G533" s="8" t="s">
        <v>947</v>
      </c>
      <c r="H533" s="10">
        <v>1</v>
      </c>
      <c r="I533" s="10"/>
      <c r="J533" s="10">
        <v>1</v>
      </c>
      <c r="K533" s="10">
        <v>2631.99</v>
      </c>
    </row>
    <row r="534" spans="1:11" x14ac:dyDescent="0.25">
      <c r="A534" s="8" t="s">
        <v>1033</v>
      </c>
      <c r="B534" s="8" t="s">
        <v>118</v>
      </c>
      <c r="C534" s="8" t="s">
        <v>909</v>
      </c>
      <c r="D534" s="8">
        <v>5</v>
      </c>
      <c r="E534" s="8" t="s">
        <v>1034</v>
      </c>
      <c r="F534" s="8" t="s">
        <v>911</v>
      </c>
      <c r="G534" s="8" t="s">
        <v>947</v>
      </c>
      <c r="H534" s="10">
        <v>1</v>
      </c>
      <c r="I534" s="10"/>
      <c r="J534" s="10">
        <v>1</v>
      </c>
      <c r="K534" s="10">
        <v>2631.99</v>
      </c>
    </row>
    <row r="535" spans="1:11" x14ac:dyDescent="0.25">
      <c r="A535" s="8" t="s">
        <v>1035</v>
      </c>
      <c r="B535" s="8" t="s">
        <v>118</v>
      </c>
      <c r="C535" s="8" t="s">
        <v>909</v>
      </c>
      <c r="D535" s="8">
        <v>5</v>
      </c>
      <c r="E535" s="8" t="s">
        <v>1036</v>
      </c>
      <c r="F535" s="8" t="s">
        <v>911</v>
      </c>
      <c r="G535" s="8" t="s">
        <v>947</v>
      </c>
      <c r="H535" s="10">
        <v>1</v>
      </c>
      <c r="I535" s="10"/>
      <c r="J535" s="10">
        <v>1</v>
      </c>
      <c r="K535" s="10">
        <v>2631.99</v>
      </c>
    </row>
    <row r="536" spans="1:11" x14ac:dyDescent="0.25">
      <c r="A536" s="8" t="s">
        <v>1037</v>
      </c>
      <c r="B536" s="8" t="s">
        <v>118</v>
      </c>
      <c r="C536" s="8" t="s">
        <v>909</v>
      </c>
      <c r="D536" s="8">
        <v>5</v>
      </c>
      <c r="E536" s="8" t="s">
        <v>1038</v>
      </c>
      <c r="F536" s="8" t="s">
        <v>911</v>
      </c>
      <c r="G536" s="8" t="s">
        <v>947</v>
      </c>
      <c r="H536" s="10">
        <v>1</v>
      </c>
      <c r="I536" s="10"/>
      <c r="J536" s="10">
        <v>1</v>
      </c>
      <c r="K536" s="10">
        <v>2631.99</v>
      </c>
    </row>
    <row r="537" spans="1:11" x14ac:dyDescent="0.25">
      <c r="A537" s="8" t="s">
        <v>1039</v>
      </c>
      <c r="B537" s="8" t="s">
        <v>118</v>
      </c>
      <c r="C537" s="8" t="s">
        <v>909</v>
      </c>
      <c r="D537" s="8">
        <v>5</v>
      </c>
      <c r="E537" s="8" t="s">
        <v>1040</v>
      </c>
      <c r="F537" s="8" t="s">
        <v>911</v>
      </c>
      <c r="G537" s="8" t="s">
        <v>947</v>
      </c>
      <c r="H537" s="10">
        <v>1</v>
      </c>
      <c r="I537" s="10"/>
      <c r="J537" s="10">
        <v>1</v>
      </c>
      <c r="K537" s="10">
        <v>2631.99</v>
      </c>
    </row>
    <row r="538" spans="1:11" x14ac:dyDescent="0.25">
      <c r="A538" s="8" t="s">
        <v>1041</v>
      </c>
      <c r="B538" s="8" t="s">
        <v>118</v>
      </c>
      <c r="C538" s="8" t="s">
        <v>909</v>
      </c>
      <c r="D538" s="8">
        <v>5</v>
      </c>
      <c r="E538" s="8" t="s">
        <v>1042</v>
      </c>
      <c r="F538" s="8" t="s">
        <v>911</v>
      </c>
      <c r="G538" s="8" t="s">
        <v>947</v>
      </c>
      <c r="H538" s="10">
        <v>1</v>
      </c>
      <c r="I538" s="10"/>
      <c r="J538" s="10">
        <v>1</v>
      </c>
      <c r="K538" s="10">
        <v>2631.99</v>
      </c>
    </row>
    <row r="539" spans="1:11" x14ac:dyDescent="0.25">
      <c r="A539" s="8" t="s">
        <v>1043</v>
      </c>
      <c r="B539" s="8" t="s">
        <v>120</v>
      </c>
      <c r="C539" s="8" t="s">
        <v>909</v>
      </c>
      <c r="D539" s="8">
        <v>5</v>
      </c>
      <c r="E539" s="8" t="s">
        <v>1044</v>
      </c>
      <c r="F539" s="8" t="s">
        <v>911</v>
      </c>
      <c r="G539" s="8" t="s">
        <v>947</v>
      </c>
      <c r="H539" s="10">
        <v>1</v>
      </c>
      <c r="I539" s="10"/>
      <c r="J539" s="10">
        <v>1</v>
      </c>
      <c r="K539" s="10">
        <v>2708.38</v>
      </c>
    </row>
    <row r="540" spans="1:11" x14ac:dyDescent="0.25">
      <c r="A540" s="8" t="s">
        <v>1045</v>
      </c>
      <c r="B540" s="8" t="s">
        <v>120</v>
      </c>
      <c r="C540" s="8" t="s">
        <v>909</v>
      </c>
      <c r="D540" s="8">
        <v>5</v>
      </c>
      <c r="E540" s="8" t="s">
        <v>1046</v>
      </c>
      <c r="F540" s="8" t="s">
        <v>911</v>
      </c>
      <c r="G540" s="8" t="s">
        <v>947</v>
      </c>
      <c r="H540" s="10">
        <v>1</v>
      </c>
      <c r="I540" s="10"/>
      <c r="J540" s="10">
        <v>1</v>
      </c>
      <c r="K540" s="10">
        <v>2708.38</v>
      </c>
    </row>
    <row r="541" spans="1:11" x14ac:dyDescent="0.25">
      <c r="A541" s="8" t="s">
        <v>1047</v>
      </c>
      <c r="B541" s="8" t="s">
        <v>120</v>
      </c>
      <c r="C541" s="8" t="s">
        <v>909</v>
      </c>
      <c r="D541" s="8">
        <v>5</v>
      </c>
      <c r="E541" s="8" t="s">
        <v>1048</v>
      </c>
      <c r="F541" s="8" t="s">
        <v>911</v>
      </c>
      <c r="G541" s="8" t="s">
        <v>947</v>
      </c>
      <c r="H541" s="10">
        <v>1</v>
      </c>
      <c r="I541" s="10"/>
      <c r="J541" s="10">
        <v>1</v>
      </c>
      <c r="K541" s="10">
        <v>2708.38</v>
      </c>
    </row>
    <row r="542" spans="1:11" x14ac:dyDescent="0.25">
      <c r="A542" s="8" t="s">
        <v>1049</v>
      </c>
      <c r="B542" s="8" t="s">
        <v>120</v>
      </c>
      <c r="C542" s="8" t="s">
        <v>909</v>
      </c>
      <c r="D542" s="8">
        <v>5</v>
      </c>
      <c r="E542" s="8" t="s">
        <v>1050</v>
      </c>
      <c r="F542" s="8" t="s">
        <v>911</v>
      </c>
      <c r="G542" s="8" t="s">
        <v>947</v>
      </c>
      <c r="H542" s="10">
        <v>1</v>
      </c>
      <c r="I542" s="10"/>
      <c r="J542" s="10">
        <v>1</v>
      </c>
      <c r="K542" s="10">
        <v>2708.38</v>
      </c>
    </row>
    <row r="543" spans="1:11" x14ac:dyDescent="0.25">
      <c r="A543" s="8" t="s">
        <v>1051</v>
      </c>
      <c r="B543" s="8" t="s">
        <v>116</v>
      </c>
      <c r="C543" s="8" t="s">
        <v>909</v>
      </c>
      <c r="D543" s="8">
        <v>5</v>
      </c>
      <c r="E543" s="8" t="s">
        <v>1052</v>
      </c>
      <c r="F543" s="8" t="s">
        <v>911</v>
      </c>
      <c r="G543" s="8" t="s">
        <v>947</v>
      </c>
      <c r="H543" s="10">
        <v>1</v>
      </c>
      <c r="I543" s="10"/>
      <c r="J543" s="10">
        <v>1</v>
      </c>
      <c r="K543" s="10">
        <v>3670.58</v>
      </c>
    </row>
    <row r="544" spans="1:11" x14ac:dyDescent="0.25">
      <c r="A544" s="8" t="s">
        <v>1053</v>
      </c>
      <c r="B544" s="8" t="s">
        <v>118</v>
      </c>
      <c r="C544" s="8" t="s">
        <v>909</v>
      </c>
      <c r="D544" s="8">
        <v>5</v>
      </c>
      <c r="E544" s="8" t="s">
        <v>1054</v>
      </c>
      <c r="F544" s="8" t="s">
        <v>911</v>
      </c>
      <c r="G544" s="8" t="s">
        <v>947</v>
      </c>
      <c r="H544" s="10">
        <v>1</v>
      </c>
      <c r="I544" s="10"/>
      <c r="J544" s="10">
        <v>1</v>
      </c>
      <c r="K544" s="10">
        <v>3797.89</v>
      </c>
    </row>
    <row r="545" spans="1:11" x14ac:dyDescent="0.25">
      <c r="A545" s="8" t="s">
        <v>1055</v>
      </c>
      <c r="B545" s="8" t="s">
        <v>118</v>
      </c>
      <c r="C545" s="8" t="s">
        <v>909</v>
      </c>
      <c r="D545" s="8">
        <v>5</v>
      </c>
      <c r="E545" s="8" t="s">
        <v>1056</v>
      </c>
      <c r="F545" s="8" t="s">
        <v>911</v>
      </c>
      <c r="G545" s="8" t="s">
        <v>947</v>
      </c>
      <c r="H545" s="10">
        <v>1</v>
      </c>
      <c r="I545" s="10"/>
      <c r="J545" s="10">
        <v>1</v>
      </c>
      <c r="K545" s="10">
        <v>3759.7</v>
      </c>
    </row>
    <row r="546" spans="1:11" x14ac:dyDescent="0.25">
      <c r="A546" s="8" t="s">
        <v>1057</v>
      </c>
      <c r="B546" s="8" t="s">
        <v>118</v>
      </c>
      <c r="C546" s="8" t="s">
        <v>909</v>
      </c>
      <c r="D546" s="8">
        <v>5</v>
      </c>
      <c r="E546" s="8" t="s">
        <v>1058</v>
      </c>
      <c r="F546" s="8" t="s">
        <v>911</v>
      </c>
      <c r="G546" s="8" t="s">
        <v>947</v>
      </c>
      <c r="H546" s="10">
        <v>1</v>
      </c>
      <c r="I546" s="10"/>
      <c r="J546" s="10">
        <v>1</v>
      </c>
      <c r="K546" s="10">
        <v>3759.7</v>
      </c>
    </row>
    <row r="547" spans="1:11" x14ac:dyDescent="0.25">
      <c r="A547" s="8" t="s">
        <v>1059</v>
      </c>
      <c r="B547" s="8" t="s">
        <v>120</v>
      </c>
      <c r="C547" s="8" t="s">
        <v>909</v>
      </c>
      <c r="D547" s="8">
        <v>5</v>
      </c>
      <c r="E547" s="8" t="s">
        <v>1060</v>
      </c>
      <c r="F547" s="8" t="s">
        <v>911</v>
      </c>
      <c r="G547" s="8" t="s">
        <v>947</v>
      </c>
      <c r="H547" s="10">
        <v>1</v>
      </c>
      <c r="I547" s="10"/>
      <c r="J547" s="10">
        <v>1</v>
      </c>
      <c r="K547" s="10">
        <v>5735.03</v>
      </c>
    </row>
    <row r="548" spans="1:11" x14ac:dyDescent="0.25">
      <c r="A548" s="8" t="s">
        <v>1061</v>
      </c>
      <c r="B548" s="8" t="s">
        <v>120</v>
      </c>
      <c r="C548" s="8" t="s">
        <v>909</v>
      </c>
      <c r="D548" s="8">
        <v>5</v>
      </c>
      <c r="E548" s="8" t="s">
        <v>1062</v>
      </c>
      <c r="F548" s="8" t="s">
        <v>911</v>
      </c>
      <c r="G548" s="8" t="s">
        <v>947</v>
      </c>
      <c r="H548" s="10">
        <v>1</v>
      </c>
      <c r="I548" s="10"/>
      <c r="J548" s="10">
        <v>1</v>
      </c>
      <c r="K548" s="10">
        <v>5735.03</v>
      </c>
    </row>
    <row r="549" spans="1:11" x14ac:dyDescent="0.25">
      <c r="A549" s="8" t="s">
        <v>1063</v>
      </c>
      <c r="B549" s="8" t="s">
        <v>120</v>
      </c>
      <c r="C549" s="8" t="s">
        <v>909</v>
      </c>
      <c r="D549" s="8">
        <v>5</v>
      </c>
      <c r="E549" s="8" t="s">
        <v>1064</v>
      </c>
      <c r="F549" s="8" t="s">
        <v>911</v>
      </c>
      <c r="G549" s="8" t="s">
        <v>947</v>
      </c>
      <c r="H549" s="10">
        <v>1</v>
      </c>
      <c r="I549" s="10"/>
      <c r="J549" s="10">
        <v>1</v>
      </c>
      <c r="K549" s="10">
        <v>3772.43</v>
      </c>
    </row>
    <row r="550" spans="1:11" x14ac:dyDescent="0.25">
      <c r="A550" s="8" t="s">
        <v>1065</v>
      </c>
      <c r="B550" s="8" t="s">
        <v>120</v>
      </c>
      <c r="C550" s="8" t="s">
        <v>909</v>
      </c>
      <c r="D550" s="8">
        <v>5</v>
      </c>
      <c r="E550" s="8" t="s">
        <v>1066</v>
      </c>
      <c r="F550" s="8" t="s">
        <v>911</v>
      </c>
      <c r="G550" s="8" t="s">
        <v>947</v>
      </c>
      <c r="H550" s="10">
        <v>1</v>
      </c>
      <c r="I550" s="10"/>
      <c r="J550" s="10">
        <v>1</v>
      </c>
      <c r="K550" s="10">
        <v>3772.43</v>
      </c>
    </row>
    <row r="551" spans="1:11" x14ac:dyDescent="0.25">
      <c r="A551" s="8" t="s">
        <v>1067</v>
      </c>
      <c r="B551" s="8" t="s">
        <v>120</v>
      </c>
      <c r="C551" s="8" t="s">
        <v>909</v>
      </c>
      <c r="D551" s="8">
        <v>5</v>
      </c>
      <c r="E551" s="8" t="s">
        <v>1068</v>
      </c>
      <c r="F551" s="8" t="s">
        <v>911</v>
      </c>
      <c r="G551" s="8" t="s">
        <v>947</v>
      </c>
      <c r="H551" s="10">
        <v>1</v>
      </c>
      <c r="I551" s="10"/>
      <c r="J551" s="10">
        <v>1</v>
      </c>
      <c r="K551" s="10">
        <v>3772.43</v>
      </c>
    </row>
    <row r="552" spans="1:11" x14ac:dyDescent="0.25">
      <c r="A552" s="8" t="s">
        <v>1069</v>
      </c>
      <c r="B552" s="8" t="s">
        <v>120</v>
      </c>
      <c r="C552" s="8" t="s">
        <v>909</v>
      </c>
      <c r="D552" s="8">
        <v>5</v>
      </c>
      <c r="E552" s="8" t="s">
        <v>1070</v>
      </c>
      <c r="F552" s="8" t="s">
        <v>911</v>
      </c>
      <c r="G552" s="8" t="s">
        <v>947</v>
      </c>
      <c r="H552" s="10">
        <v>1</v>
      </c>
      <c r="I552" s="10"/>
      <c r="J552" s="10">
        <v>1</v>
      </c>
      <c r="K552" s="10">
        <v>3772.43</v>
      </c>
    </row>
    <row r="553" spans="1:11" x14ac:dyDescent="0.25">
      <c r="A553" s="8" t="s">
        <v>1071</v>
      </c>
      <c r="B553" s="8" t="s">
        <v>136</v>
      </c>
      <c r="C553" s="8" t="s">
        <v>909</v>
      </c>
      <c r="D553" s="8">
        <v>5</v>
      </c>
      <c r="E553" s="8" t="s">
        <v>1072</v>
      </c>
      <c r="F553" s="8" t="s">
        <v>911</v>
      </c>
      <c r="G553" s="8" t="s">
        <v>947</v>
      </c>
      <c r="H553" s="10">
        <v>1</v>
      </c>
      <c r="I553" s="10"/>
      <c r="J553" s="10">
        <v>1</v>
      </c>
      <c r="K553" s="10">
        <v>2682.92</v>
      </c>
    </row>
    <row r="554" spans="1:11" x14ac:dyDescent="0.25">
      <c r="A554" s="8" t="s">
        <v>1073</v>
      </c>
      <c r="B554" s="8" t="s">
        <v>136</v>
      </c>
      <c r="C554" s="8" t="s">
        <v>909</v>
      </c>
      <c r="D554" s="8">
        <v>5</v>
      </c>
      <c r="E554" s="8" t="s">
        <v>1074</v>
      </c>
      <c r="F554" s="8" t="s">
        <v>911</v>
      </c>
      <c r="G554" s="8" t="s">
        <v>947</v>
      </c>
      <c r="H554" s="10">
        <v>1</v>
      </c>
      <c r="I554" s="10"/>
      <c r="J554" s="10">
        <v>1</v>
      </c>
      <c r="K554" s="10">
        <v>2682.92</v>
      </c>
    </row>
    <row r="555" spans="1:11" x14ac:dyDescent="0.25">
      <c r="A555" s="8" t="s">
        <v>1075</v>
      </c>
      <c r="B555" s="8" t="s">
        <v>136</v>
      </c>
      <c r="C555" s="8" t="s">
        <v>909</v>
      </c>
      <c r="D555" s="8">
        <v>5</v>
      </c>
      <c r="E555" s="8" t="s">
        <v>1076</v>
      </c>
      <c r="F555" s="8" t="s">
        <v>911</v>
      </c>
      <c r="G555" s="8" t="s">
        <v>947</v>
      </c>
      <c r="H555" s="10">
        <v>1</v>
      </c>
      <c r="I555" s="10"/>
      <c r="J555" s="10">
        <v>1</v>
      </c>
      <c r="K555" s="10">
        <v>2682.92</v>
      </c>
    </row>
    <row r="556" spans="1:11" x14ac:dyDescent="0.25">
      <c r="A556" s="8" t="s">
        <v>1077</v>
      </c>
      <c r="B556" s="8" t="s">
        <v>118</v>
      </c>
      <c r="C556" s="8" t="s">
        <v>909</v>
      </c>
      <c r="D556" s="8">
        <v>5</v>
      </c>
      <c r="E556" s="8" t="s">
        <v>1078</v>
      </c>
      <c r="F556" s="8" t="s">
        <v>911</v>
      </c>
      <c r="G556" s="8" t="s">
        <v>947</v>
      </c>
      <c r="H556" s="10">
        <v>1</v>
      </c>
      <c r="I556" s="10"/>
      <c r="J556" s="10">
        <v>1</v>
      </c>
      <c r="K556" s="10">
        <v>3632.39</v>
      </c>
    </row>
    <row r="557" spans="1:11" x14ac:dyDescent="0.25">
      <c r="A557" s="8" t="s">
        <v>1079</v>
      </c>
      <c r="B557" s="8" t="s">
        <v>118</v>
      </c>
      <c r="C557" s="8" t="s">
        <v>909</v>
      </c>
      <c r="D557" s="8">
        <v>5</v>
      </c>
      <c r="E557" s="8" t="s">
        <v>1080</v>
      </c>
      <c r="F557" s="8" t="s">
        <v>911</v>
      </c>
      <c r="G557" s="8" t="s">
        <v>947</v>
      </c>
      <c r="H557" s="10">
        <v>1</v>
      </c>
      <c r="I557" s="10"/>
      <c r="J557" s="10">
        <v>1</v>
      </c>
      <c r="K557" s="10">
        <v>3632.39</v>
      </c>
    </row>
    <row r="558" spans="1:11" x14ac:dyDescent="0.25">
      <c r="A558" s="8" t="s">
        <v>1081</v>
      </c>
      <c r="B558" s="8" t="s">
        <v>118</v>
      </c>
      <c r="C558" s="8" t="s">
        <v>909</v>
      </c>
      <c r="D558" s="8">
        <v>5</v>
      </c>
      <c r="E558" s="8" t="s">
        <v>1082</v>
      </c>
      <c r="F558" s="8" t="s">
        <v>911</v>
      </c>
      <c r="G558" s="8" t="s">
        <v>947</v>
      </c>
      <c r="H558" s="10">
        <v>1</v>
      </c>
      <c r="I558" s="10"/>
      <c r="J558" s="10">
        <v>1</v>
      </c>
      <c r="K558" s="10">
        <v>3632.39</v>
      </c>
    </row>
    <row r="559" spans="1:11" x14ac:dyDescent="0.25">
      <c r="A559" s="8" t="s">
        <v>1083</v>
      </c>
      <c r="B559" s="8" t="s">
        <v>118</v>
      </c>
      <c r="C559" s="8" t="s">
        <v>909</v>
      </c>
      <c r="D559" s="8">
        <v>5</v>
      </c>
      <c r="E559" s="8" t="s">
        <v>1084</v>
      </c>
      <c r="F559" s="8" t="s">
        <v>911</v>
      </c>
      <c r="G559" s="8" t="s">
        <v>947</v>
      </c>
      <c r="H559" s="10">
        <v>1</v>
      </c>
      <c r="I559" s="10"/>
      <c r="J559" s="10">
        <v>1</v>
      </c>
      <c r="K559" s="10">
        <v>3632.39</v>
      </c>
    </row>
    <row r="560" spans="1:11" x14ac:dyDescent="0.25">
      <c r="A560" s="8" t="s">
        <v>1085</v>
      </c>
      <c r="B560" s="8" t="s">
        <v>118</v>
      </c>
      <c r="C560" s="8" t="s">
        <v>909</v>
      </c>
      <c r="D560" s="8">
        <v>5</v>
      </c>
      <c r="E560" s="8" t="s">
        <v>1086</v>
      </c>
      <c r="F560" s="8" t="s">
        <v>911</v>
      </c>
      <c r="G560" s="8" t="s">
        <v>947</v>
      </c>
      <c r="H560" s="10">
        <v>1</v>
      </c>
      <c r="I560" s="10"/>
      <c r="J560" s="10">
        <v>1</v>
      </c>
      <c r="K560" s="10">
        <v>3632.39</v>
      </c>
    </row>
    <row r="561" spans="1:11" x14ac:dyDescent="0.25">
      <c r="A561" s="8" t="s">
        <v>1087</v>
      </c>
      <c r="B561" s="8" t="s">
        <v>118</v>
      </c>
      <c r="C561" s="8" t="s">
        <v>909</v>
      </c>
      <c r="D561" s="8">
        <v>5</v>
      </c>
      <c r="E561" s="8" t="s">
        <v>1088</v>
      </c>
      <c r="F561" s="8" t="s">
        <v>911</v>
      </c>
      <c r="G561" s="8" t="s">
        <v>947</v>
      </c>
      <c r="H561" s="10">
        <v>1</v>
      </c>
      <c r="I561" s="10"/>
      <c r="J561" s="10">
        <v>1</v>
      </c>
      <c r="K561" s="10">
        <v>3632.39</v>
      </c>
    </row>
    <row r="562" spans="1:11" x14ac:dyDescent="0.25">
      <c r="A562" s="8" t="s">
        <v>1089</v>
      </c>
      <c r="B562" s="8" t="s">
        <v>118</v>
      </c>
      <c r="C562" s="8" t="s">
        <v>909</v>
      </c>
      <c r="D562" s="8">
        <v>5</v>
      </c>
      <c r="E562" s="8" t="s">
        <v>1090</v>
      </c>
      <c r="F562" s="8" t="s">
        <v>911</v>
      </c>
      <c r="G562" s="8" t="s">
        <v>947</v>
      </c>
      <c r="H562" s="10">
        <v>1</v>
      </c>
      <c r="I562" s="10"/>
      <c r="J562" s="10">
        <v>1</v>
      </c>
      <c r="K562" s="10">
        <v>3632.39</v>
      </c>
    </row>
    <row r="563" spans="1:11" x14ac:dyDescent="0.25">
      <c r="A563" s="8" t="s">
        <v>1091</v>
      </c>
      <c r="B563" s="8" t="s">
        <v>118</v>
      </c>
      <c r="C563" s="8" t="s">
        <v>909</v>
      </c>
      <c r="D563" s="8">
        <v>5</v>
      </c>
      <c r="E563" s="8" t="s">
        <v>1092</v>
      </c>
      <c r="F563" s="8" t="s">
        <v>911</v>
      </c>
      <c r="G563" s="8" t="s">
        <v>947</v>
      </c>
      <c r="H563" s="10">
        <v>1</v>
      </c>
      <c r="I563" s="10"/>
      <c r="J563" s="10">
        <v>1</v>
      </c>
      <c r="K563" s="10">
        <v>3632.39</v>
      </c>
    </row>
    <row r="564" spans="1:11" x14ac:dyDescent="0.25">
      <c r="A564" s="8" t="s">
        <v>1093</v>
      </c>
      <c r="B564" s="8" t="s">
        <v>116</v>
      </c>
      <c r="C564" s="8" t="s">
        <v>909</v>
      </c>
      <c r="D564" s="8">
        <v>5</v>
      </c>
      <c r="E564" s="8" t="s">
        <v>1094</v>
      </c>
      <c r="F564" s="8" t="s">
        <v>911</v>
      </c>
      <c r="G564" s="8" t="s">
        <v>947</v>
      </c>
      <c r="H564" s="10">
        <v>1</v>
      </c>
      <c r="I564" s="10"/>
      <c r="J564" s="10">
        <v>1</v>
      </c>
      <c r="K564" s="10">
        <v>13049.54</v>
      </c>
    </row>
    <row r="565" spans="1:11" x14ac:dyDescent="0.25">
      <c r="A565" s="8" t="s">
        <v>1095</v>
      </c>
      <c r="B565" s="8" t="s">
        <v>118</v>
      </c>
      <c r="C565" s="8" t="s">
        <v>909</v>
      </c>
      <c r="D565" s="8">
        <v>5</v>
      </c>
      <c r="E565" s="8" t="s">
        <v>1096</v>
      </c>
      <c r="F565" s="8" t="s">
        <v>911</v>
      </c>
      <c r="G565" s="8" t="s">
        <v>947</v>
      </c>
      <c r="H565" s="10">
        <v>1</v>
      </c>
      <c r="I565" s="10"/>
      <c r="J565" s="10">
        <v>1</v>
      </c>
      <c r="K565" s="10">
        <v>12233.94</v>
      </c>
    </row>
    <row r="566" spans="1:11" x14ac:dyDescent="0.25">
      <c r="A566" s="8" t="s">
        <v>1097</v>
      </c>
      <c r="B566" s="8" t="s">
        <v>120</v>
      </c>
      <c r="C566" s="8" t="s">
        <v>909</v>
      </c>
      <c r="D566" s="8">
        <v>5</v>
      </c>
      <c r="E566" s="8" t="s">
        <v>1098</v>
      </c>
      <c r="F566" s="8" t="s">
        <v>911</v>
      </c>
      <c r="G566" s="8" t="s">
        <v>947</v>
      </c>
      <c r="H566" s="10">
        <v>1</v>
      </c>
      <c r="I566" s="10"/>
      <c r="J566" s="10">
        <v>1</v>
      </c>
      <c r="K566" s="10">
        <v>12233.94</v>
      </c>
    </row>
    <row r="567" spans="1:11" x14ac:dyDescent="0.25">
      <c r="A567" s="8" t="s">
        <v>1099</v>
      </c>
      <c r="B567" s="8" t="s">
        <v>78</v>
      </c>
      <c r="C567" s="8" t="s">
        <v>909</v>
      </c>
      <c r="D567" s="8">
        <v>5</v>
      </c>
      <c r="E567" s="8" t="s">
        <v>1100</v>
      </c>
      <c r="F567" s="8" t="s">
        <v>911</v>
      </c>
      <c r="G567" s="8" t="s">
        <v>947</v>
      </c>
      <c r="H567" s="10">
        <v>1</v>
      </c>
      <c r="I567" s="10"/>
      <c r="J567" s="10">
        <v>1</v>
      </c>
      <c r="K567" s="10">
        <v>5900.54</v>
      </c>
    </row>
    <row r="568" spans="1:11" x14ac:dyDescent="0.25">
      <c r="A568" s="8" t="s">
        <v>1101</v>
      </c>
      <c r="B568" s="8" t="s">
        <v>78</v>
      </c>
      <c r="C568" s="8" t="s">
        <v>909</v>
      </c>
      <c r="D568" s="8">
        <v>5</v>
      </c>
      <c r="E568" s="8" t="s">
        <v>1102</v>
      </c>
      <c r="F568" s="8" t="s">
        <v>911</v>
      </c>
      <c r="G568" s="8" t="s">
        <v>947</v>
      </c>
      <c r="H568" s="10">
        <v>1</v>
      </c>
      <c r="I568" s="10"/>
      <c r="J568" s="10">
        <v>1</v>
      </c>
      <c r="K568" s="10">
        <v>5569.53</v>
      </c>
    </row>
    <row r="569" spans="1:11" x14ac:dyDescent="0.25">
      <c r="A569" s="8" t="s">
        <v>1103</v>
      </c>
      <c r="B569" s="8" t="s">
        <v>78</v>
      </c>
      <c r="C569" s="8" t="s">
        <v>909</v>
      </c>
      <c r="D569" s="8">
        <v>5</v>
      </c>
      <c r="E569" s="8" t="s">
        <v>1104</v>
      </c>
      <c r="F569" s="8" t="s">
        <v>911</v>
      </c>
      <c r="G569" s="8" t="s">
        <v>947</v>
      </c>
      <c r="H569" s="10">
        <v>1</v>
      </c>
      <c r="I569" s="10"/>
      <c r="J569" s="10">
        <v>1</v>
      </c>
      <c r="K569" s="10">
        <v>5569.53</v>
      </c>
    </row>
    <row r="570" spans="1:11" x14ac:dyDescent="0.25">
      <c r="A570" s="8" t="s">
        <v>1105</v>
      </c>
      <c r="B570" s="8" t="s">
        <v>78</v>
      </c>
      <c r="C570" s="8" t="s">
        <v>909</v>
      </c>
      <c r="D570" s="8">
        <v>5</v>
      </c>
      <c r="E570" s="8" t="s">
        <v>1106</v>
      </c>
      <c r="F570" s="8" t="s">
        <v>911</v>
      </c>
      <c r="G570" s="8" t="s">
        <v>947</v>
      </c>
      <c r="H570" s="10">
        <v>1</v>
      </c>
      <c r="I570" s="10"/>
      <c r="J570" s="10">
        <v>1</v>
      </c>
      <c r="K570" s="10">
        <v>3759.7</v>
      </c>
    </row>
    <row r="571" spans="1:11" x14ac:dyDescent="0.25">
      <c r="A571" s="8" t="s">
        <v>1107</v>
      </c>
      <c r="B571" s="8" t="s">
        <v>78</v>
      </c>
      <c r="C571" s="8" t="s">
        <v>909</v>
      </c>
      <c r="D571" s="8">
        <v>5</v>
      </c>
      <c r="E571" s="8" t="s">
        <v>1108</v>
      </c>
      <c r="F571" s="8" t="s">
        <v>911</v>
      </c>
      <c r="G571" s="8" t="s">
        <v>947</v>
      </c>
      <c r="H571" s="10">
        <v>1</v>
      </c>
      <c r="I571" s="10"/>
      <c r="J571" s="10">
        <v>1</v>
      </c>
      <c r="K571" s="10">
        <v>3759.7</v>
      </c>
    </row>
    <row r="572" spans="1:11" x14ac:dyDescent="0.25">
      <c r="A572" s="8" t="s">
        <v>1109</v>
      </c>
      <c r="B572" s="8" t="s">
        <v>78</v>
      </c>
      <c r="C572" s="8" t="s">
        <v>909</v>
      </c>
      <c r="D572" s="8">
        <v>5</v>
      </c>
      <c r="E572" s="8" t="s">
        <v>1110</v>
      </c>
      <c r="F572" s="8" t="s">
        <v>911</v>
      </c>
      <c r="G572" s="8" t="s">
        <v>947</v>
      </c>
      <c r="H572" s="10">
        <v>1</v>
      </c>
      <c r="I572" s="10"/>
      <c r="J572" s="10">
        <v>1</v>
      </c>
      <c r="K572" s="10">
        <v>5569.53</v>
      </c>
    </row>
    <row r="573" spans="1:11" x14ac:dyDescent="0.25">
      <c r="A573" s="8" t="s">
        <v>1111</v>
      </c>
      <c r="B573" s="8" t="s">
        <v>78</v>
      </c>
      <c r="C573" s="8" t="s">
        <v>909</v>
      </c>
      <c r="D573" s="8">
        <v>5</v>
      </c>
      <c r="E573" s="8" t="s">
        <v>1112</v>
      </c>
      <c r="F573" s="8" t="s">
        <v>911</v>
      </c>
      <c r="G573" s="8" t="s">
        <v>947</v>
      </c>
      <c r="H573" s="10">
        <v>1</v>
      </c>
      <c r="I573" s="10"/>
      <c r="J573" s="10">
        <v>1</v>
      </c>
      <c r="K573" s="10">
        <v>5569.53</v>
      </c>
    </row>
    <row r="574" spans="1:11" x14ac:dyDescent="0.25">
      <c r="A574" s="8" t="s">
        <v>1113</v>
      </c>
      <c r="B574" s="8" t="s">
        <v>138</v>
      </c>
      <c r="C574" s="8" t="s">
        <v>909</v>
      </c>
      <c r="D574" s="8">
        <v>5</v>
      </c>
      <c r="E574" s="8" t="s">
        <v>1114</v>
      </c>
      <c r="F574" s="8" t="s">
        <v>911</v>
      </c>
      <c r="G574" s="8" t="s">
        <v>947</v>
      </c>
      <c r="H574" s="10">
        <v>1</v>
      </c>
      <c r="I574" s="10"/>
      <c r="J574" s="10">
        <v>1</v>
      </c>
      <c r="K574" s="10">
        <v>3772.43</v>
      </c>
    </row>
    <row r="575" spans="1:11" x14ac:dyDescent="0.25">
      <c r="A575" s="8" t="s">
        <v>1115</v>
      </c>
      <c r="B575" s="8" t="s">
        <v>138</v>
      </c>
      <c r="C575" s="8" t="s">
        <v>909</v>
      </c>
      <c r="D575" s="8">
        <v>5</v>
      </c>
      <c r="E575" s="8" t="s">
        <v>1116</v>
      </c>
      <c r="F575" s="8" t="s">
        <v>911</v>
      </c>
      <c r="G575" s="8" t="s">
        <v>947</v>
      </c>
      <c r="H575" s="10">
        <v>1</v>
      </c>
      <c r="I575" s="10"/>
      <c r="J575" s="10">
        <v>1</v>
      </c>
      <c r="K575" s="10">
        <v>3772.43</v>
      </c>
    </row>
    <row r="576" spans="1:11" x14ac:dyDescent="0.25">
      <c r="A576" s="8" t="s">
        <v>1117</v>
      </c>
      <c r="B576" s="8" t="s">
        <v>138</v>
      </c>
      <c r="C576" s="8" t="s">
        <v>909</v>
      </c>
      <c r="D576" s="8">
        <v>5</v>
      </c>
      <c r="E576" s="8" t="s">
        <v>1118</v>
      </c>
      <c r="F576" s="8" t="s">
        <v>911</v>
      </c>
      <c r="G576" s="8" t="s">
        <v>947</v>
      </c>
      <c r="H576" s="10">
        <v>1</v>
      </c>
      <c r="I576" s="10"/>
      <c r="J576" s="10">
        <v>1</v>
      </c>
      <c r="K576" s="10">
        <v>3772.43</v>
      </c>
    </row>
    <row r="577" spans="1:11" x14ac:dyDescent="0.25">
      <c r="A577" s="8" t="s">
        <v>1119</v>
      </c>
      <c r="B577" s="8" t="s">
        <v>118</v>
      </c>
      <c r="C577" s="8" t="s">
        <v>909</v>
      </c>
      <c r="D577" s="8">
        <v>5</v>
      </c>
      <c r="E577" s="8" t="s">
        <v>1120</v>
      </c>
      <c r="F577" s="8" t="s">
        <v>911</v>
      </c>
      <c r="G577" s="8" t="s">
        <v>947</v>
      </c>
      <c r="H577" s="10">
        <v>1</v>
      </c>
      <c r="I577" s="10"/>
      <c r="J577" s="10">
        <v>1</v>
      </c>
      <c r="K577" s="10">
        <v>2631.99</v>
      </c>
    </row>
    <row r="578" spans="1:11" x14ac:dyDescent="0.25">
      <c r="A578" s="8" t="s">
        <v>1121</v>
      </c>
      <c r="B578" s="8" t="s">
        <v>118</v>
      </c>
      <c r="C578" s="8" t="s">
        <v>909</v>
      </c>
      <c r="D578" s="8">
        <v>5</v>
      </c>
      <c r="E578" s="8" t="s">
        <v>1122</v>
      </c>
      <c r="F578" s="8" t="s">
        <v>911</v>
      </c>
      <c r="G578" s="8" t="s">
        <v>947</v>
      </c>
      <c r="H578" s="10">
        <v>1</v>
      </c>
      <c r="I578" s="10"/>
      <c r="J578" s="10">
        <v>1</v>
      </c>
      <c r="K578" s="10">
        <v>3797.89</v>
      </c>
    </row>
    <row r="579" spans="1:11" x14ac:dyDescent="0.25">
      <c r="A579" s="8" t="s">
        <v>1123</v>
      </c>
      <c r="B579" s="8" t="s">
        <v>118</v>
      </c>
      <c r="C579" s="8" t="s">
        <v>909</v>
      </c>
      <c r="D579" s="8">
        <v>5</v>
      </c>
      <c r="E579" s="8" t="s">
        <v>1124</v>
      </c>
      <c r="F579" s="8" t="s">
        <v>911</v>
      </c>
      <c r="G579" s="8" t="s">
        <v>947</v>
      </c>
      <c r="H579" s="10">
        <v>1</v>
      </c>
      <c r="I579" s="10"/>
      <c r="J579" s="10">
        <v>1</v>
      </c>
      <c r="K579" s="10">
        <v>3632.39</v>
      </c>
    </row>
    <row r="580" spans="1:11" x14ac:dyDescent="0.25">
      <c r="A580" s="8" t="s">
        <v>1125</v>
      </c>
      <c r="B580" s="8" t="s">
        <v>120</v>
      </c>
      <c r="C580" s="8" t="s">
        <v>909</v>
      </c>
      <c r="D580" s="8">
        <v>5</v>
      </c>
      <c r="E580" s="8" t="s">
        <v>1126</v>
      </c>
      <c r="F580" s="8" t="s">
        <v>911</v>
      </c>
      <c r="G580" s="8" t="s">
        <v>947</v>
      </c>
      <c r="H580" s="10">
        <v>1</v>
      </c>
      <c r="I580" s="10"/>
      <c r="J580" s="10">
        <v>1</v>
      </c>
      <c r="K580" s="10">
        <v>3785.16</v>
      </c>
    </row>
    <row r="581" spans="1:11" x14ac:dyDescent="0.25">
      <c r="A581" s="8" t="s">
        <v>1127</v>
      </c>
      <c r="B581" s="8" t="s">
        <v>120</v>
      </c>
      <c r="C581" s="8" t="s">
        <v>909</v>
      </c>
      <c r="D581" s="8">
        <v>5</v>
      </c>
      <c r="E581" s="8" t="s">
        <v>1128</v>
      </c>
      <c r="F581" s="8" t="s">
        <v>911</v>
      </c>
      <c r="G581" s="8" t="s">
        <v>947</v>
      </c>
      <c r="H581" s="10">
        <v>1</v>
      </c>
      <c r="I581" s="10"/>
      <c r="J581" s="10">
        <v>1</v>
      </c>
      <c r="K581" s="10">
        <v>3785.16</v>
      </c>
    </row>
    <row r="582" spans="1:11" x14ac:dyDescent="0.25">
      <c r="A582" s="8" t="s">
        <v>1129</v>
      </c>
      <c r="B582" s="8" t="s">
        <v>116</v>
      </c>
      <c r="C582" s="8" t="s">
        <v>909</v>
      </c>
      <c r="D582" s="8">
        <v>5</v>
      </c>
      <c r="E582" s="8" t="s">
        <v>1130</v>
      </c>
      <c r="F582" s="8" t="s">
        <v>911</v>
      </c>
      <c r="G582" s="8" t="s">
        <v>947</v>
      </c>
      <c r="H582" s="10">
        <v>1</v>
      </c>
      <c r="I582" s="10"/>
      <c r="J582" s="10">
        <v>1</v>
      </c>
      <c r="K582" s="10">
        <v>2695.65</v>
      </c>
    </row>
    <row r="583" spans="1:11" x14ac:dyDescent="0.25">
      <c r="A583" s="8" t="s">
        <v>1131</v>
      </c>
      <c r="B583" s="8" t="s">
        <v>116</v>
      </c>
      <c r="C583" s="8" t="s">
        <v>909</v>
      </c>
      <c r="D583" s="8">
        <v>5</v>
      </c>
      <c r="E583" s="8" t="s">
        <v>1132</v>
      </c>
      <c r="F583" s="8" t="s">
        <v>911</v>
      </c>
      <c r="G583" s="8" t="s">
        <v>947</v>
      </c>
      <c r="H583" s="10">
        <v>1</v>
      </c>
      <c r="I583" s="10"/>
      <c r="J583" s="10">
        <v>1</v>
      </c>
      <c r="K583" s="10">
        <v>2695.65</v>
      </c>
    </row>
    <row r="584" spans="1:11" x14ac:dyDescent="0.25">
      <c r="A584" s="8" t="s">
        <v>1133</v>
      </c>
      <c r="B584" s="8" t="s">
        <v>116</v>
      </c>
      <c r="C584" s="8" t="s">
        <v>909</v>
      </c>
      <c r="D584" s="8">
        <v>5</v>
      </c>
      <c r="E584" s="8" t="s">
        <v>1134</v>
      </c>
      <c r="F584" s="8" t="s">
        <v>911</v>
      </c>
      <c r="G584" s="8" t="s">
        <v>947</v>
      </c>
      <c r="H584" s="10">
        <v>1</v>
      </c>
      <c r="I584" s="10"/>
      <c r="J584" s="10">
        <v>1</v>
      </c>
      <c r="K584" s="10">
        <v>2695.65</v>
      </c>
    </row>
    <row r="585" spans="1:11" x14ac:dyDescent="0.25">
      <c r="A585" s="8" t="s">
        <v>1135</v>
      </c>
      <c r="B585" s="8" t="s">
        <v>116</v>
      </c>
      <c r="C585" s="8" t="s">
        <v>909</v>
      </c>
      <c r="D585" s="8">
        <v>5</v>
      </c>
      <c r="E585" s="8" t="s">
        <v>1136</v>
      </c>
      <c r="F585" s="8" t="s">
        <v>911</v>
      </c>
      <c r="G585" s="8" t="s">
        <v>947</v>
      </c>
      <c r="H585" s="10">
        <v>1</v>
      </c>
      <c r="I585" s="10"/>
      <c r="J585" s="10">
        <v>1</v>
      </c>
      <c r="K585" s="10">
        <v>2695.65</v>
      </c>
    </row>
    <row r="586" spans="1:11" x14ac:dyDescent="0.25">
      <c r="A586" s="8" t="s">
        <v>1137</v>
      </c>
      <c r="B586" s="8" t="s">
        <v>116</v>
      </c>
      <c r="C586" s="8" t="s">
        <v>909</v>
      </c>
      <c r="D586" s="8">
        <v>5</v>
      </c>
      <c r="E586" s="8" t="s">
        <v>1138</v>
      </c>
      <c r="F586" s="8" t="s">
        <v>911</v>
      </c>
      <c r="G586" s="8" t="s">
        <v>947</v>
      </c>
      <c r="H586" s="10">
        <v>1</v>
      </c>
      <c r="I586" s="10"/>
      <c r="J586" s="10">
        <v>1</v>
      </c>
      <c r="K586" s="10">
        <v>2695.65</v>
      </c>
    </row>
    <row r="587" spans="1:11" x14ac:dyDescent="0.25">
      <c r="A587" s="8" t="s">
        <v>1139</v>
      </c>
      <c r="B587" s="8" t="s">
        <v>116</v>
      </c>
      <c r="C587" s="8" t="s">
        <v>909</v>
      </c>
      <c r="D587" s="8">
        <v>5</v>
      </c>
      <c r="E587" s="8" t="s">
        <v>1140</v>
      </c>
      <c r="F587" s="8" t="s">
        <v>911</v>
      </c>
      <c r="G587" s="8" t="s">
        <v>947</v>
      </c>
      <c r="H587" s="10">
        <v>1</v>
      </c>
      <c r="I587" s="10"/>
      <c r="J587" s="10">
        <v>1</v>
      </c>
      <c r="K587" s="10">
        <v>2695.65</v>
      </c>
    </row>
    <row r="588" spans="1:11" x14ac:dyDescent="0.25">
      <c r="A588" s="8" t="s">
        <v>1141</v>
      </c>
      <c r="B588" s="8" t="s">
        <v>116</v>
      </c>
      <c r="C588" s="8" t="s">
        <v>909</v>
      </c>
      <c r="D588" s="8">
        <v>5</v>
      </c>
      <c r="E588" s="8" t="s">
        <v>1142</v>
      </c>
      <c r="F588" s="8" t="s">
        <v>911</v>
      </c>
      <c r="G588" s="8" t="s">
        <v>947</v>
      </c>
      <c r="H588" s="10">
        <v>1</v>
      </c>
      <c r="I588" s="10"/>
      <c r="J588" s="10">
        <v>1</v>
      </c>
      <c r="K588" s="10">
        <v>2695.65</v>
      </c>
    </row>
    <row r="589" spans="1:11" x14ac:dyDescent="0.25">
      <c r="A589" s="8" t="s">
        <v>1143</v>
      </c>
      <c r="B589" s="8" t="s">
        <v>116</v>
      </c>
      <c r="C589" s="8" t="s">
        <v>909</v>
      </c>
      <c r="D589" s="8">
        <v>5</v>
      </c>
      <c r="E589" s="8" t="s">
        <v>1144</v>
      </c>
      <c r="F589" s="8" t="s">
        <v>911</v>
      </c>
      <c r="G589" s="8" t="s">
        <v>947</v>
      </c>
      <c r="H589" s="10">
        <v>1</v>
      </c>
      <c r="I589" s="10"/>
      <c r="J589" s="10">
        <v>1</v>
      </c>
      <c r="K589" s="10">
        <v>2695.65</v>
      </c>
    </row>
    <row r="590" spans="1:11" x14ac:dyDescent="0.25">
      <c r="A590" s="8" t="s">
        <v>1145</v>
      </c>
      <c r="B590" s="8" t="s">
        <v>118</v>
      </c>
      <c r="C590" s="8" t="s">
        <v>909</v>
      </c>
      <c r="D590" s="8">
        <v>5</v>
      </c>
      <c r="E590" s="8" t="s">
        <v>1146</v>
      </c>
      <c r="F590" s="8" t="s">
        <v>911</v>
      </c>
      <c r="G590" s="8" t="s">
        <v>947</v>
      </c>
      <c r="H590" s="10">
        <v>1</v>
      </c>
      <c r="I590" s="10"/>
      <c r="J590" s="10">
        <v>1</v>
      </c>
      <c r="K590" s="10">
        <v>2695.65</v>
      </c>
    </row>
    <row r="591" spans="1:11" x14ac:dyDescent="0.25">
      <c r="A591" s="8" t="s">
        <v>1147</v>
      </c>
      <c r="B591" s="8" t="s">
        <v>118</v>
      </c>
      <c r="C591" s="8" t="s">
        <v>909</v>
      </c>
      <c r="D591" s="8">
        <v>5</v>
      </c>
      <c r="E591" s="8" t="s">
        <v>1148</v>
      </c>
      <c r="F591" s="8" t="s">
        <v>911</v>
      </c>
      <c r="G591" s="8" t="s">
        <v>947</v>
      </c>
      <c r="H591" s="10">
        <v>1</v>
      </c>
      <c r="I591" s="10"/>
      <c r="J591" s="10">
        <v>1</v>
      </c>
      <c r="K591" s="10">
        <v>2695.65</v>
      </c>
    </row>
    <row r="592" spans="1:11" x14ac:dyDescent="0.25">
      <c r="A592" s="8" t="s">
        <v>1149</v>
      </c>
      <c r="B592" s="8" t="s">
        <v>118</v>
      </c>
      <c r="C592" s="8" t="s">
        <v>909</v>
      </c>
      <c r="D592" s="8">
        <v>5</v>
      </c>
      <c r="E592" s="8" t="s">
        <v>1150</v>
      </c>
      <c r="F592" s="8" t="s">
        <v>911</v>
      </c>
      <c r="G592" s="8" t="s">
        <v>947</v>
      </c>
      <c r="H592" s="10">
        <v>1</v>
      </c>
      <c r="I592" s="10"/>
      <c r="J592" s="10">
        <v>1</v>
      </c>
      <c r="K592" s="10">
        <v>2695.65</v>
      </c>
    </row>
    <row r="593" spans="1:11" x14ac:dyDescent="0.25">
      <c r="A593" s="8" t="s">
        <v>1151</v>
      </c>
      <c r="B593" s="8" t="s">
        <v>118</v>
      </c>
      <c r="C593" s="8" t="s">
        <v>909</v>
      </c>
      <c r="D593" s="8">
        <v>5</v>
      </c>
      <c r="E593" s="8" t="s">
        <v>1152</v>
      </c>
      <c r="F593" s="8" t="s">
        <v>911</v>
      </c>
      <c r="G593" s="8" t="s">
        <v>947</v>
      </c>
      <c r="H593" s="10">
        <v>1</v>
      </c>
      <c r="I593" s="10"/>
      <c r="J593" s="10">
        <v>1</v>
      </c>
      <c r="K593" s="10">
        <v>2695.65</v>
      </c>
    </row>
    <row r="594" spans="1:11" x14ac:dyDescent="0.25">
      <c r="A594" s="8" t="s">
        <v>1153</v>
      </c>
      <c r="B594" s="8" t="s">
        <v>118</v>
      </c>
      <c r="C594" s="8" t="s">
        <v>909</v>
      </c>
      <c r="D594" s="8">
        <v>5</v>
      </c>
      <c r="E594" s="8" t="s">
        <v>1154</v>
      </c>
      <c r="F594" s="8" t="s">
        <v>911</v>
      </c>
      <c r="G594" s="8" t="s">
        <v>947</v>
      </c>
      <c r="H594" s="10">
        <v>1</v>
      </c>
      <c r="I594" s="10"/>
      <c r="J594" s="10">
        <v>1</v>
      </c>
      <c r="K594" s="10">
        <v>2695.65</v>
      </c>
    </row>
    <row r="595" spans="1:11" x14ac:dyDescent="0.25">
      <c r="A595" s="8" t="s">
        <v>1155</v>
      </c>
      <c r="B595" s="8" t="s">
        <v>118</v>
      </c>
      <c r="C595" s="8" t="s">
        <v>909</v>
      </c>
      <c r="D595" s="8">
        <v>5</v>
      </c>
      <c r="E595" s="8" t="s">
        <v>1156</v>
      </c>
      <c r="F595" s="8" t="s">
        <v>911</v>
      </c>
      <c r="G595" s="8" t="s">
        <v>947</v>
      </c>
      <c r="H595" s="10">
        <v>1</v>
      </c>
      <c r="I595" s="10"/>
      <c r="J595" s="10">
        <v>1</v>
      </c>
      <c r="K595" s="10">
        <v>2695.65</v>
      </c>
    </row>
    <row r="596" spans="1:11" x14ac:dyDescent="0.25">
      <c r="A596" s="8" t="s">
        <v>1157</v>
      </c>
      <c r="B596" s="8" t="s">
        <v>120</v>
      </c>
      <c r="C596" s="8" t="s">
        <v>909</v>
      </c>
      <c r="D596" s="8">
        <v>5</v>
      </c>
      <c r="E596" s="8" t="s">
        <v>1158</v>
      </c>
      <c r="F596" s="8" t="s">
        <v>911</v>
      </c>
      <c r="G596" s="8" t="s">
        <v>947</v>
      </c>
      <c r="H596" s="10">
        <v>1</v>
      </c>
      <c r="I596" s="10"/>
      <c r="J596" s="10">
        <v>1</v>
      </c>
      <c r="K596" s="10">
        <v>2695.65</v>
      </c>
    </row>
    <row r="597" spans="1:11" x14ac:dyDescent="0.25">
      <c r="A597" s="8" t="s">
        <v>1159</v>
      </c>
      <c r="B597" s="8" t="s">
        <v>120</v>
      </c>
      <c r="C597" s="8" t="s">
        <v>909</v>
      </c>
      <c r="D597" s="8">
        <v>5</v>
      </c>
      <c r="E597" s="8" t="s">
        <v>1160</v>
      </c>
      <c r="F597" s="8" t="s">
        <v>911</v>
      </c>
      <c r="G597" s="8" t="s">
        <v>947</v>
      </c>
      <c r="H597" s="10">
        <v>1</v>
      </c>
      <c r="I597" s="10"/>
      <c r="J597" s="10">
        <v>1</v>
      </c>
      <c r="K597" s="10">
        <v>2695.65</v>
      </c>
    </row>
    <row r="598" spans="1:11" x14ac:dyDescent="0.25">
      <c r="A598" s="8" t="s">
        <v>1161</v>
      </c>
      <c r="B598" s="8" t="s">
        <v>120</v>
      </c>
      <c r="C598" s="8" t="s">
        <v>909</v>
      </c>
      <c r="D598" s="8">
        <v>5</v>
      </c>
      <c r="E598" s="8" t="s">
        <v>1162</v>
      </c>
      <c r="F598" s="8" t="s">
        <v>911</v>
      </c>
      <c r="G598" s="8" t="s">
        <v>947</v>
      </c>
      <c r="H598" s="10">
        <v>1</v>
      </c>
      <c r="I598" s="10"/>
      <c r="J598" s="10">
        <v>1</v>
      </c>
      <c r="K598" s="10">
        <v>2695.65</v>
      </c>
    </row>
    <row r="599" spans="1:11" x14ac:dyDescent="0.25">
      <c r="A599" s="8" t="s">
        <v>1163</v>
      </c>
      <c r="B599" s="8" t="s">
        <v>120</v>
      </c>
      <c r="C599" s="8" t="s">
        <v>909</v>
      </c>
      <c r="D599" s="8">
        <v>5</v>
      </c>
      <c r="E599" s="8" t="s">
        <v>1164</v>
      </c>
      <c r="F599" s="8" t="s">
        <v>911</v>
      </c>
      <c r="G599" s="8" t="s">
        <v>947</v>
      </c>
      <c r="H599" s="10">
        <v>1</v>
      </c>
      <c r="I599" s="10"/>
      <c r="J599" s="10">
        <v>1</v>
      </c>
      <c r="K599" s="10">
        <v>2695.65</v>
      </c>
    </row>
    <row r="600" spans="1:11" x14ac:dyDescent="0.25">
      <c r="A600" s="8" t="s">
        <v>1165</v>
      </c>
      <c r="B600" s="8" t="s">
        <v>120</v>
      </c>
      <c r="C600" s="8" t="s">
        <v>909</v>
      </c>
      <c r="D600" s="8">
        <v>5</v>
      </c>
      <c r="E600" s="8" t="s">
        <v>1166</v>
      </c>
      <c r="F600" s="8" t="s">
        <v>911</v>
      </c>
      <c r="G600" s="8" t="s">
        <v>947</v>
      </c>
      <c r="H600" s="10">
        <v>1</v>
      </c>
      <c r="I600" s="10"/>
      <c r="J600" s="10">
        <v>1</v>
      </c>
      <c r="K600" s="10">
        <v>2695.65</v>
      </c>
    </row>
    <row r="601" spans="1:11" x14ac:dyDescent="0.25">
      <c r="A601" s="8" t="s">
        <v>1167</v>
      </c>
      <c r="B601" s="8" t="s">
        <v>120</v>
      </c>
      <c r="C601" s="8" t="s">
        <v>909</v>
      </c>
      <c r="D601" s="8">
        <v>5</v>
      </c>
      <c r="E601" s="8" t="s">
        <v>1168</v>
      </c>
      <c r="F601" s="8" t="s">
        <v>911</v>
      </c>
      <c r="G601" s="8" t="s">
        <v>947</v>
      </c>
      <c r="H601" s="10">
        <v>1</v>
      </c>
      <c r="I601" s="10"/>
      <c r="J601" s="10">
        <v>1</v>
      </c>
      <c r="K601" s="10">
        <v>2695.65</v>
      </c>
    </row>
    <row r="602" spans="1:11" x14ac:dyDescent="0.25">
      <c r="A602" s="8" t="s">
        <v>1169</v>
      </c>
      <c r="B602" s="8" t="s">
        <v>120</v>
      </c>
      <c r="C602" s="8" t="s">
        <v>909</v>
      </c>
      <c r="D602" s="8">
        <v>5</v>
      </c>
      <c r="E602" s="8" t="s">
        <v>1170</v>
      </c>
      <c r="F602" s="8" t="s">
        <v>911</v>
      </c>
      <c r="G602" s="8" t="s">
        <v>947</v>
      </c>
      <c r="H602" s="10">
        <v>1</v>
      </c>
      <c r="I602" s="10"/>
      <c r="J602" s="10">
        <v>1</v>
      </c>
      <c r="K602" s="10">
        <v>2695.65</v>
      </c>
    </row>
    <row r="603" spans="1:11" x14ac:dyDescent="0.25">
      <c r="A603" s="8" t="s">
        <v>1171</v>
      </c>
      <c r="B603" s="8" t="s">
        <v>120</v>
      </c>
      <c r="C603" s="8" t="s">
        <v>909</v>
      </c>
      <c r="D603" s="8">
        <v>5</v>
      </c>
      <c r="E603" s="8" t="s">
        <v>1172</v>
      </c>
      <c r="F603" s="8" t="s">
        <v>911</v>
      </c>
      <c r="G603" s="8" t="s">
        <v>947</v>
      </c>
      <c r="H603" s="10">
        <v>1</v>
      </c>
      <c r="I603" s="10"/>
      <c r="J603" s="10">
        <v>1</v>
      </c>
      <c r="K603" s="10">
        <v>2695.65</v>
      </c>
    </row>
    <row r="604" spans="1:11" x14ac:dyDescent="0.25">
      <c r="A604" s="8" t="s">
        <v>1173</v>
      </c>
      <c r="B604" s="8" t="s">
        <v>120</v>
      </c>
      <c r="C604" s="8" t="s">
        <v>909</v>
      </c>
      <c r="D604" s="8">
        <v>5</v>
      </c>
      <c r="E604" s="8" t="s">
        <v>1174</v>
      </c>
      <c r="F604" s="8" t="s">
        <v>911</v>
      </c>
      <c r="G604" s="8" t="s">
        <v>947</v>
      </c>
      <c r="H604" s="10">
        <v>1</v>
      </c>
      <c r="I604" s="10"/>
      <c r="J604" s="10">
        <v>1</v>
      </c>
      <c r="K604" s="10">
        <v>2708.38</v>
      </c>
    </row>
    <row r="605" spans="1:11" x14ac:dyDescent="0.25">
      <c r="A605" s="8" t="s">
        <v>1175</v>
      </c>
      <c r="B605" s="8" t="s">
        <v>120</v>
      </c>
      <c r="C605" s="8" t="s">
        <v>909</v>
      </c>
      <c r="D605" s="8">
        <v>5</v>
      </c>
      <c r="E605" s="8" t="s">
        <v>1176</v>
      </c>
      <c r="F605" s="8" t="s">
        <v>911</v>
      </c>
      <c r="G605" s="8" t="s">
        <v>947</v>
      </c>
      <c r="H605" s="10">
        <v>1</v>
      </c>
      <c r="I605" s="10"/>
      <c r="J605" s="10">
        <v>1</v>
      </c>
      <c r="K605" s="10">
        <v>2708.38</v>
      </c>
    </row>
    <row r="606" spans="1:11" x14ac:dyDescent="0.25">
      <c r="A606" s="8" t="s">
        <v>1177</v>
      </c>
      <c r="B606" s="8" t="s">
        <v>120</v>
      </c>
      <c r="C606" s="8" t="s">
        <v>909</v>
      </c>
      <c r="D606" s="8">
        <v>5</v>
      </c>
      <c r="E606" s="8" t="s">
        <v>1178</v>
      </c>
      <c r="F606" s="8" t="s">
        <v>911</v>
      </c>
      <c r="G606" s="8" t="s">
        <v>947</v>
      </c>
      <c r="H606" s="10">
        <v>1</v>
      </c>
      <c r="I606" s="10"/>
      <c r="J606" s="10">
        <v>1</v>
      </c>
      <c r="K606" s="10">
        <v>2708.38</v>
      </c>
    </row>
    <row r="607" spans="1:11" x14ac:dyDescent="0.25">
      <c r="A607" s="8" t="s">
        <v>1179</v>
      </c>
      <c r="B607" s="8" t="s">
        <v>120</v>
      </c>
      <c r="C607" s="8" t="s">
        <v>909</v>
      </c>
      <c r="D607" s="8">
        <v>5</v>
      </c>
      <c r="E607" s="8" t="s">
        <v>1180</v>
      </c>
      <c r="F607" s="8" t="s">
        <v>911</v>
      </c>
      <c r="G607" s="8" t="s">
        <v>947</v>
      </c>
      <c r="H607" s="10">
        <v>1</v>
      </c>
      <c r="I607" s="10"/>
      <c r="J607" s="10">
        <v>1</v>
      </c>
      <c r="K607" s="10">
        <v>2708.38</v>
      </c>
    </row>
    <row r="608" spans="1:11" x14ac:dyDescent="0.25">
      <c r="A608" s="8" t="s">
        <v>1181</v>
      </c>
      <c r="B608" s="8" t="s">
        <v>128</v>
      </c>
      <c r="C608" s="8" t="s">
        <v>918</v>
      </c>
      <c r="D608" s="8">
        <v>6</v>
      </c>
      <c r="E608" s="8" t="s">
        <v>1182</v>
      </c>
      <c r="F608" s="8" t="s">
        <v>911</v>
      </c>
      <c r="G608" s="8" t="s">
        <v>920</v>
      </c>
      <c r="H608" s="10">
        <v>1</v>
      </c>
      <c r="I608" s="10"/>
      <c r="J608" s="10">
        <v>1</v>
      </c>
      <c r="K608" s="10">
        <v>429944.14</v>
      </c>
    </row>
    <row r="609" spans="1:11" x14ac:dyDescent="0.25">
      <c r="A609" s="8" t="s">
        <v>1183</v>
      </c>
      <c r="B609" s="8" t="s">
        <v>122</v>
      </c>
      <c r="C609" s="8" t="s">
        <v>918</v>
      </c>
      <c r="D609" s="8">
        <v>6</v>
      </c>
      <c r="E609" s="8" t="s">
        <v>1184</v>
      </c>
      <c r="F609" s="8" t="s">
        <v>911</v>
      </c>
      <c r="G609" s="8" t="s">
        <v>920</v>
      </c>
      <c r="H609" s="10">
        <v>1</v>
      </c>
      <c r="I609" s="10"/>
      <c r="J609" s="10">
        <v>1</v>
      </c>
      <c r="K609" s="10">
        <v>387683.44</v>
      </c>
    </row>
    <row r="610" spans="1:11" x14ac:dyDescent="0.25">
      <c r="A610" s="8" t="s">
        <v>1185</v>
      </c>
      <c r="B610" s="8" t="s">
        <v>122</v>
      </c>
      <c r="C610" s="8" t="s">
        <v>918</v>
      </c>
      <c r="D610" s="8">
        <v>6</v>
      </c>
      <c r="E610" s="8" t="s">
        <v>1186</v>
      </c>
      <c r="F610" s="8" t="s">
        <v>911</v>
      </c>
      <c r="G610" s="8" t="s">
        <v>920</v>
      </c>
      <c r="H610" s="10">
        <v>1</v>
      </c>
      <c r="I610" s="10"/>
      <c r="J610" s="10">
        <v>1</v>
      </c>
      <c r="K610" s="10">
        <v>387683.44</v>
      </c>
    </row>
    <row r="611" spans="1:11" x14ac:dyDescent="0.25">
      <c r="A611" s="8" t="s">
        <v>1187</v>
      </c>
      <c r="B611" s="8" t="s">
        <v>122</v>
      </c>
      <c r="C611" s="8" t="s">
        <v>918</v>
      </c>
      <c r="D611" s="8">
        <v>6</v>
      </c>
      <c r="E611" s="8" t="s">
        <v>1188</v>
      </c>
      <c r="F611" s="8" t="s">
        <v>911</v>
      </c>
      <c r="G611" s="8" t="s">
        <v>920</v>
      </c>
      <c r="H611" s="10">
        <v>1</v>
      </c>
      <c r="I611" s="10"/>
      <c r="J611" s="10">
        <v>1</v>
      </c>
      <c r="K611" s="10">
        <v>387683.44</v>
      </c>
    </row>
    <row r="612" spans="1:11" x14ac:dyDescent="0.25">
      <c r="A612" s="8" t="s">
        <v>1189</v>
      </c>
      <c r="B612" s="8" t="s">
        <v>122</v>
      </c>
      <c r="C612" s="8" t="s">
        <v>918</v>
      </c>
      <c r="D612" s="8">
        <v>6</v>
      </c>
      <c r="E612" s="8" t="s">
        <v>1190</v>
      </c>
      <c r="F612" s="8" t="s">
        <v>911</v>
      </c>
      <c r="G612" s="8" t="s">
        <v>920</v>
      </c>
      <c r="H612" s="10">
        <v>1</v>
      </c>
      <c r="I612" s="10"/>
      <c r="J612" s="10">
        <v>1</v>
      </c>
      <c r="K612" s="10">
        <v>387683.44</v>
      </c>
    </row>
    <row r="613" spans="1:11" x14ac:dyDescent="0.25">
      <c r="A613" s="8" t="s">
        <v>1191</v>
      </c>
      <c r="B613" s="8" t="s">
        <v>122</v>
      </c>
      <c r="C613" s="8" t="s">
        <v>918</v>
      </c>
      <c r="D613" s="8">
        <v>6</v>
      </c>
      <c r="E613" s="8" t="s">
        <v>1192</v>
      </c>
      <c r="F613" s="8" t="s">
        <v>911</v>
      </c>
      <c r="G613" s="8" t="s">
        <v>920</v>
      </c>
      <c r="H613" s="10">
        <v>1</v>
      </c>
      <c r="I613" s="10"/>
      <c r="J613" s="10">
        <v>1</v>
      </c>
      <c r="K613" s="10">
        <v>387683.44</v>
      </c>
    </row>
    <row r="614" spans="1:11" x14ac:dyDescent="0.25">
      <c r="A614" s="8" t="s">
        <v>1193</v>
      </c>
      <c r="B614" s="8" t="s">
        <v>122</v>
      </c>
      <c r="C614" s="8" t="s">
        <v>918</v>
      </c>
      <c r="D614" s="8">
        <v>6</v>
      </c>
      <c r="E614" s="8" t="s">
        <v>1194</v>
      </c>
      <c r="F614" s="8" t="s">
        <v>911</v>
      </c>
      <c r="G614" s="8" t="s">
        <v>920</v>
      </c>
      <c r="H614" s="10">
        <v>1</v>
      </c>
      <c r="I614" s="10"/>
      <c r="J614" s="10">
        <v>1</v>
      </c>
      <c r="K614" s="10">
        <v>387683.44</v>
      </c>
    </row>
    <row r="615" spans="1:11" x14ac:dyDescent="0.25">
      <c r="A615" s="8" t="s">
        <v>1195</v>
      </c>
      <c r="B615" s="8" t="s">
        <v>122</v>
      </c>
      <c r="C615" s="8" t="s">
        <v>918</v>
      </c>
      <c r="D615" s="8">
        <v>6</v>
      </c>
      <c r="E615" s="8" t="s">
        <v>1196</v>
      </c>
      <c r="F615" s="8" t="s">
        <v>911</v>
      </c>
      <c r="G615" s="8" t="s">
        <v>920</v>
      </c>
      <c r="H615" s="10">
        <v>1</v>
      </c>
      <c r="I615" s="10"/>
      <c r="J615" s="10">
        <v>1</v>
      </c>
      <c r="K615" s="10">
        <v>387683.44</v>
      </c>
    </row>
    <row r="616" spans="1:11" x14ac:dyDescent="0.25">
      <c r="A616" s="8" t="s">
        <v>1197</v>
      </c>
      <c r="B616" s="8" t="s">
        <v>122</v>
      </c>
      <c r="C616" s="8" t="s">
        <v>918</v>
      </c>
      <c r="D616" s="8">
        <v>6</v>
      </c>
      <c r="E616" s="8" t="s">
        <v>1198</v>
      </c>
      <c r="F616" s="8" t="s">
        <v>911</v>
      </c>
      <c r="G616" s="8" t="s">
        <v>920</v>
      </c>
      <c r="H616" s="10">
        <v>1</v>
      </c>
      <c r="I616" s="10"/>
      <c r="J616" s="10">
        <v>1</v>
      </c>
      <c r="K616" s="10">
        <v>387683.44</v>
      </c>
    </row>
    <row r="617" spans="1:11" x14ac:dyDescent="0.25">
      <c r="A617" s="8" t="s">
        <v>1199</v>
      </c>
      <c r="B617" s="8" t="s">
        <v>122</v>
      </c>
      <c r="C617" s="8" t="s">
        <v>918</v>
      </c>
      <c r="D617" s="8">
        <v>6</v>
      </c>
      <c r="E617" s="8" t="s">
        <v>1200</v>
      </c>
      <c r="F617" s="8" t="s">
        <v>911</v>
      </c>
      <c r="G617" s="8" t="s">
        <v>920</v>
      </c>
      <c r="H617" s="10">
        <v>1</v>
      </c>
      <c r="I617" s="10"/>
      <c r="J617" s="10">
        <v>1</v>
      </c>
      <c r="K617" s="10">
        <v>387683.44</v>
      </c>
    </row>
    <row r="618" spans="1:11" x14ac:dyDescent="0.25">
      <c r="A618" s="8" t="s">
        <v>1201</v>
      </c>
      <c r="B618" s="8" t="s">
        <v>122</v>
      </c>
      <c r="C618" s="8" t="s">
        <v>918</v>
      </c>
      <c r="D618" s="8">
        <v>6</v>
      </c>
      <c r="E618" s="8" t="s">
        <v>1202</v>
      </c>
      <c r="F618" s="8" t="s">
        <v>911</v>
      </c>
      <c r="G618" s="8" t="s">
        <v>920</v>
      </c>
      <c r="H618" s="10">
        <v>1</v>
      </c>
      <c r="I618" s="10"/>
      <c r="J618" s="10">
        <v>1</v>
      </c>
      <c r="K618" s="10">
        <v>387683.44</v>
      </c>
    </row>
    <row r="619" spans="1:11" x14ac:dyDescent="0.25">
      <c r="A619" s="8" t="s">
        <v>1203</v>
      </c>
      <c r="B619" s="8" t="s">
        <v>122</v>
      </c>
      <c r="C619" s="8" t="s">
        <v>918</v>
      </c>
      <c r="D619" s="8">
        <v>6</v>
      </c>
      <c r="E619" s="8" t="s">
        <v>1204</v>
      </c>
      <c r="F619" s="8" t="s">
        <v>911</v>
      </c>
      <c r="G619" s="8" t="s">
        <v>920</v>
      </c>
      <c r="H619" s="10">
        <v>1</v>
      </c>
      <c r="I619" s="10"/>
      <c r="J619" s="10">
        <v>1</v>
      </c>
      <c r="K619" s="10">
        <v>387683.44</v>
      </c>
    </row>
    <row r="620" spans="1:11" x14ac:dyDescent="0.25">
      <c r="A620" s="8" t="s">
        <v>1205</v>
      </c>
      <c r="B620" s="8" t="s">
        <v>122</v>
      </c>
      <c r="C620" s="8" t="s">
        <v>918</v>
      </c>
      <c r="D620" s="8">
        <v>6</v>
      </c>
      <c r="E620" s="8" t="s">
        <v>1206</v>
      </c>
      <c r="F620" s="8" t="s">
        <v>911</v>
      </c>
      <c r="G620" s="8" t="s">
        <v>920</v>
      </c>
      <c r="H620" s="10">
        <v>1</v>
      </c>
      <c r="I620" s="10"/>
      <c r="J620" s="10">
        <v>1</v>
      </c>
      <c r="K620" s="10">
        <v>387683.44</v>
      </c>
    </row>
    <row r="621" spans="1:11" x14ac:dyDescent="0.25">
      <c r="A621" s="8" t="s">
        <v>1207</v>
      </c>
      <c r="B621" s="8" t="s">
        <v>122</v>
      </c>
      <c r="C621" s="8" t="s">
        <v>918</v>
      </c>
      <c r="D621" s="8">
        <v>6</v>
      </c>
      <c r="E621" s="8" t="s">
        <v>1208</v>
      </c>
      <c r="F621" s="8" t="s">
        <v>911</v>
      </c>
      <c r="G621" s="8" t="s">
        <v>920</v>
      </c>
      <c r="H621" s="10">
        <v>1</v>
      </c>
      <c r="I621" s="10"/>
      <c r="J621" s="10">
        <v>1</v>
      </c>
      <c r="K621" s="10">
        <v>387683.44</v>
      </c>
    </row>
    <row r="622" spans="1:11" x14ac:dyDescent="0.25">
      <c r="A622" s="8" t="s">
        <v>1209</v>
      </c>
      <c r="B622" s="8" t="s">
        <v>122</v>
      </c>
      <c r="C622" s="8" t="s">
        <v>918</v>
      </c>
      <c r="D622" s="8">
        <v>6</v>
      </c>
      <c r="E622" s="8" t="s">
        <v>1210</v>
      </c>
      <c r="F622" s="8" t="s">
        <v>911</v>
      </c>
      <c r="G622" s="8" t="s">
        <v>920</v>
      </c>
      <c r="H622" s="10">
        <v>1</v>
      </c>
      <c r="I622" s="10"/>
      <c r="J622" s="10">
        <v>1</v>
      </c>
      <c r="K622" s="10">
        <v>387683.44</v>
      </c>
    </row>
    <row r="623" spans="1:11" x14ac:dyDescent="0.25">
      <c r="A623" s="8" t="s">
        <v>1211</v>
      </c>
      <c r="B623" s="8" t="s">
        <v>122</v>
      </c>
      <c r="C623" s="8" t="s">
        <v>918</v>
      </c>
      <c r="D623" s="8">
        <v>6</v>
      </c>
      <c r="E623" s="8" t="s">
        <v>1212</v>
      </c>
      <c r="F623" s="8" t="s">
        <v>911</v>
      </c>
      <c r="G623" s="8" t="s">
        <v>920</v>
      </c>
      <c r="H623" s="10">
        <v>1</v>
      </c>
      <c r="I623" s="10"/>
      <c r="J623" s="10">
        <v>1</v>
      </c>
      <c r="K623" s="10">
        <v>387683.44</v>
      </c>
    </row>
    <row r="624" spans="1:11" x14ac:dyDescent="0.25">
      <c r="A624" s="8" t="s">
        <v>1213</v>
      </c>
      <c r="B624" s="8" t="s">
        <v>122</v>
      </c>
      <c r="C624" s="8" t="s">
        <v>918</v>
      </c>
      <c r="D624" s="8">
        <v>6</v>
      </c>
      <c r="E624" s="8" t="s">
        <v>1214</v>
      </c>
      <c r="F624" s="8" t="s">
        <v>911</v>
      </c>
      <c r="G624" s="8" t="s">
        <v>920</v>
      </c>
      <c r="H624" s="10">
        <v>1</v>
      </c>
      <c r="I624" s="10"/>
      <c r="J624" s="10">
        <v>1</v>
      </c>
      <c r="K624" s="10">
        <v>387683.44</v>
      </c>
    </row>
    <row r="625" spans="1:11" x14ac:dyDescent="0.25">
      <c r="A625" s="8" t="s">
        <v>1215</v>
      </c>
      <c r="B625" s="8" t="s">
        <v>122</v>
      </c>
      <c r="C625" s="8" t="s">
        <v>918</v>
      </c>
      <c r="D625" s="8">
        <v>6</v>
      </c>
      <c r="E625" s="8" t="s">
        <v>1216</v>
      </c>
      <c r="F625" s="8" t="s">
        <v>911</v>
      </c>
      <c r="G625" s="8" t="s">
        <v>920</v>
      </c>
      <c r="H625" s="10">
        <v>1</v>
      </c>
      <c r="I625" s="10"/>
      <c r="J625" s="10">
        <v>1</v>
      </c>
      <c r="K625" s="10">
        <v>387683.44</v>
      </c>
    </row>
    <row r="626" spans="1:11" x14ac:dyDescent="0.25">
      <c r="A626" s="8" t="s">
        <v>1217</v>
      </c>
      <c r="B626" s="8" t="s">
        <v>122</v>
      </c>
      <c r="C626" s="8" t="s">
        <v>918</v>
      </c>
      <c r="D626" s="8">
        <v>6</v>
      </c>
      <c r="E626" s="8" t="s">
        <v>1218</v>
      </c>
      <c r="F626" s="8" t="s">
        <v>911</v>
      </c>
      <c r="G626" s="8" t="s">
        <v>920</v>
      </c>
      <c r="H626" s="10">
        <v>1</v>
      </c>
      <c r="I626" s="10"/>
      <c r="J626" s="10">
        <v>1</v>
      </c>
      <c r="K626" s="10">
        <v>387683.44</v>
      </c>
    </row>
    <row r="627" spans="1:11" x14ac:dyDescent="0.25">
      <c r="A627" s="8" t="s">
        <v>1219</v>
      </c>
      <c r="B627" s="8" t="s">
        <v>122</v>
      </c>
      <c r="C627" s="8" t="s">
        <v>918</v>
      </c>
      <c r="D627" s="8">
        <v>6</v>
      </c>
      <c r="E627" s="8" t="s">
        <v>1220</v>
      </c>
      <c r="F627" s="8" t="s">
        <v>911</v>
      </c>
      <c r="G627" s="8" t="s">
        <v>920</v>
      </c>
      <c r="H627" s="10">
        <v>1</v>
      </c>
      <c r="I627" s="10"/>
      <c r="J627" s="10">
        <v>1</v>
      </c>
      <c r="K627" s="10">
        <v>387683.44</v>
      </c>
    </row>
    <row r="628" spans="1:11" x14ac:dyDescent="0.25">
      <c r="A628" s="8" t="s">
        <v>1221</v>
      </c>
      <c r="B628" s="8" t="s">
        <v>122</v>
      </c>
      <c r="C628" s="8" t="s">
        <v>918</v>
      </c>
      <c r="D628" s="8">
        <v>6</v>
      </c>
      <c r="E628" s="8" t="s">
        <v>1222</v>
      </c>
      <c r="F628" s="8" t="s">
        <v>911</v>
      </c>
      <c r="G628" s="8" t="s">
        <v>920</v>
      </c>
      <c r="H628" s="10">
        <v>1</v>
      </c>
      <c r="I628" s="10"/>
      <c r="J628" s="10">
        <v>1</v>
      </c>
      <c r="K628" s="10">
        <v>387683.44</v>
      </c>
    </row>
    <row r="629" spans="1:11" x14ac:dyDescent="0.25">
      <c r="A629" s="8" t="s">
        <v>1223</v>
      </c>
      <c r="B629" s="8" t="s">
        <v>122</v>
      </c>
      <c r="C629" s="8" t="s">
        <v>918</v>
      </c>
      <c r="D629" s="8">
        <v>6</v>
      </c>
      <c r="E629" s="8" t="s">
        <v>1224</v>
      </c>
      <c r="F629" s="8" t="s">
        <v>911</v>
      </c>
      <c r="G629" s="8" t="s">
        <v>920</v>
      </c>
      <c r="H629" s="10">
        <v>1</v>
      </c>
      <c r="I629" s="10"/>
      <c r="J629" s="10">
        <v>1</v>
      </c>
      <c r="K629" s="10">
        <v>387683.44</v>
      </c>
    </row>
    <row r="630" spans="1:11" x14ac:dyDescent="0.25">
      <c r="A630" s="8" t="s">
        <v>1225</v>
      </c>
      <c r="B630" s="8" t="s">
        <v>122</v>
      </c>
      <c r="C630" s="8" t="s">
        <v>918</v>
      </c>
      <c r="D630" s="8">
        <v>6</v>
      </c>
      <c r="E630" s="8" t="s">
        <v>1226</v>
      </c>
      <c r="F630" s="8" t="s">
        <v>911</v>
      </c>
      <c r="G630" s="8" t="s">
        <v>920</v>
      </c>
      <c r="H630" s="10">
        <v>1</v>
      </c>
      <c r="I630" s="10"/>
      <c r="J630" s="10">
        <v>1</v>
      </c>
      <c r="K630" s="10">
        <v>387683.44</v>
      </c>
    </row>
    <row r="631" spans="1:11" x14ac:dyDescent="0.25">
      <c r="A631" s="8" t="s">
        <v>1227</v>
      </c>
      <c r="B631" s="8" t="s">
        <v>122</v>
      </c>
      <c r="C631" s="8" t="s">
        <v>918</v>
      </c>
      <c r="D631" s="8">
        <v>6</v>
      </c>
      <c r="E631" s="8" t="s">
        <v>1228</v>
      </c>
      <c r="F631" s="8" t="s">
        <v>911</v>
      </c>
      <c r="G631" s="8" t="s">
        <v>920</v>
      </c>
      <c r="H631" s="10">
        <v>1</v>
      </c>
      <c r="I631" s="10"/>
      <c r="J631" s="10">
        <v>1</v>
      </c>
      <c r="K631" s="10">
        <v>387683.44</v>
      </c>
    </row>
    <row r="632" spans="1:11" x14ac:dyDescent="0.25">
      <c r="A632" s="8" t="s">
        <v>1229</v>
      </c>
      <c r="B632" s="8" t="s">
        <v>122</v>
      </c>
      <c r="C632" s="8" t="s">
        <v>918</v>
      </c>
      <c r="D632" s="8">
        <v>6</v>
      </c>
      <c r="E632" s="8" t="s">
        <v>1230</v>
      </c>
      <c r="F632" s="8" t="s">
        <v>911</v>
      </c>
      <c r="G632" s="8" t="s">
        <v>920</v>
      </c>
      <c r="H632" s="10">
        <v>1</v>
      </c>
      <c r="I632" s="10"/>
      <c r="J632" s="10">
        <v>1</v>
      </c>
      <c r="K632" s="10">
        <v>387683.44</v>
      </c>
    </row>
    <row r="633" spans="1:11" x14ac:dyDescent="0.25">
      <c r="A633" s="8" t="s">
        <v>1231</v>
      </c>
      <c r="B633" s="8" t="s">
        <v>122</v>
      </c>
      <c r="C633" s="8" t="s">
        <v>918</v>
      </c>
      <c r="D633" s="8">
        <v>6</v>
      </c>
      <c r="E633" s="8" t="s">
        <v>1232</v>
      </c>
      <c r="F633" s="8" t="s">
        <v>911</v>
      </c>
      <c r="G633" s="8" t="s">
        <v>920</v>
      </c>
      <c r="H633" s="10">
        <v>1</v>
      </c>
      <c r="I633" s="10"/>
      <c r="J633" s="10">
        <v>1</v>
      </c>
      <c r="K633" s="10">
        <v>225106.52</v>
      </c>
    </row>
    <row r="634" spans="1:11" x14ac:dyDescent="0.25">
      <c r="A634" s="8" t="s">
        <v>1233</v>
      </c>
      <c r="B634" s="8" t="s">
        <v>122</v>
      </c>
      <c r="C634" s="8" t="s">
        <v>918</v>
      </c>
      <c r="D634" s="8">
        <v>6</v>
      </c>
      <c r="E634" s="8" t="s">
        <v>1234</v>
      </c>
      <c r="F634" s="8" t="s">
        <v>911</v>
      </c>
      <c r="G634" s="8" t="s">
        <v>920</v>
      </c>
      <c r="H634" s="10">
        <v>1</v>
      </c>
      <c r="I634" s="10"/>
      <c r="J634" s="10">
        <v>1</v>
      </c>
      <c r="K634" s="10">
        <v>225106.52</v>
      </c>
    </row>
    <row r="635" spans="1:11" x14ac:dyDescent="0.25">
      <c r="A635" s="8" t="s">
        <v>1235</v>
      </c>
      <c r="B635" s="8" t="s">
        <v>124</v>
      </c>
      <c r="C635" s="8" t="s">
        <v>918</v>
      </c>
      <c r="D635" s="8">
        <v>6</v>
      </c>
      <c r="E635" s="8" t="s">
        <v>1236</v>
      </c>
      <c r="F635" s="8" t="s">
        <v>911</v>
      </c>
      <c r="G635" s="8" t="s">
        <v>920</v>
      </c>
      <c r="H635" s="10">
        <v>1</v>
      </c>
      <c r="I635" s="10"/>
      <c r="J635" s="10">
        <v>1</v>
      </c>
      <c r="K635" s="10">
        <v>425201.2</v>
      </c>
    </row>
    <row r="636" spans="1:11" x14ac:dyDescent="0.25">
      <c r="A636" s="8" t="s">
        <v>1237</v>
      </c>
      <c r="B636" s="8" t="s">
        <v>124</v>
      </c>
      <c r="C636" s="8" t="s">
        <v>918</v>
      </c>
      <c r="D636" s="8">
        <v>6</v>
      </c>
      <c r="E636" s="8" t="s">
        <v>1238</v>
      </c>
      <c r="F636" s="8" t="s">
        <v>911</v>
      </c>
      <c r="G636" s="8" t="s">
        <v>920</v>
      </c>
      <c r="H636" s="10">
        <v>1</v>
      </c>
      <c r="I636" s="10"/>
      <c r="J636" s="10">
        <v>1</v>
      </c>
      <c r="K636" s="10">
        <v>425201.2</v>
      </c>
    </row>
    <row r="637" spans="1:11" x14ac:dyDescent="0.25">
      <c r="A637" s="8" t="s">
        <v>1239</v>
      </c>
      <c r="B637" s="8" t="s">
        <v>124</v>
      </c>
      <c r="C637" s="8" t="s">
        <v>918</v>
      </c>
      <c r="D637" s="8">
        <v>6</v>
      </c>
      <c r="E637" s="8" t="s">
        <v>1240</v>
      </c>
      <c r="F637" s="8" t="s">
        <v>911</v>
      </c>
      <c r="G637" s="8" t="s">
        <v>920</v>
      </c>
      <c r="H637" s="10">
        <v>1</v>
      </c>
      <c r="I637" s="10"/>
      <c r="J637" s="10">
        <v>1</v>
      </c>
      <c r="K637" s="10">
        <v>425201.2</v>
      </c>
    </row>
    <row r="638" spans="1:11" x14ac:dyDescent="0.25">
      <c r="A638" s="8" t="s">
        <v>1241</v>
      </c>
      <c r="B638" s="8" t="s">
        <v>124</v>
      </c>
      <c r="C638" s="8" t="s">
        <v>918</v>
      </c>
      <c r="D638" s="8">
        <v>6</v>
      </c>
      <c r="E638" s="8" t="s">
        <v>1242</v>
      </c>
      <c r="F638" s="8" t="s">
        <v>911</v>
      </c>
      <c r="G638" s="8" t="s">
        <v>920</v>
      </c>
      <c r="H638" s="10">
        <v>1</v>
      </c>
      <c r="I638" s="10"/>
      <c r="J638" s="10">
        <v>1</v>
      </c>
      <c r="K638" s="10">
        <v>425201.2</v>
      </c>
    </row>
    <row r="639" spans="1:11" x14ac:dyDescent="0.25">
      <c r="A639" s="8" t="s">
        <v>1243</v>
      </c>
      <c r="B639" s="8" t="s">
        <v>124</v>
      </c>
      <c r="C639" s="8" t="s">
        <v>918</v>
      </c>
      <c r="D639" s="8">
        <v>6</v>
      </c>
      <c r="E639" s="8" t="s">
        <v>1244</v>
      </c>
      <c r="F639" s="8" t="s">
        <v>911</v>
      </c>
      <c r="G639" s="8" t="s">
        <v>920</v>
      </c>
      <c r="H639" s="10">
        <v>1</v>
      </c>
      <c r="I639" s="10"/>
      <c r="J639" s="10">
        <v>1</v>
      </c>
      <c r="K639" s="10">
        <v>425201.2</v>
      </c>
    </row>
    <row r="640" spans="1:11" x14ac:dyDescent="0.25">
      <c r="A640" s="8" t="s">
        <v>1245</v>
      </c>
      <c r="B640" s="8" t="s">
        <v>124</v>
      </c>
      <c r="C640" s="8" t="s">
        <v>918</v>
      </c>
      <c r="D640" s="8">
        <v>6</v>
      </c>
      <c r="E640" s="8" t="s">
        <v>1246</v>
      </c>
      <c r="F640" s="8" t="s">
        <v>911</v>
      </c>
      <c r="G640" s="8" t="s">
        <v>920</v>
      </c>
      <c r="H640" s="10">
        <v>1</v>
      </c>
      <c r="I640" s="10"/>
      <c r="J640" s="10">
        <v>1</v>
      </c>
      <c r="K640" s="10">
        <v>425201.2</v>
      </c>
    </row>
    <row r="641" spans="1:11" x14ac:dyDescent="0.25">
      <c r="A641" s="8" t="s">
        <v>1247</v>
      </c>
      <c r="B641" s="8" t="s">
        <v>124</v>
      </c>
      <c r="C641" s="8" t="s">
        <v>918</v>
      </c>
      <c r="D641" s="8">
        <v>6</v>
      </c>
      <c r="E641" s="8" t="s">
        <v>1248</v>
      </c>
      <c r="F641" s="8" t="s">
        <v>911</v>
      </c>
      <c r="G641" s="8" t="s">
        <v>920</v>
      </c>
      <c r="H641" s="10">
        <v>1</v>
      </c>
      <c r="I641" s="10"/>
      <c r="J641" s="10">
        <v>1</v>
      </c>
      <c r="K641" s="10">
        <v>425201.2</v>
      </c>
    </row>
    <row r="642" spans="1:11" x14ac:dyDescent="0.25">
      <c r="A642" s="8" t="s">
        <v>1249</v>
      </c>
      <c r="B642" s="8" t="s">
        <v>124</v>
      </c>
      <c r="C642" s="8" t="s">
        <v>918</v>
      </c>
      <c r="D642" s="8">
        <v>6</v>
      </c>
      <c r="E642" s="8" t="s">
        <v>1250</v>
      </c>
      <c r="F642" s="8" t="s">
        <v>911</v>
      </c>
      <c r="G642" s="8" t="s">
        <v>920</v>
      </c>
      <c r="H642" s="10">
        <v>1</v>
      </c>
      <c r="I642" s="10"/>
      <c r="J642" s="10">
        <v>1</v>
      </c>
      <c r="K642" s="10">
        <v>425201.2</v>
      </c>
    </row>
    <row r="643" spans="1:11" x14ac:dyDescent="0.25">
      <c r="A643" s="8" t="s">
        <v>1251</v>
      </c>
      <c r="B643" s="8" t="s">
        <v>124</v>
      </c>
      <c r="C643" s="8" t="s">
        <v>918</v>
      </c>
      <c r="D643" s="8">
        <v>6</v>
      </c>
      <c r="E643" s="8" t="s">
        <v>1252</v>
      </c>
      <c r="F643" s="8" t="s">
        <v>911</v>
      </c>
      <c r="G643" s="8" t="s">
        <v>920</v>
      </c>
      <c r="H643" s="10">
        <v>1</v>
      </c>
      <c r="I643" s="10"/>
      <c r="J643" s="10">
        <v>1</v>
      </c>
      <c r="K643" s="10">
        <v>262624.27</v>
      </c>
    </row>
    <row r="644" spans="1:11" x14ac:dyDescent="0.25">
      <c r="A644" s="8" t="s">
        <v>1253</v>
      </c>
      <c r="B644" s="8" t="s">
        <v>124</v>
      </c>
      <c r="C644" s="8" t="s">
        <v>918</v>
      </c>
      <c r="D644" s="8">
        <v>6</v>
      </c>
      <c r="E644" s="8" t="s">
        <v>1254</v>
      </c>
      <c r="F644" s="8" t="s">
        <v>911</v>
      </c>
      <c r="G644" s="8" t="s">
        <v>920</v>
      </c>
      <c r="H644" s="10">
        <v>1</v>
      </c>
      <c r="I644" s="10"/>
      <c r="J644" s="10">
        <v>1</v>
      </c>
      <c r="K644" s="10">
        <v>262624.27</v>
      </c>
    </row>
    <row r="645" spans="1:11" x14ac:dyDescent="0.25">
      <c r="A645" s="8" t="s">
        <v>1255</v>
      </c>
      <c r="B645" s="8" t="s">
        <v>124</v>
      </c>
      <c r="C645" s="8" t="s">
        <v>918</v>
      </c>
      <c r="D645" s="8">
        <v>6</v>
      </c>
      <c r="E645" s="8" t="s">
        <v>1256</v>
      </c>
      <c r="F645" s="8" t="s">
        <v>911</v>
      </c>
      <c r="G645" s="8" t="s">
        <v>920</v>
      </c>
      <c r="H645" s="10">
        <v>1</v>
      </c>
      <c r="I645" s="10"/>
      <c r="J645" s="10">
        <v>1</v>
      </c>
      <c r="K645" s="10">
        <v>262624.27</v>
      </c>
    </row>
    <row r="646" spans="1:11" x14ac:dyDescent="0.25">
      <c r="A646" s="8" t="s">
        <v>1257</v>
      </c>
      <c r="B646" s="8" t="s">
        <v>124</v>
      </c>
      <c r="C646" s="8" t="s">
        <v>918</v>
      </c>
      <c r="D646" s="8">
        <v>6</v>
      </c>
      <c r="E646" s="8" t="s">
        <v>1258</v>
      </c>
      <c r="F646" s="8" t="s">
        <v>911</v>
      </c>
      <c r="G646" s="8" t="s">
        <v>920</v>
      </c>
      <c r="H646" s="10">
        <v>1</v>
      </c>
      <c r="I646" s="10"/>
      <c r="J646" s="10">
        <v>1</v>
      </c>
      <c r="K646" s="10">
        <v>262624.27</v>
      </c>
    </row>
    <row r="647" spans="1:11" x14ac:dyDescent="0.25">
      <c r="A647" s="8" t="s">
        <v>1259</v>
      </c>
      <c r="B647" s="8" t="s">
        <v>124</v>
      </c>
      <c r="C647" s="8" t="s">
        <v>918</v>
      </c>
      <c r="D647" s="8">
        <v>6</v>
      </c>
      <c r="E647" s="8" t="s">
        <v>1260</v>
      </c>
      <c r="F647" s="8" t="s">
        <v>911</v>
      </c>
      <c r="G647" s="8" t="s">
        <v>920</v>
      </c>
      <c r="H647" s="10">
        <v>1</v>
      </c>
      <c r="I647" s="10"/>
      <c r="J647" s="10">
        <v>1</v>
      </c>
      <c r="K647" s="10">
        <v>262624.27</v>
      </c>
    </row>
    <row r="648" spans="1:11" x14ac:dyDescent="0.25">
      <c r="A648" s="8" t="s">
        <v>1261</v>
      </c>
      <c r="B648" s="8" t="s">
        <v>124</v>
      </c>
      <c r="C648" s="8" t="s">
        <v>918</v>
      </c>
      <c r="D648" s="8">
        <v>6</v>
      </c>
      <c r="E648" s="8" t="s">
        <v>1262</v>
      </c>
      <c r="F648" s="8" t="s">
        <v>911</v>
      </c>
      <c r="G648" s="8" t="s">
        <v>920</v>
      </c>
      <c r="H648" s="10">
        <v>1</v>
      </c>
      <c r="I648" s="10"/>
      <c r="J648" s="10">
        <v>1</v>
      </c>
      <c r="K648" s="10">
        <v>262624.27</v>
      </c>
    </row>
    <row r="649" spans="1:11" x14ac:dyDescent="0.25">
      <c r="A649" s="8" t="s">
        <v>1263</v>
      </c>
      <c r="B649" s="8" t="s">
        <v>120</v>
      </c>
      <c r="C649" s="8" t="s">
        <v>909</v>
      </c>
      <c r="D649" s="8">
        <v>5</v>
      </c>
      <c r="E649" s="8" t="s">
        <v>1264</v>
      </c>
      <c r="F649" s="8" t="s">
        <v>911</v>
      </c>
      <c r="G649" s="8" t="s">
        <v>912</v>
      </c>
      <c r="H649" s="10">
        <v>1</v>
      </c>
      <c r="I649" s="10"/>
      <c r="J649" s="10">
        <v>1</v>
      </c>
      <c r="K649" s="10">
        <v>204698.35</v>
      </c>
    </row>
    <row r="650" spans="1:11" x14ac:dyDescent="0.25">
      <c r="A650" s="8" t="s">
        <v>1265</v>
      </c>
      <c r="B650" s="8" t="s">
        <v>120</v>
      </c>
      <c r="C650" s="8" t="s">
        <v>909</v>
      </c>
      <c r="D650" s="8">
        <v>5</v>
      </c>
      <c r="E650" s="8" t="s">
        <v>1266</v>
      </c>
      <c r="F650" s="8" t="s">
        <v>911</v>
      </c>
      <c r="G650" s="8" t="s">
        <v>912</v>
      </c>
      <c r="H650" s="10">
        <v>1</v>
      </c>
      <c r="I650" s="10"/>
      <c r="J650" s="10">
        <v>1</v>
      </c>
      <c r="K650" s="10">
        <v>204698.35</v>
      </c>
    </row>
    <row r="651" spans="1:11" x14ac:dyDescent="0.25">
      <c r="A651" s="8" t="s">
        <v>1267</v>
      </c>
      <c r="B651" s="8" t="s">
        <v>120</v>
      </c>
      <c r="C651" s="8" t="s">
        <v>909</v>
      </c>
      <c r="D651" s="8">
        <v>5</v>
      </c>
      <c r="E651" s="8" t="s">
        <v>1268</v>
      </c>
      <c r="F651" s="8" t="s">
        <v>911</v>
      </c>
      <c r="G651" s="8" t="s">
        <v>912</v>
      </c>
      <c r="H651" s="10">
        <v>1</v>
      </c>
      <c r="I651" s="10"/>
      <c r="J651" s="10">
        <v>1</v>
      </c>
      <c r="K651" s="10">
        <v>204698.35</v>
      </c>
    </row>
    <row r="652" spans="1:11" x14ac:dyDescent="0.25">
      <c r="A652" s="8" t="s">
        <v>1269</v>
      </c>
      <c r="B652" s="8" t="s">
        <v>120</v>
      </c>
      <c r="C652" s="8" t="s">
        <v>909</v>
      </c>
      <c r="D652" s="8">
        <v>5</v>
      </c>
      <c r="E652" s="8" t="s">
        <v>1270</v>
      </c>
      <c r="F652" s="8" t="s">
        <v>911</v>
      </c>
      <c r="G652" s="8" t="s">
        <v>912</v>
      </c>
      <c r="H652" s="10">
        <v>1</v>
      </c>
      <c r="I652" s="10"/>
      <c r="J652" s="10">
        <v>1</v>
      </c>
      <c r="K652" s="10">
        <v>204698.35</v>
      </c>
    </row>
    <row r="653" spans="1:11" x14ac:dyDescent="0.25">
      <c r="A653" s="8" t="s">
        <v>1271</v>
      </c>
      <c r="B653" s="8" t="s">
        <v>120</v>
      </c>
      <c r="C653" s="8" t="s">
        <v>909</v>
      </c>
      <c r="D653" s="8">
        <v>5</v>
      </c>
      <c r="E653" s="8" t="s">
        <v>1272</v>
      </c>
      <c r="F653" s="8" t="s">
        <v>911</v>
      </c>
      <c r="G653" s="8" t="s">
        <v>912</v>
      </c>
      <c r="H653" s="10">
        <v>1</v>
      </c>
      <c r="I653" s="10"/>
      <c r="J653" s="10">
        <v>1</v>
      </c>
      <c r="K653" s="10">
        <v>202725.19</v>
      </c>
    </row>
    <row r="654" spans="1:11" x14ac:dyDescent="0.25">
      <c r="A654" s="8" t="s">
        <v>1273</v>
      </c>
      <c r="B654" s="8" t="s">
        <v>134</v>
      </c>
      <c r="C654" s="8" t="s">
        <v>909</v>
      </c>
      <c r="D654" s="8">
        <v>5</v>
      </c>
      <c r="E654" s="8" t="s">
        <v>1274</v>
      </c>
      <c r="F654" s="8" t="s">
        <v>911</v>
      </c>
      <c r="G654" s="8" t="s">
        <v>912</v>
      </c>
      <c r="H654" s="10">
        <v>1</v>
      </c>
      <c r="I654" s="10"/>
      <c r="J654" s="10">
        <v>1</v>
      </c>
      <c r="K654" s="10">
        <v>1733.44</v>
      </c>
    </row>
    <row r="655" spans="1:11" x14ac:dyDescent="0.25">
      <c r="A655" s="8" t="s">
        <v>1275</v>
      </c>
      <c r="B655" s="8" t="s">
        <v>134</v>
      </c>
      <c r="C655" s="8" t="s">
        <v>909</v>
      </c>
      <c r="D655" s="8">
        <v>5</v>
      </c>
      <c r="E655" s="8" t="s">
        <v>1276</v>
      </c>
      <c r="F655" s="8" t="s">
        <v>911</v>
      </c>
      <c r="G655" s="8" t="s">
        <v>912</v>
      </c>
      <c r="H655" s="10">
        <v>1</v>
      </c>
      <c r="I655" s="10"/>
      <c r="J655" s="10">
        <v>1</v>
      </c>
      <c r="K655" s="10">
        <v>1733.44</v>
      </c>
    </row>
    <row r="656" spans="1:11" x14ac:dyDescent="0.25">
      <c r="A656" s="8" t="s">
        <v>1277</v>
      </c>
      <c r="B656" s="8" t="s">
        <v>134</v>
      </c>
      <c r="C656" s="8" t="s">
        <v>909</v>
      </c>
      <c r="D656" s="8">
        <v>5</v>
      </c>
      <c r="E656" s="8" t="s">
        <v>1278</v>
      </c>
      <c r="F656" s="8" t="s">
        <v>911</v>
      </c>
      <c r="G656" s="8" t="s">
        <v>912</v>
      </c>
      <c r="H656" s="10">
        <v>1</v>
      </c>
      <c r="I656" s="10"/>
      <c r="J656" s="10">
        <v>1</v>
      </c>
      <c r="K656" s="10">
        <v>1746.17</v>
      </c>
    </row>
    <row r="657" spans="1:11" x14ac:dyDescent="0.25">
      <c r="A657" s="8" t="s">
        <v>1279</v>
      </c>
      <c r="B657" s="8" t="s">
        <v>134</v>
      </c>
      <c r="C657" s="8" t="s">
        <v>909</v>
      </c>
      <c r="D657" s="8">
        <v>5</v>
      </c>
      <c r="E657" s="8" t="s">
        <v>1280</v>
      </c>
      <c r="F657" s="8" t="s">
        <v>911</v>
      </c>
      <c r="G657" s="8" t="s">
        <v>912</v>
      </c>
      <c r="H657" s="10">
        <v>1</v>
      </c>
      <c r="I657" s="10"/>
      <c r="J657" s="10">
        <v>1</v>
      </c>
      <c r="K657" s="10">
        <v>1746.17</v>
      </c>
    </row>
    <row r="658" spans="1:11" x14ac:dyDescent="0.25">
      <c r="A658" s="8" t="s">
        <v>1281</v>
      </c>
      <c r="B658" s="8" t="s">
        <v>134</v>
      </c>
      <c r="C658" s="8" t="s">
        <v>909</v>
      </c>
      <c r="D658" s="8">
        <v>5</v>
      </c>
      <c r="E658" s="8" t="s">
        <v>1282</v>
      </c>
      <c r="F658" s="8" t="s">
        <v>911</v>
      </c>
      <c r="G658" s="8" t="s">
        <v>912</v>
      </c>
      <c r="H658" s="10">
        <v>1</v>
      </c>
      <c r="I658" s="10"/>
      <c r="J658" s="10">
        <v>1</v>
      </c>
      <c r="K658" s="10">
        <v>1746.17</v>
      </c>
    </row>
    <row r="659" spans="1:11" x14ac:dyDescent="0.25">
      <c r="A659" s="8" t="s">
        <v>1283</v>
      </c>
      <c r="B659" s="8" t="s">
        <v>134</v>
      </c>
      <c r="C659" s="8" t="s">
        <v>909</v>
      </c>
      <c r="D659" s="8">
        <v>5</v>
      </c>
      <c r="E659" s="8" t="s">
        <v>1284</v>
      </c>
      <c r="F659" s="8" t="s">
        <v>911</v>
      </c>
      <c r="G659" s="8" t="s">
        <v>912</v>
      </c>
      <c r="H659" s="10">
        <v>1</v>
      </c>
      <c r="I659" s="10"/>
      <c r="J659" s="10">
        <v>1</v>
      </c>
      <c r="K659" s="10">
        <v>1746.17</v>
      </c>
    </row>
    <row r="660" spans="1:11" x14ac:dyDescent="0.25">
      <c r="A660" s="8" t="s">
        <v>1285</v>
      </c>
      <c r="B660" s="8" t="s">
        <v>134</v>
      </c>
      <c r="C660" s="8" t="s">
        <v>909</v>
      </c>
      <c r="D660" s="8">
        <v>5</v>
      </c>
      <c r="E660" s="8" t="s">
        <v>1286</v>
      </c>
      <c r="F660" s="8" t="s">
        <v>911</v>
      </c>
      <c r="G660" s="8" t="s">
        <v>912</v>
      </c>
      <c r="H660" s="10">
        <v>1</v>
      </c>
      <c r="I660" s="10"/>
      <c r="J660" s="10">
        <v>1</v>
      </c>
      <c r="K660" s="10">
        <v>1746.17</v>
      </c>
    </row>
    <row r="661" spans="1:11" x14ac:dyDescent="0.25">
      <c r="A661" s="8" t="s">
        <v>1287</v>
      </c>
      <c r="B661" s="8" t="s">
        <v>134</v>
      </c>
      <c r="C661" s="8" t="s">
        <v>909</v>
      </c>
      <c r="D661" s="8">
        <v>5</v>
      </c>
      <c r="E661" s="8" t="s">
        <v>1288</v>
      </c>
      <c r="F661" s="8" t="s">
        <v>911</v>
      </c>
      <c r="G661" s="8" t="s">
        <v>912</v>
      </c>
      <c r="H661" s="10">
        <v>1</v>
      </c>
      <c r="I661" s="10"/>
      <c r="J661" s="10">
        <v>1</v>
      </c>
      <c r="K661" s="10">
        <v>1746.17</v>
      </c>
    </row>
    <row r="662" spans="1:11" x14ac:dyDescent="0.25">
      <c r="A662" s="8" t="s">
        <v>1289</v>
      </c>
      <c r="B662" s="8" t="s">
        <v>134</v>
      </c>
      <c r="C662" s="8" t="s">
        <v>909</v>
      </c>
      <c r="D662" s="8">
        <v>5</v>
      </c>
      <c r="E662" s="8" t="s">
        <v>1290</v>
      </c>
      <c r="F662" s="8" t="s">
        <v>911</v>
      </c>
      <c r="G662" s="8" t="s">
        <v>912</v>
      </c>
      <c r="H662" s="10">
        <v>1</v>
      </c>
      <c r="I662" s="10"/>
      <c r="J662" s="10">
        <v>1</v>
      </c>
      <c r="K662" s="10">
        <v>1746.17</v>
      </c>
    </row>
    <row r="663" spans="1:11" x14ac:dyDescent="0.25">
      <c r="A663" s="8" t="s">
        <v>1291</v>
      </c>
      <c r="B663" s="8" t="s">
        <v>134</v>
      </c>
      <c r="C663" s="8" t="s">
        <v>909</v>
      </c>
      <c r="D663" s="8">
        <v>5</v>
      </c>
      <c r="E663" s="8" t="s">
        <v>1292</v>
      </c>
      <c r="F663" s="8" t="s">
        <v>911</v>
      </c>
      <c r="G663" s="8" t="s">
        <v>912</v>
      </c>
      <c r="H663" s="10">
        <v>1</v>
      </c>
      <c r="I663" s="10"/>
      <c r="J663" s="10">
        <v>1</v>
      </c>
      <c r="K663" s="10">
        <v>1758.9</v>
      </c>
    </row>
    <row r="664" spans="1:11" x14ac:dyDescent="0.25">
      <c r="A664" s="8" t="s">
        <v>1293</v>
      </c>
      <c r="B664" s="8" t="s">
        <v>134</v>
      </c>
      <c r="C664" s="8" t="s">
        <v>909</v>
      </c>
      <c r="D664" s="8">
        <v>5</v>
      </c>
      <c r="E664" s="8" t="s">
        <v>1294</v>
      </c>
      <c r="F664" s="8" t="s">
        <v>911</v>
      </c>
      <c r="G664" s="8" t="s">
        <v>912</v>
      </c>
      <c r="H664" s="10">
        <v>1</v>
      </c>
      <c r="I664" s="10"/>
      <c r="J664" s="10">
        <v>1</v>
      </c>
      <c r="K664" s="10">
        <v>1758.9</v>
      </c>
    </row>
    <row r="665" spans="1:11" x14ac:dyDescent="0.25">
      <c r="A665" s="8" t="s">
        <v>1295</v>
      </c>
      <c r="B665" s="8" t="s">
        <v>134</v>
      </c>
      <c r="C665" s="8" t="s">
        <v>909</v>
      </c>
      <c r="D665" s="8">
        <v>5</v>
      </c>
      <c r="E665" s="8" t="s">
        <v>1296</v>
      </c>
      <c r="F665" s="8" t="s">
        <v>911</v>
      </c>
      <c r="G665" s="8" t="s">
        <v>912</v>
      </c>
      <c r="H665" s="10">
        <v>1</v>
      </c>
      <c r="I665" s="10"/>
      <c r="J665" s="10">
        <v>1</v>
      </c>
      <c r="K665" s="10">
        <v>1746.17</v>
      </c>
    </row>
    <row r="666" spans="1:11" x14ac:dyDescent="0.25">
      <c r="A666" s="8" t="s">
        <v>1297</v>
      </c>
      <c r="B666" s="8" t="s">
        <v>134</v>
      </c>
      <c r="C666" s="8" t="s">
        <v>909</v>
      </c>
      <c r="D666" s="8">
        <v>5</v>
      </c>
      <c r="E666" s="8" t="s">
        <v>1298</v>
      </c>
      <c r="F666" s="8" t="s">
        <v>911</v>
      </c>
      <c r="G666" s="8" t="s">
        <v>912</v>
      </c>
      <c r="H666" s="10">
        <v>1</v>
      </c>
      <c r="I666" s="10"/>
      <c r="J666" s="10">
        <v>1</v>
      </c>
      <c r="K666" s="10">
        <v>1746.17</v>
      </c>
    </row>
    <row r="667" spans="1:11" x14ac:dyDescent="0.25">
      <c r="A667" s="8" t="s">
        <v>1299</v>
      </c>
      <c r="B667" s="8" t="s">
        <v>134</v>
      </c>
      <c r="C667" s="8" t="s">
        <v>909</v>
      </c>
      <c r="D667" s="8">
        <v>5</v>
      </c>
      <c r="E667" s="8" t="s">
        <v>1300</v>
      </c>
      <c r="F667" s="8" t="s">
        <v>911</v>
      </c>
      <c r="G667" s="8" t="s">
        <v>912</v>
      </c>
      <c r="H667" s="10">
        <v>1</v>
      </c>
      <c r="I667" s="10"/>
      <c r="J667" s="10">
        <v>1</v>
      </c>
      <c r="K667" s="10">
        <v>1746.17</v>
      </c>
    </row>
    <row r="668" spans="1:11" x14ac:dyDescent="0.25">
      <c r="A668" s="8" t="s">
        <v>1301</v>
      </c>
      <c r="B668" s="8" t="s">
        <v>134</v>
      </c>
      <c r="C668" s="8" t="s">
        <v>909</v>
      </c>
      <c r="D668" s="8">
        <v>5</v>
      </c>
      <c r="E668" s="8" t="s">
        <v>1302</v>
      </c>
      <c r="F668" s="8" t="s">
        <v>911</v>
      </c>
      <c r="G668" s="8" t="s">
        <v>912</v>
      </c>
      <c r="H668" s="10">
        <v>1</v>
      </c>
      <c r="I668" s="10"/>
      <c r="J668" s="10">
        <v>1</v>
      </c>
      <c r="K668" s="10">
        <v>1746.17</v>
      </c>
    </row>
    <row r="669" spans="1:11" x14ac:dyDescent="0.25">
      <c r="A669" s="8" t="s">
        <v>1303</v>
      </c>
      <c r="B669" s="8" t="s">
        <v>134</v>
      </c>
      <c r="C669" s="8" t="s">
        <v>909</v>
      </c>
      <c r="D669" s="8">
        <v>5</v>
      </c>
      <c r="E669" s="8" t="s">
        <v>1304</v>
      </c>
      <c r="F669" s="8" t="s">
        <v>911</v>
      </c>
      <c r="G669" s="8" t="s">
        <v>912</v>
      </c>
      <c r="H669" s="10">
        <v>1</v>
      </c>
      <c r="I669" s="10"/>
      <c r="J669" s="10">
        <v>1</v>
      </c>
      <c r="K669" s="10">
        <v>1746.17</v>
      </c>
    </row>
    <row r="670" spans="1:11" x14ac:dyDescent="0.25">
      <c r="A670" s="8" t="s">
        <v>1305</v>
      </c>
      <c r="B670" s="8" t="s">
        <v>134</v>
      </c>
      <c r="C670" s="8" t="s">
        <v>909</v>
      </c>
      <c r="D670" s="8">
        <v>5</v>
      </c>
      <c r="E670" s="8" t="s">
        <v>1306</v>
      </c>
      <c r="F670" s="8" t="s">
        <v>911</v>
      </c>
      <c r="G670" s="8" t="s">
        <v>912</v>
      </c>
      <c r="H670" s="10">
        <v>1</v>
      </c>
      <c r="I670" s="10"/>
      <c r="J670" s="10">
        <v>1</v>
      </c>
      <c r="K670" s="10">
        <v>1746.17</v>
      </c>
    </row>
    <row r="671" spans="1:11" x14ac:dyDescent="0.25">
      <c r="A671" s="8" t="s">
        <v>1307</v>
      </c>
      <c r="B671" s="8" t="s">
        <v>134</v>
      </c>
      <c r="C671" s="8" t="s">
        <v>909</v>
      </c>
      <c r="D671" s="8">
        <v>5</v>
      </c>
      <c r="E671" s="8" t="s">
        <v>1308</v>
      </c>
      <c r="F671" s="8" t="s">
        <v>911</v>
      </c>
      <c r="G671" s="8" t="s">
        <v>912</v>
      </c>
      <c r="H671" s="10">
        <v>1</v>
      </c>
      <c r="I671" s="10"/>
      <c r="J671" s="10">
        <v>1</v>
      </c>
      <c r="K671" s="10">
        <v>1746.17</v>
      </c>
    </row>
    <row r="672" spans="1:11" x14ac:dyDescent="0.25">
      <c r="A672" s="8" t="s">
        <v>1309</v>
      </c>
      <c r="B672" s="8" t="s">
        <v>134</v>
      </c>
      <c r="C672" s="8" t="s">
        <v>909</v>
      </c>
      <c r="D672" s="8">
        <v>5</v>
      </c>
      <c r="E672" s="8" t="s">
        <v>1310</v>
      </c>
      <c r="F672" s="8" t="s">
        <v>911</v>
      </c>
      <c r="G672" s="8" t="s">
        <v>912</v>
      </c>
      <c r="H672" s="10">
        <v>1</v>
      </c>
      <c r="I672" s="10"/>
      <c r="J672" s="10">
        <v>1</v>
      </c>
      <c r="K672" s="10">
        <v>1746.17</v>
      </c>
    </row>
    <row r="673" spans="1:11" x14ac:dyDescent="0.25">
      <c r="A673" s="8" t="s">
        <v>1311</v>
      </c>
      <c r="B673" s="8" t="s">
        <v>134</v>
      </c>
      <c r="C673" s="8" t="s">
        <v>909</v>
      </c>
      <c r="D673" s="8">
        <v>5</v>
      </c>
      <c r="E673" s="8" t="s">
        <v>1312</v>
      </c>
      <c r="F673" s="8" t="s">
        <v>911</v>
      </c>
      <c r="G673" s="8" t="s">
        <v>912</v>
      </c>
      <c r="H673" s="10">
        <v>1</v>
      </c>
      <c r="I673" s="10"/>
      <c r="J673" s="10">
        <v>1</v>
      </c>
      <c r="K673" s="10">
        <v>1746.17</v>
      </c>
    </row>
    <row r="674" spans="1:11" x14ac:dyDescent="0.25">
      <c r="A674" s="8" t="s">
        <v>1313</v>
      </c>
      <c r="B674" s="8" t="s">
        <v>134</v>
      </c>
      <c r="C674" s="8" t="s">
        <v>909</v>
      </c>
      <c r="D674" s="8">
        <v>5</v>
      </c>
      <c r="E674" s="8" t="s">
        <v>1314</v>
      </c>
      <c r="F674" s="8" t="s">
        <v>911</v>
      </c>
      <c r="G674" s="8" t="s">
        <v>912</v>
      </c>
      <c r="H674" s="10">
        <v>1</v>
      </c>
      <c r="I674" s="10"/>
      <c r="J674" s="10">
        <v>1</v>
      </c>
      <c r="K674" s="10">
        <v>1746.17</v>
      </c>
    </row>
    <row r="675" spans="1:11" x14ac:dyDescent="0.25">
      <c r="A675" s="8" t="s">
        <v>1315</v>
      </c>
      <c r="B675" s="8" t="s">
        <v>134</v>
      </c>
      <c r="C675" s="8" t="s">
        <v>909</v>
      </c>
      <c r="D675" s="8">
        <v>5</v>
      </c>
      <c r="E675" s="8" t="s">
        <v>1316</v>
      </c>
      <c r="F675" s="8" t="s">
        <v>911</v>
      </c>
      <c r="G675" s="8" t="s">
        <v>912</v>
      </c>
      <c r="H675" s="10">
        <v>1</v>
      </c>
      <c r="I675" s="10"/>
      <c r="J675" s="10">
        <v>1</v>
      </c>
      <c r="K675" s="10">
        <v>1746.17</v>
      </c>
    </row>
    <row r="676" spans="1:11" x14ac:dyDescent="0.25">
      <c r="A676" s="8" t="s">
        <v>1317</v>
      </c>
      <c r="B676" s="8" t="s">
        <v>134</v>
      </c>
      <c r="C676" s="8" t="s">
        <v>909</v>
      </c>
      <c r="D676" s="8">
        <v>5</v>
      </c>
      <c r="E676" s="8" t="s">
        <v>1318</v>
      </c>
      <c r="F676" s="8" t="s">
        <v>911</v>
      </c>
      <c r="G676" s="8" t="s">
        <v>912</v>
      </c>
      <c r="H676" s="10">
        <v>1</v>
      </c>
      <c r="I676" s="10"/>
      <c r="J676" s="10">
        <v>1</v>
      </c>
      <c r="K676" s="10">
        <v>1746.17</v>
      </c>
    </row>
    <row r="677" spans="1:11" x14ac:dyDescent="0.25">
      <c r="A677" s="8" t="s">
        <v>1319</v>
      </c>
      <c r="B677" s="8" t="s">
        <v>134</v>
      </c>
      <c r="C677" s="8" t="s">
        <v>909</v>
      </c>
      <c r="D677" s="8">
        <v>5</v>
      </c>
      <c r="E677" s="8" t="s">
        <v>1320</v>
      </c>
      <c r="F677" s="8" t="s">
        <v>911</v>
      </c>
      <c r="G677" s="8" t="s">
        <v>912</v>
      </c>
      <c r="H677" s="10">
        <v>1</v>
      </c>
      <c r="I677" s="10"/>
      <c r="J677" s="10">
        <v>1</v>
      </c>
      <c r="K677" s="10">
        <v>1746.17</v>
      </c>
    </row>
    <row r="678" spans="1:11" x14ac:dyDescent="0.25">
      <c r="A678" s="8" t="s">
        <v>1321</v>
      </c>
      <c r="B678" s="8" t="s">
        <v>134</v>
      </c>
      <c r="C678" s="8" t="s">
        <v>909</v>
      </c>
      <c r="D678" s="8">
        <v>5</v>
      </c>
      <c r="E678" s="8" t="s">
        <v>1322</v>
      </c>
      <c r="F678" s="8" t="s">
        <v>911</v>
      </c>
      <c r="G678" s="8" t="s">
        <v>912</v>
      </c>
      <c r="H678" s="10">
        <v>1</v>
      </c>
      <c r="I678" s="10"/>
      <c r="J678" s="10">
        <v>1</v>
      </c>
      <c r="K678" s="10">
        <v>1746.17</v>
      </c>
    </row>
    <row r="679" spans="1:11" x14ac:dyDescent="0.25">
      <c r="A679" s="8" t="s">
        <v>1323</v>
      </c>
      <c r="B679" s="8" t="s">
        <v>134</v>
      </c>
      <c r="C679" s="8" t="s">
        <v>909</v>
      </c>
      <c r="D679" s="8">
        <v>5</v>
      </c>
      <c r="E679" s="8" t="s">
        <v>1324</v>
      </c>
      <c r="F679" s="8" t="s">
        <v>911</v>
      </c>
      <c r="G679" s="8" t="s">
        <v>912</v>
      </c>
      <c r="H679" s="10">
        <v>1</v>
      </c>
      <c r="I679" s="10"/>
      <c r="J679" s="10">
        <v>1</v>
      </c>
      <c r="K679" s="10">
        <v>1746.17</v>
      </c>
    </row>
    <row r="680" spans="1:11" x14ac:dyDescent="0.25">
      <c r="A680" s="8" t="s">
        <v>1325</v>
      </c>
      <c r="B680" s="8" t="s">
        <v>134</v>
      </c>
      <c r="C680" s="8" t="s">
        <v>909</v>
      </c>
      <c r="D680" s="8">
        <v>5</v>
      </c>
      <c r="E680" s="8" t="s">
        <v>1326</v>
      </c>
      <c r="F680" s="8" t="s">
        <v>911</v>
      </c>
      <c r="G680" s="8" t="s">
        <v>912</v>
      </c>
      <c r="H680" s="10">
        <v>1</v>
      </c>
      <c r="I680" s="10"/>
      <c r="J680" s="10">
        <v>1</v>
      </c>
      <c r="K680" s="10">
        <v>1746.17</v>
      </c>
    </row>
    <row r="681" spans="1:11" x14ac:dyDescent="0.25">
      <c r="A681" s="8" t="s">
        <v>1327</v>
      </c>
      <c r="B681" s="8" t="s">
        <v>134</v>
      </c>
      <c r="C681" s="8" t="s">
        <v>909</v>
      </c>
      <c r="D681" s="8">
        <v>5</v>
      </c>
      <c r="E681" s="8" t="s">
        <v>1328</v>
      </c>
      <c r="F681" s="8" t="s">
        <v>911</v>
      </c>
      <c r="G681" s="8" t="s">
        <v>912</v>
      </c>
      <c r="H681" s="10">
        <v>1</v>
      </c>
      <c r="I681" s="10"/>
      <c r="J681" s="10">
        <v>1</v>
      </c>
      <c r="K681" s="10">
        <v>1746.17</v>
      </c>
    </row>
    <row r="682" spans="1:11" x14ac:dyDescent="0.25">
      <c r="A682" s="8" t="s">
        <v>1329</v>
      </c>
      <c r="B682" s="8" t="s">
        <v>134</v>
      </c>
      <c r="C682" s="8" t="s">
        <v>909</v>
      </c>
      <c r="D682" s="8">
        <v>5</v>
      </c>
      <c r="E682" s="8" t="s">
        <v>1330</v>
      </c>
      <c r="F682" s="8" t="s">
        <v>911</v>
      </c>
      <c r="G682" s="8" t="s">
        <v>912</v>
      </c>
      <c r="H682" s="10">
        <v>1</v>
      </c>
      <c r="I682" s="10"/>
      <c r="J682" s="10">
        <v>1</v>
      </c>
      <c r="K682" s="10">
        <v>1746.17</v>
      </c>
    </row>
    <row r="683" spans="1:11" x14ac:dyDescent="0.25">
      <c r="A683" s="8" t="s">
        <v>1331</v>
      </c>
      <c r="B683" s="8" t="s">
        <v>134</v>
      </c>
      <c r="C683" s="8" t="s">
        <v>909</v>
      </c>
      <c r="D683" s="8">
        <v>5</v>
      </c>
      <c r="E683" s="8" t="s">
        <v>1332</v>
      </c>
      <c r="F683" s="8" t="s">
        <v>911</v>
      </c>
      <c r="G683" s="8" t="s">
        <v>912</v>
      </c>
      <c r="H683" s="10">
        <v>1</v>
      </c>
      <c r="I683" s="10"/>
      <c r="J683" s="10">
        <v>1</v>
      </c>
      <c r="K683" s="10">
        <v>1746.17</v>
      </c>
    </row>
    <row r="684" spans="1:11" x14ac:dyDescent="0.25">
      <c r="A684" s="8" t="s">
        <v>1333</v>
      </c>
      <c r="B684" s="8" t="s">
        <v>134</v>
      </c>
      <c r="C684" s="8" t="s">
        <v>909</v>
      </c>
      <c r="D684" s="8">
        <v>5</v>
      </c>
      <c r="E684" s="8" t="s">
        <v>1334</v>
      </c>
      <c r="F684" s="8" t="s">
        <v>911</v>
      </c>
      <c r="G684" s="8" t="s">
        <v>912</v>
      </c>
      <c r="H684" s="10">
        <v>1</v>
      </c>
      <c r="I684" s="10"/>
      <c r="J684" s="10">
        <v>1</v>
      </c>
      <c r="K684" s="10">
        <v>1746.17</v>
      </c>
    </row>
    <row r="685" spans="1:11" x14ac:dyDescent="0.25">
      <c r="A685" s="8" t="s">
        <v>1335</v>
      </c>
      <c r="B685" s="8" t="s">
        <v>134</v>
      </c>
      <c r="C685" s="8" t="s">
        <v>909</v>
      </c>
      <c r="D685" s="8">
        <v>5</v>
      </c>
      <c r="E685" s="8" t="s">
        <v>1336</v>
      </c>
      <c r="F685" s="8" t="s">
        <v>911</v>
      </c>
      <c r="G685" s="8" t="s">
        <v>912</v>
      </c>
      <c r="H685" s="10">
        <v>1</v>
      </c>
      <c r="I685" s="10"/>
      <c r="J685" s="10">
        <v>1</v>
      </c>
      <c r="K685" s="10">
        <v>1746.17</v>
      </c>
    </row>
    <row r="686" spans="1:11" x14ac:dyDescent="0.25">
      <c r="A686" s="8" t="s">
        <v>1337</v>
      </c>
      <c r="B686" s="8" t="s">
        <v>134</v>
      </c>
      <c r="C686" s="8" t="s">
        <v>909</v>
      </c>
      <c r="D686" s="8">
        <v>5</v>
      </c>
      <c r="E686" s="8" t="s">
        <v>1338</v>
      </c>
      <c r="F686" s="8" t="s">
        <v>911</v>
      </c>
      <c r="G686" s="8" t="s">
        <v>912</v>
      </c>
      <c r="H686" s="10">
        <v>1</v>
      </c>
      <c r="I686" s="10"/>
      <c r="J686" s="10">
        <v>1</v>
      </c>
      <c r="K686" s="10">
        <v>1746.17</v>
      </c>
    </row>
    <row r="687" spans="1:11" x14ac:dyDescent="0.25">
      <c r="A687" s="8" t="s">
        <v>1339</v>
      </c>
      <c r="B687" s="8" t="s">
        <v>134</v>
      </c>
      <c r="C687" s="8" t="s">
        <v>909</v>
      </c>
      <c r="D687" s="8">
        <v>5</v>
      </c>
      <c r="E687" s="8" t="s">
        <v>1340</v>
      </c>
      <c r="F687" s="8" t="s">
        <v>911</v>
      </c>
      <c r="G687" s="8" t="s">
        <v>912</v>
      </c>
      <c r="H687" s="10">
        <v>1</v>
      </c>
      <c r="I687" s="10"/>
      <c r="J687" s="10">
        <v>1</v>
      </c>
      <c r="K687" s="10">
        <v>1746.17</v>
      </c>
    </row>
    <row r="688" spans="1:11" x14ac:dyDescent="0.25">
      <c r="A688" s="8" t="s">
        <v>1341</v>
      </c>
      <c r="B688" s="8" t="s">
        <v>134</v>
      </c>
      <c r="C688" s="8" t="s">
        <v>909</v>
      </c>
      <c r="D688" s="8">
        <v>5</v>
      </c>
      <c r="E688" s="8" t="s">
        <v>1342</v>
      </c>
      <c r="F688" s="8" t="s">
        <v>911</v>
      </c>
      <c r="G688" s="8" t="s">
        <v>912</v>
      </c>
      <c r="H688" s="10">
        <v>1</v>
      </c>
      <c r="I688" s="10"/>
      <c r="J688" s="10">
        <v>1</v>
      </c>
      <c r="K688" s="10">
        <v>1746.17</v>
      </c>
    </row>
    <row r="689" spans="1:11" x14ac:dyDescent="0.25">
      <c r="A689" s="8" t="s">
        <v>1343</v>
      </c>
      <c r="B689" s="8" t="s">
        <v>134</v>
      </c>
      <c r="C689" s="8" t="s">
        <v>909</v>
      </c>
      <c r="D689" s="8">
        <v>5</v>
      </c>
      <c r="E689" s="8" t="s">
        <v>1344</v>
      </c>
      <c r="F689" s="8" t="s">
        <v>911</v>
      </c>
      <c r="G689" s="8" t="s">
        <v>912</v>
      </c>
      <c r="H689" s="10">
        <v>1</v>
      </c>
      <c r="I689" s="10"/>
      <c r="J689" s="10">
        <v>1</v>
      </c>
      <c r="K689" s="10">
        <v>1746.17</v>
      </c>
    </row>
    <row r="690" spans="1:11" x14ac:dyDescent="0.25">
      <c r="A690" s="8" t="s">
        <v>1345</v>
      </c>
      <c r="B690" s="8" t="s">
        <v>134</v>
      </c>
      <c r="C690" s="8" t="s">
        <v>909</v>
      </c>
      <c r="D690" s="8">
        <v>5</v>
      </c>
      <c r="E690" s="8" t="s">
        <v>1346</v>
      </c>
      <c r="F690" s="8" t="s">
        <v>911</v>
      </c>
      <c r="G690" s="8" t="s">
        <v>912</v>
      </c>
      <c r="H690" s="10">
        <v>1</v>
      </c>
      <c r="I690" s="10"/>
      <c r="J690" s="10">
        <v>1</v>
      </c>
      <c r="K690" s="10">
        <v>1746.17</v>
      </c>
    </row>
    <row r="691" spans="1:11" x14ac:dyDescent="0.25">
      <c r="A691" s="8" t="s">
        <v>1347</v>
      </c>
      <c r="B691" s="8" t="s">
        <v>134</v>
      </c>
      <c r="C691" s="8" t="s">
        <v>909</v>
      </c>
      <c r="D691" s="8">
        <v>5</v>
      </c>
      <c r="E691" s="8" t="s">
        <v>1348</v>
      </c>
      <c r="F691" s="8" t="s">
        <v>911</v>
      </c>
      <c r="G691" s="8" t="s">
        <v>912</v>
      </c>
      <c r="H691" s="10">
        <v>1</v>
      </c>
      <c r="I691" s="10"/>
      <c r="J691" s="10">
        <v>1</v>
      </c>
      <c r="K691" s="10">
        <v>1746.17</v>
      </c>
    </row>
    <row r="692" spans="1:11" x14ac:dyDescent="0.25">
      <c r="A692" s="8" t="s">
        <v>1349</v>
      </c>
      <c r="B692" s="8" t="s">
        <v>134</v>
      </c>
      <c r="C692" s="8" t="s">
        <v>909</v>
      </c>
      <c r="D692" s="8">
        <v>5</v>
      </c>
      <c r="E692" s="8" t="s">
        <v>1350</v>
      </c>
      <c r="F692" s="8" t="s">
        <v>911</v>
      </c>
      <c r="G692" s="8" t="s">
        <v>912</v>
      </c>
      <c r="H692" s="10">
        <v>1</v>
      </c>
      <c r="I692" s="10"/>
      <c r="J692" s="10">
        <v>1</v>
      </c>
      <c r="K692" s="10">
        <v>1746.17</v>
      </c>
    </row>
    <row r="693" spans="1:11" x14ac:dyDescent="0.25">
      <c r="A693" s="8" t="s">
        <v>1351</v>
      </c>
      <c r="B693" s="8" t="s">
        <v>134</v>
      </c>
      <c r="C693" s="8" t="s">
        <v>909</v>
      </c>
      <c r="D693" s="8">
        <v>5</v>
      </c>
      <c r="E693" s="8" t="s">
        <v>1352</v>
      </c>
      <c r="F693" s="8" t="s">
        <v>911</v>
      </c>
      <c r="G693" s="8" t="s">
        <v>912</v>
      </c>
      <c r="H693" s="10">
        <v>1</v>
      </c>
      <c r="I693" s="10"/>
      <c r="J693" s="10">
        <v>1</v>
      </c>
      <c r="K693" s="10">
        <v>1746.17</v>
      </c>
    </row>
    <row r="694" spans="1:11" x14ac:dyDescent="0.25">
      <c r="A694" s="8" t="s">
        <v>1353</v>
      </c>
      <c r="B694" s="8" t="s">
        <v>134</v>
      </c>
      <c r="C694" s="8" t="s">
        <v>909</v>
      </c>
      <c r="D694" s="8">
        <v>5</v>
      </c>
      <c r="E694" s="8" t="s">
        <v>1354</v>
      </c>
      <c r="F694" s="8" t="s">
        <v>911</v>
      </c>
      <c r="G694" s="8" t="s">
        <v>912</v>
      </c>
      <c r="H694" s="10">
        <v>1</v>
      </c>
      <c r="I694" s="10"/>
      <c r="J694" s="10">
        <v>1</v>
      </c>
      <c r="K694" s="10">
        <v>1746.17</v>
      </c>
    </row>
    <row r="695" spans="1:11" x14ac:dyDescent="0.25">
      <c r="A695" s="8" t="s">
        <v>1355</v>
      </c>
      <c r="B695" s="8" t="s">
        <v>134</v>
      </c>
      <c r="C695" s="8" t="s">
        <v>909</v>
      </c>
      <c r="D695" s="8">
        <v>5</v>
      </c>
      <c r="E695" s="8" t="s">
        <v>1356</v>
      </c>
      <c r="F695" s="8" t="s">
        <v>911</v>
      </c>
      <c r="G695" s="8" t="s">
        <v>912</v>
      </c>
      <c r="H695" s="10">
        <v>1</v>
      </c>
      <c r="I695" s="10"/>
      <c r="J695" s="10">
        <v>1</v>
      </c>
      <c r="K695" s="10">
        <v>1746.17</v>
      </c>
    </row>
    <row r="696" spans="1:11" x14ac:dyDescent="0.25">
      <c r="A696" s="8" t="s">
        <v>1357</v>
      </c>
      <c r="B696" s="8" t="s">
        <v>134</v>
      </c>
      <c r="C696" s="8" t="s">
        <v>909</v>
      </c>
      <c r="D696" s="8">
        <v>5</v>
      </c>
      <c r="E696" s="8" t="s">
        <v>1358</v>
      </c>
      <c r="F696" s="8" t="s">
        <v>911</v>
      </c>
      <c r="G696" s="8" t="s">
        <v>912</v>
      </c>
      <c r="H696" s="10">
        <v>1</v>
      </c>
      <c r="I696" s="10"/>
      <c r="J696" s="10">
        <v>1</v>
      </c>
      <c r="K696" s="10">
        <v>1746.17</v>
      </c>
    </row>
    <row r="697" spans="1:11" x14ac:dyDescent="0.25">
      <c r="A697" s="8" t="s">
        <v>1359</v>
      </c>
      <c r="B697" s="8" t="s">
        <v>134</v>
      </c>
      <c r="C697" s="8" t="s">
        <v>909</v>
      </c>
      <c r="D697" s="8">
        <v>5</v>
      </c>
      <c r="E697" s="8" t="s">
        <v>1360</v>
      </c>
      <c r="F697" s="8" t="s">
        <v>911</v>
      </c>
      <c r="G697" s="8" t="s">
        <v>912</v>
      </c>
      <c r="H697" s="10">
        <v>1</v>
      </c>
      <c r="I697" s="10"/>
      <c r="J697" s="10">
        <v>1</v>
      </c>
      <c r="K697" s="10">
        <v>1746.17</v>
      </c>
    </row>
    <row r="698" spans="1:11" x14ac:dyDescent="0.25">
      <c r="A698" s="8" t="s">
        <v>1361</v>
      </c>
      <c r="B698" s="8" t="s">
        <v>134</v>
      </c>
      <c r="C698" s="8" t="s">
        <v>909</v>
      </c>
      <c r="D698" s="8">
        <v>5</v>
      </c>
      <c r="E698" s="8" t="s">
        <v>1362</v>
      </c>
      <c r="F698" s="8" t="s">
        <v>911</v>
      </c>
      <c r="G698" s="8" t="s">
        <v>912</v>
      </c>
      <c r="H698" s="10">
        <v>1</v>
      </c>
      <c r="I698" s="10"/>
      <c r="J698" s="10">
        <v>1</v>
      </c>
      <c r="K698" s="10">
        <v>2670.18</v>
      </c>
    </row>
    <row r="699" spans="1:11" x14ac:dyDescent="0.25">
      <c r="A699" s="8" t="s">
        <v>1363</v>
      </c>
      <c r="B699" s="8" t="s">
        <v>134</v>
      </c>
      <c r="C699" s="8" t="s">
        <v>909</v>
      </c>
      <c r="D699" s="8">
        <v>5</v>
      </c>
      <c r="E699" s="8" t="s">
        <v>1364</v>
      </c>
      <c r="F699" s="8" t="s">
        <v>911</v>
      </c>
      <c r="G699" s="8" t="s">
        <v>912</v>
      </c>
      <c r="H699" s="10">
        <v>1</v>
      </c>
      <c r="I699" s="10"/>
      <c r="J699" s="10">
        <v>1</v>
      </c>
      <c r="K699" s="10">
        <v>2670.18</v>
      </c>
    </row>
    <row r="700" spans="1:11" x14ac:dyDescent="0.25">
      <c r="A700" s="8" t="s">
        <v>1365</v>
      </c>
      <c r="B700" s="8" t="s">
        <v>134</v>
      </c>
      <c r="C700" s="8" t="s">
        <v>909</v>
      </c>
      <c r="D700" s="8">
        <v>5</v>
      </c>
      <c r="E700" s="8" t="s">
        <v>1366</v>
      </c>
      <c r="F700" s="8" t="s">
        <v>911</v>
      </c>
      <c r="G700" s="8" t="s">
        <v>912</v>
      </c>
      <c r="H700" s="10">
        <v>1</v>
      </c>
      <c r="I700" s="10"/>
      <c r="J700" s="10">
        <v>1</v>
      </c>
      <c r="K700" s="10">
        <v>1758.9</v>
      </c>
    </row>
    <row r="701" spans="1:11" x14ac:dyDescent="0.25">
      <c r="A701" s="8" t="s">
        <v>1367</v>
      </c>
      <c r="B701" s="8" t="s">
        <v>134</v>
      </c>
      <c r="C701" s="8" t="s">
        <v>909</v>
      </c>
      <c r="D701" s="8">
        <v>5</v>
      </c>
      <c r="E701" s="8" t="s">
        <v>1368</v>
      </c>
      <c r="F701" s="8" t="s">
        <v>911</v>
      </c>
      <c r="G701" s="8" t="s">
        <v>912</v>
      </c>
      <c r="H701" s="10">
        <v>1</v>
      </c>
      <c r="I701" s="10"/>
      <c r="J701" s="10">
        <v>1</v>
      </c>
      <c r="K701" s="10">
        <v>1758.9</v>
      </c>
    </row>
    <row r="702" spans="1:11" x14ac:dyDescent="0.25">
      <c r="A702" s="8" t="s">
        <v>1369</v>
      </c>
      <c r="B702" s="8" t="s">
        <v>134</v>
      </c>
      <c r="C702" s="8" t="s">
        <v>909</v>
      </c>
      <c r="D702" s="8">
        <v>5</v>
      </c>
      <c r="E702" s="8" t="s">
        <v>1370</v>
      </c>
      <c r="F702" s="8" t="s">
        <v>911</v>
      </c>
      <c r="G702" s="8" t="s">
        <v>912</v>
      </c>
      <c r="H702" s="10">
        <v>1</v>
      </c>
      <c r="I702" s="10"/>
      <c r="J702" s="10">
        <v>1</v>
      </c>
      <c r="K702" s="10">
        <v>1758.9</v>
      </c>
    </row>
    <row r="703" spans="1:11" x14ac:dyDescent="0.25">
      <c r="A703" s="8" t="s">
        <v>1371</v>
      </c>
      <c r="B703" s="8" t="s">
        <v>134</v>
      </c>
      <c r="C703" s="8" t="s">
        <v>909</v>
      </c>
      <c r="D703" s="8">
        <v>5</v>
      </c>
      <c r="E703" s="8" t="s">
        <v>1372</v>
      </c>
      <c r="F703" s="8" t="s">
        <v>911</v>
      </c>
      <c r="G703" s="8" t="s">
        <v>912</v>
      </c>
      <c r="H703" s="10">
        <v>1</v>
      </c>
      <c r="I703" s="10"/>
      <c r="J703" s="10">
        <v>1</v>
      </c>
      <c r="K703" s="10">
        <v>1758.9</v>
      </c>
    </row>
    <row r="704" spans="1:11" x14ac:dyDescent="0.25">
      <c r="A704" s="8" t="s">
        <v>1373</v>
      </c>
      <c r="B704" s="8" t="s">
        <v>134</v>
      </c>
      <c r="C704" s="8" t="s">
        <v>909</v>
      </c>
      <c r="D704" s="8">
        <v>5</v>
      </c>
      <c r="E704" s="8" t="s">
        <v>1374</v>
      </c>
      <c r="F704" s="8" t="s">
        <v>911</v>
      </c>
      <c r="G704" s="8" t="s">
        <v>912</v>
      </c>
      <c r="H704" s="10">
        <v>1</v>
      </c>
      <c r="I704" s="10"/>
      <c r="J704" s="10">
        <v>1</v>
      </c>
      <c r="K704" s="10">
        <v>1758.9</v>
      </c>
    </row>
    <row r="705" spans="1:11" x14ac:dyDescent="0.25">
      <c r="A705" s="8" t="s">
        <v>1375</v>
      </c>
      <c r="B705" s="8" t="s">
        <v>134</v>
      </c>
      <c r="C705" s="8" t="s">
        <v>909</v>
      </c>
      <c r="D705" s="8">
        <v>5</v>
      </c>
      <c r="E705" s="8" t="s">
        <v>1376</v>
      </c>
      <c r="F705" s="8" t="s">
        <v>911</v>
      </c>
      <c r="G705" s="8" t="s">
        <v>912</v>
      </c>
      <c r="H705" s="10">
        <v>1</v>
      </c>
      <c r="I705" s="10"/>
      <c r="J705" s="10">
        <v>1</v>
      </c>
      <c r="K705" s="10">
        <v>1758.9</v>
      </c>
    </row>
    <row r="706" spans="1:11" x14ac:dyDescent="0.25">
      <c r="A706" s="8" t="s">
        <v>1377</v>
      </c>
      <c r="B706" s="8" t="s">
        <v>134</v>
      </c>
      <c r="C706" s="8" t="s">
        <v>909</v>
      </c>
      <c r="D706" s="8">
        <v>5</v>
      </c>
      <c r="E706" s="8" t="s">
        <v>1378</v>
      </c>
      <c r="F706" s="8" t="s">
        <v>911</v>
      </c>
      <c r="G706" s="8" t="s">
        <v>912</v>
      </c>
      <c r="H706" s="10">
        <v>1</v>
      </c>
      <c r="I706" s="10"/>
      <c r="J706" s="10">
        <v>1</v>
      </c>
      <c r="K706" s="10">
        <v>2670.18</v>
      </c>
    </row>
    <row r="707" spans="1:11" x14ac:dyDescent="0.25">
      <c r="A707" s="8" t="s">
        <v>1379</v>
      </c>
      <c r="B707" s="8" t="s">
        <v>128</v>
      </c>
      <c r="C707" s="8" t="s">
        <v>909</v>
      </c>
      <c r="D707" s="8">
        <v>5</v>
      </c>
      <c r="E707" s="8" t="s">
        <v>1380</v>
      </c>
      <c r="F707" s="8" t="s">
        <v>911</v>
      </c>
      <c r="G707" s="8" t="s">
        <v>912</v>
      </c>
      <c r="H707" s="10">
        <v>1</v>
      </c>
      <c r="I707" s="10"/>
      <c r="J707" s="10">
        <v>1</v>
      </c>
      <c r="K707" s="10">
        <v>2657.45</v>
      </c>
    </row>
    <row r="708" spans="1:11" x14ac:dyDescent="0.25">
      <c r="A708" s="8" t="s">
        <v>1381</v>
      </c>
      <c r="B708" s="8" t="s">
        <v>128</v>
      </c>
      <c r="C708" s="8" t="s">
        <v>909</v>
      </c>
      <c r="D708" s="8">
        <v>5</v>
      </c>
      <c r="E708" s="8" t="s">
        <v>1382</v>
      </c>
      <c r="F708" s="8" t="s">
        <v>911</v>
      </c>
      <c r="G708" s="8" t="s">
        <v>912</v>
      </c>
      <c r="H708" s="10">
        <v>1</v>
      </c>
      <c r="I708" s="10"/>
      <c r="J708" s="10">
        <v>1</v>
      </c>
      <c r="K708" s="10">
        <v>2657.45</v>
      </c>
    </row>
    <row r="709" spans="1:11" x14ac:dyDescent="0.25">
      <c r="A709" s="8" t="s">
        <v>1383</v>
      </c>
      <c r="B709" s="8" t="s">
        <v>134</v>
      </c>
      <c r="C709" s="8" t="s">
        <v>909</v>
      </c>
      <c r="D709" s="8">
        <v>5</v>
      </c>
      <c r="E709" s="8" t="s">
        <v>1384</v>
      </c>
      <c r="F709" s="8" t="s">
        <v>911</v>
      </c>
      <c r="G709" s="8" t="s">
        <v>912</v>
      </c>
      <c r="H709" s="10">
        <v>1</v>
      </c>
      <c r="I709" s="10"/>
      <c r="J709" s="10">
        <v>1</v>
      </c>
      <c r="K709" s="10">
        <v>1758.9</v>
      </c>
    </row>
    <row r="710" spans="1:11" x14ac:dyDescent="0.25">
      <c r="A710" s="8" t="s">
        <v>1385</v>
      </c>
      <c r="B710" s="8" t="s">
        <v>134</v>
      </c>
      <c r="C710" s="8" t="s">
        <v>909</v>
      </c>
      <c r="D710" s="8">
        <v>5</v>
      </c>
      <c r="E710" s="8" t="s">
        <v>1386</v>
      </c>
      <c r="F710" s="8" t="s">
        <v>911</v>
      </c>
      <c r="G710" s="8" t="s">
        <v>912</v>
      </c>
      <c r="H710" s="10">
        <v>1</v>
      </c>
      <c r="I710" s="10"/>
      <c r="J710" s="10">
        <v>1</v>
      </c>
      <c r="K710" s="10">
        <v>3823.36</v>
      </c>
    </row>
    <row r="711" spans="1:11" x14ac:dyDescent="0.25">
      <c r="A711" s="8" t="s">
        <v>1387</v>
      </c>
      <c r="B711" s="8" t="s">
        <v>134</v>
      </c>
      <c r="C711" s="8" t="s">
        <v>909</v>
      </c>
      <c r="D711" s="8">
        <v>5</v>
      </c>
      <c r="E711" s="8" t="s">
        <v>1388</v>
      </c>
      <c r="F711" s="8" t="s">
        <v>911</v>
      </c>
      <c r="G711" s="8" t="s">
        <v>912</v>
      </c>
      <c r="H711" s="10">
        <v>1</v>
      </c>
      <c r="I711" s="10"/>
      <c r="J711" s="10">
        <v>1</v>
      </c>
      <c r="K711" s="10">
        <v>1758.9</v>
      </c>
    </row>
    <row r="712" spans="1:11" x14ac:dyDescent="0.25">
      <c r="A712" s="8" t="s">
        <v>1389</v>
      </c>
      <c r="B712" s="8" t="s">
        <v>134</v>
      </c>
      <c r="C712" s="8" t="s">
        <v>909</v>
      </c>
      <c r="D712" s="8">
        <v>5</v>
      </c>
      <c r="E712" s="8" t="s">
        <v>1390</v>
      </c>
      <c r="F712" s="8" t="s">
        <v>911</v>
      </c>
      <c r="G712" s="8" t="s">
        <v>912</v>
      </c>
      <c r="H712" s="10">
        <v>1</v>
      </c>
      <c r="I712" s="10"/>
      <c r="J712" s="10">
        <v>1</v>
      </c>
      <c r="K712" s="10">
        <v>1758.9</v>
      </c>
    </row>
    <row r="713" spans="1:11" x14ac:dyDescent="0.25">
      <c r="A713" s="8" t="s">
        <v>1391</v>
      </c>
      <c r="B713" s="8" t="s">
        <v>134</v>
      </c>
      <c r="C713" s="8" t="s">
        <v>909</v>
      </c>
      <c r="D713" s="8">
        <v>5</v>
      </c>
      <c r="E713" s="8" t="s">
        <v>1392</v>
      </c>
      <c r="F713" s="8" t="s">
        <v>911</v>
      </c>
      <c r="G713" s="8" t="s">
        <v>912</v>
      </c>
      <c r="H713" s="10">
        <v>1</v>
      </c>
      <c r="I713" s="10"/>
      <c r="J713" s="10">
        <v>1</v>
      </c>
      <c r="K713" s="10">
        <v>1758.9</v>
      </c>
    </row>
    <row r="714" spans="1:11" x14ac:dyDescent="0.25">
      <c r="A714" s="8" t="s">
        <v>1393</v>
      </c>
      <c r="B714" s="8" t="s">
        <v>134</v>
      </c>
      <c r="C714" s="8" t="s">
        <v>909</v>
      </c>
      <c r="D714" s="8">
        <v>5</v>
      </c>
      <c r="E714" s="8" t="s">
        <v>1394</v>
      </c>
      <c r="F714" s="8" t="s">
        <v>911</v>
      </c>
      <c r="G714" s="8" t="s">
        <v>912</v>
      </c>
      <c r="H714" s="10">
        <v>1</v>
      </c>
      <c r="I714" s="10"/>
      <c r="J714" s="10">
        <v>1</v>
      </c>
      <c r="K714" s="10">
        <v>1758.9</v>
      </c>
    </row>
    <row r="715" spans="1:11" x14ac:dyDescent="0.25">
      <c r="A715" s="8" t="s">
        <v>1395</v>
      </c>
      <c r="B715" s="8" t="s">
        <v>134</v>
      </c>
      <c r="C715" s="8" t="s">
        <v>909</v>
      </c>
      <c r="D715" s="8">
        <v>5</v>
      </c>
      <c r="E715" s="8" t="s">
        <v>1396</v>
      </c>
      <c r="F715" s="8" t="s">
        <v>911</v>
      </c>
      <c r="G715" s="8" t="s">
        <v>912</v>
      </c>
      <c r="H715" s="10">
        <v>1</v>
      </c>
      <c r="I715" s="10"/>
      <c r="J715" s="10">
        <v>1</v>
      </c>
      <c r="K715" s="10">
        <v>2657.45</v>
      </c>
    </row>
    <row r="716" spans="1:11" x14ac:dyDescent="0.25">
      <c r="A716" s="8" t="s">
        <v>1397</v>
      </c>
      <c r="B716" s="8" t="s">
        <v>134</v>
      </c>
      <c r="C716" s="8" t="s">
        <v>909</v>
      </c>
      <c r="D716" s="8">
        <v>5</v>
      </c>
      <c r="E716" s="8" t="s">
        <v>1398</v>
      </c>
      <c r="F716" s="8" t="s">
        <v>911</v>
      </c>
      <c r="G716" s="8" t="s">
        <v>912</v>
      </c>
      <c r="H716" s="10">
        <v>1</v>
      </c>
      <c r="I716" s="10"/>
      <c r="J716" s="10">
        <v>1</v>
      </c>
      <c r="K716" s="10">
        <v>2657.45</v>
      </c>
    </row>
    <row r="717" spans="1:11" x14ac:dyDescent="0.25">
      <c r="A717" s="8" t="s">
        <v>1399</v>
      </c>
      <c r="B717" s="8" t="s">
        <v>134</v>
      </c>
      <c r="C717" s="8" t="s">
        <v>909</v>
      </c>
      <c r="D717" s="8">
        <v>5</v>
      </c>
      <c r="E717" s="8" t="s">
        <v>1400</v>
      </c>
      <c r="F717" s="8" t="s">
        <v>911</v>
      </c>
      <c r="G717" s="8" t="s">
        <v>912</v>
      </c>
      <c r="H717" s="10">
        <v>1</v>
      </c>
      <c r="I717" s="10"/>
      <c r="J717" s="10">
        <v>1</v>
      </c>
      <c r="K717" s="10">
        <v>2708.38</v>
      </c>
    </row>
    <row r="718" spans="1:11" x14ac:dyDescent="0.25">
      <c r="A718" s="8" t="s">
        <v>1401</v>
      </c>
      <c r="B718" s="8" t="s">
        <v>134</v>
      </c>
      <c r="C718" s="8" t="s">
        <v>909</v>
      </c>
      <c r="D718" s="8">
        <v>5</v>
      </c>
      <c r="E718" s="8" t="s">
        <v>1402</v>
      </c>
      <c r="F718" s="8" t="s">
        <v>911</v>
      </c>
      <c r="G718" s="8" t="s">
        <v>912</v>
      </c>
      <c r="H718" s="10">
        <v>1</v>
      </c>
      <c r="I718" s="10"/>
      <c r="J718" s="10">
        <v>1</v>
      </c>
      <c r="K718" s="10">
        <v>2708.38</v>
      </c>
    </row>
    <row r="719" spans="1:11" x14ac:dyDescent="0.25">
      <c r="A719" s="8" t="s">
        <v>1403</v>
      </c>
      <c r="B719" s="8" t="s">
        <v>118</v>
      </c>
      <c r="C719" s="8" t="s">
        <v>909</v>
      </c>
      <c r="D719" s="8">
        <v>5</v>
      </c>
      <c r="E719" s="8" t="s">
        <v>1404</v>
      </c>
      <c r="F719" s="8" t="s">
        <v>911</v>
      </c>
      <c r="G719" s="8" t="s">
        <v>912</v>
      </c>
      <c r="H719" s="10">
        <v>1</v>
      </c>
      <c r="I719" s="10"/>
      <c r="J719" s="10">
        <v>1</v>
      </c>
      <c r="K719" s="10">
        <v>3683.31</v>
      </c>
    </row>
    <row r="720" spans="1:11" x14ac:dyDescent="0.25">
      <c r="A720" s="8" t="s">
        <v>1405</v>
      </c>
      <c r="B720" s="8" t="s">
        <v>118</v>
      </c>
      <c r="C720" s="8" t="s">
        <v>909</v>
      </c>
      <c r="D720" s="8">
        <v>5</v>
      </c>
      <c r="E720" s="8" t="s">
        <v>1406</v>
      </c>
      <c r="F720" s="8" t="s">
        <v>911</v>
      </c>
      <c r="G720" s="8" t="s">
        <v>912</v>
      </c>
      <c r="H720" s="10">
        <v>1</v>
      </c>
      <c r="I720" s="10"/>
      <c r="J720" s="10">
        <v>1</v>
      </c>
      <c r="K720" s="10">
        <v>3683.31</v>
      </c>
    </row>
    <row r="721" spans="1:11" x14ac:dyDescent="0.25">
      <c r="A721" s="8" t="s">
        <v>1407</v>
      </c>
      <c r="B721" s="8" t="s">
        <v>1029</v>
      </c>
      <c r="C721" s="8" t="s">
        <v>909</v>
      </c>
      <c r="D721" s="8">
        <v>5</v>
      </c>
      <c r="E721" s="8" t="s">
        <v>1408</v>
      </c>
      <c r="F721" s="8" t="s">
        <v>911</v>
      </c>
      <c r="G721" s="8" t="s">
        <v>912</v>
      </c>
      <c r="H721" s="10">
        <v>1</v>
      </c>
      <c r="I721" s="10"/>
      <c r="J721" s="10">
        <v>1</v>
      </c>
      <c r="K721" s="10">
        <v>2733.84</v>
      </c>
    </row>
    <row r="722" spans="1:11" x14ac:dyDescent="0.25">
      <c r="A722" s="8" t="s">
        <v>1409</v>
      </c>
      <c r="B722" s="8" t="s">
        <v>80</v>
      </c>
      <c r="C722" s="8" t="s">
        <v>909</v>
      </c>
      <c r="D722" s="8">
        <v>5</v>
      </c>
      <c r="E722" s="8" t="s">
        <v>1410</v>
      </c>
      <c r="F722" s="8" t="s">
        <v>911</v>
      </c>
      <c r="G722" s="8" t="s">
        <v>912</v>
      </c>
      <c r="H722" s="10">
        <v>1</v>
      </c>
      <c r="I722" s="10"/>
      <c r="J722" s="10">
        <v>1</v>
      </c>
      <c r="K722" s="10">
        <v>2682.92</v>
      </c>
    </row>
    <row r="723" spans="1:11" x14ac:dyDescent="0.25">
      <c r="A723" s="8" t="s">
        <v>1411</v>
      </c>
      <c r="B723" s="8" t="s">
        <v>80</v>
      </c>
      <c r="C723" s="8" t="s">
        <v>909</v>
      </c>
      <c r="D723" s="8">
        <v>5</v>
      </c>
      <c r="E723" s="8" t="s">
        <v>1412</v>
      </c>
      <c r="F723" s="8" t="s">
        <v>911</v>
      </c>
      <c r="G723" s="8" t="s">
        <v>912</v>
      </c>
      <c r="H723" s="10">
        <v>1</v>
      </c>
      <c r="I723" s="10"/>
      <c r="J723" s="10">
        <v>1</v>
      </c>
      <c r="K723" s="10">
        <v>2682.92</v>
      </c>
    </row>
    <row r="724" spans="1:11" x14ac:dyDescent="0.25">
      <c r="A724" s="8" t="s">
        <v>1413</v>
      </c>
      <c r="B724" s="8" t="s">
        <v>142</v>
      </c>
      <c r="C724" s="8" t="s">
        <v>909</v>
      </c>
      <c r="D724" s="8">
        <v>5</v>
      </c>
      <c r="E724" s="8" t="s">
        <v>1414</v>
      </c>
      <c r="F724" s="8" t="s">
        <v>911</v>
      </c>
      <c r="G724" s="8" t="s">
        <v>912</v>
      </c>
      <c r="H724" s="10">
        <v>1</v>
      </c>
      <c r="I724" s="10"/>
      <c r="J724" s="10">
        <v>1</v>
      </c>
      <c r="K724" s="10">
        <v>2670.18</v>
      </c>
    </row>
    <row r="725" spans="1:11" x14ac:dyDescent="0.25">
      <c r="A725" s="8" t="s">
        <v>1415</v>
      </c>
      <c r="B725" s="8" t="s">
        <v>142</v>
      </c>
      <c r="C725" s="8" t="s">
        <v>909</v>
      </c>
      <c r="D725" s="8">
        <v>5</v>
      </c>
      <c r="E725" s="8" t="s">
        <v>1416</v>
      </c>
      <c r="F725" s="8" t="s">
        <v>911</v>
      </c>
      <c r="G725" s="8" t="s">
        <v>912</v>
      </c>
      <c r="H725" s="10">
        <v>1</v>
      </c>
      <c r="I725" s="10"/>
      <c r="J725" s="10">
        <v>1</v>
      </c>
      <c r="K725" s="10">
        <v>2670.18</v>
      </c>
    </row>
    <row r="726" spans="1:11" x14ac:dyDescent="0.25">
      <c r="A726" s="8" t="s">
        <v>1417</v>
      </c>
      <c r="B726" s="8" t="s">
        <v>128</v>
      </c>
      <c r="C726" s="8" t="s">
        <v>909</v>
      </c>
      <c r="D726" s="8">
        <v>5</v>
      </c>
      <c r="E726" s="8" t="s">
        <v>1418</v>
      </c>
      <c r="F726" s="8" t="s">
        <v>911</v>
      </c>
      <c r="G726" s="8" t="s">
        <v>912</v>
      </c>
      <c r="H726" s="10">
        <v>1</v>
      </c>
      <c r="I726" s="10"/>
      <c r="J726" s="10">
        <v>1</v>
      </c>
      <c r="K726" s="10">
        <v>3734.24</v>
      </c>
    </row>
    <row r="727" spans="1:11" x14ac:dyDescent="0.25">
      <c r="A727" s="8" t="s">
        <v>1419</v>
      </c>
      <c r="B727" s="8" t="s">
        <v>128</v>
      </c>
      <c r="C727" s="8" t="s">
        <v>909</v>
      </c>
      <c r="D727" s="8">
        <v>5</v>
      </c>
      <c r="E727" s="8" t="s">
        <v>1420</v>
      </c>
      <c r="F727" s="8" t="s">
        <v>911</v>
      </c>
      <c r="G727" s="8" t="s">
        <v>912</v>
      </c>
      <c r="H727" s="10">
        <v>1</v>
      </c>
      <c r="I727" s="10"/>
      <c r="J727" s="10">
        <v>1</v>
      </c>
      <c r="K727" s="10">
        <v>3734.24</v>
      </c>
    </row>
    <row r="728" spans="1:11" x14ac:dyDescent="0.25">
      <c r="A728" s="8" t="s">
        <v>1421</v>
      </c>
      <c r="B728" s="8" t="s">
        <v>1029</v>
      </c>
      <c r="C728" s="8" t="s">
        <v>909</v>
      </c>
      <c r="D728" s="8">
        <v>5</v>
      </c>
      <c r="E728" s="8" t="s">
        <v>1422</v>
      </c>
      <c r="F728" s="8" t="s">
        <v>911</v>
      </c>
      <c r="G728" s="8" t="s">
        <v>912</v>
      </c>
      <c r="H728" s="10">
        <v>1</v>
      </c>
      <c r="I728" s="10"/>
      <c r="J728" s="10">
        <v>1</v>
      </c>
      <c r="K728" s="10">
        <v>2733.84</v>
      </c>
    </row>
    <row r="729" spans="1:11" x14ac:dyDescent="0.25">
      <c r="A729" s="8" t="s">
        <v>1423</v>
      </c>
      <c r="B729" s="8" t="s">
        <v>1029</v>
      </c>
      <c r="C729" s="8" t="s">
        <v>909</v>
      </c>
      <c r="D729" s="8">
        <v>5</v>
      </c>
      <c r="E729" s="8" t="s">
        <v>1424</v>
      </c>
      <c r="F729" s="8" t="s">
        <v>911</v>
      </c>
      <c r="G729" s="8" t="s">
        <v>912</v>
      </c>
      <c r="H729" s="10">
        <v>1</v>
      </c>
      <c r="I729" s="10"/>
      <c r="J729" s="10">
        <v>1</v>
      </c>
      <c r="K729" s="10">
        <v>2733.84</v>
      </c>
    </row>
    <row r="730" spans="1:11" x14ac:dyDescent="0.25">
      <c r="A730" s="8" t="s">
        <v>1425</v>
      </c>
      <c r="B730" s="8" t="s">
        <v>132</v>
      </c>
      <c r="C730" s="8" t="s">
        <v>909</v>
      </c>
      <c r="D730" s="8">
        <v>5</v>
      </c>
      <c r="E730" s="8" t="s">
        <v>1426</v>
      </c>
      <c r="F730" s="8" t="s">
        <v>911</v>
      </c>
      <c r="G730" s="8" t="s">
        <v>912</v>
      </c>
      <c r="H730" s="10">
        <v>1</v>
      </c>
      <c r="I730" s="10"/>
      <c r="J730" s="10">
        <v>1</v>
      </c>
      <c r="K730" s="10">
        <v>3696.04</v>
      </c>
    </row>
    <row r="731" spans="1:11" x14ac:dyDescent="0.25">
      <c r="A731" s="8" t="s">
        <v>1427</v>
      </c>
      <c r="B731" s="8" t="s">
        <v>132</v>
      </c>
      <c r="C731" s="8" t="s">
        <v>909</v>
      </c>
      <c r="D731" s="8">
        <v>5</v>
      </c>
      <c r="E731" s="8" t="s">
        <v>1428</v>
      </c>
      <c r="F731" s="8" t="s">
        <v>911</v>
      </c>
      <c r="G731" s="8" t="s">
        <v>912</v>
      </c>
      <c r="H731" s="10">
        <v>1</v>
      </c>
      <c r="I731" s="10"/>
      <c r="J731" s="10">
        <v>1</v>
      </c>
      <c r="K731" s="10">
        <v>3696.04</v>
      </c>
    </row>
    <row r="732" spans="1:11" x14ac:dyDescent="0.25">
      <c r="A732" s="8" t="s">
        <v>1429</v>
      </c>
      <c r="B732" s="8" t="s">
        <v>80</v>
      </c>
      <c r="C732" s="8" t="s">
        <v>909</v>
      </c>
      <c r="D732" s="8">
        <v>5</v>
      </c>
      <c r="E732" s="8" t="s">
        <v>1430</v>
      </c>
      <c r="F732" s="8" t="s">
        <v>911</v>
      </c>
      <c r="G732" s="8" t="s">
        <v>912</v>
      </c>
      <c r="H732" s="10">
        <v>1</v>
      </c>
      <c r="I732" s="10"/>
      <c r="J732" s="10">
        <v>1</v>
      </c>
      <c r="K732" s="10">
        <v>5773.23</v>
      </c>
    </row>
    <row r="733" spans="1:11" x14ac:dyDescent="0.25">
      <c r="A733" s="8" t="s">
        <v>1431</v>
      </c>
      <c r="B733" s="8" t="s">
        <v>80</v>
      </c>
      <c r="C733" s="8" t="s">
        <v>909</v>
      </c>
      <c r="D733" s="8">
        <v>5</v>
      </c>
      <c r="E733" s="8" t="s">
        <v>1432</v>
      </c>
      <c r="F733" s="8" t="s">
        <v>911</v>
      </c>
      <c r="G733" s="8" t="s">
        <v>912</v>
      </c>
      <c r="H733" s="10">
        <v>1</v>
      </c>
      <c r="I733" s="10"/>
      <c r="J733" s="10">
        <v>1</v>
      </c>
      <c r="K733" s="10">
        <v>5773.23</v>
      </c>
    </row>
    <row r="734" spans="1:11" x14ac:dyDescent="0.25">
      <c r="A734" s="8" t="s">
        <v>1433</v>
      </c>
      <c r="B734" s="8" t="s">
        <v>118</v>
      </c>
      <c r="C734" s="8" t="s">
        <v>909</v>
      </c>
      <c r="D734" s="8">
        <v>5</v>
      </c>
      <c r="E734" s="8" t="s">
        <v>1434</v>
      </c>
      <c r="F734" s="8" t="s">
        <v>911</v>
      </c>
      <c r="G734" s="8" t="s">
        <v>912</v>
      </c>
      <c r="H734" s="10">
        <v>1</v>
      </c>
      <c r="I734" s="10"/>
      <c r="J734" s="10">
        <v>1</v>
      </c>
      <c r="K734" s="10">
        <v>5798.69</v>
      </c>
    </row>
    <row r="735" spans="1:11" x14ac:dyDescent="0.25">
      <c r="A735" s="8" t="s">
        <v>1435</v>
      </c>
      <c r="B735" s="8" t="s">
        <v>118</v>
      </c>
      <c r="C735" s="8" t="s">
        <v>909</v>
      </c>
      <c r="D735" s="8">
        <v>5</v>
      </c>
      <c r="E735" s="8" t="s">
        <v>1436</v>
      </c>
      <c r="F735" s="8" t="s">
        <v>911</v>
      </c>
      <c r="G735" s="8" t="s">
        <v>912</v>
      </c>
      <c r="H735" s="10">
        <v>1</v>
      </c>
      <c r="I735" s="10"/>
      <c r="J735" s="10">
        <v>1</v>
      </c>
      <c r="K735" s="10">
        <v>5798.69</v>
      </c>
    </row>
    <row r="736" spans="1:11" x14ac:dyDescent="0.25">
      <c r="A736" s="8" t="s">
        <v>1437</v>
      </c>
      <c r="B736" s="8" t="s">
        <v>134</v>
      </c>
      <c r="C736" s="8" t="s">
        <v>909</v>
      </c>
      <c r="D736" s="8">
        <v>5</v>
      </c>
      <c r="E736" s="8" t="s">
        <v>1438</v>
      </c>
      <c r="F736" s="8" t="s">
        <v>911</v>
      </c>
      <c r="G736" s="8" t="s">
        <v>912</v>
      </c>
      <c r="H736" s="10">
        <v>1</v>
      </c>
      <c r="I736" s="10"/>
      <c r="J736" s="10">
        <v>1</v>
      </c>
      <c r="K736" s="10">
        <v>5926</v>
      </c>
    </row>
    <row r="737" spans="1:11" x14ac:dyDescent="0.25">
      <c r="A737" s="8" t="s">
        <v>1439</v>
      </c>
      <c r="B737" s="8" t="s">
        <v>134</v>
      </c>
      <c r="C737" s="8" t="s">
        <v>909</v>
      </c>
      <c r="D737" s="8">
        <v>5</v>
      </c>
      <c r="E737" s="8" t="s">
        <v>1440</v>
      </c>
      <c r="F737" s="8" t="s">
        <v>911</v>
      </c>
      <c r="G737" s="8" t="s">
        <v>912</v>
      </c>
      <c r="H737" s="10">
        <v>1</v>
      </c>
      <c r="I737" s="10"/>
      <c r="J737" s="10">
        <v>1</v>
      </c>
      <c r="K737" s="10">
        <v>5926</v>
      </c>
    </row>
    <row r="738" spans="1:11" x14ac:dyDescent="0.25">
      <c r="A738" s="8" t="s">
        <v>1441</v>
      </c>
      <c r="B738" s="8" t="s">
        <v>80</v>
      </c>
      <c r="C738" s="8" t="s">
        <v>909</v>
      </c>
      <c r="D738" s="8">
        <v>5</v>
      </c>
      <c r="E738" s="8" t="s">
        <v>1442</v>
      </c>
      <c r="F738" s="8" t="s">
        <v>911</v>
      </c>
      <c r="G738" s="8" t="s">
        <v>912</v>
      </c>
      <c r="H738" s="10">
        <v>1</v>
      </c>
      <c r="I738" s="10"/>
      <c r="J738" s="10">
        <v>1</v>
      </c>
      <c r="K738" s="10">
        <v>5493.14</v>
      </c>
    </row>
    <row r="739" spans="1:11" x14ac:dyDescent="0.25">
      <c r="A739" s="8" t="s">
        <v>1443</v>
      </c>
      <c r="B739" s="8" t="s">
        <v>132</v>
      </c>
      <c r="C739" s="8" t="s">
        <v>909</v>
      </c>
      <c r="D739" s="8">
        <v>5</v>
      </c>
      <c r="E739" s="8" t="s">
        <v>1444</v>
      </c>
      <c r="F739" s="8" t="s">
        <v>911</v>
      </c>
      <c r="G739" s="8" t="s">
        <v>912</v>
      </c>
      <c r="H739" s="10">
        <v>1</v>
      </c>
      <c r="I739" s="10"/>
      <c r="J739" s="10">
        <v>1</v>
      </c>
      <c r="K739" s="10">
        <v>5900.54</v>
      </c>
    </row>
    <row r="740" spans="1:11" x14ac:dyDescent="0.25">
      <c r="A740" s="8" t="s">
        <v>1445</v>
      </c>
      <c r="B740" s="8" t="s">
        <v>132</v>
      </c>
      <c r="C740" s="8" t="s">
        <v>909</v>
      </c>
      <c r="D740" s="8">
        <v>5</v>
      </c>
      <c r="E740" s="8" t="s">
        <v>1446</v>
      </c>
      <c r="F740" s="8" t="s">
        <v>911</v>
      </c>
      <c r="G740" s="8" t="s">
        <v>912</v>
      </c>
      <c r="H740" s="10">
        <v>1</v>
      </c>
      <c r="I740" s="10"/>
      <c r="J740" s="10">
        <v>1</v>
      </c>
      <c r="K740" s="10">
        <v>5900.54</v>
      </c>
    </row>
    <row r="741" spans="1:11" x14ac:dyDescent="0.25">
      <c r="A741" s="8" t="s">
        <v>1447</v>
      </c>
      <c r="B741" s="8" t="s">
        <v>80</v>
      </c>
      <c r="C741" s="8" t="s">
        <v>909</v>
      </c>
      <c r="D741" s="8">
        <v>5</v>
      </c>
      <c r="E741" s="8" t="s">
        <v>1448</v>
      </c>
      <c r="F741" s="8" t="s">
        <v>911</v>
      </c>
      <c r="G741" s="8" t="s">
        <v>912</v>
      </c>
      <c r="H741" s="10">
        <v>1</v>
      </c>
      <c r="I741" s="10"/>
      <c r="J741" s="10">
        <v>1</v>
      </c>
      <c r="K741" s="10">
        <v>5493.14</v>
      </c>
    </row>
    <row r="742" spans="1:11" x14ac:dyDescent="0.25">
      <c r="A742" s="8" t="s">
        <v>1449</v>
      </c>
      <c r="B742" s="8" t="s">
        <v>128</v>
      </c>
      <c r="C742" s="8" t="s">
        <v>909</v>
      </c>
      <c r="D742" s="8">
        <v>5</v>
      </c>
      <c r="E742" s="8" t="s">
        <v>1450</v>
      </c>
      <c r="F742" s="8" t="s">
        <v>911</v>
      </c>
      <c r="G742" s="8" t="s">
        <v>912</v>
      </c>
      <c r="H742" s="10">
        <v>1</v>
      </c>
      <c r="I742" s="10"/>
      <c r="J742" s="10">
        <v>1</v>
      </c>
      <c r="K742" s="10">
        <v>5817.79</v>
      </c>
    </row>
    <row r="743" spans="1:11" x14ac:dyDescent="0.25">
      <c r="A743" s="8" t="s">
        <v>1451</v>
      </c>
      <c r="B743" s="8" t="s">
        <v>128</v>
      </c>
      <c r="C743" s="8" t="s">
        <v>909</v>
      </c>
      <c r="D743" s="8">
        <v>5</v>
      </c>
      <c r="E743" s="8" t="s">
        <v>1452</v>
      </c>
      <c r="F743" s="8" t="s">
        <v>911</v>
      </c>
      <c r="G743" s="8" t="s">
        <v>912</v>
      </c>
      <c r="H743" s="10">
        <v>1</v>
      </c>
      <c r="I743" s="10"/>
      <c r="J743" s="10">
        <v>1</v>
      </c>
      <c r="K743" s="10">
        <v>5817.79</v>
      </c>
    </row>
    <row r="744" spans="1:11" x14ac:dyDescent="0.25">
      <c r="A744" s="8" t="s">
        <v>1453</v>
      </c>
      <c r="B744" s="8" t="s">
        <v>128</v>
      </c>
      <c r="C744" s="8" t="s">
        <v>909</v>
      </c>
      <c r="D744" s="8">
        <v>5</v>
      </c>
      <c r="E744" s="8" t="s">
        <v>1454</v>
      </c>
      <c r="F744" s="8" t="s">
        <v>911</v>
      </c>
      <c r="G744" s="8" t="s">
        <v>912</v>
      </c>
      <c r="H744" s="10">
        <v>1</v>
      </c>
      <c r="I744" s="10"/>
      <c r="J744" s="10">
        <v>1</v>
      </c>
      <c r="K744" s="10">
        <v>5887.81</v>
      </c>
    </row>
    <row r="745" spans="1:11" x14ac:dyDescent="0.25">
      <c r="A745" s="8" t="s">
        <v>1455</v>
      </c>
      <c r="B745" s="8" t="s">
        <v>128</v>
      </c>
      <c r="C745" s="8" t="s">
        <v>909</v>
      </c>
      <c r="D745" s="8">
        <v>5</v>
      </c>
      <c r="E745" s="8" t="s">
        <v>1456</v>
      </c>
      <c r="F745" s="8" t="s">
        <v>911</v>
      </c>
      <c r="G745" s="8" t="s">
        <v>912</v>
      </c>
      <c r="H745" s="10">
        <v>1</v>
      </c>
      <c r="I745" s="10"/>
      <c r="J745" s="10">
        <v>1</v>
      </c>
      <c r="K745" s="10">
        <v>5887.81</v>
      </c>
    </row>
    <row r="746" spans="1:11" x14ac:dyDescent="0.25">
      <c r="A746" s="8" t="s">
        <v>1457</v>
      </c>
      <c r="B746" s="8" t="s">
        <v>1029</v>
      </c>
      <c r="C746" s="8" t="s">
        <v>909</v>
      </c>
      <c r="D746" s="8">
        <v>5</v>
      </c>
      <c r="E746" s="8" t="s">
        <v>1458</v>
      </c>
      <c r="F746" s="8" t="s">
        <v>911</v>
      </c>
      <c r="G746" s="8" t="s">
        <v>912</v>
      </c>
      <c r="H746" s="10">
        <v>1</v>
      </c>
      <c r="I746" s="10"/>
      <c r="J746" s="10">
        <v>1</v>
      </c>
      <c r="K746" s="10">
        <v>5735.03</v>
      </c>
    </row>
    <row r="747" spans="1:11" x14ac:dyDescent="0.25">
      <c r="A747" s="8" t="s">
        <v>1459</v>
      </c>
      <c r="B747" s="8" t="s">
        <v>1029</v>
      </c>
      <c r="C747" s="8" t="s">
        <v>909</v>
      </c>
      <c r="D747" s="8">
        <v>5</v>
      </c>
      <c r="E747" s="8" t="s">
        <v>1460</v>
      </c>
      <c r="F747" s="8" t="s">
        <v>911</v>
      </c>
      <c r="G747" s="8" t="s">
        <v>912</v>
      </c>
      <c r="H747" s="10">
        <v>1</v>
      </c>
      <c r="I747" s="10"/>
      <c r="J747" s="10">
        <v>1</v>
      </c>
      <c r="K747" s="10">
        <v>23202.95</v>
      </c>
    </row>
    <row r="748" spans="1:11" x14ac:dyDescent="0.25">
      <c r="A748" s="8" t="s">
        <v>1461</v>
      </c>
      <c r="B748" s="8" t="s">
        <v>122</v>
      </c>
      <c r="C748" s="8" t="s">
        <v>909</v>
      </c>
      <c r="D748" s="8">
        <v>5</v>
      </c>
      <c r="E748" s="8" t="s">
        <v>1462</v>
      </c>
      <c r="F748" s="8" t="s">
        <v>911</v>
      </c>
      <c r="G748" s="8" t="s">
        <v>912</v>
      </c>
      <c r="H748" s="10">
        <v>1</v>
      </c>
      <c r="I748" s="10"/>
      <c r="J748" s="10">
        <v>1</v>
      </c>
      <c r="K748" s="10">
        <v>11144.42</v>
      </c>
    </row>
    <row r="749" spans="1:11" x14ac:dyDescent="0.25">
      <c r="A749" s="8" t="s">
        <v>1463</v>
      </c>
      <c r="B749" s="8" t="s">
        <v>122</v>
      </c>
      <c r="C749" s="8" t="s">
        <v>909</v>
      </c>
      <c r="D749" s="8">
        <v>5</v>
      </c>
      <c r="E749" s="8" t="s">
        <v>1464</v>
      </c>
      <c r="F749" s="8" t="s">
        <v>911</v>
      </c>
      <c r="G749" s="8" t="s">
        <v>912</v>
      </c>
      <c r="H749" s="10">
        <v>1</v>
      </c>
      <c r="I749" s="10"/>
      <c r="J749" s="10">
        <v>1</v>
      </c>
      <c r="K749" s="10">
        <v>11144.42</v>
      </c>
    </row>
    <row r="750" spans="1:11" x14ac:dyDescent="0.25">
      <c r="A750" s="8" t="s">
        <v>1465</v>
      </c>
      <c r="B750" s="8" t="s">
        <v>122</v>
      </c>
      <c r="C750" s="8" t="s">
        <v>909</v>
      </c>
      <c r="D750" s="8">
        <v>5</v>
      </c>
      <c r="E750" s="8" t="s">
        <v>1466</v>
      </c>
      <c r="F750" s="8" t="s">
        <v>911</v>
      </c>
      <c r="G750" s="8" t="s">
        <v>912</v>
      </c>
      <c r="H750" s="10">
        <v>1</v>
      </c>
      <c r="I750" s="10"/>
      <c r="J750" s="10">
        <v>1</v>
      </c>
      <c r="K750" s="10">
        <v>11144.42</v>
      </c>
    </row>
    <row r="751" spans="1:11" x14ac:dyDescent="0.25">
      <c r="A751" s="8" t="s">
        <v>1467</v>
      </c>
      <c r="B751" s="8" t="s">
        <v>122</v>
      </c>
      <c r="C751" s="8" t="s">
        <v>909</v>
      </c>
      <c r="D751" s="8">
        <v>5</v>
      </c>
      <c r="E751" s="8" t="s">
        <v>1468</v>
      </c>
      <c r="F751" s="8" t="s">
        <v>911</v>
      </c>
      <c r="G751" s="8" t="s">
        <v>912</v>
      </c>
      <c r="H751" s="10">
        <v>1</v>
      </c>
      <c r="I751" s="10"/>
      <c r="J751" s="10">
        <v>1</v>
      </c>
      <c r="K751" s="10">
        <v>11144.42</v>
      </c>
    </row>
    <row r="752" spans="1:11" x14ac:dyDescent="0.25">
      <c r="A752" s="8" t="s">
        <v>1469</v>
      </c>
      <c r="B752" s="8" t="s">
        <v>124</v>
      </c>
      <c r="C752" s="8" t="s">
        <v>909</v>
      </c>
      <c r="D752" s="8">
        <v>5</v>
      </c>
      <c r="E752" s="8" t="s">
        <v>1470</v>
      </c>
      <c r="F752" s="8" t="s">
        <v>911</v>
      </c>
      <c r="G752" s="8" t="s">
        <v>912</v>
      </c>
      <c r="H752" s="10">
        <v>1</v>
      </c>
      <c r="I752" s="10"/>
      <c r="J752" s="10">
        <v>1</v>
      </c>
      <c r="K752" s="10">
        <v>10953.46</v>
      </c>
    </row>
    <row r="753" spans="1:11" x14ac:dyDescent="0.25">
      <c r="A753" s="8" t="s">
        <v>1471</v>
      </c>
      <c r="B753" s="8" t="s">
        <v>124</v>
      </c>
      <c r="C753" s="8" t="s">
        <v>909</v>
      </c>
      <c r="D753" s="8">
        <v>5</v>
      </c>
      <c r="E753" s="8" t="s">
        <v>1472</v>
      </c>
      <c r="F753" s="8" t="s">
        <v>911</v>
      </c>
      <c r="G753" s="8" t="s">
        <v>912</v>
      </c>
      <c r="H753" s="10">
        <v>1</v>
      </c>
      <c r="I753" s="10"/>
      <c r="J753" s="10">
        <v>1</v>
      </c>
      <c r="K753" s="10">
        <v>10953.46</v>
      </c>
    </row>
    <row r="754" spans="1:11" x14ac:dyDescent="0.25">
      <c r="A754" s="8" t="s">
        <v>1473</v>
      </c>
      <c r="B754" s="8" t="s">
        <v>124</v>
      </c>
      <c r="C754" s="8" t="s">
        <v>909</v>
      </c>
      <c r="D754" s="8">
        <v>5</v>
      </c>
      <c r="E754" s="8" t="s">
        <v>1474</v>
      </c>
      <c r="F754" s="8" t="s">
        <v>911</v>
      </c>
      <c r="G754" s="8" t="s">
        <v>912</v>
      </c>
      <c r="H754" s="10">
        <v>1</v>
      </c>
      <c r="I754" s="10"/>
      <c r="J754" s="10">
        <v>1</v>
      </c>
      <c r="K754" s="10">
        <v>10953.46</v>
      </c>
    </row>
    <row r="755" spans="1:11" x14ac:dyDescent="0.25">
      <c r="A755" s="8" t="s">
        <v>1475</v>
      </c>
      <c r="B755" s="8" t="s">
        <v>124</v>
      </c>
      <c r="C755" s="8" t="s">
        <v>909</v>
      </c>
      <c r="D755" s="8">
        <v>5</v>
      </c>
      <c r="E755" s="8" t="s">
        <v>1476</v>
      </c>
      <c r="F755" s="8" t="s">
        <v>911</v>
      </c>
      <c r="G755" s="8" t="s">
        <v>912</v>
      </c>
      <c r="H755" s="10">
        <v>1</v>
      </c>
      <c r="I755" s="10"/>
      <c r="J755" s="10">
        <v>1</v>
      </c>
      <c r="K755" s="10">
        <v>10953.46</v>
      </c>
    </row>
    <row r="756" spans="1:11" x14ac:dyDescent="0.25">
      <c r="A756" s="8" t="s">
        <v>1477</v>
      </c>
      <c r="B756" s="8" t="s">
        <v>124</v>
      </c>
      <c r="C756" s="8" t="s">
        <v>909</v>
      </c>
      <c r="D756" s="8">
        <v>5</v>
      </c>
      <c r="E756" s="8" t="s">
        <v>1478</v>
      </c>
      <c r="F756" s="8" t="s">
        <v>911</v>
      </c>
      <c r="G756" s="8" t="s">
        <v>912</v>
      </c>
      <c r="H756" s="10">
        <v>1</v>
      </c>
      <c r="I756" s="10"/>
      <c r="J756" s="10">
        <v>1</v>
      </c>
      <c r="K756" s="10">
        <v>10787.95</v>
      </c>
    </row>
    <row r="757" spans="1:11" x14ac:dyDescent="0.25">
      <c r="A757" s="8" t="s">
        <v>1479</v>
      </c>
      <c r="B757" s="8" t="s">
        <v>124</v>
      </c>
      <c r="C757" s="8" t="s">
        <v>909</v>
      </c>
      <c r="D757" s="8">
        <v>5</v>
      </c>
      <c r="E757" s="8" t="s">
        <v>1480</v>
      </c>
      <c r="F757" s="8" t="s">
        <v>911</v>
      </c>
      <c r="G757" s="8" t="s">
        <v>912</v>
      </c>
      <c r="H757" s="10">
        <v>1</v>
      </c>
      <c r="I757" s="10"/>
      <c r="J757" s="10">
        <v>1</v>
      </c>
      <c r="K757" s="10">
        <v>10787.95</v>
      </c>
    </row>
    <row r="758" spans="1:11" x14ac:dyDescent="0.25">
      <c r="A758" s="8" t="s">
        <v>1481</v>
      </c>
      <c r="B758" s="8" t="s">
        <v>124</v>
      </c>
      <c r="C758" s="8" t="s">
        <v>909</v>
      </c>
      <c r="D758" s="8">
        <v>5</v>
      </c>
      <c r="E758" s="8" t="s">
        <v>1482</v>
      </c>
      <c r="F758" s="8" t="s">
        <v>911</v>
      </c>
      <c r="G758" s="8" t="s">
        <v>912</v>
      </c>
      <c r="H758" s="10">
        <v>1</v>
      </c>
      <c r="I758" s="10"/>
      <c r="J758" s="10">
        <v>1</v>
      </c>
      <c r="K758" s="10">
        <v>10787.95</v>
      </c>
    </row>
    <row r="759" spans="1:11" x14ac:dyDescent="0.25">
      <c r="A759" s="8" t="s">
        <v>1483</v>
      </c>
      <c r="B759" s="8" t="s">
        <v>80</v>
      </c>
      <c r="C759" s="8" t="s">
        <v>909</v>
      </c>
      <c r="D759" s="8">
        <v>5</v>
      </c>
      <c r="E759" s="8" t="s">
        <v>1484</v>
      </c>
      <c r="F759" s="8" t="s">
        <v>911</v>
      </c>
      <c r="G759" s="8" t="s">
        <v>912</v>
      </c>
      <c r="H759" s="10">
        <v>1</v>
      </c>
      <c r="I759" s="10"/>
      <c r="J759" s="10">
        <v>1</v>
      </c>
      <c r="K759" s="10">
        <v>5913.27</v>
      </c>
    </row>
    <row r="760" spans="1:11" x14ac:dyDescent="0.25">
      <c r="A760" s="8" t="s">
        <v>1485</v>
      </c>
      <c r="B760" s="8" t="s">
        <v>80</v>
      </c>
      <c r="C760" s="8" t="s">
        <v>909</v>
      </c>
      <c r="D760" s="8">
        <v>5</v>
      </c>
      <c r="E760" s="8" t="s">
        <v>1486</v>
      </c>
      <c r="F760" s="8" t="s">
        <v>911</v>
      </c>
      <c r="G760" s="8" t="s">
        <v>912</v>
      </c>
      <c r="H760" s="10">
        <v>1</v>
      </c>
      <c r="I760" s="10"/>
      <c r="J760" s="10">
        <v>1</v>
      </c>
      <c r="K760" s="10">
        <v>5913.27</v>
      </c>
    </row>
    <row r="761" spans="1:11" x14ac:dyDescent="0.25">
      <c r="A761" s="8" t="s">
        <v>1487</v>
      </c>
      <c r="B761" s="8" t="s">
        <v>120</v>
      </c>
      <c r="C761" s="8" t="s">
        <v>909</v>
      </c>
      <c r="D761" s="8">
        <v>5</v>
      </c>
      <c r="E761" s="8" t="s">
        <v>1488</v>
      </c>
      <c r="F761" s="8" t="s">
        <v>911</v>
      </c>
      <c r="G761" s="8" t="s">
        <v>912</v>
      </c>
      <c r="H761" s="10">
        <v>1</v>
      </c>
      <c r="I761" s="10"/>
      <c r="J761" s="10">
        <v>1</v>
      </c>
      <c r="K761" s="10">
        <v>7142.83</v>
      </c>
    </row>
    <row r="762" spans="1:11" x14ac:dyDescent="0.25">
      <c r="A762" s="8" t="s">
        <v>1489</v>
      </c>
      <c r="B762" s="8" t="s">
        <v>120</v>
      </c>
      <c r="C762" s="8" t="s">
        <v>909</v>
      </c>
      <c r="D762" s="8">
        <v>5</v>
      </c>
      <c r="E762" s="8" t="s">
        <v>1490</v>
      </c>
      <c r="F762" s="8" t="s">
        <v>911</v>
      </c>
      <c r="G762" s="8" t="s">
        <v>912</v>
      </c>
      <c r="H762" s="10">
        <v>1</v>
      </c>
      <c r="I762" s="10"/>
      <c r="J762" s="10">
        <v>1</v>
      </c>
      <c r="K762" s="10">
        <v>7142.83</v>
      </c>
    </row>
    <row r="763" spans="1:11" x14ac:dyDescent="0.25">
      <c r="A763" s="8" t="s">
        <v>1491</v>
      </c>
      <c r="B763" s="8" t="s">
        <v>80</v>
      </c>
      <c r="C763" s="8" t="s">
        <v>909</v>
      </c>
      <c r="D763" s="8">
        <v>5</v>
      </c>
      <c r="E763" s="8" t="s">
        <v>1492</v>
      </c>
      <c r="F763" s="8" t="s">
        <v>911</v>
      </c>
      <c r="G763" s="8" t="s">
        <v>912</v>
      </c>
      <c r="H763" s="10">
        <v>1</v>
      </c>
      <c r="I763" s="10"/>
      <c r="J763" s="10">
        <v>1</v>
      </c>
      <c r="K763" s="10">
        <v>7206.49</v>
      </c>
    </row>
    <row r="764" spans="1:11" x14ac:dyDescent="0.25">
      <c r="A764" s="8" t="s">
        <v>1493</v>
      </c>
      <c r="B764" s="8" t="s">
        <v>124</v>
      </c>
      <c r="C764" s="8" t="s">
        <v>909</v>
      </c>
      <c r="D764" s="8">
        <v>5</v>
      </c>
      <c r="E764" s="8" t="s">
        <v>1494</v>
      </c>
      <c r="F764" s="8" t="s">
        <v>911</v>
      </c>
      <c r="G764" s="8" t="s">
        <v>912</v>
      </c>
      <c r="H764" s="10">
        <v>1</v>
      </c>
      <c r="I764" s="10"/>
      <c r="J764" s="10">
        <v>1</v>
      </c>
      <c r="K764" s="10">
        <v>23307.34</v>
      </c>
    </row>
    <row r="765" spans="1:11" x14ac:dyDescent="0.25">
      <c r="A765" s="8" t="s">
        <v>1495</v>
      </c>
      <c r="B765" s="8" t="s">
        <v>124</v>
      </c>
      <c r="C765" s="8" t="s">
        <v>909</v>
      </c>
      <c r="D765" s="8">
        <v>5</v>
      </c>
      <c r="E765" s="8" t="s">
        <v>1496</v>
      </c>
      <c r="F765" s="8" t="s">
        <v>911</v>
      </c>
      <c r="G765" s="8" t="s">
        <v>912</v>
      </c>
      <c r="H765" s="10">
        <v>1</v>
      </c>
      <c r="I765" s="10"/>
      <c r="J765" s="10">
        <v>1</v>
      </c>
      <c r="K765" s="10">
        <v>23307.34</v>
      </c>
    </row>
    <row r="766" spans="1:11" x14ac:dyDescent="0.25">
      <c r="A766" s="8" t="s">
        <v>1497</v>
      </c>
      <c r="B766" s="8" t="s">
        <v>124</v>
      </c>
      <c r="C766" s="8" t="s">
        <v>909</v>
      </c>
      <c r="D766" s="8">
        <v>5</v>
      </c>
      <c r="E766" s="8" t="s">
        <v>1498</v>
      </c>
      <c r="F766" s="8" t="s">
        <v>911</v>
      </c>
      <c r="G766" s="8" t="s">
        <v>912</v>
      </c>
      <c r="H766" s="10">
        <v>1</v>
      </c>
      <c r="I766" s="10"/>
      <c r="J766" s="10">
        <v>1</v>
      </c>
      <c r="K766" s="10">
        <v>23307.34</v>
      </c>
    </row>
    <row r="767" spans="1:11" x14ac:dyDescent="0.25">
      <c r="A767" s="8" t="s">
        <v>1499</v>
      </c>
      <c r="B767" s="8" t="s">
        <v>124</v>
      </c>
      <c r="C767" s="8" t="s">
        <v>909</v>
      </c>
      <c r="D767" s="8">
        <v>5</v>
      </c>
      <c r="E767" s="8" t="s">
        <v>1500</v>
      </c>
      <c r="F767" s="8" t="s">
        <v>911</v>
      </c>
      <c r="G767" s="8" t="s">
        <v>912</v>
      </c>
      <c r="H767" s="10">
        <v>1</v>
      </c>
      <c r="I767" s="10"/>
      <c r="J767" s="10">
        <v>1</v>
      </c>
      <c r="K767" s="10">
        <v>23307.34</v>
      </c>
    </row>
    <row r="768" spans="1:11" x14ac:dyDescent="0.25">
      <c r="A768" s="8" t="s">
        <v>1501</v>
      </c>
      <c r="B768" s="8" t="s">
        <v>124</v>
      </c>
      <c r="C768" s="8" t="s">
        <v>909</v>
      </c>
      <c r="D768" s="8">
        <v>5</v>
      </c>
      <c r="E768" s="8" t="s">
        <v>1502</v>
      </c>
      <c r="F768" s="8" t="s">
        <v>911</v>
      </c>
      <c r="G768" s="8" t="s">
        <v>912</v>
      </c>
      <c r="H768" s="10">
        <v>1</v>
      </c>
      <c r="I768" s="10"/>
      <c r="J768" s="10">
        <v>1</v>
      </c>
      <c r="K768" s="10">
        <v>24211.26</v>
      </c>
    </row>
    <row r="769" spans="1:11" x14ac:dyDescent="0.25">
      <c r="A769" s="8" t="s">
        <v>1503</v>
      </c>
      <c r="B769" s="8" t="s">
        <v>124</v>
      </c>
      <c r="C769" s="8" t="s">
        <v>909</v>
      </c>
      <c r="D769" s="8">
        <v>5</v>
      </c>
      <c r="E769" s="8" t="s">
        <v>1504</v>
      </c>
      <c r="F769" s="8" t="s">
        <v>911</v>
      </c>
      <c r="G769" s="8" t="s">
        <v>912</v>
      </c>
      <c r="H769" s="10">
        <v>1</v>
      </c>
      <c r="I769" s="10"/>
      <c r="J769" s="10">
        <v>1</v>
      </c>
      <c r="K769" s="10">
        <v>24211.26</v>
      </c>
    </row>
    <row r="770" spans="1:11" x14ac:dyDescent="0.25">
      <c r="A770" s="8" t="s">
        <v>1505</v>
      </c>
      <c r="B770" s="8" t="s">
        <v>124</v>
      </c>
      <c r="C770" s="8" t="s">
        <v>909</v>
      </c>
      <c r="D770" s="8">
        <v>5</v>
      </c>
      <c r="E770" s="8" t="s">
        <v>1506</v>
      </c>
      <c r="F770" s="8" t="s">
        <v>911</v>
      </c>
      <c r="G770" s="8" t="s">
        <v>912</v>
      </c>
      <c r="H770" s="10">
        <v>1</v>
      </c>
      <c r="I770" s="10"/>
      <c r="J770" s="10">
        <v>1</v>
      </c>
      <c r="K770" s="10">
        <v>24211.26</v>
      </c>
    </row>
    <row r="771" spans="1:11" x14ac:dyDescent="0.25">
      <c r="A771" s="8" t="s">
        <v>1507</v>
      </c>
      <c r="B771" s="8" t="s">
        <v>124</v>
      </c>
      <c r="C771" s="8" t="s">
        <v>909</v>
      </c>
      <c r="D771" s="8">
        <v>5</v>
      </c>
      <c r="E771" s="8" t="s">
        <v>1508</v>
      </c>
      <c r="F771" s="8" t="s">
        <v>911</v>
      </c>
      <c r="G771" s="8" t="s">
        <v>912</v>
      </c>
      <c r="H771" s="10">
        <v>1</v>
      </c>
      <c r="I771" s="10"/>
      <c r="J771" s="10">
        <v>1</v>
      </c>
      <c r="K771" s="10">
        <v>24211.26</v>
      </c>
    </row>
    <row r="772" spans="1:11" x14ac:dyDescent="0.25">
      <c r="A772" s="8" t="s">
        <v>1509</v>
      </c>
      <c r="B772" s="8" t="s">
        <v>124</v>
      </c>
      <c r="C772" s="8" t="s">
        <v>909</v>
      </c>
      <c r="D772" s="8">
        <v>5</v>
      </c>
      <c r="E772" s="8" t="s">
        <v>1510</v>
      </c>
      <c r="F772" s="8" t="s">
        <v>911</v>
      </c>
      <c r="G772" s="8" t="s">
        <v>912</v>
      </c>
      <c r="H772" s="10">
        <v>1</v>
      </c>
      <c r="I772" s="10"/>
      <c r="J772" s="10">
        <v>1</v>
      </c>
      <c r="K772" s="10">
        <v>24211.26</v>
      </c>
    </row>
    <row r="773" spans="1:11" x14ac:dyDescent="0.25">
      <c r="A773" s="8" t="s">
        <v>1511</v>
      </c>
      <c r="B773" s="8" t="s">
        <v>124</v>
      </c>
      <c r="C773" s="8" t="s">
        <v>909</v>
      </c>
      <c r="D773" s="8">
        <v>5</v>
      </c>
      <c r="E773" s="8" t="s">
        <v>1512</v>
      </c>
      <c r="F773" s="8" t="s">
        <v>911</v>
      </c>
      <c r="G773" s="8" t="s">
        <v>912</v>
      </c>
      <c r="H773" s="10">
        <v>1</v>
      </c>
      <c r="I773" s="10"/>
      <c r="J773" s="10">
        <v>1</v>
      </c>
      <c r="K773" s="10">
        <v>24211.26</v>
      </c>
    </row>
    <row r="774" spans="1:11" x14ac:dyDescent="0.25">
      <c r="A774" s="8" t="s">
        <v>1513</v>
      </c>
      <c r="B774" s="8" t="s">
        <v>124</v>
      </c>
      <c r="C774" s="8" t="s">
        <v>909</v>
      </c>
      <c r="D774" s="8">
        <v>5</v>
      </c>
      <c r="E774" s="8" t="s">
        <v>1514</v>
      </c>
      <c r="F774" s="8" t="s">
        <v>911</v>
      </c>
      <c r="G774" s="8" t="s">
        <v>912</v>
      </c>
      <c r="H774" s="10">
        <v>1</v>
      </c>
      <c r="I774" s="10"/>
      <c r="J774" s="10">
        <v>1</v>
      </c>
      <c r="K774" s="10">
        <v>18302.669999999998</v>
      </c>
    </row>
    <row r="775" spans="1:11" x14ac:dyDescent="0.25">
      <c r="A775" s="8" t="s">
        <v>1515</v>
      </c>
      <c r="B775" s="8" t="s">
        <v>124</v>
      </c>
      <c r="C775" s="8" t="s">
        <v>909</v>
      </c>
      <c r="D775" s="8">
        <v>5</v>
      </c>
      <c r="E775" s="8" t="s">
        <v>1516</v>
      </c>
      <c r="F775" s="8" t="s">
        <v>911</v>
      </c>
      <c r="G775" s="8" t="s">
        <v>912</v>
      </c>
      <c r="H775" s="10">
        <v>1</v>
      </c>
      <c r="I775" s="10"/>
      <c r="J775" s="10">
        <v>1</v>
      </c>
      <c r="K775" s="10">
        <v>18302.669999999998</v>
      </c>
    </row>
    <row r="776" spans="1:11" x14ac:dyDescent="0.25">
      <c r="A776" s="8" t="s">
        <v>1517</v>
      </c>
      <c r="B776" s="8" t="s">
        <v>124</v>
      </c>
      <c r="C776" s="8" t="s">
        <v>909</v>
      </c>
      <c r="D776" s="8">
        <v>5</v>
      </c>
      <c r="E776" s="8" t="s">
        <v>1518</v>
      </c>
      <c r="F776" s="8" t="s">
        <v>911</v>
      </c>
      <c r="G776" s="8" t="s">
        <v>912</v>
      </c>
      <c r="H776" s="10">
        <v>1</v>
      </c>
      <c r="I776" s="10"/>
      <c r="J776" s="10">
        <v>1</v>
      </c>
      <c r="K776" s="10">
        <v>18302.669999999998</v>
      </c>
    </row>
    <row r="777" spans="1:11" x14ac:dyDescent="0.25">
      <c r="A777" s="8" t="s">
        <v>1519</v>
      </c>
      <c r="B777" s="8" t="s">
        <v>80</v>
      </c>
      <c r="C777" s="8" t="s">
        <v>909</v>
      </c>
      <c r="D777" s="8">
        <v>5</v>
      </c>
      <c r="E777" s="8" t="s">
        <v>1520</v>
      </c>
      <c r="F777" s="8" t="s">
        <v>911</v>
      </c>
      <c r="G777" s="8" t="s">
        <v>912</v>
      </c>
      <c r="H777" s="10">
        <v>1</v>
      </c>
      <c r="I777" s="10"/>
      <c r="J777" s="10">
        <v>1</v>
      </c>
      <c r="K777" s="10">
        <v>18251.740000000002</v>
      </c>
    </row>
    <row r="778" spans="1:11" x14ac:dyDescent="0.25">
      <c r="A778" s="8" t="s">
        <v>1521</v>
      </c>
      <c r="B778" s="8" t="s">
        <v>80</v>
      </c>
      <c r="C778" s="8" t="s">
        <v>909</v>
      </c>
      <c r="D778" s="8">
        <v>5</v>
      </c>
      <c r="E778" s="8" t="s">
        <v>1522</v>
      </c>
      <c r="F778" s="8" t="s">
        <v>911</v>
      </c>
      <c r="G778" s="8" t="s">
        <v>912</v>
      </c>
      <c r="H778" s="10">
        <v>1</v>
      </c>
      <c r="I778" s="10"/>
      <c r="J778" s="10">
        <v>1</v>
      </c>
      <c r="K778" s="10">
        <v>18251.740000000002</v>
      </c>
    </row>
    <row r="779" spans="1:11" x14ac:dyDescent="0.25">
      <c r="A779" s="8" t="s">
        <v>1523</v>
      </c>
      <c r="B779" s="8" t="s">
        <v>80</v>
      </c>
      <c r="C779" s="8" t="s">
        <v>909</v>
      </c>
      <c r="D779" s="8">
        <v>5</v>
      </c>
      <c r="E779" s="8" t="s">
        <v>1524</v>
      </c>
      <c r="F779" s="8" t="s">
        <v>911</v>
      </c>
      <c r="G779" s="8" t="s">
        <v>912</v>
      </c>
      <c r="H779" s="10">
        <v>1</v>
      </c>
      <c r="I779" s="10"/>
      <c r="J779" s="10">
        <v>1</v>
      </c>
      <c r="K779" s="10">
        <v>18391.79</v>
      </c>
    </row>
    <row r="780" spans="1:11" x14ac:dyDescent="0.25">
      <c r="A780" s="8" t="s">
        <v>1525</v>
      </c>
      <c r="B780" s="8" t="s">
        <v>80</v>
      </c>
      <c r="C780" s="8" t="s">
        <v>909</v>
      </c>
      <c r="D780" s="8">
        <v>5</v>
      </c>
      <c r="E780" s="8" t="s">
        <v>1526</v>
      </c>
      <c r="F780" s="8" t="s">
        <v>911</v>
      </c>
      <c r="G780" s="8" t="s">
        <v>912</v>
      </c>
      <c r="H780" s="10">
        <v>1</v>
      </c>
      <c r="I780" s="10"/>
      <c r="J780" s="10">
        <v>1</v>
      </c>
      <c r="K780" s="10">
        <v>18391.79</v>
      </c>
    </row>
    <row r="781" spans="1:11" x14ac:dyDescent="0.25">
      <c r="A781" s="8" t="s">
        <v>1527</v>
      </c>
      <c r="B781" s="8" t="s">
        <v>80</v>
      </c>
      <c r="C781" s="8" t="s">
        <v>909</v>
      </c>
      <c r="D781" s="8">
        <v>5</v>
      </c>
      <c r="E781" s="8" t="s">
        <v>1528</v>
      </c>
      <c r="F781" s="8" t="s">
        <v>911</v>
      </c>
      <c r="G781" s="8" t="s">
        <v>912</v>
      </c>
      <c r="H781" s="10">
        <v>1</v>
      </c>
      <c r="I781" s="10"/>
      <c r="J781" s="10">
        <v>1</v>
      </c>
      <c r="K781" s="10">
        <v>18391.79</v>
      </c>
    </row>
    <row r="782" spans="1:11" x14ac:dyDescent="0.25">
      <c r="A782" s="8" t="s">
        <v>1529</v>
      </c>
      <c r="B782" s="8" t="s">
        <v>120</v>
      </c>
      <c r="C782" s="8" t="s">
        <v>909</v>
      </c>
      <c r="D782" s="8">
        <v>5</v>
      </c>
      <c r="E782" s="8" t="s">
        <v>1530</v>
      </c>
      <c r="F782" s="8" t="s">
        <v>911</v>
      </c>
      <c r="G782" s="8" t="s">
        <v>912</v>
      </c>
      <c r="H782" s="10">
        <v>1</v>
      </c>
      <c r="I782" s="10"/>
      <c r="J782" s="10">
        <v>1</v>
      </c>
      <c r="K782" s="10">
        <v>102425.07</v>
      </c>
    </row>
    <row r="783" spans="1:11" x14ac:dyDescent="0.25">
      <c r="A783" s="8" t="s">
        <v>1531</v>
      </c>
      <c r="B783" s="8" t="s">
        <v>120</v>
      </c>
      <c r="C783" s="8" t="s">
        <v>909</v>
      </c>
      <c r="D783" s="8">
        <v>5</v>
      </c>
      <c r="E783" s="8" t="s">
        <v>1532</v>
      </c>
      <c r="F783" s="8" t="s">
        <v>911</v>
      </c>
      <c r="G783" s="8" t="s">
        <v>912</v>
      </c>
      <c r="H783" s="10">
        <v>1</v>
      </c>
      <c r="I783" s="10"/>
      <c r="J783" s="10">
        <v>1</v>
      </c>
      <c r="K783" s="10">
        <v>102425.07</v>
      </c>
    </row>
    <row r="784" spans="1:11" x14ac:dyDescent="0.25">
      <c r="A784" s="8" t="s">
        <v>1533</v>
      </c>
      <c r="B784" s="8" t="s">
        <v>120</v>
      </c>
      <c r="C784" s="8" t="s">
        <v>909</v>
      </c>
      <c r="D784" s="8">
        <v>5</v>
      </c>
      <c r="E784" s="8" t="s">
        <v>1534</v>
      </c>
      <c r="F784" s="8" t="s">
        <v>911</v>
      </c>
      <c r="G784" s="8" t="s">
        <v>912</v>
      </c>
      <c r="H784" s="10">
        <v>1</v>
      </c>
      <c r="I784" s="10"/>
      <c r="J784" s="10">
        <v>1</v>
      </c>
      <c r="K784" s="10">
        <v>102425.07</v>
      </c>
    </row>
    <row r="785" spans="1:11" x14ac:dyDescent="0.25">
      <c r="A785" s="8" t="s">
        <v>1535</v>
      </c>
      <c r="B785" s="8" t="s">
        <v>120</v>
      </c>
      <c r="C785" s="8" t="s">
        <v>909</v>
      </c>
      <c r="D785" s="8">
        <v>5</v>
      </c>
      <c r="E785" s="8" t="s">
        <v>1536</v>
      </c>
      <c r="F785" s="8" t="s">
        <v>911</v>
      </c>
      <c r="G785" s="8" t="s">
        <v>912</v>
      </c>
      <c r="H785" s="10">
        <v>1</v>
      </c>
      <c r="I785" s="10"/>
      <c r="J785" s="10">
        <v>1</v>
      </c>
      <c r="K785" s="10">
        <v>102425.07</v>
      </c>
    </row>
    <row r="786" spans="1:11" x14ac:dyDescent="0.25">
      <c r="A786" s="8" t="s">
        <v>1537</v>
      </c>
      <c r="B786" s="8" t="s">
        <v>78</v>
      </c>
      <c r="C786" s="8" t="s">
        <v>909</v>
      </c>
      <c r="D786" s="8">
        <v>5</v>
      </c>
      <c r="E786" s="8" t="s">
        <v>1538</v>
      </c>
      <c r="F786" s="8" t="s">
        <v>911</v>
      </c>
      <c r="G786" s="8" t="s">
        <v>912</v>
      </c>
      <c r="H786" s="10">
        <v>1</v>
      </c>
      <c r="I786" s="10"/>
      <c r="J786" s="10">
        <v>1</v>
      </c>
      <c r="K786" s="10">
        <v>84038.77</v>
      </c>
    </row>
    <row r="787" spans="1:11" x14ac:dyDescent="0.25">
      <c r="A787" s="8" t="s">
        <v>1539</v>
      </c>
      <c r="B787" s="8" t="s">
        <v>78</v>
      </c>
      <c r="C787" s="8" t="s">
        <v>909</v>
      </c>
      <c r="D787" s="8">
        <v>5</v>
      </c>
      <c r="E787" s="8" t="s">
        <v>1540</v>
      </c>
      <c r="F787" s="8" t="s">
        <v>911</v>
      </c>
      <c r="G787" s="8" t="s">
        <v>912</v>
      </c>
      <c r="H787" s="10">
        <v>1</v>
      </c>
      <c r="I787" s="10"/>
      <c r="J787" s="10">
        <v>1</v>
      </c>
      <c r="K787" s="10">
        <v>84038.77</v>
      </c>
    </row>
    <row r="788" spans="1:11" x14ac:dyDescent="0.25">
      <c r="A788" s="8" t="s">
        <v>1541</v>
      </c>
      <c r="B788" s="8" t="s">
        <v>78</v>
      </c>
      <c r="C788" s="8" t="s">
        <v>909</v>
      </c>
      <c r="D788" s="8">
        <v>5</v>
      </c>
      <c r="E788" s="8" t="s">
        <v>1542</v>
      </c>
      <c r="F788" s="8" t="s">
        <v>911</v>
      </c>
      <c r="G788" s="8" t="s">
        <v>912</v>
      </c>
      <c r="H788" s="10">
        <v>1</v>
      </c>
      <c r="I788" s="10"/>
      <c r="J788" s="10">
        <v>1</v>
      </c>
      <c r="K788" s="10">
        <v>84038.77</v>
      </c>
    </row>
    <row r="789" spans="1:11" x14ac:dyDescent="0.25">
      <c r="A789" s="8" t="s">
        <v>1543</v>
      </c>
      <c r="B789" s="8" t="s">
        <v>78</v>
      </c>
      <c r="C789" s="8" t="s">
        <v>909</v>
      </c>
      <c r="D789" s="8">
        <v>5</v>
      </c>
      <c r="E789" s="8" t="s">
        <v>1544</v>
      </c>
      <c r="F789" s="8" t="s">
        <v>911</v>
      </c>
      <c r="G789" s="8" t="s">
        <v>912</v>
      </c>
      <c r="H789" s="10">
        <v>1</v>
      </c>
      <c r="I789" s="10"/>
      <c r="J789" s="10">
        <v>1</v>
      </c>
      <c r="K789" s="10">
        <v>84038.77</v>
      </c>
    </row>
    <row r="790" spans="1:11" x14ac:dyDescent="0.25">
      <c r="A790" s="8" t="s">
        <v>1545</v>
      </c>
      <c r="B790" s="8" t="s">
        <v>78</v>
      </c>
      <c r="C790" s="8" t="s">
        <v>909</v>
      </c>
      <c r="D790" s="8">
        <v>5</v>
      </c>
      <c r="E790" s="8" t="s">
        <v>1546</v>
      </c>
      <c r="F790" s="8" t="s">
        <v>911</v>
      </c>
      <c r="G790" s="8" t="s">
        <v>912</v>
      </c>
      <c r="H790" s="10">
        <v>1</v>
      </c>
      <c r="I790" s="10"/>
      <c r="J790" s="10">
        <v>1</v>
      </c>
      <c r="K790" s="10">
        <v>34580.31</v>
      </c>
    </row>
    <row r="791" spans="1:11" x14ac:dyDescent="0.25">
      <c r="A791" s="8" t="s">
        <v>1547</v>
      </c>
      <c r="B791" s="8" t="s">
        <v>78</v>
      </c>
      <c r="C791" s="8" t="s">
        <v>909</v>
      </c>
      <c r="D791" s="8">
        <v>5</v>
      </c>
      <c r="E791" s="8" t="s">
        <v>1548</v>
      </c>
      <c r="F791" s="8" t="s">
        <v>911</v>
      </c>
      <c r="G791" s="8" t="s">
        <v>912</v>
      </c>
      <c r="H791" s="10">
        <v>1</v>
      </c>
      <c r="I791" s="10"/>
      <c r="J791" s="10">
        <v>1</v>
      </c>
      <c r="K791" s="10">
        <v>34580.31</v>
      </c>
    </row>
    <row r="792" spans="1:11" x14ac:dyDescent="0.25">
      <c r="A792" s="8" t="s">
        <v>1549</v>
      </c>
      <c r="B792" s="8" t="s">
        <v>78</v>
      </c>
      <c r="C792" s="8" t="s">
        <v>909</v>
      </c>
      <c r="D792" s="8">
        <v>5</v>
      </c>
      <c r="E792" s="8" t="s">
        <v>1550</v>
      </c>
      <c r="F792" s="8" t="s">
        <v>911</v>
      </c>
      <c r="G792" s="8" t="s">
        <v>912</v>
      </c>
      <c r="H792" s="10">
        <v>1</v>
      </c>
      <c r="I792" s="10"/>
      <c r="J792" s="10">
        <v>1</v>
      </c>
      <c r="K792" s="10">
        <v>34580.31</v>
      </c>
    </row>
    <row r="793" spans="1:11" x14ac:dyDescent="0.25">
      <c r="A793" s="8" t="s">
        <v>1551</v>
      </c>
      <c r="B793" s="8" t="s">
        <v>78</v>
      </c>
      <c r="C793" s="8" t="s">
        <v>909</v>
      </c>
      <c r="D793" s="8">
        <v>5</v>
      </c>
      <c r="E793" s="8" t="s">
        <v>1552</v>
      </c>
      <c r="F793" s="8" t="s">
        <v>911</v>
      </c>
      <c r="G793" s="8" t="s">
        <v>912</v>
      </c>
      <c r="H793" s="10">
        <v>1</v>
      </c>
      <c r="I793" s="10"/>
      <c r="J793" s="10">
        <v>1</v>
      </c>
      <c r="K793" s="10">
        <v>34580.31</v>
      </c>
    </row>
    <row r="794" spans="1:11" x14ac:dyDescent="0.25">
      <c r="A794" s="8" t="s">
        <v>1553</v>
      </c>
      <c r="B794" s="8" t="s">
        <v>124</v>
      </c>
      <c r="C794" s="8" t="s">
        <v>909</v>
      </c>
      <c r="D794" s="8">
        <v>5</v>
      </c>
      <c r="E794" s="8" t="s">
        <v>1554</v>
      </c>
      <c r="F794" s="8" t="s">
        <v>911</v>
      </c>
      <c r="G794" s="8" t="s">
        <v>912</v>
      </c>
      <c r="H794" s="10">
        <v>1</v>
      </c>
      <c r="I794" s="10"/>
      <c r="J794" s="10">
        <v>1</v>
      </c>
      <c r="K794" s="10">
        <v>11169.89</v>
      </c>
    </row>
    <row r="795" spans="1:11" x14ac:dyDescent="0.25">
      <c r="A795" s="8" t="s">
        <v>1555</v>
      </c>
      <c r="B795" s="8" t="s">
        <v>78</v>
      </c>
      <c r="C795" s="8" t="s">
        <v>909</v>
      </c>
      <c r="D795" s="8">
        <v>5</v>
      </c>
      <c r="E795" s="8" t="s">
        <v>1556</v>
      </c>
      <c r="F795" s="8" t="s">
        <v>911</v>
      </c>
      <c r="G795" s="8" t="s">
        <v>912</v>
      </c>
      <c r="H795" s="10">
        <v>1</v>
      </c>
      <c r="I795" s="10"/>
      <c r="J795" s="10">
        <v>1</v>
      </c>
      <c r="K795" s="10">
        <v>11169.89</v>
      </c>
    </row>
    <row r="796" spans="1:11" x14ac:dyDescent="0.25">
      <c r="A796" s="8" t="s">
        <v>1557</v>
      </c>
      <c r="B796" s="8" t="s">
        <v>120</v>
      </c>
      <c r="C796" s="8" t="s">
        <v>909</v>
      </c>
      <c r="D796" s="8">
        <v>5</v>
      </c>
      <c r="E796" s="8" t="s">
        <v>1558</v>
      </c>
      <c r="F796" s="8" t="s">
        <v>911</v>
      </c>
      <c r="G796" s="8" t="s">
        <v>912</v>
      </c>
      <c r="H796" s="10">
        <v>1</v>
      </c>
      <c r="I796" s="10"/>
      <c r="J796" s="10">
        <v>1</v>
      </c>
      <c r="K796" s="10">
        <v>17984.39</v>
      </c>
    </row>
    <row r="797" spans="1:11" x14ac:dyDescent="0.25">
      <c r="A797" s="8" t="s">
        <v>1559</v>
      </c>
      <c r="B797" s="8" t="s">
        <v>120</v>
      </c>
      <c r="C797" s="8" t="s">
        <v>909</v>
      </c>
      <c r="D797" s="8">
        <v>5</v>
      </c>
      <c r="E797" s="8" t="s">
        <v>1560</v>
      </c>
      <c r="F797" s="8" t="s">
        <v>911</v>
      </c>
      <c r="G797" s="8" t="s">
        <v>912</v>
      </c>
      <c r="H797" s="10">
        <v>1</v>
      </c>
      <c r="I797" s="10"/>
      <c r="J797" s="10">
        <v>1</v>
      </c>
      <c r="K797" s="10">
        <v>17984.39</v>
      </c>
    </row>
    <row r="798" spans="1:11" x14ac:dyDescent="0.25">
      <c r="A798" s="8" t="s">
        <v>1561</v>
      </c>
      <c r="B798" s="8" t="s">
        <v>949</v>
      </c>
      <c r="C798" s="8" t="s">
        <v>909</v>
      </c>
      <c r="D798" s="8">
        <v>5</v>
      </c>
      <c r="E798" s="8" t="s">
        <v>1562</v>
      </c>
      <c r="F798" s="8" t="s">
        <v>911</v>
      </c>
      <c r="G798" s="8" t="s">
        <v>912</v>
      </c>
      <c r="H798" s="10">
        <v>1</v>
      </c>
      <c r="I798" s="10"/>
      <c r="J798" s="10">
        <v>1</v>
      </c>
      <c r="K798" s="10">
        <v>10838.88</v>
      </c>
    </row>
    <row r="799" spans="1:11" x14ac:dyDescent="0.25">
      <c r="A799" s="8" t="s">
        <v>1563</v>
      </c>
      <c r="B799" s="8" t="s">
        <v>132</v>
      </c>
      <c r="C799" s="8" t="s">
        <v>909</v>
      </c>
      <c r="D799" s="8">
        <v>5</v>
      </c>
      <c r="E799" s="8" t="s">
        <v>1564</v>
      </c>
      <c r="F799" s="8" t="s">
        <v>911</v>
      </c>
      <c r="G799" s="8" t="s">
        <v>912</v>
      </c>
      <c r="H799" s="10">
        <v>1</v>
      </c>
      <c r="I799" s="10"/>
      <c r="J799" s="10">
        <v>1</v>
      </c>
      <c r="K799" s="10">
        <v>17513.34</v>
      </c>
    </row>
    <row r="800" spans="1:11" x14ac:dyDescent="0.25">
      <c r="A800" s="8" t="s">
        <v>1565</v>
      </c>
      <c r="B800" s="8" t="s">
        <v>122</v>
      </c>
      <c r="C800" s="8" t="s">
        <v>909</v>
      </c>
      <c r="D800" s="8">
        <v>5</v>
      </c>
      <c r="E800" s="8" t="s">
        <v>1566</v>
      </c>
      <c r="F800" s="8" t="s">
        <v>911</v>
      </c>
      <c r="G800" s="8" t="s">
        <v>912</v>
      </c>
      <c r="H800" s="10">
        <v>1</v>
      </c>
      <c r="I800" s="10"/>
      <c r="J800" s="10">
        <v>1</v>
      </c>
      <c r="K800" s="10">
        <v>11106.23</v>
      </c>
    </row>
    <row r="801" spans="1:11" x14ac:dyDescent="0.25">
      <c r="A801" s="8" t="s">
        <v>1567</v>
      </c>
      <c r="B801" s="8" t="s">
        <v>122</v>
      </c>
      <c r="C801" s="8" t="s">
        <v>909</v>
      </c>
      <c r="D801" s="8">
        <v>5</v>
      </c>
      <c r="E801" s="8" t="s">
        <v>1568</v>
      </c>
      <c r="F801" s="8" t="s">
        <v>911</v>
      </c>
      <c r="G801" s="8" t="s">
        <v>912</v>
      </c>
      <c r="H801" s="10">
        <v>1</v>
      </c>
      <c r="I801" s="10"/>
      <c r="J801" s="10">
        <v>1</v>
      </c>
      <c r="K801" s="10">
        <v>17704.3</v>
      </c>
    </row>
    <row r="802" spans="1:11" x14ac:dyDescent="0.25">
      <c r="A802" s="8" t="s">
        <v>1569</v>
      </c>
      <c r="B802" s="8" t="s">
        <v>122</v>
      </c>
      <c r="C802" s="8" t="s">
        <v>909</v>
      </c>
      <c r="D802" s="8">
        <v>5</v>
      </c>
      <c r="E802" s="8" t="s">
        <v>1570</v>
      </c>
      <c r="F802" s="8" t="s">
        <v>911</v>
      </c>
      <c r="G802" s="8" t="s">
        <v>912</v>
      </c>
      <c r="H802" s="10">
        <v>1</v>
      </c>
      <c r="I802" s="10"/>
      <c r="J802" s="10">
        <v>1</v>
      </c>
      <c r="K802" s="10">
        <v>17704.3</v>
      </c>
    </row>
    <row r="803" spans="1:11" x14ac:dyDescent="0.25">
      <c r="A803" s="8" t="s">
        <v>1571</v>
      </c>
      <c r="B803" s="8" t="s">
        <v>128</v>
      </c>
      <c r="C803" s="8" t="s">
        <v>909</v>
      </c>
      <c r="D803" s="8">
        <v>5</v>
      </c>
      <c r="E803" s="8" t="s">
        <v>1572</v>
      </c>
      <c r="F803" s="8" t="s">
        <v>911</v>
      </c>
      <c r="G803" s="8" t="s">
        <v>912</v>
      </c>
      <c r="H803" s="10">
        <v>1</v>
      </c>
      <c r="I803" s="10"/>
      <c r="J803" s="10">
        <v>1</v>
      </c>
      <c r="K803" s="10">
        <v>11284.47</v>
      </c>
    </row>
    <row r="804" spans="1:11" x14ac:dyDescent="0.25">
      <c r="A804" s="8" t="s">
        <v>1573</v>
      </c>
      <c r="B804" s="8" t="s">
        <v>120</v>
      </c>
      <c r="C804" s="8" t="s">
        <v>1574</v>
      </c>
      <c r="D804" s="8">
        <v>7</v>
      </c>
      <c r="E804" s="8" t="s">
        <v>1575</v>
      </c>
      <c r="F804" s="8" t="s">
        <v>911</v>
      </c>
      <c r="G804" s="8" t="s">
        <v>1576</v>
      </c>
      <c r="H804" s="10">
        <v>1</v>
      </c>
      <c r="I804" s="10"/>
      <c r="J804" s="10">
        <v>1</v>
      </c>
      <c r="K804" s="10">
        <v>611758.28</v>
      </c>
    </row>
    <row r="805" spans="1:11" x14ac:dyDescent="0.25">
      <c r="A805" s="8" t="s">
        <v>1577</v>
      </c>
      <c r="B805" s="8" t="s">
        <v>120</v>
      </c>
      <c r="C805" s="8" t="s">
        <v>1574</v>
      </c>
      <c r="D805" s="8">
        <v>7</v>
      </c>
      <c r="E805" s="8" t="s">
        <v>1578</v>
      </c>
      <c r="F805" s="8" t="s">
        <v>911</v>
      </c>
      <c r="G805" s="8" t="s">
        <v>1576</v>
      </c>
      <c r="H805" s="10">
        <v>1</v>
      </c>
      <c r="I805" s="10"/>
      <c r="J805" s="10">
        <v>1</v>
      </c>
      <c r="K805" s="10">
        <v>869575.49</v>
      </c>
    </row>
    <row r="806" spans="1:11" x14ac:dyDescent="0.25">
      <c r="A806" s="8" t="s">
        <v>1579</v>
      </c>
      <c r="B806" s="8" t="s">
        <v>116</v>
      </c>
      <c r="C806" s="8" t="s">
        <v>1574</v>
      </c>
      <c r="D806" s="8">
        <v>7</v>
      </c>
      <c r="E806" s="8" t="s">
        <v>1580</v>
      </c>
      <c r="F806" s="8" t="s">
        <v>911</v>
      </c>
      <c r="G806" s="8" t="s">
        <v>1576</v>
      </c>
      <c r="H806" s="10">
        <v>1</v>
      </c>
      <c r="I806" s="10"/>
      <c r="J806" s="10">
        <v>1</v>
      </c>
      <c r="K806" s="10">
        <v>2336170.44</v>
      </c>
    </row>
    <row r="807" spans="1:11" x14ac:dyDescent="0.25">
      <c r="A807" s="8" t="s">
        <v>1581</v>
      </c>
      <c r="B807" s="8" t="s">
        <v>120</v>
      </c>
      <c r="C807" s="8" t="s">
        <v>1574</v>
      </c>
      <c r="D807" s="8">
        <v>7</v>
      </c>
      <c r="E807" s="8" t="s">
        <v>1582</v>
      </c>
      <c r="F807" s="8" t="s">
        <v>911</v>
      </c>
      <c r="G807" s="8" t="s">
        <v>1576</v>
      </c>
      <c r="H807" s="10">
        <v>1</v>
      </c>
      <c r="I807" s="10"/>
      <c r="J807" s="10">
        <v>1</v>
      </c>
      <c r="K807" s="10">
        <v>1877655.56</v>
      </c>
    </row>
    <row r="808" spans="1:11" x14ac:dyDescent="0.25">
      <c r="A808" s="8" t="s">
        <v>1583</v>
      </c>
      <c r="B808" s="8" t="s">
        <v>116</v>
      </c>
      <c r="C808" s="8" t="s">
        <v>1574</v>
      </c>
      <c r="D808" s="8">
        <v>7</v>
      </c>
      <c r="E808" s="8" t="s">
        <v>1584</v>
      </c>
      <c r="F808" s="8" t="s">
        <v>911</v>
      </c>
      <c r="G808" s="8" t="s">
        <v>1576</v>
      </c>
      <c r="H808" s="10">
        <v>1</v>
      </c>
      <c r="I808" s="10"/>
      <c r="J808" s="10">
        <v>1</v>
      </c>
      <c r="K808" s="10">
        <v>2850099.42</v>
      </c>
    </row>
    <row r="809" spans="1:11" x14ac:dyDescent="0.25">
      <c r="A809" s="8" t="s">
        <v>1585</v>
      </c>
      <c r="B809" s="8" t="s">
        <v>118</v>
      </c>
      <c r="C809" s="8" t="s">
        <v>1574</v>
      </c>
      <c r="D809" s="8">
        <v>7</v>
      </c>
      <c r="E809" s="8" t="s">
        <v>1586</v>
      </c>
      <c r="F809" s="8" t="s">
        <v>911</v>
      </c>
      <c r="G809" s="8" t="s">
        <v>1576</v>
      </c>
      <c r="H809" s="10">
        <v>1</v>
      </c>
      <c r="I809" s="10"/>
      <c r="J809" s="10">
        <v>1</v>
      </c>
      <c r="K809" s="10">
        <v>2114359.37</v>
      </c>
    </row>
    <row r="810" spans="1:11" x14ac:dyDescent="0.25">
      <c r="A810" s="8" t="s">
        <v>1587</v>
      </c>
      <c r="B810" s="8" t="s">
        <v>118</v>
      </c>
      <c r="C810" s="8" t="s">
        <v>1574</v>
      </c>
      <c r="D810" s="8">
        <v>7</v>
      </c>
      <c r="E810" s="8" t="s">
        <v>1588</v>
      </c>
      <c r="F810" s="8" t="s">
        <v>911</v>
      </c>
      <c r="G810" s="8" t="s">
        <v>1576</v>
      </c>
      <c r="H810" s="10">
        <v>1</v>
      </c>
      <c r="I810" s="10"/>
      <c r="J810" s="10">
        <v>1</v>
      </c>
      <c r="K810" s="10">
        <v>2520443.98</v>
      </c>
    </row>
    <row r="811" spans="1:11" x14ac:dyDescent="0.25">
      <c r="A811" s="8" t="s">
        <v>1589</v>
      </c>
      <c r="B811" s="8" t="s">
        <v>130</v>
      </c>
      <c r="C811" s="8" t="s">
        <v>1574</v>
      </c>
      <c r="D811" s="8">
        <v>7</v>
      </c>
      <c r="E811" s="8" t="s">
        <v>1590</v>
      </c>
      <c r="F811" s="8" t="s">
        <v>911</v>
      </c>
      <c r="G811" s="8" t="s">
        <v>1576</v>
      </c>
      <c r="H811" s="10">
        <v>1</v>
      </c>
      <c r="I811" s="10"/>
      <c r="J811" s="10">
        <v>1</v>
      </c>
      <c r="K811" s="10">
        <v>487190.61</v>
      </c>
    </row>
    <row r="812" spans="1:11" x14ac:dyDescent="0.25">
      <c r="A812" s="8" t="s">
        <v>1591</v>
      </c>
      <c r="B812" s="8" t="s">
        <v>118</v>
      </c>
      <c r="C812" s="8" t="s">
        <v>909</v>
      </c>
      <c r="D812" s="8">
        <v>5</v>
      </c>
      <c r="E812" s="8" t="s">
        <v>1592</v>
      </c>
      <c r="F812" s="8" t="s">
        <v>911</v>
      </c>
      <c r="G812" s="8" t="s">
        <v>912</v>
      </c>
      <c r="H812" s="10">
        <v>1</v>
      </c>
      <c r="I812" s="10"/>
      <c r="J812" s="10">
        <v>1</v>
      </c>
      <c r="K812" s="10">
        <v>6932.57</v>
      </c>
    </row>
    <row r="813" spans="1:11" x14ac:dyDescent="0.25">
      <c r="A813" s="8" t="s">
        <v>1593</v>
      </c>
      <c r="B813" s="8" t="s">
        <v>116</v>
      </c>
      <c r="C813" s="8" t="s">
        <v>1574</v>
      </c>
      <c r="D813" s="8">
        <v>7</v>
      </c>
      <c r="E813" s="8" t="s">
        <v>1594</v>
      </c>
      <c r="F813" s="8" t="s">
        <v>911</v>
      </c>
      <c r="G813" s="8" t="s">
        <v>1576</v>
      </c>
      <c r="H813" s="10">
        <v>1</v>
      </c>
      <c r="I813" s="10"/>
      <c r="J813" s="10">
        <v>1</v>
      </c>
      <c r="K813" s="10">
        <v>354932.11</v>
      </c>
    </row>
    <row r="814" spans="1:11" x14ac:dyDescent="0.25">
      <c r="A814" s="8" t="s">
        <v>1595</v>
      </c>
      <c r="B814" s="8" t="s">
        <v>116</v>
      </c>
      <c r="C814" s="8" t="s">
        <v>1574</v>
      </c>
      <c r="D814" s="8">
        <v>7</v>
      </c>
      <c r="E814" s="8" t="s">
        <v>1594</v>
      </c>
      <c r="F814" s="8" t="s">
        <v>911</v>
      </c>
      <c r="G814" s="8" t="s">
        <v>1576</v>
      </c>
      <c r="H814" s="10">
        <v>1</v>
      </c>
      <c r="I814" s="10"/>
      <c r="J814" s="10">
        <v>1</v>
      </c>
      <c r="K814" s="10">
        <v>354932.11</v>
      </c>
    </row>
    <row r="815" spans="1:11" x14ac:dyDescent="0.25">
      <c r="A815" s="8" t="s">
        <v>1596</v>
      </c>
      <c r="B815" s="8" t="s">
        <v>116</v>
      </c>
      <c r="C815" s="8" t="s">
        <v>1574</v>
      </c>
      <c r="D815" s="8">
        <v>7</v>
      </c>
      <c r="E815" s="8" t="s">
        <v>1594</v>
      </c>
      <c r="F815" s="8" t="s">
        <v>911</v>
      </c>
      <c r="G815" s="8" t="s">
        <v>1576</v>
      </c>
      <c r="H815" s="10">
        <v>1</v>
      </c>
      <c r="I815" s="10"/>
      <c r="J815" s="10">
        <v>1</v>
      </c>
      <c r="K815" s="10">
        <v>354932.11</v>
      </c>
    </row>
    <row r="816" spans="1:11" x14ac:dyDescent="0.25">
      <c r="A816" s="8" t="s">
        <v>1597</v>
      </c>
      <c r="B816" s="8" t="s">
        <v>116</v>
      </c>
      <c r="C816" s="8" t="s">
        <v>1574</v>
      </c>
      <c r="D816" s="8">
        <v>7</v>
      </c>
      <c r="E816" s="8" t="s">
        <v>1594</v>
      </c>
      <c r="F816" s="8" t="s">
        <v>911</v>
      </c>
      <c r="G816" s="8" t="s">
        <v>1576</v>
      </c>
      <c r="H816" s="10">
        <v>1</v>
      </c>
      <c r="I816" s="10"/>
      <c r="J816" s="10">
        <v>1</v>
      </c>
      <c r="K816" s="10">
        <v>359200.72</v>
      </c>
    </row>
    <row r="817" spans="1:11" x14ac:dyDescent="0.25">
      <c r="A817" s="8" t="s">
        <v>1598</v>
      </c>
      <c r="B817" s="8" t="s">
        <v>120</v>
      </c>
      <c r="C817" s="8" t="s">
        <v>1574</v>
      </c>
      <c r="D817" s="8">
        <v>7</v>
      </c>
      <c r="E817" s="8" t="s">
        <v>1599</v>
      </c>
      <c r="F817" s="8" t="s">
        <v>911</v>
      </c>
      <c r="G817" s="8" t="s">
        <v>1576</v>
      </c>
      <c r="H817" s="10">
        <v>1</v>
      </c>
      <c r="I817" s="10"/>
      <c r="J817" s="10">
        <v>1</v>
      </c>
      <c r="K817" s="10">
        <v>402898.12</v>
      </c>
    </row>
    <row r="818" spans="1:11" x14ac:dyDescent="0.25">
      <c r="A818" s="8" t="s">
        <v>1600</v>
      </c>
      <c r="B818" s="8" t="s">
        <v>120</v>
      </c>
      <c r="C818" s="8" t="s">
        <v>1574</v>
      </c>
      <c r="D818" s="8">
        <v>7</v>
      </c>
      <c r="E818" s="8" t="s">
        <v>1599</v>
      </c>
      <c r="F818" s="8" t="s">
        <v>911</v>
      </c>
      <c r="G818" s="8" t="s">
        <v>1576</v>
      </c>
      <c r="H818" s="10">
        <v>1</v>
      </c>
      <c r="I818" s="10"/>
      <c r="J818" s="10">
        <v>1</v>
      </c>
      <c r="K818" s="10">
        <v>402898.12</v>
      </c>
    </row>
    <row r="819" spans="1:11" x14ac:dyDescent="0.25">
      <c r="A819" s="8" t="s">
        <v>1601</v>
      </c>
      <c r="B819" s="8" t="s">
        <v>120</v>
      </c>
      <c r="C819" s="8" t="s">
        <v>1574</v>
      </c>
      <c r="D819" s="8">
        <v>7</v>
      </c>
      <c r="E819" s="8" t="s">
        <v>1599</v>
      </c>
      <c r="F819" s="8" t="s">
        <v>911</v>
      </c>
      <c r="G819" s="8" t="s">
        <v>1576</v>
      </c>
      <c r="H819" s="10">
        <v>1</v>
      </c>
      <c r="I819" s="10"/>
      <c r="J819" s="10">
        <v>1</v>
      </c>
      <c r="K819" s="10">
        <v>402898.12</v>
      </c>
    </row>
    <row r="820" spans="1:11" x14ac:dyDescent="0.25">
      <c r="A820" s="8" t="s">
        <v>1602</v>
      </c>
      <c r="B820" s="8" t="s">
        <v>120</v>
      </c>
      <c r="C820" s="8" t="s">
        <v>1574</v>
      </c>
      <c r="D820" s="8">
        <v>7</v>
      </c>
      <c r="E820" s="8" t="s">
        <v>1599</v>
      </c>
      <c r="F820" s="8" t="s">
        <v>911</v>
      </c>
      <c r="G820" s="8" t="s">
        <v>1576</v>
      </c>
      <c r="H820" s="10">
        <v>1</v>
      </c>
      <c r="I820" s="10"/>
      <c r="J820" s="10">
        <v>1</v>
      </c>
      <c r="K820" s="10">
        <v>402898.12</v>
      </c>
    </row>
    <row r="821" spans="1:11" x14ac:dyDescent="0.25">
      <c r="A821" s="8" t="s">
        <v>1603</v>
      </c>
      <c r="B821" s="8" t="s">
        <v>118</v>
      </c>
      <c r="C821" s="8" t="s">
        <v>1574</v>
      </c>
      <c r="D821" s="8">
        <v>7</v>
      </c>
      <c r="E821" s="8" t="s">
        <v>1604</v>
      </c>
      <c r="F821" s="8" t="s">
        <v>911</v>
      </c>
      <c r="G821" s="8" t="s">
        <v>1576</v>
      </c>
      <c r="H821" s="10">
        <v>1</v>
      </c>
      <c r="I821" s="10"/>
      <c r="J821" s="10">
        <v>1</v>
      </c>
      <c r="K821" s="10">
        <v>610740.51</v>
      </c>
    </row>
    <row r="822" spans="1:11" x14ac:dyDescent="0.25">
      <c r="A822" s="8" t="s">
        <v>1605</v>
      </c>
      <c r="B822" s="8" t="s">
        <v>118</v>
      </c>
      <c r="C822" s="8" t="s">
        <v>1574</v>
      </c>
      <c r="D822" s="8">
        <v>7</v>
      </c>
      <c r="E822" s="8" t="s">
        <v>1604</v>
      </c>
      <c r="F822" s="8" t="s">
        <v>911</v>
      </c>
      <c r="G822" s="8" t="s">
        <v>1576</v>
      </c>
      <c r="H822" s="10">
        <v>1</v>
      </c>
      <c r="I822" s="10"/>
      <c r="J822" s="10">
        <v>1</v>
      </c>
      <c r="K822" s="10">
        <v>610740.51</v>
      </c>
    </row>
    <row r="823" spans="1:11" x14ac:dyDescent="0.25">
      <c r="A823" s="8" t="s">
        <v>1606</v>
      </c>
      <c r="B823" s="8" t="s">
        <v>118</v>
      </c>
      <c r="C823" s="8" t="s">
        <v>1574</v>
      </c>
      <c r="D823" s="8">
        <v>7</v>
      </c>
      <c r="E823" s="8" t="s">
        <v>1604</v>
      </c>
      <c r="F823" s="8" t="s">
        <v>911</v>
      </c>
      <c r="G823" s="8" t="s">
        <v>1576</v>
      </c>
      <c r="H823" s="10">
        <v>1</v>
      </c>
      <c r="I823" s="10"/>
      <c r="J823" s="10">
        <v>1</v>
      </c>
      <c r="K823" s="10">
        <v>617846.67000000004</v>
      </c>
    </row>
    <row r="824" spans="1:11" x14ac:dyDescent="0.25">
      <c r="A824" s="8" t="s">
        <v>1607</v>
      </c>
      <c r="B824" s="8" t="s">
        <v>130</v>
      </c>
      <c r="C824" s="8" t="s">
        <v>909</v>
      </c>
      <c r="D824" s="8">
        <v>5</v>
      </c>
      <c r="E824" s="8" t="s">
        <v>1608</v>
      </c>
      <c r="F824" s="8" t="s">
        <v>911</v>
      </c>
      <c r="G824" s="8" t="s">
        <v>912</v>
      </c>
      <c r="H824" s="10">
        <v>1</v>
      </c>
      <c r="I824" s="10"/>
      <c r="J824" s="10">
        <v>1</v>
      </c>
      <c r="K824" s="10">
        <v>57917.25</v>
      </c>
    </row>
    <row r="825" spans="1:11" x14ac:dyDescent="0.25">
      <c r="A825" s="8" t="s">
        <v>1609</v>
      </c>
      <c r="B825" s="8" t="s">
        <v>72</v>
      </c>
      <c r="C825" s="8" t="s">
        <v>1574</v>
      </c>
      <c r="D825" s="8">
        <v>7</v>
      </c>
      <c r="E825" s="8" t="s">
        <v>1610</v>
      </c>
      <c r="F825" s="8" t="s">
        <v>911</v>
      </c>
      <c r="G825" s="8" t="s">
        <v>1576</v>
      </c>
      <c r="H825" s="10">
        <v>1</v>
      </c>
      <c r="I825" s="10"/>
      <c r="J825" s="10">
        <v>1</v>
      </c>
      <c r="K825" s="10">
        <v>28607.06</v>
      </c>
    </row>
    <row r="826" spans="1:11" x14ac:dyDescent="0.25">
      <c r="A826" s="8" t="s">
        <v>1611</v>
      </c>
      <c r="B826" s="8" t="s">
        <v>122</v>
      </c>
      <c r="C826" s="8" t="s">
        <v>909</v>
      </c>
      <c r="D826" s="8">
        <v>5</v>
      </c>
      <c r="E826" s="8" t="s">
        <v>1612</v>
      </c>
      <c r="F826" s="8" t="s">
        <v>911</v>
      </c>
      <c r="G826" s="8" t="s">
        <v>912</v>
      </c>
      <c r="H826" s="10">
        <v>1</v>
      </c>
      <c r="I826" s="10"/>
      <c r="J826" s="10">
        <v>1</v>
      </c>
      <c r="K826" s="10">
        <v>11418.34</v>
      </c>
    </row>
    <row r="827" spans="1:11" x14ac:dyDescent="0.25">
      <c r="A827" s="8" t="s">
        <v>1613</v>
      </c>
      <c r="B827" s="8" t="s">
        <v>122</v>
      </c>
      <c r="C827" s="8" t="s">
        <v>909</v>
      </c>
      <c r="D827" s="8">
        <v>5</v>
      </c>
      <c r="E827" s="8" t="s">
        <v>1614</v>
      </c>
      <c r="F827" s="8" t="s">
        <v>911</v>
      </c>
      <c r="G827" s="8" t="s">
        <v>912</v>
      </c>
      <c r="H827" s="10">
        <v>1</v>
      </c>
      <c r="I827" s="10"/>
      <c r="J827" s="10">
        <v>1</v>
      </c>
      <c r="K827" s="10">
        <v>11418.34</v>
      </c>
    </row>
    <row r="828" spans="1:11" x14ac:dyDescent="0.25">
      <c r="A828" s="8" t="s">
        <v>1615</v>
      </c>
      <c r="B828" s="8" t="s">
        <v>128</v>
      </c>
      <c r="C828" s="8" t="s">
        <v>909</v>
      </c>
      <c r="D828" s="8">
        <v>5</v>
      </c>
      <c r="E828" s="8" t="s">
        <v>1616</v>
      </c>
      <c r="F828" s="8" t="s">
        <v>911</v>
      </c>
      <c r="G828" s="8" t="s">
        <v>912</v>
      </c>
      <c r="H828" s="10">
        <v>1</v>
      </c>
      <c r="I828" s="10"/>
      <c r="J828" s="10">
        <v>1</v>
      </c>
      <c r="K828" s="10">
        <v>4537.1000000000004</v>
      </c>
    </row>
    <row r="829" spans="1:11" x14ac:dyDescent="0.25">
      <c r="A829" s="8" t="s">
        <v>1617</v>
      </c>
      <c r="B829" s="8" t="s">
        <v>122</v>
      </c>
      <c r="C829" s="8" t="s">
        <v>909</v>
      </c>
      <c r="D829" s="8">
        <v>5</v>
      </c>
      <c r="E829" s="8" t="s">
        <v>1618</v>
      </c>
      <c r="F829" s="8" t="s">
        <v>911</v>
      </c>
      <c r="G829" s="8" t="s">
        <v>912</v>
      </c>
      <c r="H829" s="10">
        <v>1</v>
      </c>
      <c r="I829" s="10"/>
      <c r="J829" s="10">
        <v>1</v>
      </c>
      <c r="K829" s="10">
        <v>2278.1999999999998</v>
      </c>
    </row>
    <row r="830" spans="1:11" x14ac:dyDescent="0.25">
      <c r="A830" s="8" t="s">
        <v>1619</v>
      </c>
      <c r="B830" s="8" t="s">
        <v>122</v>
      </c>
      <c r="C830" s="8" t="s">
        <v>909</v>
      </c>
      <c r="D830" s="8">
        <v>5</v>
      </c>
      <c r="E830" s="8" t="s">
        <v>1620</v>
      </c>
      <c r="F830" s="8" t="s">
        <v>911</v>
      </c>
      <c r="G830" s="8" t="s">
        <v>912</v>
      </c>
      <c r="H830" s="10">
        <v>1</v>
      </c>
      <c r="I830" s="10"/>
      <c r="J830" s="10">
        <v>1</v>
      </c>
      <c r="K830" s="10">
        <v>2278.1999999999998</v>
      </c>
    </row>
    <row r="831" spans="1:11" x14ac:dyDescent="0.25">
      <c r="A831" s="8" t="s">
        <v>1621</v>
      </c>
      <c r="B831" s="8" t="s">
        <v>122</v>
      </c>
      <c r="C831" s="8" t="s">
        <v>909</v>
      </c>
      <c r="D831" s="8">
        <v>5</v>
      </c>
      <c r="E831" s="8" t="s">
        <v>1622</v>
      </c>
      <c r="F831" s="8" t="s">
        <v>911</v>
      </c>
      <c r="G831" s="8" t="s">
        <v>912</v>
      </c>
      <c r="H831" s="10">
        <v>1</v>
      </c>
      <c r="I831" s="10"/>
      <c r="J831" s="10">
        <v>1</v>
      </c>
      <c r="K831" s="10">
        <v>2278.1999999999998</v>
      </c>
    </row>
    <row r="832" spans="1:11" x14ac:dyDescent="0.25">
      <c r="A832" s="8" t="s">
        <v>1623</v>
      </c>
      <c r="B832" s="8" t="s">
        <v>122</v>
      </c>
      <c r="C832" s="8" t="s">
        <v>909</v>
      </c>
      <c r="D832" s="8">
        <v>5</v>
      </c>
      <c r="E832" s="8" t="s">
        <v>1624</v>
      </c>
      <c r="F832" s="8" t="s">
        <v>911</v>
      </c>
      <c r="G832" s="8" t="s">
        <v>912</v>
      </c>
      <c r="H832" s="10">
        <v>1</v>
      </c>
      <c r="I832" s="10"/>
      <c r="J832" s="10">
        <v>1</v>
      </c>
      <c r="K832" s="10">
        <v>2278.1999999999998</v>
      </c>
    </row>
    <row r="833" spans="1:11" x14ac:dyDescent="0.25">
      <c r="A833" s="8" t="s">
        <v>1625</v>
      </c>
      <c r="B833" s="8" t="s">
        <v>128</v>
      </c>
      <c r="C833" s="8" t="s">
        <v>909</v>
      </c>
      <c r="D833" s="8">
        <v>5</v>
      </c>
      <c r="E833" s="8" t="s">
        <v>1626</v>
      </c>
      <c r="F833" s="8" t="s">
        <v>911</v>
      </c>
      <c r="G833" s="8" t="s">
        <v>912</v>
      </c>
      <c r="H833" s="10">
        <v>1</v>
      </c>
      <c r="I833" s="10"/>
      <c r="J833" s="10">
        <v>1</v>
      </c>
      <c r="K833" s="10">
        <v>1276.06</v>
      </c>
    </row>
    <row r="834" spans="1:11" x14ac:dyDescent="0.25">
      <c r="A834" s="8" t="s">
        <v>1627</v>
      </c>
      <c r="B834" s="8" t="s">
        <v>136</v>
      </c>
      <c r="C834" s="8" t="s">
        <v>909</v>
      </c>
      <c r="D834" s="8">
        <v>5</v>
      </c>
      <c r="E834" s="8" t="s">
        <v>1628</v>
      </c>
      <c r="F834" s="8" t="s">
        <v>911</v>
      </c>
      <c r="G834" s="8" t="s">
        <v>912</v>
      </c>
      <c r="H834" s="10">
        <v>1</v>
      </c>
      <c r="I834" s="10"/>
      <c r="J834" s="10">
        <v>1</v>
      </c>
      <c r="K834" s="10">
        <v>14143.62</v>
      </c>
    </row>
    <row r="835" spans="1:11" x14ac:dyDescent="0.25">
      <c r="A835" s="8" t="s">
        <v>1629</v>
      </c>
      <c r="B835" s="8" t="s">
        <v>136</v>
      </c>
      <c r="C835" s="8" t="s">
        <v>909</v>
      </c>
      <c r="D835" s="8">
        <v>5</v>
      </c>
      <c r="E835" s="8" t="s">
        <v>1630</v>
      </c>
      <c r="F835" s="8" t="s">
        <v>911</v>
      </c>
      <c r="G835" s="8" t="s">
        <v>912</v>
      </c>
      <c r="H835" s="10">
        <v>1</v>
      </c>
      <c r="I835" s="10"/>
      <c r="J835" s="10">
        <v>1</v>
      </c>
      <c r="K835" s="10">
        <v>14143.62</v>
      </c>
    </row>
    <row r="836" spans="1:11" x14ac:dyDescent="0.25">
      <c r="A836" s="8" t="s">
        <v>1631</v>
      </c>
      <c r="B836" s="8" t="s">
        <v>136</v>
      </c>
      <c r="C836" s="8" t="s">
        <v>909</v>
      </c>
      <c r="D836" s="8">
        <v>5</v>
      </c>
      <c r="E836" s="8" t="s">
        <v>1632</v>
      </c>
      <c r="F836" s="8" t="s">
        <v>911</v>
      </c>
      <c r="G836" s="8" t="s">
        <v>912</v>
      </c>
      <c r="H836" s="10">
        <v>1</v>
      </c>
      <c r="I836" s="10"/>
      <c r="J836" s="10">
        <v>1</v>
      </c>
      <c r="K836" s="10">
        <v>14143.62</v>
      </c>
    </row>
    <row r="837" spans="1:11" x14ac:dyDescent="0.25">
      <c r="A837" s="8" t="s">
        <v>1633</v>
      </c>
      <c r="B837" s="8" t="s">
        <v>136</v>
      </c>
      <c r="C837" s="8" t="s">
        <v>909</v>
      </c>
      <c r="D837" s="8">
        <v>5</v>
      </c>
      <c r="E837" s="8" t="s">
        <v>1634</v>
      </c>
      <c r="F837" s="8" t="s">
        <v>911</v>
      </c>
      <c r="G837" s="8" t="s">
        <v>912</v>
      </c>
      <c r="H837" s="10">
        <v>1</v>
      </c>
      <c r="I837" s="10"/>
      <c r="J837" s="10">
        <v>1</v>
      </c>
      <c r="K837" s="10">
        <v>24798.48</v>
      </c>
    </row>
    <row r="838" spans="1:11" x14ac:dyDescent="0.25">
      <c r="A838" s="8" t="s">
        <v>1635</v>
      </c>
      <c r="B838" s="8" t="s">
        <v>136</v>
      </c>
      <c r="C838" s="8" t="s">
        <v>909</v>
      </c>
      <c r="D838" s="8">
        <v>5</v>
      </c>
      <c r="E838" s="8" t="s">
        <v>1636</v>
      </c>
      <c r="F838" s="8" t="s">
        <v>911</v>
      </c>
      <c r="G838" s="8" t="s">
        <v>912</v>
      </c>
      <c r="H838" s="10">
        <v>1</v>
      </c>
      <c r="I838" s="10"/>
      <c r="J838" s="10">
        <v>1</v>
      </c>
      <c r="K838" s="10">
        <v>24798.48</v>
      </c>
    </row>
    <row r="839" spans="1:11" x14ac:dyDescent="0.25">
      <c r="A839" s="8" t="s">
        <v>1637</v>
      </c>
      <c r="B839" s="8" t="s">
        <v>136</v>
      </c>
      <c r="C839" s="8" t="s">
        <v>909</v>
      </c>
      <c r="D839" s="8">
        <v>5</v>
      </c>
      <c r="E839" s="8" t="s">
        <v>1638</v>
      </c>
      <c r="F839" s="8" t="s">
        <v>911</v>
      </c>
      <c r="G839" s="8" t="s">
        <v>912</v>
      </c>
      <c r="H839" s="10">
        <v>1</v>
      </c>
      <c r="I839" s="10"/>
      <c r="J839" s="10">
        <v>1</v>
      </c>
      <c r="K839" s="10">
        <v>24798.48</v>
      </c>
    </row>
    <row r="840" spans="1:11" x14ac:dyDescent="0.25">
      <c r="A840" s="8" t="s">
        <v>1639</v>
      </c>
      <c r="B840" s="8" t="s">
        <v>136</v>
      </c>
      <c r="C840" s="8" t="s">
        <v>909</v>
      </c>
      <c r="D840" s="8">
        <v>5</v>
      </c>
      <c r="E840" s="8" t="s">
        <v>1640</v>
      </c>
      <c r="F840" s="8" t="s">
        <v>911</v>
      </c>
      <c r="G840" s="8" t="s">
        <v>912</v>
      </c>
      <c r="H840" s="10">
        <v>1</v>
      </c>
      <c r="I840" s="10"/>
      <c r="J840" s="10">
        <v>1</v>
      </c>
      <c r="K840" s="10">
        <v>24798.48</v>
      </c>
    </row>
    <row r="841" spans="1:11" x14ac:dyDescent="0.25">
      <c r="A841" s="8" t="s">
        <v>1641</v>
      </c>
      <c r="B841" s="8" t="s">
        <v>136</v>
      </c>
      <c r="C841" s="8" t="s">
        <v>909</v>
      </c>
      <c r="D841" s="8">
        <v>5</v>
      </c>
      <c r="E841" s="8" t="s">
        <v>1642</v>
      </c>
      <c r="F841" s="8" t="s">
        <v>911</v>
      </c>
      <c r="G841" s="8" t="s">
        <v>912</v>
      </c>
      <c r="H841" s="10">
        <v>1</v>
      </c>
      <c r="I841" s="10"/>
      <c r="J841" s="10">
        <v>1</v>
      </c>
      <c r="K841" s="10">
        <v>24798.48</v>
      </c>
    </row>
    <row r="842" spans="1:11" x14ac:dyDescent="0.25">
      <c r="A842" s="8" t="s">
        <v>1643</v>
      </c>
      <c r="B842" s="8" t="s">
        <v>136</v>
      </c>
      <c r="C842" s="8" t="s">
        <v>909</v>
      </c>
      <c r="D842" s="8">
        <v>5</v>
      </c>
      <c r="E842" s="8" t="s">
        <v>1644</v>
      </c>
      <c r="F842" s="8" t="s">
        <v>911</v>
      </c>
      <c r="G842" s="8" t="s">
        <v>912</v>
      </c>
      <c r="H842" s="10">
        <v>1</v>
      </c>
      <c r="I842" s="10"/>
      <c r="J842" s="10">
        <v>1</v>
      </c>
      <c r="K842" s="10">
        <v>24798.48</v>
      </c>
    </row>
    <row r="843" spans="1:11" x14ac:dyDescent="0.25">
      <c r="A843" s="8" t="s">
        <v>1645</v>
      </c>
      <c r="B843" s="8" t="s">
        <v>136</v>
      </c>
      <c r="C843" s="8" t="s">
        <v>909</v>
      </c>
      <c r="D843" s="8">
        <v>5</v>
      </c>
      <c r="E843" s="8" t="s">
        <v>1646</v>
      </c>
      <c r="F843" s="8" t="s">
        <v>911</v>
      </c>
      <c r="G843" s="8" t="s">
        <v>912</v>
      </c>
      <c r="H843" s="10">
        <v>1</v>
      </c>
      <c r="I843" s="10"/>
      <c r="J843" s="10">
        <v>1</v>
      </c>
      <c r="K843" s="10">
        <v>3861.55</v>
      </c>
    </row>
    <row r="844" spans="1:11" x14ac:dyDescent="0.25">
      <c r="A844" s="8" t="s">
        <v>1647</v>
      </c>
      <c r="B844" s="8" t="s">
        <v>136</v>
      </c>
      <c r="C844" s="8" t="s">
        <v>909</v>
      </c>
      <c r="D844" s="8">
        <v>5</v>
      </c>
      <c r="E844" s="8" t="s">
        <v>1648</v>
      </c>
      <c r="F844" s="8" t="s">
        <v>911</v>
      </c>
      <c r="G844" s="8" t="s">
        <v>912</v>
      </c>
      <c r="H844" s="10">
        <v>1</v>
      </c>
      <c r="I844" s="10"/>
      <c r="J844" s="10">
        <v>1</v>
      </c>
      <c r="K844" s="10">
        <v>3861.55</v>
      </c>
    </row>
    <row r="845" spans="1:11" x14ac:dyDescent="0.25">
      <c r="A845" s="8" t="s">
        <v>1649</v>
      </c>
      <c r="B845" s="8" t="s">
        <v>1650</v>
      </c>
      <c r="C845" s="8" t="s">
        <v>909</v>
      </c>
      <c r="D845" s="8">
        <v>5</v>
      </c>
      <c r="E845" s="8" t="s">
        <v>1651</v>
      </c>
      <c r="F845" s="8" t="s">
        <v>911</v>
      </c>
      <c r="G845" s="8" t="s">
        <v>912</v>
      </c>
      <c r="H845" s="10">
        <v>1</v>
      </c>
      <c r="I845" s="10"/>
      <c r="J845" s="10">
        <v>1</v>
      </c>
      <c r="K845" s="10">
        <v>2067.92</v>
      </c>
    </row>
    <row r="846" spans="1:11" x14ac:dyDescent="0.25">
      <c r="A846" s="8" t="s">
        <v>1652</v>
      </c>
      <c r="B846" s="8" t="s">
        <v>120</v>
      </c>
      <c r="C846" s="8" t="s">
        <v>909</v>
      </c>
      <c r="D846" s="8">
        <v>5</v>
      </c>
      <c r="E846" s="8" t="s">
        <v>1653</v>
      </c>
      <c r="F846" s="8" t="s">
        <v>911</v>
      </c>
      <c r="G846" s="8" t="s">
        <v>912</v>
      </c>
      <c r="H846" s="10">
        <v>1</v>
      </c>
      <c r="I846" s="10"/>
      <c r="J846" s="10">
        <v>1</v>
      </c>
      <c r="K846" s="10">
        <v>2079.5700000000002</v>
      </c>
    </row>
    <row r="847" spans="1:11" x14ac:dyDescent="0.25">
      <c r="A847" s="8" t="s">
        <v>1654</v>
      </c>
      <c r="B847" s="8" t="s">
        <v>1655</v>
      </c>
      <c r="C847" s="8" t="s">
        <v>909</v>
      </c>
      <c r="D847" s="8">
        <v>5</v>
      </c>
      <c r="E847" s="8" t="s">
        <v>1656</v>
      </c>
      <c r="F847" s="8" t="s">
        <v>911</v>
      </c>
      <c r="G847" s="8" t="s">
        <v>912</v>
      </c>
      <c r="H847" s="10">
        <v>1</v>
      </c>
      <c r="I847" s="10"/>
      <c r="J847" s="10">
        <v>1</v>
      </c>
      <c r="K847" s="10">
        <v>2079.5700000000002</v>
      </c>
    </row>
    <row r="848" spans="1:11" x14ac:dyDescent="0.25">
      <c r="A848" s="8" t="s">
        <v>1657</v>
      </c>
      <c r="B848" s="8" t="s">
        <v>116</v>
      </c>
      <c r="C848" s="8" t="s">
        <v>909</v>
      </c>
      <c r="D848" s="8">
        <v>5</v>
      </c>
      <c r="E848" s="8" t="s">
        <v>1658</v>
      </c>
      <c r="F848" s="8" t="s">
        <v>911</v>
      </c>
      <c r="G848" s="8" t="s">
        <v>912</v>
      </c>
      <c r="H848" s="10">
        <v>1</v>
      </c>
      <c r="I848" s="10"/>
      <c r="J848" s="10">
        <v>1</v>
      </c>
      <c r="K848" s="10">
        <v>9787.15</v>
      </c>
    </row>
    <row r="849" spans="1:11" x14ac:dyDescent="0.25">
      <c r="A849" s="8" t="s">
        <v>1659</v>
      </c>
      <c r="B849" s="8" t="s">
        <v>120</v>
      </c>
      <c r="C849" s="8" t="s">
        <v>909</v>
      </c>
      <c r="D849" s="8">
        <v>5</v>
      </c>
      <c r="E849" s="8" t="s">
        <v>1660</v>
      </c>
      <c r="F849" s="8" t="s">
        <v>911</v>
      </c>
      <c r="G849" s="8" t="s">
        <v>912</v>
      </c>
      <c r="H849" s="10">
        <v>1</v>
      </c>
      <c r="I849" s="10"/>
      <c r="J849" s="10">
        <v>1</v>
      </c>
      <c r="K849" s="10">
        <v>2733.84</v>
      </c>
    </row>
    <row r="850" spans="1:11" x14ac:dyDescent="0.25">
      <c r="A850" s="8" t="s">
        <v>1661</v>
      </c>
      <c r="B850" s="8" t="s">
        <v>120</v>
      </c>
      <c r="C850" s="8" t="s">
        <v>909</v>
      </c>
      <c r="D850" s="8">
        <v>5</v>
      </c>
      <c r="E850" s="8" t="s">
        <v>1662</v>
      </c>
      <c r="F850" s="8" t="s">
        <v>911</v>
      </c>
      <c r="G850" s="8" t="s">
        <v>912</v>
      </c>
      <c r="H850" s="10">
        <v>1</v>
      </c>
      <c r="I850" s="10"/>
      <c r="J850" s="10">
        <v>1</v>
      </c>
      <c r="K850" s="10">
        <v>2733.84</v>
      </c>
    </row>
    <row r="851" spans="1:11" x14ac:dyDescent="0.25">
      <c r="A851" s="8" t="s">
        <v>1663</v>
      </c>
      <c r="B851" s="8" t="s">
        <v>120</v>
      </c>
      <c r="C851" s="8" t="s">
        <v>909</v>
      </c>
      <c r="D851" s="8">
        <v>5</v>
      </c>
      <c r="E851" s="8" t="s">
        <v>1664</v>
      </c>
      <c r="F851" s="8" t="s">
        <v>911</v>
      </c>
      <c r="G851" s="8" t="s">
        <v>912</v>
      </c>
      <c r="H851" s="10">
        <v>1</v>
      </c>
      <c r="I851" s="10"/>
      <c r="J851" s="10">
        <v>1</v>
      </c>
      <c r="K851" s="10">
        <v>2733.84</v>
      </c>
    </row>
    <row r="852" spans="1:11" x14ac:dyDescent="0.25">
      <c r="A852" s="8" t="s">
        <v>1665</v>
      </c>
      <c r="B852" s="8" t="s">
        <v>120</v>
      </c>
      <c r="C852" s="8" t="s">
        <v>909</v>
      </c>
      <c r="D852" s="8">
        <v>5</v>
      </c>
      <c r="E852" s="8" t="s">
        <v>1666</v>
      </c>
      <c r="F852" s="8" t="s">
        <v>911</v>
      </c>
      <c r="G852" s="8" t="s">
        <v>912</v>
      </c>
      <c r="H852" s="10">
        <v>1</v>
      </c>
      <c r="I852" s="10"/>
      <c r="J852" s="10">
        <v>1</v>
      </c>
      <c r="K852" s="10">
        <v>2733.84</v>
      </c>
    </row>
    <row r="853" spans="1:11" x14ac:dyDescent="0.25">
      <c r="A853" s="8" t="s">
        <v>1667</v>
      </c>
      <c r="B853" s="8" t="s">
        <v>138</v>
      </c>
      <c r="C853" s="8" t="s">
        <v>909</v>
      </c>
      <c r="D853" s="8">
        <v>5</v>
      </c>
      <c r="E853" s="8" t="s">
        <v>1668</v>
      </c>
      <c r="F853" s="8" t="s">
        <v>911</v>
      </c>
      <c r="G853" s="8" t="s">
        <v>912</v>
      </c>
      <c r="H853" s="10">
        <v>1</v>
      </c>
      <c r="I853" s="10"/>
      <c r="J853" s="10">
        <v>1</v>
      </c>
      <c r="K853" s="10">
        <v>146319.24</v>
      </c>
    </row>
    <row r="854" spans="1:11" x14ac:dyDescent="0.25">
      <c r="A854" s="8" t="s">
        <v>1669</v>
      </c>
      <c r="B854" s="8" t="s">
        <v>138</v>
      </c>
      <c r="C854" s="8" t="s">
        <v>909</v>
      </c>
      <c r="D854" s="8">
        <v>5</v>
      </c>
      <c r="E854" s="8" t="s">
        <v>1670</v>
      </c>
      <c r="F854" s="8" t="s">
        <v>911</v>
      </c>
      <c r="G854" s="8" t="s">
        <v>912</v>
      </c>
      <c r="H854" s="10">
        <v>1</v>
      </c>
      <c r="I854" s="10"/>
      <c r="J854" s="10">
        <v>1</v>
      </c>
      <c r="K854" s="10">
        <v>146319.24</v>
      </c>
    </row>
    <row r="855" spans="1:11" x14ac:dyDescent="0.25">
      <c r="A855" s="8" t="s">
        <v>1671</v>
      </c>
      <c r="B855" s="8" t="s">
        <v>138</v>
      </c>
      <c r="C855" s="8" t="s">
        <v>909</v>
      </c>
      <c r="D855" s="8">
        <v>5</v>
      </c>
      <c r="E855" s="8" t="s">
        <v>1672</v>
      </c>
      <c r="F855" s="8" t="s">
        <v>911</v>
      </c>
      <c r="G855" s="8" t="s">
        <v>912</v>
      </c>
      <c r="H855" s="10">
        <v>1</v>
      </c>
      <c r="I855" s="10"/>
      <c r="J855" s="10">
        <v>1</v>
      </c>
      <c r="K855" s="10">
        <v>146319.24</v>
      </c>
    </row>
    <row r="856" spans="1:11" x14ac:dyDescent="0.25">
      <c r="A856" s="8" t="s">
        <v>1673</v>
      </c>
      <c r="B856" s="8" t="s">
        <v>118</v>
      </c>
      <c r="C856" s="8" t="s">
        <v>918</v>
      </c>
      <c r="D856" s="8">
        <v>6</v>
      </c>
      <c r="E856" s="8" t="s">
        <v>1674</v>
      </c>
      <c r="F856" s="8" t="s">
        <v>911</v>
      </c>
      <c r="G856" s="8" t="s">
        <v>920</v>
      </c>
      <c r="H856" s="10">
        <v>1</v>
      </c>
      <c r="I856" s="10"/>
      <c r="J856" s="10">
        <v>1</v>
      </c>
      <c r="K856" s="10">
        <v>67038.05</v>
      </c>
    </row>
    <row r="857" spans="1:11" x14ac:dyDescent="0.25">
      <c r="A857" s="8" t="s">
        <v>1675</v>
      </c>
      <c r="B857" s="8" t="s">
        <v>120</v>
      </c>
      <c r="C857" s="8" t="s">
        <v>918</v>
      </c>
      <c r="D857" s="8">
        <v>6</v>
      </c>
      <c r="E857" s="8" t="s">
        <v>1676</v>
      </c>
      <c r="F857" s="8" t="s">
        <v>911</v>
      </c>
      <c r="G857" s="8" t="s">
        <v>920</v>
      </c>
      <c r="H857" s="10">
        <v>1</v>
      </c>
      <c r="I857" s="10"/>
      <c r="J857" s="10">
        <v>1</v>
      </c>
      <c r="K857" s="10">
        <v>33519.03</v>
      </c>
    </row>
    <row r="858" spans="1:11" x14ac:dyDescent="0.25">
      <c r="A858" s="8" t="s">
        <v>1677</v>
      </c>
      <c r="B858" s="8" t="s">
        <v>120</v>
      </c>
      <c r="C858" s="8" t="s">
        <v>918</v>
      </c>
      <c r="D858" s="8">
        <v>6</v>
      </c>
      <c r="E858" s="8" t="s">
        <v>1678</v>
      </c>
      <c r="F858" s="8" t="s">
        <v>911</v>
      </c>
      <c r="G858" s="8" t="s">
        <v>920</v>
      </c>
      <c r="H858" s="10">
        <v>1</v>
      </c>
      <c r="I858" s="10"/>
      <c r="J858" s="10">
        <v>1</v>
      </c>
      <c r="K858" s="10">
        <v>17589.04</v>
      </c>
    </row>
    <row r="859" spans="1:11" x14ac:dyDescent="0.25">
      <c r="A859" s="8" t="s">
        <v>1679</v>
      </c>
      <c r="B859" s="8" t="s">
        <v>120</v>
      </c>
      <c r="C859" s="8" t="s">
        <v>918</v>
      </c>
      <c r="D859" s="8">
        <v>6</v>
      </c>
      <c r="E859" s="8" t="s">
        <v>1678</v>
      </c>
      <c r="F859" s="8" t="s">
        <v>911</v>
      </c>
      <c r="G859" s="8" t="s">
        <v>920</v>
      </c>
      <c r="H859" s="10">
        <v>1</v>
      </c>
      <c r="I859" s="10"/>
      <c r="J859" s="10">
        <v>1</v>
      </c>
      <c r="K859" s="10">
        <v>17589.04</v>
      </c>
    </row>
    <row r="860" spans="1:11" x14ac:dyDescent="0.25">
      <c r="A860" s="8" t="s">
        <v>1680</v>
      </c>
      <c r="B860" s="8" t="s">
        <v>120</v>
      </c>
      <c r="C860" s="8" t="s">
        <v>918</v>
      </c>
      <c r="D860" s="8">
        <v>6</v>
      </c>
      <c r="E860" s="8" t="s">
        <v>1678</v>
      </c>
      <c r="F860" s="8" t="s">
        <v>911</v>
      </c>
      <c r="G860" s="8" t="s">
        <v>920</v>
      </c>
      <c r="H860" s="10">
        <v>1</v>
      </c>
      <c r="I860" s="10"/>
      <c r="J860" s="10">
        <v>1</v>
      </c>
      <c r="K860" s="10">
        <v>17589.04</v>
      </c>
    </row>
    <row r="861" spans="1:11" x14ac:dyDescent="0.25">
      <c r="A861" s="8" t="s">
        <v>1681</v>
      </c>
      <c r="B861" s="8" t="s">
        <v>120</v>
      </c>
      <c r="C861" s="8" t="s">
        <v>918</v>
      </c>
      <c r="D861" s="8">
        <v>6</v>
      </c>
      <c r="E861" s="8" t="s">
        <v>1678</v>
      </c>
      <c r="F861" s="8" t="s">
        <v>911</v>
      </c>
      <c r="G861" s="8" t="s">
        <v>920</v>
      </c>
      <c r="H861" s="10">
        <v>1</v>
      </c>
      <c r="I861" s="10"/>
      <c r="J861" s="10">
        <v>1</v>
      </c>
      <c r="K861" s="10">
        <v>17589.04</v>
      </c>
    </row>
    <row r="862" spans="1:11" x14ac:dyDescent="0.25">
      <c r="A862" s="8" t="s">
        <v>1682</v>
      </c>
      <c r="B862" s="8" t="s">
        <v>120</v>
      </c>
      <c r="C862" s="8" t="s">
        <v>918</v>
      </c>
      <c r="D862" s="8">
        <v>6</v>
      </c>
      <c r="E862" s="8" t="s">
        <v>1678</v>
      </c>
      <c r="F862" s="8" t="s">
        <v>911</v>
      </c>
      <c r="G862" s="8" t="s">
        <v>920</v>
      </c>
      <c r="H862" s="10">
        <v>1</v>
      </c>
      <c r="I862" s="10"/>
      <c r="J862" s="10">
        <v>1</v>
      </c>
      <c r="K862" s="10">
        <v>17589.04</v>
      </c>
    </row>
    <row r="863" spans="1:11" x14ac:dyDescent="0.25">
      <c r="A863" s="8" t="s">
        <v>1683</v>
      </c>
      <c r="B863" s="8" t="s">
        <v>120</v>
      </c>
      <c r="C863" s="8" t="s">
        <v>918</v>
      </c>
      <c r="D863" s="8">
        <v>6</v>
      </c>
      <c r="E863" s="8" t="s">
        <v>1678</v>
      </c>
      <c r="F863" s="8" t="s">
        <v>911</v>
      </c>
      <c r="G863" s="8" t="s">
        <v>920</v>
      </c>
      <c r="H863" s="10">
        <v>1</v>
      </c>
      <c r="I863" s="10"/>
      <c r="J863" s="10">
        <v>1</v>
      </c>
      <c r="K863" s="10">
        <v>17589.04</v>
      </c>
    </row>
    <row r="864" spans="1:11" x14ac:dyDescent="0.25">
      <c r="A864" s="8" t="s">
        <v>1684</v>
      </c>
      <c r="B864" s="8" t="s">
        <v>122</v>
      </c>
      <c r="C864" s="8" t="s">
        <v>918</v>
      </c>
      <c r="D864" s="8">
        <v>6</v>
      </c>
      <c r="E864" s="8" t="s">
        <v>1685</v>
      </c>
      <c r="F864" s="8" t="s">
        <v>911</v>
      </c>
      <c r="G864" s="8" t="s">
        <v>920</v>
      </c>
      <c r="H864" s="10">
        <v>1</v>
      </c>
      <c r="I864" s="10"/>
      <c r="J864" s="10">
        <v>1</v>
      </c>
      <c r="K864" s="10">
        <v>17589.04</v>
      </c>
    </row>
    <row r="865" spans="1:11" x14ac:dyDescent="0.25">
      <c r="A865" s="8" t="s">
        <v>1686</v>
      </c>
      <c r="B865" s="8" t="s">
        <v>122</v>
      </c>
      <c r="C865" s="8" t="s">
        <v>918</v>
      </c>
      <c r="D865" s="8">
        <v>6</v>
      </c>
      <c r="E865" s="8" t="s">
        <v>1687</v>
      </c>
      <c r="F865" s="8" t="s">
        <v>911</v>
      </c>
      <c r="G865" s="8" t="s">
        <v>920</v>
      </c>
      <c r="H865" s="10">
        <v>1</v>
      </c>
      <c r="I865" s="10"/>
      <c r="J865" s="10">
        <v>1</v>
      </c>
      <c r="K865" s="10">
        <v>17589.04</v>
      </c>
    </row>
    <row r="866" spans="1:11" x14ac:dyDescent="0.25">
      <c r="A866" s="8" t="s">
        <v>1688</v>
      </c>
      <c r="B866" s="8" t="s">
        <v>1689</v>
      </c>
      <c r="C866" s="8" t="s">
        <v>1690</v>
      </c>
      <c r="D866" s="8">
        <v>4</v>
      </c>
      <c r="E866" s="8" t="s">
        <v>1691</v>
      </c>
      <c r="F866" s="8" t="s">
        <v>911</v>
      </c>
      <c r="G866" s="8" t="s">
        <v>1692</v>
      </c>
      <c r="H866" s="10">
        <v>1</v>
      </c>
      <c r="I866" s="10"/>
      <c r="J866" s="10">
        <v>1</v>
      </c>
      <c r="K866" s="10">
        <v>126150.12</v>
      </c>
    </row>
    <row r="867" spans="1:11" x14ac:dyDescent="0.25">
      <c r="A867" s="8" t="s">
        <v>1693</v>
      </c>
      <c r="B867" s="8" t="s">
        <v>1655</v>
      </c>
      <c r="C867" s="8" t="s">
        <v>1694</v>
      </c>
      <c r="D867" s="8">
        <v>5</v>
      </c>
      <c r="E867" s="8" t="s">
        <v>1695</v>
      </c>
      <c r="F867" s="8" t="s">
        <v>911</v>
      </c>
      <c r="G867" s="8" t="s">
        <v>1696</v>
      </c>
      <c r="H867" s="10">
        <v>1</v>
      </c>
      <c r="I867" s="10"/>
      <c r="J867" s="10">
        <v>1</v>
      </c>
      <c r="K867" s="10">
        <v>5024.1400000000003</v>
      </c>
    </row>
    <row r="868" spans="1:11" x14ac:dyDescent="0.25">
      <c r="A868" s="8" t="s">
        <v>1697</v>
      </c>
      <c r="B868" s="8" t="s">
        <v>1655</v>
      </c>
      <c r="C868" s="8" t="s">
        <v>1694</v>
      </c>
      <c r="D868" s="8">
        <v>5</v>
      </c>
      <c r="E868" s="8" t="s">
        <v>1698</v>
      </c>
      <c r="F868" s="8" t="s">
        <v>911</v>
      </c>
      <c r="G868" s="8" t="s">
        <v>1696</v>
      </c>
      <c r="H868" s="10">
        <v>1</v>
      </c>
      <c r="I868" s="10"/>
      <c r="J868" s="10">
        <v>1</v>
      </c>
      <c r="K868" s="10">
        <v>5024.1400000000003</v>
      </c>
    </row>
    <row r="869" spans="1:11" x14ac:dyDescent="0.25">
      <c r="A869" s="8" t="s">
        <v>1699</v>
      </c>
      <c r="B869" s="8" t="s">
        <v>1655</v>
      </c>
      <c r="C869" s="8" t="s">
        <v>1694</v>
      </c>
      <c r="D869" s="8">
        <v>5</v>
      </c>
      <c r="E869" s="8" t="s">
        <v>1700</v>
      </c>
      <c r="F869" s="8" t="s">
        <v>911</v>
      </c>
      <c r="G869" s="8" t="s">
        <v>1696</v>
      </c>
      <c r="H869" s="10">
        <v>1</v>
      </c>
      <c r="I869" s="10"/>
      <c r="J869" s="10">
        <v>1</v>
      </c>
      <c r="K869" s="10">
        <v>5024.1400000000003</v>
      </c>
    </row>
    <row r="870" spans="1:11" x14ac:dyDescent="0.25">
      <c r="A870" s="8" t="s">
        <v>1701</v>
      </c>
      <c r="B870" s="8" t="s">
        <v>1655</v>
      </c>
      <c r="C870" s="8" t="s">
        <v>1694</v>
      </c>
      <c r="D870" s="8">
        <v>5</v>
      </c>
      <c r="E870" s="8" t="s">
        <v>1702</v>
      </c>
      <c r="F870" s="8" t="s">
        <v>911</v>
      </c>
      <c r="G870" s="8" t="s">
        <v>1696</v>
      </c>
      <c r="H870" s="10">
        <v>1</v>
      </c>
      <c r="I870" s="10"/>
      <c r="J870" s="10">
        <v>1</v>
      </c>
      <c r="K870" s="10">
        <v>5024.1400000000003</v>
      </c>
    </row>
    <row r="871" spans="1:11" x14ac:dyDescent="0.25">
      <c r="A871" s="8" t="s">
        <v>1703</v>
      </c>
      <c r="B871" s="8" t="s">
        <v>1650</v>
      </c>
      <c r="C871" s="8" t="s">
        <v>1694</v>
      </c>
      <c r="D871" s="8">
        <v>5</v>
      </c>
      <c r="E871" s="8" t="s">
        <v>1704</v>
      </c>
      <c r="F871" s="8" t="s">
        <v>911</v>
      </c>
      <c r="G871" s="8" t="s">
        <v>1696</v>
      </c>
      <c r="H871" s="10">
        <v>1</v>
      </c>
      <c r="I871" s="10"/>
      <c r="J871" s="10">
        <v>1</v>
      </c>
      <c r="K871" s="10">
        <v>5024.1400000000003</v>
      </c>
    </row>
    <row r="872" spans="1:11" x14ac:dyDescent="0.25">
      <c r="A872" s="8" t="s">
        <v>1705</v>
      </c>
      <c r="B872" s="8" t="s">
        <v>1650</v>
      </c>
      <c r="C872" s="8" t="s">
        <v>1694</v>
      </c>
      <c r="D872" s="8">
        <v>5</v>
      </c>
      <c r="E872" s="8" t="s">
        <v>1706</v>
      </c>
      <c r="F872" s="8" t="s">
        <v>911</v>
      </c>
      <c r="G872" s="8" t="s">
        <v>1696</v>
      </c>
      <c r="H872" s="10">
        <v>1</v>
      </c>
      <c r="I872" s="10"/>
      <c r="J872" s="10">
        <v>1</v>
      </c>
      <c r="K872" s="10">
        <v>5024.1400000000003</v>
      </c>
    </row>
    <row r="873" spans="1:11" x14ac:dyDescent="0.25">
      <c r="A873" s="8" t="s">
        <v>1707</v>
      </c>
      <c r="B873" s="8" t="s">
        <v>1650</v>
      </c>
      <c r="C873" s="8" t="s">
        <v>1694</v>
      </c>
      <c r="D873" s="8">
        <v>5</v>
      </c>
      <c r="E873" s="8" t="s">
        <v>1708</v>
      </c>
      <c r="F873" s="8" t="s">
        <v>911</v>
      </c>
      <c r="G873" s="8" t="s">
        <v>1696</v>
      </c>
      <c r="H873" s="10">
        <v>1</v>
      </c>
      <c r="I873" s="10"/>
      <c r="J873" s="10">
        <v>1</v>
      </c>
      <c r="K873" s="10">
        <v>5024.1400000000003</v>
      </c>
    </row>
    <row r="874" spans="1:11" x14ac:dyDescent="0.25">
      <c r="A874" s="8" t="s">
        <v>1709</v>
      </c>
      <c r="B874" s="8" t="s">
        <v>1650</v>
      </c>
      <c r="C874" s="8" t="s">
        <v>1694</v>
      </c>
      <c r="D874" s="8">
        <v>5</v>
      </c>
      <c r="E874" s="8" t="s">
        <v>1710</v>
      </c>
      <c r="F874" s="8" t="s">
        <v>911</v>
      </c>
      <c r="G874" s="8" t="s">
        <v>1696</v>
      </c>
      <c r="H874" s="10">
        <v>1</v>
      </c>
      <c r="I874" s="10"/>
      <c r="J874" s="10">
        <v>1</v>
      </c>
      <c r="K874" s="10">
        <v>5024.1400000000003</v>
      </c>
    </row>
    <row r="875" spans="1:11" x14ac:dyDescent="0.25">
      <c r="A875" s="8" t="s">
        <v>1711</v>
      </c>
      <c r="B875" s="8" t="s">
        <v>120</v>
      </c>
      <c r="C875" s="8" t="s">
        <v>1694</v>
      </c>
      <c r="D875" s="8">
        <v>5</v>
      </c>
      <c r="E875" s="8" t="s">
        <v>1712</v>
      </c>
      <c r="F875" s="8" t="s">
        <v>911</v>
      </c>
      <c r="G875" s="8" t="s">
        <v>1696</v>
      </c>
      <c r="H875" s="10">
        <v>1</v>
      </c>
      <c r="I875" s="10"/>
      <c r="J875" s="10">
        <v>1</v>
      </c>
      <c r="K875" s="10">
        <v>5024.1400000000003</v>
      </c>
    </row>
    <row r="876" spans="1:11" x14ac:dyDescent="0.25">
      <c r="A876" s="8" t="s">
        <v>1713</v>
      </c>
      <c r="B876" s="8" t="s">
        <v>120</v>
      </c>
      <c r="C876" s="8" t="s">
        <v>1694</v>
      </c>
      <c r="D876" s="8">
        <v>5</v>
      </c>
      <c r="E876" s="8" t="s">
        <v>1714</v>
      </c>
      <c r="F876" s="8" t="s">
        <v>911</v>
      </c>
      <c r="G876" s="8" t="s">
        <v>1696</v>
      </c>
      <c r="H876" s="10">
        <v>1</v>
      </c>
      <c r="I876" s="10"/>
      <c r="J876" s="10">
        <v>1</v>
      </c>
      <c r="K876" s="10">
        <v>5024.1400000000003</v>
      </c>
    </row>
    <row r="877" spans="1:11" x14ac:dyDescent="0.25">
      <c r="A877" s="8" t="s">
        <v>1715</v>
      </c>
      <c r="B877" s="8" t="s">
        <v>120</v>
      </c>
      <c r="C877" s="8" t="s">
        <v>1694</v>
      </c>
      <c r="D877" s="8">
        <v>5</v>
      </c>
      <c r="E877" s="8" t="s">
        <v>1716</v>
      </c>
      <c r="F877" s="8" t="s">
        <v>911</v>
      </c>
      <c r="G877" s="8" t="s">
        <v>1696</v>
      </c>
      <c r="H877" s="10">
        <v>1</v>
      </c>
      <c r="I877" s="10"/>
      <c r="J877" s="10">
        <v>1</v>
      </c>
      <c r="K877" s="10">
        <v>5024.1400000000003</v>
      </c>
    </row>
    <row r="878" spans="1:11" x14ac:dyDescent="0.25">
      <c r="A878" s="8" t="s">
        <v>1717</v>
      </c>
      <c r="B878" s="8" t="s">
        <v>120</v>
      </c>
      <c r="C878" s="8" t="s">
        <v>1694</v>
      </c>
      <c r="D878" s="8">
        <v>5</v>
      </c>
      <c r="E878" s="8" t="s">
        <v>1718</v>
      </c>
      <c r="F878" s="8" t="s">
        <v>911</v>
      </c>
      <c r="G878" s="8" t="s">
        <v>1696</v>
      </c>
      <c r="H878" s="10">
        <v>1</v>
      </c>
      <c r="I878" s="10"/>
      <c r="J878" s="10">
        <v>1</v>
      </c>
      <c r="K878" s="10">
        <v>5024.1400000000003</v>
      </c>
    </row>
    <row r="879" spans="1:11" x14ac:dyDescent="0.25">
      <c r="A879" s="8" t="s">
        <v>1719</v>
      </c>
      <c r="B879" s="8" t="s">
        <v>118</v>
      </c>
      <c r="C879" s="8" t="s">
        <v>1690</v>
      </c>
      <c r="D879" s="8">
        <v>4</v>
      </c>
      <c r="E879" s="8" t="s">
        <v>1720</v>
      </c>
      <c r="F879" s="8" t="s">
        <v>911</v>
      </c>
      <c r="G879" s="8" t="s">
        <v>1721</v>
      </c>
      <c r="H879" s="10">
        <v>1</v>
      </c>
      <c r="I879" s="10"/>
      <c r="J879" s="10">
        <v>1</v>
      </c>
      <c r="K879" s="10">
        <v>210643.24</v>
      </c>
    </row>
    <row r="880" spans="1:11" x14ac:dyDescent="0.25">
      <c r="A880" s="8" t="s">
        <v>1722</v>
      </c>
      <c r="B880" s="8" t="s">
        <v>116</v>
      </c>
      <c r="C880" s="8" t="s">
        <v>1690</v>
      </c>
      <c r="D880" s="8">
        <v>4</v>
      </c>
      <c r="E880" s="8" t="s">
        <v>1723</v>
      </c>
      <c r="F880" s="8" t="s">
        <v>911</v>
      </c>
      <c r="G880" s="8" t="s">
        <v>1721</v>
      </c>
      <c r="H880" s="10">
        <v>1</v>
      </c>
      <c r="I880" s="10"/>
      <c r="J880" s="10">
        <v>1</v>
      </c>
      <c r="K880" s="10">
        <v>25487.38</v>
      </c>
    </row>
    <row r="881" spans="1:11" x14ac:dyDescent="0.25">
      <c r="A881" s="8" t="s">
        <v>1724</v>
      </c>
      <c r="B881" s="8" t="s">
        <v>118</v>
      </c>
      <c r="C881" s="8" t="s">
        <v>1690</v>
      </c>
      <c r="D881" s="8">
        <v>4</v>
      </c>
      <c r="E881" s="8" t="s">
        <v>1725</v>
      </c>
      <c r="F881" s="8" t="s">
        <v>911</v>
      </c>
      <c r="G881" s="8" t="s">
        <v>1721</v>
      </c>
      <c r="H881" s="10">
        <v>1</v>
      </c>
      <c r="I881" s="10"/>
      <c r="J881" s="10">
        <v>1</v>
      </c>
      <c r="K881" s="10">
        <v>25487.38</v>
      </c>
    </row>
    <row r="882" spans="1:11" x14ac:dyDescent="0.25">
      <c r="A882" s="8" t="s">
        <v>1726</v>
      </c>
      <c r="B882" s="8" t="s">
        <v>134</v>
      </c>
      <c r="C882" s="8" t="s">
        <v>918</v>
      </c>
      <c r="D882" s="8">
        <v>6</v>
      </c>
      <c r="E882" s="8" t="s">
        <v>1727</v>
      </c>
      <c r="F882" s="8" t="s">
        <v>911</v>
      </c>
      <c r="G882" s="8" t="s">
        <v>920</v>
      </c>
      <c r="H882" s="10">
        <v>1</v>
      </c>
      <c r="I882" s="10"/>
      <c r="J882" s="10">
        <v>1</v>
      </c>
      <c r="K882" s="10">
        <v>28789.07</v>
      </c>
    </row>
    <row r="883" spans="1:11" x14ac:dyDescent="0.25">
      <c r="A883" s="8" t="s">
        <v>1728</v>
      </c>
      <c r="B883" s="8" t="s">
        <v>132</v>
      </c>
      <c r="C883" s="8" t="s">
        <v>918</v>
      </c>
      <c r="D883" s="8">
        <v>6</v>
      </c>
      <c r="E883" s="8" t="s">
        <v>1729</v>
      </c>
      <c r="F883" s="8" t="s">
        <v>911</v>
      </c>
      <c r="G883" s="8" t="s">
        <v>920</v>
      </c>
      <c r="H883" s="10">
        <v>1</v>
      </c>
      <c r="I883" s="10"/>
      <c r="J883" s="10">
        <v>1</v>
      </c>
      <c r="K883" s="10">
        <v>93406.2</v>
      </c>
    </row>
    <row r="884" spans="1:11" x14ac:dyDescent="0.25">
      <c r="A884" s="8" t="s">
        <v>1730</v>
      </c>
      <c r="B884" s="8" t="s">
        <v>120</v>
      </c>
      <c r="C884" s="8" t="s">
        <v>909</v>
      </c>
      <c r="D884" s="8">
        <v>5</v>
      </c>
      <c r="E884" s="8" t="s">
        <v>1731</v>
      </c>
      <c r="F884" s="8" t="s">
        <v>911</v>
      </c>
      <c r="G884" s="8" t="s">
        <v>912</v>
      </c>
      <c r="H884" s="10">
        <v>1</v>
      </c>
      <c r="I884" s="10"/>
      <c r="J884" s="10">
        <v>1</v>
      </c>
      <c r="K884" s="10">
        <v>218798.49</v>
      </c>
    </row>
    <row r="885" spans="1:11" x14ac:dyDescent="0.25">
      <c r="A885" s="8" t="s">
        <v>1732</v>
      </c>
      <c r="B885" s="8" t="s">
        <v>1650</v>
      </c>
      <c r="C885" s="8" t="s">
        <v>1694</v>
      </c>
      <c r="D885" s="8">
        <v>5</v>
      </c>
      <c r="E885" s="8" t="s">
        <v>1733</v>
      </c>
      <c r="F885" s="8" t="s">
        <v>911</v>
      </c>
      <c r="G885" s="8" t="s">
        <v>1734</v>
      </c>
      <c r="H885" s="10">
        <v>1</v>
      </c>
      <c r="I885" s="10"/>
      <c r="J885" s="10">
        <v>1</v>
      </c>
      <c r="K885" s="10">
        <v>4019.31</v>
      </c>
    </row>
    <row r="886" spans="1:11" x14ac:dyDescent="0.25">
      <c r="A886" s="8" t="s">
        <v>1735</v>
      </c>
      <c r="B886" s="8" t="s">
        <v>120</v>
      </c>
      <c r="C886" s="8" t="s">
        <v>1694</v>
      </c>
      <c r="D886" s="8">
        <v>5</v>
      </c>
      <c r="E886" s="8" t="s">
        <v>1736</v>
      </c>
      <c r="F886" s="8" t="s">
        <v>911</v>
      </c>
      <c r="G886" s="8" t="s">
        <v>1734</v>
      </c>
      <c r="H886" s="10">
        <v>1</v>
      </c>
      <c r="I886" s="10"/>
      <c r="J886" s="10">
        <v>1</v>
      </c>
      <c r="K886" s="10">
        <v>4019.31</v>
      </c>
    </row>
    <row r="887" spans="1:11" x14ac:dyDescent="0.25">
      <c r="A887" s="8" t="s">
        <v>1737</v>
      </c>
      <c r="B887" s="8" t="s">
        <v>1655</v>
      </c>
      <c r="C887" s="8" t="s">
        <v>1694</v>
      </c>
      <c r="D887" s="8">
        <v>5</v>
      </c>
      <c r="E887" s="8" t="s">
        <v>1738</v>
      </c>
      <c r="F887" s="8" t="s">
        <v>911</v>
      </c>
      <c r="G887" s="8" t="s">
        <v>1734</v>
      </c>
      <c r="H887" s="10">
        <v>1</v>
      </c>
      <c r="I887" s="10"/>
      <c r="J887" s="10">
        <v>1</v>
      </c>
      <c r="K887" s="10">
        <v>4019.31</v>
      </c>
    </row>
    <row r="888" spans="1:11" x14ac:dyDescent="0.25">
      <c r="A888" s="8" t="s">
        <v>1739</v>
      </c>
      <c r="B888" s="8" t="s">
        <v>1650</v>
      </c>
      <c r="C888" s="8" t="s">
        <v>1694</v>
      </c>
      <c r="D888" s="8">
        <v>5</v>
      </c>
      <c r="E888" s="8" t="s">
        <v>1740</v>
      </c>
      <c r="F888" s="8" t="s">
        <v>911</v>
      </c>
      <c r="G888" s="8" t="s">
        <v>1734</v>
      </c>
      <c r="H888" s="10">
        <v>1</v>
      </c>
      <c r="I888" s="10"/>
      <c r="J888" s="10">
        <v>1</v>
      </c>
      <c r="K888" s="10">
        <v>10048.27</v>
      </c>
    </row>
    <row r="889" spans="1:11" x14ac:dyDescent="0.25">
      <c r="A889" s="8" t="s">
        <v>1741</v>
      </c>
      <c r="B889" s="8" t="s">
        <v>1655</v>
      </c>
      <c r="C889" s="8" t="s">
        <v>1694</v>
      </c>
      <c r="D889" s="8">
        <v>5</v>
      </c>
      <c r="E889" s="8" t="s">
        <v>1742</v>
      </c>
      <c r="F889" s="8" t="s">
        <v>911</v>
      </c>
      <c r="G889" s="8" t="s">
        <v>1734</v>
      </c>
      <c r="H889" s="10">
        <v>1</v>
      </c>
      <c r="I889" s="10"/>
      <c r="J889" s="10">
        <v>1</v>
      </c>
      <c r="K889" s="10">
        <v>10048.27</v>
      </c>
    </row>
    <row r="890" spans="1:11" x14ac:dyDescent="0.25">
      <c r="A890" s="8" t="s">
        <v>1743</v>
      </c>
      <c r="B890" s="8" t="s">
        <v>120</v>
      </c>
      <c r="C890" s="8" t="s">
        <v>1694</v>
      </c>
      <c r="D890" s="8">
        <v>5</v>
      </c>
      <c r="E890" s="8" t="s">
        <v>1744</v>
      </c>
      <c r="F890" s="8" t="s">
        <v>911</v>
      </c>
      <c r="G890" s="8" t="s">
        <v>1734</v>
      </c>
      <c r="H890" s="10">
        <v>1</v>
      </c>
      <c r="I890" s="10"/>
      <c r="J890" s="10">
        <v>1</v>
      </c>
      <c r="K890" s="10">
        <v>10048.27</v>
      </c>
    </row>
    <row r="891" spans="1:11" x14ac:dyDescent="0.25">
      <c r="A891" s="8" t="s">
        <v>1745</v>
      </c>
      <c r="B891" s="8" t="s">
        <v>1655</v>
      </c>
      <c r="C891" s="8" t="s">
        <v>1746</v>
      </c>
      <c r="D891" s="8">
        <v>6</v>
      </c>
      <c r="E891" s="8" t="s">
        <v>1747</v>
      </c>
      <c r="F891" s="8" t="s">
        <v>911</v>
      </c>
      <c r="G891" s="8" t="s">
        <v>1748</v>
      </c>
      <c r="H891" s="10">
        <v>1</v>
      </c>
      <c r="I891" s="10"/>
      <c r="J891" s="10">
        <v>1</v>
      </c>
      <c r="K891" s="10">
        <v>45217.23</v>
      </c>
    </row>
    <row r="892" spans="1:11" x14ac:dyDescent="0.25">
      <c r="A892" s="8" t="s">
        <v>1749</v>
      </c>
      <c r="B892" s="8" t="s">
        <v>1655</v>
      </c>
      <c r="C892" s="8" t="s">
        <v>1746</v>
      </c>
      <c r="D892" s="8">
        <v>6</v>
      </c>
      <c r="E892" s="8" t="s">
        <v>1750</v>
      </c>
      <c r="F892" s="8" t="s">
        <v>911</v>
      </c>
      <c r="G892" s="8" t="s">
        <v>1748</v>
      </c>
      <c r="H892" s="10">
        <v>1</v>
      </c>
      <c r="I892" s="10"/>
      <c r="J892" s="10">
        <v>1</v>
      </c>
      <c r="K892" s="10">
        <v>105506.87</v>
      </c>
    </row>
    <row r="893" spans="1:11" x14ac:dyDescent="0.25">
      <c r="A893" s="8" t="s">
        <v>1751</v>
      </c>
      <c r="B893" s="8" t="s">
        <v>1650</v>
      </c>
      <c r="C893" s="8" t="s">
        <v>1746</v>
      </c>
      <c r="D893" s="8">
        <v>6</v>
      </c>
      <c r="E893" s="8" t="s">
        <v>1752</v>
      </c>
      <c r="F893" s="8" t="s">
        <v>911</v>
      </c>
      <c r="G893" s="8" t="s">
        <v>1748</v>
      </c>
      <c r="H893" s="10">
        <v>1</v>
      </c>
      <c r="I893" s="10"/>
      <c r="J893" s="10">
        <v>1</v>
      </c>
      <c r="K893" s="10">
        <v>60289.64</v>
      </c>
    </row>
    <row r="894" spans="1:11" x14ac:dyDescent="0.25">
      <c r="A894" s="8" t="s">
        <v>1753</v>
      </c>
      <c r="B894" s="8" t="s">
        <v>1655</v>
      </c>
      <c r="C894" s="8" t="s">
        <v>1746</v>
      </c>
      <c r="D894" s="8">
        <v>6</v>
      </c>
      <c r="E894" s="8" t="s">
        <v>1754</v>
      </c>
      <c r="F894" s="8" t="s">
        <v>911</v>
      </c>
      <c r="G894" s="8" t="s">
        <v>1748</v>
      </c>
      <c r="H894" s="10">
        <v>1</v>
      </c>
      <c r="I894" s="10"/>
      <c r="J894" s="10">
        <v>1</v>
      </c>
      <c r="K894" s="10">
        <v>60289.64</v>
      </c>
    </row>
    <row r="895" spans="1:11" x14ac:dyDescent="0.25">
      <c r="A895" s="8" t="s">
        <v>1755</v>
      </c>
      <c r="B895" s="8" t="s">
        <v>120</v>
      </c>
      <c r="C895" s="8" t="s">
        <v>1746</v>
      </c>
      <c r="D895" s="8">
        <v>6</v>
      </c>
      <c r="E895" s="8" t="s">
        <v>1756</v>
      </c>
      <c r="F895" s="8" t="s">
        <v>911</v>
      </c>
      <c r="G895" s="8" t="s">
        <v>1748</v>
      </c>
      <c r="H895" s="10">
        <v>1</v>
      </c>
      <c r="I895" s="10"/>
      <c r="J895" s="10">
        <v>1</v>
      </c>
      <c r="K895" s="10">
        <v>60289.64</v>
      </c>
    </row>
    <row r="896" spans="1:11" x14ac:dyDescent="0.25">
      <c r="A896" s="8" t="s">
        <v>1757</v>
      </c>
      <c r="B896" s="8" t="s">
        <v>1650</v>
      </c>
      <c r="C896" s="8" t="s">
        <v>1746</v>
      </c>
      <c r="D896" s="8">
        <v>6</v>
      </c>
      <c r="E896" s="8" t="s">
        <v>1758</v>
      </c>
      <c r="F896" s="8" t="s">
        <v>911</v>
      </c>
      <c r="G896" s="8" t="s">
        <v>1748</v>
      </c>
      <c r="H896" s="10">
        <v>1</v>
      </c>
      <c r="I896" s="10"/>
      <c r="J896" s="10">
        <v>1</v>
      </c>
      <c r="K896" s="10">
        <v>195941.33</v>
      </c>
    </row>
    <row r="897" spans="1:11" x14ac:dyDescent="0.25">
      <c r="A897" s="8" t="s">
        <v>1759</v>
      </c>
      <c r="B897" s="8" t="s">
        <v>120</v>
      </c>
      <c r="C897" s="8" t="s">
        <v>1746</v>
      </c>
      <c r="D897" s="8">
        <v>6</v>
      </c>
      <c r="E897" s="8" t="s">
        <v>1760</v>
      </c>
      <c r="F897" s="8" t="s">
        <v>911</v>
      </c>
      <c r="G897" s="8" t="s">
        <v>1748</v>
      </c>
      <c r="H897" s="10">
        <v>1</v>
      </c>
      <c r="I897" s="10"/>
      <c r="J897" s="10">
        <v>1</v>
      </c>
      <c r="K897" s="10">
        <v>105506.87</v>
      </c>
    </row>
    <row r="898" spans="1:11" x14ac:dyDescent="0.25">
      <c r="A898" s="8" t="s">
        <v>1761</v>
      </c>
      <c r="B898" s="8" t="s">
        <v>1655</v>
      </c>
      <c r="C898" s="8" t="s">
        <v>1746</v>
      </c>
      <c r="D898" s="8">
        <v>6</v>
      </c>
      <c r="E898" s="8" t="s">
        <v>1762</v>
      </c>
      <c r="F898" s="8" t="s">
        <v>911</v>
      </c>
      <c r="G898" s="8" t="s">
        <v>1748</v>
      </c>
      <c r="H898" s="10">
        <v>1</v>
      </c>
      <c r="I898" s="10"/>
      <c r="J898" s="10">
        <v>1</v>
      </c>
      <c r="K898" s="10">
        <v>60289.64</v>
      </c>
    </row>
    <row r="899" spans="1:11" x14ac:dyDescent="0.25">
      <c r="A899" s="8" t="s">
        <v>1763</v>
      </c>
      <c r="B899" s="8" t="s">
        <v>1655</v>
      </c>
      <c r="C899" s="8" t="s">
        <v>1746</v>
      </c>
      <c r="D899" s="8">
        <v>6</v>
      </c>
      <c r="E899" s="8" t="s">
        <v>1764</v>
      </c>
      <c r="F899" s="8" t="s">
        <v>911</v>
      </c>
      <c r="G899" s="8" t="s">
        <v>1748</v>
      </c>
      <c r="H899" s="10">
        <v>1</v>
      </c>
      <c r="I899" s="10"/>
      <c r="J899" s="10">
        <v>1</v>
      </c>
      <c r="K899" s="10">
        <v>75362.05</v>
      </c>
    </row>
    <row r="900" spans="1:11" x14ac:dyDescent="0.25">
      <c r="A900" s="8" t="s">
        <v>1765</v>
      </c>
      <c r="B900" s="8" t="s">
        <v>120</v>
      </c>
      <c r="C900" s="8" t="s">
        <v>1746</v>
      </c>
      <c r="D900" s="8">
        <v>6</v>
      </c>
      <c r="E900" s="8" t="s">
        <v>1766</v>
      </c>
      <c r="F900" s="8" t="s">
        <v>911</v>
      </c>
      <c r="G900" s="8" t="s">
        <v>1748</v>
      </c>
      <c r="H900" s="10">
        <v>1</v>
      </c>
      <c r="I900" s="10"/>
      <c r="J900" s="10">
        <v>1</v>
      </c>
      <c r="K900" s="10">
        <v>60289.64</v>
      </c>
    </row>
    <row r="901" spans="1:11" x14ac:dyDescent="0.25">
      <c r="A901" s="8" t="s">
        <v>1767</v>
      </c>
      <c r="B901" s="8" t="s">
        <v>120</v>
      </c>
      <c r="C901" s="8" t="s">
        <v>1746</v>
      </c>
      <c r="D901" s="8">
        <v>6</v>
      </c>
      <c r="E901" s="8" t="s">
        <v>1768</v>
      </c>
      <c r="F901" s="8" t="s">
        <v>911</v>
      </c>
      <c r="G901" s="8" t="s">
        <v>1748</v>
      </c>
      <c r="H901" s="10">
        <v>1</v>
      </c>
      <c r="I901" s="10"/>
      <c r="J901" s="10">
        <v>1</v>
      </c>
      <c r="K901" s="10">
        <v>120579.28</v>
      </c>
    </row>
    <row r="902" spans="1:11" x14ac:dyDescent="0.25">
      <c r="A902" s="8" t="s">
        <v>1769</v>
      </c>
      <c r="B902" s="8" t="s">
        <v>120</v>
      </c>
      <c r="C902" s="8" t="s">
        <v>1746</v>
      </c>
      <c r="D902" s="8">
        <v>6</v>
      </c>
      <c r="E902" s="8" t="s">
        <v>1770</v>
      </c>
      <c r="F902" s="8" t="s">
        <v>911</v>
      </c>
      <c r="G902" s="8" t="s">
        <v>1748</v>
      </c>
      <c r="H902" s="10">
        <v>1</v>
      </c>
      <c r="I902" s="10"/>
      <c r="J902" s="10">
        <v>1</v>
      </c>
      <c r="K902" s="10">
        <v>105506.87</v>
      </c>
    </row>
    <row r="903" spans="1:11" x14ac:dyDescent="0.25">
      <c r="A903" s="8" t="s">
        <v>1771</v>
      </c>
      <c r="B903" s="8" t="s">
        <v>120</v>
      </c>
      <c r="C903" s="8" t="s">
        <v>1746</v>
      </c>
      <c r="D903" s="8">
        <v>6</v>
      </c>
      <c r="E903" s="8" t="s">
        <v>1772</v>
      </c>
      <c r="F903" s="8" t="s">
        <v>911</v>
      </c>
      <c r="G903" s="8" t="s">
        <v>1748</v>
      </c>
      <c r="H903" s="10">
        <v>1</v>
      </c>
      <c r="I903" s="10"/>
      <c r="J903" s="10">
        <v>1</v>
      </c>
      <c r="K903" s="10">
        <v>241158.56</v>
      </c>
    </row>
    <row r="904" spans="1:11" x14ac:dyDescent="0.25">
      <c r="A904" s="8" t="s">
        <v>1773</v>
      </c>
      <c r="B904" s="8" t="s">
        <v>120</v>
      </c>
      <c r="C904" s="8" t="s">
        <v>1746</v>
      </c>
      <c r="D904" s="8">
        <v>6</v>
      </c>
      <c r="E904" s="8" t="s">
        <v>1774</v>
      </c>
      <c r="F904" s="8" t="s">
        <v>911</v>
      </c>
      <c r="G904" s="8" t="s">
        <v>1748</v>
      </c>
      <c r="H904" s="10">
        <v>1</v>
      </c>
      <c r="I904" s="10"/>
      <c r="J904" s="10">
        <v>1</v>
      </c>
      <c r="K904" s="10">
        <v>211013.74</v>
      </c>
    </row>
    <row r="905" spans="1:11" x14ac:dyDescent="0.25">
      <c r="A905" s="8" t="s">
        <v>1775</v>
      </c>
      <c r="B905" s="8" t="s">
        <v>120</v>
      </c>
      <c r="C905" s="8" t="s">
        <v>1746</v>
      </c>
      <c r="D905" s="8">
        <v>6</v>
      </c>
      <c r="E905" s="8" t="s">
        <v>1776</v>
      </c>
      <c r="F905" s="8" t="s">
        <v>911</v>
      </c>
      <c r="G905" s="8" t="s">
        <v>1748</v>
      </c>
      <c r="H905" s="10">
        <v>1</v>
      </c>
      <c r="I905" s="10"/>
      <c r="J905" s="10">
        <v>1</v>
      </c>
      <c r="K905" s="10">
        <v>361737.84</v>
      </c>
    </row>
    <row r="906" spans="1:11" x14ac:dyDescent="0.25">
      <c r="A906" s="8" t="s">
        <v>1777</v>
      </c>
      <c r="B906" s="8" t="s">
        <v>120</v>
      </c>
      <c r="C906" s="8" t="s">
        <v>1746</v>
      </c>
      <c r="D906" s="8">
        <v>6</v>
      </c>
      <c r="E906" s="8" t="s">
        <v>1778</v>
      </c>
      <c r="F906" s="8" t="s">
        <v>911</v>
      </c>
      <c r="G906" s="8" t="s">
        <v>1748</v>
      </c>
      <c r="H906" s="10">
        <v>1</v>
      </c>
      <c r="I906" s="10"/>
      <c r="J906" s="10">
        <v>1</v>
      </c>
      <c r="K906" s="10">
        <v>361737.84</v>
      </c>
    </row>
    <row r="907" spans="1:11" x14ac:dyDescent="0.25">
      <c r="A907" s="8" t="s">
        <v>1779</v>
      </c>
      <c r="B907" s="8" t="s">
        <v>1655</v>
      </c>
      <c r="C907" s="8" t="s">
        <v>1746</v>
      </c>
      <c r="D907" s="8">
        <v>6</v>
      </c>
      <c r="E907" s="8" t="s">
        <v>1780</v>
      </c>
      <c r="F907" s="8" t="s">
        <v>911</v>
      </c>
      <c r="G907" s="8" t="s">
        <v>1748</v>
      </c>
      <c r="H907" s="10">
        <v>1</v>
      </c>
      <c r="I907" s="10"/>
      <c r="J907" s="10">
        <v>1</v>
      </c>
      <c r="K907" s="10">
        <v>100482.73</v>
      </c>
    </row>
    <row r="908" spans="1:11" x14ac:dyDescent="0.25">
      <c r="A908" s="8" t="s">
        <v>1781</v>
      </c>
      <c r="B908" s="8" t="s">
        <v>1650</v>
      </c>
      <c r="C908" s="8" t="s">
        <v>1746</v>
      </c>
      <c r="D908" s="8">
        <v>6</v>
      </c>
      <c r="E908" s="8" t="s">
        <v>1782</v>
      </c>
      <c r="F908" s="8" t="s">
        <v>911</v>
      </c>
      <c r="G908" s="8" t="s">
        <v>1748</v>
      </c>
      <c r="H908" s="10">
        <v>1</v>
      </c>
      <c r="I908" s="10"/>
      <c r="J908" s="10">
        <v>1</v>
      </c>
      <c r="K908" s="10">
        <v>140675.82999999999</v>
      </c>
    </row>
    <row r="909" spans="1:11" x14ac:dyDescent="0.25">
      <c r="A909" s="8" t="s">
        <v>1783</v>
      </c>
      <c r="B909" s="8" t="s">
        <v>1650</v>
      </c>
      <c r="C909" s="8" t="s">
        <v>1746</v>
      </c>
      <c r="D909" s="8">
        <v>6</v>
      </c>
      <c r="E909" s="8" t="s">
        <v>1784</v>
      </c>
      <c r="F909" s="8" t="s">
        <v>911</v>
      </c>
      <c r="G909" s="8" t="s">
        <v>1748</v>
      </c>
      <c r="H909" s="10">
        <v>1</v>
      </c>
      <c r="I909" s="10"/>
      <c r="J909" s="10">
        <v>1</v>
      </c>
      <c r="K909" s="10">
        <v>180868.92</v>
      </c>
    </row>
    <row r="910" spans="1:11" x14ac:dyDescent="0.25">
      <c r="A910" s="8" t="s">
        <v>1785</v>
      </c>
      <c r="B910" s="8" t="s">
        <v>120</v>
      </c>
      <c r="C910" s="8" t="s">
        <v>1694</v>
      </c>
      <c r="D910" s="8">
        <v>5</v>
      </c>
      <c r="E910" s="8" t="s">
        <v>1786</v>
      </c>
      <c r="F910" s="8" t="s">
        <v>911</v>
      </c>
      <c r="G910" s="8" t="s">
        <v>1787</v>
      </c>
      <c r="H910" s="10">
        <v>1</v>
      </c>
      <c r="I910" s="10"/>
      <c r="J910" s="10">
        <v>1</v>
      </c>
      <c r="K910" s="10">
        <v>502413.66</v>
      </c>
    </row>
    <row r="911" spans="1:11" x14ac:dyDescent="0.25">
      <c r="A911" s="8" t="s">
        <v>1788</v>
      </c>
      <c r="B911" s="8" t="s">
        <v>120</v>
      </c>
      <c r="C911" s="8" t="s">
        <v>1694</v>
      </c>
      <c r="D911" s="8">
        <v>5</v>
      </c>
      <c r="E911" s="8" t="s">
        <v>1789</v>
      </c>
      <c r="F911" s="8" t="s">
        <v>911</v>
      </c>
      <c r="G911" s="8" t="s">
        <v>1787</v>
      </c>
      <c r="H911" s="10">
        <v>1</v>
      </c>
      <c r="I911" s="10"/>
      <c r="J911" s="10">
        <v>1</v>
      </c>
      <c r="K911" s="10">
        <v>502413.66</v>
      </c>
    </row>
    <row r="912" spans="1:11" x14ac:dyDescent="0.25">
      <c r="A912" s="8" t="s">
        <v>1790</v>
      </c>
      <c r="B912" s="8" t="s">
        <v>1655</v>
      </c>
      <c r="C912" s="8" t="s">
        <v>1694</v>
      </c>
      <c r="D912" s="8">
        <v>5</v>
      </c>
      <c r="E912" s="8" t="s">
        <v>1791</v>
      </c>
      <c r="F912" s="8" t="s">
        <v>911</v>
      </c>
      <c r="G912" s="8" t="s">
        <v>1787</v>
      </c>
      <c r="H912" s="10">
        <v>1</v>
      </c>
      <c r="I912" s="10"/>
      <c r="J912" s="10">
        <v>1</v>
      </c>
      <c r="K912" s="10">
        <v>34414.21</v>
      </c>
    </row>
    <row r="913" spans="1:11" x14ac:dyDescent="0.25">
      <c r="A913" s="8" t="s">
        <v>1792</v>
      </c>
      <c r="B913" s="8" t="s">
        <v>120</v>
      </c>
      <c r="C913" s="8" t="s">
        <v>1694</v>
      </c>
      <c r="D913" s="8">
        <v>5</v>
      </c>
      <c r="E913" s="8" t="s">
        <v>1793</v>
      </c>
      <c r="F913" s="8" t="s">
        <v>911</v>
      </c>
      <c r="G913" s="8" t="s">
        <v>1787</v>
      </c>
      <c r="H913" s="10">
        <v>1</v>
      </c>
      <c r="I913" s="10"/>
      <c r="J913" s="10">
        <v>1</v>
      </c>
      <c r="K913" s="10">
        <v>34414.21</v>
      </c>
    </row>
    <row r="914" spans="1:11" x14ac:dyDescent="0.25">
      <c r="A914" s="8" t="s">
        <v>1794</v>
      </c>
      <c r="B914" s="8" t="s">
        <v>120</v>
      </c>
      <c r="C914" s="8" t="s">
        <v>1694</v>
      </c>
      <c r="D914" s="8">
        <v>5</v>
      </c>
      <c r="E914" s="8" t="s">
        <v>1795</v>
      </c>
      <c r="F914" s="8" t="s">
        <v>911</v>
      </c>
      <c r="G914" s="8" t="s">
        <v>1787</v>
      </c>
      <c r="H914" s="10">
        <v>1</v>
      </c>
      <c r="I914" s="10"/>
      <c r="J914" s="10">
        <v>1</v>
      </c>
      <c r="K914" s="10">
        <v>34414.21</v>
      </c>
    </row>
    <row r="915" spans="1:11" x14ac:dyDescent="0.25">
      <c r="A915" s="8" t="s">
        <v>1796</v>
      </c>
      <c r="B915" s="8" t="s">
        <v>1655</v>
      </c>
      <c r="C915" s="8" t="s">
        <v>1746</v>
      </c>
      <c r="D915" s="8">
        <v>6</v>
      </c>
      <c r="E915" s="8" t="s">
        <v>1797</v>
      </c>
      <c r="F915" s="8" t="s">
        <v>911</v>
      </c>
      <c r="G915" s="8" t="s">
        <v>1748</v>
      </c>
      <c r="H915" s="10">
        <v>1</v>
      </c>
      <c r="I915" s="10"/>
      <c r="J915" s="10">
        <v>1</v>
      </c>
      <c r="K915" s="10">
        <v>15072.41</v>
      </c>
    </row>
    <row r="916" spans="1:11" x14ac:dyDescent="0.25">
      <c r="A916" s="8" t="s">
        <v>1798</v>
      </c>
      <c r="B916" s="8" t="s">
        <v>1650</v>
      </c>
      <c r="C916" s="8" t="s">
        <v>1746</v>
      </c>
      <c r="D916" s="8">
        <v>6</v>
      </c>
      <c r="E916" s="8" t="s">
        <v>1799</v>
      </c>
      <c r="F916" s="8" t="s">
        <v>911</v>
      </c>
      <c r="G916" s="8" t="s">
        <v>1748</v>
      </c>
      <c r="H916" s="10">
        <v>1</v>
      </c>
      <c r="I916" s="10"/>
      <c r="J916" s="10">
        <v>1</v>
      </c>
      <c r="K916" s="10">
        <v>15072.41</v>
      </c>
    </row>
    <row r="917" spans="1:11" x14ac:dyDescent="0.25">
      <c r="A917" s="8" t="s">
        <v>1800</v>
      </c>
      <c r="B917" s="8" t="s">
        <v>1655</v>
      </c>
      <c r="C917" s="8" t="s">
        <v>1746</v>
      </c>
      <c r="D917" s="8">
        <v>6</v>
      </c>
      <c r="E917" s="8" t="s">
        <v>1801</v>
      </c>
      <c r="F917" s="8" t="s">
        <v>911</v>
      </c>
      <c r="G917" s="8" t="s">
        <v>1748</v>
      </c>
      <c r="H917" s="10">
        <v>1</v>
      </c>
      <c r="I917" s="10"/>
      <c r="J917" s="10">
        <v>1</v>
      </c>
      <c r="K917" s="10">
        <v>15072.41</v>
      </c>
    </row>
    <row r="918" spans="1:11" x14ac:dyDescent="0.25">
      <c r="A918" s="8" t="s">
        <v>1802</v>
      </c>
      <c r="B918" s="8" t="s">
        <v>1655</v>
      </c>
      <c r="C918" s="8" t="s">
        <v>1746</v>
      </c>
      <c r="D918" s="8">
        <v>6</v>
      </c>
      <c r="E918" s="8" t="s">
        <v>1803</v>
      </c>
      <c r="F918" s="8" t="s">
        <v>911</v>
      </c>
      <c r="G918" s="8" t="s">
        <v>1748</v>
      </c>
      <c r="H918" s="10">
        <v>1</v>
      </c>
      <c r="I918" s="10"/>
      <c r="J918" s="10">
        <v>1</v>
      </c>
      <c r="K918" s="10">
        <v>15072.41</v>
      </c>
    </row>
    <row r="919" spans="1:11" x14ac:dyDescent="0.25">
      <c r="A919" s="8" t="s">
        <v>1804</v>
      </c>
      <c r="B919" s="8" t="s">
        <v>1650</v>
      </c>
      <c r="C919" s="8" t="s">
        <v>1746</v>
      </c>
      <c r="D919" s="8">
        <v>6</v>
      </c>
      <c r="E919" s="8" t="s">
        <v>1805</v>
      </c>
      <c r="F919" s="8" t="s">
        <v>911</v>
      </c>
      <c r="G919" s="8" t="s">
        <v>1748</v>
      </c>
      <c r="H919" s="10">
        <v>1</v>
      </c>
      <c r="I919" s="10"/>
      <c r="J919" s="10">
        <v>1</v>
      </c>
      <c r="K919" s="10">
        <v>15072.41</v>
      </c>
    </row>
    <row r="920" spans="1:11" x14ac:dyDescent="0.25">
      <c r="A920" s="8" t="s">
        <v>1806</v>
      </c>
      <c r="B920" s="8" t="s">
        <v>1650</v>
      </c>
      <c r="C920" s="8" t="s">
        <v>1746</v>
      </c>
      <c r="D920" s="8">
        <v>6</v>
      </c>
      <c r="E920" s="8" t="s">
        <v>1807</v>
      </c>
      <c r="F920" s="8" t="s">
        <v>911</v>
      </c>
      <c r="G920" s="8" t="s">
        <v>1748</v>
      </c>
      <c r="H920" s="10">
        <v>1</v>
      </c>
      <c r="I920" s="10"/>
      <c r="J920" s="10">
        <v>1</v>
      </c>
      <c r="K920" s="10">
        <v>15072.41</v>
      </c>
    </row>
    <row r="921" spans="1:11" x14ac:dyDescent="0.25">
      <c r="A921" s="8" t="s">
        <v>1808</v>
      </c>
      <c r="B921" s="8" t="s">
        <v>1655</v>
      </c>
      <c r="C921" s="8" t="s">
        <v>1746</v>
      </c>
      <c r="D921" s="8">
        <v>6</v>
      </c>
      <c r="E921" s="8" t="s">
        <v>1809</v>
      </c>
      <c r="F921" s="8" t="s">
        <v>911</v>
      </c>
      <c r="G921" s="8" t="s">
        <v>1748</v>
      </c>
      <c r="H921" s="10">
        <v>1</v>
      </c>
      <c r="I921" s="10"/>
      <c r="J921" s="10">
        <v>1</v>
      </c>
      <c r="K921" s="10">
        <v>15072.41</v>
      </c>
    </row>
    <row r="922" spans="1:11" x14ac:dyDescent="0.25">
      <c r="A922" s="8" t="s">
        <v>1810</v>
      </c>
      <c r="B922" s="8" t="s">
        <v>1655</v>
      </c>
      <c r="C922" s="8" t="s">
        <v>1746</v>
      </c>
      <c r="D922" s="8">
        <v>6</v>
      </c>
      <c r="E922" s="8" t="s">
        <v>1811</v>
      </c>
      <c r="F922" s="8" t="s">
        <v>911</v>
      </c>
      <c r="G922" s="8" t="s">
        <v>1748</v>
      </c>
      <c r="H922" s="10">
        <v>1</v>
      </c>
      <c r="I922" s="10"/>
      <c r="J922" s="10">
        <v>1</v>
      </c>
      <c r="K922" s="10">
        <v>15072.41</v>
      </c>
    </row>
    <row r="923" spans="1:11" x14ac:dyDescent="0.25">
      <c r="A923" s="8" t="s">
        <v>1812</v>
      </c>
      <c r="B923" s="8" t="s">
        <v>1655</v>
      </c>
      <c r="C923" s="8" t="s">
        <v>1746</v>
      </c>
      <c r="D923" s="8">
        <v>6</v>
      </c>
      <c r="E923" s="8" t="s">
        <v>1813</v>
      </c>
      <c r="F923" s="8" t="s">
        <v>911</v>
      </c>
      <c r="G923" s="8" t="s">
        <v>1748</v>
      </c>
      <c r="H923" s="10">
        <v>1</v>
      </c>
      <c r="I923" s="10"/>
      <c r="J923" s="10">
        <v>1</v>
      </c>
      <c r="K923" s="10">
        <v>15072.41</v>
      </c>
    </row>
    <row r="924" spans="1:11" x14ac:dyDescent="0.25">
      <c r="A924" s="8" t="s">
        <v>1814</v>
      </c>
      <c r="B924" s="8" t="s">
        <v>1655</v>
      </c>
      <c r="C924" s="8" t="s">
        <v>1746</v>
      </c>
      <c r="D924" s="8">
        <v>6</v>
      </c>
      <c r="E924" s="8" t="s">
        <v>1815</v>
      </c>
      <c r="F924" s="8" t="s">
        <v>911</v>
      </c>
      <c r="G924" s="8" t="s">
        <v>1748</v>
      </c>
      <c r="H924" s="10">
        <v>1</v>
      </c>
      <c r="I924" s="10"/>
      <c r="J924" s="10">
        <v>1</v>
      </c>
      <c r="K924" s="10">
        <v>15072.41</v>
      </c>
    </row>
    <row r="925" spans="1:11" x14ac:dyDescent="0.25">
      <c r="A925" s="8" t="s">
        <v>1816</v>
      </c>
      <c r="B925" s="8" t="s">
        <v>1655</v>
      </c>
      <c r="C925" s="8" t="s">
        <v>1746</v>
      </c>
      <c r="D925" s="8">
        <v>6</v>
      </c>
      <c r="E925" s="8" t="s">
        <v>1817</v>
      </c>
      <c r="F925" s="8" t="s">
        <v>911</v>
      </c>
      <c r="G925" s="8" t="s">
        <v>1748</v>
      </c>
      <c r="H925" s="10">
        <v>1</v>
      </c>
      <c r="I925" s="10"/>
      <c r="J925" s="10">
        <v>1</v>
      </c>
      <c r="K925" s="10">
        <v>15072.41</v>
      </c>
    </row>
    <row r="926" spans="1:11" x14ac:dyDescent="0.25">
      <c r="A926" s="8" t="s">
        <v>1818</v>
      </c>
      <c r="B926" s="8" t="s">
        <v>1655</v>
      </c>
      <c r="C926" s="8" t="s">
        <v>1746</v>
      </c>
      <c r="D926" s="8">
        <v>6</v>
      </c>
      <c r="E926" s="8" t="s">
        <v>1819</v>
      </c>
      <c r="F926" s="8" t="s">
        <v>911</v>
      </c>
      <c r="G926" s="8" t="s">
        <v>1748</v>
      </c>
      <c r="H926" s="10">
        <v>1</v>
      </c>
      <c r="I926" s="10"/>
      <c r="J926" s="10">
        <v>1</v>
      </c>
      <c r="K926" s="10">
        <v>15072.41</v>
      </c>
    </row>
    <row r="927" spans="1:11" x14ac:dyDescent="0.25">
      <c r="A927" s="8" t="s">
        <v>1820</v>
      </c>
      <c r="B927" s="8" t="s">
        <v>1655</v>
      </c>
      <c r="C927" s="8" t="s">
        <v>1746</v>
      </c>
      <c r="D927" s="8">
        <v>6</v>
      </c>
      <c r="E927" s="8" t="s">
        <v>1821</v>
      </c>
      <c r="F927" s="8" t="s">
        <v>911</v>
      </c>
      <c r="G927" s="8" t="s">
        <v>1748</v>
      </c>
      <c r="H927" s="10">
        <v>1</v>
      </c>
      <c r="I927" s="10"/>
      <c r="J927" s="10">
        <v>1</v>
      </c>
      <c r="K927" s="10">
        <v>15072.41</v>
      </c>
    </row>
    <row r="928" spans="1:11" x14ac:dyDescent="0.25">
      <c r="A928" s="8" t="s">
        <v>1822</v>
      </c>
      <c r="B928" s="8" t="s">
        <v>1655</v>
      </c>
      <c r="C928" s="8" t="s">
        <v>1746</v>
      </c>
      <c r="D928" s="8">
        <v>6</v>
      </c>
      <c r="E928" s="8" t="s">
        <v>1823</v>
      </c>
      <c r="F928" s="8" t="s">
        <v>911</v>
      </c>
      <c r="G928" s="8" t="s">
        <v>1748</v>
      </c>
      <c r="H928" s="10">
        <v>1</v>
      </c>
      <c r="I928" s="10"/>
      <c r="J928" s="10">
        <v>1</v>
      </c>
      <c r="K928" s="10">
        <v>15072.41</v>
      </c>
    </row>
    <row r="929" spans="1:11" x14ac:dyDescent="0.25">
      <c r="A929" s="8" t="s">
        <v>1824</v>
      </c>
      <c r="B929" s="8" t="s">
        <v>1655</v>
      </c>
      <c r="C929" s="8" t="s">
        <v>1746</v>
      </c>
      <c r="D929" s="8">
        <v>6</v>
      </c>
      <c r="E929" s="8" t="s">
        <v>1825</v>
      </c>
      <c r="F929" s="8" t="s">
        <v>911</v>
      </c>
      <c r="G929" s="8" t="s">
        <v>1748</v>
      </c>
      <c r="H929" s="10">
        <v>1</v>
      </c>
      <c r="I929" s="10"/>
      <c r="J929" s="10">
        <v>1</v>
      </c>
      <c r="K929" s="10">
        <v>15072.41</v>
      </c>
    </row>
    <row r="930" spans="1:11" x14ac:dyDescent="0.25">
      <c r="A930" s="8" t="s">
        <v>1826</v>
      </c>
      <c r="B930" s="8" t="s">
        <v>1655</v>
      </c>
      <c r="C930" s="8" t="s">
        <v>1746</v>
      </c>
      <c r="D930" s="8">
        <v>6</v>
      </c>
      <c r="E930" s="8" t="s">
        <v>1827</v>
      </c>
      <c r="F930" s="8" t="s">
        <v>911</v>
      </c>
      <c r="G930" s="8" t="s">
        <v>1748</v>
      </c>
      <c r="H930" s="10">
        <v>1</v>
      </c>
      <c r="I930" s="10"/>
      <c r="J930" s="10">
        <v>1</v>
      </c>
      <c r="K930" s="10">
        <v>15072.41</v>
      </c>
    </row>
    <row r="931" spans="1:11" x14ac:dyDescent="0.25">
      <c r="A931" s="8" t="s">
        <v>1828</v>
      </c>
      <c r="B931" s="8" t="s">
        <v>1655</v>
      </c>
      <c r="C931" s="8" t="s">
        <v>1746</v>
      </c>
      <c r="D931" s="8">
        <v>6</v>
      </c>
      <c r="E931" s="8" t="s">
        <v>1829</v>
      </c>
      <c r="F931" s="8" t="s">
        <v>911</v>
      </c>
      <c r="G931" s="8" t="s">
        <v>1748</v>
      </c>
      <c r="H931" s="10">
        <v>1</v>
      </c>
      <c r="I931" s="10"/>
      <c r="J931" s="10">
        <v>1</v>
      </c>
      <c r="K931" s="10">
        <v>15072.41</v>
      </c>
    </row>
    <row r="932" spans="1:11" x14ac:dyDescent="0.25">
      <c r="A932" s="8" t="s">
        <v>1830</v>
      </c>
      <c r="B932" s="8" t="s">
        <v>1655</v>
      </c>
      <c r="C932" s="8" t="s">
        <v>1746</v>
      </c>
      <c r="D932" s="8">
        <v>6</v>
      </c>
      <c r="E932" s="8" t="s">
        <v>1831</v>
      </c>
      <c r="F932" s="8" t="s">
        <v>911</v>
      </c>
      <c r="G932" s="8" t="s">
        <v>1748</v>
      </c>
      <c r="H932" s="10">
        <v>1</v>
      </c>
      <c r="I932" s="10"/>
      <c r="J932" s="10">
        <v>1</v>
      </c>
      <c r="K932" s="10">
        <v>15072.41</v>
      </c>
    </row>
    <row r="933" spans="1:11" x14ac:dyDescent="0.25">
      <c r="A933" s="8" t="s">
        <v>1832</v>
      </c>
      <c r="B933" s="8" t="s">
        <v>1655</v>
      </c>
      <c r="C933" s="8" t="s">
        <v>1746</v>
      </c>
      <c r="D933" s="8">
        <v>6</v>
      </c>
      <c r="E933" s="8" t="s">
        <v>1833</v>
      </c>
      <c r="F933" s="8" t="s">
        <v>911</v>
      </c>
      <c r="G933" s="8" t="s">
        <v>1748</v>
      </c>
      <c r="H933" s="10">
        <v>1</v>
      </c>
      <c r="I933" s="10"/>
      <c r="J933" s="10">
        <v>1</v>
      </c>
      <c r="K933" s="10">
        <v>15072.41</v>
      </c>
    </row>
    <row r="934" spans="1:11" x14ac:dyDescent="0.25">
      <c r="A934" s="8" t="s">
        <v>1834</v>
      </c>
      <c r="B934" s="8" t="s">
        <v>120</v>
      </c>
      <c r="C934" s="8" t="s">
        <v>1746</v>
      </c>
      <c r="D934" s="8">
        <v>6</v>
      </c>
      <c r="E934" s="8" t="s">
        <v>1835</v>
      </c>
      <c r="F934" s="8" t="s">
        <v>911</v>
      </c>
      <c r="G934" s="8" t="s">
        <v>1748</v>
      </c>
      <c r="H934" s="10">
        <v>1</v>
      </c>
      <c r="I934" s="10"/>
      <c r="J934" s="10">
        <v>1</v>
      </c>
      <c r="K934" s="10">
        <v>15072.41</v>
      </c>
    </row>
    <row r="935" spans="1:11" x14ac:dyDescent="0.25">
      <c r="A935" s="8" t="s">
        <v>1836</v>
      </c>
      <c r="B935" s="8" t="s">
        <v>120</v>
      </c>
      <c r="C935" s="8" t="s">
        <v>1746</v>
      </c>
      <c r="D935" s="8">
        <v>6</v>
      </c>
      <c r="E935" s="8" t="s">
        <v>1837</v>
      </c>
      <c r="F935" s="8" t="s">
        <v>911</v>
      </c>
      <c r="G935" s="8" t="s">
        <v>1748</v>
      </c>
      <c r="H935" s="10">
        <v>1</v>
      </c>
      <c r="I935" s="10"/>
      <c r="J935" s="10">
        <v>1</v>
      </c>
      <c r="K935" s="10">
        <v>15072.41</v>
      </c>
    </row>
    <row r="936" spans="1:11" x14ac:dyDescent="0.25">
      <c r="A936" s="8" t="s">
        <v>1838</v>
      </c>
      <c r="B936" s="8" t="s">
        <v>120</v>
      </c>
      <c r="C936" s="8" t="s">
        <v>1746</v>
      </c>
      <c r="D936" s="8">
        <v>6</v>
      </c>
      <c r="E936" s="8" t="s">
        <v>1839</v>
      </c>
      <c r="F936" s="8" t="s">
        <v>911</v>
      </c>
      <c r="G936" s="8" t="s">
        <v>1748</v>
      </c>
      <c r="H936" s="10">
        <v>1</v>
      </c>
      <c r="I936" s="10"/>
      <c r="J936" s="10">
        <v>1</v>
      </c>
      <c r="K936" s="10">
        <v>15072.41</v>
      </c>
    </row>
    <row r="937" spans="1:11" x14ac:dyDescent="0.25">
      <c r="A937" s="8" t="s">
        <v>1840</v>
      </c>
      <c r="B937" s="8" t="s">
        <v>120</v>
      </c>
      <c r="C937" s="8" t="s">
        <v>1746</v>
      </c>
      <c r="D937" s="8">
        <v>6</v>
      </c>
      <c r="E937" s="8" t="s">
        <v>1841</v>
      </c>
      <c r="F937" s="8" t="s">
        <v>911</v>
      </c>
      <c r="G937" s="8" t="s">
        <v>1748</v>
      </c>
      <c r="H937" s="10">
        <v>1</v>
      </c>
      <c r="I937" s="10"/>
      <c r="J937" s="10">
        <v>1</v>
      </c>
      <c r="K937" s="10">
        <v>15072.41</v>
      </c>
    </row>
    <row r="938" spans="1:11" x14ac:dyDescent="0.25">
      <c r="A938" s="8" t="s">
        <v>1842</v>
      </c>
      <c r="B938" s="8" t="s">
        <v>120</v>
      </c>
      <c r="C938" s="8" t="s">
        <v>1746</v>
      </c>
      <c r="D938" s="8">
        <v>6</v>
      </c>
      <c r="E938" s="8" t="s">
        <v>1843</v>
      </c>
      <c r="F938" s="8" t="s">
        <v>911</v>
      </c>
      <c r="G938" s="8" t="s">
        <v>1748</v>
      </c>
      <c r="H938" s="10">
        <v>1</v>
      </c>
      <c r="I938" s="10"/>
      <c r="J938" s="10">
        <v>1</v>
      </c>
      <c r="K938" s="10">
        <v>15072.41</v>
      </c>
    </row>
    <row r="939" spans="1:11" x14ac:dyDescent="0.25">
      <c r="A939" s="8" t="s">
        <v>1844</v>
      </c>
      <c r="B939" s="8" t="s">
        <v>120</v>
      </c>
      <c r="C939" s="8" t="s">
        <v>1746</v>
      </c>
      <c r="D939" s="8">
        <v>6</v>
      </c>
      <c r="E939" s="8" t="s">
        <v>1845</v>
      </c>
      <c r="F939" s="8" t="s">
        <v>911</v>
      </c>
      <c r="G939" s="8" t="s">
        <v>1748</v>
      </c>
      <c r="H939" s="10">
        <v>1</v>
      </c>
      <c r="I939" s="10"/>
      <c r="J939" s="10">
        <v>1</v>
      </c>
      <c r="K939" s="10">
        <v>15072.41</v>
      </c>
    </row>
    <row r="940" spans="1:11" x14ac:dyDescent="0.25">
      <c r="A940" s="8" t="s">
        <v>1846</v>
      </c>
      <c r="B940" s="8" t="s">
        <v>120</v>
      </c>
      <c r="C940" s="8" t="s">
        <v>1746</v>
      </c>
      <c r="D940" s="8">
        <v>6</v>
      </c>
      <c r="E940" s="8" t="s">
        <v>1847</v>
      </c>
      <c r="F940" s="8" t="s">
        <v>911</v>
      </c>
      <c r="G940" s="8" t="s">
        <v>1748</v>
      </c>
      <c r="H940" s="10">
        <v>1</v>
      </c>
      <c r="I940" s="10"/>
      <c r="J940" s="10">
        <v>1</v>
      </c>
      <c r="K940" s="10">
        <v>15072.41</v>
      </c>
    </row>
    <row r="941" spans="1:11" x14ac:dyDescent="0.25">
      <c r="A941" s="8" t="s">
        <v>1848</v>
      </c>
      <c r="B941" s="8" t="s">
        <v>120</v>
      </c>
      <c r="C941" s="8" t="s">
        <v>1746</v>
      </c>
      <c r="D941" s="8">
        <v>6</v>
      </c>
      <c r="E941" s="8" t="s">
        <v>1849</v>
      </c>
      <c r="F941" s="8" t="s">
        <v>911</v>
      </c>
      <c r="G941" s="8" t="s">
        <v>1748</v>
      </c>
      <c r="H941" s="10">
        <v>1</v>
      </c>
      <c r="I941" s="10"/>
      <c r="J941" s="10">
        <v>1</v>
      </c>
      <c r="K941" s="10">
        <v>15072.41</v>
      </c>
    </row>
    <row r="942" spans="1:11" x14ac:dyDescent="0.25">
      <c r="A942" s="8" t="s">
        <v>1850</v>
      </c>
      <c r="B942" s="8" t="s">
        <v>1655</v>
      </c>
      <c r="C942" s="8" t="s">
        <v>1746</v>
      </c>
      <c r="D942" s="8">
        <v>6</v>
      </c>
      <c r="E942" s="8" t="s">
        <v>1851</v>
      </c>
      <c r="F942" s="8" t="s">
        <v>911</v>
      </c>
      <c r="G942" s="8" t="s">
        <v>1748</v>
      </c>
      <c r="H942" s="10">
        <v>1</v>
      </c>
      <c r="I942" s="10"/>
      <c r="J942" s="10">
        <v>1</v>
      </c>
      <c r="K942" s="10">
        <v>15072.41</v>
      </c>
    </row>
    <row r="943" spans="1:11" x14ac:dyDescent="0.25">
      <c r="A943" s="8" t="s">
        <v>1852</v>
      </c>
      <c r="B943" s="8" t="s">
        <v>120</v>
      </c>
      <c r="C943" s="8" t="s">
        <v>1746</v>
      </c>
      <c r="D943" s="8">
        <v>6</v>
      </c>
      <c r="E943" s="8" t="s">
        <v>1853</v>
      </c>
      <c r="F943" s="8" t="s">
        <v>911</v>
      </c>
      <c r="G943" s="8" t="s">
        <v>1748</v>
      </c>
      <c r="H943" s="10">
        <v>1</v>
      </c>
      <c r="I943" s="10"/>
      <c r="J943" s="10">
        <v>1</v>
      </c>
      <c r="K943" s="10">
        <v>15072.41</v>
      </c>
    </row>
    <row r="944" spans="1:11" x14ac:dyDescent="0.25">
      <c r="A944" s="8" t="s">
        <v>1854</v>
      </c>
      <c r="B944" s="8" t="s">
        <v>120</v>
      </c>
      <c r="C944" s="8" t="s">
        <v>1746</v>
      </c>
      <c r="D944" s="8">
        <v>6</v>
      </c>
      <c r="E944" s="8" t="s">
        <v>1855</v>
      </c>
      <c r="F944" s="8" t="s">
        <v>911</v>
      </c>
      <c r="G944" s="8" t="s">
        <v>1748</v>
      </c>
      <c r="H944" s="10">
        <v>1</v>
      </c>
      <c r="I944" s="10"/>
      <c r="J944" s="10">
        <v>1</v>
      </c>
      <c r="K944" s="10">
        <v>15072.41</v>
      </c>
    </row>
    <row r="945" spans="1:11" x14ac:dyDescent="0.25">
      <c r="A945" s="8" t="s">
        <v>1856</v>
      </c>
      <c r="B945" s="8" t="s">
        <v>120</v>
      </c>
      <c r="C945" s="8" t="s">
        <v>1746</v>
      </c>
      <c r="D945" s="8">
        <v>6</v>
      </c>
      <c r="E945" s="8" t="s">
        <v>1857</v>
      </c>
      <c r="F945" s="8" t="s">
        <v>911</v>
      </c>
      <c r="G945" s="8" t="s">
        <v>1748</v>
      </c>
      <c r="H945" s="10">
        <v>1</v>
      </c>
      <c r="I945" s="10"/>
      <c r="J945" s="10">
        <v>1</v>
      </c>
      <c r="K945" s="10">
        <v>15072.41</v>
      </c>
    </row>
    <row r="946" spans="1:11" x14ac:dyDescent="0.25">
      <c r="A946" s="8" t="s">
        <v>1858</v>
      </c>
      <c r="B946" s="8" t="s">
        <v>120</v>
      </c>
      <c r="C946" s="8" t="s">
        <v>1746</v>
      </c>
      <c r="D946" s="8">
        <v>6</v>
      </c>
      <c r="E946" s="8" t="s">
        <v>1859</v>
      </c>
      <c r="F946" s="8" t="s">
        <v>911</v>
      </c>
      <c r="G946" s="8" t="s">
        <v>1748</v>
      </c>
      <c r="H946" s="10">
        <v>1</v>
      </c>
      <c r="I946" s="10"/>
      <c r="J946" s="10">
        <v>1</v>
      </c>
      <c r="K946" s="10">
        <v>15072.41</v>
      </c>
    </row>
    <row r="947" spans="1:11" x14ac:dyDescent="0.25">
      <c r="A947" s="8" t="s">
        <v>1860</v>
      </c>
      <c r="B947" s="8" t="s">
        <v>120</v>
      </c>
      <c r="C947" s="8" t="s">
        <v>1746</v>
      </c>
      <c r="D947" s="8">
        <v>6</v>
      </c>
      <c r="E947" s="8" t="s">
        <v>1861</v>
      </c>
      <c r="F947" s="8" t="s">
        <v>911</v>
      </c>
      <c r="G947" s="8" t="s">
        <v>1748</v>
      </c>
      <c r="H947" s="10">
        <v>1</v>
      </c>
      <c r="I947" s="10"/>
      <c r="J947" s="10">
        <v>1</v>
      </c>
      <c r="K947" s="10">
        <v>15072.41</v>
      </c>
    </row>
    <row r="948" spans="1:11" x14ac:dyDescent="0.25">
      <c r="A948" s="8" t="s">
        <v>1862</v>
      </c>
      <c r="B948" s="8" t="s">
        <v>120</v>
      </c>
      <c r="C948" s="8" t="s">
        <v>1746</v>
      </c>
      <c r="D948" s="8">
        <v>6</v>
      </c>
      <c r="E948" s="8" t="s">
        <v>1863</v>
      </c>
      <c r="F948" s="8" t="s">
        <v>911</v>
      </c>
      <c r="G948" s="8" t="s">
        <v>1748</v>
      </c>
      <c r="H948" s="10">
        <v>1</v>
      </c>
      <c r="I948" s="10"/>
      <c r="J948" s="10">
        <v>1</v>
      </c>
      <c r="K948" s="10">
        <v>15072.41</v>
      </c>
    </row>
    <row r="949" spans="1:11" x14ac:dyDescent="0.25">
      <c r="A949" s="8" t="s">
        <v>1864</v>
      </c>
      <c r="B949" s="8" t="s">
        <v>120</v>
      </c>
      <c r="C949" s="8" t="s">
        <v>1746</v>
      </c>
      <c r="D949" s="8">
        <v>6</v>
      </c>
      <c r="E949" s="8" t="s">
        <v>1865</v>
      </c>
      <c r="F949" s="8" t="s">
        <v>911</v>
      </c>
      <c r="G949" s="8" t="s">
        <v>1748</v>
      </c>
      <c r="H949" s="10">
        <v>1</v>
      </c>
      <c r="I949" s="10"/>
      <c r="J949" s="10">
        <v>1</v>
      </c>
      <c r="K949" s="10">
        <v>15072.41</v>
      </c>
    </row>
    <row r="950" spans="1:11" x14ac:dyDescent="0.25">
      <c r="A950" s="8" t="s">
        <v>1866</v>
      </c>
      <c r="B950" s="8" t="s">
        <v>1650</v>
      </c>
      <c r="C950" s="8" t="s">
        <v>1746</v>
      </c>
      <c r="D950" s="8">
        <v>6</v>
      </c>
      <c r="E950" s="8" t="s">
        <v>1867</v>
      </c>
      <c r="F950" s="8" t="s">
        <v>911</v>
      </c>
      <c r="G950" s="8" t="s">
        <v>1748</v>
      </c>
      <c r="H950" s="10">
        <v>1</v>
      </c>
      <c r="I950" s="10"/>
      <c r="J950" s="10">
        <v>1</v>
      </c>
      <c r="K950" s="10">
        <v>30144.82</v>
      </c>
    </row>
    <row r="951" spans="1:11" x14ac:dyDescent="0.25">
      <c r="A951" s="8" t="s">
        <v>1868</v>
      </c>
      <c r="B951" s="8" t="s">
        <v>1650</v>
      </c>
      <c r="C951" s="8" t="s">
        <v>1746</v>
      </c>
      <c r="D951" s="8">
        <v>6</v>
      </c>
      <c r="E951" s="8" t="s">
        <v>1869</v>
      </c>
      <c r="F951" s="8" t="s">
        <v>911</v>
      </c>
      <c r="G951" s="8" t="s">
        <v>1748</v>
      </c>
      <c r="H951" s="10">
        <v>1</v>
      </c>
      <c r="I951" s="10"/>
      <c r="J951" s="10">
        <v>1</v>
      </c>
      <c r="K951" s="10">
        <v>30144.82</v>
      </c>
    </row>
    <row r="952" spans="1:11" x14ac:dyDescent="0.25">
      <c r="A952" s="8" t="s">
        <v>1870</v>
      </c>
      <c r="B952" s="8" t="s">
        <v>1650</v>
      </c>
      <c r="C952" s="8" t="s">
        <v>1746</v>
      </c>
      <c r="D952" s="8">
        <v>6</v>
      </c>
      <c r="E952" s="8" t="s">
        <v>1871</v>
      </c>
      <c r="F952" s="8" t="s">
        <v>911</v>
      </c>
      <c r="G952" s="8" t="s">
        <v>1748</v>
      </c>
      <c r="H952" s="10">
        <v>1</v>
      </c>
      <c r="I952" s="10"/>
      <c r="J952" s="10">
        <v>1</v>
      </c>
      <c r="K952" s="10">
        <v>30144.82</v>
      </c>
    </row>
    <row r="953" spans="1:11" x14ac:dyDescent="0.25">
      <c r="A953" s="8" t="s">
        <v>1872</v>
      </c>
      <c r="B953" s="8" t="s">
        <v>120</v>
      </c>
      <c r="C953" s="8" t="s">
        <v>1746</v>
      </c>
      <c r="D953" s="8">
        <v>6</v>
      </c>
      <c r="E953" s="8" t="s">
        <v>1873</v>
      </c>
      <c r="F953" s="8" t="s">
        <v>911</v>
      </c>
      <c r="G953" s="8" t="s">
        <v>1748</v>
      </c>
      <c r="H953" s="10">
        <v>1</v>
      </c>
      <c r="I953" s="10"/>
      <c r="J953" s="10">
        <v>1</v>
      </c>
      <c r="K953" s="10">
        <v>30144.82</v>
      </c>
    </row>
    <row r="954" spans="1:11" x14ac:dyDescent="0.25">
      <c r="A954" s="8" t="s">
        <v>1874</v>
      </c>
      <c r="B954" s="8" t="s">
        <v>120</v>
      </c>
      <c r="C954" s="8" t="s">
        <v>1746</v>
      </c>
      <c r="D954" s="8">
        <v>6</v>
      </c>
      <c r="E954" s="8" t="s">
        <v>1875</v>
      </c>
      <c r="F954" s="8" t="s">
        <v>911</v>
      </c>
      <c r="G954" s="8" t="s">
        <v>1748</v>
      </c>
      <c r="H954" s="10">
        <v>1</v>
      </c>
      <c r="I954" s="10"/>
      <c r="J954" s="10">
        <v>1</v>
      </c>
      <c r="K954" s="10">
        <v>30144.82</v>
      </c>
    </row>
    <row r="955" spans="1:11" x14ac:dyDescent="0.25">
      <c r="A955" s="8" t="s">
        <v>1876</v>
      </c>
      <c r="B955" s="8" t="s">
        <v>120</v>
      </c>
      <c r="C955" s="8" t="s">
        <v>1746</v>
      </c>
      <c r="D955" s="8">
        <v>6</v>
      </c>
      <c r="E955" s="8" t="s">
        <v>1877</v>
      </c>
      <c r="F955" s="8" t="s">
        <v>911</v>
      </c>
      <c r="G955" s="8" t="s">
        <v>1748</v>
      </c>
      <c r="H955" s="10">
        <v>1</v>
      </c>
      <c r="I955" s="10"/>
      <c r="J955" s="10">
        <v>1</v>
      </c>
      <c r="K955" s="10">
        <v>30144.82</v>
      </c>
    </row>
    <row r="956" spans="1:11" x14ac:dyDescent="0.25">
      <c r="A956" s="8" t="s">
        <v>1878</v>
      </c>
      <c r="B956" s="8" t="s">
        <v>120</v>
      </c>
      <c r="C956" s="8" t="s">
        <v>1746</v>
      </c>
      <c r="D956" s="8">
        <v>6</v>
      </c>
      <c r="E956" s="8" t="s">
        <v>1879</v>
      </c>
      <c r="F956" s="8" t="s">
        <v>911</v>
      </c>
      <c r="G956" s="8" t="s">
        <v>1748</v>
      </c>
      <c r="H956" s="10">
        <v>1</v>
      </c>
      <c r="I956" s="10"/>
      <c r="J956" s="10">
        <v>1</v>
      </c>
      <c r="K956" s="10">
        <v>30144.82</v>
      </c>
    </row>
    <row r="957" spans="1:11" x14ac:dyDescent="0.25">
      <c r="A957" s="8" t="s">
        <v>1880</v>
      </c>
      <c r="B957" s="8" t="s">
        <v>120</v>
      </c>
      <c r="C957" s="8" t="s">
        <v>1746</v>
      </c>
      <c r="D957" s="8">
        <v>6</v>
      </c>
      <c r="E957" s="8" t="s">
        <v>1881</v>
      </c>
      <c r="F957" s="8" t="s">
        <v>911</v>
      </c>
      <c r="G957" s="8" t="s">
        <v>1748</v>
      </c>
      <c r="H957" s="10">
        <v>1</v>
      </c>
      <c r="I957" s="10"/>
      <c r="J957" s="10">
        <v>1</v>
      </c>
      <c r="K957" s="10">
        <v>45217.23</v>
      </c>
    </row>
    <row r="958" spans="1:11" x14ac:dyDescent="0.25">
      <c r="A958" s="8" t="s">
        <v>1882</v>
      </c>
      <c r="B958" s="8" t="s">
        <v>120</v>
      </c>
      <c r="C958" s="8" t="s">
        <v>1746</v>
      </c>
      <c r="D958" s="8">
        <v>6</v>
      </c>
      <c r="E958" s="8" t="s">
        <v>1883</v>
      </c>
      <c r="F958" s="8" t="s">
        <v>911</v>
      </c>
      <c r="G958" s="8" t="s">
        <v>1748</v>
      </c>
      <c r="H958" s="10">
        <v>1</v>
      </c>
      <c r="I958" s="10"/>
      <c r="J958" s="10">
        <v>1</v>
      </c>
      <c r="K958" s="10">
        <v>45217.23</v>
      </c>
    </row>
    <row r="959" spans="1:11" x14ac:dyDescent="0.25">
      <c r="A959" s="8" t="s">
        <v>1884</v>
      </c>
      <c r="B959" s="8" t="s">
        <v>120</v>
      </c>
      <c r="C959" s="8" t="s">
        <v>1746</v>
      </c>
      <c r="D959" s="8">
        <v>6</v>
      </c>
      <c r="E959" s="8" t="s">
        <v>1885</v>
      </c>
      <c r="F959" s="8" t="s">
        <v>911</v>
      </c>
      <c r="G959" s="8" t="s">
        <v>1748</v>
      </c>
      <c r="H959" s="10">
        <v>1</v>
      </c>
      <c r="I959" s="10"/>
      <c r="J959" s="10">
        <v>1</v>
      </c>
      <c r="K959" s="10">
        <v>45217.23</v>
      </c>
    </row>
    <row r="960" spans="1:11" x14ac:dyDescent="0.25">
      <c r="A960" s="8" t="s">
        <v>1886</v>
      </c>
      <c r="B960" s="8" t="s">
        <v>120</v>
      </c>
      <c r="C960" s="8" t="s">
        <v>1746</v>
      </c>
      <c r="D960" s="8">
        <v>6</v>
      </c>
      <c r="E960" s="8" t="s">
        <v>1887</v>
      </c>
      <c r="F960" s="8" t="s">
        <v>911</v>
      </c>
      <c r="G960" s="8" t="s">
        <v>1748</v>
      </c>
      <c r="H960" s="10">
        <v>1</v>
      </c>
      <c r="I960" s="10"/>
      <c r="J960" s="10">
        <v>1</v>
      </c>
      <c r="K960" s="10">
        <v>45217.23</v>
      </c>
    </row>
    <row r="961" spans="1:11" x14ac:dyDescent="0.25">
      <c r="A961" s="8" t="s">
        <v>1888</v>
      </c>
      <c r="B961" s="8" t="s">
        <v>120</v>
      </c>
      <c r="C961" s="8" t="s">
        <v>1746</v>
      </c>
      <c r="D961" s="8">
        <v>6</v>
      </c>
      <c r="E961" s="8" t="s">
        <v>1889</v>
      </c>
      <c r="F961" s="8" t="s">
        <v>911</v>
      </c>
      <c r="G961" s="8" t="s">
        <v>1748</v>
      </c>
      <c r="H961" s="10">
        <v>1</v>
      </c>
      <c r="I961" s="10"/>
      <c r="J961" s="10">
        <v>1</v>
      </c>
      <c r="K961" s="10">
        <v>45217.23</v>
      </c>
    </row>
    <row r="962" spans="1:11" x14ac:dyDescent="0.25">
      <c r="A962" s="8" t="s">
        <v>1890</v>
      </c>
      <c r="B962" s="8" t="s">
        <v>120</v>
      </c>
      <c r="C962" s="8" t="s">
        <v>1746</v>
      </c>
      <c r="D962" s="8">
        <v>6</v>
      </c>
      <c r="E962" s="8" t="s">
        <v>1891</v>
      </c>
      <c r="F962" s="8" t="s">
        <v>911</v>
      </c>
      <c r="G962" s="8" t="s">
        <v>1748</v>
      </c>
      <c r="H962" s="10">
        <v>1</v>
      </c>
      <c r="I962" s="10"/>
      <c r="J962" s="10">
        <v>1</v>
      </c>
      <c r="K962" s="10">
        <v>45217.23</v>
      </c>
    </row>
    <row r="963" spans="1:11" x14ac:dyDescent="0.25">
      <c r="A963" s="8" t="s">
        <v>1892</v>
      </c>
      <c r="B963" s="8" t="s">
        <v>120</v>
      </c>
      <c r="C963" s="8" t="s">
        <v>1746</v>
      </c>
      <c r="D963" s="8">
        <v>6</v>
      </c>
      <c r="E963" s="8" t="s">
        <v>1893</v>
      </c>
      <c r="F963" s="8" t="s">
        <v>911</v>
      </c>
      <c r="G963" s="8" t="s">
        <v>1748</v>
      </c>
      <c r="H963" s="10">
        <v>1</v>
      </c>
      <c r="I963" s="10"/>
      <c r="J963" s="10">
        <v>1</v>
      </c>
      <c r="K963" s="10">
        <v>45217.23</v>
      </c>
    </row>
    <row r="964" spans="1:11" x14ac:dyDescent="0.25">
      <c r="A964" s="8" t="s">
        <v>1894</v>
      </c>
      <c r="B964" s="8" t="s">
        <v>120</v>
      </c>
      <c r="C964" s="8" t="s">
        <v>1746</v>
      </c>
      <c r="D964" s="8">
        <v>6</v>
      </c>
      <c r="E964" s="8" t="s">
        <v>1895</v>
      </c>
      <c r="F964" s="8" t="s">
        <v>911</v>
      </c>
      <c r="G964" s="8" t="s">
        <v>1748</v>
      </c>
      <c r="H964" s="10">
        <v>1</v>
      </c>
      <c r="I964" s="10"/>
      <c r="J964" s="10">
        <v>1</v>
      </c>
      <c r="K964" s="10">
        <v>45217.23</v>
      </c>
    </row>
    <row r="965" spans="1:11" x14ac:dyDescent="0.25">
      <c r="A965" s="8" t="s">
        <v>1896</v>
      </c>
      <c r="B965" s="8" t="s">
        <v>120</v>
      </c>
      <c r="C965" s="8" t="s">
        <v>1746</v>
      </c>
      <c r="D965" s="8">
        <v>6</v>
      </c>
      <c r="E965" s="8" t="s">
        <v>1897</v>
      </c>
      <c r="F965" s="8" t="s">
        <v>911</v>
      </c>
      <c r="G965" s="8" t="s">
        <v>1748</v>
      </c>
      <c r="H965" s="10">
        <v>1</v>
      </c>
      <c r="I965" s="10"/>
      <c r="J965" s="10">
        <v>1</v>
      </c>
      <c r="K965" s="10">
        <v>45217.23</v>
      </c>
    </row>
    <row r="966" spans="1:11" x14ac:dyDescent="0.25">
      <c r="A966" s="8" t="s">
        <v>1898</v>
      </c>
      <c r="B966" s="8" t="s">
        <v>120</v>
      </c>
      <c r="C966" s="8" t="s">
        <v>1746</v>
      </c>
      <c r="D966" s="8">
        <v>6</v>
      </c>
      <c r="E966" s="8" t="s">
        <v>1899</v>
      </c>
      <c r="F966" s="8" t="s">
        <v>911</v>
      </c>
      <c r="G966" s="8" t="s">
        <v>1748</v>
      </c>
      <c r="H966" s="10">
        <v>1</v>
      </c>
      <c r="I966" s="10"/>
      <c r="J966" s="10">
        <v>1</v>
      </c>
      <c r="K966" s="10">
        <v>45217.23</v>
      </c>
    </row>
    <row r="967" spans="1:11" x14ac:dyDescent="0.25">
      <c r="A967" s="8" t="s">
        <v>1900</v>
      </c>
      <c r="B967" s="8" t="s">
        <v>120</v>
      </c>
      <c r="C967" s="8" t="s">
        <v>1746</v>
      </c>
      <c r="D967" s="8">
        <v>6</v>
      </c>
      <c r="E967" s="8" t="s">
        <v>1901</v>
      </c>
      <c r="F967" s="8" t="s">
        <v>911</v>
      </c>
      <c r="G967" s="8" t="s">
        <v>1748</v>
      </c>
      <c r="H967" s="10">
        <v>1</v>
      </c>
      <c r="I967" s="10"/>
      <c r="J967" s="10">
        <v>1</v>
      </c>
      <c r="K967" s="10">
        <v>45217.23</v>
      </c>
    </row>
    <row r="968" spans="1:11" x14ac:dyDescent="0.25">
      <c r="A968" s="8" t="s">
        <v>1902</v>
      </c>
      <c r="B968" s="8" t="s">
        <v>120</v>
      </c>
      <c r="C968" s="8" t="s">
        <v>1746</v>
      </c>
      <c r="D968" s="8">
        <v>6</v>
      </c>
      <c r="E968" s="8" t="s">
        <v>1903</v>
      </c>
      <c r="F968" s="8" t="s">
        <v>911</v>
      </c>
      <c r="G968" s="8" t="s">
        <v>1748</v>
      </c>
      <c r="H968" s="10">
        <v>1</v>
      </c>
      <c r="I968" s="10"/>
      <c r="J968" s="10">
        <v>1</v>
      </c>
      <c r="K968" s="10">
        <v>45217.23</v>
      </c>
    </row>
    <row r="969" spans="1:11" x14ac:dyDescent="0.25">
      <c r="A969" s="8" t="s">
        <v>1904</v>
      </c>
      <c r="B969" s="8" t="s">
        <v>120</v>
      </c>
      <c r="C969" s="8" t="s">
        <v>1746</v>
      </c>
      <c r="D969" s="8">
        <v>6</v>
      </c>
      <c r="E969" s="8" t="s">
        <v>1905</v>
      </c>
      <c r="F969" s="8" t="s">
        <v>911</v>
      </c>
      <c r="G969" s="8" t="s">
        <v>1748</v>
      </c>
      <c r="H969" s="10">
        <v>1</v>
      </c>
      <c r="I969" s="10"/>
      <c r="J969" s="10">
        <v>1</v>
      </c>
      <c r="K969" s="10">
        <v>45217.23</v>
      </c>
    </row>
    <row r="970" spans="1:11" x14ac:dyDescent="0.25">
      <c r="A970" s="8" t="s">
        <v>1906</v>
      </c>
      <c r="B970" s="8" t="s">
        <v>120</v>
      </c>
      <c r="C970" s="8" t="s">
        <v>1746</v>
      </c>
      <c r="D970" s="8">
        <v>6</v>
      </c>
      <c r="E970" s="8" t="s">
        <v>1907</v>
      </c>
      <c r="F970" s="8" t="s">
        <v>911</v>
      </c>
      <c r="G970" s="8" t="s">
        <v>1748</v>
      </c>
      <c r="H970" s="10">
        <v>1</v>
      </c>
      <c r="I970" s="10"/>
      <c r="J970" s="10">
        <v>1</v>
      </c>
      <c r="K970" s="10">
        <v>45217.23</v>
      </c>
    </row>
    <row r="971" spans="1:11" x14ac:dyDescent="0.25">
      <c r="A971" s="8" t="s">
        <v>1908</v>
      </c>
      <c r="B971" s="8" t="s">
        <v>1655</v>
      </c>
      <c r="C971" s="8" t="s">
        <v>1746</v>
      </c>
      <c r="D971" s="8">
        <v>6</v>
      </c>
      <c r="E971" s="8" t="s">
        <v>1909</v>
      </c>
      <c r="F971" s="8" t="s">
        <v>911</v>
      </c>
      <c r="G971" s="8" t="s">
        <v>1748</v>
      </c>
      <c r="H971" s="10">
        <v>1</v>
      </c>
      <c r="I971" s="10"/>
      <c r="J971" s="10">
        <v>1</v>
      </c>
      <c r="K971" s="10">
        <v>60289.64</v>
      </c>
    </row>
    <row r="972" spans="1:11" x14ac:dyDescent="0.25">
      <c r="A972" s="8" t="s">
        <v>1910</v>
      </c>
      <c r="B972" s="8" t="s">
        <v>1655</v>
      </c>
      <c r="C972" s="8" t="s">
        <v>1746</v>
      </c>
      <c r="D972" s="8">
        <v>6</v>
      </c>
      <c r="E972" s="8" t="s">
        <v>1911</v>
      </c>
      <c r="F972" s="8" t="s">
        <v>911</v>
      </c>
      <c r="G972" s="8" t="s">
        <v>1748</v>
      </c>
      <c r="H972" s="10">
        <v>1</v>
      </c>
      <c r="I972" s="10"/>
      <c r="J972" s="10">
        <v>1</v>
      </c>
      <c r="K972" s="10">
        <v>60289.64</v>
      </c>
    </row>
    <row r="973" spans="1:11" x14ac:dyDescent="0.25">
      <c r="A973" s="8" t="s">
        <v>1912</v>
      </c>
      <c r="B973" s="8" t="s">
        <v>1655</v>
      </c>
      <c r="C973" s="8" t="s">
        <v>1746</v>
      </c>
      <c r="D973" s="8">
        <v>6</v>
      </c>
      <c r="E973" s="8" t="s">
        <v>1913</v>
      </c>
      <c r="F973" s="8" t="s">
        <v>911</v>
      </c>
      <c r="G973" s="8" t="s">
        <v>1748</v>
      </c>
      <c r="H973" s="10">
        <v>1</v>
      </c>
      <c r="I973" s="10"/>
      <c r="J973" s="10">
        <v>1</v>
      </c>
      <c r="K973" s="10">
        <v>60289.64</v>
      </c>
    </row>
    <row r="974" spans="1:11" x14ac:dyDescent="0.25">
      <c r="A974" s="8" t="s">
        <v>1914</v>
      </c>
      <c r="B974" s="8" t="s">
        <v>1655</v>
      </c>
      <c r="C974" s="8" t="s">
        <v>1746</v>
      </c>
      <c r="D974" s="8">
        <v>6</v>
      </c>
      <c r="E974" s="8" t="s">
        <v>1915</v>
      </c>
      <c r="F974" s="8" t="s">
        <v>911</v>
      </c>
      <c r="G974" s="8" t="s">
        <v>1748</v>
      </c>
      <c r="H974" s="10">
        <v>1</v>
      </c>
      <c r="I974" s="10"/>
      <c r="J974" s="10">
        <v>1</v>
      </c>
      <c r="K974" s="10">
        <v>60289.64</v>
      </c>
    </row>
    <row r="975" spans="1:11" x14ac:dyDescent="0.25">
      <c r="A975" s="8" t="s">
        <v>1916</v>
      </c>
      <c r="B975" s="8" t="s">
        <v>1655</v>
      </c>
      <c r="C975" s="8" t="s">
        <v>1746</v>
      </c>
      <c r="D975" s="8">
        <v>6</v>
      </c>
      <c r="E975" s="8" t="s">
        <v>1917</v>
      </c>
      <c r="F975" s="8" t="s">
        <v>911</v>
      </c>
      <c r="G975" s="8" t="s">
        <v>1748</v>
      </c>
      <c r="H975" s="10">
        <v>1</v>
      </c>
      <c r="I975" s="10"/>
      <c r="J975" s="10">
        <v>1</v>
      </c>
      <c r="K975" s="10">
        <v>60289.64</v>
      </c>
    </row>
    <row r="976" spans="1:11" x14ac:dyDescent="0.25">
      <c r="A976" s="8" t="s">
        <v>1918</v>
      </c>
      <c r="B976" s="8" t="s">
        <v>1655</v>
      </c>
      <c r="C976" s="8" t="s">
        <v>1746</v>
      </c>
      <c r="D976" s="8">
        <v>6</v>
      </c>
      <c r="E976" s="8" t="s">
        <v>1919</v>
      </c>
      <c r="F976" s="8" t="s">
        <v>911</v>
      </c>
      <c r="G976" s="8" t="s">
        <v>1748</v>
      </c>
      <c r="H976" s="10">
        <v>1</v>
      </c>
      <c r="I976" s="10"/>
      <c r="J976" s="10">
        <v>1</v>
      </c>
      <c r="K976" s="10">
        <v>60289.64</v>
      </c>
    </row>
    <row r="977" spans="1:11" x14ac:dyDescent="0.25">
      <c r="A977" s="8" t="s">
        <v>1920</v>
      </c>
      <c r="B977" s="8" t="s">
        <v>1655</v>
      </c>
      <c r="C977" s="8" t="s">
        <v>1746</v>
      </c>
      <c r="D977" s="8">
        <v>6</v>
      </c>
      <c r="E977" s="8" t="s">
        <v>1921</v>
      </c>
      <c r="F977" s="8" t="s">
        <v>911</v>
      </c>
      <c r="G977" s="8" t="s">
        <v>1748</v>
      </c>
      <c r="H977" s="10">
        <v>1</v>
      </c>
      <c r="I977" s="10"/>
      <c r="J977" s="10">
        <v>1</v>
      </c>
      <c r="K977" s="10">
        <v>60289.64</v>
      </c>
    </row>
    <row r="978" spans="1:11" x14ac:dyDescent="0.25">
      <c r="A978" s="8" t="s">
        <v>1922</v>
      </c>
      <c r="B978" s="8" t="s">
        <v>1655</v>
      </c>
      <c r="C978" s="8" t="s">
        <v>1746</v>
      </c>
      <c r="D978" s="8">
        <v>6</v>
      </c>
      <c r="E978" s="8" t="s">
        <v>1923</v>
      </c>
      <c r="F978" s="8" t="s">
        <v>911</v>
      </c>
      <c r="G978" s="8" t="s">
        <v>1748</v>
      </c>
      <c r="H978" s="10">
        <v>1</v>
      </c>
      <c r="I978" s="10"/>
      <c r="J978" s="10">
        <v>1</v>
      </c>
      <c r="K978" s="10">
        <v>60289.64</v>
      </c>
    </row>
    <row r="979" spans="1:11" x14ac:dyDescent="0.25">
      <c r="A979" s="8" t="s">
        <v>1924</v>
      </c>
      <c r="B979" s="8" t="s">
        <v>120</v>
      </c>
      <c r="C979" s="8" t="s">
        <v>1746</v>
      </c>
      <c r="D979" s="8">
        <v>6</v>
      </c>
      <c r="E979" s="8" t="s">
        <v>1925</v>
      </c>
      <c r="F979" s="8" t="s">
        <v>911</v>
      </c>
      <c r="G979" s="8" t="s">
        <v>1748</v>
      </c>
      <c r="H979" s="10">
        <v>1</v>
      </c>
      <c r="I979" s="10"/>
      <c r="J979" s="10">
        <v>1</v>
      </c>
      <c r="K979" s="10">
        <v>120579.28</v>
      </c>
    </row>
    <row r="980" spans="1:11" x14ac:dyDescent="0.25">
      <c r="A980" s="8" t="s">
        <v>1926</v>
      </c>
      <c r="B980" s="8" t="s">
        <v>120</v>
      </c>
      <c r="C980" s="8" t="s">
        <v>1746</v>
      </c>
      <c r="D980" s="8">
        <v>6</v>
      </c>
      <c r="E980" s="8" t="s">
        <v>1927</v>
      </c>
      <c r="F980" s="8" t="s">
        <v>911</v>
      </c>
      <c r="G980" s="8" t="s">
        <v>1748</v>
      </c>
      <c r="H980" s="10">
        <v>1</v>
      </c>
      <c r="I980" s="10"/>
      <c r="J980" s="10">
        <v>1</v>
      </c>
      <c r="K980" s="10">
        <v>120579.28</v>
      </c>
    </row>
    <row r="981" spans="1:11" x14ac:dyDescent="0.25">
      <c r="A981" s="8" t="s">
        <v>1928</v>
      </c>
      <c r="B981" s="8" t="s">
        <v>120</v>
      </c>
      <c r="C981" s="8" t="s">
        <v>1746</v>
      </c>
      <c r="D981" s="8">
        <v>6</v>
      </c>
      <c r="E981" s="8" t="s">
        <v>1929</v>
      </c>
      <c r="F981" s="8" t="s">
        <v>911</v>
      </c>
      <c r="G981" s="8" t="s">
        <v>1748</v>
      </c>
      <c r="H981" s="10">
        <v>1</v>
      </c>
      <c r="I981" s="10"/>
      <c r="J981" s="10">
        <v>1</v>
      </c>
      <c r="K981" s="10">
        <v>120579.28</v>
      </c>
    </row>
    <row r="982" spans="1:11" x14ac:dyDescent="0.25">
      <c r="A982" s="8" t="s">
        <v>1930</v>
      </c>
      <c r="B982" s="8" t="s">
        <v>120</v>
      </c>
      <c r="C982" s="8" t="s">
        <v>1746</v>
      </c>
      <c r="D982" s="8">
        <v>6</v>
      </c>
      <c r="E982" s="8" t="s">
        <v>1931</v>
      </c>
      <c r="F982" s="8" t="s">
        <v>911</v>
      </c>
      <c r="G982" s="8" t="s">
        <v>1748</v>
      </c>
      <c r="H982" s="10">
        <v>1</v>
      </c>
      <c r="I982" s="10"/>
      <c r="J982" s="10">
        <v>1</v>
      </c>
      <c r="K982" s="10">
        <v>120579.28</v>
      </c>
    </row>
    <row r="983" spans="1:11" x14ac:dyDescent="0.25">
      <c r="A983" s="8" t="s">
        <v>1932</v>
      </c>
      <c r="B983" s="8" t="s">
        <v>1650</v>
      </c>
      <c r="C983" s="8" t="s">
        <v>1746</v>
      </c>
      <c r="D983" s="8">
        <v>6</v>
      </c>
      <c r="E983" s="8" t="s">
        <v>1933</v>
      </c>
      <c r="F983" s="8" t="s">
        <v>911</v>
      </c>
      <c r="G983" s="8" t="s">
        <v>1748</v>
      </c>
      <c r="H983" s="10">
        <v>1</v>
      </c>
      <c r="I983" s="10"/>
      <c r="J983" s="10">
        <v>1</v>
      </c>
      <c r="K983" s="10">
        <v>120579.28</v>
      </c>
    </row>
    <row r="984" spans="1:11" x14ac:dyDescent="0.25">
      <c r="A984" s="8" t="s">
        <v>1934</v>
      </c>
      <c r="B984" s="8" t="s">
        <v>1650</v>
      </c>
      <c r="C984" s="8" t="s">
        <v>1746</v>
      </c>
      <c r="D984" s="8">
        <v>6</v>
      </c>
      <c r="E984" s="8" t="s">
        <v>1935</v>
      </c>
      <c r="F984" s="8" t="s">
        <v>911</v>
      </c>
      <c r="G984" s="8" t="s">
        <v>1748</v>
      </c>
      <c r="H984" s="10">
        <v>1</v>
      </c>
      <c r="I984" s="10"/>
      <c r="J984" s="10">
        <v>1</v>
      </c>
      <c r="K984" s="10">
        <v>120579.28</v>
      </c>
    </row>
    <row r="985" spans="1:11" x14ac:dyDescent="0.25">
      <c r="A985" s="8" t="s">
        <v>1936</v>
      </c>
      <c r="B985" s="8" t="s">
        <v>1650</v>
      </c>
      <c r="C985" s="8" t="s">
        <v>1746</v>
      </c>
      <c r="D985" s="8">
        <v>6</v>
      </c>
      <c r="E985" s="8" t="s">
        <v>1937</v>
      </c>
      <c r="F985" s="8" t="s">
        <v>911</v>
      </c>
      <c r="G985" s="8" t="s">
        <v>1748</v>
      </c>
      <c r="H985" s="10">
        <v>1</v>
      </c>
      <c r="I985" s="10"/>
      <c r="J985" s="10">
        <v>1</v>
      </c>
      <c r="K985" s="10">
        <v>120579.28</v>
      </c>
    </row>
    <row r="986" spans="1:11" x14ac:dyDescent="0.25">
      <c r="A986" s="8" t="s">
        <v>1938</v>
      </c>
      <c r="B986" s="8" t="s">
        <v>1650</v>
      </c>
      <c r="C986" s="8" t="s">
        <v>1746</v>
      </c>
      <c r="D986" s="8">
        <v>6</v>
      </c>
      <c r="E986" s="8" t="s">
        <v>1939</v>
      </c>
      <c r="F986" s="8" t="s">
        <v>911</v>
      </c>
      <c r="G986" s="8" t="s">
        <v>1748</v>
      </c>
      <c r="H986" s="10">
        <v>1</v>
      </c>
      <c r="I986" s="10"/>
      <c r="J986" s="10">
        <v>1</v>
      </c>
      <c r="K986" s="10">
        <v>120579.28</v>
      </c>
    </row>
    <row r="987" spans="1:11" x14ac:dyDescent="0.25">
      <c r="A987" s="8" t="s">
        <v>1940</v>
      </c>
      <c r="B987" s="8" t="s">
        <v>1650</v>
      </c>
      <c r="C987" s="8" t="s">
        <v>1746</v>
      </c>
      <c r="D987" s="8">
        <v>6</v>
      </c>
      <c r="E987" s="8" t="s">
        <v>1941</v>
      </c>
      <c r="F987" s="8" t="s">
        <v>911</v>
      </c>
      <c r="G987" s="8" t="s">
        <v>1748</v>
      </c>
      <c r="H987" s="10">
        <v>1</v>
      </c>
      <c r="I987" s="10"/>
      <c r="J987" s="10">
        <v>1</v>
      </c>
      <c r="K987" s="10">
        <v>120579.28</v>
      </c>
    </row>
    <row r="988" spans="1:11" x14ac:dyDescent="0.25">
      <c r="A988" s="8" t="s">
        <v>1942</v>
      </c>
      <c r="B988" s="8" t="s">
        <v>1650</v>
      </c>
      <c r="C988" s="8" t="s">
        <v>1746</v>
      </c>
      <c r="D988" s="8">
        <v>6</v>
      </c>
      <c r="E988" s="8" t="s">
        <v>1943</v>
      </c>
      <c r="F988" s="8" t="s">
        <v>911</v>
      </c>
      <c r="G988" s="8" t="s">
        <v>1748</v>
      </c>
      <c r="H988" s="10">
        <v>1</v>
      </c>
      <c r="I988" s="10"/>
      <c r="J988" s="10">
        <v>1</v>
      </c>
      <c r="K988" s="10">
        <v>120579.28</v>
      </c>
    </row>
    <row r="989" spans="1:11" x14ac:dyDescent="0.25">
      <c r="A989" s="8" t="s">
        <v>1944</v>
      </c>
      <c r="B989" s="8" t="s">
        <v>1650</v>
      </c>
      <c r="C989" s="8" t="s">
        <v>1746</v>
      </c>
      <c r="D989" s="8">
        <v>6</v>
      </c>
      <c r="E989" s="8" t="s">
        <v>1945</v>
      </c>
      <c r="F989" s="8" t="s">
        <v>911</v>
      </c>
      <c r="G989" s="8" t="s">
        <v>1748</v>
      </c>
      <c r="H989" s="10">
        <v>1</v>
      </c>
      <c r="I989" s="10"/>
      <c r="J989" s="10">
        <v>1</v>
      </c>
      <c r="K989" s="10">
        <v>6028.96</v>
      </c>
    </row>
    <row r="990" spans="1:11" x14ac:dyDescent="0.25">
      <c r="A990" s="8" t="s">
        <v>1946</v>
      </c>
      <c r="B990" s="8" t="s">
        <v>120</v>
      </c>
      <c r="C990" s="8" t="s">
        <v>1746</v>
      </c>
      <c r="D990" s="8">
        <v>6</v>
      </c>
      <c r="E990" s="8" t="s">
        <v>1947</v>
      </c>
      <c r="F990" s="8" t="s">
        <v>911</v>
      </c>
      <c r="G990" s="8" t="s">
        <v>1748</v>
      </c>
      <c r="H990" s="10">
        <v>1</v>
      </c>
      <c r="I990" s="10"/>
      <c r="J990" s="10">
        <v>1</v>
      </c>
      <c r="K990" s="10">
        <v>6028.96</v>
      </c>
    </row>
    <row r="991" spans="1:11" x14ac:dyDescent="0.25">
      <c r="A991" s="8" t="s">
        <v>1948</v>
      </c>
      <c r="B991" s="8" t="s">
        <v>1655</v>
      </c>
      <c r="C991" s="8" t="s">
        <v>1746</v>
      </c>
      <c r="D991" s="8">
        <v>6</v>
      </c>
      <c r="E991" s="8" t="s">
        <v>1949</v>
      </c>
      <c r="F991" s="8" t="s">
        <v>911</v>
      </c>
      <c r="G991" s="8" t="s">
        <v>1748</v>
      </c>
      <c r="H991" s="10">
        <v>1</v>
      </c>
      <c r="I991" s="10"/>
      <c r="J991" s="10">
        <v>1</v>
      </c>
      <c r="K991" s="10">
        <v>6028.96</v>
      </c>
    </row>
    <row r="992" spans="1:11" x14ac:dyDescent="0.25">
      <c r="A992" s="8" t="s">
        <v>1950</v>
      </c>
      <c r="B992" s="8" t="s">
        <v>1650</v>
      </c>
      <c r="C992" s="8" t="s">
        <v>1746</v>
      </c>
      <c r="D992" s="8">
        <v>6</v>
      </c>
      <c r="E992" s="8" t="s">
        <v>1951</v>
      </c>
      <c r="F992" s="8" t="s">
        <v>911</v>
      </c>
      <c r="G992" s="8" t="s">
        <v>1748</v>
      </c>
      <c r="H992" s="10">
        <v>1</v>
      </c>
      <c r="I992" s="10"/>
      <c r="J992" s="10">
        <v>1</v>
      </c>
      <c r="K992" s="10">
        <v>6028.96</v>
      </c>
    </row>
    <row r="993" spans="1:11" x14ac:dyDescent="0.25">
      <c r="A993" s="8" t="s">
        <v>1952</v>
      </c>
      <c r="B993" s="8" t="s">
        <v>120</v>
      </c>
      <c r="C993" s="8" t="s">
        <v>1746</v>
      </c>
      <c r="D993" s="8">
        <v>6</v>
      </c>
      <c r="E993" s="8" t="s">
        <v>1953</v>
      </c>
      <c r="F993" s="8" t="s">
        <v>911</v>
      </c>
      <c r="G993" s="8" t="s">
        <v>1748</v>
      </c>
      <c r="H993" s="10">
        <v>1</v>
      </c>
      <c r="I993" s="10"/>
      <c r="J993" s="10">
        <v>1</v>
      </c>
      <c r="K993" s="10">
        <v>6028.96</v>
      </c>
    </row>
    <row r="994" spans="1:11" x14ac:dyDescent="0.25">
      <c r="A994" s="8" t="s">
        <v>1954</v>
      </c>
      <c r="B994" s="8" t="s">
        <v>1655</v>
      </c>
      <c r="C994" s="8" t="s">
        <v>1746</v>
      </c>
      <c r="D994" s="8">
        <v>6</v>
      </c>
      <c r="E994" s="8" t="s">
        <v>1955</v>
      </c>
      <c r="F994" s="8" t="s">
        <v>911</v>
      </c>
      <c r="G994" s="8" t="s">
        <v>1748</v>
      </c>
      <c r="H994" s="10">
        <v>1</v>
      </c>
      <c r="I994" s="10"/>
      <c r="J994" s="10">
        <v>1</v>
      </c>
      <c r="K994" s="10">
        <v>6028.96</v>
      </c>
    </row>
    <row r="995" spans="1:11" x14ac:dyDescent="0.25">
      <c r="A995" s="8" t="s">
        <v>1956</v>
      </c>
      <c r="B995" s="8" t="s">
        <v>120</v>
      </c>
      <c r="C995" s="8" t="s">
        <v>1746</v>
      </c>
      <c r="D995" s="8">
        <v>6</v>
      </c>
      <c r="E995" s="8" t="s">
        <v>1957</v>
      </c>
      <c r="F995" s="8" t="s">
        <v>911</v>
      </c>
      <c r="G995" s="8" t="s">
        <v>1748</v>
      </c>
      <c r="H995" s="10">
        <v>1</v>
      </c>
      <c r="I995" s="10"/>
      <c r="J995" s="10">
        <v>1</v>
      </c>
      <c r="K995" s="10">
        <v>30144.82</v>
      </c>
    </row>
    <row r="996" spans="1:11" x14ac:dyDescent="0.25">
      <c r="A996" s="8" t="s">
        <v>1958</v>
      </c>
      <c r="B996" s="8" t="s">
        <v>1650</v>
      </c>
      <c r="C996" s="8" t="s">
        <v>1746</v>
      </c>
      <c r="D996" s="8">
        <v>6</v>
      </c>
      <c r="E996" s="8" t="s">
        <v>1959</v>
      </c>
      <c r="F996" s="8" t="s">
        <v>911</v>
      </c>
      <c r="G996" s="8" t="s">
        <v>1748</v>
      </c>
      <c r="H996" s="10">
        <v>1</v>
      </c>
      <c r="I996" s="10"/>
      <c r="J996" s="10">
        <v>1</v>
      </c>
      <c r="K996" s="10">
        <v>30144.82</v>
      </c>
    </row>
    <row r="997" spans="1:11" x14ac:dyDescent="0.25">
      <c r="A997" s="8" t="s">
        <v>1960</v>
      </c>
      <c r="B997" s="8" t="s">
        <v>1655</v>
      </c>
      <c r="C997" s="8" t="s">
        <v>1746</v>
      </c>
      <c r="D997" s="8">
        <v>6</v>
      </c>
      <c r="E997" s="8" t="s">
        <v>1961</v>
      </c>
      <c r="F997" s="8" t="s">
        <v>911</v>
      </c>
      <c r="G997" s="8" t="s">
        <v>1748</v>
      </c>
      <c r="H997" s="10">
        <v>1</v>
      </c>
      <c r="I997" s="10"/>
      <c r="J997" s="10">
        <v>1</v>
      </c>
      <c r="K997" s="10">
        <v>45217.23</v>
      </c>
    </row>
    <row r="998" spans="1:11" x14ac:dyDescent="0.25">
      <c r="A998" s="8" t="s">
        <v>1962</v>
      </c>
      <c r="B998" s="8" t="s">
        <v>1655</v>
      </c>
      <c r="C998" s="8" t="s">
        <v>1746</v>
      </c>
      <c r="D998" s="8">
        <v>6</v>
      </c>
      <c r="E998" s="8" t="s">
        <v>1963</v>
      </c>
      <c r="F998" s="8" t="s">
        <v>911</v>
      </c>
      <c r="G998" s="8" t="s">
        <v>1748</v>
      </c>
      <c r="H998" s="10">
        <v>1</v>
      </c>
      <c r="I998" s="10"/>
      <c r="J998" s="10">
        <v>1</v>
      </c>
      <c r="K998" s="10">
        <v>30144.82</v>
      </c>
    </row>
    <row r="999" spans="1:11" x14ac:dyDescent="0.25">
      <c r="A999" s="8" t="s">
        <v>1964</v>
      </c>
      <c r="B999" s="8" t="s">
        <v>1650</v>
      </c>
      <c r="C999" s="8" t="s">
        <v>1746</v>
      </c>
      <c r="D999" s="8">
        <v>6</v>
      </c>
      <c r="E999" s="8" t="s">
        <v>1965</v>
      </c>
      <c r="F999" s="8" t="s">
        <v>911</v>
      </c>
      <c r="G999" s="8" t="s">
        <v>1748</v>
      </c>
      <c r="H999" s="10">
        <v>1</v>
      </c>
      <c r="I999" s="10"/>
      <c r="J999" s="10">
        <v>1</v>
      </c>
      <c r="K999" s="10">
        <v>8038.62</v>
      </c>
    </row>
    <row r="1000" spans="1:11" x14ac:dyDescent="0.25">
      <c r="A1000" s="8" t="s">
        <v>1966</v>
      </c>
      <c r="B1000" s="8" t="s">
        <v>120</v>
      </c>
      <c r="C1000" s="8" t="s">
        <v>1746</v>
      </c>
      <c r="D1000" s="8">
        <v>6</v>
      </c>
      <c r="E1000" s="8" t="s">
        <v>1967</v>
      </c>
      <c r="F1000" s="8" t="s">
        <v>911</v>
      </c>
      <c r="G1000" s="8" t="s">
        <v>1748</v>
      </c>
      <c r="H1000" s="10">
        <v>1</v>
      </c>
      <c r="I1000" s="10"/>
      <c r="J1000" s="10">
        <v>1</v>
      </c>
      <c r="K1000" s="10">
        <v>8038.62</v>
      </c>
    </row>
    <row r="1001" spans="1:11" x14ac:dyDescent="0.25">
      <c r="A1001" s="8" t="s">
        <v>1968</v>
      </c>
      <c r="B1001" s="8" t="s">
        <v>1655</v>
      </c>
      <c r="C1001" s="8" t="s">
        <v>1746</v>
      </c>
      <c r="D1001" s="8">
        <v>6</v>
      </c>
      <c r="E1001" s="8" t="s">
        <v>1969</v>
      </c>
      <c r="F1001" s="8" t="s">
        <v>911</v>
      </c>
      <c r="G1001" s="8" t="s">
        <v>1748</v>
      </c>
      <c r="H1001" s="10">
        <v>1</v>
      </c>
      <c r="I1001" s="10"/>
      <c r="J1001" s="10">
        <v>1</v>
      </c>
      <c r="K1001" s="10">
        <v>8038.62</v>
      </c>
    </row>
    <row r="1002" spans="1:11" x14ac:dyDescent="0.25">
      <c r="A1002" s="8" t="s">
        <v>1970</v>
      </c>
      <c r="B1002" s="8" t="s">
        <v>1655</v>
      </c>
      <c r="C1002" s="8" t="s">
        <v>1746</v>
      </c>
      <c r="D1002" s="8">
        <v>6</v>
      </c>
      <c r="E1002" s="8" t="s">
        <v>1971</v>
      </c>
      <c r="F1002" s="8" t="s">
        <v>911</v>
      </c>
      <c r="G1002" s="8" t="s">
        <v>1748</v>
      </c>
      <c r="H1002" s="10">
        <v>1</v>
      </c>
      <c r="I1002" s="10"/>
      <c r="J1002" s="10">
        <v>1</v>
      </c>
      <c r="K1002" s="10">
        <v>100482.73</v>
      </c>
    </row>
    <row r="1003" spans="1:11" x14ac:dyDescent="0.25">
      <c r="A1003" s="8" t="s">
        <v>1972</v>
      </c>
      <c r="B1003" s="8" t="s">
        <v>1650</v>
      </c>
      <c r="C1003" s="8" t="s">
        <v>1746</v>
      </c>
      <c r="D1003" s="8">
        <v>6</v>
      </c>
      <c r="E1003" s="8" t="s">
        <v>1973</v>
      </c>
      <c r="F1003" s="8" t="s">
        <v>911</v>
      </c>
      <c r="G1003" s="8" t="s">
        <v>1748</v>
      </c>
      <c r="H1003" s="10">
        <v>1</v>
      </c>
      <c r="I1003" s="10"/>
      <c r="J1003" s="10">
        <v>1</v>
      </c>
      <c r="K1003" s="10">
        <v>80386.19</v>
      </c>
    </row>
    <row r="1004" spans="1:11" x14ac:dyDescent="0.25">
      <c r="A1004" s="8" t="s">
        <v>1974</v>
      </c>
      <c r="B1004" s="8" t="s">
        <v>120</v>
      </c>
      <c r="C1004" s="8" t="s">
        <v>1746</v>
      </c>
      <c r="D1004" s="8">
        <v>6</v>
      </c>
      <c r="E1004" s="8" t="s">
        <v>1975</v>
      </c>
      <c r="F1004" s="8" t="s">
        <v>911</v>
      </c>
      <c r="G1004" s="8" t="s">
        <v>1748</v>
      </c>
      <c r="H1004" s="10">
        <v>1</v>
      </c>
      <c r="I1004" s="10"/>
      <c r="J1004" s="10">
        <v>1</v>
      </c>
      <c r="K1004" s="10">
        <v>321544.74</v>
      </c>
    </row>
    <row r="1005" spans="1:11" x14ac:dyDescent="0.25">
      <c r="A1005" s="8" t="s">
        <v>1976</v>
      </c>
      <c r="B1005" s="8" t="s">
        <v>1650</v>
      </c>
      <c r="C1005" s="8" t="s">
        <v>1694</v>
      </c>
      <c r="D1005" s="8">
        <v>5</v>
      </c>
      <c r="E1005" s="8" t="s">
        <v>1977</v>
      </c>
      <c r="F1005" s="8" t="s">
        <v>911</v>
      </c>
      <c r="G1005" s="8" t="s">
        <v>1978</v>
      </c>
      <c r="H1005" s="10">
        <v>1</v>
      </c>
      <c r="I1005" s="10"/>
      <c r="J1005" s="10">
        <v>1</v>
      </c>
      <c r="K1005" s="10">
        <v>2009.65</v>
      </c>
    </row>
    <row r="1006" spans="1:11" x14ac:dyDescent="0.25">
      <c r="A1006" s="8" t="s">
        <v>1979</v>
      </c>
      <c r="B1006" s="8" t="s">
        <v>120</v>
      </c>
      <c r="C1006" s="8" t="s">
        <v>1694</v>
      </c>
      <c r="D1006" s="8">
        <v>5</v>
      </c>
      <c r="E1006" s="8" t="s">
        <v>1980</v>
      </c>
      <c r="F1006" s="8" t="s">
        <v>911</v>
      </c>
      <c r="G1006" s="8" t="s">
        <v>1978</v>
      </c>
      <c r="H1006" s="10">
        <v>1</v>
      </c>
      <c r="I1006" s="10"/>
      <c r="J1006" s="10">
        <v>1</v>
      </c>
      <c r="K1006" s="10">
        <v>2009.65</v>
      </c>
    </row>
    <row r="1007" spans="1:11" x14ac:dyDescent="0.25">
      <c r="A1007" s="8" t="s">
        <v>1981</v>
      </c>
      <c r="B1007" s="8" t="s">
        <v>120</v>
      </c>
      <c r="C1007" s="8" t="s">
        <v>1694</v>
      </c>
      <c r="D1007" s="8">
        <v>5</v>
      </c>
      <c r="E1007" s="8" t="s">
        <v>1982</v>
      </c>
      <c r="F1007" s="8" t="s">
        <v>911</v>
      </c>
      <c r="G1007" s="8" t="s">
        <v>1978</v>
      </c>
      <c r="H1007" s="10">
        <v>1</v>
      </c>
      <c r="I1007" s="10"/>
      <c r="J1007" s="10">
        <v>1</v>
      </c>
      <c r="K1007" s="10">
        <v>2009.65</v>
      </c>
    </row>
    <row r="1008" spans="1:11" x14ac:dyDescent="0.25">
      <c r="A1008" s="8" t="s">
        <v>1983</v>
      </c>
      <c r="B1008" s="8" t="s">
        <v>120</v>
      </c>
      <c r="C1008" s="8" t="s">
        <v>1694</v>
      </c>
      <c r="D1008" s="8">
        <v>5</v>
      </c>
      <c r="E1008" s="8" t="s">
        <v>1984</v>
      </c>
      <c r="F1008" s="8" t="s">
        <v>911</v>
      </c>
      <c r="G1008" s="8" t="s">
        <v>1978</v>
      </c>
      <c r="H1008" s="10">
        <v>1</v>
      </c>
      <c r="I1008" s="10"/>
      <c r="J1008" s="10">
        <v>1</v>
      </c>
      <c r="K1008" s="10">
        <v>2009.65</v>
      </c>
    </row>
    <row r="1009" spans="1:11" x14ac:dyDescent="0.25">
      <c r="A1009" s="8" t="s">
        <v>1985</v>
      </c>
      <c r="B1009" s="8" t="s">
        <v>120</v>
      </c>
      <c r="C1009" s="8" t="s">
        <v>1694</v>
      </c>
      <c r="D1009" s="8">
        <v>5</v>
      </c>
      <c r="E1009" s="8" t="s">
        <v>1986</v>
      </c>
      <c r="F1009" s="8" t="s">
        <v>911</v>
      </c>
      <c r="G1009" s="8" t="s">
        <v>1978</v>
      </c>
      <c r="H1009" s="10">
        <v>1</v>
      </c>
      <c r="I1009" s="10"/>
      <c r="J1009" s="10">
        <v>1</v>
      </c>
      <c r="K1009" s="10">
        <v>2009.65</v>
      </c>
    </row>
    <row r="1010" spans="1:11" x14ac:dyDescent="0.25">
      <c r="A1010" s="8" t="s">
        <v>1987</v>
      </c>
      <c r="B1010" s="8" t="s">
        <v>120</v>
      </c>
      <c r="C1010" s="8" t="s">
        <v>1694</v>
      </c>
      <c r="D1010" s="8">
        <v>5</v>
      </c>
      <c r="E1010" s="8" t="s">
        <v>1988</v>
      </c>
      <c r="F1010" s="8" t="s">
        <v>911</v>
      </c>
      <c r="G1010" s="8" t="s">
        <v>1978</v>
      </c>
      <c r="H1010" s="10">
        <v>1</v>
      </c>
      <c r="I1010" s="10"/>
      <c r="J1010" s="10">
        <v>1</v>
      </c>
      <c r="K1010" s="10">
        <v>2009.65</v>
      </c>
    </row>
    <row r="1011" spans="1:11" x14ac:dyDescent="0.25">
      <c r="A1011" s="8" t="s">
        <v>1989</v>
      </c>
      <c r="B1011" s="8" t="s">
        <v>120</v>
      </c>
      <c r="C1011" s="8" t="s">
        <v>1694</v>
      </c>
      <c r="D1011" s="8">
        <v>5</v>
      </c>
      <c r="E1011" s="8" t="s">
        <v>1990</v>
      </c>
      <c r="F1011" s="8" t="s">
        <v>911</v>
      </c>
      <c r="G1011" s="8" t="s">
        <v>1978</v>
      </c>
      <c r="H1011" s="10">
        <v>1</v>
      </c>
      <c r="I1011" s="10"/>
      <c r="J1011" s="10">
        <v>1</v>
      </c>
      <c r="K1011" s="10">
        <v>2009.65</v>
      </c>
    </row>
    <row r="1012" spans="1:11" x14ac:dyDescent="0.25">
      <c r="A1012" s="8" t="s">
        <v>1991</v>
      </c>
      <c r="B1012" s="8" t="s">
        <v>1655</v>
      </c>
      <c r="C1012" s="8" t="s">
        <v>1694</v>
      </c>
      <c r="D1012" s="8">
        <v>5</v>
      </c>
      <c r="E1012" s="8" t="s">
        <v>1992</v>
      </c>
      <c r="F1012" s="8" t="s">
        <v>911</v>
      </c>
      <c r="G1012" s="8" t="s">
        <v>1978</v>
      </c>
      <c r="H1012" s="10">
        <v>1</v>
      </c>
      <c r="I1012" s="10"/>
      <c r="J1012" s="10">
        <v>1</v>
      </c>
      <c r="K1012" s="10">
        <v>2009.65</v>
      </c>
    </row>
    <row r="1013" spans="1:11" x14ac:dyDescent="0.25">
      <c r="A1013" s="8" t="s">
        <v>1993</v>
      </c>
      <c r="B1013" s="8" t="s">
        <v>1655</v>
      </c>
      <c r="C1013" s="8" t="s">
        <v>1694</v>
      </c>
      <c r="D1013" s="8">
        <v>5</v>
      </c>
      <c r="E1013" s="8" t="s">
        <v>1994</v>
      </c>
      <c r="F1013" s="8" t="s">
        <v>911</v>
      </c>
      <c r="G1013" s="8" t="s">
        <v>1978</v>
      </c>
      <c r="H1013" s="10">
        <v>1</v>
      </c>
      <c r="I1013" s="10"/>
      <c r="J1013" s="10">
        <v>1</v>
      </c>
      <c r="K1013" s="10">
        <v>2009.65</v>
      </c>
    </row>
    <row r="1014" spans="1:11" x14ac:dyDescent="0.25">
      <c r="A1014" s="8" t="s">
        <v>1995</v>
      </c>
      <c r="B1014" s="8" t="s">
        <v>1650</v>
      </c>
      <c r="C1014" s="8" t="s">
        <v>1694</v>
      </c>
      <c r="D1014" s="8">
        <v>5</v>
      </c>
      <c r="E1014" s="8" t="s">
        <v>1996</v>
      </c>
      <c r="F1014" s="8" t="s">
        <v>911</v>
      </c>
      <c r="G1014" s="8" t="s">
        <v>1978</v>
      </c>
      <c r="H1014" s="10">
        <v>1</v>
      </c>
      <c r="I1014" s="10"/>
      <c r="J1014" s="10">
        <v>1</v>
      </c>
      <c r="K1014" s="10">
        <v>4019.31</v>
      </c>
    </row>
    <row r="1015" spans="1:11" x14ac:dyDescent="0.25">
      <c r="A1015" s="8" t="s">
        <v>1997</v>
      </c>
      <c r="B1015" s="8" t="s">
        <v>1650</v>
      </c>
      <c r="C1015" s="8" t="s">
        <v>1694</v>
      </c>
      <c r="D1015" s="8">
        <v>5</v>
      </c>
      <c r="E1015" s="8" t="s">
        <v>1998</v>
      </c>
      <c r="F1015" s="8" t="s">
        <v>911</v>
      </c>
      <c r="G1015" s="8" t="s">
        <v>1978</v>
      </c>
      <c r="H1015" s="10">
        <v>1</v>
      </c>
      <c r="I1015" s="10"/>
      <c r="J1015" s="10">
        <v>1</v>
      </c>
      <c r="K1015" s="10">
        <v>4019.31</v>
      </c>
    </row>
    <row r="1016" spans="1:11" x14ac:dyDescent="0.25">
      <c r="A1016" s="8" t="s">
        <v>1999</v>
      </c>
      <c r="B1016" s="8" t="s">
        <v>120</v>
      </c>
      <c r="C1016" s="8" t="s">
        <v>1694</v>
      </c>
      <c r="D1016" s="8">
        <v>5</v>
      </c>
      <c r="E1016" s="8" t="s">
        <v>2000</v>
      </c>
      <c r="F1016" s="8" t="s">
        <v>911</v>
      </c>
      <c r="G1016" s="8" t="s">
        <v>1978</v>
      </c>
      <c r="H1016" s="10">
        <v>1</v>
      </c>
      <c r="I1016" s="10"/>
      <c r="J1016" s="10">
        <v>1</v>
      </c>
      <c r="K1016" s="10">
        <v>4019.31</v>
      </c>
    </row>
    <row r="1017" spans="1:11" x14ac:dyDescent="0.25">
      <c r="A1017" s="8" t="s">
        <v>2001</v>
      </c>
      <c r="B1017" s="8" t="s">
        <v>120</v>
      </c>
      <c r="C1017" s="8" t="s">
        <v>1694</v>
      </c>
      <c r="D1017" s="8">
        <v>5</v>
      </c>
      <c r="E1017" s="8" t="s">
        <v>2002</v>
      </c>
      <c r="F1017" s="8" t="s">
        <v>911</v>
      </c>
      <c r="G1017" s="8" t="s">
        <v>1978</v>
      </c>
      <c r="H1017" s="10">
        <v>1</v>
      </c>
      <c r="I1017" s="10"/>
      <c r="J1017" s="10">
        <v>1</v>
      </c>
      <c r="K1017" s="10">
        <v>4019.31</v>
      </c>
    </row>
    <row r="1018" spans="1:11" x14ac:dyDescent="0.25">
      <c r="A1018" s="8" t="s">
        <v>2003</v>
      </c>
      <c r="B1018" s="8" t="s">
        <v>1655</v>
      </c>
      <c r="C1018" s="8" t="s">
        <v>1694</v>
      </c>
      <c r="D1018" s="8">
        <v>5</v>
      </c>
      <c r="E1018" s="8" t="s">
        <v>2004</v>
      </c>
      <c r="F1018" s="8" t="s">
        <v>911</v>
      </c>
      <c r="G1018" s="8" t="s">
        <v>1978</v>
      </c>
      <c r="H1018" s="10">
        <v>1</v>
      </c>
      <c r="I1018" s="10"/>
      <c r="J1018" s="10">
        <v>1</v>
      </c>
      <c r="K1018" s="10">
        <v>4019.31</v>
      </c>
    </row>
    <row r="1019" spans="1:11" x14ac:dyDescent="0.25">
      <c r="A1019" s="8" t="s">
        <v>2005</v>
      </c>
      <c r="B1019" s="8" t="s">
        <v>120</v>
      </c>
      <c r="C1019" s="8" t="s">
        <v>2006</v>
      </c>
      <c r="D1019" s="8">
        <v>5</v>
      </c>
      <c r="E1019" s="8" t="s">
        <v>2007</v>
      </c>
      <c r="F1019" s="8" t="s">
        <v>215</v>
      </c>
      <c r="G1019" s="8" t="s">
        <v>2008</v>
      </c>
      <c r="H1019" s="10">
        <v>1</v>
      </c>
      <c r="I1019" s="10"/>
      <c r="J1019" s="10">
        <v>1</v>
      </c>
      <c r="K1019" s="10">
        <v>14297.43</v>
      </c>
    </row>
    <row r="1020" spans="1:11" x14ac:dyDescent="0.25">
      <c r="A1020" s="8" t="s">
        <v>2009</v>
      </c>
      <c r="B1020" s="8" t="s">
        <v>120</v>
      </c>
      <c r="C1020" s="8" t="s">
        <v>2006</v>
      </c>
      <c r="D1020" s="8">
        <v>5</v>
      </c>
      <c r="E1020" s="8" t="s">
        <v>2010</v>
      </c>
      <c r="F1020" s="8" t="s">
        <v>215</v>
      </c>
      <c r="G1020" s="8" t="s">
        <v>2008</v>
      </c>
      <c r="H1020" s="10">
        <v>1</v>
      </c>
      <c r="I1020" s="10"/>
      <c r="J1020" s="10">
        <v>1</v>
      </c>
      <c r="K1020" s="10">
        <v>14297.43</v>
      </c>
    </row>
    <row r="1021" spans="1:11" x14ac:dyDescent="0.25">
      <c r="A1021" s="8" t="s">
        <v>2011</v>
      </c>
      <c r="B1021" s="8" t="s">
        <v>1650</v>
      </c>
      <c r="C1021" s="8" t="s">
        <v>2006</v>
      </c>
      <c r="D1021" s="8">
        <v>5</v>
      </c>
      <c r="E1021" s="8" t="s">
        <v>2012</v>
      </c>
      <c r="F1021" s="8" t="s">
        <v>215</v>
      </c>
      <c r="G1021" s="8" t="s">
        <v>2008</v>
      </c>
      <c r="H1021" s="10">
        <v>1</v>
      </c>
      <c r="I1021" s="10"/>
      <c r="J1021" s="10">
        <v>1</v>
      </c>
      <c r="K1021" s="10">
        <v>28365.01</v>
      </c>
    </row>
    <row r="1022" spans="1:11" x14ac:dyDescent="0.25">
      <c r="A1022" s="8" t="s">
        <v>2013</v>
      </c>
      <c r="B1022" s="8" t="s">
        <v>120</v>
      </c>
      <c r="C1022" s="8" t="s">
        <v>2006</v>
      </c>
      <c r="D1022" s="8">
        <v>5</v>
      </c>
      <c r="E1022" s="8" t="s">
        <v>2014</v>
      </c>
      <c r="F1022" s="8" t="s">
        <v>215</v>
      </c>
      <c r="G1022" s="8" t="s">
        <v>2008</v>
      </c>
      <c r="H1022" s="10">
        <v>1</v>
      </c>
      <c r="I1022" s="10"/>
      <c r="J1022" s="10">
        <v>1</v>
      </c>
      <c r="K1022" s="10">
        <v>28365.01</v>
      </c>
    </row>
    <row r="1023" spans="1:11" x14ac:dyDescent="0.25">
      <c r="A1023" s="8" t="s">
        <v>2015</v>
      </c>
      <c r="B1023" s="8" t="s">
        <v>120</v>
      </c>
      <c r="C1023" s="8" t="s">
        <v>2006</v>
      </c>
      <c r="D1023" s="8">
        <v>5</v>
      </c>
      <c r="E1023" s="8" t="s">
        <v>2016</v>
      </c>
      <c r="F1023" s="8" t="s">
        <v>215</v>
      </c>
      <c r="G1023" s="8" t="s">
        <v>2008</v>
      </c>
      <c r="H1023" s="10">
        <v>1</v>
      </c>
      <c r="I1023" s="10"/>
      <c r="J1023" s="10">
        <v>1</v>
      </c>
      <c r="K1023" s="10">
        <v>28365.01</v>
      </c>
    </row>
    <row r="1024" spans="1:11" x14ac:dyDescent="0.25">
      <c r="A1024" s="8" t="s">
        <v>2017</v>
      </c>
      <c r="B1024" s="8" t="s">
        <v>120</v>
      </c>
      <c r="C1024" s="8" t="s">
        <v>2006</v>
      </c>
      <c r="D1024" s="8">
        <v>5</v>
      </c>
      <c r="E1024" s="8" t="s">
        <v>2018</v>
      </c>
      <c r="F1024" s="8" t="s">
        <v>215</v>
      </c>
      <c r="G1024" s="8" t="s">
        <v>2008</v>
      </c>
      <c r="H1024" s="10">
        <v>1</v>
      </c>
      <c r="I1024" s="10"/>
      <c r="J1024" s="10">
        <v>1</v>
      </c>
      <c r="K1024" s="10">
        <v>28365.01</v>
      </c>
    </row>
    <row r="1025" spans="1:11" x14ac:dyDescent="0.25">
      <c r="A1025" s="8" t="s">
        <v>2019</v>
      </c>
      <c r="B1025" s="8" t="s">
        <v>1655</v>
      </c>
      <c r="C1025" s="8" t="s">
        <v>2006</v>
      </c>
      <c r="D1025" s="8">
        <v>5</v>
      </c>
      <c r="E1025" s="8" t="s">
        <v>2020</v>
      </c>
      <c r="F1025" s="8" t="s">
        <v>215</v>
      </c>
      <c r="G1025" s="8" t="s">
        <v>2008</v>
      </c>
      <c r="H1025" s="10">
        <v>1</v>
      </c>
      <c r="I1025" s="10"/>
      <c r="J1025" s="10">
        <v>1</v>
      </c>
      <c r="K1025" s="10">
        <v>28365.01</v>
      </c>
    </row>
    <row r="1026" spans="1:11" x14ac:dyDescent="0.25">
      <c r="A1026" s="8" t="s">
        <v>2021</v>
      </c>
      <c r="B1026" s="8" t="s">
        <v>1655</v>
      </c>
      <c r="C1026" s="8" t="s">
        <v>2006</v>
      </c>
      <c r="D1026" s="8">
        <v>5</v>
      </c>
      <c r="E1026" s="8" t="s">
        <v>2022</v>
      </c>
      <c r="F1026" s="8" t="s">
        <v>215</v>
      </c>
      <c r="G1026" s="8" t="s">
        <v>2008</v>
      </c>
      <c r="H1026" s="10">
        <v>1</v>
      </c>
      <c r="I1026" s="10"/>
      <c r="J1026" s="10">
        <v>1</v>
      </c>
      <c r="K1026" s="10">
        <v>28365.01</v>
      </c>
    </row>
    <row r="1027" spans="1:11" x14ac:dyDescent="0.25">
      <c r="A1027" s="8" t="s">
        <v>2023</v>
      </c>
      <c r="B1027" s="8" t="s">
        <v>120</v>
      </c>
      <c r="C1027" s="8" t="s">
        <v>2006</v>
      </c>
      <c r="D1027" s="8">
        <v>5</v>
      </c>
      <c r="E1027" s="8" t="s">
        <v>2024</v>
      </c>
      <c r="F1027" s="8" t="s">
        <v>215</v>
      </c>
      <c r="G1027" s="8" t="s">
        <v>2008</v>
      </c>
      <c r="H1027" s="10">
        <v>1</v>
      </c>
      <c r="I1027" s="10"/>
      <c r="J1027" s="10">
        <v>1</v>
      </c>
      <c r="K1027" s="10">
        <v>33389.14</v>
      </c>
    </row>
    <row r="1028" spans="1:11" x14ac:dyDescent="0.25">
      <c r="A1028" s="8" t="s">
        <v>2025</v>
      </c>
      <c r="B1028" s="8" t="s">
        <v>120</v>
      </c>
      <c r="C1028" s="8" t="s">
        <v>2006</v>
      </c>
      <c r="D1028" s="8">
        <v>5</v>
      </c>
      <c r="E1028" s="8" t="s">
        <v>2026</v>
      </c>
      <c r="F1028" s="8" t="s">
        <v>215</v>
      </c>
      <c r="G1028" s="8" t="s">
        <v>2008</v>
      </c>
      <c r="H1028" s="10">
        <v>1</v>
      </c>
      <c r="I1028" s="10"/>
      <c r="J1028" s="10">
        <v>1</v>
      </c>
      <c r="K1028" s="10">
        <v>33389.14</v>
      </c>
    </row>
    <row r="1029" spans="1:11" x14ac:dyDescent="0.25">
      <c r="A1029" s="8" t="s">
        <v>2027</v>
      </c>
      <c r="B1029" s="8" t="s">
        <v>120</v>
      </c>
      <c r="C1029" s="8" t="s">
        <v>2006</v>
      </c>
      <c r="D1029" s="8">
        <v>5</v>
      </c>
      <c r="E1029" s="8" t="s">
        <v>2028</v>
      </c>
      <c r="F1029" s="8" t="s">
        <v>215</v>
      </c>
      <c r="G1029" s="8" t="s">
        <v>2008</v>
      </c>
      <c r="H1029" s="10">
        <v>1</v>
      </c>
      <c r="I1029" s="10"/>
      <c r="J1029" s="10">
        <v>1</v>
      </c>
      <c r="K1029" s="10">
        <v>33389.14</v>
      </c>
    </row>
    <row r="1030" spans="1:11" x14ac:dyDescent="0.25">
      <c r="A1030" s="8" t="s">
        <v>2029</v>
      </c>
      <c r="B1030" s="8" t="s">
        <v>1650</v>
      </c>
      <c r="C1030" s="8" t="s">
        <v>2006</v>
      </c>
      <c r="D1030" s="8">
        <v>5</v>
      </c>
      <c r="E1030" s="8" t="s">
        <v>2030</v>
      </c>
      <c r="F1030" s="8" t="s">
        <v>215</v>
      </c>
      <c r="G1030" s="8" t="s">
        <v>2008</v>
      </c>
      <c r="H1030" s="10">
        <v>1</v>
      </c>
      <c r="I1030" s="10"/>
      <c r="J1030" s="10">
        <v>1</v>
      </c>
      <c r="K1030" s="10">
        <v>66778.289999999994</v>
      </c>
    </row>
    <row r="1031" spans="1:11" x14ac:dyDescent="0.25">
      <c r="A1031" s="8" t="s">
        <v>2031</v>
      </c>
      <c r="B1031" s="8" t="s">
        <v>1655</v>
      </c>
      <c r="C1031" s="8" t="s">
        <v>2006</v>
      </c>
      <c r="D1031" s="8">
        <v>5</v>
      </c>
      <c r="E1031" s="8" t="s">
        <v>2032</v>
      </c>
      <c r="F1031" s="8" t="s">
        <v>215</v>
      </c>
      <c r="G1031" s="8" t="s">
        <v>2008</v>
      </c>
      <c r="H1031" s="10">
        <v>1</v>
      </c>
      <c r="I1031" s="10"/>
      <c r="J1031" s="10">
        <v>1</v>
      </c>
      <c r="K1031" s="10">
        <v>66778.289999999994</v>
      </c>
    </row>
    <row r="1032" spans="1:11" x14ac:dyDescent="0.25">
      <c r="A1032" s="8" t="s">
        <v>2033</v>
      </c>
      <c r="B1032" s="8" t="s">
        <v>120</v>
      </c>
      <c r="C1032" s="8" t="s">
        <v>2006</v>
      </c>
      <c r="D1032" s="8">
        <v>5</v>
      </c>
      <c r="E1032" s="8" t="s">
        <v>2034</v>
      </c>
      <c r="F1032" s="8" t="s">
        <v>215</v>
      </c>
      <c r="G1032" s="8" t="s">
        <v>2008</v>
      </c>
      <c r="H1032" s="10">
        <v>1</v>
      </c>
      <c r="I1032" s="10"/>
      <c r="J1032" s="10">
        <v>1</v>
      </c>
      <c r="K1032" s="10">
        <v>91898.97</v>
      </c>
    </row>
    <row r="1033" spans="1:11" x14ac:dyDescent="0.25">
      <c r="A1033" s="8" t="s">
        <v>2035</v>
      </c>
      <c r="B1033" s="8" t="s">
        <v>120</v>
      </c>
      <c r="C1033" s="8" t="s">
        <v>2006</v>
      </c>
      <c r="D1033" s="8">
        <v>5</v>
      </c>
      <c r="E1033" s="8" t="s">
        <v>2036</v>
      </c>
      <c r="F1033" s="8" t="s">
        <v>215</v>
      </c>
      <c r="G1033" s="8" t="s">
        <v>2008</v>
      </c>
      <c r="H1033" s="10">
        <v>1</v>
      </c>
      <c r="I1033" s="10"/>
      <c r="J1033" s="10">
        <v>1</v>
      </c>
      <c r="K1033" s="10">
        <v>91898.97</v>
      </c>
    </row>
    <row r="1034" spans="1:11" x14ac:dyDescent="0.25">
      <c r="A1034" s="8" t="s">
        <v>2037</v>
      </c>
      <c r="B1034" s="8" t="s">
        <v>1650</v>
      </c>
      <c r="C1034" s="8" t="s">
        <v>2006</v>
      </c>
      <c r="D1034" s="8">
        <v>5</v>
      </c>
      <c r="E1034" s="8" t="s">
        <v>2038</v>
      </c>
      <c r="F1034" s="8" t="s">
        <v>215</v>
      </c>
      <c r="G1034" s="8" t="s">
        <v>2008</v>
      </c>
      <c r="H1034" s="10">
        <v>1</v>
      </c>
      <c r="I1034" s="10"/>
      <c r="J1034" s="10">
        <v>1</v>
      </c>
      <c r="K1034" s="10">
        <v>117019.66</v>
      </c>
    </row>
    <row r="1035" spans="1:11" x14ac:dyDescent="0.25">
      <c r="A1035" s="8" t="s">
        <v>2039</v>
      </c>
      <c r="B1035" s="8" t="s">
        <v>120</v>
      </c>
      <c r="C1035" s="8" t="s">
        <v>2006</v>
      </c>
      <c r="D1035" s="8">
        <v>5</v>
      </c>
      <c r="E1035" s="8" t="s">
        <v>2040</v>
      </c>
      <c r="F1035" s="8" t="s">
        <v>215</v>
      </c>
      <c r="G1035" s="8" t="s">
        <v>2008</v>
      </c>
      <c r="H1035" s="10">
        <v>1</v>
      </c>
      <c r="I1035" s="10"/>
      <c r="J1035" s="10">
        <v>1</v>
      </c>
      <c r="K1035" s="10">
        <v>117019.66</v>
      </c>
    </row>
    <row r="1036" spans="1:11" x14ac:dyDescent="0.25">
      <c r="A1036" s="8" t="s">
        <v>2041</v>
      </c>
      <c r="B1036" s="8" t="s">
        <v>120</v>
      </c>
      <c r="C1036" s="8" t="s">
        <v>2006</v>
      </c>
      <c r="D1036" s="8">
        <v>5</v>
      </c>
      <c r="E1036" s="8" t="s">
        <v>2042</v>
      </c>
      <c r="F1036" s="8" t="s">
        <v>215</v>
      </c>
      <c r="G1036" s="8" t="s">
        <v>2008</v>
      </c>
      <c r="H1036" s="10">
        <v>1</v>
      </c>
      <c r="I1036" s="10"/>
      <c r="J1036" s="10">
        <v>1</v>
      </c>
      <c r="K1036" s="10">
        <v>117019.66</v>
      </c>
    </row>
    <row r="1037" spans="1:11" x14ac:dyDescent="0.25">
      <c r="A1037" s="8" t="s">
        <v>2043</v>
      </c>
      <c r="B1037" s="8" t="s">
        <v>120</v>
      </c>
      <c r="C1037" s="8" t="s">
        <v>2006</v>
      </c>
      <c r="D1037" s="8">
        <v>5</v>
      </c>
      <c r="E1037" s="8" t="s">
        <v>2044</v>
      </c>
      <c r="F1037" s="8" t="s">
        <v>215</v>
      </c>
      <c r="G1037" s="8" t="s">
        <v>2008</v>
      </c>
      <c r="H1037" s="10">
        <v>1</v>
      </c>
      <c r="I1037" s="10"/>
      <c r="J1037" s="10">
        <v>1</v>
      </c>
      <c r="K1037" s="10">
        <v>117019.66</v>
      </c>
    </row>
    <row r="1038" spans="1:11" x14ac:dyDescent="0.25">
      <c r="A1038" s="8" t="s">
        <v>2045</v>
      </c>
      <c r="B1038" s="8" t="s">
        <v>120</v>
      </c>
      <c r="C1038" s="8" t="s">
        <v>2006</v>
      </c>
      <c r="D1038" s="8">
        <v>5</v>
      </c>
      <c r="E1038" s="8" t="s">
        <v>2046</v>
      </c>
      <c r="F1038" s="8" t="s">
        <v>215</v>
      </c>
      <c r="G1038" s="8" t="s">
        <v>2008</v>
      </c>
      <c r="H1038" s="10">
        <v>1</v>
      </c>
      <c r="I1038" s="10"/>
      <c r="J1038" s="10">
        <v>1</v>
      </c>
      <c r="K1038" s="10">
        <v>117019.66</v>
      </c>
    </row>
    <row r="1039" spans="1:11" x14ac:dyDescent="0.25">
      <c r="A1039" s="8" t="s">
        <v>2047</v>
      </c>
      <c r="B1039" s="8" t="s">
        <v>120</v>
      </c>
      <c r="C1039" s="8" t="s">
        <v>2006</v>
      </c>
      <c r="D1039" s="8">
        <v>5</v>
      </c>
      <c r="E1039" s="8" t="s">
        <v>2048</v>
      </c>
      <c r="F1039" s="8" t="s">
        <v>215</v>
      </c>
      <c r="G1039" s="8" t="s">
        <v>2008</v>
      </c>
      <c r="H1039" s="10">
        <v>1</v>
      </c>
      <c r="I1039" s="10"/>
      <c r="J1039" s="10">
        <v>1</v>
      </c>
      <c r="K1039" s="10">
        <v>117019.66</v>
      </c>
    </row>
    <row r="1040" spans="1:11" x14ac:dyDescent="0.25">
      <c r="A1040" s="8" t="s">
        <v>2049</v>
      </c>
      <c r="B1040" s="8" t="s">
        <v>120</v>
      </c>
      <c r="C1040" s="8" t="s">
        <v>2006</v>
      </c>
      <c r="D1040" s="8">
        <v>5</v>
      </c>
      <c r="E1040" s="8" t="s">
        <v>2050</v>
      </c>
      <c r="F1040" s="8" t="s">
        <v>215</v>
      </c>
      <c r="G1040" s="8" t="s">
        <v>2008</v>
      </c>
      <c r="H1040" s="10">
        <v>1</v>
      </c>
      <c r="I1040" s="10"/>
      <c r="J1040" s="10">
        <v>1</v>
      </c>
      <c r="K1040" s="10">
        <v>117019.66</v>
      </c>
    </row>
    <row r="1041" spans="1:11" x14ac:dyDescent="0.25">
      <c r="A1041" s="8" t="s">
        <v>2051</v>
      </c>
      <c r="B1041" s="8" t="s">
        <v>1655</v>
      </c>
      <c r="C1041" s="8" t="s">
        <v>2006</v>
      </c>
      <c r="D1041" s="8">
        <v>5</v>
      </c>
      <c r="E1041" s="8" t="s">
        <v>2052</v>
      </c>
      <c r="F1041" s="8" t="s">
        <v>215</v>
      </c>
      <c r="G1041" s="8" t="s">
        <v>2053</v>
      </c>
      <c r="H1041" s="10">
        <v>1</v>
      </c>
      <c r="I1041" s="10"/>
      <c r="J1041" s="10">
        <v>1</v>
      </c>
      <c r="K1041" s="10">
        <v>14297.43</v>
      </c>
    </row>
    <row r="1042" spans="1:11" x14ac:dyDescent="0.25">
      <c r="A1042" s="8" t="s">
        <v>2054</v>
      </c>
      <c r="B1042" s="8" t="s">
        <v>120</v>
      </c>
      <c r="C1042" s="8" t="s">
        <v>2006</v>
      </c>
      <c r="D1042" s="8">
        <v>5</v>
      </c>
      <c r="E1042" s="8" t="s">
        <v>2055</v>
      </c>
      <c r="F1042" s="8" t="s">
        <v>215</v>
      </c>
      <c r="G1042" s="8" t="s">
        <v>2053</v>
      </c>
      <c r="H1042" s="10">
        <v>1</v>
      </c>
      <c r="I1042" s="10"/>
      <c r="J1042" s="10">
        <v>1</v>
      </c>
      <c r="K1042" s="10">
        <v>14297.43</v>
      </c>
    </row>
    <row r="1043" spans="1:11" x14ac:dyDescent="0.25">
      <c r="A1043" s="8" t="s">
        <v>2056</v>
      </c>
      <c r="B1043" s="8" t="s">
        <v>1655</v>
      </c>
      <c r="C1043" s="8" t="s">
        <v>2006</v>
      </c>
      <c r="D1043" s="8">
        <v>5</v>
      </c>
      <c r="E1043" s="8" t="s">
        <v>2057</v>
      </c>
      <c r="F1043" s="8" t="s">
        <v>215</v>
      </c>
      <c r="G1043" s="8" t="s">
        <v>2058</v>
      </c>
      <c r="H1043" s="10">
        <v>1</v>
      </c>
      <c r="I1043" s="10"/>
      <c r="J1043" s="10">
        <v>1</v>
      </c>
      <c r="K1043" s="10">
        <v>25120.68</v>
      </c>
    </row>
    <row r="1044" spans="1:11" x14ac:dyDescent="0.25">
      <c r="A1044" s="8" t="s">
        <v>2059</v>
      </c>
      <c r="B1044" s="8" t="s">
        <v>1655</v>
      </c>
      <c r="C1044" s="8" t="s">
        <v>2006</v>
      </c>
      <c r="D1044" s="8">
        <v>5</v>
      </c>
      <c r="E1044" s="8" t="s">
        <v>2060</v>
      </c>
      <c r="F1044" s="8" t="s">
        <v>215</v>
      </c>
      <c r="G1044" s="8" t="s">
        <v>2058</v>
      </c>
      <c r="H1044" s="10">
        <v>1</v>
      </c>
      <c r="I1044" s="10"/>
      <c r="J1044" s="10">
        <v>1</v>
      </c>
      <c r="K1044" s="10">
        <v>25120.68</v>
      </c>
    </row>
    <row r="1045" spans="1:11" x14ac:dyDescent="0.25">
      <c r="A1045" s="8" t="s">
        <v>2061</v>
      </c>
      <c r="B1045" s="8" t="s">
        <v>1655</v>
      </c>
      <c r="C1045" s="8" t="s">
        <v>2006</v>
      </c>
      <c r="D1045" s="8">
        <v>5</v>
      </c>
      <c r="E1045" s="8" t="s">
        <v>2062</v>
      </c>
      <c r="F1045" s="8" t="s">
        <v>215</v>
      </c>
      <c r="G1045" s="8" t="s">
        <v>2058</v>
      </c>
      <c r="H1045" s="10">
        <v>1</v>
      </c>
      <c r="I1045" s="10"/>
      <c r="J1045" s="10">
        <v>1</v>
      </c>
      <c r="K1045" s="10">
        <v>25120.68</v>
      </c>
    </row>
    <row r="1046" spans="1:11" x14ac:dyDescent="0.25">
      <c r="A1046" s="8" t="s">
        <v>2063</v>
      </c>
      <c r="B1046" s="8" t="s">
        <v>1655</v>
      </c>
      <c r="C1046" s="8" t="s">
        <v>2006</v>
      </c>
      <c r="D1046" s="8">
        <v>5</v>
      </c>
      <c r="E1046" s="8" t="s">
        <v>2064</v>
      </c>
      <c r="F1046" s="8" t="s">
        <v>215</v>
      </c>
      <c r="G1046" s="8" t="s">
        <v>2058</v>
      </c>
      <c r="H1046" s="10">
        <v>1</v>
      </c>
      <c r="I1046" s="10"/>
      <c r="J1046" s="10">
        <v>1</v>
      </c>
      <c r="K1046" s="10">
        <v>25120.68</v>
      </c>
    </row>
    <row r="1047" spans="1:11" x14ac:dyDescent="0.25">
      <c r="A1047" s="8" t="s">
        <v>2065</v>
      </c>
      <c r="B1047" s="8" t="s">
        <v>120</v>
      </c>
      <c r="C1047" s="8" t="s">
        <v>2006</v>
      </c>
      <c r="D1047" s="8">
        <v>5</v>
      </c>
      <c r="E1047" s="8" t="s">
        <v>2066</v>
      </c>
      <c r="F1047" s="8" t="s">
        <v>215</v>
      </c>
      <c r="G1047" s="8" t="s">
        <v>2058</v>
      </c>
      <c r="H1047" s="10">
        <v>1</v>
      </c>
      <c r="I1047" s="10"/>
      <c r="J1047" s="10">
        <v>1</v>
      </c>
      <c r="K1047" s="10">
        <v>25120.68</v>
      </c>
    </row>
    <row r="1048" spans="1:11" x14ac:dyDescent="0.25">
      <c r="A1048" s="8" t="s">
        <v>2067</v>
      </c>
      <c r="B1048" s="8" t="s">
        <v>120</v>
      </c>
      <c r="C1048" s="8" t="s">
        <v>2006</v>
      </c>
      <c r="D1048" s="8">
        <v>5</v>
      </c>
      <c r="E1048" s="8" t="s">
        <v>2068</v>
      </c>
      <c r="F1048" s="8" t="s">
        <v>215</v>
      </c>
      <c r="G1048" s="8" t="s">
        <v>2058</v>
      </c>
      <c r="H1048" s="10">
        <v>1</v>
      </c>
      <c r="I1048" s="10"/>
      <c r="J1048" s="10">
        <v>1</v>
      </c>
      <c r="K1048" s="10">
        <v>25120.68</v>
      </c>
    </row>
    <row r="1049" spans="1:11" x14ac:dyDescent="0.25">
      <c r="A1049" s="8" t="s">
        <v>2069</v>
      </c>
      <c r="B1049" s="8" t="s">
        <v>120</v>
      </c>
      <c r="C1049" s="8" t="s">
        <v>2006</v>
      </c>
      <c r="D1049" s="8">
        <v>5</v>
      </c>
      <c r="E1049" s="8" t="s">
        <v>2070</v>
      </c>
      <c r="F1049" s="8" t="s">
        <v>215</v>
      </c>
      <c r="G1049" s="8" t="s">
        <v>2058</v>
      </c>
      <c r="H1049" s="10">
        <v>1</v>
      </c>
      <c r="I1049" s="10"/>
      <c r="J1049" s="10">
        <v>1</v>
      </c>
      <c r="K1049" s="10">
        <v>25120.68</v>
      </c>
    </row>
    <row r="1050" spans="1:11" x14ac:dyDescent="0.25">
      <c r="A1050" s="8" t="s">
        <v>2071</v>
      </c>
      <c r="B1050" s="8" t="s">
        <v>120</v>
      </c>
      <c r="C1050" s="8" t="s">
        <v>2006</v>
      </c>
      <c r="D1050" s="8">
        <v>5</v>
      </c>
      <c r="E1050" s="8" t="s">
        <v>2072</v>
      </c>
      <c r="F1050" s="8" t="s">
        <v>215</v>
      </c>
      <c r="G1050" s="8" t="s">
        <v>2058</v>
      </c>
      <c r="H1050" s="10">
        <v>1</v>
      </c>
      <c r="I1050" s="10"/>
      <c r="J1050" s="10">
        <v>1</v>
      </c>
      <c r="K1050" s="10">
        <v>25120.68</v>
      </c>
    </row>
    <row r="1051" spans="1:11" x14ac:dyDescent="0.25">
      <c r="A1051" s="8" t="s">
        <v>2073</v>
      </c>
      <c r="B1051" s="8" t="s">
        <v>2074</v>
      </c>
      <c r="C1051" s="8" t="s">
        <v>2006</v>
      </c>
      <c r="D1051" s="8">
        <v>5</v>
      </c>
      <c r="E1051" s="8" t="s">
        <v>2075</v>
      </c>
      <c r="F1051" s="8" t="s">
        <v>215</v>
      </c>
      <c r="G1051" s="8" t="s">
        <v>2058</v>
      </c>
      <c r="H1051" s="10">
        <v>1</v>
      </c>
      <c r="I1051" s="10"/>
      <c r="J1051" s="10">
        <v>1</v>
      </c>
      <c r="K1051" s="10">
        <v>25120.68</v>
      </c>
    </row>
    <row r="1052" spans="1:11" x14ac:dyDescent="0.25">
      <c r="A1052" s="8" t="s">
        <v>2076</v>
      </c>
      <c r="B1052" s="8" t="s">
        <v>2074</v>
      </c>
      <c r="C1052" s="8" t="s">
        <v>2006</v>
      </c>
      <c r="D1052" s="8">
        <v>5</v>
      </c>
      <c r="E1052" s="8" t="s">
        <v>2077</v>
      </c>
      <c r="F1052" s="8" t="s">
        <v>215</v>
      </c>
      <c r="G1052" s="8" t="s">
        <v>2058</v>
      </c>
      <c r="H1052" s="10">
        <v>1</v>
      </c>
      <c r="I1052" s="10"/>
      <c r="J1052" s="10">
        <v>1</v>
      </c>
      <c r="K1052" s="10">
        <v>25120.68</v>
      </c>
    </row>
    <row r="1053" spans="1:11" x14ac:dyDescent="0.25">
      <c r="A1053" s="8" t="s">
        <v>2078</v>
      </c>
      <c r="B1053" s="8" t="s">
        <v>1650</v>
      </c>
      <c r="C1053" s="8" t="s">
        <v>2006</v>
      </c>
      <c r="D1053" s="8">
        <v>5</v>
      </c>
      <c r="E1053" s="8" t="s">
        <v>2079</v>
      </c>
      <c r="F1053" s="8" t="s">
        <v>215</v>
      </c>
      <c r="G1053" s="8" t="s">
        <v>2058</v>
      </c>
      <c r="H1053" s="10">
        <v>1</v>
      </c>
      <c r="I1053" s="10"/>
      <c r="J1053" s="10">
        <v>1</v>
      </c>
      <c r="K1053" s="10">
        <v>25120.68</v>
      </c>
    </row>
    <row r="1054" spans="1:11" x14ac:dyDescent="0.25">
      <c r="A1054" s="8" t="s">
        <v>2080</v>
      </c>
      <c r="B1054" s="8" t="s">
        <v>1650</v>
      </c>
      <c r="C1054" s="8" t="s">
        <v>2006</v>
      </c>
      <c r="D1054" s="8">
        <v>5</v>
      </c>
      <c r="E1054" s="8" t="s">
        <v>2081</v>
      </c>
      <c r="F1054" s="8" t="s">
        <v>215</v>
      </c>
      <c r="G1054" s="8" t="s">
        <v>2058</v>
      </c>
      <c r="H1054" s="10">
        <v>1</v>
      </c>
      <c r="I1054" s="10"/>
      <c r="J1054" s="10">
        <v>1</v>
      </c>
      <c r="K1054" s="10">
        <v>25120.68</v>
      </c>
    </row>
    <row r="1055" spans="1:11" x14ac:dyDescent="0.25">
      <c r="A1055" s="8" t="s">
        <v>2082</v>
      </c>
      <c r="B1055" s="8" t="s">
        <v>1650</v>
      </c>
      <c r="C1055" s="8" t="s">
        <v>2006</v>
      </c>
      <c r="D1055" s="8">
        <v>5</v>
      </c>
      <c r="E1055" s="8" t="s">
        <v>2083</v>
      </c>
      <c r="F1055" s="8" t="s">
        <v>215</v>
      </c>
      <c r="G1055" s="8" t="s">
        <v>2058</v>
      </c>
      <c r="H1055" s="10">
        <v>1</v>
      </c>
      <c r="I1055" s="10"/>
      <c r="J1055" s="10">
        <v>1</v>
      </c>
      <c r="K1055" s="10">
        <v>25120.68</v>
      </c>
    </row>
    <row r="1056" spans="1:11" x14ac:dyDescent="0.25">
      <c r="A1056" s="8" t="s">
        <v>2084</v>
      </c>
      <c r="B1056" s="8" t="s">
        <v>1650</v>
      </c>
      <c r="C1056" s="8" t="s">
        <v>2006</v>
      </c>
      <c r="D1056" s="8">
        <v>5</v>
      </c>
      <c r="E1056" s="8" t="s">
        <v>2085</v>
      </c>
      <c r="F1056" s="8" t="s">
        <v>215</v>
      </c>
      <c r="G1056" s="8" t="s">
        <v>2058</v>
      </c>
      <c r="H1056" s="10">
        <v>1</v>
      </c>
      <c r="I1056" s="10"/>
      <c r="J1056" s="10">
        <v>1</v>
      </c>
      <c r="K1056" s="10">
        <v>25120.68</v>
      </c>
    </row>
    <row r="1057" spans="1:11" x14ac:dyDescent="0.25">
      <c r="A1057" s="8" t="s">
        <v>2086</v>
      </c>
      <c r="B1057" s="8" t="s">
        <v>1650</v>
      </c>
      <c r="C1057" s="8" t="s">
        <v>2006</v>
      </c>
      <c r="D1057" s="8">
        <v>5</v>
      </c>
      <c r="E1057" s="8" t="s">
        <v>2087</v>
      </c>
      <c r="F1057" s="8" t="s">
        <v>215</v>
      </c>
      <c r="G1057" s="8" t="s">
        <v>2058</v>
      </c>
      <c r="H1057" s="10">
        <v>1</v>
      </c>
      <c r="I1057" s="10"/>
      <c r="J1057" s="10">
        <v>1</v>
      </c>
      <c r="K1057" s="10">
        <v>25120.68</v>
      </c>
    </row>
    <row r="1058" spans="1:11" x14ac:dyDescent="0.25">
      <c r="A1058" s="8" t="s">
        <v>2088</v>
      </c>
      <c r="B1058" s="8" t="s">
        <v>1650</v>
      </c>
      <c r="C1058" s="8" t="s">
        <v>2006</v>
      </c>
      <c r="D1058" s="8">
        <v>5</v>
      </c>
      <c r="E1058" s="8" t="s">
        <v>2089</v>
      </c>
      <c r="F1058" s="8" t="s">
        <v>215</v>
      </c>
      <c r="G1058" s="8" t="s">
        <v>2090</v>
      </c>
      <c r="H1058" s="10">
        <v>9</v>
      </c>
      <c r="I1058" s="10"/>
      <c r="J1058" s="10">
        <v>9</v>
      </c>
      <c r="K1058" s="10">
        <v>2009.65</v>
      </c>
    </row>
    <row r="1059" spans="1:11" x14ac:dyDescent="0.25">
      <c r="A1059" s="8" t="s">
        <v>2091</v>
      </c>
      <c r="B1059" s="8" t="s">
        <v>120</v>
      </c>
      <c r="C1059" s="8" t="s">
        <v>2006</v>
      </c>
      <c r="D1059" s="8">
        <v>5</v>
      </c>
      <c r="E1059" s="8" t="s">
        <v>2089</v>
      </c>
      <c r="F1059" s="8" t="s">
        <v>215</v>
      </c>
      <c r="G1059" s="8" t="s">
        <v>2090</v>
      </c>
      <c r="H1059" s="10">
        <v>56</v>
      </c>
      <c r="I1059" s="10"/>
      <c r="J1059" s="10">
        <v>56</v>
      </c>
      <c r="K1059" s="10">
        <v>2009.65</v>
      </c>
    </row>
    <row r="1060" spans="1:11" x14ac:dyDescent="0.25">
      <c r="A1060" s="8" t="s">
        <v>2092</v>
      </c>
      <c r="B1060" s="8" t="s">
        <v>1655</v>
      </c>
      <c r="C1060" s="8" t="s">
        <v>2006</v>
      </c>
      <c r="D1060" s="8">
        <v>5</v>
      </c>
      <c r="E1060" s="8" t="s">
        <v>2089</v>
      </c>
      <c r="F1060" s="8" t="s">
        <v>215</v>
      </c>
      <c r="G1060" s="8" t="s">
        <v>2090</v>
      </c>
      <c r="H1060" s="10">
        <v>16</v>
      </c>
      <c r="I1060" s="10"/>
      <c r="J1060" s="10">
        <v>16</v>
      </c>
      <c r="K1060" s="10">
        <v>2009.65</v>
      </c>
    </row>
    <row r="1061" spans="1:11" x14ac:dyDescent="0.25">
      <c r="A1061" s="8" t="s">
        <v>2093</v>
      </c>
      <c r="B1061" s="8" t="s">
        <v>80</v>
      </c>
      <c r="C1061" s="8" t="s">
        <v>2006</v>
      </c>
      <c r="D1061" s="8">
        <v>5</v>
      </c>
      <c r="E1061" s="8" t="s">
        <v>2089</v>
      </c>
      <c r="F1061" s="8" t="s">
        <v>215</v>
      </c>
      <c r="G1061" s="8" t="s">
        <v>2090</v>
      </c>
      <c r="H1061" s="10">
        <v>2</v>
      </c>
      <c r="I1061" s="10"/>
      <c r="J1061" s="10">
        <v>2</v>
      </c>
      <c r="K1061" s="10">
        <v>2009.65</v>
      </c>
    </row>
    <row r="1062" spans="1:11" x14ac:dyDescent="0.25">
      <c r="A1062" s="8" t="s">
        <v>2094</v>
      </c>
      <c r="B1062" s="8" t="s">
        <v>120</v>
      </c>
      <c r="C1062" s="8" t="s">
        <v>2006</v>
      </c>
      <c r="D1062" s="8">
        <v>5</v>
      </c>
      <c r="E1062" s="8" t="s">
        <v>2095</v>
      </c>
      <c r="F1062" s="8" t="s">
        <v>215</v>
      </c>
      <c r="G1062" s="8" t="s">
        <v>2058</v>
      </c>
      <c r="H1062" s="10">
        <v>4</v>
      </c>
      <c r="I1062" s="10"/>
      <c r="J1062" s="10">
        <v>4</v>
      </c>
      <c r="K1062" s="10">
        <v>4019.31</v>
      </c>
    </row>
    <row r="1063" spans="1:11" x14ac:dyDescent="0.25">
      <c r="A1063" s="8" t="s">
        <v>2096</v>
      </c>
      <c r="B1063" s="8" t="s">
        <v>118</v>
      </c>
      <c r="C1063" s="8" t="s">
        <v>2006</v>
      </c>
      <c r="D1063" s="8">
        <v>5</v>
      </c>
      <c r="E1063" s="8" t="s">
        <v>2097</v>
      </c>
      <c r="F1063" s="8" t="s">
        <v>215</v>
      </c>
      <c r="G1063" s="8" t="s">
        <v>2058</v>
      </c>
      <c r="H1063" s="10">
        <v>1</v>
      </c>
      <c r="I1063" s="10"/>
      <c r="J1063" s="10">
        <v>1</v>
      </c>
      <c r="K1063" s="10">
        <v>4019.31</v>
      </c>
    </row>
    <row r="1064" spans="1:11" x14ac:dyDescent="0.25">
      <c r="A1064" s="8" t="s">
        <v>2098</v>
      </c>
      <c r="B1064" s="8" t="s">
        <v>120</v>
      </c>
      <c r="C1064" s="8" t="s">
        <v>2006</v>
      </c>
      <c r="D1064" s="8">
        <v>5</v>
      </c>
      <c r="E1064" s="8" t="s">
        <v>2099</v>
      </c>
      <c r="F1064" s="8" t="s">
        <v>215</v>
      </c>
      <c r="G1064" s="8" t="s">
        <v>2058</v>
      </c>
      <c r="H1064" s="10">
        <v>1</v>
      </c>
      <c r="I1064" s="10"/>
      <c r="J1064" s="10">
        <v>1</v>
      </c>
      <c r="K1064" s="10">
        <v>4019.31</v>
      </c>
    </row>
    <row r="1065" spans="1:11" x14ac:dyDescent="0.25">
      <c r="A1065" s="8" t="s">
        <v>2100</v>
      </c>
      <c r="B1065" s="8" t="s">
        <v>118</v>
      </c>
      <c r="C1065" s="8" t="s">
        <v>2006</v>
      </c>
      <c r="D1065" s="8">
        <v>5</v>
      </c>
      <c r="E1065" s="8" t="s">
        <v>2101</v>
      </c>
      <c r="F1065" s="8" t="s">
        <v>215</v>
      </c>
      <c r="G1065" s="8" t="s">
        <v>2058</v>
      </c>
      <c r="H1065" s="10">
        <v>1</v>
      </c>
      <c r="I1065" s="10"/>
      <c r="J1065" s="10">
        <v>1</v>
      </c>
      <c r="K1065" s="10">
        <v>4019.31</v>
      </c>
    </row>
    <row r="1066" spans="1:11" x14ac:dyDescent="0.25">
      <c r="A1066" s="8" t="s">
        <v>2102</v>
      </c>
      <c r="B1066" s="8" t="s">
        <v>118</v>
      </c>
      <c r="C1066" s="8" t="s">
        <v>2006</v>
      </c>
      <c r="D1066" s="8">
        <v>5</v>
      </c>
      <c r="E1066" s="8" t="s">
        <v>2103</v>
      </c>
      <c r="F1066" s="8" t="s">
        <v>215</v>
      </c>
      <c r="G1066" s="8" t="s">
        <v>2058</v>
      </c>
      <c r="H1066" s="10">
        <v>1</v>
      </c>
      <c r="I1066" s="10"/>
      <c r="J1066" s="10">
        <v>1</v>
      </c>
      <c r="K1066" s="10">
        <v>4019.31</v>
      </c>
    </row>
    <row r="1067" spans="1:11" x14ac:dyDescent="0.25">
      <c r="A1067" s="8" t="s">
        <v>2104</v>
      </c>
      <c r="B1067" s="8" t="s">
        <v>116</v>
      </c>
      <c r="C1067" s="8" t="s">
        <v>2006</v>
      </c>
      <c r="D1067" s="8">
        <v>5</v>
      </c>
      <c r="E1067" s="8" t="s">
        <v>2105</v>
      </c>
      <c r="F1067" s="8" t="s">
        <v>215</v>
      </c>
      <c r="G1067" s="8" t="s">
        <v>2058</v>
      </c>
      <c r="H1067" s="10">
        <v>1</v>
      </c>
      <c r="I1067" s="10"/>
      <c r="J1067" s="10">
        <v>1</v>
      </c>
      <c r="K1067" s="10">
        <v>4019.31</v>
      </c>
    </row>
    <row r="1068" spans="1:11" x14ac:dyDescent="0.25">
      <c r="A1068" s="8" t="s">
        <v>2106</v>
      </c>
      <c r="B1068" s="8" t="s">
        <v>118</v>
      </c>
      <c r="C1068" s="8" t="s">
        <v>2006</v>
      </c>
      <c r="D1068" s="8">
        <v>5</v>
      </c>
      <c r="E1068" s="8" t="s">
        <v>2107</v>
      </c>
      <c r="F1068" s="8" t="s">
        <v>215</v>
      </c>
      <c r="G1068" s="8" t="s">
        <v>2058</v>
      </c>
      <c r="H1068" s="10">
        <v>1</v>
      </c>
      <c r="I1068" s="10"/>
      <c r="J1068" s="10">
        <v>1</v>
      </c>
      <c r="K1068" s="10">
        <v>4019.31</v>
      </c>
    </row>
    <row r="1069" spans="1:11" x14ac:dyDescent="0.25">
      <c r="A1069" s="8" t="s">
        <v>2108</v>
      </c>
      <c r="B1069" s="8" t="s">
        <v>116</v>
      </c>
      <c r="C1069" s="8" t="s">
        <v>2006</v>
      </c>
      <c r="D1069" s="8">
        <v>5</v>
      </c>
      <c r="E1069" s="8" t="s">
        <v>2109</v>
      </c>
      <c r="F1069" s="8" t="s">
        <v>215</v>
      </c>
      <c r="G1069" s="8" t="s">
        <v>2058</v>
      </c>
      <c r="H1069" s="10">
        <v>1</v>
      </c>
      <c r="I1069" s="10"/>
      <c r="J1069" s="10">
        <v>1</v>
      </c>
      <c r="K1069" s="10">
        <v>4019.31</v>
      </c>
    </row>
    <row r="1070" spans="1:11" x14ac:dyDescent="0.25">
      <c r="A1070" s="8" t="s">
        <v>2110</v>
      </c>
      <c r="B1070" s="8" t="s">
        <v>118</v>
      </c>
      <c r="C1070" s="8" t="s">
        <v>2006</v>
      </c>
      <c r="D1070" s="8">
        <v>5</v>
      </c>
      <c r="E1070" s="8" t="s">
        <v>2111</v>
      </c>
      <c r="F1070" s="8" t="s">
        <v>215</v>
      </c>
      <c r="G1070" s="8" t="s">
        <v>2058</v>
      </c>
      <c r="H1070" s="10">
        <v>1</v>
      </c>
      <c r="I1070" s="10"/>
      <c r="J1070" s="10">
        <v>1</v>
      </c>
      <c r="K1070" s="10">
        <v>4019.31</v>
      </c>
    </row>
    <row r="1071" spans="1:11" x14ac:dyDescent="0.25">
      <c r="A1071" s="8" t="s">
        <v>2112</v>
      </c>
      <c r="B1071" s="8" t="s">
        <v>120</v>
      </c>
      <c r="C1071" s="8" t="s">
        <v>2006</v>
      </c>
      <c r="D1071" s="8">
        <v>5</v>
      </c>
      <c r="E1071" s="8" t="s">
        <v>2113</v>
      </c>
      <c r="F1071" s="8" t="s">
        <v>215</v>
      </c>
      <c r="G1071" s="8" t="s">
        <v>2058</v>
      </c>
      <c r="H1071" s="10">
        <v>3</v>
      </c>
      <c r="I1071" s="10"/>
      <c r="J1071" s="10">
        <v>3</v>
      </c>
      <c r="K1071" s="10">
        <v>4019.31</v>
      </c>
    </row>
    <row r="1072" spans="1:11" x14ac:dyDescent="0.25">
      <c r="A1072" s="8" t="s">
        <v>2114</v>
      </c>
      <c r="B1072" s="8" t="s">
        <v>118</v>
      </c>
      <c r="C1072" s="8" t="s">
        <v>2006</v>
      </c>
      <c r="D1072" s="8">
        <v>5</v>
      </c>
      <c r="E1072" s="8" t="s">
        <v>2115</v>
      </c>
      <c r="F1072" s="8" t="s">
        <v>215</v>
      </c>
      <c r="G1072" s="8" t="s">
        <v>2058</v>
      </c>
      <c r="H1072" s="10">
        <v>1</v>
      </c>
      <c r="I1072" s="10"/>
      <c r="J1072" s="10">
        <v>1</v>
      </c>
      <c r="K1072" s="10">
        <v>4019.31</v>
      </c>
    </row>
    <row r="1073" spans="1:11" x14ac:dyDescent="0.25">
      <c r="A1073" s="8" t="s">
        <v>2116</v>
      </c>
      <c r="B1073" s="8" t="s">
        <v>116</v>
      </c>
      <c r="C1073" s="8" t="s">
        <v>2006</v>
      </c>
      <c r="D1073" s="8">
        <v>5</v>
      </c>
      <c r="E1073" s="8" t="s">
        <v>2117</v>
      </c>
      <c r="F1073" s="8" t="s">
        <v>215</v>
      </c>
      <c r="G1073" s="8" t="s">
        <v>2058</v>
      </c>
      <c r="H1073" s="10">
        <v>1</v>
      </c>
      <c r="I1073" s="10"/>
      <c r="J1073" s="10">
        <v>1</v>
      </c>
      <c r="K1073" s="10">
        <v>4019.31</v>
      </c>
    </row>
    <row r="1074" spans="1:11" x14ac:dyDescent="0.25">
      <c r="A1074" s="8" t="s">
        <v>2118</v>
      </c>
      <c r="B1074" s="8" t="s">
        <v>116</v>
      </c>
      <c r="C1074" s="8" t="s">
        <v>2006</v>
      </c>
      <c r="D1074" s="8">
        <v>5</v>
      </c>
      <c r="E1074" s="8" t="s">
        <v>2119</v>
      </c>
      <c r="F1074" s="8" t="s">
        <v>215</v>
      </c>
      <c r="G1074" s="8" t="s">
        <v>2058</v>
      </c>
      <c r="H1074" s="10">
        <v>1</v>
      </c>
      <c r="I1074" s="10"/>
      <c r="J1074" s="10">
        <v>1</v>
      </c>
      <c r="K1074" s="10">
        <v>4019.31</v>
      </c>
    </row>
    <row r="1075" spans="1:11" x14ac:dyDescent="0.25">
      <c r="A1075" s="8" t="s">
        <v>2120</v>
      </c>
      <c r="B1075" s="8" t="s">
        <v>120</v>
      </c>
      <c r="C1075" s="8" t="s">
        <v>2006</v>
      </c>
      <c r="D1075" s="8">
        <v>5</v>
      </c>
      <c r="E1075" s="8" t="s">
        <v>2121</v>
      </c>
      <c r="F1075" s="8" t="s">
        <v>215</v>
      </c>
      <c r="G1075" s="8" t="s">
        <v>2058</v>
      </c>
      <c r="H1075" s="10">
        <v>1</v>
      </c>
      <c r="I1075" s="10"/>
      <c r="J1075" s="10">
        <v>1</v>
      </c>
      <c r="K1075" s="10">
        <v>4019.31</v>
      </c>
    </row>
    <row r="1076" spans="1:11" x14ac:dyDescent="0.25">
      <c r="A1076" s="8" t="s">
        <v>2122</v>
      </c>
      <c r="B1076" s="8" t="s">
        <v>1650</v>
      </c>
      <c r="C1076" s="8" t="s">
        <v>2006</v>
      </c>
      <c r="D1076" s="8">
        <v>5</v>
      </c>
      <c r="E1076" s="8" t="s">
        <v>2123</v>
      </c>
      <c r="F1076" s="8" t="s">
        <v>215</v>
      </c>
      <c r="G1076" s="8" t="s">
        <v>2090</v>
      </c>
      <c r="H1076" s="10">
        <v>3</v>
      </c>
      <c r="I1076" s="10"/>
      <c r="J1076" s="10">
        <v>3</v>
      </c>
      <c r="K1076" s="10">
        <v>4019.31</v>
      </c>
    </row>
    <row r="1077" spans="1:11" x14ac:dyDescent="0.25">
      <c r="A1077" s="8" t="s">
        <v>2124</v>
      </c>
      <c r="B1077" s="8" t="s">
        <v>120</v>
      </c>
      <c r="C1077" s="8" t="s">
        <v>2006</v>
      </c>
      <c r="D1077" s="8">
        <v>5</v>
      </c>
      <c r="E1077" s="8" t="s">
        <v>2123</v>
      </c>
      <c r="F1077" s="8" t="s">
        <v>215</v>
      </c>
      <c r="G1077" s="8" t="s">
        <v>2090</v>
      </c>
      <c r="H1077" s="10">
        <v>17</v>
      </c>
      <c r="I1077" s="10"/>
      <c r="J1077" s="10">
        <v>17</v>
      </c>
      <c r="K1077" s="10">
        <v>4019.31</v>
      </c>
    </row>
    <row r="1078" spans="1:11" x14ac:dyDescent="0.25">
      <c r="A1078" s="8" t="s">
        <v>2125</v>
      </c>
      <c r="B1078" s="8" t="s">
        <v>1655</v>
      </c>
      <c r="C1078" s="8" t="s">
        <v>2006</v>
      </c>
      <c r="D1078" s="8">
        <v>5</v>
      </c>
      <c r="E1078" s="8" t="s">
        <v>2123</v>
      </c>
      <c r="F1078" s="8" t="s">
        <v>215</v>
      </c>
      <c r="G1078" s="8" t="s">
        <v>2090</v>
      </c>
      <c r="H1078" s="10">
        <v>11</v>
      </c>
      <c r="I1078" s="10"/>
      <c r="J1078" s="10">
        <v>11</v>
      </c>
      <c r="K1078" s="10">
        <v>4019.31</v>
      </c>
    </row>
    <row r="1079" spans="1:11" x14ac:dyDescent="0.25">
      <c r="A1079" s="8" t="s">
        <v>2126</v>
      </c>
      <c r="B1079" s="8" t="s">
        <v>80</v>
      </c>
      <c r="C1079" s="8" t="s">
        <v>2006</v>
      </c>
      <c r="D1079" s="8">
        <v>5</v>
      </c>
      <c r="E1079" s="8" t="s">
        <v>2123</v>
      </c>
      <c r="F1079" s="8" t="s">
        <v>215</v>
      </c>
      <c r="G1079" s="8" t="s">
        <v>2090</v>
      </c>
      <c r="H1079" s="10">
        <v>1</v>
      </c>
      <c r="I1079" s="10"/>
      <c r="J1079" s="10">
        <v>1</v>
      </c>
      <c r="K1079" s="10">
        <v>4019.31</v>
      </c>
    </row>
    <row r="1080" spans="1:11" x14ac:dyDescent="0.25">
      <c r="A1080" s="8" t="s">
        <v>2127</v>
      </c>
      <c r="B1080" s="8" t="s">
        <v>2074</v>
      </c>
      <c r="C1080" s="8" t="s">
        <v>2006</v>
      </c>
      <c r="D1080" s="8">
        <v>5</v>
      </c>
      <c r="E1080" s="8" t="s">
        <v>2128</v>
      </c>
      <c r="F1080" s="8" t="s">
        <v>215</v>
      </c>
      <c r="G1080" s="8" t="s">
        <v>2090</v>
      </c>
      <c r="H1080" s="10">
        <v>1</v>
      </c>
      <c r="I1080" s="10"/>
      <c r="J1080" s="10">
        <v>1</v>
      </c>
      <c r="K1080" s="10">
        <v>803.86</v>
      </c>
    </row>
    <row r="1081" spans="1:11" x14ac:dyDescent="0.25">
      <c r="A1081" s="8" t="s">
        <v>2129</v>
      </c>
      <c r="B1081" s="8" t="s">
        <v>2074</v>
      </c>
      <c r="C1081" s="8" t="s">
        <v>2006</v>
      </c>
      <c r="D1081" s="8">
        <v>5</v>
      </c>
      <c r="E1081" s="8" t="s">
        <v>2130</v>
      </c>
      <c r="F1081" s="8" t="s">
        <v>215</v>
      </c>
      <c r="G1081" s="8" t="s">
        <v>2090</v>
      </c>
      <c r="H1081" s="10">
        <v>1</v>
      </c>
      <c r="I1081" s="10"/>
      <c r="J1081" s="10">
        <v>1</v>
      </c>
      <c r="K1081" s="10">
        <v>803.86</v>
      </c>
    </row>
    <row r="1082" spans="1:11" x14ac:dyDescent="0.25">
      <c r="A1082" s="8" t="s">
        <v>2131</v>
      </c>
      <c r="B1082" s="8" t="s">
        <v>1650</v>
      </c>
      <c r="C1082" s="8" t="s">
        <v>2006</v>
      </c>
      <c r="D1082" s="8">
        <v>5</v>
      </c>
      <c r="E1082" s="8" t="s">
        <v>2132</v>
      </c>
      <c r="F1082" s="8" t="s">
        <v>215</v>
      </c>
      <c r="G1082" s="8" t="s">
        <v>2090</v>
      </c>
      <c r="H1082" s="10">
        <v>1</v>
      </c>
      <c r="I1082" s="10"/>
      <c r="J1082" s="10">
        <v>1</v>
      </c>
      <c r="K1082" s="10">
        <v>803.86</v>
      </c>
    </row>
    <row r="1083" spans="1:11" x14ac:dyDescent="0.25">
      <c r="A1083" s="8" t="s">
        <v>2133</v>
      </c>
      <c r="B1083" s="8" t="s">
        <v>120</v>
      </c>
      <c r="C1083" s="8" t="s">
        <v>2006</v>
      </c>
      <c r="D1083" s="8">
        <v>5</v>
      </c>
      <c r="E1083" s="8" t="s">
        <v>2134</v>
      </c>
      <c r="F1083" s="8" t="s">
        <v>215</v>
      </c>
      <c r="G1083" s="8" t="s">
        <v>2090</v>
      </c>
      <c r="H1083" s="10">
        <v>1</v>
      </c>
      <c r="I1083" s="10"/>
      <c r="J1083" s="10">
        <v>1</v>
      </c>
      <c r="K1083" s="10">
        <v>803.86</v>
      </c>
    </row>
    <row r="1084" spans="1:11" x14ac:dyDescent="0.25">
      <c r="A1084" s="8" t="s">
        <v>2135</v>
      </c>
      <c r="B1084" s="8" t="s">
        <v>2074</v>
      </c>
      <c r="C1084" s="8" t="s">
        <v>2006</v>
      </c>
      <c r="D1084" s="8">
        <v>5</v>
      </c>
      <c r="E1084" s="8" t="s">
        <v>2136</v>
      </c>
      <c r="F1084" s="8" t="s">
        <v>215</v>
      </c>
      <c r="G1084" s="8" t="s">
        <v>2090</v>
      </c>
      <c r="H1084" s="10">
        <v>1</v>
      </c>
      <c r="I1084" s="10"/>
      <c r="J1084" s="10">
        <v>1</v>
      </c>
      <c r="K1084" s="10">
        <v>803.86</v>
      </c>
    </row>
    <row r="1085" spans="1:11" x14ac:dyDescent="0.25">
      <c r="A1085" s="8" t="s">
        <v>2137</v>
      </c>
      <c r="B1085" s="8" t="s">
        <v>2074</v>
      </c>
      <c r="C1085" s="8" t="s">
        <v>2006</v>
      </c>
      <c r="D1085" s="8">
        <v>5</v>
      </c>
      <c r="E1085" s="8" t="s">
        <v>2138</v>
      </c>
      <c r="F1085" s="8" t="s">
        <v>215</v>
      </c>
      <c r="G1085" s="8" t="s">
        <v>2090</v>
      </c>
      <c r="H1085" s="10">
        <v>1</v>
      </c>
      <c r="I1085" s="10"/>
      <c r="J1085" s="10">
        <v>1</v>
      </c>
      <c r="K1085" s="10">
        <v>803.86</v>
      </c>
    </row>
    <row r="1086" spans="1:11" x14ac:dyDescent="0.25">
      <c r="A1086" s="8" t="s">
        <v>2139</v>
      </c>
      <c r="B1086" s="8" t="s">
        <v>2140</v>
      </c>
      <c r="C1086" s="8" t="s">
        <v>2006</v>
      </c>
      <c r="D1086" s="8">
        <v>5</v>
      </c>
      <c r="E1086" s="8" t="s">
        <v>2141</v>
      </c>
      <c r="F1086" s="8" t="s">
        <v>215</v>
      </c>
      <c r="G1086" s="8" t="s">
        <v>2090</v>
      </c>
      <c r="H1086" s="10">
        <v>1</v>
      </c>
      <c r="I1086" s="10"/>
      <c r="J1086" s="10">
        <v>1</v>
      </c>
      <c r="K1086" s="10">
        <v>803.86</v>
      </c>
    </row>
    <row r="1087" spans="1:11" x14ac:dyDescent="0.25">
      <c r="A1087" s="8" t="s">
        <v>2142</v>
      </c>
      <c r="B1087" s="8" t="s">
        <v>120</v>
      </c>
      <c r="C1087" s="8" t="s">
        <v>2006</v>
      </c>
      <c r="D1087" s="8">
        <v>5</v>
      </c>
      <c r="E1087" s="8" t="s">
        <v>2143</v>
      </c>
      <c r="F1087" s="8" t="s">
        <v>215</v>
      </c>
      <c r="G1087" s="8" t="s">
        <v>2090</v>
      </c>
      <c r="H1087" s="10">
        <v>1</v>
      </c>
      <c r="I1087" s="10"/>
      <c r="J1087" s="10">
        <v>1</v>
      </c>
      <c r="K1087" s="10">
        <v>803.86</v>
      </c>
    </row>
    <row r="1088" spans="1:11" x14ac:dyDescent="0.25">
      <c r="A1088" s="8" t="s">
        <v>2144</v>
      </c>
      <c r="B1088" s="8" t="s">
        <v>1655</v>
      </c>
      <c r="C1088" s="8" t="s">
        <v>2006</v>
      </c>
      <c r="D1088" s="8">
        <v>5</v>
      </c>
      <c r="E1088" s="8" t="s">
        <v>2145</v>
      </c>
      <c r="F1088" s="8" t="s">
        <v>215</v>
      </c>
      <c r="G1088" s="8" t="s">
        <v>2090</v>
      </c>
      <c r="H1088" s="10">
        <v>1</v>
      </c>
      <c r="I1088" s="10"/>
      <c r="J1088" s="10">
        <v>1</v>
      </c>
      <c r="K1088" s="10">
        <v>803.86</v>
      </c>
    </row>
    <row r="1089" spans="1:11" x14ac:dyDescent="0.25">
      <c r="A1089" s="8" t="s">
        <v>2146</v>
      </c>
      <c r="B1089" s="8" t="s">
        <v>1650</v>
      </c>
      <c r="C1089" s="8" t="s">
        <v>2006</v>
      </c>
      <c r="D1089" s="8">
        <v>5</v>
      </c>
      <c r="E1089" s="8" t="s">
        <v>2147</v>
      </c>
      <c r="F1089" s="8" t="s">
        <v>215</v>
      </c>
      <c r="G1089" s="8" t="s">
        <v>2090</v>
      </c>
      <c r="H1089" s="10">
        <v>1</v>
      </c>
      <c r="I1089" s="10"/>
      <c r="J1089" s="10">
        <v>1</v>
      </c>
      <c r="K1089" s="10">
        <v>803.86</v>
      </c>
    </row>
    <row r="1090" spans="1:11" x14ac:dyDescent="0.25">
      <c r="A1090" s="8" t="s">
        <v>2148</v>
      </c>
      <c r="B1090" s="8" t="s">
        <v>2140</v>
      </c>
      <c r="C1090" s="8" t="s">
        <v>2006</v>
      </c>
      <c r="D1090" s="8">
        <v>5</v>
      </c>
      <c r="E1090" s="8" t="s">
        <v>2149</v>
      </c>
      <c r="F1090" s="8" t="s">
        <v>215</v>
      </c>
      <c r="G1090" s="8" t="s">
        <v>2090</v>
      </c>
      <c r="H1090" s="10">
        <v>1</v>
      </c>
      <c r="I1090" s="10"/>
      <c r="J1090" s="10">
        <v>1</v>
      </c>
      <c r="K1090" s="10">
        <v>803.86</v>
      </c>
    </row>
    <row r="1091" spans="1:11" x14ac:dyDescent="0.25">
      <c r="A1091" s="8" t="s">
        <v>2150</v>
      </c>
      <c r="B1091" s="8" t="s">
        <v>120</v>
      </c>
      <c r="C1091" s="8" t="s">
        <v>2006</v>
      </c>
      <c r="D1091" s="8">
        <v>5</v>
      </c>
      <c r="E1091" s="8" t="s">
        <v>2151</v>
      </c>
      <c r="F1091" s="8" t="s">
        <v>215</v>
      </c>
      <c r="G1091" s="8" t="s">
        <v>2090</v>
      </c>
      <c r="H1091" s="10">
        <v>1</v>
      </c>
      <c r="I1091" s="10"/>
      <c r="J1091" s="10">
        <v>1</v>
      </c>
      <c r="K1091" s="10">
        <v>803.86</v>
      </c>
    </row>
    <row r="1092" spans="1:11" x14ac:dyDescent="0.25">
      <c r="A1092" s="8" t="s">
        <v>2152</v>
      </c>
      <c r="B1092" s="8" t="s">
        <v>1650</v>
      </c>
      <c r="C1092" s="8" t="s">
        <v>2006</v>
      </c>
      <c r="D1092" s="8">
        <v>5</v>
      </c>
      <c r="E1092" s="8" t="s">
        <v>2153</v>
      </c>
      <c r="F1092" s="8" t="s">
        <v>215</v>
      </c>
      <c r="G1092" s="8" t="s">
        <v>2090</v>
      </c>
      <c r="H1092" s="10">
        <v>1</v>
      </c>
      <c r="I1092" s="10"/>
      <c r="J1092" s="10">
        <v>1</v>
      </c>
      <c r="K1092" s="10">
        <v>803.86</v>
      </c>
    </row>
    <row r="1093" spans="1:11" x14ac:dyDescent="0.25">
      <c r="A1093" s="8" t="s">
        <v>2154</v>
      </c>
      <c r="B1093" s="8" t="s">
        <v>1655</v>
      </c>
      <c r="C1093" s="8" t="s">
        <v>2006</v>
      </c>
      <c r="D1093" s="8">
        <v>5</v>
      </c>
      <c r="E1093" s="8" t="s">
        <v>2155</v>
      </c>
      <c r="F1093" s="8" t="s">
        <v>215</v>
      </c>
      <c r="G1093" s="8" t="s">
        <v>2090</v>
      </c>
      <c r="H1093" s="10">
        <v>1</v>
      </c>
      <c r="I1093" s="10"/>
      <c r="J1093" s="10">
        <v>1</v>
      </c>
      <c r="K1093" s="10">
        <v>803.86</v>
      </c>
    </row>
    <row r="1094" spans="1:11" x14ac:dyDescent="0.25">
      <c r="A1094" s="8" t="s">
        <v>2156</v>
      </c>
      <c r="B1094" s="8" t="s">
        <v>2074</v>
      </c>
      <c r="C1094" s="8" t="s">
        <v>2006</v>
      </c>
      <c r="D1094" s="8">
        <v>5</v>
      </c>
      <c r="E1094" s="8" t="s">
        <v>2157</v>
      </c>
      <c r="F1094" s="8" t="s">
        <v>215</v>
      </c>
      <c r="G1094" s="8" t="s">
        <v>2090</v>
      </c>
      <c r="H1094" s="10">
        <v>1</v>
      </c>
      <c r="I1094" s="10"/>
      <c r="J1094" s="10">
        <v>1</v>
      </c>
      <c r="K1094" s="10">
        <v>803.86</v>
      </c>
    </row>
    <row r="1095" spans="1:11" x14ac:dyDescent="0.25">
      <c r="A1095" s="8" t="s">
        <v>2158</v>
      </c>
      <c r="B1095" s="8" t="s">
        <v>1650</v>
      </c>
      <c r="C1095" s="8" t="s">
        <v>2006</v>
      </c>
      <c r="D1095" s="8">
        <v>5</v>
      </c>
      <c r="E1095" s="8" t="s">
        <v>2159</v>
      </c>
      <c r="F1095" s="8" t="s">
        <v>215</v>
      </c>
      <c r="G1095" s="8" t="s">
        <v>2090</v>
      </c>
      <c r="H1095" s="10">
        <v>1</v>
      </c>
      <c r="I1095" s="10"/>
      <c r="J1095" s="10">
        <v>1</v>
      </c>
      <c r="K1095" s="10">
        <v>803.86</v>
      </c>
    </row>
    <row r="1096" spans="1:11" x14ac:dyDescent="0.25">
      <c r="A1096" s="8" t="s">
        <v>2160</v>
      </c>
      <c r="B1096" s="8" t="s">
        <v>120</v>
      </c>
      <c r="C1096" s="8" t="s">
        <v>2006</v>
      </c>
      <c r="D1096" s="8">
        <v>5</v>
      </c>
      <c r="E1096" s="8" t="s">
        <v>2161</v>
      </c>
      <c r="F1096" s="8" t="s">
        <v>215</v>
      </c>
      <c r="G1096" s="8" t="s">
        <v>2090</v>
      </c>
      <c r="H1096" s="10">
        <v>1</v>
      </c>
      <c r="I1096" s="10"/>
      <c r="J1096" s="10">
        <v>1</v>
      </c>
      <c r="K1096" s="10">
        <v>803.86</v>
      </c>
    </row>
    <row r="1097" spans="1:11" x14ac:dyDescent="0.25">
      <c r="A1097" s="8" t="s">
        <v>2162</v>
      </c>
      <c r="B1097" s="8" t="s">
        <v>2074</v>
      </c>
      <c r="C1097" s="8" t="s">
        <v>2006</v>
      </c>
      <c r="D1097" s="8">
        <v>5</v>
      </c>
      <c r="E1097" s="8" t="s">
        <v>2163</v>
      </c>
      <c r="F1097" s="8" t="s">
        <v>215</v>
      </c>
      <c r="G1097" s="8" t="s">
        <v>2090</v>
      </c>
      <c r="H1097" s="10">
        <v>1</v>
      </c>
      <c r="I1097" s="10"/>
      <c r="J1097" s="10">
        <v>1</v>
      </c>
      <c r="K1097" s="10">
        <v>803.86</v>
      </c>
    </row>
    <row r="1098" spans="1:11" x14ac:dyDescent="0.25">
      <c r="A1098" s="8" t="s">
        <v>2164</v>
      </c>
      <c r="B1098" s="8" t="s">
        <v>2074</v>
      </c>
      <c r="C1098" s="8" t="s">
        <v>2006</v>
      </c>
      <c r="D1098" s="8">
        <v>5</v>
      </c>
      <c r="E1098" s="8" t="s">
        <v>2165</v>
      </c>
      <c r="F1098" s="8" t="s">
        <v>215</v>
      </c>
      <c r="G1098" s="8" t="s">
        <v>2090</v>
      </c>
      <c r="H1098" s="10">
        <v>1</v>
      </c>
      <c r="I1098" s="10"/>
      <c r="J1098" s="10">
        <v>1</v>
      </c>
      <c r="K1098" s="10">
        <v>803.86</v>
      </c>
    </row>
    <row r="1099" spans="1:11" x14ac:dyDescent="0.25">
      <c r="A1099" s="8" t="s">
        <v>2166</v>
      </c>
      <c r="B1099" s="8" t="s">
        <v>2074</v>
      </c>
      <c r="C1099" s="8" t="s">
        <v>2006</v>
      </c>
      <c r="D1099" s="8">
        <v>5</v>
      </c>
      <c r="E1099" s="8" t="s">
        <v>2167</v>
      </c>
      <c r="F1099" s="8" t="s">
        <v>215</v>
      </c>
      <c r="G1099" s="8" t="s">
        <v>2090</v>
      </c>
      <c r="H1099" s="10">
        <v>1</v>
      </c>
      <c r="I1099" s="10"/>
      <c r="J1099" s="10">
        <v>1</v>
      </c>
      <c r="K1099" s="10">
        <v>803.86</v>
      </c>
    </row>
    <row r="1100" spans="1:11" x14ac:dyDescent="0.25">
      <c r="A1100" s="8" t="s">
        <v>2168</v>
      </c>
      <c r="B1100" s="8" t="s">
        <v>2074</v>
      </c>
      <c r="C1100" s="8" t="s">
        <v>2006</v>
      </c>
      <c r="D1100" s="8">
        <v>5</v>
      </c>
      <c r="E1100" s="8" t="s">
        <v>2169</v>
      </c>
      <c r="F1100" s="8" t="s">
        <v>215</v>
      </c>
      <c r="G1100" s="8" t="s">
        <v>2090</v>
      </c>
      <c r="H1100" s="10">
        <v>1</v>
      </c>
      <c r="I1100" s="10"/>
      <c r="J1100" s="10">
        <v>1</v>
      </c>
      <c r="K1100" s="10">
        <v>803.86</v>
      </c>
    </row>
    <row r="1101" spans="1:11" x14ac:dyDescent="0.25">
      <c r="A1101" s="8" t="s">
        <v>2170</v>
      </c>
      <c r="B1101" s="8" t="s">
        <v>120</v>
      </c>
      <c r="C1101" s="8" t="s">
        <v>2006</v>
      </c>
      <c r="D1101" s="8">
        <v>5</v>
      </c>
      <c r="E1101" s="8" t="s">
        <v>2171</v>
      </c>
      <c r="F1101" s="8" t="s">
        <v>215</v>
      </c>
      <c r="G1101" s="8" t="s">
        <v>2090</v>
      </c>
      <c r="H1101" s="10">
        <v>1</v>
      </c>
      <c r="I1101" s="10"/>
      <c r="J1101" s="10">
        <v>1</v>
      </c>
      <c r="K1101" s="10">
        <v>803.86</v>
      </c>
    </row>
    <row r="1102" spans="1:11" x14ac:dyDescent="0.25">
      <c r="A1102" s="8" t="s">
        <v>2172</v>
      </c>
      <c r="B1102" s="8" t="s">
        <v>120</v>
      </c>
      <c r="C1102" s="8" t="s">
        <v>2006</v>
      </c>
      <c r="D1102" s="8">
        <v>5</v>
      </c>
      <c r="E1102" s="8" t="s">
        <v>2173</v>
      </c>
      <c r="F1102" s="8" t="s">
        <v>215</v>
      </c>
      <c r="G1102" s="8" t="s">
        <v>2090</v>
      </c>
      <c r="H1102" s="10">
        <v>1</v>
      </c>
      <c r="I1102" s="10"/>
      <c r="J1102" s="10">
        <v>1</v>
      </c>
      <c r="K1102" s="10">
        <v>803.86</v>
      </c>
    </row>
    <row r="1103" spans="1:11" x14ac:dyDescent="0.25">
      <c r="A1103" s="8" t="s">
        <v>2174</v>
      </c>
      <c r="B1103" s="8" t="s">
        <v>2074</v>
      </c>
      <c r="C1103" s="8" t="s">
        <v>2006</v>
      </c>
      <c r="D1103" s="8">
        <v>5</v>
      </c>
      <c r="E1103" s="8" t="s">
        <v>2175</v>
      </c>
      <c r="F1103" s="8" t="s">
        <v>215</v>
      </c>
      <c r="G1103" s="8" t="s">
        <v>2176</v>
      </c>
      <c r="H1103" s="10">
        <v>1</v>
      </c>
      <c r="I1103" s="10"/>
      <c r="J1103" s="10">
        <v>1</v>
      </c>
      <c r="K1103" s="10">
        <v>2009.65</v>
      </c>
    </row>
    <row r="1104" spans="1:11" x14ac:dyDescent="0.25">
      <c r="A1104" s="8" t="s">
        <v>2177</v>
      </c>
      <c r="B1104" s="8" t="s">
        <v>2074</v>
      </c>
      <c r="C1104" s="8" t="s">
        <v>2006</v>
      </c>
      <c r="D1104" s="8">
        <v>5</v>
      </c>
      <c r="E1104" s="8" t="s">
        <v>2178</v>
      </c>
      <c r="F1104" s="8" t="s">
        <v>215</v>
      </c>
      <c r="G1104" s="8" t="s">
        <v>2176</v>
      </c>
      <c r="H1104" s="10">
        <v>1</v>
      </c>
      <c r="I1104" s="10"/>
      <c r="J1104" s="10">
        <v>1</v>
      </c>
      <c r="K1104" s="10">
        <v>2009.65</v>
      </c>
    </row>
    <row r="1105" spans="1:11" x14ac:dyDescent="0.25">
      <c r="A1105" s="8" t="s">
        <v>2179</v>
      </c>
      <c r="B1105" s="8" t="s">
        <v>2074</v>
      </c>
      <c r="C1105" s="8" t="s">
        <v>2006</v>
      </c>
      <c r="D1105" s="8">
        <v>5</v>
      </c>
      <c r="E1105" s="8" t="s">
        <v>2180</v>
      </c>
      <c r="F1105" s="8" t="s">
        <v>215</v>
      </c>
      <c r="G1105" s="8" t="s">
        <v>2176</v>
      </c>
      <c r="H1105" s="10">
        <v>1</v>
      </c>
      <c r="I1105" s="10"/>
      <c r="J1105" s="10">
        <v>1</v>
      </c>
      <c r="K1105" s="10">
        <v>2009.65</v>
      </c>
    </row>
    <row r="1106" spans="1:11" x14ac:dyDescent="0.25">
      <c r="A1106" s="8" t="s">
        <v>2181</v>
      </c>
      <c r="B1106" s="8" t="s">
        <v>2074</v>
      </c>
      <c r="C1106" s="8" t="s">
        <v>2006</v>
      </c>
      <c r="D1106" s="8">
        <v>5</v>
      </c>
      <c r="E1106" s="8" t="s">
        <v>2182</v>
      </c>
      <c r="F1106" s="8" t="s">
        <v>215</v>
      </c>
      <c r="G1106" s="8" t="s">
        <v>2176</v>
      </c>
      <c r="H1106" s="10">
        <v>1</v>
      </c>
      <c r="I1106" s="10"/>
      <c r="J1106" s="10">
        <v>1</v>
      </c>
      <c r="K1106" s="10">
        <v>2009.65</v>
      </c>
    </row>
    <row r="1107" spans="1:11" x14ac:dyDescent="0.25">
      <c r="A1107" s="8" t="s">
        <v>2183</v>
      </c>
      <c r="B1107" s="8" t="s">
        <v>120</v>
      </c>
      <c r="C1107" s="8" t="s">
        <v>2006</v>
      </c>
      <c r="D1107" s="8">
        <v>5</v>
      </c>
      <c r="E1107" s="8" t="s">
        <v>2184</v>
      </c>
      <c r="F1107" s="8" t="s">
        <v>215</v>
      </c>
      <c r="G1107" s="8" t="s">
        <v>2176</v>
      </c>
      <c r="H1107" s="10">
        <v>1</v>
      </c>
      <c r="I1107" s="10"/>
      <c r="J1107" s="10">
        <v>1</v>
      </c>
      <c r="K1107" s="10">
        <v>401.93</v>
      </c>
    </row>
    <row r="1108" spans="1:11" x14ac:dyDescent="0.25">
      <c r="A1108" s="8" t="s">
        <v>2185</v>
      </c>
      <c r="B1108" s="8" t="s">
        <v>120</v>
      </c>
      <c r="C1108" s="8" t="s">
        <v>2006</v>
      </c>
      <c r="D1108" s="8">
        <v>5</v>
      </c>
      <c r="E1108" s="8" t="s">
        <v>2186</v>
      </c>
      <c r="F1108" s="8" t="s">
        <v>215</v>
      </c>
      <c r="G1108" s="8" t="s">
        <v>2176</v>
      </c>
      <c r="H1108" s="10">
        <v>1</v>
      </c>
      <c r="I1108" s="10"/>
      <c r="J1108" s="10">
        <v>1</v>
      </c>
      <c r="K1108" s="10">
        <v>401.93</v>
      </c>
    </row>
    <row r="1109" spans="1:11" x14ac:dyDescent="0.25">
      <c r="A1109" s="8" t="s">
        <v>2187</v>
      </c>
      <c r="B1109" s="8" t="s">
        <v>2074</v>
      </c>
      <c r="C1109" s="8" t="s">
        <v>2006</v>
      </c>
      <c r="D1109" s="8">
        <v>5</v>
      </c>
      <c r="E1109" s="8" t="s">
        <v>2188</v>
      </c>
      <c r="F1109" s="8" t="s">
        <v>215</v>
      </c>
      <c r="G1109" s="8" t="s">
        <v>2176</v>
      </c>
      <c r="H1109" s="10">
        <v>1</v>
      </c>
      <c r="I1109" s="10"/>
      <c r="J1109" s="10">
        <v>1</v>
      </c>
      <c r="K1109" s="10">
        <v>401.93</v>
      </c>
    </row>
    <row r="1110" spans="1:11" x14ac:dyDescent="0.25">
      <c r="A1110" s="8" t="s">
        <v>2189</v>
      </c>
      <c r="B1110" s="8" t="s">
        <v>2074</v>
      </c>
      <c r="C1110" s="8" t="s">
        <v>2006</v>
      </c>
      <c r="D1110" s="8">
        <v>5</v>
      </c>
      <c r="E1110" s="8" t="s">
        <v>2190</v>
      </c>
      <c r="F1110" s="8" t="s">
        <v>215</v>
      </c>
      <c r="G1110" s="8" t="s">
        <v>2176</v>
      </c>
      <c r="H1110" s="10">
        <v>1</v>
      </c>
      <c r="I1110" s="10"/>
      <c r="J1110" s="10">
        <v>1</v>
      </c>
      <c r="K1110" s="10">
        <v>401.93</v>
      </c>
    </row>
    <row r="1111" spans="1:11" x14ac:dyDescent="0.25">
      <c r="A1111" s="8" t="s">
        <v>2191</v>
      </c>
      <c r="B1111" s="8" t="s">
        <v>2074</v>
      </c>
      <c r="C1111" s="8" t="s">
        <v>2006</v>
      </c>
      <c r="D1111" s="8">
        <v>5</v>
      </c>
      <c r="E1111" s="8" t="s">
        <v>2192</v>
      </c>
      <c r="F1111" s="8" t="s">
        <v>215</v>
      </c>
      <c r="G1111" s="8" t="s">
        <v>2176</v>
      </c>
      <c r="H1111" s="10">
        <v>1</v>
      </c>
      <c r="I1111" s="10"/>
      <c r="J1111" s="10">
        <v>1</v>
      </c>
      <c r="K1111" s="10">
        <v>401.93</v>
      </c>
    </row>
    <row r="1112" spans="1:11" x14ac:dyDescent="0.25">
      <c r="A1112" s="8" t="s">
        <v>2193</v>
      </c>
      <c r="B1112" s="8" t="s">
        <v>2074</v>
      </c>
      <c r="C1112" s="8" t="s">
        <v>2006</v>
      </c>
      <c r="D1112" s="8">
        <v>5</v>
      </c>
      <c r="E1112" s="8" t="s">
        <v>2194</v>
      </c>
      <c r="F1112" s="8" t="s">
        <v>215</v>
      </c>
      <c r="G1112" s="8" t="s">
        <v>2176</v>
      </c>
      <c r="H1112" s="10">
        <v>1</v>
      </c>
      <c r="I1112" s="10"/>
      <c r="J1112" s="10">
        <v>1</v>
      </c>
      <c r="K1112" s="10">
        <v>401.93</v>
      </c>
    </row>
    <row r="1113" spans="1:11" x14ac:dyDescent="0.25">
      <c r="A1113" s="8" t="s">
        <v>2195</v>
      </c>
      <c r="B1113" s="8" t="s">
        <v>2074</v>
      </c>
      <c r="C1113" s="8" t="s">
        <v>2006</v>
      </c>
      <c r="D1113" s="8">
        <v>5</v>
      </c>
      <c r="E1113" s="8" t="s">
        <v>2196</v>
      </c>
      <c r="F1113" s="8" t="s">
        <v>215</v>
      </c>
      <c r="G1113" s="8" t="s">
        <v>2176</v>
      </c>
      <c r="H1113" s="10">
        <v>1</v>
      </c>
      <c r="I1113" s="10"/>
      <c r="J1113" s="10">
        <v>1</v>
      </c>
      <c r="K1113" s="10">
        <v>401.93</v>
      </c>
    </row>
    <row r="1114" spans="1:11" x14ac:dyDescent="0.25">
      <c r="A1114" s="8" t="s">
        <v>2197</v>
      </c>
      <c r="B1114" s="8" t="s">
        <v>2074</v>
      </c>
      <c r="C1114" s="8" t="s">
        <v>2006</v>
      </c>
      <c r="D1114" s="8">
        <v>5</v>
      </c>
      <c r="E1114" s="8" t="s">
        <v>2198</v>
      </c>
      <c r="F1114" s="8" t="s">
        <v>215</v>
      </c>
      <c r="G1114" s="8" t="s">
        <v>2176</v>
      </c>
      <c r="H1114" s="10">
        <v>1</v>
      </c>
      <c r="I1114" s="10"/>
      <c r="J1114" s="10">
        <v>1</v>
      </c>
      <c r="K1114" s="10">
        <v>401.93</v>
      </c>
    </row>
    <row r="1115" spans="1:11" x14ac:dyDescent="0.25">
      <c r="A1115" s="8" t="s">
        <v>2199</v>
      </c>
      <c r="B1115" s="8" t="s">
        <v>2140</v>
      </c>
      <c r="C1115" s="8" t="s">
        <v>2006</v>
      </c>
      <c r="D1115" s="8">
        <v>5</v>
      </c>
      <c r="E1115" s="8" t="s">
        <v>2200</v>
      </c>
      <c r="F1115" s="8" t="s">
        <v>215</v>
      </c>
      <c r="G1115" s="8" t="s">
        <v>2176</v>
      </c>
      <c r="H1115" s="10">
        <v>1</v>
      </c>
      <c r="I1115" s="10"/>
      <c r="J1115" s="10">
        <v>1</v>
      </c>
      <c r="K1115" s="10">
        <v>401.93</v>
      </c>
    </row>
    <row r="1116" spans="1:11" x14ac:dyDescent="0.25">
      <c r="A1116" s="8" t="s">
        <v>2201</v>
      </c>
      <c r="B1116" s="8" t="s">
        <v>2074</v>
      </c>
      <c r="C1116" s="8" t="s">
        <v>2006</v>
      </c>
      <c r="D1116" s="8">
        <v>5</v>
      </c>
      <c r="E1116" s="8" t="s">
        <v>2202</v>
      </c>
      <c r="F1116" s="8" t="s">
        <v>215</v>
      </c>
      <c r="G1116" s="8" t="s">
        <v>2176</v>
      </c>
      <c r="H1116" s="10">
        <v>3</v>
      </c>
      <c r="I1116" s="10"/>
      <c r="J1116" s="10">
        <v>3</v>
      </c>
      <c r="K1116" s="10">
        <v>100.48</v>
      </c>
    </row>
    <row r="1117" spans="1:11" x14ac:dyDescent="0.25">
      <c r="A1117" s="8" t="s">
        <v>2203</v>
      </c>
      <c r="B1117" s="8" t="s">
        <v>2074</v>
      </c>
      <c r="C1117" s="8" t="s">
        <v>2006</v>
      </c>
      <c r="D1117" s="8">
        <v>5</v>
      </c>
      <c r="E1117" s="8" t="s">
        <v>2204</v>
      </c>
      <c r="F1117" s="8" t="s">
        <v>215</v>
      </c>
      <c r="G1117" s="8" t="s">
        <v>2176</v>
      </c>
      <c r="H1117" s="10">
        <v>1</v>
      </c>
      <c r="I1117" s="10"/>
      <c r="J1117" s="10">
        <v>1</v>
      </c>
      <c r="K1117" s="10">
        <v>401.93</v>
      </c>
    </row>
    <row r="1118" spans="1:11" x14ac:dyDescent="0.25">
      <c r="A1118" s="8" t="s">
        <v>2205</v>
      </c>
      <c r="B1118" s="8" t="s">
        <v>2074</v>
      </c>
      <c r="C1118" s="8" t="s">
        <v>2006</v>
      </c>
      <c r="D1118" s="8">
        <v>5</v>
      </c>
      <c r="E1118" s="8" t="s">
        <v>2206</v>
      </c>
      <c r="F1118" s="8" t="s">
        <v>215</v>
      </c>
      <c r="G1118" s="8" t="s">
        <v>2176</v>
      </c>
      <c r="H1118" s="10">
        <v>1</v>
      </c>
      <c r="I1118" s="10"/>
      <c r="J1118" s="10">
        <v>1</v>
      </c>
      <c r="K1118" s="10">
        <v>401.93</v>
      </c>
    </row>
    <row r="1119" spans="1:11" x14ac:dyDescent="0.25">
      <c r="A1119" s="8" t="s">
        <v>2207</v>
      </c>
      <c r="B1119" s="8" t="s">
        <v>2074</v>
      </c>
      <c r="C1119" s="8" t="s">
        <v>2006</v>
      </c>
      <c r="D1119" s="8">
        <v>5</v>
      </c>
      <c r="E1119" s="8" t="s">
        <v>2208</v>
      </c>
      <c r="F1119" s="8" t="s">
        <v>215</v>
      </c>
      <c r="G1119" s="8" t="s">
        <v>2176</v>
      </c>
      <c r="H1119" s="10">
        <v>1</v>
      </c>
      <c r="I1119" s="10"/>
      <c r="J1119" s="10">
        <v>1</v>
      </c>
      <c r="K1119" s="10">
        <v>200.97</v>
      </c>
    </row>
    <row r="1120" spans="1:11" x14ac:dyDescent="0.25">
      <c r="A1120" s="8" t="s">
        <v>2209</v>
      </c>
      <c r="B1120" s="8" t="s">
        <v>2074</v>
      </c>
      <c r="C1120" s="8" t="s">
        <v>2006</v>
      </c>
      <c r="D1120" s="8">
        <v>5</v>
      </c>
      <c r="E1120" s="8" t="s">
        <v>2210</v>
      </c>
      <c r="F1120" s="8" t="s">
        <v>215</v>
      </c>
      <c r="G1120" s="8" t="s">
        <v>2176</v>
      </c>
      <c r="H1120" s="10">
        <v>1</v>
      </c>
      <c r="I1120" s="10"/>
      <c r="J1120" s="10">
        <v>1</v>
      </c>
      <c r="K1120" s="10">
        <v>200.97</v>
      </c>
    </row>
    <row r="1121" spans="1:11" x14ac:dyDescent="0.25">
      <c r="A1121" s="8" t="s">
        <v>2211</v>
      </c>
      <c r="B1121" s="8" t="s">
        <v>2074</v>
      </c>
      <c r="C1121" s="8" t="s">
        <v>2006</v>
      </c>
      <c r="D1121" s="8">
        <v>5</v>
      </c>
      <c r="E1121" s="8" t="s">
        <v>2212</v>
      </c>
      <c r="F1121" s="8" t="s">
        <v>215</v>
      </c>
      <c r="G1121" s="8" t="s">
        <v>2176</v>
      </c>
      <c r="H1121" s="10">
        <v>1</v>
      </c>
      <c r="I1121" s="10"/>
      <c r="J1121" s="10">
        <v>1</v>
      </c>
      <c r="K1121" s="10">
        <v>200.97</v>
      </c>
    </row>
    <row r="1122" spans="1:11" x14ac:dyDescent="0.25">
      <c r="A1122" s="8" t="s">
        <v>2213</v>
      </c>
      <c r="B1122" s="8" t="s">
        <v>2074</v>
      </c>
      <c r="C1122" s="8" t="s">
        <v>2006</v>
      </c>
      <c r="D1122" s="8">
        <v>5</v>
      </c>
      <c r="E1122" s="8" t="s">
        <v>2214</v>
      </c>
      <c r="F1122" s="8" t="s">
        <v>215</v>
      </c>
      <c r="G1122" s="8" t="s">
        <v>2176</v>
      </c>
      <c r="H1122" s="10">
        <v>3</v>
      </c>
      <c r="I1122" s="10"/>
      <c r="J1122" s="10">
        <v>3</v>
      </c>
      <c r="K1122" s="10">
        <v>200.97</v>
      </c>
    </row>
    <row r="1123" spans="1:11" x14ac:dyDescent="0.25">
      <c r="A1123" s="8" t="s">
        <v>2215</v>
      </c>
      <c r="B1123" s="8" t="s">
        <v>2074</v>
      </c>
      <c r="C1123" s="8" t="s">
        <v>2006</v>
      </c>
      <c r="D1123" s="8">
        <v>5</v>
      </c>
      <c r="E1123" s="8" t="s">
        <v>2216</v>
      </c>
      <c r="F1123" s="8" t="s">
        <v>215</v>
      </c>
      <c r="G1123" s="8" t="s">
        <v>2176</v>
      </c>
      <c r="H1123" s="10">
        <v>1</v>
      </c>
      <c r="I1123" s="10"/>
      <c r="J1123" s="10">
        <v>1</v>
      </c>
      <c r="K1123" s="10">
        <v>200.97</v>
      </c>
    </row>
    <row r="1124" spans="1:11" x14ac:dyDescent="0.25">
      <c r="A1124" s="8" t="s">
        <v>2217</v>
      </c>
      <c r="B1124" s="8" t="s">
        <v>2074</v>
      </c>
      <c r="C1124" s="8" t="s">
        <v>2006</v>
      </c>
      <c r="D1124" s="8">
        <v>5</v>
      </c>
      <c r="E1124" s="8" t="s">
        <v>2218</v>
      </c>
      <c r="F1124" s="8" t="s">
        <v>215</v>
      </c>
      <c r="G1124" s="8" t="s">
        <v>2176</v>
      </c>
      <c r="H1124" s="10">
        <v>1</v>
      </c>
      <c r="I1124" s="10"/>
      <c r="J1124" s="10">
        <v>1</v>
      </c>
      <c r="K1124" s="10">
        <v>200.97</v>
      </c>
    </row>
    <row r="1125" spans="1:11" x14ac:dyDescent="0.25">
      <c r="A1125" s="8" t="s">
        <v>2219</v>
      </c>
      <c r="B1125" s="8" t="s">
        <v>2074</v>
      </c>
      <c r="C1125" s="8" t="s">
        <v>2006</v>
      </c>
      <c r="D1125" s="8">
        <v>5</v>
      </c>
      <c r="E1125" s="8" t="s">
        <v>2220</v>
      </c>
      <c r="F1125" s="8" t="s">
        <v>215</v>
      </c>
      <c r="G1125" s="8" t="s">
        <v>2176</v>
      </c>
      <c r="H1125" s="10">
        <v>1</v>
      </c>
      <c r="I1125" s="10"/>
      <c r="J1125" s="10">
        <v>1</v>
      </c>
      <c r="K1125" s="10">
        <v>200.97</v>
      </c>
    </row>
    <row r="1126" spans="1:11" x14ac:dyDescent="0.25">
      <c r="A1126" s="8" t="s">
        <v>2221</v>
      </c>
      <c r="B1126" s="8" t="s">
        <v>2074</v>
      </c>
      <c r="C1126" s="8" t="s">
        <v>2006</v>
      </c>
      <c r="D1126" s="8">
        <v>5</v>
      </c>
      <c r="E1126" s="8" t="s">
        <v>2222</v>
      </c>
      <c r="F1126" s="8" t="s">
        <v>215</v>
      </c>
      <c r="G1126" s="8" t="s">
        <v>2176</v>
      </c>
      <c r="H1126" s="10">
        <v>1</v>
      </c>
      <c r="I1126" s="10"/>
      <c r="J1126" s="10">
        <v>1</v>
      </c>
      <c r="K1126" s="10">
        <v>200.97</v>
      </c>
    </row>
    <row r="1127" spans="1:11" x14ac:dyDescent="0.25">
      <c r="A1127" s="8" t="s">
        <v>2223</v>
      </c>
      <c r="B1127" s="8" t="s">
        <v>2074</v>
      </c>
      <c r="C1127" s="8" t="s">
        <v>2006</v>
      </c>
      <c r="D1127" s="8">
        <v>5</v>
      </c>
      <c r="E1127" s="8" t="s">
        <v>2224</v>
      </c>
      <c r="F1127" s="8" t="s">
        <v>215</v>
      </c>
      <c r="G1127" s="8" t="s">
        <v>2176</v>
      </c>
      <c r="H1127" s="10">
        <v>1</v>
      </c>
      <c r="I1127" s="10"/>
      <c r="J1127" s="10">
        <v>1</v>
      </c>
      <c r="K1127" s="10">
        <v>200.97</v>
      </c>
    </row>
    <row r="1128" spans="1:11" x14ac:dyDescent="0.25">
      <c r="A1128" s="8" t="s">
        <v>2225</v>
      </c>
      <c r="B1128" s="8" t="s">
        <v>2074</v>
      </c>
      <c r="C1128" s="8" t="s">
        <v>2006</v>
      </c>
      <c r="D1128" s="8">
        <v>5</v>
      </c>
      <c r="E1128" s="8" t="s">
        <v>2226</v>
      </c>
      <c r="F1128" s="8" t="s">
        <v>215</v>
      </c>
      <c r="G1128" s="8" t="s">
        <v>2176</v>
      </c>
      <c r="H1128" s="10">
        <v>1</v>
      </c>
      <c r="I1128" s="10"/>
      <c r="J1128" s="10">
        <v>1</v>
      </c>
      <c r="K1128" s="10">
        <v>200.97</v>
      </c>
    </row>
    <row r="1129" spans="1:11" x14ac:dyDescent="0.25">
      <c r="A1129" s="8" t="s">
        <v>2227</v>
      </c>
      <c r="B1129" s="8" t="s">
        <v>2074</v>
      </c>
      <c r="C1129" s="8" t="s">
        <v>2006</v>
      </c>
      <c r="D1129" s="8">
        <v>5</v>
      </c>
      <c r="E1129" s="8" t="s">
        <v>2228</v>
      </c>
      <c r="F1129" s="8" t="s">
        <v>215</v>
      </c>
      <c r="G1129" s="8" t="s">
        <v>2176</v>
      </c>
      <c r="H1129" s="10">
        <v>1</v>
      </c>
      <c r="I1129" s="10"/>
      <c r="J1129" s="10">
        <v>1</v>
      </c>
      <c r="K1129" s="10">
        <v>200.97</v>
      </c>
    </row>
    <row r="1130" spans="1:11" x14ac:dyDescent="0.25">
      <c r="A1130" s="8" t="s">
        <v>2229</v>
      </c>
      <c r="B1130" s="8" t="s">
        <v>2074</v>
      </c>
      <c r="C1130" s="8" t="s">
        <v>2006</v>
      </c>
      <c r="D1130" s="8">
        <v>5</v>
      </c>
      <c r="E1130" s="8" t="s">
        <v>2230</v>
      </c>
      <c r="F1130" s="8" t="s">
        <v>215</v>
      </c>
      <c r="G1130" s="8" t="s">
        <v>2176</v>
      </c>
      <c r="H1130" s="10">
        <v>1</v>
      </c>
      <c r="I1130" s="10"/>
      <c r="J1130" s="10">
        <v>1</v>
      </c>
      <c r="K1130" s="10">
        <v>200.97</v>
      </c>
    </row>
    <row r="1131" spans="1:11" x14ac:dyDescent="0.25">
      <c r="A1131" s="8" t="s">
        <v>2231</v>
      </c>
      <c r="B1131" s="8" t="s">
        <v>2074</v>
      </c>
      <c r="C1131" s="8" t="s">
        <v>2006</v>
      </c>
      <c r="D1131" s="8">
        <v>5</v>
      </c>
      <c r="E1131" s="8" t="s">
        <v>2232</v>
      </c>
      <c r="F1131" s="8" t="s">
        <v>215</v>
      </c>
      <c r="G1131" s="8" t="s">
        <v>2176</v>
      </c>
      <c r="H1131" s="10">
        <v>1</v>
      </c>
      <c r="I1131" s="10"/>
      <c r="J1131" s="10">
        <v>1</v>
      </c>
      <c r="K1131" s="10">
        <v>200.97</v>
      </c>
    </row>
    <row r="1132" spans="1:11" x14ac:dyDescent="0.25">
      <c r="A1132" s="8" t="s">
        <v>2233</v>
      </c>
      <c r="B1132" s="8" t="s">
        <v>2074</v>
      </c>
      <c r="C1132" s="8" t="s">
        <v>2006</v>
      </c>
      <c r="D1132" s="8">
        <v>5</v>
      </c>
      <c r="E1132" s="8" t="s">
        <v>2234</v>
      </c>
      <c r="F1132" s="8" t="s">
        <v>215</v>
      </c>
      <c r="G1132" s="8" t="s">
        <v>2176</v>
      </c>
      <c r="H1132" s="10">
        <v>1</v>
      </c>
      <c r="I1132" s="10"/>
      <c r="J1132" s="10">
        <v>1</v>
      </c>
      <c r="K1132" s="10">
        <v>200.97</v>
      </c>
    </row>
    <row r="1133" spans="1:11" x14ac:dyDescent="0.25">
      <c r="A1133" s="8" t="s">
        <v>2235</v>
      </c>
      <c r="B1133" s="8" t="s">
        <v>2074</v>
      </c>
      <c r="C1133" s="8" t="s">
        <v>2006</v>
      </c>
      <c r="D1133" s="8">
        <v>5</v>
      </c>
      <c r="E1133" s="8" t="s">
        <v>2236</v>
      </c>
      <c r="F1133" s="8" t="s">
        <v>215</v>
      </c>
      <c r="G1133" s="8" t="s">
        <v>2176</v>
      </c>
      <c r="H1133" s="10">
        <v>1</v>
      </c>
      <c r="I1133" s="10"/>
      <c r="J1133" s="10">
        <v>1</v>
      </c>
      <c r="K1133" s="10">
        <v>200.97</v>
      </c>
    </row>
    <row r="1134" spans="1:11" x14ac:dyDescent="0.25">
      <c r="A1134" s="8" t="s">
        <v>2237</v>
      </c>
      <c r="B1134" s="8" t="s">
        <v>2074</v>
      </c>
      <c r="C1134" s="8" t="s">
        <v>2006</v>
      </c>
      <c r="D1134" s="8">
        <v>5</v>
      </c>
      <c r="E1134" s="8" t="s">
        <v>2238</v>
      </c>
      <c r="F1134" s="8" t="s">
        <v>215</v>
      </c>
      <c r="G1134" s="8" t="s">
        <v>2176</v>
      </c>
      <c r="H1134" s="10">
        <v>1</v>
      </c>
      <c r="I1134" s="10"/>
      <c r="J1134" s="10">
        <v>1</v>
      </c>
      <c r="K1134" s="10">
        <v>200.97</v>
      </c>
    </row>
    <row r="1135" spans="1:11" x14ac:dyDescent="0.25">
      <c r="A1135" s="8" t="s">
        <v>2239</v>
      </c>
      <c r="B1135" s="8" t="s">
        <v>2074</v>
      </c>
      <c r="C1135" s="8" t="s">
        <v>2006</v>
      </c>
      <c r="D1135" s="8">
        <v>5</v>
      </c>
      <c r="E1135" s="8" t="s">
        <v>2240</v>
      </c>
      <c r="F1135" s="8" t="s">
        <v>215</v>
      </c>
      <c r="G1135" s="8" t="s">
        <v>2176</v>
      </c>
      <c r="H1135" s="10">
        <v>1</v>
      </c>
      <c r="I1135" s="10"/>
      <c r="J1135" s="10">
        <v>1</v>
      </c>
      <c r="K1135" s="10">
        <v>200.97</v>
      </c>
    </row>
    <row r="1136" spans="1:11" x14ac:dyDescent="0.25">
      <c r="A1136" s="8" t="s">
        <v>2241</v>
      </c>
      <c r="B1136" s="8" t="s">
        <v>2074</v>
      </c>
      <c r="C1136" s="8" t="s">
        <v>2006</v>
      </c>
      <c r="D1136" s="8">
        <v>5</v>
      </c>
      <c r="E1136" s="8" t="s">
        <v>2242</v>
      </c>
      <c r="F1136" s="8" t="s">
        <v>215</v>
      </c>
      <c r="G1136" s="8" t="s">
        <v>2176</v>
      </c>
      <c r="H1136" s="10">
        <v>1</v>
      </c>
      <c r="I1136" s="10"/>
      <c r="J1136" s="10">
        <v>1</v>
      </c>
      <c r="K1136" s="10">
        <v>200.97</v>
      </c>
    </row>
    <row r="1137" spans="1:11" x14ac:dyDescent="0.25">
      <c r="A1137" s="8" t="s">
        <v>2243</v>
      </c>
      <c r="B1137" s="8" t="s">
        <v>2074</v>
      </c>
      <c r="C1137" s="8" t="s">
        <v>2006</v>
      </c>
      <c r="D1137" s="8">
        <v>5</v>
      </c>
      <c r="E1137" s="8" t="s">
        <v>2244</v>
      </c>
      <c r="F1137" s="8" t="s">
        <v>215</v>
      </c>
      <c r="G1137" s="8" t="s">
        <v>2176</v>
      </c>
      <c r="H1137" s="10">
        <v>1</v>
      </c>
      <c r="I1137" s="10"/>
      <c r="J1137" s="10">
        <v>1</v>
      </c>
      <c r="K1137" s="10">
        <v>200.97</v>
      </c>
    </row>
    <row r="1138" spans="1:11" x14ac:dyDescent="0.25">
      <c r="A1138" s="8" t="s">
        <v>2245</v>
      </c>
      <c r="B1138" s="8" t="s">
        <v>2074</v>
      </c>
      <c r="C1138" s="8" t="s">
        <v>2006</v>
      </c>
      <c r="D1138" s="8">
        <v>5</v>
      </c>
      <c r="E1138" s="8" t="s">
        <v>2246</v>
      </c>
      <c r="F1138" s="8" t="s">
        <v>911</v>
      </c>
      <c r="G1138" s="8" t="s">
        <v>2176</v>
      </c>
      <c r="H1138" s="10">
        <v>1</v>
      </c>
      <c r="I1138" s="10"/>
      <c r="J1138" s="10">
        <v>1</v>
      </c>
      <c r="K1138" s="10">
        <v>401.93</v>
      </c>
    </row>
    <row r="1139" spans="1:11" x14ac:dyDescent="0.25">
      <c r="A1139" s="8" t="s">
        <v>2247</v>
      </c>
      <c r="B1139" s="8" t="s">
        <v>2074</v>
      </c>
      <c r="C1139" s="8" t="s">
        <v>2006</v>
      </c>
      <c r="D1139" s="8">
        <v>5</v>
      </c>
      <c r="E1139" s="8" t="s">
        <v>2248</v>
      </c>
      <c r="F1139" s="8" t="s">
        <v>911</v>
      </c>
      <c r="G1139" s="8" t="s">
        <v>2176</v>
      </c>
      <c r="H1139" s="10">
        <v>1</v>
      </c>
      <c r="I1139" s="10"/>
      <c r="J1139" s="10">
        <v>1</v>
      </c>
      <c r="K1139" s="10">
        <v>401.93</v>
      </c>
    </row>
    <row r="1140" spans="1:11" x14ac:dyDescent="0.25">
      <c r="A1140" s="8" t="s">
        <v>2249</v>
      </c>
      <c r="B1140" s="8" t="s">
        <v>2074</v>
      </c>
      <c r="C1140" s="8" t="s">
        <v>2006</v>
      </c>
      <c r="D1140" s="8">
        <v>5</v>
      </c>
      <c r="E1140" s="8" t="s">
        <v>2250</v>
      </c>
      <c r="F1140" s="8" t="s">
        <v>911</v>
      </c>
      <c r="G1140" s="8" t="s">
        <v>2176</v>
      </c>
      <c r="H1140" s="10">
        <v>1</v>
      </c>
      <c r="I1140" s="10"/>
      <c r="J1140" s="10">
        <v>1</v>
      </c>
      <c r="K1140" s="10">
        <v>401.93</v>
      </c>
    </row>
    <row r="1141" spans="1:11" x14ac:dyDescent="0.25">
      <c r="A1141" s="8" t="s">
        <v>2251</v>
      </c>
      <c r="B1141" s="8" t="s">
        <v>2074</v>
      </c>
      <c r="C1141" s="8" t="s">
        <v>2006</v>
      </c>
      <c r="D1141" s="8">
        <v>5</v>
      </c>
      <c r="E1141" s="8" t="s">
        <v>2252</v>
      </c>
      <c r="F1141" s="8" t="s">
        <v>911</v>
      </c>
      <c r="G1141" s="8" t="s">
        <v>2176</v>
      </c>
      <c r="H1141" s="10">
        <v>1</v>
      </c>
      <c r="I1141" s="10"/>
      <c r="J1141" s="10">
        <v>1</v>
      </c>
      <c r="K1141" s="10">
        <v>401.93</v>
      </c>
    </row>
    <row r="1142" spans="1:11" x14ac:dyDescent="0.25">
      <c r="A1142" s="8" t="s">
        <v>2253</v>
      </c>
      <c r="B1142" s="8" t="s">
        <v>2074</v>
      </c>
      <c r="C1142" s="8" t="s">
        <v>2006</v>
      </c>
      <c r="D1142" s="8">
        <v>5</v>
      </c>
      <c r="E1142" s="8" t="s">
        <v>2254</v>
      </c>
      <c r="F1142" s="8" t="s">
        <v>911</v>
      </c>
      <c r="G1142" s="8" t="s">
        <v>2176</v>
      </c>
      <c r="H1142" s="10">
        <v>1</v>
      </c>
      <c r="I1142" s="10"/>
      <c r="J1142" s="10">
        <v>1</v>
      </c>
      <c r="K1142" s="10">
        <v>401.93</v>
      </c>
    </row>
    <row r="1143" spans="1:11" x14ac:dyDescent="0.25">
      <c r="A1143" s="8" t="s">
        <v>2255</v>
      </c>
      <c r="B1143" s="8" t="s">
        <v>1650</v>
      </c>
      <c r="C1143" s="8" t="s">
        <v>2006</v>
      </c>
      <c r="D1143" s="8">
        <v>5</v>
      </c>
      <c r="E1143" s="8" t="s">
        <v>2256</v>
      </c>
      <c r="F1143" s="8" t="s">
        <v>911</v>
      </c>
      <c r="G1143" s="8" t="s">
        <v>2058</v>
      </c>
      <c r="H1143" s="10">
        <v>1</v>
      </c>
      <c r="I1143" s="10"/>
      <c r="J1143" s="10">
        <v>1</v>
      </c>
      <c r="K1143" s="10">
        <v>200.97</v>
      </c>
    </row>
    <row r="1144" spans="1:11" x14ac:dyDescent="0.25">
      <c r="A1144" s="8" t="s">
        <v>2257</v>
      </c>
      <c r="B1144" s="8" t="s">
        <v>1650</v>
      </c>
      <c r="C1144" s="8" t="s">
        <v>2006</v>
      </c>
      <c r="D1144" s="8">
        <v>5</v>
      </c>
      <c r="E1144" s="8" t="s">
        <v>2258</v>
      </c>
      <c r="F1144" s="8" t="s">
        <v>911</v>
      </c>
      <c r="G1144" s="8" t="s">
        <v>2058</v>
      </c>
      <c r="H1144" s="10">
        <v>1</v>
      </c>
      <c r="I1144" s="10"/>
      <c r="J1144" s="10">
        <v>1</v>
      </c>
      <c r="K1144" s="10">
        <v>200.97</v>
      </c>
    </row>
    <row r="1145" spans="1:11" x14ac:dyDescent="0.25">
      <c r="A1145" s="8" t="s">
        <v>2259</v>
      </c>
      <c r="B1145" s="8" t="s">
        <v>1650</v>
      </c>
      <c r="C1145" s="8" t="s">
        <v>2006</v>
      </c>
      <c r="D1145" s="8">
        <v>5</v>
      </c>
      <c r="E1145" s="8" t="s">
        <v>2260</v>
      </c>
      <c r="F1145" s="8" t="s">
        <v>911</v>
      </c>
      <c r="G1145" s="8" t="s">
        <v>2058</v>
      </c>
      <c r="H1145" s="10">
        <v>1</v>
      </c>
      <c r="I1145" s="10"/>
      <c r="J1145" s="10">
        <v>1</v>
      </c>
      <c r="K1145" s="10">
        <v>200.97</v>
      </c>
    </row>
    <row r="1146" spans="1:11" x14ac:dyDescent="0.25">
      <c r="A1146" s="8" t="s">
        <v>2261</v>
      </c>
      <c r="B1146" s="8" t="s">
        <v>1650</v>
      </c>
      <c r="C1146" s="8" t="s">
        <v>2006</v>
      </c>
      <c r="D1146" s="8">
        <v>5</v>
      </c>
      <c r="E1146" s="8" t="s">
        <v>2262</v>
      </c>
      <c r="F1146" s="8" t="s">
        <v>911</v>
      </c>
      <c r="G1146" s="8" t="s">
        <v>2058</v>
      </c>
      <c r="H1146" s="10">
        <v>1</v>
      </c>
      <c r="I1146" s="10"/>
      <c r="J1146" s="10">
        <v>1</v>
      </c>
      <c r="K1146" s="10">
        <v>200.97</v>
      </c>
    </row>
    <row r="1147" spans="1:11" x14ac:dyDescent="0.25">
      <c r="A1147" s="8" t="s">
        <v>2263</v>
      </c>
      <c r="B1147" s="8" t="s">
        <v>120</v>
      </c>
      <c r="C1147" s="8" t="s">
        <v>2006</v>
      </c>
      <c r="D1147" s="8">
        <v>5</v>
      </c>
      <c r="E1147" s="8" t="s">
        <v>2264</v>
      </c>
      <c r="F1147" s="8" t="s">
        <v>911</v>
      </c>
      <c r="G1147" s="8" t="s">
        <v>2058</v>
      </c>
      <c r="H1147" s="10">
        <v>1</v>
      </c>
      <c r="I1147" s="10"/>
      <c r="J1147" s="10">
        <v>1</v>
      </c>
      <c r="K1147" s="10">
        <v>200.97</v>
      </c>
    </row>
    <row r="1148" spans="1:11" x14ac:dyDescent="0.25">
      <c r="A1148" s="8" t="s">
        <v>2265</v>
      </c>
      <c r="B1148" s="8" t="s">
        <v>1655</v>
      </c>
      <c r="C1148" s="8" t="s">
        <v>2006</v>
      </c>
      <c r="D1148" s="8">
        <v>5</v>
      </c>
      <c r="E1148" s="8" t="s">
        <v>2266</v>
      </c>
      <c r="F1148" s="8" t="s">
        <v>911</v>
      </c>
      <c r="G1148" s="8" t="s">
        <v>2058</v>
      </c>
      <c r="H1148" s="10">
        <v>1</v>
      </c>
      <c r="I1148" s="10"/>
      <c r="J1148" s="10">
        <v>1</v>
      </c>
      <c r="K1148" s="10">
        <v>200.97</v>
      </c>
    </row>
    <row r="1149" spans="1:11" x14ac:dyDescent="0.25">
      <c r="A1149" s="8" t="s">
        <v>2267</v>
      </c>
      <c r="B1149" s="8" t="s">
        <v>1655</v>
      </c>
      <c r="C1149" s="8" t="s">
        <v>2006</v>
      </c>
      <c r="D1149" s="8">
        <v>5</v>
      </c>
      <c r="E1149" s="8" t="s">
        <v>2268</v>
      </c>
      <c r="F1149" s="8" t="s">
        <v>215</v>
      </c>
      <c r="G1149" s="8" t="s">
        <v>2269</v>
      </c>
      <c r="H1149" s="10">
        <v>1</v>
      </c>
      <c r="I1149" s="10"/>
      <c r="J1149" s="10">
        <v>1</v>
      </c>
      <c r="K1149" s="10">
        <v>6028.96</v>
      </c>
    </row>
    <row r="1150" spans="1:11" x14ac:dyDescent="0.25">
      <c r="A1150" s="8" t="s">
        <v>2270</v>
      </c>
      <c r="B1150" s="8" t="s">
        <v>1650</v>
      </c>
      <c r="C1150" s="8" t="s">
        <v>2006</v>
      </c>
      <c r="D1150" s="8">
        <v>5</v>
      </c>
      <c r="E1150" s="8" t="s">
        <v>2271</v>
      </c>
      <c r="F1150" s="8" t="s">
        <v>215</v>
      </c>
      <c r="G1150" s="8" t="s">
        <v>2269</v>
      </c>
      <c r="H1150" s="10">
        <v>1</v>
      </c>
      <c r="I1150" s="10"/>
      <c r="J1150" s="10">
        <v>1</v>
      </c>
      <c r="K1150" s="10">
        <v>6028.96</v>
      </c>
    </row>
    <row r="1151" spans="1:11" x14ac:dyDescent="0.25">
      <c r="A1151" s="8" t="s">
        <v>2272</v>
      </c>
      <c r="B1151" s="8" t="s">
        <v>120</v>
      </c>
      <c r="C1151" s="8" t="s">
        <v>2006</v>
      </c>
      <c r="D1151" s="8">
        <v>5</v>
      </c>
      <c r="E1151" s="8" t="s">
        <v>2273</v>
      </c>
      <c r="F1151" s="8" t="s">
        <v>215</v>
      </c>
      <c r="G1151" s="8" t="s">
        <v>2269</v>
      </c>
      <c r="H1151" s="10">
        <v>1</v>
      </c>
      <c r="I1151" s="10"/>
      <c r="J1151" s="10">
        <v>1</v>
      </c>
      <c r="K1151" s="10">
        <v>6028.96</v>
      </c>
    </row>
    <row r="1152" spans="1:11" x14ac:dyDescent="0.25">
      <c r="A1152" s="8" t="s">
        <v>2274</v>
      </c>
      <c r="B1152" s="8" t="s">
        <v>120</v>
      </c>
      <c r="C1152" s="8" t="s">
        <v>2006</v>
      </c>
      <c r="D1152" s="8">
        <v>5</v>
      </c>
      <c r="E1152" s="8" t="s">
        <v>2275</v>
      </c>
      <c r="F1152" s="8" t="s">
        <v>215</v>
      </c>
      <c r="G1152" s="8" t="s">
        <v>2269</v>
      </c>
      <c r="H1152" s="10">
        <v>1</v>
      </c>
      <c r="I1152" s="10"/>
      <c r="J1152" s="10">
        <v>1</v>
      </c>
      <c r="K1152" s="10">
        <v>6028.96</v>
      </c>
    </row>
    <row r="1153" spans="1:11" x14ac:dyDescent="0.25">
      <c r="A1153" s="8" t="s">
        <v>2276</v>
      </c>
      <c r="B1153" s="8" t="s">
        <v>1655</v>
      </c>
      <c r="C1153" s="8" t="s">
        <v>2006</v>
      </c>
      <c r="D1153" s="8">
        <v>5</v>
      </c>
      <c r="E1153" s="8" t="s">
        <v>2277</v>
      </c>
      <c r="F1153" s="8" t="s">
        <v>215</v>
      </c>
      <c r="G1153" s="8" t="s">
        <v>2269</v>
      </c>
      <c r="H1153" s="10">
        <v>1</v>
      </c>
      <c r="I1153" s="10"/>
      <c r="J1153" s="10">
        <v>1</v>
      </c>
      <c r="K1153" s="10">
        <v>6028.96</v>
      </c>
    </row>
    <row r="1154" spans="1:11" x14ac:dyDescent="0.25">
      <c r="A1154" s="8" t="s">
        <v>2278</v>
      </c>
      <c r="B1154" s="8" t="s">
        <v>120</v>
      </c>
      <c r="C1154" s="8" t="s">
        <v>2006</v>
      </c>
      <c r="D1154" s="8">
        <v>5</v>
      </c>
      <c r="E1154" s="8" t="s">
        <v>2279</v>
      </c>
      <c r="F1154" s="8" t="s">
        <v>215</v>
      </c>
      <c r="G1154" s="8" t="s">
        <v>2269</v>
      </c>
      <c r="H1154" s="10">
        <v>1</v>
      </c>
      <c r="I1154" s="10"/>
      <c r="J1154" s="10">
        <v>1</v>
      </c>
      <c r="K1154" s="10">
        <v>6028.96</v>
      </c>
    </row>
    <row r="1155" spans="1:11" x14ac:dyDescent="0.25">
      <c r="A1155" s="8" t="s">
        <v>2280</v>
      </c>
      <c r="B1155" s="8" t="s">
        <v>120</v>
      </c>
      <c r="C1155" s="8" t="s">
        <v>1694</v>
      </c>
      <c r="D1155" s="8">
        <v>5</v>
      </c>
      <c r="E1155" s="8" t="s">
        <v>2281</v>
      </c>
      <c r="F1155" s="8" t="s">
        <v>911</v>
      </c>
      <c r="G1155" s="8" t="s">
        <v>2282</v>
      </c>
      <c r="H1155" s="10">
        <v>2</v>
      </c>
      <c r="I1155" s="10"/>
      <c r="J1155" s="10">
        <v>2</v>
      </c>
      <c r="K1155" s="10">
        <v>2009.65</v>
      </c>
    </row>
    <row r="1156" spans="1:11" x14ac:dyDescent="0.25">
      <c r="A1156" s="8" t="s">
        <v>2283</v>
      </c>
      <c r="B1156" s="8" t="s">
        <v>122</v>
      </c>
      <c r="C1156" s="8" t="s">
        <v>1694</v>
      </c>
      <c r="D1156" s="8">
        <v>5</v>
      </c>
      <c r="E1156" s="8" t="s">
        <v>2281</v>
      </c>
      <c r="F1156" s="8" t="s">
        <v>911</v>
      </c>
      <c r="G1156" s="8" t="s">
        <v>2282</v>
      </c>
      <c r="H1156" s="10">
        <v>2</v>
      </c>
      <c r="I1156" s="10"/>
      <c r="J1156" s="10">
        <v>2</v>
      </c>
      <c r="K1156" s="10">
        <v>2009.65</v>
      </c>
    </row>
    <row r="1157" spans="1:11" x14ac:dyDescent="0.25">
      <c r="A1157" s="8" t="s">
        <v>2284</v>
      </c>
      <c r="B1157" s="8" t="s">
        <v>124</v>
      </c>
      <c r="C1157" s="8" t="s">
        <v>1694</v>
      </c>
      <c r="D1157" s="8">
        <v>5</v>
      </c>
      <c r="E1157" s="8" t="s">
        <v>2281</v>
      </c>
      <c r="F1157" s="8" t="s">
        <v>911</v>
      </c>
      <c r="G1157" s="8" t="s">
        <v>2282</v>
      </c>
      <c r="H1157" s="10">
        <v>2</v>
      </c>
      <c r="I1157" s="10"/>
      <c r="J1157" s="10">
        <v>2</v>
      </c>
      <c r="K1157" s="10">
        <v>2009.65</v>
      </c>
    </row>
    <row r="1158" spans="1:11" x14ac:dyDescent="0.25">
      <c r="A1158" s="8" t="s">
        <v>2285</v>
      </c>
      <c r="B1158" s="8" t="s">
        <v>116</v>
      </c>
      <c r="C1158" s="8" t="s">
        <v>1694</v>
      </c>
      <c r="D1158" s="8">
        <v>5</v>
      </c>
      <c r="E1158" s="8" t="s">
        <v>2286</v>
      </c>
      <c r="F1158" s="8" t="s">
        <v>215</v>
      </c>
      <c r="G1158" s="8" t="s">
        <v>2282</v>
      </c>
      <c r="H1158" s="10">
        <v>4</v>
      </c>
      <c r="I1158" s="10"/>
      <c r="J1158" s="10">
        <v>4</v>
      </c>
      <c r="K1158" s="10">
        <v>2009.65</v>
      </c>
    </row>
    <row r="1159" spans="1:11" x14ac:dyDescent="0.25">
      <c r="A1159" s="8" t="s">
        <v>2287</v>
      </c>
      <c r="B1159" s="8" t="s">
        <v>116</v>
      </c>
      <c r="C1159" s="8" t="s">
        <v>1694</v>
      </c>
      <c r="D1159" s="8">
        <v>5</v>
      </c>
      <c r="E1159" s="8" t="s">
        <v>2286</v>
      </c>
      <c r="F1159" s="8" t="s">
        <v>215</v>
      </c>
      <c r="G1159" s="8" t="s">
        <v>2282</v>
      </c>
      <c r="H1159" s="10">
        <v>1</v>
      </c>
      <c r="I1159" s="10"/>
      <c r="J1159" s="10">
        <v>1</v>
      </c>
      <c r="K1159" s="10">
        <v>2009.65</v>
      </c>
    </row>
    <row r="1160" spans="1:11" x14ac:dyDescent="0.25">
      <c r="A1160" s="8" t="s">
        <v>2288</v>
      </c>
      <c r="B1160" s="8" t="s">
        <v>118</v>
      </c>
      <c r="C1160" s="8" t="s">
        <v>1694</v>
      </c>
      <c r="D1160" s="8">
        <v>5</v>
      </c>
      <c r="E1160" s="8" t="s">
        <v>2286</v>
      </c>
      <c r="F1160" s="8" t="s">
        <v>215</v>
      </c>
      <c r="G1160" s="8" t="s">
        <v>2282</v>
      </c>
      <c r="H1160" s="10">
        <v>7</v>
      </c>
      <c r="I1160" s="10"/>
      <c r="J1160" s="10">
        <v>7</v>
      </c>
      <c r="K1160" s="10">
        <v>2009.65</v>
      </c>
    </row>
    <row r="1161" spans="1:11" x14ac:dyDescent="0.25">
      <c r="A1161" s="8" t="s">
        <v>2289</v>
      </c>
      <c r="B1161" s="8" t="s">
        <v>120</v>
      </c>
      <c r="C1161" s="8" t="s">
        <v>1694</v>
      </c>
      <c r="D1161" s="8">
        <v>5</v>
      </c>
      <c r="E1161" s="8" t="s">
        <v>2286</v>
      </c>
      <c r="F1161" s="8" t="s">
        <v>215</v>
      </c>
      <c r="G1161" s="8" t="s">
        <v>2282</v>
      </c>
      <c r="H1161" s="10">
        <v>3</v>
      </c>
      <c r="I1161" s="10"/>
      <c r="J1161" s="10">
        <v>3</v>
      </c>
      <c r="K1161" s="10">
        <v>2009.65</v>
      </c>
    </row>
    <row r="1162" spans="1:11" x14ac:dyDescent="0.25">
      <c r="A1162" s="8" t="s">
        <v>2290</v>
      </c>
      <c r="B1162" s="8" t="s">
        <v>78</v>
      </c>
      <c r="C1162" s="8" t="s">
        <v>1694</v>
      </c>
      <c r="D1162" s="8">
        <v>5</v>
      </c>
      <c r="E1162" s="8" t="s">
        <v>2286</v>
      </c>
      <c r="F1162" s="8" t="s">
        <v>215</v>
      </c>
      <c r="G1162" s="8" t="s">
        <v>2282</v>
      </c>
      <c r="H1162" s="10">
        <v>1</v>
      </c>
      <c r="I1162" s="10"/>
      <c r="J1162" s="10">
        <v>1</v>
      </c>
      <c r="K1162" s="10">
        <v>2009.65</v>
      </c>
    </row>
    <row r="1163" spans="1:11" x14ac:dyDescent="0.25">
      <c r="A1163" s="8" t="s">
        <v>2291</v>
      </c>
      <c r="B1163" s="8" t="s">
        <v>130</v>
      </c>
      <c r="C1163" s="8" t="s">
        <v>1694</v>
      </c>
      <c r="D1163" s="8">
        <v>5</v>
      </c>
      <c r="E1163" s="8" t="s">
        <v>2286</v>
      </c>
      <c r="F1163" s="8" t="s">
        <v>215</v>
      </c>
      <c r="G1163" s="8" t="s">
        <v>2282</v>
      </c>
      <c r="H1163" s="10">
        <v>2</v>
      </c>
      <c r="I1163" s="10"/>
      <c r="J1163" s="10">
        <v>2</v>
      </c>
      <c r="K1163" s="10">
        <v>2009.65</v>
      </c>
    </row>
    <row r="1164" spans="1:11" x14ac:dyDescent="0.25">
      <c r="A1164" s="8" t="s">
        <v>2292</v>
      </c>
      <c r="B1164" s="8" t="s">
        <v>116</v>
      </c>
      <c r="C1164" s="8" t="s">
        <v>1694</v>
      </c>
      <c r="D1164" s="8">
        <v>5</v>
      </c>
      <c r="E1164" s="8" t="s">
        <v>2293</v>
      </c>
      <c r="F1164" s="8" t="s">
        <v>215</v>
      </c>
      <c r="G1164" s="8" t="s">
        <v>2282</v>
      </c>
      <c r="H1164" s="10">
        <v>1</v>
      </c>
      <c r="I1164" s="10"/>
      <c r="J1164" s="10">
        <v>1</v>
      </c>
      <c r="K1164" s="10">
        <v>1004.83</v>
      </c>
    </row>
    <row r="1165" spans="1:11" x14ac:dyDescent="0.25">
      <c r="A1165" s="8" t="s">
        <v>2294</v>
      </c>
      <c r="B1165" s="8" t="s">
        <v>116</v>
      </c>
      <c r="C1165" s="8" t="s">
        <v>1694</v>
      </c>
      <c r="D1165" s="8">
        <v>5</v>
      </c>
      <c r="E1165" s="8" t="s">
        <v>2293</v>
      </c>
      <c r="F1165" s="8" t="s">
        <v>215</v>
      </c>
      <c r="G1165" s="8" t="s">
        <v>2282</v>
      </c>
      <c r="H1165" s="10">
        <v>4</v>
      </c>
      <c r="I1165" s="10"/>
      <c r="J1165" s="10">
        <v>4</v>
      </c>
      <c r="K1165" s="10">
        <v>1004.83</v>
      </c>
    </row>
    <row r="1166" spans="1:11" x14ac:dyDescent="0.25">
      <c r="A1166" s="8" t="s">
        <v>2295</v>
      </c>
      <c r="B1166" s="8" t="s">
        <v>118</v>
      </c>
      <c r="C1166" s="8" t="s">
        <v>1694</v>
      </c>
      <c r="D1166" s="8">
        <v>5</v>
      </c>
      <c r="E1166" s="8" t="s">
        <v>2293</v>
      </c>
      <c r="F1166" s="8" t="s">
        <v>215</v>
      </c>
      <c r="G1166" s="8" t="s">
        <v>2282</v>
      </c>
      <c r="H1166" s="10">
        <v>7</v>
      </c>
      <c r="I1166" s="10"/>
      <c r="J1166" s="10">
        <v>7</v>
      </c>
      <c r="K1166" s="10">
        <v>1004.83</v>
      </c>
    </row>
    <row r="1167" spans="1:11" x14ac:dyDescent="0.25">
      <c r="A1167" s="8" t="s">
        <v>2296</v>
      </c>
      <c r="B1167" s="8" t="s">
        <v>120</v>
      </c>
      <c r="C1167" s="8" t="s">
        <v>1694</v>
      </c>
      <c r="D1167" s="8">
        <v>5</v>
      </c>
      <c r="E1167" s="8" t="s">
        <v>2293</v>
      </c>
      <c r="F1167" s="8" t="s">
        <v>215</v>
      </c>
      <c r="G1167" s="8" t="s">
        <v>2282</v>
      </c>
      <c r="H1167" s="10">
        <v>3</v>
      </c>
      <c r="I1167" s="10"/>
      <c r="J1167" s="10">
        <v>3</v>
      </c>
      <c r="K1167" s="10">
        <v>1004.83</v>
      </c>
    </row>
    <row r="1168" spans="1:11" x14ac:dyDescent="0.25">
      <c r="A1168" s="8" t="s">
        <v>2297</v>
      </c>
      <c r="B1168" s="8" t="s">
        <v>78</v>
      </c>
      <c r="C1168" s="8" t="s">
        <v>1694</v>
      </c>
      <c r="D1168" s="8">
        <v>5</v>
      </c>
      <c r="E1168" s="8" t="s">
        <v>2293</v>
      </c>
      <c r="F1168" s="8" t="s">
        <v>215</v>
      </c>
      <c r="G1168" s="8" t="s">
        <v>2282</v>
      </c>
      <c r="H1168" s="10">
        <v>1</v>
      </c>
      <c r="I1168" s="10"/>
      <c r="J1168" s="10">
        <v>1</v>
      </c>
      <c r="K1168" s="10">
        <v>1004.83</v>
      </c>
    </row>
    <row r="1169" spans="1:11" x14ac:dyDescent="0.25">
      <c r="A1169" s="8" t="s">
        <v>2298</v>
      </c>
      <c r="B1169" s="8" t="s">
        <v>130</v>
      </c>
      <c r="C1169" s="8" t="s">
        <v>1694</v>
      </c>
      <c r="D1169" s="8">
        <v>5</v>
      </c>
      <c r="E1169" s="8" t="s">
        <v>2293</v>
      </c>
      <c r="F1169" s="8" t="s">
        <v>215</v>
      </c>
      <c r="G1169" s="8" t="s">
        <v>2282</v>
      </c>
      <c r="H1169" s="10">
        <v>2</v>
      </c>
      <c r="I1169" s="10"/>
      <c r="J1169" s="10">
        <v>2</v>
      </c>
      <c r="K1169" s="10">
        <v>1004.83</v>
      </c>
    </row>
    <row r="1170" spans="1:11" x14ac:dyDescent="0.25">
      <c r="A1170" s="8" t="s">
        <v>2299</v>
      </c>
      <c r="B1170" s="8" t="s">
        <v>2074</v>
      </c>
      <c r="C1170" s="8" t="s">
        <v>1694</v>
      </c>
      <c r="D1170" s="8">
        <v>5</v>
      </c>
      <c r="E1170" s="8" t="s">
        <v>2300</v>
      </c>
      <c r="F1170" s="8" t="s">
        <v>215</v>
      </c>
      <c r="G1170" s="8" t="s">
        <v>2282</v>
      </c>
      <c r="H1170" s="10">
        <v>2</v>
      </c>
      <c r="I1170" s="10"/>
      <c r="J1170" s="10">
        <v>2</v>
      </c>
      <c r="K1170" s="10">
        <v>100.48</v>
      </c>
    </row>
    <row r="1171" spans="1:11" x14ac:dyDescent="0.25">
      <c r="A1171" s="8" t="s">
        <v>2301</v>
      </c>
      <c r="B1171" s="8" t="s">
        <v>2074</v>
      </c>
      <c r="C1171" s="8" t="s">
        <v>1694</v>
      </c>
      <c r="D1171" s="8">
        <v>5</v>
      </c>
      <c r="E1171" s="8" t="s">
        <v>2302</v>
      </c>
      <c r="F1171" s="8" t="s">
        <v>215</v>
      </c>
      <c r="G1171" s="8" t="s">
        <v>2282</v>
      </c>
      <c r="H1171" s="10">
        <v>2</v>
      </c>
      <c r="I1171" s="10"/>
      <c r="J1171" s="10">
        <v>2</v>
      </c>
      <c r="K1171" s="10">
        <v>401.93</v>
      </c>
    </row>
    <row r="1172" spans="1:11" x14ac:dyDescent="0.25">
      <c r="A1172" s="8" t="s">
        <v>2303</v>
      </c>
      <c r="B1172" s="8" t="s">
        <v>116</v>
      </c>
      <c r="C1172" s="8" t="s">
        <v>1694</v>
      </c>
      <c r="D1172" s="8">
        <v>5</v>
      </c>
      <c r="E1172" s="8" t="s">
        <v>2304</v>
      </c>
      <c r="F1172" s="8" t="s">
        <v>215</v>
      </c>
      <c r="G1172" s="8" t="s">
        <v>2282</v>
      </c>
      <c r="H1172" s="10">
        <v>2</v>
      </c>
      <c r="I1172" s="10"/>
      <c r="J1172" s="10">
        <v>2</v>
      </c>
      <c r="K1172" s="10">
        <v>6028.96</v>
      </c>
    </row>
    <row r="1173" spans="1:11" x14ac:dyDescent="0.25">
      <c r="A1173" s="8" t="s">
        <v>2305</v>
      </c>
      <c r="B1173" s="8" t="s">
        <v>116</v>
      </c>
      <c r="C1173" s="8" t="s">
        <v>1694</v>
      </c>
      <c r="D1173" s="8">
        <v>5</v>
      </c>
      <c r="E1173" s="8" t="s">
        <v>2304</v>
      </c>
      <c r="F1173" s="8" t="s">
        <v>215</v>
      </c>
      <c r="G1173" s="8" t="s">
        <v>2282</v>
      </c>
      <c r="H1173" s="10">
        <v>1</v>
      </c>
      <c r="I1173" s="10"/>
      <c r="J1173" s="10">
        <v>1</v>
      </c>
      <c r="K1173" s="10">
        <v>6028.96</v>
      </c>
    </row>
    <row r="1174" spans="1:11" x14ac:dyDescent="0.25">
      <c r="A1174" s="8" t="s">
        <v>2306</v>
      </c>
      <c r="B1174" s="8" t="s">
        <v>118</v>
      </c>
      <c r="C1174" s="8" t="s">
        <v>1694</v>
      </c>
      <c r="D1174" s="8">
        <v>5</v>
      </c>
      <c r="E1174" s="8" t="s">
        <v>2304</v>
      </c>
      <c r="F1174" s="8" t="s">
        <v>215</v>
      </c>
      <c r="G1174" s="8" t="s">
        <v>2282</v>
      </c>
      <c r="H1174" s="10">
        <v>3</v>
      </c>
      <c r="I1174" s="10"/>
      <c r="J1174" s="10">
        <v>3</v>
      </c>
      <c r="K1174" s="10">
        <v>6028.96</v>
      </c>
    </row>
    <row r="1175" spans="1:11" x14ac:dyDescent="0.25">
      <c r="A1175" s="8" t="s">
        <v>2307</v>
      </c>
      <c r="B1175" s="8" t="s">
        <v>120</v>
      </c>
      <c r="C1175" s="8" t="s">
        <v>1694</v>
      </c>
      <c r="D1175" s="8">
        <v>5</v>
      </c>
      <c r="E1175" s="8" t="s">
        <v>2304</v>
      </c>
      <c r="F1175" s="8" t="s">
        <v>215</v>
      </c>
      <c r="G1175" s="8" t="s">
        <v>2282</v>
      </c>
      <c r="H1175" s="10">
        <v>2</v>
      </c>
      <c r="I1175" s="10"/>
      <c r="J1175" s="10">
        <v>2</v>
      </c>
      <c r="K1175" s="10">
        <v>6028.96</v>
      </c>
    </row>
    <row r="1176" spans="1:11" x14ac:dyDescent="0.25">
      <c r="A1176" s="8" t="s">
        <v>2308</v>
      </c>
      <c r="B1176" s="8" t="s">
        <v>122</v>
      </c>
      <c r="C1176" s="8" t="s">
        <v>1694</v>
      </c>
      <c r="D1176" s="8">
        <v>5</v>
      </c>
      <c r="E1176" s="8" t="s">
        <v>2304</v>
      </c>
      <c r="F1176" s="8" t="s">
        <v>215</v>
      </c>
      <c r="G1176" s="8" t="s">
        <v>2282</v>
      </c>
      <c r="H1176" s="10">
        <v>1</v>
      </c>
      <c r="I1176" s="10"/>
      <c r="J1176" s="10">
        <v>1</v>
      </c>
      <c r="K1176" s="10">
        <v>6028.96</v>
      </c>
    </row>
    <row r="1177" spans="1:11" x14ac:dyDescent="0.25">
      <c r="A1177" s="8" t="s">
        <v>2309</v>
      </c>
      <c r="B1177" s="8" t="s">
        <v>124</v>
      </c>
      <c r="C1177" s="8" t="s">
        <v>1694</v>
      </c>
      <c r="D1177" s="8">
        <v>5</v>
      </c>
      <c r="E1177" s="8" t="s">
        <v>2304</v>
      </c>
      <c r="F1177" s="8" t="s">
        <v>215</v>
      </c>
      <c r="G1177" s="8" t="s">
        <v>2282</v>
      </c>
      <c r="H1177" s="10">
        <v>1</v>
      </c>
      <c r="I1177" s="10"/>
      <c r="J1177" s="10">
        <v>1</v>
      </c>
      <c r="K1177" s="10">
        <v>6028.96</v>
      </c>
    </row>
    <row r="1178" spans="1:11" x14ac:dyDescent="0.25">
      <c r="A1178" s="8" t="s">
        <v>2310</v>
      </c>
      <c r="B1178" s="8" t="s">
        <v>78</v>
      </c>
      <c r="C1178" s="8" t="s">
        <v>1694</v>
      </c>
      <c r="D1178" s="8">
        <v>5</v>
      </c>
      <c r="E1178" s="8" t="s">
        <v>2304</v>
      </c>
      <c r="F1178" s="8" t="s">
        <v>215</v>
      </c>
      <c r="G1178" s="8" t="s">
        <v>2282</v>
      </c>
      <c r="H1178" s="10">
        <v>1</v>
      </c>
      <c r="I1178" s="10"/>
      <c r="J1178" s="10">
        <v>1</v>
      </c>
      <c r="K1178" s="10">
        <v>6028.96</v>
      </c>
    </row>
    <row r="1179" spans="1:11" x14ac:dyDescent="0.25">
      <c r="A1179" s="8" t="s">
        <v>2311</v>
      </c>
      <c r="B1179" s="8" t="s">
        <v>130</v>
      </c>
      <c r="C1179" s="8" t="s">
        <v>1694</v>
      </c>
      <c r="D1179" s="8">
        <v>5</v>
      </c>
      <c r="E1179" s="8" t="s">
        <v>2304</v>
      </c>
      <c r="F1179" s="8" t="s">
        <v>215</v>
      </c>
      <c r="G1179" s="8" t="s">
        <v>2282</v>
      </c>
      <c r="H1179" s="10">
        <v>2</v>
      </c>
      <c r="I1179" s="10"/>
      <c r="J1179" s="10">
        <v>2</v>
      </c>
      <c r="K1179" s="10">
        <v>6028.96</v>
      </c>
    </row>
    <row r="1180" spans="1:11" x14ac:dyDescent="0.25">
      <c r="A1180" s="8" t="s">
        <v>2312</v>
      </c>
      <c r="B1180" s="8" t="s">
        <v>116</v>
      </c>
      <c r="C1180" s="8" t="s">
        <v>1694</v>
      </c>
      <c r="D1180" s="8">
        <v>5</v>
      </c>
      <c r="E1180" s="8" t="s">
        <v>2313</v>
      </c>
      <c r="F1180" s="8" t="s">
        <v>215</v>
      </c>
      <c r="G1180" s="8" t="s">
        <v>2282</v>
      </c>
      <c r="H1180" s="10">
        <v>1</v>
      </c>
      <c r="I1180" s="10"/>
      <c r="J1180" s="10">
        <v>1</v>
      </c>
      <c r="K1180" s="10">
        <v>1004.83</v>
      </c>
    </row>
    <row r="1181" spans="1:11" x14ac:dyDescent="0.25">
      <c r="A1181" s="8" t="s">
        <v>2314</v>
      </c>
      <c r="B1181" s="8" t="s">
        <v>116</v>
      </c>
      <c r="C1181" s="8" t="s">
        <v>1694</v>
      </c>
      <c r="D1181" s="8">
        <v>5</v>
      </c>
      <c r="E1181" s="8" t="s">
        <v>2313</v>
      </c>
      <c r="F1181" s="8" t="s">
        <v>215</v>
      </c>
      <c r="G1181" s="8" t="s">
        <v>2282</v>
      </c>
      <c r="H1181" s="10">
        <v>4</v>
      </c>
      <c r="I1181" s="10"/>
      <c r="J1181" s="10">
        <v>4</v>
      </c>
      <c r="K1181" s="10">
        <v>1004.83</v>
      </c>
    </row>
    <row r="1182" spans="1:11" x14ac:dyDescent="0.25">
      <c r="A1182" s="8" t="s">
        <v>2315</v>
      </c>
      <c r="B1182" s="8" t="s">
        <v>118</v>
      </c>
      <c r="C1182" s="8" t="s">
        <v>1694</v>
      </c>
      <c r="D1182" s="8">
        <v>5</v>
      </c>
      <c r="E1182" s="8" t="s">
        <v>2313</v>
      </c>
      <c r="F1182" s="8" t="s">
        <v>215</v>
      </c>
      <c r="G1182" s="8" t="s">
        <v>2282</v>
      </c>
      <c r="H1182" s="10">
        <v>7</v>
      </c>
      <c r="I1182" s="10"/>
      <c r="J1182" s="10">
        <v>7</v>
      </c>
      <c r="K1182" s="10">
        <v>1004.83</v>
      </c>
    </row>
    <row r="1183" spans="1:11" x14ac:dyDescent="0.25">
      <c r="A1183" s="8" t="s">
        <v>2316</v>
      </c>
      <c r="B1183" s="8" t="s">
        <v>120</v>
      </c>
      <c r="C1183" s="8" t="s">
        <v>1694</v>
      </c>
      <c r="D1183" s="8">
        <v>5</v>
      </c>
      <c r="E1183" s="8" t="s">
        <v>2313</v>
      </c>
      <c r="F1183" s="8" t="s">
        <v>215</v>
      </c>
      <c r="G1183" s="8" t="s">
        <v>2282</v>
      </c>
      <c r="H1183" s="10">
        <v>5</v>
      </c>
      <c r="I1183" s="10"/>
      <c r="J1183" s="10">
        <v>5</v>
      </c>
      <c r="K1183" s="10">
        <v>1004.83</v>
      </c>
    </row>
    <row r="1184" spans="1:11" x14ac:dyDescent="0.25">
      <c r="A1184" s="8" t="s">
        <v>2317</v>
      </c>
      <c r="B1184" s="8" t="s">
        <v>122</v>
      </c>
      <c r="C1184" s="8" t="s">
        <v>1694</v>
      </c>
      <c r="D1184" s="8">
        <v>5</v>
      </c>
      <c r="E1184" s="8" t="s">
        <v>2313</v>
      </c>
      <c r="F1184" s="8" t="s">
        <v>215</v>
      </c>
      <c r="G1184" s="8" t="s">
        <v>2282</v>
      </c>
      <c r="H1184" s="10">
        <v>2</v>
      </c>
      <c r="I1184" s="10"/>
      <c r="J1184" s="10">
        <v>2</v>
      </c>
      <c r="K1184" s="10">
        <v>1004.83</v>
      </c>
    </row>
    <row r="1185" spans="1:11" x14ac:dyDescent="0.25">
      <c r="A1185" s="8" t="s">
        <v>2318</v>
      </c>
      <c r="B1185" s="8" t="s">
        <v>124</v>
      </c>
      <c r="C1185" s="8" t="s">
        <v>1694</v>
      </c>
      <c r="D1185" s="8">
        <v>5</v>
      </c>
      <c r="E1185" s="8" t="s">
        <v>2313</v>
      </c>
      <c r="F1185" s="8" t="s">
        <v>215</v>
      </c>
      <c r="G1185" s="8" t="s">
        <v>2282</v>
      </c>
      <c r="H1185" s="10">
        <v>2</v>
      </c>
      <c r="I1185" s="10"/>
      <c r="J1185" s="10">
        <v>2</v>
      </c>
      <c r="K1185" s="10">
        <v>1004.83</v>
      </c>
    </row>
    <row r="1186" spans="1:11" x14ac:dyDescent="0.25">
      <c r="A1186" s="8" t="s">
        <v>2319</v>
      </c>
      <c r="B1186" s="8" t="s">
        <v>78</v>
      </c>
      <c r="C1186" s="8" t="s">
        <v>1694</v>
      </c>
      <c r="D1186" s="8">
        <v>5</v>
      </c>
      <c r="E1186" s="8" t="s">
        <v>2313</v>
      </c>
      <c r="F1186" s="8" t="s">
        <v>215</v>
      </c>
      <c r="G1186" s="8" t="s">
        <v>2282</v>
      </c>
      <c r="H1186" s="10">
        <v>1</v>
      </c>
      <c r="I1186" s="10"/>
      <c r="J1186" s="10">
        <v>1</v>
      </c>
      <c r="K1186" s="10">
        <v>1004.83</v>
      </c>
    </row>
    <row r="1187" spans="1:11" x14ac:dyDescent="0.25">
      <c r="A1187" s="8" t="s">
        <v>2320</v>
      </c>
      <c r="B1187" s="8" t="s">
        <v>130</v>
      </c>
      <c r="C1187" s="8" t="s">
        <v>1694</v>
      </c>
      <c r="D1187" s="8">
        <v>5</v>
      </c>
      <c r="E1187" s="8" t="s">
        <v>2313</v>
      </c>
      <c r="F1187" s="8" t="s">
        <v>215</v>
      </c>
      <c r="G1187" s="8" t="s">
        <v>2282</v>
      </c>
      <c r="H1187" s="10">
        <v>2</v>
      </c>
      <c r="I1187" s="10"/>
      <c r="J1187" s="10">
        <v>2</v>
      </c>
      <c r="K1187" s="10">
        <v>1004.83</v>
      </c>
    </row>
    <row r="1188" spans="1:11" x14ac:dyDescent="0.25">
      <c r="A1188" s="8" t="s">
        <v>2321</v>
      </c>
      <c r="B1188" s="8" t="s">
        <v>2074</v>
      </c>
      <c r="C1188" s="8" t="s">
        <v>1694</v>
      </c>
      <c r="D1188" s="8">
        <v>5</v>
      </c>
      <c r="E1188" s="8" t="s">
        <v>2322</v>
      </c>
      <c r="F1188" s="8" t="s">
        <v>215</v>
      </c>
      <c r="G1188" s="8" t="s">
        <v>2282</v>
      </c>
      <c r="H1188" s="10">
        <v>2</v>
      </c>
      <c r="I1188" s="10"/>
      <c r="J1188" s="10">
        <v>2</v>
      </c>
      <c r="K1188" s="10">
        <v>100.48</v>
      </c>
    </row>
    <row r="1189" spans="1:11" x14ac:dyDescent="0.25">
      <c r="A1189" s="8" t="s">
        <v>2323</v>
      </c>
      <c r="B1189" s="8" t="s">
        <v>120</v>
      </c>
      <c r="C1189" s="8" t="s">
        <v>2006</v>
      </c>
      <c r="D1189" s="8">
        <v>5</v>
      </c>
      <c r="E1189" s="8" t="s">
        <v>2324</v>
      </c>
      <c r="F1189" s="8" t="s">
        <v>215</v>
      </c>
      <c r="G1189" s="8" t="s">
        <v>2325</v>
      </c>
      <c r="H1189" s="10">
        <v>1</v>
      </c>
      <c r="I1189" s="10"/>
      <c r="J1189" s="10">
        <v>1</v>
      </c>
      <c r="K1189" s="10">
        <v>8038.62</v>
      </c>
    </row>
    <row r="1190" spans="1:11" x14ac:dyDescent="0.25">
      <c r="A1190" s="8" t="s">
        <v>2326</v>
      </c>
      <c r="B1190" s="8" t="s">
        <v>1655</v>
      </c>
      <c r="C1190" s="8" t="s">
        <v>2006</v>
      </c>
      <c r="D1190" s="8">
        <v>5</v>
      </c>
      <c r="E1190" s="8" t="s">
        <v>2327</v>
      </c>
      <c r="F1190" s="8" t="s">
        <v>215</v>
      </c>
      <c r="G1190" s="8" t="s">
        <v>2325</v>
      </c>
      <c r="H1190" s="10">
        <v>1</v>
      </c>
      <c r="I1190" s="10"/>
      <c r="J1190" s="10">
        <v>1</v>
      </c>
      <c r="K1190" s="10">
        <v>8038.62</v>
      </c>
    </row>
    <row r="1191" spans="1:11" x14ac:dyDescent="0.25">
      <c r="A1191" s="8" t="s">
        <v>2328</v>
      </c>
      <c r="B1191" s="8" t="s">
        <v>1655</v>
      </c>
      <c r="C1191" s="8" t="s">
        <v>2006</v>
      </c>
      <c r="D1191" s="8">
        <v>5</v>
      </c>
      <c r="E1191" s="8" t="s">
        <v>2329</v>
      </c>
      <c r="F1191" s="8" t="s">
        <v>215</v>
      </c>
      <c r="G1191" s="8" t="s">
        <v>2325</v>
      </c>
      <c r="H1191" s="10">
        <v>1</v>
      </c>
      <c r="I1191" s="10"/>
      <c r="J1191" s="10">
        <v>1</v>
      </c>
      <c r="K1191" s="10">
        <v>8038.62</v>
      </c>
    </row>
    <row r="1192" spans="1:11" x14ac:dyDescent="0.25">
      <c r="A1192" s="8" t="s">
        <v>2330</v>
      </c>
      <c r="B1192" s="8" t="s">
        <v>1650</v>
      </c>
      <c r="C1192" s="8" t="s">
        <v>2006</v>
      </c>
      <c r="D1192" s="8">
        <v>5</v>
      </c>
      <c r="E1192" s="8" t="s">
        <v>2331</v>
      </c>
      <c r="F1192" s="8" t="s">
        <v>215</v>
      </c>
      <c r="G1192" s="8" t="s">
        <v>2325</v>
      </c>
      <c r="H1192" s="10">
        <v>1</v>
      </c>
      <c r="I1192" s="10"/>
      <c r="J1192" s="10">
        <v>1</v>
      </c>
      <c r="K1192" s="10">
        <v>8038.62</v>
      </c>
    </row>
    <row r="1193" spans="1:11" x14ac:dyDescent="0.25">
      <c r="A1193" s="8" t="s">
        <v>2332</v>
      </c>
      <c r="B1193" s="8" t="s">
        <v>120</v>
      </c>
      <c r="C1193" s="8" t="s">
        <v>2006</v>
      </c>
      <c r="D1193" s="8">
        <v>5</v>
      </c>
      <c r="E1193" s="8" t="s">
        <v>2333</v>
      </c>
      <c r="F1193" s="8" t="s">
        <v>215</v>
      </c>
      <c r="G1193" s="8" t="s">
        <v>2325</v>
      </c>
      <c r="H1193" s="10">
        <v>1</v>
      </c>
      <c r="I1193" s="10"/>
      <c r="J1193" s="10">
        <v>1</v>
      </c>
      <c r="K1193" s="10">
        <v>8038.62</v>
      </c>
    </row>
    <row r="1194" spans="1:11" x14ac:dyDescent="0.25">
      <c r="A1194" s="8" t="s">
        <v>2334</v>
      </c>
      <c r="B1194" s="8" t="s">
        <v>120</v>
      </c>
      <c r="C1194" s="8" t="s">
        <v>2006</v>
      </c>
      <c r="D1194" s="8">
        <v>5</v>
      </c>
      <c r="E1194" s="8" t="s">
        <v>2335</v>
      </c>
      <c r="F1194" s="8" t="s">
        <v>215</v>
      </c>
      <c r="G1194" s="8" t="s">
        <v>2325</v>
      </c>
      <c r="H1194" s="10">
        <v>1</v>
      </c>
      <c r="I1194" s="10"/>
      <c r="J1194" s="10">
        <v>1</v>
      </c>
      <c r="K1194" s="10">
        <v>8038.62</v>
      </c>
    </row>
    <row r="1195" spans="1:11" x14ac:dyDescent="0.25">
      <c r="A1195" s="8" t="s">
        <v>2336</v>
      </c>
      <c r="B1195" s="8" t="s">
        <v>2074</v>
      </c>
      <c r="C1195" s="8" t="s">
        <v>2006</v>
      </c>
      <c r="D1195" s="8">
        <v>5</v>
      </c>
      <c r="E1195" s="8" t="s">
        <v>2337</v>
      </c>
      <c r="F1195" s="8" t="s">
        <v>215</v>
      </c>
      <c r="G1195" s="8" t="s">
        <v>2325</v>
      </c>
      <c r="H1195" s="10">
        <v>1</v>
      </c>
      <c r="I1195" s="10"/>
      <c r="J1195" s="10">
        <v>1</v>
      </c>
      <c r="K1195" s="10">
        <v>8038.62</v>
      </c>
    </row>
    <row r="1196" spans="1:11" x14ac:dyDescent="0.25">
      <c r="A1196" s="8" t="s">
        <v>2338</v>
      </c>
      <c r="B1196" s="8" t="s">
        <v>2074</v>
      </c>
      <c r="C1196" s="8" t="s">
        <v>2006</v>
      </c>
      <c r="D1196" s="8">
        <v>5</v>
      </c>
      <c r="E1196" s="8" t="s">
        <v>2339</v>
      </c>
      <c r="F1196" s="8" t="s">
        <v>215</v>
      </c>
      <c r="G1196" s="8" t="s">
        <v>2325</v>
      </c>
      <c r="H1196" s="10">
        <v>1</v>
      </c>
      <c r="I1196" s="10"/>
      <c r="J1196" s="10">
        <v>1</v>
      </c>
      <c r="K1196" s="10">
        <v>8038.62</v>
      </c>
    </row>
    <row r="1197" spans="1:11" x14ac:dyDescent="0.25">
      <c r="A1197" s="8" t="s">
        <v>2340</v>
      </c>
      <c r="B1197" s="8" t="s">
        <v>2074</v>
      </c>
      <c r="C1197" s="8" t="s">
        <v>2006</v>
      </c>
      <c r="D1197" s="8">
        <v>5</v>
      </c>
      <c r="E1197" s="8" t="s">
        <v>2341</v>
      </c>
      <c r="F1197" s="8" t="s">
        <v>215</v>
      </c>
      <c r="G1197" s="8" t="s">
        <v>2325</v>
      </c>
      <c r="H1197" s="10">
        <v>1</v>
      </c>
      <c r="I1197" s="10"/>
      <c r="J1197" s="10">
        <v>1</v>
      </c>
      <c r="K1197" s="10">
        <v>8038.62</v>
      </c>
    </row>
    <row r="1198" spans="1:11" x14ac:dyDescent="0.25">
      <c r="A1198" s="8" t="s">
        <v>2342</v>
      </c>
      <c r="B1198" s="8" t="s">
        <v>1650</v>
      </c>
      <c r="C1198" s="8" t="s">
        <v>2006</v>
      </c>
      <c r="D1198" s="8">
        <v>5</v>
      </c>
      <c r="E1198" s="8" t="s">
        <v>2343</v>
      </c>
      <c r="F1198" s="8" t="s">
        <v>911</v>
      </c>
      <c r="G1198" s="8" t="s">
        <v>2325</v>
      </c>
      <c r="H1198" s="10">
        <v>1</v>
      </c>
      <c r="I1198" s="10"/>
      <c r="J1198" s="10">
        <v>1</v>
      </c>
      <c r="K1198" s="10">
        <v>6028.96</v>
      </c>
    </row>
    <row r="1199" spans="1:11" x14ac:dyDescent="0.25">
      <c r="A1199" s="8" t="s">
        <v>2344</v>
      </c>
      <c r="B1199" s="8" t="s">
        <v>120</v>
      </c>
      <c r="C1199" s="8" t="s">
        <v>2006</v>
      </c>
      <c r="D1199" s="8">
        <v>5</v>
      </c>
      <c r="E1199" s="8" t="s">
        <v>2345</v>
      </c>
      <c r="F1199" s="8" t="s">
        <v>911</v>
      </c>
      <c r="G1199" s="8" t="s">
        <v>2325</v>
      </c>
      <c r="H1199" s="10">
        <v>1</v>
      </c>
      <c r="I1199" s="10"/>
      <c r="J1199" s="10">
        <v>1</v>
      </c>
      <c r="K1199" s="10">
        <v>6028.96</v>
      </c>
    </row>
    <row r="1200" spans="1:11" x14ac:dyDescent="0.25">
      <c r="A1200" s="8" t="s">
        <v>2346</v>
      </c>
      <c r="B1200" s="8" t="s">
        <v>120</v>
      </c>
      <c r="C1200" s="8" t="s">
        <v>2006</v>
      </c>
      <c r="D1200" s="8">
        <v>5</v>
      </c>
      <c r="E1200" s="8" t="s">
        <v>2347</v>
      </c>
      <c r="F1200" s="8" t="s">
        <v>911</v>
      </c>
      <c r="G1200" s="8" t="s">
        <v>2325</v>
      </c>
      <c r="H1200" s="10">
        <v>1</v>
      </c>
      <c r="I1200" s="10"/>
      <c r="J1200" s="10">
        <v>1</v>
      </c>
      <c r="K1200" s="10">
        <v>6028.96</v>
      </c>
    </row>
    <row r="1201" spans="1:11" x14ac:dyDescent="0.25">
      <c r="A1201" s="8" t="s">
        <v>2348</v>
      </c>
      <c r="B1201" s="8" t="s">
        <v>1655</v>
      </c>
      <c r="C1201" s="8" t="s">
        <v>2006</v>
      </c>
      <c r="D1201" s="8">
        <v>5</v>
      </c>
      <c r="E1201" s="8" t="s">
        <v>2349</v>
      </c>
      <c r="F1201" s="8" t="s">
        <v>911</v>
      </c>
      <c r="G1201" s="8" t="s">
        <v>2325</v>
      </c>
      <c r="H1201" s="10">
        <v>1</v>
      </c>
      <c r="I1201" s="10"/>
      <c r="J1201" s="10">
        <v>1</v>
      </c>
      <c r="K1201" s="10">
        <v>6028.96</v>
      </c>
    </row>
    <row r="1202" spans="1:11" x14ac:dyDescent="0.25">
      <c r="A1202" s="8" t="s">
        <v>2350</v>
      </c>
      <c r="B1202" s="8" t="s">
        <v>1655</v>
      </c>
      <c r="C1202" s="8" t="s">
        <v>2006</v>
      </c>
      <c r="D1202" s="8">
        <v>5</v>
      </c>
      <c r="E1202" s="8" t="s">
        <v>2351</v>
      </c>
      <c r="F1202" s="8" t="s">
        <v>911</v>
      </c>
      <c r="G1202" s="8" t="s">
        <v>2325</v>
      </c>
      <c r="H1202" s="10">
        <v>1</v>
      </c>
      <c r="I1202" s="10"/>
      <c r="J1202" s="10">
        <v>1</v>
      </c>
      <c r="K1202" s="10">
        <v>6028.96</v>
      </c>
    </row>
    <row r="1203" spans="1:11" x14ac:dyDescent="0.25">
      <c r="A1203" s="8" t="s">
        <v>2352</v>
      </c>
      <c r="B1203" s="8" t="s">
        <v>1650</v>
      </c>
      <c r="C1203" s="8" t="s">
        <v>2006</v>
      </c>
      <c r="D1203" s="8">
        <v>5</v>
      </c>
      <c r="E1203" s="8" t="s">
        <v>2353</v>
      </c>
      <c r="F1203" s="8" t="s">
        <v>911</v>
      </c>
      <c r="G1203" s="8" t="s">
        <v>2325</v>
      </c>
      <c r="H1203" s="10">
        <v>1</v>
      </c>
      <c r="I1203" s="10"/>
      <c r="J1203" s="10">
        <v>1</v>
      </c>
      <c r="K1203" s="10">
        <v>6028.96</v>
      </c>
    </row>
    <row r="1204" spans="1:11" x14ac:dyDescent="0.25">
      <c r="A1204" s="8" t="s">
        <v>2354</v>
      </c>
      <c r="B1204" s="8" t="s">
        <v>120</v>
      </c>
      <c r="C1204" s="8" t="s">
        <v>2006</v>
      </c>
      <c r="D1204" s="8">
        <v>5</v>
      </c>
      <c r="E1204" s="8" t="s">
        <v>2355</v>
      </c>
      <c r="F1204" s="8" t="s">
        <v>911</v>
      </c>
      <c r="G1204" s="8" t="s">
        <v>2325</v>
      </c>
      <c r="H1204" s="10">
        <v>1</v>
      </c>
      <c r="I1204" s="10"/>
      <c r="J1204" s="10">
        <v>1</v>
      </c>
      <c r="K1204" s="10">
        <v>6028.96</v>
      </c>
    </row>
    <row r="1205" spans="1:11" x14ac:dyDescent="0.25">
      <c r="A1205" s="8" t="s">
        <v>2356</v>
      </c>
      <c r="B1205" s="8" t="s">
        <v>120</v>
      </c>
      <c r="C1205" s="8" t="s">
        <v>2006</v>
      </c>
      <c r="D1205" s="8">
        <v>5</v>
      </c>
      <c r="E1205" s="8" t="s">
        <v>2357</v>
      </c>
      <c r="F1205" s="8" t="s">
        <v>911</v>
      </c>
      <c r="G1205" s="8" t="s">
        <v>2325</v>
      </c>
      <c r="H1205" s="10">
        <v>1</v>
      </c>
      <c r="I1205" s="10"/>
      <c r="J1205" s="10">
        <v>1</v>
      </c>
      <c r="K1205" s="10">
        <v>6028.96</v>
      </c>
    </row>
    <row r="1206" spans="1:11" x14ac:dyDescent="0.25">
      <c r="A1206" s="8" t="s">
        <v>2358</v>
      </c>
      <c r="B1206" s="8" t="s">
        <v>1655</v>
      </c>
      <c r="C1206" s="8" t="s">
        <v>2006</v>
      </c>
      <c r="D1206" s="8">
        <v>5</v>
      </c>
      <c r="E1206" s="8" t="s">
        <v>2359</v>
      </c>
      <c r="F1206" s="8" t="s">
        <v>911</v>
      </c>
      <c r="G1206" s="8" t="s">
        <v>2325</v>
      </c>
      <c r="H1206" s="10">
        <v>1</v>
      </c>
      <c r="I1206" s="10"/>
      <c r="J1206" s="10">
        <v>1</v>
      </c>
      <c r="K1206" s="10">
        <v>6028.96</v>
      </c>
    </row>
    <row r="1207" spans="1:11" x14ac:dyDescent="0.25">
      <c r="A1207" s="8" t="s">
        <v>2360</v>
      </c>
      <c r="B1207" s="8" t="s">
        <v>1655</v>
      </c>
      <c r="C1207" s="8" t="s">
        <v>2006</v>
      </c>
      <c r="D1207" s="8">
        <v>5</v>
      </c>
      <c r="E1207" s="8" t="s">
        <v>2361</v>
      </c>
      <c r="F1207" s="8" t="s">
        <v>911</v>
      </c>
      <c r="G1207" s="8" t="s">
        <v>2325</v>
      </c>
      <c r="H1207" s="10">
        <v>1</v>
      </c>
      <c r="I1207" s="10"/>
      <c r="J1207" s="10">
        <v>1</v>
      </c>
      <c r="K1207" s="10">
        <v>6028.96</v>
      </c>
    </row>
    <row r="1208" spans="1:11" x14ac:dyDescent="0.25">
      <c r="A1208" s="8" t="s">
        <v>2362</v>
      </c>
      <c r="B1208" s="8" t="s">
        <v>2074</v>
      </c>
      <c r="C1208" s="8" t="s">
        <v>2006</v>
      </c>
      <c r="D1208" s="8">
        <v>5</v>
      </c>
      <c r="E1208" s="8" t="s">
        <v>2363</v>
      </c>
      <c r="F1208" s="8" t="s">
        <v>911</v>
      </c>
      <c r="G1208" s="8" t="s">
        <v>2325</v>
      </c>
      <c r="H1208" s="10">
        <v>1</v>
      </c>
      <c r="I1208" s="10"/>
      <c r="J1208" s="10">
        <v>1</v>
      </c>
      <c r="K1208" s="10">
        <v>6028.96</v>
      </c>
    </row>
    <row r="1209" spans="1:11" x14ac:dyDescent="0.25">
      <c r="A1209" s="8" t="s">
        <v>2364</v>
      </c>
      <c r="B1209" s="8" t="s">
        <v>2074</v>
      </c>
      <c r="C1209" s="8" t="s">
        <v>2006</v>
      </c>
      <c r="D1209" s="8">
        <v>5</v>
      </c>
      <c r="E1209" s="8" t="s">
        <v>2365</v>
      </c>
      <c r="F1209" s="8" t="s">
        <v>911</v>
      </c>
      <c r="G1209" s="8" t="s">
        <v>2325</v>
      </c>
      <c r="H1209" s="10">
        <v>1</v>
      </c>
      <c r="I1209" s="10"/>
      <c r="J1209" s="10">
        <v>1</v>
      </c>
      <c r="K1209" s="10">
        <v>6028.96</v>
      </c>
    </row>
    <row r="1210" spans="1:11" x14ac:dyDescent="0.25">
      <c r="A1210" s="8" t="s">
        <v>2366</v>
      </c>
      <c r="B1210" s="8" t="s">
        <v>2074</v>
      </c>
      <c r="C1210" s="8" t="s">
        <v>2006</v>
      </c>
      <c r="D1210" s="8">
        <v>5</v>
      </c>
      <c r="E1210" s="8" t="s">
        <v>2367</v>
      </c>
      <c r="F1210" s="8" t="s">
        <v>911</v>
      </c>
      <c r="G1210" s="8" t="s">
        <v>2325</v>
      </c>
      <c r="H1210" s="10">
        <v>1</v>
      </c>
      <c r="I1210" s="10"/>
      <c r="J1210" s="10">
        <v>1</v>
      </c>
      <c r="K1210" s="10">
        <v>6028.96</v>
      </c>
    </row>
    <row r="1211" spans="1:11" x14ac:dyDescent="0.25">
      <c r="A1211" s="8" t="s">
        <v>2368</v>
      </c>
      <c r="B1211" s="8" t="s">
        <v>2074</v>
      </c>
      <c r="C1211" s="8" t="s">
        <v>2006</v>
      </c>
      <c r="D1211" s="8">
        <v>5</v>
      </c>
      <c r="E1211" s="8" t="s">
        <v>2369</v>
      </c>
      <c r="F1211" s="8" t="s">
        <v>911</v>
      </c>
      <c r="G1211" s="8" t="s">
        <v>2325</v>
      </c>
      <c r="H1211" s="10">
        <v>1</v>
      </c>
      <c r="I1211" s="10"/>
      <c r="J1211" s="10">
        <v>1</v>
      </c>
      <c r="K1211" s="10">
        <v>6028.96</v>
      </c>
    </row>
    <row r="1212" spans="1:11" x14ac:dyDescent="0.25">
      <c r="A1212" s="8" t="s">
        <v>2370</v>
      </c>
      <c r="B1212" s="8" t="s">
        <v>120</v>
      </c>
      <c r="C1212" s="8" t="s">
        <v>2006</v>
      </c>
      <c r="D1212" s="8">
        <v>5</v>
      </c>
      <c r="E1212" s="8" t="s">
        <v>2371</v>
      </c>
      <c r="F1212" s="8" t="s">
        <v>911</v>
      </c>
      <c r="G1212" s="8" t="s">
        <v>2325</v>
      </c>
      <c r="H1212" s="10">
        <v>1</v>
      </c>
      <c r="I1212" s="10"/>
      <c r="J1212" s="10">
        <v>1</v>
      </c>
      <c r="K1212" s="10">
        <v>3014.48</v>
      </c>
    </row>
    <row r="1213" spans="1:11" x14ac:dyDescent="0.25">
      <c r="A1213" s="8" t="s">
        <v>2372</v>
      </c>
      <c r="B1213" s="8" t="s">
        <v>120</v>
      </c>
      <c r="C1213" s="8" t="s">
        <v>2006</v>
      </c>
      <c r="D1213" s="8">
        <v>5</v>
      </c>
      <c r="E1213" s="8" t="s">
        <v>2373</v>
      </c>
      <c r="F1213" s="8" t="s">
        <v>911</v>
      </c>
      <c r="G1213" s="8" t="s">
        <v>2325</v>
      </c>
      <c r="H1213" s="10">
        <v>1</v>
      </c>
      <c r="I1213" s="10"/>
      <c r="J1213" s="10">
        <v>1</v>
      </c>
      <c r="K1213" s="10">
        <v>4019.31</v>
      </c>
    </row>
    <row r="1214" spans="1:11" x14ac:dyDescent="0.25">
      <c r="A1214" s="8" t="s">
        <v>2374</v>
      </c>
      <c r="B1214" s="8" t="s">
        <v>1655</v>
      </c>
      <c r="C1214" s="8" t="s">
        <v>2006</v>
      </c>
      <c r="D1214" s="8">
        <v>5</v>
      </c>
      <c r="E1214" s="8" t="s">
        <v>2375</v>
      </c>
      <c r="F1214" s="8" t="s">
        <v>911</v>
      </c>
      <c r="G1214" s="8" t="s">
        <v>2325</v>
      </c>
      <c r="H1214" s="10">
        <v>1</v>
      </c>
      <c r="I1214" s="10"/>
      <c r="J1214" s="10">
        <v>1</v>
      </c>
      <c r="K1214" s="10">
        <v>4019.31</v>
      </c>
    </row>
    <row r="1215" spans="1:11" x14ac:dyDescent="0.25">
      <c r="A1215" s="8" t="s">
        <v>2376</v>
      </c>
      <c r="B1215" s="8" t="s">
        <v>2074</v>
      </c>
      <c r="C1215" s="8" t="s">
        <v>2006</v>
      </c>
      <c r="D1215" s="8">
        <v>5</v>
      </c>
      <c r="E1215" s="8" t="s">
        <v>2377</v>
      </c>
      <c r="F1215" s="8" t="s">
        <v>911</v>
      </c>
      <c r="G1215" s="8" t="s">
        <v>2325</v>
      </c>
      <c r="H1215" s="10">
        <v>1</v>
      </c>
      <c r="I1215" s="10"/>
      <c r="J1215" s="10">
        <v>1</v>
      </c>
      <c r="K1215" s="10">
        <v>4019.31</v>
      </c>
    </row>
    <row r="1216" spans="1:11" x14ac:dyDescent="0.25">
      <c r="A1216" s="8" t="s">
        <v>2378</v>
      </c>
      <c r="B1216" s="8" t="s">
        <v>1650</v>
      </c>
      <c r="C1216" s="8" t="s">
        <v>2006</v>
      </c>
      <c r="D1216" s="8">
        <v>5</v>
      </c>
      <c r="E1216" s="8" t="s">
        <v>2379</v>
      </c>
      <c r="F1216" s="8" t="s">
        <v>911</v>
      </c>
      <c r="G1216" s="8" t="s">
        <v>2325</v>
      </c>
      <c r="H1216" s="10">
        <v>1</v>
      </c>
      <c r="I1216" s="10"/>
      <c r="J1216" s="10">
        <v>1</v>
      </c>
      <c r="K1216" s="10">
        <v>4019.31</v>
      </c>
    </row>
    <row r="1217" spans="1:11" x14ac:dyDescent="0.25">
      <c r="A1217" s="8" t="s">
        <v>2380</v>
      </c>
      <c r="B1217" s="8" t="s">
        <v>118</v>
      </c>
      <c r="C1217" s="8" t="s">
        <v>2381</v>
      </c>
      <c r="D1217" s="8">
        <v>4</v>
      </c>
      <c r="E1217" s="8" t="s">
        <v>2382</v>
      </c>
      <c r="F1217" s="8" t="s">
        <v>215</v>
      </c>
      <c r="G1217" s="8" t="s">
        <v>2383</v>
      </c>
      <c r="H1217" s="10">
        <v>1</v>
      </c>
      <c r="I1217" s="10"/>
      <c r="J1217" s="10">
        <v>1</v>
      </c>
      <c r="K1217" s="10">
        <v>3014.48</v>
      </c>
    </row>
    <row r="1218" spans="1:11" x14ac:dyDescent="0.25">
      <c r="A1218" s="8" t="s">
        <v>2384</v>
      </c>
      <c r="B1218" s="8" t="s">
        <v>118</v>
      </c>
      <c r="C1218" s="8" t="s">
        <v>2381</v>
      </c>
      <c r="D1218" s="8">
        <v>4</v>
      </c>
      <c r="E1218" s="8" t="s">
        <v>2385</v>
      </c>
      <c r="F1218" s="8" t="s">
        <v>215</v>
      </c>
      <c r="G1218" s="8" t="s">
        <v>2383</v>
      </c>
      <c r="H1218" s="10">
        <v>1</v>
      </c>
      <c r="I1218" s="10"/>
      <c r="J1218" s="10">
        <v>1</v>
      </c>
      <c r="K1218" s="10">
        <v>3014.48</v>
      </c>
    </row>
    <row r="1219" spans="1:11" x14ac:dyDescent="0.25">
      <c r="A1219" s="8" t="s">
        <v>2386</v>
      </c>
      <c r="B1219" s="8" t="s">
        <v>118</v>
      </c>
      <c r="C1219" s="8" t="s">
        <v>2381</v>
      </c>
      <c r="D1219" s="8">
        <v>4</v>
      </c>
      <c r="E1219" s="8" t="s">
        <v>2387</v>
      </c>
      <c r="F1219" s="8" t="s">
        <v>215</v>
      </c>
      <c r="G1219" s="8" t="s">
        <v>2383</v>
      </c>
      <c r="H1219" s="10">
        <v>1</v>
      </c>
      <c r="I1219" s="10"/>
      <c r="J1219" s="10">
        <v>1</v>
      </c>
      <c r="K1219" s="10">
        <v>3014.48</v>
      </c>
    </row>
    <row r="1220" spans="1:11" x14ac:dyDescent="0.25">
      <c r="A1220" s="8" t="s">
        <v>2388</v>
      </c>
      <c r="B1220" s="8" t="s">
        <v>122</v>
      </c>
      <c r="C1220" s="8" t="s">
        <v>2381</v>
      </c>
      <c r="D1220" s="8">
        <v>4</v>
      </c>
      <c r="E1220" s="8" t="s">
        <v>2389</v>
      </c>
      <c r="F1220" s="8" t="s">
        <v>911</v>
      </c>
      <c r="G1220" s="8" t="s">
        <v>2383</v>
      </c>
      <c r="H1220" s="10">
        <v>1</v>
      </c>
      <c r="I1220" s="10"/>
      <c r="J1220" s="10">
        <v>1</v>
      </c>
      <c r="K1220" s="10">
        <v>3316.06</v>
      </c>
    </row>
    <row r="1221" spans="1:11" x14ac:dyDescent="0.25">
      <c r="A1221" s="8" t="s">
        <v>2390</v>
      </c>
      <c r="B1221" s="8" t="s">
        <v>120</v>
      </c>
      <c r="C1221" s="8" t="s">
        <v>2006</v>
      </c>
      <c r="D1221" s="8">
        <v>5</v>
      </c>
      <c r="E1221" s="8" t="s">
        <v>2391</v>
      </c>
      <c r="F1221" s="8" t="s">
        <v>215</v>
      </c>
      <c r="G1221" s="8" t="s">
        <v>2325</v>
      </c>
      <c r="H1221" s="10">
        <v>1</v>
      </c>
      <c r="I1221" s="10"/>
      <c r="J1221" s="10">
        <v>1</v>
      </c>
      <c r="K1221" s="10">
        <v>3316.06</v>
      </c>
    </row>
    <row r="1222" spans="1:11" x14ac:dyDescent="0.25">
      <c r="A1222" s="8" t="s">
        <v>2392</v>
      </c>
      <c r="B1222" s="8" t="s">
        <v>116</v>
      </c>
      <c r="C1222" s="8" t="s">
        <v>2381</v>
      </c>
      <c r="D1222" s="8">
        <v>4</v>
      </c>
      <c r="E1222" s="8" t="s">
        <v>2393</v>
      </c>
      <c r="F1222" s="8" t="s">
        <v>911</v>
      </c>
      <c r="G1222" s="8" t="s">
        <v>2383</v>
      </c>
      <c r="H1222" s="10">
        <v>1</v>
      </c>
      <c r="I1222" s="10"/>
      <c r="J1222" s="10">
        <v>1</v>
      </c>
      <c r="K1222" s="10">
        <v>1989.64</v>
      </c>
    </row>
    <row r="1223" spans="1:11" x14ac:dyDescent="0.25">
      <c r="A1223" s="8" t="s">
        <v>2394</v>
      </c>
      <c r="B1223" s="8" t="s">
        <v>118</v>
      </c>
      <c r="C1223" s="8" t="s">
        <v>2381</v>
      </c>
      <c r="D1223" s="8">
        <v>4</v>
      </c>
      <c r="E1223" s="8" t="s">
        <v>2393</v>
      </c>
      <c r="F1223" s="8" t="s">
        <v>911</v>
      </c>
      <c r="G1223" s="8" t="s">
        <v>2383</v>
      </c>
      <c r="H1223" s="10">
        <v>1</v>
      </c>
      <c r="I1223" s="10"/>
      <c r="J1223" s="10">
        <v>1</v>
      </c>
      <c r="K1223" s="10">
        <v>1989.64</v>
      </c>
    </row>
    <row r="1224" spans="1:11" x14ac:dyDescent="0.25">
      <c r="A1224" s="8" t="s">
        <v>2395</v>
      </c>
      <c r="B1224" s="8" t="s">
        <v>120</v>
      </c>
      <c r="C1224" s="8" t="s">
        <v>2381</v>
      </c>
      <c r="D1224" s="8">
        <v>4</v>
      </c>
      <c r="E1224" s="8" t="s">
        <v>2393</v>
      </c>
      <c r="F1224" s="8" t="s">
        <v>911</v>
      </c>
      <c r="G1224" s="8" t="s">
        <v>2383</v>
      </c>
      <c r="H1224" s="10">
        <v>1</v>
      </c>
      <c r="I1224" s="10"/>
      <c r="J1224" s="10">
        <v>1</v>
      </c>
      <c r="K1224" s="10">
        <v>1989.64</v>
      </c>
    </row>
    <row r="1225" spans="1:11" x14ac:dyDescent="0.25">
      <c r="A1225" s="8" t="s">
        <v>2396</v>
      </c>
      <c r="B1225" s="8" t="s">
        <v>122</v>
      </c>
      <c r="C1225" s="8" t="s">
        <v>2381</v>
      </c>
      <c r="D1225" s="8">
        <v>4</v>
      </c>
      <c r="E1225" s="8" t="s">
        <v>2397</v>
      </c>
      <c r="F1225" s="8" t="s">
        <v>215</v>
      </c>
      <c r="G1225" s="8" t="s">
        <v>2383</v>
      </c>
      <c r="H1225" s="10">
        <v>5</v>
      </c>
      <c r="I1225" s="10"/>
      <c r="J1225" s="10">
        <v>5</v>
      </c>
      <c r="K1225" s="10">
        <v>3316.06</v>
      </c>
    </row>
    <row r="1226" spans="1:11" x14ac:dyDescent="0.25">
      <c r="A1226" s="8" t="s">
        <v>2398</v>
      </c>
      <c r="B1226" s="8" t="s">
        <v>132</v>
      </c>
      <c r="C1226" s="8" t="s">
        <v>2381</v>
      </c>
      <c r="D1226" s="8">
        <v>4</v>
      </c>
      <c r="E1226" s="8" t="s">
        <v>2399</v>
      </c>
      <c r="F1226" s="8" t="s">
        <v>215</v>
      </c>
      <c r="G1226" s="8" t="s">
        <v>2383</v>
      </c>
      <c r="H1226" s="10">
        <v>2</v>
      </c>
      <c r="I1226" s="10"/>
      <c r="J1226" s="10">
        <v>2</v>
      </c>
      <c r="K1226" s="10">
        <v>2984.46</v>
      </c>
    </row>
    <row r="1227" spans="1:11" x14ac:dyDescent="0.25">
      <c r="A1227" s="8" t="s">
        <v>2400</v>
      </c>
      <c r="B1227" s="8" t="s">
        <v>128</v>
      </c>
      <c r="C1227" s="8" t="s">
        <v>2381</v>
      </c>
      <c r="D1227" s="8">
        <v>4</v>
      </c>
      <c r="E1227" s="8" t="s">
        <v>2401</v>
      </c>
      <c r="F1227" s="8" t="s">
        <v>215</v>
      </c>
      <c r="G1227" s="8" t="s">
        <v>2383</v>
      </c>
      <c r="H1227" s="10">
        <v>3</v>
      </c>
      <c r="I1227" s="10"/>
      <c r="J1227" s="10">
        <v>3</v>
      </c>
      <c r="K1227" s="10">
        <v>2984.46</v>
      </c>
    </row>
    <row r="1228" spans="1:11" x14ac:dyDescent="0.25">
      <c r="A1228" s="8" t="s">
        <v>2402</v>
      </c>
      <c r="B1228" s="8" t="s">
        <v>122</v>
      </c>
      <c r="C1228" s="8" t="s">
        <v>2381</v>
      </c>
      <c r="D1228" s="8">
        <v>4</v>
      </c>
      <c r="E1228" s="8" t="s">
        <v>2403</v>
      </c>
      <c r="F1228" s="8" t="s">
        <v>215</v>
      </c>
      <c r="G1228" s="8" t="s">
        <v>2383</v>
      </c>
      <c r="H1228" s="10">
        <v>2</v>
      </c>
      <c r="I1228" s="10"/>
      <c r="J1228" s="10">
        <v>2</v>
      </c>
      <c r="K1228" s="10">
        <v>2984.46</v>
      </c>
    </row>
    <row r="1229" spans="1:11" x14ac:dyDescent="0.25">
      <c r="A1229" s="8" t="s">
        <v>2404</v>
      </c>
      <c r="B1229" s="8" t="s">
        <v>124</v>
      </c>
      <c r="C1229" s="8" t="s">
        <v>2381</v>
      </c>
      <c r="D1229" s="8">
        <v>4</v>
      </c>
      <c r="E1229" s="8" t="s">
        <v>2405</v>
      </c>
      <c r="F1229" s="8" t="s">
        <v>215</v>
      </c>
      <c r="G1229" s="8" t="s">
        <v>2383</v>
      </c>
      <c r="H1229" s="10">
        <v>2</v>
      </c>
      <c r="I1229" s="10"/>
      <c r="J1229" s="10">
        <v>2</v>
      </c>
      <c r="K1229" s="10">
        <v>2984.46</v>
      </c>
    </row>
    <row r="1230" spans="1:11" x14ac:dyDescent="0.25">
      <c r="A1230" s="8" t="s">
        <v>2406</v>
      </c>
      <c r="B1230" s="8" t="s">
        <v>78</v>
      </c>
      <c r="C1230" s="8" t="s">
        <v>2381</v>
      </c>
      <c r="D1230" s="8">
        <v>4</v>
      </c>
      <c r="E1230" s="8" t="s">
        <v>2407</v>
      </c>
      <c r="F1230" s="8" t="s">
        <v>215</v>
      </c>
      <c r="G1230" s="8" t="s">
        <v>2383</v>
      </c>
      <c r="H1230" s="10">
        <v>2</v>
      </c>
      <c r="I1230" s="10"/>
      <c r="J1230" s="10">
        <v>2</v>
      </c>
      <c r="K1230" s="10">
        <v>2984.46</v>
      </c>
    </row>
    <row r="1231" spans="1:11" x14ac:dyDescent="0.25">
      <c r="A1231" s="8" t="s">
        <v>2408</v>
      </c>
      <c r="B1231" s="8" t="s">
        <v>78</v>
      </c>
      <c r="C1231" s="8" t="s">
        <v>2381</v>
      </c>
      <c r="D1231" s="8">
        <v>4</v>
      </c>
      <c r="E1231" s="8" t="s">
        <v>2409</v>
      </c>
      <c r="F1231" s="8" t="s">
        <v>215</v>
      </c>
      <c r="G1231" s="8" t="s">
        <v>2383</v>
      </c>
      <c r="H1231" s="10">
        <v>2</v>
      </c>
      <c r="I1231" s="10"/>
      <c r="J1231" s="10">
        <v>2</v>
      </c>
      <c r="K1231" s="10">
        <v>2984.46</v>
      </c>
    </row>
    <row r="1232" spans="1:11" x14ac:dyDescent="0.25">
      <c r="A1232" s="8" t="s">
        <v>2410</v>
      </c>
      <c r="B1232" s="8" t="s">
        <v>120</v>
      </c>
      <c r="C1232" s="8" t="s">
        <v>2381</v>
      </c>
      <c r="D1232" s="8">
        <v>4</v>
      </c>
      <c r="E1232" s="8" t="s">
        <v>2411</v>
      </c>
      <c r="F1232" s="8" t="s">
        <v>215</v>
      </c>
      <c r="G1232" s="8" t="s">
        <v>2383</v>
      </c>
      <c r="H1232" s="10">
        <v>2</v>
      </c>
      <c r="I1232" s="10"/>
      <c r="J1232" s="10">
        <v>2</v>
      </c>
      <c r="K1232" s="10">
        <v>2984.46</v>
      </c>
    </row>
    <row r="1233" spans="1:11" x14ac:dyDescent="0.25">
      <c r="A1233" s="8" t="s">
        <v>2412</v>
      </c>
      <c r="B1233" s="8" t="s">
        <v>122</v>
      </c>
      <c r="C1233" s="8" t="s">
        <v>2381</v>
      </c>
      <c r="D1233" s="8">
        <v>4</v>
      </c>
      <c r="E1233" s="8" t="s">
        <v>2413</v>
      </c>
      <c r="F1233" s="8" t="s">
        <v>274</v>
      </c>
      <c r="G1233" s="8" t="s">
        <v>2383</v>
      </c>
      <c r="H1233" s="10">
        <v>3</v>
      </c>
      <c r="I1233" s="10"/>
      <c r="J1233" s="10">
        <v>3</v>
      </c>
      <c r="K1233" s="10">
        <v>1989.64</v>
      </c>
    </row>
    <row r="1234" spans="1:11" x14ac:dyDescent="0.25">
      <c r="A1234" s="8" t="s">
        <v>2414</v>
      </c>
      <c r="B1234" s="8" t="s">
        <v>124</v>
      </c>
      <c r="C1234" s="8" t="s">
        <v>2381</v>
      </c>
      <c r="D1234" s="8">
        <v>4</v>
      </c>
      <c r="E1234" s="8" t="s">
        <v>2413</v>
      </c>
      <c r="F1234" s="8" t="s">
        <v>274</v>
      </c>
      <c r="G1234" s="8" t="s">
        <v>2383</v>
      </c>
      <c r="H1234" s="10">
        <v>5</v>
      </c>
      <c r="I1234" s="10"/>
      <c r="J1234" s="10">
        <v>5</v>
      </c>
      <c r="K1234" s="10">
        <v>1989.64</v>
      </c>
    </row>
    <row r="1235" spans="1:11" x14ac:dyDescent="0.25">
      <c r="A1235" s="8" t="s">
        <v>2415</v>
      </c>
      <c r="B1235" s="8" t="s">
        <v>78</v>
      </c>
      <c r="C1235" s="8" t="s">
        <v>2381</v>
      </c>
      <c r="D1235" s="8">
        <v>4</v>
      </c>
      <c r="E1235" s="8" t="s">
        <v>2413</v>
      </c>
      <c r="F1235" s="8" t="s">
        <v>274</v>
      </c>
      <c r="G1235" s="8" t="s">
        <v>2383</v>
      </c>
      <c r="H1235" s="10">
        <v>4</v>
      </c>
      <c r="I1235" s="10"/>
      <c r="J1235" s="10">
        <v>4</v>
      </c>
      <c r="K1235" s="10">
        <v>1989.64</v>
      </c>
    </row>
    <row r="1236" spans="1:11" x14ac:dyDescent="0.25">
      <c r="A1236" s="8" t="s">
        <v>2416</v>
      </c>
      <c r="B1236" s="8" t="s">
        <v>128</v>
      </c>
      <c r="C1236" s="8" t="s">
        <v>2381</v>
      </c>
      <c r="D1236" s="8">
        <v>4</v>
      </c>
      <c r="E1236" s="8" t="s">
        <v>2413</v>
      </c>
      <c r="F1236" s="8" t="s">
        <v>274</v>
      </c>
      <c r="G1236" s="8" t="s">
        <v>2383</v>
      </c>
      <c r="H1236" s="10">
        <v>1</v>
      </c>
      <c r="I1236" s="10"/>
      <c r="J1236" s="10">
        <v>1</v>
      </c>
      <c r="K1236" s="10">
        <v>1989.64</v>
      </c>
    </row>
    <row r="1237" spans="1:11" x14ac:dyDescent="0.25">
      <c r="A1237" s="8" t="s">
        <v>2417</v>
      </c>
      <c r="B1237" s="8" t="s">
        <v>132</v>
      </c>
      <c r="C1237" s="8" t="s">
        <v>2381</v>
      </c>
      <c r="D1237" s="8">
        <v>4</v>
      </c>
      <c r="E1237" s="8" t="s">
        <v>2413</v>
      </c>
      <c r="F1237" s="8" t="s">
        <v>274</v>
      </c>
      <c r="G1237" s="8" t="s">
        <v>2383</v>
      </c>
      <c r="H1237" s="10">
        <v>2</v>
      </c>
      <c r="I1237" s="10"/>
      <c r="J1237" s="10">
        <v>2</v>
      </c>
      <c r="K1237" s="10">
        <v>1989.64</v>
      </c>
    </row>
    <row r="1238" spans="1:11" x14ac:dyDescent="0.25">
      <c r="A1238" s="8" t="s">
        <v>2418</v>
      </c>
      <c r="B1238" s="8" t="s">
        <v>134</v>
      </c>
      <c r="C1238" s="8" t="s">
        <v>2381</v>
      </c>
      <c r="D1238" s="8">
        <v>4</v>
      </c>
      <c r="E1238" s="8" t="s">
        <v>2413</v>
      </c>
      <c r="F1238" s="8" t="s">
        <v>274</v>
      </c>
      <c r="G1238" s="8" t="s">
        <v>2383</v>
      </c>
      <c r="H1238" s="10">
        <v>6</v>
      </c>
      <c r="I1238" s="10"/>
      <c r="J1238" s="10">
        <v>6</v>
      </c>
      <c r="K1238" s="10">
        <v>1989.64</v>
      </c>
    </row>
    <row r="1239" spans="1:11" x14ac:dyDescent="0.25">
      <c r="A1239" s="8" t="s">
        <v>2419</v>
      </c>
      <c r="B1239" s="8" t="s">
        <v>124</v>
      </c>
      <c r="C1239" s="8" t="s">
        <v>2381</v>
      </c>
      <c r="D1239" s="8">
        <v>4</v>
      </c>
      <c r="E1239" s="8" t="s">
        <v>2420</v>
      </c>
      <c r="F1239" s="8" t="s">
        <v>911</v>
      </c>
      <c r="G1239" s="8" t="s">
        <v>2383</v>
      </c>
      <c r="H1239" s="10">
        <v>3</v>
      </c>
      <c r="I1239" s="10"/>
      <c r="J1239" s="10">
        <v>3</v>
      </c>
      <c r="K1239" s="10">
        <v>1989.64</v>
      </c>
    </row>
    <row r="1240" spans="1:11" x14ac:dyDescent="0.25">
      <c r="A1240" s="8" t="s">
        <v>2421</v>
      </c>
      <c r="B1240" s="8" t="s">
        <v>128</v>
      </c>
      <c r="C1240" s="8" t="s">
        <v>2381</v>
      </c>
      <c r="D1240" s="8">
        <v>4</v>
      </c>
      <c r="E1240" s="8" t="s">
        <v>2420</v>
      </c>
      <c r="F1240" s="8" t="s">
        <v>911</v>
      </c>
      <c r="G1240" s="8" t="s">
        <v>2383</v>
      </c>
      <c r="H1240" s="10">
        <v>2</v>
      </c>
      <c r="I1240" s="10"/>
      <c r="J1240" s="10">
        <v>2</v>
      </c>
      <c r="K1240" s="10">
        <v>1989.64</v>
      </c>
    </row>
    <row r="1241" spans="1:11" x14ac:dyDescent="0.25">
      <c r="A1241" s="8" t="s">
        <v>2422</v>
      </c>
      <c r="B1241" s="8" t="s">
        <v>949</v>
      </c>
      <c r="C1241" s="8" t="s">
        <v>2381</v>
      </c>
      <c r="D1241" s="8">
        <v>4</v>
      </c>
      <c r="E1241" s="8" t="s">
        <v>2420</v>
      </c>
      <c r="F1241" s="8" t="s">
        <v>911</v>
      </c>
      <c r="G1241" s="8" t="s">
        <v>2383</v>
      </c>
      <c r="H1241" s="10">
        <v>1</v>
      </c>
      <c r="I1241" s="10"/>
      <c r="J1241" s="10">
        <v>1</v>
      </c>
      <c r="K1241" s="10">
        <v>1989.64</v>
      </c>
    </row>
    <row r="1242" spans="1:11" x14ac:dyDescent="0.25">
      <c r="A1242" s="8" t="s">
        <v>2423</v>
      </c>
      <c r="B1242" s="8" t="s">
        <v>132</v>
      </c>
      <c r="C1242" s="8" t="s">
        <v>2381</v>
      </c>
      <c r="D1242" s="8">
        <v>4</v>
      </c>
      <c r="E1242" s="8" t="s">
        <v>2420</v>
      </c>
      <c r="F1242" s="8" t="s">
        <v>911</v>
      </c>
      <c r="G1242" s="8" t="s">
        <v>2383</v>
      </c>
      <c r="H1242" s="10">
        <v>1</v>
      </c>
      <c r="I1242" s="10"/>
      <c r="J1242" s="10">
        <v>1</v>
      </c>
      <c r="K1242" s="10">
        <v>1989.64</v>
      </c>
    </row>
    <row r="1243" spans="1:11" x14ac:dyDescent="0.25">
      <c r="A1243" s="8" t="s">
        <v>2424</v>
      </c>
      <c r="B1243" s="8" t="s">
        <v>134</v>
      </c>
      <c r="C1243" s="8" t="s">
        <v>2381</v>
      </c>
      <c r="D1243" s="8">
        <v>4</v>
      </c>
      <c r="E1243" s="8" t="s">
        <v>2420</v>
      </c>
      <c r="F1243" s="8" t="s">
        <v>911</v>
      </c>
      <c r="G1243" s="8" t="s">
        <v>2383</v>
      </c>
      <c r="H1243" s="10">
        <v>4</v>
      </c>
      <c r="I1243" s="10"/>
      <c r="J1243" s="10">
        <v>4</v>
      </c>
      <c r="K1243" s="10">
        <v>1989.64</v>
      </c>
    </row>
    <row r="1244" spans="1:11" x14ac:dyDescent="0.25">
      <c r="A1244" s="8" t="s">
        <v>2425</v>
      </c>
      <c r="B1244" s="8" t="s">
        <v>142</v>
      </c>
      <c r="C1244" s="8" t="s">
        <v>2381</v>
      </c>
      <c r="D1244" s="8">
        <v>4</v>
      </c>
      <c r="E1244" s="8" t="s">
        <v>2420</v>
      </c>
      <c r="F1244" s="8" t="s">
        <v>911</v>
      </c>
      <c r="G1244" s="8" t="s">
        <v>2383</v>
      </c>
      <c r="H1244" s="10">
        <v>1</v>
      </c>
      <c r="I1244" s="10"/>
      <c r="J1244" s="10">
        <v>1</v>
      </c>
      <c r="K1244" s="10">
        <v>1989.64</v>
      </c>
    </row>
    <row r="1245" spans="1:11" x14ac:dyDescent="0.25">
      <c r="A1245" s="8" t="s">
        <v>2426</v>
      </c>
      <c r="B1245" s="8" t="s">
        <v>118</v>
      </c>
      <c r="C1245" s="8" t="s">
        <v>2381</v>
      </c>
      <c r="D1245" s="8">
        <v>4</v>
      </c>
      <c r="E1245" s="8" t="s">
        <v>2427</v>
      </c>
      <c r="F1245" s="8" t="s">
        <v>911</v>
      </c>
      <c r="G1245" s="8" t="s">
        <v>2383</v>
      </c>
      <c r="H1245" s="10">
        <v>4</v>
      </c>
      <c r="I1245" s="10"/>
      <c r="J1245" s="10">
        <v>4</v>
      </c>
      <c r="K1245" s="10">
        <v>1989.64</v>
      </c>
    </row>
    <row r="1246" spans="1:11" x14ac:dyDescent="0.25">
      <c r="A1246" s="8" t="s">
        <v>2428</v>
      </c>
      <c r="B1246" s="8" t="s">
        <v>120</v>
      </c>
      <c r="C1246" s="8" t="s">
        <v>2381</v>
      </c>
      <c r="D1246" s="8">
        <v>4</v>
      </c>
      <c r="E1246" s="8" t="s">
        <v>2427</v>
      </c>
      <c r="F1246" s="8" t="s">
        <v>911</v>
      </c>
      <c r="G1246" s="8" t="s">
        <v>2383</v>
      </c>
      <c r="H1246" s="10">
        <v>4</v>
      </c>
      <c r="I1246" s="10"/>
      <c r="J1246" s="10">
        <v>4</v>
      </c>
      <c r="K1246" s="10">
        <v>1989.64</v>
      </c>
    </row>
    <row r="1247" spans="1:11" x14ac:dyDescent="0.25">
      <c r="A1247" s="8" t="s">
        <v>2429</v>
      </c>
      <c r="B1247" s="8" t="s">
        <v>80</v>
      </c>
      <c r="C1247" s="8" t="s">
        <v>2381</v>
      </c>
      <c r="D1247" s="8">
        <v>4</v>
      </c>
      <c r="E1247" s="8" t="s">
        <v>2427</v>
      </c>
      <c r="F1247" s="8" t="s">
        <v>911</v>
      </c>
      <c r="G1247" s="8" t="s">
        <v>2383</v>
      </c>
      <c r="H1247" s="10">
        <v>2</v>
      </c>
      <c r="I1247" s="10"/>
      <c r="J1247" s="10">
        <v>2</v>
      </c>
      <c r="K1247" s="10">
        <v>1989.64</v>
      </c>
    </row>
    <row r="1248" spans="1:11" x14ac:dyDescent="0.25">
      <c r="A1248" s="8" t="s">
        <v>2430</v>
      </c>
      <c r="B1248" s="8" t="s">
        <v>1029</v>
      </c>
      <c r="C1248" s="8" t="s">
        <v>2381</v>
      </c>
      <c r="D1248" s="8">
        <v>4</v>
      </c>
      <c r="E1248" s="8" t="s">
        <v>2427</v>
      </c>
      <c r="F1248" s="8" t="s">
        <v>911</v>
      </c>
      <c r="G1248" s="8" t="s">
        <v>2383</v>
      </c>
      <c r="H1248" s="10">
        <v>1</v>
      </c>
      <c r="I1248" s="10"/>
      <c r="J1248" s="10">
        <v>1</v>
      </c>
      <c r="K1248" s="10">
        <v>1989.64</v>
      </c>
    </row>
    <row r="1249" spans="1:11" x14ac:dyDescent="0.25">
      <c r="A1249" s="8" t="s">
        <v>2431</v>
      </c>
      <c r="B1249" s="8" t="s">
        <v>142</v>
      </c>
      <c r="C1249" s="8" t="s">
        <v>2381</v>
      </c>
      <c r="D1249" s="8">
        <v>4</v>
      </c>
      <c r="E1249" s="8" t="s">
        <v>2427</v>
      </c>
      <c r="F1249" s="8" t="s">
        <v>911</v>
      </c>
      <c r="G1249" s="8" t="s">
        <v>2383</v>
      </c>
      <c r="H1249" s="10">
        <v>1</v>
      </c>
      <c r="I1249" s="10"/>
      <c r="J1249" s="10">
        <v>1</v>
      </c>
      <c r="K1249" s="10">
        <v>1989.64</v>
      </c>
    </row>
    <row r="1250" spans="1:11" x14ac:dyDescent="0.25">
      <c r="A1250" s="8" t="s">
        <v>2432</v>
      </c>
      <c r="B1250" s="8" t="s">
        <v>120</v>
      </c>
      <c r="C1250" s="8" t="s">
        <v>2381</v>
      </c>
      <c r="D1250" s="8">
        <v>4</v>
      </c>
      <c r="E1250" s="8" t="s">
        <v>2433</v>
      </c>
      <c r="F1250" s="8" t="s">
        <v>215</v>
      </c>
      <c r="G1250" s="8" t="s">
        <v>2383</v>
      </c>
      <c r="H1250" s="10">
        <v>4</v>
      </c>
      <c r="I1250" s="10"/>
      <c r="J1250" s="10">
        <v>4</v>
      </c>
      <c r="K1250" s="10">
        <v>2984.46</v>
      </c>
    </row>
    <row r="1251" spans="1:11" x14ac:dyDescent="0.25">
      <c r="A1251" s="8" t="s">
        <v>2434</v>
      </c>
      <c r="B1251" s="8" t="s">
        <v>124</v>
      </c>
      <c r="C1251" s="8" t="s">
        <v>2381</v>
      </c>
      <c r="D1251" s="8">
        <v>4</v>
      </c>
      <c r="E1251" s="8" t="s">
        <v>2433</v>
      </c>
      <c r="F1251" s="8" t="s">
        <v>215</v>
      </c>
      <c r="G1251" s="8" t="s">
        <v>2383</v>
      </c>
      <c r="H1251" s="10">
        <v>13</v>
      </c>
      <c r="I1251" s="10"/>
      <c r="J1251" s="10">
        <v>13</v>
      </c>
      <c r="K1251" s="10">
        <v>2984.46</v>
      </c>
    </row>
    <row r="1252" spans="1:11" x14ac:dyDescent="0.25">
      <c r="A1252" s="8" t="s">
        <v>2435</v>
      </c>
      <c r="B1252" s="8" t="s">
        <v>78</v>
      </c>
      <c r="C1252" s="8" t="s">
        <v>2381</v>
      </c>
      <c r="D1252" s="8">
        <v>4</v>
      </c>
      <c r="E1252" s="8" t="s">
        <v>2433</v>
      </c>
      <c r="F1252" s="8" t="s">
        <v>215</v>
      </c>
      <c r="G1252" s="8" t="s">
        <v>2383</v>
      </c>
      <c r="H1252" s="10">
        <v>8</v>
      </c>
      <c r="I1252" s="10"/>
      <c r="J1252" s="10">
        <v>8</v>
      </c>
      <c r="K1252" s="10">
        <v>2984.46</v>
      </c>
    </row>
    <row r="1253" spans="1:11" x14ac:dyDescent="0.25">
      <c r="A1253" s="8" t="s">
        <v>2436</v>
      </c>
      <c r="B1253" s="8" t="s">
        <v>136</v>
      </c>
      <c r="C1253" s="8" t="s">
        <v>2381</v>
      </c>
      <c r="D1253" s="8">
        <v>4</v>
      </c>
      <c r="E1253" s="8" t="s">
        <v>2433</v>
      </c>
      <c r="F1253" s="8" t="s">
        <v>215</v>
      </c>
      <c r="G1253" s="8" t="s">
        <v>2383</v>
      </c>
      <c r="H1253" s="10">
        <v>6</v>
      </c>
      <c r="I1253" s="10"/>
      <c r="J1253" s="10">
        <v>6</v>
      </c>
      <c r="K1253" s="10">
        <v>2984.46</v>
      </c>
    </row>
    <row r="1254" spans="1:11" x14ac:dyDescent="0.25">
      <c r="A1254" s="8" t="s">
        <v>2437</v>
      </c>
      <c r="B1254" s="8" t="s">
        <v>80</v>
      </c>
      <c r="C1254" s="8" t="s">
        <v>2381</v>
      </c>
      <c r="D1254" s="8">
        <v>4</v>
      </c>
      <c r="E1254" s="8" t="s">
        <v>2433</v>
      </c>
      <c r="F1254" s="8" t="s">
        <v>215</v>
      </c>
      <c r="G1254" s="8" t="s">
        <v>2383</v>
      </c>
      <c r="H1254" s="10">
        <v>5</v>
      </c>
      <c r="I1254" s="10"/>
      <c r="J1254" s="10">
        <v>5</v>
      </c>
      <c r="K1254" s="10">
        <v>2984.46</v>
      </c>
    </row>
    <row r="1255" spans="1:11" x14ac:dyDescent="0.25">
      <c r="A1255" s="8" t="s">
        <v>2438</v>
      </c>
      <c r="B1255" s="8" t="s">
        <v>118</v>
      </c>
      <c r="C1255" s="8" t="s">
        <v>2381</v>
      </c>
      <c r="D1255" s="8">
        <v>4</v>
      </c>
      <c r="E1255" s="8" t="s">
        <v>2439</v>
      </c>
      <c r="F1255" s="8" t="s">
        <v>274</v>
      </c>
      <c r="G1255" s="8" t="s">
        <v>2383</v>
      </c>
      <c r="H1255" s="10">
        <v>4</v>
      </c>
      <c r="I1255" s="10"/>
      <c r="J1255" s="10">
        <v>4</v>
      </c>
      <c r="K1255" s="10">
        <v>2984.46</v>
      </c>
    </row>
    <row r="1256" spans="1:11" x14ac:dyDescent="0.25">
      <c r="A1256" s="8" t="s">
        <v>2440</v>
      </c>
      <c r="B1256" s="8" t="s">
        <v>120</v>
      </c>
      <c r="C1256" s="8" t="s">
        <v>2381</v>
      </c>
      <c r="D1256" s="8">
        <v>4</v>
      </c>
      <c r="E1256" s="8" t="s">
        <v>2439</v>
      </c>
      <c r="F1256" s="8" t="s">
        <v>274</v>
      </c>
      <c r="G1256" s="8" t="s">
        <v>2383</v>
      </c>
      <c r="H1256" s="10">
        <v>3</v>
      </c>
      <c r="I1256" s="10"/>
      <c r="J1256" s="10">
        <v>3</v>
      </c>
      <c r="K1256" s="10">
        <v>2984.46</v>
      </c>
    </row>
    <row r="1257" spans="1:11" x14ac:dyDescent="0.25">
      <c r="A1257" s="8" t="s">
        <v>2441</v>
      </c>
      <c r="B1257" s="8" t="s">
        <v>118</v>
      </c>
      <c r="C1257" s="8" t="s">
        <v>2381</v>
      </c>
      <c r="D1257" s="8">
        <v>4</v>
      </c>
      <c r="E1257" s="8" t="s">
        <v>2442</v>
      </c>
      <c r="F1257" s="8" t="s">
        <v>274</v>
      </c>
      <c r="G1257" s="8" t="s">
        <v>2383</v>
      </c>
      <c r="H1257" s="10">
        <v>1</v>
      </c>
      <c r="I1257" s="10"/>
      <c r="J1257" s="10">
        <v>1</v>
      </c>
      <c r="K1257" s="10">
        <v>2984.46</v>
      </c>
    </row>
    <row r="1258" spans="1:11" x14ac:dyDescent="0.25">
      <c r="A1258" s="8" t="s">
        <v>2443</v>
      </c>
      <c r="B1258" s="8" t="s">
        <v>120</v>
      </c>
      <c r="C1258" s="8" t="s">
        <v>2381</v>
      </c>
      <c r="D1258" s="8">
        <v>4</v>
      </c>
      <c r="E1258" s="8" t="s">
        <v>2442</v>
      </c>
      <c r="F1258" s="8" t="s">
        <v>274</v>
      </c>
      <c r="G1258" s="8" t="s">
        <v>2383</v>
      </c>
      <c r="H1258" s="10">
        <v>1</v>
      </c>
      <c r="I1258" s="10"/>
      <c r="J1258" s="10">
        <v>1</v>
      </c>
      <c r="K1258" s="10">
        <v>2984.46</v>
      </c>
    </row>
    <row r="1259" spans="1:11" x14ac:dyDescent="0.25">
      <c r="A1259" s="8" t="s">
        <v>2444</v>
      </c>
      <c r="B1259" s="8" t="s">
        <v>80</v>
      </c>
      <c r="C1259" s="8" t="s">
        <v>2381</v>
      </c>
      <c r="D1259" s="8">
        <v>4</v>
      </c>
      <c r="E1259" s="8" t="s">
        <v>2442</v>
      </c>
      <c r="F1259" s="8" t="s">
        <v>274</v>
      </c>
      <c r="G1259" s="8" t="s">
        <v>2383</v>
      </c>
      <c r="H1259" s="10">
        <v>7</v>
      </c>
      <c r="I1259" s="10"/>
      <c r="J1259" s="10">
        <v>7</v>
      </c>
      <c r="K1259" s="10">
        <v>2984.46</v>
      </c>
    </row>
    <row r="1260" spans="1:11" x14ac:dyDescent="0.25">
      <c r="A1260" s="8" t="s">
        <v>2445</v>
      </c>
      <c r="B1260" s="8" t="s">
        <v>1029</v>
      </c>
      <c r="C1260" s="8" t="s">
        <v>2381</v>
      </c>
      <c r="D1260" s="8">
        <v>4</v>
      </c>
      <c r="E1260" s="8" t="s">
        <v>2442</v>
      </c>
      <c r="F1260" s="8" t="s">
        <v>274</v>
      </c>
      <c r="G1260" s="8" t="s">
        <v>2383</v>
      </c>
      <c r="H1260" s="10">
        <v>1</v>
      </c>
      <c r="I1260" s="10"/>
      <c r="J1260" s="10">
        <v>1</v>
      </c>
      <c r="K1260" s="10">
        <v>2984.46</v>
      </c>
    </row>
    <row r="1261" spans="1:11" x14ac:dyDescent="0.25">
      <c r="A1261" s="8" t="s">
        <v>2446</v>
      </c>
      <c r="B1261" s="8" t="s">
        <v>142</v>
      </c>
      <c r="C1261" s="8" t="s">
        <v>2381</v>
      </c>
      <c r="D1261" s="8">
        <v>4</v>
      </c>
      <c r="E1261" s="8" t="s">
        <v>2442</v>
      </c>
      <c r="F1261" s="8" t="s">
        <v>274</v>
      </c>
      <c r="G1261" s="8" t="s">
        <v>2383</v>
      </c>
      <c r="H1261" s="10">
        <v>1</v>
      </c>
      <c r="I1261" s="10"/>
      <c r="J1261" s="10">
        <v>1</v>
      </c>
      <c r="K1261" s="10">
        <v>2984.46</v>
      </c>
    </row>
    <row r="1262" spans="1:11" x14ac:dyDescent="0.25">
      <c r="A1262" s="8" t="s">
        <v>2447</v>
      </c>
      <c r="B1262" s="8" t="s">
        <v>120</v>
      </c>
      <c r="C1262" s="8" t="s">
        <v>2381</v>
      </c>
      <c r="D1262" s="8">
        <v>4</v>
      </c>
      <c r="E1262" s="8" t="s">
        <v>2448</v>
      </c>
      <c r="F1262" s="8" t="s">
        <v>274</v>
      </c>
      <c r="G1262" s="8" t="s">
        <v>2383</v>
      </c>
      <c r="H1262" s="10">
        <v>2</v>
      </c>
      <c r="I1262" s="10"/>
      <c r="J1262" s="10">
        <v>2</v>
      </c>
      <c r="K1262" s="10">
        <v>2984.46</v>
      </c>
    </row>
    <row r="1263" spans="1:11" x14ac:dyDescent="0.25">
      <c r="A1263" s="8" t="s">
        <v>2449</v>
      </c>
      <c r="B1263" s="8" t="s">
        <v>128</v>
      </c>
      <c r="C1263" s="8" t="s">
        <v>2381</v>
      </c>
      <c r="D1263" s="8">
        <v>4</v>
      </c>
      <c r="E1263" s="8" t="s">
        <v>2448</v>
      </c>
      <c r="F1263" s="8" t="s">
        <v>274</v>
      </c>
      <c r="G1263" s="8" t="s">
        <v>2383</v>
      </c>
      <c r="H1263" s="10">
        <v>2</v>
      </c>
      <c r="I1263" s="10"/>
      <c r="J1263" s="10">
        <v>2</v>
      </c>
      <c r="K1263" s="10">
        <v>2984.46</v>
      </c>
    </row>
    <row r="1264" spans="1:11" x14ac:dyDescent="0.25">
      <c r="A1264" s="8" t="s">
        <v>2450</v>
      </c>
      <c r="B1264" s="8" t="s">
        <v>132</v>
      </c>
      <c r="C1264" s="8" t="s">
        <v>2381</v>
      </c>
      <c r="D1264" s="8">
        <v>4</v>
      </c>
      <c r="E1264" s="8" t="s">
        <v>2448</v>
      </c>
      <c r="F1264" s="8" t="s">
        <v>274</v>
      </c>
      <c r="G1264" s="8" t="s">
        <v>2383</v>
      </c>
      <c r="H1264" s="10">
        <v>1</v>
      </c>
      <c r="I1264" s="10"/>
      <c r="J1264" s="10">
        <v>1</v>
      </c>
      <c r="K1264" s="10">
        <v>2984.46</v>
      </c>
    </row>
    <row r="1265" spans="1:11" x14ac:dyDescent="0.25">
      <c r="A1265" s="8" t="s">
        <v>2451</v>
      </c>
      <c r="B1265" s="8" t="s">
        <v>116</v>
      </c>
      <c r="C1265" s="8" t="s">
        <v>2381</v>
      </c>
      <c r="D1265" s="8">
        <v>4</v>
      </c>
      <c r="E1265" s="8" t="s">
        <v>2452</v>
      </c>
      <c r="F1265" s="8" t="s">
        <v>215</v>
      </c>
      <c r="G1265" s="8" t="s">
        <v>2383</v>
      </c>
      <c r="H1265" s="10">
        <v>1</v>
      </c>
      <c r="I1265" s="10"/>
      <c r="J1265" s="10">
        <v>1</v>
      </c>
      <c r="K1265" s="10">
        <v>2984.46</v>
      </c>
    </row>
    <row r="1266" spans="1:11" x14ac:dyDescent="0.25">
      <c r="A1266" s="8" t="s">
        <v>2453</v>
      </c>
      <c r="B1266" s="8" t="s">
        <v>122</v>
      </c>
      <c r="C1266" s="8" t="s">
        <v>2381</v>
      </c>
      <c r="D1266" s="8">
        <v>4</v>
      </c>
      <c r="E1266" s="8" t="s">
        <v>2454</v>
      </c>
      <c r="F1266" s="8" t="s">
        <v>215</v>
      </c>
      <c r="G1266" s="8" t="s">
        <v>2383</v>
      </c>
      <c r="H1266" s="10">
        <v>2</v>
      </c>
      <c r="I1266" s="10"/>
      <c r="J1266" s="10">
        <v>2</v>
      </c>
      <c r="K1266" s="10">
        <v>2984.46</v>
      </c>
    </row>
    <row r="1267" spans="1:11" x14ac:dyDescent="0.25">
      <c r="A1267" s="8" t="s">
        <v>2455</v>
      </c>
      <c r="B1267" s="8" t="s">
        <v>72</v>
      </c>
      <c r="C1267" s="8" t="s">
        <v>2381</v>
      </c>
      <c r="D1267" s="8">
        <v>4</v>
      </c>
      <c r="E1267" s="8" t="s">
        <v>2456</v>
      </c>
      <c r="F1267" s="8" t="s">
        <v>215</v>
      </c>
      <c r="G1267" s="8" t="s">
        <v>2383</v>
      </c>
      <c r="H1267" s="10">
        <v>1</v>
      </c>
      <c r="I1267" s="10"/>
      <c r="J1267" s="10">
        <v>1</v>
      </c>
      <c r="K1267" s="10">
        <v>2984.46</v>
      </c>
    </row>
    <row r="1268" spans="1:11" x14ac:dyDescent="0.25">
      <c r="A1268" s="8" t="s">
        <v>2457</v>
      </c>
      <c r="B1268" s="8" t="s">
        <v>1029</v>
      </c>
      <c r="C1268" s="8" t="s">
        <v>2381</v>
      </c>
      <c r="D1268" s="8">
        <v>4</v>
      </c>
      <c r="E1268" s="8" t="s">
        <v>2456</v>
      </c>
      <c r="F1268" s="8" t="s">
        <v>215</v>
      </c>
      <c r="G1268" s="8" t="s">
        <v>2383</v>
      </c>
      <c r="H1268" s="10">
        <v>1</v>
      </c>
      <c r="I1268" s="10"/>
      <c r="J1268" s="10">
        <v>1</v>
      </c>
      <c r="K1268" s="10">
        <v>2984.46</v>
      </c>
    </row>
    <row r="1269" spans="1:11" x14ac:dyDescent="0.25">
      <c r="A1269" s="8" t="s">
        <v>2458</v>
      </c>
      <c r="B1269" s="8" t="s">
        <v>142</v>
      </c>
      <c r="C1269" s="8" t="s">
        <v>2381</v>
      </c>
      <c r="D1269" s="8">
        <v>4</v>
      </c>
      <c r="E1269" s="8" t="s">
        <v>2456</v>
      </c>
      <c r="F1269" s="8" t="s">
        <v>215</v>
      </c>
      <c r="G1269" s="8" t="s">
        <v>2383</v>
      </c>
      <c r="H1269" s="10">
        <v>1</v>
      </c>
      <c r="I1269" s="10"/>
      <c r="J1269" s="10">
        <v>1</v>
      </c>
      <c r="K1269" s="10">
        <v>2984.46</v>
      </c>
    </row>
    <row r="1270" spans="1:11" x14ac:dyDescent="0.25">
      <c r="A1270" s="8" t="s">
        <v>2459</v>
      </c>
      <c r="B1270" s="8" t="s">
        <v>120</v>
      </c>
      <c r="C1270" s="8" t="s">
        <v>2381</v>
      </c>
      <c r="D1270" s="8">
        <v>4</v>
      </c>
      <c r="E1270" s="8" t="s">
        <v>2460</v>
      </c>
      <c r="F1270" s="8" t="s">
        <v>215</v>
      </c>
      <c r="G1270" s="8" t="s">
        <v>2383</v>
      </c>
      <c r="H1270" s="10">
        <v>2</v>
      </c>
      <c r="I1270" s="10"/>
      <c r="J1270" s="10">
        <v>2</v>
      </c>
      <c r="K1270" s="10">
        <v>2984.46</v>
      </c>
    </row>
    <row r="1271" spans="1:11" x14ac:dyDescent="0.25">
      <c r="A1271" s="8" t="s">
        <v>2461</v>
      </c>
      <c r="B1271" s="8" t="s">
        <v>122</v>
      </c>
      <c r="C1271" s="8" t="s">
        <v>2381</v>
      </c>
      <c r="D1271" s="8">
        <v>4</v>
      </c>
      <c r="E1271" s="8" t="s">
        <v>2460</v>
      </c>
      <c r="F1271" s="8" t="s">
        <v>215</v>
      </c>
      <c r="G1271" s="8" t="s">
        <v>2383</v>
      </c>
      <c r="H1271" s="10">
        <v>1</v>
      </c>
      <c r="I1271" s="10"/>
      <c r="J1271" s="10">
        <v>1</v>
      </c>
      <c r="K1271" s="10">
        <v>2984.46</v>
      </c>
    </row>
    <row r="1272" spans="1:11" x14ac:dyDescent="0.25">
      <c r="A1272" s="8" t="s">
        <v>2462</v>
      </c>
      <c r="B1272" s="8" t="s">
        <v>72</v>
      </c>
      <c r="C1272" s="8" t="s">
        <v>2381</v>
      </c>
      <c r="D1272" s="8">
        <v>4</v>
      </c>
      <c r="E1272" s="8" t="s">
        <v>2463</v>
      </c>
      <c r="F1272" s="8" t="s">
        <v>215</v>
      </c>
      <c r="G1272" s="8" t="s">
        <v>2383</v>
      </c>
      <c r="H1272" s="10">
        <v>1</v>
      </c>
      <c r="I1272" s="10"/>
      <c r="J1272" s="10">
        <v>1</v>
      </c>
      <c r="K1272" s="10">
        <v>2984.46</v>
      </c>
    </row>
    <row r="1273" spans="1:11" x14ac:dyDescent="0.25">
      <c r="A1273" s="8" t="s">
        <v>2464</v>
      </c>
      <c r="B1273" s="8" t="s">
        <v>132</v>
      </c>
      <c r="C1273" s="8" t="s">
        <v>2381</v>
      </c>
      <c r="D1273" s="8">
        <v>4</v>
      </c>
      <c r="E1273" s="8" t="s">
        <v>2463</v>
      </c>
      <c r="F1273" s="8" t="s">
        <v>215</v>
      </c>
      <c r="G1273" s="8" t="s">
        <v>2383</v>
      </c>
      <c r="H1273" s="10">
        <v>1</v>
      </c>
      <c r="I1273" s="10"/>
      <c r="J1273" s="10">
        <v>1</v>
      </c>
      <c r="K1273" s="10">
        <v>2984.46</v>
      </c>
    </row>
    <row r="1274" spans="1:11" x14ac:dyDescent="0.25">
      <c r="A1274" s="8" t="s">
        <v>2465</v>
      </c>
      <c r="B1274" s="8" t="s">
        <v>1029</v>
      </c>
      <c r="C1274" s="8" t="s">
        <v>2381</v>
      </c>
      <c r="D1274" s="8">
        <v>4</v>
      </c>
      <c r="E1274" s="8" t="s">
        <v>2463</v>
      </c>
      <c r="F1274" s="8" t="s">
        <v>215</v>
      </c>
      <c r="G1274" s="8" t="s">
        <v>2383</v>
      </c>
      <c r="H1274" s="10">
        <v>1</v>
      </c>
      <c r="I1274" s="10"/>
      <c r="J1274" s="10">
        <v>1</v>
      </c>
      <c r="K1274" s="10">
        <v>2984.46</v>
      </c>
    </row>
    <row r="1275" spans="1:11" x14ac:dyDescent="0.25">
      <c r="A1275" s="8" t="s">
        <v>2466</v>
      </c>
      <c r="B1275" s="8" t="s">
        <v>128</v>
      </c>
      <c r="C1275" s="8" t="s">
        <v>2381</v>
      </c>
      <c r="D1275" s="8">
        <v>4</v>
      </c>
      <c r="E1275" s="8" t="s">
        <v>2467</v>
      </c>
      <c r="F1275" s="8" t="s">
        <v>215</v>
      </c>
      <c r="G1275" s="8" t="s">
        <v>2383</v>
      </c>
      <c r="H1275" s="10">
        <v>3</v>
      </c>
      <c r="I1275" s="10"/>
      <c r="J1275" s="10">
        <v>3</v>
      </c>
      <c r="K1275" s="10">
        <v>2984.46</v>
      </c>
    </row>
    <row r="1276" spans="1:11" x14ac:dyDescent="0.25">
      <c r="A1276" s="8" t="s">
        <v>2468</v>
      </c>
      <c r="B1276" s="8" t="s">
        <v>122</v>
      </c>
      <c r="C1276" s="8" t="s">
        <v>2381</v>
      </c>
      <c r="D1276" s="8">
        <v>4</v>
      </c>
      <c r="E1276" s="8" t="s">
        <v>2469</v>
      </c>
      <c r="F1276" s="8" t="s">
        <v>215</v>
      </c>
      <c r="G1276" s="8" t="s">
        <v>2383</v>
      </c>
      <c r="H1276" s="10">
        <v>2</v>
      </c>
      <c r="I1276" s="10"/>
      <c r="J1276" s="10">
        <v>2</v>
      </c>
      <c r="K1276" s="10">
        <v>2984.46</v>
      </c>
    </row>
    <row r="1277" spans="1:11" x14ac:dyDescent="0.25">
      <c r="A1277" s="8" t="s">
        <v>2470</v>
      </c>
      <c r="B1277" s="8" t="s">
        <v>134</v>
      </c>
      <c r="C1277" s="8" t="s">
        <v>2381</v>
      </c>
      <c r="D1277" s="8">
        <v>4</v>
      </c>
      <c r="E1277" s="8" t="s">
        <v>2469</v>
      </c>
      <c r="F1277" s="8" t="s">
        <v>215</v>
      </c>
      <c r="G1277" s="8" t="s">
        <v>2383</v>
      </c>
      <c r="H1277" s="10">
        <v>1</v>
      </c>
      <c r="I1277" s="10"/>
      <c r="J1277" s="10">
        <v>1</v>
      </c>
      <c r="K1277" s="10">
        <v>2984.46</v>
      </c>
    </row>
    <row r="1278" spans="1:11" x14ac:dyDescent="0.25">
      <c r="A1278" s="8" t="s">
        <v>2471</v>
      </c>
      <c r="B1278" s="8" t="s">
        <v>142</v>
      </c>
      <c r="C1278" s="8" t="s">
        <v>2381</v>
      </c>
      <c r="D1278" s="8">
        <v>4</v>
      </c>
      <c r="E1278" s="8" t="s">
        <v>2469</v>
      </c>
      <c r="F1278" s="8" t="s">
        <v>215</v>
      </c>
      <c r="G1278" s="8" t="s">
        <v>2383</v>
      </c>
      <c r="H1278" s="10">
        <v>1</v>
      </c>
      <c r="I1278" s="10"/>
      <c r="J1278" s="10">
        <v>1</v>
      </c>
      <c r="K1278" s="10">
        <v>2984.46</v>
      </c>
    </row>
    <row r="1279" spans="1:11" x14ac:dyDescent="0.25">
      <c r="A1279" s="8" t="s">
        <v>2472</v>
      </c>
      <c r="B1279" s="8" t="s">
        <v>72</v>
      </c>
      <c r="C1279" s="8" t="s">
        <v>2381</v>
      </c>
      <c r="D1279" s="8">
        <v>4</v>
      </c>
      <c r="E1279" s="8" t="s">
        <v>2473</v>
      </c>
      <c r="F1279" s="8" t="s">
        <v>215</v>
      </c>
      <c r="G1279" s="8" t="s">
        <v>2383</v>
      </c>
      <c r="H1279" s="10">
        <v>2</v>
      </c>
      <c r="I1279" s="10"/>
      <c r="J1279" s="10">
        <v>2</v>
      </c>
      <c r="K1279" s="10">
        <v>2984.46</v>
      </c>
    </row>
    <row r="1280" spans="1:11" x14ac:dyDescent="0.25">
      <c r="A1280" s="8" t="s">
        <v>2474</v>
      </c>
      <c r="B1280" s="8" t="s">
        <v>122</v>
      </c>
      <c r="C1280" s="8" t="s">
        <v>2381</v>
      </c>
      <c r="D1280" s="8">
        <v>4</v>
      </c>
      <c r="E1280" s="8" t="s">
        <v>2473</v>
      </c>
      <c r="F1280" s="8" t="s">
        <v>215</v>
      </c>
      <c r="G1280" s="8" t="s">
        <v>2383</v>
      </c>
      <c r="H1280" s="10">
        <v>2</v>
      </c>
      <c r="I1280" s="10"/>
      <c r="J1280" s="10">
        <v>2</v>
      </c>
      <c r="K1280" s="10">
        <v>2984.46</v>
      </c>
    </row>
    <row r="1281" spans="1:11" x14ac:dyDescent="0.25">
      <c r="A1281" s="8" t="s">
        <v>2475</v>
      </c>
      <c r="B1281" s="8" t="s">
        <v>124</v>
      </c>
      <c r="C1281" s="8" t="s">
        <v>2381</v>
      </c>
      <c r="D1281" s="8">
        <v>4</v>
      </c>
      <c r="E1281" s="8" t="s">
        <v>2476</v>
      </c>
      <c r="F1281" s="8" t="s">
        <v>215</v>
      </c>
      <c r="G1281" s="8" t="s">
        <v>2383</v>
      </c>
      <c r="H1281" s="10">
        <v>4</v>
      </c>
      <c r="I1281" s="10"/>
      <c r="J1281" s="10">
        <v>4</v>
      </c>
      <c r="K1281" s="10">
        <v>2984.46</v>
      </c>
    </row>
    <row r="1282" spans="1:11" x14ac:dyDescent="0.25">
      <c r="A1282" s="8" t="s">
        <v>2477</v>
      </c>
      <c r="B1282" s="8" t="s">
        <v>72</v>
      </c>
      <c r="C1282" s="8" t="s">
        <v>2381</v>
      </c>
      <c r="D1282" s="8">
        <v>4</v>
      </c>
      <c r="E1282" s="8" t="s">
        <v>2478</v>
      </c>
      <c r="F1282" s="8" t="s">
        <v>215</v>
      </c>
      <c r="G1282" s="8" t="s">
        <v>2383</v>
      </c>
      <c r="H1282" s="10">
        <v>1</v>
      </c>
      <c r="I1282" s="10"/>
      <c r="J1282" s="10">
        <v>1</v>
      </c>
      <c r="K1282" s="10">
        <v>2984.46</v>
      </c>
    </row>
    <row r="1283" spans="1:11" x14ac:dyDescent="0.25">
      <c r="A1283" s="8" t="s">
        <v>2479</v>
      </c>
      <c r="B1283" s="8" t="s">
        <v>118</v>
      </c>
      <c r="C1283" s="8" t="s">
        <v>2381</v>
      </c>
      <c r="D1283" s="8">
        <v>4</v>
      </c>
      <c r="E1283" s="8" t="s">
        <v>2478</v>
      </c>
      <c r="F1283" s="8" t="s">
        <v>215</v>
      </c>
      <c r="G1283" s="8" t="s">
        <v>2383</v>
      </c>
      <c r="H1283" s="10">
        <v>1</v>
      </c>
      <c r="I1283" s="10"/>
      <c r="J1283" s="10">
        <v>1</v>
      </c>
      <c r="K1283" s="10">
        <v>2984.46</v>
      </c>
    </row>
    <row r="1284" spans="1:11" x14ac:dyDescent="0.25">
      <c r="A1284" s="8" t="s">
        <v>2480</v>
      </c>
      <c r="B1284" s="8" t="s">
        <v>120</v>
      </c>
      <c r="C1284" s="8" t="s">
        <v>2381</v>
      </c>
      <c r="D1284" s="8">
        <v>4</v>
      </c>
      <c r="E1284" s="8" t="s">
        <v>2478</v>
      </c>
      <c r="F1284" s="8" t="s">
        <v>215</v>
      </c>
      <c r="G1284" s="8" t="s">
        <v>2383</v>
      </c>
      <c r="H1284" s="10">
        <v>4</v>
      </c>
      <c r="I1284" s="10"/>
      <c r="J1284" s="10">
        <v>4</v>
      </c>
      <c r="K1284" s="10">
        <v>2984.46</v>
      </c>
    </row>
    <row r="1285" spans="1:11" x14ac:dyDescent="0.25">
      <c r="A1285" s="8" t="s">
        <v>2481</v>
      </c>
      <c r="B1285" s="8" t="s">
        <v>120</v>
      </c>
      <c r="C1285" s="8" t="s">
        <v>2381</v>
      </c>
      <c r="D1285" s="8">
        <v>4</v>
      </c>
      <c r="E1285" s="8" t="s">
        <v>2482</v>
      </c>
      <c r="F1285" s="8" t="s">
        <v>215</v>
      </c>
      <c r="G1285" s="8" t="s">
        <v>2383</v>
      </c>
      <c r="H1285" s="10">
        <v>5</v>
      </c>
      <c r="I1285" s="10"/>
      <c r="J1285" s="10">
        <v>5</v>
      </c>
      <c r="K1285" s="10">
        <v>2984.46</v>
      </c>
    </row>
    <row r="1286" spans="1:11" x14ac:dyDescent="0.25">
      <c r="A1286" s="8" t="s">
        <v>2483</v>
      </c>
      <c r="B1286" s="8" t="s">
        <v>124</v>
      </c>
      <c r="C1286" s="8" t="s">
        <v>2381</v>
      </c>
      <c r="D1286" s="8">
        <v>4</v>
      </c>
      <c r="E1286" s="8" t="s">
        <v>2484</v>
      </c>
      <c r="F1286" s="8" t="s">
        <v>215</v>
      </c>
      <c r="G1286" s="8" t="s">
        <v>2383</v>
      </c>
      <c r="H1286" s="10">
        <v>2</v>
      </c>
      <c r="I1286" s="10"/>
      <c r="J1286" s="10">
        <v>2</v>
      </c>
      <c r="K1286" s="10">
        <v>2984.46</v>
      </c>
    </row>
    <row r="1287" spans="1:11" x14ac:dyDescent="0.25">
      <c r="A1287" s="8" t="s">
        <v>2485</v>
      </c>
      <c r="B1287" s="8" t="s">
        <v>120</v>
      </c>
      <c r="C1287" s="8" t="s">
        <v>2381</v>
      </c>
      <c r="D1287" s="8">
        <v>4</v>
      </c>
      <c r="E1287" s="8" t="s">
        <v>2486</v>
      </c>
      <c r="F1287" s="8" t="s">
        <v>215</v>
      </c>
      <c r="G1287" s="8" t="s">
        <v>2383</v>
      </c>
      <c r="H1287" s="10">
        <v>2</v>
      </c>
      <c r="I1287" s="10"/>
      <c r="J1287" s="10">
        <v>2</v>
      </c>
      <c r="K1287" s="10">
        <v>2984.46</v>
      </c>
    </row>
    <row r="1288" spans="1:11" x14ac:dyDescent="0.25">
      <c r="A1288" s="8" t="s">
        <v>2487</v>
      </c>
      <c r="B1288" s="8" t="s">
        <v>124</v>
      </c>
      <c r="C1288" s="8" t="s">
        <v>2381</v>
      </c>
      <c r="D1288" s="8">
        <v>4</v>
      </c>
      <c r="E1288" s="8" t="s">
        <v>2488</v>
      </c>
      <c r="F1288" s="8" t="s">
        <v>215</v>
      </c>
      <c r="G1288" s="8" t="s">
        <v>2383</v>
      </c>
      <c r="H1288" s="10">
        <v>2</v>
      </c>
      <c r="I1288" s="10"/>
      <c r="J1288" s="10">
        <v>2</v>
      </c>
      <c r="K1288" s="10">
        <v>2984.46</v>
      </c>
    </row>
    <row r="1289" spans="1:11" x14ac:dyDescent="0.25">
      <c r="A1289" s="8" t="s">
        <v>2489</v>
      </c>
      <c r="B1289" s="8" t="s">
        <v>120</v>
      </c>
      <c r="C1289" s="8" t="s">
        <v>2381</v>
      </c>
      <c r="D1289" s="8">
        <v>4</v>
      </c>
      <c r="E1289" s="8" t="s">
        <v>2490</v>
      </c>
      <c r="F1289" s="8" t="s">
        <v>215</v>
      </c>
      <c r="G1289" s="8" t="s">
        <v>2383</v>
      </c>
      <c r="H1289" s="10">
        <v>2</v>
      </c>
      <c r="I1289" s="10"/>
      <c r="J1289" s="10">
        <v>2</v>
      </c>
      <c r="K1289" s="10">
        <v>2984.46</v>
      </c>
    </row>
    <row r="1290" spans="1:11" x14ac:dyDescent="0.25">
      <c r="A1290" s="8" t="s">
        <v>2491</v>
      </c>
      <c r="B1290" s="8" t="s">
        <v>124</v>
      </c>
      <c r="C1290" s="8" t="s">
        <v>2381</v>
      </c>
      <c r="D1290" s="8">
        <v>4</v>
      </c>
      <c r="E1290" s="8" t="s">
        <v>2492</v>
      </c>
      <c r="F1290" s="8" t="s">
        <v>215</v>
      </c>
      <c r="G1290" s="8" t="s">
        <v>2383</v>
      </c>
      <c r="H1290" s="10">
        <v>4</v>
      </c>
      <c r="I1290" s="10"/>
      <c r="J1290" s="10">
        <v>4</v>
      </c>
      <c r="K1290" s="10">
        <v>2984.46</v>
      </c>
    </row>
    <row r="1291" spans="1:11" x14ac:dyDescent="0.25">
      <c r="A1291" s="8" t="s">
        <v>2493</v>
      </c>
      <c r="B1291" s="8" t="s">
        <v>72</v>
      </c>
      <c r="C1291" s="8" t="s">
        <v>2381</v>
      </c>
      <c r="D1291" s="8">
        <v>4</v>
      </c>
      <c r="E1291" s="8" t="s">
        <v>2494</v>
      </c>
      <c r="F1291" s="8" t="s">
        <v>215</v>
      </c>
      <c r="G1291" s="8" t="s">
        <v>2383</v>
      </c>
      <c r="H1291" s="10">
        <v>1</v>
      </c>
      <c r="I1291" s="10"/>
      <c r="J1291" s="10">
        <v>1</v>
      </c>
      <c r="K1291" s="10">
        <v>2984.46</v>
      </c>
    </row>
    <row r="1292" spans="1:11" x14ac:dyDescent="0.25">
      <c r="A1292" s="8" t="s">
        <v>2495</v>
      </c>
      <c r="B1292" s="8" t="s">
        <v>78</v>
      </c>
      <c r="C1292" s="8" t="s">
        <v>2381</v>
      </c>
      <c r="D1292" s="8">
        <v>4</v>
      </c>
      <c r="E1292" s="8" t="s">
        <v>2496</v>
      </c>
      <c r="F1292" s="8" t="s">
        <v>215</v>
      </c>
      <c r="G1292" s="8" t="s">
        <v>2383</v>
      </c>
      <c r="H1292" s="10">
        <v>2</v>
      </c>
      <c r="I1292" s="10"/>
      <c r="J1292" s="10">
        <v>2</v>
      </c>
      <c r="K1292" s="10">
        <v>2984.46</v>
      </c>
    </row>
    <row r="1293" spans="1:11" x14ac:dyDescent="0.25">
      <c r="A1293" s="8" t="s">
        <v>2497</v>
      </c>
      <c r="B1293" s="8" t="s">
        <v>78</v>
      </c>
      <c r="C1293" s="8" t="s">
        <v>2381</v>
      </c>
      <c r="D1293" s="8">
        <v>4</v>
      </c>
      <c r="E1293" s="8" t="s">
        <v>2498</v>
      </c>
      <c r="F1293" s="8" t="s">
        <v>215</v>
      </c>
      <c r="G1293" s="8" t="s">
        <v>2383</v>
      </c>
      <c r="H1293" s="10">
        <v>2</v>
      </c>
      <c r="I1293" s="10"/>
      <c r="J1293" s="10">
        <v>2</v>
      </c>
      <c r="K1293" s="10">
        <v>2984.46</v>
      </c>
    </row>
    <row r="1294" spans="1:11" x14ac:dyDescent="0.25">
      <c r="A1294" s="8" t="s">
        <v>2499</v>
      </c>
      <c r="B1294" s="8" t="s">
        <v>72</v>
      </c>
      <c r="C1294" s="8" t="s">
        <v>2381</v>
      </c>
      <c r="D1294" s="8">
        <v>4</v>
      </c>
      <c r="E1294" s="8" t="s">
        <v>2500</v>
      </c>
      <c r="F1294" s="8" t="s">
        <v>215</v>
      </c>
      <c r="G1294" s="8" t="s">
        <v>2383</v>
      </c>
      <c r="H1294" s="10">
        <v>1</v>
      </c>
      <c r="I1294" s="10"/>
      <c r="J1294" s="10">
        <v>1</v>
      </c>
      <c r="K1294" s="10">
        <v>2984.46</v>
      </c>
    </row>
    <row r="1295" spans="1:11" x14ac:dyDescent="0.25">
      <c r="A1295" s="8" t="s">
        <v>2501</v>
      </c>
      <c r="B1295" s="8" t="s">
        <v>80</v>
      </c>
      <c r="C1295" s="8" t="s">
        <v>2381</v>
      </c>
      <c r="D1295" s="8">
        <v>4</v>
      </c>
      <c r="E1295" s="8" t="s">
        <v>2502</v>
      </c>
      <c r="F1295" s="8" t="s">
        <v>215</v>
      </c>
      <c r="G1295" s="8" t="s">
        <v>2383</v>
      </c>
      <c r="H1295" s="10">
        <v>1</v>
      </c>
      <c r="I1295" s="10"/>
      <c r="J1295" s="10">
        <v>1</v>
      </c>
      <c r="K1295" s="10">
        <v>2984.46</v>
      </c>
    </row>
    <row r="1296" spans="1:11" x14ac:dyDescent="0.25">
      <c r="A1296" s="8" t="s">
        <v>2503</v>
      </c>
      <c r="B1296" s="8" t="s">
        <v>128</v>
      </c>
      <c r="C1296" s="8" t="s">
        <v>2381</v>
      </c>
      <c r="D1296" s="8">
        <v>4</v>
      </c>
      <c r="E1296" s="8" t="s">
        <v>2504</v>
      </c>
      <c r="F1296" s="8" t="s">
        <v>215</v>
      </c>
      <c r="G1296" s="8" t="s">
        <v>2383</v>
      </c>
      <c r="H1296" s="10">
        <v>1</v>
      </c>
      <c r="I1296" s="10"/>
      <c r="J1296" s="10">
        <v>1</v>
      </c>
      <c r="K1296" s="10">
        <v>2984.46</v>
      </c>
    </row>
    <row r="1297" spans="1:11" x14ac:dyDescent="0.25">
      <c r="A1297" s="8" t="s">
        <v>2505</v>
      </c>
      <c r="B1297" s="8" t="s">
        <v>128</v>
      </c>
      <c r="C1297" s="8" t="s">
        <v>2381</v>
      </c>
      <c r="D1297" s="8">
        <v>4</v>
      </c>
      <c r="E1297" s="8" t="s">
        <v>2506</v>
      </c>
      <c r="F1297" s="8" t="s">
        <v>215</v>
      </c>
      <c r="G1297" s="8" t="s">
        <v>2383</v>
      </c>
      <c r="H1297" s="10">
        <v>1</v>
      </c>
      <c r="I1297" s="10"/>
      <c r="J1297" s="10">
        <v>1</v>
      </c>
      <c r="K1297" s="10">
        <v>2984.46</v>
      </c>
    </row>
    <row r="1298" spans="1:11" x14ac:dyDescent="0.25">
      <c r="A1298" s="8" t="s">
        <v>2507</v>
      </c>
      <c r="B1298" s="8" t="s">
        <v>134</v>
      </c>
      <c r="C1298" s="8" t="s">
        <v>2381</v>
      </c>
      <c r="D1298" s="8">
        <v>4</v>
      </c>
      <c r="E1298" s="8" t="s">
        <v>2508</v>
      </c>
      <c r="F1298" s="8" t="s">
        <v>215</v>
      </c>
      <c r="G1298" s="8" t="s">
        <v>2383</v>
      </c>
      <c r="H1298" s="10">
        <v>2</v>
      </c>
      <c r="I1298" s="10"/>
      <c r="J1298" s="10">
        <v>2</v>
      </c>
      <c r="K1298" s="10">
        <v>2984.46</v>
      </c>
    </row>
    <row r="1299" spans="1:11" x14ac:dyDescent="0.25">
      <c r="A1299" s="8" t="s">
        <v>2509</v>
      </c>
      <c r="B1299" s="8" t="s">
        <v>134</v>
      </c>
      <c r="C1299" s="8" t="s">
        <v>2381</v>
      </c>
      <c r="D1299" s="8">
        <v>4</v>
      </c>
      <c r="E1299" s="8" t="s">
        <v>2510</v>
      </c>
      <c r="F1299" s="8" t="s">
        <v>215</v>
      </c>
      <c r="G1299" s="8" t="s">
        <v>2383</v>
      </c>
      <c r="H1299" s="10">
        <v>8</v>
      </c>
      <c r="I1299" s="10"/>
      <c r="J1299" s="10">
        <v>8</v>
      </c>
      <c r="K1299" s="10">
        <v>2984.46</v>
      </c>
    </row>
    <row r="1300" spans="1:11" x14ac:dyDescent="0.25">
      <c r="A1300" s="8" t="s">
        <v>2511</v>
      </c>
      <c r="B1300" s="8" t="s">
        <v>136</v>
      </c>
      <c r="C1300" s="8" t="s">
        <v>2381</v>
      </c>
      <c r="D1300" s="8">
        <v>4</v>
      </c>
      <c r="E1300" s="8" t="s">
        <v>2512</v>
      </c>
      <c r="F1300" s="8" t="s">
        <v>215</v>
      </c>
      <c r="G1300" s="8" t="s">
        <v>2383</v>
      </c>
      <c r="H1300" s="10">
        <v>2</v>
      </c>
      <c r="I1300" s="10"/>
      <c r="J1300" s="10">
        <v>2</v>
      </c>
      <c r="K1300" s="10">
        <v>2984.46</v>
      </c>
    </row>
    <row r="1301" spans="1:11" x14ac:dyDescent="0.25">
      <c r="A1301" s="8" t="s">
        <v>2513</v>
      </c>
      <c r="B1301" s="8" t="s">
        <v>120</v>
      </c>
      <c r="C1301" s="8" t="s">
        <v>2381</v>
      </c>
      <c r="D1301" s="8">
        <v>4</v>
      </c>
      <c r="E1301" s="8" t="s">
        <v>2514</v>
      </c>
      <c r="F1301" s="8" t="s">
        <v>215</v>
      </c>
      <c r="G1301" s="8" t="s">
        <v>2383</v>
      </c>
      <c r="H1301" s="10">
        <v>1</v>
      </c>
      <c r="I1301" s="10"/>
      <c r="J1301" s="10">
        <v>1</v>
      </c>
      <c r="K1301" s="10">
        <v>1989.64</v>
      </c>
    </row>
    <row r="1302" spans="1:11" x14ac:dyDescent="0.25">
      <c r="A1302" s="8" t="s">
        <v>2515</v>
      </c>
      <c r="B1302" s="8" t="s">
        <v>132</v>
      </c>
      <c r="C1302" s="8" t="s">
        <v>2381</v>
      </c>
      <c r="D1302" s="8">
        <v>4</v>
      </c>
      <c r="E1302" s="8" t="s">
        <v>2514</v>
      </c>
      <c r="F1302" s="8" t="s">
        <v>215</v>
      </c>
      <c r="G1302" s="8" t="s">
        <v>2383</v>
      </c>
      <c r="H1302" s="10">
        <v>1</v>
      </c>
      <c r="I1302" s="10"/>
      <c r="J1302" s="10">
        <v>1</v>
      </c>
      <c r="K1302" s="10">
        <v>1989.64</v>
      </c>
    </row>
    <row r="1303" spans="1:11" x14ac:dyDescent="0.25">
      <c r="A1303" s="8" t="s">
        <v>2516</v>
      </c>
      <c r="B1303" s="8" t="s">
        <v>78</v>
      </c>
      <c r="C1303" s="8" t="s">
        <v>2381</v>
      </c>
      <c r="D1303" s="8">
        <v>4</v>
      </c>
      <c r="E1303" s="8" t="s">
        <v>2517</v>
      </c>
      <c r="F1303" s="8" t="s">
        <v>215</v>
      </c>
      <c r="G1303" s="8" t="s">
        <v>2383</v>
      </c>
      <c r="H1303" s="10">
        <v>1</v>
      </c>
      <c r="I1303" s="10"/>
      <c r="J1303" s="10">
        <v>1</v>
      </c>
      <c r="K1303" s="10">
        <v>1989.64</v>
      </c>
    </row>
    <row r="1304" spans="1:11" x14ac:dyDescent="0.25">
      <c r="A1304" s="8" t="s">
        <v>2518</v>
      </c>
      <c r="B1304" s="8" t="s">
        <v>120</v>
      </c>
      <c r="C1304" s="8" t="s">
        <v>2381</v>
      </c>
      <c r="D1304" s="8">
        <v>4</v>
      </c>
      <c r="E1304" s="8" t="s">
        <v>2519</v>
      </c>
      <c r="F1304" s="8" t="s">
        <v>215</v>
      </c>
      <c r="G1304" s="8" t="s">
        <v>2383</v>
      </c>
      <c r="H1304" s="10">
        <v>1</v>
      </c>
      <c r="I1304" s="10"/>
      <c r="J1304" s="10">
        <v>1</v>
      </c>
      <c r="K1304" s="10">
        <v>1989.64</v>
      </c>
    </row>
    <row r="1305" spans="1:11" x14ac:dyDescent="0.25">
      <c r="A1305" s="8" t="s">
        <v>2520</v>
      </c>
      <c r="B1305" s="8" t="s">
        <v>122</v>
      </c>
      <c r="C1305" s="8" t="s">
        <v>2381</v>
      </c>
      <c r="D1305" s="8">
        <v>4</v>
      </c>
      <c r="E1305" s="8" t="s">
        <v>2519</v>
      </c>
      <c r="F1305" s="8" t="s">
        <v>215</v>
      </c>
      <c r="G1305" s="8" t="s">
        <v>2383</v>
      </c>
      <c r="H1305" s="10">
        <v>3</v>
      </c>
      <c r="I1305" s="10"/>
      <c r="J1305" s="10">
        <v>3</v>
      </c>
      <c r="K1305" s="10">
        <v>1989.64</v>
      </c>
    </row>
    <row r="1306" spans="1:11" x14ac:dyDescent="0.25">
      <c r="A1306" s="8" t="s">
        <v>2521</v>
      </c>
      <c r="B1306" s="8" t="s">
        <v>128</v>
      </c>
      <c r="C1306" s="8" t="s">
        <v>2381</v>
      </c>
      <c r="D1306" s="8">
        <v>4</v>
      </c>
      <c r="E1306" s="8" t="s">
        <v>2522</v>
      </c>
      <c r="F1306" s="8" t="s">
        <v>215</v>
      </c>
      <c r="G1306" s="8" t="s">
        <v>2383</v>
      </c>
      <c r="H1306" s="10">
        <v>2</v>
      </c>
      <c r="I1306" s="10"/>
      <c r="J1306" s="10">
        <v>2</v>
      </c>
      <c r="K1306" s="10">
        <v>1989.64</v>
      </c>
    </row>
    <row r="1307" spans="1:11" x14ac:dyDescent="0.25">
      <c r="A1307" s="8" t="s">
        <v>2523</v>
      </c>
      <c r="B1307" s="8" t="s">
        <v>120</v>
      </c>
      <c r="C1307" s="8" t="s">
        <v>2381</v>
      </c>
      <c r="D1307" s="8">
        <v>4</v>
      </c>
      <c r="E1307" s="8" t="s">
        <v>2524</v>
      </c>
      <c r="F1307" s="8" t="s">
        <v>215</v>
      </c>
      <c r="G1307" s="8" t="s">
        <v>2383</v>
      </c>
      <c r="H1307" s="10">
        <v>2</v>
      </c>
      <c r="I1307" s="10"/>
      <c r="J1307" s="10">
        <v>2</v>
      </c>
      <c r="K1307" s="10">
        <v>2984.46</v>
      </c>
    </row>
    <row r="1308" spans="1:11" x14ac:dyDescent="0.25">
      <c r="A1308" s="8" t="s">
        <v>2525</v>
      </c>
      <c r="B1308" s="8" t="s">
        <v>116</v>
      </c>
      <c r="C1308" s="8" t="s">
        <v>2381</v>
      </c>
      <c r="D1308" s="8">
        <v>4</v>
      </c>
      <c r="E1308" s="8" t="s">
        <v>2526</v>
      </c>
      <c r="F1308" s="8" t="s">
        <v>215</v>
      </c>
      <c r="G1308" s="8" t="s">
        <v>2383</v>
      </c>
      <c r="H1308" s="10">
        <v>3</v>
      </c>
      <c r="I1308" s="10"/>
      <c r="J1308" s="10">
        <v>3</v>
      </c>
      <c r="K1308" s="10">
        <v>4263.2</v>
      </c>
    </row>
    <row r="1309" spans="1:11" x14ac:dyDescent="0.25">
      <c r="A1309" s="8" t="s">
        <v>2527</v>
      </c>
      <c r="B1309" s="8" t="s">
        <v>118</v>
      </c>
      <c r="C1309" s="8" t="s">
        <v>2381</v>
      </c>
      <c r="D1309" s="8">
        <v>4</v>
      </c>
      <c r="E1309" s="8" t="s">
        <v>2526</v>
      </c>
      <c r="F1309" s="8" t="s">
        <v>215</v>
      </c>
      <c r="G1309" s="8" t="s">
        <v>2383</v>
      </c>
      <c r="H1309" s="10">
        <v>9</v>
      </c>
      <c r="I1309" s="10"/>
      <c r="J1309" s="10">
        <v>9</v>
      </c>
      <c r="K1309" s="10">
        <v>4263.2</v>
      </c>
    </row>
    <row r="1310" spans="1:11" x14ac:dyDescent="0.25">
      <c r="A1310" s="8" t="s">
        <v>2528</v>
      </c>
      <c r="B1310" s="8" t="s">
        <v>120</v>
      </c>
      <c r="C1310" s="8" t="s">
        <v>2381</v>
      </c>
      <c r="D1310" s="8">
        <v>4</v>
      </c>
      <c r="E1310" s="8" t="s">
        <v>2526</v>
      </c>
      <c r="F1310" s="8" t="s">
        <v>215</v>
      </c>
      <c r="G1310" s="8" t="s">
        <v>2383</v>
      </c>
      <c r="H1310" s="10">
        <v>8</v>
      </c>
      <c r="I1310" s="10"/>
      <c r="J1310" s="10">
        <v>8</v>
      </c>
      <c r="K1310" s="10">
        <v>4263.2</v>
      </c>
    </row>
    <row r="1311" spans="1:11" x14ac:dyDescent="0.25">
      <c r="A1311" s="8" t="s">
        <v>2529</v>
      </c>
      <c r="B1311" s="8" t="s">
        <v>116</v>
      </c>
      <c r="C1311" s="8" t="s">
        <v>2381</v>
      </c>
      <c r="D1311" s="8">
        <v>4</v>
      </c>
      <c r="E1311" s="8" t="s">
        <v>2530</v>
      </c>
      <c r="F1311" s="8" t="s">
        <v>215</v>
      </c>
      <c r="G1311" s="8" t="s">
        <v>2383</v>
      </c>
      <c r="H1311" s="10">
        <v>9</v>
      </c>
      <c r="I1311" s="10"/>
      <c r="J1311" s="10">
        <v>9</v>
      </c>
      <c r="K1311" s="10">
        <v>4263.2</v>
      </c>
    </row>
    <row r="1312" spans="1:11" x14ac:dyDescent="0.25">
      <c r="A1312" s="8" t="s">
        <v>2531</v>
      </c>
      <c r="B1312" s="8" t="s">
        <v>118</v>
      </c>
      <c r="C1312" s="8" t="s">
        <v>2381</v>
      </c>
      <c r="D1312" s="8">
        <v>4</v>
      </c>
      <c r="E1312" s="8" t="s">
        <v>2530</v>
      </c>
      <c r="F1312" s="8" t="s">
        <v>215</v>
      </c>
      <c r="G1312" s="8" t="s">
        <v>2383</v>
      </c>
      <c r="H1312" s="10">
        <v>15</v>
      </c>
      <c r="I1312" s="10"/>
      <c r="J1312" s="10">
        <v>15</v>
      </c>
      <c r="K1312" s="10">
        <v>4263.2</v>
      </c>
    </row>
    <row r="1313" spans="1:11" x14ac:dyDescent="0.25">
      <c r="A1313" s="8" t="s">
        <v>2532</v>
      </c>
      <c r="B1313" s="8" t="s">
        <v>120</v>
      </c>
      <c r="C1313" s="8" t="s">
        <v>2381</v>
      </c>
      <c r="D1313" s="8">
        <v>4</v>
      </c>
      <c r="E1313" s="8" t="s">
        <v>2530</v>
      </c>
      <c r="F1313" s="8" t="s">
        <v>215</v>
      </c>
      <c r="G1313" s="8" t="s">
        <v>2383</v>
      </c>
      <c r="H1313" s="10">
        <v>12</v>
      </c>
      <c r="I1313" s="10"/>
      <c r="J1313" s="10">
        <v>12</v>
      </c>
      <c r="K1313" s="10">
        <v>4263.2</v>
      </c>
    </row>
    <row r="1314" spans="1:11" x14ac:dyDescent="0.25">
      <c r="A1314" s="8" t="s">
        <v>2533</v>
      </c>
      <c r="B1314" s="8" t="s">
        <v>116</v>
      </c>
      <c r="C1314" s="8" t="s">
        <v>2381</v>
      </c>
      <c r="D1314" s="8">
        <v>4</v>
      </c>
      <c r="E1314" s="8" t="s">
        <v>2534</v>
      </c>
      <c r="F1314" s="8" t="s">
        <v>215</v>
      </c>
      <c r="G1314" s="8" t="s">
        <v>2383</v>
      </c>
      <c r="H1314" s="10">
        <v>39</v>
      </c>
      <c r="I1314" s="10"/>
      <c r="J1314" s="10">
        <v>39</v>
      </c>
      <c r="K1314" s="10">
        <v>4263.2</v>
      </c>
    </row>
    <row r="1315" spans="1:11" x14ac:dyDescent="0.25">
      <c r="A1315" s="8" t="s">
        <v>2535</v>
      </c>
      <c r="B1315" s="8" t="s">
        <v>118</v>
      </c>
      <c r="C1315" s="8" t="s">
        <v>2381</v>
      </c>
      <c r="D1315" s="8">
        <v>4</v>
      </c>
      <c r="E1315" s="8" t="s">
        <v>2534</v>
      </c>
      <c r="F1315" s="8" t="s">
        <v>215</v>
      </c>
      <c r="G1315" s="8" t="s">
        <v>2383</v>
      </c>
      <c r="H1315" s="10">
        <v>39</v>
      </c>
      <c r="I1315" s="10"/>
      <c r="J1315" s="10">
        <v>39</v>
      </c>
      <c r="K1315" s="10">
        <v>4263.2</v>
      </c>
    </row>
    <row r="1316" spans="1:11" x14ac:dyDescent="0.25">
      <c r="A1316" s="8" t="s">
        <v>2536</v>
      </c>
      <c r="B1316" s="8" t="s">
        <v>120</v>
      </c>
      <c r="C1316" s="8" t="s">
        <v>2381</v>
      </c>
      <c r="D1316" s="8">
        <v>4</v>
      </c>
      <c r="E1316" s="8" t="s">
        <v>2534</v>
      </c>
      <c r="F1316" s="8" t="s">
        <v>215</v>
      </c>
      <c r="G1316" s="8" t="s">
        <v>2383</v>
      </c>
      <c r="H1316" s="10">
        <v>58</v>
      </c>
      <c r="I1316" s="10"/>
      <c r="J1316" s="10">
        <v>58</v>
      </c>
      <c r="K1316" s="10">
        <v>4263.2</v>
      </c>
    </row>
    <row r="1317" spans="1:11" x14ac:dyDescent="0.25">
      <c r="A1317" s="8" t="s">
        <v>2537</v>
      </c>
      <c r="B1317" s="8" t="s">
        <v>116</v>
      </c>
      <c r="C1317" s="8" t="s">
        <v>2381</v>
      </c>
      <c r="D1317" s="8">
        <v>4</v>
      </c>
      <c r="E1317" s="8" t="s">
        <v>2538</v>
      </c>
      <c r="F1317" s="8" t="s">
        <v>215</v>
      </c>
      <c r="G1317" s="8" t="s">
        <v>2383</v>
      </c>
      <c r="H1317" s="10">
        <v>3</v>
      </c>
      <c r="I1317" s="10"/>
      <c r="J1317" s="10">
        <v>3</v>
      </c>
      <c r="K1317" s="10">
        <v>1326.43</v>
      </c>
    </row>
    <row r="1318" spans="1:11" x14ac:dyDescent="0.25">
      <c r="A1318" s="8" t="s">
        <v>2539</v>
      </c>
      <c r="B1318" s="8" t="s">
        <v>118</v>
      </c>
      <c r="C1318" s="8" t="s">
        <v>2381</v>
      </c>
      <c r="D1318" s="8">
        <v>4</v>
      </c>
      <c r="E1318" s="8" t="s">
        <v>2538</v>
      </c>
      <c r="F1318" s="8" t="s">
        <v>215</v>
      </c>
      <c r="G1318" s="8" t="s">
        <v>2383</v>
      </c>
      <c r="H1318" s="10">
        <v>3</v>
      </c>
      <c r="I1318" s="10"/>
      <c r="J1318" s="10">
        <v>3</v>
      </c>
      <c r="K1318" s="10">
        <v>1326.43</v>
      </c>
    </row>
    <row r="1319" spans="1:11" x14ac:dyDescent="0.25">
      <c r="A1319" s="8" t="s">
        <v>2540</v>
      </c>
      <c r="B1319" s="8" t="s">
        <v>120</v>
      </c>
      <c r="C1319" s="8" t="s">
        <v>2381</v>
      </c>
      <c r="D1319" s="8">
        <v>4</v>
      </c>
      <c r="E1319" s="8" t="s">
        <v>2538</v>
      </c>
      <c r="F1319" s="8" t="s">
        <v>215</v>
      </c>
      <c r="G1319" s="8" t="s">
        <v>2383</v>
      </c>
      <c r="H1319" s="10">
        <v>3</v>
      </c>
      <c r="I1319" s="10"/>
      <c r="J1319" s="10">
        <v>3</v>
      </c>
      <c r="K1319" s="10">
        <v>1326.43</v>
      </c>
    </row>
    <row r="1320" spans="1:11" x14ac:dyDescent="0.25">
      <c r="A1320" s="8" t="s">
        <v>2541</v>
      </c>
      <c r="B1320" s="8" t="s">
        <v>116</v>
      </c>
      <c r="C1320" s="8" t="s">
        <v>2381</v>
      </c>
      <c r="D1320" s="8">
        <v>4</v>
      </c>
      <c r="E1320" s="8" t="s">
        <v>2542</v>
      </c>
      <c r="F1320" s="8" t="s">
        <v>215</v>
      </c>
      <c r="G1320" s="8" t="s">
        <v>2383</v>
      </c>
      <c r="H1320" s="10">
        <v>3</v>
      </c>
      <c r="I1320" s="10"/>
      <c r="J1320" s="10">
        <v>3</v>
      </c>
      <c r="K1320" s="10">
        <v>2009.65</v>
      </c>
    </row>
    <row r="1321" spans="1:11" x14ac:dyDescent="0.25">
      <c r="A1321" s="8" t="s">
        <v>2543</v>
      </c>
      <c r="B1321" s="8" t="s">
        <v>118</v>
      </c>
      <c r="C1321" s="8" t="s">
        <v>2381</v>
      </c>
      <c r="D1321" s="8">
        <v>4</v>
      </c>
      <c r="E1321" s="8" t="s">
        <v>2542</v>
      </c>
      <c r="F1321" s="8" t="s">
        <v>215</v>
      </c>
      <c r="G1321" s="8" t="s">
        <v>2383</v>
      </c>
      <c r="H1321" s="10">
        <v>2</v>
      </c>
      <c r="I1321" s="10"/>
      <c r="J1321" s="10">
        <v>2</v>
      </c>
      <c r="K1321" s="10">
        <v>2009.65</v>
      </c>
    </row>
    <row r="1322" spans="1:11" x14ac:dyDescent="0.25">
      <c r="A1322" s="8" t="s">
        <v>2544</v>
      </c>
      <c r="B1322" s="8" t="s">
        <v>120</v>
      </c>
      <c r="C1322" s="8" t="s">
        <v>2381</v>
      </c>
      <c r="D1322" s="8">
        <v>4</v>
      </c>
      <c r="E1322" s="8" t="s">
        <v>2542</v>
      </c>
      <c r="F1322" s="8" t="s">
        <v>215</v>
      </c>
      <c r="G1322" s="8" t="s">
        <v>2383</v>
      </c>
      <c r="H1322" s="10">
        <v>3</v>
      </c>
      <c r="I1322" s="10"/>
      <c r="J1322" s="10">
        <v>3</v>
      </c>
      <c r="K1322" s="10">
        <v>2009.65</v>
      </c>
    </row>
    <row r="1323" spans="1:11" x14ac:dyDescent="0.25">
      <c r="A1323" s="8" t="s">
        <v>2545</v>
      </c>
      <c r="B1323" s="8" t="s">
        <v>130</v>
      </c>
      <c r="C1323" s="8" t="s">
        <v>2381</v>
      </c>
      <c r="D1323" s="8">
        <v>4</v>
      </c>
      <c r="E1323" s="8" t="s">
        <v>2542</v>
      </c>
      <c r="F1323" s="8" t="s">
        <v>215</v>
      </c>
      <c r="G1323" s="8" t="s">
        <v>2383</v>
      </c>
      <c r="H1323" s="10">
        <v>1</v>
      </c>
      <c r="I1323" s="10"/>
      <c r="J1323" s="10">
        <v>1</v>
      </c>
      <c r="K1323" s="10">
        <v>2009.65</v>
      </c>
    </row>
    <row r="1324" spans="1:11" x14ac:dyDescent="0.25">
      <c r="A1324" s="8" t="s">
        <v>2546</v>
      </c>
      <c r="B1324" s="8" t="s">
        <v>128</v>
      </c>
      <c r="C1324" s="8" t="s">
        <v>1694</v>
      </c>
      <c r="D1324" s="8">
        <v>5</v>
      </c>
      <c r="E1324" s="8" t="s">
        <v>2547</v>
      </c>
      <c r="F1324" s="8" t="s">
        <v>911</v>
      </c>
      <c r="G1324" s="8" t="s">
        <v>2548</v>
      </c>
      <c r="H1324" s="10">
        <v>4</v>
      </c>
      <c r="I1324" s="10"/>
      <c r="J1324" s="10">
        <v>4</v>
      </c>
      <c r="K1324" s="10">
        <v>2152.75</v>
      </c>
    </row>
    <row r="1325" spans="1:11" x14ac:dyDescent="0.25">
      <c r="A1325" s="8" t="s">
        <v>2549</v>
      </c>
      <c r="B1325" s="8" t="s">
        <v>132</v>
      </c>
      <c r="C1325" s="8" t="s">
        <v>1694</v>
      </c>
      <c r="D1325" s="8">
        <v>5</v>
      </c>
      <c r="E1325" s="8" t="s">
        <v>2547</v>
      </c>
      <c r="F1325" s="8" t="s">
        <v>911</v>
      </c>
      <c r="G1325" s="8" t="s">
        <v>2548</v>
      </c>
      <c r="H1325" s="10">
        <v>8</v>
      </c>
      <c r="I1325" s="10"/>
      <c r="J1325" s="10">
        <v>8</v>
      </c>
      <c r="K1325" s="10">
        <v>2152.75</v>
      </c>
    </row>
    <row r="1326" spans="1:11" x14ac:dyDescent="0.25">
      <c r="A1326" s="8" t="s">
        <v>2550</v>
      </c>
      <c r="B1326" s="8" t="s">
        <v>136</v>
      </c>
      <c r="C1326" s="8" t="s">
        <v>1694</v>
      </c>
      <c r="D1326" s="8">
        <v>5</v>
      </c>
      <c r="E1326" s="8" t="s">
        <v>2551</v>
      </c>
      <c r="F1326" s="8" t="s">
        <v>911</v>
      </c>
      <c r="G1326" s="8" t="s">
        <v>2548</v>
      </c>
      <c r="H1326" s="10">
        <v>1</v>
      </c>
      <c r="I1326" s="10"/>
      <c r="J1326" s="10">
        <v>1</v>
      </c>
      <c r="K1326" s="10">
        <v>2152.75</v>
      </c>
    </row>
    <row r="1327" spans="1:11" x14ac:dyDescent="0.25">
      <c r="A1327" s="8" t="s">
        <v>2552</v>
      </c>
      <c r="B1327" s="8" t="s">
        <v>122</v>
      </c>
      <c r="C1327" s="8" t="s">
        <v>1694</v>
      </c>
      <c r="D1327" s="8">
        <v>5</v>
      </c>
      <c r="E1327" s="8" t="s">
        <v>2553</v>
      </c>
      <c r="F1327" s="8" t="s">
        <v>911</v>
      </c>
      <c r="G1327" s="8" t="s">
        <v>2548</v>
      </c>
      <c r="H1327" s="10">
        <v>2</v>
      </c>
      <c r="I1327" s="10"/>
      <c r="J1327" s="10">
        <v>2</v>
      </c>
      <c r="K1327" s="10">
        <v>2152.75</v>
      </c>
    </row>
    <row r="1328" spans="1:11" x14ac:dyDescent="0.25">
      <c r="A1328" s="8" t="s">
        <v>2554</v>
      </c>
      <c r="B1328" s="8" t="s">
        <v>132</v>
      </c>
      <c r="C1328" s="8" t="s">
        <v>1694</v>
      </c>
      <c r="D1328" s="8">
        <v>5</v>
      </c>
      <c r="E1328" s="8" t="s">
        <v>2555</v>
      </c>
      <c r="F1328" s="8" t="s">
        <v>911</v>
      </c>
      <c r="G1328" s="8" t="s">
        <v>2548</v>
      </c>
      <c r="H1328" s="10">
        <v>4</v>
      </c>
      <c r="I1328" s="10"/>
      <c r="J1328" s="10">
        <v>4</v>
      </c>
      <c r="K1328" s="10">
        <v>2152.75</v>
      </c>
    </row>
    <row r="1329" spans="1:11" x14ac:dyDescent="0.25">
      <c r="A1329" s="8" t="s">
        <v>2556</v>
      </c>
      <c r="B1329" s="8" t="s">
        <v>128</v>
      </c>
      <c r="C1329" s="8" t="s">
        <v>1694</v>
      </c>
      <c r="D1329" s="8">
        <v>5</v>
      </c>
      <c r="E1329" s="8" t="s">
        <v>2557</v>
      </c>
      <c r="F1329" s="8" t="s">
        <v>911</v>
      </c>
      <c r="G1329" s="8" t="s">
        <v>2548</v>
      </c>
      <c r="H1329" s="10">
        <v>6</v>
      </c>
      <c r="I1329" s="10"/>
      <c r="J1329" s="10">
        <v>6</v>
      </c>
      <c r="K1329" s="10">
        <v>2152.75</v>
      </c>
    </row>
    <row r="1330" spans="1:11" x14ac:dyDescent="0.25">
      <c r="A1330" s="8" t="s">
        <v>2558</v>
      </c>
      <c r="B1330" s="8" t="s">
        <v>78</v>
      </c>
      <c r="C1330" s="8" t="s">
        <v>1694</v>
      </c>
      <c r="D1330" s="8">
        <v>5</v>
      </c>
      <c r="E1330" s="8" t="s">
        <v>2559</v>
      </c>
      <c r="F1330" s="8" t="s">
        <v>911</v>
      </c>
      <c r="G1330" s="8" t="s">
        <v>2548</v>
      </c>
      <c r="H1330" s="10">
        <v>2</v>
      </c>
      <c r="I1330" s="10"/>
      <c r="J1330" s="10">
        <v>2</v>
      </c>
      <c r="K1330" s="10">
        <v>2210.63</v>
      </c>
    </row>
    <row r="1331" spans="1:11" x14ac:dyDescent="0.25">
      <c r="A1331" s="8" t="s">
        <v>2560</v>
      </c>
      <c r="B1331" s="8" t="s">
        <v>122</v>
      </c>
      <c r="C1331" s="8" t="s">
        <v>1694</v>
      </c>
      <c r="D1331" s="8">
        <v>5</v>
      </c>
      <c r="E1331" s="8" t="s">
        <v>2561</v>
      </c>
      <c r="F1331" s="8" t="s">
        <v>911</v>
      </c>
      <c r="G1331" s="8" t="s">
        <v>2548</v>
      </c>
      <c r="H1331" s="10">
        <v>4</v>
      </c>
      <c r="I1331" s="10"/>
      <c r="J1331" s="10">
        <v>4</v>
      </c>
      <c r="K1331" s="10">
        <v>2210.63</v>
      </c>
    </row>
    <row r="1332" spans="1:11" x14ac:dyDescent="0.25">
      <c r="A1332" s="8" t="s">
        <v>2562</v>
      </c>
      <c r="B1332" s="8" t="s">
        <v>124</v>
      </c>
      <c r="C1332" s="8" t="s">
        <v>1694</v>
      </c>
      <c r="D1332" s="8">
        <v>5</v>
      </c>
      <c r="E1332" s="8" t="s">
        <v>2561</v>
      </c>
      <c r="F1332" s="8" t="s">
        <v>911</v>
      </c>
      <c r="G1332" s="8" t="s">
        <v>2548</v>
      </c>
      <c r="H1332" s="10">
        <v>10</v>
      </c>
      <c r="I1332" s="10"/>
      <c r="J1332" s="10">
        <v>10</v>
      </c>
      <c r="K1332" s="10">
        <v>2210.63</v>
      </c>
    </row>
    <row r="1333" spans="1:11" x14ac:dyDescent="0.25">
      <c r="A1333" s="8" t="s">
        <v>2563</v>
      </c>
      <c r="B1333" s="8" t="s">
        <v>132</v>
      </c>
      <c r="C1333" s="8" t="s">
        <v>1694</v>
      </c>
      <c r="D1333" s="8">
        <v>5</v>
      </c>
      <c r="E1333" s="8" t="s">
        <v>2564</v>
      </c>
      <c r="F1333" s="8" t="s">
        <v>911</v>
      </c>
      <c r="G1333" s="8" t="s">
        <v>2548</v>
      </c>
      <c r="H1333" s="10">
        <v>4</v>
      </c>
      <c r="I1333" s="10"/>
      <c r="J1333" s="10">
        <v>4</v>
      </c>
      <c r="K1333" s="10">
        <v>2210.63</v>
      </c>
    </row>
    <row r="1334" spans="1:11" x14ac:dyDescent="0.25">
      <c r="A1334" s="8" t="s">
        <v>2565</v>
      </c>
      <c r="B1334" s="8" t="s">
        <v>120</v>
      </c>
      <c r="C1334" s="8" t="s">
        <v>1694</v>
      </c>
      <c r="D1334" s="8">
        <v>5</v>
      </c>
      <c r="E1334" s="8" t="s">
        <v>2566</v>
      </c>
      <c r="F1334" s="8" t="s">
        <v>911</v>
      </c>
      <c r="G1334" s="8" t="s">
        <v>2548</v>
      </c>
      <c r="H1334" s="10">
        <v>10</v>
      </c>
      <c r="I1334" s="10"/>
      <c r="J1334" s="10">
        <v>10</v>
      </c>
      <c r="K1334" s="10">
        <v>2210.63</v>
      </c>
    </row>
    <row r="1335" spans="1:11" x14ac:dyDescent="0.25">
      <c r="A1335" s="8" t="s">
        <v>2567</v>
      </c>
      <c r="B1335" s="8" t="s">
        <v>128</v>
      </c>
      <c r="C1335" s="8" t="s">
        <v>1694</v>
      </c>
      <c r="D1335" s="8">
        <v>5</v>
      </c>
      <c r="E1335" s="8" t="s">
        <v>2566</v>
      </c>
      <c r="F1335" s="8" t="s">
        <v>911</v>
      </c>
      <c r="G1335" s="8" t="s">
        <v>2548</v>
      </c>
      <c r="H1335" s="10">
        <v>12</v>
      </c>
      <c r="I1335" s="10"/>
      <c r="J1335" s="10">
        <v>12</v>
      </c>
      <c r="K1335" s="10">
        <v>2210.63</v>
      </c>
    </row>
    <row r="1336" spans="1:11" x14ac:dyDescent="0.25">
      <c r="A1336" s="8" t="s">
        <v>2568</v>
      </c>
      <c r="B1336" s="8" t="s">
        <v>949</v>
      </c>
      <c r="C1336" s="8" t="s">
        <v>1694</v>
      </c>
      <c r="D1336" s="8">
        <v>5</v>
      </c>
      <c r="E1336" s="8" t="s">
        <v>2566</v>
      </c>
      <c r="F1336" s="8" t="s">
        <v>911</v>
      </c>
      <c r="G1336" s="8" t="s">
        <v>2548</v>
      </c>
      <c r="H1336" s="10">
        <v>1</v>
      </c>
      <c r="I1336" s="10"/>
      <c r="J1336" s="10">
        <v>1</v>
      </c>
      <c r="K1336" s="10">
        <v>2210.63</v>
      </c>
    </row>
    <row r="1337" spans="1:11" x14ac:dyDescent="0.25">
      <c r="A1337" s="8" t="s">
        <v>2569</v>
      </c>
      <c r="B1337" s="8" t="s">
        <v>120</v>
      </c>
      <c r="C1337" s="8" t="s">
        <v>1694</v>
      </c>
      <c r="D1337" s="8">
        <v>5</v>
      </c>
      <c r="E1337" s="8" t="s">
        <v>2570</v>
      </c>
      <c r="F1337" s="8" t="s">
        <v>911</v>
      </c>
      <c r="G1337" s="8" t="s">
        <v>2548</v>
      </c>
      <c r="H1337" s="10">
        <v>8</v>
      </c>
      <c r="I1337" s="10"/>
      <c r="J1337" s="10">
        <v>8</v>
      </c>
      <c r="K1337" s="10">
        <v>2385.59</v>
      </c>
    </row>
    <row r="1338" spans="1:11" x14ac:dyDescent="0.25">
      <c r="A1338" s="8" t="s">
        <v>2571</v>
      </c>
      <c r="B1338" s="8" t="s">
        <v>78</v>
      </c>
      <c r="C1338" s="8" t="s">
        <v>1694</v>
      </c>
      <c r="D1338" s="8">
        <v>5</v>
      </c>
      <c r="E1338" s="8" t="s">
        <v>2572</v>
      </c>
      <c r="F1338" s="8" t="s">
        <v>911</v>
      </c>
      <c r="G1338" s="8" t="s">
        <v>2548</v>
      </c>
      <c r="H1338" s="10">
        <v>8</v>
      </c>
      <c r="I1338" s="10"/>
      <c r="J1338" s="10">
        <v>8</v>
      </c>
      <c r="K1338" s="10">
        <v>2385.59</v>
      </c>
    </row>
    <row r="1339" spans="1:11" x14ac:dyDescent="0.25">
      <c r="A1339" s="8" t="s">
        <v>2573</v>
      </c>
      <c r="B1339" s="8" t="s">
        <v>124</v>
      </c>
      <c r="C1339" s="8" t="s">
        <v>1694</v>
      </c>
      <c r="D1339" s="8">
        <v>5</v>
      </c>
      <c r="E1339" s="8" t="s">
        <v>2574</v>
      </c>
      <c r="F1339" s="8" t="s">
        <v>911</v>
      </c>
      <c r="G1339" s="8" t="s">
        <v>2548</v>
      </c>
      <c r="H1339" s="10">
        <v>19</v>
      </c>
      <c r="I1339" s="10"/>
      <c r="J1339" s="10">
        <v>19</v>
      </c>
      <c r="K1339" s="10">
        <v>2385.59</v>
      </c>
    </row>
    <row r="1340" spans="1:11" x14ac:dyDescent="0.25">
      <c r="A1340" s="8" t="s">
        <v>2575</v>
      </c>
      <c r="B1340" s="8" t="s">
        <v>122</v>
      </c>
      <c r="C1340" s="8" t="s">
        <v>1694</v>
      </c>
      <c r="D1340" s="8">
        <v>5</v>
      </c>
      <c r="E1340" s="8" t="s">
        <v>2576</v>
      </c>
      <c r="F1340" s="8" t="s">
        <v>911</v>
      </c>
      <c r="G1340" s="8" t="s">
        <v>2548</v>
      </c>
      <c r="H1340" s="10">
        <v>4</v>
      </c>
      <c r="I1340" s="10"/>
      <c r="J1340" s="10">
        <v>4</v>
      </c>
      <c r="K1340" s="10">
        <v>2385.59</v>
      </c>
    </row>
    <row r="1341" spans="1:11" x14ac:dyDescent="0.25">
      <c r="A1341" s="8" t="s">
        <v>2577</v>
      </c>
      <c r="B1341" s="8" t="s">
        <v>128</v>
      </c>
      <c r="C1341" s="8" t="s">
        <v>1694</v>
      </c>
      <c r="D1341" s="8">
        <v>5</v>
      </c>
      <c r="E1341" s="8" t="s">
        <v>2576</v>
      </c>
      <c r="F1341" s="8" t="s">
        <v>911</v>
      </c>
      <c r="G1341" s="8" t="s">
        <v>2548</v>
      </c>
      <c r="H1341" s="10">
        <v>2</v>
      </c>
      <c r="I1341" s="10"/>
      <c r="J1341" s="10">
        <v>2</v>
      </c>
      <c r="K1341" s="10">
        <v>2385.59</v>
      </c>
    </row>
    <row r="1342" spans="1:11" x14ac:dyDescent="0.25">
      <c r="A1342" s="8" t="s">
        <v>2578</v>
      </c>
      <c r="B1342" s="8" t="s">
        <v>78</v>
      </c>
      <c r="C1342" s="8" t="s">
        <v>1694</v>
      </c>
      <c r="D1342" s="8">
        <v>5</v>
      </c>
      <c r="E1342" s="8" t="s">
        <v>2579</v>
      </c>
      <c r="F1342" s="8" t="s">
        <v>911</v>
      </c>
      <c r="G1342" s="8" t="s">
        <v>2548</v>
      </c>
      <c r="H1342" s="10">
        <v>4</v>
      </c>
      <c r="I1342" s="10"/>
      <c r="J1342" s="10">
        <v>4</v>
      </c>
      <c r="K1342" s="10">
        <v>2385.59</v>
      </c>
    </row>
    <row r="1343" spans="1:11" x14ac:dyDescent="0.25">
      <c r="A1343" s="8" t="s">
        <v>2580</v>
      </c>
      <c r="B1343" s="8" t="s">
        <v>124</v>
      </c>
      <c r="C1343" s="8" t="s">
        <v>1694</v>
      </c>
      <c r="D1343" s="8">
        <v>5</v>
      </c>
      <c r="E1343" s="8" t="s">
        <v>2581</v>
      </c>
      <c r="F1343" s="8" t="s">
        <v>911</v>
      </c>
      <c r="G1343" s="8" t="s">
        <v>2548</v>
      </c>
      <c r="H1343" s="10">
        <v>5</v>
      </c>
      <c r="I1343" s="10"/>
      <c r="J1343" s="10">
        <v>5</v>
      </c>
      <c r="K1343" s="10">
        <v>2385.59</v>
      </c>
    </row>
    <row r="1344" spans="1:11" x14ac:dyDescent="0.25">
      <c r="A1344" s="8" t="s">
        <v>2582</v>
      </c>
      <c r="B1344" s="8" t="s">
        <v>128</v>
      </c>
      <c r="C1344" s="8" t="s">
        <v>1694</v>
      </c>
      <c r="D1344" s="8">
        <v>5</v>
      </c>
      <c r="E1344" s="8" t="s">
        <v>2583</v>
      </c>
      <c r="F1344" s="8" t="s">
        <v>911</v>
      </c>
      <c r="G1344" s="8" t="s">
        <v>2548</v>
      </c>
      <c r="H1344" s="10">
        <v>2</v>
      </c>
      <c r="I1344" s="10"/>
      <c r="J1344" s="10">
        <v>2</v>
      </c>
      <c r="K1344" s="10">
        <v>2385.59</v>
      </c>
    </row>
    <row r="1345" spans="1:11" x14ac:dyDescent="0.25">
      <c r="A1345" s="8" t="s">
        <v>2584</v>
      </c>
      <c r="B1345" s="8" t="s">
        <v>120</v>
      </c>
      <c r="C1345" s="8" t="s">
        <v>1694</v>
      </c>
      <c r="D1345" s="8">
        <v>5</v>
      </c>
      <c r="E1345" s="8" t="s">
        <v>2585</v>
      </c>
      <c r="F1345" s="8" t="s">
        <v>911</v>
      </c>
      <c r="G1345" s="8" t="s">
        <v>2548</v>
      </c>
      <c r="H1345" s="10">
        <v>4</v>
      </c>
      <c r="I1345" s="10"/>
      <c r="J1345" s="10">
        <v>4</v>
      </c>
      <c r="K1345" s="10">
        <v>2442.15</v>
      </c>
    </row>
    <row r="1346" spans="1:11" x14ac:dyDescent="0.25">
      <c r="A1346" s="8" t="s">
        <v>2586</v>
      </c>
      <c r="B1346" s="8" t="s">
        <v>124</v>
      </c>
      <c r="C1346" s="8" t="s">
        <v>1694</v>
      </c>
      <c r="D1346" s="8">
        <v>5</v>
      </c>
      <c r="E1346" s="8" t="s">
        <v>2587</v>
      </c>
      <c r="F1346" s="8" t="s">
        <v>911</v>
      </c>
      <c r="G1346" s="8" t="s">
        <v>2548</v>
      </c>
      <c r="H1346" s="10">
        <v>3</v>
      </c>
      <c r="I1346" s="10"/>
      <c r="J1346" s="10">
        <v>3</v>
      </c>
      <c r="K1346" s="10">
        <v>2442.15</v>
      </c>
    </row>
    <row r="1347" spans="1:11" x14ac:dyDescent="0.25">
      <c r="A1347" s="8" t="s">
        <v>2588</v>
      </c>
      <c r="B1347" s="8" t="s">
        <v>78</v>
      </c>
      <c r="C1347" s="8" t="s">
        <v>1694</v>
      </c>
      <c r="D1347" s="8">
        <v>5</v>
      </c>
      <c r="E1347" s="8" t="s">
        <v>2587</v>
      </c>
      <c r="F1347" s="8" t="s">
        <v>911</v>
      </c>
      <c r="G1347" s="8" t="s">
        <v>2548</v>
      </c>
      <c r="H1347" s="10">
        <v>4</v>
      </c>
      <c r="I1347" s="10"/>
      <c r="J1347" s="10">
        <v>4</v>
      </c>
      <c r="K1347" s="10">
        <v>2442.15</v>
      </c>
    </row>
    <row r="1348" spans="1:11" x14ac:dyDescent="0.25">
      <c r="A1348" s="8" t="s">
        <v>2589</v>
      </c>
      <c r="B1348" s="8" t="s">
        <v>122</v>
      </c>
      <c r="C1348" s="8" t="s">
        <v>1694</v>
      </c>
      <c r="D1348" s="8">
        <v>5</v>
      </c>
      <c r="E1348" s="8" t="s">
        <v>2590</v>
      </c>
      <c r="F1348" s="8" t="s">
        <v>911</v>
      </c>
      <c r="G1348" s="8" t="s">
        <v>2548</v>
      </c>
      <c r="H1348" s="10">
        <v>4</v>
      </c>
      <c r="I1348" s="10"/>
      <c r="J1348" s="10">
        <v>4</v>
      </c>
      <c r="K1348" s="10">
        <v>2468.46</v>
      </c>
    </row>
    <row r="1349" spans="1:11" x14ac:dyDescent="0.25">
      <c r="A1349" s="8" t="s">
        <v>2591</v>
      </c>
      <c r="B1349" s="8" t="s">
        <v>124</v>
      </c>
      <c r="C1349" s="8" t="s">
        <v>1694</v>
      </c>
      <c r="D1349" s="8">
        <v>5</v>
      </c>
      <c r="E1349" s="8" t="s">
        <v>2592</v>
      </c>
      <c r="F1349" s="8" t="s">
        <v>911</v>
      </c>
      <c r="G1349" s="8" t="s">
        <v>2548</v>
      </c>
      <c r="H1349" s="10">
        <v>6</v>
      </c>
      <c r="I1349" s="10"/>
      <c r="J1349" s="10">
        <v>6</v>
      </c>
      <c r="K1349" s="10">
        <v>2494.77</v>
      </c>
    </row>
    <row r="1350" spans="1:11" x14ac:dyDescent="0.25">
      <c r="A1350" s="8" t="s">
        <v>2593</v>
      </c>
      <c r="B1350" s="8" t="s">
        <v>124</v>
      </c>
      <c r="C1350" s="8" t="s">
        <v>1694</v>
      </c>
      <c r="D1350" s="8">
        <v>5</v>
      </c>
      <c r="E1350" s="8" t="s">
        <v>2594</v>
      </c>
      <c r="F1350" s="8" t="s">
        <v>911</v>
      </c>
      <c r="G1350" s="8" t="s">
        <v>2548</v>
      </c>
      <c r="H1350" s="10">
        <v>11</v>
      </c>
      <c r="I1350" s="10"/>
      <c r="J1350" s="10">
        <v>11</v>
      </c>
      <c r="K1350" s="10">
        <v>2665.78</v>
      </c>
    </row>
    <row r="1351" spans="1:11" x14ac:dyDescent="0.25">
      <c r="A1351" s="8" t="s">
        <v>2595</v>
      </c>
      <c r="B1351" s="8" t="s">
        <v>80</v>
      </c>
      <c r="C1351" s="8" t="s">
        <v>1694</v>
      </c>
      <c r="D1351" s="8">
        <v>5</v>
      </c>
      <c r="E1351" s="8" t="s">
        <v>2596</v>
      </c>
      <c r="F1351" s="8" t="s">
        <v>911</v>
      </c>
      <c r="G1351" s="8" t="s">
        <v>2548</v>
      </c>
      <c r="H1351" s="10">
        <v>2</v>
      </c>
      <c r="I1351" s="10"/>
      <c r="J1351" s="10">
        <v>2</v>
      </c>
      <c r="K1351" s="10">
        <v>3778.98</v>
      </c>
    </row>
    <row r="1352" spans="1:11" x14ac:dyDescent="0.25">
      <c r="A1352" s="8" t="s">
        <v>2597</v>
      </c>
      <c r="B1352" s="8" t="s">
        <v>122</v>
      </c>
      <c r="C1352" s="8" t="s">
        <v>1694</v>
      </c>
      <c r="D1352" s="8">
        <v>5</v>
      </c>
      <c r="E1352" s="8" t="s">
        <v>2598</v>
      </c>
      <c r="F1352" s="8" t="s">
        <v>911</v>
      </c>
      <c r="G1352" s="8" t="s">
        <v>2548</v>
      </c>
      <c r="H1352" s="10">
        <v>4</v>
      </c>
      <c r="I1352" s="10"/>
      <c r="J1352" s="10">
        <v>4</v>
      </c>
      <c r="K1352" s="10">
        <v>3778.98</v>
      </c>
    </row>
    <row r="1353" spans="1:11" x14ac:dyDescent="0.25">
      <c r="A1353" s="8" t="s">
        <v>2599</v>
      </c>
      <c r="B1353" s="8" t="s">
        <v>124</v>
      </c>
      <c r="C1353" s="8" t="s">
        <v>1694</v>
      </c>
      <c r="D1353" s="8">
        <v>5</v>
      </c>
      <c r="E1353" s="8" t="s">
        <v>2598</v>
      </c>
      <c r="F1353" s="8" t="s">
        <v>911</v>
      </c>
      <c r="G1353" s="8" t="s">
        <v>2548</v>
      </c>
      <c r="H1353" s="10">
        <v>8</v>
      </c>
      <c r="I1353" s="10"/>
      <c r="J1353" s="10">
        <v>8</v>
      </c>
      <c r="K1353" s="10">
        <v>3778.98</v>
      </c>
    </row>
    <row r="1354" spans="1:11" x14ac:dyDescent="0.25">
      <c r="A1354" s="8" t="s">
        <v>2600</v>
      </c>
      <c r="B1354" s="8" t="s">
        <v>124</v>
      </c>
      <c r="C1354" s="8" t="s">
        <v>1694</v>
      </c>
      <c r="D1354" s="8">
        <v>5</v>
      </c>
      <c r="E1354" s="8" t="s">
        <v>2601</v>
      </c>
      <c r="F1354" s="8" t="s">
        <v>911</v>
      </c>
      <c r="G1354" s="8" t="s">
        <v>2548</v>
      </c>
      <c r="H1354" s="10">
        <v>10</v>
      </c>
      <c r="I1354" s="10"/>
      <c r="J1354" s="10">
        <v>10</v>
      </c>
      <c r="K1354" s="10">
        <v>3797.4</v>
      </c>
    </row>
    <row r="1355" spans="1:11" x14ac:dyDescent="0.25">
      <c r="A1355" s="8" t="s">
        <v>2602</v>
      </c>
      <c r="B1355" s="8" t="s">
        <v>80</v>
      </c>
      <c r="C1355" s="8" t="s">
        <v>1694</v>
      </c>
      <c r="D1355" s="8">
        <v>5</v>
      </c>
      <c r="E1355" s="8" t="s">
        <v>2603</v>
      </c>
      <c r="F1355" s="8" t="s">
        <v>911</v>
      </c>
      <c r="G1355" s="8" t="s">
        <v>2548</v>
      </c>
      <c r="H1355" s="10">
        <v>3</v>
      </c>
      <c r="I1355" s="10"/>
      <c r="J1355" s="10">
        <v>3</v>
      </c>
      <c r="K1355" s="10">
        <v>3876.33</v>
      </c>
    </row>
    <row r="1356" spans="1:11" x14ac:dyDescent="0.25">
      <c r="A1356" s="8" t="s">
        <v>2604</v>
      </c>
      <c r="B1356" s="8" t="s">
        <v>120</v>
      </c>
      <c r="C1356" s="8" t="s">
        <v>1694</v>
      </c>
      <c r="D1356" s="8">
        <v>5</v>
      </c>
      <c r="E1356" s="8" t="s">
        <v>2605</v>
      </c>
      <c r="F1356" s="8" t="s">
        <v>911</v>
      </c>
      <c r="G1356" s="8" t="s">
        <v>2548</v>
      </c>
      <c r="H1356" s="10">
        <v>4</v>
      </c>
      <c r="I1356" s="10"/>
      <c r="J1356" s="10">
        <v>4</v>
      </c>
      <c r="K1356" s="10">
        <v>3876.33</v>
      </c>
    </row>
    <row r="1357" spans="1:11" x14ac:dyDescent="0.25">
      <c r="A1357" s="8" t="s">
        <v>2606</v>
      </c>
      <c r="B1357" s="8" t="s">
        <v>78</v>
      </c>
      <c r="C1357" s="8" t="s">
        <v>1694</v>
      </c>
      <c r="D1357" s="8">
        <v>5</v>
      </c>
      <c r="E1357" s="8" t="s">
        <v>2607</v>
      </c>
      <c r="F1357" s="8" t="s">
        <v>911</v>
      </c>
      <c r="G1357" s="8" t="s">
        <v>2548</v>
      </c>
      <c r="H1357" s="10">
        <v>4</v>
      </c>
      <c r="I1357" s="10"/>
      <c r="J1357" s="10">
        <v>4</v>
      </c>
      <c r="K1357" s="10">
        <v>3876.33</v>
      </c>
    </row>
    <row r="1358" spans="1:11" x14ac:dyDescent="0.25">
      <c r="A1358" s="8" t="s">
        <v>2608</v>
      </c>
      <c r="B1358" s="8" t="s">
        <v>78</v>
      </c>
      <c r="C1358" s="8" t="s">
        <v>1694</v>
      </c>
      <c r="D1358" s="8">
        <v>5</v>
      </c>
      <c r="E1358" s="8" t="s">
        <v>2609</v>
      </c>
      <c r="F1358" s="8" t="s">
        <v>911</v>
      </c>
      <c r="G1358" s="8" t="s">
        <v>2548</v>
      </c>
      <c r="H1358" s="10">
        <v>4</v>
      </c>
      <c r="I1358" s="10"/>
      <c r="J1358" s="10">
        <v>4</v>
      </c>
      <c r="K1358" s="10">
        <v>3981.56</v>
      </c>
    </row>
    <row r="1359" spans="1:11" x14ac:dyDescent="0.25">
      <c r="A1359" s="8" t="s">
        <v>2610</v>
      </c>
      <c r="B1359" s="8" t="s">
        <v>120</v>
      </c>
      <c r="C1359" s="8" t="s">
        <v>1694</v>
      </c>
      <c r="D1359" s="8">
        <v>5</v>
      </c>
      <c r="E1359" s="8" t="s">
        <v>2611</v>
      </c>
      <c r="F1359" s="8" t="s">
        <v>911</v>
      </c>
      <c r="G1359" s="8" t="s">
        <v>2548</v>
      </c>
      <c r="H1359" s="10">
        <v>6</v>
      </c>
      <c r="I1359" s="10"/>
      <c r="J1359" s="10">
        <v>6</v>
      </c>
      <c r="K1359" s="10">
        <v>4163.09</v>
      </c>
    </row>
    <row r="1360" spans="1:11" x14ac:dyDescent="0.25">
      <c r="A1360" s="8" t="s">
        <v>2612</v>
      </c>
      <c r="B1360" s="8" t="s">
        <v>122</v>
      </c>
      <c r="C1360" s="8" t="s">
        <v>1694</v>
      </c>
      <c r="D1360" s="8">
        <v>5</v>
      </c>
      <c r="E1360" s="8" t="s">
        <v>2611</v>
      </c>
      <c r="F1360" s="8" t="s">
        <v>911</v>
      </c>
      <c r="G1360" s="8" t="s">
        <v>2548</v>
      </c>
      <c r="H1360" s="10">
        <v>2</v>
      </c>
      <c r="I1360" s="10"/>
      <c r="J1360" s="10">
        <v>2</v>
      </c>
      <c r="K1360" s="10">
        <v>4163.09</v>
      </c>
    </row>
    <row r="1361" spans="1:11" x14ac:dyDescent="0.25">
      <c r="A1361" s="8" t="s">
        <v>2613</v>
      </c>
      <c r="B1361" s="8" t="s">
        <v>134</v>
      </c>
      <c r="C1361" s="8" t="s">
        <v>1694</v>
      </c>
      <c r="D1361" s="8">
        <v>5</v>
      </c>
      <c r="E1361" s="8" t="s">
        <v>2614</v>
      </c>
      <c r="F1361" s="8" t="s">
        <v>911</v>
      </c>
      <c r="G1361" s="8" t="s">
        <v>2548</v>
      </c>
      <c r="H1361" s="10">
        <v>1</v>
      </c>
      <c r="I1361" s="10"/>
      <c r="J1361" s="10">
        <v>1</v>
      </c>
      <c r="K1361" s="10">
        <v>2210.63</v>
      </c>
    </row>
    <row r="1362" spans="1:11" x14ac:dyDescent="0.25">
      <c r="A1362" s="8" t="s">
        <v>2615</v>
      </c>
      <c r="B1362" s="8" t="s">
        <v>134</v>
      </c>
      <c r="C1362" s="8" t="s">
        <v>1694</v>
      </c>
      <c r="D1362" s="8">
        <v>5</v>
      </c>
      <c r="E1362" s="8" t="s">
        <v>2616</v>
      </c>
      <c r="F1362" s="8" t="s">
        <v>911</v>
      </c>
      <c r="G1362" s="8" t="s">
        <v>2548</v>
      </c>
      <c r="H1362" s="10">
        <v>10</v>
      </c>
      <c r="I1362" s="10"/>
      <c r="J1362" s="10">
        <v>10</v>
      </c>
      <c r="K1362" s="10">
        <v>2442.15</v>
      </c>
    </row>
    <row r="1363" spans="1:11" x14ac:dyDescent="0.25">
      <c r="A1363" s="8" t="s">
        <v>2617</v>
      </c>
      <c r="B1363" s="8" t="s">
        <v>134</v>
      </c>
      <c r="C1363" s="8" t="s">
        <v>1694</v>
      </c>
      <c r="D1363" s="8">
        <v>5</v>
      </c>
      <c r="E1363" s="8" t="s">
        <v>2618</v>
      </c>
      <c r="F1363" s="8" t="s">
        <v>911</v>
      </c>
      <c r="G1363" s="8" t="s">
        <v>2548</v>
      </c>
      <c r="H1363" s="10">
        <v>2</v>
      </c>
      <c r="I1363" s="10"/>
      <c r="J1363" s="10">
        <v>2</v>
      </c>
      <c r="K1363" s="10">
        <v>2442.15</v>
      </c>
    </row>
    <row r="1364" spans="1:11" x14ac:dyDescent="0.25">
      <c r="A1364" s="8" t="s">
        <v>2619</v>
      </c>
      <c r="B1364" s="8" t="s">
        <v>120</v>
      </c>
      <c r="C1364" s="8" t="s">
        <v>1694</v>
      </c>
      <c r="D1364" s="8">
        <v>5</v>
      </c>
      <c r="E1364" s="8" t="s">
        <v>2620</v>
      </c>
      <c r="F1364" s="8" t="s">
        <v>911</v>
      </c>
      <c r="G1364" s="8" t="s">
        <v>2548</v>
      </c>
      <c r="H1364" s="10">
        <v>2</v>
      </c>
      <c r="I1364" s="10"/>
      <c r="J1364" s="10">
        <v>2</v>
      </c>
      <c r="K1364" s="10">
        <v>2442.15</v>
      </c>
    </row>
    <row r="1365" spans="1:11" x14ac:dyDescent="0.25">
      <c r="A1365" s="8" t="s">
        <v>2621</v>
      </c>
      <c r="B1365" s="8" t="s">
        <v>122</v>
      </c>
      <c r="C1365" s="8" t="s">
        <v>1694</v>
      </c>
      <c r="D1365" s="8">
        <v>5</v>
      </c>
      <c r="E1365" s="8" t="s">
        <v>2620</v>
      </c>
      <c r="F1365" s="8" t="s">
        <v>911</v>
      </c>
      <c r="G1365" s="8" t="s">
        <v>2548</v>
      </c>
      <c r="H1365" s="10">
        <v>3</v>
      </c>
      <c r="I1365" s="10"/>
      <c r="J1365" s="10">
        <v>3</v>
      </c>
      <c r="K1365" s="10">
        <v>2442.15</v>
      </c>
    </row>
    <row r="1366" spans="1:11" x14ac:dyDescent="0.25">
      <c r="A1366" s="8" t="s">
        <v>2622</v>
      </c>
      <c r="B1366" s="8" t="s">
        <v>132</v>
      </c>
      <c r="C1366" s="8" t="s">
        <v>1694</v>
      </c>
      <c r="D1366" s="8">
        <v>5</v>
      </c>
      <c r="E1366" s="8" t="s">
        <v>2623</v>
      </c>
      <c r="F1366" s="8" t="s">
        <v>911</v>
      </c>
      <c r="G1366" s="8" t="s">
        <v>2548</v>
      </c>
      <c r="H1366" s="10">
        <v>1</v>
      </c>
      <c r="I1366" s="10"/>
      <c r="J1366" s="10">
        <v>1</v>
      </c>
      <c r="K1366" s="10">
        <v>2442.15</v>
      </c>
    </row>
    <row r="1367" spans="1:11" x14ac:dyDescent="0.25">
      <c r="A1367" s="8" t="s">
        <v>2624</v>
      </c>
      <c r="B1367" s="8" t="s">
        <v>124</v>
      </c>
      <c r="C1367" s="8" t="s">
        <v>1694</v>
      </c>
      <c r="D1367" s="8">
        <v>5</v>
      </c>
      <c r="E1367" s="8" t="s">
        <v>2625</v>
      </c>
      <c r="F1367" s="8" t="s">
        <v>911</v>
      </c>
      <c r="G1367" s="8" t="s">
        <v>2548</v>
      </c>
      <c r="H1367" s="10">
        <v>1</v>
      </c>
      <c r="I1367" s="10"/>
      <c r="J1367" s="10">
        <v>1</v>
      </c>
      <c r="K1367" s="10">
        <v>2581.59</v>
      </c>
    </row>
    <row r="1368" spans="1:11" x14ac:dyDescent="0.25">
      <c r="A1368" s="8" t="s">
        <v>2626</v>
      </c>
      <c r="B1368" s="8" t="s">
        <v>2627</v>
      </c>
      <c r="C1368" s="8" t="s">
        <v>1694</v>
      </c>
      <c r="D1368" s="8">
        <v>5</v>
      </c>
      <c r="E1368" s="8" t="s">
        <v>2625</v>
      </c>
      <c r="F1368" s="8" t="s">
        <v>911</v>
      </c>
      <c r="G1368" s="8" t="s">
        <v>2548</v>
      </c>
      <c r="H1368" s="10">
        <v>2</v>
      </c>
      <c r="I1368" s="10"/>
      <c r="J1368" s="10">
        <v>2</v>
      </c>
      <c r="K1368" s="10">
        <v>2581.59</v>
      </c>
    </row>
    <row r="1369" spans="1:11" x14ac:dyDescent="0.25">
      <c r="A1369" s="8" t="s">
        <v>2628</v>
      </c>
      <c r="B1369" s="8" t="s">
        <v>78</v>
      </c>
      <c r="C1369" s="8" t="s">
        <v>1694</v>
      </c>
      <c r="D1369" s="8">
        <v>5</v>
      </c>
      <c r="E1369" s="8" t="s">
        <v>2629</v>
      </c>
      <c r="F1369" s="8" t="s">
        <v>911</v>
      </c>
      <c r="G1369" s="8" t="s">
        <v>2548</v>
      </c>
      <c r="H1369" s="10">
        <v>2</v>
      </c>
      <c r="I1369" s="10"/>
      <c r="J1369" s="10">
        <v>2</v>
      </c>
      <c r="K1369" s="10">
        <v>3768.58</v>
      </c>
    </row>
    <row r="1370" spans="1:11" x14ac:dyDescent="0.25">
      <c r="A1370" s="8" t="s">
        <v>2630</v>
      </c>
      <c r="B1370" s="8" t="s">
        <v>128</v>
      </c>
      <c r="C1370" s="8" t="s">
        <v>1694</v>
      </c>
      <c r="D1370" s="8">
        <v>5</v>
      </c>
      <c r="E1370" s="8" t="s">
        <v>2631</v>
      </c>
      <c r="F1370" s="8" t="s">
        <v>911</v>
      </c>
      <c r="G1370" s="8" t="s">
        <v>2548</v>
      </c>
      <c r="H1370" s="10">
        <v>1</v>
      </c>
      <c r="I1370" s="10"/>
      <c r="J1370" s="10">
        <v>1</v>
      </c>
      <c r="K1370" s="10">
        <v>2144.86</v>
      </c>
    </row>
    <row r="1371" spans="1:11" x14ac:dyDescent="0.25">
      <c r="A1371" s="8" t="s">
        <v>2632</v>
      </c>
      <c r="B1371" s="8" t="s">
        <v>122</v>
      </c>
      <c r="C1371" s="8" t="s">
        <v>1694</v>
      </c>
      <c r="D1371" s="8">
        <v>5</v>
      </c>
      <c r="E1371" s="8" t="s">
        <v>2633</v>
      </c>
      <c r="F1371" s="8" t="s">
        <v>911</v>
      </c>
      <c r="G1371" s="8" t="s">
        <v>2548</v>
      </c>
      <c r="H1371" s="10">
        <v>2</v>
      </c>
      <c r="I1371" s="10"/>
      <c r="J1371" s="10">
        <v>2</v>
      </c>
      <c r="K1371" s="10">
        <v>2152.75</v>
      </c>
    </row>
    <row r="1372" spans="1:11" x14ac:dyDescent="0.25">
      <c r="A1372" s="8" t="s">
        <v>2634</v>
      </c>
      <c r="B1372" s="8" t="s">
        <v>122</v>
      </c>
      <c r="C1372" s="8" t="s">
        <v>1694</v>
      </c>
      <c r="D1372" s="8">
        <v>5</v>
      </c>
      <c r="E1372" s="8" t="s">
        <v>2635</v>
      </c>
      <c r="F1372" s="8" t="s">
        <v>911</v>
      </c>
      <c r="G1372" s="8" t="s">
        <v>2548</v>
      </c>
      <c r="H1372" s="10">
        <v>1</v>
      </c>
      <c r="I1372" s="10"/>
      <c r="J1372" s="10">
        <v>1</v>
      </c>
      <c r="K1372" s="10">
        <v>2152.75</v>
      </c>
    </row>
    <row r="1373" spans="1:11" x14ac:dyDescent="0.25">
      <c r="A1373" s="8" t="s">
        <v>2636</v>
      </c>
      <c r="B1373" s="8" t="s">
        <v>122</v>
      </c>
      <c r="C1373" s="8" t="s">
        <v>1694</v>
      </c>
      <c r="D1373" s="8">
        <v>5</v>
      </c>
      <c r="E1373" s="8" t="s">
        <v>2637</v>
      </c>
      <c r="F1373" s="8" t="s">
        <v>911</v>
      </c>
      <c r="G1373" s="8" t="s">
        <v>2548</v>
      </c>
      <c r="H1373" s="10">
        <v>2</v>
      </c>
      <c r="I1373" s="10"/>
      <c r="J1373" s="10">
        <v>2</v>
      </c>
      <c r="K1373" s="10">
        <v>2210.63</v>
      </c>
    </row>
    <row r="1374" spans="1:11" x14ac:dyDescent="0.25">
      <c r="A1374" s="8" t="s">
        <v>2638</v>
      </c>
      <c r="B1374" s="8" t="s">
        <v>124</v>
      </c>
      <c r="C1374" s="8" t="s">
        <v>1694</v>
      </c>
      <c r="D1374" s="8">
        <v>5</v>
      </c>
      <c r="E1374" s="8" t="s">
        <v>2637</v>
      </c>
      <c r="F1374" s="8" t="s">
        <v>911</v>
      </c>
      <c r="G1374" s="8" t="s">
        <v>2548</v>
      </c>
      <c r="H1374" s="10">
        <v>2</v>
      </c>
      <c r="I1374" s="10"/>
      <c r="J1374" s="10">
        <v>2</v>
      </c>
      <c r="K1374" s="10">
        <v>2210.63</v>
      </c>
    </row>
    <row r="1375" spans="1:11" x14ac:dyDescent="0.25">
      <c r="A1375" s="8" t="s">
        <v>2639</v>
      </c>
      <c r="B1375" s="8" t="s">
        <v>124</v>
      </c>
      <c r="C1375" s="8" t="s">
        <v>1694</v>
      </c>
      <c r="D1375" s="8">
        <v>5</v>
      </c>
      <c r="E1375" s="8" t="s">
        <v>2640</v>
      </c>
      <c r="F1375" s="8" t="s">
        <v>911</v>
      </c>
      <c r="G1375" s="8" t="s">
        <v>2548</v>
      </c>
      <c r="H1375" s="10">
        <v>5</v>
      </c>
      <c r="I1375" s="10"/>
      <c r="J1375" s="10">
        <v>5</v>
      </c>
      <c r="K1375" s="10">
        <v>2385.59</v>
      </c>
    </row>
    <row r="1376" spans="1:11" x14ac:dyDescent="0.25">
      <c r="A1376" s="8" t="s">
        <v>2641</v>
      </c>
      <c r="B1376" s="8" t="s">
        <v>120</v>
      </c>
      <c r="C1376" s="8" t="s">
        <v>1694</v>
      </c>
      <c r="D1376" s="8">
        <v>5</v>
      </c>
      <c r="E1376" s="8" t="s">
        <v>2642</v>
      </c>
      <c r="F1376" s="8" t="s">
        <v>911</v>
      </c>
      <c r="G1376" s="8" t="s">
        <v>2548</v>
      </c>
      <c r="H1376" s="10">
        <v>8</v>
      </c>
      <c r="I1376" s="10"/>
      <c r="J1376" s="10">
        <v>8</v>
      </c>
      <c r="K1376" s="10">
        <v>2385.59</v>
      </c>
    </row>
    <row r="1377" spans="1:11" x14ac:dyDescent="0.25">
      <c r="A1377" s="8" t="s">
        <v>2643</v>
      </c>
      <c r="B1377" s="8" t="s">
        <v>124</v>
      </c>
      <c r="C1377" s="8" t="s">
        <v>1694</v>
      </c>
      <c r="D1377" s="8">
        <v>5</v>
      </c>
      <c r="E1377" s="8" t="s">
        <v>2642</v>
      </c>
      <c r="F1377" s="8" t="s">
        <v>911</v>
      </c>
      <c r="G1377" s="8" t="s">
        <v>2548</v>
      </c>
      <c r="H1377" s="10">
        <v>1</v>
      </c>
      <c r="I1377" s="10"/>
      <c r="J1377" s="10">
        <v>1</v>
      </c>
      <c r="K1377" s="10">
        <v>2385.59</v>
      </c>
    </row>
    <row r="1378" spans="1:11" x14ac:dyDescent="0.25">
      <c r="A1378" s="8" t="s">
        <v>2644</v>
      </c>
      <c r="B1378" s="8" t="s">
        <v>78</v>
      </c>
      <c r="C1378" s="8" t="s">
        <v>1694</v>
      </c>
      <c r="D1378" s="8">
        <v>5</v>
      </c>
      <c r="E1378" s="8" t="s">
        <v>2642</v>
      </c>
      <c r="F1378" s="8" t="s">
        <v>911</v>
      </c>
      <c r="G1378" s="8" t="s">
        <v>2548</v>
      </c>
      <c r="H1378" s="10">
        <v>2</v>
      </c>
      <c r="I1378" s="10"/>
      <c r="J1378" s="10">
        <v>2</v>
      </c>
      <c r="K1378" s="10">
        <v>2385.59</v>
      </c>
    </row>
    <row r="1379" spans="1:11" x14ac:dyDescent="0.25">
      <c r="A1379" s="8" t="s">
        <v>2645</v>
      </c>
      <c r="B1379" s="8" t="s">
        <v>120</v>
      </c>
      <c r="C1379" s="8" t="s">
        <v>1694</v>
      </c>
      <c r="D1379" s="8">
        <v>5</v>
      </c>
      <c r="E1379" s="8" t="s">
        <v>2646</v>
      </c>
      <c r="F1379" s="8" t="s">
        <v>911</v>
      </c>
      <c r="G1379" s="8" t="s">
        <v>2548</v>
      </c>
      <c r="H1379" s="10">
        <v>2</v>
      </c>
      <c r="I1379" s="10"/>
      <c r="J1379" s="10">
        <v>2</v>
      </c>
      <c r="K1379" s="10">
        <v>2442.15</v>
      </c>
    </row>
    <row r="1380" spans="1:11" x14ac:dyDescent="0.25">
      <c r="A1380" s="8" t="s">
        <v>2647</v>
      </c>
      <c r="B1380" s="8" t="s">
        <v>78</v>
      </c>
      <c r="C1380" s="8" t="s">
        <v>1694</v>
      </c>
      <c r="D1380" s="8">
        <v>5</v>
      </c>
      <c r="E1380" s="8" t="s">
        <v>2646</v>
      </c>
      <c r="F1380" s="8" t="s">
        <v>911</v>
      </c>
      <c r="G1380" s="8" t="s">
        <v>2548</v>
      </c>
      <c r="H1380" s="10">
        <v>2</v>
      </c>
      <c r="I1380" s="10"/>
      <c r="J1380" s="10">
        <v>2</v>
      </c>
      <c r="K1380" s="10">
        <v>2442.15</v>
      </c>
    </row>
    <row r="1381" spans="1:11" x14ac:dyDescent="0.25">
      <c r="A1381" s="8" t="s">
        <v>2648</v>
      </c>
      <c r="B1381" s="8" t="s">
        <v>132</v>
      </c>
      <c r="C1381" s="8" t="s">
        <v>1694</v>
      </c>
      <c r="D1381" s="8">
        <v>5</v>
      </c>
      <c r="E1381" s="8" t="s">
        <v>2649</v>
      </c>
      <c r="F1381" s="8" t="s">
        <v>911</v>
      </c>
      <c r="G1381" s="8" t="s">
        <v>2548</v>
      </c>
      <c r="H1381" s="10">
        <v>1</v>
      </c>
      <c r="I1381" s="10"/>
      <c r="J1381" s="10">
        <v>1</v>
      </c>
      <c r="K1381" s="10">
        <v>2144.86</v>
      </c>
    </row>
    <row r="1382" spans="1:11" x14ac:dyDescent="0.25">
      <c r="A1382" s="8" t="s">
        <v>2650</v>
      </c>
      <c r="B1382" s="8" t="s">
        <v>80</v>
      </c>
      <c r="C1382" s="8" t="s">
        <v>1694</v>
      </c>
      <c r="D1382" s="8">
        <v>5</v>
      </c>
      <c r="E1382" s="8" t="s">
        <v>2649</v>
      </c>
      <c r="F1382" s="8" t="s">
        <v>911</v>
      </c>
      <c r="G1382" s="8" t="s">
        <v>2548</v>
      </c>
      <c r="H1382" s="10">
        <v>1</v>
      </c>
      <c r="I1382" s="10"/>
      <c r="J1382" s="10">
        <v>1</v>
      </c>
      <c r="K1382" s="10">
        <v>2144.86</v>
      </c>
    </row>
    <row r="1383" spans="1:11" x14ac:dyDescent="0.25">
      <c r="A1383" s="8" t="s">
        <v>2651</v>
      </c>
      <c r="B1383" s="8" t="s">
        <v>128</v>
      </c>
      <c r="C1383" s="8" t="s">
        <v>1694</v>
      </c>
      <c r="D1383" s="8">
        <v>5</v>
      </c>
      <c r="E1383" s="8" t="s">
        <v>2652</v>
      </c>
      <c r="F1383" s="8" t="s">
        <v>911</v>
      </c>
      <c r="G1383" s="8" t="s">
        <v>2548</v>
      </c>
      <c r="H1383" s="10">
        <v>1</v>
      </c>
      <c r="I1383" s="10"/>
      <c r="J1383" s="10">
        <v>1</v>
      </c>
      <c r="K1383" s="10">
        <v>2152.75</v>
      </c>
    </row>
    <row r="1384" spans="1:11" x14ac:dyDescent="0.25">
      <c r="A1384" s="8" t="s">
        <v>2653</v>
      </c>
      <c r="B1384" s="8" t="s">
        <v>949</v>
      </c>
      <c r="C1384" s="8" t="s">
        <v>1694</v>
      </c>
      <c r="D1384" s="8">
        <v>5</v>
      </c>
      <c r="E1384" s="8" t="s">
        <v>2652</v>
      </c>
      <c r="F1384" s="8" t="s">
        <v>911</v>
      </c>
      <c r="G1384" s="8" t="s">
        <v>2548</v>
      </c>
      <c r="H1384" s="10">
        <v>1</v>
      </c>
      <c r="I1384" s="10"/>
      <c r="J1384" s="10">
        <v>1</v>
      </c>
      <c r="K1384" s="10">
        <v>2152.75</v>
      </c>
    </row>
    <row r="1385" spans="1:11" x14ac:dyDescent="0.25">
      <c r="A1385" s="8" t="s">
        <v>2654</v>
      </c>
      <c r="B1385" s="8" t="s">
        <v>132</v>
      </c>
      <c r="C1385" s="8" t="s">
        <v>1694</v>
      </c>
      <c r="D1385" s="8">
        <v>5</v>
      </c>
      <c r="E1385" s="8" t="s">
        <v>2652</v>
      </c>
      <c r="F1385" s="8" t="s">
        <v>911</v>
      </c>
      <c r="G1385" s="8" t="s">
        <v>2548</v>
      </c>
      <c r="H1385" s="10">
        <v>1</v>
      </c>
      <c r="I1385" s="10"/>
      <c r="J1385" s="10">
        <v>1</v>
      </c>
      <c r="K1385" s="10">
        <v>2152.75</v>
      </c>
    </row>
    <row r="1386" spans="1:11" x14ac:dyDescent="0.25">
      <c r="A1386" s="8" t="s">
        <v>2655</v>
      </c>
      <c r="B1386" s="8" t="s">
        <v>134</v>
      </c>
      <c r="C1386" s="8" t="s">
        <v>1694</v>
      </c>
      <c r="D1386" s="8">
        <v>5</v>
      </c>
      <c r="E1386" s="8" t="s">
        <v>2652</v>
      </c>
      <c r="F1386" s="8" t="s">
        <v>911</v>
      </c>
      <c r="G1386" s="8" t="s">
        <v>2548</v>
      </c>
      <c r="H1386" s="10">
        <v>1</v>
      </c>
      <c r="I1386" s="10"/>
      <c r="J1386" s="10">
        <v>1</v>
      </c>
      <c r="K1386" s="10">
        <v>2152.75</v>
      </c>
    </row>
    <row r="1387" spans="1:11" x14ac:dyDescent="0.25">
      <c r="A1387" s="8" t="s">
        <v>2656</v>
      </c>
      <c r="B1387" s="8" t="s">
        <v>80</v>
      </c>
      <c r="C1387" s="8" t="s">
        <v>1694</v>
      </c>
      <c r="D1387" s="8">
        <v>5</v>
      </c>
      <c r="E1387" s="8" t="s">
        <v>2652</v>
      </c>
      <c r="F1387" s="8" t="s">
        <v>911</v>
      </c>
      <c r="G1387" s="8" t="s">
        <v>2548</v>
      </c>
      <c r="H1387" s="10">
        <v>1</v>
      </c>
      <c r="I1387" s="10"/>
      <c r="J1387" s="10">
        <v>1</v>
      </c>
      <c r="K1387" s="10">
        <v>2152.75</v>
      </c>
    </row>
    <row r="1388" spans="1:11" x14ac:dyDescent="0.25">
      <c r="A1388" s="8" t="s">
        <v>2657</v>
      </c>
      <c r="B1388" s="8" t="s">
        <v>118</v>
      </c>
      <c r="C1388" s="8" t="s">
        <v>1694</v>
      </c>
      <c r="D1388" s="8">
        <v>5</v>
      </c>
      <c r="E1388" s="8" t="s">
        <v>2658</v>
      </c>
      <c r="F1388" s="8" t="s">
        <v>911</v>
      </c>
      <c r="G1388" s="8" t="s">
        <v>2548</v>
      </c>
      <c r="H1388" s="10">
        <v>1</v>
      </c>
      <c r="I1388" s="10"/>
      <c r="J1388" s="10">
        <v>1</v>
      </c>
      <c r="K1388" s="10">
        <v>2152.75</v>
      </c>
    </row>
    <row r="1389" spans="1:11" x14ac:dyDescent="0.25">
      <c r="A1389" s="8" t="s">
        <v>2659</v>
      </c>
      <c r="B1389" s="8" t="s">
        <v>122</v>
      </c>
      <c r="C1389" s="8" t="s">
        <v>1694</v>
      </c>
      <c r="D1389" s="8">
        <v>5</v>
      </c>
      <c r="E1389" s="8" t="s">
        <v>2658</v>
      </c>
      <c r="F1389" s="8" t="s">
        <v>911</v>
      </c>
      <c r="G1389" s="8" t="s">
        <v>2548</v>
      </c>
      <c r="H1389" s="10">
        <v>1</v>
      </c>
      <c r="I1389" s="10"/>
      <c r="J1389" s="10">
        <v>1</v>
      </c>
      <c r="K1389" s="10">
        <v>2152.75</v>
      </c>
    </row>
    <row r="1390" spans="1:11" x14ac:dyDescent="0.25">
      <c r="A1390" s="8" t="s">
        <v>2660</v>
      </c>
      <c r="B1390" s="8" t="s">
        <v>124</v>
      </c>
      <c r="C1390" s="8" t="s">
        <v>1694</v>
      </c>
      <c r="D1390" s="8">
        <v>5</v>
      </c>
      <c r="E1390" s="8" t="s">
        <v>2658</v>
      </c>
      <c r="F1390" s="8" t="s">
        <v>911</v>
      </c>
      <c r="G1390" s="8" t="s">
        <v>2548</v>
      </c>
      <c r="H1390" s="10">
        <v>1</v>
      </c>
      <c r="I1390" s="10"/>
      <c r="J1390" s="10">
        <v>1</v>
      </c>
      <c r="K1390" s="10">
        <v>2152.75</v>
      </c>
    </row>
    <row r="1391" spans="1:11" x14ac:dyDescent="0.25">
      <c r="A1391" s="8" t="s">
        <v>2661</v>
      </c>
      <c r="B1391" s="8" t="s">
        <v>78</v>
      </c>
      <c r="C1391" s="8" t="s">
        <v>1694</v>
      </c>
      <c r="D1391" s="8">
        <v>5</v>
      </c>
      <c r="E1391" s="8" t="s">
        <v>2658</v>
      </c>
      <c r="F1391" s="8" t="s">
        <v>911</v>
      </c>
      <c r="G1391" s="8" t="s">
        <v>2548</v>
      </c>
      <c r="H1391" s="10">
        <v>1</v>
      </c>
      <c r="I1391" s="10"/>
      <c r="J1391" s="10">
        <v>1</v>
      </c>
      <c r="K1391" s="10">
        <v>2152.75</v>
      </c>
    </row>
    <row r="1392" spans="1:11" x14ac:dyDescent="0.25">
      <c r="A1392" s="8" t="s">
        <v>2662</v>
      </c>
      <c r="B1392" s="8" t="s">
        <v>134</v>
      </c>
      <c r="C1392" s="8" t="s">
        <v>1694</v>
      </c>
      <c r="D1392" s="8">
        <v>5</v>
      </c>
      <c r="E1392" s="8" t="s">
        <v>2658</v>
      </c>
      <c r="F1392" s="8" t="s">
        <v>911</v>
      </c>
      <c r="G1392" s="8" t="s">
        <v>2548</v>
      </c>
      <c r="H1392" s="10">
        <v>2</v>
      </c>
      <c r="I1392" s="10"/>
      <c r="J1392" s="10">
        <v>2</v>
      </c>
      <c r="K1392" s="10">
        <v>2152.75</v>
      </c>
    </row>
    <row r="1393" spans="1:11" x14ac:dyDescent="0.25">
      <c r="A1393" s="8" t="s">
        <v>2663</v>
      </c>
      <c r="B1393" s="8" t="s">
        <v>72</v>
      </c>
      <c r="C1393" s="8" t="s">
        <v>1694</v>
      </c>
      <c r="D1393" s="8">
        <v>5</v>
      </c>
      <c r="E1393" s="8" t="s">
        <v>2664</v>
      </c>
      <c r="F1393" s="8" t="s">
        <v>911</v>
      </c>
      <c r="G1393" s="8" t="s">
        <v>2548</v>
      </c>
      <c r="H1393" s="10">
        <v>1</v>
      </c>
      <c r="I1393" s="10"/>
      <c r="J1393" s="10">
        <v>1</v>
      </c>
      <c r="K1393" s="10">
        <v>2210.63</v>
      </c>
    </row>
    <row r="1394" spans="1:11" x14ac:dyDescent="0.25">
      <c r="A1394" s="8" t="s">
        <v>2665</v>
      </c>
      <c r="B1394" s="8" t="s">
        <v>120</v>
      </c>
      <c r="C1394" s="8" t="s">
        <v>1694</v>
      </c>
      <c r="D1394" s="8">
        <v>5</v>
      </c>
      <c r="E1394" s="8" t="s">
        <v>2664</v>
      </c>
      <c r="F1394" s="8" t="s">
        <v>911</v>
      </c>
      <c r="G1394" s="8" t="s">
        <v>2548</v>
      </c>
      <c r="H1394" s="10">
        <v>2</v>
      </c>
      <c r="I1394" s="10"/>
      <c r="J1394" s="10">
        <v>2</v>
      </c>
      <c r="K1394" s="10">
        <v>2210.63</v>
      </c>
    </row>
    <row r="1395" spans="1:11" x14ac:dyDescent="0.25">
      <c r="A1395" s="8" t="s">
        <v>2666</v>
      </c>
      <c r="B1395" s="8" t="s">
        <v>2627</v>
      </c>
      <c r="C1395" s="8" t="s">
        <v>1694</v>
      </c>
      <c r="D1395" s="8">
        <v>5</v>
      </c>
      <c r="E1395" s="8" t="s">
        <v>2664</v>
      </c>
      <c r="F1395" s="8" t="s">
        <v>911</v>
      </c>
      <c r="G1395" s="8" t="s">
        <v>2548</v>
      </c>
      <c r="H1395" s="10">
        <v>1</v>
      </c>
      <c r="I1395" s="10"/>
      <c r="J1395" s="10">
        <v>1</v>
      </c>
      <c r="K1395" s="10">
        <v>2210.63</v>
      </c>
    </row>
    <row r="1396" spans="1:11" x14ac:dyDescent="0.25">
      <c r="A1396" s="8" t="s">
        <v>2667</v>
      </c>
      <c r="B1396" s="8" t="s">
        <v>118</v>
      </c>
      <c r="C1396" s="8" t="s">
        <v>1694</v>
      </c>
      <c r="D1396" s="8">
        <v>5</v>
      </c>
      <c r="E1396" s="8" t="s">
        <v>2668</v>
      </c>
      <c r="F1396" s="8" t="s">
        <v>911</v>
      </c>
      <c r="G1396" s="8" t="s">
        <v>2548</v>
      </c>
      <c r="H1396" s="10">
        <v>2</v>
      </c>
      <c r="I1396" s="10"/>
      <c r="J1396" s="10">
        <v>2</v>
      </c>
      <c r="K1396" s="10">
        <v>2144.86</v>
      </c>
    </row>
    <row r="1397" spans="1:11" x14ac:dyDescent="0.25">
      <c r="A1397" s="8" t="s">
        <v>2669</v>
      </c>
      <c r="B1397" s="8" t="s">
        <v>128</v>
      </c>
      <c r="C1397" s="8" t="s">
        <v>1694</v>
      </c>
      <c r="D1397" s="8">
        <v>5</v>
      </c>
      <c r="E1397" s="8" t="s">
        <v>2668</v>
      </c>
      <c r="F1397" s="8" t="s">
        <v>911</v>
      </c>
      <c r="G1397" s="8" t="s">
        <v>2548</v>
      </c>
      <c r="H1397" s="10">
        <v>2</v>
      </c>
      <c r="I1397" s="10"/>
      <c r="J1397" s="10">
        <v>2</v>
      </c>
      <c r="K1397" s="10">
        <v>2144.86</v>
      </c>
    </row>
    <row r="1398" spans="1:11" x14ac:dyDescent="0.25">
      <c r="A1398" s="8" t="s">
        <v>2670</v>
      </c>
      <c r="B1398" s="8" t="s">
        <v>132</v>
      </c>
      <c r="C1398" s="8" t="s">
        <v>1694</v>
      </c>
      <c r="D1398" s="8">
        <v>5</v>
      </c>
      <c r="E1398" s="8" t="s">
        <v>2668</v>
      </c>
      <c r="F1398" s="8" t="s">
        <v>911</v>
      </c>
      <c r="G1398" s="8" t="s">
        <v>2548</v>
      </c>
      <c r="H1398" s="10">
        <v>1</v>
      </c>
      <c r="I1398" s="10"/>
      <c r="J1398" s="10">
        <v>1</v>
      </c>
      <c r="K1398" s="10">
        <v>2144.86</v>
      </c>
    </row>
    <row r="1399" spans="1:11" x14ac:dyDescent="0.25">
      <c r="A1399" s="8" t="s">
        <v>2671</v>
      </c>
      <c r="B1399" s="8" t="s">
        <v>122</v>
      </c>
      <c r="C1399" s="8" t="s">
        <v>1694</v>
      </c>
      <c r="D1399" s="8">
        <v>5</v>
      </c>
      <c r="E1399" s="8" t="s">
        <v>2672</v>
      </c>
      <c r="F1399" s="8" t="s">
        <v>911</v>
      </c>
      <c r="G1399" s="8" t="s">
        <v>2548</v>
      </c>
      <c r="H1399" s="10">
        <v>4</v>
      </c>
      <c r="I1399" s="10"/>
      <c r="J1399" s="10">
        <v>4</v>
      </c>
      <c r="K1399" s="10">
        <v>2144.86</v>
      </c>
    </row>
    <row r="1400" spans="1:11" x14ac:dyDescent="0.25">
      <c r="A1400" s="8" t="s">
        <v>2673</v>
      </c>
      <c r="B1400" s="8" t="s">
        <v>124</v>
      </c>
      <c r="C1400" s="8" t="s">
        <v>1694</v>
      </c>
      <c r="D1400" s="8">
        <v>5</v>
      </c>
      <c r="E1400" s="8" t="s">
        <v>2672</v>
      </c>
      <c r="F1400" s="8" t="s">
        <v>911</v>
      </c>
      <c r="G1400" s="8" t="s">
        <v>2548</v>
      </c>
      <c r="H1400" s="10">
        <v>10</v>
      </c>
      <c r="I1400" s="10"/>
      <c r="J1400" s="10">
        <v>10</v>
      </c>
      <c r="K1400" s="10">
        <v>2144.86</v>
      </c>
    </row>
    <row r="1401" spans="1:11" x14ac:dyDescent="0.25">
      <c r="A1401" s="8" t="s">
        <v>2674</v>
      </c>
      <c r="B1401" s="8" t="s">
        <v>128</v>
      </c>
      <c r="C1401" s="8" t="s">
        <v>1694</v>
      </c>
      <c r="D1401" s="8">
        <v>5</v>
      </c>
      <c r="E1401" s="8" t="s">
        <v>2672</v>
      </c>
      <c r="F1401" s="8" t="s">
        <v>911</v>
      </c>
      <c r="G1401" s="8" t="s">
        <v>2548</v>
      </c>
      <c r="H1401" s="10">
        <v>4</v>
      </c>
      <c r="I1401" s="10"/>
      <c r="J1401" s="10">
        <v>4</v>
      </c>
      <c r="K1401" s="10">
        <v>2144.86</v>
      </c>
    </row>
    <row r="1402" spans="1:11" x14ac:dyDescent="0.25">
      <c r="A1402" s="8" t="s">
        <v>2675</v>
      </c>
      <c r="B1402" s="8" t="s">
        <v>132</v>
      </c>
      <c r="C1402" s="8" t="s">
        <v>1694</v>
      </c>
      <c r="D1402" s="8">
        <v>5</v>
      </c>
      <c r="E1402" s="8" t="s">
        <v>2672</v>
      </c>
      <c r="F1402" s="8" t="s">
        <v>911</v>
      </c>
      <c r="G1402" s="8" t="s">
        <v>2548</v>
      </c>
      <c r="H1402" s="10">
        <v>3</v>
      </c>
      <c r="I1402" s="10"/>
      <c r="J1402" s="10">
        <v>3</v>
      </c>
      <c r="K1402" s="10">
        <v>2144.86</v>
      </c>
    </row>
    <row r="1403" spans="1:11" x14ac:dyDescent="0.25">
      <c r="A1403" s="8" t="s">
        <v>2676</v>
      </c>
      <c r="B1403" s="8" t="s">
        <v>120</v>
      </c>
      <c r="C1403" s="8" t="s">
        <v>1694</v>
      </c>
      <c r="D1403" s="8">
        <v>5</v>
      </c>
      <c r="E1403" s="8" t="s">
        <v>2677</v>
      </c>
      <c r="F1403" s="8" t="s">
        <v>911</v>
      </c>
      <c r="G1403" s="8" t="s">
        <v>2548</v>
      </c>
      <c r="H1403" s="10">
        <v>6</v>
      </c>
      <c r="I1403" s="10"/>
      <c r="J1403" s="10">
        <v>6</v>
      </c>
      <c r="K1403" s="10">
        <v>2152.75</v>
      </c>
    </row>
    <row r="1404" spans="1:11" x14ac:dyDescent="0.25">
      <c r="A1404" s="8" t="s">
        <v>2678</v>
      </c>
      <c r="B1404" s="8" t="s">
        <v>122</v>
      </c>
      <c r="C1404" s="8" t="s">
        <v>1694</v>
      </c>
      <c r="D1404" s="8">
        <v>5</v>
      </c>
      <c r="E1404" s="8" t="s">
        <v>2677</v>
      </c>
      <c r="F1404" s="8" t="s">
        <v>911</v>
      </c>
      <c r="G1404" s="8" t="s">
        <v>2548</v>
      </c>
      <c r="H1404" s="10">
        <v>3</v>
      </c>
      <c r="I1404" s="10"/>
      <c r="J1404" s="10">
        <v>3</v>
      </c>
      <c r="K1404" s="10">
        <v>2152.75</v>
      </c>
    </row>
    <row r="1405" spans="1:11" x14ac:dyDescent="0.25">
      <c r="A1405" s="8" t="s">
        <v>2679</v>
      </c>
      <c r="B1405" s="8" t="s">
        <v>124</v>
      </c>
      <c r="C1405" s="8" t="s">
        <v>1694</v>
      </c>
      <c r="D1405" s="8">
        <v>5</v>
      </c>
      <c r="E1405" s="8" t="s">
        <v>2677</v>
      </c>
      <c r="F1405" s="8" t="s">
        <v>911</v>
      </c>
      <c r="G1405" s="8" t="s">
        <v>2548</v>
      </c>
      <c r="H1405" s="10">
        <v>11</v>
      </c>
      <c r="I1405" s="10"/>
      <c r="J1405" s="10">
        <v>11</v>
      </c>
      <c r="K1405" s="10">
        <v>2152.75</v>
      </c>
    </row>
    <row r="1406" spans="1:11" x14ac:dyDescent="0.25">
      <c r="A1406" s="8" t="s">
        <v>2680</v>
      </c>
      <c r="B1406" s="8" t="s">
        <v>78</v>
      </c>
      <c r="C1406" s="8" t="s">
        <v>1694</v>
      </c>
      <c r="D1406" s="8">
        <v>5</v>
      </c>
      <c r="E1406" s="8" t="s">
        <v>2677</v>
      </c>
      <c r="F1406" s="8" t="s">
        <v>911</v>
      </c>
      <c r="G1406" s="8" t="s">
        <v>2548</v>
      </c>
      <c r="H1406" s="10">
        <v>9</v>
      </c>
      <c r="I1406" s="10"/>
      <c r="J1406" s="10">
        <v>9</v>
      </c>
      <c r="K1406" s="10">
        <v>2152.75</v>
      </c>
    </row>
    <row r="1407" spans="1:11" x14ac:dyDescent="0.25">
      <c r="A1407" s="8" t="s">
        <v>2681</v>
      </c>
      <c r="B1407" s="8" t="s">
        <v>128</v>
      </c>
      <c r="C1407" s="8" t="s">
        <v>1694</v>
      </c>
      <c r="D1407" s="8">
        <v>5</v>
      </c>
      <c r="E1407" s="8" t="s">
        <v>2677</v>
      </c>
      <c r="F1407" s="8" t="s">
        <v>911</v>
      </c>
      <c r="G1407" s="8" t="s">
        <v>2548</v>
      </c>
      <c r="H1407" s="10">
        <v>1</v>
      </c>
      <c r="I1407" s="10"/>
      <c r="J1407" s="10">
        <v>1</v>
      </c>
      <c r="K1407" s="10">
        <v>2152.75</v>
      </c>
    </row>
    <row r="1408" spans="1:11" x14ac:dyDescent="0.25">
      <c r="A1408" s="8" t="s">
        <v>2682</v>
      </c>
      <c r="B1408" s="8" t="s">
        <v>949</v>
      </c>
      <c r="C1408" s="8" t="s">
        <v>1694</v>
      </c>
      <c r="D1408" s="8">
        <v>5</v>
      </c>
      <c r="E1408" s="8" t="s">
        <v>2677</v>
      </c>
      <c r="F1408" s="8" t="s">
        <v>911</v>
      </c>
      <c r="G1408" s="8" t="s">
        <v>2548</v>
      </c>
      <c r="H1408" s="10">
        <v>1</v>
      </c>
      <c r="I1408" s="10"/>
      <c r="J1408" s="10">
        <v>1</v>
      </c>
      <c r="K1408" s="10">
        <v>2152.75</v>
      </c>
    </row>
    <row r="1409" spans="1:11" x14ac:dyDescent="0.25">
      <c r="A1409" s="8" t="s">
        <v>2683</v>
      </c>
      <c r="B1409" s="8" t="s">
        <v>132</v>
      </c>
      <c r="C1409" s="8" t="s">
        <v>1694</v>
      </c>
      <c r="D1409" s="8">
        <v>5</v>
      </c>
      <c r="E1409" s="8" t="s">
        <v>2677</v>
      </c>
      <c r="F1409" s="8" t="s">
        <v>911</v>
      </c>
      <c r="G1409" s="8" t="s">
        <v>2548</v>
      </c>
      <c r="H1409" s="10">
        <v>1</v>
      </c>
      <c r="I1409" s="10"/>
      <c r="J1409" s="10">
        <v>1</v>
      </c>
      <c r="K1409" s="10">
        <v>2152.75</v>
      </c>
    </row>
    <row r="1410" spans="1:11" x14ac:dyDescent="0.25">
      <c r="A1410" s="8" t="s">
        <v>2684</v>
      </c>
      <c r="B1410" s="8" t="s">
        <v>120</v>
      </c>
      <c r="C1410" s="8" t="s">
        <v>2381</v>
      </c>
      <c r="D1410" s="8">
        <v>4</v>
      </c>
      <c r="E1410" s="8" t="s">
        <v>2685</v>
      </c>
      <c r="F1410" s="8" t="s">
        <v>215</v>
      </c>
      <c r="G1410" s="8" t="s">
        <v>2383</v>
      </c>
      <c r="H1410" s="10">
        <v>1</v>
      </c>
      <c r="I1410" s="10"/>
      <c r="J1410" s="10">
        <v>1</v>
      </c>
      <c r="K1410" s="10">
        <v>1989.64</v>
      </c>
    </row>
    <row r="1411" spans="1:11" x14ac:dyDescent="0.25">
      <c r="A1411" s="8" t="s">
        <v>2686</v>
      </c>
      <c r="B1411" s="8" t="s">
        <v>122</v>
      </c>
      <c r="C1411" s="8" t="s">
        <v>2381</v>
      </c>
      <c r="D1411" s="8">
        <v>4</v>
      </c>
      <c r="E1411" s="8" t="s">
        <v>2685</v>
      </c>
      <c r="F1411" s="8" t="s">
        <v>215</v>
      </c>
      <c r="G1411" s="8" t="s">
        <v>2383</v>
      </c>
      <c r="H1411" s="10">
        <v>2</v>
      </c>
      <c r="I1411" s="10"/>
      <c r="J1411" s="10">
        <v>2</v>
      </c>
      <c r="K1411" s="10">
        <v>1989.64</v>
      </c>
    </row>
    <row r="1412" spans="1:11" x14ac:dyDescent="0.25">
      <c r="A1412" s="8" t="s">
        <v>2687</v>
      </c>
      <c r="B1412" s="8" t="s">
        <v>124</v>
      </c>
      <c r="C1412" s="8" t="s">
        <v>2381</v>
      </c>
      <c r="D1412" s="8">
        <v>4</v>
      </c>
      <c r="E1412" s="8" t="s">
        <v>2685</v>
      </c>
      <c r="F1412" s="8" t="s">
        <v>215</v>
      </c>
      <c r="G1412" s="8" t="s">
        <v>2383</v>
      </c>
      <c r="H1412" s="10">
        <v>1</v>
      </c>
      <c r="I1412" s="10"/>
      <c r="J1412" s="10">
        <v>1</v>
      </c>
      <c r="K1412" s="10">
        <v>1989.64</v>
      </c>
    </row>
    <row r="1413" spans="1:11" x14ac:dyDescent="0.25">
      <c r="A1413" s="8" t="s">
        <v>2688</v>
      </c>
      <c r="B1413" s="8" t="s">
        <v>78</v>
      </c>
      <c r="C1413" s="8" t="s">
        <v>2381</v>
      </c>
      <c r="D1413" s="8">
        <v>4</v>
      </c>
      <c r="E1413" s="8" t="s">
        <v>2685</v>
      </c>
      <c r="F1413" s="8" t="s">
        <v>215</v>
      </c>
      <c r="G1413" s="8" t="s">
        <v>2383</v>
      </c>
      <c r="H1413" s="10">
        <v>1</v>
      </c>
      <c r="I1413" s="10"/>
      <c r="J1413" s="10">
        <v>1</v>
      </c>
      <c r="K1413" s="10">
        <v>1989.64</v>
      </c>
    </row>
    <row r="1414" spans="1:11" x14ac:dyDescent="0.25">
      <c r="A1414" s="8" t="s">
        <v>2689</v>
      </c>
      <c r="B1414" s="8" t="s">
        <v>128</v>
      </c>
      <c r="C1414" s="8" t="s">
        <v>2381</v>
      </c>
      <c r="D1414" s="8">
        <v>4</v>
      </c>
      <c r="E1414" s="8" t="s">
        <v>2685</v>
      </c>
      <c r="F1414" s="8" t="s">
        <v>215</v>
      </c>
      <c r="G1414" s="8" t="s">
        <v>2383</v>
      </c>
      <c r="H1414" s="10">
        <v>1</v>
      </c>
      <c r="I1414" s="10"/>
      <c r="J1414" s="10">
        <v>1</v>
      </c>
      <c r="K1414" s="10">
        <v>1989.64</v>
      </c>
    </row>
    <row r="1415" spans="1:11" x14ac:dyDescent="0.25">
      <c r="A1415" s="8" t="s">
        <v>2690</v>
      </c>
      <c r="B1415" s="8" t="s">
        <v>132</v>
      </c>
      <c r="C1415" s="8" t="s">
        <v>2381</v>
      </c>
      <c r="D1415" s="8">
        <v>4</v>
      </c>
      <c r="E1415" s="8" t="s">
        <v>2685</v>
      </c>
      <c r="F1415" s="8" t="s">
        <v>215</v>
      </c>
      <c r="G1415" s="8" t="s">
        <v>2383</v>
      </c>
      <c r="H1415" s="10">
        <v>1</v>
      </c>
      <c r="I1415" s="10"/>
      <c r="J1415" s="10">
        <v>1</v>
      </c>
      <c r="K1415" s="10">
        <v>1989.64</v>
      </c>
    </row>
    <row r="1416" spans="1:11" x14ac:dyDescent="0.25">
      <c r="A1416" s="8" t="s">
        <v>2691</v>
      </c>
      <c r="B1416" s="8" t="s">
        <v>118</v>
      </c>
      <c r="C1416" s="8" t="s">
        <v>2381</v>
      </c>
      <c r="D1416" s="8">
        <v>4</v>
      </c>
      <c r="E1416" s="8" t="s">
        <v>2692</v>
      </c>
      <c r="F1416" s="8" t="s">
        <v>215</v>
      </c>
      <c r="G1416" s="8" t="s">
        <v>2383</v>
      </c>
      <c r="H1416" s="10">
        <v>2</v>
      </c>
      <c r="I1416" s="10"/>
      <c r="J1416" s="10">
        <v>2</v>
      </c>
      <c r="K1416" s="10">
        <v>1989.64</v>
      </c>
    </row>
    <row r="1417" spans="1:11" x14ac:dyDescent="0.25">
      <c r="A1417" s="8" t="s">
        <v>2693</v>
      </c>
      <c r="B1417" s="8" t="s">
        <v>128</v>
      </c>
      <c r="C1417" s="8" t="s">
        <v>2381</v>
      </c>
      <c r="D1417" s="8">
        <v>4</v>
      </c>
      <c r="E1417" s="8" t="s">
        <v>2692</v>
      </c>
      <c r="F1417" s="8" t="s">
        <v>215</v>
      </c>
      <c r="G1417" s="8" t="s">
        <v>2383</v>
      </c>
      <c r="H1417" s="10">
        <v>2</v>
      </c>
      <c r="I1417" s="10"/>
      <c r="J1417" s="10">
        <v>2</v>
      </c>
      <c r="K1417" s="10">
        <v>1989.64</v>
      </c>
    </row>
    <row r="1418" spans="1:11" x14ac:dyDescent="0.25">
      <c r="A1418" s="8" t="s">
        <v>2694</v>
      </c>
      <c r="B1418" s="8" t="s">
        <v>132</v>
      </c>
      <c r="C1418" s="8" t="s">
        <v>2381</v>
      </c>
      <c r="D1418" s="8">
        <v>4</v>
      </c>
      <c r="E1418" s="8" t="s">
        <v>2692</v>
      </c>
      <c r="F1418" s="8" t="s">
        <v>215</v>
      </c>
      <c r="G1418" s="8" t="s">
        <v>2383</v>
      </c>
      <c r="H1418" s="10">
        <v>1</v>
      </c>
      <c r="I1418" s="10"/>
      <c r="J1418" s="10">
        <v>1</v>
      </c>
      <c r="K1418" s="10">
        <v>1989.64</v>
      </c>
    </row>
    <row r="1419" spans="1:11" x14ac:dyDescent="0.25">
      <c r="A1419" s="8" t="s">
        <v>2695</v>
      </c>
      <c r="B1419" s="8" t="s">
        <v>122</v>
      </c>
      <c r="C1419" s="8" t="s">
        <v>2381</v>
      </c>
      <c r="D1419" s="8">
        <v>4</v>
      </c>
      <c r="E1419" s="8" t="s">
        <v>2696</v>
      </c>
      <c r="F1419" s="8" t="s">
        <v>215</v>
      </c>
      <c r="G1419" s="8" t="s">
        <v>2383</v>
      </c>
      <c r="H1419" s="10">
        <v>4</v>
      </c>
      <c r="I1419" s="10"/>
      <c r="J1419" s="10">
        <v>4</v>
      </c>
      <c r="K1419" s="10">
        <v>1989.64</v>
      </c>
    </row>
    <row r="1420" spans="1:11" x14ac:dyDescent="0.25">
      <c r="A1420" s="8" t="s">
        <v>2697</v>
      </c>
      <c r="B1420" s="8" t="s">
        <v>124</v>
      </c>
      <c r="C1420" s="8" t="s">
        <v>2381</v>
      </c>
      <c r="D1420" s="8">
        <v>4</v>
      </c>
      <c r="E1420" s="8" t="s">
        <v>2696</v>
      </c>
      <c r="F1420" s="8" t="s">
        <v>215</v>
      </c>
      <c r="G1420" s="8" t="s">
        <v>2383</v>
      </c>
      <c r="H1420" s="10">
        <v>7</v>
      </c>
      <c r="I1420" s="10"/>
      <c r="J1420" s="10">
        <v>7</v>
      </c>
      <c r="K1420" s="10">
        <v>1989.64</v>
      </c>
    </row>
    <row r="1421" spans="1:11" x14ac:dyDescent="0.25">
      <c r="A1421" s="8" t="s">
        <v>2698</v>
      </c>
      <c r="B1421" s="8" t="s">
        <v>128</v>
      </c>
      <c r="C1421" s="8" t="s">
        <v>2381</v>
      </c>
      <c r="D1421" s="8">
        <v>4</v>
      </c>
      <c r="E1421" s="8" t="s">
        <v>2696</v>
      </c>
      <c r="F1421" s="8" t="s">
        <v>215</v>
      </c>
      <c r="G1421" s="8" t="s">
        <v>2383</v>
      </c>
      <c r="H1421" s="10">
        <v>4</v>
      </c>
      <c r="I1421" s="10"/>
      <c r="J1421" s="10">
        <v>4</v>
      </c>
      <c r="K1421" s="10">
        <v>1989.64</v>
      </c>
    </row>
    <row r="1422" spans="1:11" x14ac:dyDescent="0.25">
      <c r="A1422" s="8" t="s">
        <v>2699</v>
      </c>
      <c r="B1422" s="8" t="s">
        <v>132</v>
      </c>
      <c r="C1422" s="8" t="s">
        <v>2381</v>
      </c>
      <c r="D1422" s="8">
        <v>4</v>
      </c>
      <c r="E1422" s="8" t="s">
        <v>2696</v>
      </c>
      <c r="F1422" s="8" t="s">
        <v>215</v>
      </c>
      <c r="G1422" s="8" t="s">
        <v>2383</v>
      </c>
      <c r="H1422" s="10">
        <v>3</v>
      </c>
      <c r="I1422" s="10"/>
      <c r="J1422" s="10">
        <v>3</v>
      </c>
      <c r="K1422" s="10">
        <v>1989.64</v>
      </c>
    </row>
    <row r="1423" spans="1:11" x14ac:dyDescent="0.25">
      <c r="A1423" s="8" t="s">
        <v>2700</v>
      </c>
      <c r="B1423" s="8" t="s">
        <v>120</v>
      </c>
      <c r="C1423" s="8" t="s">
        <v>2381</v>
      </c>
      <c r="D1423" s="8">
        <v>4</v>
      </c>
      <c r="E1423" s="8" t="s">
        <v>2701</v>
      </c>
      <c r="F1423" s="8" t="s">
        <v>215</v>
      </c>
      <c r="G1423" s="8" t="s">
        <v>2383</v>
      </c>
      <c r="H1423" s="10">
        <v>4</v>
      </c>
      <c r="I1423" s="10"/>
      <c r="J1423" s="10">
        <v>4</v>
      </c>
      <c r="K1423" s="10">
        <v>1989.64</v>
      </c>
    </row>
    <row r="1424" spans="1:11" x14ac:dyDescent="0.25">
      <c r="A1424" s="8" t="s">
        <v>2702</v>
      </c>
      <c r="B1424" s="8" t="s">
        <v>124</v>
      </c>
      <c r="C1424" s="8" t="s">
        <v>2381</v>
      </c>
      <c r="D1424" s="8">
        <v>4</v>
      </c>
      <c r="E1424" s="8" t="s">
        <v>2701</v>
      </c>
      <c r="F1424" s="8" t="s">
        <v>215</v>
      </c>
      <c r="G1424" s="8" t="s">
        <v>2383</v>
      </c>
      <c r="H1424" s="10">
        <v>13</v>
      </c>
      <c r="I1424" s="10"/>
      <c r="J1424" s="10">
        <v>13</v>
      </c>
      <c r="K1424" s="10">
        <v>1989.64</v>
      </c>
    </row>
    <row r="1425" spans="1:11" x14ac:dyDescent="0.25">
      <c r="A1425" s="8" t="s">
        <v>2703</v>
      </c>
      <c r="B1425" s="8" t="s">
        <v>78</v>
      </c>
      <c r="C1425" s="8" t="s">
        <v>2381</v>
      </c>
      <c r="D1425" s="8">
        <v>4</v>
      </c>
      <c r="E1425" s="8" t="s">
        <v>2701</v>
      </c>
      <c r="F1425" s="8" t="s">
        <v>215</v>
      </c>
      <c r="G1425" s="8" t="s">
        <v>2383</v>
      </c>
      <c r="H1425" s="10">
        <v>8</v>
      </c>
      <c r="I1425" s="10"/>
      <c r="J1425" s="10">
        <v>8</v>
      </c>
      <c r="K1425" s="10">
        <v>1989.64</v>
      </c>
    </row>
    <row r="1426" spans="1:11" x14ac:dyDescent="0.25">
      <c r="A1426" s="8" t="s">
        <v>2704</v>
      </c>
      <c r="B1426" s="8" t="s">
        <v>120</v>
      </c>
      <c r="C1426" s="8" t="s">
        <v>2006</v>
      </c>
      <c r="D1426" s="8">
        <v>5</v>
      </c>
      <c r="E1426" s="8" t="s">
        <v>2705</v>
      </c>
      <c r="F1426" s="8" t="s">
        <v>215</v>
      </c>
      <c r="G1426" s="8" t="s">
        <v>2058</v>
      </c>
      <c r="H1426" s="10">
        <v>2</v>
      </c>
      <c r="I1426" s="10"/>
      <c r="J1426" s="10">
        <v>2</v>
      </c>
      <c r="K1426" s="10">
        <v>4288.57</v>
      </c>
    </row>
    <row r="1427" spans="1:11" x14ac:dyDescent="0.25">
      <c r="A1427" s="8" t="s">
        <v>2706</v>
      </c>
      <c r="B1427" s="8" t="s">
        <v>949</v>
      </c>
      <c r="C1427" s="8" t="s">
        <v>2006</v>
      </c>
      <c r="D1427" s="8">
        <v>5</v>
      </c>
      <c r="E1427" s="8" t="s">
        <v>2705</v>
      </c>
      <c r="F1427" s="8" t="s">
        <v>215</v>
      </c>
      <c r="G1427" s="8" t="s">
        <v>2058</v>
      </c>
      <c r="H1427" s="10">
        <v>1</v>
      </c>
      <c r="I1427" s="10"/>
      <c r="J1427" s="10">
        <v>1</v>
      </c>
      <c r="K1427" s="10">
        <v>4288.57</v>
      </c>
    </row>
    <row r="1428" spans="1:11" x14ac:dyDescent="0.25">
      <c r="A1428" s="8" t="s">
        <v>2707</v>
      </c>
      <c r="B1428" s="8" t="s">
        <v>136</v>
      </c>
      <c r="C1428" s="8" t="s">
        <v>2006</v>
      </c>
      <c r="D1428" s="8">
        <v>5</v>
      </c>
      <c r="E1428" s="8" t="s">
        <v>2705</v>
      </c>
      <c r="F1428" s="8" t="s">
        <v>215</v>
      </c>
      <c r="G1428" s="8" t="s">
        <v>2058</v>
      </c>
      <c r="H1428" s="10">
        <v>1</v>
      </c>
      <c r="I1428" s="10"/>
      <c r="J1428" s="10">
        <v>1</v>
      </c>
      <c r="K1428" s="10">
        <v>4288.57</v>
      </c>
    </row>
    <row r="1429" spans="1:11" x14ac:dyDescent="0.25">
      <c r="A1429" s="8" t="s">
        <v>2708</v>
      </c>
      <c r="B1429" s="8" t="s">
        <v>78</v>
      </c>
      <c r="C1429" s="8" t="s">
        <v>2006</v>
      </c>
      <c r="D1429" s="8">
        <v>5</v>
      </c>
      <c r="E1429" s="8" t="s">
        <v>2709</v>
      </c>
      <c r="F1429" s="8" t="s">
        <v>215</v>
      </c>
      <c r="G1429" s="8" t="s">
        <v>2058</v>
      </c>
      <c r="H1429" s="10">
        <v>3</v>
      </c>
      <c r="I1429" s="10"/>
      <c r="J1429" s="10">
        <v>3</v>
      </c>
      <c r="K1429" s="10">
        <v>5176.74</v>
      </c>
    </row>
    <row r="1430" spans="1:11" x14ac:dyDescent="0.25">
      <c r="A1430" s="8" t="s">
        <v>2710</v>
      </c>
      <c r="B1430" s="8" t="s">
        <v>120</v>
      </c>
      <c r="C1430" s="8" t="s">
        <v>2006</v>
      </c>
      <c r="D1430" s="8">
        <v>5</v>
      </c>
      <c r="E1430" s="8" t="s">
        <v>2711</v>
      </c>
      <c r="F1430" s="8" t="s">
        <v>215</v>
      </c>
      <c r="G1430" s="8" t="s">
        <v>2058</v>
      </c>
      <c r="H1430" s="10">
        <v>3</v>
      </c>
      <c r="I1430" s="10"/>
      <c r="J1430" s="10">
        <v>3</v>
      </c>
      <c r="K1430" s="10">
        <v>6394.8</v>
      </c>
    </row>
    <row r="1431" spans="1:11" x14ac:dyDescent="0.25">
      <c r="A1431" s="8" t="s">
        <v>2712</v>
      </c>
      <c r="B1431" s="8" t="s">
        <v>122</v>
      </c>
      <c r="C1431" s="8" t="s">
        <v>2006</v>
      </c>
      <c r="D1431" s="8">
        <v>5</v>
      </c>
      <c r="E1431" s="8" t="s">
        <v>2711</v>
      </c>
      <c r="F1431" s="8" t="s">
        <v>215</v>
      </c>
      <c r="G1431" s="8" t="s">
        <v>2058</v>
      </c>
      <c r="H1431" s="10">
        <v>1</v>
      </c>
      <c r="I1431" s="10"/>
      <c r="J1431" s="10">
        <v>1</v>
      </c>
      <c r="K1431" s="10">
        <v>6394.8</v>
      </c>
    </row>
    <row r="1432" spans="1:11" x14ac:dyDescent="0.25">
      <c r="A1432" s="8" t="s">
        <v>2713</v>
      </c>
      <c r="B1432" s="8" t="s">
        <v>124</v>
      </c>
      <c r="C1432" s="8" t="s">
        <v>2006</v>
      </c>
      <c r="D1432" s="8">
        <v>5</v>
      </c>
      <c r="E1432" s="8" t="s">
        <v>2711</v>
      </c>
      <c r="F1432" s="8" t="s">
        <v>215</v>
      </c>
      <c r="G1432" s="8" t="s">
        <v>2058</v>
      </c>
      <c r="H1432" s="10">
        <v>5</v>
      </c>
      <c r="I1432" s="10"/>
      <c r="J1432" s="10">
        <v>5</v>
      </c>
      <c r="K1432" s="10">
        <v>6394.8</v>
      </c>
    </row>
    <row r="1433" spans="1:11" x14ac:dyDescent="0.25">
      <c r="A1433" s="8" t="s">
        <v>2714</v>
      </c>
      <c r="B1433" s="8" t="s">
        <v>78</v>
      </c>
      <c r="C1433" s="8" t="s">
        <v>2006</v>
      </c>
      <c r="D1433" s="8">
        <v>5</v>
      </c>
      <c r="E1433" s="8" t="s">
        <v>2711</v>
      </c>
      <c r="F1433" s="8" t="s">
        <v>215</v>
      </c>
      <c r="G1433" s="8" t="s">
        <v>2058</v>
      </c>
      <c r="H1433" s="10">
        <v>5</v>
      </c>
      <c r="I1433" s="10"/>
      <c r="J1433" s="10">
        <v>5</v>
      </c>
      <c r="K1433" s="10">
        <v>6394.8</v>
      </c>
    </row>
    <row r="1434" spans="1:11" x14ac:dyDescent="0.25">
      <c r="A1434" s="8" t="s">
        <v>2715</v>
      </c>
      <c r="B1434" s="8" t="s">
        <v>134</v>
      </c>
      <c r="C1434" s="8" t="s">
        <v>2006</v>
      </c>
      <c r="D1434" s="8">
        <v>5</v>
      </c>
      <c r="E1434" s="8" t="s">
        <v>2711</v>
      </c>
      <c r="F1434" s="8" t="s">
        <v>215</v>
      </c>
      <c r="G1434" s="8" t="s">
        <v>2058</v>
      </c>
      <c r="H1434" s="10">
        <v>3</v>
      </c>
      <c r="I1434" s="10"/>
      <c r="J1434" s="10">
        <v>3</v>
      </c>
      <c r="K1434" s="10">
        <v>6394.8</v>
      </c>
    </row>
    <row r="1435" spans="1:11" x14ac:dyDescent="0.25">
      <c r="A1435" s="8" t="s">
        <v>2716</v>
      </c>
      <c r="B1435" s="8" t="s">
        <v>80</v>
      </c>
      <c r="C1435" s="8" t="s">
        <v>2006</v>
      </c>
      <c r="D1435" s="8">
        <v>5</v>
      </c>
      <c r="E1435" s="8" t="s">
        <v>2711</v>
      </c>
      <c r="F1435" s="8" t="s">
        <v>215</v>
      </c>
      <c r="G1435" s="8" t="s">
        <v>2058</v>
      </c>
      <c r="H1435" s="10">
        <v>1</v>
      </c>
      <c r="I1435" s="10"/>
      <c r="J1435" s="10">
        <v>1</v>
      </c>
      <c r="K1435" s="10">
        <v>6394.8</v>
      </c>
    </row>
    <row r="1436" spans="1:11" x14ac:dyDescent="0.25">
      <c r="A1436" s="8" t="s">
        <v>2717</v>
      </c>
      <c r="B1436" s="8" t="s">
        <v>122</v>
      </c>
      <c r="C1436" s="8" t="s">
        <v>2006</v>
      </c>
      <c r="D1436" s="8">
        <v>5</v>
      </c>
      <c r="E1436" s="8" t="s">
        <v>2718</v>
      </c>
      <c r="F1436" s="8" t="s">
        <v>215</v>
      </c>
      <c r="G1436" s="8" t="s">
        <v>2058</v>
      </c>
      <c r="H1436" s="10">
        <v>2</v>
      </c>
      <c r="I1436" s="10"/>
      <c r="J1436" s="10">
        <v>2</v>
      </c>
      <c r="K1436" s="10">
        <v>6394.8</v>
      </c>
    </row>
    <row r="1437" spans="1:11" x14ac:dyDescent="0.25">
      <c r="A1437" s="8" t="s">
        <v>2719</v>
      </c>
      <c r="B1437" s="8" t="s">
        <v>124</v>
      </c>
      <c r="C1437" s="8" t="s">
        <v>2006</v>
      </c>
      <c r="D1437" s="8">
        <v>5</v>
      </c>
      <c r="E1437" s="8" t="s">
        <v>2718</v>
      </c>
      <c r="F1437" s="8" t="s">
        <v>215</v>
      </c>
      <c r="G1437" s="8" t="s">
        <v>2058</v>
      </c>
      <c r="H1437" s="10">
        <v>1</v>
      </c>
      <c r="I1437" s="10"/>
      <c r="J1437" s="10">
        <v>1</v>
      </c>
      <c r="K1437" s="10">
        <v>6394.8</v>
      </c>
    </row>
    <row r="1438" spans="1:11" x14ac:dyDescent="0.25">
      <c r="A1438" s="8" t="s">
        <v>2720</v>
      </c>
      <c r="B1438" s="8" t="s">
        <v>120</v>
      </c>
      <c r="C1438" s="8" t="s">
        <v>2006</v>
      </c>
      <c r="D1438" s="8">
        <v>5</v>
      </c>
      <c r="E1438" s="8" t="s">
        <v>2721</v>
      </c>
      <c r="F1438" s="8" t="s">
        <v>215</v>
      </c>
      <c r="G1438" s="8" t="s">
        <v>2058</v>
      </c>
      <c r="H1438" s="10">
        <v>2</v>
      </c>
      <c r="I1438" s="10"/>
      <c r="J1438" s="10">
        <v>2</v>
      </c>
      <c r="K1438" s="10">
        <v>8830.91</v>
      </c>
    </row>
    <row r="1439" spans="1:11" x14ac:dyDescent="0.25">
      <c r="A1439" s="8" t="s">
        <v>2722</v>
      </c>
      <c r="B1439" s="8" t="s">
        <v>124</v>
      </c>
      <c r="C1439" s="8" t="s">
        <v>2006</v>
      </c>
      <c r="D1439" s="8">
        <v>5</v>
      </c>
      <c r="E1439" s="8" t="s">
        <v>2721</v>
      </c>
      <c r="F1439" s="8" t="s">
        <v>215</v>
      </c>
      <c r="G1439" s="8" t="s">
        <v>2058</v>
      </c>
      <c r="H1439" s="10">
        <v>5</v>
      </c>
      <c r="I1439" s="10"/>
      <c r="J1439" s="10">
        <v>5</v>
      </c>
      <c r="K1439" s="10">
        <v>8830.91</v>
      </c>
    </row>
    <row r="1440" spans="1:11" x14ac:dyDescent="0.25">
      <c r="A1440" s="8" t="s">
        <v>2723</v>
      </c>
      <c r="B1440" s="8" t="s">
        <v>78</v>
      </c>
      <c r="C1440" s="8" t="s">
        <v>2006</v>
      </c>
      <c r="D1440" s="8">
        <v>5</v>
      </c>
      <c r="E1440" s="8" t="s">
        <v>2721</v>
      </c>
      <c r="F1440" s="8" t="s">
        <v>215</v>
      </c>
      <c r="G1440" s="8" t="s">
        <v>2058</v>
      </c>
      <c r="H1440" s="10">
        <v>6</v>
      </c>
      <c r="I1440" s="10"/>
      <c r="J1440" s="10">
        <v>6</v>
      </c>
      <c r="K1440" s="10">
        <v>8830.91</v>
      </c>
    </row>
    <row r="1441" spans="1:11" x14ac:dyDescent="0.25">
      <c r="A1441" s="8" t="s">
        <v>2724</v>
      </c>
      <c r="B1441" s="8" t="s">
        <v>128</v>
      </c>
      <c r="C1441" s="8" t="s">
        <v>2006</v>
      </c>
      <c r="D1441" s="8">
        <v>5</v>
      </c>
      <c r="E1441" s="8" t="s">
        <v>2721</v>
      </c>
      <c r="F1441" s="8" t="s">
        <v>215</v>
      </c>
      <c r="G1441" s="8" t="s">
        <v>2058</v>
      </c>
      <c r="H1441" s="10">
        <v>3</v>
      </c>
      <c r="I1441" s="10"/>
      <c r="J1441" s="10">
        <v>3</v>
      </c>
      <c r="K1441" s="10">
        <v>8830.91</v>
      </c>
    </row>
    <row r="1442" spans="1:11" x14ac:dyDescent="0.25">
      <c r="A1442" s="8" t="s">
        <v>2725</v>
      </c>
      <c r="B1442" s="8" t="s">
        <v>132</v>
      </c>
      <c r="C1442" s="8" t="s">
        <v>2006</v>
      </c>
      <c r="D1442" s="8">
        <v>5</v>
      </c>
      <c r="E1442" s="8" t="s">
        <v>2721</v>
      </c>
      <c r="F1442" s="8" t="s">
        <v>215</v>
      </c>
      <c r="G1442" s="8" t="s">
        <v>2058</v>
      </c>
      <c r="H1442" s="10">
        <v>2</v>
      </c>
      <c r="I1442" s="10"/>
      <c r="J1442" s="10">
        <v>2</v>
      </c>
      <c r="K1442" s="10">
        <v>8830.91</v>
      </c>
    </row>
    <row r="1443" spans="1:11" x14ac:dyDescent="0.25">
      <c r="A1443" s="8" t="s">
        <v>2726</v>
      </c>
      <c r="B1443" s="8" t="s">
        <v>138</v>
      </c>
      <c r="C1443" s="8" t="s">
        <v>2006</v>
      </c>
      <c r="D1443" s="8">
        <v>5</v>
      </c>
      <c r="E1443" s="8" t="s">
        <v>2721</v>
      </c>
      <c r="F1443" s="8" t="s">
        <v>215</v>
      </c>
      <c r="G1443" s="8" t="s">
        <v>2058</v>
      </c>
      <c r="H1443" s="10">
        <v>1</v>
      </c>
      <c r="I1443" s="10"/>
      <c r="J1443" s="10">
        <v>1</v>
      </c>
      <c r="K1443" s="10">
        <v>8830.91</v>
      </c>
    </row>
    <row r="1444" spans="1:11" x14ac:dyDescent="0.25">
      <c r="A1444" s="8" t="s">
        <v>2727</v>
      </c>
      <c r="B1444" s="8" t="s">
        <v>1650</v>
      </c>
      <c r="C1444" s="8" t="s">
        <v>1694</v>
      </c>
      <c r="D1444" s="8">
        <v>5</v>
      </c>
      <c r="E1444" s="8" t="s">
        <v>2728</v>
      </c>
      <c r="F1444" s="8" t="s">
        <v>215</v>
      </c>
      <c r="G1444" s="8" t="s">
        <v>2282</v>
      </c>
      <c r="H1444" s="10">
        <v>1</v>
      </c>
      <c r="I1444" s="10"/>
      <c r="J1444" s="10">
        <v>1</v>
      </c>
      <c r="K1444" s="10">
        <v>803.86</v>
      </c>
    </row>
    <row r="1445" spans="1:11" x14ac:dyDescent="0.25">
      <c r="A1445" s="8" t="s">
        <v>2729</v>
      </c>
      <c r="B1445" s="8" t="s">
        <v>120</v>
      </c>
      <c r="C1445" s="8" t="s">
        <v>1694</v>
      </c>
      <c r="D1445" s="8">
        <v>5</v>
      </c>
      <c r="E1445" s="8" t="s">
        <v>2728</v>
      </c>
      <c r="F1445" s="8" t="s">
        <v>215</v>
      </c>
      <c r="G1445" s="8" t="s">
        <v>2282</v>
      </c>
      <c r="H1445" s="10">
        <v>1</v>
      </c>
      <c r="I1445" s="10"/>
      <c r="J1445" s="10">
        <v>1</v>
      </c>
      <c r="K1445" s="10">
        <v>803.86</v>
      </c>
    </row>
    <row r="1446" spans="1:11" x14ac:dyDescent="0.25">
      <c r="A1446" s="8" t="s">
        <v>2730</v>
      </c>
      <c r="B1446" s="8" t="s">
        <v>1655</v>
      </c>
      <c r="C1446" s="8" t="s">
        <v>1694</v>
      </c>
      <c r="D1446" s="8">
        <v>5</v>
      </c>
      <c r="E1446" s="8" t="s">
        <v>2728</v>
      </c>
      <c r="F1446" s="8" t="s">
        <v>215</v>
      </c>
      <c r="G1446" s="8" t="s">
        <v>2282</v>
      </c>
      <c r="H1446" s="10">
        <v>1</v>
      </c>
      <c r="I1446" s="10"/>
      <c r="J1446" s="10">
        <v>1</v>
      </c>
      <c r="K1446" s="10">
        <v>803.86</v>
      </c>
    </row>
    <row r="1447" spans="1:11" x14ac:dyDescent="0.25">
      <c r="A1447" s="8" t="s">
        <v>2731</v>
      </c>
      <c r="B1447" s="8" t="s">
        <v>2732</v>
      </c>
      <c r="C1447" s="8" t="s">
        <v>1694</v>
      </c>
      <c r="D1447" s="8">
        <v>5</v>
      </c>
      <c r="E1447" s="8" t="s">
        <v>2728</v>
      </c>
      <c r="F1447" s="8" t="s">
        <v>215</v>
      </c>
      <c r="G1447" s="8" t="s">
        <v>2282</v>
      </c>
      <c r="H1447" s="10">
        <v>1</v>
      </c>
      <c r="I1447" s="10"/>
      <c r="J1447" s="10">
        <v>1</v>
      </c>
      <c r="K1447" s="10">
        <v>803.86</v>
      </c>
    </row>
    <row r="1448" spans="1:11" x14ac:dyDescent="0.25">
      <c r="A1448" s="8" t="s">
        <v>2733</v>
      </c>
      <c r="B1448" s="8" t="s">
        <v>116</v>
      </c>
      <c r="C1448" s="8" t="s">
        <v>1694</v>
      </c>
      <c r="D1448" s="8">
        <v>5</v>
      </c>
      <c r="E1448" s="8" t="s">
        <v>2734</v>
      </c>
      <c r="F1448" s="8" t="s">
        <v>215</v>
      </c>
      <c r="G1448" s="8" t="s">
        <v>2282</v>
      </c>
      <c r="H1448" s="10">
        <v>1</v>
      </c>
      <c r="I1448" s="10"/>
      <c r="J1448" s="10">
        <v>1</v>
      </c>
      <c r="K1448" s="10">
        <v>803.86</v>
      </c>
    </row>
    <row r="1449" spans="1:11" x14ac:dyDescent="0.25">
      <c r="A1449" s="8" t="s">
        <v>2735</v>
      </c>
      <c r="B1449" s="8" t="s">
        <v>116</v>
      </c>
      <c r="C1449" s="8" t="s">
        <v>1694</v>
      </c>
      <c r="D1449" s="8">
        <v>5</v>
      </c>
      <c r="E1449" s="8" t="s">
        <v>2734</v>
      </c>
      <c r="F1449" s="8" t="s">
        <v>215</v>
      </c>
      <c r="G1449" s="8" t="s">
        <v>2282</v>
      </c>
      <c r="H1449" s="10">
        <v>2</v>
      </c>
      <c r="I1449" s="10"/>
      <c r="J1449" s="10">
        <v>2</v>
      </c>
      <c r="K1449" s="10">
        <v>803.86</v>
      </c>
    </row>
    <row r="1450" spans="1:11" x14ac:dyDescent="0.25">
      <c r="A1450" s="8" t="s">
        <v>2736</v>
      </c>
      <c r="B1450" s="8" t="s">
        <v>118</v>
      </c>
      <c r="C1450" s="8" t="s">
        <v>1694</v>
      </c>
      <c r="D1450" s="8">
        <v>5</v>
      </c>
      <c r="E1450" s="8" t="s">
        <v>2734</v>
      </c>
      <c r="F1450" s="8" t="s">
        <v>215</v>
      </c>
      <c r="G1450" s="8" t="s">
        <v>2282</v>
      </c>
      <c r="H1450" s="10">
        <v>3</v>
      </c>
      <c r="I1450" s="10"/>
      <c r="J1450" s="10">
        <v>3</v>
      </c>
      <c r="K1450" s="10">
        <v>803.86</v>
      </c>
    </row>
    <row r="1451" spans="1:11" x14ac:dyDescent="0.25">
      <c r="A1451" s="8" t="s">
        <v>2737</v>
      </c>
      <c r="B1451" s="8" t="s">
        <v>120</v>
      </c>
      <c r="C1451" s="8" t="s">
        <v>1694</v>
      </c>
      <c r="D1451" s="8">
        <v>5</v>
      </c>
      <c r="E1451" s="8" t="s">
        <v>2734</v>
      </c>
      <c r="F1451" s="8" t="s">
        <v>215</v>
      </c>
      <c r="G1451" s="8" t="s">
        <v>2282</v>
      </c>
      <c r="H1451" s="10">
        <v>2</v>
      </c>
      <c r="I1451" s="10"/>
      <c r="J1451" s="10">
        <v>2</v>
      </c>
      <c r="K1451" s="10">
        <v>803.86</v>
      </c>
    </row>
    <row r="1452" spans="1:11" x14ac:dyDescent="0.25">
      <c r="A1452" s="8" t="s">
        <v>2738</v>
      </c>
      <c r="B1452" s="8" t="s">
        <v>122</v>
      </c>
      <c r="C1452" s="8" t="s">
        <v>1694</v>
      </c>
      <c r="D1452" s="8">
        <v>5</v>
      </c>
      <c r="E1452" s="8" t="s">
        <v>2734</v>
      </c>
      <c r="F1452" s="8" t="s">
        <v>215</v>
      </c>
      <c r="G1452" s="8" t="s">
        <v>2282</v>
      </c>
      <c r="H1452" s="10">
        <v>1</v>
      </c>
      <c r="I1452" s="10"/>
      <c r="J1452" s="10">
        <v>1</v>
      </c>
      <c r="K1452" s="10">
        <v>803.86</v>
      </c>
    </row>
    <row r="1453" spans="1:11" x14ac:dyDescent="0.25">
      <c r="A1453" s="8" t="s">
        <v>2739</v>
      </c>
      <c r="B1453" s="8" t="s">
        <v>124</v>
      </c>
      <c r="C1453" s="8" t="s">
        <v>1694</v>
      </c>
      <c r="D1453" s="8">
        <v>5</v>
      </c>
      <c r="E1453" s="8" t="s">
        <v>2734</v>
      </c>
      <c r="F1453" s="8" t="s">
        <v>215</v>
      </c>
      <c r="G1453" s="8" t="s">
        <v>2282</v>
      </c>
      <c r="H1453" s="10">
        <v>1</v>
      </c>
      <c r="I1453" s="10"/>
      <c r="J1453" s="10">
        <v>1</v>
      </c>
      <c r="K1453" s="10">
        <v>803.86</v>
      </c>
    </row>
    <row r="1454" spans="1:11" x14ac:dyDescent="0.25">
      <c r="A1454" s="8" t="s">
        <v>2740</v>
      </c>
      <c r="B1454" s="8" t="s">
        <v>78</v>
      </c>
      <c r="C1454" s="8" t="s">
        <v>1694</v>
      </c>
      <c r="D1454" s="8">
        <v>5</v>
      </c>
      <c r="E1454" s="8" t="s">
        <v>2734</v>
      </c>
      <c r="F1454" s="8" t="s">
        <v>215</v>
      </c>
      <c r="G1454" s="8" t="s">
        <v>2282</v>
      </c>
      <c r="H1454" s="10">
        <v>1</v>
      </c>
      <c r="I1454" s="10"/>
      <c r="J1454" s="10">
        <v>1</v>
      </c>
      <c r="K1454" s="10">
        <v>803.86</v>
      </c>
    </row>
    <row r="1455" spans="1:11" x14ac:dyDescent="0.25">
      <c r="A1455" s="8" t="s">
        <v>2741</v>
      </c>
      <c r="B1455" s="8" t="s">
        <v>130</v>
      </c>
      <c r="C1455" s="8" t="s">
        <v>1694</v>
      </c>
      <c r="D1455" s="8">
        <v>5</v>
      </c>
      <c r="E1455" s="8" t="s">
        <v>2734</v>
      </c>
      <c r="F1455" s="8" t="s">
        <v>215</v>
      </c>
      <c r="G1455" s="8" t="s">
        <v>2282</v>
      </c>
      <c r="H1455" s="10">
        <v>2</v>
      </c>
      <c r="I1455" s="10"/>
      <c r="J1455" s="10">
        <v>2</v>
      </c>
      <c r="K1455" s="10">
        <v>803.86</v>
      </c>
    </row>
    <row r="1456" spans="1:11" x14ac:dyDescent="0.25">
      <c r="A1456" s="8" t="s">
        <v>2742</v>
      </c>
      <c r="B1456" s="8" t="s">
        <v>1650</v>
      </c>
      <c r="C1456" s="8" t="s">
        <v>1694</v>
      </c>
      <c r="D1456" s="8">
        <v>5</v>
      </c>
      <c r="E1456" s="8" t="s">
        <v>2743</v>
      </c>
      <c r="F1456" s="8" t="s">
        <v>215</v>
      </c>
      <c r="G1456" s="8" t="s">
        <v>2282</v>
      </c>
      <c r="H1456" s="10">
        <v>1</v>
      </c>
      <c r="I1456" s="10"/>
      <c r="J1456" s="10">
        <v>1</v>
      </c>
      <c r="K1456" s="10">
        <v>803.86</v>
      </c>
    </row>
    <row r="1457" spans="1:11" x14ac:dyDescent="0.25">
      <c r="A1457" s="8" t="s">
        <v>2744</v>
      </c>
      <c r="B1457" s="8" t="s">
        <v>120</v>
      </c>
      <c r="C1457" s="8" t="s">
        <v>1694</v>
      </c>
      <c r="D1457" s="8">
        <v>5</v>
      </c>
      <c r="E1457" s="8" t="s">
        <v>2743</v>
      </c>
      <c r="F1457" s="8" t="s">
        <v>215</v>
      </c>
      <c r="G1457" s="8" t="s">
        <v>2282</v>
      </c>
      <c r="H1457" s="10">
        <v>1</v>
      </c>
      <c r="I1457" s="10"/>
      <c r="J1457" s="10">
        <v>1</v>
      </c>
      <c r="K1457" s="10">
        <v>803.86</v>
      </c>
    </row>
    <row r="1458" spans="1:11" x14ac:dyDescent="0.25">
      <c r="A1458" s="8" t="s">
        <v>2745</v>
      </c>
      <c r="B1458" s="8" t="s">
        <v>1655</v>
      </c>
      <c r="C1458" s="8" t="s">
        <v>1694</v>
      </c>
      <c r="D1458" s="8">
        <v>5</v>
      </c>
      <c r="E1458" s="8" t="s">
        <v>2743</v>
      </c>
      <c r="F1458" s="8" t="s">
        <v>215</v>
      </c>
      <c r="G1458" s="8" t="s">
        <v>2282</v>
      </c>
      <c r="H1458" s="10">
        <v>1</v>
      </c>
      <c r="I1458" s="10"/>
      <c r="J1458" s="10">
        <v>1</v>
      </c>
      <c r="K1458" s="10">
        <v>803.86</v>
      </c>
    </row>
    <row r="1459" spans="1:11" x14ac:dyDescent="0.25">
      <c r="A1459" s="8" t="s">
        <v>2746</v>
      </c>
      <c r="B1459" s="8" t="s">
        <v>116</v>
      </c>
      <c r="C1459" s="8" t="s">
        <v>2006</v>
      </c>
      <c r="D1459" s="8">
        <v>5</v>
      </c>
      <c r="E1459" s="8" t="s">
        <v>2747</v>
      </c>
      <c r="F1459" s="8" t="s">
        <v>215</v>
      </c>
      <c r="G1459" s="8" t="s">
        <v>2748</v>
      </c>
      <c r="H1459" s="10">
        <v>2</v>
      </c>
      <c r="I1459" s="10"/>
      <c r="J1459" s="10">
        <v>2</v>
      </c>
      <c r="K1459" s="10">
        <v>401.93</v>
      </c>
    </row>
    <row r="1460" spans="1:11" x14ac:dyDescent="0.25">
      <c r="A1460" s="8" t="s">
        <v>2749</v>
      </c>
      <c r="B1460" s="8" t="s">
        <v>116</v>
      </c>
      <c r="C1460" s="8" t="s">
        <v>2006</v>
      </c>
      <c r="D1460" s="8">
        <v>5</v>
      </c>
      <c r="E1460" s="8" t="s">
        <v>2747</v>
      </c>
      <c r="F1460" s="8" t="s">
        <v>215</v>
      </c>
      <c r="G1460" s="8" t="s">
        <v>2748</v>
      </c>
      <c r="H1460" s="10">
        <v>1</v>
      </c>
      <c r="I1460" s="10"/>
      <c r="J1460" s="10">
        <v>1</v>
      </c>
      <c r="K1460" s="10">
        <v>401.93</v>
      </c>
    </row>
    <row r="1461" spans="1:11" x14ac:dyDescent="0.25">
      <c r="A1461" s="8" t="s">
        <v>2750</v>
      </c>
      <c r="B1461" s="8" t="s">
        <v>118</v>
      </c>
      <c r="C1461" s="8" t="s">
        <v>2006</v>
      </c>
      <c r="D1461" s="8">
        <v>5</v>
      </c>
      <c r="E1461" s="8" t="s">
        <v>2747</v>
      </c>
      <c r="F1461" s="8" t="s">
        <v>215</v>
      </c>
      <c r="G1461" s="8" t="s">
        <v>2748</v>
      </c>
      <c r="H1461" s="10">
        <v>3</v>
      </c>
      <c r="I1461" s="10"/>
      <c r="J1461" s="10">
        <v>3</v>
      </c>
      <c r="K1461" s="10">
        <v>401.93</v>
      </c>
    </row>
    <row r="1462" spans="1:11" x14ac:dyDescent="0.25">
      <c r="A1462" s="8" t="s">
        <v>2751</v>
      </c>
      <c r="B1462" s="8" t="s">
        <v>120</v>
      </c>
      <c r="C1462" s="8" t="s">
        <v>2006</v>
      </c>
      <c r="D1462" s="8">
        <v>5</v>
      </c>
      <c r="E1462" s="8" t="s">
        <v>2747</v>
      </c>
      <c r="F1462" s="8" t="s">
        <v>215</v>
      </c>
      <c r="G1462" s="8" t="s">
        <v>2748</v>
      </c>
      <c r="H1462" s="10">
        <v>2</v>
      </c>
      <c r="I1462" s="10"/>
      <c r="J1462" s="10">
        <v>2</v>
      </c>
      <c r="K1462" s="10">
        <v>401.93</v>
      </c>
    </row>
    <row r="1463" spans="1:11" x14ac:dyDescent="0.25">
      <c r="A1463" s="8" t="s">
        <v>2752</v>
      </c>
      <c r="B1463" s="8" t="s">
        <v>122</v>
      </c>
      <c r="C1463" s="8" t="s">
        <v>2006</v>
      </c>
      <c r="D1463" s="8">
        <v>5</v>
      </c>
      <c r="E1463" s="8" t="s">
        <v>2747</v>
      </c>
      <c r="F1463" s="8" t="s">
        <v>215</v>
      </c>
      <c r="G1463" s="8" t="s">
        <v>2748</v>
      </c>
      <c r="H1463" s="10">
        <v>1</v>
      </c>
      <c r="I1463" s="10"/>
      <c r="J1463" s="10">
        <v>1</v>
      </c>
      <c r="K1463" s="10">
        <v>401.93</v>
      </c>
    </row>
    <row r="1464" spans="1:11" x14ac:dyDescent="0.25">
      <c r="A1464" s="8" t="s">
        <v>2753</v>
      </c>
      <c r="B1464" s="8" t="s">
        <v>124</v>
      </c>
      <c r="C1464" s="8" t="s">
        <v>2006</v>
      </c>
      <c r="D1464" s="8">
        <v>5</v>
      </c>
      <c r="E1464" s="8" t="s">
        <v>2747</v>
      </c>
      <c r="F1464" s="8" t="s">
        <v>215</v>
      </c>
      <c r="G1464" s="8" t="s">
        <v>2748</v>
      </c>
      <c r="H1464" s="10">
        <v>1</v>
      </c>
      <c r="I1464" s="10"/>
      <c r="J1464" s="10">
        <v>1</v>
      </c>
      <c r="K1464" s="10">
        <v>401.93</v>
      </c>
    </row>
    <row r="1465" spans="1:11" x14ac:dyDescent="0.25">
      <c r="A1465" s="8" t="s">
        <v>2754</v>
      </c>
      <c r="B1465" s="8" t="s">
        <v>78</v>
      </c>
      <c r="C1465" s="8" t="s">
        <v>2006</v>
      </c>
      <c r="D1465" s="8">
        <v>5</v>
      </c>
      <c r="E1465" s="8" t="s">
        <v>2747</v>
      </c>
      <c r="F1465" s="8" t="s">
        <v>215</v>
      </c>
      <c r="G1465" s="8" t="s">
        <v>2748</v>
      </c>
      <c r="H1465" s="10">
        <v>1</v>
      </c>
      <c r="I1465" s="10"/>
      <c r="J1465" s="10">
        <v>1</v>
      </c>
      <c r="K1465" s="10">
        <v>401.93</v>
      </c>
    </row>
    <row r="1466" spans="1:11" x14ac:dyDescent="0.25">
      <c r="A1466" s="8" t="s">
        <v>2755</v>
      </c>
      <c r="B1466" s="8" t="s">
        <v>130</v>
      </c>
      <c r="C1466" s="8" t="s">
        <v>2006</v>
      </c>
      <c r="D1466" s="8">
        <v>5</v>
      </c>
      <c r="E1466" s="8" t="s">
        <v>2747</v>
      </c>
      <c r="F1466" s="8" t="s">
        <v>215</v>
      </c>
      <c r="G1466" s="8" t="s">
        <v>2748</v>
      </c>
      <c r="H1466" s="10">
        <v>2</v>
      </c>
      <c r="I1466" s="10"/>
      <c r="J1466" s="10">
        <v>2</v>
      </c>
      <c r="K1466" s="10">
        <v>401.93</v>
      </c>
    </row>
    <row r="1467" spans="1:11" x14ac:dyDescent="0.25">
      <c r="A1467" s="8" t="s">
        <v>2756</v>
      </c>
      <c r="B1467" s="8" t="s">
        <v>65</v>
      </c>
      <c r="C1467" s="8" t="s">
        <v>2006</v>
      </c>
      <c r="D1467" s="8">
        <v>5</v>
      </c>
      <c r="E1467" s="8" t="s">
        <v>2757</v>
      </c>
      <c r="F1467" s="8" t="s">
        <v>215</v>
      </c>
      <c r="G1467" s="8" t="s">
        <v>2748</v>
      </c>
      <c r="H1467" s="10">
        <v>2</v>
      </c>
      <c r="I1467" s="10"/>
      <c r="J1467" s="10">
        <v>2</v>
      </c>
      <c r="K1467" s="10">
        <v>401.93</v>
      </c>
    </row>
    <row r="1468" spans="1:11" x14ac:dyDescent="0.25">
      <c r="A1468" s="8" t="s">
        <v>2758</v>
      </c>
      <c r="B1468" s="8" t="s">
        <v>1650</v>
      </c>
      <c r="C1468" s="8" t="s">
        <v>2006</v>
      </c>
      <c r="D1468" s="8">
        <v>5</v>
      </c>
      <c r="E1468" s="8" t="s">
        <v>2757</v>
      </c>
      <c r="F1468" s="8" t="s">
        <v>215</v>
      </c>
      <c r="G1468" s="8" t="s">
        <v>2748</v>
      </c>
      <c r="H1468" s="10">
        <v>1</v>
      </c>
      <c r="I1468" s="10"/>
      <c r="J1468" s="10">
        <v>1</v>
      </c>
      <c r="K1468" s="10">
        <v>401.93</v>
      </c>
    </row>
    <row r="1469" spans="1:11" x14ac:dyDescent="0.25">
      <c r="A1469" s="8" t="s">
        <v>2759</v>
      </c>
      <c r="B1469" s="8" t="s">
        <v>120</v>
      </c>
      <c r="C1469" s="8" t="s">
        <v>2006</v>
      </c>
      <c r="D1469" s="8">
        <v>5</v>
      </c>
      <c r="E1469" s="8" t="s">
        <v>2757</v>
      </c>
      <c r="F1469" s="8" t="s">
        <v>215</v>
      </c>
      <c r="G1469" s="8" t="s">
        <v>2748</v>
      </c>
      <c r="H1469" s="10">
        <v>1</v>
      </c>
      <c r="I1469" s="10"/>
      <c r="J1469" s="10">
        <v>1</v>
      </c>
      <c r="K1469" s="10">
        <v>401.93</v>
      </c>
    </row>
    <row r="1470" spans="1:11" x14ac:dyDescent="0.25">
      <c r="A1470" s="8" t="s">
        <v>2760</v>
      </c>
      <c r="B1470" s="8" t="s">
        <v>120</v>
      </c>
      <c r="C1470" s="8" t="s">
        <v>2006</v>
      </c>
      <c r="D1470" s="8">
        <v>5</v>
      </c>
      <c r="E1470" s="8" t="s">
        <v>2757</v>
      </c>
      <c r="F1470" s="8" t="s">
        <v>215</v>
      </c>
      <c r="G1470" s="8" t="s">
        <v>2748</v>
      </c>
      <c r="H1470" s="10">
        <v>1</v>
      </c>
      <c r="I1470" s="10"/>
      <c r="J1470" s="10">
        <v>1</v>
      </c>
      <c r="K1470" s="10">
        <v>401.93</v>
      </c>
    </row>
    <row r="1471" spans="1:11" x14ac:dyDescent="0.25">
      <c r="A1471" s="8" t="s">
        <v>2761</v>
      </c>
      <c r="B1471" s="8" t="s">
        <v>1655</v>
      </c>
      <c r="C1471" s="8" t="s">
        <v>2006</v>
      </c>
      <c r="D1471" s="8">
        <v>5</v>
      </c>
      <c r="E1471" s="8" t="s">
        <v>2757</v>
      </c>
      <c r="F1471" s="8" t="s">
        <v>215</v>
      </c>
      <c r="G1471" s="8" t="s">
        <v>2748</v>
      </c>
      <c r="H1471" s="10">
        <v>1</v>
      </c>
      <c r="I1471" s="10"/>
      <c r="J1471" s="10">
        <v>1</v>
      </c>
      <c r="K1471" s="10">
        <v>401.93</v>
      </c>
    </row>
    <row r="1472" spans="1:11" x14ac:dyDescent="0.25">
      <c r="A1472" s="8" t="s">
        <v>2762</v>
      </c>
      <c r="B1472" s="8" t="s">
        <v>2732</v>
      </c>
      <c r="C1472" s="8" t="s">
        <v>2006</v>
      </c>
      <c r="D1472" s="8">
        <v>5</v>
      </c>
      <c r="E1472" s="8" t="s">
        <v>2757</v>
      </c>
      <c r="F1472" s="8" t="s">
        <v>215</v>
      </c>
      <c r="G1472" s="8" t="s">
        <v>2748</v>
      </c>
      <c r="H1472" s="10">
        <v>2</v>
      </c>
      <c r="I1472" s="10"/>
      <c r="J1472" s="10">
        <v>2</v>
      </c>
      <c r="K1472" s="10">
        <v>401.93</v>
      </c>
    </row>
    <row r="1473" spans="1:11" x14ac:dyDescent="0.25">
      <c r="A1473" s="8" t="s">
        <v>2763</v>
      </c>
      <c r="B1473" s="8" t="s">
        <v>2764</v>
      </c>
      <c r="C1473" s="8" t="s">
        <v>2006</v>
      </c>
      <c r="D1473" s="8">
        <v>5</v>
      </c>
      <c r="E1473" s="8" t="s">
        <v>2765</v>
      </c>
      <c r="F1473" s="8" t="s">
        <v>215</v>
      </c>
      <c r="G1473" s="8" t="s">
        <v>2748</v>
      </c>
      <c r="H1473" s="10">
        <v>1</v>
      </c>
      <c r="I1473" s="10"/>
      <c r="J1473" s="10">
        <v>1</v>
      </c>
      <c r="K1473" s="10">
        <v>401.93</v>
      </c>
    </row>
    <row r="1474" spans="1:11" x14ac:dyDescent="0.25">
      <c r="A1474" s="8" t="s">
        <v>2766</v>
      </c>
      <c r="B1474" s="8" t="s">
        <v>1650</v>
      </c>
      <c r="C1474" s="8" t="s">
        <v>2006</v>
      </c>
      <c r="D1474" s="8">
        <v>5</v>
      </c>
      <c r="E1474" s="8" t="s">
        <v>2765</v>
      </c>
      <c r="F1474" s="8" t="s">
        <v>215</v>
      </c>
      <c r="G1474" s="8" t="s">
        <v>2748</v>
      </c>
      <c r="H1474" s="10">
        <v>1</v>
      </c>
      <c r="I1474" s="10"/>
      <c r="J1474" s="10">
        <v>1</v>
      </c>
      <c r="K1474" s="10">
        <v>401.93</v>
      </c>
    </row>
    <row r="1475" spans="1:11" x14ac:dyDescent="0.25">
      <c r="A1475" s="8" t="s">
        <v>2767</v>
      </c>
      <c r="B1475" s="8" t="s">
        <v>1655</v>
      </c>
      <c r="C1475" s="8" t="s">
        <v>2006</v>
      </c>
      <c r="D1475" s="8">
        <v>5</v>
      </c>
      <c r="E1475" s="8" t="s">
        <v>2765</v>
      </c>
      <c r="F1475" s="8" t="s">
        <v>215</v>
      </c>
      <c r="G1475" s="8" t="s">
        <v>2748</v>
      </c>
      <c r="H1475" s="10">
        <v>1</v>
      </c>
      <c r="I1475" s="10"/>
      <c r="J1475" s="10">
        <v>1</v>
      </c>
      <c r="K1475" s="10">
        <v>401.93</v>
      </c>
    </row>
    <row r="1476" spans="1:11" x14ac:dyDescent="0.25">
      <c r="A1476" s="8" t="s">
        <v>2768</v>
      </c>
      <c r="B1476" s="8" t="s">
        <v>2074</v>
      </c>
      <c r="C1476" s="8" t="s">
        <v>2006</v>
      </c>
      <c r="D1476" s="8">
        <v>5</v>
      </c>
      <c r="E1476" s="8" t="s">
        <v>2765</v>
      </c>
      <c r="F1476" s="8" t="s">
        <v>215</v>
      </c>
      <c r="G1476" s="8" t="s">
        <v>2748</v>
      </c>
      <c r="H1476" s="10">
        <v>2</v>
      </c>
      <c r="I1476" s="10"/>
      <c r="J1476" s="10">
        <v>2</v>
      </c>
      <c r="K1476" s="10">
        <v>401.93</v>
      </c>
    </row>
    <row r="1477" spans="1:11" x14ac:dyDescent="0.25">
      <c r="A1477" s="8" t="s">
        <v>2769</v>
      </c>
      <c r="B1477" s="8" t="s">
        <v>1650</v>
      </c>
      <c r="C1477" s="8" t="s">
        <v>2006</v>
      </c>
      <c r="D1477" s="8">
        <v>5</v>
      </c>
      <c r="E1477" s="8" t="s">
        <v>2770</v>
      </c>
      <c r="F1477" s="8" t="s">
        <v>215</v>
      </c>
      <c r="G1477" s="8" t="s">
        <v>2748</v>
      </c>
      <c r="H1477" s="10">
        <v>2</v>
      </c>
      <c r="I1477" s="10"/>
      <c r="J1477" s="10">
        <v>2</v>
      </c>
      <c r="K1477" s="10">
        <v>401.93</v>
      </c>
    </row>
    <row r="1478" spans="1:11" x14ac:dyDescent="0.25">
      <c r="A1478" s="8" t="s">
        <v>2771</v>
      </c>
      <c r="B1478" s="8" t="s">
        <v>120</v>
      </c>
      <c r="C1478" s="8" t="s">
        <v>2006</v>
      </c>
      <c r="D1478" s="8">
        <v>5</v>
      </c>
      <c r="E1478" s="8" t="s">
        <v>2770</v>
      </c>
      <c r="F1478" s="8" t="s">
        <v>215</v>
      </c>
      <c r="G1478" s="8" t="s">
        <v>2748</v>
      </c>
      <c r="H1478" s="10">
        <v>3</v>
      </c>
      <c r="I1478" s="10"/>
      <c r="J1478" s="10">
        <v>3</v>
      </c>
      <c r="K1478" s="10">
        <v>401.93</v>
      </c>
    </row>
    <row r="1479" spans="1:11" x14ac:dyDescent="0.25">
      <c r="A1479" s="8" t="s">
        <v>2772</v>
      </c>
      <c r="B1479" s="8" t="s">
        <v>1655</v>
      </c>
      <c r="C1479" s="8" t="s">
        <v>2006</v>
      </c>
      <c r="D1479" s="8">
        <v>5</v>
      </c>
      <c r="E1479" s="8" t="s">
        <v>2770</v>
      </c>
      <c r="F1479" s="8" t="s">
        <v>215</v>
      </c>
      <c r="G1479" s="8" t="s">
        <v>2748</v>
      </c>
      <c r="H1479" s="10">
        <v>2</v>
      </c>
      <c r="I1479" s="10"/>
      <c r="J1479" s="10">
        <v>2</v>
      </c>
      <c r="K1479" s="10">
        <v>401.93</v>
      </c>
    </row>
    <row r="1480" spans="1:11" x14ac:dyDescent="0.25">
      <c r="A1480" s="8" t="s">
        <v>2773</v>
      </c>
      <c r="B1480" s="8" t="s">
        <v>2074</v>
      </c>
      <c r="C1480" s="8" t="s">
        <v>2006</v>
      </c>
      <c r="D1480" s="8">
        <v>5</v>
      </c>
      <c r="E1480" s="8" t="s">
        <v>2770</v>
      </c>
      <c r="F1480" s="8" t="s">
        <v>215</v>
      </c>
      <c r="G1480" s="8" t="s">
        <v>2748</v>
      </c>
      <c r="H1480" s="10">
        <v>5</v>
      </c>
      <c r="I1480" s="10"/>
      <c r="J1480" s="10">
        <v>5</v>
      </c>
      <c r="K1480" s="10">
        <v>401.93</v>
      </c>
    </row>
    <row r="1481" spans="1:11" x14ac:dyDescent="0.25">
      <c r="A1481" s="8" t="s">
        <v>2774</v>
      </c>
      <c r="B1481" s="8" t="s">
        <v>122</v>
      </c>
      <c r="C1481" s="8" t="s">
        <v>2775</v>
      </c>
      <c r="D1481" s="8">
        <v>5</v>
      </c>
      <c r="E1481" s="8" t="s">
        <v>2776</v>
      </c>
      <c r="F1481" s="8" t="s">
        <v>266</v>
      </c>
      <c r="G1481" s="8" t="s">
        <v>2777</v>
      </c>
      <c r="H1481" s="10">
        <v>10.28</v>
      </c>
      <c r="I1481" s="10"/>
      <c r="J1481" s="10">
        <v>10.28</v>
      </c>
      <c r="K1481" s="10">
        <v>10734.31</v>
      </c>
    </row>
    <row r="1482" spans="1:11" x14ac:dyDescent="0.25">
      <c r="A1482" s="8" t="s">
        <v>2778</v>
      </c>
      <c r="B1482" s="8" t="s">
        <v>122</v>
      </c>
      <c r="C1482" s="8" t="s">
        <v>2775</v>
      </c>
      <c r="D1482" s="8">
        <v>5</v>
      </c>
      <c r="E1482" s="8" t="s">
        <v>2776</v>
      </c>
      <c r="F1482" s="8" t="s">
        <v>266</v>
      </c>
      <c r="G1482" s="8" t="s">
        <v>2777</v>
      </c>
      <c r="H1482" s="10">
        <v>10.199999999999999</v>
      </c>
      <c r="I1482" s="10"/>
      <c r="J1482" s="10">
        <v>10.199999999999999</v>
      </c>
      <c r="K1482" s="10">
        <v>10734.31</v>
      </c>
    </row>
    <row r="1483" spans="1:11" x14ac:dyDescent="0.25">
      <c r="A1483" s="8" t="s">
        <v>2779</v>
      </c>
      <c r="B1483" s="8" t="s">
        <v>124</v>
      </c>
      <c r="C1483" s="8" t="s">
        <v>2775</v>
      </c>
      <c r="D1483" s="8">
        <v>5</v>
      </c>
      <c r="E1483" s="8" t="s">
        <v>2780</v>
      </c>
      <c r="F1483" s="8" t="s">
        <v>266</v>
      </c>
      <c r="G1483" s="8" t="s">
        <v>2777</v>
      </c>
      <c r="H1483" s="10">
        <v>10.94</v>
      </c>
      <c r="I1483" s="10"/>
      <c r="J1483" s="10">
        <v>10.94</v>
      </c>
      <c r="K1483" s="10">
        <v>10734.31</v>
      </c>
    </row>
    <row r="1484" spans="1:11" x14ac:dyDescent="0.25">
      <c r="A1484" s="8" t="s">
        <v>2781</v>
      </c>
      <c r="B1484" s="8" t="s">
        <v>124</v>
      </c>
      <c r="C1484" s="8" t="s">
        <v>2775</v>
      </c>
      <c r="D1484" s="8">
        <v>5</v>
      </c>
      <c r="E1484" s="8" t="s">
        <v>2780</v>
      </c>
      <c r="F1484" s="8" t="s">
        <v>266</v>
      </c>
      <c r="G1484" s="8" t="s">
        <v>2777</v>
      </c>
      <c r="H1484" s="10">
        <v>10.94</v>
      </c>
      <c r="I1484" s="10"/>
      <c r="J1484" s="10">
        <v>10.94</v>
      </c>
      <c r="K1484" s="10">
        <v>10734.31</v>
      </c>
    </row>
    <row r="1485" spans="1:11" x14ac:dyDescent="0.25">
      <c r="A1485" s="8" t="s">
        <v>2782</v>
      </c>
      <c r="B1485" s="8" t="s">
        <v>124</v>
      </c>
      <c r="C1485" s="8" t="s">
        <v>2775</v>
      </c>
      <c r="D1485" s="8">
        <v>5</v>
      </c>
      <c r="E1485" s="8" t="s">
        <v>2780</v>
      </c>
      <c r="F1485" s="8" t="s">
        <v>266</v>
      </c>
      <c r="G1485" s="8" t="s">
        <v>2777</v>
      </c>
      <c r="H1485" s="10">
        <v>4.82</v>
      </c>
      <c r="I1485" s="10"/>
      <c r="J1485" s="10">
        <v>4.82</v>
      </c>
      <c r="K1485" s="10">
        <v>8962.69</v>
      </c>
    </row>
    <row r="1486" spans="1:11" x14ac:dyDescent="0.25">
      <c r="A1486" s="8" t="s">
        <v>2783</v>
      </c>
      <c r="B1486" s="8" t="s">
        <v>124</v>
      </c>
      <c r="C1486" s="8" t="s">
        <v>2775</v>
      </c>
      <c r="D1486" s="8">
        <v>5</v>
      </c>
      <c r="E1486" s="8" t="s">
        <v>2780</v>
      </c>
      <c r="F1486" s="8" t="s">
        <v>266</v>
      </c>
      <c r="G1486" s="8" t="s">
        <v>2777</v>
      </c>
      <c r="H1486" s="10">
        <v>4.82</v>
      </c>
      <c r="I1486" s="10"/>
      <c r="J1486" s="10">
        <v>4.82</v>
      </c>
      <c r="K1486" s="10">
        <v>8962.69</v>
      </c>
    </row>
    <row r="1487" spans="1:11" x14ac:dyDescent="0.25">
      <c r="A1487" s="8" t="s">
        <v>2784</v>
      </c>
      <c r="B1487" s="8" t="s">
        <v>124</v>
      </c>
      <c r="C1487" s="8" t="s">
        <v>2775</v>
      </c>
      <c r="D1487" s="8">
        <v>5</v>
      </c>
      <c r="E1487" s="8" t="s">
        <v>2780</v>
      </c>
      <c r="F1487" s="8" t="s">
        <v>266</v>
      </c>
      <c r="G1487" s="8" t="s">
        <v>2777</v>
      </c>
      <c r="H1487" s="10">
        <v>10.15</v>
      </c>
      <c r="I1487" s="10"/>
      <c r="J1487" s="10">
        <v>10.15</v>
      </c>
      <c r="K1487" s="10">
        <v>10734.31</v>
      </c>
    </row>
    <row r="1488" spans="1:11" x14ac:dyDescent="0.25">
      <c r="A1488" s="8" t="s">
        <v>2785</v>
      </c>
      <c r="B1488" s="8" t="s">
        <v>124</v>
      </c>
      <c r="C1488" s="8" t="s">
        <v>2775</v>
      </c>
      <c r="D1488" s="8">
        <v>5</v>
      </c>
      <c r="E1488" s="8" t="s">
        <v>2780</v>
      </c>
      <c r="F1488" s="8" t="s">
        <v>266</v>
      </c>
      <c r="G1488" s="8" t="s">
        <v>2777</v>
      </c>
      <c r="H1488" s="10">
        <v>3.47</v>
      </c>
      <c r="I1488" s="10"/>
      <c r="J1488" s="10">
        <v>3.47</v>
      </c>
      <c r="K1488" s="10">
        <v>9848.5</v>
      </c>
    </row>
    <row r="1489" spans="1:11" x14ac:dyDescent="0.25">
      <c r="A1489" s="8" t="s">
        <v>2786</v>
      </c>
      <c r="B1489" s="8" t="s">
        <v>78</v>
      </c>
      <c r="C1489" s="8" t="s">
        <v>2775</v>
      </c>
      <c r="D1489" s="8">
        <v>5</v>
      </c>
      <c r="E1489" s="8" t="s">
        <v>2780</v>
      </c>
      <c r="F1489" s="8" t="s">
        <v>266</v>
      </c>
      <c r="G1489" s="8" t="s">
        <v>2777</v>
      </c>
      <c r="H1489" s="10">
        <v>7.62</v>
      </c>
      <c r="I1489" s="10"/>
      <c r="J1489" s="10">
        <v>7.62</v>
      </c>
      <c r="K1489" s="10">
        <v>10734.31</v>
      </c>
    </row>
    <row r="1490" spans="1:11" x14ac:dyDescent="0.25">
      <c r="A1490" s="8" t="s">
        <v>2787</v>
      </c>
      <c r="B1490" s="8" t="s">
        <v>78</v>
      </c>
      <c r="C1490" s="8" t="s">
        <v>2775</v>
      </c>
      <c r="D1490" s="8">
        <v>5</v>
      </c>
      <c r="E1490" s="8" t="s">
        <v>2780</v>
      </c>
      <c r="F1490" s="8" t="s">
        <v>266</v>
      </c>
      <c r="G1490" s="8" t="s">
        <v>2777</v>
      </c>
      <c r="H1490" s="10">
        <v>7.62</v>
      </c>
      <c r="I1490" s="10"/>
      <c r="J1490" s="10">
        <v>7.62</v>
      </c>
      <c r="K1490" s="10">
        <v>10734.31</v>
      </c>
    </row>
    <row r="1491" spans="1:11" x14ac:dyDescent="0.25">
      <c r="A1491" s="8" t="s">
        <v>2788</v>
      </c>
      <c r="B1491" s="8" t="s">
        <v>78</v>
      </c>
      <c r="C1491" s="8" t="s">
        <v>2775</v>
      </c>
      <c r="D1491" s="8">
        <v>5</v>
      </c>
      <c r="E1491" s="8" t="s">
        <v>2780</v>
      </c>
      <c r="F1491" s="8" t="s">
        <v>266</v>
      </c>
      <c r="G1491" s="8" t="s">
        <v>2777</v>
      </c>
      <c r="H1491" s="10">
        <v>6.53</v>
      </c>
      <c r="I1491" s="10"/>
      <c r="J1491" s="10">
        <v>6.53</v>
      </c>
      <c r="K1491" s="10">
        <v>10734.31</v>
      </c>
    </row>
    <row r="1492" spans="1:11" x14ac:dyDescent="0.25">
      <c r="A1492" s="8" t="s">
        <v>2789</v>
      </c>
      <c r="B1492" s="8" t="s">
        <v>78</v>
      </c>
      <c r="C1492" s="8" t="s">
        <v>2775</v>
      </c>
      <c r="D1492" s="8">
        <v>5</v>
      </c>
      <c r="E1492" s="8" t="s">
        <v>2780</v>
      </c>
      <c r="F1492" s="8" t="s">
        <v>266</v>
      </c>
      <c r="G1492" s="8" t="s">
        <v>2777</v>
      </c>
      <c r="H1492" s="10">
        <v>6.53</v>
      </c>
      <c r="I1492" s="10"/>
      <c r="J1492" s="10">
        <v>6.53</v>
      </c>
      <c r="K1492" s="10">
        <v>10734.31</v>
      </c>
    </row>
    <row r="1493" spans="1:11" x14ac:dyDescent="0.25">
      <c r="A1493" s="8" t="s">
        <v>2790</v>
      </c>
      <c r="B1493" s="8" t="s">
        <v>128</v>
      </c>
      <c r="C1493" s="8" t="s">
        <v>2775</v>
      </c>
      <c r="D1493" s="8">
        <v>5</v>
      </c>
      <c r="E1493" s="8" t="s">
        <v>2776</v>
      </c>
      <c r="F1493" s="8" t="s">
        <v>266</v>
      </c>
      <c r="G1493" s="8" t="s">
        <v>2777</v>
      </c>
      <c r="H1493" s="10">
        <v>3.3</v>
      </c>
      <c r="I1493" s="10"/>
      <c r="J1493" s="10">
        <v>3.3</v>
      </c>
      <c r="K1493" s="10">
        <v>9848.5</v>
      </c>
    </row>
    <row r="1494" spans="1:11" x14ac:dyDescent="0.25">
      <c r="A1494" s="8" t="s">
        <v>2791</v>
      </c>
      <c r="B1494" s="8" t="s">
        <v>128</v>
      </c>
      <c r="C1494" s="8" t="s">
        <v>2775</v>
      </c>
      <c r="D1494" s="8">
        <v>5</v>
      </c>
      <c r="E1494" s="8" t="s">
        <v>2780</v>
      </c>
      <c r="F1494" s="8" t="s">
        <v>266</v>
      </c>
      <c r="G1494" s="8" t="s">
        <v>2777</v>
      </c>
      <c r="H1494" s="10">
        <v>8.74</v>
      </c>
      <c r="I1494" s="10"/>
      <c r="J1494" s="10">
        <v>8.74</v>
      </c>
      <c r="K1494" s="10">
        <v>10734.31</v>
      </c>
    </row>
    <row r="1495" spans="1:11" x14ac:dyDescent="0.25">
      <c r="A1495" s="8" t="s">
        <v>2792</v>
      </c>
      <c r="B1495" s="8" t="s">
        <v>118</v>
      </c>
      <c r="C1495" s="8" t="s">
        <v>2775</v>
      </c>
      <c r="D1495" s="8">
        <v>5</v>
      </c>
      <c r="E1495" s="8" t="s">
        <v>2793</v>
      </c>
      <c r="F1495" s="8" t="s">
        <v>266</v>
      </c>
      <c r="G1495" s="8" t="s">
        <v>2777</v>
      </c>
      <c r="H1495" s="10">
        <v>0.49</v>
      </c>
      <c r="I1495" s="10"/>
      <c r="J1495" s="10">
        <v>0.49</v>
      </c>
      <c r="K1495" s="10">
        <v>8962.69</v>
      </c>
    </row>
    <row r="1496" spans="1:11" x14ac:dyDescent="0.25">
      <c r="A1496" s="8" t="s">
        <v>2794</v>
      </c>
      <c r="B1496" s="8" t="s">
        <v>120</v>
      </c>
      <c r="C1496" s="8" t="s">
        <v>2775</v>
      </c>
      <c r="D1496" s="8">
        <v>5</v>
      </c>
      <c r="E1496" s="8" t="s">
        <v>2795</v>
      </c>
      <c r="F1496" s="8" t="s">
        <v>266</v>
      </c>
      <c r="G1496" s="8" t="s">
        <v>2777</v>
      </c>
      <c r="H1496" s="10">
        <v>6.06</v>
      </c>
      <c r="I1496" s="10"/>
      <c r="J1496" s="10">
        <v>6.06</v>
      </c>
      <c r="K1496" s="10">
        <v>5419.47</v>
      </c>
    </row>
    <row r="1497" spans="1:11" x14ac:dyDescent="0.25">
      <c r="A1497" s="8" t="s">
        <v>2796</v>
      </c>
      <c r="B1497" s="8" t="s">
        <v>120</v>
      </c>
      <c r="C1497" s="8" t="s">
        <v>2775</v>
      </c>
      <c r="D1497" s="8">
        <v>5</v>
      </c>
      <c r="E1497" s="8" t="s">
        <v>2795</v>
      </c>
      <c r="F1497" s="8" t="s">
        <v>266</v>
      </c>
      <c r="G1497" s="8" t="s">
        <v>2777</v>
      </c>
      <c r="H1497" s="10">
        <v>6.06</v>
      </c>
      <c r="I1497" s="10"/>
      <c r="J1497" s="10">
        <v>6.06</v>
      </c>
      <c r="K1497" s="10">
        <v>5419.47</v>
      </c>
    </row>
    <row r="1498" spans="1:11" x14ac:dyDescent="0.25">
      <c r="A1498" s="8" t="s">
        <v>2797</v>
      </c>
      <c r="B1498" s="8" t="s">
        <v>120</v>
      </c>
      <c r="C1498" s="8" t="s">
        <v>2775</v>
      </c>
      <c r="D1498" s="8">
        <v>5</v>
      </c>
      <c r="E1498" s="8" t="s">
        <v>2795</v>
      </c>
      <c r="F1498" s="8" t="s">
        <v>266</v>
      </c>
      <c r="G1498" s="8" t="s">
        <v>2777</v>
      </c>
      <c r="H1498" s="10">
        <v>5.64</v>
      </c>
      <c r="I1498" s="10"/>
      <c r="J1498" s="10">
        <v>5.64</v>
      </c>
      <c r="K1498" s="10">
        <v>5419.47</v>
      </c>
    </row>
    <row r="1499" spans="1:11" x14ac:dyDescent="0.25">
      <c r="A1499" s="8" t="s">
        <v>2798</v>
      </c>
      <c r="B1499" s="8" t="s">
        <v>120</v>
      </c>
      <c r="C1499" s="8" t="s">
        <v>2775</v>
      </c>
      <c r="D1499" s="8">
        <v>5</v>
      </c>
      <c r="E1499" s="8" t="s">
        <v>2795</v>
      </c>
      <c r="F1499" s="8" t="s">
        <v>266</v>
      </c>
      <c r="G1499" s="8" t="s">
        <v>2777</v>
      </c>
      <c r="H1499" s="10">
        <v>5.64</v>
      </c>
      <c r="I1499" s="10"/>
      <c r="J1499" s="10">
        <v>5.64</v>
      </c>
      <c r="K1499" s="10">
        <v>5419.47</v>
      </c>
    </row>
    <row r="1500" spans="1:11" x14ac:dyDescent="0.25">
      <c r="A1500" s="8" t="s">
        <v>2799</v>
      </c>
      <c r="B1500" s="8" t="s">
        <v>122</v>
      </c>
      <c r="C1500" s="8" t="s">
        <v>2775</v>
      </c>
      <c r="D1500" s="8">
        <v>5</v>
      </c>
      <c r="E1500" s="8" t="s">
        <v>2795</v>
      </c>
      <c r="F1500" s="8" t="s">
        <v>266</v>
      </c>
      <c r="G1500" s="8" t="s">
        <v>2777</v>
      </c>
      <c r="H1500" s="10">
        <v>2.86</v>
      </c>
      <c r="I1500" s="10"/>
      <c r="J1500" s="10">
        <v>2.86</v>
      </c>
      <c r="K1500" s="10">
        <v>5419.47</v>
      </c>
    </row>
    <row r="1501" spans="1:11" x14ac:dyDescent="0.25">
      <c r="A1501" s="8" t="s">
        <v>2800</v>
      </c>
      <c r="B1501" s="8" t="s">
        <v>122</v>
      </c>
      <c r="C1501" s="8" t="s">
        <v>2775</v>
      </c>
      <c r="D1501" s="8">
        <v>5</v>
      </c>
      <c r="E1501" s="8" t="s">
        <v>2795</v>
      </c>
      <c r="F1501" s="8" t="s">
        <v>266</v>
      </c>
      <c r="G1501" s="8" t="s">
        <v>2777</v>
      </c>
      <c r="H1501" s="10">
        <v>2.86</v>
      </c>
      <c r="I1501" s="10"/>
      <c r="J1501" s="10">
        <v>2.86</v>
      </c>
      <c r="K1501" s="10">
        <v>5419.47</v>
      </c>
    </row>
    <row r="1502" spans="1:11" x14ac:dyDescent="0.25">
      <c r="A1502" s="8" t="s">
        <v>2801</v>
      </c>
      <c r="B1502" s="8" t="s">
        <v>124</v>
      </c>
      <c r="C1502" s="8" t="s">
        <v>2775</v>
      </c>
      <c r="D1502" s="8">
        <v>5</v>
      </c>
      <c r="E1502" s="8" t="s">
        <v>2795</v>
      </c>
      <c r="F1502" s="8" t="s">
        <v>266</v>
      </c>
      <c r="G1502" s="8" t="s">
        <v>2777</v>
      </c>
      <c r="H1502" s="10">
        <v>2.76</v>
      </c>
      <c r="I1502" s="10"/>
      <c r="J1502" s="10">
        <v>2.76</v>
      </c>
      <c r="K1502" s="10">
        <v>5419.47</v>
      </c>
    </row>
    <row r="1503" spans="1:11" x14ac:dyDescent="0.25">
      <c r="A1503" s="8" t="s">
        <v>2802</v>
      </c>
      <c r="B1503" s="8" t="s">
        <v>124</v>
      </c>
      <c r="C1503" s="8" t="s">
        <v>2775</v>
      </c>
      <c r="D1503" s="8">
        <v>5</v>
      </c>
      <c r="E1503" s="8" t="s">
        <v>2795</v>
      </c>
      <c r="F1503" s="8" t="s">
        <v>266</v>
      </c>
      <c r="G1503" s="8" t="s">
        <v>2777</v>
      </c>
      <c r="H1503" s="10">
        <v>2.76</v>
      </c>
      <c r="I1503" s="10"/>
      <c r="J1503" s="10">
        <v>2.76</v>
      </c>
      <c r="K1503" s="10">
        <v>5419.47</v>
      </c>
    </row>
    <row r="1504" spans="1:11" x14ac:dyDescent="0.25">
      <c r="A1504" s="8" t="s">
        <v>2803</v>
      </c>
      <c r="B1504" s="8" t="s">
        <v>128</v>
      </c>
      <c r="C1504" s="8" t="s">
        <v>2775</v>
      </c>
      <c r="D1504" s="8">
        <v>5</v>
      </c>
      <c r="E1504" s="8" t="s">
        <v>2795</v>
      </c>
      <c r="F1504" s="8" t="s">
        <v>266</v>
      </c>
      <c r="G1504" s="8" t="s">
        <v>2777</v>
      </c>
      <c r="H1504" s="10">
        <v>0.98</v>
      </c>
      <c r="I1504" s="10"/>
      <c r="J1504" s="10">
        <v>0.98</v>
      </c>
      <c r="K1504" s="10">
        <v>7191.08</v>
      </c>
    </row>
    <row r="1505" spans="1:11" x14ac:dyDescent="0.25">
      <c r="A1505" s="8" t="s">
        <v>2804</v>
      </c>
      <c r="B1505" s="8" t="s">
        <v>122</v>
      </c>
      <c r="C1505" s="8" t="s">
        <v>2775</v>
      </c>
      <c r="D1505" s="8">
        <v>5</v>
      </c>
      <c r="E1505" s="8" t="s">
        <v>2805</v>
      </c>
      <c r="F1505" s="8" t="s">
        <v>266</v>
      </c>
      <c r="G1505" s="8" t="s">
        <v>2777</v>
      </c>
      <c r="H1505" s="10">
        <v>3.94</v>
      </c>
      <c r="I1505" s="10"/>
      <c r="J1505" s="10">
        <v>3.94</v>
      </c>
      <c r="K1505" s="10">
        <v>9848.5</v>
      </c>
    </row>
    <row r="1506" spans="1:11" x14ac:dyDescent="0.25">
      <c r="A1506" s="8" t="s">
        <v>2806</v>
      </c>
      <c r="B1506" s="8" t="s">
        <v>122</v>
      </c>
      <c r="C1506" s="8" t="s">
        <v>2775</v>
      </c>
      <c r="D1506" s="8">
        <v>5</v>
      </c>
      <c r="E1506" s="8" t="s">
        <v>2807</v>
      </c>
      <c r="F1506" s="8" t="s">
        <v>266</v>
      </c>
      <c r="G1506" s="8" t="s">
        <v>2777</v>
      </c>
      <c r="H1506" s="10">
        <v>2.19</v>
      </c>
      <c r="I1506" s="10"/>
      <c r="J1506" s="10">
        <v>2.19</v>
      </c>
      <c r="K1506" s="10">
        <v>8962.69</v>
      </c>
    </row>
    <row r="1507" spans="1:11" x14ac:dyDescent="0.25">
      <c r="A1507" s="8" t="s">
        <v>2808</v>
      </c>
      <c r="B1507" s="8" t="s">
        <v>122</v>
      </c>
      <c r="C1507" s="8" t="s">
        <v>2775</v>
      </c>
      <c r="D1507" s="8">
        <v>5</v>
      </c>
      <c r="E1507" s="8" t="s">
        <v>2809</v>
      </c>
      <c r="F1507" s="8" t="s">
        <v>266</v>
      </c>
      <c r="G1507" s="8" t="s">
        <v>2777</v>
      </c>
      <c r="H1507" s="10">
        <v>70.27</v>
      </c>
      <c r="I1507" s="10"/>
      <c r="J1507" s="10">
        <v>70.27</v>
      </c>
      <c r="K1507" s="10">
        <v>8962.69</v>
      </c>
    </row>
    <row r="1508" spans="1:11" x14ac:dyDescent="0.25">
      <c r="A1508" s="8" t="s">
        <v>2810</v>
      </c>
      <c r="B1508" s="8" t="s">
        <v>122</v>
      </c>
      <c r="C1508" s="8" t="s">
        <v>2775</v>
      </c>
      <c r="D1508" s="8">
        <v>5</v>
      </c>
      <c r="E1508" s="8" t="s">
        <v>2811</v>
      </c>
      <c r="F1508" s="8" t="s">
        <v>266</v>
      </c>
      <c r="G1508" s="8" t="s">
        <v>2777</v>
      </c>
      <c r="H1508" s="10">
        <v>0.3</v>
      </c>
      <c r="I1508" s="10"/>
      <c r="J1508" s="10">
        <v>0.3</v>
      </c>
      <c r="K1508" s="10">
        <v>8962.69</v>
      </c>
    </row>
    <row r="1509" spans="1:11" x14ac:dyDescent="0.25">
      <c r="A1509" s="8" t="s">
        <v>2812</v>
      </c>
      <c r="B1509" s="8" t="s">
        <v>122</v>
      </c>
      <c r="C1509" s="8" t="s">
        <v>2775</v>
      </c>
      <c r="D1509" s="8">
        <v>5</v>
      </c>
      <c r="E1509" s="8" t="s">
        <v>2813</v>
      </c>
      <c r="F1509" s="8" t="s">
        <v>266</v>
      </c>
      <c r="G1509" s="8" t="s">
        <v>2777</v>
      </c>
      <c r="H1509" s="10">
        <v>1.6</v>
      </c>
      <c r="I1509" s="10"/>
      <c r="J1509" s="10">
        <v>1.6</v>
      </c>
      <c r="K1509" s="10">
        <v>8962.69</v>
      </c>
    </row>
    <row r="1510" spans="1:11" x14ac:dyDescent="0.25">
      <c r="A1510" s="8" t="s">
        <v>2814</v>
      </c>
      <c r="B1510" s="8" t="s">
        <v>78</v>
      </c>
      <c r="C1510" s="8" t="s">
        <v>2775</v>
      </c>
      <c r="D1510" s="8">
        <v>5</v>
      </c>
      <c r="E1510" s="8" t="s">
        <v>2815</v>
      </c>
      <c r="F1510" s="8" t="s">
        <v>266</v>
      </c>
      <c r="G1510" s="8" t="s">
        <v>2777</v>
      </c>
      <c r="H1510" s="10">
        <v>1.42</v>
      </c>
      <c r="I1510" s="10"/>
      <c r="J1510" s="10">
        <v>1.42</v>
      </c>
      <c r="K1510" s="10">
        <v>8962.69</v>
      </c>
    </row>
    <row r="1511" spans="1:11" x14ac:dyDescent="0.25">
      <c r="A1511" s="8" t="s">
        <v>2816</v>
      </c>
      <c r="B1511" s="8" t="s">
        <v>116</v>
      </c>
      <c r="C1511" s="8" t="s">
        <v>2775</v>
      </c>
      <c r="D1511" s="8">
        <v>5</v>
      </c>
      <c r="E1511" s="8" t="s">
        <v>2817</v>
      </c>
      <c r="F1511" s="8" t="s">
        <v>266</v>
      </c>
      <c r="G1511" s="8" t="s">
        <v>2777</v>
      </c>
      <c r="H1511" s="10">
        <v>44.4</v>
      </c>
      <c r="I1511" s="10"/>
      <c r="J1511" s="10">
        <v>44.4</v>
      </c>
      <c r="K1511" s="10">
        <v>9848.5</v>
      </c>
    </row>
    <row r="1512" spans="1:11" x14ac:dyDescent="0.25">
      <c r="A1512" s="8" t="s">
        <v>2818</v>
      </c>
      <c r="B1512" s="8" t="s">
        <v>116</v>
      </c>
      <c r="C1512" s="8" t="s">
        <v>2775</v>
      </c>
      <c r="D1512" s="8">
        <v>5</v>
      </c>
      <c r="E1512" s="8" t="s">
        <v>2817</v>
      </c>
      <c r="F1512" s="8" t="s">
        <v>266</v>
      </c>
      <c r="G1512" s="8" t="s">
        <v>2777</v>
      </c>
      <c r="H1512" s="10">
        <v>44.4</v>
      </c>
      <c r="I1512" s="10"/>
      <c r="J1512" s="10">
        <v>44.4</v>
      </c>
      <c r="K1512" s="10">
        <v>9848.5</v>
      </c>
    </row>
    <row r="1513" spans="1:11" x14ac:dyDescent="0.25">
      <c r="A1513" s="8" t="s">
        <v>2819</v>
      </c>
      <c r="B1513" s="8" t="s">
        <v>116</v>
      </c>
      <c r="C1513" s="8" t="s">
        <v>2775</v>
      </c>
      <c r="D1513" s="8">
        <v>5</v>
      </c>
      <c r="E1513" s="8" t="s">
        <v>2817</v>
      </c>
      <c r="F1513" s="8" t="s">
        <v>266</v>
      </c>
      <c r="G1513" s="8" t="s">
        <v>2777</v>
      </c>
      <c r="H1513" s="10">
        <v>44.4</v>
      </c>
      <c r="I1513" s="10"/>
      <c r="J1513" s="10">
        <v>44.4</v>
      </c>
      <c r="K1513" s="10">
        <v>9848.5</v>
      </c>
    </row>
    <row r="1514" spans="1:11" x14ac:dyDescent="0.25">
      <c r="A1514" s="8" t="s">
        <v>2820</v>
      </c>
      <c r="B1514" s="8" t="s">
        <v>116</v>
      </c>
      <c r="C1514" s="8" t="s">
        <v>2775</v>
      </c>
      <c r="D1514" s="8">
        <v>5</v>
      </c>
      <c r="E1514" s="8" t="s">
        <v>2817</v>
      </c>
      <c r="F1514" s="8" t="s">
        <v>266</v>
      </c>
      <c r="G1514" s="8" t="s">
        <v>2777</v>
      </c>
      <c r="H1514" s="10">
        <v>44.4</v>
      </c>
      <c r="I1514" s="10"/>
      <c r="J1514" s="10">
        <v>44.4</v>
      </c>
      <c r="K1514" s="10">
        <v>9848.5</v>
      </c>
    </row>
    <row r="1515" spans="1:11" x14ac:dyDescent="0.25">
      <c r="A1515" s="8" t="s">
        <v>2821</v>
      </c>
      <c r="B1515" s="8" t="s">
        <v>118</v>
      </c>
      <c r="C1515" s="8" t="s">
        <v>2775</v>
      </c>
      <c r="D1515" s="8">
        <v>5</v>
      </c>
      <c r="E1515" s="8" t="s">
        <v>2822</v>
      </c>
      <c r="F1515" s="8" t="s">
        <v>266</v>
      </c>
      <c r="G1515" s="8" t="s">
        <v>2777</v>
      </c>
      <c r="H1515" s="10">
        <v>15.7</v>
      </c>
      <c r="I1515" s="10"/>
      <c r="J1515" s="10">
        <v>15.7</v>
      </c>
      <c r="K1515" s="10">
        <v>8076.89</v>
      </c>
    </row>
    <row r="1516" spans="1:11" x14ac:dyDescent="0.25">
      <c r="A1516" s="8" t="s">
        <v>2823</v>
      </c>
      <c r="B1516" s="8" t="s">
        <v>118</v>
      </c>
      <c r="C1516" s="8" t="s">
        <v>2775</v>
      </c>
      <c r="D1516" s="8">
        <v>5</v>
      </c>
      <c r="E1516" s="8" t="s">
        <v>2822</v>
      </c>
      <c r="F1516" s="8" t="s">
        <v>266</v>
      </c>
      <c r="G1516" s="8" t="s">
        <v>2777</v>
      </c>
      <c r="H1516" s="10">
        <v>16.149999999999999</v>
      </c>
      <c r="I1516" s="10"/>
      <c r="J1516" s="10">
        <v>16.149999999999999</v>
      </c>
      <c r="K1516" s="10">
        <v>8076.89</v>
      </c>
    </row>
    <row r="1517" spans="1:11" x14ac:dyDescent="0.25">
      <c r="A1517" s="8" t="s">
        <v>2824</v>
      </c>
      <c r="B1517" s="8" t="s">
        <v>118</v>
      </c>
      <c r="C1517" s="8" t="s">
        <v>2775</v>
      </c>
      <c r="D1517" s="8">
        <v>5</v>
      </c>
      <c r="E1517" s="8" t="s">
        <v>2822</v>
      </c>
      <c r="F1517" s="8" t="s">
        <v>266</v>
      </c>
      <c r="G1517" s="8" t="s">
        <v>2777</v>
      </c>
      <c r="H1517" s="10">
        <v>22.12</v>
      </c>
      <c r="I1517" s="10"/>
      <c r="J1517" s="10">
        <v>22.12</v>
      </c>
      <c r="K1517" s="10">
        <v>8076.89</v>
      </c>
    </row>
    <row r="1518" spans="1:11" x14ac:dyDescent="0.25">
      <c r="A1518" s="8" t="s">
        <v>2825</v>
      </c>
      <c r="B1518" s="8" t="s">
        <v>118</v>
      </c>
      <c r="C1518" s="8" t="s">
        <v>2775</v>
      </c>
      <c r="D1518" s="8">
        <v>5</v>
      </c>
      <c r="E1518" s="8" t="s">
        <v>2822</v>
      </c>
      <c r="F1518" s="8" t="s">
        <v>266</v>
      </c>
      <c r="G1518" s="8" t="s">
        <v>2777</v>
      </c>
      <c r="H1518" s="10">
        <v>22.12</v>
      </c>
      <c r="I1518" s="10"/>
      <c r="J1518" s="10">
        <v>22.12</v>
      </c>
      <c r="K1518" s="10">
        <v>8076.89</v>
      </c>
    </row>
    <row r="1519" spans="1:11" x14ac:dyDescent="0.25">
      <c r="A1519" s="8" t="s">
        <v>2826</v>
      </c>
      <c r="B1519" s="8" t="s">
        <v>118</v>
      </c>
      <c r="C1519" s="8" t="s">
        <v>2775</v>
      </c>
      <c r="D1519" s="8">
        <v>5</v>
      </c>
      <c r="E1519" s="8" t="s">
        <v>2822</v>
      </c>
      <c r="F1519" s="8" t="s">
        <v>266</v>
      </c>
      <c r="G1519" s="8" t="s">
        <v>2777</v>
      </c>
      <c r="H1519" s="10">
        <v>17</v>
      </c>
      <c r="I1519" s="10"/>
      <c r="J1519" s="10">
        <v>17</v>
      </c>
      <c r="K1519" s="10">
        <v>8076.89</v>
      </c>
    </row>
    <row r="1520" spans="1:11" x14ac:dyDescent="0.25">
      <c r="A1520" s="8" t="s">
        <v>2827</v>
      </c>
      <c r="B1520" s="8" t="s">
        <v>118</v>
      </c>
      <c r="C1520" s="8" t="s">
        <v>2775</v>
      </c>
      <c r="D1520" s="8">
        <v>5</v>
      </c>
      <c r="E1520" s="8" t="s">
        <v>2822</v>
      </c>
      <c r="F1520" s="8" t="s">
        <v>266</v>
      </c>
      <c r="G1520" s="8" t="s">
        <v>2777</v>
      </c>
      <c r="H1520" s="10">
        <v>22.12</v>
      </c>
      <c r="I1520" s="10"/>
      <c r="J1520" s="10">
        <v>22.12</v>
      </c>
      <c r="K1520" s="10">
        <v>8076.89</v>
      </c>
    </row>
    <row r="1521" spans="1:11" x14ac:dyDescent="0.25">
      <c r="A1521" s="8" t="s">
        <v>2828</v>
      </c>
      <c r="B1521" s="8" t="s">
        <v>120</v>
      </c>
      <c r="C1521" s="8" t="s">
        <v>2775</v>
      </c>
      <c r="D1521" s="8">
        <v>5</v>
      </c>
      <c r="E1521" s="8" t="s">
        <v>2822</v>
      </c>
      <c r="F1521" s="8" t="s">
        <v>266</v>
      </c>
      <c r="G1521" s="8" t="s">
        <v>2777</v>
      </c>
      <c r="H1521" s="10">
        <v>9.1</v>
      </c>
      <c r="I1521" s="10"/>
      <c r="J1521" s="10">
        <v>9.1</v>
      </c>
      <c r="K1521" s="10">
        <v>8076.89</v>
      </c>
    </row>
    <row r="1522" spans="1:11" x14ac:dyDescent="0.25">
      <c r="A1522" s="8" t="s">
        <v>2829</v>
      </c>
      <c r="B1522" s="8" t="s">
        <v>120</v>
      </c>
      <c r="C1522" s="8" t="s">
        <v>2775</v>
      </c>
      <c r="D1522" s="8">
        <v>5</v>
      </c>
      <c r="E1522" s="8" t="s">
        <v>2822</v>
      </c>
      <c r="F1522" s="8" t="s">
        <v>266</v>
      </c>
      <c r="G1522" s="8" t="s">
        <v>2777</v>
      </c>
      <c r="H1522" s="10">
        <v>9.1</v>
      </c>
      <c r="I1522" s="10"/>
      <c r="J1522" s="10">
        <v>9.1</v>
      </c>
      <c r="K1522" s="10">
        <v>8076.89</v>
      </c>
    </row>
    <row r="1523" spans="1:11" x14ac:dyDescent="0.25">
      <c r="A1523" s="8" t="s">
        <v>2830</v>
      </c>
      <c r="B1523" s="8" t="s">
        <v>120</v>
      </c>
      <c r="C1523" s="8" t="s">
        <v>2775</v>
      </c>
      <c r="D1523" s="8">
        <v>5</v>
      </c>
      <c r="E1523" s="8" t="s">
        <v>2822</v>
      </c>
      <c r="F1523" s="8" t="s">
        <v>266</v>
      </c>
      <c r="G1523" s="8" t="s">
        <v>2777</v>
      </c>
      <c r="H1523" s="10">
        <v>9.1</v>
      </c>
      <c r="I1523" s="10"/>
      <c r="J1523" s="10">
        <v>9.1</v>
      </c>
      <c r="K1523" s="10">
        <v>8076.89</v>
      </c>
    </row>
    <row r="1524" spans="1:11" x14ac:dyDescent="0.25">
      <c r="A1524" s="8" t="s">
        <v>2831</v>
      </c>
      <c r="B1524" s="8" t="s">
        <v>120</v>
      </c>
      <c r="C1524" s="8" t="s">
        <v>2775</v>
      </c>
      <c r="D1524" s="8">
        <v>5</v>
      </c>
      <c r="E1524" s="8" t="s">
        <v>2822</v>
      </c>
      <c r="F1524" s="8" t="s">
        <v>266</v>
      </c>
      <c r="G1524" s="8" t="s">
        <v>2777</v>
      </c>
      <c r="H1524" s="10">
        <v>9.1</v>
      </c>
      <c r="I1524" s="10"/>
      <c r="J1524" s="10">
        <v>9.1</v>
      </c>
      <c r="K1524" s="10">
        <v>8076.89</v>
      </c>
    </row>
    <row r="1525" spans="1:11" x14ac:dyDescent="0.25">
      <c r="A1525" s="8" t="s">
        <v>2832</v>
      </c>
      <c r="B1525" s="8" t="s">
        <v>120</v>
      </c>
      <c r="C1525" s="8" t="s">
        <v>2775</v>
      </c>
      <c r="D1525" s="8">
        <v>5</v>
      </c>
      <c r="E1525" s="8" t="s">
        <v>2822</v>
      </c>
      <c r="F1525" s="8" t="s">
        <v>266</v>
      </c>
      <c r="G1525" s="8" t="s">
        <v>2777</v>
      </c>
      <c r="H1525" s="10">
        <v>20.93</v>
      </c>
      <c r="I1525" s="10"/>
      <c r="J1525" s="10">
        <v>20.93</v>
      </c>
      <c r="K1525" s="10">
        <v>8076.89</v>
      </c>
    </row>
    <row r="1526" spans="1:11" x14ac:dyDescent="0.25">
      <c r="A1526" s="8" t="s">
        <v>2833</v>
      </c>
      <c r="B1526" s="8" t="s">
        <v>120</v>
      </c>
      <c r="C1526" s="8" t="s">
        <v>2775</v>
      </c>
      <c r="D1526" s="8">
        <v>5</v>
      </c>
      <c r="E1526" s="8" t="s">
        <v>2822</v>
      </c>
      <c r="F1526" s="8" t="s">
        <v>266</v>
      </c>
      <c r="G1526" s="8" t="s">
        <v>2777</v>
      </c>
      <c r="H1526" s="10">
        <v>27.81</v>
      </c>
      <c r="I1526" s="10"/>
      <c r="J1526" s="10">
        <v>27.81</v>
      </c>
      <c r="K1526" s="10">
        <v>8076.89</v>
      </c>
    </row>
    <row r="1527" spans="1:11" x14ac:dyDescent="0.25">
      <c r="A1527" s="8" t="s">
        <v>2834</v>
      </c>
      <c r="B1527" s="8" t="s">
        <v>120</v>
      </c>
      <c r="C1527" s="8" t="s">
        <v>2775</v>
      </c>
      <c r="D1527" s="8">
        <v>5</v>
      </c>
      <c r="E1527" s="8" t="s">
        <v>2822</v>
      </c>
      <c r="F1527" s="8" t="s">
        <v>266</v>
      </c>
      <c r="G1527" s="8" t="s">
        <v>2777</v>
      </c>
      <c r="H1527" s="10">
        <v>20.84</v>
      </c>
      <c r="I1527" s="10"/>
      <c r="J1527" s="10">
        <v>20.84</v>
      </c>
      <c r="K1527" s="10">
        <v>8076.89</v>
      </c>
    </row>
    <row r="1528" spans="1:11" x14ac:dyDescent="0.25">
      <c r="A1528" s="8" t="s">
        <v>2835</v>
      </c>
      <c r="B1528" s="8" t="s">
        <v>120</v>
      </c>
      <c r="C1528" s="8" t="s">
        <v>2775</v>
      </c>
      <c r="D1528" s="8">
        <v>5</v>
      </c>
      <c r="E1528" s="8" t="s">
        <v>2822</v>
      </c>
      <c r="F1528" s="8" t="s">
        <v>266</v>
      </c>
      <c r="G1528" s="8" t="s">
        <v>2777</v>
      </c>
      <c r="H1528" s="10">
        <v>27.81</v>
      </c>
      <c r="I1528" s="10"/>
      <c r="J1528" s="10">
        <v>27.81</v>
      </c>
      <c r="K1528" s="10">
        <v>8076.89</v>
      </c>
    </row>
    <row r="1529" spans="1:11" x14ac:dyDescent="0.25">
      <c r="A1529" s="8" t="s">
        <v>2836</v>
      </c>
      <c r="B1529" s="8" t="s">
        <v>120</v>
      </c>
      <c r="C1529" s="8" t="s">
        <v>2775</v>
      </c>
      <c r="D1529" s="8">
        <v>5</v>
      </c>
      <c r="E1529" s="8" t="s">
        <v>2822</v>
      </c>
      <c r="F1529" s="8" t="s">
        <v>266</v>
      </c>
      <c r="G1529" s="8" t="s">
        <v>2777</v>
      </c>
      <c r="H1529" s="10">
        <v>11.04</v>
      </c>
      <c r="I1529" s="10"/>
      <c r="J1529" s="10">
        <v>11.04</v>
      </c>
      <c r="K1529" s="10">
        <v>8076.89</v>
      </c>
    </row>
    <row r="1530" spans="1:11" x14ac:dyDescent="0.25">
      <c r="A1530" s="8" t="s">
        <v>2837</v>
      </c>
      <c r="B1530" s="8" t="s">
        <v>120</v>
      </c>
      <c r="C1530" s="8" t="s">
        <v>2775</v>
      </c>
      <c r="D1530" s="8">
        <v>5</v>
      </c>
      <c r="E1530" s="8" t="s">
        <v>2822</v>
      </c>
      <c r="F1530" s="8" t="s">
        <v>266</v>
      </c>
      <c r="G1530" s="8" t="s">
        <v>2777</v>
      </c>
      <c r="H1530" s="10">
        <v>11.04</v>
      </c>
      <c r="I1530" s="10"/>
      <c r="J1530" s="10">
        <v>11.04</v>
      </c>
      <c r="K1530" s="10">
        <v>8076.89</v>
      </c>
    </row>
    <row r="1531" spans="1:11" x14ac:dyDescent="0.25">
      <c r="A1531" s="8" t="s">
        <v>2838</v>
      </c>
      <c r="B1531" s="8" t="s">
        <v>120</v>
      </c>
      <c r="C1531" s="8" t="s">
        <v>2775</v>
      </c>
      <c r="D1531" s="8">
        <v>5</v>
      </c>
      <c r="E1531" s="8" t="s">
        <v>2822</v>
      </c>
      <c r="F1531" s="8" t="s">
        <v>266</v>
      </c>
      <c r="G1531" s="8" t="s">
        <v>2777</v>
      </c>
      <c r="H1531" s="10">
        <v>11.04</v>
      </c>
      <c r="I1531" s="10"/>
      <c r="J1531" s="10">
        <v>11.04</v>
      </c>
      <c r="K1531" s="10">
        <v>8076.89</v>
      </c>
    </row>
    <row r="1532" spans="1:11" x14ac:dyDescent="0.25">
      <c r="A1532" s="8" t="s">
        <v>2839</v>
      </c>
      <c r="B1532" s="8" t="s">
        <v>120</v>
      </c>
      <c r="C1532" s="8" t="s">
        <v>2775</v>
      </c>
      <c r="D1532" s="8">
        <v>5</v>
      </c>
      <c r="E1532" s="8" t="s">
        <v>2822</v>
      </c>
      <c r="F1532" s="8" t="s">
        <v>266</v>
      </c>
      <c r="G1532" s="8" t="s">
        <v>2777</v>
      </c>
      <c r="H1532" s="10">
        <v>11.04</v>
      </c>
      <c r="I1532" s="10"/>
      <c r="J1532" s="10">
        <v>11.04</v>
      </c>
      <c r="K1532" s="10">
        <v>8076.89</v>
      </c>
    </row>
    <row r="1533" spans="1:11" x14ac:dyDescent="0.25">
      <c r="A1533" s="8" t="s">
        <v>2840</v>
      </c>
      <c r="B1533" s="8" t="s">
        <v>120</v>
      </c>
      <c r="C1533" s="8" t="s">
        <v>2775</v>
      </c>
      <c r="D1533" s="8">
        <v>5</v>
      </c>
      <c r="E1533" s="8" t="s">
        <v>2817</v>
      </c>
      <c r="F1533" s="8" t="s">
        <v>266</v>
      </c>
      <c r="G1533" s="8" t="s">
        <v>2777</v>
      </c>
      <c r="H1533" s="10">
        <v>14.47</v>
      </c>
      <c r="I1533" s="10"/>
      <c r="J1533" s="10">
        <v>14.47</v>
      </c>
      <c r="K1533" s="10">
        <v>9848.5</v>
      </c>
    </row>
    <row r="1534" spans="1:11" x14ac:dyDescent="0.25">
      <c r="A1534" s="8" t="s">
        <v>2841</v>
      </c>
      <c r="B1534" s="8" t="s">
        <v>120</v>
      </c>
      <c r="C1534" s="8" t="s">
        <v>2775</v>
      </c>
      <c r="D1534" s="8">
        <v>5</v>
      </c>
      <c r="E1534" s="8" t="s">
        <v>2817</v>
      </c>
      <c r="F1534" s="8" t="s">
        <v>266</v>
      </c>
      <c r="G1534" s="8" t="s">
        <v>2777</v>
      </c>
      <c r="H1534" s="10">
        <v>14.47</v>
      </c>
      <c r="I1534" s="10"/>
      <c r="J1534" s="10">
        <v>14.47</v>
      </c>
      <c r="K1534" s="10">
        <v>9848.5</v>
      </c>
    </row>
    <row r="1535" spans="1:11" x14ac:dyDescent="0.25">
      <c r="A1535" s="8" t="s">
        <v>2842</v>
      </c>
      <c r="B1535" s="8" t="s">
        <v>118</v>
      </c>
      <c r="C1535" s="8" t="s">
        <v>2775</v>
      </c>
      <c r="D1535" s="8">
        <v>5</v>
      </c>
      <c r="E1535" s="8" t="s">
        <v>2843</v>
      </c>
      <c r="F1535" s="8" t="s">
        <v>266</v>
      </c>
      <c r="G1535" s="8" t="s">
        <v>2777</v>
      </c>
      <c r="H1535" s="10">
        <v>6.5</v>
      </c>
      <c r="I1535" s="10"/>
      <c r="J1535" s="10">
        <v>6.5</v>
      </c>
      <c r="K1535" s="10">
        <v>7191.08</v>
      </c>
    </row>
    <row r="1536" spans="1:11" x14ac:dyDescent="0.25">
      <c r="A1536" s="8" t="s">
        <v>2844</v>
      </c>
      <c r="B1536" s="8" t="s">
        <v>118</v>
      </c>
      <c r="C1536" s="8" t="s">
        <v>2775</v>
      </c>
      <c r="D1536" s="8">
        <v>5</v>
      </c>
      <c r="E1536" s="8" t="s">
        <v>2843</v>
      </c>
      <c r="F1536" s="8" t="s">
        <v>266</v>
      </c>
      <c r="G1536" s="8" t="s">
        <v>2777</v>
      </c>
      <c r="H1536" s="10">
        <v>6.5</v>
      </c>
      <c r="I1536" s="10"/>
      <c r="J1536" s="10">
        <v>6.5</v>
      </c>
      <c r="K1536" s="10">
        <v>7191.08</v>
      </c>
    </row>
    <row r="1537" spans="1:11" x14ac:dyDescent="0.25">
      <c r="A1537" s="8" t="s">
        <v>2845</v>
      </c>
      <c r="B1537" s="8" t="s">
        <v>118</v>
      </c>
      <c r="C1537" s="8" t="s">
        <v>2775</v>
      </c>
      <c r="D1537" s="8">
        <v>5</v>
      </c>
      <c r="E1537" s="8" t="s">
        <v>2843</v>
      </c>
      <c r="F1537" s="8" t="s">
        <v>266</v>
      </c>
      <c r="G1537" s="8" t="s">
        <v>2777</v>
      </c>
      <c r="H1537" s="10">
        <v>6.5</v>
      </c>
      <c r="I1537" s="10"/>
      <c r="J1537" s="10">
        <v>6.5</v>
      </c>
      <c r="K1537" s="10">
        <v>7191.08</v>
      </c>
    </row>
    <row r="1538" spans="1:11" x14ac:dyDescent="0.25">
      <c r="A1538" s="8" t="s">
        <v>2846</v>
      </c>
      <c r="B1538" s="8" t="s">
        <v>120</v>
      </c>
      <c r="C1538" s="8" t="s">
        <v>2775</v>
      </c>
      <c r="D1538" s="8">
        <v>5</v>
      </c>
      <c r="E1538" s="8" t="s">
        <v>2843</v>
      </c>
      <c r="F1538" s="8" t="s">
        <v>266</v>
      </c>
      <c r="G1538" s="8" t="s">
        <v>2777</v>
      </c>
      <c r="H1538" s="10">
        <v>5.87</v>
      </c>
      <c r="I1538" s="10"/>
      <c r="J1538" s="10">
        <v>5.87</v>
      </c>
      <c r="K1538" s="10">
        <v>7191.08</v>
      </c>
    </row>
    <row r="1539" spans="1:11" x14ac:dyDescent="0.25">
      <c r="A1539" s="8" t="s">
        <v>2847</v>
      </c>
      <c r="B1539" s="8" t="s">
        <v>120</v>
      </c>
      <c r="C1539" s="8" t="s">
        <v>2775</v>
      </c>
      <c r="D1539" s="8">
        <v>5</v>
      </c>
      <c r="E1539" s="8" t="s">
        <v>2843</v>
      </c>
      <c r="F1539" s="8" t="s">
        <v>266</v>
      </c>
      <c r="G1539" s="8" t="s">
        <v>2777</v>
      </c>
      <c r="H1539" s="10">
        <v>5.86</v>
      </c>
      <c r="I1539" s="10"/>
      <c r="J1539" s="10">
        <v>5.86</v>
      </c>
      <c r="K1539" s="10">
        <v>7191.08</v>
      </c>
    </row>
    <row r="1540" spans="1:11" x14ac:dyDescent="0.25">
      <c r="A1540" s="8" t="s">
        <v>2848</v>
      </c>
      <c r="B1540" s="8" t="s">
        <v>78</v>
      </c>
      <c r="C1540" s="8" t="s">
        <v>2775</v>
      </c>
      <c r="D1540" s="8">
        <v>5</v>
      </c>
      <c r="E1540" s="8" t="s">
        <v>2843</v>
      </c>
      <c r="F1540" s="8" t="s">
        <v>266</v>
      </c>
      <c r="G1540" s="8" t="s">
        <v>2777</v>
      </c>
      <c r="H1540" s="10">
        <v>1.57</v>
      </c>
      <c r="I1540" s="10"/>
      <c r="J1540" s="10">
        <v>1.57</v>
      </c>
      <c r="K1540" s="10">
        <v>8962.69</v>
      </c>
    </row>
    <row r="1541" spans="1:11" x14ac:dyDescent="0.25">
      <c r="A1541" s="8" t="s">
        <v>2849</v>
      </c>
      <c r="B1541" s="8" t="s">
        <v>78</v>
      </c>
      <c r="C1541" s="8" t="s">
        <v>2775</v>
      </c>
      <c r="D1541" s="8">
        <v>5</v>
      </c>
      <c r="E1541" s="8" t="s">
        <v>2843</v>
      </c>
      <c r="F1541" s="8" t="s">
        <v>266</v>
      </c>
      <c r="G1541" s="8" t="s">
        <v>2777</v>
      </c>
      <c r="H1541" s="10">
        <v>1.57</v>
      </c>
      <c r="I1541" s="10"/>
      <c r="J1541" s="10">
        <v>1.57</v>
      </c>
      <c r="K1541" s="10">
        <v>8962.69</v>
      </c>
    </row>
    <row r="1542" spans="1:11" x14ac:dyDescent="0.25">
      <c r="A1542" s="8" t="s">
        <v>2850</v>
      </c>
      <c r="B1542" s="8" t="s">
        <v>78</v>
      </c>
      <c r="C1542" s="8" t="s">
        <v>2775</v>
      </c>
      <c r="D1542" s="8">
        <v>5</v>
      </c>
      <c r="E1542" s="8" t="s">
        <v>2843</v>
      </c>
      <c r="F1542" s="8" t="s">
        <v>266</v>
      </c>
      <c r="G1542" s="8" t="s">
        <v>2777</v>
      </c>
      <c r="H1542" s="10">
        <v>1.57</v>
      </c>
      <c r="I1542" s="10"/>
      <c r="J1542" s="10">
        <v>1.57</v>
      </c>
      <c r="K1542" s="10">
        <v>8962.69</v>
      </c>
    </row>
    <row r="1543" spans="1:11" x14ac:dyDescent="0.25">
      <c r="A1543" s="8" t="s">
        <v>2851</v>
      </c>
      <c r="B1543" s="8" t="s">
        <v>122</v>
      </c>
      <c r="C1543" s="8" t="s">
        <v>2775</v>
      </c>
      <c r="D1543" s="8">
        <v>5</v>
      </c>
      <c r="E1543" s="8" t="s">
        <v>2852</v>
      </c>
      <c r="F1543" s="8" t="s">
        <v>266</v>
      </c>
      <c r="G1543" s="8" t="s">
        <v>2777</v>
      </c>
      <c r="H1543" s="10">
        <v>6.25</v>
      </c>
      <c r="I1543" s="10"/>
      <c r="J1543" s="10">
        <v>6.25</v>
      </c>
      <c r="K1543" s="10">
        <v>8962.69</v>
      </c>
    </row>
    <row r="1544" spans="1:11" x14ac:dyDescent="0.25">
      <c r="A1544" s="8" t="s">
        <v>2853</v>
      </c>
      <c r="B1544" s="8" t="s">
        <v>124</v>
      </c>
      <c r="C1544" s="8" t="s">
        <v>2775</v>
      </c>
      <c r="D1544" s="8">
        <v>5</v>
      </c>
      <c r="E1544" s="8" t="s">
        <v>2854</v>
      </c>
      <c r="F1544" s="8" t="s">
        <v>266</v>
      </c>
      <c r="G1544" s="8" t="s">
        <v>2777</v>
      </c>
      <c r="H1544" s="10">
        <v>8.8800000000000008</v>
      </c>
      <c r="I1544" s="10"/>
      <c r="J1544" s="10">
        <v>8.8800000000000008</v>
      </c>
      <c r="K1544" s="10">
        <v>6305.28</v>
      </c>
    </row>
    <row r="1545" spans="1:11" x14ac:dyDescent="0.25">
      <c r="A1545" s="8" t="s">
        <v>2855</v>
      </c>
      <c r="B1545" s="8" t="s">
        <v>124</v>
      </c>
      <c r="C1545" s="8" t="s">
        <v>2775</v>
      </c>
      <c r="D1545" s="8">
        <v>5</v>
      </c>
      <c r="E1545" s="8" t="s">
        <v>2854</v>
      </c>
      <c r="F1545" s="8" t="s">
        <v>266</v>
      </c>
      <c r="G1545" s="8" t="s">
        <v>2777</v>
      </c>
      <c r="H1545" s="10">
        <v>8.8800000000000008</v>
      </c>
      <c r="I1545" s="10"/>
      <c r="J1545" s="10">
        <v>8.8800000000000008</v>
      </c>
      <c r="K1545" s="10">
        <v>6305.28</v>
      </c>
    </row>
    <row r="1546" spans="1:11" x14ac:dyDescent="0.25">
      <c r="A1546" s="8" t="s">
        <v>2856</v>
      </c>
      <c r="B1546" s="8" t="s">
        <v>124</v>
      </c>
      <c r="C1546" s="8" t="s">
        <v>2775</v>
      </c>
      <c r="D1546" s="8">
        <v>5</v>
      </c>
      <c r="E1546" s="8" t="s">
        <v>2854</v>
      </c>
      <c r="F1546" s="8" t="s">
        <v>266</v>
      </c>
      <c r="G1546" s="8" t="s">
        <v>2777</v>
      </c>
      <c r="H1546" s="10">
        <v>8.8800000000000008</v>
      </c>
      <c r="I1546" s="10"/>
      <c r="J1546" s="10">
        <v>8.8800000000000008</v>
      </c>
      <c r="K1546" s="10">
        <v>6305.28</v>
      </c>
    </row>
    <row r="1547" spans="1:11" x14ac:dyDescent="0.25">
      <c r="A1547" s="8" t="s">
        <v>2857</v>
      </c>
      <c r="B1547" s="8" t="s">
        <v>122</v>
      </c>
      <c r="C1547" s="8" t="s">
        <v>2775</v>
      </c>
      <c r="D1547" s="8">
        <v>5</v>
      </c>
      <c r="E1547" s="8" t="s">
        <v>2858</v>
      </c>
      <c r="F1547" s="8" t="s">
        <v>266</v>
      </c>
      <c r="G1547" s="8" t="s">
        <v>2777</v>
      </c>
      <c r="H1547" s="10">
        <v>3.91</v>
      </c>
      <c r="I1547" s="10"/>
      <c r="J1547" s="10">
        <v>3.91</v>
      </c>
      <c r="K1547" s="10">
        <v>6435.25</v>
      </c>
    </row>
    <row r="1548" spans="1:11" x14ac:dyDescent="0.25">
      <c r="A1548" s="8" t="s">
        <v>2859</v>
      </c>
      <c r="B1548" s="8" t="s">
        <v>124</v>
      </c>
      <c r="C1548" s="8" t="s">
        <v>2775</v>
      </c>
      <c r="D1548" s="8">
        <v>5</v>
      </c>
      <c r="E1548" s="8" t="s">
        <v>2860</v>
      </c>
      <c r="F1548" s="8" t="s">
        <v>266</v>
      </c>
      <c r="G1548" s="8" t="s">
        <v>2777</v>
      </c>
      <c r="H1548" s="10">
        <v>2.5299999999999998</v>
      </c>
      <c r="I1548" s="10"/>
      <c r="J1548" s="10">
        <v>2.5299999999999998</v>
      </c>
      <c r="K1548" s="10">
        <v>6435.25</v>
      </c>
    </row>
    <row r="1549" spans="1:11" x14ac:dyDescent="0.25">
      <c r="A1549" s="8" t="s">
        <v>2861</v>
      </c>
      <c r="B1549" s="8" t="s">
        <v>263</v>
      </c>
      <c r="C1549" s="8" t="s">
        <v>2862</v>
      </c>
      <c r="D1549" s="8">
        <v>6</v>
      </c>
      <c r="E1549" s="8" t="s">
        <v>2863</v>
      </c>
      <c r="F1549" s="8" t="s">
        <v>266</v>
      </c>
      <c r="G1549" s="8" t="s">
        <v>2864</v>
      </c>
      <c r="H1549" s="10">
        <v>4.3899999999999997</v>
      </c>
      <c r="I1549" s="10"/>
      <c r="J1549" s="10">
        <v>4.3899999999999997</v>
      </c>
      <c r="K1549" s="10">
        <v>46622.04</v>
      </c>
    </row>
    <row r="1550" spans="1:11" x14ac:dyDescent="0.25">
      <c r="A1550" s="8" t="s">
        <v>2865</v>
      </c>
      <c r="B1550" s="8" t="s">
        <v>263</v>
      </c>
      <c r="C1550" s="8" t="s">
        <v>2862</v>
      </c>
      <c r="D1550" s="8">
        <v>6</v>
      </c>
      <c r="E1550" s="8" t="s">
        <v>2866</v>
      </c>
      <c r="F1550" s="8" t="s">
        <v>266</v>
      </c>
      <c r="G1550" s="8" t="s">
        <v>2864</v>
      </c>
      <c r="H1550" s="10">
        <v>4.3899999999999997</v>
      </c>
      <c r="I1550" s="10"/>
      <c r="J1550" s="10">
        <v>4.3899999999999997</v>
      </c>
      <c r="K1550" s="10">
        <v>46622.04</v>
      </c>
    </row>
    <row r="1551" spans="1:11" x14ac:dyDescent="0.25">
      <c r="A1551" s="8" t="s">
        <v>2867</v>
      </c>
      <c r="B1551" s="8" t="s">
        <v>269</v>
      </c>
      <c r="C1551" s="8" t="s">
        <v>2862</v>
      </c>
      <c r="D1551" s="8">
        <v>6</v>
      </c>
      <c r="E1551" s="8" t="s">
        <v>2868</v>
      </c>
      <c r="F1551" s="8" t="s">
        <v>266</v>
      </c>
      <c r="G1551" s="8" t="s">
        <v>2864</v>
      </c>
      <c r="H1551" s="10">
        <v>4.3899999999999997</v>
      </c>
      <c r="I1551" s="10"/>
      <c r="J1551" s="10">
        <v>4.3899999999999997</v>
      </c>
      <c r="K1551" s="10">
        <v>46622.04</v>
      </c>
    </row>
    <row r="1552" spans="1:11" x14ac:dyDescent="0.25">
      <c r="A1552" s="8" t="s">
        <v>2869</v>
      </c>
      <c r="B1552" s="8" t="s">
        <v>269</v>
      </c>
      <c r="C1552" s="8" t="s">
        <v>2862</v>
      </c>
      <c r="D1552" s="8">
        <v>6</v>
      </c>
      <c r="E1552" s="8" t="s">
        <v>2870</v>
      </c>
      <c r="F1552" s="8" t="s">
        <v>266</v>
      </c>
      <c r="G1552" s="8" t="s">
        <v>2864</v>
      </c>
      <c r="H1552" s="10">
        <v>4.3899999999999997</v>
      </c>
      <c r="I1552" s="10"/>
      <c r="J1552" s="10">
        <v>4.3899999999999997</v>
      </c>
      <c r="K1552" s="10">
        <v>46622.04</v>
      </c>
    </row>
    <row r="1553" spans="1:11" x14ac:dyDescent="0.25">
      <c r="A1553" s="8" t="s">
        <v>2871</v>
      </c>
      <c r="B1553" s="8" t="s">
        <v>132</v>
      </c>
      <c r="C1553" s="8" t="s">
        <v>2775</v>
      </c>
      <c r="D1553" s="8">
        <v>5</v>
      </c>
      <c r="E1553" s="8" t="s">
        <v>2872</v>
      </c>
      <c r="F1553" s="8" t="s">
        <v>266</v>
      </c>
      <c r="G1553" s="8" t="s">
        <v>2777</v>
      </c>
      <c r="H1553" s="10">
        <v>8.9600000000000009</v>
      </c>
      <c r="I1553" s="10"/>
      <c r="J1553" s="10">
        <v>8.9600000000000009</v>
      </c>
      <c r="K1553" s="10">
        <v>11620.11</v>
      </c>
    </row>
    <row r="1554" spans="1:11" x14ac:dyDescent="0.25">
      <c r="A1554" s="8" t="s">
        <v>2873</v>
      </c>
      <c r="B1554" s="8" t="s">
        <v>134</v>
      </c>
      <c r="C1554" s="8" t="s">
        <v>2775</v>
      </c>
      <c r="D1554" s="8">
        <v>5</v>
      </c>
      <c r="E1554" s="8" t="s">
        <v>2874</v>
      </c>
      <c r="F1554" s="8" t="s">
        <v>266</v>
      </c>
      <c r="G1554" s="8" t="s">
        <v>2777</v>
      </c>
      <c r="H1554" s="10">
        <v>0.75</v>
      </c>
      <c r="I1554" s="10"/>
      <c r="J1554" s="10">
        <v>0.75</v>
      </c>
      <c r="K1554" s="10">
        <v>7191.08</v>
      </c>
    </row>
    <row r="1555" spans="1:11" x14ac:dyDescent="0.25">
      <c r="A1555" s="8" t="s">
        <v>2875</v>
      </c>
      <c r="B1555" s="8" t="s">
        <v>128</v>
      </c>
      <c r="C1555" s="8" t="s">
        <v>2775</v>
      </c>
      <c r="D1555" s="8">
        <v>5</v>
      </c>
      <c r="E1555" s="8" t="s">
        <v>2876</v>
      </c>
      <c r="F1555" s="8" t="s">
        <v>266</v>
      </c>
      <c r="G1555" s="8" t="s">
        <v>2777</v>
      </c>
      <c r="H1555" s="10">
        <v>18.61</v>
      </c>
      <c r="I1555" s="10"/>
      <c r="J1555" s="10">
        <v>18.61</v>
      </c>
      <c r="K1555" s="10">
        <v>12505.92</v>
      </c>
    </row>
    <row r="1556" spans="1:11" x14ac:dyDescent="0.25">
      <c r="A1556" s="8" t="s">
        <v>2877</v>
      </c>
      <c r="B1556" s="8" t="s">
        <v>132</v>
      </c>
      <c r="C1556" s="8" t="s">
        <v>2775</v>
      </c>
      <c r="D1556" s="8">
        <v>5</v>
      </c>
      <c r="E1556" s="8" t="s">
        <v>2878</v>
      </c>
      <c r="F1556" s="8" t="s">
        <v>266</v>
      </c>
      <c r="G1556" s="8" t="s">
        <v>2777</v>
      </c>
      <c r="H1556" s="10">
        <v>7.97</v>
      </c>
      <c r="I1556" s="10"/>
      <c r="J1556" s="10">
        <v>7.97</v>
      </c>
      <c r="K1556" s="10">
        <v>12505.92</v>
      </c>
    </row>
    <row r="1557" spans="1:11" x14ac:dyDescent="0.25">
      <c r="A1557" s="8" t="s">
        <v>2879</v>
      </c>
      <c r="B1557" s="8" t="s">
        <v>134</v>
      </c>
      <c r="C1557" s="8" t="s">
        <v>2775</v>
      </c>
      <c r="D1557" s="8">
        <v>5</v>
      </c>
      <c r="E1557" s="8" t="s">
        <v>2878</v>
      </c>
      <c r="F1557" s="8" t="s">
        <v>266</v>
      </c>
      <c r="G1557" s="8" t="s">
        <v>2777</v>
      </c>
      <c r="H1557" s="10">
        <v>7.3</v>
      </c>
      <c r="I1557" s="10"/>
      <c r="J1557" s="10">
        <v>7.3</v>
      </c>
      <c r="K1557" s="10">
        <v>12505.92</v>
      </c>
    </row>
    <row r="1558" spans="1:11" x14ac:dyDescent="0.25">
      <c r="A1558" s="8" t="s">
        <v>2880</v>
      </c>
      <c r="B1558" s="8" t="s">
        <v>134</v>
      </c>
      <c r="C1558" s="8" t="s">
        <v>2775</v>
      </c>
      <c r="D1558" s="8">
        <v>5</v>
      </c>
      <c r="E1558" s="8" t="s">
        <v>2881</v>
      </c>
      <c r="F1558" s="8" t="s">
        <v>266</v>
      </c>
      <c r="G1558" s="8" t="s">
        <v>2777</v>
      </c>
      <c r="H1558" s="10">
        <v>12.66</v>
      </c>
      <c r="I1558" s="10"/>
      <c r="J1558" s="10">
        <v>12.66</v>
      </c>
      <c r="K1558" s="10">
        <v>13692.16</v>
      </c>
    </row>
    <row r="1559" spans="1:11" x14ac:dyDescent="0.25">
      <c r="A1559" s="8" t="s">
        <v>2882</v>
      </c>
      <c r="B1559" s="8" t="s">
        <v>134</v>
      </c>
      <c r="C1559" s="8" t="s">
        <v>2775</v>
      </c>
      <c r="D1559" s="8">
        <v>5</v>
      </c>
      <c r="E1559" s="8" t="s">
        <v>2878</v>
      </c>
      <c r="F1559" s="8" t="s">
        <v>266</v>
      </c>
      <c r="G1559" s="8" t="s">
        <v>2777</v>
      </c>
      <c r="H1559" s="10">
        <v>14.38</v>
      </c>
      <c r="I1559" s="10"/>
      <c r="J1559" s="10">
        <v>14.38</v>
      </c>
      <c r="K1559" s="10">
        <v>12505.92</v>
      </c>
    </row>
    <row r="1560" spans="1:11" x14ac:dyDescent="0.25">
      <c r="A1560" s="8" t="s">
        <v>2883</v>
      </c>
      <c r="B1560" s="8" t="s">
        <v>134</v>
      </c>
      <c r="C1560" s="8" t="s">
        <v>2775</v>
      </c>
      <c r="D1560" s="8">
        <v>5</v>
      </c>
      <c r="E1560" s="8" t="s">
        <v>2881</v>
      </c>
      <c r="F1560" s="8" t="s">
        <v>266</v>
      </c>
      <c r="G1560" s="8" t="s">
        <v>2777</v>
      </c>
      <c r="H1560" s="10">
        <v>17.22</v>
      </c>
      <c r="I1560" s="10"/>
      <c r="J1560" s="10">
        <v>17.22</v>
      </c>
      <c r="K1560" s="10">
        <v>13526.73</v>
      </c>
    </row>
    <row r="1561" spans="1:11" x14ac:dyDescent="0.25">
      <c r="A1561" s="8" t="s">
        <v>2884</v>
      </c>
      <c r="B1561" s="8" t="s">
        <v>134</v>
      </c>
      <c r="C1561" s="8" t="s">
        <v>2775</v>
      </c>
      <c r="D1561" s="8">
        <v>5</v>
      </c>
      <c r="E1561" s="8" t="s">
        <v>2878</v>
      </c>
      <c r="F1561" s="8" t="s">
        <v>266</v>
      </c>
      <c r="G1561" s="8" t="s">
        <v>2777</v>
      </c>
      <c r="H1561" s="10">
        <v>14.38</v>
      </c>
      <c r="I1561" s="10"/>
      <c r="J1561" s="10">
        <v>14.38</v>
      </c>
      <c r="K1561" s="10">
        <v>12505.92</v>
      </c>
    </row>
    <row r="1562" spans="1:11" x14ac:dyDescent="0.25">
      <c r="A1562" s="8" t="s">
        <v>2885</v>
      </c>
      <c r="B1562" s="8" t="s">
        <v>128</v>
      </c>
      <c r="C1562" s="8" t="s">
        <v>2775</v>
      </c>
      <c r="D1562" s="8">
        <v>5</v>
      </c>
      <c r="E1562" s="8" t="s">
        <v>2886</v>
      </c>
      <c r="F1562" s="8" t="s">
        <v>266</v>
      </c>
      <c r="G1562" s="8" t="s">
        <v>2777</v>
      </c>
      <c r="H1562" s="10">
        <v>1.3</v>
      </c>
      <c r="I1562" s="10"/>
      <c r="J1562" s="10">
        <v>1.3</v>
      </c>
      <c r="K1562" s="10">
        <v>7191.08</v>
      </c>
    </row>
    <row r="1563" spans="1:11" x14ac:dyDescent="0.25">
      <c r="A1563" s="8" t="s">
        <v>2887</v>
      </c>
      <c r="B1563" s="8" t="s">
        <v>132</v>
      </c>
      <c r="C1563" s="8" t="s">
        <v>2775</v>
      </c>
      <c r="D1563" s="8">
        <v>5</v>
      </c>
      <c r="E1563" s="8" t="s">
        <v>2886</v>
      </c>
      <c r="F1563" s="8" t="s">
        <v>266</v>
      </c>
      <c r="G1563" s="8" t="s">
        <v>2777</v>
      </c>
      <c r="H1563" s="10">
        <v>3.1</v>
      </c>
      <c r="I1563" s="10"/>
      <c r="J1563" s="10">
        <v>3.1</v>
      </c>
      <c r="K1563" s="10">
        <v>5419.47</v>
      </c>
    </row>
    <row r="1564" spans="1:11" x14ac:dyDescent="0.25">
      <c r="A1564" s="8" t="s">
        <v>2888</v>
      </c>
      <c r="B1564" s="8" t="s">
        <v>134</v>
      </c>
      <c r="C1564" s="8" t="s">
        <v>2775</v>
      </c>
      <c r="D1564" s="8">
        <v>5</v>
      </c>
      <c r="E1564" s="8" t="s">
        <v>2886</v>
      </c>
      <c r="F1564" s="8" t="s">
        <v>266</v>
      </c>
      <c r="G1564" s="8" t="s">
        <v>2777</v>
      </c>
      <c r="H1564" s="10">
        <v>1.1599999999999999</v>
      </c>
      <c r="I1564" s="10"/>
      <c r="J1564" s="10">
        <v>1.1599999999999999</v>
      </c>
      <c r="K1564" s="10">
        <v>7191.08</v>
      </c>
    </row>
    <row r="1565" spans="1:11" x14ac:dyDescent="0.25">
      <c r="A1565" s="8" t="s">
        <v>2889</v>
      </c>
      <c r="B1565" s="8" t="s">
        <v>134</v>
      </c>
      <c r="C1565" s="8" t="s">
        <v>2775</v>
      </c>
      <c r="D1565" s="8">
        <v>5</v>
      </c>
      <c r="E1565" s="8" t="s">
        <v>2886</v>
      </c>
      <c r="F1565" s="8" t="s">
        <v>266</v>
      </c>
      <c r="G1565" s="8" t="s">
        <v>2777</v>
      </c>
      <c r="H1565" s="10">
        <v>0.35</v>
      </c>
      <c r="I1565" s="10"/>
      <c r="J1565" s="10">
        <v>0.35</v>
      </c>
      <c r="K1565" s="10">
        <v>8076.89</v>
      </c>
    </row>
    <row r="1566" spans="1:11" x14ac:dyDescent="0.25">
      <c r="A1566" s="8" t="s">
        <v>2890</v>
      </c>
      <c r="B1566" s="8" t="s">
        <v>134</v>
      </c>
      <c r="C1566" s="8" t="s">
        <v>2775</v>
      </c>
      <c r="D1566" s="8">
        <v>5</v>
      </c>
      <c r="E1566" s="8" t="s">
        <v>2886</v>
      </c>
      <c r="F1566" s="8" t="s">
        <v>266</v>
      </c>
      <c r="G1566" s="8" t="s">
        <v>2777</v>
      </c>
      <c r="H1566" s="10">
        <v>0.35</v>
      </c>
      <c r="I1566" s="10"/>
      <c r="J1566" s="10">
        <v>0.35</v>
      </c>
      <c r="K1566" s="10">
        <v>8076.89</v>
      </c>
    </row>
    <row r="1567" spans="1:11" x14ac:dyDescent="0.25">
      <c r="A1567" s="8" t="s">
        <v>2891</v>
      </c>
      <c r="B1567" s="8" t="s">
        <v>134</v>
      </c>
      <c r="C1567" s="8" t="s">
        <v>2775</v>
      </c>
      <c r="D1567" s="8">
        <v>5</v>
      </c>
      <c r="E1567" s="8" t="s">
        <v>2886</v>
      </c>
      <c r="F1567" s="8" t="s">
        <v>266</v>
      </c>
      <c r="G1567" s="8" t="s">
        <v>2777</v>
      </c>
      <c r="H1567" s="10">
        <v>0.35</v>
      </c>
      <c r="I1567" s="10"/>
      <c r="J1567" s="10">
        <v>0.35</v>
      </c>
      <c r="K1567" s="10">
        <v>8076.89</v>
      </c>
    </row>
    <row r="1568" spans="1:11" x14ac:dyDescent="0.25">
      <c r="A1568" s="8" t="s">
        <v>2892</v>
      </c>
      <c r="B1568" s="8" t="s">
        <v>134</v>
      </c>
      <c r="C1568" s="8" t="s">
        <v>2775</v>
      </c>
      <c r="D1568" s="8">
        <v>5</v>
      </c>
      <c r="E1568" s="8" t="s">
        <v>2886</v>
      </c>
      <c r="F1568" s="8" t="s">
        <v>266</v>
      </c>
      <c r="G1568" s="8" t="s">
        <v>2777</v>
      </c>
      <c r="H1568" s="10">
        <v>1.67</v>
      </c>
      <c r="I1568" s="10"/>
      <c r="J1568" s="10">
        <v>1.67</v>
      </c>
      <c r="K1568" s="10">
        <v>7191.08</v>
      </c>
    </row>
    <row r="1569" spans="1:11" x14ac:dyDescent="0.25">
      <c r="A1569" s="8" t="s">
        <v>2893</v>
      </c>
      <c r="B1569" s="8" t="s">
        <v>118</v>
      </c>
      <c r="C1569" s="8" t="s">
        <v>2775</v>
      </c>
      <c r="D1569" s="8">
        <v>5</v>
      </c>
      <c r="E1569" s="8" t="s">
        <v>2894</v>
      </c>
      <c r="F1569" s="8" t="s">
        <v>266</v>
      </c>
      <c r="G1569" s="8" t="s">
        <v>2777</v>
      </c>
      <c r="H1569" s="10">
        <v>0.47</v>
      </c>
      <c r="I1569" s="10"/>
      <c r="J1569" s="10">
        <v>0.47</v>
      </c>
      <c r="K1569" s="10">
        <v>7191.08</v>
      </c>
    </row>
    <row r="1570" spans="1:11" x14ac:dyDescent="0.25">
      <c r="A1570" s="8" t="s">
        <v>2895</v>
      </c>
      <c r="B1570" s="8" t="s">
        <v>116</v>
      </c>
      <c r="C1570" s="8" t="s">
        <v>2775</v>
      </c>
      <c r="D1570" s="8">
        <v>5</v>
      </c>
      <c r="E1570" s="8" t="s">
        <v>2896</v>
      </c>
      <c r="F1570" s="8" t="s">
        <v>266</v>
      </c>
      <c r="G1570" s="8" t="s">
        <v>2777</v>
      </c>
      <c r="H1570" s="10">
        <v>0.32</v>
      </c>
      <c r="I1570" s="10"/>
      <c r="J1570" s="10">
        <v>0.32</v>
      </c>
      <c r="K1570" s="10">
        <v>7191.08</v>
      </c>
    </row>
    <row r="1571" spans="1:11" x14ac:dyDescent="0.25">
      <c r="A1571" s="8" t="s">
        <v>2897</v>
      </c>
      <c r="B1571" s="8" t="s">
        <v>136</v>
      </c>
      <c r="C1571" s="8" t="s">
        <v>2775</v>
      </c>
      <c r="D1571" s="8">
        <v>5</v>
      </c>
      <c r="E1571" s="8" t="s">
        <v>2898</v>
      </c>
      <c r="F1571" s="8" t="s">
        <v>266</v>
      </c>
      <c r="G1571" s="8" t="s">
        <v>2777</v>
      </c>
      <c r="H1571" s="10">
        <v>1.23</v>
      </c>
      <c r="I1571" s="10"/>
      <c r="J1571" s="10">
        <v>1.23</v>
      </c>
      <c r="K1571" s="10">
        <v>7191.08</v>
      </c>
    </row>
    <row r="1572" spans="1:11" x14ac:dyDescent="0.25">
      <c r="A1572" s="8" t="s">
        <v>2899</v>
      </c>
      <c r="B1572" s="8" t="s">
        <v>136</v>
      </c>
      <c r="C1572" s="8" t="s">
        <v>2775</v>
      </c>
      <c r="D1572" s="8">
        <v>5</v>
      </c>
      <c r="E1572" s="8" t="s">
        <v>2900</v>
      </c>
      <c r="F1572" s="8" t="s">
        <v>266</v>
      </c>
      <c r="G1572" s="8" t="s">
        <v>2777</v>
      </c>
      <c r="H1572" s="10">
        <v>1.23</v>
      </c>
      <c r="I1572" s="10"/>
      <c r="J1572" s="10">
        <v>1.23</v>
      </c>
      <c r="K1572" s="10">
        <v>7191.08</v>
      </c>
    </row>
    <row r="1573" spans="1:11" x14ac:dyDescent="0.25">
      <c r="A1573" s="8" t="s">
        <v>2901</v>
      </c>
      <c r="B1573" s="8" t="s">
        <v>136</v>
      </c>
      <c r="C1573" s="8" t="s">
        <v>2775</v>
      </c>
      <c r="D1573" s="8">
        <v>5</v>
      </c>
      <c r="E1573" s="8" t="s">
        <v>2902</v>
      </c>
      <c r="F1573" s="8" t="s">
        <v>266</v>
      </c>
      <c r="G1573" s="8" t="s">
        <v>2777</v>
      </c>
      <c r="H1573" s="10">
        <v>4.68</v>
      </c>
      <c r="I1573" s="10"/>
      <c r="J1573" s="10">
        <v>4.68</v>
      </c>
      <c r="K1573" s="10">
        <v>5419.47</v>
      </c>
    </row>
    <row r="1574" spans="1:11" x14ac:dyDescent="0.25">
      <c r="A1574" s="8" t="s">
        <v>2903</v>
      </c>
      <c r="B1574" s="8" t="s">
        <v>118</v>
      </c>
      <c r="C1574" s="8" t="s">
        <v>2775</v>
      </c>
      <c r="D1574" s="8">
        <v>5</v>
      </c>
      <c r="E1574" s="8" t="s">
        <v>2904</v>
      </c>
      <c r="F1574" s="8" t="s">
        <v>266</v>
      </c>
      <c r="G1574" s="8" t="s">
        <v>2777</v>
      </c>
      <c r="H1574" s="10">
        <v>7.4</v>
      </c>
      <c r="I1574" s="10"/>
      <c r="J1574" s="10">
        <v>7.4</v>
      </c>
      <c r="K1574" s="10">
        <v>6469.03</v>
      </c>
    </row>
    <row r="1575" spans="1:11" x14ac:dyDescent="0.25">
      <c r="A1575" s="8" t="s">
        <v>2905</v>
      </c>
      <c r="B1575" s="8" t="s">
        <v>118</v>
      </c>
      <c r="C1575" s="8" t="s">
        <v>2775</v>
      </c>
      <c r="D1575" s="8">
        <v>5</v>
      </c>
      <c r="E1575" s="8" t="s">
        <v>2904</v>
      </c>
      <c r="F1575" s="8" t="s">
        <v>266</v>
      </c>
      <c r="G1575" s="8" t="s">
        <v>2777</v>
      </c>
      <c r="H1575" s="10">
        <v>7.4</v>
      </c>
      <c r="I1575" s="10"/>
      <c r="J1575" s="10">
        <v>7.4</v>
      </c>
      <c r="K1575" s="10">
        <v>6469.03</v>
      </c>
    </row>
    <row r="1576" spans="1:11" x14ac:dyDescent="0.25">
      <c r="A1576" s="8" t="s">
        <v>2906</v>
      </c>
      <c r="B1576" s="8" t="s">
        <v>118</v>
      </c>
      <c r="C1576" s="8" t="s">
        <v>2775</v>
      </c>
      <c r="D1576" s="8">
        <v>5</v>
      </c>
      <c r="E1576" s="8" t="s">
        <v>2904</v>
      </c>
      <c r="F1576" s="8" t="s">
        <v>266</v>
      </c>
      <c r="G1576" s="8" t="s">
        <v>2777</v>
      </c>
      <c r="H1576" s="10">
        <v>7.4</v>
      </c>
      <c r="I1576" s="10"/>
      <c r="J1576" s="10">
        <v>7.4</v>
      </c>
      <c r="K1576" s="10">
        <v>6469.03</v>
      </c>
    </row>
    <row r="1577" spans="1:11" x14ac:dyDescent="0.25">
      <c r="A1577" s="8" t="s">
        <v>2907</v>
      </c>
      <c r="B1577" s="8" t="s">
        <v>120</v>
      </c>
      <c r="C1577" s="8" t="s">
        <v>2775</v>
      </c>
      <c r="D1577" s="8">
        <v>5</v>
      </c>
      <c r="E1577" s="8" t="s">
        <v>2904</v>
      </c>
      <c r="F1577" s="8" t="s">
        <v>266</v>
      </c>
      <c r="G1577" s="8" t="s">
        <v>2777</v>
      </c>
      <c r="H1577" s="10">
        <v>6.4</v>
      </c>
      <c r="I1577" s="10"/>
      <c r="J1577" s="10">
        <v>6.4</v>
      </c>
      <c r="K1577" s="10">
        <v>6469.03</v>
      </c>
    </row>
    <row r="1578" spans="1:11" x14ac:dyDescent="0.25">
      <c r="A1578" s="8" t="s">
        <v>2908</v>
      </c>
      <c r="B1578" s="8" t="s">
        <v>120</v>
      </c>
      <c r="C1578" s="8" t="s">
        <v>2775</v>
      </c>
      <c r="D1578" s="8">
        <v>5</v>
      </c>
      <c r="E1578" s="8" t="s">
        <v>2904</v>
      </c>
      <c r="F1578" s="8" t="s">
        <v>266</v>
      </c>
      <c r="G1578" s="8" t="s">
        <v>2777</v>
      </c>
      <c r="H1578" s="10">
        <v>6.4</v>
      </c>
      <c r="I1578" s="10"/>
      <c r="J1578" s="10">
        <v>6.4</v>
      </c>
      <c r="K1578" s="10">
        <v>6469.03</v>
      </c>
    </row>
    <row r="1579" spans="1:11" x14ac:dyDescent="0.25">
      <c r="A1579" s="8" t="s">
        <v>2909</v>
      </c>
      <c r="B1579" s="8" t="s">
        <v>120</v>
      </c>
      <c r="C1579" s="8" t="s">
        <v>2775</v>
      </c>
      <c r="D1579" s="8">
        <v>5</v>
      </c>
      <c r="E1579" s="8" t="s">
        <v>2904</v>
      </c>
      <c r="F1579" s="8" t="s">
        <v>266</v>
      </c>
      <c r="G1579" s="8" t="s">
        <v>2777</v>
      </c>
      <c r="H1579" s="10">
        <v>6.4</v>
      </c>
      <c r="I1579" s="10"/>
      <c r="J1579" s="10">
        <v>6.4</v>
      </c>
      <c r="K1579" s="10">
        <v>6469.03</v>
      </c>
    </row>
    <row r="1580" spans="1:11" x14ac:dyDescent="0.25">
      <c r="A1580" s="8" t="s">
        <v>2910</v>
      </c>
      <c r="B1580" s="8" t="s">
        <v>120</v>
      </c>
      <c r="C1580" s="8" t="s">
        <v>2775</v>
      </c>
      <c r="D1580" s="8">
        <v>5</v>
      </c>
      <c r="E1580" s="8" t="s">
        <v>2904</v>
      </c>
      <c r="F1580" s="8" t="s">
        <v>266</v>
      </c>
      <c r="G1580" s="8" t="s">
        <v>2777</v>
      </c>
      <c r="H1580" s="10">
        <v>6.4</v>
      </c>
      <c r="I1580" s="10"/>
      <c r="J1580" s="10">
        <v>6.4</v>
      </c>
      <c r="K1580" s="10">
        <v>6469.03</v>
      </c>
    </row>
    <row r="1581" spans="1:11" x14ac:dyDescent="0.25">
      <c r="A1581" s="8" t="s">
        <v>2911</v>
      </c>
      <c r="B1581" s="8" t="s">
        <v>72</v>
      </c>
      <c r="C1581" s="8" t="s">
        <v>2912</v>
      </c>
      <c r="D1581" s="8">
        <v>6</v>
      </c>
      <c r="E1581" s="8" t="s">
        <v>2913</v>
      </c>
      <c r="F1581" s="8" t="s">
        <v>149</v>
      </c>
      <c r="G1581" s="8" t="s">
        <v>2914</v>
      </c>
      <c r="H1581" s="10">
        <v>2900</v>
      </c>
      <c r="I1581" s="10"/>
      <c r="J1581" s="10">
        <v>2900</v>
      </c>
      <c r="K1581" s="10">
        <v>10.86</v>
      </c>
    </row>
    <row r="1582" spans="1:11" x14ac:dyDescent="0.25">
      <c r="A1582" s="8" t="s">
        <v>2915</v>
      </c>
      <c r="B1582" s="8" t="s">
        <v>116</v>
      </c>
      <c r="C1582" s="8" t="s">
        <v>2912</v>
      </c>
      <c r="D1582" s="8">
        <v>6</v>
      </c>
      <c r="E1582" s="8" t="s">
        <v>2913</v>
      </c>
      <c r="F1582" s="8" t="s">
        <v>149</v>
      </c>
      <c r="G1582" s="8" t="s">
        <v>2914</v>
      </c>
      <c r="H1582" s="10">
        <v>212.4</v>
      </c>
      <c r="I1582" s="10"/>
      <c r="J1582" s="10">
        <v>212.4</v>
      </c>
      <c r="K1582" s="10">
        <v>10.86</v>
      </c>
    </row>
    <row r="1583" spans="1:11" x14ac:dyDescent="0.25">
      <c r="A1583" s="8" t="s">
        <v>2916</v>
      </c>
      <c r="B1583" s="8" t="s">
        <v>118</v>
      </c>
      <c r="C1583" s="8" t="s">
        <v>2912</v>
      </c>
      <c r="D1583" s="8">
        <v>6</v>
      </c>
      <c r="E1583" s="8" t="s">
        <v>2913</v>
      </c>
      <c r="F1583" s="8" t="s">
        <v>149</v>
      </c>
      <c r="G1583" s="8" t="s">
        <v>2914</v>
      </c>
      <c r="H1583" s="10">
        <v>9425</v>
      </c>
      <c r="I1583" s="10"/>
      <c r="J1583" s="10">
        <v>9425</v>
      </c>
      <c r="K1583" s="10">
        <v>10.86</v>
      </c>
    </row>
    <row r="1584" spans="1:11" x14ac:dyDescent="0.25">
      <c r="A1584" s="8" t="s">
        <v>2917</v>
      </c>
      <c r="B1584" s="8" t="s">
        <v>120</v>
      </c>
      <c r="C1584" s="8" t="s">
        <v>2912</v>
      </c>
      <c r="D1584" s="8">
        <v>6</v>
      </c>
      <c r="E1584" s="8" t="s">
        <v>2913</v>
      </c>
      <c r="F1584" s="8" t="s">
        <v>149</v>
      </c>
      <c r="G1584" s="8" t="s">
        <v>2914</v>
      </c>
      <c r="H1584" s="10">
        <v>32550</v>
      </c>
      <c r="I1584" s="10"/>
      <c r="J1584" s="10">
        <v>32550</v>
      </c>
      <c r="K1584" s="10">
        <v>10.86</v>
      </c>
    </row>
    <row r="1585" spans="1:11" x14ac:dyDescent="0.25">
      <c r="A1585" s="8" t="s">
        <v>2918</v>
      </c>
      <c r="B1585" s="8" t="s">
        <v>122</v>
      </c>
      <c r="C1585" s="8" t="s">
        <v>2912</v>
      </c>
      <c r="D1585" s="8">
        <v>6</v>
      </c>
      <c r="E1585" s="8" t="s">
        <v>2913</v>
      </c>
      <c r="F1585" s="8" t="s">
        <v>149</v>
      </c>
      <c r="G1585" s="8" t="s">
        <v>2914</v>
      </c>
      <c r="H1585" s="10">
        <v>1000</v>
      </c>
      <c r="I1585" s="10"/>
      <c r="J1585" s="10">
        <v>1000</v>
      </c>
      <c r="K1585" s="10">
        <v>10.86</v>
      </c>
    </row>
    <row r="1586" spans="1:11" x14ac:dyDescent="0.25">
      <c r="A1586" s="8" t="s">
        <v>2919</v>
      </c>
      <c r="B1586" s="8" t="s">
        <v>124</v>
      </c>
      <c r="C1586" s="8" t="s">
        <v>2912</v>
      </c>
      <c r="D1586" s="8">
        <v>6</v>
      </c>
      <c r="E1586" s="8" t="s">
        <v>2913</v>
      </c>
      <c r="F1586" s="8" t="s">
        <v>149</v>
      </c>
      <c r="G1586" s="8" t="s">
        <v>2914</v>
      </c>
      <c r="H1586" s="10">
        <v>3700</v>
      </c>
      <c r="I1586" s="10"/>
      <c r="J1586" s="10">
        <v>3700</v>
      </c>
      <c r="K1586" s="10">
        <v>10.86</v>
      </c>
    </row>
    <row r="1587" spans="1:11" x14ac:dyDescent="0.25">
      <c r="A1587" s="8" t="s">
        <v>2920</v>
      </c>
      <c r="B1587" s="8" t="s">
        <v>949</v>
      </c>
      <c r="C1587" s="8" t="s">
        <v>2912</v>
      </c>
      <c r="D1587" s="8">
        <v>6</v>
      </c>
      <c r="E1587" s="8" t="s">
        <v>2913</v>
      </c>
      <c r="F1587" s="8" t="s">
        <v>149</v>
      </c>
      <c r="G1587" s="8" t="s">
        <v>2914</v>
      </c>
      <c r="H1587" s="10">
        <v>3360</v>
      </c>
      <c r="I1587" s="10"/>
      <c r="J1587" s="10">
        <v>3360</v>
      </c>
      <c r="K1587" s="10">
        <v>10.86</v>
      </c>
    </row>
    <row r="1588" spans="1:11" x14ac:dyDescent="0.25">
      <c r="A1588" s="8" t="s">
        <v>2921</v>
      </c>
      <c r="B1588" s="8" t="s">
        <v>130</v>
      </c>
      <c r="C1588" s="8" t="s">
        <v>2912</v>
      </c>
      <c r="D1588" s="8">
        <v>6</v>
      </c>
      <c r="E1588" s="8" t="s">
        <v>2913</v>
      </c>
      <c r="F1588" s="8" t="s">
        <v>149</v>
      </c>
      <c r="G1588" s="8" t="s">
        <v>2914</v>
      </c>
      <c r="H1588" s="10">
        <v>760</v>
      </c>
      <c r="I1588" s="10"/>
      <c r="J1588" s="10">
        <v>760</v>
      </c>
      <c r="K1588" s="10">
        <v>10.86</v>
      </c>
    </row>
    <row r="1589" spans="1:11" x14ac:dyDescent="0.25">
      <c r="A1589" s="8" t="s">
        <v>2922</v>
      </c>
      <c r="B1589" s="8" t="s">
        <v>134</v>
      </c>
      <c r="C1589" s="8" t="s">
        <v>2912</v>
      </c>
      <c r="D1589" s="8">
        <v>6</v>
      </c>
      <c r="E1589" s="8" t="s">
        <v>2913</v>
      </c>
      <c r="F1589" s="8" t="s">
        <v>149</v>
      </c>
      <c r="G1589" s="8" t="s">
        <v>2914</v>
      </c>
      <c r="H1589" s="10">
        <v>1950</v>
      </c>
      <c r="I1589" s="10"/>
      <c r="J1589" s="10">
        <v>1950</v>
      </c>
      <c r="K1589" s="10">
        <v>10.86</v>
      </c>
    </row>
    <row r="1590" spans="1:11" x14ac:dyDescent="0.25">
      <c r="A1590" s="8" t="s">
        <v>2923</v>
      </c>
      <c r="B1590" s="8" t="s">
        <v>263</v>
      </c>
      <c r="C1590" s="8" t="s">
        <v>2912</v>
      </c>
      <c r="D1590" s="8">
        <v>6</v>
      </c>
      <c r="E1590" s="8" t="s">
        <v>2924</v>
      </c>
      <c r="F1590" s="8" t="s">
        <v>149</v>
      </c>
      <c r="G1590" s="8" t="s">
        <v>2925</v>
      </c>
      <c r="H1590" s="10">
        <v>1700</v>
      </c>
      <c r="I1590" s="10"/>
      <c r="J1590" s="10">
        <v>1700</v>
      </c>
      <c r="K1590" s="10">
        <v>30.77</v>
      </c>
    </row>
    <row r="1591" spans="1:11" x14ac:dyDescent="0.25">
      <c r="A1591" s="8" t="s">
        <v>2926</v>
      </c>
      <c r="B1591" s="8" t="s">
        <v>269</v>
      </c>
      <c r="C1591" s="8" t="s">
        <v>2912</v>
      </c>
      <c r="D1591" s="8">
        <v>6</v>
      </c>
      <c r="E1591" s="8" t="s">
        <v>2924</v>
      </c>
      <c r="F1591" s="8" t="s">
        <v>149</v>
      </c>
      <c r="G1591" s="8" t="s">
        <v>2925</v>
      </c>
      <c r="H1591" s="10">
        <v>1700</v>
      </c>
      <c r="I1591" s="10"/>
      <c r="J1591" s="10">
        <v>1700</v>
      </c>
      <c r="K1591" s="10">
        <v>30.77</v>
      </c>
    </row>
    <row r="1592" spans="1:11" x14ac:dyDescent="0.25">
      <c r="A1592" s="8" t="s">
        <v>2927</v>
      </c>
      <c r="B1592" s="8" t="s">
        <v>116</v>
      </c>
      <c r="C1592" s="8" t="s">
        <v>2912</v>
      </c>
      <c r="D1592" s="8">
        <v>6</v>
      </c>
      <c r="E1592" s="8" t="s">
        <v>2928</v>
      </c>
      <c r="F1592" s="8" t="s">
        <v>149</v>
      </c>
      <c r="G1592" s="8" t="s">
        <v>2925</v>
      </c>
      <c r="H1592" s="10">
        <v>2024</v>
      </c>
      <c r="I1592" s="10"/>
      <c r="J1592" s="10">
        <v>2024</v>
      </c>
      <c r="K1592" s="10">
        <v>30.77</v>
      </c>
    </row>
    <row r="1593" spans="1:11" x14ac:dyDescent="0.25">
      <c r="A1593" s="8" t="s">
        <v>2929</v>
      </c>
      <c r="B1593" s="8" t="s">
        <v>118</v>
      </c>
      <c r="C1593" s="8" t="s">
        <v>2912</v>
      </c>
      <c r="D1593" s="8">
        <v>6</v>
      </c>
      <c r="E1593" s="8" t="s">
        <v>2924</v>
      </c>
      <c r="F1593" s="8" t="s">
        <v>149</v>
      </c>
      <c r="G1593" s="8" t="s">
        <v>2925</v>
      </c>
      <c r="H1593" s="10">
        <v>1500</v>
      </c>
      <c r="I1593" s="10"/>
      <c r="J1593" s="10">
        <v>1500</v>
      </c>
      <c r="K1593" s="10">
        <v>30.77</v>
      </c>
    </row>
    <row r="1594" spans="1:11" x14ac:dyDescent="0.25">
      <c r="A1594" s="8" t="s">
        <v>2930</v>
      </c>
      <c r="B1594" s="8" t="s">
        <v>120</v>
      </c>
      <c r="C1594" s="8" t="s">
        <v>2912</v>
      </c>
      <c r="D1594" s="8">
        <v>6</v>
      </c>
      <c r="E1594" s="8" t="s">
        <v>2928</v>
      </c>
      <c r="F1594" s="8" t="s">
        <v>149</v>
      </c>
      <c r="G1594" s="8" t="s">
        <v>2925</v>
      </c>
      <c r="H1594" s="10">
        <v>5000</v>
      </c>
      <c r="I1594" s="10"/>
      <c r="J1594" s="10">
        <v>5000</v>
      </c>
      <c r="K1594" s="10">
        <v>30.77</v>
      </c>
    </row>
    <row r="1595" spans="1:11" x14ac:dyDescent="0.25">
      <c r="A1595" s="8" t="s">
        <v>2931</v>
      </c>
      <c r="B1595" s="8" t="s">
        <v>122</v>
      </c>
      <c r="C1595" s="8" t="s">
        <v>2912</v>
      </c>
      <c r="D1595" s="8">
        <v>6</v>
      </c>
      <c r="E1595" s="8" t="s">
        <v>2928</v>
      </c>
      <c r="F1595" s="8" t="s">
        <v>149</v>
      </c>
      <c r="G1595" s="8" t="s">
        <v>2925</v>
      </c>
      <c r="H1595" s="10">
        <v>2000</v>
      </c>
      <c r="I1595" s="10"/>
      <c r="J1595" s="10">
        <v>2000</v>
      </c>
      <c r="K1595" s="10">
        <v>30.77</v>
      </c>
    </row>
    <row r="1596" spans="1:11" x14ac:dyDescent="0.25">
      <c r="A1596" s="8" t="s">
        <v>2932</v>
      </c>
      <c r="B1596" s="8" t="s">
        <v>124</v>
      </c>
      <c r="C1596" s="8" t="s">
        <v>2912</v>
      </c>
      <c r="D1596" s="8">
        <v>6</v>
      </c>
      <c r="E1596" s="8" t="s">
        <v>2928</v>
      </c>
      <c r="F1596" s="8" t="s">
        <v>149</v>
      </c>
      <c r="G1596" s="8" t="s">
        <v>2925</v>
      </c>
      <c r="H1596" s="10">
        <v>1500</v>
      </c>
      <c r="I1596" s="10"/>
      <c r="J1596" s="10">
        <v>1500</v>
      </c>
      <c r="K1596" s="10">
        <v>30.77</v>
      </c>
    </row>
    <row r="1597" spans="1:11" x14ac:dyDescent="0.25">
      <c r="A1597" s="8" t="s">
        <v>2933</v>
      </c>
      <c r="B1597" s="8" t="s">
        <v>78</v>
      </c>
      <c r="C1597" s="8" t="s">
        <v>2912</v>
      </c>
      <c r="D1597" s="8">
        <v>6</v>
      </c>
      <c r="E1597" s="8" t="s">
        <v>2928</v>
      </c>
      <c r="F1597" s="8" t="s">
        <v>149</v>
      </c>
      <c r="G1597" s="8" t="s">
        <v>2925</v>
      </c>
      <c r="H1597" s="10">
        <v>1000</v>
      </c>
      <c r="I1597" s="10"/>
      <c r="J1597" s="10">
        <v>1000</v>
      </c>
      <c r="K1597" s="10">
        <v>30.77</v>
      </c>
    </row>
    <row r="1598" spans="1:11" x14ac:dyDescent="0.25">
      <c r="A1598" s="8" t="s">
        <v>2934</v>
      </c>
      <c r="B1598" s="8" t="s">
        <v>128</v>
      </c>
      <c r="C1598" s="8" t="s">
        <v>2912</v>
      </c>
      <c r="D1598" s="8">
        <v>6</v>
      </c>
      <c r="E1598" s="8" t="s">
        <v>2928</v>
      </c>
      <c r="F1598" s="8" t="s">
        <v>149</v>
      </c>
      <c r="G1598" s="8" t="s">
        <v>2925</v>
      </c>
      <c r="H1598" s="10">
        <v>500</v>
      </c>
      <c r="I1598" s="10"/>
      <c r="J1598" s="10">
        <v>500</v>
      </c>
      <c r="K1598" s="10">
        <v>30.77</v>
      </c>
    </row>
    <row r="1599" spans="1:11" x14ac:dyDescent="0.25">
      <c r="A1599" s="8" t="s">
        <v>2935</v>
      </c>
      <c r="B1599" s="8" t="s">
        <v>130</v>
      </c>
      <c r="C1599" s="8" t="s">
        <v>2912</v>
      </c>
      <c r="D1599" s="8">
        <v>6</v>
      </c>
      <c r="E1599" s="8" t="s">
        <v>2928</v>
      </c>
      <c r="F1599" s="8" t="s">
        <v>149</v>
      </c>
      <c r="G1599" s="8" t="s">
        <v>2925</v>
      </c>
      <c r="H1599" s="10">
        <v>300</v>
      </c>
      <c r="I1599" s="10"/>
      <c r="J1599" s="10">
        <v>300</v>
      </c>
      <c r="K1599" s="10">
        <v>30.77</v>
      </c>
    </row>
    <row r="1600" spans="1:11" x14ac:dyDescent="0.25">
      <c r="A1600" s="8" t="s">
        <v>2936</v>
      </c>
      <c r="B1600" s="8" t="s">
        <v>132</v>
      </c>
      <c r="C1600" s="8" t="s">
        <v>2912</v>
      </c>
      <c r="D1600" s="8">
        <v>6</v>
      </c>
      <c r="E1600" s="8" t="s">
        <v>2928</v>
      </c>
      <c r="F1600" s="8" t="s">
        <v>149</v>
      </c>
      <c r="G1600" s="8" t="s">
        <v>2925</v>
      </c>
      <c r="H1600" s="10">
        <v>500</v>
      </c>
      <c r="I1600" s="10"/>
      <c r="J1600" s="10">
        <v>500</v>
      </c>
      <c r="K1600" s="10">
        <v>30.77</v>
      </c>
    </row>
    <row r="1601" spans="1:11" x14ac:dyDescent="0.25">
      <c r="A1601" s="8" t="s">
        <v>2937</v>
      </c>
      <c r="B1601" s="8" t="s">
        <v>134</v>
      </c>
      <c r="C1601" s="8" t="s">
        <v>2912</v>
      </c>
      <c r="D1601" s="8">
        <v>6</v>
      </c>
      <c r="E1601" s="8" t="s">
        <v>2928</v>
      </c>
      <c r="F1601" s="8" t="s">
        <v>149</v>
      </c>
      <c r="G1601" s="8" t="s">
        <v>2925</v>
      </c>
      <c r="H1601" s="10">
        <v>1500</v>
      </c>
      <c r="I1601" s="10"/>
      <c r="J1601" s="10">
        <v>1500</v>
      </c>
      <c r="K1601" s="10">
        <v>30.77</v>
      </c>
    </row>
    <row r="1602" spans="1:11" x14ac:dyDescent="0.25">
      <c r="A1602" s="8" t="s">
        <v>2938</v>
      </c>
      <c r="B1602" s="8" t="s">
        <v>80</v>
      </c>
      <c r="C1602" s="8" t="s">
        <v>2912</v>
      </c>
      <c r="D1602" s="8">
        <v>6</v>
      </c>
      <c r="E1602" s="8" t="s">
        <v>2928</v>
      </c>
      <c r="F1602" s="8" t="s">
        <v>149</v>
      </c>
      <c r="G1602" s="8" t="s">
        <v>2925</v>
      </c>
      <c r="H1602" s="10">
        <v>500</v>
      </c>
      <c r="I1602" s="10"/>
      <c r="J1602" s="10">
        <v>500</v>
      </c>
      <c r="K1602" s="10">
        <v>30.77</v>
      </c>
    </row>
    <row r="1603" spans="1:11" x14ac:dyDescent="0.25">
      <c r="A1603" s="8" t="s">
        <v>2939</v>
      </c>
      <c r="B1603" s="8" t="s">
        <v>118</v>
      </c>
      <c r="C1603" s="8" t="s">
        <v>2912</v>
      </c>
      <c r="D1603" s="8">
        <v>6</v>
      </c>
      <c r="E1603" s="8" t="s">
        <v>2940</v>
      </c>
      <c r="F1603" s="8" t="s">
        <v>149</v>
      </c>
      <c r="G1603" s="8" t="s">
        <v>2914</v>
      </c>
      <c r="H1603" s="10">
        <v>9391</v>
      </c>
      <c r="I1603" s="10"/>
      <c r="J1603" s="10">
        <v>9391</v>
      </c>
      <c r="K1603" s="10">
        <v>27.31</v>
      </c>
    </row>
    <row r="1604" spans="1:11" x14ac:dyDescent="0.25">
      <c r="A1604" s="8" t="s">
        <v>2941</v>
      </c>
      <c r="B1604" s="8" t="s">
        <v>120</v>
      </c>
      <c r="C1604" s="8" t="s">
        <v>2912</v>
      </c>
      <c r="D1604" s="8">
        <v>6</v>
      </c>
      <c r="E1604" s="8" t="s">
        <v>2940</v>
      </c>
      <c r="F1604" s="8" t="s">
        <v>149</v>
      </c>
      <c r="G1604" s="8" t="s">
        <v>2914</v>
      </c>
      <c r="H1604" s="10">
        <v>2650</v>
      </c>
      <c r="I1604" s="10"/>
      <c r="J1604" s="10">
        <v>2650</v>
      </c>
      <c r="K1604" s="10">
        <v>27.31</v>
      </c>
    </row>
    <row r="1605" spans="1:11" x14ac:dyDescent="0.25">
      <c r="A1605" s="8" t="s">
        <v>2942</v>
      </c>
      <c r="B1605" s="8" t="s">
        <v>80</v>
      </c>
      <c r="C1605" s="8" t="s">
        <v>2912</v>
      </c>
      <c r="D1605" s="8">
        <v>6</v>
      </c>
      <c r="E1605" s="8" t="s">
        <v>2943</v>
      </c>
      <c r="F1605" s="8" t="s">
        <v>149</v>
      </c>
      <c r="G1605" s="8" t="s">
        <v>2914</v>
      </c>
      <c r="H1605" s="10">
        <v>643</v>
      </c>
      <c r="I1605" s="10"/>
      <c r="J1605" s="10">
        <v>643</v>
      </c>
      <c r="K1605" s="10">
        <v>7.39</v>
      </c>
    </row>
    <row r="1606" spans="1:11" x14ac:dyDescent="0.25">
      <c r="A1606" s="8" t="s">
        <v>2944</v>
      </c>
      <c r="B1606" s="8" t="s">
        <v>118</v>
      </c>
      <c r="C1606" s="8" t="s">
        <v>2912</v>
      </c>
      <c r="D1606" s="8">
        <v>6</v>
      </c>
      <c r="E1606" s="8" t="s">
        <v>2945</v>
      </c>
      <c r="F1606" s="8" t="s">
        <v>149</v>
      </c>
      <c r="G1606" s="8" t="s">
        <v>2914</v>
      </c>
      <c r="H1606" s="10">
        <v>4718</v>
      </c>
      <c r="I1606" s="10"/>
      <c r="J1606" s="10">
        <v>4718</v>
      </c>
      <c r="K1606" s="10">
        <v>8.26</v>
      </c>
    </row>
    <row r="1607" spans="1:11" x14ac:dyDescent="0.25">
      <c r="A1607" s="8" t="s">
        <v>2946</v>
      </c>
      <c r="B1607" s="8" t="s">
        <v>120</v>
      </c>
      <c r="C1607" s="8" t="s">
        <v>2912</v>
      </c>
      <c r="D1607" s="8">
        <v>6</v>
      </c>
      <c r="E1607" s="8" t="s">
        <v>2947</v>
      </c>
      <c r="F1607" s="8" t="s">
        <v>149</v>
      </c>
      <c r="G1607" s="8" t="s">
        <v>2914</v>
      </c>
      <c r="H1607" s="10">
        <v>7317</v>
      </c>
      <c r="I1607" s="10"/>
      <c r="J1607" s="10">
        <v>7317</v>
      </c>
      <c r="K1607" s="10">
        <v>8.26</v>
      </c>
    </row>
    <row r="1608" spans="1:11" x14ac:dyDescent="0.25">
      <c r="A1608" s="8" t="s">
        <v>2948</v>
      </c>
      <c r="B1608" s="8" t="s">
        <v>130</v>
      </c>
      <c r="C1608" s="8" t="s">
        <v>2912</v>
      </c>
      <c r="D1608" s="8">
        <v>6</v>
      </c>
      <c r="E1608" s="8" t="s">
        <v>2949</v>
      </c>
      <c r="F1608" s="8" t="s">
        <v>149</v>
      </c>
      <c r="G1608" s="8" t="s">
        <v>2914</v>
      </c>
      <c r="H1608" s="10">
        <v>450</v>
      </c>
      <c r="I1608" s="10"/>
      <c r="J1608" s="10">
        <v>450</v>
      </c>
      <c r="K1608" s="10">
        <v>16.920000000000002</v>
      </c>
    </row>
    <row r="1609" spans="1:11" x14ac:dyDescent="0.25">
      <c r="A1609" s="8" t="s">
        <v>2950</v>
      </c>
      <c r="B1609" s="8" t="s">
        <v>116</v>
      </c>
      <c r="C1609" s="8" t="s">
        <v>2912</v>
      </c>
      <c r="D1609" s="8">
        <v>6</v>
      </c>
      <c r="E1609" s="8" t="s">
        <v>2951</v>
      </c>
      <c r="F1609" s="8" t="s">
        <v>149</v>
      </c>
      <c r="G1609" s="8" t="s">
        <v>2914</v>
      </c>
      <c r="H1609" s="10">
        <v>4590</v>
      </c>
      <c r="I1609" s="10"/>
      <c r="J1609" s="10">
        <v>4590</v>
      </c>
      <c r="K1609" s="10">
        <v>8.26</v>
      </c>
    </row>
    <row r="1610" spans="1:11" x14ac:dyDescent="0.25">
      <c r="A1610" s="8" t="s">
        <v>2952</v>
      </c>
      <c r="B1610" s="8" t="s">
        <v>118</v>
      </c>
      <c r="C1610" s="8" t="s">
        <v>2912</v>
      </c>
      <c r="D1610" s="8">
        <v>6</v>
      </c>
      <c r="E1610" s="8" t="s">
        <v>2953</v>
      </c>
      <c r="F1610" s="8" t="s">
        <v>149</v>
      </c>
      <c r="G1610" s="8" t="s">
        <v>2914</v>
      </c>
      <c r="H1610" s="10">
        <v>3102</v>
      </c>
      <c r="I1610" s="10"/>
      <c r="J1610" s="10">
        <v>3102</v>
      </c>
      <c r="K1610" s="10">
        <v>8.26</v>
      </c>
    </row>
    <row r="1611" spans="1:11" x14ac:dyDescent="0.25">
      <c r="A1611" s="8" t="s">
        <v>2954</v>
      </c>
      <c r="B1611" s="8" t="s">
        <v>120</v>
      </c>
      <c r="C1611" s="8" t="s">
        <v>2912</v>
      </c>
      <c r="D1611" s="8">
        <v>6</v>
      </c>
      <c r="E1611" s="8" t="s">
        <v>2955</v>
      </c>
      <c r="F1611" s="8" t="s">
        <v>149</v>
      </c>
      <c r="G1611" s="8" t="s">
        <v>2914</v>
      </c>
      <c r="H1611" s="10">
        <v>2280</v>
      </c>
      <c r="I1611" s="10"/>
      <c r="J1611" s="10">
        <v>2280</v>
      </c>
      <c r="K1611" s="10">
        <v>8.26</v>
      </c>
    </row>
    <row r="1612" spans="1:11" x14ac:dyDescent="0.25">
      <c r="A1612" s="8" t="s">
        <v>2956</v>
      </c>
      <c r="B1612" s="8" t="s">
        <v>116</v>
      </c>
      <c r="C1612" s="8" t="s">
        <v>2912</v>
      </c>
      <c r="D1612" s="8">
        <v>6</v>
      </c>
      <c r="E1612" s="8" t="s">
        <v>2957</v>
      </c>
      <c r="F1612" s="8" t="s">
        <v>149</v>
      </c>
      <c r="G1612" s="8" t="s">
        <v>2914</v>
      </c>
      <c r="H1612" s="10">
        <v>900</v>
      </c>
      <c r="I1612" s="10"/>
      <c r="J1612" s="10">
        <v>900</v>
      </c>
      <c r="K1612" s="10">
        <v>8.26</v>
      </c>
    </row>
    <row r="1613" spans="1:11" x14ac:dyDescent="0.25">
      <c r="A1613" s="8" t="s">
        <v>2958</v>
      </c>
      <c r="B1613" s="8" t="s">
        <v>118</v>
      </c>
      <c r="C1613" s="8" t="s">
        <v>2912</v>
      </c>
      <c r="D1613" s="8">
        <v>6</v>
      </c>
      <c r="E1613" s="8" t="s">
        <v>2959</v>
      </c>
      <c r="F1613" s="8" t="s">
        <v>149</v>
      </c>
      <c r="G1613" s="8" t="s">
        <v>2914</v>
      </c>
      <c r="H1613" s="10">
        <v>900</v>
      </c>
      <c r="I1613" s="10"/>
      <c r="J1613" s="10">
        <v>900</v>
      </c>
      <c r="K1613" s="10">
        <v>8.26</v>
      </c>
    </row>
    <row r="1614" spans="1:11" x14ac:dyDescent="0.25">
      <c r="A1614" s="8" t="s">
        <v>2960</v>
      </c>
      <c r="B1614" s="8" t="s">
        <v>120</v>
      </c>
      <c r="C1614" s="8" t="s">
        <v>2912</v>
      </c>
      <c r="D1614" s="8">
        <v>6</v>
      </c>
      <c r="E1614" s="8" t="s">
        <v>2961</v>
      </c>
      <c r="F1614" s="8" t="s">
        <v>149</v>
      </c>
      <c r="G1614" s="8" t="s">
        <v>2914</v>
      </c>
      <c r="H1614" s="10">
        <v>900</v>
      </c>
      <c r="I1614" s="10"/>
      <c r="J1614" s="10">
        <v>900</v>
      </c>
      <c r="K1614" s="10">
        <v>8.26</v>
      </c>
    </row>
    <row r="1615" spans="1:11" x14ac:dyDescent="0.25">
      <c r="A1615" s="8" t="s">
        <v>2962</v>
      </c>
      <c r="B1615" s="8" t="s">
        <v>116</v>
      </c>
      <c r="C1615" s="8" t="s">
        <v>2912</v>
      </c>
      <c r="D1615" s="8">
        <v>6</v>
      </c>
      <c r="E1615" s="8" t="s">
        <v>2963</v>
      </c>
      <c r="F1615" s="8" t="s">
        <v>149</v>
      </c>
      <c r="G1615" s="8" t="s">
        <v>2914</v>
      </c>
      <c r="H1615" s="10">
        <v>383</v>
      </c>
      <c r="I1615" s="10"/>
      <c r="J1615" s="10">
        <v>383</v>
      </c>
      <c r="K1615" s="10">
        <v>15.19</v>
      </c>
    </row>
    <row r="1616" spans="1:11" x14ac:dyDescent="0.25">
      <c r="A1616" s="8" t="s">
        <v>2964</v>
      </c>
      <c r="B1616" s="8" t="s">
        <v>118</v>
      </c>
      <c r="C1616" s="8" t="s">
        <v>2912</v>
      </c>
      <c r="D1616" s="8">
        <v>6</v>
      </c>
      <c r="E1616" s="8" t="s">
        <v>2965</v>
      </c>
      <c r="F1616" s="8" t="s">
        <v>149</v>
      </c>
      <c r="G1616" s="8" t="s">
        <v>2914</v>
      </c>
      <c r="H1616" s="10">
        <v>370</v>
      </c>
      <c r="I1616" s="10"/>
      <c r="J1616" s="10">
        <v>370</v>
      </c>
      <c r="K1616" s="10">
        <v>14.32</v>
      </c>
    </row>
    <row r="1617" spans="1:11" x14ac:dyDescent="0.25">
      <c r="A1617" s="8" t="s">
        <v>2966</v>
      </c>
      <c r="B1617" s="8" t="s">
        <v>120</v>
      </c>
      <c r="C1617" s="8" t="s">
        <v>2912</v>
      </c>
      <c r="D1617" s="8">
        <v>6</v>
      </c>
      <c r="E1617" s="8" t="s">
        <v>2967</v>
      </c>
      <c r="F1617" s="8" t="s">
        <v>149</v>
      </c>
      <c r="G1617" s="8" t="s">
        <v>2914</v>
      </c>
      <c r="H1617" s="10">
        <v>6790</v>
      </c>
      <c r="I1617" s="10"/>
      <c r="J1617" s="10">
        <v>6790</v>
      </c>
      <c r="K1617" s="10">
        <v>5.66</v>
      </c>
    </row>
    <row r="1618" spans="1:11" x14ac:dyDescent="0.25">
      <c r="A1618" s="8" t="s">
        <v>2968</v>
      </c>
      <c r="B1618" s="8" t="s">
        <v>120</v>
      </c>
      <c r="C1618" s="8" t="s">
        <v>2912</v>
      </c>
      <c r="D1618" s="8">
        <v>6</v>
      </c>
      <c r="E1618" s="8" t="s">
        <v>2969</v>
      </c>
      <c r="F1618" s="8" t="s">
        <v>149</v>
      </c>
      <c r="G1618" s="8" t="s">
        <v>2914</v>
      </c>
      <c r="H1618" s="10">
        <v>6270</v>
      </c>
      <c r="I1618" s="10"/>
      <c r="J1618" s="10">
        <v>6270</v>
      </c>
      <c r="K1618" s="10">
        <v>9.1300000000000008</v>
      </c>
    </row>
    <row r="1619" spans="1:11" x14ac:dyDescent="0.25">
      <c r="A1619" s="8" t="s">
        <v>2970</v>
      </c>
      <c r="B1619" s="8" t="s">
        <v>120</v>
      </c>
      <c r="C1619" s="8" t="s">
        <v>2912</v>
      </c>
      <c r="D1619" s="8">
        <v>6</v>
      </c>
      <c r="E1619" s="8" t="s">
        <v>2971</v>
      </c>
      <c r="F1619" s="8" t="s">
        <v>149</v>
      </c>
      <c r="G1619" s="8" t="s">
        <v>2914</v>
      </c>
      <c r="H1619" s="10">
        <v>2578</v>
      </c>
      <c r="I1619" s="10"/>
      <c r="J1619" s="10">
        <v>2578</v>
      </c>
      <c r="K1619" s="10">
        <v>15.19</v>
      </c>
    </row>
    <row r="1620" spans="1:11" x14ac:dyDescent="0.25">
      <c r="A1620" s="8" t="s">
        <v>2972</v>
      </c>
      <c r="B1620" s="8" t="s">
        <v>78</v>
      </c>
      <c r="C1620" s="8" t="s">
        <v>2912</v>
      </c>
      <c r="D1620" s="8">
        <v>6</v>
      </c>
      <c r="E1620" s="8" t="s">
        <v>2973</v>
      </c>
      <c r="F1620" s="8" t="s">
        <v>149</v>
      </c>
      <c r="G1620" s="8" t="s">
        <v>2914</v>
      </c>
      <c r="H1620" s="10">
        <v>1000</v>
      </c>
      <c r="I1620" s="10"/>
      <c r="J1620" s="10">
        <v>1000</v>
      </c>
      <c r="K1620" s="10">
        <v>3.93</v>
      </c>
    </row>
    <row r="1621" spans="1:11" x14ac:dyDescent="0.25">
      <c r="A1621" s="8" t="s">
        <v>2974</v>
      </c>
      <c r="B1621" s="8" t="s">
        <v>78</v>
      </c>
      <c r="C1621" s="8" t="s">
        <v>2912</v>
      </c>
      <c r="D1621" s="8">
        <v>6</v>
      </c>
      <c r="E1621" s="8" t="s">
        <v>2973</v>
      </c>
      <c r="F1621" s="8" t="s">
        <v>149</v>
      </c>
      <c r="G1621" s="8" t="s">
        <v>2914</v>
      </c>
      <c r="H1621" s="10">
        <v>1000</v>
      </c>
      <c r="I1621" s="10"/>
      <c r="J1621" s="10">
        <v>1000</v>
      </c>
      <c r="K1621" s="10">
        <v>3.93</v>
      </c>
    </row>
    <row r="1622" spans="1:11" x14ac:dyDescent="0.25">
      <c r="A1622" s="8" t="s">
        <v>2975</v>
      </c>
      <c r="B1622" s="8" t="s">
        <v>78</v>
      </c>
      <c r="C1622" s="8" t="s">
        <v>2912</v>
      </c>
      <c r="D1622" s="8">
        <v>6</v>
      </c>
      <c r="E1622" s="8" t="s">
        <v>2973</v>
      </c>
      <c r="F1622" s="8" t="s">
        <v>149</v>
      </c>
      <c r="G1622" s="8" t="s">
        <v>2914</v>
      </c>
      <c r="H1622" s="10">
        <v>1000</v>
      </c>
      <c r="I1622" s="10"/>
      <c r="J1622" s="10">
        <v>1000</v>
      </c>
      <c r="K1622" s="10">
        <v>3.93</v>
      </c>
    </row>
    <row r="1623" spans="1:11" x14ac:dyDescent="0.25">
      <c r="A1623" s="8" t="s">
        <v>2976</v>
      </c>
      <c r="B1623" s="8" t="s">
        <v>78</v>
      </c>
      <c r="C1623" s="8" t="s">
        <v>2912</v>
      </c>
      <c r="D1623" s="8">
        <v>6</v>
      </c>
      <c r="E1623" s="8" t="s">
        <v>2973</v>
      </c>
      <c r="F1623" s="8" t="s">
        <v>149</v>
      </c>
      <c r="G1623" s="8" t="s">
        <v>2914</v>
      </c>
      <c r="H1623" s="10">
        <v>1000</v>
      </c>
      <c r="I1623" s="10"/>
      <c r="J1623" s="10">
        <v>1000</v>
      </c>
      <c r="K1623" s="10">
        <v>3.93</v>
      </c>
    </row>
    <row r="1624" spans="1:11" x14ac:dyDescent="0.25">
      <c r="A1624" s="8" t="s">
        <v>2977</v>
      </c>
      <c r="B1624" s="8" t="s">
        <v>128</v>
      </c>
      <c r="C1624" s="8" t="s">
        <v>2912</v>
      </c>
      <c r="D1624" s="8">
        <v>6</v>
      </c>
      <c r="E1624" s="8" t="s">
        <v>2978</v>
      </c>
      <c r="F1624" s="8" t="s">
        <v>149</v>
      </c>
      <c r="G1624" s="8" t="s">
        <v>2914</v>
      </c>
      <c r="H1624" s="10">
        <v>100</v>
      </c>
      <c r="I1624" s="10"/>
      <c r="J1624" s="10">
        <v>100</v>
      </c>
      <c r="K1624" s="10">
        <v>16.920000000000002</v>
      </c>
    </row>
    <row r="1625" spans="1:11" x14ac:dyDescent="0.25">
      <c r="A1625" s="8" t="s">
        <v>2979</v>
      </c>
      <c r="B1625" s="8" t="s">
        <v>128</v>
      </c>
      <c r="C1625" s="8" t="s">
        <v>2912</v>
      </c>
      <c r="D1625" s="8">
        <v>6</v>
      </c>
      <c r="E1625" s="8" t="s">
        <v>2980</v>
      </c>
      <c r="F1625" s="8" t="s">
        <v>149</v>
      </c>
      <c r="G1625" s="8" t="s">
        <v>2914</v>
      </c>
      <c r="H1625" s="10">
        <v>600</v>
      </c>
      <c r="I1625" s="10"/>
      <c r="J1625" s="10">
        <v>600</v>
      </c>
      <c r="K1625" s="10">
        <v>9.1300000000000008</v>
      </c>
    </row>
    <row r="1626" spans="1:11" x14ac:dyDescent="0.25">
      <c r="A1626" s="8" t="s">
        <v>2981</v>
      </c>
      <c r="B1626" s="8" t="s">
        <v>80</v>
      </c>
      <c r="C1626" s="8" t="s">
        <v>2912</v>
      </c>
      <c r="D1626" s="8">
        <v>6</v>
      </c>
      <c r="E1626" s="8" t="s">
        <v>2982</v>
      </c>
      <c r="F1626" s="8" t="s">
        <v>149</v>
      </c>
      <c r="G1626" s="8" t="s">
        <v>2914</v>
      </c>
      <c r="H1626" s="10">
        <v>2210</v>
      </c>
      <c r="I1626" s="10"/>
      <c r="J1626" s="10">
        <v>2210</v>
      </c>
      <c r="K1626" s="10">
        <v>9.1300000000000008</v>
      </c>
    </row>
    <row r="1627" spans="1:11" x14ac:dyDescent="0.25">
      <c r="A1627" s="8" t="s">
        <v>2983</v>
      </c>
      <c r="B1627" s="8" t="s">
        <v>120</v>
      </c>
      <c r="C1627" s="8" t="s">
        <v>2912</v>
      </c>
      <c r="D1627" s="8">
        <v>6</v>
      </c>
      <c r="E1627" s="8" t="s">
        <v>2984</v>
      </c>
      <c r="F1627" s="8" t="s">
        <v>149</v>
      </c>
      <c r="G1627" s="8" t="s">
        <v>2914</v>
      </c>
      <c r="H1627" s="10">
        <v>1207</v>
      </c>
      <c r="I1627" s="10"/>
      <c r="J1627" s="10">
        <v>1207</v>
      </c>
      <c r="K1627" s="10">
        <v>10.86</v>
      </c>
    </row>
    <row r="1628" spans="1:11" x14ac:dyDescent="0.25">
      <c r="A1628" s="8" t="s">
        <v>2985</v>
      </c>
      <c r="B1628" s="8" t="s">
        <v>120</v>
      </c>
      <c r="C1628" s="8" t="s">
        <v>2912</v>
      </c>
      <c r="D1628" s="8">
        <v>6</v>
      </c>
      <c r="E1628" s="8" t="s">
        <v>2986</v>
      </c>
      <c r="F1628" s="8" t="s">
        <v>149</v>
      </c>
      <c r="G1628" s="8" t="s">
        <v>2914</v>
      </c>
      <c r="H1628" s="10">
        <v>1208</v>
      </c>
      <c r="I1628" s="10"/>
      <c r="J1628" s="10">
        <v>1208</v>
      </c>
      <c r="K1628" s="10">
        <v>10.86</v>
      </c>
    </row>
    <row r="1629" spans="1:11" x14ac:dyDescent="0.25">
      <c r="A1629" s="8" t="s">
        <v>2987</v>
      </c>
      <c r="B1629" s="8" t="s">
        <v>120</v>
      </c>
      <c r="C1629" s="8" t="s">
        <v>2912</v>
      </c>
      <c r="D1629" s="8">
        <v>6</v>
      </c>
      <c r="E1629" s="8" t="s">
        <v>2988</v>
      </c>
      <c r="F1629" s="8" t="s">
        <v>149</v>
      </c>
      <c r="G1629" s="8" t="s">
        <v>2914</v>
      </c>
      <c r="H1629" s="10">
        <v>600</v>
      </c>
      <c r="I1629" s="10"/>
      <c r="J1629" s="10">
        <v>600</v>
      </c>
      <c r="K1629" s="10">
        <v>18.649999999999999</v>
      </c>
    </row>
    <row r="1630" spans="1:11" x14ac:dyDescent="0.25">
      <c r="A1630" s="8" t="s">
        <v>2989</v>
      </c>
      <c r="B1630" s="8" t="s">
        <v>120</v>
      </c>
      <c r="C1630" s="8" t="s">
        <v>2912</v>
      </c>
      <c r="D1630" s="8">
        <v>6</v>
      </c>
      <c r="E1630" s="8" t="s">
        <v>2990</v>
      </c>
      <c r="F1630" s="8" t="s">
        <v>149</v>
      </c>
      <c r="G1630" s="8" t="s">
        <v>2914</v>
      </c>
      <c r="H1630" s="10">
        <v>600</v>
      </c>
      <c r="I1630" s="10"/>
      <c r="J1630" s="10">
        <v>600</v>
      </c>
      <c r="K1630" s="10">
        <v>18.649999999999999</v>
      </c>
    </row>
    <row r="1631" spans="1:11" x14ac:dyDescent="0.25">
      <c r="A1631" s="8" t="s">
        <v>2991</v>
      </c>
      <c r="B1631" s="8" t="s">
        <v>120</v>
      </c>
      <c r="C1631" s="8" t="s">
        <v>2912</v>
      </c>
      <c r="D1631" s="8">
        <v>6</v>
      </c>
      <c r="E1631" s="8" t="s">
        <v>2992</v>
      </c>
      <c r="F1631" s="8" t="s">
        <v>149</v>
      </c>
      <c r="G1631" s="8" t="s">
        <v>2914</v>
      </c>
      <c r="H1631" s="10">
        <v>600</v>
      </c>
      <c r="I1631" s="10"/>
      <c r="J1631" s="10">
        <v>600</v>
      </c>
      <c r="K1631" s="10">
        <v>18.649999999999999</v>
      </c>
    </row>
    <row r="1632" spans="1:11" x14ac:dyDescent="0.25">
      <c r="A1632" s="8" t="s">
        <v>2993</v>
      </c>
      <c r="B1632" s="8" t="s">
        <v>120</v>
      </c>
      <c r="C1632" s="8" t="s">
        <v>2912</v>
      </c>
      <c r="D1632" s="8">
        <v>6</v>
      </c>
      <c r="E1632" s="8" t="s">
        <v>2994</v>
      </c>
      <c r="F1632" s="8" t="s">
        <v>149</v>
      </c>
      <c r="G1632" s="8" t="s">
        <v>2914</v>
      </c>
      <c r="H1632" s="10">
        <v>600</v>
      </c>
      <c r="I1632" s="10"/>
      <c r="J1632" s="10">
        <v>600</v>
      </c>
      <c r="K1632" s="10">
        <v>18.649999999999999</v>
      </c>
    </row>
    <row r="1633" spans="1:11" x14ac:dyDescent="0.25">
      <c r="A1633" s="8" t="s">
        <v>2995</v>
      </c>
      <c r="B1633" s="8" t="s">
        <v>130</v>
      </c>
      <c r="C1633" s="8" t="s">
        <v>2996</v>
      </c>
      <c r="D1633" s="8">
        <v>4</v>
      </c>
      <c r="E1633" s="8" t="s">
        <v>2997</v>
      </c>
      <c r="F1633" s="8" t="s">
        <v>2998</v>
      </c>
      <c r="G1633" s="8" t="s">
        <v>2999</v>
      </c>
      <c r="H1633" s="10">
        <v>102</v>
      </c>
      <c r="I1633" s="10"/>
      <c r="J1633" s="10">
        <v>102</v>
      </c>
      <c r="K1633" s="10">
        <v>1740.84</v>
      </c>
    </row>
    <row r="1634" spans="1:11" x14ac:dyDescent="0.25">
      <c r="A1634" s="8" t="s">
        <v>3000</v>
      </c>
      <c r="B1634" s="8" t="s">
        <v>120</v>
      </c>
      <c r="C1634" s="8" t="s">
        <v>2996</v>
      </c>
      <c r="D1634" s="8">
        <v>4</v>
      </c>
      <c r="E1634" s="8" t="s">
        <v>3001</v>
      </c>
      <c r="F1634" s="8" t="s">
        <v>149</v>
      </c>
      <c r="G1634" s="8" t="s">
        <v>2999</v>
      </c>
      <c r="H1634" s="10">
        <v>810</v>
      </c>
      <c r="I1634" s="10"/>
      <c r="J1634" s="10">
        <v>810</v>
      </c>
      <c r="K1634" s="10">
        <v>45.82</v>
      </c>
    </row>
    <row r="1635" spans="1:11" x14ac:dyDescent="0.25">
      <c r="A1635" s="8" t="s">
        <v>3002</v>
      </c>
      <c r="B1635" s="8" t="s">
        <v>120</v>
      </c>
      <c r="C1635" s="8" t="s">
        <v>2996</v>
      </c>
      <c r="D1635" s="8">
        <v>4</v>
      </c>
      <c r="E1635" s="8" t="s">
        <v>3001</v>
      </c>
      <c r="F1635" s="8" t="s">
        <v>149</v>
      </c>
      <c r="G1635" s="8" t="s">
        <v>2999</v>
      </c>
      <c r="H1635" s="10">
        <v>810</v>
      </c>
      <c r="I1635" s="10"/>
      <c r="J1635" s="10">
        <v>810</v>
      </c>
      <c r="K1635" s="10">
        <v>45.82</v>
      </c>
    </row>
    <row r="1636" spans="1:11" x14ac:dyDescent="0.25">
      <c r="A1636" s="8" t="s">
        <v>3003</v>
      </c>
      <c r="B1636" s="8" t="s">
        <v>118</v>
      </c>
      <c r="C1636" s="8" t="s">
        <v>3004</v>
      </c>
      <c r="D1636" s="8">
        <v>6</v>
      </c>
      <c r="E1636" s="8" t="s">
        <v>3005</v>
      </c>
      <c r="F1636" s="8" t="s">
        <v>378</v>
      </c>
      <c r="G1636" s="8" t="s">
        <v>3006</v>
      </c>
      <c r="H1636" s="10">
        <v>6</v>
      </c>
      <c r="I1636" s="10"/>
      <c r="J1636" s="10">
        <v>6</v>
      </c>
      <c r="K1636" s="10">
        <v>188.41</v>
      </c>
    </row>
    <row r="1637" spans="1:11" x14ac:dyDescent="0.25">
      <c r="A1637" s="8" t="s">
        <v>3007</v>
      </c>
      <c r="B1637" s="8" t="s">
        <v>120</v>
      </c>
      <c r="C1637" s="8" t="s">
        <v>3004</v>
      </c>
      <c r="D1637" s="8">
        <v>6</v>
      </c>
      <c r="E1637" s="8" t="s">
        <v>3005</v>
      </c>
      <c r="F1637" s="8" t="s">
        <v>378</v>
      </c>
      <c r="G1637" s="8" t="s">
        <v>3006</v>
      </c>
      <c r="H1637" s="10">
        <v>12</v>
      </c>
      <c r="I1637" s="10"/>
      <c r="J1637" s="10">
        <v>12</v>
      </c>
      <c r="K1637" s="10">
        <v>186.82</v>
      </c>
    </row>
    <row r="1638" spans="1:11" x14ac:dyDescent="0.25">
      <c r="A1638" s="8" t="s">
        <v>3008</v>
      </c>
      <c r="B1638" s="8" t="s">
        <v>132</v>
      </c>
      <c r="C1638" s="8" t="s">
        <v>3004</v>
      </c>
      <c r="D1638" s="8">
        <v>6</v>
      </c>
      <c r="E1638" s="8" t="s">
        <v>3005</v>
      </c>
      <c r="F1638" s="8" t="s">
        <v>378</v>
      </c>
      <c r="G1638" s="8" t="s">
        <v>3006</v>
      </c>
      <c r="H1638" s="10">
        <v>6</v>
      </c>
      <c r="I1638" s="10"/>
      <c r="J1638" s="10">
        <v>6</v>
      </c>
      <c r="K1638" s="10">
        <v>186.82</v>
      </c>
    </row>
    <row r="1639" spans="1:11" x14ac:dyDescent="0.25">
      <c r="A1639" s="8" t="s">
        <v>3009</v>
      </c>
      <c r="B1639" s="8" t="s">
        <v>80</v>
      </c>
      <c r="C1639" s="8" t="s">
        <v>3004</v>
      </c>
      <c r="D1639" s="8">
        <v>6</v>
      </c>
      <c r="E1639" s="8" t="s">
        <v>3005</v>
      </c>
      <c r="F1639" s="8" t="s">
        <v>378</v>
      </c>
      <c r="G1639" s="8" t="s">
        <v>3006</v>
      </c>
      <c r="H1639" s="10">
        <v>36</v>
      </c>
      <c r="I1639" s="10"/>
      <c r="J1639" s="10">
        <v>36</v>
      </c>
      <c r="K1639" s="10">
        <v>188.41</v>
      </c>
    </row>
    <row r="1640" spans="1:11" x14ac:dyDescent="0.25">
      <c r="A1640" s="8" t="s">
        <v>3010</v>
      </c>
      <c r="B1640" s="8" t="s">
        <v>116</v>
      </c>
      <c r="C1640" s="8" t="s">
        <v>3004</v>
      </c>
      <c r="D1640" s="8">
        <v>6</v>
      </c>
      <c r="E1640" s="8" t="s">
        <v>3011</v>
      </c>
      <c r="F1640" s="8" t="s">
        <v>378</v>
      </c>
      <c r="G1640" s="8" t="s">
        <v>3006</v>
      </c>
      <c r="H1640" s="10">
        <v>60</v>
      </c>
      <c r="I1640" s="10"/>
      <c r="J1640" s="10">
        <v>60</v>
      </c>
      <c r="K1640" s="10">
        <v>218.88</v>
      </c>
    </row>
    <row r="1641" spans="1:11" x14ac:dyDescent="0.25">
      <c r="A1641" s="8" t="s">
        <v>3012</v>
      </c>
      <c r="B1641" s="8" t="s">
        <v>118</v>
      </c>
      <c r="C1641" s="8" t="s">
        <v>3004</v>
      </c>
      <c r="D1641" s="8">
        <v>6</v>
      </c>
      <c r="E1641" s="8" t="s">
        <v>3011</v>
      </c>
      <c r="F1641" s="8" t="s">
        <v>378</v>
      </c>
      <c r="G1641" s="8" t="s">
        <v>3006</v>
      </c>
      <c r="H1641" s="10">
        <v>198</v>
      </c>
      <c r="I1641" s="10"/>
      <c r="J1641" s="10">
        <v>198</v>
      </c>
      <c r="K1641" s="10">
        <v>218.88</v>
      </c>
    </row>
    <row r="1642" spans="1:11" x14ac:dyDescent="0.25">
      <c r="A1642" s="8" t="s">
        <v>3013</v>
      </c>
      <c r="B1642" s="8" t="s">
        <v>120</v>
      </c>
      <c r="C1642" s="8" t="s">
        <v>3004</v>
      </c>
      <c r="D1642" s="8">
        <v>6</v>
      </c>
      <c r="E1642" s="8" t="s">
        <v>3011</v>
      </c>
      <c r="F1642" s="8" t="s">
        <v>378</v>
      </c>
      <c r="G1642" s="8" t="s">
        <v>3006</v>
      </c>
      <c r="H1642" s="10">
        <v>330</v>
      </c>
      <c r="I1642" s="10"/>
      <c r="J1642" s="10">
        <v>330</v>
      </c>
      <c r="K1642" s="10">
        <v>218.88</v>
      </c>
    </row>
    <row r="1643" spans="1:11" x14ac:dyDescent="0.25">
      <c r="A1643" s="8" t="s">
        <v>3014</v>
      </c>
      <c r="B1643" s="8" t="s">
        <v>132</v>
      </c>
      <c r="C1643" s="8" t="s">
        <v>3004</v>
      </c>
      <c r="D1643" s="8">
        <v>6</v>
      </c>
      <c r="E1643" s="8" t="s">
        <v>3011</v>
      </c>
      <c r="F1643" s="8" t="s">
        <v>378</v>
      </c>
      <c r="G1643" s="8" t="s">
        <v>3006</v>
      </c>
      <c r="H1643" s="10">
        <v>30</v>
      </c>
      <c r="I1643" s="10"/>
      <c r="J1643" s="10">
        <v>30</v>
      </c>
      <c r="K1643" s="10">
        <v>218.88</v>
      </c>
    </row>
    <row r="1644" spans="1:11" x14ac:dyDescent="0.25">
      <c r="A1644" s="8" t="s">
        <v>3015</v>
      </c>
      <c r="B1644" s="8" t="s">
        <v>80</v>
      </c>
      <c r="C1644" s="8" t="s">
        <v>3004</v>
      </c>
      <c r="D1644" s="8">
        <v>6</v>
      </c>
      <c r="E1644" s="8" t="s">
        <v>3011</v>
      </c>
      <c r="F1644" s="8" t="s">
        <v>378</v>
      </c>
      <c r="G1644" s="8" t="s">
        <v>3006</v>
      </c>
      <c r="H1644" s="10">
        <v>6</v>
      </c>
      <c r="I1644" s="10"/>
      <c r="J1644" s="10">
        <v>6</v>
      </c>
      <c r="K1644" s="10">
        <v>218.88</v>
      </c>
    </row>
    <row r="1645" spans="1:11" x14ac:dyDescent="0.25">
      <c r="A1645" s="8" t="s">
        <v>3016</v>
      </c>
      <c r="B1645" s="8" t="s">
        <v>116</v>
      </c>
      <c r="C1645" s="8" t="s">
        <v>3004</v>
      </c>
      <c r="D1645" s="8">
        <v>6</v>
      </c>
      <c r="E1645" s="8" t="s">
        <v>3017</v>
      </c>
      <c r="F1645" s="8" t="s">
        <v>378</v>
      </c>
      <c r="G1645" s="8" t="s">
        <v>3006</v>
      </c>
      <c r="H1645" s="10">
        <v>18</v>
      </c>
      <c r="I1645" s="10"/>
      <c r="J1645" s="10">
        <v>18</v>
      </c>
      <c r="K1645" s="10">
        <v>270.38</v>
      </c>
    </row>
    <row r="1646" spans="1:11" x14ac:dyDescent="0.25">
      <c r="A1646" s="8" t="s">
        <v>3018</v>
      </c>
      <c r="B1646" s="8" t="s">
        <v>118</v>
      </c>
      <c r="C1646" s="8" t="s">
        <v>3004</v>
      </c>
      <c r="D1646" s="8">
        <v>6</v>
      </c>
      <c r="E1646" s="8" t="s">
        <v>3017</v>
      </c>
      <c r="F1646" s="8" t="s">
        <v>378</v>
      </c>
      <c r="G1646" s="8" t="s">
        <v>3006</v>
      </c>
      <c r="H1646" s="10">
        <v>108</v>
      </c>
      <c r="I1646" s="10"/>
      <c r="J1646" s="10">
        <v>108</v>
      </c>
      <c r="K1646" s="10">
        <v>270.38</v>
      </c>
    </row>
    <row r="1647" spans="1:11" x14ac:dyDescent="0.25">
      <c r="A1647" s="8" t="s">
        <v>3019</v>
      </c>
      <c r="B1647" s="8" t="s">
        <v>120</v>
      </c>
      <c r="C1647" s="8" t="s">
        <v>3004</v>
      </c>
      <c r="D1647" s="8">
        <v>6</v>
      </c>
      <c r="E1647" s="8" t="s">
        <v>3017</v>
      </c>
      <c r="F1647" s="8" t="s">
        <v>378</v>
      </c>
      <c r="G1647" s="8" t="s">
        <v>3006</v>
      </c>
      <c r="H1647" s="10">
        <v>594</v>
      </c>
      <c r="I1647" s="10"/>
      <c r="J1647" s="10">
        <v>594</v>
      </c>
      <c r="K1647" s="10">
        <v>270.38</v>
      </c>
    </row>
    <row r="1648" spans="1:11" x14ac:dyDescent="0.25">
      <c r="A1648" s="8" t="s">
        <v>3020</v>
      </c>
      <c r="B1648" s="8" t="s">
        <v>132</v>
      </c>
      <c r="C1648" s="8" t="s">
        <v>3004</v>
      </c>
      <c r="D1648" s="8">
        <v>6</v>
      </c>
      <c r="E1648" s="8" t="s">
        <v>3017</v>
      </c>
      <c r="F1648" s="8" t="s">
        <v>378</v>
      </c>
      <c r="G1648" s="8" t="s">
        <v>3006</v>
      </c>
      <c r="H1648" s="10">
        <v>12</v>
      </c>
      <c r="I1648" s="10"/>
      <c r="J1648" s="10">
        <v>12</v>
      </c>
      <c r="K1648" s="10">
        <v>270.38</v>
      </c>
    </row>
    <row r="1649" spans="1:11" x14ac:dyDescent="0.25">
      <c r="A1649" s="8" t="s">
        <v>3021</v>
      </c>
      <c r="B1649" s="8" t="s">
        <v>80</v>
      </c>
      <c r="C1649" s="8" t="s">
        <v>3004</v>
      </c>
      <c r="D1649" s="8">
        <v>6</v>
      </c>
      <c r="E1649" s="8" t="s">
        <v>3017</v>
      </c>
      <c r="F1649" s="8" t="s">
        <v>378</v>
      </c>
      <c r="G1649" s="8" t="s">
        <v>3006</v>
      </c>
      <c r="H1649" s="10">
        <v>6</v>
      </c>
      <c r="I1649" s="10"/>
      <c r="J1649" s="10">
        <v>6</v>
      </c>
      <c r="K1649" s="10">
        <v>270.38</v>
      </c>
    </row>
    <row r="1650" spans="1:11" x14ac:dyDescent="0.25">
      <c r="A1650" s="8" t="s">
        <v>3022</v>
      </c>
      <c r="B1650" s="8" t="s">
        <v>116</v>
      </c>
      <c r="C1650" s="8" t="s">
        <v>3004</v>
      </c>
      <c r="D1650" s="8">
        <v>6</v>
      </c>
      <c r="E1650" s="8" t="s">
        <v>3023</v>
      </c>
      <c r="F1650" s="8" t="s">
        <v>378</v>
      </c>
      <c r="G1650" s="8" t="s">
        <v>3006</v>
      </c>
      <c r="H1650" s="10">
        <v>270</v>
      </c>
      <c r="I1650" s="10"/>
      <c r="J1650" s="10">
        <v>270</v>
      </c>
      <c r="K1650" s="10">
        <v>348.24</v>
      </c>
    </row>
    <row r="1651" spans="1:11" x14ac:dyDescent="0.25">
      <c r="A1651" s="8" t="s">
        <v>3024</v>
      </c>
      <c r="B1651" s="8" t="s">
        <v>118</v>
      </c>
      <c r="C1651" s="8" t="s">
        <v>3004</v>
      </c>
      <c r="D1651" s="8">
        <v>6</v>
      </c>
      <c r="E1651" s="8" t="s">
        <v>3023</v>
      </c>
      <c r="F1651" s="8" t="s">
        <v>378</v>
      </c>
      <c r="G1651" s="8" t="s">
        <v>3006</v>
      </c>
      <c r="H1651" s="10">
        <v>342</v>
      </c>
      <c r="I1651" s="10"/>
      <c r="J1651" s="10">
        <v>342</v>
      </c>
      <c r="K1651" s="10">
        <v>348.24</v>
      </c>
    </row>
    <row r="1652" spans="1:11" x14ac:dyDescent="0.25">
      <c r="A1652" s="8" t="s">
        <v>3025</v>
      </c>
      <c r="B1652" s="8" t="s">
        <v>120</v>
      </c>
      <c r="C1652" s="8" t="s">
        <v>3004</v>
      </c>
      <c r="D1652" s="8">
        <v>6</v>
      </c>
      <c r="E1652" s="8" t="s">
        <v>3023</v>
      </c>
      <c r="F1652" s="8" t="s">
        <v>378</v>
      </c>
      <c r="G1652" s="8" t="s">
        <v>3006</v>
      </c>
      <c r="H1652" s="10">
        <v>588</v>
      </c>
      <c r="I1652" s="10"/>
      <c r="J1652" s="10">
        <v>588</v>
      </c>
      <c r="K1652" s="10">
        <v>348.24</v>
      </c>
    </row>
    <row r="1653" spans="1:11" x14ac:dyDescent="0.25">
      <c r="A1653" s="8" t="s">
        <v>3026</v>
      </c>
      <c r="B1653" s="8" t="s">
        <v>132</v>
      </c>
      <c r="C1653" s="8" t="s">
        <v>3004</v>
      </c>
      <c r="D1653" s="8">
        <v>6</v>
      </c>
      <c r="E1653" s="8" t="s">
        <v>3023</v>
      </c>
      <c r="F1653" s="8" t="s">
        <v>378</v>
      </c>
      <c r="G1653" s="8" t="s">
        <v>3006</v>
      </c>
      <c r="H1653" s="10">
        <v>84</v>
      </c>
      <c r="I1653" s="10"/>
      <c r="J1653" s="10">
        <v>84</v>
      </c>
      <c r="K1653" s="10">
        <v>348.24</v>
      </c>
    </row>
    <row r="1654" spans="1:11" x14ac:dyDescent="0.25">
      <c r="A1654" s="8" t="s">
        <v>3027</v>
      </c>
      <c r="B1654" s="8" t="s">
        <v>80</v>
      </c>
      <c r="C1654" s="8" t="s">
        <v>3004</v>
      </c>
      <c r="D1654" s="8">
        <v>6</v>
      </c>
      <c r="E1654" s="8" t="s">
        <v>3023</v>
      </c>
      <c r="F1654" s="8" t="s">
        <v>378</v>
      </c>
      <c r="G1654" s="8" t="s">
        <v>3006</v>
      </c>
      <c r="H1654" s="10">
        <v>84</v>
      </c>
      <c r="I1654" s="10"/>
      <c r="J1654" s="10">
        <v>84</v>
      </c>
      <c r="K1654" s="10">
        <v>348.24</v>
      </c>
    </row>
    <row r="1655" spans="1:11" x14ac:dyDescent="0.25">
      <c r="A1655" s="8" t="s">
        <v>3028</v>
      </c>
      <c r="B1655" s="8" t="s">
        <v>118</v>
      </c>
      <c r="C1655" s="8" t="s">
        <v>3004</v>
      </c>
      <c r="D1655" s="8">
        <v>6</v>
      </c>
      <c r="E1655" s="8" t="s">
        <v>3029</v>
      </c>
      <c r="F1655" s="8" t="s">
        <v>378</v>
      </c>
      <c r="G1655" s="8" t="s">
        <v>3006</v>
      </c>
      <c r="H1655" s="10">
        <v>354</v>
      </c>
      <c r="I1655" s="10"/>
      <c r="J1655" s="10">
        <v>354</v>
      </c>
      <c r="K1655" s="10">
        <v>398.82</v>
      </c>
    </row>
    <row r="1656" spans="1:11" x14ac:dyDescent="0.25">
      <c r="A1656" s="8" t="s">
        <v>3030</v>
      </c>
      <c r="B1656" s="8" t="s">
        <v>120</v>
      </c>
      <c r="C1656" s="8" t="s">
        <v>3004</v>
      </c>
      <c r="D1656" s="8">
        <v>6</v>
      </c>
      <c r="E1656" s="8" t="s">
        <v>3029</v>
      </c>
      <c r="F1656" s="8" t="s">
        <v>378</v>
      </c>
      <c r="G1656" s="8" t="s">
        <v>3006</v>
      </c>
      <c r="H1656" s="10">
        <v>618</v>
      </c>
      <c r="I1656" s="10"/>
      <c r="J1656" s="10">
        <v>618</v>
      </c>
      <c r="K1656" s="10">
        <v>398.82</v>
      </c>
    </row>
    <row r="1657" spans="1:11" x14ac:dyDescent="0.25">
      <c r="A1657" s="8" t="s">
        <v>3031</v>
      </c>
      <c r="B1657" s="8" t="s">
        <v>949</v>
      </c>
      <c r="C1657" s="8" t="s">
        <v>3004</v>
      </c>
      <c r="D1657" s="8">
        <v>6</v>
      </c>
      <c r="E1657" s="8" t="s">
        <v>3029</v>
      </c>
      <c r="F1657" s="8" t="s">
        <v>378</v>
      </c>
      <c r="G1657" s="8" t="s">
        <v>3006</v>
      </c>
      <c r="H1657" s="10">
        <v>30</v>
      </c>
      <c r="I1657" s="10"/>
      <c r="J1657" s="10">
        <v>30</v>
      </c>
      <c r="K1657" s="10">
        <v>398.82</v>
      </c>
    </row>
    <row r="1658" spans="1:11" x14ac:dyDescent="0.25">
      <c r="A1658" s="8" t="s">
        <v>3032</v>
      </c>
      <c r="B1658" s="8" t="s">
        <v>132</v>
      </c>
      <c r="C1658" s="8" t="s">
        <v>3004</v>
      </c>
      <c r="D1658" s="8">
        <v>6</v>
      </c>
      <c r="E1658" s="8" t="s">
        <v>3029</v>
      </c>
      <c r="F1658" s="8" t="s">
        <v>378</v>
      </c>
      <c r="G1658" s="8" t="s">
        <v>3006</v>
      </c>
      <c r="H1658" s="10">
        <v>12</v>
      </c>
      <c r="I1658" s="10"/>
      <c r="J1658" s="10">
        <v>12</v>
      </c>
      <c r="K1658" s="10">
        <v>398.82</v>
      </c>
    </row>
    <row r="1659" spans="1:11" x14ac:dyDescent="0.25">
      <c r="A1659" s="8" t="s">
        <v>3033</v>
      </c>
      <c r="B1659" s="8" t="s">
        <v>80</v>
      </c>
      <c r="C1659" s="8" t="s">
        <v>3004</v>
      </c>
      <c r="D1659" s="8">
        <v>6</v>
      </c>
      <c r="E1659" s="8" t="s">
        <v>3029</v>
      </c>
      <c r="F1659" s="8" t="s">
        <v>378</v>
      </c>
      <c r="G1659" s="8" t="s">
        <v>3006</v>
      </c>
      <c r="H1659" s="10">
        <v>24</v>
      </c>
      <c r="I1659" s="10"/>
      <c r="J1659" s="10">
        <v>24</v>
      </c>
      <c r="K1659" s="10">
        <v>398.82</v>
      </c>
    </row>
    <row r="1660" spans="1:11" x14ac:dyDescent="0.25">
      <c r="A1660" s="8" t="s">
        <v>3034</v>
      </c>
      <c r="B1660" s="8" t="s">
        <v>136</v>
      </c>
      <c r="C1660" s="8" t="s">
        <v>3004</v>
      </c>
      <c r="D1660" s="8">
        <v>6</v>
      </c>
      <c r="E1660" s="8" t="s">
        <v>3035</v>
      </c>
      <c r="F1660" s="8" t="s">
        <v>378</v>
      </c>
      <c r="G1660" s="8" t="s">
        <v>3006</v>
      </c>
      <c r="H1660" s="10">
        <v>36</v>
      </c>
      <c r="I1660" s="10"/>
      <c r="J1660" s="10">
        <v>36</v>
      </c>
      <c r="K1660" s="10">
        <v>398.82</v>
      </c>
    </row>
    <row r="1661" spans="1:11" x14ac:dyDescent="0.25">
      <c r="A1661" s="8" t="s">
        <v>3036</v>
      </c>
      <c r="B1661" s="8" t="s">
        <v>118</v>
      </c>
      <c r="C1661" s="8" t="s">
        <v>3004</v>
      </c>
      <c r="D1661" s="8">
        <v>6</v>
      </c>
      <c r="E1661" s="8" t="s">
        <v>3037</v>
      </c>
      <c r="F1661" s="8" t="s">
        <v>378</v>
      </c>
      <c r="G1661" s="8" t="s">
        <v>3006</v>
      </c>
      <c r="H1661" s="10">
        <v>156</v>
      </c>
      <c r="I1661" s="10"/>
      <c r="J1661" s="10">
        <v>156</v>
      </c>
      <c r="K1661" s="10">
        <v>452.06</v>
      </c>
    </row>
    <row r="1662" spans="1:11" x14ac:dyDescent="0.25">
      <c r="A1662" s="8" t="s">
        <v>3038</v>
      </c>
      <c r="B1662" s="8" t="s">
        <v>120</v>
      </c>
      <c r="C1662" s="8" t="s">
        <v>3004</v>
      </c>
      <c r="D1662" s="8">
        <v>6</v>
      </c>
      <c r="E1662" s="8" t="s">
        <v>3037</v>
      </c>
      <c r="F1662" s="8" t="s">
        <v>378</v>
      </c>
      <c r="G1662" s="8" t="s">
        <v>3006</v>
      </c>
      <c r="H1662" s="10">
        <v>414</v>
      </c>
      <c r="I1662" s="10"/>
      <c r="J1662" s="10">
        <v>414</v>
      </c>
      <c r="K1662" s="10">
        <v>452.06</v>
      </c>
    </row>
    <row r="1663" spans="1:11" x14ac:dyDescent="0.25">
      <c r="A1663" s="8" t="s">
        <v>3039</v>
      </c>
      <c r="B1663" s="8" t="s">
        <v>132</v>
      </c>
      <c r="C1663" s="8" t="s">
        <v>3004</v>
      </c>
      <c r="D1663" s="8">
        <v>6</v>
      </c>
      <c r="E1663" s="8" t="s">
        <v>3037</v>
      </c>
      <c r="F1663" s="8" t="s">
        <v>378</v>
      </c>
      <c r="G1663" s="8" t="s">
        <v>3006</v>
      </c>
      <c r="H1663" s="10">
        <v>42</v>
      </c>
      <c r="I1663" s="10"/>
      <c r="J1663" s="10">
        <v>42</v>
      </c>
      <c r="K1663" s="10">
        <v>452.06</v>
      </c>
    </row>
    <row r="1664" spans="1:11" x14ac:dyDescent="0.25">
      <c r="A1664" s="8" t="s">
        <v>3040</v>
      </c>
      <c r="B1664" s="8" t="s">
        <v>80</v>
      </c>
      <c r="C1664" s="8" t="s">
        <v>3004</v>
      </c>
      <c r="D1664" s="8">
        <v>6</v>
      </c>
      <c r="E1664" s="8" t="s">
        <v>3037</v>
      </c>
      <c r="F1664" s="8" t="s">
        <v>378</v>
      </c>
      <c r="G1664" s="8" t="s">
        <v>3006</v>
      </c>
      <c r="H1664" s="10">
        <v>102</v>
      </c>
      <c r="I1664" s="10"/>
      <c r="J1664" s="10">
        <v>102</v>
      </c>
      <c r="K1664" s="10">
        <v>452.06</v>
      </c>
    </row>
    <row r="1665" spans="1:11" x14ac:dyDescent="0.25">
      <c r="A1665" s="8" t="s">
        <v>3041</v>
      </c>
      <c r="B1665" s="8" t="s">
        <v>116</v>
      </c>
      <c r="C1665" s="8" t="s">
        <v>3004</v>
      </c>
      <c r="D1665" s="8">
        <v>6</v>
      </c>
      <c r="E1665" s="8" t="s">
        <v>3042</v>
      </c>
      <c r="F1665" s="8" t="s">
        <v>378</v>
      </c>
      <c r="G1665" s="8" t="s">
        <v>3006</v>
      </c>
      <c r="H1665" s="10">
        <v>216</v>
      </c>
      <c r="I1665" s="10"/>
      <c r="J1665" s="10">
        <v>216</v>
      </c>
      <c r="K1665" s="10">
        <v>553.54999999999995</v>
      </c>
    </row>
    <row r="1666" spans="1:11" x14ac:dyDescent="0.25">
      <c r="A1666" s="8" t="s">
        <v>3043</v>
      </c>
      <c r="B1666" s="8" t="s">
        <v>118</v>
      </c>
      <c r="C1666" s="8" t="s">
        <v>3004</v>
      </c>
      <c r="D1666" s="8">
        <v>6</v>
      </c>
      <c r="E1666" s="8" t="s">
        <v>3042</v>
      </c>
      <c r="F1666" s="8" t="s">
        <v>378</v>
      </c>
      <c r="G1666" s="8" t="s">
        <v>3006</v>
      </c>
      <c r="H1666" s="10">
        <v>150</v>
      </c>
      <c r="I1666" s="10"/>
      <c r="J1666" s="10">
        <v>150</v>
      </c>
      <c r="K1666" s="10">
        <v>553.54999999999995</v>
      </c>
    </row>
    <row r="1667" spans="1:11" x14ac:dyDescent="0.25">
      <c r="A1667" s="8" t="s">
        <v>3044</v>
      </c>
      <c r="B1667" s="8" t="s">
        <v>120</v>
      </c>
      <c r="C1667" s="8" t="s">
        <v>3004</v>
      </c>
      <c r="D1667" s="8">
        <v>6</v>
      </c>
      <c r="E1667" s="8" t="s">
        <v>3042</v>
      </c>
      <c r="F1667" s="8" t="s">
        <v>378</v>
      </c>
      <c r="G1667" s="8" t="s">
        <v>3006</v>
      </c>
      <c r="H1667" s="10">
        <v>576</v>
      </c>
      <c r="I1667" s="10"/>
      <c r="J1667" s="10">
        <v>576</v>
      </c>
      <c r="K1667" s="10">
        <v>553.54999999999995</v>
      </c>
    </row>
    <row r="1668" spans="1:11" x14ac:dyDescent="0.25">
      <c r="A1668" s="8" t="s">
        <v>3045</v>
      </c>
      <c r="B1668" s="8" t="s">
        <v>132</v>
      </c>
      <c r="C1668" s="8" t="s">
        <v>3004</v>
      </c>
      <c r="D1668" s="8">
        <v>6</v>
      </c>
      <c r="E1668" s="8" t="s">
        <v>3042</v>
      </c>
      <c r="F1668" s="8" t="s">
        <v>378</v>
      </c>
      <c r="G1668" s="8" t="s">
        <v>3006</v>
      </c>
      <c r="H1668" s="10">
        <v>60</v>
      </c>
      <c r="I1668" s="10"/>
      <c r="J1668" s="10">
        <v>60</v>
      </c>
      <c r="K1668" s="10">
        <v>553.54999999999995</v>
      </c>
    </row>
    <row r="1669" spans="1:11" x14ac:dyDescent="0.25">
      <c r="A1669" s="8" t="s">
        <v>3046</v>
      </c>
      <c r="B1669" s="8" t="s">
        <v>80</v>
      </c>
      <c r="C1669" s="8" t="s">
        <v>3004</v>
      </c>
      <c r="D1669" s="8">
        <v>6</v>
      </c>
      <c r="E1669" s="8" t="s">
        <v>3042</v>
      </c>
      <c r="F1669" s="8" t="s">
        <v>378</v>
      </c>
      <c r="G1669" s="8" t="s">
        <v>3006</v>
      </c>
      <c r="H1669" s="10">
        <v>12</v>
      </c>
      <c r="I1669" s="10"/>
      <c r="J1669" s="10">
        <v>12</v>
      </c>
      <c r="K1669" s="10">
        <v>553.54999999999995</v>
      </c>
    </row>
    <row r="1670" spans="1:11" x14ac:dyDescent="0.25">
      <c r="A1670" s="8" t="s">
        <v>3047</v>
      </c>
      <c r="B1670" s="8" t="s">
        <v>72</v>
      </c>
      <c r="C1670" s="8" t="s">
        <v>3004</v>
      </c>
      <c r="D1670" s="8">
        <v>6</v>
      </c>
      <c r="E1670" s="8" t="s">
        <v>3048</v>
      </c>
      <c r="F1670" s="8" t="s">
        <v>378</v>
      </c>
      <c r="G1670" s="8" t="s">
        <v>3006</v>
      </c>
      <c r="H1670" s="10">
        <v>246</v>
      </c>
      <c r="I1670" s="10"/>
      <c r="J1670" s="10">
        <v>246</v>
      </c>
      <c r="K1670" s="10">
        <v>703.56</v>
      </c>
    </row>
    <row r="1671" spans="1:11" x14ac:dyDescent="0.25">
      <c r="A1671" s="8" t="s">
        <v>3049</v>
      </c>
      <c r="B1671" s="8" t="s">
        <v>116</v>
      </c>
      <c r="C1671" s="8" t="s">
        <v>3004</v>
      </c>
      <c r="D1671" s="8">
        <v>6</v>
      </c>
      <c r="E1671" s="8" t="s">
        <v>3048</v>
      </c>
      <c r="F1671" s="8" t="s">
        <v>378</v>
      </c>
      <c r="G1671" s="8" t="s">
        <v>3006</v>
      </c>
      <c r="H1671" s="10">
        <v>210</v>
      </c>
      <c r="I1671" s="10"/>
      <c r="J1671" s="10">
        <v>210</v>
      </c>
      <c r="K1671" s="10">
        <v>703.56</v>
      </c>
    </row>
    <row r="1672" spans="1:11" x14ac:dyDescent="0.25">
      <c r="A1672" s="8" t="s">
        <v>3050</v>
      </c>
      <c r="B1672" s="8" t="s">
        <v>118</v>
      </c>
      <c r="C1672" s="8" t="s">
        <v>3004</v>
      </c>
      <c r="D1672" s="8">
        <v>6</v>
      </c>
      <c r="E1672" s="8" t="s">
        <v>3048</v>
      </c>
      <c r="F1672" s="8" t="s">
        <v>378</v>
      </c>
      <c r="G1672" s="8" t="s">
        <v>3006</v>
      </c>
      <c r="H1672" s="10">
        <v>144</v>
      </c>
      <c r="I1672" s="10"/>
      <c r="J1672" s="10">
        <v>144</v>
      </c>
      <c r="K1672" s="10">
        <v>703.56</v>
      </c>
    </row>
    <row r="1673" spans="1:11" x14ac:dyDescent="0.25">
      <c r="A1673" s="8" t="s">
        <v>3051</v>
      </c>
      <c r="B1673" s="8" t="s">
        <v>120</v>
      </c>
      <c r="C1673" s="8" t="s">
        <v>3004</v>
      </c>
      <c r="D1673" s="8">
        <v>6</v>
      </c>
      <c r="E1673" s="8" t="s">
        <v>3048</v>
      </c>
      <c r="F1673" s="8" t="s">
        <v>378</v>
      </c>
      <c r="G1673" s="8" t="s">
        <v>3006</v>
      </c>
      <c r="H1673" s="10">
        <v>618</v>
      </c>
      <c r="I1673" s="10"/>
      <c r="J1673" s="10">
        <v>618</v>
      </c>
      <c r="K1673" s="10">
        <v>703.56</v>
      </c>
    </row>
    <row r="1674" spans="1:11" x14ac:dyDescent="0.25">
      <c r="A1674" s="8" t="s">
        <v>3052</v>
      </c>
      <c r="B1674" s="8" t="s">
        <v>949</v>
      </c>
      <c r="C1674" s="8" t="s">
        <v>3004</v>
      </c>
      <c r="D1674" s="8">
        <v>6</v>
      </c>
      <c r="E1674" s="8" t="s">
        <v>3048</v>
      </c>
      <c r="F1674" s="8" t="s">
        <v>378</v>
      </c>
      <c r="G1674" s="8" t="s">
        <v>3006</v>
      </c>
      <c r="H1674" s="10">
        <v>12</v>
      </c>
      <c r="I1674" s="10"/>
      <c r="J1674" s="10">
        <v>12</v>
      </c>
      <c r="K1674" s="10">
        <v>703.56</v>
      </c>
    </row>
    <row r="1675" spans="1:11" x14ac:dyDescent="0.25">
      <c r="A1675" s="8" t="s">
        <v>3053</v>
      </c>
      <c r="B1675" s="8" t="s">
        <v>132</v>
      </c>
      <c r="C1675" s="8" t="s">
        <v>3004</v>
      </c>
      <c r="D1675" s="8">
        <v>6</v>
      </c>
      <c r="E1675" s="8" t="s">
        <v>3048</v>
      </c>
      <c r="F1675" s="8" t="s">
        <v>378</v>
      </c>
      <c r="G1675" s="8" t="s">
        <v>3006</v>
      </c>
      <c r="H1675" s="10">
        <v>24</v>
      </c>
      <c r="I1675" s="10"/>
      <c r="J1675" s="10">
        <v>24</v>
      </c>
      <c r="K1675" s="10">
        <v>703.56</v>
      </c>
    </row>
    <row r="1676" spans="1:11" x14ac:dyDescent="0.25">
      <c r="A1676" s="8" t="s">
        <v>3054</v>
      </c>
      <c r="B1676" s="8" t="s">
        <v>134</v>
      </c>
      <c r="C1676" s="8" t="s">
        <v>3004</v>
      </c>
      <c r="D1676" s="8">
        <v>6</v>
      </c>
      <c r="E1676" s="8" t="s">
        <v>3048</v>
      </c>
      <c r="F1676" s="8" t="s">
        <v>378</v>
      </c>
      <c r="G1676" s="8" t="s">
        <v>3006</v>
      </c>
      <c r="H1676" s="10">
        <v>12</v>
      </c>
      <c r="I1676" s="10"/>
      <c r="J1676" s="10">
        <v>12</v>
      </c>
      <c r="K1676" s="10">
        <v>703.56</v>
      </c>
    </row>
    <row r="1677" spans="1:11" x14ac:dyDescent="0.25">
      <c r="A1677" s="8" t="s">
        <v>3055</v>
      </c>
      <c r="B1677" s="8" t="s">
        <v>2627</v>
      </c>
      <c r="C1677" s="8" t="s">
        <v>3004</v>
      </c>
      <c r="D1677" s="8">
        <v>6</v>
      </c>
      <c r="E1677" s="8" t="s">
        <v>3048</v>
      </c>
      <c r="F1677" s="8" t="s">
        <v>378</v>
      </c>
      <c r="G1677" s="8" t="s">
        <v>3006</v>
      </c>
      <c r="H1677" s="10">
        <v>768</v>
      </c>
      <c r="I1677" s="10"/>
      <c r="J1677" s="10">
        <v>768</v>
      </c>
      <c r="K1677" s="10">
        <v>703.56</v>
      </c>
    </row>
    <row r="1678" spans="1:11" x14ac:dyDescent="0.25">
      <c r="A1678" s="8" t="s">
        <v>3056</v>
      </c>
      <c r="B1678" s="8" t="s">
        <v>80</v>
      </c>
      <c r="C1678" s="8" t="s">
        <v>3004</v>
      </c>
      <c r="D1678" s="8">
        <v>6</v>
      </c>
      <c r="E1678" s="8" t="s">
        <v>3048</v>
      </c>
      <c r="F1678" s="8" t="s">
        <v>378</v>
      </c>
      <c r="G1678" s="8" t="s">
        <v>3006</v>
      </c>
      <c r="H1678" s="10">
        <v>12</v>
      </c>
      <c r="I1678" s="10"/>
      <c r="J1678" s="10">
        <v>12</v>
      </c>
      <c r="K1678" s="10">
        <v>703.56</v>
      </c>
    </row>
    <row r="1679" spans="1:11" x14ac:dyDescent="0.25">
      <c r="A1679" s="8" t="s">
        <v>3057</v>
      </c>
      <c r="B1679" s="8" t="s">
        <v>1029</v>
      </c>
      <c r="C1679" s="8" t="s">
        <v>3004</v>
      </c>
      <c r="D1679" s="8">
        <v>6</v>
      </c>
      <c r="E1679" s="8" t="s">
        <v>3048</v>
      </c>
      <c r="F1679" s="8" t="s">
        <v>378</v>
      </c>
      <c r="G1679" s="8" t="s">
        <v>3006</v>
      </c>
      <c r="H1679" s="10">
        <v>24</v>
      </c>
      <c r="I1679" s="10"/>
      <c r="J1679" s="10">
        <v>24</v>
      </c>
      <c r="K1679" s="10">
        <v>703.56</v>
      </c>
    </row>
    <row r="1680" spans="1:11" x14ac:dyDescent="0.25">
      <c r="A1680" s="8" t="s">
        <v>3058</v>
      </c>
      <c r="B1680" s="8" t="s">
        <v>116</v>
      </c>
      <c r="C1680" s="8" t="s">
        <v>3059</v>
      </c>
      <c r="D1680" s="8">
        <v>5</v>
      </c>
      <c r="E1680" s="8" t="s">
        <v>3060</v>
      </c>
      <c r="F1680" s="8" t="s">
        <v>378</v>
      </c>
      <c r="G1680" s="8" t="s">
        <v>3061</v>
      </c>
      <c r="H1680" s="10">
        <v>288</v>
      </c>
      <c r="I1680" s="10"/>
      <c r="J1680" s="10">
        <v>288</v>
      </c>
      <c r="K1680" s="10">
        <v>776.37</v>
      </c>
    </row>
    <row r="1681" spans="1:11" x14ac:dyDescent="0.25">
      <c r="A1681" s="8" t="s">
        <v>3062</v>
      </c>
      <c r="B1681" s="8" t="s">
        <v>118</v>
      </c>
      <c r="C1681" s="8" t="s">
        <v>3059</v>
      </c>
      <c r="D1681" s="8">
        <v>5</v>
      </c>
      <c r="E1681" s="8" t="s">
        <v>3060</v>
      </c>
      <c r="F1681" s="8" t="s">
        <v>378</v>
      </c>
      <c r="G1681" s="8" t="s">
        <v>3061</v>
      </c>
      <c r="H1681" s="10">
        <v>6</v>
      </c>
      <c r="I1681" s="10"/>
      <c r="J1681" s="10">
        <v>6</v>
      </c>
      <c r="K1681" s="10">
        <v>776.37</v>
      </c>
    </row>
    <row r="1682" spans="1:11" x14ac:dyDescent="0.25">
      <c r="A1682" s="8" t="s">
        <v>3063</v>
      </c>
      <c r="B1682" s="8" t="s">
        <v>120</v>
      </c>
      <c r="C1682" s="8" t="s">
        <v>3059</v>
      </c>
      <c r="D1682" s="8">
        <v>5</v>
      </c>
      <c r="E1682" s="8" t="s">
        <v>3060</v>
      </c>
      <c r="F1682" s="8" t="s">
        <v>378</v>
      </c>
      <c r="G1682" s="8" t="s">
        <v>3061</v>
      </c>
      <c r="H1682" s="10">
        <v>294</v>
      </c>
      <c r="I1682" s="10"/>
      <c r="J1682" s="10">
        <v>294</v>
      </c>
      <c r="K1682" s="10">
        <v>776.37</v>
      </c>
    </row>
    <row r="1683" spans="1:11" x14ac:dyDescent="0.25">
      <c r="A1683" s="8" t="s">
        <v>3064</v>
      </c>
      <c r="B1683" s="8" t="s">
        <v>80</v>
      </c>
      <c r="C1683" s="8" t="s">
        <v>3059</v>
      </c>
      <c r="D1683" s="8">
        <v>5</v>
      </c>
      <c r="E1683" s="8" t="s">
        <v>3060</v>
      </c>
      <c r="F1683" s="8" t="s">
        <v>378</v>
      </c>
      <c r="G1683" s="8" t="s">
        <v>3061</v>
      </c>
      <c r="H1683" s="10">
        <v>84</v>
      </c>
      <c r="I1683" s="10"/>
      <c r="J1683" s="10">
        <v>84</v>
      </c>
      <c r="K1683" s="10">
        <v>776.37</v>
      </c>
    </row>
    <row r="1684" spans="1:11" x14ac:dyDescent="0.25">
      <c r="A1684" s="8" t="s">
        <v>3065</v>
      </c>
      <c r="B1684" s="8" t="s">
        <v>1029</v>
      </c>
      <c r="C1684" s="8" t="s">
        <v>3059</v>
      </c>
      <c r="D1684" s="8">
        <v>5</v>
      </c>
      <c r="E1684" s="8" t="s">
        <v>3060</v>
      </c>
      <c r="F1684" s="8" t="s">
        <v>378</v>
      </c>
      <c r="G1684" s="8" t="s">
        <v>3061</v>
      </c>
      <c r="H1684" s="10">
        <v>12</v>
      </c>
      <c r="I1684" s="10"/>
      <c r="J1684" s="10">
        <v>12</v>
      </c>
      <c r="K1684" s="10">
        <v>776.37</v>
      </c>
    </row>
    <row r="1685" spans="1:11" x14ac:dyDescent="0.25">
      <c r="A1685" s="8" t="s">
        <v>3066</v>
      </c>
      <c r="B1685" s="8" t="s">
        <v>118</v>
      </c>
      <c r="C1685" s="8" t="s">
        <v>3059</v>
      </c>
      <c r="D1685" s="8">
        <v>5</v>
      </c>
      <c r="E1685" s="8" t="s">
        <v>3067</v>
      </c>
      <c r="F1685" s="8" t="s">
        <v>378</v>
      </c>
      <c r="G1685" s="8" t="s">
        <v>3061</v>
      </c>
      <c r="H1685" s="10">
        <v>246</v>
      </c>
      <c r="I1685" s="10"/>
      <c r="J1685" s="10">
        <v>246</v>
      </c>
      <c r="K1685" s="10">
        <v>921.69</v>
      </c>
    </row>
    <row r="1686" spans="1:11" x14ac:dyDescent="0.25">
      <c r="A1686" s="8" t="s">
        <v>3068</v>
      </c>
      <c r="B1686" s="8" t="s">
        <v>120</v>
      </c>
      <c r="C1686" s="8" t="s">
        <v>3059</v>
      </c>
      <c r="D1686" s="8">
        <v>5</v>
      </c>
      <c r="E1686" s="8" t="s">
        <v>3067</v>
      </c>
      <c r="F1686" s="8" t="s">
        <v>378</v>
      </c>
      <c r="G1686" s="8" t="s">
        <v>3061</v>
      </c>
      <c r="H1686" s="10">
        <v>228</v>
      </c>
      <c r="I1686" s="10"/>
      <c r="J1686" s="10">
        <v>228</v>
      </c>
      <c r="K1686" s="10">
        <v>921.69</v>
      </c>
    </row>
    <row r="1687" spans="1:11" x14ac:dyDescent="0.25">
      <c r="A1687" s="8" t="s">
        <v>3069</v>
      </c>
      <c r="B1687" s="8" t="s">
        <v>949</v>
      </c>
      <c r="C1687" s="8" t="s">
        <v>3059</v>
      </c>
      <c r="D1687" s="8">
        <v>5</v>
      </c>
      <c r="E1687" s="8" t="s">
        <v>3067</v>
      </c>
      <c r="F1687" s="8" t="s">
        <v>378</v>
      </c>
      <c r="G1687" s="8" t="s">
        <v>3061</v>
      </c>
      <c r="H1687" s="10">
        <v>120</v>
      </c>
      <c r="I1687" s="10"/>
      <c r="J1687" s="10">
        <v>120</v>
      </c>
      <c r="K1687" s="10">
        <v>921.69</v>
      </c>
    </row>
    <row r="1688" spans="1:11" x14ac:dyDescent="0.25">
      <c r="A1688" s="8" t="s">
        <v>3070</v>
      </c>
      <c r="B1688" s="8" t="s">
        <v>132</v>
      </c>
      <c r="C1688" s="8" t="s">
        <v>3059</v>
      </c>
      <c r="D1688" s="8">
        <v>5</v>
      </c>
      <c r="E1688" s="8" t="s">
        <v>3067</v>
      </c>
      <c r="F1688" s="8" t="s">
        <v>378</v>
      </c>
      <c r="G1688" s="8" t="s">
        <v>3061</v>
      </c>
      <c r="H1688" s="10">
        <v>6</v>
      </c>
      <c r="I1688" s="10"/>
      <c r="J1688" s="10">
        <v>6</v>
      </c>
      <c r="K1688" s="10">
        <v>921.69</v>
      </c>
    </row>
    <row r="1689" spans="1:11" x14ac:dyDescent="0.25">
      <c r="A1689" s="8" t="s">
        <v>3071</v>
      </c>
      <c r="B1689" s="8" t="s">
        <v>80</v>
      </c>
      <c r="C1689" s="8" t="s">
        <v>3059</v>
      </c>
      <c r="D1689" s="8">
        <v>5</v>
      </c>
      <c r="E1689" s="8" t="s">
        <v>3067</v>
      </c>
      <c r="F1689" s="8" t="s">
        <v>378</v>
      </c>
      <c r="G1689" s="8" t="s">
        <v>3061</v>
      </c>
      <c r="H1689" s="10">
        <v>60</v>
      </c>
      <c r="I1689" s="10"/>
      <c r="J1689" s="10">
        <v>60</v>
      </c>
      <c r="K1689" s="10">
        <v>921.69</v>
      </c>
    </row>
    <row r="1690" spans="1:11" x14ac:dyDescent="0.25">
      <c r="A1690" s="8" t="s">
        <v>3072</v>
      </c>
      <c r="B1690" s="8" t="s">
        <v>1029</v>
      </c>
      <c r="C1690" s="8" t="s">
        <v>3059</v>
      </c>
      <c r="D1690" s="8">
        <v>5</v>
      </c>
      <c r="E1690" s="8" t="s">
        <v>3067</v>
      </c>
      <c r="F1690" s="8" t="s">
        <v>378</v>
      </c>
      <c r="G1690" s="8" t="s">
        <v>3061</v>
      </c>
      <c r="H1690" s="10">
        <v>12</v>
      </c>
      <c r="I1690" s="10"/>
      <c r="J1690" s="10">
        <v>12</v>
      </c>
      <c r="K1690" s="10">
        <v>921.69</v>
      </c>
    </row>
    <row r="1691" spans="1:11" x14ac:dyDescent="0.25">
      <c r="A1691" s="8" t="s">
        <v>3073</v>
      </c>
      <c r="B1691" s="8" t="s">
        <v>118</v>
      </c>
      <c r="C1691" s="8" t="s">
        <v>3059</v>
      </c>
      <c r="D1691" s="8">
        <v>5</v>
      </c>
      <c r="E1691" s="8" t="s">
        <v>3074</v>
      </c>
      <c r="F1691" s="8" t="s">
        <v>378</v>
      </c>
      <c r="G1691" s="8" t="s">
        <v>3061</v>
      </c>
      <c r="H1691" s="10">
        <v>12</v>
      </c>
      <c r="I1691" s="10"/>
      <c r="J1691" s="10">
        <v>12</v>
      </c>
      <c r="K1691" s="10">
        <v>1234.25</v>
      </c>
    </row>
    <row r="1692" spans="1:11" x14ac:dyDescent="0.25">
      <c r="A1692" s="8" t="s">
        <v>3075</v>
      </c>
      <c r="B1692" s="8" t="s">
        <v>120</v>
      </c>
      <c r="C1692" s="8" t="s">
        <v>3059</v>
      </c>
      <c r="D1692" s="8">
        <v>5</v>
      </c>
      <c r="E1692" s="8" t="s">
        <v>3074</v>
      </c>
      <c r="F1692" s="8" t="s">
        <v>378</v>
      </c>
      <c r="G1692" s="8" t="s">
        <v>3061</v>
      </c>
      <c r="H1692" s="10">
        <v>240</v>
      </c>
      <c r="I1692" s="10"/>
      <c r="J1692" s="10">
        <v>240</v>
      </c>
      <c r="K1692" s="10">
        <v>1234.25</v>
      </c>
    </row>
    <row r="1693" spans="1:11" x14ac:dyDescent="0.25">
      <c r="A1693" s="8" t="s">
        <v>3076</v>
      </c>
      <c r="B1693" s="8" t="s">
        <v>120</v>
      </c>
      <c r="C1693" s="8" t="s">
        <v>3059</v>
      </c>
      <c r="D1693" s="8">
        <v>5</v>
      </c>
      <c r="E1693" s="8" t="s">
        <v>3077</v>
      </c>
      <c r="F1693" s="8" t="s">
        <v>378</v>
      </c>
      <c r="G1693" s="8" t="s">
        <v>3061</v>
      </c>
      <c r="H1693" s="10">
        <v>84</v>
      </c>
      <c r="I1693" s="10"/>
      <c r="J1693" s="10">
        <v>84</v>
      </c>
      <c r="K1693" s="10">
        <v>1413.15</v>
      </c>
    </row>
    <row r="1694" spans="1:11" x14ac:dyDescent="0.25">
      <c r="A1694" s="8" t="s">
        <v>3078</v>
      </c>
      <c r="B1694" s="8" t="s">
        <v>80</v>
      </c>
      <c r="C1694" s="8" t="s">
        <v>3059</v>
      </c>
      <c r="D1694" s="8">
        <v>5</v>
      </c>
      <c r="E1694" s="8" t="s">
        <v>3077</v>
      </c>
      <c r="F1694" s="8" t="s">
        <v>378</v>
      </c>
      <c r="G1694" s="8" t="s">
        <v>3061</v>
      </c>
      <c r="H1694" s="10">
        <v>6</v>
      </c>
      <c r="I1694" s="10"/>
      <c r="J1694" s="10">
        <v>6</v>
      </c>
      <c r="K1694" s="10">
        <v>1413.15</v>
      </c>
    </row>
    <row r="1695" spans="1:11" x14ac:dyDescent="0.25">
      <c r="A1695" s="8" t="s">
        <v>3079</v>
      </c>
      <c r="B1695" s="8" t="s">
        <v>120</v>
      </c>
      <c r="C1695" s="8" t="s">
        <v>3059</v>
      </c>
      <c r="D1695" s="8">
        <v>5</v>
      </c>
      <c r="E1695" s="8" t="s">
        <v>364</v>
      </c>
      <c r="F1695" s="8" t="s">
        <v>378</v>
      </c>
      <c r="G1695" s="8" t="s">
        <v>3061</v>
      </c>
      <c r="H1695" s="10">
        <v>42</v>
      </c>
      <c r="I1695" s="10"/>
      <c r="J1695" s="10">
        <v>42</v>
      </c>
      <c r="K1695" s="10">
        <v>1623.4</v>
      </c>
    </row>
    <row r="1696" spans="1:11" x14ac:dyDescent="0.25">
      <c r="A1696" s="8" t="s">
        <v>3080</v>
      </c>
      <c r="B1696" s="8" t="s">
        <v>80</v>
      </c>
      <c r="C1696" s="8" t="s">
        <v>3059</v>
      </c>
      <c r="D1696" s="8">
        <v>5</v>
      </c>
      <c r="E1696" s="8" t="s">
        <v>364</v>
      </c>
      <c r="F1696" s="8" t="s">
        <v>378</v>
      </c>
      <c r="G1696" s="8" t="s">
        <v>3061</v>
      </c>
      <c r="H1696" s="10">
        <v>6</v>
      </c>
      <c r="I1696" s="10"/>
      <c r="J1696" s="10">
        <v>6</v>
      </c>
      <c r="K1696" s="10">
        <v>1623.4</v>
      </c>
    </row>
    <row r="1697" spans="1:11" x14ac:dyDescent="0.25">
      <c r="A1697" s="8" t="s">
        <v>3081</v>
      </c>
      <c r="B1697" s="8" t="s">
        <v>120</v>
      </c>
      <c r="C1697" s="8" t="s">
        <v>3059</v>
      </c>
      <c r="D1697" s="8">
        <v>5</v>
      </c>
      <c r="E1697" s="8" t="s">
        <v>3082</v>
      </c>
      <c r="F1697" s="8" t="s">
        <v>378</v>
      </c>
      <c r="G1697" s="8" t="s">
        <v>3061</v>
      </c>
      <c r="H1697" s="10">
        <v>132</v>
      </c>
      <c r="I1697" s="10"/>
      <c r="J1697" s="10">
        <v>132</v>
      </c>
      <c r="K1697" s="10">
        <v>1875.74</v>
      </c>
    </row>
    <row r="1698" spans="1:11" x14ac:dyDescent="0.25">
      <c r="A1698" s="8" t="s">
        <v>3083</v>
      </c>
      <c r="B1698" s="8" t="s">
        <v>80</v>
      </c>
      <c r="C1698" s="8" t="s">
        <v>3059</v>
      </c>
      <c r="D1698" s="8">
        <v>5</v>
      </c>
      <c r="E1698" s="8" t="s">
        <v>3082</v>
      </c>
      <c r="F1698" s="8" t="s">
        <v>378</v>
      </c>
      <c r="G1698" s="8" t="s">
        <v>3061</v>
      </c>
      <c r="H1698" s="10">
        <v>6</v>
      </c>
      <c r="I1698" s="10"/>
      <c r="J1698" s="10">
        <v>6</v>
      </c>
      <c r="K1698" s="10">
        <v>1875.74</v>
      </c>
    </row>
    <row r="1699" spans="1:11" x14ac:dyDescent="0.25">
      <c r="A1699" s="8" t="s">
        <v>3084</v>
      </c>
      <c r="B1699" s="8" t="s">
        <v>120</v>
      </c>
      <c r="C1699" s="8" t="s">
        <v>3059</v>
      </c>
      <c r="D1699" s="8">
        <v>5</v>
      </c>
      <c r="E1699" s="8" t="s">
        <v>3085</v>
      </c>
      <c r="F1699" s="8" t="s">
        <v>378</v>
      </c>
      <c r="G1699" s="8" t="s">
        <v>3061</v>
      </c>
      <c r="H1699" s="10">
        <v>18</v>
      </c>
      <c r="I1699" s="10"/>
      <c r="J1699" s="10">
        <v>18</v>
      </c>
      <c r="K1699" s="10">
        <v>2119.3200000000002</v>
      </c>
    </row>
    <row r="1700" spans="1:11" x14ac:dyDescent="0.25">
      <c r="A1700" s="8" t="s">
        <v>3086</v>
      </c>
      <c r="B1700" s="8" t="s">
        <v>80</v>
      </c>
      <c r="C1700" s="8" t="s">
        <v>3059</v>
      </c>
      <c r="D1700" s="8">
        <v>5</v>
      </c>
      <c r="E1700" s="8" t="s">
        <v>3085</v>
      </c>
      <c r="F1700" s="8" t="s">
        <v>378</v>
      </c>
      <c r="G1700" s="8" t="s">
        <v>3061</v>
      </c>
      <c r="H1700" s="10">
        <v>42</v>
      </c>
      <c r="I1700" s="10"/>
      <c r="J1700" s="10">
        <v>42</v>
      </c>
      <c r="K1700" s="10">
        <v>2119.3200000000002</v>
      </c>
    </row>
    <row r="1701" spans="1:11" x14ac:dyDescent="0.25">
      <c r="A1701" s="8" t="s">
        <v>3087</v>
      </c>
      <c r="B1701" s="8" t="s">
        <v>120</v>
      </c>
      <c r="C1701" s="8" t="s">
        <v>3059</v>
      </c>
      <c r="D1701" s="8">
        <v>5</v>
      </c>
      <c r="E1701" s="8" t="s">
        <v>3088</v>
      </c>
      <c r="F1701" s="8" t="s">
        <v>378</v>
      </c>
      <c r="G1701" s="8" t="s">
        <v>3061</v>
      </c>
      <c r="H1701" s="10">
        <v>24</v>
      </c>
      <c r="I1701" s="10"/>
      <c r="J1701" s="10">
        <v>24</v>
      </c>
      <c r="K1701" s="10">
        <v>2808.26</v>
      </c>
    </row>
    <row r="1702" spans="1:11" x14ac:dyDescent="0.25">
      <c r="A1702" s="8" t="s">
        <v>3089</v>
      </c>
      <c r="B1702" s="8" t="s">
        <v>80</v>
      </c>
      <c r="C1702" s="8" t="s">
        <v>3059</v>
      </c>
      <c r="D1702" s="8">
        <v>5</v>
      </c>
      <c r="E1702" s="8" t="s">
        <v>3088</v>
      </c>
      <c r="F1702" s="8" t="s">
        <v>378</v>
      </c>
      <c r="G1702" s="8" t="s">
        <v>3061</v>
      </c>
      <c r="H1702" s="10">
        <v>18</v>
      </c>
      <c r="I1702" s="10"/>
      <c r="J1702" s="10">
        <v>18</v>
      </c>
      <c r="K1702" s="10">
        <v>2808.26</v>
      </c>
    </row>
    <row r="1703" spans="1:11" x14ac:dyDescent="0.25">
      <c r="A1703" s="8" t="s">
        <v>3090</v>
      </c>
      <c r="B1703" s="8" t="s">
        <v>118</v>
      </c>
      <c r="C1703" s="8" t="s">
        <v>3004</v>
      </c>
      <c r="D1703" s="8">
        <v>6</v>
      </c>
      <c r="E1703" s="8" t="s">
        <v>3091</v>
      </c>
      <c r="F1703" s="8" t="s">
        <v>378</v>
      </c>
      <c r="G1703" s="8" t="s">
        <v>3006</v>
      </c>
      <c r="H1703" s="10">
        <v>6</v>
      </c>
      <c r="I1703" s="10"/>
      <c r="J1703" s="10">
        <v>6</v>
      </c>
      <c r="K1703" s="10">
        <v>193.54</v>
      </c>
    </row>
    <row r="1704" spans="1:11" x14ac:dyDescent="0.25">
      <c r="A1704" s="8" t="s">
        <v>3092</v>
      </c>
      <c r="B1704" s="8" t="s">
        <v>120</v>
      </c>
      <c r="C1704" s="8" t="s">
        <v>3004</v>
      </c>
      <c r="D1704" s="8">
        <v>6</v>
      </c>
      <c r="E1704" s="8" t="s">
        <v>3091</v>
      </c>
      <c r="F1704" s="8" t="s">
        <v>378</v>
      </c>
      <c r="G1704" s="8" t="s">
        <v>3006</v>
      </c>
      <c r="H1704" s="10">
        <v>96</v>
      </c>
      <c r="I1704" s="10"/>
      <c r="J1704" s="10">
        <v>96</v>
      </c>
      <c r="K1704" s="10">
        <v>193.54</v>
      </c>
    </row>
    <row r="1705" spans="1:11" x14ac:dyDescent="0.25">
      <c r="A1705" s="8" t="s">
        <v>3093</v>
      </c>
      <c r="B1705" s="8" t="s">
        <v>132</v>
      </c>
      <c r="C1705" s="8" t="s">
        <v>3004</v>
      </c>
      <c r="D1705" s="8">
        <v>6</v>
      </c>
      <c r="E1705" s="8" t="s">
        <v>3091</v>
      </c>
      <c r="F1705" s="8" t="s">
        <v>378</v>
      </c>
      <c r="G1705" s="8" t="s">
        <v>3006</v>
      </c>
      <c r="H1705" s="10">
        <v>6</v>
      </c>
      <c r="I1705" s="10"/>
      <c r="J1705" s="10">
        <v>6</v>
      </c>
      <c r="K1705" s="10">
        <v>193.54</v>
      </c>
    </row>
    <row r="1706" spans="1:11" x14ac:dyDescent="0.25">
      <c r="A1706" s="8" t="s">
        <v>3094</v>
      </c>
      <c r="B1706" s="8" t="s">
        <v>118</v>
      </c>
      <c r="C1706" s="8" t="s">
        <v>3004</v>
      </c>
      <c r="D1706" s="8">
        <v>6</v>
      </c>
      <c r="E1706" s="8" t="s">
        <v>3095</v>
      </c>
      <c r="F1706" s="8" t="s">
        <v>378</v>
      </c>
      <c r="G1706" s="8" t="s">
        <v>3006</v>
      </c>
      <c r="H1706" s="10">
        <v>12</v>
      </c>
      <c r="I1706" s="10"/>
      <c r="J1706" s="10">
        <v>12</v>
      </c>
      <c r="K1706" s="10">
        <v>234.67</v>
      </c>
    </row>
    <row r="1707" spans="1:11" x14ac:dyDescent="0.25">
      <c r="A1707" s="8" t="s">
        <v>3096</v>
      </c>
      <c r="B1707" s="8" t="s">
        <v>120</v>
      </c>
      <c r="C1707" s="8" t="s">
        <v>3004</v>
      </c>
      <c r="D1707" s="8">
        <v>6</v>
      </c>
      <c r="E1707" s="8" t="s">
        <v>3095</v>
      </c>
      <c r="F1707" s="8" t="s">
        <v>378</v>
      </c>
      <c r="G1707" s="8" t="s">
        <v>3006</v>
      </c>
      <c r="H1707" s="10">
        <v>72</v>
      </c>
      <c r="I1707" s="10"/>
      <c r="J1707" s="10">
        <v>72</v>
      </c>
      <c r="K1707" s="10">
        <v>234.67</v>
      </c>
    </row>
    <row r="1708" spans="1:11" x14ac:dyDescent="0.25">
      <c r="A1708" s="8" t="s">
        <v>3097</v>
      </c>
      <c r="B1708" s="8" t="s">
        <v>949</v>
      </c>
      <c r="C1708" s="8" t="s">
        <v>3004</v>
      </c>
      <c r="D1708" s="8">
        <v>6</v>
      </c>
      <c r="E1708" s="8" t="s">
        <v>3095</v>
      </c>
      <c r="F1708" s="8" t="s">
        <v>378</v>
      </c>
      <c r="G1708" s="8" t="s">
        <v>3006</v>
      </c>
      <c r="H1708" s="10">
        <v>36</v>
      </c>
      <c r="I1708" s="10"/>
      <c r="J1708" s="10">
        <v>36</v>
      </c>
      <c r="K1708" s="10">
        <v>234.67</v>
      </c>
    </row>
    <row r="1709" spans="1:11" x14ac:dyDescent="0.25">
      <c r="A1709" s="8" t="s">
        <v>3098</v>
      </c>
      <c r="B1709" s="8" t="s">
        <v>118</v>
      </c>
      <c r="C1709" s="8" t="s">
        <v>3004</v>
      </c>
      <c r="D1709" s="8">
        <v>6</v>
      </c>
      <c r="E1709" s="8" t="s">
        <v>3099</v>
      </c>
      <c r="F1709" s="8" t="s">
        <v>378</v>
      </c>
      <c r="G1709" s="8" t="s">
        <v>3006</v>
      </c>
      <c r="H1709" s="10">
        <v>66</v>
      </c>
      <c r="I1709" s="10"/>
      <c r="J1709" s="10">
        <v>66</v>
      </c>
      <c r="K1709" s="10">
        <v>291.69</v>
      </c>
    </row>
    <row r="1710" spans="1:11" x14ac:dyDescent="0.25">
      <c r="A1710" s="8" t="s">
        <v>3100</v>
      </c>
      <c r="B1710" s="8" t="s">
        <v>120</v>
      </c>
      <c r="C1710" s="8" t="s">
        <v>3004</v>
      </c>
      <c r="D1710" s="8">
        <v>6</v>
      </c>
      <c r="E1710" s="8" t="s">
        <v>3099</v>
      </c>
      <c r="F1710" s="8" t="s">
        <v>378</v>
      </c>
      <c r="G1710" s="8" t="s">
        <v>3006</v>
      </c>
      <c r="H1710" s="10">
        <v>282</v>
      </c>
      <c r="I1710" s="10"/>
      <c r="J1710" s="10">
        <v>282</v>
      </c>
      <c r="K1710" s="10">
        <v>291.69</v>
      </c>
    </row>
    <row r="1711" spans="1:11" x14ac:dyDescent="0.25">
      <c r="A1711" s="8" t="s">
        <v>3101</v>
      </c>
      <c r="B1711" s="8" t="s">
        <v>132</v>
      </c>
      <c r="C1711" s="8" t="s">
        <v>3004</v>
      </c>
      <c r="D1711" s="8">
        <v>6</v>
      </c>
      <c r="E1711" s="8" t="s">
        <v>3099</v>
      </c>
      <c r="F1711" s="8" t="s">
        <v>378</v>
      </c>
      <c r="G1711" s="8" t="s">
        <v>3006</v>
      </c>
      <c r="H1711" s="10">
        <v>18</v>
      </c>
      <c r="I1711" s="10"/>
      <c r="J1711" s="10">
        <v>18</v>
      </c>
      <c r="K1711" s="10">
        <v>291.69</v>
      </c>
    </row>
    <row r="1712" spans="1:11" x14ac:dyDescent="0.25">
      <c r="A1712" s="8" t="s">
        <v>3102</v>
      </c>
      <c r="B1712" s="8" t="s">
        <v>132</v>
      </c>
      <c r="C1712" s="8" t="s">
        <v>3004</v>
      </c>
      <c r="D1712" s="8">
        <v>6</v>
      </c>
      <c r="E1712" s="8" t="s">
        <v>3103</v>
      </c>
      <c r="F1712" s="8" t="s">
        <v>378</v>
      </c>
      <c r="G1712" s="8" t="s">
        <v>3006</v>
      </c>
      <c r="H1712" s="10">
        <v>54</v>
      </c>
      <c r="I1712" s="10"/>
      <c r="J1712" s="10">
        <v>54</v>
      </c>
      <c r="K1712" s="10">
        <v>376.71</v>
      </c>
    </row>
    <row r="1713" spans="1:11" x14ac:dyDescent="0.25">
      <c r="A1713" s="8" t="s">
        <v>3104</v>
      </c>
      <c r="B1713" s="8" t="s">
        <v>118</v>
      </c>
      <c r="C1713" s="8" t="s">
        <v>3004</v>
      </c>
      <c r="D1713" s="8">
        <v>6</v>
      </c>
      <c r="E1713" s="8" t="s">
        <v>3105</v>
      </c>
      <c r="F1713" s="8" t="s">
        <v>378</v>
      </c>
      <c r="G1713" s="8" t="s">
        <v>3006</v>
      </c>
      <c r="H1713" s="10">
        <v>36</v>
      </c>
      <c r="I1713" s="10"/>
      <c r="J1713" s="10">
        <v>36</v>
      </c>
      <c r="K1713" s="10">
        <v>423.42</v>
      </c>
    </row>
    <row r="1714" spans="1:11" x14ac:dyDescent="0.25">
      <c r="A1714" s="8" t="s">
        <v>3106</v>
      </c>
      <c r="B1714" s="8" t="s">
        <v>120</v>
      </c>
      <c r="C1714" s="8" t="s">
        <v>3004</v>
      </c>
      <c r="D1714" s="8">
        <v>6</v>
      </c>
      <c r="E1714" s="8" t="s">
        <v>3105</v>
      </c>
      <c r="F1714" s="8" t="s">
        <v>378</v>
      </c>
      <c r="G1714" s="8" t="s">
        <v>3006</v>
      </c>
      <c r="H1714" s="10">
        <v>42</v>
      </c>
      <c r="I1714" s="10"/>
      <c r="J1714" s="10">
        <v>42</v>
      </c>
      <c r="K1714" s="10">
        <v>423.42</v>
      </c>
    </row>
    <row r="1715" spans="1:11" x14ac:dyDescent="0.25">
      <c r="A1715" s="8" t="s">
        <v>3107</v>
      </c>
      <c r="B1715" s="8" t="s">
        <v>136</v>
      </c>
      <c r="C1715" s="8" t="s">
        <v>3004</v>
      </c>
      <c r="D1715" s="8">
        <v>6</v>
      </c>
      <c r="E1715" s="8" t="s">
        <v>3108</v>
      </c>
      <c r="F1715" s="8" t="s">
        <v>378</v>
      </c>
      <c r="G1715" s="8" t="s">
        <v>3006</v>
      </c>
      <c r="H1715" s="10">
        <v>12</v>
      </c>
      <c r="I1715" s="10"/>
      <c r="J1715" s="10">
        <v>12</v>
      </c>
      <c r="K1715" s="10">
        <v>423.42</v>
      </c>
    </row>
    <row r="1716" spans="1:11" x14ac:dyDescent="0.25">
      <c r="A1716" s="8" t="s">
        <v>3109</v>
      </c>
      <c r="B1716" s="8" t="s">
        <v>136</v>
      </c>
      <c r="C1716" s="8" t="s">
        <v>3004</v>
      </c>
      <c r="D1716" s="8">
        <v>6</v>
      </c>
      <c r="E1716" s="8" t="s">
        <v>3110</v>
      </c>
      <c r="F1716" s="8" t="s">
        <v>378</v>
      </c>
      <c r="G1716" s="8" t="s">
        <v>3006</v>
      </c>
      <c r="H1716" s="10">
        <v>72</v>
      </c>
      <c r="I1716" s="10"/>
      <c r="J1716" s="10">
        <v>72</v>
      </c>
      <c r="K1716" s="10">
        <v>534.16999999999996</v>
      </c>
    </row>
    <row r="1717" spans="1:11" x14ac:dyDescent="0.25">
      <c r="A1717" s="8" t="s">
        <v>3111</v>
      </c>
      <c r="B1717" s="8" t="s">
        <v>122</v>
      </c>
      <c r="C1717" s="8" t="s">
        <v>3004</v>
      </c>
      <c r="D1717" s="8">
        <v>6</v>
      </c>
      <c r="E1717" s="8" t="s">
        <v>3112</v>
      </c>
      <c r="F1717" s="8" t="s">
        <v>378</v>
      </c>
      <c r="G1717" s="8" t="s">
        <v>3006</v>
      </c>
      <c r="H1717" s="10">
        <v>222</v>
      </c>
      <c r="I1717" s="10"/>
      <c r="J1717" s="10">
        <v>222</v>
      </c>
      <c r="K1717" s="10">
        <v>772.97</v>
      </c>
    </row>
    <row r="1718" spans="1:11" x14ac:dyDescent="0.25">
      <c r="A1718" s="8" t="s">
        <v>3113</v>
      </c>
      <c r="B1718" s="8" t="s">
        <v>124</v>
      </c>
      <c r="C1718" s="8" t="s">
        <v>3004</v>
      </c>
      <c r="D1718" s="8">
        <v>6</v>
      </c>
      <c r="E1718" s="8" t="s">
        <v>3112</v>
      </c>
      <c r="F1718" s="8" t="s">
        <v>378</v>
      </c>
      <c r="G1718" s="8" t="s">
        <v>3006</v>
      </c>
      <c r="H1718" s="10">
        <v>588</v>
      </c>
      <c r="I1718" s="10"/>
      <c r="J1718" s="10">
        <v>588</v>
      </c>
      <c r="K1718" s="10">
        <v>672.6</v>
      </c>
    </row>
    <row r="1719" spans="1:11" x14ac:dyDescent="0.25">
      <c r="A1719" s="8" t="s">
        <v>3114</v>
      </c>
      <c r="B1719" s="8" t="s">
        <v>78</v>
      </c>
      <c r="C1719" s="8" t="s">
        <v>3004</v>
      </c>
      <c r="D1719" s="8">
        <v>6</v>
      </c>
      <c r="E1719" s="8" t="s">
        <v>3112</v>
      </c>
      <c r="F1719" s="8" t="s">
        <v>378</v>
      </c>
      <c r="G1719" s="8" t="s">
        <v>3006</v>
      </c>
      <c r="H1719" s="10">
        <v>90</v>
      </c>
      <c r="I1719" s="10"/>
      <c r="J1719" s="10">
        <v>90</v>
      </c>
      <c r="K1719" s="10">
        <v>672.6</v>
      </c>
    </row>
    <row r="1720" spans="1:11" x14ac:dyDescent="0.25">
      <c r="A1720" s="8" t="s">
        <v>3115</v>
      </c>
      <c r="B1720" s="8" t="s">
        <v>128</v>
      </c>
      <c r="C1720" s="8" t="s">
        <v>3004</v>
      </c>
      <c r="D1720" s="8">
        <v>6</v>
      </c>
      <c r="E1720" s="8" t="s">
        <v>3112</v>
      </c>
      <c r="F1720" s="8" t="s">
        <v>378</v>
      </c>
      <c r="G1720" s="8" t="s">
        <v>3006</v>
      </c>
      <c r="H1720" s="10">
        <v>30</v>
      </c>
      <c r="I1720" s="10"/>
      <c r="J1720" s="10">
        <v>30</v>
      </c>
      <c r="K1720" s="10">
        <v>672.6</v>
      </c>
    </row>
    <row r="1721" spans="1:11" x14ac:dyDescent="0.25">
      <c r="A1721" s="8" t="s">
        <v>3116</v>
      </c>
      <c r="B1721" s="8" t="s">
        <v>134</v>
      </c>
      <c r="C1721" s="8" t="s">
        <v>3004</v>
      </c>
      <c r="D1721" s="8">
        <v>6</v>
      </c>
      <c r="E1721" s="8" t="s">
        <v>3112</v>
      </c>
      <c r="F1721" s="8" t="s">
        <v>378</v>
      </c>
      <c r="G1721" s="8" t="s">
        <v>3006</v>
      </c>
      <c r="H1721" s="10">
        <v>36</v>
      </c>
      <c r="I1721" s="10"/>
      <c r="J1721" s="10">
        <v>36</v>
      </c>
      <c r="K1721" s="10">
        <v>672.6</v>
      </c>
    </row>
    <row r="1722" spans="1:11" x14ac:dyDescent="0.25">
      <c r="A1722" s="8" t="s">
        <v>3117</v>
      </c>
      <c r="B1722" s="8" t="s">
        <v>2627</v>
      </c>
      <c r="C1722" s="8" t="s">
        <v>3004</v>
      </c>
      <c r="D1722" s="8">
        <v>6</v>
      </c>
      <c r="E1722" s="8" t="s">
        <v>3112</v>
      </c>
      <c r="F1722" s="8" t="s">
        <v>378</v>
      </c>
      <c r="G1722" s="8" t="s">
        <v>3006</v>
      </c>
      <c r="H1722" s="10">
        <v>354</v>
      </c>
      <c r="I1722" s="10"/>
      <c r="J1722" s="10">
        <v>354</v>
      </c>
      <c r="K1722" s="10">
        <v>672.6</v>
      </c>
    </row>
    <row r="1723" spans="1:11" x14ac:dyDescent="0.25">
      <c r="A1723" s="8" t="s">
        <v>3118</v>
      </c>
      <c r="B1723" s="8" t="s">
        <v>72</v>
      </c>
      <c r="C1723" s="8" t="s">
        <v>3059</v>
      </c>
      <c r="D1723" s="8">
        <v>5</v>
      </c>
      <c r="E1723" s="8" t="s">
        <v>3119</v>
      </c>
      <c r="F1723" s="8" t="s">
        <v>378</v>
      </c>
      <c r="G1723" s="8" t="s">
        <v>3061</v>
      </c>
      <c r="H1723" s="10">
        <v>90</v>
      </c>
      <c r="I1723" s="10"/>
      <c r="J1723" s="10">
        <v>90</v>
      </c>
      <c r="K1723" s="10">
        <v>676.2</v>
      </c>
    </row>
    <row r="1724" spans="1:11" x14ac:dyDescent="0.25">
      <c r="A1724" s="8" t="s">
        <v>3120</v>
      </c>
      <c r="B1724" s="8" t="s">
        <v>122</v>
      </c>
      <c r="C1724" s="8" t="s">
        <v>3059</v>
      </c>
      <c r="D1724" s="8">
        <v>5</v>
      </c>
      <c r="E1724" s="8" t="s">
        <v>3119</v>
      </c>
      <c r="F1724" s="8" t="s">
        <v>378</v>
      </c>
      <c r="G1724" s="8" t="s">
        <v>3061</v>
      </c>
      <c r="H1724" s="10">
        <v>6</v>
      </c>
      <c r="I1724" s="10"/>
      <c r="J1724" s="10">
        <v>6</v>
      </c>
      <c r="K1724" s="10">
        <v>676.2</v>
      </c>
    </row>
    <row r="1725" spans="1:11" x14ac:dyDescent="0.25">
      <c r="A1725" s="8" t="s">
        <v>3121</v>
      </c>
      <c r="B1725" s="8" t="s">
        <v>124</v>
      </c>
      <c r="C1725" s="8" t="s">
        <v>3059</v>
      </c>
      <c r="D1725" s="8">
        <v>5</v>
      </c>
      <c r="E1725" s="8" t="s">
        <v>3119</v>
      </c>
      <c r="F1725" s="8" t="s">
        <v>378</v>
      </c>
      <c r="G1725" s="8" t="s">
        <v>3061</v>
      </c>
      <c r="H1725" s="10">
        <v>186</v>
      </c>
      <c r="I1725" s="10"/>
      <c r="J1725" s="10">
        <v>186</v>
      </c>
      <c r="K1725" s="10">
        <v>676.2</v>
      </c>
    </row>
    <row r="1726" spans="1:11" x14ac:dyDescent="0.25">
      <c r="A1726" s="8" t="s">
        <v>3122</v>
      </c>
      <c r="B1726" s="8" t="s">
        <v>78</v>
      </c>
      <c r="C1726" s="8" t="s">
        <v>3059</v>
      </c>
      <c r="D1726" s="8">
        <v>5</v>
      </c>
      <c r="E1726" s="8" t="s">
        <v>3119</v>
      </c>
      <c r="F1726" s="8" t="s">
        <v>378</v>
      </c>
      <c r="G1726" s="8" t="s">
        <v>3061</v>
      </c>
      <c r="H1726" s="10">
        <v>186</v>
      </c>
      <c r="I1726" s="10"/>
      <c r="J1726" s="10">
        <v>186</v>
      </c>
      <c r="K1726" s="10">
        <v>676.2</v>
      </c>
    </row>
    <row r="1727" spans="1:11" x14ac:dyDescent="0.25">
      <c r="A1727" s="8" t="s">
        <v>3123</v>
      </c>
      <c r="B1727" s="8" t="s">
        <v>128</v>
      </c>
      <c r="C1727" s="8" t="s">
        <v>3059</v>
      </c>
      <c r="D1727" s="8">
        <v>5</v>
      </c>
      <c r="E1727" s="8" t="s">
        <v>3119</v>
      </c>
      <c r="F1727" s="8" t="s">
        <v>378</v>
      </c>
      <c r="G1727" s="8" t="s">
        <v>3061</v>
      </c>
      <c r="H1727" s="10">
        <v>78</v>
      </c>
      <c r="I1727" s="10"/>
      <c r="J1727" s="10">
        <v>78</v>
      </c>
      <c r="K1727" s="10">
        <v>676.2</v>
      </c>
    </row>
    <row r="1728" spans="1:11" x14ac:dyDescent="0.25">
      <c r="A1728" s="8" t="s">
        <v>3124</v>
      </c>
      <c r="B1728" s="8" t="s">
        <v>134</v>
      </c>
      <c r="C1728" s="8" t="s">
        <v>3059</v>
      </c>
      <c r="D1728" s="8">
        <v>5</v>
      </c>
      <c r="E1728" s="8" t="s">
        <v>3119</v>
      </c>
      <c r="F1728" s="8" t="s">
        <v>378</v>
      </c>
      <c r="G1728" s="8" t="s">
        <v>3061</v>
      </c>
      <c r="H1728" s="10">
        <v>6</v>
      </c>
      <c r="I1728" s="10"/>
      <c r="J1728" s="10">
        <v>6</v>
      </c>
      <c r="K1728" s="10">
        <v>676.2</v>
      </c>
    </row>
    <row r="1729" spans="1:11" x14ac:dyDescent="0.25">
      <c r="A1729" s="8" t="s">
        <v>3125</v>
      </c>
      <c r="B1729" s="8" t="s">
        <v>136</v>
      </c>
      <c r="C1729" s="8" t="s">
        <v>3059</v>
      </c>
      <c r="D1729" s="8">
        <v>5</v>
      </c>
      <c r="E1729" s="8" t="s">
        <v>3119</v>
      </c>
      <c r="F1729" s="8" t="s">
        <v>378</v>
      </c>
      <c r="G1729" s="8" t="s">
        <v>3061</v>
      </c>
      <c r="H1729" s="10">
        <v>42</v>
      </c>
      <c r="I1729" s="10"/>
      <c r="J1729" s="10">
        <v>42</v>
      </c>
      <c r="K1729" s="10">
        <v>676.2</v>
      </c>
    </row>
    <row r="1730" spans="1:11" x14ac:dyDescent="0.25">
      <c r="A1730" s="8" t="s">
        <v>3126</v>
      </c>
      <c r="B1730" s="8" t="s">
        <v>2627</v>
      </c>
      <c r="C1730" s="8" t="s">
        <v>3059</v>
      </c>
      <c r="D1730" s="8">
        <v>5</v>
      </c>
      <c r="E1730" s="8" t="s">
        <v>3119</v>
      </c>
      <c r="F1730" s="8" t="s">
        <v>378</v>
      </c>
      <c r="G1730" s="8" t="s">
        <v>3061</v>
      </c>
      <c r="H1730" s="10">
        <v>384</v>
      </c>
      <c r="I1730" s="10"/>
      <c r="J1730" s="10">
        <v>384</v>
      </c>
      <c r="K1730" s="10">
        <v>676.2</v>
      </c>
    </row>
    <row r="1731" spans="1:11" x14ac:dyDescent="0.25">
      <c r="A1731" s="8" t="s">
        <v>3127</v>
      </c>
      <c r="B1731" s="8" t="s">
        <v>72</v>
      </c>
      <c r="C1731" s="8" t="s">
        <v>3059</v>
      </c>
      <c r="D1731" s="8">
        <v>5</v>
      </c>
      <c r="E1731" s="8" t="s">
        <v>3128</v>
      </c>
      <c r="F1731" s="8" t="s">
        <v>378</v>
      </c>
      <c r="G1731" s="8" t="s">
        <v>3061</v>
      </c>
      <c r="H1731" s="10">
        <v>66</v>
      </c>
      <c r="I1731" s="10"/>
      <c r="J1731" s="10">
        <v>66</v>
      </c>
      <c r="K1731" s="10">
        <v>831.41</v>
      </c>
    </row>
    <row r="1732" spans="1:11" x14ac:dyDescent="0.25">
      <c r="A1732" s="8" t="s">
        <v>3129</v>
      </c>
      <c r="B1732" s="8" t="s">
        <v>124</v>
      </c>
      <c r="C1732" s="8" t="s">
        <v>3059</v>
      </c>
      <c r="D1732" s="8">
        <v>5</v>
      </c>
      <c r="E1732" s="8" t="s">
        <v>3128</v>
      </c>
      <c r="F1732" s="8" t="s">
        <v>378</v>
      </c>
      <c r="G1732" s="8" t="s">
        <v>3061</v>
      </c>
      <c r="H1732" s="10">
        <v>36</v>
      </c>
      <c r="I1732" s="10"/>
      <c r="J1732" s="10">
        <v>36</v>
      </c>
      <c r="K1732" s="10">
        <v>831.41</v>
      </c>
    </row>
    <row r="1733" spans="1:11" x14ac:dyDescent="0.25">
      <c r="A1733" s="8" t="s">
        <v>3130</v>
      </c>
      <c r="B1733" s="8" t="s">
        <v>78</v>
      </c>
      <c r="C1733" s="8" t="s">
        <v>3059</v>
      </c>
      <c r="D1733" s="8">
        <v>5</v>
      </c>
      <c r="E1733" s="8" t="s">
        <v>3128</v>
      </c>
      <c r="F1733" s="8" t="s">
        <v>378</v>
      </c>
      <c r="G1733" s="8" t="s">
        <v>3061</v>
      </c>
      <c r="H1733" s="10">
        <v>102</v>
      </c>
      <c r="I1733" s="10"/>
      <c r="J1733" s="10">
        <v>102</v>
      </c>
      <c r="K1733" s="10">
        <v>831.41</v>
      </c>
    </row>
    <row r="1734" spans="1:11" x14ac:dyDescent="0.25">
      <c r="A1734" s="8" t="s">
        <v>3131</v>
      </c>
      <c r="B1734" s="8" t="s">
        <v>128</v>
      </c>
      <c r="C1734" s="8" t="s">
        <v>3059</v>
      </c>
      <c r="D1734" s="8">
        <v>5</v>
      </c>
      <c r="E1734" s="8" t="s">
        <v>3128</v>
      </c>
      <c r="F1734" s="8" t="s">
        <v>378</v>
      </c>
      <c r="G1734" s="8" t="s">
        <v>3061</v>
      </c>
      <c r="H1734" s="10">
        <v>18</v>
      </c>
      <c r="I1734" s="10"/>
      <c r="J1734" s="10">
        <v>18</v>
      </c>
      <c r="K1734" s="10">
        <v>831.41</v>
      </c>
    </row>
    <row r="1735" spans="1:11" x14ac:dyDescent="0.25">
      <c r="A1735" s="8" t="s">
        <v>3132</v>
      </c>
      <c r="B1735" s="8" t="s">
        <v>2627</v>
      </c>
      <c r="C1735" s="8" t="s">
        <v>3059</v>
      </c>
      <c r="D1735" s="8">
        <v>5</v>
      </c>
      <c r="E1735" s="8" t="s">
        <v>3128</v>
      </c>
      <c r="F1735" s="8" t="s">
        <v>378</v>
      </c>
      <c r="G1735" s="8" t="s">
        <v>3061</v>
      </c>
      <c r="H1735" s="10">
        <v>180</v>
      </c>
      <c r="I1735" s="10"/>
      <c r="J1735" s="10">
        <v>180</v>
      </c>
      <c r="K1735" s="10">
        <v>831.41</v>
      </c>
    </row>
    <row r="1736" spans="1:11" x14ac:dyDescent="0.25">
      <c r="A1736" s="8" t="s">
        <v>3133</v>
      </c>
      <c r="B1736" s="8" t="s">
        <v>122</v>
      </c>
      <c r="C1736" s="8" t="s">
        <v>3059</v>
      </c>
      <c r="D1736" s="8">
        <v>5</v>
      </c>
      <c r="E1736" s="8" t="s">
        <v>3134</v>
      </c>
      <c r="F1736" s="8" t="s">
        <v>378</v>
      </c>
      <c r="G1736" s="8" t="s">
        <v>3061</v>
      </c>
      <c r="H1736" s="10">
        <v>36</v>
      </c>
      <c r="I1736" s="10"/>
      <c r="J1736" s="10">
        <v>36</v>
      </c>
      <c r="K1736" s="10">
        <v>1512.01</v>
      </c>
    </row>
    <row r="1737" spans="1:11" x14ac:dyDescent="0.25">
      <c r="A1737" s="8" t="s">
        <v>3135</v>
      </c>
      <c r="B1737" s="8" t="s">
        <v>124</v>
      </c>
      <c r="C1737" s="8" t="s">
        <v>3059</v>
      </c>
      <c r="D1737" s="8">
        <v>5</v>
      </c>
      <c r="E1737" s="8" t="s">
        <v>3134</v>
      </c>
      <c r="F1737" s="8" t="s">
        <v>378</v>
      </c>
      <c r="G1737" s="8" t="s">
        <v>3061</v>
      </c>
      <c r="H1737" s="10">
        <v>18</v>
      </c>
      <c r="I1737" s="10"/>
      <c r="J1737" s="10">
        <v>18</v>
      </c>
      <c r="K1737" s="10">
        <v>1104.83</v>
      </c>
    </row>
    <row r="1738" spans="1:11" x14ac:dyDescent="0.25">
      <c r="A1738" s="8" t="s">
        <v>3136</v>
      </c>
      <c r="B1738" s="8" t="s">
        <v>78</v>
      </c>
      <c r="C1738" s="8" t="s">
        <v>3059</v>
      </c>
      <c r="D1738" s="8">
        <v>5</v>
      </c>
      <c r="E1738" s="8" t="s">
        <v>3134</v>
      </c>
      <c r="F1738" s="8" t="s">
        <v>378</v>
      </c>
      <c r="G1738" s="8" t="s">
        <v>3061</v>
      </c>
      <c r="H1738" s="10">
        <v>30</v>
      </c>
      <c r="I1738" s="10"/>
      <c r="J1738" s="10">
        <v>30</v>
      </c>
      <c r="K1738" s="10">
        <v>1104.83</v>
      </c>
    </row>
    <row r="1739" spans="1:11" x14ac:dyDescent="0.25">
      <c r="A1739" s="8" t="s">
        <v>3137</v>
      </c>
      <c r="B1739" s="8" t="s">
        <v>2627</v>
      </c>
      <c r="C1739" s="8" t="s">
        <v>3059</v>
      </c>
      <c r="D1739" s="8">
        <v>5</v>
      </c>
      <c r="E1739" s="8" t="s">
        <v>3134</v>
      </c>
      <c r="F1739" s="8" t="s">
        <v>378</v>
      </c>
      <c r="G1739" s="8" t="s">
        <v>3061</v>
      </c>
      <c r="H1739" s="10">
        <v>12</v>
      </c>
      <c r="I1739" s="10"/>
      <c r="J1739" s="10">
        <v>12</v>
      </c>
      <c r="K1739" s="10">
        <v>1104.83</v>
      </c>
    </row>
    <row r="1740" spans="1:11" x14ac:dyDescent="0.25">
      <c r="A1740" s="8" t="s">
        <v>3138</v>
      </c>
      <c r="B1740" s="8" t="s">
        <v>124</v>
      </c>
      <c r="C1740" s="8" t="s">
        <v>3059</v>
      </c>
      <c r="D1740" s="8">
        <v>5</v>
      </c>
      <c r="E1740" s="8" t="s">
        <v>3139</v>
      </c>
      <c r="F1740" s="8" t="s">
        <v>378</v>
      </c>
      <c r="G1740" s="8" t="s">
        <v>3061</v>
      </c>
      <c r="H1740" s="10">
        <v>162</v>
      </c>
      <c r="I1740" s="10"/>
      <c r="J1740" s="10">
        <v>162</v>
      </c>
      <c r="K1740" s="10">
        <v>1262.1500000000001</v>
      </c>
    </row>
    <row r="1741" spans="1:11" x14ac:dyDescent="0.25">
      <c r="A1741" s="8" t="s">
        <v>3140</v>
      </c>
      <c r="B1741" s="8" t="s">
        <v>128</v>
      </c>
      <c r="C1741" s="8" t="s">
        <v>3059</v>
      </c>
      <c r="D1741" s="8">
        <v>5</v>
      </c>
      <c r="E1741" s="8" t="s">
        <v>3139</v>
      </c>
      <c r="F1741" s="8" t="s">
        <v>378</v>
      </c>
      <c r="G1741" s="8" t="s">
        <v>3061</v>
      </c>
      <c r="H1741" s="10">
        <v>12</v>
      </c>
      <c r="I1741" s="10"/>
      <c r="J1741" s="10">
        <v>12</v>
      </c>
      <c r="K1741" s="10">
        <v>1262.1500000000001</v>
      </c>
    </row>
    <row r="1742" spans="1:11" x14ac:dyDescent="0.25">
      <c r="A1742" s="8" t="s">
        <v>3141</v>
      </c>
      <c r="B1742" s="8" t="s">
        <v>136</v>
      </c>
      <c r="C1742" s="8" t="s">
        <v>3059</v>
      </c>
      <c r="D1742" s="8">
        <v>5</v>
      </c>
      <c r="E1742" s="8" t="s">
        <v>3139</v>
      </c>
      <c r="F1742" s="8" t="s">
        <v>378</v>
      </c>
      <c r="G1742" s="8" t="s">
        <v>3061</v>
      </c>
      <c r="H1742" s="10">
        <v>54</v>
      </c>
      <c r="I1742" s="10"/>
      <c r="J1742" s="10">
        <v>54</v>
      </c>
      <c r="K1742" s="10">
        <v>1262.1500000000001</v>
      </c>
    </row>
    <row r="1743" spans="1:11" x14ac:dyDescent="0.25">
      <c r="A1743" s="8" t="s">
        <v>3142</v>
      </c>
      <c r="B1743" s="8" t="s">
        <v>122</v>
      </c>
      <c r="C1743" s="8" t="s">
        <v>3059</v>
      </c>
      <c r="D1743" s="8">
        <v>5</v>
      </c>
      <c r="E1743" s="8" t="s">
        <v>3143</v>
      </c>
      <c r="F1743" s="8" t="s">
        <v>378</v>
      </c>
      <c r="G1743" s="8" t="s">
        <v>3061</v>
      </c>
      <c r="H1743" s="10">
        <v>12</v>
      </c>
      <c r="I1743" s="10"/>
      <c r="J1743" s="10">
        <v>12</v>
      </c>
      <c r="K1743" s="10">
        <v>1464.01</v>
      </c>
    </row>
    <row r="1744" spans="1:11" x14ac:dyDescent="0.25">
      <c r="A1744" s="8" t="s">
        <v>3144</v>
      </c>
      <c r="B1744" s="8" t="s">
        <v>124</v>
      </c>
      <c r="C1744" s="8" t="s">
        <v>3059</v>
      </c>
      <c r="D1744" s="8">
        <v>5</v>
      </c>
      <c r="E1744" s="8" t="s">
        <v>3143</v>
      </c>
      <c r="F1744" s="8" t="s">
        <v>378</v>
      </c>
      <c r="G1744" s="8" t="s">
        <v>3061</v>
      </c>
      <c r="H1744" s="10">
        <v>6</v>
      </c>
      <c r="I1744" s="10"/>
      <c r="J1744" s="10">
        <v>6</v>
      </c>
      <c r="K1744" s="10">
        <v>1464.01</v>
      </c>
    </row>
    <row r="1745" spans="1:11" x14ac:dyDescent="0.25">
      <c r="A1745" s="8" t="s">
        <v>3145</v>
      </c>
      <c r="B1745" s="8" t="s">
        <v>78</v>
      </c>
      <c r="C1745" s="8" t="s">
        <v>3059</v>
      </c>
      <c r="D1745" s="8">
        <v>5</v>
      </c>
      <c r="E1745" s="8" t="s">
        <v>3143</v>
      </c>
      <c r="F1745" s="8" t="s">
        <v>378</v>
      </c>
      <c r="G1745" s="8" t="s">
        <v>3061</v>
      </c>
      <c r="H1745" s="10">
        <v>40</v>
      </c>
      <c r="I1745" s="10"/>
      <c r="J1745" s="10">
        <v>40</v>
      </c>
      <c r="K1745" s="10">
        <v>1464.01</v>
      </c>
    </row>
    <row r="1746" spans="1:11" x14ac:dyDescent="0.25">
      <c r="A1746" s="8" t="s">
        <v>3146</v>
      </c>
      <c r="B1746" s="8" t="s">
        <v>2627</v>
      </c>
      <c r="C1746" s="8" t="s">
        <v>3059</v>
      </c>
      <c r="D1746" s="8">
        <v>5</v>
      </c>
      <c r="E1746" s="8" t="s">
        <v>3143</v>
      </c>
      <c r="F1746" s="8" t="s">
        <v>378</v>
      </c>
      <c r="G1746" s="8" t="s">
        <v>3061</v>
      </c>
      <c r="H1746" s="10">
        <v>18</v>
      </c>
      <c r="I1746" s="10"/>
      <c r="J1746" s="10">
        <v>18</v>
      </c>
      <c r="K1746" s="10">
        <v>1464.01</v>
      </c>
    </row>
    <row r="1747" spans="1:11" x14ac:dyDescent="0.25">
      <c r="A1747" s="8" t="s">
        <v>3147</v>
      </c>
      <c r="B1747" s="8" t="s">
        <v>124</v>
      </c>
      <c r="C1747" s="8" t="s">
        <v>3059</v>
      </c>
      <c r="D1747" s="8">
        <v>5</v>
      </c>
      <c r="E1747" s="8" t="s">
        <v>3148</v>
      </c>
      <c r="F1747" s="8" t="s">
        <v>378</v>
      </c>
      <c r="G1747" s="8" t="s">
        <v>3061</v>
      </c>
      <c r="H1747" s="10">
        <v>6</v>
      </c>
      <c r="I1747" s="10"/>
      <c r="J1747" s="10">
        <v>6</v>
      </c>
      <c r="K1747" s="10">
        <v>1753.91</v>
      </c>
    </row>
    <row r="1748" spans="1:11" x14ac:dyDescent="0.25">
      <c r="A1748" s="8" t="s">
        <v>3149</v>
      </c>
      <c r="B1748" s="8" t="s">
        <v>2627</v>
      </c>
      <c r="C1748" s="8" t="s">
        <v>3059</v>
      </c>
      <c r="D1748" s="8">
        <v>5</v>
      </c>
      <c r="E1748" s="8" t="s">
        <v>3148</v>
      </c>
      <c r="F1748" s="8" t="s">
        <v>378</v>
      </c>
      <c r="G1748" s="8" t="s">
        <v>3061</v>
      </c>
      <c r="H1748" s="10">
        <v>138</v>
      </c>
      <c r="I1748" s="10"/>
      <c r="J1748" s="10">
        <v>138</v>
      </c>
      <c r="K1748" s="10">
        <v>1753.91</v>
      </c>
    </row>
    <row r="1749" spans="1:11" x14ac:dyDescent="0.25">
      <c r="A1749" s="8" t="s">
        <v>3150</v>
      </c>
      <c r="B1749" s="8" t="s">
        <v>72</v>
      </c>
      <c r="C1749" s="8" t="s">
        <v>3059</v>
      </c>
      <c r="D1749" s="8">
        <v>5</v>
      </c>
      <c r="E1749" s="8" t="s">
        <v>3151</v>
      </c>
      <c r="F1749" s="8" t="s">
        <v>378</v>
      </c>
      <c r="G1749" s="8" t="s">
        <v>3061</v>
      </c>
      <c r="H1749" s="10">
        <v>42</v>
      </c>
      <c r="I1749" s="10"/>
      <c r="J1749" s="10">
        <v>42</v>
      </c>
      <c r="K1749" s="10">
        <v>1981.5</v>
      </c>
    </row>
    <row r="1750" spans="1:11" x14ac:dyDescent="0.25">
      <c r="A1750" s="8" t="s">
        <v>3152</v>
      </c>
      <c r="B1750" s="8" t="s">
        <v>122</v>
      </c>
      <c r="C1750" s="8" t="s">
        <v>3059</v>
      </c>
      <c r="D1750" s="8">
        <v>5</v>
      </c>
      <c r="E1750" s="8" t="s">
        <v>3151</v>
      </c>
      <c r="F1750" s="8" t="s">
        <v>378</v>
      </c>
      <c r="G1750" s="8" t="s">
        <v>3061</v>
      </c>
      <c r="H1750" s="10">
        <v>102</v>
      </c>
      <c r="I1750" s="10"/>
      <c r="J1750" s="10">
        <v>102</v>
      </c>
      <c r="K1750" s="10">
        <v>2809.3</v>
      </c>
    </row>
    <row r="1751" spans="1:11" x14ac:dyDescent="0.25">
      <c r="A1751" s="8" t="s">
        <v>3153</v>
      </c>
      <c r="B1751" s="8" t="s">
        <v>124</v>
      </c>
      <c r="C1751" s="8" t="s">
        <v>3059</v>
      </c>
      <c r="D1751" s="8">
        <v>5</v>
      </c>
      <c r="E1751" s="8" t="s">
        <v>3151</v>
      </c>
      <c r="F1751" s="8" t="s">
        <v>378</v>
      </c>
      <c r="G1751" s="8" t="s">
        <v>3061</v>
      </c>
      <c r="H1751" s="10">
        <v>90</v>
      </c>
      <c r="I1751" s="10"/>
      <c r="J1751" s="10">
        <v>90</v>
      </c>
      <c r="K1751" s="10">
        <v>1981.5</v>
      </c>
    </row>
    <row r="1752" spans="1:11" x14ac:dyDescent="0.25">
      <c r="A1752" s="8" t="s">
        <v>3154</v>
      </c>
      <c r="B1752" s="8" t="s">
        <v>2627</v>
      </c>
      <c r="C1752" s="8" t="s">
        <v>3059</v>
      </c>
      <c r="D1752" s="8">
        <v>5</v>
      </c>
      <c r="E1752" s="8" t="s">
        <v>3151</v>
      </c>
      <c r="F1752" s="8" t="s">
        <v>378</v>
      </c>
      <c r="G1752" s="8" t="s">
        <v>3061</v>
      </c>
      <c r="H1752" s="10">
        <v>30</v>
      </c>
      <c r="I1752" s="10"/>
      <c r="J1752" s="10">
        <v>30</v>
      </c>
      <c r="K1752" s="10">
        <v>1981.5</v>
      </c>
    </row>
    <row r="1753" spans="1:11" x14ac:dyDescent="0.25">
      <c r="A1753" s="8" t="s">
        <v>3155</v>
      </c>
      <c r="B1753" s="8" t="s">
        <v>122</v>
      </c>
      <c r="C1753" s="8" t="s">
        <v>3059</v>
      </c>
      <c r="D1753" s="8">
        <v>5</v>
      </c>
      <c r="E1753" s="8" t="s">
        <v>3156</v>
      </c>
      <c r="F1753" s="8" t="s">
        <v>378</v>
      </c>
      <c r="G1753" s="8" t="s">
        <v>3061</v>
      </c>
      <c r="H1753" s="10">
        <v>66</v>
      </c>
      <c r="I1753" s="10"/>
      <c r="J1753" s="10">
        <v>66</v>
      </c>
      <c r="K1753" s="10">
        <v>2008.69</v>
      </c>
    </row>
    <row r="1754" spans="1:11" x14ac:dyDescent="0.25">
      <c r="A1754" s="8" t="s">
        <v>3157</v>
      </c>
      <c r="B1754" s="8" t="s">
        <v>124</v>
      </c>
      <c r="C1754" s="8" t="s">
        <v>3059</v>
      </c>
      <c r="D1754" s="8">
        <v>5</v>
      </c>
      <c r="E1754" s="8" t="s">
        <v>3156</v>
      </c>
      <c r="F1754" s="8" t="s">
        <v>378</v>
      </c>
      <c r="G1754" s="8" t="s">
        <v>3061</v>
      </c>
      <c r="H1754" s="10">
        <v>114</v>
      </c>
      <c r="I1754" s="10"/>
      <c r="J1754" s="10">
        <v>114</v>
      </c>
      <c r="K1754" s="10">
        <v>2216.9499999999998</v>
      </c>
    </row>
    <row r="1755" spans="1:11" x14ac:dyDescent="0.25">
      <c r="A1755" s="8" t="s">
        <v>3158</v>
      </c>
      <c r="B1755" s="8" t="s">
        <v>122</v>
      </c>
      <c r="C1755" s="8" t="s">
        <v>3059</v>
      </c>
      <c r="D1755" s="8">
        <v>5</v>
      </c>
      <c r="E1755" s="8" t="s">
        <v>3159</v>
      </c>
      <c r="F1755" s="8" t="s">
        <v>378</v>
      </c>
      <c r="G1755" s="8" t="s">
        <v>3061</v>
      </c>
      <c r="H1755" s="10">
        <v>30</v>
      </c>
      <c r="I1755" s="10"/>
      <c r="J1755" s="10">
        <v>30</v>
      </c>
      <c r="K1755" s="10">
        <v>2622.11</v>
      </c>
    </row>
    <row r="1756" spans="1:11" x14ac:dyDescent="0.25">
      <c r="A1756" s="8" t="s">
        <v>3160</v>
      </c>
      <c r="B1756" s="8" t="s">
        <v>124</v>
      </c>
      <c r="C1756" s="8" t="s">
        <v>3059</v>
      </c>
      <c r="D1756" s="8">
        <v>5</v>
      </c>
      <c r="E1756" s="8" t="s">
        <v>3159</v>
      </c>
      <c r="F1756" s="8" t="s">
        <v>378</v>
      </c>
      <c r="G1756" s="8" t="s">
        <v>3061</v>
      </c>
      <c r="H1756" s="10">
        <v>84</v>
      </c>
      <c r="I1756" s="10"/>
      <c r="J1756" s="10">
        <v>84</v>
      </c>
      <c r="K1756" s="10">
        <v>2622.11</v>
      </c>
    </row>
    <row r="1757" spans="1:11" x14ac:dyDescent="0.25">
      <c r="A1757" s="8" t="s">
        <v>3161</v>
      </c>
      <c r="B1757" s="8" t="s">
        <v>2627</v>
      </c>
      <c r="C1757" s="8" t="s">
        <v>3059</v>
      </c>
      <c r="D1757" s="8">
        <v>5</v>
      </c>
      <c r="E1757" s="8" t="s">
        <v>3159</v>
      </c>
      <c r="F1757" s="8" t="s">
        <v>378</v>
      </c>
      <c r="G1757" s="8" t="s">
        <v>3061</v>
      </c>
      <c r="H1757" s="10">
        <v>18</v>
      </c>
      <c r="I1757" s="10"/>
      <c r="J1757" s="10">
        <v>18</v>
      </c>
      <c r="K1757" s="10">
        <v>2622.11</v>
      </c>
    </row>
    <row r="1758" spans="1:11" x14ac:dyDescent="0.25">
      <c r="A1758" s="8" t="s">
        <v>3162</v>
      </c>
      <c r="B1758" s="8" t="s">
        <v>132</v>
      </c>
      <c r="C1758" s="8" t="s">
        <v>3059</v>
      </c>
      <c r="D1758" s="8">
        <v>5</v>
      </c>
      <c r="E1758" s="8" t="s">
        <v>3163</v>
      </c>
      <c r="F1758" s="8" t="s">
        <v>378</v>
      </c>
      <c r="G1758" s="8" t="s">
        <v>3061</v>
      </c>
      <c r="H1758" s="10">
        <v>18</v>
      </c>
      <c r="I1758" s="10"/>
      <c r="J1758" s="10">
        <v>18</v>
      </c>
      <c r="K1758" s="10">
        <v>353.85</v>
      </c>
    </row>
    <row r="1759" spans="1:11" x14ac:dyDescent="0.25">
      <c r="A1759" s="8" t="s">
        <v>3164</v>
      </c>
      <c r="B1759" s="8" t="s">
        <v>263</v>
      </c>
      <c r="C1759" s="8" t="s">
        <v>3059</v>
      </c>
      <c r="D1759" s="8">
        <v>5</v>
      </c>
      <c r="E1759" s="8" t="s">
        <v>3165</v>
      </c>
      <c r="F1759" s="8" t="s">
        <v>378</v>
      </c>
      <c r="G1759" s="8" t="s">
        <v>3061</v>
      </c>
      <c r="H1759" s="10">
        <v>18</v>
      </c>
      <c r="I1759" s="10"/>
      <c r="J1759" s="10">
        <v>18</v>
      </c>
      <c r="K1759" s="10">
        <v>701.01</v>
      </c>
    </row>
    <row r="1760" spans="1:11" x14ac:dyDescent="0.25">
      <c r="A1760" s="8" t="s">
        <v>3166</v>
      </c>
      <c r="B1760" s="8" t="s">
        <v>269</v>
      </c>
      <c r="C1760" s="8" t="s">
        <v>3059</v>
      </c>
      <c r="D1760" s="8">
        <v>5</v>
      </c>
      <c r="E1760" s="8" t="s">
        <v>3165</v>
      </c>
      <c r="F1760" s="8" t="s">
        <v>378</v>
      </c>
      <c r="G1760" s="8" t="s">
        <v>3061</v>
      </c>
      <c r="H1760" s="10">
        <v>12</v>
      </c>
      <c r="I1760" s="10"/>
      <c r="J1760" s="10">
        <v>12</v>
      </c>
      <c r="K1760" s="10">
        <v>701.01</v>
      </c>
    </row>
    <row r="1761" spans="1:11" x14ac:dyDescent="0.25">
      <c r="A1761" s="8" t="s">
        <v>3167</v>
      </c>
      <c r="B1761" s="8" t="s">
        <v>263</v>
      </c>
      <c r="C1761" s="8" t="s">
        <v>3059</v>
      </c>
      <c r="D1761" s="8">
        <v>5</v>
      </c>
      <c r="E1761" s="8" t="s">
        <v>370</v>
      </c>
      <c r="F1761" s="8" t="s">
        <v>378</v>
      </c>
      <c r="G1761" s="8" t="s">
        <v>3061</v>
      </c>
      <c r="H1761" s="10">
        <v>48</v>
      </c>
      <c r="I1761" s="10"/>
      <c r="J1761" s="10">
        <v>48</v>
      </c>
      <c r="K1761" s="10">
        <v>1202.5899999999999</v>
      </c>
    </row>
    <row r="1762" spans="1:11" x14ac:dyDescent="0.25">
      <c r="A1762" s="8" t="s">
        <v>3168</v>
      </c>
      <c r="B1762" s="8" t="s">
        <v>269</v>
      </c>
      <c r="C1762" s="8" t="s">
        <v>3059</v>
      </c>
      <c r="D1762" s="8">
        <v>5</v>
      </c>
      <c r="E1762" s="8" t="s">
        <v>370</v>
      </c>
      <c r="F1762" s="8" t="s">
        <v>378</v>
      </c>
      <c r="G1762" s="8" t="s">
        <v>3061</v>
      </c>
      <c r="H1762" s="10">
        <v>42</v>
      </c>
      <c r="I1762" s="10"/>
      <c r="J1762" s="10">
        <v>42</v>
      </c>
      <c r="K1762" s="10">
        <v>1202.5899999999999</v>
      </c>
    </row>
    <row r="1763" spans="1:11" x14ac:dyDescent="0.25">
      <c r="A1763" s="8" t="s">
        <v>3169</v>
      </c>
      <c r="B1763" s="8" t="s">
        <v>263</v>
      </c>
      <c r="C1763" s="8" t="s">
        <v>3059</v>
      </c>
      <c r="D1763" s="8">
        <v>5</v>
      </c>
      <c r="E1763" s="8" t="s">
        <v>364</v>
      </c>
      <c r="F1763" s="8" t="s">
        <v>378</v>
      </c>
      <c r="G1763" s="8" t="s">
        <v>3061</v>
      </c>
      <c r="H1763" s="10">
        <v>36</v>
      </c>
      <c r="I1763" s="10"/>
      <c r="J1763" s="10">
        <v>36</v>
      </c>
      <c r="K1763" s="10">
        <v>1623.4</v>
      </c>
    </row>
    <row r="1764" spans="1:11" x14ac:dyDescent="0.25">
      <c r="A1764" s="8" t="s">
        <v>3170</v>
      </c>
      <c r="B1764" s="8" t="s">
        <v>269</v>
      </c>
      <c r="C1764" s="8" t="s">
        <v>3059</v>
      </c>
      <c r="D1764" s="8">
        <v>5</v>
      </c>
      <c r="E1764" s="8" t="s">
        <v>364</v>
      </c>
      <c r="F1764" s="8" t="s">
        <v>378</v>
      </c>
      <c r="G1764" s="8" t="s">
        <v>3061</v>
      </c>
      <c r="H1764" s="10">
        <v>30</v>
      </c>
      <c r="I1764" s="10"/>
      <c r="J1764" s="10">
        <v>30</v>
      </c>
      <c r="K1764" s="10">
        <v>1623.4</v>
      </c>
    </row>
    <row r="1765" spans="1:11" x14ac:dyDescent="0.25">
      <c r="A1765" s="8" t="s">
        <v>3171</v>
      </c>
      <c r="B1765" s="8" t="s">
        <v>263</v>
      </c>
      <c r="C1765" s="8" t="s">
        <v>3004</v>
      </c>
      <c r="D1765" s="8">
        <v>6</v>
      </c>
      <c r="E1765" s="8" t="s">
        <v>3172</v>
      </c>
      <c r="F1765" s="8" t="s">
        <v>378</v>
      </c>
      <c r="G1765" s="8" t="s">
        <v>3173</v>
      </c>
      <c r="H1765" s="10">
        <v>90</v>
      </c>
      <c r="I1765" s="10"/>
      <c r="J1765" s="10">
        <v>90</v>
      </c>
      <c r="K1765" s="10">
        <v>3942.15</v>
      </c>
    </row>
    <row r="1766" spans="1:11" x14ac:dyDescent="0.25">
      <c r="A1766" s="8" t="s">
        <v>3174</v>
      </c>
      <c r="B1766" s="8" t="s">
        <v>269</v>
      </c>
      <c r="C1766" s="8" t="s">
        <v>3004</v>
      </c>
      <c r="D1766" s="8">
        <v>6</v>
      </c>
      <c r="E1766" s="8" t="s">
        <v>3172</v>
      </c>
      <c r="F1766" s="8" t="s">
        <v>378</v>
      </c>
      <c r="G1766" s="8" t="s">
        <v>3173</v>
      </c>
      <c r="H1766" s="10">
        <v>84</v>
      </c>
      <c r="I1766" s="10"/>
      <c r="J1766" s="10">
        <v>84</v>
      </c>
      <c r="K1766" s="10">
        <v>3942.15</v>
      </c>
    </row>
    <row r="1767" spans="1:11" x14ac:dyDescent="0.25">
      <c r="A1767" s="8" t="s">
        <v>3175</v>
      </c>
      <c r="B1767" s="8" t="s">
        <v>118</v>
      </c>
      <c r="C1767" s="8" t="s">
        <v>3059</v>
      </c>
      <c r="D1767" s="8">
        <v>5</v>
      </c>
      <c r="E1767" s="8" t="s">
        <v>3176</v>
      </c>
      <c r="F1767" s="8" t="s">
        <v>378</v>
      </c>
      <c r="G1767" s="8" t="s">
        <v>3061</v>
      </c>
      <c r="H1767" s="10">
        <v>24</v>
      </c>
      <c r="I1767" s="10"/>
      <c r="J1767" s="10">
        <v>24</v>
      </c>
      <c r="K1767" s="10">
        <v>186.52</v>
      </c>
    </row>
    <row r="1768" spans="1:11" x14ac:dyDescent="0.25">
      <c r="A1768" s="8" t="s">
        <v>3177</v>
      </c>
      <c r="B1768" s="8" t="s">
        <v>120</v>
      </c>
      <c r="C1768" s="8" t="s">
        <v>3059</v>
      </c>
      <c r="D1768" s="8">
        <v>5</v>
      </c>
      <c r="E1768" s="8" t="s">
        <v>3176</v>
      </c>
      <c r="F1768" s="8" t="s">
        <v>378</v>
      </c>
      <c r="G1768" s="8" t="s">
        <v>3061</v>
      </c>
      <c r="H1768" s="10">
        <v>72</v>
      </c>
      <c r="I1768" s="10"/>
      <c r="J1768" s="10">
        <v>72</v>
      </c>
      <c r="K1768" s="10">
        <v>186.52</v>
      </c>
    </row>
    <row r="1769" spans="1:11" x14ac:dyDescent="0.25">
      <c r="A1769" s="8" t="s">
        <v>3178</v>
      </c>
      <c r="B1769" s="8" t="s">
        <v>118</v>
      </c>
      <c r="C1769" s="8" t="s">
        <v>3059</v>
      </c>
      <c r="D1769" s="8">
        <v>5</v>
      </c>
      <c r="E1769" s="8" t="s">
        <v>3179</v>
      </c>
      <c r="F1769" s="8" t="s">
        <v>378</v>
      </c>
      <c r="G1769" s="8" t="s">
        <v>3061</v>
      </c>
      <c r="H1769" s="10">
        <v>6</v>
      </c>
      <c r="I1769" s="10"/>
      <c r="J1769" s="10">
        <v>6</v>
      </c>
      <c r="K1769" s="10">
        <v>262.17</v>
      </c>
    </row>
    <row r="1770" spans="1:11" x14ac:dyDescent="0.25">
      <c r="A1770" s="8" t="s">
        <v>3180</v>
      </c>
      <c r="B1770" s="8" t="s">
        <v>120</v>
      </c>
      <c r="C1770" s="8" t="s">
        <v>3059</v>
      </c>
      <c r="D1770" s="8">
        <v>5</v>
      </c>
      <c r="E1770" s="8" t="s">
        <v>3179</v>
      </c>
      <c r="F1770" s="8" t="s">
        <v>378</v>
      </c>
      <c r="G1770" s="8" t="s">
        <v>3061</v>
      </c>
      <c r="H1770" s="10">
        <v>6</v>
      </c>
      <c r="I1770" s="10"/>
      <c r="J1770" s="10">
        <v>6</v>
      </c>
      <c r="K1770" s="10">
        <v>262.17</v>
      </c>
    </row>
    <row r="1771" spans="1:11" x14ac:dyDescent="0.25">
      <c r="A1771" s="8" t="s">
        <v>3181</v>
      </c>
      <c r="B1771" s="8" t="s">
        <v>122</v>
      </c>
      <c r="C1771" s="8" t="s">
        <v>3059</v>
      </c>
      <c r="D1771" s="8">
        <v>5</v>
      </c>
      <c r="E1771" s="8" t="s">
        <v>3179</v>
      </c>
      <c r="F1771" s="8" t="s">
        <v>378</v>
      </c>
      <c r="G1771" s="8" t="s">
        <v>3061</v>
      </c>
      <c r="H1771" s="10">
        <v>30</v>
      </c>
      <c r="I1771" s="10"/>
      <c r="J1771" s="10">
        <v>30</v>
      </c>
      <c r="K1771" s="10">
        <v>262.17</v>
      </c>
    </row>
    <row r="1772" spans="1:11" x14ac:dyDescent="0.25">
      <c r="A1772" s="8" t="s">
        <v>3182</v>
      </c>
      <c r="B1772" s="8" t="s">
        <v>124</v>
      </c>
      <c r="C1772" s="8" t="s">
        <v>3059</v>
      </c>
      <c r="D1772" s="8">
        <v>5</v>
      </c>
      <c r="E1772" s="8" t="s">
        <v>3179</v>
      </c>
      <c r="F1772" s="8" t="s">
        <v>378</v>
      </c>
      <c r="G1772" s="8" t="s">
        <v>3061</v>
      </c>
      <c r="H1772" s="10">
        <v>150</v>
      </c>
      <c r="I1772" s="10"/>
      <c r="J1772" s="10">
        <v>150</v>
      </c>
      <c r="K1772" s="10">
        <v>262.17</v>
      </c>
    </row>
    <row r="1773" spans="1:11" x14ac:dyDescent="0.25">
      <c r="A1773" s="8" t="s">
        <v>3183</v>
      </c>
      <c r="B1773" s="8" t="s">
        <v>78</v>
      </c>
      <c r="C1773" s="8" t="s">
        <v>3059</v>
      </c>
      <c r="D1773" s="8">
        <v>5</v>
      </c>
      <c r="E1773" s="8" t="s">
        <v>3179</v>
      </c>
      <c r="F1773" s="8" t="s">
        <v>378</v>
      </c>
      <c r="G1773" s="8" t="s">
        <v>3061</v>
      </c>
      <c r="H1773" s="10">
        <v>102</v>
      </c>
      <c r="I1773" s="10"/>
      <c r="J1773" s="10">
        <v>102</v>
      </c>
      <c r="K1773" s="10">
        <v>262.17</v>
      </c>
    </row>
    <row r="1774" spans="1:11" x14ac:dyDescent="0.25">
      <c r="A1774" s="8" t="s">
        <v>3184</v>
      </c>
      <c r="B1774" s="8" t="s">
        <v>128</v>
      </c>
      <c r="C1774" s="8" t="s">
        <v>3059</v>
      </c>
      <c r="D1774" s="8">
        <v>5</v>
      </c>
      <c r="E1774" s="8" t="s">
        <v>3179</v>
      </c>
      <c r="F1774" s="8" t="s">
        <v>378</v>
      </c>
      <c r="G1774" s="8" t="s">
        <v>3061</v>
      </c>
      <c r="H1774" s="10">
        <v>150</v>
      </c>
      <c r="I1774" s="10"/>
      <c r="J1774" s="10">
        <v>150</v>
      </c>
      <c r="K1774" s="10">
        <v>262.17</v>
      </c>
    </row>
    <row r="1775" spans="1:11" x14ac:dyDescent="0.25">
      <c r="A1775" s="8" t="s">
        <v>3185</v>
      </c>
      <c r="B1775" s="8" t="s">
        <v>949</v>
      </c>
      <c r="C1775" s="8" t="s">
        <v>3059</v>
      </c>
      <c r="D1775" s="8">
        <v>5</v>
      </c>
      <c r="E1775" s="8" t="s">
        <v>3179</v>
      </c>
      <c r="F1775" s="8" t="s">
        <v>378</v>
      </c>
      <c r="G1775" s="8" t="s">
        <v>3061</v>
      </c>
      <c r="H1775" s="10">
        <v>6</v>
      </c>
      <c r="I1775" s="10"/>
      <c r="J1775" s="10">
        <v>6</v>
      </c>
      <c r="K1775" s="10">
        <v>253.6</v>
      </c>
    </row>
    <row r="1776" spans="1:11" x14ac:dyDescent="0.25">
      <c r="A1776" s="8" t="s">
        <v>3186</v>
      </c>
      <c r="B1776" s="8" t="s">
        <v>2627</v>
      </c>
      <c r="C1776" s="8" t="s">
        <v>3059</v>
      </c>
      <c r="D1776" s="8">
        <v>5</v>
      </c>
      <c r="E1776" s="8" t="s">
        <v>3179</v>
      </c>
      <c r="F1776" s="8" t="s">
        <v>378</v>
      </c>
      <c r="G1776" s="8" t="s">
        <v>3061</v>
      </c>
      <c r="H1776" s="10">
        <v>306</v>
      </c>
      <c r="I1776" s="10"/>
      <c r="J1776" s="10">
        <v>306</v>
      </c>
      <c r="K1776" s="10">
        <v>262.17</v>
      </c>
    </row>
    <row r="1777" spans="1:11" x14ac:dyDescent="0.25">
      <c r="A1777" s="8" t="s">
        <v>3187</v>
      </c>
      <c r="B1777" s="8" t="s">
        <v>122</v>
      </c>
      <c r="C1777" s="8" t="s">
        <v>3059</v>
      </c>
      <c r="D1777" s="8">
        <v>5</v>
      </c>
      <c r="E1777" s="8" t="s">
        <v>3188</v>
      </c>
      <c r="F1777" s="8" t="s">
        <v>378</v>
      </c>
      <c r="G1777" s="8" t="s">
        <v>3061</v>
      </c>
      <c r="H1777" s="10">
        <v>114</v>
      </c>
      <c r="I1777" s="10"/>
      <c r="J1777" s="10">
        <v>114</v>
      </c>
      <c r="K1777" s="10">
        <v>447.08</v>
      </c>
    </row>
    <row r="1778" spans="1:11" x14ac:dyDescent="0.25">
      <c r="A1778" s="8" t="s">
        <v>3189</v>
      </c>
      <c r="B1778" s="8" t="s">
        <v>124</v>
      </c>
      <c r="C1778" s="8" t="s">
        <v>3059</v>
      </c>
      <c r="D1778" s="8">
        <v>5</v>
      </c>
      <c r="E1778" s="8" t="s">
        <v>3188</v>
      </c>
      <c r="F1778" s="8" t="s">
        <v>378</v>
      </c>
      <c r="G1778" s="8" t="s">
        <v>3061</v>
      </c>
      <c r="H1778" s="10">
        <v>174</v>
      </c>
      <c r="I1778" s="10"/>
      <c r="J1778" s="10">
        <v>174</v>
      </c>
      <c r="K1778" s="10">
        <v>447.08</v>
      </c>
    </row>
    <row r="1779" spans="1:11" x14ac:dyDescent="0.25">
      <c r="A1779" s="8" t="s">
        <v>3190</v>
      </c>
      <c r="B1779" s="8" t="s">
        <v>78</v>
      </c>
      <c r="C1779" s="8" t="s">
        <v>3059</v>
      </c>
      <c r="D1779" s="8">
        <v>5</v>
      </c>
      <c r="E1779" s="8" t="s">
        <v>3188</v>
      </c>
      <c r="F1779" s="8" t="s">
        <v>378</v>
      </c>
      <c r="G1779" s="8" t="s">
        <v>3061</v>
      </c>
      <c r="H1779" s="10">
        <v>6</v>
      </c>
      <c r="I1779" s="10"/>
      <c r="J1779" s="10">
        <v>6</v>
      </c>
      <c r="K1779" s="10">
        <v>447.08</v>
      </c>
    </row>
    <row r="1780" spans="1:11" x14ac:dyDescent="0.25">
      <c r="A1780" s="8" t="s">
        <v>3191</v>
      </c>
      <c r="B1780" s="8" t="s">
        <v>128</v>
      </c>
      <c r="C1780" s="8" t="s">
        <v>3059</v>
      </c>
      <c r="D1780" s="8">
        <v>5</v>
      </c>
      <c r="E1780" s="8" t="s">
        <v>3188</v>
      </c>
      <c r="F1780" s="8" t="s">
        <v>378</v>
      </c>
      <c r="G1780" s="8" t="s">
        <v>3061</v>
      </c>
      <c r="H1780" s="10">
        <v>12</v>
      </c>
      <c r="I1780" s="10"/>
      <c r="J1780" s="10">
        <v>12</v>
      </c>
      <c r="K1780" s="10">
        <v>447.08</v>
      </c>
    </row>
    <row r="1781" spans="1:11" x14ac:dyDescent="0.25">
      <c r="A1781" s="8" t="s">
        <v>3192</v>
      </c>
      <c r="B1781" s="8" t="s">
        <v>2627</v>
      </c>
      <c r="C1781" s="8" t="s">
        <v>3059</v>
      </c>
      <c r="D1781" s="8">
        <v>5</v>
      </c>
      <c r="E1781" s="8" t="s">
        <v>3188</v>
      </c>
      <c r="F1781" s="8" t="s">
        <v>378</v>
      </c>
      <c r="G1781" s="8" t="s">
        <v>3061</v>
      </c>
      <c r="H1781" s="10">
        <v>90</v>
      </c>
      <c r="I1781" s="10"/>
      <c r="J1781" s="10">
        <v>90</v>
      </c>
      <c r="K1781" s="10">
        <v>447.08</v>
      </c>
    </row>
    <row r="1782" spans="1:11" x14ac:dyDescent="0.25">
      <c r="A1782" s="8" t="s">
        <v>3193</v>
      </c>
      <c r="B1782" s="8" t="s">
        <v>72</v>
      </c>
      <c r="C1782" s="8" t="s">
        <v>3059</v>
      </c>
      <c r="D1782" s="8">
        <v>5</v>
      </c>
      <c r="E1782" s="8" t="s">
        <v>3194</v>
      </c>
      <c r="F1782" s="8" t="s">
        <v>378</v>
      </c>
      <c r="G1782" s="8" t="s">
        <v>3061</v>
      </c>
      <c r="H1782" s="10">
        <v>18</v>
      </c>
      <c r="I1782" s="10"/>
      <c r="J1782" s="10">
        <v>18</v>
      </c>
      <c r="K1782" s="10">
        <v>564.19000000000005</v>
      </c>
    </row>
    <row r="1783" spans="1:11" x14ac:dyDescent="0.25">
      <c r="A1783" s="8" t="s">
        <v>3195</v>
      </c>
      <c r="B1783" s="8" t="s">
        <v>120</v>
      </c>
      <c r="C1783" s="8" t="s">
        <v>3059</v>
      </c>
      <c r="D1783" s="8">
        <v>5</v>
      </c>
      <c r="E1783" s="8" t="s">
        <v>3194</v>
      </c>
      <c r="F1783" s="8" t="s">
        <v>378</v>
      </c>
      <c r="G1783" s="8" t="s">
        <v>3061</v>
      </c>
      <c r="H1783" s="10">
        <v>24</v>
      </c>
      <c r="I1783" s="10"/>
      <c r="J1783" s="10">
        <v>24</v>
      </c>
      <c r="K1783" s="10">
        <v>564.19000000000005</v>
      </c>
    </row>
    <row r="1784" spans="1:11" x14ac:dyDescent="0.25">
      <c r="A1784" s="8" t="s">
        <v>3196</v>
      </c>
      <c r="B1784" s="8" t="s">
        <v>122</v>
      </c>
      <c r="C1784" s="8" t="s">
        <v>3059</v>
      </c>
      <c r="D1784" s="8">
        <v>5</v>
      </c>
      <c r="E1784" s="8" t="s">
        <v>3194</v>
      </c>
      <c r="F1784" s="8" t="s">
        <v>378</v>
      </c>
      <c r="G1784" s="8" t="s">
        <v>3061</v>
      </c>
      <c r="H1784" s="10">
        <v>18</v>
      </c>
      <c r="I1784" s="10"/>
      <c r="J1784" s="10">
        <v>18</v>
      </c>
      <c r="K1784" s="10">
        <v>564.19000000000005</v>
      </c>
    </row>
    <row r="1785" spans="1:11" x14ac:dyDescent="0.25">
      <c r="A1785" s="8" t="s">
        <v>3197</v>
      </c>
      <c r="B1785" s="8" t="s">
        <v>124</v>
      </c>
      <c r="C1785" s="8" t="s">
        <v>3059</v>
      </c>
      <c r="D1785" s="8">
        <v>5</v>
      </c>
      <c r="E1785" s="8" t="s">
        <v>3194</v>
      </c>
      <c r="F1785" s="8" t="s">
        <v>378</v>
      </c>
      <c r="G1785" s="8" t="s">
        <v>3061</v>
      </c>
      <c r="H1785" s="10">
        <v>240</v>
      </c>
      <c r="I1785" s="10"/>
      <c r="J1785" s="10">
        <v>240</v>
      </c>
      <c r="K1785" s="10">
        <v>564.19000000000005</v>
      </c>
    </row>
    <row r="1786" spans="1:11" x14ac:dyDescent="0.25">
      <c r="A1786" s="8" t="s">
        <v>3198</v>
      </c>
      <c r="B1786" s="8" t="s">
        <v>78</v>
      </c>
      <c r="C1786" s="8" t="s">
        <v>3059</v>
      </c>
      <c r="D1786" s="8">
        <v>5</v>
      </c>
      <c r="E1786" s="8" t="s">
        <v>3194</v>
      </c>
      <c r="F1786" s="8" t="s">
        <v>378</v>
      </c>
      <c r="G1786" s="8" t="s">
        <v>3061</v>
      </c>
      <c r="H1786" s="10">
        <v>66</v>
      </c>
      <c r="I1786" s="10"/>
      <c r="J1786" s="10">
        <v>66</v>
      </c>
      <c r="K1786" s="10">
        <v>564.19000000000005</v>
      </c>
    </row>
    <row r="1787" spans="1:11" x14ac:dyDescent="0.25">
      <c r="A1787" s="8" t="s">
        <v>3199</v>
      </c>
      <c r="B1787" s="8" t="s">
        <v>128</v>
      </c>
      <c r="C1787" s="8" t="s">
        <v>3059</v>
      </c>
      <c r="D1787" s="8">
        <v>5</v>
      </c>
      <c r="E1787" s="8" t="s">
        <v>3194</v>
      </c>
      <c r="F1787" s="8" t="s">
        <v>378</v>
      </c>
      <c r="G1787" s="8" t="s">
        <v>3061</v>
      </c>
      <c r="H1787" s="10">
        <v>6</v>
      </c>
      <c r="I1787" s="10"/>
      <c r="J1787" s="10">
        <v>6</v>
      </c>
      <c r="K1787" s="10">
        <v>564.19000000000005</v>
      </c>
    </row>
    <row r="1788" spans="1:11" x14ac:dyDescent="0.25">
      <c r="A1788" s="8" t="s">
        <v>3200</v>
      </c>
      <c r="B1788" s="8" t="s">
        <v>949</v>
      </c>
      <c r="C1788" s="8" t="s">
        <v>3059</v>
      </c>
      <c r="D1788" s="8">
        <v>5</v>
      </c>
      <c r="E1788" s="8" t="s">
        <v>3194</v>
      </c>
      <c r="F1788" s="8" t="s">
        <v>378</v>
      </c>
      <c r="G1788" s="8" t="s">
        <v>3061</v>
      </c>
      <c r="H1788" s="10">
        <v>24</v>
      </c>
      <c r="I1788" s="10"/>
      <c r="J1788" s="10">
        <v>24</v>
      </c>
      <c r="K1788" s="10">
        <v>564.19000000000005</v>
      </c>
    </row>
    <row r="1789" spans="1:11" x14ac:dyDescent="0.25">
      <c r="A1789" s="8" t="s">
        <v>3201</v>
      </c>
      <c r="B1789" s="8" t="s">
        <v>72</v>
      </c>
      <c r="C1789" s="8" t="s">
        <v>3059</v>
      </c>
      <c r="D1789" s="8">
        <v>5</v>
      </c>
      <c r="E1789" s="8" t="s">
        <v>3202</v>
      </c>
      <c r="F1789" s="8" t="s">
        <v>378</v>
      </c>
      <c r="G1789" s="8" t="s">
        <v>3061</v>
      </c>
      <c r="H1789" s="10">
        <v>36</v>
      </c>
      <c r="I1789" s="10"/>
      <c r="J1789" s="10">
        <v>36</v>
      </c>
      <c r="K1789" s="10">
        <v>701.01</v>
      </c>
    </row>
    <row r="1790" spans="1:11" x14ac:dyDescent="0.25">
      <c r="A1790" s="8" t="s">
        <v>3203</v>
      </c>
      <c r="B1790" s="8" t="s">
        <v>124</v>
      </c>
      <c r="C1790" s="8" t="s">
        <v>3059</v>
      </c>
      <c r="D1790" s="8">
        <v>5</v>
      </c>
      <c r="E1790" s="8" t="s">
        <v>3202</v>
      </c>
      <c r="F1790" s="8" t="s">
        <v>378</v>
      </c>
      <c r="G1790" s="8" t="s">
        <v>3061</v>
      </c>
      <c r="H1790" s="10">
        <v>54</v>
      </c>
      <c r="I1790" s="10"/>
      <c r="J1790" s="10">
        <v>54</v>
      </c>
      <c r="K1790" s="10">
        <v>701.01</v>
      </c>
    </row>
    <row r="1791" spans="1:11" x14ac:dyDescent="0.25">
      <c r="A1791" s="8" t="s">
        <v>3204</v>
      </c>
      <c r="B1791" s="8" t="s">
        <v>78</v>
      </c>
      <c r="C1791" s="8" t="s">
        <v>3059</v>
      </c>
      <c r="D1791" s="8">
        <v>5</v>
      </c>
      <c r="E1791" s="8" t="s">
        <v>3202</v>
      </c>
      <c r="F1791" s="8" t="s">
        <v>378</v>
      </c>
      <c r="G1791" s="8" t="s">
        <v>3061</v>
      </c>
      <c r="H1791" s="10">
        <v>180</v>
      </c>
      <c r="I1791" s="10"/>
      <c r="J1791" s="10">
        <v>180</v>
      </c>
      <c r="K1791" s="10">
        <v>701.01</v>
      </c>
    </row>
    <row r="1792" spans="1:11" x14ac:dyDescent="0.25">
      <c r="A1792" s="8" t="s">
        <v>3205</v>
      </c>
      <c r="B1792" s="8" t="s">
        <v>128</v>
      </c>
      <c r="C1792" s="8" t="s">
        <v>3059</v>
      </c>
      <c r="D1792" s="8">
        <v>5</v>
      </c>
      <c r="E1792" s="8" t="s">
        <v>3202</v>
      </c>
      <c r="F1792" s="8" t="s">
        <v>378</v>
      </c>
      <c r="G1792" s="8" t="s">
        <v>3061</v>
      </c>
      <c r="H1792" s="10">
        <v>36</v>
      </c>
      <c r="I1792" s="10"/>
      <c r="J1792" s="10">
        <v>36</v>
      </c>
      <c r="K1792" s="10">
        <v>701.01</v>
      </c>
    </row>
    <row r="1793" spans="1:11" x14ac:dyDescent="0.25">
      <c r="A1793" s="8" t="s">
        <v>3206</v>
      </c>
      <c r="B1793" s="8" t="s">
        <v>122</v>
      </c>
      <c r="C1793" s="8" t="s">
        <v>3059</v>
      </c>
      <c r="D1793" s="8">
        <v>5</v>
      </c>
      <c r="E1793" s="8" t="s">
        <v>3207</v>
      </c>
      <c r="F1793" s="8" t="s">
        <v>378</v>
      </c>
      <c r="G1793" s="8" t="s">
        <v>3061</v>
      </c>
      <c r="H1793" s="10">
        <v>36</v>
      </c>
      <c r="I1793" s="10"/>
      <c r="J1793" s="10">
        <v>36</v>
      </c>
      <c r="K1793" s="10">
        <v>833.34</v>
      </c>
    </row>
    <row r="1794" spans="1:11" x14ac:dyDescent="0.25">
      <c r="A1794" s="8" t="s">
        <v>3208</v>
      </c>
      <c r="B1794" s="8" t="s">
        <v>124</v>
      </c>
      <c r="C1794" s="8" t="s">
        <v>3059</v>
      </c>
      <c r="D1794" s="8">
        <v>5</v>
      </c>
      <c r="E1794" s="8" t="s">
        <v>3207</v>
      </c>
      <c r="F1794" s="8" t="s">
        <v>378</v>
      </c>
      <c r="G1794" s="8" t="s">
        <v>3061</v>
      </c>
      <c r="H1794" s="10">
        <v>210</v>
      </c>
      <c r="I1794" s="10"/>
      <c r="J1794" s="10">
        <v>210</v>
      </c>
      <c r="K1794" s="10">
        <v>833.34</v>
      </c>
    </row>
    <row r="1795" spans="1:11" x14ac:dyDescent="0.25">
      <c r="A1795" s="8" t="s">
        <v>3209</v>
      </c>
      <c r="B1795" s="8" t="s">
        <v>122</v>
      </c>
      <c r="C1795" s="8" t="s">
        <v>3059</v>
      </c>
      <c r="D1795" s="8">
        <v>5</v>
      </c>
      <c r="E1795" s="8" t="s">
        <v>3210</v>
      </c>
      <c r="F1795" s="8" t="s">
        <v>378</v>
      </c>
      <c r="G1795" s="8" t="s">
        <v>3061</v>
      </c>
      <c r="H1795" s="10">
        <v>12</v>
      </c>
      <c r="I1795" s="10"/>
      <c r="J1795" s="10">
        <v>12</v>
      </c>
      <c r="K1795" s="10">
        <v>976.65</v>
      </c>
    </row>
    <row r="1796" spans="1:11" x14ac:dyDescent="0.25">
      <c r="A1796" s="8" t="s">
        <v>3211</v>
      </c>
      <c r="B1796" s="8" t="s">
        <v>124</v>
      </c>
      <c r="C1796" s="8" t="s">
        <v>3059</v>
      </c>
      <c r="D1796" s="8">
        <v>5</v>
      </c>
      <c r="E1796" s="8" t="s">
        <v>3210</v>
      </c>
      <c r="F1796" s="8" t="s">
        <v>378</v>
      </c>
      <c r="G1796" s="8" t="s">
        <v>3061</v>
      </c>
      <c r="H1796" s="10">
        <v>288</v>
      </c>
      <c r="I1796" s="10"/>
      <c r="J1796" s="10">
        <v>288</v>
      </c>
      <c r="K1796" s="10">
        <v>976.65</v>
      </c>
    </row>
    <row r="1797" spans="1:11" x14ac:dyDescent="0.25">
      <c r="A1797" s="8" t="s">
        <v>3212</v>
      </c>
      <c r="B1797" s="8" t="s">
        <v>122</v>
      </c>
      <c r="C1797" s="8" t="s">
        <v>3059</v>
      </c>
      <c r="D1797" s="8">
        <v>5</v>
      </c>
      <c r="E1797" s="8" t="s">
        <v>3213</v>
      </c>
      <c r="F1797" s="8" t="s">
        <v>378</v>
      </c>
      <c r="G1797" s="8" t="s">
        <v>3061</v>
      </c>
      <c r="H1797" s="10">
        <v>198</v>
      </c>
      <c r="I1797" s="10"/>
      <c r="J1797" s="10">
        <v>198</v>
      </c>
      <c r="K1797" s="10">
        <v>842.48</v>
      </c>
    </row>
    <row r="1798" spans="1:11" x14ac:dyDescent="0.25">
      <c r="A1798" s="8" t="s">
        <v>3214</v>
      </c>
      <c r="B1798" s="8" t="s">
        <v>124</v>
      </c>
      <c r="C1798" s="8" t="s">
        <v>3059</v>
      </c>
      <c r="D1798" s="8">
        <v>5</v>
      </c>
      <c r="E1798" s="8" t="s">
        <v>3213</v>
      </c>
      <c r="F1798" s="8" t="s">
        <v>378</v>
      </c>
      <c r="G1798" s="8" t="s">
        <v>3061</v>
      </c>
      <c r="H1798" s="10">
        <v>264</v>
      </c>
      <c r="I1798" s="10"/>
      <c r="J1798" s="10">
        <v>264</v>
      </c>
      <c r="K1798" s="10">
        <v>842.48</v>
      </c>
    </row>
    <row r="1799" spans="1:11" x14ac:dyDescent="0.25">
      <c r="A1799" s="8" t="s">
        <v>3215</v>
      </c>
      <c r="B1799" s="8" t="s">
        <v>2627</v>
      </c>
      <c r="C1799" s="8" t="s">
        <v>3059</v>
      </c>
      <c r="D1799" s="8">
        <v>5</v>
      </c>
      <c r="E1799" s="8" t="s">
        <v>3213</v>
      </c>
      <c r="F1799" s="8" t="s">
        <v>378</v>
      </c>
      <c r="G1799" s="8" t="s">
        <v>3061</v>
      </c>
      <c r="H1799" s="10">
        <v>336</v>
      </c>
      <c r="I1799" s="10"/>
      <c r="J1799" s="10">
        <v>336</v>
      </c>
      <c r="K1799" s="10">
        <v>1155.06</v>
      </c>
    </row>
    <row r="1800" spans="1:11" x14ac:dyDescent="0.25">
      <c r="A1800" s="8" t="s">
        <v>3216</v>
      </c>
      <c r="B1800" s="8" t="s">
        <v>122</v>
      </c>
      <c r="C1800" s="8" t="s">
        <v>3059</v>
      </c>
      <c r="D1800" s="8">
        <v>5</v>
      </c>
      <c r="E1800" s="8" t="s">
        <v>3217</v>
      </c>
      <c r="F1800" s="8" t="s">
        <v>378</v>
      </c>
      <c r="G1800" s="8" t="s">
        <v>3061</v>
      </c>
      <c r="H1800" s="10">
        <v>30</v>
      </c>
      <c r="I1800" s="10"/>
      <c r="J1800" s="10">
        <v>30</v>
      </c>
      <c r="K1800" s="10">
        <v>1315.72</v>
      </c>
    </row>
    <row r="1801" spans="1:11" x14ac:dyDescent="0.25">
      <c r="A1801" s="8" t="s">
        <v>3218</v>
      </c>
      <c r="B1801" s="8" t="s">
        <v>124</v>
      </c>
      <c r="C1801" s="8" t="s">
        <v>3059</v>
      </c>
      <c r="D1801" s="8">
        <v>5</v>
      </c>
      <c r="E1801" s="8" t="s">
        <v>3217</v>
      </c>
      <c r="F1801" s="8" t="s">
        <v>378</v>
      </c>
      <c r="G1801" s="8" t="s">
        <v>3061</v>
      </c>
      <c r="H1801" s="10">
        <v>60</v>
      </c>
      <c r="I1801" s="10"/>
      <c r="J1801" s="10">
        <v>60</v>
      </c>
      <c r="K1801" s="10">
        <v>1315.72</v>
      </c>
    </row>
    <row r="1802" spans="1:11" x14ac:dyDescent="0.25">
      <c r="A1802" s="8" t="s">
        <v>3219</v>
      </c>
      <c r="B1802" s="8" t="s">
        <v>78</v>
      </c>
      <c r="C1802" s="8" t="s">
        <v>3059</v>
      </c>
      <c r="D1802" s="8">
        <v>5</v>
      </c>
      <c r="E1802" s="8" t="s">
        <v>3217</v>
      </c>
      <c r="F1802" s="8" t="s">
        <v>378</v>
      </c>
      <c r="G1802" s="8" t="s">
        <v>3061</v>
      </c>
      <c r="H1802" s="10">
        <v>6</v>
      </c>
      <c r="I1802" s="10"/>
      <c r="J1802" s="10">
        <v>6</v>
      </c>
      <c r="K1802" s="10">
        <v>1315.72</v>
      </c>
    </row>
    <row r="1803" spans="1:11" x14ac:dyDescent="0.25">
      <c r="A1803" s="8" t="s">
        <v>3220</v>
      </c>
      <c r="B1803" s="8" t="s">
        <v>124</v>
      </c>
      <c r="C1803" s="8" t="s">
        <v>3059</v>
      </c>
      <c r="D1803" s="8">
        <v>5</v>
      </c>
      <c r="E1803" s="8" t="s">
        <v>3221</v>
      </c>
      <c r="F1803" s="8" t="s">
        <v>378</v>
      </c>
      <c r="G1803" s="8" t="s">
        <v>3061</v>
      </c>
      <c r="H1803" s="10">
        <v>144</v>
      </c>
      <c r="I1803" s="10"/>
      <c r="J1803" s="10">
        <v>144</v>
      </c>
      <c r="K1803" s="10">
        <v>1491.5</v>
      </c>
    </row>
    <row r="1804" spans="1:11" x14ac:dyDescent="0.25">
      <c r="A1804" s="8" t="s">
        <v>3222</v>
      </c>
      <c r="B1804" s="8" t="s">
        <v>78</v>
      </c>
      <c r="C1804" s="8" t="s">
        <v>3059</v>
      </c>
      <c r="D1804" s="8">
        <v>5</v>
      </c>
      <c r="E1804" s="8" t="s">
        <v>3221</v>
      </c>
      <c r="F1804" s="8" t="s">
        <v>378</v>
      </c>
      <c r="G1804" s="8" t="s">
        <v>3061</v>
      </c>
      <c r="H1804" s="10">
        <v>120</v>
      </c>
      <c r="I1804" s="10"/>
      <c r="J1804" s="10">
        <v>120</v>
      </c>
      <c r="K1804" s="10">
        <v>1491.5</v>
      </c>
    </row>
    <row r="1805" spans="1:11" x14ac:dyDescent="0.25">
      <c r="A1805" s="8" t="s">
        <v>3223</v>
      </c>
      <c r="B1805" s="8" t="s">
        <v>2627</v>
      </c>
      <c r="C1805" s="8" t="s">
        <v>3059</v>
      </c>
      <c r="D1805" s="8">
        <v>5</v>
      </c>
      <c r="E1805" s="8" t="s">
        <v>3221</v>
      </c>
      <c r="F1805" s="8" t="s">
        <v>378</v>
      </c>
      <c r="G1805" s="8" t="s">
        <v>3061</v>
      </c>
      <c r="H1805" s="10">
        <v>306</v>
      </c>
      <c r="I1805" s="10"/>
      <c r="J1805" s="10">
        <v>306</v>
      </c>
      <c r="K1805" s="10">
        <v>1491.5</v>
      </c>
    </row>
    <row r="1806" spans="1:11" x14ac:dyDescent="0.25">
      <c r="A1806" s="8" t="s">
        <v>3224</v>
      </c>
      <c r="B1806" s="8" t="s">
        <v>78</v>
      </c>
      <c r="C1806" s="8" t="s">
        <v>3059</v>
      </c>
      <c r="D1806" s="8">
        <v>5</v>
      </c>
      <c r="E1806" s="8" t="s">
        <v>3225</v>
      </c>
      <c r="F1806" s="8" t="s">
        <v>378</v>
      </c>
      <c r="G1806" s="8" t="s">
        <v>3061</v>
      </c>
      <c r="H1806" s="10">
        <v>42</v>
      </c>
      <c r="I1806" s="10"/>
      <c r="J1806" s="10">
        <v>42</v>
      </c>
      <c r="K1806" s="10">
        <v>1590.78</v>
      </c>
    </row>
    <row r="1807" spans="1:11" x14ac:dyDescent="0.25">
      <c r="A1807" s="8" t="s">
        <v>3226</v>
      </c>
      <c r="B1807" s="8" t="s">
        <v>120</v>
      </c>
      <c r="C1807" s="8" t="s">
        <v>3059</v>
      </c>
      <c r="D1807" s="8">
        <v>5</v>
      </c>
      <c r="E1807" s="8" t="s">
        <v>3227</v>
      </c>
      <c r="F1807" s="8" t="s">
        <v>378</v>
      </c>
      <c r="G1807" s="8" t="s">
        <v>3061</v>
      </c>
      <c r="H1807" s="10">
        <v>84</v>
      </c>
      <c r="I1807" s="10"/>
      <c r="J1807" s="10">
        <v>84</v>
      </c>
      <c r="K1807" s="10">
        <v>1712.19</v>
      </c>
    </row>
    <row r="1808" spans="1:11" x14ac:dyDescent="0.25">
      <c r="A1808" s="8" t="s">
        <v>3228</v>
      </c>
      <c r="B1808" s="8" t="s">
        <v>122</v>
      </c>
      <c r="C1808" s="8" t="s">
        <v>3059</v>
      </c>
      <c r="D1808" s="8">
        <v>5</v>
      </c>
      <c r="E1808" s="8" t="s">
        <v>3227</v>
      </c>
      <c r="F1808" s="8" t="s">
        <v>378</v>
      </c>
      <c r="G1808" s="8" t="s">
        <v>3061</v>
      </c>
      <c r="H1808" s="10">
        <v>18</v>
      </c>
      <c r="I1808" s="10"/>
      <c r="J1808" s="10">
        <v>18</v>
      </c>
      <c r="K1808" s="10">
        <v>1712.19</v>
      </c>
    </row>
    <row r="1809" spans="1:11" x14ac:dyDescent="0.25">
      <c r="A1809" s="8" t="s">
        <v>3229</v>
      </c>
      <c r="B1809" s="8" t="s">
        <v>78</v>
      </c>
      <c r="C1809" s="8" t="s">
        <v>3059</v>
      </c>
      <c r="D1809" s="8">
        <v>5</v>
      </c>
      <c r="E1809" s="8" t="s">
        <v>3227</v>
      </c>
      <c r="F1809" s="8" t="s">
        <v>378</v>
      </c>
      <c r="G1809" s="8" t="s">
        <v>3061</v>
      </c>
      <c r="H1809" s="10">
        <v>6</v>
      </c>
      <c r="I1809" s="10"/>
      <c r="J1809" s="10">
        <v>6</v>
      </c>
      <c r="K1809" s="10">
        <v>1712.19</v>
      </c>
    </row>
    <row r="1810" spans="1:11" x14ac:dyDescent="0.25">
      <c r="A1810" s="8" t="s">
        <v>3230</v>
      </c>
      <c r="B1810" s="8" t="s">
        <v>124</v>
      </c>
      <c r="C1810" s="8" t="s">
        <v>3059</v>
      </c>
      <c r="D1810" s="8">
        <v>5</v>
      </c>
      <c r="E1810" s="8" t="s">
        <v>3231</v>
      </c>
      <c r="F1810" s="8" t="s">
        <v>378</v>
      </c>
      <c r="G1810" s="8" t="s">
        <v>3061</v>
      </c>
      <c r="H1810" s="10">
        <v>6</v>
      </c>
      <c r="I1810" s="10"/>
      <c r="J1810" s="10">
        <v>6</v>
      </c>
      <c r="K1810" s="10">
        <v>1873.95</v>
      </c>
    </row>
    <row r="1811" spans="1:11" x14ac:dyDescent="0.25">
      <c r="A1811" s="8" t="s">
        <v>3232</v>
      </c>
      <c r="B1811" s="8" t="s">
        <v>78</v>
      </c>
      <c r="C1811" s="8" t="s">
        <v>3059</v>
      </c>
      <c r="D1811" s="8">
        <v>5</v>
      </c>
      <c r="E1811" s="8" t="s">
        <v>3233</v>
      </c>
      <c r="F1811" s="8" t="s">
        <v>378</v>
      </c>
      <c r="G1811" s="8" t="s">
        <v>3061</v>
      </c>
      <c r="H1811" s="10">
        <v>6</v>
      </c>
      <c r="I1811" s="10"/>
      <c r="J1811" s="10">
        <v>6</v>
      </c>
      <c r="K1811" s="10">
        <v>1995.36</v>
      </c>
    </row>
    <row r="1812" spans="1:11" x14ac:dyDescent="0.25">
      <c r="A1812" s="8" t="s">
        <v>3234</v>
      </c>
      <c r="B1812" s="8" t="s">
        <v>122</v>
      </c>
      <c r="C1812" s="8" t="s">
        <v>3059</v>
      </c>
      <c r="D1812" s="8">
        <v>5</v>
      </c>
      <c r="E1812" s="8" t="s">
        <v>3235</v>
      </c>
      <c r="F1812" s="8" t="s">
        <v>378</v>
      </c>
      <c r="G1812" s="8" t="s">
        <v>3061</v>
      </c>
      <c r="H1812" s="10">
        <v>12</v>
      </c>
      <c r="I1812" s="10"/>
      <c r="J1812" s="10">
        <v>12</v>
      </c>
      <c r="K1812" s="10">
        <v>2231.87</v>
      </c>
    </row>
    <row r="1813" spans="1:11" x14ac:dyDescent="0.25">
      <c r="A1813" s="8" t="s">
        <v>3236</v>
      </c>
      <c r="B1813" s="8" t="s">
        <v>124</v>
      </c>
      <c r="C1813" s="8" t="s">
        <v>3059</v>
      </c>
      <c r="D1813" s="8">
        <v>5</v>
      </c>
      <c r="E1813" s="8" t="s">
        <v>3235</v>
      </c>
      <c r="F1813" s="8" t="s">
        <v>378</v>
      </c>
      <c r="G1813" s="8" t="s">
        <v>3061</v>
      </c>
      <c r="H1813" s="10">
        <v>6</v>
      </c>
      <c r="I1813" s="10"/>
      <c r="J1813" s="10">
        <v>6</v>
      </c>
      <c r="K1813" s="10">
        <v>2231.87</v>
      </c>
    </row>
    <row r="1814" spans="1:11" x14ac:dyDescent="0.25">
      <c r="A1814" s="8" t="s">
        <v>3237</v>
      </c>
      <c r="B1814" s="8" t="s">
        <v>120</v>
      </c>
      <c r="C1814" s="8" t="s">
        <v>3059</v>
      </c>
      <c r="D1814" s="8">
        <v>5</v>
      </c>
      <c r="E1814" s="8" t="s">
        <v>3238</v>
      </c>
      <c r="F1814" s="8" t="s">
        <v>378</v>
      </c>
      <c r="G1814" s="8" t="s">
        <v>3061</v>
      </c>
      <c r="H1814" s="10">
        <v>12</v>
      </c>
      <c r="I1814" s="10"/>
      <c r="J1814" s="10">
        <v>12</v>
      </c>
      <c r="K1814" s="10">
        <v>2484.17</v>
      </c>
    </row>
    <row r="1815" spans="1:11" x14ac:dyDescent="0.25">
      <c r="A1815" s="8" t="s">
        <v>3239</v>
      </c>
      <c r="B1815" s="8" t="s">
        <v>122</v>
      </c>
      <c r="C1815" s="8" t="s">
        <v>3059</v>
      </c>
      <c r="D1815" s="8">
        <v>5</v>
      </c>
      <c r="E1815" s="8" t="s">
        <v>3240</v>
      </c>
      <c r="F1815" s="8" t="s">
        <v>378</v>
      </c>
      <c r="G1815" s="8" t="s">
        <v>3061</v>
      </c>
      <c r="H1815" s="10">
        <v>18</v>
      </c>
      <c r="I1815" s="10"/>
      <c r="J1815" s="10">
        <v>18</v>
      </c>
      <c r="K1815" s="10">
        <v>3152.39</v>
      </c>
    </row>
    <row r="1816" spans="1:11" x14ac:dyDescent="0.25">
      <c r="A1816" s="8" t="s">
        <v>3241</v>
      </c>
      <c r="B1816" s="8" t="s">
        <v>78</v>
      </c>
      <c r="C1816" s="8" t="s">
        <v>3059</v>
      </c>
      <c r="D1816" s="8">
        <v>5</v>
      </c>
      <c r="E1816" s="8" t="s">
        <v>3240</v>
      </c>
      <c r="F1816" s="8" t="s">
        <v>378</v>
      </c>
      <c r="G1816" s="8" t="s">
        <v>3061</v>
      </c>
      <c r="H1816" s="10">
        <v>72</v>
      </c>
      <c r="I1816" s="10"/>
      <c r="J1816" s="10">
        <v>72</v>
      </c>
      <c r="K1816" s="10">
        <v>3212.64</v>
      </c>
    </row>
    <row r="1817" spans="1:11" x14ac:dyDescent="0.25">
      <c r="A1817" s="8" t="s">
        <v>3242</v>
      </c>
      <c r="B1817" s="8" t="s">
        <v>2627</v>
      </c>
      <c r="C1817" s="8" t="s">
        <v>3059</v>
      </c>
      <c r="D1817" s="8">
        <v>5</v>
      </c>
      <c r="E1817" s="8" t="s">
        <v>3240</v>
      </c>
      <c r="F1817" s="8" t="s">
        <v>378</v>
      </c>
      <c r="G1817" s="8" t="s">
        <v>3061</v>
      </c>
      <c r="H1817" s="10">
        <v>36</v>
      </c>
      <c r="I1817" s="10"/>
      <c r="J1817" s="10">
        <v>36</v>
      </c>
      <c r="K1817" s="10">
        <v>3212.64</v>
      </c>
    </row>
    <row r="1818" spans="1:11" x14ac:dyDescent="0.25">
      <c r="A1818" s="8" t="s">
        <v>3243</v>
      </c>
      <c r="B1818" s="8" t="s">
        <v>122</v>
      </c>
      <c r="C1818" s="8" t="s">
        <v>3059</v>
      </c>
      <c r="D1818" s="8">
        <v>5</v>
      </c>
      <c r="E1818" s="8" t="s">
        <v>3244</v>
      </c>
      <c r="F1818" s="8" t="s">
        <v>378</v>
      </c>
      <c r="G1818" s="8" t="s">
        <v>3061</v>
      </c>
      <c r="H1818" s="10">
        <v>6</v>
      </c>
      <c r="I1818" s="10"/>
      <c r="J1818" s="10">
        <v>6</v>
      </c>
      <c r="K1818" s="10">
        <v>3745.09</v>
      </c>
    </row>
    <row r="1819" spans="1:11" x14ac:dyDescent="0.25">
      <c r="A1819" s="8" t="s">
        <v>3245</v>
      </c>
      <c r="B1819" s="8" t="s">
        <v>128</v>
      </c>
      <c r="C1819" s="8" t="s">
        <v>3246</v>
      </c>
      <c r="D1819" s="8">
        <v>3</v>
      </c>
      <c r="E1819" s="8" t="s">
        <v>3247</v>
      </c>
      <c r="F1819" s="8" t="s">
        <v>378</v>
      </c>
      <c r="G1819" s="8" t="s">
        <v>3248</v>
      </c>
      <c r="H1819" s="10">
        <v>6</v>
      </c>
      <c r="I1819" s="10"/>
      <c r="J1819" s="10">
        <v>6</v>
      </c>
      <c r="K1819" s="10">
        <v>456.19</v>
      </c>
    </row>
    <row r="1820" spans="1:11" x14ac:dyDescent="0.25">
      <c r="A1820" s="8" t="s">
        <v>3249</v>
      </c>
      <c r="B1820" s="8" t="s">
        <v>134</v>
      </c>
      <c r="C1820" s="8" t="s">
        <v>3246</v>
      </c>
      <c r="D1820" s="8">
        <v>3</v>
      </c>
      <c r="E1820" s="8" t="s">
        <v>3247</v>
      </c>
      <c r="F1820" s="8" t="s">
        <v>378</v>
      </c>
      <c r="G1820" s="8" t="s">
        <v>3248</v>
      </c>
      <c r="H1820" s="10">
        <v>30</v>
      </c>
      <c r="I1820" s="10"/>
      <c r="J1820" s="10">
        <v>30</v>
      </c>
      <c r="K1820" s="10">
        <v>456.19</v>
      </c>
    </row>
    <row r="1821" spans="1:11" x14ac:dyDescent="0.25">
      <c r="A1821" s="8" t="s">
        <v>3250</v>
      </c>
      <c r="B1821" s="8" t="s">
        <v>263</v>
      </c>
      <c r="C1821" s="8" t="s">
        <v>3251</v>
      </c>
      <c r="D1821" s="8">
        <v>4</v>
      </c>
      <c r="E1821" s="8" t="s">
        <v>373</v>
      </c>
      <c r="F1821" s="8" t="s">
        <v>378</v>
      </c>
      <c r="G1821" s="8" t="s">
        <v>3252</v>
      </c>
      <c r="H1821" s="10">
        <v>6</v>
      </c>
      <c r="I1821" s="10"/>
      <c r="J1821" s="10">
        <v>6</v>
      </c>
      <c r="K1821" s="10">
        <v>127.2</v>
      </c>
    </row>
    <row r="1822" spans="1:11" x14ac:dyDescent="0.25">
      <c r="A1822" s="8" t="s">
        <v>3253</v>
      </c>
      <c r="B1822" s="8" t="s">
        <v>269</v>
      </c>
      <c r="C1822" s="8" t="s">
        <v>3251</v>
      </c>
      <c r="D1822" s="8">
        <v>4</v>
      </c>
      <c r="E1822" s="8" t="s">
        <v>373</v>
      </c>
      <c r="F1822" s="8" t="s">
        <v>378</v>
      </c>
      <c r="G1822" s="8" t="s">
        <v>3252</v>
      </c>
      <c r="H1822" s="10">
        <v>6</v>
      </c>
      <c r="I1822" s="10"/>
      <c r="J1822" s="10">
        <v>6</v>
      </c>
      <c r="K1822" s="10">
        <v>127.2</v>
      </c>
    </row>
    <row r="1823" spans="1:11" x14ac:dyDescent="0.25">
      <c r="A1823" s="8" t="s">
        <v>3254</v>
      </c>
      <c r="B1823" s="8" t="s">
        <v>120</v>
      </c>
      <c r="C1823" s="8" t="s">
        <v>3246</v>
      </c>
      <c r="D1823" s="8">
        <v>3</v>
      </c>
      <c r="E1823" s="8" t="s">
        <v>3255</v>
      </c>
      <c r="F1823" s="8" t="s">
        <v>378</v>
      </c>
      <c r="G1823" s="8" t="s">
        <v>3248</v>
      </c>
      <c r="H1823" s="10">
        <v>588</v>
      </c>
      <c r="I1823" s="10"/>
      <c r="J1823" s="10">
        <v>588</v>
      </c>
      <c r="K1823" s="10">
        <v>52.6</v>
      </c>
    </row>
    <row r="1824" spans="1:11" x14ac:dyDescent="0.25">
      <c r="A1824" s="8" t="s">
        <v>3256</v>
      </c>
      <c r="B1824" s="8" t="s">
        <v>122</v>
      </c>
      <c r="C1824" s="8" t="s">
        <v>3246</v>
      </c>
      <c r="D1824" s="8">
        <v>3</v>
      </c>
      <c r="E1824" s="8" t="s">
        <v>3255</v>
      </c>
      <c r="F1824" s="8" t="s">
        <v>378</v>
      </c>
      <c r="G1824" s="8" t="s">
        <v>3248</v>
      </c>
      <c r="H1824" s="10">
        <v>396</v>
      </c>
      <c r="I1824" s="10"/>
      <c r="J1824" s="10">
        <v>396</v>
      </c>
      <c r="K1824" s="10">
        <v>52.6</v>
      </c>
    </row>
    <row r="1825" spans="1:11" x14ac:dyDescent="0.25">
      <c r="A1825" s="8" t="s">
        <v>3257</v>
      </c>
      <c r="B1825" s="8" t="s">
        <v>124</v>
      </c>
      <c r="C1825" s="8" t="s">
        <v>3246</v>
      </c>
      <c r="D1825" s="8">
        <v>3</v>
      </c>
      <c r="E1825" s="8" t="s">
        <v>3255</v>
      </c>
      <c r="F1825" s="8" t="s">
        <v>378</v>
      </c>
      <c r="G1825" s="8" t="s">
        <v>3248</v>
      </c>
      <c r="H1825" s="10">
        <v>594</v>
      </c>
      <c r="I1825" s="10"/>
      <c r="J1825" s="10">
        <v>594</v>
      </c>
      <c r="K1825" s="10">
        <v>52.6</v>
      </c>
    </row>
    <row r="1826" spans="1:11" x14ac:dyDescent="0.25">
      <c r="A1826" s="8" t="s">
        <v>3258</v>
      </c>
      <c r="B1826" s="8" t="s">
        <v>134</v>
      </c>
      <c r="C1826" s="8" t="s">
        <v>3246</v>
      </c>
      <c r="D1826" s="8">
        <v>3</v>
      </c>
      <c r="E1826" s="8" t="s">
        <v>3255</v>
      </c>
      <c r="F1826" s="8" t="s">
        <v>378</v>
      </c>
      <c r="G1826" s="8" t="s">
        <v>3248</v>
      </c>
      <c r="H1826" s="10">
        <v>1974</v>
      </c>
      <c r="I1826" s="10"/>
      <c r="J1826" s="10">
        <v>1974</v>
      </c>
      <c r="K1826" s="10">
        <v>52.6</v>
      </c>
    </row>
    <row r="1827" spans="1:11" x14ac:dyDescent="0.25">
      <c r="A1827" s="8" t="s">
        <v>3259</v>
      </c>
      <c r="B1827" s="8" t="s">
        <v>128</v>
      </c>
      <c r="C1827" s="8" t="s">
        <v>3246</v>
      </c>
      <c r="D1827" s="8">
        <v>3</v>
      </c>
      <c r="E1827" s="8" t="s">
        <v>3260</v>
      </c>
      <c r="F1827" s="8" t="s">
        <v>378</v>
      </c>
      <c r="G1827" s="8" t="s">
        <v>3248</v>
      </c>
      <c r="H1827" s="10">
        <v>48</v>
      </c>
      <c r="I1827" s="10"/>
      <c r="J1827" s="10">
        <v>48</v>
      </c>
      <c r="K1827" s="10">
        <v>99.45</v>
      </c>
    </row>
    <row r="1828" spans="1:11" x14ac:dyDescent="0.25">
      <c r="A1828" s="8" t="s">
        <v>3261</v>
      </c>
      <c r="B1828" s="8" t="s">
        <v>134</v>
      </c>
      <c r="C1828" s="8" t="s">
        <v>3246</v>
      </c>
      <c r="D1828" s="8">
        <v>3</v>
      </c>
      <c r="E1828" s="8" t="s">
        <v>3260</v>
      </c>
      <c r="F1828" s="8" t="s">
        <v>378</v>
      </c>
      <c r="G1828" s="8" t="s">
        <v>3248</v>
      </c>
      <c r="H1828" s="10">
        <v>42</v>
      </c>
      <c r="I1828" s="10"/>
      <c r="J1828" s="10">
        <v>42</v>
      </c>
      <c r="K1828" s="10">
        <v>99.45</v>
      </c>
    </row>
    <row r="1829" spans="1:11" x14ac:dyDescent="0.25">
      <c r="A1829" s="8" t="s">
        <v>3262</v>
      </c>
      <c r="B1829" s="8" t="s">
        <v>2627</v>
      </c>
      <c r="C1829" s="8" t="s">
        <v>3246</v>
      </c>
      <c r="D1829" s="8">
        <v>3</v>
      </c>
      <c r="E1829" s="8" t="s">
        <v>3260</v>
      </c>
      <c r="F1829" s="8" t="s">
        <v>378</v>
      </c>
      <c r="G1829" s="8" t="s">
        <v>3248</v>
      </c>
      <c r="H1829" s="10">
        <v>186</v>
      </c>
      <c r="I1829" s="10"/>
      <c r="J1829" s="10">
        <v>186</v>
      </c>
      <c r="K1829" s="10">
        <v>99.45</v>
      </c>
    </row>
    <row r="1830" spans="1:11" x14ac:dyDescent="0.25">
      <c r="A1830" s="8" t="s">
        <v>3263</v>
      </c>
      <c r="B1830" s="8" t="s">
        <v>124</v>
      </c>
      <c r="C1830" s="8" t="s">
        <v>3059</v>
      </c>
      <c r="D1830" s="8">
        <v>5</v>
      </c>
      <c r="E1830" s="8" t="s">
        <v>3264</v>
      </c>
      <c r="F1830" s="8" t="s">
        <v>378</v>
      </c>
      <c r="G1830" s="8" t="s">
        <v>3061</v>
      </c>
      <c r="H1830" s="10">
        <v>6</v>
      </c>
      <c r="I1830" s="10"/>
      <c r="J1830" s="10">
        <v>6</v>
      </c>
      <c r="K1830" s="10">
        <v>2799.34</v>
      </c>
    </row>
    <row r="1831" spans="1:11" x14ac:dyDescent="0.25">
      <c r="A1831" s="8" t="s">
        <v>3265</v>
      </c>
      <c r="B1831" s="8" t="s">
        <v>78</v>
      </c>
      <c r="C1831" s="8" t="s">
        <v>3059</v>
      </c>
      <c r="D1831" s="8">
        <v>5</v>
      </c>
      <c r="E1831" s="8" t="s">
        <v>3266</v>
      </c>
      <c r="F1831" s="8" t="s">
        <v>378</v>
      </c>
      <c r="G1831" s="8" t="s">
        <v>3061</v>
      </c>
      <c r="H1831" s="10">
        <v>12</v>
      </c>
      <c r="I1831" s="10"/>
      <c r="J1831" s="10">
        <v>12</v>
      </c>
      <c r="K1831" s="10">
        <v>2995.37</v>
      </c>
    </row>
    <row r="1832" spans="1:11" x14ac:dyDescent="0.25">
      <c r="A1832" s="8" t="s">
        <v>3267</v>
      </c>
      <c r="B1832" s="8" t="s">
        <v>80</v>
      </c>
      <c r="C1832" s="8" t="s">
        <v>3059</v>
      </c>
      <c r="D1832" s="8">
        <v>5</v>
      </c>
      <c r="E1832" s="8" t="s">
        <v>3266</v>
      </c>
      <c r="F1832" s="8" t="s">
        <v>378</v>
      </c>
      <c r="G1832" s="8" t="s">
        <v>3061</v>
      </c>
      <c r="H1832" s="10">
        <v>6</v>
      </c>
      <c r="I1832" s="10"/>
      <c r="J1832" s="10">
        <v>6</v>
      </c>
      <c r="K1832" s="10">
        <v>2995.37</v>
      </c>
    </row>
    <row r="1833" spans="1:11" x14ac:dyDescent="0.25">
      <c r="A1833" s="8" t="s">
        <v>3268</v>
      </c>
      <c r="B1833" s="8" t="s">
        <v>72</v>
      </c>
      <c r="C1833" s="8" t="s">
        <v>3059</v>
      </c>
      <c r="D1833" s="8">
        <v>5</v>
      </c>
      <c r="E1833" s="8" t="s">
        <v>3269</v>
      </c>
      <c r="F1833" s="8" t="s">
        <v>378</v>
      </c>
      <c r="G1833" s="8" t="s">
        <v>3061</v>
      </c>
      <c r="H1833" s="10">
        <v>42</v>
      </c>
      <c r="I1833" s="10"/>
      <c r="J1833" s="10">
        <v>42</v>
      </c>
      <c r="K1833" s="10">
        <v>3306.51</v>
      </c>
    </row>
    <row r="1834" spans="1:11" x14ac:dyDescent="0.25">
      <c r="A1834" s="8" t="s">
        <v>3270</v>
      </c>
      <c r="B1834" s="8" t="s">
        <v>120</v>
      </c>
      <c r="C1834" s="8" t="s">
        <v>3059</v>
      </c>
      <c r="D1834" s="8">
        <v>5</v>
      </c>
      <c r="E1834" s="8" t="s">
        <v>3269</v>
      </c>
      <c r="F1834" s="8" t="s">
        <v>378</v>
      </c>
      <c r="G1834" s="8" t="s">
        <v>3061</v>
      </c>
      <c r="H1834" s="10">
        <v>102</v>
      </c>
      <c r="I1834" s="10"/>
      <c r="J1834" s="10">
        <v>102</v>
      </c>
      <c r="K1834" s="10">
        <v>3306.51</v>
      </c>
    </row>
    <row r="1835" spans="1:11" x14ac:dyDescent="0.25">
      <c r="A1835" s="8" t="s">
        <v>3271</v>
      </c>
      <c r="B1835" s="8" t="s">
        <v>122</v>
      </c>
      <c r="C1835" s="8" t="s">
        <v>3059</v>
      </c>
      <c r="D1835" s="8">
        <v>5</v>
      </c>
      <c r="E1835" s="8" t="s">
        <v>3269</v>
      </c>
      <c r="F1835" s="8" t="s">
        <v>378</v>
      </c>
      <c r="G1835" s="8" t="s">
        <v>3061</v>
      </c>
      <c r="H1835" s="10">
        <v>114</v>
      </c>
      <c r="I1835" s="10"/>
      <c r="J1835" s="10">
        <v>114</v>
      </c>
      <c r="K1835" s="10">
        <v>4711.63</v>
      </c>
    </row>
    <row r="1836" spans="1:11" x14ac:dyDescent="0.25">
      <c r="A1836" s="8" t="s">
        <v>3272</v>
      </c>
      <c r="B1836" s="8" t="s">
        <v>78</v>
      </c>
      <c r="C1836" s="8" t="s">
        <v>3059</v>
      </c>
      <c r="D1836" s="8">
        <v>5</v>
      </c>
      <c r="E1836" s="8" t="s">
        <v>3269</v>
      </c>
      <c r="F1836" s="8" t="s">
        <v>378</v>
      </c>
      <c r="G1836" s="8" t="s">
        <v>3061</v>
      </c>
      <c r="H1836" s="10">
        <v>12</v>
      </c>
      <c r="I1836" s="10"/>
      <c r="J1836" s="10">
        <v>12</v>
      </c>
      <c r="K1836" s="10">
        <v>3245.77</v>
      </c>
    </row>
    <row r="1837" spans="1:11" x14ac:dyDescent="0.25">
      <c r="A1837" s="8" t="s">
        <v>3273</v>
      </c>
      <c r="B1837" s="8" t="s">
        <v>80</v>
      </c>
      <c r="C1837" s="8" t="s">
        <v>3059</v>
      </c>
      <c r="D1837" s="8">
        <v>5</v>
      </c>
      <c r="E1837" s="8" t="s">
        <v>3269</v>
      </c>
      <c r="F1837" s="8" t="s">
        <v>378</v>
      </c>
      <c r="G1837" s="8" t="s">
        <v>3061</v>
      </c>
      <c r="H1837" s="10">
        <v>24</v>
      </c>
      <c r="I1837" s="10"/>
      <c r="J1837" s="10">
        <v>24</v>
      </c>
      <c r="K1837" s="10">
        <v>3245.77</v>
      </c>
    </row>
    <row r="1838" spans="1:11" x14ac:dyDescent="0.25">
      <c r="A1838" s="8" t="s">
        <v>3274</v>
      </c>
      <c r="B1838" s="8" t="s">
        <v>80</v>
      </c>
      <c r="C1838" s="8" t="s">
        <v>3059</v>
      </c>
      <c r="D1838" s="8">
        <v>5</v>
      </c>
      <c r="E1838" s="8" t="s">
        <v>3275</v>
      </c>
      <c r="F1838" s="8" t="s">
        <v>378</v>
      </c>
      <c r="G1838" s="8" t="s">
        <v>3061</v>
      </c>
      <c r="H1838" s="10">
        <v>60</v>
      </c>
      <c r="I1838" s="10"/>
      <c r="J1838" s="10">
        <v>60</v>
      </c>
      <c r="K1838" s="10">
        <v>3871.92</v>
      </c>
    </row>
    <row r="1839" spans="1:11" x14ac:dyDescent="0.25">
      <c r="A1839" s="8" t="s">
        <v>3276</v>
      </c>
      <c r="B1839" s="8" t="s">
        <v>72</v>
      </c>
      <c r="C1839" s="8" t="s">
        <v>3059</v>
      </c>
      <c r="D1839" s="8">
        <v>5</v>
      </c>
      <c r="E1839" s="8" t="s">
        <v>3277</v>
      </c>
      <c r="F1839" s="8" t="s">
        <v>378</v>
      </c>
      <c r="G1839" s="8" t="s">
        <v>3061</v>
      </c>
      <c r="H1839" s="10">
        <v>534</v>
      </c>
      <c r="I1839" s="10"/>
      <c r="J1839" s="10">
        <v>534</v>
      </c>
      <c r="K1839" s="10">
        <v>4583.95</v>
      </c>
    </row>
    <row r="1840" spans="1:11" x14ac:dyDescent="0.25">
      <c r="A1840" s="8" t="s">
        <v>3278</v>
      </c>
      <c r="B1840" s="8" t="s">
        <v>122</v>
      </c>
      <c r="C1840" s="8" t="s">
        <v>3059</v>
      </c>
      <c r="D1840" s="8">
        <v>5</v>
      </c>
      <c r="E1840" s="8" t="s">
        <v>3277</v>
      </c>
      <c r="F1840" s="8" t="s">
        <v>378</v>
      </c>
      <c r="G1840" s="8" t="s">
        <v>3061</v>
      </c>
      <c r="H1840" s="10">
        <v>24</v>
      </c>
      <c r="I1840" s="10"/>
      <c r="J1840" s="10">
        <v>24</v>
      </c>
      <c r="K1840" s="10">
        <v>4320.43</v>
      </c>
    </row>
    <row r="1841" spans="1:11" x14ac:dyDescent="0.25">
      <c r="A1841" s="8" t="s">
        <v>3279</v>
      </c>
      <c r="B1841" s="8" t="s">
        <v>2627</v>
      </c>
      <c r="C1841" s="8" t="s">
        <v>3059</v>
      </c>
      <c r="D1841" s="8">
        <v>5</v>
      </c>
      <c r="E1841" s="8" t="s">
        <v>3277</v>
      </c>
      <c r="F1841" s="8" t="s">
        <v>378</v>
      </c>
      <c r="G1841" s="8" t="s">
        <v>3061</v>
      </c>
      <c r="H1841" s="10">
        <v>36</v>
      </c>
      <c r="I1841" s="10"/>
      <c r="J1841" s="10">
        <v>36</v>
      </c>
      <c r="K1841" s="10">
        <v>4320.43</v>
      </c>
    </row>
    <row r="1842" spans="1:11" x14ac:dyDescent="0.25">
      <c r="A1842" s="8" t="s">
        <v>3280</v>
      </c>
      <c r="B1842" s="8" t="s">
        <v>80</v>
      </c>
      <c r="C1842" s="8" t="s">
        <v>3059</v>
      </c>
      <c r="D1842" s="8">
        <v>5</v>
      </c>
      <c r="E1842" s="8" t="s">
        <v>3277</v>
      </c>
      <c r="F1842" s="8" t="s">
        <v>378</v>
      </c>
      <c r="G1842" s="8" t="s">
        <v>3061</v>
      </c>
      <c r="H1842" s="10">
        <v>42</v>
      </c>
      <c r="I1842" s="10"/>
      <c r="J1842" s="10">
        <v>42</v>
      </c>
      <c r="K1842" s="10">
        <v>4320.43</v>
      </c>
    </row>
    <row r="1843" spans="1:11" x14ac:dyDescent="0.25">
      <c r="A1843" s="8" t="s">
        <v>3281</v>
      </c>
      <c r="B1843" s="8" t="s">
        <v>120</v>
      </c>
      <c r="C1843" s="8" t="s">
        <v>3059</v>
      </c>
      <c r="D1843" s="8">
        <v>5</v>
      </c>
      <c r="E1843" s="8" t="s">
        <v>3282</v>
      </c>
      <c r="F1843" s="8" t="s">
        <v>378</v>
      </c>
      <c r="G1843" s="8" t="s">
        <v>3061</v>
      </c>
      <c r="H1843" s="10">
        <v>120</v>
      </c>
      <c r="I1843" s="10"/>
      <c r="J1843" s="10">
        <v>120</v>
      </c>
      <c r="K1843" s="10">
        <v>1712.19</v>
      </c>
    </row>
    <row r="1844" spans="1:11" x14ac:dyDescent="0.25">
      <c r="A1844" s="8" t="s">
        <v>3283</v>
      </c>
      <c r="B1844" s="8" t="s">
        <v>120</v>
      </c>
      <c r="C1844" s="8" t="s">
        <v>3059</v>
      </c>
      <c r="D1844" s="8">
        <v>5</v>
      </c>
      <c r="E1844" s="8" t="s">
        <v>3284</v>
      </c>
      <c r="F1844" s="8" t="s">
        <v>378</v>
      </c>
      <c r="G1844" s="8" t="s">
        <v>3061</v>
      </c>
      <c r="H1844" s="10">
        <v>6</v>
      </c>
      <c r="I1844" s="10"/>
      <c r="J1844" s="10">
        <v>6</v>
      </c>
      <c r="K1844" s="10">
        <v>2040.97</v>
      </c>
    </row>
    <row r="1845" spans="1:11" x14ac:dyDescent="0.25">
      <c r="A1845" s="8" t="s">
        <v>3285</v>
      </c>
      <c r="B1845" s="8" t="s">
        <v>120</v>
      </c>
      <c r="C1845" s="8" t="s">
        <v>3059</v>
      </c>
      <c r="D1845" s="8">
        <v>5</v>
      </c>
      <c r="E1845" s="8" t="s">
        <v>3286</v>
      </c>
      <c r="F1845" s="8" t="s">
        <v>378</v>
      </c>
      <c r="G1845" s="8" t="s">
        <v>3061</v>
      </c>
      <c r="H1845" s="10">
        <v>24</v>
      </c>
      <c r="I1845" s="10"/>
      <c r="J1845" s="10">
        <v>24</v>
      </c>
      <c r="K1845" s="10">
        <v>2171.14</v>
      </c>
    </row>
    <row r="1846" spans="1:11" x14ac:dyDescent="0.25">
      <c r="A1846" s="8" t="s">
        <v>3287</v>
      </c>
      <c r="B1846" s="8" t="s">
        <v>136</v>
      </c>
      <c r="C1846" s="8" t="s">
        <v>3004</v>
      </c>
      <c r="D1846" s="8">
        <v>6</v>
      </c>
      <c r="E1846" s="8" t="s">
        <v>3288</v>
      </c>
      <c r="F1846" s="8" t="s">
        <v>378</v>
      </c>
      <c r="G1846" s="8" t="s">
        <v>3006</v>
      </c>
      <c r="H1846" s="10">
        <v>42</v>
      </c>
      <c r="I1846" s="10"/>
      <c r="J1846" s="10">
        <v>42</v>
      </c>
      <c r="K1846" s="10">
        <v>528.75</v>
      </c>
    </row>
    <row r="1847" spans="1:11" x14ac:dyDescent="0.25">
      <c r="A1847" s="8" t="s">
        <v>3289</v>
      </c>
      <c r="B1847" s="8" t="s">
        <v>72</v>
      </c>
      <c r="C1847" s="8" t="s">
        <v>3004</v>
      </c>
      <c r="D1847" s="8">
        <v>6</v>
      </c>
      <c r="E1847" s="8" t="s">
        <v>3290</v>
      </c>
      <c r="F1847" s="8" t="s">
        <v>378</v>
      </c>
      <c r="G1847" s="8" t="s">
        <v>3006</v>
      </c>
      <c r="H1847" s="10">
        <v>2130</v>
      </c>
      <c r="I1847" s="10"/>
      <c r="J1847" s="10">
        <v>2130</v>
      </c>
      <c r="K1847" s="10">
        <v>553.54999999999995</v>
      </c>
    </row>
    <row r="1848" spans="1:11" x14ac:dyDescent="0.25">
      <c r="A1848" s="8" t="s">
        <v>3291</v>
      </c>
      <c r="B1848" s="8" t="s">
        <v>122</v>
      </c>
      <c r="C1848" s="8" t="s">
        <v>3004</v>
      </c>
      <c r="D1848" s="8">
        <v>6</v>
      </c>
      <c r="E1848" s="8" t="s">
        <v>3290</v>
      </c>
      <c r="F1848" s="8" t="s">
        <v>378</v>
      </c>
      <c r="G1848" s="8" t="s">
        <v>3006</v>
      </c>
      <c r="H1848" s="10">
        <v>222</v>
      </c>
      <c r="I1848" s="10"/>
      <c r="J1848" s="10">
        <v>222</v>
      </c>
      <c r="K1848" s="10">
        <v>553.54999999999995</v>
      </c>
    </row>
    <row r="1849" spans="1:11" x14ac:dyDescent="0.25">
      <c r="A1849" s="8" t="s">
        <v>3292</v>
      </c>
      <c r="B1849" s="8" t="s">
        <v>124</v>
      </c>
      <c r="C1849" s="8" t="s">
        <v>3004</v>
      </c>
      <c r="D1849" s="8">
        <v>6</v>
      </c>
      <c r="E1849" s="8" t="s">
        <v>3290</v>
      </c>
      <c r="F1849" s="8" t="s">
        <v>378</v>
      </c>
      <c r="G1849" s="8" t="s">
        <v>3006</v>
      </c>
      <c r="H1849" s="10">
        <v>588</v>
      </c>
      <c r="I1849" s="10"/>
      <c r="J1849" s="10">
        <v>588</v>
      </c>
      <c r="K1849" s="10">
        <v>553.54999999999995</v>
      </c>
    </row>
    <row r="1850" spans="1:11" x14ac:dyDescent="0.25">
      <c r="A1850" s="8" t="s">
        <v>3293</v>
      </c>
      <c r="B1850" s="8" t="s">
        <v>78</v>
      </c>
      <c r="C1850" s="8" t="s">
        <v>3004</v>
      </c>
      <c r="D1850" s="8">
        <v>6</v>
      </c>
      <c r="E1850" s="8" t="s">
        <v>3290</v>
      </c>
      <c r="F1850" s="8" t="s">
        <v>378</v>
      </c>
      <c r="G1850" s="8" t="s">
        <v>3006</v>
      </c>
      <c r="H1850" s="10">
        <v>186</v>
      </c>
      <c r="I1850" s="10"/>
      <c r="J1850" s="10">
        <v>186</v>
      </c>
      <c r="K1850" s="10">
        <v>553.54999999999995</v>
      </c>
    </row>
    <row r="1851" spans="1:11" x14ac:dyDescent="0.25">
      <c r="A1851" s="8" t="s">
        <v>3294</v>
      </c>
      <c r="B1851" s="8" t="s">
        <v>128</v>
      </c>
      <c r="C1851" s="8" t="s">
        <v>3004</v>
      </c>
      <c r="D1851" s="8">
        <v>6</v>
      </c>
      <c r="E1851" s="8" t="s">
        <v>3290</v>
      </c>
      <c r="F1851" s="8" t="s">
        <v>378</v>
      </c>
      <c r="G1851" s="8" t="s">
        <v>3006</v>
      </c>
      <c r="H1851" s="10">
        <v>150</v>
      </c>
      <c r="I1851" s="10"/>
      <c r="J1851" s="10">
        <v>150</v>
      </c>
      <c r="K1851" s="10">
        <v>553.54999999999995</v>
      </c>
    </row>
    <row r="1852" spans="1:11" x14ac:dyDescent="0.25">
      <c r="A1852" s="8" t="s">
        <v>3295</v>
      </c>
      <c r="B1852" s="8" t="s">
        <v>134</v>
      </c>
      <c r="C1852" s="8" t="s">
        <v>3004</v>
      </c>
      <c r="D1852" s="8">
        <v>6</v>
      </c>
      <c r="E1852" s="8" t="s">
        <v>3290</v>
      </c>
      <c r="F1852" s="8" t="s">
        <v>378</v>
      </c>
      <c r="G1852" s="8" t="s">
        <v>3006</v>
      </c>
      <c r="H1852" s="10">
        <v>360</v>
      </c>
      <c r="I1852" s="10"/>
      <c r="J1852" s="10">
        <v>360</v>
      </c>
      <c r="K1852" s="10">
        <v>553.54999999999995</v>
      </c>
    </row>
    <row r="1853" spans="1:11" x14ac:dyDescent="0.25">
      <c r="A1853" s="8" t="s">
        <v>3296</v>
      </c>
      <c r="B1853" s="8" t="s">
        <v>2627</v>
      </c>
      <c r="C1853" s="8" t="s">
        <v>3004</v>
      </c>
      <c r="D1853" s="8">
        <v>6</v>
      </c>
      <c r="E1853" s="8" t="s">
        <v>3290</v>
      </c>
      <c r="F1853" s="8" t="s">
        <v>378</v>
      </c>
      <c r="G1853" s="8" t="s">
        <v>3006</v>
      </c>
      <c r="H1853" s="10">
        <v>768</v>
      </c>
      <c r="I1853" s="10"/>
      <c r="J1853" s="10">
        <v>768</v>
      </c>
      <c r="K1853" s="10">
        <v>553.54999999999995</v>
      </c>
    </row>
    <row r="1854" spans="1:11" x14ac:dyDescent="0.25">
      <c r="A1854" s="8" t="s">
        <v>3297</v>
      </c>
      <c r="B1854" s="8" t="s">
        <v>118</v>
      </c>
      <c r="C1854" s="8" t="s">
        <v>3251</v>
      </c>
      <c r="D1854" s="8">
        <v>4</v>
      </c>
      <c r="E1854" s="8" t="s">
        <v>3298</v>
      </c>
      <c r="F1854" s="8" t="s">
        <v>378</v>
      </c>
      <c r="G1854" s="8" t="s">
        <v>3299</v>
      </c>
      <c r="H1854" s="10">
        <v>450</v>
      </c>
      <c r="I1854" s="10"/>
      <c r="J1854" s="10">
        <v>450</v>
      </c>
      <c r="K1854" s="10">
        <v>187.47</v>
      </c>
    </row>
    <row r="1855" spans="1:11" x14ac:dyDescent="0.25">
      <c r="A1855" s="8" t="s">
        <v>3300</v>
      </c>
      <c r="B1855" s="8" t="s">
        <v>120</v>
      </c>
      <c r="C1855" s="8" t="s">
        <v>3251</v>
      </c>
      <c r="D1855" s="8">
        <v>4</v>
      </c>
      <c r="E1855" s="8" t="s">
        <v>3298</v>
      </c>
      <c r="F1855" s="8" t="s">
        <v>378</v>
      </c>
      <c r="G1855" s="8" t="s">
        <v>3299</v>
      </c>
      <c r="H1855" s="10">
        <v>300</v>
      </c>
      <c r="I1855" s="10"/>
      <c r="J1855" s="10">
        <v>300</v>
      </c>
      <c r="K1855" s="10">
        <v>187.47</v>
      </c>
    </row>
    <row r="1856" spans="1:11" x14ac:dyDescent="0.25">
      <c r="A1856" s="8" t="s">
        <v>3301</v>
      </c>
      <c r="B1856" s="8" t="s">
        <v>132</v>
      </c>
      <c r="C1856" s="8" t="s">
        <v>3251</v>
      </c>
      <c r="D1856" s="8">
        <v>4</v>
      </c>
      <c r="E1856" s="8" t="s">
        <v>3298</v>
      </c>
      <c r="F1856" s="8" t="s">
        <v>378</v>
      </c>
      <c r="G1856" s="8" t="s">
        <v>3299</v>
      </c>
      <c r="H1856" s="10">
        <v>160</v>
      </c>
      <c r="I1856" s="10"/>
      <c r="J1856" s="10">
        <v>160</v>
      </c>
      <c r="K1856" s="10">
        <v>187.47</v>
      </c>
    </row>
    <row r="1857" spans="1:11" x14ac:dyDescent="0.25">
      <c r="A1857" s="8" t="s">
        <v>3302</v>
      </c>
      <c r="B1857" s="8" t="s">
        <v>134</v>
      </c>
      <c r="C1857" s="8" t="s">
        <v>3251</v>
      </c>
      <c r="D1857" s="8">
        <v>4</v>
      </c>
      <c r="E1857" s="8" t="s">
        <v>3298</v>
      </c>
      <c r="F1857" s="8" t="s">
        <v>378</v>
      </c>
      <c r="G1857" s="8" t="s">
        <v>3299</v>
      </c>
      <c r="H1857" s="10">
        <v>30</v>
      </c>
      <c r="I1857" s="10"/>
      <c r="J1857" s="10">
        <v>30</v>
      </c>
      <c r="K1857" s="10">
        <v>187.47</v>
      </c>
    </row>
    <row r="1858" spans="1:11" x14ac:dyDescent="0.25">
      <c r="A1858" s="8" t="s">
        <v>3303</v>
      </c>
      <c r="B1858" s="8" t="s">
        <v>136</v>
      </c>
      <c r="C1858" s="8" t="s">
        <v>3251</v>
      </c>
      <c r="D1858" s="8">
        <v>4</v>
      </c>
      <c r="E1858" s="8" t="s">
        <v>3298</v>
      </c>
      <c r="F1858" s="8" t="s">
        <v>378</v>
      </c>
      <c r="G1858" s="8" t="s">
        <v>3299</v>
      </c>
      <c r="H1858" s="10">
        <v>80</v>
      </c>
      <c r="I1858" s="10"/>
      <c r="J1858" s="10">
        <v>80</v>
      </c>
      <c r="K1858" s="10">
        <v>187.47</v>
      </c>
    </row>
    <row r="1859" spans="1:11" x14ac:dyDescent="0.25">
      <c r="A1859" s="8" t="s">
        <v>3304</v>
      </c>
      <c r="B1859" s="8" t="s">
        <v>118</v>
      </c>
      <c r="C1859" s="8" t="s">
        <v>3251</v>
      </c>
      <c r="D1859" s="8">
        <v>4</v>
      </c>
      <c r="E1859" s="8" t="s">
        <v>3305</v>
      </c>
      <c r="F1859" s="8" t="s">
        <v>378</v>
      </c>
      <c r="G1859" s="8" t="s">
        <v>3299</v>
      </c>
      <c r="H1859" s="10">
        <v>150</v>
      </c>
      <c r="I1859" s="10"/>
      <c r="J1859" s="10">
        <v>150</v>
      </c>
      <c r="K1859" s="10">
        <v>202.3</v>
      </c>
    </row>
    <row r="1860" spans="1:11" x14ac:dyDescent="0.25">
      <c r="A1860" s="8" t="s">
        <v>3306</v>
      </c>
      <c r="B1860" s="8" t="s">
        <v>120</v>
      </c>
      <c r="C1860" s="8" t="s">
        <v>3251</v>
      </c>
      <c r="D1860" s="8">
        <v>4</v>
      </c>
      <c r="E1860" s="8" t="s">
        <v>3305</v>
      </c>
      <c r="F1860" s="8" t="s">
        <v>378</v>
      </c>
      <c r="G1860" s="8" t="s">
        <v>3299</v>
      </c>
      <c r="H1860" s="10">
        <v>60</v>
      </c>
      <c r="I1860" s="10"/>
      <c r="J1860" s="10">
        <v>60</v>
      </c>
      <c r="K1860" s="10">
        <v>202.3</v>
      </c>
    </row>
    <row r="1861" spans="1:11" x14ac:dyDescent="0.25">
      <c r="A1861" s="8" t="s">
        <v>3307</v>
      </c>
      <c r="B1861" s="8" t="s">
        <v>136</v>
      </c>
      <c r="C1861" s="8" t="s">
        <v>3251</v>
      </c>
      <c r="D1861" s="8">
        <v>4</v>
      </c>
      <c r="E1861" s="8" t="s">
        <v>3305</v>
      </c>
      <c r="F1861" s="8" t="s">
        <v>378</v>
      </c>
      <c r="G1861" s="8" t="s">
        <v>3299</v>
      </c>
      <c r="H1861" s="10">
        <v>60</v>
      </c>
      <c r="I1861" s="10"/>
      <c r="J1861" s="10">
        <v>60</v>
      </c>
      <c r="K1861" s="10">
        <v>202.3</v>
      </c>
    </row>
    <row r="1862" spans="1:11" x14ac:dyDescent="0.25">
      <c r="A1862" s="8" t="s">
        <v>3308</v>
      </c>
      <c r="B1862" s="8" t="s">
        <v>120</v>
      </c>
      <c r="C1862" s="8" t="s">
        <v>3251</v>
      </c>
      <c r="D1862" s="8">
        <v>4</v>
      </c>
      <c r="E1862" s="8" t="s">
        <v>3309</v>
      </c>
      <c r="F1862" s="8" t="s">
        <v>378</v>
      </c>
      <c r="G1862" s="8" t="s">
        <v>3299</v>
      </c>
      <c r="H1862" s="10">
        <v>370</v>
      </c>
      <c r="I1862" s="10"/>
      <c r="J1862" s="10">
        <v>370</v>
      </c>
      <c r="K1862" s="10">
        <v>435.47</v>
      </c>
    </row>
    <row r="1863" spans="1:11" x14ac:dyDescent="0.25">
      <c r="A1863" s="8" t="s">
        <v>3310</v>
      </c>
      <c r="B1863" s="8" t="s">
        <v>118</v>
      </c>
      <c r="C1863" s="8" t="s">
        <v>3311</v>
      </c>
      <c r="D1863" s="8">
        <v>5</v>
      </c>
      <c r="E1863" s="8" t="s">
        <v>3312</v>
      </c>
      <c r="F1863" s="8" t="s">
        <v>215</v>
      </c>
      <c r="G1863" s="8" t="s">
        <v>3313</v>
      </c>
      <c r="H1863" s="10">
        <v>5</v>
      </c>
      <c r="I1863" s="10"/>
      <c r="J1863" s="10">
        <v>5</v>
      </c>
      <c r="K1863" s="10">
        <v>1205.05</v>
      </c>
    </row>
    <row r="1864" spans="1:11" x14ac:dyDescent="0.25">
      <c r="A1864" s="8" t="s">
        <v>3314</v>
      </c>
      <c r="B1864" s="8" t="s">
        <v>120</v>
      </c>
      <c r="C1864" s="8" t="s">
        <v>3311</v>
      </c>
      <c r="D1864" s="8">
        <v>5</v>
      </c>
      <c r="E1864" s="8" t="s">
        <v>3312</v>
      </c>
      <c r="F1864" s="8" t="s">
        <v>215</v>
      </c>
      <c r="G1864" s="8" t="s">
        <v>3313</v>
      </c>
      <c r="H1864" s="10">
        <v>10</v>
      </c>
      <c r="I1864" s="10"/>
      <c r="J1864" s="10">
        <v>10</v>
      </c>
      <c r="K1864" s="10">
        <v>1205.05</v>
      </c>
    </row>
    <row r="1865" spans="1:11" x14ac:dyDescent="0.25">
      <c r="A1865" s="8" t="s">
        <v>3315</v>
      </c>
      <c r="B1865" s="8" t="s">
        <v>124</v>
      </c>
      <c r="C1865" s="8" t="s">
        <v>3311</v>
      </c>
      <c r="D1865" s="8">
        <v>5</v>
      </c>
      <c r="E1865" s="8" t="s">
        <v>3312</v>
      </c>
      <c r="F1865" s="8" t="s">
        <v>215</v>
      </c>
      <c r="G1865" s="8" t="s">
        <v>3313</v>
      </c>
      <c r="H1865" s="10">
        <v>1</v>
      </c>
      <c r="I1865" s="10"/>
      <c r="J1865" s="10">
        <v>1</v>
      </c>
      <c r="K1865" s="10">
        <v>1205.05</v>
      </c>
    </row>
    <row r="1866" spans="1:11" x14ac:dyDescent="0.25">
      <c r="A1866" s="8" t="s">
        <v>3316</v>
      </c>
      <c r="B1866" s="8" t="s">
        <v>78</v>
      </c>
      <c r="C1866" s="8" t="s">
        <v>3311</v>
      </c>
      <c r="D1866" s="8">
        <v>5</v>
      </c>
      <c r="E1866" s="8" t="s">
        <v>3312</v>
      </c>
      <c r="F1866" s="8" t="s">
        <v>215</v>
      </c>
      <c r="G1866" s="8" t="s">
        <v>3313</v>
      </c>
      <c r="H1866" s="10">
        <v>6</v>
      </c>
      <c r="I1866" s="10"/>
      <c r="J1866" s="10">
        <v>6</v>
      </c>
      <c r="K1866" s="10">
        <v>1205.05</v>
      </c>
    </row>
    <row r="1867" spans="1:11" x14ac:dyDescent="0.25">
      <c r="A1867" s="8" t="s">
        <v>3317</v>
      </c>
      <c r="B1867" s="8" t="s">
        <v>136</v>
      </c>
      <c r="C1867" s="8" t="s">
        <v>3311</v>
      </c>
      <c r="D1867" s="8">
        <v>5</v>
      </c>
      <c r="E1867" s="8" t="s">
        <v>3312</v>
      </c>
      <c r="F1867" s="8" t="s">
        <v>215</v>
      </c>
      <c r="G1867" s="8" t="s">
        <v>3313</v>
      </c>
      <c r="H1867" s="10">
        <v>5</v>
      </c>
      <c r="I1867" s="10"/>
      <c r="J1867" s="10">
        <v>5</v>
      </c>
      <c r="K1867" s="10">
        <v>1205.05</v>
      </c>
    </row>
    <row r="1868" spans="1:11" x14ac:dyDescent="0.25">
      <c r="A1868" s="8" t="s">
        <v>3318</v>
      </c>
      <c r="B1868" s="8" t="s">
        <v>120</v>
      </c>
      <c r="C1868" s="8" t="s">
        <v>3311</v>
      </c>
      <c r="D1868" s="8">
        <v>5</v>
      </c>
      <c r="E1868" s="8" t="s">
        <v>3319</v>
      </c>
      <c r="F1868" s="8" t="s">
        <v>215</v>
      </c>
      <c r="G1868" s="8" t="s">
        <v>3313</v>
      </c>
      <c r="H1868" s="10">
        <v>9</v>
      </c>
      <c r="I1868" s="10"/>
      <c r="J1868" s="10">
        <v>9</v>
      </c>
      <c r="K1868" s="10">
        <v>1405.02</v>
      </c>
    </row>
    <row r="1869" spans="1:11" x14ac:dyDescent="0.25">
      <c r="A1869" s="8" t="s">
        <v>3320</v>
      </c>
      <c r="B1869" s="8" t="s">
        <v>120</v>
      </c>
      <c r="C1869" s="8" t="s">
        <v>3311</v>
      </c>
      <c r="D1869" s="8">
        <v>5</v>
      </c>
      <c r="E1869" s="8" t="s">
        <v>3321</v>
      </c>
      <c r="F1869" s="8" t="s">
        <v>215</v>
      </c>
      <c r="G1869" s="8" t="s">
        <v>3313</v>
      </c>
      <c r="H1869" s="10">
        <v>6</v>
      </c>
      <c r="I1869" s="10"/>
      <c r="J1869" s="10">
        <v>6</v>
      </c>
      <c r="K1869" s="10">
        <v>1604.99</v>
      </c>
    </row>
    <row r="1870" spans="1:11" x14ac:dyDescent="0.25">
      <c r="A1870" s="8" t="s">
        <v>3322</v>
      </c>
      <c r="B1870" s="8" t="s">
        <v>78</v>
      </c>
      <c r="C1870" s="8" t="s">
        <v>3311</v>
      </c>
      <c r="D1870" s="8">
        <v>5</v>
      </c>
      <c r="E1870" s="8" t="s">
        <v>3321</v>
      </c>
      <c r="F1870" s="8" t="s">
        <v>215</v>
      </c>
      <c r="G1870" s="8" t="s">
        <v>3313</v>
      </c>
      <c r="H1870" s="10">
        <v>1</v>
      </c>
      <c r="I1870" s="10"/>
      <c r="J1870" s="10">
        <v>1</v>
      </c>
      <c r="K1870" s="10">
        <v>1604.99</v>
      </c>
    </row>
    <row r="1871" spans="1:11" x14ac:dyDescent="0.25">
      <c r="A1871" s="8" t="s">
        <v>3323</v>
      </c>
      <c r="B1871" s="8" t="s">
        <v>120</v>
      </c>
      <c r="C1871" s="8" t="s">
        <v>3311</v>
      </c>
      <c r="D1871" s="8">
        <v>5</v>
      </c>
      <c r="E1871" s="8" t="s">
        <v>3324</v>
      </c>
      <c r="F1871" s="8" t="s">
        <v>215</v>
      </c>
      <c r="G1871" s="8" t="s">
        <v>3313</v>
      </c>
      <c r="H1871" s="10">
        <v>3</v>
      </c>
      <c r="I1871" s="10"/>
      <c r="J1871" s="10">
        <v>3</v>
      </c>
      <c r="K1871" s="10">
        <v>1949.65</v>
      </c>
    </row>
    <row r="1872" spans="1:11" x14ac:dyDescent="0.25">
      <c r="A1872" s="8" t="s">
        <v>3325</v>
      </c>
      <c r="B1872" s="8" t="s">
        <v>80</v>
      </c>
      <c r="C1872" s="8" t="s">
        <v>3311</v>
      </c>
      <c r="D1872" s="8">
        <v>5</v>
      </c>
      <c r="E1872" s="8" t="s">
        <v>3326</v>
      </c>
      <c r="F1872" s="8" t="s">
        <v>215</v>
      </c>
      <c r="G1872" s="8" t="s">
        <v>3313</v>
      </c>
      <c r="H1872" s="10">
        <v>2</v>
      </c>
      <c r="I1872" s="10"/>
      <c r="J1872" s="10">
        <v>2</v>
      </c>
      <c r="K1872" s="10">
        <v>2860.02</v>
      </c>
    </row>
    <row r="1873" spans="1:11" x14ac:dyDescent="0.25">
      <c r="A1873" s="8" t="s">
        <v>3327</v>
      </c>
      <c r="B1873" s="8" t="s">
        <v>80</v>
      </c>
      <c r="C1873" s="8" t="s">
        <v>3311</v>
      </c>
      <c r="D1873" s="8">
        <v>5</v>
      </c>
      <c r="E1873" s="8" t="s">
        <v>3328</v>
      </c>
      <c r="F1873" s="8" t="s">
        <v>215</v>
      </c>
      <c r="G1873" s="8" t="s">
        <v>3313</v>
      </c>
      <c r="H1873" s="10">
        <v>3</v>
      </c>
      <c r="I1873" s="10"/>
      <c r="J1873" s="10">
        <v>3</v>
      </c>
      <c r="K1873" s="10">
        <v>3467.8</v>
      </c>
    </row>
    <row r="1874" spans="1:11" x14ac:dyDescent="0.25">
      <c r="A1874" s="8" t="s">
        <v>3329</v>
      </c>
      <c r="B1874" s="8" t="s">
        <v>80</v>
      </c>
      <c r="C1874" s="8" t="s">
        <v>3311</v>
      </c>
      <c r="D1874" s="8">
        <v>5</v>
      </c>
      <c r="E1874" s="8" t="s">
        <v>3330</v>
      </c>
      <c r="F1874" s="8" t="s">
        <v>215</v>
      </c>
      <c r="G1874" s="8" t="s">
        <v>3313</v>
      </c>
      <c r="H1874" s="10">
        <v>3</v>
      </c>
      <c r="I1874" s="10"/>
      <c r="J1874" s="10">
        <v>3</v>
      </c>
      <c r="K1874" s="10">
        <v>3467.8</v>
      </c>
    </row>
    <row r="1875" spans="1:11" x14ac:dyDescent="0.25">
      <c r="A1875" s="8" t="s">
        <v>3331</v>
      </c>
      <c r="B1875" s="8" t="s">
        <v>263</v>
      </c>
      <c r="C1875" s="8" t="s">
        <v>3332</v>
      </c>
      <c r="D1875" s="8">
        <v>5</v>
      </c>
      <c r="E1875" s="8" t="s">
        <v>3333</v>
      </c>
      <c r="F1875" s="8" t="s">
        <v>460</v>
      </c>
      <c r="G1875" s="8" t="s">
        <v>3334</v>
      </c>
      <c r="H1875" s="10">
        <v>8</v>
      </c>
      <c r="I1875" s="10"/>
      <c r="J1875" s="10">
        <v>8</v>
      </c>
      <c r="K1875" s="10">
        <v>13345.28</v>
      </c>
    </row>
    <row r="1876" spans="1:11" x14ac:dyDescent="0.25">
      <c r="A1876" s="8" t="s">
        <v>3335</v>
      </c>
      <c r="B1876" s="8" t="s">
        <v>269</v>
      </c>
      <c r="C1876" s="8" t="s">
        <v>3332</v>
      </c>
      <c r="D1876" s="8">
        <v>5</v>
      </c>
      <c r="E1876" s="8" t="s">
        <v>3333</v>
      </c>
      <c r="F1876" s="8" t="s">
        <v>460</v>
      </c>
      <c r="G1876" s="8" t="s">
        <v>3334</v>
      </c>
      <c r="H1876" s="10">
        <v>8</v>
      </c>
      <c r="I1876" s="10"/>
      <c r="J1876" s="10">
        <v>8</v>
      </c>
      <c r="K1876" s="10">
        <v>13345.28</v>
      </c>
    </row>
    <row r="1877" spans="1:11" x14ac:dyDescent="0.25">
      <c r="A1877" s="8" t="s">
        <v>3336</v>
      </c>
      <c r="B1877" s="8" t="s">
        <v>120</v>
      </c>
      <c r="C1877" s="8" t="s">
        <v>3311</v>
      </c>
      <c r="D1877" s="8">
        <v>5</v>
      </c>
      <c r="E1877" s="8" t="s">
        <v>3337</v>
      </c>
      <c r="F1877" s="8" t="s">
        <v>215</v>
      </c>
      <c r="G1877" s="8" t="s">
        <v>3313</v>
      </c>
      <c r="H1877" s="10">
        <v>2</v>
      </c>
      <c r="I1877" s="10"/>
      <c r="J1877" s="10">
        <v>2</v>
      </c>
      <c r="K1877" s="10">
        <v>1205.05</v>
      </c>
    </row>
    <row r="1878" spans="1:11" x14ac:dyDescent="0.25">
      <c r="A1878" s="8" t="s">
        <v>3338</v>
      </c>
      <c r="B1878" s="8" t="s">
        <v>80</v>
      </c>
      <c r="C1878" s="8" t="s">
        <v>3311</v>
      </c>
      <c r="D1878" s="8">
        <v>5</v>
      </c>
      <c r="E1878" s="8" t="s">
        <v>3339</v>
      </c>
      <c r="F1878" s="8" t="s">
        <v>215</v>
      </c>
      <c r="G1878" s="8" t="s">
        <v>3313</v>
      </c>
      <c r="H1878" s="10">
        <v>2</v>
      </c>
      <c r="I1878" s="10"/>
      <c r="J1878" s="10">
        <v>2</v>
      </c>
      <c r="K1878" s="10">
        <v>2241.6999999999998</v>
      </c>
    </row>
    <row r="1879" spans="1:11" x14ac:dyDescent="0.25">
      <c r="A1879" s="8" t="s">
        <v>3340</v>
      </c>
      <c r="B1879" s="8" t="s">
        <v>80</v>
      </c>
      <c r="C1879" s="8" t="s">
        <v>3311</v>
      </c>
      <c r="D1879" s="8">
        <v>5</v>
      </c>
      <c r="E1879" s="8" t="s">
        <v>3341</v>
      </c>
      <c r="F1879" s="8" t="s">
        <v>215</v>
      </c>
      <c r="G1879" s="8" t="s">
        <v>3313</v>
      </c>
      <c r="H1879" s="10">
        <v>3</v>
      </c>
      <c r="I1879" s="10"/>
      <c r="J1879" s="10">
        <v>3</v>
      </c>
      <c r="K1879" s="10">
        <v>2860.02</v>
      </c>
    </row>
    <row r="1880" spans="1:11" x14ac:dyDescent="0.25">
      <c r="A1880" s="8" t="s">
        <v>3342</v>
      </c>
      <c r="B1880" s="8" t="s">
        <v>124</v>
      </c>
      <c r="C1880" s="8" t="s">
        <v>3311</v>
      </c>
      <c r="D1880" s="8">
        <v>5</v>
      </c>
      <c r="E1880" s="8" t="s">
        <v>3343</v>
      </c>
      <c r="F1880" s="8" t="s">
        <v>215</v>
      </c>
      <c r="G1880" s="8" t="s">
        <v>3313</v>
      </c>
      <c r="H1880" s="10">
        <v>2</v>
      </c>
      <c r="I1880" s="10"/>
      <c r="J1880" s="10">
        <v>2</v>
      </c>
      <c r="K1880" s="10">
        <v>1205.05</v>
      </c>
    </row>
    <row r="1881" spans="1:11" x14ac:dyDescent="0.25">
      <c r="A1881" s="8" t="s">
        <v>3344</v>
      </c>
      <c r="B1881" s="8" t="s">
        <v>128</v>
      </c>
      <c r="C1881" s="8" t="s">
        <v>3311</v>
      </c>
      <c r="D1881" s="8">
        <v>5</v>
      </c>
      <c r="E1881" s="8" t="s">
        <v>3343</v>
      </c>
      <c r="F1881" s="8" t="s">
        <v>215</v>
      </c>
      <c r="G1881" s="8" t="s">
        <v>3313</v>
      </c>
      <c r="H1881" s="10">
        <v>1</v>
      </c>
      <c r="I1881" s="10"/>
      <c r="J1881" s="10">
        <v>1</v>
      </c>
      <c r="K1881" s="10">
        <v>1205.05</v>
      </c>
    </row>
    <row r="1882" spans="1:11" x14ac:dyDescent="0.25">
      <c r="A1882" s="8" t="s">
        <v>3345</v>
      </c>
      <c r="B1882" s="8" t="s">
        <v>124</v>
      </c>
      <c r="C1882" s="8" t="s">
        <v>3311</v>
      </c>
      <c r="D1882" s="8">
        <v>5</v>
      </c>
      <c r="E1882" s="8" t="s">
        <v>3346</v>
      </c>
      <c r="F1882" s="8" t="s">
        <v>215</v>
      </c>
      <c r="G1882" s="8" t="s">
        <v>3313</v>
      </c>
      <c r="H1882" s="10">
        <v>4</v>
      </c>
      <c r="I1882" s="10"/>
      <c r="J1882" s="10">
        <v>4</v>
      </c>
      <c r="K1882" s="10">
        <v>1405.02</v>
      </c>
    </row>
    <row r="1883" spans="1:11" x14ac:dyDescent="0.25">
      <c r="A1883" s="8" t="s">
        <v>3347</v>
      </c>
      <c r="B1883" s="8" t="s">
        <v>128</v>
      </c>
      <c r="C1883" s="8" t="s">
        <v>3311</v>
      </c>
      <c r="D1883" s="8">
        <v>5</v>
      </c>
      <c r="E1883" s="8" t="s">
        <v>3346</v>
      </c>
      <c r="F1883" s="8" t="s">
        <v>215</v>
      </c>
      <c r="G1883" s="8" t="s">
        <v>3313</v>
      </c>
      <c r="H1883" s="10">
        <v>1</v>
      </c>
      <c r="I1883" s="10"/>
      <c r="J1883" s="10">
        <v>1</v>
      </c>
      <c r="K1883" s="10">
        <v>1405.02</v>
      </c>
    </row>
    <row r="1884" spans="1:11" x14ac:dyDescent="0.25">
      <c r="A1884" s="8" t="s">
        <v>3348</v>
      </c>
      <c r="B1884" s="8" t="s">
        <v>124</v>
      </c>
      <c r="C1884" s="8" t="s">
        <v>3311</v>
      </c>
      <c r="D1884" s="8">
        <v>5</v>
      </c>
      <c r="E1884" s="8" t="s">
        <v>3349</v>
      </c>
      <c r="F1884" s="8" t="s">
        <v>215</v>
      </c>
      <c r="G1884" s="8" t="s">
        <v>3313</v>
      </c>
      <c r="H1884" s="10">
        <v>8</v>
      </c>
      <c r="I1884" s="10"/>
      <c r="J1884" s="10">
        <v>8</v>
      </c>
      <c r="K1884" s="10">
        <v>1604.99</v>
      </c>
    </row>
    <row r="1885" spans="1:11" x14ac:dyDescent="0.25">
      <c r="A1885" s="8" t="s">
        <v>3350</v>
      </c>
      <c r="B1885" s="8" t="s">
        <v>124</v>
      </c>
      <c r="C1885" s="8" t="s">
        <v>3311</v>
      </c>
      <c r="D1885" s="8">
        <v>5</v>
      </c>
      <c r="E1885" s="8" t="s">
        <v>3351</v>
      </c>
      <c r="F1885" s="8" t="s">
        <v>215</v>
      </c>
      <c r="G1885" s="8" t="s">
        <v>3313</v>
      </c>
      <c r="H1885" s="10">
        <v>2</v>
      </c>
      <c r="I1885" s="10"/>
      <c r="J1885" s="10">
        <v>2</v>
      </c>
      <c r="K1885" s="10">
        <v>1405.02</v>
      </c>
    </row>
    <row r="1886" spans="1:11" x14ac:dyDescent="0.25">
      <c r="A1886" s="8" t="s">
        <v>3352</v>
      </c>
      <c r="B1886" s="8" t="s">
        <v>124</v>
      </c>
      <c r="C1886" s="8" t="s">
        <v>3311</v>
      </c>
      <c r="D1886" s="8">
        <v>5</v>
      </c>
      <c r="E1886" s="8" t="s">
        <v>3353</v>
      </c>
      <c r="F1886" s="8" t="s">
        <v>215</v>
      </c>
      <c r="G1886" s="8" t="s">
        <v>3313</v>
      </c>
      <c r="H1886" s="10">
        <v>2</v>
      </c>
      <c r="I1886" s="10"/>
      <c r="J1886" s="10">
        <v>2</v>
      </c>
      <c r="K1886" s="10">
        <v>1604.99</v>
      </c>
    </row>
    <row r="1887" spans="1:11" x14ac:dyDescent="0.25">
      <c r="A1887" s="8" t="s">
        <v>3354</v>
      </c>
      <c r="B1887" s="8" t="s">
        <v>124</v>
      </c>
      <c r="C1887" s="8" t="s">
        <v>3311</v>
      </c>
      <c r="D1887" s="8">
        <v>5</v>
      </c>
      <c r="E1887" s="8" t="s">
        <v>3355</v>
      </c>
      <c r="F1887" s="8" t="s">
        <v>215</v>
      </c>
      <c r="G1887" s="8" t="s">
        <v>3313</v>
      </c>
      <c r="H1887" s="10">
        <v>4</v>
      </c>
      <c r="I1887" s="10"/>
      <c r="J1887" s="10">
        <v>4</v>
      </c>
      <c r="K1887" s="10">
        <v>1949.65</v>
      </c>
    </row>
    <row r="1888" spans="1:11" x14ac:dyDescent="0.25">
      <c r="A1888" s="8" t="s">
        <v>3356</v>
      </c>
      <c r="B1888" s="8" t="s">
        <v>78</v>
      </c>
      <c r="C1888" s="8" t="s">
        <v>3311</v>
      </c>
      <c r="D1888" s="8">
        <v>5</v>
      </c>
      <c r="E1888" s="8" t="s">
        <v>3357</v>
      </c>
      <c r="F1888" s="8" t="s">
        <v>215</v>
      </c>
      <c r="G1888" s="8" t="s">
        <v>3313</v>
      </c>
      <c r="H1888" s="10">
        <v>2</v>
      </c>
      <c r="I1888" s="10"/>
      <c r="J1888" s="10">
        <v>2</v>
      </c>
      <c r="K1888" s="10">
        <v>2578.48</v>
      </c>
    </row>
    <row r="1889" spans="1:11" x14ac:dyDescent="0.25">
      <c r="A1889" s="8" t="s">
        <v>3358</v>
      </c>
      <c r="B1889" s="8" t="s">
        <v>78</v>
      </c>
      <c r="C1889" s="8" t="s">
        <v>3311</v>
      </c>
      <c r="D1889" s="8">
        <v>5</v>
      </c>
      <c r="E1889" s="8" t="s">
        <v>3359</v>
      </c>
      <c r="F1889" s="8" t="s">
        <v>215</v>
      </c>
      <c r="G1889" s="8" t="s">
        <v>3313</v>
      </c>
      <c r="H1889" s="10">
        <v>2</v>
      </c>
      <c r="I1889" s="10"/>
      <c r="J1889" s="10">
        <v>2</v>
      </c>
      <c r="K1889" s="10">
        <v>2686.36</v>
      </c>
    </row>
    <row r="1890" spans="1:11" x14ac:dyDescent="0.25">
      <c r="A1890" s="8" t="s">
        <v>3360</v>
      </c>
      <c r="B1890" s="8" t="s">
        <v>1650</v>
      </c>
      <c r="C1890" s="8" t="s">
        <v>3361</v>
      </c>
      <c r="D1890" s="8">
        <v>4</v>
      </c>
      <c r="E1890" s="8" t="s">
        <v>3362</v>
      </c>
      <c r="F1890" s="8" t="s">
        <v>378</v>
      </c>
      <c r="G1890" s="8" t="s">
        <v>3363</v>
      </c>
      <c r="H1890" s="10">
        <v>40</v>
      </c>
      <c r="I1890" s="10"/>
      <c r="J1890" s="10">
        <v>40</v>
      </c>
      <c r="K1890" s="10">
        <v>15.29</v>
      </c>
    </row>
    <row r="1891" spans="1:11" x14ac:dyDescent="0.25">
      <c r="A1891" s="8" t="s">
        <v>3364</v>
      </c>
      <c r="B1891" s="8" t="s">
        <v>120</v>
      </c>
      <c r="C1891" s="8" t="s">
        <v>3361</v>
      </c>
      <c r="D1891" s="8">
        <v>4</v>
      </c>
      <c r="E1891" s="8" t="s">
        <v>3362</v>
      </c>
      <c r="F1891" s="8" t="s">
        <v>378</v>
      </c>
      <c r="G1891" s="8" t="s">
        <v>3363</v>
      </c>
      <c r="H1891" s="10">
        <v>250</v>
      </c>
      <c r="I1891" s="10"/>
      <c r="J1891" s="10">
        <v>250</v>
      </c>
      <c r="K1891" s="10">
        <v>15.29</v>
      </c>
    </row>
    <row r="1892" spans="1:11" x14ac:dyDescent="0.25">
      <c r="A1892" s="8" t="s">
        <v>3365</v>
      </c>
      <c r="B1892" s="8" t="s">
        <v>1655</v>
      </c>
      <c r="C1892" s="8" t="s">
        <v>3361</v>
      </c>
      <c r="D1892" s="8">
        <v>4</v>
      </c>
      <c r="E1892" s="8" t="s">
        <v>3362</v>
      </c>
      <c r="F1892" s="8" t="s">
        <v>378</v>
      </c>
      <c r="G1892" s="8" t="s">
        <v>3363</v>
      </c>
      <c r="H1892" s="10">
        <v>50</v>
      </c>
      <c r="I1892" s="10"/>
      <c r="J1892" s="10">
        <v>50</v>
      </c>
      <c r="K1892" s="10">
        <v>15.29</v>
      </c>
    </row>
    <row r="1893" spans="1:11" x14ac:dyDescent="0.25">
      <c r="A1893" s="8" t="s">
        <v>3366</v>
      </c>
      <c r="B1893" s="8" t="s">
        <v>1650</v>
      </c>
      <c r="C1893" s="8" t="s">
        <v>3361</v>
      </c>
      <c r="D1893" s="8">
        <v>4</v>
      </c>
      <c r="E1893" s="8" t="s">
        <v>3367</v>
      </c>
      <c r="F1893" s="8" t="s">
        <v>378</v>
      </c>
      <c r="G1893" s="8" t="s">
        <v>3363</v>
      </c>
      <c r="H1893" s="10">
        <v>670</v>
      </c>
      <c r="I1893" s="10"/>
      <c r="J1893" s="10">
        <v>670</v>
      </c>
      <c r="K1893" s="10">
        <v>19.11</v>
      </c>
    </row>
    <row r="1894" spans="1:11" x14ac:dyDescent="0.25">
      <c r="A1894" s="8" t="s">
        <v>3368</v>
      </c>
      <c r="B1894" s="8" t="s">
        <v>120</v>
      </c>
      <c r="C1894" s="8" t="s">
        <v>3361</v>
      </c>
      <c r="D1894" s="8">
        <v>4</v>
      </c>
      <c r="E1894" s="8" t="s">
        <v>3367</v>
      </c>
      <c r="F1894" s="8" t="s">
        <v>378</v>
      </c>
      <c r="G1894" s="8" t="s">
        <v>3363</v>
      </c>
      <c r="H1894" s="10">
        <v>1020</v>
      </c>
      <c r="I1894" s="10"/>
      <c r="J1894" s="10">
        <v>1020</v>
      </c>
      <c r="K1894" s="10">
        <v>19.11</v>
      </c>
    </row>
    <row r="1895" spans="1:11" x14ac:dyDescent="0.25">
      <c r="A1895" s="8" t="s">
        <v>3369</v>
      </c>
      <c r="B1895" s="8" t="s">
        <v>120</v>
      </c>
      <c r="C1895" s="8" t="s">
        <v>3361</v>
      </c>
      <c r="D1895" s="8">
        <v>4</v>
      </c>
      <c r="E1895" s="8" t="s">
        <v>3370</v>
      </c>
      <c r="F1895" s="8" t="s">
        <v>378</v>
      </c>
      <c r="G1895" s="8" t="s">
        <v>3363</v>
      </c>
      <c r="H1895" s="10">
        <v>990</v>
      </c>
      <c r="I1895" s="10"/>
      <c r="J1895" s="10">
        <v>990</v>
      </c>
      <c r="K1895" s="10">
        <v>19.11</v>
      </c>
    </row>
    <row r="1896" spans="1:11" x14ac:dyDescent="0.25">
      <c r="A1896" s="8" t="s">
        <v>3371</v>
      </c>
      <c r="B1896" s="8" t="s">
        <v>1655</v>
      </c>
      <c r="C1896" s="8" t="s">
        <v>3361</v>
      </c>
      <c r="D1896" s="8">
        <v>4</v>
      </c>
      <c r="E1896" s="8" t="s">
        <v>3370</v>
      </c>
      <c r="F1896" s="8" t="s">
        <v>378</v>
      </c>
      <c r="G1896" s="8" t="s">
        <v>3363</v>
      </c>
      <c r="H1896" s="10">
        <v>120</v>
      </c>
      <c r="I1896" s="10"/>
      <c r="J1896" s="10">
        <v>120</v>
      </c>
      <c r="K1896" s="10">
        <v>19.11</v>
      </c>
    </row>
    <row r="1897" spans="1:11" x14ac:dyDescent="0.25">
      <c r="A1897" s="8" t="s">
        <v>3372</v>
      </c>
      <c r="B1897" s="8" t="s">
        <v>120</v>
      </c>
      <c r="C1897" s="8" t="s">
        <v>3361</v>
      </c>
      <c r="D1897" s="8">
        <v>4</v>
      </c>
      <c r="E1897" s="8" t="s">
        <v>3373</v>
      </c>
      <c r="F1897" s="8" t="s">
        <v>378</v>
      </c>
      <c r="G1897" s="8" t="s">
        <v>3363</v>
      </c>
      <c r="H1897" s="10">
        <v>7845</v>
      </c>
      <c r="I1897" s="10"/>
      <c r="J1897" s="10">
        <v>7845</v>
      </c>
      <c r="K1897" s="10">
        <v>22.94</v>
      </c>
    </row>
    <row r="1898" spans="1:11" x14ac:dyDescent="0.25">
      <c r="A1898" s="8" t="s">
        <v>3374</v>
      </c>
      <c r="B1898" s="8" t="s">
        <v>1655</v>
      </c>
      <c r="C1898" s="8" t="s">
        <v>3361</v>
      </c>
      <c r="D1898" s="8">
        <v>4</v>
      </c>
      <c r="E1898" s="8" t="s">
        <v>3373</v>
      </c>
      <c r="F1898" s="8" t="s">
        <v>378</v>
      </c>
      <c r="G1898" s="8" t="s">
        <v>3363</v>
      </c>
      <c r="H1898" s="10">
        <v>1000</v>
      </c>
      <c r="I1898" s="10"/>
      <c r="J1898" s="10">
        <v>1000</v>
      </c>
      <c r="K1898" s="10">
        <v>22.94</v>
      </c>
    </row>
    <row r="1899" spans="1:11" x14ac:dyDescent="0.25">
      <c r="A1899" s="8" t="s">
        <v>3375</v>
      </c>
      <c r="B1899" s="8" t="s">
        <v>3376</v>
      </c>
      <c r="C1899" s="8" t="s">
        <v>3361</v>
      </c>
      <c r="D1899" s="8">
        <v>4</v>
      </c>
      <c r="E1899" s="8" t="s">
        <v>3373</v>
      </c>
      <c r="F1899" s="8" t="s">
        <v>378</v>
      </c>
      <c r="G1899" s="8" t="s">
        <v>3363</v>
      </c>
      <c r="H1899" s="10">
        <v>100</v>
      </c>
      <c r="I1899" s="10"/>
      <c r="J1899" s="10">
        <v>100</v>
      </c>
      <c r="K1899" s="10">
        <v>22.94</v>
      </c>
    </row>
    <row r="1900" spans="1:11" x14ac:dyDescent="0.25">
      <c r="A1900" s="8" t="s">
        <v>3377</v>
      </c>
      <c r="B1900" s="8" t="s">
        <v>3378</v>
      </c>
      <c r="C1900" s="8" t="s">
        <v>3361</v>
      </c>
      <c r="D1900" s="8">
        <v>4</v>
      </c>
      <c r="E1900" s="8" t="s">
        <v>3373</v>
      </c>
      <c r="F1900" s="8" t="s">
        <v>378</v>
      </c>
      <c r="G1900" s="8" t="s">
        <v>3363</v>
      </c>
      <c r="H1900" s="10">
        <v>100</v>
      </c>
      <c r="I1900" s="10"/>
      <c r="J1900" s="10">
        <v>100</v>
      </c>
      <c r="K1900" s="10">
        <v>22.94</v>
      </c>
    </row>
    <row r="1901" spans="1:11" x14ac:dyDescent="0.25">
      <c r="A1901" s="8" t="s">
        <v>3379</v>
      </c>
      <c r="B1901" s="8" t="s">
        <v>2732</v>
      </c>
      <c r="C1901" s="8" t="s">
        <v>3361</v>
      </c>
      <c r="D1901" s="8">
        <v>4</v>
      </c>
      <c r="E1901" s="8" t="s">
        <v>3373</v>
      </c>
      <c r="F1901" s="8" t="s">
        <v>378</v>
      </c>
      <c r="G1901" s="8" t="s">
        <v>3363</v>
      </c>
      <c r="H1901" s="10">
        <v>100</v>
      </c>
      <c r="I1901" s="10"/>
      <c r="J1901" s="10">
        <v>100</v>
      </c>
      <c r="K1901" s="10">
        <v>22.94</v>
      </c>
    </row>
    <row r="1902" spans="1:11" x14ac:dyDescent="0.25">
      <c r="A1902" s="8" t="s">
        <v>3380</v>
      </c>
      <c r="B1902" s="8" t="s">
        <v>1650</v>
      </c>
      <c r="C1902" s="8" t="s">
        <v>3361</v>
      </c>
      <c r="D1902" s="8">
        <v>4</v>
      </c>
      <c r="E1902" s="8" t="s">
        <v>3381</v>
      </c>
      <c r="F1902" s="8" t="s">
        <v>378</v>
      </c>
      <c r="G1902" s="8" t="s">
        <v>3363</v>
      </c>
      <c r="H1902" s="10">
        <v>480</v>
      </c>
      <c r="I1902" s="10"/>
      <c r="J1902" s="10">
        <v>480</v>
      </c>
      <c r="K1902" s="10">
        <v>22.94</v>
      </c>
    </row>
    <row r="1903" spans="1:11" x14ac:dyDescent="0.25">
      <c r="A1903" s="8" t="s">
        <v>3382</v>
      </c>
      <c r="B1903" s="8" t="s">
        <v>120</v>
      </c>
      <c r="C1903" s="8" t="s">
        <v>3361</v>
      </c>
      <c r="D1903" s="8">
        <v>4</v>
      </c>
      <c r="E1903" s="8" t="s">
        <v>3381</v>
      </c>
      <c r="F1903" s="8" t="s">
        <v>378</v>
      </c>
      <c r="G1903" s="8" t="s">
        <v>3363</v>
      </c>
      <c r="H1903" s="10">
        <v>540</v>
      </c>
      <c r="I1903" s="10"/>
      <c r="J1903" s="10">
        <v>540</v>
      </c>
      <c r="K1903" s="10">
        <v>22.94</v>
      </c>
    </row>
    <row r="1904" spans="1:11" x14ac:dyDescent="0.25">
      <c r="A1904" s="8" t="s">
        <v>3383</v>
      </c>
      <c r="B1904" s="8" t="s">
        <v>1655</v>
      </c>
      <c r="C1904" s="8" t="s">
        <v>3361</v>
      </c>
      <c r="D1904" s="8">
        <v>4</v>
      </c>
      <c r="E1904" s="8" t="s">
        <v>3381</v>
      </c>
      <c r="F1904" s="8" t="s">
        <v>378</v>
      </c>
      <c r="G1904" s="8" t="s">
        <v>3363</v>
      </c>
      <c r="H1904" s="10">
        <v>1080</v>
      </c>
      <c r="I1904" s="10"/>
      <c r="J1904" s="10">
        <v>1080</v>
      </c>
      <c r="K1904" s="10">
        <v>22.94</v>
      </c>
    </row>
    <row r="1905" spans="1:11" x14ac:dyDescent="0.25">
      <c r="A1905" s="8" t="s">
        <v>3384</v>
      </c>
      <c r="B1905" s="8" t="s">
        <v>1650</v>
      </c>
      <c r="C1905" s="8" t="s">
        <v>3361</v>
      </c>
      <c r="D1905" s="8">
        <v>4</v>
      </c>
      <c r="E1905" s="8" t="s">
        <v>3385</v>
      </c>
      <c r="F1905" s="8" t="s">
        <v>378</v>
      </c>
      <c r="G1905" s="8" t="s">
        <v>3363</v>
      </c>
      <c r="H1905" s="10">
        <v>360</v>
      </c>
      <c r="I1905" s="10"/>
      <c r="J1905" s="10">
        <v>360</v>
      </c>
      <c r="K1905" s="10">
        <v>26.76</v>
      </c>
    </row>
    <row r="1906" spans="1:11" x14ac:dyDescent="0.25">
      <c r="A1906" s="8" t="s">
        <v>3386</v>
      </c>
      <c r="B1906" s="8" t="s">
        <v>120</v>
      </c>
      <c r="C1906" s="8" t="s">
        <v>3361</v>
      </c>
      <c r="D1906" s="8">
        <v>4</v>
      </c>
      <c r="E1906" s="8" t="s">
        <v>3385</v>
      </c>
      <c r="F1906" s="8" t="s">
        <v>378</v>
      </c>
      <c r="G1906" s="8" t="s">
        <v>3363</v>
      </c>
      <c r="H1906" s="10">
        <v>5655</v>
      </c>
      <c r="I1906" s="10"/>
      <c r="J1906" s="10">
        <v>5655</v>
      </c>
      <c r="K1906" s="10">
        <v>26.76</v>
      </c>
    </row>
    <row r="1907" spans="1:11" x14ac:dyDescent="0.25">
      <c r="A1907" s="8" t="s">
        <v>3387</v>
      </c>
      <c r="B1907" s="8" t="s">
        <v>1655</v>
      </c>
      <c r="C1907" s="8" t="s">
        <v>3361</v>
      </c>
      <c r="D1907" s="8">
        <v>4</v>
      </c>
      <c r="E1907" s="8" t="s">
        <v>3385</v>
      </c>
      <c r="F1907" s="8" t="s">
        <v>378</v>
      </c>
      <c r="G1907" s="8" t="s">
        <v>3363</v>
      </c>
      <c r="H1907" s="10">
        <v>1170</v>
      </c>
      <c r="I1907" s="10"/>
      <c r="J1907" s="10">
        <v>1170</v>
      </c>
      <c r="K1907" s="10">
        <v>26.76</v>
      </c>
    </row>
    <row r="1908" spans="1:11" x14ac:dyDescent="0.25">
      <c r="A1908" s="8" t="s">
        <v>3388</v>
      </c>
      <c r="B1908" s="8" t="s">
        <v>1655</v>
      </c>
      <c r="C1908" s="8" t="s">
        <v>3361</v>
      </c>
      <c r="D1908" s="8">
        <v>4</v>
      </c>
      <c r="E1908" s="8" t="s">
        <v>3389</v>
      </c>
      <c r="F1908" s="8" t="s">
        <v>378</v>
      </c>
      <c r="G1908" s="8" t="s">
        <v>3363</v>
      </c>
      <c r="H1908" s="10">
        <v>30</v>
      </c>
      <c r="I1908" s="10"/>
      <c r="J1908" s="10">
        <v>30</v>
      </c>
      <c r="K1908" s="10">
        <v>22.94</v>
      </c>
    </row>
    <row r="1909" spans="1:11" x14ac:dyDescent="0.25">
      <c r="A1909" s="8" t="s">
        <v>3390</v>
      </c>
      <c r="B1909" s="8" t="s">
        <v>1650</v>
      </c>
      <c r="C1909" s="8" t="s">
        <v>3391</v>
      </c>
      <c r="D1909" s="8">
        <v>5</v>
      </c>
      <c r="E1909" s="8" t="s">
        <v>3392</v>
      </c>
      <c r="F1909" s="8" t="s">
        <v>378</v>
      </c>
      <c r="G1909" s="8" t="s">
        <v>3393</v>
      </c>
      <c r="H1909" s="10">
        <v>4470</v>
      </c>
      <c r="I1909" s="10"/>
      <c r="J1909" s="10">
        <v>4470</v>
      </c>
      <c r="K1909" s="10">
        <v>22.84</v>
      </c>
    </row>
    <row r="1910" spans="1:11" x14ac:dyDescent="0.25">
      <c r="A1910" s="8" t="s">
        <v>3394</v>
      </c>
      <c r="B1910" s="8" t="s">
        <v>120</v>
      </c>
      <c r="C1910" s="8" t="s">
        <v>3391</v>
      </c>
      <c r="D1910" s="8">
        <v>5</v>
      </c>
      <c r="E1910" s="8" t="s">
        <v>3392</v>
      </c>
      <c r="F1910" s="8" t="s">
        <v>378</v>
      </c>
      <c r="G1910" s="8" t="s">
        <v>3393</v>
      </c>
      <c r="H1910" s="10">
        <v>6725</v>
      </c>
      <c r="I1910" s="10"/>
      <c r="J1910" s="10">
        <v>6725</v>
      </c>
      <c r="K1910" s="10">
        <v>22.84</v>
      </c>
    </row>
    <row r="1911" spans="1:11" x14ac:dyDescent="0.25">
      <c r="A1911" s="8" t="s">
        <v>3395</v>
      </c>
      <c r="B1911" s="8" t="s">
        <v>1655</v>
      </c>
      <c r="C1911" s="8" t="s">
        <v>3391</v>
      </c>
      <c r="D1911" s="8">
        <v>5</v>
      </c>
      <c r="E1911" s="8" t="s">
        <v>3392</v>
      </c>
      <c r="F1911" s="8" t="s">
        <v>378</v>
      </c>
      <c r="G1911" s="8" t="s">
        <v>3393</v>
      </c>
      <c r="H1911" s="10">
        <v>8155</v>
      </c>
      <c r="I1911" s="10"/>
      <c r="J1911" s="10">
        <v>8155</v>
      </c>
      <c r="K1911" s="10">
        <v>22.84</v>
      </c>
    </row>
    <row r="1912" spans="1:11" x14ac:dyDescent="0.25">
      <c r="A1912" s="8" t="s">
        <v>3396</v>
      </c>
      <c r="B1912" s="8" t="s">
        <v>1689</v>
      </c>
      <c r="C1912" s="8" t="s">
        <v>3391</v>
      </c>
      <c r="D1912" s="8">
        <v>5</v>
      </c>
      <c r="E1912" s="8" t="s">
        <v>3392</v>
      </c>
      <c r="F1912" s="8" t="s">
        <v>378</v>
      </c>
      <c r="G1912" s="8" t="s">
        <v>3393</v>
      </c>
      <c r="H1912" s="10">
        <v>200</v>
      </c>
      <c r="I1912" s="10"/>
      <c r="J1912" s="10">
        <v>200</v>
      </c>
      <c r="K1912" s="10">
        <v>22.84</v>
      </c>
    </row>
    <row r="1913" spans="1:11" x14ac:dyDescent="0.25">
      <c r="A1913" s="8" t="s">
        <v>3397</v>
      </c>
      <c r="B1913" s="8" t="s">
        <v>1650</v>
      </c>
      <c r="C1913" s="8" t="s">
        <v>3391</v>
      </c>
      <c r="D1913" s="8">
        <v>5</v>
      </c>
      <c r="E1913" s="8" t="s">
        <v>3398</v>
      </c>
      <c r="F1913" s="8" t="s">
        <v>378</v>
      </c>
      <c r="G1913" s="8" t="s">
        <v>3393</v>
      </c>
      <c r="H1913" s="10">
        <v>4550</v>
      </c>
      <c r="I1913" s="10"/>
      <c r="J1913" s="10">
        <v>4550</v>
      </c>
      <c r="K1913" s="10">
        <v>27.29</v>
      </c>
    </row>
    <row r="1914" spans="1:11" x14ac:dyDescent="0.25">
      <c r="A1914" s="8" t="s">
        <v>3399</v>
      </c>
      <c r="B1914" s="8" t="s">
        <v>120</v>
      </c>
      <c r="C1914" s="8" t="s">
        <v>3391</v>
      </c>
      <c r="D1914" s="8">
        <v>5</v>
      </c>
      <c r="E1914" s="8" t="s">
        <v>3398</v>
      </c>
      <c r="F1914" s="8" t="s">
        <v>378</v>
      </c>
      <c r="G1914" s="8" t="s">
        <v>3393</v>
      </c>
      <c r="H1914" s="10">
        <v>1635</v>
      </c>
      <c r="I1914" s="10"/>
      <c r="J1914" s="10">
        <v>1635</v>
      </c>
      <c r="K1914" s="10">
        <v>27.29</v>
      </c>
    </row>
    <row r="1915" spans="1:11" x14ac:dyDescent="0.25">
      <c r="A1915" s="8" t="s">
        <v>3400</v>
      </c>
      <c r="B1915" s="8" t="s">
        <v>1655</v>
      </c>
      <c r="C1915" s="8" t="s">
        <v>3391</v>
      </c>
      <c r="D1915" s="8">
        <v>5</v>
      </c>
      <c r="E1915" s="8" t="s">
        <v>3398</v>
      </c>
      <c r="F1915" s="8" t="s">
        <v>378</v>
      </c>
      <c r="G1915" s="8" t="s">
        <v>3393</v>
      </c>
      <c r="H1915" s="10">
        <v>2150</v>
      </c>
      <c r="I1915" s="10"/>
      <c r="J1915" s="10">
        <v>2150</v>
      </c>
      <c r="K1915" s="10">
        <v>27.29</v>
      </c>
    </row>
    <row r="1916" spans="1:11" x14ac:dyDescent="0.25">
      <c r="A1916" s="8" t="s">
        <v>3401</v>
      </c>
      <c r="B1916" s="8" t="s">
        <v>1689</v>
      </c>
      <c r="C1916" s="8" t="s">
        <v>3391</v>
      </c>
      <c r="D1916" s="8">
        <v>5</v>
      </c>
      <c r="E1916" s="8" t="s">
        <v>3398</v>
      </c>
      <c r="F1916" s="8" t="s">
        <v>378</v>
      </c>
      <c r="G1916" s="8" t="s">
        <v>3393</v>
      </c>
      <c r="H1916" s="10">
        <v>200</v>
      </c>
      <c r="I1916" s="10"/>
      <c r="J1916" s="10">
        <v>200</v>
      </c>
      <c r="K1916" s="10">
        <v>27.29</v>
      </c>
    </row>
    <row r="1917" spans="1:11" x14ac:dyDescent="0.25">
      <c r="A1917" s="8" t="s">
        <v>3402</v>
      </c>
      <c r="B1917" s="8" t="s">
        <v>1650</v>
      </c>
      <c r="C1917" s="8" t="s">
        <v>3391</v>
      </c>
      <c r="D1917" s="8">
        <v>5</v>
      </c>
      <c r="E1917" s="8" t="s">
        <v>3403</v>
      </c>
      <c r="F1917" s="8" t="s">
        <v>378</v>
      </c>
      <c r="G1917" s="8" t="s">
        <v>3393</v>
      </c>
      <c r="H1917" s="10">
        <v>1690</v>
      </c>
      <c r="I1917" s="10"/>
      <c r="J1917" s="10">
        <v>1690</v>
      </c>
      <c r="K1917" s="10">
        <v>32.130000000000003</v>
      </c>
    </row>
    <row r="1918" spans="1:11" x14ac:dyDescent="0.25">
      <c r="A1918" s="8" t="s">
        <v>3404</v>
      </c>
      <c r="B1918" s="8" t="s">
        <v>120</v>
      </c>
      <c r="C1918" s="8" t="s">
        <v>3391</v>
      </c>
      <c r="D1918" s="8">
        <v>5</v>
      </c>
      <c r="E1918" s="8" t="s">
        <v>3403</v>
      </c>
      <c r="F1918" s="8" t="s">
        <v>378</v>
      </c>
      <c r="G1918" s="8" t="s">
        <v>3393</v>
      </c>
      <c r="H1918" s="10">
        <v>2850</v>
      </c>
      <c r="I1918" s="10"/>
      <c r="J1918" s="10">
        <v>2850</v>
      </c>
      <c r="K1918" s="10">
        <v>32.130000000000003</v>
      </c>
    </row>
    <row r="1919" spans="1:11" x14ac:dyDescent="0.25">
      <c r="A1919" s="8" t="s">
        <v>3405</v>
      </c>
      <c r="B1919" s="8" t="s">
        <v>1655</v>
      </c>
      <c r="C1919" s="8" t="s">
        <v>3391</v>
      </c>
      <c r="D1919" s="8">
        <v>5</v>
      </c>
      <c r="E1919" s="8" t="s">
        <v>3403</v>
      </c>
      <c r="F1919" s="8" t="s">
        <v>378</v>
      </c>
      <c r="G1919" s="8" t="s">
        <v>3393</v>
      </c>
      <c r="H1919" s="10">
        <v>1955</v>
      </c>
      <c r="I1919" s="10"/>
      <c r="J1919" s="10">
        <v>1955</v>
      </c>
      <c r="K1919" s="10">
        <v>32.130000000000003</v>
      </c>
    </row>
    <row r="1920" spans="1:11" x14ac:dyDescent="0.25">
      <c r="A1920" s="8" t="s">
        <v>3406</v>
      </c>
      <c r="B1920" s="8" t="s">
        <v>1689</v>
      </c>
      <c r="C1920" s="8" t="s">
        <v>3391</v>
      </c>
      <c r="D1920" s="8">
        <v>5</v>
      </c>
      <c r="E1920" s="8" t="s">
        <v>3403</v>
      </c>
      <c r="F1920" s="8" t="s">
        <v>378</v>
      </c>
      <c r="G1920" s="8" t="s">
        <v>3393</v>
      </c>
      <c r="H1920" s="10">
        <v>200</v>
      </c>
      <c r="I1920" s="10"/>
      <c r="J1920" s="10">
        <v>200</v>
      </c>
      <c r="K1920" s="10">
        <v>32.130000000000003</v>
      </c>
    </row>
    <row r="1921" spans="1:11" x14ac:dyDescent="0.25">
      <c r="A1921" s="8" t="s">
        <v>3407</v>
      </c>
      <c r="B1921" s="8" t="s">
        <v>1650</v>
      </c>
      <c r="C1921" s="8" t="s">
        <v>3361</v>
      </c>
      <c r="D1921" s="8">
        <v>4</v>
      </c>
      <c r="E1921" s="8" t="s">
        <v>3408</v>
      </c>
      <c r="F1921" s="8" t="s">
        <v>378</v>
      </c>
      <c r="G1921" s="8" t="s">
        <v>3363</v>
      </c>
      <c r="H1921" s="10">
        <v>300</v>
      </c>
      <c r="I1921" s="10"/>
      <c r="J1921" s="10">
        <v>300</v>
      </c>
      <c r="K1921" s="10">
        <v>19.11</v>
      </c>
    </row>
    <row r="1922" spans="1:11" x14ac:dyDescent="0.25">
      <c r="A1922" s="8" t="s">
        <v>3409</v>
      </c>
      <c r="B1922" s="8" t="s">
        <v>120</v>
      </c>
      <c r="C1922" s="8" t="s">
        <v>3361</v>
      </c>
      <c r="D1922" s="8">
        <v>4</v>
      </c>
      <c r="E1922" s="8" t="s">
        <v>3408</v>
      </c>
      <c r="F1922" s="8" t="s">
        <v>378</v>
      </c>
      <c r="G1922" s="8" t="s">
        <v>3363</v>
      </c>
      <c r="H1922" s="10">
        <v>2050</v>
      </c>
      <c r="I1922" s="10"/>
      <c r="J1922" s="10">
        <v>2050</v>
      </c>
      <c r="K1922" s="10">
        <v>19.11</v>
      </c>
    </row>
    <row r="1923" spans="1:11" x14ac:dyDescent="0.25">
      <c r="A1923" s="8" t="s">
        <v>3410</v>
      </c>
      <c r="B1923" s="8" t="s">
        <v>1655</v>
      </c>
      <c r="C1923" s="8" t="s">
        <v>3361</v>
      </c>
      <c r="D1923" s="8">
        <v>4</v>
      </c>
      <c r="E1923" s="8" t="s">
        <v>3408</v>
      </c>
      <c r="F1923" s="8" t="s">
        <v>378</v>
      </c>
      <c r="G1923" s="8" t="s">
        <v>3363</v>
      </c>
      <c r="H1923" s="10">
        <v>140</v>
      </c>
      <c r="I1923" s="10"/>
      <c r="J1923" s="10">
        <v>140</v>
      </c>
      <c r="K1923" s="10">
        <v>19.11</v>
      </c>
    </row>
    <row r="1924" spans="1:11" x14ac:dyDescent="0.25">
      <c r="A1924" s="8" t="s">
        <v>3411</v>
      </c>
      <c r="B1924" s="8" t="s">
        <v>1650</v>
      </c>
      <c r="C1924" s="8" t="s">
        <v>3361</v>
      </c>
      <c r="D1924" s="8">
        <v>4</v>
      </c>
      <c r="E1924" s="8" t="s">
        <v>3412</v>
      </c>
      <c r="F1924" s="8" t="s">
        <v>378</v>
      </c>
      <c r="G1924" s="8" t="s">
        <v>3363</v>
      </c>
      <c r="H1924" s="10">
        <v>800</v>
      </c>
      <c r="I1924" s="10"/>
      <c r="J1924" s="10">
        <v>800</v>
      </c>
      <c r="K1924" s="10">
        <v>22.94</v>
      </c>
    </row>
    <row r="1925" spans="1:11" x14ac:dyDescent="0.25">
      <c r="A1925" s="8" t="s">
        <v>3413</v>
      </c>
      <c r="B1925" s="8" t="s">
        <v>120</v>
      </c>
      <c r="C1925" s="8" t="s">
        <v>3361</v>
      </c>
      <c r="D1925" s="8">
        <v>4</v>
      </c>
      <c r="E1925" s="8" t="s">
        <v>3412</v>
      </c>
      <c r="F1925" s="8" t="s">
        <v>378</v>
      </c>
      <c r="G1925" s="8" t="s">
        <v>3363</v>
      </c>
      <c r="H1925" s="10">
        <v>3570</v>
      </c>
      <c r="I1925" s="10"/>
      <c r="J1925" s="10">
        <v>3570</v>
      </c>
      <c r="K1925" s="10">
        <v>22.94</v>
      </c>
    </row>
    <row r="1926" spans="1:11" x14ac:dyDescent="0.25">
      <c r="A1926" s="8" t="s">
        <v>3414</v>
      </c>
      <c r="B1926" s="8" t="s">
        <v>1655</v>
      </c>
      <c r="C1926" s="8" t="s">
        <v>3361</v>
      </c>
      <c r="D1926" s="8">
        <v>4</v>
      </c>
      <c r="E1926" s="8" t="s">
        <v>3412</v>
      </c>
      <c r="F1926" s="8" t="s">
        <v>378</v>
      </c>
      <c r="G1926" s="8" t="s">
        <v>3363</v>
      </c>
      <c r="H1926" s="10">
        <v>1120</v>
      </c>
      <c r="I1926" s="10"/>
      <c r="J1926" s="10">
        <v>1120</v>
      </c>
      <c r="K1926" s="10">
        <v>22.94</v>
      </c>
    </row>
    <row r="1927" spans="1:11" x14ac:dyDescent="0.25">
      <c r="A1927" s="8" t="s">
        <v>3415</v>
      </c>
      <c r="B1927" s="8" t="s">
        <v>1650</v>
      </c>
      <c r="C1927" s="8" t="s">
        <v>3361</v>
      </c>
      <c r="D1927" s="8">
        <v>4</v>
      </c>
      <c r="E1927" s="8" t="s">
        <v>3416</v>
      </c>
      <c r="F1927" s="8" t="s">
        <v>378</v>
      </c>
      <c r="G1927" s="8" t="s">
        <v>3363</v>
      </c>
      <c r="H1927" s="10">
        <v>880</v>
      </c>
      <c r="I1927" s="10"/>
      <c r="J1927" s="10">
        <v>880</v>
      </c>
      <c r="K1927" s="10">
        <v>22.94</v>
      </c>
    </row>
    <row r="1928" spans="1:11" x14ac:dyDescent="0.25">
      <c r="A1928" s="8" t="s">
        <v>3417</v>
      </c>
      <c r="B1928" s="8" t="s">
        <v>120</v>
      </c>
      <c r="C1928" s="8" t="s">
        <v>3361</v>
      </c>
      <c r="D1928" s="8">
        <v>4</v>
      </c>
      <c r="E1928" s="8" t="s">
        <v>3416</v>
      </c>
      <c r="F1928" s="8" t="s">
        <v>378</v>
      </c>
      <c r="G1928" s="8" t="s">
        <v>3363</v>
      </c>
      <c r="H1928" s="10">
        <v>400</v>
      </c>
      <c r="I1928" s="10"/>
      <c r="J1928" s="10">
        <v>400</v>
      </c>
      <c r="K1928" s="10">
        <v>22.94</v>
      </c>
    </row>
    <row r="1929" spans="1:11" x14ac:dyDescent="0.25">
      <c r="A1929" s="8" t="s">
        <v>3418</v>
      </c>
      <c r="B1929" s="8" t="s">
        <v>1655</v>
      </c>
      <c r="C1929" s="8" t="s">
        <v>3361</v>
      </c>
      <c r="D1929" s="8">
        <v>4</v>
      </c>
      <c r="E1929" s="8" t="s">
        <v>3416</v>
      </c>
      <c r="F1929" s="8" t="s">
        <v>378</v>
      </c>
      <c r="G1929" s="8" t="s">
        <v>3363</v>
      </c>
      <c r="H1929" s="10">
        <v>1320</v>
      </c>
      <c r="I1929" s="10"/>
      <c r="J1929" s="10">
        <v>1320</v>
      </c>
      <c r="K1929" s="10">
        <v>22.94</v>
      </c>
    </row>
    <row r="1930" spans="1:11" x14ac:dyDescent="0.25">
      <c r="A1930" s="8" t="s">
        <v>3419</v>
      </c>
      <c r="B1930" s="8" t="s">
        <v>1650</v>
      </c>
      <c r="C1930" s="8" t="s">
        <v>3361</v>
      </c>
      <c r="D1930" s="8">
        <v>4</v>
      </c>
      <c r="E1930" s="8" t="s">
        <v>3420</v>
      </c>
      <c r="F1930" s="8" t="s">
        <v>378</v>
      </c>
      <c r="G1930" s="8" t="s">
        <v>3363</v>
      </c>
      <c r="H1930" s="10">
        <v>600</v>
      </c>
      <c r="I1930" s="10"/>
      <c r="J1930" s="10">
        <v>600</v>
      </c>
      <c r="K1930" s="10">
        <v>22.94</v>
      </c>
    </row>
    <row r="1931" spans="1:11" x14ac:dyDescent="0.25">
      <c r="A1931" s="8" t="s">
        <v>3421</v>
      </c>
      <c r="B1931" s="8" t="s">
        <v>120</v>
      </c>
      <c r="C1931" s="8" t="s">
        <v>3361</v>
      </c>
      <c r="D1931" s="8">
        <v>4</v>
      </c>
      <c r="E1931" s="8" t="s">
        <v>3420</v>
      </c>
      <c r="F1931" s="8" t="s">
        <v>378</v>
      </c>
      <c r="G1931" s="8" t="s">
        <v>3363</v>
      </c>
      <c r="H1931" s="10">
        <v>1980</v>
      </c>
      <c r="I1931" s="10"/>
      <c r="J1931" s="10">
        <v>1980</v>
      </c>
      <c r="K1931" s="10">
        <v>22.94</v>
      </c>
    </row>
    <row r="1932" spans="1:11" x14ac:dyDescent="0.25">
      <c r="A1932" s="8" t="s">
        <v>3422</v>
      </c>
      <c r="B1932" s="8" t="s">
        <v>2074</v>
      </c>
      <c r="C1932" s="8" t="s">
        <v>3361</v>
      </c>
      <c r="D1932" s="8">
        <v>4</v>
      </c>
      <c r="E1932" s="8" t="s">
        <v>3420</v>
      </c>
      <c r="F1932" s="8" t="s">
        <v>378</v>
      </c>
      <c r="G1932" s="8" t="s">
        <v>3363</v>
      </c>
      <c r="H1932" s="10">
        <v>100</v>
      </c>
      <c r="I1932" s="10"/>
      <c r="J1932" s="10">
        <v>100</v>
      </c>
      <c r="K1932" s="10">
        <v>22.94</v>
      </c>
    </row>
    <row r="1933" spans="1:11" x14ac:dyDescent="0.25">
      <c r="A1933" s="8" t="s">
        <v>3423</v>
      </c>
      <c r="B1933" s="8" t="s">
        <v>1650</v>
      </c>
      <c r="C1933" s="8" t="s">
        <v>3361</v>
      </c>
      <c r="D1933" s="8">
        <v>4</v>
      </c>
      <c r="E1933" s="8" t="s">
        <v>3424</v>
      </c>
      <c r="F1933" s="8" t="s">
        <v>378</v>
      </c>
      <c r="G1933" s="8" t="s">
        <v>3363</v>
      </c>
      <c r="H1933" s="10">
        <v>1020</v>
      </c>
      <c r="I1933" s="10"/>
      <c r="J1933" s="10">
        <v>1020</v>
      </c>
      <c r="K1933" s="10">
        <v>26.76</v>
      </c>
    </row>
    <row r="1934" spans="1:11" x14ac:dyDescent="0.25">
      <c r="A1934" s="8" t="s">
        <v>3425</v>
      </c>
      <c r="B1934" s="8" t="s">
        <v>120</v>
      </c>
      <c r="C1934" s="8" t="s">
        <v>3361</v>
      </c>
      <c r="D1934" s="8">
        <v>4</v>
      </c>
      <c r="E1934" s="8" t="s">
        <v>3424</v>
      </c>
      <c r="F1934" s="8" t="s">
        <v>378</v>
      </c>
      <c r="G1934" s="8" t="s">
        <v>3363</v>
      </c>
      <c r="H1934" s="10">
        <v>2760</v>
      </c>
      <c r="I1934" s="10"/>
      <c r="J1934" s="10">
        <v>2760</v>
      </c>
      <c r="K1934" s="10">
        <v>26.76</v>
      </c>
    </row>
    <row r="1935" spans="1:11" x14ac:dyDescent="0.25">
      <c r="A1935" s="8" t="s">
        <v>3426</v>
      </c>
      <c r="B1935" s="8" t="s">
        <v>1655</v>
      </c>
      <c r="C1935" s="8" t="s">
        <v>3361</v>
      </c>
      <c r="D1935" s="8">
        <v>4</v>
      </c>
      <c r="E1935" s="8" t="s">
        <v>3424</v>
      </c>
      <c r="F1935" s="8" t="s">
        <v>378</v>
      </c>
      <c r="G1935" s="8" t="s">
        <v>3363</v>
      </c>
      <c r="H1935" s="10">
        <v>150</v>
      </c>
      <c r="I1935" s="10"/>
      <c r="J1935" s="10">
        <v>150</v>
      </c>
      <c r="K1935" s="10">
        <v>26.76</v>
      </c>
    </row>
    <row r="1936" spans="1:11" x14ac:dyDescent="0.25">
      <c r="A1936" s="8" t="s">
        <v>3427</v>
      </c>
      <c r="B1936" s="8" t="s">
        <v>1650</v>
      </c>
      <c r="C1936" s="8" t="s">
        <v>3361</v>
      </c>
      <c r="D1936" s="8">
        <v>4</v>
      </c>
      <c r="E1936" s="8" t="s">
        <v>382</v>
      </c>
      <c r="F1936" s="8" t="s">
        <v>378</v>
      </c>
      <c r="G1936" s="8" t="s">
        <v>3363</v>
      </c>
      <c r="H1936" s="10">
        <v>40</v>
      </c>
      <c r="I1936" s="10"/>
      <c r="J1936" s="10">
        <v>40</v>
      </c>
      <c r="K1936" s="10">
        <v>26.28</v>
      </c>
    </row>
    <row r="1937" spans="1:11" x14ac:dyDescent="0.25">
      <c r="A1937" s="8" t="s">
        <v>3428</v>
      </c>
      <c r="B1937" s="8" t="s">
        <v>1650</v>
      </c>
      <c r="C1937" s="8" t="s">
        <v>3361</v>
      </c>
      <c r="D1937" s="8">
        <v>4</v>
      </c>
      <c r="E1937" s="8" t="s">
        <v>385</v>
      </c>
      <c r="F1937" s="8" t="s">
        <v>378</v>
      </c>
      <c r="G1937" s="8" t="s">
        <v>3363</v>
      </c>
      <c r="H1937" s="10">
        <v>100</v>
      </c>
      <c r="I1937" s="10"/>
      <c r="J1937" s="10">
        <v>100</v>
      </c>
      <c r="K1937" s="10">
        <v>28.91</v>
      </c>
    </row>
    <row r="1938" spans="1:11" x14ac:dyDescent="0.25">
      <c r="A1938" s="8" t="s">
        <v>3429</v>
      </c>
      <c r="B1938" s="8" t="s">
        <v>1650</v>
      </c>
      <c r="C1938" s="8" t="s">
        <v>3361</v>
      </c>
      <c r="D1938" s="8">
        <v>4</v>
      </c>
      <c r="E1938" s="8" t="s">
        <v>3430</v>
      </c>
      <c r="F1938" s="8" t="s">
        <v>378</v>
      </c>
      <c r="G1938" s="8" t="s">
        <v>3363</v>
      </c>
      <c r="H1938" s="10">
        <v>340</v>
      </c>
      <c r="I1938" s="10"/>
      <c r="J1938" s="10">
        <v>340</v>
      </c>
      <c r="K1938" s="10">
        <v>41.54</v>
      </c>
    </row>
    <row r="1939" spans="1:11" x14ac:dyDescent="0.25">
      <c r="A1939" s="8" t="s">
        <v>3431</v>
      </c>
      <c r="B1939" s="8" t="s">
        <v>120</v>
      </c>
      <c r="C1939" s="8" t="s">
        <v>3361</v>
      </c>
      <c r="D1939" s="8">
        <v>4</v>
      </c>
      <c r="E1939" s="8" t="s">
        <v>3430</v>
      </c>
      <c r="F1939" s="8" t="s">
        <v>378</v>
      </c>
      <c r="G1939" s="8" t="s">
        <v>3363</v>
      </c>
      <c r="H1939" s="10">
        <v>810</v>
      </c>
      <c r="I1939" s="10"/>
      <c r="J1939" s="10">
        <v>810</v>
      </c>
      <c r="K1939" s="10">
        <v>41.54</v>
      </c>
    </row>
    <row r="1940" spans="1:11" x14ac:dyDescent="0.25">
      <c r="A1940" s="8" t="s">
        <v>3432</v>
      </c>
      <c r="B1940" s="8" t="s">
        <v>1655</v>
      </c>
      <c r="C1940" s="8" t="s">
        <v>3361</v>
      </c>
      <c r="D1940" s="8">
        <v>4</v>
      </c>
      <c r="E1940" s="8" t="s">
        <v>3430</v>
      </c>
      <c r="F1940" s="8" t="s">
        <v>378</v>
      </c>
      <c r="G1940" s="8" t="s">
        <v>3363</v>
      </c>
      <c r="H1940" s="10">
        <v>200</v>
      </c>
      <c r="I1940" s="10"/>
      <c r="J1940" s="10">
        <v>200</v>
      </c>
      <c r="K1940" s="10">
        <v>41.54</v>
      </c>
    </row>
    <row r="1941" spans="1:11" x14ac:dyDescent="0.25">
      <c r="A1941" s="8" t="s">
        <v>3433</v>
      </c>
      <c r="B1941" s="8" t="s">
        <v>120</v>
      </c>
      <c r="C1941" s="8" t="s">
        <v>3361</v>
      </c>
      <c r="D1941" s="8">
        <v>4</v>
      </c>
      <c r="E1941" s="8" t="s">
        <v>3434</v>
      </c>
      <c r="F1941" s="8" t="s">
        <v>378</v>
      </c>
      <c r="G1941" s="8" t="s">
        <v>3363</v>
      </c>
      <c r="H1941" s="10">
        <v>750</v>
      </c>
      <c r="I1941" s="10"/>
      <c r="J1941" s="10">
        <v>750</v>
      </c>
      <c r="K1941" s="10">
        <v>19.11</v>
      </c>
    </row>
    <row r="1942" spans="1:11" x14ac:dyDescent="0.25">
      <c r="A1942" s="8" t="s">
        <v>3435</v>
      </c>
      <c r="B1942" s="8" t="s">
        <v>1655</v>
      </c>
      <c r="C1942" s="8" t="s">
        <v>3361</v>
      </c>
      <c r="D1942" s="8">
        <v>4</v>
      </c>
      <c r="E1942" s="8" t="s">
        <v>3434</v>
      </c>
      <c r="F1942" s="8" t="s">
        <v>378</v>
      </c>
      <c r="G1942" s="8" t="s">
        <v>3363</v>
      </c>
      <c r="H1942" s="10">
        <v>200</v>
      </c>
      <c r="I1942" s="10"/>
      <c r="J1942" s="10">
        <v>200</v>
      </c>
      <c r="K1942" s="10">
        <v>19.11</v>
      </c>
    </row>
    <row r="1943" spans="1:11" x14ac:dyDescent="0.25">
      <c r="A1943" s="8" t="s">
        <v>3436</v>
      </c>
      <c r="B1943" s="8" t="s">
        <v>1650</v>
      </c>
      <c r="C1943" s="8" t="s">
        <v>3361</v>
      </c>
      <c r="D1943" s="8">
        <v>4</v>
      </c>
      <c r="E1943" s="8" t="s">
        <v>3437</v>
      </c>
      <c r="F1943" s="8" t="s">
        <v>378</v>
      </c>
      <c r="G1943" s="8" t="s">
        <v>3363</v>
      </c>
      <c r="H1943" s="10">
        <v>750</v>
      </c>
      <c r="I1943" s="10"/>
      <c r="J1943" s="10">
        <v>750</v>
      </c>
      <c r="K1943" s="10">
        <v>22.94</v>
      </c>
    </row>
    <row r="1944" spans="1:11" x14ac:dyDescent="0.25">
      <c r="A1944" s="8" t="s">
        <v>3438</v>
      </c>
      <c r="B1944" s="8" t="s">
        <v>120</v>
      </c>
      <c r="C1944" s="8" t="s">
        <v>3361</v>
      </c>
      <c r="D1944" s="8">
        <v>4</v>
      </c>
      <c r="E1944" s="8" t="s">
        <v>3437</v>
      </c>
      <c r="F1944" s="8" t="s">
        <v>378</v>
      </c>
      <c r="G1944" s="8" t="s">
        <v>3363</v>
      </c>
      <c r="H1944" s="10">
        <v>900</v>
      </c>
      <c r="I1944" s="10"/>
      <c r="J1944" s="10">
        <v>900</v>
      </c>
      <c r="K1944" s="10">
        <v>22.94</v>
      </c>
    </row>
    <row r="1945" spans="1:11" x14ac:dyDescent="0.25">
      <c r="A1945" s="8" t="s">
        <v>3439</v>
      </c>
      <c r="B1945" s="8" t="s">
        <v>1655</v>
      </c>
      <c r="C1945" s="8" t="s">
        <v>3361</v>
      </c>
      <c r="D1945" s="8">
        <v>4</v>
      </c>
      <c r="E1945" s="8" t="s">
        <v>3437</v>
      </c>
      <c r="F1945" s="8" t="s">
        <v>378</v>
      </c>
      <c r="G1945" s="8" t="s">
        <v>3363</v>
      </c>
      <c r="H1945" s="10">
        <v>280</v>
      </c>
      <c r="I1945" s="10"/>
      <c r="J1945" s="10">
        <v>280</v>
      </c>
      <c r="K1945" s="10">
        <v>22.94</v>
      </c>
    </row>
    <row r="1946" spans="1:11" x14ac:dyDescent="0.25">
      <c r="A1946" s="8" t="s">
        <v>3440</v>
      </c>
      <c r="B1946" s="8" t="s">
        <v>120</v>
      </c>
      <c r="C1946" s="8" t="s">
        <v>3361</v>
      </c>
      <c r="D1946" s="8">
        <v>4</v>
      </c>
      <c r="E1946" s="8" t="s">
        <v>3441</v>
      </c>
      <c r="F1946" s="8" t="s">
        <v>378</v>
      </c>
      <c r="G1946" s="8" t="s">
        <v>3363</v>
      </c>
      <c r="H1946" s="10">
        <v>40</v>
      </c>
      <c r="I1946" s="10"/>
      <c r="J1946" s="10">
        <v>40</v>
      </c>
      <c r="K1946" s="10">
        <v>26.76</v>
      </c>
    </row>
    <row r="1947" spans="1:11" x14ac:dyDescent="0.25">
      <c r="A1947" s="8" t="s">
        <v>3442</v>
      </c>
      <c r="B1947" s="8" t="s">
        <v>1655</v>
      </c>
      <c r="C1947" s="8" t="s">
        <v>3361</v>
      </c>
      <c r="D1947" s="8">
        <v>4</v>
      </c>
      <c r="E1947" s="8" t="s">
        <v>3441</v>
      </c>
      <c r="F1947" s="8" t="s">
        <v>378</v>
      </c>
      <c r="G1947" s="8" t="s">
        <v>3363</v>
      </c>
      <c r="H1947" s="10">
        <v>20</v>
      </c>
      <c r="I1947" s="10"/>
      <c r="J1947" s="10">
        <v>20</v>
      </c>
      <c r="K1947" s="10">
        <v>26.76</v>
      </c>
    </row>
    <row r="1948" spans="1:11" x14ac:dyDescent="0.25">
      <c r="A1948" s="8" t="s">
        <v>3443</v>
      </c>
      <c r="B1948" s="8" t="s">
        <v>120</v>
      </c>
      <c r="C1948" s="8" t="s">
        <v>3361</v>
      </c>
      <c r="D1948" s="8">
        <v>4</v>
      </c>
      <c r="E1948" s="8" t="s">
        <v>3444</v>
      </c>
      <c r="F1948" s="8" t="s">
        <v>378</v>
      </c>
      <c r="G1948" s="8" t="s">
        <v>3363</v>
      </c>
      <c r="H1948" s="10">
        <v>700</v>
      </c>
      <c r="I1948" s="10"/>
      <c r="J1948" s="10">
        <v>700</v>
      </c>
      <c r="K1948" s="10">
        <v>30.58</v>
      </c>
    </row>
    <row r="1949" spans="1:11" x14ac:dyDescent="0.25">
      <c r="A1949" s="8" t="s">
        <v>3445</v>
      </c>
      <c r="B1949" s="8" t="s">
        <v>1655</v>
      </c>
      <c r="C1949" s="8" t="s">
        <v>3391</v>
      </c>
      <c r="D1949" s="8">
        <v>5</v>
      </c>
      <c r="E1949" s="8" t="s">
        <v>3446</v>
      </c>
      <c r="F1949" s="8" t="s">
        <v>378</v>
      </c>
      <c r="G1949" s="8" t="s">
        <v>3393</v>
      </c>
      <c r="H1949" s="10">
        <v>17580</v>
      </c>
      <c r="I1949" s="10"/>
      <c r="J1949" s="10">
        <v>17580</v>
      </c>
      <c r="K1949" s="10">
        <v>36.840000000000003</v>
      </c>
    </row>
    <row r="1950" spans="1:11" x14ac:dyDescent="0.25">
      <c r="A1950" s="8" t="s">
        <v>3447</v>
      </c>
      <c r="B1950" s="8" t="s">
        <v>1650</v>
      </c>
      <c r="C1950" s="8" t="s">
        <v>3391</v>
      </c>
      <c r="D1950" s="8">
        <v>5</v>
      </c>
      <c r="E1950" s="8" t="s">
        <v>3448</v>
      </c>
      <c r="F1950" s="8" t="s">
        <v>378</v>
      </c>
      <c r="G1950" s="8" t="s">
        <v>3393</v>
      </c>
      <c r="H1950" s="10">
        <v>340</v>
      </c>
      <c r="I1950" s="10"/>
      <c r="J1950" s="10">
        <v>340</v>
      </c>
      <c r="K1950" s="10">
        <v>50.15</v>
      </c>
    </row>
    <row r="1951" spans="1:11" x14ac:dyDescent="0.25">
      <c r="A1951" s="8" t="s">
        <v>3449</v>
      </c>
      <c r="B1951" s="8" t="s">
        <v>1655</v>
      </c>
      <c r="C1951" s="8" t="s">
        <v>3391</v>
      </c>
      <c r="D1951" s="8">
        <v>5</v>
      </c>
      <c r="E1951" s="8" t="s">
        <v>3448</v>
      </c>
      <c r="F1951" s="8" t="s">
        <v>378</v>
      </c>
      <c r="G1951" s="8" t="s">
        <v>3393</v>
      </c>
      <c r="H1951" s="10">
        <v>400</v>
      </c>
      <c r="I1951" s="10"/>
      <c r="J1951" s="10">
        <v>400</v>
      </c>
      <c r="K1951" s="10">
        <v>50.15</v>
      </c>
    </row>
    <row r="1952" spans="1:11" x14ac:dyDescent="0.25">
      <c r="A1952" s="8" t="s">
        <v>3450</v>
      </c>
      <c r="B1952" s="8" t="s">
        <v>1655</v>
      </c>
      <c r="C1952" s="8" t="s">
        <v>3361</v>
      </c>
      <c r="D1952" s="8">
        <v>4</v>
      </c>
      <c r="E1952" s="8" t="s">
        <v>3451</v>
      </c>
      <c r="F1952" s="8" t="s">
        <v>378</v>
      </c>
      <c r="G1952" s="8" t="s">
        <v>3363</v>
      </c>
      <c r="H1952" s="10">
        <v>900</v>
      </c>
      <c r="I1952" s="10"/>
      <c r="J1952" s="10">
        <v>900</v>
      </c>
      <c r="K1952" s="10">
        <v>19.11</v>
      </c>
    </row>
    <row r="1953" spans="1:11" x14ac:dyDescent="0.25">
      <c r="A1953" s="8" t="s">
        <v>3452</v>
      </c>
      <c r="B1953" s="8" t="s">
        <v>120</v>
      </c>
      <c r="C1953" s="8" t="s">
        <v>3361</v>
      </c>
      <c r="D1953" s="8">
        <v>4</v>
      </c>
      <c r="E1953" s="8" t="s">
        <v>3453</v>
      </c>
      <c r="F1953" s="8" t="s">
        <v>378</v>
      </c>
      <c r="G1953" s="8" t="s">
        <v>3363</v>
      </c>
      <c r="H1953" s="10">
        <v>940</v>
      </c>
      <c r="I1953" s="10"/>
      <c r="J1953" s="10">
        <v>940</v>
      </c>
      <c r="K1953" s="10">
        <v>22.94</v>
      </c>
    </row>
    <row r="1954" spans="1:11" x14ac:dyDescent="0.25">
      <c r="A1954" s="8" t="s">
        <v>3454</v>
      </c>
      <c r="B1954" s="8" t="s">
        <v>1655</v>
      </c>
      <c r="C1954" s="8" t="s">
        <v>3361</v>
      </c>
      <c r="D1954" s="8">
        <v>4</v>
      </c>
      <c r="E1954" s="8" t="s">
        <v>3453</v>
      </c>
      <c r="F1954" s="8" t="s">
        <v>378</v>
      </c>
      <c r="G1954" s="8" t="s">
        <v>3363</v>
      </c>
      <c r="H1954" s="10">
        <v>600</v>
      </c>
      <c r="I1954" s="10"/>
      <c r="J1954" s="10">
        <v>600</v>
      </c>
      <c r="K1954" s="10">
        <v>22.94</v>
      </c>
    </row>
    <row r="1955" spans="1:11" x14ac:dyDescent="0.25">
      <c r="A1955" s="8" t="s">
        <v>3455</v>
      </c>
      <c r="B1955" s="8" t="s">
        <v>120</v>
      </c>
      <c r="C1955" s="8" t="s">
        <v>3361</v>
      </c>
      <c r="D1955" s="8">
        <v>4</v>
      </c>
      <c r="E1955" s="8" t="s">
        <v>3456</v>
      </c>
      <c r="F1955" s="8" t="s">
        <v>378</v>
      </c>
      <c r="G1955" s="8" t="s">
        <v>3363</v>
      </c>
      <c r="H1955" s="10">
        <v>800</v>
      </c>
      <c r="I1955" s="10"/>
      <c r="J1955" s="10">
        <v>800</v>
      </c>
      <c r="K1955" s="10">
        <v>26.76</v>
      </c>
    </row>
    <row r="1956" spans="1:11" x14ac:dyDescent="0.25">
      <c r="A1956" s="8" t="s">
        <v>3457</v>
      </c>
      <c r="B1956" s="8" t="s">
        <v>1650</v>
      </c>
      <c r="C1956" s="8" t="s">
        <v>3361</v>
      </c>
      <c r="D1956" s="8">
        <v>4</v>
      </c>
      <c r="E1956" s="8" t="s">
        <v>3458</v>
      </c>
      <c r="F1956" s="8" t="s">
        <v>378</v>
      </c>
      <c r="G1956" s="8" t="s">
        <v>3363</v>
      </c>
      <c r="H1956" s="10">
        <v>1600</v>
      </c>
      <c r="I1956" s="10"/>
      <c r="J1956" s="10">
        <v>1600</v>
      </c>
      <c r="K1956" s="10">
        <v>26.76</v>
      </c>
    </row>
    <row r="1957" spans="1:11" x14ac:dyDescent="0.25">
      <c r="A1957" s="8" t="s">
        <v>3459</v>
      </c>
      <c r="B1957" s="8" t="s">
        <v>120</v>
      </c>
      <c r="C1957" s="8" t="s">
        <v>3361</v>
      </c>
      <c r="D1957" s="8">
        <v>4</v>
      </c>
      <c r="E1957" s="8" t="s">
        <v>3458</v>
      </c>
      <c r="F1957" s="8" t="s">
        <v>378</v>
      </c>
      <c r="G1957" s="8" t="s">
        <v>3363</v>
      </c>
      <c r="H1957" s="10">
        <v>580</v>
      </c>
      <c r="I1957" s="10"/>
      <c r="J1957" s="10">
        <v>580</v>
      </c>
      <c r="K1957" s="10">
        <v>26.76</v>
      </c>
    </row>
    <row r="1958" spans="1:11" x14ac:dyDescent="0.25">
      <c r="A1958" s="8" t="s">
        <v>3460</v>
      </c>
      <c r="B1958" s="8" t="s">
        <v>120</v>
      </c>
      <c r="C1958" s="8" t="s">
        <v>3361</v>
      </c>
      <c r="D1958" s="8">
        <v>4</v>
      </c>
      <c r="E1958" s="8" t="s">
        <v>3461</v>
      </c>
      <c r="F1958" s="8" t="s">
        <v>378</v>
      </c>
      <c r="G1958" s="8" t="s">
        <v>3363</v>
      </c>
      <c r="H1958" s="10">
        <v>9600</v>
      </c>
      <c r="I1958" s="10"/>
      <c r="J1958" s="10">
        <v>9600</v>
      </c>
      <c r="K1958" s="10">
        <v>30.58</v>
      </c>
    </row>
    <row r="1959" spans="1:11" x14ac:dyDescent="0.25">
      <c r="A1959" s="8" t="s">
        <v>3462</v>
      </c>
      <c r="B1959" s="8" t="s">
        <v>1655</v>
      </c>
      <c r="C1959" s="8" t="s">
        <v>3361</v>
      </c>
      <c r="D1959" s="8">
        <v>4</v>
      </c>
      <c r="E1959" s="8" t="s">
        <v>3461</v>
      </c>
      <c r="F1959" s="8" t="s">
        <v>378</v>
      </c>
      <c r="G1959" s="8" t="s">
        <v>3363</v>
      </c>
      <c r="H1959" s="10">
        <v>1440</v>
      </c>
      <c r="I1959" s="10"/>
      <c r="J1959" s="10">
        <v>1440</v>
      </c>
      <c r="K1959" s="10">
        <v>30.58</v>
      </c>
    </row>
    <row r="1960" spans="1:11" x14ac:dyDescent="0.25">
      <c r="A1960" s="8" t="s">
        <v>3463</v>
      </c>
      <c r="B1960" s="8" t="s">
        <v>1650</v>
      </c>
      <c r="C1960" s="8" t="s">
        <v>3361</v>
      </c>
      <c r="D1960" s="8">
        <v>4</v>
      </c>
      <c r="E1960" s="8" t="s">
        <v>3464</v>
      </c>
      <c r="F1960" s="8" t="s">
        <v>378</v>
      </c>
      <c r="G1960" s="8" t="s">
        <v>3363</v>
      </c>
      <c r="H1960" s="10">
        <v>390</v>
      </c>
      <c r="I1960" s="10"/>
      <c r="J1960" s="10">
        <v>390</v>
      </c>
      <c r="K1960" s="10">
        <v>34.409999999999997</v>
      </c>
    </row>
    <row r="1961" spans="1:11" x14ac:dyDescent="0.25">
      <c r="A1961" s="8" t="s">
        <v>3465</v>
      </c>
      <c r="B1961" s="8" t="s">
        <v>120</v>
      </c>
      <c r="C1961" s="8" t="s">
        <v>3361</v>
      </c>
      <c r="D1961" s="8">
        <v>4</v>
      </c>
      <c r="E1961" s="8" t="s">
        <v>3464</v>
      </c>
      <c r="F1961" s="8" t="s">
        <v>378</v>
      </c>
      <c r="G1961" s="8" t="s">
        <v>3363</v>
      </c>
      <c r="H1961" s="10">
        <v>300</v>
      </c>
      <c r="I1961" s="10"/>
      <c r="J1961" s="10">
        <v>300</v>
      </c>
      <c r="K1961" s="10">
        <v>34.409999999999997</v>
      </c>
    </row>
    <row r="1962" spans="1:11" x14ac:dyDescent="0.25">
      <c r="A1962" s="8" t="s">
        <v>3466</v>
      </c>
      <c r="B1962" s="8" t="s">
        <v>1655</v>
      </c>
      <c r="C1962" s="8" t="s">
        <v>3361</v>
      </c>
      <c r="D1962" s="8">
        <v>4</v>
      </c>
      <c r="E1962" s="8" t="s">
        <v>3464</v>
      </c>
      <c r="F1962" s="8" t="s">
        <v>378</v>
      </c>
      <c r="G1962" s="8" t="s">
        <v>3363</v>
      </c>
      <c r="H1962" s="10">
        <v>1440</v>
      </c>
      <c r="I1962" s="10"/>
      <c r="J1962" s="10">
        <v>1440</v>
      </c>
      <c r="K1962" s="10">
        <v>34.409999999999997</v>
      </c>
    </row>
    <row r="1963" spans="1:11" x14ac:dyDescent="0.25">
      <c r="A1963" s="8" t="s">
        <v>3467</v>
      </c>
      <c r="B1963" s="8" t="s">
        <v>1650</v>
      </c>
      <c r="C1963" s="8" t="s">
        <v>3361</v>
      </c>
      <c r="D1963" s="8">
        <v>4</v>
      </c>
      <c r="E1963" s="8" t="s">
        <v>391</v>
      </c>
      <c r="F1963" s="8" t="s">
        <v>378</v>
      </c>
      <c r="G1963" s="8" t="s">
        <v>3363</v>
      </c>
      <c r="H1963" s="10">
        <v>900</v>
      </c>
      <c r="I1963" s="10"/>
      <c r="J1963" s="10">
        <v>900</v>
      </c>
      <c r="K1963" s="10">
        <v>26.76</v>
      </c>
    </row>
    <row r="1964" spans="1:11" x14ac:dyDescent="0.25">
      <c r="A1964" s="8" t="s">
        <v>3468</v>
      </c>
      <c r="B1964" s="8" t="s">
        <v>120</v>
      </c>
      <c r="C1964" s="8" t="s">
        <v>3361</v>
      </c>
      <c r="D1964" s="8">
        <v>4</v>
      </c>
      <c r="E1964" s="8" t="s">
        <v>391</v>
      </c>
      <c r="F1964" s="8" t="s">
        <v>378</v>
      </c>
      <c r="G1964" s="8" t="s">
        <v>3363</v>
      </c>
      <c r="H1964" s="10">
        <v>2160</v>
      </c>
      <c r="I1964" s="10"/>
      <c r="J1964" s="10">
        <v>2160</v>
      </c>
      <c r="K1964" s="10">
        <v>26.76</v>
      </c>
    </row>
    <row r="1965" spans="1:11" x14ac:dyDescent="0.25">
      <c r="A1965" s="8" t="s">
        <v>3469</v>
      </c>
      <c r="B1965" s="8" t="s">
        <v>1650</v>
      </c>
      <c r="C1965" s="8" t="s">
        <v>3361</v>
      </c>
      <c r="D1965" s="8">
        <v>4</v>
      </c>
      <c r="E1965" s="8" t="s">
        <v>3470</v>
      </c>
      <c r="F1965" s="8" t="s">
        <v>378</v>
      </c>
      <c r="G1965" s="8" t="s">
        <v>3363</v>
      </c>
      <c r="H1965" s="10">
        <v>2700</v>
      </c>
      <c r="I1965" s="10"/>
      <c r="J1965" s="10">
        <v>2700</v>
      </c>
      <c r="K1965" s="10">
        <v>26.76</v>
      </c>
    </row>
    <row r="1966" spans="1:11" x14ac:dyDescent="0.25">
      <c r="A1966" s="8" t="s">
        <v>3471</v>
      </c>
      <c r="B1966" s="8" t="s">
        <v>1650</v>
      </c>
      <c r="C1966" s="8" t="s">
        <v>3361</v>
      </c>
      <c r="D1966" s="8">
        <v>4</v>
      </c>
      <c r="E1966" s="8" t="s">
        <v>3472</v>
      </c>
      <c r="F1966" s="8" t="s">
        <v>378</v>
      </c>
      <c r="G1966" s="8" t="s">
        <v>3363</v>
      </c>
      <c r="H1966" s="10">
        <v>180</v>
      </c>
      <c r="I1966" s="10"/>
      <c r="J1966" s="10">
        <v>180</v>
      </c>
      <c r="K1966" s="10">
        <v>26.76</v>
      </c>
    </row>
    <row r="1967" spans="1:11" x14ac:dyDescent="0.25">
      <c r="A1967" s="8" t="s">
        <v>3473</v>
      </c>
      <c r="B1967" s="8" t="s">
        <v>120</v>
      </c>
      <c r="C1967" s="8" t="s">
        <v>3361</v>
      </c>
      <c r="D1967" s="8">
        <v>4</v>
      </c>
      <c r="E1967" s="8" t="s">
        <v>3472</v>
      </c>
      <c r="F1967" s="8" t="s">
        <v>378</v>
      </c>
      <c r="G1967" s="8" t="s">
        <v>3363</v>
      </c>
      <c r="H1967" s="10">
        <v>720</v>
      </c>
      <c r="I1967" s="10"/>
      <c r="J1967" s="10">
        <v>720</v>
      </c>
      <c r="K1967" s="10">
        <v>26.76</v>
      </c>
    </row>
    <row r="1968" spans="1:11" x14ac:dyDescent="0.25">
      <c r="A1968" s="8" t="s">
        <v>3474</v>
      </c>
      <c r="B1968" s="8" t="s">
        <v>1655</v>
      </c>
      <c r="C1968" s="8" t="s">
        <v>3361</v>
      </c>
      <c r="D1968" s="8">
        <v>4</v>
      </c>
      <c r="E1968" s="8" t="s">
        <v>3472</v>
      </c>
      <c r="F1968" s="8" t="s">
        <v>378</v>
      </c>
      <c r="G1968" s="8" t="s">
        <v>3363</v>
      </c>
      <c r="H1968" s="10">
        <v>60</v>
      </c>
      <c r="I1968" s="10"/>
      <c r="J1968" s="10">
        <v>60</v>
      </c>
      <c r="K1968" s="10">
        <v>26.76</v>
      </c>
    </row>
    <row r="1969" spans="1:11" x14ac:dyDescent="0.25">
      <c r="A1969" s="8" t="s">
        <v>3475</v>
      </c>
      <c r="B1969" s="8" t="s">
        <v>1650</v>
      </c>
      <c r="C1969" s="8" t="s">
        <v>3361</v>
      </c>
      <c r="D1969" s="8">
        <v>4</v>
      </c>
      <c r="E1969" s="8" t="s">
        <v>3476</v>
      </c>
      <c r="F1969" s="8" t="s">
        <v>378</v>
      </c>
      <c r="G1969" s="8" t="s">
        <v>3363</v>
      </c>
      <c r="H1969" s="10">
        <v>360</v>
      </c>
      <c r="I1969" s="10"/>
      <c r="J1969" s="10">
        <v>360</v>
      </c>
      <c r="K1969" s="10">
        <v>30.58</v>
      </c>
    </row>
    <row r="1970" spans="1:11" x14ac:dyDescent="0.25">
      <c r="A1970" s="8" t="s">
        <v>3477</v>
      </c>
      <c r="B1970" s="8" t="s">
        <v>120</v>
      </c>
      <c r="C1970" s="8" t="s">
        <v>3361</v>
      </c>
      <c r="D1970" s="8">
        <v>4</v>
      </c>
      <c r="E1970" s="8" t="s">
        <v>3478</v>
      </c>
      <c r="F1970" s="8" t="s">
        <v>378</v>
      </c>
      <c r="G1970" s="8" t="s">
        <v>3363</v>
      </c>
      <c r="H1970" s="10">
        <v>12540</v>
      </c>
      <c r="I1970" s="10"/>
      <c r="J1970" s="10">
        <v>12540</v>
      </c>
      <c r="K1970" s="10">
        <v>30.58</v>
      </c>
    </row>
    <row r="1971" spans="1:11" x14ac:dyDescent="0.25">
      <c r="A1971" s="8" t="s">
        <v>3479</v>
      </c>
      <c r="B1971" s="8" t="s">
        <v>1650</v>
      </c>
      <c r="C1971" s="8" t="s">
        <v>3361</v>
      </c>
      <c r="D1971" s="8">
        <v>4</v>
      </c>
      <c r="E1971" s="8" t="s">
        <v>3480</v>
      </c>
      <c r="F1971" s="8" t="s">
        <v>378</v>
      </c>
      <c r="G1971" s="8" t="s">
        <v>3363</v>
      </c>
      <c r="H1971" s="10">
        <v>570</v>
      </c>
      <c r="I1971" s="10"/>
      <c r="J1971" s="10">
        <v>570</v>
      </c>
      <c r="K1971" s="10">
        <v>38.229999999999997</v>
      </c>
    </row>
    <row r="1972" spans="1:11" x14ac:dyDescent="0.25">
      <c r="A1972" s="8" t="s">
        <v>3481</v>
      </c>
      <c r="B1972" s="8" t="s">
        <v>120</v>
      </c>
      <c r="C1972" s="8" t="s">
        <v>3361</v>
      </c>
      <c r="D1972" s="8">
        <v>4</v>
      </c>
      <c r="E1972" s="8" t="s">
        <v>3482</v>
      </c>
      <c r="F1972" s="8" t="s">
        <v>378</v>
      </c>
      <c r="G1972" s="8" t="s">
        <v>3363</v>
      </c>
      <c r="H1972" s="10">
        <v>4430</v>
      </c>
      <c r="I1972" s="10"/>
      <c r="J1972" s="10">
        <v>4430</v>
      </c>
      <c r="K1972" s="10">
        <v>38.229999999999997</v>
      </c>
    </row>
    <row r="1973" spans="1:11" x14ac:dyDescent="0.25">
      <c r="A1973" s="8" t="s">
        <v>3483</v>
      </c>
      <c r="B1973" s="8" t="s">
        <v>1655</v>
      </c>
      <c r="C1973" s="8" t="s">
        <v>3361</v>
      </c>
      <c r="D1973" s="8">
        <v>4</v>
      </c>
      <c r="E1973" s="8" t="s">
        <v>3482</v>
      </c>
      <c r="F1973" s="8" t="s">
        <v>378</v>
      </c>
      <c r="G1973" s="8" t="s">
        <v>3363</v>
      </c>
      <c r="H1973" s="10">
        <v>380</v>
      </c>
      <c r="I1973" s="10"/>
      <c r="J1973" s="10">
        <v>380</v>
      </c>
      <c r="K1973" s="10">
        <v>38.229999999999997</v>
      </c>
    </row>
    <row r="1974" spans="1:11" x14ac:dyDescent="0.25">
      <c r="A1974" s="8" t="s">
        <v>3484</v>
      </c>
      <c r="B1974" s="8" t="s">
        <v>120</v>
      </c>
      <c r="C1974" s="8" t="s">
        <v>3361</v>
      </c>
      <c r="D1974" s="8">
        <v>4</v>
      </c>
      <c r="E1974" s="8" t="s">
        <v>3485</v>
      </c>
      <c r="F1974" s="8" t="s">
        <v>378</v>
      </c>
      <c r="G1974" s="8" t="s">
        <v>3363</v>
      </c>
      <c r="H1974" s="10">
        <v>480</v>
      </c>
      <c r="I1974" s="10"/>
      <c r="J1974" s="10">
        <v>480</v>
      </c>
      <c r="K1974" s="10">
        <v>30.58</v>
      </c>
    </row>
    <row r="1975" spans="1:11" x14ac:dyDescent="0.25">
      <c r="A1975" s="8" t="s">
        <v>3486</v>
      </c>
      <c r="B1975" s="8" t="s">
        <v>1650</v>
      </c>
      <c r="C1975" s="8" t="s">
        <v>3361</v>
      </c>
      <c r="D1975" s="8">
        <v>4</v>
      </c>
      <c r="E1975" s="8" t="s">
        <v>3487</v>
      </c>
      <c r="F1975" s="8" t="s">
        <v>378</v>
      </c>
      <c r="G1975" s="8" t="s">
        <v>3363</v>
      </c>
      <c r="H1975" s="10">
        <v>240</v>
      </c>
      <c r="I1975" s="10"/>
      <c r="J1975" s="10">
        <v>240</v>
      </c>
      <c r="K1975" s="10">
        <v>30.58</v>
      </c>
    </row>
    <row r="1976" spans="1:11" x14ac:dyDescent="0.25">
      <c r="A1976" s="8" t="s">
        <v>3488</v>
      </c>
      <c r="B1976" s="8" t="s">
        <v>120</v>
      </c>
      <c r="C1976" s="8" t="s">
        <v>3361</v>
      </c>
      <c r="D1976" s="8">
        <v>4</v>
      </c>
      <c r="E1976" s="8" t="s">
        <v>3487</v>
      </c>
      <c r="F1976" s="8" t="s">
        <v>378</v>
      </c>
      <c r="G1976" s="8" t="s">
        <v>3363</v>
      </c>
      <c r="H1976" s="10">
        <v>1890</v>
      </c>
      <c r="I1976" s="10"/>
      <c r="J1976" s="10">
        <v>1890</v>
      </c>
      <c r="K1976" s="10">
        <v>30.58</v>
      </c>
    </row>
    <row r="1977" spans="1:11" x14ac:dyDescent="0.25">
      <c r="A1977" s="8" t="s">
        <v>3489</v>
      </c>
      <c r="B1977" s="8" t="s">
        <v>1655</v>
      </c>
      <c r="C1977" s="8" t="s">
        <v>3361</v>
      </c>
      <c r="D1977" s="8">
        <v>4</v>
      </c>
      <c r="E1977" s="8" t="s">
        <v>3487</v>
      </c>
      <c r="F1977" s="8" t="s">
        <v>378</v>
      </c>
      <c r="G1977" s="8" t="s">
        <v>3363</v>
      </c>
      <c r="H1977" s="10">
        <v>195</v>
      </c>
      <c r="I1977" s="10"/>
      <c r="J1977" s="10">
        <v>195</v>
      </c>
      <c r="K1977" s="10">
        <v>30.58</v>
      </c>
    </row>
    <row r="1978" spans="1:11" x14ac:dyDescent="0.25">
      <c r="A1978" s="8" t="s">
        <v>3490</v>
      </c>
      <c r="B1978" s="8" t="s">
        <v>120</v>
      </c>
      <c r="C1978" s="8" t="s">
        <v>3361</v>
      </c>
      <c r="D1978" s="8">
        <v>4</v>
      </c>
      <c r="E1978" s="8" t="s">
        <v>3491</v>
      </c>
      <c r="F1978" s="8" t="s">
        <v>378</v>
      </c>
      <c r="G1978" s="8" t="s">
        <v>3363</v>
      </c>
      <c r="H1978" s="10">
        <v>420</v>
      </c>
      <c r="I1978" s="10"/>
      <c r="J1978" s="10">
        <v>420</v>
      </c>
      <c r="K1978" s="10">
        <v>30.58</v>
      </c>
    </row>
    <row r="1979" spans="1:11" x14ac:dyDescent="0.25">
      <c r="A1979" s="8" t="s">
        <v>3492</v>
      </c>
      <c r="B1979" s="8" t="s">
        <v>1650</v>
      </c>
      <c r="C1979" s="8" t="s">
        <v>3361</v>
      </c>
      <c r="D1979" s="8">
        <v>4</v>
      </c>
      <c r="E1979" s="8" t="s">
        <v>3493</v>
      </c>
      <c r="F1979" s="8" t="s">
        <v>378</v>
      </c>
      <c r="G1979" s="8" t="s">
        <v>3363</v>
      </c>
      <c r="H1979" s="10">
        <v>600</v>
      </c>
      <c r="I1979" s="10"/>
      <c r="J1979" s="10">
        <v>600</v>
      </c>
      <c r="K1979" s="10">
        <v>34.409999999999997</v>
      </c>
    </row>
    <row r="1980" spans="1:11" x14ac:dyDescent="0.25">
      <c r="A1980" s="8" t="s">
        <v>3494</v>
      </c>
      <c r="B1980" s="8" t="s">
        <v>1655</v>
      </c>
      <c r="C1980" s="8" t="s">
        <v>3361</v>
      </c>
      <c r="D1980" s="8">
        <v>4</v>
      </c>
      <c r="E1980" s="8" t="s">
        <v>3495</v>
      </c>
      <c r="F1980" s="8" t="s">
        <v>378</v>
      </c>
      <c r="G1980" s="8" t="s">
        <v>3363</v>
      </c>
      <c r="H1980" s="10">
        <v>660</v>
      </c>
      <c r="I1980" s="10"/>
      <c r="J1980" s="10">
        <v>660</v>
      </c>
      <c r="K1980" s="10">
        <v>34.409999999999997</v>
      </c>
    </row>
    <row r="1981" spans="1:11" x14ac:dyDescent="0.25">
      <c r="A1981" s="8" t="s">
        <v>3496</v>
      </c>
      <c r="B1981" s="8" t="s">
        <v>1650</v>
      </c>
      <c r="C1981" s="8" t="s">
        <v>3361</v>
      </c>
      <c r="D1981" s="8">
        <v>4</v>
      </c>
      <c r="E1981" s="8" t="s">
        <v>3497</v>
      </c>
      <c r="F1981" s="8" t="s">
        <v>378</v>
      </c>
      <c r="G1981" s="8" t="s">
        <v>3363</v>
      </c>
      <c r="H1981" s="10">
        <v>120</v>
      </c>
      <c r="I1981" s="10"/>
      <c r="J1981" s="10">
        <v>120</v>
      </c>
      <c r="K1981" s="10">
        <v>34.409999999999997</v>
      </c>
    </row>
    <row r="1982" spans="1:11" x14ac:dyDescent="0.25">
      <c r="A1982" s="8" t="s">
        <v>3498</v>
      </c>
      <c r="B1982" s="8" t="s">
        <v>120</v>
      </c>
      <c r="C1982" s="8" t="s">
        <v>3361</v>
      </c>
      <c r="D1982" s="8">
        <v>4</v>
      </c>
      <c r="E1982" s="8" t="s">
        <v>3497</v>
      </c>
      <c r="F1982" s="8" t="s">
        <v>378</v>
      </c>
      <c r="G1982" s="8" t="s">
        <v>3363</v>
      </c>
      <c r="H1982" s="10">
        <v>900</v>
      </c>
      <c r="I1982" s="10"/>
      <c r="J1982" s="10">
        <v>900</v>
      </c>
      <c r="K1982" s="10">
        <v>34.409999999999997</v>
      </c>
    </row>
    <row r="1983" spans="1:11" x14ac:dyDescent="0.25">
      <c r="A1983" s="8" t="s">
        <v>3499</v>
      </c>
      <c r="B1983" s="8" t="s">
        <v>120</v>
      </c>
      <c r="C1983" s="8" t="s">
        <v>3361</v>
      </c>
      <c r="D1983" s="8">
        <v>4</v>
      </c>
      <c r="E1983" s="8" t="s">
        <v>3500</v>
      </c>
      <c r="F1983" s="8" t="s">
        <v>378</v>
      </c>
      <c r="G1983" s="8" t="s">
        <v>3363</v>
      </c>
      <c r="H1983" s="10">
        <v>10800</v>
      </c>
      <c r="I1983" s="10"/>
      <c r="J1983" s="10">
        <v>10800</v>
      </c>
      <c r="K1983" s="10">
        <v>38.229999999999997</v>
      </c>
    </row>
    <row r="1984" spans="1:11" x14ac:dyDescent="0.25">
      <c r="A1984" s="8" t="s">
        <v>3501</v>
      </c>
      <c r="B1984" s="8" t="s">
        <v>116</v>
      </c>
      <c r="C1984" s="8" t="s">
        <v>3391</v>
      </c>
      <c r="D1984" s="8">
        <v>5</v>
      </c>
      <c r="E1984" s="8" t="s">
        <v>394</v>
      </c>
      <c r="F1984" s="8" t="s">
        <v>378</v>
      </c>
      <c r="G1984" s="8" t="s">
        <v>3393</v>
      </c>
      <c r="H1984" s="10">
        <v>3000</v>
      </c>
      <c r="I1984" s="10"/>
      <c r="J1984" s="10">
        <v>3000</v>
      </c>
      <c r="K1984" s="10">
        <v>13.02</v>
      </c>
    </row>
    <row r="1985" spans="1:11" x14ac:dyDescent="0.25">
      <c r="A1985" s="8" t="s">
        <v>3502</v>
      </c>
      <c r="B1985" s="8" t="s">
        <v>118</v>
      </c>
      <c r="C1985" s="8" t="s">
        <v>3391</v>
      </c>
      <c r="D1985" s="8">
        <v>5</v>
      </c>
      <c r="E1985" s="8" t="s">
        <v>394</v>
      </c>
      <c r="F1985" s="8" t="s">
        <v>378</v>
      </c>
      <c r="G1985" s="8" t="s">
        <v>3393</v>
      </c>
      <c r="H1985" s="10">
        <v>3000</v>
      </c>
      <c r="I1985" s="10"/>
      <c r="J1985" s="10">
        <v>3000</v>
      </c>
      <c r="K1985" s="10">
        <v>13.02</v>
      </c>
    </row>
    <row r="1986" spans="1:11" x14ac:dyDescent="0.25">
      <c r="A1986" s="8" t="s">
        <v>3503</v>
      </c>
      <c r="B1986" s="8" t="s">
        <v>1650</v>
      </c>
      <c r="C1986" s="8" t="s">
        <v>3391</v>
      </c>
      <c r="D1986" s="8">
        <v>5</v>
      </c>
      <c r="E1986" s="8" t="s">
        <v>394</v>
      </c>
      <c r="F1986" s="8" t="s">
        <v>378</v>
      </c>
      <c r="G1986" s="8" t="s">
        <v>3393</v>
      </c>
      <c r="H1986" s="10">
        <v>2000</v>
      </c>
      <c r="I1986" s="10"/>
      <c r="J1986" s="10">
        <v>2000</v>
      </c>
      <c r="K1986" s="10">
        <v>13.02</v>
      </c>
    </row>
    <row r="1987" spans="1:11" x14ac:dyDescent="0.25">
      <c r="A1987" s="8" t="s">
        <v>3504</v>
      </c>
      <c r="B1987" s="8" t="s">
        <v>120</v>
      </c>
      <c r="C1987" s="8" t="s">
        <v>3391</v>
      </c>
      <c r="D1987" s="8">
        <v>5</v>
      </c>
      <c r="E1987" s="8" t="s">
        <v>394</v>
      </c>
      <c r="F1987" s="8" t="s">
        <v>378</v>
      </c>
      <c r="G1987" s="8" t="s">
        <v>3393</v>
      </c>
      <c r="H1987" s="10">
        <v>4000</v>
      </c>
      <c r="I1987" s="10"/>
      <c r="J1987" s="10">
        <v>4000</v>
      </c>
      <c r="K1987" s="10">
        <v>13.02</v>
      </c>
    </row>
    <row r="1988" spans="1:11" x14ac:dyDescent="0.25">
      <c r="A1988" s="8" t="s">
        <v>3505</v>
      </c>
      <c r="B1988" s="8" t="s">
        <v>120</v>
      </c>
      <c r="C1988" s="8" t="s">
        <v>3391</v>
      </c>
      <c r="D1988" s="8">
        <v>5</v>
      </c>
      <c r="E1988" s="8" t="s">
        <v>394</v>
      </c>
      <c r="F1988" s="8" t="s">
        <v>378</v>
      </c>
      <c r="G1988" s="8" t="s">
        <v>3393</v>
      </c>
      <c r="H1988" s="10">
        <v>4000</v>
      </c>
      <c r="I1988" s="10"/>
      <c r="J1988" s="10">
        <v>4000</v>
      </c>
      <c r="K1988" s="10">
        <v>13.02</v>
      </c>
    </row>
    <row r="1989" spans="1:11" x14ac:dyDescent="0.25">
      <c r="A1989" s="8" t="s">
        <v>3506</v>
      </c>
      <c r="B1989" s="8" t="s">
        <v>122</v>
      </c>
      <c r="C1989" s="8" t="s">
        <v>3391</v>
      </c>
      <c r="D1989" s="8">
        <v>5</v>
      </c>
      <c r="E1989" s="8" t="s">
        <v>394</v>
      </c>
      <c r="F1989" s="8" t="s">
        <v>378</v>
      </c>
      <c r="G1989" s="8" t="s">
        <v>3393</v>
      </c>
      <c r="H1989" s="10">
        <v>4000</v>
      </c>
      <c r="I1989" s="10"/>
      <c r="J1989" s="10">
        <v>4000</v>
      </c>
      <c r="K1989" s="10">
        <v>13.02</v>
      </c>
    </row>
    <row r="1990" spans="1:11" x14ac:dyDescent="0.25">
      <c r="A1990" s="8" t="s">
        <v>3507</v>
      </c>
      <c r="B1990" s="8" t="s">
        <v>124</v>
      </c>
      <c r="C1990" s="8" t="s">
        <v>3391</v>
      </c>
      <c r="D1990" s="8">
        <v>5</v>
      </c>
      <c r="E1990" s="8" t="s">
        <v>394</v>
      </c>
      <c r="F1990" s="8" t="s">
        <v>378</v>
      </c>
      <c r="G1990" s="8" t="s">
        <v>3393</v>
      </c>
      <c r="H1990" s="10">
        <v>4000</v>
      </c>
      <c r="I1990" s="10"/>
      <c r="J1990" s="10">
        <v>4000</v>
      </c>
      <c r="K1990" s="10">
        <v>13.02</v>
      </c>
    </row>
    <row r="1991" spans="1:11" x14ac:dyDescent="0.25">
      <c r="A1991" s="8" t="s">
        <v>3508</v>
      </c>
      <c r="B1991" s="8" t="s">
        <v>78</v>
      </c>
      <c r="C1991" s="8" t="s">
        <v>3391</v>
      </c>
      <c r="D1991" s="8">
        <v>5</v>
      </c>
      <c r="E1991" s="8" t="s">
        <v>394</v>
      </c>
      <c r="F1991" s="8" t="s">
        <v>378</v>
      </c>
      <c r="G1991" s="8" t="s">
        <v>3393</v>
      </c>
      <c r="H1991" s="10">
        <v>2000</v>
      </c>
      <c r="I1991" s="10"/>
      <c r="J1991" s="10">
        <v>2000</v>
      </c>
      <c r="K1991" s="10">
        <v>13.02</v>
      </c>
    </row>
    <row r="1992" spans="1:11" x14ac:dyDescent="0.25">
      <c r="A1992" s="8" t="s">
        <v>3509</v>
      </c>
      <c r="B1992" s="8" t="s">
        <v>1655</v>
      </c>
      <c r="C1992" s="8" t="s">
        <v>3391</v>
      </c>
      <c r="D1992" s="8">
        <v>5</v>
      </c>
      <c r="E1992" s="8" t="s">
        <v>394</v>
      </c>
      <c r="F1992" s="8" t="s">
        <v>378</v>
      </c>
      <c r="G1992" s="8" t="s">
        <v>3393</v>
      </c>
      <c r="H1992" s="10">
        <v>2500</v>
      </c>
      <c r="I1992" s="10"/>
      <c r="J1992" s="10">
        <v>2500</v>
      </c>
      <c r="K1992" s="10">
        <v>13.02</v>
      </c>
    </row>
    <row r="1993" spans="1:11" x14ac:dyDescent="0.25">
      <c r="A1993" s="8" t="s">
        <v>3510</v>
      </c>
      <c r="B1993" s="8" t="s">
        <v>128</v>
      </c>
      <c r="C1993" s="8" t="s">
        <v>3391</v>
      </c>
      <c r="D1993" s="8">
        <v>5</v>
      </c>
      <c r="E1993" s="8" t="s">
        <v>394</v>
      </c>
      <c r="F1993" s="8" t="s">
        <v>378</v>
      </c>
      <c r="G1993" s="8" t="s">
        <v>3393</v>
      </c>
      <c r="H1993" s="10">
        <v>700</v>
      </c>
      <c r="I1993" s="10"/>
      <c r="J1993" s="10">
        <v>700</v>
      </c>
      <c r="K1993" s="10">
        <v>13.02</v>
      </c>
    </row>
    <row r="1994" spans="1:11" x14ac:dyDescent="0.25">
      <c r="A1994" s="8" t="s">
        <v>3511</v>
      </c>
      <c r="B1994" s="8" t="s">
        <v>949</v>
      </c>
      <c r="C1994" s="8" t="s">
        <v>3391</v>
      </c>
      <c r="D1994" s="8">
        <v>5</v>
      </c>
      <c r="E1994" s="8" t="s">
        <v>394</v>
      </c>
      <c r="F1994" s="8" t="s">
        <v>378</v>
      </c>
      <c r="G1994" s="8" t="s">
        <v>3393</v>
      </c>
      <c r="H1994" s="10">
        <v>500</v>
      </c>
      <c r="I1994" s="10"/>
      <c r="J1994" s="10">
        <v>500</v>
      </c>
      <c r="K1994" s="10">
        <v>13.02</v>
      </c>
    </row>
    <row r="1995" spans="1:11" x14ac:dyDescent="0.25">
      <c r="A1995" s="8" t="s">
        <v>3512</v>
      </c>
      <c r="B1995" s="8" t="s">
        <v>130</v>
      </c>
      <c r="C1995" s="8" t="s">
        <v>3391</v>
      </c>
      <c r="D1995" s="8">
        <v>5</v>
      </c>
      <c r="E1995" s="8" t="s">
        <v>394</v>
      </c>
      <c r="F1995" s="8" t="s">
        <v>378</v>
      </c>
      <c r="G1995" s="8" t="s">
        <v>3393</v>
      </c>
      <c r="H1995" s="10">
        <v>300</v>
      </c>
      <c r="I1995" s="10"/>
      <c r="J1995" s="10">
        <v>300</v>
      </c>
      <c r="K1995" s="10">
        <v>13.02</v>
      </c>
    </row>
    <row r="1996" spans="1:11" x14ac:dyDescent="0.25">
      <c r="A1996" s="8" t="s">
        <v>3513</v>
      </c>
      <c r="B1996" s="8" t="s">
        <v>132</v>
      </c>
      <c r="C1996" s="8" t="s">
        <v>3391</v>
      </c>
      <c r="D1996" s="8">
        <v>5</v>
      </c>
      <c r="E1996" s="8" t="s">
        <v>394</v>
      </c>
      <c r="F1996" s="8" t="s">
        <v>378</v>
      </c>
      <c r="G1996" s="8" t="s">
        <v>3393</v>
      </c>
      <c r="H1996" s="10">
        <v>800</v>
      </c>
      <c r="I1996" s="10"/>
      <c r="J1996" s="10">
        <v>800</v>
      </c>
      <c r="K1996" s="10">
        <v>13.02</v>
      </c>
    </row>
    <row r="1997" spans="1:11" x14ac:dyDescent="0.25">
      <c r="A1997" s="8" t="s">
        <v>3514</v>
      </c>
      <c r="B1997" s="8" t="s">
        <v>134</v>
      </c>
      <c r="C1997" s="8" t="s">
        <v>3391</v>
      </c>
      <c r="D1997" s="8">
        <v>5</v>
      </c>
      <c r="E1997" s="8" t="s">
        <v>394</v>
      </c>
      <c r="F1997" s="8" t="s">
        <v>378</v>
      </c>
      <c r="G1997" s="8" t="s">
        <v>3393</v>
      </c>
      <c r="H1997" s="10">
        <v>1500</v>
      </c>
      <c r="I1997" s="10"/>
      <c r="J1997" s="10">
        <v>1500</v>
      </c>
      <c r="K1997" s="10">
        <v>13.02</v>
      </c>
    </row>
    <row r="1998" spans="1:11" x14ac:dyDescent="0.25">
      <c r="A1998" s="8" t="s">
        <v>3515</v>
      </c>
      <c r="B1998" s="8" t="s">
        <v>136</v>
      </c>
      <c r="C1998" s="8" t="s">
        <v>3391</v>
      </c>
      <c r="D1998" s="8">
        <v>5</v>
      </c>
      <c r="E1998" s="8" t="s">
        <v>394</v>
      </c>
      <c r="F1998" s="8" t="s">
        <v>378</v>
      </c>
      <c r="G1998" s="8" t="s">
        <v>3393</v>
      </c>
      <c r="H1998" s="10">
        <v>600</v>
      </c>
      <c r="I1998" s="10"/>
      <c r="J1998" s="10">
        <v>600</v>
      </c>
      <c r="K1998" s="10">
        <v>13.02</v>
      </c>
    </row>
    <row r="1999" spans="1:11" x14ac:dyDescent="0.25">
      <c r="A1999" s="8" t="s">
        <v>3516</v>
      </c>
      <c r="B1999" s="8" t="s">
        <v>1689</v>
      </c>
      <c r="C1999" s="8" t="s">
        <v>3391</v>
      </c>
      <c r="D1999" s="8">
        <v>5</v>
      </c>
      <c r="E1999" s="8" t="s">
        <v>394</v>
      </c>
      <c r="F1999" s="8" t="s">
        <v>378</v>
      </c>
      <c r="G1999" s="8" t="s">
        <v>3393</v>
      </c>
      <c r="H1999" s="10">
        <v>600</v>
      </c>
      <c r="I1999" s="10"/>
      <c r="J1999" s="10">
        <v>600</v>
      </c>
      <c r="K1999" s="10">
        <v>13.02</v>
      </c>
    </row>
    <row r="2000" spans="1:11" x14ac:dyDescent="0.25">
      <c r="A2000" s="8" t="s">
        <v>3517</v>
      </c>
      <c r="B2000" s="8" t="s">
        <v>3518</v>
      </c>
      <c r="C2000" s="8" t="s">
        <v>3391</v>
      </c>
      <c r="D2000" s="8">
        <v>5</v>
      </c>
      <c r="E2000" s="8" t="s">
        <v>394</v>
      </c>
      <c r="F2000" s="8" t="s">
        <v>378</v>
      </c>
      <c r="G2000" s="8" t="s">
        <v>3393</v>
      </c>
      <c r="H2000" s="10">
        <v>100</v>
      </c>
      <c r="I2000" s="10"/>
      <c r="J2000" s="10">
        <v>100</v>
      </c>
      <c r="K2000" s="10">
        <v>13.02</v>
      </c>
    </row>
    <row r="2001" spans="1:11" x14ac:dyDescent="0.25">
      <c r="A2001" s="8" t="s">
        <v>3519</v>
      </c>
      <c r="B2001" s="8" t="s">
        <v>138</v>
      </c>
      <c r="C2001" s="8" t="s">
        <v>3391</v>
      </c>
      <c r="D2001" s="8">
        <v>5</v>
      </c>
      <c r="E2001" s="8" t="s">
        <v>394</v>
      </c>
      <c r="F2001" s="8" t="s">
        <v>378</v>
      </c>
      <c r="G2001" s="8" t="s">
        <v>3393</v>
      </c>
      <c r="H2001" s="10">
        <v>200</v>
      </c>
      <c r="I2001" s="10"/>
      <c r="J2001" s="10">
        <v>200</v>
      </c>
      <c r="K2001" s="10">
        <v>13.02</v>
      </c>
    </row>
    <row r="2002" spans="1:11" x14ac:dyDescent="0.25">
      <c r="A2002" s="8" t="s">
        <v>3520</v>
      </c>
      <c r="B2002" s="8" t="s">
        <v>3521</v>
      </c>
      <c r="C2002" s="8" t="s">
        <v>3391</v>
      </c>
      <c r="D2002" s="8">
        <v>5</v>
      </c>
      <c r="E2002" s="8" t="s">
        <v>394</v>
      </c>
      <c r="F2002" s="8" t="s">
        <v>378</v>
      </c>
      <c r="G2002" s="8" t="s">
        <v>3393</v>
      </c>
      <c r="H2002" s="10">
        <v>450</v>
      </c>
      <c r="I2002" s="10"/>
      <c r="J2002" s="10">
        <v>450</v>
      </c>
      <c r="K2002" s="10">
        <v>13.02</v>
      </c>
    </row>
    <row r="2003" spans="1:11" x14ac:dyDescent="0.25">
      <c r="A2003" s="8" t="s">
        <v>3522</v>
      </c>
      <c r="B2003" s="8" t="s">
        <v>80</v>
      </c>
      <c r="C2003" s="8" t="s">
        <v>3391</v>
      </c>
      <c r="D2003" s="8">
        <v>5</v>
      </c>
      <c r="E2003" s="8" t="s">
        <v>394</v>
      </c>
      <c r="F2003" s="8" t="s">
        <v>378</v>
      </c>
      <c r="G2003" s="8" t="s">
        <v>3393</v>
      </c>
      <c r="H2003" s="10">
        <v>400</v>
      </c>
      <c r="I2003" s="10"/>
      <c r="J2003" s="10">
        <v>400</v>
      </c>
      <c r="K2003" s="10">
        <v>13.02</v>
      </c>
    </row>
    <row r="2004" spans="1:11" x14ac:dyDescent="0.25">
      <c r="A2004" s="8" t="s">
        <v>3523</v>
      </c>
      <c r="B2004" s="8" t="s">
        <v>116</v>
      </c>
      <c r="C2004" s="8" t="s">
        <v>3391</v>
      </c>
      <c r="D2004" s="8">
        <v>5</v>
      </c>
      <c r="E2004" s="8" t="s">
        <v>3524</v>
      </c>
      <c r="F2004" s="8" t="s">
        <v>378</v>
      </c>
      <c r="G2004" s="8" t="s">
        <v>3393</v>
      </c>
      <c r="H2004" s="10">
        <v>2000</v>
      </c>
      <c r="I2004" s="10"/>
      <c r="J2004" s="10">
        <v>2000</v>
      </c>
      <c r="K2004" s="10">
        <v>14.47</v>
      </c>
    </row>
    <row r="2005" spans="1:11" x14ac:dyDescent="0.25">
      <c r="A2005" s="8" t="s">
        <v>3525</v>
      </c>
      <c r="B2005" s="8" t="s">
        <v>118</v>
      </c>
      <c r="C2005" s="8" t="s">
        <v>3391</v>
      </c>
      <c r="D2005" s="8">
        <v>5</v>
      </c>
      <c r="E2005" s="8" t="s">
        <v>3524</v>
      </c>
      <c r="F2005" s="8" t="s">
        <v>378</v>
      </c>
      <c r="G2005" s="8" t="s">
        <v>3393</v>
      </c>
      <c r="H2005" s="10">
        <v>2000</v>
      </c>
      <c r="I2005" s="10"/>
      <c r="J2005" s="10">
        <v>2000</v>
      </c>
      <c r="K2005" s="10">
        <v>14.47</v>
      </c>
    </row>
    <row r="2006" spans="1:11" x14ac:dyDescent="0.25">
      <c r="A2006" s="8" t="s">
        <v>3526</v>
      </c>
      <c r="B2006" s="8" t="s">
        <v>1650</v>
      </c>
      <c r="C2006" s="8" t="s">
        <v>3391</v>
      </c>
      <c r="D2006" s="8">
        <v>5</v>
      </c>
      <c r="E2006" s="8" t="s">
        <v>3524</v>
      </c>
      <c r="F2006" s="8" t="s">
        <v>378</v>
      </c>
      <c r="G2006" s="8" t="s">
        <v>3393</v>
      </c>
      <c r="H2006" s="10">
        <v>1500</v>
      </c>
      <c r="I2006" s="10"/>
      <c r="J2006" s="10">
        <v>1500</v>
      </c>
      <c r="K2006" s="10">
        <v>14.47</v>
      </c>
    </row>
    <row r="2007" spans="1:11" x14ac:dyDescent="0.25">
      <c r="A2007" s="8" t="s">
        <v>3527</v>
      </c>
      <c r="B2007" s="8" t="s">
        <v>120</v>
      </c>
      <c r="C2007" s="8" t="s">
        <v>3391</v>
      </c>
      <c r="D2007" s="8">
        <v>5</v>
      </c>
      <c r="E2007" s="8" t="s">
        <v>3524</v>
      </c>
      <c r="F2007" s="8" t="s">
        <v>378</v>
      </c>
      <c r="G2007" s="8" t="s">
        <v>3393</v>
      </c>
      <c r="H2007" s="10">
        <v>3000</v>
      </c>
      <c r="I2007" s="10"/>
      <c r="J2007" s="10">
        <v>3000</v>
      </c>
      <c r="K2007" s="10">
        <v>14.47</v>
      </c>
    </row>
    <row r="2008" spans="1:11" x14ac:dyDescent="0.25">
      <c r="A2008" s="8" t="s">
        <v>3528</v>
      </c>
      <c r="B2008" s="8" t="s">
        <v>120</v>
      </c>
      <c r="C2008" s="8" t="s">
        <v>3391</v>
      </c>
      <c r="D2008" s="8">
        <v>5</v>
      </c>
      <c r="E2008" s="8" t="s">
        <v>3524</v>
      </c>
      <c r="F2008" s="8" t="s">
        <v>378</v>
      </c>
      <c r="G2008" s="8" t="s">
        <v>3393</v>
      </c>
      <c r="H2008" s="10">
        <v>3000</v>
      </c>
      <c r="I2008" s="10"/>
      <c r="J2008" s="10">
        <v>3000</v>
      </c>
      <c r="K2008" s="10">
        <v>14.47</v>
      </c>
    </row>
    <row r="2009" spans="1:11" x14ac:dyDescent="0.25">
      <c r="A2009" s="8" t="s">
        <v>3529</v>
      </c>
      <c r="B2009" s="8" t="s">
        <v>122</v>
      </c>
      <c r="C2009" s="8" t="s">
        <v>3391</v>
      </c>
      <c r="D2009" s="8">
        <v>5</v>
      </c>
      <c r="E2009" s="8" t="s">
        <v>3524</v>
      </c>
      <c r="F2009" s="8" t="s">
        <v>378</v>
      </c>
      <c r="G2009" s="8" t="s">
        <v>3393</v>
      </c>
      <c r="H2009" s="10">
        <v>3000</v>
      </c>
      <c r="I2009" s="10"/>
      <c r="J2009" s="10">
        <v>3000</v>
      </c>
      <c r="K2009" s="10">
        <v>14.47</v>
      </c>
    </row>
    <row r="2010" spans="1:11" x14ac:dyDescent="0.25">
      <c r="A2010" s="8" t="s">
        <v>3530</v>
      </c>
      <c r="B2010" s="8" t="s">
        <v>124</v>
      </c>
      <c r="C2010" s="8" t="s">
        <v>3391</v>
      </c>
      <c r="D2010" s="8">
        <v>5</v>
      </c>
      <c r="E2010" s="8" t="s">
        <v>3524</v>
      </c>
      <c r="F2010" s="8" t="s">
        <v>378</v>
      </c>
      <c r="G2010" s="8" t="s">
        <v>3393</v>
      </c>
      <c r="H2010" s="10">
        <v>3000</v>
      </c>
      <c r="I2010" s="10"/>
      <c r="J2010" s="10">
        <v>3000</v>
      </c>
      <c r="K2010" s="10">
        <v>14.47</v>
      </c>
    </row>
    <row r="2011" spans="1:11" x14ac:dyDescent="0.25">
      <c r="A2011" s="8" t="s">
        <v>3531</v>
      </c>
      <c r="B2011" s="8" t="s">
        <v>78</v>
      </c>
      <c r="C2011" s="8" t="s">
        <v>3391</v>
      </c>
      <c r="D2011" s="8">
        <v>5</v>
      </c>
      <c r="E2011" s="8" t="s">
        <v>3524</v>
      </c>
      <c r="F2011" s="8" t="s">
        <v>378</v>
      </c>
      <c r="G2011" s="8" t="s">
        <v>3393</v>
      </c>
      <c r="H2011" s="10">
        <v>1500</v>
      </c>
      <c r="I2011" s="10"/>
      <c r="J2011" s="10">
        <v>1500</v>
      </c>
      <c r="K2011" s="10">
        <v>14.47</v>
      </c>
    </row>
    <row r="2012" spans="1:11" x14ac:dyDescent="0.25">
      <c r="A2012" s="8" t="s">
        <v>3532</v>
      </c>
      <c r="B2012" s="8" t="s">
        <v>1655</v>
      </c>
      <c r="C2012" s="8" t="s">
        <v>3391</v>
      </c>
      <c r="D2012" s="8">
        <v>5</v>
      </c>
      <c r="E2012" s="8" t="s">
        <v>3524</v>
      </c>
      <c r="F2012" s="8" t="s">
        <v>378</v>
      </c>
      <c r="G2012" s="8" t="s">
        <v>3393</v>
      </c>
      <c r="H2012" s="10">
        <v>1800</v>
      </c>
      <c r="I2012" s="10"/>
      <c r="J2012" s="10">
        <v>1800</v>
      </c>
      <c r="K2012" s="10">
        <v>14.47</v>
      </c>
    </row>
    <row r="2013" spans="1:11" x14ac:dyDescent="0.25">
      <c r="A2013" s="8" t="s">
        <v>3533</v>
      </c>
      <c r="B2013" s="8" t="s">
        <v>128</v>
      </c>
      <c r="C2013" s="8" t="s">
        <v>3391</v>
      </c>
      <c r="D2013" s="8">
        <v>5</v>
      </c>
      <c r="E2013" s="8" t="s">
        <v>3524</v>
      </c>
      <c r="F2013" s="8" t="s">
        <v>378</v>
      </c>
      <c r="G2013" s="8" t="s">
        <v>3393</v>
      </c>
      <c r="H2013" s="10">
        <v>400</v>
      </c>
      <c r="I2013" s="10"/>
      <c r="J2013" s="10">
        <v>400</v>
      </c>
      <c r="K2013" s="10">
        <v>14.47</v>
      </c>
    </row>
    <row r="2014" spans="1:11" x14ac:dyDescent="0.25">
      <c r="A2014" s="8" t="s">
        <v>3534</v>
      </c>
      <c r="B2014" s="8" t="s">
        <v>949</v>
      </c>
      <c r="C2014" s="8" t="s">
        <v>3391</v>
      </c>
      <c r="D2014" s="8">
        <v>5</v>
      </c>
      <c r="E2014" s="8" t="s">
        <v>3524</v>
      </c>
      <c r="F2014" s="8" t="s">
        <v>378</v>
      </c>
      <c r="G2014" s="8" t="s">
        <v>3393</v>
      </c>
      <c r="H2014" s="10">
        <v>500</v>
      </c>
      <c r="I2014" s="10"/>
      <c r="J2014" s="10">
        <v>500</v>
      </c>
      <c r="K2014" s="10">
        <v>14.47</v>
      </c>
    </row>
    <row r="2015" spans="1:11" x14ac:dyDescent="0.25">
      <c r="A2015" s="8" t="s">
        <v>3535</v>
      </c>
      <c r="B2015" s="8" t="s">
        <v>130</v>
      </c>
      <c r="C2015" s="8" t="s">
        <v>3391</v>
      </c>
      <c r="D2015" s="8">
        <v>5</v>
      </c>
      <c r="E2015" s="8" t="s">
        <v>3524</v>
      </c>
      <c r="F2015" s="8" t="s">
        <v>378</v>
      </c>
      <c r="G2015" s="8" t="s">
        <v>3393</v>
      </c>
      <c r="H2015" s="10">
        <v>200</v>
      </c>
      <c r="I2015" s="10"/>
      <c r="J2015" s="10">
        <v>200</v>
      </c>
      <c r="K2015" s="10">
        <v>14.47</v>
      </c>
    </row>
    <row r="2016" spans="1:11" x14ac:dyDescent="0.25">
      <c r="A2016" s="8" t="s">
        <v>3536</v>
      </c>
      <c r="B2016" s="8" t="s">
        <v>132</v>
      </c>
      <c r="C2016" s="8" t="s">
        <v>3391</v>
      </c>
      <c r="D2016" s="8">
        <v>5</v>
      </c>
      <c r="E2016" s="8" t="s">
        <v>3524</v>
      </c>
      <c r="F2016" s="8" t="s">
        <v>378</v>
      </c>
      <c r="G2016" s="8" t="s">
        <v>3393</v>
      </c>
      <c r="H2016" s="10">
        <v>500</v>
      </c>
      <c r="I2016" s="10"/>
      <c r="J2016" s="10">
        <v>500</v>
      </c>
      <c r="K2016" s="10">
        <v>14.47</v>
      </c>
    </row>
    <row r="2017" spans="1:11" x14ac:dyDescent="0.25">
      <c r="A2017" s="8" t="s">
        <v>3537</v>
      </c>
      <c r="B2017" s="8" t="s">
        <v>134</v>
      </c>
      <c r="C2017" s="8" t="s">
        <v>3391</v>
      </c>
      <c r="D2017" s="8">
        <v>5</v>
      </c>
      <c r="E2017" s="8" t="s">
        <v>3524</v>
      </c>
      <c r="F2017" s="8" t="s">
        <v>378</v>
      </c>
      <c r="G2017" s="8" t="s">
        <v>3393</v>
      </c>
      <c r="H2017" s="10">
        <v>1200</v>
      </c>
      <c r="I2017" s="10"/>
      <c r="J2017" s="10">
        <v>1200</v>
      </c>
      <c r="K2017" s="10">
        <v>14.47</v>
      </c>
    </row>
    <row r="2018" spans="1:11" x14ac:dyDescent="0.25">
      <c r="A2018" s="8" t="s">
        <v>3538</v>
      </c>
      <c r="B2018" s="8" t="s">
        <v>136</v>
      </c>
      <c r="C2018" s="8" t="s">
        <v>3391</v>
      </c>
      <c r="D2018" s="8">
        <v>5</v>
      </c>
      <c r="E2018" s="8" t="s">
        <v>3524</v>
      </c>
      <c r="F2018" s="8" t="s">
        <v>378</v>
      </c>
      <c r="G2018" s="8" t="s">
        <v>3393</v>
      </c>
      <c r="H2018" s="10">
        <v>400</v>
      </c>
      <c r="I2018" s="10"/>
      <c r="J2018" s="10">
        <v>400</v>
      </c>
      <c r="K2018" s="10">
        <v>14.47</v>
      </c>
    </row>
    <row r="2019" spans="1:11" x14ac:dyDescent="0.25">
      <c r="A2019" s="8" t="s">
        <v>3539</v>
      </c>
      <c r="B2019" s="8" t="s">
        <v>1689</v>
      </c>
      <c r="C2019" s="8" t="s">
        <v>3391</v>
      </c>
      <c r="D2019" s="8">
        <v>5</v>
      </c>
      <c r="E2019" s="8" t="s">
        <v>3524</v>
      </c>
      <c r="F2019" s="8" t="s">
        <v>378</v>
      </c>
      <c r="G2019" s="8" t="s">
        <v>3393</v>
      </c>
      <c r="H2019" s="10">
        <v>40</v>
      </c>
      <c r="I2019" s="10"/>
      <c r="J2019" s="10">
        <v>40</v>
      </c>
      <c r="K2019" s="10">
        <v>14.47</v>
      </c>
    </row>
    <row r="2020" spans="1:11" x14ac:dyDescent="0.25">
      <c r="A2020" s="8" t="s">
        <v>3540</v>
      </c>
      <c r="B2020" s="8" t="s">
        <v>138</v>
      </c>
      <c r="C2020" s="8" t="s">
        <v>3391</v>
      </c>
      <c r="D2020" s="8">
        <v>5</v>
      </c>
      <c r="E2020" s="8" t="s">
        <v>3524</v>
      </c>
      <c r="F2020" s="8" t="s">
        <v>378</v>
      </c>
      <c r="G2020" s="8" t="s">
        <v>3393</v>
      </c>
      <c r="H2020" s="10">
        <v>100</v>
      </c>
      <c r="I2020" s="10"/>
      <c r="J2020" s="10">
        <v>100</v>
      </c>
      <c r="K2020" s="10">
        <v>14.47</v>
      </c>
    </row>
    <row r="2021" spans="1:11" x14ac:dyDescent="0.25">
      <c r="A2021" s="8" t="s">
        <v>3541</v>
      </c>
      <c r="B2021" s="8" t="s">
        <v>3521</v>
      </c>
      <c r="C2021" s="8" t="s">
        <v>3391</v>
      </c>
      <c r="D2021" s="8">
        <v>5</v>
      </c>
      <c r="E2021" s="8" t="s">
        <v>3524</v>
      </c>
      <c r="F2021" s="8" t="s">
        <v>378</v>
      </c>
      <c r="G2021" s="8" t="s">
        <v>3393</v>
      </c>
      <c r="H2021" s="10">
        <v>200</v>
      </c>
      <c r="I2021" s="10"/>
      <c r="J2021" s="10">
        <v>200</v>
      </c>
      <c r="K2021" s="10">
        <v>14.47</v>
      </c>
    </row>
    <row r="2022" spans="1:11" x14ac:dyDescent="0.25">
      <c r="A2022" s="8" t="s">
        <v>3542</v>
      </c>
      <c r="B2022" s="8" t="s">
        <v>80</v>
      </c>
      <c r="C2022" s="8" t="s">
        <v>3391</v>
      </c>
      <c r="D2022" s="8">
        <v>5</v>
      </c>
      <c r="E2022" s="8" t="s">
        <v>3524</v>
      </c>
      <c r="F2022" s="8" t="s">
        <v>378</v>
      </c>
      <c r="G2022" s="8" t="s">
        <v>3393</v>
      </c>
      <c r="H2022" s="10">
        <v>300</v>
      </c>
      <c r="I2022" s="10"/>
      <c r="J2022" s="10">
        <v>300</v>
      </c>
      <c r="K2022" s="10">
        <v>14.47</v>
      </c>
    </row>
    <row r="2023" spans="1:11" x14ac:dyDescent="0.25">
      <c r="A2023" s="8" t="s">
        <v>3543</v>
      </c>
      <c r="B2023" s="8" t="s">
        <v>116</v>
      </c>
      <c r="C2023" s="8" t="s">
        <v>3391</v>
      </c>
      <c r="D2023" s="8">
        <v>5</v>
      </c>
      <c r="E2023" s="8" t="s">
        <v>3544</v>
      </c>
      <c r="F2023" s="8" t="s">
        <v>378</v>
      </c>
      <c r="G2023" s="8" t="s">
        <v>3393</v>
      </c>
      <c r="H2023" s="10">
        <v>1000</v>
      </c>
      <c r="I2023" s="10"/>
      <c r="J2023" s="10">
        <v>1000</v>
      </c>
      <c r="K2023" s="10">
        <v>14.51</v>
      </c>
    </row>
    <row r="2024" spans="1:11" x14ac:dyDescent="0.25">
      <c r="A2024" s="8" t="s">
        <v>3545</v>
      </c>
      <c r="B2024" s="8" t="s">
        <v>118</v>
      </c>
      <c r="C2024" s="8" t="s">
        <v>3391</v>
      </c>
      <c r="D2024" s="8">
        <v>5</v>
      </c>
      <c r="E2024" s="8" t="s">
        <v>3544</v>
      </c>
      <c r="F2024" s="8" t="s">
        <v>378</v>
      </c>
      <c r="G2024" s="8" t="s">
        <v>3393</v>
      </c>
      <c r="H2024" s="10">
        <v>1000</v>
      </c>
      <c r="I2024" s="10"/>
      <c r="J2024" s="10">
        <v>1000</v>
      </c>
      <c r="K2024" s="10">
        <v>14.51</v>
      </c>
    </row>
    <row r="2025" spans="1:11" x14ac:dyDescent="0.25">
      <c r="A2025" s="8" t="s">
        <v>3546</v>
      </c>
      <c r="B2025" s="8" t="s">
        <v>1650</v>
      </c>
      <c r="C2025" s="8" t="s">
        <v>3391</v>
      </c>
      <c r="D2025" s="8">
        <v>5</v>
      </c>
      <c r="E2025" s="8" t="s">
        <v>3544</v>
      </c>
      <c r="F2025" s="8" t="s">
        <v>378</v>
      </c>
      <c r="G2025" s="8" t="s">
        <v>3393</v>
      </c>
      <c r="H2025" s="10">
        <v>500</v>
      </c>
      <c r="I2025" s="10"/>
      <c r="J2025" s="10">
        <v>500</v>
      </c>
      <c r="K2025" s="10">
        <v>14.51</v>
      </c>
    </row>
    <row r="2026" spans="1:11" x14ac:dyDescent="0.25">
      <c r="A2026" s="8" t="s">
        <v>3547</v>
      </c>
      <c r="B2026" s="8" t="s">
        <v>120</v>
      </c>
      <c r="C2026" s="8" t="s">
        <v>3391</v>
      </c>
      <c r="D2026" s="8">
        <v>5</v>
      </c>
      <c r="E2026" s="8" t="s">
        <v>3544</v>
      </c>
      <c r="F2026" s="8" t="s">
        <v>378</v>
      </c>
      <c r="G2026" s="8" t="s">
        <v>3393</v>
      </c>
      <c r="H2026" s="10">
        <v>1000</v>
      </c>
      <c r="I2026" s="10"/>
      <c r="J2026" s="10">
        <v>1000</v>
      </c>
      <c r="K2026" s="10">
        <v>14.51</v>
      </c>
    </row>
    <row r="2027" spans="1:11" x14ac:dyDescent="0.25">
      <c r="A2027" s="8" t="s">
        <v>3548</v>
      </c>
      <c r="B2027" s="8" t="s">
        <v>120</v>
      </c>
      <c r="C2027" s="8" t="s">
        <v>3391</v>
      </c>
      <c r="D2027" s="8">
        <v>5</v>
      </c>
      <c r="E2027" s="8" t="s">
        <v>3544</v>
      </c>
      <c r="F2027" s="8" t="s">
        <v>378</v>
      </c>
      <c r="G2027" s="8" t="s">
        <v>3393</v>
      </c>
      <c r="H2027" s="10">
        <v>300</v>
      </c>
      <c r="I2027" s="10"/>
      <c r="J2027" s="10">
        <v>300</v>
      </c>
      <c r="K2027" s="10">
        <v>14.51</v>
      </c>
    </row>
    <row r="2028" spans="1:11" x14ac:dyDescent="0.25">
      <c r="A2028" s="8" t="s">
        <v>3549</v>
      </c>
      <c r="B2028" s="8" t="s">
        <v>122</v>
      </c>
      <c r="C2028" s="8" t="s">
        <v>3391</v>
      </c>
      <c r="D2028" s="8">
        <v>5</v>
      </c>
      <c r="E2028" s="8" t="s">
        <v>3544</v>
      </c>
      <c r="F2028" s="8" t="s">
        <v>378</v>
      </c>
      <c r="G2028" s="8" t="s">
        <v>3393</v>
      </c>
      <c r="H2028" s="10">
        <v>1000</v>
      </c>
      <c r="I2028" s="10"/>
      <c r="J2028" s="10">
        <v>1000</v>
      </c>
      <c r="K2028" s="10">
        <v>14.51</v>
      </c>
    </row>
    <row r="2029" spans="1:11" x14ac:dyDescent="0.25">
      <c r="A2029" s="8" t="s">
        <v>3550</v>
      </c>
      <c r="B2029" s="8" t="s">
        <v>124</v>
      </c>
      <c r="C2029" s="8" t="s">
        <v>3391</v>
      </c>
      <c r="D2029" s="8">
        <v>5</v>
      </c>
      <c r="E2029" s="8" t="s">
        <v>3544</v>
      </c>
      <c r="F2029" s="8" t="s">
        <v>378</v>
      </c>
      <c r="G2029" s="8" t="s">
        <v>3393</v>
      </c>
      <c r="H2029" s="10">
        <v>1000</v>
      </c>
      <c r="I2029" s="10"/>
      <c r="J2029" s="10">
        <v>1000</v>
      </c>
      <c r="K2029" s="10">
        <v>14.51</v>
      </c>
    </row>
    <row r="2030" spans="1:11" x14ac:dyDescent="0.25">
      <c r="A2030" s="8" t="s">
        <v>3551</v>
      </c>
      <c r="B2030" s="8" t="s">
        <v>78</v>
      </c>
      <c r="C2030" s="8" t="s">
        <v>3391</v>
      </c>
      <c r="D2030" s="8">
        <v>5</v>
      </c>
      <c r="E2030" s="8" t="s">
        <v>3544</v>
      </c>
      <c r="F2030" s="8" t="s">
        <v>378</v>
      </c>
      <c r="G2030" s="8" t="s">
        <v>3393</v>
      </c>
      <c r="H2030" s="10">
        <v>500</v>
      </c>
      <c r="I2030" s="10"/>
      <c r="J2030" s="10">
        <v>500</v>
      </c>
      <c r="K2030" s="10">
        <v>14.51</v>
      </c>
    </row>
    <row r="2031" spans="1:11" x14ac:dyDescent="0.25">
      <c r="A2031" s="8" t="s">
        <v>3552</v>
      </c>
      <c r="B2031" s="8" t="s">
        <v>1655</v>
      </c>
      <c r="C2031" s="8" t="s">
        <v>3391</v>
      </c>
      <c r="D2031" s="8">
        <v>5</v>
      </c>
      <c r="E2031" s="8" t="s">
        <v>3544</v>
      </c>
      <c r="F2031" s="8" t="s">
        <v>378</v>
      </c>
      <c r="G2031" s="8" t="s">
        <v>3393</v>
      </c>
      <c r="H2031" s="10">
        <v>300</v>
      </c>
      <c r="I2031" s="10"/>
      <c r="J2031" s="10">
        <v>300</v>
      </c>
      <c r="K2031" s="10">
        <v>14.51</v>
      </c>
    </row>
    <row r="2032" spans="1:11" x14ac:dyDescent="0.25">
      <c r="A2032" s="8" t="s">
        <v>3553</v>
      </c>
      <c r="B2032" s="8" t="s">
        <v>128</v>
      </c>
      <c r="C2032" s="8" t="s">
        <v>3391</v>
      </c>
      <c r="D2032" s="8">
        <v>5</v>
      </c>
      <c r="E2032" s="8" t="s">
        <v>3544</v>
      </c>
      <c r="F2032" s="8" t="s">
        <v>378</v>
      </c>
      <c r="G2032" s="8" t="s">
        <v>3393</v>
      </c>
      <c r="H2032" s="10">
        <v>300</v>
      </c>
      <c r="I2032" s="10"/>
      <c r="J2032" s="10">
        <v>300</v>
      </c>
      <c r="K2032" s="10">
        <v>14.51</v>
      </c>
    </row>
    <row r="2033" spans="1:11" x14ac:dyDescent="0.25">
      <c r="A2033" s="8" t="s">
        <v>3554</v>
      </c>
      <c r="B2033" s="8" t="s">
        <v>130</v>
      </c>
      <c r="C2033" s="8" t="s">
        <v>3391</v>
      </c>
      <c r="D2033" s="8">
        <v>5</v>
      </c>
      <c r="E2033" s="8" t="s">
        <v>3544</v>
      </c>
      <c r="F2033" s="8" t="s">
        <v>378</v>
      </c>
      <c r="G2033" s="8" t="s">
        <v>3393</v>
      </c>
      <c r="H2033" s="10">
        <v>200</v>
      </c>
      <c r="I2033" s="10"/>
      <c r="J2033" s="10">
        <v>200</v>
      </c>
      <c r="K2033" s="10">
        <v>14.51</v>
      </c>
    </row>
    <row r="2034" spans="1:11" x14ac:dyDescent="0.25">
      <c r="A2034" s="8" t="s">
        <v>3555</v>
      </c>
      <c r="B2034" s="8" t="s">
        <v>132</v>
      </c>
      <c r="C2034" s="8" t="s">
        <v>3391</v>
      </c>
      <c r="D2034" s="8">
        <v>5</v>
      </c>
      <c r="E2034" s="8" t="s">
        <v>3544</v>
      </c>
      <c r="F2034" s="8" t="s">
        <v>378</v>
      </c>
      <c r="G2034" s="8" t="s">
        <v>3393</v>
      </c>
      <c r="H2034" s="10">
        <v>300</v>
      </c>
      <c r="I2034" s="10"/>
      <c r="J2034" s="10">
        <v>300</v>
      </c>
      <c r="K2034" s="10">
        <v>14.51</v>
      </c>
    </row>
    <row r="2035" spans="1:11" x14ac:dyDescent="0.25">
      <c r="A2035" s="8" t="s">
        <v>3556</v>
      </c>
      <c r="B2035" s="8" t="s">
        <v>134</v>
      </c>
      <c r="C2035" s="8" t="s">
        <v>3391</v>
      </c>
      <c r="D2035" s="8">
        <v>5</v>
      </c>
      <c r="E2035" s="8" t="s">
        <v>3544</v>
      </c>
      <c r="F2035" s="8" t="s">
        <v>378</v>
      </c>
      <c r="G2035" s="8" t="s">
        <v>3393</v>
      </c>
      <c r="H2035" s="10">
        <v>500</v>
      </c>
      <c r="I2035" s="10"/>
      <c r="J2035" s="10">
        <v>500</v>
      </c>
      <c r="K2035" s="10">
        <v>14.51</v>
      </c>
    </row>
    <row r="2036" spans="1:11" x14ac:dyDescent="0.25">
      <c r="A2036" s="8" t="s">
        <v>3557</v>
      </c>
      <c r="B2036" s="8" t="s">
        <v>136</v>
      </c>
      <c r="C2036" s="8" t="s">
        <v>3391</v>
      </c>
      <c r="D2036" s="8">
        <v>5</v>
      </c>
      <c r="E2036" s="8" t="s">
        <v>3544</v>
      </c>
      <c r="F2036" s="8" t="s">
        <v>378</v>
      </c>
      <c r="G2036" s="8" t="s">
        <v>3393</v>
      </c>
      <c r="H2036" s="10">
        <v>500</v>
      </c>
      <c r="I2036" s="10"/>
      <c r="J2036" s="10">
        <v>500</v>
      </c>
      <c r="K2036" s="10">
        <v>14.51</v>
      </c>
    </row>
    <row r="2037" spans="1:11" x14ac:dyDescent="0.25">
      <c r="A2037" s="8" t="s">
        <v>3558</v>
      </c>
      <c r="B2037" s="8" t="s">
        <v>116</v>
      </c>
      <c r="C2037" s="8" t="s">
        <v>3361</v>
      </c>
      <c r="D2037" s="8">
        <v>4</v>
      </c>
      <c r="E2037" s="8" t="s">
        <v>3559</v>
      </c>
      <c r="F2037" s="8" t="s">
        <v>378</v>
      </c>
      <c r="G2037" s="8" t="s">
        <v>3363</v>
      </c>
      <c r="H2037" s="10">
        <v>200</v>
      </c>
      <c r="I2037" s="10"/>
      <c r="J2037" s="10">
        <v>200</v>
      </c>
      <c r="K2037" s="10">
        <v>19.78</v>
      </c>
    </row>
    <row r="2038" spans="1:11" x14ac:dyDescent="0.25">
      <c r="A2038" s="8" t="s">
        <v>3560</v>
      </c>
      <c r="B2038" s="8" t="s">
        <v>118</v>
      </c>
      <c r="C2038" s="8" t="s">
        <v>3361</v>
      </c>
      <c r="D2038" s="8">
        <v>4</v>
      </c>
      <c r="E2038" s="8" t="s">
        <v>3559</v>
      </c>
      <c r="F2038" s="8" t="s">
        <v>378</v>
      </c>
      <c r="G2038" s="8" t="s">
        <v>3363</v>
      </c>
      <c r="H2038" s="10">
        <v>200</v>
      </c>
      <c r="I2038" s="10"/>
      <c r="J2038" s="10">
        <v>200</v>
      </c>
      <c r="K2038" s="10">
        <v>19.78</v>
      </c>
    </row>
    <row r="2039" spans="1:11" x14ac:dyDescent="0.25">
      <c r="A2039" s="8" t="s">
        <v>3561</v>
      </c>
      <c r="B2039" s="8" t="s">
        <v>120</v>
      </c>
      <c r="C2039" s="8" t="s">
        <v>3361</v>
      </c>
      <c r="D2039" s="8">
        <v>4</v>
      </c>
      <c r="E2039" s="8" t="s">
        <v>3559</v>
      </c>
      <c r="F2039" s="8" t="s">
        <v>378</v>
      </c>
      <c r="G2039" s="8" t="s">
        <v>3363</v>
      </c>
      <c r="H2039" s="10">
        <v>300</v>
      </c>
      <c r="I2039" s="10"/>
      <c r="J2039" s="10">
        <v>300</v>
      </c>
      <c r="K2039" s="10">
        <v>19.78</v>
      </c>
    </row>
    <row r="2040" spans="1:11" x14ac:dyDescent="0.25">
      <c r="A2040" s="8" t="s">
        <v>3562</v>
      </c>
      <c r="B2040" s="8" t="s">
        <v>122</v>
      </c>
      <c r="C2040" s="8" t="s">
        <v>3361</v>
      </c>
      <c r="D2040" s="8">
        <v>4</v>
      </c>
      <c r="E2040" s="8" t="s">
        <v>3559</v>
      </c>
      <c r="F2040" s="8" t="s">
        <v>378</v>
      </c>
      <c r="G2040" s="8" t="s">
        <v>3363</v>
      </c>
      <c r="H2040" s="10">
        <v>300</v>
      </c>
      <c r="I2040" s="10"/>
      <c r="J2040" s="10">
        <v>300</v>
      </c>
      <c r="K2040" s="10">
        <v>19.78</v>
      </c>
    </row>
    <row r="2041" spans="1:11" x14ac:dyDescent="0.25">
      <c r="A2041" s="8" t="s">
        <v>3563</v>
      </c>
      <c r="B2041" s="8" t="s">
        <v>124</v>
      </c>
      <c r="C2041" s="8" t="s">
        <v>3361</v>
      </c>
      <c r="D2041" s="8">
        <v>4</v>
      </c>
      <c r="E2041" s="8" t="s">
        <v>3559</v>
      </c>
      <c r="F2041" s="8" t="s">
        <v>378</v>
      </c>
      <c r="G2041" s="8" t="s">
        <v>3363</v>
      </c>
      <c r="H2041" s="10">
        <v>300</v>
      </c>
      <c r="I2041" s="10"/>
      <c r="J2041" s="10">
        <v>300</v>
      </c>
      <c r="K2041" s="10">
        <v>19.78</v>
      </c>
    </row>
    <row r="2042" spans="1:11" x14ac:dyDescent="0.25">
      <c r="A2042" s="8" t="s">
        <v>3564</v>
      </c>
      <c r="B2042" s="8" t="s">
        <v>78</v>
      </c>
      <c r="C2042" s="8" t="s">
        <v>3361</v>
      </c>
      <c r="D2042" s="8">
        <v>4</v>
      </c>
      <c r="E2042" s="8" t="s">
        <v>3559</v>
      </c>
      <c r="F2042" s="8" t="s">
        <v>378</v>
      </c>
      <c r="G2042" s="8" t="s">
        <v>3363</v>
      </c>
      <c r="H2042" s="10">
        <v>200</v>
      </c>
      <c r="I2042" s="10"/>
      <c r="J2042" s="10">
        <v>200</v>
      </c>
      <c r="K2042" s="10">
        <v>19.78</v>
      </c>
    </row>
    <row r="2043" spans="1:11" x14ac:dyDescent="0.25">
      <c r="A2043" s="8" t="s">
        <v>3565</v>
      </c>
      <c r="B2043" s="8" t="s">
        <v>128</v>
      </c>
      <c r="C2043" s="8" t="s">
        <v>3361</v>
      </c>
      <c r="D2043" s="8">
        <v>4</v>
      </c>
      <c r="E2043" s="8" t="s">
        <v>3559</v>
      </c>
      <c r="F2043" s="8" t="s">
        <v>378</v>
      </c>
      <c r="G2043" s="8" t="s">
        <v>3363</v>
      </c>
      <c r="H2043" s="10">
        <v>100</v>
      </c>
      <c r="I2043" s="10"/>
      <c r="J2043" s="10">
        <v>100</v>
      </c>
      <c r="K2043" s="10">
        <v>19.78</v>
      </c>
    </row>
    <row r="2044" spans="1:11" x14ac:dyDescent="0.25">
      <c r="A2044" s="8" t="s">
        <v>3566</v>
      </c>
      <c r="B2044" s="8" t="s">
        <v>134</v>
      </c>
      <c r="C2044" s="8" t="s">
        <v>3361</v>
      </c>
      <c r="D2044" s="8">
        <v>4</v>
      </c>
      <c r="E2044" s="8" t="s">
        <v>3559</v>
      </c>
      <c r="F2044" s="8" t="s">
        <v>378</v>
      </c>
      <c r="G2044" s="8" t="s">
        <v>3363</v>
      </c>
      <c r="H2044" s="10">
        <v>200</v>
      </c>
      <c r="I2044" s="10"/>
      <c r="J2044" s="10">
        <v>200</v>
      </c>
      <c r="K2044" s="10">
        <v>19.78</v>
      </c>
    </row>
    <row r="2045" spans="1:11" x14ac:dyDescent="0.25">
      <c r="A2045" s="8" t="s">
        <v>3567</v>
      </c>
      <c r="B2045" s="8" t="s">
        <v>116</v>
      </c>
      <c r="C2045" s="8" t="s">
        <v>3361</v>
      </c>
      <c r="D2045" s="8">
        <v>4</v>
      </c>
      <c r="E2045" s="8" t="s">
        <v>3568</v>
      </c>
      <c r="F2045" s="8" t="s">
        <v>378</v>
      </c>
      <c r="G2045" s="8" t="s">
        <v>3363</v>
      </c>
      <c r="H2045" s="10">
        <v>200</v>
      </c>
      <c r="I2045" s="10"/>
      <c r="J2045" s="10">
        <v>200</v>
      </c>
      <c r="K2045" s="10">
        <v>15.29</v>
      </c>
    </row>
    <row r="2046" spans="1:11" x14ac:dyDescent="0.25">
      <c r="A2046" s="8" t="s">
        <v>3569</v>
      </c>
      <c r="B2046" s="8" t="s">
        <v>118</v>
      </c>
      <c r="C2046" s="8" t="s">
        <v>3361</v>
      </c>
      <c r="D2046" s="8">
        <v>4</v>
      </c>
      <c r="E2046" s="8" t="s">
        <v>3568</v>
      </c>
      <c r="F2046" s="8" t="s">
        <v>378</v>
      </c>
      <c r="G2046" s="8" t="s">
        <v>3363</v>
      </c>
      <c r="H2046" s="10">
        <v>200</v>
      </c>
      <c r="I2046" s="10"/>
      <c r="J2046" s="10">
        <v>200</v>
      </c>
      <c r="K2046" s="10">
        <v>15.29</v>
      </c>
    </row>
    <row r="2047" spans="1:11" x14ac:dyDescent="0.25">
      <c r="A2047" s="8" t="s">
        <v>3570</v>
      </c>
      <c r="B2047" s="8" t="s">
        <v>120</v>
      </c>
      <c r="C2047" s="8" t="s">
        <v>3361</v>
      </c>
      <c r="D2047" s="8">
        <v>4</v>
      </c>
      <c r="E2047" s="8" t="s">
        <v>3568</v>
      </c>
      <c r="F2047" s="8" t="s">
        <v>378</v>
      </c>
      <c r="G2047" s="8" t="s">
        <v>3363</v>
      </c>
      <c r="H2047" s="10">
        <v>100</v>
      </c>
      <c r="I2047" s="10"/>
      <c r="J2047" s="10">
        <v>100</v>
      </c>
      <c r="K2047" s="10">
        <v>15.29</v>
      </c>
    </row>
    <row r="2048" spans="1:11" x14ac:dyDescent="0.25">
      <c r="A2048" s="8" t="s">
        <v>3571</v>
      </c>
      <c r="B2048" s="8" t="s">
        <v>122</v>
      </c>
      <c r="C2048" s="8" t="s">
        <v>3361</v>
      </c>
      <c r="D2048" s="8">
        <v>4</v>
      </c>
      <c r="E2048" s="8" t="s">
        <v>3568</v>
      </c>
      <c r="F2048" s="8" t="s">
        <v>378</v>
      </c>
      <c r="G2048" s="8" t="s">
        <v>3363</v>
      </c>
      <c r="H2048" s="10">
        <v>200</v>
      </c>
      <c r="I2048" s="10"/>
      <c r="J2048" s="10">
        <v>200</v>
      </c>
      <c r="K2048" s="10">
        <v>15.29</v>
      </c>
    </row>
    <row r="2049" spans="1:11" x14ac:dyDescent="0.25">
      <c r="A2049" s="8" t="s">
        <v>3572</v>
      </c>
      <c r="B2049" s="8" t="s">
        <v>124</v>
      </c>
      <c r="C2049" s="8" t="s">
        <v>3361</v>
      </c>
      <c r="D2049" s="8">
        <v>4</v>
      </c>
      <c r="E2049" s="8" t="s">
        <v>3568</v>
      </c>
      <c r="F2049" s="8" t="s">
        <v>378</v>
      </c>
      <c r="G2049" s="8" t="s">
        <v>3363</v>
      </c>
      <c r="H2049" s="10">
        <v>200</v>
      </c>
      <c r="I2049" s="10"/>
      <c r="J2049" s="10">
        <v>200</v>
      </c>
      <c r="K2049" s="10">
        <v>15.29</v>
      </c>
    </row>
    <row r="2050" spans="1:11" x14ac:dyDescent="0.25">
      <c r="A2050" s="8" t="s">
        <v>3573</v>
      </c>
      <c r="B2050" s="8" t="s">
        <v>78</v>
      </c>
      <c r="C2050" s="8" t="s">
        <v>3361</v>
      </c>
      <c r="D2050" s="8">
        <v>4</v>
      </c>
      <c r="E2050" s="8" t="s">
        <v>3568</v>
      </c>
      <c r="F2050" s="8" t="s">
        <v>378</v>
      </c>
      <c r="G2050" s="8" t="s">
        <v>3363</v>
      </c>
      <c r="H2050" s="10">
        <v>200</v>
      </c>
      <c r="I2050" s="10"/>
      <c r="J2050" s="10">
        <v>200</v>
      </c>
      <c r="K2050" s="10">
        <v>15.29</v>
      </c>
    </row>
    <row r="2051" spans="1:11" x14ac:dyDescent="0.25">
      <c r="A2051" s="8" t="s">
        <v>3574</v>
      </c>
      <c r="B2051" s="8" t="s">
        <v>128</v>
      </c>
      <c r="C2051" s="8" t="s">
        <v>3361</v>
      </c>
      <c r="D2051" s="8">
        <v>4</v>
      </c>
      <c r="E2051" s="8" t="s">
        <v>3568</v>
      </c>
      <c r="F2051" s="8" t="s">
        <v>378</v>
      </c>
      <c r="G2051" s="8" t="s">
        <v>3363</v>
      </c>
      <c r="H2051" s="10">
        <v>100</v>
      </c>
      <c r="I2051" s="10"/>
      <c r="J2051" s="10">
        <v>100</v>
      </c>
      <c r="K2051" s="10">
        <v>15.29</v>
      </c>
    </row>
    <row r="2052" spans="1:11" x14ac:dyDescent="0.25">
      <c r="A2052" s="8" t="s">
        <v>3575</v>
      </c>
      <c r="B2052" s="8" t="s">
        <v>263</v>
      </c>
      <c r="C2052" s="8" t="s">
        <v>3361</v>
      </c>
      <c r="D2052" s="8">
        <v>4</v>
      </c>
      <c r="E2052" s="8" t="s">
        <v>394</v>
      </c>
      <c r="F2052" s="8" t="s">
        <v>378</v>
      </c>
      <c r="G2052" s="8" t="s">
        <v>3576</v>
      </c>
      <c r="H2052" s="10">
        <v>50</v>
      </c>
      <c r="I2052" s="10"/>
      <c r="J2052" s="10">
        <v>50</v>
      </c>
      <c r="K2052" s="10">
        <v>13.02</v>
      </c>
    </row>
    <row r="2053" spans="1:11" x14ac:dyDescent="0.25">
      <c r="A2053" s="8" t="s">
        <v>3577</v>
      </c>
      <c r="B2053" s="8" t="s">
        <v>269</v>
      </c>
      <c r="C2053" s="8" t="s">
        <v>3361</v>
      </c>
      <c r="D2053" s="8">
        <v>4</v>
      </c>
      <c r="E2053" s="8" t="s">
        <v>394</v>
      </c>
      <c r="F2053" s="8" t="s">
        <v>378</v>
      </c>
      <c r="G2053" s="8" t="s">
        <v>3576</v>
      </c>
      <c r="H2053" s="10">
        <v>50</v>
      </c>
      <c r="I2053" s="10"/>
      <c r="J2053" s="10">
        <v>50</v>
      </c>
      <c r="K2053" s="10">
        <v>13.02</v>
      </c>
    </row>
    <row r="2054" spans="1:11" x14ac:dyDescent="0.25">
      <c r="A2054" s="8" t="s">
        <v>3578</v>
      </c>
      <c r="B2054" s="8" t="s">
        <v>1650</v>
      </c>
      <c r="C2054" s="8" t="s">
        <v>3361</v>
      </c>
      <c r="D2054" s="8">
        <v>4</v>
      </c>
      <c r="E2054" s="8" t="s">
        <v>400</v>
      </c>
      <c r="F2054" s="8" t="s">
        <v>378</v>
      </c>
      <c r="G2054" s="8" t="s">
        <v>3363</v>
      </c>
      <c r="H2054" s="10">
        <v>100</v>
      </c>
      <c r="I2054" s="10"/>
      <c r="J2054" s="10">
        <v>100</v>
      </c>
      <c r="K2054" s="10">
        <v>15.29</v>
      </c>
    </row>
    <row r="2055" spans="1:11" x14ac:dyDescent="0.25">
      <c r="A2055" s="8" t="s">
        <v>3579</v>
      </c>
      <c r="B2055" s="8" t="s">
        <v>120</v>
      </c>
      <c r="C2055" s="8" t="s">
        <v>3361</v>
      </c>
      <c r="D2055" s="8">
        <v>4</v>
      </c>
      <c r="E2055" s="8" t="s">
        <v>400</v>
      </c>
      <c r="F2055" s="8" t="s">
        <v>378</v>
      </c>
      <c r="G2055" s="8" t="s">
        <v>3363</v>
      </c>
      <c r="H2055" s="10">
        <v>100</v>
      </c>
      <c r="I2055" s="10"/>
      <c r="J2055" s="10">
        <v>100</v>
      </c>
      <c r="K2055" s="10">
        <v>15.29</v>
      </c>
    </row>
    <row r="2056" spans="1:11" x14ac:dyDescent="0.25">
      <c r="A2056" s="8" t="s">
        <v>3580</v>
      </c>
      <c r="B2056" s="8" t="s">
        <v>1655</v>
      </c>
      <c r="C2056" s="8" t="s">
        <v>3361</v>
      </c>
      <c r="D2056" s="8">
        <v>4</v>
      </c>
      <c r="E2056" s="8" t="s">
        <v>400</v>
      </c>
      <c r="F2056" s="8" t="s">
        <v>378</v>
      </c>
      <c r="G2056" s="8" t="s">
        <v>3363</v>
      </c>
      <c r="H2056" s="10">
        <v>100</v>
      </c>
      <c r="I2056" s="10"/>
      <c r="J2056" s="10">
        <v>100</v>
      </c>
      <c r="K2056" s="10">
        <v>15.29</v>
      </c>
    </row>
    <row r="2057" spans="1:11" x14ac:dyDescent="0.25">
      <c r="A2057" s="8" t="s">
        <v>3581</v>
      </c>
      <c r="B2057" s="8" t="s">
        <v>1650</v>
      </c>
      <c r="C2057" s="8" t="s">
        <v>3361</v>
      </c>
      <c r="D2057" s="8">
        <v>4</v>
      </c>
      <c r="E2057" s="8" t="s">
        <v>3582</v>
      </c>
      <c r="F2057" s="8" t="s">
        <v>378</v>
      </c>
      <c r="G2057" s="8" t="s">
        <v>3363</v>
      </c>
      <c r="H2057" s="10">
        <v>100</v>
      </c>
      <c r="I2057" s="10"/>
      <c r="J2057" s="10">
        <v>100</v>
      </c>
      <c r="K2057" s="10">
        <v>15.29</v>
      </c>
    </row>
    <row r="2058" spans="1:11" x14ac:dyDescent="0.25">
      <c r="A2058" s="8" t="s">
        <v>3583</v>
      </c>
      <c r="B2058" s="8" t="s">
        <v>120</v>
      </c>
      <c r="C2058" s="8" t="s">
        <v>3361</v>
      </c>
      <c r="D2058" s="8">
        <v>4</v>
      </c>
      <c r="E2058" s="8" t="s">
        <v>3582</v>
      </c>
      <c r="F2058" s="8" t="s">
        <v>378</v>
      </c>
      <c r="G2058" s="8" t="s">
        <v>3363</v>
      </c>
      <c r="H2058" s="10">
        <v>100</v>
      </c>
      <c r="I2058" s="10"/>
      <c r="J2058" s="10">
        <v>100</v>
      </c>
      <c r="K2058" s="10">
        <v>15.29</v>
      </c>
    </row>
    <row r="2059" spans="1:11" x14ac:dyDescent="0.25">
      <c r="A2059" s="8" t="s">
        <v>3584</v>
      </c>
      <c r="B2059" s="8" t="s">
        <v>1655</v>
      </c>
      <c r="C2059" s="8" t="s">
        <v>3361</v>
      </c>
      <c r="D2059" s="8">
        <v>4</v>
      </c>
      <c r="E2059" s="8" t="s">
        <v>3582</v>
      </c>
      <c r="F2059" s="8" t="s">
        <v>378</v>
      </c>
      <c r="G2059" s="8" t="s">
        <v>3363</v>
      </c>
      <c r="H2059" s="10">
        <v>100</v>
      </c>
      <c r="I2059" s="10"/>
      <c r="J2059" s="10">
        <v>100</v>
      </c>
      <c r="K2059" s="10">
        <v>15.29</v>
      </c>
    </row>
    <row r="2060" spans="1:11" x14ac:dyDescent="0.25">
      <c r="A2060" s="8" t="s">
        <v>3585</v>
      </c>
      <c r="B2060" s="8" t="s">
        <v>1650</v>
      </c>
      <c r="C2060" s="8" t="s">
        <v>3361</v>
      </c>
      <c r="D2060" s="8">
        <v>4</v>
      </c>
      <c r="E2060" s="8" t="s">
        <v>3586</v>
      </c>
      <c r="F2060" s="8" t="s">
        <v>378</v>
      </c>
      <c r="G2060" s="8" t="s">
        <v>3363</v>
      </c>
      <c r="H2060" s="10">
        <v>100</v>
      </c>
      <c r="I2060" s="10"/>
      <c r="J2060" s="10">
        <v>100</v>
      </c>
      <c r="K2060" s="10">
        <v>15.29</v>
      </c>
    </row>
    <row r="2061" spans="1:11" x14ac:dyDescent="0.25">
      <c r="A2061" s="8" t="s">
        <v>3587</v>
      </c>
      <c r="B2061" s="8" t="s">
        <v>120</v>
      </c>
      <c r="C2061" s="8" t="s">
        <v>3361</v>
      </c>
      <c r="D2061" s="8">
        <v>4</v>
      </c>
      <c r="E2061" s="8" t="s">
        <v>3586</v>
      </c>
      <c r="F2061" s="8" t="s">
        <v>378</v>
      </c>
      <c r="G2061" s="8" t="s">
        <v>3363</v>
      </c>
      <c r="H2061" s="10">
        <v>100</v>
      </c>
      <c r="I2061" s="10"/>
      <c r="J2061" s="10">
        <v>100</v>
      </c>
      <c r="K2061" s="10">
        <v>15.29</v>
      </c>
    </row>
    <row r="2062" spans="1:11" x14ac:dyDescent="0.25">
      <c r="A2062" s="8" t="s">
        <v>3588</v>
      </c>
      <c r="B2062" s="8" t="s">
        <v>1655</v>
      </c>
      <c r="C2062" s="8" t="s">
        <v>3361</v>
      </c>
      <c r="D2062" s="8">
        <v>4</v>
      </c>
      <c r="E2062" s="8" t="s">
        <v>3586</v>
      </c>
      <c r="F2062" s="8" t="s">
        <v>378</v>
      </c>
      <c r="G2062" s="8" t="s">
        <v>3363</v>
      </c>
      <c r="H2062" s="10">
        <v>100</v>
      </c>
      <c r="I2062" s="10"/>
      <c r="J2062" s="10">
        <v>100</v>
      </c>
      <c r="K2062" s="10">
        <v>15.29</v>
      </c>
    </row>
    <row r="2063" spans="1:11" x14ac:dyDescent="0.25">
      <c r="A2063" s="8" t="s">
        <v>3589</v>
      </c>
      <c r="B2063" s="8" t="s">
        <v>1650</v>
      </c>
      <c r="C2063" s="8" t="s">
        <v>3361</v>
      </c>
      <c r="D2063" s="8">
        <v>4</v>
      </c>
      <c r="E2063" s="8" t="s">
        <v>3590</v>
      </c>
      <c r="F2063" s="8" t="s">
        <v>378</v>
      </c>
      <c r="G2063" s="8" t="s">
        <v>3363</v>
      </c>
      <c r="H2063" s="10">
        <v>100</v>
      </c>
      <c r="I2063" s="10"/>
      <c r="J2063" s="10">
        <v>100</v>
      </c>
      <c r="K2063" s="10">
        <v>15.29</v>
      </c>
    </row>
    <row r="2064" spans="1:11" x14ac:dyDescent="0.25">
      <c r="A2064" s="8" t="s">
        <v>3591</v>
      </c>
      <c r="B2064" s="8" t="s">
        <v>120</v>
      </c>
      <c r="C2064" s="8" t="s">
        <v>3361</v>
      </c>
      <c r="D2064" s="8">
        <v>4</v>
      </c>
      <c r="E2064" s="8" t="s">
        <v>3590</v>
      </c>
      <c r="F2064" s="8" t="s">
        <v>378</v>
      </c>
      <c r="G2064" s="8" t="s">
        <v>3363</v>
      </c>
      <c r="H2064" s="10">
        <v>100</v>
      </c>
      <c r="I2064" s="10"/>
      <c r="J2064" s="10">
        <v>100</v>
      </c>
      <c r="K2064" s="10">
        <v>15.29</v>
      </c>
    </row>
    <row r="2065" spans="1:11" x14ac:dyDescent="0.25">
      <c r="A2065" s="8" t="s">
        <v>3592</v>
      </c>
      <c r="B2065" s="8" t="s">
        <v>1655</v>
      </c>
      <c r="C2065" s="8" t="s">
        <v>3361</v>
      </c>
      <c r="D2065" s="8">
        <v>4</v>
      </c>
      <c r="E2065" s="8" t="s">
        <v>3590</v>
      </c>
      <c r="F2065" s="8" t="s">
        <v>378</v>
      </c>
      <c r="G2065" s="8" t="s">
        <v>3363</v>
      </c>
      <c r="H2065" s="10">
        <v>100</v>
      </c>
      <c r="I2065" s="10"/>
      <c r="J2065" s="10">
        <v>100</v>
      </c>
      <c r="K2065" s="10">
        <v>15.29</v>
      </c>
    </row>
    <row r="2066" spans="1:11" x14ac:dyDescent="0.25">
      <c r="A2066" s="8" t="s">
        <v>3593</v>
      </c>
      <c r="B2066" s="8" t="s">
        <v>1650</v>
      </c>
      <c r="C2066" s="8" t="s">
        <v>3361</v>
      </c>
      <c r="D2066" s="8">
        <v>4</v>
      </c>
      <c r="E2066" s="8" t="s">
        <v>403</v>
      </c>
      <c r="F2066" s="8" t="s">
        <v>378</v>
      </c>
      <c r="G2066" s="8" t="s">
        <v>3363</v>
      </c>
      <c r="H2066" s="10">
        <v>700</v>
      </c>
      <c r="I2066" s="10"/>
      <c r="J2066" s="10">
        <v>700</v>
      </c>
      <c r="K2066" s="10">
        <v>15.29</v>
      </c>
    </row>
    <row r="2067" spans="1:11" x14ac:dyDescent="0.25">
      <c r="A2067" s="8" t="s">
        <v>3594</v>
      </c>
      <c r="B2067" s="8" t="s">
        <v>120</v>
      </c>
      <c r="C2067" s="8" t="s">
        <v>3361</v>
      </c>
      <c r="D2067" s="8">
        <v>4</v>
      </c>
      <c r="E2067" s="8" t="s">
        <v>403</v>
      </c>
      <c r="F2067" s="8" t="s">
        <v>378</v>
      </c>
      <c r="G2067" s="8" t="s">
        <v>3363</v>
      </c>
      <c r="H2067" s="10">
        <v>4500</v>
      </c>
      <c r="I2067" s="10"/>
      <c r="J2067" s="10">
        <v>4500</v>
      </c>
      <c r="K2067" s="10">
        <v>15.29</v>
      </c>
    </row>
    <row r="2068" spans="1:11" x14ac:dyDescent="0.25">
      <c r="A2068" s="8" t="s">
        <v>3595</v>
      </c>
      <c r="B2068" s="8" t="s">
        <v>1650</v>
      </c>
      <c r="C2068" s="8" t="s">
        <v>3361</v>
      </c>
      <c r="D2068" s="8">
        <v>4</v>
      </c>
      <c r="E2068" s="8" t="s">
        <v>3596</v>
      </c>
      <c r="F2068" s="8" t="s">
        <v>378</v>
      </c>
      <c r="G2068" s="8" t="s">
        <v>3363</v>
      </c>
      <c r="H2068" s="10">
        <v>100</v>
      </c>
      <c r="I2068" s="10"/>
      <c r="J2068" s="10">
        <v>100</v>
      </c>
      <c r="K2068" s="10">
        <v>15.29</v>
      </c>
    </row>
    <row r="2069" spans="1:11" x14ac:dyDescent="0.25">
      <c r="A2069" s="8" t="s">
        <v>3597</v>
      </c>
      <c r="B2069" s="8" t="s">
        <v>120</v>
      </c>
      <c r="C2069" s="8" t="s">
        <v>3361</v>
      </c>
      <c r="D2069" s="8">
        <v>4</v>
      </c>
      <c r="E2069" s="8" t="s">
        <v>3596</v>
      </c>
      <c r="F2069" s="8" t="s">
        <v>378</v>
      </c>
      <c r="G2069" s="8" t="s">
        <v>3363</v>
      </c>
      <c r="H2069" s="10">
        <v>100</v>
      </c>
      <c r="I2069" s="10"/>
      <c r="J2069" s="10">
        <v>100</v>
      </c>
      <c r="K2069" s="10">
        <v>15.29</v>
      </c>
    </row>
    <row r="2070" spans="1:11" x14ac:dyDescent="0.25">
      <c r="A2070" s="8" t="s">
        <v>3598</v>
      </c>
      <c r="B2070" s="8" t="s">
        <v>1655</v>
      </c>
      <c r="C2070" s="8" t="s">
        <v>3361</v>
      </c>
      <c r="D2070" s="8">
        <v>4</v>
      </c>
      <c r="E2070" s="8" t="s">
        <v>3596</v>
      </c>
      <c r="F2070" s="8" t="s">
        <v>378</v>
      </c>
      <c r="G2070" s="8" t="s">
        <v>3363</v>
      </c>
      <c r="H2070" s="10">
        <v>100</v>
      </c>
      <c r="I2070" s="10"/>
      <c r="J2070" s="10">
        <v>100</v>
      </c>
      <c r="K2070" s="10">
        <v>15.29</v>
      </c>
    </row>
    <row r="2071" spans="1:11" x14ac:dyDescent="0.25">
      <c r="A2071" s="8" t="s">
        <v>3599</v>
      </c>
      <c r="B2071" s="8" t="s">
        <v>1650</v>
      </c>
      <c r="C2071" s="8" t="s">
        <v>3361</v>
      </c>
      <c r="D2071" s="8">
        <v>4</v>
      </c>
      <c r="E2071" s="8" t="s">
        <v>3600</v>
      </c>
      <c r="F2071" s="8" t="s">
        <v>378</v>
      </c>
      <c r="G2071" s="8" t="s">
        <v>3363</v>
      </c>
      <c r="H2071" s="10">
        <v>100</v>
      </c>
      <c r="I2071" s="10"/>
      <c r="J2071" s="10">
        <v>100</v>
      </c>
      <c r="K2071" s="10">
        <v>15.29</v>
      </c>
    </row>
    <row r="2072" spans="1:11" x14ac:dyDescent="0.25">
      <c r="A2072" s="8" t="s">
        <v>3601</v>
      </c>
      <c r="B2072" s="8" t="s">
        <v>120</v>
      </c>
      <c r="C2072" s="8" t="s">
        <v>3361</v>
      </c>
      <c r="D2072" s="8">
        <v>4</v>
      </c>
      <c r="E2072" s="8" t="s">
        <v>3600</v>
      </c>
      <c r="F2072" s="8" t="s">
        <v>378</v>
      </c>
      <c r="G2072" s="8" t="s">
        <v>3363</v>
      </c>
      <c r="H2072" s="10">
        <v>100</v>
      </c>
      <c r="I2072" s="10"/>
      <c r="J2072" s="10">
        <v>100</v>
      </c>
      <c r="K2072" s="10">
        <v>15.29</v>
      </c>
    </row>
    <row r="2073" spans="1:11" x14ac:dyDescent="0.25">
      <c r="A2073" s="8" t="s">
        <v>3602</v>
      </c>
      <c r="B2073" s="8" t="s">
        <v>1655</v>
      </c>
      <c r="C2073" s="8" t="s">
        <v>3361</v>
      </c>
      <c r="D2073" s="8">
        <v>4</v>
      </c>
      <c r="E2073" s="8" t="s">
        <v>3600</v>
      </c>
      <c r="F2073" s="8" t="s">
        <v>378</v>
      </c>
      <c r="G2073" s="8" t="s">
        <v>3363</v>
      </c>
      <c r="H2073" s="10">
        <v>100</v>
      </c>
      <c r="I2073" s="10"/>
      <c r="J2073" s="10">
        <v>100</v>
      </c>
      <c r="K2073" s="10">
        <v>15.29</v>
      </c>
    </row>
    <row r="2074" spans="1:11" x14ac:dyDescent="0.25">
      <c r="A2074" s="8" t="s">
        <v>3603</v>
      </c>
      <c r="B2074" s="8" t="s">
        <v>1650</v>
      </c>
      <c r="C2074" s="8" t="s">
        <v>3361</v>
      </c>
      <c r="D2074" s="8">
        <v>4</v>
      </c>
      <c r="E2074" s="8" t="s">
        <v>3604</v>
      </c>
      <c r="F2074" s="8" t="s">
        <v>378</v>
      </c>
      <c r="G2074" s="8" t="s">
        <v>3363</v>
      </c>
      <c r="H2074" s="10">
        <v>50</v>
      </c>
      <c r="I2074" s="10"/>
      <c r="J2074" s="10">
        <v>50</v>
      </c>
      <c r="K2074" s="10">
        <v>15.29</v>
      </c>
    </row>
    <row r="2075" spans="1:11" x14ac:dyDescent="0.25">
      <c r="A2075" s="8" t="s">
        <v>3605</v>
      </c>
      <c r="B2075" s="8" t="s">
        <v>120</v>
      </c>
      <c r="C2075" s="8" t="s">
        <v>3361</v>
      </c>
      <c r="D2075" s="8">
        <v>4</v>
      </c>
      <c r="E2075" s="8" t="s">
        <v>3604</v>
      </c>
      <c r="F2075" s="8" t="s">
        <v>378</v>
      </c>
      <c r="G2075" s="8" t="s">
        <v>3363</v>
      </c>
      <c r="H2075" s="10">
        <v>50</v>
      </c>
      <c r="I2075" s="10"/>
      <c r="J2075" s="10">
        <v>50</v>
      </c>
      <c r="K2075" s="10">
        <v>15.29</v>
      </c>
    </row>
    <row r="2076" spans="1:11" x14ac:dyDescent="0.25">
      <c r="A2076" s="8" t="s">
        <v>3606</v>
      </c>
      <c r="B2076" s="8" t="s">
        <v>1655</v>
      </c>
      <c r="C2076" s="8" t="s">
        <v>3361</v>
      </c>
      <c r="D2076" s="8">
        <v>4</v>
      </c>
      <c r="E2076" s="8" t="s">
        <v>3604</v>
      </c>
      <c r="F2076" s="8" t="s">
        <v>378</v>
      </c>
      <c r="G2076" s="8" t="s">
        <v>3363</v>
      </c>
      <c r="H2076" s="10">
        <v>50</v>
      </c>
      <c r="I2076" s="10"/>
      <c r="J2076" s="10">
        <v>50</v>
      </c>
      <c r="K2076" s="10">
        <v>15.29</v>
      </c>
    </row>
    <row r="2077" spans="1:11" x14ac:dyDescent="0.25">
      <c r="A2077" s="8" t="s">
        <v>3607</v>
      </c>
      <c r="B2077" s="8" t="s">
        <v>1650</v>
      </c>
      <c r="C2077" s="8" t="s">
        <v>3361</v>
      </c>
      <c r="D2077" s="8">
        <v>4</v>
      </c>
      <c r="E2077" s="8" t="s">
        <v>3608</v>
      </c>
      <c r="F2077" s="8" t="s">
        <v>378</v>
      </c>
      <c r="G2077" s="8" t="s">
        <v>3363</v>
      </c>
      <c r="H2077" s="10">
        <v>50</v>
      </c>
      <c r="I2077" s="10"/>
      <c r="J2077" s="10">
        <v>50</v>
      </c>
      <c r="K2077" s="10">
        <v>15.29</v>
      </c>
    </row>
    <row r="2078" spans="1:11" x14ac:dyDescent="0.25">
      <c r="A2078" s="8" t="s">
        <v>3609</v>
      </c>
      <c r="B2078" s="8" t="s">
        <v>120</v>
      </c>
      <c r="C2078" s="8" t="s">
        <v>3361</v>
      </c>
      <c r="D2078" s="8">
        <v>4</v>
      </c>
      <c r="E2078" s="8" t="s">
        <v>3608</v>
      </c>
      <c r="F2078" s="8" t="s">
        <v>378</v>
      </c>
      <c r="G2078" s="8" t="s">
        <v>3363</v>
      </c>
      <c r="H2078" s="10">
        <v>50</v>
      </c>
      <c r="I2078" s="10"/>
      <c r="J2078" s="10">
        <v>50</v>
      </c>
      <c r="K2078" s="10">
        <v>15.29</v>
      </c>
    </row>
    <row r="2079" spans="1:11" x14ac:dyDescent="0.25">
      <c r="A2079" s="8" t="s">
        <v>3610</v>
      </c>
      <c r="B2079" s="8" t="s">
        <v>1655</v>
      </c>
      <c r="C2079" s="8" t="s">
        <v>3361</v>
      </c>
      <c r="D2079" s="8">
        <v>4</v>
      </c>
      <c r="E2079" s="8" t="s">
        <v>3608</v>
      </c>
      <c r="F2079" s="8" t="s">
        <v>378</v>
      </c>
      <c r="G2079" s="8" t="s">
        <v>3363</v>
      </c>
      <c r="H2079" s="10">
        <v>50</v>
      </c>
      <c r="I2079" s="10"/>
      <c r="J2079" s="10">
        <v>50</v>
      </c>
      <c r="K2079" s="10">
        <v>15.29</v>
      </c>
    </row>
    <row r="2080" spans="1:11" x14ac:dyDescent="0.25">
      <c r="A2080" s="8" t="s">
        <v>3611</v>
      </c>
      <c r="B2080" s="8" t="s">
        <v>1650</v>
      </c>
      <c r="C2080" s="8" t="s">
        <v>3361</v>
      </c>
      <c r="D2080" s="8">
        <v>4</v>
      </c>
      <c r="E2080" s="8" t="s">
        <v>3612</v>
      </c>
      <c r="F2080" s="8" t="s">
        <v>378</v>
      </c>
      <c r="G2080" s="8" t="s">
        <v>3363</v>
      </c>
      <c r="H2080" s="10">
        <v>50</v>
      </c>
      <c r="I2080" s="10"/>
      <c r="J2080" s="10">
        <v>50</v>
      </c>
      <c r="K2080" s="10">
        <v>15.29</v>
      </c>
    </row>
    <row r="2081" spans="1:11" x14ac:dyDescent="0.25">
      <c r="A2081" s="8" t="s">
        <v>3613</v>
      </c>
      <c r="B2081" s="8" t="s">
        <v>120</v>
      </c>
      <c r="C2081" s="8" t="s">
        <v>3361</v>
      </c>
      <c r="D2081" s="8">
        <v>4</v>
      </c>
      <c r="E2081" s="8" t="s">
        <v>3612</v>
      </c>
      <c r="F2081" s="8" t="s">
        <v>378</v>
      </c>
      <c r="G2081" s="8" t="s">
        <v>3363</v>
      </c>
      <c r="H2081" s="10">
        <v>50</v>
      </c>
      <c r="I2081" s="10"/>
      <c r="J2081" s="10">
        <v>50</v>
      </c>
      <c r="K2081" s="10">
        <v>15.29</v>
      </c>
    </row>
    <row r="2082" spans="1:11" x14ac:dyDescent="0.25">
      <c r="A2082" s="8" t="s">
        <v>3614</v>
      </c>
      <c r="B2082" s="8" t="s">
        <v>1655</v>
      </c>
      <c r="C2082" s="8" t="s">
        <v>3361</v>
      </c>
      <c r="D2082" s="8">
        <v>4</v>
      </c>
      <c r="E2082" s="8" t="s">
        <v>3612</v>
      </c>
      <c r="F2082" s="8" t="s">
        <v>378</v>
      </c>
      <c r="G2082" s="8" t="s">
        <v>3363</v>
      </c>
      <c r="H2082" s="10">
        <v>50</v>
      </c>
      <c r="I2082" s="10"/>
      <c r="J2082" s="10">
        <v>50</v>
      </c>
      <c r="K2082" s="10">
        <v>15.29</v>
      </c>
    </row>
    <row r="2083" spans="1:11" x14ac:dyDescent="0.25">
      <c r="A2083" s="8" t="s">
        <v>3615</v>
      </c>
      <c r="B2083" s="8" t="s">
        <v>1650</v>
      </c>
      <c r="C2083" s="8" t="s">
        <v>3361</v>
      </c>
      <c r="D2083" s="8">
        <v>4</v>
      </c>
      <c r="E2083" s="8" t="s">
        <v>3616</v>
      </c>
      <c r="F2083" s="8" t="s">
        <v>378</v>
      </c>
      <c r="G2083" s="8" t="s">
        <v>3363</v>
      </c>
      <c r="H2083" s="10">
        <v>50</v>
      </c>
      <c r="I2083" s="10"/>
      <c r="J2083" s="10">
        <v>50</v>
      </c>
      <c r="K2083" s="10">
        <v>15.29</v>
      </c>
    </row>
    <row r="2084" spans="1:11" x14ac:dyDescent="0.25">
      <c r="A2084" s="8" t="s">
        <v>3617</v>
      </c>
      <c r="B2084" s="8" t="s">
        <v>120</v>
      </c>
      <c r="C2084" s="8" t="s">
        <v>3361</v>
      </c>
      <c r="D2084" s="8">
        <v>4</v>
      </c>
      <c r="E2084" s="8" t="s">
        <v>3616</v>
      </c>
      <c r="F2084" s="8" t="s">
        <v>378</v>
      </c>
      <c r="G2084" s="8" t="s">
        <v>3363</v>
      </c>
      <c r="H2084" s="10">
        <v>50</v>
      </c>
      <c r="I2084" s="10"/>
      <c r="J2084" s="10">
        <v>50</v>
      </c>
      <c r="K2084" s="10">
        <v>15.29</v>
      </c>
    </row>
    <row r="2085" spans="1:11" x14ac:dyDescent="0.25">
      <c r="A2085" s="8" t="s">
        <v>3618</v>
      </c>
      <c r="B2085" s="8" t="s">
        <v>1655</v>
      </c>
      <c r="C2085" s="8" t="s">
        <v>3361</v>
      </c>
      <c r="D2085" s="8">
        <v>4</v>
      </c>
      <c r="E2085" s="8" t="s">
        <v>3616</v>
      </c>
      <c r="F2085" s="8" t="s">
        <v>378</v>
      </c>
      <c r="G2085" s="8" t="s">
        <v>3363</v>
      </c>
      <c r="H2085" s="10">
        <v>50</v>
      </c>
      <c r="I2085" s="10"/>
      <c r="J2085" s="10">
        <v>50</v>
      </c>
      <c r="K2085" s="10">
        <v>15.29</v>
      </c>
    </row>
    <row r="2086" spans="1:11" x14ac:dyDescent="0.25">
      <c r="A2086" s="8" t="s">
        <v>3619</v>
      </c>
      <c r="B2086" s="8" t="s">
        <v>1650</v>
      </c>
      <c r="C2086" s="8" t="s">
        <v>3361</v>
      </c>
      <c r="D2086" s="8">
        <v>4</v>
      </c>
      <c r="E2086" s="8" t="s">
        <v>406</v>
      </c>
      <c r="F2086" s="8" t="s">
        <v>378</v>
      </c>
      <c r="G2086" s="8" t="s">
        <v>3363</v>
      </c>
      <c r="H2086" s="10">
        <v>3000</v>
      </c>
      <c r="I2086" s="10"/>
      <c r="J2086" s="10">
        <v>3000</v>
      </c>
      <c r="K2086" s="10">
        <v>15.29</v>
      </c>
    </row>
    <row r="2087" spans="1:11" x14ac:dyDescent="0.25">
      <c r="A2087" s="8" t="s">
        <v>3620</v>
      </c>
      <c r="B2087" s="8" t="s">
        <v>120</v>
      </c>
      <c r="C2087" s="8" t="s">
        <v>3361</v>
      </c>
      <c r="D2087" s="8">
        <v>4</v>
      </c>
      <c r="E2087" s="8" t="s">
        <v>406</v>
      </c>
      <c r="F2087" s="8" t="s">
        <v>378</v>
      </c>
      <c r="G2087" s="8" t="s">
        <v>3363</v>
      </c>
      <c r="H2087" s="10">
        <v>26000</v>
      </c>
      <c r="I2087" s="10"/>
      <c r="J2087" s="10">
        <v>26000</v>
      </c>
      <c r="K2087" s="10">
        <v>15.29</v>
      </c>
    </row>
    <row r="2088" spans="1:11" x14ac:dyDescent="0.25">
      <c r="A2088" s="8" t="s">
        <v>3621</v>
      </c>
      <c r="B2088" s="8" t="s">
        <v>1655</v>
      </c>
      <c r="C2088" s="8" t="s">
        <v>3361</v>
      </c>
      <c r="D2088" s="8">
        <v>4</v>
      </c>
      <c r="E2088" s="8" t="s">
        <v>406</v>
      </c>
      <c r="F2088" s="8" t="s">
        <v>378</v>
      </c>
      <c r="G2088" s="8" t="s">
        <v>3363</v>
      </c>
      <c r="H2088" s="10">
        <v>32000</v>
      </c>
      <c r="I2088" s="10"/>
      <c r="J2088" s="10">
        <v>32000</v>
      </c>
      <c r="K2088" s="10">
        <v>15.29</v>
      </c>
    </row>
    <row r="2089" spans="1:11" x14ac:dyDescent="0.25">
      <c r="A2089" s="8" t="s">
        <v>3622</v>
      </c>
      <c r="B2089" s="8" t="s">
        <v>1689</v>
      </c>
      <c r="C2089" s="8" t="s">
        <v>3361</v>
      </c>
      <c r="D2089" s="8">
        <v>4</v>
      </c>
      <c r="E2089" s="8" t="s">
        <v>406</v>
      </c>
      <c r="F2089" s="8" t="s">
        <v>378</v>
      </c>
      <c r="G2089" s="8" t="s">
        <v>3363</v>
      </c>
      <c r="H2089" s="10">
        <v>200</v>
      </c>
      <c r="I2089" s="10"/>
      <c r="J2089" s="10">
        <v>200</v>
      </c>
      <c r="K2089" s="10">
        <v>15.29</v>
      </c>
    </row>
    <row r="2090" spans="1:11" x14ac:dyDescent="0.25">
      <c r="A2090" s="8" t="s">
        <v>3623</v>
      </c>
      <c r="B2090" s="8" t="s">
        <v>1650</v>
      </c>
      <c r="C2090" s="8" t="s">
        <v>3361</v>
      </c>
      <c r="D2090" s="8">
        <v>4</v>
      </c>
      <c r="E2090" s="8" t="s">
        <v>409</v>
      </c>
      <c r="F2090" s="8" t="s">
        <v>378</v>
      </c>
      <c r="G2090" s="8" t="s">
        <v>3363</v>
      </c>
      <c r="H2090" s="10">
        <v>1700</v>
      </c>
      <c r="I2090" s="10"/>
      <c r="J2090" s="10">
        <v>1700</v>
      </c>
      <c r="K2090" s="10">
        <v>15.29</v>
      </c>
    </row>
    <row r="2091" spans="1:11" x14ac:dyDescent="0.25">
      <c r="A2091" s="8" t="s">
        <v>3624</v>
      </c>
      <c r="B2091" s="8" t="s">
        <v>120</v>
      </c>
      <c r="C2091" s="8" t="s">
        <v>3361</v>
      </c>
      <c r="D2091" s="8">
        <v>4</v>
      </c>
      <c r="E2091" s="8" t="s">
        <v>409</v>
      </c>
      <c r="F2091" s="8" t="s">
        <v>378</v>
      </c>
      <c r="G2091" s="8" t="s">
        <v>3363</v>
      </c>
      <c r="H2091" s="10">
        <v>28000</v>
      </c>
      <c r="I2091" s="10"/>
      <c r="J2091" s="10">
        <v>28000</v>
      </c>
      <c r="K2091" s="10">
        <v>15.29</v>
      </c>
    </row>
    <row r="2092" spans="1:11" x14ac:dyDescent="0.25">
      <c r="A2092" s="8" t="s">
        <v>3625</v>
      </c>
      <c r="B2092" s="8" t="s">
        <v>1655</v>
      </c>
      <c r="C2092" s="8" t="s">
        <v>3361</v>
      </c>
      <c r="D2092" s="8">
        <v>4</v>
      </c>
      <c r="E2092" s="8" t="s">
        <v>409</v>
      </c>
      <c r="F2092" s="8" t="s">
        <v>378</v>
      </c>
      <c r="G2092" s="8" t="s">
        <v>3363</v>
      </c>
      <c r="H2092" s="10">
        <v>32000</v>
      </c>
      <c r="I2092" s="10"/>
      <c r="J2092" s="10">
        <v>32000</v>
      </c>
      <c r="K2092" s="10">
        <v>15.29</v>
      </c>
    </row>
    <row r="2093" spans="1:11" x14ac:dyDescent="0.25">
      <c r="A2093" s="8" t="s">
        <v>3626</v>
      </c>
      <c r="B2093" s="8" t="s">
        <v>1689</v>
      </c>
      <c r="C2093" s="8" t="s">
        <v>3361</v>
      </c>
      <c r="D2093" s="8">
        <v>4</v>
      </c>
      <c r="E2093" s="8" t="s">
        <v>409</v>
      </c>
      <c r="F2093" s="8" t="s">
        <v>378</v>
      </c>
      <c r="G2093" s="8" t="s">
        <v>3363</v>
      </c>
      <c r="H2093" s="10">
        <v>200</v>
      </c>
      <c r="I2093" s="10"/>
      <c r="J2093" s="10">
        <v>200</v>
      </c>
      <c r="K2093" s="10">
        <v>15.29</v>
      </c>
    </row>
    <row r="2094" spans="1:11" x14ac:dyDescent="0.25">
      <c r="A2094" s="8" t="s">
        <v>3627</v>
      </c>
      <c r="B2094" s="8" t="s">
        <v>1650</v>
      </c>
      <c r="C2094" s="8" t="s">
        <v>3361</v>
      </c>
      <c r="D2094" s="8">
        <v>4</v>
      </c>
      <c r="E2094" s="8" t="s">
        <v>3628</v>
      </c>
      <c r="F2094" s="8" t="s">
        <v>378</v>
      </c>
      <c r="G2094" s="8" t="s">
        <v>3363</v>
      </c>
      <c r="H2094" s="10">
        <v>2300</v>
      </c>
      <c r="I2094" s="10"/>
      <c r="J2094" s="10">
        <v>2300</v>
      </c>
      <c r="K2094" s="10">
        <v>19.11</v>
      </c>
    </row>
    <row r="2095" spans="1:11" x14ac:dyDescent="0.25">
      <c r="A2095" s="8" t="s">
        <v>3629</v>
      </c>
      <c r="B2095" s="8" t="s">
        <v>120</v>
      </c>
      <c r="C2095" s="8" t="s">
        <v>3361</v>
      </c>
      <c r="D2095" s="8">
        <v>4</v>
      </c>
      <c r="E2095" s="8" t="s">
        <v>3628</v>
      </c>
      <c r="F2095" s="8" t="s">
        <v>378</v>
      </c>
      <c r="G2095" s="8" t="s">
        <v>3363</v>
      </c>
      <c r="H2095" s="10">
        <v>2100</v>
      </c>
      <c r="I2095" s="10"/>
      <c r="J2095" s="10">
        <v>2100</v>
      </c>
      <c r="K2095" s="10">
        <v>19.11</v>
      </c>
    </row>
    <row r="2096" spans="1:11" x14ac:dyDescent="0.25">
      <c r="A2096" s="8" t="s">
        <v>3630</v>
      </c>
      <c r="B2096" s="8" t="s">
        <v>1655</v>
      </c>
      <c r="C2096" s="8" t="s">
        <v>3361</v>
      </c>
      <c r="D2096" s="8">
        <v>4</v>
      </c>
      <c r="E2096" s="8" t="s">
        <v>3628</v>
      </c>
      <c r="F2096" s="8" t="s">
        <v>378</v>
      </c>
      <c r="G2096" s="8" t="s">
        <v>3363</v>
      </c>
      <c r="H2096" s="10">
        <v>1200</v>
      </c>
      <c r="I2096" s="10"/>
      <c r="J2096" s="10">
        <v>1200</v>
      </c>
      <c r="K2096" s="10">
        <v>19.11</v>
      </c>
    </row>
    <row r="2097" spans="1:11" x14ac:dyDescent="0.25">
      <c r="A2097" s="8" t="s">
        <v>3631</v>
      </c>
      <c r="B2097" s="8" t="s">
        <v>1689</v>
      </c>
      <c r="C2097" s="8" t="s">
        <v>3361</v>
      </c>
      <c r="D2097" s="8">
        <v>4</v>
      </c>
      <c r="E2097" s="8" t="s">
        <v>3628</v>
      </c>
      <c r="F2097" s="8" t="s">
        <v>378</v>
      </c>
      <c r="G2097" s="8" t="s">
        <v>3363</v>
      </c>
      <c r="H2097" s="10">
        <v>100</v>
      </c>
      <c r="I2097" s="10"/>
      <c r="J2097" s="10">
        <v>100</v>
      </c>
      <c r="K2097" s="10">
        <v>19.11</v>
      </c>
    </row>
    <row r="2098" spans="1:11" x14ac:dyDescent="0.25">
      <c r="A2098" s="8" t="s">
        <v>3632</v>
      </c>
      <c r="B2098" s="8" t="s">
        <v>1650</v>
      </c>
      <c r="C2098" s="8" t="s">
        <v>3361</v>
      </c>
      <c r="D2098" s="8">
        <v>4</v>
      </c>
      <c r="E2098" s="8" t="s">
        <v>3633</v>
      </c>
      <c r="F2098" s="8" t="s">
        <v>378</v>
      </c>
      <c r="G2098" s="8" t="s">
        <v>3363</v>
      </c>
      <c r="H2098" s="10">
        <v>800</v>
      </c>
      <c r="I2098" s="10"/>
      <c r="J2098" s="10">
        <v>800</v>
      </c>
      <c r="K2098" s="10">
        <v>19.11</v>
      </c>
    </row>
    <row r="2099" spans="1:11" x14ac:dyDescent="0.25">
      <c r="A2099" s="8" t="s">
        <v>3634</v>
      </c>
      <c r="B2099" s="8" t="s">
        <v>120</v>
      </c>
      <c r="C2099" s="8" t="s">
        <v>3361</v>
      </c>
      <c r="D2099" s="8">
        <v>4</v>
      </c>
      <c r="E2099" s="8" t="s">
        <v>3633</v>
      </c>
      <c r="F2099" s="8" t="s">
        <v>378</v>
      </c>
      <c r="G2099" s="8" t="s">
        <v>3363</v>
      </c>
      <c r="H2099" s="10">
        <v>3500</v>
      </c>
      <c r="I2099" s="10"/>
      <c r="J2099" s="10">
        <v>3500</v>
      </c>
      <c r="K2099" s="10">
        <v>19.11</v>
      </c>
    </row>
    <row r="2100" spans="1:11" x14ac:dyDescent="0.25">
      <c r="A2100" s="8" t="s">
        <v>3635</v>
      </c>
      <c r="B2100" s="8" t="s">
        <v>1655</v>
      </c>
      <c r="C2100" s="8" t="s">
        <v>3361</v>
      </c>
      <c r="D2100" s="8">
        <v>4</v>
      </c>
      <c r="E2100" s="8" t="s">
        <v>3633</v>
      </c>
      <c r="F2100" s="8" t="s">
        <v>378</v>
      </c>
      <c r="G2100" s="8" t="s">
        <v>3363</v>
      </c>
      <c r="H2100" s="10">
        <v>500</v>
      </c>
      <c r="I2100" s="10"/>
      <c r="J2100" s="10">
        <v>500</v>
      </c>
      <c r="K2100" s="10">
        <v>19.11</v>
      </c>
    </row>
    <row r="2101" spans="1:11" x14ac:dyDescent="0.25">
      <c r="A2101" s="8" t="s">
        <v>3636</v>
      </c>
      <c r="B2101" s="8" t="s">
        <v>1650</v>
      </c>
      <c r="C2101" s="8" t="s">
        <v>3361</v>
      </c>
      <c r="D2101" s="8">
        <v>4</v>
      </c>
      <c r="E2101" s="8" t="s">
        <v>3637</v>
      </c>
      <c r="F2101" s="8" t="s">
        <v>378</v>
      </c>
      <c r="G2101" s="8" t="s">
        <v>3363</v>
      </c>
      <c r="H2101" s="10">
        <v>700</v>
      </c>
      <c r="I2101" s="10"/>
      <c r="J2101" s="10">
        <v>700</v>
      </c>
      <c r="K2101" s="10">
        <v>19.11</v>
      </c>
    </row>
    <row r="2102" spans="1:11" x14ac:dyDescent="0.25">
      <c r="A2102" s="8" t="s">
        <v>3638</v>
      </c>
      <c r="B2102" s="8" t="s">
        <v>120</v>
      </c>
      <c r="C2102" s="8" t="s">
        <v>3361</v>
      </c>
      <c r="D2102" s="8">
        <v>4</v>
      </c>
      <c r="E2102" s="8" t="s">
        <v>3637</v>
      </c>
      <c r="F2102" s="8" t="s">
        <v>378</v>
      </c>
      <c r="G2102" s="8" t="s">
        <v>3363</v>
      </c>
      <c r="H2102" s="10">
        <v>1500</v>
      </c>
      <c r="I2102" s="10"/>
      <c r="J2102" s="10">
        <v>1500</v>
      </c>
      <c r="K2102" s="10">
        <v>19.11</v>
      </c>
    </row>
    <row r="2103" spans="1:11" x14ac:dyDescent="0.25">
      <c r="A2103" s="8" t="s">
        <v>3639</v>
      </c>
      <c r="B2103" s="8" t="s">
        <v>1655</v>
      </c>
      <c r="C2103" s="8" t="s">
        <v>3361</v>
      </c>
      <c r="D2103" s="8">
        <v>4</v>
      </c>
      <c r="E2103" s="8" t="s">
        <v>3637</v>
      </c>
      <c r="F2103" s="8" t="s">
        <v>378</v>
      </c>
      <c r="G2103" s="8" t="s">
        <v>3363</v>
      </c>
      <c r="H2103" s="10">
        <v>600</v>
      </c>
      <c r="I2103" s="10"/>
      <c r="J2103" s="10">
        <v>600</v>
      </c>
      <c r="K2103" s="10">
        <v>19.11</v>
      </c>
    </row>
    <row r="2104" spans="1:11" x14ac:dyDescent="0.25">
      <c r="A2104" s="8" t="s">
        <v>3640</v>
      </c>
      <c r="B2104" s="8" t="s">
        <v>1650</v>
      </c>
      <c r="C2104" s="8" t="s">
        <v>3361</v>
      </c>
      <c r="D2104" s="8">
        <v>4</v>
      </c>
      <c r="E2104" s="8" t="s">
        <v>3641</v>
      </c>
      <c r="F2104" s="8" t="s">
        <v>378</v>
      </c>
      <c r="G2104" s="8" t="s">
        <v>3363</v>
      </c>
      <c r="H2104" s="10">
        <v>1300</v>
      </c>
      <c r="I2104" s="10"/>
      <c r="J2104" s="10">
        <v>1300</v>
      </c>
      <c r="K2104" s="10">
        <v>15.29</v>
      </c>
    </row>
    <row r="2105" spans="1:11" x14ac:dyDescent="0.25">
      <c r="A2105" s="8" t="s">
        <v>3642</v>
      </c>
      <c r="B2105" s="8" t="s">
        <v>120</v>
      </c>
      <c r="C2105" s="8" t="s">
        <v>3361</v>
      </c>
      <c r="D2105" s="8">
        <v>4</v>
      </c>
      <c r="E2105" s="8" t="s">
        <v>3641</v>
      </c>
      <c r="F2105" s="8" t="s">
        <v>378</v>
      </c>
      <c r="G2105" s="8" t="s">
        <v>3363</v>
      </c>
      <c r="H2105" s="10">
        <v>18000</v>
      </c>
      <c r="I2105" s="10"/>
      <c r="J2105" s="10">
        <v>18000</v>
      </c>
      <c r="K2105" s="10">
        <v>15.29</v>
      </c>
    </row>
    <row r="2106" spans="1:11" x14ac:dyDescent="0.25">
      <c r="A2106" s="8" t="s">
        <v>3643</v>
      </c>
      <c r="B2106" s="8" t="s">
        <v>1655</v>
      </c>
      <c r="C2106" s="8" t="s">
        <v>3361</v>
      </c>
      <c r="D2106" s="8">
        <v>4</v>
      </c>
      <c r="E2106" s="8" t="s">
        <v>3641</v>
      </c>
      <c r="F2106" s="8" t="s">
        <v>378</v>
      </c>
      <c r="G2106" s="8" t="s">
        <v>3363</v>
      </c>
      <c r="H2106" s="10">
        <v>6000</v>
      </c>
      <c r="I2106" s="10"/>
      <c r="J2106" s="10">
        <v>6000</v>
      </c>
      <c r="K2106" s="10">
        <v>15.29</v>
      </c>
    </row>
    <row r="2107" spans="1:11" x14ac:dyDescent="0.25">
      <c r="A2107" s="8" t="s">
        <v>3644</v>
      </c>
      <c r="B2107" s="8" t="s">
        <v>263</v>
      </c>
      <c r="C2107" s="8" t="s">
        <v>3361</v>
      </c>
      <c r="D2107" s="8">
        <v>4</v>
      </c>
      <c r="E2107" s="8" t="s">
        <v>406</v>
      </c>
      <c r="F2107" s="8" t="s">
        <v>378</v>
      </c>
      <c r="G2107" s="8" t="s">
        <v>3576</v>
      </c>
      <c r="H2107" s="10">
        <v>100</v>
      </c>
      <c r="I2107" s="10"/>
      <c r="J2107" s="10">
        <v>100</v>
      </c>
      <c r="K2107" s="10">
        <v>19.440000000000001</v>
      </c>
    </row>
    <row r="2108" spans="1:11" x14ac:dyDescent="0.25">
      <c r="A2108" s="8" t="s">
        <v>3645</v>
      </c>
      <c r="B2108" s="8" t="s">
        <v>269</v>
      </c>
      <c r="C2108" s="8" t="s">
        <v>3361</v>
      </c>
      <c r="D2108" s="8">
        <v>4</v>
      </c>
      <c r="E2108" s="8" t="s">
        <v>406</v>
      </c>
      <c r="F2108" s="8" t="s">
        <v>378</v>
      </c>
      <c r="G2108" s="8" t="s">
        <v>3576</v>
      </c>
      <c r="H2108" s="10">
        <v>100</v>
      </c>
      <c r="I2108" s="10"/>
      <c r="J2108" s="10">
        <v>100</v>
      </c>
      <c r="K2108" s="10">
        <v>19.440000000000001</v>
      </c>
    </row>
    <row r="2109" spans="1:11" x14ac:dyDescent="0.25">
      <c r="A2109" s="8" t="s">
        <v>3646</v>
      </c>
      <c r="B2109" s="8" t="s">
        <v>263</v>
      </c>
      <c r="C2109" s="8" t="s">
        <v>3361</v>
      </c>
      <c r="D2109" s="8">
        <v>4</v>
      </c>
      <c r="E2109" s="8" t="s">
        <v>409</v>
      </c>
      <c r="F2109" s="8" t="s">
        <v>378</v>
      </c>
      <c r="G2109" s="8" t="s">
        <v>3576</v>
      </c>
      <c r="H2109" s="10">
        <v>300</v>
      </c>
      <c r="I2109" s="10"/>
      <c r="J2109" s="10">
        <v>300</v>
      </c>
      <c r="K2109" s="10">
        <v>21.67</v>
      </c>
    </row>
    <row r="2110" spans="1:11" x14ac:dyDescent="0.25">
      <c r="A2110" s="8" t="s">
        <v>3647</v>
      </c>
      <c r="B2110" s="8" t="s">
        <v>269</v>
      </c>
      <c r="C2110" s="8" t="s">
        <v>3361</v>
      </c>
      <c r="D2110" s="8">
        <v>4</v>
      </c>
      <c r="E2110" s="8" t="s">
        <v>409</v>
      </c>
      <c r="F2110" s="8" t="s">
        <v>378</v>
      </c>
      <c r="G2110" s="8" t="s">
        <v>3576</v>
      </c>
      <c r="H2110" s="10">
        <v>400</v>
      </c>
      <c r="I2110" s="10"/>
      <c r="J2110" s="10">
        <v>400</v>
      </c>
      <c r="K2110" s="10">
        <v>21.67</v>
      </c>
    </row>
    <row r="2111" spans="1:11" x14ac:dyDescent="0.25">
      <c r="A2111" s="8" t="s">
        <v>3648</v>
      </c>
      <c r="B2111" s="8" t="s">
        <v>263</v>
      </c>
      <c r="C2111" s="8" t="s">
        <v>3361</v>
      </c>
      <c r="D2111" s="8">
        <v>4</v>
      </c>
      <c r="E2111" s="8" t="s">
        <v>3628</v>
      </c>
      <c r="F2111" s="8" t="s">
        <v>378</v>
      </c>
      <c r="G2111" s="8" t="s">
        <v>3576</v>
      </c>
      <c r="H2111" s="10">
        <v>300</v>
      </c>
      <c r="I2111" s="10"/>
      <c r="J2111" s="10">
        <v>300</v>
      </c>
      <c r="K2111" s="10">
        <v>35.56</v>
      </c>
    </row>
    <row r="2112" spans="1:11" x14ac:dyDescent="0.25">
      <c r="A2112" s="8" t="s">
        <v>3649</v>
      </c>
      <c r="B2112" s="8" t="s">
        <v>269</v>
      </c>
      <c r="C2112" s="8" t="s">
        <v>3361</v>
      </c>
      <c r="D2112" s="8">
        <v>4</v>
      </c>
      <c r="E2112" s="8" t="s">
        <v>3628</v>
      </c>
      <c r="F2112" s="8" t="s">
        <v>378</v>
      </c>
      <c r="G2112" s="8" t="s">
        <v>3576</v>
      </c>
      <c r="H2112" s="10">
        <v>400</v>
      </c>
      <c r="I2112" s="10"/>
      <c r="J2112" s="10">
        <v>400</v>
      </c>
      <c r="K2112" s="10">
        <v>35.56</v>
      </c>
    </row>
    <row r="2113" spans="1:11" x14ac:dyDescent="0.25">
      <c r="A2113" s="8" t="s">
        <v>3650</v>
      </c>
      <c r="B2113" s="8" t="s">
        <v>3651</v>
      </c>
      <c r="C2113" s="8" t="s">
        <v>2006</v>
      </c>
      <c r="D2113" s="8">
        <v>5</v>
      </c>
      <c r="E2113" s="8" t="s">
        <v>3652</v>
      </c>
      <c r="F2113" s="8" t="s">
        <v>215</v>
      </c>
      <c r="G2113" s="8" t="s">
        <v>2748</v>
      </c>
      <c r="H2113" s="10">
        <v>180</v>
      </c>
      <c r="I2113" s="10"/>
      <c r="J2113" s="10">
        <v>180</v>
      </c>
      <c r="K2113" s="10">
        <v>50.24</v>
      </c>
    </row>
    <row r="2114" spans="1:11" x14ac:dyDescent="0.25">
      <c r="A2114" s="8" t="s">
        <v>3653</v>
      </c>
      <c r="B2114" s="8" t="s">
        <v>3651</v>
      </c>
      <c r="C2114" s="8" t="s">
        <v>2006</v>
      </c>
      <c r="D2114" s="8">
        <v>5</v>
      </c>
      <c r="E2114" s="8" t="s">
        <v>3654</v>
      </c>
      <c r="F2114" s="8" t="s">
        <v>215</v>
      </c>
      <c r="G2114" s="8" t="s">
        <v>2748</v>
      </c>
      <c r="H2114" s="10">
        <v>30</v>
      </c>
      <c r="I2114" s="10"/>
      <c r="J2114" s="10">
        <v>30</v>
      </c>
      <c r="K2114" s="10">
        <v>50.24</v>
      </c>
    </row>
    <row r="2115" spans="1:11" x14ac:dyDescent="0.25">
      <c r="A2115" s="8" t="s">
        <v>3655</v>
      </c>
      <c r="B2115" s="8" t="s">
        <v>3651</v>
      </c>
      <c r="C2115" s="8" t="s">
        <v>2006</v>
      </c>
      <c r="D2115" s="8">
        <v>5</v>
      </c>
      <c r="E2115" s="8" t="s">
        <v>3656</v>
      </c>
      <c r="F2115" s="8" t="s">
        <v>378</v>
      </c>
      <c r="G2115" s="8" t="s">
        <v>2748</v>
      </c>
      <c r="H2115" s="10">
        <v>850</v>
      </c>
      <c r="I2115" s="10"/>
      <c r="J2115" s="10">
        <v>850</v>
      </c>
      <c r="K2115" s="10">
        <v>15.29</v>
      </c>
    </row>
    <row r="2116" spans="1:11" x14ac:dyDescent="0.25">
      <c r="A2116" s="8" t="s">
        <v>3657</v>
      </c>
      <c r="B2116" s="8" t="s">
        <v>3651</v>
      </c>
      <c r="C2116" s="8" t="s">
        <v>3391</v>
      </c>
      <c r="D2116" s="8">
        <v>5</v>
      </c>
      <c r="E2116" s="8" t="s">
        <v>3658</v>
      </c>
      <c r="F2116" s="8" t="s">
        <v>378</v>
      </c>
      <c r="G2116" s="8" t="s">
        <v>3659</v>
      </c>
      <c r="H2116" s="10">
        <v>3100</v>
      </c>
      <c r="I2116" s="10"/>
      <c r="J2116" s="10">
        <v>3100</v>
      </c>
      <c r="K2116" s="10">
        <v>15.29</v>
      </c>
    </row>
    <row r="2117" spans="1:11" x14ac:dyDescent="0.25">
      <c r="A2117" s="8" t="s">
        <v>3660</v>
      </c>
      <c r="B2117" s="8" t="s">
        <v>1650</v>
      </c>
      <c r="C2117" s="8" t="s">
        <v>3391</v>
      </c>
      <c r="D2117" s="8">
        <v>5</v>
      </c>
      <c r="E2117" s="8" t="s">
        <v>3661</v>
      </c>
      <c r="F2117" s="8" t="s">
        <v>378</v>
      </c>
      <c r="G2117" s="8" t="s">
        <v>3659</v>
      </c>
      <c r="H2117" s="10">
        <v>1300</v>
      </c>
      <c r="I2117" s="10"/>
      <c r="J2117" s="10">
        <v>1300</v>
      </c>
      <c r="K2117" s="10">
        <v>15.29</v>
      </c>
    </row>
    <row r="2118" spans="1:11" x14ac:dyDescent="0.25">
      <c r="A2118" s="8" t="s">
        <v>3662</v>
      </c>
      <c r="B2118" s="8" t="s">
        <v>120</v>
      </c>
      <c r="C2118" s="8" t="s">
        <v>3391</v>
      </c>
      <c r="D2118" s="8">
        <v>5</v>
      </c>
      <c r="E2118" s="8" t="s">
        <v>3661</v>
      </c>
      <c r="F2118" s="8" t="s">
        <v>378</v>
      </c>
      <c r="G2118" s="8" t="s">
        <v>3659</v>
      </c>
      <c r="H2118" s="10">
        <v>10000</v>
      </c>
      <c r="I2118" s="10"/>
      <c r="J2118" s="10">
        <v>10000</v>
      </c>
      <c r="K2118" s="10">
        <v>15.29</v>
      </c>
    </row>
    <row r="2119" spans="1:11" x14ac:dyDescent="0.25">
      <c r="A2119" s="8" t="s">
        <v>3663</v>
      </c>
      <c r="B2119" s="8" t="s">
        <v>1655</v>
      </c>
      <c r="C2119" s="8" t="s">
        <v>3391</v>
      </c>
      <c r="D2119" s="8">
        <v>5</v>
      </c>
      <c r="E2119" s="8" t="s">
        <v>3661</v>
      </c>
      <c r="F2119" s="8" t="s">
        <v>378</v>
      </c>
      <c r="G2119" s="8" t="s">
        <v>3659</v>
      </c>
      <c r="H2119" s="10">
        <v>4000</v>
      </c>
      <c r="I2119" s="10"/>
      <c r="J2119" s="10">
        <v>4000</v>
      </c>
      <c r="K2119" s="10">
        <v>15.29</v>
      </c>
    </row>
    <row r="2120" spans="1:11" x14ac:dyDescent="0.25">
      <c r="A2120" s="8" t="s">
        <v>3664</v>
      </c>
      <c r="B2120" s="8" t="s">
        <v>3651</v>
      </c>
      <c r="C2120" s="8" t="s">
        <v>3391</v>
      </c>
      <c r="D2120" s="8">
        <v>5</v>
      </c>
      <c r="E2120" s="8" t="s">
        <v>3665</v>
      </c>
      <c r="F2120" s="8" t="s">
        <v>378</v>
      </c>
      <c r="G2120" s="8" t="s">
        <v>3659</v>
      </c>
      <c r="H2120" s="10">
        <v>700</v>
      </c>
      <c r="I2120" s="10"/>
      <c r="J2120" s="10">
        <v>700</v>
      </c>
      <c r="K2120" s="10">
        <v>15.29</v>
      </c>
    </row>
    <row r="2121" spans="1:11" x14ac:dyDescent="0.25">
      <c r="A2121" s="8" t="s">
        <v>3666</v>
      </c>
      <c r="B2121" s="8" t="s">
        <v>1650</v>
      </c>
      <c r="C2121" s="8" t="s">
        <v>3361</v>
      </c>
      <c r="D2121" s="8">
        <v>4</v>
      </c>
      <c r="E2121" s="8" t="s">
        <v>3667</v>
      </c>
      <c r="F2121" s="8" t="s">
        <v>378</v>
      </c>
      <c r="G2121" s="8" t="s">
        <v>3363</v>
      </c>
      <c r="H2121" s="10">
        <v>200</v>
      </c>
      <c r="I2121" s="10"/>
      <c r="J2121" s="10">
        <v>200</v>
      </c>
      <c r="K2121" s="10">
        <v>15.29</v>
      </c>
    </row>
    <row r="2122" spans="1:11" x14ac:dyDescent="0.25">
      <c r="A2122" s="8" t="s">
        <v>3668</v>
      </c>
      <c r="B2122" s="8" t="s">
        <v>120</v>
      </c>
      <c r="C2122" s="8" t="s">
        <v>3361</v>
      </c>
      <c r="D2122" s="8">
        <v>4</v>
      </c>
      <c r="E2122" s="8" t="s">
        <v>3667</v>
      </c>
      <c r="F2122" s="8" t="s">
        <v>378</v>
      </c>
      <c r="G2122" s="8" t="s">
        <v>3363</v>
      </c>
      <c r="H2122" s="10">
        <v>6500</v>
      </c>
      <c r="I2122" s="10"/>
      <c r="J2122" s="10">
        <v>6500</v>
      </c>
      <c r="K2122" s="10">
        <v>15.29</v>
      </c>
    </row>
    <row r="2123" spans="1:11" x14ac:dyDescent="0.25">
      <c r="A2123" s="8" t="s">
        <v>3669</v>
      </c>
      <c r="B2123" s="8" t="s">
        <v>1655</v>
      </c>
      <c r="C2123" s="8" t="s">
        <v>3361</v>
      </c>
      <c r="D2123" s="8">
        <v>4</v>
      </c>
      <c r="E2123" s="8" t="s">
        <v>3667</v>
      </c>
      <c r="F2123" s="8" t="s">
        <v>378</v>
      </c>
      <c r="G2123" s="8" t="s">
        <v>3363</v>
      </c>
      <c r="H2123" s="10">
        <v>2500</v>
      </c>
      <c r="I2123" s="10"/>
      <c r="J2123" s="10">
        <v>2500</v>
      </c>
      <c r="K2123" s="10">
        <v>15.29</v>
      </c>
    </row>
    <row r="2124" spans="1:11" x14ac:dyDescent="0.25">
      <c r="A2124" s="8" t="s">
        <v>3670</v>
      </c>
      <c r="B2124" s="8" t="s">
        <v>1650</v>
      </c>
      <c r="C2124" s="8" t="s">
        <v>3361</v>
      </c>
      <c r="D2124" s="8">
        <v>4</v>
      </c>
      <c r="E2124" s="8" t="s">
        <v>3671</v>
      </c>
      <c r="F2124" s="8" t="s">
        <v>378</v>
      </c>
      <c r="G2124" s="8" t="s">
        <v>3363</v>
      </c>
      <c r="H2124" s="10">
        <v>200</v>
      </c>
      <c r="I2124" s="10"/>
      <c r="J2124" s="10">
        <v>200</v>
      </c>
      <c r="K2124" s="10">
        <v>15.29</v>
      </c>
    </row>
    <row r="2125" spans="1:11" x14ac:dyDescent="0.25">
      <c r="A2125" s="8" t="s">
        <v>3672</v>
      </c>
      <c r="B2125" s="8" t="s">
        <v>120</v>
      </c>
      <c r="C2125" s="8" t="s">
        <v>3361</v>
      </c>
      <c r="D2125" s="8">
        <v>4</v>
      </c>
      <c r="E2125" s="8" t="s">
        <v>3671</v>
      </c>
      <c r="F2125" s="8" t="s">
        <v>378</v>
      </c>
      <c r="G2125" s="8" t="s">
        <v>3363</v>
      </c>
      <c r="H2125" s="10">
        <v>9000</v>
      </c>
      <c r="I2125" s="10"/>
      <c r="J2125" s="10">
        <v>9000</v>
      </c>
      <c r="K2125" s="10">
        <v>15.29</v>
      </c>
    </row>
    <row r="2126" spans="1:11" x14ac:dyDescent="0.25">
      <c r="A2126" s="8" t="s">
        <v>3673</v>
      </c>
      <c r="B2126" s="8" t="s">
        <v>1655</v>
      </c>
      <c r="C2126" s="8" t="s">
        <v>3361</v>
      </c>
      <c r="D2126" s="8">
        <v>4</v>
      </c>
      <c r="E2126" s="8" t="s">
        <v>3671</v>
      </c>
      <c r="F2126" s="8" t="s">
        <v>378</v>
      </c>
      <c r="G2126" s="8" t="s">
        <v>3363</v>
      </c>
      <c r="H2126" s="10">
        <v>2300</v>
      </c>
      <c r="I2126" s="10"/>
      <c r="J2126" s="10">
        <v>2300</v>
      </c>
      <c r="K2126" s="10">
        <v>15.29</v>
      </c>
    </row>
    <row r="2127" spans="1:11" x14ac:dyDescent="0.25">
      <c r="A2127" s="8" t="s">
        <v>3674</v>
      </c>
      <c r="B2127" s="8" t="s">
        <v>1650</v>
      </c>
      <c r="C2127" s="8" t="s">
        <v>3391</v>
      </c>
      <c r="D2127" s="8">
        <v>5</v>
      </c>
      <c r="E2127" s="8" t="s">
        <v>3675</v>
      </c>
      <c r="F2127" s="8" t="s">
        <v>215</v>
      </c>
      <c r="G2127" s="8" t="s">
        <v>3659</v>
      </c>
      <c r="H2127" s="10">
        <v>50</v>
      </c>
      <c r="I2127" s="10"/>
      <c r="J2127" s="10">
        <v>50</v>
      </c>
      <c r="K2127" s="10">
        <v>764.59</v>
      </c>
    </row>
    <row r="2128" spans="1:11" x14ac:dyDescent="0.25">
      <c r="A2128" s="8" t="s">
        <v>3676</v>
      </c>
      <c r="B2128" s="8" t="s">
        <v>120</v>
      </c>
      <c r="C2128" s="8" t="s">
        <v>3391</v>
      </c>
      <c r="D2128" s="8">
        <v>5</v>
      </c>
      <c r="E2128" s="8" t="s">
        <v>3675</v>
      </c>
      <c r="F2128" s="8" t="s">
        <v>215</v>
      </c>
      <c r="G2128" s="8" t="s">
        <v>3659</v>
      </c>
      <c r="H2128" s="10">
        <v>50</v>
      </c>
      <c r="I2128" s="10"/>
      <c r="J2128" s="10">
        <v>50</v>
      </c>
      <c r="K2128" s="10">
        <v>764.59</v>
      </c>
    </row>
    <row r="2129" spans="1:11" x14ac:dyDescent="0.25">
      <c r="A2129" s="8" t="s">
        <v>3677</v>
      </c>
      <c r="B2129" s="8" t="s">
        <v>1655</v>
      </c>
      <c r="C2129" s="8" t="s">
        <v>3391</v>
      </c>
      <c r="D2129" s="8">
        <v>5</v>
      </c>
      <c r="E2129" s="8" t="s">
        <v>3675</v>
      </c>
      <c r="F2129" s="8" t="s">
        <v>215</v>
      </c>
      <c r="G2129" s="8" t="s">
        <v>3659</v>
      </c>
      <c r="H2129" s="10">
        <v>50</v>
      </c>
      <c r="I2129" s="10"/>
      <c r="J2129" s="10">
        <v>50</v>
      </c>
      <c r="K2129" s="10">
        <v>764.59</v>
      </c>
    </row>
    <row r="2130" spans="1:11" x14ac:dyDescent="0.25">
      <c r="A2130" s="8" t="s">
        <v>3678</v>
      </c>
      <c r="B2130" s="8" t="s">
        <v>1650</v>
      </c>
      <c r="C2130" s="8" t="s">
        <v>3391</v>
      </c>
      <c r="D2130" s="8">
        <v>5</v>
      </c>
      <c r="E2130" s="8" t="s">
        <v>3679</v>
      </c>
      <c r="F2130" s="8" t="s">
        <v>215</v>
      </c>
      <c r="G2130" s="8" t="s">
        <v>3659</v>
      </c>
      <c r="H2130" s="10">
        <v>8</v>
      </c>
      <c r="I2130" s="10"/>
      <c r="J2130" s="10">
        <v>8</v>
      </c>
      <c r="K2130" s="10">
        <v>764.59</v>
      </c>
    </row>
    <row r="2131" spans="1:11" x14ac:dyDescent="0.25">
      <c r="A2131" s="8" t="s">
        <v>3680</v>
      </c>
      <c r="B2131" s="8" t="s">
        <v>120</v>
      </c>
      <c r="C2131" s="8" t="s">
        <v>3391</v>
      </c>
      <c r="D2131" s="8">
        <v>5</v>
      </c>
      <c r="E2131" s="8" t="s">
        <v>3679</v>
      </c>
      <c r="F2131" s="8" t="s">
        <v>215</v>
      </c>
      <c r="G2131" s="8" t="s">
        <v>3659</v>
      </c>
      <c r="H2131" s="10">
        <v>8</v>
      </c>
      <c r="I2131" s="10"/>
      <c r="J2131" s="10">
        <v>8</v>
      </c>
      <c r="K2131" s="10">
        <v>764.59</v>
      </c>
    </row>
    <row r="2132" spans="1:11" x14ac:dyDescent="0.25">
      <c r="A2132" s="8" t="s">
        <v>3681</v>
      </c>
      <c r="B2132" s="8" t="s">
        <v>1655</v>
      </c>
      <c r="C2132" s="8" t="s">
        <v>3391</v>
      </c>
      <c r="D2132" s="8">
        <v>5</v>
      </c>
      <c r="E2132" s="8" t="s">
        <v>3679</v>
      </c>
      <c r="F2132" s="8" t="s">
        <v>215</v>
      </c>
      <c r="G2132" s="8" t="s">
        <v>3659</v>
      </c>
      <c r="H2132" s="10">
        <v>8</v>
      </c>
      <c r="I2132" s="10"/>
      <c r="J2132" s="10">
        <v>8</v>
      </c>
      <c r="K2132" s="10">
        <v>764.59</v>
      </c>
    </row>
    <row r="2133" spans="1:11" x14ac:dyDescent="0.25">
      <c r="A2133" s="8" t="s">
        <v>3682</v>
      </c>
      <c r="B2133" s="8" t="s">
        <v>3651</v>
      </c>
      <c r="C2133" s="8" t="s">
        <v>3391</v>
      </c>
      <c r="D2133" s="8">
        <v>5</v>
      </c>
      <c r="E2133" s="8" t="s">
        <v>3683</v>
      </c>
      <c r="F2133" s="8" t="s">
        <v>215</v>
      </c>
      <c r="G2133" s="8" t="s">
        <v>3659</v>
      </c>
      <c r="H2133" s="10">
        <v>2</v>
      </c>
      <c r="I2133" s="10"/>
      <c r="J2133" s="10">
        <v>2</v>
      </c>
      <c r="K2133" s="10">
        <v>2009.65</v>
      </c>
    </row>
    <row r="2134" spans="1:11" x14ac:dyDescent="0.25">
      <c r="A2134" s="8" t="s">
        <v>3684</v>
      </c>
      <c r="B2134" s="8" t="s">
        <v>3651</v>
      </c>
      <c r="C2134" s="8" t="s">
        <v>3391</v>
      </c>
      <c r="D2134" s="8">
        <v>5</v>
      </c>
      <c r="E2134" s="8" t="s">
        <v>3685</v>
      </c>
      <c r="F2134" s="8" t="s">
        <v>215</v>
      </c>
      <c r="G2134" s="8" t="s">
        <v>3659</v>
      </c>
      <c r="H2134" s="10">
        <v>3</v>
      </c>
      <c r="I2134" s="10"/>
      <c r="J2134" s="10">
        <v>3</v>
      </c>
      <c r="K2134" s="10">
        <v>2009.65</v>
      </c>
    </row>
    <row r="2135" spans="1:11" x14ac:dyDescent="0.25">
      <c r="A2135" s="8" t="s">
        <v>3686</v>
      </c>
      <c r="B2135" s="8" t="s">
        <v>116</v>
      </c>
      <c r="C2135" s="8" t="s">
        <v>3687</v>
      </c>
      <c r="D2135" s="8">
        <v>3</v>
      </c>
      <c r="E2135" s="8" t="s">
        <v>418</v>
      </c>
      <c r="F2135" s="8" t="s">
        <v>378</v>
      </c>
      <c r="G2135" s="8" t="s">
        <v>3688</v>
      </c>
      <c r="H2135" s="10">
        <v>210</v>
      </c>
      <c r="I2135" s="10"/>
      <c r="J2135" s="10">
        <v>210</v>
      </c>
      <c r="K2135" s="10">
        <v>142.76</v>
      </c>
    </row>
    <row r="2136" spans="1:11" x14ac:dyDescent="0.25">
      <c r="A2136" s="8" t="s">
        <v>3689</v>
      </c>
      <c r="B2136" s="8" t="s">
        <v>118</v>
      </c>
      <c r="C2136" s="8" t="s">
        <v>3687</v>
      </c>
      <c r="D2136" s="8">
        <v>3</v>
      </c>
      <c r="E2136" s="8" t="s">
        <v>418</v>
      </c>
      <c r="F2136" s="8" t="s">
        <v>378</v>
      </c>
      <c r="G2136" s="8" t="s">
        <v>3688</v>
      </c>
      <c r="H2136" s="10">
        <v>360</v>
      </c>
      <c r="I2136" s="10"/>
      <c r="J2136" s="10">
        <v>360</v>
      </c>
      <c r="K2136" s="10">
        <v>142.76</v>
      </c>
    </row>
    <row r="2137" spans="1:11" x14ac:dyDescent="0.25">
      <c r="A2137" s="8" t="s">
        <v>3690</v>
      </c>
      <c r="B2137" s="8" t="s">
        <v>1650</v>
      </c>
      <c r="C2137" s="8" t="s">
        <v>3687</v>
      </c>
      <c r="D2137" s="8">
        <v>3</v>
      </c>
      <c r="E2137" s="8" t="s">
        <v>418</v>
      </c>
      <c r="F2137" s="8" t="s">
        <v>378</v>
      </c>
      <c r="G2137" s="8" t="s">
        <v>3688</v>
      </c>
      <c r="H2137" s="10">
        <v>240</v>
      </c>
      <c r="I2137" s="10"/>
      <c r="J2137" s="10">
        <v>240</v>
      </c>
      <c r="K2137" s="10">
        <v>142.76</v>
      </c>
    </row>
    <row r="2138" spans="1:11" x14ac:dyDescent="0.25">
      <c r="A2138" s="8" t="s">
        <v>3691</v>
      </c>
      <c r="B2138" s="8" t="s">
        <v>120</v>
      </c>
      <c r="C2138" s="8" t="s">
        <v>3687</v>
      </c>
      <c r="D2138" s="8">
        <v>3</v>
      </c>
      <c r="E2138" s="8" t="s">
        <v>418</v>
      </c>
      <c r="F2138" s="8" t="s">
        <v>378</v>
      </c>
      <c r="G2138" s="8" t="s">
        <v>3688</v>
      </c>
      <c r="H2138" s="10">
        <v>450</v>
      </c>
      <c r="I2138" s="10"/>
      <c r="J2138" s="10">
        <v>450</v>
      </c>
      <c r="K2138" s="10">
        <v>142.76</v>
      </c>
    </row>
    <row r="2139" spans="1:11" x14ac:dyDescent="0.25">
      <c r="A2139" s="8" t="s">
        <v>3692</v>
      </c>
      <c r="B2139" s="8" t="s">
        <v>120</v>
      </c>
      <c r="C2139" s="8" t="s">
        <v>3687</v>
      </c>
      <c r="D2139" s="8">
        <v>3</v>
      </c>
      <c r="E2139" s="8" t="s">
        <v>418</v>
      </c>
      <c r="F2139" s="8" t="s">
        <v>378</v>
      </c>
      <c r="G2139" s="8" t="s">
        <v>3688</v>
      </c>
      <c r="H2139" s="10">
        <v>750</v>
      </c>
      <c r="I2139" s="10"/>
      <c r="J2139" s="10">
        <v>750</v>
      </c>
      <c r="K2139" s="10">
        <v>142.76</v>
      </c>
    </row>
    <row r="2140" spans="1:11" x14ac:dyDescent="0.25">
      <c r="A2140" s="8" t="s">
        <v>3693</v>
      </c>
      <c r="B2140" s="8" t="s">
        <v>122</v>
      </c>
      <c r="C2140" s="8" t="s">
        <v>3687</v>
      </c>
      <c r="D2140" s="8">
        <v>3</v>
      </c>
      <c r="E2140" s="8" t="s">
        <v>418</v>
      </c>
      <c r="F2140" s="8" t="s">
        <v>378</v>
      </c>
      <c r="G2140" s="8" t="s">
        <v>3688</v>
      </c>
      <c r="H2140" s="10">
        <v>600</v>
      </c>
      <c r="I2140" s="10"/>
      <c r="J2140" s="10">
        <v>600</v>
      </c>
      <c r="K2140" s="10">
        <v>142.76</v>
      </c>
    </row>
    <row r="2141" spans="1:11" x14ac:dyDescent="0.25">
      <c r="A2141" s="8" t="s">
        <v>3694</v>
      </c>
      <c r="B2141" s="8" t="s">
        <v>124</v>
      </c>
      <c r="C2141" s="8" t="s">
        <v>3687</v>
      </c>
      <c r="D2141" s="8">
        <v>3</v>
      </c>
      <c r="E2141" s="8" t="s">
        <v>418</v>
      </c>
      <c r="F2141" s="8" t="s">
        <v>378</v>
      </c>
      <c r="G2141" s="8" t="s">
        <v>3688</v>
      </c>
      <c r="H2141" s="10">
        <v>450</v>
      </c>
      <c r="I2141" s="10"/>
      <c r="J2141" s="10">
        <v>450</v>
      </c>
      <c r="K2141" s="10">
        <v>142.76</v>
      </c>
    </row>
    <row r="2142" spans="1:11" x14ac:dyDescent="0.25">
      <c r="A2142" s="8" t="s">
        <v>3695</v>
      </c>
      <c r="B2142" s="8" t="s">
        <v>78</v>
      </c>
      <c r="C2142" s="8" t="s">
        <v>3687</v>
      </c>
      <c r="D2142" s="8">
        <v>3</v>
      </c>
      <c r="E2142" s="8" t="s">
        <v>418</v>
      </c>
      <c r="F2142" s="8" t="s">
        <v>378</v>
      </c>
      <c r="G2142" s="8" t="s">
        <v>3688</v>
      </c>
      <c r="H2142" s="10">
        <v>210</v>
      </c>
      <c r="I2142" s="10"/>
      <c r="J2142" s="10">
        <v>210</v>
      </c>
      <c r="K2142" s="10">
        <v>142.76</v>
      </c>
    </row>
    <row r="2143" spans="1:11" x14ac:dyDescent="0.25">
      <c r="A2143" s="8" t="s">
        <v>3696</v>
      </c>
      <c r="B2143" s="8" t="s">
        <v>1655</v>
      </c>
      <c r="C2143" s="8" t="s">
        <v>3687</v>
      </c>
      <c r="D2143" s="8">
        <v>3</v>
      </c>
      <c r="E2143" s="8" t="s">
        <v>418</v>
      </c>
      <c r="F2143" s="8" t="s">
        <v>378</v>
      </c>
      <c r="G2143" s="8" t="s">
        <v>3688</v>
      </c>
      <c r="H2143" s="10">
        <v>240</v>
      </c>
      <c r="I2143" s="10"/>
      <c r="J2143" s="10">
        <v>240</v>
      </c>
      <c r="K2143" s="10">
        <v>142.76</v>
      </c>
    </row>
    <row r="2144" spans="1:11" x14ac:dyDescent="0.25">
      <c r="A2144" s="8" t="s">
        <v>3697</v>
      </c>
      <c r="B2144" s="8" t="s">
        <v>128</v>
      </c>
      <c r="C2144" s="8" t="s">
        <v>3687</v>
      </c>
      <c r="D2144" s="8">
        <v>3</v>
      </c>
      <c r="E2144" s="8" t="s">
        <v>418</v>
      </c>
      <c r="F2144" s="8" t="s">
        <v>378</v>
      </c>
      <c r="G2144" s="8" t="s">
        <v>3688</v>
      </c>
      <c r="H2144" s="10">
        <v>90</v>
      </c>
      <c r="I2144" s="10"/>
      <c r="J2144" s="10">
        <v>90</v>
      </c>
      <c r="K2144" s="10">
        <v>142.76</v>
      </c>
    </row>
    <row r="2145" spans="1:11" x14ac:dyDescent="0.25">
      <c r="A2145" s="8" t="s">
        <v>3698</v>
      </c>
      <c r="B2145" s="8" t="s">
        <v>949</v>
      </c>
      <c r="C2145" s="8" t="s">
        <v>3687</v>
      </c>
      <c r="D2145" s="8">
        <v>3</v>
      </c>
      <c r="E2145" s="8" t="s">
        <v>418</v>
      </c>
      <c r="F2145" s="8" t="s">
        <v>378</v>
      </c>
      <c r="G2145" s="8" t="s">
        <v>3688</v>
      </c>
      <c r="H2145" s="10">
        <v>15</v>
      </c>
      <c r="I2145" s="10"/>
      <c r="J2145" s="10">
        <v>15</v>
      </c>
      <c r="K2145" s="10">
        <v>142.76</v>
      </c>
    </row>
    <row r="2146" spans="1:11" x14ac:dyDescent="0.25">
      <c r="A2146" s="8" t="s">
        <v>3699</v>
      </c>
      <c r="B2146" s="8" t="s">
        <v>130</v>
      </c>
      <c r="C2146" s="8" t="s">
        <v>3687</v>
      </c>
      <c r="D2146" s="8">
        <v>3</v>
      </c>
      <c r="E2146" s="8" t="s">
        <v>418</v>
      </c>
      <c r="F2146" s="8" t="s">
        <v>378</v>
      </c>
      <c r="G2146" s="8" t="s">
        <v>3688</v>
      </c>
      <c r="H2146" s="10">
        <v>90</v>
      </c>
      <c r="I2146" s="10"/>
      <c r="J2146" s="10">
        <v>90</v>
      </c>
      <c r="K2146" s="10">
        <v>142.76</v>
      </c>
    </row>
    <row r="2147" spans="1:11" x14ac:dyDescent="0.25">
      <c r="A2147" s="8" t="s">
        <v>3700</v>
      </c>
      <c r="B2147" s="8" t="s">
        <v>132</v>
      </c>
      <c r="C2147" s="8" t="s">
        <v>3687</v>
      </c>
      <c r="D2147" s="8">
        <v>3</v>
      </c>
      <c r="E2147" s="8" t="s">
        <v>418</v>
      </c>
      <c r="F2147" s="8" t="s">
        <v>378</v>
      </c>
      <c r="G2147" s="8" t="s">
        <v>3688</v>
      </c>
      <c r="H2147" s="10">
        <v>90</v>
      </c>
      <c r="I2147" s="10"/>
      <c r="J2147" s="10">
        <v>90</v>
      </c>
      <c r="K2147" s="10">
        <v>142.76</v>
      </c>
    </row>
    <row r="2148" spans="1:11" x14ac:dyDescent="0.25">
      <c r="A2148" s="8" t="s">
        <v>3701</v>
      </c>
      <c r="B2148" s="8" t="s">
        <v>134</v>
      </c>
      <c r="C2148" s="8" t="s">
        <v>3687</v>
      </c>
      <c r="D2148" s="8">
        <v>3</v>
      </c>
      <c r="E2148" s="8" t="s">
        <v>418</v>
      </c>
      <c r="F2148" s="8" t="s">
        <v>378</v>
      </c>
      <c r="G2148" s="8" t="s">
        <v>3688</v>
      </c>
      <c r="H2148" s="10">
        <v>300</v>
      </c>
      <c r="I2148" s="10"/>
      <c r="J2148" s="10">
        <v>300</v>
      </c>
      <c r="K2148" s="10">
        <v>142.76</v>
      </c>
    </row>
    <row r="2149" spans="1:11" x14ac:dyDescent="0.25">
      <c r="A2149" s="8" t="s">
        <v>3702</v>
      </c>
      <c r="B2149" s="8" t="s">
        <v>136</v>
      </c>
      <c r="C2149" s="8" t="s">
        <v>3687</v>
      </c>
      <c r="D2149" s="8">
        <v>3</v>
      </c>
      <c r="E2149" s="8" t="s">
        <v>418</v>
      </c>
      <c r="F2149" s="8" t="s">
        <v>378</v>
      </c>
      <c r="G2149" s="8" t="s">
        <v>3688</v>
      </c>
      <c r="H2149" s="10">
        <v>120</v>
      </c>
      <c r="I2149" s="10"/>
      <c r="J2149" s="10">
        <v>120</v>
      </c>
      <c r="K2149" s="10">
        <v>142.76</v>
      </c>
    </row>
    <row r="2150" spans="1:11" x14ac:dyDescent="0.25">
      <c r="A2150" s="8" t="s">
        <v>3703</v>
      </c>
      <c r="B2150" s="8" t="s">
        <v>1689</v>
      </c>
      <c r="C2150" s="8" t="s">
        <v>3687</v>
      </c>
      <c r="D2150" s="8">
        <v>3</v>
      </c>
      <c r="E2150" s="8" t="s">
        <v>418</v>
      </c>
      <c r="F2150" s="8" t="s">
        <v>378</v>
      </c>
      <c r="G2150" s="8" t="s">
        <v>3688</v>
      </c>
      <c r="H2150" s="10">
        <v>90</v>
      </c>
      <c r="I2150" s="10"/>
      <c r="J2150" s="10">
        <v>90</v>
      </c>
      <c r="K2150" s="10">
        <v>142.76</v>
      </c>
    </row>
    <row r="2151" spans="1:11" x14ac:dyDescent="0.25">
      <c r="A2151" s="8" t="s">
        <v>3704</v>
      </c>
      <c r="B2151" s="8" t="s">
        <v>3518</v>
      </c>
      <c r="C2151" s="8" t="s">
        <v>3687</v>
      </c>
      <c r="D2151" s="8">
        <v>3</v>
      </c>
      <c r="E2151" s="8" t="s">
        <v>418</v>
      </c>
      <c r="F2151" s="8" t="s">
        <v>378</v>
      </c>
      <c r="G2151" s="8" t="s">
        <v>3688</v>
      </c>
      <c r="H2151" s="10">
        <v>15</v>
      </c>
      <c r="I2151" s="10"/>
      <c r="J2151" s="10">
        <v>15</v>
      </c>
      <c r="K2151" s="10">
        <v>142.76</v>
      </c>
    </row>
    <row r="2152" spans="1:11" x14ac:dyDescent="0.25">
      <c r="A2152" s="8" t="s">
        <v>3705</v>
      </c>
      <c r="B2152" s="8" t="s">
        <v>138</v>
      </c>
      <c r="C2152" s="8" t="s">
        <v>3687</v>
      </c>
      <c r="D2152" s="8">
        <v>3</v>
      </c>
      <c r="E2152" s="8" t="s">
        <v>418</v>
      </c>
      <c r="F2152" s="8" t="s">
        <v>378</v>
      </c>
      <c r="G2152" s="8" t="s">
        <v>3688</v>
      </c>
      <c r="H2152" s="10">
        <v>60</v>
      </c>
      <c r="I2152" s="10"/>
      <c r="J2152" s="10">
        <v>60</v>
      </c>
      <c r="K2152" s="10">
        <v>142.76</v>
      </c>
    </row>
    <row r="2153" spans="1:11" x14ac:dyDescent="0.25">
      <c r="A2153" s="8" t="s">
        <v>3706</v>
      </c>
      <c r="B2153" s="8" t="s">
        <v>3521</v>
      </c>
      <c r="C2153" s="8" t="s">
        <v>3687</v>
      </c>
      <c r="D2153" s="8">
        <v>3</v>
      </c>
      <c r="E2153" s="8" t="s">
        <v>418</v>
      </c>
      <c r="F2153" s="8" t="s">
        <v>378</v>
      </c>
      <c r="G2153" s="8" t="s">
        <v>3688</v>
      </c>
      <c r="H2153" s="10">
        <v>150</v>
      </c>
      <c r="I2153" s="10"/>
      <c r="J2153" s="10">
        <v>150</v>
      </c>
      <c r="K2153" s="10">
        <v>142.76</v>
      </c>
    </row>
    <row r="2154" spans="1:11" x14ac:dyDescent="0.25">
      <c r="A2154" s="8" t="s">
        <v>3707</v>
      </c>
      <c r="B2154" s="8" t="s">
        <v>80</v>
      </c>
      <c r="C2154" s="8" t="s">
        <v>3687</v>
      </c>
      <c r="D2154" s="8">
        <v>3</v>
      </c>
      <c r="E2154" s="8" t="s">
        <v>418</v>
      </c>
      <c r="F2154" s="8" t="s">
        <v>378</v>
      </c>
      <c r="G2154" s="8" t="s">
        <v>3688</v>
      </c>
      <c r="H2154" s="10">
        <v>60</v>
      </c>
      <c r="I2154" s="10"/>
      <c r="J2154" s="10">
        <v>60</v>
      </c>
      <c r="K2154" s="10">
        <v>142.76</v>
      </c>
    </row>
    <row r="2155" spans="1:11" x14ac:dyDescent="0.25">
      <c r="A2155" s="8" t="s">
        <v>3708</v>
      </c>
      <c r="B2155" s="8" t="s">
        <v>116</v>
      </c>
      <c r="C2155" s="8" t="s">
        <v>3687</v>
      </c>
      <c r="D2155" s="8">
        <v>3</v>
      </c>
      <c r="E2155" s="8" t="s">
        <v>422</v>
      </c>
      <c r="F2155" s="8" t="s">
        <v>378</v>
      </c>
      <c r="G2155" s="8" t="s">
        <v>3688</v>
      </c>
      <c r="H2155" s="10">
        <v>210</v>
      </c>
      <c r="I2155" s="10"/>
      <c r="J2155" s="10">
        <v>210</v>
      </c>
      <c r="K2155" s="10">
        <v>142.76</v>
      </c>
    </row>
    <row r="2156" spans="1:11" x14ac:dyDescent="0.25">
      <c r="A2156" s="8" t="s">
        <v>3709</v>
      </c>
      <c r="B2156" s="8" t="s">
        <v>116</v>
      </c>
      <c r="C2156" s="8" t="s">
        <v>3687</v>
      </c>
      <c r="D2156" s="8">
        <v>3</v>
      </c>
      <c r="E2156" s="8" t="s">
        <v>422</v>
      </c>
      <c r="F2156" s="8" t="s">
        <v>378</v>
      </c>
      <c r="G2156" s="8" t="s">
        <v>3688</v>
      </c>
      <c r="H2156" s="10">
        <v>9</v>
      </c>
      <c r="I2156" s="10"/>
      <c r="J2156" s="10">
        <v>9</v>
      </c>
      <c r="K2156" s="10">
        <v>142.76</v>
      </c>
    </row>
    <row r="2157" spans="1:11" x14ac:dyDescent="0.25">
      <c r="A2157" s="8" t="s">
        <v>3710</v>
      </c>
      <c r="B2157" s="8" t="s">
        <v>116</v>
      </c>
      <c r="C2157" s="8" t="s">
        <v>3687</v>
      </c>
      <c r="D2157" s="8">
        <v>3</v>
      </c>
      <c r="E2157" s="8" t="s">
        <v>422</v>
      </c>
      <c r="F2157" s="8" t="s">
        <v>378</v>
      </c>
      <c r="G2157" s="8" t="s">
        <v>3688</v>
      </c>
      <c r="H2157" s="10">
        <v>9</v>
      </c>
      <c r="I2157" s="10"/>
      <c r="J2157" s="10">
        <v>9</v>
      </c>
      <c r="K2157" s="10">
        <v>142.76</v>
      </c>
    </row>
    <row r="2158" spans="1:11" x14ac:dyDescent="0.25">
      <c r="A2158" s="8" t="s">
        <v>3711</v>
      </c>
      <c r="B2158" s="8" t="s">
        <v>118</v>
      </c>
      <c r="C2158" s="8" t="s">
        <v>3687</v>
      </c>
      <c r="D2158" s="8">
        <v>3</v>
      </c>
      <c r="E2158" s="8" t="s">
        <v>422</v>
      </c>
      <c r="F2158" s="8" t="s">
        <v>378</v>
      </c>
      <c r="G2158" s="8" t="s">
        <v>3688</v>
      </c>
      <c r="H2158" s="10">
        <v>90</v>
      </c>
      <c r="I2158" s="10"/>
      <c r="J2158" s="10">
        <v>90</v>
      </c>
      <c r="K2158" s="10">
        <v>142.76</v>
      </c>
    </row>
    <row r="2159" spans="1:11" x14ac:dyDescent="0.25">
      <c r="A2159" s="8" t="s">
        <v>3712</v>
      </c>
      <c r="B2159" s="8" t="s">
        <v>1650</v>
      </c>
      <c r="C2159" s="8" t="s">
        <v>3687</v>
      </c>
      <c r="D2159" s="8">
        <v>3</v>
      </c>
      <c r="E2159" s="8" t="s">
        <v>422</v>
      </c>
      <c r="F2159" s="8" t="s">
        <v>378</v>
      </c>
      <c r="G2159" s="8" t="s">
        <v>3688</v>
      </c>
      <c r="H2159" s="10">
        <v>30</v>
      </c>
      <c r="I2159" s="10"/>
      <c r="J2159" s="10">
        <v>30</v>
      </c>
      <c r="K2159" s="10">
        <v>142.76</v>
      </c>
    </row>
    <row r="2160" spans="1:11" x14ac:dyDescent="0.25">
      <c r="A2160" s="8" t="s">
        <v>3713</v>
      </c>
      <c r="B2160" s="8" t="s">
        <v>120</v>
      </c>
      <c r="C2160" s="8" t="s">
        <v>3687</v>
      </c>
      <c r="D2160" s="8">
        <v>3</v>
      </c>
      <c r="E2160" s="8" t="s">
        <v>422</v>
      </c>
      <c r="F2160" s="8" t="s">
        <v>378</v>
      </c>
      <c r="G2160" s="8" t="s">
        <v>3688</v>
      </c>
      <c r="H2160" s="10">
        <v>120</v>
      </c>
      <c r="I2160" s="10"/>
      <c r="J2160" s="10">
        <v>120</v>
      </c>
      <c r="K2160" s="10">
        <v>142.76</v>
      </c>
    </row>
    <row r="2161" spans="1:11" x14ac:dyDescent="0.25">
      <c r="A2161" s="8" t="s">
        <v>3714</v>
      </c>
      <c r="B2161" s="8" t="s">
        <v>120</v>
      </c>
      <c r="C2161" s="8" t="s">
        <v>3687</v>
      </c>
      <c r="D2161" s="8">
        <v>3</v>
      </c>
      <c r="E2161" s="8" t="s">
        <v>422</v>
      </c>
      <c r="F2161" s="8" t="s">
        <v>378</v>
      </c>
      <c r="G2161" s="8" t="s">
        <v>3688</v>
      </c>
      <c r="H2161" s="10">
        <v>150</v>
      </c>
      <c r="I2161" s="10"/>
      <c r="J2161" s="10">
        <v>150</v>
      </c>
      <c r="K2161" s="10">
        <v>142.76</v>
      </c>
    </row>
    <row r="2162" spans="1:11" x14ac:dyDescent="0.25">
      <c r="A2162" s="8" t="s">
        <v>3715</v>
      </c>
      <c r="B2162" s="8" t="s">
        <v>122</v>
      </c>
      <c r="C2162" s="8" t="s">
        <v>3687</v>
      </c>
      <c r="D2162" s="8">
        <v>3</v>
      </c>
      <c r="E2162" s="8" t="s">
        <v>422</v>
      </c>
      <c r="F2162" s="8" t="s">
        <v>378</v>
      </c>
      <c r="G2162" s="8" t="s">
        <v>3688</v>
      </c>
      <c r="H2162" s="10">
        <v>120</v>
      </c>
      <c r="I2162" s="10"/>
      <c r="J2162" s="10">
        <v>120</v>
      </c>
      <c r="K2162" s="10">
        <v>142.76</v>
      </c>
    </row>
    <row r="2163" spans="1:11" x14ac:dyDescent="0.25">
      <c r="A2163" s="8" t="s">
        <v>3716</v>
      </c>
      <c r="B2163" s="8" t="s">
        <v>124</v>
      </c>
      <c r="C2163" s="8" t="s">
        <v>3687</v>
      </c>
      <c r="D2163" s="8">
        <v>3</v>
      </c>
      <c r="E2163" s="8" t="s">
        <v>422</v>
      </c>
      <c r="F2163" s="8" t="s">
        <v>378</v>
      </c>
      <c r="G2163" s="8" t="s">
        <v>3688</v>
      </c>
      <c r="H2163" s="10">
        <v>120</v>
      </c>
      <c r="I2163" s="10"/>
      <c r="J2163" s="10">
        <v>120</v>
      </c>
      <c r="K2163" s="10">
        <v>142.76</v>
      </c>
    </row>
    <row r="2164" spans="1:11" x14ac:dyDescent="0.25">
      <c r="A2164" s="8" t="s">
        <v>3717</v>
      </c>
      <c r="B2164" s="8" t="s">
        <v>78</v>
      </c>
      <c r="C2164" s="8" t="s">
        <v>3687</v>
      </c>
      <c r="D2164" s="8">
        <v>3</v>
      </c>
      <c r="E2164" s="8" t="s">
        <v>422</v>
      </c>
      <c r="F2164" s="8" t="s">
        <v>378</v>
      </c>
      <c r="G2164" s="8" t="s">
        <v>3688</v>
      </c>
      <c r="H2164" s="10">
        <v>60</v>
      </c>
      <c r="I2164" s="10"/>
      <c r="J2164" s="10">
        <v>60</v>
      </c>
      <c r="K2164" s="10">
        <v>142.76</v>
      </c>
    </row>
    <row r="2165" spans="1:11" x14ac:dyDescent="0.25">
      <c r="A2165" s="8" t="s">
        <v>3718</v>
      </c>
      <c r="B2165" s="8" t="s">
        <v>1655</v>
      </c>
      <c r="C2165" s="8" t="s">
        <v>3687</v>
      </c>
      <c r="D2165" s="8">
        <v>3</v>
      </c>
      <c r="E2165" s="8" t="s">
        <v>422</v>
      </c>
      <c r="F2165" s="8" t="s">
        <v>378</v>
      </c>
      <c r="G2165" s="8" t="s">
        <v>3688</v>
      </c>
      <c r="H2165" s="10">
        <v>30</v>
      </c>
      <c r="I2165" s="10"/>
      <c r="J2165" s="10">
        <v>30</v>
      </c>
      <c r="K2165" s="10">
        <v>142.76</v>
      </c>
    </row>
    <row r="2166" spans="1:11" x14ac:dyDescent="0.25">
      <c r="A2166" s="8" t="s">
        <v>3719</v>
      </c>
      <c r="B2166" s="8" t="s">
        <v>128</v>
      </c>
      <c r="C2166" s="8" t="s">
        <v>3687</v>
      </c>
      <c r="D2166" s="8">
        <v>3</v>
      </c>
      <c r="E2166" s="8" t="s">
        <v>422</v>
      </c>
      <c r="F2166" s="8" t="s">
        <v>378</v>
      </c>
      <c r="G2166" s="8" t="s">
        <v>3688</v>
      </c>
      <c r="H2166" s="10">
        <v>30</v>
      </c>
      <c r="I2166" s="10"/>
      <c r="J2166" s="10">
        <v>30</v>
      </c>
      <c r="K2166" s="10">
        <v>142.76</v>
      </c>
    </row>
    <row r="2167" spans="1:11" x14ac:dyDescent="0.25">
      <c r="A2167" s="8" t="s">
        <v>3720</v>
      </c>
      <c r="B2167" s="8" t="s">
        <v>949</v>
      </c>
      <c r="C2167" s="8" t="s">
        <v>3687</v>
      </c>
      <c r="D2167" s="8">
        <v>3</v>
      </c>
      <c r="E2167" s="8" t="s">
        <v>422</v>
      </c>
      <c r="F2167" s="8" t="s">
        <v>378</v>
      </c>
      <c r="G2167" s="8" t="s">
        <v>3688</v>
      </c>
      <c r="H2167" s="10">
        <v>15</v>
      </c>
      <c r="I2167" s="10"/>
      <c r="J2167" s="10">
        <v>15</v>
      </c>
      <c r="K2167" s="10">
        <v>142.76</v>
      </c>
    </row>
    <row r="2168" spans="1:11" x14ac:dyDescent="0.25">
      <c r="A2168" s="8" t="s">
        <v>3721</v>
      </c>
      <c r="B2168" s="8" t="s">
        <v>130</v>
      </c>
      <c r="C2168" s="8" t="s">
        <v>3687</v>
      </c>
      <c r="D2168" s="8">
        <v>3</v>
      </c>
      <c r="E2168" s="8" t="s">
        <v>422</v>
      </c>
      <c r="F2168" s="8" t="s">
        <v>378</v>
      </c>
      <c r="G2168" s="8" t="s">
        <v>3688</v>
      </c>
      <c r="H2168" s="10">
        <v>15</v>
      </c>
      <c r="I2168" s="10"/>
      <c r="J2168" s="10">
        <v>15</v>
      </c>
      <c r="K2168" s="10">
        <v>142.76</v>
      </c>
    </row>
    <row r="2169" spans="1:11" x14ac:dyDescent="0.25">
      <c r="A2169" s="8" t="s">
        <v>3722</v>
      </c>
      <c r="B2169" s="8" t="s">
        <v>132</v>
      </c>
      <c r="C2169" s="8" t="s">
        <v>3687</v>
      </c>
      <c r="D2169" s="8">
        <v>3</v>
      </c>
      <c r="E2169" s="8" t="s">
        <v>422</v>
      </c>
      <c r="F2169" s="8" t="s">
        <v>378</v>
      </c>
      <c r="G2169" s="8" t="s">
        <v>3688</v>
      </c>
      <c r="H2169" s="10">
        <v>30</v>
      </c>
      <c r="I2169" s="10"/>
      <c r="J2169" s="10">
        <v>30</v>
      </c>
      <c r="K2169" s="10">
        <v>142.76</v>
      </c>
    </row>
    <row r="2170" spans="1:11" x14ac:dyDescent="0.25">
      <c r="A2170" s="8" t="s">
        <v>3723</v>
      </c>
      <c r="B2170" s="8" t="s">
        <v>134</v>
      </c>
      <c r="C2170" s="8" t="s">
        <v>3687</v>
      </c>
      <c r="D2170" s="8">
        <v>3</v>
      </c>
      <c r="E2170" s="8" t="s">
        <v>422</v>
      </c>
      <c r="F2170" s="8" t="s">
        <v>378</v>
      </c>
      <c r="G2170" s="8" t="s">
        <v>3688</v>
      </c>
      <c r="H2170" s="10">
        <v>60</v>
      </c>
      <c r="I2170" s="10"/>
      <c r="J2170" s="10">
        <v>60</v>
      </c>
      <c r="K2170" s="10">
        <v>142.76</v>
      </c>
    </row>
    <row r="2171" spans="1:11" x14ac:dyDescent="0.25">
      <c r="A2171" s="8" t="s">
        <v>3724</v>
      </c>
      <c r="B2171" s="8" t="s">
        <v>136</v>
      </c>
      <c r="C2171" s="8" t="s">
        <v>3687</v>
      </c>
      <c r="D2171" s="8">
        <v>3</v>
      </c>
      <c r="E2171" s="8" t="s">
        <v>422</v>
      </c>
      <c r="F2171" s="8" t="s">
        <v>378</v>
      </c>
      <c r="G2171" s="8" t="s">
        <v>3688</v>
      </c>
      <c r="H2171" s="10">
        <v>30</v>
      </c>
      <c r="I2171" s="10"/>
      <c r="J2171" s="10">
        <v>30</v>
      </c>
      <c r="K2171" s="10">
        <v>142.76</v>
      </c>
    </row>
    <row r="2172" spans="1:11" x14ac:dyDescent="0.25">
      <c r="A2172" s="8" t="s">
        <v>3725</v>
      </c>
      <c r="B2172" s="8" t="s">
        <v>1689</v>
      </c>
      <c r="C2172" s="8" t="s">
        <v>3687</v>
      </c>
      <c r="D2172" s="8">
        <v>3</v>
      </c>
      <c r="E2172" s="8" t="s">
        <v>422</v>
      </c>
      <c r="F2172" s="8" t="s">
        <v>378</v>
      </c>
      <c r="G2172" s="8" t="s">
        <v>3688</v>
      </c>
      <c r="H2172" s="10">
        <v>15</v>
      </c>
      <c r="I2172" s="10"/>
      <c r="J2172" s="10">
        <v>15</v>
      </c>
      <c r="K2172" s="10">
        <v>142.76</v>
      </c>
    </row>
    <row r="2173" spans="1:11" x14ac:dyDescent="0.25">
      <c r="A2173" s="8" t="s">
        <v>3726</v>
      </c>
      <c r="B2173" s="8" t="s">
        <v>138</v>
      </c>
      <c r="C2173" s="8" t="s">
        <v>3687</v>
      </c>
      <c r="D2173" s="8">
        <v>3</v>
      </c>
      <c r="E2173" s="8" t="s">
        <v>422</v>
      </c>
      <c r="F2173" s="8" t="s">
        <v>378</v>
      </c>
      <c r="G2173" s="8" t="s">
        <v>3688</v>
      </c>
      <c r="H2173" s="10">
        <v>15</v>
      </c>
      <c r="I2173" s="10"/>
      <c r="J2173" s="10">
        <v>15</v>
      </c>
      <c r="K2173" s="10">
        <v>142.76</v>
      </c>
    </row>
    <row r="2174" spans="1:11" x14ac:dyDescent="0.25">
      <c r="A2174" s="8" t="s">
        <v>3727</v>
      </c>
      <c r="B2174" s="8" t="s">
        <v>80</v>
      </c>
      <c r="C2174" s="8" t="s">
        <v>3687</v>
      </c>
      <c r="D2174" s="8">
        <v>3</v>
      </c>
      <c r="E2174" s="8" t="s">
        <v>422</v>
      </c>
      <c r="F2174" s="8" t="s">
        <v>378</v>
      </c>
      <c r="G2174" s="8" t="s">
        <v>3688</v>
      </c>
      <c r="H2174" s="10">
        <v>15</v>
      </c>
      <c r="I2174" s="10"/>
      <c r="J2174" s="10">
        <v>15</v>
      </c>
      <c r="K2174" s="10">
        <v>142.76</v>
      </c>
    </row>
    <row r="2175" spans="1:11" x14ac:dyDescent="0.25">
      <c r="A2175" s="8" t="s">
        <v>3728</v>
      </c>
      <c r="B2175" s="8" t="s">
        <v>116</v>
      </c>
      <c r="C2175" s="8" t="s">
        <v>3687</v>
      </c>
      <c r="D2175" s="8">
        <v>3</v>
      </c>
      <c r="E2175" s="8" t="s">
        <v>425</v>
      </c>
      <c r="F2175" s="8" t="s">
        <v>378</v>
      </c>
      <c r="G2175" s="8" t="s">
        <v>3688</v>
      </c>
      <c r="H2175" s="10">
        <v>75</v>
      </c>
      <c r="I2175" s="10"/>
      <c r="J2175" s="10">
        <v>75</v>
      </c>
      <c r="K2175" s="10">
        <v>142.76</v>
      </c>
    </row>
    <row r="2176" spans="1:11" x14ac:dyDescent="0.25">
      <c r="A2176" s="8" t="s">
        <v>3729</v>
      </c>
      <c r="B2176" s="8" t="s">
        <v>116</v>
      </c>
      <c r="C2176" s="8" t="s">
        <v>3687</v>
      </c>
      <c r="D2176" s="8">
        <v>3</v>
      </c>
      <c r="E2176" s="8" t="s">
        <v>425</v>
      </c>
      <c r="F2176" s="8" t="s">
        <v>378</v>
      </c>
      <c r="G2176" s="8" t="s">
        <v>3688</v>
      </c>
      <c r="H2176" s="10">
        <v>9</v>
      </c>
      <c r="I2176" s="10"/>
      <c r="J2176" s="10">
        <v>9</v>
      </c>
      <c r="K2176" s="10">
        <v>142.76</v>
      </c>
    </row>
    <row r="2177" spans="1:11" x14ac:dyDescent="0.25">
      <c r="A2177" s="8" t="s">
        <v>3730</v>
      </c>
      <c r="B2177" s="8" t="s">
        <v>116</v>
      </c>
      <c r="C2177" s="8" t="s">
        <v>3687</v>
      </c>
      <c r="D2177" s="8">
        <v>3</v>
      </c>
      <c r="E2177" s="8" t="s">
        <v>425</v>
      </c>
      <c r="F2177" s="8" t="s">
        <v>378</v>
      </c>
      <c r="G2177" s="8" t="s">
        <v>3688</v>
      </c>
      <c r="H2177" s="10">
        <v>9</v>
      </c>
      <c r="I2177" s="10"/>
      <c r="J2177" s="10">
        <v>9</v>
      </c>
      <c r="K2177" s="10">
        <v>142.76</v>
      </c>
    </row>
    <row r="2178" spans="1:11" x14ac:dyDescent="0.25">
      <c r="A2178" s="8" t="s">
        <v>3731</v>
      </c>
      <c r="B2178" s="8" t="s">
        <v>118</v>
      </c>
      <c r="C2178" s="8" t="s">
        <v>3687</v>
      </c>
      <c r="D2178" s="8">
        <v>3</v>
      </c>
      <c r="E2178" s="8" t="s">
        <v>425</v>
      </c>
      <c r="F2178" s="8" t="s">
        <v>378</v>
      </c>
      <c r="G2178" s="8" t="s">
        <v>3688</v>
      </c>
      <c r="H2178" s="10">
        <v>45</v>
      </c>
      <c r="I2178" s="10"/>
      <c r="J2178" s="10">
        <v>45</v>
      </c>
      <c r="K2178" s="10">
        <v>142.76</v>
      </c>
    </row>
    <row r="2179" spans="1:11" x14ac:dyDescent="0.25">
      <c r="A2179" s="8" t="s">
        <v>3732</v>
      </c>
      <c r="B2179" s="8" t="s">
        <v>1650</v>
      </c>
      <c r="C2179" s="8" t="s">
        <v>3687</v>
      </c>
      <c r="D2179" s="8">
        <v>3</v>
      </c>
      <c r="E2179" s="8" t="s">
        <v>425</v>
      </c>
      <c r="F2179" s="8" t="s">
        <v>378</v>
      </c>
      <c r="G2179" s="8" t="s">
        <v>3688</v>
      </c>
      <c r="H2179" s="10">
        <v>15</v>
      </c>
      <c r="I2179" s="10"/>
      <c r="J2179" s="10">
        <v>15</v>
      </c>
      <c r="K2179" s="10">
        <v>142.76</v>
      </c>
    </row>
    <row r="2180" spans="1:11" x14ac:dyDescent="0.25">
      <c r="A2180" s="8" t="s">
        <v>3733</v>
      </c>
      <c r="B2180" s="8" t="s">
        <v>120</v>
      </c>
      <c r="C2180" s="8" t="s">
        <v>3687</v>
      </c>
      <c r="D2180" s="8">
        <v>3</v>
      </c>
      <c r="E2180" s="8" t="s">
        <v>425</v>
      </c>
      <c r="F2180" s="8" t="s">
        <v>378</v>
      </c>
      <c r="G2180" s="8" t="s">
        <v>3688</v>
      </c>
      <c r="H2180" s="10">
        <v>45</v>
      </c>
      <c r="I2180" s="10"/>
      <c r="J2180" s="10">
        <v>45</v>
      </c>
      <c r="K2180" s="10">
        <v>142.76</v>
      </c>
    </row>
    <row r="2181" spans="1:11" x14ac:dyDescent="0.25">
      <c r="A2181" s="8" t="s">
        <v>3734</v>
      </c>
      <c r="B2181" s="8" t="s">
        <v>120</v>
      </c>
      <c r="C2181" s="8" t="s">
        <v>3687</v>
      </c>
      <c r="D2181" s="8">
        <v>3</v>
      </c>
      <c r="E2181" s="8" t="s">
        <v>425</v>
      </c>
      <c r="F2181" s="8" t="s">
        <v>378</v>
      </c>
      <c r="G2181" s="8" t="s">
        <v>3688</v>
      </c>
      <c r="H2181" s="10">
        <v>15</v>
      </c>
      <c r="I2181" s="10"/>
      <c r="J2181" s="10">
        <v>15</v>
      </c>
      <c r="K2181" s="10">
        <v>142.76</v>
      </c>
    </row>
    <row r="2182" spans="1:11" x14ac:dyDescent="0.25">
      <c r="A2182" s="8" t="s">
        <v>3735</v>
      </c>
      <c r="B2182" s="8" t="s">
        <v>122</v>
      </c>
      <c r="C2182" s="8" t="s">
        <v>3687</v>
      </c>
      <c r="D2182" s="8">
        <v>3</v>
      </c>
      <c r="E2182" s="8" t="s">
        <v>425</v>
      </c>
      <c r="F2182" s="8" t="s">
        <v>378</v>
      </c>
      <c r="G2182" s="8" t="s">
        <v>3688</v>
      </c>
      <c r="H2182" s="10">
        <v>45</v>
      </c>
      <c r="I2182" s="10"/>
      <c r="J2182" s="10">
        <v>45</v>
      </c>
      <c r="K2182" s="10">
        <v>142.76</v>
      </c>
    </row>
    <row r="2183" spans="1:11" x14ac:dyDescent="0.25">
      <c r="A2183" s="8" t="s">
        <v>3736</v>
      </c>
      <c r="B2183" s="8" t="s">
        <v>124</v>
      </c>
      <c r="C2183" s="8" t="s">
        <v>3687</v>
      </c>
      <c r="D2183" s="8">
        <v>3</v>
      </c>
      <c r="E2183" s="8" t="s">
        <v>425</v>
      </c>
      <c r="F2183" s="8" t="s">
        <v>378</v>
      </c>
      <c r="G2183" s="8" t="s">
        <v>3688</v>
      </c>
      <c r="H2183" s="10">
        <v>45</v>
      </c>
      <c r="I2183" s="10"/>
      <c r="J2183" s="10">
        <v>45</v>
      </c>
      <c r="K2183" s="10">
        <v>142.76</v>
      </c>
    </row>
    <row r="2184" spans="1:11" x14ac:dyDescent="0.25">
      <c r="A2184" s="8" t="s">
        <v>3737</v>
      </c>
      <c r="B2184" s="8" t="s">
        <v>78</v>
      </c>
      <c r="C2184" s="8" t="s">
        <v>3687</v>
      </c>
      <c r="D2184" s="8">
        <v>3</v>
      </c>
      <c r="E2184" s="8" t="s">
        <v>425</v>
      </c>
      <c r="F2184" s="8" t="s">
        <v>378</v>
      </c>
      <c r="G2184" s="8" t="s">
        <v>3688</v>
      </c>
      <c r="H2184" s="10">
        <v>30</v>
      </c>
      <c r="I2184" s="10"/>
      <c r="J2184" s="10">
        <v>30</v>
      </c>
      <c r="K2184" s="10">
        <v>142.76</v>
      </c>
    </row>
    <row r="2185" spans="1:11" x14ac:dyDescent="0.25">
      <c r="A2185" s="8" t="s">
        <v>3738</v>
      </c>
      <c r="B2185" s="8" t="s">
        <v>1655</v>
      </c>
      <c r="C2185" s="8" t="s">
        <v>3687</v>
      </c>
      <c r="D2185" s="8">
        <v>3</v>
      </c>
      <c r="E2185" s="8" t="s">
        <v>425</v>
      </c>
      <c r="F2185" s="8" t="s">
        <v>378</v>
      </c>
      <c r="G2185" s="8" t="s">
        <v>3688</v>
      </c>
      <c r="H2185" s="10">
        <v>15</v>
      </c>
      <c r="I2185" s="10"/>
      <c r="J2185" s="10">
        <v>15</v>
      </c>
      <c r="K2185" s="10">
        <v>142.76</v>
      </c>
    </row>
    <row r="2186" spans="1:11" x14ac:dyDescent="0.25">
      <c r="A2186" s="8" t="s">
        <v>3739</v>
      </c>
      <c r="B2186" s="8" t="s">
        <v>128</v>
      </c>
      <c r="C2186" s="8" t="s">
        <v>3687</v>
      </c>
      <c r="D2186" s="8">
        <v>3</v>
      </c>
      <c r="E2186" s="8" t="s">
        <v>425</v>
      </c>
      <c r="F2186" s="8" t="s">
        <v>378</v>
      </c>
      <c r="G2186" s="8" t="s">
        <v>3688</v>
      </c>
      <c r="H2186" s="10">
        <v>15</v>
      </c>
      <c r="I2186" s="10"/>
      <c r="J2186" s="10">
        <v>15</v>
      </c>
      <c r="K2186" s="10">
        <v>142.76</v>
      </c>
    </row>
    <row r="2187" spans="1:11" x14ac:dyDescent="0.25">
      <c r="A2187" s="8" t="s">
        <v>3740</v>
      </c>
      <c r="B2187" s="8" t="s">
        <v>130</v>
      </c>
      <c r="C2187" s="8" t="s">
        <v>3687</v>
      </c>
      <c r="D2187" s="8">
        <v>3</v>
      </c>
      <c r="E2187" s="8" t="s">
        <v>425</v>
      </c>
      <c r="F2187" s="8" t="s">
        <v>378</v>
      </c>
      <c r="G2187" s="8" t="s">
        <v>3688</v>
      </c>
      <c r="H2187" s="10">
        <v>9</v>
      </c>
      <c r="I2187" s="10"/>
      <c r="J2187" s="10">
        <v>9</v>
      </c>
      <c r="K2187" s="10">
        <v>142.76</v>
      </c>
    </row>
    <row r="2188" spans="1:11" x14ac:dyDescent="0.25">
      <c r="A2188" s="8" t="s">
        <v>3741</v>
      </c>
      <c r="B2188" s="8" t="s">
        <v>132</v>
      </c>
      <c r="C2188" s="8" t="s">
        <v>3687</v>
      </c>
      <c r="D2188" s="8">
        <v>3</v>
      </c>
      <c r="E2188" s="8" t="s">
        <v>425</v>
      </c>
      <c r="F2188" s="8" t="s">
        <v>378</v>
      </c>
      <c r="G2188" s="8" t="s">
        <v>3688</v>
      </c>
      <c r="H2188" s="10">
        <v>15</v>
      </c>
      <c r="I2188" s="10"/>
      <c r="J2188" s="10">
        <v>15</v>
      </c>
      <c r="K2188" s="10">
        <v>142.76</v>
      </c>
    </row>
    <row r="2189" spans="1:11" x14ac:dyDescent="0.25">
      <c r="A2189" s="8" t="s">
        <v>3742</v>
      </c>
      <c r="B2189" s="8" t="s">
        <v>134</v>
      </c>
      <c r="C2189" s="8" t="s">
        <v>3687</v>
      </c>
      <c r="D2189" s="8">
        <v>3</v>
      </c>
      <c r="E2189" s="8" t="s">
        <v>425</v>
      </c>
      <c r="F2189" s="8" t="s">
        <v>378</v>
      </c>
      <c r="G2189" s="8" t="s">
        <v>3688</v>
      </c>
      <c r="H2189" s="10">
        <v>30</v>
      </c>
      <c r="I2189" s="10"/>
      <c r="J2189" s="10">
        <v>30</v>
      </c>
      <c r="K2189" s="10">
        <v>142.76</v>
      </c>
    </row>
    <row r="2190" spans="1:11" x14ac:dyDescent="0.25">
      <c r="A2190" s="8" t="s">
        <v>3743</v>
      </c>
      <c r="B2190" s="8" t="s">
        <v>136</v>
      </c>
      <c r="C2190" s="8" t="s">
        <v>3687</v>
      </c>
      <c r="D2190" s="8">
        <v>3</v>
      </c>
      <c r="E2190" s="8" t="s">
        <v>425</v>
      </c>
      <c r="F2190" s="8" t="s">
        <v>378</v>
      </c>
      <c r="G2190" s="8" t="s">
        <v>3688</v>
      </c>
      <c r="H2190" s="10">
        <v>15</v>
      </c>
      <c r="I2190" s="10"/>
      <c r="J2190" s="10">
        <v>15</v>
      </c>
      <c r="K2190" s="10">
        <v>142.76</v>
      </c>
    </row>
    <row r="2191" spans="1:11" x14ac:dyDescent="0.25">
      <c r="A2191" s="8" t="s">
        <v>3744</v>
      </c>
      <c r="B2191" s="8" t="s">
        <v>1689</v>
      </c>
      <c r="C2191" s="8" t="s">
        <v>3687</v>
      </c>
      <c r="D2191" s="8">
        <v>3</v>
      </c>
      <c r="E2191" s="8" t="s">
        <v>425</v>
      </c>
      <c r="F2191" s="8" t="s">
        <v>378</v>
      </c>
      <c r="G2191" s="8" t="s">
        <v>3688</v>
      </c>
      <c r="H2191" s="10">
        <v>9</v>
      </c>
      <c r="I2191" s="10"/>
      <c r="J2191" s="10">
        <v>9</v>
      </c>
      <c r="K2191" s="10">
        <v>142.76</v>
      </c>
    </row>
    <row r="2192" spans="1:11" x14ac:dyDescent="0.25">
      <c r="A2192" s="8" t="s">
        <v>3745</v>
      </c>
      <c r="B2192" s="8" t="s">
        <v>138</v>
      </c>
      <c r="C2192" s="8" t="s">
        <v>3687</v>
      </c>
      <c r="D2192" s="8">
        <v>3</v>
      </c>
      <c r="E2192" s="8" t="s">
        <v>425</v>
      </c>
      <c r="F2192" s="8" t="s">
        <v>378</v>
      </c>
      <c r="G2192" s="8" t="s">
        <v>3688</v>
      </c>
      <c r="H2192" s="10">
        <v>9</v>
      </c>
      <c r="I2192" s="10"/>
      <c r="J2192" s="10">
        <v>9</v>
      </c>
      <c r="K2192" s="10">
        <v>142.76</v>
      </c>
    </row>
    <row r="2193" spans="1:11" x14ac:dyDescent="0.25">
      <c r="A2193" s="8" t="s">
        <v>3746</v>
      </c>
      <c r="B2193" s="8" t="s">
        <v>80</v>
      </c>
      <c r="C2193" s="8" t="s">
        <v>3687</v>
      </c>
      <c r="D2193" s="8">
        <v>3</v>
      </c>
      <c r="E2193" s="8" t="s">
        <v>425</v>
      </c>
      <c r="F2193" s="8" t="s">
        <v>378</v>
      </c>
      <c r="G2193" s="8" t="s">
        <v>3688</v>
      </c>
      <c r="H2193" s="10">
        <v>15</v>
      </c>
      <c r="I2193" s="10"/>
      <c r="J2193" s="10">
        <v>15</v>
      </c>
      <c r="K2193" s="10">
        <v>142.76</v>
      </c>
    </row>
    <row r="2194" spans="1:11" x14ac:dyDescent="0.25">
      <c r="A2194" s="8" t="s">
        <v>3747</v>
      </c>
      <c r="B2194" s="8" t="s">
        <v>116</v>
      </c>
      <c r="C2194" s="8" t="s">
        <v>3687</v>
      </c>
      <c r="D2194" s="8">
        <v>3</v>
      </c>
      <c r="E2194" s="8" t="s">
        <v>428</v>
      </c>
      <c r="F2194" s="8" t="s">
        <v>378</v>
      </c>
      <c r="G2194" s="8" t="s">
        <v>3688</v>
      </c>
      <c r="H2194" s="10">
        <v>30</v>
      </c>
      <c r="I2194" s="10"/>
      <c r="J2194" s="10">
        <v>30</v>
      </c>
      <c r="K2194" s="10">
        <v>197.69</v>
      </c>
    </row>
    <row r="2195" spans="1:11" x14ac:dyDescent="0.25">
      <c r="A2195" s="8" t="s">
        <v>3748</v>
      </c>
      <c r="B2195" s="8" t="s">
        <v>116</v>
      </c>
      <c r="C2195" s="8" t="s">
        <v>3687</v>
      </c>
      <c r="D2195" s="8">
        <v>3</v>
      </c>
      <c r="E2195" s="8" t="s">
        <v>428</v>
      </c>
      <c r="F2195" s="8" t="s">
        <v>378</v>
      </c>
      <c r="G2195" s="8" t="s">
        <v>3688</v>
      </c>
      <c r="H2195" s="10">
        <v>9</v>
      </c>
      <c r="I2195" s="10"/>
      <c r="J2195" s="10">
        <v>9</v>
      </c>
      <c r="K2195" s="10">
        <v>197.69</v>
      </c>
    </row>
    <row r="2196" spans="1:11" x14ac:dyDescent="0.25">
      <c r="A2196" s="8" t="s">
        <v>3749</v>
      </c>
      <c r="B2196" s="8" t="s">
        <v>116</v>
      </c>
      <c r="C2196" s="8" t="s">
        <v>3687</v>
      </c>
      <c r="D2196" s="8">
        <v>3</v>
      </c>
      <c r="E2196" s="8" t="s">
        <v>428</v>
      </c>
      <c r="F2196" s="8" t="s">
        <v>378</v>
      </c>
      <c r="G2196" s="8" t="s">
        <v>3688</v>
      </c>
      <c r="H2196" s="10">
        <v>9</v>
      </c>
      <c r="I2196" s="10"/>
      <c r="J2196" s="10">
        <v>9</v>
      </c>
      <c r="K2196" s="10">
        <v>197.69</v>
      </c>
    </row>
    <row r="2197" spans="1:11" x14ac:dyDescent="0.25">
      <c r="A2197" s="8" t="s">
        <v>3750</v>
      </c>
      <c r="B2197" s="8" t="s">
        <v>118</v>
      </c>
      <c r="C2197" s="8" t="s">
        <v>3687</v>
      </c>
      <c r="D2197" s="8">
        <v>3</v>
      </c>
      <c r="E2197" s="8" t="s">
        <v>428</v>
      </c>
      <c r="F2197" s="8" t="s">
        <v>378</v>
      </c>
      <c r="G2197" s="8" t="s">
        <v>3688</v>
      </c>
      <c r="H2197" s="10">
        <v>30</v>
      </c>
      <c r="I2197" s="10"/>
      <c r="J2197" s="10">
        <v>30</v>
      </c>
      <c r="K2197" s="10">
        <v>197.69</v>
      </c>
    </row>
    <row r="2198" spans="1:11" x14ac:dyDescent="0.25">
      <c r="A2198" s="8" t="s">
        <v>3751</v>
      </c>
      <c r="B2198" s="8" t="s">
        <v>1650</v>
      </c>
      <c r="C2198" s="8" t="s">
        <v>3687</v>
      </c>
      <c r="D2198" s="8">
        <v>3</v>
      </c>
      <c r="E2198" s="8" t="s">
        <v>428</v>
      </c>
      <c r="F2198" s="8" t="s">
        <v>378</v>
      </c>
      <c r="G2198" s="8" t="s">
        <v>3688</v>
      </c>
      <c r="H2198" s="10">
        <v>15</v>
      </c>
      <c r="I2198" s="10"/>
      <c r="J2198" s="10">
        <v>15</v>
      </c>
      <c r="K2198" s="10">
        <v>197.69</v>
      </c>
    </row>
    <row r="2199" spans="1:11" x14ac:dyDescent="0.25">
      <c r="A2199" s="8" t="s">
        <v>3752</v>
      </c>
      <c r="B2199" s="8" t="s">
        <v>120</v>
      </c>
      <c r="C2199" s="8" t="s">
        <v>3687</v>
      </c>
      <c r="D2199" s="8">
        <v>3</v>
      </c>
      <c r="E2199" s="8" t="s">
        <v>428</v>
      </c>
      <c r="F2199" s="8" t="s">
        <v>378</v>
      </c>
      <c r="G2199" s="8" t="s">
        <v>3688</v>
      </c>
      <c r="H2199" s="10">
        <v>30</v>
      </c>
      <c r="I2199" s="10"/>
      <c r="J2199" s="10">
        <v>30</v>
      </c>
      <c r="K2199" s="10">
        <v>197.69</v>
      </c>
    </row>
    <row r="2200" spans="1:11" x14ac:dyDescent="0.25">
      <c r="A2200" s="8" t="s">
        <v>3753</v>
      </c>
      <c r="B2200" s="8" t="s">
        <v>120</v>
      </c>
      <c r="C2200" s="8" t="s">
        <v>3687</v>
      </c>
      <c r="D2200" s="8">
        <v>3</v>
      </c>
      <c r="E2200" s="8" t="s">
        <v>428</v>
      </c>
      <c r="F2200" s="8" t="s">
        <v>378</v>
      </c>
      <c r="G2200" s="8" t="s">
        <v>3688</v>
      </c>
      <c r="H2200" s="10">
        <v>15</v>
      </c>
      <c r="I2200" s="10"/>
      <c r="J2200" s="10">
        <v>15</v>
      </c>
      <c r="K2200" s="10">
        <v>197.69</v>
      </c>
    </row>
    <row r="2201" spans="1:11" x14ac:dyDescent="0.25">
      <c r="A2201" s="8" t="s">
        <v>3754</v>
      </c>
      <c r="B2201" s="8" t="s">
        <v>122</v>
      </c>
      <c r="C2201" s="8" t="s">
        <v>3687</v>
      </c>
      <c r="D2201" s="8">
        <v>3</v>
      </c>
      <c r="E2201" s="8" t="s">
        <v>428</v>
      </c>
      <c r="F2201" s="8" t="s">
        <v>378</v>
      </c>
      <c r="G2201" s="8" t="s">
        <v>3688</v>
      </c>
      <c r="H2201" s="10">
        <v>30</v>
      </c>
      <c r="I2201" s="10"/>
      <c r="J2201" s="10">
        <v>30</v>
      </c>
      <c r="K2201" s="10">
        <v>197.69</v>
      </c>
    </row>
    <row r="2202" spans="1:11" x14ac:dyDescent="0.25">
      <c r="A2202" s="8" t="s">
        <v>3755</v>
      </c>
      <c r="B2202" s="8" t="s">
        <v>124</v>
      </c>
      <c r="C2202" s="8" t="s">
        <v>3687</v>
      </c>
      <c r="D2202" s="8">
        <v>3</v>
      </c>
      <c r="E2202" s="8" t="s">
        <v>428</v>
      </c>
      <c r="F2202" s="8" t="s">
        <v>378</v>
      </c>
      <c r="G2202" s="8" t="s">
        <v>3688</v>
      </c>
      <c r="H2202" s="10">
        <v>30</v>
      </c>
      <c r="I2202" s="10"/>
      <c r="J2202" s="10">
        <v>30</v>
      </c>
      <c r="K2202" s="10">
        <v>197.69</v>
      </c>
    </row>
    <row r="2203" spans="1:11" x14ac:dyDescent="0.25">
      <c r="A2203" s="8" t="s">
        <v>3756</v>
      </c>
      <c r="B2203" s="8" t="s">
        <v>78</v>
      </c>
      <c r="C2203" s="8" t="s">
        <v>3687</v>
      </c>
      <c r="D2203" s="8">
        <v>3</v>
      </c>
      <c r="E2203" s="8" t="s">
        <v>428</v>
      </c>
      <c r="F2203" s="8" t="s">
        <v>378</v>
      </c>
      <c r="G2203" s="8" t="s">
        <v>3688</v>
      </c>
      <c r="H2203" s="10">
        <v>30</v>
      </c>
      <c r="I2203" s="10"/>
      <c r="J2203" s="10">
        <v>30</v>
      </c>
      <c r="K2203" s="10">
        <v>197.69</v>
      </c>
    </row>
    <row r="2204" spans="1:11" x14ac:dyDescent="0.25">
      <c r="A2204" s="8" t="s">
        <v>3757</v>
      </c>
      <c r="B2204" s="8" t="s">
        <v>1655</v>
      </c>
      <c r="C2204" s="8" t="s">
        <v>3687</v>
      </c>
      <c r="D2204" s="8">
        <v>3</v>
      </c>
      <c r="E2204" s="8" t="s">
        <v>428</v>
      </c>
      <c r="F2204" s="8" t="s">
        <v>378</v>
      </c>
      <c r="G2204" s="8" t="s">
        <v>3688</v>
      </c>
      <c r="H2204" s="10">
        <v>15</v>
      </c>
      <c r="I2204" s="10"/>
      <c r="J2204" s="10">
        <v>15</v>
      </c>
      <c r="K2204" s="10">
        <v>197.69</v>
      </c>
    </row>
    <row r="2205" spans="1:11" x14ac:dyDescent="0.25">
      <c r="A2205" s="8" t="s">
        <v>3758</v>
      </c>
      <c r="B2205" s="8" t="s">
        <v>128</v>
      </c>
      <c r="C2205" s="8" t="s">
        <v>3687</v>
      </c>
      <c r="D2205" s="8">
        <v>3</v>
      </c>
      <c r="E2205" s="8" t="s">
        <v>428</v>
      </c>
      <c r="F2205" s="8" t="s">
        <v>378</v>
      </c>
      <c r="G2205" s="8" t="s">
        <v>3688</v>
      </c>
      <c r="H2205" s="10">
        <v>15</v>
      </c>
      <c r="I2205" s="10"/>
      <c r="J2205" s="10">
        <v>15</v>
      </c>
      <c r="K2205" s="10">
        <v>197.69</v>
      </c>
    </row>
    <row r="2206" spans="1:11" x14ac:dyDescent="0.25">
      <c r="A2206" s="8" t="s">
        <v>3759</v>
      </c>
      <c r="B2206" s="8" t="s">
        <v>130</v>
      </c>
      <c r="C2206" s="8" t="s">
        <v>3687</v>
      </c>
      <c r="D2206" s="8">
        <v>3</v>
      </c>
      <c r="E2206" s="8" t="s">
        <v>428</v>
      </c>
      <c r="F2206" s="8" t="s">
        <v>378</v>
      </c>
      <c r="G2206" s="8" t="s">
        <v>3688</v>
      </c>
      <c r="H2206" s="10">
        <v>9</v>
      </c>
      <c r="I2206" s="10"/>
      <c r="J2206" s="10">
        <v>9</v>
      </c>
      <c r="K2206" s="10">
        <v>197.69</v>
      </c>
    </row>
    <row r="2207" spans="1:11" x14ac:dyDescent="0.25">
      <c r="A2207" s="8" t="s">
        <v>3760</v>
      </c>
      <c r="B2207" s="8" t="s">
        <v>132</v>
      </c>
      <c r="C2207" s="8" t="s">
        <v>3687</v>
      </c>
      <c r="D2207" s="8">
        <v>3</v>
      </c>
      <c r="E2207" s="8" t="s">
        <v>428</v>
      </c>
      <c r="F2207" s="8" t="s">
        <v>378</v>
      </c>
      <c r="G2207" s="8" t="s">
        <v>3688</v>
      </c>
      <c r="H2207" s="10">
        <v>15</v>
      </c>
      <c r="I2207" s="10"/>
      <c r="J2207" s="10">
        <v>15</v>
      </c>
      <c r="K2207" s="10">
        <v>197.69</v>
      </c>
    </row>
    <row r="2208" spans="1:11" x14ac:dyDescent="0.25">
      <c r="A2208" s="8" t="s">
        <v>3761</v>
      </c>
      <c r="B2208" s="8" t="s">
        <v>134</v>
      </c>
      <c r="C2208" s="8" t="s">
        <v>3687</v>
      </c>
      <c r="D2208" s="8">
        <v>3</v>
      </c>
      <c r="E2208" s="8" t="s">
        <v>428</v>
      </c>
      <c r="F2208" s="8" t="s">
        <v>378</v>
      </c>
      <c r="G2208" s="8" t="s">
        <v>3688</v>
      </c>
      <c r="H2208" s="10">
        <v>30</v>
      </c>
      <c r="I2208" s="10"/>
      <c r="J2208" s="10">
        <v>30</v>
      </c>
      <c r="K2208" s="10">
        <v>197.69</v>
      </c>
    </row>
    <row r="2209" spans="1:11" x14ac:dyDescent="0.25">
      <c r="A2209" s="8" t="s">
        <v>3762</v>
      </c>
      <c r="B2209" s="8" t="s">
        <v>136</v>
      </c>
      <c r="C2209" s="8" t="s">
        <v>3687</v>
      </c>
      <c r="D2209" s="8">
        <v>3</v>
      </c>
      <c r="E2209" s="8" t="s">
        <v>428</v>
      </c>
      <c r="F2209" s="8" t="s">
        <v>378</v>
      </c>
      <c r="G2209" s="8" t="s">
        <v>3688</v>
      </c>
      <c r="H2209" s="10">
        <v>15</v>
      </c>
      <c r="I2209" s="10"/>
      <c r="J2209" s="10">
        <v>15</v>
      </c>
      <c r="K2209" s="10">
        <v>197.69</v>
      </c>
    </row>
    <row r="2210" spans="1:11" x14ac:dyDescent="0.25">
      <c r="A2210" s="8" t="s">
        <v>3763</v>
      </c>
      <c r="B2210" s="8" t="s">
        <v>1689</v>
      </c>
      <c r="C2210" s="8" t="s">
        <v>3687</v>
      </c>
      <c r="D2210" s="8">
        <v>3</v>
      </c>
      <c r="E2210" s="8" t="s">
        <v>428</v>
      </c>
      <c r="F2210" s="8" t="s">
        <v>378</v>
      </c>
      <c r="G2210" s="8" t="s">
        <v>3688</v>
      </c>
      <c r="H2210" s="10">
        <v>9</v>
      </c>
      <c r="I2210" s="10"/>
      <c r="J2210" s="10">
        <v>9</v>
      </c>
      <c r="K2210" s="10">
        <v>197.69</v>
      </c>
    </row>
    <row r="2211" spans="1:11" x14ac:dyDescent="0.25">
      <c r="A2211" s="8" t="s">
        <v>3764</v>
      </c>
      <c r="B2211" s="8" t="s">
        <v>138</v>
      </c>
      <c r="C2211" s="8" t="s">
        <v>3687</v>
      </c>
      <c r="D2211" s="8">
        <v>3</v>
      </c>
      <c r="E2211" s="8" t="s">
        <v>428</v>
      </c>
      <c r="F2211" s="8" t="s">
        <v>378</v>
      </c>
      <c r="G2211" s="8" t="s">
        <v>3688</v>
      </c>
      <c r="H2211" s="10">
        <v>9</v>
      </c>
      <c r="I2211" s="10"/>
      <c r="J2211" s="10">
        <v>9</v>
      </c>
      <c r="K2211" s="10">
        <v>197.69</v>
      </c>
    </row>
    <row r="2212" spans="1:11" x14ac:dyDescent="0.25">
      <c r="A2212" s="8" t="s">
        <v>3765</v>
      </c>
      <c r="B2212" s="8" t="s">
        <v>80</v>
      </c>
      <c r="C2212" s="8" t="s">
        <v>3687</v>
      </c>
      <c r="D2212" s="8">
        <v>3</v>
      </c>
      <c r="E2212" s="8" t="s">
        <v>428</v>
      </c>
      <c r="F2212" s="8" t="s">
        <v>378</v>
      </c>
      <c r="G2212" s="8" t="s">
        <v>3688</v>
      </c>
      <c r="H2212" s="10">
        <v>15</v>
      </c>
      <c r="I2212" s="10"/>
      <c r="J2212" s="10">
        <v>15</v>
      </c>
      <c r="K2212" s="10">
        <v>197.69</v>
      </c>
    </row>
    <row r="2213" spans="1:11" x14ac:dyDescent="0.25">
      <c r="A2213" s="8" t="s">
        <v>3766</v>
      </c>
      <c r="B2213" s="8" t="s">
        <v>116</v>
      </c>
      <c r="C2213" s="8" t="s">
        <v>3687</v>
      </c>
      <c r="D2213" s="8">
        <v>3</v>
      </c>
      <c r="E2213" s="8" t="s">
        <v>431</v>
      </c>
      <c r="F2213" s="8" t="s">
        <v>378</v>
      </c>
      <c r="G2213" s="8" t="s">
        <v>3688</v>
      </c>
      <c r="H2213" s="10">
        <v>15</v>
      </c>
      <c r="I2213" s="10"/>
      <c r="J2213" s="10">
        <v>15</v>
      </c>
      <c r="K2213" s="10">
        <v>216</v>
      </c>
    </row>
    <row r="2214" spans="1:11" x14ac:dyDescent="0.25">
      <c r="A2214" s="8" t="s">
        <v>3767</v>
      </c>
      <c r="B2214" s="8" t="s">
        <v>116</v>
      </c>
      <c r="C2214" s="8" t="s">
        <v>3687</v>
      </c>
      <c r="D2214" s="8">
        <v>3</v>
      </c>
      <c r="E2214" s="8" t="s">
        <v>431</v>
      </c>
      <c r="F2214" s="8" t="s">
        <v>378</v>
      </c>
      <c r="G2214" s="8" t="s">
        <v>3688</v>
      </c>
      <c r="H2214" s="10">
        <v>9</v>
      </c>
      <c r="I2214" s="10"/>
      <c r="J2214" s="10">
        <v>9</v>
      </c>
      <c r="K2214" s="10">
        <v>216</v>
      </c>
    </row>
    <row r="2215" spans="1:11" x14ac:dyDescent="0.25">
      <c r="A2215" s="8" t="s">
        <v>3768</v>
      </c>
      <c r="B2215" s="8" t="s">
        <v>118</v>
      </c>
      <c r="C2215" s="8" t="s">
        <v>3687</v>
      </c>
      <c r="D2215" s="8">
        <v>3</v>
      </c>
      <c r="E2215" s="8" t="s">
        <v>431</v>
      </c>
      <c r="F2215" s="8" t="s">
        <v>378</v>
      </c>
      <c r="G2215" s="8" t="s">
        <v>3688</v>
      </c>
      <c r="H2215" s="10">
        <v>15</v>
      </c>
      <c r="I2215" s="10"/>
      <c r="J2215" s="10">
        <v>15</v>
      </c>
      <c r="K2215" s="10">
        <v>216</v>
      </c>
    </row>
    <row r="2216" spans="1:11" x14ac:dyDescent="0.25">
      <c r="A2216" s="8" t="s">
        <v>3769</v>
      </c>
      <c r="B2216" s="8" t="s">
        <v>1650</v>
      </c>
      <c r="C2216" s="8" t="s">
        <v>3687</v>
      </c>
      <c r="D2216" s="8">
        <v>3</v>
      </c>
      <c r="E2216" s="8" t="s">
        <v>431</v>
      </c>
      <c r="F2216" s="8" t="s">
        <v>378</v>
      </c>
      <c r="G2216" s="8" t="s">
        <v>3688</v>
      </c>
      <c r="H2216" s="10">
        <v>15</v>
      </c>
      <c r="I2216" s="10"/>
      <c r="J2216" s="10">
        <v>15</v>
      </c>
      <c r="K2216" s="10">
        <v>216</v>
      </c>
    </row>
    <row r="2217" spans="1:11" x14ac:dyDescent="0.25">
      <c r="A2217" s="8" t="s">
        <v>3770</v>
      </c>
      <c r="B2217" s="8" t="s">
        <v>120</v>
      </c>
      <c r="C2217" s="8" t="s">
        <v>3687</v>
      </c>
      <c r="D2217" s="8">
        <v>3</v>
      </c>
      <c r="E2217" s="8" t="s">
        <v>431</v>
      </c>
      <c r="F2217" s="8" t="s">
        <v>378</v>
      </c>
      <c r="G2217" s="8" t="s">
        <v>3688</v>
      </c>
      <c r="H2217" s="10">
        <v>15</v>
      </c>
      <c r="I2217" s="10"/>
      <c r="J2217" s="10">
        <v>15</v>
      </c>
      <c r="K2217" s="10">
        <v>216</v>
      </c>
    </row>
    <row r="2218" spans="1:11" x14ac:dyDescent="0.25">
      <c r="A2218" s="8" t="s">
        <v>3771</v>
      </c>
      <c r="B2218" s="8" t="s">
        <v>120</v>
      </c>
      <c r="C2218" s="8" t="s">
        <v>3687</v>
      </c>
      <c r="D2218" s="8">
        <v>3</v>
      </c>
      <c r="E2218" s="8" t="s">
        <v>431</v>
      </c>
      <c r="F2218" s="8" t="s">
        <v>378</v>
      </c>
      <c r="G2218" s="8" t="s">
        <v>3688</v>
      </c>
      <c r="H2218" s="10">
        <v>15</v>
      </c>
      <c r="I2218" s="10"/>
      <c r="J2218" s="10">
        <v>15</v>
      </c>
      <c r="K2218" s="10">
        <v>216</v>
      </c>
    </row>
    <row r="2219" spans="1:11" x14ac:dyDescent="0.25">
      <c r="A2219" s="8" t="s">
        <v>3772</v>
      </c>
      <c r="B2219" s="8" t="s">
        <v>122</v>
      </c>
      <c r="C2219" s="8" t="s">
        <v>3687</v>
      </c>
      <c r="D2219" s="8">
        <v>3</v>
      </c>
      <c r="E2219" s="8" t="s">
        <v>431</v>
      </c>
      <c r="F2219" s="8" t="s">
        <v>378</v>
      </c>
      <c r="G2219" s="8" t="s">
        <v>3688</v>
      </c>
      <c r="H2219" s="10">
        <v>90</v>
      </c>
      <c r="I2219" s="10"/>
      <c r="J2219" s="10">
        <v>90</v>
      </c>
      <c r="K2219" s="10">
        <v>216</v>
      </c>
    </row>
    <row r="2220" spans="1:11" x14ac:dyDescent="0.25">
      <c r="A2220" s="8" t="s">
        <v>3773</v>
      </c>
      <c r="B2220" s="8" t="s">
        <v>124</v>
      </c>
      <c r="C2220" s="8" t="s">
        <v>3687</v>
      </c>
      <c r="D2220" s="8">
        <v>3</v>
      </c>
      <c r="E2220" s="8" t="s">
        <v>431</v>
      </c>
      <c r="F2220" s="8" t="s">
        <v>378</v>
      </c>
      <c r="G2220" s="8" t="s">
        <v>3688</v>
      </c>
      <c r="H2220" s="10">
        <v>90</v>
      </c>
      <c r="I2220" s="10"/>
      <c r="J2220" s="10">
        <v>90</v>
      </c>
      <c r="K2220" s="10">
        <v>216</v>
      </c>
    </row>
    <row r="2221" spans="1:11" x14ac:dyDescent="0.25">
      <c r="A2221" s="8" t="s">
        <v>3774</v>
      </c>
      <c r="B2221" s="8" t="s">
        <v>78</v>
      </c>
      <c r="C2221" s="8" t="s">
        <v>3687</v>
      </c>
      <c r="D2221" s="8">
        <v>3</v>
      </c>
      <c r="E2221" s="8" t="s">
        <v>431</v>
      </c>
      <c r="F2221" s="8" t="s">
        <v>378</v>
      </c>
      <c r="G2221" s="8" t="s">
        <v>3688</v>
      </c>
      <c r="H2221" s="10">
        <v>15</v>
      </c>
      <c r="I2221" s="10"/>
      <c r="J2221" s="10">
        <v>15</v>
      </c>
      <c r="K2221" s="10">
        <v>216</v>
      </c>
    </row>
    <row r="2222" spans="1:11" x14ac:dyDescent="0.25">
      <c r="A2222" s="8" t="s">
        <v>3775</v>
      </c>
      <c r="B2222" s="8" t="s">
        <v>1655</v>
      </c>
      <c r="C2222" s="8" t="s">
        <v>3687</v>
      </c>
      <c r="D2222" s="8">
        <v>3</v>
      </c>
      <c r="E2222" s="8" t="s">
        <v>431</v>
      </c>
      <c r="F2222" s="8" t="s">
        <v>378</v>
      </c>
      <c r="G2222" s="8" t="s">
        <v>3688</v>
      </c>
      <c r="H2222" s="10">
        <v>15</v>
      </c>
      <c r="I2222" s="10"/>
      <c r="J2222" s="10">
        <v>15</v>
      </c>
      <c r="K2222" s="10">
        <v>216</v>
      </c>
    </row>
    <row r="2223" spans="1:11" x14ac:dyDescent="0.25">
      <c r="A2223" s="8" t="s">
        <v>3776</v>
      </c>
      <c r="B2223" s="8" t="s">
        <v>128</v>
      </c>
      <c r="C2223" s="8" t="s">
        <v>3687</v>
      </c>
      <c r="D2223" s="8">
        <v>3</v>
      </c>
      <c r="E2223" s="8" t="s">
        <v>431</v>
      </c>
      <c r="F2223" s="8" t="s">
        <v>378</v>
      </c>
      <c r="G2223" s="8" t="s">
        <v>3688</v>
      </c>
      <c r="H2223" s="10">
        <v>9</v>
      </c>
      <c r="I2223" s="10"/>
      <c r="J2223" s="10">
        <v>9</v>
      </c>
      <c r="K2223" s="10">
        <v>216</v>
      </c>
    </row>
    <row r="2224" spans="1:11" x14ac:dyDescent="0.25">
      <c r="A2224" s="8" t="s">
        <v>3777</v>
      </c>
      <c r="B2224" s="8" t="s">
        <v>949</v>
      </c>
      <c r="C2224" s="8" t="s">
        <v>3687</v>
      </c>
      <c r="D2224" s="8">
        <v>3</v>
      </c>
      <c r="E2224" s="8" t="s">
        <v>431</v>
      </c>
      <c r="F2224" s="8" t="s">
        <v>378</v>
      </c>
      <c r="G2224" s="8" t="s">
        <v>3688</v>
      </c>
      <c r="H2224" s="10">
        <v>15</v>
      </c>
      <c r="I2224" s="10"/>
      <c r="J2224" s="10">
        <v>15</v>
      </c>
      <c r="K2224" s="10">
        <v>216</v>
      </c>
    </row>
    <row r="2225" spans="1:11" x14ac:dyDescent="0.25">
      <c r="A2225" s="8" t="s">
        <v>3778</v>
      </c>
      <c r="B2225" s="8" t="s">
        <v>132</v>
      </c>
      <c r="C2225" s="8" t="s">
        <v>3687</v>
      </c>
      <c r="D2225" s="8">
        <v>3</v>
      </c>
      <c r="E2225" s="8" t="s">
        <v>431</v>
      </c>
      <c r="F2225" s="8" t="s">
        <v>378</v>
      </c>
      <c r="G2225" s="8" t="s">
        <v>3688</v>
      </c>
      <c r="H2225" s="10">
        <v>9</v>
      </c>
      <c r="I2225" s="10"/>
      <c r="J2225" s="10">
        <v>9</v>
      </c>
      <c r="K2225" s="10">
        <v>216</v>
      </c>
    </row>
    <row r="2226" spans="1:11" x14ac:dyDescent="0.25">
      <c r="A2226" s="8" t="s">
        <v>3779</v>
      </c>
      <c r="B2226" s="8" t="s">
        <v>134</v>
      </c>
      <c r="C2226" s="8" t="s">
        <v>3687</v>
      </c>
      <c r="D2226" s="8">
        <v>3</v>
      </c>
      <c r="E2226" s="8" t="s">
        <v>431</v>
      </c>
      <c r="F2226" s="8" t="s">
        <v>378</v>
      </c>
      <c r="G2226" s="8" t="s">
        <v>3688</v>
      </c>
      <c r="H2226" s="10">
        <v>15</v>
      </c>
      <c r="I2226" s="10"/>
      <c r="J2226" s="10">
        <v>15</v>
      </c>
      <c r="K2226" s="10">
        <v>216</v>
      </c>
    </row>
    <row r="2227" spans="1:11" x14ac:dyDescent="0.25">
      <c r="A2227" s="8" t="s">
        <v>3780</v>
      </c>
      <c r="B2227" s="8" t="s">
        <v>136</v>
      </c>
      <c r="C2227" s="8" t="s">
        <v>3687</v>
      </c>
      <c r="D2227" s="8">
        <v>3</v>
      </c>
      <c r="E2227" s="8" t="s">
        <v>431</v>
      </c>
      <c r="F2227" s="8" t="s">
        <v>378</v>
      </c>
      <c r="G2227" s="8" t="s">
        <v>3688</v>
      </c>
      <c r="H2227" s="10">
        <v>15</v>
      </c>
      <c r="I2227" s="10"/>
      <c r="J2227" s="10">
        <v>15</v>
      </c>
      <c r="K2227" s="10">
        <v>216</v>
      </c>
    </row>
    <row r="2228" spans="1:11" x14ac:dyDescent="0.25">
      <c r="A2228" s="8" t="s">
        <v>3781</v>
      </c>
      <c r="B2228" s="8" t="s">
        <v>138</v>
      </c>
      <c r="C2228" s="8" t="s">
        <v>3687</v>
      </c>
      <c r="D2228" s="8">
        <v>3</v>
      </c>
      <c r="E2228" s="8" t="s">
        <v>431</v>
      </c>
      <c r="F2228" s="8" t="s">
        <v>378</v>
      </c>
      <c r="G2228" s="8" t="s">
        <v>3688</v>
      </c>
      <c r="H2228" s="10">
        <v>15</v>
      </c>
      <c r="I2228" s="10"/>
      <c r="J2228" s="10">
        <v>15</v>
      </c>
      <c r="K2228" s="10">
        <v>216</v>
      </c>
    </row>
    <row r="2229" spans="1:11" x14ac:dyDescent="0.25">
      <c r="A2229" s="8" t="s">
        <v>3782</v>
      </c>
      <c r="B2229" s="8" t="s">
        <v>80</v>
      </c>
      <c r="C2229" s="8" t="s">
        <v>3687</v>
      </c>
      <c r="D2229" s="8">
        <v>3</v>
      </c>
      <c r="E2229" s="8" t="s">
        <v>431</v>
      </c>
      <c r="F2229" s="8" t="s">
        <v>378</v>
      </c>
      <c r="G2229" s="8" t="s">
        <v>3688</v>
      </c>
      <c r="H2229" s="10">
        <v>15</v>
      </c>
      <c r="I2229" s="10"/>
      <c r="J2229" s="10">
        <v>15</v>
      </c>
      <c r="K2229" s="10">
        <v>216</v>
      </c>
    </row>
    <row r="2230" spans="1:11" x14ac:dyDescent="0.25">
      <c r="A2230" s="8" t="s">
        <v>3783</v>
      </c>
      <c r="B2230" s="8" t="s">
        <v>118</v>
      </c>
      <c r="C2230" s="8" t="s">
        <v>3687</v>
      </c>
      <c r="D2230" s="8">
        <v>3</v>
      </c>
      <c r="E2230" s="8" t="s">
        <v>434</v>
      </c>
      <c r="F2230" s="8" t="s">
        <v>378</v>
      </c>
      <c r="G2230" s="8" t="s">
        <v>3688</v>
      </c>
      <c r="H2230" s="10">
        <v>9</v>
      </c>
      <c r="I2230" s="10"/>
      <c r="J2230" s="10">
        <v>9</v>
      </c>
      <c r="K2230" s="10">
        <v>234.32</v>
      </c>
    </row>
    <row r="2231" spans="1:11" x14ac:dyDescent="0.25">
      <c r="A2231" s="8" t="s">
        <v>3784</v>
      </c>
      <c r="B2231" s="8" t="s">
        <v>1650</v>
      </c>
      <c r="C2231" s="8" t="s">
        <v>3687</v>
      </c>
      <c r="D2231" s="8">
        <v>3</v>
      </c>
      <c r="E2231" s="8" t="s">
        <v>434</v>
      </c>
      <c r="F2231" s="8" t="s">
        <v>378</v>
      </c>
      <c r="G2231" s="8" t="s">
        <v>3688</v>
      </c>
      <c r="H2231" s="10">
        <v>15</v>
      </c>
      <c r="I2231" s="10"/>
      <c r="J2231" s="10">
        <v>15</v>
      </c>
      <c r="K2231" s="10">
        <v>234.32</v>
      </c>
    </row>
    <row r="2232" spans="1:11" x14ac:dyDescent="0.25">
      <c r="A2232" s="8" t="s">
        <v>3785</v>
      </c>
      <c r="B2232" s="8" t="s">
        <v>120</v>
      </c>
      <c r="C2232" s="8" t="s">
        <v>3687</v>
      </c>
      <c r="D2232" s="8">
        <v>3</v>
      </c>
      <c r="E2232" s="8" t="s">
        <v>434</v>
      </c>
      <c r="F2232" s="8" t="s">
        <v>378</v>
      </c>
      <c r="G2232" s="8" t="s">
        <v>3688</v>
      </c>
      <c r="H2232" s="10">
        <v>15</v>
      </c>
      <c r="I2232" s="10"/>
      <c r="J2232" s="10">
        <v>15</v>
      </c>
      <c r="K2232" s="10">
        <v>234.32</v>
      </c>
    </row>
    <row r="2233" spans="1:11" x14ac:dyDescent="0.25">
      <c r="A2233" s="8" t="s">
        <v>3786</v>
      </c>
      <c r="B2233" s="8" t="s">
        <v>120</v>
      </c>
      <c r="C2233" s="8" t="s">
        <v>3687</v>
      </c>
      <c r="D2233" s="8">
        <v>3</v>
      </c>
      <c r="E2233" s="8" t="s">
        <v>434</v>
      </c>
      <c r="F2233" s="8" t="s">
        <v>378</v>
      </c>
      <c r="G2233" s="8" t="s">
        <v>3688</v>
      </c>
      <c r="H2233" s="10">
        <v>15</v>
      </c>
      <c r="I2233" s="10"/>
      <c r="J2233" s="10">
        <v>15</v>
      </c>
      <c r="K2233" s="10">
        <v>234.32</v>
      </c>
    </row>
    <row r="2234" spans="1:11" x14ac:dyDescent="0.25">
      <c r="A2234" s="8" t="s">
        <v>3787</v>
      </c>
      <c r="B2234" s="8" t="s">
        <v>122</v>
      </c>
      <c r="C2234" s="8" t="s">
        <v>3687</v>
      </c>
      <c r="D2234" s="8">
        <v>3</v>
      </c>
      <c r="E2234" s="8" t="s">
        <v>434</v>
      </c>
      <c r="F2234" s="8" t="s">
        <v>378</v>
      </c>
      <c r="G2234" s="8" t="s">
        <v>3688</v>
      </c>
      <c r="H2234" s="10">
        <v>15</v>
      </c>
      <c r="I2234" s="10"/>
      <c r="J2234" s="10">
        <v>15</v>
      </c>
      <c r="K2234" s="10">
        <v>234.32</v>
      </c>
    </row>
    <row r="2235" spans="1:11" x14ac:dyDescent="0.25">
      <c r="A2235" s="8" t="s">
        <v>3788</v>
      </c>
      <c r="B2235" s="8" t="s">
        <v>124</v>
      </c>
      <c r="C2235" s="8" t="s">
        <v>3687</v>
      </c>
      <c r="D2235" s="8">
        <v>3</v>
      </c>
      <c r="E2235" s="8" t="s">
        <v>434</v>
      </c>
      <c r="F2235" s="8" t="s">
        <v>378</v>
      </c>
      <c r="G2235" s="8" t="s">
        <v>3688</v>
      </c>
      <c r="H2235" s="10">
        <v>15</v>
      </c>
      <c r="I2235" s="10"/>
      <c r="J2235" s="10">
        <v>15</v>
      </c>
      <c r="K2235" s="10">
        <v>234.32</v>
      </c>
    </row>
    <row r="2236" spans="1:11" x14ac:dyDescent="0.25">
      <c r="A2236" s="8" t="s">
        <v>3789</v>
      </c>
      <c r="B2236" s="8" t="s">
        <v>78</v>
      </c>
      <c r="C2236" s="8" t="s">
        <v>3687</v>
      </c>
      <c r="D2236" s="8">
        <v>3</v>
      </c>
      <c r="E2236" s="8" t="s">
        <v>434</v>
      </c>
      <c r="F2236" s="8" t="s">
        <v>378</v>
      </c>
      <c r="G2236" s="8" t="s">
        <v>3688</v>
      </c>
      <c r="H2236" s="10">
        <v>15</v>
      </c>
      <c r="I2236" s="10"/>
      <c r="J2236" s="10">
        <v>15</v>
      </c>
      <c r="K2236" s="10">
        <v>234.32</v>
      </c>
    </row>
    <row r="2237" spans="1:11" x14ac:dyDescent="0.25">
      <c r="A2237" s="8" t="s">
        <v>3790</v>
      </c>
      <c r="B2237" s="8" t="s">
        <v>1655</v>
      </c>
      <c r="C2237" s="8" t="s">
        <v>3687</v>
      </c>
      <c r="D2237" s="8">
        <v>3</v>
      </c>
      <c r="E2237" s="8" t="s">
        <v>434</v>
      </c>
      <c r="F2237" s="8" t="s">
        <v>378</v>
      </c>
      <c r="G2237" s="8" t="s">
        <v>3688</v>
      </c>
      <c r="H2237" s="10">
        <v>15</v>
      </c>
      <c r="I2237" s="10"/>
      <c r="J2237" s="10">
        <v>15</v>
      </c>
      <c r="K2237" s="10">
        <v>234.32</v>
      </c>
    </row>
    <row r="2238" spans="1:11" x14ac:dyDescent="0.25">
      <c r="A2238" s="8" t="s">
        <v>3791</v>
      </c>
      <c r="B2238" s="8" t="s">
        <v>128</v>
      </c>
      <c r="C2238" s="8" t="s">
        <v>3687</v>
      </c>
      <c r="D2238" s="8">
        <v>3</v>
      </c>
      <c r="E2238" s="8" t="s">
        <v>434</v>
      </c>
      <c r="F2238" s="8" t="s">
        <v>378</v>
      </c>
      <c r="G2238" s="8" t="s">
        <v>3688</v>
      </c>
      <c r="H2238" s="10">
        <v>9</v>
      </c>
      <c r="I2238" s="10"/>
      <c r="J2238" s="10">
        <v>9</v>
      </c>
      <c r="K2238" s="10">
        <v>234.32</v>
      </c>
    </row>
    <row r="2239" spans="1:11" x14ac:dyDescent="0.25">
      <c r="A2239" s="8" t="s">
        <v>3792</v>
      </c>
      <c r="B2239" s="8" t="s">
        <v>132</v>
      </c>
      <c r="C2239" s="8" t="s">
        <v>3687</v>
      </c>
      <c r="D2239" s="8">
        <v>3</v>
      </c>
      <c r="E2239" s="8" t="s">
        <v>434</v>
      </c>
      <c r="F2239" s="8" t="s">
        <v>378</v>
      </c>
      <c r="G2239" s="8" t="s">
        <v>3688</v>
      </c>
      <c r="H2239" s="10">
        <v>9</v>
      </c>
      <c r="I2239" s="10"/>
      <c r="J2239" s="10">
        <v>9</v>
      </c>
      <c r="K2239" s="10">
        <v>234.32</v>
      </c>
    </row>
    <row r="2240" spans="1:11" x14ac:dyDescent="0.25">
      <c r="A2240" s="8" t="s">
        <v>3793</v>
      </c>
      <c r="B2240" s="8" t="s">
        <v>134</v>
      </c>
      <c r="C2240" s="8" t="s">
        <v>3687</v>
      </c>
      <c r="D2240" s="8">
        <v>3</v>
      </c>
      <c r="E2240" s="8" t="s">
        <v>434</v>
      </c>
      <c r="F2240" s="8" t="s">
        <v>378</v>
      </c>
      <c r="G2240" s="8" t="s">
        <v>3688</v>
      </c>
      <c r="H2240" s="10">
        <v>15</v>
      </c>
      <c r="I2240" s="10"/>
      <c r="J2240" s="10">
        <v>15</v>
      </c>
      <c r="K2240" s="10">
        <v>234.32</v>
      </c>
    </row>
    <row r="2241" spans="1:11" x14ac:dyDescent="0.25">
      <c r="A2241" s="8" t="s">
        <v>3794</v>
      </c>
      <c r="B2241" s="8" t="s">
        <v>136</v>
      </c>
      <c r="C2241" s="8" t="s">
        <v>3687</v>
      </c>
      <c r="D2241" s="8">
        <v>3</v>
      </c>
      <c r="E2241" s="8" t="s">
        <v>434</v>
      </c>
      <c r="F2241" s="8" t="s">
        <v>378</v>
      </c>
      <c r="G2241" s="8" t="s">
        <v>3688</v>
      </c>
      <c r="H2241" s="10">
        <v>15</v>
      </c>
      <c r="I2241" s="10"/>
      <c r="J2241" s="10">
        <v>15</v>
      </c>
      <c r="K2241" s="10">
        <v>234.32</v>
      </c>
    </row>
    <row r="2242" spans="1:11" x14ac:dyDescent="0.25">
      <c r="A2242" s="8" t="s">
        <v>3795</v>
      </c>
      <c r="B2242" s="8" t="s">
        <v>3376</v>
      </c>
      <c r="C2242" s="8" t="s">
        <v>3687</v>
      </c>
      <c r="D2242" s="8">
        <v>3</v>
      </c>
      <c r="E2242" s="8" t="s">
        <v>434</v>
      </c>
      <c r="F2242" s="8" t="s">
        <v>378</v>
      </c>
      <c r="G2242" s="8" t="s">
        <v>3688</v>
      </c>
      <c r="H2242" s="10">
        <v>12</v>
      </c>
      <c r="I2242" s="10"/>
      <c r="J2242" s="10">
        <v>12</v>
      </c>
      <c r="K2242" s="10">
        <v>234.32</v>
      </c>
    </row>
    <row r="2243" spans="1:11" x14ac:dyDescent="0.25">
      <c r="A2243" s="8" t="s">
        <v>3796</v>
      </c>
      <c r="B2243" s="8" t="s">
        <v>3378</v>
      </c>
      <c r="C2243" s="8" t="s">
        <v>3687</v>
      </c>
      <c r="D2243" s="8">
        <v>3</v>
      </c>
      <c r="E2243" s="8" t="s">
        <v>434</v>
      </c>
      <c r="F2243" s="8" t="s">
        <v>378</v>
      </c>
      <c r="G2243" s="8" t="s">
        <v>3688</v>
      </c>
      <c r="H2243" s="10">
        <v>12</v>
      </c>
      <c r="I2243" s="10"/>
      <c r="J2243" s="10">
        <v>12</v>
      </c>
      <c r="K2243" s="10">
        <v>234.32</v>
      </c>
    </row>
    <row r="2244" spans="1:11" x14ac:dyDescent="0.25">
      <c r="A2244" s="8" t="s">
        <v>3797</v>
      </c>
      <c r="B2244" s="8" t="s">
        <v>2732</v>
      </c>
      <c r="C2244" s="8" t="s">
        <v>3687</v>
      </c>
      <c r="D2244" s="8">
        <v>3</v>
      </c>
      <c r="E2244" s="8" t="s">
        <v>434</v>
      </c>
      <c r="F2244" s="8" t="s">
        <v>378</v>
      </c>
      <c r="G2244" s="8" t="s">
        <v>3688</v>
      </c>
      <c r="H2244" s="10">
        <v>12</v>
      </c>
      <c r="I2244" s="10"/>
      <c r="J2244" s="10">
        <v>12</v>
      </c>
      <c r="K2244" s="10">
        <v>234.32</v>
      </c>
    </row>
    <row r="2245" spans="1:11" x14ac:dyDescent="0.25">
      <c r="A2245" s="8" t="s">
        <v>3798</v>
      </c>
      <c r="B2245" s="8" t="s">
        <v>2074</v>
      </c>
      <c r="C2245" s="8" t="s">
        <v>3687</v>
      </c>
      <c r="D2245" s="8">
        <v>3</v>
      </c>
      <c r="E2245" s="8" t="s">
        <v>434</v>
      </c>
      <c r="F2245" s="8" t="s">
        <v>378</v>
      </c>
      <c r="G2245" s="8" t="s">
        <v>3688</v>
      </c>
      <c r="H2245" s="10">
        <v>12</v>
      </c>
      <c r="I2245" s="10"/>
      <c r="J2245" s="10">
        <v>12</v>
      </c>
      <c r="K2245" s="10">
        <v>234.32</v>
      </c>
    </row>
    <row r="2246" spans="1:11" x14ac:dyDescent="0.25">
      <c r="A2246" s="8" t="s">
        <v>3799</v>
      </c>
      <c r="B2246" s="8" t="s">
        <v>263</v>
      </c>
      <c r="C2246" s="8" t="s">
        <v>3361</v>
      </c>
      <c r="D2246" s="8">
        <v>4</v>
      </c>
      <c r="E2246" s="8" t="s">
        <v>418</v>
      </c>
      <c r="F2246" s="8" t="s">
        <v>378</v>
      </c>
      <c r="G2246" s="8" t="s">
        <v>3800</v>
      </c>
      <c r="H2246" s="10">
        <v>21</v>
      </c>
      <c r="I2246" s="10"/>
      <c r="J2246" s="10">
        <v>21</v>
      </c>
      <c r="K2246" s="10">
        <v>168.01</v>
      </c>
    </row>
    <row r="2247" spans="1:11" x14ac:dyDescent="0.25">
      <c r="A2247" s="8" t="s">
        <v>3801</v>
      </c>
      <c r="B2247" s="8" t="s">
        <v>269</v>
      </c>
      <c r="C2247" s="8" t="s">
        <v>3361</v>
      </c>
      <c r="D2247" s="8">
        <v>4</v>
      </c>
      <c r="E2247" s="8" t="s">
        <v>418</v>
      </c>
      <c r="F2247" s="8" t="s">
        <v>378</v>
      </c>
      <c r="G2247" s="8" t="s">
        <v>3800</v>
      </c>
      <c r="H2247" s="10">
        <v>21</v>
      </c>
      <c r="I2247" s="10"/>
      <c r="J2247" s="10">
        <v>21</v>
      </c>
      <c r="K2247" s="10">
        <v>168.01</v>
      </c>
    </row>
    <row r="2248" spans="1:11" x14ac:dyDescent="0.25">
      <c r="A2248" s="8" t="s">
        <v>3802</v>
      </c>
      <c r="B2248" s="8" t="s">
        <v>263</v>
      </c>
      <c r="C2248" s="8" t="s">
        <v>3361</v>
      </c>
      <c r="D2248" s="8">
        <v>4</v>
      </c>
      <c r="E2248" s="8" t="s">
        <v>425</v>
      </c>
      <c r="F2248" s="8" t="s">
        <v>378</v>
      </c>
      <c r="G2248" s="8" t="s">
        <v>3800</v>
      </c>
      <c r="H2248" s="10">
        <v>12</v>
      </c>
      <c r="I2248" s="10"/>
      <c r="J2248" s="10">
        <v>12</v>
      </c>
      <c r="K2248" s="10">
        <v>179.85</v>
      </c>
    </row>
    <row r="2249" spans="1:11" x14ac:dyDescent="0.25">
      <c r="A2249" s="8" t="s">
        <v>3803</v>
      </c>
      <c r="B2249" s="8" t="s">
        <v>269</v>
      </c>
      <c r="C2249" s="8" t="s">
        <v>3361</v>
      </c>
      <c r="D2249" s="8">
        <v>4</v>
      </c>
      <c r="E2249" s="8" t="s">
        <v>425</v>
      </c>
      <c r="F2249" s="8" t="s">
        <v>378</v>
      </c>
      <c r="G2249" s="8" t="s">
        <v>3800</v>
      </c>
      <c r="H2249" s="10">
        <v>12</v>
      </c>
      <c r="I2249" s="10"/>
      <c r="J2249" s="10">
        <v>12</v>
      </c>
      <c r="K2249" s="10">
        <v>179.85</v>
      </c>
    </row>
    <row r="2250" spans="1:11" x14ac:dyDescent="0.25">
      <c r="A2250" s="8" t="s">
        <v>3804</v>
      </c>
      <c r="B2250" s="8" t="s">
        <v>116</v>
      </c>
      <c r="C2250" s="8" t="s">
        <v>3687</v>
      </c>
      <c r="D2250" s="8">
        <v>3</v>
      </c>
      <c r="E2250" s="8" t="s">
        <v>437</v>
      </c>
      <c r="F2250" s="8" t="s">
        <v>378</v>
      </c>
      <c r="G2250" s="8" t="s">
        <v>3688</v>
      </c>
      <c r="H2250" s="10">
        <v>30</v>
      </c>
      <c r="I2250" s="10"/>
      <c r="J2250" s="10">
        <v>30</v>
      </c>
      <c r="K2250" s="10">
        <v>170.22</v>
      </c>
    </row>
    <row r="2251" spans="1:11" x14ac:dyDescent="0.25">
      <c r="A2251" s="8" t="s">
        <v>3805</v>
      </c>
      <c r="B2251" s="8" t="s">
        <v>118</v>
      </c>
      <c r="C2251" s="8" t="s">
        <v>3687</v>
      </c>
      <c r="D2251" s="8">
        <v>3</v>
      </c>
      <c r="E2251" s="8" t="s">
        <v>437</v>
      </c>
      <c r="F2251" s="8" t="s">
        <v>378</v>
      </c>
      <c r="G2251" s="8" t="s">
        <v>3688</v>
      </c>
      <c r="H2251" s="10">
        <v>70</v>
      </c>
      <c r="I2251" s="10"/>
      <c r="J2251" s="10">
        <v>70</v>
      </c>
      <c r="K2251" s="10">
        <v>170.22</v>
      </c>
    </row>
    <row r="2252" spans="1:11" x14ac:dyDescent="0.25">
      <c r="A2252" s="8" t="s">
        <v>3806</v>
      </c>
      <c r="B2252" s="8" t="s">
        <v>1650</v>
      </c>
      <c r="C2252" s="8" t="s">
        <v>3687</v>
      </c>
      <c r="D2252" s="8">
        <v>3</v>
      </c>
      <c r="E2252" s="8" t="s">
        <v>437</v>
      </c>
      <c r="F2252" s="8" t="s">
        <v>378</v>
      </c>
      <c r="G2252" s="8" t="s">
        <v>3688</v>
      </c>
      <c r="H2252" s="10">
        <v>12</v>
      </c>
      <c r="I2252" s="10"/>
      <c r="J2252" s="10">
        <v>12</v>
      </c>
      <c r="K2252" s="10">
        <v>170.22</v>
      </c>
    </row>
    <row r="2253" spans="1:11" x14ac:dyDescent="0.25">
      <c r="A2253" s="8" t="s">
        <v>3807</v>
      </c>
      <c r="B2253" s="8" t="s">
        <v>120</v>
      </c>
      <c r="C2253" s="8" t="s">
        <v>3687</v>
      </c>
      <c r="D2253" s="8">
        <v>3</v>
      </c>
      <c r="E2253" s="8" t="s">
        <v>437</v>
      </c>
      <c r="F2253" s="8" t="s">
        <v>378</v>
      </c>
      <c r="G2253" s="8" t="s">
        <v>3688</v>
      </c>
      <c r="H2253" s="10">
        <v>80</v>
      </c>
      <c r="I2253" s="10"/>
      <c r="J2253" s="10">
        <v>80</v>
      </c>
      <c r="K2253" s="10">
        <v>170.22</v>
      </c>
    </row>
    <row r="2254" spans="1:11" x14ac:dyDescent="0.25">
      <c r="A2254" s="8" t="s">
        <v>3808</v>
      </c>
      <c r="B2254" s="8" t="s">
        <v>120</v>
      </c>
      <c r="C2254" s="8" t="s">
        <v>3687</v>
      </c>
      <c r="D2254" s="8">
        <v>3</v>
      </c>
      <c r="E2254" s="8" t="s">
        <v>437</v>
      </c>
      <c r="F2254" s="8" t="s">
        <v>378</v>
      </c>
      <c r="G2254" s="8" t="s">
        <v>3688</v>
      </c>
      <c r="H2254" s="10">
        <v>30</v>
      </c>
      <c r="I2254" s="10"/>
      <c r="J2254" s="10">
        <v>30</v>
      </c>
      <c r="K2254" s="10">
        <v>170.22</v>
      </c>
    </row>
    <row r="2255" spans="1:11" x14ac:dyDescent="0.25">
      <c r="A2255" s="8" t="s">
        <v>3809</v>
      </c>
      <c r="B2255" s="8" t="s">
        <v>122</v>
      </c>
      <c r="C2255" s="8" t="s">
        <v>3687</v>
      </c>
      <c r="D2255" s="8">
        <v>3</v>
      </c>
      <c r="E2255" s="8" t="s">
        <v>437</v>
      </c>
      <c r="F2255" s="8" t="s">
        <v>378</v>
      </c>
      <c r="G2255" s="8" t="s">
        <v>3688</v>
      </c>
      <c r="H2255" s="10">
        <v>150</v>
      </c>
      <c r="I2255" s="10"/>
      <c r="J2255" s="10">
        <v>150</v>
      </c>
      <c r="K2255" s="10">
        <v>170.22</v>
      </c>
    </row>
    <row r="2256" spans="1:11" x14ac:dyDescent="0.25">
      <c r="A2256" s="8" t="s">
        <v>3810</v>
      </c>
      <c r="B2256" s="8" t="s">
        <v>124</v>
      </c>
      <c r="C2256" s="8" t="s">
        <v>3687</v>
      </c>
      <c r="D2256" s="8">
        <v>3</v>
      </c>
      <c r="E2256" s="8" t="s">
        <v>437</v>
      </c>
      <c r="F2256" s="8" t="s">
        <v>378</v>
      </c>
      <c r="G2256" s="8" t="s">
        <v>3688</v>
      </c>
      <c r="H2256" s="10">
        <v>150</v>
      </c>
      <c r="I2256" s="10"/>
      <c r="J2256" s="10">
        <v>150</v>
      </c>
      <c r="K2256" s="10">
        <v>170.22</v>
      </c>
    </row>
    <row r="2257" spans="1:11" x14ac:dyDescent="0.25">
      <c r="A2257" s="8" t="s">
        <v>3811</v>
      </c>
      <c r="B2257" s="8" t="s">
        <v>78</v>
      </c>
      <c r="C2257" s="8" t="s">
        <v>3687</v>
      </c>
      <c r="D2257" s="8">
        <v>3</v>
      </c>
      <c r="E2257" s="8" t="s">
        <v>437</v>
      </c>
      <c r="F2257" s="8" t="s">
        <v>378</v>
      </c>
      <c r="G2257" s="8" t="s">
        <v>3688</v>
      </c>
      <c r="H2257" s="10">
        <v>50</v>
      </c>
      <c r="I2257" s="10"/>
      <c r="J2257" s="10">
        <v>50</v>
      </c>
      <c r="K2257" s="10">
        <v>170.22</v>
      </c>
    </row>
    <row r="2258" spans="1:11" x14ac:dyDescent="0.25">
      <c r="A2258" s="8" t="s">
        <v>3812</v>
      </c>
      <c r="B2258" s="8" t="s">
        <v>1655</v>
      </c>
      <c r="C2258" s="8" t="s">
        <v>3687</v>
      </c>
      <c r="D2258" s="8">
        <v>3</v>
      </c>
      <c r="E2258" s="8" t="s">
        <v>437</v>
      </c>
      <c r="F2258" s="8" t="s">
        <v>378</v>
      </c>
      <c r="G2258" s="8" t="s">
        <v>3688</v>
      </c>
      <c r="H2258" s="10">
        <v>10</v>
      </c>
      <c r="I2258" s="10"/>
      <c r="J2258" s="10">
        <v>10</v>
      </c>
      <c r="K2258" s="10">
        <v>170.22</v>
      </c>
    </row>
    <row r="2259" spans="1:11" x14ac:dyDescent="0.25">
      <c r="A2259" s="8" t="s">
        <v>3813</v>
      </c>
      <c r="B2259" s="8" t="s">
        <v>128</v>
      </c>
      <c r="C2259" s="8" t="s">
        <v>3687</v>
      </c>
      <c r="D2259" s="8">
        <v>3</v>
      </c>
      <c r="E2259" s="8" t="s">
        <v>437</v>
      </c>
      <c r="F2259" s="8" t="s">
        <v>378</v>
      </c>
      <c r="G2259" s="8" t="s">
        <v>3688</v>
      </c>
      <c r="H2259" s="10">
        <v>40</v>
      </c>
      <c r="I2259" s="10"/>
      <c r="J2259" s="10">
        <v>40</v>
      </c>
      <c r="K2259" s="10">
        <v>170.22</v>
      </c>
    </row>
    <row r="2260" spans="1:11" x14ac:dyDescent="0.25">
      <c r="A2260" s="8" t="s">
        <v>3814</v>
      </c>
      <c r="B2260" s="8" t="s">
        <v>949</v>
      </c>
      <c r="C2260" s="8" t="s">
        <v>3687</v>
      </c>
      <c r="D2260" s="8">
        <v>3</v>
      </c>
      <c r="E2260" s="8" t="s">
        <v>437</v>
      </c>
      <c r="F2260" s="8" t="s">
        <v>378</v>
      </c>
      <c r="G2260" s="8" t="s">
        <v>3688</v>
      </c>
      <c r="H2260" s="10">
        <v>10</v>
      </c>
      <c r="I2260" s="10"/>
      <c r="J2260" s="10">
        <v>10</v>
      </c>
      <c r="K2260" s="10">
        <v>170.22</v>
      </c>
    </row>
    <row r="2261" spans="1:11" x14ac:dyDescent="0.25">
      <c r="A2261" s="8" t="s">
        <v>3815</v>
      </c>
      <c r="B2261" s="8" t="s">
        <v>130</v>
      </c>
      <c r="C2261" s="8" t="s">
        <v>3687</v>
      </c>
      <c r="D2261" s="8">
        <v>3</v>
      </c>
      <c r="E2261" s="8" t="s">
        <v>437</v>
      </c>
      <c r="F2261" s="8" t="s">
        <v>378</v>
      </c>
      <c r="G2261" s="8" t="s">
        <v>3688</v>
      </c>
      <c r="H2261" s="10">
        <v>10</v>
      </c>
      <c r="I2261" s="10"/>
      <c r="J2261" s="10">
        <v>10</v>
      </c>
      <c r="K2261" s="10">
        <v>170.22</v>
      </c>
    </row>
    <row r="2262" spans="1:11" x14ac:dyDescent="0.25">
      <c r="A2262" s="8" t="s">
        <v>3816</v>
      </c>
      <c r="B2262" s="8" t="s">
        <v>132</v>
      </c>
      <c r="C2262" s="8" t="s">
        <v>3687</v>
      </c>
      <c r="D2262" s="8">
        <v>3</v>
      </c>
      <c r="E2262" s="8" t="s">
        <v>437</v>
      </c>
      <c r="F2262" s="8" t="s">
        <v>378</v>
      </c>
      <c r="G2262" s="8" t="s">
        <v>3688</v>
      </c>
      <c r="H2262" s="10">
        <v>50</v>
      </c>
      <c r="I2262" s="10"/>
      <c r="J2262" s="10">
        <v>50</v>
      </c>
      <c r="K2262" s="10">
        <v>170.22</v>
      </c>
    </row>
    <row r="2263" spans="1:11" x14ac:dyDescent="0.25">
      <c r="A2263" s="8" t="s">
        <v>3817</v>
      </c>
      <c r="B2263" s="8" t="s">
        <v>134</v>
      </c>
      <c r="C2263" s="8" t="s">
        <v>3687</v>
      </c>
      <c r="D2263" s="8">
        <v>3</v>
      </c>
      <c r="E2263" s="8" t="s">
        <v>437</v>
      </c>
      <c r="F2263" s="8" t="s">
        <v>378</v>
      </c>
      <c r="G2263" s="8" t="s">
        <v>3688</v>
      </c>
      <c r="H2263" s="10">
        <v>100</v>
      </c>
      <c r="I2263" s="10"/>
      <c r="J2263" s="10">
        <v>100</v>
      </c>
      <c r="K2263" s="10">
        <v>170.22</v>
      </c>
    </row>
    <row r="2264" spans="1:11" x14ac:dyDescent="0.25">
      <c r="A2264" s="8" t="s">
        <v>3818</v>
      </c>
      <c r="B2264" s="8" t="s">
        <v>136</v>
      </c>
      <c r="C2264" s="8" t="s">
        <v>3687</v>
      </c>
      <c r="D2264" s="8">
        <v>3</v>
      </c>
      <c r="E2264" s="8" t="s">
        <v>437</v>
      </c>
      <c r="F2264" s="8" t="s">
        <v>378</v>
      </c>
      <c r="G2264" s="8" t="s">
        <v>3688</v>
      </c>
      <c r="H2264" s="10">
        <v>20</v>
      </c>
      <c r="I2264" s="10"/>
      <c r="J2264" s="10">
        <v>20</v>
      </c>
      <c r="K2264" s="10">
        <v>170.22</v>
      </c>
    </row>
    <row r="2265" spans="1:11" x14ac:dyDescent="0.25">
      <c r="A2265" s="8" t="s">
        <v>3819</v>
      </c>
      <c r="B2265" s="8" t="s">
        <v>1689</v>
      </c>
      <c r="C2265" s="8" t="s">
        <v>3687</v>
      </c>
      <c r="D2265" s="8">
        <v>3</v>
      </c>
      <c r="E2265" s="8" t="s">
        <v>437</v>
      </c>
      <c r="F2265" s="8" t="s">
        <v>378</v>
      </c>
      <c r="G2265" s="8" t="s">
        <v>3688</v>
      </c>
      <c r="H2265" s="10">
        <v>8</v>
      </c>
      <c r="I2265" s="10"/>
      <c r="J2265" s="10">
        <v>8</v>
      </c>
      <c r="K2265" s="10">
        <v>170.22</v>
      </c>
    </row>
    <row r="2266" spans="1:11" x14ac:dyDescent="0.25">
      <c r="A2266" s="8" t="s">
        <v>3820</v>
      </c>
      <c r="B2266" s="8" t="s">
        <v>138</v>
      </c>
      <c r="C2266" s="8" t="s">
        <v>3687</v>
      </c>
      <c r="D2266" s="8">
        <v>3</v>
      </c>
      <c r="E2266" s="8" t="s">
        <v>437</v>
      </c>
      <c r="F2266" s="8" t="s">
        <v>378</v>
      </c>
      <c r="G2266" s="8" t="s">
        <v>3688</v>
      </c>
      <c r="H2266" s="10">
        <v>25</v>
      </c>
      <c r="I2266" s="10"/>
      <c r="J2266" s="10">
        <v>25</v>
      </c>
      <c r="K2266" s="10">
        <v>170.22</v>
      </c>
    </row>
    <row r="2267" spans="1:11" x14ac:dyDescent="0.25">
      <c r="A2267" s="8" t="s">
        <v>3821</v>
      </c>
      <c r="B2267" s="8" t="s">
        <v>3521</v>
      </c>
      <c r="C2267" s="8" t="s">
        <v>3687</v>
      </c>
      <c r="D2267" s="8">
        <v>3</v>
      </c>
      <c r="E2267" s="8" t="s">
        <v>437</v>
      </c>
      <c r="F2267" s="8" t="s">
        <v>378</v>
      </c>
      <c r="G2267" s="8" t="s">
        <v>3688</v>
      </c>
      <c r="H2267" s="10">
        <v>4</v>
      </c>
      <c r="I2267" s="10"/>
      <c r="J2267" s="10">
        <v>4</v>
      </c>
      <c r="K2267" s="10">
        <v>170.22</v>
      </c>
    </row>
    <row r="2268" spans="1:11" x14ac:dyDescent="0.25">
      <c r="A2268" s="8" t="s">
        <v>3822</v>
      </c>
      <c r="B2268" s="8" t="s">
        <v>80</v>
      </c>
      <c r="C2268" s="8" t="s">
        <v>3687</v>
      </c>
      <c r="D2268" s="8">
        <v>3</v>
      </c>
      <c r="E2268" s="8" t="s">
        <v>437</v>
      </c>
      <c r="F2268" s="8" t="s">
        <v>378</v>
      </c>
      <c r="G2268" s="8" t="s">
        <v>3688</v>
      </c>
      <c r="H2268" s="10">
        <v>10</v>
      </c>
      <c r="I2268" s="10"/>
      <c r="J2268" s="10">
        <v>10</v>
      </c>
      <c r="K2268" s="10">
        <v>170.22</v>
      </c>
    </row>
    <row r="2269" spans="1:11" x14ac:dyDescent="0.25">
      <c r="A2269" s="8" t="s">
        <v>3823</v>
      </c>
      <c r="B2269" s="8" t="s">
        <v>116</v>
      </c>
      <c r="C2269" s="8" t="s">
        <v>3687</v>
      </c>
      <c r="D2269" s="8">
        <v>3</v>
      </c>
      <c r="E2269" s="8" t="s">
        <v>440</v>
      </c>
      <c r="F2269" s="8" t="s">
        <v>378</v>
      </c>
      <c r="G2269" s="8" t="s">
        <v>3688</v>
      </c>
      <c r="H2269" s="10">
        <v>5</v>
      </c>
      <c r="I2269" s="10"/>
      <c r="J2269" s="10">
        <v>5</v>
      </c>
      <c r="K2269" s="10">
        <v>170.22</v>
      </c>
    </row>
    <row r="2270" spans="1:11" x14ac:dyDescent="0.25">
      <c r="A2270" s="8" t="s">
        <v>3824</v>
      </c>
      <c r="B2270" s="8" t="s">
        <v>116</v>
      </c>
      <c r="C2270" s="8" t="s">
        <v>3687</v>
      </c>
      <c r="D2270" s="8">
        <v>3</v>
      </c>
      <c r="E2270" s="8" t="s">
        <v>440</v>
      </c>
      <c r="F2270" s="8" t="s">
        <v>378</v>
      </c>
      <c r="G2270" s="8" t="s">
        <v>3688</v>
      </c>
      <c r="H2270" s="10">
        <v>2</v>
      </c>
      <c r="I2270" s="10"/>
      <c r="J2270" s="10">
        <v>2</v>
      </c>
      <c r="K2270" s="10">
        <v>170.22</v>
      </c>
    </row>
    <row r="2271" spans="1:11" x14ac:dyDescent="0.25">
      <c r="A2271" s="8" t="s">
        <v>3825</v>
      </c>
      <c r="B2271" s="8" t="s">
        <v>116</v>
      </c>
      <c r="C2271" s="8" t="s">
        <v>3687</v>
      </c>
      <c r="D2271" s="8">
        <v>3</v>
      </c>
      <c r="E2271" s="8" t="s">
        <v>440</v>
      </c>
      <c r="F2271" s="8" t="s">
        <v>378</v>
      </c>
      <c r="G2271" s="8" t="s">
        <v>3688</v>
      </c>
      <c r="H2271" s="10">
        <v>2</v>
      </c>
      <c r="I2271" s="10"/>
      <c r="J2271" s="10">
        <v>2</v>
      </c>
      <c r="K2271" s="10">
        <v>170.22</v>
      </c>
    </row>
    <row r="2272" spans="1:11" x14ac:dyDescent="0.25">
      <c r="A2272" s="8" t="s">
        <v>3826</v>
      </c>
      <c r="B2272" s="8" t="s">
        <v>118</v>
      </c>
      <c r="C2272" s="8" t="s">
        <v>3687</v>
      </c>
      <c r="D2272" s="8">
        <v>3</v>
      </c>
      <c r="E2272" s="8" t="s">
        <v>440</v>
      </c>
      <c r="F2272" s="8" t="s">
        <v>378</v>
      </c>
      <c r="G2272" s="8" t="s">
        <v>3688</v>
      </c>
      <c r="H2272" s="10">
        <v>20</v>
      </c>
      <c r="I2272" s="10"/>
      <c r="J2272" s="10">
        <v>20</v>
      </c>
      <c r="K2272" s="10">
        <v>170.22</v>
      </c>
    </row>
    <row r="2273" spans="1:11" x14ac:dyDescent="0.25">
      <c r="A2273" s="8" t="s">
        <v>3827</v>
      </c>
      <c r="B2273" s="8" t="s">
        <v>1650</v>
      </c>
      <c r="C2273" s="8" t="s">
        <v>3687</v>
      </c>
      <c r="D2273" s="8">
        <v>3</v>
      </c>
      <c r="E2273" s="8" t="s">
        <v>440</v>
      </c>
      <c r="F2273" s="8" t="s">
        <v>378</v>
      </c>
      <c r="G2273" s="8" t="s">
        <v>3688</v>
      </c>
      <c r="H2273" s="10">
        <v>5</v>
      </c>
      <c r="I2273" s="10"/>
      <c r="J2273" s="10">
        <v>5</v>
      </c>
      <c r="K2273" s="10">
        <v>170.22</v>
      </c>
    </row>
    <row r="2274" spans="1:11" x14ac:dyDescent="0.25">
      <c r="A2274" s="8" t="s">
        <v>3828</v>
      </c>
      <c r="B2274" s="8" t="s">
        <v>120</v>
      </c>
      <c r="C2274" s="8" t="s">
        <v>3687</v>
      </c>
      <c r="D2274" s="8">
        <v>3</v>
      </c>
      <c r="E2274" s="8" t="s">
        <v>440</v>
      </c>
      <c r="F2274" s="8" t="s">
        <v>378</v>
      </c>
      <c r="G2274" s="8" t="s">
        <v>3688</v>
      </c>
      <c r="H2274" s="10">
        <v>20</v>
      </c>
      <c r="I2274" s="10"/>
      <c r="J2274" s="10">
        <v>20</v>
      </c>
      <c r="K2274" s="10">
        <v>170.22</v>
      </c>
    </row>
    <row r="2275" spans="1:11" x14ac:dyDescent="0.25">
      <c r="A2275" s="8" t="s">
        <v>3829</v>
      </c>
      <c r="B2275" s="8" t="s">
        <v>120</v>
      </c>
      <c r="C2275" s="8" t="s">
        <v>3687</v>
      </c>
      <c r="D2275" s="8">
        <v>3</v>
      </c>
      <c r="E2275" s="8" t="s">
        <v>440</v>
      </c>
      <c r="F2275" s="8" t="s">
        <v>378</v>
      </c>
      <c r="G2275" s="8" t="s">
        <v>3688</v>
      </c>
      <c r="H2275" s="10">
        <v>10</v>
      </c>
      <c r="I2275" s="10"/>
      <c r="J2275" s="10">
        <v>10</v>
      </c>
      <c r="K2275" s="10">
        <v>170.22</v>
      </c>
    </row>
    <row r="2276" spans="1:11" x14ac:dyDescent="0.25">
      <c r="A2276" s="8" t="s">
        <v>3830</v>
      </c>
      <c r="B2276" s="8" t="s">
        <v>122</v>
      </c>
      <c r="C2276" s="8" t="s">
        <v>3687</v>
      </c>
      <c r="D2276" s="8">
        <v>3</v>
      </c>
      <c r="E2276" s="8" t="s">
        <v>440</v>
      </c>
      <c r="F2276" s="8" t="s">
        <v>378</v>
      </c>
      <c r="G2276" s="8" t="s">
        <v>3688</v>
      </c>
      <c r="H2276" s="10">
        <v>40</v>
      </c>
      <c r="I2276" s="10"/>
      <c r="J2276" s="10">
        <v>40</v>
      </c>
      <c r="K2276" s="10">
        <v>170.22</v>
      </c>
    </row>
    <row r="2277" spans="1:11" x14ac:dyDescent="0.25">
      <c r="A2277" s="8" t="s">
        <v>3831</v>
      </c>
      <c r="B2277" s="8" t="s">
        <v>124</v>
      </c>
      <c r="C2277" s="8" t="s">
        <v>3687</v>
      </c>
      <c r="D2277" s="8">
        <v>3</v>
      </c>
      <c r="E2277" s="8" t="s">
        <v>440</v>
      </c>
      <c r="F2277" s="8" t="s">
        <v>378</v>
      </c>
      <c r="G2277" s="8" t="s">
        <v>3688</v>
      </c>
      <c r="H2277" s="10">
        <v>40</v>
      </c>
      <c r="I2277" s="10"/>
      <c r="J2277" s="10">
        <v>40</v>
      </c>
      <c r="K2277" s="10">
        <v>170.22</v>
      </c>
    </row>
    <row r="2278" spans="1:11" x14ac:dyDescent="0.25">
      <c r="A2278" s="8" t="s">
        <v>3832</v>
      </c>
      <c r="B2278" s="8" t="s">
        <v>78</v>
      </c>
      <c r="C2278" s="8" t="s">
        <v>3687</v>
      </c>
      <c r="D2278" s="8">
        <v>3</v>
      </c>
      <c r="E2278" s="8" t="s">
        <v>440</v>
      </c>
      <c r="F2278" s="8" t="s">
        <v>378</v>
      </c>
      <c r="G2278" s="8" t="s">
        <v>3688</v>
      </c>
      <c r="H2278" s="10">
        <v>20</v>
      </c>
      <c r="I2278" s="10"/>
      <c r="J2278" s="10">
        <v>20</v>
      </c>
      <c r="K2278" s="10">
        <v>170.22</v>
      </c>
    </row>
    <row r="2279" spans="1:11" x14ac:dyDescent="0.25">
      <c r="A2279" s="8" t="s">
        <v>3833</v>
      </c>
      <c r="B2279" s="8" t="s">
        <v>1655</v>
      </c>
      <c r="C2279" s="8" t="s">
        <v>3687</v>
      </c>
      <c r="D2279" s="8">
        <v>3</v>
      </c>
      <c r="E2279" s="8" t="s">
        <v>440</v>
      </c>
      <c r="F2279" s="8" t="s">
        <v>378</v>
      </c>
      <c r="G2279" s="8" t="s">
        <v>3688</v>
      </c>
      <c r="H2279" s="10">
        <v>5</v>
      </c>
      <c r="I2279" s="10"/>
      <c r="J2279" s="10">
        <v>5</v>
      </c>
      <c r="K2279" s="10">
        <v>170.22</v>
      </c>
    </row>
    <row r="2280" spans="1:11" x14ac:dyDescent="0.25">
      <c r="A2280" s="8" t="s">
        <v>3834</v>
      </c>
      <c r="B2280" s="8" t="s">
        <v>128</v>
      </c>
      <c r="C2280" s="8" t="s">
        <v>3687</v>
      </c>
      <c r="D2280" s="8">
        <v>3</v>
      </c>
      <c r="E2280" s="8" t="s">
        <v>440</v>
      </c>
      <c r="F2280" s="8" t="s">
        <v>378</v>
      </c>
      <c r="G2280" s="8" t="s">
        <v>3688</v>
      </c>
      <c r="H2280" s="10">
        <v>20</v>
      </c>
      <c r="I2280" s="10"/>
      <c r="J2280" s="10">
        <v>20</v>
      </c>
      <c r="K2280" s="10">
        <v>170.22</v>
      </c>
    </row>
    <row r="2281" spans="1:11" x14ac:dyDescent="0.25">
      <c r="A2281" s="8" t="s">
        <v>3835</v>
      </c>
      <c r="B2281" s="8" t="s">
        <v>949</v>
      </c>
      <c r="C2281" s="8" t="s">
        <v>3687</v>
      </c>
      <c r="D2281" s="8">
        <v>3</v>
      </c>
      <c r="E2281" s="8" t="s">
        <v>440</v>
      </c>
      <c r="F2281" s="8" t="s">
        <v>378</v>
      </c>
      <c r="G2281" s="8" t="s">
        <v>3688</v>
      </c>
      <c r="H2281" s="10">
        <v>3</v>
      </c>
      <c r="I2281" s="10"/>
      <c r="J2281" s="10">
        <v>3</v>
      </c>
      <c r="K2281" s="10">
        <v>170.22</v>
      </c>
    </row>
    <row r="2282" spans="1:11" x14ac:dyDescent="0.25">
      <c r="A2282" s="8" t="s">
        <v>3836</v>
      </c>
      <c r="B2282" s="8" t="s">
        <v>130</v>
      </c>
      <c r="C2282" s="8" t="s">
        <v>3687</v>
      </c>
      <c r="D2282" s="8">
        <v>3</v>
      </c>
      <c r="E2282" s="8" t="s">
        <v>440</v>
      </c>
      <c r="F2282" s="8" t="s">
        <v>378</v>
      </c>
      <c r="G2282" s="8" t="s">
        <v>3688</v>
      </c>
      <c r="H2282" s="10">
        <v>5</v>
      </c>
      <c r="I2282" s="10"/>
      <c r="J2282" s="10">
        <v>5</v>
      </c>
      <c r="K2282" s="10">
        <v>170.22</v>
      </c>
    </row>
    <row r="2283" spans="1:11" x14ac:dyDescent="0.25">
      <c r="A2283" s="8" t="s">
        <v>3837</v>
      </c>
      <c r="B2283" s="8" t="s">
        <v>132</v>
      </c>
      <c r="C2283" s="8" t="s">
        <v>3687</v>
      </c>
      <c r="D2283" s="8">
        <v>3</v>
      </c>
      <c r="E2283" s="8" t="s">
        <v>440</v>
      </c>
      <c r="F2283" s="8" t="s">
        <v>378</v>
      </c>
      <c r="G2283" s="8" t="s">
        <v>3688</v>
      </c>
      <c r="H2283" s="10">
        <v>10</v>
      </c>
      <c r="I2283" s="10"/>
      <c r="J2283" s="10">
        <v>10</v>
      </c>
      <c r="K2283" s="10">
        <v>170.22</v>
      </c>
    </row>
    <row r="2284" spans="1:11" x14ac:dyDescent="0.25">
      <c r="A2284" s="8" t="s">
        <v>3838</v>
      </c>
      <c r="B2284" s="8" t="s">
        <v>134</v>
      </c>
      <c r="C2284" s="8" t="s">
        <v>3687</v>
      </c>
      <c r="D2284" s="8">
        <v>3</v>
      </c>
      <c r="E2284" s="8" t="s">
        <v>440</v>
      </c>
      <c r="F2284" s="8" t="s">
        <v>378</v>
      </c>
      <c r="G2284" s="8" t="s">
        <v>3688</v>
      </c>
      <c r="H2284" s="10">
        <v>20</v>
      </c>
      <c r="I2284" s="10"/>
      <c r="J2284" s="10">
        <v>20</v>
      </c>
      <c r="K2284" s="10">
        <v>170.22</v>
      </c>
    </row>
    <row r="2285" spans="1:11" x14ac:dyDescent="0.25">
      <c r="A2285" s="8" t="s">
        <v>3839</v>
      </c>
      <c r="B2285" s="8" t="s">
        <v>136</v>
      </c>
      <c r="C2285" s="8" t="s">
        <v>3687</v>
      </c>
      <c r="D2285" s="8">
        <v>3</v>
      </c>
      <c r="E2285" s="8" t="s">
        <v>440</v>
      </c>
      <c r="F2285" s="8" t="s">
        <v>378</v>
      </c>
      <c r="G2285" s="8" t="s">
        <v>3688</v>
      </c>
      <c r="H2285" s="10">
        <v>10</v>
      </c>
      <c r="I2285" s="10"/>
      <c r="J2285" s="10">
        <v>10</v>
      </c>
      <c r="K2285" s="10">
        <v>170.22</v>
      </c>
    </row>
    <row r="2286" spans="1:11" x14ac:dyDescent="0.25">
      <c r="A2286" s="8" t="s">
        <v>3840</v>
      </c>
      <c r="B2286" s="8" t="s">
        <v>1689</v>
      </c>
      <c r="C2286" s="8" t="s">
        <v>3687</v>
      </c>
      <c r="D2286" s="8">
        <v>3</v>
      </c>
      <c r="E2286" s="8" t="s">
        <v>440</v>
      </c>
      <c r="F2286" s="8" t="s">
        <v>378</v>
      </c>
      <c r="G2286" s="8" t="s">
        <v>3688</v>
      </c>
      <c r="H2286" s="10">
        <v>3</v>
      </c>
      <c r="I2286" s="10"/>
      <c r="J2286" s="10">
        <v>3</v>
      </c>
      <c r="K2286" s="10">
        <v>170.22</v>
      </c>
    </row>
    <row r="2287" spans="1:11" x14ac:dyDescent="0.25">
      <c r="A2287" s="8" t="s">
        <v>3841</v>
      </c>
      <c r="B2287" s="8" t="s">
        <v>138</v>
      </c>
      <c r="C2287" s="8" t="s">
        <v>3687</v>
      </c>
      <c r="D2287" s="8">
        <v>3</v>
      </c>
      <c r="E2287" s="8" t="s">
        <v>440</v>
      </c>
      <c r="F2287" s="8" t="s">
        <v>378</v>
      </c>
      <c r="G2287" s="8" t="s">
        <v>3688</v>
      </c>
      <c r="H2287" s="10">
        <v>5</v>
      </c>
      <c r="I2287" s="10"/>
      <c r="J2287" s="10">
        <v>5</v>
      </c>
      <c r="K2287" s="10">
        <v>170.22</v>
      </c>
    </row>
    <row r="2288" spans="1:11" x14ac:dyDescent="0.25">
      <c r="A2288" s="8" t="s">
        <v>3842</v>
      </c>
      <c r="B2288" s="8" t="s">
        <v>80</v>
      </c>
      <c r="C2288" s="8" t="s">
        <v>3687</v>
      </c>
      <c r="D2288" s="8">
        <v>3</v>
      </c>
      <c r="E2288" s="8" t="s">
        <v>440</v>
      </c>
      <c r="F2288" s="8" t="s">
        <v>378</v>
      </c>
      <c r="G2288" s="8" t="s">
        <v>3688</v>
      </c>
      <c r="H2288" s="10">
        <v>5</v>
      </c>
      <c r="I2288" s="10"/>
      <c r="J2288" s="10">
        <v>5</v>
      </c>
      <c r="K2288" s="10">
        <v>170.22</v>
      </c>
    </row>
    <row r="2289" spans="1:11" x14ac:dyDescent="0.25">
      <c r="A2289" s="8" t="s">
        <v>3843</v>
      </c>
      <c r="B2289" s="8" t="s">
        <v>116</v>
      </c>
      <c r="C2289" s="8" t="s">
        <v>3687</v>
      </c>
      <c r="D2289" s="8">
        <v>3</v>
      </c>
      <c r="E2289" s="8" t="s">
        <v>443</v>
      </c>
      <c r="F2289" s="8" t="s">
        <v>378</v>
      </c>
      <c r="G2289" s="8" t="s">
        <v>3688</v>
      </c>
      <c r="H2289" s="10">
        <v>10</v>
      </c>
      <c r="I2289" s="10"/>
      <c r="J2289" s="10">
        <v>10</v>
      </c>
      <c r="K2289" s="10">
        <v>170.22</v>
      </c>
    </row>
    <row r="2290" spans="1:11" x14ac:dyDescent="0.25">
      <c r="A2290" s="8" t="s">
        <v>3844</v>
      </c>
      <c r="B2290" s="8" t="s">
        <v>116</v>
      </c>
      <c r="C2290" s="8" t="s">
        <v>3687</v>
      </c>
      <c r="D2290" s="8">
        <v>3</v>
      </c>
      <c r="E2290" s="8" t="s">
        <v>443</v>
      </c>
      <c r="F2290" s="8" t="s">
        <v>378</v>
      </c>
      <c r="G2290" s="8" t="s">
        <v>3688</v>
      </c>
      <c r="H2290" s="10">
        <v>2</v>
      </c>
      <c r="I2290" s="10"/>
      <c r="J2290" s="10">
        <v>2</v>
      </c>
      <c r="K2290" s="10">
        <v>170.22</v>
      </c>
    </row>
    <row r="2291" spans="1:11" x14ac:dyDescent="0.25">
      <c r="A2291" s="8" t="s">
        <v>3845</v>
      </c>
      <c r="B2291" s="8" t="s">
        <v>116</v>
      </c>
      <c r="C2291" s="8" t="s">
        <v>3687</v>
      </c>
      <c r="D2291" s="8">
        <v>3</v>
      </c>
      <c r="E2291" s="8" t="s">
        <v>443</v>
      </c>
      <c r="F2291" s="8" t="s">
        <v>378</v>
      </c>
      <c r="G2291" s="8" t="s">
        <v>3688</v>
      </c>
      <c r="H2291" s="10">
        <v>2</v>
      </c>
      <c r="I2291" s="10"/>
      <c r="J2291" s="10">
        <v>2</v>
      </c>
      <c r="K2291" s="10">
        <v>170.22</v>
      </c>
    </row>
    <row r="2292" spans="1:11" x14ac:dyDescent="0.25">
      <c r="A2292" s="8" t="s">
        <v>3846</v>
      </c>
      <c r="B2292" s="8" t="s">
        <v>118</v>
      </c>
      <c r="C2292" s="8" t="s">
        <v>3687</v>
      </c>
      <c r="D2292" s="8">
        <v>3</v>
      </c>
      <c r="E2292" s="8" t="s">
        <v>443</v>
      </c>
      <c r="F2292" s="8" t="s">
        <v>378</v>
      </c>
      <c r="G2292" s="8" t="s">
        <v>3688</v>
      </c>
      <c r="H2292" s="10">
        <v>10</v>
      </c>
      <c r="I2292" s="10"/>
      <c r="J2292" s="10">
        <v>10</v>
      </c>
      <c r="K2292" s="10">
        <v>170.22</v>
      </c>
    </row>
    <row r="2293" spans="1:11" x14ac:dyDescent="0.25">
      <c r="A2293" s="8" t="s">
        <v>3847</v>
      </c>
      <c r="B2293" s="8" t="s">
        <v>1650</v>
      </c>
      <c r="C2293" s="8" t="s">
        <v>3687</v>
      </c>
      <c r="D2293" s="8">
        <v>3</v>
      </c>
      <c r="E2293" s="8" t="s">
        <v>443</v>
      </c>
      <c r="F2293" s="8" t="s">
        <v>378</v>
      </c>
      <c r="G2293" s="8" t="s">
        <v>3688</v>
      </c>
      <c r="H2293" s="10">
        <v>5</v>
      </c>
      <c r="I2293" s="10"/>
      <c r="J2293" s="10">
        <v>5</v>
      </c>
      <c r="K2293" s="10">
        <v>170.22</v>
      </c>
    </row>
    <row r="2294" spans="1:11" x14ac:dyDescent="0.25">
      <c r="A2294" s="8" t="s">
        <v>3848</v>
      </c>
      <c r="B2294" s="8" t="s">
        <v>120</v>
      </c>
      <c r="C2294" s="8" t="s">
        <v>3687</v>
      </c>
      <c r="D2294" s="8">
        <v>3</v>
      </c>
      <c r="E2294" s="8" t="s">
        <v>443</v>
      </c>
      <c r="F2294" s="8" t="s">
        <v>378</v>
      </c>
      <c r="G2294" s="8" t="s">
        <v>3688</v>
      </c>
      <c r="H2294" s="10">
        <v>15</v>
      </c>
      <c r="I2294" s="10"/>
      <c r="J2294" s="10">
        <v>15</v>
      </c>
      <c r="K2294" s="10">
        <v>170.22</v>
      </c>
    </row>
    <row r="2295" spans="1:11" x14ac:dyDescent="0.25">
      <c r="A2295" s="8" t="s">
        <v>3849</v>
      </c>
      <c r="B2295" s="8" t="s">
        <v>120</v>
      </c>
      <c r="C2295" s="8" t="s">
        <v>3687</v>
      </c>
      <c r="D2295" s="8">
        <v>3</v>
      </c>
      <c r="E2295" s="8" t="s">
        <v>443</v>
      </c>
      <c r="F2295" s="8" t="s">
        <v>378</v>
      </c>
      <c r="G2295" s="8" t="s">
        <v>3688</v>
      </c>
      <c r="H2295" s="10">
        <v>10</v>
      </c>
      <c r="I2295" s="10"/>
      <c r="J2295" s="10">
        <v>10</v>
      </c>
      <c r="K2295" s="10">
        <v>170.22</v>
      </c>
    </row>
    <row r="2296" spans="1:11" x14ac:dyDescent="0.25">
      <c r="A2296" s="8" t="s">
        <v>3850</v>
      </c>
      <c r="B2296" s="8" t="s">
        <v>122</v>
      </c>
      <c r="C2296" s="8" t="s">
        <v>3687</v>
      </c>
      <c r="D2296" s="8">
        <v>3</v>
      </c>
      <c r="E2296" s="8" t="s">
        <v>443</v>
      </c>
      <c r="F2296" s="8" t="s">
        <v>378</v>
      </c>
      <c r="G2296" s="8" t="s">
        <v>3688</v>
      </c>
      <c r="H2296" s="10">
        <v>15</v>
      </c>
      <c r="I2296" s="10"/>
      <c r="J2296" s="10">
        <v>15</v>
      </c>
      <c r="K2296" s="10">
        <v>170.22</v>
      </c>
    </row>
    <row r="2297" spans="1:11" x14ac:dyDescent="0.25">
      <c r="A2297" s="8" t="s">
        <v>3851</v>
      </c>
      <c r="B2297" s="8" t="s">
        <v>124</v>
      </c>
      <c r="C2297" s="8" t="s">
        <v>3687</v>
      </c>
      <c r="D2297" s="8">
        <v>3</v>
      </c>
      <c r="E2297" s="8" t="s">
        <v>443</v>
      </c>
      <c r="F2297" s="8" t="s">
        <v>378</v>
      </c>
      <c r="G2297" s="8" t="s">
        <v>3688</v>
      </c>
      <c r="H2297" s="10">
        <v>15</v>
      </c>
      <c r="I2297" s="10"/>
      <c r="J2297" s="10">
        <v>15</v>
      </c>
      <c r="K2297" s="10">
        <v>170.22</v>
      </c>
    </row>
    <row r="2298" spans="1:11" x14ac:dyDescent="0.25">
      <c r="A2298" s="8" t="s">
        <v>3852</v>
      </c>
      <c r="B2298" s="8" t="s">
        <v>78</v>
      </c>
      <c r="C2298" s="8" t="s">
        <v>3687</v>
      </c>
      <c r="D2298" s="8">
        <v>3</v>
      </c>
      <c r="E2298" s="8" t="s">
        <v>443</v>
      </c>
      <c r="F2298" s="8" t="s">
        <v>378</v>
      </c>
      <c r="G2298" s="8" t="s">
        <v>3688</v>
      </c>
      <c r="H2298" s="10">
        <v>10</v>
      </c>
      <c r="I2298" s="10"/>
      <c r="J2298" s="10">
        <v>10</v>
      </c>
      <c r="K2298" s="10">
        <v>170.22</v>
      </c>
    </row>
    <row r="2299" spans="1:11" x14ac:dyDescent="0.25">
      <c r="A2299" s="8" t="s">
        <v>3853</v>
      </c>
      <c r="B2299" s="8" t="s">
        <v>1655</v>
      </c>
      <c r="C2299" s="8" t="s">
        <v>3687</v>
      </c>
      <c r="D2299" s="8">
        <v>3</v>
      </c>
      <c r="E2299" s="8" t="s">
        <v>443</v>
      </c>
      <c r="F2299" s="8" t="s">
        <v>378</v>
      </c>
      <c r="G2299" s="8" t="s">
        <v>3688</v>
      </c>
      <c r="H2299" s="10">
        <v>5</v>
      </c>
      <c r="I2299" s="10"/>
      <c r="J2299" s="10">
        <v>5</v>
      </c>
      <c r="K2299" s="10">
        <v>170.22</v>
      </c>
    </row>
    <row r="2300" spans="1:11" x14ac:dyDescent="0.25">
      <c r="A2300" s="8" t="s">
        <v>3854</v>
      </c>
      <c r="B2300" s="8" t="s">
        <v>128</v>
      </c>
      <c r="C2300" s="8" t="s">
        <v>3687</v>
      </c>
      <c r="D2300" s="8">
        <v>3</v>
      </c>
      <c r="E2300" s="8" t="s">
        <v>443</v>
      </c>
      <c r="F2300" s="8" t="s">
        <v>378</v>
      </c>
      <c r="G2300" s="8" t="s">
        <v>3688</v>
      </c>
      <c r="H2300" s="10">
        <v>10</v>
      </c>
      <c r="I2300" s="10"/>
      <c r="J2300" s="10">
        <v>10</v>
      </c>
      <c r="K2300" s="10">
        <v>170.22</v>
      </c>
    </row>
    <row r="2301" spans="1:11" x14ac:dyDescent="0.25">
      <c r="A2301" s="8" t="s">
        <v>3855</v>
      </c>
      <c r="B2301" s="8" t="s">
        <v>130</v>
      </c>
      <c r="C2301" s="8" t="s">
        <v>3687</v>
      </c>
      <c r="D2301" s="8">
        <v>3</v>
      </c>
      <c r="E2301" s="8" t="s">
        <v>443</v>
      </c>
      <c r="F2301" s="8" t="s">
        <v>378</v>
      </c>
      <c r="G2301" s="8" t="s">
        <v>3688</v>
      </c>
      <c r="H2301" s="10">
        <v>3</v>
      </c>
      <c r="I2301" s="10"/>
      <c r="J2301" s="10">
        <v>3</v>
      </c>
      <c r="K2301" s="10">
        <v>170.22</v>
      </c>
    </row>
    <row r="2302" spans="1:11" x14ac:dyDescent="0.25">
      <c r="A2302" s="8" t="s">
        <v>3856</v>
      </c>
      <c r="B2302" s="8" t="s">
        <v>132</v>
      </c>
      <c r="C2302" s="8" t="s">
        <v>3687</v>
      </c>
      <c r="D2302" s="8">
        <v>3</v>
      </c>
      <c r="E2302" s="8" t="s">
        <v>443</v>
      </c>
      <c r="F2302" s="8" t="s">
        <v>378</v>
      </c>
      <c r="G2302" s="8" t="s">
        <v>3688</v>
      </c>
      <c r="H2302" s="10">
        <v>10</v>
      </c>
      <c r="I2302" s="10"/>
      <c r="J2302" s="10">
        <v>10</v>
      </c>
      <c r="K2302" s="10">
        <v>170.22</v>
      </c>
    </row>
    <row r="2303" spans="1:11" x14ac:dyDescent="0.25">
      <c r="A2303" s="8" t="s">
        <v>3857</v>
      </c>
      <c r="B2303" s="8" t="s">
        <v>134</v>
      </c>
      <c r="C2303" s="8" t="s">
        <v>3687</v>
      </c>
      <c r="D2303" s="8">
        <v>3</v>
      </c>
      <c r="E2303" s="8" t="s">
        <v>443</v>
      </c>
      <c r="F2303" s="8" t="s">
        <v>378</v>
      </c>
      <c r="G2303" s="8" t="s">
        <v>3688</v>
      </c>
      <c r="H2303" s="10">
        <v>10</v>
      </c>
      <c r="I2303" s="10"/>
      <c r="J2303" s="10">
        <v>10</v>
      </c>
      <c r="K2303" s="10">
        <v>170.22</v>
      </c>
    </row>
    <row r="2304" spans="1:11" x14ac:dyDescent="0.25">
      <c r="A2304" s="8" t="s">
        <v>3858</v>
      </c>
      <c r="B2304" s="8" t="s">
        <v>136</v>
      </c>
      <c r="C2304" s="8" t="s">
        <v>3687</v>
      </c>
      <c r="D2304" s="8">
        <v>3</v>
      </c>
      <c r="E2304" s="8" t="s">
        <v>443</v>
      </c>
      <c r="F2304" s="8" t="s">
        <v>378</v>
      </c>
      <c r="G2304" s="8" t="s">
        <v>3688</v>
      </c>
      <c r="H2304" s="10">
        <v>5</v>
      </c>
      <c r="I2304" s="10"/>
      <c r="J2304" s="10">
        <v>5</v>
      </c>
      <c r="K2304" s="10">
        <v>170.22</v>
      </c>
    </row>
    <row r="2305" spans="1:11" x14ac:dyDescent="0.25">
      <c r="A2305" s="8" t="s">
        <v>3859</v>
      </c>
      <c r="B2305" s="8" t="s">
        <v>1689</v>
      </c>
      <c r="C2305" s="8" t="s">
        <v>3687</v>
      </c>
      <c r="D2305" s="8">
        <v>3</v>
      </c>
      <c r="E2305" s="8" t="s">
        <v>443</v>
      </c>
      <c r="F2305" s="8" t="s">
        <v>378</v>
      </c>
      <c r="G2305" s="8" t="s">
        <v>3688</v>
      </c>
      <c r="H2305" s="10">
        <v>2</v>
      </c>
      <c r="I2305" s="10"/>
      <c r="J2305" s="10">
        <v>2</v>
      </c>
      <c r="K2305" s="10">
        <v>170.22</v>
      </c>
    </row>
    <row r="2306" spans="1:11" x14ac:dyDescent="0.25">
      <c r="A2306" s="8" t="s">
        <v>3860</v>
      </c>
      <c r="B2306" s="8" t="s">
        <v>138</v>
      </c>
      <c r="C2306" s="8" t="s">
        <v>3687</v>
      </c>
      <c r="D2306" s="8">
        <v>3</v>
      </c>
      <c r="E2306" s="8" t="s">
        <v>443</v>
      </c>
      <c r="F2306" s="8" t="s">
        <v>378</v>
      </c>
      <c r="G2306" s="8" t="s">
        <v>3688</v>
      </c>
      <c r="H2306" s="10">
        <v>3</v>
      </c>
      <c r="I2306" s="10"/>
      <c r="J2306" s="10">
        <v>3</v>
      </c>
      <c r="K2306" s="10">
        <v>170.22</v>
      </c>
    </row>
    <row r="2307" spans="1:11" x14ac:dyDescent="0.25">
      <c r="A2307" s="8" t="s">
        <v>3861</v>
      </c>
      <c r="B2307" s="8" t="s">
        <v>80</v>
      </c>
      <c r="C2307" s="8" t="s">
        <v>3687</v>
      </c>
      <c r="D2307" s="8">
        <v>3</v>
      </c>
      <c r="E2307" s="8" t="s">
        <v>443</v>
      </c>
      <c r="F2307" s="8" t="s">
        <v>378</v>
      </c>
      <c r="G2307" s="8" t="s">
        <v>3688</v>
      </c>
      <c r="H2307" s="10">
        <v>5</v>
      </c>
      <c r="I2307" s="10"/>
      <c r="J2307" s="10">
        <v>5</v>
      </c>
      <c r="K2307" s="10">
        <v>170.22</v>
      </c>
    </row>
    <row r="2308" spans="1:11" x14ac:dyDescent="0.25">
      <c r="A2308" s="8" t="s">
        <v>3862</v>
      </c>
      <c r="B2308" s="8" t="s">
        <v>116</v>
      </c>
      <c r="C2308" s="8" t="s">
        <v>3687</v>
      </c>
      <c r="D2308" s="8">
        <v>3</v>
      </c>
      <c r="E2308" s="8" t="s">
        <v>446</v>
      </c>
      <c r="F2308" s="8" t="s">
        <v>378</v>
      </c>
      <c r="G2308" s="8" t="s">
        <v>3688</v>
      </c>
      <c r="H2308" s="10">
        <v>5</v>
      </c>
      <c r="I2308" s="10"/>
      <c r="J2308" s="10">
        <v>5</v>
      </c>
      <c r="K2308" s="10">
        <v>197.69</v>
      </c>
    </row>
    <row r="2309" spans="1:11" x14ac:dyDescent="0.25">
      <c r="A2309" s="8" t="s">
        <v>3863</v>
      </c>
      <c r="B2309" s="8" t="s">
        <v>116</v>
      </c>
      <c r="C2309" s="8" t="s">
        <v>3687</v>
      </c>
      <c r="D2309" s="8">
        <v>3</v>
      </c>
      <c r="E2309" s="8" t="s">
        <v>446</v>
      </c>
      <c r="F2309" s="8" t="s">
        <v>378</v>
      </c>
      <c r="G2309" s="8" t="s">
        <v>3688</v>
      </c>
      <c r="H2309" s="10">
        <v>2</v>
      </c>
      <c r="I2309" s="10"/>
      <c r="J2309" s="10">
        <v>2</v>
      </c>
      <c r="K2309" s="10">
        <v>197.69</v>
      </c>
    </row>
    <row r="2310" spans="1:11" x14ac:dyDescent="0.25">
      <c r="A2310" s="8" t="s">
        <v>3864</v>
      </c>
      <c r="B2310" s="8" t="s">
        <v>116</v>
      </c>
      <c r="C2310" s="8" t="s">
        <v>3687</v>
      </c>
      <c r="D2310" s="8">
        <v>3</v>
      </c>
      <c r="E2310" s="8" t="s">
        <v>446</v>
      </c>
      <c r="F2310" s="8" t="s">
        <v>378</v>
      </c>
      <c r="G2310" s="8" t="s">
        <v>3688</v>
      </c>
      <c r="H2310" s="10">
        <v>2</v>
      </c>
      <c r="I2310" s="10"/>
      <c r="J2310" s="10">
        <v>2</v>
      </c>
      <c r="K2310" s="10">
        <v>197.69</v>
      </c>
    </row>
    <row r="2311" spans="1:11" x14ac:dyDescent="0.25">
      <c r="A2311" s="8" t="s">
        <v>3865</v>
      </c>
      <c r="B2311" s="8" t="s">
        <v>118</v>
      </c>
      <c r="C2311" s="8" t="s">
        <v>3687</v>
      </c>
      <c r="D2311" s="8">
        <v>3</v>
      </c>
      <c r="E2311" s="8" t="s">
        <v>446</v>
      </c>
      <c r="F2311" s="8" t="s">
        <v>378</v>
      </c>
      <c r="G2311" s="8" t="s">
        <v>3688</v>
      </c>
      <c r="H2311" s="10">
        <v>5</v>
      </c>
      <c r="I2311" s="10"/>
      <c r="J2311" s="10">
        <v>5</v>
      </c>
      <c r="K2311" s="10">
        <v>197.69</v>
      </c>
    </row>
    <row r="2312" spans="1:11" x14ac:dyDescent="0.25">
      <c r="A2312" s="8" t="s">
        <v>3866</v>
      </c>
      <c r="B2312" s="8" t="s">
        <v>1650</v>
      </c>
      <c r="C2312" s="8" t="s">
        <v>3687</v>
      </c>
      <c r="D2312" s="8">
        <v>3</v>
      </c>
      <c r="E2312" s="8" t="s">
        <v>446</v>
      </c>
      <c r="F2312" s="8" t="s">
        <v>378</v>
      </c>
      <c r="G2312" s="8" t="s">
        <v>3688</v>
      </c>
      <c r="H2312" s="10">
        <v>5</v>
      </c>
      <c r="I2312" s="10"/>
      <c r="J2312" s="10">
        <v>5</v>
      </c>
      <c r="K2312" s="10">
        <v>197.69</v>
      </c>
    </row>
    <row r="2313" spans="1:11" x14ac:dyDescent="0.25">
      <c r="A2313" s="8" t="s">
        <v>3867</v>
      </c>
      <c r="B2313" s="8" t="s">
        <v>120</v>
      </c>
      <c r="C2313" s="8" t="s">
        <v>3687</v>
      </c>
      <c r="D2313" s="8">
        <v>3</v>
      </c>
      <c r="E2313" s="8" t="s">
        <v>446</v>
      </c>
      <c r="F2313" s="8" t="s">
        <v>378</v>
      </c>
      <c r="G2313" s="8" t="s">
        <v>3688</v>
      </c>
      <c r="H2313" s="10">
        <v>5</v>
      </c>
      <c r="I2313" s="10"/>
      <c r="J2313" s="10">
        <v>5</v>
      </c>
      <c r="K2313" s="10">
        <v>197.69</v>
      </c>
    </row>
    <row r="2314" spans="1:11" x14ac:dyDescent="0.25">
      <c r="A2314" s="8" t="s">
        <v>3868</v>
      </c>
      <c r="B2314" s="8" t="s">
        <v>120</v>
      </c>
      <c r="C2314" s="8" t="s">
        <v>3687</v>
      </c>
      <c r="D2314" s="8">
        <v>3</v>
      </c>
      <c r="E2314" s="8" t="s">
        <v>446</v>
      </c>
      <c r="F2314" s="8" t="s">
        <v>378</v>
      </c>
      <c r="G2314" s="8" t="s">
        <v>3688</v>
      </c>
      <c r="H2314" s="10">
        <v>10</v>
      </c>
      <c r="I2314" s="10"/>
      <c r="J2314" s="10">
        <v>10</v>
      </c>
      <c r="K2314" s="10">
        <v>197.69</v>
      </c>
    </row>
    <row r="2315" spans="1:11" x14ac:dyDescent="0.25">
      <c r="A2315" s="8" t="s">
        <v>3869</v>
      </c>
      <c r="B2315" s="8" t="s">
        <v>122</v>
      </c>
      <c r="C2315" s="8" t="s">
        <v>3687</v>
      </c>
      <c r="D2315" s="8">
        <v>3</v>
      </c>
      <c r="E2315" s="8" t="s">
        <v>446</v>
      </c>
      <c r="F2315" s="8" t="s">
        <v>378</v>
      </c>
      <c r="G2315" s="8" t="s">
        <v>3688</v>
      </c>
      <c r="H2315" s="10">
        <v>10</v>
      </c>
      <c r="I2315" s="10"/>
      <c r="J2315" s="10">
        <v>10</v>
      </c>
      <c r="K2315" s="10">
        <v>197.69</v>
      </c>
    </row>
    <row r="2316" spans="1:11" x14ac:dyDescent="0.25">
      <c r="A2316" s="8" t="s">
        <v>3870</v>
      </c>
      <c r="B2316" s="8" t="s">
        <v>124</v>
      </c>
      <c r="C2316" s="8" t="s">
        <v>3687</v>
      </c>
      <c r="D2316" s="8">
        <v>3</v>
      </c>
      <c r="E2316" s="8" t="s">
        <v>446</v>
      </c>
      <c r="F2316" s="8" t="s">
        <v>378</v>
      </c>
      <c r="G2316" s="8" t="s">
        <v>3688</v>
      </c>
      <c r="H2316" s="10">
        <v>15</v>
      </c>
      <c r="I2316" s="10"/>
      <c r="J2316" s="10">
        <v>15</v>
      </c>
      <c r="K2316" s="10">
        <v>197.69</v>
      </c>
    </row>
    <row r="2317" spans="1:11" x14ac:dyDescent="0.25">
      <c r="A2317" s="8" t="s">
        <v>3871</v>
      </c>
      <c r="B2317" s="8" t="s">
        <v>78</v>
      </c>
      <c r="C2317" s="8" t="s">
        <v>3687</v>
      </c>
      <c r="D2317" s="8">
        <v>3</v>
      </c>
      <c r="E2317" s="8" t="s">
        <v>446</v>
      </c>
      <c r="F2317" s="8" t="s">
        <v>378</v>
      </c>
      <c r="G2317" s="8" t="s">
        <v>3688</v>
      </c>
      <c r="H2317" s="10">
        <v>5</v>
      </c>
      <c r="I2317" s="10"/>
      <c r="J2317" s="10">
        <v>5</v>
      </c>
      <c r="K2317" s="10">
        <v>197.69</v>
      </c>
    </row>
    <row r="2318" spans="1:11" x14ac:dyDescent="0.25">
      <c r="A2318" s="8" t="s">
        <v>3872</v>
      </c>
      <c r="B2318" s="8" t="s">
        <v>1655</v>
      </c>
      <c r="C2318" s="8" t="s">
        <v>3687</v>
      </c>
      <c r="D2318" s="8">
        <v>3</v>
      </c>
      <c r="E2318" s="8" t="s">
        <v>446</v>
      </c>
      <c r="F2318" s="8" t="s">
        <v>378</v>
      </c>
      <c r="G2318" s="8" t="s">
        <v>3688</v>
      </c>
      <c r="H2318" s="10">
        <v>5</v>
      </c>
      <c r="I2318" s="10"/>
      <c r="J2318" s="10">
        <v>5</v>
      </c>
      <c r="K2318" s="10">
        <v>197.69</v>
      </c>
    </row>
    <row r="2319" spans="1:11" x14ac:dyDescent="0.25">
      <c r="A2319" s="8" t="s">
        <v>3873</v>
      </c>
      <c r="B2319" s="8" t="s">
        <v>128</v>
      </c>
      <c r="C2319" s="8" t="s">
        <v>3687</v>
      </c>
      <c r="D2319" s="8">
        <v>3</v>
      </c>
      <c r="E2319" s="8" t="s">
        <v>446</v>
      </c>
      <c r="F2319" s="8" t="s">
        <v>378</v>
      </c>
      <c r="G2319" s="8" t="s">
        <v>3688</v>
      </c>
      <c r="H2319" s="10">
        <v>5</v>
      </c>
      <c r="I2319" s="10"/>
      <c r="J2319" s="10">
        <v>5</v>
      </c>
      <c r="K2319" s="10">
        <v>197.69</v>
      </c>
    </row>
    <row r="2320" spans="1:11" x14ac:dyDescent="0.25">
      <c r="A2320" s="8" t="s">
        <v>3874</v>
      </c>
      <c r="B2320" s="8" t="s">
        <v>130</v>
      </c>
      <c r="C2320" s="8" t="s">
        <v>3687</v>
      </c>
      <c r="D2320" s="8">
        <v>3</v>
      </c>
      <c r="E2320" s="8" t="s">
        <v>446</v>
      </c>
      <c r="F2320" s="8" t="s">
        <v>378</v>
      </c>
      <c r="G2320" s="8" t="s">
        <v>3688</v>
      </c>
      <c r="H2320" s="10">
        <v>3</v>
      </c>
      <c r="I2320" s="10"/>
      <c r="J2320" s="10">
        <v>3</v>
      </c>
      <c r="K2320" s="10">
        <v>197.69</v>
      </c>
    </row>
    <row r="2321" spans="1:11" x14ac:dyDescent="0.25">
      <c r="A2321" s="8" t="s">
        <v>3875</v>
      </c>
      <c r="B2321" s="8" t="s">
        <v>132</v>
      </c>
      <c r="C2321" s="8" t="s">
        <v>3687</v>
      </c>
      <c r="D2321" s="8">
        <v>3</v>
      </c>
      <c r="E2321" s="8" t="s">
        <v>446</v>
      </c>
      <c r="F2321" s="8" t="s">
        <v>378</v>
      </c>
      <c r="G2321" s="8" t="s">
        <v>3688</v>
      </c>
      <c r="H2321" s="10">
        <v>5</v>
      </c>
      <c r="I2321" s="10"/>
      <c r="J2321" s="10">
        <v>5</v>
      </c>
      <c r="K2321" s="10">
        <v>197.69</v>
      </c>
    </row>
    <row r="2322" spans="1:11" x14ac:dyDescent="0.25">
      <c r="A2322" s="8" t="s">
        <v>3876</v>
      </c>
      <c r="B2322" s="8" t="s">
        <v>134</v>
      </c>
      <c r="C2322" s="8" t="s">
        <v>3687</v>
      </c>
      <c r="D2322" s="8">
        <v>3</v>
      </c>
      <c r="E2322" s="8" t="s">
        <v>446</v>
      </c>
      <c r="F2322" s="8" t="s">
        <v>378</v>
      </c>
      <c r="G2322" s="8" t="s">
        <v>3688</v>
      </c>
      <c r="H2322" s="10">
        <v>5</v>
      </c>
      <c r="I2322" s="10"/>
      <c r="J2322" s="10">
        <v>5</v>
      </c>
      <c r="K2322" s="10">
        <v>197.69</v>
      </c>
    </row>
    <row r="2323" spans="1:11" x14ac:dyDescent="0.25">
      <c r="A2323" s="8" t="s">
        <v>3877</v>
      </c>
      <c r="B2323" s="8" t="s">
        <v>136</v>
      </c>
      <c r="C2323" s="8" t="s">
        <v>3687</v>
      </c>
      <c r="D2323" s="8">
        <v>3</v>
      </c>
      <c r="E2323" s="8" t="s">
        <v>446</v>
      </c>
      <c r="F2323" s="8" t="s">
        <v>378</v>
      </c>
      <c r="G2323" s="8" t="s">
        <v>3688</v>
      </c>
      <c r="H2323" s="10">
        <v>5</v>
      </c>
      <c r="I2323" s="10"/>
      <c r="J2323" s="10">
        <v>5</v>
      </c>
      <c r="K2323" s="10">
        <v>197.69</v>
      </c>
    </row>
    <row r="2324" spans="1:11" x14ac:dyDescent="0.25">
      <c r="A2324" s="8" t="s">
        <v>3878</v>
      </c>
      <c r="B2324" s="8" t="s">
        <v>1689</v>
      </c>
      <c r="C2324" s="8" t="s">
        <v>3687</v>
      </c>
      <c r="D2324" s="8">
        <v>3</v>
      </c>
      <c r="E2324" s="8" t="s">
        <v>446</v>
      </c>
      <c r="F2324" s="8" t="s">
        <v>378</v>
      </c>
      <c r="G2324" s="8" t="s">
        <v>3688</v>
      </c>
      <c r="H2324" s="10">
        <v>1</v>
      </c>
      <c r="I2324" s="10"/>
      <c r="J2324" s="10">
        <v>1</v>
      </c>
      <c r="K2324" s="10">
        <v>197.69</v>
      </c>
    </row>
    <row r="2325" spans="1:11" x14ac:dyDescent="0.25">
      <c r="A2325" s="8" t="s">
        <v>3879</v>
      </c>
      <c r="B2325" s="8" t="s">
        <v>138</v>
      </c>
      <c r="C2325" s="8" t="s">
        <v>3687</v>
      </c>
      <c r="D2325" s="8">
        <v>3</v>
      </c>
      <c r="E2325" s="8" t="s">
        <v>446</v>
      </c>
      <c r="F2325" s="8" t="s">
        <v>378</v>
      </c>
      <c r="G2325" s="8" t="s">
        <v>3688</v>
      </c>
      <c r="H2325" s="10">
        <v>3</v>
      </c>
      <c r="I2325" s="10"/>
      <c r="J2325" s="10">
        <v>3</v>
      </c>
      <c r="K2325" s="10">
        <v>197.69</v>
      </c>
    </row>
    <row r="2326" spans="1:11" x14ac:dyDescent="0.25">
      <c r="A2326" s="8" t="s">
        <v>3880</v>
      </c>
      <c r="B2326" s="8" t="s">
        <v>80</v>
      </c>
      <c r="C2326" s="8" t="s">
        <v>3687</v>
      </c>
      <c r="D2326" s="8">
        <v>3</v>
      </c>
      <c r="E2326" s="8" t="s">
        <v>446</v>
      </c>
      <c r="F2326" s="8" t="s">
        <v>378</v>
      </c>
      <c r="G2326" s="8" t="s">
        <v>3688</v>
      </c>
      <c r="H2326" s="10">
        <v>5</v>
      </c>
      <c r="I2326" s="10"/>
      <c r="J2326" s="10">
        <v>5</v>
      </c>
      <c r="K2326" s="10">
        <v>197.69</v>
      </c>
    </row>
    <row r="2327" spans="1:11" x14ac:dyDescent="0.25">
      <c r="A2327" s="8" t="s">
        <v>3881</v>
      </c>
      <c r="B2327" s="8" t="s">
        <v>116</v>
      </c>
      <c r="C2327" s="8" t="s">
        <v>3687</v>
      </c>
      <c r="D2327" s="8">
        <v>3</v>
      </c>
      <c r="E2327" s="8" t="s">
        <v>449</v>
      </c>
      <c r="F2327" s="8" t="s">
        <v>378</v>
      </c>
      <c r="G2327" s="8" t="s">
        <v>3688</v>
      </c>
      <c r="H2327" s="10">
        <v>2</v>
      </c>
      <c r="I2327" s="10"/>
      <c r="J2327" s="10">
        <v>2</v>
      </c>
      <c r="K2327" s="10">
        <v>216</v>
      </c>
    </row>
    <row r="2328" spans="1:11" x14ac:dyDescent="0.25">
      <c r="A2328" s="8" t="s">
        <v>3882</v>
      </c>
      <c r="B2328" s="8" t="s">
        <v>116</v>
      </c>
      <c r="C2328" s="8" t="s">
        <v>3687</v>
      </c>
      <c r="D2328" s="8">
        <v>3</v>
      </c>
      <c r="E2328" s="8" t="s">
        <v>449</v>
      </c>
      <c r="F2328" s="8" t="s">
        <v>378</v>
      </c>
      <c r="G2328" s="8" t="s">
        <v>3688</v>
      </c>
      <c r="H2328" s="10">
        <v>2</v>
      </c>
      <c r="I2328" s="10"/>
      <c r="J2328" s="10">
        <v>2</v>
      </c>
      <c r="K2328" s="10">
        <v>216</v>
      </c>
    </row>
    <row r="2329" spans="1:11" x14ac:dyDescent="0.25">
      <c r="A2329" s="8" t="s">
        <v>3883</v>
      </c>
      <c r="B2329" s="8" t="s">
        <v>118</v>
      </c>
      <c r="C2329" s="8" t="s">
        <v>3687</v>
      </c>
      <c r="D2329" s="8">
        <v>3</v>
      </c>
      <c r="E2329" s="8" t="s">
        <v>449</v>
      </c>
      <c r="F2329" s="8" t="s">
        <v>378</v>
      </c>
      <c r="G2329" s="8" t="s">
        <v>3688</v>
      </c>
      <c r="H2329" s="10">
        <v>5</v>
      </c>
      <c r="I2329" s="10"/>
      <c r="J2329" s="10">
        <v>5</v>
      </c>
      <c r="K2329" s="10">
        <v>216</v>
      </c>
    </row>
    <row r="2330" spans="1:11" x14ac:dyDescent="0.25">
      <c r="A2330" s="8" t="s">
        <v>3884</v>
      </c>
      <c r="B2330" s="8" t="s">
        <v>1650</v>
      </c>
      <c r="C2330" s="8" t="s">
        <v>3687</v>
      </c>
      <c r="D2330" s="8">
        <v>3</v>
      </c>
      <c r="E2330" s="8" t="s">
        <v>449</v>
      </c>
      <c r="F2330" s="8" t="s">
        <v>378</v>
      </c>
      <c r="G2330" s="8" t="s">
        <v>3688</v>
      </c>
      <c r="H2330" s="10">
        <v>3</v>
      </c>
      <c r="I2330" s="10"/>
      <c r="J2330" s="10">
        <v>3</v>
      </c>
      <c r="K2330" s="10">
        <v>216</v>
      </c>
    </row>
    <row r="2331" spans="1:11" x14ac:dyDescent="0.25">
      <c r="A2331" s="8" t="s">
        <v>3885</v>
      </c>
      <c r="B2331" s="8" t="s">
        <v>120</v>
      </c>
      <c r="C2331" s="8" t="s">
        <v>3687</v>
      </c>
      <c r="D2331" s="8">
        <v>3</v>
      </c>
      <c r="E2331" s="8" t="s">
        <v>449</v>
      </c>
      <c r="F2331" s="8" t="s">
        <v>378</v>
      </c>
      <c r="G2331" s="8" t="s">
        <v>3688</v>
      </c>
      <c r="H2331" s="10">
        <v>5</v>
      </c>
      <c r="I2331" s="10"/>
      <c r="J2331" s="10">
        <v>5</v>
      </c>
      <c r="K2331" s="10">
        <v>216</v>
      </c>
    </row>
    <row r="2332" spans="1:11" x14ac:dyDescent="0.25">
      <c r="A2332" s="8" t="s">
        <v>3886</v>
      </c>
      <c r="B2332" s="8" t="s">
        <v>120</v>
      </c>
      <c r="C2332" s="8" t="s">
        <v>3687</v>
      </c>
      <c r="D2332" s="8">
        <v>3</v>
      </c>
      <c r="E2332" s="8" t="s">
        <v>449</v>
      </c>
      <c r="F2332" s="8" t="s">
        <v>378</v>
      </c>
      <c r="G2332" s="8" t="s">
        <v>3688</v>
      </c>
      <c r="H2332" s="10">
        <v>5</v>
      </c>
      <c r="I2332" s="10"/>
      <c r="J2332" s="10">
        <v>5</v>
      </c>
      <c r="K2332" s="10">
        <v>216</v>
      </c>
    </row>
    <row r="2333" spans="1:11" x14ac:dyDescent="0.25">
      <c r="A2333" s="8" t="s">
        <v>3887</v>
      </c>
      <c r="B2333" s="8" t="s">
        <v>122</v>
      </c>
      <c r="C2333" s="8" t="s">
        <v>3687</v>
      </c>
      <c r="D2333" s="8">
        <v>3</v>
      </c>
      <c r="E2333" s="8" t="s">
        <v>449</v>
      </c>
      <c r="F2333" s="8" t="s">
        <v>378</v>
      </c>
      <c r="G2333" s="8" t="s">
        <v>3688</v>
      </c>
      <c r="H2333" s="10">
        <v>30</v>
      </c>
      <c r="I2333" s="10"/>
      <c r="J2333" s="10">
        <v>30</v>
      </c>
      <c r="K2333" s="10">
        <v>216</v>
      </c>
    </row>
    <row r="2334" spans="1:11" x14ac:dyDescent="0.25">
      <c r="A2334" s="8" t="s">
        <v>3888</v>
      </c>
      <c r="B2334" s="8" t="s">
        <v>124</v>
      </c>
      <c r="C2334" s="8" t="s">
        <v>3687</v>
      </c>
      <c r="D2334" s="8">
        <v>3</v>
      </c>
      <c r="E2334" s="8" t="s">
        <v>449</v>
      </c>
      <c r="F2334" s="8" t="s">
        <v>378</v>
      </c>
      <c r="G2334" s="8" t="s">
        <v>3688</v>
      </c>
      <c r="H2334" s="10">
        <v>15</v>
      </c>
      <c r="I2334" s="10"/>
      <c r="J2334" s="10">
        <v>15</v>
      </c>
      <c r="K2334" s="10">
        <v>216</v>
      </c>
    </row>
    <row r="2335" spans="1:11" x14ac:dyDescent="0.25">
      <c r="A2335" s="8" t="s">
        <v>3889</v>
      </c>
      <c r="B2335" s="8" t="s">
        <v>78</v>
      </c>
      <c r="C2335" s="8" t="s">
        <v>3687</v>
      </c>
      <c r="D2335" s="8">
        <v>3</v>
      </c>
      <c r="E2335" s="8" t="s">
        <v>449</v>
      </c>
      <c r="F2335" s="8" t="s">
        <v>378</v>
      </c>
      <c r="G2335" s="8" t="s">
        <v>3688</v>
      </c>
      <c r="H2335" s="10">
        <v>3</v>
      </c>
      <c r="I2335" s="10"/>
      <c r="J2335" s="10">
        <v>3</v>
      </c>
      <c r="K2335" s="10">
        <v>216</v>
      </c>
    </row>
    <row r="2336" spans="1:11" x14ac:dyDescent="0.25">
      <c r="A2336" s="8" t="s">
        <v>3890</v>
      </c>
      <c r="B2336" s="8" t="s">
        <v>1655</v>
      </c>
      <c r="C2336" s="8" t="s">
        <v>3687</v>
      </c>
      <c r="D2336" s="8">
        <v>3</v>
      </c>
      <c r="E2336" s="8" t="s">
        <v>449</v>
      </c>
      <c r="F2336" s="8" t="s">
        <v>378</v>
      </c>
      <c r="G2336" s="8" t="s">
        <v>3688</v>
      </c>
      <c r="H2336" s="10">
        <v>3</v>
      </c>
      <c r="I2336" s="10"/>
      <c r="J2336" s="10">
        <v>3</v>
      </c>
      <c r="K2336" s="10">
        <v>216</v>
      </c>
    </row>
    <row r="2337" spans="1:11" x14ac:dyDescent="0.25">
      <c r="A2337" s="8" t="s">
        <v>3891</v>
      </c>
      <c r="B2337" s="8" t="s">
        <v>128</v>
      </c>
      <c r="C2337" s="8" t="s">
        <v>3687</v>
      </c>
      <c r="D2337" s="8">
        <v>3</v>
      </c>
      <c r="E2337" s="8" t="s">
        <v>449</v>
      </c>
      <c r="F2337" s="8" t="s">
        <v>378</v>
      </c>
      <c r="G2337" s="8" t="s">
        <v>3688</v>
      </c>
      <c r="H2337" s="10">
        <v>5</v>
      </c>
      <c r="I2337" s="10"/>
      <c r="J2337" s="10">
        <v>5</v>
      </c>
      <c r="K2337" s="10">
        <v>216</v>
      </c>
    </row>
    <row r="2338" spans="1:11" x14ac:dyDescent="0.25">
      <c r="A2338" s="8" t="s">
        <v>3892</v>
      </c>
      <c r="B2338" s="8" t="s">
        <v>949</v>
      </c>
      <c r="C2338" s="8" t="s">
        <v>3687</v>
      </c>
      <c r="D2338" s="8">
        <v>3</v>
      </c>
      <c r="E2338" s="8" t="s">
        <v>449</v>
      </c>
      <c r="F2338" s="8" t="s">
        <v>378</v>
      </c>
      <c r="G2338" s="8" t="s">
        <v>3688</v>
      </c>
      <c r="H2338" s="10">
        <v>2</v>
      </c>
      <c r="I2338" s="10"/>
      <c r="J2338" s="10">
        <v>2</v>
      </c>
      <c r="K2338" s="10">
        <v>216</v>
      </c>
    </row>
    <row r="2339" spans="1:11" x14ac:dyDescent="0.25">
      <c r="A2339" s="8" t="s">
        <v>3893</v>
      </c>
      <c r="B2339" s="8" t="s">
        <v>132</v>
      </c>
      <c r="C2339" s="8" t="s">
        <v>3687</v>
      </c>
      <c r="D2339" s="8">
        <v>3</v>
      </c>
      <c r="E2339" s="8" t="s">
        <v>449</v>
      </c>
      <c r="F2339" s="8" t="s">
        <v>378</v>
      </c>
      <c r="G2339" s="8" t="s">
        <v>3688</v>
      </c>
      <c r="H2339" s="10">
        <v>3</v>
      </c>
      <c r="I2339" s="10"/>
      <c r="J2339" s="10">
        <v>3</v>
      </c>
      <c r="K2339" s="10">
        <v>216</v>
      </c>
    </row>
    <row r="2340" spans="1:11" x14ac:dyDescent="0.25">
      <c r="A2340" s="8" t="s">
        <v>3894</v>
      </c>
      <c r="B2340" s="8" t="s">
        <v>134</v>
      </c>
      <c r="C2340" s="8" t="s">
        <v>3687</v>
      </c>
      <c r="D2340" s="8">
        <v>3</v>
      </c>
      <c r="E2340" s="8" t="s">
        <v>449</v>
      </c>
      <c r="F2340" s="8" t="s">
        <v>378</v>
      </c>
      <c r="G2340" s="8" t="s">
        <v>3688</v>
      </c>
      <c r="H2340" s="10">
        <v>5</v>
      </c>
      <c r="I2340" s="10"/>
      <c r="J2340" s="10">
        <v>5</v>
      </c>
      <c r="K2340" s="10">
        <v>216</v>
      </c>
    </row>
    <row r="2341" spans="1:11" x14ac:dyDescent="0.25">
      <c r="A2341" s="8" t="s">
        <v>3895</v>
      </c>
      <c r="B2341" s="8" t="s">
        <v>136</v>
      </c>
      <c r="C2341" s="8" t="s">
        <v>3687</v>
      </c>
      <c r="D2341" s="8">
        <v>3</v>
      </c>
      <c r="E2341" s="8" t="s">
        <v>449</v>
      </c>
      <c r="F2341" s="8" t="s">
        <v>378</v>
      </c>
      <c r="G2341" s="8" t="s">
        <v>3688</v>
      </c>
      <c r="H2341" s="10">
        <v>5</v>
      </c>
      <c r="I2341" s="10"/>
      <c r="J2341" s="10">
        <v>5</v>
      </c>
      <c r="K2341" s="10">
        <v>216</v>
      </c>
    </row>
    <row r="2342" spans="1:11" x14ac:dyDescent="0.25">
      <c r="A2342" s="8" t="s">
        <v>3896</v>
      </c>
      <c r="B2342" s="8" t="s">
        <v>138</v>
      </c>
      <c r="C2342" s="8" t="s">
        <v>3687</v>
      </c>
      <c r="D2342" s="8">
        <v>3</v>
      </c>
      <c r="E2342" s="8" t="s">
        <v>449</v>
      </c>
      <c r="F2342" s="8" t="s">
        <v>378</v>
      </c>
      <c r="G2342" s="8" t="s">
        <v>3688</v>
      </c>
      <c r="H2342" s="10">
        <v>3</v>
      </c>
      <c r="I2342" s="10"/>
      <c r="J2342" s="10">
        <v>3</v>
      </c>
      <c r="K2342" s="10">
        <v>216</v>
      </c>
    </row>
    <row r="2343" spans="1:11" x14ac:dyDescent="0.25">
      <c r="A2343" s="8" t="s">
        <v>3897</v>
      </c>
      <c r="B2343" s="8" t="s">
        <v>80</v>
      </c>
      <c r="C2343" s="8" t="s">
        <v>3687</v>
      </c>
      <c r="D2343" s="8">
        <v>3</v>
      </c>
      <c r="E2343" s="8" t="s">
        <v>449</v>
      </c>
      <c r="F2343" s="8" t="s">
        <v>378</v>
      </c>
      <c r="G2343" s="8" t="s">
        <v>3688</v>
      </c>
      <c r="H2343" s="10">
        <v>5</v>
      </c>
      <c r="I2343" s="10"/>
      <c r="J2343" s="10">
        <v>5</v>
      </c>
      <c r="K2343" s="10">
        <v>216</v>
      </c>
    </row>
    <row r="2344" spans="1:11" x14ac:dyDescent="0.25">
      <c r="A2344" s="8" t="s">
        <v>3898</v>
      </c>
      <c r="B2344" s="8" t="s">
        <v>118</v>
      </c>
      <c r="C2344" s="8" t="s">
        <v>3687</v>
      </c>
      <c r="D2344" s="8">
        <v>3</v>
      </c>
      <c r="E2344" s="8" t="s">
        <v>452</v>
      </c>
      <c r="F2344" s="8" t="s">
        <v>378</v>
      </c>
      <c r="G2344" s="8" t="s">
        <v>3688</v>
      </c>
      <c r="H2344" s="10">
        <v>3</v>
      </c>
      <c r="I2344" s="10"/>
      <c r="J2344" s="10">
        <v>3</v>
      </c>
      <c r="K2344" s="10">
        <v>234.32</v>
      </c>
    </row>
    <row r="2345" spans="1:11" x14ac:dyDescent="0.25">
      <c r="A2345" s="8" t="s">
        <v>3899</v>
      </c>
      <c r="B2345" s="8" t="s">
        <v>1650</v>
      </c>
      <c r="C2345" s="8" t="s">
        <v>3687</v>
      </c>
      <c r="D2345" s="8">
        <v>3</v>
      </c>
      <c r="E2345" s="8" t="s">
        <v>452</v>
      </c>
      <c r="F2345" s="8" t="s">
        <v>378</v>
      </c>
      <c r="G2345" s="8" t="s">
        <v>3688</v>
      </c>
      <c r="H2345" s="10">
        <v>3</v>
      </c>
      <c r="I2345" s="10"/>
      <c r="J2345" s="10">
        <v>3</v>
      </c>
      <c r="K2345" s="10">
        <v>234.32</v>
      </c>
    </row>
    <row r="2346" spans="1:11" x14ac:dyDescent="0.25">
      <c r="A2346" s="8" t="s">
        <v>3900</v>
      </c>
      <c r="B2346" s="8" t="s">
        <v>120</v>
      </c>
      <c r="C2346" s="8" t="s">
        <v>3687</v>
      </c>
      <c r="D2346" s="8">
        <v>3</v>
      </c>
      <c r="E2346" s="8" t="s">
        <v>452</v>
      </c>
      <c r="F2346" s="8" t="s">
        <v>378</v>
      </c>
      <c r="G2346" s="8" t="s">
        <v>3688</v>
      </c>
      <c r="H2346" s="10">
        <v>3</v>
      </c>
      <c r="I2346" s="10"/>
      <c r="J2346" s="10">
        <v>3</v>
      </c>
      <c r="K2346" s="10">
        <v>234.32</v>
      </c>
    </row>
    <row r="2347" spans="1:11" x14ac:dyDescent="0.25">
      <c r="A2347" s="8" t="s">
        <v>3901</v>
      </c>
      <c r="B2347" s="8" t="s">
        <v>120</v>
      </c>
      <c r="C2347" s="8" t="s">
        <v>3687</v>
      </c>
      <c r="D2347" s="8">
        <v>3</v>
      </c>
      <c r="E2347" s="8" t="s">
        <v>452</v>
      </c>
      <c r="F2347" s="8" t="s">
        <v>378</v>
      </c>
      <c r="G2347" s="8" t="s">
        <v>3688</v>
      </c>
      <c r="H2347" s="10">
        <v>5</v>
      </c>
      <c r="I2347" s="10"/>
      <c r="J2347" s="10">
        <v>5</v>
      </c>
      <c r="K2347" s="10">
        <v>234.32</v>
      </c>
    </row>
    <row r="2348" spans="1:11" x14ac:dyDescent="0.25">
      <c r="A2348" s="8" t="s">
        <v>3902</v>
      </c>
      <c r="B2348" s="8" t="s">
        <v>122</v>
      </c>
      <c r="C2348" s="8" t="s">
        <v>3687</v>
      </c>
      <c r="D2348" s="8">
        <v>3</v>
      </c>
      <c r="E2348" s="8" t="s">
        <v>452</v>
      </c>
      <c r="F2348" s="8" t="s">
        <v>378</v>
      </c>
      <c r="G2348" s="8" t="s">
        <v>3688</v>
      </c>
      <c r="H2348" s="10">
        <v>3</v>
      </c>
      <c r="I2348" s="10"/>
      <c r="J2348" s="10">
        <v>3</v>
      </c>
      <c r="K2348" s="10">
        <v>234.32</v>
      </c>
    </row>
    <row r="2349" spans="1:11" x14ac:dyDescent="0.25">
      <c r="A2349" s="8" t="s">
        <v>3903</v>
      </c>
      <c r="B2349" s="8" t="s">
        <v>124</v>
      </c>
      <c r="C2349" s="8" t="s">
        <v>3687</v>
      </c>
      <c r="D2349" s="8">
        <v>3</v>
      </c>
      <c r="E2349" s="8" t="s">
        <v>452</v>
      </c>
      <c r="F2349" s="8" t="s">
        <v>378</v>
      </c>
      <c r="G2349" s="8" t="s">
        <v>3688</v>
      </c>
      <c r="H2349" s="10">
        <v>3</v>
      </c>
      <c r="I2349" s="10"/>
      <c r="J2349" s="10">
        <v>3</v>
      </c>
      <c r="K2349" s="10">
        <v>234.32</v>
      </c>
    </row>
    <row r="2350" spans="1:11" x14ac:dyDescent="0.25">
      <c r="A2350" s="8" t="s">
        <v>3904</v>
      </c>
      <c r="B2350" s="8" t="s">
        <v>78</v>
      </c>
      <c r="C2350" s="8" t="s">
        <v>3687</v>
      </c>
      <c r="D2350" s="8">
        <v>3</v>
      </c>
      <c r="E2350" s="8" t="s">
        <v>452</v>
      </c>
      <c r="F2350" s="8" t="s">
        <v>378</v>
      </c>
      <c r="G2350" s="8" t="s">
        <v>3688</v>
      </c>
      <c r="H2350" s="10">
        <v>3</v>
      </c>
      <c r="I2350" s="10"/>
      <c r="J2350" s="10">
        <v>3</v>
      </c>
      <c r="K2350" s="10">
        <v>234.32</v>
      </c>
    </row>
    <row r="2351" spans="1:11" x14ac:dyDescent="0.25">
      <c r="A2351" s="8" t="s">
        <v>3905</v>
      </c>
      <c r="B2351" s="8" t="s">
        <v>1655</v>
      </c>
      <c r="C2351" s="8" t="s">
        <v>3687</v>
      </c>
      <c r="D2351" s="8">
        <v>3</v>
      </c>
      <c r="E2351" s="8" t="s">
        <v>452</v>
      </c>
      <c r="F2351" s="8" t="s">
        <v>378</v>
      </c>
      <c r="G2351" s="8" t="s">
        <v>3688</v>
      </c>
      <c r="H2351" s="10">
        <v>3</v>
      </c>
      <c r="I2351" s="10"/>
      <c r="J2351" s="10">
        <v>3</v>
      </c>
      <c r="K2351" s="10">
        <v>234.32</v>
      </c>
    </row>
    <row r="2352" spans="1:11" x14ac:dyDescent="0.25">
      <c r="A2352" s="8" t="s">
        <v>3906</v>
      </c>
      <c r="B2352" s="8" t="s">
        <v>128</v>
      </c>
      <c r="C2352" s="8" t="s">
        <v>3687</v>
      </c>
      <c r="D2352" s="8">
        <v>3</v>
      </c>
      <c r="E2352" s="8" t="s">
        <v>452</v>
      </c>
      <c r="F2352" s="8" t="s">
        <v>378</v>
      </c>
      <c r="G2352" s="8" t="s">
        <v>3688</v>
      </c>
      <c r="H2352" s="10">
        <v>3</v>
      </c>
      <c r="I2352" s="10"/>
      <c r="J2352" s="10">
        <v>3</v>
      </c>
      <c r="K2352" s="10">
        <v>234.32</v>
      </c>
    </row>
    <row r="2353" spans="1:11" x14ac:dyDescent="0.25">
      <c r="A2353" s="8" t="s">
        <v>3907</v>
      </c>
      <c r="B2353" s="8" t="s">
        <v>132</v>
      </c>
      <c r="C2353" s="8" t="s">
        <v>3687</v>
      </c>
      <c r="D2353" s="8">
        <v>3</v>
      </c>
      <c r="E2353" s="8" t="s">
        <v>452</v>
      </c>
      <c r="F2353" s="8" t="s">
        <v>378</v>
      </c>
      <c r="G2353" s="8" t="s">
        <v>3688</v>
      </c>
      <c r="H2353" s="10">
        <v>3</v>
      </c>
      <c r="I2353" s="10"/>
      <c r="J2353" s="10">
        <v>3</v>
      </c>
      <c r="K2353" s="10">
        <v>234.32</v>
      </c>
    </row>
    <row r="2354" spans="1:11" x14ac:dyDescent="0.25">
      <c r="A2354" s="8" t="s">
        <v>3908</v>
      </c>
      <c r="B2354" s="8" t="s">
        <v>134</v>
      </c>
      <c r="C2354" s="8" t="s">
        <v>3687</v>
      </c>
      <c r="D2354" s="8">
        <v>3</v>
      </c>
      <c r="E2354" s="8" t="s">
        <v>452</v>
      </c>
      <c r="F2354" s="8" t="s">
        <v>378</v>
      </c>
      <c r="G2354" s="8" t="s">
        <v>3688</v>
      </c>
      <c r="H2354" s="10">
        <v>3</v>
      </c>
      <c r="I2354" s="10"/>
      <c r="J2354" s="10">
        <v>3</v>
      </c>
      <c r="K2354" s="10">
        <v>234.32</v>
      </c>
    </row>
    <row r="2355" spans="1:11" x14ac:dyDescent="0.25">
      <c r="A2355" s="8" t="s">
        <v>3909</v>
      </c>
      <c r="B2355" s="8" t="s">
        <v>136</v>
      </c>
      <c r="C2355" s="8" t="s">
        <v>3687</v>
      </c>
      <c r="D2355" s="8">
        <v>3</v>
      </c>
      <c r="E2355" s="8" t="s">
        <v>452</v>
      </c>
      <c r="F2355" s="8" t="s">
        <v>378</v>
      </c>
      <c r="G2355" s="8" t="s">
        <v>3688</v>
      </c>
      <c r="H2355" s="10">
        <v>5</v>
      </c>
      <c r="I2355" s="10"/>
      <c r="J2355" s="10">
        <v>5</v>
      </c>
      <c r="K2355" s="10">
        <v>234.32</v>
      </c>
    </row>
    <row r="2356" spans="1:11" x14ac:dyDescent="0.25">
      <c r="A2356" s="8" t="s">
        <v>3910</v>
      </c>
      <c r="B2356" s="8" t="s">
        <v>263</v>
      </c>
      <c r="C2356" s="8" t="s">
        <v>3361</v>
      </c>
      <c r="D2356" s="8">
        <v>4</v>
      </c>
      <c r="E2356" s="8" t="s">
        <v>437</v>
      </c>
      <c r="F2356" s="8" t="s">
        <v>378</v>
      </c>
      <c r="G2356" s="8" t="s">
        <v>3800</v>
      </c>
      <c r="H2356" s="10">
        <v>6</v>
      </c>
      <c r="I2356" s="10"/>
      <c r="J2356" s="10">
        <v>6</v>
      </c>
      <c r="K2356" s="10">
        <v>183.12</v>
      </c>
    </row>
    <row r="2357" spans="1:11" x14ac:dyDescent="0.25">
      <c r="A2357" s="8" t="s">
        <v>3911</v>
      </c>
      <c r="B2357" s="8" t="s">
        <v>269</v>
      </c>
      <c r="C2357" s="8" t="s">
        <v>3361</v>
      </c>
      <c r="D2357" s="8">
        <v>4</v>
      </c>
      <c r="E2357" s="8" t="s">
        <v>437</v>
      </c>
      <c r="F2357" s="8" t="s">
        <v>378</v>
      </c>
      <c r="G2357" s="8" t="s">
        <v>3800</v>
      </c>
      <c r="H2357" s="10">
        <v>6</v>
      </c>
      <c r="I2357" s="10"/>
      <c r="J2357" s="10">
        <v>6</v>
      </c>
      <c r="K2357" s="10">
        <v>183.12</v>
      </c>
    </row>
    <row r="2358" spans="1:11" x14ac:dyDescent="0.25">
      <c r="A2358" s="8" t="s">
        <v>3912</v>
      </c>
      <c r="B2358" s="8" t="s">
        <v>263</v>
      </c>
      <c r="C2358" s="8" t="s">
        <v>3361</v>
      </c>
      <c r="D2358" s="8">
        <v>4</v>
      </c>
      <c r="E2358" s="8" t="s">
        <v>443</v>
      </c>
      <c r="F2358" s="8" t="s">
        <v>378</v>
      </c>
      <c r="G2358" s="8" t="s">
        <v>3800</v>
      </c>
      <c r="H2358" s="10">
        <v>4</v>
      </c>
      <c r="I2358" s="10"/>
      <c r="J2358" s="10">
        <v>4</v>
      </c>
      <c r="K2358" s="10">
        <v>198.11</v>
      </c>
    </row>
    <row r="2359" spans="1:11" x14ac:dyDescent="0.25">
      <c r="A2359" s="8" t="s">
        <v>3913</v>
      </c>
      <c r="B2359" s="8" t="s">
        <v>269</v>
      </c>
      <c r="C2359" s="8" t="s">
        <v>3361</v>
      </c>
      <c r="D2359" s="8">
        <v>4</v>
      </c>
      <c r="E2359" s="8" t="s">
        <v>443</v>
      </c>
      <c r="F2359" s="8" t="s">
        <v>378</v>
      </c>
      <c r="G2359" s="8" t="s">
        <v>3800</v>
      </c>
      <c r="H2359" s="10">
        <v>4</v>
      </c>
      <c r="I2359" s="10"/>
      <c r="J2359" s="10">
        <v>4</v>
      </c>
      <c r="K2359" s="10">
        <v>198.11</v>
      </c>
    </row>
    <row r="2360" spans="1:11" x14ac:dyDescent="0.25">
      <c r="A2360" s="8" t="s">
        <v>3914</v>
      </c>
      <c r="B2360" s="8" t="s">
        <v>1650</v>
      </c>
      <c r="C2360" s="8" t="s">
        <v>3687</v>
      </c>
      <c r="D2360" s="8">
        <v>3</v>
      </c>
      <c r="E2360" s="8" t="s">
        <v>3915</v>
      </c>
      <c r="F2360" s="8" t="s">
        <v>378</v>
      </c>
      <c r="G2360" s="8" t="s">
        <v>3916</v>
      </c>
      <c r="H2360" s="10">
        <v>150</v>
      </c>
      <c r="I2360" s="10"/>
      <c r="J2360" s="10">
        <v>150</v>
      </c>
      <c r="K2360" s="10">
        <v>170.22</v>
      </c>
    </row>
    <row r="2361" spans="1:11" x14ac:dyDescent="0.25">
      <c r="A2361" s="8" t="s">
        <v>3917</v>
      </c>
      <c r="B2361" s="8" t="s">
        <v>120</v>
      </c>
      <c r="C2361" s="8" t="s">
        <v>3687</v>
      </c>
      <c r="D2361" s="8">
        <v>3</v>
      </c>
      <c r="E2361" s="8" t="s">
        <v>3915</v>
      </c>
      <c r="F2361" s="8" t="s">
        <v>378</v>
      </c>
      <c r="G2361" s="8" t="s">
        <v>3916</v>
      </c>
      <c r="H2361" s="10">
        <v>150</v>
      </c>
      <c r="I2361" s="10"/>
      <c r="J2361" s="10">
        <v>150</v>
      </c>
      <c r="K2361" s="10">
        <v>170.22</v>
      </c>
    </row>
    <row r="2362" spans="1:11" x14ac:dyDescent="0.25">
      <c r="A2362" s="8" t="s">
        <v>3918</v>
      </c>
      <c r="B2362" s="8" t="s">
        <v>1655</v>
      </c>
      <c r="C2362" s="8" t="s">
        <v>3687</v>
      </c>
      <c r="D2362" s="8">
        <v>3</v>
      </c>
      <c r="E2362" s="8" t="s">
        <v>3915</v>
      </c>
      <c r="F2362" s="8" t="s">
        <v>378</v>
      </c>
      <c r="G2362" s="8" t="s">
        <v>3916</v>
      </c>
      <c r="H2362" s="10">
        <v>120</v>
      </c>
      <c r="I2362" s="10"/>
      <c r="J2362" s="10">
        <v>120</v>
      </c>
      <c r="K2362" s="10">
        <v>170.22</v>
      </c>
    </row>
    <row r="2363" spans="1:11" x14ac:dyDescent="0.25">
      <c r="A2363" s="8" t="s">
        <v>3919</v>
      </c>
      <c r="B2363" s="8" t="s">
        <v>134</v>
      </c>
      <c r="C2363" s="8" t="s">
        <v>3687</v>
      </c>
      <c r="D2363" s="8">
        <v>3</v>
      </c>
      <c r="E2363" s="8" t="s">
        <v>3915</v>
      </c>
      <c r="F2363" s="8" t="s">
        <v>378</v>
      </c>
      <c r="G2363" s="8" t="s">
        <v>3916</v>
      </c>
      <c r="H2363" s="10">
        <v>30</v>
      </c>
      <c r="I2363" s="10"/>
      <c r="J2363" s="10">
        <v>30</v>
      </c>
      <c r="K2363" s="10">
        <v>170.22</v>
      </c>
    </row>
    <row r="2364" spans="1:11" x14ac:dyDescent="0.25">
      <c r="A2364" s="8" t="s">
        <v>3920</v>
      </c>
      <c r="B2364" s="8" t="s">
        <v>1650</v>
      </c>
      <c r="C2364" s="8" t="s">
        <v>3687</v>
      </c>
      <c r="D2364" s="8">
        <v>3</v>
      </c>
      <c r="E2364" s="8" t="s">
        <v>3921</v>
      </c>
      <c r="F2364" s="8" t="s">
        <v>378</v>
      </c>
      <c r="G2364" s="8" t="s">
        <v>3916</v>
      </c>
      <c r="H2364" s="10">
        <v>30</v>
      </c>
      <c r="I2364" s="10"/>
      <c r="J2364" s="10">
        <v>30</v>
      </c>
      <c r="K2364" s="10">
        <v>170.22</v>
      </c>
    </row>
    <row r="2365" spans="1:11" x14ac:dyDescent="0.25">
      <c r="A2365" s="8" t="s">
        <v>3922</v>
      </c>
      <c r="B2365" s="8" t="s">
        <v>120</v>
      </c>
      <c r="C2365" s="8" t="s">
        <v>3687</v>
      </c>
      <c r="D2365" s="8">
        <v>3</v>
      </c>
      <c r="E2365" s="8" t="s">
        <v>3921</v>
      </c>
      <c r="F2365" s="8" t="s">
        <v>378</v>
      </c>
      <c r="G2365" s="8" t="s">
        <v>3916</v>
      </c>
      <c r="H2365" s="10">
        <v>60</v>
      </c>
      <c r="I2365" s="10"/>
      <c r="J2365" s="10">
        <v>60</v>
      </c>
      <c r="K2365" s="10">
        <v>170.22</v>
      </c>
    </row>
    <row r="2366" spans="1:11" x14ac:dyDescent="0.25">
      <c r="A2366" s="8" t="s">
        <v>3923</v>
      </c>
      <c r="B2366" s="8" t="s">
        <v>1655</v>
      </c>
      <c r="C2366" s="8" t="s">
        <v>3687</v>
      </c>
      <c r="D2366" s="8">
        <v>3</v>
      </c>
      <c r="E2366" s="8" t="s">
        <v>3921</v>
      </c>
      <c r="F2366" s="8" t="s">
        <v>378</v>
      </c>
      <c r="G2366" s="8" t="s">
        <v>3916</v>
      </c>
      <c r="H2366" s="10">
        <v>30</v>
      </c>
      <c r="I2366" s="10"/>
      <c r="J2366" s="10">
        <v>30</v>
      </c>
      <c r="K2366" s="10">
        <v>170.22</v>
      </c>
    </row>
    <row r="2367" spans="1:11" x14ac:dyDescent="0.25">
      <c r="A2367" s="8" t="s">
        <v>3924</v>
      </c>
      <c r="B2367" s="8" t="s">
        <v>134</v>
      </c>
      <c r="C2367" s="8" t="s">
        <v>3687</v>
      </c>
      <c r="D2367" s="8">
        <v>3</v>
      </c>
      <c r="E2367" s="8" t="s">
        <v>3921</v>
      </c>
      <c r="F2367" s="8" t="s">
        <v>378</v>
      </c>
      <c r="G2367" s="8" t="s">
        <v>3916</v>
      </c>
      <c r="H2367" s="10">
        <v>15</v>
      </c>
      <c r="I2367" s="10"/>
      <c r="J2367" s="10">
        <v>15</v>
      </c>
      <c r="K2367" s="10">
        <v>170.22</v>
      </c>
    </row>
    <row r="2368" spans="1:11" x14ac:dyDescent="0.25">
      <c r="A2368" s="8" t="s">
        <v>3925</v>
      </c>
      <c r="B2368" s="8" t="s">
        <v>116</v>
      </c>
      <c r="C2368" s="8" t="s">
        <v>3687</v>
      </c>
      <c r="D2368" s="8">
        <v>3</v>
      </c>
      <c r="E2368" s="8" t="s">
        <v>3926</v>
      </c>
      <c r="F2368" s="8" t="s">
        <v>378</v>
      </c>
      <c r="G2368" s="8" t="s">
        <v>3916</v>
      </c>
      <c r="H2368" s="10">
        <v>60</v>
      </c>
      <c r="I2368" s="10"/>
      <c r="J2368" s="10">
        <v>60</v>
      </c>
      <c r="K2368" s="10">
        <v>216</v>
      </c>
    </row>
    <row r="2369" spans="1:11" x14ac:dyDescent="0.25">
      <c r="A2369" s="8" t="s">
        <v>3927</v>
      </c>
      <c r="B2369" s="8" t="s">
        <v>118</v>
      </c>
      <c r="C2369" s="8" t="s">
        <v>3687</v>
      </c>
      <c r="D2369" s="8">
        <v>3</v>
      </c>
      <c r="E2369" s="8" t="s">
        <v>3926</v>
      </c>
      <c r="F2369" s="8" t="s">
        <v>378</v>
      </c>
      <c r="G2369" s="8" t="s">
        <v>3916</v>
      </c>
      <c r="H2369" s="10">
        <v>60</v>
      </c>
      <c r="I2369" s="10"/>
      <c r="J2369" s="10">
        <v>60</v>
      </c>
      <c r="K2369" s="10">
        <v>216</v>
      </c>
    </row>
    <row r="2370" spans="1:11" x14ac:dyDescent="0.25">
      <c r="A2370" s="8" t="s">
        <v>3928</v>
      </c>
      <c r="B2370" s="8" t="s">
        <v>1650</v>
      </c>
      <c r="C2370" s="8" t="s">
        <v>3687</v>
      </c>
      <c r="D2370" s="8">
        <v>3</v>
      </c>
      <c r="E2370" s="8" t="s">
        <v>3926</v>
      </c>
      <c r="F2370" s="8" t="s">
        <v>378</v>
      </c>
      <c r="G2370" s="8" t="s">
        <v>3916</v>
      </c>
      <c r="H2370" s="10">
        <v>30</v>
      </c>
      <c r="I2370" s="10"/>
      <c r="J2370" s="10">
        <v>30</v>
      </c>
      <c r="K2370" s="10">
        <v>216</v>
      </c>
    </row>
    <row r="2371" spans="1:11" x14ac:dyDescent="0.25">
      <c r="A2371" s="8" t="s">
        <v>3929</v>
      </c>
      <c r="B2371" s="8" t="s">
        <v>120</v>
      </c>
      <c r="C2371" s="8" t="s">
        <v>3687</v>
      </c>
      <c r="D2371" s="8">
        <v>3</v>
      </c>
      <c r="E2371" s="8" t="s">
        <v>3926</v>
      </c>
      <c r="F2371" s="8" t="s">
        <v>378</v>
      </c>
      <c r="G2371" s="8" t="s">
        <v>3916</v>
      </c>
      <c r="H2371" s="10">
        <v>90</v>
      </c>
      <c r="I2371" s="10"/>
      <c r="J2371" s="10">
        <v>90</v>
      </c>
      <c r="K2371" s="10">
        <v>216</v>
      </c>
    </row>
    <row r="2372" spans="1:11" x14ac:dyDescent="0.25">
      <c r="A2372" s="8" t="s">
        <v>3930</v>
      </c>
      <c r="B2372" s="8" t="s">
        <v>122</v>
      </c>
      <c r="C2372" s="8" t="s">
        <v>3687</v>
      </c>
      <c r="D2372" s="8">
        <v>3</v>
      </c>
      <c r="E2372" s="8" t="s">
        <v>3926</v>
      </c>
      <c r="F2372" s="8" t="s">
        <v>378</v>
      </c>
      <c r="G2372" s="8" t="s">
        <v>3916</v>
      </c>
      <c r="H2372" s="10">
        <v>90</v>
      </c>
      <c r="I2372" s="10"/>
      <c r="J2372" s="10">
        <v>90</v>
      </c>
      <c r="K2372" s="10">
        <v>216</v>
      </c>
    </row>
    <row r="2373" spans="1:11" x14ac:dyDescent="0.25">
      <c r="A2373" s="8" t="s">
        <v>3931</v>
      </c>
      <c r="B2373" s="8" t="s">
        <v>124</v>
      </c>
      <c r="C2373" s="8" t="s">
        <v>3687</v>
      </c>
      <c r="D2373" s="8">
        <v>3</v>
      </c>
      <c r="E2373" s="8" t="s">
        <v>3926</v>
      </c>
      <c r="F2373" s="8" t="s">
        <v>378</v>
      </c>
      <c r="G2373" s="8" t="s">
        <v>3916</v>
      </c>
      <c r="H2373" s="10">
        <v>90</v>
      </c>
      <c r="I2373" s="10"/>
      <c r="J2373" s="10">
        <v>90</v>
      </c>
      <c r="K2373" s="10">
        <v>216</v>
      </c>
    </row>
    <row r="2374" spans="1:11" x14ac:dyDescent="0.25">
      <c r="A2374" s="8" t="s">
        <v>3932</v>
      </c>
      <c r="B2374" s="8" t="s">
        <v>78</v>
      </c>
      <c r="C2374" s="8" t="s">
        <v>3687</v>
      </c>
      <c r="D2374" s="8">
        <v>3</v>
      </c>
      <c r="E2374" s="8" t="s">
        <v>3926</v>
      </c>
      <c r="F2374" s="8" t="s">
        <v>378</v>
      </c>
      <c r="G2374" s="8" t="s">
        <v>3916</v>
      </c>
      <c r="H2374" s="10">
        <v>60</v>
      </c>
      <c r="I2374" s="10"/>
      <c r="J2374" s="10">
        <v>60</v>
      </c>
      <c r="K2374" s="10">
        <v>216</v>
      </c>
    </row>
    <row r="2375" spans="1:11" x14ac:dyDescent="0.25">
      <c r="A2375" s="8" t="s">
        <v>3933</v>
      </c>
      <c r="B2375" s="8" t="s">
        <v>1655</v>
      </c>
      <c r="C2375" s="8" t="s">
        <v>3687</v>
      </c>
      <c r="D2375" s="8">
        <v>3</v>
      </c>
      <c r="E2375" s="8" t="s">
        <v>3926</v>
      </c>
      <c r="F2375" s="8" t="s">
        <v>378</v>
      </c>
      <c r="G2375" s="8" t="s">
        <v>3916</v>
      </c>
      <c r="H2375" s="10">
        <v>30</v>
      </c>
      <c r="I2375" s="10"/>
      <c r="J2375" s="10">
        <v>30</v>
      </c>
      <c r="K2375" s="10">
        <v>216</v>
      </c>
    </row>
    <row r="2376" spans="1:11" x14ac:dyDescent="0.25">
      <c r="A2376" s="8" t="s">
        <v>3934</v>
      </c>
      <c r="B2376" s="8" t="s">
        <v>134</v>
      </c>
      <c r="C2376" s="8" t="s">
        <v>3687</v>
      </c>
      <c r="D2376" s="8">
        <v>3</v>
      </c>
      <c r="E2376" s="8" t="s">
        <v>3926</v>
      </c>
      <c r="F2376" s="8" t="s">
        <v>378</v>
      </c>
      <c r="G2376" s="8" t="s">
        <v>3916</v>
      </c>
      <c r="H2376" s="10">
        <v>30</v>
      </c>
      <c r="I2376" s="10"/>
      <c r="J2376" s="10">
        <v>30</v>
      </c>
      <c r="K2376" s="10">
        <v>216</v>
      </c>
    </row>
    <row r="2377" spans="1:11" x14ac:dyDescent="0.25">
      <c r="A2377" s="8" t="s">
        <v>3935</v>
      </c>
      <c r="B2377" s="8" t="s">
        <v>136</v>
      </c>
      <c r="C2377" s="8" t="s">
        <v>3687</v>
      </c>
      <c r="D2377" s="8">
        <v>3</v>
      </c>
      <c r="E2377" s="8" t="s">
        <v>3926</v>
      </c>
      <c r="F2377" s="8" t="s">
        <v>378</v>
      </c>
      <c r="G2377" s="8" t="s">
        <v>3916</v>
      </c>
      <c r="H2377" s="10">
        <v>30</v>
      </c>
      <c r="I2377" s="10"/>
      <c r="J2377" s="10">
        <v>30</v>
      </c>
      <c r="K2377" s="10">
        <v>216</v>
      </c>
    </row>
    <row r="2378" spans="1:11" x14ac:dyDescent="0.25">
      <c r="A2378" s="8" t="s">
        <v>3936</v>
      </c>
      <c r="B2378" s="8" t="s">
        <v>116</v>
      </c>
      <c r="C2378" s="8" t="s">
        <v>3687</v>
      </c>
      <c r="D2378" s="8">
        <v>3</v>
      </c>
      <c r="E2378" s="8" t="s">
        <v>3937</v>
      </c>
      <c r="F2378" s="8" t="s">
        <v>378</v>
      </c>
      <c r="G2378" s="8" t="s">
        <v>3916</v>
      </c>
      <c r="H2378" s="10">
        <v>30</v>
      </c>
      <c r="I2378" s="10"/>
      <c r="J2378" s="10">
        <v>30</v>
      </c>
      <c r="K2378" s="10">
        <v>216</v>
      </c>
    </row>
    <row r="2379" spans="1:11" x14ac:dyDescent="0.25">
      <c r="A2379" s="8" t="s">
        <v>3938</v>
      </c>
      <c r="B2379" s="8" t="s">
        <v>118</v>
      </c>
      <c r="C2379" s="8" t="s">
        <v>3687</v>
      </c>
      <c r="D2379" s="8">
        <v>3</v>
      </c>
      <c r="E2379" s="8" t="s">
        <v>3937</v>
      </c>
      <c r="F2379" s="8" t="s">
        <v>378</v>
      </c>
      <c r="G2379" s="8" t="s">
        <v>3916</v>
      </c>
      <c r="H2379" s="10">
        <v>30</v>
      </c>
      <c r="I2379" s="10"/>
      <c r="J2379" s="10">
        <v>30</v>
      </c>
      <c r="K2379" s="10">
        <v>216</v>
      </c>
    </row>
    <row r="2380" spans="1:11" x14ac:dyDescent="0.25">
      <c r="A2380" s="8" t="s">
        <v>3939</v>
      </c>
      <c r="B2380" s="8" t="s">
        <v>1650</v>
      </c>
      <c r="C2380" s="8" t="s">
        <v>3687</v>
      </c>
      <c r="D2380" s="8">
        <v>3</v>
      </c>
      <c r="E2380" s="8" t="s">
        <v>3937</v>
      </c>
      <c r="F2380" s="8" t="s">
        <v>378</v>
      </c>
      <c r="G2380" s="8" t="s">
        <v>3916</v>
      </c>
      <c r="H2380" s="10">
        <v>30</v>
      </c>
      <c r="I2380" s="10"/>
      <c r="J2380" s="10">
        <v>30</v>
      </c>
      <c r="K2380" s="10">
        <v>216</v>
      </c>
    </row>
    <row r="2381" spans="1:11" x14ac:dyDescent="0.25">
      <c r="A2381" s="8" t="s">
        <v>3940</v>
      </c>
      <c r="B2381" s="8" t="s">
        <v>120</v>
      </c>
      <c r="C2381" s="8" t="s">
        <v>3687</v>
      </c>
      <c r="D2381" s="8">
        <v>3</v>
      </c>
      <c r="E2381" s="8" t="s">
        <v>3937</v>
      </c>
      <c r="F2381" s="8" t="s">
        <v>378</v>
      </c>
      <c r="G2381" s="8" t="s">
        <v>3916</v>
      </c>
      <c r="H2381" s="10">
        <v>90</v>
      </c>
      <c r="I2381" s="10"/>
      <c r="J2381" s="10">
        <v>90</v>
      </c>
      <c r="K2381" s="10">
        <v>216</v>
      </c>
    </row>
    <row r="2382" spans="1:11" x14ac:dyDescent="0.25">
      <c r="A2382" s="8" t="s">
        <v>3941</v>
      </c>
      <c r="B2382" s="8" t="s">
        <v>122</v>
      </c>
      <c r="C2382" s="8" t="s">
        <v>3687</v>
      </c>
      <c r="D2382" s="8">
        <v>3</v>
      </c>
      <c r="E2382" s="8" t="s">
        <v>3937</v>
      </c>
      <c r="F2382" s="8" t="s">
        <v>378</v>
      </c>
      <c r="G2382" s="8" t="s">
        <v>3916</v>
      </c>
      <c r="H2382" s="10">
        <v>180</v>
      </c>
      <c r="I2382" s="10"/>
      <c r="J2382" s="10">
        <v>180</v>
      </c>
      <c r="K2382" s="10">
        <v>216</v>
      </c>
    </row>
    <row r="2383" spans="1:11" x14ac:dyDescent="0.25">
      <c r="A2383" s="8" t="s">
        <v>3942</v>
      </c>
      <c r="B2383" s="8" t="s">
        <v>124</v>
      </c>
      <c r="C2383" s="8" t="s">
        <v>3687</v>
      </c>
      <c r="D2383" s="8">
        <v>3</v>
      </c>
      <c r="E2383" s="8" t="s">
        <v>3937</v>
      </c>
      <c r="F2383" s="8" t="s">
        <v>378</v>
      </c>
      <c r="G2383" s="8" t="s">
        <v>3916</v>
      </c>
      <c r="H2383" s="10">
        <v>75</v>
      </c>
      <c r="I2383" s="10"/>
      <c r="J2383" s="10">
        <v>75</v>
      </c>
      <c r="K2383" s="10">
        <v>216</v>
      </c>
    </row>
    <row r="2384" spans="1:11" x14ac:dyDescent="0.25">
      <c r="A2384" s="8" t="s">
        <v>3943</v>
      </c>
      <c r="B2384" s="8" t="s">
        <v>1655</v>
      </c>
      <c r="C2384" s="8" t="s">
        <v>3687</v>
      </c>
      <c r="D2384" s="8">
        <v>3</v>
      </c>
      <c r="E2384" s="8" t="s">
        <v>3937</v>
      </c>
      <c r="F2384" s="8" t="s">
        <v>378</v>
      </c>
      <c r="G2384" s="8" t="s">
        <v>3916</v>
      </c>
      <c r="H2384" s="10">
        <v>30</v>
      </c>
      <c r="I2384" s="10"/>
      <c r="J2384" s="10">
        <v>30</v>
      </c>
      <c r="K2384" s="10">
        <v>216</v>
      </c>
    </row>
    <row r="2385" spans="1:11" x14ac:dyDescent="0.25">
      <c r="A2385" s="8" t="s">
        <v>3944</v>
      </c>
      <c r="B2385" s="8" t="s">
        <v>132</v>
      </c>
      <c r="C2385" s="8" t="s">
        <v>3687</v>
      </c>
      <c r="D2385" s="8">
        <v>3</v>
      </c>
      <c r="E2385" s="8" t="s">
        <v>3937</v>
      </c>
      <c r="F2385" s="8" t="s">
        <v>378</v>
      </c>
      <c r="G2385" s="8" t="s">
        <v>3916</v>
      </c>
      <c r="H2385" s="10">
        <v>30</v>
      </c>
      <c r="I2385" s="10"/>
      <c r="J2385" s="10">
        <v>30</v>
      </c>
      <c r="K2385" s="10">
        <v>216</v>
      </c>
    </row>
    <row r="2386" spans="1:11" x14ac:dyDescent="0.25">
      <c r="A2386" s="8" t="s">
        <v>3945</v>
      </c>
      <c r="B2386" s="8" t="s">
        <v>134</v>
      </c>
      <c r="C2386" s="8" t="s">
        <v>3687</v>
      </c>
      <c r="D2386" s="8">
        <v>3</v>
      </c>
      <c r="E2386" s="8" t="s">
        <v>3937</v>
      </c>
      <c r="F2386" s="8" t="s">
        <v>378</v>
      </c>
      <c r="G2386" s="8" t="s">
        <v>3916</v>
      </c>
      <c r="H2386" s="10">
        <v>30</v>
      </c>
      <c r="I2386" s="10"/>
      <c r="J2386" s="10">
        <v>30</v>
      </c>
      <c r="K2386" s="10">
        <v>216</v>
      </c>
    </row>
    <row r="2387" spans="1:11" x14ac:dyDescent="0.25">
      <c r="A2387" s="8" t="s">
        <v>3946</v>
      </c>
      <c r="B2387" s="8" t="s">
        <v>136</v>
      </c>
      <c r="C2387" s="8" t="s">
        <v>3687</v>
      </c>
      <c r="D2387" s="8">
        <v>3</v>
      </c>
      <c r="E2387" s="8" t="s">
        <v>3937</v>
      </c>
      <c r="F2387" s="8" t="s">
        <v>378</v>
      </c>
      <c r="G2387" s="8" t="s">
        <v>3916</v>
      </c>
      <c r="H2387" s="10">
        <v>30</v>
      </c>
      <c r="I2387" s="10"/>
      <c r="J2387" s="10">
        <v>30</v>
      </c>
      <c r="K2387" s="10">
        <v>216</v>
      </c>
    </row>
    <row r="2388" spans="1:11" x14ac:dyDescent="0.25">
      <c r="A2388" s="8" t="s">
        <v>3947</v>
      </c>
      <c r="B2388" s="8" t="s">
        <v>116</v>
      </c>
      <c r="C2388" s="8" t="s">
        <v>3687</v>
      </c>
      <c r="D2388" s="8">
        <v>3</v>
      </c>
      <c r="E2388" s="8" t="s">
        <v>3948</v>
      </c>
      <c r="F2388" s="8" t="s">
        <v>378</v>
      </c>
      <c r="G2388" s="8" t="s">
        <v>3916</v>
      </c>
      <c r="H2388" s="10">
        <v>30</v>
      </c>
      <c r="I2388" s="10"/>
      <c r="J2388" s="10">
        <v>30</v>
      </c>
      <c r="K2388" s="10">
        <v>216</v>
      </c>
    </row>
    <row r="2389" spans="1:11" x14ac:dyDescent="0.25">
      <c r="A2389" s="8" t="s">
        <v>3949</v>
      </c>
      <c r="B2389" s="8" t="s">
        <v>118</v>
      </c>
      <c r="C2389" s="8" t="s">
        <v>3687</v>
      </c>
      <c r="D2389" s="8">
        <v>3</v>
      </c>
      <c r="E2389" s="8" t="s">
        <v>3948</v>
      </c>
      <c r="F2389" s="8" t="s">
        <v>378</v>
      </c>
      <c r="G2389" s="8" t="s">
        <v>3916</v>
      </c>
      <c r="H2389" s="10">
        <v>30</v>
      </c>
      <c r="I2389" s="10"/>
      <c r="J2389" s="10">
        <v>30</v>
      </c>
      <c r="K2389" s="10">
        <v>216</v>
      </c>
    </row>
    <row r="2390" spans="1:11" x14ac:dyDescent="0.25">
      <c r="A2390" s="8" t="s">
        <v>3950</v>
      </c>
      <c r="B2390" s="8" t="s">
        <v>1650</v>
      </c>
      <c r="C2390" s="8" t="s">
        <v>3687</v>
      </c>
      <c r="D2390" s="8">
        <v>3</v>
      </c>
      <c r="E2390" s="8" t="s">
        <v>3948</v>
      </c>
      <c r="F2390" s="8" t="s">
        <v>378</v>
      </c>
      <c r="G2390" s="8" t="s">
        <v>3916</v>
      </c>
      <c r="H2390" s="10">
        <v>15</v>
      </c>
      <c r="I2390" s="10"/>
      <c r="J2390" s="10">
        <v>15</v>
      </c>
      <c r="K2390" s="10">
        <v>216</v>
      </c>
    </row>
    <row r="2391" spans="1:11" x14ac:dyDescent="0.25">
      <c r="A2391" s="8" t="s">
        <v>3951</v>
      </c>
      <c r="B2391" s="8" t="s">
        <v>120</v>
      </c>
      <c r="C2391" s="8" t="s">
        <v>3687</v>
      </c>
      <c r="D2391" s="8">
        <v>3</v>
      </c>
      <c r="E2391" s="8" t="s">
        <v>3948</v>
      </c>
      <c r="F2391" s="8" t="s">
        <v>378</v>
      </c>
      <c r="G2391" s="8" t="s">
        <v>3916</v>
      </c>
      <c r="H2391" s="10">
        <v>30</v>
      </c>
      <c r="I2391" s="10"/>
      <c r="J2391" s="10">
        <v>30</v>
      </c>
      <c r="K2391" s="10">
        <v>216</v>
      </c>
    </row>
    <row r="2392" spans="1:11" x14ac:dyDescent="0.25">
      <c r="A2392" s="8" t="s">
        <v>3952</v>
      </c>
      <c r="B2392" s="8" t="s">
        <v>122</v>
      </c>
      <c r="C2392" s="8" t="s">
        <v>3687</v>
      </c>
      <c r="D2392" s="8">
        <v>3</v>
      </c>
      <c r="E2392" s="8" t="s">
        <v>3948</v>
      </c>
      <c r="F2392" s="8" t="s">
        <v>378</v>
      </c>
      <c r="G2392" s="8" t="s">
        <v>3916</v>
      </c>
      <c r="H2392" s="10">
        <v>30</v>
      </c>
      <c r="I2392" s="10"/>
      <c r="J2392" s="10">
        <v>30</v>
      </c>
      <c r="K2392" s="10">
        <v>216</v>
      </c>
    </row>
    <row r="2393" spans="1:11" x14ac:dyDescent="0.25">
      <c r="A2393" s="8" t="s">
        <v>3953</v>
      </c>
      <c r="B2393" s="8" t="s">
        <v>124</v>
      </c>
      <c r="C2393" s="8" t="s">
        <v>3687</v>
      </c>
      <c r="D2393" s="8">
        <v>3</v>
      </c>
      <c r="E2393" s="8" t="s">
        <v>3948</v>
      </c>
      <c r="F2393" s="8" t="s">
        <v>378</v>
      </c>
      <c r="G2393" s="8" t="s">
        <v>3916</v>
      </c>
      <c r="H2393" s="10">
        <v>30</v>
      </c>
      <c r="I2393" s="10"/>
      <c r="J2393" s="10">
        <v>30</v>
      </c>
      <c r="K2393" s="10">
        <v>216</v>
      </c>
    </row>
    <row r="2394" spans="1:11" x14ac:dyDescent="0.25">
      <c r="A2394" s="8" t="s">
        <v>3954</v>
      </c>
      <c r="B2394" s="8" t="s">
        <v>78</v>
      </c>
      <c r="C2394" s="8" t="s">
        <v>3687</v>
      </c>
      <c r="D2394" s="8">
        <v>3</v>
      </c>
      <c r="E2394" s="8" t="s">
        <v>3948</v>
      </c>
      <c r="F2394" s="8" t="s">
        <v>378</v>
      </c>
      <c r="G2394" s="8" t="s">
        <v>3916</v>
      </c>
      <c r="H2394" s="10">
        <v>30</v>
      </c>
      <c r="I2394" s="10"/>
      <c r="J2394" s="10">
        <v>30</v>
      </c>
      <c r="K2394" s="10">
        <v>216</v>
      </c>
    </row>
    <row r="2395" spans="1:11" x14ac:dyDescent="0.25">
      <c r="A2395" s="8" t="s">
        <v>3955</v>
      </c>
      <c r="B2395" s="8" t="s">
        <v>1655</v>
      </c>
      <c r="C2395" s="8" t="s">
        <v>3687</v>
      </c>
      <c r="D2395" s="8">
        <v>3</v>
      </c>
      <c r="E2395" s="8" t="s">
        <v>3948</v>
      </c>
      <c r="F2395" s="8" t="s">
        <v>378</v>
      </c>
      <c r="G2395" s="8" t="s">
        <v>3916</v>
      </c>
      <c r="H2395" s="10">
        <v>15</v>
      </c>
      <c r="I2395" s="10"/>
      <c r="J2395" s="10">
        <v>15</v>
      </c>
      <c r="K2395" s="10">
        <v>216</v>
      </c>
    </row>
    <row r="2396" spans="1:11" x14ac:dyDescent="0.25">
      <c r="A2396" s="8" t="s">
        <v>3956</v>
      </c>
      <c r="B2396" s="8" t="s">
        <v>116</v>
      </c>
      <c r="C2396" s="8" t="s">
        <v>3687</v>
      </c>
      <c r="D2396" s="8">
        <v>3</v>
      </c>
      <c r="E2396" s="8" t="s">
        <v>3957</v>
      </c>
      <c r="F2396" s="8" t="s">
        <v>378</v>
      </c>
      <c r="G2396" s="8" t="s">
        <v>3916</v>
      </c>
      <c r="H2396" s="10">
        <v>30</v>
      </c>
      <c r="I2396" s="10"/>
      <c r="J2396" s="10">
        <v>30</v>
      </c>
      <c r="K2396" s="10">
        <v>307.56</v>
      </c>
    </row>
    <row r="2397" spans="1:11" x14ac:dyDescent="0.25">
      <c r="A2397" s="8" t="s">
        <v>3958</v>
      </c>
      <c r="B2397" s="8" t="s">
        <v>118</v>
      </c>
      <c r="C2397" s="8" t="s">
        <v>3687</v>
      </c>
      <c r="D2397" s="8">
        <v>3</v>
      </c>
      <c r="E2397" s="8" t="s">
        <v>3957</v>
      </c>
      <c r="F2397" s="8" t="s">
        <v>378</v>
      </c>
      <c r="G2397" s="8" t="s">
        <v>3916</v>
      </c>
      <c r="H2397" s="10">
        <v>30</v>
      </c>
      <c r="I2397" s="10"/>
      <c r="J2397" s="10">
        <v>30</v>
      </c>
      <c r="K2397" s="10">
        <v>307.56</v>
      </c>
    </row>
    <row r="2398" spans="1:11" x14ac:dyDescent="0.25">
      <c r="A2398" s="8" t="s">
        <v>3959</v>
      </c>
      <c r="B2398" s="8" t="s">
        <v>1650</v>
      </c>
      <c r="C2398" s="8" t="s">
        <v>3687</v>
      </c>
      <c r="D2398" s="8">
        <v>3</v>
      </c>
      <c r="E2398" s="8" t="s">
        <v>3957</v>
      </c>
      <c r="F2398" s="8" t="s">
        <v>378</v>
      </c>
      <c r="G2398" s="8" t="s">
        <v>3916</v>
      </c>
      <c r="H2398" s="10">
        <v>15</v>
      </c>
      <c r="I2398" s="10"/>
      <c r="J2398" s="10">
        <v>15</v>
      </c>
      <c r="K2398" s="10">
        <v>307.56</v>
      </c>
    </row>
    <row r="2399" spans="1:11" x14ac:dyDescent="0.25">
      <c r="A2399" s="8" t="s">
        <v>3960</v>
      </c>
      <c r="B2399" s="8" t="s">
        <v>120</v>
      </c>
      <c r="C2399" s="8" t="s">
        <v>3687</v>
      </c>
      <c r="D2399" s="8">
        <v>3</v>
      </c>
      <c r="E2399" s="8" t="s">
        <v>3957</v>
      </c>
      <c r="F2399" s="8" t="s">
        <v>378</v>
      </c>
      <c r="G2399" s="8" t="s">
        <v>3916</v>
      </c>
      <c r="H2399" s="10">
        <v>30</v>
      </c>
      <c r="I2399" s="10"/>
      <c r="J2399" s="10">
        <v>30</v>
      </c>
      <c r="K2399" s="10">
        <v>307.56</v>
      </c>
    </row>
    <row r="2400" spans="1:11" x14ac:dyDescent="0.25">
      <c r="A2400" s="8" t="s">
        <v>3961</v>
      </c>
      <c r="B2400" s="8" t="s">
        <v>1655</v>
      </c>
      <c r="C2400" s="8" t="s">
        <v>3687</v>
      </c>
      <c r="D2400" s="8">
        <v>3</v>
      </c>
      <c r="E2400" s="8" t="s">
        <v>3957</v>
      </c>
      <c r="F2400" s="8" t="s">
        <v>378</v>
      </c>
      <c r="G2400" s="8" t="s">
        <v>3916</v>
      </c>
      <c r="H2400" s="10">
        <v>15</v>
      </c>
      <c r="I2400" s="10"/>
      <c r="J2400" s="10">
        <v>15</v>
      </c>
      <c r="K2400" s="10">
        <v>307.56</v>
      </c>
    </row>
    <row r="2401" spans="1:11" x14ac:dyDescent="0.25">
      <c r="A2401" s="8" t="s">
        <v>3962</v>
      </c>
      <c r="B2401" s="8" t="s">
        <v>136</v>
      </c>
      <c r="C2401" s="8" t="s">
        <v>3687</v>
      </c>
      <c r="D2401" s="8">
        <v>3</v>
      </c>
      <c r="E2401" s="8" t="s">
        <v>3957</v>
      </c>
      <c r="F2401" s="8" t="s">
        <v>378</v>
      </c>
      <c r="G2401" s="8" t="s">
        <v>3916</v>
      </c>
      <c r="H2401" s="10">
        <v>15</v>
      </c>
      <c r="I2401" s="10"/>
      <c r="J2401" s="10">
        <v>15</v>
      </c>
      <c r="K2401" s="10">
        <v>307.56</v>
      </c>
    </row>
    <row r="2402" spans="1:11" x14ac:dyDescent="0.25">
      <c r="A2402" s="8" t="s">
        <v>3963</v>
      </c>
      <c r="B2402" s="8" t="s">
        <v>116</v>
      </c>
      <c r="C2402" s="8" t="s">
        <v>3687</v>
      </c>
      <c r="D2402" s="8">
        <v>3</v>
      </c>
      <c r="E2402" s="8" t="s">
        <v>3964</v>
      </c>
      <c r="F2402" s="8" t="s">
        <v>378</v>
      </c>
      <c r="G2402" s="8" t="s">
        <v>3916</v>
      </c>
      <c r="H2402" s="10">
        <v>180</v>
      </c>
      <c r="I2402" s="10"/>
      <c r="J2402" s="10">
        <v>180</v>
      </c>
      <c r="K2402" s="10">
        <v>216</v>
      </c>
    </row>
    <row r="2403" spans="1:11" x14ac:dyDescent="0.25">
      <c r="A2403" s="8" t="s">
        <v>3965</v>
      </c>
      <c r="B2403" s="8" t="s">
        <v>116</v>
      </c>
      <c r="C2403" s="8" t="s">
        <v>3687</v>
      </c>
      <c r="D2403" s="8">
        <v>3</v>
      </c>
      <c r="E2403" s="8" t="s">
        <v>3964</v>
      </c>
      <c r="F2403" s="8" t="s">
        <v>378</v>
      </c>
      <c r="G2403" s="8" t="s">
        <v>3916</v>
      </c>
      <c r="H2403" s="10">
        <v>210</v>
      </c>
      <c r="I2403" s="10"/>
      <c r="J2403" s="10">
        <v>210</v>
      </c>
      <c r="K2403" s="10">
        <v>216</v>
      </c>
    </row>
    <row r="2404" spans="1:11" x14ac:dyDescent="0.25">
      <c r="A2404" s="8" t="s">
        <v>3966</v>
      </c>
      <c r="B2404" s="8" t="s">
        <v>118</v>
      </c>
      <c r="C2404" s="8" t="s">
        <v>3687</v>
      </c>
      <c r="D2404" s="8">
        <v>3</v>
      </c>
      <c r="E2404" s="8" t="s">
        <v>3964</v>
      </c>
      <c r="F2404" s="8" t="s">
        <v>378</v>
      </c>
      <c r="G2404" s="8" t="s">
        <v>3916</v>
      </c>
      <c r="H2404" s="10">
        <v>60</v>
      </c>
      <c r="I2404" s="10"/>
      <c r="J2404" s="10">
        <v>60</v>
      </c>
      <c r="K2404" s="10">
        <v>216</v>
      </c>
    </row>
    <row r="2405" spans="1:11" x14ac:dyDescent="0.25">
      <c r="A2405" s="8" t="s">
        <v>3967</v>
      </c>
      <c r="B2405" s="8" t="s">
        <v>1650</v>
      </c>
      <c r="C2405" s="8" t="s">
        <v>3687</v>
      </c>
      <c r="D2405" s="8">
        <v>3</v>
      </c>
      <c r="E2405" s="8" t="s">
        <v>3964</v>
      </c>
      <c r="F2405" s="8" t="s">
        <v>378</v>
      </c>
      <c r="G2405" s="8" t="s">
        <v>3916</v>
      </c>
      <c r="H2405" s="10">
        <v>90</v>
      </c>
      <c r="I2405" s="10"/>
      <c r="J2405" s="10">
        <v>90</v>
      </c>
      <c r="K2405" s="10">
        <v>216</v>
      </c>
    </row>
    <row r="2406" spans="1:11" x14ac:dyDescent="0.25">
      <c r="A2406" s="8" t="s">
        <v>3968</v>
      </c>
      <c r="B2406" s="8" t="s">
        <v>120</v>
      </c>
      <c r="C2406" s="8" t="s">
        <v>3687</v>
      </c>
      <c r="D2406" s="8">
        <v>3</v>
      </c>
      <c r="E2406" s="8" t="s">
        <v>3964</v>
      </c>
      <c r="F2406" s="8" t="s">
        <v>378</v>
      </c>
      <c r="G2406" s="8" t="s">
        <v>3916</v>
      </c>
      <c r="H2406" s="10">
        <v>300</v>
      </c>
      <c r="I2406" s="10"/>
      <c r="J2406" s="10">
        <v>300</v>
      </c>
      <c r="K2406" s="10">
        <v>216</v>
      </c>
    </row>
    <row r="2407" spans="1:11" x14ac:dyDescent="0.25">
      <c r="A2407" s="8" t="s">
        <v>3969</v>
      </c>
      <c r="B2407" s="8" t="s">
        <v>120</v>
      </c>
      <c r="C2407" s="8" t="s">
        <v>3687</v>
      </c>
      <c r="D2407" s="8">
        <v>3</v>
      </c>
      <c r="E2407" s="8" t="s">
        <v>3964</v>
      </c>
      <c r="F2407" s="8" t="s">
        <v>378</v>
      </c>
      <c r="G2407" s="8" t="s">
        <v>3916</v>
      </c>
      <c r="H2407" s="10">
        <v>120</v>
      </c>
      <c r="I2407" s="10"/>
      <c r="J2407" s="10">
        <v>120</v>
      </c>
      <c r="K2407" s="10">
        <v>216</v>
      </c>
    </row>
    <row r="2408" spans="1:11" x14ac:dyDescent="0.25">
      <c r="A2408" s="8" t="s">
        <v>3970</v>
      </c>
      <c r="B2408" s="8" t="s">
        <v>1655</v>
      </c>
      <c r="C2408" s="8" t="s">
        <v>3687</v>
      </c>
      <c r="D2408" s="8">
        <v>3</v>
      </c>
      <c r="E2408" s="8" t="s">
        <v>3964</v>
      </c>
      <c r="F2408" s="8" t="s">
        <v>378</v>
      </c>
      <c r="G2408" s="8" t="s">
        <v>3916</v>
      </c>
      <c r="H2408" s="10">
        <v>15</v>
      </c>
      <c r="I2408" s="10"/>
      <c r="J2408" s="10">
        <v>15</v>
      </c>
      <c r="K2408" s="10">
        <v>216</v>
      </c>
    </row>
    <row r="2409" spans="1:11" x14ac:dyDescent="0.25">
      <c r="A2409" s="8" t="s">
        <v>3971</v>
      </c>
      <c r="B2409" s="8" t="s">
        <v>128</v>
      </c>
      <c r="C2409" s="8" t="s">
        <v>3687</v>
      </c>
      <c r="D2409" s="8">
        <v>3</v>
      </c>
      <c r="E2409" s="8" t="s">
        <v>3964</v>
      </c>
      <c r="F2409" s="8" t="s">
        <v>378</v>
      </c>
      <c r="G2409" s="8" t="s">
        <v>3916</v>
      </c>
      <c r="H2409" s="10">
        <v>210</v>
      </c>
      <c r="I2409" s="10"/>
      <c r="J2409" s="10">
        <v>210</v>
      </c>
      <c r="K2409" s="10">
        <v>216</v>
      </c>
    </row>
    <row r="2410" spans="1:11" x14ac:dyDescent="0.25">
      <c r="A2410" s="8" t="s">
        <v>3972</v>
      </c>
      <c r="B2410" s="8" t="s">
        <v>949</v>
      </c>
      <c r="C2410" s="8" t="s">
        <v>3687</v>
      </c>
      <c r="D2410" s="8">
        <v>3</v>
      </c>
      <c r="E2410" s="8" t="s">
        <v>3964</v>
      </c>
      <c r="F2410" s="8" t="s">
        <v>378</v>
      </c>
      <c r="G2410" s="8" t="s">
        <v>3916</v>
      </c>
      <c r="H2410" s="10">
        <v>30</v>
      </c>
      <c r="I2410" s="10"/>
      <c r="J2410" s="10">
        <v>30</v>
      </c>
      <c r="K2410" s="10">
        <v>216</v>
      </c>
    </row>
    <row r="2411" spans="1:11" x14ac:dyDescent="0.25">
      <c r="A2411" s="8" t="s">
        <v>3973</v>
      </c>
      <c r="B2411" s="8" t="s">
        <v>130</v>
      </c>
      <c r="C2411" s="8" t="s">
        <v>3687</v>
      </c>
      <c r="D2411" s="8">
        <v>3</v>
      </c>
      <c r="E2411" s="8" t="s">
        <v>3964</v>
      </c>
      <c r="F2411" s="8" t="s">
        <v>378</v>
      </c>
      <c r="G2411" s="8" t="s">
        <v>3916</v>
      </c>
      <c r="H2411" s="10">
        <v>60</v>
      </c>
      <c r="I2411" s="10"/>
      <c r="J2411" s="10">
        <v>60</v>
      </c>
      <c r="K2411" s="10">
        <v>216</v>
      </c>
    </row>
    <row r="2412" spans="1:11" x14ac:dyDescent="0.25">
      <c r="A2412" s="8" t="s">
        <v>3974</v>
      </c>
      <c r="B2412" s="8" t="s">
        <v>132</v>
      </c>
      <c r="C2412" s="8" t="s">
        <v>3687</v>
      </c>
      <c r="D2412" s="8">
        <v>3</v>
      </c>
      <c r="E2412" s="8" t="s">
        <v>3964</v>
      </c>
      <c r="F2412" s="8" t="s">
        <v>378</v>
      </c>
      <c r="G2412" s="8" t="s">
        <v>3916</v>
      </c>
      <c r="H2412" s="10">
        <v>60</v>
      </c>
      <c r="I2412" s="10"/>
      <c r="J2412" s="10">
        <v>60</v>
      </c>
      <c r="K2412" s="10">
        <v>216</v>
      </c>
    </row>
    <row r="2413" spans="1:11" x14ac:dyDescent="0.25">
      <c r="A2413" s="8" t="s">
        <v>3975</v>
      </c>
      <c r="B2413" s="8" t="s">
        <v>134</v>
      </c>
      <c r="C2413" s="8" t="s">
        <v>3687</v>
      </c>
      <c r="D2413" s="8">
        <v>3</v>
      </c>
      <c r="E2413" s="8" t="s">
        <v>3964</v>
      </c>
      <c r="F2413" s="8" t="s">
        <v>378</v>
      </c>
      <c r="G2413" s="8" t="s">
        <v>3916</v>
      </c>
      <c r="H2413" s="10">
        <v>150</v>
      </c>
      <c r="I2413" s="10"/>
      <c r="J2413" s="10">
        <v>150</v>
      </c>
      <c r="K2413" s="10">
        <v>216</v>
      </c>
    </row>
    <row r="2414" spans="1:11" x14ac:dyDescent="0.25">
      <c r="A2414" s="8" t="s">
        <v>3976</v>
      </c>
      <c r="B2414" s="8" t="s">
        <v>118</v>
      </c>
      <c r="C2414" s="8" t="s">
        <v>3687</v>
      </c>
      <c r="D2414" s="8">
        <v>3</v>
      </c>
      <c r="E2414" s="8" t="s">
        <v>3977</v>
      </c>
      <c r="F2414" s="8" t="s">
        <v>378</v>
      </c>
      <c r="G2414" s="8" t="s">
        <v>3916</v>
      </c>
      <c r="H2414" s="10">
        <v>60</v>
      </c>
      <c r="I2414" s="10"/>
      <c r="J2414" s="10">
        <v>60</v>
      </c>
      <c r="K2414" s="10">
        <v>307.56</v>
      </c>
    </row>
    <row r="2415" spans="1:11" x14ac:dyDescent="0.25">
      <c r="A2415" s="8" t="s">
        <v>3978</v>
      </c>
      <c r="B2415" s="8" t="s">
        <v>120</v>
      </c>
      <c r="C2415" s="8" t="s">
        <v>3687</v>
      </c>
      <c r="D2415" s="8">
        <v>3</v>
      </c>
      <c r="E2415" s="8" t="s">
        <v>3977</v>
      </c>
      <c r="F2415" s="8" t="s">
        <v>378</v>
      </c>
      <c r="G2415" s="8" t="s">
        <v>3916</v>
      </c>
      <c r="H2415" s="10">
        <v>300</v>
      </c>
      <c r="I2415" s="10"/>
      <c r="J2415" s="10">
        <v>300</v>
      </c>
      <c r="K2415" s="10">
        <v>307.56</v>
      </c>
    </row>
    <row r="2416" spans="1:11" x14ac:dyDescent="0.25">
      <c r="A2416" s="8" t="s">
        <v>3979</v>
      </c>
      <c r="B2416" s="8" t="s">
        <v>120</v>
      </c>
      <c r="C2416" s="8" t="s">
        <v>3687</v>
      </c>
      <c r="D2416" s="8">
        <v>3</v>
      </c>
      <c r="E2416" s="8" t="s">
        <v>3977</v>
      </c>
      <c r="F2416" s="8" t="s">
        <v>378</v>
      </c>
      <c r="G2416" s="8" t="s">
        <v>3916</v>
      </c>
      <c r="H2416" s="10">
        <v>60</v>
      </c>
      <c r="I2416" s="10"/>
      <c r="J2416" s="10">
        <v>60</v>
      </c>
      <c r="K2416" s="10">
        <v>307.56</v>
      </c>
    </row>
    <row r="2417" spans="1:11" x14ac:dyDescent="0.25">
      <c r="A2417" s="8" t="s">
        <v>3980</v>
      </c>
      <c r="B2417" s="8" t="s">
        <v>1655</v>
      </c>
      <c r="C2417" s="8" t="s">
        <v>3687</v>
      </c>
      <c r="D2417" s="8">
        <v>3</v>
      </c>
      <c r="E2417" s="8" t="s">
        <v>3977</v>
      </c>
      <c r="F2417" s="8" t="s">
        <v>378</v>
      </c>
      <c r="G2417" s="8" t="s">
        <v>3916</v>
      </c>
      <c r="H2417" s="10">
        <v>60</v>
      </c>
      <c r="I2417" s="10"/>
      <c r="J2417" s="10">
        <v>60</v>
      </c>
      <c r="K2417" s="10">
        <v>307.56</v>
      </c>
    </row>
    <row r="2418" spans="1:11" x14ac:dyDescent="0.25">
      <c r="A2418" s="8" t="s">
        <v>3981</v>
      </c>
      <c r="B2418" s="8" t="s">
        <v>136</v>
      </c>
      <c r="C2418" s="8" t="s">
        <v>3687</v>
      </c>
      <c r="D2418" s="8">
        <v>3</v>
      </c>
      <c r="E2418" s="8" t="s">
        <v>3977</v>
      </c>
      <c r="F2418" s="8" t="s">
        <v>378</v>
      </c>
      <c r="G2418" s="8" t="s">
        <v>3916</v>
      </c>
      <c r="H2418" s="10">
        <v>90</v>
      </c>
      <c r="I2418" s="10"/>
      <c r="J2418" s="10">
        <v>90</v>
      </c>
      <c r="K2418" s="10">
        <v>307.56</v>
      </c>
    </row>
    <row r="2419" spans="1:11" x14ac:dyDescent="0.25">
      <c r="A2419" s="8" t="s">
        <v>3982</v>
      </c>
      <c r="B2419" s="8" t="s">
        <v>1689</v>
      </c>
      <c r="C2419" s="8" t="s">
        <v>3687</v>
      </c>
      <c r="D2419" s="8">
        <v>3</v>
      </c>
      <c r="E2419" s="8" t="s">
        <v>3977</v>
      </c>
      <c r="F2419" s="8" t="s">
        <v>378</v>
      </c>
      <c r="G2419" s="8" t="s">
        <v>3916</v>
      </c>
      <c r="H2419" s="10">
        <v>15</v>
      </c>
      <c r="I2419" s="10"/>
      <c r="J2419" s="10">
        <v>15</v>
      </c>
      <c r="K2419" s="10">
        <v>307.56</v>
      </c>
    </row>
    <row r="2420" spans="1:11" x14ac:dyDescent="0.25">
      <c r="A2420" s="8" t="s">
        <v>3983</v>
      </c>
      <c r="B2420" s="8" t="s">
        <v>138</v>
      </c>
      <c r="C2420" s="8" t="s">
        <v>3687</v>
      </c>
      <c r="D2420" s="8">
        <v>3</v>
      </c>
      <c r="E2420" s="8" t="s">
        <v>3977</v>
      </c>
      <c r="F2420" s="8" t="s">
        <v>378</v>
      </c>
      <c r="G2420" s="8" t="s">
        <v>3916</v>
      </c>
      <c r="H2420" s="10">
        <v>30</v>
      </c>
      <c r="I2420" s="10"/>
      <c r="J2420" s="10">
        <v>30</v>
      </c>
      <c r="K2420" s="10">
        <v>307.56</v>
      </c>
    </row>
    <row r="2421" spans="1:11" x14ac:dyDescent="0.25">
      <c r="A2421" s="8" t="s">
        <v>3984</v>
      </c>
      <c r="B2421" s="8" t="s">
        <v>118</v>
      </c>
      <c r="C2421" s="8" t="s">
        <v>3687</v>
      </c>
      <c r="D2421" s="8">
        <v>3</v>
      </c>
      <c r="E2421" s="8" t="s">
        <v>3985</v>
      </c>
      <c r="F2421" s="8" t="s">
        <v>378</v>
      </c>
      <c r="G2421" s="8" t="s">
        <v>3916</v>
      </c>
      <c r="H2421" s="10">
        <v>120</v>
      </c>
      <c r="I2421" s="10"/>
      <c r="J2421" s="10">
        <v>120</v>
      </c>
      <c r="K2421" s="10">
        <v>399.12</v>
      </c>
    </row>
    <row r="2422" spans="1:11" x14ac:dyDescent="0.25">
      <c r="A2422" s="8" t="s">
        <v>3986</v>
      </c>
      <c r="B2422" s="8" t="s">
        <v>1650</v>
      </c>
      <c r="C2422" s="8" t="s">
        <v>3687</v>
      </c>
      <c r="D2422" s="8">
        <v>3</v>
      </c>
      <c r="E2422" s="8" t="s">
        <v>3985</v>
      </c>
      <c r="F2422" s="8" t="s">
        <v>378</v>
      </c>
      <c r="G2422" s="8" t="s">
        <v>3916</v>
      </c>
      <c r="H2422" s="10">
        <v>240</v>
      </c>
      <c r="I2422" s="10"/>
      <c r="J2422" s="10">
        <v>240</v>
      </c>
      <c r="K2422" s="10">
        <v>399.12</v>
      </c>
    </row>
    <row r="2423" spans="1:11" x14ac:dyDescent="0.25">
      <c r="A2423" s="8" t="s">
        <v>3987</v>
      </c>
      <c r="B2423" s="8" t="s">
        <v>120</v>
      </c>
      <c r="C2423" s="8" t="s">
        <v>3687</v>
      </c>
      <c r="D2423" s="8">
        <v>3</v>
      </c>
      <c r="E2423" s="8" t="s">
        <v>3985</v>
      </c>
      <c r="F2423" s="8" t="s">
        <v>378</v>
      </c>
      <c r="G2423" s="8" t="s">
        <v>3916</v>
      </c>
      <c r="H2423" s="10">
        <v>90</v>
      </c>
      <c r="I2423" s="10"/>
      <c r="J2423" s="10">
        <v>90</v>
      </c>
      <c r="K2423" s="10">
        <v>399.12</v>
      </c>
    </row>
    <row r="2424" spans="1:11" x14ac:dyDescent="0.25">
      <c r="A2424" s="8" t="s">
        <v>3988</v>
      </c>
      <c r="B2424" s="8" t="s">
        <v>120</v>
      </c>
      <c r="C2424" s="8" t="s">
        <v>3687</v>
      </c>
      <c r="D2424" s="8">
        <v>3</v>
      </c>
      <c r="E2424" s="8" t="s">
        <v>3985</v>
      </c>
      <c r="F2424" s="8" t="s">
        <v>378</v>
      </c>
      <c r="G2424" s="8" t="s">
        <v>3916</v>
      </c>
      <c r="H2424" s="10">
        <v>90</v>
      </c>
      <c r="I2424" s="10"/>
      <c r="J2424" s="10">
        <v>90</v>
      </c>
      <c r="K2424" s="10">
        <v>399.12</v>
      </c>
    </row>
    <row r="2425" spans="1:11" x14ac:dyDescent="0.25">
      <c r="A2425" s="8" t="s">
        <v>3989</v>
      </c>
      <c r="B2425" s="8" t="s">
        <v>1655</v>
      </c>
      <c r="C2425" s="8" t="s">
        <v>3687</v>
      </c>
      <c r="D2425" s="8">
        <v>3</v>
      </c>
      <c r="E2425" s="8" t="s">
        <v>3985</v>
      </c>
      <c r="F2425" s="8" t="s">
        <v>378</v>
      </c>
      <c r="G2425" s="8" t="s">
        <v>3916</v>
      </c>
      <c r="H2425" s="10">
        <v>360</v>
      </c>
      <c r="I2425" s="10"/>
      <c r="J2425" s="10">
        <v>360</v>
      </c>
      <c r="K2425" s="10">
        <v>399.12</v>
      </c>
    </row>
    <row r="2426" spans="1:11" x14ac:dyDescent="0.25">
      <c r="A2426" s="8" t="s">
        <v>3990</v>
      </c>
      <c r="B2426" s="8" t="s">
        <v>132</v>
      </c>
      <c r="C2426" s="8" t="s">
        <v>3687</v>
      </c>
      <c r="D2426" s="8">
        <v>3</v>
      </c>
      <c r="E2426" s="8" t="s">
        <v>3985</v>
      </c>
      <c r="F2426" s="8" t="s">
        <v>378</v>
      </c>
      <c r="G2426" s="8" t="s">
        <v>3916</v>
      </c>
      <c r="H2426" s="10">
        <v>120</v>
      </c>
      <c r="I2426" s="10"/>
      <c r="J2426" s="10">
        <v>120</v>
      </c>
      <c r="K2426" s="10">
        <v>399.12</v>
      </c>
    </row>
    <row r="2427" spans="1:11" x14ac:dyDescent="0.25">
      <c r="A2427" s="8" t="s">
        <v>3991</v>
      </c>
      <c r="B2427" s="8" t="s">
        <v>134</v>
      </c>
      <c r="C2427" s="8" t="s">
        <v>3687</v>
      </c>
      <c r="D2427" s="8">
        <v>3</v>
      </c>
      <c r="E2427" s="8" t="s">
        <v>3985</v>
      </c>
      <c r="F2427" s="8" t="s">
        <v>378</v>
      </c>
      <c r="G2427" s="8" t="s">
        <v>3916</v>
      </c>
      <c r="H2427" s="10">
        <v>150</v>
      </c>
      <c r="I2427" s="10"/>
      <c r="J2427" s="10">
        <v>150</v>
      </c>
      <c r="K2427" s="10">
        <v>399.12</v>
      </c>
    </row>
    <row r="2428" spans="1:11" x14ac:dyDescent="0.25">
      <c r="A2428" s="8" t="s">
        <v>3992</v>
      </c>
      <c r="B2428" s="8" t="s">
        <v>136</v>
      </c>
      <c r="C2428" s="8" t="s">
        <v>3687</v>
      </c>
      <c r="D2428" s="8">
        <v>3</v>
      </c>
      <c r="E2428" s="8" t="s">
        <v>3985</v>
      </c>
      <c r="F2428" s="8" t="s">
        <v>378</v>
      </c>
      <c r="G2428" s="8" t="s">
        <v>3916</v>
      </c>
      <c r="H2428" s="10">
        <v>30</v>
      </c>
      <c r="I2428" s="10"/>
      <c r="J2428" s="10">
        <v>30</v>
      </c>
      <c r="K2428" s="10">
        <v>399.12</v>
      </c>
    </row>
    <row r="2429" spans="1:11" x14ac:dyDescent="0.25">
      <c r="A2429" s="8" t="s">
        <v>3993</v>
      </c>
      <c r="B2429" s="8" t="s">
        <v>120</v>
      </c>
      <c r="C2429" s="8" t="s">
        <v>3687</v>
      </c>
      <c r="D2429" s="8">
        <v>3</v>
      </c>
      <c r="E2429" s="8" t="s">
        <v>3994</v>
      </c>
      <c r="F2429" s="8" t="s">
        <v>378</v>
      </c>
      <c r="G2429" s="8" t="s">
        <v>3916</v>
      </c>
      <c r="H2429" s="10">
        <v>90</v>
      </c>
      <c r="I2429" s="10"/>
      <c r="J2429" s="10">
        <v>90</v>
      </c>
      <c r="K2429" s="10">
        <v>399.12</v>
      </c>
    </row>
    <row r="2430" spans="1:11" x14ac:dyDescent="0.25">
      <c r="A2430" s="8" t="s">
        <v>3995</v>
      </c>
      <c r="B2430" s="8" t="s">
        <v>120</v>
      </c>
      <c r="C2430" s="8" t="s">
        <v>3687</v>
      </c>
      <c r="D2430" s="8">
        <v>3</v>
      </c>
      <c r="E2430" s="8" t="s">
        <v>3994</v>
      </c>
      <c r="F2430" s="8" t="s">
        <v>378</v>
      </c>
      <c r="G2430" s="8" t="s">
        <v>3916</v>
      </c>
      <c r="H2430" s="10">
        <v>900</v>
      </c>
      <c r="I2430" s="10"/>
      <c r="J2430" s="10">
        <v>900</v>
      </c>
      <c r="K2430" s="10">
        <v>399.12</v>
      </c>
    </row>
    <row r="2431" spans="1:11" x14ac:dyDescent="0.25">
      <c r="A2431" s="8" t="s">
        <v>3996</v>
      </c>
      <c r="B2431" s="8" t="s">
        <v>80</v>
      </c>
      <c r="C2431" s="8" t="s">
        <v>3687</v>
      </c>
      <c r="D2431" s="8">
        <v>3</v>
      </c>
      <c r="E2431" s="8" t="s">
        <v>3994</v>
      </c>
      <c r="F2431" s="8" t="s">
        <v>378</v>
      </c>
      <c r="G2431" s="8" t="s">
        <v>3916</v>
      </c>
      <c r="H2431" s="10">
        <v>210</v>
      </c>
      <c r="I2431" s="10"/>
      <c r="J2431" s="10">
        <v>210</v>
      </c>
      <c r="K2431" s="10">
        <v>399.12</v>
      </c>
    </row>
    <row r="2432" spans="1:11" x14ac:dyDescent="0.25">
      <c r="A2432" s="8" t="s">
        <v>3997</v>
      </c>
      <c r="B2432" s="8" t="s">
        <v>122</v>
      </c>
      <c r="C2432" s="8" t="s">
        <v>3687</v>
      </c>
      <c r="D2432" s="8">
        <v>3</v>
      </c>
      <c r="E2432" s="8" t="s">
        <v>3998</v>
      </c>
      <c r="F2432" s="8" t="s">
        <v>378</v>
      </c>
      <c r="G2432" s="8" t="s">
        <v>3916</v>
      </c>
      <c r="H2432" s="10">
        <v>30</v>
      </c>
      <c r="I2432" s="10"/>
      <c r="J2432" s="10">
        <v>30</v>
      </c>
      <c r="K2432" s="10">
        <v>216</v>
      </c>
    </row>
    <row r="2433" spans="1:11" x14ac:dyDescent="0.25">
      <c r="A2433" s="8" t="s">
        <v>3999</v>
      </c>
      <c r="B2433" s="8" t="s">
        <v>124</v>
      </c>
      <c r="C2433" s="8" t="s">
        <v>3687</v>
      </c>
      <c r="D2433" s="8">
        <v>3</v>
      </c>
      <c r="E2433" s="8" t="s">
        <v>3998</v>
      </c>
      <c r="F2433" s="8" t="s">
        <v>378</v>
      </c>
      <c r="G2433" s="8" t="s">
        <v>3916</v>
      </c>
      <c r="H2433" s="10">
        <v>60</v>
      </c>
      <c r="I2433" s="10"/>
      <c r="J2433" s="10">
        <v>60</v>
      </c>
      <c r="K2433" s="10">
        <v>216</v>
      </c>
    </row>
    <row r="2434" spans="1:11" x14ac:dyDescent="0.25">
      <c r="A2434" s="8" t="s">
        <v>4000</v>
      </c>
      <c r="B2434" s="8" t="s">
        <v>78</v>
      </c>
      <c r="C2434" s="8" t="s">
        <v>3687</v>
      </c>
      <c r="D2434" s="8">
        <v>3</v>
      </c>
      <c r="E2434" s="8" t="s">
        <v>3998</v>
      </c>
      <c r="F2434" s="8" t="s">
        <v>378</v>
      </c>
      <c r="G2434" s="8" t="s">
        <v>3916</v>
      </c>
      <c r="H2434" s="10">
        <v>180</v>
      </c>
      <c r="I2434" s="10"/>
      <c r="J2434" s="10">
        <v>180</v>
      </c>
      <c r="K2434" s="10">
        <v>216</v>
      </c>
    </row>
    <row r="2435" spans="1:11" x14ac:dyDescent="0.25">
      <c r="A2435" s="8" t="s">
        <v>4001</v>
      </c>
      <c r="B2435" s="8" t="s">
        <v>122</v>
      </c>
      <c r="C2435" s="8" t="s">
        <v>3687</v>
      </c>
      <c r="D2435" s="8">
        <v>3</v>
      </c>
      <c r="E2435" s="8" t="s">
        <v>4002</v>
      </c>
      <c r="F2435" s="8" t="s">
        <v>378</v>
      </c>
      <c r="G2435" s="8" t="s">
        <v>3916</v>
      </c>
      <c r="H2435" s="10">
        <v>240</v>
      </c>
      <c r="I2435" s="10"/>
      <c r="J2435" s="10">
        <v>240</v>
      </c>
      <c r="K2435" s="10">
        <v>307.56</v>
      </c>
    </row>
    <row r="2436" spans="1:11" x14ac:dyDescent="0.25">
      <c r="A2436" s="8" t="s">
        <v>4003</v>
      </c>
      <c r="B2436" s="8" t="s">
        <v>124</v>
      </c>
      <c r="C2436" s="8" t="s">
        <v>3687</v>
      </c>
      <c r="D2436" s="8">
        <v>3</v>
      </c>
      <c r="E2436" s="8" t="s">
        <v>4002</v>
      </c>
      <c r="F2436" s="8" t="s">
        <v>378</v>
      </c>
      <c r="G2436" s="8" t="s">
        <v>3916</v>
      </c>
      <c r="H2436" s="10">
        <v>150</v>
      </c>
      <c r="I2436" s="10"/>
      <c r="J2436" s="10">
        <v>150</v>
      </c>
      <c r="K2436" s="10">
        <v>307.56</v>
      </c>
    </row>
    <row r="2437" spans="1:11" x14ac:dyDescent="0.25">
      <c r="A2437" s="8" t="s">
        <v>4004</v>
      </c>
      <c r="B2437" s="8" t="s">
        <v>78</v>
      </c>
      <c r="C2437" s="8" t="s">
        <v>3687</v>
      </c>
      <c r="D2437" s="8">
        <v>3</v>
      </c>
      <c r="E2437" s="8" t="s">
        <v>4002</v>
      </c>
      <c r="F2437" s="8" t="s">
        <v>378</v>
      </c>
      <c r="G2437" s="8" t="s">
        <v>3916</v>
      </c>
      <c r="H2437" s="10">
        <v>45</v>
      </c>
      <c r="I2437" s="10"/>
      <c r="J2437" s="10">
        <v>45</v>
      </c>
      <c r="K2437" s="10">
        <v>307.56</v>
      </c>
    </row>
    <row r="2438" spans="1:11" x14ac:dyDescent="0.25">
      <c r="A2438" s="8" t="s">
        <v>4005</v>
      </c>
      <c r="B2438" s="8" t="s">
        <v>122</v>
      </c>
      <c r="C2438" s="8" t="s">
        <v>3687</v>
      </c>
      <c r="D2438" s="8">
        <v>3</v>
      </c>
      <c r="E2438" s="8" t="s">
        <v>4006</v>
      </c>
      <c r="F2438" s="8" t="s">
        <v>378</v>
      </c>
      <c r="G2438" s="8" t="s">
        <v>3916</v>
      </c>
      <c r="H2438" s="10">
        <v>240</v>
      </c>
      <c r="I2438" s="10"/>
      <c r="J2438" s="10">
        <v>240</v>
      </c>
      <c r="K2438" s="10">
        <v>399.12</v>
      </c>
    </row>
    <row r="2439" spans="1:11" x14ac:dyDescent="0.25">
      <c r="A2439" s="8" t="s">
        <v>4007</v>
      </c>
      <c r="B2439" s="8" t="s">
        <v>124</v>
      </c>
      <c r="C2439" s="8" t="s">
        <v>3687</v>
      </c>
      <c r="D2439" s="8">
        <v>3</v>
      </c>
      <c r="E2439" s="8" t="s">
        <v>4006</v>
      </c>
      <c r="F2439" s="8" t="s">
        <v>378</v>
      </c>
      <c r="G2439" s="8" t="s">
        <v>3916</v>
      </c>
      <c r="H2439" s="10">
        <v>60</v>
      </c>
      <c r="I2439" s="10"/>
      <c r="J2439" s="10">
        <v>60</v>
      </c>
      <c r="K2439" s="10">
        <v>399.12</v>
      </c>
    </row>
    <row r="2440" spans="1:11" x14ac:dyDescent="0.25">
      <c r="A2440" s="8" t="s">
        <v>4008</v>
      </c>
      <c r="B2440" s="8" t="s">
        <v>78</v>
      </c>
      <c r="C2440" s="8" t="s">
        <v>3687</v>
      </c>
      <c r="D2440" s="8">
        <v>3</v>
      </c>
      <c r="E2440" s="8" t="s">
        <v>4006</v>
      </c>
      <c r="F2440" s="8" t="s">
        <v>378</v>
      </c>
      <c r="G2440" s="8" t="s">
        <v>3916</v>
      </c>
      <c r="H2440" s="10">
        <v>150</v>
      </c>
      <c r="I2440" s="10"/>
      <c r="J2440" s="10">
        <v>150</v>
      </c>
      <c r="K2440" s="10">
        <v>399.12</v>
      </c>
    </row>
    <row r="2441" spans="1:11" x14ac:dyDescent="0.25">
      <c r="A2441" s="8" t="s">
        <v>4009</v>
      </c>
      <c r="B2441" s="8" t="s">
        <v>122</v>
      </c>
      <c r="C2441" s="8" t="s">
        <v>3687</v>
      </c>
      <c r="D2441" s="8">
        <v>3</v>
      </c>
      <c r="E2441" s="8" t="s">
        <v>4010</v>
      </c>
      <c r="F2441" s="8" t="s">
        <v>378</v>
      </c>
      <c r="G2441" s="8" t="s">
        <v>3916</v>
      </c>
      <c r="H2441" s="10">
        <v>270</v>
      </c>
      <c r="I2441" s="10"/>
      <c r="J2441" s="10">
        <v>270</v>
      </c>
      <c r="K2441" s="10">
        <v>399.12</v>
      </c>
    </row>
    <row r="2442" spans="1:11" x14ac:dyDescent="0.25">
      <c r="A2442" s="8" t="s">
        <v>4011</v>
      </c>
      <c r="B2442" s="8" t="s">
        <v>124</v>
      </c>
      <c r="C2442" s="8" t="s">
        <v>3687</v>
      </c>
      <c r="D2442" s="8">
        <v>3</v>
      </c>
      <c r="E2442" s="8" t="s">
        <v>4010</v>
      </c>
      <c r="F2442" s="8" t="s">
        <v>378</v>
      </c>
      <c r="G2442" s="8" t="s">
        <v>3916</v>
      </c>
      <c r="H2442" s="10">
        <v>300</v>
      </c>
      <c r="I2442" s="10"/>
      <c r="J2442" s="10">
        <v>300</v>
      </c>
      <c r="K2442" s="10">
        <v>399.12</v>
      </c>
    </row>
    <row r="2443" spans="1:11" x14ac:dyDescent="0.25">
      <c r="A2443" s="8" t="s">
        <v>4012</v>
      </c>
      <c r="B2443" s="8" t="s">
        <v>1650</v>
      </c>
      <c r="C2443" s="8" t="s">
        <v>4013</v>
      </c>
      <c r="D2443" s="8">
        <v>3</v>
      </c>
      <c r="E2443" s="8" t="s">
        <v>4014</v>
      </c>
      <c r="F2443" s="8" t="s">
        <v>460</v>
      </c>
      <c r="G2443" s="8" t="s">
        <v>4015</v>
      </c>
      <c r="H2443" s="10">
        <v>5</v>
      </c>
      <c r="I2443" s="10"/>
      <c r="J2443" s="10">
        <v>5</v>
      </c>
      <c r="K2443" s="10">
        <v>602.9</v>
      </c>
    </row>
    <row r="2444" spans="1:11" x14ac:dyDescent="0.25">
      <c r="A2444" s="8" t="s">
        <v>4016</v>
      </c>
      <c r="B2444" s="8" t="s">
        <v>120</v>
      </c>
      <c r="C2444" s="8" t="s">
        <v>4013</v>
      </c>
      <c r="D2444" s="8">
        <v>3</v>
      </c>
      <c r="E2444" s="8" t="s">
        <v>4014</v>
      </c>
      <c r="F2444" s="8" t="s">
        <v>460</v>
      </c>
      <c r="G2444" s="8" t="s">
        <v>4015</v>
      </c>
      <c r="H2444" s="10">
        <v>20</v>
      </c>
      <c r="I2444" s="10"/>
      <c r="J2444" s="10">
        <v>20</v>
      </c>
      <c r="K2444" s="10">
        <v>602.9</v>
      </c>
    </row>
    <row r="2445" spans="1:11" x14ac:dyDescent="0.25">
      <c r="A2445" s="8" t="s">
        <v>4017</v>
      </c>
      <c r="B2445" s="8" t="s">
        <v>1655</v>
      </c>
      <c r="C2445" s="8" t="s">
        <v>4013</v>
      </c>
      <c r="D2445" s="8">
        <v>3</v>
      </c>
      <c r="E2445" s="8" t="s">
        <v>4014</v>
      </c>
      <c r="F2445" s="8" t="s">
        <v>460</v>
      </c>
      <c r="G2445" s="8" t="s">
        <v>4015</v>
      </c>
      <c r="H2445" s="10">
        <v>5</v>
      </c>
      <c r="I2445" s="10"/>
      <c r="J2445" s="10">
        <v>5</v>
      </c>
      <c r="K2445" s="10">
        <v>602.9</v>
      </c>
    </row>
    <row r="2446" spans="1:11" x14ac:dyDescent="0.25">
      <c r="A2446" s="8" t="s">
        <v>4018</v>
      </c>
      <c r="B2446" s="8" t="s">
        <v>1689</v>
      </c>
      <c r="C2446" s="8" t="s">
        <v>4013</v>
      </c>
      <c r="D2446" s="8">
        <v>3</v>
      </c>
      <c r="E2446" s="8" t="s">
        <v>4014</v>
      </c>
      <c r="F2446" s="8" t="s">
        <v>460</v>
      </c>
      <c r="G2446" s="8" t="s">
        <v>4015</v>
      </c>
      <c r="H2446" s="10">
        <v>2</v>
      </c>
      <c r="I2446" s="10"/>
      <c r="J2446" s="10">
        <v>2</v>
      </c>
      <c r="K2446" s="10">
        <v>602.9</v>
      </c>
    </row>
    <row r="2447" spans="1:11" x14ac:dyDescent="0.25">
      <c r="A2447" s="8" t="s">
        <v>4019</v>
      </c>
      <c r="B2447" s="8" t="s">
        <v>1650</v>
      </c>
      <c r="C2447" s="8" t="s">
        <v>4013</v>
      </c>
      <c r="D2447" s="8">
        <v>3</v>
      </c>
      <c r="E2447" s="8" t="s">
        <v>4020</v>
      </c>
      <c r="F2447" s="8" t="s">
        <v>460</v>
      </c>
      <c r="G2447" s="8" t="s">
        <v>4015</v>
      </c>
      <c r="H2447" s="10">
        <v>60</v>
      </c>
      <c r="I2447" s="10"/>
      <c r="J2447" s="10">
        <v>60</v>
      </c>
      <c r="K2447" s="10">
        <v>602.9</v>
      </c>
    </row>
    <row r="2448" spans="1:11" x14ac:dyDescent="0.25">
      <c r="A2448" s="8" t="s">
        <v>4021</v>
      </c>
      <c r="B2448" s="8" t="s">
        <v>120</v>
      </c>
      <c r="C2448" s="8" t="s">
        <v>4013</v>
      </c>
      <c r="D2448" s="8">
        <v>3</v>
      </c>
      <c r="E2448" s="8" t="s">
        <v>4020</v>
      </c>
      <c r="F2448" s="8" t="s">
        <v>460</v>
      </c>
      <c r="G2448" s="8" t="s">
        <v>4015</v>
      </c>
      <c r="H2448" s="10">
        <v>140</v>
      </c>
      <c r="I2448" s="10"/>
      <c r="J2448" s="10">
        <v>140</v>
      </c>
      <c r="K2448" s="10">
        <v>602.9</v>
      </c>
    </row>
    <row r="2449" spans="1:11" x14ac:dyDescent="0.25">
      <c r="A2449" s="8" t="s">
        <v>4022</v>
      </c>
      <c r="B2449" s="8" t="s">
        <v>1655</v>
      </c>
      <c r="C2449" s="8" t="s">
        <v>4013</v>
      </c>
      <c r="D2449" s="8">
        <v>3</v>
      </c>
      <c r="E2449" s="8" t="s">
        <v>4020</v>
      </c>
      <c r="F2449" s="8" t="s">
        <v>460</v>
      </c>
      <c r="G2449" s="8" t="s">
        <v>4015</v>
      </c>
      <c r="H2449" s="10">
        <v>80</v>
      </c>
      <c r="I2449" s="10"/>
      <c r="J2449" s="10">
        <v>80</v>
      </c>
      <c r="K2449" s="10">
        <v>602.9</v>
      </c>
    </row>
    <row r="2450" spans="1:11" x14ac:dyDescent="0.25">
      <c r="A2450" s="8" t="s">
        <v>4023</v>
      </c>
      <c r="B2450" s="8" t="s">
        <v>1689</v>
      </c>
      <c r="C2450" s="8" t="s">
        <v>4013</v>
      </c>
      <c r="D2450" s="8">
        <v>3</v>
      </c>
      <c r="E2450" s="8" t="s">
        <v>4020</v>
      </c>
      <c r="F2450" s="8" t="s">
        <v>460</v>
      </c>
      <c r="G2450" s="8" t="s">
        <v>4015</v>
      </c>
      <c r="H2450" s="10">
        <v>5</v>
      </c>
      <c r="I2450" s="10"/>
      <c r="J2450" s="10">
        <v>5</v>
      </c>
      <c r="K2450" s="10">
        <v>602.9</v>
      </c>
    </row>
    <row r="2451" spans="1:11" x14ac:dyDescent="0.25">
      <c r="A2451" s="8" t="s">
        <v>4024</v>
      </c>
      <c r="B2451" s="8" t="s">
        <v>3521</v>
      </c>
      <c r="C2451" s="8" t="s">
        <v>4013</v>
      </c>
      <c r="D2451" s="8">
        <v>3</v>
      </c>
      <c r="E2451" s="8" t="s">
        <v>4020</v>
      </c>
      <c r="F2451" s="8" t="s">
        <v>460</v>
      </c>
      <c r="G2451" s="8" t="s">
        <v>4015</v>
      </c>
      <c r="H2451" s="10">
        <v>24</v>
      </c>
      <c r="I2451" s="10"/>
      <c r="J2451" s="10">
        <v>24</v>
      </c>
      <c r="K2451" s="10">
        <v>602.9</v>
      </c>
    </row>
    <row r="2452" spans="1:11" x14ac:dyDescent="0.25">
      <c r="A2452" s="8" t="s">
        <v>4025</v>
      </c>
      <c r="B2452" s="8" t="s">
        <v>116</v>
      </c>
      <c r="C2452" s="8" t="s">
        <v>4013</v>
      </c>
      <c r="D2452" s="8">
        <v>3</v>
      </c>
      <c r="E2452" s="8" t="s">
        <v>4026</v>
      </c>
      <c r="F2452" s="8" t="s">
        <v>460</v>
      </c>
      <c r="G2452" s="8" t="s">
        <v>4015</v>
      </c>
      <c r="H2452" s="10">
        <v>10</v>
      </c>
      <c r="I2452" s="10"/>
      <c r="J2452" s="10">
        <v>10</v>
      </c>
      <c r="K2452" s="10">
        <v>602.9</v>
      </c>
    </row>
    <row r="2453" spans="1:11" x14ac:dyDescent="0.25">
      <c r="A2453" s="8" t="s">
        <v>4027</v>
      </c>
      <c r="B2453" s="8" t="s">
        <v>118</v>
      </c>
      <c r="C2453" s="8" t="s">
        <v>4013</v>
      </c>
      <c r="D2453" s="8">
        <v>3</v>
      </c>
      <c r="E2453" s="8" t="s">
        <v>4026</v>
      </c>
      <c r="F2453" s="8" t="s">
        <v>460</v>
      </c>
      <c r="G2453" s="8" t="s">
        <v>4015</v>
      </c>
      <c r="H2453" s="10">
        <v>10</v>
      </c>
      <c r="I2453" s="10"/>
      <c r="J2453" s="10">
        <v>10</v>
      </c>
      <c r="K2453" s="10">
        <v>602.9</v>
      </c>
    </row>
    <row r="2454" spans="1:11" x14ac:dyDescent="0.25">
      <c r="A2454" s="8" t="s">
        <v>4028</v>
      </c>
      <c r="B2454" s="8" t="s">
        <v>1650</v>
      </c>
      <c r="C2454" s="8" t="s">
        <v>4013</v>
      </c>
      <c r="D2454" s="8">
        <v>3</v>
      </c>
      <c r="E2454" s="8" t="s">
        <v>4026</v>
      </c>
      <c r="F2454" s="8" t="s">
        <v>460</v>
      </c>
      <c r="G2454" s="8" t="s">
        <v>4015</v>
      </c>
      <c r="H2454" s="10">
        <v>5</v>
      </c>
      <c r="I2454" s="10"/>
      <c r="J2454" s="10">
        <v>5</v>
      </c>
      <c r="K2454" s="10">
        <v>602.9</v>
      </c>
    </row>
    <row r="2455" spans="1:11" x14ac:dyDescent="0.25">
      <c r="A2455" s="8" t="s">
        <v>4029</v>
      </c>
      <c r="B2455" s="8" t="s">
        <v>120</v>
      </c>
      <c r="C2455" s="8" t="s">
        <v>4013</v>
      </c>
      <c r="D2455" s="8">
        <v>3</v>
      </c>
      <c r="E2455" s="8" t="s">
        <v>4026</v>
      </c>
      <c r="F2455" s="8" t="s">
        <v>460</v>
      </c>
      <c r="G2455" s="8" t="s">
        <v>4015</v>
      </c>
      <c r="H2455" s="10">
        <v>20</v>
      </c>
      <c r="I2455" s="10"/>
      <c r="J2455" s="10">
        <v>20</v>
      </c>
      <c r="K2455" s="10">
        <v>602.9</v>
      </c>
    </row>
    <row r="2456" spans="1:11" x14ac:dyDescent="0.25">
      <c r="A2456" s="8" t="s">
        <v>4030</v>
      </c>
      <c r="B2456" s="8" t="s">
        <v>120</v>
      </c>
      <c r="C2456" s="8" t="s">
        <v>4013</v>
      </c>
      <c r="D2456" s="8">
        <v>3</v>
      </c>
      <c r="E2456" s="8" t="s">
        <v>4026</v>
      </c>
      <c r="F2456" s="8" t="s">
        <v>460</v>
      </c>
      <c r="G2456" s="8" t="s">
        <v>4015</v>
      </c>
      <c r="H2456" s="10">
        <v>5</v>
      </c>
      <c r="I2456" s="10"/>
      <c r="J2456" s="10">
        <v>5</v>
      </c>
      <c r="K2456" s="10">
        <v>602.9</v>
      </c>
    </row>
    <row r="2457" spans="1:11" x14ac:dyDescent="0.25">
      <c r="A2457" s="8" t="s">
        <v>4031</v>
      </c>
      <c r="B2457" s="8" t="s">
        <v>122</v>
      </c>
      <c r="C2457" s="8" t="s">
        <v>4013</v>
      </c>
      <c r="D2457" s="8">
        <v>3</v>
      </c>
      <c r="E2457" s="8" t="s">
        <v>4026</v>
      </c>
      <c r="F2457" s="8" t="s">
        <v>460</v>
      </c>
      <c r="G2457" s="8" t="s">
        <v>4015</v>
      </c>
      <c r="H2457" s="10">
        <v>5</v>
      </c>
      <c r="I2457" s="10"/>
      <c r="J2457" s="10">
        <v>5</v>
      </c>
      <c r="K2457" s="10">
        <v>602.9</v>
      </c>
    </row>
    <row r="2458" spans="1:11" x14ac:dyDescent="0.25">
      <c r="A2458" s="8" t="s">
        <v>4032</v>
      </c>
      <c r="B2458" s="8" t="s">
        <v>124</v>
      </c>
      <c r="C2458" s="8" t="s">
        <v>4013</v>
      </c>
      <c r="D2458" s="8">
        <v>3</v>
      </c>
      <c r="E2458" s="8" t="s">
        <v>4026</v>
      </c>
      <c r="F2458" s="8" t="s">
        <v>460</v>
      </c>
      <c r="G2458" s="8" t="s">
        <v>4015</v>
      </c>
      <c r="H2458" s="10">
        <v>5</v>
      </c>
      <c r="I2458" s="10"/>
      <c r="J2458" s="10">
        <v>5</v>
      </c>
      <c r="K2458" s="10">
        <v>602.9</v>
      </c>
    </row>
    <row r="2459" spans="1:11" x14ac:dyDescent="0.25">
      <c r="A2459" s="8" t="s">
        <v>4033</v>
      </c>
      <c r="B2459" s="8" t="s">
        <v>78</v>
      </c>
      <c r="C2459" s="8" t="s">
        <v>4013</v>
      </c>
      <c r="D2459" s="8">
        <v>3</v>
      </c>
      <c r="E2459" s="8" t="s">
        <v>4026</v>
      </c>
      <c r="F2459" s="8" t="s">
        <v>460</v>
      </c>
      <c r="G2459" s="8" t="s">
        <v>4015</v>
      </c>
      <c r="H2459" s="10">
        <v>5</v>
      </c>
      <c r="I2459" s="10"/>
      <c r="J2459" s="10">
        <v>5</v>
      </c>
      <c r="K2459" s="10">
        <v>602.9</v>
      </c>
    </row>
    <row r="2460" spans="1:11" x14ac:dyDescent="0.25">
      <c r="A2460" s="8" t="s">
        <v>4034</v>
      </c>
      <c r="B2460" s="8" t="s">
        <v>1655</v>
      </c>
      <c r="C2460" s="8" t="s">
        <v>4013</v>
      </c>
      <c r="D2460" s="8">
        <v>3</v>
      </c>
      <c r="E2460" s="8" t="s">
        <v>4026</v>
      </c>
      <c r="F2460" s="8" t="s">
        <v>460</v>
      </c>
      <c r="G2460" s="8" t="s">
        <v>4015</v>
      </c>
      <c r="H2460" s="10">
        <v>5</v>
      </c>
      <c r="I2460" s="10"/>
      <c r="J2460" s="10">
        <v>5</v>
      </c>
      <c r="K2460" s="10">
        <v>602.9</v>
      </c>
    </row>
    <row r="2461" spans="1:11" x14ac:dyDescent="0.25">
      <c r="A2461" s="8" t="s">
        <v>4035</v>
      </c>
      <c r="B2461" s="8" t="s">
        <v>128</v>
      </c>
      <c r="C2461" s="8" t="s">
        <v>4013</v>
      </c>
      <c r="D2461" s="8">
        <v>3</v>
      </c>
      <c r="E2461" s="8" t="s">
        <v>4026</v>
      </c>
      <c r="F2461" s="8" t="s">
        <v>460</v>
      </c>
      <c r="G2461" s="8" t="s">
        <v>4015</v>
      </c>
      <c r="H2461" s="10">
        <v>5</v>
      </c>
      <c r="I2461" s="10"/>
      <c r="J2461" s="10">
        <v>5</v>
      </c>
      <c r="K2461" s="10">
        <v>602.9</v>
      </c>
    </row>
    <row r="2462" spans="1:11" x14ac:dyDescent="0.25">
      <c r="A2462" s="8" t="s">
        <v>4036</v>
      </c>
      <c r="B2462" s="8" t="s">
        <v>130</v>
      </c>
      <c r="C2462" s="8" t="s">
        <v>4013</v>
      </c>
      <c r="D2462" s="8">
        <v>3</v>
      </c>
      <c r="E2462" s="8" t="s">
        <v>4026</v>
      </c>
      <c r="F2462" s="8" t="s">
        <v>460</v>
      </c>
      <c r="G2462" s="8" t="s">
        <v>4015</v>
      </c>
      <c r="H2462" s="10">
        <v>5</v>
      </c>
      <c r="I2462" s="10"/>
      <c r="J2462" s="10">
        <v>5</v>
      </c>
      <c r="K2462" s="10">
        <v>602.9</v>
      </c>
    </row>
    <row r="2463" spans="1:11" x14ac:dyDescent="0.25">
      <c r="A2463" s="8" t="s">
        <v>4037</v>
      </c>
      <c r="B2463" s="8" t="s">
        <v>132</v>
      </c>
      <c r="C2463" s="8" t="s">
        <v>4013</v>
      </c>
      <c r="D2463" s="8">
        <v>3</v>
      </c>
      <c r="E2463" s="8" t="s">
        <v>4026</v>
      </c>
      <c r="F2463" s="8" t="s">
        <v>460</v>
      </c>
      <c r="G2463" s="8" t="s">
        <v>4015</v>
      </c>
      <c r="H2463" s="10">
        <v>5</v>
      </c>
      <c r="I2463" s="10"/>
      <c r="J2463" s="10">
        <v>5</v>
      </c>
      <c r="K2463" s="10">
        <v>602.9</v>
      </c>
    </row>
    <row r="2464" spans="1:11" x14ac:dyDescent="0.25">
      <c r="A2464" s="8" t="s">
        <v>4038</v>
      </c>
      <c r="B2464" s="8" t="s">
        <v>134</v>
      </c>
      <c r="C2464" s="8" t="s">
        <v>4013</v>
      </c>
      <c r="D2464" s="8">
        <v>3</v>
      </c>
      <c r="E2464" s="8" t="s">
        <v>4026</v>
      </c>
      <c r="F2464" s="8" t="s">
        <v>460</v>
      </c>
      <c r="G2464" s="8" t="s">
        <v>4015</v>
      </c>
      <c r="H2464" s="10">
        <v>5</v>
      </c>
      <c r="I2464" s="10"/>
      <c r="J2464" s="10">
        <v>5</v>
      </c>
      <c r="K2464" s="10">
        <v>602.9</v>
      </c>
    </row>
    <row r="2465" spans="1:11" x14ac:dyDescent="0.25">
      <c r="A2465" s="8" t="s">
        <v>4039</v>
      </c>
      <c r="B2465" s="8" t="s">
        <v>136</v>
      </c>
      <c r="C2465" s="8" t="s">
        <v>4013</v>
      </c>
      <c r="D2465" s="8">
        <v>3</v>
      </c>
      <c r="E2465" s="8" t="s">
        <v>4026</v>
      </c>
      <c r="F2465" s="8" t="s">
        <v>460</v>
      </c>
      <c r="G2465" s="8" t="s">
        <v>4015</v>
      </c>
      <c r="H2465" s="10">
        <v>5</v>
      </c>
      <c r="I2465" s="10"/>
      <c r="J2465" s="10">
        <v>5</v>
      </c>
      <c r="K2465" s="10">
        <v>602.9</v>
      </c>
    </row>
    <row r="2466" spans="1:11" x14ac:dyDescent="0.25">
      <c r="A2466" s="8" t="s">
        <v>4040</v>
      </c>
      <c r="B2466" s="8" t="s">
        <v>138</v>
      </c>
      <c r="C2466" s="8" t="s">
        <v>4013</v>
      </c>
      <c r="D2466" s="8">
        <v>3</v>
      </c>
      <c r="E2466" s="8" t="s">
        <v>4026</v>
      </c>
      <c r="F2466" s="8" t="s">
        <v>460</v>
      </c>
      <c r="G2466" s="8" t="s">
        <v>4015</v>
      </c>
      <c r="H2466" s="10">
        <v>5</v>
      </c>
      <c r="I2466" s="10"/>
      <c r="J2466" s="10">
        <v>5</v>
      </c>
      <c r="K2466" s="10">
        <v>602.9</v>
      </c>
    </row>
    <row r="2467" spans="1:11" x14ac:dyDescent="0.25">
      <c r="A2467" s="8" t="s">
        <v>4041</v>
      </c>
      <c r="B2467" s="8" t="s">
        <v>3521</v>
      </c>
      <c r="C2467" s="8" t="s">
        <v>4013</v>
      </c>
      <c r="D2467" s="8">
        <v>3</v>
      </c>
      <c r="E2467" s="8" t="s">
        <v>4026</v>
      </c>
      <c r="F2467" s="8" t="s">
        <v>460</v>
      </c>
      <c r="G2467" s="8" t="s">
        <v>4015</v>
      </c>
      <c r="H2467" s="10">
        <v>5</v>
      </c>
      <c r="I2467" s="10"/>
      <c r="J2467" s="10">
        <v>5</v>
      </c>
      <c r="K2467" s="10">
        <v>602.9</v>
      </c>
    </row>
    <row r="2468" spans="1:11" x14ac:dyDescent="0.25">
      <c r="A2468" s="8" t="s">
        <v>4042</v>
      </c>
      <c r="B2468" s="8" t="s">
        <v>116</v>
      </c>
      <c r="C2468" s="8" t="s">
        <v>4013</v>
      </c>
      <c r="D2468" s="8">
        <v>3</v>
      </c>
      <c r="E2468" s="8" t="s">
        <v>4043</v>
      </c>
      <c r="F2468" s="8" t="s">
        <v>460</v>
      </c>
      <c r="G2468" s="8" t="s">
        <v>4015</v>
      </c>
      <c r="H2468" s="10">
        <v>10</v>
      </c>
      <c r="I2468" s="10"/>
      <c r="J2468" s="10">
        <v>10</v>
      </c>
      <c r="K2468" s="10">
        <v>602.9</v>
      </c>
    </row>
    <row r="2469" spans="1:11" x14ac:dyDescent="0.25">
      <c r="A2469" s="8" t="s">
        <v>4044</v>
      </c>
      <c r="B2469" s="8" t="s">
        <v>118</v>
      </c>
      <c r="C2469" s="8" t="s">
        <v>4013</v>
      </c>
      <c r="D2469" s="8">
        <v>3</v>
      </c>
      <c r="E2469" s="8" t="s">
        <v>4043</v>
      </c>
      <c r="F2469" s="8" t="s">
        <v>460</v>
      </c>
      <c r="G2469" s="8" t="s">
        <v>4015</v>
      </c>
      <c r="H2469" s="10">
        <v>10</v>
      </c>
      <c r="I2469" s="10"/>
      <c r="J2469" s="10">
        <v>10</v>
      </c>
      <c r="K2469" s="10">
        <v>602.9</v>
      </c>
    </row>
    <row r="2470" spans="1:11" x14ac:dyDescent="0.25">
      <c r="A2470" s="8" t="s">
        <v>4045</v>
      </c>
      <c r="B2470" s="8" t="s">
        <v>120</v>
      </c>
      <c r="C2470" s="8" t="s">
        <v>4013</v>
      </c>
      <c r="D2470" s="8">
        <v>3</v>
      </c>
      <c r="E2470" s="8" t="s">
        <v>4043</v>
      </c>
      <c r="F2470" s="8" t="s">
        <v>460</v>
      </c>
      <c r="G2470" s="8" t="s">
        <v>4015</v>
      </c>
      <c r="H2470" s="10">
        <v>20</v>
      </c>
      <c r="I2470" s="10"/>
      <c r="J2470" s="10">
        <v>20</v>
      </c>
      <c r="K2470" s="10">
        <v>602.9</v>
      </c>
    </row>
    <row r="2471" spans="1:11" x14ac:dyDescent="0.25">
      <c r="A2471" s="8" t="s">
        <v>4046</v>
      </c>
      <c r="B2471" s="8" t="s">
        <v>122</v>
      </c>
      <c r="C2471" s="8" t="s">
        <v>4013</v>
      </c>
      <c r="D2471" s="8">
        <v>3</v>
      </c>
      <c r="E2471" s="8" t="s">
        <v>4043</v>
      </c>
      <c r="F2471" s="8" t="s">
        <v>460</v>
      </c>
      <c r="G2471" s="8" t="s">
        <v>4015</v>
      </c>
      <c r="H2471" s="10">
        <v>5</v>
      </c>
      <c r="I2471" s="10"/>
      <c r="J2471" s="10">
        <v>5</v>
      </c>
      <c r="K2471" s="10">
        <v>602.9</v>
      </c>
    </row>
    <row r="2472" spans="1:11" x14ac:dyDescent="0.25">
      <c r="A2472" s="8" t="s">
        <v>4047</v>
      </c>
      <c r="B2472" s="8" t="s">
        <v>124</v>
      </c>
      <c r="C2472" s="8" t="s">
        <v>4013</v>
      </c>
      <c r="D2472" s="8">
        <v>3</v>
      </c>
      <c r="E2472" s="8" t="s">
        <v>4043</v>
      </c>
      <c r="F2472" s="8" t="s">
        <v>460</v>
      </c>
      <c r="G2472" s="8" t="s">
        <v>4015</v>
      </c>
      <c r="H2472" s="10">
        <v>5</v>
      </c>
      <c r="I2472" s="10"/>
      <c r="J2472" s="10">
        <v>5</v>
      </c>
      <c r="K2472" s="10">
        <v>602.9</v>
      </c>
    </row>
    <row r="2473" spans="1:11" x14ac:dyDescent="0.25">
      <c r="A2473" s="8" t="s">
        <v>4048</v>
      </c>
      <c r="B2473" s="8" t="s">
        <v>78</v>
      </c>
      <c r="C2473" s="8" t="s">
        <v>4013</v>
      </c>
      <c r="D2473" s="8">
        <v>3</v>
      </c>
      <c r="E2473" s="8" t="s">
        <v>4043</v>
      </c>
      <c r="F2473" s="8" t="s">
        <v>460</v>
      </c>
      <c r="G2473" s="8" t="s">
        <v>4015</v>
      </c>
      <c r="H2473" s="10">
        <v>5</v>
      </c>
      <c r="I2473" s="10"/>
      <c r="J2473" s="10">
        <v>5</v>
      </c>
      <c r="K2473" s="10">
        <v>602.9</v>
      </c>
    </row>
    <row r="2474" spans="1:11" x14ac:dyDescent="0.25">
      <c r="A2474" s="8" t="s">
        <v>4049</v>
      </c>
      <c r="B2474" s="8" t="s">
        <v>128</v>
      </c>
      <c r="C2474" s="8" t="s">
        <v>4013</v>
      </c>
      <c r="D2474" s="8">
        <v>3</v>
      </c>
      <c r="E2474" s="8" t="s">
        <v>4043</v>
      </c>
      <c r="F2474" s="8" t="s">
        <v>460</v>
      </c>
      <c r="G2474" s="8" t="s">
        <v>4015</v>
      </c>
      <c r="H2474" s="10">
        <v>5</v>
      </c>
      <c r="I2474" s="10"/>
      <c r="J2474" s="10">
        <v>5</v>
      </c>
      <c r="K2474" s="10">
        <v>602.9</v>
      </c>
    </row>
    <row r="2475" spans="1:11" x14ac:dyDescent="0.25">
      <c r="A2475" s="8" t="s">
        <v>4050</v>
      </c>
      <c r="B2475" s="8" t="s">
        <v>130</v>
      </c>
      <c r="C2475" s="8" t="s">
        <v>4013</v>
      </c>
      <c r="D2475" s="8">
        <v>3</v>
      </c>
      <c r="E2475" s="8" t="s">
        <v>4043</v>
      </c>
      <c r="F2475" s="8" t="s">
        <v>460</v>
      </c>
      <c r="G2475" s="8" t="s">
        <v>4015</v>
      </c>
      <c r="H2475" s="10">
        <v>5</v>
      </c>
      <c r="I2475" s="10"/>
      <c r="J2475" s="10">
        <v>5</v>
      </c>
      <c r="K2475" s="10">
        <v>602.9</v>
      </c>
    </row>
    <row r="2476" spans="1:11" x14ac:dyDescent="0.25">
      <c r="A2476" s="8" t="s">
        <v>4051</v>
      </c>
      <c r="B2476" s="8" t="s">
        <v>132</v>
      </c>
      <c r="C2476" s="8" t="s">
        <v>4013</v>
      </c>
      <c r="D2476" s="8">
        <v>3</v>
      </c>
      <c r="E2476" s="8" t="s">
        <v>4043</v>
      </c>
      <c r="F2476" s="8" t="s">
        <v>460</v>
      </c>
      <c r="G2476" s="8" t="s">
        <v>4015</v>
      </c>
      <c r="H2476" s="10">
        <v>5</v>
      </c>
      <c r="I2476" s="10"/>
      <c r="J2476" s="10">
        <v>5</v>
      </c>
      <c r="K2476" s="10">
        <v>602.9</v>
      </c>
    </row>
    <row r="2477" spans="1:11" x14ac:dyDescent="0.25">
      <c r="A2477" s="8" t="s">
        <v>4052</v>
      </c>
      <c r="B2477" s="8" t="s">
        <v>134</v>
      </c>
      <c r="C2477" s="8" t="s">
        <v>4013</v>
      </c>
      <c r="D2477" s="8">
        <v>3</v>
      </c>
      <c r="E2477" s="8" t="s">
        <v>4043</v>
      </c>
      <c r="F2477" s="8" t="s">
        <v>460</v>
      </c>
      <c r="G2477" s="8" t="s">
        <v>4015</v>
      </c>
      <c r="H2477" s="10">
        <v>5</v>
      </c>
      <c r="I2477" s="10"/>
      <c r="J2477" s="10">
        <v>5</v>
      </c>
      <c r="K2477" s="10">
        <v>602.9</v>
      </c>
    </row>
    <row r="2478" spans="1:11" x14ac:dyDescent="0.25">
      <c r="A2478" s="8" t="s">
        <v>4053</v>
      </c>
      <c r="B2478" s="8" t="s">
        <v>136</v>
      </c>
      <c r="C2478" s="8" t="s">
        <v>4013</v>
      </c>
      <c r="D2478" s="8">
        <v>3</v>
      </c>
      <c r="E2478" s="8" t="s">
        <v>4043</v>
      </c>
      <c r="F2478" s="8" t="s">
        <v>460</v>
      </c>
      <c r="G2478" s="8" t="s">
        <v>4015</v>
      </c>
      <c r="H2478" s="10">
        <v>5</v>
      </c>
      <c r="I2478" s="10"/>
      <c r="J2478" s="10">
        <v>5</v>
      </c>
      <c r="K2478" s="10">
        <v>602.9</v>
      </c>
    </row>
    <row r="2479" spans="1:11" x14ac:dyDescent="0.25">
      <c r="A2479" s="8" t="s">
        <v>4054</v>
      </c>
      <c r="B2479" s="8" t="s">
        <v>138</v>
      </c>
      <c r="C2479" s="8" t="s">
        <v>4013</v>
      </c>
      <c r="D2479" s="8">
        <v>3</v>
      </c>
      <c r="E2479" s="8" t="s">
        <v>4043</v>
      </c>
      <c r="F2479" s="8" t="s">
        <v>460</v>
      </c>
      <c r="G2479" s="8" t="s">
        <v>4015</v>
      </c>
      <c r="H2479" s="10">
        <v>5</v>
      </c>
      <c r="I2479" s="10"/>
      <c r="J2479" s="10">
        <v>5</v>
      </c>
      <c r="K2479" s="10">
        <v>602.9</v>
      </c>
    </row>
    <row r="2480" spans="1:11" x14ac:dyDescent="0.25">
      <c r="A2480" s="8" t="s">
        <v>4055</v>
      </c>
      <c r="B2480" s="8" t="s">
        <v>116</v>
      </c>
      <c r="C2480" s="8" t="s">
        <v>4013</v>
      </c>
      <c r="D2480" s="8">
        <v>3</v>
      </c>
      <c r="E2480" s="8" t="s">
        <v>4056</v>
      </c>
      <c r="F2480" s="8" t="s">
        <v>460</v>
      </c>
      <c r="G2480" s="8" t="s">
        <v>4015</v>
      </c>
      <c r="H2480" s="10">
        <v>10</v>
      </c>
      <c r="I2480" s="10"/>
      <c r="J2480" s="10">
        <v>10</v>
      </c>
      <c r="K2480" s="10">
        <v>602.9</v>
      </c>
    </row>
    <row r="2481" spans="1:11" x14ac:dyDescent="0.25">
      <c r="A2481" s="8" t="s">
        <v>4057</v>
      </c>
      <c r="B2481" s="8" t="s">
        <v>118</v>
      </c>
      <c r="C2481" s="8" t="s">
        <v>4013</v>
      </c>
      <c r="D2481" s="8">
        <v>3</v>
      </c>
      <c r="E2481" s="8" t="s">
        <v>4056</v>
      </c>
      <c r="F2481" s="8" t="s">
        <v>460</v>
      </c>
      <c r="G2481" s="8" t="s">
        <v>4015</v>
      </c>
      <c r="H2481" s="10">
        <v>10</v>
      </c>
      <c r="I2481" s="10"/>
      <c r="J2481" s="10">
        <v>10</v>
      </c>
      <c r="K2481" s="10">
        <v>602.9</v>
      </c>
    </row>
    <row r="2482" spans="1:11" x14ac:dyDescent="0.25">
      <c r="A2482" s="8" t="s">
        <v>4058</v>
      </c>
      <c r="B2482" s="8" t="s">
        <v>120</v>
      </c>
      <c r="C2482" s="8" t="s">
        <v>4013</v>
      </c>
      <c r="D2482" s="8">
        <v>3</v>
      </c>
      <c r="E2482" s="8" t="s">
        <v>4056</v>
      </c>
      <c r="F2482" s="8" t="s">
        <v>460</v>
      </c>
      <c r="G2482" s="8" t="s">
        <v>4015</v>
      </c>
      <c r="H2482" s="10">
        <v>20</v>
      </c>
      <c r="I2482" s="10"/>
      <c r="J2482" s="10">
        <v>20</v>
      </c>
      <c r="K2482" s="10">
        <v>602.9</v>
      </c>
    </row>
    <row r="2483" spans="1:11" x14ac:dyDescent="0.25">
      <c r="A2483" s="8" t="s">
        <v>4059</v>
      </c>
      <c r="B2483" s="8" t="s">
        <v>122</v>
      </c>
      <c r="C2483" s="8" t="s">
        <v>4013</v>
      </c>
      <c r="D2483" s="8">
        <v>3</v>
      </c>
      <c r="E2483" s="8" t="s">
        <v>4056</v>
      </c>
      <c r="F2483" s="8" t="s">
        <v>460</v>
      </c>
      <c r="G2483" s="8" t="s">
        <v>4015</v>
      </c>
      <c r="H2483" s="10">
        <v>5</v>
      </c>
      <c r="I2483" s="10"/>
      <c r="J2483" s="10">
        <v>5</v>
      </c>
      <c r="K2483" s="10">
        <v>602.9</v>
      </c>
    </row>
    <row r="2484" spans="1:11" x14ac:dyDescent="0.25">
      <c r="A2484" s="8" t="s">
        <v>4060</v>
      </c>
      <c r="B2484" s="8" t="s">
        <v>124</v>
      </c>
      <c r="C2484" s="8" t="s">
        <v>4013</v>
      </c>
      <c r="D2484" s="8">
        <v>3</v>
      </c>
      <c r="E2484" s="8" t="s">
        <v>4056</v>
      </c>
      <c r="F2484" s="8" t="s">
        <v>460</v>
      </c>
      <c r="G2484" s="8" t="s">
        <v>4015</v>
      </c>
      <c r="H2484" s="10">
        <v>5</v>
      </c>
      <c r="I2484" s="10"/>
      <c r="J2484" s="10">
        <v>5</v>
      </c>
      <c r="K2484" s="10">
        <v>602.9</v>
      </c>
    </row>
    <row r="2485" spans="1:11" x14ac:dyDescent="0.25">
      <c r="A2485" s="8" t="s">
        <v>4061</v>
      </c>
      <c r="B2485" s="8" t="s">
        <v>78</v>
      </c>
      <c r="C2485" s="8" t="s">
        <v>4013</v>
      </c>
      <c r="D2485" s="8">
        <v>3</v>
      </c>
      <c r="E2485" s="8" t="s">
        <v>4056</v>
      </c>
      <c r="F2485" s="8" t="s">
        <v>460</v>
      </c>
      <c r="G2485" s="8" t="s">
        <v>4015</v>
      </c>
      <c r="H2485" s="10">
        <v>5</v>
      </c>
      <c r="I2485" s="10"/>
      <c r="J2485" s="10">
        <v>5</v>
      </c>
      <c r="K2485" s="10">
        <v>602.9</v>
      </c>
    </row>
    <row r="2486" spans="1:11" x14ac:dyDescent="0.25">
      <c r="A2486" s="8" t="s">
        <v>4062</v>
      </c>
      <c r="B2486" s="8" t="s">
        <v>128</v>
      </c>
      <c r="C2486" s="8" t="s">
        <v>4013</v>
      </c>
      <c r="D2486" s="8">
        <v>3</v>
      </c>
      <c r="E2486" s="8" t="s">
        <v>4056</v>
      </c>
      <c r="F2486" s="8" t="s">
        <v>460</v>
      </c>
      <c r="G2486" s="8" t="s">
        <v>4015</v>
      </c>
      <c r="H2486" s="10">
        <v>5</v>
      </c>
      <c r="I2486" s="10"/>
      <c r="J2486" s="10">
        <v>5</v>
      </c>
      <c r="K2486" s="10">
        <v>602.9</v>
      </c>
    </row>
    <row r="2487" spans="1:11" x14ac:dyDescent="0.25">
      <c r="A2487" s="8" t="s">
        <v>4063</v>
      </c>
      <c r="B2487" s="8" t="s">
        <v>130</v>
      </c>
      <c r="C2487" s="8" t="s">
        <v>4013</v>
      </c>
      <c r="D2487" s="8">
        <v>3</v>
      </c>
      <c r="E2487" s="8" t="s">
        <v>4056</v>
      </c>
      <c r="F2487" s="8" t="s">
        <v>460</v>
      </c>
      <c r="G2487" s="8" t="s">
        <v>4015</v>
      </c>
      <c r="H2487" s="10">
        <v>2</v>
      </c>
      <c r="I2487" s="10"/>
      <c r="J2487" s="10">
        <v>2</v>
      </c>
      <c r="K2487" s="10">
        <v>602.9</v>
      </c>
    </row>
    <row r="2488" spans="1:11" x14ac:dyDescent="0.25">
      <c r="A2488" s="8" t="s">
        <v>4064</v>
      </c>
      <c r="B2488" s="8" t="s">
        <v>132</v>
      </c>
      <c r="C2488" s="8" t="s">
        <v>4013</v>
      </c>
      <c r="D2488" s="8">
        <v>3</v>
      </c>
      <c r="E2488" s="8" t="s">
        <v>4056</v>
      </c>
      <c r="F2488" s="8" t="s">
        <v>460</v>
      </c>
      <c r="G2488" s="8" t="s">
        <v>4015</v>
      </c>
      <c r="H2488" s="10">
        <v>5</v>
      </c>
      <c r="I2488" s="10"/>
      <c r="J2488" s="10">
        <v>5</v>
      </c>
      <c r="K2488" s="10">
        <v>602.9</v>
      </c>
    </row>
    <row r="2489" spans="1:11" x14ac:dyDescent="0.25">
      <c r="A2489" s="8" t="s">
        <v>4065</v>
      </c>
      <c r="B2489" s="8" t="s">
        <v>134</v>
      </c>
      <c r="C2489" s="8" t="s">
        <v>4013</v>
      </c>
      <c r="D2489" s="8">
        <v>3</v>
      </c>
      <c r="E2489" s="8" t="s">
        <v>4056</v>
      </c>
      <c r="F2489" s="8" t="s">
        <v>460</v>
      </c>
      <c r="G2489" s="8" t="s">
        <v>4015</v>
      </c>
      <c r="H2489" s="10">
        <v>5</v>
      </c>
      <c r="I2489" s="10"/>
      <c r="J2489" s="10">
        <v>5</v>
      </c>
      <c r="K2489" s="10">
        <v>602.9</v>
      </c>
    </row>
    <row r="2490" spans="1:11" x14ac:dyDescent="0.25">
      <c r="A2490" s="8" t="s">
        <v>4066</v>
      </c>
      <c r="B2490" s="8" t="s">
        <v>136</v>
      </c>
      <c r="C2490" s="8" t="s">
        <v>4013</v>
      </c>
      <c r="D2490" s="8">
        <v>3</v>
      </c>
      <c r="E2490" s="8" t="s">
        <v>4056</v>
      </c>
      <c r="F2490" s="8" t="s">
        <v>460</v>
      </c>
      <c r="G2490" s="8" t="s">
        <v>4015</v>
      </c>
      <c r="H2490" s="10">
        <v>5</v>
      </c>
      <c r="I2490" s="10"/>
      <c r="J2490" s="10">
        <v>5</v>
      </c>
      <c r="K2490" s="10">
        <v>602.9</v>
      </c>
    </row>
    <row r="2491" spans="1:11" x14ac:dyDescent="0.25">
      <c r="A2491" s="8" t="s">
        <v>4067</v>
      </c>
      <c r="B2491" s="8" t="s">
        <v>263</v>
      </c>
      <c r="C2491" s="8" t="s">
        <v>4068</v>
      </c>
      <c r="D2491" s="8">
        <v>4</v>
      </c>
      <c r="E2491" s="8" t="s">
        <v>459</v>
      </c>
      <c r="F2491" s="8" t="s">
        <v>460</v>
      </c>
      <c r="G2491" s="8" t="s">
        <v>4069</v>
      </c>
      <c r="H2491" s="10">
        <v>2</v>
      </c>
      <c r="I2491" s="10"/>
      <c r="J2491" s="10">
        <v>2</v>
      </c>
      <c r="K2491" s="10">
        <v>1027.49</v>
      </c>
    </row>
    <row r="2492" spans="1:11" x14ac:dyDescent="0.25">
      <c r="A2492" s="8" t="s">
        <v>4070</v>
      </c>
      <c r="B2492" s="8" t="s">
        <v>269</v>
      </c>
      <c r="C2492" s="8" t="s">
        <v>4068</v>
      </c>
      <c r="D2492" s="8">
        <v>4</v>
      </c>
      <c r="E2492" s="8" t="s">
        <v>459</v>
      </c>
      <c r="F2492" s="8" t="s">
        <v>460</v>
      </c>
      <c r="G2492" s="8" t="s">
        <v>4069</v>
      </c>
      <c r="H2492" s="10">
        <v>2</v>
      </c>
      <c r="I2492" s="10"/>
      <c r="J2492" s="10">
        <v>2</v>
      </c>
      <c r="K2492" s="10">
        <v>1027.49</v>
      </c>
    </row>
    <row r="2493" spans="1:11" x14ac:dyDescent="0.25">
      <c r="A2493" s="8" t="s">
        <v>4071</v>
      </c>
      <c r="B2493" s="8" t="s">
        <v>116</v>
      </c>
      <c r="C2493" s="8" t="s">
        <v>4013</v>
      </c>
      <c r="D2493" s="8">
        <v>3</v>
      </c>
      <c r="E2493" s="8" t="s">
        <v>4072</v>
      </c>
      <c r="F2493" s="8" t="s">
        <v>460</v>
      </c>
      <c r="G2493" s="8" t="s">
        <v>4015</v>
      </c>
      <c r="H2493" s="10">
        <v>5</v>
      </c>
      <c r="I2493" s="10"/>
      <c r="J2493" s="10">
        <v>5</v>
      </c>
      <c r="K2493" s="10">
        <v>803.86</v>
      </c>
    </row>
    <row r="2494" spans="1:11" x14ac:dyDescent="0.25">
      <c r="A2494" s="8" t="s">
        <v>4073</v>
      </c>
      <c r="B2494" s="8" t="s">
        <v>118</v>
      </c>
      <c r="C2494" s="8" t="s">
        <v>4013</v>
      </c>
      <c r="D2494" s="8">
        <v>3</v>
      </c>
      <c r="E2494" s="8" t="s">
        <v>4072</v>
      </c>
      <c r="F2494" s="8" t="s">
        <v>460</v>
      </c>
      <c r="G2494" s="8" t="s">
        <v>4015</v>
      </c>
      <c r="H2494" s="10">
        <v>5</v>
      </c>
      <c r="I2494" s="10"/>
      <c r="J2494" s="10">
        <v>5</v>
      </c>
      <c r="K2494" s="10">
        <v>803.86</v>
      </c>
    </row>
    <row r="2495" spans="1:11" x14ac:dyDescent="0.25">
      <c r="A2495" s="8" t="s">
        <v>4074</v>
      </c>
      <c r="B2495" s="8" t="s">
        <v>1650</v>
      </c>
      <c r="C2495" s="8" t="s">
        <v>4013</v>
      </c>
      <c r="D2495" s="8">
        <v>3</v>
      </c>
      <c r="E2495" s="8" t="s">
        <v>4072</v>
      </c>
      <c r="F2495" s="8" t="s">
        <v>460</v>
      </c>
      <c r="G2495" s="8" t="s">
        <v>4015</v>
      </c>
      <c r="H2495" s="10">
        <v>5</v>
      </c>
      <c r="I2495" s="10"/>
      <c r="J2495" s="10">
        <v>5</v>
      </c>
      <c r="K2495" s="10">
        <v>803.86</v>
      </c>
    </row>
    <row r="2496" spans="1:11" x14ac:dyDescent="0.25">
      <c r="A2496" s="8" t="s">
        <v>4075</v>
      </c>
      <c r="B2496" s="8" t="s">
        <v>120</v>
      </c>
      <c r="C2496" s="8" t="s">
        <v>4013</v>
      </c>
      <c r="D2496" s="8">
        <v>3</v>
      </c>
      <c r="E2496" s="8" t="s">
        <v>4072</v>
      </c>
      <c r="F2496" s="8" t="s">
        <v>460</v>
      </c>
      <c r="G2496" s="8" t="s">
        <v>4015</v>
      </c>
      <c r="H2496" s="10">
        <v>30</v>
      </c>
      <c r="I2496" s="10"/>
      <c r="J2496" s="10">
        <v>30</v>
      </c>
      <c r="K2496" s="10">
        <v>803.86</v>
      </c>
    </row>
    <row r="2497" spans="1:11" x14ac:dyDescent="0.25">
      <c r="A2497" s="8" t="s">
        <v>4076</v>
      </c>
      <c r="B2497" s="8" t="s">
        <v>120</v>
      </c>
      <c r="C2497" s="8" t="s">
        <v>4013</v>
      </c>
      <c r="D2497" s="8">
        <v>3</v>
      </c>
      <c r="E2497" s="8" t="s">
        <v>4072</v>
      </c>
      <c r="F2497" s="8" t="s">
        <v>460</v>
      </c>
      <c r="G2497" s="8" t="s">
        <v>4015</v>
      </c>
      <c r="H2497" s="10">
        <v>5</v>
      </c>
      <c r="I2497" s="10"/>
      <c r="J2497" s="10">
        <v>5</v>
      </c>
      <c r="K2497" s="10">
        <v>803.86</v>
      </c>
    </row>
    <row r="2498" spans="1:11" x14ac:dyDescent="0.25">
      <c r="A2498" s="8" t="s">
        <v>4077</v>
      </c>
      <c r="B2498" s="8" t="s">
        <v>122</v>
      </c>
      <c r="C2498" s="8" t="s">
        <v>4013</v>
      </c>
      <c r="D2498" s="8">
        <v>3</v>
      </c>
      <c r="E2498" s="8" t="s">
        <v>4072</v>
      </c>
      <c r="F2498" s="8" t="s">
        <v>460</v>
      </c>
      <c r="G2498" s="8" t="s">
        <v>4015</v>
      </c>
      <c r="H2498" s="10">
        <v>5</v>
      </c>
      <c r="I2498" s="10"/>
      <c r="J2498" s="10">
        <v>5</v>
      </c>
      <c r="K2498" s="10">
        <v>803.86</v>
      </c>
    </row>
    <row r="2499" spans="1:11" x14ac:dyDescent="0.25">
      <c r="A2499" s="8" t="s">
        <v>4078</v>
      </c>
      <c r="B2499" s="8" t="s">
        <v>124</v>
      </c>
      <c r="C2499" s="8" t="s">
        <v>4013</v>
      </c>
      <c r="D2499" s="8">
        <v>3</v>
      </c>
      <c r="E2499" s="8" t="s">
        <v>4072</v>
      </c>
      <c r="F2499" s="8" t="s">
        <v>460</v>
      </c>
      <c r="G2499" s="8" t="s">
        <v>4015</v>
      </c>
      <c r="H2499" s="10">
        <v>5</v>
      </c>
      <c r="I2499" s="10"/>
      <c r="J2499" s="10">
        <v>5</v>
      </c>
      <c r="K2499" s="10">
        <v>803.86</v>
      </c>
    </row>
    <row r="2500" spans="1:11" x14ac:dyDescent="0.25">
      <c r="A2500" s="8" t="s">
        <v>4079</v>
      </c>
      <c r="B2500" s="8" t="s">
        <v>78</v>
      </c>
      <c r="C2500" s="8" t="s">
        <v>4013</v>
      </c>
      <c r="D2500" s="8">
        <v>3</v>
      </c>
      <c r="E2500" s="8" t="s">
        <v>4072</v>
      </c>
      <c r="F2500" s="8" t="s">
        <v>460</v>
      </c>
      <c r="G2500" s="8" t="s">
        <v>4015</v>
      </c>
      <c r="H2500" s="10">
        <v>10</v>
      </c>
      <c r="I2500" s="10"/>
      <c r="J2500" s="10">
        <v>10</v>
      </c>
      <c r="K2500" s="10">
        <v>803.86</v>
      </c>
    </row>
    <row r="2501" spans="1:11" x14ac:dyDescent="0.25">
      <c r="A2501" s="8" t="s">
        <v>4080</v>
      </c>
      <c r="B2501" s="8" t="s">
        <v>1655</v>
      </c>
      <c r="C2501" s="8" t="s">
        <v>4013</v>
      </c>
      <c r="D2501" s="8">
        <v>3</v>
      </c>
      <c r="E2501" s="8" t="s">
        <v>4072</v>
      </c>
      <c r="F2501" s="8" t="s">
        <v>460</v>
      </c>
      <c r="G2501" s="8" t="s">
        <v>4015</v>
      </c>
      <c r="H2501" s="10">
        <v>5</v>
      </c>
      <c r="I2501" s="10"/>
      <c r="J2501" s="10">
        <v>5</v>
      </c>
      <c r="K2501" s="10">
        <v>803.86</v>
      </c>
    </row>
    <row r="2502" spans="1:11" x14ac:dyDescent="0.25">
      <c r="A2502" s="8" t="s">
        <v>4081</v>
      </c>
      <c r="B2502" s="8" t="s">
        <v>128</v>
      </c>
      <c r="C2502" s="8" t="s">
        <v>4013</v>
      </c>
      <c r="D2502" s="8">
        <v>3</v>
      </c>
      <c r="E2502" s="8" t="s">
        <v>4072</v>
      </c>
      <c r="F2502" s="8" t="s">
        <v>460</v>
      </c>
      <c r="G2502" s="8" t="s">
        <v>4015</v>
      </c>
      <c r="H2502" s="10">
        <v>5</v>
      </c>
      <c r="I2502" s="10"/>
      <c r="J2502" s="10">
        <v>5</v>
      </c>
      <c r="K2502" s="10">
        <v>803.86</v>
      </c>
    </row>
    <row r="2503" spans="1:11" x14ac:dyDescent="0.25">
      <c r="A2503" s="8" t="s">
        <v>4082</v>
      </c>
      <c r="B2503" s="8" t="s">
        <v>949</v>
      </c>
      <c r="C2503" s="8" t="s">
        <v>4013</v>
      </c>
      <c r="D2503" s="8">
        <v>3</v>
      </c>
      <c r="E2503" s="8" t="s">
        <v>4072</v>
      </c>
      <c r="F2503" s="8" t="s">
        <v>460</v>
      </c>
      <c r="G2503" s="8" t="s">
        <v>4015</v>
      </c>
      <c r="H2503" s="10">
        <v>5</v>
      </c>
      <c r="I2503" s="10"/>
      <c r="J2503" s="10">
        <v>5</v>
      </c>
      <c r="K2503" s="10">
        <v>803.86</v>
      </c>
    </row>
    <row r="2504" spans="1:11" x14ac:dyDescent="0.25">
      <c r="A2504" s="8" t="s">
        <v>4083</v>
      </c>
      <c r="B2504" s="8" t="s">
        <v>132</v>
      </c>
      <c r="C2504" s="8" t="s">
        <v>4013</v>
      </c>
      <c r="D2504" s="8">
        <v>3</v>
      </c>
      <c r="E2504" s="8" t="s">
        <v>4072</v>
      </c>
      <c r="F2504" s="8" t="s">
        <v>460</v>
      </c>
      <c r="G2504" s="8" t="s">
        <v>4015</v>
      </c>
      <c r="H2504" s="10">
        <v>5</v>
      </c>
      <c r="I2504" s="10"/>
      <c r="J2504" s="10">
        <v>5</v>
      </c>
      <c r="K2504" s="10">
        <v>803.86</v>
      </c>
    </row>
    <row r="2505" spans="1:11" x14ac:dyDescent="0.25">
      <c r="A2505" s="8" t="s">
        <v>4084</v>
      </c>
      <c r="B2505" s="8" t="s">
        <v>134</v>
      </c>
      <c r="C2505" s="8" t="s">
        <v>4013</v>
      </c>
      <c r="D2505" s="8">
        <v>3</v>
      </c>
      <c r="E2505" s="8" t="s">
        <v>4072</v>
      </c>
      <c r="F2505" s="8" t="s">
        <v>460</v>
      </c>
      <c r="G2505" s="8" t="s">
        <v>4015</v>
      </c>
      <c r="H2505" s="10">
        <v>10</v>
      </c>
      <c r="I2505" s="10"/>
      <c r="J2505" s="10">
        <v>10</v>
      </c>
      <c r="K2505" s="10">
        <v>803.86</v>
      </c>
    </row>
    <row r="2506" spans="1:11" x14ac:dyDescent="0.25">
      <c r="A2506" s="8" t="s">
        <v>4085</v>
      </c>
      <c r="B2506" s="8" t="s">
        <v>136</v>
      </c>
      <c r="C2506" s="8" t="s">
        <v>4013</v>
      </c>
      <c r="D2506" s="8">
        <v>3</v>
      </c>
      <c r="E2506" s="8" t="s">
        <v>4072</v>
      </c>
      <c r="F2506" s="8" t="s">
        <v>460</v>
      </c>
      <c r="G2506" s="8" t="s">
        <v>4015</v>
      </c>
      <c r="H2506" s="10">
        <v>5</v>
      </c>
      <c r="I2506" s="10"/>
      <c r="J2506" s="10">
        <v>5</v>
      </c>
      <c r="K2506" s="10">
        <v>803.86</v>
      </c>
    </row>
    <row r="2507" spans="1:11" x14ac:dyDescent="0.25">
      <c r="A2507" s="8" t="s">
        <v>4086</v>
      </c>
      <c r="B2507" s="8" t="s">
        <v>138</v>
      </c>
      <c r="C2507" s="8" t="s">
        <v>4013</v>
      </c>
      <c r="D2507" s="8">
        <v>3</v>
      </c>
      <c r="E2507" s="8" t="s">
        <v>4072</v>
      </c>
      <c r="F2507" s="8" t="s">
        <v>460</v>
      </c>
      <c r="G2507" s="8" t="s">
        <v>4015</v>
      </c>
      <c r="H2507" s="10">
        <v>5</v>
      </c>
      <c r="I2507" s="10"/>
      <c r="J2507" s="10">
        <v>5</v>
      </c>
      <c r="K2507" s="10">
        <v>803.86</v>
      </c>
    </row>
    <row r="2508" spans="1:11" x14ac:dyDescent="0.25">
      <c r="A2508" s="8" t="s">
        <v>4087</v>
      </c>
      <c r="B2508" s="8" t="s">
        <v>116</v>
      </c>
      <c r="C2508" s="8" t="s">
        <v>4013</v>
      </c>
      <c r="D2508" s="8">
        <v>3</v>
      </c>
      <c r="E2508" s="8" t="s">
        <v>4088</v>
      </c>
      <c r="F2508" s="8" t="s">
        <v>460</v>
      </c>
      <c r="G2508" s="8" t="s">
        <v>4015</v>
      </c>
      <c r="H2508" s="10">
        <v>90</v>
      </c>
      <c r="I2508" s="10"/>
      <c r="J2508" s="10">
        <v>90</v>
      </c>
      <c r="K2508" s="10">
        <v>803.86</v>
      </c>
    </row>
    <row r="2509" spans="1:11" x14ac:dyDescent="0.25">
      <c r="A2509" s="8" t="s">
        <v>4089</v>
      </c>
      <c r="B2509" s="8" t="s">
        <v>118</v>
      </c>
      <c r="C2509" s="8" t="s">
        <v>4013</v>
      </c>
      <c r="D2509" s="8">
        <v>3</v>
      </c>
      <c r="E2509" s="8" t="s">
        <v>4088</v>
      </c>
      <c r="F2509" s="8" t="s">
        <v>460</v>
      </c>
      <c r="G2509" s="8" t="s">
        <v>4015</v>
      </c>
      <c r="H2509" s="10">
        <v>15</v>
      </c>
      <c r="I2509" s="10"/>
      <c r="J2509" s="10">
        <v>15</v>
      </c>
      <c r="K2509" s="10">
        <v>803.86</v>
      </c>
    </row>
    <row r="2510" spans="1:11" x14ac:dyDescent="0.25">
      <c r="A2510" s="8" t="s">
        <v>4090</v>
      </c>
      <c r="B2510" s="8" t="s">
        <v>1650</v>
      </c>
      <c r="C2510" s="8" t="s">
        <v>4013</v>
      </c>
      <c r="D2510" s="8">
        <v>3</v>
      </c>
      <c r="E2510" s="8" t="s">
        <v>4088</v>
      </c>
      <c r="F2510" s="8" t="s">
        <v>460</v>
      </c>
      <c r="G2510" s="8" t="s">
        <v>4015</v>
      </c>
      <c r="H2510" s="10">
        <v>25</v>
      </c>
      <c r="I2510" s="10"/>
      <c r="J2510" s="10">
        <v>25</v>
      </c>
      <c r="K2510" s="10">
        <v>803.86</v>
      </c>
    </row>
    <row r="2511" spans="1:11" x14ac:dyDescent="0.25">
      <c r="A2511" s="8" t="s">
        <v>4091</v>
      </c>
      <c r="B2511" s="8" t="s">
        <v>120</v>
      </c>
      <c r="C2511" s="8" t="s">
        <v>4013</v>
      </c>
      <c r="D2511" s="8">
        <v>3</v>
      </c>
      <c r="E2511" s="8" t="s">
        <v>4088</v>
      </c>
      <c r="F2511" s="8" t="s">
        <v>460</v>
      </c>
      <c r="G2511" s="8" t="s">
        <v>4015</v>
      </c>
      <c r="H2511" s="10">
        <v>60</v>
      </c>
      <c r="I2511" s="10"/>
      <c r="J2511" s="10">
        <v>60</v>
      </c>
      <c r="K2511" s="10">
        <v>803.86</v>
      </c>
    </row>
    <row r="2512" spans="1:11" x14ac:dyDescent="0.25">
      <c r="A2512" s="8" t="s">
        <v>4092</v>
      </c>
      <c r="B2512" s="8" t="s">
        <v>120</v>
      </c>
      <c r="C2512" s="8" t="s">
        <v>4013</v>
      </c>
      <c r="D2512" s="8">
        <v>3</v>
      </c>
      <c r="E2512" s="8" t="s">
        <v>4088</v>
      </c>
      <c r="F2512" s="8" t="s">
        <v>460</v>
      </c>
      <c r="G2512" s="8" t="s">
        <v>4015</v>
      </c>
      <c r="H2512" s="10">
        <v>60</v>
      </c>
      <c r="I2512" s="10"/>
      <c r="J2512" s="10">
        <v>60</v>
      </c>
      <c r="K2512" s="10">
        <v>803.86</v>
      </c>
    </row>
    <row r="2513" spans="1:11" x14ac:dyDescent="0.25">
      <c r="A2513" s="8" t="s">
        <v>4093</v>
      </c>
      <c r="B2513" s="8" t="s">
        <v>122</v>
      </c>
      <c r="C2513" s="8" t="s">
        <v>4013</v>
      </c>
      <c r="D2513" s="8">
        <v>3</v>
      </c>
      <c r="E2513" s="8" t="s">
        <v>4088</v>
      </c>
      <c r="F2513" s="8" t="s">
        <v>460</v>
      </c>
      <c r="G2513" s="8" t="s">
        <v>4015</v>
      </c>
      <c r="H2513" s="10">
        <v>30</v>
      </c>
      <c r="I2513" s="10"/>
      <c r="J2513" s="10">
        <v>30</v>
      </c>
      <c r="K2513" s="10">
        <v>803.86</v>
      </c>
    </row>
    <row r="2514" spans="1:11" x14ac:dyDescent="0.25">
      <c r="A2514" s="8" t="s">
        <v>4094</v>
      </c>
      <c r="B2514" s="8" t="s">
        <v>124</v>
      </c>
      <c r="C2514" s="8" t="s">
        <v>4013</v>
      </c>
      <c r="D2514" s="8">
        <v>3</v>
      </c>
      <c r="E2514" s="8" t="s">
        <v>4088</v>
      </c>
      <c r="F2514" s="8" t="s">
        <v>460</v>
      </c>
      <c r="G2514" s="8" t="s">
        <v>4015</v>
      </c>
      <c r="H2514" s="10">
        <v>20</v>
      </c>
      <c r="I2514" s="10"/>
      <c r="J2514" s="10">
        <v>20</v>
      </c>
      <c r="K2514" s="10">
        <v>803.86</v>
      </c>
    </row>
    <row r="2515" spans="1:11" x14ac:dyDescent="0.25">
      <c r="A2515" s="8" t="s">
        <v>4095</v>
      </c>
      <c r="B2515" s="8" t="s">
        <v>78</v>
      </c>
      <c r="C2515" s="8" t="s">
        <v>4013</v>
      </c>
      <c r="D2515" s="8">
        <v>3</v>
      </c>
      <c r="E2515" s="8" t="s">
        <v>4088</v>
      </c>
      <c r="F2515" s="8" t="s">
        <v>460</v>
      </c>
      <c r="G2515" s="8" t="s">
        <v>4015</v>
      </c>
      <c r="H2515" s="10">
        <v>15</v>
      </c>
      <c r="I2515" s="10"/>
      <c r="J2515" s="10">
        <v>15</v>
      </c>
      <c r="K2515" s="10">
        <v>803.86</v>
      </c>
    </row>
    <row r="2516" spans="1:11" x14ac:dyDescent="0.25">
      <c r="A2516" s="8" t="s">
        <v>4096</v>
      </c>
      <c r="B2516" s="8" t="s">
        <v>1655</v>
      </c>
      <c r="C2516" s="8" t="s">
        <v>4013</v>
      </c>
      <c r="D2516" s="8">
        <v>3</v>
      </c>
      <c r="E2516" s="8" t="s">
        <v>4088</v>
      </c>
      <c r="F2516" s="8" t="s">
        <v>460</v>
      </c>
      <c r="G2516" s="8" t="s">
        <v>4015</v>
      </c>
      <c r="H2516" s="10">
        <v>30</v>
      </c>
      <c r="I2516" s="10"/>
      <c r="J2516" s="10">
        <v>30</v>
      </c>
      <c r="K2516" s="10">
        <v>803.86</v>
      </c>
    </row>
    <row r="2517" spans="1:11" x14ac:dyDescent="0.25">
      <c r="A2517" s="8" t="s">
        <v>4097</v>
      </c>
      <c r="B2517" s="8" t="s">
        <v>128</v>
      </c>
      <c r="C2517" s="8" t="s">
        <v>4013</v>
      </c>
      <c r="D2517" s="8">
        <v>3</v>
      </c>
      <c r="E2517" s="8" t="s">
        <v>4088</v>
      </c>
      <c r="F2517" s="8" t="s">
        <v>460</v>
      </c>
      <c r="G2517" s="8" t="s">
        <v>4015</v>
      </c>
      <c r="H2517" s="10">
        <v>10</v>
      </c>
      <c r="I2517" s="10"/>
      <c r="J2517" s="10">
        <v>10</v>
      </c>
      <c r="K2517" s="10">
        <v>803.86</v>
      </c>
    </row>
    <row r="2518" spans="1:11" x14ac:dyDescent="0.25">
      <c r="A2518" s="8" t="s">
        <v>4098</v>
      </c>
      <c r="B2518" s="8" t="s">
        <v>949</v>
      </c>
      <c r="C2518" s="8" t="s">
        <v>4013</v>
      </c>
      <c r="D2518" s="8">
        <v>3</v>
      </c>
      <c r="E2518" s="8" t="s">
        <v>4088</v>
      </c>
      <c r="F2518" s="8" t="s">
        <v>460</v>
      </c>
      <c r="G2518" s="8" t="s">
        <v>4015</v>
      </c>
      <c r="H2518" s="10">
        <v>20</v>
      </c>
      <c r="I2518" s="10"/>
      <c r="J2518" s="10">
        <v>20</v>
      </c>
      <c r="K2518" s="10">
        <v>803.86</v>
      </c>
    </row>
    <row r="2519" spans="1:11" x14ac:dyDescent="0.25">
      <c r="A2519" s="8" t="s">
        <v>4099</v>
      </c>
      <c r="B2519" s="8" t="s">
        <v>132</v>
      </c>
      <c r="C2519" s="8" t="s">
        <v>4013</v>
      </c>
      <c r="D2519" s="8">
        <v>3</v>
      </c>
      <c r="E2519" s="8" t="s">
        <v>4088</v>
      </c>
      <c r="F2519" s="8" t="s">
        <v>460</v>
      </c>
      <c r="G2519" s="8" t="s">
        <v>4015</v>
      </c>
      <c r="H2519" s="10">
        <v>10</v>
      </c>
      <c r="I2519" s="10"/>
      <c r="J2519" s="10">
        <v>10</v>
      </c>
      <c r="K2519" s="10">
        <v>803.86</v>
      </c>
    </row>
    <row r="2520" spans="1:11" x14ac:dyDescent="0.25">
      <c r="A2520" s="8" t="s">
        <v>4100</v>
      </c>
      <c r="B2520" s="8" t="s">
        <v>134</v>
      </c>
      <c r="C2520" s="8" t="s">
        <v>4013</v>
      </c>
      <c r="D2520" s="8">
        <v>3</v>
      </c>
      <c r="E2520" s="8" t="s">
        <v>4088</v>
      </c>
      <c r="F2520" s="8" t="s">
        <v>460</v>
      </c>
      <c r="G2520" s="8" t="s">
        <v>4015</v>
      </c>
      <c r="H2520" s="10">
        <v>20</v>
      </c>
      <c r="I2520" s="10"/>
      <c r="J2520" s="10">
        <v>20</v>
      </c>
      <c r="K2520" s="10">
        <v>803.86</v>
      </c>
    </row>
    <row r="2521" spans="1:11" x14ac:dyDescent="0.25">
      <c r="A2521" s="8" t="s">
        <v>4101</v>
      </c>
      <c r="B2521" s="8" t="s">
        <v>136</v>
      </c>
      <c r="C2521" s="8" t="s">
        <v>4013</v>
      </c>
      <c r="D2521" s="8">
        <v>3</v>
      </c>
      <c r="E2521" s="8" t="s">
        <v>4088</v>
      </c>
      <c r="F2521" s="8" t="s">
        <v>460</v>
      </c>
      <c r="G2521" s="8" t="s">
        <v>4015</v>
      </c>
      <c r="H2521" s="10">
        <v>5</v>
      </c>
      <c r="I2521" s="10"/>
      <c r="J2521" s="10">
        <v>5</v>
      </c>
      <c r="K2521" s="10">
        <v>803.86</v>
      </c>
    </row>
    <row r="2522" spans="1:11" x14ac:dyDescent="0.25">
      <c r="A2522" s="8" t="s">
        <v>4102</v>
      </c>
      <c r="B2522" s="8" t="s">
        <v>1689</v>
      </c>
      <c r="C2522" s="8" t="s">
        <v>4013</v>
      </c>
      <c r="D2522" s="8">
        <v>3</v>
      </c>
      <c r="E2522" s="8" t="s">
        <v>4088</v>
      </c>
      <c r="F2522" s="8" t="s">
        <v>460</v>
      </c>
      <c r="G2522" s="8" t="s">
        <v>4015</v>
      </c>
      <c r="H2522" s="10">
        <v>10</v>
      </c>
      <c r="I2522" s="10"/>
      <c r="J2522" s="10">
        <v>10</v>
      </c>
      <c r="K2522" s="10">
        <v>803.86</v>
      </c>
    </row>
    <row r="2523" spans="1:11" x14ac:dyDescent="0.25">
      <c r="A2523" s="8" t="s">
        <v>4103</v>
      </c>
      <c r="B2523" s="8" t="s">
        <v>3518</v>
      </c>
      <c r="C2523" s="8" t="s">
        <v>4013</v>
      </c>
      <c r="D2523" s="8">
        <v>3</v>
      </c>
      <c r="E2523" s="8" t="s">
        <v>4088</v>
      </c>
      <c r="F2523" s="8" t="s">
        <v>460</v>
      </c>
      <c r="G2523" s="8" t="s">
        <v>4015</v>
      </c>
      <c r="H2523" s="10">
        <v>4</v>
      </c>
      <c r="I2523" s="10"/>
      <c r="J2523" s="10">
        <v>4</v>
      </c>
      <c r="K2523" s="10">
        <v>803.86</v>
      </c>
    </row>
    <row r="2524" spans="1:11" x14ac:dyDescent="0.25">
      <c r="A2524" s="8" t="s">
        <v>4104</v>
      </c>
      <c r="B2524" s="8" t="s">
        <v>138</v>
      </c>
      <c r="C2524" s="8" t="s">
        <v>4013</v>
      </c>
      <c r="D2524" s="8">
        <v>3</v>
      </c>
      <c r="E2524" s="8" t="s">
        <v>4088</v>
      </c>
      <c r="F2524" s="8" t="s">
        <v>460</v>
      </c>
      <c r="G2524" s="8" t="s">
        <v>4015</v>
      </c>
      <c r="H2524" s="10">
        <v>5</v>
      </c>
      <c r="I2524" s="10"/>
      <c r="J2524" s="10">
        <v>5</v>
      </c>
      <c r="K2524" s="10">
        <v>803.86</v>
      </c>
    </row>
    <row r="2525" spans="1:11" x14ac:dyDescent="0.25">
      <c r="A2525" s="8" t="s">
        <v>4105</v>
      </c>
      <c r="B2525" s="8" t="s">
        <v>116</v>
      </c>
      <c r="C2525" s="8" t="s">
        <v>4013</v>
      </c>
      <c r="D2525" s="8">
        <v>3</v>
      </c>
      <c r="E2525" s="8" t="s">
        <v>4106</v>
      </c>
      <c r="F2525" s="8" t="s">
        <v>460</v>
      </c>
      <c r="G2525" s="8" t="s">
        <v>4015</v>
      </c>
      <c r="H2525" s="10">
        <v>5</v>
      </c>
      <c r="I2525" s="10"/>
      <c r="J2525" s="10">
        <v>5</v>
      </c>
      <c r="K2525" s="10">
        <v>803.86</v>
      </c>
    </row>
    <row r="2526" spans="1:11" x14ac:dyDescent="0.25">
      <c r="A2526" s="8" t="s">
        <v>4107</v>
      </c>
      <c r="B2526" s="8" t="s">
        <v>118</v>
      </c>
      <c r="C2526" s="8" t="s">
        <v>4013</v>
      </c>
      <c r="D2526" s="8">
        <v>3</v>
      </c>
      <c r="E2526" s="8" t="s">
        <v>4106</v>
      </c>
      <c r="F2526" s="8" t="s">
        <v>460</v>
      </c>
      <c r="G2526" s="8" t="s">
        <v>4015</v>
      </c>
      <c r="H2526" s="10">
        <v>70</v>
      </c>
      <c r="I2526" s="10"/>
      <c r="J2526" s="10">
        <v>70</v>
      </c>
      <c r="K2526" s="10">
        <v>803.86</v>
      </c>
    </row>
    <row r="2527" spans="1:11" x14ac:dyDescent="0.25">
      <c r="A2527" s="8" t="s">
        <v>4108</v>
      </c>
      <c r="B2527" s="8" t="s">
        <v>1650</v>
      </c>
      <c r="C2527" s="8" t="s">
        <v>4013</v>
      </c>
      <c r="D2527" s="8">
        <v>3</v>
      </c>
      <c r="E2527" s="8" t="s">
        <v>4106</v>
      </c>
      <c r="F2527" s="8" t="s">
        <v>460</v>
      </c>
      <c r="G2527" s="8" t="s">
        <v>4015</v>
      </c>
      <c r="H2527" s="10">
        <v>5</v>
      </c>
      <c r="I2527" s="10"/>
      <c r="J2527" s="10">
        <v>5</v>
      </c>
      <c r="K2527" s="10">
        <v>803.86</v>
      </c>
    </row>
    <row r="2528" spans="1:11" x14ac:dyDescent="0.25">
      <c r="A2528" s="8" t="s">
        <v>4109</v>
      </c>
      <c r="B2528" s="8" t="s">
        <v>120</v>
      </c>
      <c r="C2528" s="8" t="s">
        <v>4013</v>
      </c>
      <c r="D2528" s="8">
        <v>3</v>
      </c>
      <c r="E2528" s="8" t="s">
        <v>4106</v>
      </c>
      <c r="F2528" s="8" t="s">
        <v>460</v>
      </c>
      <c r="G2528" s="8" t="s">
        <v>4015</v>
      </c>
      <c r="H2528" s="10">
        <v>150</v>
      </c>
      <c r="I2528" s="10"/>
      <c r="J2528" s="10">
        <v>150</v>
      </c>
      <c r="K2528" s="10">
        <v>803.86</v>
      </c>
    </row>
    <row r="2529" spans="1:11" x14ac:dyDescent="0.25">
      <c r="A2529" s="8" t="s">
        <v>4110</v>
      </c>
      <c r="B2529" s="8" t="s">
        <v>120</v>
      </c>
      <c r="C2529" s="8" t="s">
        <v>4013</v>
      </c>
      <c r="D2529" s="8">
        <v>3</v>
      </c>
      <c r="E2529" s="8" t="s">
        <v>4106</v>
      </c>
      <c r="F2529" s="8" t="s">
        <v>460</v>
      </c>
      <c r="G2529" s="8" t="s">
        <v>4015</v>
      </c>
      <c r="H2529" s="10">
        <v>5</v>
      </c>
      <c r="I2529" s="10"/>
      <c r="J2529" s="10">
        <v>5</v>
      </c>
      <c r="K2529" s="10">
        <v>803.86</v>
      </c>
    </row>
    <row r="2530" spans="1:11" x14ac:dyDescent="0.25">
      <c r="A2530" s="8" t="s">
        <v>4111</v>
      </c>
      <c r="B2530" s="8" t="s">
        <v>122</v>
      </c>
      <c r="C2530" s="8" t="s">
        <v>4013</v>
      </c>
      <c r="D2530" s="8">
        <v>3</v>
      </c>
      <c r="E2530" s="8" t="s">
        <v>4106</v>
      </c>
      <c r="F2530" s="8" t="s">
        <v>460</v>
      </c>
      <c r="G2530" s="8" t="s">
        <v>4015</v>
      </c>
      <c r="H2530" s="10">
        <v>105</v>
      </c>
      <c r="I2530" s="10"/>
      <c r="J2530" s="10">
        <v>105</v>
      </c>
      <c r="K2530" s="10">
        <v>803.86</v>
      </c>
    </row>
    <row r="2531" spans="1:11" x14ac:dyDescent="0.25">
      <c r="A2531" s="8" t="s">
        <v>4112</v>
      </c>
      <c r="B2531" s="8" t="s">
        <v>124</v>
      </c>
      <c r="C2531" s="8" t="s">
        <v>4013</v>
      </c>
      <c r="D2531" s="8">
        <v>3</v>
      </c>
      <c r="E2531" s="8" t="s">
        <v>4106</v>
      </c>
      <c r="F2531" s="8" t="s">
        <v>460</v>
      </c>
      <c r="G2531" s="8" t="s">
        <v>4015</v>
      </c>
      <c r="H2531" s="10">
        <v>110</v>
      </c>
      <c r="I2531" s="10"/>
      <c r="J2531" s="10">
        <v>110</v>
      </c>
      <c r="K2531" s="10">
        <v>803.86</v>
      </c>
    </row>
    <row r="2532" spans="1:11" x14ac:dyDescent="0.25">
      <c r="A2532" s="8" t="s">
        <v>4113</v>
      </c>
      <c r="B2532" s="8" t="s">
        <v>78</v>
      </c>
      <c r="C2532" s="8" t="s">
        <v>4013</v>
      </c>
      <c r="D2532" s="8">
        <v>3</v>
      </c>
      <c r="E2532" s="8" t="s">
        <v>4106</v>
      </c>
      <c r="F2532" s="8" t="s">
        <v>460</v>
      </c>
      <c r="G2532" s="8" t="s">
        <v>4015</v>
      </c>
      <c r="H2532" s="10">
        <v>60</v>
      </c>
      <c r="I2532" s="10"/>
      <c r="J2532" s="10">
        <v>60</v>
      </c>
      <c r="K2532" s="10">
        <v>803.86</v>
      </c>
    </row>
    <row r="2533" spans="1:11" x14ac:dyDescent="0.25">
      <c r="A2533" s="8" t="s">
        <v>4114</v>
      </c>
      <c r="B2533" s="8" t="s">
        <v>1655</v>
      </c>
      <c r="C2533" s="8" t="s">
        <v>4013</v>
      </c>
      <c r="D2533" s="8">
        <v>3</v>
      </c>
      <c r="E2533" s="8" t="s">
        <v>4106</v>
      </c>
      <c r="F2533" s="8" t="s">
        <v>460</v>
      </c>
      <c r="G2533" s="8" t="s">
        <v>4015</v>
      </c>
      <c r="H2533" s="10">
        <v>5</v>
      </c>
      <c r="I2533" s="10"/>
      <c r="J2533" s="10">
        <v>5</v>
      </c>
      <c r="K2533" s="10">
        <v>803.86</v>
      </c>
    </row>
    <row r="2534" spans="1:11" x14ac:dyDescent="0.25">
      <c r="A2534" s="8" t="s">
        <v>4115</v>
      </c>
      <c r="B2534" s="8" t="s">
        <v>128</v>
      </c>
      <c r="C2534" s="8" t="s">
        <v>4013</v>
      </c>
      <c r="D2534" s="8">
        <v>3</v>
      </c>
      <c r="E2534" s="8" t="s">
        <v>4106</v>
      </c>
      <c r="F2534" s="8" t="s">
        <v>460</v>
      </c>
      <c r="G2534" s="8" t="s">
        <v>4015</v>
      </c>
      <c r="H2534" s="10">
        <v>5</v>
      </c>
      <c r="I2534" s="10"/>
      <c r="J2534" s="10">
        <v>5</v>
      </c>
      <c r="K2534" s="10">
        <v>803.86</v>
      </c>
    </row>
    <row r="2535" spans="1:11" x14ac:dyDescent="0.25">
      <c r="A2535" s="8" t="s">
        <v>4116</v>
      </c>
      <c r="B2535" s="8" t="s">
        <v>949</v>
      </c>
      <c r="C2535" s="8" t="s">
        <v>4013</v>
      </c>
      <c r="D2535" s="8">
        <v>3</v>
      </c>
      <c r="E2535" s="8" t="s">
        <v>4106</v>
      </c>
      <c r="F2535" s="8" t="s">
        <v>460</v>
      </c>
      <c r="G2535" s="8" t="s">
        <v>4015</v>
      </c>
      <c r="H2535" s="10">
        <v>5</v>
      </c>
      <c r="I2535" s="10"/>
      <c r="J2535" s="10">
        <v>5</v>
      </c>
      <c r="K2535" s="10">
        <v>803.86</v>
      </c>
    </row>
    <row r="2536" spans="1:11" x14ac:dyDescent="0.25">
      <c r="A2536" s="8" t="s">
        <v>4117</v>
      </c>
      <c r="B2536" s="8" t="s">
        <v>132</v>
      </c>
      <c r="C2536" s="8" t="s">
        <v>4013</v>
      </c>
      <c r="D2536" s="8">
        <v>3</v>
      </c>
      <c r="E2536" s="8" t="s">
        <v>4106</v>
      </c>
      <c r="F2536" s="8" t="s">
        <v>460</v>
      </c>
      <c r="G2536" s="8" t="s">
        <v>4015</v>
      </c>
      <c r="H2536" s="10">
        <v>10</v>
      </c>
      <c r="I2536" s="10"/>
      <c r="J2536" s="10">
        <v>10</v>
      </c>
      <c r="K2536" s="10">
        <v>803.86</v>
      </c>
    </row>
    <row r="2537" spans="1:11" x14ac:dyDescent="0.25">
      <c r="A2537" s="8" t="s">
        <v>4118</v>
      </c>
      <c r="B2537" s="8" t="s">
        <v>134</v>
      </c>
      <c r="C2537" s="8" t="s">
        <v>4013</v>
      </c>
      <c r="D2537" s="8">
        <v>3</v>
      </c>
      <c r="E2537" s="8" t="s">
        <v>4106</v>
      </c>
      <c r="F2537" s="8" t="s">
        <v>460</v>
      </c>
      <c r="G2537" s="8" t="s">
        <v>4015</v>
      </c>
      <c r="H2537" s="10">
        <v>30</v>
      </c>
      <c r="I2537" s="10"/>
      <c r="J2537" s="10">
        <v>30</v>
      </c>
      <c r="K2537" s="10">
        <v>803.86</v>
      </c>
    </row>
    <row r="2538" spans="1:11" x14ac:dyDescent="0.25">
      <c r="A2538" s="8" t="s">
        <v>4119</v>
      </c>
      <c r="B2538" s="8" t="s">
        <v>136</v>
      </c>
      <c r="C2538" s="8" t="s">
        <v>4013</v>
      </c>
      <c r="D2538" s="8">
        <v>3</v>
      </c>
      <c r="E2538" s="8" t="s">
        <v>4106</v>
      </c>
      <c r="F2538" s="8" t="s">
        <v>460</v>
      </c>
      <c r="G2538" s="8" t="s">
        <v>4015</v>
      </c>
      <c r="H2538" s="10">
        <v>10</v>
      </c>
      <c r="I2538" s="10"/>
      <c r="J2538" s="10">
        <v>10</v>
      </c>
      <c r="K2538" s="10">
        <v>803.86</v>
      </c>
    </row>
    <row r="2539" spans="1:11" x14ac:dyDescent="0.25">
      <c r="A2539" s="8" t="s">
        <v>4120</v>
      </c>
      <c r="B2539" s="8" t="s">
        <v>1689</v>
      </c>
      <c r="C2539" s="8" t="s">
        <v>4013</v>
      </c>
      <c r="D2539" s="8">
        <v>3</v>
      </c>
      <c r="E2539" s="8" t="s">
        <v>4106</v>
      </c>
      <c r="F2539" s="8" t="s">
        <v>460</v>
      </c>
      <c r="G2539" s="8" t="s">
        <v>4015</v>
      </c>
      <c r="H2539" s="10">
        <v>5</v>
      </c>
      <c r="I2539" s="10"/>
      <c r="J2539" s="10">
        <v>5</v>
      </c>
      <c r="K2539" s="10">
        <v>803.86</v>
      </c>
    </row>
    <row r="2540" spans="1:11" x14ac:dyDescent="0.25">
      <c r="A2540" s="8" t="s">
        <v>4121</v>
      </c>
      <c r="B2540" s="8" t="s">
        <v>138</v>
      </c>
      <c r="C2540" s="8" t="s">
        <v>4013</v>
      </c>
      <c r="D2540" s="8">
        <v>3</v>
      </c>
      <c r="E2540" s="8" t="s">
        <v>4106</v>
      </c>
      <c r="F2540" s="8" t="s">
        <v>460</v>
      </c>
      <c r="G2540" s="8" t="s">
        <v>4015</v>
      </c>
      <c r="H2540" s="10">
        <v>8</v>
      </c>
      <c r="I2540" s="10"/>
      <c r="J2540" s="10">
        <v>8</v>
      </c>
      <c r="K2540" s="10">
        <v>803.86</v>
      </c>
    </row>
    <row r="2541" spans="1:11" x14ac:dyDescent="0.25">
      <c r="A2541" s="8" t="s">
        <v>4122</v>
      </c>
      <c r="B2541" s="8" t="s">
        <v>80</v>
      </c>
      <c r="C2541" s="8" t="s">
        <v>4013</v>
      </c>
      <c r="D2541" s="8">
        <v>3</v>
      </c>
      <c r="E2541" s="8" t="s">
        <v>4106</v>
      </c>
      <c r="F2541" s="8" t="s">
        <v>460</v>
      </c>
      <c r="G2541" s="8" t="s">
        <v>4015</v>
      </c>
      <c r="H2541" s="10">
        <v>15</v>
      </c>
      <c r="I2541" s="10"/>
      <c r="J2541" s="10">
        <v>15</v>
      </c>
      <c r="K2541" s="10">
        <v>803.86</v>
      </c>
    </row>
    <row r="2542" spans="1:11" x14ac:dyDescent="0.25">
      <c r="A2542" s="8" t="s">
        <v>4123</v>
      </c>
      <c r="B2542" s="8" t="s">
        <v>116</v>
      </c>
      <c r="C2542" s="8" t="s">
        <v>4013</v>
      </c>
      <c r="D2542" s="8">
        <v>3</v>
      </c>
      <c r="E2542" s="8" t="s">
        <v>4124</v>
      </c>
      <c r="F2542" s="8" t="s">
        <v>460</v>
      </c>
      <c r="G2542" s="8" t="s">
        <v>4015</v>
      </c>
      <c r="H2542" s="10">
        <v>5</v>
      </c>
      <c r="I2542" s="10"/>
      <c r="J2542" s="10">
        <v>5</v>
      </c>
      <c r="K2542" s="10">
        <v>803.86</v>
      </c>
    </row>
    <row r="2543" spans="1:11" x14ac:dyDescent="0.25">
      <c r="A2543" s="8" t="s">
        <v>4125</v>
      </c>
      <c r="B2543" s="8" t="s">
        <v>118</v>
      </c>
      <c r="C2543" s="8" t="s">
        <v>4013</v>
      </c>
      <c r="D2543" s="8">
        <v>3</v>
      </c>
      <c r="E2543" s="8" t="s">
        <v>4124</v>
      </c>
      <c r="F2543" s="8" t="s">
        <v>460</v>
      </c>
      <c r="G2543" s="8" t="s">
        <v>4015</v>
      </c>
      <c r="H2543" s="10">
        <v>5</v>
      </c>
      <c r="I2543" s="10"/>
      <c r="J2543" s="10">
        <v>5</v>
      </c>
      <c r="K2543" s="10">
        <v>803.86</v>
      </c>
    </row>
    <row r="2544" spans="1:11" x14ac:dyDescent="0.25">
      <c r="A2544" s="8" t="s">
        <v>4126</v>
      </c>
      <c r="B2544" s="8" t="s">
        <v>120</v>
      </c>
      <c r="C2544" s="8" t="s">
        <v>4013</v>
      </c>
      <c r="D2544" s="8">
        <v>3</v>
      </c>
      <c r="E2544" s="8" t="s">
        <v>4124</v>
      </c>
      <c r="F2544" s="8" t="s">
        <v>460</v>
      </c>
      <c r="G2544" s="8" t="s">
        <v>4015</v>
      </c>
      <c r="H2544" s="10">
        <v>5</v>
      </c>
      <c r="I2544" s="10"/>
      <c r="J2544" s="10">
        <v>5</v>
      </c>
      <c r="K2544" s="10">
        <v>803.86</v>
      </c>
    </row>
    <row r="2545" spans="1:11" x14ac:dyDescent="0.25">
      <c r="A2545" s="8" t="s">
        <v>4127</v>
      </c>
      <c r="B2545" s="8" t="s">
        <v>122</v>
      </c>
      <c r="C2545" s="8" t="s">
        <v>4013</v>
      </c>
      <c r="D2545" s="8">
        <v>3</v>
      </c>
      <c r="E2545" s="8" t="s">
        <v>4124</v>
      </c>
      <c r="F2545" s="8" t="s">
        <v>460</v>
      </c>
      <c r="G2545" s="8" t="s">
        <v>4015</v>
      </c>
      <c r="H2545" s="10">
        <v>5</v>
      </c>
      <c r="I2545" s="10"/>
      <c r="J2545" s="10">
        <v>5</v>
      </c>
      <c r="K2545" s="10">
        <v>803.86</v>
      </c>
    </row>
    <row r="2546" spans="1:11" x14ac:dyDescent="0.25">
      <c r="A2546" s="8" t="s">
        <v>4128</v>
      </c>
      <c r="B2546" s="8" t="s">
        <v>124</v>
      </c>
      <c r="C2546" s="8" t="s">
        <v>4013</v>
      </c>
      <c r="D2546" s="8">
        <v>3</v>
      </c>
      <c r="E2546" s="8" t="s">
        <v>4124</v>
      </c>
      <c r="F2546" s="8" t="s">
        <v>460</v>
      </c>
      <c r="G2546" s="8" t="s">
        <v>4015</v>
      </c>
      <c r="H2546" s="10">
        <v>5</v>
      </c>
      <c r="I2546" s="10"/>
      <c r="J2546" s="10">
        <v>5</v>
      </c>
      <c r="K2546" s="10">
        <v>803.86</v>
      </c>
    </row>
    <row r="2547" spans="1:11" x14ac:dyDescent="0.25">
      <c r="A2547" s="8" t="s">
        <v>4129</v>
      </c>
      <c r="B2547" s="8" t="s">
        <v>78</v>
      </c>
      <c r="C2547" s="8" t="s">
        <v>4013</v>
      </c>
      <c r="D2547" s="8">
        <v>3</v>
      </c>
      <c r="E2547" s="8" t="s">
        <v>4124</v>
      </c>
      <c r="F2547" s="8" t="s">
        <v>460</v>
      </c>
      <c r="G2547" s="8" t="s">
        <v>4015</v>
      </c>
      <c r="H2547" s="10">
        <v>5</v>
      </c>
      <c r="I2547" s="10"/>
      <c r="J2547" s="10">
        <v>5</v>
      </c>
      <c r="K2547" s="10">
        <v>803.86</v>
      </c>
    </row>
    <row r="2548" spans="1:11" x14ac:dyDescent="0.25">
      <c r="A2548" s="8" t="s">
        <v>4130</v>
      </c>
      <c r="B2548" s="8" t="s">
        <v>134</v>
      </c>
      <c r="C2548" s="8" t="s">
        <v>4013</v>
      </c>
      <c r="D2548" s="8">
        <v>3</v>
      </c>
      <c r="E2548" s="8" t="s">
        <v>4124</v>
      </c>
      <c r="F2548" s="8" t="s">
        <v>460</v>
      </c>
      <c r="G2548" s="8" t="s">
        <v>4015</v>
      </c>
      <c r="H2548" s="10">
        <v>5</v>
      </c>
      <c r="I2548" s="10"/>
      <c r="J2548" s="10">
        <v>5</v>
      </c>
      <c r="K2548" s="10">
        <v>803.86</v>
      </c>
    </row>
    <row r="2549" spans="1:11" x14ac:dyDescent="0.25">
      <c r="A2549" s="8" t="s">
        <v>4131</v>
      </c>
      <c r="B2549" s="8" t="s">
        <v>136</v>
      </c>
      <c r="C2549" s="8" t="s">
        <v>4013</v>
      </c>
      <c r="D2549" s="8">
        <v>3</v>
      </c>
      <c r="E2549" s="8" t="s">
        <v>4124</v>
      </c>
      <c r="F2549" s="8" t="s">
        <v>460</v>
      </c>
      <c r="G2549" s="8" t="s">
        <v>4015</v>
      </c>
      <c r="H2549" s="10">
        <v>5</v>
      </c>
      <c r="I2549" s="10"/>
      <c r="J2549" s="10">
        <v>5</v>
      </c>
      <c r="K2549" s="10">
        <v>803.86</v>
      </c>
    </row>
    <row r="2550" spans="1:11" x14ac:dyDescent="0.25">
      <c r="A2550" s="8" t="s">
        <v>4132</v>
      </c>
      <c r="B2550" s="8" t="s">
        <v>116</v>
      </c>
      <c r="C2550" s="8" t="s">
        <v>4013</v>
      </c>
      <c r="D2550" s="8">
        <v>3</v>
      </c>
      <c r="E2550" s="8" t="s">
        <v>4133</v>
      </c>
      <c r="F2550" s="8" t="s">
        <v>460</v>
      </c>
      <c r="G2550" s="8" t="s">
        <v>4015</v>
      </c>
      <c r="H2550" s="10">
        <v>5</v>
      </c>
      <c r="I2550" s="10"/>
      <c r="J2550" s="10">
        <v>5</v>
      </c>
      <c r="K2550" s="10">
        <v>803.86</v>
      </c>
    </row>
    <row r="2551" spans="1:11" x14ac:dyDescent="0.25">
      <c r="A2551" s="8" t="s">
        <v>4134</v>
      </c>
      <c r="B2551" s="8" t="s">
        <v>118</v>
      </c>
      <c r="C2551" s="8" t="s">
        <v>4013</v>
      </c>
      <c r="D2551" s="8">
        <v>3</v>
      </c>
      <c r="E2551" s="8" t="s">
        <v>4133</v>
      </c>
      <c r="F2551" s="8" t="s">
        <v>460</v>
      </c>
      <c r="G2551" s="8" t="s">
        <v>4015</v>
      </c>
      <c r="H2551" s="10">
        <v>5</v>
      </c>
      <c r="I2551" s="10"/>
      <c r="J2551" s="10">
        <v>5</v>
      </c>
      <c r="K2551" s="10">
        <v>803.86</v>
      </c>
    </row>
    <row r="2552" spans="1:11" x14ac:dyDescent="0.25">
      <c r="A2552" s="8" t="s">
        <v>4135</v>
      </c>
      <c r="B2552" s="8" t="s">
        <v>120</v>
      </c>
      <c r="C2552" s="8" t="s">
        <v>4013</v>
      </c>
      <c r="D2552" s="8">
        <v>3</v>
      </c>
      <c r="E2552" s="8" t="s">
        <v>4133</v>
      </c>
      <c r="F2552" s="8" t="s">
        <v>460</v>
      </c>
      <c r="G2552" s="8" t="s">
        <v>4015</v>
      </c>
      <c r="H2552" s="10">
        <v>10</v>
      </c>
      <c r="I2552" s="10"/>
      <c r="J2552" s="10">
        <v>10</v>
      </c>
      <c r="K2552" s="10">
        <v>803.86</v>
      </c>
    </row>
    <row r="2553" spans="1:11" x14ac:dyDescent="0.25">
      <c r="A2553" s="8" t="s">
        <v>4136</v>
      </c>
      <c r="B2553" s="8" t="s">
        <v>122</v>
      </c>
      <c r="C2553" s="8" t="s">
        <v>4013</v>
      </c>
      <c r="D2553" s="8">
        <v>3</v>
      </c>
      <c r="E2553" s="8" t="s">
        <v>4133</v>
      </c>
      <c r="F2553" s="8" t="s">
        <v>460</v>
      </c>
      <c r="G2553" s="8" t="s">
        <v>4015</v>
      </c>
      <c r="H2553" s="10">
        <v>5</v>
      </c>
      <c r="I2553" s="10"/>
      <c r="J2553" s="10">
        <v>5</v>
      </c>
      <c r="K2553" s="10">
        <v>803.86</v>
      </c>
    </row>
    <row r="2554" spans="1:11" x14ac:dyDescent="0.25">
      <c r="A2554" s="8" t="s">
        <v>4137</v>
      </c>
      <c r="B2554" s="8" t="s">
        <v>124</v>
      </c>
      <c r="C2554" s="8" t="s">
        <v>4013</v>
      </c>
      <c r="D2554" s="8">
        <v>3</v>
      </c>
      <c r="E2554" s="8" t="s">
        <v>4133</v>
      </c>
      <c r="F2554" s="8" t="s">
        <v>460</v>
      </c>
      <c r="G2554" s="8" t="s">
        <v>4015</v>
      </c>
      <c r="H2554" s="10">
        <v>5</v>
      </c>
      <c r="I2554" s="10"/>
      <c r="J2554" s="10">
        <v>5</v>
      </c>
      <c r="K2554" s="10">
        <v>803.86</v>
      </c>
    </row>
    <row r="2555" spans="1:11" x14ac:dyDescent="0.25">
      <c r="A2555" s="8" t="s">
        <v>4138</v>
      </c>
      <c r="B2555" s="8" t="s">
        <v>78</v>
      </c>
      <c r="C2555" s="8" t="s">
        <v>4013</v>
      </c>
      <c r="D2555" s="8">
        <v>3</v>
      </c>
      <c r="E2555" s="8" t="s">
        <v>4133</v>
      </c>
      <c r="F2555" s="8" t="s">
        <v>460</v>
      </c>
      <c r="G2555" s="8" t="s">
        <v>4015</v>
      </c>
      <c r="H2555" s="10">
        <v>5</v>
      </c>
      <c r="I2555" s="10"/>
      <c r="J2555" s="10">
        <v>5</v>
      </c>
      <c r="K2555" s="10">
        <v>803.86</v>
      </c>
    </row>
    <row r="2556" spans="1:11" x14ac:dyDescent="0.25">
      <c r="A2556" s="8" t="s">
        <v>4139</v>
      </c>
      <c r="B2556" s="8" t="s">
        <v>132</v>
      </c>
      <c r="C2556" s="8" t="s">
        <v>4013</v>
      </c>
      <c r="D2556" s="8">
        <v>3</v>
      </c>
      <c r="E2556" s="8" t="s">
        <v>4133</v>
      </c>
      <c r="F2556" s="8" t="s">
        <v>460</v>
      </c>
      <c r="G2556" s="8" t="s">
        <v>4015</v>
      </c>
      <c r="H2556" s="10">
        <v>5</v>
      </c>
      <c r="I2556" s="10"/>
      <c r="J2556" s="10">
        <v>5</v>
      </c>
      <c r="K2556" s="10">
        <v>803.86</v>
      </c>
    </row>
    <row r="2557" spans="1:11" x14ac:dyDescent="0.25">
      <c r="A2557" s="8" t="s">
        <v>4140</v>
      </c>
      <c r="B2557" s="8" t="s">
        <v>134</v>
      </c>
      <c r="C2557" s="8" t="s">
        <v>4013</v>
      </c>
      <c r="D2557" s="8">
        <v>3</v>
      </c>
      <c r="E2557" s="8" t="s">
        <v>4133</v>
      </c>
      <c r="F2557" s="8" t="s">
        <v>460</v>
      </c>
      <c r="G2557" s="8" t="s">
        <v>4015</v>
      </c>
      <c r="H2557" s="10">
        <v>5</v>
      </c>
      <c r="I2557" s="10"/>
      <c r="J2557" s="10">
        <v>5</v>
      </c>
      <c r="K2557" s="10">
        <v>803.86</v>
      </c>
    </row>
    <row r="2558" spans="1:11" x14ac:dyDescent="0.25">
      <c r="A2558" s="8" t="s">
        <v>4141</v>
      </c>
      <c r="B2558" s="8" t="s">
        <v>136</v>
      </c>
      <c r="C2558" s="8" t="s">
        <v>4013</v>
      </c>
      <c r="D2558" s="8">
        <v>3</v>
      </c>
      <c r="E2558" s="8" t="s">
        <v>4133</v>
      </c>
      <c r="F2558" s="8" t="s">
        <v>460</v>
      </c>
      <c r="G2558" s="8" t="s">
        <v>4015</v>
      </c>
      <c r="H2558" s="10">
        <v>5</v>
      </c>
      <c r="I2558" s="10"/>
      <c r="J2558" s="10">
        <v>5</v>
      </c>
      <c r="K2558" s="10">
        <v>803.86</v>
      </c>
    </row>
    <row r="2559" spans="1:11" x14ac:dyDescent="0.25">
      <c r="A2559" s="8" t="s">
        <v>4142</v>
      </c>
      <c r="B2559" s="8" t="s">
        <v>118</v>
      </c>
      <c r="C2559" s="8" t="s">
        <v>4013</v>
      </c>
      <c r="D2559" s="8">
        <v>3</v>
      </c>
      <c r="E2559" s="8" t="s">
        <v>4143</v>
      </c>
      <c r="F2559" s="8" t="s">
        <v>460</v>
      </c>
      <c r="G2559" s="8" t="s">
        <v>4015</v>
      </c>
      <c r="H2559" s="10">
        <v>5</v>
      </c>
      <c r="I2559" s="10"/>
      <c r="J2559" s="10">
        <v>5</v>
      </c>
      <c r="K2559" s="10">
        <v>803.86</v>
      </c>
    </row>
    <row r="2560" spans="1:11" x14ac:dyDescent="0.25">
      <c r="A2560" s="8" t="s">
        <v>4144</v>
      </c>
      <c r="B2560" s="8" t="s">
        <v>120</v>
      </c>
      <c r="C2560" s="8" t="s">
        <v>4013</v>
      </c>
      <c r="D2560" s="8">
        <v>3</v>
      </c>
      <c r="E2560" s="8" t="s">
        <v>4143</v>
      </c>
      <c r="F2560" s="8" t="s">
        <v>460</v>
      </c>
      <c r="G2560" s="8" t="s">
        <v>4015</v>
      </c>
      <c r="H2560" s="10">
        <v>10</v>
      </c>
      <c r="I2560" s="10"/>
      <c r="J2560" s="10">
        <v>10</v>
      </c>
      <c r="K2560" s="10">
        <v>803.86</v>
      </c>
    </row>
    <row r="2561" spans="1:11" x14ac:dyDescent="0.25">
      <c r="A2561" s="8" t="s">
        <v>4145</v>
      </c>
      <c r="B2561" s="8" t="s">
        <v>122</v>
      </c>
      <c r="C2561" s="8" t="s">
        <v>4013</v>
      </c>
      <c r="D2561" s="8">
        <v>3</v>
      </c>
      <c r="E2561" s="8" t="s">
        <v>4143</v>
      </c>
      <c r="F2561" s="8" t="s">
        <v>460</v>
      </c>
      <c r="G2561" s="8" t="s">
        <v>4015</v>
      </c>
      <c r="H2561" s="10">
        <v>5</v>
      </c>
      <c r="I2561" s="10"/>
      <c r="J2561" s="10">
        <v>5</v>
      </c>
      <c r="K2561" s="10">
        <v>803.86</v>
      </c>
    </row>
    <row r="2562" spans="1:11" x14ac:dyDescent="0.25">
      <c r="A2562" s="8" t="s">
        <v>4146</v>
      </c>
      <c r="B2562" s="8" t="s">
        <v>124</v>
      </c>
      <c r="C2562" s="8" t="s">
        <v>4013</v>
      </c>
      <c r="D2562" s="8">
        <v>3</v>
      </c>
      <c r="E2562" s="8" t="s">
        <v>4143</v>
      </c>
      <c r="F2562" s="8" t="s">
        <v>460</v>
      </c>
      <c r="G2562" s="8" t="s">
        <v>4015</v>
      </c>
      <c r="H2562" s="10">
        <v>5</v>
      </c>
      <c r="I2562" s="10"/>
      <c r="J2562" s="10">
        <v>5</v>
      </c>
      <c r="K2562" s="10">
        <v>803.86</v>
      </c>
    </row>
    <row r="2563" spans="1:11" x14ac:dyDescent="0.25">
      <c r="A2563" s="8" t="s">
        <v>4147</v>
      </c>
      <c r="B2563" s="8" t="s">
        <v>78</v>
      </c>
      <c r="C2563" s="8" t="s">
        <v>4013</v>
      </c>
      <c r="D2563" s="8">
        <v>3</v>
      </c>
      <c r="E2563" s="8" t="s">
        <v>4143</v>
      </c>
      <c r="F2563" s="8" t="s">
        <v>460</v>
      </c>
      <c r="G2563" s="8" t="s">
        <v>4015</v>
      </c>
      <c r="H2563" s="10">
        <v>5</v>
      </c>
      <c r="I2563" s="10"/>
      <c r="J2563" s="10">
        <v>5</v>
      </c>
      <c r="K2563" s="10">
        <v>803.86</v>
      </c>
    </row>
    <row r="2564" spans="1:11" x14ac:dyDescent="0.25">
      <c r="A2564" s="8" t="s">
        <v>4148</v>
      </c>
      <c r="B2564" s="8" t="s">
        <v>134</v>
      </c>
      <c r="C2564" s="8" t="s">
        <v>4013</v>
      </c>
      <c r="D2564" s="8">
        <v>3</v>
      </c>
      <c r="E2564" s="8" t="s">
        <v>4143</v>
      </c>
      <c r="F2564" s="8" t="s">
        <v>460</v>
      </c>
      <c r="G2564" s="8" t="s">
        <v>4015</v>
      </c>
      <c r="H2564" s="10">
        <v>5</v>
      </c>
      <c r="I2564" s="10"/>
      <c r="J2564" s="10">
        <v>5</v>
      </c>
      <c r="K2564" s="10">
        <v>803.86</v>
      </c>
    </row>
    <row r="2565" spans="1:11" x14ac:dyDescent="0.25">
      <c r="A2565" s="8" t="s">
        <v>4149</v>
      </c>
      <c r="B2565" s="8" t="s">
        <v>136</v>
      </c>
      <c r="C2565" s="8" t="s">
        <v>4013</v>
      </c>
      <c r="D2565" s="8">
        <v>3</v>
      </c>
      <c r="E2565" s="8" t="s">
        <v>4143</v>
      </c>
      <c r="F2565" s="8" t="s">
        <v>460</v>
      </c>
      <c r="G2565" s="8" t="s">
        <v>4015</v>
      </c>
      <c r="H2565" s="10">
        <v>5</v>
      </c>
      <c r="I2565" s="10"/>
      <c r="J2565" s="10">
        <v>5</v>
      </c>
      <c r="K2565" s="10">
        <v>803.86</v>
      </c>
    </row>
    <row r="2566" spans="1:11" x14ac:dyDescent="0.25">
      <c r="A2566" s="8" t="s">
        <v>4150</v>
      </c>
      <c r="B2566" s="8" t="s">
        <v>118</v>
      </c>
      <c r="C2566" s="8" t="s">
        <v>4013</v>
      </c>
      <c r="D2566" s="8">
        <v>3</v>
      </c>
      <c r="E2566" s="8" t="s">
        <v>4151</v>
      </c>
      <c r="F2566" s="8" t="s">
        <v>460</v>
      </c>
      <c r="G2566" s="8" t="s">
        <v>4015</v>
      </c>
      <c r="H2566" s="10">
        <v>5</v>
      </c>
      <c r="I2566" s="10"/>
      <c r="J2566" s="10">
        <v>5</v>
      </c>
      <c r="K2566" s="10">
        <v>803.86</v>
      </c>
    </row>
    <row r="2567" spans="1:11" x14ac:dyDescent="0.25">
      <c r="A2567" s="8" t="s">
        <v>4152</v>
      </c>
      <c r="B2567" s="8" t="s">
        <v>120</v>
      </c>
      <c r="C2567" s="8" t="s">
        <v>4013</v>
      </c>
      <c r="D2567" s="8">
        <v>3</v>
      </c>
      <c r="E2567" s="8" t="s">
        <v>4151</v>
      </c>
      <c r="F2567" s="8" t="s">
        <v>460</v>
      </c>
      <c r="G2567" s="8" t="s">
        <v>4015</v>
      </c>
      <c r="H2567" s="10">
        <v>10</v>
      </c>
      <c r="I2567" s="10"/>
      <c r="J2567" s="10">
        <v>10</v>
      </c>
      <c r="K2567" s="10">
        <v>803.86</v>
      </c>
    </row>
    <row r="2568" spans="1:11" x14ac:dyDescent="0.25">
      <c r="A2568" s="8" t="s">
        <v>4153</v>
      </c>
      <c r="B2568" s="8" t="s">
        <v>122</v>
      </c>
      <c r="C2568" s="8" t="s">
        <v>4013</v>
      </c>
      <c r="D2568" s="8">
        <v>3</v>
      </c>
      <c r="E2568" s="8" t="s">
        <v>4151</v>
      </c>
      <c r="F2568" s="8" t="s">
        <v>460</v>
      </c>
      <c r="G2568" s="8" t="s">
        <v>4015</v>
      </c>
      <c r="H2568" s="10">
        <v>5</v>
      </c>
      <c r="I2568" s="10"/>
      <c r="J2568" s="10">
        <v>5</v>
      </c>
      <c r="K2568" s="10">
        <v>803.86</v>
      </c>
    </row>
    <row r="2569" spans="1:11" x14ac:dyDescent="0.25">
      <c r="A2569" s="8" t="s">
        <v>4154</v>
      </c>
      <c r="B2569" s="8" t="s">
        <v>124</v>
      </c>
      <c r="C2569" s="8" t="s">
        <v>4013</v>
      </c>
      <c r="D2569" s="8">
        <v>3</v>
      </c>
      <c r="E2569" s="8" t="s">
        <v>4151</v>
      </c>
      <c r="F2569" s="8" t="s">
        <v>460</v>
      </c>
      <c r="G2569" s="8" t="s">
        <v>4015</v>
      </c>
      <c r="H2569" s="10">
        <v>5</v>
      </c>
      <c r="I2569" s="10"/>
      <c r="J2569" s="10">
        <v>5</v>
      </c>
      <c r="K2569" s="10">
        <v>803.86</v>
      </c>
    </row>
    <row r="2570" spans="1:11" x14ac:dyDescent="0.25">
      <c r="A2570" s="8" t="s">
        <v>4155</v>
      </c>
      <c r="B2570" s="8" t="s">
        <v>78</v>
      </c>
      <c r="C2570" s="8" t="s">
        <v>4013</v>
      </c>
      <c r="D2570" s="8">
        <v>3</v>
      </c>
      <c r="E2570" s="8" t="s">
        <v>4151</v>
      </c>
      <c r="F2570" s="8" t="s">
        <v>460</v>
      </c>
      <c r="G2570" s="8" t="s">
        <v>4015</v>
      </c>
      <c r="H2570" s="10">
        <v>5</v>
      </c>
      <c r="I2570" s="10"/>
      <c r="J2570" s="10">
        <v>5</v>
      </c>
      <c r="K2570" s="10">
        <v>803.86</v>
      </c>
    </row>
    <row r="2571" spans="1:11" x14ac:dyDescent="0.25">
      <c r="A2571" s="8" t="s">
        <v>4156</v>
      </c>
      <c r="B2571" s="8" t="s">
        <v>134</v>
      </c>
      <c r="C2571" s="8" t="s">
        <v>4013</v>
      </c>
      <c r="D2571" s="8">
        <v>3</v>
      </c>
      <c r="E2571" s="8" t="s">
        <v>4151</v>
      </c>
      <c r="F2571" s="8" t="s">
        <v>460</v>
      </c>
      <c r="G2571" s="8" t="s">
        <v>4015</v>
      </c>
      <c r="H2571" s="10">
        <v>5</v>
      </c>
      <c r="I2571" s="10"/>
      <c r="J2571" s="10">
        <v>5</v>
      </c>
      <c r="K2571" s="10">
        <v>803.86</v>
      </c>
    </row>
    <row r="2572" spans="1:11" x14ac:dyDescent="0.25">
      <c r="A2572" s="8" t="s">
        <v>4157</v>
      </c>
      <c r="B2572" s="8" t="s">
        <v>136</v>
      </c>
      <c r="C2572" s="8" t="s">
        <v>4013</v>
      </c>
      <c r="D2572" s="8">
        <v>3</v>
      </c>
      <c r="E2572" s="8" t="s">
        <v>4151</v>
      </c>
      <c r="F2572" s="8" t="s">
        <v>460</v>
      </c>
      <c r="G2572" s="8" t="s">
        <v>4015</v>
      </c>
      <c r="H2572" s="10">
        <v>5</v>
      </c>
      <c r="I2572" s="10"/>
      <c r="J2572" s="10">
        <v>5</v>
      </c>
      <c r="K2572" s="10">
        <v>803.86</v>
      </c>
    </row>
    <row r="2573" spans="1:11" x14ac:dyDescent="0.25">
      <c r="A2573" s="8" t="s">
        <v>4158</v>
      </c>
      <c r="B2573" s="8" t="s">
        <v>80</v>
      </c>
      <c r="C2573" s="8" t="s">
        <v>4159</v>
      </c>
      <c r="D2573" s="8">
        <v>3</v>
      </c>
      <c r="E2573" s="8" t="s">
        <v>4160</v>
      </c>
      <c r="F2573" s="8" t="s">
        <v>215</v>
      </c>
      <c r="G2573" s="8" t="s">
        <v>4161</v>
      </c>
      <c r="H2573" s="10">
        <v>5</v>
      </c>
      <c r="I2573" s="10"/>
      <c r="J2573" s="10">
        <v>5</v>
      </c>
      <c r="K2573" s="10">
        <v>2009.65</v>
      </c>
    </row>
    <row r="2574" spans="1:11" x14ac:dyDescent="0.25">
      <c r="A2574" s="8" t="s">
        <v>4162</v>
      </c>
      <c r="B2574" s="8" t="s">
        <v>116</v>
      </c>
      <c r="C2574" s="8" t="s">
        <v>4013</v>
      </c>
      <c r="D2574" s="8">
        <v>3</v>
      </c>
      <c r="E2574" s="8" t="s">
        <v>4163</v>
      </c>
      <c r="F2574" s="8" t="s">
        <v>460</v>
      </c>
      <c r="G2574" s="8" t="s">
        <v>4164</v>
      </c>
      <c r="H2574" s="10">
        <v>20</v>
      </c>
      <c r="I2574" s="10"/>
      <c r="J2574" s="10">
        <v>20</v>
      </c>
      <c r="K2574" s="10">
        <v>200.97</v>
      </c>
    </row>
    <row r="2575" spans="1:11" x14ac:dyDescent="0.25">
      <c r="A2575" s="8" t="s">
        <v>4165</v>
      </c>
      <c r="B2575" s="8" t="s">
        <v>118</v>
      </c>
      <c r="C2575" s="8" t="s">
        <v>4013</v>
      </c>
      <c r="D2575" s="8">
        <v>3</v>
      </c>
      <c r="E2575" s="8" t="s">
        <v>4163</v>
      </c>
      <c r="F2575" s="8" t="s">
        <v>460</v>
      </c>
      <c r="G2575" s="8" t="s">
        <v>4164</v>
      </c>
      <c r="H2575" s="10">
        <v>20</v>
      </c>
      <c r="I2575" s="10"/>
      <c r="J2575" s="10">
        <v>20</v>
      </c>
      <c r="K2575" s="10">
        <v>200.97</v>
      </c>
    </row>
    <row r="2576" spans="1:11" x14ac:dyDescent="0.25">
      <c r="A2576" s="8" t="s">
        <v>4166</v>
      </c>
      <c r="B2576" s="8" t="s">
        <v>1650</v>
      </c>
      <c r="C2576" s="8" t="s">
        <v>4013</v>
      </c>
      <c r="D2576" s="8">
        <v>3</v>
      </c>
      <c r="E2576" s="8" t="s">
        <v>4163</v>
      </c>
      <c r="F2576" s="8" t="s">
        <v>460</v>
      </c>
      <c r="G2576" s="8" t="s">
        <v>4164</v>
      </c>
      <c r="H2576" s="10">
        <v>8</v>
      </c>
      <c r="I2576" s="10"/>
      <c r="J2576" s="10">
        <v>8</v>
      </c>
      <c r="K2576" s="10">
        <v>200.97</v>
      </c>
    </row>
    <row r="2577" spans="1:11" x14ac:dyDescent="0.25">
      <c r="A2577" s="8" t="s">
        <v>4167</v>
      </c>
      <c r="B2577" s="8" t="s">
        <v>120</v>
      </c>
      <c r="C2577" s="8" t="s">
        <v>4013</v>
      </c>
      <c r="D2577" s="8">
        <v>3</v>
      </c>
      <c r="E2577" s="8" t="s">
        <v>4163</v>
      </c>
      <c r="F2577" s="8" t="s">
        <v>460</v>
      </c>
      <c r="G2577" s="8" t="s">
        <v>4164</v>
      </c>
      <c r="H2577" s="10">
        <v>45</v>
      </c>
      <c r="I2577" s="10"/>
      <c r="J2577" s="10">
        <v>45</v>
      </c>
      <c r="K2577" s="10">
        <v>200.97</v>
      </c>
    </row>
    <row r="2578" spans="1:11" x14ac:dyDescent="0.25">
      <c r="A2578" s="8" t="s">
        <v>4168</v>
      </c>
      <c r="B2578" s="8" t="s">
        <v>120</v>
      </c>
      <c r="C2578" s="8" t="s">
        <v>4013</v>
      </c>
      <c r="D2578" s="8">
        <v>3</v>
      </c>
      <c r="E2578" s="8" t="s">
        <v>4163</v>
      </c>
      <c r="F2578" s="8" t="s">
        <v>460</v>
      </c>
      <c r="G2578" s="8" t="s">
        <v>4164</v>
      </c>
      <c r="H2578" s="10">
        <v>25</v>
      </c>
      <c r="I2578" s="10"/>
      <c r="J2578" s="10">
        <v>25</v>
      </c>
      <c r="K2578" s="10">
        <v>200.97</v>
      </c>
    </row>
    <row r="2579" spans="1:11" x14ac:dyDescent="0.25">
      <c r="A2579" s="8" t="s">
        <v>4169</v>
      </c>
      <c r="B2579" s="8" t="s">
        <v>122</v>
      </c>
      <c r="C2579" s="8" t="s">
        <v>4013</v>
      </c>
      <c r="D2579" s="8">
        <v>3</v>
      </c>
      <c r="E2579" s="8" t="s">
        <v>4163</v>
      </c>
      <c r="F2579" s="8" t="s">
        <v>460</v>
      </c>
      <c r="G2579" s="8" t="s">
        <v>4164</v>
      </c>
      <c r="H2579" s="10">
        <v>35</v>
      </c>
      <c r="I2579" s="10"/>
      <c r="J2579" s="10">
        <v>35</v>
      </c>
      <c r="K2579" s="10">
        <v>200.97</v>
      </c>
    </row>
    <row r="2580" spans="1:11" x14ac:dyDescent="0.25">
      <c r="A2580" s="8" t="s">
        <v>4170</v>
      </c>
      <c r="B2580" s="8" t="s">
        <v>124</v>
      </c>
      <c r="C2580" s="8" t="s">
        <v>4013</v>
      </c>
      <c r="D2580" s="8">
        <v>3</v>
      </c>
      <c r="E2580" s="8" t="s">
        <v>4163</v>
      </c>
      <c r="F2580" s="8" t="s">
        <v>460</v>
      </c>
      <c r="G2580" s="8" t="s">
        <v>4164</v>
      </c>
      <c r="H2580" s="10">
        <v>35</v>
      </c>
      <c r="I2580" s="10"/>
      <c r="J2580" s="10">
        <v>35</v>
      </c>
      <c r="K2580" s="10">
        <v>200.97</v>
      </c>
    </row>
    <row r="2581" spans="1:11" x14ac:dyDescent="0.25">
      <c r="A2581" s="8" t="s">
        <v>4171</v>
      </c>
      <c r="B2581" s="8" t="s">
        <v>78</v>
      </c>
      <c r="C2581" s="8" t="s">
        <v>4013</v>
      </c>
      <c r="D2581" s="8">
        <v>3</v>
      </c>
      <c r="E2581" s="8" t="s">
        <v>4163</v>
      </c>
      <c r="F2581" s="8" t="s">
        <v>460</v>
      </c>
      <c r="G2581" s="8" t="s">
        <v>4164</v>
      </c>
      <c r="H2581" s="10">
        <v>12</v>
      </c>
      <c r="I2581" s="10"/>
      <c r="J2581" s="10">
        <v>12</v>
      </c>
      <c r="K2581" s="10">
        <v>200.97</v>
      </c>
    </row>
    <row r="2582" spans="1:11" x14ac:dyDescent="0.25">
      <c r="A2582" s="8" t="s">
        <v>4172</v>
      </c>
      <c r="B2582" s="8" t="s">
        <v>1655</v>
      </c>
      <c r="C2582" s="8" t="s">
        <v>4013</v>
      </c>
      <c r="D2582" s="8">
        <v>3</v>
      </c>
      <c r="E2582" s="8" t="s">
        <v>4163</v>
      </c>
      <c r="F2582" s="8" t="s">
        <v>460</v>
      </c>
      <c r="G2582" s="8" t="s">
        <v>4164</v>
      </c>
      <c r="H2582" s="10">
        <v>10</v>
      </c>
      <c r="I2582" s="10"/>
      <c r="J2582" s="10">
        <v>10</v>
      </c>
      <c r="K2582" s="10">
        <v>200.97</v>
      </c>
    </row>
    <row r="2583" spans="1:11" x14ac:dyDescent="0.25">
      <c r="A2583" s="8" t="s">
        <v>4173</v>
      </c>
      <c r="B2583" s="8" t="s">
        <v>128</v>
      </c>
      <c r="C2583" s="8" t="s">
        <v>4013</v>
      </c>
      <c r="D2583" s="8">
        <v>3</v>
      </c>
      <c r="E2583" s="8" t="s">
        <v>4163</v>
      </c>
      <c r="F2583" s="8" t="s">
        <v>460</v>
      </c>
      <c r="G2583" s="8" t="s">
        <v>4164</v>
      </c>
      <c r="H2583" s="10">
        <v>6</v>
      </c>
      <c r="I2583" s="10"/>
      <c r="J2583" s="10">
        <v>6</v>
      </c>
      <c r="K2583" s="10">
        <v>200.97</v>
      </c>
    </row>
    <row r="2584" spans="1:11" x14ac:dyDescent="0.25">
      <c r="A2584" s="8" t="s">
        <v>4174</v>
      </c>
      <c r="B2584" s="8" t="s">
        <v>130</v>
      </c>
      <c r="C2584" s="8" t="s">
        <v>4013</v>
      </c>
      <c r="D2584" s="8">
        <v>3</v>
      </c>
      <c r="E2584" s="8" t="s">
        <v>4163</v>
      </c>
      <c r="F2584" s="8" t="s">
        <v>460</v>
      </c>
      <c r="G2584" s="8" t="s">
        <v>4164</v>
      </c>
      <c r="H2584" s="10">
        <v>4</v>
      </c>
      <c r="I2584" s="10"/>
      <c r="J2584" s="10">
        <v>4</v>
      </c>
      <c r="K2584" s="10">
        <v>200.97</v>
      </c>
    </row>
    <row r="2585" spans="1:11" x14ac:dyDescent="0.25">
      <c r="A2585" s="8" t="s">
        <v>4175</v>
      </c>
      <c r="B2585" s="8" t="s">
        <v>132</v>
      </c>
      <c r="C2585" s="8" t="s">
        <v>4013</v>
      </c>
      <c r="D2585" s="8">
        <v>3</v>
      </c>
      <c r="E2585" s="8" t="s">
        <v>4163</v>
      </c>
      <c r="F2585" s="8" t="s">
        <v>460</v>
      </c>
      <c r="G2585" s="8" t="s">
        <v>4164</v>
      </c>
      <c r="H2585" s="10">
        <v>12</v>
      </c>
      <c r="I2585" s="10"/>
      <c r="J2585" s="10">
        <v>12</v>
      </c>
      <c r="K2585" s="10">
        <v>200.97</v>
      </c>
    </row>
    <row r="2586" spans="1:11" x14ac:dyDescent="0.25">
      <c r="A2586" s="8" t="s">
        <v>4176</v>
      </c>
      <c r="B2586" s="8" t="s">
        <v>134</v>
      </c>
      <c r="C2586" s="8" t="s">
        <v>4013</v>
      </c>
      <c r="D2586" s="8">
        <v>3</v>
      </c>
      <c r="E2586" s="8" t="s">
        <v>4163</v>
      </c>
      <c r="F2586" s="8" t="s">
        <v>460</v>
      </c>
      <c r="G2586" s="8" t="s">
        <v>4164</v>
      </c>
      <c r="H2586" s="10">
        <v>20</v>
      </c>
      <c r="I2586" s="10"/>
      <c r="J2586" s="10">
        <v>20</v>
      </c>
      <c r="K2586" s="10">
        <v>200.97</v>
      </c>
    </row>
    <row r="2587" spans="1:11" x14ac:dyDescent="0.25">
      <c r="A2587" s="8" t="s">
        <v>4177</v>
      </c>
      <c r="B2587" s="8" t="s">
        <v>136</v>
      </c>
      <c r="C2587" s="8" t="s">
        <v>4013</v>
      </c>
      <c r="D2587" s="8">
        <v>3</v>
      </c>
      <c r="E2587" s="8" t="s">
        <v>4163</v>
      </c>
      <c r="F2587" s="8" t="s">
        <v>460</v>
      </c>
      <c r="G2587" s="8" t="s">
        <v>4164</v>
      </c>
      <c r="H2587" s="10">
        <v>5</v>
      </c>
      <c r="I2587" s="10"/>
      <c r="J2587" s="10">
        <v>5</v>
      </c>
      <c r="K2587" s="10">
        <v>200.97</v>
      </c>
    </row>
    <row r="2588" spans="1:11" x14ac:dyDescent="0.25">
      <c r="A2588" s="8" t="s">
        <v>4178</v>
      </c>
      <c r="B2588" s="8" t="s">
        <v>1689</v>
      </c>
      <c r="C2588" s="8" t="s">
        <v>4013</v>
      </c>
      <c r="D2588" s="8">
        <v>3</v>
      </c>
      <c r="E2588" s="8" t="s">
        <v>4163</v>
      </c>
      <c r="F2588" s="8" t="s">
        <v>460</v>
      </c>
      <c r="G2588" s="8" t="s">
        <v>4164</v>
      </c>
      <c r="H2588" s="10">
        <v>6</v>
      </c>
      <c r="I2588" s="10"/>
      <c r="J2588" s="10">
        <v>6</v>
      </c>
      <c r="K2588" s="10">
        <v>200.97</v>
      </c>
    </row>
    <row r="2589" spans="1:11" x14ac:dyDescent="0.25">
      <c r="A2589" s="8" t="s">
        <v>4179</v>
      </c>
      <c r="B2589" s="8" t="s">
        <v>138</v>
      </c>
      <c r="C2589" s="8" t="s">
        <v>4013</v>
      </c>
      <c r="D2589" s="8">
        <v>3</v>
      </c>
      <c r="E2589" s="8" t="s">
        <v>4163</v>
      </c>
      <c r="F2589" s="8" t="s">
        <v>460</v>
      </c>
      <c r="G2589" s="8" t="s">
        <v>4164</v>
      </c>
      <c r="H2589" s="10">
        <v>2</v>
      </c>
      <c r="I2589" s="10"/>
      <c r="J2589" s="10">
        <v>2</v>
      </c>
      <c r="K2589" s="10">
        <v>200.97</v>
      </c>
    </row>
    <row r="2590" spans="1:11" x14ac:dyDescent="0.25">
      <c r="A2590" s="8" t="s">
        <v>4180</v>
      </c>
      <c r="B2590" s="8" t="s">
        <v>3521</v>
      </c>
      <c r="C2590" s="8" t="s">
        <v>4013</v>
      </c>
      <c r="D2590" s="8">
        <v>3</v>
      </c>
      <c r="E2590" s="8" t="s">
        <v>4163</v>
      </c>
      <c r="F2590" s="8" t="s">
        <v>460</v>
      </c>
      <c r="G2590" s="8" t="s">
        <v>4164</v>
      </c>
      <c r="H2590" s="10">
        <v>4</v>
      </c>
      <c r="I2590" s="10"/>
      <c r="J2590" s="10">
        <v>4</v>
      </c>
      <c r="K2590" s="10">
        <v>200.97</v>
      </c>
    </row>
    <row r="2591" spans="1:11" x14ac:dyDescent="0.25">
      <c r="A2591" s="8" t="s">
        <v>4181</v>
      </c>
      <c r="B2591" s="8" t="s">
        <v>80</v>
      </c>
      <c r="C2591" s="8" t="s">
        <v>4013</v>
      </c>
      <c r="D2591" s="8">
        <v>3</v>
      </c>
      <c r="E2591" s="8" t="s">
        <v>4163</v>
      </c>
      <c r="F2591" s="8" t="s">
        <v>460</v>
      </c>
      <c r="G2591" s="8" t="s">
        <v>4164</v>
      </c>
      <c r="H2591" s="10">
        <v>5</v>
      </c>
      <c r="I2591" s="10"/>
      <c r="J2591" s="10">
        <v>5</v>
      </c>
      <c r="K2591" s="10">
        <v>200.97</v>
      </c>
    </row>
    <row r="2592" spans="1:11" x14ac:dyDescent="0.25">
      <c r="A2592" s="8" t="s">
        <v>4182</v>
      </c>
      <c r="B2592" s="8" t="s">
        <v>116</v>
      </c>
      <c r="C2592" s="8" t="s">
        <v>4013</v>
      </c>
      <c r="D2592" s="8">
        <v>3</v>
      </c>
      <c r="E2592" s="8" t="s">
        <v>4183</v>
      </c>
      <c r="F2592" s="8" t="s">
        <v>460</v>
      </c>
      <c r="G2592" s="8" t="s">
        <v>4164</v>
      </c>
      <c r="H2592" s="10">
        <v>3</v>
      </c>
      <c r="I2592" s="10"/>
      <c r="J2592" s="10">
        <v>3</v>
      </c>
      <c r="K2592" s="10">
        <v>401.93</v>
      </c>
    </row>
    <row r="2593" spans="1:11" x14ac:dyDescent="0.25">
      <c r="A2593" s="8" t="s">
        <v>4184</v>
      </c>
      <c r="B2593" s="8" t="s">
        <v>116</v>
      </c>
      <c r="C2593" s="8" t="s">
        <v>4013</v>
      </c>
      <c r="D2593" s="8">
        <v>3</v>
      </c>
      <c r="E2593" s="8" t="s">
        <v>4183</v>
      </c>
      <c r="F2593" s="8" t="s">
        <v>460</v>
      </c>
      <c r="G2593" s="8" t="s">
        <v>4164</v>
      </c>
      <c r="H2593" s="10">
        <v>1</v>
      </c>
      <c r="I2593" s="10"/>
      <c r="J2593" s="10">
        <v>1</v>
      </c>
      <c r="K2593" s="10">
        <v>401.93</v>
      </c>
    </row>
    <row r="2594" spans="1:11" x14ac:dyDescent="0.25">
      <c r="A2594" s="8" t="s">
        <v>4185</v>
      </c>
      <c r="B2594" s="8" t="s">
        <v>116</v>
      </c>
      <c r="C2594" s="8" t="s">
        <v>4013</v>
      </c>
      <c r="D2594" s="8">
        <v>3</v>
      </c>
      <c r="E2594" s="8" t="s">
        <v>4183</v>
      </c>
      <c r="F2594" s="8" t="s">
        <v>460</v>
      </c>
      <c r="G2594" s="8" t="s">
        <v>4164</v>
      </c>
      <c r="H2594" s="10">
        <v>1</v>
      </c>
      <c r="I2594" s="10"/>
      <c r="J2594" s="10">
        <v>1</v>
      </c>
      <c r="K2594" s="10">
        <v>401.93</v>
      </c>
    </row>
    <row r="2595" spans="1:11" x14ac:dyDescent="0.25">
      <c r="A2595" s="8" t="s">
        <v>4186</v>
      </c>
      <c r="B2595" s="8" t="s">
        <v>118</v>
      </c>
      <c r="C2595" s="8" t="s">
        <v>4013</v>
      </c>
      <c r="D2595" s="8">
        <v>3</v>
      </c>
      <c r="E2595" s="8" t="s">
        <v>4183</v>
      </c>
      <c r="F2595" s="8" t="s">
        <v>460</v>
      </c>
      <c r="G2595" s="8" t="s">
        <v>4164</v>
      </c>
      <c r="H2595" s="10">
        <v>6</v>
      </c>
      <c r="I2595" s="10"/>
      <c r="J2595" s="10">
        <v>6</v>
      </c>
      <c r="K2595" s="10">
        <v>401.93</v>
      </c>
    </row>
    <row r="2596" spans="1:11" x14ac:dyDescent="0.25">
      <c r="A2596" s="8" t="s">
        <v>4187</v>
      </c>
      <c r="B2596" s="8" t="s">
        <v>120</v>
      </c>
      <c r="C2596" s="8" t="s">
        <v>4013</v>
      </c>
      <c r="D2596" s="8">
        <v>3</v>
      </c>
      <c r="E2596" s="8" t="s">
        <v>4183</v>
      </c>
      <c r="F2596" s="8" t="s">
        <v>460</v>
      </c>
      <c r="G2596" s="8" t="s">
        <v>4164</v>
      </c>
      <c r="H2596" s="10">
        <v>6</v>
      </c>
      <c r="I2596" s="10"/>
      <c r="J2596" s="10">
        <v>6</v>
      </c>
      <c r="K2596" s="10">
        <v>401.93</v>
      </c>
    </row>
    <row r="2597" spans="1:11" x14ac:dyDescent="0.25">
      <c r="A2597" s="8" t="s">
        <v>4188</v>
      </c>
      <c r="B2597" s="8" t="s">
        <v>122</v>
      </c>
      <c r="C2597" s="8" t="s">
        <v>4013</v>
      </c>
      <c r="D2597" s="8">
        <v>3</v>
      </c>
      <c r="E2597" s="8" t="s">
        <v>4183</v>
      </c>
      <c r="F2597" s="8" t="s">
        <v>460</v>
      </c>
      <c r="G2597" s="8" t="s">
        <v>4164</v>
      </c>
      <c r="H2597" s="10">
        <v>6</v>
      </c>
      <c r="I2597" s="10"/>
      <c r="J2597" s="10">
        <v>6</v>
      </c>
      <c r="K2597" s="10">
        <v>401.93</v>
      </c>
    </row>
    <row r="2598" spans="1:11" x14ac:dyDescent="0.25">
      <c r="A2598" s="8" t="s">
        <v>4189</v>
      </c>
      <c r="B2598" s="8" t="s">
        <v>124</v>
      </c>
      <c r="C2598" s="8" t="s">
        <v>4013</v>
      </c>
      <c r="D2598" s="8">
        <v>3</v>
      </c>
      <c r="E2598" s="8" t="s">
        <v>4183</v>
      </c>
      <c r="F2598" s="8" t="s">
        <v>460</v>
      </c>
      <c r="G2598" s="8" t="s">
        <v>4164</v>
      </c>
      <c r="H2598" s="10">
        <v>6</v>
      </c>
      <c r="I2598" s="10"/>
      <c r="J2598" s="10">
        <v>6</v>
      </c>
      <c r="K2598" s="10">
        <v>401.93</v>
      </c>
    </row>
    <row r="2599" spans="1:11" x14ac:dyDescent="0.25">
      <c r="A2599" s="8" t="s">
        <v>4190</v>
      </c>
      <c r="B2599" s="8" t="s">
        <v>78</v>
      </c>
      <c r="C2599" s="8" t="s">
        <v>4013</v>
      </c>
      <c r="D2599" s="8">
        <v>3</v>
      </c>
      <c r="E2599" s="8" t="s">
        <v>4183</v>
      </c>
      <c r="F2599" s="8" t="s">
        <v>460</v>
      </c>
      <c r="G2599" s="8" t="s">
        <v>4164</v>
      </c>
      <c r="H2599" s="10">
        <v>6</v>
      </c>
      <c r="I2599" s="10"/>
      <c r="J2599" s="10">
        <v>6</v>
      </c>
      <c r="K2599" s="10">
        <v>401.93</v>
      </c>
    </row>
    <row r="2600" spans="1:11" x14ac:dyDescent="0.25">
      <c r="A2600" s="8" t="s">
        <v>4191</v>
      </c>
      <c r="B2600" s="8" t="s">
        <v>128</v>
      </c>
      <c r="C2600" s="8" t="s">
        <v>4013</v>
      </c>
      <c r="D2600" s="8">
        <v>3</v>
      </c>
      <c r="E2600" s="8" t="s">
        <v>4183</v>
      </c>
      <c r="F2600" s="8" t="s">
        <v>460</v>
      </c>
      <c r="G2600" s="8" t="s">
        <v>4164</v>
      </c>
      <c r="H2600" s="10">
        <v>2</v>
      </c>
      <c r="I2600" s="10"/>
      <c r="J2600" s="10">
        <v>2</v>
      </c>
      <c r="K2600" s="10">
        <v>401.93</v>
      </c>
    </row>
    <row r="2601" spans="1:11" x14ac:dyDescent="0.25">
      <c r="A2601" s="8" t="s">
        <v>4192</v>
      </c>
      <c r="B2601" s="8" t="s">
        <v>130</v>
      </c>
      <c r="C2601" s="8" t="s">
        <v>4013</v>
      </c>
      <c r="D2601" s="8">
        <v>3</v>
      </c>
      <c r="E2601" s="8" t="s">
        <v>4183</v>
      </c>
      <c r="F2601" s="8" t="s">
        <v>460</v>
      </c>
      <c r="G2601" s="8" t="s">
        <v>4164</v>
      </c>
      <c r="H2601" s="10">
        <v>1</v>
      </c>
      <c r="I2601" s="10"/>
      <c r="J2601" s="10">
        <v>1</v>
      </c>
      <c r="K2601" s="10">
        <v>401.93</v>
      </c>
    </row>
    <row r="2602" spans="1:11" x14ac:dyDescent="0.25">
      <c r="A2602" s="8" t="s">
        <v>4193</v>
      </c>
      <c r="B2602" s="8" t="s">
        <v>132</v>
      </c>
      <c r="C2602" s="8" t="s">
        <v>4013</v>
      </c>
      <c r="D2602" s="8">
        <v>3</v>
      </c>
      <c r="E2602" s="8" t="s">
        <v>4183</v>
      </c>
      <c r="F2602" s="8" t="s">
        <v>460</v>
      </c>
      <c r="G2602" s="8" t="s">
        <v>4164</v>
      </c>
      <c r="H2602" s="10">
        <v>3</v>
      </c>
      <c r="I2602" s="10"/>
      <c r="J2602" s="10">
        <v>3</v>
      </c>
      <c r="K2602" s="10">
        <v>401.93</v>
      </c>
    </row>
    <row r="2603" spans="1:11" x14ac:dyDescent="0.25">
      <c r="A2603" s="8" t="s">
        <v>4194</v>
      </c>
      <c r="B2603" s="8" t="s">
        <v>134</v>
      </c>
      <c r="C2603" s="8" t="s">
        <v>4013</v>
      </c>
      <c r="D2603" s="8">
        <v>3</v>
      </c>
      <c r="E2603" s="8" t="s">
        <v>4183</v>
      </c>
      <c r="F2603" s="8" t="s">
        <v>460</v>
      </c>
      <c r="G2603" s="8" t="s">
        <v>4164</v>
      </c>
      <c r="H2603" s="10">
        <v>3</v>
      </c>
      <c r="I2603" s="10"/>
      <c r="J2603" s="10">
        <v>3</v>
      </c>
      <c r="K2603" s="10">
        <v>401.93</v>
      </c>
    </row>
    <row r="2604" spans="1:11" x14ac:dyDescent="0.25">
      <c r="A2604" s="8" t="s">
        <v>4195</v>
      </c>
      <c r="B2604" s="8" t="s">
        <v>136</v>
      </c>
      <c r="C2604" s="8" t="s">
        <v>4013</v>
      </c>
      <c r="D2604" s="8">
        <v>3</v>
      </c>
      <c r="E2604" s="8" t="s">
        <v>4183</v>
      </c>
      <c r="F2604" s="8" t="s">
        <v>460</v>
      </c>
      <c r="G2604" s="8" t="s">
        <v>4164</v>
      </c>
      <c r="H2604" s="10">
        <v>1</v>
      </c>
      <c r="I2604" s="10"/>
      <c r="J2604" s="10">
        <v>1</v>
      </c>
      <c r="K2604" s="10">
        <v>401.93</v>
      </c>
    </row>
    <row r="2605" spans="1:11" x14ac:dyDescent="0.25">
      <c r="A2605" s="8" t="s">
        <v>4196</v>
      </c>
      <c r="B2605" s="8" t="s">
        <v>1689</v>
      </c>
      <c r="C2605" s="8" t="s">
        <v>4013</v>
      </c>
      <c r="D2605" s="8">
        <v>3</v>
      </c>
      <c r="E2605" s="8" t="s">
        <v>4183</v>
      </c>
      <c r="F2605" s="8" t="s">
        <v>460</v>
      </c>
      <c r="G2605" s="8" t="s">
        <v>4164</v>
      </c>
      <c r="H2605" s="10">
        <v>2</v>
      </c>
      <c r="I2605" s="10"/>
      <c r="J2605" s="10">
        <v>2</v>
      </c>
      <c r="K2605" s="10">
        <v>401.93</v>
      </c>
    </row>
    <row r="2606" spans="1:11" x14ac:dyDescent="0.25">
      <c r="A2606" s="8" t="s">
        <v>4197</v>
      </c>
      <c r="B2606" s="8" t="s">
        <v>138</v>
      </c>
      <c r="C2606" s="8" t="s">
        <v>4013</v>
      </c>
      <c r="D2606" s="8">
        <v>3</v>
      </c>
      <c r="E2606" s="8" t="s">
        <v>4183</v>
      </c>
      <c r="F2606" s="8" t="s">
        <v>460</v>
      </c>
      <c r="G2606" s="8" t="s">
        <v>4164</v>
      </c>
      <c r="H2606" s="10">
        <v>1</v>
      </c>
      <c r="I2606" s="10"/>
      <c r="J2606" s="10">
        <v>1</v>
      </c>
      <c r="K2606" s="10">
        <v>401.93</v>
      </c>
    </row>
    <row r="2607" spans="1:11" x14ac:dyDescent="0.25">
      <c r="A2607" s="8" t="s">
        <v>4198</v>
      </c>
      <c r="B2607" s="8" t="s">
        <v>80</v>
      </c>
      <c r="C2607" s="8" t="s">
        <v>4013</v>
      </c>
      <c r="D2607" s="8">
        <v>3</v>
      </c>
      <c r="E2607" s="8" t="s">
        <v>4183</v>
      </c>
      <c r="F2607" s="8" t="s">
        <v>460</v>
      </c>
      <c r="G2607" s="8" t="s">
        <v>4164</v>
      </c>
      <c r="H2607" s="10">
        <v>1</v>
      </c>
      <c r="I2607" s="10"/>
      <c r="J2607" s="10">
        <v>1</v>
      </c>
      <c r="K2607" s="10">
        <v>401.93</v>
      </c>
    </row>
    <row r="2608" spans="1:11" x14ac:dyDescent="0.25">
      <c r="A2608" s="8" t="s">
        <v>4199</v>
      </c>
      <c r="B2608" s="8" t="s">
        <v>116</v>
      </c>
      <c r="C2608" s="8" t="s">
        <v>4068</v>
      </c>
      <c r="D2608" s="8">
        <v>4</v>
      </c>
      <c r="E2608" s="8" t="s">
        <v>4200</v>
      </c>
      <c r="F2608" s="8" t="s">
        <v>460</v>
      </c>
      <c r="G2608" s="8" t="s">
        <v>4201</v>
      </c>
      <c r="H2608" s="10">
        <v>20</v>
      </c>
      <c r="I2608" s="10"/>
      <c r="J2608" s="10">
        <v>20</v>
      </c>
      <c r="K2608" s="10">
        <v>228.98</v>
      </c>
    </row>
    <row r="2609" spans="1:11" x14ac:dyDescent="0.25">
      <c r="A2609" s="8" t="s">
        <v>4202</v>
      </c>
      <c r="B2609" s="8" t="s">
        <v>118</v>
      </c>
      <c r="C2609" s="8" t="s">
        <v>4068</v>
      </c>
      <c r="D2609" s="8">
        <v>4</v>
      </c>
      <c r="E2609" s="8" t="s">
        <v>4200</v>
      </c>
      <c r="F2609" s="8" t="s">
        <v>460</v>
      </c>
      <c r="G2609" s="8" t="s">
        <v>4201</v>
      </c>
      <c r="H2609" s="10">
        <v>15</v>
      </c>
      <c r="I2609" s="10"/>
      <c r="J2609" s="10">
        <v>15</v>
      </c>
      <c r="K2609" s="10">
        <v>228.98</v>
      </c>
    </row>
    <row r="2610" spans="1:11" x14ac:dyDescent="0.25">
      <c r="A2610" s="8" t="s">
        <v>4203</v>
      </c>
      <c r="B2610" s="8" t="s">
        <v>1650</v>
      </c>
      <c r="C2610" s="8" t="s">
        <v>4068</v>
      </c>
      <c r="D2610" s="8">
        <v>4</v>
      </c>
      <c r="E2610" s="8" t="s">
        <v>4200</v>
      </c>
      <c r="F2610" s="8" t="s">
        <v>460</v>
      </c>
      <c r="G2610" s="8" t="s">
        <v>4201</v>
      </c>
      <c r="H2610" s="10">
        <v>25</v>
      </c>
      <c r="I2610" s="10"/>
      <c r="J2610" s="10">
        <v>25</v>
      </c>
      <c r="K2610" s="10">
        <v>228.98</v>
      </c>
    </row>
    <row r="2611" spans="1:11" x14ac:dyDescent="0.25">
      <c r="A2611" s="8" t="s">
        <v>4204</v>
      </c>
      <c r="B2611" s="8" t="s">
        <v>120</v>
      </c>
      <c r="C2611" s="8" t="s">
        <v>4068</v>
      </c>
      <c r="D2611" s="8">
        <v>4</v>
      </c>
      <c r="E2611" s="8" t="s">
        <v>4200</v>
      </c>
      <c r="F2611" s="8" t="s">
        <v>460</v>
      </c>
      <c r="G2611" s="8" t="s">
        <v>4201</v>
      </c>
      <c r="H2611" s="10">
        <v>20</v>
      </c>
      <c r="I2611" s="10"/>
      <c r="J2611" s="10">
        <v>20</v>
      </c>
      <c r="K2611" s="10">
        <v>228.98</v>
      </c>
    </row>
    <row r="2612" spans="1:11" x14ac:dyDescent="0.25">
      <c r="A2612" s="8" t="s">
        <v>4205</v>
      </c>
      <c r="B2612" s="8" t="s">
        <v>120</v>
      </c>
      <c r="C2612" s="8" t="s">
        <v>4068</v>
      </c>
      <c r="D2612" s="8">
        <v>4</v>
      </c>
      <c r="E2612" s="8" t="s">
        <v>4200</v>
      </c>
      <c r="F2612" s="8" t="s">
        <v>460</v>
      </c>
      <c r="G2612" s="8" t="s">
        <v>4201</v>
      </c>
      <c r="H2612" s="10">
        <v>45</v>
      </c>
      <c r="I2612" s="10"/>
      <c r="J2612" s="10">
        <v>45</v>
      </c>
      <c r="K2612" s="10">
        <v>228.98</v>
      </c>
    </row>
    <row r="2613" spans="1:11" x14ac:dyDescent="0.25">
      <c r="A2613" s="8" t="s">
        <v>4206</v>
      </c>
      <c r="B2613" s="8" t="s">
        <v>122</v>
      </c>
      <c r="C2613" s="8" t="s">
        <v>4068</v>
      </c>
      <c r="D2613" s="8">
        <v>4</v>
      </c>
      <c r="E2613" s="8" t="s">
        <v>4200</v>
      </c>
      <c r="F2613" s="8" t="s">
        <v>460</v>
      </c>
      <c r="G2613" s="8" t="s">
        <v>4201</v>
      </c>
      <c r="H2613" s="10">
        <v>10</v>
      </c>
      <c r="I2613" s="10"/>
      <c r="J2613" s="10">
        <v>10</v>
      </c>
      <c r="K2613" s="10">
        <v>228.98</v>
      </c>
    </row>
    <row r="2614" spans="1:11" x14ac:dyDescent="0.25">
      <c r="A2614" s="8" t="s">
        <v>4207</v>
      </c>
      <c r="B2614" s="8" t="s">
        <v>124</v>
      </c>
      <c r="C2614" s="8" t="s">
        <v>4068</v>
      </c>
      <c r="D2614" s="8">
        <v>4</v>
      </c>
      <c r="E2614" s="8" t="s">
        <v>4200</v>
      </c>
      <c r="F2614" s="8" t="s">
        <v>460</v>
      </c>
      <c r="G2614" s="8" t="s">
        <v>4201</v>
      </c>
      <c r="H2614" s="10">
        <v>15</v>
      </c>
      <c r="I2614" s="10"/>
      <c r="J2614" s="10">
        <v>15</v>
      </c>
      <c r="K2614" s="10">
        <v>228.98</v>
      </c>
    </row>
    <row r="2615" spans="1:11" x14ac:dyDescent="0.25">
      <c r="A2615" s="8" t="s">
        <v>4208</v>
      </c>
      <c r="B2615" s="8" t="s">
        <v>78</v>
      </c>
      <c r="C2615" s="8" t="s">
        <v>4068</v>
      </c>
      <c r="D2615" s="8">
        <v>4</v>
      </c>
      <c r="E2615" s="8" t="s">
        <v>4200</v>
      </c>
      <c r="F2615" s="8" t="s">
        <v>460</v>
      </c>
      <c r="G2615" s="8" t="s">
        <v>4201</v>
      </c>
      <c r="H2615" s="10">
        <v>10</v>
      </c>
      <c r="I2615" s="10"/>
      <c r="J2615" s="10">
        <v>10</v>
      </c>
      <c r="K2615" s="10">
        <v>228.98</v>
      </c>
    </row>
    <row r="2616" spans="1:11" x14ac:dyDescent="0.25">
      <c r="A2616" s="8" t="s">
        <v>4209</v>
      </c>
      <c r="B2616" s="8" t="s">
        <v>1655</v>
      </c>
      <c r="C2616" s="8" t="s">
        <v>4068</v>
      </c>
      <c r="D2616" s="8">
        <v>4</v>
      </c>
      <c r="E2616" s="8" t="s">
        <v>4200</v>
      </c>
      <c r="F2616" s="8" t="s">
        <v>460</v>
      </c>
      <c r="G2616" s="8" t="s">
        <v>4201</v>
      </c>
      <c r="H2616" s="10">
        <v>25</v>
      </c>
      <c r="I2616" s="10"/>
      <c r="J2616" s="10">
        <v>25</v>
      </c>
      <c r="K2616" s="10">
        <v>228.98</v>
      </c>
    </row>
    <row r="2617" spans="1:11" x14ac:dyDescent="0.25">
      <c r="A2617" s="8" t="s">
        <v>4210</v>
      </c>
      <c r="B2617" s="8" t="s">
        <v>128</v>
      </c>
      <c r="C2617" s="8" t="s">
        <v>4068</v>
      </c>
      <c r="D2617" s="8">
        <v>4</v>
      </c>
      <c r="E2617" s="8" t="s">
        <v>4200</v>
      </c>
      <c r="F2617" s="8" t="s">
        <v>460</v>
      </c>
      <c r="G2617" s="8" t="s">
        <v>4201</v>
      </c>
      <c r="H2617" s="10">
        <v>3</v>
      </c>
      <c r="I2617" s="10"/>
      <c r="J2617" s="10">
        <v>3</v>
      </c>
      <c r="K2617" s="10">
        <v>228.98</v>
      </c>
    </row>
    <row r="2618" spans="1:11" x14ac:dyDescent="0.25">
      <c r="A2618" s="8" t="s">
        <v>4211</v>
      </c>
      <c r="B2618" s="8" t="s">
        <v>130</v>
      </c>
      <c r="C2618" s="8" t="s">
        <v>4068</v>
      </c>
      <c r="D2618" s="8">
        <v>4</v>
      </c>
      <c r="E2618" s="8" t="s">
        <v>4200</v>
      </c>
      <c r="F2618" s="8" t="s">
        <v>460</v>
      </c>
      <c r="G2618" s="8" t="s">
        <v>4201</v>
      </c>
      <c r="H2618" s="10">
        <v>10</v>
      </c>
      <c r="I2618" s="10"/>
      <c r="J2618" s="10">
        <v>10</v>
      </c>
      <c r="K2618" s="10">
        <v>228.98</v>
      </c>
    </row>
    <row r="2619" spans="1:11" x14ac:dyDescent="0.25">
      <c r="A2619" s="8" t="s">
        <v>4212</v>
      </c>
      <c r="B2619" s="8" t="s">
        <v>132</v>
      </c>
      <c r="C2619" s="8" t="s">
        <v>4068</v>
      </c>
      <c r="D2619" s="8">
        <v>4</v>
      </c>
      <c r="E2619" s="8" t="s">
        <v>4200</v>
      </c>
      <c r="F2619" s="8" t="s">
        <v>460</v>
      </c>
      <c r="G2619" s="8" t="s">
        <v>4201</v>
      </c>
      <c r="H2619" s="10">
        <v>5</v>
      </c>
      <c r="I2619" s="10"/>
      <c r="J2619" s="10">
        <v>5</v>
      </c>
      <c r="K2619" s="10">
        <v>228.98</v>
      </c>
    </row>
    <row r="2620" spans="1:11" x14ac:dyDescent="0.25">
      <c r="A2620" s="8" t="s">
        <v>4213</v>
      </c>
      <c r="B2620" s="8" t="s">
        <v>134</v>
      </c>
      <c r="C2620" s="8" t="s">
        <v>4068</v>
      </c>
      <c r="D2620" s="8">
        <v>4</v>
      </c>
      <c r="E2620" s="8" t="s">
        <v>4200</v>
      </c>
      <c r="F2620" s="8" t="s">
        <v>460</v>
      </c>
      <c r="G2620" s="8" t="s">
        <v>4201</v>
      </c>
      <c r="H2620" s="10">
        <v>5</v>
      </c>
      <c r="I2620" s="10"/>
      <c r="J2620" s="10">
        <v>5</v>
      </c>
      <c r="K2620" s="10">
        <v>228.98</v>
      </c>
    </row>
    <row r="2621" spans="1:11" x14ac:dyDescent="0.25">
      <c r="A2621" s="8" t="s">
        <v>4214</v>
      </c>
      <c r="B2621" s="8" t="s">
        <v>136</v>
      </c>
      <c r="C2621" s="8" t="s">
        <v>4068</v>
      </c>
      <c r="D2621" s="8">
        <v>4</v>
      </c>
      <c r="E2621" s="8" t="s">
        <v>4200</v>
      </c>
      <c r="F2621" s="8" t="s">
        <v>460</v>
      </c>
      <c r="G2621" s="8" t="s">
        <v>4201</v>
      </c>
      <c r="H2621" s="10">
        <v>2</v>
      </c>
      <c r="I2621" s="10"/>
      <c r="J2621" s="10">
        <v>2</v>
      </c>
      <c r="K2621" s="10">
        <v>228.98</v>
      </c>
    </row>
    <row r="2622" spans="1:11" x14ac:dyDescent="0.25">
      <c r="A2622" s="8" t="s">
        <v>4215</v>
      </c>
      <c r="B2622" s="8" t="s">
        <v>1689</v>
      </c>
      <c r="C2622" s="8" t="s">
        <v>4068</v>
      </c>
      <c r="D2622" s="8">
        <v>4</v>
      </c>
      <c r="E2622" s="8" t="s">
        <v>4200</v>
      </c>
      <c r="F2622" s="8" t="s">
        <v>460</v>
      </c>
      <c r="G2622" s="8" t="s">
        <v>4201</v>
      </c>
      <c r="H2622" s="10">
        <v>6</v>
      </c>
      <c r="I2622" s="10"/>
      <c r="J2622" s="10">
        <v>6</v>
      </c>
      <c r="K2622" s="10">
        <v>228.98</v>
      </c>
    </row>
    <row r="2623" spans="1:11" x14ac:dyDescent="0.25">
      <c r="A2623" s="8" t="s">
        <v>4216</v>
      </c>
      <c r="B2623" s="8" t="s">
        <v>1650</v>
      </c>
      <c r="C2623" s="8" t="s">
        <v>4068</v>
      </c>
      <c r="D2623" s="8">
        <v>4</v>
      </c>
      <c r="E2623" s="8" t="s">
        <v>4217</v>
      </c>
      <c r="F2623" s="8" t="s">
        <v>460</v>
      </c>
      <c r="G2623" s="8" t="s">
        <v>4201</v>
      </c>
      <c r="H2623" s="10">
        <v>10</v>
      </c>
      <c r="I2623" s="10"/>
      <c r="J2623" s="10">
        <v>10</v>
      </c>
      <c r="K2623" s="10">
        <v>121.4</v>
      </c>
    </row>
    <row r="2624" spans="1:11" x14ac:dyDescent="0.25">
      <c r="A2624" s="8" t="s">
        <v>4218</v>
      </c>
      <c r="B2624" s="8" t="s">
        <v>120</v>
      </c>
      <c r="C2624" s="8" t="s">
        <v>4068</v>
      </c>
      <c r="D2624" s="8">
        <v>4</v>
      </c>
      <c r="E2624" s="8" t="s">
        <v>4217</v>
      </c>
      <c r="F2624" s="8" t="s">
        <v>460</v>
      </c>
      <c r="G2624" s="8" t="s">
        <v>4201</v>
      </c>
      <c r="H2624" s="10">
        <v>30</v>
      </c>
      <c r="I2624" s="10"/>
      <c r="J2624" s="10">
        <v>30</v>
      </c>
      <c r="K2624" s="10">
        <v>121.4</v>
      </c>
    </row>
    <row r="2625" spans="1:11" x14ac:dyDescent="0.25">
      <c r="A2625" s="8" t="s">
        <v>4219</v>
      </c>
      <c r="B2625" s="8" t="s">
        <v>1655</v>
      </c>
      <c r="C2625" s="8" t="s">
        <v>4068</v>
      </c>
      <c r="D2625" s="8">
        <v>4</v>
      </c>
      <c r="E2625" s="8" t="s">
        <v>4217</v>
      </c>
      <c r="F2625" s="8" t="s">
        <v>460</v>
      </c>
      <c r="G2625" s="8" t="s">
        <v>4201</v>
      </c>
      <c r="H2625" s="10">
        <v>12</v>
      </c>
      <c r="I2625" s="10"/>
      <c r="J2625" s="10">
        <v>12</v>
      </c>
      <c r="K2625" s="10">
        <v>121.4</v>
      </c>
    </row>
    <row r="2626" spans="1:11" x14ac:dyDescent="0.25">
      <c r="A2626" s="8" t="s">
        <v>4220</v>
      </c>
      <c r="B2626" s="8" t="s">
        <v>3518</v>
      </c>
      <c r="C2626" s="8" t="s">
        <v>4068</v>
      </c>
      <c r="D2626" s="8">
        <v>4</v>
      </c>
      <c r="E2626" s="8" t="s">
        <v>4217</v>
      </c>
      <c r="F2626" s="8" t="s">
        <v>460</v>
      </c>
      <c r="G2626" s="8" t="s">
        <v>4201</v>
      </c>
      <c r="H2626" s="10">
        <v>1</v>
      </c>
      <c r="I2626" s="10"/>
      <c r="J2626" s="10">
        <v>1</v>
      </c>
      <c r="K2626" s="10">
        <v>121.4</v>
      </c>
    </row>
    <row r="2627" spans="1:11" x14ac:dyDescent="0.25">
      <c r="A2627" s="8" t="s">
        <v>4221</v>
      </c>
      <c r="B2627" s="8" t="s">
        <v>116</v>
      </c>
      <c r="C2627" s="8" t="s">
        <v>4013</v>
      </c>
      <c r="D2627" s="8">
        <v>3</v>
      </c>
      <c r="E2627" s="8" t="s">
        <v>4222</v>
      </c>
      <c r="F2627" s="8" t="s">
        <v>460</v>
      </c>
      <c r="G2627" s="8" t="s">
        <v>4164</v>
      </c>
      <c r="H2627" s="10">
        <v>5</v>
      </c>
      <c r="I2627" s="10"/>
      <c r="J2627" s="10">
        <v>5</v>
      </c>
      <c r="K2627" s="10">
        <v>602.9</v>
      </c>
    </row>
    <row r="2628" spans="1:11" x14ac:dyDescent="0.25">
      <c r="A2628" s="8" t="s">
        <v>4223</v>
      </c>
      <c r="B2628" s="8" t="s">
        <v>118</v>
      </c>
      <c r="C2628" s="8" t="s">
        <v>4013</v>
      </c>
      <c r="D2628" s="8">
        <v>3</v>
      </c>
      <c r="E2628" s="8" t="s">
        <v>4222</v>
      </c>
      <c r="F2628" s="8" t="s">
        <v>460</v>
      </c>
      <c r="G2628" s="8" t="s">
        <v>4164</v>
      </c>
      <c r="H2628" s="10">
        <v>20</v>
      </c>
      <c r="I2628" s="10"/>
      <c r="J2628" s="10">
        <v>20</v>
      </c>
      <c r="K2628" s="10">
        <v>602.9</v>
      </c>
    </row>
    <row r="2629" spans="1:11" x14ac:dyDescent="0.25">
      <c r="A2629" s="8" t="s">
        <v>4224</v>
      </c>
      <c r="B2629" s="8" t="s">
        <v>120</v>
      </c>
      <c r="C2629" s="8" t="s">
        <v>4013</v>
      </c>
      <c r="D2629" s="8">
        <v>3</v>
      </c>
      <c r="E2629" s="8" t="s">
        <v>4222</v>
      </c>
      <c r="F2629" s="8" t="s">
        <v>460</v>
      </c>
      <c r="G2629" s="8" t="s">
        <v>4164</v>
      </c>
      <c r="H2629" s="10">
        <v>35</v>
      </c>
      <c r="I2629" s="10"/>
      <c r="J2629" s="10">
        <v>35</v>
      </c>
      <c r="K2629" s="10">
        <v>602.9</v>
      </c>
    </row>
    <row r="2630" spans="1:11" x14ac:dyDescent="0.25">
      <c r="A2630" s="8" t="s">
        <v>4225</v>
      </c>
      <c r="B2630" s="8" t="s">
        <v>122</v>
      </c>
      <c r="C2630" s="8" t="s">
        <v>4013</v>
      </c>
      <c r="D2630" s="8">
        <v>3</v>
      </c>
      <c r="E2630" s="8" t="s">
        <v>4222</v>
      </c>
      <c r="F2630" s="8" t="s">
        <v>460</v>
      </c>
      <c r="G2630" s="8" t="s">
        <v>4164</v>
      </c>
      <c r="H2630" s="10">
        <v>35</v>
      </c>
      <c r="I2630" s="10"/>
      <c r="J2630" s="10">
        <v>35</v>
      </c>
      <c r="K2630" s="10">
        <v>602.9</v>
      </c>
    </row>
    <row r="2631" spans="1:11" x14ac:dyDescent="0.25">
      <c r="A2631" s="8" t="s">
        <v>4226</v>
      </c>
      <c r="B2631" s="8" t="s">
        <v>124</v>
      </c>
      <c r="C2631" s="8" t="s">
        <v>4013</v>
      </c>
      <c r="D2631" s="8">
        <v>3</v>
      </c>
      <c r="E2631" s="8" t="s">
        <v>4222</v>
      </c>
      <c r="F2631" s="8" t="s">
        <v>460</v>
      </c>
      <c r="G2631" s="8" t="s">
        <v>4164</v>
      </c>
      <c r="H2631" s="10">
        <v>30</v>
      </c>
      <c r="I2631" s="10"/>
      <c r="J2631" s="10">
        <v>30</v>
      </c>
      <c r="K2631" s="10">
        <v>602.9</v>
      </c>
    </row>
    <row r="2632" spans="1:11" x14ac:dyDescent="0.25">
      <c r="A2632" s="8" t="s">
        <v>4227</v>
      </c>
      <c r="B2632" s="8" t="s">
        <v>78</v>
      </c>
      <c r="C2632" s="8" t="s">
        <v>4013</v>
      </c>
      <c r="D2632" s="8">
        <v>3</v>
      </c>
      <c r="E2632" s="8" t="s">
        <v>4222</v>
      </c>
      <c r="F2632" s="8" t="s">
        <v>460</v>
      </c>
      <c r="G2632" s="8" t="s">
        <v>4164</v>
      </c>
      <c r="H2632" s="10">
        <v>10</v>
      </c>
      <c r="I2632" s="10"/>
      <c r="J2632" s="10">
        <v>10</v>
      </c>
      <c r="K2632" s="10">
        <v>602.9</v>
      </c>
    </row>
    <row r="2633" spans="1:11" x14ac:dyDescent="0.25">
      <c r="A2633" s="8" t="s">
        <v>4228</v>
      </c>
      <c r="B2633" s="8" t="s">
        <v>128</v>
      </c>
      <c r="C2633" s="8" t="s">
        <v>4013</v>
      </c>
      <c r="D2633" s="8">
        <v>3</v>
      </c>
      <c r="E2633" s="8" t="s">
        <v>4222</v>
      </c>
      <c r="F2633" s="8" t="s">
        <v>460</v>
      </c>
      <c r="G2633" s="8" t="s">
        <v>4164</v>
      </c>
      <c r="H2633" s="10">
        <v>8</v>
      </c>
      <c r="I2633" s="10"/>
      <c r="J2633" s="10">
        <v>8</v>
      </c>
      <c r="K2633" s="10">
        <v>602.9</v>
      </c>
    </row>
    <row r="2634" spans="1:11" x14ac:dyDescent="0.25">
      <c r="A2634" s="8" t="s">
        <v>4229</v>
      </c>
      <c r="B2634" s="8" t="s">
        <v>949</v>
      </c>
      <c r="C2634" s="8" t="s">
        <v>4013</v>
      </c>
      <c r="D2634" s="8">
        <v>3</v>
      </c>
      <c r="E2634" s="8" t="s">
        <v>4222</v>
      </c>
      <c r="F2634" s="8" t="s">
        <v>460</v>
      </c>
      <c r="G2634" s="8" t="s">
        <v>4164</v>
      </c>
      <c r="H2634" s="10">
        <v>1</v>
      </c>
      <c r="I2634" s="10"/>
      <c r="J2634" s="10">
        <v>1</v>
      </c>
      <c r="K2634" s="10">
        <v>602.9</v>
      </c>
    </row>
    <row r="2635" spans="1:11" x14ac:dyDescent="0.25">
      <c r="A2635" s="8" t="s">
        <v>4230</v>
      </c>
      <c r="B2635" s="8" t="s">
        <v>132</v>
      </c>
      <c r="C2635" s="8" t="s">
        <v>4013</v>
      </c>
      <c r="D2635" s="8">
        <v>3</v>
      </c>
      <c r="E2635" s="8" t="s">
        <v>4222</v>
      </c>
      <c r="F2635" s="8" t="s">
        <v>460</v>
      </c>
      <c r="G2635" s="8" t="s">
        <v>4164</v>
      </c>
      <c r="H2635" s="10">
        <v>10</v>
      </c>
      <c r="I2635" s="10"/>
      <c r="J2635" s="10">
        <v>10</v>
      </c>
      <c r="K2635" s="10">
        <v>602.9</v>
      </c>
    </row>
    <row r="2636" spans="1:11" x14ac:dyDescent="0.25">
      <c r="A2636" s="8" t="s">
        <v>4231</v>
      </c>
      <c r="B2636" s="8" t="s">
        <v>134</v>
      </c>
      <c r="C2636" s="8" t="s">
        <v>4013</v>
      </c>
      <c r="D2636" s="8">
        <v>3</v>
      </c>
      <c r="E2636" s="8" t="s">
        <v>4222</v>
      </c>
      <c r="F2636" s="8" t="s">
        <v>460</v>
      </c>
      <c r="G2636" s="8" t="s">
        <v>4164</v>
      </c>
      <c r="H2636" s="10">
        <v>70</v>
      </c>
      <c r="I2636" s="10"/>
      <c r="J2636" s="10">
        <v>70</v>
      </c>
      <c r="K2636" s="10">
        <v>602.9</v>
      </c>
    </row>
    <row r="2637" spans="1:11" x14ac:dyDescent="0.25">
      <c r="A2637" s="8" t="s">
        <v>4232</v>
      </c>
      <c r="B2637" s="8" t="s">
        <v>1689</v>
      </c>
      <c r="C2637" s="8" t="s">
        <v>4013</v>
      </c>
      <c r="D2637" s="8">
        <v>3</v>
      </c>
      <c r="E2637" s="8" t="s">
        <v>4222</v>
      </c>
      <c r="F2637" s="8" t="s">
        <v>460</v>
      </c>
      <c r="G2637" s="8" t="s">
        <v>4164</v>
      </c>
      <c r="H2637" s="10">
        <v>5</v>
      </c>
      <c r="I2637" s="10"/>
      <c r="J2637" s="10">
        <v>5</v>
      </c>
      <c r="K2637" s="10">
        <v>602.9</v>
      </c>
    </row>
    <row r="2638" spans="1:11" x14ac:dyDescent="0.25">
      <c r="A2638" s="8" t="s">
        <v>4233</v>
      </c>
      <c r="B2638" s="8" t="s">
        <v>138</v>
      </c>
      <c r="C2638" s="8" t="s">
        <v>4013</v>
      </c>
      <c r="D2638" s="8">
        <v>3</v>
      </c>
      <c r="E2638" s="8" t="s">
        <v>4222</v>
      </c>
      <c r="F2638" s="8" t="s">
        <v>460</v>
      </c>
      <c r="G2638" s="8" t="s">
        <v>4164</v>
      </c>
      <c r="H2638" s="10">
        <v>3</v>
      </c>
      <c r="I2638" s="10"/>
      <c r="J2638" s="10">
        <v>3</v>
      </c>
      <c r="K2638" s="10">
        <v>602.9</v>
      </c>
    </row>
    <row r="2639" spans="1:11" x14ac:dyDescent="0.25">
      <c r="A2639" s="8" t="s">
        <v>4234</v>
      </c>
      <c r="B2639" s="8" t="s">
        <v>80</v>
      </c>
      <c r="C2639" s="8" t="s">
        <v>4013</v>
      </c>
      <c r="D2639" s="8">
        <v>3</v>
      </c>
      <c r="E2639" s="8" t="s">
        <v>4222</v>
      </c>
      <c r="F2639" s="8" t="s">
        <v>460</v>
      </c>
      <c r="G2639" s="8" t="s">
        <v>4164</v>
      </c>
      <c r="H2639" s="10">
        <v>11</v>
      </c>
      <c r="I2639" s="10"/>
      <c r="J2639" s="10">
        <v>11</v>
      </c>
      <c r="K2639" s="10">
        <v>602.9</v>
      </c>
    </row>
    <row r="2640" spans="1:11" x14ac:dyDescent="0.25">
      <c r="A2640" s="8" t="s">
        <v>4235</v>
      </c>
      <c r="B2640" s="8" t="s">
        <v>116</v>
      </c>
      <c r="C2640" s="8" t="s">
        <v>4013</v>
      </c>
      <c r="D2640" s="8">
        <v>3</v>
      </c>
      <c r="E2640" s="8" t="s">
        <v>4236</v>
      </c>
      <c r="F2640" s="8" t="s">
        <v>460</v>
      </c>
      <c r="G2640" s="8" t="s">
        <v>4164</v>
      </c>
      <c r="H2640" s="10">
        <v>5</v>
      </c>
      <c r="I2640" s="10"/>
      <c r="J2640" s="10">
        <v>5</v>
      </c>
      <c r="K2640" s="10">
        <v>602.9</v>
      </c>
    </row>
    <row r="2641" spans="1:11" x14ac:dyDescent="0.25">
      <c r="A2641" s="8" t="s">
        <v>4237</v>
      </c>
      <c r="B2641" s="8" t="s">
        <v>118</v>
      </c>
      <c r="C2641" s="8" t="s">
        <v>4013</v>
      </c>
      <c r="D2641" s="8">
        <v>3</v>
      </c>
      <c r="E2641" s="8" t="s">
        <v>4236</v>
      </c>
      <c r="F2641" s="8" t="s">
        <v>460</v>
      </c>
      <c r="G2641" s="8" t="s">
        <v>4164</v>
      </c>
      <c r="H2641" s="10">
        <v>20</v>
      </c>
      <c r="I2641" s="10"/>
      <c r="J2641" s="10">
        <v>20</v>
      </c>
      <c r="K2641" s="10">
        <v>602.9</v>
      </c>
    </row>
    <row r="2642" spans="1:11" x14ac:dyDescent="0.25">
      <c r="A2642" s="8" t="s">
        <v>4238</v>
      </c>
      <c r="B2642" s="8" t="s">
        <v>120</v>
      </c>
      <c r="C2642" s="8" t="s">
        <v>4013</v>
      </c>
      <c r="D2642" s="8">
        <v>3</v>
      </c>
      <c r="E2642" s="8" t="s">
        <v>4236</v>
      </c>
      <c r="F2642" s="8" t="s">
        <v>460</v>
      </c>
      <c r="G2642" s="8" t="s">
        <v>4164</v>
      </c>
      <c r="H2642" s="10">
        <v>35</v>
      </c>
      <c r="I2642" s="10"/>
      <c r="J2642" s="10">
        <v>35</v>
      </c>
      <c r="K2642" s="10">
        <v>602.9</v>
      </c>
    </row>
    <row r="2643" spans="1:11" x14ac:dyDescent="0.25">
      <c r="A2643" s="8" t="s">
        <v>4239</v>
      </c>
      <c r="B2643" s="8" t="s">
        <v>122</v>
      </c>
      <c r="C2643" s="8" t="s">
        <v>4013</v>
      </c>
      <c r="D2643" s="8">
        <v>3</v>
      </c>
      <c r="E2643" s="8" t="s">
        <v>4236</v>
      </c>
      <c r="F2643" s="8" t="s">
        <v>460</v>
      </c>
      <c r="G2643" s="8" t="s">
        <v>4164</v>
      </c>
      <c r="H2643" s="10">
        <v>35</v>
      </c>
      <c r="I2643" s="10"/>
      <c r="J2643" s="10">
        <v>35</v>
      </c>
      <c r="K2643" s="10">
        <v>602.9</v>
      </c>
    </row>
    <row r="2644" spans="1:11" x14ac:dyDescent="0.25">
      <c r="A2644" s="8" t="s">
        <v>4240</v>
      </c>
      <c r="B2644" s="8" t="s">
        <v>78</v>
      </c>
      <c r="C2644" s="8" t="s">
        <v>4013</v>
      </c>
      <c r="D2644" s="8">
        <v>3</v>
      </c>
      <c r="E2644" s="8" t="s">
        <v>4236</v>
      </c>
      <c r="F2644" s="8" t="s">
        <v>460</v>
      </c>
      <c r="G2644" s="8" t="s">
        <v>4164</v>
      </c>
      <c r="H2644" s="10">
        <v>10</v>
      </c>
      <c r="I2644" s="10"/>
      <c r="J2644" s="10">
        <v>10</v>
      </c>
      <c r="K2644" s="10">
        <v>602.9</v>
      </c>
    </row>
    <row r="2645" spans="1:11" x14ac:dyDescent="0.25">
      <c r="A2645" s="8" t="s">
        <v>4241</v>
      </c>
      <c r="B2645" s="8" t="s">
        <v>128</v>
      </c>
      <c r="C2645" s="8" t="s">
        <v>4013</v>
      </c>
      <c r="D2645" s="8">
        <v>3</v>
      </c>
      <c r="E2645" s="8" t="s">
        <v>4236</v>
      </c>
      <c r="F2645" s="8" t="s">
        <v>460</v>
      </c>
      <c r="G2645" s="8" t="s">
        <v>4164</v>
      </c>
      <c r="H2645" s="10">
        <v>8</v>
      </c>
      <c r="I2645" s="10"/>
      <c r="J2645" s="10">
        <v>8</v>
      </c>
      <c r="K2645" s="10">
        <v>602.9</v>
      </c>
    </row>
    <row r="2646" spans="1:11" x14ac:dyDescent="0.25">
      <c r="A2646" s="8" t="s">
        <v>4242</v>
      </c>
      <c r="B2646" s="8" t="s">
        <v>949</v>
      </c>
      <c r="C2646" s="8" t="s">
        <v>4013</v>
      </c>
      <c r="D2646" s="8">
        <v>3</v>
      </c>
      <c r="E2646" s="8" t="s">
        <v>4236</v>
      </c>
      <c r="F2646" s="8" t="s">
        <v>460</v>
      </c>
      <c r="G2646" s="8" t="s">
        <v>4164</v>
      </c>
      <c r="H2646" s="10">
        <v>1</v>
      </c>
      <c r="I2646" s="10"/>
      <c r="J2646" s="10">
        <v>1</v>
      </c>
      <c r="K2646" s="10">
        <v>602.9</v>
      </c>
    </row>
    <row r="2647" spans="1:11" x14ac:dyDescent="0.25">
      <c r="A2647" s="8" t="s">
        <v>4243</v>
      </c>
      <c r="B2647" s="8" t="s">
        <v>132</v>
      </c>
      <c r="C2647" s="8" t="s">
        <v>4013</v>
      </c>
      <c r="D2647" s="8">
        <v>3</v>
      </c>
      <c r="E2647" s="8" t="s">
        <v>4236</v>
      </c>
      <c r="F2647" s="8" t="s">
        <v>460</v>
      </c>
      <c r="G2647" s="8" t="s">
        <v>4164</v>
      </c>
      <c r="H2647" s="10">
        <v>10</v>
      </c>
      <c r="I2647" s="10"/>
      <c r="J2647" s="10">
        <v>10</v>
      </c>
      <c r="K2647" s="10">
        <v>602.9</v>
      </c>
    </row>
    <row r="2648" spans="1:11" x14ac:dyDescent="0.25">
      <c r="A2648" s="8" t="s">
        <v>4244</v>
      </c>
      <c r="B2648" s="8" t="s">
        <v>134</v>
      </c>
      <c r="C2648" s="8" t="s">
        <v>4013</v>
      </c>
      <c r="D2648" s="8">
        <v>3</v>
      </c>
      <c r="E2648" s="8" t="s">
        <v>4236</v>
      </c>
      <c r="F2648" s="8" t="s">
        <v>460</v>
      </c>
      <c r="G2648" s="8" t="s">
        <v>4164</v>
      </c>
      <c r="H2648" s="10">
        <v>70</v>
      </c>
      <c r="I2648" s="10"/>
      <c r="J2648" s="10">
        <v>70</v>
      </c>
      <c r="K2648" s="10">
        <v>602.9</v>
      </c>
    </row>
    <row r="2649" spans="1:11" x14ac:dyDescent="0.25">
      <c r="A2649" s="8" t="s">
        <v>4245</v>
      </c>
      <c r="B2649" s="8" t="s">
        <v>1689</v>
      </c>
      <c r="C2649" s="8" t="s">
        <v>4013</v>
      </c>
      <c r="D2649" s="8">
        <v>3</v>
      </c>
      <c r="E2649" s="8" t="s">
        <v>4236</v>
      </c>
      <c r="F2649" s="8" t="s">
        <v>460</v>
      </c>
      <c r="G2649" s="8" t="s">
        <v>4164</v>
      </c>
      <c r="H2649" s="10">
        <v>5</v>
      </c>
      <c r="I2649" s="10"/>
      <c r="J2649" s="10">
        <v>5</v>
      </c>
      <c r="K2649" s="10">
        <v>602.9</v>
      </c>
    </row>
    <row r="2650" spans="1:11" x14ac:dyDescent="0.25">
      <c r="A2650" s="8" t="s">
        <v>4246</v>
      </c>
      <c r="B2650" s="8" t="s">
        <v>138</v>
      </c>
      <c r="C2650" s="8" t="s">
        <v>4013</v>
      </c>
      <c r="D2650" s="8">
        <v>3</v>
      </c>
      <c r="E2650" s="8" t="s">
        <v>4236</v>
      </c>
      <c r="F2650" s="8" t="s">
        <v>460</v>
      </c>
      <c r="G2650" s="8" t="s">
        <v>4164</v>
      </c>
      <c r="H2650" s="10">
        <v>3</v>
      </c>
      <c r="I2650" s="10"/>
      <c r="J2650" s="10">
        <v>3</v>
      </c>
      <c r="K2650" s="10">
        <v>602.9</v>
      </c>
    </row>
    <row r="2651" spans="1:11" x14ac:dyDescent="0.25">
      <c r="A2651" s="8" t="s">
        <v>4247</v>
      </c>
      <c r="B2651" s="8" t="s">
        <v>80</v>
      </c>
      <c r="C2651" s="8" t="s">
        <v>4013</v>
      </c>
      <c r="D2651" s="8">
        <v>3</v>
      </c>
      <c r="E2651" s="8" t="s">
        <v>4236</v>
      </c>
      <c r="F2651" s="8" t="s">
        <v>460</v>
      </c>
      <c r="G2651" s="8" t="s">
        <v>4164</v>
      </c>
      <c r="H2651" s="10">
        <v>11</v>
      </c>
      <c r="I2651" s="10"/>
      <c r="J2651" s="10">
        <v>11</v>
      </c>
      <c r="K2651" s="10">
        <v>602.9</v>
      </c>
    </row>
    <row r="2652" spans="1:11" x14ac:dyDescent="0.25">
      <c r="A2652" s="8" t="s">
        <v>4248</v>
      </c>
      <c r="B2652" s="8" t="s">
        <v>118</v>
      </c>
      <c r="C2652" s="8" t="s">
        <v>4013</v>
      </c>
      <c r="D2652" s="8">
        <v>3</v>
      </c>
      <c r="E2652" s="8" t="s">
        <v>4249</v>
      </c>
      <c r="F2652" s="8" t="s">
        <v>4250</v>
      </c>
      <c r="G2652" s="8" t="s">
        <v>4164</v>
      </c>
      <c r="H2652" s="10">
        <v>1</v>
      </c>
      <c r="I2652" s="10"/>
      <c r="J2652" s="10">
        <v>1</v>
      </c>
      <c r="K2652" s="10">
        <v>683.28</v>
      </c>
    </row>
    <row r="2653" spans="1:11" x14ac:dyDescent="0.25">
      <c r="A2653" s="8" t="s">
        <v>4251</v>
      </c>
      <c r="B2653" s="8" t="s">
        <v>1650</v>
      </c>
      <c r="C2653" s="8" t="s">
        <v>4013</v>
      </c>
      <c r="D2653" s="8">
        <v>3</v>
      </c>
      <c r="E2653" s="8" t="s">
        <v>4249</v>
      </c>
      <c r="F2653" s="8" t="s">
        <v>460</v>
      </c>
      <c r="G2653" s="8" t="s">
        <v>4164</v>
      </c>
      <c r="H2653" s="10">
        <v>1</v>
      </c>
      <c r="I2653" s="10"/>
      <c r="J2653" s="10">
        <v>1</v>
      </c>
      <c r="K2653" s="10">
        <v>683.28</v>
      </c>
    </row>
    <row r="2654" spans="1:11" x14ac:dyDescent="0.25">
      <c r="A2654" s="8" t="s">
        <v>4252</v>
      </c>
      <c r="B2654" s="8" t="s">
        <v>120</v>
      </c>
      <c r="C2654" s="8" t="s">
        <v>4013</v>
      </c>
      <c r="D2654" s="8">
        <v>3</v>
      </c>
      <c r="E2654" s="8" t="s">
        <v>4249</v>
      </c>
      <c r="F2654" s="8" t="s">
        <v>460</v>
      </c>
      <c r="G2654" s="8" t="s">
        <v>4164</v>
      </c>
      <c r="H2654" s="10">
        <v>1</v>
      </c>
      <c r="I2654" s="10"/>
      <c r="J2654" s="10">
        <v>1</v>
      </c>
      <c r="K2654" s="10">
        <v>683.28</v>
      </c>
    </row>
    <row r="2655" spans="1:11" x14ac:dyDescent="0.25">
      <c r="A2655" s="8" t="s">
        <v>4253</v>
      </c>
      <c r="B2655" s="8" t="s">
        <v>120</v>
      </c>
      <c r="C2655" s="8" t="s">
        <v>4013</v>
      </c>
      <c r="D2655" s="8">
        <v>3</v>
      </c>
      <c r="E2655" s="8" t="s">
        <v>4249</v>
      </c>
      <c r="F2655" s="8" t="s">
        <v>460</v>
      </c>
      <c r="G2655" s="8" t="s">
        <v>4164</v>
      </c>
      <c r="H2655" s="10">
        <v>1</v>
      </c>
      <c r="I2655" s="10"/>
      <c r="J2655" s="10">
        <v>1</v>
      </c>
      <c r="K2655" s="10">
        <v>683.28</v>
      </c>
    </row>
    <row r="2656" spans="1:11" x14ac:dyDescent="0.25">
      <c r="A2656" s="8" t="s">
        <v>4254</v>
      </c>
      <c r="B2656" s="8" t="s">
        <v>122</v>
      </c>
      <c r="C2656" s="8" t="s">
        <v>4013</v>
      </c>
      <c r="D2656" s="8">
        <v>3</v>
      </c>
      <c r="E2656" s="8" t="s">
        <v>4249</v>
      </c>
      <c r="F2656" s="8" t="s">
        <v>460</v>
      </c>
      <c r="G2656" s="8" t="s">
        <v>4164</v>
      </c>
      <c r="H2656" s="10">
        <v>1</v>
      </c>
      <c r="I2656" s="10"/>
      <c r="J2656" s="10">
        <v>1</v>
      </c>
      <c r="K2656" s="10">
        <v>683.28</v>
      </c>
    </row>
    <row r="2657" spans="1:11" x14ac:dyDescent="0.25">
      <c r="A2657" s="8" t="s">
        <v>4255</v>
      </c>
      <c r="B2657" s="8" t="s">
        <v>124</v>
      </c>
      <c r="C2657" s="8" t="s">
        <v>4013</v>
      </c>
      <c r="D2657" s="8">
        <v>3</v>
      </c>
      <c r="E2657" s="8" t="s">
        <v>4249</v>
      </c>
      <c r="F2657" s="8" t="s">
        <v>460</v>
      </c>
      <c r="G2657" s="8" t="s">
        <v>4164</v>
      </c>
      <c r="H2657" s="10">
        <v>1</v>
      </c>
      <c r="I2657" s="10"/>
      <c r="J2657" s="10">
        <v>1</v>
      </c>
      <c r="K2657" s="10">
        <v>683.28</v>
      </c>
    </row>
    <row r="2658" spans="1:11" x14ac:dyDescent="0.25">
      <c r="A2658" s="8" t="s">
        <v>4256</v>
      </c>
      <c r="B2658" s="8" t="s">
        <v>78</v>
      </c>
      <c r="C2658" s="8" t="s">
        <v>4013</v>
      </c>
      <c r="D2658" s="8">
        <v>3</v>
      </c>
      <c r="E2658" s="8" t="s">
        <v>4249</v>
      </c>
      <c r="F2658" s="8" t="s">
        <v>460</v>
      </c>
      <c r="G2658" s="8" t="s">
        <v>4164</v>
      </c>
      <c r="H2658" s="10">
        <v>1</v>
      </c>
      <c r="I2658" s="10"/>
      <c r="J2658" s="10">
        <v>1</v>
      </c>
      <c r="K2658" s="10">
        <v>683.28</v>
      </c>
    </row>
    <row r="2659" spans="1:11" x14ac:dyDescent="0.25">
      <c r="A2659" s="8" t="s">
        <v>4257</v>
      </c>
      <c r="B2659" s="8" t="s">
        <v>1655</v>
      </c>
      <c r="C2659" s="8" t="s">
        <v>4013</v>
      </c>
      <c r="D2659" s="8">
        <v>3</v>
      </c>
      <c r="E2659" s="8" t="s">
        <v>4249</v>
      </c>
      <c r="F2659" s="8" t="s">
        <v>460</v>
      </c>
      <c r="G2659" s="8" t="s">
        <v>4164</v>
      </c>
      <c r="H2659" s="10">
        <v>1</v>
      </c>
      <c r="I2659" s="10"/>
      <c r="J2659" s="10">
        <v>1</v>
      </c>
      <c r="K2659" s="10">
        <v>683.28</v>
      </c>
    </row>
    <row r="2660" spans="1:11" x14ac:dyDescent="0.25">
      <c r="A2660" s="8" t="s">
        <v>4258</v>
      </c>
      <c r="B2660" s="8" t="s">
        <v>128</v>
      </c>
      <c r="C2660" s="8" t="s">
        <v>4013</v>
      </c>
      <c r="D2660" s="8">
        <v>3</v>
      </c>
      <c r="E2660" s="8" t="s">
        <v>4249</v>
      </c>
      <c r="F2660" s="8" t="s">
        <v>460</v>
      </c>
      <c r="G2660" s="8" t="s">
        <v>4164</v>
      </c>
      <c r="H2660" s="10">
        <v>1</v>
      </c>
      <c r="I2660" s="10"/>
      <c r="J2660" s="10">
        <v>1</v>
      </c>
      <c r="K2660" s="10">
        <v>683.28</v>
      </c>
    </row>
    <row r="2661" spans="1:11" x14ac:dyDescent="0.25">
      <c r="A2661" s="8" t="s">
        <v>4259</v>
      </c>
      <c r="B2661" s="8" t="s">
        <v>130</v>
      </c>
      <c r="C2661" s="8" t="s">
        <v>4013</v>
      </c>
      <c r="D2661" s="8">
        <v>3</v>
      </c>
      <c r="E2661" s="8" t="s">
        <v>4249</v>
      </c>
      <c r="F2661" s="8" t="s">
        <v>460</v>
      </c>
      <c r="G2661" s="8" t="s">
        <v>4164</v>
      </c>
      <c r="H2661" s="10">
        <v>1</v>
      </c>
      <c r="I2661" s="10"/>
      <c r="J2661" s="10">
        <v>1</v>
      </c>
      <c r="K2661" s="10">
        <v>683.28</v>
      </c>
    </row>
    <row r="2662" spans="1:11" x14ac:dyDescent="0.25">
      <c r="A2662" s="8" t="s">
        <v>4260</v>
      </c>
      <c r="B2662" s="8" t="s">
        <v>132</v>
      </c>
      <c r="C2662" s="8" t="s">
        <v>4013</v>
      </c>
      <c r="D2662" s="8">
        <v>3</v>
      </c>
      <c r="E2662" s="8" t="s">
        <v>4249</v>
      </c>
      <c r="F2662" s="8" t="s">
        <v>460</v>
      </c>
      <c r="G2662" s="8" t="s">
        <v>4164</v>
      </c>
      <c r="H2662" s="10">
        <v>1</v>
      </c>
      <c r="I2662" s="10"/>
      <c r="J2662" s="10">
        <v>1</v>
      </c>
      <c r="K2662" s="10">
        <v>683.28</v>
      </c>
    </row>
    <row r="2663" spans="1:11" x14ac:dyDescent="0.25">
      <c r="A2663" s="8" t="s">
        <v>4261</v>
      </c>
      <c r="B2663" s="8" t="s">
        <v>134</v>
      </c>
      <c r="C2663" s="8" t="s">
        <v>4013</v>
      </c>
      <c r="D2663" s="8">
        <v>3</v>
      </c>
      <c r="E2663" s="8" t="s">
        <v>4249</v>
      </c>
      <c r="F2663" s="8" t="s">
        <v>460</v>
      </c>
      <c r="G2663" s="8" t="s">
        <v>4164</v>
      </c>
      <c r="H2663" s="10">
        <v>1</v>
      </c>
      <c r="I2663" s="10"/>
      <c r="J2663" s="10">
        <v>1</v>
      </c>
      <c r="K2663" s="10">
        <v>683.28</v>
      </c>
    </row>
    <row r="2664" spans="1:11" x14ac:dyDescent="0.25">
      <c r="A2664" s="8" t="s">
        <v>4262</v>
      </c>
      <c r="B2664" s="8" t="s">
        <v>136</v>
      </c>
      <c r="C2664" s="8" t="s">
        <v>4013</v>
      </c>
      <c r="D2664" s="8">
        <v>3</v>
      </c>
      <c r="E2664" s="8" t="s">
        <v>4249</v>
      </c>
      <c r="F2664" s="8" t="s">
        <v>460</v>
      </c>
      <c r="G2664" s="8" t="s">
        <v>4164</v>
      </c>
      <c r="H2664" s="10">
        <v>1</v>
      </c>
      <c r="I2664" s="10"/>
      <c r="J2664" s="10">
        <v>1</v>
      </c>
      <c r="K2664" s="10">
        <v>683.28</v>
      </c>
    </row>
    <row r="2665" spans="1:11" x14ac:dyDescent="0.25">
      <c r="A2665" s="8" t="s">
        <v>4263</v>
      </c>
      <c r="B2665" s="8" t="s">
        <v>1689</v>
      </c>
      <c r="C2665" s="8" t="s">
        <v>4013</v>
      </c>
      <c r="D2665" s="8">
        <v>3</v>
      </c>
      <c r="E2665" s="8" t="s">
        <v>4249</v>
      </c>
      <c r="F2665" s="8" t="s">
        <v>460</v>
      </c>
      <c r="G2665" s="8" t="s">
        <v>4164</v>
      </c>
      <c r="H2665" s="10">
        <v>1</v>
      </c>
      <c r="I2665" s="10"/>
      <c r="J2665" s="10">
        <v>1</v>
      </c>
      <c r="K2665" s="10">
        <v>683.28</v>
      </c>
    </row>
    <row r="2666" spans="1:11" x14ac:dyDescent="0.25">
      <c r="A2666" s="8" t="s">
        <v>4264</v>
      </c>
      <c r="B2666" s="8" t="s">
        <v>138</v>
      </c>
      <c r="C2666" s="8" t="s">
        <v>4013</v>
      </c>
      <c r="D2666" s="8">
        <v>3</v>
      </c>
      <c r="E2666" s="8" t="s">
        <v>4249</v>
      </c>
      <c r="F2666" s="8" t="s">
        <v>460</v>
      </c>
      <c r="G2666" s="8" t="s">
        <v>4164</v>
      </c>
      <c r="H2666" s="10">
        <v>1</v>
      </c>
      <c r="I2666" s="10"/>
      <c r="J2666" s="10">
        <v>1</v>
      </c>
      <c r="K2666" s="10">
        <v>683.28</v>
      </c>
    </row>
    <row r="2667" spans="1:11" x14ac:dyDescent="0.25">
      <c r="A2667" s="8" t="s">
        <v>4265</v>
      </c>
      <c r="B2667" s="8" t="s">
        <v>80</v>
      </c>
      <c r="C2667" s="8" t="s">
        <v>4013</v>
      </c>
      <c r="D2667" s="8">
        <v>3</v>
      </c>
      <c r="E2667" s="8" t="s">
        <v>4249</v>
      </c>
      <c r="F2667" s="8" t="s">
        <v>460</v>
      </c>
      <c r="G2667" s="8" t="s">
        <v>4164</v>
      </c>
      <c r="H2667" s="10">
        <v>1</v>
      </c>
      <c r="I2667" s="10"/>
      <c r="J2667" s="10">
        <v>1</v>
      </c>
      <c r="K2667" s="10">
        <v>683.28</v>
      </c>
    </row>
    <row r="2668" spans="1:11" x14ac:dyDescent="0.25">
      <c r="A2668" s="8" t="s">
        <v>4266</v>
      </c>
      <c r="B2668" s="8" t="s">
        <v>116</v>
      </c>
      <c r="C2668" s="8" t="s">
        <v>4267</v>
      </c>
      <c r="D2668" s="8">
        <v>3</v>
      </c>
      <c r="E2668" s="8" t="s">
        <v>4268</v>
      </c>
      <c r="F2668" s="8" t="s">
        <v>911</v>
      </c>
      <c r="G2668" s="8" t="s">
        <v>4269</v>
      </c>
      <c r="H2668" s="10">
        <v>5</v>
      </c>
      <c r="I2668" s="10"/>
      <c r="J2668" s="10">
        <v>5</v>
      </c>
      <c r="K2668" s="10">
        <v>2411.59</v>
      </c>
    </row>
    <row r="2669" spans="1:11" x14ac:dyDescent="0.25">
      <c r="A2669" s="8" t="s">
        <v>4270</v>
      </c>
      <c r="B2669" s="8" t="s">
        <v>116</v>
      </c>
      <c r="C2669" s="8" t="s">
        <v>4267</v>
      </c>
      <c r="D2669" s="8">
        <v>3</v>
      </c>
      <c r="E2669" s="8" t="s">
        <v>4268</v>
      </c>
      <c r="F2669" s="8" t="s">
        <v>911</v>
      </c>
      <c r="G2669" s="8" t="s">
        <v>4269</v>
      </c>
      <c r="H2669" s="10">
        <v>2</v>
      </c>
      <c r="I2669" s="10"/>
      <c r="J2669" s="10">
        <v>2</v>
      </c>
      <c r="K2669" s="10">
        <v>2411.59</v>
      </c>
    </row>
    <row r="2670" spans="1:11" x14ac:dyDescent="0.25">
      <c r="A2670" s="8" t="s">
        <v>4271</v>
      </c>
      <c r="B2670" s="8" t="s">
        <v>116</v>
      </c>
      <c r="C2670" s="8" t="s">
        <v>4267</v>
      </c>
      <c r="D2670" s="8">
        <v>3</v>
      </c>
      <c r="E2670" s="8" t="s">
        <v>4268</v>
      </c>
      <c r="F2670" s="8" t="s">
        <v>911</v>
      </c>
      <c r="G2670" s="8" t="s">
        <v>4269</v>
      </c>
      <c r="H2670" s="10">
        <v>2</v>
      </c>
      <c r="I2670" s="10"/>
      <c r="J2670" s="10">
        <v>2</v>
      </c>
      <c r="K2670" s="10">
        <v>2411.59</v>
      </c>
    </row>
    <row r="2671" spans="1:11" x14ac:dyDescent="0.25">
      <c r="A2671" s="8" t="s">
        <v>4272</v>
      </c>
      <c r="B2671" s="8" t="s">
        <v>118</v>
      </c>
      <c r="C2671" s="8" t="s">
        <v>4267</v>
      </c>
      <c r="D2671" s="8">
        <v>3</v>
      </c>
      <c r="E2671" s="8" t="s">
        <v>4268</v>
      </c>
      <c r="F2671" s="8" t="s">
        <v>911</v>
      </c>
      <c r="G2671" s="8" t="s">
        <v>4269</v>
      </c>
      <c r="H2671" s="10">
        <v>4</v>
      </c>
      <c r="I2671" s="10"/>
      <c r="J2671" s="10">
        <v>4</v>
      </c>
      <c r="K2671" s="10">
        <v>2411.59</v>
      </c>
    </row>
    <row r="2672" spans="1:11" x14ac:dyDescent="0.25">
      <c r="A2672" s="8" t="s">
        <v>4273</v>
      </c>
      <c r="B2672" s="8" t="s">
        <v>120</v>
      </c>
      <c r="C2672" s="8" t="s">
        <v>4267</v>
      </c>
      <c r="D2672" s="8">
        <v>3</v>
      </c>
      <c r="E2672" s="8" t="s">
        <v>4268</v>
      </c>
      <c r="F2672" s="8" t="s">
        <v>911</v>
      </c>
      <c r="G2672" s="8" t="s">
        <v>4269</v>
      </c>
      <c r="H2672" s="10">
        <v>30</v>
      </c>
      <c r="I2672" s="10"/>
      <c r="J2672" s="10">
        <v>30</v>
      </c>
      <c r="K2672" s="10">
        <v>2411.59</v>
      </c>
    </row>
    <row r="2673" spans="1:11" x14ac:dyDescent="0.25">
      <c r="A2673" s="8" t="s">
        <v>4274</v>
      </c>
      <c r="B2673" s="8" t="s">
        <v>122</v>
      </c>
      <c r="C2673" s="8" t="s">
        <v>4267</v>
      </c>
      <c r="D2673" s="8">
        <v>3</v>
      </c>
      <c r="E2673" s="8" t="s">
        <v>4268</v>
      </c>
      <c r="F2673" s="8" t="s">
        <v>911</v>
      </c>
      <c r="G2673" s="8" t="s">
        <v>4269</v>
      </c>
      <c r="H2673" s="10">
        <v>30</v>
      </c>
      <c r="I2673" s="10"/>
      <c r="J2673" s="10">
        <v>30</v>
      </c>
      <c r="K2673" s="10">
        <v>2411.59</v>
      </c>
    </row>
    <row r="2674" spans="1:11" x14ac:dyDescent="0.25">
      <c r="A2674" s="8" t="s">
        <v>4275</v>
      </c>
      <c r="B2674" s="8" t="s">
        <v>124</v>
      </c>
      <c r="C2674" s="8" t="s">
        <v>4267</v>
      </c>
      <c r="D2674" s="8">
        <v>3</v>
      </c>
      <c r="E2674" s="8" t="s">
        <v>4268</v>
      </c>
      <c r="F2674" s="8" t="s">
        <v>911</v>
      </c>
      <c r="G2674" s="8" t="s">
        <v>4269</v>
      </c>
      <c r="H2674" s="10">
        <v>35</v>
      </c>
      <c r="I2674" s="10"/>
      <c r="J2674" s="10">
        <v>35</v>
      </c>
      <c r="K2674" s="10">
        <v>2411.59</v>
      </c>
    </row>
    <row r="2675" spans="1:11" x14ac:dyDescent="0.25">
      <c r="A2675" s="8" t="s">
        <v>4276</v>
      </c>
      <c r="B2675" s="8" t="s">
        <v>78</v>
      </c>
      <c r="C2675" s="8" t="s">
        <v>4267</v>
      </c>
      <c r="D2675" s="8">
        <v>3</v>
      </c>
      <c r="E2675" s="8" t="s">
        <v>4268</v>
      </c>
      <c r="F2675" s="8" t="s">
        <v>911</v>
      </c>
      <c r="G2675" s="8" t="s">
        <v>4269</v>
      </c>
      <c r="H2675" s="10">
        <v>10</v>
      </c>
      <c r="I2675" s="10"/>
      <c r="J2675" s="10">
        <v>10</v>
      </c>
      <c r="K2675" s="10">
        <v>2411.59</v>
      </c>
    </row>
    <row r="2676" spans="1:11" x14ac:dyDescent="0.25">
      <c r="A2676" s="8" t="s">
        <v>4277</v>
      </c>
      <c r="B2676" s="8" t="s">
        <v>128</v>
      </c>
      <c r="C2676" s="8" t="s">
        <v>4267</v>
      </c>
      <c r="D2676" s="8">
        <v>3</v>
      </c>
      <c r="E2676" s="8" t="s">
        <v>4268</v>
      </c>
      <c r="F2676" s="8" t="s">
        <v>911</v>
      </c>
      <c r="G2676" s="8" t="s">
        <v>4269</v>
      </c>
      <c r="H2676" s="10">
        <v>8</v>
      </c>
      <c r="I2676" s="10"/>
      <c r="J2676" s="10">
        <v>8</v>
      </c>
      <c r="K2676" s="10">
        <v>2411.59</v>
      </c>
    </row>
    <row r="2677" spans="1:11" x14ac:dyDescent="0.25">
      <c r="A2677" s="8" t="s">
        <v>4278</v>
      </c>
      <c r="B2677" s="8" t="s">
        <v>949</v>
      </c>
      <c r="C2677" s="8" t="s">
        <v>4267</v>
      </c>
      <c r="D2677" s="8">
        <v>3</v>
      </c>
      <c r="E2677" s="8" t="s">
        <v>4268</v>
      </c>
      <c r="F2677" s="8" t="s">
        <v>911</v>
      </c>
      <c r="G2677" s="8" t="s">
        <v>4269</v>
      </c>
      <c r="H2677" s="10">
        <v>1</v>
      </c>
      <c r="I2677" s="10"/>
      <c r="J2677" s="10">
        <v>1</v>
      </c>
      <c r="K2677" s="10">
        <v>3014.48</v>
      </c>
    </row>
    <row r="2678" spans="1:11" x14ac:dyDescent="0.25">
      <c r="A2678" s="8" t="s">
        <v>4279</v>
      </c>
      <c r="B2678" s="8" t="s">
        <v>130</v>
      </c>
      <c r="C2678" s="8" t="s">
        <v>4267</v>
      </c>
      <c r="D2678" s="8">
        <v>3</v>
      </c>
      <c r="E2678" s="8" t="s">
        <v>4268</v>
      </c>
      <c r="F2678" s="8" t="s">
        <v>911</v>
      </c>
      <c r="G2678" s="8" t="s">
        <v>4269</v>
      </c>
      <c r="H2678" s="10">
        <v>4</v>
      </c>
      <c r="I2678" s="10"/>
      <c r="J2678" s="10">
        <v>4</v>
      </c>
      <c r="K2678" s="10">
        <v>2411.59</v>
      </c>
    </row>
    <row r="2679" spans="1:11" x14ac:dyDescent="0.25">
      <c r="A2679" s="8" t="s">
        <v>4280</v>
      </c>
      <c r="B2679" s="8" t="s">
        <v>132</v>
      </c>
      <c r="C2679" s="8" t="s">
        <v>4267</v>
      </c>
      <c r="D2679" s="8">
        <v>3</v>
      </c>
      <c r="E2679" s="8" t="s">
        <v>4268</v>
      </c>
      <c r="F2679" s="8" t="s">
        <v>911</v>
      </c>
      <c r="G2679" s="8" t="s">
        <v>4269</v>
      </c>
      <c r="H2679" s="10">
        <v>5</v>
      </c>
      <c r="I2679" s="10"/>
      <c r="J2679" s="10">
        <v>5</v>
      </c>
      <c r="K2679" s="10">
        <v>2411.59</v>
      </c>
    </row>
    <row r="2680" spans="1:11" x14ac:dyDescent="0.25">
      <c r="A2680" s="8" t="s">
        <v>4281</v>
      </c>
      <c r="B2680" s="8" t="s">
        <v>134</v>
      </c>
      <c r="C2680" s="8" t="s">
        <v>4267</v>
      </c>
      <c r="D2680" s="8">
        <v>3</v>
      </c>
      <c r="E2680" s="8" t="s">
        <v>4268</v>
      </c>
      <c r="F2680" s="8" t="s">
        <v>911</v>
      </c>
      <c r="G2680" s="8" t="s">
        <v>4269</v>
      </c>
      <c r="H2680" s="10">
        <v>1</v>
      </c>
      <c r="I2680" s="10"/>
      <c r="J2680" s="10">
        <v>1</v>
      </c>
      <c r="K2680" s="10">
        <v>3014.48</v>
      </c>
    </row>
    <row r="2681" spans="1:11" x14ac:dyDescent="0.25">
      <c r="A2681" s="8" t="s">
        <v>4282</v>
      </c>
      <c r="B2681" s="8" t="s">
        <v>1689</v>
      </c>
      <c r="C2681" s="8" t="s">
        <v>4267</v>
      </c>
      <c r="D2681" s="8">
        <v>3</v>
      </c>
      <c r="E2681" s="8" t="s">
        <v>4268</v>
      </c>
      <c r="F2681" s="8" t="s">
        <v>911</v>
      </c>
      <c r="G2681" s="8" t="s">
        <v>4269</v>
      </c>
      <c r="H2681" s="10">
        <v>2</v>
      </c>
      <c r="I2681" s="10"/>
      <c r="J2681" s="10">
        <v>2</v>
      </c>
      <c r="K2681" s="10">
        <v>2411.59</v>
      </c>
    </row>
    <row r="2682" spans="1:11" x14ac:dyDescent="0.25">
      <c r="A2682" s="8" t="s">
        <v>4283</v>
      </c>
      <c r="B2682" s="8" t="s">
        <v>138</v>
      </c>
      <c r="C2682" s="8" t="s">
        <v>4267</v>
      </c>
      <c r="D2682" s="8">
        <v>3</v>
      </c>
      <c r="E2682" s="8" t="s">
        <v>4268</v>
      </c>
      <c r="F2682" s="8" t="s">
        <v>911</v>
      </c>
      <c r="G2682" s="8" t="s">
        <v>4269</v>
      </c>
      <c r="H2682" s="10">
        <v>3</v>
      </c>
      <c r="I2682" s="10"/>
      <c r="J2682" s="10">
        <v>3</v>
      </c>
      <c r="K2682" s="10">
        <v>2411.59</v>
      </c>
    </row>
    <row r="2683" spans="1:11" x14ac:dyDescent="0.25">
      <c r="A2683" s="8" t="s">
        <v>4284</v>
      </c>
      <c r="B2683" s="8" t="s">
        <v>116</v>
      </c>
      <c r="C2683" s="8" t="s">
        <v>4267</v>
      </c>
      <c r="D2683" s="8">
        <v>3</v>
      </c>
      <c r="E2683" s="8" t="s">
        <v>4285</v>
      </c>
      <c r="F2683" s="8" t="s">
        <v>911</v>
      </c>
      <c r="G2683" s="8" t="s">
        <v>4269</v>
      </c>
      <c r="H2683" s="10">
        <v>4</v>
      </c>
      <c r="I2683" s="10"/>
      <c r="J2683" s="10">
        <v>4</v>
      </c>
      <c r="K2683" s="10">
        <v>2562.31</v>
      </c>
    </row>
    <row r="2684" spans="1:11" x14ac:dyDescent="0.25">
      <c r="A2684" s="8" t="s">
        <v>4286</v>
      </c>
      <c r="B2684" s="8" t="s">
        <v>116</v>
      </c>
      <c r="C2684" s="8" t="s">
        <v>4267</v>
      </c>
      <c r="D2684" s="8">
        <v>3</v>
      </c>
      <c r="E2684" s="8" t="s">
        <v>4285</v>
      </c>
      <c r="F2684" s="8" t="s">
        <v>911</v>
      </c>
      <c r="G2684" s="8" t="s">
        <v>4269</v>
      </c>
      <c r="H2684" s="10">
        <v>1</v>
      </c>
      <c r="I2684" s="10"/>
      <c r="J2684" s="10">
        <v>1</v>
      </c>
      <c r="K2684" s="10">
        <v>3014.48</v>
      </c>
    </row>
    <row r="2685" spans="1:11" x14ac:dyDescent="0.25">
      <c r="A2685" s="8" t="s">
        <v>4287</v>
      </c>
      <c r="B2685" s="8" t="s">
        <v>116</v>
      </c>
      <c r="C2685" s="8" t="s">
        <v>4267</v>
      </c>
      <c r="D2685" s="8">
        <v>3</v>
      </c>
      <c r="E2685" s="8" t="s">
        <v>4285</v>
      </c>
      <c r="F2685" s="8" t="s">
        <v>911</v>
      </c>
      <c r="G2685" s="8" t="s">
        <v>4269</v>
      </c>
      <c r="H2685" s="10">
        <v>1</v>
      </c>
      <c r="I2685" s="10"/>
      <c r="J2685" s="10">
        <v>1</v>
      </c>
      <c r="K2685" s="10">
        <v>3014.48</v>
      </c>
    </row>
    <row r="2686" spans="1:11" x14ac:dyDescent="0.25">
      <c r="A2686" s="8" t="s">
        <v>4288</v>
      </c>
      <c r="B2686" s="8" t="s">
        <v>118</v>
      </c>
      <c r="C2686" s="8" t="s">
        <v>4267</v>
      </c>
      <c r="D2686" s="8">
        <v>3</v>
      </c>
      <c r="E2686" s="8" t="s">
        <v>4285</v>
      </c>
      <c r="F2686" s="8" t="s">
        <v>911</v>
      </c>
      <c r="G2686" s="8" t="s">
        <v>4269</v>
      </c>
      <c r="H2686" s="10">
        <v>2</v>
      </c>
      <c r="I2686" s="10"/>
      <c r="J2686" s="10">
        <v>2</v>
      </c>
      <c r="K2686" s="10">
        <v>2562.31</v>
      </c>
    </row>
    <row r="2687" spans="1:11" x14ac:dyDescent="0.25">
      <c r="A2687" s="8" t="s">
        <v>4289</v>
      </c>
      <c r="B2687" s="8" t="s">
        <v>120</v>
      </c>
      <c r="C2687" s="8" t="s">
        <v>4267</v>
      </c>
      <c r="D2687" s="8">
        <v>3</v>
      </c>
      <c r="E2687" s="8" t="s">
        <v>4285</v>
      </c>
      <c r="F2687" s="8" t="s">
        <v>911</v>
      </c>
      <c r="G2687" s="8" t="s">
        <v>4269</v>
      </c>
      <c r="H2687" s="10">
        <v>10</v>
      </c>
      <c r="I2687" s="10"/>
      <c r="J2687" s="10">
        <v>10</v>
      </c>
      <c r="K2687" s="10">
        <v>2562.31</v>
      </c>
    </row>
    <row r="2688" spans="1:11" x14ac:dyDescent="0.25">
      <c r="A2688" s="8" t="s">
        <v>4290</v>
      </c>
      <c r="B2688" s="8" t="s">
        <v>122</v>
      </c>
      <c r="C2688" s="8" t="s">
        <v>4267</v>
      </c>
      <c r="D2688" s="8">
        <v>3</v>
      </c>
      <c r="E2688" s="8" t="s">
        <v>4285</v>
      </c>
      <c r="F2688" s="8" t="s">
        <v>911</v>
      </c>
      <c r="G2688" s="8" t="s">
        <v>4269</v>
      </c>
      <c r="H2688" s="10">
        <v>5</v>
      </c>
      <c r="I2688" s="10"/>
      <c r="J2688" s="10">
        <v>5</v>
      </c>
      <c r="K2688" s="10">
        <v>2562.31</v>
      </c>
    </row>
    <row r="2689" spans="1:11" x14ac:dyDescent="0.25">
      <c r="A2689" s="8" t="s">
        <v>4291</v>
      </c>
      <c r="B2689" s="8" t="s">
        <v>124</v>
      </c>
      <c r="C2689" s="8" t="s">
        <v>4267</v>
      </c>
      <c r="D2689" s="8">
        <v>3</v>
      </c>
      <c r="E2689" s="8" t="s">
        <v>4285</v>
      </c>
      <c r="F2689" s="8" t="s">
        <v>911</v>
      </c>
      <c r="G2689" s="8" t="s">
        <v>4269</v>
      </c>
      <c r="H2689" s="10">
        <v>5</v>
      </c>
      <c r="I2689" s="10"/>
      <c r="J2689" s="10">
        <v>5</v>
      </c>
      <c r="K2689" s="10">
        <v>2562.31</v>
      </c>
    </row>
    <row r="2690" spans="1:11" x14ac:dyDescent="0.25">
      <c r="A2690" s="8" t="s">
        <v>4292</v>
      </c>
      <c r="B2690" s="8" t="s">
        <v>78</v>
      </c>
      <c r="C2690" s="8" t="s">
        <v>4267</v>
      </c>
      <c r="D2690" s="8">
        <v>3</v>
      </c>
      <c r="E2690" s="8" t="s">
        <v>4285</v>
      </c>
      <c r="F2690" s="8" t="s">
        <v>911</v>
      </c>
      <c r="G2690" s="8" t="s">
        <v>4269</v>
      </c>
      <c r="H2690" s="10">
        <v>3</v>
      </c>
      <c r="I2690" s="10"/>
      <c r="J2690" s="10">
        <v>3</v>
      </c>
      <c r="K2690" s="10">
        <v>2562.31</v>
      </c>
    </row>
    <row r="2691" spans="1:11" x14ac:dyDescent="0.25">
      <c r="A2691" s="8" t="s">
        <v>4293</v>
      </c>
      <c r="B2691" s="8" t="s">
        <v>132</v>
      </c>
      <c r="C2691" s="8" t="s">
        <v>4267</v>
      </c>
      <c r="D2691" s="8">
        <v>3</v>
      </c>
      <c r="E2691" s="8" t="s">
        <v>4285</v>
      </c>
      <c r="F2691" s="8" t="s">
        <v>911</v>
      </c>
      <c r="G2691" s="8" t="s">
        <v>4269</v>
      </c>
      <c r="H2691" s="10">
        <v>2</v>
      </c>
      <c r="I2691" s="10"/>
      <c r="J2691" s="10">
        <v>2</v>
      </c>
      <c r="K2691" s="10">
        <v>2562.31</v>
      </c>
    </row>
    <row r="2692" spans="1:11" x14ac:dyDescent="0.25">
      <c r="A2692" s="8" t="s">
        <v>4294</v>
      </c>
      <c r="B2692" s="8" t="s">
        <v>134</v>
      </c>
      <c r="C2692" s="8" t="s">
        <v>4267</v>
      </c>
      <c r="D2692" s="8">
        <v>3</v>
      </c>
      <c r="E2692" s="8" t="s">
        <v>4285</v>
      </c>
      <c r="F2692" s="8" t="s">
        <v>911</v>
      </c>
      <c r="G2692" s="8" t="s">
        <v>4269</v>
      </c>
      <c r="H2692" s="10">
        <v>1</v>
      </c>
      <c r="I2692" s="10"/>
      <c r="J2692" s="10">
        <v>1</v>
      </c>
      <c r="K2692" s="10">
        <v>366.24</v>
      </c>
    </row>
    <row r="2693" spans="1:11" x14ac:dyDescent="0.25">
      <c r="A2693" s="8" t="s">
        <v>4295</v>
      </c>
      <c r="B2693" s="8" t="s">
        <v>116</v>
      </c>
      <c r="C2693" s="8" t="s">
        <v>4267</v>
      </c>
      <c r="D2693" s="8">
        <v>3</v>
      </c>
      <c r="E2693" s="8" t="s">
        <v>4296</v>
      </c>
      <c r="F2693" s="8" t="s">
        <v>460</v>
      </c>
      <c r="G2693" s="8" t="s">
        <v>4269</v>
      </c>
      <c r="H2693" s="10">
        <v>1</v>
      </c>
      <c r="I2693" s="10"/>
      <c r="J2693" s="10">
        <v>1</v>
      </c>
      <c r="K2693" s="10">
        <v>366.24</v>
      </c>
    </row>
    <row r="2694" spans="1:11" x14ac:dyDescent="0.25">
      <c r="A2694" s="8" t="s">
        <v>4297</v>
      </c>
      <c r="B2694" s="8" t="s">
        <v>118</v>
      </c>
      <c r="C2694" s="8" t="s">
        <v>4267</v>
      </c>
      <c r="D2694" s="8">
        <v>3</v>
      </c>
      <c r="E2694" s="8" t="s">
        <v>4296</v>
      </c>
      <c r="F2694" s="8" t="s">
        <v>460</v>
      </c>
      <c r="G2694" s="8" t="s">
        <v>4269</v>
      </c>
      <c r="H2694" s="10">
        <v>2</v>
      </c>
      <c r="I2694" s="10"/>
      <c r="J2694" s="10">
        <v>2</v>
      </c>
      <c r="K2694" s="10">
        <v>366.24</v>
      </c>
    </row>
    <row r="2695" spans="1:11" x14ac:dyDescent="0.25">
      <c r="A2695" s="8" t="s">
        <v>4298</v>
      </c>
      <c r="B2695" s="8" t="s">
        <v>120</v>
      </c>
      <c r="C2695" s="8" t="s">
        <v>4267</v>
      </c>
      <c r="D2695" s="8">
        <v>3</v>
      </c>
      <c r="E2695" s="8" t="s">
        <v>4296</v>
      </c>
      <c r="F2695" s="8" t="s">
        <v>460</v>
      </c>
      <c r="G2695" s="8" t="s">
        <v>4269</v>
      </c>
      <c r="H2695" s="10">
        <v>5</v>
      </c>
      <c r="I2695" s="10"/>
      <c r="J2695" s="10">
        <v>5</v>
      </c>
      <c r="K2695" s="10">
        <v>366.24</v>
      </c>
    </row>
    <row r="2696" spans="1:11" x14ac:dyDescent="0.25">
      <c r="A2696" s="8" t="s">
        <v>4299</v>
      </c>
      <c r="B2696" s="8" t="s">
        <v>122</v>
      </c>
      <c r="C2696" s="8" t="s">
        <v>4267</v>
      </c>
      <c r="D2696" s="8">
        <v>3</v>
      </c>
      <c r="E2696" s="8" t="s">
        <v>4296</v>
      </c>
      <c r="F2696" s="8" t="s">
        <v>460</v>
      </c>
      <c r="G2696" s="8" t="s">
        <v>4269</v>
      </c>
      <c r="H2696" s="10">
        <v>5</v>
      </c>
      <c r="I2696" s="10"/>
      <c r="J2696" s="10">
        <v>5</v>
      </c>
      <c r="K2696" s="10">
        <v>366.24</v>
      </c>
    </row>
    <row r="2697" spans="1:11" x14ac:dyDescent="0.25">
      <c r="A2697" s="8" t="s">
        <v>4300</v>
      </c>
      <c r="B2697" s="8" t="s">
        <v>124</v>
      </c>
      <c r="C2697" s="8" t="s">
        <v>4267</v>
      </c>
      <c r="D2697" s="8">
        <v>3</v>
      </c>
      <c r="E2697" s="8" t="s">
        <v>4296</v>
      </c>
      <c r="F2697" s="8" t="s">
        <v>460</v>
      </c>
      <c r="G2697" s="8" t="s">
        <v>4269</v>
      </c>
      <c r="H2697" s="10">
        <v>5</v>
      </c>
      <c r="I2697" s="10"/>
      <c r="J2697" s="10">
        <v>5</v>
      </c>
      <c r="K2697" s="10">
        <v>366.24</v>
      </c>
    </row>
    <row r="2698" spans="1:11" x14ac:dyDescent="0.25">
      <c r="A2698" s="8" t="s">
        <v>4301</v>
      </c>
      <c r="B2698" s="8" t="s">
        <v>78</v>
      </c>
      <c r="C2698" s="8" t="s">
        <v>4267</v>
      </c>
      <c r="D2698" s="8">
        <v>3</v>
      </c>
      <c r="E2698" s="8" t="s">
        <v>4296</v>
      </c>
      <c r="F2698" s="8" t="s">
        <v>460</v>
      </c>
      <c r="G2698" s="8" t="s">
        <v>4269</v>
      </c>
      <c r="H2698" s="10">
        <v>2</v>
      </c>
      <c r="I2698" s="10"/>
      <c r="J2698" s="10">
        <v>2</v>
      </c>
      <c r="K2698" s="10">
        <v>366.24</v>
      </c>
    </row>
    <row r="2699" spans="1:11" x14ac:dyDescent="0.25">
      <c r="A2699" s="8" t="s">
        <v>4302</v>
      </c>
      <c r="B2699" s="8" t="s">
        <v>128</v>
      </c>
      <c r="C2699" s="8" t="s">
        <v>4267</v>
      </c>
      <c r="D2699" s="8">
        <v>3</v>
      </c>
      <c r="E2699" s="8" t="s">
        <v>4296</v>
      </c>
      <c r="F2699" s="8" t="s">
        <v>460</v>
      </c>
      <c r="G2699" s="8" t="s">
        <v>4269</v>
      </c>
      <c r="H2699" s="10">
        <v>1</v>
      </c>
      <c r="I2699" s="10"/>
      <c r="J2699" s="10">
        <v>1</v>
      </c>
      <c r="K2699" s="10">
        <v>366.24</v>
      </c>
    </row>
    <row r="2700" spans="1:11" x14ac:dyDescent="0.25">
      <c r="A2700" s="8" t="s">
        <v>4303</v>
      </c>
      <c r="B2700" s="8" t="s">
        <v>132</v>
      </c>
      <c r="C2700" s="8" t="s">
        <v>4267</v>
      </c>
      <c r="D2700" s="8">
        <v>3</v>
      </c>
      <c r="E2700" s="8" t="s">
        <v>4296</v>
      </c>
      <c r="F2700" s="8" t="s">
        <v>460</v>
      </c>
      <c r="G2700" s="8" t="s">
        <v>4269</v>
      </c>
      <c r="H2700" s="10">
        <v>1</v>
      </c>
      <c r="I2700" s="10"/>
      <c r="J2700" s="10">
        <v>1</v>
      </c>
      <c r="K2700" s="10">
        <v>366.24</v>
      </c>
    </row>
    <row r="2701" spans="1:11" x14ac:dyDescent="0.25">
      <c r="A2701" s="8" t="s">
        <v>4304</v>
      </c>
      <c r="B2701" s="8" t="s">
        <v>134</v>
      </c>
      <c r="C2701" s="8" t="s">
        <v>4267</v>
      </c>
      <c r="D2701" s="8">
        <v>3</v>
      </c>
      <c r="E2701" s="8" t="s">
        <v>4296</v>
      </c>
      <c r="F2701" s="8" t="s">
        <v>460</v>
      </c>
      <c r="G2701" s="8" t="s">
        <v>4269</v>
      </c>
      <c r="H2701" s="10">
        <v>1</v>
      </c>
      <c r="I2701" s="10"/>
      <c r="J2701" s="10">
        <v>1</v>
      </c>
      <c r="K2701" s="10">
        <v>366.24</v>
      </c>
    </row>
    <row r="2702" spans="1:11" x14ac:dyDescent="0.25">
      <c r="A2702" s="8" t="s">
        <v>4305</v>
      </c>
      <c r="B2702" s="8" t="s">
        <v>136</v>
      </c>
      <c r="C2702" s="8" t="s">
        <v>4267</v>
      </c>
      <c r="D2702" s="8">
        <v>3</v>
      </c>
      <c r="E2702" s="8" t="s">
        <v>4296</v>
      </c>
      <c r="F2702" s="8" t="s">
        <v>460</v>
      </c>
      <c r="G2702" s="8" t="s">
        <v>4269</v>
      </c>
      <c r="H2702" s="10">
        <v>1</v>
      </c>
      <c r="I2702" s="10"/>
      <c r="J2702" s="10">
        <v>1</v>
      </c>
      <c r="K2702" s="10">
        <v>366.24</v>
      </c>
    </row>
    <row r="2703" spans="1:11" x14ac:dyDescent="0.25">
      <c r="A2703" s="8" t="s">
        <v>4306</v>
      </c>
      <c r="B2703" s="8" t="s">
        <v>1689</v>
      </c>
      <c r="C2703" s="8" t="s">
        <v>4267</v>
      </c>
      <c r="D2703" s="8">
        <v>3</v>
      </c>
      <c r="E2703" s="8" t="s">
        <v>4296</v>
      </c>
      <c r="F2703" s="8" t="s">
        <v>460</v>
      </c>
      <c r="G2703" s="8" t="s">
        <v>4269</v>
      </c>
      <c r="H2703" s="10">
        <v>1</v>
      </c>
      <c r="I2703" s="10"/>
      <c r="J2703" s="10">
        <v>1</v>
      </c>
      <c r="K2703" s="10">
        <v>366.24</v>
      </c>
    </row>
    <row r="2704" spans="1:11" x14ac:dyDescent="0.25">
      <c r="A2704" s="8" t="s">
        <v>4307</v>
      </c>
      <c r="B2704" s="8" t="s">
        <v>80</v>
      </c>
      <c r="C2704" s="8" t="s">
        <v>4267</v>
      </c>
      <c r="D2704" s="8">
        <v>3</v>
      </c>
      <c r="E2704" s="8" t="s">
        <v>4296</v>
      </c>
      <c r="F2704" s="8" t="s">
        <v>460</v>
      </c>
      <c r="G2704" s="8" t="s">
        <v>4269</v>
      </c>
      <c r="H2704" s="10">
        <v>1</v>
      </c>
      <c r="I2704" s="10"/>
      <c r="J2704" s="10">
        <v>1</v>
      </c>
      <c r="K2704" s="10">
        <v>366.24</v>
      </c>
    </row>
    <row r="2705" spans="1:11" x14ac:dyDescent="0.25">
      <c r="A2705" s="8" t="s">
        <v>4308</v>
      </c>
      <c r="B2705" s="8" t="s">
        <v>116</v>
      </c>
      <c r="C2705" s="8" t="s">
        <v>4267</v>
      </c>
      <c r="D2705" s="8">
        <v>3</v>
      </c>
      <c r="E2705" s="8" t="s">
        <v>4309</v>
      </c>
      <c r="F2705" s="8" t="s">
        <v>460</v>
      </c>
      <c r="G2705" s="8" t="s">
        <v>4269</v>
      </c>
      <c r="H2705" s="10">
        <v>5</v>
      </c>
      <c r="I2705" s="10"/>
      <c r="J2705" s="10">
        <v>5</v>
      </c>
      <c r="K2705" s="10">
        <v>366.24</v>
      </c>
    </row>
    <row r="2706" spans="1:11" x14ac:dyDescent="0.25">
      <c r="A2706" s="8" t="s">
        <v>4310</v>
      </c>
      <c r="B2706" s="8" t="s">
        <v>118</v>
      </c>
      <c r="C2706" s="8" t="s">
        <v>4267</v>
      </c>
      <c r="D2706" s="8">
        <v>3</v>
      </c>
      <c r="E2706" s="8" t="s">
        <v>4309</v>
      </c>
      <c r="F2706" s="8" t="s">
        <v>460</v>
      </c>
      <c r="G2706" s="8" t="s">
        <v>4269</v>
      </c>
      <c r="H2706" s="10">
        <v>5</v>
      </c>
      <c r="I2706" s="10"/>
      <c r="J2706" s="10">
        <v>5</v>
      </c>
      <c r="K2706" s="10">
        <v>366.24</v>
      </c>
    </row>
    <row r="2707" spans="1:11" x14ac:dyDescent="0.25">
      <c r="A2707" s="8" t="s">
        <v>4311</v>
      </c>
      <c r="B2707" s="8" t="s">
        <v>120</v>
      </c>
      <c r="C2707" s="8" t="s">
        <v>4267</v>
      </c>
      <c r="D2707" s="8">
        <v>3</v>
      </c>
      <c r="E2707" s="8" t="s">
        <v>4309</v>
      </c>
      <c r="F2707" s="8" t="s">
        <v>460</v>
      </c>
      <c r="G2707" s="8" t="s">
        <v>4269</v>
      </c>
      <c r="H2707" s="10">
        <v>10</v>
      </c>
      <c r="I2707" s="10"/>
      <c r="J2707" s="10">
        <v>10</v>
      </c>
      <c r="K2707" s="10">
        <v>366.24</v>
      </c>
    </row>
    <row r="2708" spans="1:11" x14ac:dyDescent="0.25">
      <c r="A2708" s="8" t="s">
        <v>4312</v>
      </c>
      <c r="B2708" s="8" t="s">
        <v>122</v>
      </c>
      <c r="C2708" s="8" t="s">
        <v>4267</v>
      </c>
      <c r="D2708" s="8">
        <v>3</v>
      </c>
      <c r="E2708" s="8" t="s">
        <v>4309</v>
      </c>
      <c r="F2708" s="8" t="s">
        <v>460</v>
      </c>
      <c r="G2708" s="8" t="s">
        <v>4269</v>
      </c>
      <c r="H2708" s="10">
        <v>5</v>
      </c>
      <c r="I2708" s="10"/>
      <c r="J2708" s="10">
        <v>5</v>
      </c>
      <c r="K2708" s="10">
        <v>366.24</v>
      </c>
    </row>
    <row r="2709" spans="1:11" x14ac:dyDescent="0.25">
      <c r="A2709" s="8" t="s">
        <v>4313</v>
      </c>
      <c r="B2709" s="8" t="s">
        <v>124</v>
      </c>
      <c r="C2709" s="8" t="s">
        <v>4267</v>
      </c>
      <c r="D2709" s="8">
        <v>3</v>
      </c>
      <c r="E2709" s="8" t="s">
        <v>4309</v>
      </c>
      <c r="F2709" s="8" t="s">
        <v>460</v>
      </c>
      <c r="G2709" s="8" t="s">
        <v>4269</v>
      </c>
      <c r="H2709" s="10">
        <v>5</v>
      </c>
      <c r="I2709" s="10"/>
      <c r="J2709" s="10">
        <v>5</v>
      </c>
      <c r="K2709" s="10">
        <v>366.24</v>
      </c>
    </row>
    <row r="2710" spans="1:11" x14ac:dyDescent="0.25">
      <c r="A2710" s="8" t="s">
        <v>4314</v>
      </c>
      <c r="B2710" s="8" t="s">
        <v>78</v>
      </c>
      <c r="C2710" s="8" t="s">
        <v>4267</v>
      </c>
      <c r="D2710" s="8">
        <v>3</v>
      </c>
      <c r="E2710" s="8" t="s">
        <v>4309</v>
      </c>
      <c r="F2710" s="8" t="s">
        <v>460</v>
      </c>
      <c r="G2710" s="8" t="s">
        <v>4269</v>
      </c>
      <c r="H2710" s="10">
        <v>5</v>
      </c>
      <c r="I2710" s="10"/>
      <c r="J2710" s="10">
        <v>5</v>
      </c>
      <c r="K2710" s="10">
        <v>366.24</v>
      </c>
    </row>
    <row r="2711" spans="1:11" x14ac:dyDescent="0.25">
      <c r="A2711" s="8" t="s">
        <v>4315</v>
      </c>
      <c r="B2711" s="8" t="s">
        <v>128</v>
      </c>
      <c r="C2711" s="8" t="s">
        <v>4267</v>
      </c>
      <c r="D2711" s="8">
        <v>3</v>
      </c>
      <c r="E2711" s="8" t="s">
        <v>4309</v>
      </c>
      <c r="F2711" s="8" t="s">
        <v>460</v>
      </c>
      <c r="G2711" s="8" t="s">
        <v>4269</v>
      </c>
      <c r="H2711" s="10">
        <v>5</v>
      </c>
      <c r="I2711" s="10"/>
      <c r="J2711" s="10">
        <v>5</v>
      </c>
      <c r="K2711" s="10">
        <v>366.24</v>
      </c>
    </row>
    <row r="2712" spans="1:11" x14ac:dyDescent="0.25">
      <c r="A2712" s="8" t="s">
        <v>4316</v>
      </c>
      <c r="B2712" s="8" t="s">
        <v>949</v>
      </c>
      <c r="C2712" s="8" t="s">
        <v>4267</v>
      </c>
      <c r="D2712" s="8">
        <v>3</v>
      </c>
      <c r="E2712" s="8" t="s">
        <v>4309</v>
      </c>
      <c r="F2712" s="8" t="s">
        <v>460</v>
      </c>
      <c r="G2712" s="8" t="s">
        <v>4269</v>
      </c>
      <c r="H2712" s="10">
        <v>1</v>
      </c>
      <c r="I2712" s="10"/>
      <c r="J2712" s="10">
        <v>1</v>
      </c>
      <c r="K2712" s="10">
        <v>366.24</v>
      </c>
    </row>
    <row r="2713" spans="1:11" x14ac:dyDescent="0.25">
      <c r="A2713" s="8" t="s">
        <v>4317</v>
      </c>
      <c r="B2713" s="8" t="s">
        <v>130</v>
      </c>
      <c r="C2713" s="8" t="s">
        <v>4267</v>
      </c>
      <c r="D2713" s="8">
        <v>3</v>
      </c>
      <c r="E2713" s="8" t="s">
        <v>4309</v>
      </c>
      <c r="F2713" s="8" t="s">
        <v>460</v>
      </c>
      <c r="G2713" s="8" t="s">
        <v>4269</v>
      </c>
      <c r="H2713" s="10">
        <v>2</v>
      </c>
      <c r="I2713" s="10"/>
      <c r="J2713" s="10">
        <v>2</v>
      </c>
      <c r="K2713" s="10">
        <v>366.24</v>
      </c>
    </row>
    <row r="2714" spans="1:11" x14ac:dyDescent="0.25">
      <c r="A2714" s="8" t="s">
        <v>4318</v>
      </c>
      <c r="B2714" s="8" t="s">
        <v>132</v>
      </c>
      <c r="C2714" s="8" t="s">
        <v>4267</v>
      </c>
      <c r="D2714" s="8">
        <v>3</v>
      </c>
      <c r="E2714" s="8" t="s">
        <v>4309</v>
      </c>
      <c r="F2714" s="8" t="s">
        <v>460</v>
      </c>
      <c r="G2714" s="8" t="s">
        <v>4269</v>
      </c>
      <c r="H2714" s="10">
        <v>2</v>
      </c>
      <c r="I2714" s="10"/>
      <c r="J2714" s="10">
        <v>2</v>
      </c>
      <c r="K2714" s="10">
        <v>366.24</v>
      </c>
    </row>
    <row r="2715" spans="1:11" x14ac:dyDescent="0.25">
      <c r="A2715" s="8" t="s">
        <v>4319</v>
      </c>
      <c r="B2715" s="8" t="s">
        <v>134</v>
      </c>
      <c r="C2715" s="8" t="s">
        <v>4267</v>
      </c>
      <c r="D2715" s="8">
        <v>3</v>
      </c>
      <c r="E2715" s="8" t="s">
        <v>4309</v>
      </c>
      <c r="F2715" s="8" t="s">
        <v>460</v>
      </c>
      <c r="G2715" s="8" t="s">
        <v>4269</v>
      </c>
      <c r="H2715" s="10">
        <v>5</v>
      </c>
      <c r="I2715" s="10"/>
      <c r="J2715" s="10">
        <v>5</v>
      </c>
      <c r="K2715" s="10">
        <v>366.24</v>
      </c>
    </row>
    <row r="2716" spans="1:11" x14ac:dyDescent="0.25">
      <c r="A2716" s="8" t="s">
        <v>4320</v>
      </c>
      <c r="B2716" s="8" t="s">
        <v>136</v>
      </c>
      <c r="C2716" s="8" t="s">
        <v>4267</v>
      </c>
      <c r="D2716" s="8">
        <v>3</v>
      </c>
      <c r="E2716" s="8" t="s">
        <v>4309</v>
      </c>
      <c r="F2716" s="8" t="s">
        <v>460</v>
      </c>
      <c r="G2716" s="8" t="s">
        <v>4269</v>
      </c>
      <c r="H2716" s="10">
        <v>5</v>
      </c>
      <c r="I2716" s="10"/>
      <c r="J2716" s="10">
        <v>5</v>
      </c>
      <c r="K2716" s="10">
        <v>366.24</v>
      </c>
    </row>
    <row r="2717" spans="1:11" x14ac:dyDescent="0.25">
      <c r="A2717" s="8" t="s">
        <v>4321</v>
      </c>
      <c r="B2717" s="8" t="s">
        <v>138</v>
      </c>
      <c r="C2717" s="8" t="s">
        <v>4267</v>
      </c>
      <c r="D2717" s="8">
        <v>3</v>
      </c>
      <c r="E2717" s="8" t="s">
        <v>4309</v>
      </c>
      <c r="F2717" s="8" t="s">
        <v>460</v>
      </c>
      <c r="G2717" s="8" t="s">
        <v>4269</v>
      </c>
      <c r="H2717" s="10">
        <v>2</v>
      </c>
      <c r="I2717" s="10"/>
      <c r="J2717" s="10">
        <v>2</v>
      </c>
      <c r="K2717" s="10">
        <v>366.24</v>
      </c>
    </row>
    <row r="2718" spans="1:11" x14ac:dyDescent="0.25">
      <c r="A2718" s="8" t="s">
        <v>4322</v>
      </c>
      <c r="B2718" s="8" t="s">
        <v>116</v>
      </c>
      <c r="C2718" s="8" t="s">
        <v>4267</v>
      </c>
      <c r="D2718" s="8">
        <v>3</v>
      </c>
      <c r="E2718" s="8" t="s">
        <v>4323</v>
      </c>
      <c r="F2718" s="8" t="s">
        <v>460</v>
      </c>
      <c r="G2718" s="8" t="s">
        <v>4269</v>
      </c>
      <c r="H2718" s="10">
        <v>5</v>
      </c>
      <c r="I2718" s="10"/>
      <c r="J2718" s="10">
        <v>5</v>
      </c>
      <c r="K2718" s="10">
        <v>366.24</v>
      </c>
    </row>
    <row r="2719" spans="1:11" x14ac:dyDescent="0.25">
      <c r="A2719" s="8" t="s">
        <v>4324</v>
      </c>
      <c r="B2719" s="8" t="s">
        <v>118</v>
      </c>
      <c r="C2719" s="8" t="s">
        <v>4267</v>
      </c>
      <c r="D2719" s="8">
        <v>3</v>
      </c>
      <c r="E2719" s="8" t="s">
        <v>4323</v>
      </c>
      <c r="F2719" s="8" t="s">
        <v>460</v>
      </c>
      <c r="G2719" s="8" t="s">
        <v>4269</v>
      </c>
      <c r="H2719" s="10">
        <v>5</v>
      </c>
      <c r="I2719" s="10"/>
      <c r="J2719" s="10">
        <v>5</v>
      </c>
      <c r="K2719" s="10">
        <v>366.24</v>
      </c>
    </row>
    <row r="2720" spans="1:11" x14ac:dyDescent="0.25">
      <c r="A2720" s="8" t="s">
        <v>4325</v>
      </c>
      <c r="B2720" s="8" t="s">
        <v>120</v>
      </c>
      <c r="C2720" s="8" t="s">
        <v>4267</v>
      </c>
      <c r="D2720" s="8">
        <v>3</v>
      </c>
      <c r="E2720" s="8" t="s">
        <v>4323</v>
      </c>
      <c r="F2720" s="8" t="s">
        <v>460</v>
      </c>
      <c r="G2720" s="8" t="s">
        <v>4269</v>
      </c>
      <c r="H2720" s="10">
        <v>10</v>
      </c>
      <c r="I2720" s="10"/>
      <c r="J2720" s="10">
        <v>10</v>
      </c>
      <c r="K2720" s="10">
        <v>366.24</v>
      </c>
    </row>
    <row r="2721" spans="1:11" x14ac:dyDescent="0.25">
      <c r="A2721" s="8" t="s">
        <v>4326</v>
      </c>
      <c r="B2721" s="8" t="s">
        <v>122</v>
      </c>
      <c r="C2721" s="8" t="s">
        <v>4267</v>
      </c>
      <c r="D2721" s="8">
        <v>3</v>
      </c>
      <c r="E2721" s="8" t="s">
        <v>4323</v>
      </c>
      <c r="F2721" s="8" t="s">
        <v>460</v>
      </c>
      <c r="G2721" s="8" t="s">
        <v>4269</v>
      </c>
      <c r="H2721" s="10">
        <v>5</v>
      </c>
      <c r="I2721" s="10"/>
      <c r="J2721" s="10">
        <v>5</v>
      </c>
      <c r="K2721" s="10">
        <v>366.24</v>
      </c>
    </row>
    <row r="2722" spans="1:11" x14ac:dyDescent="0.25">
      <c r="A2722" s="8" t="s">
        <v>4327</v>
      </c>
      <c r="B2722" s="8" t="s">
        <v>124</v>
      </c>
      <c r="C2722" s="8" t="s">
        <v>4267</v>
      </c>
      <c r="D2722" s="8">
        <v>3</v>
      </c>
      <c r="E2722" s="8" t="s">
        <v>4323</v>
      </c>
      <c r="F2722" s="8" t="s">
        <v>460</v>
      </c>
      <c r="G2722" s="8" t="s">
        <v>4269</v>
      </c>
      <c r="H2722" s="10">
        <v>5</v>
      </c>
      <c r="I2722" s="10"/>
      <c r="J2722" s="10">
        <v>5</v>
      </c>
      <c r="K2722" s="10">
        <v>366.24</v>
      </c>
    </row>
    <row r="2723" spans="1:11" x14ac:dyDescent="0.25">
      <c r="A2723" s="8" t="s">
        <v>4328</v>
      </c>
      <c r="B2723" s="8" t="s">
        <v>78</v>
      </c>
      <c r="C2723" s="8" t="s">
        <v>4267</v>
      </c>
      <c r="D2723" s="8">
        <v>3</v>
      </c>
      <c r="E2723" s="8" t="s">
        <v>4323</v>
      </c>
      <c r="F2723" s="8" t="s">
        <v>460</v>
      </c>
      <c r="G2723" s="8" t="s">
        <v>4269</v>
      </c>
      <c r="H2723" s="10">
        <v>5</v>
      </c>
      <c r="I2723" s="10"/>
      <c r="J2723" s="10">
        <v>5</v>
      </c>
      <c r="K2723" s="10">
        <v>366.24</v>
      </c>
    </row>
    <row r="2724" spans="1:11" x14ac:dyDescent="0.25">
      <c r="A2724" s="8" t="s">
        <v>4329</v>
      </c>
      <c r="B2724" s="8" t="s">
        <v>128</v>
      </c>
      <c r="C2724" s="8" t="s">
        <v>4267</v>
      </c>
      <c r="D2724" s="8">
        <v>3</v>
      </c>
      <c r="E2724" s="8" t="s">
        <v>4323</v>
      </c>
      <c r="F2724" s="8" t="s">
        <v>460</v>
      </c>
      <c r="G2724" s="8" t="s">
        <v>4269</v>
      </c>
      <c r="H2724" s="10">
        <v>5</v>
      </c>
      <c r="I2724" s="10"/>
      <c r="J2724" s="10">
        <v>5</v>
      </c>
      <c r="K2724" s="10">
        <v>366.24</v>
      </c>
    </row>
    <row r="2725" spans="1:11" x14ac:dyDescent="0.25">
      <c r="A2725" s="8" t="s">
        <v>4330</v>
      </c>
      <c r="B2725" s="8" t="s">
        <v>949</v>
      </c>
      <c r="C2725" s="8" t="s">
        <v>4267</v>
      </c>
      <c r="D2725" s="8">
        <v>3</v>
      </c>
      <c r="E2725" s="8" t="s">
        <v>4323</v>
      </c>
      <c r="F2725" s="8" t="s">
        <v>460</v>
      </c>
      <c r="G2725" s="8" t="s">
        <v>4269</v>
      </c>
      <c r="H2725" s="10">
        <v>1</v>
      </c>
      <c r="I2725" s="10"/>
      <c r="J2725" s="10">
        <v>1</v>
      </c>
      <c r="K2725" s="10">
        <v>366.24</v>
      </c>
    </row>
    <row r="2726" spans="1:11" x14ac:dyDescent="0.25">
      <c r="A2726" s="8" t="s">
        <v>4331</v>
      </c>
      <c r="B2726" s="8" t="s">
        <v>130</v>
      </c>
      <c r="C2726" s="8" t="s">
        <v>4267</v>
      </c>
      <c r="D2726" s="8">
        <v>3</v>
      </c>
      <c r="E2726" s="8" t="s">
        <v>4323</v>
      </c>
      <c r="F2726" s="8" t="s">
        <v>460</v>
      </c>
      <c r="G2726" s="8" t="s">
        <v>4269</v>
      </c>
      <c r="H2726" s="10">
        <v>2</v>
      </c>
      <c r="I2726" s="10"/>
      <c r="J2726" s="10">
        <v>2</v>
      </c>
      <c r="K2726" s="10">
        <v>366.24</v>
      </c>
    </row>
    <row r="2727" spans="1:11" x14ac:dyDescent="0.25">
      <c r="A2727" s="8" t="s">
        <v>4332</v>
      </c>
      <c r="B2727" s="8" t="s">
        <v>132</v>
      </c>
      <c r="C2727" s="8" t="s">
        <v>4267</v>
      </c>
      <c r="D2727" s="8">
        <v>3</v>
      </c>
      <c r="E2727" s="8" t="s">
        <v>4323</v>
      </c>
      <c r="F2727" s="8" t="s">
        <v>460</v>
      </c>
      <c r="G2727" s="8" t="s">
        <v>4269</v>
      </c>
      <c r="H2727" s="10">
        <v>2</v>
      </c>
      <c r="I2727" s="10"/>
      <c r="J2727" s="10">
        <v>2</v>
      </c>
      <c r="K2727" s="10">
        <v>366.24</v>
      </c>
    </row>
    <row r="2728" spans="1:11" x14ac:dyDescent="0.25">
      <c r="A2728" s="8" t="s">
        <v>4333</v>
      </c>
      <c r="B2728" s="8" t="s">
        <v>134</v>
      </c>
      <c r="C2728" s="8" t="s">
        <v>4267</v>
      </c>
      <c r="D2728" s="8">
        <v>3</v>
      </c>
      <c r="E2728" s="8" t="s">
        <v>4323</v>
      </c>
      <c r="F2728" s="8" t="s">
        <v>460</v>
      </c>
      <c r="G2728" s="8" t="s">
        <v>4269</v>
      </c>
      <c r="H2728" s="10">
        <v>5</v>
      </c>
      <c r="I2728" s="10"/>
      <c r="J2728" s="10">
        <v>5</v>
      </c>
      <c r="K2728" s="10">
        <v>366.24</v>
      </c>
    </row>
    <row r="2729" spans="1:11" x14ac:dyDescent="0.25">
      <c r="A2729" s="8" t="s">
        <v>4334</v>
      </c>
      <c r="B2729" s="8" t="s">
        <v>136</v>
      </c>
      <c r="C2729" s="8" t="s">
        <v>4267</v>
      </c>
      <c r="D2729" s="8">
        <v>3</v>
      </c>
      <c r="E2729" s="8" t="s">
        <v>4323</v>
      </c>
      <c r="F2729" s="8" t="s">
        <v>460</v>
      </c>
      <c r="G2729" s="8" t="s">
        <v>4269</v>
      </c>
      <c r="H2729" s="10">
        <v>5</v>
      </c>
      <c r="I2729" s="10"/>
      <c r="J2729" s="10">
        <v>5</v>
      </c>
      <c r="K2729" s="10">
        <v>366.24</v>
      </c>
    </row>
    <row r="2730" spans="1:11" x14ac:dyDescent="0.25">
      <c r="A2730" s="8" t="s">
        <v>4335</v>
      </c>
      <c r="B2730" s="8" t="s">
        <v>138</v>
      </c>
      <c r="C2730" s="8" t="s">
        <v>4267</v>
      </c>
      <c r="D2730" s="8">
        <v>3</v>
      </c>
      <c r="E2730" s="8" t="s">
        <v>4323</v>
      </c>
      <c r="F2730" s="8" t="s">
        <v>460</v>
      </c>
      <c r="G2730" s="8" t="s">
        <v>4269</v>
      </c>
      <c r="H2730" s="10">
        <v>2</v>
      </c>
      <c r="I2730" s="10"/>
      <c r="J2730" s="10">
        <v>2</v>
      </c>
      <c r="K2730" s="10">
        <v>366.24</v>
      </c>
    </row>
    <row r="2731" spans="1:11" x14ac:dyDescent="0.25">
      <c r="A2731" s="8" t="s">
        <v>4336</v>
      </c>
      <c r="B2731" s="8" t="s">
        <v>1650</v>
      </c>
      <c r="C2731" s="8" t="s">
        <v>4337</v>
      </c>
      <c r="D2731" s="8">
        <v>1</v>
      </c>
      <c r="E2731" s="8" t="s">
        <v>4338</v>
      </c>
      <c r="F2731" s="8" t="s">
        <v>460</v>
      </c>
      <c r="G2731" s="8" t="s">
        <v>4339</v>
      </c>
      <c r="H2731" s="10">
        <v>36</v>
      </c>
      <c r="I2731" s="10"/>
      <c r="J2731" s="10">
        <v>36</v>
      </c>
      <c r="K2731" s="10">
        <v>518.35</v>
      </c>
    </row>
    <row r="2732" spans="1:11" x14ac:dyDescent="0.25">
      <c r="A2732" s="8" t="s">
        <v>4340</v>
      </c>
      <c r="B2732" s="8" t="s">
        <v>120</v>
      </c>
      <c r="C2732" s="8" t="s">
        <v>4337</v>
      </c>
      <c r="D2732" s="8">
        <v>1</v>
      </c>
      <c r="E2732" s="8" t="s">
        <v>4338</v>
      </c>
      <c r="F2732" s="8" t="s">
        <v>460</v>
      </c>
      <c r="G2732" s="8" t="s">
        <v>4339</v>
      </c>
      <c r="H2732" s="10">
        <v>180</v>
      </c>
      <c r="I2732" s="10"/>
      <c r="J2732" s="10">
        <v>180</v>
      </c>
      <c r="K2732" s="10">
        <v>518.35</v>
      </c>
    </row>
    <row r="2733" spans="1:11" x14ac:dyDescent="0.25">
      <c r="A2733" s="8" t="s">
        <v>4341</v>
      </c>
      <c r="B2733" s="8" t="s">
        <v>1655</v>
      </c>
      <c r="C2733" s="8" t="s">
        <v>4337</v>
      </c>
      <c r="D2733" s="8">
        <v>1</v>
      </c>
      <c r="E2733" s="8" t="s">
        <v>4342</v>
      </c>
      <c r="F2733" s="8" t="s">
        <v>460</v>
      </c>
      <c r="G2733" s="8" t="s">
        <v>4339</v>
      </c>
      <c r="H2733" s="10">
        <v>18</v>
      </c>
      <c r="I2733" s="10"/>
      <c r="J2733" s="10">
        <v>18</v>
      </c>
      <c r="K2733" s="10">
        <v>531.77</v>
      </c>
    </row>
    <row r="2734" spans="1:11" x14ac:dyDescent="0.25">
      <c r="A2734" s="8" t="s">
        <v>4343</v>
      </c>
      <c r="B2734" s="8" t="s">
        <v>1650</v>
      </c>
      <c r="C2734" s="8" t="s">
        <v>4337</v>
      </c>
      <c r="D2734" s="8">
        <v>1</v>
      </c>
      <c r="E2734" s="8" t="s">
        <v>4344</v>
      </c>
      <c r="F2734" s="8" t="s">
        <v>460</v>
      </c>
      <c r="G2734" s="8" t="s">
        <v>4339</v>
      </c>
      <c r="H2734" s="10">
        <v>72</v>
      </c>
      <c r="I2734" s="10"/>
      <c r="J2734" s="10">
        <v>72</v>
      </c>
      <c r="K2734" s="10">
        <v>600.42999999999995</v>
      </c>
    </row>
    <row r="2735" spans="1:11" x14ac:dyDescent="0.25">
      <c r="A2735" s="8" t="s">
        <v>4345</v>
      </c>
      <c r="B2735" s="8" t="s">
        <v>120</v>
      </c>
      <c r="C2735" s="8" t="s">
        <v>4337</v>
      </c>
      <c r="D2735" s="8">
        <v>1</v>
      </c>
      <c r="E2735" s="8" t="s">
        <v>4344</v>
      </c>
      <c r="F2735" s="8" t="s">
        <v>460</v>
      </c>
      <c r="G2735" s="8" t="s">
        <v>4339</v>
      </c>
      <c r="H2735" s="10">
        <v>48</v>
      </c>
      <c r="I2735" s="10"/>
      <c r="J2735" s="10">
        <v>48</v>
      </c>
      <c r="K2735" s="10">
        <v>600.42999999999995</v>
      </c>
    </row>
    <row r="2736" spans="1:11" x14ac:dyDescent="0.25">
      <c r="A2736" s="8" t="s">
        <v>4346</v>
      </c>
      <c r="B2736" s="8" t="s">
        <v>1650</v>
      </c>
      <c r="C2736" s="8" t="s">
        <v>4337</v>
      </c>
      <c r="D2736" s="8">
        <v>1</v>
      </c>
      <c r="E2736" s="8" t="s">
        <v>4347</v>
      </c>
      <c r="F2736" s="8" t="s">
        <v>460</v>
      </c>
      <c r="G2736" s="8" t="s">
        <v>4339</v>
      </c>
      <c r="H2736" s="10">
        <v>12</v>
      </c>
      <c r="I2736" s="10"/>
      <c r="J2736" s="10">
        <v>12</v>
      </c>
      <c r="K2736" s="10">
        <v>679.23</v>
      </c>
    </row>
    <row r="2737" spans="1:11" x14ac:dyDescent="0.25">
      <c r="A2737" s="8" t="s">
        <v>4348</v>
      </c>
      <c r="B2737" s="8" t="s">
        <v>1655</v>
      </c>
      <c r="C2737" s="8" t="s">
        <v>4337</v>
      </c>
      <c r="D2737" s="8">
        <v>1</v>
      </c>
      <c r="E2737" s="8" t="s">
        <v>4347</v>
      </c>
      <c r="F2737" s="8" t="s">
        <v>460</v>
      </c>
      <c r="G2737" s="8" t="s">
        <v>4339</v>
      </c>
      <c r="H2737" s="10">
        <v>12</v>
      </c>
      <c r="I2737" s="10"/>
      <c r="J2737" s="10">
        <v>12</v>
      </c>
      <c r="K2737" s="10">
        <v>679.23</v>
      </c>
    </row>
    <row r="2738" spans="1:11" x14ac:dyDescent="0.25">
      <c r="A2738" s="8" t="s">
        <v>4349</v>
      </c>
      <c r="B2738" s="8" t="s">
        <v>1650</v>
      </c>
      <c r="C2738" s="8" t="s">
        <v>4337</v>
      </c>
      <c r="D2738" s="8">
        <v>1</v>
      </c>
      <c r="E2738" s="8" t="s">
        <v>4350</v>
      </c>
      <c r="F2738" s="8" t="s">
        <v>460</v>
      </c>
      <c r="G2738" s="8" t="s">
        <v>4339</v>
      </c>
      <c r="H2738" s="10">
        <v>18</v>
      </c>
      <c r="I2738" s="10"/>
      <c r="J2738" s="10">
        <v>18</v>
      </c>
      <c r="K2738" s="10">
        <v>705.67</v>
      </c>
    </row>
    <row r="2739" spans="1:11" x14ac:dyDescent="0.25">
      <c r="A2739" s="8" t="s">
        <v>4351</v>
      </c>
      <c r="B2739" s="8" t="s">
        <v>120</v>
      </c>
      <c r="C2739" s="8" t="s">
        <v>4337</v>
      </c>
      <c r="D2739" s="8">
        <v>1</v>
      </c>
      <c r="E2739" s="8" t="s">
        <v>4352</v>
      </c>
      <c r="F2739" s="8" t="s">
        <v>460</v>
      </c>
      <c r="G2739" s="8" t="s">
        <v>4339</v>
      </c>
      <c r="H2739" s="10">
        <v>288</v>
      </c>
      <c r="I2739" s="10"/>
      <c r="J2739" s="10">
        <v>288</v>
      </c>
      <c r="K2739" s="10">
        <v>705.67</v>
      </c>
    </row>
    <row r="2740" spans="1:11" x14ac:dyDescent="0.25">
      <c r="A2740" s="8" t="s">
        <v>4353</v>
      </c>
      <c r="B2740" s="8" t="s">
        <v>120</v>
      </c>
      <c r="C2740" s="8" t="s">
        <v>4337</v>
      </c>
      <c r="D2740" s="8">
        <v>1</v>
      </c>
      <c r="E2740" s="8" t="s">
        <v>4354</v>
      </c>
      <c r="F2740" s="8" t="s">
        <v>460</v>
      </c>
      <c r="G2740" s="8" t="s">
        <v>4339</v>
      </c>
      <c r="H2740" s="10">
        <v>54</v>
      </c>
      <c r="I2740" s="10"/>
      <c r="J2740" s="10">
        <v>54</v>
      </c>
      <c r="K2740" s="10">
        <v>518.35</v>
      </c>
    </row>
    <row r="2741" spans="1:11" x14ac:dyDescent="0.25">
      <c r="A2741" s="8" t="s">
        <v>4355</v>
      </c>
      <c r="B2741" s="8" t="s">
        <v>1655</v>
      </c>
      <c r="C2741" s="8" t="s">
        <v>4337</v>
      </c>
      <c r="D2741" s="8">
        <v>1</v>
      </c>
      <c r="E2741" s="8" t="s">
        <v>4354</v>
      </c>
      <c r="F2741" s="8" t="s">
        <v>460</v>
      </c>
      <c r="G2741" s="8" t="s">
        <v>4339</v>
      </c>
      <c r="H2741" s="10">
        <v>18</v>
      </c>
      <c r="I2741" s="10"/>
      <c r="J2741" s="10">
        <v>18</v>
      </c>
      <c r="K2741" s="10">
        <v>518.35</v>
      </c>
    </row>
    <row r="2742" spans="1:11" x14ac:dyDescent="0.25">
      <c r="A2742" s="8" t="s">
        <v>4356</v>
      </c>
      <c r="B2742" s="8" t="s">
        <v>1650</v>
      </c>
      <c r="C2742" s="8" t="s">
        <v>4337</v>
      </c>
      <c r="D2742" s="8">
        <v>1</v>
      </c>
      <c r="E2742" s="8" t="s">
        <v>4357</v>
      </c>
      <c r="F2742" s="8" t="s">
        <v>460</v>
      </c>
      <c r="G2742" s="8" t="s">
        <v>4339</v>
      </c>
      <c r="H2742" s="10">
        <v>12</v>
      </c>
      <c r="I2742" s="10"/>
      <c r="J2742" s="10">
        <v>12</v>
      </c>
      <c r="K2742" s="10">
        <v>567.41</v>
      </c>
    </row>
    <row r="2743" spans="1:11" x14ac:dyDescent="0.25">
      <c r="A2743" s="8" t="s">
        <v>4358</v>
      </c>
      <c r="B2743" s="8" t="s">
        <v>1655</v>
      </c>
      <c r="C2743" s="8" t="s">
        <v>4337</v>
      </c>
      <c r="D2743" s="8">
        <v>1</v>
      </c>
      <c r="E2743" s="8" t="s">
        <v>4357</v>
      </c>
      <c r="F2743" s="8" t="s">
        <v>460</v>
      </c>
      <c r="G2743" s="8" t="s">
        <v>4339</v>
      </c>
      <c r="H2743" s="10">
        <v>6</v>
      </c>
      <c r="I2743" s="10"/>
      <c r="J2743" s="10">
        <v>6</v>
      </c>
      <c r="K2743" s="10">
        <v>567.41</v>
      </c>
    </row>
    <row r="2744" spans="1:11" x14ac:dyDescent="0.25">
      <c r="A2744" s="8" t="s">
        <v>4359</v>
      </c>
      <c r="B2744" s="8" t="s">
        <v>120</v>
      </c>
      <c r="C2744" s="8" t="s">
        <v>4337</v>
      </c>
      <c r="D2744" s="8">
        <v>1</v>
      </c>
      <c r="E2744" s="8" t="s">
        <v>4360</v>
      </c>
      <c r="F2744" s="8" t="s">
        <v>460</v>
      </c>
      <c r="G2744" s="8" t="s">
        <v>4339</v>
      </c>
      <c r="H2744" s="10">
        <v>12</v>
      </c>
      <c r="I2744" s="10"/>
      <c r="J2744" s="10">
        <v>12</v>
      </c>
      <c r="K2744" s="10">
        <v>600.42999999999995</v>
      </c>
    </row>
    <row r="2745" spans="1:11" x14ac:dyDescent="0.25">
      <c r="A2745" s="8" t="s">
        <v>4361</v>
      </c>
      <c r="B2745" s="8" t="s">
        <v>1650</v>
      </c>
      <c r="C2745" s="8" t="s">
        <v>4337</v>
      </c>
      <c r="D2745" s="8">
        <v>1</v>
      </c>
      <c r="E2745" s="8" t="s">
        <v>4362</v>
      </c>
      <c r="F2745" s="8" t="s">
        <v>460</v>
      </c>
      <c r="G2745" s="8" t="s">
        <v>4339</v>
      </c>
      <c r="H2745" s="10">
        <v>12</v>
      </c>
      <c r="I2745" s="10"/>
      <c r="J2745" s="10">
        <v>12</v>
      </c>
      <c r="K2745" s="10">
        <v>633.19000000000005</v>
      </c>
    </row>
    <row r="2746" spans="1:11" x14ac:dyDescent="0.25">
      <c r="A2746" s="8" t="s">
        <v>4363</v>
      </c>
      <c r="B2746" s="8" t="s">
        <v>1655</v>
      </c>
      <c r="C2746" s="8" t="s">
        <v>4337</v>
      </c>
      <c r="D2746" s="8">
        <v>1</v>
      </c>
      <c r="E2746" s="8" t="s">
        <v>4364</v>
      </c>
      <c r="F2746" s="8" t="s">
        <v>460</v>
      </c>
      <c r="G2746" s="8" t="s">
        <v>4339</v>
      </c>
      <c r="H2746" s="10">
        <v>6</v>
      </c>
      <c r="I2746" s="10"/>
      <c r="J2746" s="10">
        <v>6</v>
      </c>
      <c r="K2746" s="10">
        <v>663.44</v>
      </c>
    </row>
    <row r="2747" spans="1:11" x14ac:dyDescent="0.25">
      <c r="A2747" s="8" t="s">
        <v>4365</v>
      </c>
      <c r="B2747" s="8" t="s">
        <v>1650</v>
      </c>
      <c r="C2747" s="8" t="s">
        <v>4337</v>
      </c>
      <c r="D2747" s="8">
        <v>1</v>
      </c>
      <c r="E2747" s="8" t="s">
        <v>4366</v>
      </c>
      <c r="F2747" s="8" t="s">
        <v>460</v>
      </c>
      <c r="G2747" s="8" t="s">
        <v>4339</v>
      </c>
      <c r="H2747" s="10">
        <v>6</v>
      </c>
      <c r="I2747" s="10"/>
      <c r="J2747" s="10">
        <v>6</v>
      </c>
      <c r="K2747" s="10">
        <v>705.67</v>
      </c>
    </row>
    <row r="2748" spans="1:11" x14ac:dyDescent="0.25">
      <c r="A2748" s="8" t="s">
        <v>4367</v>
      </c>
      <c r="B2748" s="8" t="s">
        <v>120</v>
      </c>
      <c r="C2748" s="8" t="s">
        <v>4337</v>
      </c>
      <c r="D2748" s="8">
        <v>1</v>
      </c>
      <c r="E2748" s="8" t="s">
        <v>4366</v>
      </c>
      <c r="F2748" s="8" t="s">
        <v>460</v>
      </c>
      <c r="G2748" s="8" t="s">
        <v>4339</v>
      </c>
      <c r="H2748" s="10">
        <v>36</v>
      </c>
      <c r="I2748" s="10"/>
      <c r="J2748" s="10">
        <v>36</v>
      </c>
      <c r="K2748" s="10">
        <v>705.67</v>
      </c>
    </row>
    <row r="2749" spans="1:11" x14ac:dyDescent="0.25">
      <c r="A2749" s="8" t="s">
        <v>4368</v>
      </c>
      <c r="B2749" s="8" t="s">
        <v>120</v>
      </c>
      <c r="C2749" s="8" t="s">
        <v>4337</v>
      </c>
      <c r="D2749" s="8">
        <v>1</v>
      </c>
      <c r="E2749" s="8" t="s">
        <v>4369</v>
      </c>
      <c r="F2749" s="8" t="s">
        <v>460</v>
      </c>
      <c r="G2749" s="8" t="s">
        <v>4339</v>
      </c>
      <c r="H2749" s="10">
        <v>54</v>
      </c>
      <c r="I2749" s="10"/>
      <c r="J2749" s="10">
        <v>54</v>
      </c>
      <c r="K2749" s="10">
        <v>705.67</v>
      </c>
    </row>
    <row r="2750" spans="1:11" x14ac:dyDescent="0.25">
      <c r="A2750" s="8" t="s">
        <v>4370</v>
      </c>
      <c r="B2750" s="8" t="s">
        <v>116</v>
      </c>
      <c r="C2750" s="8" t="s">
        <v>3687</v>
      </c>
      <c r="D2750" s="8">
        <v>3</v>
      </c>
      <c r="E2750" s="8" t="s">
        <v>470</v>
      </c>
      <c r="F2750" s="8" t="s">
        <v>378</v>
      </c>
      <c r="G2750" s="8" t="s">
        <v>4371</v>
      </c>
      <c r="H2750" s="10">
        <v>50</v>
      </c>
      <c r="I2750" s="10"/>
      <c r="J2750" s="10">
        <v>50</v>
      </c>
      <c r="K2750" s="10">
        <v>38.229999999999997</v>
      </c>
    </row>
    <row r="2751" spans="1:11" x14ac:dyDescent="0.25">
      <c r="A2751" s="8" t="s">
        <v>4372</v>
      </c>
      <c r="B2751" s="8" t="s">
        <v>118</v>
      </c>
      <c r="C2751" s="8" t="s">
        <v>3687</v>
      </c>
      <c r="D2751" s="8">
        <v>3</v>
      </c>
      <c r="E2751" s="8" t="s">
        <v>470</v>
      </c>
      <c r="F2751" s="8" t="s">
        <v>378</v>
      </c>
      <c r="G2751" s="8" t="s">
        <v>4371</v>
      </c>
      <c r="H2751" s="10">
        <v>100</v>
      </c>
      <c r="I2751" s="10"/>
      <c r="J2751" s="10">
        <v>100</v>
      </c>
      <c r="K2751" s="10">
        <v>38.229999999999997</v>
      </c>
    </row>
    <row r="2752" spans="1:11" x14ac:dyDescent="0.25">
      <c r="A2752" s="8" t="s">
        <v>4373</v>
      </c>
      <c r="B2752" s="8" t="s">
        <v>1650</v>
      </c>
      <c r="C2752" s="8" t="s">
        <v>3687</v>
      </c>
      <c r="D2752" s="8">
        <v>3</v>
      </c>
      <c r="E2752" s="8" t="s">
        <v>470</v>
      </c>
      <c r="F2752" s="8" t="s">
        <v>378</v>
      </c>
      <c r="G2752" s="8" t="s">
        <v>4371</v>
      </c>
      <c r="H2752" s="10">
        <v>50</v>
      </c>
      <c r="I2752" s="10"/>
      <c r="J2752" s="10">
        <v>50</v>
      </c>
      <c r="K2752" s="10">
        <v>38.229999999999997</v>
      </c>
    </row>
    <row r="2753" spans="1:11" x14ac:dyDescent="0.25">
      <c r="A2753" s="8" t="s">
        <v>4374</v>
      </c>
      <c r="B2753" s="8" t="s">
        <v>120</v>
      </c>
      <c r="C2753" s="8" t="s">
        <v>3687</v>
      </c>
      <c r="D2753" s="8">
        <v>3</v>
      </c>
      <c r="E2753" s="8" t="s">
        <v>470</v>
      </c>
      <c r="F2753" s="8" t="s">
        <v>378</v>
      </c>
      <c r="G2753" s="8" t="s">
        <v>4371</v>
      </c>
      <c r="H2753" s="10">
        <v>200</v>
      </c>
      <c r="I2753" s="10"/>
      <c r="J2753" s="10">
        <v>200</v>
      </c>
      <c r="K2753" s="10">
        <v>38.229999999999997</v>
      </c>
    </row>
    <row r="2754" spans="1:11" x14ac:dyDescent="0.25">
      <c r="A2754" s="8" t="s">
        <v>4375</v>
      </c>
      <c r="B2754" s="8" t="s">
        <v>120</v>
      </c>
      <c r="C2754" s="8" t="s">
        <v>3687</v>
      </c>
      <c r="D2754" s="8">
        <v>3</v>
      </c>
      <c r="E2754" s="8" t="s">
        <v>470</v>
      </c>
      <c r="F2754" s="8" t="s">
        <v>378</v>
      </c>
      <c r="G2754" s="8" t="s">
        <v>4371</v>
      </c>
      <c r="H2754" s="10">
        <v>100</v>
      </c>
      <c r="I2754" s="10"/>
      <c r="J2754" s="10">
        <v>100</v>
      </c>
      <c r="K2754" s="10">
        <v>38.229999999999997</v>
      </c>
    </row>
    <row r="2755" spans="1:11" x14ac:dyDescent="0.25">
      <c r="A2755" s="8" t="s">
        <v>4376</v>
      </c>
      <c r="B2755" s="8" t="s">
        <v>122</v>
      </c>
      <c r="C2755" s="8" t="s">
        <v>3687</v>
      </c>
      <c r="D2755" s="8">
        <v>3</v>
      </c>
      <c r="E2755" s="8" t="s">
        <v>470</v>
      </c>
      <c r="F2755" s="8" t="s">
        <v>378</v>
      </c>
      <c r="G2755" s="8" t="s">
        <v>4371</v>
      </c>
      <c r="H2755" s="10">
        <v>50</v>
      </c>
      <c r="I2755" s="10"/>
      <c r="J2755" s="10">
        <v>50</v>
      </c>
      <c r="K2755" s="10">
        <v>38.229999999999997</v>
      </c>
    </row>
    <row r="2756" spans="1:11" x14ac:dyDescent="0.25">
      <c r="A2756" s="8" t="s">
        <v>4377</v>
      </c>
      <c r="B2756" s="8" t="s">
        <v>124</v>
      </c>
      <c r="C2756" s="8" t="s">
        <v>3687</v>
      </c>
      <c r="D2756" s="8">
        <v>3</v>
      </c>
      <c r="E2756" s="8" t="s">
        <v>470</v>
      </c>
      <c r="F2756" s="8" t="s">
        <v>378</v>
      </c>
      <c r="G2756" s="8" t="s">
        <v>4371</v>
      </c>
      <c r="H2756" s="10">
        <v>20</v>
      </c>
      <c r="I2756" s="10"/>
      <c r="J2756" s="10">
        <v>20</v>
      </c>
      <c r="K2756" s="10">
        <v>38.229999999999997</v>
      </c>
    </row>
    <row r="2757" spans="1:11" x14ac:dyDescent="0.25">
      <c r="A2757" s="8" t="s">
        <v>4378</v>
      </c>
      <c r="B2757" s="8" t="s">
        <v>78</v>
      </c>
      <c r="C2757" s="8" t="s">
        <v>3687</v>
      </c>
      <c r="D2757" s="8">
        <v>3</v>
      </c>
      <c r="E2757" s="8" t="s">
        <v>470</v>
      </c>
      <c r="F2757" s="8" t="s">
        <v>378</v>
      </c>
      <c r="G2757" s="8" t="s">
        <v>4371</v>
      </c>
      <c r="H2757" s="10">
        <v>50</v>
      </c>
      <c r="I2757" s="10"/>
      <c r="J2757" s="10">
        <v>50</v>
      </c>
      <c r="K2757" s="10">
        <v>38.229999999999997</v>
      </c>
    </row>
    <row r="2758" spans="1:11" x14ac:dyDescent="0.25">
      <c r="A2758" s="8" t="s">
        <v>4379</v>
      </c>
      <c r="B2758" s="8" t="s">
        <v>1655</v>
      </c>
      <c r="C2758" s="8" t="s">
        <v>3687</v>
      </c>
      <c r="D2758" s="8">
        <v>3</v>
      </c>
      <c r="E2758" s="8" t="s">
        <v>470</v>
      </c>
      <c r="F2758" s="8" t="s">
        <v>378</v>
      </c>
      <c r="G2758" s="8" t="s">
        <v>4371</v>
      </c>
      <c r="H2758" s="10">
        <v>50</v>
      </c>
      <c r="I2758" s="10"/>
      <c r="J2758" s="10">
        <v>50</v>
      </c>
      <c r="K2758" s="10">
        <v>38.229999999999997</v>
      </c>
    </row>
    <row r="2759" spans="1:11" x14ac:dyDescent="0.25">
      <c r="A2759" s="8" t="s">
        <v>4380</v>
      </c>
      <c r="B2759" s="8" t="s">
        <v>128</v>
      </c>
      <c r="C2759" s="8" t="s">
        <v>3687</v>
      </c>
      <c r="D2759" s="8">
        <v>3</v>
      </c>
      <c r="E2759" s="8" t="s">
        <v>470</v>
      </c>
      <c r="F2759" s="8" t="s">
        <v>378</v>
      </c>
      <c r="G2759" s="8" t="s">
        <v>4371</v>
      </c>
      <c r="H2759" s="10">
        <v>50</v>
      </c>
      <c r="I2759" s="10"/>
      <c r="J2759" s="10">
        <v>50</v>
      </c>
      <c r="K2759" s="10">
        <v>38.229999999999997</v>
      </c>
    </row>
    <row r="2760" spans="1:11" x14ac:dyDescent="0.25">
      <c r="A2760" s="8" t="s">
        <v>4381</v>
      </c>
      <c r="B2760" s="8" t="s">
        <v>949</v>
      </c>
      <c r="C2760" s="8" t="s">
        <v>3687</v>
      </c>
      <c r="D2760" s="8">
        <v>3</v>
      </c>
      <c r="E2760" s="8" t="s">
        <v>470</v>
      </c>
      <c r="F2760" s="8" t="s">
        <v>378</v>
      </c>
      <c r="G2760" s="8" t="s">
        <v>4371</v>
      </c>
      <c r="H2760" s="10">
        <v>10</v>
      </c>
      <c r="I2760" s="10"/>
      <c r="J2760" s="10">
        <v>10</v>
      </c>
      <c r="K2760" s="10">
        <v>38.229999999999997</v>
      </c>
    </row>
    <row r="2761" spans="1:11" x14ac:dyDescent="0.25">
      <c r="A2761" s="8" t="s">
        <v>4382</v>
      </c>
      <c r="B2761" s="8" t="s">
        <v>130</v>
      </c>
      <c r="C2761" s="8" t="s">
        <v>3687</v>
      </c>
      <c r="D2761" s="8">
        <v>3</v>
      </c>
      <c r="E2761" s="8" t="s">
        <v>470</v>
      </c>
      <c r="F2761" s="8" t="s">
        <v>378</v>
      </c>
      <c r="G2761" s="8" t="s">
        <v>4371</v>
      </c>
      <c r="H2761" s="10">
        <v>20</v>
      </c>
      <c r="I2761" s="10"/>
      <c r="J2761" s="10">
        <v>20</v>
      </c>
      <c r="K2761" s="10">
        <v>38.229999999999997</v>
      </c>
    </row>
    <row r="2762" spans="1:11" x14ac:dyDescent="0.25">
      <c r="A2762" s="8" t="s">
        <v>4383</v>
      </c>
      <c r="B2762" s="8" t="s">
        <v>132</v>
      </c>
      <c r="C2762" s="8" t="s">
        <v>3687</v>
      </c>
      <c r="D2762" s="8">
        <v>3</v>
      </c>
      <c r="E2762" s="8" t="s">
        <v>470</v>
      </c>
      <c r="F2762" s="8" t="s">
        <v>378</v>
      </c>
      <c r="G2762" s="8" t="s">
        <v>4371</v>
      </c>
      <c r="H2762" s="10">
        <v>50</v>
      </c>
      <c r="I2762" s="10"/>
      <c r="J2762" s="10">
        <v>50</v>
      </c>
      <c r="K2762" s="10">
        <v>38.229999999999997</v>
      </c>
    </row>
    <row r="2763" spans="1:11" x14ac:dyDescent="0.25">
      <c r="A2763" s="8" t="s">
        <v>4384</v>
      </c>
      <c r="B2763" s="8" t="s">
        <v>134</v>
      </c>
      <c r="C2763" s="8" t="s">
        <v>3687</v>
      </c>
      <c r="D2763" s="8">
        <v>3</v>
      </c>
      <c r="E2763" s="8" t="s">
        <v>470</v>
      </c>
      <c r="F2763" s="8" t="s">
        <v>378</v>
      </c>
      <c r="G2763" s="8" t="s">
        <v>4371</v>
      </c>
      <c r="H2763" s="10">
        <v>50</v>
      </c>
      <c r="I2763" s="10"/>
      <c r="J2763" s="10">
        <v>50</v>
      </c>
      <c r="K2763" s="10">
        <v>38.229999999999997</v>
      </c>
    </row>
    <row r="2764" spans="1:11" x14ac:dyDescent="0.25">
      <c r="A2764" s="8" t="s">
        <v>4385</v>
      </c>
      <c r="B2764" s="8" t="s">
        <v>136</v>
      </c>
      <c r="C2764" s="8" t="s">
        <v>3687</v>
      </c>
      <c r="D2764" s="8">
        <v>3</v>
      </c>
      <c r="E2764" s="8" t="s">
        <v>470</v>
      </c>
      <c r="F2764" s="8" t="s">
        <v>378</v>
      </c>
      <c r="G2764" s="8" t="s">
        <v>4371</v>
      </c>
      <c r="H2764" s="10">
        <v>20</v>
      </c>
      <c r="I2764" s="10"/>
      <c r="J2764" s="10">
        <v>20</v>
      </c>
      <c r="K2764" s="10">
        <v>38.229999999999997</v>
      </c>
    </row>
    <row r="2765" spans="1:11" x14ac:dyDescent="0.25">
      <c r="A2765" s="8" t="s">
        <v>4386</v>
      </c>
      <c r="B2765" s="8" t="s">
        <v>1689</v>
      </c>
      <c r="C2765" s="8" t="s">
        <v>3687</v>
      </c>
      <c r="D2765" s="8">
        <v>3</v>
      </c>
      <c r="E2765" s="8" t="s">
        <v>470</v>
      </c>
      <c r="F2765" s="8" t="s">
        <v>378</v>
      </c>
      <c r="G2765" s="8" t="s">
        <v>4371</v>
      </c>
      <c r="H2765" s="10">
        <v>20</v>
      </c>
      <c r="I2765" s="10"/>
      <c r="J2765" s="10">
        <v>20</v>
      </c>
      <c r="K2765" s="10">
        <v>38.229999999999997</v>
      </c>
    </row>
    <row r="2766" spans="1:11" x14ac:dyDescent="0.25">
      <c r="A2766" s="8" t="s">
        <v>4387</v>
      </c>
      <c r="B2766" s="8" t="s">
        <v>3518</v>
      </c>
      <c r="C2766" s="8" t="s">
        <v>3687</v>
      </c>
      <c r="D2766" s="8">
        <v>3</v>
      </c>
      <c r="E2766" s="8" t="s">
        <v>470</v>
      </c>
      <c r="F2766" s="8" t="s">
        <v>378</v>
      </c>
      <c r="G2766" s="8" t="s">
        <v>4371</v>
      </c>
      <c r="H2766" s="10">
        <v>10</v>
      </c>
      <c r="I2766" s="10"/>
      <c r="J2766" s="10">
        <v>10</v>
      </c>
      <c r="K2766" s="10">
        <v>38.229999999999997</v>
      </c>
    </row>
    <row r="2767" spans="1:11" x14ac:dyDescent="0.25">
      <c r="A2767" s="8" t="s">
        <v>4388</v>
      </c>
      <c r="B2767" s="8" t="s">
        <v>138</v>
      </c>
      <c r="C2767" s="8" t="s">
        <v>3687</v>
      </c>
      <c r="D2767" s="8">
        <v>3</v>
      </c>
      <c r="E2767" s="8" t="s">
        <v>470</v>
      </c>
      <c r="F2767" s="8" t="s">
        <v>378</v>
      </c>
      <c r="G2767" s="8" t="s">
        <v>4371</v>
      </c>
      <c r="H2767" s="10">
        <v>10</v>
      </c>
      <c r="I2767" s="10"/>
      <c r="J2767" s="10">
        <v>10</v>
      </c>
      <c r="K2767" s="10">
        <v>38.229999999999997</v>
      </c>
    </row>
    <row r="2768" spans="1:11" x14ac:dyDescent="0.25">
      <c r="A2768" s="8" t="s">
        <v>4389</v>
      </c>
      <c r="B2768" s="8" t="s">
        <v>3521</v>
      </c>
      <c r="C2768" s="8" t="s">
        <v>3687</v>
      </c>
      <c r="D2768" s="8">
        <v>3</v>
      </c>
      <c r="E2768" s="8" t="s">
        <v>470</v>
      </c>
      <c r="F2768" s="8" t="s">
        <v>378</v>
      </c>
      <c r="G2768" s="8" t="s">
        <v>4371</v>
      </c>
      <c r="H2768" s="10">
        <v>10</v>
      </c>
      <c r="I2768" s="10"/>
      <c r="J2768" s="10">
        <v>10</v>
      </c>
      <c r="K2768" s="10">
        <v>38.229999999999997</v>
      </c>
    </row>
    <row r="2769" spans="1:11" x14ac:dyDescent="0.25">
      <c r="A2769" s="8" t="s">
        <v>4390</v>
      </c>
      <c r="B2769" s="8" t="s">
        <v>80</v>
      </c>
      <c r="C2769" s="8" t="s">
        <v>3687</v>
      </c>
      <c r="D2769" s="8">
        <v>3</v>
      </c>
      <c r="E2769" s="8" t="s">
        <v>470</v>
      </c>
      <c r="F2769" s="8" t="s">
        <v>378</v>
      </c>
      <c r="G2769" s="8" t="s">
        <v>4371</v>
      </c>
      <c r="H2769" s="10">
        <v>30</v>
      </c>
      <c r="I2769" s="10"/>
      <c r="J2769" s="10">
        <v>30</v>
      </c>
      <c r="K2769" s="10">
        <v>38.229999999999997</v>
      </c>
    </row>
    <row r="2770" spans="1:11" x14ac:dyDescent="0.25">
      <c r="A2770" s="8" t="s">
        <v>4391</v>
      </c>
      <c r="B2770" s="8" t="s">
        <v>118</v>
      </c>
      <c r="C2770" s="8" t="s">
        <v>3687</v>
      </c>
      <c r="D2770" s="8">
        <v>3</v>
      </c>
      <c r="E2770" s="8" t="s">
        <v>474</v>
      </c>
      <c r="F2770" s="8" t="s">
        <v>378</v>
      </c>
      <c r="G2770" s="8" t="s">
        <v>4371</v>
      </c>
      <c r="H2770" s="10">
        <v>300</v>
      </c>
      <c r="I2770" s="10"/>
      <c r="J2770" s="10">
        <v>300</v>
      </c>
      <c r="K2770" s="10">
        <v>38.229999999999997</v>
      </c>
    </row>
    <row r="2771" spans="1:11" x14ac:dyDescent="0.25">
      <c r="A2771" s="8" t="s">
        <v>4392</v>
      </c>
      <c r="B2771" s="8" t="s">
        <v>1650</v>
      </c>
      <c r="C2771" s="8" t="s">
        <v>3687</v>
      </c>
      <c r="D2771" s="8">
        <v>3</v>
      </c>
      <c r="E2771" s="8" t="s">
        <v>474</v>
      </c>
      <c r="F2771" s="8" t="s">
        <v>378</v>
      </c>
      <c r="G2771" s="8" t="s">
        <v>4371</v>
      </c>
      <c r="H2771" s="10">
        <v>250</v>
      </c>
      <c r="I2771" s="10"/>
      <c r="J2771" s="10">
        <v>250</v>
      </c>
      <c r="K2771" s="10">
        <v>38.229999999999997</v>
      </c>
    </row>
    <row r="2772" spans="1:11" x14ac:dyDescent="0.25">
      <c r="A2772" s="8" t="s">
        <v>4393</v>
      </c>
      <c r="B2772" s="8" t="s">
        <v>120</v>
      </c>
      <c r="C2772" s="8" t="s">
        <v>3687</v>
      </c>
      <c r="D2772" s="8">
        <v>3</v>
      </c>
      <c r="E2772" s="8" t="s">
        <v>474</v>
      </c>
      <c r="F2772" s="8" t="s">
        <v>378</v>
      </c>
      <c r="G2772" s="8" t="s">
        <v>4371</v>
      </c>
      <c r="H2772" s="10">
        <v>50</v>
      </c>
      <c r="I2772" s="10"/>
      <c r="J2772" s="10">
        <v>50</v>
      </c>
      <c r="K2772" s="10">
        <v>38.229999999999997</v>
      </c>
    </row>
    <row r="2773" spans="1:11" x14ac:dyDescent="0.25">
      <c r="A2773" s="8" t="s">
        <v>4394</v>
      </c>
      <c r="B2773" s="8" t="s">
        <v>120</v>
      </c>
      <c r="C2773" s="8" t="s">
        <v>3687</v>
      </c>
      <c r="D2773" s="8">
        <v>3</v>
      </c>
      <c r="E2773" s="8" t="s">
        <v>474</v>
      </c>
      <c r="F2773" s="8" t="s">
        <v>378</v>
      </c>
      <c r="G2773" s="8" t="s">
        <v>4371</v>
      </c>
      <c r="H2773" s="10">
        <v>50</v>
      </c>
      <c r="I2773" s="10"/>
      <c r="J2773" s="10">
        <v>50</v>
      </c>
      <c r="K2773" s="10">
        <v>38.229999999999997</v>
      </c>
    </row>
    <row r="2774" spans="1:11" x14ac:dyDescent="0.25">
      <c r="A2774" s="8" t="s">
        <v>4395</v>
      </c>
      <c r="B2774" s="8" t="s">
        <v>122</v>
      </c>
      <c r="C2774" s="8" t="s">
        <v>3687</v>
      </c>
      <c r="D2774" s="8">
        <v>3</v>
      </c>
      <c r="E2774" s="8" t="s">
        <v>474</v>
      </c>
      <c r="F2774" s="8" t="s">
        <v>378</v>
      </c>
      <c r="G2774" s="8" t="s">
        <v>4371</v>
      </c>
      <c r="H2774" s="10">
        <v>50</v>
      </c>
      <c r="I2774" s="10"/>
      <c r="J2774" s="10">
        <v>50</v>
      </c>
      <c r="K2774" s="10">
        <v>38.229999999999997</v>
      </c>
    </row>
    <row r="2775" spans="1:11" x14ac:dyDescent="0.25">
      <c r="A2775" s="8" t="s">
        <v>4396</v>
      </c>
      <c r="B2775" s="8" t="s">
        <v>124</v>
      </c>
      <c r="C2775" s="8" t="s">
        <v>3687</v>
      </c>
      <c r="D2775" s="8">
        <v>3</v>
      </c>
      <c r="E2775" s="8" t="s">
        <v>474</v>
      </c>
      <c r="F2775" s="8" t="s">
        <v>378</v>
      </c>
      <c r="G2775" s="8" t="s">
        <v>4371</v>
      </c>
      <c r="H2775" s="10">
        <v>50</v>
      </c>
      <c r="I2775" s="10"/>
      <c r="J2775" s="10">
        <v>50</v>
      </c>
      <c r="K2775" s="10">
        <v>38.229999999999997</v>
      </c>
    </row>
    <row r="2776" spans="1:11" x14ac:dyDescent="0.25">
      <c r="A2776" s="8" t="s">
        <v>4397</v>
      </c>
      <c r="B2776" s="8" t="s">
        <v>78</v>
      </c>
      <c r="C2776" s="8" t="s">
        <v>3687</v>
      </c>
      <c r="D2776" s="8">
        <v>3</v>
      </c>
      <c r="E2776" s="8" t="s">
        <v>474</v>
      </c>
      <c r="F2776" s="8" t="s">
        <v>378</v>
      </c>
      <c r="G2776" s="8" t="s">
        <v>4371</v>
      </c>
      <c r="H2776" s="10">
        <v>50</v>
      </c>
      <c r="I2776" s="10"/>
      <c r="J2776" s="10">
        <v>50</v>
      </c>
      <c r="K2776" s="10">
        <v>38.229999999999997</v>
      </c>
    </row>
    <row r="2777" spans="1:11" x14ac:dyDescent="0.25">
      <c r="A2777" s="8" t="s">
        <v>4398</v>
      </c>
      <c r="B2777" s="8" t="s">
        <v>1655</v>
      </c>
      <c r="C2777" s="8" t="s">
        <v>3687</v>
      </c>
      <c r="D2777" s="8">
        <v>3</v>
      </c>
      <c r="E2777" s="8" t="s">
        <v>474</v>
      </c>
      <c r="F2777" s="8" t="s">
        <v>378</v>
      </c>
      <c r="G2777" s="8" t="s">
        <v>4371</v>
      </c>
      <c r="H2777" s="10">
        <v>250</v>
      </c>
      <c r="I2777" s="10"/>
      <c r="J2777" s="10">
        <v>250</v>
      </c>
      <c r="K2777" s="10">
        <v>38.229999999999997</v>
      </c>
    </row>
    <row r="2778" spans="1:11" x14ac:dyDescent="0.25">
      <c r="A2778" s="8" t="s">
        <v>4399</v>
      </c>
      <c r="B2778" s="8" t="s">
        <v>130</v>
      </c>
      <c r="C2778" s="8" t="s">
        <v>3687</v>
      </c>
      <c r="D2778" s="8">
        <v>3</v>
      </c>
      <c r="E2778" s="8" t="s">
        <v>474</v>
      </c>
      <c r="F2778" s="8" t="s">
        <v>378</v>
      </c>
      <c r="G2778" s="8" t="s">
        <v>4371</v>
      </c>
      <c r="H2778" s="10">
        <v>10</v>
      </c>
      <c r="I2778" s="10"/>
      <c r="J2778" s="10">
        <v>10</v>
      </c>
      <c r="K2778" s="10">
        <v>38.229999999999997</v>
      </c>
    </row>
    <row r="2779" spans="1:11" x14ac:dyDescent="0.25">
      <c r="A2779" s="8" t="s">
        <v>4400</v>
      </c>
      <c r="B2779" s="8" t="s">
        <v>132</v>
      </c>
      <c r="C2779" s="8" t="s">
        <v>3687</v>
      </c>
      <c r="D2779" s="8">
        <v>3</v>
      </c>
      <c r="E2779" s="8" t="s">
        <v>474</v>
      </c>
      <c r="F2779" s="8" t="s">
        <v>378</v>
      </c>
      <c r="G2779" s="8" t="s">
        <v>4371</v>
      </c>
      <c r="H2779" s="10">
        <v>50</v>
      </c>
      <c r="I2779" s="10"/>
      <c r="J2779" s="10">
        <v>50</v>
      </c>
      <c r="K2779" s="10">
        <v>38.229999999999997</v>
      </c>
    </row>
    <row r="2780" spans="1:11" x14ac:dyDescent="0.25">
      <c r="A2780" s="8" t="s">
        <v>4401</v>
      </c>
      <c r="B2780" s="8" t="s">
        <v>134</v>
      </c>
      <c r="C2780" s="8" t="s">
        <v>3687</v>
      </c>
      <c r="D2780" s="8">
        <v>3</v>
      </c>
      <c r="E2780" s="8" t="s">
        <v>474</v>
      </c>
      <c r="F2780" s="8" t="s">
        <v>378</v>
      </c>
      <c r="G2780" s="8" t="s">
        <v>4371</v>
      </c>
      <c r="H2780" s="10">
        <v>50</v>
      </c>
      <c r="I2780" s="10"/>
      <c r="J2780" s="10">
        <v>50</v>
      </c>
      <c r="K2780" s="10">
        <v>38.229999999999997</v>
      </c>
    </row>
    <row r="2781" spans="1:11" x14ac:dyDescent="0.25">
      <c r="A2781" s="8" t="s">
        <v>4402</v>
      </c>
      <c r="B2781" s="8" t="s">
        <v>136</v>
      </c>
      <c r="C2781" s="8" t="s">
        <v>3687</v>
      </c>
      <c r="D2781" s="8">
        <v>3</v>
      </c>
      <c r="E2781" s="8" t="s">
        <v>474</v>
      </c>
      <c r="F2781" s="8" t="s">
        <v>378</v>
      </c>
      <c r="G2781" s="8" t="s">
        <v>4371</v>
      </c>
      <c r="H2781" s="10">
        <v>20</v>
      </c>
      <c r="I2781" s="10"/>
      <c r="J2781" s="10">
        <v>20</v>
      </c>
      <c r="K2781" s="10">
        <v>38.229999999999997</v>
      </c>
    </row>
    <row r="2782" spans="1:11" x14ac:dyDescent="0.25">
      <c r="A2782" s="8" t="s">
        <v>4403</v>
      </c>
      <c r="B2782" s="8" t="s">
        <v>1689</v>
      </c>
      <c r="C2782" s="8" t="s">
        <v>3687</v>
      </c>
      <c r="D2782" s="8">
        <v>3</v>
      </c>
      <c r="E2782" s="8" t="s">
        <v>474</v>
      </c>
      <c r="F2782" s="8" t="s">
        <v>378</v>
      </c>
      <c r="G2782" s="8" t="s">
        <v>4371</v>
      </c>
      <c r="H2782" s="10">
        <v>50</v>
      </c>
      <c r="I2782" s="10"/>
      <c r="J2782" s="10">
        <v>50</v>
      </c>
      <c r="K2782" s="10">
        <v>38.229999999999997</v>
      </c>
    </row>
    <row r="2783" spans="1:11" x14ac:dyDescent="0.25">
      <c r="A2783" s="8" t="s">
        <v>4404</v>
      </c>
      <c r="B2783" s="8" t="s">
        <v>3518</v>
      </c>
      <c r="C2783" s="8" t="s">
        <v>3687</v>
      </c>
      <c r="D2783" s="8">
        <v>3</v>
      </c>
      <c r="E2783" s="8" t="s">
        <v>474</v>
      </c>
      <c r="F2783" s="8" t="s">
        <v>378</v>
      </c>
      <c r="G2783" s="8" t="s">
        <v>4371</v>
      </c>
      <c r="H2783" s="10">
        <v>30</v>
      </c>
      <c r="I2783" s="10"/>
      <c r="J2783" s="10">
        <v>30</v>
      </c>
      <c r="K2783" s="10">
        <v>38.229999999999997</v>
      </c>
    </row>
    <row r="2784" spans="1:11" x14ac:dyDescent="0.25">
      <c r="A2784" s="8" t="s">
        <v>4405</v>
      </c>
      <c r="B2784" s="8" t="s">
        <v>138</v>
      </c>
      <c r="C2784" s="8" t="s">
        <v>3687</v>
      </c>
      <c r="D2784" s="8">
        <v>3</v>
      </c>
      <c r="E2784" s="8" t="s">
        <v>474</v>
      </c>
      <c r="F2784" s="8" t="s">
        <v>378</v>
      </c>
      <c r="G2784" s="8" t="s">
        <v>4371</v>
      </c>
      <c r="H2784" s="10">
        <v>10</v>
      </c>
      <c r="I2784" s="10"/>
      <c r="J2784" s="10">
        <v>10</v>
      </c>
      <c r="K2784" s="10">
        <v>38.229999999999997</v>
      </c>
    </row>
    <row r="2785" spans="1:11" x14ac:dyDescent="0.25">
      <c r="A2785" s="8" t="s">
        <v>4406</v>
      </c>
      <c r="B2785" s="8" t="s">
        <v>3521</v>
      </c>
      <c r="C2785" s="8" t="s">
        <v>3687</v>
      </c>
      <c r="D2785" s="8">
        <v>3</v>
      </c>
      <c r="E2785" s="8" t="s">
        <v>474</v>
      </c>
      <c r="F2785" s="8" t="s">
        <v>378</v>
      </c>
      <c r="G2785" s="8" t="s">
        <v>4371</v>
      </c>
      <c r="H2785" s="10">
        <v>30</v>
      </c>
      <c r="I2785" s="10"/>
      <c r="J2785" s="10">
        <v>30</v>
      </c>
      <c r="K2785" s="10">
        <v>38.229999999999997</v>
      </c>
    </row>
    <row r="2786" spans="1:11" x14ac:dyDescent="0.25">
      <c r="A2786" s="8" t="s">
        <v>4407</v>
      </c>
      <c r="B2786" s="8" t="s">
        <v>80</v>
      </c>
      <c r="C2786" s="8" t="s">
        <v>3687</v>
      </c>
      <c r="D2786" s="8">
        <v>3</v>
      </c>
      <c r="E2786" s="8" t="s">
        <v>474</v>
      </c>
      <c r="F2786" s="8" t="s">
        <v>378</v>
      </c>
      <c r="G2786" s="8" t="s">
        <v>4371</v>
      </c>
      <c r="H2786" s="10">
        <v>10</v>
      </c>
      <c r="I2786" s="10"/>
      <c r="J2786" s="10">
        <v>10</v>
      </c>
      <c r="K2786" s="10">
        <v>38.229999999999997</v>
      </c>
    </row>
    <row r="2787" spans="1:11" x14ac:dyDescent="0.25">
      <c r="A2787" s="8" t="s">
        <v>4408</v>
      </c>
      <c r="B2787" s="8" t="s">
        <v>116</v>
      </c>
      <c r="C2787" s="8" t="s">
        <v>3687</v>
      </c>
      <c r="D2787" s="8">
        <v>3</v>
      </c>
      <c r="E2787" s="8" t="s">
        <v>4409</v>
      </c>
      <c r="F2787" s="8" t="s">
        <v>378</v>
      </c>
      <c r="G2787" s="8" t="s">
        <v>4371</v>
      </c>
      <c r="H2787" s="10">
        <v>300</v>
      </c>
      <c r="I2787" s="10"/>
      <c r="J2787" s="10">
        <v>300</v>
      </c>
      <c r="K2787" s="10">
        <v>38.229999999999997</v>
      </c>
    </row>
    <row r="2788" spans="1:11" x14ac:dyDescent="0.25">
      <c r="A2788" s="8" t="s">
        <v>4410</v>
      </c>
      <c r="B2788" s="8" t="s">
        <v>118</v>
      </c>
      <c r="C2788" s="8" t="s">
        <v>3687</v>
      </c>
      <c r="D2788" s="8">
        <v>3</v>
      </c>
      <c r="E2788" s="8" t="s">
        <v>4409</v>
      </c>
      <c r="F2788" s="8" t="s">
        <v>378</v>
      </c>
      <c r="G2788" s="8" t="s">
        <v>4371</v>
      </c>
      <c r="H2788" s="10">
        <v>300</v>
      </c>
      <c r="I2788" s="10"/>
      <c r="J2788" s="10">
        <v>300</v>
      </c>
      <c r="K2788" s="10">
        <v>38.229999999999997</v>
      </c>
    </row>
    <row r="2789" spans="1:11" x14ac:dyDescent="0.25">
      <c r="A2789" s="8" t="s">
        <v>4411</v>
      </c>
      <c r="B2789" s="8" t="s">
        <v>1650</v>
      </c>
      <c r="C2789" s="8" t="s">
        <v>3687</v>
      </c>
      <c r="D2789" s="8">
        <v>3</v>
      </c>
      <c r="E2789" s="8" t="s">
        <v>4409</v>
      </c>
      <c r="F2789" s="8" t="s">
        <v>378</v>
      </c>
      <c r="G2789" s="8" t="s">
        <v>4371</v>
      </c>
      <c r="H2789" s="10">
        <v>250</v>
      </c>
      <c r="I2789" s="10"/>
      <c r="J2789" s="10">
        <v>250</v>
      </c>
      <c r="K2789" s="10">
        <v>38.229999999999997</v>
      </c>
    </row>
    <row r="2790" spans="1:11" x14ac:dyDescent="0.25">
      <c r="A2790" s="8" t="s">
        <v>4412</v>
      </c>
      <c r="B2790" s="8" t="s">
        <v>120</v>
      </c>
      <c r="C2790" s="8" t="s">
        <v>3687</v>
      </c>
      <c r="D2790" s="8">
        <v>3</v>
      </c>
      <c r="E2790" s="8" t="s">
        <v>4409</v>
      </c>
      <c r="F2790" s="8" t="s">
        <v>378</v>
      </c>
      <c r="G2790" s="8" t="s">
        <v>4371</v>
      </c>
      <c r="H2790" s="10">
        <v>1500</v>
      </c>
      <c r="I2790" s="10"/>
      <c r="J2790" s="10">
        <v>1500</v>
      </c>
      <c r="K2790" s="10">
        <v>38.229999999999997</v>
      </c>
    </row>
    <row r="2791" spans="1:11" x14ac:dyDescent="0.25">
      <c r="A2791" s="8" t="s">
        <v>4413</v>
      </c>
      <c r="B2791" s="8" t="s">
        <v>120</v>
      </c>
      <c r="C2791" s="8" t="s">
        <v>3687</v>
      </c>
      <c r="D2791" s="8">
        <v>3</v>
      </c>
      <c r="E2791" s="8" t="s">
        <v>4409</v>
      </c>
      <c r="F2791" s="8" t="s">
        <v>378</v>
      </c>
      <c r="G2791" s="8" t="s">
        <v>4371</v>
      </c>
      <c r="H2791" s="10">
        <v>500</v>
      </c>
      <c r="I2791" s="10"/>
      <c r="J2791" s="10">
        <v>500</v>
      </c>
      <c r="K2791" s="10">
        <v>38.229999999999997</v>
      </c>
    </row>
    <row r="2792" spans="1:11" x14ac:dyDescent="0.25">
      <c r="A2792" s="8" t="s">
        <v>4414</v>
      </c>
      <c r="B2792" s="8" t="s">
        <v>122</v>
      </c>
      <c r="C2792" s="8" t="s">
        <v>3687</v>
      </c>
      <c r="D2792" s="8">
        <v>3</v>
      </c>
      <c r="E2792" s="8" t="s">
        <v>4409</v>
      </c>
      <c r="F2792" s="8" t="s">
        <v>378</v>
      </c>
      <c r="G2792" s="8" t="s">
        <v>4371</v>
      </c>
      <c r="H2792" s="10">
        <v>400</v>
      </c>
      <c r="I2792" s="10"/>
      <c r="J2792" s="10">
        <v>400</v>
      </c>
      <c r="K2792" s="10">
        <v>38.229999999999997</v>
      </c>
    </row>
    <row r="2793" spans="1:11" x14ac:dyDescent="0.25">
      <c r="A2793" s="8" t="s">
        <v>4415</v>
      </c>
      <c r="B2793" s="8" t="s">
        <v>124</v>
      </c>
      <c r="C2793" s="8" t="s">
        <v>3687</v>
      </c>
      <c r="D2793" s="8">
        <v>3</v>
      </c>
      <c r="E2793" s="8" t="s">
        <v>4409</v>
      </c>
      <c r="F2793" s="8" t="s">
        <v>378</v>
      </c>
      <c r="G2793" s="8" t="s">
        <v>4371</v>
      </c>
      <c r="H2793" s="10">
        <v>1000</v>
      </c>
      <c r="I2793" s="10"/>
      <c r="J2793" s="10">
        <v>1000</v>
      </c>
      <c r="K2793" s="10">
        <v>38.229999999999997</v>
      </c>
    </row>
    <row r="2794" spans="1:11" x14ac:dyDescent="0.25">
      <c r="A2794" s="8" t="s">
        <v>4416</v>
      </c>
      <c r="B2794" s="8" t="s">
        <v>78</v>
      </c>
      <c r="C2794" s="8" t="s">
        <v>3687</v>
      </c>
      <c r="D2794" s="8">
        <v>3</v>
      </c>
      <c r="E2794" s="8" t="s">
        <v>4409</v>
      </c>
      <c r="F2794" s="8" t="s">
        <v>378</v>
      </c>
      <c r="G2794" s="8" t="s">
        <v>4371</v>
      </c>
      <c r="H2794" s="10">
        <v>300</v>
      </c>
      <c r="I2794" s="10"/>
      <c r="J2794" s="10">
        <v>300</v>
      </c>
      <c r="K2794" s="10">
        <v>38.229999999999997</v>
      </c>
    </row>
    <row r="2795" spans="1:11" x14ac:dyDescent="0.25">
      <c r="A2795" s="8" t="s">
        <v>4417</v>
      </c>
      <c r="B2795" s="8" t="s">
        <v>1655</v>
      </c>
      <c r="C2795" s="8" t="s">
        <v>3687</v>
      </c>
      <c r="D2795" s="8">
        <v>3</v>
      </c>
      <c r="E2795" s="8" t="s">
        <v>4409</v>
      </c>
      <c r="F2795" s="8" t="s">
        <v>378</v>
      </c>
      <c r="G2795" s="8" t="s">
        <v>4371</v>
      </c>
      <c r="H2795" s="10">
        <v>250</v>
      </c>
      <c r="I2795" s="10"/>
      <c r="J2795" s="10">
        <v>250</v>
      </c>
      <c r="K2795" s="10">
        <v>38.229999999999997</v>
      </c>
    </row>
    <row r="2796" spans="1:11" x14ac:dyDescent="0.25">
      <c r="A2796" s="8" t="s">
        <v>4418</v>
      </c>
      <c r="B2796" s="8" t="s">
        <v>128</v>
      </c>
      <c r="C2796" s="8" t="s">
        <v>3687</v>
      </c>
      <c r="D2796" s="8">
        <v>3</v>
      </c>
      <c r="E2796" s="8" t="s">
        <v>4409</v>
      </c>
      <c r="F2796" s="8" t="s">
        <v>378</v>
      </c>
      <c r="G2796" s="8" t="s">
        <v>4371</v>
      </c>
      <c r="H2796" s="10">
        <v>150</v>
      </c>
      <c r="I2796" s="10"/>
      <c r="J2796" s="10">
        <v>150</v>
      </c>
      <c r="K2796" s="10">
        <v>38.229999999999997</v>
      </c>
    </row>
    <row r="2797" spans="1:11" x14ac:dyDescent="0.25">
      <c r="A2797" s="8" t="s">
        <v>4419</v>
      </c>
      <c r="B2797" s="8" t="s">
        <v>130</v>
      </c>
      <c r="C2797" s="8" t="s">
        <v>3687</v>
      </c>
      <c r="D2797" s="8">
        <v>3</v>
      </c>
      <c r="E2797" s="8" t="s">
        <v>4409</v>
      </c>
      <c r="F2797" s="8" t="s">
        <v>378</v>
      </c>
      <c r="G2797" s="8" t="s">
        <v>4371</v>
      </c>
      <c r="H2797" s="10">
        <v>100</v>
      </c>
      <c r="I2797" s="10"/>
      <c r="J2797" s="10">
        <v>100</v>
      </c>
      <c r="K2797" s="10">
        <v>38.229999999999997</v>
      </c>
    </row>
    <row r="2798" spans="1:11" x14ac:dyDescent="0.25">
      <c r="A2798" s="8" t="s">
        <v>4420</v>
      </c>
      <c r="B2798" s="8" t="s">
        <v>132</v>
      </c>
      <c r="C2798" s="8" t="s">
        <v>3687</v>
      </c>
      <c r="D2798" s="8">
        <v>3</v>
      </c>
      <c r="E2798" s="8" t="s">
        <v>4409</v>
      </c>
      <c r="F2798" s="8" t="s">
        <v>378</v>
      </c>
      <c r="G2798" s="8" t="s">
        <v>4371</v>
      </c>
      <c r="H2798" s="10">
        <v>200</v>
      </c>
      <c r="I2798" s="10"/>
      <c r="J2798" s="10">
        <v>200</v>
      </c>
      <c r="K2798" s="10">
        <v>38.229999999999997</v>
      </c>
    </row>
    <row r="2799" spans="1:11" x14ac:dyDescent="0.25">
      <c r="A2799" s="8" t="s">
        <v>4421</v>
      </c>
      <c r="B2799" s="8" t="s">
        <v>134</v>
      </c>
      <c r="C2799" s="8" t="s">
        <v>3687</v>
      </c>
      <c r="D2799" s="8">
        <v>3</v>
      </c>
      <c r="E2799" s="8" t="s">
        <v>4409</v>
      </c>
      <c r="F2799" s="8" t="s">
        <v>378</v>
      </c>
      <c r="G2799" s="8" t="s">
        <v>4371</v>
      </c>
      <c r="H2799" s="10">
        <v>200</v>
      </c>
      <c r="I2799" s="10"/>
      <c r="J2799" s="10">
        <v>200</v>
      </c>
      <c r="K2799" s="10">
        <v>38.229999999999997</v>
      </c>
    </row>
    <row r="2800" spans="1:11" x14ac:dyDescent="0.25">
      <c r="A2800" s="8" t="s">
        <v>4422</v>
      </c>
      <c r="B2800" s="8" t="s">
        <v>136</v>
      </c>
      <c r="C2800" s="8" t="s">
        <v>3687</v>
      </c>
      <c r="D2800" s="8">
        <v>3</v>
      </c>
      <c r="E2800" s="8" t="s">
        <v>4409</v>
      </c>
      <c r="F2800" s="8" t="s">
        <v>378</v>
      </c>
      <c r="G2800" s="8" t="s">
        <v>4371</v>
      </c>
      <c r="H2800" s="10">
        <v>150</v>
      </c>
      <c r="I2800" s="10"/>
      <c r="J2800" s="10">
        <v>150</v>
      </c>
      <c r="K2800" s="10">
        <v>38.229999999999997</v>
      </c>
    </row>
    <row r="2801" spans="1:11" x14ac:dyDescent="0.25">
      <c r="A2801" s="8" t="s">
        <v>4423</v>
      </c>
      <c r="B2801" s="8" t="s">
        <v>1689</v>
      </c>
      <c r="C2801" s="8" t="s">
        <v>3687</v>
      </c>
      <c r="D2801" s="8">
        <v>3</v>
      </c>
      <c r="E2801" s="8" t="s">
        <v>4409</v>
      </c>
      <c r="F2801" s="8" t="s">
        <v>378</v>
      </c>
      <c r="G2801" s="8" t="s">
        <v>4371</v>
      </c>
      <c r="H2801" s="10">
        <v>50</v>
      </c>
      <c r="I2801" s="10"/>
      <c r="J2801" s="10">
        <v>50</v>
      </c>
      <c r="K2801" s="10">
        <v>38.229999999999997</v>
      </c>
    </row>
    <row r="2802" spans="1:11" x14ac:dyDescent="0.25">
      <c r="A2802" s="8" t="s">
        <v>4424</v>
      </c>
      <c r="B2802" s="8" t="s">
        <v>3518</v>
      </c>
      <c r="C2802" s="8" t="s">
        <v>3687</v>
      </c>
      <c r="D2802" s="8">
        <v>3</v>
      </c>
      <c r="E2802" s="8" t="s">
        <v>4409</v>
      </c>
      <c r="F2802" s="8" t="s">
        <v>378</v>
      </c>
      <c r="G2802" s="8" t="s">
        <v>4371</v>
      </c>
      <c r="H2802" s="10">
        <v>10</v>
      </c>
      <c r="I2802" s="10"/>
      <c r="J2802" s="10">
        <v>10</v>
      </c>
      <c r="K2802" s="10">
        <v>38.229999999999997</v>
      </c>
    </row>
    <row r="2803" spans="1:11" x14ac:dyDescent="0.25">
      <c r="A2803" s="8" t="s">
        <v>4425</v>
      </c>
      <c r="B2803" s="8" t="s">
        <v>138</v>
      </c>
      <c r="C2803" s="8" t="s">
        <v>3687</v>
      </c>
      <c r="D2803" s="8">
        <v>3</v>
      </c>
      <c r="E2803" s="8" t="s">
        <v>4409</v>
      </c>
      <c r="F2803" s="8" t="s">
        <v>378</v>
      </c>
      <c r="G2803" s="8" t="s">
        <v>4371</v>
      </c>
      <c r="H2803" s="10">
        <v>100</v>
      </c>
      <c r="I2803" s="10"/>
      <c r="J2803" s="10">
        <v>100</v>
      </c>
      <c r="K2803" s="10">
        <v>38.229999999999997</v>
      </c>
    </row>
    <row r="2804" spans="1:11" x14ac:dyDescent="0.25">
      <c r="A2804" s="8" t="s">
        <v>4426</v>
      </c>
      <c r="B2804" s="8" t="s">
        <v>3521</v>
      </c>
      <c r="C2804" s="8" t="s">
        <v>3687</v>
      </c>
      <c r="D2804" s="8">
        <v>3</v>
      </c>
      <c r="E2804" s="8" t="s">
        <v>4409</v>
      </c>
      <c r="F2804" s="8" t="s">
        <v>378</v>
      </c>
      <c r="G2804" s="8" t="s">
        <v>4371</v>
      </c>
      <c r="H2804" s="10">
        <v>30</v>
      </c>
      <c r="I2804" s="10"/>
      <c r="J2804" s="10">
        <v>30</v>
      </c>
      <c r="K2804" s="10">
        <v>38.229999999999997</v>
      </c>
    </row>
    <row r="2805" spans="1:11" x14ac:dyDescent="0.25">
      <c r="A2805" s="8" t="s">
        <v>4427</v>
      </c>
      <c r="B2805" s="8" t="s">
        <v>80</v>
      </c>
      <c r="C2805" s="8" t="s">
        <v>3687</v>
      </c>
      <c r="D2805" s="8">
        <v>3</v>
      </c>
      <c r="E2805" s="8" t="s">
        <v>4409</v>
      </c>
      <c r="F2805" s="8" t="s">
        <v>378</v>
      </c>
      <c r="G2805" s="8" t="s">
        <v>4371</v>
      </c>
      <c r="H2805" s="10">
        <v>150</v>
      </c>
      <c r="I2805" s="10"/>
      <c r="J2805" s="10">
        <v>150</v>
      </c>
      <c r="K2805" s="10">
        <v>38.229999999999997</v>
      </c>
    </row>
    <row r="2806" spans="1:11" x14ac:dyDescent="0.25">
      <c r="A2806" s="8" t="s">
        <v>4428</v>
      </c>
      <c r="B2806" s="8" t="s">
        <v>116</v>
      </c>
      <c r="C2806" s="8" t="s">
        <v>3687</v>
      </c>
      <c r="D2806" s="8">
        <v>3</v>
      </c>
      <c r="E2806" s="8" t="s">
        <v>4429</v>
      </c>
      <c r="F2806" s="8" t="s">
        <v>378</v>
      </c>
      <c r="G2806" s="8" t="s">
        <v>4371</v>
      </c>
      <c r="H2806" s="10">
        <v>500</v>
      </c>
      <c r="I2806" s="10"/>
      <c r="J2806" s="10">
        <v>500</v>
      </c>
      <c r="K2806" s="10">
        <v>38.229999999999997</v>
      </c>
    </row>
    <row r="2807" spans="1:11" x14ac:dyDescent="0.25">
      <c r="A2807" s="8" t="s">
        <v>4430</v>
      </c>
      <c r="B2807" s="8" t="s">
        <v>116</v>
      </c>
      <c r="C2807" s="8" t="s">
        <v>3687</v>
      </c>
      <c r="D2807" s="8">
        <v>3</v>
      </c>
      <c r="E2807" s="8" t="s">
        <v>4429</v>
      </c>
      <c r="F2807" s="8" t="s">
        <v>378</v>
      </c>
      <c r="G2807" s="8" t="s">
        <v>4371</v>
      </c>
      <c r="H2807" s="10">
        <v>100</v>
      </c>
      <c r="I2807" s="10"/>
      <c r="J2807" s="10">
        <v>100</v>
      </c>
      <c r="K2807" s="10">
        <v>38.229999999999997</v>
      </c>
    </row>
    <row r="2808" spans="1:11" x14ac:dyDescent="0.25">
      <c r="A2808" s="8" t="s">
        <v>4431</v>
      </c>
      <c r="B2808" s="8" t="s">
        <v>118</v>
      </c>
      <c r="C2808" s="8" t="s">
        <v>3687</v>
      </c>
      <c r="D2808" s="8">
        <v>3</v>
      </c>
      <c r="E2808" s="8" t="s">
        <v>4429</v>
      </c>
      <c r="F2808" s="8" t="s">
        <v>378</v>
      </c>
      <c r="G2808" s="8" t="s">
        <v>4371</v>
      </c>
      <c r="H2808" s="10">
        <v>500</v>
      </c>
      <c r="I2808" s="10"/>
      <c r="J2808" s="10">
        <v>500</v>
      </c>
      <c r="K2808" s="10">
        <v>38.229999999999997</v>
      </c>
    </row>
    <row r="2809" spans="1:11" x14ac:dyDescent="0.25">
      <c r="A2809" s="8" t="s">
        <v>4432</v>
      </c>
      <c r="B2809" s="8" t="s">
        <v>1650</v>
      </c>
      <c r="C2809" s="8" t="s">
        <v>3687</v>
      </c>
      <c r="D2809" s="8">
        <v>3</v>
      </c>
      <c r="E2809" s="8" t="s">
        <v>4429</v>
      </c>
      <c r="F2809" s="8" t="s">
        <v>378</v>
      </c>
      <c r="G2809" s="8" t="s">
        <v>4371</v>
      </c>
      <c r="H2809" s="10">
        <v>300</v>
      </c>
      <c r="I2809" s="10"/>
      <c r="J2809" s="10">
        <v>300</v>
      </c>
      <c r="K2809" s="10">
        <v>38.229999999999997</v>
      </c>
    </row>
    <row r="2810" spans="1:11" x14ac:dyDescent="0.25">
      <c r="A2810" s="8" t="s">
        <v>4433</v>
      </c>
      <c r="B2810" s="8" t="s">
        <v>120</v>
      </c>
      <c r="C2810" s="8" t="s">
        <v>3687</v>
      </c>
      <c r="D2810" s="8">
        <v>3</v>
      </c>
      <c r="E2810" s="8" t="s">
        <v>4429</v>
      </c>
      <c r="F2810" s="8" t="s">
        <v>378</v>
      </c>
      <c r="G2810" s="8" t="s">
        <v>4371</v>
      </c>
      <c r="H2810" s="10">
        <v>50</v>
      </c>
      <c r="I2810" s="10"/>
      <c r="J2810" s="10">
        <v>50</v>
      </c>
      <c r="K2810" s="10">
        <v>38.229999999999997</v>
      </c>
    </row>
    <row r="2811" spans="1:11" x14ac:dyDescent="0.25">
      <c r="A2811" s="8" t="s">
        <v>4434</v>
      </c>
      <c r="B2811" s="8" t="s">
        <v>120</v>
      </c>
      <c r="C2811" s="8" t="s">
        <v>3687</v>
      </c>
      <c r="D2811" s="8">
        <v>3</v>
      </c>
      <c r="E2811" s="8" t="s">
        <v>4429</v>
      </c>
      <c r="F2811" s="8" t="s">
        <v>378</v>
      </c>
      <c r="G2811" s="8" t="s">
        <v>4371</v>
      </c>
      <c r="H2811" s="10">
        <v>500</v>
      </c>
      <c r="I2811" s="10"/>
      <c r="J2811" s="10">
        <v>500</v>
      </c>
      <c r="K2811" s="10">
        <v>38.229999999999997</v>
      </c>
    </row>
    <row r="2812" spans="1:11" x14ac:dyDescent="0.25">
      <c r="A2812" s="8" t="s">
        <v>4435</v>
      </c>
      <c r="B2812" s="8" t="s">
        <v>122</v>
      </c>
      <c r="C2812" s="8" t="s">
        <v>3687</v>
      </c>
      <c r="D2812" s="8">
        <v>3</v>
      </c>
      <c r="E2812" s="8" t="s">
        <v>4429</v>
      </c>
      <c r="F2812" s="8" t="s">
        <v>378</v>
      </c>
      <c r="G2812" s="8" t="s">
        <v>4371</v>
      </c>
      <c r="H2812" s="10">
        <v>500</v>
      </c>
      <c r="I2812" s="10"/>
      <c r="J2812" s="10">
        <v>500</v>
      </c>
      <c r="K2812" s="10">
        <v>38.229999999999997</v>
      </c>
    </row>
    <row r="2813" spans="1:11" x14ac:dyDescent="0.25">
      <c r="A2813" s="8" t="s">
        <v>4436</v>
      </c>
      <c r="B2813" s="8" t="s">
        <v>124</v>
      </c>
      <c r="C2813" s="8" t="s">
        <v>3687</v>
      </c>
      <c r="D2813" s="8">
        <v>3</v>
      </c>
      <c r="E2813" s="8" t="s">
        <v>4429</v>
      </c>
      <c r="F2813" s="8" t="s">
        <v>378</v>
      </c>
      <c r="G2813" s="8" t="s">
        <v>4371</v>
      </c>
      <c r="H2813" s="10">
        <v>500</v>
      </c>
      <c r="I2813" s="10"/>
      <c r="J2813" s="10">
        <v>500</v>
      </c>
      <c r="K2813" s="10">
        <v>38.229999999999997</v>
      </c>
    </row>
    <row r="2814" spans="1:11" x14ac:dyDescent="0.25">
      <c r="A2814" s="8" t="s">
        <v>4437</v>
      </c>
      <c r="B2814" s="8" t="s">
        <v>78</v>
      </c>
      <c r="C2814" s="8" t="s">
        <v>3687</v>
      </c>
      <c r="D2814" s="8">
        <v>3</v>
      </c>
      <c r="E2814" s="8" t="s">
        <v>4429</v>
      </c>
      <c r="F2814" s="8" t="s">
        <v>378</v>
      </c>
      <c r="G2814" s="8" t="s">
        <v>4371</v>
      </c>
      <c r="H2814" s="10">
        <v>500</v>
      </c>
      <c r="I2814" s="10"/>
      <c r="J2814" s="10">
        <v>500</v>
      </c>
      <c r="K2814" s="10">
        <v>38.229999999999997</v>
      </c>
    </row>
    <row r="2815" spans="1:11" x14ac:dyDescent="0.25">
      <c r="A2815" s="8" t="s">
        <v>4438</v>
      </c>
      <c r="B2815" s="8" t="s">
        <v>1655</v>
      </c>
      <c r="C2815" s="8" t="s">
        <v>3687</v>
      </c>
      <c r="D2815" s="8">
        <v>3</v>
      </c>
      <c r="E2815" s="8" t="s">
        <v>4429</v>
      </c>
      <c r="F2815" s="8" t="s">
        <v>378</v>
      </c>
      <c r="G2815" s="8" t="s">
        <v>4371</v>
      </c>
      <c r="H2815" s="10">
        <v>300</v>
      </c>
      <c r="I2815" s="10"/>
      <c r="J2815" s="10">
        <v>300</v>
      </c>
      <c r="K2815" s="10">
        <v>38.229999999999997</v>
      </c>
    </row>
    <row r="2816" spans="1:11" x14ac:dyDescent="0.25">
      <c r="A2816" s="8" t="s">
        <v>4439</v>
      </c>
      <c r="B2816" s="8" t="s">
        <v>128</v>
      </c>
      <c r="C2816" s="8" t="s">
        <v>3687</v>
      </c>
      <c r="D2816" s="8">
        <v>3</v>
      </c>
      <c r="E2816" s="8" t="s">
        <v>4429</v>
      </c>
      <c r="F2816" s="8" t="s">
        <v>378</v>
      </c>
      <c r="G2816" s="8" t="s">
        <v>4371</v>
      </c>
      <c r="H2816" s="10">
        <v>500</v>
      </c>
      <c r="I2816" s="10"/>
      <c r="J2816" s="10">
        <v>500</v>
      </c>
      <c r="K2816" s="10">
        <v>38.229999999999997</v>
      </c>
    </row>
    <row r="2817" spans="1:11" x14ac:dyDescent="0.25">
      <c r="A2817" s="8" t="s">
        <v>4440</v>
      </c>
      <c r="B2817" s="8" t="s">
        <v>949</v>
      </c>
      <c r="C2817" s="8" t="s">
        <v>3687</v>
      </c>
      <c r="D2817" s="8">
        <v>3</v>
      </c>
      <c r="E2817" s="8" t="s">
        <v>4429</v>
      </c>
      <c r="F2817" s="8" t="s">
        <v>378</v>
      </c>
      <c r="G2817" s="8" t="s">
        <v>4371</v>
      </c>
      <c r="H2817" s="10">
        <v>100</v>
      </c>
      <c r="I2817" s="10"/>
      <c r="J2817" s="10">
        <v>100</v>
      </c>
      <c r="K2817" s="10">
        <v>38.229999999999997</v>
      </c>
    </row>
    <row r="2818" spans="1:11" x14ac:dyDescent="0.25">
      <c r="A2818" s="8" t="s">
        <v>4441</v>
      </c>
      <c r="B2818" s="8" t="s">
        <v>130</v>
      </c>
      <c r="C2818" s="8" t="s">
        <v>3687</v>
      </c>
      <c r="D2818" s="8">
        <v>3</v>
      </c>
      <c r="E2818" s="8" t="s">
        <v>4429</v>
      </c>
      <c r="F2818" s="8" t="s">
        <v>378</v>
      </c>
      <c r="G2818" s="8" t="s">
        <v>4371</v>
      </c>
      <c r="H2818" s="10">
        <v>200</v>
      </c>
      <c r="I2818" s="10"/>
      <c r="J2818" s="10">
        <v>200</v>
      </c>
      <c r="K2818" s="10">
        <v>38.229999999999997</v>
      </c>
    </row>
    <row r="2819" spans="1:11" x14ac:dyDescent="0.25">
      <c r="A2819" s="8" t="s">
        <v>4442</v>
      </c>
      <c r="B2819" s="8" t="s">
        <v>132</v>
      </c>
      <c r="C2819" s="8" t="s">
        <v>3687</v>
      </c>
      <c r="D2819" s="8">
        <v>3</v>
      </c>
      <c r="E2819" s="8" t="s">
        <v>4429</v>
      </c>
      <c r="F2819" s="8" t="s">
        <v>378</v>
      </c>
      <c r="G2819" s="8" t="s">
        <v>4371</v>
      </c>
      <c r="H2819" s="10">
        <v>200</v>
      </c>
      <c r="I2819" s="10"/>
      <c r="J2819" s="10">
        <v>200</v>
      </c>
      <c r="K2819" s="10">
        <v>38.229999999999997</v>
      </c>
    </row>
    <row r="2820" spans="1:11" x14ac:dyDescent="0.25">
      <c r="A2820" s="8" t="s">
        <v>4443</v>
      </c>
      <c r="B2820" s="8" t="s">
        <v>134</v>
      </c>
      <c r="C2820" s="8" t="s">
        <v>3687</v>
      </c>
      <c r="D2820" s="8">
        <v>3</v>
      </c>
      <c r="E2820" s="8" t="s">
        <v>4429</v>
      </c>
      <c r="F2820" s="8" t="s">
        <v>378</v>
      </c>
      <c r="G2820" s="8" t="s">
        <v>4371</v>
      </c>
      <c r="H2820" s="10">
        <v>300</v>
      </c>
      <c r="I2820" s="10"/>
      <c r="J2820" s="10">
        <v>300</v>
      </c>
      <c r="K2820" s="10">
        <v>38.229999999999997</v>
      </c>
    </row>
    <row r="2821" spans="1:11" x14ac:dyDescent="0.25">
      <c r="A2821" s="8" t="s">
        <v>4444</v>
      </c>
      <c r="B2821" s="8" t="s">
        <v>136</v>
      </c>
      <c r="C2821" s="8" t="s">
        <v>3687</v>
      </c>
      <c r="D2821" s="8">
        <v>3</v>
      </c>
      <c r="E2821" s="8" t="s">
        <v>4429</v>
      </c>
      <c r="F2821" s="8" t="s">
        <v>378</v>
      </c>
      <c r="G2821" s="8" t="s">
        <v>4371</v>
      </c>
      <c r="H2821" s="10">
        <v>300</v>
      </c>
      <c r="I2821" s="10"/>
      <c r="J2821" s="10">
        <v>300</v>
      </c>
      <c r="K2821" s="10">
        <v>38.229999999999997</v>
      </c>
    </row>
    <row r="2822" spans="1:11" x14ac:dyDescent="0.25">
      <c r="A2822" s="8" t="s">
        <v>4445</v>
      </c>
      <c r="B2822" s="8" t="s">
        <v>1689</v>
      </c>
      <c r="C2822" s="8" t="s">
        <v>3687</v>
      </c>
      <c r="D2822" s="8">
        <v>3</v>
      </c>
      <c r="E2822" s="8" t="s">
        <v>4429</v>
      </c>
      <c r="F2822" s="8" t="s">
        <v>378</v>
      </c>
      <c r="G2822" s="8" t="s">
        <v>4371</v>
      </c>
      <c r="H2822" s="10">
        <v>50</v>
      </c>
      <c r="I2822" s="10"/>
      <c r="J2822" s="10">
        <v>50</v>
      </c>
      <c r="K2822" s="10">
        <v>38.229999999999997</v>
      </c>
    </row>
    <row r="2823" spans="1:11" x14ac:dyDescent="0.25">
      <c r="A2823" s="8" t="s">
        <v>4446</v>
      </c>
      <c r="B2823" s="8" t="s">
        <v>3518</v>
      </c>
      <c r="C2823" s="8" t="s">
        <v>3687</v>
      </c>
      <c r="D2823" s="8">
        <v>3</v>
      </c>
      <c r="E2823" s="8" t="s">
        <v>4429</v>
      </c>
      <c r="F2823" s="8" t="s">
        <v>378</v>
      </c>
      <c r="G2823" s="8" t="s">
        <v>4371</v>
      </c>
      <c r="H2823" s="10">
        <v>10</v>
      </c>
      <c r="I2823" s="10"/>
      <c r="J2823" s="10">
        <v>10</v>
      </c>
      <c r="K2823" s="10">
        <v>38.229999999999997</v>
      </c>
    </row>
    <row r="2824" spans="1:11" x14ac:dyDescent="0.25">
      <c r="A2824" s="8" t="s">
        <v>4447</v>
      </c>
      <c r="B2824" s="8" t="s">
        <v>138</v>
      </c>
      <c r="C2824" s="8" t="s">
        <v>3687</v>
      </c>
      <c r="D2824" s="8">
        <v>3</v>
      </c>
      <c r="E2824" s="8" t="s">
        <v>4429</v>
      </c>
      <c r="F2824" s="8" t="s">
        <v>378</v>
      </c>
      <c r="G2824" s="8" t="s">
        <v>4371</v>
      </c>
      <c r="H2824" s="10">
        <v>100</v>
      </c>
      <c r="I2824" s="10"/>
      <c r="J2824" s="10">
        <v>100</v>
      </c>
      <c r="K2824" s="10">
        <v>38.229999999999997</v>
      </c>
    </row>
    <row r="2825" spans="1:11" x14ac:dyDescent="0.25">
      <c r="A2825" s="8" t="s">
        <v>4448</v>
      </c>
      <c r="B2825" s="8" t="s">
        <v>3521</v>
      </c>
      <c r="C2825" s="8" t="s">
        <v>3687</v>
      </c>
      <c r="D2825" s="8">
        <v>3</v>
      </c>
      <c r="E2825" s="8" t="s">
        <v>4429</v>
      </c>
      <c r="F2825" s="8" t="s">
        <v>378</v>
      </c>
      <c r="G2825" s="8" t="s">
        <v>4371</v>
      </c>
      <c r="H2825" s="10">
        <v>100</v>
      </c>
      <c r="I2825" s="10"/>
      <c r="J2825" s="10">
        <v>100</v>
      </c>
      <c r="K2825" s="10">
        <v>38.229999999999997</v>
      </c>
    </row>
    <row r="2826" spans="1:11" x14ac:dyDescent="0.25">
      <c r="A2826" s="8" t="s">
        <v>4449</v>
      </c>
      <c r="B2826" s="8" t="s">
        <v>80</v>
      </c>
      <c r="C2826" s="8" t="s">
        <v>3687</v>
      </c>
      <c r="D2826" s="8">
        <v>3</v>
      </c>
      <c r="E2826" s="8" t="s">
        <v>4429</v>
      </c>
      <c r="F2826" s="8" t="s">
        <v>378</v>
      </c>
      <c r="G2826" s="8" t="s">
        <v>4371</v>
      </c>
      <c r="H2826" s="10">
        <v>200</v>
      </c>
      <c r="I2826" s="10"/>
      <c r="J2826" s="10">
        <v>200</v>
      </c>
      <c r="K2826" s="10">
        <v>38.229999999999997</v>
      </c>
    </row>
    <row r="2827" spans="1:11" x14ac:dyDescent="0.25">
      <c r="A2827" s="8" t="s">
        <v>4450</v>
      </c>
      <c r="B2827" s="8" t="s">
        <v>118</v>
      </c>
      <c r="C2827" s="8" t="s">
        <v>3687</v>
      </c>
      <c r="D2827" s="8">
        <v>3</v>
      </c>
      <c r="E2827" s="8" t="s">
        <v>4451</v>
      </c>
      <c r="F2827" s="8" t="s">
        <v>911</v>
      </c>
      <c r="G2827" s="8" t="s">
        <v>4371</v>
      </c>
      <c r="H2827" s="10">
        <v>12</v>
      </c>
      <c r="I2827" s="10"/>
      <c r="J2827" s="10">
        <v>12</v>
      </c>
      <c r="K2827" s="10">
        <v>1151.5899999999999</v>
      </c>
    </row>
    <row r="2828" spans="1:11" x14ac:dyDescent="0.25">
      <c r="A2828" s="8" t="s">
        <v>4452</v>
      </c>
      <c r="B2828" s="8" t="s">
        <v>1650</v>
      </c>
      <c r="C2828" s="8" t="s">
        <v>3687</v>
      </c>
      <c r="D2828" s="8">
        <v>3</v>
      </c>
      <c r="E2828" s="8" t="s">
        <v>4451</v>
      </c>
      <c r="F2828" s="8" t="s">
        <v>911</v>
      </c>
      <c r="G2828" s="8" t="s">
        <v>4371</v>
      </c>
      <c r="H2828" s="10">
        <v>6</v>
      </c>
      <c r="I2828" s="10"/>
      <c r="J2828" s="10">
        <v>6</v>
      </c>
      <c r="K2828" s="10">
        <v>1151.5899999999999</v>
      </c>
    </row>
    <row r="2829" spans="1:11" x14ac:dyDescent="0.25">
      <c r="A2829" s="8" t="s">
        <v>4453</v>
      </c>
      <c r="B2829" s="8" t="s">
        <v>1655</v>
      </c>
      <c r="C2829" s="8" t="s">
        <v>3687</v>
      </c>
      <c r="D2829" s="8">
        <v>3</v>
      </c>
      <c r="E2829" s="8" t="s">
        <v>4451</v>
      </c>
      <c r="F2829" s="8" t="s">
        <v>911</v>
      </c>
      <c r="G2829" s="8" t="s">
        <v>4371</v>
      </c>
      <c r="H2829" s="10">
        <v>6</v>
      </c>
      <c r="I2829" s="10"/>
      <c r="J2829" s="10">
        <v>6</v>
      </c>
      <c r="K2829" s="10">
        <v>1151.5899999999999</v>
      </c>
    </row>
    <row r="2830" spans="1:11" x14ac:dyDescent="0.25">
      <c r="A2830" s="8" t="s">
        <v>4454</v>
      </c>
      <c r="B2830" s="8" t="s">
        <v>1689</v>
      </c>
      <c r="C2830" s="8" t="s">
        <v>3687</v>
      </c>
      <c r="D2830" s="8">
        <v>3</v>
      </c>
      <c r="E2830" s="8" t="s">
        <v>4451</v>
      </c>
      <c r="F2830" s="8" t="s">
        <v>911</v>
      </c>
      <c r="G2830" s="8" t="s">
        <v>4371</v>
      </c>
      <c r="H2830" s="10">
        <v>2</v>
      </c>
      <c r="I2830" s="10"/>
      <c r="J2830" s="10">
        <v>2</v>
      </c>
      <c r="K2830" s="10">
        <v>1151.5899999999999</v>
      </c>
    </row>
    <row r="2831" spans="1:11" x14ac:dyDescent="0.25">
      <c r="A2831" s="8" t="s">
        <v>4455</v>
      </c>
      <c r="B2831" s="8" t="s">
        <v>3518</v>
      </c>
      <c r="C2831" s="8" t="s">
        <v>3687</v>
      </c>
      <c r="D2831" s="8">
        <v>3</v>
      </c>
      <c r="E2831" s="8" t="s">
        <v>4451</v>
      </c>
      <c r="F2831" s="8" t="s">
        <v>911</v>
      </c>
      <c r="G2831" s="8" t="s">
        <v>4371</v>
      </c>
      <c r="H2831" s="10">
        <v>2</v>
      </c>
      <c r="I2831" s="10"/>
      <c r="J2831" s="10">
        <v>2</v>
      </c>
      <c r="K2831" s="10">
        <v>1151.5899999999999</v>
      </c>
    </row>
    <row r="2832" spans="1:11" x14ac:dyDescent="0.25">
      <c r="A2832" s="8" t="s">
        <v>4456</v>
      </c>
      <c r="B2832" s="8" t="s">
        <v>263</v>
      </c>
      <c r="C2832" s="8" t="s">
        <v>3361</v>
      </c>
      <c r="D2832" s="8">
        <v>4</v>
      </c>
      <c r="E2832" s="8" t="s">
        <v>474</v>
      </c>
      <c r="F2832" s="8" t="s">
        <v>378</v>
      </c>
      <c r="G2832" s="8" t="s">
        <v>4457</v>
      </c>
      <c r="H2832" s="10">
        <v>30</v>
      </c>
      <c r="I2832" s="10"/>
      <c r="J2832" s="10">
        <v>30</v>
      </c>
      <c r="K2832" s="10">
        <v>52.04</v>
      </c>
    </row>
    <row r="2833" spans="1:11" x14ac:dyDescent="0.25">
      <c r="A2833" s="8" t="s">
        <v>4458</v>
      </c>
      <c r="B2833" s="8" t="s">
        <v>269</v>
      </c>
      <c r="C2833" s="8" t="s">
        <v>3361</v>
      </c>
      <c r="D2833" s="8">
        <v>4</v>
      </c>
      <c r="E2833" s="8" t="s">
        <v>474</v>
      </c>
      <c r="F2833" s="8" t="s">
        <v>378</v>
      </c>
      <c r="G2833" s="8" t="s">
        <v>4457</v>
      </c>
      <c r="H2833" s="10">
        <v>30</v>
      </c>
      <c r="I2833" s="10"/>
      <c r="J2833" s="10">
        <v>30</v>
      </c>
      <c r="K2833" s="10">
        <v>52.04</v>
      </c>
    </row>
    <row r="2834" spans="1:11" x14ac:dyDescent="0.25">
      <c r="A2834" s="8" t="s">
        <v>4459</v>
      </c>
      <c r="B2834" s="8" t="s">
        <v>1650</v>
      </c>
      <c r="C2834" s="8" t="s">
        <v>4460</v>
      </c>
      <c r="D2834" s="8">
        <v>1</v>
      </c>
      <c r="E2834" s="8" t="s">
        <v>4461</v>
      </c>
      <c r="F2834" s="8" t="s">
        <v>2998</v>
      </c>
      <c r="G2834" s="8" t="s">
        <v>4462</v>
      </c>
      <c r="H2834" s="10">
        <v>50</v>
      </c>
      <c r="I2834" s="10"/>
      <c r="J2834" s="10">
        <v>50</v>
      </c>
      <c r="K2834" s="10">
        <v>849.12</v>
      </c>
    </row>
    <row r="2835" spans="1:11" x14ac:dyDescent="0.25">
      <c r="A2835" s="8" t="s">
        <v>4463</v>
      </c>
      <c r="B2835" s="8" t="s">
        <v>120</v>
      </c>
      <c r="C2835" s="8" t="s">
        <v>4460</v>
      </c>
      <c r="D2835" s="8">
        <v>1</v>
      </c>
      <c r="E2835" s="8" t="s">
        <v>4461</v>
      </c>
      <c r="F2835" s="8" t="s">
        <v>2998</v>
      </c>
      <c r="G2835" s="8" t="s">
        <v>4462</v>
      </c>
      <c r="H2835" s="10">
        <v>130</v>
      </c>
      <c r="I2835" s="10"/>
      <c r="J2835" s="10">
        <v>130</v>
      </c>
      <c r="K2835" s="10">
        <v>849.12</v>
      </c>
    </row>
    <row r="2836" spans="1:11" x14ac:dyDescent="0.25">
      <c r="A2836" s="8" t="s">
        <v>4464</v>
      </c>
      <c r="B2836" s="8" t="s">
        <v>1655</v>
      </c>
      <c r="C2836" s="8" t="s">
        <v>4460</v>
      </c>
      <c r="D2836" s="8">
        <v>1</v>
      </c>
      <c r="E2836" s="8" t="s">
        <v>4461</v>
      </c>
      <c r="F2836" s="8" t="s">
        <v>2998</v>
      </c>
      <c r="G2836" s="8" t="s">
        <v>4462</v>
      </c>
      <c r="H2836" s="10">
        <v>60</v>
      </c>
      <c r="I2836" s="10"/>
      <c r="J2836" s="10">
        <v>60</v>
      </c>
      <c r="K2836" s="10">
        <v>849.12</v>
      </c>
    </row>
    <row r="2837" spans="1:11" x14ac:dyDescent="0.25">
      <c r="A2837" s="8" t="s">
        <v>4465</v>
      </c>
      <c r="B2837" s="8" t="s">
        <v>263</v>
      </c>
      <c r="C2837" s="8" t="s">
        <v>974</v>
      </c>
      <c r="D2837" s="8">
        <v>5</v>
      </c>
      <c r="E2837" s="8" t="s">
        <v>477</v>
      </c>
      <c r="F2837" s="8" t="s">
        <v>266</v>
      </c>
      <c r="G2837" s="8" t="s">
        <v>976</v>
      </c>
      <c r="H2837" s="10">
        <v>0.5</v>
      </c>
      <c r="I2837" s="10"/>
      <c r="J2837" s="10">
        <v>0.5</v>
      </c>
      <c r="K2837" s="10">
        <v>7827.36</v>
      </c>
    </row>
    <row r="2838" spans="1:11" x14ac:dyDescent="0.25">
      <c r="A2838" s="8" t="s">
        <v>4466</v>
      </c>
      <c r="B2838" s="8" t="s">
        <v>269</v>
      </c>
      <c r="C2838" s="8" t="s">
        <v>974</v>
      </c>
      <c r="D2838" s="8">
        <v>5</v>
      </c>
      <c r="E2838" s="8" t="s">
        <v>477</v>
      </c>
      <c r="F2838" s="8" t="s">
        <v>266</v>
      </c>
      <c r="G2838" s="8" t="s">
        <v>976</v>
      </c>
      <c r="H2838" s="10">
        <v>0.5</v>
      </c>
      <c r="I2838" s="10"/>
      <c r="J2838" s="10">
        <v>0.5</v>
      </c>
      <c r="K2838" s="10">
        <v>7827.36</v>
      </c>
    </row>
    <row r="2839" spans="1:11" x14ac:dyDescent="0.25">
      <c r="A2839" s="8" t="s">
        <v>4467</v>
      </c>
      <c r="B2839" s="8" t="s">
        <v>72</v>
      </c>
      <c r="C2839" s="8" t="s">
        <v>974</v>
      </c>
      <c r="D2839" s="8">
        <v>5</v>
      </c>
      <c r="E2839" s="8" t="s">
        <v>477</v>
      </c>
      <c r="F2839" s="8" t="s">
        <v>266</v>
      </c>
      <c r="G2839" s="8" t="s">
        <v>976</v>
      </c>
      <c r="H2839" s="10">
        <v>1</v>
      </c>
      <c r="I2839" s="10"/>
      <c r="J2839" s="10">
        <v>1</v>
      </c>
      <c r="K2839" s="10">
        <v>7827.36</v>
      </c>
    </row>
    <row r="2840" spans="1:11" x14ac:dyDescent="0.25">
      <c r="A2840" s="8" t="s">
        <v>4468</v>
      </c>
      <c r="B2840" s="8" t="s">
        <v>116</v>
      </c>
      <c r="C2840" s="8" t="s">
        <v>974</v>
      </c>
      <c r="D2840" s="8">
        <v>5</v>
      </c>
      <c r="E2840" s="8" t="s">
        <v>477</v>
      </c>
      <c r="F2840" s="8" t="s">
        <v>266</v>
      </c>
      <c r="G2840" s="8" t="s">
        <v>976</v>
      </c>
      <c r="H2840" s="10">
        <v>9.8000000000000007</v>
      </c>
      <c r="I2840" s="10"/>
      <c r="J2840" s="10">
        <v>9.8000000000000007</v>
      </c>
      <c r="K2840" s="10">
        <v>7827.36</v>
      </c>
    </row>
    <row r="2841" spans="1:11" x14ac:dyDescent="0.25">
      <c r="A2841" s="8" t="s">
        <v>4469</v>
      </c>
      <c r="B2841" s="8" t="s">
        <v>116</v>
      </c>
      <c r="C2841" s="8" t="s">
        <v>974</v>
      </c>
      <c r="D2841" s="8">
        <v>5</v>
      </c>
      <c r="E2841" s="8" t="s">
        <v>477</v>
      </c>
      <c r="F2841" s="8" t="s">
        <v>266</v>
      </c>
      <c r="G2841" s="8" t="s">
        <v>976</v>
      </c>
      <c r="H2841" s="10">
        <v>11.3</v>
      </c>
      <c r="I2841" s="10"/>
      <c r="J2841" s="10">
        <v>11.3</v>
      </c>
      <c r="K2841" s="10">
        <v>7827.36</v>
      </c>
    </row>
    <row r="2842" spans="1:11" x14ac:dyDescent="0.25">
      <c r="A2842" s="8" t="s">
        <v>4470</v>
      </c>
      <c r="B2842" s="8" t="s">
        <v>118</v>
      </c>
      <c r="C2842" s="8" t="s">
        <v>974</v>
      </c>
      <c r="D2842" s="8">
        <v>5</v>
      </c>
      <c r="E2842" s="8" t="s">
        <v>477</v>
      </c>
      <c r="F2842" s="8" t="s">
        <v>266</v>
      </c>
      <c r="G2842" s="8" t="s">
        <v>976</v>
      </c>
      <c r="H2842" s="10">
        <v>42.7</v>
      </c>
      <c r="I2842" s="10"/>
      <c r="J2842" s="10">
        <v>42.7</v>
      </c>
      <c r="K2842" s="10">
        <v>7827.36</v>
      </c>
    </row>
    <row r="2843" spans="1:11" x14ac:dyDescent="0.25">
      <c r="A2843" s="8" t="s">
        <v>4471</v>
      </c>
      <c r="B2843" s="8" t="s">
        <v>118</v>
      </c>
      <c r="C2843" s="8" t="s">
        <v>974</v>
      </c>
      <c r="D2843" s="8">
        <v>5</v>
      </c>
      <c r="E2843" s="8" t="s">
        <v>477</v>
      </c>
      <c r="F2843" s="8" t="s">
        <v>266</v>
      </c>
      <c r="G2843" s="8" t="s">
        <v>976</v>
      </c>
      <c r="H2843" s="10">
        <v>6.1</v>
      </c>
      <c r="I2843" s="10"/>
      <c r="J2843" s="10">
        <v>6.1</v>
      </c>
      <c r="K2843" s="10">
        <v>7827.36</v>
      </c>
    </row>
    <row r="2844" spans="1:11" x14ac:dyDescent="0.25">
      <c r="A2844" s="8" t="s">
        <v>4472</v>
      </c>
      <c r="B2844" s="8" t="s">
        <v>120</v>
      </c>
      <c r="C2844" s="8" t="s">
        <v>974</v>
      </c>
      <c r="D2844" s="8">
        <v>5</v>
      </c>
      <c r="E2844" s="8" t="s">
        <v>477</v>
      </c>
      <c r="F2844" s="8" t="s">
        <v>266</v>
      </c>
      <c r="G2844" s="8" t="s">
        <v>976</v>
      </c>
      <c r="H2844" s="10">
        <v>142.6</v>
      </c>
      <c r="I2844" s="10"/>
      <c r="J2844" s="10">
        <v>142.6</v>
      </c>
      <c r="K2844" s="10">
        <v>7827.36</v>
      </c>
    </row>
    <row r="2845" spans="1:11" x14ac:dyDescent="0.25">
      <c r="A2845" s="8" t="s">
        <v>4473</v>
      </c>
      <c r="B2845" s="8" t="s">
        <v>120</v>
      </c>
      <c r="C2845" s="8" t="s">
        <v>974</v>
      </c>
      <c r="D2845" s="8">
        <v>5</v>
      </c>
      <c r="E2845" s="8" t="s">
        <v>477</v>
      </c>
      <c r="F2845" s="8" t="s">
        <v>266</v>
      </c>
      <c r="G2845" s="8" t="s">
        <v>976</v>
      </c>
      <c r="H2845" s="10">
        <v>15.3</v>
      </c>
      <c r="I2845" s="10"/>
      <c r="J2845" s="10">
        <v>15.3</v>
      </c>
      <c r="K2845" s="10">
        <v>7827.36</v>
      </c>
    </row>
    <row r="2846" spans="1:11" x14ac:dyDescent="0.25">
      <c r="A2846" s="8" t="s">
        <v>4474</v>
      </c>
      <c r="B2846" s="8" t="s">
        <v>122</v>
      </c>
      <c r="C2846" s="8" t="s">
        <v>974</v>
      </c>
      <c r="D2846" s="8">
        <v>5</v>
      </c>
      <c r="E2846" s="8" t="s">
        <v>477</v>
      </c>
      <c r="F2846" s="8" t="s">
        <v>266</v>
      </c>
      <c r="G2846" s="8" t="s">
        <v>976</v>
      </c>
      <c r="H2846" s="10">
        <v>12</v>
      </c>
      <c r="I2846" s="10"/>
      <c r="J2846" s="10">
        <v>12</v>
      </c>
      <c r="K2846" s="10">
        <v>7827.36</v>
      </c>
    </row>
    <row r="2847" spans="1:11" x14ac:dyDescent="0.25">
      <c r="A2847" s="8" t="s">
        <v>4475</v>
      </c>
      <c r="B2847" s="8" t="s">
        <v>122</v>
      </c>
      <c r="C2847" s="8" t="s">
        <v>974</v>
      </c>
      <c r="D2847" s="8">
        <v>5</v>
      </c>
      <c r="E2847" s="8" t="s">
        <v>477</v>
      </c>
      <c r="F2847" s="8" t="s">
        <v>266</v>
      </c>
      <c r="G2847" s="8" t="s">
        <v>976</v>
      </c>
      <c r="H2847" s="10">
        <v>0.8</v>
      </c>
      <c r="I2847" s="10"/>
      <c r="J2847" s="10">
        <v>0.8</v>
      </c>
      <c r="K2847" s="10">
        <v>7827.36</v>
      </c>
    </row>
    <row r="2848" spans="1:11" x14ac:dyDescent="0.25">
      <c r="A2848" s="8" t="s">
        <v>4476</v>
      </c>
      <c r="B2848" s="8" t="s">
        <v>124</v>
      </c>
      <c r="C2848" s="8" t="s">
        <v>974</v>
      </c>
      <c r="D2848" s="8">
        <v>5</v>
      </c>
      <c r="E2848" s="8" t="s">
        <v>477</v>
      </c>
      <c r="F2848" s="8" t="s">
        <v>266</v>
      </c>
      <c r="G2848" s="8" t="s">
        <v>976</v>
      </c>
      <c r="H2848" s="10">
        <v>34.1</v>
      </c>
      <c r="I2848" s="10"/>
      <c r="J2848" s="10">
        <v>34.1</v>
      </c>
      <c r="K2848" s="10">
        <v>7827.36</v>
      </c>
    </row>
    <row r="2849" spans="1:11" x14ac:dyDescent="0.25">
      <c r="A2849" s="8" t="s">
        <v>4477</v>
      </c>
      <c r="B2849" s="8" t="s">
        <v>78</v>
      </c>
      <c r="C2849" s="8" t="s">
        <v>974</v>
      </c>
      <c r="D2849" s="8">
        <v>5</v>
      </c>
      <c r="E2849" s="8" t="s">
        <v>477</v>
      </c>
      <c r="F2849" s="8" t="s">
        <v>266</v>
      </c>
      <c r="G2849" s="8" t="s">
        <v>976</v>
      </c>
      <c r="H2849" s="10">
        <v>22.8</v>
      </c>
      <c r="I2849" s="10"/>
      <c r="J2849" s="10">
        <v>22.8</v>
      </c>
      <c r="K2849" s="10">
        <v>7827.36</v>
      </c>
    </row>
    <row r="2850" spans="1:11" x14ac:dyDescent="0.25">
      <c r="A2850" s="8" t="s">
        <v>4478</v>
      </c>
      <c r="B2850" s="8" t="s">
        <v>128</v>
      </c>
      <c r="C2850" s="8" t="s">
        <v>974</v>
      </c>
      <c r="D2850" s="8">
        <v>5</v>
      </c>
      <c r="E2850" s="8" t="s">
        <v>477</v>
      </c>
      <c r="F2850" s="8" t="s">
        <v>266</v>
      </c>
      <c r="G2850" s="8" t="s">
        <v>976</v>
      </c>
      <c r="H2850" s="10">
        <v>1.2</v>
      </c>
      <c r="I2850" s="10"/>
      <c r="J2850" s="10">
        <v>1.2</v>
      </c>
      <c r="K2850" s="10">
        <v>7827.36</v>
      </c>
    </row>
    <row r="2851" spans="1:11" x14ac:dyDescent="0.25">
      <c r="A2851" s="8" t="s">
        <v>4479</v>
      </c>
      <c r="B2851" s="8" t="s">
        <v>130</v>
      </c>
      <c r="C2851" s="8" t="s">
        <v>974</v>
      </c>
      <c r="D2851" s="8">
        <v>5</v>
      </c>
      <c r="E2851" s="8" t="s">
        <v>477</v>
      </c>
      <c r="F2851" s="8" t="s">
        <v>266</v>
      </c>
      <c r="G2851" s="8" t="s">
        <v>976</v>
      </c>
      <c r="H2851" s="10">
        <v>1.1000000000000001</v>
      </c>
      <c r="I2851" s="10"/>
      <c r="J2851" s="10">
        <v>1.1000000000000001</v>
      </c>
      <c r="K2851" s="10">
        <v>7827.36</v>
      </c>
    </row>
    <row r="2852" spans="1:11" x14ac:dyDescent="0.25">
      <c r="A2852" s="8" t="s">
        <v>4480</v>
      </c>
      <c r="B2852" s="8" t="s">
        <v>132</v>
      </c>
      <c r="C2852" s="8" t="s">
        <v>974</v>
      </c>
      <c r="D2852" s="8">
        <v>5</v>
      </c>
      <c r="E2852" s="8" t="s">
        <v>477</v>
      </c>
      <c r="F2852" s="8" t="s">
        <v>266</v>
      </c>
      <c r="G2852" s="8" t="s">
        <v>976</v>
      </c>
      <c r="H2852" s="10">
        <v>6.7</v>
      </c>
      <c r="I2852" s="10"/>
      <c r="J2852" s="10">
        <v>6.7</v>
      </c>
      <c r="K2852" s="10">
        <v>7827.36</v>
      </c>
    </row>
    <row r="2853" spans="1:11" x14ac:dyDescent="0.25">
      <c r="A2853" s="8" t="s">
        <v>4481</v>
      </c>
      <c r="B2853" s="8" t="s">
        <v>134</v>
      </c>
      <c r="C2853" s="8" t="s">
        <v>974</v>
      </c>
      <c r="D2853" s="8">
        <v>5</v>
      </c>
      <c r="E2853" s="8" t="s">
        <v>477</v>
      </c>
      <c r="F2853" s="8" t="s">
        <v>266</v>
      </c>
      <c r="G2853" s="8" t="s">
        <v>976</v>
      </c>
      <c r="H2853" s="10">
        <v>7.6</v>
      </c>
      <c r="I2853" s="10"/>
      <c r="J2853" s="10">
        <v>7.6</v>
      </c>
      <c r="K2853" s="10">
        <v>7827.36</v>
      </c>
    </row>
    <row r="2854" spans="1:11" x14ac:dyDescent="0.25">
      <c r="A2854" s="8" t="s">
        <v>4482</v>
      </c>
      <c r="B2854" s="8" t="s">
        <v>136</v>
      </c>
      <c r="C2854" s="8" t="s">
        <v>974</v>
      </c>
      <c r="D2854" s="8">
        <v>5</v>
      </c>
      <c r="E2854" s="8" t="s">
        <v>477</v>
      </c>
      <c r="F2854" s="8" t="s">
        <v>266</v>
      </c>
      <c r="G2854" s="8" t="s">
        <v>976</v>
      </c>
      <c r="H2854" s="10">
        <v>2.6</v>
      </c>
      <c r="I2854" s="10"/>
      <c r="J2854" s="10">
        <v>2.6</v>
      </c>
      <c r="K2854" s="10">
        <v>7827.36</v>
      </c>
    </row>
    <row r="2855" spans="1:11" x14ac:dyDescent="0.25">
      <c r="A2855" s="8" t="s">
        <v>4483</v>
      </c>
      <c r="B2855" s="8" t="s">
        <v>2627</v>
      </c>
      <c r="C2855" s="8" t="s">
        <v>974</v>
      </c>
      <c r="D2855" s="8">
        <v>5</v>
      </c>
      <c r="E2855" s="8" t="s">
        <v>477</v>
      </c>
      <c r="F2855" s="8" t="s">
        <v>266</v>
      </c>
      <c r="G2855" s="8" t="s">
        <v>976</v>
      </c>
      <c r="H2855" s="10">
        <v>3</v>
      </c>
      <c r="I2855" s="10"/>
      <c r="J2855" s="10">
        <v>3</v>
      </c>
      <c r="K2855" s="10">
        <v>7827.36</v>
      </c>
    </row>
    <row r="2856" spans="1:11" x14ac:dyDescent="0.25">
      <c r="A2856" s="8" t="s">
        <v>4484</v>
      </c>
      <c r="B2856" s="8" t="s">
        <v>2627</v>
      </c>
      <c r="C2856" s="8" t="s">
        <v>974</v>
      </c>
      <c r="D2856" s="8">
        <v>5</v>
      </c>
      <c r="E2856" s="8" t="s">
        <v>477</v>
      </c>
      <c r="F2856" s="8" t="s">
        <v>266</v>
      </c>
      <c r="G2856" s="8" t="s">
        <v>976</v>
      </c>
      <c r="H2856" s="10">
        <v>6.5</v>
      </c>
      <c r="I2856" s="10"/>
      <c r="J2856" s="10">
        <v>6.5</v>
      </c>
      <c r="K2856" s="10">
        <v>7827.36</v>
      </c>
    </row>
    <row r="2857" spans="1:11" x14ac:dyDescent="0.25">
      <c r="A2857" s="8" t="s">
        <v>4485</v>
      </c>
      <c r="B2857" s="8" t="s">
        <v>2627</v>
      </c>
      <c r="C2857" s="8" t="s">
        <v>974</v>
      </c>
      <c r="D2857" s="8">
        <v>5</v>
      </c>
      <c r="E2857" s="8" t="s">
        <v>477</v>
      </c>
      <c r="F2857" s="8" t="s">
        <v>266</v>
      </c>
      <c r="G2857" s="8" t="s">
        <v>976</v>
      </c>
      <c r="H2857" s="10">
        <v>2.7</v>
      </c>
      <c r="I2857" s="10"/>
      <c r="J2857" s="10">
        <v>2.7</v>
      </c>
      <c r="K2857" s="10">
        <v>7827.36</v>
      </c>
    </row>
    <row r="2858" spans="1:11" x14ac:dyDescent="0.25">
      <c r="A2858" s="8" t="s">
        <v>4486</v>
      </c>
      <c r="B2858" s="8" t="s">
        <v>2627</v>
      </c>
      <c r="C2858" s="8" t="s">
        <v>974</v>
      </c>
      <c r="D2858" s="8">
        <v>5</v>
      </c>
      <c r="E2858" s="8" t="s">
        <v>477</v>
      </c>
      <c r="F2858" s="8" t="s">
        <v>266</v>
      </c>
      <c r="G2858" s="8" t="s">
        <v>976</v>
      </c>
      <c r="H2858" s="10">
        <v>2.2999999999999998</v>
      </c>
      <c r="I2858" s="10"/>
      <c r="J2858" s="10">
        <v>2.2999999999999998</v>
      </c>
      <c r="K2858" s="10">
        <v>7827.36</v>
      </c>
    </row>
    <row r="2859" spans="1:11" x14ac:dyDescent="0.25">
      <c r="A2859" s="8" t="s">
        <v>4487</v>
      </c>
      <c r="B2859" s="8" t="s">
        <v>2627</v>
      </c>
      <c r="C2859" s="8" t="s">
        <v>974</v>
      </c>
      <c r="D2859" s="8">
        <v>5</v>
      </c>
      <c r="E2859" s="8" t="s">
        <v>477</v>
      </c>
      <c r="F2859" s="8" t="s">
        <v>266</v>
      </c>
      <c r="G2859" s="8" t="s">
        <v>976</v>
      </c>
      <c r="H2859" s="10">
        <v>1.5</v>
      </c>
      <c r="I2859" s="10"/>
      <c r="J2859" s="10">
        <v>1.5</v>
      </c>
      <c r="K2859" s="10">
        <v>7827.36</v>
      </c>
    </row>
    <row r="2860" spans="1:11" x14ac:dyDescent="0.25">
      <c r="A2860" s="8" t="s">
        <v>4488</v>
      </c>
      <c r="B2860" s="8" t="s">
        <v>2627</v>
      </c>
      <c r="C2860" s="8" t="s">
        <v>974</v>
      </c>
      <c r="D2860" s="8">
        <v>5</v>
      </c>
      <c r="E2860" s="8" t="s">
        <v>477</v>
      </c>
      <c r="F2860" s="8" t="s">
        <v>266</v>
      </c>
      <c r="G2860" s="8" t="s">
        <v>976</v>
      </c>
      <c r="H2860" s="10">
        <v>3.2</v>
      </c>
      <c r="I2860" s="10"/>
      <c r="J2860" s="10">
        <v>3.2</v>
      </c>
      <c r="K2860" s="10">
        <v>7827.36</v>
      </c>
    </row>
    <row r="2861" spans="1:11" x14ac:dyDescent="0.25">
      <c r="A2861" s="8" t="s">
        <v>4489</v>
      </c>
      <c r="B2861" s="8" t="s">
        <v>3518</v>
      </c>
      <c r="C2861" s="8" t="s">
        <v>974</v>
      </c>
      <c r="D2861" s="8">
        <v>5</v>
      </c>
      <c r="E2861" s="8" t="s">
        <v>477</v>
      </c>
      <c r="F2861" s="8" t="s">
        <v>266</v>
      </c>
      <c r="G2861" s="8" t="s">
        <v>976</v>
      </c>
      <c r="H2861" s="10">
        <v>0.1</v>
      </c>
      <c r="I2861" s="10"/>
      <c r="J2861" s="10">
        <v>0.1</v>
      </c>
      <c r="K2861" s="10">
        <v>7827.36</v>
      </c>
    </row>
    <row r="2862" spans="1:11" x14ac:dyDescent="0.25">
      <c r="A2862" s="8" t="s">
        <v>4490</v>
      </c>
      <c r="B2862" s="8" t="s">
        <v>4491</v>
      </c>
      <c r="C2862" s="8" t="s">
        <v>974</v>
      </c>
      <c r="D2862" s="8">
        <v>5</v>
      </c>
      <c r="E2862" s="8" t="s">
        <v>477</v>
      </c>
      <c r="F2862" s="8" t="s">
        <v>266</v>
      </c>
      <c r="G2862" s="8" t="s">
        <v>976</v>
      </c>
      <c r="H2862" s="10">
        <v>0.3</v>
      </c>
      <c r="I2862" s="10"/>
      <c r="J2862" s="10">
        <v>0.3</v>
      </c>
      <c r="K2862" s="10">
        <v>7827.36</v>
      </c>
    </row>
    <row r="2863" spans="1:11" x14ac:dyDescent="0.25">
      <c r="A2863" s="8" t="s">
        <v>4492</v>
      </c>
      <c r="B2863" s="8" t="s">
        <v>138</v>
      </c>
      <c r="C2863" s="8" t="s">
        <v>974</v>
      </c>
      <c r="D2863" s="8">
        <v>5</v>
      </c>
      <c r="E2863" s="8" t="s">
        <v>477</v>
      </c>
      <c r="F2863" s="8" t="s">
        <v>266</v>
      </c>
      <c r="G2863" s="8" t="s">
        <v>976</v>
      </c>
      <c r="H2863" s="10">
        <v>3.4</v>
      </c>
      <c r="I2863" s="10"/>
      <c r="J2863" s="10">
        <v>3.4</v>
      </c>
      <c r="K2863" s="10">
        <v>7827.36</v>
      </c>
    </row>
    <row r="2864" spans="1:11" x14ac:dyDescent="0.25">
      <c r="A2864" s="8" t="s">
        <v>4493</v>
      </c>
      <c r="B2864" s="8" t="s">
        <v>1029</v>
      </c>
      <c r="C2864" s="8" t="s">
        <v>974</v>
      </c>
      <c r="D2864" s="8">
        <v>5</v>
      </c>
      <c r="E2864" s="8" t="s">
        <v>477</v>
      </c>
      <c r="F2864" s="8" t="s">
        <v>266</v>
      </c>
      <c r="G2864" s="8" t="s">
        <v>976</v>
      </c>
      <c r="H2864" s="10">
        <v>0.5</v>
      </c>
      <c r="I2864" s="10"/>
      <c r="J2864" s="10">
        <v>0.5</v>
      </c>
      <c r="K2864" s="10">
        <v>7827.36</v>
      </c>
    </row>
    <row r="2865" spans="1:11" x14ac:dyDescent="0.25">
      <c r="A2865" s="8" t="s">
        <v>4494</v>
      </c>
      <c r="B2865" s="8" t="s">
        <v>4495</v>
      </c>
      <c r="C2865" s="8" t="s">
        <v>974</v>
      </c>
      <c r="D2865" s="8">
        <v>5</v>
      </c>
      <c r="E2865" s="8" t="s">
        <v>477</v>
      </c>
      <c r="F2865" s="8" t="s">
        <v>266</v>
      </c>
      <c r="G2865" s="8" t="s">
        <v>976</v>
      </c>
      <c r="H2865" s="10">
        <v>2.5</v>
      </c>
      <c r="I2865" s="10"/>
      <c r="J2865" s="10">
        <v>2.5</v>
      </c>
      <c r="K2865" s="10">
        <v>7827.36</v>
      </c>
    </row>
    <row r="2866" spans="1:11" x14ac:dyDescent="0.25">
      <c r="A2866" s="8" t="s">
        <v>4496</v>
      </c>
      <c r="B2866" s="8" t="s">
        <v>138</v>
      </c>
      <c r="C2866" s="8" t="s">
        <v>974</v>
      </c>
      <c r="D2866" s="8">
        <v>5</v>
      </c>
      <c r="E2866" s="8" t="s">
        <v>4497</v>
      </c>
      <c r="F2866" s="8" t="s">
        <v>266</v>
      </c>
      <c r="G2866" s="8" t="s">
        <v>976</v>
      </c>
      <c r="H2866" s="10">
        <v>4.8</v>
      </c>
      <c r="I2866" s="10"/>
      <c r="J2866" s="10">
        <v>4.8</v>
      </c>
      <c r="K2866" s="10">
        <v>6961.27</v>
      </c>
    </row>
    <row r="2867" spans="1:11" x14ac:dyDescent="0.25">
      <c r="A2867" s="8" t="s">
        <v>4498</v>
      </c>
      <c r="B2867" s="8" t="s">
        <v>116</v>
      </c>
      <c r="C2867" s="8" t="s">
        <v>974</v>
      </c>
      <c r="D2867" s="8">
        <v>5</v>
      </c>
      <c r="E2867" s="8" t="s">
        <v>483</v>
      </c>
      <c r="F2867" s="8" t="s">
        <v>266</v>
      </c>
      <c r="G2867" s="8" t="s">
        <v>976</v>
      </c>
      <c r="H2867" s="10">
        <v>6.9</v>
      </c>
      <c r="I2867" s="10"/>
      <c r="J2867" s="10">
        <v>6.9</v>
      </c>
      <c r="K2867" s="10">
        <v>6961.27</v>
      </c>
    </row>
    <row r="2868" spans="1:11" x14ac:dyDescent="0.25">
      <c r="A2868" s="8" t="s">
        <v>4499</v>
      </c>
      <c r="B2868" s="8" t="s">
        <v>118</v>
      </c>
      <c r="C2868" s="8" t="s">
        <v>974</v>
      </c>
      <c r="D2868" s="8">
        <v>5</v>
      </c>
      <c r="E2868" s="8" t="s">
        <v>483</v>
      </c>
      <c r="F2868" s="8" t="s">
        <v>266</v>
      </c>
      <c r="G2868" s="8" t="s">
        <v>976</v>
      </c>
      <c r="H2868" s="10">
        <v>6.7</v>
      </c>
      <c r="I2868" s="10"/>
      <c r="J2868" s="10">
        <v>6.7</v>
      </c>
      <c r="K2868" s="10">
        <v>6961.27</v>
      </c>
    </row>
    <row r="2869" spans="1:11" x14ac:dyDescent="0.25">
      <c r="A2869" s="8" t="s">
        <v>4500</v>
      </c>
      <c r="B2869" s="8" t="s">
        <v>120</v>
      </c>
      <c r="C2869" s="8" t="s">
        <v>974</v>
      </c>
      <c r="D2869" s="8">
        <v>5</v>
      </c>
      <c r="E2869" s="8" t="s">
        <v>483</v>
      </c>
      <c r="F2869" s="8" t="s">
        <v>266</v>
      </c>
      <c r="G2869" s="8" t="s">
        <v>976</v>
      </c>
      <c r="H2869" s="10">
        <v>167.8</v>
      </c>
      <c r="I2869" s="10"/>
      <c r="J2869" s="10">
        <v>167.8</v>
      </c>
      <c r="K2869" s="10">
        <v>6961.27</v>
      </c>
    </row>
    <row r="2870" spans="1:11" x14ac:dyDescent="0.25">
      <c r="A2870" s="8" t="s">
        <v>4501</v>
      </c>
      <c r="B2870" s="8" t="s">
        <v>130</v>
      </c>
      <c r="C2870" s="8" t="s">
        <v>974</v>
      </c>
      <c r="D2870" s="8">
        <v>5</v>
      </c>
      <c r="E2870" s="8" t="s">
        <v>483</v>
      </c>
      <c r="F2870" s="8" t="s">
        <v>266</v>
      </c>
      <c r="G2870" s="8" t="s">
        <v>976</v>
      </c>
      <c r="H2870" s="10">
        <v>0.9</v>
      </c>
      <c r="I2870" s="10"/>
      <c r="J2870" s="10">
        <v>0.9</v>
      </c>
      <c r="K2870" s="10">
        <v>6961.27</v>
      </c>
    </row>
    <row r="2871" spans="1:11" x14ac:dyDescent="0.25">
      <c r="A2871" s="8" t="s">
        <v>4502</v>
      </c>
      <c r="B2871" s="8" t="s">
        <v>136</v>
      </c>
      <c r="C2871" s="8" t="s">
        <v>974</v>
      </c>
      <c r="D2871" s="8">
        <v>5</v>
      </c>
      <c r="E2871" s="8" t="s">
        <v>483</v>
      </c>
      <c r="F2871" s="8" t="s">
        <v>266</v>
      </c>
      <c r="G2871" s="8" t="s">
        <v>976</v>
      </c>
      <c r="H2871" s="10">
        <v>4.5999999999999996</v>
      </c>
      <c r="I2871" s="10"/>
      <c r="J2871" s="10">
        <v>4.5999999999999996</v>
      </c>
      <c r="K2871" s="10">
        <v>6961.27</v>
      </c>
    </row>
    <row r="2872" spans="1:11" x14ac:dyDescent="0.25">
      <c r="A2872" s="8" t="s">
        <v>4503</v>
      </c>
      <c r="B2872" s="8" t="s">
        <v>1029</v>
      </c>
      <c r="C2872" s="8" t="s">
        <v>974</v>
      </c>
      <c r="D2872" s="8">
        <v>5</v>
      </c>
      <c r="E2872" s="8" t="s">
        <v>483</v>
      </c>
      <c r="F2872" s="8" t="s">
        <v>266</v>
      </c>
      <c r="G2872" s="8" t="s">
        <v>976</v>
      </c>
      <c r="H2872" s="10">
        <v>0.8</v>
      </c>
      <c r="I2872" s="10"/>
      <c r="J2872" s="10">
        <v>0.8</v>
      </c>
      <c r="K2872" s="10">
        <v>6961.27</v>
      </c>
    </row>
    <row r="2873" spans="1:11" x14ac:dyDescent="0.25">
      <c r="A2873" s="8" t="s">
        <v>4504</v>
      </c>
      <c r="B2873" s="8" t="s">
        <v>116</v>
      </c>
      <c r="C2873" s="8" t="s">
        <v>974</v>
      </c>
      <c r="D2873" s="8">
        <v>5</v>
      </c>
      <c r="E2873" s="8" t="s">
        <v>4505</v>
      </c>
      <c r="F2873" s="8" t="s">
        <v>266</v>
      </c>
      <c r="G2873" s="8" t="s">
        <v>976</v>
      </c>
      <c r="H2873" s="10">
        <v>35.4</v>
      </c>
      <c r="I2873" s="10"/>
      <c r="J2873" s="10">
        <v>35.4</v>
      </c>
      <c r="K2873" s="10">
        <v>6095.17</v>
      </c>
    </row>
    <row r="2874" spans="1:11" x14ac:dyDescent="0.25">
      <c r="A2874" s="8" t="s">
        <v>4506</v>
      </c>
      <c r="B2874" s="8" t="s">
        <v>118</v>
      </c>
      <c r="C2874" s="8" t="s">
        <v>974</v>
      </c>
      <c r="D2874" s="8">
        <v>5</v>
      </c>
      <c r="E2874" s="8" t="s">
        <v>4505</v>
      </c>
      <c r="F2874" s="8" t="s">
        <v>266</v>
      </c>
      <c r="G2874" s="8" t="s">
        <v>976</v>
      </c>
      <c r="H2874" s="10">
        <v>64</v>
      </c>
      <c r="I2874" s="10"/>
      <c r="J2874" s="10">
        <v>64</v>
      </c>
      <c r="K2874" s="10">
        <v>6095.17</v>
      </c>
    </row>
    <row r="2875" spans="1:11" x14ac:dyDescent="0.25">
      <c r="A2875" s="8" t="s">
        <v>4507</v>
      </c>
      <c r="B2875" s="8" t="s">
        <v>120</v>
      </c>
      <c r="C2875" s="8" t="s">
        <v>974</v>
      </c>
      <c r="D2875" s="8">
        <v>5</v>
      </c>
      <c r="E2875" s="8" t="s">
        <v>4505</v>
      </c>
      <c r="F2875" s="8" t="s">
        <v>266</v>
      </c>
      <c r="G2875" s="8" t="s">
        <v>976</v>
      </c>
      <c r="H2875" s="10">
        <v>581.1</v>
      </c>
      <c r="I2875" s="10"/>
      <c r="J2875" s="10">
        <v>581.1</v>
      </c>
      <c r="K2875" s="10">
        <v>6095.17</v>
      </c>
    </row>
    <row r="2876" spans="1:11" x14ac:dyDescent="0.25">
      <c r="A2876" s="8" t="s">
        <v>4508</v>
      </c>
      <c r="B2876" s="8" t="s">
        <v>122</v>
      </c>
      <c r="C2876" s="8" t="s">
        <v>974</v>
      </c>
      <c r="D2876" s="8">
        <v>5</v>
      </c>
      <c r="E2876" s="8" t="s">
        <v>4505</v>
      </c>
      <c r="F2876" s="8" t="s">
        <v>266</v>
      </c>
      <c r="G2876" s="8" t="s">
        <v>976</v>
      </c>
      <c r="H2876" s="10">
        <v>6.7</v>
      </c>
      <c r="I2876" s="10"/>
      <c r="J2876" s="10">
        <v>6.7</v>
      </c>
      <c r="K2876" s="10">
        <v>6095.17</v>
      </c>
    </row>
    <row r="2877" spans="1:11" x14ac:dyDescent="0.25">
      <c r="A2877" s="8" t="s">
        <v>4509</v>
      </c>
      <c r="B2877" s="8" t="s">
        <v>124</v>
      </c>
      <c r="C2877" s="8" t="s">
        <v>974</v>
      </c>
      <c r="D2877" s="8">
        <v>5</v>
      </c>
      <c r="E2877" s="8" t="s">
        <v>4505</v>
      </c>
      <c r="F2877" s="8" t="s">
        <v>266</v>
      </c>
      <c r="G2877" s="8" t="s">
        <v>976</v>
      </c>
      <c r="H2877" s="10">
        <v>18.399999999999999</v>
      </c>
      <c r="I2877" s="10"/>
      <c r="J2877" s="10">
        <v>18.399999999999999</v>
      </c>
      <c r="K2877" s="10">
        <v>6095.17</v>
      </c>
    </row>
    <row r="2878" spans="1:11" x14ac:dyDescent="0.25">
      <c r="A2878" s="8" t="s">
        <v>4510</v>
      </c>
      <c r="B2878" s="8" t="s">
        <v>78</v>
      </c>
      <c r="C2878" s="8" t="s">
        <v>974</v>
      </c>
      <c r="D2878" s="8">
        <v>5</v>
      </c>
      <c r="E2878" s="8" t="s">
        <v>4505</v>
      </c>
      <c r="F2878" s="8" t="s">
        <v>266</v>
      </c>
      <c r="G2878" s="8" t="s">
        <v>976</v>
      </c>
      <c r="H2878" s="10">
        <v>16.8</v>
      </c>
      <c r="I2878" s="10"/>
      <c r="J2878" s="10">
        <v>16.8</v>
      </c>
      <c r="K2878" s="10">
        <v>6095.17</v>
      </c>
    </row>
    <row r="2879" spans="1:11" x14ac:dyDescent="0.25">
      <c r="A2879" s="8" t="s">
        <v>4511</v>
      </c>
      <c r="B2879" s="8" t="s">
        <v>132</v>
      </c>
      <c r="C2879" s="8" t="s">
        <v>974</v>
      </c>
      <c r="D2879" s="8">
        <v>5</v>
      </c>
      <c r="E2879" s="8" t="s">
        <v>4505</v>
      </c>
      <c r="F2879" s="8" t="s">
        <v>266</v>
      </c>
      <c r="G2879" s="8" t="s">
        <v>976</v>
      </c>
      <c r="H2879" s="10">
        <v>11.3</v>
      </c>
      <c r="I2879" s="10"/>
      <c r="J2879" s="10">
        <v>11.3</v>
      </c>
      <c r="K2879" s="10">
        <v>6095.17</v>
      </c>
    </row>
    <row r="2880" spans="1:11" x14ac:dyDescent="0.25">
      <c r="A2880" s="8" t="s">
        <v>4512</v>
      </c>
      <c r="B2880" s="8" t="s">
        <v>263</v>
      </c>
      <c r="C2880" s="8" t="s">
        <v>4513</v>
      </c>
      <c r="D2880" s="8">
        <v>12</v>
      </c>
      <c r="E2880" s="8" t="s">
        <v>477</v>
      </c>
      <c r="F2880" s="8" t="s">
        <v>266</v>
      </c>
      <c r="G2880" s="8" t="s">
        <v>4514</v>
      </c>
      <c r="H2880" s="10">
        <v>1.4</v>
      </c>
      <c r="I2880" s="10"/>
      <c r="J2880" s="10">
        <v>1.4</v>
      </c>
      <c r="K2880" s="10">
        <v>24270.41</v>
      </c>
    </row>
    <row r="2881" spans="1:11" x14ac:dyDescent="0.25">
      <c r="A2881" s="8" t="s">
        <v>4515</v>
      </c>
      <c r="B2881" s="8" t="s">
        <v>269</v>
      </c>
      <c r="C2881" s="8" t="s">
        <v>4513</v>
      </c>
      <c r="D2881" s="8">
        <v>12</v>
      </c>
      <c r="E2881" s="8" t="s">
        <v>477</v>
      </c>
      <c r="F2881" s="8" t="s">
        <v>266</v>
      </c>
      <c r="G2881" s="8" t="s">
        <v>4514</v>
      </c>
      <c r="H2881" s="10">
        <v>1.4</v>
      </c>
      <c r="I2881" s="10"/>
      <c r="J2881" s="10">
        <v>1.4</v>
      </c>
      <c r="K2881" s="10">
        <v>24270.41</v>
      </c>
    </row>
    <row r="2882" spans="1:11" x14ac:dyDescent="0.25">
      <c r="A2882" s="8" t="s">
        <v>4516</v>
      </c>
      <c r="B2882" s="8" t="s">
        <v>263</v>
      </c>
      <c r="C2882" s="8" t="s">
        <v>974</v>
      </c>
      <c r="D2882" s="8">
        <v>5</v>
      </c>
      <c r="E2882" s="8" t="s">
        <v>480</v>
      </c>
      <c r="F2882" s="8" t="s">
        <v>266</v>
      </c>
      <c r="G2882" s="8" t="s">
        <v>976</v>
      </c>
      <c r="H2882" s="10">
        <v>0.9</v>
      </c>
      <c r="I2882" s="10"/>
      <c r="J2882" s="10">
        <v>0.9</v>
      </c>
      <c r="K2882" s="10">
        <v>7827.36</v>
      </c>
    </row>
    <row r="2883" spans="1:11" x14ac:dyDescent="0.25">
      <c r="A2883" s="8" t="s">
        <v>4517</v>
      </c>
      <c r="B2883" s="8" t="s">
        <v>269</v>
      </c>
      <c r="C2883" s="8" t="s">
        <v>974</v>
      </c>
      <c r="D2883" s="8">
        <v>5</v>
      </c>
      <c r="E2883" s="8" t="s">
        <v>480</v>
      </c>
      <c r="F2883" s="8" t="s">
        <v>266</v>
      </c>
      <c r="G2883" s="8" t="s">
        <v>976</v>
      </c>
      <c r="H2883" s="10">
        <v>0.9</v>
      </c>
      <c r="I2883" s="10"/>
      <c r="J2883" s="10">
        <v>0.9</v>
      </c>
      <c r="K2883" s="10">
        <v>7827.36</v>
      </c>
    </row>
    <row r="2884" spans="1:11" x14ac:dyDescent="0.25">
      <c r="A2884" s="8" t="s">
        <v>4518</v>
      </c>
      <c r="B2884" s="8" t="s">
        <v>72</v>
      </c>
      <c r="C2884" s="8" t="s">
        <v>974</v>
      </c>
      <c r="D2884" s="8">
        <v>5</v>
      </c>
      <c r="E2884" s="8" t="s">
        <v>480</v>
      </c>
      <c r="F2884" s="8" t="s">
        <v>266</v>
      </c>
      <c r="G2884" s="8" t="s">
        <v>976</v>
      </c>
      <c r="H2884" s="10">
        <v>6.7</v>
      </c>
      <c r="I2884" s="10"/>
      <c r="J2884" s="10">
        <v>6.7</v>
      </c>
      <c r="K2884" s="10">
        <v>7827.36</v>
      </c>
    </row>
    <row r="2885" spans="1:11" x14ac:dyDescent="0.25">
      <c r="A2885" s="8" t="s">
        <v>4519</v>
      </c>
      <c r="B2885" s="8" t="s">
        <v>72</v>
      </c>
      <c r="C2885" s="8" t="s">
        <v>974</v>
      </c>
      <c r="D2885" s="8">
        <v>5</v>
      </c>
      <c r="E2885" s="8" t="s">
        <v>480</v>
      </c>
      <c r="F2885" s="8" t="s">
        <v>266</v>
      </c>
      <c r="G2885" s="8" t="s">
        <v>976</v>
      </c>
      <c r="H2885" s="10">
        <v>2</v>
      </c>
      <c r="I2885" s="10"/>
      <c r="J2885" s="10">
        <v>2</v>
      </c>
      <c r="K2885" s="10">
        <v>7827.36</v>
      </c>
    </row>
    <row r="2886" spans="1:11" x14ac:dyDescent="0.25">
      <c r="A2886" s="8" t="s">
        <v>4520</v>
      </c>
      <c r="B2886" s="8" t="s">
        <v>116</v>
      </c>
      <c r="C2886" s="8" t="s">
        <v>974</v>
      </c>
      <c r="D2886" s="8">
        <v>5</v>
      </c>
      <c r="E2886" s="8" t="s">
        <v>480</v>
      </c>
      <c r="F2886" s="8" t="s">
        <v>266</v>
      </c>
      <c r="G2886" s="8" t="s">
        <v>976</v>
      </c>
      <c r="H2886" s="10">
        <v>8.6999999999999993</v>
      </c>
      <c r="I2886" s="10"/>
      <c r="J2886" s="10">
        <v>8.6999999999999993</v>
      </c>
      <c r="K2886" s="10">
        <v>7827.36</v>
      </c>
    </row>
    <row r="2887" spans="1:11" x14ac:dyDescent="0.25">
      <c r="A2887" s="8" t="s">
        <v>4521</v>
      </c>
      <c r="B2887" s="8" t="s">
        <v>116</v>
      </c>
      <c r="C2887" s="8" t="s">
        <v>974</v>
      </c>
      <c r="D2887" s="8">
        <v>5</v>
      </c>
      <c r="E2887" s="8" t="s">
        <v>480</v>
      </c>
      <c r="F2887" s="8" t="s">
        <v>266</v>
      </c>
      <c r="G2887" s="8" t="s">
        <v>976</v>
      </c>
      <c r="H2887" s="10">
        <v>11.1</v>
      </c>
      <c r="I2887" s="10"/>
      <c r="J2887" s="10">
        <v>11.1</v>
      </c>
      <c r="K2887" s="10">
        <v>7827.36</v>
      </c>
    </row>
    <row r="2888" spans="1:11" x14ac:dyDescent="0.25">
      <c r="A2888" s="8" t="s">
        <v>4522</v>
      </c>
      <c r="B2888" s="8" t="s">
        <v>118</v>
      </c>
      <c r="C2888" s="8" t="s">
        <v>974</v>
      </c>
      <c r="D2888" s="8">
        <v>5</v>
      </c>
      <c r="E2888" s="8" t="s">
        <v>480</v>
      </c>
      <c r="F2888" s="8" t="s">
        <v>266</v>
      </c>
      <c r="G2888" s="8" t="s">
        <v>976</v>
      </c>
      <c r="H2888" s="10">
        <v>18.2</v>
      </c>
      <c r="I2888" s="10"/>
      <c r="J2888" s="10">
        <v>18.2</v>
      </c>
      <c r="K2888" s="10">
        <v>7827.36</v>
      </c>
    </row>
    <row r="2889" spans="1:11" x14ac:dyDescent="0.25">
      <c r="A2889" s="8" t="s">
        <v>4523</v>
      </c>
      <c r="B2889" s="8" t="s">
        <v>118</v>
      </c>
      <c r="C2889" s="8" t="s">
        <v>974</v>
      </c>
      <c r="D2889" s="8">
        <v>5</v>
      </c>
      <c r="E2889" s="8" t="s">
        <v>480</v>
      </c>
      <c r="F2889" s="8" t="s">
        <v>266</v>
      </c>
      <c r="G2889" s="8" t="s">
        <v>976</v>
      </c>
      <c r="H2889" s="10">
        <v>5.5</v>
      </c>
      <c r="I2889" s="10"/>
      <c r="J2889" s="10">
        <v>5.5</v>
      </c>
      <c r="K2889" s="10">
        <v>7827.36</v>
      </c>
    </row>
    <row r="2890" spans="1:11" x14ac:dyDescent="0.25">
      <c r="A2890" s="8" t="s">
        <v>4524</v>
      </c>
      <c r="B2890" s="8" t="s">
        <v>1650</v>
      </c>
      <c r="C2890" s="8" t="s">
        <v>974</v>
      </c>
      <c r="D2890" s="8">
        <v>5</v>
      </c>
      <c r="E2890" s="8" t="s">
        <v>480</v>
      </c>
      <c r="F2890" s="8" t="s">
        <v>266</v>
      </c>
      <c r="G2890" s="8" t="s">
        <v>976</v>
      </c>
      <c r="H2890" s="10">
        <v>6.7</v>
      </c>
      <c r="I2890" s="10"/>
      <c r="J2890" s="10">
        <v>6.7</v>
      </c>
      <c r="K2890" s="10">
        <v>7827.36</v>
      </c>
    </row>
    <row r="2891" spans="1:11" x14ac:dyDescent="0.25">
      <c r="A2891" s="8" t="s">
        <v>4525</v>
      </c>
      <c r="B2891" s="8" t="s">
        <v>120</v>
      </c>
      <c r="C2891" s="8" t="s">
        <v>974</v>
      </c>
      <c r="D2891" s="8">
        <v>5</v>
      </c>
      <c r="E2891" s="8" t="s">
        <v>480</v>
      </c>
      <c r="F2891" s="8" t="s">
        <v>266</v>
      </c>
      <c r="G2891" s="8" t="s">
        <v>976</v>
      </c>
      <c r="H2891" s="10">
        <v>54.6</v>
      </c>
      <c r="I2891" s="10"/>
      <c r="J2891" s="10">
        <v>54.6</v>
      </c>
      <c r="K2891" s="10">
        <v>7827.36</v>
      </c>
    </row>
    <row r="2892" spans="1:11" x14ac:dyDescent="0.25">
      <c r="A2892" s="8" t="s">
        <v>4526</v>
      </c>
      <c r="B2892" s="8" t="s">
        <v>120</v>
      </c>
      <c r="C2892" s="8" t="s">
        <v>974</v>
      </c>
      <c r="D2892" s="8">
        <v>5</v>
      </c>
      <c r="E2892" s="8" t="s">
        <v>480</v>
      </c>
      <c r="F2892" s="8" t="s">
        <v>266</v>
      </c>
      <c r="G2892" s="8" t="s">
        <v>976</v>
      </c>
      <c r="H2892" s="10">
        <v>15</v>
      </c>
      <c r="I2892" s="10"/>
      <c r="J2892" s="10">
        <v>15</v>
      </c>
      <c r="K2892" s="10">
        <v>7827.36</v>
      </c>
    </row>
    <row r="2893" spans="1:11" x14ac:dyDescent="0.25">
      <c r="A2893" s="8" t="s">
        <v>4527</v>
      </c>
      <c r="B2893" s="8" t="s">
        <v>122</v>
      </c>
      <c r="C2893" s="8" t="s">
        <v>974</v>
      </c>
      <c r="D2893" s="8">
        <v>5</v>
      </c>
      <c r="E2893" s="8" t="s">
        <v>480</v>
      </c>
      <c r="F2893" s="8" t="s">
        <v>266</v>
      </c>
      <c r="G2893" s="8" t="s">
        <v>976</v>
      </c>
      <c r="H2893" s="10">
        <v>10</v>
      </c>
      <c r="I2893" s="10"/>
      <c r="J2893" s="10">
        <v>10</v>
      </c>
      <c r="K2893" s="10">
        <v>7827.36</v>
      </c>
    </row>
    <row r="2894" spans="1:11" x14ac:dyDescent="0.25">
      <c r="A2894" s="8" t="s">
        <v>4528</v>
      </c>
      <c r="B2894" s="8" t="s">
        <v>124</v>
      </c>
      <c r="C2894" s="8" t="s">
        <v>974</v>
      </c>
      <c r="D2894" s="8">
        <v>5</v>
      </c>
      <c r="E2894" s="8" t="s">
        <v>480</v>
      </c>
      <c r="F2894" s="8" t="s">
        <v>266</v>
      </c>
      <c r="G2894" s="8" t="s">
        <v>976</v>
      </c>
      <c r="H2894" s="10">
        <v>32.4</v>
      </c>
      <c r="I2894" s="10"/>
      <c r="J2894" s="10">
        <v>32.4</v>
      </c>
      <c r="K2894" s="10">
        <v>7827.36</v>
      </c>
    </row>
    <row r="2895" spans="1:11" x14ac:dyDescent="0.25">
      <c r="A2895" s="8" t="s">
        <v>4529</v>
      </c>
      <c r="B2895" s="8" t="s">
        <v>78</v>
      </c>
      <c r="C2895" s="8" t="s">
        <v>974</v>
      </c>
      <c r="D2895" s="8">
        <v>5</v>
      </c>
      <c r="E2895" s="8" t="s">
        <v>480</v>
      </c>
      <c r="F2895" s="8" t="s">
        <v>266</v>
      </c>
      <c r="G2895" s="8" t="s">
        <v>976</v>
      </c>
      <c r="H2895" s="10">
        <v>12.2</v>
      </c>
      <c r="I2895" s="10"/>
      <c r="J2895" s="10">
        <v>12.2</v>
      </c>
      <c r="K2895" s="10">
        <v>7827.36</v>
      </c>
    </row>
    <row r="2896" spans="1:11" x14ac:dyDescent="0.25">
      <c r="A2896" s="8" t="s">
        <v>4530</v>
      </c>
      <c r="B2896" s="8" t="s">
        <v>1655</v>
      </c>
      <c r="C2896" s="8" t="s">
        <v>974</v>
      </c>
      <c r="D2896" s="8">
        <v>5</v>
      </c>
      <c r="E2896" s="8" t="s">
        <v>480</v>
      </c>
      <c r="F2896" s="8" t="s">
        <v>266</v>
      </c>
      <c r="G2896" s="8" t="s">
        <v>976</v>
      </c>
      <c r="H2896" s="10">
        <v>7.4</v>
      </c>
      <c r="I2896" s="10"/>
      <c r="J2896" s="10">
        <v>7.4</v>
      </c>
      <c r="K2896" s="10">
        <v>7827.36</v>
      </c>
    </row>
    <row r="2897" spans="1:11" x14ac:dyDescent="0.25">
      <c r="A2897" s="8" t="s">
        <v>4531</v>
      </c>
      <c r="B2897" s="8" t="s">
        <v>128</v>
      </c>
      <c r="C2897" s="8" t="s">
        <v>974</v>
      </c>
      <c r="D2897" s="8">
        <v>5</v>
      </c>
      <c r="E2897" s="8" t="s">
        <v>480</v>
      </c>
      <c r="F2897" s="8" t="s">
        <v>266</v>
      </c>
      <c r="G2897" s="8" t="s">
        <v>976</v>
      </c>
      <c r="H2897" s="10">
        <v>1.4</v>
      </c>
      <c r="I2897" s="10"/>
      <c r="J2897" s="10">
        <v>1.4</v>
      </c>
      <c r="K2897" s="10">
        <v>7827.36</v>
      </c>
    </row>
    <row r="2898" spans="1:11" x14ac:dyDescent="0.25">
      <c r="A2898" s="8" t="s">
        <v>4532</v>
      </c>
      <c r="B2898" s="8" t="s">
        <v>130</v>
      </c>
      <c r="C2898" s="8" t="s">
        <v>974</v>
      </c>
      <c r="D2898" s="8">
        <v>5</v>
      </c>
      <c r="E2898" s="8" t="s">
        <v>480</v>
      </c>
      <c r="F2898" s="8" t="s">
        <v>266</v>
      </c>
      <c r="G2898" s="8" t="s">
        <v>976</v>
      </c>
      <c r="H2898" s="10">
        <v>1.6</v>
      </c>
      <c r="I2898" s="10"/>
      <c r="J2898" s="10">
        <v>1.6</v>
      </c>
      <c r="K2898" s="10">
        <v>7827.36</v>
      </c>
    </row>
    <row r="2899" spans="1:11" x14ac:dyDescent="0.25">
      <c r="A2899" s="8" t="s">
        <v>4533</v>
      </c>
      <c r="B2899" s="8" t="s">
        <v>132</v>
      </c>
      <c r="C2899" s="8" t="s">
        <v>974</v>
      </c>
      <c r="D2899" s="8">
        <v>5</v>
      </c>
      <c r="E2899" s="8" t="s">
        <v>480</v>
      </c>
      <c r="F2899" s="8" t="s">
        <v>266</v>
      </c>
      <c r="G2899" s="8" t="s">
        <v>976</v>
      </c>
      <c r="H2899" s="10">
        <v>4.5999999999999996</v>
      </c>
      <c r="I2899" s="10"/>
      <c r="J2899" s="10">
        <v>4.5999999999999996</v>
      </c>
      <c r="K2899" s="10">
        <v>7827.36</v>
      </c>
    </row>
    <row r="2900" spans="1:11" x14ac:dyDescent="0.25">
      <c r="A2900" s="8" t="s">
        <v>4534</v>
      </c>
      <c r="B2900" s="8" t="s">
        <v>134</v>
      </c>
      <c r="C2900" s="8" t="s">
        <v>974</v>
      </c>
      <c r="D2900" s="8">
        <v>5</v>
      </c>
      <c r="E2900" s="8" t="s">
        <v>480</v>
      </c>
      <c r="F2900" s="8" t="s">
        <v>266</v>
      </c>
      <c r="G2900" s="8" t="s">
        <v>976</v>
      </c>
      <c r="H2900" s="10">
        <v>7.9</v>
      </c>
      <c r="I2900" s="10"/>
      <c r="J2900" s="10">
        <v>7.9</v>
      </c>
      <c r="K2900" s="10">
        <v>7827.36</v>
      </c>
    </row>
    <row r="2901" spans="1:11" x14ac:dyDescent="0.25">
      <c r="A2901" s="8" t="s">
        <v>4535</v>
      </c>
      <c r="B2901" s="8" t="s">
        <v>136</v>
      </c>
      <c r="C2901" s="8" t="s">
        <v>974</v>
      </c>
      <c r="D2901" s="8">
        <v>5</v>
      </c>
      <c r="E2901" s="8" t="s">
        <v>480</v>
      </c>
      <c r="F2901" s="8" t="s">
        <v>266</v>
      </c>
      <c r="G2901" s="8" t="s">
        <v>976</v>
      </c>
      <c r="H2901" s="10">
        <v>6.1</v>
      </c>
      <c r="I2901" s="10"/>
      <c r="J2901" s="10">
        <v>6.1</v>
      </c>
      <c r="K2901" s="10">
        <v>7827.36</v>
      </c>
    </row>
    <row r="2902" spans="1:11" x14ac:dyDescent="0.25">
      <c r="A2902" s="8" t="s">
        <v>4536</v>
      </c>
      <c r="B2902" s="8" t="s">
        <v>2627</v>
      </c>
      <c r="C2902" s="8" t="s">
        <v>974</v>
      </c>
      <c r="D2902" s="8">
        <v>5</v>
      </c>
      <c r="E2902" s="8" t="s">
        <v>480</v>
      </c>
      <c r="F2902" s="8" t="s">
        <v>266</v>
      </c>
      <c r="G2902" s="8" t="s">
        <v>976</v>
      </c>
      <c r="H2902" s="10">
        <v>4.2</v>
      </c>
      <c r="I2902" s="10"/>
      <c r="J2902" s="10">
        <v>4.2</v>
      </c>
      <c r="K2902" s="10">
        <v>7827.36</v>
      </c>
    </row>
    <row r="2903" spans="1:11" x14ac:dyDescent="0.25">
      <c r="A2903" s="8" t="s">
        <v>4537</v>
      </c>
      <c r="B2903" s="8" t="s">
        <v>2627</v>
      </c>
      <c r="C2903" s="8" t="s">
        <v>974</v>
      </c>
      <c r="D2903" s="8">
        <v>5</v>
      </c>
      <c r="E2903" s="8" t="s">
        <v>480</v>
      </c>
      <c r="F2903" s="8" t="s">
        <v>266</v>
      </c>
      <c r="G2903" s="8" t="s">
        <v>976</v>
      </c>
      <c r="H2903" s="10">
        <v>2.2999999999999998</v>
      </c>
      <c r="I2903" s="10"/>
      <c r="J2903" s="10">
        <v>2.2999999999999998</v>
      </c>
      <c r="K2903" s="10">
        <v>7827.36</v>
      </c>
    </row>
    <row r="2904" spans="1:11" x14ac:dyDescent="0.25">
      <c r="A2904" s="8" t="s">
        <v>4538</v>
      </c>
      <c r="B2904" s="8" t="s">
        <v>2627</v>
      </c>
      <c r="C2904" s="8" t="s">
        <v>974</v>
      </c>
      <c r="D2904" s="8">
        <v>5</v>
      </c>
      <c r="E2904" s="8" t="s">
        <v>480</v>
      </c>
      <c r="F2904" s="8" t="s">
        <v>266</v>
      </c>
      <c r="G2904" s="8" t="s">
        <v>976</v>
      </c>
      <c r="H2904" s="10">
        <v>1.4</v>
      </c>
      <c r="I2904" s="10"/>
      <c r="J2904" s="10">
        <v>1.4</v>
      </c>
      <c r="K2904" s="10">
        <v>7827.36</v>
      </c>
    </row>
    <row r="2905" spans="1:11" x14ac:dyDescent="0.25">
      <c r="A2905" s="8" t="s">
        <v>4539</v>
      </c>
      <c r="B2905" s="8" t="s">
        <v>2627</v>
      </c>
      <c r="C2905" s="8" t="s">
        <v>974</v>
      </c>
      <c r="D2905" s="8">
        <v>5</v>
      </c>
      <c r="E2905" s="8" t="s">
        <v>480</v>
      </c>
      <c r="F2905" s="8" t="s">
        <v>266</v>
      </c>
      <c r="G2905" s="8" t="s">
        <v>976</v>
      </c>
      <c r="H2905" s="10">
        <v>1</v>
      </c>
      <c r="I2905" s="10"/>
      <c r="J2905" s="10">
        <v>1</v>
      </c>
      <c r="K2905" s="10">
        <v>7827.36</v>
      </c>
    </row>
    <row r="2906" spans="1:11" x14ac:dyDescent="0.25">
      <c r="A2906" s="8" t="s">
        <v>4540</v>
      </c>
      <c r="B2906" s="8" t="s">
        <v>2627</v>
      </c>
      <c r="C2906" s="8" t="s">
        <v>974</v>
      </c>
      <c r="D2906" s="8">
        <v>5</v>
      </c>
      <c r="E2906" s="8" t="s">
        <v>480</v>
      </c>
      <c r="F2906" s="8" t="s">
        <v>266</v>
      </c>
      <c r="G2906" s="8" t="s">
        <v>976</v>
      </c>
      <c r="H2906" s="10">
        <v>5.4</v>
      </c>
      <c r="I2906" s="10"/>
      <c r="J2906" s="10">
        <v>5.4</v>
      </c>
      <c r="K2906" s="10">
        <v>7827.36</v>
      </c>
    </row>
    <row r="2907" spans="1:11" x14ac:dyDescent="0.25">
      <c r="A2907" s="8" t="s">
        <v>4541</v>
      </c>
      <c r="B2907" s="8" t="s">
        <v>2627</v>
      </c>
      <c r="C2907" s="8" t="s">
        <v>974</v>
      </c>
      <c r="D2907" s="8">
        <v>5</v>
      </c>
      <c r="E2907" s="8" t="s">
        <v>480</v>
      </c>
      <c r="F2907" s="8" t="s">
        <v>266</v>
      </c>
      <c r="G2907" s="8" t="s">
        <v>976</v>
      </c>
      <c r="H2907" s="10">
        <v>13.5</v>
      </c>
      <c r="I2907" s="10"/>
      <c r="J2907" s="10">
        <v>13.5</v>
      </c>
      <c r="K2907" s="10">
        <v>7827.36</v>
      </c>
    </row>
    <row r="2908" spans="1:11" x14ac:dyDescent="0.25">
      <c r="A2908" s="8" t="s">
        <v>4542</v>
      </c>
      <c r="B2908" s="8" t="s">
        <v>3518</v>
      </c>
      <c r="C2908" s="8" t="s">
        <v>974</v>
      </c>
      <c r="D2908" s="8">
        <v>5</v>
      </c>
      <c r="E2908" s="8" t="s">
        <v>480</v>
      </c>
      <c r="F2908" s="8" t="s">
        <v>266</v>
      </c>
      <c r="G2908" s="8" t="s">
        <v>976</v>
      </c>
      <c r="H2908" s="10">
        <v>0.3</v>
      </c>
      <c r="I2908" s="10"/>
      <c r="J2908" s="10">
        <v>0.3</v>
      </c>
      <c r="K2908" s="10">
        <v>7827.36</v>
      </c>
    </row>
    <row r="2909" spans="1:11" x14ac:dyDescent="0.25">
      <c r="A2909" s="8" t="s">
        <v>4543</v>
      </c>
      <c r="B2909" s="8" t="s">
        <v>4491</v>
      </c>
      <c r="C2909" s="8" t="s">
        <v>974</v>
      </c>
      <c r="D2909" s="8">
        <v>5</v>
      </c>
      <c r="E2909" s="8" t="s">
        <v>480</v>
      </c>
      <c r="F2909" s="8" t="s">
        <v>266</v>
      </c>
      <c r="G2909" s="8" t="s">
        <v>976</v>
      </c>
      <c r="H2909" s="10">
        <v>0.4</v>
      </c>
      <c r="I2909" s="10"/>
      <c r="J2909" s="10">
        <v>0.4</v>
      </c>
      <c r="K2909" s="10">
        <v>7827.36</v>
      </c>
    </row>
    <row r="2910" spans="1:11" x14ac:dyDescent="0.25">
      <c r="A2910" s="8" t="s">
        <v>4544</v>
      </c>
      <c r="B2910" s="8" t="s">
        <v>138</v>
      </c>
      <c r="C2910" s="8" t="s">
        <v>974</v>
      </c>
      <c r="D2910" s="8">
        <v>5</v>
      </c>
      <c r="E2910" s="8" t="s">
        <v>480</v>
      </c>
      <c r="F2910" s="8" t="s">
        <v>266</v>
      </c>
      <c r="G2910" s="8" t="s">
        <v>976</v>
      </c>
      <c r="H2910" s="10">
        <v>4.0999999999999996</v>
      </c>
      <c r="I2910" s="10"/>
      <c r="J2910" s="10">
        <v>4.0999999999999996</v>
      </c>
      <c r="K2910" s="10">
        <v>7827.36</v>
      </c>
    </row>
    <row r="2911" spans="1:11" x14ac:dyDescent="0.25">
      <c r="A2911" s="8" t="s">
        <v>4545</v>
      </c>
      <c r="B2911" s="8" t="s">
        <v>1029</v>
      </c>
      <c r="C2911" s="8" t="s">
        <v>974</v>
      </c>
      <c r="D2911" s="8">
        <v>5</v>
      </c>
      <c r="E2911" s="8" t="s">
        <v>480</v>
      </c>
      <c r="F2911" s="8" t="s">
        <v>266</v>
      </c>
      <c r="G2911" s="8" t="s">
        <v>976</v>
      </c>
      <c r="H2911" s="10">
        <v>1</v>
      </c>
      <c r="I2911" s="10"/>
      <c r="J2911" s="10">
        <v>1</v>
      </c>
      <c r="K2911" s="10">
        <v>7827.36</v>
      </c>
    </row>
    <row r="2912" spans="1:11" x14ac:dyDescent="0.25">
      <c r="A2912" s="8" t="s">
        <v>4546</v>
      </c>
      <c r="B2912" s="8" t="s">
        <v>4495</v>
      </c>
      <c r="C2912" s="8" t="s">
        <v>974</v>
      </c>
      <c r="D2912" s="8">
        <v>5</v>
      </c>
      <c r="E2912" s="8" t="s">
        <v>480</v>
      </c>
      <c r="F2912" s="8" t="s">
        <v>266</v>
      </c>
      <c r="G2912" s="8" t="s">
        <v>976</v>
      </c>
      <c r="H2912" s="10">
        <v>9.6</v>
      </c>
      <c r="I2912" s="10"/>
      <c r="J2912" s="10">
        <v>9.6</v>
      </c>
      <c r="K2912" s="10">
        <v>7827.36</v>
      </c>
    </row>
    <row r="2913" spans="1:11" x14ac:dyDescent="0.25">
      <c r="A2913" s="8" t="s">
        <v>4547</v>
      </c>
      <c r="B2913" s="8" t="s">
        <v>263</v>
      </c>
      <c r="C2913" s="8" t="s">
        <v>974</v>
      </c>
      <c r="D2913" s="8">
        <v>5</v>
      </c>
      <c r="E2913" s="8" t="s">
        <v>483</v>
      </c>
      <c r="F2913" s="8" t="s">
        <v>266</v>
      </c>
      <c r="G2913" s="8" t="s">
        <v>976</v>
      </c>
      <c r="H2913" s="10">
        <v>1</v>
      </c>
      <c r="I2913" s="10"/>
      <c r="J2913" s="10">
        <v>1</v>
      </c>
      <c r="K2913" s="10">
        <v>6961.27</v>
      </c>
    </row>
    <row r="2914" spans="1:11" x14ac:dyDescent="0.25">
      <c r="A2914" s="8" t="s">
        <v>4548</v>
      </c>
      <c r="B2914" s="8" t="s">
        <v>269</v>
      </c>
      <c r="C2914" s="8" t="s">
        <v>974</v>
      </c>
      <c r="D2914" s="8">
        <v>5</v>
      </c>
      <c r="E2914" s="8" t="s">
        <v>483</v>
      </c>
      <c r="F2914" s="8" t="s">
        <v>266</v>
      </c>
      <c r="G2914" s="8" t="s">
        <v>976</v>
      </c>
      <c r="H2914" s="10">
        <v>1</v>
      </c>
      <c r="I2914" s="10"/>
      <c r="J2914" s="10">
        <v>1</v>
      </c>
      <c r="K2914" s="10">
        <v>6961.27</v>
      </c>
    </row>
    <row r="2915" spans="1:11" x14ac:dyDescent="0.25">
      <c r="A2915" s="8" t="s">
        <v>4549</v>
      </c>
      <c r="B2915" s="8" t="s">
        <v>72</v>
      </c>
      <c r="C2915" s="8" t="s">
        <v>974</v>
      </c>
      <c r="D2915" s="8">
        <v>5</v>
      </c>
      <c r="E2915" s="8" t="s">
        <v>483</v>
      </c>
      <c r="F2915" s="8" t="s">
        <v>266</v>
      </c>
      <c r="G2915" s="8" t="s">
        <v>976</v>
      </c>
      <c r="H2915" s="10">
        <v>0.5</v>
      </c>
      <c r="I2915" s="10"/>
      <c r="J2915" s="10">
        <v>0.5</v>
      </c>
      <c r="K2915" s="10">
        <v>6961.27</v>
      </c>
    </row>
    <row r="2916" spans="1:11" x14ac:dyDescent="0.25">
      <c r="A2916" s="8" t="s">
        <v>4550</v>
      </c>
      <c r="B2916" s="8" t="s">
        <v>72</v>
      </c>
      <c r="C2916" s="8" t="s">
        <v>974</v>
      </c>
      <c r="D2916" s="8">
        <v>5</v>
      </c>
      <c r="E2916" s="8" t="s">
        <v>483</v>
      </c>
      <c r="F2916" s="8" t="s">
        <v>266</v>
      </c>
      <c r="G2916" s="8" t="s">
        <v>976</v>
      </c>
      <c r="H2916" s="10">
        <v>4</v>
      </c>
      <c r="I2916" s="10"/>
      <c r="J2916" s="10">
        <v>4</v>
      </c>
      <c r="K2916" s="10">
        <v>6961.27</v>
      </c>
    </row>
    <row r="2917" spans="1:11" x14ac:dyDescent="0.25">
      <c r="A2917" s="8" t="s">
        <v>4551</v>
      </c>
      <c r="B2917" s="8" t="s">
        <v>116</v>
      </c>
      <c r="C2917" s="8" t="s">
        <v>974</v>
      </c>
      <c r="D2917" s="8">
        <v>5</v>
      </c>
      <c r="E2917" s="8" t="s">
        <v>483</v>
      </c>
      <c r="F2917" s="8" t="s">
        <v>266</v>
      </c>
      <c r="G2917" s="8" t="s">
        <v>976</v>
      </c>
      <c r="H2917" s="10">
        <v>9.5</v>
      </c>
      <c r="I2917" s="10"/>
      <c r="J2917" s="10">
        <v>9.5</v>
      </c>
      <c r="K2917" s="10">
        <v>6961.27</v>
      </c>
    </row>
    <row r="2918" spans="1:11" x14ac:dyDescent="0.25">
      <c r="A2918" s="8" t="s">
        <v>4552</v>
      </c>
      <c r="B2918" s="8" t="s">
        <v>118</v>
      </c>
      <c r="C2918" s="8" t="s">
        <v>974</v>
      </c>
      <c r="D2918" s="8">
        <v>5</v>
      </c>
      <c r="E2918" s="8" t="s">
        <v>483</v>
      </c>
      <c r="F2918" s="8" t="s">
        <v>266</v>
      </c>
      <c r="G2918" s="8" t="s">
        <v>976</v>
      </c>
      <c r="H2918" s="10">
        <v>85.5</v>
      </c>
      <c r="I2918" s="10"/>
      <c r="J2918" s="10">
        <v>85.5</v>
      </c>
      <c r="K2918" s="10">
        <v>6961.27</v>
      </c>
    </row>
    <row r="2919" spans="1:11" x14ac:dyDescent="0.25">
      <c r="A2919" s="8" t="s">
        <v>4553</v>
      </c>
      <c r="B2919" s="8" t="s">
        <v>1650</v>
      </c>
      <c r="C2919" s="8" t="s">
        <v>974</v>
      </c>
      <c r="D2919" s="8">
        <v>5</v>
      </c>
      <c r="E2919" s="8" t="s">
        <v>483</v>
      </c>
      <c r="F2919" s="8" t="s">
        <v>266</v>
      </c>
      <c r="G2919" s="8" t="s">
        <v>976</v>
      </c>
      <c r="H2919" s="10">
        <v>0.5</v>
      </c>
      <c r="I2919" s="10"/>
      <c r="J2919" s="10">
        <v>0.5</v>
      </c>
      <c r="K2919" s="10">
        <v>6961.27</v>
      </c>
    </row>
    <row r="2920" spans="1:11" x14ac:dyDescent="0.25">
      <c r="A2920" s="8" t="s">
        <v>4554</v>
      </c>
      <c r="B2920" s="8" t="s">
        <v>120</v>
      </c>
      <c r="C2920" s="8" t="s">
        <v>974</v>
      </c>
      <c r="D2920" s="8">
        <v>5</v>
      </c>
      <c r="E2920" s="8" t="s">
        <v>483</v>
      </c>
      <c r="F2920" s="8" t="s">
        <v>266</v>
      </c>
      <c r="G2920" s="8" t="s">
        <v>976</v>
      </c>
      <c r="H2920" s="10">
        <v>238.7</v>
      </c>
      <c r="I2920" s="10"/>
      <c r="J2920" s="10">
        <v>238.7</v>
      </c>
      <c r="K2920" s="10">
        <v>6961.27</v>
      </c>
    </row>
    <row r="2921" spans="1:11" x14ac:dyDescent="0.25">
      <c r="A2921" s="8" t="s">
        <v>4555</v>
      </c>
      <c r="B2921" s="8" t="s">
        <v>122</v>
      </c>
      <c r="C2921" s="8" t="s">
        <v>974</v>
      </c>
      <c r="D2921" s="8">
        <v>5</v>
      </c>
      <c r="E2921" s="8" t="s">
        <v>483</v>
      </c>
      <c r="F2921" s="8" t="s">
        <v>266</v>
      </c>
      <c r="G2921" s="8" t="s">
        <v>976</v>
      </c>
      <c r="H2921" s="10">
        <v>32</v>
      </c>
      <c r="I2921" s="10"/>
      <c r="J2921" s="10">
        <v>32</v>
      </c>
      <c r="K2921" s="10">
        <v>6961.27</v>
      </c>
    </row>
    <row r="2922" spans="1:11" x14ac:dyDescent="0.25">
      <c r="A2922" s="8" t="s">
        <v>4556</v>
      </c>
      <c r="B2922" s="8" t="s">
        <v>122</v>
      </c>
      <c r="C2922" s="8" t="s">
        <v>974</v>
      </c>
      <c r="D2922" s="8">
        <v>5</v>
      </c>
      <c r="E2922" s="8" t="s">
        <v>483</v>
      </c>
      <c r="F2922" s="8" t="s">
        <v>266</v>
      </c>
      <c r="G2922" s="8" t="s">
        <v>976</v>
      </c>
      <c r="H2922" s="10">
        <v>4</v>
      </c>
      <c r="I2922" s="10"/>
      <c r="J2922" s="10">
        <v>4</v>
      </c>
      <c r="K2922" s="10">
        <v>6961.27</v>
      </c>
    </row>
    <row r="2923" spans="1:11" x14ac:dyDescent="0.25">
      <c r="A2923" s="8" t="s">
        <v>4557</v>
      </c>
      <c r="B2923" s="8" t="s">
        <v>124</v>
      </c>
      <c r="C2923" s="8" t="s">
        <v>974</v>
      </c>
      <c r="D2923" s="8">
        <v>5</v>
      </c>
      <c r="E2923" s="8" t="s">
        <v>483</v>
      </c>
      <c r="F2923" s="8" t="s">
        <v>266</v>
      </c>
      <c r="G2923" s="8" t="s">
        <v>976</v>
      </c>
      <c r="H2923" s="10">
        <v>237.6</v>
      </c>
      <c r="I2923" s="10"/>
      <c r="J2923" s="10">
        <v>237.6</v>
      </c>
      <c r="K2923" s="10">
        <v>6961.27</v>
      </c>
    </row>
    <row r="2924" spans="1:11" x14ac:dyDescent="0.25">
      <c r="A2924" s="8" t="s">
        <v>4558</v>
      </c>
      <c r="B2924" s="8" t="s">
        <v>78</v>
      </c>
      <c r="C2924" s="8" t="s">
        <v>974</v>
      </c>
      <c r="D2924" s="8">
        <v>5</v>
      </c>
      <c r="E2924" s="8" t="s">
        <v>483</v>
      </c>
      <c r="F2924" s="8" t="s">
        <v>266</v>
      </c>
      <c r="G2924" s="8" t="s">
        <v>976</v>
      </c>
      <c r="H2924" s="10">
        <v>87.3</v>
      </c>
      <c r="I2924" s="10"/>
      <c r="J2924" s="10">
        <v>87.3</v>
      </c>
      <c r="K2924" s="10">
        <v>6961.27</v>
      </c>
    </row>
    <row r="2925" spans="1:11" x14ac:dyDescent="0.25">
      <c r="A2925" s="8" t="s">
        <v>4559</v>
      </c>
      <c r="B2925" s="8" t="s">
        <v>1655</v>
      </c>
      <c r="C2925" s="8" t="s">
        <v>974</v>
      </c>
      <c r="D2925" s="8">
        <v>5</v>
      </c>
      <c r="E2925" s="8" t="s">
        <v>483</v>
      </c>
      <c r="F2925" s="8" t="s">
        <v>266</v>
      </c>
      <c r="G2925" s="8" t="s">
        <v>976</v>
      </c>
      <c r="H2925" s="10">
        <v>0.5</v>
      </c>
      <c r="I2925" s="10"/>
      <c r="J2925" s="10">
        <v>0.5</v>
      </c>
      <c r="K2925" s="10">
        <v>6961.27</v>
      </c>
    </row>
    <row r="2926" spans="1:11" x14ac:dyDescent="0.25">
      <c r="A2926" s="8" t="s">
        <v>4560</v>
      </c>
      <c r="B2926" s="8" t="s">
        <v>128</v>
      </c>
      <c r="C2926" s="8" t="s">
        <v>974</v>
      </c>
      <c r="D2926" s="8">
        <v>5</v>
      </c>
      <c r="E2926" s="8" t="s">
        <v>483</v>
      </c>
      <c r="F2926" s="8" t="s">
        <v>266</v>
      </c>
      <c r="G2926" s="8" t="s">
        <v>976</v>
      </c>
      <c r="H2926" s="10">
        <v>3.6</v>
      </c>
      <c r="I2926" s="10"/>
      <c r="J2926" s="10">
        <v>3.6</v>
      </c>
      <c r="K2926" s="10">
        <v>6961.27</v>
      </c>
    </row>
    <row r="2927" spans="1:11" x14ac:dyDescent="0.25">
      <c r="A2927" s="8" t="s">
        <v>4561</v>
      </c>
      <c r="B2927" s="8" t="s">
        <v>130</v>
      </c>
      <c r="C2927" s="8" t="s">
        <v>974</v>
      </c>
      <c r="D2927" s="8">
        <v>5</v>
      </c>
      <c r="E2927" s="8" t="s">
        <v>483</v>
      </c>
      <c r="F2927" s="8" t="s">
        <v>266</v>
      </c>
      <c r="G2927" s="8" t="s">
        <v>976</v>
      </c>
      <c r="H2927" s="10">
        <v>2.7</v>
      </c>
      <c r="I2927" s="10"/>
      <c r="J2927" s="10">
        <v>2.7</v>
      </c>
      <c r="K2927" s="10">
        <v>6961.27</v>
      </c>
    </row>
    <row r="2928" spans="1:11" x14ac:dyDescent="0.25">
      <c r="A2928" s="8" t="s">
        <v>4562</v>
      </c>
      <c r="B2928" s="8" t="s">
        <v>132</v>
      </c>
      <c r="C2928" s="8" t="s">
        <v>974</v>
      </c>
      <c r="D2928" s="8">
        <v>5</v>
      </c>
      <c r="E2928" s="8" t="s">
        <v>483</v>
      </c>
      <c r="F2928" s="8" t="s">
        <v>266</v>
      </c>
      <c r="G2928" s="8" t="s">
        <v>976</v>
      </c>
      <c r="H2928" s="10">
        <v>33.299999999999997</v>
      </c>
      <c r="I2928" s="10"/>
      <c r="J2928" s="10">
        <v>33.299999999999997</v>
      </c>
      <c r="K2928" s="10">
        <v>6961.27</v>
      </c>
    </row>
    <row r="2929" spans="1:11" x14ac:dyDescent="0.25">
      <c r="A2929" s="8" t="s">
        <v>4563</v>
      </c>
      <c r="B2929" s="8" t="s">
        <v>134</v>
      </c>
      <c r="C2929" s="8" t="s">
        <v>974</v>
      </c>
      <c r="D2929" s="8">
        <v>5</v>
      </c>
      <c r="E2929" s="8" t="s">
        <v>483</v>
      </c>
      <c r="F2929" s="8" t="s">
        <v>266</v>
      </c>
      <c r="G2929" s="8" t="s">
        <v>976</v>
      </c>
      <c r="H2929" s="10">
        <v>26.1</v>
      </c>
      <c r="I2929" s="10"/>
      <c r="J2929" s="10">
        <v>26.1</v>
      </c>
      <c r="K2929" s="10">
        <v>6961.27</v>
      </c>
    </row>
    <row r="2930" spans="1:11" x14ac:dyDescent="0.25">
      <c r="A2930" s="8" t="s">
        <v>4564</v>
      </c>
      <c r="B2930" s="8" t="s">
        <v>136</v>
      </c>
      <c r="C2930" s="8" t="s">
        <v>974</v>
      </c>
      <c r="D2930" s="8">
        <v>5</v>
      </c>
      <c r="E2930" s="8" t="s">
        <v>483</v>
      </c>
      <c r="F2930" s="8" t="s">
        <v>266</v>
      </c>
      <c r="G2930" s="8" t="s">
        <v>976</v>
      </c>
      <c r="H2930" s="10">
        <v>10.6</v>
      </c>
      <c r="I2930" s="10"/>
      <c r="J2930" s="10">
        <v>10.6</v>
      </c>
      <c r="K2930" s="10">
        <v>6961.27</v>
      </c>
    </row>
    <row r="2931" spans="1:11" x14ac:dyDescent="0.25">
      <c r="A2931" s="8" t="s">
        <v>4565</v>
      </c>
      <c r="B2931" s="8" t="s">
        <v>2627</v>
      </c>
      <c r="C2931" s="8" t="s">
        <v>974</v>
      </c>
      <c r="D2931" s="8">
        <v>5</v>
      </c>
      <c r="E2931" s="8" t="s">
        <v>483</v>
      </c>
      <c r="F2931" s="8" t="s">
        <v>266</v>
      </c>
      <c r="G2931" s="8" t="s">
        <v>976</v>
      </c>
      <c r="H2931" s="10">
        <v>20.6</v>
      </c>
      <c r="I2931" s="10"/>
      <c r="J2931" s="10">
        <v>20.6</v>
      </c>
      <c r="K2931" s="10">
        <v>6961.27</v>
      </c>
    </row>
    <row r="2932" spans="1:11" x14ac:dyDescent="0.25">
      <c r="A2932" s="8" t="s">
        <v>4566</v>
      </c>
      <c r="B2932" s="8" t="s">
        <v>2627</v>
      </c>
      <c r="C2932" s="8" t="s">
        <v>974</v>
      </c>
      <c r="D2932" s="8">
        <v>5</v>
      </c>
      <c r="E2932" s="8" t="s">
        <v>483</v>
      </c>
      <c r="F2932" s="8" t="s">
        <v>266</v>
      </c>
      <c r="G2932" s="8" t="s">
        <v>976</v>
      </c>
      <c r="H2932" s="10">
        <v>46.7</v>
      </c>
      <c r="I2932" s="10"/>
      <c r="J2932" s="10">
        <v>46.7</v>
      </c>
      <c r="K2932" s="10">
        <v>6961.27</v>
      </c>
    </row>
    <row r="2933" spans="1:11" x14ac:dyDescent="0.25">
      <c r="A2933" s="8" t="s">
        <v>4567</v>
      </c>
      <c r="B2933" s="8" t="s">
        <v>2627</v>
      </c>
      <c r="C2933" s="8" t="s">
        <v>974</v>
      </c>
      <c r="D2933" s="8">
        <v>5</v>
      </c>
      <c r="E2933" s="8" t="s">
        <v>483</v>
      </c>
      <c r="F2933" s="8" t="s">
        <v>266</v>
      </c>
      <c r="G2933" s="8" t="s">
        <v>976</v>
      </c>
      <c r="H2933" s="10">
        <v>17.600000000000001</v>
      </c>
      <c r="I2933" s="10"/>
      <c r="J2933" s="10">
        <v>17.600000000000001</v>
      </c>
      <c r="K2933" s="10">
        <v>6961.27</v>
      </c>
    </row>
    <row r="2934" spans="1:11" x14ac:dyDescent="0.25">
      <c r="A2934" s="8" t="s">
        <v>4568</v>
      </c>
      <c r="B2934" s="8" t="s">
        <v>2627</v>
      </c>
      <c r="C2934" s="8" t="s">
        <v>974</v>
      </c>
      <c r="D2934" s="8">
        <v>5</v>
      </c>
      <c r="E2934" s="8" t="s">
        <v>483</v>
      </c>
      <c r="F2934" s="8" t="s">
        <v>266</v>
      </c>
      <c r="G2934" s="8" t="s">
        <v>976</v>
      </c>
      <c r="H2934" s="10">
        <v>14.7</v>
      </c>
      <c r="I2934" s="10"/>
      <c r="J2934" s="10">
        <v>14.7</v>
      </c>
      <c r="K2934" s="10">
        <v>6961.27</v>
      </c>
    </row>
    <row r="2935" spans="1:11" x14ac:dyDescent="0.25">
      <c r="A2935" s="8" t="s">
        <v>4569</v>
      </c>
      <c r="B2935" s="8" t="s">
        <v>2627</v>
      </c>
      <c r="C2935" s="8" t="s">
        <v>974</v>
      </c>
      <c r="D2935" s="8">
        <v>5</v>
      </c>
      <c r="E2935" s="8" t="s">
        <v>483</v>
      </c>
      <c r="F2935" s="8" t="s">
        <v>266</v>
      </c>
      <c r="G2935" s="8" t="s">
        <v>976</v>
      </c>
      <c r="H2935" s="10">
        <v>3.6</v>
      </c>
      <c r="I2935" s="10"/>
      <c r="J2935" s="10">
        <v>3.6</v>
      </c>
      <c r="K2935" s="10">
        <v>6961.27</v>
      </c>
    </row>
    <row r="2936" spans="1:11" x14ac:dyDescent="0.25">
      <c r="A2936" s="8" t="s">
        <v>4570</v>
      </c>
      <c r="B2936" s="8" t="s">
        <v>2627</v>
      </c>
      <c r="C2936" s="8" t="s">
        <v>974</v>
      </c>
      <c r="D2936" s="8">
        <v>5</v>
      </c>
      <c r="E2936" s="8" t="s">
        <v>483</v>
      </c>
      <c r="F2936" s="8" t="s">
        <v>266</v>
      </c>
      <c r="G2936" s="8" t="s">
        <v>976</v>
      </c>
      <c r="H2936" s="10">
        <v>4.2</v>
      </c>
      <c r="I2936" s="10"/>
      <c r="J2936" s="10">
        <v>4.2</v>
      </c>
      <c r="K2936" s="10">
        <v>6961.27</v>
      </c>
    </row>
    <row r="2937" spans="1:11" x14ac:dyDescent="0.25">
      <c r="A2937" s="8" t="s">
        <v>4571</v>
      </c>
      <c r="B2937" s="8" t="s">
        <v>4491</v>
      </c>
      <c r="C2937" s="8" t="s">
        <v>974</v>
      </c>
      <c r="D2937" s="8">
        <v>5</v>
      </c>
      <c r="E2937" s="8" t="s">
        <v>483</v>
      </c>
      <c r="F2937" s="8" t="s">
        <v>266</v>
      </c>
      <c r="G2937" s="8" t="s">
        <v>976</v>
      </c>
      <c r="H2937" s="10">
        <v>1.3</v>
      </c>
      <c r="I2937" s="10"/>
      <c r="J2937" s="10">
        <v>1.3</v>
      </c>
      <c r="K2937" s="10">
        <v>6961.27</v>
      </c>
    </row>
    <row r="2938" spans="1:11" x14ac:dyDescent="0.25">
      <c r="A2938" s="8" t="s">
        <v>4572</v>
      </c>
      <c r="B2938" s="8" t="s">
        <v>138</v>
      </c>
      <c r="C2938" s="8" t="s">
        <v>974</v>
      </c>
      <c r="D2938" s="8">
        <v>5</v>
      </c>
      <c r="E2938" s="8" t="s">
        <v>483</v>
      </c>
      <c r="F2938" s="8" t="s">
        <v>266</v>
      </c>
      <c r="G2938" s="8" t="s">
        <v>976</v>
      </c>
      <c r="H2938" s="10">
        <v>3</v>
      </c>
      <c r="I2938" s="10"/>
      <c r="J2938" s="10">
        <v>3</v>
      </c>
      <c r="K2938" s="10">
        <v>6961.27</v>
      </c>
    </row>
    <row r="2939" spans="1:11" x14ac:dyDescent="0.25">
      <c r="A2939" s="8" t="s">
        <v>4573</v>
      </c>
      <c r="B2939" s="8" t="s">
        <v>1029</v>
      </c>
      <c r="C2939" s="8" t="s">
        <v>974</v>
      </c>
      <c r="D2939" s="8">
        <v>5</v>
      </c>
      <c r="E2939" s="8" t="s">
        <v>483</v>
      </c>
      <c r="F2939" s="8" t="s">
        <v>266</v>
      </c>
      <c r="G2939" s="8" t="s">
        <v>976</v>
      </c>
      <c r="H2939" s="10">
        <v>1.5</v>
      </c>
      <c r="I2939" s="10"/>
      <c r="J2939" s="10">
        <v>1.5</v>
      </c>
      <c r="K2939" s="10">
        <v>6961.27</v>
      </c>
    </row>
    <row r="2940" spans="1:11" x14ac:dyDescent="0.25">
      <c r="A2940" s="8" t="s">
        <v>4574</v>
      </c>
      <c r="B2940" s="8" t="s">
        <v>72</v>
      </c>
      <c r="C2940" s="8" t="s">
        <v>974</v>
      </c>
      <c r="D2940" s="8">
        <v>5</v>
      </c>
      <c r="E2940" s="8" t="s">
        <v>4505</v>
      </c>
      <c r="F2940" s="8" t="s">
        <v>266</v>
      </c>
      <c r="G2940" s="8" t="s">
        <v>976</v>
      </c>
      <c r="H2940" s="10">
        <v>6.5</v>
      </c>
      <c r="I2940" s="10"/>
      <c r="J2940" s="10">
        <v>6.5</v>
      </c>
      <c r="K2940" s="10">
        <v>6095.17</v>
      </c>
    </row>
    <row r="2941" spans="1:11" x14ac:dyDescent="0.25">
      <c r="A2941" s="8" t="s">
        <v>4575</v>
      </c>
      <c r="B2941" s="8" t="s">
        <v>116</v>
      </c>
      <c r="C2941" s="8" t="s">
        <v>974</v>
      </c>
      <c r="D2941" s="8">
        <v>5</v>
      </c>
      <c r="E2941" s="8" t="s">
        <v>4505</v>
      </c>
      <c r="F2941" s="8" t="s">
        <v>266</v>
      </c>
      <c r="G2941" s="8" t="s">
        <v>976</v>
      </c>
      <c r="H2941" s="10">
        <v>9.4</v>
      </c>
      <c r="I2941" s="10"/>
      <c r="J2941" s="10">
        <v>9.4</v>
      </c>
      <c r="K2941" s="10">
        <v>6095.17</v>
      </c>
    </row>
    <row r="2942" spans="1:11" x14ac:dyDescent="0.25">
      <c r="A2942" s="8" t="s">
        <v>4576</v>
      </c>
      <c r="B2942" s="8" t="s">
        <v>118</v>
      </c>
      <c r="C2942" s="8" t="s">
        <v>974</v>
      </c>
      <c r="D2942" s="8">
        <v>5</v>
      </c>
      <c r="E2942" s="8" t="s">
        <v>4505</v>
      </c>
      <c r="F2942" s="8" t="s">
        <v>266</v>
      </c>
      <c r="G2942" s="8" t="s">
        <v>976</v>
      </c>
      <c r="H2942" s="10">
        <v>34.200000000000003</v>
      </c>
      <c r="I2942" s="10"/>
      <c r="J2942" s="10">
        <v>34.200000000000003</v>
      </c>
      <c r="K2942" s="10">
        <v>6095.17</v>
      </c>
    </row>
    <row r="2943" spans="1:11" x14ac:dyDescent="0.25">
      <c r="A2943" s="8" t="s">
        <v>4577</v>
      </c>
      <c r="B2943" s="8" t="s">
        <v>120</v>
      </c>
      <c r="C2943" s="8" t="s">
        <v>974</v>
      </c>
      <c r="D2943" s="8">
        <v>5</v>
      </c>
      <c r="E2943" s="8" t="s">
        <v>4505</v>
      </c>
      <c r="F2943" s="8" t="s">
        <v>266</v>
      </c>
      <c r="G2943" s="8" t="s">
        <v>976</v>
      </c>
      <c r="H2943" s="10">
        <v>68.900000000000006</v>
      </c>
      <c r="I2943" s="10"/>
      <c r="J2943" s="10">
        <v>68.900000000000006</v>
      </c>
      <c r="K2943" s="10">
        <v>6095.17</v>
      </c>
    </row>
    <row r="2944" spans="1:11" x14ac:dyDescent="0.25">
      <c r="A2944" s="8" t="s">
        <v>4578</v>
      </c>
      <c r="B2944" s="8" t="s">
        <v>122</v>
      </c>
      <c r="C2944" s="8" t="s">
        <v>974</v>
      </c>
      <c r="D2944" s="8">
        <v>5</v>
      </c>
      <c r="E2944" s="8" t="s">
        <v>4505</v>
      </c>
      <c r="F2944" s="8" t="s">
        <v>266</v>
      </c>
      <c r="G2944" s="8" t="s">
        <v>976</v>
      </c>
      <c r="H2944" s="10">
        <v>20</v>
      </c>
      <c r="I2944" s="10"/>
      <c r="J2944" s="10">
        <v>20</v>
      </c>
      <c r="K2944" s="10">
        <v>6095.17</v>
      </c>
    </row>
    <row r="2945" spans="1:11" x14ac:dyDescent="0.25">
      <c r="A2945" s="8" t="s">
        <v>4579</v>
      </c>
      <c r="B2945" s="8" t="s">
        <v>122</v>
      </c>
      <c r="C2945" s="8" t="s">
        <v>974</v>
      </c>
      <c r="D2945" s="8">
        <v>5</v>
      </c>
      <c r="E2945" s="8" t="s">
        <v>4505</v>
      </c>
      <c r="F2945" s="8" t="s">
        <v>266</v>
      </c>
      <c r="G2945" s="8" t="s">
        <v>976</v>
      </c>
      <c r="H2945" s="10">
        <v>1.4</v>
      </c>
      <c r="I2945" s="10"/>
      <c r="J2945" s="10">
        <v>1.4</v>
      </c>
      <c r="K2945" s="10">
        <v>6095.17</v>
      </c>
    </row>
    <row r="2946" spans="1:11" x14ac:dyDescent="0.25">
      <c r="A2946" s="8" t="s">
        <v>4580</v>
      </c>
      <c r="B2946" s="8" t="s">
        <v>124</v>
      </c>
      <c r="C2946" s="8" t="s">
        <v>974</v>
      </c>
      <c r="D2946" s="8">
        <v>5</v>
      </c>
      <c r="E2946" s="8" t="s">
        <v>4505</v>
      </c>
      <c r="F2946" s="8" t="s">
        <v>266</v>
      </c>
      <c r="G2946" s="8" t="s">
        <v>976</v>
      </c>
      <c r="H2946" s="10">
        <v>20.3</v>
      </c>
      <c r="I2946" s="10"/>
      <c r="J2946" s="10">
        <v>20.3</v>
      </c>
      <c r="K2946" s="10">
        <v>6095.17</v>
      </c>
    </row>
    <row r="2947" spans="1:11" x14ac:dyDescent="0.25">
      <c r="A2947" s="8" t="s">
        <v>4581</v>
      </c>
      <c r="B2947" s="8" t="s">
        <v>78</v>
      </c>
      <c r="C2947" s="8" t="s">
        <v>974</v>
      </c>
      <c r="D2947" s="8">
        <v>5</v>
      </c>
      <c r="E2947" s="8" t="s">
        <v>4505</v>
      </c>
      <c r="F2947" s="8" t="s">
        <v>266</v>
      </c>
      <c r="G2947" s="8" t="s">
        <v>976</v>
      </c>
      <c r="H2947" s="10">
        <v>57.8</v>
      </c>
      <c r="I2947" s="10"/>
      <c r="J2947" s="10">
        <v>57.8</v>
      </c>
      <c r="K2947" s="10">
        <v>6095.17</v>
      </c>
    </row>
    <row r="2948" spans="1:11" x14ac:dyDescent="0.25">
      <c r="A2948" s="8" t="s">
        <v>4582</v>
      </c>
      <c r="B2948" s="8" t="s">
        <v>132</v>
      </c>
      <c r="C2948" s="8" t="s">
        <v>974</v>
      </c>
      <c r="D2948" s="8">
        <v>5</v>
      </c>
      <c r="E2948" s="8" t="s">
        <v>4505</v>
      </c>
      <c r="F2948" s="8" t="s">
        <v>266</v>
      </c>
      <c r="G2948" s="8" t="s">
        <v>976</v>
      </c>
      <c r="H2948" s="10">
        <v>4.4000000000000004</v>
      </c>
      <c r="I2948" s="10"/>
      <c r="J2948" s="10">
        <v>4.4000000000000004</v>
      </c>
      <c r="K2948" s="10">
        <v>6095.17</v>
      </c>
    </row>
    <row r="2949" spans="1:11" x14ac:dyDescent="0.25">
      <c r="A2949" s="8" t="s">
        <v>4583</v>
      </c>
      <c r="B2949" s="8" t="s">
        <v>134</v>
      </c>
      <c r="C2949" s="8" t="s">
        <v>974</v>
      </c>
      <c r="D2949" s="8">
        <v>5</v>
      </c>
      <c r="E2949" s="8" t="s">
        <v>4505</v>
      </c>
      <c r="F2949" s="8" t="s">
        <v>266</v>
      </c>
      <c r="G2949" s="8" t="s">
        <v>976</v>
      </c>
      <c r="H2949" s="10">
        <v>9.5</v>
      </c>
      <c r="I2949" s="10"/>
      <c r="J2949" s="10">
        <v>9.5</v>
      </c>
      <c r="K2949" s="10">
        <v>6095.17</v>
      </c>
    </row>
    <row r="2950" spans="1:11" x14ac:dyDescent="0.25">
      <c r="A2950" s="8" t="s">
        <v>4584</v>
      </c>
      <c r="B2950" s="8" t="s">
        <v>120</v>
      </c>
      <c r="C2950" s="8" t="s">
        <v>4513</v>
      </c>
      <c r="D2950" s="8">
        <v>12</v>
      </c>
      <c r="E2950" s="8" t="s">
        <v>4585</v>
      </c>
      <c r="F2950" s="8" t="s">
        <v>266</v>
      </c>
      <c r="G2950" s="8" t="s">
        <v>4514</v>
      </c>
      <c r="H2950" s="10">
        <v>35</v>
      </c>
      <c r="I2950" s="10">
        <v>31.083400000000005</v>
      </c>
      <c r="J2950" s="10">
        <v>31.083400000000005</v>
      </c>
      <c r="K2950" s="10">
        <v>22746.59</v>
      </c>
    </row>
    <row r="2951" spans="1:11" x14ac:dyDescent="0.25">
      <c r="A2951" s="8" t="s">
        <v>4586</v>
      </c>
      <c r="B2951" s="8" t="s">
        <v>120</v>
      </c>
      <c r="C2951" s="8" t="s">
        <v>4513</v>
      </c>
      <c r="D2951" s="8">
        <v>12</v>
      </c>
      <c r="E2951" s="8" t="s">
        <v>4587</v>
      </c>
      <c r="F2951" s="8" t="s">
        <v>266</v>
      </c>
      <c r="G2951" s="8" t="s">
        <v>4514</v>
      </c>
      <c r="H2951" s="10">
        <v>35</v>
      </c>
      <c r="I2951" s="10">
        <v>31.083400000000005</v>
      </c>
      <c r="J2951" s="10">
        <v>31.083400000000005</v>
      </c>
      <c r="K2951" s="10">
        <v>22746.59</v>
      </c>
    </row>
    <row r="2952" spans="1:11" x14ac:dyDescent="0.25">
      <c r="A2952" s="8" t="s">
        <v>4588</v>
      </c>
      <c r="B2952" s="8" t="s">
        <v>263</v>
      </c>
      <c r="C2952" s="8" t="s">
        <v>4513</v>
      </c>
      <c r="D2952" s="8">
        <v>12</v>
      </c>
      <c r="E2952" s="8" t="s">
        <v>480</v>
      </c>
      <c r="F2952" s="8" t="s">
        <v>266</v>
      </c>
      <c r="G2952" s="8" t="s">
        <v>4514</v>
      </c>
      <c r="H2952" s="10">
        <v>3.2</v>
      </c>
      <c r="I2952" s="10"/>
      <c r="J2952" s="10">
        <v>3.2</v>
      </c>
      <c r="K2952" s="10">
        <v>24270.41</v>
      </c>
    </row>
    <row r="2953" spans="1:11" x14ac:dyDescent="0.25">
      <c r="A2953" s="8" t="s">
        <v>4589</v>
      </c>
      <c r="B2953" s="8" t="s">
        <v>269</v>
      </c>
      <c r="C2953" s="8" t="s">
        <v>4513</v>
      </c>
      <c r="D2953" s="8">
        <v>12</v>
      </c>
      <c r="E2953" s="8" t="s">
        <v>480</v>
      </c>
      <c r="F2953" s="8" t="s">
        <v>266</v>
      </c>
      <c r="G2953" s="8" t="s">
        <v>4514</v>
      </c>
      <c r="H2953" s="10">
        <v>3.2</v>
      </c>
      <c r="I2953" s="10"/>
      <c r="J2953" s="10">
        <v>3.2</v>
      </c>
      <c r="K2953" s="10">
        <v>24270.41</v>
      </c>
    </row>
    <row r="2954" spans="1:11" x14ac:dyDescent="0.25">
      <c r="A2954" s="8" t="s">
        <v>4590</v>
      </c>
      <c r="B2954" s="8" t="s">
        <v>263</v>
      </c>
      <c r="C2954" s="8" t="s">
        <v>4513</v>
      </c>
      <c r="D2954" s="8">
        <v>12</v>
      </c>
      <c r="E2954" s="8" t="s">
        <v>483</v>
      </c>
      <c r="F2954" s="8" t="s">
        <v>266</v>
      </c>
      <c r="G2954" s="8" t="s">
        <v>4514</v>
      </c>
      <c r="H2954" s="10">
        <v>2</v>
      </c>
      <c r="I2954" s="10"/>
      <c r="J2954" s="10">
        <v>2</v>
      </c>
      <c r="K2954" s="10">
        <v>22746.59</v>
      </c>
    </row>
    <row r="2955" spans="1:11" x14ac:dyDescent="0.25">
      <c r="A2955" s="8" t="s">
        <v>4591</v>
      </c>
      <c r="B2955" s="8" t="s">
        <v>269</v>
      </c>
      <c r="C2955" s="8" t="s">
        <v>4513</v>
      </c>
      <c r="D2955" s="8">
        <v>12</v>
      </c>
      <c r="E2955" s="8" t="s">
        <v>483</v>
      </c>
      <c r="F2955" s="8" t="s">
        <v>266</v>
      </c>
      <c r="G2955" s="8" t="s">
        <v>4514</v>
      </c>
      <c r="H2955" s="10">
        <v>2</v>
      </c>
      <c r="I2955" s="10"/>
      <c r="J2955" s="10">
        <v>2</v>
      </c>
      <c r="K2955" s="10">
        <v>22746.59</v>
      </c>
    </row>
    <row r="2956" spans="1:11" x14ac:dyDescent="0.25">
      <c r="A2956" s="8" t="s">
        <v>4592</v>
      </c>
      <c r="B2956" s="8" t="s">
        <v>72</v>
      </c>
      <c r="C2956" s="8" t="s">
        <v>974</v>
      </c>
      <c r="D2956" s="8">
        <v>5</v>
      </c>
      <c r="E2956" s="8" t="s">
        <v>477</v>
      </c>
      <c r="F2956" s="8" t="s">
        <v>266</v>
      </c>
      <c r="G2956" s="8" t="s">
        <v>976</v>
      </c>
      <c r="H2956" s="10">
        <v>0.4</v>
      </c>
      <c r="I2956" s="10"/>
      <c r="J2956" s="10">
        <v>0.4</v>
      </c>
      <c r="K2956" s="10">
        <v>7827.36</v>
      </c>
    </row>
    <row r="2957" spans="1:11" x14ac:dyDescent="0.25">
      <c r="A2957" s="8" t="s">
        <v>4593</v>
      </c>
      <c r="B2957" s="8" t="s">
        <v>72</v>
      </c>
      <c r="C2957" s="8" t="s">
        <v>974</v>
      </c>
      <c r="D2957" s="8">
        <v>5</v>
      </c>
      <c r="E2957" s="8" t="s">
        <v>477</v>
      </c>
      <c r="F2957" s="8" t="s">
        <v>266</v>
      </c>
      <c r="G2957" s="8" t="s">
        <v>976</v>
      </c>
      <c r="H2957" s="10">
        <v>1</v>
      </c>
      <c r="I2957" s="10"/>
      <c r="J2957" s="10">
        <v>1</v>
      </c>
      <c r="K2957" s="10">
        <v>7827.36</v>
      </c>
    </row>
    <row r="2958" spans="1:11" x14ac:dyDescent="0.25">
      <c r="A2958" s="8" t="s">
        <v>4594</v>
      </c>
      <c r="B2958" s="8" t="s">
        <v>116</v>
      </c>
      <c r="C2958" s="8" t="s">
        <v>974</v>
      </c>
      <c r="D2958" s="8">
        <v>5</v>
      </c>
      <c r="E2958" s="8" t="s">
        <v>477</v>
      </c>
      <c r="F2958" s="8" t="s">
        <v>266</v>
      </c>
      <c r="G2958" s="8" t="s">
        <v>976</v>
      </c>
      <c r="H2958" s="10">
        <v>5.3</v>
      </c>
      <c r="I2958" s="10"/>
      <c r="J2958" s="10">
        <v>5.3</v>
      </c>
      <c r="K2958" s="10">
        <v>7827.36</v>
      </c>
    </row>
    <row r="2959" spans="1:11" x14ac:dyDescent="0.25">
      <c r="A2959" s="8" t="s">
        <v>4595</v>
      </c>
      <c r="B2959" s="8" t="s">
        <v>118</v>
      </c>
      <c r="C2959" s="8" t="s">
        <v>974</v>
      </c>
      <c r="D2959" s="8">
        <v>5</v>
      </c>
      <c r="E2959" s="8" t="s">
        <v>477</v>
      </c>
      <c r="F2959" s="8" t="s">
        <v>266</v>
      </c>
      <c r="G2959" s="8" t="s">
        <v>976</v>
      </c>
      <c r="H2959" s="10">
        <v>17.899999999999999</v>
      </c>
      <c r="I2959" s="10"/>
      <c r="J2959" s="10">
        <v>17.899999999999999</v>
      </c>
      <c r="K2959" s="10">
        <v>7827.36</v>
      </c>
    </row>
    <row r="2960" spans="1:11" x14ac:dyDescent="0.25">
      <c r="A2960" s="8" t="s">
        <v>4596</v>
      </c>
      <c r="B2960" s="8" t="s">
        <v>1650</v>
      </c>
      <c r="C2960" s="8" t="s">
        <v>974</v>
      </c>
      <c r="D2960" s="8">
        <v>5</v>
      </c>
      <c r="E2960" s="8" t="s">
        <v>477</v>
      </c>
      <c r="F2960" s="8" t="s">
        <v>266</v>
      </c>
      <c r="G2960" s="8" t="s">
        <v>976</v>
      </c>
      <c r="H2960" s="10">
        <v>0.4</v>
      </c>
      <c r="I2960" s="10"/>
      <c r="J2960" s="10">
        <v>0.4</v>
      </c>
      <c r="K2960" s="10">
        <v>7827.36</v>
      </c>
    </row>
    <row r="2961" spans="1:11" x14ac:dyDescent="0.25">
      <c r="A2961" s="8" t="s">
        <v>4597</v>
      </c>
      <c r="B2961" s="8" t="s">
        <v>120</v>
      </c>
      <c r="C2961" s="8" t="s">
        <v>974</v>
      </c>
      <c r="D2961" s="8">
        <v>5</v>
      </c>
      <c r="E2961" s="8" t="s">
        <v>477</v>
      </c>
      <c r="F2961" s="8" t="s">
        <v>266</v>
      </c>
      <c r="G2961" s="8" t="s">
        <v>976</v>
      </c>
      <c r="H2961" s="10">
        <v>66.900000000000006</v>
      </c>
      <c r="I2961" s="10"/>
      <c r="J2961" s="10">
        <v>66.900000000000006</v>
      </c>
      <c r="K2961" s="10">
        <v>7827.36</v>
      </c>
    </row>
    <row r="2962" spans="1:11" x14ac:dyDescent="0.25">
      <c r="A2962" s="8" t="s">
        <v>4598</v>
      </c>
      <c r="B2962" s="8" t="s">
        <v>122</v>
      </c>
      <c r="C2962" s="8" t="s">
        <v>974</v>
      </c>
      <c r="D2962" s="8">
        <v>5</v>
      </c>
      <c r="E2962" s="8" t="s">
        <v>477</v>
      </c>
      <c r="F2962" s="8" t="s">
        <v>266</v>
      </c>
      <c r="G2962" s="8" t="s">
        <v>976</v>
      </c>
      <c r="H2962" s="10">
        <v>16.100000000000001</v>
      </c>
      <c r="I2962" s="10"/>
      <c r="J2962" s="10">
        <v>16.100000000000001</v>
      </c>
      <c r="K2962" s="10">
        <v>7827.36</v>
      </c>
    </row>
    <row r="2963" spans="1:11" x14ac:dyDescent="0.25">
      <c r="A2963" s="8" t="s">
        <v>4599</v>
      </c>
      <c r="B2963" s="8" t="s">
        <v>122</v>
      </c>
      <c r="C2963" s="8" t="s">
        <v>974</v>
      </c>
      <c r="D2963" s="8">
        <v>5</v>
      </c>
      <c r="E2963" s="8" t="s">
        <v>477</v>
      </c>
      <c r="F2963" s="8" t="s">
        <v>266</v>
      </c>
      <c r="G2963" s="8" t="s">
        <v>976</v>
      </c>
      <c r="H2963" s="10">
        <v>1.6</v>
      </c>
      <c r="I2963" s="10"/>
      <c r="J2963" s="10">
        <v>1.6</v>
      </c>
      <c r="K2963" s="10">
        <v>7827.36</v>
      </c>
    </row>
    <row r="2964" spans="1:11" x14ac:dyDescent="0.25">
      <c r="A2964" s="8" t="s">
        <v>4600</v>
      </c>
      <c r="B2964" s="8" t="s">
        <v>124</v>
      </c>
      <c r="C2964" s="8" t="s">
        <v>974</v>
      </c>
      <c r="D2964" s="8">
        <v>5</v>
      </c>
      <c r="E2964" s="8" t="s">
        <v>477</v>
      </c>
      <c r="F2964" s="8" t="s">
        <v>266</v>
      </c>
      <c r="G2964" s="8" t="s">
        <v>976</v>
      </c>
      <c r="H2964" s="10">
        <v>13</v>
      </c>
      <c r="I2964" s="10"/>
      <c r="J2964" s="10">
        <v>13</v>
      </c>
      <c r="K2964" s="10">
        <v>7827.36</v>
      </c>
    </row>
    <row r="2965" spans="1:11" x14ac:dyDescent="0.25">
      <c r="A2965" s="8" t="s">
        <v>4601</v>
      </c>
      <c r="B2965" s="8" t="s">
        <v>78</v>
      </c>
      <c r="C2965" s="8" t="s">
        <v>974</v>
      </c>
      <c r="D2965" s="8">
        <v>5</v>
      </c>
      <c r="E2965" s="8" t="s">
        <v>477</v>
      </c>
      <c r="F2965" s="8" t="s">
        <v>266</v>
      </c>
      <c r="G2965" s="8" t="s">
        <v>976</v>
      </c>
      <c r="H2965" s="10">
        <v>9.6</v>
      </c>
      <c r="I2965" s="10"/>
      <c r="J2965" s="10">
        <v>9.6</v>
      </c>
      <c r="K2965" s="10">
        <v>7827.36</v>
      </c>
    </row>
    <row r="2966" spans="1:11" x14ac:dyDescent="0.25">
      <c r="A2966" s="8" t="s">
        <v>4602</v>
      </c>
      <c r="B2966" s="8" t="s">
        <v>1655</v>
      </c>
      <c r="C2966" s="8" t="s">
        <v>974</v>
      </c>
      <c r="D2966" s="8">
        <v>5</v>
      </c>
      <c r="E2966" s="8" t="s">
        <v>477</v>
      </c>
      <c r="F2966" s="8" t="s">
        <v>266</v>
      </c>
      <c r="G2966" s="8" t="s">
        <v>976</v>
      </c>
      <c r="H2966" s="10">
        <v>1.1000000000000001</v>
      </c>
      <c r="I2966" s="10"/>
      <c r="J2966" s="10">
        <v>1.1000000000000001</v>
      </c>
      <c r="K2966" s="10">
        <v>7827.36</v>
      </c>
    </row>
    <row r="2967" spans="1:11" x14ac:dyDescent="0.25">
      <c r="A2967" s="8" t="s">
        <v>4603</v>
      </c>
      <c r="B2967" s="8" t="s">
        <v>128</v>
      </c>
      <c r="C2967" s="8" t="s">
        <v>974</v>
      </c>
      <c r="D2967" s="8">
        <v>5</v>
      </c>
      <c r="E2967" s="8" t="s">
        <v>477</v>
      </c>
      <c r="F2967" s="8" t="s">
        <v>266</v>
      </c>
      <c r="G2967" s="8" t="s">
        <v>976</v>
      </c>
      <c r="H2967" s="10">
        <v>2.5</v>
      </c>
      <c r="I2967" s="10"/>
      <c r="J2967" s="10">
        <v>2.5</v>
      </c>
      <c r="K2967" s="10">
        <v>7827.36</v>
      </c>
    </row>
    <row r="2968" spans="1:11" x14ac:dyDescent="0.25">
      <c r="A2968" s="8" t="s">
        <v>4604</v>
      </c>
      <c r="B2968" s="8" t="s">
        <v>130</v>
      </c>
      <c r="C2968" s="8" t="s">
        <v>974</v>
      </c>
      <c r="D2968" s="8">
        <v>5</v>
      </c>
      <c r="E2968" s="8" t="s">
        <v>477</v>
      </c>
      <c r="F2968" s="8" t="s">
        <v>266</v>
      </c>
      <c r="G2968" s="8" t="s">
        <v>976</v>
      </c>
      <c r="H2968" s="10">
        <v>1.4</v>
      </c>
      <c r="I2968" s="10"/>
      <c r="J2968" s="10">
        <v>1.4</v>
      </c>
      <c r="K2968" s="10">
        <v>7827.36</v>
      </c>
    </row>
    <row r="2969" spans="1:11" x14ac:dyDescent="0.25">
      <c r="A2969" s="8" t="s">
        <v>4605</v>
      </c>
      <c r="B2969" s="8" t="s">
        <v>132</v>
      </c>
      <c r="C2969" s="8" t="s">
        <v>974</v>
      </c>
      <c r="D2969" s="8">
        <v>5</v>
      </c>
      <c r="E2969" s="8" t="s">
        <v>477</v>
      </c>
      <c r="F2969" s="8" t="s">
        <v>266</v>
      </c>
      <c r="G2969" s="8" t="s">
        <v>976</v>
      </c>
      <c r="H2969" s="10">
        <v>6.9</v>
      </c>
      <c r="I2969" s="10"/>
      <c r="J2969" s="10">
        <v>6.9</v>
      </c>
      <c r="K2969" s="10">
        <v>7827.36</v>
      </c>
    </row>
    <row r="2970" spans="1:11" x14ac:dyDescent="0.25">
      <c r="A2970" s="8" t="s">
        <v>4606</v>
      </c>
      <c r="B2970" s="8" t="s">
        <v>134</v>
      </c>
      <c r="C2970" s="8" t="s">
        <v>974</v>
      </c>
      <c r="D2970" s="8">
        <v>5</v>
      </c>
      <c r="E2970" s="8" t="s">
        <v>477</v>
      </c>
      <c r="F2970" s="8" t="s">
        <v>266</v>
      </c>
      <c r="G2970" s="8" t="s">
        <v>976</v>
      </c>
      <c r="H2970" s="10">
        <v>2.6</v>
      </c>
      <c r="I2970" s="10"/>
      <c r="J2970" s="10">
        <v>2.6</v>
      </c>
      <c r="K2970" s="10">
        <v>7827.36</v>
      </c>
    </row>
    <row r="2971" spans="1:11" x14ac:dyDescent="0.25">
      <c r="A2971" s="8" t="s">
        <v>4607</v>
      </c>
      <c r="B2971" s="8" t="s">
        <v>136</v>
      </c>
      <c r="C2971" s="8" t="s">
        <v>974</v>
      </c>
      <c r="D2971" s="8">
        <v>5</v>
      </c>
      <c r="E2971" s="8" t="s">
        <v>477</v>
      </c>
      <c r="F2971" s="8" t="s">
        <v>266</v>
      </c>
      <c r="G2971" s="8" t="s">
        <v>976</v>
      </c>
      <c r="H2971" s="10">
        <v>4.5999999999999996</v>
      </c>
      <c r="I2971" s="10"/>
      <c r="J2971" s="10">
        <v>4.5999999999999996</v>
      </c>
      <c r="K2971" s="10">
        <v>7827.36</v>
      </c>
    </row>
    <row r="2972" spans="1:11" x14ac:dyDescent="0.25">
      <c r="A2972" s="8" t="s">
        <v>4608</v>
      </c>
      <c r="B2972" s="8" t="s">
        <v>2627</v>
      </c>
      <c r="C2972" s="8" t="s">
        <v>974</v>
      </c>
      <c r="D2972" s="8">
        <v>5</v>
      </c>
      <c r="E2972" s="8" t="s">
        <v>477</v>
      </c>
      <c r="F2972" s="8" t="s">
        <v>266</v>
      </c>
      <c r="G2972" s="8" t="s">
        <v>976</v>
      </c>
      <c r="H2972" s="10">
        <v>3.3</v>
      </c>
      <c r="I2972" s="10"/>
      <c r="J2972" s="10">
        <v>3.3</v>
      </c>
      <c r="K2972" s="10">
        <v>7827.36</v>
      </c>
    </row>
    <row r="2973" spans="1:11" x14ac:dyDescent="0.25">
      <c r="A2973" s="8" t="s">
        <v>4609</v>
      </c>
      <c r="B2973" s="8" t="s">
        <v>2627</v>
      </c>
      <c r="C2973" s="8" t="s">
        <v>974</v>
      </c>
      <c r="D2973" s="8">
        <v>5</v>
      </c>
      <c r="E2973" s="8" t="s">
        <v>477</v>
      </c>
      <c r="F2973" s="8" t="s">
        <v>266</v>
      </c>
      <c r="G2973" s="8" t="s">
        <v>976</v>
      </c>
      <c r="H2973" s="10">
        <v>9.9</v>
      </c>
      <c r="I2973" s="10"/>
      <c r="J2973" s="10">
        <v>9.9</v>
      </c>
      <c r="K2973" s="10">
        <v>7827.36</v>
      </c>
    </row>
    <row r="2974" spans="1:11" x14ac:dyDescent="0.25">
      <c r="A2974" s="8" t="s">
        <v>4610</v>
      </c>
      <c r="B2974" s="8" t="s">
        <v>2627</v>
      </c>
      <c r="C2974" s="8" t="s">
        <v>974</v>
      </c>
      <c r="D2974" s="8">
        <v>5</v>
      </c>
      <c r="E2974" s="8" t="s">
        <v>477</v>
      </c>
      <c r="F2974" s="8" t="s">
        <v>266</v>
      </c>
      <c r="G2974" s="8" t="s">
        <v>976</v>
      </c>
      <c r="H2974" s="10">
        <v>4.5999999999999996</v>
      </c>
      <c r="I2974" s="10"/>
      <c r="J2974" s="10">
        <v>4.5999999999999996</v>
      </c>
      <c r="K2974" s="10">
        <v>7827.36</v>
      </c>
    </row>
    <row r="2975" spans="1:11" x14ac:dyDescent="0.25">
      <c r="A2975" s="8" t="s">
        <v>4611</v>
      </c>
      <c r="B2975" s="8" t="s">
        <v>2627</v>
      </c>
      <c r="C2975" s="8" t="s">
        <v>974</v>
      </c>
      <c r="D2975" s="8">
        <v>5</v>
      </c>
      <c r="E2975" s="8" t="s">
        <v>477</v>
      </c>
      <c r="F2975" s="8" t="s">
        <v>266</v>
      </c>
      <c r="G2975" s="8" t="s">
        <v>976</v>
      </c>
      <c r="H2975" s="10">
        <v>5.8</v>
      </c>
      <c r="I2975" s="10"/>
      <c r="J2975" s="10">
        <v>5.8</v>
      </c>
      <c r="K2975" s="10">
        <v>7827.36</v>
      </c>
    </row>
    <row r="2976" spans="1:11" x14ac:dyDescent="0.25">
      <c r="A2976" s="8" t="s">
        <v>4612</v>
      </c>
      <c r="B2976" s="8" t="s">
        <v>2627</v>
      </c>
      <c r="C2976" s="8" t="s">
        <v>974</v>
      </c>
      <c r="D2976" s="8">
        <v>5</v>
      </c>
      <c r="E2976" s="8" t="s">
        <v>477</v>
      </c>
      <c r="F2976" s="8" t="s">
        <v>266</v>
      </c>
      <c r="G2976" s="8" t="s">
        <v>976</v>
      </c>
      <c r="H2976" s="10">
        <v>2.6</v>
      </c>
      <c r="I2976" s="10"/>
      <c r="J2976" s="10">
        <v>2.6</v>
      </c>
      <c r="K2976" s="10">
        <v>7827.36</v>
      </c>
    </row>
    <row r="2977" spans="1:11" x14ac:dyDescent="0.25">
      <c r="A2977" s="8" t="s">
        <v>4613</v>
      </c>
      <c r="B2977" s="8" t="s">
        <v>2627</v>
      </c>
      <c r="C2977" s="8" t="s">
        <v>974</v>
      </c>
      <c r="D2977" s="8">
        <v>5</v>
      </c>
      <c r="E2977" s="8" t="s">
        <v>477</v>
      </c>
      <c r="F2977" s="8" t="s">
        <v>266</v>
      </c>
      <c r="G2977" s="8" t="s">
        <v>976</v>
      </c>
      <c r="H2977" s="10">
        <v>5.9</v>
      </c>
      <c r="I2977" s="10"/>
      <c r="J2977" s="10">
        <v>5.9</v>
      </c>
      <c r="K2977" s="10">
        <v>7827.36</v>
      </c>
    </row>
    <row r="2978" spans="1:11" x14ac:dyDescent="0.25">
      <c r="A2978" s="8" t="s">
        <v>4614</v>
      </c>
      <c r="B2978" s="8" t="s">
        <v>3518</v>
      </c>
      <c r="C2978" s="8" t="s">
        <v>974</v>
      </c>
      <c r="D2978" s="8">
        <v>5</v>
      </c>
      <c r="E2978" s="8" t="s">
        <v>477</v>
      </c>
      <c r="F2978" s="8" t="s">
        <v>266</v>
      </c>
      <c r="G2978" s="8" t="s">
        <v>976</v>
      </c>
      <c r="H2978" s="10">
        <v>0.2</v>
      </c>
      <c r="I2978" s="10"/>
      <c r="J2978" s="10">
        <v>0.2</v>
      </c>
      <c r="K2978" s="10">
        <v>7827.36</v>
      </c>
    </row>
    <row r="2979" spans="1:11" x14ac:dyDescent="0.25">
      <c r="A2979" s="8" t="s">
        <v>4615</v>
      </c>
      <c r="B2979" s="8" t="s">
        <v>4491</v>
      </c>
      <c r="C2979" s="8" t="s">
        <v>974</v>
      </c>
      <c r="D2979" s="8">
        <v>5</v>
      </c>
      <c r="E2979" s="8" t="s">
        <v>477</v>
      </c>
      <c r="F2979" s="8" t="s">
        <v>266</v>
      </c>
      <c r="G2979" s="8" t="s">
        <v>976</v>
      </c>
      <c r="H2979" s="10">
        <v>0.6</v>
      </c>
      <c r="I2979" s="10"/>
      <c r="J2979" s="10">
        <v>0.6</v>
      </c>
      <c r="K2979" s="10">
        <v>7827.36</v>
      </c>
    </row>
    <row r="2980" spans="1:11" x14ac:dyDescent="0.25">
      <c r="A2980" s="8" t="s">
        <v>4616</v>
      </c>
      <c r="B2980" s="8" t="s">
        <v>138</v>
      </c>
      <c r="C2980" s="8" t="s">
        <v>974</v>
      </c>
      <c r="D2980" s="8">
        <v>5</v>
      </c>
      <c r="E2980" s="8" t="s">
        <v>477</v>
      </c>
      <c r="F2980" s="8" t="s">
        <v>266</v>
      </c>
      <c r="G2980" s="8" t="s">
        <v>976</v>
      </c>
      <c r="H2980" s="10">
        <v>3</v>
      </c>
      <c r="I2980" s="10"/>
      <c r="J2980" s="10">
        <v>3</v>
      </c>
      <c r="K2980" s="10">
        <v>7827.36</v>
      </c>
    </row>
    <row r="2981" spans="1:11" x14ac:dyDescent="0.25">
      <c r="A2981" s="8" t="s">
        <v>4617</v>
      </c>
      <c r="B2981" s="8" t="s">
        <v>1029</v>
      </c>
      <c r="C2981" s="8" t="s">
        <v>974</v>
      </c>
      <c r="D2981" s="8">
        <v>5</v>
      </c>
      <c r="E2981" s="8" t="s">
        <v>477</v>
      </c>
      <c r="F2981" s="8" t="s">
        <v>266</v>
      </c>
      <c r="G2981" s="8" t="s">
        <v>976</v>
      </c>
      <c r="H2981" s="10">
        <v>0.6</v>
      </c>
      <c r="I2981" s="10"/>
      <c r="J2981" s="10">
        <v>0.6</v>
      </c>
      <c r="K2981" s="10">
        <v>7827.36</v>
      </c>
    </row>
    <row r="2982" spans="1:11" x14ac:dyDescent="0.25">
      <c r="A2982" s="8" t="s">
        <v>4618</v>
      </c>
      <c r="B2982" s="8" t="s">
        <v>4495</v>
      </c>
      <c r="C2982" s="8" t="s">
        <v>974</v>
      </c>
      <c r="D2982" s="8">
        <v>5</v>
      </c>
      <c r="E2982" s="8" t="s">
        <v>477</v>
      </c>
      <c r="F2982" s="8" t="s">
        <v>266</v>
      </c>
      <c r="G2982" s="8" t="s">
        <v>976</v>
      </c>
      <c r="H2982" s="10">
        <v>1.6</v>
      </c>
      <c r="I2982" s="10"/>
      <c r="J2982" s="10">
        <v>1.6</v>
      </c>
      <c r="K2982" s="10">
        <v>7827.36</v>
      </c>
    </row>
    <row r="2983" spans="1:11" x14ac:dyDescent="0.25">
      <c r="A2983" s="8" t="s">
        <v>4619</v>
      </c>
      <c r="B2983" s="8" t="s">
        <v>72</v>
      </c>
      <c r="C2983" s="8" t="s">
        <v>974</v>
      </c>
      <c r="D2983" s="8">
        <v>5</v>
      </c>
      <c r="E2983" s="8" t="s">
        <v>4620</v>
      </c>
      <c r="F2983" s="8" t="s">
        <v>266</v>
      </c>
      <c r="G2983" s="8" t="s">
        <v>976</v>
      </c>
      <c r="H2983" s="10">
        <v>4</v>
      </c>
      <c r="I2983" s="10"/>
      <c r="J2983" s="10">
        <v>4</v>
      </c>
      <c r="K2983" s="10">
        <v>7827.36</v>
      </c>
    </row>
    <row r="2984" spans="1:11" x14ac:dyDescent="0.25">
      <c r="A2984" s="8" t="s">
        <v>4621</v>
      </c>
      <c r="B2984" s="8" t="s">
        <v>116</v>
      </c>
      <c r="C2984" s="8" t="s">
        <v>974</v>
      </c>
      <c r="D2984" s="8">
        <v>5</v>
      </c>
      <c r="E2984" s="8" t="s">
        <v>4620</v>
      </c>
      <c r="F2984" s="8" t="s">
        <v>266</v>
      </c>
      <c r="G2984" s="8" t="s">
        <v>976</v>
      </c>
      <c r="H2984" s="10">
        <v>0.3</v>
      </c>
      <c r="I2984" s="10"/>
      <c r="J2984" s="10">
        <v>0.3</v>
      </c>
      <c r="K2984" s="10">
        <v>7827.36</v>
      </c>
    </row>
    <row r="2985" spans="1:11" x14ac:dyDescent="0.25">
      <c r="A2985" s="8" t="s">
        <v>4622</v>
      </c>
      <c r="B2985" s="8" t="s">
        <v>116</v>
      </c>
      <c r="C2985" s="8" t="s">
        <v>974</v>
      </c>
      <c r="D2985" s="8">
        <v>5</v>
      </c>
      <c r="E2985" s="8" t="s">
        <v>4620</v>
      </c>
      <c r="F2985" s="8" t="s">
        <v>266</v>
      </c>
      <c r="G2985" s="8" t="s">
        <v>976</v>
      </c>
      <c r="H2985" s="10">
        <v>4.9000000000000004</v>
      </c>
      <c r="I2985" s="10"/>
      <c r="J2985" s="10">
        <v>4.9000000000000004</v>
      </c>
      <c r="K2985" s="10">
        <v>7827.36</v>
      </c>
    </row>
    <row r="2986" spans="1:11" x14ac:dyDescent="0.25">
      <c r="A2986" s="8" t="s">
        <v>4623</v>
      </c>
      <c r="B2986" s="8" t="s">
        <v>118</v>
      </c>
      <c r="C2986" s="8" t="s">
        <v>974</v>
      </c>
      <c r="D2986" s="8">
        <v>5</v>
      </c>
      <c r="E2986" s="8" t="s">
        <v>4620</v>
      </c>
      <c r="F2986" s="8" t="s">
        <v>266</v>
      </c>
      <c r="G2986" s="8" t="s">
        <v>976</v>
      </c>
      <c r="H2986" s="10">
        <v>42.7</v>
      </c>
      <c r="I2986" s="10"/>
      <c r="J2986" s="10">
        <v>42.7</v>
      </c>
      <c r="K2986" s="10">
        <v>7827.36</v>
      </c>
    </row>
    <row r="2987" spans="1:11" x14ac:dyDescent="0.25">
      <c r="A2987" s="8" t="s">
        <v>4624</v>
      </c>
      <c r="B2987" s="8" t="s">
        <v>118</v>
      </c>
      <c r="C2987" s="8" t="s">
        <v>974</v>
      </c>
      <c r="D2987" s="8">
        <v>5</v>
      </c>
      <c r="E2987" s="8" t="s">
        <v>4620</v>
      </c>
      <c r="F2987" s="8" t="s">
        <v>266</v>
      </c>
      <c r="G2987" s="8" t="s">
        <v>976</v>
      </c>
      <c r="H2987" s="10">
        <v>2.2000000000000002</v>
      </c>
      <c r="I2987" s="10"/>
      <c r="J2987" s="10">
        <v>2.2000000000000002</v>
      </c>
      <c r="K2987" s="10">
        <v>7827.36</v>
      </c>
    </row>
    <row r="2988" spans="1:11" x14ac:dyDescent="0.25">
      <c r="A2988" s="8" t="s">
        <v>4625</v>
      </c>
      <c r="B2988" s="8" t="s">
        <v>1650</v>
      </c>
      <c r="C2988" s="8" t="s">
        <v>974</v>
      </c>
      <c r="D2988" s="8">
        <v>5</v>
      </c>
      <c r="E2988" s="8" t="s">
        <v>4620</v>
      </c>
      <c r="F2988" s="8" t="s">
        <v>266</v>
      </c>
      <c r="G2988" s="8" t="s">
        <v>976</v>
      </c>
      <c r="H2988" s="10">
        <v>4</v>
      </c>
      <c r="I2988" s="10"/>
      <c r="J2988" s="10">
        <v>4</v>
      </c>
      <c r="K2988" s="10">
        <v>7827.36</v>
      </c>
    </row>
    <row r="2989" spans="1:11" x14ac:dyDescent="0.25">
      <c r="A2989" s="8" t="s">
        <v>4626</v>
      </c>
      <c r="B2989" s="8" t="s">
        <v>120</v>
      </c>
      <c r="C2989" s="8" t="s">
        <v>974</v>
      </c>
      <c r="D2989" s="8">
        <v>5</v>
      </c>
      <c r="E2989" s="8" t="s">
        <v>4620</v>
      </c>
      <c r="F2989" s="8" t="s">
        <v>266</v>
      </c>
      <c r="G2989" s="8" t="s">
        <v>976</v>
      </c>
      <c r="H2989" s="10">
        <v>40.700000000000003</v>
      </c>
      <c r="I2989" s="10"/>
      <c r="J2989" s="10">
        <v>40.700000000000003</v>
      </c>
      <c r="K2989" s="10">
        <v>7827.36</v>
      </c>
    </row>
    <row r="2990" spans="1:11" x14ac:dyDescent="0.25">
      <c r="A2990" s="8" t="s">
        <v>4627</v>
      </c>
      <c r="B2990" s="8" t="s">
        <v>120</v>
      </c>
      <c r="C2990" s="8" t="s">
        <v>974</v>
      </c>
      <c r="D2990" s="8">
        <v>5</v>
      </c>
      <c r="E2990" s="8" t="s">
        <v>4620</v>
      </c>
      <c r="F2990" s="8" t="s">
        <v>266</v>
      </c>
      <c r="G2990" s="8" t="s">
        <v>976</v>
      </c>
      <c r="H2990" s="10">
        <v>5</v>
      </c>
      <c r="I2990" s="10"/>
      <c r="J2990" s="10">
        <v>5</v>
      </c>
      <c r="K2990" s="10">
        <v>7827.36</v>
      </c>
    </row>
    <row r="2991" spans="1:11" x14ac:dyDescent="0.25">
      <c r="A2991" s="8" t="s">
        <v>4628</v>
      </c>
      <c r="B2991" s="8" t="s">
        <v>122</v>
      </c>
      <c r="C2991" s="8" t="s">
        <v>974</v>
      </c>
      <c r="D2991" s="8">
        <v>5</v>
      </c>
      <c r="E2991" s="8" t="s">
        <v>4620</v>
      </c>
      <c r="F2991" s="8" t="s">
        <v>266</v>
      </c>
      <c r="G2991" s="8" t="s">
        <v>976</v>
      </c>
      <c r="H2991" s="10">
        <v>0.5</v>
      </c>
      <c r="I2991" s="10"/>
      <c r="J2991" s="10">
        <v>0.5</v>
      </c>
      <c r="K2991" s="10">
        <v>7827.36</v>
      </c>
    </row>
    <row r="2992" spans="1:11" x14ac:dyDescent="0.25">
      <c r="A2992" s="8" t="s">
        <v>4629</v>
      </c>
      <c r="B2992" s="8" t="s">
        <v>78</v>
      </c>
      <c r="C2992" s="8" t="s">
        <v>974</v>
      </c>
      <c r="D2992" s="8">
        <v>5</v>
      </c>
      <c r="E2992" s="8" t="s">
        <v>4620</v>
      </c>
      <c r="F2992" s="8" t="s">
        <v>266</v>
      </c>
      <c r="G2992" s="8" t="s">
        <v>976</v>
      </c>
      <c r="H2992" s="10">
        <v>0.4</v>
      </c>
      <c r="I2992" s="10"/>
      <c r="J2992" s="10">
        <v>0.4</v>
      </c>
      <c r="K2992" s="10">
        <v>7827.36</v>
      </c>
    </row>
    <row r="2993" spans="1:11" x14ac:dyDescent="0.25">
      <c r="A2993" s="8" t="s">
        <v>4630</v>
      </c>
      <c r="B2993" s="8" t="s">
        <v>1655</v>
      </c>
      <c r="C2993" s="8" t="s">
        <v>974</v>
      </c>
      <c r="D2993" s="8">
        <v>5</v>
      </c>
      <c r="E2993" s="8" t="s">
        <v>4620</v>
      </c>
      <c r="F2993" s="8" t="s">
        <v>266</v>
      </c>
      <c r="G2993" s="8" t="s">
        <v>976</v>
      </c>
      <c r="H2993" s="10">
        <v>3.7</v>
      </c>
      <c r="I2993" s="10"/>
      <c r="J2993" s="10">
        <v>3.7</v>
      </c>
      <c r="K2993" s="10">
        <v>7827.36</v>
      </c>
    </row>
    <row r="2994" spans="1:11" x14ac:dyDescent="0.25">
      <c r="A2994" s="8" t="s">
        <v>4631</v>
      </c>
      <c r="B2994" s="8" t="s">
        <v>130</v>
      </c>
      <c r="C2994" s="8" t="s">
        <v>974</v>
      </c>
      <c r="D2994" s="8">
        <v>5</v>
      </c>
      <c r="E2994" s="8" t="s">
        <v>4620</v>
      </c>
      <c r="F2994" s="8" t="s">
        <v>266</v>
      </c>
      <c r="G2994" s="8" t="s">
        <v>976</v>
      </c>
      <c r="H2994" s="10">
        <v>0.7</v>
      </c>
      <c r="I2994" s="10"/>
      <c r="J2994" s="10">
        <v>0.7</v>
      </c>
      <c r="K2994" s="10">
        <v>7827.36</v>
      </c>
    </row>
    <row r="2995" spans="1:11" x14ac:dyDescent="0.25">
      <c r="A2995" s="8" t="s">
        <v>4632</v>
      </c>
      <c r="B2995" s="8" t="s">
        <v>132</v>
      </c>
      <c r="C2995" s="8" t="s">
        <v>974</v>
      </c>
      <c r="D2995" s="8">
        <v>5</v>
      </c>
      <c r="E2995" s="8" t="s">
        <v>4620</v>
      </c>
      <c r="F2995" s="8" t="s">
        <v>266</v>
      </c>
      <c r="G2995" s="8" t="s">
        <v>976</v>
      </c>
      <c r="H2995" s="10">
        <v>7.2</v>
      </c>
      <c r="I2995" s="10"/>
      <c r="J2995" s="10">
        <v>7.2</v>
      </c>
      <c r="K2995" s="10">
        <v>7827.36</v>
      </c>
    </row>
    <row r="2996" spans="1:11" x14ac:dyDescent="0.25">
      <c r="A2996" s="8" t="s">
        <v>4633</v>
      </c>
      <c r="B2996" s="8" t="s">
        <v>134</v>
      </c>
      <c r="C2996" s="8" t="s">
        <v>974</v>
      </c>
      <c r="D2996" s="8">
        <v>5</v>
      </c>
      <c r="E2996" s="8" t="s">
        <v>4620</v>
      </c>
      <c r="F2996" s="8" t="s">
        <v>266</v>
      </c>
      <c r="G2996" s="8" t="s">
        <v>976</v>
      </c>
      <c r="H2996" s="10">
        <v>6.4</v>
      </c>
      <c r="I2996" s="10"/>
      <c r="J2996" s="10">
        <v>6.4</v>
      </c>
      <c r="K2996" s="10">
        <v>7827.36</v>
      </c>
    </row>
    <row r="2997" spans="1:11" x14ac:dyDescent="0.25">
      <c r="A2997" s="8" t="s">
        <v>4634</v>
      </c>
      <c r="B2997" s="8" t="s">
        <v>136</v>
      </c>
      <c r="C2997" s="8" t="s">
        <v>974</v>
      </c>
      <c r="D2997" s="8">
        <v>5</v>
      </c>
      <c r="E2997" s="8" t="s">
        <v>4620</v>
      </c>
      <c r="F2997" s="8" t="s">
        <v>266</v>
      </c>
      <c r="G2997" s="8" t="s">
        <v>976</v>
      </c>
      <c r="H2997" s="10">
        <v>2.9</v>
      </c>
      <c r="I2997" s="10"/>
      <c r="J2997" s="10">
        <v>2.9</v>
      </c>
      <c r="K2997" s="10">
        <v>7827.36</v>
      </c>
    </row>
    <row r="2998" spans="1:11" x14ac:dyDescent="0.25">
      <c r="A2998" s="8" t="s">
        <v>4635</v>
      </c>
      <c r="B2998" s="8" t="s">
        <v>3518</v>
      </c>
      <c r="C2998" s="8" t="s">
        <v>974</v>
      </c>
      <c r="D2998" s="8">
        <v>5</v>
      </c>
      <c r="E2998" s="8" t="s">
        <v>4620</v>
      </c>
      <c r="F2998" s="8" t="s">
        <v>266</v>
      </c>
      <c r="G2998" s="8" t="s">
        <v>976</v>
      </c>
      <c r="H2998" s="10">
        <v>0.2</v>
      </c>
      <c r="I2998" s="10"/>
      <c r="J2998" s="10">
        <v>0.2</v>
      </c>
      <c r="K2998" s="10">
        <v>7827.36</v>
      </c>
    </row>
    <row r="2999" spans="1:11" x14ac:dyDescent="0.25">
      <c r="A2999" s="8" t="s">
        <v>4636</v>
      </c>
      <c r="B2999" s="8" t="s">
        <v>4491</v>
      </c>
      <c r="C2999" s="8" t="s">
        <v>974</v>
      </c>
      <c r="D2999" s="8">
        <v>5</v>
      </c>
      <c r="E2999" s="8" t="s">
        <v>4620</v>
      </c>
      <c r="F2999" s="8" t="s">
        <v>266</v>
      </c>
      <c r="G2999" s="8" t="s">
        <v>976</v>
      </c>
      <c r="H2999" s="10">
        <v>0.5</v>
      </c>
      <c r="I2999" s="10"/>
      <c r="J2999" s="10">
        <v>0.5</v>
      </c>
      <c r="K2999" s="10">
        <v>7827.36</v>
      </c>
    </row>
    <row r="3000" spans="1:11" x14ac:dyDescent="0.25">
      <c r="A3000" s="8" t="s">
        <v>4637</v>
      </c>
      <c r="B3000" s="8" t="s">
        <v>1029</v>
      </c>
      <c r="C3000" s="8" t="s">
        <v>974</v>
      </c>
      <c r="D3000" s="8">
        <v>5</v>
      </c>
      <c r="E3000" s="8" t="s">
        <v>4620</v>
      </c>
      <c r="F3000" s="8" t="s">
        <v>266</v>
      </c>
      <c r="G3000" s="8" t="s">
        <v>976</v>
      </c>
      <c r="H3000" s="10">
        <v>0.6</v>
      </c>
      <c r="I3000" s="10"/>
      <c r="J3000" s="10">
        <v>0.6</v>
      </c>
      <c r="K3000" s="10">
        <v>7827.36</v>
      </c>
    </row>
    <row r="3001" spans="1:11" x14ac:dyDescent="0.25">
      <c r="A3001" s="8" t="s">
        <v>4638</v>
      </c>
      <c r="B3001" s="8" t="s">
        <v>72</v>
      </c>
      <c r="C3001" s="8" t="s">
        <v>4639</v>
      </c>
      <c r="D3001" s="8">
        <v>3</v>
      </c>
      <c r="E3001" s="8" t="s">
        <v>4640</v>
      </c>
      <c r="F3001" s="8" t="s">
        <v>266</v>
      </c>
      <c r="G3001" s="8" t="s">
        <v>4641</v>
      </c>
      <c r="H3001" s="10">
        <v>0.3</v>
      </c>
      <c r="I3001" s="10"/>
      <c r="J3001" s="10">
        <v>0.3</v>
      </c>
      <c r="K3001" s="10">
        <v>6528.22</v>
      </c>
    </row>
    <row r="3002" spans="1:11" x14ac:dyDescent="0.25">
      <c r="A3002" s="8" t="s">
        <v>4642</v>
      </c>
      <c r="B3002" s="8" t="s">
        <v>72</v>
      </c>
      <c r="C3002" s="8" t="s">
        <v>4639</v>
      </c>
      <c r="D3002" s="8">
        <v>3</v>
      </c>
      <c r="E3002" s="8" t="s">
        <v>4640</v>
      </c>
      <c r="F3002" s="8" t="s">
        <v>266</v>
      </c>
      <c r="G3002" s="8" t="s">
        <v>4641</v>
      </c>
      <c r="H3002" s="10">
        <v>1.5</v>
      </c>
      <c r="I3002" s="10"/>
      <c r="J3002" s="10">
        <v>1.5</v>
      </c>
      <c r="K3002" s="10">
        <v>6528.22</v>
      </c>
    </row>
    <row r="3003" spans="1:11" x14ac:dyDescent="0.25">
      <c r="A3003" s="8" t="s">
        <v>4643</v>
      </c>
      <c r="B3003" s="8" t="s">
        <v>116</v>
      </c>
      <c r="C3003" s="8" t="s">
        <v>4639</v>
      </c>
      <c r="D3003" s="8">
        <v>3</v>
      </c>
      <c r="E3003" s="8" t="s">
        <v>4640</v>
      </c>
      <c r="F3003" s="8" t="s">
        <v>266</v>
      </c>
      <c r="G3003" s="8" t="s">
        <v>4641</v>
      </c>
      <c r="H3003" s="10">
        <v>10</v>
      </c>
      <c r="I3003" s="10"/>
      <c r="J3003" s="10">
        <v>10</v>
      </c>
      <c r="K3003" s="10">
        <v>6528.22</v>
      </c>
    </row>
    <row r="3004" spans="1:11" x14ac:dyDescent="0.25">
      <c r="A3004" s="8" t="s">
        <v>4644</v>
      </c>
      <c r="B3004" s="8" t="s">
        <v>1650</v>
      </c>
      <c r="C3004" s="8" t="s">
        <v>4639</v>
      </c>
      <c r="D3004" s="8">
        <v>3</v>
      </c>
      <c r="E3004" s="8" t="s">
        <v>4640</v>
      </c>
      <c r="F3004" s="8" t="s">
        <v>266</v>
      </c>
      <c r="G3004" s="8" t="s">
        <v>4641</v>
      </c>
      <c r="H3004" s="10">
        <v>0.3</v>
      </c>
      <c r="I3004" s="10"/>
      <c r="J3004" s="10">
        <v>0.3</v>
      </c>
      <c r="K3004" s="10">
        <v>6528.22</v>
      </c>
    </row>
    <row r="3005" spans="1:11" x14ac:dyDescent="0.25">
      <c r="A3005" s="8" t="s">
        <v>4645</v>
      </c>
      <c r="B3005" s="8" t="s">
        <v>120</v>
      </c>
      <c r="C3005" s="8" t="s">
        <v>4639</v>
      </c>
      <c r="D3005" s="8">
        <v>3</v>
      </c>
      <c r="E3005" s="8" t="s">
        <v>4640</v>
      </c>
      <c r="F3005" s="8" t="s">
        <v>266</v>
      </c>
      <c r="G3005" s="8" t="s">
        <v>4641</v>
      </c>
      <c r="H3005" s="10">
        <v>28.1</v>
      </c>
      <c r="I3005" s="10"/>
      <c r="J3005" s="10">
        <v>28.1</v>
      </c>
      <c r="K3005" s="10">
        <v>6528.22</v>
      </c>
    </row>
    <row r="3006" spans="1:11" x14ac:dyDescent="0.25">
      <c r="A3006" s="8" t="s">
        <v>4646</v>
      </c>
      <c r="B3006" s="8" t="s">
        <v>122</v>
      </c>
      <c r="C3006" s="8" t="s">
        <v>4639</v>
      </c>
      <c r="D3006" s="8">
        <v>3</v>
      </c>
      <c r="E3006" s="8" t="s">
        <v>4640</v>
      </c>
      <c r="F3006" s="8" t="s">
        <v>266</v>
      </c>
      <c r="G3006" s="8" t="s">
        <v>4641</v>
      </c>
      <c r="H3006" s="10">
        <v>16.100000000000001</v>
      </c>
      <c r="I3006" s="10"/>
      <c r="J3006" s="10">
        <v>16.100000000000001</v>
      </c>
      <c r="K3006" s="10">
        <v>6528.22</v>
      </c>
    </row>
    <row r="3007" spans="1:11" x14ac:dyDescent="0.25">
      <c r="A3007" s="8" t="s">
        <v>4647</v>
      </c>
      <c r="B3007" s="8" t="s">
        <v>122</v>
      </c>
      <c r="C3007" s="8" t="s">
        <v>4639</v>
      </c>
      <c r="D3007" s="8">
        <v>3</v>
      </c>
      <c r="E3007" s="8" t="s">
        <v>4640</v>
      </c>
      <c r="F3007" s="8" t="s">
        <v>266</v>
      </c>
      <c r="G3007" s="8" t="s">
        <v>4641</v>
      </c>
      <c r="H3007" s="10">
        <v>0.1</v>
      </c>
      <c r="I3007" s="10"/>
      <c r="J3007" s="10">
        <v>0.1</v>
      </c>
      <c r="K3007" s="10">
        <v>6528.22</v>
      </c>
    </row>
    <row r="3008" spans="1:11" x14ac:dyDescent="0.25">
      <c r="A3008" s="8" t="s">
        <v>4648</v>
      </c>
      <c r="B3008" s="8" t="s">
        <v>124</v>
      </c>
      <c r="C3008" s="8" t="s">
        <v>4639</v>
      </c>
      <c r="D3008" s="8">
        <v>3</v>
      </c>
      <c r="E3008" s="8" t="s">
        <v>4640</v>
      </c>
      <c r="F3008" s="8" t="s">
        <v>266</v>
      </c>
      <c r="G3008" s="8" t="s">
        <v>4641</v>
      </c>
      <c r="H3008" s="10">
        <v>57.1</v>
      </c>
      <c r="I3008" s="10"/>
      <c r="J3008" s="10">
        <v>57.1</v>
      </c>
      <c r="K3008" s="10">
        <v>6528.22</v>
      </c>
    </row>
    <row r="3009" spans="1:11" x14ac:dyDescent="0.25">
      <c r="A3009" s="8" t="s">
        <v>4649</v>
      </c>
      <c r="B3009" s="8" t="s">
        <v>78</v>
      </c>
      <c r="C3009" s="8" t="s">
        <v>4639</v>
      </c>
      <c r="D3009" s="8">
        <v>3</v>
      </c>
      <c r="E3009" s="8" t="s">
        <v>4640</v>
      </c>
      <c r="F3009" s="8" t="s">
        <v>266</v>
      </c>
      <c r="G3009" s="8" t="s">
        <v>4641</v>
      </c>
      <c r="H3009" s="10">
        <v>10.3</v>
      </c>
      <c r="I3009" s="10"/>
      <c r="J3009" s="10">
        <v>10.3</v>
      </c>
      <c r="K3009" s="10">
        <v>6528.22</v>
      </c>
    </row>
    <row r="3010" spans="1:11" x14ac:dyDescent="0.25">
      <c r="A3010" s="8" t="s">
        <v>4650</v>
      </c>
      <c r="B3010" s="8" t="s">
        <v>1655</v>
      </c>
      <c r="C3010" s="8" t="s">
        <v>4639</v>
      </c>
      <c r="D3010" s="8">
        <v>3</v>
      </c>
      <c r="E3010" s="8" t="s">
        <v>4640</v>
      </c>
      <c r="F3010" s="8" t="s">
        <v>266</v>
      </c>
      <c r="G3010" s="8" t="s">
        <v>4641</v>
      </c>
      <c r="H3010" s="10">
        <v>0.3</v>
      </c>
      <c r="I3010" s="10"/>
      <c r="J3010" s="10">
        <v>0.3</v>
      </c>
      <c r="K3010" s="10">
        <v>6528.22</v>
      </c>
    </row>
    <row r="3011" spans="1:11" x14ac:dyDescent="0.25">
      <c r="A3011" s="8" t="s">
        <v>4651</v>
      </c>
      <c r="B3011" s="8" t="s">
        <v>128</v>
      </c>
      <c r="C3011" s="8" t="s">
        <v>4639</v>
      </c>
      <c r="D3011" s="8">
        <v>3</v>
      </c>
      <c r="E3011" s="8" t="s">
        <v>4640</v>
      </c>
      <c r="F3011" s="8" t="s">
        <v>266</v>
      </c>
      <c r="G3011" s="8" t="s">
        <v>4641</v>
      </c>
      <c r="H3011" s="10">
        <v>1.6</v>
      </c>
      <c r="I3011" s="10"/>
      <c r="J3011" s="10">
        <v>1.6</v>
      </c>
      <c r="K3011" s="10">
        <v>6528.22</v>
      </c>
    </row>
    <row r="3012" spans="1:11" x14ac:dyDescent="0.25">
      <c r="A3012" s="8" t="s">
        <v>4652</v>
      </c>
      <c r="B3012" s="8" t="s">
        <v>130</v>
      </c>
      <c r="C3012" s="8" t="s">
        <v>4639</v>
      </c>
      <c r="D3012" s="8">
        <v>3</v>
      </c>
      <c r="E3012" s="8" t="s">
        <v>4640</v>
      </c>
      <c r="F3012" s="8" t="s">
        <v>266</v>
      </c>
      <c r="G3012" s="8" t="s">
        <v>4641</v>
      </c>
      <c r="H3012" s="10">
        <v>0.7</v>
      </c>
      <c r="I3012" s="10"/>
      <c r="J3012" s="10">
        <v>0.7</v>
      </c>
      <c r="K3012" s="10">
        <v>6528.22</v>
      </c>
    </row>
    <row r="3013" spans="1:11" x14ac:dyDescent="0.25">
      <c r="A3013" s="8" t="s">
        <v>4653</v>
      </c>
      <c r="B3013" s="8" t="s">
        <v>132</v>
      </c>
      <c r="C3013" s="8" t="s">
        <v>4639</v>
      </c>
      <c r="D3013" s="8">
        <v>3</v>
      </c>
      <c r="E3013" s="8" t="s">
        <v>4640</v>
      </c>
      <c r="F3013" s="8" t="s">
        <v>266</v>
      </c>
      <c r="G3013" s="8" t="s">
        <v>4641</v>
      </c>
      <c r="H3013" s="10">
        <v>5.2</v>
      </c>
      <c r="I3013" s="10"/>
      <c r="J3013" s="10">
        <v>5.2</v>
      </c>
      <c r="K3013" s="10">
        <v>6528.22</v>
      </c>
    </row>
    <row r="3014" spans="1:11" x14ac:dyDescent="0.25">
      <c r="A3014" s="8" t="s">
        <v>4654</v>
      </c>
      <c r="B3014" s="8" t="s">
        <v>134</v>
      </c>
      <c r="C3014" s="8" t="s">
        <v>4639</v>
      </c>
      <c r="D3014" s="8">
        <v>3</v>
      </c>
      <c r="E3014" s="8" t="s">
        <v>4640</v>
      </c>
      <c r="F3014" s="8" t="s">
        <v>266</v>
      </c>
      <c r="G3014" s="8" t="s">
        <v>4641</v>
      </c>
      <c r="H3014" s="10">
        <v>3</v>
      </c>
      <c r="I3014" s="10"/>
      <c r="J3014" s="10">
        <v>3</v>
      </c>
      <c r="K3014" s="10">
        <v>6528.22</v>
      </c>
    </row>
    <row r="3015" spans="1:11" x14ac:dyDescent="0.25">
      <c r="A3015" s="8" t="s">
        <v>4655</v>
      </c>
      <c r="B3015" s="8" t="s">
        <v>263</v>
      </c>
      <c r="C3015" s="8" t="s">
        <v>4639</v>
      </c>
      <c r="D3015" s="8">
        <v>3</v>
      </c>
      <c r="E3015" s="8" t="s">
        <v>486</v>
      </c>
      <c r="F3015" s="8" t="s">
        <v>266</v>
      </c>
      <c r="G3015" s="8" t="s">
        <v>4641</v>
      </c>
      <c r="H3015" s="10">
        <v>1.1000000000000001</v>
      </c>
      <c r="I3015" s="10"/>
      <c r="J3015" s="10">
        <v>1.1000000000000001</v>
      </c>
      <c r="K3015" s="10">
        <v>6528.22</v>
      </c>
    </row>
    <row r="3016" spans="1:11" x14ac:dyDescent="0.25">
      <c r="A3016" s="8" t="s">
        <v>4656</v>
      </c>
      <c r="B3016" s="8" t="s">
        <v>269</v>
      </c>
      <c r="C3016" s="8" t="s">
        <v>4639</v>
      </c>
      <c r="D3016" s="8">
        <v>3</v>
      </c>
      <c r="E3016" s="8" t="s">
        <v>486</v>
      </c>
      <c r="F3016" s="8" t="s">
        <v>266</v>
      </c>
      <c r="G3016" s="8" t="s">
        <v>4641</v>
      </c>
      <c r="H3016" s="10">
        <v>1.1000000000000001</v>
      </c>
      <c r="I3016" s="10"/>
      <c r="J3016" s="10">
        <v>1.1000000000000001</v>
      </c>
      <c r="K3016" s="10">
        <v>6528.22</v>
      </c>
    </row>
    <row r="3017" spans="1:11" x14ac:dyDescent="0.25">
      <c r="A3017" s="8" t="s">
        <v>4657</v>
      </c>
      <c r="B3017" s="8" t="s">
        <v>118</v>
      </c>
      <c r="C3017" s="8" t="s">
        <v>4639</v>
      </c>
      <c r="D3017" s="8">
        <v>3</v>
      </c>
      <c r="E3017" s="8" t="s">
        <v>486</v>
      </c>
      <c r="F3017" s="8" t="s">
        <v>266</v>
      </c>
      <c r="G3017" s="8" t="s">
        <v>4641</v>
      </c>
      <c r="H3017" s="10">
        <v>11.3</v>
      </c>
      <c r="I3017" s="10"/>
      <c r="J3017" s="10">
        <v>11.3</v>
      </c>
      <c r="K3017" s="10">
        <v>6528.22</v>
      </c>
    </row>
    <row r="3018" spans="1:11" x14ac:dyDescent="0.25">
      <c r="A3018" s="8" t="s">
        <v>4658</v>
      </c>
      <c r="B3018" s="8" t="s">
        <v>263</v>
      </c>
      <c r="C3018" s="8" t="s">
        <v>4659</v>
      </c>
      <c r="D3018" s="8">
        <v>4</v>
      </c>
      <c r="E3018" s="8" t="s">
        <v>486</v>
      </c>
      <c r="F3018" s="8" t="s">
        <v>266</v>
      </c>
      <c r="G3018" s="8" t="s">
        <v>4660</v>
      </c>
      <c r="H3018" s="10">
        <v>1.4</v>
      </c>
      <c r="I3018" s="10"/>
      <c r="J3018" s="10">
        <v>1.4</v>
      </c>
      <c r="K3018" s="10">
        <v>22971.26</v>
      </c>
    </row>
    <row r="3019" spans="1:11" x14ac:dyDescent="0.25">
      <c r="A3019" s="8" t="s">
        <v>4661</v>
      </c>
      <c r="B3019" s="8" t="s">
        <v>269</v>
      </c>
      <c r="C3019" s="8" t="s">
        <v>4659</v>
      </c>
      <c r="D3019" s="8">
        <v>4</v>
      </c>
      <c r="E3019" s="8" t="s">
        <v>486</v>
      </c>
      <c r="F3019" s="8" t="s">
        <v>266</v>
      </c>
      <c r="G3019" s="8" t="s">
        <v>4660</v>
      </c>
      <c r="H3019" s="10">
        <v>1.4</v>
      </c>
      <c r="I3019" s="10"/>
      <c r="J3019" s="10">
        <v>1.4</v>
      </c>
      <c r="K3019" s="10">
        <v>22971.26</v>
      </c>
    </row>
    <row r="3020" spans="1:11" x14ac:dyDescent="0.25">
      <c r="A3020" s="8" t="s">
        <v>4662</v>
      </c>
      <c r="B3020" s="8" t="s">
        <v>72</v>
      </c>
      <c r="C3020" s="8" t="s">
        <v>974</v>
      </c>
      <c r="D3020" s="8">
        <v>5</v>
      </c>
      <c r="E3020" s="8" t="s">
        <v>4663</v>
      </c>
      <c r="F3020" s="8" t="s">
        <v>266</v>
      </c>
      <c r="G3020" s="8" t="s">
        <v>976</v>
      </c>
      <c r="H3020" s="10">
        <v>1.9</v>
      </c>
      <c r="I3020" s="10"/>
      <c r="J3020" s="10">
        <v>1.9</v>
      </c>
      <c r="K3020" s="10">
        <v>6528.22</v>
      </c>
    </row>
    <row r="3021" spans="1:11" x14ac:dyDescent="0.25">
      <c r="A3021" s="8" t="s">
        <v>4664</v>
      </c>
      <c r="B3021" s="8" t="s">
        <v>118</v>
      </c>
      <c r="C3021" s="8" t="s">
        <v>974</v>
      </c>
      <c r="D3021" s="8">
        <v>5</v>
      </c>
      <c r="E3021" s="8" t="s">
        <v>4663</v>
      </c>
      <c r="F3021" s="8" t="s">
        <v>266</v>
      </c>
      <c r="G3021" s="8" t="s">
        <v>976</v>
      </c>
      <c r="H3021" s="10">
        <v>5.5</v>
      </c>
      <c r="I3021" s="10"/>
      <c r="J3021" s="10">
        <v>5.5</v>
      </c>
      <c r="K3021" s="10">
        <v>6528.22</v>
      </c>
    </row>
    <row r="3022" spans="1:11" x14ac:dyDescent="0.25">
      <c r="A3022" s="8" t="s">
        <v>4665</v>
      </c>
      <c r="B3022" s="8" t="s">
        <v>1650</v>
      </c>
      <c r="C3022" s="8" t="s">
        <v>974</v>
      </c>
      <c r="D3022" s="8">
        <v>5</v>
      </c>
      <c r="E3022" s="8" t="s">
        <v>4663</v>
      </c>
      <c r="F3022" s="8" t="s">
        <v>266</v>
      </c>
      <c r="G3022" s="8" t="s">
        <v>976</v>
      </c>
      <c r="H3022" s="10">
        <v>1.9</v>
      </c>
      <c r="I3022" s="10"/>
      <c r="J3022" s="10">
        <v>1.9</v>
      </c>
      <c r="K3022" s="10">
        <v>6528.22</v>
      </c>
    </row>
    <row r="3023" spans="1:11" x14ac:dyDescent="0.25">
      <c r="A3023" s="8" t="s">
        <v>4666</v>
      </c>
      <c r="B3023" s="8" t="s">
        <v>1655</v>
      </c>
      <c r="C3023" s="8" t="s">
        <v>974</v>
      </c>
      <c r="D3023" s="8">
        <v>5</v>
      </c>
      <c r="E3023" s="8" t="s">
        <v>4663</v>
      </c>
      <c r="F3023" s="8" t="s">
        <v>266</v>
      </c>
      <c r="G3023" s="8" t="s">
        <v>976</v>
      </c>
      <c r="H3023" s="10">
        <v>2</v>
      </c>
      <c r="I3023" s="10"/>
      <c r="J3023" s="10">
        <v>2</v>
      </c>
      <c r="K3023" s="10">
        <v>6469.03</v>
      </c>
    </row>
    <row r="3024" spans="1:11" x14ac:dyDescent="0.25">
      <c r="A3024" s="8" t="s">
        <v>4667</v>
      </c>
      <c r="B3024" s="8" t="s">
        <v>263</v>
      </c>
      <c r="C3024" s="8" t="s">
        <v>974</v>
      </c>
      <c r="D3024" s="8">
        <v>5</v>
      </c>
      <c r="E3024" s="8" t="s">
        <v>4668</v>
      </c>
      <c r="F3024" s="8" t="s">
        <v>266</v>
      </c>
      <c r="G3024" s="8" t="s">
        <v>4669</v>
      </c>
      <c r="H3024" s="10">
        <v>0.1</v>
      </c>
      <c r="I3024" s="10"/>
      <c r="J3024" s="10">
        <v>0.1</v>
      </c>
      <c r="K3024" s="10">
        <v>14323.07</v>
      </c>
    </row>
    <row r="3025" spans="1:11" x14ac:dyDescent="0.25">
      <c r="A3025" s="8" t="s">
        <v>4670</v>
      </c>
      <c r="B3025" s="8" t="s">
        <v>269</v>
      </c>
      <c r="C3025" s="8" t="s">
        <v>974</v>
      </c>
      <c r="D3025" s="8">
        <v>5</v>
      </c>
      <c r="E3025" s="8" t="s">
        <v>4668</v>
      </c>
      <c r="F3025" s="8" t="s">
        <v>266</v>
      </c>
      <c r="G3025" s="8" t="s">
        <v>4669</v>
      </c>
      <c r="H3025" s="10">
        <v>0.1</v>
      </c>
      <c r="I3025" s="10"/>
      <c r="J3025" s="10">
        <v>0.1</v>
      </c>
      <c r="K3025" s="10">
        <v>14323.07</v>
      </c>
    </row>
    <row r="3026" spans="1:11" x14ac:dyDescent="0.25">
      <c r="A3026" s="8" t="s">
        <v>4671</v>
      </c>
      <c r="B3026" s="8" t="s">
        <v>72</v>
      </c>
      <c r="C3026" s="8" t="s">
        <v>974</v>
      </c>
      <c r="D3026" s="8">
        <v>5</v>
      </c>
      <c r="E3026" s="8" t="s">
        <v>4672</v>
      </c>
      <c r="F3026" s="8" t="s">
        <v>266</v>
      </c>
      <c r="G3026" s="8" t="s">
        <v>4669</v>
      </c>
      <c r="H3026" s="10">
        <v>5.7</v>
      </c>
      <c r="I3026" s="10"/>
      <c r="J3026" s="10">
        <v>5.7</v>
      </c>
      <c r="K3026" s="10">
        <v>14323.07</v>
      </c>
    </row>
    <row r="3027" spans="1:11" x14ac:dyDescent="0.25">
      <c r="A3027" s="8" t="s">
        <v>4673</v>
      </c>
      <c r="B3027" s="8" t="s">
        <v>72</v>
      </c>
      <c r="C3027" s="8" t="s">
        <v>974</v>
      </c>
      <c r="D3027" s="8">
        <v>5</v>
      </c>
      <c r="E3027" s="8" t="s">
        <v>4672</v>
      </c>
      <c r="F3027" s="8" t="s">
        <v>266</v>
      </c>
      <c r="G3027" s="8" t="s">
        <v>4669</v>
      </c>
      <c r="H3027" s="10">
        <v>0.5</v>
      </c>
      <c r="I3027" s="10"/>
      <c r="J3027" s="10">
        <v>0.5</v>
      </c>
      <c r="K3027" s="10">
        <v>14323.07</v>
      </c>
    </row>
    <row r="3028" spans="1:11" x14ac:dyDescent="0.25">
      <c r="A3028" s="8" t="s">
        <v>4674</v>
      </c>
      <c r="B3028" s="8" t="s">
        <v>116</v>
      </c>
      <c r="C3028" s="8" t="s">
        <v>974</v>
      </c>
      <c r="D3028" s="8">
        <v>5</v>
      </c>
      <c r="E3028" s="8" t="s">
        <v>4672</v>
      </c>
      <c r="F3028" s="8" t="s">
        <v>266</v>
      </c>
      <c r="G3028" s="8" t="s">
        <v>4669</v>
      </c>
      <c r="H3028" s="10">
        <v>6.2</v>
      </c>
      <c r="I3028" s="10"/>
      <c r="J3028" s="10">
        <v>6.2</v>
      </c>
      <c r="K3028" s="10">
        <v>14323.07</v>
      </c>
    </row>
    <row r="3029" spans="1:11" x14ac:dyDescent="0.25">
      <c r="A3029" s="8" t="s">
        <v>4675</v>
      </c>
      <c r="B3029" s="8" t="s">
        <v>116</v>
      </c>
      <c r="C3029" s="8" t="s">
        <v>974</v>
      </c>
      <c r="D3029" s="8">
        <v>5</v>
      </c>
      <c r="E3029" s="8" t="s">
        <v>4672</v>
      </c>
      <c r="F3029" s="8" t="s">
        <v>266</v>
      </c>
      <c r="G3029" s="8" t="s">
        <v>4669</v>
      </c>
      <c r="H3029" s="10">
        <v>3.1</v>
      </c>
      <c r="I3029" s="10"/>
      <c r="J3029" s="10">
        <v>3.1</v>
      </c>
      <c r="K3029" s="10">
        <v>14323.07</v>
      </c>
    </row>
    <row r="3030" spans="1:11" x14ac:dyDescent="0.25">
      <c r="A3030" s="8" t="s">
        <v>4676</v>
      </c>
      <c r="B3030" s="8" t="s">
        <v>118</v>
      </c>
      <c r="C3030" s="8" t="s">
        <v>974</v>
      </c>
      <c r="D3030" s="8">
        <v>5</v>
      </c>
      <c r="E3030" s="8" t="s">
        <v>4672</v>
      </c>
      <c r="F3030" s="8" t="s">
        <v>266</v>
      </c>
      <c r="G3030" s="8" t="s">
        <v>4669</v>
      </c>
      <c r="H3030" s="10">
        <v>68.8</v>
      </c>
      <c r="I3030" s="10"/>
      <c r="J3030" s="10">
        <v>68.8</v>
      </c>
      <c r="K3030" s="10">
        <v>14323.07</v>
      </c>
    </row>
    <row r="3031" spans="1:11" x14ac:dyDescent="0.25">
      <c r="A3031" s="8" t="s">
        <v>4677</v>
      </c>
      <c r="B3031" s="8" t="s">
        <v>118</v>
      </c>
      <c r="C3031" s="8" t="s">
        <v>974</v>
      </c>
      <c r="D3031" s="8">
        <v>5</v>
      </c>
      <c r="E3031" s="8" t="s">
        <v>4672</v>
      </c>
      <c r="F3031" s="8" t="s">
        <v>266</v>
      </c>
      <c r="G3031" s="8" t="s">
        <v>4669</v>
      </c>
      <c r="H3031" s="10">
        <v>2.1</v>
      </c>
      <c r="I3031" s="10"/>
      <c r="J3031" s="10">
        <v>2.1</v>
      </c>
      <c r="K3031" s="10">
        <v>14323.07</v>
      </c>
    </row>
    <row r="3032" spans="1:11" x14ac:dyDescent="0.25">
      <c r="A3032" s="8" t="s">
        <v>4678</v>
      </c>
      <c r="B3032" s="8" t="s">
        <v>1650</v>
      </c>
      <c r="C3032" s="8" t="s">
        <v>974</v>
      </c>
      <c r="D3032" s="8">
        <v>5</v>
      </c>
      <c r="E3032" s="8" t="s">
        <v>4672</v>
      </c>
      <c r="F3032" s="8" t="s">
        <v>266</v>
      </c>
      <c r="G3032" s="8" t="s">
        <v>4669</v>
      </c>
      <c r="H3032" s="10">
        <v>5.7</v>
      </c>
      <c r="I3032" s="10"/>
      <c r="J3032" s="10">
        <v>5.7</v>
      </c>
      <c r="K3032" s="10">
        <v>14323.07</v>
      </c>
    </row>
    <row r="3033" spans="1:11" x14ac:dyDescent="0.25">
      <c r="A3033" s="8" t="s">
        <v>4679</v>
      </c>
      <c r="B3033" s="8" t="s">
        <v>120</v>
      </c>
      <c r="C3033" s="8" t="s">
        <v>974</v>
      </c>
      <c r="D3033" s="8">
        <v>5</v>
      </c>
      <c r="E3033" s="8" t="s">
        <v>4672</v>
      </c>
      <c r="F3033" s="8" t="s">
        <v>266</v>
      </c>
      <c r="G3033" s="8" t="s">
        <v>4669</v>
      </c>
      <c r="H3033" s="10">
        <v>103.7</v>
      </c>
      <c r="I3033" s="10"/>
      <c r="J3033" s="10">
        <v>103.7</v>
      </c>
      <c r="K3033" s="10">
        <v>14323.07</v>
      </c>
    </row>
    <row r="3034" spans="1:11" x14ac:dyDescent="0.25">
      <c r="A3034" s="8" t="s">
        <v>4680</v>
      </c>
      <c r="B3034" s="8" t="s">
        <v>120</v>
      </c>
      <c r="C3034" s="8" t="s">
        <v>974</v>
      </c>
      <c r="D3034" s="8">
        <v>5</v>
      </c>
      <c r="E3034" s="8" t="s">
        <v>4672</v>
      </c>
      <c r="F3034" s="8" t="s">
        <v>266</v>
      </c>
      <c r="G3034" s="8" t="s">
        <v>4669</v>
      </c>
      <c r="H3034" s="10">
        <v>5.5</v>
      </c>
      <c r="I3034" s="10"/>
      <c r="J3034" s="10">
        <v>5.5</v>
      </c>
      <c r="K3034" s="10">
        <v>14323.07</v>
      </c>
    </row>
    <row r="3035" spans="1:11" x14ac:dyDescent="0.25">
      <c r="A3035" s="8" t="s">
        <v>4681</v>
      </c>
      <c r="B3035" s="8" t="s">
        <v>122</v>
      </c>
      <c r="C3035" s="8" t="s">
        <v>974</v>
      </c>
      <c r="D3035" s="8">
        <v>5</v>
      </c>
      <c r="E3035" s="8" t="s">
        <v>4672</v>
      </c>
      <c r="F3035" s="8" t="s">
        <v>266</v>
      </c>
      <c r="G3035" s="8" t="s">
        <v>4669</v>
      </c>
      <c r="H3035" s="10">
        <v>38.799999999999997</v>
      </c>
      <c r="I3035" s="10"/>
      <c r="J3035" s="10">
        <v>38.799999999999997</v>
      </c>
      <c r="K3035" s="10">
        <v>14323.07</v>
      </c>
    </row>
    <row r="3036" spans="1:11" x14ac:dyDescent="0.25">
      <c r="A3036" s="8" t="s">
        <v>4682</v>
      </c>
      <c r="B3036" s="8" t="s">
        <v>122</v>
      </c>
      <c r="C3036" s="8" t="s">
        <v>974</v>
      </c>
      <c r="D3036" s="8">
        <v>5</v>
      </c>
      <c r="E3036" s="8" t="s">
        <v>4672</v>
      </c>
      <c r="F3036" s="8" t="s">
        <v>266</v>
      </c>
      <c r="G3036" s="8" t="s">
        <v>4669</v>
      </c>
      <c r="H3036" s="10">
        <v>1.4</v>
      </c>
      <c r="I3036" s="10"/>
      <c r="J3036" s="10">
        <v>1.4</v>
      </c>
      <c r="K3036" s="10">
        <v>14323.07</v>
      </c>
    </row>
    <row r="3037" spans="1:11" x14ac:dyDescent="0.25">
      <c r="A3037" s="8" t="s">
        <v>4683</v>
      </c>
      <c r="B3037" s="8" t="s">
        <v>124</v>
      </c>
      <c r="C3037" s="8" t="s">
        <v>974</v>
      </c>
      <c r="D3037" s="8">
        <v>5</v>
      </c>
      <c r="E3037" s="8" t="s">
        <v>4672</v>
      </c>
      <c r="F3037" s="8" t="s">
        <v>266</v>
      </c>
      <c r="G3037" s="8" t="s">
        <v>4669</v>
      </c>
      <c r="H3037" s="10">
        <v>73.2</v>
      </c>
      <c r="I3037" s="10"/>
      <c r="J3037" s="10">
        <v>73.2</v>
      </c>
      <c r="K3037" s="10">
        <v>14323.07</v>
      </c>
    </row>
    <row r="3038" spans="1:11" x14ac:dyDescent="0.25">
      <c r="A3038" s="8" t="s">
        <v>4684</v>
      </c>
      <c r="B3038" s="8" t="s">
        <v>78</v>
      </c>
      <c r="C3038" s="8" t="s">
        <v>974</v>
      </c>
      <c r="D3038" s="8">
        <v>5</v>
      </c>
      <c r="E3038" s="8" t="s">
        <v>4672</v>
      </c>
      <c r="F3038" s="8" t="s">
        <v>266</v>
      </c>
      <c r="G3038" s="8" t="s">
        <v>4669</v>
      </c>
      <c r="H3038" s="10">
        <v>30.1</v>
      </c>
      <c r="I3038" s="10"/>
      <c r="J3038" s="10">
        <v>30.1</v>
      </c>
      <c r="K3038" s="10">
        <v>14323.07</v>
      </c>
    </row>
    <row r="3039" spans="1:11" x14ac:dyDescent="0.25">
      <c r="A3039" s="8" t="s">
        <v>4685</v>
      </c>
      <c r="B3039" s="8" t="s">
        <v>1655</v>
      </c>
      <c r="C3039" s="8" t="s">
        <v>974</v>
      </c>
      <c r="D3039" s="8">
        <v>5</v>
      </c>
      <c r="E3039" s="8" t="s">
        <v>4672</v>
      </c>
      <c r="F3039" s="8" t="s">
        <v>266</v>
      </c>
      <c r="G3039" s="8" t="s">
        <v>4669</v>
      </c>
      <c r="H3039" s="10">
        <v>4.5999999999999996</v>
      </c>
      <c r="I3039" s="10"/>
      <c r="J3039" s="10">
        <v>4.5999999999999996</v>
      </c>
      <c r="K3039" s="10">
        <v>14323.07</v>
      </c>
    </row>
    <row r="3040" spans="1:11" x14ac:dyDescent="0.25">
      <c r="A3040" s="8" t="s">
        <v>4686</v>
      </c>
      <c r="B3040" s="8" t="s">
        <v>128</v>
      </c>
      <c r="C3040" s="8" t="s">
        <v>974</v>
      </c>
      <c r="D3040" s="8">
        <v>5</v>
      </c>
      <c r="E3040" s="8" t="s">
        <v>4672</v>
      </c>
      <c r="F3040" s="8" t="s">
        <v>266</v>
      </c>
      <c r="G3040" s="8" t="s">
        <v>4669</v>
      </c>
      <c r="H3040" s="10">
        <v>5.9</v>
      </c>
      <c r="I3040" s="10"/>
      <c r="J3040" s="10">
        <v>5.9</v>
      </c>
      <c r="K3040" s="10">
        <v>14323.07</v>
      </c>
    </row>
    <row r="3041" spans="1:11" x14ac:dyDescent="0.25">
      <c r="A3041" s="8" t="s">
        <v>4687</v>
      </c>
      <c r="B3041" s="8" t="s">
        <v>130</v>
      </c>
      <c r="C3041" s="8" t="s">
        <v>974</v>
      </c>
      <c r="D3041" s="8">
        <v>5</v>
      </c>
      <c r="E3041" s="8" t="s">
        <v>4672</v>
      </c>
      <c r="F3041" s="8" t="s">
        <v>266</v>
      </c>
      <c r="G3041" s="8" t="s">
        <v>4669</v>
      </c>
      <c r="H3041" s="10">
        <v>3.6</v>
      </c>
      <c r="I3041" s="10"/>
      <c r="J3041" s="10">
        <v>3.6</v>
      </c>
      <c r="K3041" s="10">
        <v>14323.07</v>
      </c>
    </row>
    <row r="3042" spans="1:11" x14ac:dyDescent="0.25">
      <c r="A3042" s="8" t="s">
        <v>4688</v>
      </c>
      <c r="B3042" s="8" t="s">
        <v>132</v>
      </c>
      <c r="C3042" s="8" t="s">
        <v>974</v>
      </c>
      <c r="D3042" s="8">
        <v>5</v>
      </c>
      <c r="E3042" s="8" t="s">
        <v>4672</v>
      </c>
      <c r="F3042" s="8" t="s">
        <v>266</v>
      </c>
      <c r="G3042" s="8" t="s">
        <v>4669</v>
      </c>
      <c r="H3042" s="10">
        <v>16.3</v>
      </c>
      <c r="I3042" s="10"/>
      <c r="J3042" s="10">
        <v>16.3</v>
      </c>
      <c r="K3042" s="10">
        <v>14323.07</v>
      </c>
    </row>
    <row r="3043" spans="1:11" x14ac:dyDescent="0.25">
      <c r="A3043" s="8" t="s">
        <v>4689</v>
      </c>
      <c r="B3043" s="8" t="s">
        <v>134</v>
      </c>
      <c r="C3043" s="8" t="s">
        <v>974</v>
      </c>
      <c r="D3043" s="8">
        <v>5</v>
      </c>
      <c r="E3043" s="8" t="s">
        <v>4672</v>
      </c>
      <c r="F3043" s="8" t="s">
        <v>266</v>
      </c>
      <c r="G3043" s="8" t="s">
        <v>4669</v>
      </c>
      <c r="H3043" s="10">
        <v>10.6</v>
      </c>
      <c r="I3043" s="10"/>
      <c r="J3043" s="10">
        <v>10.6</v>
      </c>
      <c r="K3043" s="10">
        <v>14323.07</v>
      </c>
    </row>
    <row r="3044" spans="1:11" x14ac:dyDescent="0.25">
      <c r="A3044" s="8" t="s">
        <v>4690</v>
      </c>
      <c r="B3044" s="8" t="s">
        <v>136</v>
      </c>
      <c r="C3044" s="8" t="s">
        <v>974</v>
      </c>
      <c r="D3044" s="8">
        <v>5</v>
      </c>
      <c r="E3044" s="8" t="s">
        <v>4672</v>
      </c>
      <c r="F3044" s="8" t="s">
        <v>266</v>
      </c>
      <c r="G3044" s="8" t="s">
        <v>4669</v>
      </c>
      <c r="H3044" s="10">
        <v>1</v>
      </c>
      <c r="I3044" s="10"/>
      <c r="J3044" s="10">
        <v>1</v>
      </c>
      <c r="K3044" s="10">
        <v>14323.07</v>
      </c>
    </row>
    <row r="3045" spans="1:11" x14ac:dyDescent="0.25">
      <c r="A3045" s="8" t="s">
        <v>4691</v>
      </c>
      <c r="B3045" s="8" t="s">
        <v>2627</v>
      </c>
      <c r="C3045" s="8" t="s">
        <v>974</v>
      </c>
      <c r="D3045" s="8">
        <v>5</v>
      </c>
      <c r="E3045" s="8" t="s">
        <v>4672</v>
      </c>
      <c r="F3045" s="8" t="s">
        <v>266</v>
      </c>
      <c r="G3045" s="8" t="s">
        <v>4669</v>
      </c>
      <c r="H3045" s="10">
        <v>0.5</v>
      </c>
      <c r="I3045" s="10"/>
      <c r="J3045" s="10">
        <v>0.5</v>
      </c>
      <c r="K3045" s="10">
        <v>14323.07</v>
      </c>
    </row>
    <row r="3046" spans="1:11" x14ac:dyDescent="0.25">
      <c r="A3046" s="8" t="s">
        <v>4692</v>
      </c>
      <c r="B3046" s="8" t="s">
        <v>2627</v>
      </c>
      <c r="C3046" s="8" t="s">
        <v>974</v>
      </c>
      <c r="D3046" s="8">
        <v>5</v>
      </c>
      <c r="E3046" s="8" t="s">
        <v>4672</v>
      </c>
      <c r="F3046" s="8" t="s">
        <v>266</v>
      </c>
      <c r="G3046" s="8" t="s">
        <v>4669</v>
      </c>
      <c r="H3046" s="10">
        <v>1</v>
      </c>
      <c r="I3046" s="10"/>
      <c r="J3046" s="10">
        <v>1</v>
      </c>
      <c r="K3046" s="10">
        <v>14323.07</v>
      </c>
    </row>
    <row r="3047" spans="1:11" x14ac:dyDescent="0.25">
      <c r="A3047" s="8" t="s">
        <v>4693</v>
      </c>
      <c r="B3047" s="8" t="s">
        <v>2627</v>
      </c>
      <c r="C3047" s="8" t="s">
        <v>974</v>
      </c>
      <c r="D3047" s="8">
        <v>5</v>
      </c>
      <c r="E3047" s="8" t="s">
        <v>4672</v>
      </c>
      <c r="F3047" s="8" t="s">
        <v>266</v>
      </c>
      <c r="G3047" s="8" t="s">
        <v>4669</v>
      </c>
      <c r="H3047" s="10">
        <v>0.4</v>
      </c>
      <c r="I3047" s="10"/>
      <c r="J3047" s="10">
        <v>0.4</v>
      </c>
      <c r="K3047" s="10">
        <v>14323.07</v>
      </c>
    </row>
    <row r="3048" spans="1:11" x14ac:dyDescent="0.25">
      <c r="A3048" s="8" t="s">
        <v>4694</v>
      </c>
      <c r="B3048" s="8" t="s">
        <v>2627</v>
      </c>
      <c r="C3048" s="8" t="s">
        <v>974</v>
      </c>
      <c r="D3048" s="8">
        <v>5</v>
      </c>
      <c r="E3048" s="8" t="s">
        <v>4672</v>
      </c>
      <c r="F3048" s="8" t="s">
        <v>266</v>
      </c>
      <c r="G3048" s="8" t="s">
        <v>4669</v>
      </c>
      <c r="H3048" s="10">
        <v>0.4</v>
      </c>
      <c r="I3048" s="10"/>
      <c r="J3048" s="10">
        <v>0.4</v>
      </c>
      <c r="K3048" s="10">
        <v>14323.07</v>
      </c>
    </row>
    <row r="3049" spans="1:11" x14ac:dyDescent="0.25">
      <c r="A3049" s="8" t="s">
        <v>4695</v>
      </c>
      <c r="B3049" s="8" t="s">
        <v>2627</v>
      </c>
      <c r="C3049" s="8" t="s">
        <v>974</v>
      </c>
      <c r="D3049" s="8">
        <v>5</v>
      </c>
      <c r="E3049" s="8" t="s">
        <v>4672</v>
      </c>
      <c r="F3049" s="8" t="s">
        <v>266</v>
      </c>
      <c r="G3049" s="8" t="s">
        <v>4669</v>
      </c>
      <c r="H3049" s="10">
        <v>0.2</v>
      </c>
      <c r="I3049" s="10"/>
      <c r="J3049" s="10">
        <v>0.2</v>
      </c>
      <c r="K3049" s="10">
        <v>14323.07</v>
      </c>
    </row>
    <row r="3050" spans="1:11" x14ac:dyDescent="0.25">
      <c r="A3050" s="8" t="s">
        <v>4696</v>
      </c>
      <c r="B3050" s="8" t="s">
        <v>2627</v>
      </c>
      <c r="C3050" s="8" t="s">
        <v>974</v>
      </c>
      <c r="D3050" s="8">
        <v>5</v>
      </c>
      <c r="E3050" s="8" t="s">
        <v>4672</v>
      </c>
      <c r="F3050" s="8" t="s">
        <v>266</v>
      </c>
      <c r="G3050" s="8" t="s">
        <v>4669</v>
      </c>
      <c r="H3050" s="10">
        <v>0.5</v>
      </c>
      <c r="I3050" s="10"/>
      <c r="J3050" s="10">
        <v>0.5</v>
      </c>
      <c r="K3050" s="10">
        <v>14323.07</v>
      </c>
    </row>
    <row r="3051" spans="1:11" x14ac:dyDescent="0.25">
      <c r="A3051" s="8" t="s">
        <v>4697</v>
      </c>
      <c r="B3051" s="8" t="s">
        <v>3518</v>
      </c>
      <c r="C3051" s="8" t="s">
        <v>974</v>
      </c>
      <c r="D3051" s="8">
        <v>5</v>
      </c>
      <c r="E3051" s="8" t="s">
        <v>4672</v>
      </c>
      <c r="F3051" s="8" t="s">
        <v>266</v>
      </c>
      <c r="G3051" s="8" t="s">
        <v>4669</v>
      </c>
      <c r="H3051" s="10">
        <v>0.1</v>
      </c>
      <c r="I3051" s="10"/>
      <c r="J3051" s="10">
        <v>0.1</v>
      </c>
      <c r="K3051" s="10">
        <v>14323.07</v>
      </c>
    </row>
    <row r="3052" spans="1:11" x14ac:dyDescent="0.25">
      <c r="A3052" s="8" t="s">
        <v>4698</v>
      </c>
      <c r="B3052" s="8" t="s">
        <v>4491</v>
      </c>
      <c r="C3052" s="8" t="s">
        <v>974</v>
      </c>
      <c r="D3052" s="8">
        <v>5</v>
      </c>
      <c r="E3052" s="8" t="s">
        <v>4672</v>
      </c>
      <c r="F3052" s="8" t="s">
        <v>266</v>
      </c>
      <c r="G3052" s="8" t="s">
        <v>4669</v>
      </c>
      <c r="H3052" s="10">
        <v>0.1</v>
      </c>
      <c r="I3052" s="10"/>
      <c r="J3052" s="10">
        <v>0.1</v>
      </c>
      <c r="K3052" s="10">
        <v>14323.07</v>
      </c>
    </row>
    <row r="3053" spans="1:11" x14ac:dyDescent="0.25">
      <c r="A3053" s="8" t="s">
        <v>4699</v>
      </c>
      <c r="B3053" s="8" t="s">
        <v>1029</v>
      </c>
      <c r="C3053" s="8" t="s">
        <v>974</v>
      </c>
      <c r="D3053" s="8">
        <v>5</v>
      </c>
      <c r="E3053" s="8" t="s">
        <v>4672</v>
      </c>
      <c r="F3053" s="8" t="s">
        <v>266</v>
      </c>
      <c r="G3053" s="8" t="s">
        <v>4669</v>
      </c>
      <c r="H3053" s="10">
        <v>0.2</v>
      </c>
      <c r="I3053" s="10"/>
      <c r="J3053" s="10">
        <v>0.2</v>
      </c>
      <c r="K3053" s="10">
        <v>14323.07</v>
      </c>
    </row>
    <row r="3054" spans="1:11" x14ac:dyDescent="0.25">
      <c r="A3054" s="8" t="s">
        <v>4700</v>
      </c>
      <c r="B3054" s="8" t="s">
        <v>4495</v>
      </c>
      <c r="C3054" s="8" t="s">
        <v>974</v>
      </c>
      <c r="D3054" s="8">
        <v>5</v>
      </c>
      <c r="E3054" s="8" t="s">
        <v>4672</v>
      </c>
      <c r="F3054" s="8" t="s">
        <v>266</v>
      </c>
      <c r="G3054" s="8" t="s">
        <v>4669</v>
      </c>
      <c r="H3054" s="10">
        <v>0.3</v>
      </c>
      <c r="I3054" s="10"/>
      <c r="J3054" s="10">
        <v>0.3</v>
      </c>
      <c r="K3054" s="10">
        <v>14323.07</v>
      </c>
    </row>
    <row r="3055" spans="1:11" x14ac:dyDescent="0.25">
      <c r="A3055" s="8" t="s">
        <v>4701</v>
      </c>
      <c r="B3055" s="8" t="s">
        <v>263</v>
      </c>
      <c r="C3055" s="8" t="s">
        <v>4702</v>
      </c>
      <c r="D3055" s="8">
        <v>5</v>
      </c>
      <c r="E3055" s="8" t="s">
        <v>4703</v>
      </c>
      <c r="F3055" s="8" t="s">
        <v>149</v>
      </c>
      <c r="G3055" s="8" t="s">
        <v>4704</v>
      </c>
      <c r="H3055" s="10">
        <v>2040</v>
      </c>
      <c r="I3055" s="10"/>
      <c r="J3055" s="10">
        <v>2040</v>
      </c>
      <c r="K3055" s="10">
        <v>30.77</v>
      </c>
    </row>
    <row r="3056" spans="1:11" x14ac:dyDescent="0.25">
      <c r="A3056" s="8" t="s">
        <v>4705</v>
      </c>
      <c r="B3056" s="8" t="s">
        <v>269</v>
      </c>
      <c r="C3056" s="8" t="s">
        <v>4702</v>
      </c>
      <c r="D3056" s="8">
        <v>5</v>
      </c>
      <c r="E3056" s="8" t="s">
        <v>4703</v>
      </c>
      <c r="F3056" s="8" t="s">
        <v>149</v>
      </c>
      <c r="G3056" s="8" t="s">
        <v>4704</v>
      </c>
      <c r="H3056" s="10">
        <v>1820</v>
      </c>
      <c r="I3056" s="10"/>
      <c r="J3056" s="10">
        <v>1820</v>
      </c>
      <c r="K3056" s="10">
        <v>30.77</v>
      </c>
    </row>
    <row r="3057" spans="1:11" x14ac:dyDescent="0.25">
      <c r="A3057" s="8" t="s">
        <v>4706</v>
      </c>
      <c r="B3057" s="8" t="s">
        <v>72</v>
      </c>
      <c r="C3057" s="8" t="s">
        <v>4702</v>
      </c>
      <c r="D3057" s="8">
        <v>5</v>
      </c>
      <c r="E3057" s="8" t="s">
        <v>4703</v>
      </c>
      <c r="F3057" s="8" t="s">
        <v>149</v>
      </c>
      <c r="G3057" s="8" t="s">
        <v>4704</v>
      </c>
      <c r="H3057" s="10">
        <v>11300</v>
      </c>
      <c r="I3057" s="10"/>
      <c r="J3057" s="10">
        <v>11300</v>
      </c>
      <c r="K3057" s="10">
        <v>30.77</v>
      </c>
    </row>
    <row r="3058" spans="1:11" x14ac:dyDescent="0.25">
      <c r="A3058" s="8" t="s">
        <v>4707</v>
      </c>
      <c r="B3058" s="8" t="s">
        <v>116</v>
      </c>
      <c r="C3058" s="8" t="s">
        <v>4702</v>
      </c>
      <c r="D3058" s="8">
        <v>5</v>
      </c>
      <c r="E3058" s="8" t="s">
        <v>4703</v>
      </c>
      <c r="F3058" s="8" t="s">
        <v>149</v>
      </c>
      <c r="G3058" s="8" t="s">
        <v>4704</v>
      </c>
      <c r="H3058" s="10">
        <v>1560</v>
      </c>
      <c r="I3058" s="10"/>
      <c r="J3058" s="10">
        <v>1560</v>
      </c>
      <c r="K3058" s="10">
        <v>30.77</v>
      </c>
    </row>
    <row r="3059" spans="1:11" x14ac:dyDescent="0.25">
      <c r="A3059" s="8" t="s">
        <v>4708</v>
      </c>
      <c r="B3059" s="8" t="s">
        <v>118</v>
      </c>
      <c r="C3059" s="8" t="s">
        <v>4702</v>
      </c>
      <c r="D3059" s="8">
        <v>5</v>
      </c>
      <c r="E3059" s="8" t="s">
        <v>4703</v>
      </c>
      <c r="F3059" s="8" t="s">
        <v>149</v>
      </c>
      <c r="G3059" s="8" t="s">
        <v>4704</v>
      </c>
      <c r="H3059" s="10">
        <v>2170</v>
      </c>
      <c r="I3059" s="10"/>
      <c r="J3059" s="10">
        <v>2170</v>
      </c>
      <c r="K3059" s="10">
        <v>30.77</v>
      </c>
    </row>
    <row r="3060" spans="1:11" x14ac:dyDescent="0.25">
      <c r="A3060" s="8" t="s">
        <v>4709</v>
      </c>
      <c r="B3060" s="8" t="s">
        <v>120</v>
      </c>
      <c r="C3060" s="8" t="s">
        <v>4702</v>
      </c>
      <c r="D3060" s="8">
        <v>5</v>
      </c>
      <c r="E3060" s="8" t="s">
        <v>4703</v>
      </c>
      <c r="F3060" s="8" t="s">
        <v>149</v>
      </c>
      <c r="G3060" s="8" t="s">
        <v>4704</v>
      </c>
      <c r="H3060" s="10">
        <v>14610</v>
      </c>
      <c r="I3060" s="10"/>
      <c r="J3060" s="10">
        <v>14610</v>
      </c>
      <c r="K3060" s="10">
        <v>30.77</v>
      </c>
    </row>
    <row r="3061" spans="1:11" x14ac:dyDescent="0.25">
      <c r="A3061" s="8" t="s">
        <v>4710</v>
      </c>
      <c r="B3061" s="8" t="s">
        <v>122</v>
      </c>
      <c r="C3061" s="8" t="s">
        <v>4702</v>
      </c>
      <c r="D3061" s="8">
        <v>5</v>
      </c>
      <c r="E3061" s="8" t="s">
        <v>4703</v>
      </c>
      <c r="F3061" s="8" t="s">
        <v>149</v>
      </c>
      <c r="G3061" s="8" t="s">
        <v>4704</v>
      </c>
      <c r="H3061" s="10">
        <v>7500</v>
      </c>
      <c r="I3061" s="10"/>
      <c r="J3061" s="10">
        <v>7500</v>
      </c>
      <c r="K3061" s="10">
        <v>30.77</v>
      </c>
    </row>
    <row r="3062" spans="1:11" x14ac:dyDescent="0.25">
      <c r="A3062" s="8" t="s">
        <v>4711</v>
      </c>
      <c r="B3062" s="8" t="s">
        <v>124</v>
      </c>
      <c r="C3062" s="8" t="s">
        <v>4702</v>
      </c>
      <c r="D3062" s="8">
        <v>5</v>
      </c>
      <c r="E3062" s="8" t="s">
        <v>4703</v>
      </c>
      <c r="F3062" s="8" t="s">
        <v>149</v>
      </c>
      <c r="G3062" s="8" t="s">
        <v>4704</v>
      </c>
      <c r="H3062" s="10">
        <v>11000</v>
      </c>
      <c r="I3062" s="10"/>
      <c r="J3062" s="10">
        <v>11000</v>
      </c>
      <c r="K3062" s="10">
        <v>30.77</v>
      </c>
    </row>
    <row r="3063" spans="1:11" x14ac:dyDescent="0.25">
      <c r="A3063" s="8" t="s">
        <v>4712</v>
      </c>
      <c r="B3063" s="8" t="s">
        <v>78</v>
      </c>
      <c r="C3063" s="8" t="s">
        <v>4702</v>
      </c>
      <c r="D3063" s="8">
        <v>5</v>
      </c>
      <c r="E3063" s="8" t="s">
        <v>4703</v>
      </c>
      <c r="F3063" s="8" t="s">
        <v>149</v>
      </c>
      <c r="G3063" s="8" t="s">
        <v>4704</v>
      </c>
      <c r="H3063" s="10">
        <v>5500</v>
      </c>
      <c r="I3063" s="10"/>
      <c r="J3063" s="10">
        <v>5500</v>
      </c>
      <c r="K3063" s="10">
        <v>30.77</v>
      </c>
    </row>
    <row r="3064" spans="1:11" x14ac:dyDescent="0.25">
      <c r="A3064" s="8" t="s">
        <v>4713</v>
      </c>
      <c r="B3064" s="8" t="s">
        <v>128</v>
      </c>
      <c r="C3064" s="8" t="s">
        <v>4702</v>
      </c>
      <c r="D3064" s="8">
        <v>5</v>
      </c>
      <c r="E3064" s="8" t="s">
        <v>4703</v>
      </c>
      <c r="F3064" s="8" t="s">
        <v>149</v>
      </c>
      <c r="G3064" s="8" t="s">
        <v>4704</v>
      </c>
      <c r="H3064" s="10">
        <v>500</v>
      </c>
      <c r="I3064" s="10"/>
      <c r="J3064" s="10">
        <v>500</v>
      </c>
      <c r="K3064" s="10">
        <v>30.77</v>
      </c>
    </row>
    <row r="3065" spans="1:11" x14ac:dyDescent="0.25">
      <c r="A3065" s="8" t="s">
        <v>4714</v>
      </c>
      <c r="B3065" s="8" t="s">
        <v>949</v>
      </c>
      <c r="C3065" s="8" t="s">
        <v>4702</v>
      </c>
      <c r="D3065" s="8">
        <v>5</v>
      </c>
      <c r="E3065" s="8" t="s">
        <v>4703</v>
      </c>
      <c r="F3065" s="8" t="s">
        <v>149</v>
      </c>
      <c r="G3065" s="8" t="s">
        <v>4704</v>
      </c>
      <c r="H3065" s="10">
        <v>635</v>
      </c>
      <c r="I3065" s="10"/>
      <c r="J3065" s="10">
        <v>635</v>
      </c>
      <c r="K3065" s="10">
        <v>30.77</v>
      </c>
    </row>
    <row r="3066" spans="1:11" x14ac:dyDescent="0.25">
      <c r="A3066" s="8" t="s">
        <v>4715</v>
      </c>
      <c r="B3066" s="8" t="s">
        <v>132</v>
      </c>
      <c r="C3066" s="8" t="s">
        <v>4702</v>
      </c>
      <c r="D3066" s="8">
        <v>5</v>
      </c>
      <c r="E3066" s="8" t="s">
        <v>4703</v>
      </c>
      <c r="F3066" s="8" t="s">
        <v>149</v>
      </c>
      <c r="G3066" s="8" t="s">
        <v>4704</v>
      </c>
      <c r="H3066" s="10">
        <v>260</v>
      </c>
      <c r="I3066" s="10"/>
      <c r="J3066" s="10">
        <v>260</v>
      </c>
      <c r="K3066" s="10">
        <v>30.77</v>
      </c>
    </row>
    <row r="3067" spans="1:11" x14ac:dyDescent="0.25">
      <c r="A3067" s="8" t="s">
        <v>4716</v>
      </c>
      <c r="B3067" s="8" t="s">
        <v>134</v>
      </c>
      <c r="C3067" s="8" t="s">
        <v>4702</v>
      </c>
      <c r="D3067" s="8">
        <v>5</v>
      </c>
      <c r="E3067" s="8" t="s">
        <v>4703</v>
      </c>
      <c r="F3067" s="8" t="s">
        <v>149</v>
      </c>
      <c r="G3067" s="8" t="s">
        <v>4704</v>
      </c>
      <c r="H3067" s="10">
        <v>500</v>
      </c>
      <c r="I3067" s="10"/>
      <c r="J3067" s="10">
        <v>500</v>
      </c>
      <c r="K3067" s="10">
        <v>30.77</v>
      </c>
    </row>
    <row r="3068" spans="1:11" x14ac:dyDescent="0.25">
      <c r="A3068" s="8" t="s">
        <v>4717</v>
      </c>
      <c r="B3068" s="8" t="s">
        <v>136</v>
      </c>
      <c r="C3068" s="8" t="s">
        <v>4702</v>
      </c>
      <c r="D3068" s="8">
        <v>5</v>
      </c>
      <c r="E3068" s="8" t="s">
        <v>4703</v>
      </c>
      <c r="F3068" s="8" t="s">
        <v>149</v>
      </c>
      <c r="G3068" s="8" t="s">
        <v>4704</v>
      </c>
      <c r="H3068" s="10">
        <v>350</v>
      </c>
      <c r="I3068" s="10"/>
      <c r="J3068" s="10">
        <v>350</v>
      </c>
      <c r="K3068" s="10">
        <v>30.77</v>
      </c>
    </row>
    <row r="3069" spans="1:11" x14ac:dyDescent="0.25">
      <c r="A3069" s="8" t="s">
        <v>4718</v>
      </c>
      <c r="B3069" s="8" t="s">
        <v>2627</v>
      </c>
      <c r="C3069" s="8" t="s">
        <v>4702</v>
      </c>
      <c r="D3069" s="8">
        <v>5</v>
      </c>
      <c r="E3069" s="8" t="s">
        <v>4703</v>
      </c>
      <c r="F3069" s="8" t="s">
        <v>149</v>
      </c>
      <c r="G3069" s="8" t="s">
        <v>4704</v>
      </c>
      <c r="H3069" s="10">
        <v>5200</v>
      </c>
      <c r="I3069" s="10"/>
      <c r="J3069" s="10">
        <v>5200</v>
      </c>
      <c r="K3069" s="10">
        <v>30.77</v>
      </c>
    </row>
    <row r="3070" spans="1:11" x14ac:dyDescent="0.25">
      <c r="A3070" s="8" t="s">
        <v>4719</v>
      </c>
      <c r="B3070" s="8" t="s">
        <v>80</v>
      </c>
      <c r="C3070" s="8" t="s">
        <v>4702</v>
      </c>
      <c r="D3070" s="8">
        <v>5</v>
      </c>
      <c r="E3070" s="8" t="s">
        <v>4703</v>
      </c>
      <c r="F3070" s="8" t="s">
        <v>149</v>
      </c>
      <c r="G3070" s="8" t="s">
        <v>4704</v>
      </c>
      <c r="H3070" s="10">
        <v>4765</v>
      </c>
      <c r="I3070" s="10"/>
      <c r="J3070" s="10">
        <v>4765</v>
      </c>
      <c r="K3070" s="10">
        <v>30.77</v>
      </c>
    </row>
    <row r="3071" spans="1:11" x14ac:dyDescent="0.25">
      <c r="A3071" s="8" t="s">
        <v>4720</v>
      </c>
      <c r="B3071" s="8" t="s">
        <v>1029</v>
      </c>
      <c r="C3071" s="8" t="s">
        <v>4702</v>
      </c>
      <c r="D3071" s="8">
        <v>5</v>
      </c>
      <c r="E3071" s="8" t="s">
        <v>4703</v>
      </c>
      <c r="F3071" s="8" t="s">
        <v>149</v>
      </c>
      <c r="G3071" s="8" t="s">
        <v>4704</v>
      </c>
      <c r="H3071" s="10">
        <v>200</v>
      </c>
      <c r="I3071" s="10"/>
      <c r="J3071" s="10">
        <v>200</v>
      </c>
      <c r="K3071" s="10">
        <v>30.77</v>
      </c>
    </row>
    <row r="3072" spans="1:11" x14ac:dyDescent="0.25">
      <c r="A3072" s="8" t="s">
        <v>4721</v>
      </c>
      <c r="B3072" s="8" t="s">
        <v>263</v>
      </c>
      <c r="C3072" s="8" t="s">
        <v>4722</v>
      </c>
      <c r="D3072" s="8">
        <v>6</v>
      </c>
      <c r="E3072" s="8" t="s">
        <v>358</v>
      </c>
      <c r="F3072" s="8" t="s">
        <v>266</v>
      </c>
      <c r="G3072" s="8" t="s">
        <v>4723</v>
      </c>
      <c r="H3072" s="10">
        <v>4</v>
      </c>
      <c r="I3072" s="10"/>
      <c r="J3072" s="10">
        <v>4</v>
      </c>
      <c r="K3072" s="10">
        <v>30766.11</v>
      </c>
    </row>
    <row r="3073" spans="1:11" x14ac:dyDescent="0.25">
      <c r="A3073" s="8" t="s">
        <v>4724</v>
      </c>
      <c r="B3073" s="8" t="s">
        <v>269</v>
      </c>
      <c r="C3073" s="8" t="s">
        <v>4722</v>
      </c>
      <c r="D3073" s="8">
        <v>6</v>
      </c>
      <c r="E3073" s="8" t="s">
        <v>358</v>
      </c>
      <c r="F3073" s="8" t="s">
        <v>266</v>
      </c>
      <c r="G3073" s="8" t="s">
        <v>4723</v>
      </c>
      <c r="H3073" s="10">
        <v>4</v>
      </c>
      <c r="I3073" s="10"/>
      <c r="J3073" s="10">
        <v>4</v>
      </c>
      <c r="K3073" s="10">
        <v>30766.11</v>
      </c>
    </row>
    <row r="3074" spans="1:11" x14ac:dyDescent="0.25">
      <c r="A3074" s="8" t="s">
        <v>4725</v>
      </c>
      <c r="B3074" s="8" t="s">
        <v>72</v>
      </c>
      <c r="C3074" s="8" t="s">
        <v>4726</v>
      </c>
      <c r="D3074" s="8">
        <v>5</v>
      </c>
      <c r="E3074" s="8" t="s">
        <v>4727</v>
      </c>
      <c r="F3074" s="8" t="s">
        <v>2998</v>
      </c>
      <c r="G3074" s="8" t="s">
        <v>4728</v>
      </c>
      <c r="H3074" s="10">
        <v>1175</v>
      </c>
      <c r="I3074" s="10"/>
      <c r="J3074" s="10">
        <v>1175</v>
      </c>
      <c r="K3074" s="10">
        <v>128.83000000000001</v>
      </c>
    </row>
    <row r="3075" spans="1:11" x14ac:dyDescent="0.25">
      <c r="A3075" s="8" t="s">
        <v>4729</v>
      </c>
      <c r="B3075" s="8" t="s">
        <v>116</v>
      </c>
      <c r="C3075" s="8" t="s">
        <v>4726</v>
      </c>
      <c r="D3075" s="8">
        <v>5</v>
      </c>
      <c r="E3075" s="8" t="s">
        <v>4727</v>
      </c>
      <c r="F3075" s="8" t="s">
        <v>2998</v>
      </c>
      <c r="G3075" s="8" t="s">
        <v>4728</v>
      </c>
      <c r="H3075" s="10">
        <v>128</v>
      </c>
      <c r="I3075" s="10"/>
      <c r="J3075" s="10">
        <v>128</v>
      </c>
      <c r="K3075" s="10">
        <v>128.83000000000001</v>
      </c>
    </row>
    <row r="3076" spans="1:11" x14ac:dyDescent="0.25">
      <c r="A3076" s="8" t="s">
        <v>4730</v>
      </c>
      <c r="B3076" s="8" t="s">
        <v>118</v>
      </c>
      <c r="C3076" s="8" t="s">
        <v>4726</v>
      </c>
      <c r="D3076" s="8">
        <v>5</v>
      </c>
      <c r="E3076" s="8" t="s">
        <v>4727</v>
      </c>
      <c r="F3076" s="8" t="s">
        <v>2998</v>
      </c>
      <c r="G3076" s="8" t="s">
        <v>4728</v>
      </c>
      <c r="H3076" s="10">
        <v>4643</v>
      </c>
      <c r="I3076" s="10"/>
      <c r="J3076" s="10">
        <v>4643</v>
      </c>
      <c r="K3076" s="10">
        <v>128.83000000000001</v>
      </c>
    </row>
    <row r="3077" spans="1:11" x14ac:dyDescent="0.25">
      <c r="A3077" s="8" t="s">
        <v>4731</v>
      </c>
      <c r="B3077" s="8" t="s">
        <v>1650</v>
      </c>
      <c r="C3077" s="8" t="s">
        <v>4726</v>
      </c>
      <c r="D3077" s="8">
        <v>5</v>
      </c>
      <c r="E3077" s="8" t="s">
        <v>4727</v>
      </c>
      <c r="F3077" s="8" t="s">
        <v>2998</v>
      </c>
      <c r="G3077" s="8" t="s">
        <v>4728</v>
      </c>
      <c r="H3077" s="10">
        <v>763</v>
      </c>
      <c r="I3077" s="10"/>
      <c r="J3077" s="10">
        <v>763</v>
      </c>
      <c r="K3077" s="10">
        <v>128.83000000000001</v>
      </c>
    </row>
    <row r="3078" spans="1:11" x14ac:dyDescent="0.25">
      <c r="A3078" s="8" t="s">
        <v>4732</v>
      </c>
      <c r="B3078" s="8" t="s">
        <v>120</v>
      </c>
      <c r="C3078" s="8" t="s">
        <v>4726</v>
      </c>
      <c r="D3078" s="8">
        <v>5</v>
      </c>
      <c r="E3078" s="8" t="s">
        <v>4727</v>
      </c>
      <c r="F3078" s="8" t="s">
        <v>2998</v>
      </c>
      <c r="G3078" s="8" t="s">
        <v>4728</v>
      </c>
      <c r="H3078" s="10">
        <v>4365</v>
      </c>
      <c r="I3078" s="10"/>
      <c r="J3078" s="10">
        <v>4365</v>
      </c>
      <c r="K3078" s="10">
        <v>128.83000000000001</v>
      </c>
    </row>
    <row r="3079" spans="1:11" x14ac:dyDescent="0.25">
      <c r="A3079" s="8" t="s">
        <v>4733</v>
      </c>
      <c r="B3079" s="8" t="s">
        <v>122</v>
      </c>
      <c r="C3079" s="8" t="s">
        <v>4726</v>
      </c>
      <c r="D3079" s="8">
        <v>5</v>
      </c>
      <c r="E3079" s="8" t="s">
        <v>4727</v>
      </c>
      <c r="F3079" s="8" t="s">
        <v>2998</v>
      </c>
      <c r="G3079" s="8" t="s">
        <v>4728</v>
      </c>
      <c r="H3079" s="10">
        <v>82</v>
      </c>
      <c r="I3079" s="10"/>
      <c r="J3079" s="10">
        <v>82</v>
      </c>
      <c r="K3079" s="10">
        <v>128.83000000000001</v>
      </c>
    </row>
    <row r="3080" spans="1:11" x14ac:dyDescent="0.25">
      <c r="A3080" s="8" t="s">
        <v>4734</v>
      </c>
      <c r="B3080" s="8" t="s">
        <v>78</v>
      </c>
      <c r="C3080" s="8" t="s">
        <v>4726</v>
      </c>
      <c r="D3080" s="8">
        <v>5</v>
      </c>
      <c r="E3080" s="8" t="s">
        <v>4727</v>
      </c>
      <c r="F3080" s="8" t="s">
        <v>2998</v>
      </c>
      <c r="G3080" s="8" t="s">
        <v>4728</v>
      </c>
      <c r="H3080" s="10">
        <v>32</v>
      </c>
      <c r="I3080" s="10"/>
      <c r="J3080" s="10">
        <v>32</v>
      </c>
      <c r="K3080" s="10">
        <v>128.83000000000001</v>
      </c>
    </row>
    <row r="3081" spans="1:11" x14ac:dyDescent="0.25">
      <c r="A3081" s="8" t="s">
        <v>4735</v>
      </c>
      <c r="B3081" s="8" t="s">
        <v>1655</v>
      </c>
      <c r="C3081" s="8" t="s">
        <v>4726</v>
      </c>
      <c r="D3081" s="8">
        <v>5</v>
      </c>
      <c r="E3081" s="8" t="s">
        <v>4727</v>
      </c>
      <c r="F3081" s="8" t="s">
        <v>2998</v>
      </c>
      <c r="G3081" s="8" t="s">
        <v>4728</v>
      </c>
      <c r="H3081" s="10">
        <v>710</v>
      </c>
      <c r="I3081" s="10"/>
      <c r="J3081" s="10">
        <v>710</v>
      </c>
      <c r="K3081" s="10">
        <v>128.83000000000001</v>
      </c>
    </row>
    <row r="3082" spans="1:11" x14ac:dyDescent="0.25">
      <c r="A3082" s="8" t="s">
        <v>4736</v>
      </c>
      <c r="B3082" s="8" t="s">
        <v>130</v>
      </c>
      <c r="C3082" s="8" t="s">
        <v>4726</v>
      </c>
      <c r="D3082" s="8">
        <v>5</v>
      </c>
      <c r="E3082" s="8" t="s">
        <v>4727</v>
      </c>
      <c r="F3082" s="8" t="s">
        <v>2998</v>
      </c>
      <c r="G3082" s="8" t="s">
        <v>4728</v>
      </c>
      <c r="H3082" s="10">
        <v>61</v>
      </c>
      <c r="I3082" s="10"/>
      <c r="J3082" s="10">
        <v>61</v>
      </c>
      <c r="K3082" s="10">
        <v>128.83000000000001</v>
      </c>
    </row>
    <row r="3083" spans="1:11" x14ac:dyDescent="0.25">
      <c r="A3083" s="8" t="s">
        <v>4737</v>
      </c>
      <c r="B3083" s="8" t="s">
        <v>132</v>
      </c>
      <c r="C3083" s="8" t="s">
        <v>4726</v>
      </c>
      <c r="D3083" s="8">
        <v>5</v>
      </c>
      <c r="E3083" s="8" t="s">
        <v>4727</v>
      </c>
      <c r="F3083" s="8" t="s">
        <v>2998</v>
      </c>
      <c r="G3083" s="8" t="s">
        <v>4728</v>
      </c>
      <c r="H3083" s="10">
        <v>324</v>
      </c>
      <c r="I3083" s="10"/>
      <c r="J3083" s="10">
        <v>324</v>
      </c>
      <c r="K3083" s="10">
        <v>128.83000000000001</v>
      </c>
    </row>
    <row r="3084" spans="1:11" x14ac:dyDescent="0.25">
      <c r="A3084" s="8" t="s">
        <v>4738</v>
      </c>
      <c r="B3084" s="8" t="s">
        <v>134</v>
      </c>
      <c r="C3084" s="8" t="s">
        <v>4726</v>
      </c>
      <c r="D3084" s="8">
        <v>5</v>
      </c>
      <c r="E3084" s="8" t="s">
        <v>4727</v>
      </c>
      <c r="F3084" s="8" t="s">
        <v>2998</v>
      </c>
      <c r="G3084" s="8" t="s">
        <v>4728</v>
      </c>
      <c r="H3084" s="10">
        <v>309</v>
      </c>
      <c r="I3084" s="10"/>
      <c r="J3084" s="10">
        <v>309</v>
      </c>
      <c r="K3084" s="10">
        <v>128.83000000000001</v>
      </c>
    </row>
    <row r="3085" spans="1:11" x14ac:dyDescent="0.25">
      <c r="A3085" s="8" t="s">
        <v>4739</v>
      </c>
      <c r="B3085" s="8" t="s">
        <v>136</v>
      </c>
      <c r="C3085" s="8" t="s">
        <v>4726</v>
      </c>
      <c r="D3085" s="8">
        <v>5</v>
      </c>
      <c r="E3085" s="8" t="s">
        <v>4727</v>
      </c>
      <c r="F3085" s="8" t="s">
        <v>2998</v>
      </c>
      <c r="G3085" s="8" t="s">
        <v>4728</v>
      </c>
      <c r="H3085" s="10">
        <v>459</v>
      </c>
      <c r="I3085" s="10"/>
      <c r="J3085" s="10">
        <v>459</v>
      </c>
      <c r="K3085" s="10">
        <v>128.83000000000001</v>
      </c>
    </row>
    <row r="3086" spans="1:11" x14ac:dyDescent="0.25">
      <c r="A3086" s="8" t="s">
        <v>4740</v>
      </c>
      <c r="B3086" s="8" t="s">
        <v>3518</v>
      </c>
      <c r="C3086" s="8" t="s">
        <v>4726</v>
      </c>
      <c r="D3086" s="8">
        <v>5</v>
      </c>
      <c r="E3086" s="8" t="s">
        <v>4727</v>
      </c>
      <c r="F3086" s="8" t="s">
        <v>2998</v>
      </c>
      <c r="G3086" s="8" t="s">
        <v>4728</v>
      </c>
      <c r="H3086" s="10">
        <v>46</v>
      </c>
      <c r="I3086" s="10"/>
      <c r="J3086" s="10">
        <v>46</v>
      </c>
      <c r="K3086" s="10">
        <v>128.83000000000001</v>
      </c>
    </row>
    <row r="3087" spans="1:11" x14ac:dyDescent="0.25">
      <c r="A3087" s="8" t="s">
        <v>4741</v>
      </c>
      <c r="B3087" s="8" t="s">
        <v>4491</v>
      </c>
      <c r="C3087" s="8" t="s">
        <v>4726</v>
      </c>
      <c r="D3087" s="8">
        <v>5</v>
      </c>
      <c r="E3087" s="8" t="s">
        <v>4727</v>
      </c>
      <c r="F3087" s="8" t="s">
        <v>2998</v>
      </c>
      <c r="G3087" s="8" t="s">
        <v>4728</v>
      </c>
      <c r="H3087" s="10">
        <v>70</v>
      </c>
      <c r="I3087" s="10"/>
      <c r="J3087" s="10">
        <v>70</v>
      </c>
      <c r="K3087" s="10">
        <v>128.83000000000001</v>
      </c>
    </row>
    <row r="3088" spans="1:11" x14ac:dyDescent="0.25">
      <c r="A3088" s="8" t="s">
        <v>4742</v>
      </c>
      <c r="B3088" s="8" t="s">
        <v>138</v>
      </c>
      <c r="C3088" s="8" t="s">
        <v>4726</v>
      </c>
      <c r="D3088" s="8">
        <v>5</v>
      </c>
      <c r="E3088" s="8" t="s">
        <v>4727</v>
      </c>
      <c r="F3088" s="8" t="s">
        <v>2998</v>
      </c>
      <c r="G3088" s="8" t="s">
        <v>4728</v>
      </c>
      <c r="H3088" s="10">
        <v>135</v>
      </c>
      <c r="I3088" s="10"/>
      <c r="J3088" s="10">
        <v>135</v>
      </c>
      <c r="K3088" s="10">
        <v>128.83000000000001</v>
      </c>
    </row>
    <row r="3089" spans="1:11" x14ac:dyDescent="0.25">
      <c r="A3089" s="8" t="s">
        <v>4743</v>
      </c>
      <c r="B3089" s="8" t="s">
        <v>1029</v>
      </c>
      <c r="C3089" s="8" t="s">
        <v>4726</v>
      </c>
      <c r="D3089" s="8">
        <v>5</v>
      </c>
      <c r="E3089" s="8" t="s">
        <v>4727</v>
      </c>
      <c r="F3089" s="8" t="s">
        <v>2998</v>
      </c>
      <c r="G3089" s="8" t="s">
        <v>4728</v>
      </c>
      <c r="H3089" s="10">
        <v>74</v>
      </c>
      <c r="I3089" s="10"/>
      <c r="J3089" s="10">
        <v>74</v>
      </c>
      <c r="K3089" s="10">
        <v>128.83000000000001</v>
      </c>
    </row>
    <row r="3090" spans="1:11" x14ac:dyDescent="0.25">
      <c r="A3090" s="8" t="s">
        <v>4744</v>
      </c>
      <c r="B3090" s="8" t="s">
        <v>120</v>
      </c>
      <c r="C3090" s="8" t="s">
        <v>4726</v>
      </c>
      <c r="D3090" s="8">
        <v>5</v>
      </c>
      <c r="E3090" s="8" t="s">
        <v>4745</v>
      </c>
      <c r="F3090" s="8" t="s">
        <v>2998</v>
      </c>
      <c r="G3090" s="8" t="s">
        <v>4728</v>
      </c>
      <c r="H3090" s="10">
        <v>3780</v>
      </c>
      <c r="I3090" s="10"/>
      <c r="J3090" s="10">
        <v>3780</v>
      </c>
      <c r="K3090" s="10">
        <v>128.83000000000001</v>
      </c>
    </row>
    <row r="3091" spans="1:11" x14ac:dyDescent="0.25">
      <c r="A3091" s="8" t="s">
        <v>4746</v>
      </c>
      <c r="B3091" s="8" t="s">
        <v>78</v>
      </c>
      <c r="C3091" s="8" t="s">
        <v>4726</v>
      </c>
      <c r="D3091" s="8">
        <v>5</v>
      </c>
      <c r="E3091" s="8" t="s">
        <v>4745</v>
      </c>
      <c r="F3091" s="8" t="s">
        <v>2998</v>
      </c>
      <c r="G3091" s="8" t="s">
        <v>4728</v>
      </c>
      <c r="H3091" s="10">
        <v>49</v>
      </c>
      <c r="I3091" s="10"/>
      <c r="J3091" s="10">
        <v>49</v>
      </c>
      <c r="K3091" s="10">
        <v>128.83000000000001</v>
      </c>
    </row>
    <row r="3092" spans="1:11" x14ac:dyDescent="0.25">
      <c r="A3092" s="8" t="s">
        <v>4747</v>
      </c>
      <c r="B3092" s="8" t="s">
        <v>130</v>
      </c>
      <c r="C3092" s="8" t="s">
        <v>4726</v>
      </c>
      <c r="D3092" s="8">
        <v>5</v>
      </c>
      <c r="E3092" s="8" t="s">
        <v>4745</v>
      </c>
      <c r="F3092" s="8" t="s">
        <v>2998</v>
      </c>
      <c r="G3092" s="8" t="s">
        <v>4728</v>
      </c>
      <c r="H3092" s="10">
        <v>97</v>
      </c>
      <c r="I3092" s="10"/>
      <c r="J3092" s="10">
        <v>97</v>
      </c>
      <c r="K3092" s="10">
        <v>128.83000000000001</v>
      </c>
    </row>
    <row r="3093" spans="1:11" x14ac:dyDescent="0.25">
      <c r="A3093" s="8" t="s">
        <v>4748</v>
      </c>
      <c r="B3093" s="8" t="s">
        <v>132</v>
      </c>
      <c r="C3093" s="8" t="s">
        <v>4726</v>
      </c>
      <c r="D3093" s="8">
        <v>5</v>
      </c>
      <c r="E3093" s="8" t="s">
        <v>4745</v>
      </c>
      <c r="F3093" s="8" t="s">
        <v>2998</v>
      </c>
      <c r="G3093" s="8" t="s">
        <v>4728</v>
      </c>
      <c r="H3093" s="10">
        <v>978</v>
      </c>
      <c r="I3093" s="10"/>
      <c r="J3093" s="10">
        <v>978</v>
      </c>
      <c r="K3093" s="10">
        <v>128.83000000000001</v>
      </c>
    </row>
    <row r="3094" spans="1:11" x14ac:dyDescent="0.25">
      <c r="A3094" s="8" t="s">
        <v>4749</v>
      </c>
      <c r="B3094" s="8" t="s">
        <v>134</v>
      </c>
      <c r="C3094" s="8" t="s">
        <v>4726</v>
      </c>
      <c r="D3094" s="8">
        <v>5</v>
      </c>
      <c r="E3094" s="8" t="s">
        <v>4745</v>
      </c>
      <c r="F3094" s="8" t="s">
        <v>2998</v>
      </c>
      <c r="G3094" s="8" t="s">
        <v>4728</v>
      </c>
      <c r="H3094" s="10">
        <v>705</v>
      </c>
      <c r="I3094" s="10"/>
      <c r="J3094" s="10">
        <v>705</v>
      </c>
      <c r="K3094" s="10">
        <v>128.83000000000001</v>
      </c>
    </row>
    <row r="3095" spans="1:11" x14ac:dyDescent="0.25">
      <c r="A3095" s="8" t="s">
        <v>4750</v>
      </c>
      <c r="B3095" s="8" t="s">
        <v>136</v>
      </c>
      <c r="C3095" s="8" t="s">
        <v>4726</v>
      </c>
      <c r="D3095" s="8">
        <v>5</v>
      </c>
      <c r="E3095" s="8" t="s">
        <v>4745</v>
      </c>
      <c r="F3095" s="8" t="s">
        <v>2998</v>
      </c>
      <c r="G3095" s="8" t="s">
        <v>4728</v>
      </c>
      <c r="H3095" s="10">
        <v>67</v>
      </c>
      <c r="I3095" s="10"/>
      <c r="J3095" s="10">
        <v>67</v>
      </c>
      <c r="K3095" s="10">
        <v>128.83000000000001</v>
      </c>
    </row>
    <row r="3096" spans="1:11" x14ac:dyDescent="0.25">
      <c r="A3096" s="8" t="s">
        <v>4751</v>
      </c>
      <c r="B3096" s="8" t="s">
        <v>138</v>
      </c>
      <c r="C3096" s="8" t="s">
        <v>4726</v>
      </c>
      <c r="D3096" s="8">
        <v>5</v>
      </c>
      <c r="E3096" s="8" t="s">
        <v>4745</v>
      </c>
      <c r="F3096" s="8" t="s">
        <v>2998</v>
      </c>
      <c r="G3096" s="8" t="s">
        <v>4728</v>
      </c>
      <c r="H3096" s="10">
        <v>49</v>
      </c>
      <c r="I3096" s="10"/>
      <c r="J3096" s="10">
        <v>49</v>
      </c>
      <c r="K3096" s="10">
        <v>128.83000000000001</v>
      </c>
    </row>
    <row r="3097" spans="1:11" x14ac:dyDescent="0.25">
      <c r="A3097" s="8" t="s">
        <v>4752</v>
      </c>
      <c r="B3097" s="8" t="s">
        <v>1029</v>
      </c>
      <c r="C3097" s="8" t="s">
        <v>4726</v>
      </c>
      <c r="D3097" s="8">
        <v>5</v>
      </c>
      <c r="E3097" s="8" t="s">
        <v>4745</v>
      </c>
      <c r="F3097" s="8" t="s">
        <v>2998</v>
      </c>
      <c r="G3097" s="8" t="s">
        <v>4728</v>
      </c>
      <c r="H3097" s="10">
        <v>81</v>
      </c>
      <c r="I3097" s="10"/>
      <c r="J3097" s="10">
        <v>81</v>
      </c>
      <c r="K3097" s="10">
        <v>128.83000000000001</v>
      </c>
    </row>
    <row r="3098" spans="1:11" x14ac:dyDescent="0.25">
      <c r="A3098" s="8" t="s">
        <v>4753</v>
      </c>
      <c r="B3098" s="8" t="s">
        <v>118</v>
      </c>
      <c r="C3098" s="8" t="s">
        <v>4726</v>
      </c>
      <c r="D3098" s="8">
        <v>5</v>
      </c>
      <c r="E3098" s="8" t="s">
        <v>4754</v>
      </c>
      <c r="F3098" s="8" t="s">
        <v>2998</v>
      </c>
      <c r="G3098" s="8" t="s">
        <v>4728</v>
      </c>
      <c r="H3098" s="10">
        <v>542</v>
      </c>
      <c r="I3098" s="10"/>
      <c r="J3098" s="10">
        <v>542</v>
      </c>
      <c r="K3098" s="10">
        <v>128.83000000000001</v>
      </c>
    </row>
    <row r="3099" spans="1:11" x14ac:dyDescent="0.25">
      <c r="A3099" s="8" t="s">
        <v>4755</v>
      </c>
      <c r="B3099" s="8" t="s">
        <v>132</v>
      </c>
      <c r="C3099" s="8" t="s">
        <v>4726</v>
      </c>
      <c r="D3099" s="8">
        <v>5</v>
      </c>
      <c r="E3099" s="8" t="s">
        <v>4754</v>
      </c>
      <c r="F3099" s="8" t="s">
        <v>2998</v>
      </c>
      <c r="G3099" s="8" t="s">
        <v>4728</v>
      </c>
      <c r="H3099" s="10">
        <v>230</v>
      </c>
      <c r="I3099" s="10"/>
      <c r="J3099" s="10">
        <v>230</v>
      </c>
      <c r="K3099" s="10">
        <v>128.83000000000001</v>
      </c>
    </row>
    <row r="3100" spans="1:11" x14ac:dyDescent="0.25">
      <c r="A3100" s="8" t="s">
        <v>4756</v>
      </c>
      <c r="B3100" s="8" t="s">
        <v>120</v>
      </c>
      <c r="C3100" s="8" t="s">
        <v>4726</v>
      </c>
      <c r="D3100" s="8">
        <v>5</v>
      </c>
      <c r="E3100" s="8" t="s">
        <v>4757</v>
      </c>
      <c r="F3100" s="8" t="s">
        <v>2998</v>
      </c>
      <c r="G3100" s="8" t="s">
        <v>4728</v>
      </c>
      <c r="H3100" s="10">
        <v>1069</v>
      </c>
      <c r="I3100" s="10"/>
      <c r="J3100" s="10">
        <v>1069</v>
      </c>
      <c r="K3100" s="10">
        <v>128.83000000000001</v>
      </c>
    </row>
    <row r="3101" spans="1:11" x14ac:dyDescent="0.25">
      <c r="A3101" s="8" t="s">
        <v>4758</v>
      </c>
      <c r="B3101" s="8" t="s">
        <v>78</v>
      </c>
      <c r="C3101" s="8" t="s">
        <v>4726</v>
      </c>
      <c r="D3101" s="8">
        <v>5</v>
      </c>
      <c r="E3101" s="8" t="s">
        <v>4757</v>
      </c>
      <c r="F3101" s="8" t="s">
        <v>2998</v>
      </c>
      <c r="G3101" s="8" t="s">
        <v>4728</v>
      </c>
      <c r="H3101" s="10">
        <v>14</v>
      </c>
      <c r="I3101" s="10"/>
      <c r="J3101" s="10">
        <v>14</v>
      </c>
      <c r="K3101" s="10">
        <v>128.83000000000001</v>
      </c>
    </row>
    <row r="3102" spans="1:11" x14ac:dyDescent="0.25">
      <c r="A3102" s="8" t="s">
        <v>4759</v>
      </c>
      <c r="B3102" s="8" t="s">
        <v>134</v>
      </c>
      <c r="C3102" s="8" t="s">
        <v>4726</v>
      </c>
      <c r="D3102" s="8">
        <v>5</v>
      </c>
      <c r="E3102" s="8" t="s">
        <v>4757</v>
      </c>
      <c r="F3102" s="8" t="s">
        <v>2998</v>
      </c>
      <c r="G3102" s="8" t="s">
        <v>4728</v>
      </c>
      <c r="H3102" s="10">
        <v>213</v>
      </c>
      <c r="I3102" s="10"/>
      <c r="J3102" s="10">
        <v>213</v>
      </c>
      <c r="K3102" s="10">
        <v>128.83000000000001</v>
      </c>
    </row>
    <row r="3103" spans="1:11" x14ac:dyDescent="0.25">
      <c r="A3103" s="8" t="s">
        <v>4760</v>
      </c>
      <c r="B3103" s="8" t="s">
        <v>3651</v>
      </c>
      <c r="C3103" s="8" t="s">
        <v>3391</v>
      </c>
      <c r="D3103" s="8">
        <v>5</v>
      </c>
      <c r="E3103" s="8" t="s">
        <v>4761</v>
      </c>
      <c r="F3103" s="8" t="s">
        <v>215</v>
      </c>
      <c r="G3103" s="8" t="s">
        <v>3659</v>
      </c>
      <c r="H3103" s="10">
        <v>100</v>
      </c>
      <c r="I3103" s="10"/>
      <c r="J3103" s="10">
        <v>100</v>
      </c>
      <c r="K3103" s="10">
        <v>76.3</v>
      </c>
    </row>
    <row r="3104" spans="1:11" x14ac:dyDescent="0.25">
      <c r="A3104" s="8" t="s">
        <v>4762</v>
      </c>
      <c r="B3104" s="8" t="s">
        <v>3651</v>
      </c>
      <c r="C3104" s="8" t="s">
        <v>3391</v>
      </c>
      <c r="D3104" s="8">
        <v>5</v>
      </c>
      <c r="E3104" s="8" t="s">
        <v>4763</v>
      </c>
      <c r="F3104" s="8" t="s">
        <v>215</v>
      </c>
      <c r="G3104" s="8" t="s">
        <v>3659</v>
      </c>
      <c r="H3104" s="10">
        <v>1200</v>
      </c>
      <c r="I3104" s="10"/>
      <c r="J3104" s="10">
        <v>1200</v>
      </c>
      <c r="K3104" s="10">
        <v>157.85</v>
      </c>
    </row>
    <row r="3105" spans="1:11" x14ac:dyDescent="0.25">
      <c r="A3105" s="8" t="s">
        <v>4764</v>
      </c>
      <c r="B3105" s="8" t="s">
        <v>3651</v>
      </c>
      <c r="C3105" s="8" t="s">
        <v>2006</v>
      </c>
      <c r="D3105" s="8">
        <v>5</v>
      </c>
      <c r="E3105" s="8" t="s">
        <v>4765</v>
      </c>
      <c r="F3105" s="8" t="s">
        <v>215</v>
      </c>
      <c r="G3105" s="8" t="s">
        <v>2748</v>
      </c>
      <c r="H3105" s="10">
        <v>400</v>
      </c>
      <c r="I3105" s="10"/>
      <c r="J3105" s="10">
        <v>400</v>
      </c>
      <c r="K3105" s="10">
        <v>76.3</v>
      </c>
    </row>
    <row r="3106" spans="1:11" x14ac:dyDescent="0.25">
      <c r="A3106" s="8" t="s">
        <v>32</v>
      </c>
      <c r="B3106" s="8" t="s">
        <v>45</v>
      </c>
      <c r="C3106" s="8" t="s">
        <v>32</v>
      </c>
      <c r="D3106" s="8">
        <v>1</v>
      </c>
      <c r="E3106" s="8" t="s">
        <v>4766</v>
      </c>
      <c r="F3106" s="8"/>
      <c r="G3106" s="8"/>
      <c r="H3106" s="10">
        <v>1</v>
      </c>
      <c r="I3106" s="10"/>
      <c r="J3106" s="10">
        <v>1</v>
      </c>
      <c r="K3106" s="10">
        <v>516908.3</v>
      </c>
    </row>
  </sheetData>
  <autoFilter ref="A1:K3106" xr:uid="{23BD5447-973B-4C96-BD00-B44831F33ECE}"/>
  <pageMargins left="0.7" right="0.7" top="0.75" bottom="0.75" header="0.3" footer="0.3"/>
  <ignoredErrors>
    <ignoredError sqref="B2 B3:B310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AEA1-DF02-493C-8F0F-FF9B92952A84}">
  <sheetPr>
    <tabColor rgb="FF04745F"/>
  </sheetPr>
  <dimension ref="A1:J35"/>
  <sheetViews>
    <sheetView workbookViewId="0">
      <selection activeCell="B23" sqref="B23"/>
    </sheetView>
  </sheetViews>
  <sheetFormatPr defaultColWidth="2.7109375" defaultRowHeight="12" x14ac:dyDescent="0.25"/>
  <cols>
    <col min="1" max="1" width="5.7109375" style="16" customWidth="1"/>
    <col min="2" max="2" width="14.85546875" style="8" bestFit="1" customWidth="1"/>
    <col min="3" max="3" width="15.5703125" style="8" bestFit="1" customWidth="1"/>
    <col min="4" max="4" width="36.7109375" style="8" customWidth="1"/>
    <col min="5" max="5" width="68.42578125" style="8" bestFit="1" customWidth="1"/>
    <col min="6" max="7" width="30.7109375" style="8" bestFit="1" customWidth="1"/>
    <col min="8" max="9" width="8.28515625" style="8" bestFit="1" customWidth="1"/>
    <col min="10" max="10" width="4.85546875" style="8" bestFit="1" customWidth="1"/>
    <col min="11" max="11" width="1.85546875" style="8" bestFit="1" customWidth="1"/>
    <col min="12" max="16384" width="2.7109375" style="8"/>
  </cols>
  <sheetData>
    <row r="1" spans="1:10" x14ac:dyDescent="0.25">
      <c r="C1" s="8">
        <v>1</v>
      </c>
      <c r="D1" s="8">
        <v>2</v>
      </c>
      <c r="E1" s="8">
        <v>3</v>
      </c>
      <c r="F1" s="8">
        <v>4</v>
      </c>
      <c r="G1" s="8">
        <v>5</v>
      </c>
      <c r="H1" s="8">
        <v>6</v>
      </c>
      <c r="I1" s="8">
        <v>7</v>
      </c>
    </row>
    <row r="2" spans="1:10" s="18" customFormat="1" x14ac:dyDescent="0.25">
      <c r="A2" s="17" t="s">
        <v>4767</v>
      </c>
    </row>
    <row r="3" spans="1:10" x14ac:dyDescent="0.25">
      <c r="B3" s="1" t="s">
        <v>4768</v>
      </c>
      <c r="C3" s="1" t="s">
        <v>4769</v>
      </c>
      <c r="D3" s="1" t="s">
        <v>4770</v>
      </c>
      <c r="E3" s="1" t="s">
        <v>4771</v>
      </c>
      <c r="F3" s="1" t="s">
        <v>4772</v>
      </c>
      <c r="G3" s="1" t="s">
        <v>4773</v>
      </c>
      <c r="H3" s="1" t="s">
        <v>4774</v>
      </c>
      <c r="I3" s="1" t="s">
        <v>4775</v>
      </c>
      <c r="J3" s="1"/>
    </row>
    <row r="4" spans="1:10" x14ac:dyDescent="0.25">
      <c r="B4" s="1" t="s">
        <v>3061</v>
      </c>
      <c r="C4" s="1" t="s">
        <v>8404</v>
      </c>
      <c r="D4" s="1" t="s">
        <v>8405</v>
      </c>
      <c r="E4" s="1" t="s">
        <v>8406</v>
      </c>
      <c r="F4" s="1"/>
      <c r="G4" s="1"/>
      <c r="H4" s="1" t="s">
        <v>32</v>
      </c>
      <c r="I4" s="1" t="s">
        <v>32</v>
      </c>
      <c r="J4" s="1"/>
    </row>
    <row r="5" spans="1:10" x14ac:dyDescent="0.25">
      <c r="B5" s="404" t="s">
        <v>8407</v>
      </c>
      <c r="C5" s="404"/>
      <c r="D5" s="404" t="s">
        <v>8405</v>
      </c>
      <c r="E5" s="404" t="s">
        <v>8408</v>
      </c>
      <c r="F5" s="1"/>
      <c r="G5" s="1"/>
      <c r="H5" s="1" t="s">
        <v>32</v>
      </c>
      <c r="I5" s="1" t="s">
        <v>32</v>
      </c>
      <c r="J5" s="1"/>
    </row>
    <row r="6" spans="1:10" x14ac:dyDescent="0.25">
      <c r="B6" s="1"/>
      <c r="C6" s="1"/>
      <c r="D6" s="1"/>
      <c r="E6" s="1"/>
      <c r="F6" s="1"/>
      <c r="G6" s="1"/>
      <c r="H6" s="1"/>
      <c r="I6" s="1"/>
      <c r="J6" s="1"/>
    </row>
    <row r="7" spans="1:10" x14ac:dyDescent="0.25">
      <c r="B7" s="1"/>
      <c r="C7" s="1"/>
      <c r="D7" s="1"/>
      <c r="E7" s="1"/>
      <c r="F7" s="1"/>
      <c r="G7" s="1"/>
      <c r="H7" s="1"/>
      <c r="I7" s="1"/>
      <c r="J7" s="1"/>
    </row>
    <row r="8" spans="1:10" x14ac:dyDescent="0.25">
      <c r="B8" s="1"/>
      <c r="C8" s="1"/>
      <c r="D8" s="1"/>
      <c r="E8" s="1"/>
      <c r="F8" s="1"/>
      <c r="G8" s="1"/>
      <c r="H8" s="1"/>
      <c r="I8" s="1"/>
      <c r="J8" s="1"/>
    </row>
    <row r="9" spans="1:10" x14ac:dyDescent="0.25">
      <c r="B9" s="1"/>
      <c r="C9" s="1"/>
      <c r="D9" s="1"/>
      <c r="E9" s="1"/>
      <c r="F9" s="1"/>
      <c r="G9" s="1"/>
      <c r="H9" s="1"/>
      <c r="I9" s="1"/>
      <c r="J9" s="1"/>
    </row>
    <row r="10" spans="1:10" s="18" customFormat="1" x14ac:dyDescent="0.25">
      <c r="A10" s="17" t="s">
        <v>4776</v>
      </c>
    </row>
    <row r="11" spans="1:10" x14ac:dyDescent="0.25">
      <c r="B11" s="1" t="s">
        <v>3061</v>
      </c>
      <c r="C11" s="20">
        <v>0.4</v>
      </c>
      <c r="D11" s="20">
        <v>0.5</v>
      </c>
      <c r="E11" s="20">
        <v>0.1</v>
      </c>
      <c r="F11" s="20"/>
      <c r="G11" s="20"/>
      <c r="H11" s="20"/>
      <c r="I11" s="20"/>
      <c r="J11" s="21">
        <f>SUM(C11:I11)</f>
        <v>1</v>
      </c>
    </row>
    <row r="12" spans="1:10" x14ac:dyDescent="0.25">
      <c r="B12" s="404" t="s">
        <v>8407</v>
      </c>
      <c r="C12" s="405">
        <v>0</v>
      </c>
      <c r="D12" s="405">
        <v>0</v>
      </c>
      <c r="E12" s="405">
        <v>0</v>
      </c>
      <c r="F12" s="20"/>
      <c r="G12" s="20"/>
      <c r="H12" s="20"/>
      <c r="I12" s="20"/>
      <c r="J12" s="21">
        <f t="shared" ref="J12:J16" si="0">SUM(C12:I12)</f>
        <v>0</v>
      </c>
    </row>
    <row r="13" spans="1:10" x14ac:dyDescent="0.25">
      <c r="B13" s="406" t="s">
        <v>8413</v>
      </c>
      <c r="C13" s="407">
        <v>0.6</v>
      </c>
      <c r="D13" s="407">
        <v>0.4</v>
      </c>
      <c r="E13" s="407">
        <v>0.1</v>
      </c>
      <c r="F13" s="20"/>
      <c r="G13" s="20"/>
      <c r="H13" s="20"/>
      <c r="I13" s="20"/>
      <c r="J13" s="21">
        <f t="shared" si="0"/>
        <v>1.1000000000000001</v>
      </c>
    </row>
    <row r="14" spans="1:10" x14ac:dyDescent="0.25">
      <c r="B14" s="1"/>
      <c r="C14" s="20"/>
      <c r="D14" s="20"/>
      <c r="E14" s="20"/>
      <c r="F14" s="20"/>
      <c r="G14" s="20"/>
      <c r="H14" s="20"/>
      <c r="I14" s="20"/>
      <c r="J14" s="21">
        <f t="shared" si="0"/>
        <v>0</v>
      </c>
    </row>
    <row r="15" spans="1:10" x14ac:dyDescent="0.25">
      <c r="B15" s="1"/>
      <c r="C15" s="20"/>
      <c r="D15" s="20"/>
      <c r="E15" s="20"/>
      <c r="F15" s="20"/>
      <c r="G15" s="20"/>
      <c r="H15" s="20"/>
      <c r="I15" s="20"/>
      <c r="J15" s="21">
        <f t="shared" si="0"/>
        <v>0</v>
      </c>
    </row>
    <row r="16" spans="1:10" x14ac:dyDescent="0.25">
      <c r="B16" s="1"/>
      <c r="C16" s="20"/>
      <c r="D16" s="20"/>
      <c r="E16" s="20"/>
      <c r="F16" s="20"/>
      <c r="G16" s="20"/>
      <c r="H16" s="20"/>
      <c r="I16" s="20"/>
      <c r="J16" s="21">
        <f t="shared" si="0"/>
        <v>0</v>
      </c>
    </row>
    <row r="17" spans="1:10" s="18" customFormat="1" x14ac:dyDescent="0.25">
      <c r="A17" s="17" t="s">
        <v>4777</v>
      </c>
    </row>
    <row r="18" spans="1:10" x14ac:dyDescent="0.25">
      <c r="B18" s="1" t="s">
        <v>3061</v>
      </c>
      <c r="C18" s="20">
        <v>0</v>
      </c>
      <c r="D18" s="20">
        <v>0.9</v>
      </c>
      <c r="E18" s="20">
        <v>0.1</v>
      </c>
      <c r="F18" s="76"/>
      <c r="G18" s="76"/>
      <c r="H18" s="76"/>
      <c r="I18" s="76"/>
      <c r="J18" s="21">
        <f>SUM(C18:I18)</f>
        <v>1</v>
      </c>
    </row>
    <row r="19" spans="1:10" x14ac:dyDescent="0.25">
      <c r="B19" s="404" t="s">
        <v>8407</v>
      </c>
      <c r="C19" s="405">
        <v>0</v>
      </c>
      <c r="D19" s="405">
        <v>0.9</v>
      </c>
      <c r="E19" s="405">
        <v>0.1</v>
      </c>
      <c r="F19" s="20"/>
      <c r="G19" s="20"/>
      <c r="H19" s="20"/>
      <c r="I19" s="20"/>
      <c r="J19" s="21">
        <f t="shared" ref="J19:J21" si="1">SUM(C19:I19)</f>
        <v>1</v>
      </c>
    </row>
    <row r="20" spans="1:10" x14ac:dyDescent="0.25">
      <c r="B20" s="1" t="s">
        <v>8413</v>
      </c>
      <c r="C20" s="20">
        <v>0</v>
      </c>
      <c r="D20" s="20">
        <v>0.9</v>
      </c>
      <c r="E20" s="20">
        <v>0.1</v>
      </c>
      <c r="F20" s="20"/>
      <c r="G20" s="20"/>
      <c r="H20" s="20"/>
      <c r="I20" s="20"/>
      <c r="J20" s="21">
        <f t="shared" si="1"/>
        <v>1</v>
      </c>
    </row>
    <row r="21" spans="1:10" x14ac:dyDescent="0.25">
      <c r="B21" s="1"/>
      <c r="C21" s="20"/>
      <c r="D21" s="20"/>
      <c r="E21" s="20"/>
      <c r="F21" s="20"/>
      <c r="G21" s="20"/>
      <c r="H21" s="20"/>
      <c r="I21" s="20"/>
      <c r="J21" s="21">
        <f t="shared" si="1"/>
        <v>0</v>
      </c>
    </row>
    <row r="22" spans="1:10" s="18" customFormat="1" x14ac:dyDescent="0.25">
      <c r="A22" s="17"/>
    </row>
    <row r="23" spans="1:10" x14ac:dyDescent="0.25">
      <c r="C23" s="19"/>
      <c r="D23" s="19"/>
      <c r="E23" s="19"/>
      <c r="F23" s="19"/>
      <c r="G23" s="19"/>
      <c r="H23" s="19"/>
      <c r="I23" s="19"/>
    </row>
    <row r="24" spans="1:10" x14ac:dyDescent="0.25">
      <c r="C24" s="19"/>
      <c r="D24" s="19"/>
      <c r="E24" s="19"/>
      <c r="F24" s="19"/>
      <c r="G24" s="19"/>
      <c r="H24" s="19"/>
      <c r="I24" s="19"/>
    </row>
    <row r="25" spans="1:10" x14ac:dyDescent="0.25">
      <c r="C25" s="19"/>
      <c r="D25" s="19"/>
      <c r="E25" s="19"/>
      <c r="F25" s="19"/>
      <c r="G25" s="19"/>
      <c r="H25" s="19"/>
      <c r="I25" s="19"/>
    </row>
    <row r="26" spans="1:10" x14ac:dyDescent="0.25">
      <c r="C26" s="19"/>
      <c r="D26" s="19"/>
      <c r="E26" s="19"/>
      <c r="F26" s="19"/>
      <c r="G26" s="19"/>
      <c r="H26" s="19"/>
      <c r="I26" s="19"/>
    </row>
    <row r="27" spans="1:10" x14ac:dyDescent="0.25">
      <c r="C27" s="19"/>
      <c r="D27" s="19"/>
      <c r="E27" s="19"/>
      <c r="F27" s="19"/>
      <c r="G27" s="19"/>
      <c r="H27" s="19"/>
      <c r="I27" s="19"/>
    </row>
    <row r="28" spans="1:10" x14ac:dyDescent="0.25">
      <c r="C28" s="19"/>
      <c r="D28" s="19"/>
      <c r="E28" s="19"/>
      <c r="F28" s="19"/>
      <c r="G28" s="19"/>
      <c r="H28" s="19"/>
      <c r="I28" s="19"/>
    </row>
    <row r="29" spans="1:10" x14ac:dyDescent="0.25">
      <c r="C29" s="19"/>
      <c r="D29" s="19"/>
      <c r="E29" s="19"/>
      <c r="F29" s="19"/>
      <c r="G29" s="19"/>
      <c r="H29" s="19"/>
      <c r="I29" s="19"/>
    </row>
    <row r="30" spans="1:10" x14ac:dyDescent="0.25">
      <c r="C30" s="19"/>
      <c r="D30" s="19"/>
      <c r="E30" s="19"/>
      <c r="F30" s="19"/>
      <c r="G30" s="19"/>
      <c r="H30" s="19"/>
      <c r="I30" s="19"/>
    </row>
    <row r="31" spans="1:10" x14ac:dyDescent="0.25">
      <c r="C31" s="19"/>
      <c r="D31" s="19"/>
      <c r="E31" s="19"/>
      <c r="F31" s="19"/>
      <c r="G31" s="19"/>
      <c r="H31" s="19"/>
      <c r="I31" s="19"/>
    </row>
    <row r="32" spans="1:10" x14ac:dyDescent="0.25">
      <c r="C32" s="19"/>
      <c r="D32" s="19"/>
      <c r="E32" s="19"/>
      <c r="F32" s="19"/>
      <c r="G32" s="19"/>
      <c r="H32" s="19"/>
      <c r="I32" s="19"/>
    </row>
    <row r="33" spans="3:9" x14ac:dyDescent="0.25">
      <c r="C33" s="19"/>
      <c r="D33" s="19"/>
      <c r="E33" s="19"/>
      <c r="F33" s="19"/>
      <c r="G33" s="19"/>
      <c r="H33" s="19"/>
      <c r="I33" s="19"/>
    </row>
    <row r="34" spans="3:9" x14ac:dyDescent="0.25">
      <c r="C34" s="19"/>
      <c r="D34" s="19"/>
      <c r="E34" s="19"/>
      <c r="F34" s="19"/>
      <c r="G34" s="19"/>
      <c r="H34" s="19"/>
      <c r="I34" s="19"/>
    </row>
    <row r="35" spans="3:9" x14ac:dyDescent="0.25">
      <c r="C35" s="19"/>
      <c r="D35" s="19"/>
      <c r="E35" s="19"/>
      <c r="F35" s="19"/>
      <c r="G35" s="19"/>
      <c r="H35" s="19"/>
      <c r="I35" s="19"/>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7444-C9D4-4572-A87E-909805335249}">
  <dimension ref="A1:V1945"/>
  <sheetViews>
    <sheetView zoomScale="90" zoomScaleNormal="90" workbookViewId="0">
      <pane ySplit="3" topLeftCell="A4" activePane="bottomLeft" state="frozen"/>
      <selection pane="bottomLeft" activeCell="T4" sqref="T4:T10"/>
    </sheetView>
  </sheetViews>
  <sheetFormatPr defaultColWidth="2.7109375" defaultRowHeight="12" x14ac:dyDescent="0.25"/>
  <cols>
    <col min="1" max="1" width="4.140625" style="8" bestFit="1" customWidth="1"/>
    <col min="2" max="2" width="8.5703125" style="8" bestFit="1" customWidth="1"/>
    <col min="3" max="3" width="11.85546875" style="8" bestFit="1" customWidth="1"/>
    <col min="4" max="4" width="18.5703125" style="32" bestFit="1" customWidth="1"/>
    <col min="5" max="5" width="12" style="32" bestFit="1" customWidth="1"/>
    <col min="6" max="6" width="9.5703125" style="10" bestFit="1" customWidth="1"/>
    <col min="7" max="7" width="53.5703125" style="8" bestFit="1" customWidth="1"/>
    <col min="8" max="10" width="10.42578125" style="10" bestFit="1" customWidth="1"/>
    <col min="11" max="11" width="53.5703125" style="8" bestFit="1" customWidth="1"/>
    <col min="12" max="12" width="7" style="8" bestFit="1" customWidth="1"/>
    <col min="13" max="18" width="2.7109375" style="8"/>
    <col min="19" max="19" width="9" style="8" bestFit="1" customWidth="1"/>
    <col min="20" max="20" width="10.5703125" style="10" bestFit="1" customWidth="1"/>
    <col min="21" max="22" width="10.7109375" style="10" customWidth="1"/>
    <col min="23" max="16384" width="2.7109375" style="8"/>
  </cols>
  <sheetData>
    <row r="1" spans="1:22" x14ac:dyDescent="0.25">
      <c r="I1" s="10">
        <f>SUBTOTAL(9,I4:I1048576)</f>
        <v>904881.88666667009</v>
      </c>
    </row>
    <row r="2" spans="1:22" x14ac:dyDescent="0.25">
      <c r="I2" s="10">
        <f>SUM(I4:I1048576)</f>
        <v>904881.88666667009</v>
      </c>
    </row>
    <row r="3" spans="1:22" s="9" customFormat="1" ht="50.1" customHeight="1" x14ac:dyDescent="0.25">
      <c r="A3" s="9" t="s">
        <v>4929</v>
      </c>
      <c r="B3" s="9" t="s">
        <v>2</v>
      </c>
      <c r="C3" s="9" t="s">
        <v>4930</v>
      </c>
      <c r="D3" s="33" t="s">
        <v>6981</v>
      </c>
      <c r="E3" s="31" t="s">
        <v>4931</v>
      </c>
      <c r="F3" s="12" t="s">
        <v>6982</v>
      </c>
      <c r="G3" s="9" t="s">
        <v>6983</v>
      </c>
      <c r="H3" s="12" t="s">
        <v>6978</v>
      </c>
      <c r="I3" s="12" t="s">
        <v>6979</v>
      </c>
      <c r="J3" s="12" t="s">
        <v>35</v>
      </c>
      <c r="K3" s="9" t="s">
        <v>6980</v>
      </c>
      <c r="L3" s="9" t="s">
        <v>6977</v>
      </c>
      <c r="S3" s="9" t="s">
        <v>6985</v>
      </c>
      <c r="T3" s="12" t="s">
        <v>6986</v>
      </c>
      <c r="U3" s="12" t="s">
        <v>6987</v>
      </c>
      <c r="V3" s="12" t="s">
        <v>6988</v>
      </c>
    </row>
    <row r="4" spans="1:22" x14ac:dyDescent="0.25">
      <c r="A4" s="8" t="s">
        <v>4932</v>
      </c>
      <c r="B4" s="8" t="s">
        <v>14</v>
      </c>
      <c r="C4" s="8" t="s">
        <v>4933</v>
      </c>
      <c r="D4" s="32" t="s">
        <v>6984</v>
      </c>
      <c r="E4" s="32" t="s">
        <v>4933</v>
      </c>
      <c r="F4" s="10">
        <v>1</v>
      </c>
      <c r="G4" s="8" t="s">
        <v>4934</v>
      </c>
      <c r="H4" s="10">
        <v>2832.5</v>
      </c>
      <c r="I4" s="10">
        <f>F4*H4</f>
        <v>2832.5</v>
      </c>
      <c r="J4" s="10">
        <v>40.11839664</v>
      </c>
      <c r="K4" s="8" t="s">
        <v>4935</v>
      </c>
      <c r="S4" s="8" t="s">
        <v>4869</v>
      </c>
      <c r="T4" s="10">
        <f>SUMIFS($I$4:$I$1048576,$B$4:$B$1048576,$S4)/1000</f>
        <v>144.69930000000008</v>
      </c>
      <c r="U4" s="10">
        <f>T4</f>
        <v>144.69930000000008</v>
      </c>
    </row>
    <row r="5" spans="1:22" x14ac:dyDescent="0.25">
      <c r="A5" s="8" t="s">
        <v>4932</v>
      </c>
      <c r="B5" s="8" t="s">
        <v>14</v>
      </c>
      <c r="C5" s="8" t="s">
        <v>4936</v>
      </c>
      <c r="D5" s="32" t="s">
        <v>6984</v>
      </c>
      <c r="E5" s="32" t="s">
        <v>4936</v>
      </c>
      <c r="F5" s="10">
        <v>1</v>
      </c>
      <c r="G5" s="8" t="s">
        <v>4934</v>
      </c>
      <c r="H5" s="10">
        <v>2893.4</v>
      </c>
      <c r="I5" s="10">
        <f t="shared" ref="I5:I68" si="0">F5*H5</f>
        <v>2893.4</v>
      </c>
      <c r="J5" s="10">
        <v>41.552075277</v>
      </c>
      <c r="K5" s="8" t="s">
        <v>4935</v>
      </c>
      <c r="S5" s="8" t="s">
        <v>5070</v>
      </c>
      <c r="T5" s="10">
        <f t="shared" ref="T5:T10" si="1">SUMIFS($I$4:$I$1048576,$B$4:$B$1048576,$S5)/1000</f>
        <v>207.00689999999977</v>
      </c>
      <c r="U5" s="10">
        <f>T5</f>
        <v>207.00689999999977</v>
      </c>
    </row>
    <row r="6" spans="1:22" x14ac:dyDescent="0.25">
      <c r="A6" s="8" t="s">
        <v>4932</v>
      </c>
      <c r="B6" s="8" t="s">
        <v>14</v>
      </c>
      <c r="C6" s="8" t="s">
        <v>4937</v>
      </c>
      <c r="D6" s="32" t="s">
        <v>6984</v>
      </c>
      <c r="E6" s="32" t="s">
        <v>4937</v>
      </c>
      <c r="F6" s="10">
        <v>1</v>
      </c>
      <c r="G6" s="8" t="s">
        <v>4934</v>
      </c>
      <c r="H6" s="10">
        <v>2716</v>
      </c>
      <c r="I6" s="10">
        <f t="shared" si="0"/>
        <v>2716</v>
      </c>
      <c r="J6" s="10">
        <v>39.164658797000001</v>
      </c>
      <c r="K6" s="8" t="s">
        <v>4935</v>
      </c>
      <c r="S6" s="8" t="s">
        <v>6069</v>
      </c>
      <c r="T6" s="10">
        <f t="shared" si="1"/>
        <v>217.14346666666606</v>
      </c>
      <c r="U6" s="10">
        <f>+T6-V6</f>
        <v>169.01846666666606</v>
      </c>
      <c r="V6" s="10">
        <f>+V10*1.75</f>
        <v>48.125</v>
      </c>
    </row>
    <row r="7" spans="1:22" x14ac:dyDescent="0.25">
      <c r="A7" s="8" t="s">
        <v>4932</v>
      </c>
      <c r="B7" s="8" t="s">
        <v>14</v>
      </c>
      <c r="C7" s="8" t="s">
        <v>4938</v>
      </c>
      <c r="D7" s="32" t="s">
        <v>6984</v>
      </c>
      <c r="E7" s="32" t="s">
        <v>4938</v>
      </c>
      <c r="F7" s="10">
        <v>1</v>
      </c>
      <c r="G7" s="8" t="s">
        <v>4934</v>
      </c>
      <c r="H7" s="10">
        <v>2893.4</v>
      </c>
      <c r="I7" s="10">
        <f t="shared" si="0"/>
        <v>2893.4</v>
      </c>
      <c r="J7" s="10">
        <v>41.552075277</v>
      </c>
      <c r="K7" s="8" t="s">
        <v>4935</v>
      </c>
      <c r="S7" s="8" t="s">
        <v>14</v>
      </c>
      <c r="T7" s="10">
        <f t="shared" si="1"/>
        <v>82.519200000000012</v>
      </c>
      <c r="U7" s="10">
        <f>T7</f>
        <v>82.519200000000012</v>
      </c>
    </row>
    <row r="8" spans="1:22" x14ac:dyDescent="0.25">
      <c r="A8" s="8" t="s">
        <v>4932</v>
      </c>
      <c r="B8" s="8" t="s">
        <v>14</v>
      </c>
      <c r="C8" s="8" t="s">
        <v>4939</v>
      </c>
      <c r="D8" s="32" t="s">
        <v>6984</v>
      </c>
      <c r="E8" s="32" t="s">
        <v>4939</v>
      </c>
      <c r="F8" s="10">
        <v>1</v>
      </c>
      <c r="G8" s="8" t="s">
        <v>4934</v>
      </c>
      <c r="H8" s="10">
        <v>2685.7</v>
      </c>
      <c r="I8" s="10">
        <f t="shared" si="0"/>
        <v>2685.7</v>
      </c>
      <c r="J8" s="10">
        <v>38.437030399999998</v>
      </c>
      <c r="K8" s="8" t="s">
        <v>4935</v>
      </c>
      <c r="S8" s="8" t="s">
        <v>4779</v>
      </c>
      <c r="T8" s="10">
        <f t="shared" si="1"/>
        <v>107.96402000000002</v>
      </c>
      <c r="U8" s="10">
        <f t="shared" ref="U8:U9" si="2">T8</f>
        <v>107.96402000000002</v>
      </c>
    </row>
    <row r="9" spans="1:22" x14ac:dyDescent="0.25">
      <c r="A9" s="8" t="s">
        <v>4932</v>
      </c>
      <c r="B9" s="8" t="s">
        <v>14</v>
      </c>
      <c r="C9" s="8" t="s">
        <v>4940</v>
      </c>
      <c r="D9" s="32" t="s">
        <v>6984</v>
      </c>
      <c r="E9" s="32" t="s">
        <v>4940</v>
      </c>
      <c r="F9" s="10">
        <v>2</v>
      </c>
      <c r="G9" s="8" t="s">
        <v>4934</v>
      </c>
      <c r="H9" s="10">
        <v>2863.35</v>
      </c>
      <c r="I9" s="10">
        <f t="shared" si="0"/>
        <v>5726.7</v>
      </c>
      <c r="J9" s="10">
        <v>81.648893760000007</v>
      </c>
      <c r="K9" s="8" t="s">
        <v>4935</v>
      </c>
      <c r="S9" s="8" t="s">
        <v>4819</v>
      </c>
      <c r="T9" s="10">
        <f t="shared" si="1"/>
        <v>77.801800000000043</v>
      </c>
      <c r="U9" s="10">
        <f t="shared" si="2"/>
        <v>77.801800000000043</v>
      </c>
    </row>
    <row r="10" spans="1:22" x14ac:dyDescent="0.25">
      <c r="A10" s="8" t="s">
        <v>4932</v>
      </c>
      <c r="B10" s="8" t="s">
        <v>14</v>
      </c>
      <c r="C10" s="8" t="s">
        <v>4941</v>
      </c>
      <c r="D10" s="32" t="s">
        <v>6984</v>
      </c>
      <c r="E10" s="32" t="s">
        <v>4941</v>
      </c>
      <c r="F10" s="10">
        <v>1</v>
      </c>
      <c r="G10" s="8" t="s">
        <v>4934</v>
      </c>
      <c r="H10" s="10">
        <v>2836.7</v>
      </c>
      <c r="I10" s="10">
        <f t="shared" si="0"/>
        <v>2836.7</v>
      </c>
      <c r="J10" s="10">
        <v>40.626230399999997</v>
      </c>
      <c r="K10" s="8" t="s">
        <v>4935</v>
      </c>
      <c r="S10" s="8" t="s">
        <v>4847</v>
      </c>
      <c r="T10" s="10">
        <f t="shared" si="1"/>
        <v>67.747200000000021</v>
      </c>
      <c r="U10" s="10">
        <f>+T10-V10</f>
        <v>40.247200000000021</v>
      </c>
      <c r="V10" s="10">
        <v>27.5</v>
      </c>
    </row>
    <row r="11" spans="1:22" ht="15" x14ac:dyDescent="0.25">
      <c r="A11" s="8" t="s">
        <v>4932</v>
      </c>
      <c r="B11" s="8" t="s">
        <v>14</v>
      </c>
      <c r="C11" s="8" t="s">
        <v>4942</v>
      </c>
      <c r="D11" s="32" t="s">
        <v>6984</v>
      </c>
      <c r="E11" s="32" t="s">
        <v>4942</v>
      </c>
      <c r="F11" s="10">
        <v>1</v>
      </c>
      <c r="G11" s="8" t="s">
        <v>4934</v>
      </c>
      <c r="H11" s="10">
        <v>2865.6</v>
      </c>
      <c r="I11" s="10">
        <f t="shared" si="0"/>
        <v>2865.6</v>
      </c>
      <c r="J11" s="10">
        <v>41.321126120000002</v>
      </c>
      <c r="K11" s="8" t="s">
        <v>4935</v>
      </c>
      <c r="S11"/>
    </row>
    <row r="12" spans="1:22" ht="15" x14ac:dyDescent="0.25">
      <c r="A12" s="8" t="s">
        <v>4932</v>
      </c>
      <c r="B12" s="8" t="s">
        <v>14</v>
      </c>
      <c r="C12" s="8" t="s">
        <v>4943</v>
      </c>
      <c r="D12" s="32" t="s">
        <v>6984</v>
      </c>
      <c r="E12" s="32" t="s">
        <v>4943</v>
      </c>
      <c r="F12" s="10">
        <v>1</v>
      </c>
      <c r="G12" s="8" t="s">
        <v>4934</v>
      </c>
      <c r="H12" s="10">
        <v>2892</v>
      </c>
      <c r="I12" s="10">
        <f t="shared" si="0"/>
        <v>2892</v>
      </c>
      <c r="J12" s="10">
        <v>41.519342600000002</v>
      </c>
      <c r="K12" s="8" t="s">
        <v>4935</v>
      </c>
      <c r="S12"/>
    </row>
    <row r="13" spans="1:22" ht="15" x14ac:dyDescent="0.25">
      <c r="A13" s="8" t="s">
        <v>4932</v>
      </c>
      <c r="B13" s="8" t="s">
        <v>14</v>
      </c>
      <c r="C13" s="8" t="s">
        <v>4944</v>
      </c>
      <c r="D13" s="32" t="s">
        <v>6984</v>
      </c>
      <c r="E13" s="32" t="s">
        <v>4944</v>
      </c>
      <c r="F13" s="10">
        <v>1</v>
      </c>
      <c r="G13" s="8" t="s">
        <v>4934</v>
      </c>
      <c r="H13" s="10">
        <v>2865.6</v>
      </c>
      <c r="I13" s="10">
        <f t="shared" si="0"/>
        <v>2865.6</v>
      </c>
      <c r="J13" s="10">
        <v>41.321126120000002</v>
      </c>
      <c r="K13" s="8" t="s">
        <v>4935</v>
      </c>
      <c r="S13"/>
    </row>
    <row r="14" spans="1:22" ht="15" x14ac:dyDescent="0.25">
      <c r="A14" s="8" t="s">
        <v>4932</v>
      </c>
      <c r="B14" s="8" t="s">
        <v>14</v>
      </c>
      <c r="C14" s="8" t="s">
        <v>4945</v>
      </c>
      <c r="D14" s="32" t="s">
        <v>6984</v>
      </c>
      <c r="E14" s="32" t="s">
        <v>4945</v>
      </c>
      <c r="F14" s="10">
        <v>1</v>
      </c>
      <c r="G14" s="8" t="s">
        <v>4934</v>
      </c>
      <c r="H14" s="10">
        <v>2892</v>
      </c>
      <c r="I14" s="10">
        <f t="shared" si="0"/>
        <v>2892</v>
      </c>
      <c r="J14" s="10">
        <v>41.519342600000002</v>
      </c>
      <c r="K14" s="8" t="s">
        <v>4935</v>
      </c>
      <c r="S14"/>
    </row>
    <row r="15" spans="1:22" ht="15" x14ac:dyDescent="0.25">
      <c r="A15" s="8" t="s">
        <v>4932</v>
      </c>
      <c r="B15" s="8" t="s">
        <v>14</v>
      </c>
      <c r="C15" s="8" t="s">
        <v>4946</v>
      </c>
      <c r="D15" s="32" t="s">
        <v>6984</v>
      </c>
      <c r="E15" s="32" t="s">
        <v>4947</v>
      </c>
      <c r="F15" s="10">
        <v>1</v>
      </c>
      <c r="G15" s="8" t="s">
        <v>4934</v>
      </c>
      <c r="H15" s="10">
        <v>2837</v>
      </c>
      <c r="I15" s="10">
        <f t="shared" si="0"/>
        <v>2837</v>
      </c>
      <c r="J15" s="10">
        <v>40.625999999999998</v>
      </c>
      <c r="K15" s="8" t="s">
        <v>4935</v>
      </c>
      <c r="S15"/>
    </row>
    <row r="16" spans="1:22" ht="15" x14ac:dyDescent="0.25">
      <c r="A16" s="8" t="s">
        <v>4932</v>
      </c>
      <c r="B16" s="8" t="s">
        <v>14</v>
      </c>
      <c r="C16" s="8" t="s">
        <v>26</v>
      </c>
      <c r="D16" s="32" t="s">
        <v>6984</v>
      </c>
      <c r="E16" s="32" t="s">
        <v>26</v>
      </c>
      <c r="F16" s="10">
        <v>1</v>
      </c>
      <c r="G16" s="8" t="s">
        <v>16</v>
      </c>
      <c r="H16" s="10">
        <v>944.6</v>
      </c>
      <c r="I16" s="10">
        <f t="shared" si="0"/>
        <v>944.6</v>
      </c>
      <c r="J16" s="10">
        <v>19.855557636</v>
      </c>
      <c r="K16" s="8" t="s">
        <v>17</v>
      </c>
      <c r="S16"/>
    </row>
    <row r="17" spans="1:19" ht="15" x14ac:dyDescent="0.25">
      <c r="A17" s="8" t="s">
        <v>4932</v>
      </c>
      <c r="B17" s="8" t="s">
        <v>14</v>
      </c>
      <c r="C17" s="8" t="s">
        <v>27</v>
      </c>
      <c r="D17" s="32" t="s">
        <v>6984</v>
      </c>
      <c r="E17" s="32" t="s">
        <v>27</v>
      </c>
      <c r="F17" s="10">
        <v>1</v>
      </c>
      <c r="G17" s="8" t="s">
        <v>16</v>
      </c>
      <c r="H17" s="10">
        <v>946</v>
      </c>
      <c r="I17" s="10">
        <f t="shared" si="0"/>
        <v>946</v>
      </c>
      <c r="J17" s="10">
        <v>19.886382095999998</v>
      </c>
      <c r="K17" s="8" t="s">
        <v>17</v>
      </c>
      <c r="S17"/>
    </row>
    <row r="18" spans="1:19" ht="15" x14ac:dyDescent="0.25">
      <c r="A18" s="8" t="s">
        <v>4932</v>
      </c>
      <c r="B18" s="8" t="s">
        <v>14</v>
      </c>
      <c r="C18" s="8" t="s">
        <v>29</v>
      </c>
      <c r="D18" s="32" t="s">
        <v>6984</v>
      </c>
      <c r="E18" s="32" t="s">
        <v>29</v>
      </c>
      <c r="F18" s="10">
        <v>1</v>
      </c>
      <c r="G18" s="8" t="s">
        <v>16</v>
      </c>
      <c r="H18" s="10">
        <v>839.4</v>
      </c>
      <c r="I18" s="10">
        <f t="shared" si="0"/>
        <v>839.4</v>
      </c>
      <c r="J18" s="10">
        <v>17.665133176000001</v>
      </c>
      <c r="K18" s="8" t="s">
        <v>17</v>
      </c>
      <c r="S18"/>
    </row>
    <row r="19" spans="1:19" ht="15" x14ac:dyDescent="0.25">
      <c r="A19" s="8" t="s">
        <v>4932</v>
      </c>
      <c r="B19" s="8" t="s">
        <v>14</v>
      </c>
      <c r="C19" s="8" t="s">
        <v>30</v>
      </c>
      <c r="D19" s="32" t="s">
        <v>6984</v>
      </c>
      <c r="E19" s="32" t="s">
        <v>30</v>
      </c>
      <c r="F19" s="10">
        <v>1</v>
      </c>
      <c r="G19" s="8" t="s">
        <v>16</v>
      </c>
      <c r="H19" s="10">
        <v>840.5</v>
      </c>
      <c r="I19" s="10">
        <f t="shared" si="0"/>
        <v>840.5</v>
      </c>
      <c r="J19" s="10">
        <v>17.691252766000002</v>
      </c>
      <c r="K19" s="8" t="s">
        <v>17</v>
      </c>
      <c r="S19"/>
    </row>
    <row r="20" spans="1:19" ht="15" x14ac:dyDescent="0.25">
      <c r="A20" s="8" t="s">
        <v>4932</v>
      </c>
      <c r="B20" s="8" t="s">
        <v>14</v>
      </c>
      <c r="C20" s="8" t="s">
        <v>4948</v>
      </c>
      <c r="D20" s="32" t="s">
        <v>6984</v>
      </c>
      <c r="E20" s="32" t="s">
        <v>4948</v>
      </c>
      <c r="F20" s="10">
        <v>4</v>
      </c>
      <c r="G20" s="8" t="s">
        <v>4903</v>
      </c>
      <c r="H20" s="10">
        <v>222.9</v>
      </c>
      <c r="I20" s="10">
        <f t="shared" si="0"/>
        <v>891.6</v>
      </c>
      <c r="J20" s="10">
        <v>22.883952000000001</v>
      </c>
      <c r="K20" s="8" t="s">
        <v>4949</v>
      </c>
      <c r="S20"/>
    </row>
    <row r="21" spans="1:19" ht="15" x14ac:dyDescent="0.25">
      <c r="A21" s="8" t="s">
        <v>4932</v>
      </c>
      <c r="B21" s="8" t="s">
        <v>14</v>
      </c>
      <c r="C21" s="8" t="s">
        <v>4950</v>
      </c>
      <c r="D21" s="32" t="s">
        <v>6984</v>
      </c>
      <c r="E21" s="32" t="s">
        <v>4950</v>
      </c>
      <c r="F21" s="10">
        <v>2</v>
      </c>
      <c r="G21" s="8" t="s">
        <v>4903</v>
      </c>
      <c r="H21" s="10">
        <v>156.9</v>
      </c>
      <c r="I21" s="10">
        <f t="shared" si="0"/>
        <v>313.8</v>
      </c>
      <c r="J21" s="10">
        <v>8.0538640000000008</v>
      </c>
      <c r="K21" s="8" t="s">
        <v>4949</v>
      </c>
      <c r="S21"/>
    </row>
    <row r="22" spans="1:19" ht="15" x14ac:dyDescent="0.25">
      <c r="A22" s="8" t="s">
        <v>4932</v>
      </c>
      <c r="B22" s="8" t="s">
        <v>14</v>
      </c>
      <c r="C22" s="8" t="s">
        <v>4951</v>
      </c>
      <c r="D22" s="32" t="s">
        <v>6984</v>
      </c>
      <c r="E22" s="32" t="s">
        <v>4951</v>
      </c>
      <c r="F22" s="10">
        <v>4</v>
      </c>
      <c r="G22" s="8" t="s">
        <v>4903</v>
      </c>
      <c r="H22" s="10">
        <v>209.6</v>
      </c>
      <c r="I22" s="10">
        <f t="shared" si="0"/>
        <v>838.4</v>
      </c>
      <c r="J22" s="10">
        <v>21.516404000000001</v>
      </c>
      <c r="K22" s="8" t="s">
        <v>4949</v>
      </c>
      <c r="S22"/>
    </row>
    <row r="23" spans="1:19" ht="15" x14ac:dyDescent="0.25">
      <c r="A23" s="8" t="s">
        <v>4932</v>
      </c>
      <c r="B23" s="8" t="s">
        <v>14</v>
      </c>
      <c r="C23" s="8" t="s">
        <v>4952</v>
      </c>
      <c r="D23" s="32" t="s">
        <v>6984</v>
      </c>
      <c r="E23" s="32" t="s">
        <v>4952</v>
      </c>
      <c r="F23" s="10">
        <v>2</v>
      </c>
      <c r="G23" s="8" t="s">
        <v>4903</v>
      </c>
      <c r="H23" s="10">
        <v>143.30000000000001</v>
      </c>
      <c r="I23" s="10">
        <f t="shared" si="0"/>
        <v>286.60000000000002</v>
      </c>
      <c r="J23" s="10">
        <v>7.3558940000000002</v>
      </c>
      <c r="K23" s="8" t="s">
        <v>4949</v>
      </c>
      <c r="S23"/>
    </row>
    <row r="24" spans="1:19" ht="15" x14ac:dyDescent="0.25">
      <c r="A24" s="8" t="s">
        <v>4932</v>
      </c>
      <c r="B24" s="8" t="s">
        <v>14</v>
      </c>
      <c r="C24" s="8" t="s">
        <v>4953</v>
      </c>
      <c r="D24" s="32" t="s">
        <v>6984</v>
      </c>
      <c r="E24" s="32" t="s">
        <v>4953</v>
      </c>
      <c r="F24" s="10">
        <v>2</v>
      </c>
      <c r="G24" s="8" t="s">
        <v>4903</v>
      </c>
      <c r="H24" s="10">
        <v>144.5</v>
      </c>
      <c r="I24" s="10">
        <f t="shared" si="0"/>
        <v>289</v>
      </c>
      <c r="J24" s="10">
        <v>7.4174100000000003</v>
      </c>
      <c r="K24" s="8" t="s">
        <v>4949</v>
      </c>
      <c r="S24"/>
    </row>
    <row r="25" spans="1:19" ht="15" x14ac:dyDescent="0.25">
      <c r="A25" s="8" t="s">
        <v>4932</v>
      </c>
      <c r="B25" s="8" t="s">
        <v>14</v>
      </c>
      <c r="C25" s="8" t="s">
        <v>4954</v>
      </c>
      <c r="D25" s="32" t="s">
        <v>6984</v>
      </c>
      <c r="E25" s="32" t="s">
        <v>4954</v>
      </c>
      <c r="F25" s="10">
        <v>2</v>
      </c>
      <c r="G25" s="8" t="s">
        <v>4903</v>
      </c>
      <c r="H25" s="10">
        <v>132.19999999999999</v>
      </c>
      <c r="I25" s="10">
        <f t="shared" si="0"/>
        <v>264.39999999999998</v>
      </c>
      <c r="J25" s="10">
        <v>6.7833220000000001</v>
      </c>
      <c r="K25" s="8" t="s">
        <v>4949</v>
      </c>
      <c r="S25"/>
    </row>
    <row r="26" spans="1:19" ht="15" x14ac:dyDescent="0.25">
      <c r="A26" s="8" t="s">
        <v>4932</v>
      </c>
      <c r="B26" s="8" t="s">
        <v>14</v>
      </c>
      <c r="C26" s="8" t="s">
        <v>4955</v>
      </c>
      <c r="D26" s="32" t="s">
        <v>6984</v>
      </c>
      <c r="E26" s="32" t="s">
        <v>4955</v>
      </c>
      <c r="F26" s="10">
        <v>2</v>
      </c>
      <c r="G26" s="8" t="s">
        <v>4903</v>
      </c>
      <c r="H26" s="10">
        <v>88.4</v>
      </c>
      <c r="I26" s="10">
        <f t="shared" si="0"/>
        <v>176.8</v>
      </c>
      <c r="J26" s="10">
        <v>5.0667960000000001</v>
      </c>
      <c r="K26" s="8" t="s">
        <v>4956</v>
      </c>
      <c r="S26"/>
    </row>
    <row r="27" spans="1:19" ht="15" x14ac:dyDescent="0.25">
      <c r="A27" s="8" t="s">
        <v>4932</v>
      </c>
      <c r="B27" s="8" t="s">
        <v>14</v>
      </c>
      <c r="C27" s="8" t="s">
        <v>21</v>
      </c>
      <c r="D27" s="32" t="s">
        <v>6984</v>
      </c>
      <c r="E27" s="32" t="s">
        <v>21</v>
      </c>
      <c r="F27" s="10">
        <v>56</v>
      </c>
      <c r="G27" s="8" t="s">
        <v>22</v>
      </c>
      <c r="H27" s="10">
        <v>4.3339285714285714</v>
      </c>
      <c r="I27" s="10">
        <f t="shared" si="0"/>
        <v>242.7</v>
      </c>
      <c r="J27" s="10">
        <v>7.851648</v>
      </c>
      <c r="K27" s="8" t="s">
        <v>23</v>
      </c>
      <c r="S27"/>
    </row>
    <row r="28" spans="1:19" ht="15" x14ac:dyDescent="0.25">
      <c r="A28" s="8" t="s">
        <v>4932</v>
      </c>
      <c r="B28" s="8" t="s">
        <v>14</v>
      </c>
      <c r="C28" s="8" t="s">
        <v>4957</v>
      </c>
      <c r="D28" s="32" t="s">
        <v>6984</v>
      </c>
      <c r="E28" s="32" t="s">
        <v>4957</v>
      </c>
      <c r="F28" s="10">
        <v>48</v>
      </c>
      <c r="G28" s="8" t="s">
        <v>22</v>
      </c>
      <c r="H28" s="10">
        <v>3.6979166666666665</v>
      </c>
      <c r="I28" s="10">
        <f t="shared" si="0"/>
        <v>177.5</v>
      </c>
      <c r="J28" s="10">
        <v>5.74194432</v>
      </c>
      <c r="K28" s="8" t="s">
        <v>23</v>
      </c>
      <c r="S28"/>
    </row>
    <row r="29" spans="1:19" ht="15" x14ac:dyDescent="0.25">
      <c r="A29" s="8" t="s">
        <v>4932</v>
      </c>
      <c r="B29" s="8" t="s">
        <v>14</v>
      </c>
      <c r="C29" s="8" t="s">
        <v>4958</v>
      </c>
      <c r="D29" s="32" t="s">
        <v>6984</v>
      </c>
      <c r="E29" s="32" t="s">
        <v>4958</v>
      </c>
      <c r="F29" s="10">
        <v>4</v>
      </c>
      <c r="G29" s="8" t="s">
        <v>22</v>
      </c>
      <c r="H29" s="10">
        <v>3</v>
      </c>
      <c r="I29" s="10">
        <f t="shared" si="0"/>
        <v>12</v>
      </c>
      <c r="J29" s="10">
        <v>0.38892480000000001</v>
      </c>
      <c r="K29" s="8" t="s">
        <v>23</v>
      </c>
      <c r="S29"/>
    </row>
    <row r="30" spans="1:19" ht="15" x14ac:dyDescent="0.25">
      <c r="A30" s="8" t="s">
        <v>4932</v>
      </c>
      <c r="B30" s="8" t="s">
        <v>14</v>
      </c>
      <c r="C30" s="8" t="s">
        <v>4959</v>
      </c>
      <c r="D30" s="32" t="s">
        <v>6984</v>
      </c>
      <c r="E30" s="32" t="s">
        <v>4959</v>
      </c>
      <c r="F30" s="10">
        <v>104</v>
      </c>
      <c r="G30" s="8" t="s">
        <v>22</v>
      </c>
      <c r="H30" s="10">
        <v>1.2749999999999999</v>
      </c>
      <c r="I30" s="10">
        <f t="shared" si="0"/>
        <v>132.6</v>
      </c>
      <c r="J30" s="10">
        <v>4.2899583999999997</v>
      </c>
      <c r="K30" s="8" t="s">
        <v>23</v>
      </c>
      <c r="S30"/>
    </row>
    <row r="31" spans="1:19" ht="15" x14ac:dyDescent="0.25">
      <c r="A31" s="8" t="s">
        <v>4932</v>
      </c>
      <c r="B31" s="8" t="s">
        <v>14</v>
      </c>
      <c r="C31" s="8" t="s">
        <v>4960</v>
      </c>
      <c r="D31" s="32" t="s">
        <v>6984</v>
      </c>
      <c r="E31" s="32" t="s">
        <v>4960</v>
      </c>
      <c r="F31" s="10">
        <v>52</v>
      </c>
      <c r="G31" s="8" t="s">
        <v>22</v>
      </c>
      <c r="H31" s="10">
        <v>2.0076923076923077</v>
      </c>
      <c r="I31" s="10">
        <f t="shared" si="0"/>
        <v>104.4</v>
      </c>
      <c r="J31" s="10">
        <v>4.2751799999999998</v>
      </c>
      <c r="K31" s="8" t="s">
        <v>4798</v>
      </c>
      <c r="S31"/>
    </row>
    <row r="32" spans="1:19" ht="15" x14ac:dyDescent="0.25">
      <c r="A32" s="8" t="s">
        <v>4932</v>
      </c>
      <c r="B32" s="8" t="s">
        <v>14</v>
      </c>
      <c r="C32" s="8" t="s">
        <v>24</v>
      </c>
      <c r="D32" s="32" t="s">
        <v>6984</v>
      </c>
      <c r="E32" s="32" t="s">
        <v>24</v>
      </c>
      <c r="F32" s="10">
        <v>56</v>
      </c>
      <c r="G32" s="8" t="s">
        <v>22</v>
      </c>
      <c r="H32" s="10">
        <v>5.8732142857142851</v>
      </c>
      <c r="I32" s="10">
        <f t="shared" si="0"/>
        <v>328.9</v>
      </c>
      <c r="J32" s="10">
        <v>8.9875799999999995</v>
      </c>
      <c r="K32" s="8" t="s">
        <v>25</v>
      </c>
      <c r="S32"/>
    </row>
    <row r="33" spans="1:19" ht="15" x14ac:dyDescent="0.25">
      <c r="A33" s="8" t="s">
        <v>4932</v>
      </c>
      <c r="B33" s="8" t="s">
        <v>14</v>
      </c>
      <c r="C33" s="8" t="s">
        <v>4961</v>
      </c>
      <c r="D33" s="32" t="s">
        <v>6984</v>
      </c>
      <c r="E33" s="32" t="s">
        <v>4961</v>
      </c>
      <c r="F33" s="10">
        <v>7</v>
      </c>
      <c r="G33" s="8" t="s">
        <v>16</v>
      </c>
      <c r="H33" s="10">
        <v>825.34285714285704</v>
      </c>
      <c r="I33" s="10">
        <f t="shared" si="0"/>
        <v>5777.4</v>
      </c>
      <c r="J33" s="10">
        <v>146.492941</v>
      </c>
      <c r="K33" s="8" t="s">
        <v>19</v>
      </c>
      <c r="S33"/>
    </row>
    <row r="34" spans="1:19" ht="15" x14ac:dyDescent="0.25">
      <c r="A34" s="8" t="s">
        <v>4932</v>
      </c>
      <c r="B34" s="8" t="s">
        <v>14</v>
      </c>
      <c r="C34" s="8" t="s">
        <v>15</v>
      </c>
      <c r="D34" s="32" t="s">
        <v>6984</v>
      </c>
      <c r="E34" s="32" t="s">
        <v>15</v>
      </c>
      <c r="F34" s="10">
        <v>1</v>
      </c>
      <c r="G34" s="8" t="s">
        <v>16</v>
      </c>
      <c r="H34" s="10">
        <v>865.6</v>
      </c>
      <c r="I34" s="10">
        <f t="shared" si="0"/>
        <v>865.6</v>
      </c>
      <c r="J34" s="10">
        <v>17.956143636</v>
      </c>
      <c r="K34" s="8" t="s">
        <v>17</v>
      </c>
      <c r="S34"/>
    </row>
    <row r="35" spans="1:19" ht="15" x14ac:dyDescent="0.25">
      <c r="A35" s="8" t="s">
        <v>4932</v>
      </c>
      <c r="B35" s="8" t="s">
        <v>14</v>
      </c>
      <c r="C35" s="8" t="s">
        <v>28</v>
      </c>
      <c r="D35" s="32" t="s">
        <v>6984</v>
      </c>
      <c r="E35" s="32" t="s">
        <v>28</v>
      </c>
      <c r="F35" s="10">
        <v>7</v>
      </c>
      <c r="G35" s="8" t="s">
        <v>16</v>
      </c>
      <c r="H35" s="10">
        <v>764.41428571428571</v>
      </c>
      <c r="I35" s="10">
        <f t="shared" si="0"/>
        <v>5350.9</v>
      </c>
      <c r="J35" s="10">
        <v>111.07700545199999</v>
      </c>
      <c r="K35" s="8" t="s">
        <v>17</v>
      </c>
      <c r="S35"/>
    </row>
    <row r="36" spans="1:19" ht="15" x14ac:dyDescent="0.25">
      <c r="A36" s="8" t="s">
        <v>4932</v>
      </c>
      <c r="B36" s="8" t="s">
        <v>14</v>
      </c>
      <c r="C36" s="8" t="s">
        <v>31</v>
      </c>
      <c r="D36" s="32" t="s">
        <v>6984</v>
      </c>
      <c r="E36" s="32" t="s">
        <v>31</v>
      </c>
      <c r="F36" s="10">
        <v>1</v>
      </c>
      <c r="G36" s="8" t="s">
        <v>16</v>
      </c>
      <c r="H36" s="10">
        <v>771.3</v>
      </c>
      <c r="I36" s="10">
        <f t="shared" si="0"/>
        <v>771.3</v>
      </c>
      <c r="J36" s="10">
        <v>16.143195336000002</v>
      </c>
      <c r="K36" s="8" t="s">
        <v>17</v>
      </c>
      <c r="S36"/>
    </row>
    <row r="37" spans="1:19" ht="15" x14ac:dyDescent="0.25">
      <c r="A37" s="8" t="s">
        <v>4932</v>
      </c>
      <c r="B37" s="8" t="s">
        <v>14</v>
      </c>
      <c r="C37" s="8" t="s">
        <v>4962</v>
      </c>
      <c r="D37" s="32" t="s">
        <v>6984</v>
      </c>
      <c r="E37" s="32" t="s">
        <v>4962</v>
      </c>
      <c r="F37" s="10">
        <v>1</v>
      </c>
      <c r="G37" s="8" t="s">
        <v>16</v>
      </c>
      <c r="H37" s="10">
        <v>825.3</v>
      </c>
      <c r="I37" s="10">
        <f t="shared" si="0"/>
        <v>825.3</v>
      </c>
      <c r="J37" s="10">
        <v>20.927562999999999</v>
      </c>
      <c r="K37" s="8" t="s">
        <v>19</v>
      </c>
      <c r="S37"/>
    </row>
    <row r="38" spans="1:19" ht="15" x14ac:dyDescent="0.25">
      <c r="A38" s="8" t="s">
        <v>4932</v>
      </c>
      <c r="B38" s="8" t="s">
        <v>14</v>
      </c>
      <c r="C38" s="8" t="s">
        <v>18</v>
      </c>
      <c r="D38" s="32" t="s">
        <v>6984</v>
      </c>
      <c r="E38" s="32" t="s">
        <v>18</v>
      </c>
      <c r="F38" s="10">
        <v>14</v>
      </c>
      <c r="G38" s="8" t="s">
        <v>16</v>
      </c>
      <c r="H38" s="10">
        <v>846.1</v>
      </c>
      <c r="I38" s="10">
        <f t="shared" si="0"/>
        <v>11845.4</v>
      </c>
      <c r="J38" s="10">
        <v>301.25076799999999</v>
      </c>
      <c r="K38" s="8" t="s">
        <v>19</v>
      </c>
      <c r="S38"/>
    </row>
    <row r="39" spans="1:19" ht="15" x14ac:dyDescent="0.25">
      <c r="A39" s="8" t="s">
        <v>4963</v>
      </c>
      <c r="B39" s="8" t="s">
        <v>4869</v>
      </c>
      <c r="C39" s="8" t="s">
        <v>4964</v>
      </c>
      <c r="D39" s="32" t="s">
        <v>6984</v>
      </c>
      <c r="E39" s="32" t="s">
        <v>4964</v>
      </c>
      <c r="F39" s="10">
        <v>1</v>
      </c>
      <c r="G39" s="8" t="s">
        <v>4934</v>
      </c>
      <c r="H39" s="10">
        <v>3381.8</v>
      </c>
      <c r="I39" s="10">
        <f t="shared" si="0"/>
        <v>3381.8</v>
      </c>
      <c r="J39" s="10">
        <v>41.027426965559997</v>
      </c>
      <c r="K39" s="8" t="s">
        <v>4965</v>
      </c>
      <c r="S39"/>
    </row>
    <row r="40" spans="1:19" ht="15" x14ac:dyDescent="0.25">
      <c r="A40" s="8" t="s">
        <v>4963</v>
      </c>
      <c r="B40" s="8" t="s">
        <v>4869</v>
      </c>
      <c r="C40" s="8" t="s">
        <v>4966</v>
      </c>
      <c r="D40" s="32" t="s">
        <v>6984</v>
      </c>
      <c r="E40" s="32" t="s">
        <v>4966</v>
      </c>
      <c r="F40" s="10">
        <v>1</v>
      </c>
      <c r="G40" s="8" t="s">
        <v>4934</v>
      </c>
      <c r="H40" s="10">
        <v>3407.8</v>
      </c>
      <c r="I40" s="10">
        <f t="shared" si="0"/>
        <v>3407.8</v>
      </c>
      <c r="J40" s="10">
        <v>41.452386453560003</v>
      </c>
      <c r="K40" s="8" t="s">
        <v>4965</v>
      </c>
      <c r="S40"/>
    </row>
    <row r="41" spans="1:19" ht="15" x14ac:dyDescent="0.25">
      <c r="A41" s="8" t="s">
        <v>4963</v>
      </c>
      <c r="B41" s="8" t="s">
        <v>4869</v>
      </c>
      <c r="C41" s="8" t="s">
        <v>4967</v>
      </c>
      <c r="D41" s="32" t="s">
        <v>6984</v>
      </c>
      <c r="E41" s="32" t="s">
        <v>4967</v>
      </c>
      <c r="F41" s="10">
        <v>1</v>
      </c>
      <c r="G41" s="8" t="s">
        <v>4934</v>
      </c>
      <c r="H41" s="10">
        <v>3335.7</v>
      </c>
      <c r="I41" s="10">
        <f t="shared" si="0"/>
        <v>3335.7</v>
      </c>
      <c r="J41" s="10">
        <v>39.680437835600003</v>
      </c>
      <c r="K41" s="8" t="s">
        <v>4965</v>
      </c>
      <c r="S41"/>
    </row>
    <row r="42" spans="1:19" ht="15" x14ac:dyDescent="0.25">
      <c r="A42" s="8" t="s">
        <v>4963</v>
      </c>
      <c r="B42" s="8" t="s">
        <v>4869</v>
      </c>
      <c r="C42" s="8" t="s">
        <v>4968</v>
      </c>
      <c r="D42" s="32" t="s">
        <v>6984</v>
      </c>
      <c r="E42" s="32" t="s">
        <v>4968</v>
      </c>
      <c r="F42" s="10">
        <v>1</v>
      </c>
      <c r="G42" s="8" t="s">
        <v>4934</v>
      </c>
      <c r="H42" s="10">
        <v>3335.7</v>
      </c>
      <c r="I42" s="10">
        <f t="shared" si="0"/>
        <v>3335.7</v>
      </c>
      <c r="J42" s="10">
        <v>39.682879930200002</v>
      </c>
      <c r="K42" s="8" t="s">
        <v>4965</v>
      </c>
      <c r="S42"/>
    </row>
    <row r="43" spans="1:19" ht="15" x14ac:dyDescent="0.25">
      <c r="A43" s="8" t="s">
        <v>4963</v>
      </c>
      <c r="B43" s="8" t="s">
        <v>4869</v>
      </c>
      <c r="C43" s="8" t="s">
        <v>4969</v>
      </c>
      <c r="D43" s="32" t="s">
        <v>6984</v>
      </c>
      <c r="E43" s="32" t="s">
        <v>4969</v>
      </c>
      <c r="F43" s="10">
        <v>1</v>
      </c>
      <c r="G43" s="8" t="s">
        <v>4934</v>
      </c>
      <c r="H43" s="10">
        <v>2082.3000000000002</v>
      </c>
      <c r="I43" s="10">
        <f t="shared" si="0"/>
        <v>2082.3000000000002</v>
      </c>
      <c r="J43" s="10">
        <v>28.683512799999999</v>
      </c>
      <c r="K43" s="8" t="s">
        <v>4935</v>
      </c>
      <c r="S43"/>
    </row>
    <row r="44" spans="1:19" ht="15" x14ac:dyDescent="0.25">
      <c r="A44" s="8" t="s">
        <v>4963</v>
      </c>
      <c r="B44" s="8" t="s">
        <v>4869</v>
      </c>
      <c r="C44" s="8" t="s">
        <v>4970</v>
      </c>
      <c r="D44" s="32" t="s">
        <v>6984</v>
      </c>
      <c r="E44" s="32" t="s">
        <v>4970</v>
      </c>
      <c r="F44" s="10">
        <v>1</v>
      </c>
      <c r="G44" s="8" t="s">
        <v>4934</v>
      </c>
      <c r="H44" s="10">
        <v>3316.2</v>
      </c>
      <c r="I44" s="10">
        <f t="shared" si="0"/>
        <v>3316.2</v>
      </c>
      <c r="J44" s="10">
        <v>39.27678152</v>
      </c>
      <c r="K44" s="8" t="s">
        <v>4965</v>
      </c>
      <c r="S44"/>
    </row>
    <row r="45" spans="1:19" ht="15" x14ac:dyDescent="0.25">
      <c r="A45" s="8" t="s">
        <v>4963</v>
      </c>
      <c r="B45" s="8" t="s">
        <v>4869</v>
      </c>
      <c r="C45" s="8" t="s">
        <v>4971</v>
      </c>
      <c r="D45" s="32" t="s">
        <v>6984</v>
      </c>
      <c r="E45" s="32" t="s">
        <v>4971</v>
      </c>
      <c r="F45" s="10">
        <v>1</v>
      </c>
      <c r="G45" s="8" t="s">
        <v>4934</v>
      </c>
      <c r="H45" s="10">
        <v>3428.4</v>
      </c>
      <c r="I45" s="10">
        <f t="shared" si="0"/>
        <v>3428.4</v>
      </c>
      <c r="J45" s="10">
        <v>41.875189370000001</v>
      </c>
      <c r="K45" s="8" t="s">
        <v>4965</v>
      </c>
      <c r="S45"/>
    </row>
    <row r="46" spans="1:19" ht="15" x14ac:dyDescent="0.25">
      <c r="A46" s="8" t="s">
        <v>4963</v>
      </c>
      <c r="B46" s="8" t="s">
        <v>4869</v>
      </c>
      <c r="C46" s="8" t="s">
        <v>4972</v>
      </c>
      <c r="D46" s="32" t="s">
        <v>6984</v>
      </c>
      <c r="E46" s="32" t="s">
        <v>4972</v>
      </c>
      <c r="F46" s="10">
        <v>1</v>
      </c>
      <c r="G46" s="8" t="s">
        <v>4934</v>
      </c>
      <c r="H46" s="10">
        <v>3493.7</v>
      </c>
      <c r="I46" s="10">
        <f t="shared" si="0"/>
        <v>3493.7</v>
      </c>
      <c r="J46" s="10">
        <v>44.143077829760003</v>
      </c>
      <c r="K46" s="8" t="s">
        <v>4965</v>
      </c>
      <c r="S46"/>
    </row>
    <row r="47" spans="1:19" ht="15" x14ac:dyDescent="0.25">
      <c r="A47" s="8" t="s">
        <v>4963</v>
      </c>
      <c r="B47" s="8" t="s">
        <v>4869</v>
      </c>
      <c r="C47" s="8" t="s">
        <v>4973</v>
      </c>
      <c r="D47" s="32" t="s">
        <v>6984</v>
      </c>
      <c r="E47" s="32" t="s">
        <v>4973</v>
      </c>
      <c r="F47" s="10">
        <v>1</v>
      </c>
      <c r="G47" s="8" t="s">
        <v>4934</v>
      </c>
      <c r="H47" s="10">
        <v>4140.8999999999996</v>
      </c>
      <c r="I47" s="10">
        <f t="shared" si="0"/>
        <v>4140.8999999999996</v>
      </c>
      <c r="J47" s="10">
        <v>48.087730899999997</v>
      </c>
      <c r="K47" s="8" t="s">
        <v>4974</v>
      </c>
      <c r="S47"/>
    </row>
    <row r="48" spans="1:19" ht="15" x14ac:dyDescent="0.25">
      <c r="A48" s="8" t="s">
        <v>4963</v>
      </c>
      <c r="B48" s="8" t="s">
        <v>4869</v>
      </c>
      <c r="C48" s="8" t="s">
        <v>4905</v>
      </c>
      <c r="D48" s="32" t="s">
        <v>6984</v>
      </c>
      <c r="E48" s="32" t="s">
        <v>4905</v>
      </c>
      <c r="F48" s="10">
        <v>7</v>
      </c>
      <c r="G48" s="8" t="s">
        <v>16</v>
      </c>
      <c r="H48" s="10">
        <v>1846.1000000000001</v>
      </c>
      <c r="I48" s="10">
        <f t="shared" si="0"/>
        <v>12922.7</v>
      </c>
      <c r="J48" s="10">
        <v>199.09827000000001</v>
      </c>
      <c r="K48" s="8" t="s">
        <v>4871</v>
      </c>
      <c r="S48"/>
    </row>
    <row r="49" spans="1:19" ht="15" x14ac:dyDescent="0.25">
      <c r="A49" s="8" t="s">
        <v>4963</v>
      </c>
      <c r="B49" s="8" t="s">
        <v>4869</v>
      </c>
      <c r="C49" s="8" t="s">
        <v>4886</v>
      </c>
      <c r="D49" s="32" t="s">
        <v>6984</v>
      </c>
      <c r="E49" s="32" t="s">
        <v>4886</v>
      </c>
      <c r="F49" s="10">
        <v>4</v>
      </c>
      <c r="G49" s="8" t="s">
        <v>16</v>
      </c>
      <c r="H49" s="10">
        <v>301.14999999999998</v>
      </c>
      <c r="I49" s="10">
        <f t="shared" si="0"/>
        <v>1204.5999999999999</v>
      </c>
      <c r="J49" s="10">
        <v>27.503132000000001</v>
      </c>
      <c r="K49" s="8" t="s">
        <v>4887</v>
      </c>
      <c r="S49"/>
    </row>
    <row r="50" spans="1:19" ht="15" x14ac:dyDescent="0.25">
      <c r="A50" s="8" t="s">
        <v>4963</v>
      </c>
      <c r="B50" s="8" t="s">
        <v>4869</v>
      </c>
      <c r="C50" s="8" t="s">
        <v>4915</v>
      </c>
      <c r="D50" s="32" t="s">
        <v>6984</v>
      </c>
      <c r="E50" s="32" t="s">
        <v>4915</v>
      </c>
      <c r="F50" s="10">
        <v>2</v>
      </c>
      <c r="G50" s="8" t="s">
        <v>16</v>
      </c>
      <c r="H50" s="10">
        <v>67.5</v>
      </c>
      <c r="I50" s="10">
        <f t="shared" si="0"/>
        <v>135</v>
      </c>
      <c r="J50" s="10">
        <v>4.3146199999999997</v>
      </c>
      <c r="K50" s="8" t="s">
        <v>4781</v>
      </c>
      <c r="S50"/>
    </row>
    <row r="51" spans="1:19" ht="15" x14ac:dyDescent="0.25">
      <c r="A51" s="8" t="s">
        <v>4963</v>
      </c>
      <c r="B51" s="8" t="s">
        <v>4869</v>
      </c>
      <c r="C51" s="8" t="s">
        <v>4870</v>
      </c>
      <c r="D51" s="32" t="s">
        <v>6984</v>
      </c>
      <c r="E51" s="32" t="s">
        <v>4870</v>
      </c>
      <c r="F51" s="10">
        <v>3</v>
      </c>
      <c r="G51" s="8" t="s">
        <v>16</v>
      </c>
      <c r="H51" s="10">
        <v>1845.8999999999999</v>
      </c>
      <c r="I51" s="10">
        <f t="shared" si="0"/>
        <v>5537.7</v>
      </c>
      <c r="J51" s="10">
        <v>85.327830000000006</v>
      </c>
      <c r="K51" s="8" t="s">
        <v>4871</v>
      </c>
      <c r="S51"/>
    </row>
    <row r="52" spans="1:19" ht="15" x14ac:dyDescent="0.25">
      <c r="A52" s="8" t="s">
        <v>4963</v>
      </c>
      <c r="B52" s="8" t="s">
        <v>4869</v>
      </c>
      <c r="C52" s="8" t="s">
        <v>4888</v>
      </c>
      <c r="D52" s="32" t="s">
        <v>6984</v>
      </c>
      <c r="E52" s="32" t="s">
        <v>4888</v>
      </c>
      <c r="F52" s="10">
        <v>4</v>
      </c>
      <c r="G52" s="8" t="s">
        <v>16</v>
      </c>
      <c r="H52" s="10">
        <v>225.625</v>
      </c>
      <c r="I52" s="10">
        <f t="shared" si="0"/>
        <v>902.5</v>
      </c>
      <c r="J52" s="10">
        <v>20.610492000000001</v>
      </c>
      <c r="K52" s="8" t="s">
        <v>4887</v>
      </c>
      <c r="S52"/>
    </row>
    <row r="53" spans="1:19" ht="15" x14ac:dyDescent="0.25">
      <c r="A53" s="8" t="s">
        <v>4963</v>
      </c>
      <c r="B53" s="8" t="s">
        <v>4869</v>
      </c>
      <c r="C53" s="8" t="s">
        <v>4872</v>
      </c>
      <c r="D53" s="32" t="s">
        <v>6984</v>
      </c>
      <c r="E53" s="32" t="s">
        <v>4872</v>
      </c>
      <c r="F53" s="10">
        <v>4</v>
      </c>
      <c r="G53" s="8" t="s">
        <v>16</v>
      </c>
      <c r="H53" s="10">
        <v>59.7</v>
      </c>
      <c r="I53" s="10">
        <f t="shared" si="0"/>
        <v>238.8</v>
      </c>
      <c r="J53" s="10">
        <v>7.63164</v>
      </c>
      <c r="K53" s="8" t="s">
        <v>4781</v>
      </c>
      <c r="S53"/>
    </row>
    <row r="54" spans="1:19" ht="15" x14ac:dyDescent="0.25">
      <c r="A54" s="8" t="s">
        <v>4963</v>
      </c>
      <c r="B54" s="8" t="s">
        <v>4869</v>
      </c>
      <c r="C54" s="8" t="s">
        <v>4889</v>
      </c>
      <c r="D54" s="32" t="s">
        <v>6984</v>
      </c>
      <c r="E54" s="32" t="s">
        <v>4889</v>
      </c>
      <c r="F54" s="10">
        <v>4</v>
      </c>
      <c r="G54" s="8" t="s">
        <v>16</v>
      </c>
      <c r="H54" s="10">
        <v>291.25</v>
      </c>
      <c r="I54" s="10">
        <f t="shared" si="0"/>
        <v>1165</v>
      </c>
      <c r="J54" s="10">
        <v>26.596599999999999</v>
      </c>
      <c r="K54" s="8" t="s">
        <v>4887</v>
      </c>
      <c r="S54"/>
    </row>
    <row r="55" spans="1:19" ht="15" x14ac:dyDescent="0.25">
      <c r="A55" s="8" t="s">
        <v>4963</v>
      </c>
      <c r="B55" s="8" t="s">
        <v>4869</v>
      </c>
      <c r="C55" s="8" t="s">
        <v>4923</v>
      </c>
      <c r="D55" s="32" t="s">
        <v>6984</v>
      </c>
      <c r="E55" s="32" t="s">
        <v>4923</v>
      </c>
      <c r="F55" s="10">
        <v>3</v>
      </c>
      <c r="G55" s="8" t="s">
        <v>16</v>
      </c>
      <c r="H55" s="10">
        <v>131.79999999999998</v>
      </c>
      <c r="I55" s="10">
        <f t="shared" si="0"/>
        <v>395.4</v>
      </c>
      <c r="J55" s="10">
        <v>11.064669</v>
      </c>
      <c r="K55" s="8" t="s">
        <v>4852</v>
      </c>
      <c r="S55"/>
    </row>
    <row r="56" spans="1:19" ht="15" x14ac:dyDescent="0.25">
      <c r="A56" s="8" t="s">
        <v>4963</v>
      </c>
      <c r="B56" s="8" t="s">
        <v>4869</v>
      </c>
      <c r="C56" s="8" t="s">
        <v>4873</v>
      </c>
      <c r="D56" s="32" t="s">
        <v>6984</v>
      </c>
      <c r="E56" s="32" t="s">
        <v>4873</v>
      </c>
      <c r="F56" s="10">
        <v>1</v>
      </c>
      <c r="G56" s="8" t="s">
        <v>16</v>
      </c>
      <c r="H56" s="10">
        <v>86.4</v>
      </c>
      <c r="I56" s="10">
        <f t="shared" si="0"/>
        <v>86.4</v>
      </c>
      <c r="J56" s="10">
        <v>2.7608579999999998</v>
      </c>
      <c r="K56" s="8" t="s">
        <v>4781</v>
      </c>
      <c r="S56"/>
    </row>
    <row r="57" spans="1:19" ht="15" x14ac:dyDescent="0.25">
      <c r="A57" s="8" t="s">
        <v>4963</v>
      </c>
      <c r="B57" s="8" t="s">
        <v>4869</v>
      </c>
      <c r="C57" s="8" t="s">
        <v>4975</v>
      </c>
      <c r="D57" s="32" t="s">
        <v>6984</v>
      </c>
      <c r="E57" s="32" t="s">
        <v>4975</v>
      </c>
      <c r="F57" s="10">
        <v>1</v>
      </c>
      <c r="G57" s="8" t="s">
        <v>16</v>
      </c>
      <c r="H57" s="10">
        <v>2518.8000000000002</v>
      </c>
      <c r="I57" s="10">
        <f t="shared" si="0"/>
        <v>2518.8000000000002</v>
      </c>
      <c r="J57" s="10">
        <v>30.66190781832</v>
      </c>
      <c r="K57" s="8" t="s">
        <v>4976</v>
      </c>
      <c r="S57"/>
    </row>
    <row r="58" spans="1:19" ht="15" x14ac:dyDescent="0.25">
      <c r="A58" s="8" t="s">
        <v>4963</v>
      </c>
      <c r="B58" s="8" t="s">
        <v>4869</v>
      </c>
      <c r="C58" s="8" t="s">
        <v>4977</v>
      </c>
      <c r="D58" s="32" t="s">
        <v>6984</v>
      </c>
      <c r="E58" s="32" t="s">
        <v>4977</v>
      </c>
      <c r="F58" s="10">
        <v>2</v>
      </c>
      <c r="G58" s="8" t="s">
        <v>16</v>
      </c>
      <c r="H58" s="10">
        <v>2473.4499999999998</v>
      </c>
      <c r="I58" s="10">
        <f t="shared" si="0"/>
        <v>4946.8999999999996</v>
      </c>
      <c r="J58" s="10">
        <v>58.228859376000003</v>
      </c>
      <c r="K58" s="8" t="s">
        <v>4976</v>
      </c>
      <c r="S58"/>
    </row>
    <row r="59" spans="1:19" ht="15" x14ac:dyDescent="0.25">
      <c r="A59" s="8" t="s">
        <v>4963</v>
      </c>
      <c r="B59" s="8" t="s">
        <v>4869</v>
      </c>
      <c r="C59" s="8" t="s">
        <v>4978</v>
      </c>
      <c r="D59" s="32" t="s">
        <v>6984</v>
      </c>
      <c r="E59" s="32" t="s">
        <v>4978</v>
      </c>
      <c r="F59" s="10">
        <v>1</v>
      </c>
      <c r="G59" s="8" t="s">
        <v>16</v>
      </c>
      <c r="H59" s="10">
        <v>2487.8000000000002</v>
      </c>
      <c r="I59" s="10">
        <f t="shared" si="0"/>
        <v>2487.8000000000002</v>
      </c>
      <c r="J59" s="10">
        <v>29.505811284</v>
      </c>
      <c r="K59" s="8" t="s">
        <v>4976</v>
      </c>
      <c r="S59"/>
    </row>
    <row r="60" spans="1:19" ht="15" x14ac:dyDescent="0.25">
      <c r="A60" s="8" t="s">
        <v>4963</v>
      </c>
      <c r="B60" s="8" t="s">
        <v>4869</v>
      </c>
      <c r="C60" s="8" t="s">
        <v>4979</v>
      </c>
      <c r="D60" s="32" t="s">
        <v>6984</v>
      </c>
      <c r="E60" s="32" t="s">
        <v>4979</v>
      </c>
      <c r="F60" s="10">
        <v>1</v>
      </c>
      <c r="G60" s="8" t="s">
        <v>16</v>
      </c>
      <c r="H60" s="10">
        <v>2497.3000000000002</v>
      </c>
      <c r="I60" s="10">
        <f t="shared" si="0"/>
        <v>2497.3000000000002</v>
      </c>
      <c r="J60" s="10">
        <v>29.894696333999999</v>
      </c>
      <c r="K60" s="8" t="s">
        <v>4976</v>
      </c>
      <c r="S60"/>
    </row>
    <row r="61" spans="1:19" ht="15" x14ac:dyDescent="0.25">
      <c r="A61" s="8" t="s">
        <v>4963</v>
      </c>
      <c r="B61" s="8" t="s">
        <v>4869</v>
      </c>
      <c r="C61" s="8" t="s">
        <v>4908</v>
      </c>
      <c r="D61" s="32" t="s">
        <v>6984</v>
      </c>
      <c r="E61" s="32" t="s">
        <v>4908</v>
      </c>
      <c r="F61" s="10">
        <v>1</v>
      </c>
      <c r="G61" s="8" t="s">
        <v>16</v>
      </c>
      <c r="H61" s="10">
        <v>1861</v>
      </c>
      <c r="I61" s="10">
        <f t="shared" si="0"/>
        <v>1861</v>
      </c>
      <c r="J61" s="10">
        <v>28.850951832</v>
      </c>
      <c r="K61" s="8" t="s">
        <v>4871</v>
      </c>
      <c r="S61"/>
    </row>
    <row r="62" spans="1:19" ht="15" x14ac:dyDescent="0.25">
      <c r="A62" s="8" t="s">
        <v>4963</v>
      </c>
      <c r="B62" s="8" t="s">
        <v>4869</v>
      </c>
      <c r="C62" s="8" t="s">
        <v>4909</v>
      </c>
      <c r="D62" s="32" t="s">
        <v>6984</v>
      </c>
      <c r="E62" s="32" t="s">
        <v>4909</v>
      </c>
      <c r="F62" s="10">
        <v>1</v>
      </c>
      <c r="G62" s="8" t="s">
        <v>16</v>
      </c>
      <c r="H62" s="10">
        <v>2769.8</v>
      </c>
      <c r="I62" s="10">
        <f t="shared" si="0"/>
        <v>2769.8</v>
      </c>
      <c r="J62" s="10">
        <v>28.286287345000002</v>
      </c>
      <c r="K62" s="8" t="s">
        <v>4875</v>
      </c>
      <c r="S62"/>
    </row>
    <row r="63" spans="1:19" ht="15" x14ac:dyDescent="0.25">
      <c r="A63" s="8" t="s">
        <v>4963</v>
      </c>
      <c r="B63" s="8" t="s">
        <v>4869</v>
      </c>
      <c r="C63" s="8" t="s">
        <v>4906</v>
      </c>
      <c r="D63" s="32" t="s">
        <v>6984</v>
      </c>
      <c r="E63" s="32" t="s">
        <v>4906</v>
      </c>
      <c r="F63" s="10">
        <v>3</v>
      </c>
      <c r="G63" s="8" t="s">
        <v>16</v>
      </c>
      <c r="H63" s="10">
        <v>2743.2666666666664</v>
      </c>
      <c r="I63" s="10">
        <f t="shared" si="0"/>
        <v>8229.7999999999993</v>
      </c>
      <c r="J63" s="10">
        <v>82.684662494999998</v>
      </c>
      <c r="K63" s="8" t="s">
        <v>4875</v>
      </c>
      <c r="S63"/>
    </row>
    <row r="64" spans="1:19" ht="15" x14ac:dyDescent="0.25">
      <c r="A64" s="8" t="s">
        <v>4963</v>
      </c>
      <c r="B64" s="8" t="s">
        <v>4869</v>
      </c>
      <c r="C64" s="8" t="s">
        <v>4874</v>
      </c>
      <c r="D64" s="32" t="s">
        <v>6984</v>
      </c>
      <c r="E64" s="32" t="s">
        <v>4874</v>
      </c>
      <c r="F64" s="10">
        <v>1</v>
      </c>
      <c r="G64" s="8" t="s">
        <v>16</v>
      </c>
      <c r="H64" s="10">
        <v>3113.2</v>
      </c>
      <c r="I64" s="10">
        <f t="shared" si="0"/>
        <v>3113.2</v>
      </c>
      <c r="J64" s="10">
        <v>31.4921471</v>
      </c>
      <c r="K64" s="8" t="s">
        <v>4875</v>
      </c>
      <c r="S64"/>
    </row>
    <row r="65" spans="1:19" ht="15" x14ac:dyDescent="0.25">
      <c r="A65" s="8" t="s">
        <v>4963</v>
      </c>
      <c r="B65" s="8" t="s">
        <v>4869</v>
      </c>
      <c r="C65" s="8" t="s">
        <v>4890</v>
      </c>
      <c r="D65" s="32" t="s">
        <v>6984</v>
      </c>
      <c r="E65" s="32" t="s">
        <v>4890</v>
      </c>
      <c r="F65" s="10">
        <v>1</v>
      </c>
      <c r="G65" s="8" t="s">
        <v>16</v>
      </c>
      <c r="H65" s="10">
        <v>3117.9</v>
      </c>
      <c r="I65" s="10">
        <f t="shared" si="0"/>
        <v>3117.9</v>
      </c>
      <c r="J65" s="10">
        <v>31.710287345000001</v>
      </c>
      <c r="K65" s="8" t="s">
        <v>4875</v>
      </c>
      <c r="S65"/>
    </row>
    <row r="66" spans="1:19" ht="15" x14ac:dyDescent="0.25">
      <c r="A66" s="8" t="s">
        <v>4963</v>
      </c>
      <c r="B66" s="8" t="s">
        <v>4869</v>
      </c>
      <c r="C66" s="8" t="s">
        <v>4891</v>
      </c>
      <c r="D66" s="32" t="s">
        <v>6984</v>
      </c>
      <c r="E66" s="32" t="s">
        <v>4891</v>
      </c>
      <c r="F66" s="10">
        <v>1</v>
      </c>
      <c r="G66" s="8" t="s">
        <v>16</v>
      </c>
      <c r="H66" s="10">
        <v>3075.6</v>
      </c>
      <c r="I66" s="10">
        <f t="shared" si="0"/>
        <v>3075.6</v>
      </c>
      <c r="J66" s="10">
        <v>32.299486385000002</v>
      </c>
      <c r="K66" s="8" t="s">
        <v>4875</v>
      </c>
      <c r="S66"/>
    </row>
    <row r="67" spans="1:19" ht="15" x14ac:dyDescent="0.25">
      <c r="A67" s="8" t="s">
        <v>4963</v>
      </c>
      <c r="B67" s="8" t="s">
        <v>4869</v>
      </c>
      <c r="C67" s="8" t="s">
        <v>4907</v>
      </c>
      <c r="D67" s="32" t="s">
        <v>6984</v>
      </c>
      <c r="E67" s="32" t="s">
        <v>4907</v>
      </c>
      <c r="F67" s="10">
        <v>1</v>
      </c>
      <c r="G67" s="8" t="s">
        <v>16</v>
      </c>
      <c r="H67" s="10">
        <v>2689.8</v>
      </c>
      <c r="I67" s="10">
        <f t="shared" si="0"/>
        <v>2689.8</v>
      </c>
      <c r="J67" s="10">
        <v>27.789453444999999</v>
      </c>
      <c r="K67" s="8" t="s">
        <v>4875</v>
      </c>
      <c r="S67"/>
    </row>
    <row r="68" spans="1:19" ht="15" x14ac:dyDescent="0.25">
      <c r="A68" s="8" t="s">
        <v>4963</v>
      </c>
      <c r="B68" s="8" t="s">
        <v>4869</v>
      </c>
      <c r="C68" s="8" t="s">
        <v>4892</v>
      </c>
      <c r="D68" s="32" t="s">
        <v>6984</v>
      </c>
      <c r="E68" s="32" t="s">
        <v>4892</v>
      </c>
      <c r="F68" s="10">
        <v>1</v>
      </c>
      <c r="G68" s="8" t="s">
        <v>16</v>
      </c>
      <c r="H68" s="10">
        <v>1860.8</v>
      </c>
      <c r="I68" s="10">
        <f t="shared" si="0"/>
        <v>1860.8</v>
      </c>
      <c r="J68" s="10">
        <v>28.850951832</v>
      </c>
      <c r="K68" s="8" t="s">
        <v>4871</v>
      </c>
      <c r="S68"/>
    </row>
    <row r="69" spans="1:19" ht="15" x14ac:dyDescent="0.25">
      <c r="A69" s="8" t="s">
        <v>4963</v>
      </c>
      <c r="B69" s="8" t="s">
        <v>4869</v>
      </c>
      <c r="C69" s="8" t="s">
        <v>4893</v>
      </c>
      <c r="D69" s="32" t="s">
        <v>6984</v>
      </c>
      <c r="E69" s="32" t="s">
        <v>4893</v>
      </c>
      <c r="F69" s="10">
        <v>2</v>
      </c>
      <c r="G69" s="8" t="s">
        <v>16</v>
      </c>
      <c r="H69" s="10">
        <v>1875.95</v>
      </c>
      <c r="I69" s="10">
        <f t="shared" ref="I69:I132" si="3">F69*H69</f>
        <v>3751.9</v>
      </c>
      <c r="J69" s="10">
        <v>58.518587328000002</v>
      </c>
      <c r="K69" s="8" t="s">
        <v>4871</v>
      </c>
      <c r="S69"/>
    </row>
    <row r="70" spans="1:19" ht="15" x14ac:dyDescent="0.25">
      <c r="A70" s="8" t="s">
        <v>4963</v>
      </c>
      <c r="B70" s="8" t="s">
        <v>4869</v>
      </c>
      <c r="C70" s="8" t="s">
        <v>4876</v>
      </c>
      <c r="D70" s="32" t="s">
        <v>6984</v>
      </c>
      <c r="E70" s="32" t="s">
        <v>4876</v>
      </c>
      <c r="F70" s="10">
        <v>1</v>
      </c>
      <c r="G70" s="8" t="s">
        <v>16</v>
      </c>
      <c r="H70" s="10">
        <v>1875.3</v>
      </c>
      <c r="I70" s="10">
        <f t="shared" si="3"/>
        <v>1875.3</v>
      </c>
      <c r="J70" s="10">
        <v>29.646927112499998</v>
      </c>
      <c r="K70" s="8" t="s">
        <v>4871</v>
      </c>
      <c r="S70"/>
    </row>
    <row r="71" spans="1:19" ht="15" x14ac:dyDescent="0.25">
      <c r="A71" s="8" t="s">
        <v>4963</v>
      </c>
      <c r="B71" s="8" t="s">
        <v>4869</v>
      </c>
      <c r="C71" s="8" t="s">
        <v>4877</v>
      </c>
      <c r="D71" s="32" t="s">
        <v>6984</v>
      </c>
      <c r="E71" s="32" t="s">
        <v>4877</v>
      </c>
      <c r="F71" s="10">
        <v>1</v>
      </c>
      <c r="G71" s="8" t="s">
        <v>16</v>
      </c>
      <c r="H71" s="10">
        <v>1902.3</v>
      </c>
      <c r="I71" s="10">
        <f t="shared" si="3"/>
        <v>1902.3</v>
      </c>
      <c r="J71" s="10">
        <v>30.437361739</v>
      </c>
      <c r="K71" s="8" t="s">
        <v>4871</v>
      </c>
      <c r="S71"/>
    </row>
    <row r="72" spans="1:19" ht="15" x14ac:dyDescent="0.25">
      <c r="A72" s="8" t="s">
        <v>4963</v>
      </c>
      <c r="B72" s="8" t="s">
        <v>4869</v>
      </c>
      <c r="C72" s="8" t="s">
        <v>4916</v>
      </c>
      <c r="D72" s="32" t="s">
        <v>6984</v>
      </c>
      <c r="E72" s="32" t="s">
        <v>4916</v>
      </c>
      <c r="F72" s="10">
        <v>1</v>
      </c>
      <c r="G72" s="8" t="s">
        <v>16</v>
      </c>
      <c r="H72" s="10">
        <v>1870.8</v>
      </c>
      <c r="I72" s="10">
        <f t="shared" si="3"/>
        <v>1870.8</v>
      </c>
      <c r="J72" s="10">
        <v>29.252390869500001</v>
      </c>
      <c r="K72" s="8" t="s">
        <v>4871</v>
      </c>
      <c r="S72"/>
    </row>
    <row r="73" spans="1:19" ht="15" x14ac:dyDescent="0.25">
      <c r="A73" s="8" t="s">
        <v>4963</v>
      </c>
      <c r="B73" s="8" t="s">
        <v>4869</v>
      </c>
      <c r="C73" s="8" t="s">
        <v>4917</v>
      </c>
      <c r="D73" s="32" t="s">
        <v>6984</v>
      </c>
      <c r="E73" s="32" t="s">
        <v>4917</v>
      </c>
      <c r="F73" s="10">
        <v>1</v>
      </c>
      <c r="G73" s="8" t="s">
        <v>16</v>
      </c>
      <c r="H73" s="10">
        <v>1880.6</v>
      </c>
      <c r="I73" s="10">
        <f t="shared" si="3"/>
        <v>1880.6</v>
      </c>
      <c r="J73" s="10">
        <v>29.653829906999999</v>
      </c>
      <c r="K73" s="8" t="s">
        <v>4871</v>
      </c>
      <c r="S73"/>
    </row>
    <row r="74" spans="1:19" ht="15" x14ac:dyDescent="0.25">
      <c r="A74" s="8" t="s">
        <v>4963</v>
      </c>
      <c r="B74" s="8" t="s">
        <v>4869</v>
      </c>
      <c r="C74" s="8" t="s">
        <v>4910</v>
      </c>
      <c r="D74" s="32" t="s">
        <v>6984</v>
      </c>
      <c r="E74" s="32" t="s">
        <v>4910</v>
      </c>
      <c r="F74" s="10">
        <v>1</v>
      </c>
      <c r="G74" s="8" t="s">
        <v>16</v>
      </c>
      <c r="H74" s="10">
        <v>2727.4</v>
      </c>
      <c r="I74" s="10">
        <f t="shared" si="3"/>
        <v>2727.4</v>
      </c>
      <c r="J74" s="10">
        <v>28.875486384999999</v>
      </c>
      <c r="K74" s="8" t="s">
        <v>4875</v>
      </c>
      <c r="S74"/>
    </row>
    <row r="75" spans="1:19" ht="15" x14ac:dyDescent="0.25">
      <c r="A75" s="8" t="s">
        <v>4963</v>
      </c>
      <c r="B75" s="8" t="s">
        <v>4869</v>
      </c>
      <c r="C75" s="8" t="s">
        <v>4914</v>
      </c>
      <c r="D75" s="32" t="s">
        <v>6984</v>
      </c>
      <c r="E75" s="32" t="s">
        <v>4914</v>
      </c>
      <c r="F75" s="10">
        <v>1</v>
      </c>
      <c r="G75" s="8" t="s">
        <v>16</v>
      </c>
      <c r="H75" s="10">
        <v>2700.9</v>
      </c>
      <c r="I75" s="10">
        <f t="shared" si="3"/>
        <v>2700.9</v>
      </c>
      <c r="J75" s="10">
        <v>28.150753205000001</v>
      </c>
      <c r="K75" s="8" t="s">
        <v>4875</v>
      </c>
      <c r="S75"/>
    </row>
    <row r="76" spans="1:19" ht="15" x14ac:dyDescent="0.25">
      <c r="A76" s="8" t="s">
        <v>4963</v>
      </c>
      <c r="B76" s="8" t="s">
        <v>4869</v>
      </c>
      <c r="C76" s="8" t="s">
        <v>4918</v>
      </c>
      <c r="D76" s="32" t="s">
        <v>6984</v>
      </c>
      <c r="E76" s="32" t="s">
        <v>4918</v>
      </c>
      <c r="F76" s="10">
        <v>1</v>
      </c>
      <c r="G76" s="8" t="s">
        <v>16</v>
      </c>
      <c r="H76" s="10">
        <v>2712.2</v>
      </c>
      <c r="I76" s="10">
        <f t="shared" si="3"/>
        <v>2712.2</v>
      </c>
      <c r="J76" s="10">
        <v>28.517177668999999</v>
      </c>
      <c r="K76" s="8" t="s">
        <v>4875</v>
      </c>
      <c r="S76"/>
    </row>
    <row r="77" spans="1:19" ht="15" x14ac:dyDescent="0.25">
      <c r="A77" s="8" t="s">
        <v>4963</v>
      </c>
      <c r="B77" s="8" t="s">
        <v>4869</v>
      </c>
      <c r="C77" s="8" t="s">
        <v>4980</v>
      </c>
      <c r="D77" s="32" t="s">
        <v>6984</v>
      </c>
      <c r="E77" s="32" t="s">
        <v>4980</v>
      </c>
      <c r="F77" s="10">
        <v>1</v>
      </c>
      <c r="G77" s="8" t="s">
        <v>16</v>
      </c>
      <c r="H77" s="10">
        <v>2478.9</v>
      </c>
      <c r="I77" s="10">
        <f t="shared" si="3"/>
        <v>2478.9</v>
      </c>
      <c r="J77" s="10">
        <v>29.480043095999999</v>
      </c>
      <c r="K77" s="8" t="s">
        <v>4976</v>
      </c>
      <c r="S77"/>
    </row>
    <row r="78" spans="1:19" ht="15" x14ac:dyDescent="0.25">
      <c r="A78" s="8" t="s">
        <v>4963</v>
      </c>
      <c r="B78" s="8" t="s">
        <v>4869</v>
      </c>
      <c r="C78" s="8" t="s">
        <v>4981</v>
      </c>
      <c r="D78" s="32" t="s">
        <v>6984</v>
      </c>
      <c r="E78" s="32" t="s">
        <v>4981</v>
      </c>
      <c r="F78" s="10">
        <v>1</v>
      </c>
      <c r="G78" s="8" t="s">
        <v>16</v>
      </c>
      <c r="H78" s="10">
        <v>2473.3000000000002</v>
      </c>
      <c r="I78" s="10">
        <f t="shared" si="3"/>
        <v>2473.3000000000002</v>
      </c>
      <c r="J78" s="10">
        <v>29.341113668999999</v>
      </c>
      <c r="K78" s="8" t="s">
        <v>4976</v>
      </c>
      <c r="S78"/>
    </row>
    <row r="79" spans="1:19" ht="15" x14ac:dyDescent="0.25">
      <c r="A79" s="8" t="s">
        <v>4963</v>
      </c>
      <c r="B79" s="8" t="s">
        <v>4869</v>
      </c>
      <c r="C79" s="8" t="s">
        <v>4878</v>
      </c>
      <c r="D79" s="32" t="s">
        <v>6984</v>
      </c>
      <c r="E79" s="32" t="s">
        <v>4878</v>
      </c>
      <c r="F79" s="10">
        <v>1</v>
      </c>
      <c r="G79" s="8" t="s">
        <v>16</v>
      </c>
      <c r="H79" s="10">
        <v>1856.5</v>
      </c>
      <c r="I79" s="10">
        <f t="shared" si="3"/>
        <v>1856.5</v>
      </c>
      <c r="J79" s="10">
        <v>28.8305126775</v>
      </c>
      <c r="K79" s="8" t="s">
        <v>4871</v>
      </c>
      <c r="S79"/>
    </row>
    <row r="80" spans="1:19" ht="15" x14ac:dyDescent="0.25">
      <c r="A80" s="8" t="s">
        <v>4963</v>
      </c>
      <c r="B80" s="8" t="s">
        <v>4869</v>
      </c>
      <c r="C80" s="8" t="s">
        <v>4879</v>
      </c>
      <c r="D80" s="32" t="s">
        <v>6984</v>
      </c>
      <c r="E80" s="32" t="s">
        <v>4879</v>
      </c>
      <c r="F80" s="10">
        <v>1</v>
      </c>
      <c r="G80" s="8" t="s">
        <v>16</v>
      </c>
      <c r="H80" s="10">
        <v>3114.8</v>
      </c>
      <c r="I80" s="10">
        <f t="shared" si="3"/>
        <v>3114.8</v>
      </c>
      <c r="J80" s="10">
        <v>32.969139091599999</v>
      </c>
      <c r="K80" s="8" t="s">
        <v>4875</v>
      </c>
      <c r="S80"/>
    </row>
    <row r="81" spans="1:19" ht="15" x14ac:dyDescent="0.25">
      <c r="A81" s="8" t="s">
        <v>4963</v>
      </c>
      <c r="B81" s="8" t="s">
        <v>4869</v>
      </c>
      <c r="C81" s="8" t="s">
        <v>4880</v>
      </c>
      <c r="D81" s="32" t="s">
        <v>6984</v>
      </c>
      <c r="E81" s="32" t="s">
        <v>4880</v>
      </c>
      <c r="F81" s="10">
        <v>1</v>
      </c>
      <c r="G81" s="8" t="s">
        <v>16</v>
      </c>
      <c r="H81" s="10">
        <v>56.7</v>
      </c>
      <c r="I81" s="10">
        <f t="shared" si="3"/>
        <v>56.7</v>
      </c>
      <c r="J81" s="10">
        <v>1.8128681471999999</v>
      </c>
      <c r="K81" s="8" t="s">
        <v>4781</v>
      </c>
      <c r="S81"/>
    </row>
    <row r="82" spans="1:19" ht="15" x14ac:dyDescent="0.25">
      <c r="A82" s="8" t="s">
        <v>4963</v>
      </c>
      <c r="B82" s="8" t="s">
        <v>4869</v>
      </c>
      <c r="C82" s="8" t="s">
        <v>4919</v>
      </c>
      <c r="D82" s="32" t="s">
        <v>6984</v>
      </c>
      <c r="E82" s="32" t="s">
        <v>4919</v>
      </c>
      <c r="F82" s="10">
        <v>2</v>
      </c>
      <c r="G82" s="8" t="s">
        <v>16</v>
      </c>
      <c r="H82" s="10">
        <v>115.25</v>
      </c>
      <c r="I82" s="10">
        <f t="shared" si="3"/>
        <v>230.5</v>
      </c>
      <c r="J82" s="10">
        <v>5.8983876000000004</v>
      </c>
      <c r="K82" s="8" t="s">
        <v>4920</v>
      </c>
      <c r="S82"/>
    </row>
    <row r="83" spans="1:19" ht="15" x14ac:dyDescent="0.25">
      <c r="A83" s="8" t="s">
        <v>4963</v>
      </c>
      <c r="B83" s="8" t="s">
        <v>4869</v>
      </c>
      <c r="C83" s="8" t="s">
        <v>4911</v>
      </c>
      <c r="D83" s="32" t="s">
        <v>6984</v>
      </c>
      <c r="E83" s="32" t="s">
        <v>4911</v>
      </c>
      <c r="F83" s="10">
        <v>1</v>
      </c>
      <c r="G83" s="8" t="s">
        <v>16</v>
      </c>
      <c r="H83" s="10">
        <v>189.3</v>
      </c>
      <c r="I83" s="10">
        <f t="shared" si="3"/>
        <v>189.3</v>
      </c>
      <c r="J83" s="10">
        <v>4.3557999289999998</v>
      </c>
      <c r="K83" s="8" t="s">
        <v>4887</v>
      </c>
      <c r="S83"/>
    </row>
    <row r="84" spans="1:19" ht="15" x14ac:dyDescent="0.25">
      <c r="A84" s="8" t="s">
        <v>4963</v>
      </c>
      <c r="B84" s="8" t="s">
        <v>4869</v>
      </c>
      <c r="C84" s="8" t="s">
        <v>4894</v>
      </c>
      <c r="D84" s="32" t="s">
        <v>6984</v>
      </c>
      <c r="E84" s="32" t="s">
        <v>4894</v>
      </c>
      <c r="F84" s="10">
        <v>1</v>
      </c>
      <c r="G84" s="8" t="s">
        <v>16</v>
      </c>
      <c r="H84" s="10">
        <v>190.1</v>
      </c>
      <c r="I84" s="10">
        <f t="shared" si="3"/>
        <v>190.1</v>
      </c>
      <c r="J84" s="10">
        <v>4.3745299290000004</v>
      </c>
      <c r="K84" s="8" t="s">
        <v>4887</v>
      </c>
      <c r="S84"/>
    </row>
    <row r="85" spans="1:19" ht="15" x14ac:dyDescent="0.25">
      <c r="A85" s="8" t="s">
        <v>4963</v>
      </c>
      <c r="B85" s="8" t="s">
        <v>4869</v>
      </c>
      <c r="C85" s="8" t="s">
        <v>4881</v>
      </c>
      <c r="D85" s="32" t="s">
        <v>6984</v>
      </c>
      <c r="E85" s="32" t="s">
        <v>4881</v>
      </c>
      <c r="F85" s="10">
        <v>1</v>
      </c>
      <c r="G85" s="8" t="s">
        <v>16</v>
      </c>
      <c r="H85" s="10">
        <v>56.7</v>
      </c>
      <c r="I85" s="10">
        <f t="shared" si="3"/>
        <v>56.7</v>
      </c>
      <c r="J85" s="10">
        <v>1.8128681471999999</v>
      </c>
      <c r="K85" s="8" t="s">
        <v>4781</v>
      </c>
      <c r="S85"/>
    </row>
    <row r="86" spans="1:19" ht="15" x14ac:dyDescent="0.25">
      <c r="A86" s="8" t="s">
        <v>4963</v>
      </c>
      <c r="B86" s="8" t="s">
        <v>4869</v>
      </c>
      <c r="C86" s="8" t="s">
        <v>4895</v>
      </c>
      <c r="D86" s="32" t="s">
        <v>6984</v>
      </c>
      <c r="E86" s="32" t="s">
        <v>4895</v>
      </c>
      <c r="F86" s="10">
        <v>2</v>
      </c>
      <c r="G86" s="8" t="s">
        <v>16</v>
      </c>
      <c r="H86" s="10">
        <v>222.85</v>
      </c>
      <c r="I86" s="10">
        <f t="shared" si="3"/>
        <v>445.7</v>
      </c>
      <c r="J86" s="10">
        <v>10.239967858</v>
      </c>
      <c r="K86" s="8" t="s">
        <v>4887</v>
      </c>
      <c r="S86"/>
    </row>
    <row r="87" spans="1:19" ht="15" x14ac:dyDescent="0.25">
      <c r="A87" s="8" t="s">
        <v>4963</v>
      </c>
      <c r="B87" s="8" t="s">
        <v>4869</v>
      </c>
      <c r="C87" s="8" t="s">
        <v>4921</v>
      </c>
      <c r="D87" s="32" t="s">
        <v>6984</v>
      </c>
      <c r="E87" s="32" t="s">
        <v>4921</v>
      </c>
      <c r="F87" s="10">
        <v>2</v>
      </c>
      <c r="G87" s="8" t="s">
        <v>16</v>
      </c>
      <c r="H87" s="10">
        <v>68.599999999999994</v>
      </c>
      <c r="I87" s="10">
        <f t="shared" si="3"/>
        <v>137.19999999999999</v>
      </c>
      <c r="J87" s="10">
        <v>4.4060754800000002</v>
      </c>
      <c r="K87" s="8" t="s">
        <v>4781</v>
      </c>
      <c r="S87"/>
    </row>
    <row r="88" spans="1:19" ht="15" x14ac:dyDescent="0.25">
      <c r="A88" s="8" t="s">
        <v>4963</v>
      </c>
      <c r="B88" s="8" t="s">
        <v>4869</v>
      </c>
      <c r="C88" s="8" t="s">
        <v>4912</v>
      </c>
      <c r="D88" s="32" t="s">
        <v>6984</v>
      </c>
      <c r="E88" s="32" t="s">
        <v>4912</v>
      </c>
      <c r="F88" s="10">
        <v>2</v>
      </c>
      <c r="G88" s="8" t="s">
        <v>16</v>
      </c>
      <c r="H88" s="10">
        <v>197.4</v>
      </c>
      <c r="I88" s="10">
        <f t="shared" si="3"/>
        <v>394.8</v>
      </c>
      <c r="J88" s="10">
        <v>9.0824538579999992</v>
      </c>
      <c r="K88" s="8" t="s">
        <v>4887</v>
      </c>
      <c r="S88"/>
    </row>
    <row r="89" spans="1:19" ht="15" x14ac:dyDescent="0.25">
      <c r="A89" s="8" t="s">
        <v>4963</v>
      </c>
      <c r="B89" s="8" t="s">
        <v>4869</v>
      </c>
      <c r="C89" s="8" t="s">
        <v>4913</v>
      </c>
      <c r="D89" s="32" t="s">
        <v>6984</v>
      </c>
      <c r="E89" s="32" t="s">
        <v>4913</v>
      </c>
      <c r="F89" s="10">
        <v>1</v>
      </c>
      <c r="G89" s="8" t="s">
        <v>16</v>
      </c>
      <c r="H89" s="10">
        <v>189.3</v>
      </c>
      <c r="I89" s="10">
        <f t="shared" si="3"/>
        <v>189.3</v>
      </c>
      <c r="J89" s="10">
        <v>4.3557999289999998</v>
      </c>
      <c r="K89" s="8" t="s">
        <v>4887</v>
      </c>
      <c r="S89"/>
    </row>
    <row r="90" spans="1:19" ht="15" x14ac:dyDescent="0.25">
      <c r="A90" s="8" t="s">
        <v>4963</v>
      </c>
      <c r="B90" s="8" t="s">
        <v>4869</v>
      </c>
      <c r="C90" s="8" t="s">
        <v>4896</v>
      </c>
      <c r="D90" s="32" t="s">
        <v>6984</v>
      </c>
      <c r="E90" s="32" t="s">
        <v>4896</v>
      </c>
      <c r="F90" s="10">
        <v>1</v>
      </c>
      <c r="G90" s="8" t="s">
        <v>16</v>
      </c>
      <c r="H90" s="10">
        <v>190.1</v>
      </c>
      <c r="I90" s="10">
        <f t="shared" si="3"/>
        <v>190.1</v>
      </c>
      <c r="J90" s="10">
        <v>4.3745299290000004</v>
      </c>
      <c r="K90" s="8" t="s">
        <v>4887</v>
      </c>
      <c r="S90"/>
    </row>
    <row r="91" spans="1:19" ht="15" x14ac:dyDescent="0.25">
      <c r="A91" s="8" t="s">
        <v>4963</v>
      </c>
      <c r="B91" s="8" t="s">
        <v>4869</v>
      </c>
      <c r="C91" s="8" t="s">
        <v>4922</v>
      </c>
      <c r="D91" s="32" t="s">
        <v>6984</v>
      </c>
      <c r="E91" s="32" t="s">
        <v>4922</v>
      </c>
      <c r="F91" s="10">
        <v>2</v>
      </c>
      <c r="G91" s="8" t="s">
        <v>16</v>
      </c>
      <c r="H91" s="10">
        <v>37.450000000000003</v>
      </c>
      <c r="I91" s="10">
        <f t="shared" si="3"/>
        <v>74.900000000000006</v>
      </c>
      <c r="J91" s="10">
        <v>2.3996964896000001</v>
      </c>
      <c r="K91" s="8" t="s">
        <v>4781</v>
      </c>
      <c r="S91"/>
    </row>
    <row r="92" spans="1:19" ht="15" x14ac:dyDescent="0.25">
      <c r="A92" s="8" t="s">
        <v>4963</v>
      </c>
      <c r="B92" s="8" t="s">
        <v>4869</v>
      </c>
      <c r="C92" s="8" t="s">
        <v>4982</v>
      </c>
      <c r="D92" s="32" t="s">
        <v>6984</v>
      </c>
      <c r="E92" s="32" t="s">
        <v>4982</v>
      </c>
      <c r="F92" s="10">
        <v>1</v>
      </c>
      <c r="G92" s="8" t="s">
        <v>16</v>
      </c>
      <c r="H92" s="10">
        <v>645.9</v>
      </c>
      <c r="I92" s="10">
        <f t="shared" si="3"/>
        <v>645.9</v>
      </c>
      <c r="J92" s="10">
        <v>14.809368026</v>
      </c>
      <c r="K92" s="8" t="s">
        <v>4983</v>
      </c>
      <c r="S92"/>
    </row>
    <row r="93" spans="1:19" ht="15" x14ac:dyDescent="0.25">
      <c r="A93" s="8" t="s">
        <v>4963</v>
      </c>
      <c r="B93" s="8" t="s">
        <v>4869</v>
      </c>
      <c r="C93" s="8" t="s">
        <v>4984</v>
      </c>
      <c r="D93" s="32" t="s">
        <v>6984</v>
      </c>
      <c r="E93" s="32" t="s">
        <v>4984</v>
      </c>
      <c r="F93" s="10">
        <v>1</v>
      </c>
      <c r="G93" s="8" t="s">
        <v>16</v>
      </c>
      <c r="H93" s="10">
        <v>578.4</v>
      </c>
      <c r="I93" s="10">
        <f t="shared" si="3"/>
        <v>578.4</v>
      </c>
      <c r="J93" s="10">
        <v>13.25129763352</v>
      </c>
      <c r="K93" s="8" t="s">
        <v>4983</v>
      </c>
      <c r="S93"/>
    </row>
    <row r="94" spans="1:19" ht="15" x14ac:dyDescent="0.25">
      <c r="A94" s="8" t="s">
        <v>4963</v>
      </c>
      <c r="B94" s="8" t="s">
        <v>4869</v>
      </c>
      <c r="C94" s="8" t="s">
        <v>4926</v>
      </c>
      <c r="D94" s="32" t="s">
        <v>6984</v>
      </c>
      <c r="E94" s="32" t="s">
        <v>4926</v>
      </c>
      <c r="F94" s="10">
        <v>1</v>
      </c>
      <c r="G94" s="8" t="s">
        <v>16</v>
      </c>
      <c r="H94" s="10">
        <v>415.1</v>
      </c>
      <c r="I94" s="10">
        <f t="shared" si="3"/>
        <v>415.1</v>
      </c>
      <c r="J94" s="10">
        <v>11.743172983999999</v>
      </c>
      <c r="K94" s="8" t="s">
        <v>4852</v>
      </c>
      <c r="S94"/>
    </row>
    <row r="95" spans="1:19" ht="15" x14ac:dyDescent="0.25">
      <c r="A95" s="8" t="s">
        <v>4963</v>
      </c>
      <c r="B95" s="8" t="s">
        <v>4869</v>
      </c>
      <c r="C95" s="8" t="s">
        <v>4985</v>
      </c>
      <c r="D95" s="32" t="s">
        <v>6984</v>
      </c>
      <c r="E95" s="32" t="s">
        <v>4985</v>
      </c>
      <c r="F95" s="10">
        <v>1</v>
      </c>
      <c r="G95" s="8" t="s">
        <v>16</v>
      </c>
      <c r="H95" s="10">
        <v>1985.5</v>
      </c>
      <c r="I95" s="10">
        <f t="shared" si="3"/>
        <v>1985.5</v>
      </c>
      <c r="J95" s="10">
        <v>28.391001656</v>
      </c>
      <c r="K95" s="8" t="s">
        <v>4986</v>
      </c>
      <c r="S95"/>
    </row>
    <row r="96" spans="1:19" ht="15" x14ac:dyDescent="0.25">
      <c r="A96" s="8" t="s">
        <v>4963</v>
      </c>
      <c r="B96" s="8" t="s">
        <v>4869</v>
      </c>
      <c r="C96" s="8" t="s">
        <v>4897</v>
      </c>
      <c r="D96" s="32" t="s">
        <v>6984</v>
      </c>
      <c r="E96" s="32" t="s">
        <v>4897</v>
      </c>
      <c r="F96" s="10">
        <v>4</v>
      </c>
      <c r="G96" s="8" t="s">
        <v>16</v>
      </c>
      <c r="H96" s="10">
        <v>412.3</v>
      </c>
      <c r="I96" s="10">
        <f t="shared" si="3"/>
        <v>1649.2</v>
      </c>
      <c r="J96" s="10">
        <v>34.5343314912</v>
      </c>
      <c r="K96" s="8" t="s">
        <v>4898</v>
      </c>
      <c r="S96"/>
    </row>
    <row r="97" spans="1:19" ht="15" x14ac:dyDescent="0.25">
      <c r="A97" s="8" t="s">
        <v>4963</v>
      </c>
      <c r="B97" s="8" t="s">
        <v>4869</v>
      </c>
      <c r="C97" s="8" t="s">
        <v>4899</v>
      </c>
      <c r="D97" s="32" t="s">
        <v>6984</v>
      </c>
      <c r="E97" s="32" t="s">
        <v>4899</v>
      </c>
      <c r="F97" s="10">
        <v>88</v>
      </c>
      <c r="G97" s="8" t="s">
        <v>22</v>
      </c>
      <c r="H97" s="10">
        <v>4.3329545454545455</v>
      </c>
      <c r="I97" s="10">
        <f t="shared" si="3"/>
        <v>381.3</v>
      </c>
      <c r="J97" s="10">
        <v>12.338304000000001</v>
      </c>
      <c r="K97" s="8" t="s">
        <v>23</v>
      </c>
      <c r="S97"/>
    </row>
    <row r="98" spans="1:19" ht="15" x14ac:dyDescent="0.25">
      <c r="A98" s="8" t="s">
        <v>4963</v>
      </c>
      <c r="B98" s="8" t="s">
        <v>4869</v>
      </c>
      <c r="C98" s="8" t="s">
        <v>4882</v>
      </c>
      <c r="D98" s="32" t="s">
        <v>6984</v>
      </c>
      <c r="E98" s="32" t="s">
        <v>4882</v>
      </c>
      <c r="F98" s="10">
        <v>28</v>
      </c>
      <c r="G98" s="8" t="s">
        <v>22</v>
      </c>
      <c r="H98" s="10">
        <v>21.567857142857143</v>
      </c>
      <c r="I98" s="10">
        <f t="shared" si="3"/>
        <v>603.9</v>
      </c>
      <c r="J98" s="10">
        <v>12.622674399999999</v>
      </c>
      <c r="K98" s="8" t="s">
        <v>4795</v>
      </c>
      <c r="S98"/>
    </row>
    <row r="99" spans="1:19" ht="15" x14ac:dyDescent="0.25">
      <c r="A99" s="8" t="s">
        <v>4963</v>
      </c>
      <c r="B99" s="8" t="s">
        <v>4869</v>
      </c>
      <c r="C99" s="8" t="s">
        <v>4883</v>
      </c>
      <c r="D99" s="32" t="s">
        <v>6984</v>
      </c>
      <c r="E99" s="32" t="s">
        <v>4883</v>
      </c>
      <c r="F99" s="10">
        <v>64</v>
      </c>
      <c r="G99" s="8" t="s">
        <v>22</v>
      </c>
      <c r="H99" s="10">
        <v>1.484375</v>
      </c>
      <c r="I99" s="10">
        <f t="shared" si="3"/>
        <v>95</v>
      </c>
      <c r="J99" s="10">
        <v>3.8879999999999999</v>
      </c>
      <c r="K99" s="8" t="s">
        <v>4798</v>
      </c>
      <c r="S99"/>
    </row>
    <row r="100" spans="1:19" ht="15" x14ac:dyDescent="0.25">
      <c r="A100" s="8" t="s">
        <v>4963</v>
      </c>
      <c r="B100" s="8" t="s">
        <v>4869</v>
      </c>
      <c r="C100" s="8" t="s">
        <v>4987</v>
      </c>
      <c r="D100" s="32" t="s">
        <v>6984</v>
      </c>
      <c r="E100" s="32" t="s">
        <v>4987</v>
      </c>
      <c r="F100" s="10">
        <v>14</v>
      </c>
      <c r="G100" s="8" t="s">
        <v>22</v>
      </c>
      <c r="H100" s="10">
        <v>9.3071428571428587</v>
      </c>
      <c r="I100" s="10">
        <f t="shared" si="3"/>
        <v>130.30000000000001</v>
      </c>
      <c r="J100" s="10">
        <v>4.3240959999999999</v>
      </c>
      <c r="K100" s="8" t="s">
        <v>4904</v>
      </c>
      <c r="S100"/>
    </row>
    <row r="101" spans="1:19" ht="15" x14ac:dyDescent="0.25">
      <c r="A101" s="8" t="s">
        <v>4963</v>
      </c>
      <c r="B101" s="8" t="s">
        <v>4869</v>
      </c>
      <c r="C101" s="8" t="s">
        <v>4988</v>
      </c>
      <c r="D101" s="32" t="s">
        <v>6984</v>
      </c>
      <c r="E101" s="32" t="s">
        <v>4988</v>
      </c>
      <c r="F101" s="10">
        <v>32</v>
      </c>
      <c r="G101" s="8" t="s">
        <v>22</v>
      </c>
      <c r="H101" s="10">
        <v>4.1156249999999996</v>
      </c>
      <c r="I101" s="10">
        <f t="shared" si="3"/>
        <v>131.69999999999999</v>
      </c>
      <c r="J101" s="10">
        <v>4.2616729600000003</v>
      </c>
      <c r="K101" s="8" t="s">
        <v>23</v>
      </c>
      <c r="S101"/>
    </row>
    <row r="102" spans="1:19" ht="15" x14ac:dyDescent="0.25">
      <c r="A102" s="8" t="s">
        <v>4963</v>
      </c>
      <c r="B102" s="8" t="s">
        <v>4869</v>
      </c>
      <c r="C102" s="8" t="s">
        <v>4989</v>
      </c>
      <c r="D102" s="32" t="s">
        <v>6984</v>
      </c>
      <c r="E102" s="32" t="s">
        <v>4989</v>
      </c>
      <c r="F102" s="10">
        <v>64</v>
      </c>
      <c r="G102" s="8" t="s">
        <v>22</v>
      </c>
      <c r="H102" s="10">
        <v>1.2749999999999999</v>
      </c>
      <c r="I102" s="10">
        <f t="shared" si="3"/>
        <v>81.599999999999994</v>
      </c>
      <c r="J102" s="10">
        <v>2.6399743999999998</v>
      </c>
      <c r="K102" s="8" t="s">
        <v>23</v>
      </c>
      <c r="S102"/>
    </row>
    <row r="103" spans="1:19" ht="15" x14ac:dyDescent="0.25">
      <c r="A103" s="8" t="s">
        <v>4963</v>
      </c>
      <c r="B103" s="8" t="s">
        <v>4869</v>
      </c>
      <c r="C103" s="8" t="s">
        <v>4990</v>
      </c>
      <c r="D103" s="32" t="s">
        <v>6984</v>
      </c>
      <c r="E103" s="32" t="s">
        <v>4990</v>
      </c>
      <c r="F103" s="10">
        <v>32</v>
      </c>
      <c r="G103" s="8" t="s">
        <v>22</v>
      </c>
      <c r="H103" s="10">
        <v>2.0093749999999999</v>
      </c>
      <c r="I103" s="10">
        <f t="shared" si="3"/>
        <v>64.3</v>
      </c>
      <c r="J103" s="10">
        <v>2.6308799999999999</v>
      </c>
      <c r="K103" s="8" t="s">
        <v>4798</v>
      </c>
      <c r="S103"/>
    </row>
    <row r="104" spans="1:19" ht="15" x14ac:dyDescent="0.25">
      <c r="A104" s="8" t="s">
        <v>4963</v>
      </c>
      <c r="B104" s="8" t="s">
        <v>4869</v>
      </c>
      <c r="C104" s="8" t="s">
        <v>4884</v>
      </c>
      <c r="D104" s="32" t="s">
        <v>6984</v>
      </c>
      <c r="E104" s="32" t="s">
        <v>4884</v>
      </c>
      <c r="F104" s="10">
        <v>100</v>
      </c>
      <c r="G104" s="8" t="s">
        <v>22</v>
      </c>
      <c r="H104" s="10">
        <v>11.554</v>
      </c>
      <c r="I104" s="10">
        <f t="shared" si="3"/>
        <v>1155.4000000000001</v>
      </c>
      <c r="J104" s="10">
        <v>24.150524999999998</v>
      </c>
      <c r="K104" s="8" t="s">
        <v>4795</v>
      </c>
      <c r="S104"/>
    </row>
    <row r="105" spans="1:19" ht="15" x14ac:dyDescent="0.25">
      <c r="A105" s="8" t="s">
        <v>4963</v>
      </c>
      <c r="B105" s="8" t="s">
        <v>4869</v>
      </c>
      <c r="C105" s="8" t="s">
        <v>4927</v>
      </c>
      <c r="D105" s="32" t="s">
        <v>6984</v>
      </c>
      <c r="E105" s="32" t="s">
        <v>4927</v>
      </c>
      <c r="F105" s="10">
        <v>10</v>
      </c>
      <c r="G105" s="8" t="s">
        <v>22</v>
      </c>
      <c r="H105" s="10">
        <v>2.93</v>
      </c>
      <c r="I105" s="10">
        <f t="shared" si="3"/>
        <v>29.3</v>
      </c>
      <c r="J105" s="10">
        <v>1.1998124999999999</v>
      </c>
      <c r="K105" s="8" t="s">
        <v>4798</v>
      </c>
      <c r="S105"/>
    </row>
    <row r="106" spans="1:19" ht="15" x14ac:dyDescent="0.25">
      <c r="A106" s="8" t="s">
        <v>4963</v>
      </c>
      <c r="B106" s="8" t="s">
        <v>4869</v>
      </c>
      <c r="C106" s="8" t="s">
        <v>4928</v>
      </c>
      <c r="D106" s="32" t="s">
        <v>6984</v>
      </c>
      <c r="E106" s="32" t="s">
        <v>4928</v>
      </c>
      <c r="F106" s="10">
        <v>6</v>
      </c>
      <c r="G106" s="8" t="s">
        <v>22</v>
      </c>
      <c r="H106" s="10">
        <v>2.75</v>
      </c>
      <c r="I106" s="10">
        <f t="shared" si="3"/>
        <v>16.5</v>
      </c>
      <c r="J106" s="10">
        <v>0.67432499999999995</v>
      </c>
      <c r="K106" s="8" t="s">
        <v>4798</v>
      </c>
      <c r="S106"/>
    </row>
    <row r="107" spans="1:19" ht="15" x14ac:dyDescent="0.25">
      <c r="A107" s="8" t="s">
        <v>4963</v>
      </c>
      <c r="B107" s="8" t="s">
        <v>4869</v>
      </c>
      <c r="C107" s="8" t="s">
        <v>4991</v>
      </c>
      <c r="D107" s="32" t="s">
        <v>6984</v>
      </c>
      <c r="E107" s="32" t="s">
        <v>4991</v>
      </c>
      <c r="F107" s="10">
        <v>1</v>
      </c>
      <c r="G107" s="8" t="s">
        <v>4903</v>
      </c>
      <c r="H107" s="10">
        <v>66.599999999999994</v>
      </c>
      <c r="I107" s="10">
        <f t="shared" si="3"/>
        <v>66.599999999999994</v>
      </c>
      <c r="J107" s="10">
        <v>2.1259648000000002</v>
      </c>
      <c r="K107" s="8" t="s">
        <v>4904</v>
      </c>
      <c r="S107"/>
    </row>
    <row r="108" spans="1:19" ht="15" x14ac:dyDescent="0.25">
      <c r="A108" s="8" t="s">
        <v>4963</v>
      </c>
      <c r="B108" s="8" t="s">
        <v>4869</v>
      </c>
      <c r="C108" s="8" t="s">
        <v>4992</v>
      </c>
      <c r="D108" s="32" t="s">
        <v>6984</v>
      </c>
      <c r="E108" s="32" t="s">
        <v>4992</v>
      </c>
      <c r="F108" s="10">
        <v>1</v>
      </c>
      <c r="G108" s="8" t="s">
        <v>4903</v>
      </c>
      <c r="H108" s="10">
        <v>57.7</v>
      </c>
      <c r="I108" s="10">
        <f t="shared" si="3"/>
        <v>57.7</v>
      </c>
      <c r="J108" s="10">
        <v>1.8292927999999999</v>
      </c>
      <c r="K108" s="8" t="s">
        <v>4904</v>
      </c>
      <c r="S108"/>
    </row>
    <row r="109" spans="1:19" ht="15" x14ac:dyDescent="0.25">
      <c r="A109" s="8" t="s">
        <v>4963</v>
      </c>
      <c r="B109" s="8" t="s">
        <v>4869</v>
      </c>
      <c r="C109" s="8" t="s">
        <v>4993</v>
      </c>
      <c r="D109" s="32" t="s">
        <v>6984</v>
      </c>
      <c r="E109" s="32" t="s">
        <v>4993</v>
      </c>
      <c r="F109" s="10">
        <v>1</v>
      </c>
      <c r="G109" s="8" t="s">
        <v>4903</v>
      </c>
      <c r="H109" s="10">
        <v>66.599999999999994</v>
      </c>
      <c r="I109" s="10">
        <f t="shared" si="3"/>
        <v>66.599999999999994</v>
      </c>
      <c r="J109" s="10">
        <v>2.1259648000000002</v>
      </c>
      <c r="K109" s="8" t="s">
        <v>4904</v>
      </c>
      <c r="S109"/>
    </row>
    <row r="110" spans="1:19" ht="15" x14ac:dyDescent="0.25">
      <c r="A110" s="8" t="s">
        <v>4963</v>
      </c>
      <c r="B110" s="8" t="s">
        <v>4869</v>
      </c>
      <c r="C110" s="8" t="s">
        <v>4994</v>
      </c>
      <c r="D110" s="32" t="s">
        <v>6984</v>
      </c>
      <c r="E110" s="32" t="s">
        <v>4994</v>
      </c>
      <c r="F110" s="10">
        <v>1</v>
      </c>
      <c r="G110" s="8" t="s">
        <v>4903</v>
      </c>
      <c r="H110" s="10">
        <v>57.7</v>
      </c>
      <c r="I110" s="10">
        <f t="shared" si="3"/>
        <v>57.7</v>
      </c>
      <c r="J110" s="10">
        <v>1.8292927999999999</v>
      </c>
      <c r="K110" s="8" t="s">
        <v>4904</v>
      </c>
      <c r="S110"/>
    </row>
    <row r="111" spans="1:19" ht="15" x14ac:dyDescent="0.25">
      <c r="A111" s="8" t="s">
        <v>4963</v>
      </c>
      <c r="B111" s="8" t="s">
        <v>4869</v>
      </c>
      <c r="C111" s="8" t="s">
        <v>4995</v>
      </c>
      <c r="D111" s="32" t="s">
        <v>6984</v>
      </c>
      <c r="E111" s="32" t="s">
        <v>4995</v>
      </c>
      <c r="F111" s="10">
        <v>2</v>
      </c>
      <c r="G111" s="8" t="s">
        <v>4903</v>
      </c>
      <c r="H111" s="10">
        <v>263.3</v>
      </c>
      <c r="I111" s="10">
        <f t="shared" si="3"/>
        <v>526.6</v>
      </c>
      <c r="J111" s="10">
        <v>12.457763999999999</v>
      </c>
      <c r="K111" s="8" t="s">
        <v>4983</v>
      </c>
      <c r="S111"/>
    </row>
    <row r="112" spans="1:19" ht="15" x14ac:dyDescent="0.25">
      <c r="A112" s="8" t="s">
        <v>4963</v>
      </c>
      <c r="B112" s="8" t="s">
        <v>4869</v>
      </c>
      <c r="C112" s="8" t="s">
        <v>4996</v>
      </c>
      <c r="D112" s="32" t="s">
        <v>6984</v>
      </c>
      <c r="E112" s="32" t="s">
        <v>4996</v>
      </c>
      <c r="F112" s="10">
        <v>4</v>
      </c>
      <c r="G112" s="8" t="s">
        <v>4903</v>
      </c>
      <c r="H112" s="10">
        <v>95</v>
      </c>
      <c r="I112" s="10">
        <f t="shared" si="3"/>
        <v>380</v>
      </c>
      <c r="J112" s="10">
        <v>9.001512</v>
      </c>
      <c r="K112" s="8" t="s">
        <v>4983</v>
      </c>
      <c r="S112"/>
    </row>
    <row r="113" spans="1:19" ht="15" x14ac:dyDescent="0.25">
      <c r="A113" s="8" t="s">
        <v>4963</v>
      </c>
      <c r="B113" s="8" t="s">
        <v>4869</v>
      </c>
      <c r="C113" s="8" t="s">
        <v>4997</v>
      </c>
      <c r="D113" s="32" t="s">
        <v>6984</v>
      </c>
      <c r="E113" s="32" t="s">
        <v>4997</v>
      </c>
      <c r="F113" s="10">
        <v>2</v>
      </c>
      <c r="G113" s="8" t="s">
        <v>4903</v>
      </c>
      <c r="H113" s="10">
        <v>276.60000000000002</v>
      </c>
      <c r="I113" s="10">
        <f t="shared" si="3"/>
        <v>553.20000000000005</v>
      </c>
      <c r="J113" s="10">
        <v>13.088573999999999</v>
      </c>
      <c r="K113" s="8" t="s">
        <v>4983</v>
      </c>
      <c r="S113"/>
    </row>
    <row r="114" spans="1:19" ht="15" x14ac:dyDescent="0.25">
      <c r="A114" s="8" t="s">
        <v>4998</v>
      </c>
      <c r="B114" s="8" t="s">
        <v>4779</v>
      </c>
      <c r="C114" s="8" t="s">
        <v>4799</v>
      </c>
      <c r="D114" s="32" t="s">
        <v>6984</v>
      </c>
      <c r="E114" s="32" t="s">
        <v>4799</v>
      </c>
      <c r="F114" s="10">
        <v>22</v>
      </c>
      <c r="G114" s="8" t="s">
        <v>16</v>
      </c>
      <c r="H114" s="10">
        <v>334.8</v>
      </c>
      <c r="I114" s="10">
        <f t="shared" si="3"/>
        <v>7365.6</v>
      </c>
      <c r="J114" s="10">
        <v>181.31652</v>
      </c>
      <c r="K114" s="8" t="s">
        <v>4800</v>
      </c>
      <c r="S114"/>
    </row>
    <row r="115" spans="1:19" ht="15" x14ac:dyDescent="0.25">
      <c r="A115" s="8" t="s">
        <v>4998</v>
      </c>
      <c r="B115" s="8" t="s">
        <v>4779</v>
      </c>
      <c r="C115" s="8" t="s">
        <v>4806</v>
      </c>
      <c r="D115" s="32" t="s">
        <v>6984</v>
      </c>
      <c r="E115" s="32" t="s">
        <v>4806</v>
      </c>
      <c r="F115" s="10">
        <v>19</v>
      </c>
      <c r="G115" s="8" t="s">
        <v>16</v>
      </c>
      <c r="H115" s="10">
        <v>1957.921052631579</v>
      </c>
      <c r="I115" s="10">
        <f t="shared" si="3"/>
        <v>37200.5</v>
      </c>
      <c r="J115" s="10">
        <v>539.21857499999999</v>
      </c>
      <c r="K115" s="8" t="s">
        <v>4784</v>
      </c>
      <c r="S115"/>
    </row>
    <row r="116" spans="1:19" ht="15" x14ac:dyDescent="0.25">
      <c r="A116" s="8" t="s">
        <v>4998</v>
      </c>
      <c r="B116" s="8" t="s">
        <v>4779</v>
      </c>
      <c r="C116" s="8" t="s">
        <v>4818</v>
      </c>
      <c r="D116" s="32" t="s">
        <v>6984</v>
      </c>
      <c r="E116" s="32" t="s">
        <v>4818</v>
      </c>
      <c r="F116" s="10">
        <v>3</v>
      </c>
      <c r="G116" s="8" t="s">
        <v>16</v>
      </c>
      <c r="H116" s="10">
        <v>337.8</v>
      </c>
      <c r="I116" s="10">
        <f t="shared" si="3"/>
        <v>1013.4000000000001</v>
      </c>
      <c r="J116" s="10">
        <v>24.946529999999999</v>
      </c>
      <c r="K116" s="8" t="s">
        <v>4800</v>
      </c>
      <c r="S116"/>
    </row>
    <row r="117" spans="1:19" ht="15" x14ac:dyDescent="0.25">
      <c r="A117" s="8" t="s">
        <v>4998</v>
      </c>
      <c r="B117" s="8" t="s">
        <v>4779</v>
      </c>
      <c r="C117" s="8" t="s">
        <v>4780</v>
      </c>
      <c r="D117" s="32" t="s">
        <v>6984</v>
      </c>
      <c r="E117" s="32" t="s">
        <v>4780</v>
      </c>
      <c r="F117" s="10">
        <v>4</v>
      </c>
      <c r="G117" s="8" t="s">
        <v>16</v>
      </c>
      <c r="H117" s="10">
        <v>57.75</v>
      </c>
      <c r="I117" s="10">
        <f t="shared" si="3"/>
        <v>231</v>
      </c>
      <c r="J117" s="10">
        <v>7.3822400000000004</v>
      </c>
      <c r="K117" s="8" t="s">
        <v>4781</v>
      </c>
      <c r="S117"/>
    </row>
    <row r="118" spans="1:19" ht="15" x14ac:dyDescent="0.25">
      <c r="A118" s="8" t="s">
        <v>4998</v>
      </c>
      <c r="B118" s="8" t="s">
        <v>4779</v>
      </c>
      <c r="C118" s="8" t="s">
        <v>4999</v>
      </c>
      <c r="D118" s="32" t="s">
        <v>6984</v>
      </c>
      <c r="E118" s="32" t="s">
        <v>4999</v>
      </c>
      <c r="F118" s="10">
        <v>1</v>
      </c>
      <c r="G118" s="8" t="s">
        <v>16</v>
      </c>
      <c r="H118" s="10">
        <v>1962.1</v>
      </c>
      <c r="I118" s="10">
        <f t="shared" si="3"/>
        <v>1962.1</v>
      </c>
      <c r="J118" s="10">
        <v>28.440799999999999</v>
      </c>
      <c r="K118" s="8" t="s">
        <v>4784</v>
      </c>
      <c r="S118"/>
    </row>
    <row r="119" spans="1:19" ht="15" x14ac:dyDescent="0.25">
      <c r="A119" s="8" t="s">
        <v>4998</v>
      </c>
      <c r="B119" s="8" t="s">
        <v>4779</v>
      </c>
      <c r="C119" s="8" t="s">
        <v>4782</v>
      </c>
      <c r="D119" s="32" t="s">
        <v>6984</v>
      </c>
      <c r="E119" s="32" t="s">
        <v>4782</v>
      </c>
      <c r="F119" s="10">
        <v>1</v>
      </c>
      <c r="G119" s="8" t="s">
        <v>16</v>
      </c>
      <c r="H119" s="10">
        <v>57.7</v>
      </c>
      <c r="I119" s="10">
        <f t="shared" si="3"/>
        <v>57.7</v>
      </c>
      <c r="J119" s="10">
        <v>1.8455600000000001</v>
      </c>
      <c r="K119" s="8" t="s">
        <v>4781</v>
      </c>
      <c r="S119"/>
    </row>
    <row r="120" spans="1:19" ht="15" x14ac:dyDescent="0.25">
      <c r="A120" s="8" t="s">
        <v>4998</v>
      </c>
      <c r="B120" s="8" t="s">
        <v>4779</v>
      </c>
      <c r="C120" s="8" t="s">
        <v>4801</v>
      </c>
      <c r="D120" s="32" t="s">
        <v>6984</v>
      </c>
      <c r="E120" s="32" t="s">
        <v>4801</v>
      </c>
      <c r="F120" s="10">
        <v>2</v>
      </c>
      <c r="G120" s="8" t="s">
        <v>16</v>
      </c>
      <c r="H120" s="10">
        <v>62.9</v>
      </c>
      <c r="I120" s="10">
        <f t="shared" si="3"/>
        <v>125.8</v>
      </c>
      <c r="J120" s="10">
        <v>4.0203280000000001</v>
      </c>
      <c r="K120" s="8" t="s">
        <v>4781</v>
      </c>
      <c r="S120"/>
    </row>
    <row r="121" spans="1:19" ht="15" x14ac:dyDescent="0.25">
      <c r="A121" s="8" t="s">
        <v>4998</v>
      </c>
      <c r="B121" s="8" t="s">
        <v>4779</v>
      </c>
      <c r="C121" s="8" t="s">
        <v>4812</v>
      </c>
      <c r="D121" s="32" t="s">
        <v>6984</v>
      </c>
      <c r="E121" s="32" t="s">
        <v>4812</v>
      </c>
      <c r="F121" s="10">
        <v>4</v>
      </c>
      <c r="G121" s="8" t="s">
        <v>16</v>
      </c>
      <c r="H121" s="10">
        <v>1283.7750000000001</v>
      </c>
      <c r="I121" s="10">
        <f t="shared" si="3"/>
        <v>5135.1000000000004</v>
      </c>
      <c r="J121" s="10">
        <v>75.129865652000007</v>
      </c>
      <c r="K121" s="8" t="s">
        <v>4784</v>
      </c>
      <c r="S121"/>
    </row>
    <row r="122" spans="1:19" ht="15" x14ac:dyDescent="0.25">
      <c r="A122" s="8" t="s">
        <v>4998</v>
      </c>
      <c r="B122" s="8" t="s">
        <v>4779</v>
      </c>
      <c r="C122" s="8" t="s">
        <v>5000</v>
      </c>
      <c r="D122" s="32" t="s">
        <v>6984</v>
      </c>
      <c r="E122" s="32" t="s">
        <v>5000</v>
      </c>
      <c r="F122" s="10">
        <v>6</v>
      </c>
      <c r="G122" s="8" t="s">
        <v>16</v>
      </c>
      <c r="H122" s="10">
        <v>1915.1499999999999</v>
      </c>
      <c r="I122" s="10">
        <f t="shared" si="3"/>
        <v>11490.9</v>
      </c>
      <c r="J122" s="10">
        <v>166.81744800000001</v>
      </c>
      <c r="K122" s="8" t="s">
        <v>4784</v>
      </c>
      <c r="S122"/>
    </row>
    <row r="123" spans="1:19" ht="15" x14ac:dyDescent="0.25">
      <c r="A123" s="8" t="s">
        <v>4998</v>
      </c>
      <c r="B123" s="8" t="s">
        <v>4779</v>
      </c>
      <c r="C123" s="8" t="s">
        <v>5001</v>
      </c>
      <c r="D123" s="32" t="s">
        <v>6984</v>
      </c>
      <c r="E123" s="32" t="s">
        <v>5001</v>
      </c>
      <c r="F123" s="10">
        <v>6</v>
      </c>
      <c r="G123" s="8" t="s">
        <v>16</v>
      </c>
      <c r="H123" s="10">
        <v>328.13333333333333</v>
      </c>
      <c r="I123" s="10">
        <f t="shared" si="3"/>
        <v>1968.8</v>
      </c>
      <c r="J123" s="10">
        <v>48.205311000000002</v>
      </c>
      <c r="K123" s="8" t="s">
        <v>4800</v>
      </c>
      <c r="S123"/>
    </row>
    <row r="124" spans="1:19" ht="15" x14ac:dyDescent="0.25">
      <c r="A124" s="8" t="s">
        <v>4998</v>
      </c>
      <c r="B124" s="8" t="s">
        <v>4779</v>
      </c>
      <c r="C124" s="8" t="s">
        <v>4815</v>
      </c>
      <c r="D124" s="32" t="s">
        <v>6984</v>
      </c>
      <c r="E124" s="32" t="s">
        <v>4815</v>
      </c>
      <c r="F124" s="10">
        <v>1</v>
      </c>
      <c r="G124" s="8" t="s">
        <v>16</v>
      </c>
      <c r="H124" s="10">
        <v>1856.6</v>
      </c>
      <c r="I124" s="10">
        <f t="shared" si="3"/>
        <v>1856.6</v>
      </c>
      <c r="J124" s="10">
        <v>24.67221967</v>
      </c>
      <c r="K124" s="8" t="s">
        <v>4792</v>
      </c>
      <c r="S124"/>
    </row>
    <row r="125" spans="1:19" ht="15" x14ac:dyDescent="0.25">
      <c r="A125" s="8" t="s">
        <v>4998</v>
      </c>
      <c r="B125" s="8" t="s">
        <v>4779</v>
      </c>
      <c r="C125" s="8" t="s">
        <v>4813</v>
      </c>
      <c r="D125" s="32" t="s">
        <v>6984</v>
      </c>
      <c r="E125" s="32" t="s">
        <v>4813</v>
      </c>
      <c r="F125" s="10">
        <v>2</v>
      </c>
      <c r="G125" s="8" t="s">
        <v>16</v>
      </c>
      <c r="H125" s="10">
        <v>1847.85</v>
      </c>
      <c r="I125" s="10">
        <f t="shared" si="3"/>
        <v>3695.7</v>
      </c>
      <c r="J125" s="10">
        <v>48.775194859999999</v>
      </c>
      <c r="K125" s="8" t="s">
        <v>4792</v>
      </c>
      <c r="S125"/>
    </row>
    <row r="126" spans="1:19" ht="15" x14ac:dyDescent="0.25">
      <c r="A126" s="8" t="s">
        <v>4998</v>
      </c>
      <c r="B126" s="8" t="s">
        <v>4779</v>
      </c>
      <c r="C126" s="8" t="s">
        <v>5002</v>
      </c>
      <c r="D126" s="32" t="s">
        <v>6984</v>
      </c>
      <c r="E126" s="32" t="s">
        <v>5002</v>
      </c>
      <c r="F126" s="10">
        <v>1</v>
      </c>
      <c r="G126" s="8" t="s">
        <v>16</v>
      </c>
      <c r="H126" s="10">
        <v>1919.7</v>
      </c>
      <c r="I126" s="10">
        <f t="shared" si="3"/>
        <v>1919.7</v>
      </c>
      <c r="J126" s="10">
        <v>27.990060525000001</v>
      </c>
      <c r="K126" s="8" t="s">
        <v>4784</v>
      </c>
      <c r="S126"/>
    </row>
    <row r="127" spans="1:19" ht="15" x14ac:dyDescent="0.25">
      <c r="A127" s="8" t="s">
        <v>4998</v>
      </c>
      <c r="B127" s="8" t="s">
        <v>4779</v>
      </c>
      <c r="C127" s="8" t="s">
        <v>4814</v>
      </c>
      <c r="D127" s="32" t="s">
        <v>6984</v>
      </c>
      <c r="E127" s="32" t="s">
        <v>4814</v>
      </c>
      <c r="F127" s="10">
        <v>1</v>
      </c>
      <c r="G127" s="8" t="s">
        <v>16</v>
      </c>
      <c r="H127" s="10">
        <v>1856.6</v>
      </c>
      <c r="I127" s="10">
        <f t="shared" si="3"/>
        <v>1856.6</v>
      </c>
      <c r="J127" s="10">
        <v>24.67221967</v>
      </c>
      <c r="K127" s="8" t="s">
        <v>4792</v>
      </c>
      <c r="S127"/>
    </row>
    <row r="128" spans="1:19" ht="15" x14ac:dyDescent="0.25">
      <c r="A128" s="8" t="s">
        <v>4998</v>
      </c>
      <c r="B128" s="8" t="s">
        <v>4779</v>
      </c>
      <c r="C128" s="8" t="s">
        <v>4816</v>
      </c>
      <c r="D128" s="32" t="s">
        <v>6984</v>
      </c>
      <c r="E128" s="32" t="s">
        <v>4816</v>
      </c>
      <c r="F128" s="10">
        <v>1</v>
      </c>
      <c r="G128" s="8" t="s">
        <v>16</v>
      </c>
      <c r="H128" s="10">
        <v>1327.4</v>
      </c>
      <c r="I128" s="10">
        <f t="shared" si="3"/>
        <v>1327.4</v>
      </c>
      <c r="J128" s="10">
        <v>19.828386801000001</v>
      </c>
      <c r="K128" s="8" t="s">
        <v>4784</v>
      </c>
      <c r="S128"/>
    </row>
    <row r="129" spans="1:19" ht="15" x14ac:dyDescent="0.25">
      <c r="A129" s="8" t="s">
        <v>4998</v>
      </c>
      <c r="B129" s="8" t="s">
        <v>4779</v>
      </c>
      <c r="C129" s="8" t="s">
        <v>4807</v>
      </c>
      <c r="D129" s="32" t="s">
        <v>6984</v>
      </c>
      <c r="E129" s="32" t="s">
        <v>4807</v>
      </c>
      <c r="F129" s="10">
        <v>1</v>
      </c>
      <c r="G129" s="8" t="s">
        <v>16</v>
      </c>
      <c r="H129" s="10">
        <v>1503.2</v>
      </c>
      <c r="I129" s="10">
        <f t="shared" si="3"/>
        <v>1503.2</v>
      </c>
      <c r="J129" s="10">
        <v>22.427225507999999</v>
      </c>
      <c r="K129" s="8" t="s">
        <v>4784</v>
      </c>
      <c r="S129"/>
    </row>
    <row r="130" spans="1:19" ht="15" x14ac:dyDescent="0.25">
      <c r="A130" s="8" t="s">
        <v>4998</v>
      </c>
      <c r="B130" s="8" t="s">
        <v>4779</v>
      </c>
      <c r="C130" s="8" t="s">
        <v>4808</v>
      </c>
      <c r="D130" s="32" t="s">
        <v>6984</v>
      </c>
      <c r="E130" s="32" t="s">
        <v>4808</v>
      </c>
      <c r="F130" s="10">
        <v>1</v>
      </c>
      <c r="G130" s="8" t="s">
        <v>16</v>
      </c>
      <c r="H130" s="10">
        <v>2152.1</v>
      </c>
      <c r="I130" s="10">
        <f t="shared" si="3"/>
        <v>2152.1</v>
      </c>
      <c r="J130" s="10">
        <v>29.041531324000001</v>
      </c>
      <c r="K130" s="8" t="s">
        <v>4792</v>
      </c>
      <c r="S130"/>
    </row>
    <row r="131" spans="1:19" ht="15" x14ac:dyDescent="0.25">
      <c r="A131" s="8" t="s">
        <v>4998</v>
      </c>
      <c r="B131" s="8" t="s">
        <v>4779</v>
      </c>
      <c r="C131" s="8" t="s">
        <v>4817</v>
      </c>
      <c r="D131" s="32" t="s">
        <v>6984</v>
      </c>
      <c r="E131" s="32" t="s">
        <v>4817</v>
      </c>
      <c r="F131" s="10">
        <v>1</v>
      </c>
      <c r="G131" s="8" t="s">
        <v>16</v>
      </c>
      <c r="H131" s="10">
        <v>1906.8</v>
      </c>
      <c r="I131" s="10">
        <f t="shared" si="3"/>
        <v>1906.8</v>
      </c>
      <c r="J131" s="10">
        <v>25.951314432</v>
      </c>
      <c r="K131" s="8" t="s">
        <v>4792</v>
      </c>
      <c r="S131"/>
    </row>
    <row r="132" spans="1:19" ht="15" x14ac:dyDescent="0.25">
      <c r="A132" s="8" t="s">
        <v>4998</v>
      </c>
      <c r="B132" s="8" t="s">
        <v>4779</v>
      </c>
      <c r="C132" s="8" t="s">
        <v>4785</v>
      </c>
      <c r="D132" s="32" t="s">
        <v>6984</v>
      </c>
      <c r="E132" s="32" t="s">
        <v>4785</v>
      </c>
      <c r="F132" s="10">
        <v>1</v>
      </c>
      <c r="G132" s="8" t="s">
        <v>16</v>
      </c>
      <c r="H132" s="10">
        <v>50.8</v>
      </c>
      <c r="I132" s="10">
        <f t="shared" si="3"/>
        <v>50.8</v>
      </c>
      <c r="J132" s="10">
        <v>1.6266665424</v>
      </c>
      <c r="K132" s="8" t="s">
        <v>4781</v>
      </c>
      <c r="S132"/>
    </row>
    <row r="133" spans="1:19" ht="15" x14ac:dyDescent="0.25">
      <c r="A133" s="8" t="s">
        <v>4998</v>
      </c>
      <c r="B133" s="8" t="s">
        <v>4779</v>
      </c>
      <c r="C133" s="8" t="s">
        <v>4802</v>
      </c>
      <c r="D133" s="32" t="s">
        <v>6984</v>
      </c>
      <c r="E133" s="32" t="s">
        <v>4802</v>
      </c>
      <c r="F133" s="10">
        <v>1</v>
      </c>
      <c r="G133" s="8" t="s">
        <v>16</v>
      </c>
      <c r="H133" s="10">
        <v>338.1</v>
      </c>
      <c r="I133" s="10">
        <f t="shared" ref="I133:I196" si="4">F133*H133</f>
        <v>338.1</v>
      </c>
      <c r="J133" s="10">
        <v>8.3768651999999992</v>
      </c>
      <c r="K133" s="8" t="s">
        <v>4800</v>
      </c>
      <c r="S133"/>
    </row>
    <row r="134" spans="1:19" ht="15" x14ac:dyDescent="0.25">
      <c r="A134" s="8" t="s">
        <v>4998</v>
      </c>
      <c r="B134" s="8" t="s">
        <v>4779</v>
      </c>
      <c r="C134" s="8" t="s">
        <v>4803</v>
      </c>
      <c r="D134" s="32" t="s">
        <v>6984</v>
      </c>
      <c r="E134" s="32" t="s">
        <v>4803</v>
      </c>
      <c r="F134" s="10">
        <v>1</v>
      </c>
      <c r="G134" s="8" t="s">
        <v>16</v>
      </c>
      <c r="H134" s="10">
        <v>338.1</v>
      </c>
      <c r="I134" s="10">
        <f t="shared" si="4"/>
        <v>338.1</v>
      </c>
      <c r="J134" s="10">
        <v>8.3768651999999992</v>
      </c>
      <c r="K134" s="8" t="s">
        <v>4800</v>
      </c>
      <c r="S134"/>
    </row>
    <row r="135" spans="1:19" ht="15" x14ac:dyDescent="0.25">
      <c r="A135" s="8" t="s">
        <v>4998</v>
      </c>
      <c r="B135" s="8" t="s">
        <v>4779</v>
      </c>
      <c r="C135" s="8" t="s">
        <v>5003</v>
      </c>
      <c r="D135" s="32" t="s">
        <v>6984</v>
      </c>
      <c r="E135" s="32" t="s">
        <v>5003</v>
      </c>
      <c r="F135" s="10">
        <v>2</v>
      </c>
      <c r="G135" s="8" t="s">
        <v>16</v>
      </c>
      <c r="H135" s="10">
        <v>333.65</v>
      </c>
      <c r="I135" s="10">
        <f t="shared" si="4"/>
        <v>667.3</v>
      </c>
      <c r="J135" s="10">
        <v>16.424443400000001</v>
      </c>
      <c r="K135" s="8" t="s">
        <v>4800</v>
      </c>
      <c r="S135"/>
    </row>
    <row r="136" spans="1:19" ht="15" x14ac:dyDescent="0.25">
      <c r="A136" s="8" t="s">
        <v>4998</v>
      </c>
      <c r="B136" s="8" t="s">
        <v>4779</v>
      </c>
      <c r="C136" s="8" t="s">
        <v>4786</v>
      </c>
      <c r="D136" s="32" t="s">
        <v>6984</v>
      </c>
      <c r="E136" s="32" t="s">
        <v>4786</v>
      </c>
      <c r="F136" s="10">
        <v>1</v>
      </c>
      <c r="G136" s="8" t="s">
        <v>16</v>
      </c>
      <c r="H136" s="10">
        <v>47.4</v>
      </c>
      <c r="I136" s="10">
        <f t="shared" si="4"/>
        <v>47.4</v>
      </c>
      <c r="J136" s="10">
        <v>1.5149000399999999</v>
      </c>
      <c r="K136" s="8" t="s">
        <v>4781</v>
      </c>
      <c r="S136"/>
    </row>
    <row r="137" spans="1:19" ht="15" x14ac:dyDescent="0.25">
      <c r="A137" s="8" t="s">
        <v>4998</v>
      </c>
      <c r="B137" s="8" t="s">
        <v>4779</v>
      </c>
      <c r="C137" s="8" t="s">
        <v>4787</v>
      </c>
      <c r="D137" s="32" t="s">
        <v>6984</v>
      </c>
      <c r="E137" s="32" t="s">
        <v>4787</v>
      </c>
      <c r="F137" s="10">
        <v>1</v>
      </c>
      <c r="G137" s="8" t="s">
        <v>16</v>
      </c>
      <c r="H137" s="10">
        <v>1976.1</v>
      </c>
      <c r="I137" s="10">
        <f t="shared" si="4"/>
        <v>1976.1</v>
      </c>
      <c r="J137" s="10">
        <v>28.943785520999999</v>
      </c>
      <c r="K137" s="8" t="s">
        <v>4784</v>
      </c>
      <c r="S137"/>
    </row>
    <row r="138" spans="1:19" ht="15" x14ac:dyDescent="0.25">
      <c r="A138" s="8" t="s">
        <v>4998</v>
      </c>
      <c r="B138" s="8" t="s">
        <v>4779</v>
      </c>
      <c r="C138" s="8" t="s">
        <v>4788</v>
      </c>
      <c r="D138" s="32" t="s">
        <v>6984</v>
      </c>
      <c r="E138" s="32" t="s">
        <v>4788</v>
      </c>
      <c r="F138" s="10">
        <v>3</v>
      </c>
      <c r="G138" s="8" t="s">
        <v>16</v>
      </c>
      <c r="H138" s="10">
        <v>1736.0666666666666</v>
      </c>
      <c r="I138" s="10">
        <f t="shared" si="4"/>
        <v>5208.2</v>
      </c>
      <c r="J138" s="10">
        <v>76.218315149999995</v>
      </c>
      <c r="K138" s="8" t="s">
        <v>4784</v>
      </c>
      <c r="S138"/>
    </row>
    <row r="139" spans="1:19" ht="15" x14ac:dyDescent="0.25">
      <c r="A139" s="8" t="s">
        <v>4998</v>
      </c>
      <c r="B139" s="8" t="s">
        <v>4779</v>
      </c>
      <c r="C139" s="8" t="s">
        <v>4789</v>
      </c>
      <c r="D139" s="32" t="s">
        <v>6984</v>
      </c>
      <c r="E139" s="32" t="s">
        <v>4789</v>
      </c>
      <c r="F139" s="10">
        <v>1</v>
      </c>
      <c r="G139" s="8" t="s">
        <v>16</v>
      </c>
      <c r="H139" s="10">
        <v>916.4</v>
      </c>
      <c r="I139" s="10">
        <f t="shared" si="4"/>
        <v>916.4</v>
      </c>
      <c r="J139" s="10">
        <v>14.749327158750001</v>
      </c>
      <c r="K139" s="8" t="s">
        <v>4790</v>
      </c>
      <c r="S139"/>
    </row>
    <row r="140" spans="1:19" ht="15" x14ac:dyDescent="0.25">
      <c r="A140" s="8" t="s">
        <v>4998</v>
      </c>
      <c r="B140" s="8" t="s">
        <v>4779</v>
      </c>
      <c r="C140" s="8" t="s">
        <v>4791</v>
      </c>
      <c r="D140" s="32" t="s">
        <v>6984</v>
      </c>
      <c r="E140" s="32" t="s">
        <v>4791</v>
      </c>
      <c r="F140" s="10">
        <v>1</v>
      </c>
      <c r="G140" s="8" t="s">
        <v>16</v>
      </c>
      <c r="H140" s="10">
        <v>2088.3000000000002</v>
      </c>
      <c r="I140" s="10">
        <f t="shared" si="4"/>
        <v>2088.3000000000002</v>
      </c>
      <c r="J140" s="10">
        <v>27.931973150000001</v>
      </c>
      <c r="K140" s="8" t="s">
        <v>4792</v>
      </c>
      <c r="S140"/>
    </row>
    <row r="141" spans="1:19" ht="15" x14ac:dyDescent="0.25">
      <c r="A141" s="8" t="s">
        <v>4998</v>
      </c>
      <c r="B141" s="8" t="s">
        <v>4779</v>
      </c>
      <c r="C141" s="8" t="s">
        <v>5004</v>
      </c>
      <c r="D141" s="32" t="s">
        <v>6984</v>
      </c>
      <c r="E141" s="32" t="s">
        <v>5004</v>
      </c>
      <c r="F141" s="10">
        <v>1</v>
      </c>
      <c r="G141" s="8" t="s">
        <v>16</v>
      </c>
      <c r="H141" s="10">
        <v>1978.3</v>
      </c>
      <c r="I141" s="10">
        <f t="shared" si="4"/>
        <v>1978.3</v>
      </c>
      <c r="J141" s="10">
        <v>28.969932799999999</v>
      </c>
      <c r="K141" s="8" t="s">
        <v>4784</v>
      </c>
      <c r="S141"/>
    </row>
    <row r="142" spans="1:19" ht="15" x14ac:dyDescent="0.25">
      <c r="A142" s="8" t="s">
        <v>4998</v>
      </c>
      <c r="B142" s="8" t="s">
        <v>4779</v>
      </c>
      <c r="C142" s="8" t="s">
        <v>5005</v>
      </c>
      <c r="D142" s="32" t="s">
        <v>6984</v>
      </c>
      <c r="E142" s="32" t="s">
        <v>5005</v>
      </c>
      <c r="F142" s="10">
        <v>1</v>
      </c>
      <c r="G142" s="8" t="s">
        <v>16</v>
      </c>
      <c r="H142" s="10">
        <v>1933.7</v>
      </c>
      <c r="I142" s="10">
        <f t="shared" si="4"/>
        <v>1933.7</v>
      </c>
      <c r="J142" s="10">
        <v>28.338355836000002</v>
      </c>
      <c r="K142" s="8" t="s">
        <v>4784</v>
      </c>
      <c r="S142"/>
    </row>
    <row r="143" spans="1:19" ht="15" x14ac:dyDescent="0.25">
      <c r="A143" s="8" t="s">
        <v>4998</v>
      </c>
      <c r="B143" s="8" t="s">
        <v>4779</v>
      </c>
      <c r="C143" s="8" t="s">
        <v>5006</v>
      </c>
      <c r="D143" s="32" t="s">
        <v>6984</v>
      </c>
      <c r="E143" s="32" t="s">
        <v>5006</v>
      </c>
      <c r="F143" s="10">
        <v>1</v>
      </c>
      <c r="G143" s="8" t="s">
        <v>16</v>
      </c>
      <c r="H143" s="10">
        <v>412.1</v>
      </c>
      <c r="I143" s="10">
        <f t="shared" si="4"/>
        <v>412.1</v>
      </c>
      <c r="J143" s="10">
        <v>6.3233438169999996</v>
      </c>
      <c r="K143" s="8" t="s">
        <v>4784</v>
      </c>
      <c r="S143"/>
    </row>
    <row r="144" spans="1:19" ht="15" x14ac:dyDescent="0.25">
      <c r="A144" s="8" t="s">
        <v>4998</v>
      </c>
      <c r="B144" s="8" t="s">
        <v>4779</v>
      </c>
      <c r="C144" s="8" t="s">
        <v>5007</v>
      </c>
      <c r="D144" s="32" t="s">
        <v>6984</v>
      </c>
      <c r="E144" s="32" t="s">
        <v>5007</v>
      </c>
      <c r="F144" s="10">
        <v>1</v>
      </c>
      <c r="G144" s="8" t="s">
        <v>16</v>
      </c>
      <c r="H144" s="10">
        <v>429.6</v>
      </c>
      <c r="I144" s="10">
        <f t="shared" si="4"/>
        <v>429.6</v>
      </c>
      <c r="J144" s="10">
        <v>7.0406640210000004</v>
      </c>
      <c r="K144" s="8" t="s">
        <v>4784</v>
      </c>
      <c r="S144"/>
    </row>
    <row r="145" spans="1:19" ht="15" x14ac:dyDescent="0.25">
      <c r="A145" s="8" t="s">
        <v>4998</v>
      </c>
      <c r="B145" s="8" t="s">
        <v>4779</v>
      </c>
      <c r="C145" s="8" t="s">
        <v>5008</v>
      </c>
      <c r="D145" s="32" t="s">
        <v>6984</v>
      </c>
      <c r="E145" s="32" t="s">
        <v>5008</v>
      </c>
      <c r="F145" s="10">
        <v>4</v>
      </c>
      <c r="G145" s="8" t="s">
        <v>4903</v>
      </c>
      <c r="H145" s="10">
        <v>241.8</v>
      </c>
      <c r="I145" s="10">
        <f t="shared" si="4"/>
        <v>967.2</v>
      </c>
      <c r="J145" s="10">
        <v>24.824072000000001</v>
      </c>
      <c r="K145" s="8" t="s">
        <v>4949</v>
      </c>
      <c r="S145"/>
    </row>
    <row r="146" spans="1:19" ht="15" x14ac:dyDescent="0.25">
      <c r="A146" s="8" t="s">
        <v>4998</v>
      </c>
      <c r="B146" s="8" t="s">
        <v>4779</v>
      </c>
      <c r="C146" s="8" t="s">
        <v>5009</v>
      </c>
      <c r="D146" s="32" t="s">
        <v>6984</v>
      </c>
      <c r="E146" s="32" t="s">
        <v>5009</v>
      </c>
      <c r="F146" s="10">
        <v>4</v>
      </c>
      <c r="G146" s="8" t="s">
        <v>4903</v>
      </c>
      <c r="H146" s="10">
        <v>227.8</v>
      </c>
      <c r="I146" s="10">
        <f t="shared" si="4"/>
        <v>911.2</v>
      </c>
      <c r="J146" s="10">
        <v>23.390276</v>
      </c>
      <c r="K146" s="8" t="s">
        <v>4949</v>
      </c>
      <c r="S146"/>
    </row>
    <row r="147" spans="1:19" ht="15" x14ac:dyDescent="0.25">
      <c r="A147" s="8" t="s">
        <v>4998</v>
      </c>
      <c r="B147" s="8" t="s">
        <v>4779</v>
      </c>
      <c r="C147" s="8" t="s">
        <v>4804</v>
      </c>
      <c r="D147" s="32" t="s">
        <v>6984</v>
      </c>
      <c r="E147" s="32" t="s">
        <v>4804</v>
      </c>
      <c r="F147" s="10">
        <v>54</v>
      </c>
      <c r="G147" s="8" t="s">
        <v>22</v>
      </c>
      <c r="H147" s="10">
        <v>2.744444444444444</v>
      </c>
      <c r="I147" s="10">
        <f t="shared" si="4"/>
        <v>148.19999999999999</v>
      </c>
      <c r="J147" s="10">
        <v>6.0689250000000001</v>
      </c>
      <c r="K147" s="8" t="s">
        <v>4798</v>
      </c>
      <c r="S147"/>
    </row>
    <row r="148" spans="1:19" ht="15" x14ac:dyDescent="0.25">
      <c r="A148" s="8" t="s">
        <v>4998</v>
      </c>
      <c r="B148" s="8" t="s">
        <v>4779</v>
      </c>
      <c r="C148" s="8" t="s">
        <v>4793</v>
      </c>
      <c r="D148" s="32" t="s">
        <v>6984</v>
      </c>
      <c r="E148" s="32" t="s">
        <v>4793</v>
      </c>
      <c r="F148" s="10">
        <v>28</v>
      </c>
      <c r="G148" s="8" t="s">
        <v>22</v>
      </c>
      <c r="H148" s="10">
        <v>6.6000000000000005</v>
      </c>
      <c r="I148" s="10">
        <f t="shared" si="4"/>
        <v>184.8</v>
      </c>
      <c r="J148" s="10">
        <v>5.0501639999999997</v>
      </c>
      <c r="K148" s="8" t="s">
        <v>25</v>
      </c>
      <c r="S148"/>
    </row>
    <row r="149" spans="1:19" ht="15" x14ac:dyDescent="0.25">
      <c r="A149" s="8" t="s">
        <v>4998</v>
      </c>
      <c r="B149" s="8" t="s">
        <v>4779</v>
      </c>
      <c r="C149" s="8" t="s">
        <v>5010</v>
      </c>
      <c r="D149" s="32" t="s">
        <v>6984</v>
      </c>
      <c r="E149" s="32" t="s">
        <v>5010</v>
      </c>
      <c r="F149" s="10">
        <v>4</v>
      </c>
      <c r="G149" s="8" t="s">
        <v>22</v>
      </c>
      <c r="H149" s="10">
        <v>3</v>
      </c>
      <c r="I149" s="10">
        <f t="shared" si="4"/>
        <v>12</v>
      </c>
      <c r="J149" s="10">
        <v>0.38892480000000001</v>
      </c>
      <c r="K149" s="8" t="s">
        <v>23</v>
      </c>
      <c r="S149"/>
    </row>
    <row r="150" spans="1:19" ht="15" x14ac:dyDescent="0.25">
      <c r="A150" s="8" t="s">
        <v>4998</v>
      </c>
      <c r="B150" s="8" t="s">
        <v>4779</v>
      </c>
      <c r="C150" s="8" t="s">
        <v>4794</v>
      </c>
      <c r="D150" s="32" t="s">
        <v>6984</v>
      </c>
      <c r="E150" s="32" t="s">
        <v>4794</v>
      </c>
      <c r="F150" s="10">
        <v>28</v>
      </c>
      <c r="G150" s="8" t="s">
        <v>22</v>
      </c>
      <c r="H150" s="10">
        <v>21.567857142857143</v>
      </c>
      <c r="I150" s="10">
        <f t="shared" si="4"/>
        <v>603.9</v>
      </c>
      <c r="J150" s="10">
        <v>12.622674399999999</v>
      </c>
      <c r="K150" s="8" t="s">
        <v>4795</v>
      </c>
      <c r="S150"/>
    </row>
    <row r="151" spans="1:19" ht="15" x14ac:dyDescent="0.25">
      <c r="A151" s="8" t="s">
        <v>4998</v>
      </c>
      <c r="B151" s="8" t="s">
        <v>4779</v>
      </c>
      <c r="C151" s="8" t="s">
        <v>4809</v>
      </c>
      <c r="D151" s="32" t="s">
        <v>6984</v>
      </c>
      <c r="E151" s="32" t="s">
        <v>4809</v>
      </c>
      <c r="F151" s="10">
        <v>72</v>
      </c>
      <c r="G151" s="8" t="s">
        <v>22</v>
      </c>
      <c r="H151" s="10">
        <v>1.2749999999999999</v>
      </c>
      <c r="I151" s="10">
        <f t="shared" si="4"/>
        <v>91.8</v>
      </c>
      <c r="J151" s="10">
        <v>2.9699711999999998</v>
      </c>
      <c r="K151" s="8" t="s">
        <v>23</v>
      </c>
      <c r="S151"/>
    </row>
    <row r="152" spans="1:19" ht="15" x14ac:dyDescent="0.25">
      <c r="A152" s="8" t="s">
        <v>4998</v>
      </c>
      <c r="B152" s="8" t="s">
        <v>4779</v>
      </c>
      <c r="C152" s="8" t="s">
        <v>5011</v>
      </c>
      <c r="D152" s="32" t="s">
        <v>6984</v>
      </c>
      <c r="E152" s="32" t="s">
        <v>5011</v>
      </c>
      <c r="F152" s="10">
        <v>2</v>
      </c>
      <c r="G152" s="8" t="s">
        <v>22</v>
      </c>
      <c r="H152" s="10">
        <v>9.25</v>
      </c>
      <c r="I152" s="10">
        <f t="shared" si="4"/>
        <v>18.5</v>
      </c>
      <c r="J152" s="10">
        <v>0.59740800000000005</v>
      </c>
      <c r="K152" s="8" t="s">
        <v>23</v>
      </c>
      <c r="S152"/>
    </row>
    <row r="153" spans="1:19" ht="15" x14ac:dyDescent="0.25">
      <c r="A153" s="8" t="s">
        <v>4998</v>
      </c>
      <c r="B153" s="8" t="s">
        <v>4779</v>
      </c>
      <c r="C153" s="8" t="s">
        <v>5012</v>
      </c>
      <c r="D153" s="32" t="s">
        <v>6984</v>
      </c>
      <c r="E153" s="32" t="s">
        <v>5012</v>
      </c>
      <c r="F153" s="10">
        <v>4</v>
      </c>
      <c r="G153" s="8" t="s">
        <v>22</v>
      </c>
      <c r="H153" s="10">
        <v>12.525</v>
      </c>
      <c r="I153" s="10">
        <f t="shared" si="4"/>
        <v>50.1</v>
      </c>
      <c r="J153" s="10">
        <v>0.69753600000000004</v>
      </c>
      <c r="K153" s="8" t="s">
        <v>5013</v>
      </c>
      <c r="S153"/>
    </row>
    <row r="154" spans="1:19" ht="15" x14ac:dyDescent="0.25">
      <c r="A154" s="8" t="s">
        <v>4998</v>
      </c>
      <c r="B154" s="8" t="s">
        <v>4779</v>
      </c>
      <c r="C154" s="8" t="s">
        <v>5014</v>
      </c>
      <c r="D154" s="32" t="s">
        <v>6984</v>
      </c>
      <c r="E154" s="32" t="s">
        <v>5014</v>
      </c>
      <c r="F154" s="10">
        <v>8</v>
      </c>
      <c r="G154" s="8" t="s">
        <v>22</v>
      </c>
      <c r="H154" s="10">
        <v>3.3</v>
      </c>
      <c r="I154" s="10">
        <f t="shared" si="4"/>
        <v>26.4</v>
      </c>
      <c r="J154" s="10">
        <v>0.55130880000000004</v>
      </c>
      <c r="K154" s="8" t="s">
        <v>4795</v>
      </c>
      <c r="S154"/>
    </row>
    <row r="155" spans="1:19" ht="15" x14ac:dyDescent="0.25">
      <c r="A155" s="8" t="s">
        <v>4998</v>
      </c>
      <c r="B155" s="8" t="s">
        <v>4779</v>
      </c>
      <c r="C155" s="8" t="s">
        <v>4810</v>
      </c>
      <c r="D155" s="32" t="s">
        <v>6984</v>
      </c>
      <c r="E155" s="32" t="s">
        <v>4810</v>
      </c>
      <c r="F155" s="10">
        <v>32</v>
      </c>
      <c r="G155" s="8" t="s">
        <v>22</v>
      </c>
      <c r="H155" s="10">
        <v>3.6968749999999999</v>
      </c>
      <c r="I155" s="10">
        <f t="shared" si="4"/>
        <v>118.3</v>
      </c>
      <c r="J155" s="10">
        <v>3.8279628799999998</v>
      </c>
      <c r="K155" s="8" t="s">
        <v>23</v>
      </c>
      <c r="S155"/>
    </row>
    <row r="156" spans="1:19" ht="15" x14ac:dyDescent="0.25">
      <c r="A156" s="8" t="s">
        <v>4998</v>
      </c>
      <c r="B156" s="8" t="s">
        <v>4779</v>
      </c>
      <c r="C156" s="8" t="s">
        <v>4811</v>
      </c>
      <c r="D156" s="32" t="s">
        <v>6984</v>
      </c>
      <c r="E156" s="32" t="s">
        <v>4811</v>
      </c>
      <c r="F156" s="10">
        <v>36</v>
      </c>
      <c r="G156" s="8" t="s">
        <v>22</v>
      </c>
      <c r="H156" s="10">
        <v>2.0083333333333333</v>
      </c>
      <c r="I156" s="10">
        <f t="shared" si="4"/>
        <v>72.3</v>
      </c>
      <c r="J156" s="10">
        <v>2.95974</v>
      </c>
      <c r="K156" s="8" t="s">
        <v>4798</v>
      </c>
      <c r="S156"/>
    </row>
    <row r="157" spans="1:19" ht="15" x14ac:dyDescent="0.25">
      <c r="A157" s="8" t="s">
        <v>4998</v>
      </c>
      <c r="B157" s="8" t="s">
        <v>4779</v>
      </c>
      <c r="C157" s="8" t="s">
        <v>5015</v>
      </c>
      <c r="D157" s="32" t="s">
        <v>6984</v>
      </c>
      <c r="E157" s="32" t="s">
        <v>5015</v>
      </c>
      <c r="F157" s="10">
        <v>1</v>
      </c>
      <c r="G157" s="8" t="s">
        <v>22</v>
      </c>
      <c r="H157" s="10">
        <v>14.6</v>
      </c>
      <c r="I157" s="10">
        <f t="shared" si="4"/>
        <v>14.6</v>
      </c>
      <c r="J157" s="10">
        <v>0.39909135000000001</v>
      </c>
      <c r="K157" s="8" t="s">
        <v>25</v>
      </c>
      <c r="S157"/>
    </row>
    <row r="158" spans="1:19" ht="15" x14ac:dyDescent="0.25">
      <c r="A158" s="8" t="s">
        <v>4998</v>
      </c>
      <c r="B158" s="8" t="s">
        <v>4779</v>
      </c>
      <c r="C158" s="8" t="s">
        <v>5016</v>
      </c>
      <c r="D158" s="32" t="s">
        <v>6984</v>
      </c>
      <c r="E158" s="32" t="s">
        <v>5016</v>
      </c>
      <c r="F158" s="10">
        <v>1</v>
      </c>
      <c r="G158" s="8" t="s">
        <v>22</v>
      </c>
      <c r="H158" s="10">
        <v>23.7</v>
      </c>
      <c r="I158" s="10">
        <f t="shared" si="4"/>
        <v>23.7</v>
      </c>
      <c r="J158" s="10">
        <v>0.69336628087999996</v>
      </c>
      <c r="K158" s="8" t="s">
        <v>25</v>
      </c>
      <c r="S158"/>
    </row>
    <row r="159" spans="1:19" ht="15" x14ac:dyDescent="0.25">
      <c r="A159" s="8" t="s">
        <v>4998</v>
      </c>
      <c r="B159" s="8" t="s">
        <v>4779</v>
      </c>
      <c r="C159" s="8" t="s">
        <v>4796</v>
      </c>
      <c r="D159" s="32" t="s">
        <v>6984</v>
      </c>
      <c r="E159" s="32" t="s">
        <v>4796</v>
      </c>
      <c r="F159" s="10">
        <v>104</v>
      </c>
      <c r="G159" s="8" t="s">
        <v>22</v>
      </c>
      <c r="H159" s="10">
        <v>6.6</v>
      </c>
      <c r="I159" s="10">
        <f t="shared" si="4"/>
        <v>686.4</v>
      </c>
      <c r="J159" s="10">
        <v>18.757752</v>
      </c>
      <c r="K159" s="8" t="s">
        <v>25</v>
      </c>
      <c r="S159"/>
    </row>
    <row r="160" spans="1:19" ht="15" x14ac:dyDescent="0.25">
      <c r="A160" s="8" t="s">
        <v>4998</v>
      </c>
      <c r="B160" s="8" t="s">
        <v>4779</v>
      </c>
      <c r="C160" s="8" t="s">
        <v>4797</v>
      </c>
      <c r="D160" s="32" t="s">
        <v>6984</v>
      </c>
      <c r="E160" s="32" t="s">
        <v>4797</v>
      </c>
      <c r="F160" s="10">
        <v>36</v>
      </c>
      <c r="G160" s="8" t="s">
        <v>22</v>
      </c>
      <c r="H160" s="10">
        <v>1.4833333333333334</v>
      </c>
      <c r="I160" s="10">
        <f t="shared" si="4"/>
        <v>53.400000000000006</v>
      </c>
      <c r="J160" s="10">
        <v>2.1869999999999998</v>
      </c>
      <c r="K160" s="8" t="s">
        <v>4798</v>
      </c>
      <c r="S160"/>
    </row>
    <row r="161" spans="1:19" ht="15" x14ac:dyDescent="0.25">
      <c r="A161" s="8" t="s">
        <v>4998</v>
      </c>
      <c r="B161" s="8" t="s">
        <v>4779</v>
      </c>
      <c r="C161" s="8" t="s">
        <v>4805</v>
      </c>
      <c r="D161" s="32" t="s">
        <v>6984</v>
      </c>
      <c r="E161" s="32" t="s">
        <v>4805</v>
      </c>
      <c r="F161" s="10">
        <v>54</v>
      </c>
      <c r="G161" s="8" t="s">
        <v>22</v>
      </c>
      <c r="H161" s="10">
        <v>2.9296296296296296</v>
      </c>
      <c r="I161" s="10">
        <f t="shared" si="4"/>
        <v>158.19999999999999</v>
      </c>
      <c r="J161" s="10">
        <v>6.4789874999999997</v>
      </c>
      <c r="K161" s="8" t="s">
        <v>4798</v>
      </c>
      <c r="S161"/>
    </row>
    <row r="162" spans="1:19" ht="15" x14ac:dyDescent="0.25">
      <c r="A162" s="8" t="s">
        <v>4932</v>
      </c>
      <c r="B162" s="8" t="s">
        <v>14</v>
      </c>
      <c r="C162" s="8" t="s">
        <v>5017</v>
      </c>
      <c r="D162" s="32" t="s">
        <v>6984</v>
      </c>
      <c r="E162" s="32" t="s">
        <v>5017</v>
      </c>
      <c r="F162" s="10">
        <v>1</v>
      </c>
      <c r="G162" s="8" t="s">
        <v>4934</v>
      </c>
      <c r="H162" s="10">
        <v>2909.4</v>
      </c>
      <c r="I162" s="10">
        <f t="shared" si="4"/>
        <v>2909.4</v>
      </c>
      <c r="J162" s="10">
        <v>41.862916374320001</v>
      </c>
      <c r="K162" s="8" t="s">
        <v>4935</v>
      </c>
      <c r="S162"/>
    </row>
    <row r="163" spans="1:19" ht="15" x14ac:dyDescent="0.25">
      <c r="A163" s="8" t="s">
        <v>5018</v>
      </c>
      <c r="B163" s="8" t="s">
        <v>4819</v>
      </c>
      <c r="C163" s="8" t="s">
        <v>5019</v>
      </c>
      <c r="D163" s="32" t="s">
        <v>6984</v>
      </c>
      <c r="E163" s="32" t="s">
        <v>5019</v>
      </c>
      <c r="F163" s="10">
        <v>1</v>
      </c>
      <c r="G163" s="8" t="s">
        <v>4934</v>
      </c>
      <c r="H163" s="10">
        <v>2910.9</v>
      </c>
      <c r="I163" s="10">
        <f t="shared" si="4"/>
        <v>2910.9</v>
      </c>
      <c r="J163" s="10">
        <v>45.964387637039998</v>
      </c>
      <c r="K163" s="8" t="s">
        <v>4935</v>
      </c>
      <c r="S163"/>
    </row>
    <row r="164" spans="1:19" ht="15" x14ac:dyDescent="0.25">
      <c r="A164" s="8" t="s">
        <v>5018</v>
      </c>
      <c r="B164" s="8" t="s">
        <v>4819</v>
      </c>
      <c r="C164" s="8" t="s">
        <v>5020</v>
      </c>
      <c r="D164" s="32" t="s">
        <v>6984</v>
      </c>
      <c r="E164" s="32" t="s">
        <v>5020</v>
      </c>
      <c r="F164" s="10">
        <v>1</v>
      </c>
      <c r="G164" s="8" t="s">
        <v>4934</v>
      </c>
      <c r="H164" s="10">
        <v>2969.1</v>
      </c>
      <c r="I164" s="10">
        <f t="shared" si="4"/>
        <v>2969.1</v>
      </c>
      <c r="J164" s="10">
        <v>45.828718976700003</v>
      </c>
      <c r="K164" s="8" t="s">
        <v>4935</v>
      </c>
      <c r="S164"/>
    </row>
    <row r="165" spans="1:19" ht="15" x14ac:dyDescent="0.25">
      <c r="A165" s="8" t="s">
        <v>5018</v>
      </c>
      <c r="B165" s="8" t="s">
        <v>4819</v>
      </c>
      <c r="C165" s="8" t="s">
        <v>5021</v>
      </c>
      <c r="D165" s="32" t="s">
        <v>6984</v>
      </c>
      <c r="E165" s="32" t="s">
        <v>5021</v>
      </c>
      <c r="F165" s="10">
        <v>1</v>
      </c>
      <c r="G165" s="8" t="s">
        <v>4934</v>
      </c>
      <c r="H165" s="10">
        <v>3052.9</v>
      </c>
      <c r="I165" s="10">
        <f t="shared" si="4"/>
        <v>3052.9</v>
      </c>
      <c r="J165" s="10">
        <v>48.179353077519998</v>
      </c>
      <c r="K165" s="8" t="s">
        <v>4935</v>
      </c>
      <c r="S165"/>
    </row>
    <row r="166" spans="1:19" ht="15" x14ac:dyDescent="0.25">
      <c r="A166" s="8" t="s">
        <v>5018</v>
      </c>
      <c r="B166" s="8" t="s">
        <v>4819</v>
      </c>
      <c r="C166" s="8" t="s">
        <v>5022</v>
      </c>
      <c r="D166" s="32" t="s">
        <v>6984</v>
      </c>
      <c r="E166" s="32" t="s">
        <v>5022</v>
      </c>
      <c r="F166" s="10">
        <v>1</v>
      </c>
      <c r="G166" s="8" t="s">
        <v>4934</v>
      </c>
      <c r="H166" s="10">
        <v>2046.7</v>
      </c>
      <c r="I166" s="10">
        <f t="shared" si="4"/>
        <v>2046.7</v>
      </c>
      <c r="J166" s="10">
        <v>31.530224237279999</v>
      </c>
      <c r="K166" s="8" t="s">
        <v>4935</v>
      </c>
      <c r="S166"/>
    </row>
    <row r="167" spans="1:19" ht="15" x14ac:dyDescent="0.25">
      <c r="A167" s="8" t="s">
        <v>5018</v>
      </c>
      <c r="B167" s="8" t="s">
        <v>4819</v>
      </c>
      <c r="C167" s="8" t="s">
        <v>5023</v>
      </c>
      <c r="D167" s="32" t="s">
        <v>6984</v>
      </c>
      <c r="E167" s="32" t="s">
        <v>5023</v>
      </c>
      <c r="F167" s="10">
        <v>1</v>
      </c>
      <c r="G167" s="8" t="s">
        <v>4934</v>
      </c>
      <c r="H167" s="10">
        <v>2155.9</v>
      </c>
      <c r="I167" s="10">
        <f t="shared" si="4"/>
        <v>2155.9</v>
      </c>
      <c r="J167" s="10">
        <v>34.319131981760002</v>
      </c>
      <c r="K167" s="8" t="s">
        <v>4935</v>
      </c>
      <c r="S167"/>
    </row>
    <row r="168" spans="1:19" ht="15" x14ac:dyDescent="0.25">
      <c r="A168" s="8" t="s">
        <v>5018</v>
      </c>
      <c r="B168" s="8" t="s">
        <v>4819</v>
      </c>
      <c r="C168" s="8" t="s">
        <v>5024</v>
      </c>
      <c r="D168" s="32" t="s">
        <v>6984</v>
      </c>
      <c r="E168" s="32" t="s">
        <v>5024</v>
      </c>
      <c r="F168" s="10">
        <v>1</v>
      </c>
      <c r="G168" s="8" t="s">
        <v>4934</v>
      </c>
      <c r="H168" s="10">
        <v>2459.5</v>
      </c>
      <c r="I168" s="10">
        <f t="shared" si="4"/>
        <v>2459.5</v>
      </c>
      <c r="J168" s="10">
        <v>38.789496140700003</v>
      </c>
      <c r="K168" s="8" t="s">
        <v>4935</v>
      </c>
      <c r="S168"/>
    </row>
    <row r="169" spans="1:19" ht="15" x14ac:dyDescent="0.25">
      <c r="A169" s="8" t="s">
        <v>5018</v>
      </c>
      <c r="B169" s="8" t="s">
        <v>4819</v>
      </c>
      <c r="C169" s="8" t="s">
        <v>5025</v>
      </c>
      <c r="D169" s="32" t="s">
        <v>6984</v>
      </c>
      <c r="E169" s="32" t="s">
        <v>5025</v>
      </c>
      <c r="F169" s="10">
        <v>1</v>
      </c>
      <c r="G169" s="8" t="s">
        <v>4934</v>
      </c>
      <c r="H169" s="10">
        <v>2340.5</v>
      </c>
      <c r="I169" s="10">
        <f t="shared" si="4"/>
        <v>2340.5</v>
      </c>
      <c r="J169" s="10">
        <v>35.785856654920003</v>
      </c>
      <c r="K169" s="8" t="s">
        <v>4935</v>
      </c>
      <c r="S169"/>
    </row>
    <row r="170" spans="1:19" ht="15" x14ac:dyDescent="0.25">
      <c r="A170" s="8" t="s">
        <v>5018</v>
      </c>
      <c r="B170" s="8" t="s">
        <v>4819</v>
      </c>
      <c r="C170" s="8" t="s">
        <v>5026</v>
      </c>
      <c r="D170" s="32" t="s">
        <v>6984</v>
      </c>
      <c r="E170" s="32" t="s">
        <v>5026</v>
      </c>
      <c r="F170" s="10">
        <v>1</v>
      </c>
      <c r="G170" s="8" t="s">
        <v>4934</v>
      </c>
      <c r="H170" s="10">
        <v>3256.2</v>
      </c>
      <c r="I170" s="10">
        <f t="shared" si="4"/>
        <v>3256.2</v>
      </c>
      <c r="J170" s="10">
        <v>50.98491848922</v>
      </c>
      <c r="K170" s="8" t="s">
        <v>4935</v>
      </c>
      <c r="S170"/>
    </row>
    <row r="171" spans="1:19" ht="15" x14ac:dyDescent="0.25">
      <c r="A171" s="8" t="s">
        <v>5018</v>
      </c>
      <c r="B171" s="8" t="s">
        <v>4819</v>
      </c>
      <c r="C171" s="8" t="s">
        <v>5027</v>
      </c>
      <c r="D171" s="32" t="s">
        <v>6984</v>
      </c>
      <c r="E171" s="32" t="s">
        <v>5027</v>
      </c>
      <c r="F171" s="10">
        <v>1</v>
      </c>
      <c r="G171" s="8" t="s">
        <v>4934</v>
      </c>
      <c r="H171" s="10">
        <v>3189.9</v>
      </c>
      <c r="I171" s="10">
        <f t="shared" si="4"/>
        <v>3189.9</v>
      </c>
      <c r="J171" s="10">
        <v>49.777324926650003</v>
      </c>
      <c r="K171" s="8" t="s">
        <v>4935</v>
      </c>
      <c r="S171"/>
    </row>
    <row r="172" spans="1:19" ht="15" x14ac:dyDescent="0.25">
      <c r="A172" s="8" t="s">
        <v>5018</v>
      </c>
      <c r="B172" s="8" t="s">
        <v>4819</v>
      </c>
      <c r="C172" s="8" t="s">
        <v>5028</v>
      </c>
      <c r="D172" s="32" t="s">
        <v>6984</v>
      </c>
      <c r="E172" s="32" t="s">
        <v>5028</v>
      </c>
      <c r="F172" s="10">
        <v>1</v>
      </c>
      <c r="G172" s="8" t="s">
        <v>4934</v>
      </c>
      <c r="H172" s="10">
        <v>3226</v>
      </c>
      <c r="I172" s="10">
        <f t="shared" si="4"/>
        <v>3226</v>
      </c>
      <c r="J172" s="10">
        <v>50.778687112599997</v>
      </c>
      <c r="K172" s="8" t="s">
        <v>4935</v>
      </c>
      <c r="S172"/>
    </row>
    <row r="173" spans="1:19" ht="15" x14ac:dyDescent="0.25">
      <c r="A173" s="8" t="s">
        <v>5018</v>
      </c>
      <c r="B173" s="8" t="s">
        <v>4819</v>
      </c>
      <c r="C173" s="8" t="s">
        <v>5029</v>
      </c>
      <c r="D173" s="32" t="s">
        <v>6984</v>
      </c>
      <c r="E173" s="32" t="s">
        <v>5029</v>
      </c>
      <c r="F173" s="10">
        <v>1</v>
      </c>
      <c r="G173" s="8" t="s">
        <v>4934</v>
      </c>
      <c r="H173" s="10">
        <v>1113.5999999999999</v>
      </c>
      <c r="I173" s="10">
        <f t="shared" si="4"/>
        <v>1113.5999999999999</v>
      </c>
      <c r="J173" s="10">
        <v>17.659857391940001</v>
      </c>
      <c r="K173" s="8" t="s">
        <v>4935</v>
      </c>
      <c r="S173"/>
    </row>
    <row r="174" spans="1:19" ht="15" x14ac:dyDescent="0.25">
      <c r="A174" s="8" t="s">
        <v>5018</v>
      </c>
      <c r="B174" s="8" t="s">
        <v>4819</v>
      </c>
      <c r="C174" s="8" t="s">
        <v>5030</v>
      </c>
      <c r="D174" s="32" t="s">
        <v>6984</v>
      </c>
      <c r="E174" s="32" t="s">
        <v>5030</v>
      </c>
      <c r="F174" s="10">
        <v>1</v>
      </c>
      <c r="G174" s="8" t="s">
        <v>4934</v>
      </c>
      <c r="H174" s="10">
        <v>813.4</v>
      </c>
      <c r="I174" s="10">
        <f t="shared" si="4"/>
        <v>813.4</v>
      </c>
      <c r="J174" s="10">
        <v>13.14473025287</v>
      </c>
      <c r="K174" s="8" t="s">
        <v>4935</v>
      </c>
      <c r="S174"/>
    </row>
    <row r="175" spans="1:19" ht="15" x14ac:dyDescent="0.25">
      <c r="A175" s="8" t="s">
        <v>5018</v>
      </c>
      <c r="B175" s="8" t="s">
        <v>4819</v>
      </c>
      <c r="C175" s="8" t="s">
        <v>5031</v>
      </c>
      <c r="D175" s="32" t="s">
        <v>6984</v>
      </c>
      <c r="E175" s="32" t="s">
        <v>5031</v>
      </c>
      <c r="F175" s="10">
        <v>1</v>
      </c>
      <c r="G175" s="8" t="s">
        <v>4934</v>
      </c>
      <c r="H175" s="10">
        <v>750.9</v>
      </c>
      <c r="I175" s="10">
        <f t="shared" si="4"/>
        <v>750.9</v>
      </c>
      <c r="J175" s="10">
        <v>12.592464851280001</v>
      </c>
      <c r="K175" s="8" t="s">
        <v>4935</v>
      </c>
      <c r="S175"/>
    </row>
    <row r="176" spans="1:19" ht="15" x14ac:dyDescent="0.25">
      <c r="A176" s="8" t="s">
        <v>5018</v>
      </c>
      <c r="B176" s="8" t="s">
        <v>4819</v>
      </c>
      <c r="C176" s="8" t="s">
        <v>5032</v>
      </c>
      <c r="D176" s="32" t="s">
        <v>6984</v>
      </c>
      <c r="E176" s="32" t="s">
        <v>5032</v>
      </c>
      <c r="F176" s="10">
        <v>1</v>
      </c>
      <c r="G176" s="8" t="s">
        <v>4934</v>
      </c>
      <c r="H176" s="10">
        <v>734.8</v>
      </c>
      <c r="I176" s="10">
        <f t="shared" si="4"/>
        <v>734.8</v>
      </c>
      <c r="J176" s="10">
        <v>12.221552497439999</v>
      </c>
      <c r="K176" s="8" t="s">
        <v>4935</v>
      </c>
      <c r="S176"/>
    </row>
    <row r="177" spans="1:19" ht="15" x14ac:dyDescent="0.25">
      <c r="A177" s="8" t="s">
        <v>5018</v>
      </c>
      <c r="B177" s="8" t="s">
        <v>4819</v>
      </c>
      <c r="C177" s="8" t="s">
        <v>5033</v>
      </c>
      <c r="D177" s="32" t="s">
        <v>6984</v>
      </c>
      <c r="E177" s="32" t="s">
        <v>5033</v>
      </c>
      <c r="F177" s="10">
        <v>1</v>
      </c>
      <c r="G177" s="8" t="s">
        <v>4934</v>
      </c>
      <c r="H177" s="10">
        <v>1075.0999999999999</v>
      </c>
      <c r="I177" s="10">
        <f t="shared" si="4"/>
        <v>1075.0999999999999</v>
      </c>
      <c r="J177" s="10">
        <v>17.78356067228</v>
      </c>
      <c r="K177" s="8" t="s">
        <v>4935</v>
      </c>
      <c r="S177"/>
    </row>
    <row r="178" spans="1:19" ht="15" x14ac:dyDescent="0.25">
      <c r="A178" s="8" t="s">
        <v>5018</v>
      </c>
      <c r="B178" s="8" t="s">
        <v>4819</v>
      </c>
      <c r="C178" s="8" t="s">
        <v>5034</v>
      </c>
      <c r="D178" s="32" t="s">
        <v>6984</v>
      </c>
      <c r="E178" s="32" t="s">
        <v>5034</v>
      </c>
      <c r="F178" s="10">
        <v>1</v>
      </c>
      <c r="G178" s="8" t="s">
        <v>4934</v>
      </c>
      <c r="H178" s="10">
        <v>1051.2</v>
      </c>
      <c r="I178" s="10">
        <f t="shared" si="4"/>
        <v>1051.2</v>
      </c>
      <c r="J178" s="10">
        <v>17.090967037639999</v>
      </c>
      <c r="K178" s="8" t="s">
        <v>4935</v>
      </c>
      <c r="S178"/>
    </row>
    <row r="179" spans="1:19" ht="15" x14ac:dyDescent="0.25">
      <c r="A179" s="8" t="s">
        <v>5018</v>
      </c>
      <c r="B179" s="8" t="s">
        <v>4819</v>
      </c>
      <c r="C179" s="8" t="s">
        <v>4820</v>
      </c>
      <c r="D179" s="32" t="s">
        <v>6984</v>
      </c>
      <c r="E179" s="32" t="s">
        <v>4820</v>
      </c>
      <c r="F179" s="10">
        <v>1</v>
      </c>
      <c r="G179" s="8" t="s">
        <v>16</v>
      </c>
      <c r="H179" s="10">
        <v>876.5</v>
      </c>
      <c r="I179" s="10">
        <f t="shared" si="4"/>
        <v>876.5</v>
      </c>
      <c r="J179" s="10">
        <v>17.955559748999999</v>
      </c>
      <c r="K179" s="8" t="s">
        <v>17</v>
      </c>
      <c r="S179"/>
    </row>
    <row r="180" spans="1:19" ht="15" x14ac:dyDescent="0.25">
      <c r="A180" s="8" t="s">
        <v>5018</v>
      </c>
      <c r="B180" s="8" t="s">
        <v>4819</v>
      </c>
      <c r="C180" s="8" t="s">
        <v>4835</v>
      </c>
      <c r="D180" s="32" t="s">
        <v>6984</v>
      </c>
      <c r="E180" s="32" t="s">
        <v>4835</v>
      </c>
      <c r="F180" s="10">
        <v>7</v>
      </c>
      <c r="G180" s="8" t="s">
        <v>16</v>
      </c>
      <c r="H180" s="10">
        <v>774.21428571428567</v>
      </c>
      <c r="I180" s="10">
        <f t="shared" si="4"/>
        <v>5419.5</v>
      </c>
      <c r="J180" s="10">
        <v>111.072918243</v>
      </c>
      <c r="K180" s="8" t="s">
        <v>17</v>
      </c>
      <c r="S180"/>
    </row>
    <row r="181" spans="1:19" ht="15" x14ac:dyDescent="0.25">
      <c r="A181" s="8" t="s">
        <v>5018</v>
      </c>
      <c r="B181" s="8" t="s">
        <v>4819</v>
      </c>
      <c r="C181" s="8" t="s">
        <v>4836</v>
      </c>
      <c r="D181" s="32" t="s">
        <v>6984</v>
      </c>
      <c r="E181" s="32" t="s">
        <v>4836</v>
      </c>
      <c r="F181" s="10">
        <v>1</v>
      </c>
      <c r="G181" s="8" t="s">
        <v>16</v>
      </c>
      <c r="H181" s="10">
        <v>783.3</v>
      </c>
      <c r="I181" s="10">
        <f t="shared" si="4"/>
        <v>783.3</v>
      </c>
      <c r="J181" s="10">
        <v>16.116879497999999</v>
      </c>
      <c r="K181" s="8" t="s">
        <v>17</v>
      </c>
      <c r="S181"/>
    </row>
    <row r="182" spans="1:19" ht="15" x14ac:dyDescent="0.25">
      <c r="A182" s="8" t="s">
        <v>5018</v>
      </c>
      <c r="B182" s="8" t="s">
        <v>4819</v>
      </c>
      <c r="C182" s="8" t="s">
        <v>4821</v>
      </c>
      <c r="D182" s="32" t="s">
        <v>6984</v>
      </c>
      <c r="E182" s="32" t="s">
        <v>4821</v>
      </c>
      <c r="F182" s="10">
        <v>1</v>
      </c>
      <c r="G182" s="8" t="s">
        <v>16</v>
      </c>
      <c r="H182" s="10">
        <v>879.5</v>
      </c>
      <c r="I182" s="10">
        <f t="shared" si="4"/>
        <v>879.5</v>
      </c>
      <c r="J182" s="10">
        <v>18.07942444275</v>
      </c>
      <c r="K182" s="8" t="s">
        <v>17</v>
      </c>
      <c r="S182"/>
    </row>
    <row r="183" spans="1:19" ht="15" x14ac:dyDescent="0.25">
      <c r="A183" s="8" t="s">
        <v>5018</v>
      </c>
      <c r="B183" s="8" t="s">
        <v>4819</v>
      </c>
      <c r="C183" s="8" t="s">
        <v>5035</v>
      </c>
      <c r="D183" s="32" t="s">
        <v>6984</v>
      </c>
      <c r="E183" s="32" t="s">
        <v>5035</v>
      </c>
      <c r="F183" s="10">
        <v>1</v>
      </c>
      <c r="G183" s="8" t="s">
        <v>16</v>
      </c>
      <c r="H183" s="10">
        <v>826.7</v>
      </c>
      <c r="I183" s="10">
        <f t="shared" si="4"/>
        <v>826.7</v>
      </c>
      <c r="J183" s="10">
        <v>21.0262191775</v>
      </c>
      <c r="K183" s="8" t="s">
        <v>19</v>
      </c>
      <c r="S183"/>
    </row>
    <row r="184" spans="1:19" ht="15" x14ac:dyDescent="0.25">
      <c r="A184" s="8" t="s">
        <v>5018</v>
      </c>
      <c r="B184" s="8" t="s">
        <v>4819</v>
      </c>
      <c r="C184" s="8" t="s">
        <v>4826</v>
      </c>
      <c r="D184" s="32" t="s">
        <v>6984</v>
      </c>
      <c r="E184" s="32" t="s">
        <v>4826</v>
      </c>
      <c r="F184" s="10">
        <v>1</v>
      </c>
      <c r="G184" s="8" t="s">
        <v>16</v>
      </c>
      <c r="H184" s="10">
        <v>847.4</v>
      </c>
      <c r="I184" s="10">
        <f t="shared" si="4"/>
        <v>847.4</v>
      </c>
      <c r="J184" s="10">
        <v>21.6165681775</v>
      </c>
      <c r="K184" s="8" t="s">
        <v>19</v>
      </c>
      <c r="S184"/>
    </row>
    <row r="185" spans="1:19" ht="15" x14ac:dyDescent="0.25">
      <c r="A185" s="8" t="s">
        <v>5018</v>
      </c>
      <c r="B185" s="8" t="s">
        <v>4819</v>
      </c>
      <c r="C185" s="8" t="s">
        <v>4828</v>
      </c>
      <c r="D185" s="32" t="s">
        <v>6984</v>
      </c>
      <c r="E185" s="32" t="s">
        <v>4828</v>
      </c>
      <c r="F185" s="10">
        <v>1</v>
      </c>
      <c r="G185" s="8" t="s">
        <v>16</v>
      </c>
      <c r="H185" s="10">
        <v>959.1</v>
      </c>
      <c r="I185" s="10">
        <f t="shared" si="4"/>
        <v>959.1</v>
      </c>
      <c r="J185" s="10">
        <v>19.965507001999999</v>
      </c>
      <c r="K185" s="8" t="s">
        <v>17</v>
      </c>
      <c r="S185"/>
    </row>
    <row r="186" spans="1:19" ht="15" x14ac:dyDescent="0.25">
      <c r="A186" s="8" t="s">
        <v>5018</v>
      </c>
      <c r="B186" s="8" t="s">
        <v>4819</v>
      </c>
      <c r="C186" s="8" t="s">
        <v>4844</v>
      </c>
      <c r="D186" s="32" t="s">
        <v>6984</v>
      </c>
      <c r="E186" s="32" t="s">
        <v>4844</v>
      </c>
      <c r="F186" s="10">
        <v>1</v>
      </c>
      <c r="G186" s="8" t="s">
        <v>16</v>
      </c>
      <c r="H186" s="10">
        <v>812.8</v>
      </c>
      <c r="I186" s="10">
        <f t="shared" si="4"/>
        <v>812.8</v>
      </c>
      <c r="J186" s="10">
        <v>16.84399191276</v>
      </c>
      <c r="K186" s="8" t="s">
        <v>17</v>
      </c>
      <c r="S186"/>
    </row>
    <row r="187" spans="1:19" ht="15" x14ac:dyDescent="0.25">
      <c r="A187" s="8" t="s">
        <v>5018</v>
      </c>
      <c r="B187" s="8" t="s">
        <v>4819</v>
      </c>
      <c r="C187" s="8" t="s">
        <v>4829</v>
      </c>
      <c r="D187" s="32" t="s">
        <v>6984</v>
      </c>
      <c r="E187" s="32" t="s">
        <v>4829</v>
      </c>
      <c r="F187" s="10">
        <v>1</v>
      </c>
      <c r="G187" s="8" t="s">
        <v>16</v>
      </c>
      <c r="H187" s="10">
        <v>950</v>
      </c>
      <c r="I187" s="10">
        <f t="shared" si="4"/>
        <v>950</v>
      </c>
      <c r="J187" s="10">
        <v>19.716187253000001</v>
      </c>
      <c r="K187" s="8" t="s">
        <v>17</v>
      </c>
      <c r="S187"/>
    </row>
    <row r="188" spans="1:19" ht="15" x14ac:dyDescent="0.25">
      <c r="A188" s="8" t="s">
        <v>5018</v>
      </c>
      <c r="B188" s="8" t="s">
        <v>4819</v>
      </c>
      <c r="C188" s="8" t="s">
        <v>4845</v>
      </c>
      <c r="D188" s="32" t="s">
        <v>6984</v>
      </c>
      <c r="E188" s="32" t="s">
        <v>4845</v>
      </c>
      <c r="F188" s="10">
        <v>1</v>
      </c>
      <c r="G188" s="8" t="s">
        <v>16</v>
      </c>
      <c r="H188" s="10">
        <v>826.9</v>
      </c>
      <c r="I188" s="10">
        <f t="shared" si="4"/>
        <v>826.9</v>
      </c>
      <c r="J188" s="10">
        <v>17.06499557774</v>
      </c>
      <c r="K188" s="8" t="s">
        <v>17</v>
      </c>
      <c r="S188"/>
    </row>
    <row r="189" spans="1:19" ht="15" x14ac:dyDescent="0.25">
      <c r="A189" s="8" t="s">
        <v>5018</v>
      </c>
      <c r="B189" s="8" t="s">
        <v>4819</v>
      </c>
      <c r="C189" s="8" t="s">
        <v>5036</v>
      </c>
      <c r="D189" s="32" t="s">
        <v>6984</v>
      </c>
      <c r="E189" s="32" t="s">
        <v>5036</v>
      </c>
      <c r="F189" s="10">
        <v>1</v>
      </c>
      <c r="G189" s="8" t="s">
        <v>16</v>
      </c>
      <c r="H189" s="10">
        <v>824.3</v>
      </c>
      <c r="I189" s="10">
        <f t="shared" si="4"/>
        <v>824.3</v>
      </c>
      <c r="J189" s="10">
        <v>20.927562999999999</v>
      </c>
      <c r="K189" s="8" t="s">
        <v>19</v>
      </c>
      <c r="S189"/>
    </row>
    <row r="190" spans="1:19" ht="15" x14ac:dyDescent="0.25">
      <c r="A190" s="8" t="s">
        <v>5018</v>
      </c>
      <c r="B190" s="8" t="s">
        <v>4819</v>
      </c>
      <c r="C190" s="8" t="s">
        <v>5037</v>
      </c>
      <c r="D190" s="32" t="s">
        <v>6984</v>
      </c>
      <c r="E190" s="32" t="s">
        <v>5037</v>
      </c>
      <c r="F190" s="10">
        <v>1</v>
      </c>
      <c r="G190" s="8" t="s">
        <v>16</v>
      </c>
      <c r="H190" s="10">
        <v>249.3</v>
      </c>
      <c r="I190" s="10">
        <f t="shared" si="4"/>
        <v>249.3</v>
      </c>
      <c r="J190" s="10">
        <v>7.4353899863999997</v>
      </c>
      <c r="K190" s="8" t="s">
        <v>5038</v>
      </c>
      <c r="S190"/>
    </row>
    <row r="191" spans="1:19" ht="15" x14ac:dyDescent="0.25">
      <c r="A191" s="8" t="s">
        <v>5018</v>
      </c>
      <c r="B191" s="8" t="s">
        <v>4819</v>
      </c>
      <c r="C191" s="8" t="s">
        <v>5039</v>
      </c>
      <c r="D191" s="32" t="s">
        <v>6984</v>
      </c>
      <c r="E191" s="32" t="s">
        <v>5039</v>
      </c>
      <c r="F191" s="10">
        <v>1</v>
      </c>
      <c r="G191" s="8" t="s">
        <v>16</v>
      </c>
      <c r="H191" s="10">
        <v>144.80000000000001</v>
      </c>
      <c r="I191" s="10">
        <f t="shared" si="4"/>
        <v>144.80000000000001</v>
      </c>
      <c r="J191" s="10">
        <v>4.9199349999999997</v>
      </c>
      <c r="K191" s="8" t="s">
        <v>5040</v>
      </c>
      <c r="S191"/>
    </row>
    <row r="192" spans="1:19" ht="15" x14ac:dyDescent="0.25">
      <c r="A192" s="8" t="s">
        <v>5018</v>
      </c>
      <c r="B192" s="8" t="s">
        <v>4819</v>
      </c>
      <c r="C192" s="8" t="s">
        <v>5041</v>
      </c>
      <c r="D192" s="32" t="s">
        <v>6984</v>
      </c>
      <c r="E192" s="32" t="s">
        <v>5041</v>
      </c>
      <c r="F192" s="10">
        <v>2</v>
      </c>
      <c r="G192" s="8" t="s">
        <v>16</v>
      </c>
      <c r="H192" s="10">
        <v>245.05</v>
      </c>
      <c r="I192" s="10">
        <f t="shared" si="4"/>
        <v>490.1</v>
      </c>
      <c r="J192" s="10">
        <v>14.600258999999999</v>
      </c>
      <c r="K192" s="8" t="s">
        <v>5038</v>
      </c>
      <c r="S192"/>
    </row>
    <row r="193" spans="1:19" ht="15" x14ac:dyDescent="0.25">
      <c r="A193" s="8" t="s">
        <v>5018</v>
      </c>
      <c r="B193" s="8" t="s">
        <v>4819</v>
      </c>
      <c r="C193" s="8" t="s">
        <v>5042</v>
      </c>
      <c r="D193" s="32" t="s">
        <v>6984</v>
      </c>
      <c r="E193" s="32" t="s">
        <v>5042</v>
      </c>
      <c r="F193" s="10">
        <v>2</v>
      </c>
      <c r="G193" s="8" t="s">
        <v>16</v>
      </c>
      <c r="H193" s="10">
        <v>823.3</v>
      </c>
      <c r="I193" s="10">
        <f t="shared" si="4"/>
        <v>1646.6</v>
      </c>
      <c r="J193" s="10">
        <v>41.855125999999998</v>
      </c>
      <c r="K193" s="8" t="s">
        <v>19</v>
      </c>
      <c r="S193"/>
    </row>
    <row r="194" spans="1:19" ht="15" x14ac:dyDescent="0.25">
      <c r="A194" s="8" t="s">
        <v>5018</v>
      </c>
      <c r="B194" s="8" t="s">
        <v>4819</v>
      </c>
      <c r="C194" s="8" t="s">
        <v>5043</v>
      </c>
      <c r="D194" s="32" t="s">
        <v>6984</v>
      </c>
      <c r="E194" s="32" t="s">
        <v>5043</v>
      </c>
      <c r="F194" s="10">
        <v>1</v>
      </c>
      <c r="G194" s="8" t="s">
        <v>16</v>
      </c>
      <c r="H194" s="10">
        <v>830.4</v>
      </c>
      <c r="I194" s="10">
        <f t="shared" si="4"/>
        <v>830.4</v>
      </c>
      <c r="J194" s="10">
        <v>21.125455416000001</v>
      </c>
      <c r="K194" s="8" t="s">
        <v>19</v>
      </c>
      <c r="S194"/>
    </row>
    <row r="195" spans="1:19" ht="15" x14ac:dyDescent="0.25">
      <c r="A195" s="8" t="s">
        <v>5018</v>
      </c>
      <c r="B195" s="8" t="s">
        <v>4819</v>
      </c>
      <c r="C195" s="8" t="s">
        <v>5044</v>
      </c>
      <c r="D195" s="32" t="s">
        <v>6984</v>
      </c>
      <c r="E195" s="32" t="s">
        <v>5044</v>
      </c>
      <c r="F195" s="10">
        <v>2</v>
      </c>
      <c r="G195" s="8" t="s">
        <v>16</v>
      </c>
      <c r="H195" s="10">
        <v>144.80000000000001</v>
      </c>
      <c r="I195" s="10">
        <f t="shared" si="4"/>
        <v>289.60000000000002</v>
      </c>
      <c r="J195" s="10">
        <v>9.8398699999999995</v>
      </c>
      <c r="K195" s="8" t="s">
        <v>5040</v>
      </c>
      <c r="S195"/>
    </row>
    <row r="196" spans="1:19" ht="15" x14ac:dyDescent="0.25">
      <c r="A196" s="8" t="s">
        <v>5018</v>
      </c>
      <c r="B196" s="8" t="s">
        <v>4819</v>
      </c>
      <c r="C196" s="8" t="s">
        <v>5045</v>
      </c>
      <c r="D196" s="32" t="s">
        <v>6984</v>
      </c>
      <c r="E196" s="32" t="s">
        <v>5045</v>
      </c>
      <c r="F196" s="10">
        <v>1</v>
      </c>
      <c r="G196" s="8" t="s">
        <v>16</v>
      </c>
      <c r="H196" s="10">
        <v>164.6</v>
      </c>
      <c r="I196" s="10">
        <f t="shared" si="4"/>
        <v>164.6</v>
      </c>
      <c r="J196" s="10">
        <v>5.6005637952000002</v>
      </c>
      <c r="K196" s="8" t="s">
        <v>5040</v>
      </c>
      <c r="S196"/>
    </row>
    <row r="197" spans="1:19" ht="15" x14ac:dyDescent="0.25">
      <c r="A197" s="8" t="s">
        <v>5018</v>
      </c>
      <c r="B197" s="8" t="s">
        <v>4819</v>
      </c>
      <c r="C197" s="8" t="s">
        <v>5046</v>
      </c>
      <c r="D197" s="32" t="s">
        <v>6984</v>
      </c>
      <c r="E197" s="32" t="s">
        <v>5046</v>
      </c>
      <c r="F197" s="10">
        <v>1</v>
      </c>
      <c r="G197" s="8" t="s">
        <v>16</v>
      </c>
      <c r="H197" s="10">
        <v>50.4</v>
      </c>
      <c r="I197" s="10">
        <f t="shared" ref="I197:I260" si="5">F197*H197</f>
        <v>50.4</v>
      </c>
      <c r="J197" s="10">
        <v>1.5215367772799999</v>
      </c>
      <c r="K197" s="8" t="s">
        <v>5038</v>
      </c>
      <c r="S197"/>
    </row>
    <row r="198" spans="1:19" ht="15" x14ac:dyDescent="0.25">
      <c r="A198" s="8" t="s">
        <v>5018</v>
      </c>
      <c r="B198" s="8" t="s">
        <v>4819</v>
      </c>
      <c r="C198" s="8" t="s">
        <v>4830</v>
      </c>
      <c r="D198" s="32" t="s">
        <v>6984</v>
      </c>
      <c r="E198" s="32" t="s">
        <v>4830</v>
      </c>
      <c r="F198" s="10">
        <v>2</v>
      </c>
      <c r="G198" s="8" t="s">
        <v>16</v>
      </c>
      <c r="H198" s="10">
        <v>108.2</v>
      </c>
      <c r="I198" s="10">
        <f t="shared" si="5"/>
        <v>216.4</v>
      </c>
      <c r="J198" s="10">
        <v>6.9158619999999997</v>
      </c>
      <c r="K198" s="8" t="s">
        <v>4781</v>
      </c>
      <c r="S198"/>
    </row>
    <row r="199" spans="1:19" ht="15" x14ac:dyDescent="0.25">
      <c r="A199" s="8" t="s">
        <v>5018</v>
      </c>
      <c r="B199" s="8" t="s">
        <v>4819</v>
      </c>
      <c r="C199" s="8" t="s">
        <v>4842</v>
      </c>
      <c r="D199" s="32" t="s">
        <v>6984</v>
      </c>
      <c r="E199" s="32" t="s">
        <v>4842</v>
      </c>
      <c r="F199" s="10">
        <v>1</v>
      </c>
      <c r="G199" s="8" t="s">
        <v>16</v>
      </c>
      <c r="H199" s="10">
        <v>94.3</v>
      </c>
      <c r="I199" s="10">
        <f t="shared" si="5"/>
        <v>94.3</v>
      </c>
      <c r="J199" s="10">
        <v>3.0139990000000001</v>
      </c>
      <c r="K199" s="8" t="s">
        <v>4781</v>
      </c>
      <c r="S199"/>
    </row>
    <row r="200" spans="1:19" ht="15" x14ac:dyDescent="0.25">
      <c r="A200" s="8" t="s">
        <v>5018</v>
      </c>
      <c r="B200" s="8" t="s">
        <v>4819</v>
      </c>
      <c r="C200" s="8" t="s">
        <v>4837</v>
      </c>
      <c r="D200" s="32" t="s">
        <v>6984</v>
      </c>
      <c r="E200" s="32" t="s">
        <v>4837</v>
      </c>
      <c r="F200" s="10">
        <v>3</v>
      </c>
      <c r="G200" s="8" t="s">
        <v>16</v>
      </c>
      <c r="H200" s="10">
        <v>1202.0666666666666</v>
      </c>
      <c r="I200" s="10">
        <f t="shared" si="5"/>
        <v>3606.2</v>
      </c>
      <c r="J200" s="10">
        <v>73.614528000000007</v>
      </c>
      <c r="K200" s="8" t="s">
        <v>17</v>
      </c>
      <c r="S200"/>
    </row>
    <row r="201" spans="1:19" ht="15" x14ac:dyDescent="0.25">
      <c r="A201" s="8" t="s">
        <v>5018</v>
      </c>
      <c r="B201" s="8" t="s">
        <v>4819</v>
      </c>
      <c r="C201" s="8" t="s">
        <v>4840</v>
      </c>
      <c r="D201" s="32" t="s">
        <v>6984</v>
      </c>
      <c r="E201" s="32" t="s">
        <v>4840</v>
      </c>
      <c r="F201" s="10">
        <v>2</v>
      </c>
      <c r="G201" s="8" t="s">
        <v>16</v>
      </c>
      <c r="H201" s="10">
        <v>94.7</v>
      </c>
      <c r="I201" s="10">
        <f t="shared" si="5"/>
        <v>189.4</v>
      </c>
      <c r="J201" s="10">
        <v>6.0554319999999997</v>
      </c>
      <c r="K201" s="8" t="s">
        <v>4781</v>
      </c>
      <c r="S201"/>
    </row>
    <row r="202" spans="1:19" ht="15" x14ac:dyDescent="0.25">
      <c r="A202" s="8" t="s">
        <v>5018</v>
      </c>
      <c r="B202" s="8" t="s">
        <v>4819</v>
      </c>
      <c r="C202" s="8" t="s">
        <v>4822</v>
      </c>
      <c r="D202" s="32" t="s">
        <v>6984</v>
      </c>
      <c r="E202" s="32" t="s">
        <v>4822</v>
      </c>
      <c r="F202" s="10">
        <v>5</v>
      </c>
      <c r="G202" s="8" t="s">
        <v>16</v>
      </c>
      <c r="H202" s="10">
        <v>845.04</v>
      </c>
      <c r="I202" s="10">
        <f t="shared" si="5"/>
        <v>4225.2</v>
      </c>
      <c r="J202" s="10">
        <v>107.58956000000001</v>
      </c>
      <c r="K202" s="8" t="s">
        <v>19</v>
      </c>
      <c r="S202"/>
    </row>
    <row r="203" spans="1:19" ht="15" x14ac:dyDescent="0.25">
      <c r="A203" s="8" t="s">
        <v>5018</v>
      </c>
      <c r="B203" s="8" t="s">
        <v>4819</v>
      </c>
      <c r="C203" s="8" t="s">
        <v>4843</v>
      </c>
      <c r="D203" s="32" t="s">
        <v>6984</v>
      </c>
      <c r="E203" s="32" t="s">
        <v>4843</v>
      </c>
      <c r="F203" s="10">
        <v>1</v>
      </c>
      <c r="G203" s="8" t="s">
        <v>16</v>
      </c>
      <c r="H203" s="10">
        <v>95.1</v>
      </c>
      <c r="I203" s="10">
        <f t="shared" si="5"/>
        <v>95.1</v>
      </c>
      <c r="J203" s="10">
        <v>3.0401859999999998</v>
      </c>
      <c r="K203" s="8" t="s">
        <v>4781</v>
      </c>
      <c r="S203"/>
    </row>
    <row r="204" spans="1:19" ht="15" x14ac:dyDescent="0.25">
      <c r="A204" s="8" t="s">
        <v>5018</v>
      </c>
      <c r="B204" s="8" t="s">
        <v>4819</v>
      </c>
      <c r="C204" s="8" t="s">
        <v>4841</v>
      </c>
      <c r="D204" s="32" t="s">
        <v>6984</v>
      </c>
      <c r="E204" s="32" t="s">
        <v>4841</v>
      </c>
      <c r="F204" s="10">
        <v>2</v>
      </c>
      <c r="G204" s="8" t="s">
        <v>16</v>
      </c>
      <c r="H204" s="10">
        <v>94.9</v>
      </c>
      <c r="I204" s="10">
        <f t="shared" si="5"/>
        <v>189.8</v>
      </c>
      <c r="J204" s="10">
        <v>6.0679020000000001</v>
      </c>
      <c r="K204" s="8" t="s">
        <v>4781</v>
      </c>
      <c r="S204"/>
    </row>
    <row r="205" spans="1:19" ht="15" x14ac:dyDescent="0.25">
      <c r="A205" s="8" t="s">
        <v>5018</v>
      </c>
      <c r="B205" s="8" t="s">
        <v>4819</v>
      </c>
      <c r="C205" s="8" t="s">
        <v>5047</v>
      </c>
      <c r="D205" s="32" t="s">
        <v>6984</v>
      </c>
      <c r="E205" s="32" t="s">
        <v>5047</v>
      </c>
      <c r="F205" s="10">
        <v>4</v>
      </c>
      <c r="G205" s="8" t="s">
        <v>4903</v>
      </c>
      <c r="H205" s="10">
        <v>207.27500000000001</v>
      </c>
      <c r="I205" s="10">
        <f t="shared" si="5"/>
        <v>829.1</v>
      </c>
      <c r="J205" s="10">
        <v>21.322392000000001</v>
      </c>
      <c r="K205" s="8" t="s">
        <v>4949</v>
      </c>
      <c r="S205"/>
    </row>
    <row r="206" spans="1:19" ht="15" x14ac:dyDescent="0.25">
      <c r="A206" s="8" t="s">
        <v>5018</v>
      </c>
      <c r="B206" s="8" t="s">
        <v>4819</v>
      </c>
      <c r="C206" s="8" t="s">
        <v>5048</v>
      </c>
      <c r="D206" s="32" t="s">
        <v>6984</v>
      </c>
      <c r="E206" s="32" t="s">
        <v>5048</v>
      </c>
      <c r="F206" s="10">
        <v>1</v>
      </c>
      <c r="G206" s="8" t="s">
        <v>4903</v>
      </c>
      <c r="H206" s="10">
        <v>71.900000000000006</v>
      </c>
      <c r="I206" s="10">
        <f t="shared" si="5"/>
        <v>71.900000000000006</v>
      </c>
      <c r="J206" s="10">
        <v>2.7916720000000002</v>
      </c>
      <c r="K206" s="8" t="s">
        <v>5049</v>
      </c>
      <c r="S206"/>
    </row>
    <row r="207" spans="1:19" ht="15" x14ac:dyDescent="0.25">
      <c r="A207" s="8" t="s">
        <v>5018</v>
      </c>
      <c r="B207" s="8" t="s">
        <v>4819</v>
      </c>
      <c r="C207" s="8" t="s">
        <v>5050</v>
      </c>
      <c r="D207" s="32" t="s">
        <v>6984</v>
      </c>
      <c r="E207" s="32" t="s">
        <v>5050</v>
      </c>
      <c r="F207" s="10">
        <v>1</v>
      </c>
      <c r="G207" s="8" t="s">
        <v>4903</v>
      </c>
      <c r="H207" s="10">
        <v>5.7</v>
      </c>
      <c r="I207" s="10">
        <f t="shared" si="5"/>
        <v>5.7</v>
      </c>
      <c r="J207" s="10">
        <v>0.2395728</v>
      </c>
      <c r="K207" s="8" t="s">
        <v>5051</v>
      </c>
      <c r="S207"/>
    </row>
    <row r="208" spans="1:19" ht="15" x14ac:dyDescent="0.25">
      <c r="A208" s="8" t="s">
        <v>5018</v>
      </c>
      <c r="B208" s="8" t="s">
        <v>4819</v>
      </c>
      <c r="C208" s="8" t="s">
        <v>5052</v>
      </c>
      <c r="D208" s="32" t="s">
        <v>6984</v>
      </c>
      <c r="E208" s="32" t="s">
        <v>5052</v>
      </c>
      <c r="F208" s="10">
        <v>1</v>
      </c>
      <c r="G208" s="8" t="s">
        <v>4903</v>
      </c>
      <c r="H208" s="10">
        <v>5.7</v>
      </c>
      <c r="I208" s="10">
        <f t="shared" si="5"/>
        <v>5.7</v>
      </c>
      <c r="J208" s="10">
        <v>0.2395728</v>
      </c>
      <c r="K208" s="8" t="s">
        <v>5051</v>
      </c>
      <c r="S208"/>
    </row>
    <row r="209" spans="1:19" ht="15" x14ac:dyDescent="0.25">
      <c r="A209" s="8" t="s">
        <v>5018</v>
      </c>
      <c r="B209" s="8" t="s">
        <v>4819</v>
      </c>
      <c r="C209" s="8" t="s">
        <v>5053</v>
      </c>
      <c r="D209" s="32" t="s">
        <v>6984</v>
      </c>
      <c r="E209" s="32" t="s">
        <v>5053</v>
      </c>
      <c r="F209" s="10">
        <v>2</v>
      </c>
      <c r="G209" s="8" t="s">
        <v>4903</v>
      </c>
      <c r="H209" s="10">
        <v>5.75</v>
      </c>
      <c r="I209" s="10">
        <f t="shared" si="5"/>
        <v>11.5</v>
      </c>
      <c r="J209" s="10">
        <v>0.4791456</v>
      </c>
      <c r="K209" s="8" t="s">
        <v>5051</v>
      </c>
      <c r="S209"/>
    </row>
    <row r="210" spans="1:19" ht="15" x14ac:dyDescent="0.25">
      <c r="A210" s="8" t="s">
        <v>5018</v>
      </c>
      <c r="B210" s="8" t="s">
        <v>4819</v>
      </c>
      <c r="C210" s="8" t="s">
        <v>5054</v>
      </c>
      <c r="D210" s="32" t="s">
        <v>6984</v>
      </c>
      <c r="E210" s="32" t="s">
        <v>5054</v>
      </c>
      <c r="F210" s="10">
        <v>2</v>
      </c>
      <c r="G210" s="8" t="s">
        <v>4903</v>
      </c>
      <c r="H210" s="10">
        <v>8.85</v>
      </c>
      <c r="I210" s="10">
        <f t="shared" si="5"/>
        <v>17.7</v>
      </c>
      <c r="J210" s="10">
        <v>0.7400544</v>
      </c>
      <c r="K210" s="8" t="s">
        <v>5051</v>
      </c>
      <c r="S210"/>
    </row>
    <row r="211" spans="1:19" ht="15" x14ac:dyDescent="0.25">
      <c r="A211" s="8" t="s">
        <v>5018</v>
      </c>
      <c r="B211" s="8" t="s">
        <v>4819</v>
      </c>
      <c r="C211" s="8" t="s">
        <v>5055</v>
      </c>
      <c r="D211" s="32" t="s">
        <v>6984</v>
      </c>
      <c r="E211" s="32" t="s">
        <v>5055</v>
      </c>
      <c r="F211" s="10">
        <v>3</v>
      </c>
      <c r="G211" s="8" t="s">
        <v>22</v>
      </c>
      <c r="H211" s="10">
        <v>0.43333333333333335</v>
      </c>
      <c r="I211" s="10">
        <f t="shared" si="5"/>
        <v>1.3</v>
      </c>
      <c r="J211" s="10">
        <v>4.5359999999999998E-2</v>
      </c>
      <c r="K211" s="8" t="s">
        <v>5056</v>
      </c>
      <c r="S211"/>
    </row>
    <row r="212" spans="1:19" ht="15" x14ac:dyDescent="0.25">
      <c r="A212" s="8" t="s">
        <v>5018</v>
      </c>
      <c r="B212" s="8" t="s">
        <v>4819</v>
      </c>
      <c r="C212" s="8" t="s">
        <v>5057</v>
      </c>
      <c r="D212" s="32" t="s">
        <v>6984</v>
      </c>
      <c r="E212" s="32" t="s">
        <v>5057</v>
      </c>
      <c r="F212" s="10">
        <v>2</v>
      </c>
      <c r="G212" s="8" t="s">
        <v>22</v>
      </c>
      <c r="H212" s="10">
        <v>1.95</v>
      </c>
      <c r="I212" s="10">
        <f t="shared" si="5"/>
        <v>3.9</v>
      </c>
      <c r="J212" s="10">
        <v>0.16098750000000001</v>
      </c>
      <c r="K212" s="8" t="s">
        <v>4798</v>
      </c>
      <c r="S212"/>
    </row>
    <row r="213" spans="1:19" ht="15" x14ac:dyDescent="0.25">
      <c r="A213" s="8" t="s">
        <v>5018</v>
      </c>
      <c r="B213" s="8" t="s">
        <v>4819</v>
      </c>
      <c r="C213" s="8" t="s">
        <v>4831</v>
      </c>
      <c r="D213" s="32" t="s">
        <v>6984</v>
      </c>
      <c r="E213" s="32" t="s">
        <v>4831</v>
      </c>
      <c r="F213" s="10">
        <v>32</v>
      </c>
      <c r="G213" s="8" t="s">
        <v>22</v>
      </c>
      <c r="H213" s="10">
        <v>1.484375</v>
      </c>
      <c r="I213" s="10">
        <f t="shared" si="5"/>
        <v>47.5</v>
      </c>
      <c r="J213" s="10">
        <v>1.944</v>
      </c>
      <c r="K213" s="8" t="s">
        <v>4798</v>
      </c>
      <c r="S213"/>
    </row>
    <row r="214" spans="1:19" ht="15" x14ac:dyDescent="0.25">
      <c r="A214" s="8" t="s">
        <v>5018</v>
      </c>
      <c r="B214" s="8" t="s">
        <v>4819</v>
      </c>
      <c r="C214" s="8" t="s">
        <v>4846</v>
      </c>
      <c r="D214" s="32" t="s">
        <v>6984</v>
      </c>
      <c r="E214" s="32" t="s">
        <v>4846</v>
      </c>
      <c r="F214" s="10">
        <v>32</v>
      </c>
      <c r="G214" s="8" t="s">
        <v>22</v>
      </c>
      <c r="H214" s="10">
        <v>2.0093749999999999</v>
      </c>
      <c r="I214" s="10">
        <f t="shared" si="5"/>
        <v>64.3</v>
      </c>
      <c r="J214" s="10">
        <v>2.6308799999999999</v>
      </c>
      <c r="K214" s="8" t="s">
        <v>4798</v>
      </c>
      <c r="S214"/>
    </row>
    <row r="215" spans="1:19" ht="15" x14ac:dyDescent="0.25">
      <c r="A215" s="8" t="s">
        <v>5018</v>
      </c>
      <c r="B215" s="8" t="s">
        <v>4819</v>
      </c>
      <c r="C215" s="8" t="s">
        <v>5058</v>
      </c>
      <c r="D215" s="32" t="s">
        <v>6984</v>
      </c>
      <c r="E215" s="32" t="s">
        <v>5058</v>
      </c>
      <c r="F215" s="10">
        <v>2</v>
      </c>
      <c r="G215" s="8" t="s">
        <v>22</v>
      </c>
      <c r="H215" s="10">
        <v>1.6</v>
      </c>
      <c r="I215" s="10">
        <f t="shared" si="5"/>
        <v>3.2</v>
      </c>
      <c r="J215" s="10">
        <v>0.13122</v>
      </c>
      <c r="K215" s="8" t="s">
        <v>4798</v>
      </c>
      <c r="S215"/>
    </row>
    <row r="216" spans="1:19" ht="15" x14ac:dyDescent="0.25">
      <c r="A216" s="8" t="s">
        <v>5018</v>
      </c>
      <c r="B216" s="8" t="s">
        <v>4819</v>
      </c>
      <c r="C216" s="8" t="s">
        <v>4823</v>
      </c>
      <c r="D216" s="32" t="s">
        <v>6984</v>
      </c>
      <c r="E216" s="32" t="s">
        <v>4823</v>
      </c>
      <c r="F216" s="10">
        <v>4</v>
      </c>
      <c r="G216" s="8" t="s">
        <v>22</v>
      </c>
      <c r="H216" s="10">
        <v>1</v>
      </c>
      <c r="I216" s="10">
        <f t="shared" si="5"/>
        <v>4</v>
      </c>
      <c r="J216" s="10">
        <v>0.164025</v>
      </c>
      <c r="K216" s="8" t="s">
        <v>4798</v>
      </c>
      <c r="S216"/>
    </row>
    <row r="217" spans="1:19" ht="15" x14ac:dyDescent="0.25">
      <c r="A217" s="8" t="s">
        <v>5018</v>
      </c>
      <c r="B217" s="8" t="s">
        <v>4819</v>
      </c>
      <c r="C217" s="8" t="s">
        <v>5059</v>
      </c>
      <c r="D217" s="32" t="s">
        <v>6984</v>
      </c>
      <c r="E217" s="32" t="s">
        <v>5059</v>
      </c>
      <c r="F217" s="10">
        <v>32</v>
      </c>
      <c r="G217" s="8" t="s">
        <v>22</v>
      </c>
      <c r="H217" s="10">
        <v>17.956250000000001</v>
      </c>
      <c r="I217" s="10">
        <f t="shared" si="5"/>
        <v>574.6</v>
      </c>
      <c r="J217" s="10">
        <v>15.704012799999999</v>
      </c>
      <c r="K217" s="8" t="s">
        <v>25</v>
      </c>
      <c r="S217"/>
    </row>
    <row r="218" spans="1:19" ht="15" x14ac:dyDescent="0.25">
      <c r="A218" s="8" t="s">
        <v>5018</v>
      </c>
      <c r="B218" s="8" t="s">
        <v>4819</v>
      </c>
      <c r="C218" s="8" t="s">
        <v>4824</v>
      </c>
      <c r="D218" s="32" t="s">
        <v>6984</v>
      </c>
      <c r="E218" s="32" t="s">
        <v>4824</v>
      </c>
      <c r="F218" s="10">
        <v>56</v>
      </c>
      <c r="G218" s="8" t="s">
        <v>22</v>
      </c>
      <c r="H218" s="10">
        <v>5.8732142857142851</v>
      </c>
      <c r="I218" s="10">
        <f t="shared" si="5"/>
        <v>328.9</v>
      </c>
      <c r="J218" s="10">
        <v>8.9875799999999995</v>
      </c>
      <c r="K218" s="8" t="s">
        <v>25</v>
      </c>
      <c r="S218"/>
    </row>
    <row r="219" spans="1:19" ht="15" x14ac:dyDescent="0.25">
      <c r="A219" s="8" t="s">
        <v>5018</v>
      </c>
      <c r="B219" s="8" t="s">
        <v>4819</v>
      </c>
      <c r="C219" s="8" t="s">
        <v>4832</v>
      </c>
      <c r="D219" s="32" t="s">
        <v>6984</v>
      </c>
      <c r="E219" s="32" t="s">
        <v>4832</v>
      </c>
      <c r="F219" s="10">
        <v>32</v>
      </c>
      <c r="G219" s="8" t="s">
        <v>22</v>
      </c>
      <c r="H219" s="10">
        <v>3.6968749999999999</v>
      </c>
      <c r="I219" s="10">
        <f t="shared" si="5"/>
        <v>118.3</v>
      </c>
      <c r="J219" s="10">
        <v>3.8279628799999998</v>
      </c>
      <c r="K219" s="8" t="s">
        <v>23</v>
      </c>
      <c r="S219"/>
    </row>
    <row r="220" spans="1:19" ht="15" x14ac:dyDescent="0.25">
      <c r="A220" s="8" t="s">
        <v>5018</v>
      </c>
      <c r="B220" s="8" t="s">
        <v>4819</v>
      </c>
      <c r="C220" s="8" t="s">
        <v>5060</v>
      </c>
      <c r="D220" s="32" t="s">
        <v>6984</v>
      </c>
      <c r="E220" s="32" t="s">
        <v>5060</v>
      </c>
      <c r="F220" s="10">
        <v>2</v>
      </c>
      <c r="G220" s="8" t="s">
        <v>22</v>
      </c>
      <c r="H220" s="10">
        <v>3.25</v>
      </c>
      <c r="I220" s="10">
        <f t="shared" si="5"/>
        <v>6.5</v>
      </c>
      <c r="J220" s="10">
        <v>0.21002752</v>
      </c>
      <c r="K220" s="8" t="s">
        <v>23</v>
      </c>
      <c r="S220"/>
    </row>
    <row r="221" spans="1:19" ht="15" x14ac:dyDescent="0.25">
      <c r="A221" s="8" t="s">
        <v>5018</v>
      </c>
      <c r="B221" s="8" t="s">
        <v>4819</v>
      </c>
      <c r="C221" s="8" t="s">
        <v>4833</v>
      </c>
      <c r="D221" s="32" t="s">
        <v>6984</v>
      </c>
      <c r="E221" s="32" t="s">
        <v>4833</v>
      </c>
      <c r="F221" s="10">
        <v>64</v>
      </c>
      <c r="G221" s="8" t="s">
        <v>22</v>
      </c>
      <c r="H221" s="10">
        <v>1.2749999999999999</v>
      </c>
      <c r="I221" s="10">
        <f t="shared" si="5"/>
        <v>81.599999999999994</v>
      </c>
      <c r="J221" s="10">
        <v>2.6399743999999998</v>
      </c>
      <c r="K221" s="8" t="s">
        <v>23</v>
      </c>
      <c r="S221"/>
    </row>
    <row r="222" spans="1:19" ht="15" x14ac:dyDescent="0.25">
      <c r="A222" s="8" t="s">
        <v>5018</v>
      </c>
      <c r="B222" s="8" t="s">
        <v>4819</v>
      </c>
      <c r="C222" s="8" t="s">
        <v>5061</v>
      </c>
      <c r="D222" s="32" t="s">
        <v>6984</v>
      </c>
      <c r="E222" s="32" t="s">
        <v>5061</v>
      </c>
      <c r="F222" s="10">
        <v>4</v>
      </c>
      <c r="G222" s="8" t="s">
        <v>22</v>
      </c>
      <c r="H222" s="10">
        <v>1.2749999999999999</v>
      </c>
      <c r="I222" s="10">
        <f t="shared" si="5"/>
        <v>5.0999999999999996</v>
      </c>
      <c r="J222" s="10">
        <v>0.16581119999999999</v>
      </c>
      <c r="K222" s="8" t="s">
        <v>23</v>
      </c>
      <c r="S222"/>
    </row>
    <row r="223" spans="1:19" ht="15" x14ac:dyDescent="0.25">
      <c r="A223" s="8" t="s">
        <v>5018</v>
      </c>
      <c r="B223" s="8" t="s">
        <v>4819</v>
      </c>
      <c r="C223" s="8" t="s">
        <v>4825</v>
      </c>
      <c r="D223" s="32" t="s">
        <v>6984</v>
      </c>
      <c r="E223" s="32" t="s">
        <v>4825</v>
      </c>
      <c r="F223" s="10">
        <v>62</v>
      </c>
      <c r="G223" s="8" t="s">
        <v>22</v>
      </c>
      <c r="H223" s="10">
        <v>4.3016129032258066</v>
      </c>
      <c r="I223" s="10">
        <f t="shared" si="5"/>
        <v>266.7</v>
      </c>
      <c r="J223" s="10">
        <v>8.6928959999999993</v>
      </c>
      <c r="K223" s="8" t="s">
        <v>23</v>
      </c>
      <c r="S223"/>
    </row>
    <row r="224" spans="1:19" ht="15" x14ac:dyDescent="0.25">
      <c r="A224" s="8" t="s">
        <v>5018</v>
      </c>
      <c r="B224" s="8" t="s">
        <v>4819</v>
      </c>
      <c r="C224" s="8" t="s">
        <v>5062</v>
      </c>
      <c r="D224" s="32" t="s">
        <v>6984</v>
      </c>
      <c r="E224" s="32" t="s">
        <v>5062</v>
      </c>
      <c r="F224" s="10">
        <v>64</v>
      </c>
      <c r="G224" s="8" t="s">
        <v>22</v>
      </c>
      <c r="H224" s="10">
        <v>8.8609375000000004</v>
      </c>
      <c r="I224" s="10">
        <f t="shared" si="5"/>
        <v>567.1</v>
      </c>
      <c r="J224" s="10">
        <v>11.853139199999999</v>
      </c>
      <c r="K224" s="8" t="s">
        <v>4795</v>
      </c>
      <c r="S224"/>
    </row>
    <row r="225" spans="1:19" ht="15" x14ac:dyDescent="0.25">
      <c r="A225" s="8" t="s">
        <v>5018</v>
      </c>
      <c r="B225" s="8" t="s">
        <v>4819</v>
      </c>
      <c r="C225" s="8" t="s">
        <v>5063</v>
      </c>
      <c r="D225" s="32" t="s">
        <v>6984</v>
      </c>
      <c r="E225" s="32" t="s">
        <v>5063</v>
      </c>
      <c r="F225" s="10">
        <v>32</v>
      </c>
      <c r="G225" s="8" t="s">
        <v>22</v>
      </c>
      <c r="H225" s="10">
        <v>21.096875000000001</v>
      </c>
      <c r="I225" s="10">
        <f t="shared" si="5"/>
        <v>675.1</v>
      </c>
      <c r="J225" s="10">
        <v>14.11088</v>
      </c>
      <c r="K225" s="8" t="s">
        <v>4795</v>
      </c>
      <c r="S225"/>
    </row>
    <row r="226" spans="1:19" ht="15" x14ac:dyDescent="0.25">
      <c r="A226" s="8" t="s">
        <v>5018</v>
      </c>
      <c r="B226" s="8" t="s">
        <v>4819</v>
      </c>
      <c r="C226" s="8" t="s">
        <v>5064</v>
      </c>
      <c r="D226" s="32" t="s">
        <v>6984</v>
      </c>
      <c r="E226" s="32" t="s">
        <v>5064</v>
      </c>
      <c r="F226" s="10">
        <v>1</v>
      </c>
      <c r="G226" s="8" t="s">
        <v>16</v>
      </c>
      <c r="H226" s="10">
        <v>1160.9000000000001</v>
      </c>
      <c r="I226" s="10">
        <f t="shared" si="5"/>
        <v>1160.9000000000001</v>
      </c>
      <c r="J226" s="10">
        <v>23.976528693750002</v>
      </c>
      <c r="K226" s="8" t="s">
        <v>17</v>
      </c>
      <c r="S226"/>
    </row>
    <row r="227" spans="1:19" ht="15" x14ac:dyDescent="0.25">
      <c r="A227" s="8" t="s">
        <v>5018</v>
      </c>
      <c r="B227" s="8" t="s">
        <v>4819</v>
      </c>
      <c r="C227" s="8" t="s">
        <v>5065</v>
      </c>
      <c r="D227" s="32" t="s">
        <v>6984</v>
      </c>
      <c r="E227" s="32" t="s">
        <v>5065</v>
      </c>
      <c r="F227" s="10">
        <v>1</v>
      </c>
      <c r="G227" s="8" t="s">
        <v>16</v>
      </c>
      <c r="H227" s="10">
        <v>1160.9000000000001</v>
      </c>
      <c r="I227" s="10">
        <f t="shared" si="5"/>
        <v>1160.9000000000001</v>
      </c>
      <c r="J227" s="10">
        <v>23.976528693750002</v>
      </c>
      <c r="K227" s="8" t="s">
        <v>17</v>
      </c>
      <c r="S227"/>
    </row>
    <row r="228" spans="1:19" ht="15" x14ac:dyDescent="0.25">
      <c r="A228" s="8" t="s">
        <v>5018</v>
      </c>
      <c r="B228" s="8" t="s">
        <v>4819</v>
      </c>
      <c r="C228" s="8" t="s">
        <v>5066</v>
      </c>
      <c r="D228" s="32" t="s">
        <v>6984</v>
      </c>
      <c r="E228" s="32" t="s">
        <v>5066</v>
      </c>
      <c r="F228" s="10">
        <v>1</v>
      </c>
      <c r="G228" s="8" t="s">
        <v>16</v>
      </c>
      <c r="H228" s="10">
        <v>830.2</v>
      </c>
      <c r="I228" s="10">
        <f t="shared" si="5"/>
        <v>830.2</v>
      </c>
      <c r="J228" s="10">
        <v>21.124875355</v>
      </c>
      <c r="K228" s="8" t="s">
        <v>19</v>
      </c>
      <c r="S228"/>
    </row>
    <row r="229" spans="1:19" ht="15" x14ac:dyDescent="0.25">
      <c r="A229" s="8" t="s">
        <v>5018</v>
      </c>
      <c r="B229" s="8" t="s">
        <v>4819</v>
      </c>
      <c r="C229" s="8" t="s">
        <v>4827</v>
      </c>
      <c r="D229" s="32" t="s">
        <v>6984</v>
      </c>
      <c r="E229" s="32" t="s">
        <v>4827</v>
      </c>
      <c r="F229" s="10">
        <v>1</v>
      </c>
      <c r="G229" s="8" t="s">
        <v>16</v>
      </c>
      <c r="H229" s="10">
        <v>851</v>
      </c>
      <c r="I229" s="10">
        <f t="shared" si="5"/>
        <v>851</v>
      </c>
      <c r="J229" s="10">
        <v>21.715224355</v>
      </c>
      <c r="K229" s="8" t="s">
        <v>19</v>
      </c>
      <c r="S229"/>
    </row>
    <row r="230" spans="1:19" ht="15" x14ac:dyDescent="0.25">
      <c r="A230" s="8" t="s">
        <v>5018</v>
      </c>
      <c r="B230" s="8" t="s">
        <v>4819</v>
      </c>
      <c r="C230" s="8" t="s">
        <v>4838</v>
      </c>
      <c r="D230" s="32" t="s">
        <v>6984</v>
      </c>
      <c r="E230" s="32" t="s">
        <v>4838</v>
      </c>
      <c r="F230" s="10">
        <v>2</v>
      </c>
      <c r="G230" s="8" t="s">
        <v>16</v>
      </c>
      <c r="H230" s="10">
        <v>849.85</v>
      </c>
      <c r="I230" s="10">
        <f t="shared" si="5"/>
        <v>1699.7</v>
      </c>
      <c r="J230" s="10">
        <v>43.43044871</v>
      </c>
      <c r="K230" s="8" t="s">
        <v>19</v>
      </c>
      <c r="S230"/>
    </row>
    <row r="231" spans="1:19" ht="15" x14ac:dyDescent="0.25">
      <c r="A231" s="8" t="s">
        <v>5018</v>
      </c>
      <c r="B231" s="8" t="s">
        <v>4819</v>
      </c>
      <c r="C231" s="8" t="s">
        <v>4839</v>
      </c>
      <c r="D231" s="32" t="s">
        <v>6984</v>
      </c>
      <c r="E231" s="32" t="s">
        <v>4839</v>
      </c>
      <c r="F231" s="10">
        <v>2</v>
      </c>
      <c r="G231" s="8" t="s">
        <v>16</v>
      </c>
      <c r="H231" s="10">
        <v>1193.05</v>
      </c>
      <c r="I231" s="10">
        <f t="shared" si="5"/>
        <v>2386.1</v>
      </c>
      <c r="J231" s="10">
        <v>49.571810775000003</v>
      </c>
      <c r="K231" s="8" t="s">
        <v>17</v>
      </c>
      <c r="S231"/>
    </row>
    <row r="232" spans="1:19" ht="15" x14ac:dyDescent="0.25">
      <c r="A232" s="8" t="s">
        <v>5018</v>
      </c>
      <c r="B232" s="8" t="s">
        <v>4819</v>
      </c>
      <c r="C232" s="8" t="s">
        <v>5067</v>
      </c>
      <c r="D232" s="32" t="s">
        <v>6984</v>
      </c>
      <c r="E232" s="32" t="s">
        <v>5067</v>
      </c>
      <c r="F232" s="10">
        <v>1</v>
      </c>
      <c r="G232" s="8" t="s">
        <v>16</v>
      </c>
      <c r="H232" s="10">
        <v>251.3</v>
      </c>
      <c r="I232" s="10">
        <f t="shared" si="5"/>
        <v>251.3</v>
      </c>
      <c r="J232" s="10">
        <v>7.5230272500000002</v>
      </c>
      <c r="K232" s="8" t="s">
        <v>5038</v>
      </c>
      <c r="S232"/>
    </row>
    <row r="233" spans="1:19" ht="15" x14ac:dyDescent="0.25">
      <c r="A233" s="8" t="s">
        <v>5018</v>
      </c>
      <c r="B233" s="8" t="s">
        <v>4819</v>
      </c>
      <c r="C233" s="8" t="s">
        <v>5068</v>
      </c>
      <c r="D233" s="32" t="s">
        <v>6984</v>
      </c>
      <c r="E233" s="32" t="s">
        <v>5068</v>
      </c>
      <c r="F233" s="10">
        <v>4</v>
      </c>
      <c r="G233" s="8" t="s">
        <v>16</v>
      </c>
      <c r="H233" s="10">
        <v>260.07499999999999</v>
      </c>
      <c r="I233" s="10">
        <f t="shared" si="5"/>
        <v>1040.3</v>
      </c>
      <c r="J233" s="10">
        <v>31.292183999999999</v>
      </c>
      <c r="K233" s="8" t="s">
        <v>5038</v>
      </c>
      <c r="S233"/>
    </row>
    <row r="234" spans="1:19" ht="15" x14ac:dyDescent="0.25">
      <c r="A234" s="8" t="s">
        <v>5018</v>
      </c>
      <c r="B234" s="8" t="s">
        <v>4819</v>
      </c>
      <c r="C234" s="8" t="s">
        <v>4834</v>
      </c>
      <c r="D234" s="32" t="s">
        <v>6984</v>
      </c>
      <c r="E234" s="32" t="s">
        <v>4834</v>
      </c>
      <c r="F234" s="10">
        <v>18</v>
      </c>
      <c r="G234" s="8" t="s">
        <v>22</v>
      </c>
      <c r="H234" s="10">
        <v>1.9666666666666666</v>
      </c>
      <c r="I234" s="10">
        <f t="shared" si="5"/>
        <v>35.4</v>
      </c>
      <c r="J234" s="10">
        <v>1.4488875000000001</v>
      </c>
      <c r="K234" s="8" t="s">
        <v>4798</v>
      </c>
      <c r="S234"/>
    </row>
    <row r="235" spans="1:19" ht="15" x14ac:dyDescent="0.25">
      <c r="A235" s="8" t="s">
        <v>5069</v>
      </c>
      <c r="B235" s="8" t="s">
        <v>5070</v>
      </c>
      <c r="C235" s="8" t="s">
        <v>5071</v>
      </c>
      <c r="D235" s="32" t="s">
        <v>6984</v>
      </c>
      <c r="E235" s="32" t="s">
        <v>5071</v>
      </c>
      <c r="F235" s="10">
        <v>1</v>
      </c>
      <c r="G235" s="8" t="s">
        <v>4934</v>
      </c>
      <c r="H235" s="10">
        <v>2830.3</v>
      </c>
      <c r="I235" s="10">
        <f t="shared" si="5"/>
        <v>2830.3</v>
      </c>
      <c r="J235" s="10">
        <v>39.666221440000001</v>
      </c>
      <c r="K235" s="8" t="s">
        <v>4965</v>
      </c>
      <c r="S235"/>
    </row>
    <row r="236" spans="1:19" ht="15" x14ac:dyDescent="0.25">
      <c r="A236" s="8" t="s">
        <v>5069</v>
      </c>
      <c r="B236" s="8" t="s">
        <v>5070</v>
      </c>
      <c r="C236" s="8" t="s">
        <v>5072</v>
      </c>
      <c r="D236" s="32" t="s">
        <v>6984</v>
      </c>
      <c r="E236" s="32" t="s">
        <v>5072</v>
      </c>
      <c r="F236" s="10">
        <v>1</v>
      </c>
      <c r="G236" s="8" t="s">
        <v>4934</v>
      </c>
      <c r="H236" s="10">
        <v>2966.1</v>
      </c>
      <c r="I236" s="10">
        <f t="shared" si="5"/>
        <v>2966.1</v>
      </c>
      <c r="J236" s="10">
        <v>40.241357690859999</v>
      </c>
      <c r="K236" s="8" t="s">
        <v>4965</v>
      </c>
      <c r="S236"/>
    </row>
    <row r="237" spans="1:19" ht="15" x14ac:dyDescent="0.25">
      <c r="A237" s="8" t="s">
        <v>5073</v>
      </c>
      <c r="B237" s="8" t="s">
        <v>5070</v>
      </c>
      <c r="C237" s="8" t="s">
        <v>5074</v>
      </c>
      <c r="D237" s="32" t="s">
        <v>6984</v>
      </c>
      <c r="E237" s="32" t="s">
        <v>5074</v>
      </c>
      <c r="F237" s="10">
        <v>1</v>
      </c>
      <c r="G237" s="8" t="s">
        <v>4934</v>
      </c>
      <c r="H237" s="10">
        <v>2863.9</v>
      </c>
      <c r="I237" s="10">
        <f t="shared" si="5"/>
        <v>2863.9</v>
      </c>
      <c r="J237" s="10">
        <v>41.282592263220003</v>
      </c>
      <c r="K237" s="8" t="s">
        <v>4965</v>
      </c>
      <c r="S237"/>
    </row>
    <row r="238" spans="1:19" ht="15" x14ac:dyDescent="0.25">
      <c r="A238" s="8" t="s">
        <v>5073</v>
      </c>
      <c r="B238" s="8" t="s">
        <v>5070</v>
      </c>
      <c r="C238" s="8" t="s">
        <v>5075</v>
      </c>
      <c r="D238" s="32" t="s">
        <v>6984</v>
      </c>
      <c r="E238" s="32" t="s">
        <v>5075</v>
      </c>
      <c r="F238" s="10">
        <v>1</v>
      </c>
      <c r="G238" s="8" t="s">
        <v>4934</v>
      </c>
      <c r="H238" s="10">
        <v>2833.5</v>
      </c>
      <c r="I238" s="10">
        <f t="shared" si="5"/>
        <v>2833.5</v>
      </c>
      <c r="J238" s="10">
        <v>41.24910887619</v>
      </c>
      <c r="K238" s="8" t="s">
        <v>4965</v>
      </c>
      <c r="S238"/>
    </row>
    <row r="239" spans="1:19" ht="15" x14ac:dyDescent="0.25">
      <c r="A239" s="8" t="s">
        <v>5069</v>
      </c>
      <c r="B239" s="8" t="s">
        <v>5070</v>
      </c>
      <c r="C239" s="8" t="s">
        <v>5076</v>
      </c>
      <c r="D239" s="32" t="s">
        <v>6984</v>
      </c>
      <c r="E239" s="32" t="s">
        <v>5076</v>
      </c>
      <c r="F239" s="10">
        <v>1</v>
      </c>
      <c r="G239" s="8" t="s">
        <v>4934</v>
      </c>
      <c r="H239" s="10">
        <v>4133.8</v>
      </c>
      <c r="I239" s="10">
        <f t="shared" si="5"/>
        <v>4133.8</v>
      </c>
      <c r="J239" s="10">
        <v>48.7823096702</v>
      </c>
      <c r="K239" s="8" t="s">
        <v>4974</v>
      </c>
      <c r="S239"/>
    </row>
    <row r="240" spans="1:19" ht="15" x14ac:dyDescent="0.25">
      <c r="A240" s="8" t="s">
        <v>5069</v>
      </c>
      <c r="B240" s="8" t="s">
        <v>5070</v>
      </c>
      <c r="C240" s="8" t="s">
        <v>5077</v>
      </c>
      <c r="D240" s="32" t="s">
        <v>6984</v>
      </c>
      <c r="E240" s="32" t="s">
        <v>5077</v>
      </c>
      <c r="F240" s="10">
        <v>1</v>
      </c>
      <c r="G240" s="8" t="s">
        <v>4934</v>
      </c>
      <c r="H240" s="10">
        <v>4162.6000000000004</v>
      </c>
      <c r="I240" s="10">
        <f t="shared" si="5"/>
        <v>4162.6000000000004</v>
      </c>
      <c r="J240" s="10">
        <v>49.254883110199998</v>
      </c>
      <c r="K240" s="8" t="s">
        <v>4974</v>
      </c>
      <c r="S240"/>
    </row>
    <row r="241" spans="1:19" ht="15" x14ac:dyDescent="0.25">
      <c r="A241" s="8" t="s">
        <v>5069</v>
      </c>
      <c r="B241" s="8" t="s">
        <v>5070</v>
      </c>
      <c r="C241" s="8" t="s">
        <v>5078</v>
      </c>
      <c r="D241" s="32" t="s">
        <v>6984</v>
      </c>
      <c r="E241" s="32" t="s">
        <v>5078</v>
      </c>
      <c r="F241" s="10">
        <v>1</v>
      </c>
      <c r="G241" s="8" t="s">
        <v>4934</v>
      </c>
      <c r="H241" s="10">
        <v>4196.6000000000004</v>
      </c>
      <c r="I241" s="10">
        <f t="shared" si="5"/>
        <v>4196.6000000000004</v>
      </c>
      <c r="J241" s="10">
        <v>50.167153733600003</v>
      </c>
      <c r="K241" s="8" t="s">
        <v>4974</v>
      </c>
      <c r="S241"/>
    </row>
    <row r="242" spans="1:19" ht="15" x14ac:dyDescent="0.25">
      <c r="A242" s="8" t="s">
        <v>5069</v>
      </c>
      <c r="B242" s="8" t="s">
        <v>5070</v>
      </c>
      <c r="C242" s="8" t="s">
        <v>5079</v>
      </c>
      <c r="D242" s="32" t="s">
        <v>6984</v>
      </c>
      <c r="E242" s="32" t="s">
        <v>5079</v>
      </c>
      <c r="F242" s="10">
        <v>1</v>
      </c>
      <c r="G242" s="8" t="s">
        <v>4934</v>
      </c>
      <c r="H242" s="10">
        <v>4190.3999999999996</v>
      </c>
      <c r="I242" s="10">
        <f t="shared" si="5"/>
        <v>4190.3999999999996</v>
      </c>
      <c r="J242" s="10">
        <v>50.164177253600002</v>
      </c>
      <c r="K242" s="8" t="s">
        <v>4974</v>
      </c>
      <c r="S242"/>
    </row>
    <row r="243" spans="1:19" ht="15" x14ac:dyDescent="0.25">
      <c r="A243" s="8" t="s">
        <v>5073</v>
      </c>
      <c r="B243" s="8" t="s">
        <v>5070</v>
      </c>
      <c r="C243" s="8" t="s">
        <v>5080</v>
      </c>
      <c r="D243" s="32" t="s">
        <v>6984</v>
      </c>
      <c r="E243" s="32" t="s">
        <v>5080</v>
      </c>
      <c r="F243" s="10">
        <v>1</v>
      </c>
      <c r="G243" s="8" t="s">
        <v>4934</v>
      </c>
      <c r="H243" s="10">
        <v>4150</v>
      </c>
      <c r="I243" s="10">
        <f t="shared" si="5"/>
        <v>4150</v>
      </c>
      <c r="J243" s="10">
        <v>49.248930150200003</v>
      </c>
      <c r="K243" s="8" t="s">
        <v>4974</v>
      </c>
      <c r="S243"/>
    </row>
    <row r="244" spans="1:19" ht="15" x14ac:dyDescent="0.25">
      <c r="A244" s="8" t="s">
        <v>5073</v>
      </c>
      <c r="B244" s="8" t="s">
        <v>5070</v>
      </c>
      <c r="C244" s="8" t="s">
        <v>5081</v>
      </c>
      <c r="D244" s="32" t="s">
        <v>6984</v>
      </c>
      <c r="E244" s="32" t="s">
        <v>5081</v>
      </c>
      <c r="F244" s="10">
        <v>1</v>
      </c>
      <c r="G244" s="8" t="s">
        <v>4934</v>
      </c>
      <c r="H244" s="10">
        <v>4124.3</v>
      </c>
      <c r="I244" s="10">
        <f t="shared" si="5"/>
        <v>4124.3</v>
      </c>
      <c r="J244" s="10">
        <v>48.713044459999999</v>
      </c>
      <c r="K244" s="8" t="s">
        <v>4974</v>
      </c>
      <c r="S244"/>
    </row>
    <row r="245" spans="1:19" ht="15" x14ac:dyDescent="0.25">
      <c r="A245" s="8" t="s">
        <v>5073</v>
      </c>
      <c r="B245" s="8" t="s">
        <v>5070</v>
      </c>
      <c r="C245" s="8" t="s">
        <v>5082</v>
      </c>
      <c r="D245" s="32" t="s">
        <v>6984</v>
      </c>
      <c r="E245" s="32" t="s">
        <v>5082</v>
      </c>
      <c r="F245" s="10">
        <v>1</v>
      </c>
      <c r="G245" s="8" t="s">
        <v>4934</v>
      </c>
      <c r="H245" s="10">
        <v>4126.7</v>
      </c>
      <c r="I245" s="10">
        <f t="shared" si="5"/>
        <v>4126.7</v>
      </c>
      <c r="J245" s="10">
        <v>49.347546583800003</v>
      </c>
      <c r="K245" s="8" t="s">
        <v>4974</v>
      </c>
      <c r="S245"/>
    </row>
    <row r="246" spans="1:19" ht="15" x14ac:dyDescent="0.25">
      <c r="A246" s="8" t="s">
        <v>5073</v>
      </c>
      <c r="B246" s="8" t="s">
        <v>5070</v>
      </c>
      <c r="C246" s="8" t="s">
        <v>5083</v>
      </c>
      <c r="D246" s="32" t="s">
        <v>6984</v>
      </c>
      <c r="E246" s="32" t="s">
        <v>5083</v>
      </c>
      <c r="F246" s="10">
        <v>1</v>
      </c>
      <c r="G246" s="8" t="s">
        <v>4934</v>
      </c>
      <c r="H246" s="10">
        <v>2624.9</v>
      </c>
      <c r="I246" s="10">
        <f t="shared" si="5"/>
        <v>2624.9</v>
      </c>
      <c r="J246" s="10">
        <v>32.871462489599999</v>
      </c>
      <c r="K246" s="8" t="s">
        <v>4974</v>
      </c>
      <c r="S246"/>
    </row>
    <row r="247" spans="1:19" ht="15" x14ac:dyDescent="0.25">
      <c r="A247" s="8" t="s">
        <v>5069</v>
      </c>
      <c r="B247" s="8" t="s">
        <v>5070</v>
      </c>
      <c r="C247" s="8" t="s">
        <v>5084</v>
      </c>
      <c r="D247" s="32" t="s">
        <v>6984</v>
      </c>
      <c r="E247" s="32" t="s">
        <v>5084</v>
      </c>
      <c r="F247" s="10">
        <v>1</v>
      </c>
      <c r="G247" s="8" t="s">
        <v>4934</v>
      </c>
      <c r="H247" s="10">
        <v>2794.2</v>
      </c>
      <c r="I247" s="10">
        <f t="shared" si="5"/>
        <v>2794.2</v>
      </c>
      <c r="J247" s="10">
        <v>39.554032574730002</v>
      </c>
      <c r="K247" s="8" t="s">
        <v>4965</v>
      </c>
      <c r="S247"/>
    </row>
    <row r="248" spans="1:19" ht="15" x14ac:dyDescent="0.25">
      <c r="A248" s="8" t="s">
        <v>4963</v>
      </c>
      <c r="B248" s="8" t="s">
        <v>4869</v>
      </c>
      <c r="C248" s="8" t="s">
        <v>5085</v>
      </c>
      <c r="D248" s="32" t="s">
        <v>6984</v>
      </c>
      <c r="E248" s="32" t="s">
        <v>5085</v>
      </c>
      <c r="F248" s="10">
        <v>1</v>
      </c>
      <c r="G248" s="8" t="s">
        <v>5086</v>
      </c>
      <c r="H248" s="10">
        <v>39.4</v>
      </c>
      <c r="I248" s="10">
        <f t="shared" si="5"/>
        <v>39.4</v>
      </c>
      <c r="J248" s="10">
        <v>0</v>
      </c>
      <c r="K248" s="8" t="s">
        <v>5087</v>
      </c>
      <c r="S248"/>
    </row>
    <row r="249" spans="1:19" ht="15" x14ac:dyDescent="0.25">
      <c r="A249" s="8" t="s">
        <v>4963</v>
      </c>
      <c r="B249" s="8" t="s">
        <v>4869</v>
      </c>
      <c r="C249" s="8" t="s">
        <v>5088</v>
      </c>
      <c r="D249" s="32" t="s">
        <v>6984</v>
      </c>
      <c r="E249" s="32" t="s">
        <v>5088</v>
      </c>
      <c r="F249" s="10">
        <v>1</v>
      </c>
      <c r="G249" s="8" t="s">
        <v>5086</v>
      </c>
      <c r="H249" s="10">
        <v>55</v>
      </c>
      <c r="I249" s="10">
        <f t="shared" si="5"/>
        <v>55</v>
      </c>
      <c r="J249" s="10">
        <v>0</v>
      </c>
      <c r="K249" s="8" t="s">
        <v>5087</v>
      </c>
      <c r="S249"/>
    </row>
    <row r="250" spans="1:19" ht="15" x14ac:dyDescent="0.25">
      <c r="A250" s="8" t="s">
        <v>4963</v>
      </c>
      <c r="B250" s="8" t="s">
        <v>4869</v>
      </c>
      <c r="C250" s="8" t="s">
        <v>5089</v>
      </c>
      <c r="D250" s="32" t="s">
        <v>6984</v>
      </c>
      <c r="E250" s="32" t="s">
        <v>5089</v>
      </c>
      <c r="F250" s="10">
        <v>1</v>
      </c>
      <c r="G250" s="8" t="s">
        <v>5086</v>
      </c>
      <c r="H250" s="10">
        <v>49.9</v>
      </c>
      <c r="I250" s="10">
        <f t="shared" si="5"/>
        <v>49.9</v>
      </c>
      <c r="J250" s="10">
        <v>0</v>
      </c>
      <c r="K250" s="8" t="s">
        <v>5087</v>
      </c>
      <c r="S250"/>
    </row>
    <row r="251" spans="1:19" ht="15" x14ac:dyDescent="0.25">
      <c r="A251" s="8" t="s">
        <v>4963</v>
      </c>
      <c r="B251" s="8" t="s">
        <v>4869</v>
      </c>
      <c r="C251" s="8" t="s">
        <v>5090</v>
      </c>
      <c r="D251" s="32" t="s">
        <v>6984</v>
      </c>
      <c r="E251" s="32" t="s">
        <v>5090</v>
      </c>
      <c r="F251" s="10">
        <v>1</v>
      </c>
      <c r="G251" s="8" t="s">
        <v>5086</v>
      </c>
      <c r="H251" s="10">
        <v>31.2</v>
      </c>
      <c r="I251" s="10">
        <f t="shared" si="5"/>
        <v>31.2</v>
      </c>
      <c r="J251" s="10">
        <v>0</v>
      </c>
      <c r="K251" s="8" t="s">
        <v>5087</v>
      </c>
      <c r="S251"/>
    </row>
    <row r="252" spans="1:19" ht="15" x14ac:dyDescent="0.25">
      <c r="A252" s="8" t="s">
        <v>4963</v>
      </c>
      <c r="B252" s="8" t="s">
        <v>4869</v>
      </c>
      <c r="C252" s="8" t="s">
        <v>5091</v>
      </c>
      <c r="D252" s="32" t="s">
        <v>6984</v>
      </c>
      <c r="E252" s="32" t="s">
        <v>5091</v>
      </c>
      <c r="F252" s="10">
        <v>1</v>
      </c>
      <c r="G252" s="8" t="s">
        <v>5092</v>
      </c>
      <c r="H252" s="10">
        <v>653.20000000000005</v>
      </c>
      <c r="I252" s="10">
        <f t="shared" si="5"/>
        <v>653.20000000000005</v>
      </c>
      <c r="J252" s="10">
        <v>21.0063888064</v>
      </c>
      <c r="K252" s="8" t="s">
        <v>5040</v>
      </c>
      <c r="S252"/>
    </row>
    <row r="253" spans="1:19" ht="15" x14ac:dyDescent="0.25">
      <c r="A253" s="8" t="s">
        <v>4963</v>
      </c>
      <c r="B253" s="8" t="s">
        <v>4869</v>
      </c>
      <c r="C253" s="8" t="s">
        <v>5093</v>
      </c>
      <c r="D253" s="32" t="s">
        <v>6984</v>
      </c>
      <c r="E253" s="32" t="s">
        <v>5093</v>
      </c>
      <c r="F253" s="10">
        <v>1</v>
      </c>
      <c r="G253" s="8" t="s">
        <v>5092</v>
      </c>
      <c r="H253" s="10">
        <v>663.3</v>
      </c>
      <c r="I253" s="10">
        <f t="shared" si="5"/>
        <v>663.3</v>
      </c>
      <c r="J253" s="10">
        <v>20.467454786960001</v>
      </c>
      <c r="K253" s="8" t="s">
        <v>5040</v>
      </c>
      <c r="S253"/>
    </row>
    <row r="254" spans="1:19" ht="15" x14ac:dyDescent="0.25">
      <c r="A254" s="8" t="s">
        <v>4963</v>
      </c>
      <c r="B254" s="8" t="s">
        <v>4869</v>
      </c>
      <c r="C254" s="8" t="s">
        <v>5094</v>
      </c>
      <c r="D254" s="32" t="s">
        <v>6984</v>
      </c>
      <c r="E254" s="32" t="s">
        <v>5094</v>
      </c>
      <c r="F254" s="10">
        <v>1</v>
      </c>
      <c r="G254" s="8" t="s">
        <v>5095</v>
      </c>
      <c r="H254" s="10">
        <v>89.5</v>
      </c>
      <c r="I254" s="10">
        <f t="shared" si="5"/>
        <v>89.5</v>
      </c>
      <c r="J254" s="10">
        <v>3.1546450306799998</v>
      </c>
      <c r="K254" s="8" t="s">
        <v>5096</v>
      </c>
      <c r="S254"/>
    </row>
    <row r="255" spans="1:19" ht="15" x14ac:dyDescent="0.25">
      <c r="A255" s="8" t="s">
        <v>4963</v>
      </c>
      <c r="B255" s="8" t="s">
        <v>4869</v>
      </c>
      <c r="C255" s="8" t="s">
        <v>5097</v>
      </c>
      <c r="D255" s="32" t="s">
        <v>6984</v>
      </c>
      <c r="E255" s="32" t="s">
        <v>5097</v>
      </c>
      <c r="F255" s="10">
        <v>1</v>
      </c>
      <c r="G255" s="8" t="s">
        <v>5095</v>
      </c>
      <c r="H255" s="10">
        <v>89.5</v>
      </c>
      <c r="I255" s="10">
        <f t="shared" si="5"/>
        <v>89.5</v>
      </c>
      <c r="J255" s="10">
        <v>3.1546450306799998</v>
      </c>
      <c r="K255" s="8" t="s">
        <v>5096</v>
      </c>
      <c r="S255"/>
    </row>
    <row r="256" spans="1:19" ht="15" x14ac:dyDescent="0.25">
      <c r="A256" s="8" t="s">
        <v>4963</v>
      </c>
      <c r="B256" s="8" t="s">
        <v>4869</v>
      </c>
      <c r="C256" s="8" t="s">
        <v>5098</v>
      </c>
      <c r="D256" s="32" t="s">
        <v>6984</v>
      </c>
      <c r="E256" s="32" t="s">
        <v>5098</v>
      </c>
      <c r="F256" s="10">
        <v>1</v>
      </c>
      <c r="G256" s="8" t="s">
        <v>5095</v>
      </c>
      <c r="H256" s="10">
        <v>144.1</v>
      </c>
      <c r="I256" s="10">
        <f t="shared" si="5"/>
        <v>144.1</v>
      </c>
      <c r="J256" s="10">
        <v>5.0670295200000002</v>
      </c>
      <c r="K256" s="8" t="s">
        <v>5096</v>
      </c>
      <c r="S256"/>
    </row>
    <row r="257" spans="1:19" ht="15" x14ac:dyDescent="0.25">
      <c r="A257" s="8" t="s">
        <v>4963</v>
      </c>
      <c r="B257" s="8" t="s">
        <v>4869</v>
      </c>
      <c r="C257" s="8" t="s">
        <v>5099</v>
      </c>
      <c r="D257" s="32" t="s">
        <v>6984</v>
      </c>
      <c r="E257" s="32" t="s">
        <v>5099</v>
      </c>
      <c r="F257" s="10">
        <v>1</v>
      </c>
      <c r="G257" s="8" t="s">
        <v>5095</v>
      </c>
      <c r="H257" s="10">
        <v>144.19999999999999</v>
      </c>
      <c r="I257" s="10">
        <f t="shared" si="5"/>
        <v>144.19999999999999</v>
      </c>
      <c r="J257" s="10">
        <v>5.0714186400000001</v>
      </c>
      <c r="K257" s="8" t="s">
        <v>5096</v>
      </c>
      <c r="S257"/>
    </row>
    <row r="258" spans="1:19" ht="15" x14ac:dyDescent="0.25">
      <c r="A258" s="8" t="s">
        <v>4963</v>
      </c>
      <c r="B258" s="8" t="s">
        <v>4869</v>
      </c>
      <c r="C258" s="8" t="s">
        <v>5100</v>
      </c>
      <c r="D258" s="32" t="s">
        <v>6984</v>
      </c>
      <c r="E258" s="32" t="s">
        <v>5100</v>
      </c>
      <c r="F258" s="10">
        <v>1</v>
      </c>
      <c r="G258" s="8" t="s">
        <v>5101</v>
      </c>
      <c r="H258" s="10">
        <v>168</v>
      </c>
      <c r="I258" s="10">
        <f t="shared" si="5"/>
        <v>168</v>
      </c>
      <c r="J258" s="10">
        <v>10.678231797600001</v>
      </c>
      <c r="K258" s="8" t="s">
        <v>5102</v>
      </c>
      <c r="S258"/>
    </row>
    <row r="259" spans="1:19" ht="15" x14ac:dyDescent="0.25">
      <c r="A259" s="8" t="s">
        <v>4963</v>
      </c>
      <c r="B259" s="8" t="s">
        <v>4869</v>
      </c>
      <c r="C259" s="8" t="s">
        <v>5103</v>
      </c>
      <c r="D259" s="32" t="s">
        <v>6984</v>
      </c>
      <c r="E259" s="32" t="s">
        <v>5103</v>
      </c>
      <c r="F259" s="10">
        <v>1</v>
      </c>
      <c r="G259" s="8" t="s">
        <v>5101</v>
      </c>
      <c r="H259" s="10">
        <v>168</v>
      </c>
      <c r="I259" s="10">
        <f t="shared" si="5"/>
        <v>168</v>
      </c>
      <c r="J259" s="10">
        <v>10.678231797600001</v>
      </c>
      <c r="K259" s="8" t="s">
        <v>5102</v>
      </c>
      <c r="S259"/>
    </row>
    <row r="260" spans="1:19" ht="15" x14ac:dyDescent="0.25">
      <c r="A260" s="8" t="s">
        <v>4963</v>
      </c>
      <c r="B260" s="8" t="s">
        <v>4869</v>
      </c>
      <c r="C260" s="8" t="s">
        <v>5104</v>
      </c>
      <c r="D260" s="32" t="s">
        <v>6984</v>
      </c>
      <c r="E260" s="32" t="s">
        <v>5104</v>
      </c>
      <c r="F260" s="10">
        <v>1</v>
      </c>
      <c r="G260" s="8" t="s">
        <v>5101</v>
      </c>
      <c r="H260" s="10">
        <v>154</v>
      </c>
      <c r="I260" s="10">
        <f t="shared" si="5"/>
        <v>154</v>
      </c>
      <c r="J260" s="10">
        <v>9.9174232456000002</v>
      </c>
      <c r="K260" s="8" t="s">
        <v>5102</v>
      </c>
      <c r="S260"/>
    </row>
    <row r="261" spans="1:19" ht="15" x14ac:dyDescent="0.25">
      <c r="A261" s="8" t="s">
        <v>4963</v>
      </c>
      <c r="B261" s="8" t="s">
        <v>4869</v>
      </c>
      <c r="C261" s="8" t="s">
        <v>5105</v>
      </c>
      <c r="D261" s="32" t="s">
        <v>6984</v>
      </c>
      <c r="E261" s="32" t="s">
        <v>5105</v>
      </c>
      <c r="F261" s="10">
        <v>1</v>
      </c>
      <c r="G261" s="8" t="s">
        <v>5101</v>
      </c>
      <c r="H261" s="10">
        <v>154</v>
      </c>
      <c r="I261" s="10">
        <f t="shared" ref="I261:I297" si="6">F261*H261</f>
        <v>154</v>
      </c>
      <c r="J261" s="10">
        <v>9.9174232456000002</v>
      </c>
      <c r="K261" s="8" t="s">
        <v>5102</v>
      </c>
      <c r="S261"/>
    </row>
    <row r="262" spans="1:19" ht="15" x14ac:dyDescent="0.25">
      <c r="A262" s="8" t="s">
        <v>4963</v>
      </c>
      <c r="B262" s="8" t="s">
        <v>4869</v>
      </c>
      <c r="C262" s="8" t="s">
        <v>5106</v>
      </c>
      <c r="D262" s="32" t="s">
        <v>6984</v>
      </c>
      <c r="E262" s="32" t="s">
        <v>5106</v>
      </c>
      <c r="F262" s="10">
        <v>1</v>
      </c>
      <c r="G262" s="8" t="s">
        <v>5101</v>
      </c>
      <c r="H262" s="10">
        <v>112.5</v>
      </c>
      <c r="I262" s="10">
        <f t="shared" si="6"/>
        <v>112.5</v>
      </c>
      <c r="J262" s="10">
        <v>7.1741428616</v>
      </c>
      <c r="K262" s="8" t="s">
        <v>5102</v>
      </c>
      <c r="S262"/>
    </row>
    <row r="263" spans="1:19" ht="15" x14ac:dyDescent="0.25">
      <c r="A263" s="8" t="s">
        <v>4963</v>
      </c>
      <c r="B263" s="8" t="s">
        <v>4869</v>
      </c>
      <c r="C263" s="8" t="s">
        <v>5107</v>
      </c>
      <c r="D263" s="32" t="s">
        <v>6984</v>
      </c>
      <c r="E263" s="32" t="s">
        <v>5107</v>
      </c>
      <c r="F263" s="10">
        <v>1</v>
      </c>
      <c r="G263" s="8" t="s">
        <v>5101</v>
      </c>
      <c r="H263" s="10">
        <v>112.5</v>
      </c>
      <c r="I263" s="10">
        <f t="shared" si="6"/>
        <v>112.5</v>
      </c>
      <c r="J263" s="10">
        <v>7.1749048616</v>
      </c>
      <c r="K263" s="8" t="s">
        <v>5102</v>
      </c>
      <c r="S263"/>
    </row>
    <row r="264" spans="1:19" ht="15" x14ac:dyDescent="0.25">
      <c r="A264" s="8" t="s">
        <v>4963</v>
      </c>
      <c r="B264" s="8" t="s">
        <v>4869</v>
      </c>
      <c r="C264" s="8" t="s">
        <v>5108</v>
      </c>
      <c r="D264" s="32" t="s">
        <v>6984</v>
      </c>
      <c r="E264" s="32" t="s">
        <v>5108</v>
      </c>
      <c r="F264" s="10">
        <v>4</v>
      </c>
      <c r="G264" s="8" t="s">
        <v>4934</v>
      </c>
      <c r="H264" s="10">
        <v>46.5</v>
      </c>
      <c r="I264" s="10">
        <f t="shared" si="6"/>
        <v>186</v>
      </c>
      <c r="J264" s="10">
        <v>6.6601393702399996</v>
      </c>
      <c r="K264" s="8" t="s">
        <v>5049</v>
      </c>
      <c r="S264"/>
    </row>
    <row r="265" spans="1:19" ht="15" x14ac:dyDescent="0.25">
      <c r="A265" s="8" t="s">
        <v>4963</v>
      </c>
      <c r="B265" s="8" t="s">
        <v>4869</v>
      </c>
      <c r="C265" s="8" t="s">
        <v>5109</v>
      </c>
      <c r="D265" s="32" t="s">
        <v>6984</v>
      </c>
      <c r="E265" s="32" t="s">
        <v>5109</v>
      </c>
      <c r="F265" s="10">
        <v>1</v>
      </c>
      <c r="G265" s="8" t="s">
        <v>4934</v>
      </c>
      <c r="H265" s="10">
        <v>58</v>
      </c>
      <c r="I265" s="10">
        <f t="shared" si="6"/>
        <v>58</v>
      </c>
      <c r="J265" s="10">
        <v>1.8563809899199999</v>
      </c>
      <c r="K265" s="8" t="s">
        <v>5040</v>
      </c>
      <c r="S265"/>
    </row>
    <row r="266" spans="1:19" ht="15" x14ac:dyDescent="0.25">
      <c r="A266" s="8" t="s">
        <v>4963</v>
      </c>
      <c r="B266" s="8" t="s">
        <v>4869</v>
      </c>
      <c r="C266" s="8" t="s">
        <v>5110</v>
      </c>
      <c r="D266" s="32" t="s">
        <v>6984</v>
      </c>
      <c r="E266" s="32" t="s">
        <v>5110</v>
      </c>
      <c r="F266" s="10">
        <v>1</v>
      </c>
      <c r="G266" s="8" t="s">
        <v>4934</v>
      </c>
      <c r="H266" s="10">
        <v>57.8</v>
      </c>
      <c r="I266" s="10">
        <f t="shared" si="6"/>
        <v>57.8</v>
      </c>
      <c r="J266" s="10">
        <v>1.8494607904</v>
      </c>
      <c r="K266" s="8" t="s">
        <v>5040</v>
      </c>
      <c r="S266"/>
    </row>
    <row r="267" spans="1:19" ht="15" x14ac:dyDescent="0.25">
      <c r="A267" s="8" t="s">
        <v>4963</v>
      </c>
      <c r="B267" s="8" t="s">
        <v>4869</v>
      </c>
      <c r="C267" s="8" t="s">
        <v>5111</v>
      </c>
      <c r="D267" s="32" t="s">
        <v>6984</v>
      </c>
      <c r="E267" s="32" t="s">
        <v>5111</v>
      </c>
      <c r="F267" s="10">
        <v>1</v>
      </c>
      <c r="G267" s="8" t="s">
        <v>4934</v>
      </c>
      <c r="H267" s="10">
        <v>57.7</v>
      </c>
      <c r="I267" s="10">
        <f t="shared" si="6"/>
        <v>57.7</v>
      </c>
      <c r="J267" s="10">
        <v>1.8478948636800001</v>
      </c>
      <c r="K267" s="8" t="s">
        <v>5040</v>
      </c>
      <c r="S267"/>
    </row>
    <row r="268" spans="1:19" ht="15" x14ac:dyDescent="0.25">
      <c r="A268" s="8" t="s">
        <v>4963</v>
      </c>
      <c r="B268" s="8" t="s">
        <v>4869</v>
      </c>
      <c r="C268" s="8" t="s">
        <v>5112</v>
      </c>
      <c r="D268" s="32" t="s">
        <v>6984</v>
      </c>
      <c r="E268" s="32" t="s">
        <v>5112</v>
      </c>
      <c r="F268" s="10">
        <v>1</v>
      </c>
      <c r="G268" s="8" t="s">
        <v>4934</v>
      </c>
      <c r="H268" s="10">
        <v>57.7</v>
      </c>
      <c r="I268" s="10">
        <f t="shared" si="6"/>
        <v>57.7</v>
      </c>
      <c r="J268" s="10">
        <v>1.8478948636800001</v>
      </c>
      <c r="K268" s="8" t="s">
        <v>5040</v>
      </c>
      <c r="S268"/>
    </row>
    <row r="269" spans="1:19" ht="15" x14ac:dyDescent="0.25">
      <c r="A269" s="8" t="s">
        <v>4963</v>
      </c>
      <c r="B269" s="8" t="s">
        <v>4869</v>
      </c>
      <c r="C269" s="8" t="s">
        <v>5113</v>
      </c>
      <c r="D269" s="32" t="s">
        <v>6984</v>
      </c>
      <c r="E269" s="32" t="s">
        <v>5113</v>
      </c>
      <c r="F269" s="10">
        <v>1</v>
      </c>
      <c r="G269" s="8" t="s">
        <v>5095</v>
      </c>
      <c r="H269" s="10">
        <v>159.19999999999999</v>
      </c>
      <c r="I269" s="10">
        <f t="shared" si="6"/>
        <v>159.19999999999999</v>
      </c>
      <c r="J269" s="10">
        <v>5.5976503199999996</v>
      </c>
      <c r="K269" s="8" t="s">
        <v>5096</v>
      </c>
      <c r="S269"/>
    </row>
    <row r="270" spans="1:19" ht="15" x14ac:dyDescent="0.25">
      <c r="A270" s="8" t="s">
        <v>4963</v>
      </c>
      <c r="B270" s="8" t="s">
        <v>4869</v>
      </c>
      <c r="C270" s="8" t="s">
        <v>5114</v>
      </c>
      <c r="D270" s="32" t="s">
        <v>6984</v>
      </c>
      <c r="E270" s="32" t="s">
        <v>5114</v>
      </c>
      <c r="F270" s="10">
        <v>1</v>
      </c>
      <c r="G270" s="8" t="s">
        <v>5095</v>
      </c>
      <c r="H270" s="10">
        <v>157.9</v>
      </c>
      <c r="I270" s="10">
        <f t="shared" si="6"/>
        <v>157.9</v>
      </c>
      <c r="J270" s="10">
        <v>5.5557708000000003</v>
      </c>
      <c r="K270" s="8" t="s">
        <v>5096</v>
      </c>
      <c r="S270"/>
    </row>
    <row r="271" spans="1:19" ht="15" x14ac:dyDescent="0.25">
      <c r="A271" s="8" t="s">
        <v>4963</v>
      </c>
      <c r="B271" s="8" t="s">
        <v>4869</v>
      </c>
      <c r="C271" s="8" t="s">
        <v>5115</v>
      </c>
      <c r="D271" s="32" t="s">
        <v>6984</v>
      </c>
      <c r="E271" s="32" t="s">
        <v>5115</v>
      </c>
      <c r="F271" s="10">
        <v>1</v>
      </c>
      <c r="G271" s="8" t="s">
        <v>16</v>
      </c>
      <c r="H271" s="10">
        <v>49.1</v>
      </c>
      <c r="I271" s="10">
        <f t="shared" si="6"/>
        <v>49.1</v>
      </c>
      <c r="J271" s="10">
        <v>1.66085211</v>
      </c>
      <c r="K271" s="8" t="s">
        <v>5116</v>
      </c>
      <c r="S271"/>
    </row>
    <row r="272" spans="1:19" ht="15" x14ac:dyDescent="0.25">
      <c r="A272" s="8" t="s">
        <v>4963</v>
      </c>
      <c r="B272" s="8" t="s">
        <v>4869</v>
      </c>
      <c r="C272" s="8" t="s">
        <v>5117</v>
      </c>
      <c r="D272" s="32" t="s">
        <v>6984</v>
      </c>
      <c r="E272" s="32" t="s">
        <v>5117</v>
      </c>
      <c r="F272" s="10">
        <v>1</v>
      </c>
      <c r="G272" s="8" t="s">
        <v>16</v>
      </c>
      <c r="H272" s="10">
        <v>70.7</v>
      </c>
      <c r="I272" s="10">
        <f t="shared" si="6"/>
        <v>70.7</v>
      </c>
      <c r="J272" s="10">
        <v>2.4028478180000001</v>
      </c>
      <c r="K272" s="8" t="s">
        <v>5040</v>
      </c>
      <c r="S272"/>
    </row>
    <row r="273" spans="1:19" ht="15" x14ac:dyDescent="0.25">
      <c r="A273" s="8" t="s">
        <v>4963</v>
      </c>
      <c r="B273" s="8" t="s">
        <v>4869</v>
      </c>
      <c r="C273" s="8" t="s">
        <v>5118</v>
      </c>
      <c r="D273" s="32" t="s">
        <v>6984</v>
      </c>
      <c r="E273" s="32" t="s">
        <v>5118</v>
      </c>
      <c r="F273" s="10">
        <v>1</v>
      </c>
      <c r="G273" s="8" t="s">
        <v>16</v>
      </c>
      <c r="H273" s="10">
        <v>74.3</v>
      </c>
      <c r="I273" s="10">
        <f t="shared" si="6"/>
        <v>74.3</v>
      </c>
      <c r="J273" s="10">
        <v>2.5213014292000002</v>
      </c>
      <c r="K273" s="8" t="s">
        <v>5040</v>
      </c>
      <c r="S273"/>
    </row>
    <row r="274" spans="1:19" ht="15" x14ac:dyDescent="0.25">
      <c r="A274" s="8" t="s">
        <v>4963</v>
      </c>
      <c r="B274" s="8" t="s">
        <v>4869</v>
      </c>
      <c r="C274" s="8" t="s">
        <v>5119</v>
      </c>
      <c r="D274" s="32" t="s">
        <v>6984</v>
      </c>
      <c r="E274" s="32" t="s">
        <v>5119</v>
      </c>
      <c r="F274" s="10">
        <v>1</v>
      </c>
      <c r="G274" s="8" t="s">
        <v>16</v>
      </c>
      <c r="H274" s="10">
        <v>24.8</v>
      </c>
      <c r="I274" s="10">
        <f t="shared" si="6"/>
        <v>24.8</v>
      </c>
      <c r="J274" s="10">
        <v>1.1790838079999999</v>
      </c>
      <c r="K274" s="8" t="s">
        <v>5120</v>
      </c>
      <c r="S274"/>
    </row>
    <row r="275" spans="1:19" ht="15" x14ac:dyDescent="0.25">
      <c r="A275" s="8" t="s">
        <v>4963</v>
      </c>
      <c r="B275" s="8" t="s">
        <v>4869</v>
      </c>
      <c r="C275" s="8" t="s">
        <v>5121</v>
      </c>
      <c r="D275" s="32" t="s">
        <v>6984</v>
      </c>
      <c r="E275" s="32" t="s">
        <v>5121</v>
      </c>
      <c r="F275" s="10">
        <v>1</v>
      </c>
      <c r="G275" s="8" t="s">
        <v>16</v>
      </c>
      <c r="H275" s="10">
        <v>12.2</v>
      </c>
      <c r="I275" s="10">
        <f t="shared" si="6"/>
        <v>12.2</v>
      </c>
      <c r="J275" s="10">
        <v>0.51437368000000006</v>
      </c>
      <c r="K275" s="8" t="s">
        <v>5120</v>
      </c>
      <c r="S275"/>
    </row>
    <row r="276" spans="1:19" ht="15" x14ac:dyDescent="0.25">
      <c r="A276" s="8" t="s">
        <v>4963</v>
      </c>
      <c r="B276" s="8" t="s">
        <v>4869</v>
      </c>
      <c r="C276" s="8" t="s">
        <v>5122</v>
      </c>
      <c r="D276" s="32" t="s">
        <v>6984</v>
      </c>
      <c r="E276" s="32" t="s">
        <v>5122</v>
      </c>
      <c r="F276" s="10">
        <v>1</v>
      </c>
      <c r="G276" s="8" t="s">
        <v>16</v>
      </c>
      <c r="H276" s="10">
        <v>12.2</v>
      </c>
      <c r="I276" s="10">
        <f t="shared" si="6"/>
        <v>12.2</v>
      </c>
      <c r="J276" s="10">
        <v>0.62309999999999999</v>
      </c>
      <c r="K276" s="8" t="s">
        <v>5123</v>
      </c>
      <c r="S276"/>
    </row>
    <row r="277" spans="1:19" ht="15" x14ac:dyDescent="0.25">
      <c r="A277" s="8" t="s">
        <v>4963</v>
      </c>
      <c r="B277" s="8" t="s">
        <v>4869</v>
      </c>
      <c r="C277" s="8" t="s">
        <v>4885</v>
      </c>
      <c r="D277" s="32" t="s">
        <v>6984</v>
      </c>
      <c r="E277" s="32" t="s">
        <v>4885</v>
      </c>
      <c r="F277" s="10">
        <v>1</v>
      </c>
      <c r="G277" s="8" t="s">
        <v>16</v>
      </c>
      <c r="H277" s="10">
        <v>77.599999999999994</v>
      </c>
      <c r="I277" s="10">
        <f t="shared" si="6"/>
        <v>77.599999999999994</v>
      </c>
      <c r="J277" s="10">
        <v>2.4838605280000001</v>
      </c>
      <c r="K277" s="8" t="s">
        <v>4781</v>
      </c>
      <c r="S277"/>
    </row>
    <row r="278" spans="1:19" ht="15" x14ac:dyDescent="0.25">
      <c r="A278" s="8" t="s">
        <v>4963</v>
      </c>
      <c r="B278" s="8" t="s">
        <v>4869</v>
      </c>
      <c r="C278" s="8" t="s">
        <v>5124</v>
      </c>
      <c r="D278" s="32" t="s">
        <v>6984</v>
      </c>
      <c r="E278" s="32" t="s">
        <v>5124</v>
      </c>
      <c r="F278" s="10">
        <v>1</v>
      </c>
      <c r="G278" s="8" t="s">
        <v>16</v>
      </c>
      <c r="H278" s="10">
        <v>49.1</v>
      </c>
      <c r="I278" s="10">
        <f t="shared" si="6"/>
        <v>49.1</v>
      </c>
      <c r="J278" s="10">
        <v>1.66085211</v>
      </c>
      <c r="K278" s="8" t="s">
        <v>5116</v>
      </c>
      <c r="S278"/>
    </row>
    <row r="279" spans="1:19" ht="15" x14ac:dyDescent="0.25">
      <c r="A279" s="8" t="s">
        <v>4963</v>
      </c>
      <c r="B279" s="8" t="s">
        <v>4869</v>
      </c>
      <c r="C279" s="8" t="s">
        <v>5125</v>
      </c>
      <c r="D279" s="32" t="s">
        <v>6984</v>
      </c>
      <c r="E279" s="32" t="s">
        <v>5125</v>
      </c>
      <c r="F279" s="10">
        <v>1</v>
      </c>
      <c r="G279" s="8" t="s">
        <v>16</v>
      </c>
      <c r="H279" s="10">
        <v>18.5</v>
      </c>
      <c r="I279" s="10">
        <f t="shared" si="6"/>
        <v>18.5</v>
      </c>
      <c r="J279" s="10">
        <v>0.65436000000000005</v>
      </c>
      <c r="K279" s="8" t="s">
        <v>5096</v>
      </c>
      <c r="S279"/>
    </row>
    <row r="280" spans="1:19" ht="15" x14ac:dyDescent="0.25">
      <c r="A280" s="8" t="s">
        <v>4963</v>
      </c>
      <c r="B280" s="8" t="s">
        <v>4869</v>
      </c>
      <c r="C280" s="8" t="s">
        <v>5126</v>
      </c>
      <c r="D280" s="32" t="s">
        <v>6984</v>
      </c>
      <c r="E280" s="32" t="s">
        <v>5126</v>
      </c>
      <c r="F280" s="10">
        <v>1</v>
      </c>
      <c r="G280" s="8" t="s">
        <v>16</v>
      </c>
      <c r="H280" s="10">
        <v>46.4</v>
      </c>
      <c r="I280" s="10">
        <f t="shared" si="6"/>
        <v>46.4</v>
      </c>
      <c r="J280" s="10">
        <v>2.1470417945600002</v>
      </c>
      <c r="K280" s="8" t="s">
        <v>5120</v>
      </c>
      <c r="S280"/>
    </row>
    <row r="281" spans="1:19" ht="15" x14ac:dyDescent="0.25">
      <c r="A281" s="8" t="s">
        <v>4963</v>
      </c>
      <c r="B281" s="8" t="s">
        <v>4869</v>
      </c>
      <c r="C281" s="8" t="s">
        <v>5127</v>
      </c>
      <c r="D281" s="32" t="s">
        <v>6984</v>
      </c>
      <c r="E281" s="32" t="s">
        <v>5127</v>
      </c>
      <c r="F281" s="10">
        <v>1</v>
      </c>
      <c r="G281" s="8" t="s">
        <v>5101</v>
      </c>
      <c r="H281" s="10">
        <v>49.4</v>
      </c>
      <c r="I281" s="10">
        <f t="shared" si="6"/>
        <v>49.4</v>
      </c>
      <c r="J281" s="10">
        <v>3.0186134627999999</v>
      </c>
      <c r="K281" s="8" t="s">
        <v>5128</v>
      </c>
      <c r="S281"/>
    </row>
    <row r="282" spans="1:19" ht="15" x14ac:dyDescent="0.25">
      <c r="A282" s="8" t="s">
        <v>4963</v>
      </c>
      <c r="B282" s="8" t="s">
        <v>4869</v>
      </c>
      <c r="C282" s="8" t="s">
        <v>5129</v>
      </c>
      <c r="D282" s="32" t="s">
        <v>6984</v>
      </c>
      <c r="E282" s="32" t="s">
        <v>5129</v>
      </c>
      <c r="F282" s="10">
        <v>1</v>
      </c>
      <c r="G282" s="8" t="s">
        <v>5101</v>
      </c>
      <c r="H282" s="10">
        <v>85.1</v>
      </c>
      <c r="I282" s="10">
        <f t="shared" si="6"/>
        <v>85.1</v>
      </c>
      <c r="J282" s="10">
        <v>5.5322368547999998</v>
      </c>
      <c r="K282" s="8" t="s">
        <v>5130</v>
      </c>
      <c r="S282"/>
    </row>
    <row r="283" spans="1:19" ht="15" x14ac:dyDescent="0.25">
      <c r="A283" s="8" t="s">
        <v>4963</v>
      </c>
      <c r="B283" s="8" t="s">
        <v>4869</v>
      </c>
      <c r="C283" s="8" t="s">
        <v>5131</v>
      </c>
      <c r="D283" s="32" t="s">
        <v>6984</v>
      </c>
      <c r="E283" s="32" t="s">
        <v>5131</v>
      </c>
      <c r="F283" s="10">
        <v>1</v>
      </c>
      <c r="G283" s="8" t="s">
        <v>5101</v>
      </c>
      <c r="H283" s="10">
        <v>46.9</v>
      </c>
      <c r="I283" s="10">
        <f t="shared" si="6"/>
        <v>46.9</v>
      </c>
      <c r="J283" s="10">
        <v>2.7284823988000002</v>
      </c>
      <c r="K283" s="8" t="s">
        <v>5130</v>
      </c>
      <c r="S283"/>
    </row>
    <row r="284" spans="1:19" ht="15" x14ac:dyDescent="0.25">
      <c r="A284" s="8" t="s">
        <v>4963</v>
      </c>
      <c r="B284" s="8" t="s">
        <v>4869</v>
      </c>
      <c r="C284" s="8" t="s">
        <v>5132</v>
      </c>
      <c r="D284" s="32" t="s">
        <v>6984</v>
      </c>
      <c r="E284" s="32" t="s">
        <v>5132</v>
      </c>
      <c r="F284" s="10">
        <v>1</v>
      </c>
      <c r="G284" s="8" t="s">
        <v>5101</v>
      </c>
      <c r="H284" s="10">
        <v>46.4</v>
      </c>
      <c r="I284" s="10">
        <f t="shared" si="6"/>
        <v>46.4</v>
      </c>
      <c r="J284" s="10">
        <v>2.7531631027999999</v>
      </c>
      <c r="K284" s="8" t="s">
        <v>5130</v>
      </c>
      <c r="S284"/>
    </row>
    <row r="285" spans="1:19" ht="15" x14ac:dyDescent="0.25">
      <c r="A285" s="8" t="s">
        <v>4963</v>
      </c>
      <c r="B285" s="8" t="s">
        <v>4869</v>
      </c>
      <c r="C285" s="8" t="s">
        <v>5133</v>
      </c>
      <c r="D285" s="32" t="s">
        <v>6984</v>
      </c>
      <c r="E285" s="32" t="s">
        <v>5133</v>
      </c>
      <c r="F285" s="10">
        <v>1</v>
      </c>
      <c r="G285" s="8" t="s">
        <v>5101</v>
      </c>
      <c r="H285" s="10">
        <v>157.30000000000001</v>
      </c>
      <c r="I285" s="10">
        <f t="shared" si="6"/>
        <v>157.30000000000001</v>
      </c>
      <c r="J285" s="10">
        <v>10.6444607908</v>
      </c>
      <c r="K285" s="8" t="s">
        <v>5128</v>
      </c>
      <c r="S285"/>
    </row>
    <row r="286" spans="1:19" ht="15" x14ac:dyDescent="0.25">
      <c r="A286" s="8" t="s">
        <v>4963</v>
      </c>
      <c r="B286" s="8" t="s">
        <v>4869</v>
      </c>
      <c r="C286" s="8" t="s">
        <v>5134</v>
      </c>
      <c r="D286" s="32" t="s">
        <v>6984</v>
      </c>
      <c r="E286" s="32" t="s">
        <v>5134</v>
      </c>
      <c r="F286" s="10">
        <v>2</v>
      </c>
      <c r="G286" s="8" t="s">
        <v>5101</v>
      </c>
      <c r="H286" s="10">
        <v>122.35</v>
      </c>
      <c r="I286" s="10">
        <f t="shared" si="6"/>
        <v>244.7</v>
      </c>
      <c r="J286" s="10">
        <v>16.283848157600001</v>
      </c>
      <c r="K286" s="8" t="s">
        <v>5128</v>
      </c>
      <c r="S286"/>
    </row>
    <row r="287" spans="1:19" ht="15" x14ac:dyDescent="0.25">
      <c r="A287" s="8" t="s">
        <v>4963</v>
      </c>
      <c r="B287" s="8" t="s">
        <v>4869</v>
      </c>
      <c r="C287" s="8" t="s">
        <v>5135</v>
      </c>
      <c r="D287" s="32" t="s">
        <v>6984</v>
      </c>
      <c r="E287" s="32" t="s">
        <v>5135</v>
      </c>
      <c r="F287" s="10">
        <v>1</v>
      </c>
      <c r="G287" s="8" t="s">
        <v>5101</v>
      </c>
      <c r="H287" s="10">
        <v>138.80000000000001</v>
      </c>
      <c r="I287" s="10">
        <f t="shared" si="6"/>
        <v>138.80000000000001</v>
      </c>
      <c r="J287" s="10">
        <v>9.4958443587999994</v>
      </c>
      <c r="K287" s="8" t="s">
        <v>5128</v>
      </c>
      <c r="S287"/>
    </row>
    <row r="288" spans="1:19" ht="15" x14ac:dyDescent="0.25">
      <c r="A288" s="8" t="s">
        <v>4963</v>
      </c>
      <c r="B288" s="8" t="s">
        <v>4869</v>
      </c>
      <c r="C288" s="8" t="s">
        <v>5136</v>
      </c>
      <c r="D288" s="32" t="s">
        <v>6984</v>
      </c>
      <c r="E288" s="32" t="s">
        <v>5136</v>
      </c>
      <c r="F288" s="10">
        <v>2</v>
      </c>
      <c r="G288" s="8" t="s">
        <v>5101</v>
      </c>
      <c r="H288" s="10">
        <v>119.55</v>
      </c>
      <c r="I288" s="10">
        <f t="shared" si="6"/>
        <v>239.1</v>
      </c>
      <c r="J288" s="10">
        <v>15.821830797600001</v>
      </c>
      <c r="K288" s="8" t="s">
        <v>5128</v>
      </c>
      <c r="S288"/>
    </row>
    <row r="289" spans="1:19" ht="15" x14ac:dyDescent="0.25">
      <c r="A289" s="8" t="s">
        <v>4963</v>
      </c>
      <c r="B289" s="8" t="s">
        <v>4869</v>
      </c>
      <c r="C289" s="8" t="s">
        <v>5137</v>
      </c>
      <c r="D289" s="32" t="s">
        <v>6984</v>
      </c>
      <c r="E289" s="32" t="s">
        <v>5137</v>
      </c>
      <c r="F289" s="10">
        <v>1</v>
      </c>
      <c r="G289" s="8" t="s">
        <v>5101</v>
      </c>
      <c r="H289" s="10">
        <v>84.3</v>
      </c>
      <c r="I289" s="10">
        <f t="shared" si="6"/>
        <v>84.3</v>
      </c>
      <c r="J289" s="10">
        <v>5.3834748147999996</v>
      </c>
      <c r="K289" s="8" t="s">
        <v>5128</v>
      </c>
      <c r="S289"/>
    </row>
    <row r="290" spans="1:19" ht="15" x14ac:dyDescent="0.25">
      <c r="A290" s="8" t="s">
        <v>4963</v>
      </c>
      <c r="B290" s="8" t="s">
        <v>4869</v>
      </c>
      <c r="C290" s="8" t="s">
        <v>5138</v>
      </c>
      <c r="D290" s="32" t="s">
        <v>6984</v>
      </c>
      <c r="E290" s="32" t="s">
        <v>5138</v>
      </c>
      <c r="F290" s="10">
        <v>1</v>
      </c>
      <c r="G290" s="8" t="s">
        <v>5139</v>
      </c>
      <c r="H290" s="10">
        <v>54.9</v>
      </c>
      <c r="I290" s="10">
        <f t="shared" si="6"/>
        <v>54.9</v>
      </c>
      <c r="J290" s="10">
        <v>3.3159589987999998</v>
      </c>
      <c r="K290" s="8" t="s">
        <v>5128</v>
      </c>
      <c r="S290"/>
    </row>
    <row r="291" spans="1:19" ht="15" x14ac:dyDescent="0.25">
      <c r="A291" s="8" t="s">
        <v>4963</v>
      </c>
      <c r="B291" s="8" t="s">
        <v>4869</v>
      </c>
      <c r="C291" s="8" t="s">
        <v>5140</v>
      </c>
      <c r="D291" s="32" t="s">
        <v>6984</v>
      </c>
      <c r="E291" s="32" t="s">
        <v>5140</v>
      </c>
      <c r="F291" s="10">
        <v>1</v>
      </c>
      <c r="G291" s="8" t="s">
        <v>5101</v>
      </c>
      <c r="H291" s="10">
        <v>38.200000000000003</v>
      </c>
      <c r="I291" s="10">
        <f t="shared" si="6"/>
        <v>38.200000000000003</v>
      </c>
      <c r="J291" s="10">
        <v>2.0151402088000001</v>
      </c>
      <c r="K291" s="8" t="s">
        <v>5130</v>
      </c>
      <c r="S291"/>
    </row>
    <row r="292" spans="1:19" ht="15" x14ac:dyDescent="0.25">
      <c r="A292" s="8" t="s">
        <v>4963</v>
      </c>
      <c r="B292" s="8" t="s">
        <v>4869</v>
      </c>
      <c r="C292" s="8" t="s">
        <v>5141</v>
      </c>
      <c r="D292" s="32" t="s">
        <v>6984</v>
      </c>
      <c r="E292" s="32" t="s">
        <v>5141</v>
      </c>
      <c r="F292" s="10">
        <v>1</v>
      </c>
      <c r="G292" s="8" t="s">
        <v>5101</v>
      </c>
      <c r="H292" s="10">
        <v>37.299999999999997</v>
      </c>
      <c r="I292" s="10">
        <f t="shared" si="6"/>
        <v>37.299999999999997</v>
      </c>
      <c r="J292" s="10">
        <v>1.9633888928000001</v>
      </c>
      <c r="K292" s="8" t="s">
        <v>5130</v>
      </c>
      <c r="S292"/>
    </row>
    <row r="293" spans="1:19" ht="15" x14ac:dyDescent="0.25">
      <c r="A293" s="8" t="s">
        <v>4963</v>
      </c>
      <c r="B293" s="8" t="s">
        <v>4869</v>
      </c>
      <c r="C293" s="8" t="s">
        <v>5142</v>
      </c>
      <c r="D293" s="32" t="s">
        <v>6984</v>
      </c>
      <c r="E293" s="32" t="s">
        <v>5142</v>
      </c>
      <c r="F293" s="10">
        <v>1</v>
      </c>
      <c r="G293" s="8" t="s">
        <v>5101</v>
      </c>
      <c r="H293" s="10">
        <v>42.1</v>
      </c>
      <c r="I293" s="10">
        <f t="shared" si="6"/>
        <v>42.1</v>
      </c>
      <c r="J293" s="10">
        <v>2.3461772681999999</v>
      </c>
      <c r="K293" s="8" t="s">
        <v>5130</v>
      </c>
      <c r="S293"/>
    </row>
    <row r="294" spans="1:19" ht="15" x14ac:dyDescent="0.25">
      <c r="A294" s="8" t="s">
        <v>4932</v>
      </c>
      <c r="B294" s="8" t="s">
        <v>14</v>
      </c>
      <c r="C294" s="8" t="s">
        <v>5143</v>
      </c>
      <c r="D294" s="32" t="s">
        <v>6984</v>
      </c>
      <c r="E294" s="32" t="s">
        <v>5143</v>
      </c>
      <c r="F294" s="10">
        <v>1</v>
      </c>
      <c r="G294" s="8" t="s">
        <v>4934</v>
      </c>
      <c r="H294" s="10">
        <v>2810.7</v>
      </c>
      <c r="I294" s="10">
        <f t="shared" si="6"/>
        <v>2810.7</v>
      </c>
      <c r="J294" s="10">
        <v>40.01518248</v>
      </c>
      <c r="K294" s="8" t="s">
        <v>4935</v>
      </c>
      <c r="S294"/>
    </row>
    <row r="295" spans="1:19" ht="15" x14ac:dyDescent="0.25">
      <c r="A295" s="8" t="s">
        <v>4932</v>
      </c>
      <c r="B295" s="8" t="s">
        <v>14</v>
      </c>
      <c r="C295" s="8" t="s">
        <v>5144</v>
      </c>
      <c r="D295" s="32" t="s">
        <v>6984</v>
      </c>
      <c r="E295" s="32" t="s">
        <v>5144</v>
      </c>
      <c r="F295" s="10">
        <v>1</v>
      </c>
      <c r="G295" s="8" t="s">
        <v>4934</v>
      </c>
      <c r="H295" s="10">
        <v>2866.9</v>
      </c>
      <c r="I295" s="10">
        <f t="shared" si="6"/>
        <v>2866.9</v>
      </c>
      <c r="J295" s="10">
        <v>41.353858797000001</v>
      </c>
      <c r="K295" s="8" t="s">
        <v>4935</v>
      </c>
      <c r="S295"/>
    </row>
    <row r="296" spans="1:19" ht="15" x14ac:dyDescent="0.25">
      <c r="A296" s="8" t="s">
        <v>4932</v>
      </c>
      <c r="B296" s="8" t="s">
        <v>14</v>
      </c>
      <c r="C296" s="8" t="s">
        <v>20</v>
      </c>
      <c r="D296" s="32" t="s">
        <v>6984</v>
      </c>
      <c r="E296" s="32" t="s">
        <v>20</v>
      </c>
      <c r="F296" s="10">
        <v>1</v>
      </c>
      <c r="G296" s="8" t="s">
        <v>16</v>
      </c>
      <c r="H296" s="10">
        <v>865.6</v>
      </c>
      <c r="I296" s="10">
        <f t="shared" si="6"/>
        <v>865.6</v>
      </c>
      <c r="J296" s="10">
        <v>17.954055636</v>
      </c>
      <c r="K296" s="8" t="s">
        <v>17</v>
      </c>
      <c r="S296"/>
    </row>
    <row r="297" spans="1:19" ht="15" x14ac:dyDescent="0.25">
      <c r="A297" s="8" t="s">
        <v>4998</v>
      </c>
      <c r="B297" s="8" t="s">
        <v>4779</v>
      </c>
      <c r="C297" s="8" t="s">
        <v>4783</v>
      </c>
      <c r="D297" s="32" t="s">
        <v>6984</v>
      </c>
      <c r="E297" s="32" t="s">
        <v>4783</v>
      </c>
      <c r="F297" s="10">
        <v>1</v>
      </c>
      <c r="G297" s="8" t="s">
        <v>16</v>
      </c>
      <c r="H297" s="10">
        <v>1497.1</v>
      </c>
      <c r="I297" s="10">
        <f t="shared" si="6"/>
        <v>1497.1</v>
      </c>
      <c r="J297" s="10">
        <v>22.166581019999999</v>
      </c>
      <c r="K297" s="8" t="s">
        <v>4784</v>
      </c>
      <c r="S297"/>
    </row>
    <row r="298" spans="1:19" ht="15" x14ac:dyDescent="0.25">
      <c r="A298" s="8" t="s">
        <v>4963</v>
      </c>
      <c r="B298" s="8" t="s">
        <v>4869</v>
      </c>
      <c r="C298" s="8" t="s">
        <v>5145</v>
      </c>
      <c r="D298" s="32" t="s">
        <v>5146</v>
      </c>
      <c r="E298" s="32" t="s">
        <v>5145</v>
      </c>
      <c r="F298" s="10">
        <v>56</v>
      </c>
      <c r="G298" s="8" t="s">
        <v>5147</v>
      </c>
      <c r="K298" s="8" t="s">
        <v>5147</v>
      </c>
      <c r="L298" s="8" t="s">
        <v>32</v>
      </c>
      <c r="S298"/>
    </row>
    <row r="299" spans="1:19" ht="15" x14ac:dyDescent="0.25">
      <c r="A299" s="8" t="s">
        <v>4963</v>
      </c>
      <c r="B299" s="8" t="s">
        <v>4869</v>
      </c>
      <c r="C299" s="8" t="s">
        <v>5148</v>
      </c>
      <c r="D299" s="32" t="s">
        <v>5146</v>
      </c>
      <c r="E299" s="32" t="s">
        <v>5148</v>
      </c>
      <c r="F299" s="10">
        <v>56</v>
      </c>
      <c r="G299" s="8" t="s">
        <v>5149</v>
      </c>
      <c r="K299" s="8" t="s">
        <v>5149</v>
      </c>
      <c r="L299" s="8" t="s">
        <v>32</v>
      </c>
      <c r="S299"/>
    </row>
    <row r="300" spans="1:19" ht="15" x14ac:dyDescent="0.25">
      <c r="A300" s="8" t="s">
        <v>4963</v>
      </c>
      <c r="B300" s="8" t="s">
        <v>4869</v>
      </c>
      <c r="C300" s="8" t="s">
        <v>5150</v>
      </c>
      <c r="D300" s="32" t="s">
        <v>5146</v>
      </c>
      <c r="E300" s="32" t="s">
        <v>5150</v>
      </c>
      <c r="F300" s="10">
        <v>56</v>
      </c>
      <c r="G300" s="8" t="s">
        <v>5151</v>
      </c>
      <c r="K300" s="8" t="s">
        <v>5151</v>
      </c>
      <c r="L300" s="8" t="s">
        <v>32</v>
      </c>
      <c r="S300"/>
    </row>
    <row r="301" spans="1:19" ht="15" x14ac:dyDescent="0.25">
      <c r="A301" s="8" t="s">
        <v>4963</v>
      </c>
      <c r="B301" s="8" t="s">
        <v>4869</v>
      </c>
      <c r="C301" s="8" t="s">
        <v>5152</v>
      </c>
      <c r="D301" s="32" t="s">
        <v>5146</v>
      </c>
      <c r="E301" s="32" t="s">
        <v>5152</v>
      </c>
      <c r="F301" s="10">
        <v>7</v>
      </c>
      <c r="G301" s="8" t="s">
        <v>5153</v>
      </c>
      <c r="K301" s="8" t="s">
        <v>5153</v>
      </c>
      <c r="L301" s="8" t="s">
        <v>32</v>
      </c>
      <c r="S301"/>
    </row>
    <row r="302" spans="1:19" ht="15" x14ac:dyDescent="0.25">
      <c r="A302" s="8" t="s">
        <v>4963</v>
      </c>
      <c r="B302" s="8" t="s">
        <v>4869</v>
      </c>
      <c r="C302" s="8" t="s">
        <v>5154</v>
      </c>
      <c r="D302" s="32" t="s">
        <v>5146</v>
      </c>
      <c r="E302" s="32" t="s">
        <v>5154</v>
      </c>
      <c r="F302" s="10">
        <v>270</v>
      </c>
      <c r="G302" s="8" t="s">
        <v>5155</v>
      </c>
      <c r="K302" s="8" t="s">
        <v>5155</v>
      </c>
      <c r="L302" s="8" t="s">
        <v>32</v>
      </c>
      <c r="S302"/>
    </row>
    <row r="303" spans="1:19" ht="15" x14ac:dyDescent="0.25">
      <c r="A303" s="8" t="s">
        <v>4963</v>
      </c>
      <c r="B303" s="8" t="s">
        <v>4869</v>
      </c>
      <c r="C303" s="8" t="s">
        <v>5156</v>
      </c>
      <c r="D303" s="32" t="s">
        <v>5146</v>
      </c>
      <c r="E303" s="32" t="s">
        <v>5156</v>
      </c>
      <c r="F303" s="10">
        <v>833</v>
      </c>
      <c r="G303" s="8" t="s">
        <v>5157</v>
      </c>
      <c r="K303" s="8" t="s">
        <v>5157</v>
      </c>
      <c r="L303" s="8" t="s">
        <v>32</v>
      </c>
      <c r="S303"/>
    </row>
    <row r="304" spans="1:19" ht="15" x14ac:dyDescent="0.25">
      <c r="A304" s="8" t="s">
        <v>4963</v>
      </c>
      <c r="B304" s="8" t="s">
        <v>4869</v>
      </c>
      <c r="C304" s="8" t="s">
        <v>5158</v>
      </c>
      <c r="D304" s="32" t="s">
        <v>5146</v>
      </c>
      <c r="E304" s="32" t="s">
        <v>5158</v>
      </c>
      <c r="F304" s="10">
        <v>245</v>
      </c>
      <c r="G304" s="8" t="s">
        <v>5159</v>
      </c>
      <c r="K304" s="8" t="s">
        <v>5159</v>
      </c>
      <c r="L304" s="8" t="s">
        <v>32</v>
      </c>
      <c r="S304"/>
    </row>
    <row r="305" spans="1:19" ht="15" x14ac:dyDescent="0.25">
      <c r="A305" s="8" t="s">
        <v>4963</v>
      </c>
      <c r="B305" s="8" t="s">
        <v>4869</v>
      </c>
      <c r="C305" s="8" t="s">
        <v>5160</v>
      </c>
      <c r="D305" s="32" t="s">
        <v>5146</v>
      </c>
      <c r="E305" s="32" t="s">
        <v>5160</v>
      </c>
      <c r="F305" s="10">
        <v>955</v>
      </c>
      <c r="G305" s="8" t="s">
        <v>5161</v>
      </c>
      <c r="K305" s="8" t="s">
        <v>5161</v>
      </c>
      <c r="L305" s="8" t="s">
        <v>32</v>
      </c>
      <c r="S305"/>
    </row>
    <row r="306" spans="1:19" ht="15" x14ac:dyDescent="0.25">
      <c r="A306" s="8" t="s">
        <v>4963</v>
      </c>
      <c r="B306" s="8" t="s">
        <v>4869</v>
      </c>
      <c r="C306" s="8" t="s">
        <v>5162</v>
      </c>
      <c r="D306" s="32" t="s">
        <v>5146</v>
      </c>
      <c r="E306" s="32" t="s">
        <v>5162</v>
      </c>
      <c r="F306" s="10">
        <v>1159</v>
      </c>
      <c r="G306" s="8" t="s">
        <v>5163</v>
      </c>
      <c r="K306" s="8" t="s">
        <v>5163</v>
      </c>
      <c r="L306" s="8" t="s">
        <v>32</v>
      </c>
      <c r="S306"/>
    </row>
    <row r="307" spans="1:19" ht="15" x14ac:dyDescent="0.25">
      <c r="A307" s="8" t="s">
        <v>4963</v>
      </c>
      <c r="B307" s="8" t="s">
        <v>4869</v>
      </c>
      <c r="C307" s="8" t="s">
        <v>5164</v>
      </c>
      <c r="D307" s="32" t="s">
        <v>5146</v>
      </c>
      <c r="E307" s="32" t="s">
        <v>5164</v>
      </c>
      <c r="F307" s="10">
        <v>3469</v>
      </c>
      <c r="G307" s="8" t="s">
        <v>5165</v>
      </c>
      <c r="K307" s="8" t="s">
        <v>5165</v>
      </c>
      <c r="L307" s="8" t="s">
        <v>32</v>
      </c>
      <c r="S307"/>
    </row>
    <row r="308" spans="1:19" ht="15" x14ac:dyDescent="0.25">
      <c r="A308" s="8" t="s">
        <v>4963</v>
      </c>
      <c r="B308" s="8" t="s">
        <v>4869</v>
      </c>
      <c r="C308" s="8" t="s">
        <v>5166</v>
      </c>
      <c r="D308" s="32" t="s">
        <v>5146</v>
      </c>
      <c r="E308" s="32" t="s">
        <v>5166</v>
      </c>
      <c r="F308" s="10">
        <v>3469</v>
      </c>
      <c r="G308" s="8" t="s">
        <v>5167</v>
      </c>
      <c r="K308" s="8" t="s">
        <v>5167</v>
      </c>
      <c r="L308" s="8" t="s">
        <v>32</v>
      </c>
      <c r="S308"/>
    </row>
    <row r="309" spans="1:19" ht="15" x14ac:dyDescent="0.25">
      <c r="A309" s="8" t="s">
        <v>4932</v>
      </c>
      <c r="B309" s="8" t="s">
        <v>14</v>
      </c>
      <c r="C309" s="8" t="s">
        <v>5168</v>
      </c>
      <c r="D309" s="32" t="s">
        <v>5146</v>
      </c>
      <c r="E309" s="32" t="s">
        <v>5168</v>
      </c>
      <c r="F309" s="10">
        <v>6</v>
      </c>
      <c r="G309" s="8" t="s">
        <v>5153</v>
      </c>
      <c r="K309" s="8" t="s">
        <v>5153</v>
      </c>
      <c r="L309" s="8" t="s">
        <v>32</v>
      </c>
      <c r="S309"/>
    </row>
    <row r="310" spans="1:19" ht="15" x14ac:dyDescent="0.25">
      <c r="A310" s="8" t="s">
        <v>4932</v>
      </c>
      <c r="B310" s="8" t="s">
        <v>14</v>
      </c>
      <c r="C310" s="8" t="s">
        <v>5169</v>
      </c>
      <c r="D310" s="32" t="s">
        <v>5146</v>
      </c>
      <c r="E310" s="32" t="s">
        <v>5169</v>
      </c>
      <c r="F310" s="10">
        <v>213</v>
      </c>
      <c r="G310" s="8" t="s">
        <v>5155</v>
      </c>
      <c r="K310" s="8" t="s">
        <v>5155</v>
      </c>
      <c r="L310" s="8" t="s">
        <v>32</v>
      </c>
      <c r="S310"/>
    </row>
    <row r="311" spans="1:19" ht="15" x14ac:dyDescent="0.25">
      <c r="A311" s="8" t="s">
        <v>4932</v>
      </c>
      <c r="B311" s="8" t="s">
        <v>14</v>
      </c>
      <c r="C311" s="8" t="s">
        <v>5170</v>
      </c>
      <c r="D311" s="32" t="s">
        <v>5146</v>
      </c>
      <c r="E311" s="32" t="s">
        <v>5170</v>
      </c>
      <c r="F311" s="10">
        <v>400</v>
      </c>
      <c r="G311" s="8" t="s">
        <v>5157</v>
      </c>
      <c r="K311" s="8" t="s">
        <v>5157</v>
      </c>
      <c r="L311" s="8" t="s">
        <v>32</v>
      </c>
      <c r="S311"/>
    </row>
    <row r="312" spans="1:19" ht="15" x14ac:dyDescent="0.25">
      <c r="A312" s="8" t="s">
        <v>4932</v>
      </c>
      <c r="B312" s="8" t="s">
        <v>14</v>
      </c>
      <c r="C312" s="8" t="s">
        <v>5171</v>
      </c>
      <c r="D312" s="32" t="s">
        <v>5146</v>
      </c>
      <c r="E312" s="32" t="s">
        <v>5171</v>
      </c>
      <c r="F312" s="10">
        <v>1110</v>
      </c>
      <c r="G312" s="8" t="s">
        <v>5159</v>
      </c>
      <c r="K312" s="8" t="s">
        <v>5159</v>
      </c>
      <c r="L312" s="8" t="s">
        <v>32</v>
      </c>
      <c r="S312"/>
    </row>
    <row r="313" spans="1:19" ht="15" x14ac:dyDescent="0.25">
      <c r="A313" s="8" t="s">
        <v>4932</v>
      </c>
      <c r="B313" s="8" t="s">
        <v>14</v>
      </c>
      <c r="C313" s="8" t="s">
        <v>5172</v>
      </c>
      <c r="D313" s="32" t="s">
        <v>5146</v>
      </c>
      <c r="E313" s="32" t="s">
        <v>5172</v>
      </c>
      <c r="F313" s="10">
        <v>1729</v>
      </c>
      <c r="G313" s="8" t="s">
        <v>5165</v>
      </c>
      <c r="K313" s="8" t="s">
        <v>5165</v>
      </c>
      <c r="L313" s="8" t="s">
        <v>32</v>
      </c>
      <c r="S313"/>
    </row>
    <row r="314" spans="1:19" ht="15" x14ac:dyDescent="0.25">
      <c r="A314" s="8" t="s">
        <v>4932</v>
      </c>
      <c r="B314" s="8" t="s">
        <v>14</v>
      </c>
      <c r="C314" s="8" t="s">
        <v>5173</v>
      </c>
      <c r="D314" s="32" t="s">
        <v>5146</v>
      </c>
      <c r="E314" s="32" t="s">
        <v>5173</v>
      </c>
      <c r="F314" s="10">
        <v>1729</v>
      </c>
      <c r="G314" s="8" t="s">
        <v>5167</v>
      </c>
      <c r="K314" s="8" t="s">
        <v>5167</v>
      </c>
      <c r="L314" s="8" t="s">
        <v>32</v>
      </c>
      <c r="S314"/>
    </row>
    <row r="315" spans="1:19" ht="15" x14ac:dyDescent="0.25">
      <c r="A315" s="8" t="s">
        <v>4998</v>
      </c>
      <c r="B315" s="8" t="s">
        <v>4779</v>
      </c>
      <c r="C315" s="8" t="s">
        <v>5174</v>
      </c>
      <c r="D315" s="32" t="s">
        <v>5146</v>
      </c>
      <c r="E315" s="32" t="s">
        <v>5174</v>
      </c>
      <c r="F315" s="10">
        <v>74</v>
      </c>
      <c r="G315" s="8" t="s">
        <v>5175</v>
      </c>
      <c r="K315" s="8" t="s">
        <v>5175</v>
      </c>
      <c r="L315" s="8" t="s">
        <v>32</v>
      </c>
      <c r="S315"/>
    </row>
    <row r="316" spans="1:19" ht="15" x14ac:dyDescent="0.25">
      <c r="A316" s="8" t="s">
        <v>4998</v>
      </c>
      <c r="B316" s="8" t="s">
        <v>4779</v>
      </c>
      <c r="C316" s="8" t="s">
        <v>5176</v>
      </c>
      <c r="D316" s="32" t="s">
        <v>5146</v>
      </c>
      <c r="E316" s="32" t="s">
        <v>5176</v>
      </c>
      <c r="F316" s="10">
        <v>74</v>
      </c>
      <c r="G316" s="8" t="s">
        <v>5177</v>
      </c>
      <c r="K316" s="8" t="s">
        <v>5177</v>
      </c>
      <c r="L316" s="8" t="s">
        <v>32</v>
      </c>
      <c r="S316"/>
    </row>
    <row r="317" spans="1:19" ht="15" x14ac:dyDescent="0.25">
      <c r="A317" s="8" t="s">
        <v>4998</v>
      </c>
      <c r="B317" s="8" t="s">
        <v>4779</v>
      </c>
      <c r="C317" s="8" t="s">
        <v>5178</v>
      </c>
      <c r="D317" s="32" t="s">
        <v>5146</v>
      </c>
      <c r="E317" s="32" t="s">
        <v>5178</v>
      </c>
      <c r="F317" s="10">
        <v>74</v>
      </c>
      <c r="G317" s="8" t="s">
        <v>5179</v>
      </c>
      <c r="K317" s="8" t="s">
        <v>5179</v>
      </c>
      <c r="L317" s="8" t="s">
        <v>32</v>
      </c>
      <c r="S317"/>
    </row>
    <row r="318" spans="1:19" ht="15" x14ac:dyDescent="0.25">
      <c r="A318" s="8" t="s">
        <v>4998</v>
      </c>
      <c r="B318" s="8" t="s">
        <v>4779</v>
      </c>
      <c r="C318" s="8" t="s">
        <v>5180</v>
      </c>
      <c r="D318" s="32" t="s">
        <v>5146</v>
      </c>
      <c r="E318" s="32" t="s">
        <v>5180</v>
      </c>
      <c r="F318" s="10">
        <v>17</v>
      </c>
      <c r="G318" s="8" t="s">
        <v>5153</v>
      </c>
      <c r="K318" s="8" t="s">
        <v>5153</v>
      </c>
      <c r="L318" s="8" t="s">
        <v>32</v>
      </c>
      <c r="S318"/>
    </row>
    <row r="319" spans="1:19" ht="15" x14ac:dyDescent="0.25">
      <c r="A319" s="8" t="s">
        <v>4998</v>
      </c>
      <c r="B319" s="8" t="s">
        <v>4779</v>
      </c>
      <c r="C319" s="8" t="s">
        <v>5181</v>
      </c>
      <c r="D319" s="32" t="s">
        <v>5146</v>
      </c>
      <c r="E319" s="32" t="s">
        <v>5181</v>
      </c>
      <c r="F319" s="10">
        <v>918</v>
      </c>
      <c r="G319" s="8" t="s">
        <v>5155</v>
      </c>
      <c r="K319" s="8" t="s">
        <v>5155</v>
      </c>
      <c r="L319" s="8" t="s">
        <v>32</v>
      </c>
      <c r="S319"/>
    </row>
    <row r="320" spans="1:19" ht="15" x14ac:dyDescent="0.25">
      <c r="A320" s="8" t="s">
        <v>4998</v>
      </c>
      <c r="B320" s="8" t="s">
        <v>4779</v>
      </c>
      <c r="C320" s="8" t="s">
        <v>5182</v>
      </c>
      <c r="D320" s="32" t="s">
        <v>5146</v>
      </c>
      <c r="E320" s="32" t="s">
        <v>5182</v>
      </c>
      <c r="F320" s="10">
        <v>1690</v>
      </c>
      <c r="G320" s="8" t="s">
        <v>5159</v>
      </c>
      <c r="K320" s="8" t="s">
        <v>5159</v>
      </c>
      <c r="L320" s="8" t="s">
        <v>32</v>
      </c>
      <c r="S320"/>
    </row>
    <row r="321" spans="1:19" ht="15" x14ac:dyDescent="0.25">
      <c r="A321" s="8" t="s">
        <v>4998</v>
      </c>
      <c r="B321" s="8" t="s">
        <v>4779</v>
      </c>
      <c r="C321" s="8" t="s">
        <v>5183</v>
      </c>
      <c r="D321" s="32" t="s">
        <v>5146</v>
      </c>
      <c r="E321" s="32" t="s">
        <v>5183</v>
      </c>
      <c r="F321" s="10">
        <v>1065</v>
      </c>
      <c r="G321" s="8" t="s">
        <v>5161</v>
      </c>
      <c r="K321" s="8" t="s">
        <v>5161</v>
      </c>
      <c r="L321" s="8" t="s">
        <v>32</v>
      </c>
      <c r="S321"/>
    </row>
    <row r="322" spans="1:19" ht="15" x14ac:dyDescent="0.25">
      <c r="A322" s="8" t="s">
        <v>4998</v>
      </c>
      <c r="B322" s="8" t="s">
        <v>4779</v>
      </c>
      <c r="C322" s="8" t="s">
        <v>5184</v>
      </c>
      <c r="D322" s="32" t="s">
        <v>5146</v>
      </c>
      <c r="E322" s="32" t="s">
        <v>5184</v>
      </c>
      <c r="F322" s="10">
        <v>17</v>
      </c>
      <c r="G322" s="8" t="s">
        <v>5185</v>
      </c>
      <c r="K322" s="8" t="s">
        <v>5185</v>
      </c>
      <c r="L322" s="8" t="s">
        <v>32</v>
      </c>
      <c r="S322"/>
    </row>
    <row r="323" spans="1:19" ht="15" x14ac:dyDescent="0.25">
      <c r="A323" s="8" t="s">
        <v>4998</v>
      </c>
      <c r="B323" s="8" t="s">
        <v>4779</v>
      </c>
      <c r="C323" s="8" t="s">
        <v>5186</v>
      </c>
      <c r="D323" s="32" t="s">
        <v>5146</v>
      </c>
      <c r="E323" s="32" t="s">
        <v>5186</v>
      </c>
      <c r="F323" s="10">
        <v>13</v>
      </c>
      <c r="G323" s="8" t="s">
        <v>5187</v>
      </c>
      <c r="K323" s="8" t="s">
        <v>5187</v>
      </c>
      <c r="L323" s="8" t="s">
        <v>32</v>
      </c>
      <c r="S323"/>
    </row>
    <row r="324" spans="1:19" ht="15" x14ac:dyDescent="0.25">
      <c r="A324" s="8" t="s">
        <v>4998</v>
      </c>
      <c r="B324" s="8" t="s">
        <v>4779</v>
      </c>
      <c r="C324" s="8" t="s">
        <v>5188</v>
      </c>
      <c r="D324" s="32" t="s">
        <v>5146</v>
      </c>
      <c r="E324" s="32" t="s">
        <v>5188</v>
      </c>
      <c r="F324" s="10">
        <v>5</v>
      </c>
      <c r="G324" s="8" t="s">
        <v>5189</v>
      </c>
      <c r="K324" s="8" t="s">
        <v>5189</v>
      </c>
      <c r="L324" s="8" t="s">
        <v>32</v>
      </c>
      <c r="S324"/>
    </row>
    <row r="325" spans="1:19" ht="15" x14ac:dyDescent="0.25">
      <c r="A325" s="8" t="s">
        <v>4998</v>
      </c>
      <c r="B325" s="8" t="s">
        <v>4779</v>
      </c>
      <c r="C325" s="8" t="s">
        <v>5190</v>
      </c>
      <c r="D325" s="32" t="s">
        <v>5146</v>
      </c>
      <c r="E325" s="32" t="s">
        <v>5190</v>
      </c>
      <c r="F325" s="10">
        <v>3725</v>
      </c>
      <c r="G325" s="8" t="s">
        <v>5165</v>
      </c>
      <c r="K325" s="8" t="s">
        <v>5165</v>
      </c>
      <c r="L325" s="8" t="s">
        <v>32</v>
      </c>
      <c r="S325"/>
    </row>
    <row r="326" spans="1:19" ht="15" x14ac:dyDescent="0.25">
      <c r="A326" s="8" t="s">
        <v>4998</v>
      </c>
      <c r="B326" s="8" t="s">
        <v>4779</v>
      </c>
      <c r="C326" s="8" t="s">
        <v>5191</v>
      </c>
      <c r="D326" s="32" t="s">
        <v>5146</v>
      </c>
      <c r="E326" s="32" t="s">
        <v>5191</v>
      </c>
      <c r="F326" s="10">
        <v>3725</v>
      </c>
      <c r="G326" s="8" t="s">
        <v>5167</v>
      </c>
      <c r="K326" s="8" t="s">
        <v>5167</v>
      </c>
      <c r="L326" s="8" t="s">
        <v>32</v>
      </c>
      <c r="S326"/>
    </row>
    <row r="327" spans="1:19" ht="15" x14ac:dyDescent="0.25">
      <c r="A327" s="8" t="s">
        <v>5069</v>
      </c>
      <c r="B327" s="8" t="s">
        <v>5070</v>
      </c>
      <c r="C327" s="8" t="s">
        <v>5192</v>
      </c>
      <c r="D327" s="32" t="s">
        <v>6984</v>
      </c>
      <c r="E327" s="32" t="s">
        <v>5192</v>
      </c>
      <c r="F327" s="10">
        <v>1</v>
      </c>
      <c r="G327" s="8" t="s">
        <v>16</v>
      </c>
      <c r="H327" s="10">
        <v>3045</v>
      </c>
      <c r="I327" s="10">
        <f t="shared" ref="I327:I388" si="7">F327*H327</f>
        <v>3045</v>
      </c>
      <c r="J327" s="10">
        <v>31.211386009999998</v>
      </c>
      <c r="K327" s="8" t="s">
        <v>4875</v>
      </c>
      <c r="S327"/>
    </row>
    <row r="328" spans="1:19" ht="15" x14ac:dyDescent="0.25">
      <c r="A328" s="8" t="s">
        <v>5069</v>
      </c>
      <c r="B328" s="8" t="s">
        <v>5070</v>
      </c>
      <c r="C328" s="8" t="s">
        <v>5193</v>
      </c>
      <c r="D328" s="32" t="s">
        <v>6984</v>
      </c>
      <c r="E328" s="32" t="s">
        <v>5193</v>
      </c>
      <c r="F328" s="10">
        <v>1</v>
      </c>
      <c r="G328" s="8" t="s">
        <v>16</v>
      </c>
      <c r="H328" s="10">
        <v>2916.4</v>
      </c>
      <c r="I328" s="10">
        <f t="shared" si="7"/>
        <v>2916.4</v>
      </c>
      <c r="J328" s="10">
        <v>29.46703222</v>
      </c>
      <c r="K328" s="8" t="s">
        <v>4875</v>
      </c>
      <c r="S328"/>
    </row>
    <row r="329" spans="1:19" ht="15" x14ac:dyDescent="0.25">
      <c r="A329" s="8" t="s">
        <v>5069</v>
      </c>
      <c r="B329" s="8" t="s">
        <v>5070</v>
      </c>
      <c r="C329" s="8" t="s">
        <v>5194</v>
      </c>
      <c r="D329" s="32" t="s">
        <v>6984</v>
      </c>
      <c r="E329" s="32" t="s">
        <v>5194</v>
      </c>
      <c r="F329" s="10">
        <v>1</v>
      </c>
      <c r="G329" s="8" t="s">
        <v>16</v>
      </c>
      <c r="H329" s="10">
        <v>2473.6</v>
      </c>
      <c r="I329" s="10">
        <f t="shared" si="7"/>
        <v>2473.6</v>
      </c>
      <c r="J329" s="10">
        <v>39.611219112999997</v>
      </c>
      <c r="K329" s="8" t="s">
        <v>4865</v>
      </c>
      <c r="S329"/>
    </row>
    <row r="330" spans="1:19" ht="15" x14ac:dyDescent="0.25">
      <c r="A330" s="8" t="s">
        <v>5069</v>
      </c>
      <c r="B330" s="8" t="s">
        <v>5070</v>
      </c>
      <c r="C330" s="8" t="s">
        <v>5195</v>
      </c>
      <c r="D330" s="32" t="s">
        <v>6984</v>
      </c>
      <c r="E330" s="32" t="s">
        <v>5195</v>
      </c>
      <c r="F330" s="10">
        <v>1</v>
      </c>
      <c r="G330" s="8" t="s">
        <v>16</v>
      </c>
      <c r="H330" s="10">
        <v>2347.6999999999998</v>
      </c>
      <c r="I330" s="10">
        <f t="shared" si="7"/>
        <v>2347.6999999999998</v>
      </c>
      <c r="J330" s="10">
        <v>36.662385550000003</v>
      </c>
      <c r="K330" s="8" t="s">
        <v>4865</v>
      </c>
      <c r="S330"/>
    </row>
    <row r="331" spans="1:19" ht="15" x14ac:dyDescent="0.25">
      <c r="A331" s="8" t="s">
        <v>5069</v>
      </c>
      <c r="B331" s="8" t="s">
        <v>5070</v>
      </c>
      <c r="C331" s="8" t="s">
        <v>5196</v>
      </c>
      <c r="D331" s="32" t="s">
        <v>6984</v>
      </c>
      <c r="E331" s="32" t="s">
        <v>5196</v>
      </c>
      <c r="F331" s="10">
        <v>1</v>
      </c>
      <c r="G331" s="8" t="s">
        <v>16</v>
      </c>
      <c r="H331" s="10">
        <v>2484.3000000000002</v>
      </c>
      <c r="I331" s="10">
        <f t="shared" si="7"/>
        <v>2484.3000000000002</v>
      </c>
      <c r="J331" s="10">
        <v>40.175266860999997</v>
      </c>
      <c r="K331" s="8" t="s">
        <v>4865</v>
      </c>
      <c r="S331"/>
    </row>
    <row r="332" spans="1:19" ht="15" x14ac:dyDescent="0.25">
      <c r="A332" s="8" t="s">
        <v>5069</v>
      </c>
      <c r="B332" s="8" t="s">
        <v>5070</v>
      </c>
      <c r="C332" s="8" t="s">
        <v>5197</v>
      </c>
      <c r="D332" s="32" t="s">
        <v>6984</v>
      </c>
      <c r="E332" s="32" t="s">
        <v>5197</v>
      </c>
      <c r="F332" s="10">
        <v>1</v>
      </c>
      <c r="G332" s="8" t="s">
        <v>16</v>
      </c>
      <c r="H332" s="10">
        <v>2433.1</v>
      </c>
      <c r="I332" s="10">
        <f t="shared" si="7"/>
        <v>2433.1</v>
      </c>
      <c r="J332" s="10">
        <v>38.524457869000003</v>
      </c>
      <c r="K332" s="8" t="s">
        <v>4865</v>
      </c>
      <c r="S332"/>
    </row>
    <row r="333" spans="1:19" ht="15" x14ac:dyDescent="0.25">
      <c r="A333" s="8" t="s">
        <v>5073</v>
      </c>
      <c r="B333" s="8" t="s">
        <v>5070</v>
      </c>
      <c r="C333" s="8" t="s">
        <v>5198</v>
      </c>
      <c r="D333" s="32" t="s">
        <v>6984</v>
      </c>
      <c r="E333" s="32" t="s">
        <v>5198</v>
      </c>
      <c r="F333" s="10">
        <v>1</v>
      </c>
      <c r="G333" s="8" t="s">
        <v>16</v>
      </c>
      <c r="H333" s="10">
        <v>3391.7</v>
      </c>
      <c r="I333" s="10">
        <f t="shared" si="7"/>
        <v>3391.7</v>
      </c>
      <c r="J333" s="10">
        <v>38.473005155499997</v>
      </c>
      <c r="K333" s="8" t="s">
        <v>5199</v>
      </c>
      <c r="S333"/>
    </row>
    <row r="334" spans="1:19" ht="15" x14ac:dyDescent="0.25">
      <c r="A334" s="8" t="s">
        <v>5073</v>
      </c>
      <c r="B334" s="8" t="s">
        <v>5070</v>
      </c>
      <c r="C334" s="8" t="s">
        <v>5200</v>
      </c>
      <c r="D334" s="32" t="s">
        <v>6984</v>
      </c>
      <c r="E334" s="32" t="s">
        <v>5200</v>
      </c>
      <c r="F334" s="10">
        <v>1</v>
      </c>
      <c r="G334" s="8" t="s">
        <v>16</v>
      </c>
      <c r="H334" s="10">
        <v>3376.3</v>
      </c>
      <c r="I334" s="10">
        <f t="shared" si="7"/>
        <v>3376.3</v>
      </c>
      <c r="J334" s="10">
        <v>37.917594755750002</v>
      </c>
      <c r="K334" s="8" t="s">
        <v>5199</v>
      </c>
      <c r="S334"/>
    </row>
    <row r="335" spans="1:19" ht="15" x14ac:dyDescent="0.25">
      <c r="A335" s="8" t="s">
        <v>5073</v>
      </c>
      <c r="B335" s="8" t="s">
        <v>5070</v>
      </c>
      <c r="C335" s="8" t="s">
        <v>5201</v>
      </c>
      <c r="D335" s="32" t="s">
        <v>6984</v>
      </c>
      <c r="E335" s="32" t="s">
        <v>5201</v>
      </c>
      <c r="F335" s="10">
        <v>1</v>
      </c>
      <c r="G335" s="8" t="s">
        <v>16</v>
      </c>
      <c r="H335" s="10">
        <v>3450.4</v>
      </c>
      <c r="I335" s="10">
        <f t="shared" si="7"/>
        <v>3450.4</v>
      </c>
      <c r="J335" s="10">
        <v>39.872347489159999</v>
      </c>
      <c r="K335" s="8" t="s">
        <v>5199</v>
      </c>
      <c r="S335"/>
    </row>
    <row r="336" spans="1:19" ht="15" x14ac:dyDescent="0.25">
      <c r="A336" s="8" t="s">
        <v>5069</v>
      </c>
      <c r="B336" s="8" t="s">
        <v>5070</v>
      </c>
      <c r="C336" s="8" t="s">
        <v>5202</v>
      </c>
      <c r="D336" s="32" t="s">
        <v>6984</v>
      </c>
      <c r="E336" s="32" t="s">
        <v>5202</v>
      </c>
      <c r="F336" s="10">
        <v>1</v>
      </c>
      <c r="G336" s="8" t="s">
        <v>16</v>
      </c>
      <c r="H336" s="10">
        <v>1846.1</v>
      </c>
      <c r="I336" s="10">
        <f t="shared" si="7"/>
        <v>1846.1</v>
      </c>
      <c r="J336" s="10">
        <v>24.836266616</v>
      </c>
      <c r="K336" s="8" t="s">
        <v>5203</v>
      </c>
      <c r="S336"/>
    </row>
    <row r="337" spans="1:19" ht="15" x14ac:dyDescent="0.25">
      <c r="A337" s="8" t="s">
        <v>5073</v>
      </c>
      <c r="B337" s="8" t="s">
        <v>5070</v>
      </c>
      <c r="C337" s="8" t="s">
        <v>5204</v>
      </c>
      <c r="D337" s="32" t="s">
        <v>6984</v>
      </c>
      <c r="E337" s="32" t="s">
        <v>5204</v>
      </c>
      <c r="F337" s="10">
        <v>1</v>
      </c>
      <c r="G337" s="8" t="s">
        <v>16</v>
      </c>
      <c r="H337" s="10">
        <v>1172.2</v>
      </c>
      <c r="I337" s="10">
        <f t="shared" si="7"/>
        <v>1172.2</v>
      </c>
      <c r="J337" s="10">
        <v>15.9433705555</v>
      </c>
      <c r="K337" s="8" t="s">
        <v>5203</v>
      </c>
      <c r="S337"/>
    </row>
    <row r="338" spans="1:19" ht="15" x14ac:dyDescent="0.25">
      <c r="A338" s="8" t="s">
        <v>5073</v>
      </c>
      <c r="B338" s="8" t="s">
        <v>5070</v>
      </c>
      <c r="C338" s="8" t="s">
        <v>5205</v>
      </c>
      <c r="D338" s="32" t="s">
        <v>6984</v>
      </c>
      <c r="E338" s="32" t="s">
        <v>5205</v>
      </c>
      <c r="F338" s="10">
        <v>1</v>
      </c>
      <c r="G338" s="8" t="s">
        <v>16</v>
      </c>
      <c r="H338" s="10">
        <v>596.79999999999995</v>
      </c>
      <c r="I338" s="10">
        <f t="shared" si="7"/>
        <v>596.79999999999995</v>
      </c>
      <c r="J338" s="10">
        <v>11.264635774</v>
      </c>
      <c r="K338" s="8" t="s">
        <v>5206</v>
      </c>
      <c r="S338"/>
    </row>
    <row r="339" spans="1:19" ht="15" x14ac:dyDescent="0.25">
      <c r="A339" s="8" t="s">
        <v>5073</v>
      </c>
      <c r="B339" s="8" t="s">
        <v>5070</v>
      </c>
      <c r="C339" s="8" t="s">
        <v>5207</v>
      </c>
      <c r="D339" s="32" t="s">
        <v>6984</v>
      </c>
      <c r="E339" s="32" t="s">
        <v>5207</v>
      </c>
      <c r="F339" s="10">
        <v>2</v>
      </c>
      <c r="G339" s="8" t="s">
        <v>16</v>
      </c>
      <c r="H339" s="10">
        <v>46</v>
      </c>
      <c r="I339" s="10">
        <f t="shared" si="7"/>
        <v>92</v>
      </c>
      <c r="J339" s="10">
        <v>2.940426</v>
      </c>
      <c r="K339" s="8" t="s">
        <v>4781</v>
      </c>
      <c r="S339"/>
    </row>
    <row r="340" spans="1:19" ht="15" x14ac:dyDescent="0.25">
      <c r="A340" s="8" t="s">
        <v>5073</v>
      </c>
      <c r="B340" s="8" t="s">
        <v>5070</v>
      </c>
      <c r="C340" s="8" t="s">
        <v>5208</v>
      </c>
      <c r="D340" s="32" t="s">
        <v>6984</v>
      </c>
      <c r="E340" s="32" t="s">
        <v>5208</v>
      </c>
      <c r="F340" s="10">
        <v>1</v>
      </c>
      <c r="G340" s="8" t="s">
        <v>16</v>
      </c>
      <c r="H340" s="10">
        <v>398.9</v>
      </c>
      <c r="I340" s="10">
        <f t="shared" si="7"/>
        <v>398.9</v>
      </c>
      <c r="J340" s="10">
        <v>10.9221</v>
      </c>
      <c r="K340" s="8" t="s">
        <v>5209</v>
      </c>
      <c r="S340"/>
    </row>
    <row r="341" spans="1:19" ht="15" x14ac:dyDescent="0.25">
      <c r="A341" s="8" t="s">
        <v>5069</v>
      </c>
      <c r="B341" s="8" t="s">
        <v>5070</v>
      </c>
      <c r="C341" s="8" t="s">
        <v>5210</v>
      </c>
      <c r="D341" s="32" t="s">
        <v>6984</v>
      </c>
      <c r="E341" s="32" t="s">
        <v>5210</v>
      </c>
      <c r="F341" s="10">
        <v>1</v>
      </c>
      <c r="G341" s="8" t="s">
        <v>16</v>
      </c>
      <c r="H341" s="10">
        <v>266.39999999999998</v>
      </c>
      <c r="I341" s="10">
        <f t="shared" si="7"/>
        <v>266.39999999999998</v>
      </c>
      <c r="J341" s="10">
        <v>4.1275000000000004</v>
      </c>
      <c r="K341" s="8" t="s">
        <v>4865</v>
      </c>
      <c r="S341"/>
    </row>
    <row r="342" spans="1:19" ht="15" x14ac:dyDescent="0.25">
      <c r="A342" s="8" t="s">
        <v>5073</v>
      </c>
      <c r="B342" s="8" t="s">
        <v>5070</v>
      </c>
      <c r="C342" s="8" t="s">
        <v>5211</v>
      </c>
      <c r="D342" s="32" t="s">
        <v>6984</v>
      </c>
      <c r="E342" s="32" t="s">
        <v>5211</v>
      </c>
      <c r="F342" s="10">
        <v>1</v>
      </c>
      <c r="G342" s="8" t="s">
        <v>16</v>
      </c>
      <c r="H342" s="10">
        <v>268.3</v>
      </c>
      <c r="I342" s="10">
        <f t="shared" si="7"/>
        <v>268.3</v>
      </c>
      <c r="J342" s="10">
        <v>7.6969200000000004</v>
      </c>
      <c r="K342" s="8" t="s">
        <v>4956</v>
      </c>
      <c r="S342"/>
    </row>
    <row r="343" spans="1:19" ht="15" x14ac:dyDescent="0.25">
      <c r="A343" s="8" t="s">
        <v>5069</v>
      </c>
      <c r="B343" s="8" t="s">
        <v>5070</v>
      </c>
      <c r="C343" s="8" t="s">
        <v>5212</v>
      </c>
      <c r="D343" s="32" t="s">
        <v>6984</v>
      </c>
      <c r="E343" s="32" t="s">
        <v>5212</v>
      </c>
      <c r="F343" s="10">
        <v>2</v>
      </c>
      <c r="G343" s="8" t="s">
        <v>16</v>
      </c>
      <c r="H343" s="10">
        <v>19.8</v>
      </c>
      <c r="I343" s="10">
        <f t="shared" si="7"/>
        <v>39.6</v>
      </c>
      <c r="J343" s="10">
        <v>2.0150000000000001</v>
      </c>
      <c r="K343" s="8" t="s">
        <v>5123</v>
      </c>
      <c r="S343"/>
    </row>
    <row r="344" spans="1:19" ht="15" x14ac:dyDescent="0.25">
      <c r="A344" s="8" t="s">
        <v>5069</v>
      </c>
      <c r="B344" s="8" t="s">
        <v>5070</v>
      </c>
      <c r="C344" s="8" t="s">
        <v>5213</v>
      </c>
      <c r="D344" s="32" t="s">
        <v>6984</v>
      </c>
      <c r="E344" s="32" t="s">
        <v>5213</v>
      </c>
      <c r="F344" s="10">
        <v>2</v>
      </c>
      <c r="G344" s="8" t="s">
        <v>16</v>
      </c>
      <c r="H344" s="10">
        <v>44.1</v>
      </c>
      <c r="I344" s="10">
        <f t="shared" si="7"/>
        <v>88.2</v>
      </c>
      <c r="J344" s="10">
        <v>2.8182200000000002</v>
      </c>
      <c r="K344" s="8" t="s">
        <v>4781</v>
      </c>
      <c r="S344"/>
    </row>
    <row r="345" spans="1:19" ht="15" x14ac:dyDescent="0.25">
      <c r="A345" s="8" t="s">
        <v>5069</v>
      </c>
      <c r="B345" s="8" t="s">
        <v>5070</v>
      </c>
      <c r="C345" s="8" t="s">
        <v>5214</v>
      </c>
      <c r="D345" s="32" t="s">
        <v>6984</v>
      </c>
      <c r="E345" s="32" t="s">
        <v>5214</v>
      </c>
      <c r="F345" s="10">
        <v>2</v>
      </c>
      <c r="G345" s="8" t="s">
        <v>16</v>
      </c>
      <c r="H345" s="10">
        <v>71.400000000000006</v>
      </c>
      <c r="I345" s="10">
        <f t="shared" si="7"/>
        <v>142.80000000000001</v>
      </c>
      <c r="J345" s="10">
        <v>4.5640200000000002</v>
      </c>
      <c r="K345" s="8" t="s">
        <v>4781</v>
      </c>
      <c r="S345"/>
    </row>
    <row r="346" spans="1:19" ht="15" x14ac:dyDescent="0.25">
      <c r="A346" s="8" t="s">
        <v>5073</v>
      </c>
      <c r="B346" s="8" t="s">
        <v>5070</v>
      </c>
      <c r="C346" s="8" t="s">
        <v>5215</v>
      </c>
      <c r="D346" s="32" t="s">
        <v>6984</v>
      </c>
      <c r="E346" s="32" t="s">
        <v>5215</v>
      </c>
      <c r="F346" s="10">
        <v>2</v>
      </c>
      <c r="G346" s="8" t="s">
        <v>4903</v>
      </c>
      <c r="H346" s="10">
        <v>333.8</v>
      </c>
      <c r="I346" s="10">
        <f t="shared" si="7"/>
        <v>667.6</v>
      </c>
      <c r="J346" s="10">
        <v>15.673427999999999</v>
      </c>
      <c r="K346" s="8" t="s">
        <v>4983</v>
      </c>
      <c r="S346"/>
    </row>
    <row r="347" spans="1:19" ht="15" x14ac:dyDescent="0.25">
      <c r="A347" s="8" t="s">
        <v>5069</v>
      </c>
      <c r="B347" s="8" t="s">
        <v>5070</v>
      </c>
      <c r="C347" s="8" t="s">
        <v>5216</v>
      </c>
      <c r="D347" s="32" t="s">
        <v>6984</v>
      </c>
      <c r="E347" s="32" t="s">
        <v>5216</v>
      </c>
      <c r="F347" s="10">
        <v>2</v>
      </c>
      <c r="G347" s="8" t="s">
        <v>4903</v>
      </c>
      <c r="H347" s="10">
        <v>317.5</v>
      </c>
      <c r="I347" s="10">
        <f t="shared" si="7"/>
        <v>635</v>
      </c>
      <c r="J347" s="10">
        <v>14.907654000000001</v>
      </c>
      <c r="K347" s="8" t="s">
        <v>4983</v>
      </c>
      <c r="S347"/>
    </row>
    <row r="348" spans="1:19" ht="15" x14ac:dyDescent="0.25">
      <c r="A348" s="8" t="s">
        <v>5073</v>
      </c>
      <c r="B348" s="8" t="s">
        <v>5070</v>
      </c>
      <c r="C348" s="8" t="s">
        <v>5217</v>
      </c>
      <c r="D348" s="32" t="s">
        <v>6984</v>
      </c>
      <c r="E348" s="32" t="s">
        <v>5217</v>
      </c>
      <c r="F348" s="10">
        <v>3</v>
      </c>
      <c r="G348" s="8" t="s">
        <v>4903</v>
      </c>
      <c r="H348" s="10">
        <v>114.53333333333335</v>
      </c>
      <c r="I348" s="10">
        <f t="shared" si="7"/>
        <v>343.6</v>
      </c>
      <c r="J348" s="10">
        <v>8.8370099999999994</v>
      </c>
      <c r="K348" s="8" t="s">
        <v>4949</v>
      </c>
      <c r="S348"/>
    </row>
    <row r="349" spans="1:19" ht="15" x14ac:dyDescent="0.25">
      <c r="A349" s="8" t="s">
        <v>5073</v>
      </c>
      <c r="B349" s="8" t="s">
        <v>5070</v>
      </c>
      <c r="C349" s="8" t="s">
        <v>5218</v>
      </c>
      <c r="D349" s="32" t="s">
        <v>6984</v>
      </c>
      <c r="E349" s="32" t="s">
        <v>5218</v>
      </c>
      <c r="F349" s="10">
        <v>2</v>
      </c>
      <c r="G349" s="8" t="s">
        <v>4903</v>
      </c>
      <c r="H349" s="10">
        <v>171.2</v>
      </c>
      <c r="I349" s="10">
        <f t="shared" si="7"/>
        <v>342.4</v>
      </c>
      <c r="J349" s="10">
        <v>8.8038860000000003</v>
      </c>
      <c r="K349" s="8" t="s">
        <v>4949</v>
      </c>
      <c r="S349"/>
    </row>
    <row r="350" spans="1:19" ht="15" x14ac:dyDescent="0.25">
      <c r="A350" s="8" t="s">
        <v>5069</v>
      </c>
      <c r="B350" s="8" t="s">
        <v>5070</v>
      </c>
      <c r="C350" s="8" t="s">
        <v>5219</v>
      </c>
      <c r="D350" s="32" t="s">
        <v>6984</v>
      </c>
      <c r="E350" s="32" t="s">
        <v>5219</v>
      </c>
      <c r="F350" s="10">
        <v>2</v>
      </c>
      <c r="G350" s="8" t="s">
        <v>4903</v>
      </c>
      <c r="H350" s="10">
        <v>232.45</v>
      </c>
      <c r="I350" s="10">
        <f t="shared" si="7"/>
        <v>464.9</v>
      </c>
      <c r="J350" s="10">
        <v>10.914479999999999</v>
      </c>
      <c r="K350" s="8" t="s">
        <v>4983</v>
      </c>
      <c r="S350"/>
    </row>
    <row r="351" spans="1:19" ht="15" x14ac:dyDescent="0.25">
      <c r="A351" s="8" t="s">
        <v>5073</v>
      </c>
      <c r="B351" s="8" t="s">
        <v>5070</v>
      </c>
      <c r="C351" s="8" t="s">
        <v>5220</v>
      </c>
      <c r="D351" s="32" t="s">
        <v>6984</v>
      </c>
      <c r="E351" s="32" t="s">
        <v>5220</v>
      </c>
      <c r="F351" s="10">
        <v>2</v>
      </c>
      <c r="G351" s="8" t="s">
        <v>4903</v>
      </c>
      <c r="H351" s="10">
        <v>275.14999999999998</v>
      </c>
      <c r="I351" s="10">
        <f t="shared" si="7"/>
        <v>550.29999999999995</v>
      </c>
      <c r="J351" s="10">
        <v>12.918402</v>
      </c>
      <c r="K351" s="8" t="s">
        <v>4983</v>
      </c>
      <c r="S351"/>
    </row>
    <row r="352" spans="1:19" ht="15" x14ac:dyDescent="0.25">
      <c r="A352" s="8" t="s">
        <v>5073</v>
      </c>
      <c r="B352" s="8" t="s">
        <v>5070</v>
      </c>
      <c r="C352" s="8" t="s">
        <v>5221</v>
      </c>
      <c r="D352" s="32" t="s">
        <v>6984</v>
      </c>
      <c r="E352" s="32" t="s">
        <v>5221</v>
      </c>
      <c r="F352" s="10">
        <v>2</v>
      </c>
      <c r="G352" s="8" t="s">
        <v>4903</v>
      </c>
      <c r="H352" s="10">
        <v>167.1</v>
      </c>
      <c r="I352" s="10">
        <f t="shared" si="7"/>
        <v>334.2</v>
      </c>
      <c r="J352" s="10">
        <v>8.5933119999999992</v>
      </c>
      <c r="K352" s="8" t="s">
        <v>4949</v>
      </c>
      <c r="S352"/>
    </row>
    <row r="353" spans="1:19" ht="15" x14ac:dyDescent="0.25">
      <c r="A353" s="8" t="s">
        <v>5073</v>
      </c>
      <c r="B353" s="8" t="s">
        <v>5070</v>
      </c>
      <c r="C353" s="8" t="s">
        <v>5222</v>
      </c>
      <c r="D353" s="32" t="s">
        <v>6984</v>
      </c>
      <c r="E353" s="32" t="s">
        <v>5222</v>
      </c>
      <c r="F353" s="10">
        <v>1</v>
      </c>
      <c r="G353" s="8" t="s">
        <v>16</v>
      </c>
      <c r="H353" s="10">
        <v>2393.1</v>
      </c>
      <c r="I353" s="10">
        <f t="shared" si="7"/>
        <v>2393.1</v>
      </c>
      <c r="J353" s="10">
        <v>37.084000000000003</v>
      </c>
      <c r="K353" s="8" t="s">
        <v>4865</v>
      </c>
      <c r="S353"/>
    </row>
    <row r="354" spans="1:19" ht="15" x14ac:dyDescent="0.25">
      <c r="A354" s="8" t="s">
        <v>5069</v>
      </c>
      <c r="B354" s="8" t="s">
        <v>5070</v>
      </c>
      <c r="C354" s="8" t="s">
        <v>5223</v>
      </c>
      <c r="D354" s="32" t="s">
        <v>6984</v>
      </c>
      <c r="E354" s="32" t="s">
        <v>5223</v>
      </c>
      <c r="F354" s="10">
        <v>1</v>
      </c>
      <c r="G354" s="8" t="s">
        <v>16</v>
      </c>
      <c r="H354" s="10">
        <v>176.2</v>
      </c>
      <c r="I354" s="10">
        <f t="shared" si="7"/>
        <v>176.2</v>
      </c>
      <c r="J354" s="10">
        <v>2.7305000000000001</v>
      </c>
      <c r="K354" s="8" t="s">
        <v>4865</v>
      </c>
      <c r="S354"/>
    </row>
    <row r="355" spans="1:19" ht="15" x14ac:dyDescent="0.25">
      <c r="A355" s="8" t="s">
        <v>5073</v>
      </c>
      <c r="B355" s="8" t="s">
        <v>5070</v>
      </c>
      <c r="C355" s="8" t="s">
        <v>5224</v>
      </c>
      <c r="D355" s="32" t="s">
        <v>6984</v>
      </c>
      <c r="E355" s="32" t="s">
        <v>5224</v>
      </c>
      <c r="F355" s="10">
        <v>1</v>
      </c>
      <c r="G355" s="8" t="s">
        <v>16</v>
      </c>
      <c r="H355" s="10">
        <v>84.7</v>
      </c>
      <c r="I355" s="10">
        <f t="shared" si="7"/>
        <v>84.7</v>
      </c>
      <c r="J355" s="10">
        <v>2.31819</v>
      </c>
      <c r="K355" s="8" t="s">
        <v>5209</v>
      </c>
      <c r="S355"/>
    </row>
    <row r="356" spans="1:19" ht="15" x14ac:dyDescent="0.25">
      <c r="A356" s="8" t="s">
        <v>5073</v>
      </c>
      <c r="B356" s="8" t="s">
        <v>5070</v>
      </c>
      <c r="C356" s="8" t="s">
        <v>5225</v>
      </c>
      <c r="D356" s="32" t="s">
        <v>6984</v>
      </c>
      <c r="E356" s="32" t="s">
        <v>5225</v>
      </c>
      <c r="F356" s="10">
        <v>2</v>
      </c>
      <c r="G356" s="8" t="s">
        <v>16</v>
      </c>
      <c r="H356" s="10">
        <v>461.7</v>
      </c>
      <c r="I356" s="10">
        <f t="shared" si="7"/>
        <v>923.4</v>
      </c>
      <c r="J356" s="10">
        <v>17.272440178</v>
      </c>
      <c r="K356" s="8" t="s">
        <v>5206</v>
      </c>
      <c r="S356"/>
    </row>
    <row r="357" spans="1:19" ht="15" x14ac:dyDescent="0.25">
      <c r="A357" s="8" t="s">
        <v>5069</v>
      </c>
      <c r="B357" s="8" t="s">
        <v>5070</v>
      </c>
      <c r="C357" s="8" t="s">
        <v>5226</v>
      </c>
      <c r="D357" s="32" t="s">
        <v>6984</v>
      </c>
      <c r="E357" s="32" t="s">
        <v>5226</v>
      </c>
      <c r="F357" s="10">
        <v>1</v>
      </c>
      <c r="G357" s="8" t="s">
        <v>16</v>
      </c>
      <c r="H357" s="10">
        <v>498.7</v>
      </c>
      <c r="I357" s="10">
        <f t="shared" si="7"/>
        <v>498.7</v>
      </c>
      <c r="J357" s="10">
        <v>13.2598705408</v>
      </c>
      <c r="K357" s="8" t="s">
        <v>4852</v>
      </c>
      <c r="S357"/>
    </row>
    <row r="358" spans="1:19" ht="15" x14ac:dyDescent="0.25">
      <c r="A358" s="8" t="s">
        <v>5073</v>
      </c>
      <c r="B358" s="8" t="s">
        <v>5070</v>
      </c>
      <c r="C358" s="8" t="s">
        <v>5227</v>
      </c>
      <c r="D358" s="32" t="s">
        <v>6984</v>
      </c>
      <c r="E358" s="32" t="s">
        <v>5227</v>
      </c>
      <c r="F358" s="10">
        <v>1</v>
      </c>
      <c r="G358" s="8" t="s">
        <v>16</v>
      </c>
      <c r="H358" s="10">
        <v>367.4</v>
      </c>
      <c r="I358" s="10">
        <f t="shared" si="7"/>
        <v>367.4</v>
      </c>
      <c r="J358" s="10">
        <v>9.7658253530600003</v>
      </c>
      <c r="K358" s="8" t="s">
        <v>4956</v>
      </c>
      <c r="S358"/>
    </row>
    <row r="359" spans="1:19" ht="15" x14ac:dyDescent="0.25">
      <c r="A359" s="8" t="s">
        <v>5073</v>
      </c>
      <c r="B359" s="8" t="s">
        <v>5070</v>
      </c>
      <c r="C359" s="8" t="s">
        <v>5228</v>
      </c>
      <c r="D359" s="32" t="s">
        <v>6984</v>
      </c>
      <c r="E359" s="32" t="s">
        <v>5228</v>
      </c>
      <c r="F359" s="10">
        <v>1</v>
      </c>
      <c r="G359" s="8" t="s">
        <v>16</v>
      </c>
      <c r="H359" s="10">
        <v>86.2</v>
      </c>
      <c r="I359" s="10">
        <f t="shared" si="7"/>
        <v>86.2</v>
      </c>
      <c r="J359" s="10">
        <v>2.3822265749999998</v>
      </c>
      <c r="K359" s="8" t="s">
        <v>5209</v>
      </c>
      <c r="S359"/>
    </row>
    <row r="360" spans="1:19" ht="15" x14ac:dyDescent="0.25">
      <c r="A360" s="8" t="s">
        <v>5073</v>
      </c>
      <c r="B360" s="8" t="s">
        <v>5070</v>
      </c>
      <c r="C360" s="8" t="s">
        <v>5229</v>
      </c>
      <c r="D360" s="32" t="s">
        <v>6984</v>
      </c>
      <c r="E360" s="32" t="s">
        <v>5229</v>
      </c>
      <c r="F360" s="10">
        <v>1</v>
      </c>
      <c r="G360" s="8" t="s">
        <v>16</v>
      </c>
      <c r="H360" s="10">
        <v>62.7</v>
      </c>
      <c r="I360" s="10">
        <f t="shared" si="7"/>
        <v>62.7</v>
      </c>
      <c r="J360" s="10">
        <v>2.0154288249999999</v>
      </c>
      <c r="K360" s="8" t="s">
        <v>4781</v>
      </c>
      <c r="S360"/>
    </row>
    <row r="361" spans="1:19" ht="15" x14ac:dyDescent="0.25">
      <c r="A361" s="8" t="s">
        <v>5069</v>
      </c>
      <c r="B361" s="8" t="s">
        <v>5070</v>
      </c>
      <c r="C361" s="8" t="s">
        <v>5230</v>
      </c>
      <c r="D361" s="32" t="s">
        <v>6984</v>
      </c>
      <c r="E361" s="32" t="s">
        <v>5230</v>
      </c>
      <c r="F361" s="10">
        <v>1</v>
      </c>
      <c r="G361" s="8" t="s">
        <v>16</v>
      </c>
      <c r="H361" s="10">
        <v>446.7</v>
      </c>
      <c r="I361" s="10">
        <f t="shared" si="7"/>
        <v>446.7</v>
      </c>
      <c r="J361" s="10">
        <v>12.544912</v>
      </c>
      <c r="K361" s="8" t="s">
        <v>4852</v>
      </c>
      <c r="S361"/>
    </row>
    <row r="362" spans="1:19" ht="15" x14ac:dyDescent="0.25">
      <c r="A362" s="8" t="s">
        <v>5069</v>
      </c>
      <c r="B362" s="8" t="s">
        <v>5070</v>
      </c>
      <c r="C362" s="8" t="s">
        <v>5231</v>
      </c>
      <c r="D362" s="32" t="s">
        <v>6984</v>
      </c>
      <c r="E362" s="32" t="s">
        <v>5231</v>
      </c>
      <c r="F362" s="10">
        <v>1</v>
      </c>
      <c r="G362" s="8" t="s">
        <v>16</v>
      </c>
      <c r="H362" s="10">
        <v>2381.4</v>
      </c>
      <c r="I362" s="10">
        <f t="shared" si="7"/>
        <v>2381.4</v>
      </c>
      <c r="J362" s="10">
        <v>37.789336644999999</v>
      </c>
      <c r="K362" s="8" t="s">
        <v>4865</v>
      </c>
      <c r="S362"/>
    </row>
    <row r="363" spans="1:19" ht="15" x14ac:dyDescent="0.25">
      <c r="A363" s="8" t="s">
        <v>5069</v>
      </c>
      <c r="B363" s="8" t="s">
        <v>5070</v>
      </c>
      <c r="C363" s="8" t="s">
        <v>5232</v>
      </c>
      <c r="D363" s="32" t="s">
        <v>6984</v>
      </c>
      <c r="E363" s="32" t="s">
        <v>5232</v>
      </c>
      <c r="F363" s="10">
        <v>1</v>
      </c>
      <c r="G363" s="8" t="s">
        <v>16</v>
      </c>
      <c r="H363" s="10">
        <v>390.9</v>
      </c>
      <c r="I363" s="10">
        <f t="shared" si="7"/>
        <v>390.9</v>
      </c>
      <c r="J363" s="10">
        <v>10.066989747499999</v>
      </c>
      <c r="K363" s="8" t="s">
        <v>4949</v>
      </c>
      <c r="S363"/>
    </row>
    <row r="364" spans="1:19" ht="15" x14ac:dyDescent="0.25">
      <c r="A364" s="8" t="s">
        <v>5073</v>
      </c>
      <c r="B364" s="8" t="s">
        <v>5070</v>
      </c>
      <c r="C364" s="8" t="s">
        <v>5233</v>
      </c>
      <c r="D364" s="32" t="s">
        <v>6984</v>
      </c>
      <c r="E364" s="32" t="s">
        <v>5233</v>
      </c>
      <c r="F364" s="10">
        <v>1</v>
      </c>
      <c r="G364" s="8" t="s">
        <v>16</v>
      </c>
      <c r="H364" s="10">
        <v>160</v>
      </c>
      <c r="I364" s="10">
        <f t="shared" si="7"/>
        <v>160</v>
      </c>
      <c r="J364" s="10">
        <v>4.3439668109999996</v>
      </c>
      <c r="K364" s="8" t="s">
        <v>5209</v>
      </c>
      <c r="S364"/>
    </row>
    <row r="365" spans="1:19" ht="15" x14ac:dyDescent="0.25">
      <c r="A365" s="8" t="s">
        <v>5073</v>
      </c>
      <c r="B365" s="8" t="s">
        <v>5070</v>
      </c>
      <c r="C365" s="8" t="s">
        <v>5234</v>
      </c>
      <c r="D365" s="32" t="s">
        <v>6984</v>
      </c>
      <c r="E365" s="32" t="s">
        <v>5234</v>
      </c>
      <c r="F365" s="10">
        <v>1</v>
      </c>
      <c r="G365" s="8" t="s">
        <v>16</v>
      </c>
      <c r="H365" s="10">
        <v>94.5</v>
      </c>
      <c r="I365" s="10">
        <f t="shared" si="7"/>
        <v>94.5</v>
      </c>
      <c r="J365" s="10">
        <v>2.608606575</v>
      </c>
      <c r="K365" s="8" t="s">
        <v>5209</v>
      </c>
      <c r="S365"/>
    </row>
    <row r="366" spans="1:19" ht="15" x14ac:dyDescent="0.25">
      <c r="A366" s="8" t="s">
        <v>5073</v>
      </c>
      <c r="B366" s="8" t="s">
        <v>5070</v>
      </c>
      <c r="C366" s="8" t="s">
        <v>5235</v>
      </c>
      <c r="D366" s="32" t="s">
        <v>6984</v>
      </c>
      <c r="E366" s="32" t="s">
        <v>5235</v>
      </c>
      <c r="F366" s="10">
        <v>1</v>
      </c>
      <c r="G366" s="8" t="s">
        <v>16</v>
      </c>
      <c r="H366" s="10">
        <v>82.6</v>
      </c>
      <c r="I366" s="10">
        <f t="shared" si="7"/>
        <v>82.6</v>
      </c>
      <c r="J366" s="10">
        <v>2.2980779039999999</v>
      </c>
      <c r="K366" s="8" t="s">
        <v>5209</v>
      </c>
      <c r="S366"/>
    </row>
    <row r="367" spans="1:19" ht="15" x14ac:dyDescent="0.25">
      <c r="A367" s="8" t="s">
        <v>5069</v>
      </c>
      <c r="B367" s="8" t="s">
        <v>5070</v>
      </c>
      <c r="C367" s="8" t="s">
        <v>5236</v>
      </c>
      <c r="D367" s="32" t="s">
        <v>6984</v>
      </c>
      <c r="E367" s="32" t="s">
        <v>5236</v>
      </c>
      <c r="F367" s="10">
        <v>1</v>
      </c>
      <c r="G367" s="8" t="s">
        <v>16</v>
      </c>
      <c r="H367" s="10">
        <v>2407</v>
      </c>
      <c r="I367" s="10">
        <f t="shared" si="7"/>
        <v>2407</v>
      </c>
      <c r="J367" s="10">
        <v>37.375387621000002</v>
      </c>
      <c r="K367" s="8" t="s">
        <v>4865</v>
      </c>
      <c r="S367"/>
    </row>
    <row r="368" spans="1:19" ht="15" x14ac:dyDescent="0.25">
      <c r="A368" s="8" t="s">
        <v>4963</v>
      </c>
      <c r="B368" s="8" t="s">
        <v>4869</v>
      </c>
      <c r="C368" s="8" t="s">
        <v>5237</v>
      </c>
      <c r="D368" s="32" t="s">
        <v>6984</v>
      </c>
      <c r="E368" s="32" t="s">
        <v>5237</v>
      </c>
      <c r="F368" s="10">
        <v>1</v>
      </c>
      <c r="G368" s="8" t="s">
        <v>5238</v>
      </c>
      <c r="H368" s="10">
        <v>464.9</v>
      </c>
      <c r="I368" s="10">
        <f t="shared" si="7"/>
        <v>464.9</v>
      </c>
      <c r="J368" s="10">
        <v>12.410762</v>
      </c>
      <c r="K368" s="8" t="s">
        <v>5239</v>
      </c>
      <c r="S368"/>
    </row>
    <row r="369" spans="1:19" ht="15" x14ac:dyDescent="0.25">
      <c r="A369" s="8" t="s">
        <v>4963</v>
      </c>
      <c r="B369" s="8" t="s">
        <v>4869</v>
      </c>
      <c r="C369" s="8" t="s">
        <v>5240</v>
      </c>
      <c r="D369" s="32" t="s">
        <v>6984</v>
      </c>
      <c r="E369" s="32" t="s">
        <v>5240</v>
      </c>
      <c r="F369" s="10">
        <v>4</v>
      </c>
      <c r="G369" s="8" t="s">
        <v>5238</v>
      </c>
      <c r="H369" s="10">
        <v>406.85</v>
      </c>
      <c r="I369" s="10">
        <f t="shared" si="7"/>
        <v>1627.4</v>
      </c>
      <c r="J369" s="10">
        <v>43.445135999999998</v>
      </c>
      <c r="K369" s="8" t="s">
        <v>5239</v>
      </c>
      <c r="S369"/>
    </row>
    <row r="370" spans="1:19" ht="15" x14ac:dyDescent="0.25">
      <c r="A370" s="8" t="s">
        <v>4963</v>
      </c>
      <c r="B370" s="8" t="s">
        <v>4869</v>
      </c>
      <c r="C370" s="8" t="s">
        <v>5241</v>
      </c>
      <c r="D370" s="32" t="s">
        <v>6984</v>
      </c>
      <c r="E370" s="32" t="s">
        <v>5241</v>
      </c>
      <c r="F370" s="10">
        <v>1</v>
      </c>
      <c r="G370" s="8" t="s">
        <v>5238</v>
      </c>
      <c r="H370" s="10">
        <v>281</v>
      </c>
      <c r="I370" s="10">
        <f t="shared" si="7"/>
        <v>281</v>
      </c>
      <c r="J370" s="10">
        <v>7.5015919999999996</v>
      </c>
      <c r="K370" s="8" t="s">
        <v>5239</v>
      </c>
      <c r="S370"/>
    </row>
    <row r="371" spans="1:19" ht="15" x14ac:dyDescent="0.25">
      <c r="A371" s="8" t="s">
        <v>4963</v>
      </c>
      <c r="B371" s="8" t="s">
        <v>4869</v>
      </c>
      <c r="C371" s="8" t="s">
        <v>5242</v>
      </c>
      <c r="D371" s="32" t="s">
        <v>6984</v>
      </c>
      <c r="E371" s="32" t="s">
        <v>5242</v>
      </c>
      <c r="F371" s="10">
        <v>1</v>
      </c>
      <c r="G371" s="8" t="s">
        <v>5238</v>
      </c>
      <c r="H371" s="10">
        <v>281.8</v>
      </c>
      <c r="I371" s="10">
        <f t="shared" si="7"/>
        <v>281.8</v>
      </c>
      <c r="J371" s="10">
        <v>7.5219620000000003</v>
      </c>
      <c r="K371" s="8" t="s">
        <v>5239</v>
      </c>
      <c r="S371"/>
    </row>
    <row r="372" spans="1:19" ht="15" x14ac:dyDescent="0.25">
      <c r="A372" s="8" t="s">
        <v>4963</v>
      </c>
      <c r="B372" s="8" t="s">
        <v>4869</v>
      </c>
      <c r="C372" s="8" t="s">
        <v>5243</v>
      </c>
      <c r="D372" s="32" t="s">
        <v>6984</v>
      </c>
      <c r="E372" s="32" t="s">
        <v>5243</v>
      </c>
      <c r="F372" s="10">
        <v>1</v>
      </c>
      <c r="G372" s="8" t="s">
        <v>5238</v>
      </c>
      <c r="H372" s="10">
        <v>464.1</v>
      </c>
      <c r="I372" s="10">
        <f t="shared" si="7"/>
        <v>464.1</v>
      </c>
      <c r="J372" s="10">
        <v>12.390392</v>
      </c>
      <c r="K372" s="8" t="s">
        <v>5239</v>
      </c>
      <c r="S372"/>
    </row>
    <row r="373" spans="1:19" ht="15" x14ac:dyDescent="0.25">
      <c r="A373" s="8" t="s">
        <v>4963</v>
      </c>
      <c r="B373" s="8" t="s">
        <v>4869</v>
      </c>
      <c r="C373" s="8" t="s">
        <v>5244</v>
      </c>
      <c r="D373" s="32" t="s">
        <v>6984</v>
      </c>
      <c r="E373" s="32" t="s">
        <v>5244</v>
      </c>
      <c r="F373" s="10">
        <v>4</v>
      </c>
      <c r="G373" s="8" t="s">
        <v>4903</v>
      </c>
      <c r="H373" s="10">
        <v>8.3249999999999993</v>
      </c>
      <c r="I373" s="10">
        <f t="shared" si="7"/>
        <v>33.299999999999997</v>
      </c>
      <c r="J373" s="10">
        <v>1.857248</v>
      </c>
      <c r="K373" s="8" t="s">
        <v>5245</v>
      </c>
      <c r="S373"/>
    </row>
    <row r="374" spans="1:19" ht="15" x14ac:dyDescent="0.25">
      <c r="A374" s="8" t="s">
        <v>4963</v>
      </c>
      <c r="B374" s="8" t="s">
        <v>4869</v>
      </c>
      <c r="C374" s="8" t="s">
        <v>5246</v>
      </c>
      <c r="D374" s="32" t="s">
        <v>6984</v>
      </c>
      <c r="E374" s="32" t="s">
        <v>5246</v>
      </c>
      <c r="F374" s="10">
        <v>4</v>
      </c>
      <c r="G374" s="8" t="s">
        <v>4903</v>
      </c>
      <c r="H374" s="10">
        <v>8.3249999999999993</v>
      </c>
      <c r="I374" s="10">
        <f t="shared" si="7"/>
        <v>33.299999999999997</v>
      </c>
      <c r="J374" s="10">
        <v>1.857248</v>
      </c>
      <c r="K374" s="8" t="s">
        <v>5245</v>
      </c>
      <c r="S374"/>
    </row>
    <row r="375" spans="1:19" ht="15" x14ac:dyDescent="0.25">
      <c r="A375" s="8" t="s">
        <v>4963</v>
      </c>
      <c r="B375" s="8" t="s">
        <v>4869</v>
      </c>
      <c r="C375" s="8" t="s">
        <v>5247</v>
      </c>
      <c r="D375" s="32" t="s">
        <v>6984</v>
      </c>
      <c r="E375" s="32" t="s">
        <v>5247</v>
      </c>
      <c r="F375" s="10">
        <v>8</v>
      </c>
      <c r="G375" s="8" t="s">
        <v>4903</v>
      </c>
      <c r="H375" s="10">
        <v>5.0250000000000004</v>
      </c>
      <c r="I375" s="10">
        <f t="shared" si="7"/>
        <v>40.200000000000003</v>
      </c>
      <c r="J375" s="10">
        <v>2.2742144</v>
      </c>
      <c r="K375" s="8" t="s">
        <v>5248</v>
      </c>
      <c r="S375"/>
    </row>
    <row r="376" spans="1:19" ht="15" x14ac:dyDescent="0.25">
      <c r="A376" s="8" t="s">
        <v>4963</v>
      </c>
      <c r="B376" s="8" t="s">
        <v>4869</v>
      </c>
      <c r="C376" s="8" t="s">
        <v>5249</v>
      </c>
      <c r="D376" s="32" t="s">
        <v>6984</v>
      </c>
      <c r="E376" s="32" t="s">
        <v>5249</v>
      </c>
      <c r="F376" s="10">
        <v>4</v>
      </c>
      <c r="G376" s="8" t="s">
        <v>4903</v>
      </c>
      <c r="H376" s="10">
        <v>5.5</v>
      </c>
      <c r="I376" s="10">
        <f t="shared" si="7"/>
        <v>22</v>
      </c>
      <c r="J376" s="10">
        <v>1.2443968000000001</v>
      </c>
      <c r="K376" s="8" t="s">
        <v>5248</v>
      </c>
      <c r="S376"/>
    </row>
    <row r="377" spans="1:19" ht="15" x14ac:dyDescent="0.25">
      <c r="A377" s="8" t="s">
        <v>4963</v>
      </c>
      <c r="B377" s="8" t="s">
        <v>4869</v>
      </c>
      <c r="C377" s="8" t="s">
        <v>5250</v>
      </c>
      <c r="D377" s="32" t="s">
        <v>6984</v>
      </c>
      <c r="E377" s="32" t="s">
        <v>5250</v>
      </c>
      <c r="F377" s="10">
        <v>2</v>
      </c>
      <c r="G377" s="8" t="s">
        <v>4903</v>
      </c>
      <c r="H377" s="10">
        <v>6</v>
      </c>
      <c r="I377" s="10">
        <f t="shared" si="7"/>
        <v>12</v>
      </c>
      <c r="J377" s="10">
        <v>0.66852800000000001</v>
      </c>
      <c r="K377" s="8" t="s">
        <v>5245</v>
      </c>
      <c r="S377"/>
    </row>
    <row r="378" spans="1:19" ht="15" x14ac:dyDescent="0.25">
      <c r="A378" s="8" t="s">
        <v>4963</v>
      </c>
      <c r="B378" s="8" t="s">
        <v>4869</v>
      </c>
      <c r="C378" s="8" t="s">
        <v>5251</v>
      </c>
      <c r="D378" s="32" t="s">
        <v>6984</v>
      </c>
      <c r="E378" s="32" t="s">
        <v>5251</v>
      </c>
      <c r="F378" s="10">
        <v>2</v>
      </c>
      <c r="G378" s="8" t="s">
        <v>4903</v>
      </c>
      <c r="H378" s="10">
        <v>5.95</v>
      </c>
      <c r="I378" s="10">
        <f t="shared" si="7"/>
        <v>11.9</v>
      </c>
      <c r="J378" s="10">
        <v>0.66344800000000004</v>
      </c>
      <c r="K378" s="8" t="s">
        <v>5245</v>
      </c>
      <c r="S378"/>
    </row>
    <row r="379" spans="1:19" ht="15" x14ac:dyDescent="0.25">
      <c r="A379" s="8" t="s">
        <v>4963</v>
      </c>
      <c r="B379" s="8" t="s">
        <v>4869</v>
      </c>
      <c r="C379" s="8" t="s">
        <v>5252</v>
      </c>
      <c r="D379" s="32" t="s">
        <v>6984</v>
      </c>
      <c r="E379" s="32" t="s">
        <v>5252</v>
      </c>
      <c r="F379" s="10">
        <v>2</v>
      </c>
      <c r="G379" s="8" t="s">
        <v>4903</v>
      </c>
      <c r="H379" s="10">
        <v>6.35</v>
      </c>
      <c r="I379" s="10">
        <f t="shared" si="7"/>
        <v>12.7</v>
      </c>
      <c r="J379" s="10">
        <v>0.71069199999999999</v>
      </c>
      <c r="K379" s="8" t="s">
        <v>5245</v>
      </c>
      <c r="S379"/>
    </row>
    <row r="380" spans="1:19" ht="15" x14ac:dyDescent="0.25">
      <c r="A380" s="8" t="s">
        <v>4963</v>
      </c>
      <c r="B380" s="8" t="s">
        <v>4869</v>
      </c>
      <c r="C380" s="8" t="s">
        <v>5253</v>
      </c>
      <c r="D380" s="32" t="s">
        <v>6984</v>
      </c>
      <c r="E380" s="32" t="s">
        <v>5253</v>
      </c>
      <c r="F380" s="10">
        <v>1</v>
      </c>
      <c r="G380" s="8" t="s">
        <v>4903</v>
      </c>
      <c r="H380" s="10">
        <v>4.5999999999999996</v>
      </c>
      <c r="I380" s="10">
        <f t="shared" si="7"/>
        <v>4.5999999999999996</v>
      </c>
      <c r="J380" s="10">
        <v>0.25552399999999997</v>
      </c>
      <c r="K380" s="8" t="s">
        <v>5245</v>
      </c>
      <c r="S380"/>
    </row>
    <row r="381" spans="1:19" ht="15" x14ac:dyDescent="0.25">
      <c r="A381" s="8" t="s">
        <v>4963</v>
      </c>
      <c r="B381" s="8" t="s">
        <v>4869</v>
      </c>
      <c r="C381" s="8" t="s">
        <v>5254</v>
      </c>
      <c r="D381" s="32" t="s">
        <v>6984</v>
      </c>
      <c r="E381" s="32" t="s">
        <v>5254</v>
      </c>
      <c r="F381" s="10">
        <v>4</v>
      </c>
      <c r="G381" s="8" t="s">
        <v>4903</v>
      </c>
      <c r="H381" s="10">
        <v>4.875</v>
      </c>
      <c r="I381" s="10">
        <f t="shared" si="7"/>
        <v>19.5</v>
      </c>
      <c r="J381" s="10">
        <v>1.0838688000000001</v>
      </c>
      <c r="K381" s="8" t="s">
        <v>5255</v>
      </c>
      <c r="S381"/>
    </row>
    <row r="382" spans="1:19" ht="15" x14ac:dyDescent="0.25">
      <c r="A382" s="8" t="s">
        <v>4963</v>
      </c>
      <c r="B382" s="8" t="s">
        <v>4869</v>
      </c>
      <c r="C382" s="8" t="s">
        <v>5256</v>
      </c>
      <c r="D382" s="32" t="s">
        <v>6984</v>
      </c>
      <c r="E382" s="32" t="s">
        <v>5256</v>
      </c>
      <c r="F382" s="10">
        <v>4</v>
      </c>
      <c r="G382" s="8" t="s">
        <v>4903</v>
      </c>
      <c r="H382" s="10">
        <v>5.55</v>
      </c>
      <c r="I382" s="10">
        <f t="shared" si="7"/>
        <v>22.2</v>
      </c>
      <c r="J382" s="10">
        <v>1.2301728000000001</v>
      </c>
      <c r="K382" s="8" t="s">
        <v>5255</v>
      </c>
      <c r="S382"/>
    </row>
    <row r="383" spans="1:19" ht="15" x14ac:dyDescent="0.25">
      <c r="A383" s="8" t="s">
        <v>4963</v>
      </c>
      <c r="B383" s="8" t="s">
        <v>4869</v>
      </c>
      <c r="C383" s="8" t="s">
        <v>5257</v>
      </c>
      <c r="D383" s="32" t="s">
        <v>6984</v>
      </c>
      <c r="E383" s="32" t="s">
        <v>5257</v>
      </c>
      <c r="F383" s="10">
        <v>1</v>
      </c>
      <c r="G383" s="8" t="s">
        <v>4903</v>
      </c>
      <c r="H383" s="10">
        <v>20</v>
      </c>
      <c r="I383" s="10">
        <f t="shared" si="7"/>
        <v>20</v>
      </c>
      <c r="J383" s="10">
        <v>0.83606639999999999</v>
      </c>
      <c r="K383" s="8" t="s">
        <v>5051</v>
      </c>
      <c r="S383"/>
    </row>
    <row r="384" spans="1:19" ht="15" x14ac:dyDescent="0.25">
      <c r="A384" s="8" t="s">
        <v>4963</v>
      </c>
      <c r="B384" s="8" t="s">
        <v>4869</v>
      </c>
      <c r="C384" s="8" t="s">
        <v>5258</v>
      </c>
      <c r="D384" s="32" t="s">
        <v>6984</v>
      </c>
      <c r="E384" s="32" t="s">
        <v>5258</v>
      </c>
      <c r="F384" s="10">
        <v>1</v>
      </c>
      <c r="G384" s="8" t="s">
        <v>4903</v>
      </c>
      <c r="H384" s="10">
        <v>20</v>
      </c>
      <c r="I384" s="10">
        <f t="shared" si="7"/>
        <v>20</v>
      </c>
      <c r="J384" s="10">
        <v>0.83606639999999999</v>
      </c>
      <c r="K384" s="8" t="s">
        <v>5051</v>
      </c>
      <c r="S384"/>
    </row>
    <row r="385" spans="1:19" ht="15" x14ac:dyDescent="0.25">
      <c r="A385" s="8" t="s">
        <v>4963</v>
      </c>
      <c r="B385" s="8" t="s">
        <v>4869</v>
      </c>
      <c r="C385" s="8" t="s">
        <v>5259</v>
      </c>
      <c r="D385" s="32" t="s">
        <v>6984</v>
      </c>
      <c r="E385" s="32" t="s">
        <v>5259</v>
      </c>
      <c r="F385" s="10">
        <v>1</v>
      </c>
      <c r="G385" s="8" t="s">
        <v>4903</v>
      </c>
      <c r="H385" s="10">
        <v>2.7</v>
      </c>
      <c r="I385" s="10">
        <f t="shared" si="7"/>
        <v>2.7</v>
      </c>
      <c r="J385" s="10">
        <v>0.1136904</v>
      </c>
      <c r="K385" s="8" t="s">
        <v>5051</v>
      </c>
      <c r="S385"/>
    </row>
    <row r="386" spans="1:19" ht="15" x14ac:dyDescent="0.25">
      <c r="A386" s="8" t="s">
        <v>4963</v>
      </c>
      <c r="B386" s="8" t="s">
        <v>4869</v>
      </c>
      <c r="C386" s="8" t="s">
        <v>5260</v>
      </c>
      <c r="D386" s="32" t="s">
        <v>6984</v>
      </c>
      <c r="E386" s="32" t="s">
        <v>5260</v>
      </c>
      <c r="F386" s="10">
        <v>1</v>
      </c>
      <c r="G386" s="8" t="s">
        <v>4903</v>
      </c>
      <c r="H386" s="10">
        <v>2.7</v>
      </c>
      <c r="I386" s="10">
        <f t="shared" si="7"/>
        <v>2.7</v>
      </c>
      <c r="J386" s="10">
        <v>0.1136904</v>
      </c>
      <c r="K386" s="8" t="s">
        <v>5051</v>
      </c>
      <c r="S386"/>
    </row>
    <row r="387" spans="1:19" ht="15" x14ac:dyDescent="0.25">
      <c r="A387" s="8" t="s">
        <v>4963</v>
      </c>
      <c r="B387" s="8" t="s">
        <v>4869</v>
      </c>
      <c r="C387" s="8" t="s">
        <v>5261</v>
      </c>
      <c r="D387" s="32" t="s">
        <v>6984</v>
      </c>
      <c r="E387" s="32" t="s">
        <v>5261</v>
      </c>
      <c r="F387" s="10">
        <v>1</v>
      </c>
      <c r="G387" s="8" t="s">
        <v>4903</v>
      </c>
      <c r="H387" s="10">
        <v>4.2</v>
      </c>
      <c r="I387" s="10">
        <f t="shared" si="7"/>
        <v>4.2</v>
      </c>
      <c r="J387" s="10">
        <v>0.23622000000000001</v>
      </c>
      <c r="K387" s="8" t="s">
        <v>5245</v>
      </c>
      <c r="S387"/>
    </row>
    <row r="388" spans="1:19" ht="15" x14ac:dyDescent="0.25">
      <c r="A388" s="8" t="s">
        <v>4963</v>
      </c>
      <c r="B388" s="8" t="s">
        <v>4869</v>
      </c>
      <c r="C388" s="8" t="s">
        <v>5262</v>
      </c>
      <c r="D388" s="32" t="s">
        <v>6984</v>
      </c>
      <c r="E388" s="32" t="s">
        <v>5262</v>
      </c>
      <c r="F388" s="10">
        <v>4</v>
      </c>
      <c r="G388" s="8" t="s">
        <v>4903</v>
      </c>
      <c r="H388" s="10">
        <v>2.4500000000000002</v>
      </c>
      <c r="I388" s="10">
        <f t="shared" si="7"/>
        <v>9.8000000000000007</v>
      </c>
      <c r="J388" s="10">
        <v>0.32512000000000002</v>
      </c>
      <c r="K388" s="8" t="s">
        <v>4904</v>
      </c>
      <c r="S388"/>
    </row>
    <row r="389" spans="1:19" ht="15" x14ac:dyDescent="0.25">
      <c r="A389" s="8" t="s">
        <v>4963</v>
      </c>
      <c r="B389" s="8" t="s">
        <v>4869</v>
      </c>
      <c r="C389" s="8" t="s">
        <v>5263</v>
      </c>
      <c r="D389" s="32" t="s">
        <v>6984</v>
      </c>
      <c r="E389" s="32" t="s">
        <v>5263</v>
      </c>
      <c r="F389" s="10">
        <v>2</v>
      </c>
      <c r="G389" s="8" t="s">
        <v>4903</v>
      </c>
      <c r="H389" s="10">
        <v>5.95</v>
      </c>
      <c r="I389" s="10">
        <f t="shared" ref="I389:I452" si="8">F389*H389</f>
        <v>11.9</v>
      </c>
      <c r="J389" s="10">
        <v>0.66344800000000004</v>
      </c>
      <c r="K389" s="8" t="s">
        <v>5245</v>
      </c>
      <c r="S389"/>
    </row>
    <row r="390" spans="1:19" ht="15" x14ac:dyDescent="0.25">
      <c r="A390" s="8" t="s">
        <v>4963</v>
      </c>
      <c r="B390" s="8" t="s">
        <v>4869</v>
      </c>
      <c r="C390" s="8" t="s">
        <v>4902</v>
      </c>
      <c r="D390" s="32" t="s">
        <v>6984</v>
      </c>
      <c r="E390" s="32" t="s">
        <v>4902</v>
      </c>
      <c r="F390" s="10">
        <v>8</v>
      </c>
      <c r="G390" s="8" t="s">
        <v>4903</v>
      </c>
      <c r="H390" s="10">
        <v>2.5750000000000002</v>
      </c>
      <c r="I390" s="10">
        <f t="shared" si="8"/>
        <v>20.6</v>
      </c>
      <c r="J390" s="10">
        <v>0.68275200000000003</v>
      </c>
      <c r="K390" s="8" t="s">
        <v>4904</v>
      </c>
      <c r="S390"/>
    </row>
    <row r="391" spans="1:19" ht="15" x14ac:dyDescent="0.25">
      <c r="A391" s="8" t="s">
        <v>4963</v>
      </c>
      <c r="B391" s="8" t="s">
        <v>4869</v>
      </c>
      <c r="C391" s="8" t="s">
        <v>5264</v>
      </c>
      <c r="D391" s="32" t="s">
        <v>6984</v>
      </c>
      <c r="E391" s="32" t="s">
        <v>5264</v>
      </c>
      <c r="F391" s="10">
        <v>8</v>
      </c>
      <c r="G391" s="8" t="s">
        <v>22</v>
      </c>
      <c r="H391" s="10">
        <v>0.3</v>
      </c>
      <c r="I391" s="10">
        <f t="shared" si="8"/>
        <v>2.4</v>
      </c>
      <c r="J391" s="10">
        <v>7.6988416000000004E-2</v>
      </c>
      <c r="K391" s="8" t="s">
        <v>23</v>
      </c>
      <c r="S391"/>
    </row>
    <row r="392" spans="1:19" ht="15" x14ac:dyDescent="0.25">
      <c r="A392" s="8" t="s">
        <v>4963</v>
      </c>
      <c r="B392" s="8" t="s">
        <v>4869</v>
      </c>
      <c r="C392" s="8" t="s">
        <v>5265</v>
      </c>
      <c r="D392" s="32" t="s">
        <v>6984</v>
      </c>
      <c r="E392" s="32" t="s">
        <v>5265</v>
      </c>
      <c r="F392" s="10">
        <v>4</v>
      </c>
      <c r="G392" s="8" t="s">
        <v>22</v>
      </c>
      <c r="H392" s="10">
        <v>0.45</v>
      </c>
      <c r="I392" s="10">
        <f t="shared" si="8"/>
        <v>1.8</v>
      </c>
      <c r="J392" s="10">
        <v>5.8684159999999999E-2</v>
      </c>
      <c r="K392" s="8" t="s">
        <v>23</v>
      </c>
      <c r="S392"/>
    </row>
    <row r="393" spans="1:19" ht="15" x14ac:dyDescent="0.25">
      <c r="A393" s="8" t="s">
        <v>4963</v>
      </c>
      <c r="B393" s="8" t="s">
        <v>4869</v>
      </c>
      <c r="C393" s="8" t="s">
        <v>5266</v>
      </c>
      <c r="D393" s="32" t="s">
        <v>6984</v>
      </c>
      <c r="E393" s="32" t="s">
        <v>5266</v>
      </c>
      <c r="F393" s="10">
        <v>2</v>
      </c>
      <c r="G393" s="8" t="s">
        <v>22</v>
      </c>
      <c r="H393" s="10">
        <v>1.05</v>
      </c>
      <c r="I393" s="10">
        <f t="shared" si="8"/>
        <v>2.1</v>
      </c>
      <c r="J393" s="10">
        <v>8.5050000000000001E-2</v>
      </c>
      <c r="K393" s="8" t="s">
        <v>4798</v>
      </c>
      <c r="S393"/>
    </row>
    <row r="394" spans="1:19" ht="15" x14ac:dyDescent="0.25">
      <c r="A394" s="8" t="s">
        <v>4963</v>
      </c>
      <c r="B394" s="8" t="s">
        <v>4869</v>
      </c>
      <c r="C394" s="8" t="s">
        <v>5267</v>
      </c>
      <c r="D394" s="32" t="s">
        <v>6984</v>
      </c>
      <c r="E394" s="32" t="s">
        <v>5267</v>
      </c>
      <c r="F394" s="10">
        <v>8</v>
      </c>
      <c r="G394" s="8" t="s">
        <v>22</v>
      </c>
      <c r="H394" s="10">
        <v>0.33750000000000002</v>
      </c>
      <c r="I394" s="10">
        <f t="shared" si="8"/>
        <v>2.7</v>
      </c>
      <c r="J394" s="10">
        <v>0.110808</v>
      </c>
      <c r="K394" s="8" t="s">
        <v>5268</v>
      </c>
      <c r="S394"/>
    </row>
    <row r="395" spans="1:19" ht="15" x14ac:dyDescent="0.25">
      <c r="A395" s="8" t="s">
        <v>4963</v>
      </c>
      <c r="B395" s="8" t="s">
        <v>4869</v>
      </c>
      <c r="C395" s="8" t="s">
        <v>5269</v>
      </c>
      <c r="D395" s="32" t="s">
        <v>6984</v>
      </c>
      <c r="E395" s="32" t="s">
        <v>5269</v>
      </c>
      <c r="F395" s="10">
        <v>8</v>
      </c>
      <c r="G395" s="8" t="s">
        <v>22</v>
      </c>
      <c r="H395" s="10">
        <v>1.9375</v>
      </c>
      <c r="I395" s="10">
        <f t="shared" si="8"/>
        <v>15.5</v>
      </c>
      <c r="J395" s="10">
        <v>0.63504000000000005</v>
      </c>
      <c r="K395" s="8" t="s">
        <v>4798</v>
      </c>
      <c r="S395"/>
    </row>
    <row r="396" spans="1:19" ht="15" x14ac:dyDescent="0.25">
      <c r="A396" s="8" t="s">
        <v>4963</v>
      </c>
      <c r="B396" s="8" t="s">
        <v>4869</v>
      </c>
      <c r="C396" s="8" t="s">
        <v>5270</v>
      </c>
      <c r="D396" s="32" t="s">
        <v>6984</v>
      </c>
      <c r="E396" s="32" t="s">
        <v>5270</v>
      </c>
      <c r="F396" s="10">
        <v>8</v>
      </c>
      <c r="G396" s="8" t="s">
        <v>22</v>
      </c>
      <c r="H396" s="10">
        <v>1.875</v>
      </c>
      <c r="I396" s="10">
        <f t="shared" si="8"/>
        <v>15</v>
      </c>
      <c r="J396" s="10">
        <v>0.61236000000000002</v>
      </c>
      <c r="K396" s="8" t="s">
        <v>4798</v>
      </c>
      <c r="S396"/>
    </row>
    <row r="397" spans="1:19" ht="15" x14ac:dyDescent="0.25">
      <c r="A397" s="8" t="s">
        <v>4963</v>
      </c>
      <c r="B397" s="8" t="s">
        <v>4869</v>
      </c>
      <c r="C397" s="8" t="s">
        <v>5271</v>
      </c>
      <c r="D397" s="32" t="s">
        <v>6984</v>
      </c>
      <c r="E397" s="32" t="s">
        <v>5271</v>
      </c>
      <c r="F397" s="10">
        <v>12</v>
      </c>
      <c r="G397" s="8" t="s">
        <v>22</v>
      </c>
      <c r="H397" s="10">
        <v>1</v>
      </c>
      <c r="I397" s="10">
        <f t="shared" si="8"/>
        <v>12</v>
      </c>
      <c r="J397" s="10">
        <v>0.49207499999999998</v>
      </c>
      <c r="K397" s="8" t="s">
        <v>4798</v>
      </c>
      <c r="S397"/>
    </row>
    <row r="398" spans="1:19" ht="15" x14ac:dyDescent="0.25">
      <c r="A398" s="8" t="s">
        <v>4963</v>
      </c>
      <c r="B398" s="8" t="s">
        <v>4869</v>
      </c>
      <c r="C398" s="8" t="s">
        <v>5272</v>
      </c>
      <c r="D398" s="32" t="s">
        <v>6984</v>
      </c>
      <c r="E398" s="32" t="s">
        <v>5272</v>
      </c>
      <c r="F398" s="10">
        <v>16</v>
      </c>
      <c r="G398" s="8" t="s">
        <v>22</v>
      </c>
      <c r="H398" s="10">
        <v>0.83125000000000004</v>
      </c>
      <c r="I398" s="10">
        <f t="shared" si="8"/>
        <v>13.3</v>
      </c>
      <c r="J398" s="10">
        <v>0.54432000000000003</v>
      </c>
      <c r="K398" s="8" t="s">
        <v>4798</v>
      </c>
      <c r="S398"/>
    </row>
    <row r="399" spans="1:19" ht="15" x14ac:dyDescent="0.25">
      <c r="A399" s="8" t="s">
        <v>4963</v>
      </c>
      <c r="B399" s="8" t="s">
        <v>4869</v>
      </c>
      <c r="C399" s="8" t="s">
        <v>5273</v>
      </c>
      <c r="D399" s="32" t="s">
        <v>6984</v>
      </c>
      <c r="E399" s="32" t="s">
        <v>5273</v>
      </c>
      <c r="F399" s="10">
        <v>1</v>
      </c>
      <c r="G399" s="8" t="s">
        <v>22</v>
      </c>
      <c r="H399" s="10">
        <v>2</v>
      </c>
      <c r="I399" s="10">
        <f t="shared" si="8"/>
        <v>2</v>
      </c>
      <c r="J399" s="10">
        <v>6.3972155520000004E-2</v>
      </c>
      <c r="K399" s="8" t="s">
        <v>23</v>
      </c>
      <c r="S399"/>
    </row>
    <row r="400" spans="1:19" ht="15" x14ac:dyDescent="0.25">
      <c r="A400" s="8" t="s">
        <v>4963</v>
      </c>
      <c r="B400" s="8" t="s">
        <v>4869</v>
      </c>
      <c r="C400" s="8" t="s">
        <v>5274</v>
      </c>
      <c r="D400" s="32" t="s">
        <v>6984</v>
      </c>
      <c r="E400" s="32" t="s">
        <v>5274</v>
      </c>
      <c r="F400" s="10">
        <v>1</v>
      </c>
      <c r="G400" s="8" t="s">
        <v>22</v>
      </c>
      <c r="H400" s="10">
        <v>2</v>
      </c>
      <c r="I400" s="10">
        <f t="shared" si="8"/>
        <v>2</v>
      </c>
      <c r="J400" s="10">
        <v>6.5735931519999999E-2</v>
      </c>
      <c r="K400" s="8" t="s">
        <v>23</v>
      </c>
      <c r="S400"/>
    </row>
    <row r="401" spans="1:19" ht="15" x14ac:dyDescent="0.25">
      <c r="A401" s="8" t="s">
        <v>5073</v>
      </c>
      <c r="B401" s="8" t="s">
        <v>5070</v>
      </c>
      <c r="C401" s="8" t="s">
        <v>5275</v>
      </c>
      <c r="D401" s="32" t="s">
        <v>6984</v>
      </c>
      <c r="E401" s="32" t="s">
        <v>5275</v>
      </c>
      <c r="F401" s="10">
        <v>4</v>
      </c>
      <c r="G401" s="8" t="s">
        <v>16</v>
      </c>
      <c r="H401" s="10">
        <v>128.9</v>
      </c>
      <c r="I401" s="10">
        <f t="shared" si="8"/>
        <v>515.6</v>
      </c>
      <c r="J401" s="10">
        <v>9.3654399999999995</v>
      </c>
      <c r="K401" s="8" t="s">
        <v>4850</v>
      </c>
      <c r="S401"/>
    </row>
    <row r="402" spans="1:19" ht="15" x14ac:dyDescent="0.25">
      <c r="A402" s="8" t="s">
        <v>5069</v>
      </c>
      <c r="B402" s="8" t="s">
        <v>5070</v>
      </c>
      <c r="C402" s="8" t="s">
        <v>5276</v>
      </c>
      <c r="D402" s="32" t="s">
        <v>6984</v>
      </c>
      <c r="E402" s="32" t="s">
        <v>5276</v>
      </c>
      <c r="F402" s="10">
        <v>2</v>
      </c>
      <c r="G402" s="8" t="s">
        <v>16</v>
      </c>
      <c r="H402" s="10">
        <v>35.6</v>
      </c>
      <c r="I402" s="10">
        <f t="shared" si="8"/>
        <v>71.2</v>
      </c>
      <c r="J402" s="10">
        <v>2.2745280000000001</v>
      </c>
      <c r="K402" s="8" t="s">
        <v>4781</v>
      </c>
      <c r="S402"/>
    </row>
    <row r="403" spans="1:19" ht="15" x14ac:dyDescent="0.25">
      <c r="A403" s="8" t="s">
        <v>5069</v>
      </c>
      <c r="B403" s="8" t="s">
        <v>5070</v>
      </c>
      <c r="C403" s="8" t="s">
        <v>5277</v>
      </c>
      <c r="D403" s="32" t="s">
        <v>6984</v>
      </c>
      <c r="E403" s="32" t="s">
        <v>5277</v>
      </c>
      <c r="F403" s="10">
        <v>3</v>
      </c>
      <c r="G403" s="8" t="s">
        <v>16</v>
      </c>
      <c r="H403" s="10">
        <v>40.266666666666666</v>
      </c>
      <c r="I403" s="10">
        <f t="shared" si="8"/>
        <v>120.8</v>
      </c>
      <c r="J403" s="10">
        <v>3.8532299999999999</v>
      </c>
      <c r="K403" s="8" t="s">
        <v>4781</v>
      </c>
      <c r="S403"/>
    </row>
    <row r="404" spans="1:19" ht="15" x14ac:dyDescent="0.25">
      <c r="A404" s="8" t="s">
        <v>5073</v>
      </c>
      <c r="B404" s="8" t="s">
        <v>5070</v>
      </c>
      <c r="C404" s="8" t="s">
        <v>5278</v>
      </c>
      <c r="D404" s="32" t="s">
        <v>6984</v>
      </c>
      <c r="E404" s="32" t="s">
        <v>5278</v>
      </c>
      <c r="F404" s="10">
        <v>2</v>
      </c>
      <c r="G404" s="8" t="s">
        <v>16</v>
      </c>
      <c r="H404" s="10">
        <v>44.1</v>
      </c>
      <c r="I404" s="10">
        <f t="shared" si="8"/>
        <v>88.2</v>
      </c>
      <c r="J404" s="10">
        <v>2.8182200000000002</v>
      </c>
      <c r="K404" s="8" t="s">
        <v>4781</v>
      </c>
      <c r="S404"/>
    </row>
    <row r="405" spans="1:19" ht="15" x14ac:dyDescent="0.25">
      <c r="A405" s="8" t="s">
        <v>5069</v>
      </c>
      <c r="B405" s="8" t="s">
        <v>5070</v>
      </c>
      <c r="C405" s="8" t="s">
        <v>5279</v>
      </c>
      <c r="D405" s="32" t="s">
        <v>6984</v>
      </c>
      <c r="E405" s="32" t="s">
        <v>5279</v>
      </c>
      <c r="F405" s="10">
        <v>2</v>
      </c>
      <c r="G405" s="8" t="s">
        <v>16</v>
      </c>
      <c r="H405" s="10">
        <v>73.349999999999994</v>
      </c>
      <c r="I405" s="10">
        <f t="shared" si="8"/>
        <v>146.69999999999999</v>
      </c>
      <c r="J405" s="10">
        <v>4.68872</v>
      </c>
      <c r="K405" s="8" t="s">
        <v>4781</v>
      </c>
      <c r="S405"/>
    </row>
    <row r="406" spans="1:19" ht="15" x14ac:dyDescent="0.25">
      <c r="A406" s="8" t="s">
        <v>5069</v>
      </c>
      <c r="B406" s="8" t="s">
        <v>5070</v>
      </c>
      <c r="C406" s="8" t="s">
        <v>5280</v>
      </c>
      <c r="D406" s="32" t="s">
        <v>6984</v>
      </c>
      <c r="E406" s="32" t="s">
        <v>5280</v>
      </c>
      <c r="F406" s="10">
        <v>3</v>
      </c>
      <c r="G406" s="8" t="s">
        <v>16</v>
      </c>
      <c r="H406" s="10">
        <v>48.433333333333337</v>
      </c>
      <c r="I406" s="10">
        <f t="shared" si="8"/>
        <v>145.30000000000001</v>
      </c>
      <c r="J406" s="10">
        <v>4.6463219999999996</v>
      </c>
      <c r="K406" s="8" t="s">
        <v>4781</v>
      </c>
      <c r="S406"/>
    </row>
    <row r="407" spans="1:19" ht="15" x14ac:dyDescent="0.25">
      <c r="A407" s="8" t="s">
        <v>5069</v>
      </c>
      <c r="B407" s="8" t="s">
        <v>5070</v>
      </c>
      <c r="C407" s="8" t="s">
        <v>5281</v>
      </c>
      <c r="D407" s="32" t="s">
        <v>6984</v>
      </c>
      <c r="E407" s="32" t="s">
        <v>5281</v>
      </c>
      <c r="F407" s="10">
        <v>1</v>
      </c>
      <c r="G407" s="8" t="s">
        <v>16</v>
      </c>
      <c r="H407" s="10">
        <v>80</v>
      </c>
      <c r="I407" s="10">
        <f t="shared" si="8"/>
        <v>80</v>
      </c>
      <c r="J407" s="10">
        <v>2.1888299999999998</v>
      </c>
      <c r="K407" s="8" t="s">
        <v>5209</v>
      </c>
      <c r="S407"/>
    </row>
    <row r="408" spans="1:19" ht="15" x14ac:dyDescent="0.25">
      <c r="A408" s="8" t="s">
        <v>5069</v>
      </c>
      <c r="B408" s="8" t="s">
        <v>5070</v>
      </c>
      <c r="C408" s="8" t="s">
        <v>5282</v>
      </c>
      <c r="D408" s="32" t="s">
        <v>6984</v>
      </c>
      <c r="E408" s="32" t="s">
        <v>5282</v>
      </c>
      <c r="F408" s="10">
        <v>1</v>
      </c>
      <c r="G408" s="8" t="s">
        <v>16</v>
      </c>
      <c r="H408" s="10">
        <v>49</v>
      </c>
      <c r="I408" s="10">
        <f t="shared" si="8"/>
        <v>49</v>
      </c>
      <c r="J408" s="10">
        <v>1.3406400000000001</v>
      </c>
      <c r="K408" s="8" t="s">
        <v>5209</v>
      </c>
      <c r="S408"/>
    </row>
    <row r="409" spans="1:19" ht="15" x14ac:dyDescent="0.25">
      <c r="A409" s="8" t="s">
        <v>5069</v>
      </c>
      <c r="B409" s="8" t="s">
        <v>5070</v>
      </c>
      <c r="C409" s="8" t="s">
        <v>5283</v>
      </c>
      <c r="D409" s="32" t="s">
        <v>6984</v>
      </c>
      <c r="E409" s="32" t="s">
        <v>5283</v>
      </c>
      <c r="F409" s="10">
        <v>1</v>
      </c>
      <c r="G409" s="8" t="s">
        <v>16</v>
      </c>
      <c r="H409" s="10">
        <v>117.5</v>
      </c>
      <c r="I409" s="10">
        <f t="shared" si="8"/>
        <v>117.5</v>
      </c>
      <c r="J409" s="10">
        <v>2.1341600000000001</v>
      </c>
      <c r="K409" s="8" t="s">
        <v>4850</v>
      </c>
      <c r="S409"/>
    </row>
    <row r="410" spans="1:19" ht="15" x14ac:dyDescent="0.25">
      <c r="A410" s="8" t="s">
        <v>5073</v>
      </c>
      <c r="B410" s="8" t="s">
        <v>5070</v>
      </c>
      <c r="C410" s="8" t="s">
        <v>5284</v>
      </c>
      <c r="D410" s="32" t="s">
        <v>6984</v>
      </c>
      <c r="E410" s="32" t="s">
        <v>5284</v>
      </c>
      <c r="F410" s="10">
        <v>1</v>
      </c>
      <c r="G410" s="8" t="s">
        <v>16</v>
      </c>
      <c r="H410" s="10">
        <v>46.2</v>
      </c>
      <c r="I410" s="10">
        <f t="shared" si="8"/>
        <v>46.2</v>
      </c>
      <c r="J410" s="10">
        <v>1.498329</v>
      </c>
      <c r="K410" s="8" t="s">
        <v>5116</v>
      </c>
      <c r="S410"/>
    </row>
    <row r="411" spans="1:19" ht="15" x14ac:dyDescent="0.25">
      <c r="A411" s="8" t="s">
        <v>5069</v>
      </c>
      <c r="B411" s="8" t="s">
        <v>5070</v>
      </c>
      <c r="C411" s="8" t="s">
        <v>5285</v>
      </c>
      <c r="D411" s="32" t="s">
        <v>6984</v>
      </c>
      <c r="E411" s="32" t="s">
        <v>5285</v>
      </c>
      <c r="F411" s="10">
        <v>4</v>
      </c>
      <c r="G411" s="8" t="s">
        <v>16</v>
      </c>
      <c r="H411" s="10">
        <v>128.875</v>
      </c>
      <c r="I411" s="10">
        <f t="shared" si="8"/>
        <v>515.5</v>
      </c>
      <c r="J411" s="10">
        <v>9.3654399999999995</v>
      </c>
      <c r="K411" s="8" t="s">
        <v>4850</v>
      </c>
      <c r="S411"/>
    </row>
    <row r="412" spans="1:19" ht="15" x14ac:dyDescent="0.25">
      <c r="A412" s="8" t="s">
        <v>5073</v>
      </c>
      <c r="B412" s="8" t="s">
        <v>5070</v>
      </c>
      <c r="C412" s="8" t="s">
        <v>5286</v>
      </c>
      <c r="D412" s="32" t="s">
        <v>6984</v>
      </c>
      <c r="E412" s="32" t="s">
        <v>5286</v>
      </c>
      <c r="F412" s="10">
        <v>2</v>
      </c>
      <c r="G412" s="8" t="s">
        <v>16</v>
      </c>
      <c r="H412" s="10">
        <v>53.85</v>
      </c>
      <c r="I412" s="10">
        <f t="shared" si="8"/>
        <v>107.7</v>
      </c>
      <c r="J412" s="10">
        <v>3.49146</v>
      </c>
      <c r="K412" s="8" t="s">
        <v>5116</v>
      </c>
      <c r="S412"/>
    </row>
    <row r="413" spans="1:19" ht="15" x14ac:dyDescent="0.25">
      <c r="A413" s="8" t="s">
        <v>5073</v>
      </c>
      <c r="B413" s="8" t="s">
        <v>5070</v>
      </c>
      <c r="C413" s="8" t="s">
        <v>5287</v>
      </c>
      <c r="D413" s="32" t="s">
        <v>6984</v>
      </c>
      <c r="E413" s="32" t="s">
        <v>5287</v>
      </c>
      <c r="F413" s="10">
        <v>1</v>
      </c>
      <c r="G413" s="8" t="s">
        <v>16</v>
      </c>
      <c r="H413" s="10">
        <v>51.2</v>
      </c>
      <c r="I413" s="10">
        <f t="shared" si="8"/>
        <v>51.2</v>
      </c>
      <c r="J413" s="10">
        <v>1.658979</v>
      </c>
      <c r="K413" s="8" t="s">
        <v>5116</v>
      </c>
      <c r="S413"/>
    </row>
    <row r="414" spans="1:19" ht="15" x14ac:dyDescent="0.25">
      <c r="A414" s="8" t="s">
        <v>5069</v>
      </c>
      <c r="B414" s="8" t="s">
        <v>5070</v>
      </c>
      <c r="C414" s="8" t="s">
        <v>5288</v>
      </c>
      <c r="D414" s="32" t="s">
        <v>6984</v>
      </c>
      <c r="E414" s="32" t="s">
        <v>5288</v>
      </c>
      <c r="F414" s="10">
        <v>2</v>
      </c>
      <c r="G414" s="8" t="s">
        <v>16</v>
      </c>
      <c r="H414" s="10">
        <v>44.1</v>
      </c>
      <c r="I414" s="10">
        <f t="shared" si="8"/>
        <v>88.2</v>
      </c>
      <c r="J414" s="10">
        <v>2.8182200000000002</v>
      </c>
      <c r="K414" s="8" t="s">
        <v>4781</v>
      </c>
      <c r="S414"/>
    </row>
    <row r="415" spans="1:19" ht="15" x14ac:dyDescent="0.25">
      <c r="A415" s="8" t="s">
        <v>5073</v>
      </c>
      <c r="B415" s="8" t="s">
        <v>5070</v>
      </c>
      <c r="C415" s="8" t="s">
        <v>5289</v>
      </c>
      <c r="D415" s="32" t="s">
        <v>6984</v>
      </c>
      <c r="E415" s="32" t="s">
        <v>5289</v>
      </c>
      <c r="F415" s="10">
        <v>2</v>
      </c>
      <c r="G415" s="8" t="s">
        <v>16</v>
      </c>
      <c r="H415" s="10">
        <v>63.6</v>
      </c>
      <c r="I415" s="10">
        <f t="shared" si="8"/>
        <v>127.2</v>
      </c>
      <c r="J415" s="10">
        <v>4.0652200000000001</v>
      </c>
      <c r="K415" s="8" t="s">
        <v>4781</v>
      </c>
      <c r="S415"/>
    </row>
    <row r="416" spans="1:19" ht="15" x14ac:dyDescent="0.25">
      <c r="A416" s="8" t="s">
        <v>5073</v>
      </c>
      <c r="B416" s="8" t="s">
        <v>5070</v>
      </c>
      <c r="C416" s="8" t="s">
        <v>5290</v>
      </c>
      <c r="D416" s="32" t="s">
        <v>6984</v>
      </c>
      <c r="E416" s="32" t="s">
        <v>5290</v>
      </c>
      <c r="F416" s="10">
        <v>1</v>
      </c>
      <c r="G416" s="8" t="s">
        <v>16</v>
      </c>
      <c r="H416" s="10">
        <v>63.6</v>
      </c>
      <c r="I416" s="10">
        <f t="shared" si="8"/>
        <v>63.6</v>
      </c>
      <c r="J416" s="10">
        <v>2.03261</v>
      </c>
      <c r="K416" s="8" t="s">
        <v>4781</v>
      </c>
      <c r="S416"/>
    </row>
    <row r="417" spans="1:19" ht="15" x14ac:dyDescent="0.25">
      <c r="A417" s="8" t="s">
        <v>5069</v>
      </c>
      <c r="B417" s="8" t="s">
        <v>5070</v>
      </c>
      <c r="C417" s="8" t="s">
        <v>5291</v>
      </c>
      <c r="D417" s="32" t="s">
        <v>6984</v>
      </c>
      <c r="E417" s="32" t="s">
        <v>5291</v>
      </c>
      <c r="F417" s="10">
        <v>1</v>
      </c>
      <c r="G417" s="8" t="s">
        <v>16</v>
      </c>
      <c r="H417" s="10">
        <v>165.2</v>
      </c>
      <c r="I417" s="10">
        <f t="shared" si="8"/>
        <v>165.2</v>
      </c>
      <c r="J417" s="10">
        <v>3.0002559999999998</v>
      </c>
      <c r="K417" s="8" t="s">
        <v>4850</v>
      </c>
      <c r="S417"/>
    </row>
    <row r="418" spans="1:19" ht="15" x14ac:dyDescent="0.25">
      <c r="A418" s="8" t="s">
        <v>5069</v>
      </c>
      <c r="B418" s="8" t="s">
        <v>5070</v>
      </c>
      <c r="C418" s="8" t="s">
        <v>5292</v>
      </c>
      <c r="D418" s="32" t="s">
        <v>6984</v>
      </c>
      <c r="E418" s="32" t="s">
        <v>5292</v>
      </c>
      <c r="F418" s="10">
        <v>1</v>
      </c>
      <c r="G418" s="8" t="s">
        <v>16</v>
      </c>
      <c r="H418" s="10">
        <v>86.5</v>
      </c>
      <c r="I418" s="10">
        <f t="shared" si="8"/>
        <v>86.5</v>
      </c>
      <c r="J418" s="10">
        <v>2.22404</v>
      </c>
      <c r="K418" s="8" t="s">
        <v>4949</v>
      </c>
      <c r="S418"/>
    </row>
    <row r="419" spans="1:19" ht="15" x14ac:dyDescent="0.25">
      <c r="A419" s="8" t="s">
        <v>5069</v>
      </c>
      <c r="B419" s="8" t="s">
        <v>5070</v>
      </c>
      <c r="C419" s="8" t="s">
        <v>5293</v>
      </c>
      <c r="D419" s="32" t="s">
        <v>6984</v>
      </c>
      <c r="E419" s="32" t="s">
        <v>5293</v>
      </c>
      <c r="F419" s="10">
        <v>2</v>
      </c>
      <c r="G419" s="8" t="s">
        <v>16</v>
      </c>
      <c r="H419" s="10">
        <v>38.35</v>
      </c>
      <c r="I419" s="10">
        <f t="shared" si="8"/>
        <v>76.7</v>
      </c>
      <c r="J419" s="10">
        <v>2.4868619999999999</v>
      </c>
      <c r="K419" s="8" t="s">
        <v>5116</v>
      </c>
      <c r="S419"/>
    </row>
    <row r="420" spans="1:19" ht="15" x14ac:dyDescent="0.25">
      <c r="A420" s="8" t="s">
        <v>5073</v>
      </c>
      <c r="B420" s="8" t="s">
        <v>5070</v>
      </c>
      <c r="C420" s="8" t="s">
        <v>5294</v>
      </c>
      <c r="D420" s="32" t="s">
        <v>6984</v>
      </c>
      <c r="E420" s="32" t="s">
        <v>5294</v>
      </c>
      <c r="F420" s="10">
        <v>2</v>
      </c>
      <c r="G420" s="8" t="s">
        <v>16</v>
      </c>
      <c r="H420" s="10">
        <v>38.35</v>
      </c>
      <c r="I420" s="10">
        <f t="shared" si="8"/>
        <v>76.7</v>
      </c>
      <c r="J420" s="10">
        <v>2.4868619999999999</v>
      </c>
      <c r="K420" s="8" t="s">
        <v>5116</v>
      </c>
      <c r="S420"/>
    </row>
    <row r="421" spans="1:19" ht="15" x14ac:dyDescent="0.25">
      <c r="A421" s="8" t="s">
        <v>5069</v>
      </c>
      <c r="B421" s="8" t="s">
        <v>5070</v>
      </c>
      <c r="C421" s="8" t="s">
        <v>5295</v>
      </c>
      <c r="D421" s="32" t="s">
        <v>6984</v>
      </c>
      <c r="E421" s="32" t="s">
        <v>5295</v>
      </c>
      <c r="F421" s="10">
        <v>11</v>
      </c>
      <c r="G421" s="8" t="s">
        <v>16</v>
      </c>
      <c r="H421" s="10">
        <v>67.845454545454544</v>
      </c>
      <c r="I421" s="10">
        <f t="shared" si="8"/>
        <v>746.3</v>
      </c>
      <c r="J421" s="10">
        <v>24.186392999999999</v>
      </c>
      <c r="K421" s="8" t="s">
        <v>5116</v>
      </c>
      <c r="S421"/>
    </row>
    <row r="422" spans="1:19" ht="15" x14ac:dyDescent="0.25">
      <c r="A422" s="8" t="s">
        <v>5069</v>
      </c>
      <c r="B422" s="8" t="s">
        <v>5070</v>
      </c>
      <c r="C422" s="8" t="s">
        <v>5296</v>
      </c>
      <c r="D422" s="32" t="s">
        <v>6984</v>
      </c>
      <c r="E422" s="32" t="s">
        <v>5296</v>
      </c>
      <c r="F422" s="10">
        <v>3</v>
      </c>
      <c r="G422" s="8" t="s">
        <v>16</v>
      </c>
      <c r="H422" s="10">
        <v>12.4</v>
      </c>
      <c r="I422" s="10">
        <f t="shared" si="8"/>
        <v>37.200000000000003</v>
      </c>
      <c r="J422" s="10">
        <v>1.8948750000000001</v>
      </c>
      <c r="K422" s="8" t="s">
        <v>5123</v>
      </c>
      <c r="S422"/>
    </row>
    <row r="423" spans="1:19" ht="15" x14ac:dyDescent="0.25">
      <c r="A423" s="8" t="s">
        <v>5069</v>
      </c>
      <c r="B423" s="8" t="s">
        <v>5070</v>
      </c>
      <c r="C423" s="8" t="s">
        <v>5297</v>
      </c>
      <c r="D423" s="32" t="s">
        <v>6984</v>
      </c>
      <c r="E423" s="32" t="s">
        <v>5297</v>
      </c>
      <c r="F423" s="10">
        <v>2</v>
      </c>
      <c r="G423" s="8" t="s">
        <v>16</v>
      </c>
      <c r="H423" s="10">
        <v>37.15</v>
      </c>
      <c r="I423" s="10">
        <f t="shared" si="8"/>
        <v>74.3</v>
      </c>
      <c r="J423" s="10">
        <v>2.4076080000000002</v>
      </c>
      <c r="K423" s="8" t="s">
        <v>5116</v>
      </c>
      <c r="S423"/>
    </row>
    <row r="424" spans="1:19" ht="15" x14ac:dyDescent="0.25">
      <c r="A424" s="8" t="s">
        <v>5069</v>
      </c>
      <c r="B424" s="8" t="s">
        <v>5070</v>
      </c>
      <c r="C424" s="8" t="s">
        <v>5298</v>
      </c>
      <c r="D424" s="32" t="s">
        <v>6984</v>
      </c>
      <c r="E424" s="32" t="s">
        <v>5298</v>
      </c>
      <c r="F424" s="10">
        <v>8</v>
      </c>
      <c r="G424" s="8" t="s">
        <v>16</v>
      </c>
      <c r="H424" s="10">
        <v>59.587499999999999</v>
      </c>
      <c r="I424" s="10">
        <f t="shared" si="8"/>
        <v>476.7</v>
      </c>
      <c r="J424" s="10">
        <v>15.448104000000001</v>
      </c>
      <c r="K424" s="8" t="s">
        <v>5116</v>
      </c>
      <c r="S424"/>
    </row>
    <row r="425" spans="1:19" ht="15" x14ac:dyDescent="0.25">
      <c r="A425" s="8" t="s">
        <v>5073</v>
      </c>
      <c r="B425" s="8" t="s">
        <v>5070</v>
      </c>
      <c r="C425" s="8" t="s">
        <v>5299</v>
      </c>
      <c r="D425" s="32" t="s">
        <v>6984</v>
      </c>
      <c r="E425" s="32" t="s">
        <v>5299</v>
      </c>
      <c r="F425" s="10">
        <v>2</v>
      </c>
      <c r="G425" s="8" t="s">
        <v>16</v>
      </c>
      <c r="H425" s="10">
        <v>13.95</v>
      </c>
      <c r="I425" s="10">
        <f t="shared" si="8"/>
        <v>27.9</v>
      </c>
      <c r="J425" s="10">
        <v>1.41825</v>
      </c>
      <c r="K425" s="8" t="s">
        <v>5123</v>
      </c>
      <c r="S425"/>
    </row>
    <row r="426" spans="1:19" ht="15" x14ac:dyDescent="0.25">
      <c r="A426" s="8" t="s">
        <v>5069</v>
      </c>
      <c r="B426" s="8" t="s">
        <v>5070</v>
      </c>
      <c r="C426" s="8" t="s">
        <v>5300</v>
      </c>
      <c r="D426" s="32" t="s">
        <v>6984</v>
      </c>
      <c r="E426" s="32" t="s">
        <v>5300</v>
      </c>
      <c r="F426" s="10">
        <v>4</v>
      </c>
      <c r="G426" s="8" t="s">
        <v>16</v>
      </c>
      <c r="H426" s="10">
        <v>11.275</v>
      </c>
      <c r="I426" s="10">
        <f t="shared" si="8"/>
        <v>45.1</v>
      </c>
      <c r="J426" s="10">
        <v>2.294</v>
      </c>
      <c r="K426" s="8" t="s">
        <v>5123</v>
      </c>
      <c r="S426"/>
    </row>
    <row r="427" spans="1:19" ht="15" x14ac:dyDescent="0.25">
      <c r="A427" s="8" t="s">
        <v>5073</v>
      </c>
      <c r="B427" s="8" t="s">
        <v>5070</v>
      </c>
      <c r="C427" s="8" t="s">
        <v>5301</v>
      </c>
      <c r="D427" s="32" t="s">
        <v>6984</v>
      </c>
      <c r="E427" s="32" t="s">
        <v>5301</v>
      </c>
      <c r="F427" s="10">
        <v>4</v>
      </c>
      <c r="G427" s="8" t="s">
        <v>16</v>
      </c>
      <c r="H427" s="10">
        <v>8.4499999999999993</v>
      </c>
      <c r="I427" s="10">
        <f t="shared" si="8"/>
        <v>33.799999999999997</v>
      </c>
      <c r="J427" s="10">
        <v>1.1541600000000001</v>
      </c>
      <c r="K427" s="8" t="s">
        <v>5040</v>
      </c>
      <c r="S427"/>
    </row>
    <row r="428" spans="1:19" ht="15" x14ac:dyDescent="0.25">
      <c r="A428" s="8" t="s">
        <v>5073</v>
      </c>
      <c r="B428" s="8" t="s">
        <v>5070</v>
      </c>
      <c r="C428" s="8" t="s">
        <v>5302</v>
      </c>
      <c r="D428" s="32" t="s">
        <v>6984</v>
      </c>
      <c r="E428" s="32" t="s">
        <v>5302</v>
      </c>
      <c r="F428" s="10">
        <v>4</v>
      </c>
      <c r="G428" s="8" t="s">
        <v>16</v>
      </c>
      <c r="H428" s="10">
        <v>24.574999999999999</v>
      </c>
      <c r="I428" s="10">
        <f t="shared" si="8"/>
        <v>98.3</v>
      </c>
      <c r="J428" s="10">
        <v>3.35256</v>
      </c>
      <c r="K428" s="8" t="s">
        <v>5040</v>
      </c>
      <c r="S428"/>
    </row>
    <row r="429" spans="1:19" ht="15" x14ac:dyDescent="0.25">
      <c r="A429" s="8" t="s">
        <v>5069</v>
      </c>
      <c r="B429" s="8" t="s">
        <v>5070</v>
      </c>
      <c r="C429" s="8" t="s">
        <v>5303</v>
      </c>
      <c r="D429" s="32" t="s">
        <v>6984</v>
      </c>
      <c r="E429" s="32" t="s">
        <v>5303</v>
      </c>
      <c r="F429" s="10">
        <v>2</v>
      </c>
      <c r="G429" s="8" t="s">
        <v>16</v>
      </c>
      <c r="H429" s="10">
        <v>7.85</v>
      </c>
      <c r="I429" s="10">
        <f t="shared" si="8"/>
        <v>15.7</v>
      </c>
      <c r="J429" s="10">
        <v>0.79825000000000002</v>
      </c>
      <c r="K429" s="8" t="s">
        <v>5123</v>
      </c>
      <c r="S429"/>
    </row>
    <row r="430" spans="1:19" ht="15" x14ac:dyDescent="0.25">
      <c r="A430" s="8" t="s">
        <v>5073</v>
      </c>
      <c r="B430" s="8" t="s">
        <v>5070</v>
      </c>
      <c r="C430" s="8" t="s">
        <v>5304</v>
      </c>
      <c r="D430" s="32" t="s">
        <v>6984</v>
      </c>
      <c r="E430" s="32" t="s">
        <v>5304</v>
      </c>
      <c r="F430" s="10">
        <v>9</v>
      </c>
      <c r="G430" s="8" t="s">
        <v>16</v>
      </c>
      <c r="H430" s="10">
        <v>9.3666666666666671</v>
      </c>
      <c r="I430" s="10">
        <f t="shared" si="8"/>
        <v>84.300000000000011</v>
      </c>
      <c r="J430" s="10">
        <v>4.289625</v>
      </c>
      <c r="K430" s="8" t="s">
        <v>5123</v>
      </c>
      <c r="S430"/>
    </row>
    <row r="431" spans="1:19" ht="15" x14ac:dyDescent="0.25">
      <c r="A431" s="8" t="s">
        <v>5073</v>
      </c>
      <c r="B431" s="8" t="s">
        <v>5070</v>
      </c>
      <c r="C431" s="8" t="s">
        <v>5305</v>
      </c>
      <c r="D431" s="32" t="s">
        <v>6984</v>
      </c>
      <c r="E431" s="32" t="s">
        <v>5305</v>
      </c>
      <c r="F431" s="10">
        <v>2</v>
      </c>
      <c r="G431" s="8" t="s">
        <v>16</v>
      </c>
      <c r="H431" s="10">
        <v>18.05</v>
      </c>
      <c r="I431" s="10">
        <f t="shared" si="8"/>
        <v>36.1</v>
      </c>
      <c r="J431" s="10">
        <v>1.169532</v>
      </c>
      <c r="K431" s="8" t="s">
        <v>5116</v>
      </c>
      <c r="S431"/>
    </row>
    <row r="432" spans="1:19" ht="15" x14ac:dyDescent="0.25">
      <c r="A432" s="8" t="s">
        <v>5069</v>
      </c>
      <c r="B432" s="8" t="s">
        <v>5070</v>
      </c>
      <c r="C432" s="8" t="s">
        <v>5306</v>
      </c>
      <c r="D432" s="32" t="s">
        <v>6984</v>
      </c>
      <c r="E432" s="32" t="s">
        <v>5306</v>
      </c>
      <c r="F432" s="10">
        <v>2</v>
      </c>
      <c r="G432" s="8" t="s">
        <v>16</v>
      </c>
      <c r="H432" s="10">
        <v>53.65</v>
      </c>
      <c r="I432" s="10">
        <f t="shared" si="8"/>
        <v>107.3</v>
      </c>
      <c r="J432" s="10">
        <v>3.4786079999999999</v>
      </c>
      <c r="K432" s="8" t="s">
        <v>5116</v>
      </c>
      <c r="S432"/>
    </row>
    <row r="433" spans="1:19" ht="15" x14ac:dyDescent="0.25">
      <c r="A433" s="8" t="s">
        <v>5073</v>
      </c>
      <c r="B433" s="8" t="s">
        <v>5070</v>
      </c>
      <c r="C433" s="8" t="s">
        <v>5307</v>
      </c>
      <c r="D433" s="32" t="s">
        <v>6984</v>
      </c>
      <c r="E433" s="32" t="s">
        <v>5307</v>
      </c>
      <c r="F433" s="10">
        <v>2</v>
      </c>
      <c r="G433" s="8" t="s">
        <v>16</v>
      </c>
      <c r="H433" s="10">
        <v>56.1</v>
      </c>
      <c r="I433" s="10">
        <f t="shared" si="8"/>
        <v>112.2</v>
      </c>
      <c r="J433" s="10">
        <v>3.6371159999999998</v>
      </c>
      <c r="K433" s="8" t="s">
        <v>5116</v>
      </c>
      <c r="S433"/>
    </row>
    <row r="434" spans="1:19" ht="15" x14ac:dyDescent="0.25">
      <c r="A434" s="8" t="s">
        <v>5069</v>
      </c>
      <c r="B434" s="8" t="s">
        <v>5070</v>
      </c>
      <c r="C434" s="8" t="s">
        <v>5308</v>
      </c>
      <c r="D434" s="32" t="s">
        <v>6984</v>
      </c>
      <c r="E434" s="32" t="s">
        <v>5308</v>
      </c>
      <c r="F434" s="10">
        <v>1</v>
      </c>
      <c r="G434" s="8" t="s">
        <v>16</v>
      </c>
      <c r="H434" s="10">
        <v>67.8</v>
      </c>
      <c r="I434" s="10">
        <f t="shared" si="8"/>
        <v>67.8</v>
      </c>
      <c r="J434" s="10">
        <v>2.198763</v>
      </c>
      <c r="K434" s="8" t="s">
        <v>5116</v>
      </c>
      <c r="S434"/>
    </row>
    <row r="435" spans="1:19" ht="15" x14ac:dyDescent="0.25">
      <c r="A435" s="8" t="s">
        <v>5073</v>
      </c>
      <c r="B435" s="8" t="s">
        <v>5070</v>
      </c>
      <c r="C435" s="8" t="s">
        <v>5309</v>
      </c>
      <c r="D435" s="32" t="s">
        <v>6984</v>
      </c>
      <c r="E435" s="32" t="s">
        <v>5309</v>
      </c>
      <c r="F435" s="10">
        <v>2</v>
      </c>
      <c r="G435" s="8" t="s">
        <v>16</v>
      </c>
      <c r="H435" s="10">
        <v>65.650000000000006</v>
      </c>
      <c r="I435" s="10">
        <f t="shared" si="8"/>
        <v>131.30000000000001</v>
      </c>
      <c r="J435" s="10">
        <v>4.2540120000000003</v>
      </c>
      <c r="K435" s="8" t="s">
        <v>5116</v>
      </c>
      <c r="S435"/>
    </row>
    <row r="436" spans="1:19" ht="15" x14ac:dyDescent="0.25">
      <c r="A436" s="8" t="s">
        <v>5073</v>
      </c>
      <c r="B436" s="8" t="s">
        <v>5070</v>
      </c>
      <c r="C436" s="8" t="s">
        <v>5310</v>
      </c>
      <c r="D436" s="32" t="s">
        <v>6984</v>
      </c>
      <c r="E436" s="32" t="s">
        <v>5310</v>
      </c>
      <c r="F436" s="10">
        <v>4</v>
      </c>
      <c r="G436" s="8" t="s">
        <v>16</v>
      </c>
      <c r="H436" s="10">
        <v>12.125</v>
      </c>
      <c r="I436" s="10">
        <f t="shared" si="8"/>
        <v>48.5</v>
      </c>
      <c r="J436" s="10">
        <v>1.9335599999999999</v>
      </c>
      <c r="K436" s="8" t="s">
        <v>5311</v>
      </c>
      <c r="S436"/>
    </row>
    <row r="437" spans="1:19" ht="15" x14ac:dyDescent="0.25">
      <c r="A437" s="8" t="s">
        <v>5073</v>
      </c>
      <c r="B437" s="8" t="s">
        <v>5070</v>
      </c>
      <c r="C437" s="8" t="s">
        <v>5312</v>
      </c>
      <c r="D437" s="32" t="s">
        <v>6984</v>
      </c>
      <c r="E437" s="32" t="s">
        <v>5312</v>
      </c>
      <c r="F437" s="10">
        <v>2</v>
      </c>
      <c r="G437" s="8" t="s">
        <v>16</v>
      </c>
      <c r="H437" s="10">
        <v>9.5</v>
      </c>
      <c r="I437" s="10">
        <f t="shared" si="8"/>
        <v>19</v>
      </c>
      <c r="J437" s="10">
        <v>0.96875</v>
      </c>
      <c r="K437" s="8" t="s">
        <v>5123</v>
      </c>
      <c r="S437"/>
    </row>
    <row r="438" spans="1:19" ht="15" x14ac:dyDescent="0.25">
      <c r="A438" s="8" t="s">
        <v>5073</v>
      </c>
      <c r="B438" s="8" t="s">
        <v>5070</v>
      </c>
      <c r="C438" s="8" t="s">
        <v>5313</v>
      </c>
      <c r="D438" s="32" t="s">
        <v>6984</v>
      </c>
      <c r="E438" s="32" t="s">
        <v>5313</v>
      </c>
      <c r="F438" s="10">
        <v>4</v>
      </c>
      <c r="G438" s="8" t="s">
        <v>16</v>
      </c>
      <c r="H438" s="10">
        <v>10.875</v>
      </c>
      <c r="I438" s="10">
        <f t="shared" si="8"/>
        <v>43.5</v>
      </c>
      <c r="J438" s="10">
        <v>2.2164999999999999</v>
      </c>
      <c r="K438" s="8" t="s">
        <v>5123</v>
      </c>
      <c r="S438"/>
    </row>
    <row r="439" spans="1:19" ht="15" x14ac:dyDescent="0.25">
      <c r="A439" s="8" t="s">
        <v>5069</v>
      </c>
      <c r="B439" s="8" t="s">
        <v>5070</v>
      </c>
      <c r="C439" s="8" t="s">
        <v>5314</v>
      </c>
      <c r="D439" s="32" t="s">
        <v>6984</v>
      </c>
      <c r="E439" s="32" t="s">
        <v>5314</v>
      </c>
      <c r="F439" s="10">
        <v>1</v>
      </c>
      <c r="G439" s="8" t="s">
        <v>16</v>
      </c>
      <c r="H439" s="10">
        <v>3037.9</v>
      </c>
      <c r="I439" s="10">
        <f t="shared" si="8"/>
        <v>3037.9</v>
      </c>
      <c r="J439" s="10">
        <v>31.406931499999999</v>
      </c>
      <c r="K439" s="8" t="s">
        <v>4875</v>
      </c>
      <c r="S439"/>
    </row>
    <row r="440" spans="1:19" ht="15" x14ac:dyDescent="0.25">
      <c r="A440" s="8" t="s">
        <v>5073</v>
      </c>
      <c r="B440" s="8" t="s">
        <v>5070</v>
      </c>
      <c r="C440" s="8" t="s">
        <v>5315</v>
      </c>
      <c r="D440" s="32" t="s">
        <v>6984</v>
      </c>
      <c r="E440" s="32" t="s">
        <v>5315</v>
      </c>
      <c r="F440" s="10">
        <v>1</v>
      </c>
      <c r="G440" s="8" t="s">
        <v>16</v>
      </c>
      <c r="H440" s="10">
        <v>1903.4</v>
      </c>
      <c r="I440" s="10">
        <f t="shared" si="8"/>
        <v>1903.4</v>
      </c>
      <c r="J440" s="10">
        <v>23.496266101</v>
      </c>
      <c r="K440" s="8" t="s">
        <v>5203</v>
      </c>
      <c r="S440"/>
    </row>
    <row r="441" spans="1:19" ht="15" x14ac:dyDescent="0.25">
      <c r="A441" s="8" t="s">
        <v>5073</v>
      </c>
      <c r="B441" s="8" t="s">
        <v>5070</v>
      </c>
      <c r="C441" s="8" t="s">
        <v>5316</v>
      </c>
      <c r="D441" s="32" t="s">
        <v>6984</v>
      </c>
      <c r="E441" s="32" t="s">
        <v>5316</v>
      </c>
      <c r="F441" s="10">
        <v>1</v>
      </c>
      <c r="G441" s="8" t="s">
        <v>16</v>
      </c>
      <c r="H441" s="10">
        <v>1914.2</v>
      </c>
      <c r="I441" s="10">
        <f t="shared" si="8"/>
        <v>1914.2</v>
      </c>
      <c r="J441" s="10">
        <v>24.029625791499999</v>
      </c>
      <c r="K441" s="8" t="s">
        <v>5203</v>
      </c>
      <c r="S441"/>
    </row>
    <row r="442" spans="1:19" ht="15" x14ac:dyDescent="0.25">
      <c r="A442" s="8" t="s">
        <v>5073</v>
      </c>
      <c r="B442" s="8" t="s">
        <v>5070</v>
      </c>
      <c r="C442" s="8" t="s">
        <v>5317</v>
      </c>
      <c r="D442" s="32" t="s">
        <v>6984</v>
      </c>
      <c r="E442" s="32" t="s">
        <v>5317</v>
      </c>
      <c r="F442" s="10">
        <v>1</v>
      </c>
      <c r="G442" s="8" t="s">
        <v>16</v>
      </c>
      <c r="H442" s="10">
        <v>1891.8</v>
      </c>
      <c r="I442" s="10">
        <f t="shared" si="8"/>
        <v>1891.8</v>
      </c>
      <c r="J442" s="10">
        <v>23.254088635750001</v>
      </c>
      <c r="K442" s="8" t="s">
        <v>5203</v>
      </c>
      <c r="S442"/>
    </row>
    <row r="443" spans="1:19" ht="15" x14ac:dyDescent="0.25">
      <c r="A443" s="8" t="s">
        <v>5069</v>
      </c>
      <c r="B443" s="8" t="s">
        <v>5070</v>
      </c>
      <c r="C443" s="8" t="s">
        <v>5318</v>
      </c>
      <c r="D443" s="32" t="s">
        <v>6984</v>
      </c>
      <c r="E443" s="32" t="s">
        <v>5318</v>
      </c>
      <c r="F443" s="10">
        <v>1</v>
      </c>
      <c r="G443" s="8" t="s">
        <v>16</v>
      </c>
      <c r="H443" s="10">
        <v>1952.7</v>
      </c>
      <c r="I443" s="10">
        <f t="shared" si="8"/>
        <v>1952.7</v>
      </c>
      <c r="J443" s="10">
        <v>24.632975305399999</v>
      </c>
      <c r="K443" s="8" t="s">
        <v>5203</v>
      </c>
      <c r="S443"/>
    </row>
    <row r="444" spans="1:19" ht="15" x14ac:dyDescent="0.25">
      <c r="A444" s="8" t="s">
        <v>5069</v>
      </c>
      <c r="B444" s="8" t="s">
        <v>5070</v>
      </c>
      <c r="C444" s="8" t="s">
        <v>5319</v>
      </c>
      <c r="D444" s="32" t="s">
        <v>6984</v>
      </c>
      <c r="E444" s="32" t="s">
        <v>5319</v>
      </c>
      <c r="F444" s="10">
        <v>1</v>
      </c>
      <c r="G444" s="8" t="s">
        <v>16</v>
      </c>
      <c r="H444" s="10">
        <v>3049.1</v>
      </c>
      <c r="I444" s="10">
        <f t="shared" si="8"/>
        <v>3049.1</v>
      </c>
      <c r="J444" s="10">
        <v>31.76823126</v>
      </c>
      <c r="K444" s="8" t="s">
        <v>4875</v>
      </c>
      <c r="S444"/>
    </row>
    <row r="445" spans="1:19" ht="15" x14ac:dyDescent="0.25">
      <c r="A445" s="8" t="s">
        <v>5073</v>
      </c>
      <c r="B445" s="8" t="s">
        <v>5070</v>
      </c>
      <c r="C445" s="8" t="s">
        <v>5320</v>
      </c>
      <c r="D445" s="32" t="s">
        <v>6984</v>
      </c>
      <c r="E445" s="32" t="s">
        <v>5320</v>
      </c>
      <c r="F445" s="10">
        <v>1</v>
      </c>
      <c r="G445" s="8" t="s">
        <v>16</v>
      </c>
      <c r="H445" s="10">
        <v>2375.8000000000002</v>
      </c>
      <c r="I445" s="10">
        <f t="shared" si="8"/>
        <v>2375.8000000000002</v>
      </c>
      <c r="J445" s="10">
        <v>37.473379135000002</v>
      </c>
      <c r="K445" s="8" t="s">
        <v>4865</v>
      </c>
      <c r="S445"/>
    </row>
    <row r="446" spans="1:19" ht="15" x14ac:dyDescent="0.25">
      <c r="A446" s="8" t="s">
        <v>5073</v>
      </c>
      <c r="B446" s="8" t="s">
        <v>5070</v>
      </c>
      <c r="C446" s="8" t="s">
        <v>5321</v>
      </c>
      <c r="D446" s="32" t="s">
        <v>6984</v>
      </c>
      <c r="E446" s="32" t="s">
        <v>5321</v>
      </c>
      <c r="F446" s="10">
        <v>1</v>
      </c>
      <c r="G446" s="8" t="s">
        <v>16</v>
      </c>
      <c r="H446" s="10">
        <v>1229.8</v>
      </c>
      <c r="I446" s="10">
        <f t="shared" si="8"/>
        <v>1229.8</v>
      </c>
      <c r="J446" s="10">
        <v>15.9433705555</v>
      </c>
      <c r="K446" s="8" t="s">
        <v>5203</v>
      </c>
      <c r="S446"/>
    </row>
    <row r="447" spans="1:19" ht="15" x14ac:dyDescent="0.25">
      <c r="A447" s="8" t="s">
        <v>5073</v>
      </c>
      <c r="B447" s="8" t="s">
        <v>5070</v>
      </c>
      <c r="C447" s="8" t="s">
        <v>5322</v>
      </c>
      <c r="D447" s="32" t="s">
        <v>6984</v>
      </c>
      <c r="E447" s="32" t="s">
        <v>5322</v>
      </c>
      <c r="F447" s="10">
        <v>1</v>
      </c>
      <c r="G447" s="8" t="s">
        <v>16</v>
      </c>
      <c r="H447" s="10">
        <v>100.4</v>
      </c>
      <c r="I447" s="10">
        <f t="shared" si="8"/>
        <v>100.4</v>
      </c>
      <c r="J447" s="10">
        <v>2.7861179040000001</v>
      </c>
      <c r="K447" s="8" t="s">
        <v>5209</v>
      </c>
      <c r="S447"/>
    </row>
    <row r="448" spans="1:19" ht="15" x14ac:dyDescent="0.25">
      <c r="A448" s="8" t="s">
        <v>5069</v>
      </c>
      <c r="B448" s="8" t="s">
        <v>5070</v>
      </c>
      <c r="C448" s="8" t="s">
        <v>5323</v>
      </c>
      <c r="D448" s="32" t="s">
        <v>6984</v>
      </c>
      <c r="E448" s="32" t="s">
        <v>5323</v>
      </c>
      <c r="F448" s="10">
        <v>1</v>
      </c>
      <c r="G448" s="8" t="s">
        <v>16</v>
      </c>
      <c r="H448" s="10">
        <v>598.29999999999995</v>
      </c>
      <c r="I448" s="10">
        <f t="shared" si="8"/>
        <v>598.29999999999995</v>
      </c>
      <c r="J448" s="10">
        <v>13.254106368</v>
      </c>
      <c r="K448" s="8" t="s">
        <v>5324</v>
      </c>
      <c r="S448"/>
    </row>
    <row r="449" spans="1:19" ht="15" x14ac:dyDescent="0.25">
      <c r="A449" s="8" t="s">
        <v>5069</v>
      </c>
      <c r="B449" s="8" t="s">
        <v>5070</v>
      </c>
      <c r="C449" s="8" t="s">
        <v>5325</v>
      </c>
      <c r="D449" s="32" t="s">
        <v>6984</v>
      </c>
      <c r="E449" s="32" t="s">
        <v>5325</v>
      </c>
      <c r="F449" s="10">
        <v>1</v>
      </c>
      <c r="G449" s="8" t="s">
        <v>16</v>
      </c>
      <c r="H449" s="10">
        <v>672.8</v>
      </c>
      <c r="I449" s="10">
        <f t="shared" si="8"/>
        <v>672.8</v>
      </c>
      <c r="J449" s="10">
        <v>14.882106368000001</v>
      </c>
      <c r="K449" s="8" t="s">
        <v>5324</v>
      </c>
      <c r="S449"/>
    </row>
    <row r="450" spans="1:19" ht="15" x14ac:dyDescent="0.25">
      <c r="A450" s="8" t="s">
        <v>5073</v>
      </c>
      <c r="B450" s="8" t="s">
        <v>5070</v>
      </c>
      <c r="C450" s="8" t="s">
        <v>5326</v>
      </c>
      <c r="D450" s="32" t="s">
        <v>6984</v>
      </c>
      <c r="E450" s="32" t="s">
        <v>5326</v>
      </c>
      <c r="F450" s="10">
        <v>1</v>
      </c>
      <c r="G450" s="8" t="s">
        <v>16</v>
      </c>
      <c r="H450" s="10">
        <v>87.4</v>
      </c>
      <c r="I450" s="10">
        <f t="shared" si="8"/>
        <v>87.4</v>
      </c>
      <c r="J450" s="10">
        <v>2.7965146224000001</v>
      </c>
      <c r="K450" s="8" t="s">
        <v>4781</v>
      </c>
      <c r="S450"/>
    </row>
    <row r="451" spans="1:19" ht="15" x14ac:dyDescent="0.25">
      <c r="A451" s="8" t="s">
        <v>5073</v>
      </c>
      <c r="B451" s="8" t="s">
        <v>5070</v>
      </c>
      <c r="C451" s="8" t="s">
        <v>5327</v>
      </c>
      <c r="D451" s="32" t="s">
        <v>6984</v>
      </c>
      <c r="E451" s="32" t="s">
        <v>5327</v>
      </c>
      <c r="F451" s="10">
        <v>1</v>
      </c>
      <c r="G451" s="8" t="s">
        <v>16</v>
      </c>
      <c r="H451" s="10">
        <v>638.5</v>
      </c>
      <c r="I451" s="10">
        <f t="shared" si="8"/>
        <v>638.5</v>
      </c>
      <c r="J451" s="10">
        <v>14.555606431999999</v>
      </c>
      <c r="K451" s="8" t="s">
        <v>5324</v>
      </c>
      <c r="S451"/>
    </row>
    <row r="452" spans="1:19" ht="15" x14ac:dyDescent="0.25">
      <c r="A452" s="8" t="s">
        <v>5069</v>
      </c>
      <c r="B452" s="8" t="s">
        <v>5070</v>
      </c>
      <c r="C452" s="8" t="s">
        <v>5328</v>
      </c>
      <c r="D452" s="32" t="s">
        <v>6984</v>
      </c>
      <c r="E452" s="32" t="s">
        <v>5328</v>
      </c>
      <c r="F452" s="10">
        <v>1</v>
      </c>
      <c r="G452" s="8" t="s">
        <v>16</v>
      </c>
      <c r="H452" s="10">
        <v>83.5</v>
      </c>
      <c r="I452" s="10">
        <f t="shared" si="8"/>
        <v>83.5</v>
      </c>
      <c r="J452" s="10">
        <v>2.3153881759999999</v>
      </c>
      <c r="K452" s="8" t="s">
        <v>5209</v>
      </c>
      <c r="S452"/>
    </row>
    <row r="453" spans="1:19" ht="15" x14ac:dyDescent="0.25">
      <c r="A453" s="8" t="s">
        <v>5069</v>
      </c>
      <c r="B453" s="8" t="s">
        <v>5070</v>
      </c>
      <c r="C453" s="8" t="s">
        <v>5329</v>
      </c>
      <c r="D453" s="32" t="s">
        <v>6984</v>
      </c>
      <c r="E453" s="32" t="s">
        <v>5329</v>
      </c>
      <c r="F453" s="10">
        <v>1</v>
      </c>
      <c r="G453" s="8" t="s">
        <v>16</v>
      </c>
      <c r="H453" s="10">
        <v>172.8</v>
      </c>
      <c r="I453" s="10">
        <f t="shared" ref="I453:I516" si="9">F453*H453</f>
        <v>172.8</v>
      </c>
      <c r="J453" s="10">
        <v>3.2480267008000001</v>
      </c>
      <c r="K453" s="8" t="s">
        <v>4850</v>
      </c>
      <c r="S453"/>
    </row>
    <row r="454" spans="1:19" ht="15" x14ac:dyDescent="0.25">
      <c r="A454" s="8" t="s">
        <v>5069</v>
      </c>
      <c r="B454" s="8" t="s">
        <v>5070</v>
      </c>
      <c r="C454" s="8" t="s">
        <v>5330</v>
      </c>
      <c r="D454" s="32" t="s">
        <v>6984</v>
      </c>
      <c r="E454" s="32" t="s">
        <v>5330</v>
      </c>
      <c r="F454" s="10">
        <v>1</v>
      </c>
      <c r="G454" s="8" t="s">
        <v>16</v>
      </c>
      <c r="H454" s="10">
        <v>107.7</v>
      </c>
      <c r="I454" s="10">
        <f t="shared" si="9"/>
        <v>107.7</v>
      </c>
      <c r="J454" s="10">
        <v>2.9693089499999998</v>
      </c>
      <c r="K454" s="8" t="s">
        <v>5209</v>
      </c>
      <c r="S454"/>
    </row>
    <row r="455" spans="1:19" ht="15" x14ac:dyDescent="0.25">
      <c r="A455" s="8" t="s">
        <v>5073</v>
      </c>
      <c r="B455" s="8" t="s">
        <v>5070</v>
      </c>
      <c r="C455" s="8" t="s">
        <v>5331</v>
      </c>
      <c r="D455" s="32" t="s">
        <v>6984</v>
      </c>
      <c r="E455" s="32" t="s">
        <v>5331</v>
      </c>
      <c r="F455" s="10">
        <v>4</v>
      </c>
      <c r="G455" s="8" t="s">
        <v>4903</v>
      </c>
      <c r="H455" s="10">
        <v>30.5</v>
      </c>
      <c r="I455" s="10">
        <f t="shared" si="9"/>
        <v>122</v>
      </c>
      <c r="J455" s="10">
        <v>5.0950367999999999</v>
      </c>
      <c r="K455" s="8" t="s">
        <v>5051</v>
      </c>
      <c r="S455"/>
    </row>
    <row r="456" spans="1:19" ht="15" x14ac:dyDescent="0.25">
      <c r="A456" s="8" t="s">
        <v>5069</v>
      </c>
      <c r="B456" s="8" t="s">
        <v>5070</v>
      </c>
      <c r="C456" s="8" t="s">
        <v>5332</v>
      </c>
      <c r="D456" s="32" t="s">
        <v>6984</v>
      </c>
      <c r="E456" s="32" t="s">
        <v>5332</v>
      </c>
      <c r="F456" s="10">
        <v>1</v>
      </c>
      <c r="G456" s="8" t="s">
        <v>4903</v>
      </c>
      <c r="H456" s="10">
        <v>27.7</v>
      </c>
      <c r="I456" s="10">
        <f t="shared" si="9"/>
        <v>27.7</v>
      </c>
      <c r="J456" s="10">
        <v>1.1573256000000001</v>
      </c>
      <c r="K456" s="8" t="s">
        <v>5051</v>
      </c>
      <c r="S456"/>
    </row>
    <row r="457" spans="1:19" ht="15" x14ac:dyDescent="0.25">
      <c r="A457" s="8" t="s">
        <v>5069</v>
      </c>
      <c r="B457" s="8" t="s">
        <v>5070</v>
      </c>
      <c r="C457" s="8" t="s">
        <v>5333</v>
      </c>
      <c r="D457" s="32" t="s">
        <v>6984</v>
      </c>
      <c r="E457" s="32" t="s">
        <v>5333</v>
      </c>
      <c r="F457" s="10">
        <v>1</v>
      </c>
      <c r="G457" s="8" t="s">
        <v>4903</v>
      </c>
      <c r="H457" s="10">
        <v>27.7</v>
      </c>
      <c r="I457" s="10">
        <f t="shared" si="9"/>
        <v>27.7</v>
      </c>
      <c r="J457" s="10">
        <v>1.1573256000000001</v>
      </c>
      <c r="K457" s="8" t="s">
        <v>5051</v>
      </c>
      <c r="S457"/>
    </row>
    <row r="458" spans="1:19" ht="15" x14ac:dyDescent="0.25">
      <c r="A458" s="8" t="s">
        <v>5073</v>
      </c>
      <c r="B458" s="8" t="s">
        <v>5070</v>
      </c>
      <c r="C458" s="8" t="s">
        <v>5334</v>
      </c>
      <c r="D458" s="32" t="s">
        <v>6984</v>
      </c>
      <c r="E458" s="32" t="s">
        <v>5334</v>
      </c>
      <c r="F458" s="10">
        <v>8</v>
      </c>
      <c r="G458" s="8" t="s">
        <v>4903</v>
      </c>
      <c r="H458" s="10">
        <v>6.85</v>
      </c>
      <c r="I458" s="10">
        <f t="shared" si="9"/>
        <v>54.8</v>
      </c>
      <c r="J458" s="10">
        <v>2.3164799999999999</v>
      </c>
      <c r="K458" s="8" t="s">
        <v>5335</v>
      </c>
      <c r="S458"/>
    </row>
    <row r="459" spans="1:19" ht="15" x14ac:dyDescent="0.25">
      <c r="A459" s="8" t="s">
        <v>5069</v>
      </c>
      <c r="B459" s="8" t="s">
        <v>5070</v>
      </c>
      <c r="C459" s="8" t="s">
        <v>5336</v>
      </c>
      <c r="D459" s="32" t="s">
        <v>6984</v>
      </c>
      <c r="E459" s="32" t="s">
        <v>5336</v>
      </c>
      <c r="F459" s="10">
        <v>8</v>
      </c>
      <c r="G459" s="8" t="s">
        <v>4903</v>
      </c>
      <c r="H459" s="10">
        <v>8.7624999999999993</v>
      </c>
      <c r="I459" s="10">
        <f t="shared" si="9"/>
        <v>70.099999999999994</v>
      </c>
      <c r="J459" s="10">
        <v>3.9116</v>
      </c>
      <c r="K459" s="8" t="s">
        <v>5245</v>
      </c>
      <c r="S459"/>
    </row>
    <row r="460" spans="1:19" ht="15" x14ac:dyDescent="0.25">
      <c r="A460" s="8" t="s">
        <v>5073</v>
      </c>
      <c r="B460" s="8" t="s">
        <v>5070</v>
      </c>
      <c r="C460" s="8" t="s">
        <v>5337</v>
      </c>
      <c r="D460" s="32" t="s">
        <v>6984</v>
      </c>
      <c r="E460" s="32" t="s">
        <v>5337</v>
      </c>
      <c r="F460" s="10">
        <v>4</v>
      </c>
      <c r="G460" s="8" t="s">
        <v>4903</v>
      </c>
      <c r="H460" s="10">
        <v>30.5</v>
      </c>
      <c r="I460" s="10">
        <f t="shared" si="9"/>
        <v>122</v>
      </c>
      <c r="J460" s="10">
        <v>5.0950367999999999</v>
      </c>
      <c r="K460" s="8" t="s">
        <v>5051</v>
      </c>
      <c r="S460"/>
    </row>
    <row r="461" spans="1:19" ht="15" x14ac:dyDescent="0.25">
      <c r="A461" s="8" t="s">
        <v>5073</v>
      </c>
      <c r="B461" s="8" t="s">
        <v>5070</v>
      </c>
      <c r="C461" s="8" t="s">
        <v>5338</v>
      </c>
      <c r="D461" s="32" t="s">
        <v>6984</v>
      </c>
      <c r="E461" s="32" t="s">
        <v>5338</v>
      </c>
      <c r="F461" s="10">
        <v>6</v>
      </c>
      <c r="G461" s="8" t="s">
        <v>4903</v>
      </c>
      <c r="H461" s="10">
        <v>30.599999999999998</v>
      </c>
      <c r="I461" s="10">
        <f t="shared" si="9"/>
        <v>183.6</v>
      </c>
      <c r="J461" s="10">
        <v>7.6645007999999999</v>
      </c>
      <c r="K461" s="8" t="s">
        <v>5051</v>
      </c>
      <c r="S461"/>
    </row>
    <row r="462" spans="1:19" ht="15" x14ac:dyDescent="0.25">
      <c r="A462" s="8" t="s">
        <v>5073</v>
      </c>
      <c r="B462" s="8" t="s">
        <v>5070</v>
      </c>
      <c r="C462" s="8" t="s">
        <v>5339</v>
      </c>
      <c r="D462" s="32" t="s">
        <v>6984</v>
      </c>
      <c r="E462" s="32" t="s">
        <v>5339</v>
      </c>
      <c r="F462" s="10">
        <v>5</v>
      </c>
      <c r="G462" s="8" t="s">
        <v>4903</v>
      </c>
      <c r="H462" s="10">
        <v>197.26</v>
      </c>
      <c r="I462" s="10">
        <f t="shared" si="9"/>
        <v>986.3</v>
      </c>
      <c r="J462" s="10">
        <v>23.156594999999999</v>
      </c>
      <c r="K462" s="8" t="s">
        <v>4983</v>
      </c>
      <c r="S462"/>
    </row>
    <row r="463" spans="1:19" ht="15" x14ac:dyDescent="0.25">
      <c r="A463" s="8" t="s">
        <v>5069</v>
      </c>
      <c r="B463" s="8" t="s">
        <v>5070</v>
      </c>
      <c r="C463" s="8" t="s">
        <v>5340</v>
      </c>
      <c r="D463" s="32" t="s">
        <v>6984</v>
      </c>
      <c r="E463" s="32" t="s">
        <v>5340</v>
      </c>
      <c r="F463" s="10">
        <v>2</v>
      </c>
      <c r="G463" s="8" t="s">
        <v>4903</v>
      </c>
      <c r="H463" s="10">
        <v>437.5</v>
      </c>
      <c r="I463" s="10">
        <f t="shared" si="9"/>
        <v>875</v>
      </c>
      <c r="J463" s="10">
        <v>20.540934</v>
      </c>
      <c r="K463" s="8" t="s">
        <v>4983</v>
      </c>
      <c r="S463"/>
    </row>
    <row r="464" spans="1:19" ht="15" x14ac:dyDescent="0.25">
      <c r="A464" s="8" t="s">
        <v>5073</v>
      </c>
      <c r="B464" s="8" t="s">
        <v>5070</v>
      </c>
      <c r="C464" s="8" t="s">
        <v>5341</v>
      </c>
      <c r="D464" s="32" t="s">
        <v>6984</v>
      </c>
      <c r="E464" s="32" t="s">
        <v>5341</v>
      </c>
      <c r="F464" s="10">
        <v>8</v>
      </c>
      <c r="G464" s="8" t="s">
        <v>4903</v>
      </c>
      <c r="H464" s="10">
        <v>8.8625000000000007</v>
      </c>
      <c r="I464" s="10">
        <f t="shared" si="9"/>
        <v>70.900000000000006</v>
      </c>
      <c r="J464" s="10">
        <v>3.954272</v>
      </c>
      <c r="K464" s="8" t="s">
        <v>5245</v>
      </c>
      <c r="S464"/>
    </row>
    <row r="465" spans="1:19" ht="15" x14ac:dyDescent="0.25">
      <c r="A465" s="8" t="s">
        <v>5069</v>
      </c>
      <c r="B465" s="8" t="s">
        <v>5070</v>
      </c>
      <c r="C465" s="8" t="s">
        <v>5342</v>
      </c>
      <c r="D465" s="32" t="s">
        <v>6984</v>
      </c>
      <c r="E465" s="32" t="s">
        <v>5342</v>
      </c>
      <c r="F465" s="10">
        <v>4</v>
      </c>
      <c r="G465" s="8" t="s">
        <v>4903</v>
      </c>
      <c r="H465" s="10">
        <v>18.100000000000001</v>
      </c>
      <c r="I465" s="10">
        <f t="shared" si="9"/>
        <v>72.400000000000006</v>
      </c>
      <c r="J465" s="10">
        <v>4.0396159999999997</v>
      </c>
      <c r="K465" s="8" t="s">
        <v>5245</v>
      </c>
      <c r="S465"/>
    </row>
    <row r="466" spans="1:19" ht="15" x14ac:dyDescent="0.25">
      <c r="A466" s="8" t="s">
        <v>5073</v>
      </c>
      <c r="B466" s="8" t="s">
        <v>5070</v>
      </c>
      <c r="C466" s="8" t="s">
        <v>5343</v>
      </c>
      <c r="D466" s="32" t="s">
        <v>6984</v>
      </c>
      <c r="E466" s="32" t="s">
        <v>5343</v>
      </c>
      <c r="F466" s="10">
        <v>1</v>
      </c>
      <c r="G466" s="8" t="s">
        <v>4903</v>
      </c>
      <c r="H466" s="10">
        <v>620.5</v>
      </c>
      <c r="I466" s="10">
        <f t="shared" si="9"/>
        <v>620.5</v>
      </c>
      <c r="J466" s="10">
        <v>14.567310000000001</v>
      </c>
      <c r="K466" s="8" t="s">
        <v>4983</v>
      </c>
      <c r="S466"/>
    </row>
    <row r="467" spans="1:19" ht="15" x14ac:dyDescent="0.25">
      <c r="A467" s="8" t="s">
        <v>5073</v>
      </c>
      <c r="B467" s="8" t="s">
        <v>5070</v>
      </c>
      <c r="C467" s="8" t="s">
        <v>5344</v>
      </c>
      <c r="D467" s="32" t="s">
        <v>6984</v>
      </c>
      <c r="E467" s="32" t="s">
        <v>5344</v>
      </c>
      <c r="F467" s="10">
        <v>2</v>
      </c>
      <c r="G467" s="8" t="s">
        <v>4903</v>
      </c>
      <c r="H467" s="10">
        <v>18.3</v>
      </c>
      <c r="I467" s="10">
        <f t="shared" si="9"/>
        <v>36.6</v>
      </c>
      <c r="J467" s="10">
        <v>2.0406360000000001</v>
      </c>
      <c r="K467" s="8" t="s">
        <v>5245</v>
      </c>
      <c r="S467"/>
    </row>
    <row r="468" spans="1:19" ht="15" x14ac:dyDescent="0.25">
      <c r="A468" s="8" t="s">
        <v>5073</v>
      </c>
      <c r="B468" s="8" t="s">
        <v>5070</v>
      </c>
      <c r="C468" s="8" t="s">
        <v>5345</v>
      </c>
      <c r="D468" s="32" t="s">
        <v>6984</v>
      </c>
      <c r="E468" s="32" t="s">
        <v>5345</v>
      </c>
      <c r="F468" s="10">
        <v>2</v>
      </c>
      <c r="G468" s="8" t="s">
        <v>4903</v>
      </c>
      <c r="H468" s="10">
        <v>18.3</v>
      </c>
      <c r="I468" s="10">
        <f t="shared" si="9"/>
        <v>36.6</v>
      </c>
      <c r="J468" s="10">
        <v>2.0406360000000001</v>
      </c>
      <c r="K468" s="8" t="s">
        <v>5245</v>
      </c>
      <c r="S468"/>
    </row>
    <row r="469" spans="1:19" ht="15" x14ac:dyDescent="0.25">
      <c r="A469" s="8" t="s">
        <v>4963</v>
      </c>
      <c r="B469" s="8" t="s">
        <v>4869</v>
      </c>
      <c r="C469" s="8" t="s">
        <v>4924</v>
      </c>
      <c r="D469" s="32" t="s">
        <v>6984</v>
      </c>
      <c r="E469" s="32" t="s">
        <v>4924</v>
      </c>
      <c r="F469" s="10">
        <v>1</v>
      </c>
      <c r="G469" s="8" t="s">
        <v>16</v>
      </c>
      <c r="H469" s="10">
        <v>2010.7</v>
      </c>
      <c r="I469" s="10">
        <f t="shared" si="9"/>
        <v>2010.7</v>
      </c>
      <c r="J469" s="10">
        <v>26.472210159599999</v>
      </c>
      <c r="K469" s="8" t="s">
        <v>4925</v>
      </c>
      <c r="S469"/>
    </row>
    <row r="470" spans="1:19" ht="15" x14ac:dyDescent="0.25">
      <c r="A470" s="8" t="s">
        <v>5073</v>
      </c>
      <c r="B470" s="8" t="s">
        <v>5070</v>
      </c>
      <c r="C470" s="8" t="s">
        <v>5346</v>
      </c>
      <c r="D470" s="32" t="s">
        <v>6984</v>
      </c>
      <c r="E470" s="32" t="s">
        <v>5346</v>
      </c>
      <c r="F470" s="10">
        <v>1</v>
      </c>
      <c r="G470" s="8" t="s">
        <v>16</v>
      </c>
      <c r="H470" s="10">
        <v>216.6</v>
      </c>
      <c r="I470" s="10">
        <f t="shared" si="9"/>
        <v>216.6</v>
      </c>
      <c r="J470" s="10">
        <v>4.3684428031999998</v>
      </c>
      <c r="K470" s="8" t="s">
        <v>4850</v>
      </c>
      <c r="S470"/>
    </row>
    <row r="471" spans="1:19" ht="15" x14ac:dyDescent="0.25">
      <c r="A471" s="8" t="s">
        <v>5069</v>
      </c>
      <c r="B471" s="8" t="s">
        <v>5070</v>
      </c>
      <c r="C471" s="8" t="s">
        <v>5347</v>
      </c>
      <c r="D471" s="32" t="s">
        <v>6984</v>
      </c>
      <c r="E471" s="32" t="s">
        <v>5347</v>
      </c>
      <c r="F471" s="10">
        <v>2</v>
      </c>
      <c r="G471" s="8" t="s">
        <v>16</v>
      </c>
      <c r="H471" s="10">
        <v>245.1</v>
      </c>
      <c r="I471" s="10">
        <f t="shared" si="9"/>
        <v>490.2</v>
      </c>
      <c r="J471" s="10">
        <v>9.7728856063999991</v>
      </c>
      <c r="K471" s="8" t="s">
        <v>4850</v>
      </c>
      <c r="S471"/>
    </row>
    <row r="472" spans="1:19" ht="15" x14ac:dyDescent="0.25">
      <c r="A472" s="8" t="s">
        <v>5073</v>
      </c>
      <c r="B472" s="8" t="s">
        <v>5070</v>
      </c>
      <c r="C472" s="8" t="s">
        <v>5348</v>
      </c>
      <c r="D472" s="32" t="s">
        <v>6984</v>
      </c>
      <c r="E472" s="32" t="s">
        <v>5348</v>
      </c>
      <c r="F472" s="10">
        <v>1</v>
      </c>
      <c r="G472" s="8" t="s">
        <v>16</v>
      </c>
      <c r="H472" s="10">
        <v>178.5</v>
      </c>
      <c r="I472" s="10">
        <f t="shared" si="9"/>
        <v>178.5</v>
      </c>
      <c r="J472" s="10">
        <v>4.8481768110000001</v>
      </c>
      <c r="K472" s="8" t="s">
        <v>5209</v>
      </c>
      <c r="S472"/>
    </row>
    <row r="473" spans="1:19" ht="15" x14ac:dyDescent="0.25">
      <c r="A473" s="8" t="s">
        <v>5073</v>
      </c>
      <c r="B473" s="8" t="s">
        <v>5070</v>
      </c>
      <c r="C473" s="8" t="s">
        <v>5349</v>
      </c>
      <c r="D473" s="32" t="s">
        <v>6984</v>
      </c>
      <c r="E473" s="32" t="s">
        <v>5349</v>
      </c>
      <c r="F473" s="10">
        <v>1</v>
      </c>
      <c r="G473" s="8" t="s">
        <v>16</v>
      </c>
      <c r="H473" s="10">
        <v>181.6</v>
      </c>
      <c r="I473" s="10">
        <f t="shared" si="9"/>
        <v>181.6</v>
      </c>
      <c r="J473" s="10">
        <v>4.9762499609999997</v>
      </c>
      <c r="K473" s="8" t="s">
        <v>5209</v>
      </c>
      <c r="S473"/>
    </row>
    <row r="474" spans="1:19" ht="15" x14ac:dyDescent="0.25">
      <c r="A474" s="8" t="s">
        <v>5069</v>
      </c>
      <c r="B474" s="8" t="s">
        <v>5070</v>
      </c>
      <c r="C474" s="8" t="s">
        <v>5350</v>
      </c>
      <c r="D474" s="32" t="s">
        <v>6984</v>
      </c>
      <c r="E474" s="32" t="s">
        <v>5350</v>
      </c>
      <c r="F474" s="10">
        <v>1</v>
      </c>
      <c r="G474" s="8" t="s">
        <v>16</v>
      </c>
      <c r="H474" s="10">
        <v>76.2</v>
      </c>
      <c r="I474" s="10">
        <f t="shared" si="9"/>
        <v>76.2</v>
      </c>
      <c r="J474" s="10">
        <v>2.4366046720000001</v>
      </c>
      <c r="K474" s="8" t="s">
        <v>4781</v>
      </c>
      <c r="S474"/>
    </row>
    <row r="475" spans="1:19" ht="15" x14ac:dyDescent="0.25">
      <c r="A475" s="8" t="s">
        <v>5069</v>
      </c>
      <c r="B475" s="8" t="s">
        <v>5070</v>
      </c>
      <c r="C475" s="8" t="s">
        <v>5351</v>
      </c>
      <c r="D475" s="32" t="s">
        <v>6984</v>
      </c>
      <c r="E475" s="32" t="s">
        <v>5351</v>
      </c>
      <c r="F475" s="10">
        <v>2</v>
      </c>
      <c r="G475" s="8" t="s">
        <v>16</v>
      </c>
      <c r="H475" s="10">
        <v>177.55</v>
      </c>
      <c r="I475" s="10">
        <f t="shared" si="9"/>
        <v>355.1</v>
      </c>
      <c r="J475" s="10">
        <v>9.731999922</v>
      </c>
      <c r="K475" s="8" t="s">
        <v>5209</v>
      </c>
      <c r="S475"/>
    </row>
    <row r="476" spans="1:19" ht="15" x14ac:dyDescent="0.25">
      <c r="A476" s="8" t="s">
        <v>5069</v>
      </c>
      <c r="B476" s="8" t="s">
        <v>5070</v>
      </c>
      <c r="C476" s="8" t="s">
        <v>5352</v>
      </c>
      <c r="D476" s="32" t="s">
        <v>6984</v>
      </c>
      <c r="E476" s="32" t="s">
        <v>5352</v>
      </c>
      <c r="F476" s="10">
        <v>2</v>
      </c>
      <c r="G476" s="8" t="s">
        <v>16</v>
      </c>
      <c r="H476" s="10">
        <v>76.2</v>
      </c>
      <c r="I476" s="10">
        <f t="shared" si="9"/>
        <v>152.4</v>
      </c>
      <c r="J476" s="10">
        <v>4.8732093440000002</v>
      </c>
      <c r="K476" s="8" t="s">
        <v>4781</v>
      </c>
      <c r="S476"/>
    </row>
    <row r="477" spans="1:19" ht="15" x14ac:dyDescent="0.25">
      <c r="A477" s="8" t="s">
        <v>5069</v>
      </c>
      <c r="B477" s="8" t="s">
        <v>5070</v>
      </c>
      <c r="C477" s="8" t="s">
        <v>5353</v>
      </c>
      <c r="D477" s="32" t="s">
        <v>6984</v>
      </c>
      <c r="E477" s="32" t="s">
        <v>5353</v>
      </c>
      <c r="F477" s="10">
        <v>1</v>
      </c>
      <c r="G477" s="8" t="s">
        <v>16</v>
      </c>
      <c r="H477" s="10">
        <v>76.2</v>
      </c>
      <c r="I477" s="10">
        <f t="shared" si="9"/>
        <v>76.2</v>
      </c>
      <c r="J477" s="10">
        <v>2.4366046720000001</v>
      </c>
      <c r="K477" s="8" t="s">
        <v>4781</v>
      </c>
      <c r="S477"/>
    </row>
    <row r="478" spans="1:19" ht="15" x14ac:dyDescent="0.25">
      <c r="A478" s="8" t="s">
        <v>5073</v>
      </c>
      <c r="B478" s="8" t="s">
        <v>5070</v>
      </c>
      <c r="C478" s="8" t="s">
        <v>5354</v>
      </c>
      <c r="D478" s="32" t="s">
        <v>6984</v>
      </c>
      <c r="E478" s="32" t="s">
        <v>5354</v>
      </c>
      <c r="F478" s="10">
        <v>5</v>
      </c>
      <c r="G478" s="8" t="s">
        <v>16</v>
      </c>
      <c r="H478" s="10">
        <v>169.2</v>
      </c>
      <c r="I478" s="10">
        <f t="shared" si="9"/>
        <v>846</v>
      </c>
      <c r="J478" s="10">
        <v>23.587981500000001</v>
      </c>
      <c r="K478" s="8" t="s">
        <v>5209</v>
      </c>
      <c r="S478"/>
    </row>
    <row r="479" spans="1:19" ht="15" x14ac:dyDescent="0.25">
      <c r="A479" s="8" t="s">
        <v>5069</v>
      </c>
      <c r="B479" s="8" t="s">
        <v>5070</v>
      </c>
      <c r="C479" s="8" t="s">
        <v>5355</v>
      </c>
      <c r="D479" s="32" t="s">
        <v>6984</v>
      </c>
      <c r="E479" s="32" t="s">
        <v>5355</v>
      </c>
      <c r="F479" s="10">
        <v>1</v>
      </c>
      <c r="G479" s="8" t="s">
        <v>16</v>
      </c>
      <c r="H479" s="10">
        <v>3452.3</v>
      </c>
      <c r="I479" s="10">
        <f t="shared" si="9"/>
        <v>3452.3</v>
      </c>
      <c r="J479" s="10">
        <v>40.23488797625</v>
      </c>
      <c r="K479" s="8" t="s">
        <v>5199</v>
      </c>
      <c r="S479"/>
    </row>
    <row r="480" spans="1:19" ht="15" x14ac:dyDescent="0.25">
      <c r="A480" s="8" t="s">
        <v>5069</v>
      </c>
      <c r="B480" s="8" t="s">
        <v>5070</v>
      </c>
      <c r="C480" s="8" t="s">
        <v>5356</v>
      </c>
      <c r="D480" s="32" t="s">
        <v>6984</v>
      </c>
      <c r="E480" s="32" t="s">
        <v>5356</v>
      </c>
      <c r="F480" s="10">
        <v>1</v>
      </c>
      <c r="G480" s="8" t="s">
        <v>16</v>
      </c>
      <c r="H480" s="10">
        <v>3336.4</v>
      </c>
      <c r="I480" s="10">
        <f t="shared" si="9"/>
        <v>3336.4</v>
      </c>
      <c r="J480" s="10">
        <v>37.716654175000002</v>
      </c>
      <c r="K480" s="8" t="s">
        <v>5199</v>
      </c>
      <c r="S480"/>
    </row>
    <row r="481" spans="1:19" ht="15" x14ac:dyDescent="0.25">
      <c r="A481" s="8" t="s">
        <v>5073</v>
      </c>
      <c r="B481" s="8" t="s">
        <v>5070</v>
      </c>
      <c r="C481" s="8" t="s">
        <v>5357</v>
      </c>
      <c r="D481" s="32" t="s">
        <v>6984</v>
      </c>
      <c r="E481" s="32" t="s">
        <v>5357</v>
      </c>
      <c r="F481" s="10">
        <v>1</v>
      </c>
      <c r="G481" s="8" t="s">
        <v>16</v>
      </c>
      <c r="H481" s="10">
        <v>2442</v>
      </c>
      <c r="I481" s="10">
        <f t="shared" si="9"/>
        <v>2442</v>
      </c>
      <c r="J481" s="10">
        <v>38.529856567000003</v>
      </c>
      <c r="K481" s="8" t="s">
        <v>4865</v>
      </c>
      <c r="S481"/>
    </row>
    <row r="482" spans="1:19" ht="15" x14ac:dyDescent="0.25">
      <c r="A482" s="8" t="s">
        <v>5069</v>
      </c>
      <c r="B482" s="8" t="s">
        <v>5070</v>
      </c>
      <c r="C482" s="8" t="s">
        <v>5358</v>
      </c>
      <c r="D482" s="32" t="s">
        <v>6984</v>
      </c>
      <c r="E482" s="32" t="s">
        <v>5358</v>
      </c>
      <c r="F482" s="10">
        <v>1</v>
      </c>
      <c r="G482" s="8" t="s">
        <v>16</v>
      </c>
      <c r="H482" s="10">
        <v>2409.6</v>
      </c>
      <c r="I482" s="10">
        <f t="shared" si="9"/>
        <v>2409.6</v>
      </c>
      <c r="J482" s="10">
        <v>38.052754141000001</v>
      </c>
      <c r="K482" s="8" t="s">
        <v>4865</v>
      </c>
      <c r="S482"/>
    </row>
    <row r="483" spans="1:19" ht="15" x14ac:dyDescent="0.25">
      <c r="A483" s="8" t="s">
        <v>5073</v>
      </c>
      <c r="B483" s="8" t="s">
        <v>5070</v>
      </c>
      <c r="C483" s="8" t="s">
        <v>5359</v>
      </c>
      <c r="D483" s="32" t="s">
        <v>6984</v>
      </c>
      <c r="E483" s="32" t="s">
        <v>5359</v>
      </c>
      <c r="F483" s="10">
        <v>1</v>
      </c>
      <c r="G483" s="8" t="s">
        <v>16</v>
      </c>
      <c r="H483" s="10">
        <v>2442</v>
      </c>
      <c r="I483" s="10">
        <f t="shared" si="9"/>
        <v>2442</v>
      </c>
      <c r="J483" s="10">
        <v>38.529856567000003</v>
      </c>
      <c r="K483" s="8" t="s">
        <v>4865</v>
      </c>
      <c r="S483"/>
    </row>
    <row r="484" spans="1:19" ht="15" x14ac:dyDescent="0.25">
      <c r="A484" s="8" t="s">
        <v>5073</v>
      </c>
      <c r="B484" s="8" t="s">
        <v>5070</v>
      </c>
      <c r="C484" s="8" t="s">
        <v>5360</v>
      </c>
      <c r="D484" s="32" t="s">
        <v>6984</v>
      </c>
      <c r="E484" s="32" t="s">
        <v>5360</v>
      </c>
      <c r="F484" s="10">
        <v>1</v>
      </c>
      <c r="G484" s="8" t="s">
        <v>16</v>
      </c>
      <c r="H484" s="10">
        <v>2462.9</v>
      </c>
      <c r="I484" s="10">
        <f t="shared" si="9"/>
        <v>2462.9</v>
      </c>
      <c r="J484" s="10">
        <v>38.824938033999999</v>
      </c>
      <c r="K484" s="8" t="s">
        <v>4865</v>
      </c>
      <c r="S484"/>
    </row>
    <row r="485" spans="1:19" ht="15" x14ac:dyDescent="0.25">
      <c r="A485" s="8" t="s">
        <v>5069</v>
      </c>
      <c r="B485" s="8" t="s">
        <v>5070</v>
      </c>
      <c r="C485" s="8" t="s">
        <v>5361</v>
      </c>
      <c r="D485" s="32" t="s">
        <v>6984</v>
      </c>
      <c r="E485" s="32" t="s">
        <v>5361</v>
      </c>
      <c r="F485" s="10">
        <v>1</v>
      </c>
      <c r="G485" s="8" t="s">
        <v>16</v>
      </c>
      <c r="H485" s="10">
        <v>3343.1</v>
      </c>
      <c r="I485" s="10">
        <f t="shared" si="9"/>
        <v>3343.1</v>
      </c>
      <c r="J485" s="10">
        <v>37.99388021875</v>
      </c>
      <c r="K485" s="8" t="s">
        <v>5199</v>
      </c>
      <c r="S485"/>
    </row>
    <row r="486" spans="1:19" ht="15" x14ac:dyDescent="0.25">
      <c r="A486" s="8" t="s">
        <v>5069</v>
      </c>
      <c r="B486" s="8" t="s">
        <v>5070</v>
      </c>
      <c r="C486" s="8" t="s">
        <v>5362</v>
      </c>
      <c r="D486" s="32" t="s">
        <v>6984</v>
      </c>
      <c r="E486" s="32" t="s">
        <v>5362</v>
      </c>
      <c r="F486" s="10">
        <v>1</v>
      </c>
      <c r="G486" s="8" t="s">
        <v>16</v>
      </c>
      <c r="H486" s="10">
        <v>2483.1999999999998</v>
      </c>
      <c r="I486" s="10">
        <f t="shared" si="9"/>
        <v>2483.1999999999998</v>
      </c>
      <c r="J486" s="10">
        <v>39.999497026</v>
      </c>
      <c r="K486" s="8" t="s">
        <v>4865</v>
      </c>
      <c r="S486"/>
    </row>
    <row r="487" spans="1:19" ht="15" x14ac:dyDescent="0.25">
      <c r="A487" s="8" t="s">
        <v>5073</v>
      </c>
      <c r="B487" s="8" t="s">
        <v>5070</v>
      </c>
      <c r="C487" s="8" t="s">
        <v>5363</v>
      </c>
      <c r="D487" s="32" t="s">
        <v>6984</v>
      </c>
      <c r="E487" s="32" t="s">
        <v>5363</v>
      </c>
      <c r="F487" s="10">
        <v>1</v>
      </c>
      <c r="G487" s="8" t="s">
        <v>16</v>
      </c>
      <c r="H487" s="10">
        <v>2521.4</v>
      </c>
      <c r="I487" s="10">
        <f t="shared" si="9"/>
        <v>2521.4</v>
      </c>
      <c r="J487" s="10">
        <v>40.773199458999997</v>
      </c>
      <c r="K487" s="8" t="s">
        <v>4865</v>
      </c>
      <c r="S487"/>
    </row>
    <row r="488" spans="1:19" ht="15" x14ac:dyDescent="0.25">
      <c r="A488" s="8" t="s">
        <v>5073</v>
      </c>
      <c r="B488" s="8" t="s">
        <v>5070</v>
      </c>
      <c r="C488" s="8" t="s">
        <v>5364</v>
      </c>
      <c r="D488" s="32" t="s">
        <v>6984</v>
      </c>
      <c r="E488" s="32" t="s">
        <v>5364</v>
      </c>
      <c r="F488" s="10">
        <v>1</v>
      </c>
      <c r="G488" s="8" t="s">
        <v>16</v>
      </c>
      <c r="H488" s="10">
        <v>2428</v>
      </c>
      <c r="I488" s="10">
        <f t="shared" si="9"/>
        <v>2428</v>
      </c>
      <c r="J488" s="10">
        <v>37.954469017000001</v>
      </c>
      <c r="K488" s="8" t="s">
        <v>4865</v>
      </c>
      <c r="S488"/>
    </row>
    <row r="489" spans="1:19" ht="15" x14ac:dyDescent="0.25">
      <c r="A489" s="8" t="s">
        <v>5073</v>
      </c>
      <c r="B489" s="8" t="s">
        <v>5070</v>
      </c>
      <c r="C489" s="8" t="s">
        <v>5365</v>
      </c>
      <c r="D489" s="32" t="s">
        <v>6984</v>
      </c>
      <c r="E489" s="32" t="s">
        <v>5365</v>
      </c>
      <c r="F489" s="10">
        <v>1</v>
      </c>
      <c r="G489" s="8" t="s">
        <v>16</v>
      </c>
      <c r="H489" s="10">
        <v>2514.6</v>
      </c>
      <c r="I489" s="10">
        <f t="shared" si="9"/>
        <v>2514.6</v>
      </c>
      <c r="J489" s="10">
        <v>40.476958615960001</v>
      </c>
      <c r="K489" s="8" t="s">
        <v>4865</v>
      </c>
      <c r="S489"/>
    </row>
    <row r="490" spans="1:19" ht="15" x14ac:dyDescent="0.25">
      <c r="A490" s="8" t="s">
        <v>5069</v>
      </c>
      <c r="B490" s="8" t="s">
        <v>5070</v>
      </c>
      <c r="C490" s="8" t="s">
        <v>5366</v>
      </c>
      <c r="D490" s="32" t="s">
        <v>6984</v>
      </c>
      <c r="E490" s="32" t="s">
        <v>5366</v>
      </c>
      <c r="F490" s="10">
        <v>1</v>
      </c>
      <c r="G490" s="8" t="s">
        <v>16</v>
      </c>
      <c r="H490" s="10">
        <v>3430.3</v>
      </c>
      <c r="I490" s="10">
        <f t="shared" si="9"/>
        <v>3430.3</v>
      </c>
      <c r="J490" s="10">
        <v>40.21701685875</v>
      </c>
      <c r="K490" s="8" t="s">
        <v>5199</v>
      </c>
      <c r="S490"/>
    </row>
    <row r="491" spans="1:19" ht="15" x14ac:dyDescent="0.25">
      <c r="A491" s="8" t="s">
        <v>5073</v>
      </c>
      <c r="B491" s="8" t="s">
        <v>5070</v>
      </c>
      <c r="C491" s="8" t="s">
        <v>5367</v>
      </c>
      <c r="D491" s="32" t="s">
        <v>6984</v>
      </c>
      <c r="E491" s="32" t="s">
        <v>5367</v>
      </c>
      <c r="F491" s="10">
        <v>1</v>
      </c>
      <c r="G491" s="8" t="s">
        <v>16</v>
      </c>
      <c r="H491" s="10">
        <v>2373.4</v>
      </c>
      <c r="I491" s="10">
        <f t="shared" si="9"/>
        <v>2373.4</v>
      </c>
      <c r="J491" s="10">
        <v>37.046066447000001</v>
      </c>
      <c r="K491" s="8" t="s">
        <v>4865</v>
      </c>
      <c r="S491"/>
    </row>
    <row r="492" spans="1:19" ht="15" x14ac:dyDescent="0.25">
      <c r="A492" s="8" t="s">
        <v>5073</v>
      </c>
      <c r="B492" s="8" t="s">
        <v>5070</v>
      </c>
      <c r="C492" s="8" t="s">
        <v>5368</v>
      </c>
      <c r="D492" s="32" t="s">
        <v>6984</v>
      </c>
      <c r="E492" s="32" t="s">
        <v>5368</v>
      </c>
      <c r="F492" s="10">
        <v>1</v>
      </c>
      <c r="G492" s="8" t="s">
        <v>16</v>
      </c>
      <c r="H492" s="10">
        <v>2367.1999999999998</v>
      </c>
      <c r="I492" s="10">
        <f t="shared" si="9"/>
        <v>2367.1999999999998</v>
      </c>
      <c r="J492" s="10">
        <v>36.957467016999999</v>
      </c>
      <c r="K492" s="8" t="s">
        <v>4865</v>
      </c>
      <c r="S492"/>
    </row>
    <row r="493" spans="1:19" ht="15" x14ac:dyDescent="0.25">
      <c r="A493" s="8" t="s">
        <v>5073</v>
      </c>
      <c r="B493" s="8" t="s">
        <v>5070</v>
      </c>
      <c r="C493" s="8" t="s">
        <v>5369</v>
      </c>
      <c r="D493" s="32" t="s">
        <v>6984</v>
      </c>
      <c r="E493" s="32" t="s">
        <v>5369</v>
      </c>
      <c r="F493" s="10">
        <v>1</v>
      </c>
      <c r="G493" s="8" t="s">
        <v>16</v>
      </c>
      <c r="H493" s="10">
        <v>210.6</v>
      </c>
      <c r="I493" s="10">
        <f t="shared" si="9"/>
        <v>210.6</v>
      </c>
      <c r="J493" s="10">
        <v>5.4011569749000001</v>
      </c>
      <c r="K493" s="8" t="s">
        <v>5209</v>
      </c>
      <c r="S493"/>
    </row>
    <row r="494" spans="1:19" ht="15" x14ac:dyDescent="0.25">
      <c r="A494" s="8" t="s">
        <v>5069</v>
      </c>
      <c r="B494" s="8" t="s">
        <v>5070</v>
      </c>
      <c r="C494" s="8" t="s">
        <v>5370</v>
      </c>
      <c r="D494" s="32" t="s">
        <v>6984</v>
      </c>
      <c r="E494" s="32" t="s">
        <v>5370</v>
      </c>
      <c r="F494" s="10">
        <v>1</v>
      </c>
      <c r="G494" s="8" t="s">
        <v>16</v>
      </c>
      <c r="H494" s="10">
        <v>210.2</v>
      </c>
      <c r="I494" s="10">
        <f t="shared" si="9"/>
        <v>210.2</v>
      </c>
      <c r="J494" s="10">
        <v>5.4136499649000003</v>
      </c>
      <c r="K494" s="8" t="s">
        <v>5209</v>
      </c>
      <c r="S494"/>
    </row>
    <row r="495" spans="1:19" ht="15" x14ac:dyDescent="0.25">
      <c r="A495" s="8" t="s">
        <v>5073</v>
      </c>
      <c r="B495" s="8" t="s">
        <v>5070</v>
      </c>
      <c r="C495" s="8" t="s">
        <v>5371</v>
      </c>
      <c r="D495" s="32" t="s">
        <v>6984</v>
      </c>
      <c r="E495" s="32" t="s">
        <v>5371</v>
      </c>
      <c r="F495" s="10">
        <v>2</v>
      </c>
      <c r="G495" s="8" t="s">
        <v>16</v>
      </c>
      <c r="H495" s="10">
        <v>201.25</v>
      </c>
      <c r="I495" s="10">
        <f t="shared" si="9"/>
        <v>402.5</v>
      </c>
      <c r="J495" s="10">
        <v>7.7458028032000001</v>
      </c>
      <c r="K495" s="8" t="s">
        <v>4850</v>
      </c>
      <c r="S495"/>
    </row>
    <row r="496" spans="1:19" ht="15" x14ac:dyDescent="0.25">
      <c r="A496" s="8" t="s">
        <v>5073</v>
      </c>
      <c r="B496" s="8" t="s">
        <v>5070</v>
      </c>
      <c r="C496" s="8" t="s">
        <v>5372</v>
      </c>
      <c r="D496" s="32" t="s">
        <v>6984</v>
      </c>
      <c r="E496" s="32" t="s">
        <v>5372</v>
      </c>
      <c r="F496" s="10">
        <v>2</v>
      </c>
      <c r="G496" s="8" t="s">
        <v>16</v>
      </c>
      <c r="H496" s="10">
        <v>201.25</v>
      </c>
      <c r="I496" s="10">
        <f t="shared" si="9"/>
        <v>402.5</v>
      </c>
      <c r="J496" s="10">
        <v>7.7458028032000001</v>
      </c>
      <c r="K496" s="8" t="s">
        <v>4850</v>
      </c>
      <c r="S496"/>
    </row>
    <row r="497" spans="1:19" ht="15" x14ac:dyDescent="0.25">
      <c r="A497" s="8" t="s">
        <v>5069</v>
      </c>
      <c r="B497" s="8" t="s">
        <v>5070</v>
      </c>
      <c r="C497" s="8" t="s">
        <v>5373</v>
      </c>
      <c r="D497" s="32" t="s">
        <v>6984</v>
      </c>
      <c r="E497" s="32" t="s">
        <v>5373</v>
      </c>
      <c r="F497" s="10">
        <v>5</v>
      </c>
      <c r="G497" s="8" t="s">
        <v>16</v>
      </c>
      <c r="H497" s="10">
        <v>165.18</v>
      </c>
      <c r="I497" s="10">
        <f t="shared" si="9"/>
        <v>825.90000000000009</v>
      </c>
      <c r="J497" s="10">
        <v>23.036731499999998</v>
      </c>
      <c r="K497" s="8" t="s">
        <v>5209</v>
      </c>
      <c r="S497"/>
    </row>
    <row r="498" spans="1:19" ht="15" x14ac:dyDescent="0.25">
      <c r="A498" s="8" t="s">
        <v>5073</v>
      </c>
      <c r="B498" s="8" t="s">
        <v>5070</v>
      </c>
      <c r="C498" s="8" t="s">
        <v>5374</v>
      </c>
      <c r="D498" s="32" t="s">
        <v>6984</v>
      </c>
      <c r="E498" s="32" t="s">
        <v>5374</v>
      </c>
      <c r="F498" s="10">
        <v>1</v>
      </c>
      <c r="G498" s="8" t="s">
        <v>16</v>
      </c>
      <c r="H498" s="10">
        <v>208.9</v>
      </c>
      <c r="I498" s="10">
        <f t="shared" si="9"/>
        <v>208.9</v>
      </c>
      <c r="J498" s="10">
        <v>4.1206721024000004</v>
      </c>
      <c r="K498" s="8" t="s">
        <v>4850</v>
      </c>
      <c r="S498"/>
    </row>
    <row r="499" spans="1:19" ht="15" x14ac:dyDescent="0.25">
      <c r="A499" s="8" t="s">
        <v>5069</v>
      </c>
      <c r="B499" s="8" t="s">
        <v>5070</v>
      </c>
      <c r="C499" s="8" t="s">
        <v>5375</v>
      </c>
      <c r="D499" s="32" t="s">
        <v>6984</v>
      </c>
      <c r="E499" s="32" t="s">
        <v>5375</v>
      </c>
      <c r="F499" s="10">
        <v>3</v>
      </c>
      <c r="G499" s="8" t="s">
        <v>16</v>
      </c>
      <c r="H499" s="10">
        <v>215.63333333333333</v>
      </c>
      <c r="I499" s="10">
        <f t="shared" si="9"/>
        <v>646.9</v>
      </c>
      <c r="J499" s="10">
        <v>16.817930008200001</v>
      </c>
      <c r="K499" s="8" t="s">
        <v>5209</v>
      </c>
      <c r="S499"/>
    </row>
    <row r="500" spans="1:19" ht="15" x14ac:dyDescent="0.25">
      <c r="A500" s="8" t="s">
        <v>5069</v>
      </c>
      <c r="B500" s="8" t="s">
        <v>5070</v>
      </c>
      <c r="C500" s="8" t="s">
        <v>5376</v>
      </c>
      <c r="D500" s="32" t="s">
        <v>6984</v>
      </c>
      <c r="E500" s="32" t="s">
        <v>5376</v>
      </c>
      <c r="F500" s="10">
        <v>1</v>
      </c>
      <c r="G500" s="8" t="s">
        <v>16</v>
      </c>
      <c r="H500" s="10">
        <v>184.4</v>
      </c>
      <c r="I500" s="10">
        <f t="shared" si="9"/>
        <v>184.4</v>
      </c>
      <c r="J500" s="10">
        <v>3.6215456896</v>
      </c>
      <c r="K500" s="8" t="s">
        <v>4850</v>
      </c>
      <c r="S500"/>
    </row>
    <row r="501" spans="1:19" ht="15" x14ac:dyDescent="0.25">
      <c r="A501" s="8" t="s">
        <v>5073</v>
      </c>
      <c r="B501" s="8" t="s">
        <v>5070</v>
      </c>
      <c r="C501" s="8" t="s">
        <v>5377</v>
      </c>
      <c r="D501" s="32" t="s">
        <v>6984</v>
      </c>
      <c r="E501" s="32" t="s">
        <v>5377</v>
      </c>
      <c r="F501" s="10">
        <v>1</v>
      </c>
      <c r="G501" s="8" t="s">
        <v>16</v>
      </c>
      <c r="H501" s="10">
        <v>397</v>
      </c>
      <c r="I501" s="10">
        <f t="shared" si="9"/>
        <v>397</v>
      </c>
      <c r="J501" s="10">
        <v>11.147580120000001</v>
      </c>
      <c r="K501" s="8" t="s">
        <v>4852</v>
      </c>
      <c r="S501"/>
    </row>
    <row r="502" spans="1:19" ht="15" x14ac:dyDescent="0.25">
      <c r="A502" s="8" t="s">
        <v>5073</v>
      </c>
      <c r="B502" s="8" t="s">
        <v>5070</v>
      </c>
      <c r="C502" s="8" t="s">
        <v>5378</v>
      </c>
      <c r="D502" s="32" t="s">
        <v>6984</v>
      </c>
      <c r="E502" s="32" t="s">
        <v>5378</v>
      </c>
      <c r="F502" s="10">
        <v>1</v>
      </c>
      <c r="G502" s="8" t="s">
        <v>16</v>
      </c>
      <c r="H502" s="10">
        <v>1584</v>
      </c>
      <c r="I502" s="10">
        <f t="shared" si="9"/>
        <v>1584</v>
      </c>
      <c r="J502" s="10">
        <v>21.106246625499999</v>
      </c>
      <c r="K502" s="8" t="s">
        <v>5203</v>
      </c>
      <c r="S502"/>
    </row>
    <row r="503" spans="1:19" ht="15" x14ac:dyDescent="0.25">
      <c r="A503" s="8" t="s">
        <v>5073</v>
      </c>
      <c r="B503" s="8" t="s">
        <v>5070</v>
      </c>
      <c r="C503" s="8" t="s">
        <v>5379</v>
      </c>
      <c r="D503" s="32" t="s">
        <v>6984</v>
      </c>
      <c r="E503" s="32" t="s">
        <v>5379</v>
      </c>
      <c r="F503" s="10">
        <v>1</v>
      </c>
      <c r="G503" s="8" t="s">
        <v>16</v>
      </c>
      <c r="H503" s="10">
        <v>1840.2</v>
      </c>
      <c r="I503" s="10">
        <f t="shared" si="9"/>
        <v>1840.2</v>
      </c>
      <c r="J503" s="10">
        <v>23.539189540999999</v>
      </c>
      <c r="K503" s="8" t="s">
        <v>5203</v>
      </c>
      <c r="S503"/>
    </row>
    <row r="504" spans="1:19" ht="15" x14ac:dyDescent="0.25">
      <c r="A504" s="8" t="s">
        <v>5069</v>
      </c>
      <c r="B504" s="8" t="s">
        <v>5070</v>
      </c>
      <c r="C504" s="8" t="s">
        <v>5380</v>
      </c>
      <c r="D504" s="32" t="s">
        <v>6984</v>
      </c>
      <c r="E504" s="32" t="s">
        <v>5380</v>
      </c>
      <c r="F504" s="10">
        <v>1</v>
      </c>
      <c r="G504" s="8" t="s">
        <v>16</v>
      </c>
      <c r="H504" s="10">
        <v>710.7</v>
      </c>
      <c r="I504" s="10">
        <f t="shared" si="9"/>
        <v>710.7</v>
      </c>
      <c r="J504" s="10">
        <v>16.107334092799999</v>
      </c>
      <c r="K504" s="8" t="s">
        <v>5324</v>
      </c>
      <c r="S504"/>
    </row>
    <row r="505" spans="1:19" ht="15" x14ac:dyDescent="0.25">
      <c r="A505" s="8" t="s">
        <v>5073</v>
      </c>
      <c r="B505" s="8" t="s">
        <v>5070</v>
      </c>
      <c r="C505" s="8" t="s">
        <v>5381</v>
      </c>
      <c r="D505" s="32" t="s">
        <v>6984</v>
      </c>
      <c r="E505" s="32" t="s">
        <v>5381</v>
      </c>
      <c r="F505" s="10">
        <v>1</v>
      </c>
      <c r="G505" s="8" t="s">
        <v>16</v>
      </c>
      <c r="H505" s="10">
        <v>405.3</v>
      </c>
      <c r="I505" s="10">
        <f t="shared" si="9"/>
        <v>405.3</v>
      </c>
      <c r="J505" s="10">
        <v>11.402272051200001</v>
      </c>
      <c r="K505" s="8" t="s">
        <v>4852</v>
      </c>
      <c r="S505"/>
    </row>
    <row r="506" spans="1:19" ht="15" x14ac:dyDescent="0.25">
      <c r="A506" s="8" t="s">
        <v>5073</v>
      </c>
      <c r="B506" s="8" t="s">
        <v>5070</v>
      </c>
      <c r="C506" s="8" t="s">
        <v>5382</v>
      </c>
      <c r="D506" s="32" t="s">
        <v>6984</v>
      </c>
      <c r="E506" s="32" t="s">
        <v>5382</v>
      </c>
      <c r="F506" s="10">
        <v>1</v>
      </c>
      <c r="G506" s="8" t="s">
        <v>16</v>
      </c>
      <c r="H506" s="10">
        <v>2194</v>
      </c>
      <c r="I506" s="10">
        <f t="shared" si="9"/>
        <v>2194</v>
      </c>
      <c r="J506" s="10">
        <v>32.680868992000001</v>
      </c>
      <c r="K506" s="8" t="s">
        <v>5383</v>
      </c>
      <c r="S506"/>
    </row>
    <row r="507" spans="1:19" ht="15" x14ac:dyDescent="0.25">
      <c r="A507" s="8" t="s">
        <v>5069</v>
      </c>
      <c r="B507" s="8" t="s">
        <v>5070</v>
      </c>
      <c r="C507" s="8" t="s">
        <v>5384</v>
      </c>
      <c r="D507" s="32" t="s">
        <v>6984</v>
      </c>
      <c r="E507" s="32" t="s">
        <v>5385</v>
      </c>
      <c r="F507" s="10">
        <v>1</v>
      </c>
      <c r="G507" s="8" t="s">
        <v>16</v>
      </c>
      <c r="H507" s="10">
        <v>2358.1999999999998</v>
      </c>
      <c r="I507" s="10">
        <f t="shared" si="9"/>
        <v>2358.1999999999998</v>
      </c>
      <c r="J507" s="10">
        <v>36.819411070000001</v>
      </c>
      <c r="K507" s="8" t="s">
        <v>4865</v>
      </c>
      <c r="S507"/>
    </row>
    <row r="508" spans="1:19" ht="15" x14ac:dyDescent="0.25">
      <c r="A508" s="8" t="s">
        <v>5069</v>
      </c>
      <c r="B508" s="8" t="s">
        <v>5070</v>
      </c>
      <c r="C508" s="8" t="s">
        <v>5386</v>
      </c>
      <c r="D508" s="32" t="s">
        <v>6984</v>
      </c>
      <c r="E508" s="32" t="s">
        <v>5387</v>
      </c>
      <c r="F508" s="10">
        <v>1</v>
      </c>
      <c r="G508" s="8" t="s">
        <v>16</v>
      </c>
      <c r="H508" s="10">
        <v>2400.8000000000002</v>
      </c>
      <c r="I508" s="10">
        <f t="shared" si="9"/>
        <v>2400.8000000000002</v>
      </c>
      <c r="J508" s="10">
        <v>37.821166255000001</v>
      </c>
      <c r="K508" s="8" t="s">
        <v>4865</v>
      </c>
      <c r="S508"/>
    </row>
    <row r="509" spans="1:19" ht="15" x14ac:dyDescent="0.25">
      <c r="A509" s="8" t="s">
        <v>5069</v>
      </c>
      <c r="B509" s="8" t="s">
        <v>5070</v>
      </c>
      <c r="C509" s="8" t="s">
        <v>5388</v>
      </c>
      <c r="D509" s="32" t="s">
        <v>6984</v>
      </c>
      <c r="E509" s="32" t="s">
        <v>5389</v>
      </c>
      <c r="F509" s="10">
        <v>1</v>
      </c>
      <c r="G509" s="8" t="s">
        <v>16</v>
      </c>
      <c r="H509" s="10">
        <v>2425.3000000000002</v>
      </c>
      <c r="I509" s="10">
        <f t="shared" si="9"/>
        <v>2425.3000000000002</v>
      </c>
      <c r="J509" s="10">
        <v>38.628994116999998</v>
      </c>
      <c r="K509" s="8" t="s">
        <v>4865</v>
      </c>
      <c r="S509"/>
    </row>
    <row r="510" spans="1:19" ht="15" x14ac:dyDescent="0.25">
      <c r="A510" s="8" t="s">
        <v>5069</v>
      </c>
      <c r="B510" s="8" t="s">
        <v>5070</v>
      </c>
      <c r="C510" s="8" t="s">
        <v>5390</v>
      </c>
      <c r="D510" s="32" t="s">
        <v>6984</v>
      </c>
      <c r="E510" s="32" t="s">
        <v>5391</v>
      </c>
      <c r="F510" s="10">
        <v>1</v>
      </c>
      <c r="G510" s="8" t="s">
        <v>16</v>
      </c>
      <c r="H510" s="10">
        <v>2504.1999999999998</v>
      </c>
      <c r="I510" s="10">
        <f t="shared" si="9"/>
        <v>2504.1999999999998</v>
      </c>
      <c r="J510" s="10">
        <v>40.862479351959998</v>
      </c>
      <c r="K510" s="8" t="s">
        <v>4865</v>
      </c>
      <c r="S510"/>
    </row>
    <row r="511" spans="1:19" ht="15" x14ac:dyDescent="0.25">
      <c r="A511" s="8" t="s">
        <v>5073</v>
      </c>
      <c r="B511" s="8" t="s">
        <v>5070</v>
      </c>
      <c r="C511" s="8" t="s">
        <v>5392</v>
      </c>
      <c r="D511" s="32" t="s">
        <v>6984</v>
      </c>
      <c r="E511" s="32" t="s">
        <v>5393</v>
      </c>
      <c r="F511" s="10">
        <v>1</v>
      </c>
      <c r="G511" s="8" t="s">
        <v>16</v>
      </c>
      <c r="H511" s="10">
        <v>66.099999999999994</v>
      </c>
      <c r="I511" s="10">
        <f t="shared" si="9"/>
        <v>66.099999999999994</v>
      </c>
      <c r="J511" s="10">
        <v>2.2791494213600001</v>
      </c>
      <c r="K511" s="8" t="s">
        <v>5040</v>
      </c>
      <c r="S511"/>
    </row>
    <row r="512" spans="1:19" ht="15" x14ac:dyDescent="0.25">
      <c r="A512" s="8" t="s">
        <v>5073</v>
      </c>
      <c r="B512" s="8" t="s">
        <v>5070</v>
      </c>
      <c r="C512" s="8" t="s">
        <v>5394</v>
      </c>
      <c r="D512" s="32" t="s">
        <v>6984</v>
      </c>
      <c r="E512" s="32" t="s">
        <v>5395</v>
      </c>
      <c r="F512" s="10">
        <v>1</v>
      </c>
      <c r="G512" s="8" t="s">
        <v>16</v>
      </c>
      <c r="H512" s="10">
        <v>131.69999999999999</v>
      </c>
      <c r="I512" s="10">
        <f t="shared" si="9"/>
        <v>131.69999999999999</v>
      </c>
      <c r="J512" s="10">
        <v>4.2644853920000001</v>
      </c>
      <c r="K512" s="8" t="s">
        <v>4781</v>
      </c>
      <c r="S512"/>
    </row>
    <row r="513" spans="1:19" ht="15" x14ac:dyDescent="0.25">
      <c r="A513" s="8" t="s">
        <v>5073</v>
      </c>
      <c r="B513" s="8" t="s">
        <v>5070</v>
      </c>
      <c r="C513" s="8" t="s">
        <v>5396</v>
      </c>
      <c r="D513" s="32" t="s">
        <v>6984</v>
      </c>
      <c r="E513" s="32" t="s">
        <v>5397</v>
      </c>
      <c r="F513" s="10">
        <v>1</v>
      </c>
      <c r="G513" s="8" t="s">
        <v>16</v>
      </c>
      <c r="H513" s="10">
        <v>264.39999999999998</v>
      </c>
      <c r="I513" s="10">
        <f t="shared" si="9"/>
        <v>264.39999999999998</v>
      </c>
      <c r="J513" s="10">
        <v>8.51846378704</v>
      </c>
      <c r="K513" s="8" t="s">
        <v>4781</v>
      </c>
      <c r="S513"/>
    </row>
    <row r="514" spans="1:19" ht="15" x14ac:dyDescent="0.25">
      <c r="A514" s="8" t="s">
        <v>5073</v>
      </c>
      <c r="B514" s="8" t="s">
        <v>5070</v>
      </c>
      <c r="C514" s="8" t="s">
        <v>5398</v>
      </c>
      <c r="D514" s="32" t="s">
        <v>6984</v>
      </c>
      <c r="E514" s="32" t="s">
        <v>5399</v>
      </c>
      <c r="F514" s="10">
        <v>1</v>
      </c>
      <c r="G514" s="8" t="s">
        <v>16</v>
      </c>
      <c r="H514" s="10">
        <v>76.599999999999994</v>
      </c>
      <c r="I514" s="10">
        <f t="shared" si="9"/>
        <v>76.599999999999994</v>
      </c>
      <c r="J514" s="10">
        <v>2.5350237600000001</v>
      </c>
      <c r="K514" s="8" t="s">
        <v>4781</v>
      </c>
      <c r="S514"/>
    </row>
    <row r="515" spans="1:19" ht="15" x14ac:dyDescent="0.25">
      <c r="A515" s="8" t="s">
        <v>5069</v>
      </c>
      <c r="B515" s="8" t="s">
        <v>5070</v>
      </c>
      <c r="C515" s="8" t="s">
        <v>5400</v>
      </c>
      <c r="D515" s="32" t="s">
        <v>6984</v>
      </c>
      <c r="E515" s="32" t="s">
        <v>5401</v>
      </c>
      <c r="F515" s="10">
        <v>1</v>
      </c>
      <c r="G515" s="8" t="s">
        <v>16</v>
      </c>
      <c r="H515" s="10">
        <v>264.60000000000002</v>
      </c>
      <c r="I515" s="10">
        <f t="shared" si="9"/>
        <v>264.60000000000002</v>
      </c>
      <c r="J515" s="10">
        <v>8.5243103787599992</v>
      </c>
      <c r="K515" s="8" t="s">
        <v>4781</v>
      </c>
      <c r="S515"/>
    </row>
    <row r="516" spans="1:19" ht="15" x14ac:dyDescent="0.25">
      <c r="A516" s="8" t="s">
        <v>5069</v>
      </c>
      <c r="B516" s="8" t="s">
        <v>5070</v>
      </c>
      <c r="C516" s="8" t="s">
        <v>5402</v>
      </c>
      <c r="D516" s="32" t="s">
        <v>6984</v>
      </c>
      <c r="E516" s="32" t="s">
        <v>5403</v>
      </c>
      <c r="F516" s="10">
        <v>1</v>
      </c>
      <c r="G516" s="8" t="s">
        <v>16</v>
      </c>
      <c r="H516" s="10">
        <v>264.39999999999998</v>
      </c>
      <c r="I516" s="10">
        <f t="shared" si="9"/>
        <v>264.39999999999998</v>
      </c>
      <c r="J516" s="10">
        <v>8.51828761204</v>
      </c>
      <c r="K516" s="8" t="s">
        <v>4781</v>
      </c>
      <c r="S516"/>
    </row>
    <row r="517" spans="1:19" ht="15" x14ac:dyDescent="0.25">
      <c r="A517" s="8" t="s">
        <v>5073</v>
      </c>
      <c r="B517" s="8" t="s">
        <v>5070</v>
      </c>
      <c r="C517" s="8" t="s">
        <v>5404</v>
      </c>
      <c r="D517" s="32" t="s">
        <v>6984</v>
      </c>
      <c r="E517" s="32" t="s">
        <v>5405</v>
      </c>
      <c r="F517" s="10">
        <v>1</v>
      </c>
      <c r="G517" s="8" t="s">
        <v>16</v>
      </c>
      <c r="H517" s="10">
        <v>69.7</v>
      </c>
      <c r="I517" s="10">
        <f t="shared" ref="I517:I580" si="10">F517*H517</f>
        <v>69.7</v>
      </c>
      <c r="J517" s="10">
        <v>2.3825099999999999</v>
      </c>
      <c r="K517" s="8" t="s">
        <v>5040</v>
      </c>
      <c r="S517"/>
    </row>
    <row r="518" spans="1:19" ht="15" x14ac:dyDescent="0.25">
      <c r="A518" s="8" t="s">
        <v>5073</v>
      </c>
      <c r="B518" s="8" t="s">
        <v>5070</v>
      </c>
      <c r="C518" s="8" t="s">
        <v>5406</v>
      </c>
      <c r="D518" s="32" t="s">
        <v>6984</v>
      </c>
      <c r="E518" s="32" t="s">
        <v>5407</v>
      </c>
      <c r="F518" s="10">
        <v>2</v>
      </c>
      <c r="G518" s="8" t="s">
        <v>16</v>
      </c>
      <c r="H518" s="10">
        <v>225.8</v>
      </c>
      <c r="I518" s="10">
        <f t="shared" si="10"/>
        <v>451.6</v>
      </c>
      <c r="J518" s="10">
        <v>14.547244656</v>
      </c>
      <c r="K518" s="8" t="s">
        <v>4781</v>
      </c>
      <c r="S518"/>
    </row>
    <row r="519" spans="1:19" ht="15" x14ac:dyDescent="0.25">
      <c r="A519" s="8" t="s">
        <v>5073</v>
      </c>
      <c r="B519" s="8" t="s">
        <v>5070</v>
      </c>
      <c r="C519" s="8" t="s">
        <v>5408</v>
      </c>
      <c r="D519" s="32" t="s">
        <v>6984</v>
      </c>
      <c r="E519" s="32" t="s">
        <v>5409</v>
      </c>
      <c r="F519" s="10">
        <v>1</v>
      </c>
      <c r="G519" s="8" t="s">
        <v>16</v>
      </c>
      <c r="H519" s="10">
        <v>165.9</v>
      </c>
      <c r="I519" s="10">
        <f t="shared" si="10"/>
        <v>165.9</v>
      </c>
      <c r="J519" s="10">
        <v>5.47758162434</v>
      </c>
      <c r="K519" s="8" t="s">
        <v>5116</v>
      </c>
      <c r="S519"/>
    </row>
    <row r="520" spans="1:19" ht="15" x14ac:dyDescent="0.25">
      <c r="A520" s="8" t="s">
        <v>5073</v>
      </c>
      <c r="B520" s="8" t="s">
        <v>5070</v>
      </c>
      <c r="C520" s="8" t="s">
        <v>5410</v>
      </c>
      <c r="D520" s="32" t="s">
        <v>6984</v>
      </c>
      <c r="E520" s="32" t="s">
        <v>5411</v>
      </c>
      <c r="F520" s="10">
        <v>1</v>
      </c>
      <c r="G520" s="8" t="s">
        <v>16</v>
      </c>
      <c r="H520" s="10">
        <v>264.39999999999998</v>
      </c>
      <c r="I520" s="10">
        <f t="shared" si="10"/>
        <v>264.39999999999998</v>
      </c>
      <c r="J520" s="10">
        <v>8.5177606530399999</v>
      </c>
      <c r="K520" s="8" t="s">
        <v>4781</v>
      </c>
      <c r="S520"/>
    </row>
    <row r="521" spans="1:19" ht="15" x14ac:dyDescent="0.25">
      <c r="A521" s="8" t="s">
        <v>5069</v>
      </c>
      <c r="B521" s="8" t="s">
        <v>5070</v>
      </c>
      <c r="C521" s="8" t="s">
        <v>5412</v>
      </c>
      <c r="D521" s="32" t="s">
        <v>6984</v>
      </c>
      <c r="E521" s="32" t="s">
        <v>5413</v>
      </c>
      <c r="F521" s="10">
        <v>1</v>
      </c>
      <c r="G521" s="8" t="s">
        <v>16</v>
      </c>
      <c r="H521" s="10">
        <v>169.9</v>
      </c>
      <c r="I521" s="10">
        <f t="shared" si="10"/>
        <v>169.9</v>
      </c>
      <c r="J521" s="10">
        <v>5.6071657993199997</v>
      </c>
      <c r="K521" s="8" t="s">
        <v>5116</v>
      </c>
      <c r="S521"/>
    </row>
    <row r="522" spans="1:19" ht="15" x14ac:dyDescent="0.25">
      <c r="A522" s="8" t="s">
        <v>5069</v>
      </c>
      <c r="B522" s="8" t="s">
        <v>5070</v>
      </c>
      <c r="C522" s="8" t="s">
        <v>5414</v>
      </c>
      <c r="D522" s="32" t="s">
        <v>6984</v>
      </c>
      <c r="E522" s="32" t="s">
        <v>5415</v>
      </c>
      <c r="F522" s="10">
        <v>1</v>
      </c>
      <c r="G522" s="8" t="s">
        <v>16</v>
      </c>
      <c r="H522" s="10">
        <v>225.8</v>
      </c>
      <c r="I522" s="10">
        <f t="shared" si="10"/>
        <v>225.8</v>
      </c>
      <c r="J522" s="10">
        <v>7.2742194118999999</v>
      </c>
      <c r="K522" s="8" t="s">
        <v>4781</v>
      </c>
      <c r="S522"/>
    </row>
    <row r="523" spans="1:19" ht="15" x14ac:dyDescent="0.25">
      <c r="A523" s="8" t="s">
        <v>5069</v>
      </c>
      <c r="B523" s="8" t="s">
        <v>5070</v>
      </c>
      <c r="C523" s="8" t="s">
        <v>5416</v>
      </c>
      <c r="D523" s="32" t="s">
        <v>6984</v>
      </c>
      <c r="E523" s="32" t="s">
        <v>5417</v>
      </c>
      <c r="F523" s="10">
        <v>1</v>
      </c>
      <c r="G523" s="8" t="s">
        <v>16</v>
      </c>
      <c r="H523" s="10">
        <v>66.400000000000006</v>
      </c>
      <c r="I523" s="10">
        <f t="shared" si="10"/>
        <v>66.400000000000006</v>
      </c>
      <c r="J523" s="10">
        <v>2.2857664</v>
      </c>
      <c r="K523" s="8" t="s">
        <v>5040</v>
      </c>
      <c r="S523"/>
    </row>
    <row r="524" spans="1:19" ht="15" x14ac:dyDescent="0.25">
      <c r="A524" s="8" t="s">
        <v>5069</v>
      </c>
      <c r="B524" s="8" t="s">
        <v>5070</v>
      </c>
      <c r="C524" s="8" t="s">
        <v>5418</v>
      </c>
      <c r="D524" s="32" t="s">
        <v>6984</v>
      </c>
      <c r="E524" s="32" t="s">
        <v>5419</v>
      </c>
      <c r="F524" s="10">
        <v>1</v>
      </c>
      <c r="G524" s="8" t="s">
        <v>16</v>
      </c>
      <c r="H524" s="10">
        <v>165.8</v>
      </c>
      <c r="I524" s="10">
        <f t="shared" si="10"/>
        <v>165.8</v>
      </c>
      <c r="J524" s="10">
        <v>5.4856461033199997</v>
      </c>
      <c r="K524" s="8" t="s">
        <v>5116</v>
      </c>
      <c r="S524"/>
    </row>
    <row r="525" spans="1:19" ht="15" x14ac:dyDescent="0.25">
      <c r="A525" s="8" t="s">
        <v>5069</v>
      </c>
      <c r="B525" s="8" t="s">
        <v>5070</v>
      </c>
      <c r="C525" s="8" t="s">
        <v>5420</v>
      </c>
      <c r="D525" s="32" t="s">
        <v>6984</v>
      </c>
      <c r="E525" s="32" t="s">
        <v>5421</v>
      </c>
      <c r="F525" s="10">
        <v>1</v>
      </c>
      <c r="G525" s="8" t="s">
        <v>16</v>
      </c>
      <c r="H525" s="10">
        <v>165.9</v>
      </c>
      <c r="I525" s="10">
        <f t="shared" si="10"/>
        <v>165.9</v>
      </c>
      <c r="J525" s="10">
        <v>5.3835101967999996</v>
      </c>
      <c r="K525" s="8" t="s">
        <v>4781</v>
      </c>
      <c r="S525"/>
    </row>
    <row r="526" spans="1:19" ht="15" x14ac:dyDescent="0.25">
      <c r="A526" s="8" t="s">
        <v>5069</v>
      </c>
      <c r="B526" s="8" t="s">
        <v>5070</v>
      </c>
      <c r="C526" s="8" t="s">
        <v>5422</v>
      </c>
      <c r="D526" s="32" t="s">
        <v>6984</v>
      </c>
      <c r="E526" s="32" t="s">
        <v>5423</v>
      </c>
      <c r="F526" s="10">
        <v>1</v>
      </c>
      <c r="G526" s="8" t="s">
        <v>16</v>
      </c>
      <c r="H526" s="10">
        <v>74</v>
      </c>
      <c r="I526" s="10">
        <f t="shared" si="10"/>
        <v>74</v>
      </c>
      <c r="J526" s="10">
        <v>2.3835122904000001</v>
      </c>
      <c r="K526" s="8" t="s">
        <v>4781</v>
      </c>
      <c r="S526"/>
    </row>
    <row r="527" spans="1:19" ht="15" x14ac:dyDescent="0.25">
      <c r="A527" s="8" t="s">
        <v>5073</v>
      </c>
      <c r="B527" s="8" t="s">
        <v>5070</v>
      </c>
      <c r="C527" s="8" t="s">
        <v>5424</v>
      </c>
      <c r="D527" s="32" t="s">
        <v>6984</v>
      </c>
      <c r="E527" s="32" t="s">
        <v>5425</v>
      </c>
      <c r="F527" s="10">
        <v>1</v>
      </c>
      <c r="G527" s="8" t="s">
        <v>16</v>
      </c>
      <c r="H527" s="10">
        <v>160.69999999999999</v>
      </c>
      <c r="I527" s="10">
        <f t="shared" si="10"/>
        <v>160.69999999999999</v>
      </c>
      <c r="J527" s="10">
        <v>5.2185024084</v>
      </c>
      <c r="K527" s="8" t="s">
        <v>4781</v>
      </c>
      <c r="S527"/>
    </row>
    <row r="528" spans="1:19" ht="15" x14ac:dyDescent="0.25">
      <c r="A528" s="8" t="s">
        <v>5069</v>
      </c>
      <c r="B528" s="8" t="s">
        <v>5070</v>
      </c>
      <c r="C528" s="8" t="s">
        <v>5426</v>
      </c>
      <c r="D528" s="32" t="s">
        <v>6984</v>
      </c>
      <c r="E528" s="32" t="s">
        <v>5427</v>
      </c>
      <c r="F528" s="10">
        <v>1</v>
      </c>
      <c r="G528" s="8" t="s">
        <v>16</v>
      </c>
      <c r="H528" s="10">
        <v>139.4</v>
      </c>
      <c r="I528" s="10">
        <f t="shared" si="10"/>
        <v>139.4</v>
      </c>
      <c r="J528" s="10">
        <v>4.5157364498000003</v>
      </c>
      <c r="K528" s="8" t="s">
        <v>4781</v>
      </c>
      <c r="S528"/>
    </row>
    <row r="529" spans="1:19" ht="15" x14ac:dyDescent="0.25">
      <c r="A529" s="8" t="s">
        <v>5069</v>
      </c>
      <c r="B529" s="8" t="s">
        <v>5070</v>
      </c>
      <c r="C529" s="8" t="s">
        <v>5428</v>
      </c>
      <c r="D529" s="32" t="s">
        <v>6984</v>
      </c>
      <c r="E529" s="32" t="s">
        <v>5429</v>
      </c>
      <c r="F529" s="10">
        <v>1</v>
      </c>
      <c r="G529" s="8" t="s">
        <v>16</v>
      </c>
      <c r="H529" s="10">
        <v>68</v>
      </c>
      <c r="I529" s="10">
        <f t="shared" si="10"/>
        <v>68</v>
      </c>
      <c r="J529" s="10">
        <v>2.3262714400000002</v>
      </c>
      <c r="K529" s="8" t="s">
        <v>5040</v>
      </c>
      <c r="S529"/>
    </row>
    <row r="530" spans="1:19" ht="15" x14ac:dyDescent="0.25">
      <c r="A530" s="8" t="s">
        <v>5069</v>
      </c>
      <c r="B530" s="8" t="s">
        <v>5070</v>
      </c>
      <c r="C530" s="8" t="s">
        <v>5430</v>
      </c>
      <c r="D530" s="32" t="s">
        <v>6984</v>
      </c>
      <c r="E530" s="32" t="s">
        <v>5431</v>
      </c>
      <c r="F530" s="10">
        <v>1</v>
      </c>
      <c r="G530" s="8" t="s">
        <v>16</v>
      </c>
      <c r="H530" s="10">
        <v>79.400000000000006</v>
      </c>
      <c r="I530" s="10">
        <f t="shared" si="10"/>
        <v>79.400000000000006</v>
      </c>
      <c r="J530" s="10">
        <v>2.5580675928000001</v>
      </c>
      <c r="K530" s="8" t="s">
        <v>4781</v>
      </c>
      <c r="S530"/>
    </row>
    <row r="531" spans="1:19" ht="15" x14ac:dyDescent="0.25">
      <c r="A531" s="8" t="s">
        <v>5073</v>
      </c>
      <c r="B531" s="8" t="s">
        <v>5070</v>
      </c>
      <c r="C531" s="8" t="s">
        <v>5432</v>
      </c>
      <c r="D531" s="32" t="s">
        <v>6984</v>
      </c>
      <c r="E531" s="32" t="s">
        <v>5433</v>
      </c>
      <c r="F531" s="10">
        <v>1</v>
      </c>
      <c r="G531" s="8" t="s">
        <v>16</v>
      </c>
      <c r="H531" s="10">
        <v>74.8</v>
      </c>
      <c r="I531" s="10">
        <f t="shared" si="10"/>
        <v>74.8</v>
      </c>
      <c r="J531" s="10">
        <v>2.4291045408</v>
      </c>
      <c r="K531" s="8" t="s">
        <v>4781</v>
      </c>
      <c r="S531"/>
    </row>
    <row r="532" spans="1:19" ht="15" x14ac:dyDescent="0.25">
      <c r="A532" s="8" t="s">
        <v>5073</v>
      </c>
      <c r="B532" s="8" t="s">
        <v>5070</v>
      </c>
      <c r="C532" s="8" t="s">
        <v>5434</v>
      </c>
      <c r="D532" s="32" t="s">
        <v>6984</v>
      </c>
      <c r="E532" s="32" t="s">
        <v>5435</v>
      </c>
      <c r="F532" s="10">
        <v>1</v>
      </c>
      <c r="G532" s="8" t="s">
        <v>16</v>
      </c>
      <c r="H532" s="10">
        <v>68</v>
      </c>
      <c r="I532" s="10">
        <f t="shared" si="10"/>
        <v>68</v>
      </c>
      <c r="J532" s="10">
        <v>2.3407263999999999</v>
      </c>
      <c r="K532" s="8" t="s">
        <v>5040</v>
      </c>
      <c r="S532"/>
    </row>
    <row r="533" spans="1:19" ht="15" x14ac:dyDescent="0.25">
      <c r="A533" s="8" t="s">
        <v>5073</v>
      </c>
      <c r="B533" s="8" t="s">
        <v>5070</v>
      </c>
      <c r="C533" s="8" t="s">
        <v>5436</v>
      </c>
      <c r="D533" s="32" t="s">
        <v>6984</v>
      </c>
      <c r="E533" s="32" t="s">
        <v>5437</v>
      </c>
      <c r="F533" s="10">
        <v>1</v>
      </c>
      <c r="G533" s="8" t="s">
        <v>16</v>
      </c>
      <c r="H533" s="10">
        <v>225.8</v>
      </c>
      <c r="I533" s="10">
        <f t="shared" si="10"/>
        <v>225.8</v>
      </c>
      <c r="J533" s="10">
        <v>7.2748693280000003</v>
      </c>
      <c r="K533" s="8" t="s">
        <v>4781</v>
      </c>
      <c r="S533"/>
    </row>
    <row r="534" spans="1:19" ht="15" x14ac:dyDescent="0.25">
      <c r="A534" s="8" t="s">
        <v>5073</v>
      </c>
      <c r="B534" s="8" t="s">
        <v>5070</v>
      </c>
      <c r="C534" s="8" t="s">
        <v>5438</v>
      </c>
      <c r="D534" s="32" t="s">
        <v>6984</v>
      </c>
      <c r="E534" s="32" t="s">
        <v>5439</v>
      </c>
      <c r="F534" s="10">
        <v>1</v>
      </c>
      <c r="G534" s="8" t="s">
        <v>16</v>
      </c>
      <c r="H534" s="10">
        <v>66.099999999999994</v>
      </c>
      <c r="I534" s="10">
        <f t="shared" si="10"/>
        <v>66.099999999999994</v>
      </c>
      <c r="J534" s="10">
        <v>2.2797785417599998</v>
      </c>
      <c r="K534" s="8" t="s">
        <v>5040</v>
      </c>
      <c r="S534"/>
    </row>
    <row r="535" spans="1:19" ht="15" x14ac:dyDescent="0.25">
      <c r="A535" s="8" t="s">
        <v>5073</v>
      </c>
      <c r="B535" s="8" t="s">
        <v>5070</v>
      </c>
      <c r="C535" s="8" t="s">
        <v>5440</v>
      </c>
      <c r="D535" s="32" t="s">
        <v>6984</v>
      </c>
      <c r="E535" s="32" t="s">
        <v>5441</v>
      </c>
      <c r="F535" s="10">
        <v>1</v>
      </c>
      <c r="G535" s="8" t="s">
        <v>16</v>
      </c>
      <c r="H535" s="10">
        <v>75.8</v>
      </c>
      <c r="I535" s="10">
        <f t="shared" si="10"/>
        <v>75.8</v>
      </c>
      <c r="J535" s="10">
        <v>2.5807300300799998</v>
      </c>
      <c r="K535" s="8" t="s">
        <v>5040</v>
      </c>
      <c r="S535"/>
    </row>
    <row r="536" spans="1:19" ht="15" x14ac:dyDescent="0.25">
      <c r="A536" s="8" t="s">
        <v>5073</v>
      </c>
      <c r="B536" s="8" t="s">
        <v>5070</v>
      </c>
      <c r="C536" s="8" t="s">
        <v>5442</v>
      </c>
      <c r="D536" s="32" t="s">
        <v>6984</v>
      </c>
      <c r="E536" s="32" t="s">
        <v>5443</v>
      </c>
      <c r="F536" s="10">
        <v>1</v>
      </c>
      <c r="G536" s="8" t="s">
        <v>16</v>
      </c>
      <c r="H536" s="10">
        <v>77.7</v>
      </c>
      <c r="I536" s="10">
        <f t="shared" si="10"/>
        <v>77.7</v>
      </c>
      <c r="J536" s="10">
        <v>2.65365131136</v>
      </c>
      <c r="K536" s="8" t="s">
        <v>5040</v>
      </c>
      <c r="S536"/>
    </row>
    <row r="537" spans="1:19" ht="15" x14ac:dyDescent="0.25">
      <c r="A537" s="8" t="s">
        <v>5073</v>
      </c>
      <c r="B537" s="8" t="s">
        <v>5070</v>
      </c>
      <c r="C537" s="8" t="s">
        <v>5444</v>
      </c>
      <c r="D537" s="32" t="s">
        <v>6984</v>
      </c>
      <c r="E537" s="32" t="s">
        <v>5445</v>
      </c>
      <c r="F537" s="10">
        <v>1</v>
      </c>
      <c r="G537" s="8" t="s">
        <v>16</v>
      </c>
      <c r="H537" s="10">
        <v>74.8</v>
      </c>
      <c r="I537" s="10">
        <f t="shared" si="10"/>
        <v>74.8</v>
      </c>
      <c r="J537" s="10">
        <v>2.4287911919999998</v>
      </c>
      <c r="K537" s="8" t="s">
        <v>4781</v>
      </c>
      <c r="S537"/>
    </row>
    <row r="538" spans="1:19" ht="15" x14ac:dyDescent="0.25">
      <c r="A538" s="8" t="s">
        <v>5073</v>
      </c>
      <c r="B538" s="8" t="s">
        <v>5070</v>
      </c>
      <c r="C538" s="8" t="s">
        <v>5446</v>
      </c>
      <c r="D538" s="32" t="s">
        <v>6984</v>
      </c>
      <c r="E538" s="32" t="s">
        <v>5447</v>
      </c>
      <c r="F538" s="10">
        <v>2</v>
      </c>
      <c r="G538" s="8" t="s">
        <v>4903</v>
      </c>
      <c r="H538" s="10">
        <v>6.8</v>
      </c>
      <c r="I538" s="10">
        <f t="shared" si="10"/>
        <v>13.6</v>
      </c>
      <c r="J538" s="10">
        <v>0.57607200000000003</v>
      </c>
      <c r="K538" s="8" t="s">
        <v>5335</v>
      </c>
      <c r="S538"/>
    </row>
    <row r="539" spans="1:19" ht="15" x14ac:dyDescent="0.25">
      <c r="A539" s="8" t="s">
        <v>5073</v>
      </c>
      <c r="B539" s="8" t="s">
        <v>5070</v>
      </c>
      <c r="C539" s="8" t="s">
        <v>5448</v>
      </c>
      <c r="D539" s="32" t="s">
        <v>6984</v>
      </c>
      <c r="E539" s="32" t="s">
        <v>5449</v>
      </c>
      <c r="F539" s="10">
        <v>2</v>
      </c>
      <c r="G539" s="8" t="s">
        <v>4903</v>
      </c>
      <c r="H539" s="10">
        <v>5.5</v>
      </c>
      <c r="I539" s="10">
        <f t="shared" si="10"/>
        <v>11</v>
      </c>
      <c r="J539" s="10">
        <v>0.46329599999999999</v>
      </c>
      <c r="K539" s="8" t="s">
        <v>5335</v>
      </c>
      <c r="S539"/>
    </row>
    <row r="540" spans="1:19" ht="15" x14ac:dyDescent="0.25">
      <c r="A540" s="8" t="s">
        <v>5073</v>
      </c>
      <c r="B540" s="8" t="s">
        <v>5070</v>
      </c>
      <c r="C540" s="8" t="s">
        <v>5450</v>
      </c>
      <c r="D540" s="32" t="s">
        <v>6984</v>
      </c>
      <c r="E540" s="32" t="s">
        <v>5451</v>
      </c>
      <c r="F540" s="10">
        <v>2</v>
      </c>
      <c r="G540" s="8" t="s">
        <v>4903</v>
      </c>
      <c r="H540" s="10">
        <v>5.85</v>
      </c>
      <c r="I540" s="10">
        <f t="shared" si="10"/>
        <v>11.7</v>
      </c>
      <c r="J540" s="10">
        <v>0.49580800000000003</v>
      </c>
      <c r="K540" s="8" t="s">
        <v>5335</v>
      </c>
      <c r="S540"/>
    </row>
    <row r="541" spans="1:19" ht="15" x14ac:dyDescent="0.25">
      <c r="A541" s="8" t="s">
        <v>5073</v>
      </c>
      <c r="B541" s="8" t="s">
        <v>5070</v>
      </c>
      <c r="C541" s="8" t="s">
        <v>5452</v>
      </c>
      <c r="D541" s="32" t="s">
        <v>6984</v>
      </c>
      <c r="E541" s="32" t="s">
        <v>5453</v>
      </c>
      <c r="F541" s="10">
        <v>2</v>
      </c>
      <c r="G541" s="8" t="s">
        <v>4903</v>
      </c>
      <c r="H541" s="10">
        <v>4.0999999999999996</v>
      </c>
      <c r="I541" s="10">
        <f t="shared" si="10"/>
        <v>8.1999999999999993</v>
      </c>
      <c r="J541" s="10">
        <v>0.34848800000000002</v>
      </c>
      <c r="K541" s="8" t="s">
        <v>5335</v>
      </c>
      <c r="S541"/>
    </row>
    <row r="542" spans="1:19" ht="15" x14ac:dyDescent="0.25">
      <c r="A542" s="8" t="s">
        <v>5069</v>
      </c>
      <c r="B542" s="8" t="s">
        <v>5070</v>
      </c>
      <c r="C542" s="8" t="s">
        <v>5454</v>
      </c>
      <c r="D542" s="32" t="s">
        <v>6984</v>
      </c>
      <c r="E542" s="32" t="s">
        <v>5455</v>
      </c>
      <c r="F542" s="10">
        <v>2</v>
      </c>
      <c r="G542" s="8" t="s">
        <v>4903</v>
      </c>
      <c r="H542" s="10">
        <v>4.25</v>
      </c>
      <c r="I542" s="10">
        <f t="shared" si="10"/>
        <v>8.5</v>
      </c>
      <c r="J542" s="10">
        <v>0.35814000000000001</v>
      </c>
      <c r="K542" s="8" t="s">
        <v>5335</v>
      </c>
      <c r="S542"/>
    </row>
    <row r="543" spans="1:19" ht="15" x14ac:dyDescent="0.25">
      <c r="A543" s="8" t="s">
        <v>5069</v>
      </c>
      <c r="B543" s="8" t="s">
        <v>5070</v>
      </c>
      <c r="C543" s="8" t="s">
        <v>5456</v>
      </c>
      <c r="D543" s="32" t="s">
        <v>6984</v>
      </c>
      <c r="E543" s="32" t="s">
        <v>5457</v>
      </c>
      <c r="F543" s="10">
        <v>2</v>
      </c>
      <c r="G543" s="8" t="s">
        <v>4903</v>
      </c>
      <c r="H543" s="10">
        <v>6</v>
      </c>
      <c r="I543" s="10">
        <f t="shared" si="10"/>
        <v>12</v>
      </c>
      <c r="J543" s="10">
        <v>0.50698399999999999</v>
      </c>
      <c r="K543" s="8" t="s">
        <v>5335</v>
      </c>
      <c r="S543"/>
    </row>
    <row r="544" spans="1:19" ht="15" x14ac:dyDescent="0.25">
      <c r="A544" s="8" t="s">
        <v>5069</v>
      </c>
      <c r="B544" s="8" t="s">
        <v>5070</v>
      </c>
      <c r="C544" s="8" t="s">
        <v>5458</v>
      </c>
      <c r="D544" s="32" t="s">
        <v>6984</v>
      </c>
      <c r="E544" s="32" t="s">
        <v>5459</v>
      </c>
      <c r="F544" s="10">
        <v>2</v>
      </c>
      <c r="G544" s="8" t="s">
        <v>4903</v>
      </c>
      <c r="H544" s="10">
        <v>5.6</v>
      </c>
      <c r="I544" s="10">
        <f t="shared" si="10"/>
        <v>11.2</v>
      </c>
      <c r="J544" s="10">
        <v>0.47294799999999998</v>
      </c>
      <c r="K544" s="8" t="s">
        <v>5335</v>
      </c>
      <c r="S544"/>
    </row>
    <row r="545" spans="1:19" ht="15" x14ac:dyDescent="0.25">
      <c r="A545" s="8" t="s">
        <v>5069</v>
      </c>
      <c r="B545" s="8" t="s">
        <v>5070</v>
      </c>
      <c r="C545" s="8" t="s">
        <v>5460</v>
      </c>
      <c r="D545" s="32" t="s">
        <v>6984</v>
      </c>
      <c r="E545" s="32" t="s">
        <v>5461</v>
      </c>
      <c r="F545" s="10">
        <v>2</v>
      </c>
      <c r="G545" s="8" t="s">
        <v>4903</v>
      </c>
      <c r="H545" s="10">
        <v>5.85</v>
      </c>
      <c r="I545" s="10">
        <f t="shared" si="10"/>
        <v>11.7</v>
      </c>
      <c r="J545" s="10">
        <v>0.49377599999999999</v>
      </c>
      <c r="K545" s="8" t="s">
        <v>5335</v>
      </c>
      <c r="S545"/>
    </row>
    <row r="546" spans="1:19" ht="15" x14ac:dyDescent="0.25">
      <c r="A546" s="8" t="s">
        <v>5069</v>
      </c>
      <c r="B546" s="8" t="s">
        <v>5070</v>
      </c>
      <c r="C546" s="8" t="s">
        <v>5462</v>
      </c>
      <c r="D546" s="32" t="s">
        <v>6984</v>
      </c>
      <c r="E546" s="32" t="s">
        <v>5463</v>
      </c>
      <c r="F546" s="10">
        <v>2</v>
      </c>
      <c r="G546" s="8" t="s">
        <v>4903</v>
      </c>
      <c r="H546" s="10">
        <v>6.9</v>
      </c>
      <c r="I546" s="10">
        <f t="shared" si="10"/>
        <v>13.8</v>
      </c>
      <c r="J546" s="10">
        <v>0.58470800000000001</v>
      </c>
      <c r="K546" s="8" t="s">
        <v>5335</v>
      </c>
      <c r="S546"/>
    </row>
    <row r="547" spans="1:19" ht="15" x14ac:dyDescent="0.25">
      <c r="A547" s="8" t="s">
        <v>5069</v>
      </c>
      <c r="B547" s="8" t="s">
        <v>5070</v>
      </c>
      <c r="C547" s="8" t="s">
        <v>5464</v>
      </c>
      <c r="D547" s="32" t="s">
        <v>6984</v>
      </c>
      <c r="E547" s="32" t="s">
        <v>5465</v>
      </c>
      <c r="F547" s="10">
        <v>1</v>
      </c>
      <c r="G547" s="8" t="s">
        <v>4903</v>
      </c>
      <c r="H547" s="10">
        <v>5.5</v>
      </c>
      <c r="I547" s="10">
        <f t="shared" si="10"/>
        <v>5.5</v>
      </c>
      <c r="J547" s="10">
        <v>0.31028640000000002</v>
      </c>
      <c r="K547" s="8" t="s">
        <v>5248</v>
      </c>
      <c r="S547"/>
    </row>
    <row r="548" spans="1:19" ht="15" x14ac:dyDescent="0.25">
      <c r="A548" s="8" t="s">
        <v>5073</v>
      </c>
      <c r="B548" s="8" t="s">
        <v>5070</v>
      </c>
      <c r="C548" s="8" t="s">
        <v>5466</v>
      </c>
      <c r="D548" s="32" t="s">
        <v>6984</v>
      </c>
      <c r="E548" s="32" t="s">
        <v>5467</v>
      </c>
      <c r="F548" s="10">
        <v>2</v>
      </c>
      <c r="G548" s="8" t="s">
        <v>4903</v>
      </c>
      <c r="H548" s="10">
        <v>5.75</v>
      </c>
      <c r="I548" s="10">
        <f t="shared" si="10"/>
        <v>11.5</v>
      </c>
      <c r="J548" s="10">
        <v>0.48463200000000001</v>
      </c>
      <c r="K548" s="8" t="s">
        <v>5335</v>
      </c>
      <c r="S548"/>
    </row>
    <row r="549" spans="1:19" ht="15" x14ac:dyDescent="0.25">
      <c r="A549" s="8" t="s">
        <v>5069</v>
      </c>
      <c r="B549" s="8" t="s">
        <v>5070</v>
      </c>
      <c r="C549" s="8" t="s">
        <v>5468</v>
      </c>
      <c r="D549" s="32" t="s">
        <v>6984</v>
      </c>
      <c r="E549" s="32" t="s">
        <v>5469</v>
      </c>
      <c r="F549" s="10">
        <v>1</v>
      </c>
      <c r="G549" s="8" t="s">
        <v>4903</v>
      </c>
      <c r="H549" s="10">
        <v>5.5</v>
      </c>
      <c r="I549" s="10">
        <f t="shared" si="10"/>
        <v>5.5</v>
      </c>
      <c r="J549" s="10">
        <v>0.31028640000000002</v>
      </c>
      <c r="K549" s="8" t="s">
        <v>5248</v>
      </c>
      <c r="S549"/>
    </row>
    <row r="550" spans="1:19" ht="15" x14ac:dyDescent="0.25">
      <c r="A550" s="8" t="s">
        <v>5069</v>
      </c>
      <c r="B550" s="8" t="s">
        <v>5070</v>
      </c>
      <c r="C550" s="8" t="s">
        <v>5470</v>
      </c>
      <c r="D550" s="32" t="s">
        <v>6984</v>
      </c>
      <c r="E550" s="32" t="s">
        <v>5471</v>
      </c>
      <c r="F550" s="10">
        <v>1</v>
      </c>
      <c r="G550" s="8" t="s">
        <v>16</v>
      </c>
      <c r="H550" s="10">
        <v>74.2</v>
      </c>
      <c r="I550" s="10">
        <f t="shared" si="10"/>
        <v>74.2</v>
      </c>
      <c r="J550" s="10">
        <v>2.525830096</v>
      </c>
      <c r="K550" s="8" t="s">
        <v>5040</v>
      </c>
      <c r="S550"/>
    </row>
    <row r="551" spans="1:19" ht="15" x14ac:dyDescent="0.25">
      <c r="A551" s="8" t="s">
        <v>5069</v>
      </c>
      <c r="B551" s="8" t="s">
        <v>5070</v>
      </c>
      <c r="C551" s="8" t="s">
        <v>5472</v>
      </c>
      <c r="D551" s="32" t="s">
        <v>6984</v>
      </c>
      <c r="E551" s="32" t="s">
        <v>5473</v>
      </c>
      <c r="F551" s="10">
        <v>1</v>
      </c>
      <c r="G551" s="8" t="s">
        <v>16</v>
      </c>
      <c r="H551" s="10">
        <v>66.099999999999994</v>
      </c>
      <c r="I551" s="10">
        <f t="shared" si="10"/>
        <v>66.099999999999994</v>
      </c>
      <c r="J551" s="10">
        <v>2.2770811633600001</v>
      </c>
      <c r="K551" s="8" t="s">
        <v>5040</v>
      </c>
      <c r="S551"/>
    </row>
    <row r="552" spans="1:19" ht="15" x14ac:dyDescent="0.25">
      <c r="A552" s="8" t="s">
        <v>5069</v>
      </c>
      <c r="B552" s="8" t="s">
        <v>5070</v>
      </c>
      <c r="C552" s="8" t="s">
        <v>5474</v>
      </c>
      <c r="D552" s="32" t="s">
        <v>6984</v>
      </c>
      <c r="E552" s="32" t="s">
        <v>5475</v>
      </c>
      <c r="F552" s="10">
        <v>1</v>
      </c>
      <c r="G552" s="8" t="s">
        <v>16</v>
      </c>
      <c r="H552" s="10">
        <v>76.2</v>
      </c>
      <c r="I552" s="10">
        <f t="shared" si="10"/>
        <v>76.2</v>
      </c>
      <c r="J552" s="10">
        <v>2.60101315584</v>
      </c>
      <c r="K552" s="8" t="s">
        <v>5040</v>
      </c>
      <c r="S552"/>
    </row>
    <row r="553" spans="1:19" ht="15" x14ac:dyDescent="0.25">
      <c r="A553" s="8" t="s">
        <v>5069</v>
      </c>
      <c r="B553" s="8" t="s">
        <v>5070</v>
      </c>
      <c r="C553" s="8" t="s">
        <v>5476</v>
      </c>
      <c r="D553" s="32" t="s">
        <v>6984</v>
      </c>
      <c r="E553" s="32" t="s">
        <v>5477</v>
      </c>
      <c r="F553" s="10">
        <v>1</v>
      </c>
      <c r="G553" s="8" t="s">
        <v>16</v>
      </c>
      <c r="H553" s="10">
        <v>66.099999999999994</v>
      </c>
      <c r="I553" s="10">
        <f t="shared" si="10"/>
        <v>66.099999999999994</v>
      </c>
      <c r="J553" s="10">
        <v>2.2770811633600001</v>
      </c>
      <c r="K553" s="8" t="s">
        <v>5040</v>
      </c>
      <c r="S553"/>
    </row>
    <row r="554" spans="1:19" ht="15" x14ac:dyDescent="0.25">
      <c r="A554" s="8" t="s">
        <v>5069</v>
      </c>
      <c r="B554" s="8" t="s">
        <v>5070</v>
      </c>
      <c r="C554" s="8" t="s">
        <v>5478</v>
      </c>
      <c r="D554" s="32" t="s">
        <v>6984</v>
      </c>
      <c r="E554" s="32" t="s">
        <v>5479</v>
      </c>
      <c r="F554" s="10">
        <v>1</v>
      </c>
      <c r="G554" s="8" t="s">
        <v>16</v>
      </c>
      <c r="H554" s="10">
        <v>55.8</v>
      </c>
      <c r="I554" s="10">
        <f t="shared" si="10"/>
        <v>55.8</v>
      </c>
      <c r="J554" s="10">
        <v>1.8065018639999999</v>
      </c>
      <c r="K554" s="8" t="s">
        <v>4781</v>
      </c>
      <c r="S554"/>
    </row>
    <row r="555" spans="1:19" ht="15" x14ac:dyDescent="0.25">
      <c r="A555" s="8" t="s">
        <v>5069</v>
      </c>
      <c r="B555" s="8" t="s">
        <v>5070</v>
      </c>
      <c r="C555" s="8" t="s">
        <v>5480</v>
      </c>
      <c r="D555" s="32" t="s">
        <v>6984</v>
      </c>
      <c r="E555" s="32" t="s">
        <v>5481</v>
      </c>
      <c r="F555" s="10">
        <v>1</v>
      </c>
      <c r="G555" s="8" t="s">
        <v>16</v>
      </c>
      <c r="H555" s="10">
        <v>76.099999999999994</v>
      </c>
      <c r="I555" s="10">
        <f t="shared" si="10"/>
        <v>76.099999999999994</v>
      </c>
      <c r="J555" s="10">
        <v>2.456716728</v>
      </c>
      <c r="K555" s="8" t="s">
        <v>4781</v>
      </c>
      <c r="S555"/>
    </row>
    <row r="556" spans="1:19" ht="15" x14ac:dyDescent="0.25">
      <c r="A556" s="8" t="s">
        <v>5073</v>
      </c>
      <c r="B556" s="8" t="s">
        <v>5070</v>
      </c>
      <c r="C556" s="8" t="s">
        <v>5482</v>
      </c>
      <c r="D556" s="32" t="s">
        <v>6984</v>
      </c>
      <c r="E556" s="32" t="s">
        <v>5483</v>
      </c>
      <c r="F556" s="10">
        <v>1</v>
      </c>
      <c r="G556" s="8" t="s">
        <v>16</v>
      </c>
      <c r="H556" s="10">
        <v>24.6</v>
      </c>
      <c r="I556" s="10">
        <f t="shared" si="10"/>
        <v>24.6</v>
      </c>
      <c r="J556" s="10">
        <v>0.83814</v>
      </c>
      <c r="K556" s="8" t="s">
        <v>5040</v>
      </c>
      <c r="S556"/>
    </row>
    <row r="557" spans="1:19" ht="15" x14ac:dyDescent="0.25">
      <c r="A557" s="8" t="s">
        <v>5073</v>
      </c>
      <c r="B557" s="8" t="s">
        <v>5070</v>
      </c>
      <c r="C557" s="8" t="s">
        <v>5484</v>
      </c>
      <c r="D557" s="32" t="s">
        <v>6984</v>
      </c>
      <c r="E557" s="32" t="s">
        <v>5485</v>
      </c>
      <c r="F557" s="10">
        <v>4</v>
      </c>
      <c r="G557" s="8" t="s">
        <v>22</v>
      </c>
      <c r="H557" s="10">
        <v>4.6500000000000004</v>
      </c>
      <c r="I557" s="10">
        <f t="shared" si="10"/>
        <v>18.600000000000001</v>
      </c>
      <c r="J557" s="10">
        <v>0.60309760000000001</v>
      </c>
      <c r="K557" s="8" t="s">
        <v>23</v>
      </c>
      <c r="S557"/>
    </row>
    <row r="558" spans="1:19" ht="15" x14ac:dyDescent="0.25">
      <c r="A558" s="8" t="s">
        <v>5073</v>
      </c>
      <c r="B558" s="8" t="s">
        <v>5070</v>
      </c>
      <c r="C558" s="8" t="s">
        <v>5486</v>
      </c>
      <c r="D558" s="32" t="s">
        <v>6984</v>
      </c>
      <c r="E558" s="32" t="s">
        <v>5487</v>
      </c>
      <c r="F558" s="10">
        <v>4</v>
      </c>
      <c r="G558" s="8" t="s">
        <v>22</v>
      </c>
      <c r="H558" s="10">
        <v>16.475000000000001</v>
      </c>
      <c r="I558" s="10">
        <f t="shared" si="10"/>
        <v>65.900000000000006</v>
      </c>
      <c r="J558" s="10">
        <v>1.0823616</v>
      </c>
      <c r="K558" s="8" t="s">
        <v>5488</v>
      </c>
      <c r="S558"/>
    </row>
    <row r="559" spans="1:19" ht="15" x14ac:dyDescent="0.25">
      <c r="A559" s="8" t="s">
        <v>5073</v>
      </c>
      <c r="B559" s="8" t="s">
        <v>5070</v>
      </c>
      <c r="C559" s="8" t="s">
        <v>5489</v>
      </c>
      <c r="D559" s="32" t="s">
        <v>6984</v>
      </c>
      <c r="E559" s="32" t="s">
        <v>5490</v>
      </c>
      <c r="F559" s="10">
        <v>2</v>
      </c>
      <c r="G559" s="8" t="s">
        <v>22</v>
      </c>
      <c r="H559" s="10">
        <v>39.4</v>
      </c>
      <c r="I559" s="10">
        <f t="shared" si="10"/>
        <v>78.8</v>
      </c>
      <c r="J559" s="10">
        <v>1.2941279999999999</v>
      </c>
      <c r="K559" s="8" t="s">
        <v>5488</v>
      </c>
      <c r="S559"/>
    </row>
    <row r="560" spans="1:19" ht="15" x14ac:dyDescent="0.25">
      <c r="A560" s="8" t="s">
        <v>5073</v>
      </c>
      <c r="B560" s="8" t="s">
        <v>5070</v>
      </c>
      <c r="C560" s="8" t="s">
        <v>5491</v>
      </c>
      <c r="D560" s="32" t="s">
        <v>6984</v>
      </c>
      <c r="E560" s="32" t="s">
        <v>5492</v>
      </c>
      <c r="F560" s="10">
        <v>4</v>
      </c>
      <c r="G560" s="8" t="s">
        <v>22</v>
      </c>
      <c r="H560" s="10">
        <v>10.725</v>
      </c>
      <c r="I560" s="10">
        <f t="shared" si="10"/>
        <v>42.9</v>
      </c>
      <c r="J560" s="10">
        <v>0.89604088000000004</v>
      </c>
      <c r="K560" s="8" t="s">
        <v>4795</v>
      </c>
      <c r="S560"/>
    </row>
    <row r="561" spans="1:19" ht="15" x14ac:dyDescent="0.25">
      <c r="A561" s="8" t="s">
        <v>5073</v>
      </c>
      <c r="B561" s="8" t="s">
        <v>5070</v>
      </c>
      <c r="C561" s="8" t="s">
        <v>5493</v>
      </c>
      <c r="D561" s="32" t="s">
        <v>6984</v>
      </c>
      <c r="E561" s="32" t="s">
        <v>5494</v>
      </c>
      <c r="F561" s="10">
        <v>12</v>
      </c>
      <c r="G561" s="8" t="s">
        <v>22</v>
      </c>
      <c r="H561" s="10">
        <v>2.9333333333333336</v>
      </c>
      <c r="I561" s="10">
        <f t="shared" si="10"/>
        <v>35.200000000000003</v>
      </c>
      <c r="J561" s="10">
        <v>1.439775</v>
      </c>
      <c r="K561" s="8" t="s">
        <v>4798</v>
      </c>
      <c r="S561"/>
    </row>
    <row r="562" spans="1:19" ht="15" x14ac:dyDescent="0.25">
      <c r="A562" s="8" t="s">
        <v>5073</v>
      </c>
      <c r="B562" s="8" t="s">
        <v>5070</v>
      </c>
      <c r="C562" s="8" t="s">
        <v>5495</v>
      </c>
      <c r="D562" s="32" t="s">
        <v>6984</v>
      </c>
      <c r="E562" s="32" t="s">
        <v>5496</v>
      </c>
      <c r="F562" s="10">
        <v>2</v>
      </c>
      <c r="G562" s="8" t="s">
        <v>22</v>
      </c>
      <c r="H562" s="10">
        <v>20.2</v>
      </c>
      <c r="I562" s="10">
        <f t="shared" si="10"/>
        <v>40.4</v>
      </c>
      <c r="J562" s="10">
        <v>1.1041884</v>
      </c>
      <c r="K562" s="8" t="s">
        <v>25</v>
      </c>
      <c r="S562"/>
    </row>
    <row r="563" spans="1:19" ht="15" x14ac:dyDescent="0.25">
      <c r="A563" s="8" t="s">
        <v>5073</v>
      </c>
      <c r="B563" s="8" t="s">
        <v>5070</v>
      </c>
      <c r="C563" s="8" t="s">
        <v>5497</v>
      </c>
      <c r="D563" s="32" t="s">
        <v>6984</v>
      </c>
      <c r="E563" s="32" t="s">
        <v>5498</v>
      </c>
      <c r="F563" s="10">
        <v>4</v>
      </c>
      <c r="G563" s="8" t="s">
        <v>22</v>
      </c>
      <c r="H563" s="10">
        <v>3.1</v>
      </c>
      <c r="I563" s="10">
        <f t="shared" si="10"/>
        <v>12.4</v>
      </c>
      <c r="J563" s="10">
        <v>0.40233600000000003</v>
      </c>
      <c r="K563" s="8" t="s">
        <v>23</v>
      </c>
      <c r="S563"/>
    </row>
    <row r="564" spans="1:19" ht="15" x14ac:dyDescent="0.25">
      <c r="A564" s="8" t="s">
        <v>5073</v>
      </c>
      <c r="B564" s="8" t="s">
        <v>5070</v>
      </c>
      <c r="C564" s="8" t="s">
        <v>5499</v>
      </c>
      <c r="D564" s="32" t="s">
        <v>6984</v>
      </c>
      <c r="E564" s="32" t="s">
        <v>5500</v>
      </c>
      <c r="F564" s="10">
        <v>4</v>
      </c>
      <c r="G564" s="8" t="s">
        <v>22</v>
      </c>
      <c r="H564" s="10">
        <v>6.9749999999999996</v>
      </c>
      <c r="I564" s="10">
        <f t="shared" si="10"/>
        <v>27.9</v>
      </c>
      <c r="J564" s="10">
        <v>0.58346847999999996</v>
      </c>
      <c r="K564" s="8" t="s">
        <v>4795</v>
      </c>
      <c r="S564"/>
    </row>
    <row r="565" spans="1:19" ht="15" x14ac:dyDescent="0.25">
      <c r="A565" s="8" t="s">
        <v>5073</v>
      </c>
      <c r="B565" s="8" t="s">
        <v>5070</v>
      </c>
      <c r="C565" s="8" t="s">
        <v>5501</v>
      </c>
      <c r="D565" s="32" t="s">
        <v>6984</v>
      </c>
      <c r="E565" s="32" t="s">
        <v>5502</v>
      </c>
      <c r="F565" s="10">
        <v>8</v>
      </c>
      <c r="G565" s="8" t="s">
        <v>22</v>
      </c>
      <c r="H565" s="10">
        <v>2.75</v>
      </c>
      <c r="I565" s="10">
        <f t="shared" si="10"/>
        <v>22</v>
      </c>
      <c r="J565" s="10">
        <v>0.459424</v>
      </c>
      <c r="K565" s="8" t="s">
        <v>4795</v>
      </c>
      <c r="S565"/>
    </row>
    <row r="566" spans="1:19" ht="15" x14ac:dyDescent="0.25">
      <c r="A566" s="8" t="s">
        <v>5073</v>
      </c>
      <c r="B566" s="8" t="s">
        <v>5070</v>
      </c>
      <c r="C566" s="8" t="s">
        <v>5503</v>
      </c>
      <c r="D566" s="32" t="s">
        <v>6984</v>
      </c>
      <c r="E566" s="32" t="s">
        <v>5504</v>
      </c>
      <c r="F566" s="10">
        <v>8</v>
      </c>
      <c r="G566" s="8" t="s">
        <v>22</v>
      </c>
      <c r="H566" s="10">
        <v>1.875</v>
      </c>
      <c r="I566" s="10">
        <f t="shared" si="10"/>
        <v>15</v>
      </c>
      <c r="J566" s="10">
        <v>0.61236000000000002</v>
      </c>
      <c r="K566" s="8" t="s">
        <v>4798</v>
      </c>
      <c r="S566"/>
    </row>
    <row r="567" spans="1:19" ht="15" x14ac:dyDescent="0.25">
      <c r="A567" s="8" t="s">
        <v>5073</v>
      </c>
      <c r="B567" s="8" t="s">
        <v>5070</v>
      </c>
      <c r="C567" s="8" t="s">
        <v>5505</v>
      </c>
      <c r="D567" s="32" t="s">
        <v>6984</v>
      </c>
      <c r="E567" s="32" t="s">
        <v>5506</v>
      </c>
      <c r="F567" s="10">
        <v>8</v>
      </c>
      <c r="G567" s="8" t="s">
        <v>22</v>
      </c>
      <c r="H567" s="10">
        <v>4.2249999999999996</v>
      </c>
      <c r="I567" s="10">
        <f t="shared" si="10"/>
        <v>33.799999999999997</v>
      </c>
      <c r="J567" s="10">
        <v>0.70554399999999995</v>
      </c>
      <c r="K567" s="8" t="s">
        <v>4795</v>
      </c>
      <c r="S567"/>
    </row>
    <row r="568" spans="1:19" ht="15" x14ac:dyDescent="0.25">
      <c r="A568" s="8" t="s">
        <v>5073</v>
      </c>
      <c r="B568" s="8" t="s">
        <v>5070</v>
      </c>
      <c r="C568" s="8" t="s">
        <v>5507</v>
      </c>
      <c r="D568" s="32" t="s">
        <v>6984</v>
      </c>
      <c r="E568" s="32" t="s">
        <v>5508</v>
      </c>
      <c r="F568" s="10">
        <v>28</v>
      </c>
      <c r="G568" s="8" t="s">
        <v>22</v>
      </c>
      <c r="H568" s="10">
        <v>3.6964285714285716</v>
      </c>
      <c r="I568" s="10">
        <f t="shared" si="10"/>
        <v>103.5</v>
      </c>
      <c r="J568" s="10">
        <v>3.3494675200000001</v>
      </c>
      <c r="K568" s="8" t="s">
        <v>23</v>
      </c>
      <c r="S568"/>
    </row>
    <row r="569" spans="1:19" ht="15" x14ac:dyDescent="0.25">
      <c r="A569" s="8" t="s">
        <v>5073</v>
      </c>
      <c r="B569" s="8" t="s">
        <v>5070</v>
      </c>
      <c r="C569" s="8" t="s">
        <v>5509</v>
      </c>
      <c r="D569" s="32" t="s">
        <v>6984</v>
      </c>
      <c r="E569" s="32" t="s">
        <v>5510</v>
      </c>
      <c r="F569" s="10">
        <v>40</v>
      </c>
      <c r="G569" s="8" t="s">
        <v>22</v>
      </c>
      <c r="H569" s="10">
        <v>0.29749999999999999</v>
      </c>
      <c r="I569" s="10">
        <f t="shared" si="10"/>
        <v>11.899999999999999</v>
      </c>
      <c r="J569" s="10">
        <v>0.38494208000000002</v>
      </c>
      <c r="K569" s="8" t="s">
        <v>23</v>
      </c>
      <c r="S569"/>
    </row>
    <row r="570" spans="1:19" ht="15" x14ac:dyDescent="0.25">
      <c r="A570" s="8" t="s">
        <v>5073</v>
      </c>
      <c r="B570" s="8" t="s">
        <v>5070</v>
      </c>
      <c r="C570" s="8" t="s">
        <v>5511</v>
      </c>
      <c r="D570" s="32" t="s">
        <v>6984</v>
      </c>
      <c r="E570" s="32" t="s">
        <v>5512</v>
      </c>
      <c r="F570" s="10">
        <v>48</v>
      </c>
      <c r="G570" s="8" t="s">
        <v>22</v>
      </c>
      <c r="H570" s="10">
        <v>0.36458333333333331</v>
      </c>
      <c r="I570" s="10">
        <f t="shared" si="10"/>
        <v>17.5</v>
      </c>
      <c r="J570" s="10">
        <v>0.61286399999999996</v>
      </c>
      <c r="K570" s="8" t="s">
        <v>5513</v>
      </c>
      <c r="S570"/>
    </row>
    <row r="571" spans="1:19" ht="15" x14ac:dyDescent="0.25">
      <c r="A571" s="8" t="s">
        <v>5069</v>
      </c>
      <c r="B571" s="8" t="s">
        <v>5070</v>
      </c>
      <c r="C571" s="8" t="s">
        <v>5514</v>
      </c>
      <c r="D571" s="32" t="s">
        <v>6984</v>
      </c>
      <c r="E571" s="32" t="s">
        <v>5514</v>
      </c>
      <c r="F571" s="10">
        <v>2</v>
      </c>
      <c r="G571" s="8" t="s">
        <v>5101</v>
      </c>
      <c r="H571" s="10">
        <v>128.4</v>
      </c>
      <c r="I571" s="10">
        <f t="shared" si="10"/>
        <v>256.8</v>
      </c>
      <c r="J571" s="10">
        <v>16.964187629600001</v>
      </c>
      <c r="K571" s="8" t="s">
        <v>5128</v>
      </c>
      <c r="S571"/>
    </row>
    <row r="572" spans="1:19" ht="15" x14ac:dyDescent="0.25">
      <c r="A572" s="8" t="s">
        <v>5069</v>
      </c>
      <c r="B572" s="8" t="s">
        <v>5070</v>
      </c>
      <c r="C572" s="8" t="s">
        <v>5515</v>
      </c>
      <c r="D572" s="32" t="s">
        <v>6984</v>
      </c>
      <c r="E572" s="32" t="s">
        <v>5515</v>
      </c>
      <c r="F572" s="10">
        <v>2</v>
      </c>
      <c r="G572" s="8" t="s">
        <v>5101</v>
      </c>
      <c r="H572" s="10">
        <v>128.80000000000001</v>
      </c>
      <c r="I572" s="10">
        <f t="shared" si="10"/>
        <v>257.60000000000002</v>
      </c>
      <c r="J572" s="10">
        <v>17.023104109599998</v>
      </c>
      <c r="K572" s="8" t="s">
        <v>5128</v>
      </c>
      <c r="S572"/>
    </row>
    <row r="573" spans="1:19" ht="15" x14ac:dyDescent="0.25">
      <c r="A573" s="8" t="s">
        <v>5069</v>
      </c>
      <c r="B573" s="8" t="s">
        <v>5070</v>
      </c>
      <c r="C573" s="8" t="s">
        <v>5516</v>
      </c>
      <c r="D573" s="32" t="s">
        <v>6984</v>
      </c>
      <c r="E573" s="32" t="s">
        <v>5516</v>
      </c>
      <c r="F573" s="10">
        <v>1</v>
      </c>
      <c r="G573" s="8" t="s">
        <v>5101</v>
      </c>
      <c r="H573" s="10">
        <v>170.3</v>
      </c>
      <c r="I573" s="10">
        <f t="shared" si="10"/>
        <v>170.3</v>
      </c>
      <c r="J573" s="10">
        <v>11.5077868228</v>
      </c>
      <c r="K573" s="8" t="s">
        <v>5128</v>
      </c>
      <c r="S573"/>
    </row>
    <row r="574" spans="1:19" ht="15" x14ac:dyDescent="0.25">
      <c r="A574" s="8" t="s">
        <v>5069</v>
      </c>
      <c r="B574" s="8" t="s">
        <v>5070</v>
      </c>
      <c r="C574" s="8" t="s">
        <v>5517</v>
      </c>
      <c r="D574" s="32" t="s">
        <v>6984</v>
      </c>
      <c r="E574" s="32" t="s">
        <v>5517</v>
      </c>
      <c r="F574" s="10">
        <v>2</v>
      </c>
      <c r="G574" s="8" t="s">
        <v>5101</v>
      </c>
      <c r="H574" s="10">
        <v>158.05000000000001</v>
      </c>
      <c r="I574" s="10">
        <f t="shared" si="10"/>
        <v>316.10000000000002</v>
      </c>
      <c r="J574" s="10">
        <v>21.032610093599999</v>
      </c>
      <c r="K574" s="8" t="s">
        <v>5128</v>
      </c>
      <c r="S574"/>
    </row>
    <row r="575" spans="1:19" ht="15" x14ac:dyDescent="0.25">
      <c r="A575" s="8" t="s">
        <v>5069</v>
      </c>
      <c r="B575" s="8" t="s">
        <v>5070</v>
      </c>
      <c r="C575" s="8" t="s">
        <v>5518</v>
      </c>
      <c r="D575" s="32" t="s">
        <v>6984</v>
      </c>
      <c r="E575" s="32" t="s">
        <v>5518</v>
      </c>
      <c r="F575" s="10">
        <v>2</v>
      </c>
      <c r="G575" s="8" t="s">
        <v>5101</v>
      </c>
      <c r="H575" s="10">
        <v>45.95</v>
      </c>
      <c r="I575" s="10">
        <f t="shared" si="10"/>
        <v>91.9</v>
      </c>
      <c r="J575" s="10">
        <v>5.1919245256000002</v>
      </c>
      <c r="K575" s="8" t="s">
        <v>5128</v>
      </c>
      <c r="S575"/>
    </row>
    <row r="576" spans="1:19" ht="15" x14ac:dyDescent="0.25">
      <c r="A576" s="8" t="s">
        <v>5069</v>
      </c>
      <c r="B576" s="8" t="s">
        <v>5070</v>
      </c>
      <c r="C576" s="8" t="s">
        <v>5519</v>
      </c>
      <c r="D576" s="32" t="s">
        <v>6984</v>
      </c>
      <c r="E576" s="32" t="s">
        <v>5519</v>
      </c>
      <c r="F576" s="10">
        <v>1</v>
      </c>
      <c r="G576" s="8" t="s">
        <v>5101</v>
      </c>
      <c r="H576" s="10">
        <v>48.8</v>
      </c>
      <c r="I576" s="10">
        <f t="shared" si="10"/>
        <v>48.8</v>
      </c>
      <c r="J576" s="10">
        <v>2.8281325187999999</v>
      </c>
      <c r="K576" s="8" t="s">
        <v>5128</v>
      </c>
      <c r="S576"/>
    </row>
    <row r="577" spans="1:19" ht="15" x14ac:dyDescent="0.25">
      <c r="A577" s="8" t="s">
        <v>5069</v>
      </c>
      <c r="B577" s="8" t="s">
        <v>5070</v>
      </c>
      <c r="C577" s="8" t="s">
        <v>5520</v>
      </c>
      <c r="D577" s="32" t="s">
        <v>6984</v>
      </c>
      <c r="E577" s="32" t="s">
        <v>5520</v>
      </c>
      <c r="F577" s="10">
        <v>1</v>
      </c>
      <c r="G577" s="8" t="s">
        <v>5101</v>
      </c>
      <c r="H577" s="10">
        <v>43.2</v>
      </c>
      <c r="I577" s="10">
        <f t="shared" si="10"/>
        <v>43.2</v>
      </c>
      <c r="J577" s="10">
        <v>2.5313072548000002</v>
      </c>
      <c r="K577" s="8" t="s">
        <v>5128</v>
      </c>
      <c r="S577"/>
    </row>
    <row r="578" spans="1:19" ht="15" x14ac:dyDescent="0.25">
      <c r="A578" s="8" t="s">
        <v>5069</v>
      </c>
      <c r="B578" s="8" t="s">
        <v>5070</v>
      </c>
      <c r="C578" s="8" t="s">
        <v>5521</v>
      </c>
      <c r="D578" s="32" t="s">
        <v>6984</v>
      </c>
      <c r="E578" s="32" t="s">
        <v>5521</v>
      </c>
      <c r="F578" s="10">
        <v>2</v>
      </c>
      <c r="G578" s="8" t="s">
        <v>5101</v>
      </c>
      <c r="H578" s="10">
        <v>83.55</v>
      </c>
      <c r="I578" s="10">
        <f t="shared" si="10"/>
        <v>167.1</v>
      </c>
      <c r="J578" s="10">
        <v>10.606868605600001</v>
      </c>
      <c r="K578" s="8" t="s">
        <v>5128</v>
      </c>
      <c r="S578"/>
    </row>
    <row r="579" spans="1:19" ht="15" x14ac:dyDescent="0.25">
      <c r="A579" s="8" t="s">
        <v>5069</v>
      </c>
      <c r="B579" s="8" t="s">
        <v>5070</v>
      </c>
      <c r="C579" s="8" t="s">
        <v>5522</v>
      </c>
      <c r="D579" s="32" t="s">
        <v>6984</v>
      </c>
      <c r="E579" s="32" t="s">
        <v>5522</v>
      </c>
      <c r="F579" s="10">
        <v>1</v>
      </c>
      <c r="G579" s="8" t="s">
        <v>5101</v>
      </c>
      <c r="H579" s="10">
        <v>152.4</v>
      </c>
      <c r="I579" s="10">
        <f t="shared" si="10"/>
        <v>152.4</v>
      </c>
      <c r="J579" s="10">
        <v>10.2070160468</v>
      </c>
      <c r="K579" s="8" t="s">
        <v>5128</v>
      </c>
      <c r="S579"/>
    </row>
    <row r="580" spans="1:19" ht="15" x14ac:dyDescent="0.25">
      <c r="A580" s="8" t="s">
        <v>5069</v>
      </c>
      <c r="B580" s="8" t="s">
        <v>5070</v>
      </c>
      <c r="C580" s="8" t="s">
        <v>5523</v>
      </c>
      <c r="D580" s="32" t="s">
        <v>6984</v>
      </c>
      <c r="E580" s="32" t="s">
        <v>5523</v>
      </c>
      <c r="F580" s="10">
        <v>1</v>
      </c>
      <c r="G580" s="8" t="s">
        <v>5101</v>
      </c>
      <c r="H580" s="10">
        <v>58.4</v>
      </c>
      <c r="I580" s="10">
        <f t="shared" si="10"/>
        <v>58.4</v>
      </c>
      <c r="J580" s="10">
        <v>3.6025231828000002</v>
      </c>
      <c r="K580" s="8" t="s">
        <v>5128</v>
      </c>
      <c r="S580"/>
    </row>
    <row r="581" spans="1:19" ht="15" x14ac:dyDescent="0.25">
      <c r="A581" s="8" t="s">
        <v>5069</v>
      </c>
      <c r="B581" s="8" t="s">
        <v>5070</v>
      </c>
      <c r="C581" s="8" t="s">
        <v>5524</v>
      </c>
      <c r="D581" s="32" t="s">
        <v>6984</v>
      </c>
      <c r="E581" s="32" t="s">
        <v>5524</v>
      </c>
      <c r="F581" s="10">
        <v>1</v>
      </c>
      <c r="G581" s="8" t="s">
        <v>5101</v>
      </c>
      <c r="H581" s="10">
        <v>170</v>
      </c>
      <c r="I581" s="10">
        <f t="shared" ref="I581:I644" si="11">F581*H581</f>
        <v>170</v>
      </c>
      <c r="J581" s="10">
        <v>11.632153086800001</v>
      </c>
      <c r="K581" s="8" t="s">
        <v>5128</v>
      </c>
      <c r="S581"/>
    </row>
    <row r="582" spans="1:19" ht="15" x14ac:dyDescent="0.25">
      <c r="A582" s="8" t="s">
        <v>5069</v>
      </c>
      <c r="B582" s="8" t="s">
        <v>5070</v>
      </c>
      <c r="C582" s="8" t="s">
        <v>5525</v>
      </c>
      <c r="D582" s="32" t="s">
        <v>6984</v>
      </c>
      <c r="E582" s="32" t="s">
        <v>5525</v>
      </c>
      <c r="F582" s="10">
        <v>1</v>
      </c>
      <c r="G582" s="8" t="s">
        <v>5101</v>
      </c>
      <c r="H582" s="10">
        <v>152.4</v>
      </c>
      <c r="I582" s="10">
        <f t="shared" si="11"/>
        <v>152.4</v>
      </c>
      <c r="J582" s="10">
        <v>10.2070160468</v>
      </c>
      <c r="K582" s="8" t="s">
        <v>5128</v>
      </c>
      <c r="S582"/>
    </row>
    <row r="583" spans="1:19" ht="15" x14ac:dyDescent="0.25">
      <c r="A583" s="8" t="s">
        <v>5069</v>
      </c>
      <c r="B583" s="8" t="s">
        <v>5070</v>
      </c>
      <c r="C583" s="8" t="s">
        <v>5526</v>
      </c>
      <c r="D583" s="32" t="s">
        <v>6984</v>
      </c>
      <c r="E583" s="32" t="s">
        <v>5526</v>
      </c>
      <c r="F583" s="10">
        <v>1</v>
      </c>
      <c r="G583" s="8" t="s">
        <v>5101</v>
      </c>
      <c r="H583" s="10">
        <v>169.9</v>
      </c>
      <c r="I583" s="10">
        <f t="shared" si="11"/>
        <v>169.9</v>
      </c>
      <c r="J583" s="10">
        <v>11.6235484948</v>
      </c>
      <c r="K583" s="8" t="s">
        <v>5128</v>
      </c>
      <c r="S583"/>
    </row>
    <row r="584" spans="1:19" ht="15" x14ac:dyDescent="0.25">
      <c r="A584" s="8" t="s">
        <v>5069</v>
      </c>
      <c r="B584" s="8" t="s">
        <v>5070</v>
      </c>
      <c r="C584" s="8" t="s">
        <v>5527</v>
      </c>
      <c r="D584" s="32" t="s">
        <v>6984</v>
      </c>
      <c r="E584" s="32" t="s">
        <v>5527</v>
      </c>
      <c r="F584" s="10">
        <v>1</v>
      </c>
      <c r="G584" s="8" t="s">
        <v>5101</v>
      </c>
      <c r="H584" s="10">
        <v>119.6</v>
      </c>
      <c r="I584" s="10">
        <f t="shared" si="11"/>
        <v>119.6</v>
      </c>
      <c r="J584" s="10">
        <v>7.8867472548000004</v>
      </c>
      <c r="K584" s="8" t="s">
        <v>5128</v>
      </c>
      <c r="S584"/>
    </row>
    <row r="585" spans="1:19" ht="15" x14ac:dyDescent="0.25">
      <c r="A585" s="8" t="s">
        <v>5069</v>
      </c>
      <c r="B585" s="8" t="s">
        <v>5070</v>
      </c>
      <c r="C585" s="8" t="s">
        <v>5528</v>
      </c>
      <c r="D585" s="32" t="s">
        <v>6984</v>
      </c>
      <c r="E585" s="32" t="s">
        <v>5528</v>
      </c>
      <c r="F585" s="10">
        <v>1</v>
      </c>
      <c r="G585" s="8" t="s">
        <v>5101</v>
      </c>
      <c r="H585" s="10">
        <v>63.5</v>
      </c>
      <c r="I585" s="10">
        <f t="shared" si="11"/>
        <v>63.5</v>
      </c>
      <c r="J585" s="10">
        <v>4.0166910068000004</v>
      </c>
      <c r="K585" s="8" t="s">
        <v>5128</v>
      </c>
      <c r="S585"/>
    </row>
    <row r="586" spans="1:19" ht="15" x14ac:dyDescent="0.25">
      <c r="A586" s="8" t="s">
        <v>5069</v>
      </c>
      <c r="B586" s="8" t="s">
        <v>5070</v>
      </c>
      <c r="C586" s="8" t="s">
        <v>5529</v>
      </c>
      <c r="D586" s="32" t="s">
        <v>6984</v>
      </c>
      <c r="E586" s="32" t="s">
        <v>5529</v>
      </c>
      <c r="F586" s="10">
        <v>1</v>
      </c>
      <c r="G586" s="8" t="s">
        <v>5101</v>
      </c>
      <c r="H586" s="10">
        <v>39.9</v>
      </c>
      <c r="I586" s="10">
        <f t="shared" si="11"/>
        <v>39.9</v>
      </c>
      <c r="J586" s="10">
        <v>2.1125254548000001</v>
      </c>
      <c r="K586" s="8" t="s">
        <v>5102</v>
      </c>
      <c r="S586"/>
    </row>
    <row r="587" spans="1:19" ht="15" x14ac:dyDescent="0.25">
      <c r="A587" s="8" t="s">
        <v>5069</v>
      </c>
      <c r="B587" s="8" t="s">
        <v>5070</v>
      </c>
      <c r="C587" s="8" t="s">
        <v>5530</v>
      </c>
      <c r="D587" s="32" t="s">
        <v>6984</v>
      </c>
      <c r="E587" s="32" t="s">
        <v>5530</v>
      </c>
      <c r="F587" s="10">
        <v>1</v>
      </c>
      <c r="G587" s="8" t="s">
        <v>5101</v>
      </c>
      <c r="H587" s="10">
        <v>39.9</v>
      </c>
      <c r="I587" s="10">
        <f t="shared" si="11"/>
        <v>39.9</v>
      </c>
      <c r="J587" s="10">
        <v>2.1125254548000001</v>
      </c>
      <c r="K587" s="8" t="s">
        <v>5102</v>
      </c>
      <c r="S587"/>
    </row>
    <row r="588" spans="1:19" ht="15" x14ac:dyDescent="0.25">
      <c r="A588" s="8" t="s">
        <v>5069</v>
      </c>
      <c r="B588" s="8" t="s">
        <v>5070</v>
      </c>
      <c r="C588" s="8" t="s">
        <v>5531</v>
      </c>
      <c r="D588" s="32" t="s">
        <v>6984</v>
      </c>
      <c r="E588" s="32" t="s">
        <v>5531</v>
      </c>
      <c r="F588" s="10">
        <v>1</v>
      </c>
      <c r="G588" s="8" t="s">
        <v>5101</v>
      </c>
      <c r="H588" s="10">
        <v>49</v>
      </c>
      <c r="I588" s="10">
        <f t="shared" si="11"/>
        <v>49</v>
      </c>
      <c r="J588" s="10">
        <v>2.8398879747999999</v>
      </c>
      <c r="K588" s="8" t="s">
        <v>5102</v>
      </c>
      <c r="S588"/>
    </row>
    <row r="589" spans="1:19" ht="15" x14ac:dyDescent="0.25">
      <c r="A589" s="8" t="s">
        <v>5069</v>
      </c>
      <c r="B589" s="8" t="s">
        <v>5070</v>
      </c>
      <c r="C589" s="8" t="s">
        <v>5532</v>
      </c>
      <c r="D589" s="32" t="s">
        <v>6984</v>
      </c>
      <c r="E589" s="32" t="s">
        <v>5532</v>
      </c>
      <c r="F589" s="10">
        <v>1</v>
      </c>
      <c r="G589" s="8" t="s">
        <v>5101</v>
      </c>
      <c r="H589" s="10">
        <v>49.9</v>
      </c>
      <c r="I589" s="10">
        <f t="shared" si="11"/>
        <v>49.9</v>
      </c>
      <c r="J589" s="10">
        <v>2.9133595747999999</v>
      </c>
      <c r="K589" s="8" t="s">
        <v>5102</v>
      </c>
      <c r="S589"/>
    </row>
    <row r="590" spans="1:19" ht="15" x14ac:dyDescent="0.25">
      <c r="A590" s="8" t="s">
        <v>5069</v>
      </c>
      <c r="B590" s="8" t="s">
        <v>5070</v>
      </c>
      <c r="C590" s="8" t="s">
        <v>5533</v>
      </c>
      <c r="D590" s="32" t="s">
        <v>6984</v>
      </c>
      <c r="E590" s="32" t="s">
        <v>5533</v>
      </c>
      <c r="F590" s="10">
        <v>1</v>
      </c>
      <c r="G590" s="8" t="s">
        <v>5139</v>
      </c>
      <c r="H590" s="10">
        <v>94.4</v>
      </c>
      <c r="I590" s="10">
        <f t="shared" si="11"/>
        <v>94.4</v>
      </c>
      <c r="J590" s="10">
        <v>5.8547256216000001</v>
      </c>
      <c r="K590" s="8" t="s">
        <v>5102</v>
      </c>
      <c r="S590"/>
    </row>
    <row r="591" spans="1:19" ht="15" x14ac:dyDescent="0.25">
      <c r="A591" s="8" t="s">
        <v>5069</v>
      </c>
      <c r="B591" s="8" t="s">
        <v>5070</v>
      </c>
      <c r="C591" s="8" t="s">
        <v>5534</v>
      </c>
      <c r="D591" s="32" t="s">
        <v>6984</v>
      </c>
      <c r="E591" s="32" t="s">
        <v>5534</v>
      </c>
      <c r="F591" s="10">
        <v>1</v>
      </c>
      <c r="G591" s="8" t="s">
        <v>5139</v>
      </c>
      <c r="H591" s="10">
        <v>94.4</v>
      </c>
      <c r="I591" s="10">
        <f t="shared" si="11"/>
        <v>94.4</v>
      </c>
      <c r="J591" s="10">
        <v>5.8547256216000001</v>
      </c>
      <c r="K591" s="8" t="s">
        <v>5102</v>
      </c>
      <c r="S591"/>
    </row>
    <row r="592" spans="1:19" ht="15" x14ac:dyDescent="0.25">
      <c r="A592" s="8" t="s">
        <v>5069</v>
      </c>
      <c r="B592" s="8" t="s">
        <v>5070</v>
      </c>
      <c r="C592" s="8" t="s">
        <v>5535</v>
      </c>
      <c r="D592" s="32" t="s">
        <v>6984</v>
      </c>
      <c r="E592" s="32" t="s">
        <v>5535</v>
      </c>
      <c r="F592" s="10">
        <v>1</v>
      </c>
      <c r="G592" s="8" t="s">
        <v>5095</v>
      </c>
      <c r="H592" s="10">
        <v>100.6</v>
      </c>
      <c r="I592" s="10">
        <f t="shared" si="11"/>
        <v>100.6</v>
      </c>
      <c r="J592" s="10">
        <v>2.7941691999999998</v>
      </c>
      <c r="K592" s="8" t="s">
        <v>5536</v>
      </c>
      <c r="S592"/>
    </row>
    <row r="593" spans="1:19" ht="15" x14ac:dyDescent="0.25">
      <c r="A593" s="8" t="s">
        <v>5069</v>
      </c>
      <c r="B593" s="8" t="s">
        <v>5070</v>
      </c>
      <c r="C593" s="8" t="s">
        <v>5537</v>
      </c>
      <c r="D593" s="32" t="s">
        <v>6984</v>
      </c>
      <c r="E593" s="32" t="s">
        <v>5537</v>
      </c>
      <c r="F593" s="10">
        <v>1</v>
      </c>
      <c r="G593" s="8" t="s">
        <v>5095</v>
      </c>
      <c r="H593" s="10">
        <v>100.6</v>
      </c>
      <c r="I593" s="10">
        <f t="shared" si="11"/>
        <v>100.6</v>
      </c>
      <c r="J593" s="10">
        <v>2.7941691999999998</v>
      </c>
      <c r="K593" s="8" t="s">
        <v>5536</v>
      </c>
      <c r="S593"/>
    </row>
    <row r="594" spans="1:19" ht="15" x14ac:dyDescent="0.25">
      <c r="A594" s="8" t="s">
        <v>5073</v>
      </c>
      <c r="B594" s="8" t="s">
        <v>5070</v>
      </c>
      <c r="C594" s="8" t="s">
        <v>5538</v>
      </c>
      <c r="D594" s="32" t="s">
        <v>6984</v>
      </c>
      <c r="E594" s="32" t="s">
        <v>5538</v>
      </c>
      <c r="F594" s="10">
        <v>1</v>
      </c>
      <c r="G594" s="8" t="s">
        <v>5101</v>
      </c>
      <c r="H594" s="10">
        <v>120.2</v>
      </c>
      <c r="I594" s="10">
        <f t="shared" si="11"/>
        <v>120.2</v>
      </c>
      <c r="J594" s="10">
        <v>7.8165745828000004</v>
      </c>
      <c r="K594" s="8" t="s">
        <v>5128</v>
      </c>
      <c r="S594"/>
    </row>
    <row r="595" spans="1:19" ht="15" x14ac:dyDescent="0.25">
      <c r="A595" s="8" t="s">
        <v>5073</v>
      </c>
      <c r="B595" s="8" t="s">
        <v>5070</v>
      </c>
      <c r="C595" s="8" t="s">
        <v>5539</v>
      </c>
      <c r="D595" s="32" t="s">
        <v>6984</v>
      </c>
      <c r="E595" s="32" t="s">
        <v>5539</v>
      </c>
      <c r="F595" s="10">
        <v>3</v>
      </c>
      <c r="G595" s="8" t="s">
        <v>5101</v>
      </c>
      <c r="H595" s="10">
        <v>119.66666666666667</v>
      </c>
      <c r="I595" s="10">
        <f t="shared" si="11"/>
        <v>359</v>
      </c>
      <c r="J595" s="10">
        <v>23.306210612400001</v>
      </c>
      <c r="K595" s="8" t="s">
        <v>5128</v>
      </c>
      <c r="S595"/>
    </row>
    <row r="596" spans="1:19" ht="15" x14ac:dyDescent="0.25">
      <c r="A596" s="8" t="s">
        <v>5073</v>
      </c>
      <c r="B596" s="8" t="s">
        <v>5070</v>
      </c>
      <c r="C596" s="8" t="s">
        <v>5540</v>
      </c>
      <c r="D596" s="32" t="s">
        <v>6984</v>
      </c>
      <c r="E596" s="32" t="s">
        <v>5540</v>
      </c>
      <c r="F596" s="10">
        <v>2</v>
      </c>
      <c r="G596" s="8" t="s">
        <v>5101</v>
      </c>
      <c r="H596" s="10">
        <v>118.95</v>
      </c>
      <c r="I596" s="10">
        <f t="shared" si="11"/>
        <v>237.9</v>
      </c>
      <c r="J596" s="10">
        <v>15.421150061600001</v>
      </c>
      <c r="K596" s="8" t="s">
        <v>5128</v>
      </c>
      <c r="S596"/>
    </row>
    <row r="597" spans="1:19" ht="15" x14ac:dyDescent="0.25">
      <c r="A597" s="8" t="s">
        <v>5073</v>
      </c>
      <c r="B597" s="8" t="s">
        <v>5070</v>
      </c>
      <c r="C597" s="8" t="s">
        <v>5541</v>
      </c>
      <c r="D597" s="32" t="s">
        <v>6984</v>
      </c>
      <c r="E597" s="32" t="s">
        <v>5541</v>
      </c>
      <c r="F597" s="10">
        <v>2</v>
      </c>
      <c r="G597" s="8" t="s">
        <v>5101</v>
      </c>
      <c r="H597" s="10">
        <v>118.95</v>
      </c>
      <c r="I597" s="10">
        <f t="shared" si="11"/>
        <v>237.9</v>
      </c>
      <c r="J597" s="10">
        <v>15.421150061600001</v>
      </c>
      <c r="K597" s="8" t="s">
        <v>5128</v>
      </c>
      <c r="S597"/>
    </row>
    <row r="598" spans="1:19" ht="15" x14ac:dyDescent="0.25">
      <c r="A598" s="8" t="s">
        <v>5073</v>
      </c>
      <c r="B598" s="8" t="s">
        <v>5070</v>
      </c>
      <c r="C598" s="8" t="s">
        <v>5542</v>
      </c>
      <c r="D598" s="32" t="s">
        <v>6984</v>
      </c>
      <c r="E598" s="32" t="s">
        <v>5542</v>
      </c>
      <c r="F598" s="10">
        <v>1</v>
      </c>
      <c r="G598" s="8" t="s">
        <v>5101</v>
      </c>
      <c r="H598" s="10">
        <v>114.2</v>
      </c>
      <c r="I598" s="10">
        <f t="shared" si="11"/>
        <v>114.2</v>
      </c>
      <c r="J598" s="10">
        <v>7.4526933187999997</v>
      </c>
      <c r="K598" s="8" t="s">
        <v>5128</v>
      </c>
      <c r="S598"/>
    </row>
    <row r="599" spans="1:19" ht="15" x14ac:dyDescent="0.25">
      <c r="A599" s="8" t="s">
        <v>5073</v>
      </c>
      <c r="B599" s="8" t="s">
        <v>5070</v>
      </c>
      <c r="C599" s="8" t="s">
        <v>5543</v>
      </c>
      <c r="D599" s="32" t="s">
        <v>6984</v>
      </c>
      <c r="E599" s="32" t="s">
        <v>5543</v>
      </c>
      <c r="F599" s="10">
        <v>1</v>
      </c>
      <c r="G599" s="8" t="s">
        <v>5101</v>
      </c>
      <c r="H599" s="10">
        <v>114.2</v>
      </c>
      <c r="I599" s="10">
        <f t="shared" si="11"/>
        <v>114.2</v>
      </c>
      <c r="J599" s="10">
        <v>7.4526933187999997</v>
      </c>
      <c r="K599" s="8" t="s">
        <v>5128</v>
      </c>
      <c r="S599"/>
    </row>
    <row r="600" spans="1:19" ht="15" x14ac:dyDescent="0.25">
      <c r="A600" s="8" t="s">
        <v>5073</v>
      </c>
      <c r="B600" s="8" t="s">
        <v>5070</v>
      </c>
      <c r="C600" s="8" t="s">
        <v>5544</v>
      </c>
      <c r="D600" s="32" t="s">
        <v>6984</v>
      </c>
      <c r="E600" s="32" t="s">
        <v>5544</v>
      </c>
      <c r="F600" s="10">
        <v>1</v>
      </c>
      <c r="G600" s="8" t="s">
        <v>5101</v>
      </c>
      <c r="H600" s="10">
        <v>169.9</v>
      </c>
      <c r="I600" s="10">
        <f t="shared" si="11"/>
        <v>169.9</v>
      </c>
      <c r="J600" s="10">
        <v>11.6191379428</v>
      </c>
      <c r="K600" s="8" t="s">
        <v>5128</v>
      </c>
      <c r="S600"/>
    </row>
    <row r="601" spans="1:19" ht="15" x14ac:dyDescent="0.25">
      <c r="A601" s="8" t="s">
        <v>5073</v>
      </c>
      <c r="B601" s="8" t="s">
        <v>5070</v>
      </c>
      <c r="C601" s="8" t="s">
        <v>5545</v>
      </c>
      <c r="D601" s="32" t="s">
        <v>6984</v>
      </c>
      <c r="E601" s="32" t="s">
        <v>5545</v>
      </c>
      <c r="F601" s="10">
        <v>1</v>
      </c>
      <c r="G601" s="8" t="s">
        <v>5101</v>
      </c>
      <c r="H601" s="10">
        <v>137.4</v>
      </c>
      <c r="I601" s="10">
        <f t="shared" si="11"/>
        <v>137.4</v>
      </c>
      <c r="J601" s="10">
        <v>9.2019298387999999</v>
      </c>
      <c r="K601" s="8" t="s">
        <v>5128</v>
      </c>
      <c r="S601"/>
    </row>
    <row r="602" spans="1:19" ht="15" x14ac:dyDescent="0.25">
      <c r="A602" s="8" t="s">
        <v>5073</v>
      </c>
      <c r="B602" s="8" t="s">
        <v>5070</v>
      </c>
      <c r="C602" s="8" t="s">
        <v>5546</v>
      </c>
      <c r="D602" s="32" t="s">
        <v>6984</v>
      </c>
      <c r="E602" s="32" t="s">
        <v>5546</v>
      </c>
      <c r="F602" s="10">
        <v>2</v>
      </c>
      <c r="G602" s="8" t="s">
        <v>5101</v>
      </c>
      <c r="H602" s="10">
        <v>88.55</v>
      </c>
      <c r="I602" s="10">
        <f t="shared" si="11"/>
        <v>177.1</v>
      </c>
      <c r="J602" s="10">
        <v>11.2316747976</v>
      </c>
      <c r="K602" s="8" t="s">
        <v>5128</v>
      </c>
      <c r="S602"/>
    </row>
    <row r="603" spans="1:19" ht="15" x14ac:dyDescent="0.25">
      <c r="A603" s="8" t="s">
        <v>5073</v>
      </c>
      <c r="B603" s="8" t="s">
        <v>5070</v>
      </c>
      <c r="C603" s="8" t="s">
        <v>5547</v>
      </c>
      <c r="D603" s="32" t="s">
        <v>6984</v>
      </c>
      <c r="E603" s="32" t="s">
        <v>5547</v>
      </c>
      <c r="F603" s="10">
        <v>1</v>
      </c>
      <c r="G603" s="8" t="s">
        <v>5101</v>
      </c>
      <c r="H603" s="10">
        <v>97.9</v>
      </c>
      <c r="I603" s="10">
        <f t="shared" si="11"/>
        <v>97.9</v>
      </c>
      <c r="J603" s="10">
        <v>6.3694665747999997</v>
      </c>
      <c r="K603" s="8" t="s">
        <v>5128</v>
      </c>
      <c r="S603"/>
    </row>
    <row r="604" spans="1:19" ht="15" x14ac:dyDescent="0.25">
      <c r="A604" s="8" t="s">
        <v>5073</v>
      </c>
      <c r="B604" s="8" t="s">
        <v>5070</v>
      </c>
      <c r="C604" s="8" t="s">
        <v>5548</v>
      </c>
      <c r="D604" s="32" t="s">
        <v>6984</v>
      </c>
      <c r="E604" s="32" t="s">
        <v>5548</v>
      </c>
      <c r="F604" s="10">
        <v>1</v>
      </c>
      <c r="G604" s="8" t="s">
        <v>5101</v>
      </c>
      <c r="H604" s="10">
        <v>132.6</v>
      </c>
      <c r="I604" s="10">
        <f t="shared" si="11"/>
        <v>132.6</v>
      </c>
      <c r="J604" s="10">
        <v>8.9318695907999999</v>
      </c>
      <c r="K604" s="8" t="s">
        <v>5128</v>
      </c>
      <c r="S604"/>
    </row>
    <row r="605" spans="1:19" ht="15" x14ac:dyDescent="0.25">
      <c r="A605" s="8" t="s">
        <v>5073</v>
      </c>
      <c r="B605" s="8" t="s">
        <v>5070</v>
      </c>
      <c r="C605" s="8" t="s">
        <v>5549</v>
      </c>
      <c r="D605" s="32" t="s">
        <v>6984</v>
      </c>
      <c r="E605" s="32" t="s">
        <v>5549</v>
      </c>
      <c r="F605" s="10">
        <v>1</v>
      </c>
      <c r="G605" s="8" t="s">
        <v>5101</v>
      </c>
      <c r="H605" s="10">
        <v>55.1</v>
      </c>
      <c r="I605" s="10">
        <f t="shared" si="11"/>
        <v>55.1</v>
      </c>
      <c r="J605" s="10">
        <v>3.3355537507999999</v>
      </c>
      <c r="K605" s="8" t="s">
        <v>5128</v>
      </c>
      <c r="S605"/>
    </row>
    <row r="606" spans="1:19" ht="15" x14ac:dyDescent="0.25">
      <c r="A606" s="8" t="s">
        <v>5073</v>
      </c>
      <c r="B606" s="8" t="s">
        <v>5070</v>
      </c>
      <c r="C606" s="8" t="s">
        <v>5550</v>
      </c>
      <c r="D606" s="32" t="s">
        <v>6984</v>
      </c>
      <c r="E606" s="32" t="s">
        <v>5550</v>
      </c>
      <c r="F606" s="10">
        <v>1</v>
      </c>
      <c r="G606" s="8" t="s">
        <v>5101</v>
      </c>
      <c r="H606" s="10">
        <v>98.6</v>
      </c>
      <c r="I606" s="10">
        <f t="shared" si="11"/>
        <v>98.6</v>
      </c>
      <c r="J606" s="10">
        <v>6.4277552148000003</v>
      </c>
      <c r="K606" s="8" t="s">
        <v>5128</v>
      </c>
      <c r="S606"/>
    </row>
    <row r="607" spans="1:19" ht="15" x14ac:dyDescent="0.25">
      <c r="A607" s="8" t="s">
        <v>5073</v>
      </c>
      <c r="B607" s="8" t="s">
        <v>5070</v>
      </c>
      <c r="C607" s="8" t="s">
        <v>5551</v>
      </c>
      <c r="D607" s="32" t="s">
        <v>6984</v>
      </c>
      <c r="E607" s="32" t="s">
        <v>5551</v>
      </c>
      <c r="F607" s="10">
        <v>1</v>
      </c>
      <c r="G607" s="8" t="s">
        <v>5101</v>
      </c>
      <c r="H607" s="10">
        <v>133.9</v>
      </c>
      <c r="I607" s="10">
        <f t="shared" si="11"/>
        <v>133.9</v>
      </c>
      <c r="J607" s="10">
        <v>8.9220567987999999</v>
      </c>
      <c r="K607" s="8" t="s">
        <v>5128</v>
      </c>
      <c r="S607"/>
    </row>
    <row r="608" spans="1:19" ht="15" x14ac:dyDescent="0.25">
      <c r="A608" s="8" t="s">
        <v>5073</v>
      </c>
      <c r="B608" s="8" t="s">
        <v>5070</v>
      </c>
      <c r="C608" s="8" t="s">
        <v>5552</v>
      </c>
      <c r="D608" s="32" t="s">
        <v>6984</v>
      </c>
      <c r="E608" s="32" t="s">
        <v>5552</v>
      </c>
      <c r="F608" s="10">
        <v>2</v>
      </c>
      <c r="G608" s="8" t="s">
        <v>5101</v>
      </c>
      <c r="H608" s="10">
        <v>45.95</v>
      </c>
      <c r="I608" s="10">
        <f t="shared" si="11"/>
        <v>91.9</v>
      </c>
      <c r="J608" s="10">
        <v>5.1919245256000002</v>
      </c>
      <c r="K608" s="8" t="s">
        <v>5128</v>
      </c>
      <c r="S608"/>
    </row>
    <row r="609" spans="1:19" ht="15" x14ac:dyDescent="0.25">
      <c r="A609" s="8" t="s">
        <v>5073</v>
      </c>
      <c r="B609" s="8" t="s">
        <v>5070</v>
      </c>
      <c r="C609" s="8" t="s">
        <v>5553</v>
      </c>
      <c r="D609" s="32" t="s">
        <v>6984</v>
      </c>
      <c r="E609" s="32" t="s">
        <v>5553</v>
      </c>
      <c r="F609" s="10">
        <v>1</v>
      </c>
      <c r="G609" s="8" t="s">
        <v>5101</v>
      </c>
      <c r="H609" s="10">
        <v>92.7</v>
      </c>
      <c r="I609" s="10">
        <f t="shared" si="11"/>
        <v>92.7</v>
      </c>
      <c r="J609" s="10">
        <v>5.9500304308</v>
      </c>
      <c r="K609" s="8" t="s">
        <v>5128</v>
      </c>
      <c r="S609"/>
    </row>
    <row r="610" spans="1:19" ht="15" x14ac:dyDescent="0.25">
      <c r="A610" s="8" t="s">
        <v>5073</v>
      </c>
      <c r="B610" s="8" t="s">
        <v>5070</v>
      </c>
      <c r="C610" s="8" t="s">
        <v>5554</v>
      </c>
      <c r="D610" s="32" t="s">
        <v>6984</v>
      </c>
      <c r="E610" s="32" t="s">
        <v>5554</v>
      </c>
      <c r="F610" s="10">
        <v>2</v>
      </c>
      <c r="G610" s="8" t="s">
        <v>5101</v>
      </c>
      <c r="H610" s="10">
        <v>141.05000000000001</v>
      </c>
      <c r="I610" s="10">
        <f t="shared" si="11"/>
        <v>282.10000000000002</v>
      </c>
      <c r="J610" s="10">
        <v>19.004523805600002</v>
      </c>
      <c r="K610" s="8" t="s">
        <v>5128</v>
      </c>
      <c r="S610"/>
    </row>
    <row r="611" spans="1:19" ht="15" x14ac:dyDescent="0.25">
      <c r="A611" s="8" t="s">
        <v>5073</v>
      </c>
      <c r="B611" s="8" t="s">
        <v>5070</v>
      </c>
      <c r="C611" s="8" t="s">
        <v>5555</v>
      </c>
      <c r="D611" s="32" t="s">
        <v>6984</v>
      </c>
      <c r="E611" s="32" t="s">
        <v>5555</v>
      </c>
      <c r="F611" s="10">
        <v>1</v>
      </c>
      <c r="G611" s="8" t="s">
        <v>5101</v>
      </c>
      <c r="H611" s="10">
        <v>120.9</v>
      </c>
      <c r="I611" s="10">
        <f t="shared" si="11"/>
        <v>120.9</v>
      </c>
      <c r="J611" s="10">
        <v>7.9874723428000003</v>
      </c>
      <c r="K611" s="8" t="s">
        <v>5128</v>
      </c>
      <c r="S611"/>
    </row>
    <row r="612" spans="1:19" ht="15" x14ac:dyDescent="0.25">
      <c r="A612" s="8" t="s">
        <v>5073</v>
      </c>
      <c r="B612" s="8" t="s">
        <v>5070</v>
      </c>
      <c r="C612" s="8" t="s">
        <v>5556</v>
      </c>
      <c r="D612" s="32" t="s">
        <v>6984</v>
      </c>
      <c r="E612" s="32" t="s">
        <v>5556</v>
      </c>
      <c r="F612" s="10">
        <v>1</v>
      </c>
      <c r="G612" s="8" t="s">
        <v>5101</v>
      </c>
      <c r="H612" s="10">
        <v>45.2</v>
      </c>
      <c r="I612" s="10">
        <f t="shared" si="11"/>
        <v>45.2</v>
      </c>
      <c r="J612" s="10">
        <v>2.5342461188000001</v>
      </c>
      <c r="K612" s="8" t="s">
        <v>5128</v>
      </c>
      <c r="S612"/>
    </row>
    <row r="613" spans="1:19" ht="15" x14ac:dyDescent="0.25">
      <c r="A613" s="8" t="s">
        <v>5073</v>
      </c>
      <c r="B613" s="8" t="s">
        <v>5070</v>
      </c>
      <c r="C613" s="8" t="s">
        <v>5557</v>
      </c>
      <c r="D613" s="32" t="s">
        <v>6984</v>
      </c>
      <c r="E613" s="32" t="s">
        <v>5557</v>
      </c>
      <c r="F613" s="10">
        <v>1</v>
      </c>
      <c r="G613" s="8" t="s">
        <v>5101</v>
      </c>
      <c r="H613" s="10">
        <v>51.1</v>
      </c>
      <c r="I613" s="10">
        <f t="shared" si="11"/>
        <v>51.1</v>
      </c>
      <c r="J613" s="10">
        <v>3.0088726548000002</v>
      </c>
      <c r="K613" s="8" t="s">
        <v>5128</v>
      </c>
      <c r="S613"/>
    </row>
    <row r="614" spans="1:19" ht="15" x14ac:dyDescent="0.25">
      <c r="A614" s="8" t="s">
        <v>5073</v>
      </c>
      <c r="B614" s="8" t="s">
        <v>5070</v>
      </c>
      <c r="C614" s="8" t="s">
        <v>5558</v>
      </c>
      <c r="D614" s="32" t="s">
        <v>6984</v>
      </c>
      <c r="E614" s="32" t="s">
        <v>5558</v>
      </c>
      <c r="F614" s="10">
        <v>2</v>
      </c>
      <c r="G614" s="8" t="s">
        <v>5101</v>
      </c>
      <c r="H614" s="10">
        <v>58.4</v>
      </c>
      <c r="I614" s="10">
        <f t="shared" si="11"/>
        <v>116.8</v>
      </c>
      <c r="J614" s="10">
        <v>7.2050463656000003</v>
      </c>
      <c r="K614" s="8" t="s">
        <v>5559</v>
      </c>
      <c r="S614"/>
    </row>
    <row r="615" spans="1:19" ht="15" x14ac:dyDescent="0.25">
      <c r="A615" s="8" t="s">
        <v>5073</v>
      </c>
      <c r="B615" s="8" t="s">
        <v>5070</v>
      </c>
      <c r="C615" s="8" t="s">
        <v>5560</v>
      </c>
      <c r="D615" s="32" t="s">
        <v>6984</v>
      </c>
      <c r="E615" s="32" t="s">
        <v>5560</v>
      </c>
      <c r="F615" s="10">
        <v>1</v>
      </c>
      <c r="G615" s="8" t="s">
        <v>5101</v>
      </c>
      <c r="H615" s="10">
        <v>45.2</v>
      </c>
      <c r="I615" s="10">
        <f t="shared" si="11"/>
        <v>45.2</v>
      </c>
      <c r="J615" s="10">
        <v>2.5313072548000002</v>
      </c>
      <c r="K615" s="8" t="s">
        <v>5128</v>
      </c>
      <c r="S615"/>
    </row>
    <row r="616" spans="1:19" ht="15" x14ac:dyDescent="0.25">
      <c r="A616" s="8" t="s">
        <v>5073</v>
      </c>
      <c r="B616" s="8" t="s">
        <v>5070</v>
      </c>
      <c r="C616" s="8" t="s">
        <v>5561</v>
      </c>
      <c r="D616" s="32" t="s">
        <v>6984</v>
      </c>
      <c r="E616" s="32" t="s">
        <v>5561</v>
      </c>
      <c r="F616" s="10">
        <v>2</v>
      </c>
      <c r="G616" s="8" t="s">
        <v>5101</v>
      </c>
      <c r="H616" s="10">
        <v>54.5</v>
      </c>
      <c r="I616" s="10">
        <f t="shared" si="11"/>
        <v>109</v>
      </c>
      <c r="J616" s="10">
        <v>6.5731906055999998</v>
      </c>
      <c r="K616" s="8" t="s">
        <v>5128</v>
      </c>
      <c r="S616"/>
    </row>
    <row r="617" spans="1:19" ht="15" x14ac:dyDescent="0.25">
      <c r="A617" s="8" t="s">
        <v>5073</v>
      </c>
      <c r="B617" s="8" t="s">
        <v>5070</v>
      </c>
      <c r="C617" s="8" t="s">
        <v>5562</v>
      </c>
      <c r="D617" s="32" t="s">
        <v>6984</v>
      </c>
      <c r="E617" s="32" t="s">
        <v>5562</v>
      </c>
      <c r="F617" s="10">
        <v>2</v>
      </c>
      <c r="G617" s="8" t="s">
        <v>5101</v>
      </c>
      <c r="H617" s="10">
        <v>152.4</v>
      </c>
      <c r="I617" s="10">
        <f t="shared" si="11"/>
        <v>304.8</v>
      </c>
      <c r="J617" s="10">
        <v>20.414032093599999</v>
      </c>
      <c r="K617" s="8" t="s">
        <v>5128</v>
      </c>
      <c r="S617"/>
    </row>
    <row r="618" spans="1:19" ht="15" x14ac:dyDescent="0.25">
      <c r="A618" s="8" t="s">
        <v>5073</v>
      </c>
      <c r="B618" s="8" t="s">
        <v>5070</v>
      </c>
      <c r="C618" s="8" t="s">
        <v>5563</v>
      </c>
      <c r="D618" s="32" t="s">
        <v>6984</v>
      </c>
      <c r="E618" s="32" t="s">
        <v>5563</v>
      </c>
      <c r="F618" s="10">
        <v>1</v>
      </c>
      <c r="G618" s="8" t="s">
        <v>5101</v>
      </c>
      <c r="H618" s="10">
        <v>170</v>
      </c>
      <c r="I618" s="10">
        <f t="shared" si="11"/>
        <v>170</v>
      </c>
      <c r="J618" s="10">
        <v>11.632153086800001</v>
      </c>
      <c r="K618" s="8" t="s">
        <v>5128</v>
      </c>
      <c r="S618"/>
    </row>
    <row r="619" spans="1:19" ht="15" x14ac:dyDescent="0.25">
      <c r="A619" s="8" t="s">
        <v>5073</v>
      </c>
      <c r="B619" s="8" t="s">
        <v>5070</v>
      </c>
      <c r="C619" s="8" t="s">
        <v>5564</v>
      </c>
      <c r="D619" s="32" t="s">
        <v>6984</v>
      </c>
      <c r="E619" s="32" t="s">
        <v>5564</v>
      </c>
      <c r="F619" s="10">
        <v>2</v>
      </c>
      <c r="G619" s="8" t="s">
        <v>5101</v>
      </c>
      <c r="H619" s="10">
        <v>84.65</v>
      </c>
      <c r="I619" s="10">
        <f t="shared" si="11"/>
        <v>169.3</v>
      </c>
      <c r="J619" s="10">
        <v>10.7832004456</v>
      </c>
      <c r="K619" s="8" t="s">
        <v>5128</v>
      </c>
      <c r="S619"/>
    </row>
    <row r="620" spans="1:19" ht="15" x14ac:dyDescent="0.25">
      <c r="A620" s="8" t="s">
        <v>5073</v>
      </c>
      <c r="B620" s="8" t="s">
        <v>5070</v>
      </c>
      <c r="C620" s="8" t="s">
        <v>5565</v>
      </c>
      <c r="D620" s="32" t="s">
        <v>6984</v>
      </c>
      <c r="E620" s="32" t="s">
        <v>5565</v>
      </c>
      <c r="F620" s="10">
        <v>1</v>
      </c>
      <c r="G620" s="8" t="s">
        <v>5101</v>
      </c>
      <c r="H620" s="10">
        <v>52.1</v>
      </c>
      <c r="I620" s="10">
        <f t="shared" si="11"/>
        <v>52.1</v>
      </c>
      <c r="J620" s="10">
        <v>3.0968265748000001</v>
      </c>
      <c r="K620" s="8" t="s">
        <v>5128</v>
      </c>
      <c r="S620"/>
    </row>
    <row r="621" spans="1:19" ht="15" x14ac:dyDescent="0.25">
      <c r="A621" s="8" t="s">
        <v>5073</v>
      </c>
      <c r="B621" s="8" t="s">
        <v>5070</v>
      </c>
      <c r="C621" s="8" t="s">
        <v>5566</v>
      </c>
      <c r="D621" s="32" t="s">
        <v>6984</v>
      </c>
      <c r="E621" s="32" t="s">
        <v>5566</v>
      </c>
      <c r="F621" s="10">
        <v>1</v>
      </c>
      <c r="G621" s="8" t="s">
        <v>5101</v>
      </c>
      <c r="H621" s="10">
        <v>63</v>
      </c>
      <c r="I621" s="10">
        <f t="shared" si="11"/>
        <v>63</v>
      </c>
      <c r="J621" s="10">
        <v>3.9784857748000002</v>
      </c>
      <c r="K621" s="8" t="s">
        <v>5128</v>
      </c>
      <c r="S621"/>
    </row>
    <row r="622" spans="1:19" ht="15" x14ac:dyDescent="0.25">
      <c r="A622" s="8" t="s">
        <v>5073</v>
      </c>
      <c r="B622" s="8" t="s">
        <v>5070</v>
      </c>
      <c r="C622" s="8" t="s">
        <v>5567</v>
      </c>
      <c r="D622" s="32" t="s">
        <v>6984</v>
      </c>
      <c r="E622" s="32" t="s">
        <v>5567</v>
      </c>
      <c r="F622" s="10">
        <v>3</v>
      </c>
      <c r="G622" s="8" t="s">
        <v>16</v>
      </c>
      <c r="H622" s="10">
        <v>47.966666666666669</v>
      </c>
      <c r="I622" s="10">
        <f t="shared" si="11"/>
        <v>143.9</v>
      </c>
      <c r="J622" s="10">
        <v>4.6713055920000004</v>
      </c>
      <c r="K622" s="8" t="s">
        <v>4781</v>
      </c>
      <c r="S622"/>
    </row>
    <row r="623" spans="1:19" ht="15" x14ac:dyDescent="0.25">
      <c r="A623" s="8" t="s">
        <v>4963</v>
      </c>
      <c r="B623" s="8" t="s">
        <v>4869</v>
      </c>
      <c r="C623" s="8" t="s">
        <v>5568</v>
      </c>
      <c r="D623" s="32" t="s">
        <v>6984</v>
      </c>
      <c r="E623" s="32" t="s">
        <v>5568</v>
      </c>
      <c r="F623" s="10">
        <v>43</v>
      </c>
      <c r="G623" s="8" t="s">
        <v>5569</v>
      </c>
      <c r="H623" s="10">
        <v>13.1</v>
      </c>
      <c r="I623" s="10">
        <f t="shared" si="11"/>
        <v>563.29999999999995</v>
      </c>
      <c r="J623" s="10">
        <v>0</v>
      </c>
      <c r="K623" s="8" t="s">
        <v>5570</v>
      </c>
      <c r="S623"/>
    </row>
    <row r="624" spans="1:19" ht="15" x14ac:dyDescent="0.25">
      <c r="A624" s="8" t="s">
        <v>5073</v>
      </c>
      <c r="B624" s="8" t="s">
        <v>5070</v>
      </c>
      <c r="C624" s="8" t="s">
        <v>5571</v>
      </c>
      <c r="D624" s="32" t="s">
        <v>6984</v>
      </c>
      <c r="E624" s="32" t="s">
        <v>5571</v>
      </c>
      <c r="F624" s="10">
        <v>1</v>
      </c>
      <c r="G624" s="8" t="s">
        <v>5086</v>
      </c>
      <c r="H624" s="10">
        <v>38.200000000000003</v>
      </c>
      <c r="I624" s="10">
        <f t="shared" si="11"/>
        <v>38.200000000000003</v>
      </c>
      <c r="J624" s="10">
        <v>0</v>
      </c>
      <c r="K624" s="8" t="s">
        <v>5087</v>
      </c>
      <c r="S624"/>
    </row>
    <row r="625" spans="1:19" ht="15" x14ac:dyDescent="0.25">
      <c r="A625" s="8" t="s">
        <v>5073</v>
      </c>
      <c r="B625" s="8" t="s">
        <v>5070</v>
      </c>
      <c r="C625" s="8" t="s">
        <v>5572</v>
      </c>
      <c r="D625" s="32" t="s">
        <v>6984</v>
      </c>
      <c r="E625" s="32" t="s">
        <v>5572</v>
      </c>
      <c r="F625" s="10">
        <v>4</v>
      </c>
      <c r="G625" s="8" t="s">
        <v>5086</v>
      </c>
      <c r="H625" s="10">
        <v>27.824999999999999</v>
      </c>
      <c r="I625" s="10">
        <f t="shared" si="11"/>
        <v>111.3</v>
      </c>
      <c r="J625" s="10">
        <v>0</v>
      </c>
      <c r="K625" s="8" t="s">
        <v>5087</v>
      </c>
      <c r="S625"/>
    </row>
    <row r="626" spans="1:19" ht="15" x14ac:dyDescent="0.25">
      <c r="A626" s="8" t="s">
        <v>5073</v>
      </c>
      <c r="B626" s="8" t="s">
        <v>5070</v>
      </c>
      <c r="C626" s="8" t="s">
        <v>5573</v>
      </c>
      <c r="D626" s="32" t="s">
        <v>6984</v>
      </c>
      <c r="E626" s="32" t="s">
        <v>5573</v>
      </c>
      <c r="F626" s="10">
        <v>1</v>
      </c>
      <c r="G626" s="8" t="s">
        <v>5086</v>
      </c>
      <c r="H626" s="10">
        <v>27.8</v>
      </c>
      <c r="I626" s="10">
        <f t="shared" si="11"/>
        <v>27.8</v>
      </c>
      <c r="J626" s="10">
        <v>0</v>
      </c>
      <c r="K626" s="8" t="s">
        <v>5087</v>
      </c>
      <c r="S626"/>
    </row>
    <row r="627" spans="1:19" ht="15" x14ac:dyDescent="0.25">
      <c r="A627" s="8" t="s">
        <v>5073</v>
      </c>
      <c r="B627" s="8" t="s">
        <v>5070</v>
      </c>
      <c r="C627" s="8" t="s">
        <v>5574</v>
      </c>
      <c r="D627" s="32" t="s">
        <v>6984</v>
      </c>
      <c r="E627" s="32" t="s">
        <v>5574</v>
      </c>
      <c r="F627" s="10">
        <v>1</v>
      </c>
      <c r="G627" s="8" t="s">
        <v>5086</v>
      </c>
      <c r="H627" s="10">
        <v>27.8</v>
      </c>
      <c r="I627" s="10">
        <f t="shared" si="11"/>
        <v>27.8</v>
      </c>
      <c r="J627" s="10">
        <v>0</v>
      </c>
      <c r="K627" s="8" t="s">
        <v>5087</v>
      </c>
      <c r="S627"/>
    </row>
    <row r="628" spans="1:19" ht="15" x14ac:dyDescent="0.25">
      <c r="A628" s="8" t="s">
        <v>5073</v>
      </c>
      <c r="B628" s="8" t="s">
        <v>5070</v>
      </c>
      <c r="C628" s="8" t="s">
        <v>5575</v>
      </c>
      <c r="D628" s="32" t="s">
        <v>6984</v>
      </c>
      <c r="E628" s="32" t="s">
        <v>5575</v>
      </c>
      <c r="F628" s="10">
        <v>1</v>
      </c>
      <c r="G628" s="8" t="s">
        <v>5086</v>
      </c>
      <c r="H628" s="10">
        <v>27.8</v>
      </c>
      <c r="I628" s="10">
        <f t="shared" si="11"/>
        <v>27.8</v>
      </c>
      <c r="J628" s="10">
        <v>0</v>
      </c>
      <c r="K628" s="8" t="s">
        <v>5087</v>
      </c>
      <c r="S628"/>
    </row>
    <row r="629" spans="1:19" ht="15" x14ac:dyDescent="0.25">
      <c r="A629" s="8" t="s">
        <v>5073</v>
      </c>
      <c r="B629" s="8" t="s">
        <v>5070</v>
      </c>
      <c r="C629" s="8" t="s">
        <v>5576</v>
      </c>
      <c r="D629" s="32" t="s">
        <v>6984</v>
      </c>
      <c r="E629" s="32" t="s">
        <v>5576</v>
      </c>
      <c r="F629" s="10">
        <v>2</v>
      </c>
      <c r="G629" s="8" t="s">
        <v>5086</v>
      </c>
      <c r="H629" s="10">
        <v>33.200000000000003</v>
      </c>
      <c r="I629" s="10">
        <f t="shared" si="11"/>
        <v>66.400000000000006</v>
      </c>
      <c r="J629" s="10">
        <v>0</v>
      </c>
      <c r="K629" s="8" t="s">
        <v>5087</v>
      </c>
      <c r="S629"/>
    </row>
    <row r="630" spans="1:19" ht="15" x14ac:dyDescent="0.25">
      <c r="A630" s="8" t="s">
        <v>5073</v>
      </c>
      <c r="B630" s="8" t="s">
        <v>5070</v>
      </c>
      <c r="C630" s="8" t="s">
        <v>5577</v>
      </c>
      <c r="D630" s="32" t="s">
        <v>6984</v>
      </c>
      <c r="E630" s="32" t="s">
        <v>5577</v>
      </c>
      <c r="F630" s="10">
        <v>1</v>
      </c>
      <c r="G630" s="8" t="s">
        <v>5086</v>
      </c>
      <c r="H630" s="10">
        <v>33.200000000000003</v>
      </c>
      <c r="I630" s="10">
        <f t="shared" si="11"/>
        <v>33.200000000000003</v>
      </c>
      <c r="J630" s="10">
        <v>0</v>
      </c>
      <c r="K630" s="8" t="s">
        <v>5087</v>
      </c>
      <c r="S630"/>
    </row>
    <row r="631" spans="1:19" ht="15" x14ac:dyDescent="0.25">
      <c r="A631" s="8" t="s">
        <v>5073</v>
      </c>
      <c r="B631" s="8" t="s">
        <v>5070</v>
      </c>
      <c r="C631" s="8" t="s">
        <v>5578</v>
      </c>
      <c r="D631" s="32" t="s">
        <v>6984</v>
      </c>
      <c r="E631" s="32" t="s">
        <v>5578</v>
      </c>
      <c r="F631" s="10">
        <v>1</v>
      </c>
      <c r="G631" s="8" t="s">
        <v>5086</v>
      </c>
      <c r="H631" s="10">
        <v>25.4</v>
      </c>
      <c r="I631" s="10">
        <f t="shared" si="11"/>
        <v>25.4</v>
      </c>
      <c r="J631" s="10">
        <v>0</v>
      </c>
      <c r="K631" s="8" t="s">
        <v>5087</v>
      </c>
      <c r="S631"/>
    </row>
    <row r="632" spans="1:19" ht="15" x14ac:dyDescent="0.25">
      <c r="A632" s="8" t="s">
        <v>5073</v>
      </c>
      <c r="B632" s="8" t="s">
        <v>5070</v>
      </c>
      <c r="C632" s="8" t="s">
        <v>5579</v>
      </c>
      <c r="D632" s="32" t="s">
        <v>6984</v>
      </c>
      <c r="E632" s="32" t="s">
        <v>5579</v>
      </c>
      <c r="F632" s="10">
        <v>1</v>
      </c>
      <c r="G632" s="8" t="s">
        <v>5086</v>
      </c>
      <c r="H632" s="10">
        <v>10.4</v>
      </c>
      <c r="I632" s="10">
        <f t="shared" si="11"/>
        <v>10.4</v>
      </c>
      <c r="J632" s="10">
        <v>0</v>
      </c>
      <c r="K632" s="8" t="s">
        <v>5087</v>
      </c>
      <c r="S632"/>
    </row>
    <row r="633" spans="1:19" ht="15" x14ac:dyDescent="0.25">
      <c r="A633" s="8" t="s">
        <v>5069</v>
      </c>
      <c r="B633" s="8" t="s">
        <v>5070</v>
      </c>
      <c r="C633" s="8" t="s">
        <v>5580</v>
      </c>
      <c r="D633" s="32" t="s">
        <v>6984</v>
      </c>
      <c r="E633" s="32" t="s">
        <v>5580</v>
      </c>
      <c r="F633" s="10">
        <v>1</v>
      </c>
      <c r="G633" s="8" t="s">
        <v>5086</v>
      </c>
      <c r="H633" s="10">
        <v>40.299999999999997</v>
      </c>
      <c r="I633" s="10">
        <f t="shared" si="11"/>
        <v>40.299999999999997</v>
      </c>
      <c r="J633" s="10">
        <v>0</v>
      </c>
      <c r="K633" s="8" t="s">
        <v>5087</v>
      </c>
      <c r="S633"/>
    </row>
    <row r="634" spans="1:19" ht="15" x14ac:dyDescent="0.25">
      <c r="A634" s="8" t="s">
        <v>5073</v>
      </c>
      <c r="B634" s="8" t="s">
        <v>5070</v>
      </c>
      <c r="C634" s="8" t="s">
        <v>5581</v>
      </c>
      <c r="D634" s="32" t="s">
        <v>6984</v>
      </c>
      <c r="E634" s="32" t="s">
        <v>5581</v>
      </c>
      <c r="F634" s="10">
        <v>2</v>
      </c>
      <c r="G634" s="8" t="s">
        <v>5086</v>
      </c>
      <c r="H634" s="10">
        <v>31.8</v>
      </c>
      <c r="I634" s="10">
        <f t="shared" si="11"/>
        <v>63.6</v>
      </c>
      <c r="J634" s="10">
        <v>0</v>
      </c>
      <c r="K634" s="8" t="s">
        <v>5087</v>
      </c>
      <c r="S634"/>
    </row>
    <row r="635" spans="1:19" ht="15" x14ac:dyDescent="0.25">
      <c r="A635" s="8" t="s">
        <v>5073</v>
      </c>
      <c r="B635" s="8" t="s">
        <v>5070</v>
      </c>
      <c r="C635" s="8" t="s">
        <v>5582</v>
      </c>
      <c r="D635" s="32" t="s">
        <v>6984</v>
      </c>
      <c r="E635" s="32" t="s">
        <v>5582</v>
      </c>
      <c r="F635" s="10">
        <v>2</v>
      </c>
      <c r="G635" s="8" t="s">
        <v>5086</v>
      </c>
      <c r="H635" s="10">
        <v>27.7</v>
      </c>
      <c r="I635" s="10">
        <f t="shared" si="11"/>
        <v>55.4</v>
      </c>
      <c r="J635" s="10">
        <v>0</v>
      </c>
      <c r="K635" s="8" t="s">
        <v>5087</v>
      </c>
      <c r="S635"/>
    </row>
    <row r="636" spans="1:19" ht="15" x14ac:dyDescent="0.25">
      <c r="A636" s="8" t="s">
        <v>5073</v>
      </c>
      <c r="B636" s="8" t="s">
        <v>5070</v>
      </c>
      <c r="C636" s="8" t="s">
        <v>5583</v>
      </c>
      <c r="D636" s="32" t="s">
        <v>6984</v>
      </c>
      <c r="E636" s="32" t="s">
        <v>5583</v>
      </c>
      <c r="F636" s="10">
        <v>1</v>
      </c>
      <c r="G636" s="8" t="s">
        <v>5086</v>
      </c>
      <c r="H636" s="10">
        <v>27.5</v>
      </c>
      <c r="I636" s="10">
        <f t="shared" si="11"/>
        <v>27.5</v>
      </c>
      <c r="J636" s="10">
        <v>0</v>
      </c>
      <c r="K636" s="8" t="s">
        <v>5087</v>
      </c>
      <c r="S636"/>
    </row>
    <row r="637" spans="1:19" ht="15" x14ac:dyDescent="0.25">
      <c r="A637" s="8" t="s">
        <v>5073</v>
      </c>
      <c r="B637" s="8" t="s">
        <v>5070</v>
      </c>
      <c r="C637" s="8" t="s">
        <v>5584</v>
      </c>
      <c r="D637" s="32" t="s">
        <v>6984</v>
      </c>
      <c r="E637" s="32" t="s">
        <v>5584</v>
      </c>
      <c r="F637" s="10">
        <v>1</v>
      </c>
      <c r="G637" s="8" t="s">
        <v>5086</v>
      </c>
      <c r="H637" s="10">
        <v>25.4</v>
      </c>
      <c r="I637" s="10">
        <f t="shared" si="11"/>
        <v>25.4</v>
      </c>
      <c r="J637" s="10">
        <v>0</v>
      </c>
      <c r="K637" s="8" t="s">
        <v>5087</v>
      </c>
      <c r="S637"/>
    </row>
    <row r="638" spans="1:19" ht="15" x14ac:dyDescent="0.25">
      <c r="A638" s="8" t="s">
        <v>5069</v>
      </c>
      <c r="B638" s="8" t="s">
        <v>5070</v>
      </c>
      <c r="C638" s="8" t="s">
        <v>5585</v>
      </c>
      <c r="D638" s="32" t="s">
        <v>6984</v>
      </c>
      <c r="E638" s="32" t="s">
        <v>5585</v>
      </c>
      <c r="F638" s="10">
        <v>1</v>
      </c>
      <c r="G638" s="8" t="s">
        <v>5086</v>
      </c>
      <c r="H638" s="10">
        <v>31.8</v>
      </c>
      <c r="I638" s="10">
        <f t="shared" si="11"/>
        <v>31.8</v>
      </c>
      <c r="J638" s="10">
        <v>0</v>
      </c>
      <c r="K638" s="8" t="s">
        <v>5087</v>
      </c>
      <c r="S638"/>
    </row>
    <row r="639" spans="1:19" ht="15" x14ac:dyDescent="0.25">
      <c r="A639" s="8" t="s">
        <v>5069</v>
      </c>
      <c r="B639" s="8" t="s">
        <v>5070</v>
      </c>
      <c r="C639" s="8" t="s">
        <v>5586</v>
      </c>
      <c r="D639" s="32" t="s">
        <v>6984</v>
      </c>
      <c r="E639" s="32" t="s">
        <v>5586</v>
      </c>
      <c r="F639" s="10">
        <v>1</v>
      </c>
      <c r="G639" s="8" t="s">
        <v>5086</v>
      </c>
      <c r="H639" s="10">
        <v>32</v>
      </c>
      <c r="I639" s="10">
        <f t="shared" si="11"/>
        <v>32</v>
      </c>
      <c r="J639" s="10">
        <v>0</v>
      </c>
      <c r="K639" s="8" t="s">
        <v>5087</v>
      </c>
      <c r="S639"/>
    </row>
    <row r="640" spans="1:19" ht="15" x14ac:dyDescent="0.25">
      <c r="A640" s="8" t="s">
        <v>5069</v>
      </c>
      <c r="B640" s="8" t="s">
        <v>5070</v>
      </c>
      <c r="C640" s="8" t="s">
        <v>5587</v>
      </c>
      <c r="D640" s="32" t="s">
        <v>6984</v>
      </c>
      <c r="E640" s="32" t="s">
        <v>5587</v>
      </c>
      <c r="F640" s="10">
        <v>1</v>
      </c>
      <c r="G640" s="8" t="s">
        <v>5086</v>
      </c>
      <c r="H640" s="10">
        <v>38.5</v>
      </c>
      <c r="I640" s="10">
        <f t="shared" si="11"/>
        <v>38.5</v>
      </c>
      <c r="J640" s="10">
        <v>0</v>
      </c>
      <c r="K640" s="8" t="s">
        <v>5087</v>
      </c>
      <c r="S640"/>
    </row>
    <row r="641" spans="1:19" ht="15" x14ac:dyDescent="0.25">
      <c r="A641" s="8" t="s">
        <v>5069</v>
      </c>
      <c r="B641" s="8" t="s">
        <v>5070</v>
      </c>
      <c r="C641" s="8" t="s">
        <v>5588</v>
      </c>
      <c r="D641" s="32" t="s">
        <v>6984</v>
      </c>
      <c r="E641" s="32" t="s">
        <v>5588</v>
      </c>
      <c r="F641" s="10">
        <v>1</v>
      </c>
      <c r="G641" s="8" t="s">
        <v>5086</v>
      </c>
      <c r="H641" s="10">
        <v>29.6</v>
      </c>
      <c r="I641" s="10">
        <f t="shared" si="11"/>
        <v>29.6</v>
      </c>
      <c r="J641" s="10">
        <v>0</v>
      </c>
      <c r="K641" s="8" t="s">
        <v>5087</v>
      </c>
      <c r="S641"/>
    </row>
    <row r="642" spans="1:19" ht="15" x14ac:dyDescent="0.25">
      <c r="A642" s="8" t="s">
        <v>5069</v>
      </c>
      <c r="B642" s="8" t="s">
        <v>5070</v>
      </c>
      <c r="C642" s="8" t="s">
        <v>5589</v>
      </c>
      <c r="D642" s="32" t="s">
        <v>6984</v>
      </c>
      <c r="E642" s="32" t="s">
        <v>5589</v>
      </c>
      <c r="F642" s="10">
        <v>1</v>
      </c>
      <c r="G642" s="8" t="s">
        <v>5086</v>
      </c>
      <c r="H642" s="10">
        <v>31.9</v>
      </c>
      <c r="I642" s="10">
        <f t="shared" si="11"/>
        <v>31.9</v>
      </c>
      <c r="J642" s="10">
        <v>0</v>
      </c>
      <c r="K642" s="8" t="s">
        <v>5087</v>
      </c>
      <c r="S642"/>
    </row>
    <row r="643" spans="1:19" ht="15" x14ac:dyDescent="0.25">
      <c r="A643" s="8" t="s">
        <v>5073</v>
      </c>
      <c r="B643" s="8" t="s">
        <v>5070</v>
      </c>
      <c r="C643" s="8" t="s">
        <v>5590</v>
      </c>
      <c r="D643" s="32" t="s">
        <v>6984</v>
      </c>
      <c r="E643" s="32" t="s">
        <v>5590</v>
      </c>
      <c r="F643" s="10">
        <v>6</v>
      </c>
      <c r="G643" s="8" t="s">
        <v>5086</v>
      </c>
      <c r="H643" s="10">
        <v>33.216666666666669</v>
      </c>
      <c r="I643" s="10">
        <f t="shared" si="11"/>
        <v>199.3</v>
      </c>
      <c r="J643" s="10">
        <v>0</v>
      </c>
      <c r="K643" s="8" t="s">
        <v>5087</v>
      </c>
      <c r="S643"/>
    </row>
    <row r="644" spans="1:19" ht="15" x14ac:dyDescent="0.25">
      <c r="A644" s="8" t="s">
        <v>5073</v>
      </c>
      <c r="B644" s="8" t="s">
        <v>5070</v>
      </c>
      <c r="C644" s="8" t="s">
        <v>5591</v>
      </c>
      <c r="D644" s="32" t="s">
        <v>6984</v>
      </c>
      <c r="E644" s="32" t="s">
        <v>5591</v>
      </c>
      <c r="F644" s="10">
        <v>2</v>
      </c>
      <c r="G644" s="8" t="s">
        <v>5086</v>
      </c>
      <c r="H644" s="10">
        <v>22.7</v>
      </c>
      <c r="I644" s="10">
        <f t="shared" si="11"/>
        <v>45.4</v>
      </c>
      <c r="J644" s="10">
        <v>0</v>
      </c>
      <c r="K644" s="8" t="s">
        <v>5087</v>
      </c>
      <c r="S644"/>
    </row>
    <row r="645" spans="1:19" ht="15" x14ac:dyDescent="0.25">
      <c r="A645" s="8" t="s">
        <v>5069</v>
      </c>
      <c r="B645" s="8" t="s">
        <v>5070</v>
      </c>
      <c r="C645" s="8" t="s">
        <v>5592</v>
      </c>
      <c r="D645" s="32" t="s">
        <v>6984</v>
      </c>
      <c r="E645" s="32" t="s">
        <v>5592</v>
      </c>
      <c r="F645" s="10">
        <v>2</v>
      </c>
      <c r="G645" s="8" t="s">
        <v>5086</v>
      </c>
      <c r="H645" s="10">
        <v>40.25</v>
      </c>
      <c r="I645" s="10">
        <f t="shared" ref="I645:I708" si="12">F645*H645</f>
        <v>80.5</v>
      </c>
      <c r="J645" s="10">
        <v>0</v>
      </c>
      <c r="K645" s="8" t="s">
        <v>5087</v>
      </c>
      <c r="S645"/>
    </row>
    <row r="646" spans="1:19" ht="15" x14ac:dyDescent="0.25">
      <c r="A646" s="8" t="s">
        <v>5069</v>
      </c>
      <c r="B646" s="8" t="s">
        <v>5070</v>
      </c>
      <c r="C646" s="8" t="s">
        <v>5593</v>
      </c>
      <c r="D646" s="32" t="s">
        <v>6984</v>
      </c>
      <c r="E646" s="32" t="s">
        <v>5593</v>
      </c>
      <c r="F646" s="10">
        <v>1</v>
      </c>
      <c r="G646" s="8" t="s">
        <v>5086</v>
      </c>
      <c r="H646" s="10">
        <v>19.8</v>
      </c>
      <c r="I646" s="10">
        <f t="shared" si="12"/>
        <v>19.8</v>
      </c>
      <c r="J646" s="10">
        <v>0</v>
      </c>
      <c r="K646" s="8" t="s">
        <v>5087</v>
      </c>
      <c r="S646"/>
    </row>
    <row r="647" spans="1:19" ht="15" x14ac:dyDescent="0.25">
      <c r="A647" s="8" t="s">
        <v>5073</v>
      </c>
      <c r="B647" s="8" t="s">
        <v>5070</v>
      </c>
      <c r="C647" s="8" t="s">
        <v>5594</v>
      </c>
      <c r="D647" s="32" t="s">
        <v>6984</v>
      </c>
      <c r="E647" s="32" t="s">
        <v>5594</v>
      </c>
      <c r="F647" s="10">
        <v>1</v>
      </c>
      <c r="G647" s="8" t="s">
        <v>5086</v>
      </c>
      <c r="H647" s="10">
        <v>19.3</v>
      </c>
      <c r="I647" s="10">
        <f t="shared" si="12"/>
        <v>19.3</v>
      </c>
      <c r="J647" s="10">
        <v>0</v>
      </c>
      <c r="K647" s="8" t="s">
        <v>5087</v>
      </c>
      <c r="S647"/>
    </row>
    <row r="648" spans="1:19" ht="15" x14ac:dyDescent="0.25">
      <c r="A648" s="8" t="s">
        <v>5069</v>
      </c>
      <c r="B648" s="8" t="s">
        <v>5070</v>
      </c>
      <c r="C648" s="8" t="s">
        <v>5595</v>
      </c>
      <c r="D648" s="32" t="s">
        <v>6984</v>
      </c>
      <c r="E648" s="32" t="s">
        <v>5595</v>
      </c>
      <c r="F648" s="10">
        <v>1</v>
      </c>
      <c r="G648" s="8" t="s">
        <v>5086</v>
      </c>
      <c r="H648" s="10">
        <v>19.8</v>
      </c>
      <c r="I648" s="10">
        <f t="shared" si="12"/>
        <v>19.8</v>
      </c>
      <c r="J648" s="10">
        <v>0</v>
      </c>
      <c r="K648" s="8" t="s">
        <v>5087</v>
      </c>
      <c r="S648"/>
    </row>
    <row r="649" spans="1:19" ht="15" x14ac:dyDescent="0.25">
      <c r="A649" s="8" t="s">
        <v>5069</v>
      </c>
      <c r="B649" s="8" t="s">
        <v>5070</v>
      </c>
      <c r="C649" s="8" t="s">
        <v>5596</v>
      </c>
      <c r="D649" s="32" t="s">
        <v>6984</v>
      </c>
      <c r="E649" s="32" t="s">
        <v>5596</v>
      </c>
      <c r="F649" s="10">
        <v>2</v>
      </c>
      <c r="G649" s="8" t="s">
        <v>5086</v>
      </c>
      <c r="H649" s="10">
        <v>27.25</v>
      </c>
      <c r="I649" s="10">
        <f t="shared" si="12"/>
        <v>54.5</v>
      </c>
      <c r="J649" s="10">
        <v>0</v>
      </c>
      <c r="K649" s="8" t="s">
        <v>5087</v>
      </c>
      <c r="S649"/>
    </row>
    <row r="650" spans="1:19" ht="15" x14ac:dyDescent="0.25">
      <c r="A650" s="8" t="s">
        <v>5069</v>
      </c>
      <c r="B650" s="8" t="s">
        <v>5070</v>
      </c>
      <c r="C650" s="8" t="s">
        <v>5597</v>
      </c>
      <c r="D650" s="32" t="s">
        <v>6984</v>
      </c>
      <c r="E650" s="32" t="s">
        <v>5597</v>
      </c>
      <c r="F650" s="10">
        <v>1</v>
      </c>
      <c r="G650" s="8" t="s">
        <v>5086</v>
      </c>
      <c r="H650" s="10">
        <v>15.2</v>
      </c>
      <c r="I650" s="10">
        <f t="shared" si="12"/>
        <v>15.2</v>
      </c>
      <c r="J650" s="10">
        <v>0</v>
      </c>
      <c r="K650" s="8" t="s">
        <v>5087</v>
      </c>
      <c r="S650"/>
    </row>
    <row r="651" spans="1:19" ht="15" x14ac:dyDescent="0.25">
      <c r="A651" s="8" t="s">
        <v>5069</v>
      </c>
      <c r="B651" s="8" t="s">
        <v>5070</v>
      </c>
      <c r="C651" s="8" t="s">
        <v>5598</v>
      </c>
      <c r="D651" s="32" t="s">
        <v>6984</v>
      </c>
      <c r="E651" s="32" t="s">
        <v>5598</v>
      </c>
      <c r="F651" s="10">
        <v>2</v>
      </c>
      <c r="G651" s="8" t="s">
        <v>5086</v>
      </c>
      <c r="H651" s="10">
        <v>13.1</v>
      </c>
      <c r="I651" s="10">
        <f t="shared" si="12"/>
        <v>26.2</v>
      </c>
      <c r="J651" s="10">
        <v>0</v>
      </c>
      <c r="K651" s="8" t="s">
        <v>5087</v>
      </c>
      <c r="S651"/>
    </row>
    <row r="652" spans="1:19" ht="15" x14ac:dyDescent="0.25">
      <c r="A652" s="8" t="s">
        <v>5069</v>
      </c>
      <c r="B652" s="8" t="s">
        <v>5070</v>
      </c>
      <c r="C652" s="8" t="s">
        <v>5599</v>
      </c>
      <c r="D652" s="32" t="s">
        <v>6984</v>
      </c>
      <c r="E652" s="32" t="s">
        <v>5599</v>
      </c>
      <c r="F652" s="10">
        <v>1</v>
      </c>
      <c r="G652" s="8" t="s">
        <v>5086</v>
      </c>
      <c r="H652" s="10">
        <v>19.100000000000001</v>
      </c>
      <c r="I652" s="10">
        <f t="shared" si="12"/>
        <v>19.100000000000001</v>
      </c>
      <c r="J652" s="10">
        <v>0</v>
      </c>
      <c r="K652" s="8" t="s">
        <v>5087</v>
      </c>
      <c r="S652"/>
    </row>
    <row r="653" spans="1:19" ht="15" x14ac:dyDescent="0.25">
      <c r="A653" s="8" t="s">
        <v>5069</v>
      </c>
      <c r="B653" s="8" t="s">
        <v>5070</v>
      </c>
      <c r="C653" s="8" t="s">
        <v>5600</v>
      </c>
      <c r="D653" s="32" t="s">
        <v>6984</v>
      </c>
      <c r="E653" s="32" t="s">
        <v>5600</v>
      </c>
      <c r="F653" s="10">
        <v>2</v>
      </c>
      <c r="G653" s="8" t="s">
        <v>5086</v>
      </c>
      <c r="H653" s="10">
        <v>13.9</v>
      </c>
      <c r="I653" s="10">
        <f t="shared" si="12"/>
        <v>27.8</v>
      </c>
      <c r="J653" s="10">
        <v>0</v>
      </c>
      <c r="K653" s="8" t="s">
        <v>5087</v>
      </c>
      <c r="S653"/>
    </row>
    <row r="654" spans="1:19" ht="15" x14ac:dyDescent="0.25">
      <c r="A654" s="8" t="s">
        <v>5069</v>
      </c>
      <c r="B654" s="8" t="s">
        <v>5070</v>
      </c>
      <c r="C654" s="8" t="s">
        <v>5601</v>
      </c>
      <c r="D654" s="32" t="s">
        <v>6984</v>
      </c>
      <c r="E654" s="32" t="s">
        <v>5601</v>
      </c>
      <c r="F654" s="10">
        <v>1</v>
      </c>
      <c r="G654" s="8" t="s">
        <v>5086</v>
      </c>
      <c r="H654" s="10">
        <v>11.4</v>
      </c>
      <c r="I654" s="10">
        <f t="shared" si="12"/>
        <v>11.4</v>
      </c>
      <c r="J654" s="10">
        <v>0</v>
      </c>
      <c r="K654" s="8" t="s">
        <v>5087</v>
      </c>
      <c r="S654"/>
    </row>
    <row r="655" spans="1:19" ht="15" x14ac:dyDescent="0.25">
      <c r="A655" s="8" t="s">
        <v>5069</v>
      </c>
      <c r="B655" s="8" t="s">
        <v>5070</v>
      </c>
      <c r="C655" s="8" t="s">
        <v>5602</v>
      </c>
      <c r="D655" s="32" t="s">
        <v>6984</v>
      </c>
      <c r="E655" s="32" t="s">
        <v>5602</v>
      </c>
      <c r="F655" s="10">
        <v>1</v>
      </c>
      <c r="G655" s="8" t="s">
        <v>5086</v>
      </c>
      <c r="H655" s="10">
        <v>9.1999999999999993</v>
      </c>
      <c r="I655" s="10">
        <f t="shared" si="12"/>
        <v>9.1999999999999993</v>
      </c>
      <c r="J655" s="10">
        <v>0</v>
      </c>
      <c r="K655" s="8" t="s">
        <v>5087</v>
      </c>
      <c r="S655"/>
    </row>
    <row r="656" spans="1:19" ht="15" x14ac:dyDescent="0.25">
      <c r="A656" s="8" t="s">
        <v>5069</v>
      </c>
      <c r="B656" s="8" t="s">
        <v>5070</v>
      </c>
      <c r="C656" s="8" t="s">
        <v>5603</v>
      </c>
      <c r="D656" s="32" t="s">
        <v>6984</v>
      </c>
      <c r="E656" s="32" t="s">
        <v>5603</v>
      </c>
      <c r="F656" s="10">
        <v>2</v>
      </c>
      <c r="G656" s="8" t="s">
        <v>5086</v>
      </c>
      <c r="H656" s="10">
        <v>19.8</v>
      </c>
      <c r="I656" s="10">
        <f t="shared" si="12"/>
        <v>39.6</v>
      </c>
      <c r="J656" s="10">
        <v>0</v>
      </c>
      <c r="K656" s="8" t="s">
        <v>5087</v>
      </c>
      <c r="S656"/>
    </row>
    <row r="657" spans="1:19" ht="15" x14ac:dyDescent="0.25">
      <c r="A657" s="8" t="s">
        <v>5069</v>
      </c>
      <c r="B657" s="8" t="s">
        <v>5070</v>
      </c>
      <c r="C657" s="8" t="s">
        <v>5604</v>
      </c>
      <c r="D657" s="32" t="s">
        <v>6984</v>
      </c>
      <c r="E657" s="32" t="s">
        <v>5604</v>
      </c>
      <c r="F657" s="10">
        <v>1</v>
      </c>
      <c r="G657" s="8" t="s">
        <v>5086</v>
      </c>
      <c r="H657" s="10">
        <v>16.3</v>
      </c>
      <c r="I657" s="10">
        <f t="shared" si="12"/>
        <v>16.3</v>
      </c>
      <c r="J657" s="10">
        <v>0</v>
      </c>
      <c r="K657" s="8" t="s">
        <v>5087</v>
      </c>
      <c r="S657"/>
    </row>
    <row r="658" spans="1:19" ht="15" x14ac:dyDescent="0.25">
      <c r="A658" s="8" t="s">
        <v>5069</v>
      </c>
      <c r="B658" s="8" t="s">
        <v>5070</v>
      </c>
      <c r="C658" s="8" t="s">
        <v>5605</v>
      </c>
      <c r="D658" s="32" t="s">
        <v>6984</v>
      </c>
      <c r="E658" s="32" t="s">
        <v>5605</v>
      </c>
      <c r="F658" s="10">
        <v>1</v>
      </c>
      <c r="G658" s="8" t="s">
        <v>5086</v>
      </c>
      <c r="H658" s="10">
        <v>13.4</v>
      </c>
      <c r="I658" s="10">
        <f t="shared" si="12"/>
        <v>13.4</v>
      </c>
      <c r="J658" s="10">
        <v>0</v>
      </c>
      <c r="K658" s="8" t="s">
        <v>5087</v>
      </c>
      <c r="S658"/>
    </row>
    <row r="659" spans="1:19" ht="15" x14ac:dyDescent="0.25">
      <c r="A659" s="8" t="s">
        <v>5073</v>
      </c>
      <c r="B659" s="8" t="s">
        <v>5070</v>
      </c>
      <c r="C659" s="8" t="s">
        <v>5606</v>
      </c>
      <c r="D659" s="32" t="s">
        <v>6984</v>
      </c>
      <c r="E659" s="32" t="s">
        <v>5606</v>
      </c>
      <c r="F659" s="10">
        <v>1</v>
      </c>
      <c r="G659" s="8" t="s">
        <v>5086</v>
      </c>
      <c r="H659" s="10">
        <v>15.9</v>
      </c>
      <c r="I659" s="10">
        <f t="shared" si="12"/>
        <v>15.9</v>
      </c>
      <c r="J659" s="10">
        <v>0</v>
      </c>
      <c r="K659" s="8" t="s">
        <v>5087</v>
      </c>
      <c r="S659"/>
    </row>
    <row r="660" spans="1:19" ht="15" x14ac:dyDescent="0.25">
      <c r="A660" s="8" t="s">
        <v>5073</v>
      </c>
      <c r="B660" s="8" t="s">
        <v>5070</v>
      </c>
      <c r="C660" s="8" t="s">
        <v>5607</v>
      </c>
      <c r="D660" s="32" t="s">
        <v>6984</v>
      </c>
      <c r="E660" s="32" t="s">
        <v>5607</v>
      </c>
      <c r="F660" s="10">
        <v>1</v>
      </c>
      <c r="G660" s="8" t="s">
        <v>5086</v>
      </c>
      <c r="H660" s="10">
        <v>19.3</v>
      </c>
      <c r="I660" s="10">
        <f t="shared" si="12"/>
        <v>19.3</v>
      </c>
      <c r="J660" s="10">
        <v>0</v>
      </c>
      <c r="K660" s="8" t="s">
        <v>5087</v>
      </c>
      <c r="S660"/>
    </row>
    <row r="661" spans="1:19" ht="15" x14ac:dyDescent="0.25">
      <c r="A661" s="8" t="s">
        <v>5073</v>
      </c>
      <c r="B661" s="8" t="s">
        <v>5070</v>
      </c>
      <c r="C661" s="8" t="s">
        <v>5608</v>
      </c>
      <c r="D661" s="32" t="s">
        <v>6984</v>
      </c>
      <c r="E661" s="32" t="s">
        <v>5608</v>
      </c>
      <c r="F661" s="10">
        <v>2</v>
      </c>
      <c r="G661" s="8" t="s">
        <v>5086</v>
      </c>
      <c r="H661" s="10">
        <v>12.75</v>
      </c>
      <c r="I661" s="10">
        <f t="shared" si="12"/>
        <v>25.5</v>
      </c>
      <c r="J661" s="10">
        <v>0</v>
      </c>
      <c r="K661" s="8" t="s">
        <v>5087</v>
      </c>
      <c r="S661"/>
    </row>
    <row r="662" spans="1:19" ht="15" x14ac:dyDescent="0.25">
      <c r="A662" s="8" t="s">
        <v>5073</v>
      </c>
      <c r="B662" s="8" t="s">
        <v>5070</v>
      </c>
      <c r="C662" s="8" t="s">
        <v>5609</v>
      </c>
      <c r="D662" s="32" t="s">
        <v>6984</v>
      </c>
      <c r="E662" s="32" t="s">
        <v>5609</v>
      </c>
      <c r="F662" s="10">
        <v>2</v>
      </c>
      <c r="G662" s="8" t="s">
        <v>5086</v>
      </c>
      <c r="H662" s="10">
        <v>26.55</v>
      </c>
      <c r="I662" s="10">
        <f t="shared" si="12"/>
        <v>53.1</v>
      </c>
      <c r="J662" s="10">
        <v>0</v>
      </c>
      <c r="K662" s="8" t="s">
        <v>5087</v>
      </c>
      <c r="S662"/>
    </row>
    <row r="663" spans="1:19" ht="15" x14ac:dyDescent="0.25">
      <c r="A663" s="8" t="s">
        <v>5073</v>
      </c>
      <c r="B663" s="8" t="s">
        <v>5070</v>
      </c>
      <c r="C663" s="8" t="s">
        <v>5610</v>
      </c>
      <c r="D663" s="32" t="s">
        <v>6984</v>
      </c>
      <c r="E663" s="32" t="s">
        <v>5610</v>
      </c>
      <c r="F663" s="10">
        <v>1</v>
      </c>
      <c r="G663" s="8" t="s">
        <v>5086</v>
      </c>
      <c r="H663" s="10">
        <v>10.7</v>
      </c>
      <c r="I663" s="10">
        <f t="shared" si="12"/>
        <v>10.7</v>
      </c>
      <c r="J663" s="10">
        <v>0</v>
      </c>
      <c r="K663" s="8" t="s">
        <v>5087</v>
      </c>
      <c r="S663"/>
    </row>
    <row r="664" spans="1:19" ht="15" x14ac:dyDescent="0.25">
      <c r="A664" s="8" t="s">
        <v>5073</v>
      </c>
      <c r="B664" s="8" t="s">
        <v>5070</v>
      </c>
      <c r="C664" s="8" t="s">
        <v>5611</v>
      </c>
      <c r="D664" s="32" t="s">
        <v>6984</v>
      </c>
      <c r="E664" s="32" t="s">
        <v>5611</v>
      </c>
      <c r="F664" s="10">
        <v>2</v>
      </c>
      <c r="G664" s="8" t="s">
        <v>5086</v>
      </c>
      <c r="H664" s="10">
        <v>16.149999999999999</v>
      </c>
      <c r="I664" s="10">
        <f t="shared" si="12"/>
        <v>32.299999999999997</v>
      </c>
      <c r="J664" s="10">
        <v>0</v>
      </c>
      <c r="K664" s="8" t="s">
        <v>5087</v>
      </c>
      <c r="S664"/>
    </row>
    <row r="665" spans="1:19" ht="15" x14ac:dyDescent="0.25">
      <c r="A665" s="8" t="s">
        <v>5073</v>
      </c>
      <c r="B665" s="8" t="s">
        <v>5070</v>
      </c>
      <c r="C665" s="8" t="s">
        <v>5612</v>
      </c>
      <c r="D665" s="32" t="s">
        <v>6984</v>
      </c>
      <c r="E665" s="32" t="s">
        <v>5612</v>
      </c>
      <c r="F665" s="10">
        <v>1</v>
      </c>
      <c r="G665" s="8" t="s">
        <v>5086</v>
      </c>
      <c r="H665" s="10">
        <v>13.2</v>
      </c>
      <c r="I665" s="10">
        <f t="shared" si="12"/>
        <v>13.2</v>
      </c>
      <c r="J665" s="10">
        <v>0</v>
      </c>
      <c r="K665" s="8" t="s">
        <v>5087</v>
      </c>
      <c r="S665"/>
    </row>
    <row r="666" spans="1:19" ht="15" x14ac:dyDescent="0.25">
      <c r="A666" s="8" t="s">
        <v>5073</v>
      </c>
      <c r="B666" s="8" t="s">
        <v>5070</v>
      </c>
      <c r="C666" s="8" t="s">
        <v>5613</v>
      </c>
      <c r="D666" s="32" t="s">
        <v>6984</v>
      </c>
      <c r="E666" s="32" t="s">
        <v>5613</v>
      </c>
      <c r="F666" s="10">
        <v>1</v>
      </c>
      <c r="G666" s="8" t="s">
        <v>5086</v>
      </c>
      <c r="H666" s="10">
        <v>22.2</v>
      </c>
      <c r="I666" s="10">
        <f t="shared" si="12"/>
        <v>22.2</v>
      </c>
      <c r="J666" s="10">
        <v>0</v>
      </c>
      <c r="K666" s="8" t="s">
        <v>5087</v>
      </c>
      <c r="S666"/>
    </row>
    <row r="667" spans="1:19" ht="15" x14ac:dyDescent="0.25">
      <c r="A667" s="8" t="s">
        <v>5073</v>
      </c>
      <c r="B667" s="8" t="s">
        <v>5070</v>
      </c>
      <c r="C667" s="8" t="s">
        <v>5614</v>
      </c>
      <c r="D667" s="32" t="s">
        <v>6984</v>
      </c>
      <c r="E667" s="32" t="s">
        <v>5614</v>
      </c>
      <c r="F667" s="10">
        <v>2</v>
      </c>
      <c r="G667" s="8" t="s">
        <v>5086</v>
      </c>
      <c r="H667" s="10">
        <v>19.3</v>
      </c>
      <c r="I667" s="10">
        <f t="shared" si="12"/>
        <v>38.6</v>
      </c>
      <c r="J667" s="10">
        <v>0</v>
      </c>
      <c r="K667" s="8" t="s">
        <v>5087</v>
      </c>
      <c r="S667"/>
    </row>
    <row r="668" spans="1:19" ht="15" x14ac:dyDescent="0.25">
      <c r="A668" s="8" t="s">
        <v>5073</v>
      </c>
      <c r="B668" s="8" t="s">
        <v>5070</v>
      </c>
      <c r="C668" s="8" t="s">
        <v>5615</v>
      </c>
      <c r="D668" s="32" t="s">
        <v>6984</v>
      </c>
      <c r="E668" s="32" t="s">
        <v>5615</v>
      </c>
      <c r="F668" s="10">
        <v>8</v>
      </c>
      <c r="G668" s="8" t="s">
        <v>5569</v>
      </c>
      <c r="H668" s="10">
        <v>13.1</v>
      </c>
      <c r="I668" s="10">
        <f t="shared" si="12"/>
        <v>104.8</v>
      </c>
      <c r="J668" s="10">
        <v>0</v>
      </c>
      <c r="K668" s="8" t="s">
        <v>5570</v>
      </c>
      <c r="S668"/>
    </row>
    <row r="669" spans="1:19" ht="15" x14ac:dyDescent="0.25">
      <c r="A669" s="8" t="s">
        <v>5069</v>
      </c>
      <c r="B669" s="8" t="s">
        <v>5070</v>
      </c>
      <c r="C669" s="8" t="s">
        <v>5616</v>
      </c>
      <c r="D669" s="32" t="s">
        <v>6984</v>
      </c>
      <c r="E669" s="32" t="s">
        <v>5616</v>
      </c>
      <c r="F669" s="10">
        <v>1</v>
      </c>
      <c r="G669" s="8" t="s">
        <v>5086</v>
      </c>
      <c r="H669" s="10">
        <v>9.5</v>
      </c>
      <c r="I669" s="10">
        <f t="shared" si="12"/>
        <v>9.5</v>
      </c>
      <c r="J669" s="10">
        <v>0</v>
      </c>
      <c r="K669" s="8" t="s">
        <v>5087</v>
      </c>
      <c r="S669"/>
    </row>
    <row r="670" spans="1:19" ht="15" x14ac:dyDescent="0.25">
      <c r="A670" s="8" t="s">
        <v>5073</v>
      </c>
      <c r="B670" s="8" t="s">
        <v>5070</v>
      </c>
      <c r="C670" s="8" t="s">
        <v>5617</v>
      </c>
      <c r="D670" s="32" t="s">
        <v>6984</v>
      </c>
      <c r="E670" s="32" t="s">
        <v>5617</v>
      </c>
      <c r="F670" s="10">
        <v>1</v>
      </c>
      <c r="G670" s="8" t="s">
        <v>5086</v>
      </c>
      <c r="H670" s="10">
        <v>15.9</v>
      </c>
      <c r="I670" s="10">
        <f t="shared" si="12"/>
        <v>15.9</v>
      </c>
      <c r="J670" s="10">
        <v>0</v>
      </c>
      <c r="K670" s="8" t="s">
        <v>5087</v>
      </c>
      <c r="S670"/>
    </row>
    <row r="671" spans="1:19" ht="15" x14ac:dyDescent="0.25">
      <c r="A671" s="8" t="s">
        <v>5073</v>
      </c>
      <c r="B671" s="8" t="s">
        <v>5070</v>
      </c>
      <c r="C671" s="8" t="s">
        <v>5618</v>
      </c>
      <c r="D671" s="32" t="s">
        <v>6984</v>
      </c>
      <c r="E671" s="32" t="s">
        <v>5618</v>
      </c>
      <c r="F671" s="10">
        <v>1</v>
      </c>
      <c r="G671" s="8" t="s">
        <v>5619</v>
      </c>
      <c r="H671" s="10">
        <v>160.5</v>
      </c>
      <c r="I671" s="10">
        <f t="shared" si="12"/>
        <v>160.5</v>
      </c>
      <c r="K671" s="8" t="s">
        <v>5620</v>
      </c>
      <c r="S671"/>
    </row>
    <row r="672" spans="1:19" ht="15" x14ac:dyDescent="0.25">
      <c r="A672" s="8" t="s">
        <v>5073</v>
      </c>
      <c r="B672" s="8" t="s">
        <v>5070</v>
      </c>
      <c r="C672" s="8" t="s">
        <v>5621</v>
      </c>
      <c r="D672" s="32" t="s">
        <v>6984</v>
      </c>
      <c r="E672" s="32" t="s">
        <v>5621</v>
      </c>
      <c r="F672" s="10">
        <v>1</v>
      </c>
      <c r="G672" s="8" t="s">
        <v>5619</v>
      </c>
      <c r="H672" s="10">
        <v>156.30000000000001</v>
      </c>
      <c r="I672" s="10">
        <f t="shared" si="12"/>
        <v>156.30000000000001</v>
      </c>
      <c r="K672" s="8" t="s">
        <v>5620</v>
      </c>
      <c r="S672"/>
    </row>
    <row r="673" spans="1:19" ht="15" x14ac:dyDescent="0.25">
      <c r="A673" s="8" t="s">
        <v>5622</v>
      </c>
      <c r="B673" s="8" t="s">
        <v>4847</v>
      </c>
      <c r="C673" s="8" t="s">
        <v>5623</v>
      </c>
      <c r="D673" s="32" t="s">
        <v>6984</v>
      </c>
      <c r="E673" s="32" t="s">
        <v>5623</v>
      </c>
      <c r="F673" s="10">
        <v>1</v>
      </c>
      <c r="G673" s="8" t="s">
        <v>5624</v>
      </c>
      <c r="H673" s="10">
        <v>269</v>
      </c>
      <c r="I673" s="10">
        <f t="shared" si="12"/>
        <v>269</v>
      </c>
      <c r="J673" s="10">
        <v>7.4675937000000001</v>
      </c>
      <c r="K673" s="8" t="s">
        <v>5209</v>
      </c>
      <c r="S673"/>
    </row>
    <row r="674" spans="1:19" ht="15" x14ac:dyDescent="0.25">
      <c r="A674" s="8" t="s">
        <v>5622</v>
      </c>
      <c r="B674" s="8" t="s">
        <v>4847</v>
      </c>
      <c r="C674" s="8" t="s">
        <v>5625</v>
      </c>
      <c r="D674" s="32" t="s">
        <v>6984</v>
      </c>
      <c r="E674" s="32" t="s">
        <v>5625</v>
      </c>
      <c r="F674" s="10">
        <v>1</v>
      </c>
      <c r="G674" s="8" t="s">
        <v>5624</v>
      </c>
      <c r="H674" s="10">
        <v>600.70000000000005</v>
      </c>
      <c r="I674" s="10">
        <f t="shared" si="12"/>
        <v>600.70000000000005</v>
      </c>
      <c r="J674" s="10">
        <v>16.698860247999999</v>
      </c>
      <c r="K674" s="8" t="s">
        <v>5209</v>
      </c>
      <c r="S674"/>
    </row>
    <row r="675" spans="1:19" ht="15" x14ac:dyDescent="0.25">
      <c r="A675" s="8" t="s">
        <v>5622</v>
      </c>
      <c r="B675" s="8" t="s">
        <v>4847</v>
      </c>
      <c r="C675" s="8" t="s">
        <v>5626</v>
      </c>
      <c r="D675" s="32" t="s">
        <v>6984</v>
      </c>
      <c r="E675" s="32" t="s">
        <v>5626</v>
      </c>
      <c r="F675" s="10">
        <v>1</v>
      </c>
      <c r="G675" s="8" t="s">
        <v>5624</v>
      </c>
      <c r="H675" s="10">
        <v>268.5</v>
      </c>
      <c r="I675" s="10">
        <f t="shared" si="12"/>
        <v>268.5</v>
      </c>
      <c r="J675" s="10">
        <v>7.4528936999999997</v>
      </c>
      <c r="K675" s="8" t="s">
        <v>5209</v>
      </c>
      <c r="S675"/>
    </row>
    <row r="676" spans="1:19" ht="15" x14ac:dyDescent="0.25">
      <c r="A676" s="8" t="s">
        <v>5622</v>
      </c>
      <c r="B676" s="8" t="s">
        <v>4847</v>
      </c>
      <c r="C676" s="8" t="s">
        <v>5627</v>
      </c>
      <c r="D676" s="32" t="s">
        <v>6984</v>
      </c>
      <c r="E676" s="32" t="s">
        <v>5627</v>
      </c>
      <c r="F676" s="10">
        <v>3</v>
      </c>
      <c r="G676" s="8" t="s">
        <v>5624</v>
      </c>
      <c r="H676" s="10">
        <v>268.09999999999997</v>
      </c>
      <c r="I676" s="10">
        <f t="shared" si="12"/>
        <v>804.3</v>
      </c>
      <c r="J676" s="10">
        <v>22.3166817</v>
      </c>
      <c r="K676" s="8" t="s">
        <v>5209</v>
      </c>
      <c r="S676"/>
    </row>
    <row r="677" spans="1:19" ht="15" x14ac:dyDescent="0.25">
      <c r="A677" s="8" t="s">
        <v>5622</v>
      </c>
      <c r="B677" s="8" t="s">
        <v>4847</v>
      </c>
      <c r="C677" s="8" t="s">
        <v>5628</v>
      </c>
      <c r="D677" s="32" t="s">
        <v>6984</v>
      </c>
      <c r="E677" s="32" t="s">
        <v>5628</v>
      </c>
      <c r="F677" s="10">
        <v>2</v>
      </c>
      <c r="G677" s="8" t="s">
        <v>5624</v>
      </c>
      <c r="H677" s="10">
        <v>266.5</v>
      </c>
      <c r="I677" s="10">
        <f t="shared" si="12"/>
        <v>533</v>
      </c>
      <c r="J677" s="10">
        <v>14.7925278</v>
      </c>
      <c r="K677" s="8" t="s">
        <v>5209</v>
      </c>
      <c r="S677"/>
    </row>
    <row r="678" spans="1:19" ht="15" x14ac:dyDescent="0.25">
      <c r="A678" s="8" t="s">
        <v>5622</v>
      </c>
      <c r="B678" s="8" t="s">
        <v>4847</v>
      </c>
      <c r="C678" s="8" t="s">
        <v>5629</v>
      </c>
      <c r="D678" s="32" t="s">
        <v>6984</v>
      </c>
      <c r="E678" s="32" t="s">
        <v>5629</v>
      </c>
      <c r="F678" s="10">
        <v>3</v>
      </c>
      <c r="G678" s="8" t="s">
        <v>5624</v>
      </c>
      <c r="H678" s="10">
        <v>269.09999999999997</v>
      </c>
      <c r="I678" s="10">
        <f t="shared" si="12"/>
        <v>807.3</v>
      </c>
      <c r="J678" s="10">
        <v>22.421680200000001</v>
      </c>
      <c r="K678" s="8" t="s">
        <v>5209</v>
      </c>
      <c r="S678"/>
    </row>
    <row r="679" spans="1:19" ht="15" x14ac:dyDescent="0.25">
      <c r="A679" s="8" t="s">
        <v>5622</v>
      </c>
      <c r="B679" s="8" t="s">
        <v>4847</v>
      </c>
      <c r="C679" s="8" t="s">
        <v>5630</v>
      </c>
      <c r="D679" s="32" t="s">
        <v>6984</v>
      </c>
      <c r="E679" s="32" t="s">
        <v>5630</v>
      </c>
      <c r="F679" s="10">
        <v>1</v>
      </c>
      <c r="G679" s="8" t="s">
        <v>5624</v>
      </c>
      <c r="H679" s="10">
        <v>601.1</v>
      </c>
      <c r="I679" s="10">
        <f t="shared" si="12"/>
        <v>601.1</v>
      </c>
      <c r="J679" s="10">
        <v>16.667830349999999</v>
      </c>
      <c r="K679" s="8" t="s">
        <v>5209</v>
      </c>
      <c r="S679"/>
    </row>
    <row r="680" spans="1:19" ht="15" x14ac:dyDescent="0.25">
      <c r="A680" s="8" t="s">
        <v>5622</v>
      </c>
      <c r="B680" s="8" t="s">
        <v>4847</v>
      </c>
      <c r="C680" s="8" t="s">
        <v>5631</v>
      </c>
      <c r="D680" s="32" t="s">
        <v>6984</v>
      </c>
      <c r="E680" s="32" t="s">
        <v>5631</v>
      </c>
      <c r="F680" s="10">
        <v>1</v>
      </c>
      <c r="G680" s="8" t="s">
        <v>5624</v>
      </c>
      <c r="H680" s="10">
        <v>600.1</v>
      </c>
      <c r="I680" s="10">
        <f t="shared" si="12"/>
        <v>600.1</v>
      </c>
      <c r="J680" s="10">
        <v>16.627346984999999</v>
      </c>
      <c r="K680" s="8" t="s">
        <v>5209</v>
      </c>
      <c r="S680"/>
    </row>
    <row r="681" spans="1:19" ht="15" x14ac:dyDescent="0.25">
      <c r="A681" s="8" t="s">
        <v>5622</v>
      </c>
      <c r="B681" s="8" t="s">
        <v>4847</v>
      </c>
      <c r="C681" s="8" t="s">
        <v>5632</v>
      </c>
      <c r="D681" s="32" t="s">
        <v>6984</v>
      </c>
      <c r="E681" s="32" t="s">
        <v>5632</v>
      </c>
      <c r="F681" s="10">
        <v>1</v>
      </c>
      <c r="G681" s="8" t="s">
        <v>5624</v>
      </c>
      <c r="H681" s="10">
        <v>600.29999999999995</v>
      </c>
      <c r="I681" s="10">
        <f t="shared" si="12"/>
        <v>600.29999999999995</v>
      </c>
      <c r="J681" s="10">
        <v>16.671397748</v>
      </c>
      <c r="K681" s="8" t="s">
        <v>5209</v>
      </c>
      <c r="S681"/>
    </row>
    <row r="682" spans="1:19" ht="15" x14ac:dyDescent="0.25">
      <c r="A682" s="8" t="s">
        <v>5622</v>
      </c>
      <c r="B682" s="8" t="s">
        <v>4847</v>
      </c>
      <c r="C682" s="8" t="s">
        <v>5633</v>
      </c>
      <c r="D682" s="32" t="s">
        <v>6984</v>
      </c>
      <c r="E682" s="32" t="s">
        <v>5633</v>
      </c>
      <c r="F682" s="10">
        <v>1</v>
      </c>
      <c r="G682" s="8" t="s">
        <v>5624</v>
      </c>
      <c r="H682" s="10">
        <v>599.5</v>
      </c>
      <c r="I682" s="10">
        <f t="shared" si="12"/>
        <v>599.5</v>
      </c>
      <c r="J682" s="10">
        <v>16.604013985000002</v>
      </c>
      <c r="K682" s="8" t="s">
        <v>5209</v>
      </c>
      <c r="S682"/>
    </row>
    <row r="683" spans="1:19" ht="15" x14ac:dyDescent="0.25">
      <c r="A683" s="8" t="s">
        <v>5622</v>
      </c>
      <c r="B683" s="8" t="s">
        <v>4847</v>
      </c>
      <c r="C683" s="8" t="s">
        <v>5634</v>
      </c>
      <c r="D683" s="32" t="s">
        <v>6984</v>
      </c>
      <c r="E683" s="32" t="s">
        <v>5634</v>
      </c>
      <c r="F683" s="10">
        <v>1</v>
      </c>
      <c r="G683" s="8" t="s">
        <v>5624</v>
      </c>
      <c r="H683" s="10">
        <v>599</v>
      </c>
      <c r="I683" s="10">
        <f t="shared" si="12"/>
        <v>599</v>
      </c>
      <c r="J683" s="10">
        <v>16.637587748000001</v>
      </c>
      <c r="K683" s="8" t="s">
        <v>5209</v>
      </c>
      <c r="S683"/>
    </row>
    <row r="684" spans="1:19" ht="15" x14ac:dyDescent="0.25">
      <c r="A684" s="8" t="s">
        <v>5622</v>
      </c>
      <c r="B684" s="8" t="s">
        <v>4847</v>
      </c>
      <c r="C684" s="8" t="s">
        <v>5635</v>
      </c>
      <c r="D684" s="32" t="s">
        <v>6984</v>
      </c>
      <c r="E684" s="32" t="s">
        <v>5635</v>
      </c>
      <c r="F684" s="10">
        <v>1</v>
      </c>
      <c r="G684" s="8" t="s">
        <v>5624</v>
      </c>
      <c r="H684" s="10">
        <v>600.20000000000005</v>
      </c>
      <c r="I684" s="10">
        <f t="shared" si="12"/>
        <v>600.20000000000005</v>
      </c>
      <c r="J684" s="10">
        <v>16.637147349999999</v>
      </c>
      <c r="K684" s="8" t="s">
        <v>5209</v>
      </c>
      <c r="S684"/>
    </row>
    <row r="685" spans="1:19" ht="15" x14ac:dyDescent="0.25">
      <c r="A685" s="8" t="s">
        <v>5622</v>
      </c>
      <c r="B685" s="8" t="s">
        <v>4847</v>
      </c>
      <c r="C685" s="8" t="s">
        <v>5636</v>
      </c>
      <c r="D685" s="32" t="s">
        <v>6984</v>
      </c>
      <c r="E685" s="32" t="s">
        <v>5636</v>
      </c>
      <c r="F685" s="10">
        <v>1</v>
      </c>
      <c r="G685" s="8" t="s">
        <v>5624</v>
      </c>
      <c r="H685" s="10">
        <v>598.6</v>
      </c>
      <c r="I685" s="10">
        <f t="shared" si="12"/>
        <v>598.6</v>
      </c>
      <c r="J685" s="10">
        <v>16.584716985</v>
      </c>
      <c r="K685" s="8" t="s">
        <v>5209</v>
      </c>
      <c r="S685"/>
    </row>
    <row r="686" spans="1:19" ht="15" x14ac:dyDescent="0.25">
      <c r="A686" s="8" t="s">
        <v>5622</v>
      </c>
      <c r="B686" s="8" t="s">
        <v>4847</v>
      </c>
      <c r="C686" s="8" t="s">
        <v>5637</v>
      </c>
      <c r="D686" s="32" t="s">
        <v>6984</v>
      </c>
      <c r="E686" s="32" t="s">
        <v>5637</v>
      </c>
      <c r="F686" s="10">
        <v>1</v>
      </c>
      <c r="G686" s="8" t="s">
        <v>5624</v>
      </c>
      <c r="H686" s="10">
        <v>601.9</v>
      </c>
      <c r="I686" s="10">
        <f t="shared" si="12"/>
        <v>601.9</v>
      </c>
      <c r="J686" s="10">
        <v>16.698419850000001</v>
      </c>
      <c r="K686" s="8" t="s">
        <v>5209</v>
      </c>
      <c r="S686"/>
    </row>
    <row r="687" spans="1:19" ht="15" x14ac:dyDescent="0.25">
      <c r="A687" s="8" t="s">
        <v>5622</v>
      </c>
      <c r="B687" s="8" t="s">
        <v>4847</v>
      </c>
      <c r="C687" s="8" t="s">
        <v>5638</v>
      </c>
      <c r="D687" s="32" t="s">
        <v>6984</v>
      </c>
      <c r="E687" s="32" t="s">
        <v>5638</v>
      </c>
      <c r="F687" s="10">
        <v>1</v>
      </c>
      <c r="G687" s="8" t="s">
        <v>5624</v>
      </c>
      <c r="H687" s="10">
        <v>599.79999999999995</v>
      </c>
      <c r="I687" s="10">
        <f t="shared" si="12"/>
        <v>599.79999999999995</v>
      </c>
      <c r="J687" s="10">
        <v>16.607256925000002</v>
      </c>
      <c r="K687" s="8" t="s">
        <v>5209</v>
      </c>
      <c r="S687"/>
    </row>
    <row r="688" spans="1:19" ht="15" x14ac:dyDescent="0.25">
      <c r="A688" s="8" t="s">
        <v>5622</v>
      </c>
      <c r="B688" s="8" t="s">
        <v>4847</v>
      </c>
      <c r="C688" s="8" t="s">
        <v>5639</v>
      </c>
      <c r="D688" s="32" t="s">
        <v>6984</v>
      </c>
      <c r="E688" s="32" t="s">
        <v>5639</v>
      </c>
      <c r="F688" s="10">
        <v>1</v>
      </c>
      <c r="G688" s="8" t="s">
        <v>5624</v>
      </c>
      <c r="H688" s="10">
        <v>601.20000000000005</v>
      </c>
      <c r="I688" s="10">
        <f t="shared" si="12"/>
        <v>601.20000000000005</v>
      </c>
      <c r="J688" s="10">
        <v>16.665286484999999</v>
      </c>
      <c r="K688" s="8" t="s">
        <v>5209</v>
      </c>
      <c r="S688"/>
    </row>
    <row r="689" spans="1:19" ht="15" x14ac:dyDescent="0.25">
      <c r="A689" s="8" t="s">
        <v>5622</v>
      </c>
      <c r="B689" s="8" t="s">
        <v>4847</v>
      </c>
      <c r="C689" s="8" t="s">
        <v>5640</v>
      </c>
      <c r="D689" s="32" t="s">
        <v>6984</v>
      </c>
      <c r="E689" s="32" t="s">
        <v>5640</v>
      </c>
      <c r="F689" s="10">
        <v>1</v>
      </c>
      <c r="G689" s="8" t="s">
        <v>5624</v>
      </c>
      <c r="H689" s="10">
        <v>266.89999999999998</v>
      </c>
      <c r="I689" s="10">
        <f t="shared" si="12"/>
        <v>266.89999999999998</v>
      </c>
      <c r="J689" s="10">
        <v>7.4102636999999998</v>
      </c>
      <c r="K689" s="8" t="s">
        <v>5209</v>
      </c>
      <c r="S689"/>
    </row>
    <row r="690" spans="1:19" ht="15" x14ac:dyDescent="0.25">
      <c r="A690" s="8" t="s">
        <v>5622</v>
      </c>
      <c r="B690" s="8" t="s">
        <v>4847</v>
      </c>
      <c r="C690" s="8" t="s">
        <v>5641</v>
      </c>
      <c r="D690" s="32" t="s">
        <v>6984</v>
      </c>
      <c r="E690" s="32" t="s">
        <v>5641</v>
      </c>
      <c r="F690" s="10">
        <v>2</v>
      </c>
      <c r="G690" s="8" t="s">
        <v>5642</v>
      </c>
      <c r="H690" s="10">
        <v>125.35</v>
      </c>
      <c r="I690" s="10">
        <f t="shared" si="12"/>
        <v>250.7</v>
      </c>
      <c r="J690" s="10">
        <v>8.1786600000000007</v>
      </c>
      <c r="K690" s="8" t="s">
        <v>5643</v>
      </c>
      <c r="S690"/>
    </row>
    <row r="691" spans="1:19" ht="15" x14ac:dyDescent="0.25">
      <c r="A691" s="8" t="s">
        <v>5622</v>
      </c>
      <c r="B691" s="8" t="s">
        <v>4847</v>
      </c>
      <c r="C691" s="8" t="s">
        <v>5644</v>
      </c>
      <c r="D691" s="32" t="s">
        <v>6984</v>
      </c>
      <c r="E691" s="32" t="s">
        <v>5644</v>
      </c>
      <c r="F691" s="10">
        <v>2</v>
      </c>
      <c r="G691" s="8" t="s">
        <v>5642</v>
      </c>
      <c r="H691" s="10">
        <v>94.45</v>
      </c>
      <c r="I691" s="10">
        <f t="shared" si="12"/>
        <v>188.9</v>
      </c>
      <c r="J691" s="10">
        <v>6.1614000000000004</v>
      </c>
      <c r="K691" s="8" t="s">
        <v>5643</v>
      </c>
      <c r="S691"/>
    </row>
    <row r="692" spans="1:19" ht="15" x14ac:dyDescent="0.25">
      <c r="A692" s="8" t="s">
        <v>5622</v>
      </c>
      <c r="B692" s="8" t="s">
        <v>4847</v>
      </c>
      <c r="C692" s="8" t="s">
        <v>5645</v>
      </c>
      <c r="D692" s="32" t="s">
        <v>6984</v>
      </c>
      <c r="E692" s="32" t="s">
        <v>5645</v>
      </c>
      <c r="F692" s="10">
        <v>1</v>
      </c>
      <c r="G692" s="8" t="s">
        <v>5642</v>
      </c>
      <c r="H692" s="10">
        <v>131.69999999999999</v>
      </c>
      <c r="I692" s="10">
        <f t="shared" si="12"/>
        <v>131.69999999999999</v>
      </c>
      <c r="J692" s="10">
        <v>4.2965999999999998</v>
      </c>
      <c r="K692" s="8" t="s">
        <v>5643</v>
      </c>
      <c r="S692"/>
    </row>
    <row r="693" spans="1:19" ht="15" x14ac:dyDescent="0.25">
      <c r="A693" s="8" t="s">
        <v>5622</v>
      </c>
      <c r="B693" s="8" t="s">
        <v>4847</v>
      </c>
      <c r="C693" s="8" t="s">
        <v>5646</v>
      </c>
      <c r="D693" s="32" t="s">
        <v>6984</v>
      </c>
      <c r="E693" s="32" t="s">
        <v>5646</v>
      </c>
      <c r="F693" s="10">
        <v>1</v>
      </c>
      <c r="G693" s="8" t="s">
        <v>5642</v>
      </c>
      <c r="H693" s="10">
        <v>131.1</v>
      </c>
      <c r="I693" s="10">
        <f t="shared" si="12"/>
        <v>131.1</v>
      </c>
      <c r="J693" s="10">
        <v>4.2770700000000001</v>
      </c>
      <c r="K693" s="8" t="s">
        <v>5643</v>
      </c>
      <c r="S693"/>
    </row>
    <row r="694" spans="1:19" ht="15" x14ac:dyDescent="0.25">
      <c r="A694" s="8" t="s">
        <v>5622</v>
      </c>
      <c r="B694" s="8" t="s">
        <v>4847</v>
      </c>
      <c r="C694" s="8" t="s">
        <v>5647</v>
      </c>
      <c r="D694" s="32" t="s">
        <v>6984</v>
      </c>
      <c r="E694" s="32" t="s">
        <v>5647</v>
      </c>
      <c r="F694" s="10">
        <v>1</v>
      </c>
      <c r="G694" s="8" t="s">
        <v>5642</v>
      </c>
      <c r="H694" s="10">
        <v>94.2</v>
      </c>
      <c r="I694" s="10">
        <f t="shared" si="12"/>
        <v>94.2</v>
      </c>
      <c r="J694" s="10">
        <v>3.0743999999999998</v>
      </c>
      <c r="K694" s="8" t="s">
        <v>5643</v>
      </c>
      <c r="S694"/>
    </row>
    <row r="695" spans="1:19" ht="15" x14ac:dyDescent="0.25">
      <c r="A695" s="8" t="s">
        <v>5622</v>
      </c>
      <c r="B695" s="8" t="s">
        <v>4847</v>
      </c>
      <c r="C695" s="8" t="s">
        <v>5648</v>
      </c>
      <c r="D695" s="32" t="s">
        <v>6984</v>
      </c>
      <c r="E695" s="32" t="s">
        <v>5648</v>
      </c>
      <c r="F695" s="10">
        <v>1</v>
      </c>
      <c r="G695" s="8" t="s">
        <v>5642</v>
      </c>
      <c r="H695" s="10">
        <v>92.8</v>
      </c>
      <c r="I695" s="10">
        <f t="shared" si="12"/>
        <v>92.8</v>
      </c>
      <c r="J695" s="10">
        <v>3.02589</v>
      </c>
      <c r="K695" s="8" t="s">
        <v>5643</v>
      </c>
      <c r="S695"/>
    </row>
    <row r="696" spans="1:19" ht="15" x14ac:dyDescent="0.25">
      <c r="A696" s="8" t="s">
        <v>5622</v>
      </c>
      <c r="B696" s="8" t="s">
        <v>4847</v>
      </c>
      <c r="C696" s="8" t="s">
        <v>5649</v>
      </c>
      <c r="D696" s="32" t="s">
        <v>6984</v>
      </c>
      <c r="E696" s="32" t="s">
        <v>5649</v>
      </c>
      <c r="F696" s="10">
        <v>1</v>
      </c>
      <c r="G696" s="8" t="s">
        <v>5642</v>
      </c>
      <c r="H696" s="10">
        <v>131.6</v>
      </c>
      <c r="I696" s="10">
        <f t="shared" si="12"/>
        <v>131.6</v>
      </c>
      <c r="J696" s="10">
        <v>4.2928199999999999</v>
      </c>
      <c r="K696" s="8" t="s">
        <v>5643</v>
      </c>
      <c r="S696"/>
    </row>
    <row r="697" spans="1:19" ht="15" x14ac:dyDescent="0.25">
      <c r="A697" s="8" t="s">
        <v>5622</v>
      </c>
      <c r="B697" s="8" t="s">
        <v>4847</v>
      </c>
      <c r="C697" s="8" t="s">
        <v>5650</v>
      </c>
      <c r="D697" s="32" t="s">
        <v>6984</v>
      </c>
      <c r="E697" s="32" t="s">
        <v>5650</v>
      </c>
      <c r="F697" s="10">
        <v>1</v>
      </c>
      <c r="G697" s="8" t="s">
        <v>5642</v>
      </c>
      <c r="H697" s="10">
        <v>131</v>
      </c>
      <c r="I697" s="10">
        <f t="shared" si="12"/>
        <v>131</v>
      </c>
      <c r="J697" s="10">
        <v>4.2739200000000004</v>
      </c>
      <c r="K697" s="8" t="s">
        <v>5643</v>
      </c>
      <c r="S697"/>
    </row>
    <row r="698" spans="1:19" ht="15" x14ac:dyDescent="0.25">
      <c r="A698" s="8" t="s">
        <v>5622</v>
      </c>
      <c r="B698" s="8" t="s">
        <v>4847</v>
      </c>
      <c r="C698" s="8" t="s">
        <v>5651</v>
      </c>
      <c r="D698" s="32" t="s">
        <v>6984</v>
      </c>
      <c r="E698" s="32" t="s">
        <v>5651</v>
      </c>
      <c r="F698" s="10">
        <v>1</v>
      </c>
      <c r="G698" s="8" t="s">
        <v>5642</v>
      </c>
      <c r="H698" s="10">
        <v>125.4</v>
      </c>
      <c r="I698" s="10">
        <f t="shared" si="12"/>
        <v>125.4</v>
      </c>
      <c r="J698" s="10">
        <v>4.0905899999999997</v>
      </c>
      <c r="K698" s="8" t="s">
        <v>5643</v>
      </c>
      <c r="S698"/>
    </row>
    <row r="699" spans="1:19" ht="15" x14ac:dyDescent="0.25">
      <c r="A699" s="8" t="s">
        <v>5622</v>
      </c>
      <c r="B699" s="8" t="s">
        <v>4847</v>
      </c>
      <c r="C699" s="8" t="s">
        <v>5652</v>
      </c>
      <c r="D699" s="32" t="s">
        <v>6984</v>
      </c>
      <c r="E699" s="32" t="s">
        <v>5652</v>
      </c>
      <c r="F699" s="10">
        <v>9</v>
      </c>
      <c r="G699" s="8" t="s">
        <v>5642</v>
      </c>
      <c r="H699" s="10">
        <v>86.37777777777778</v>
      </c>
      <c r="I699" s="10">
        <f t="shared" si="12"/>
        <v>777.4</v>
      </c>
      <c r="J699" s="10">
        <v>25.361910000000002</v>
      </c>
      <c r="K699" s="8" t="s">
        <v>5643</v>
      </c>
      <c r="S699"/>
    </row>
    <row r="700" spans="1:19" ht="15" x14ac:dyDescent="0.25">
      <c r="A700" s="8" t="s">
        <v>5622</v>
      </c>
      <c r="B700" s="8" t="s">
        <v>4847</v>
      </c>
      <c r="C700" s="8" t="s">
        <v>5653</v>
      </c>
      <c r="D700" s="32" t="s">
        <v>6984</v>
      </c>
      <c r="E700" s="32" t="s">
        <v>5653</v>
      </c>
      <c r="F700" s="10">
        <v>4</v>
      </c>
      <c r="G700" s="8" t="s">
        <v>5642</v>
      </c>
      <c r="H700" s="10">
        <v>125.52500000000001</v>
      </c>
      <c r="I700" s="10">
        <f t="shared" si="12"/>
        <v>502.1</v>
      </c>
      <c r="J700" s="10">
        <v>16.38252</v>
      </c>
      <c r="K700" s="8" t="s">
        <v>5643</v>
      </c>
      <c r="S700"/>
    </row>
    <row r="701" spans="1:19" ht="15" x14ac:dyDescent="0.25">
      <c r="A701" s="8" t="s">
        <v>5622</v>
      </c>
      <c r="B701" s="8" t="s">
        <v>4847</v>
      </c>
      <c r="C701" s="8" t="s">
        <v>5654</v>
      </c>
      <c r="D701" s="32" t="s">
        <v>6984</v>
      </c>
      <c r="E701" s="32" t="s">
        <v>5654</v>
      </c>
      <c r="F701" s="10">
        <v>1</v>
      </c>
      <c r="G701" s="8" t="s">
        <v>5642</v>
      </c>
      <c r="H701" s="10">
        <v>86.3</v>
      </c>
      <c r="I701" s="10">
        <f t="shared" si="12"/>
        <v>86.3</v>
      </c>
      <c r="J701" s="10">
        <v>2.8142100000000001</v>
      </c>
      <c r="K701" s="8" t="s">
        <v>5643</v>
      </c>
      <c r="S701"/>
    </row>
    <row r="702" spans="1:19" ht="15" x14ac:dyDescent="0.25">
      <c r="A702" s="8" t="s">
        <v>5622</v>
      </c>
      <c r="B702" s="8" t="s">
        <v>4847</v>
      </c>
      <c r="C702" s="8" t="s">
        <v>5655</v>
      </c>
      <c r="D702" s="32" t="s">
        <v>6984</v>
      </c>
      <c r="E702" s="32" t="s">
        <v>5655</v>
      </c>
      <c r="F702" s="10">
        <v>11</v>
      </c>
      <c r="G702" s="8" t="s">
        <v>5642</v>
      </c>
      <c r="H702" s="10">
        <v>125.38181818181819</v>
      </c>
      <c r="I702" s="10">
        <f t="shared" si="12"/>
        <v>1379.2</v>
      </c>
      <c r="J702" s="10">
        <v>44.996490000000001</v>
      </c>
      <c r="K702" s="8" t="s">
        <v>5643</v>
      </c>
      <c r="S702"/>
    </row>
    <row r="703" spans="1:19" ht="15" x14ac:dyDescent="0.25">
      <c r="A703" s="8" t="s">
        <v>5622</v>
      </c>
      <c r="B703" s="8" t="s">
        <v>4847</v>
      </c>
      <c r="C703" s="8" t="s">
        <v>5656</v>
      </c>
      <c r="D703" s="32" t="s">
        <v>6984</v>
      </c>
      <c r="E703" s="32" t="s">
        <v>5656</v>
      </c>
      <c r="F703" s="10">
        <v>2</v>
      </c>
      <c r="G703" s="8" t="s">
        <v>5642</v>
      </c>
      <c r="H703" s="10">
        <v>131.44999999999999</v>
      </c>
      <c r="I703" s="10">
        <f t="shared" si="12"/>
        <v>262.89999999999998</v>
      </c>
      <c r="J703" s="10">
        <v>8.5755599999999994</v>
      </c>
      <c r="K703" s="8" t="s">
        <v>5643</v>
      </c>
      <c r="S703"/>
    </row>
    <row r="704" spans="1:19" ht="15" x14ac:dyDescent="0.25">
      <c r="A704" s="8" t="s">
        <v>5622</v>
      </c>
      <c r="B704" s="8" t="s">
        <v>4847</v>
      </c>
      <c r="C704" s="8" t="s">
        <v>5657</v>
      </c>
      <c r="D704" s="32" t="s">
        <v>6984</v>
      </c>
      <c r="E704" s="32" t="s">
        <v>5657</v>
      </c>
      <c r="F704" s="10">
        <v>2</v>
      </c>
      <c r="G704" s="8" t="s">
        <v>5642</v>
      </c>
      <c r="H704" s="10">
        <v>131.5</v>
      </c>
      <c r="I704" s="10">
        <f t="shared" si="12"/>
        <v>263</v>
      </c>
      <c r="J704" s="10">
        <v>8.5806000000000004</v>
      </c>
      <c r="K704" s="8" t="s">
        <v>5643</v>
      </c>
      <c r="S704"/>
    </row>
    <row r="705" spans="1:19" ht="15" x14ac:dyDescent="0.25">
      <c r="A705" s="8" t="s">
        <v>5622</v>
      </c>
      <c r="B705" s="8" t="s">
        <v>4847</v>
      </c>
      <c r="C705" s="8" t="s">
        <v>5658</v>
      </c>
      <c r="D705" s="32" t="s">
        <v>6984</v>
      </c>
      <c r="E705" s="32" t="s">
        <v>5658</v>
      </c>
      <c r="F705" s="10">
        <v>2</v>
      </c>
      <c r="G705" s="8" t="s">
        <v>5642</v>
      </c>
      <c r="H705" s="10">
        <v>125.4</v>
      </c>
      <c r="I705" s="10">
        <f t="shared" si="12"/>
        <v>250.8</v>
      </c>
      <c r="J705" s="10">
        <v>8.1824399999999997</v>
      </c>
      <c r="K705" s="8" t="s">
        <v>5643</v>
      </c>
      <c r="S705"/>
    </row>
    <row r="706" spans="1:19" ht="15" x14ac:dyDescent="0.25">
      <c r="A706" s="8" t="s">
        <v>5622</v>
      </c>
      <c r="B706" s="8" t="s">
        <v>4847</v>
      </c>
      <c r="C706" s="8" t="s">
        <v>5659</v>
      </c>
      <c r="D706" s="32" t="s">
        <v>6984</v>
      </c>
      <c r="E706" s="32" t="s">
        <v>5659</v>
      </c>
      <c r="F706" s="10">
        <v>1</v>
      </c>
      <c r="G706" s="8" t="s">
        <v>4903</v>
      </c>
      <c r="H706" s="10">
        <v>192.4</v>
      </c>
      <c r="I706" s="10">
        <f t="shared" si="12"/>
        <v>192.4</v>
      </c>
      <c r="J706" s="10">
        <v>4.9473060000000002</v>
      </c>
      <c r="K706" s="8" t="s">
        <v>4949</v>
      </c>
      <c r="S706"/>
    </row>
    <row r="707" spans="1:19" ht="15" x14ac:dyDescent="0.25">
      <c r="A707" s="8" t="s">
        <v>5622</v>
      </c>
      <c r="B707" s="8" t="s">
        <v>4847</v>
      </c>
      <c r="C707" s="8" t="s">
        <v>5660</v>
      </c>
      <c r="D707" s="32" t="s">
        <v>6984</v>
      </c>
      <c r="E707" s="32" t="s">
        <v>5660</v>
      </c>
      <c r="F707" s="10">
        <v>2</v>
      </c>
      <c r="G707" s="8" t="s">
        <v>4903</v>
      </c>
      <c r="H707" s="10">
        <v>274.25</v>
      </c>
      <c r="I707" s="10">
        <f t="shared" si="12"/>
        <v>548.5</v>
      </c>
      <c r="J707" s="10">
        <v>14.106092</v>
      </c>
      <c r="K707" s="8" t="s">
        <v>4949</v>
      </c>
      <c r="S707"/>
    </row>
    <row r="708" spans="1:19" ht="15" x14ac:dyDescent="0.25">
      <c r="A708" s="8" t="s">
        <v>5622</v>
      </c>
      <c r="B708" s="8" t="s">
        <v>4847</v>
      </c>
      <c r="C708" s="8" t="s">
        <v>5661</v>
      </c>
      <c r="D708" s="32" t="s">
        <v>6984</v>
      </c>
      <c r="E708" s="32" t="s">
        <v>5661</v>
      </c>
      <c r="F708" s="10">
        <v>1</v>
      </c>
      <c r="G708" s="8" t="s">
        <v>4903</v>
      </c>
      <c r="H708" s="10">
        <v>218.2</v>
      </c>
      <c r="I708" s="10">
        <f t="shared" si="12"/>
        <v>218.2</v>
      </c>
      <c r="J708" s="10">
        <v>5.612152</v>
      </c>
      <c r="K708" s="8" t="s">
        <v>4949</v>
      </c>
      <c r="S708"/>
    </row>
    <row r="709" spans="1:19" ht="15" x14ac:dyDescent="0.25">
      <c r="A709" s="8" t="s">
        <v>5622</v>
      </c>
      <c r="B709" s="8" t="s">
        <v>4847</v>
      </c>
      <c r="C709" s="8" t="s">
        <v>5662</v>
      </c>
      <c r="D709" s="32" t="s">
        <v>6984</v>
      </c>
      <c r="E709" s="32" t="s">
        <v>5662</v>
      </c>
      <c r="F709" s="10">
        <v>1</v>
      </c>
      <c r="G709" s="8" t="s">
        <v>16</v>
      </c>
      <c r="H709" s="10">
        <v>305.3</v>
      </c>
      <c r="I709" s="10">
        <f t="shared" ref="I709:I772" si="13">F709*H709</f>
        <v>305.3</v>
      </c>
      <c r="J709" s="10">
        <v>9.8531980400000005</v>
      </c>
      <c r="K709" s="8" t="s">
        <v>4781</v>
      </c>
      <c r="S709"/>
    </row>
    <row r="710" spans="1:19" ht="15" x14ac:dyDescent="0.25">
      <c r="A710" s="8" t="s">
        <v>5622</v>
      </c>
      <c r="B710" s="8" t="s">
        <v>4847</v>
      </c>
      <c r="C710" s="8" t="s">
        <v>5663</v>
      </c>
      <c r="D710" s="32" t="s">
        <v>6984</v>
      </c>
      <c r="E710" s="32" t="s">
        <v>5663</v>
      </c>
      <c r="F710" s="10">
        <v>2</v>
      </c>
      <c r="G710" s="8" t="s">
        <v>16</v>
      </c>
      <c r="H710" s="10">
        <v>120.4</v>
      </c>
      <c r="I710" s="10">
        <f t="shared" si="13"/>
        <v>240.8</v>
      </c>
      <c r="J710" s="10">
        <v>7.8825060000000002</v>
      </c>
      <c r="K710" s="8" t="s">
        <v>5116</v>
      </c>
      <c r="S710"/>
    </row>
    <row r="711" spans="1:19" ht="15" x14ac:dyDescent="0.25">
      <c r="A711" s="8" t="s">
        <v>5622</v>
      </c>
      <c r="B711" s="8" t="s">
        <v>4847</v>
      </c>
      <c r="C711" s="8" t="s">
        <v>5664</v>
      </c>
      <c r="D711" s="32" t="s">
        <v>6984</v>
      </c>
      <c r="E711" s="32" t="s">
        <v>5664</v>
      </c>
      <c r="F711" s="10">
        <v>1</v>
      </c>
      <c r="G711" s="8" t="s">
        <v>16</v>
      </c>
      <c r="H711" s="10">
        <v>318.3</v>
      </c>
      <c r="I711" s="10">
        <f t="shared" si="13"/>
        <v>318.3</v>
      </c>
      <c r="J711" s="10">
        <v>10.270943040000001</v>
      </c>
      <c r="K711" s="8" t="s">
        <v>4781</v>
      </c>
      <c r="S711"/>
    </row>
    <row r="712" spans="1:19" ht="15" x14ac:dyDescent="0.25">
      <c r="A712" s="8" t="s">
        <v>5622</v>
      </c>
      <c r="B712" s="8" t="s">
        <v>4847</v>
      </c>
      <c r="C712" s="8" t="s">
        <v>5665</v>
      </c>
      <c r="D712" s="32" t="s">
        <v>6984</v>
      </c>
      <c r="E712" s="32" t="s">
        <v>5665</v>
      </c>
      <c r="F712" s="10">
        <v>1</v>
      </c>
      <c r="G712" s="8" t="s">
        <v>16</v>
      </c>
      <c r="H712" s="10">
        <v>121.3</v>
      </c>
      <c r="I712" s="10">
        <f t="shared" si="13"/>
        <v>121.3</v>
      </c>
      <c r="J712" s="10">
        <v>3.9791609999999999</v>
      </c>
      <c r="K712" s="8" t="s">
        <v>5116</v>
      </c>
      <c r="S712"/>
    </row>
    <row r="713" spans="1:19" ht="15" x14ac:dyDescent="0.25">
      <c r="A713" s="8" t="s">
        <v>5622</v>
      </c>
      <c r="B713" s="8" t="s">
        <v>4847</v>
      </c>
      <c r="C713" s="8" t="s">
        <v>4863</v>
      </c>
      <c r="D713" s="32" t="s">
        <v>6984</v>
      </c>
      <c r="E713" s="32" t="s">
        <v>4863</v>
      </c>
      <c r="F713" s="10">
        <v>1</v>
      </c>
      <c r="G713" s="8" t="s">
        <v>16</v>
      </c>
      <c r="H713" s="10">
        <v>862.3</v>
      </c>
      <c r="I713" s="10">
        <f t="shared" si="13"/>
        <v>862.3</v>
      </c>
      <c r="J713" s="10">
        <v>15.7470623072</v>
      </c>
      <c r="K713" s="8" t="s">
        <v>4850</v>
      </c>
      <c r="S713"/>
    </row>
    <row r="714" spans="1:19" ht="15" x14ac:dyDescent="0.25">
      <c r="A714" s="8" t="s">
        <v>5622</v>
      </c>
      <c r="B714" s="8" t="s">
        <v>4847</v>
      </c>
      <c r="C714" s="8" t="s">
        <v>5666</v>
      </c>
      <c r="D714" s="32" t="s">
        <v>6984</v>
      </c>
      <c r="E714" s="32" t="s">
        <v>5666</v>
      </c>
      <c r="F714" s="10">
        <v>1</v>
      </c>
      <c r="G714" s="8" t="s">
        <v>16</v>
      </c>
      <c r="H714" s="10">
        <v>1308</v>
      </c>
      <c r="I714" s="10">
        <f t="shared" si="13"/>
        <v>1308</v>
      </c>
      <c r="J714" s="10">
        <v>23.795834580000001</v>
      </c>
      <c r="K714" s="8" t="s">
        <v>4850</v>
      </c>
      <c r="S714"/>
    </row>
    <row r="715" spans="1:19" ht="15" x14ac:dyDescent="0.25">
      <c r="A715" s="8" t="s">
        <v>5622</v>
      </c>
      <c r="B715" s="8" t="s">
        <v>4847</v>
      </c>
      <c r="C715" s="8" t="s">
        <v>5667</v>
      </c>
      <c r="D715" s="32" t="s">
        <v>6984</v>
      </c>
      <c r="E715" s="32" t="s">
        <v>5667</v>
      </c>
      <c r="F715" s="10">
        <v>1</v>
      </c>
      <c r="G715" s="8" t="s">
        <v>16</v>
      </c>
      <c r="H715" s="10">
        <v>55.3</v>
      </c>
      <c r="I715" s="10">
        <f t="shared" si="13"/>
        <v>55.3</v>
      </c>
      <c r="J715" s="10">
        <v>1.7887168784</v>
      </c>
      <c r="K715" s="8" t="s">
        <v>4781</v>
      </c>
      <c r="S715"/>
    </row>
    <row r="716" spans="1:19" ht="15" x14ac:dyDescent="0.25">
      <c r="A716" s="8" t="s">
        <v>5622</v>
      </c>
      <c r="B716" s="8" t="s">
        <v>4847</v>
      </c>
      <c r="C716" s="8" t="s">
        <v>5668</v>
      </c>
      <c r="D716" s="32" t="s">
        <v>6984</v>
      </c>
      <c r="E716" s="32" t="s">
        <v>5668</v>
      </c>
      <c r="F716" s="10">
        <v>1</v>
      </c>
      <c r="G716" s="8" t="s">
        <v>16</v>
      </c>
      <c r="H716" s="10">
        <v>670.8</v>
      </c>
      <c r="I716" s="10">
        <f t="shared" si="13"/>
        <v>670.8</v>
      </c>
      <c r="J716" s="10">
        <v>12.3638185944</v>
      </c>
      <c r="K716" s="8" t="s">
        <v>4850</v>
      </c>
      <c r="S716"/>
    </row>
    <row r="717" spans="1:19" ht="15" x14ac:dyDescent="0.25">
      <c r="A717" s="8" t="s">
        <v>5622</v>
      </c>
      <c r="B717" s="8" t="s">
        <v>4847</v>
      </c>
      <c r="C717" s="8" t="s">
        <v>5669</v>
      </c>
      <c r="D717" s="32" t="s">
        <v>6984</v>
      </c>
      <c r="E717" s="32" t="s">
        <v>5669</v>
      </c>
      <c r="F717" s="10">
        <v>1</v>
      </c>
      <c r="G717" s="8" t="s">
        <v>16</v>
      </c>
      <c r="H717" s="10">
        <v>1454.2</v>
      </c>
      <c r="I717" s="10">
        <f t="shared" si="13"/>
        <v>1454.2</v>
      </c>
      <c r="J717" s="10">
        <v>24.383328172399999</v>
      </c>
      <c r="K717" s="8" t="s">
        <v>5670</v>
      </c>
      <c r="S717"/>
    </row>
    <row r="718" spans="1:19" ht="15" x14ac:dyDescent="0.25">
      <c r="A718" s="8" t="s">
        <v>5622</v>
      </c>
      <c r="B718" s="8" t="s">
        <v>4847</v>
      </c>
      <c r="C718" s="8" t="s">
        <v>4864</v>
      </c>
      <c r="D718" s="32" t="s">
        <v>6984</v>
      </c>
      <c r="E718" s="32" t="s">
        <v>4864</v>
      </c>
      <c r="F718" s="10">
        <v>1</v>
      </c>
      <c r="G718" s="8" t="s">
        <v>16</v>
      </c>
      <c r="H718" s="10">
        <v>1574.9</v>
      </c>
      <c r="I718" s="10">
        <f t="shared" si="13"/>
        <v>1574.9</v>
      </c>
      <c r="J718" s="10">
        <v>24.907162792000001</v>
      </c>
      <c r="K718" s="8" t="s">
        <v>4865</v>
      </c>
      <c r="S718"/>
    </row>
    <row r="719" spans="1:19" ht="15" x14ac:dyDescent="0.25">
      <c r="A719" s="8" t="s">
        <v>5622</v>
      </c>
      <c r="B719" s="8" t="s">
        <v>4847</v>
      </c>
      <c r="C719" s="8" t="s">
        <v>4848</v>
      </c>
      <c r="D719" s="32" t="s">
        <v>6984</v>
      </c>
      <c r="E719" s="32" t="s">
        <v>4848</v>
      </c>
      <c r="F719" s="10">
        <v>1</v>
      </c>
      <c r="G719" s="8" t="s">
        <v>16</v>
      </c>
      <c r="H719" s="10">
        <v>878</v>
      </c>
      <c r="I719" s="10">
        <f t="shared" si="13"/>
        <v>878</v>
      </c>
      <c r="J719" s="10">
        <v>18.078629262</v>
      </c>
      <c r="K719" s="8" t="s">
        <v>17</v>
      </c>
      <c r="S719"/>
    </row>
    <row r="720" spans="1:19" ht="15" x14ac:dyDescent="0.25">
      <c r="A720" s="8" t="s">
        <v>5622</v>
      </c>
      <c r="B720" s="8" t="s">
        <v>4847</v>
      </c>
      <c r="C720" s="8" t="s">
        <v>5671</v>
      </c>
      <c r="D720" s="32" t="s">
        <v>6984</v>
      </c>
      <c r="E720" s="32" t="s">
        <v>5671</v>
      </c>
      <c r="F720" s="10">
        <v>1</v>
      </c>
      <c r="G720" s="8" t="s">
        <v>16</v>
      </c>
      <c r="H720" s="10">
        <v>153.19999999999999</v>
      </c>
      <c r="I720" s="10">
        <f t="shared" si="13"/>
        <v>153.19999999999999</v>
      </c>
      <c r="J720" s="10">
        <v>5.0004493785599999</v>
      </c>
      <c r="K720" s="8" t="s">
        <v>4781</v>
      </c>
      <c r="S720"/>
    </row>
    <row r="721" spans="1:19" ht="15" x14ac:dyDescent="0.25">
      <c r="A721" s="8" t="s">
        <v>5622</v>
      </c>
      <c r="B721" s="8" t="s">
        <v>4847</v>
      </c>
      <c r="C721" s="8" t="s">
        <v>5672</v>
      </c>
      <c r="D721" s="32" t="s">
        <v>6984</v>
      </c>
      <c r="E721" s="32" t="s">
        <v>5672</v>
      </c>
      <c r="F721" s="10">
        <v>1</v>
      </c>
      <c r="G721" s="8" t="s">
        <v>16</v>
      </c>
      <c r="H721" s="10">
        <v>188.8</v>
      </c>
      <c r="I721" s="10">
        <f t="shared" si="13"/>
        <v>188.8</v>
      </c>
      <c r="J721" s="10">
        <v>5.8545922255600003</v>
      </c>
      <c r="K721" s="8" t="s">
        <v>4781</v>
      </c>
      <c r="S721"/>
    </row>
    <row r="722" spans="1:19" ht="15" x14ac:dyDescent="0.25">
      <c r="A722" s="8" t="s">
        <v>5622</v>
      </c>
      <c r="B722" s="8" t="s">
        <v>4847</v>
      </c>
      <c r="C722" s="8" t="s">
        <v>5673</v>
      </c>
      <c r="D722" s="32" t="s">
        <v>6984</v>
      </c>
      <c r="E722" s="32" t="s">
        <v>5673</v>
      </c>
      <c r="F722" s="10">
        <v>1</v>
      </c>
      <c r="G722" s="8" t="s">
        <v>16</v>
      </c>
      <c r="H722" s="10">
        <v>1318.7</v>
      </c>
      <c r="I722" s="10">
        <f t="shared" si="13"/>
        <v>1318.7</v>
      </c>
      <c r="J722" s="10">
        <v>24.1161648</v>
      </c>
      <c r="K722" s="8" t="s">
        <v>4850</v>
      </c>
      <c r="S722"/>
    </row>
    <row r="723" spans="1:19" ht="15" x14ac:dyDescent="0.25">
      <c r="A723" s="8" t="s">
        <v>5622</v>
      </c>
      <c r="B723" s="8" t="s">
        <v>4847</v>
      </c>
      <c r="C723" s="8" t="s">
        <v>4849</v>
      </c>
      <c r="D723" s="32" t="s">
        <v>6984</v>
      </c>
      <c r="E723" s="32" t="s">
        <v>4849</v>
      </c>
      <c r="F723" s="10">
        <v>1</v>
      </c>
      <c r="G723" s="8" t="s">
        <v>16</v>
      </c>
      <c r="H723" s="10">
        <v>1355.5</v>
      </c>
      <c r="I723" s="10">
        <f t="shared" si="13"/>
        <v>1355.5</v>
      </c>
      <c r="J723" s="10">
        <v>24.863935860800002</v>
      </c>
      <c r="K723" s="8" t="s">
        <v>4850</v>
      </c>
      <c r="S723"/>
    </row>
    <row r="724" spans="1:19" ht="15" x14ac:dyDescent="0.25">
      <c r="A724" s="8" t="s">
        <v>5622</v>
      </c>
      <c r="B724" s="8" t="s">
        <v>4847</v>
      </c>
      <c r="C724" s="8" t="s">
        <v>5674</v>
      </c>
      <c r="D724" s="32" t="s">
        <v>6984</v>
      </c>
      <c r="E724" s="32" t="s">
        <v>5674</v>
      </c>
      <c r="F724" s="10">
        <v>2</v>
      </c>
      <c r="G724" s="8" t="s">
        <v>16</v>
      </c>
      <c r="H724" s="10">
        <v>660.35</v>
      </c>
      <c r="I724" s="10">
        <f t="shared" si="13"/>
        <v>1320.7</v>
      </c>
      <c r="J724" s="10">
        <v>24.425402803200001</v>
      </c>
      <c r="K724" s="8" t="s">
        <v>4850</v>
      </c>
      <c r="S724"/>
    </row>
    <row r="725" spans="1:19" ht="15" x14ac:dyDescent="0.25">
      <c r="A725" s="8" t="s">
        <v>5622</v>
      </c>
      <c r="B725" s="8" t="s">
        <v>4847</v>
      </c>
      <c r="C725" s="8" t="s">
        <v>4866</v>
      </c>
      <c r="D725" s="32" t="s">
        <v>6984</v>
      </c>
      <c r="E725" s="32" t="s">
        <v>4866</v>
      </c>
      <c r="F725" s="10">
        <v>1</v>
      </c>
      <c r="G725" s="8" t="s">
        <v>16</v>
      </c>
      <c r="H725" s="10">
        <v>1338</v>
      </c>
      <c r="I725" s="10">
        <f t="shared" si="13"/>
        <v>1338</v>
      </c>
      <c r="J725" s="10">
        <v>24.348003153600001</v>
      </c>
      <c r="K725" s="8" t="s">
        <v>4850</v>
      </c>
      <c r="S725"/>
    </row>
    <row r="726" spans="1:19" ht="15" x14ac:dyDescent="0.25">
      <c r="A726" s="8" t="s">
        <v>5622</v>
      </c>
      <c r="B726" s="8" t="s">
        <v>4847</v>
      </c>
      <c r="C726" s="8" t="s">
        <v>5675</v>
      </c>
      <c r="D726" s="32" t="s">
        <v>6984</v>
      </c>
      <c r="E726" s="32" t="s">
        <v>5675</v>
      </c>
      <c r="F726" s="10">
        <v>1</v>
      </c>
      <c r="G726" s="8" t="s">
        <v>16</v>
      </c>
      <c r="H726" s="10">
        <v>153.19999999999999</v>
      </c>
      <c r="I726" s="10">
        <f t="shared" si="13"/>
        <v>153.19999999999999</v>
      </c>
      <c r="J726" s="10">
        <v>5.00102369728</v>
      </c>
      <c r="K726" s="8" t="s">
        <v>4781</v>
      </c>
      <c r="S726"/>
    </row>
    <row r="727" spans="1:19" ht="15" x14ac:dyDescent="0.25">
      <c r="A727" s="8" t="s">
        <v>5622</v>
      </c>
      <c r="B727" s="8" t="s">
        <v>4847</v>
      </c>
      <c r="C727" s="8" t="s">
        <v>4851</v>
      </c>
      <c r="D727" s="32" t="s">
        <v>6984</v>
      </c>
      <c r="E727" s="32" t="s">
        <v>4851</v>
      </c>
      <c r="F727" s="10">
        <v>1</v>
      </c>
      <c r="G727" s="8" t="s">
        <v>16</v>
      </c>
      <c r="H727" s="10">
        <v>330.1</v>
      </c>
      <c r="I727" s="10">
        <f t="shared" si="13"/>
        <v>330.1</v>
      </c>
      <c r="J727" s="10">
        <v>9.2804181999999997</v>
      </c>
      <c r="K727" s="8" t="s">
        <v>4852</v>
      </c>
      <c r="S727"/>
    </row>
    <row r="728" spans="1:19" ht="15" x14ac:dyDescent="0.25">
      <c r="A728" s="8" t="s">
        <v>5622</v>
      </c>
      <c r="B728" s="8" t="s">
        <v>4847</v>
      </c>
      <c r="C728" s="8" t="s">
        <v>5676</v>
      </c>
      <c r="D728" s="32" t="s">
        <v>6984</v>
      </c>
      <c r="E728" s="32" t="s">
        <v>5676</v>
      </c>
      <c r="F728" s="10">
        <v>1</v>
      </c>
      <c r="G728" s="8" t="s">
        <v>16</v>
      </c>
      <c r="H728" s="10">
        <v>121.3</v>
      </c>
      <c r="I728" s="10">
        <f t="shared" si="13"/>
        <v>121.3</v>
      </c>
      <c r="J728" s="10">
        <v>3.9782133000000002</v>
      </c>
      <c r="K728" s="8" t="s">
        <v>5116</v>
      </c>
      <c r="S728"/>
    </row>
    <row r="729" spans="1:19" ht="15" x14ac:dyDescent="0.25">
      <c r="A729" s="8" t="s">
        <v>5622</v>
      </c>
      <c r="B729" s="8" t="s">
        <v>4847</v>
      </c>
      <c r="C729" s="8" t="s">
        <v>5677</v>
      </c>
      <c r="D729" s="32" t="s">
        <v>6984</v>
      </c>
      <c r="E729" s="32" t="s">
        <v>5677</v>
      </c>
      <c r="F729" s="10">
        <v>8</v>
      </c>
      <c r="G729" s="8" t="s">
        <v>16</v>
      </c>
      <c r="H729" s="10">
        <v>125.02500000000001</v>
      </c>
      <c r="I729" s="10">
        <f t="shared" si="13"/>
        <v>1000.2</v>
      </c>
      <c r="J729" s="10">
        <v>33.033707999999997</v>
      </c>
      <c r="K729" s="8" t="s">
        <v>5116</v>
      </c>
      <c r="S729"/>
    </row>
    <row r="730" spans="1:19" ht="15" x14ac:dyDescent="0.25">
      <c r="A730" s="8" t="s">
        <v>5622</v>
      </c>
      <c r="B730" s="8" t="s">
        <v>4847</v>
      </c>
      <c r="C730" s="8" t="s">
        <v>5678</v>
      </c>
      <c r="D730" s="32" t="s">
        <v>6984</v>
      </c>
      <c r="E730" s="32" t="s">
        <v>5678</v>
      </c>
      <c r="F730" s="10">
        <v>1</v>
      </c>
      <c r="G730" s="8" t="s">
        <v>16</v>
      </c>
      <c r="H730" s="10">
        <v>327.2</v>
      </c>
      <c r="I730" s="10">
        <f t="shared" si="13"/>
        <v>327.2</v>
      </c>
      <c r="J730" s="10">
        <v>8.0342184999999997</v>
      </c>
      <c r="K730" s="8" t="s">
        <v>4800</v>
      </c>
      <c r="S730"/>
    </row>
    <row r="731" spans="1:19" ht="15" x14ac:dyDescent="0.25">
      <c r="A731" s="8" t="s">
        <v>5622</v>
      </c>
      <c r="B731" s="8" t="s">
        <v>4847</v>
      </c>
      <c r="C731" s="8" t="s">
        <v>5679</v>
      </c>
      <c r="D731" s="32" t="s">
        <v>6984</v>
      </c>
      <c r="E731" s="32" t="s">
        <v>5679</v>
      </c>
      <c r="F731" s="10">
        <v>1</v>
      </c>
      <c r="G731" s="8" t="s">
        <v>16</v>
      </c>
      <c r="H731" s="10">
        <v>15.8</v>
      </c>
      <c r="I731" s="10">
        <f t="shared" si="13"/>
        <v>15.8</v>
      </c>
      <c r="J731" s="10">
        <v>0.76813427999999995</v>
      </c>
      <c r="K731" s="8" t="s">
        <v>5123</v>
      </c>
      <c r="S731"/>
    </row>
    <row r="732" spans="1:19" ht="15" x14ac:dyDescent="0.25">
      <c r="A732" s="8" t="s">
        <v>5622</v>
      </c>
      <c r="B732" s="8" t="s">
        <v>4847</v>
      </c>
      <c r="C732" s="8" t="s">
        <v>5680</v>
      </c>
      <c r="D732" s="32" t="s">
        <v>6984</v>
      </c>
      <c r="E732" s="32" t="s">
        <v>5680</v>
      </c>
      <c r="F732" s="10">
        <v>1</v>
      </c>
      <c r="G732" s="8" t="s">
        <v>16</v>
      </c>
      <c r="H732" s="10">
        <v>393.7</v>
      </c>
      <c r="I732" s="10">
        <f t="shared" si="13"/>
        <v>393.7</v>
      </c>
      <c r="J732" s="10">
        <v>10.15959904</v>
      </c>
      <c r="K732" s="8" t="s">
        <v>4949</v>
      </c>
      <c r="S732"/>
    </row>
    <row r="733" spans="1:19" ht="15" x14ac:dyDescent="0.25">
      <c r="A733" s="8" t="s">
        <v>5622</v>
      </c>
      <c r="B733" s="8" t="s">
        <v>4847</v>
      </c>
      <c r="C733" s="8" t="s">
        <v>4867</v>
      </c>
      <c r="D733" s="32" t="s">
        <v>6984</v>
      </c>
      <c r="E733" s="32" t="s">
        <v>4867</v>
      </c>
      <c r="F733" s="10">
        <v>1</v>
      </c>
      <c r="G733" s="8" t="s">
        <v>16</v>
      </c>
      <c r="H733" s="10">
        <v>1338</v>
      </c>
      <c r="I733" s="10">
        <f t="shared" si="13"/>
        <v>1338</v>
      </c>
      <c r="J733" s="10">
        <v>24.347536044000002</v>
      </c>
      <c r="K733" s="8" t="s">
        <v>4850</v>
      </c>
      <c r="S733"/>
    </row>
    <row r="734" spans="1:19" ht="15" x14ac:dyDescent="0.25">
      <c r="A734" s="8" t="s">
        <v>5622</v>
      </c>
      <c r="B734" s="8" t="s">
        <v>4847</v>
      </c>
      <c r="C734" s="8" t="s">
        <v>5681</v>
      </c>
      <c r="D734" s="32" t="s">
        <v>6984</v>
      </c>
      <c r="E734" s="32" t="s">
        <v>5681</v>
      </c>
      <c r="F734" s="10">
        <v>1</v>
      </c>
      <c r="G734" s="8" t="s">
        <v>16</v>
      </c>
      <c r="H734" s="10">
        <v>184.7</v>
      </c>
      <c r="I734" s="10">
        <f t="shared" si="13"/>
        <v>184.7</v>
      </c>
      <c r="J734" s="10">
        <v>4.789411072</v>
      </c>
      <c r="K734" s="8" t="s">
        <v>4800</v>
      </c>
      <c r="S734"/>
    </row>
    <row r="735" spans="1:19" ht="15" x14ac:dyDescent="0.25">
      <c r="A735" s="8" t="s">
        <v>5622</v>
      </c>
      <c r="B735" s="8" t="s">
        <v>4847</v>
      </c>
      <c r="C735" s="8" t="s">
        <v>5682</v>
      </c>
      <c r="D735" s="32" t="s">
        <v>6984</v>
      </c>
      <c r="E735" s="32" t="s">
        <v>5682</v>
      </c>
      <c r="F735" s="10">
        <v>1</v>
      </c>
      <c r="G735" s="8" t="s">
        <v>16</v>
      </c>
      <c r="H735" s="10">
        <v>188.8</v>
      </c>
      <c r="I735" s="10">
        <f t="shared" si="13"/>
        <v>188.8</v>
      </c>
      <c r="J735" s="10">
        <v>5.8555940015600001</v>
      </c>
      <c r="K735" s="8" t="s">
        <v>4781</v>
      </c>
      <c r="S735"/>
    </row>
    <row r="736" spans="1:19" ht="15" x14ac:dyDescent="0.25">
      <c r="A736" s="8" t="s">
        <v>5622</v>
      </c>
      <c r="B736" s="8" t="s">
        <v>4847</v>
      </c>
      <c r="C736" s="8" t="s">
        <v>4853</v>
      </c>
      <c r="D736" s="32" t="s">
        <v>6984</v>
      </c>
      <c r="E736" s="32" t="s">
        <v>4853</v>
      </c>
      <c r="F736" s="10">
        <v>1</v>
      </c>
      <c r="G736" s="8" t="s">
        <v>16</v>
      </c>
      <c r="H736" s="10">
        <v>918</v>
      </c>
      <c r="I736" s="10">
        <f t="shared" si="13"/>
        <v>918</v>
      </c>
      <c r="J736" s="10">
        <v>18.953980861000002</v>
      </c>
      <c r="K736" s="8" t="s">
        <v>17</v>
      </c>
      <c r="S736"/>
    </row>
    <row r="737" spans="1:19" ht="15" x14ac:dyDescent="0.25">
      <c r="A737" s="8" t="s">
        <v>5622</v>
      </c>
      <c r="B737" s="8" t="s">
        <v>4847</v>
      </c>
      <c r="C737" s="8" t="s">
        <v>5683</v>
      </c>
      <c r="D737" s="32" t="s">
        <v>6984</v>
      </c>
      <c r="E737" s="32" t="s">
        <v>5683</v>
      </c>
      <c r="F737" s="10">
        <v>1</v>
      </c>
      <c r="G737" s="8" t="s">
        <v>16</v>
      </c>
      <c r="H737" s="10">
        <v>652.6</v>
      </c>
      <c r="I737" s="10">
        <f t="shared" si="13"/>
        <v>652.6</v>
      </c>
      <c r="J737" s="10">
        <v>12.033139176800001</v>
      </c>
      <c r="K737" s="8" t="s">
        <v>4850</v>
      </c>
      <c r="S737"/>
    </row>
    <row r="738" spans="1:19" ht="15" x14ac:dyDescent="0.25">
      <c r="A738" s="8" t="s">
        <v>5622</v>
      </c>
      <c r="B738" s="8" t="s">
        <v>4847</v>
      </c>
      <c r="C738" s="8" t="s">
        <v>5684</v>
      </c>
      <c r="D738" s="32" t="s">
        <v>6984</v>
      </c>
      <c r="E738" s="32" t="s">
        <v>5684</v>
      </c>
      <c r="F738" s="10">
        <v>4</v>
      </c>
      <c r="G738" s="8" t="s">
        <v>16</v>
      </c>
      <c r="H738" s="10">
        <v>204.67500000000001</v>
      </c>
      <c r="I738" s="10">
        <f t="shared" si="13"/>
        <v>818.7</v>
      </c>
      <c r="J738" s="10">
        <v>26.91960288456</v>
      </c>
      <c r="K738" s="8" t="s">
        <v>5685</v>
      </c>
      <c r="S738"/>
    </row>
    <row r="739" spans="1:19" ht="15" x14ac:dyDescent="0.25">
      <c r="A739" s="8" t="s">
        <v>5622</v>
      </c>
      <c r="B739" s="8" t="s">
        <v>4847</v>
      </c>
      <c r="C739" s="8" t="s">
        <v>5686</v>
      </c>
      <c r="D739" s="32" t="s">
        <v>6984</v>
      </c>
      <c r="E739" s="32" t="s">
        <v>5686</v>
      </c>
      <c r="F739" s="10">
        <v>1</v>
      </c>
      <c r="G739" s="8" t="s">
        <v>16</v>
      </c>
      <c r="H739" s="10">
        <v>229.8</v>
      </c>
      <c r="I739" s="10">
        <f t="shared" si="13"/>
        <v>229.8</v>
      </c>
      <c r="J739" s="10">
        <v>7.5696160587000003</v>
      </c>
      <c r="K739" s="8" t="s">
        <v>5685</v>
      </c>
      <c r="S739"/>
    </row>
    <row r="740" spans="1:19" ht="15" x14ac:dyDescent="0.25">
      <c r="A740" s="8" t="s">
        <v>5622</v>
      </c>
      <c r="B740" s="8" t="s">
        <v>4847</v>
      </c>
      <c r="C740" s="8" t="s">
        <v>5687</v>
      </c>
      <c r="D740" s="32" t="s">
        <v>6984</v>
      </c>
      <c r="E740" s="32" t="s">
        <v>5687</v>
      </c>
      <c r="F740" s="10">
        <v>1</v>
      </c>
      <c r="G740" s="8" t="s">
        <v>16</v>
      </c>
      <c r="H740" s="10">
        <v>204.8</v>
      </c>
      <c r="I740" s="10">
        <f t="shared" si="13"/>
        <v>204.8</v>
      </c>
      <c r="J740" s="10">
        <v>6.7319299805400004</v>
      </c>
      <c r="K740" s="8" t="s">
        <v>5685</v>
      </c>
      <c r="S740"/>
    </row>
    <row r="741" spans="1:19" ht="15" x14ac:dyDescent="0.25">
      <c r="A741" s="8" t="s">
        <v>5622</v>
      </c>
      <c r="B741" s="8" t="s">
        <v>4847</v>
      </c>
      <c r="C741" s="8" t="s">
        <v>5688</v>
      </c>
      <c r="D741" s="32" t="s">
        <v>6984</v>
      </c>
      <c r="E741" s="32" t="s">
        <v>5688</v>
      </c>
      <c r="F741" s="10">
        <v>1</v>
      </c>
      <c r="G741" s="8" t="s">
        <v>16</v>
      </c>
      <c r="H741" s="10">
        <v>229.7</v>
      </c>
      <c r="I741" s="10">
        <f t="shared" si="13"/>
        <v>229.7</v>
      </c>
      <c r="J741" s="10">
        <v>7.5673168876999997</v>
      </c>
      <c r="K741" s="8" t="s">
        <v>5685</v>
      </c>
      <c r="S741"/>
    </row>
    <row r="742" spans="1:19" ht="15" x14ac:dyDescent="0.25">
      <c r="A742" s="8" t="s">
        <v>5622</v>
      </c>
      <c r="B742" s="8" t="s">
        <v>4847</v>
      </c>
      <c r="C742" s="8" t="s">
        <v>5689</v>
      </c>
      <c r="D742" s="32" t="s">
        <v>6984</v>
      </c>
      <c r="E742" s="32" t="s">
        <v>5689</v>
      </c>
      <c r="F742" s="10">
        <v>1</v>
      </c>
      <c r="G742" s="8" t="s">
        <v>16</v>
      </c>
      <c r="H742" s="10">
        <v>47.9</v>
      </c>
      <c r="I742" s="10">
        <f t="shared" si="13"/>
        <v>47.9</v>
      </c>
      <c r="J742" s="10">
        <v>1.55064209888</v>
      </c>
      <c r="K742" s="8" t="s">
        <v>4781</v>
      </c>
      <c r="S742"/>
    </row>
    <row r="743" spans="1:19" ht="15" x14ac:dyDescent="0.25">
      <c r="A743" s="8" t="s">
        <v>5622</v>
      </c>
      <c r="B743" s="8" t="s">
        <v>4847</v>
      </c>
      <c r="C743" s="8" t="s">
        <v>5690</v>
      </c>
      <c r="D743" s="32" t="s">
        <v>6984</v>
      </c>
      <c r="E743" s="32" t="s">
        <v>5690</v>
      </c>
      <c r="F743" s="10">
        <v>1</v>
      </c>
      <c r="G743" s="8" t="s">
        <v>16</v>
      </c>
      <c r="H743" s="10">
        <v>45</v>
      </c>
      <c r="I743" s="10">
        <f t="shared" si="13"/>
        <v>45</v>
      </c>
      <c r="J743" s="10">
        <v>1.36866626856</v>
      </c>
      <c r="K743" s="8" t="s">
        <v>4781</v>
      </c>
      <c r="S743"/>
    </row>
    <row r="744" spans="1:19" ht="15" x14ac:dyDescent="0.25">
      <c r="A744" s="8" t="s">
        <v>5622</v>
      </c>
      <c r="B744" s="8" t="s">
        <v>4847</v>
      </c>
      <c r="C744" s="8" t="s">
        <v>5691</v>
      </c>
      <c r="D744" s="32" t="s">
        <v>6984</v>
      </c>
      <c r="E744" s="32" t="s">
        <v>5691</v>
      </c>
      <c r="F744" s="10">
        <v>9</v>
      </c>
      <c r="G744" s="8" t="s">
        <v>16</v>
      </c>
      <c r="H744" s="10">
        <v>344.0888888888889</v>
      </c>
      <c r="I744" s="10">
        <f t="shared" si="13"/>
        <v>3096.8</v>
      </c>
      <c r="J744" s="10">
        <v>79.639560000000003</v>
      </c>
      <c r="K744" s="8" t="s">
        <v>4949</v>
      </c>
      <c r="S744"/>
    </row>
    <row r="745" spans="1:19" ht="15" x14ac:dyDescent="0.25">
      <c r="A745" s="8" t="s">
        <v>5622</v>
      </c>
      <c r="B745" s="8" t="s">
        <v>4847</v>
      </c>
      <c r="C745" s="8" t="s">
        <v>4854</v>
      </c>
      <c r="D745" s="32" t="s">
        <v>6984</v>
      </c>
      <c r="E745" s="32" t="s">
        <v>4854</v>
      </c>
      <c r="F745" s="10">
        <v>1</v>
      </c>
      <c r="G745" s="8" t="s">
        <v>16</v>
      </c>
      <c r="H745" s="10">
        <v>101.1</v>
      </c>
      <c r="I745" s="10">
        <f t="shared" si="13"/>
        <v>101.1</v>
      </c>
      <c r="J745" s="10">
        <v>2.82626</v>
      </c>
      <c r="K745" s="8" t="s">
        <v>4855</v>
      </c>
      <c r="S745"/>
    </row>
    <row r="746" spans="1:19" ht="15" x14ac:dyDescent="0.25">
      <c r="A746" s="8" t="s">
        <v>5622</v>
      </c>
      <c r="B746" s="8" t="s">
        <v>4847</v>
      </c>
      <c r="C746" s="8" t="s">
        <v>5692</v>
      </c>
      <c r="D746" s="32" t="s">
        <v>6984</v>
      </c>
      <c r="E746" s="32" t="s">
        <v>5692</v>
      </c>
      <c r="F746" s="10">
        <v>40</v>
      </c>
      <c r="G746" s="8" t="s">
        <v>16</v>
      </c>
      <c r="H746" s="10">
        <v>11.53</v>
      </c>
      <c r="I746" s="10">
        <f t="shared" si="13"/>
        <v>461.2</v>
      </c>
      <c r="J746" s="10">
        <v>14.95116</v>
      </c>
      <c r="K746" s="8" t="s">
        <v>5116</v>
      </c>
      <c r="S746"/>
    </row>
    <row r="747" spans="1:19" ht="15" x14ac:dyDescent="0.25">
      <c r="A747" s="8" t="s">
        <v>5622</v>
      </c>
      <c r="B747" s="8" t="s">
        <v>4847</v>
      </c>
      <c r="C747" s="8" t="s">
        <v>5693</v>
      </c>
      <c r="D747" s="32" t="s">
        <v>6984</v>
      </c>
      <c r="E747" s="32" t="s">
        <v>5693</v>
      </c>
      <c r="F747" s="10">
        <v>20</v>
      </c>
      <c r="G747" s="8" t="s">
        <v>16</v>
      </c>
      <c r="H747" s="10">
        <v>11.379999999999999</v>
      </c>
      <c r="I747" s="10">
        <f t="shared" si="13"/>
        <v>227.59999999999997</v>
      </c>
      <c r="J747" s="10">
        <v>7.3684799999999999</v>
      </c>
      <c r="K747" s="8" t="s">
        <v>5116</v>
      </c>
      <c r="S747"/>
    </row>
    <row r="748" spans="1:19" ht="15" x14ac:dyDescent="0.25">
      <c r="A748" s="8" t="s">
        <v>5622</v>
      </c>
      <c r="B748" s="8" t="s">
        <v>4847</v>
      </c>
      <c r="C748" s="8" t="s">
        <v>5694</v>
      </c>
      <c r="D748" s="32" t="s">
        <v>6984</v>
      </c>
      <c r="E748" s="32" t="s">
        <v>5694</v>
      </c>
      <c r="F748" s="10">
        <v>2</v>
      </c>
      <c r="G748" s="8" t="s">
        <v>16</v>
      </c>
      <c r="H748" s="10">
        <v>15</v>
      </c>
      <c r="I748" s="10">
        <f t="shared" si="13"/>
        <v>30</v>
      </c>
      <c r="J748" s="10">
        <v>0.972468</v>
      </c>
      <c r="K748" s="8" t="s">
        <v>5116</v>
      </c>
      <c r="S748"/>
    </row>
    <row r="749" spans="1:19" ht="15" x14ac:dyDescent="0.25">
      <c r="A749" s="8" t="s">
        <v>5622</v>
      </c>
      <c r="B749" s="8" t="s">
        <v>4847</v>
      </c>
      <c r="C749" s="8" t="s">
        <v>5695</v>
      </c>
      <c r="D749" s="32" t="s">
        <v>6984</v>
      </c>
      <c r="E749" s="32" t="s">
        <v>5695</v>
      </c>
      <c r="F749" s="10">
        <v>5</v>
      </c>
      <c r="G749" s="8" t="s">
        <v>16</v>
      </c>
      <c r="H749" s="10">
        <v>13.940000000000001</v>
      </c>
      <c r="I749" s="10">
        <f t="shared" si="13"/>
        <v>69.7</v>
      </c>
      <c r="J749" s="10">
        <v>3.5456249999999998</v>
      </c>
      <c r="K749" s="8" t="s">
        <v>5123</v>
      </c>
      <c r="S749"/>
    </row>
    <row r="750" spans="1:19" ht="15" x14ac:dyDescent="0.25">
      <c r="A750" s="8" t="s">
        <v>5622</v>
      </c>
      <c r="B750" s="8" t="s">
        <v>4847</v>
      </c>
      <c r="C750" s="8" t="s">
        <v>5696</v>
      </c>
      <c r="D750" s="32" t="s">
        <v>6984</v>
      </c>
      <c r="E750" s="32" t="s">
        <v>5696</v>
      </c>
      <c r="F750" s="10">
        <v>1</v>
      </c>
      <c r="G750" s="8" t="s">
        <v>16</v>
      </c>
      <c r="H750" s="10">
        <v>34.299999999999997</v>
      </c>
      <c r="I750" s="10">
        <f t="shared" si="13"/>
        <v>34.299999999999997</v>
      </c>
      <c r="J750" s="10">
        <v>1.7453000000000001</v>
      </c>
      <c r="K750" s="8" t="s">
        <v>5123</v>
      </c>
      <c r="S750"/>
    </row>
    <row r="751" spans="1:19" ht="15" x14ac:dyDescent="0.25">
      <c r="A751" s="8" t="s">
        <v>5622</v>
      </c>
      <c r="B751" s="8" t="s">
        <v>4847</v>
      </c>
      <c r="C751" s="8" t="s">
        <v>5697</v>
      </c>
      <c r="D751" s="32" t="s">
        <v>6984</v>
      </c>
      <c r="E751" s="32" t="s">
        <v>5697</v>
      </c>
      <c r="F751" s="10">
        <v>2</v>
      </c>
      <c r="G751" s="8" t="s">
        <v>16</v>
      </c>
      <c r="H751" s="10">
        <v>390.1</v>
      </c>
      <c r="I751" s="10">
        <f t="shared" si="13"/>
        <v>780.2</v>
      </c>
      <c r="J751" s="10">
        <v>20.063680000000002</v>
      </c>
      <c r="K751" s="8" t="s">
        <v>4949</v>
      </c>
      <c r="S751"/>
    </row>
    <row r="752" spans="1:19" ht="15" x14ac:dyDescent="0.25">
      <c r="A752" s="8" t="s">
        <v>5622</v>
      </c>
      <c r="B752" s="8" t="s">
        <v>4847</v>
      </c>
      <c r="C752" s="8" t="s">
        <v>4868</v>
      </c>
      <c r="D752" s="32" t="s">
        <v>6984</v>
      </c>
      <c r="E752" s="32" t="s">
        <v>4868</v>
      </c>
      <c r="F752" s="10">
        <v>1</v>
      </c>
      <c r="G752" s="8" t="s">
        <v>16</v>
      </c>
      <c r="H752" s="10">
        <v>252.3</v>
      </c>
      <c r="I752" s="10">
        <f t="shared" si="13"/>
        <v>252.3</v>
      </c>
      <c r="J752" s="10">
        <v>4.5832639999999998</v>
      </c>
      <c r="K752" s="8" t="s">
        <v>4850</v>
      </c>
      <c r="S752"/>
    </row>
    <row r="753" spans="1:19" ht="15" x14ac:dyDescent="0.25">
      <c r="A753" s="8" t="s">
        <v>5622</v>
      </c>
      <c r="B753" s="8" t="s">
        <v>4847</v>
      </c>
      <c r="C753" s="8" t="s">
        <v>4856</v>
      </c>
      <c r="D753" s="32" t="s">
        <v>6984</v>
      </c>
      <c r="E753" s="32" t="s">
        <v>4856</v>
      </c>
      <c r="F753" s="10">
        <v>2</v>
      </c>
      <c r="G753" s="8" t="s">
        <v>16</v>
      </c>
      <c r="H753" s="10">
        <v>149.05000000000001</v>
      </c>
      <c r="I753" s="10">
        <f t="shared" si="13"/>
        <v>298.10000000000002</v>
      </c>
      <c r="J753" s="10">
        <v>8.9557760000000002</v>
      </c>
      <c r="K753" s="8" t="s">
        <v>4857</v>
      </c>
      <c r="S753"/>
    </row>
    <row r="754" spans="1:19" ht="15" x14ac:dyDescent="0.25">
      <c r="A754" s="8" t="s">
        <v>5622</v>
      </c>
      <c r="B754" s="8" t="s">
        <v>4847</v>
      </c>
      <c r="C754" s="8" t="s">
        <v>5698</v>
      </c>
      <c r="D754" s="32" t="s">
        <v>6984</v>
      </c>
      <c r="E754" s="32" t="s">
        <v>5698</v>
      </c>
      <c r="F754" s="10">
        <v>1</v>
      </c>
      <c r="G754" s="8" t="s">
        <v>16</v>
      </c>
      <c r="H754" s="10">
        <v>481.5</v>
      </c>
      <c r="I754" s="10">
        <f t="shared" si="13"/>
        <v>481.5</v>
      </c>
      <c r="J754" s="10">
        <v>13.395503589600001</v>
      </c>
      <c r="K754" s="8" t="s">
        <v>5209</v>
      </c>
      <c r="S754"/>
    </row>
    <row r="755" spans="1:19" ht="15" x14ac:dyDescent="0.25">
      <c r="A755" s="8" t="s">
        <v>5622</v>
      </c>
      <c r="B755" s="8" t="s">
        <v>4847</v>
      </c>
      <c r="C755" s="8" t="s">
        <v>5699</v>
      </c>
      <c r="D755" s="32" t="s">
        <v>6984</v>
      </c>
      <c r="E755" s="32" t="s">
        <v>5699</v>
      </c>
      <c r="F755" s="10">
        <v>1</v>
      </c>
      <c r="G755" s="8" t="s">
        <v>16</v>
      </c>
      <c r="H755" s="10">
        <v>496.2</v>
      </c>
      <c r="I755" s="10">
        <f t="shared" si="13"/>
        <v>496.2</v>
      </c>
      <c r="J755" s="10">
        <v>13.871631669599999</v>
      </c>
      <c r="K755" s="8" t="s">
        <v>5209</v>
      </c>
      <c r="S755"/>
    </row>
    <row r="756" spans="1:19" ht="15" x14ac:dyDescent="0.25">
      <c r="A756" s="8" t="s">
        <v>5622</v>
      </c>
      <c r="B756" s="8" t="s">
        <v>4847</v>
      </c>
      <c r="C756" s="8" t="s">
        <v>5700</v>
      </c>
      <c r="D756" s="32" t="s">
        <v>6984</v>
      </c>
      <c r="E756" s="32" t="s">
        <v>5700</v>
      </c>
      <c r="F756" s="10">
        <v>3</v>
      </c>
      <c r="G756" s="8" t="s">
        <v>5642</v>
      </c>
      <c r="H756" s="10">
        <v>8.4</v>
      </c>
      <c r="I756" s="10">
        <f t="shared" si="13"/>
        <v>25.200000000000003</v>
      </c>
      <c r="J756" s="10">
        <v>1.0515600000000001</v>
      </c>
      <c r="K756" s="8" t="s">
        <v>5051</v>
      </c>
      <c r="S756"/>
    </row>
    <row r="757" spans="1:19" ht="15" x14ac:dyDescent="0.25">
      <c r="A757" s="8" t="s">
        <v>5622</v>
      </c>
      <c r="B757" s="8" t="s">
        <v>4847</v>
      </c>
      <c r="C757" s="8" t="s">
        <v>5701</v>
      </c>
      <c r="D757" s="32" t="s">
        <v>6984</v>
      </c>
      <c r="E757" s="32" t="s">
        <v>5701</v>
      </c>
      <c r="F757" s="10">
        <v>2</v>
      </c>
      <c r="G757" s="8" t="s">
        <v>5642</v>
      </c>
      <c r="H757" s="10">
        <v>6.75</v>
      </c>
      <c r="I757" s="10">
        <f t="shared" si="13"/>
        <v>13.5</v>
      </c>
      <c r="J757" s="10">
        <v>0.75234800000000002</v>
      </c>
      <c r="K757" s="8" t="s">
        <v>5245</v>
      </c>
      <c r="S757"/>
    </row>
    <row r="758" spans="1:19" ht="15" x14ac:dyDescent="0.25">
      <c r="A758" s="8" t="s">
        <v>5622</v>
      </c>
      <c r="B758" s="8" t="s">
        <v>4847</v>
      </c>
      <c r="C758" s="8" t="s">
        <v>5702</v>
      </c>
      <c r="D758" s="32" t="s">
        <v>6984</v>
      </c>
      <c r="E758" s="32" t="s">
        <v>5702</v>
      </c>
      <c r="F758" s="10">
        <v>4</v>
      </c>
      <c r="G758" s="8" t="s">
        <v>5642</v>
      </c>
      <c r="H758" s="10">
        <v>5.125</v>
      </c>
      <c r="I758" s="10">
        <f t="shared" si="13"/>
        <v>20.5</v>
      </c>
      <c r="J758" s="10">
        <v>0.85587840000000004</v>
      </c>
      <c r="K758" s="8" t="s">
        <v>5051</v>
      </c>
      <c r="S758"/>
    </row>
    <row r="759" spans="1:19" ht="15" x14ac:dyDescent="0.25">
      <c r="A759" s="8" t="s">
        <v>5622</v>
      </c>
      <c r="B759" s="8" t="s">
        <v>4847</v>
      </c>
      <c r="C759" s="8" t="s">
        <v>5703</v>
      </c>
      <c r="D759" s="32" t="s">
        <v>6984</v>
      </c>
      <c r="E759" s="32" t="s">
        <v>5703</v>
      </c>
      <c r="F759" s="10">
        <v>1</v>
      </c>
      <c r="G759" s="8" t="s">
        <v>5642</v>
      </c>
      <c r="H759" s="10">
        <v>8.4</v>
      </c>
      <c r="I759" s="10">
        <f t="shared" si="13"/>
        <v>8.4</v>
      </c>
      <c r="J759" s="10">
        <v>0.35052</v>
      </c>
      <c r="K759" s="8" t="s">
        <v>5051</v>
      </c>
      <c r="S759"/>
    </row>
    <row r="760" spans="1:19" ht="15" x14ac:dyDescent="0.25">
      <c r="A760" s="8" t="s">
        <v>5622</v>
      </c>
      <c r="B760" s="8" t="s">
        <v>4847</v>
      </c>
      <c r="C760" s="8" t="s">
        <v>5704</v>
      </c>
      <c r="D760" s="32" t="s">
        <v>6984</v>
      </c>
      <c r="E760" s="32" t="s">
        <v>5704</v>
      </c>
      <c r="F760" s="10">
        <v>1</v>
      </c>
      <c r="G760" s="8" t="s">
        <v>5642</v>
      </c>
      <c r="H760" s="10">
        <v>8.4</v>
      </c>
      <c r="I760" s="10">
        <f t="shared" si="13"/>
        <v>8.4</v>
      </c>
      <c r="J760" s="10">
        <v>0.35052</v>
      </c>
      <c r="K760" s="8" t="s">
        <v>5051</v>
      </c>
      <c r="S760"/>
    </row>
    <row r="761" spans="1:19" ht="15" x14ac:dyDescent="0.25">
      <c r="A761" s="8" t="s">
        <v>5622</v>
      </c>
      <c r="B761" s="8" t="s">
        <v>4847</v>
      </c>
      <c r="C761" s="8" t="s">
        <v>5705</v>
      </c>
      <c r="D761" s="32" t="s">
        <v>6984</v>
      </c>
      <c r="E761" s="32" t="s">
        <v>5705</v>
      </c>
      <c r="F761" s="10">
        <v>2</v>
      </c>
      <c r="G761" s="8" t="s">
        <v>5642</v>
      </c>
      <c r="H761" s="10">
        <v>7.15</v>
      </c>
      <c r="I761" s="10">
        <f t="shared" si="13"/>
        <v>14.3</v>
      </c>
      <c r="J761" s="10">
        <v>0.59557919999999998</v>
      </c>
      <c r="K761" s="8" t="s">
        <v>5051</v>
      </c>
      <c r="S761"/>
    </row>
    <row r="762" spans="1:19" ht="15" x14ac:dyDescent="0.25">
      <c r="A762" s="8" t="s">
        <v>5622</v>
      </c>
      <c r="B762" s="8" t="s">
        <v>4847</v>
      </c>
      <c r="C762" s="8" t="s">
        <v>5706</v>
      </c>
      <c r="D762" s="32" t="s">
        <v>6984</v>
      </c>
      <c r="E762" s="32" t="s">
        <v>5706</v>
      </c>
      <c r="F762" s="10">
        <v>2</v>
      </c>
      <c r="G762" s="8" t="s">
        <v>5642</v>
      </c>
      <c r="H762" s="10">
        <v>7.15</v>
      </c>
      <c r="I762" s="10">
        <f t="shared" si="13"/>
        <v>14.3</v>
      </c>
      <c r="J762" s="10">
        <v>0.59557919999999998</v>
      </c>
      <c r="K762" s="8" t="s">
        <v>5051</v>
      </c>
      <c r="S762"/>
    </row>
    <row r="763" spans="1:19" ht="15" x14ac:dyDescent="0.25">
      <c r="A763" s="8" t="s">
        <v>5622</v>
      </c>
      <c r="B763" s="8" t="s">
        <v>4847</v>
      </c>
      <c r="C763" s="8" t="s">
        <v>5707</v>
      </c>
      <c r="D763" s="32" t="s">
        <v>6984</v>
      </c>
      <c r="E763" s="32" t="s">
        <v>5707</v>
      </c>
      <c r="F763" s="10">
        <v>3</v>
      </c>
      <c r="G763" s="8" t="s">
        <v>5642</v>
      </c>
      <c r="H763" s="10">
        <v>8.4</v>
      </c>
      <c r="I763" s="10">
        <f t="shared" si="13"/>
        <v>25.200000000000003</v>
      </c>
      <c r="J763" s="10">
        <v>1.0515600000000001</v>
      </c>
      <c r="K763" s="8" t="s">
        <v>5051</v>
      </c>
      <c r="S763"/>
    </row>
    <row r="764" spans="1:19" ht="15" x14ac:dyDescent="0.25">
      <c r="A764" s="8" t="s">
        <v>5622</v>
      </c>
      <c r="B764" s="8" t="s">
        <v>4847</v>
      </c>
      <c r="C764" s="8" t="s">
        <v>5708</v>
      </c>
      <c r="D764" s="32" t="s">
        <v>6984</v>
      </c>
      <c r="E764" s="32" t="s">
        <v>5708</v>
      </c>
      <c r="F764" s="10">
        <v>4</v>
      </c>
      <c r="G764" s="8" t="s">
        <v>5642</v>
      </c>
      <c r="H764" s="10">
        <v>7.125</v>
      </c>
      <c r="I764" s="10">
        <f t="shared" si="13"/>
        <v>28.5</v>
      </c>
      <c r="J764" s="10">
        <v>1.1911584</v>
      </c>
      <c r="K764" s="8" t="s">
        <v>5051</v>
      </c>
      <c r="S764"/>
    </row>
    <row r="765" spans="1:19" ht="15" x14ac:dyDescent="0.25">
      <c r="A765" s="8" t="s">
        <v>5622</v>
      </c>
      <c r="B765" s="8" t="s">
        <v>4847</v>
      </c>
      <c r="C765" s="8" t="s">
        <v>5709</v>
      </c>
      <c r="D765" s="32" t="s">
        <v>6984</v>
      </c>
      <c r="E765" s="32" t="s">
        <v>5709</v>
      </c>
      <c r="F765" s="10">
        <v>8</v>
      </c>
      <c r="G765" s="8" t="s">
        <v>5642</v>
      </c>
      <c r="H765" s="10">
        <v>7.2125000000000004</v>
      </c>
      <c r="I765" s="10">
        <f t="shared" si="13"/>
        <v>57.7</v>
      </c>
      <c r="J765" s="10">
        <v>2.4091391999999998</v>
      </c>
      <c r="K765" s="8" t="s">
        <v>5051</v>
      </c>
      <c r="S765"/>
    </row>
    <row r="766" spans="1:19" ht="15" x14ac:dyDescent="0.25">
      <c r="A766" s="8" t="s">
        <v>5622</v>
      </c>
      <c r="B766" s="8" t="s">
        <v>4847</v>
      </c>
      <c r="C766" s="8" t="s">
        <v>5710</v>
      </c>
      <c r="D766" s="32" t="s">
        <v>6984</v>
      </c>
      <c r="E766" s="32" t="s">
        <v>5710</v>
      </c>
      <c r="F766" s="10">
        <v>8</v>
      </c>
      <c r="G766" s="8" t="s">
        <v>5642</v>
      </c>
      <c r="H766" s="10">
        <v>20.725000000000001</v>
      </c>
      <c r="I766" s="10">
        <f t="shared" si="13"/>
        <v>165.8</v>
      </c>
      <c r="J766" s="10">
        <v>6.8665343999999999</v>
      </c>
      <c r="K766" s="8" t="s">
        <v>5711</v>
      </c>
      <c r="S766"/>
    </row>
    <row r="767" spans="1:19" ht="15" x14ac:dyDescent="0.25">
      <c r="A767" s="8" t="s">
        <v>5622</v>
      </c>
      <c r="B767" s="8" t="s">
        <v>4847</v>
      </c>
      <c r="C767" s="8" t="s">
        <v>5712</v>
      </c>
      <c r="D767" s="32" t="s">
        <v>6984</v>
      </c>
      <c r="E767" s="32" t="s">
        <v>5712</v>
      </c>
      <c r="F767" s="10">
        <v>4</v>
      </c>
      <c r="G767" s="8" t="s">
        <v>5642</v>
      </c>
      <c r="H767" s="10">
        <v>4.8250000000000002</v>
      </c>
      <c r="I767" s="10">
        <f t="shared" si="13"/>
        <v>19.3</v>
      </c>
      <c r="J767" s="10">
        <v>1.093216</v>
      </c>
      <c r="K767" s="8" t="s">
        <v>5248</v>
      </c>
      <c r="S767"/>
    </row>
    <row r="768" spans="1:19" ht="15" x14ac:dyDescent="0.25">
      <c r="A768" s="8" t="s">
        <v>5622</v>
      </c>
      <c r="B768" s="8" t="s">
        <v>4847</v>
      </c>
      <c r="C768" s="8" t="s">
        <v>5713</v>
      </c>
      <c r="D768" s="32" t="s">
        <v>6984</v>
      </c>
      <c r="E768" s="32" t="s">
        <v>5713</v>
      </c>
      <c r="F768" s="10">
        <v>20</v>
      </c>
      <c r="G768" s="8" t="s">
        <v>22</v>
      </c>
      <c r="H768" s="10">
        <v>2.0100000000000002</v>
      </c>
      <c r="I768" s="10">
        <f t="shared" si="13"/>
        <v>40.200000000000003</v>
      </c>
      <c r="J768" s="10">
        <v>1.6443000000000001</v>
      </c>
      <c r="K768" s="8" t="s">
        <v>4798</v>
      </c>
      <c r="S768"/>
    </row>
    <row r="769" spans="1:19" ht="15" x14ac:dyDescent="0.25">
      <c r="A769" s="8" t="s">
        <v>5622</v>
      </c>
      <c r="B769" s="8" t="s">
        <v>4847</v>
      </c>
      <c r="C769" s="8" t="s">
        <v>5714</v>
      </c>
      <c r="D769" s="32" t="s">
        <v>6984</v>
      </c>
      <c r="E769" s="32" t="s">
        <v>5714</v>
      </c>
      <c r="F769" s="10">
        <v>2</v>
      </c>
      <c r="G769" s="8" t="s">
        <v>22</v>
      </c>
      <c r="H769" s="10">
        <v>1.6</v>
      </c>
      <c r="I769" s="10">
        <f t="shared" si="13"/>
        <v>3.2</v>
      </c>
      <c r="J769" s="10">
        <v>0.13122</v>
      </c>
      <c r="K769" s="8" t="s">
        <v>4798</v>
      </c>
      <c r="S769"/>
    </row>
    <row r="770" spans="1:19" ht="15" x14ac:dyDescent="0.25">
      <c r="A770" s="8" t="s">
        <v>5622</v>
      </c>
      <c r="B770" s="8" t="s">
        <v>4847</v>
      </c>
      <c r="C770" s="8" t="s">
        <v>5715</v>
      </c>
      <c r="D770" s="32" t="s">
        <v>6984</v>
      </c>
      <c r="E770" s="32" t="s">
        <v>5715</v>
      </c>
      <c r="F770" s="10">
        <v>56</v>
      </c>
      <c r="G770" s="8" t="s">
        <v>22</v>
      </c>
      <c r="H770" s="10">
        <v>1.2714285714285716</v>
      </c>
      <c r="I770" s="10">
        <f t="shared" si="13"/>
        <v>71.2</v>
      </c>
      <c r="J770" s="10">
        <v>2.3042880000000001</v>
      </c>
      <c r="K770" s="8" t="s">
        <v>23</v>
      </c>
      <c r="S770"/>
    </row>
    <row r="771" spans="1:19" ht="15" x14ac:dyDescent="0.25">
      <c r="A771" s="8" t="s">
        <v>5622</v>
      </c>
      <c r="B771" s="8" t="s">
        <v>4847</v>
      </c>
      <c r="C771" s="8" t="s">
        <v>5716</v>
      </c>
      <c r="D771" s="32" t="s">
        <v>6984</v>
      </c>
      <c r="E771" s="32" t="s">
        <v>5716</v>
      </c>
      <c r="F771" s="10">
        <v>2</v>
      </c>
      <c r="G771" s="8" t="s">
        <v>22</v>
      </c>
      <c r="H771" s="10">
        <v>5.25</v>
      </c>
      <c r="I771" s="10">
        <f t="shared" si="13"/>
        <v>10.5</v>
      </c>
      <c r="J771" s="10">
        <v>0.33966911999999999</v>
      </c>
      <c r="K771" s="8" t="s">
        <v>23</v>
      </c>
      <c r="S771"/>
    </row>
    <row r="772" spans="1:19" ht="15" x14ac:dyDescent="0.25">
      <c r="A772" s="8" t="s">
        <v>5622</v>
      </c>
      <c r="B772" s="8" t="s">
        <v>4847</v>
      </c>
      <c r="C772" s="8" t="s">
        <v>5717</v>
      </c>
      <c r="D772" s="32" t="s">
        <v>6984</v>
      </c>
      <c r="E772" s="32" t="s">
        <v>5717</v>
      </c>
      <c r="F772" s="10">
        <v>2</v>
      </c>
      <c r="G772" s="8" t="s">
        <v>22</v>
      </c>
      <c r="H772" s="10">
        <v>3.7</v>
      </c>
      <c r="I772" s="10">
        <f t="shared" si="13"/>
        <v>7.4</v>
      </c>
      <c r="J772" s="10">
        <v>0.24079200000000001</v>
      </c>
      <c r="K772" s="8" t="s">
        <v>23</v>
      </c>
      <c r="S772"/>
    </row>
    <row r="773" spans="1:19" ht="15" x14ac:dyDescent="0.25">
      <c r="A773" s="8" t="s">
        <v>5622</v>
      </c>
      <c r="B773" s="8" t="s">
        <v>4847</v>
      </c>
      <c r="C773" s="8" t="s">
        <v>5718</v>
      </c>
      <c r="D773" s="32" t="s">
        <v>6984</v>
      </c>
      <c r="E773" s="32" t="s">
        <v>5718</v>
      </c>
      <c r="F773" s="10">
        <v>176</v>
      </c>
      <c r="G773" s="8" t="s">
        <v>22</v>
      </c>
      <c r="H773" s="10">
        <v>1.8903409090909091</v>
      </c>
      <c r="I773" s="10">
        <f t="shared" ref="I773:I836" si="14">F773*H773</f>
        <v>332.7</v>
      </c>
      <c r="J773" s="10">
        <v>10.764723200000001</v>
      </c>
      <c r="K773" s="8" t="s">
        <v>23</v>
      </c>
      <c r="S773"/>
    </row>
    <row r="774" spans="1:19" ht="15" x14ac:dyDescent="0.25">
      <c r="A774" s="8" t="s">
        <v>5622</v>
      </c>
      <c r="B774" s="8" t="s">
        <v>4847</v>
      </c>
      <c r="C774" s="8" t="s">
        <v>5719</v>
      </c>
      <c r="D774" s="32" t="s">
        <v>6984</v>
      </c>
      <c r="E774" s="32" t="s">
        <v>5719</v>
      </c>
      <c r="F774" s="10">
        <v>88</v>
      </c>
      <c r="G774" s="8" t="s">
        <v>22</v>
      </c>
      <c r="H774" s="10">
        <v>4.5909090909090908</v>
      </c>
      <c r="I774" s="10">
        <f t="shared" si="14"/>
        <v>404</v>
      </c>
      <c r="J774" s="10">
        <v>13.071449599999999</v>
      </c>
      <c r="K774" s="8" t="s">
        <v>23</v>
      </c>
      <c r="S774"/>
    </row>
    <row r="775" spans="1:19" ht="15" x14ac:dyDescent="0.25">
      <c r="A775" s="8" t="s">
        <v>5622</v>
      </c>
      <c r="B775" s="8" t="s">
        <v>4847</v>
      </c>
      <c r="C775" s="8" t="s">
        <v>5720</v>
      </c>
      <c r="D775" s="32" t="s">
        <v>6984</v>
      </c>
      <c r="E775" s="32" t="s">
        <v>5720</v>
      </c>
      <c r="F775" s="10">
        <v>40</v>
      </c>
      <c r="G775" s="8" t="s">
        <v>22</v>
      </c>
      <c r="H775" s="10">
        <v>1.2749999999999999</v>
      </c>
      <c r="I775" s="10">
        <f t="shared" si="14"/>
        <v>51</v>
      </c>
      <c r="J775" s="10">
        <v>1.6499839999999999</v>
      </c>
      <c r="K775" s="8" t="s">
        <v>23</v>
      </c>
      <c r="S775"/>
    </row>
    <row r="776" spans="1:19" ht="15" x14ac:dyDescent="0.25">
      <c r="A776" s="8" t="s">
        <v>5622</v>
      </c>
      <c r="B776" s="8" t="s">
        <v>4847</v>
      </c>
      <c r="C776" s="8" t="s">
        <v>5721</v>
      </c>
      <c r="D776" s="32" t="s">
        <v>6984</v>
      </c>
      <c r="E776" s="32" t="s">
        <v>5721</v>
      </c>
      <c r="F776" s="10">
        <v>4</v>
      </c>
      <c r="G776" s="8" t="s">
        <v>22</v>
      </c>
      <c r="H776" s="10">
        <v>1.2749999999999999</v>
      </c>
      <c r="I776" s="10">
        <f t="shared" si="14"/>
        <v>5.0999999999999996</v>
      </c>
      <c r="J776" s="10">
        <v>0.16581119999999999</v>
      </c>
      <c r="K776" s="8" t="s">
        <v>23</v>
      </c>
      <c r="S776"/>
    </row>
    <row r="777" spans="1:19" ht="15" x14ac:dyDescent="0.25">
      <c r="A777" s="8" t="s">
        <v>5622</v>
      </c>
      <c r="B777" s="8" t="s">
        <v>4847</v>
      </c>
      <c r="C777" s="8" t="s">
        <v>5722</v>
      </c>
      <c r="D777" s="32" t="s">
        <v>6984</v>
      </c>
      <c r="E777" s="32" t="s">
        <v>5722</v>
      </c>
      <c r="F777" s="10">
        <v>20</v>
      </c>
      <c r="G777" s="8" t="s">
        <v>22</v>
      </c>
      <c r="H777" s="10">
        <v>3.6950000000000003</v>
      </c>
      <c r="I777" s="10">
        <f t="shared" si="14"/>
        <v>73.900000000000006</v>
      </c>
      <c r="J777" s="10">
        <v>2.3924767999999998</v>
      </c>
      <c r="K777" s="8" t="s">
        <v>23</v>
      </c>
      <c r="S777"/>
    </row>
    <row r="778" spans="1:19" ht="15" x14ac:dyDescent="0.25">
      <c r="A778" s="8" t="s">
        <v>5622</v>
      </c>
      <c r="B778" s="8" t="s">
        <v>4847</v>
      </c>
      <c r="C778" s="8" t="s">
        <v>5723</v>
      </c>
      <c r="D778" s="32" t="s">
        <v>6984</v>
      </c>
      <c r="E778" s="32" t="s">
        <v>5723</v>
      </c>
      <c r="F778" s="10">
        <v>4</v>
      </c>
      <c r="G778" s="8" t="s">
        <v>22</v>
      </c>
      <c r="H778" s="10">
        <v>21.574999999999999</v>
      </c>
      <c r="I778" s="10">
        <f t="shared" si="14"/>
        <v>86.3</v>
      </c>
      <c r="J778" s="10">
        <v>1.8032391999999999</v>
      </c>
      <c r="K778" s="8" t="s">
        <v>4795</v>
      </c>
      <c r="S778"/>
    </row>
    <row r="779" spans="1:19" ht="15" x14ac:dyDescent="0.25">
      <c r="A779" s="8" t="s">
        <v>5622</v>
      </c>
      <c r="B779" s="8" t="s">
        <v>4847</v>
      </c>
      <c r="C779" s="8" t="s">
        <v>5724</v>
      </c>
      <c r="D779" s="32" t="s">
        <v>6984</v>
      </c>
      <c r="E779" s="32" t="s">
        <v>5724</v>
      </c>
      <c r="F779" s="10">
        <v>88</v>
      </c>
      <c r="G779" s="8" t="s">
        <v>22</v>
      </c>
      <c r="H779" s="10">
        <v>4.0159090909090907</v>
      </c>
      <c r="I779" s="10">
        <f t="shared" si="14"/>
        <v>353.4</v>
      </c>
      <c r="J779" s="10">
        <v>14.46984</v>
      </c>
      <c r="K779" s="8" t="s">
        <v>4798</v>
      </c>
      <c r="S779"/>
    </row>
    <row r="780" spans="1:19" ht="15" x14ac:dyDescent="0.25">
      <c r="A780" s="8" t="s">
        <v>5622</v>
      </c>
      <c r="B780" s="8" t="s">
        <v>4847</v>
      </c>
      <c r="C780" s="8" t="s">
        <v>4858</v>
      </c>
      <c r="D780" s="32" t="s">
        <v>6984</v>
      </c>
      <c r="E780" s="32" t="s">
        <v>4858</v>
      </c>
      <c r="F780" s="10">
        <v>4</v>
      </c>
      <c r="G780" s="8" t="s">
        <v>22</v>
      </c>
      <c r="H780" s="10">
        <v>2.9249999999999998</v>
      </c>
      <c r="I780" s="10">
        <f t="shared" si="14"/>
        <v>11.7</v>
      </c>
      <c r="J780" s="10">
        <v>0.47992499999999999</v>
      </c>
      <c r="K780" s="8" t="s">
        <v>4798</v>
      </c>
      <c r="S780"/>
    </row>
    <row r="781" spans="1:19" ht="15" x14ac:dyDescent="0.25">
      <c r="A781" s="8" t="s">
        <v>5622</v>
      </c>
      <c r="B781" s="8" t="s">
        <v>4847</v>
      </c>
      <c r="C781" s="8" t="s">
        <v>5725</v>
      </c>
      <c r="D781" s="32" t="s">
        <v>6984</v>
      </c>
      <c r="E781" s="32" t="s">
        <v>5725</v>
      </c>
      <c r="F781" s="10">
        <v>2</v>
      </c>
      <c r="G781" s="8" t="s">
        <v>22</v>
      </c>
      <c r="H781" s="10">
        <v>3.25</v>
      </c>
      <c r="I781" s="10">
        <f t="shared" si="14"/>
        <v>6.5</v>
      </c>
      <c r="J781" s="10">
        <v>0.21002752</v>
      </c>
      <c r="K781" s="8" t="s">
        <v>23</v>
      </c>
      <c r="S781"/>
    </row>
    <row r="782" spans="1:19" ht="15" x14ac:dyDescent="0.25">
      <c r="A782" s="8" t="s">
        <v>5622</v>
      </c>
      <c r="B782" s="8" t="s">
        <v>4847</v>
      </c>
      <c r="C782" s="8" t="s">
        <v>5726</v>
      </c>
      <c r="D782" s="32" t="s">
        <v>6984</v>
      </c>
      <c r="E782" s="32" t="s">
        <v>5726</v>
      </c>
      <c r="F782" s="10">
        <v>6</v>
      </c>
      <c r="G782" s="8" t="s">
        <v>22</v>
      </c>
      <c r="H782" s="10">
        <v>1.4833333333333334</v>
      </c>
      <c r="I782" s="10">
        <f t="shared" si="14"/>
        <v>8.9</v>
      </c>
      <c r="J782" s="10">
        <v>0.36449999999999999</v>
      </c>
      <c r="K782" s="8" t="s">
        <v>4798</v>
      </c>
      <c r="S782"/>
    </row>
    <row r="783" spans="1:19" ht="15" x14ac:dyDescent="0.25">
      <c r="A783" s="8" t="s">
        <v>5622</v>
      </c>
      <c r="B783" s="8" t="s">
        <v>4847</v>
      </c>
      <c r="C783" s="8" t="s">
        <v>5727</v>
      </c>
      <c r="D783" s="32" t="s">
        <v>6984</v>
      </c>
      <c r="E783" s="32" t="s">
        <v>5727</v>
      </c>
      <c r="F783" s="10">
        <v>8</v>
      </c>
      <c r="G783" s="8" t="s">
        <v>22</v>
      </c>
      <c r="H783" s="10">
        <v>1.2124999999999999</v>
      </c>
      <c r="I783" s="10">
        <f t="shared" si="14"/>
        <v>9.6999999999999993</v>
      </c>
      <c r="J783" s="10">
        <v>0.22350400000000001</v>
      </c>
      <c r="K783" s="8" t="s">
        <v>5728</v>
      </c>
      <c r="S783"/>
    </row>
    <row r="784" spans="1:19" ht="15" x14ac:dyDescent="0.25">
      <c r="A784" s="8" t="s">
        <v>5622</v>
      </c>
      <c r="B784" s="8" t="s">
        <v>4847</v>
      </c>
      <c r="C784" s="8" t="s">
        <v>5729</v>
      </c>
      <c r="D784" s="32" t="s">
        <v>6984</v>
      </c>
      <c r="E784" s="32" t="s">
        <v>5729</v>
      </c>
      <c r="F784" s="10">
        <v>11</v>
      </c>
      <c r="G784" s="8" t="s">
        <v>22</v>
      </c>
      <c r="H784" s="10">
        <v>0.4272727272727273</v>
      </c>
      <c r="I784" s="10">
        <f t="shared" si="14"/>
        <v>4.7</v>
      </c>
      <c r="J784" s="10">
        <v>0.16632</v>
      </c>
      <c r="K784" s="8" t="s">
        <v>5513</v>
      </c>
      <c r="S784"/>
    </row>
    <row r="785" spans="1:19" ht="15" x14ac:dyDescent="0.25">
      <c r="A785" s="8" t="s">
        <v>5622</v>
      </c>
      <c r="B785" s="8" t="s">
        <v>4847</v>
      </c>
      <c r="C785" s="8" t="s">
        <v>5730</v>
      </c>
      <c r="D785" s="32" t="s">
        <v>6984</v>
      </c>
      <c r="E785" s="32" t="s">
        <v>5730</v>
      </c>
      <c r="F785" s="10">
        <v>2</v>
      </c>
      <c r="G785" s="8" t="s">
        <v>22</v>
      </c>
      <c r="H785" s="10">
        <v>0.3</v>
      </c>
      <c r="I785" s="10">
        <f t="shared" si="14"/>
        <v>0.6</v>
      </c>
      <c r="J785" s="10">
        <v>2.0807679999999999E-2</v>
      </c>
      <c r="K785" s="8" t="s">
        <v>5731</v>
      </c>
      <c r="S785"/>
    </row>
    <row r="786" spans="1:19" ht="15" x14ac:dyDescent="0.25">
      <c r="A786" s="8" t="s">
        <v>5622</v>
      </c>
      <c r="B786" s="8" t="s">
        <v>4847</v>
      </c>
      <c r="C786" s="8" t="s">
        <v>4859</v>
      </c>
      <c r="D786" s="32" t="s">
        <v>6984</v>
      </c>
      <c r="E786" s="32" t="s">
        <v>4859</v>
      </c>
      <c r="F786" s="10">
        <v>28</v>
      </c>
      <c r="G786" s="8" t="s">
        <v>22</v>
      </c>
      <c r="H786" s="10">
        <v>5.8714285714285719</v>
      </c>
      <c r="I786" s="10">
        <f t="shared" si="14"/>
        <v>164.4</v>
      </c>
      <c r="J786" s="10">
        <v>4.4937899999999997</v>
      </c>
      <c r="K786" s="8" t="s">
        <v>25</v>
      </c>
      <c r="S786"/>
    </row>
    <row r="787" spans="1:19" ht="15" x14ac:dyDescent="0.25">
      <c r="A787" s="8" t="s">
        <v>5622</v>
      </c>
      <c r="B787" s="8" t="s">
        <v>4847</v>
      </c>
      <c r="C787" s="8" t="s">
        <v>4860</v>
      </c>
      <c r="D787" s="32" t="s">
        <v>6984</v>
      </c>
      <c r="E787" s="32" t="s">
        <v>4860</v>
      </c>
      <c r="F787" s="10">
        <v>12</v>
      </c>
      <c r="G787" s="8" t="s">
        <v>22</v>
      </c>
      <c r="H787" s="10">
        <v>5.875</v>
      </c>
      <c r="I787" s="10">
        <f t="shared" si="14"/>
        <v>70.5</v>
      </c>
      <c r="J787" s="10">
        <v>1.92591</v>
      </c>
      <c r="K787" s="8" t="s">
        <v>25</v>
      </c>
      <c r="S787"/>
    </row>
    <row r="788" spans="1:19" ht="15" x14ac:dyDescent="0.25">
      <c r="A788" s="8" t="s">
        <v>5622</v>
      </c>
      <c r="B788" s="8" t="s">
        <v>4847</v>
      </c>
      <c r="C788" s="8" t="s">
        <v>4861</v>
      </c>
      <c r="D788" s="32" t="s">
        <v>6984</v>
      </c>
      <c r="E788" s="32" t="s">
        <v>4861</v>
      </c>
      <c r="F788" s="10">
        <v>314</v>
      </c>
      <c r="G788" s="8" t="s">
        <v>22</v>
      </c>
      <c r="H788" s="10">
        <v>1.4837579617834393</v>
      </c>
      <c r="I788" s="10">
        <f t="shared" si="14"/>
        <v>465.9</v>
      </c>
      <c r="J788" s="10">
        <v>19.075500000000002</v>
      </c>
      <c r="K788" s="8" t="s">
        <v>4798</v>
      </c>
      <c r="S788"/>
    </row>
    <row r="789" spans="1:19" ht="15" x14ac:dyDescent="0.25">
      <c r="A789" s="8" t="s">
        <v>5622</v>
      </c>
      <c r="B789" s="8" t="s">
        <v>4847</v>
      </c>
      <c r="C789" s="8" t="s">
        <v>5732</v>
      </c>
      <c r="D789" s="32" t="s">
        <v>6984</v>
      </c>
      <c r="E789" s="32" t="s">
        <v>5732</v>
      </c>
      <c r="F789" s="10">
        <v>36</v>
      </c>
      <c r="G789" s="8" t="s">
        <v>22</v>
      </c>
      <c r="H789" s="10">
        <v>1.0027777777777778</v>
      </c>
      <c r="I789" s="10">
        <f t="shared" si="14"/>
        <v>36.1</v>
      </c>
      <c r="J789" s="10">
        <v>1.4762249999999999</v>
      </c>
      <c r="K789" s="8" t="s">
        <v>4798</v>
      </c>
      <c r="S789"/>
    </row>
    <row r="790" spans="1:19" ht="15" x14ac:dyDescent="0.25">
      <c r="A790" s="8" t="s">
        <v>5622</v>
      </c>
      <c r="B790" s="8" t="s">
        <v>4847</v>
      </c>
      <c r="C790" s="8" t="s">
        <v>5733</v>
      </c>
      <c r="D790" s="32" t="s">
        <v>6984</v>
      </c>
      <c r="E790" s="32" t="s">
        <v>5733</v>
      </c>
      <c r="F790" s="10">
        <v>8</v>
      </c>
      <c r="G790" s="8" t="s">
        <v>22</v>
      </c>
      <c r="H790" s="10">
        <v>1.925</v>
      </c>
      <c r="I790" s="10">
        <f t="shared" si="14"/>
        <v>15.4</v>
      </c>
      <c r="J790" s="10">
        <v>0.63180000000000003</v>
      </c>
      <c r="K790" s="8" t="s">
        <v>4798</v>
      </c>
      <c r="S790"/>
    </row>
    <row r="791" spans="1:19" ht="15" x14ac:dyDescent="0.25">
      <c r="A791" s="8" t="s">
        <v>5622</v>
      </c>
      <c r="B791" s="8" t="s">
        <v>4847</v>
      </c>
      <c r="C791" s="8" t="s">
        <v>4862</v>
      </c>
      <c r="D791" s="32" t="s">
        <v>6984</v>
      </c>
      <c r="E791" s="32" t="s">
        <v>4862</v>
      </c>
      <c r="F791" s="10">
        <v>8</v>
      </c>
      <c r="G791" s="8" t="s">
        <v>22</v>
      </c>
      <c r="H791" s="10">
        <v>1.9624999999999999</v>
      </c>
      <c r="I791" s="10">
        <f t="shared" si="14"/>
        <v>15.7</v>
      </c>
      <c r="J791" s="10">
        <v>0.64395000000000002</v>
      </c>
      <c r="K791" s="8" t="s">
        <v>4798</v>
      </c>
      <c r="S791"/>
    </row>
    <row r="792" spans="1:19" ht="15" x14ac:dyDescent="0.25">
      <c r="A792" s="8" t="s">
        <v>5073</v>
      </c>
      <c r="B792" s="8" t="s">
        <v>5070</v>
      </c>
      <c r="C792" s="8" t="s">
        <v>5734</v>
      </c>
      <c r="D792" s="32" t="s">
        <v>6984</v>
      </c>
      <c r="E792" s="32" t="s">
        <v>5734</v>
      </c>
      <c r="F792" s="10">
        <v>1</v>
      </c>
      <c r="G792" s="8" t="s">
        <v>16</v>
      </c>
      <c r="H792" s="10">
        <v>166.1</v>
      </c>
      <c r="I792" s="10">
        <f t="shared" si="14"/>
        <v>166.1</v>
      </c>
      <c r="J792" s="10">
        <v>5.49084020968</v>
      </c>
      <c r="K792" s="8" t="s">
        <v>5116</v>
      </c>
      <c r="S792"/>
    </row>
    <row r="793" spans="1:19" ht="15" x14ac:dyDescent="0.25">
      <c r="A793" s="8" t="s">
        <v>4963</v>
      </c>
      <c r="B793" s="8" t="s">
        <v>4869</v>
      </c>
      <c r="C793" s="8" t="s">
        <v>5735</v>
      </c>
      <c r="D793" s="32" t="s">
        <v>5146</v>
      </c>
      <c r="E793" s="32" t="s">
        <v>5735</v>
      </c>
      <c r="F793" s="10">
        <v>176</v>
      </c>
      <c r="G793" s="8" t="s">
        <v>5736</v>
      </c>
      <c r="K793" s="8" t="s">
        <v>5736</v>
      </c>
      <c r="L793" s="8" t="s">
        <v>32</v>
      </c>
      <c r="S793"/>
    </row>
    <row r="794" spans="1:19" ht="15" x14ac:dyDescent="0.25">
      <c r="A794" s="8" t="s">
        <v>4963</v>
      </c>
      <c r="B794" s="8" t="s">
        <v>4869</v>
      </c>
      <c r="C794" s="8" t="s">
        <v>5737</v>
      </c>
      <c r="D794" s="32" t="s">
        <v>5146</v>
      </c>
      <c r="E794" s="32" t="s">
        <v>5737</v>
      </c>
      <c r="F794" s="10">
        <v>176</v>
      </c>
      <c r="G794" s="8" t="s">
        <v>5738</v>
      </c>
      <c r="K794" s="8" t="s">
        <v>5738</v>
      </c>
      <c r="L794" s="8" t="s">
        <v>32</v>
      </c>
      <c r="S794"/>
    </row>
    <row r="795" spans="1:19" ht="15" x14ac:dyDescent="0.25">
      <c r="A795" s="8" t="s">
        <v>4963</v>
      </c>
      <c r="B795" s="8" t="s">
        <v>4869</v>
      </c>
      <c r="C795" s="8" t="s">
        <v>5739</v>
      </c>
      <c r="D795" s="32" t="s">
        <v>5146</v>
      </c>
      <c r="E795" s="32" t="s">
        <v>5739</v>
      </c>
      <c r="F795" s="10">
        <v>176</v>
      </c>
      <c r="G795" s="8" t="s">
        <v>5740</v>
      </c>
      <c r="K795" s="8" t="s">
        <v>5740</v>
      </c>
      <c r="L795" s="8" t="s">
        <v>32</v>
      </c>
      <c r="S795"/>
    </row>
    <row r="796" spans="1:19" ht="15" x14ac:dyDescent="0.25">
      <c r="A796" s="8" t="s">
        <v>4963</v>
      </c>
      <c r="B796" s="8" t="s">
        <v>4869</v>
      </c>
      <c r="C796" s="8" t="s">
        <v>5741</v>
      </c>
      <c r="D796" s="32" t="s">
        <v>5146</v>
      </c>
      <c r="E796" s="32" t="s">
        <v>5741</v>
      </c>
      <c r="F796" s="10">
        <v>85</v>
      </c>
      <c r="G796" s="8" t="s">
        <v>5175</v>
      </c>
      <c r="K796" s="8" t="s">
        <v>5175</v>
      </c>
      <c r="L796" s="8" t="s">
        <v>32</v>
      </c>
      <c r="S796"/>
    </row>
    <row r="797" spans="1:19" ht="15" x14ac:dyDescent="0.25">
      <c r="A797" s="8" t="s">
        <v>4963</v>
      </c>
      <c r="B797" s="8" t="s">
        <v>4869</v>
      </c>
      <c r="C797" s="8" t="s">
        <v>5742</v>
      </c>
      <c r="D797" s="32" t="s">
        <v>5146</v>
      </c>
      <c r="E797" s="32" t="s">
        <v>5742</v>
      </c>
      <c r="F797" s="10">
        <v>85</v>
      </c>
      <c r="G797" s="8" t="s">
        <v>5743</v>
      </c>
      <c r="K797" s="8" t="s">
        <v>5743</v>
      </c>
      <c r="L797" s="8" t="s">
        <v>32</v>
      </c>
      <c r="S797"/>
    </row>
    <row r="798" spans="1:19" ht="15" x14ac:dyDescent="0.25">
      <c r="A798" s="8" t="s">
        <v>4963</v>
      </c>
      <c r="B798" s="8" t="s">
        <v>4869</v>
      </c>
      <c r="C798" s="8" t="s">
        <v>5744</v>
      </c>
      <c r="D798" s="32" t="s">
        <v>5146</v>
      </c>
      <c r="E798" s="32" t="s">
        <v>5744</v>
      </c>
      <c r="F798" s="10">
        <v>85</v>
      </c>
      <c r="G798" s="8" t="s">
        <v>5745</v>
      </c>
      <c r="K798" s="8" t="s">
        <v>5745</v>
      </c>
      <c r="L798" s="8" t="s">
        <v>32</v>
      </c>
      <c r="S798"/>
    </row>
    <row r="799" spans="1:19" ht="15" x14ac:dyDescent="0.25">
      <c r="A799" s="8" t="s">
        <v>4963</v>
      </c>
      <c r="B799" s="8" t="s">
        <v>4869</v>
      </c>
      <c r="C799" s="8" t="s">
        <v>5746</v>
      </c>
      <c r="D799" s="32" t="s">
        <v>5146</v>
      </c>
      <c r="E799" s="32" t="s">
        <v>5746</v>
      </c>
      <c r="F799" s="10">
        <v>25</v>
      </c>
      <c r="G799" s="8" t="s">
        <v>5747</v>
      </c>
      <c r="K799" s="8" t="s">
        <v>5747</v>
      </c>
      <c r="L799" s="8" t="s">
        <v>32</v>
      </c>
      <c r="S799"/>
    </row>
    <row r="800" spans="1:19" ht="15" x14ac:dyDescent="0.25">
      <c r="A800" s="8" t="s">
        <v>4963</v>
      </c>
      <c r="B800" s="8" t="s">
        <v>4869</v>
      </c>
      <c r="C800" s="8" t="s">
        <v>5748</v>
      </c>
      <c r="D800" s="32" t="s">
        <v>5146</v>
      </c>
      <c r="E800" s="32" t="s">
        <v>5748</v>
      </c>
      <c r="F800" s="10">
        <v>25</v>
      </c>
      <c r="G800" s="8" t="s">
        <v>5177</v>
      </c>
      <c r="K800" s="8" t="s">
        <v>5177</v>
      </c>
      <c r="L800" s="8" t="s">
        <v>32</v>
      </c>
      <c r="S800"/>
    </row>
    <row r="801" spans="1:19" ht="15" x14ac:dyDescent="0.25">
      <c r="A801" s="8" t="s">
        <v>4963</v>
      </c>
      <c r="B801" s="8" t="s">
        <v>4869</v>
      </c>
      <c r="C801" s="8" t="s">
        <v>5749</v>
      </c>
      <c r="D801" s="32" t="s">
        <v>5146</v>
      </c>
      <c r="E801" s="32" t="s">
        <v>5749</v>
      </c>
      <c r="F801" s="10">
        <v>25</v>
      </c>
      <c r="G801" s="8" t="s">
        <v>5750</v>
      </c>
      <c r="K801" s="8" t="s">
        <v>5750</v>
      </c>
      <c r="L801" s="8" t="s">
        <v>32</v>
      </c>
      <c r="S801"/>
    </row>
    <row r="802" spans="1:19" ht="15" x14ac:dyDescent="0.25">
      <c r="A802" s="8" t="s">
        <v>4963</v>
      </c>
      <c r="B802" s="8" t="s">
        <v>4869</v>
      </c>
      <c r="C802" s="8" t="s">
        <v>5751</v>
      </c>
      <c r="D802" s="32" t="s">
        <v>5146</v>
      </c>
      <c r="E802" s="32" t="s">
        <v>5751</v>
      </c>
      <c r="F802" s="10">
        <v>79</v>
      </c>
      <c r="G802" s="8" t="s">
        <v>5153</v>
      </c>
      <c r="K802" s="8" t="s">
        <v>5153</v>
      </c>
      <c r="L802" s="8" t="s">
        <v>32</v>
      </c>
      <c r="S802"/>
    </row>
    <row r="803" spans="1:19" ht="15" x14ac:dyDescent="0.25">
      <c r="A803" s="8" t="s">
        <v>4963</v>
      </c>
      <c r="B803" s="8" t="s">
        <v>4869</v>
      </c>
      <c r="C803" s="8" t="s">
        <v>5752</v>
      </c>
      <c r="D803" s="32" t="s">
        <v>5146</v>
      </c>
      <c r="E803" s="32" t="s">
        <v>5752</v>
      </c>
      <c r="F803" s="10">
        <v>114</v>
      </c>
      <c r="G803" s="8" t="s">
        <v>5155</v>
      </c>
      <c r="K803" s="8" t="s">
        <v>5155</v>
      </c>
      <c r="L803" s="8" t="s">
        <v>32</v>
      </c>
      <c r="S803"/>
    </row>
    <row r="804" spans="1:19" ht="15" x14ac:dyDescent="0.25">
      <c r="A804" s="8" t="s">
        <v>4963</v>
      </c>
      <c r="B804" s="8" t="s">
        <v>4869</v>
      </c>
      <c r="C804" s="8" t="s">
        <v>5753</v>
      </c>
      <c r="D804" s="32" t="s">
        <v>5146</v>
      </c>
      <c r="E804" s="32" t="s">
        <v>5753</v>
      </c>
      <c r="F804" s="10">
        <v>81</v>
      </c>
      <c r="G804" s="8" t="s">
        <v>5157</v>
      </c>
      <c r="K804" s="8" t="s">
        <v>5157</v>
      </c>
      <c r="L804" s="8" t="s">
        <v>32</v>
      </c>
      <c r="S804"/>
    </row>
    <row r="805" spans="1:19" ht="15" x14ac:dyDescent="0.25">
      <c r="A805" s="8" t="s">
        <v>4963</v>
      </c>
      <c r="B805" s="8" t="s">
        <v>4869</v>
      </c>
      <c r="C805" s="8" t="s">
        <v>5754</v>
      </c>
      <c r="D805" s="32" t="s">
        <v>5146</v>
      </c>
      <c r="E805" s="32" t="s">
        <v>5754</v>
      </c>
      <c r="F805" s="10">
        <v>274</v>
      </c>
      <c r="G805" s="8" t="s">
        <v>5165</v>
      </c>
      <c r="K805" s="8" t="s">
        <v>5165</v>
      </c>
      <c r="L805" s="8" t="s">
        <v>32</v>
      </c>
      <c r="S805"/>
    </row>
    <row r="806" spans="1:19" ht="15" x14ac:dyDescent="0.25">
      <c r="A806" s="8" t="s">
        <v>4963</v>
      </c>
      <c r="B806" s="8" t="s">
        <v>4869</v>
      </c>
      <c r="C806" s="8" t="s">
        <v>5755</v>
      </c>
      <c r="D806" s="32" t="s">
        <v>5146</v>
      </c>
      <c r="E806" s="32" t="s">
        <v>5755</v>
      </c>
      <c r="F806" s="10">
        <v>274</v>
      </c>
      <c r="G806" s="8" t="s">
        <v>5167</v>
      </c>
      <c r="K806" s="8" t="s">
        <v>5167</v>
      </c>
      <c r="L806" s="8" t="s">
        <v>32</v>
      </c>
      <c r="S806"/>
    </row>
    <row r="807" spans="1:19" ht="15" x14ac:dyDescent="0.25">
      <c r="A807" s="8" t="s">
        <v>4932</v>
      </c>
      <c r="B807" s="8" t="s">
        <v>14</v>
      </c>
      <c r="C807" s="8" t="s">
        <v>5756</v>
      </c>
      <c r="D807" s="32" t="s">
        <v>5146</v>
      </c>
      <c r="E807" s="32" t="s">
        <v>5756</v>
      </c>
      <c r="F807" s="10">
        <v>102</v>
      </c>
      <c r="G807" s="8" t="s">
        <v>5736</v>
      </c>
      <c r="K807" s="8" t="s">
        <v>5736</v>
      </c>
      <c r="L807" s="8" t="s">
        <v>32</v>
      </c>
      <c r="S807"/>
    </row>
    <row r="808" spans="1:19" ht="15" x14ac:dyDescent="0.25">
      <c r="A808" s="8" t="s">
        <v>4932</v>
      </c>
      <c r="B808" s="8" t="s">
        <v>14</v>
      </c>
      <c r="C808" s="8" t="s">
        <v>5757</v>
      </c>
      <c r="D808" s="32" t="s">
        <v>5146</v>
      </c>
      <c r="E808" s="32" t="s">
        <v>5757</v>
      </c>
      <c r="F808" s="10">
        <v>102</v>
      </c>
      <c r="G808" s="8" t="s">
        <v>5738</v>
      </c>
      <c r="K808" s="8" t="s">
        <v>5738</v>
      </c>
      <c r="L808" s="8" t="s">
        <v>32</v>
      </c>
      <c r="S808"/>
    </row>
    <row r="809" spans="1:19" ht="15" x14ac:dyDescent="0.25">
      <c r="A809" s="8" t="s">
        <v>4932</v>
      </c>
      <c r="B809" s="8" t="s">
        <v>14</v>
      </c>
      <c r="C809" s="8" t="s">
        <v>5758</v>
      </c>
      <c r="D809" s="32" t="s">
        <v>5146</v>
      </c>
      <c r="E809" s="32" t="s">
        <v>5758</v>
      </c>
      <c r="F809" s="10">
        <v>102</v>
      </c>
      <c r="G809" s="8" t="s">
        <v>5740</v>
      </c>
      <c r="K809" s="8" t="s">
        <v>5740</v>
      </c>
      <c r="L809" s="8" t="s">
        <v>32</v>
      </c>
      <c r="S809"/>
    </row>
    <row r="810" spans="1:19" ht="15" x14ac:dyDescent="0.25">
      <c r="A810" s="8" t="s">
        <v>4932</v>
      </c>
      <c r="B810" s="8" t="s">
        <v>14</v>
      </c>
      <c r="C810" s="8" t="s">
        <v>5759</v>
      </c>
      <c r="D810" s="32" t="s">
        <v>5146</v>
      </c>
      <c r="E810" s="32" t="s">
        <v>5759</v>
      </c>
      <c r="F810" s="10">
        <v>60</v>
      </c>
      <c r="G810" s="8" t="s">
        <v>5175</v>
      </c>
      <c r="K810" s="8" t="s">
        <v>5175</v>
      </c>
      <c r="L810" s="8" t="s">
        <v>32</v>
      </c>
      <c r="S810"/>
    </row>
    <row r="811" spans="1:19" ht="15" x14ac:dyDescent="0.25">
      <c r="A811" s="8" t="s">
        <v>4932</v>
      </c>
      <c r="B811" s="8" t="s">
        <v>14</v>
      </c>
      <c r="C811" s="8" t="s">
        <v>5760</v>
      </c>
      <c r="D811" s="32" t="s">
        <v>5146</v>
      </c>
      <c r="E811" s="32" t="s">
        <v>5760</v>
      </c>
      <c r="F811" s="10">
        <v>60</v>
      </c>
      <c r="G811" s="8" t="s">
        <v>5743</v>
      </c>
      <c r="K811" s="8" t="s">
        <v>5743</v>
      </c>
      <c r="L811" s="8" t="s">
        <v>32</v>
      </c>
      <c r="S811"/>
    </row>
    <row r="812" spans="1:19" ht="15" x14ac:dyDescent="0.25">
      <c r="A812" s="8" t="s">
        <v>4932</v>
      </c>
      <c r="B812" s="8" t="s">
        <v>14</v>
      </c>
      <c r="C812" s="8" t="s">
        <v>5761</v>
      </c>
      <c r="D812" s="32" t="s">
        <v>5146</v>
      </c>
      <c r="E812" s="32" t="s">
        <v>5761</v>
      </c>
      <c r="F812" s="10">
        <v>60</v>
      </c>
      <c r="G812" s="8" t="s">
        <v>5745</v>
      </c>
      <c r="K812" s="8" t="s">
        <v>5745</v>
      </c>
      <c r="L812" s="8" t="s">
        <v>32</v>
      </c>
      <c r="S812"/>
    </row>
    <row r="813" spans="1:19" ht="15" x14ac:dyDescent="0.25">
      <c r="A813" s="8" t="s">
        <v>4932</v>
      </c>
      <c r="B813" s="8" t="s">
        <v>14</v>
      </c>
      <c r="C813" s="8" t="s">
        <v>5762</v>
      </c>
      <c r="D813" s="32" t="s">
        <v>5146</v>
      </c>
      <c r="E813" s="32" t="s">
        <v>5762</v>
      </c>
      <c r="F813" s="10">
        <v>13</v>
      </c>
      <c r="G813" s="8" t="s">
        <v>5747</v>
      </c>
      <c r="K813" s="8" t="s">
        <v>5747</v>
      </c>
      <c r="L813" s="8" t="s">
        <v>32</v>
      </c>
      <c r="S813"/>
    </row>
    <row r="814" spans="1:19" ht="15" x14ac:dyDescent="0.25">
      <c r="A814" s="8" t="s">
        <v>4932</v>
      </c>
      <c r="B814" s="8" t="s">
        <v>14</v>
      </c>
      <c r="C814" s="8" t="s">
        <v>5763</v>
      </c>
      <c r="D814" s="32" t="s">
        <v>5146</v>
      </c>
      <c r="E814" s="32" t="s">
        <v>5763</v>
      </c>
      <c r="F814" s="10">
        <v>13</v>
      </c>
      <c r="G814" s="8" t="s">
        <v>5177</v>
      </c>
      <c r="K814" s="8" t="s">
        <v>5177</v>
      </c>
      <c r="L814" s="8" t="s">
        <v>32</v>
      </c>
      <c r="S814"/>
    </row>
    <row r="815" spans="1:19" ht="15" x14ac:dyDescent="0.25">
      <c r="A815" s="8" t="s">
        <v>4932</v>
      </c>
      <c r="B815" s="8" t="s">
        <v>14</v>
      </c>
      <c r="C815" s="8" t="s">
        <v>5764</v>
      </c>
      <c r="D815" s="32" t="s">
        <v>5146</v>
      </c>
      <c r="E815" s="32" t="s">
        <v>5764</v>
      </c>
      <c r="F815" s="10">
        <v>13</v>
      </c>
      <c r="G815" s="8" t="s">
        <v>5750</v>
      </c>
      <c r="K815" s="8" t="s">
        <v>5750</v>
      </c>
      <c r="L815" s="8" t="s">
        <v>32</v>
      </c>
      <c r="S815"/>
    </row>
    <row r="816" spans="1:19" ht="15" x14ac:dyDescent="0.25">
      <c r="A816" s="8" t="s">
        <v>4932</v>
      </c>
      <c r="B816" s="8" t="s">
        <v>14</v>
      </c>
      <c r="C816" s="8" t="s">
        <v>5765</v>
      </c>
      <c r="D816" s="32" t="s">
        <v>5146</v>
      </c>
      <c r="E816" s="32" t="s">
        <v>5765</v>
      </c>
      <c r="F816" s="10">
        <v>18</v>
      </c>
      <c r="G816" s="8" t="s">
        <v>5153</v>
      </c>
      <c r="K816" s="8" t="s">
        <v>5153</v>
      </c>
      <c r="L816" s="8" t="s">
        <v>32</v>
      </c>
      <c r="S816"/>
    </row>
    <row r="817" spans="1:19" ht="15" x14ac:dyDescent="0.25">
      <c r="A817" s="8" t="s">
        <v>4932</v>
      </c>
      <c r="B817" s="8" t="s">
        <v>14</v>
      </c>
      <c r="C817" s="8" t="s">
        <v>5766</v>
      </c>
      <c r="D817" s="32" t="s">
        <v>5146</v>
      </c>
      <c r="E817" s="32" t="s">
        <v>5766</v>
      </c>
      <c r="F817" s="10">
        <v>69</v>
      </c>
      <c r="G817" s="8" t="s">
        <v>5155</v>
      </c>
      <c r="K817" s="8" t="s">
        <v>5155</v>
      </c>
      <c r="L817" s="8" t="s">
        <v>32</v>
      </c>
      <c r="S817"/>
    </row>
    <row r="818" spans="1:19" ht="15" x14ac:dyDescent="0.25">
      <c r="A818" s="8" t="s">
        <v>4932</v>
      </c>
      <c r="B818" s="8" t="s">
        <v>14</v>
      </c>
      <c r="C818" s="8" t="s">
        <v>5767</v>
      </c>
      <c r="D818" s="32" t="s">
        <v>5146</v>
      </c>
      <c r="E818" s="32" t="s">
        <v>5767</v>
      </c>
      <c r="F818" s="10">
        <v>29</v>
      </c>
      <c r="G818" s="8" t="s">
        <v>5157</v>
      </c>
      <c r="K818" s="8" t="s">
        <v>5157</v>
      </c>
      <c r="L818" s="8" t="s">
        <v>32</v>
      </c>
      <c r="S818"/>
    </row>
    <row r="819" spans="1:19" ht="15" x14ac:dyDescent="0.25">
      <c r="A819" s="8" t="s">
        <v>4932</v>
      </c>
      <c r="B819" s="8" t="s">
        <v>14</v>
      </c>
      <c r="C819" s="8" t="s">
        <v>5768</v>
      </c>
      <c r="D819" s="32" t="s">
        <v>5146</v>
      </c>
      <c r="E819" s="32" t="s">
        <v>5768</v>
      </c>
      <c r="F819" s="10">
        <v>12</v>
      </c>
      <c r="G819" s="8" t="s">
        <v>5159</v>
      </c>
      <c r="K819" s="8" t="s">
        <v>5159</v>
      </c>
      <c r="L819" s="8" t="s">
        <v>32</v>
      </c>
      <c r="S819"/>
    </row>
    <row r="820" spans="1:19" ht="15" x14ac:dyDescent="0.25">
      <c r="A820" s="8" t="s">
        <v>4932</v>
      </c>
      <c r="B820" s="8" t="s">
        <v>14</v>
      </c>
      <c r="C820" s="8" t="s">
        <v>5769</v>
      </c>
      <c r="D820" s="32" t="s">
        <v>5146</v>
      </c>
      <c r="E820" s="32" t="s">
        <v>5769</v>
      </c>
      <c r="F820" s="10">
        <v>11</v>
      </c>
      <c r="G820" s="8" t="s">
        <v>5161</v>
      </c>
      <c r="K820" s="8" t="s">
        <v>5161</v>
      </c>
      <c r="L820" s="8" t="s">
        <v>32</v>
      </c>
      <c r="S820"/>
    </row>
    <row r="821" spans="1:19" ht="15" x14ac:dyDescent="0.25">
      <c r="A821" s="8" t="s">
        <v>4932</v>
      </c>
      <c r="B821" s="8" t="s">
        <v>14</v>
      </c>
      <c r="C821" s="8" t="s">
        <v>5770</v>
      </c>
      <c r="D821" s="32" t="s">
        <v>5146</v>
      </c>
      <c r="E821" s="32" t="s">
        <v>5770</v>
      </c>
      <c r="F821" s="10">
        <v>139</v>
      </c>
      <c r="G821" s="8" t="s">
        <v>5165</v>
      </c>
      <c r="K821" s="8" t="s">
        <v>5165</v>
      </c>
      <c r="L821" s="8" t="s">
        <v>32</v>
      </c>
      <c r="S821"/>
    </row>
    <row r="822" spans="1:19" ht="15" x14ac:dyDescent="0.25">
      <c r="A822" s="8" t="s">
        <v>4932</v>
      </c>
      <c r="B822" s="8" t="s">
        <v>14</v>
      </c>
      <c r="C822" s="8" t="s">
        <v>5771</v>
      </c>
      <c r="D822" s="32" t="s">
        <v>5146</v>
      </c>
      <c r="E822" s="32" t="s">
        <v>5771</v>
      </c>
      <c r="F822" s="10">
        <v>139</v>
      </c>
      <c r="G822" s="8" t="s">
        <v>5167</v>
      </c>
      <c r="K822" s="8" t="s">
        <v>5167</v>
      </c>
      <c r="L822" s="8" t="s">
        <v>32</v>
      </c>
      <c r="S822"/>
    </row>
    <row r="823" spans="1:19" ht="15" x14ac:dyDescent="0.25">
      <c r="A823" s="8" t="s">
        <v>4998</v>
      </c>
      <c r="B823" s="8" t="s">
        <v>4779</v>
      </c>
      <c r="C823" s="8" t="s">
        <v>5772</v>
      </c>
      <c r="D823" s="32" t="s">
        <v>5146</v>
      </c>
      <c r="E823" s="32" t="s">
        <v>5772</v>
      </c>
      <c r="F823" s="10">
        <v>66</v>
      </c>
      <c r="G823" s="8" t="s">
        <v>5736</v>
      </c>
      <c r="K823" s="8" t="s">
        <v>5736</v>
      </c>
      <c r="L823" s="8" t="s">
        <v>32</v>
      </c>
      <c r="S823"/>
    </row>
    <row r="824" spans="1:19" ht="15" x14ac:dyDescent="0.25">
      <c r="A824" s="8" t="s">
        <v>4998</v>
      </c>
      <c r="B824" s="8" t="s">
        <v>4779</v>
      </c>
      <c r="C824" s="8" t="s">
        <v>5773</v>
      </c>
      <c r="D824" s="32" t="s">
        <v>5146</v>
      </c>
      <c r="E824" s="32" t="s">
        <v>5773</v>
      </c>
      <c r="F824" s="10">
        <v>58</v>
      </c>
      <c r="G824" s="8" t="s">
        <v>5774</v>
      </c>
      <c r="K824" s="8" t="s">
        <v>5774</v>
      </c>
      <c r="L824" s="8" t="s">
        <v>32</v>
      </c>
      <c r="S824"/>
    </row>
    <row r="825" spans="1:19" ht="15" x14ac:dyDescent="0.25">
      <c r="A825" s="8" t="s">
        <v>4998</v>
      </c>
      <c r="B825" s="8" t="s">
        <v>4779</v>
      </c>
      <c r="C825" s="8" t="s">
        <v>5775</v>
      </c>
      <c r="D825" s="32" t="s">
        <v>5146</v>
      </c>
      <c r="E825" s="32" t="s">
        <v>5775</v>
      </c>
      <c r="F825" s="10">
        <v>124</v>
      </c>
      <c r="G825" s="8" t="s">
        <v>5738</v>
      </c>
      <c r="K825" s="8" t="s">
        <v>5738</v>
      </c>
      <c r="L825" s="8" t="s">
        <v>32</v>
      </c>
      <c r="S825"/>
    </row>
    <row r="826" spans="1:19" ht="15" x14ac:dyDescent="0.25">
      <c r="A826" s="8" t="s">
        <v>4998</v>
      </c>
      <c r="B826" s="8" t="s">
        <v>4779</v>
      </c>
      <c r="C826" s="8" t="s">
        <v>5776</v>
      </c>
      <c r="D826" s="32" t="s">
        <v>5146</v>
      </c>
      <c r="E826" s="32" t="s">
        <v>5776</v>
      </c>
      <c r="F826" s="10">
        <v>124</v>
      </c>
      <c r="G826" s="8" t="s">
        <v>5740</v>
      </c>
      <c r="K826" s="8" t="s">
        <v>5740</v>
      </c>
      <c r="L826" s="8" t="s">
        <v>32</v>
      </c>
      <c r="S826"/>
    </row>
    <row r="827" spans="1:19" ht="15" x14ac:dyDescent="0.25">
      <c r="A827" s="8" t="s">
        <v>4998</v>
      </c>
      <c r="B827" s="8" t="s">
        <v>4779</v>
      </c>
      <c r="C827" s="8" t="s">
        <v>5777</v>
      </c>
      <c r="D827" s="32" t="s">
        <v>5146</v>
      </c>
      <c r="E827" s="32" t="s">
        <v>5777</v>
      </c>
      <c r="F827" s="10">
        <v>49</v>
      </c>
      <c r="G827" s="8" t="s">
        <v>5175</v>
      </c>
      <c r="K827" s="8" t="s">
        <v>5175</v>
      </c>
      <c r="L827" s="8" t="s">
        <v>32</v>
      </c>
      <c r="S827"/>
    </row>
    <row r="828" spans="1:19" ht="15" x14ac:dyDescent="0.25">
      <c r="A828" s="8" t="s">
        <v>4998</v>
      </c>
      <c r="B828" s="8" t="s">
        <v>4779</v>
      </c>
      <c r="C828" s="8" t="s">
        <v>5778</v>
      </c>
      <c r="D828" s="32" t="s">
        <v>5146</v>
      </c>
      <c r="E828" s="32" t="s">
        <v>5778</v>
      </c>
      <c r="F828" s="10">
        <v>49</v>
      </c>
      <c r="G828" s="8" t="s">
        <v>5743</v>
      </c>
      <c r="K828" s="8" t="s">
        <v>5743</v>
      </c>
      <c r="L828" s="8" t="s">
        <v>32</v>
      </c>
      <c r="S828"/>
    </row>
    <row r="829" spans="1:19" ht="15" x14ac:dyDescent="0.25">
      <c r="A829" s="8" t="s">
        <v>4998</v>
      </c>
      <c r="B829" s="8" t="s">
        <v>4779</v>
      </c>
      <c r="C829" s="8" t="s">
        <v>5779</v>
      </c>
      <c r="D829" s="32" t="s">
        <v>5146</v>
      </c>
      <c r="E829" s="32" t="s">
        <v>5779</v>
      </c>
      <c r="F829" s="10">
        <v>49</v>
      </c>
      <c r="G829" s="8" t="s">
        <v>5745</v>
      </c>
      <c r="K829" s="8" t="s">
        <v>5745</v>
      </c>
      <c r="L829" s="8" t="s">
        <v>32</v>
      </c>
      <c r="S829"/>
    </row>
    <row r="830" spans="1:19" ht="15" x14ac:dyDescent="0.25">
      <c r="A830" s="8" t="s">
        <v>4998</v>
      </c>
      <c r="B830" s="8" t="s">
        <v>4779</v>
      </c>
      <c r="C830" s="8" t="s">
        <v>5780</v>
      </c>
      <c r="D830" s="32" t="s">
        <v>5146</v>
      </c>
      <c r="E830" s="32" t="s">
        <v>5780</v>
      </c>
      <c r="F830" s="10">
        <v>12</v>
      </c>
      <c r="G830" s="8" t="s">
        <v>5747</v>
      </c>
      <c r="K830" s="8" t="s">
        <v>5747</v>
      </c>
      <c r="L830" s="8" t="s">
        <v>32</v>
      </c>
      <c r="S830"/>
    </row>
    <row r="831" spans="1:19" ht="15" x14ac:dyDescent="0.25">
      <c r="A831" s="8" t="s">
        <v>4998</v>
      </c>
      <c r="B831" s="8" t="s">
        <v>4779</v>
      </c>
      <c r="C831" s="8" t="s">
        <v>5781</v>
      </c>
      <c r="D831" s="32" t="s">
        <v>5146</v>
      </c>
      <c r="E831" s="32" t="s">
        <v>5781</v>
      </c>
      <c r="F831" s="10">
        <v>12</v>
      </c>
      <c r="G831" s="8" t="s">
        <v>5782</v>
      </c>
      <c r="K831" s="8" t="s">
        <v>5782</v>
      </c>
      <c r="L831" s="8" t="s">
        <v>32</v>
      </c>
      <c r="S831"/>
    </row>
    <row r="832" spans="1:19" ht="15" x14ac:dyDescent="0.25">
      <c r="A832" s="8" t="s">
        <v>4998</v>
      </c>
      <c r="B832" s="8" t="s">
        <v>4779</v>
      </c>
      <c r="C832" s="8" t="s">
        <v>5783</v>
      </c>
      <c r="D832" s="32" t="s">
        <v>5146</v>
      </c>
      <c r="E832" s="32" t="s">
        <v>5783</v>
      </c>
      <c r="F832" s="10">
        <v>12</v>
      </c>
      <c r="G832" s="8" t="s">
        <v>5750</v>
      </c>
      <c r="K832" s="8" t="s">
        <v>5750</v>
      </c>
      <c r="L832" s="8" t="s">
        <v>32</v>
      </c>
      <c r="S832"/>
    </row>
    <row r="833" spans="1:19" ht="15" x14ac:dyDescent="0.25">
      <c r="A833" s="8" t="s">
        <v>4998</v>
      </c>
      <c r="B833" s="8" t="s">
        <v>4779</v>
      </c>
      <c r="C833" s="8" t="s">
        <v>5784</v>
      </c>
      <c r="D833" s="32" t="s">
        <v>5146</v>
      </c>
      <c r="E833" s="32" t="s">
        <v>5784</v>
      </c>
      <c r="F833" s="10">
        <v>14</v>
      </c>
      <c r="G833" s="8" t="s">
        <v>5153</v>
      </c>
      <c r="K833" s="8" t="s">
        <v>5153</v>
      </c>
      <c r="L833" s="8" t="s">
        <v>32</v>
      </c>
      <c r="S833"/>
    </row>
    <row r="834" spans="1:19" ht="15" x14ac:dyDescent="0.25">
      <c r="A834" s="8" t="s">
        <v>4998</v>
      </c>
      <c r="B834" s="8" t="s">
        <v>4779</v>
      </c>
      <c r="C834" s="8" t="s">
        <v>5785</v>
      </c>
      <c r="D834" s="32" t="s">
        <v>5146</v>
      </c>
      <c r="E834" s="32" t="s">
        <v>5785</v>
      </c>
      <c r="F834" s="10">
        <v>14</v>
      </c>
      <c r="G834" s="8" t="s">
        <v>5165</v>
      </c>
      <c r="K834" s="8" t="s">
        <v>5165</v>
      </c>
      <c r="L834" s="8" t="s">
        <v>32</v>
      </c>
      <c r="S834"/>
    </row>
    <row r="835" spans="1:19" ht="15" x14ac:dyDescent="0.25">
      <c r="A835" s="8" t="s">
        <v>4998</v>
      </c>
      <c r="B835" s="8" t="s">
        <v>4779</v>
      </c>
      <c r="C835" s="8" t="s">
        <v>5786</v>
      </c>
      <c r="D835" s="32" t="s">
        <v>5146</v>
      </c>
      <c r="E835" s="32" t="s">
        <v>5786</v>
      </c>
      <c r="F835" s="10">
        <v>14</v>
      </c>
      <c r="G835" s="8" t="s">
        <v>5167</v>
      </c>
      <c r="K835" s="8" t="s">
        <v>5167</v>
      </c>
      <c r="L835" s="8" t="s">
        <v>32</v>
      </c>
      <c r="S835"/>
    </row>
    <row r="836" spans="1:19" ht="15" x14ac:dyDescent="0.25">
      <c r="A836" s="8" t="s">
        <v>4932</v>
      </c>
      <c r="B836" s="8" t="s">
        <v>14</v>
      </c>
      <c r="C836" s="8" t="s">
        <v>5787</v>
      </c>
      <c r="D836" s="32" t="s">
        <v>6984</v>
      </c>
      <c r="E836" s="32" t="s">
        <v>5787</v>
      </c>
      <c r="F836" s="10">
        <v>1</v>
      </c>
      <c r="G836" s="8" t="s">
        <v>5095</v>
      </c>
      <c r="H836" s="10">
        <v>312.5</v>
      </c>
      <c r="I836" s="10">
        <f t="shared" si="14"/>
        <v>312.5</v>
      </c>
      <c r="J836" s="10">
        <v>8.7025726257200002</v>
      </c>
      <c r="K836" s="8" t="s">
        <v>5536</v>
      </c>
      <c r="S836"/>
    </row>
    <row r="837" spans="1:19" ht="15" x14ac:dyDescent="0.25">
      <c r="A837" s="8" t="s">
        <v>4932</v>
      </c>
      <c r="B837" s="8" t="s">
        <v>14</v>
      </c>
      <c r="C837" s="8" t="s">
        <v>5788</v>
      </c>
      <c r="D837" s="32" t="s">
        <v>6984</v>
      </c>
      <c r="E837" s="32" t="s">
        <v>5788</v>
      </c>
      <c r="F837" s="10">
        <v>1</v>
      </c>
      <c r="G837" s="8" t="s">
        <v>5095</v>
      </c>
      <c r="H837" s="10">
        <v>313.3</v>
      </c>
      <c r="I837" s="10">
        <f t="shared" ref="I837:I900" si="15">F837*H837</f>
        <v>313.3</v>
      </c>
      <c r="J837" s="10">
        <v>8.7284806257199996</v>
      </c>
      <c r="K837" s="8" t="s">
        <v>5536</v>
      </c>
      <c r="S837"/>
    </row>
    <row r="838" spans="1:19" ht="15" x14ac:dyDescent="0.25">
      <c r="A838" s="8" t="s">
        <v>4932</v>
      </c>
      <c r="B838" s="8" t="s">
        <v>14</v>
      </c>
      <c r="C838" s="8" t="s">
        <v>5789</v>
      </c>
      <c r="D838" s="32" t="s">
        <v>6984</v>
      </c>
      <c r="E838" s="32" t="s">
        <v>5789</v>
      </c>
      <c r="F838" s="10">
        <v>1</v>
      </c>
      <c r="G838" s="8" t="s">
        <v>5139</v>
      </c>
      <c r="H838" s="10">
        <v>142</v>
      </c>
      <c r="I838" s="10">
        <f t="shared" si="15"/>
        <v>142</v>
      </c>
      <c r="J838" s="10">
        <v>8.5983825815999992</v>
      </c>
      <c r="K838" s="8" t="s">
        <v>5335</v>
      </c>
      <c r="S838"/>
    </row>
    <row r="839" spans="1:19" ht="15" x14ac:dyDescent="0.25">
      <c r="A839" s="8" t="s">
        <v>4932</v>
      </c>
      <c r="B839" s="8" t="s">
        <v>14</v>
      </c>
      <c r="C839" s="8" t="s">
        <v>5790</v>
      </c>
      <c r="D839" s="32" t="s">
        <v>6984</v>
      </c>
      <c r="E839" s="32" t="s">
        <v>5790</v>
      </c>
      <c r="F839" s="10">
        <v>1</v>
      </c>
      <c r="G839" s="8" t="s">
        <v>5139</v>
      </c>
      <c r="H839" s="10">
        <v>142</v>
      </c>
      <c r="I839" s="10">
        <f t="shared" si="15"/>
        <v>142</v>
      </c>
      <c r="J839" s="10">
        <v>8.5983825815999992</v>
      </c>
      <c r="K839" s="8" t="s">
        <v>5335</v>
      </c>
      <c r="S839"/>
    </row>
    <row r="840" spans="1:19" ht="15" x14ac:dyDescent="0.25">
      <c r="A840" s="8" t="s">
        <v>4932</v>
      </c>
      <c r="B840" s="8" t="s">
        <v>14</v>
      </c>
      <c r="C840" s="8" t="s">
        <v>5791</v>
      </c>
      <c r="D840" s="32" t="s">
        <v>6984</v>
      </c>
      <c r="E840" s="32" t="s">
        <v>5791</v>
      </c>
      <c r="F840" s="10">
        <v>1</v>
      </c>
      <c r="G840" s="8" t="s">
        <v>5139</v>
      </c>
      <c r="H840" s="10">
        <v>119.1</v>
      </c>
      <c r="I840" s="10">
        <f t="shared" si="15"/>
        <v>119.1</v>
      </c>
      <c r="J840" s="10">
        <v>7.2616085015999996</v>
      </c>
      <c r="K840" s="8" t="s">
        <v>5130</v>
      </c>
      <c r="S840"/>
    </row>
    <row r="841" spans="1:19" ht="15" x14ac:dyDescent="0.25">
      <c r="A841" s="8" t="s">
        <v>4932</v>
      </c>
      <c r="B841" s="8" t="s">
        <v>14</v>
      </c>
      <c r="C841" s="8" t="s">
        <v>5792</v>
      </c>
      <c r="D841" s="32" t="s">
        <v>6984</v>
      </c>
      <c r="E841" s="32" t="s">
        <v>5792</v>
      </c>
      <c r="F841" s="10">
        <v>1</v>
      </c>
      <c r="G841" s="8" t="s">
        <v>5139</v>
      </c>
      <c r="H841" s="10">
        <v>119.1</v>
      </c>
      <c r="I841" s="10">
        <f t="shared" si="15"/>
        <v>119.1</v>
      </c>
      <c r="J841" s="10">
        <v>7.2616085015999996</v>
      </c>
      <c r="K841" s="8" t="s">
        <v>5130</v>
      </c>
      <c r="S841"/>
    </row>
    <row r="842" spans="1:19" ht="15" x14ac:dyDescent="0.25">
      <c r="A842" s="8" t="s">
        <v>4932</v>
      </c>
      <c r="B842" s="8" t="s">
        <v>14</v>
      </c>
      <c r="C842" s="8" t="s">
        <v>5793</v>
      </c>
      <c r="D842" s="32" t="s">
        <v>6984</v>
      </c>
      <c r="E842" s="32" t="s">
        <v>5793</v>
      </c>
      <c r="F842" s="10">
        <v>1</v>
      </c>
      <c r="G842" s="8" t="s">
        <v>5139</v>
      </c>
      <c r="H842" s="10">
        <v>41.4</v>
      </c>
      <c r="I842" s="10">
        <f t="shared" si="15"/>
        <v>41.4</v>
      </c>
      <c r="J842" s="10">
        <v>2.2254426091999999</v>
      </c>
      <c r="K842" s="8" t="s">
        <v>5335</v>
      </c>
      <c r="S842"/>
    </row>
    <row r="843" spans="1:19" ht="15" x14ac:dyDescent="0.25">
      <c r="A843" s="8" t="s">
        <v>4932</v>
      </c>
      <c r="B843" s="8" t="s">
        <v>14</v>
      </c>
      <c r="C843" s="8" t="s">
        <v>5794</v>
      </c>
      <c r="D843" s="32" t="s">
        <v>6984</v>
      </c>
      <c r="E843" s="32" t="s">
        <v>5794</v>
      </c>
      <c r="F843" s="10">
        <v>1</v>
      </c>
      <c r="G843" s="8" t="s">
        <v>5139</v>
      </c>
      <c r="H843" s="10">
        <v>126.3</v>
      </c>
      <c r="I843" s="10">
        <f t="shared" si="15"/>
        <v>126.3</v>
      </c>
      <c r="J843" s="10">
        <v>8.4289456511999994</v>
      </c>
      <c r="K843" s="8" t="s">
        <v>5335</v>
      </c>
      <c r="S843"/>
    </row>
    <row r="844" spans="1:19" ht="15" x14ac:dyDescent="0.25">
      <c r="A844" s="8" t="s">
        <v>4932</v>
      </c>
      <c r="B844" s="8" t="s">
        <v>14</v>
      </c>
      <c r="C844" s="8" t="s">
        <v>5795</v>
      </c>
      <c r="D844" s="32" t="s">
        <v>6984</v>
      </c>
      <c r="E844" s="32" t="s">
        <v>5795</v>
      </c>
      <c r="F844" s="10">
        <v>1</v>
      </c>
      <c r="G844" s="8" t="s">
        <v>5139</v>
      </c>
      <c r="H844" s="10">
        <v>156.6</v>
      </c>
      <c r="I844" s="10">
        <f t="shared" si="15"/>
        <v>156.6</v>
      </c>
      <c r="J844" s="10">
        <v>10.549692393200001</v>
      </c>
      <c r="K844" s="8" t="s">
        <v>5335</v>
      </c>
      <c r="S844"/>
    </row>
    <row r="845" spans="1:19" ht="15" x14ac:dyDescent="0.25">
      <c r="A845" s="8" t="s">
        <v>4932</v>
      </c>
      <c r="B845" s="8" t="s">
        <v>14</v>
      </c>
      <c r="C845" s="8" t="s">
        <v>5796</v>
      </c>
      <c r="D845" s="32" t="s">
        <v>6984</v>
      </c>
      <c r="E845" s="32" t="s">
        <v>5796</v>
      </c>
      <c r="F845" s="10">
        <v>1</v>
      </c>
      <c r="G845" s="8" t="s">
        <v>5139</v>
      </c>
      <c r="H845" s="10">
        <v>41.6</v>
      </c>
      <c r="I845" s="10">
        <f t="shared" si="15"/>
        <v>41.6</v>
      </c>
      <c r="J845" s="10">
        <v>2.2461631835999998</v>
      </c>
      <c r="K845" s="8" t="s">
        <v>5335</v>
      </c>
      <c r="S845"/>
    </row>
    <row r="846" spans="1:19" ht="15" x14ac:dyDescent="0.25">
      <c r="A846" s="8" t="s">
        <v>4932</v>
      </c>
      <c r="B846" s="8" t="s">
        <v>14</v>
      </c>
      <c r="C846" s="8" t="s">
        <v>5797</v>
      </c>
      <c r="D846" s="32" t="s">
        <v>6984</v>
      </c>
      <c r="E846" s="32" t="s">
        <v>5797</v>
      </c>
      <c r="F846" s="10">
        <v>1</v>
      </c>
      <c r="G846" s="8" t="s">
        <v>5139</v>
      </c>
      <c r="H846" s="10">
        <v>41.6</v>
      </c>
      <c r="I846" s="10">
        <f t="shared" si="15"/>
        <v>41.6</v>
      </c>
      <c r="J846" s="10">
        <v>2.2461631835999998</v>
      </c>
      <c r="K846" s="8" t="s">
        <v>5128</v>
      </c>
      <c r="S846"/>
    </row>
    <row r="847" spans="1:19" ht="15" x14ac:dyDescent="0.25">
      <c r="A847" s="8" t="s">
        <v>5622</v>
      </c>
      <c r="B847" s="8" t="s">
        <v>4847</v>
      </c>
      <c r="C847" s="8" t="s">
        <v>5798</v>
      </c>
      <c r="D847" s="32" t="s">
        <v>6984</v>
      </c>
      <c r="E847" s="32" t="s">
        <v>5798</v>
      </c>
      <c r="F847" s="10">
        <v>1</v>
      </c>
      <c r="G847" s="8" t="s">
        <v>5095</v>
      </c>
      <c r="H847" s="10">
        <v>139.4</v>
      </c>
      <c r="I847" s="10">
        <f t="shared" si="15"/>
        <v>139.4</v>
      </c>
      <c r="J847" s="10">
        <v>3.8770175168800001</v>
      </c>
      <c r="K847" s="8" t="s">
        <v>5536</v>
      </c>
      <c r="S847"/>
    </row>
    <row r="848" spans="1:19" ht="15" x14ac:dyDescent="0.25">
      <c r="A848" s="8" t="s">
        <v>5622</v>
      </c>
      <c r="B848" s="8" t="s">
        <v>4847</v>
      </c>
      <c r="C848" s="8" t="s">
        <v>5799</v>
      </c>
      <c r="D848" s="32" t="s">
        <v>6984</v>
      </c>
      <c r="E848" s="32" t="s">
        <v>5799</v>
      </c>
      <c r="F848" s="10">
        <v>2</v>
      </c>
      <c r="G848" s="8" t="s">
        <v>5095</v>
      </c>
      <c r="H848" s="10">
        <v>42.7</v>
      </c>
      <c r="I848" s="10">
        <f t="shared" si="15"/>
        <v>85.4</v>
      </c>
      <c r="J848" s="10">
        <v>2.3968386641600001</v>
      </c>
      <c r="K848" s="8" t="s">
        <v>5536</v>
      </c>
      <c r="S848"/>
    </row>
    <row r="849" spans="1:19" ht="15" x14ac:dyDescent="0.25">
      <c r="A849" s="8" t="s">
        <v>5622</v>
      </c>
      <c r="B849" s="8" t="s">
        <v>4847</v>
      </c>
      <c r="C849" s="8" t="s">
        <v>5800</v>
      </c>
      <c r="D849" s="32" t="s">
        <v>6984</v>
      </c>
      <c r="E849" s="32" t="s">
        <v>5800</v>
      </c>
      <c r="F849" s="10">
        <v>1</v>
      </c>
      <c r="G849" s="8" t="s">
        <v>5095</v>
      </c>
      <c r="H849" s="10">
        <v>139.30000000000001</v>
      </c>
      <c r="I849" s="10">
        <f t="shared" si="15"/>
        <v>139.30000000000001</v>
      </c>
      <c r="J849" s="10">
        <v>3.8785555168800001</v>
      </c>
      <c r="K849" s="8" t="s">
        <v>5536</v>
      </c>
      <c r="S849"/>
    </row>
    <row r="850" spans="1:19" ht="15" x14ac:dyDescent="0.25">
      <c r="A850" s="8" t="s">
        <v>5622</v>
      </c>
      <c r="B850" s="8" t="s">
        <v>4847</v>
      </c>
      <c r="C850" s="8" t="s">
        <v>5801</v>
      </c>
      <c r="D850" s="32" t="s">
        <v>6984</v>
      </c>
      <c r="E850" s="32" t="s">
        <v>5801</v>
      </c>
      <c r="F850" s="10">
        <v>2</v>
      </c>
      <c r="G850" s="8" t="s">
        <v>5095</v>
      </c>
      <c r="H850" s="10">
        <v>21.35</v>
      </c>
      <c r="I850" s="10">
        <f t="shared" si="15"/>
        <v>42.7</v>
      </c>
      <c r="J850" s="10">
        <v>2.3968386641600001</v>
      </c>
      <c r="K850" s="8" t="s">
        <v>5536</v>
      </c>
      <c r="S850"/>
    </row>
    <row r="851" spans="1:19" ht="15" x14ac:dyDescent="0.25">
      <c r="A851" s="8" t="s">
        <v>5622</v>
      </c>
      <c r="B851" s="8" t="s">
        <v>4847</v>
      </c>
      <c r="C851" s="8" t="s">
        <v>5802</v>
      </c>
      <c r="D851" s="32" t="s">
        <v>6984</v>
      </c>
      <c r="E851" s="32" t="s">
        <v>5802</v>
      </c>
      <c r="F851" s="10">
        <v>2</v>
      </c>
      <c r="G851" s="8" t="s">
        <v>4934</v>
      </c>
      <c r="H851" s="10">
        <v>54.9</v>
      </c>
      <c r="I851" s="10">
        <f t="shared" si="15"/>
        <v>109.8</v>
      </c>
      <c r="J851" s="10">
        <v>3.0616687705599999</v>
      </c>
      <c r="K851" s="8" t="s">
        <v>4781</v>
      </c>
      <c r="S851"/>
    </row>
    <row r="852" spans="1:19" ht="15" x14ac:dyDescent="0.25">
      <c r="A852" s="8" t="s">
        <v>5622</v>
      </c>
      <c r="B852" s="8" t="s">
        <v>4847</v>
      </c>
      <c r="C852" s="8" t="s">
        <v>5803</v>
      </c>
      <c r="D852" s="32" t="s">
        <v>6984</v>
      </c>
      <c r="E852" s="32" t="s">
        <v>5803</v>
      </c>
      <c r="F852" s="10">
        <v>2</v>
      </c>
      <c r="G852" s="8" t="s">
        <v>4934</v>
      </c>
      <c r="H852" s="10">
        <v>54.9</v>
      </c>
      <c r="I852" s="10">
        <f t="shared" si="15"/>
        <v>109.8</v>
      </c>
      <c r="J852" s="10">
        <v>3.0616687705599999</v>
      </c>
      <c r="K852" s="8" t="s">
        <v>4781</v>
      </c>
      <c r="S852"/>
    </row>
    <row r="853" spans="1:19" ht="15" x14ac:dyDescent="0.25">
      <c r="A853" s="8" t="s">
        <v>5622</v>
      </c>
      <c r="B853" s="8" t="s">
        <v>4847</v>
      </c>
      <c r="C853" s="8" t="s">
        <v>5804</v>
      </c>
      <c r="D853" s="32" t="s">
        <v>6984</v>
      </c>
      <c r="E853" s="32" t="s">
        <v>5804</v>
      </c>
      <c r="F853" s="10">
        <v>4</v>
      </c>
      <c r="G853" s="8" t="s">
        <v>4934</v>
      </c>
      <c r="H853" s="10">
        <v>48.174999999999997</v>
      </c>
      <c r="I853" s="10">
        <f t="shared" si="15"/>
        <v>192.7</v>
      </c>
      <c r="J853" s="10">
        <v>5.3008913926399996</v>
      </c>
      <c r="K853" s="8" t="s">
        <v>4781</v>
      </c>
      <c r="S853"/>
    </row>
    <row r="854" spans="1:19" ht="15" x14ac:dyDescent="0.25">
      <c r="A854" s="8" t="s">
        <v>5622</v>
      </c>
      <c r="B854" s="8" t="s">
        <v>4847</v>
      </c>
      <c r="C854" s="8" t="s">
        <v>5805</v>
      </c>
      <c r="D854" s="32" t="s">
        <v>6984</v>
      </c>
      <c r="E854" s="32" t="s">
        <v>5805</v>
      </c>
      <c r="F854" s="10">
        <v>2</v>
      </c>
      <c r="G854" s="8" t="s">
        <v>5101</v>
      </c>
      <c r="H854" s="10">
        <v>55.45</v>
      </c>
      <c r="I854" s="10">
        <f t="shared" si="15"/>
        <v>110.9</v>
      </c>
      <c r="J854" s="10">
        <v>6.3221176432000004</v>
      </c>
      <c r="K854" s="8" t="s">
        <v>5102</v>
      </c>
      <c r="S854"/>
    </row>
    <row r="855" spans="1:19" ht="15" x14ac:dyDescent="0.25">
      <c r="A855" s="8" t="s">
        <v>5622</v>
      </c>
      <c r="B855" s="8" t="s">
        <v>4847</v>
      </c>
      <c r="C855" s="8" t="s">
        <v>5806</v>
      </c>
      <c r="D855" s="32" t="s">
        <v>6984</v>
      </c>
      <c r="E855" s="32" t="s">
        <v>5806</v>
      </c>
      <c r="F855" s="10">
        <v>2</v>
      </c>
      <c r="G855" s="8" t="s">
        <v>5101</v>
      </c>
      <c r="H855" s="10">
        <v>55.45</v>
      </c>
      <c r="I855" s="10">
        <f t="shared" si="15"/>
        <v>110.9</v>
      </c>
      <c r="J855" s="10">
        <v>6.3221176432000004</v>
      </c>
      <c r="K855" s="8" t="s">
        <v>5102</v>
      </c>
      <c r="S855"/>
    </row>
    <row r="856" spans="1:19" ht="15" x14ac:dyDescent="0.25">
      <c r="A856" s="8" t="s">
        <v>5622</v>
      </c>
      <c r="B856" s="8" t="s">
        <v>4847</v>
      </c>
      <c r="C856" s="8" t="s">
        <v>5807</v>
      </c>
      <c r="D856" s="32" t="s">
        <v>6984</v>
      </c>
      <c r="E856" s="32" t="s">
        <v>5807</v>
      </c>
      <c r="F856" s="10">
        <v>1</v>
      </c>
      <c r="G856" s="8" t="s">
        <v>5101</v>
      </c>
      <c r="H856" s="10">
        <v>136.19999999999999</v>
      </c>
      <c r="I856" s="10">
        <f t="shared" si="15"/>
        <v>136.19999999999999</v>
      </c>
      <c r="J856" s="10">
        <v>8.2085005255999999</v>
      </c>
      <c r="K856" s="8" t="s">
        <v>5102</v>
      </c>
      <c r="S856"/>
    </row>
    <row r="857" spans="1:19" ht="15" x14ac:dyDescent="0.25">
      <c r="A857" s="8" t="s">
        <v>5622</v>
      </c>
      <c r="B857" s="8" t="s">
        <v>4847</v>
      </c>
      <c r="C857" s="8" t="s">
        <v>5808</v>
      </c>
      <c r="D857" s="32" t="s">
        <v>6984</v>
      </c>
      <c r="E857" s="32" t="s">
        <v>5808</v>
      </c>
      <c r="F857" s="10">
        <v>1</v>
      </c>
      <c r="G857" s="8" t="s">
        <v>5101</v>
      </c>
      <c r="H857" s="10">
        <v>136.19999999999999</v>
      </c>
      <c r="I857" s="10">
        <f t="shared" si="15"/>
        <v>136.19999999999999</v>
      </c>
      <c r="J857" s="10">
        <v>8.2085005255999999</v>
      </c>
      <c r="K857" s="8" t="s">
        <v>5335</v>
      </c>
      <c r="S857"/>
    </row>
    <row r="858" spans="1:19" ht="15" x14ac:dyDescent="0.25">
      <c r="A858" s="8" t="s">
        <v>5622</v>
      </c>
      <c r="B858" s="8" t="s">
        <v>4847</v>
      </c>
      <c r="C858" s="8" t="s">
        <v>5809</v>
      </c>
      <c r="D858" s="32" t="s">
        <v>6984</v>
      </c>
      <c r="E858" s="32" t="s">
        <v>5809</v>
      </c>
      <c r="F858" s="10">
        <v>1</v>
      </c>
      <c r="G858" s="8" t="s">
        <v>5101</v>
      </c>
      <c r="H858" s="10">
        <v>146.80000000000001</v>
      </c>
      <c r="I858" s="10">
        <f t="shared" si="15"/>
        <v>146.80000000000001</v>
      </c>
      <c r="J858" s="10">
        <v>9.7509057507999994</v>
      </c>
      <c r="K858" s="8" t="s">
        <v>5130</v>
      </c>
      <c r="S858"/>
    </row>
    <row r="859" spans="1:19" ht="15" x14ac:dyDescent="0.25">
      <c r="A859" s="8" t="s">
        <v>5622</v>
      </c>
      <c r="B859" s="8" t="s">
        <v>4847</v>
      </c>
      <c r="C859" s="8" t="s">
        <v>5810</v>
      </c>
      <c r="D859" s="32" t="s">
        <v>6984</v>
      </c>
      <c r="E859" s="32" t="s">
        <v>5810</v>
      </c>
      <c r="F859" s="10">
        <v>1</v>
      </c>
      <c r="G859" s="8" t="s">
        <v>5101</v>
      </c>
      <c r="H859" s="10">
        <v>119</v>
      </c>
      <c r="I859" s="10">
        <f t="shared" si="15"/>
        <v>119</v>
      </c>
      <c r="J859" s="10">
        <v>7.8376612708</v>
      </c>
      <c r="K859" s="8" t="s">
        <v>5130</v>
      </c>
      <c r="S859"/>
    </row>
    <row r="860" spans="1:19" ht="15" x14ac:dyDescent="0.25">
      <c r="A860" s="8" t="s">
        <v>5622</v>
      </c>
      <c r="B860" s="8" t="s">
        <v>4847</v>
      </c>
      <c r="C860" s="8" t="s">
        <v>5811</v>
      </c>
      <c r="D860" s="32" t="s">
        <v>6984</v>
      </c>
      <c r="E860" s="32" t="s">
        <v>5811</v>
      </c>
      <c r="F860" s="10">
        <v>1</v>
      </c>
      <c r="G860" s="8" t="s">
        <v>5101</v>
      </c>
      <c r="H860" s="10">
        <v>119</v>
      </c>
      <c r="I860" s="10">
        <f t="shared" si="15"/>
        <v>119</v>
      </c>
      <c r="J860" s="10">
        <v>7.8376612708</v>
      </c>
      <c r="K860" s="8" t="s">
        <v>5130</v>
      </c>
      <c r="S860"/>
    </row>
    <row r="861" spans="1:19" ht="15" x14ac:dyDescent="0.25">
      <c r="A861" s="8" t="s">
        <v>5622</v>
      </c>
      <c r="B861" s="8" t="s">
        <v>4847</v>
      </c>
      <c r="C861" s="8" t="s">
        <v>5812</v>
      </c>
      <c r="D861" s="32" t="s">
        <v>6984</v>
      </c>
      <c r="E861" s="32" t="s">
        <v>5812</v>
      </c>
      <c r="F861" s="10">
        <v>1</v>
      </c>
      <c r="G861" s="8" t="s">
        <v>5101</v>
      </c>
      <c r="H861" s="10">
        <v>48.9</v>
      </c>
      <c r="I861" s="10">
        <f t="shared" si="15"/>
        <v>48.9</v>
      </c>
      <c r="J861" s="10">
        <v>2.8347147748000001</v>
      </c>
      <c r="K861" s="8" t="s">
        <v>5130</v>
      </c>
      <c r="S861"/>
    </row>
    <row r="862" spans="1:19" ht="15" x14ac:dyDescent="0.25">
      <c r="A862" s="8" t="s">
        <v>5622</v>
      </c>
      <c r="B862" s="8" t="s">
        <v>4847</v>
      </c>
      <c r="C862" s="8" t="s">
        <v>5813</v>
      </c>
      <c r="D862" s="32" t="s">
        <v>6984</v>
      </c>
      <c r="E862" s="32" t="s">
        <v>5813</v>
      </c>
      <c r="F862" s="10">
        <v>1</v>
      </c>
      <c r="G862" s="8" t="s">
        <v>5101</v>
      </c>
      <c r="H862" s="10">
        <v>114.8</v>
      </c>
      <c r="I862" s="10">
        <f t="shared" si="15"/>
        <v>114.8</v>
      </c>
      <c r="J862" s="10">
        <v>7.4954457828000001</v>
      </c>
      <c r="K862" s="8" t="s">
        <v>5130</v>
      </c>
      <c r="S862"/>
    </row>
    <row r="863" spans="1:19" ht="15" x14ac:dyDescent="0.25">
      <c r="A863" s="8" t="s">
        <v>5622</v>
      </c>
      <c r="B863" s="8" t="s">
        <v>4847</v>
      </c>
      <c r="C863" s="8" t="s">
        <v>5814</v>
      </c>
      <c r="D863" s="32" t="s">
        <v>6984</v>
      </c>
      <c r="E863" s="32" t="s">
        <v>5814</v>
      </c>
      <c r="F863" s="10">
        <v>1</v>
      </c>
      <c r="G863" s="8" t="s">
        <v>5101</v>
      </c>
      <c r="H863" s="10">
        <v>38.799999999999997</v>
      </c>
      <c r="I863" s="10">
        <f t="shared" si="15"/>
        <v>38.799999999999997</v>
      </c>
      <c r="J863" s="10">
        <v>2.0171170547999999</v>
      </c>
      <c r="K863" s="8" t="s">
        <v>5130</v>
      </c>
      <c r="S863"/>
    </row>
    <row r="864" spans="1:19" ht="15" x14ac:dyDescent="0.25">
      <c r="A864" s="8" t="s">
        <v>5622</v>
      </c>
      <c r="B864" s="8" t="s">
        <v>4847</v>
      </c>
      <c r="C864" s="8" t="s">
        <v>5815</v>
      </c>
      <c r="D864" s="32" t="s">
        <v>6984</v>
      </c>
      <c r="E864" s="32" t="s">
        <v>5815</v>
      </c>
      <c r="F864" s="10">
        <v>1</v>
      </c>
      <c r="G864" s="8" t="s">
        <v>5101</v>
      </c>
      <c r="H864" s="10">
        <v>35.1</v>
      </c>
      <c r="I864" s="10">
        <f t="shared" si="15"/>
        <v>35.1</v>
      </c>
      <c r="J864" s="10">
        <v>1.7124793028</v>
      </c>
      <c r="K864" s="8" t="s">
        <v>5335</v>
      </c>
      <c r="S864"/>
    </row>
    <row r="865" spans="1:19" ht="15" x14ac:dyDescent="0.25">
      <c r="A865" s="8" t="s">
        <v>5622</v>
      </c>
      <c r="B865" s="8" t="s">
        <v>4847</v>
      </c>
      <c r="C865" s="8" t="s">
        <v>5816</v>
      </c>
      <c r="D865" s="32" t="s">
        <v>6984</v>
      </c>
      <c r="E865" s="32" t="s">
        <v>5816</v>
      </c>
      <c r="F865" s="10">
        <v>1</v>
      </c>
      <c r="G865" s="8" t="s">
        <v>5101</v>
      </c>
      <c r="H865" s="10">
        <v>51.8</v>
      </c>
      <c r="I865" s="10">
        <f t="shared" si="15"/>
        <v>51.8</v>
      </c>
      <c r="J865" s="10">
        <v>3.0709692708</v>
      </c>
      <c r="K865" s="8" t="s">
        <v>5130</v>
      </c>
      <c r="S865"/>
    </row>
    <row r="866" spans="1:19" ht="15" x14ac:dyDescent="0.25">
      <c r="A866" s="8" t="s">
        <v>5622</v>
      </c>
      <c r="B866" s="8" t="s">
        <v>4847</v>
      </c>
      <c r="C866" s="8" t="s">
        <v>5817</v>
      </c>
      <c r="D866" s="32" t="s">
        <v>6984</v>
      </c>
      <c r="E866" s="32" t="s">
        <v>5817</v>
      </c>
      <c r="F866" s="10">
        <v>1</v>
      </c>
      <c r="G866" s="8" t="s">
        <v>5101</v>
      </c>
      <c r="H866" s="10">
        <v>118.2</v>
      </c>
      <c r="I866" s="10">
        <f t="shared" si="15"/>
        <v>118.2</v>
      </c>
      <c r="J866" s="10">
        <v>7.7715681508000003</v>
      </c>
      <c r="K866" s="8" t="s">
        <v>5130</v>
      </c>
      <c r="S866"/>
    </row>
    <row r="867" spans="1:19" ht="15" x14ac:dyDescent="0.25">
      <c r="A867" s="8" t="s">
        <v>5622</v>
      </c>
      <c r="B867" s="8" t="s">
        <v>4847</v>
      </c>
      <c r="C867" s="8" t="s">
        <v>5818</v>
      </c>
      <c r="D867" s="32" t="s">
        <v>6984</v>
      </c>
      <c r="E867" s="32" t="s">
        <v>5818</v>
      </c>
      <c r="F867" s="10">
        <v>2</v>
      </c>
      <c r="G867" s="8" t="s">
        <v>5101</v>
      </c>
      <c r="H867" s="10">
        <v>114.2</v>
      </c>
      <c r="I867" s="10">
        <f t="shared" si="15"/>
        <v>228.4</v>
      </c>
      <c r="J867" s="10">
        <v>14.8968924616</v>
      </c>
      <c r="K867" s="8" t="s">
        <v>5130</v>
      </c>
      <c r="S867"/>
    </row>
    <row r="868" spans="1:19" ht="15" x14ac:dyDescent="0.25">
      <c r="A868" s="8" t="s">
        <v>5622</v>
      </c>
      <c r="B868" s="8" t="s">
        <v>4847</v>
      </c>
      <c r="C868" s="8" t="s">
        <v>5819</v>
      </c>
      <c r="D868" s="32" t="s">
        <v>6984</v>
      </c>
      <c r="E868" s="32" t="s">
        <v>5819</v>
      </c>
      <c r="F868" s="10">
        <v>1</v>
      </c>
      <c r="G868" s="8" t="s">
        <v>5101</v>
      </c>
      <c r="H868" s="10">
        <v>37</v>
      </c>
      <c r="I868" s="10">
        <f t="shared" si="15"/>
        <v>37</v>
      </c>
      <c r="J868" s="10">
        <v>1.8746058908000001</v>
      </c>
      <c r="K868" s="8" t="s">
        <v>5335</v>
      </c>
      <c r="S868"/>
    </row>
    <row r="869" spans="1:19" ht="15" x14ac:dyDescent="0.25">
      <c r="A869" s="8" t="s">
        <v>5622</v>
      </c>
      <c r="B869" s="8" t="s">
        <v>4847</v>
      </c>
      <c r="C869" s="8" t="s">
        <v>5820</v>
      </c>
      <c r="D869" s="32" t="s">
        <v>6984</v>
      </c>
      <c r="E869" s="32" t="s">
        <v>5820</v>
      </c>
      <c r="F869" s="10">
        <v>1</v>
      </c>
      <c r="G869" s="8" t="s">
        <v>5101</v>
      </c>
      <c r="H869" s="10">
        <v>117.1</v>
      </c>
      <c r="I869" s="10">
        <f t="shared" si="15"/>
        <v>117.1</v>
      </c>
      <c r="J869" s="10">
        <v>7.6790377828</v>
      </c>
      <c r="K869" s="8" t="s">
        <v>5130</v>
      </c>
      <c r="S869"/>
    </row>
    <row r="870" spans="1:19" ht="15" x14ac:dyDescent="0.25">
      <c r="A870" s="8" t="s">
        <v>5622</v>
      </c>
      <c r="B870" s="8" t="s">
        <v>4847</v>
      </c>
      <c r="C870" s="8" t="s">
        <v>5821</v>
      </c>
      <c r="D870" s="32" t="s">
        <v>6984</v>
      </c>
      <c r="E870" s="32" t="s">
        <v>5821</v>
      </c>
      <c r="F870" s="10">
        <v>1</v>
      </c>
      <c r="G870" s="8" t="s">
        <v>5101</v>
      </c>
      <c r="H870" s="10">
        <v>130.69999999999999</v>
      </c>
      <c r="I870" s="10">
        <f t="shared" si="15"/>
        <v>130.69999999999999</v>
      </c>
      <c r="J870" s="10">
        <v>5.6338963908000004</v>
      </c>
      <c r="K870" s="8" t="s">
        <v>5130</v>
      </c>
      <c r="S870"/>
    </row>
    <row r="871" spans="1:19" ht="15" x14ac:dyDescent="0.25">
      <c r="A871" s="8" t="s">
        <v>4932</v>
      </c>
      <c r="B871" s="8" t="s">
        <v>14</v>
      </c>
      <c r="C871" s="8" t="s">
        <v>5822</v>
      </c>
      <c r="D871" s="32" t="s">
        <v>6984</v>
      </c>
      <c r="E871" s="32" t="s">
        <v>5822</v>
      </c>
      <c r="F871" s="10">
        <v>1</v>
      </c>
      <c r="G871" s="8" t="s">
        <v>16</v>
      </c>
      <c r="H871" s="10">
        <v>7</v>
      </c>
      <c r="I871" s="10">
        <f t="shared" si="15"/>
        <v>7</v>
      </c>
      <c r="J871" s="10">
        <v>0.19148100000000001</v>
      </c>
      <c r="K871" s="8" t="s">
        <v>5536</v>
      </c>
      <c r="S871"/>
    </row>
    <row r="872" spans="1:19" ht="15" x14ac:dyDescent="0.25">
      <c r="A872" s="8" t="s">
        <v>4932</v>
      </c>
      <c r="B872" s="8" t="s">
        <v>14</v>
      </c>
      <c r="C872" s="8" t="s">
        <v>5823</v>
      </c>
      <c r="D872" s="32" t="s">
        <v>6984</v>
      </c>
      <c r="E872" s="32" t="s">
        <v>5823</v>
      </c>
      <c r="F872" s="10">
        <v>1</v>
      </c>
      <c r="G872" s="8" t="s">
        <v>16</v>
      </c>
      <c r="H872" s="10">
        <v>234.2</v>
      </c>
      <c r="I872" s="10">
        <f t="shared" si="15"/>
        <v>234.2</v>
      </c>
      <c r="J872" s="10">
        <v>8.0272724800000006</v>
      </c>
      <c r="K872" s="8" t="s">
        <v>5824</v>
      </c>
      <c r="S872"/>
    </row>
    <row r="873" spans="1:19" ht="15" x14ac:dyDescent="0.25">
      <c r="A873" s="8" t="s">
        <v>4932</v>
      </c>
      <c r="B873" s="8" t="s">
        <v>14</v>
      </c>
      <c r="C873" s="8" t="s">
        <v>5825</v>
      </c>
      <c r="D873" s="32" t="s">
        <v>6984</v>
      </c>
      <c r="E873" s="32" t="s">
        <v>5825</v>
      </c>
      <c r="F873" s="10">
        <v>1</v>
      </c>
      <c r="G873" s="8" t="s">
        <v>16</v>
      </c>
      <c r="H873" s="10">
        <v>45.8</v>
      </c>
      <c r="I873" s="10">
        <f t="shared" si="15"/>
        <v>45.8</v>
      </c>
      <c r="J873" s="10">
        <v>0.62981100000000001</v>
      </c>
      <c r="K873" s="8" t="s">
        <v>5536</v>
      </c>
      <c r="S873"/>
    </row>
    <row r="874" spans="1:19" ht="15" x14ac:dyDescent="0.25">
      <c r="A874" s="8" t="s">
        <v>4932</v>
      </c>
      <c r="B874" s="8" t="s">
        <v>14</v>
      </c>
      <c r="C874" s="8" t="s">
        <v>5826</v>
      </c>
      <c r="D874" s="32" t="s">
        <v>6984</v>
      </c>
      <c r="E874" s="32" t="s">
        <v>5826</v>
      </c>
      <c r="F874" s="10">
        <v>4</v>
      </c>
      <c r="G874" s="8" t="s">
        <v>16</v>
      </c>
      <c r="H874" s="10">
        <v>12.4</v>
      </c>
      <c r="I874" s="10">
        <f t="shared" si="15"/>
        <v>49.6</v>
      </c>
      <c r="J874" s="10">
        <v>2.5234000000000001</v>
      </c>
      <c r="K874" s="8" t="s">
        <v>5123</v>
      </c>
      <c r="S874"/>
    </row>
    <row r="875" spans="1:19" ht="15" x14ac:dyDescent="0.25">
      <c r="A875" s="8" t="s">
        <v>4932</v>
      </c>
      <c r="B875" s="8" t="s">
        <v>14</v>
      </c>
      <c r="C875" s="8" t="s">
        <v>5827</v>
      </c>
      <c r="D875" s="32" t="s">
        <v>6984</v>
      </c>
      <c r="E875" s="32" t="s">
        <v>5827</v>
      </c>
      <c r="F875" s="10">
        <v>1</v>
      </c>
      <c r="G875" s="8" t="s">
        <v>16</v>
      </c>
      <c r="H875" s="10">
        <v>226.4</v>
      </c>
      <c r="I875" s="10">
        <f t="shared" si="15"/>
        <v>226.4</v>
      </c>
      <c r="J875" s="10">
        <v>7.6391721924000002</v>
      </c>
      <c r="K875" s="8" t="s">
        <v>5824</v>
      </c>
      <c r="S875"/>
    </row>
    <row r="876" spans="1:19" ht="15" x14ac:dyDescent="0.25">
      <c r="A876" s="8" t="s">
        <v>4932</v>
      </c>
      <c r="B876" s="8" t="s">
        <v>14</v>
      </c>
      <c r="C876" s="8" t="s">
        <v>5828</v>
      </c>
      <c r="D876" s="32" t="s">
        <v>6984</v>
      </c>
      <c r="E876" s="32" t="s">
        <v>5828</v>
      </c>
      <c r="F876" s="10">
        <v>1</v>
      </c>
      <c r="G876" s="8" t="s">
        <v>16</v>
      </c>
      <c r="H876" s="10">
        <v>90.4</v>
      </c>
      <c r="I876" s="10">
        <f t="shared" si="15"/>
        <v>90.4</v>
      </c>
      <c r="J876" s="10">
        <v>2.9290299904000001</v>
      </c>
      <c r="K876" s="8" t="s">
        <v>5116</v>
      </c>
      <c r="S876"/>
    </row>
    <row r="877" spans="1:19" ht="15" x14ac:dyDescent="0.25">
      <c r="A877" s="8" t="s">
        <v>4932</v>
      </c>
      <c r="B877" s="8" t="s">
        <v>14</v>
      </c>
      <c r="C877" s="8" t="s">
        <v>5829</v>
      </c>
      <c r="D877" s="32" t="s">
        <v>6984</v>
      </c>
      <c r="E877" s="32" t="s">
        <v>5829</v>
      </c>
      <c r="F877" s="10">
        <v>1</v>
      </c>
      <c r="G877" s="8" t="s">
        <v>16</v>
      </c>
      <c r="H877" s="10">
        <v>36.299999999999997</v>
      </c>
      <c r="I877" s="10">
        <f t="shared" si="15"/>
        <v>36.299999999999997</v>
      </c>
      <c r="J877" s="10">
        <v>1.1776718488</v>
      </c>
      <c r="K877" s="8" t="s">
        <v>5116</v>
      </c>
      <c r="S877"/>
    </row>
    <row r="878" spans="1:19" ht="15" x14ac:dyDescent="0.25">
      <c r="A878" s="8" t="s">
        <v>4932</v>
      </c>
      <c r="B878" s="8" t="s">
        <v>14</v>
      </c>
      <c r="C878" s="8" t="s">
        <v>5830</v>
      </c>
      <c r="D878" s="32" t="s">
        <v>6984</v>
      </c>
      <c r="E878" s="32" t="s">
        <v>5830</v>
      </c>
      <c r="F878" s="10">
        <v>1</v>
      </c>
      <c r="G878" s="8" t="s">
        <v>16</v>
      </c>
      <c r="H878" s="10">
        <v>39</v>
      </c>
      <c r="I878" s="10">
        <f t="shared" si="15"/>
        <v>39</v>
      </c>
      <c r="J878" s="10">
        <v>1.30622183088</v>
      </c>
      <c r="K878" s="8" t="s">
        <v>5824</v>
      </c>
      <c r="S878"/>
    </row>
    <row r="879" spans="1:19" ht="15" x14ac:dyDescent="0.25">
      <c r="A879" s="8" t="s">
        <v>5622</v>
      </c>
      <c r="B879" s="8" t="s">
        <v>4847</v>
      </c>
      <c r="C879" s="8" t="s">
        <v>5831</v>
      </c>
      <c r="D879" s="32" t="s">
        <v>6984</v>
      </c>
      <c r="E879" s="32" t="s">
        <v>5831</v>
      </c>
      <c r="F879" s="10">
        <v>10</v>
      </c>
      <c r="G879" s="8" t="s">
        <v>5832</v>
      </c>
      <c r="H879" s="10">
        <v>3.6700000000000004</v>
      </c>
      <c r="I879" s="10">
        <f t="shared" si="15"/>
        <v>36.700000000000003</v>
      </c>
      <c r="J879" s="10">
        <v>1.218</v>
      </c>
      <c r="K879" s="8" t="s">
        <v>5833</v>
      </c>
      <c r="S879"/>
    </row>
    <row r="880" spans="1:19" ht="15" x14ac:dyDescent="0.25">
      <c r="A880" s="8" t="s">
        <v>5622</v>
      </c>
      <c r="B880" s="8" t="s">
        <v>4847</v>
      </c>
      <c r="C880" s="8" t="s">
        <v>5834</v>
      </c>
      <c r="D880" s="32" t="s">
        <v>6984</v>
      </c>
      <c r="E880" s="32" t="s">
        <v>5834</v>
      </c>
      <c r="F880" s="10">
        <v>12</v>
      </c>
      <c r="G880" s="8" t="s">
        <v>5832</v>
      </c>
      <c r="H880" s="10">
        <v>4.3500000000000005</v>
      </c>
      <c r="I880" s="10">
        <f t="shared" si="15"/>
        <v>52.2</v>
      </c>
      <c r="J880" s="10">
        <v>1.7322</v>
      </c>
      <c r="K880" s="8" t="s">
        <v>5833</v>
      </c>
      <c r="S880"/>
    </row>
    <row r="881" spans="1:19" ht="15" x14ac:dyDescent="0.25">
      <c r="A881" s="8" t="s">
        <v>5622</v>
      </c>
      <c r="B881" s="8" t="s">
        <v>4847</v>
      </c>
      <c r="C881" s="8" t="s">
        <v>5835</v>
      </c>
      <c r="D881" s="32" t="s">
        <v>6984</v>
      </c>
      <c r="E881" s="32" t="s">
        <v>5835</v>
      </c>
      <c r="F881" s="10">
        <v>4</v>
      </c>
      <c r="G881" s="8" t="s">
        <v>5832</v>
      </c>
      <c r="H881" s="10">
        <v>3.8</v>
      </c>
      <c r="I881" s="10">
        <f t="shared" si="15"/>
        <v>15.2</v>
      </c>
      <c r="J881" s="10">
        <v>0.505</v>
      </c>
      <c r="K881" s="8" t="s">
        <v>5833</v>
      </c>
      <c r="S881"/>
    </row>
    <row r="882" spans="1:19" ht="15" x14ac:dyDescent="0.25">
      <c r="A882" s="8" t="s">
        <v>5622</v>
      </c>
      <c r="B882" s="8" t="s">
        <v>4847</v>
      </c>
      <c r="C882" s="8" t="s">
        <v>5836</v>
      </c>
      <c r="D882" s="32" t="s">
        <v>6984</v>
      </c>
      <c r="E882" s="32" t="s">
        <v>5836</v>
      </c>
      <c r="F882" s="10">
        <v>12</v>
      </c>
      <c r="G882" s="8" t="s">
        <v>5832</v>
      </c>
      <c r="H882" s="10">
        <v>2.5833333333333335</v>
      </c>
      <c r="I882" s="10">
        <f t="shared" si="15"/>
        <v>31</v>
      </c>
      <c r="J882" s="10">
        <v>1.0278</v>
      </c>
      <c r="K882" s="8" t="s">
        <v>5833</v>
      </c>
      <c r="S882"/>
    </row>
    <row r="883" spans="1:19" ht="15" x14ac:dyDescent="0.25">
      <c r="A883" s="8" t="s">
        <v>5622</v>
      </c>
      <c r="B883" s="8" t="s">
        <v>4847</v>
      </c>
      <c r="C883" s="8" t="s">
        <v>5837</v>
      </c>
      <c r="D883" s="32" t="s">
        <v>6984</v>
      </c>
      <c r="E883" s="32" t="s">
        <v>5837</v>
      </c>
      <c r="F883" s="10">
        <v>8</v>
      </c>
      <c r="G883" s="8" t="s">
        <v>5832</v>
      </c>
      <c r="H883" s="10">
        <v>4.3624999999999998</v>
      </c>
      <c r="I883" s="10">
        <f t="shared" si="15"/>
        <v>34.9</v>
      </c>
      <c r="J883" s="10">
        <v>1.1572</v>
      </c>
      <c r="K883" s="8" t="s">
        <v>5833</v>
      </c>
      <c r="S883"/>
    </row>
    <row r="884" spans="1:19" ht="15" x14ac:dyDescent="0.25">
      <c r="A884" s="8" t="s">
        <v>5622</v>
      </c>
      <c r="B884" s="8" t="s">
        <v>4847</v>
      </c>
      <c r="C884" s="8" t="s">
        <v>5838</v>
      </c>
      <c r="D884" s="32" t="s">
        <v>6984</v>
      </c>
      <c r="E884" s="32" t="s">
        <v>5838</v>
      </c>
      <c r="F884" s="10">
        <v>2</v>
      </c>
      <c r="G884" s="8" t="s">
        <v>5832</v>
      </c>
      <c r="H884" s="10">
        <v>4.3499999999999996</v>
      </c>
      <c r="I884" s="10">
        <f t="shared" si="15"/>
        <v>8.6999999999999993</v>
      </c>
      <c r="J884" s="10">
        <v>0.2873</v>
      </c>
      <c r="K884" s="8" t="s">
        <v>5833</v>
      </c>
      <c r="S884"/>
    </row>
    <row r="885" spans="1:19" ht="15" x14ac:dyDescent="0.25">
      <c r="A885" s="8" t="s">
        <v>5622</v>
      </c>
      <c r="B885" s="8" t="s">
        <v>4847</v>
      </c>
      <c r="C885" s="8" t="s">
        <v>5839</v>
      </c>
      <c r="D885" s="32" t="s">
        <v>6984</v>
      </c>
      <c r="E885" s="32" t="s">
        <v>5839</v>
      </c>
      <c r="F885" s="10">
        <v>24</v>
      </c>
      <c r="G885" s="8" t="s">
        <v>5832</v>
      </c>
      <c r="H885" s="10">
        <v>3.4499999999999997</v>
      </c>
      <c r="I885" s="10">
        <f t="shared" si="15"/>
        <v>82.8</v>
      </c>
      <c r="J885" s="10">
        <v>2.7480000000000002</v>
      </c>
      <c r="K885" s="8" t="s">
        <v>5833</v>
      </c>
      <c r="S885"/>
    </row>
    <row r="886" spans="1:19" ht="15" x14ac:dyDescent="0.25">
      <c r="A886" s="8" t="s">
        <v>5622</v>
      </c>
      <c r="B886" s="8" t="s">
        <v>4847</v>
      </c>
      <c r="C886" s="8" t="s">
        <v>5840</v>
      </c>
      <c r="D886" s="32" t="s">
        <v>6984</v>
      </c>
      <c r="E886" s="32" t="s">
        <v>5840</v>
      </c>
      <c r="F886" s="10">
        <v>48</v>
      </c>
      <c r="G886" s="8" t="s">
        <v>5832</v>
      </c>
      <c r="H886" s="10">
        <v>3.3229166666666665</v>
      </c>
      <c r="I886" s="10">
        <f t="shared" si="15"/>
        <v>159.5</v>
      </c>
      <c r="J886" s="10">
        <v>5.2919999999999998</v>
      </c>
      <c r="K886" s="8" t="s">
        <v>5833</v>
      </c>
      <c r="S886"/>
    </row>
    <row r="887" spans="1:19" ht="15" x14ac:dyDescent="0.25">
      <c r="A887" s="8" t="s">
        <v>5622</v>
      </c>
      <c r="B887" s="8" t="s">
        <v>4847</v>
      </c>
      <c r="C887" s="8" t="s">
        <v>5841</v>
      </c>
      <c r="D887" s="32" t="s">
        <v>6984</v>
      </c>
      <c r="E887" s="32" t="s">
        <v>5841</v>
      </c>
      <c r="F887" s="10">
        <v>72</v>
      </c>
      <c r="G887" s="8" t="s">
        <v>5832</v>
      </c>
      <c r="H887" s="10">
        <v>3.4361111111111113</v>
      </c>
      <c r="I887" s="10">
        <f t="shared" si="15"/>
        <v>247.4</v>
      </c>
      <c r="J887" s="10">
        <v>8.2080000000000002</v>
      </c>
      <c r="K887" s="8" t="s">
        <v>5833</v>
      </c>
      <c r="S887"/>
    </row>
    <row r="888" spans="1:19" ht="15" x14ac:dyDescent="0.25">
      <c r="A888" s="8" t="s">
        <v>5622</v>
      </c>
      <c r="B888" s="8" t="s">
        <v>4847</v>
      </c>
      <c r="C888" s="8" t="s">
        <v>5842</v>
      </c>
      <c r="D888" s="32" t="s">
        <v>6984</v>
      </c>
      <c r="E888" s="32" t="s">
        <v>5842</v>
      </c>
      <c r="F888" s="10">
        <v>24</v>
      </c>
      <c r="G888" s="8" t="s">
        <v>5832</v>
      </c>
      <c r="H888" s="10">
        <v>3.0958333333333332</v>
      </c>
      <c r="I888" s="10">
        <f t="shared" si="15"/>
        <v>74.3</v>
      </c>
      <c r="J888" s="10">
        <v>2.4660000000000002</v>
      </c>
      <c r="K888" s="8" t="s">
        <v>5833</v>
      </c>
      <c r="S888"/>
    </row>
    <row r="889" spans="1:19" ht="15" x14ac:dyDescent="0.25">
      <c r="A889" s="8" t="s">
        <v>5622</v>
      </c>
      <c r="B889" s="8" t="s">
        <v>4847</v>
      </c>
      <c r="C889" s="8" t="s">
        <v>5843</v>
      </c>
      <c r="D889" s="32" t="s">
        <v>6984</v>
      </c>
      <c r="E889" s="32" t="s">
        <v>5843</v>
      </c>
      <c r="F889" s="10">
        <v>12</v>
      </c>
      <c r="G889" s="8" t="s">
        <v>5832</v>
      </c>
      <c r="H889" s="10">
        <v>2.8416666666666668</v>
      </c>
      <c r="I889" s="10">
        <f t="shared" si="15"/>
        <v>34.1</v>
      </c>
      <c r="J889" s="10">
        <v>1.1328</v>
      </c>
      <c r="K889" s="8" t="s">
        <v>5833</v>
      </c>
      <c r="S889"/>
    </row>
    <row r="890" spans="1:19" ht="15" x14ac:dyDescent="0.25">
      <c r="A890" s="8" t="s">
        <v>5622</v>
      </c>
      <c r="B890" s="8" t="s">
        <v>4847</v>
      </c>
      <c r="C890" s="8" t="s">
        <v>5844</v>
      </c>
      <c r="D890" s="32" t="s">
        <v>6984</v>
      </c>
      <c r="E890" s="32" t="s">
        <v>5844</v>
      </c>
      <c r="F890" s="10">
        <v>12</v>
      </c>
      <c r="G890" s="8" t="s">
        <v>5832</v>
      </c>
      <c r="H890" s="10">
        <v>2.4666666666666668</v>
      </c>
      <c r="I890" s="10">
        <f t="shared" si="15"/>
        <v>29.6</v>
      </c>
      <c r="J890" s="10">
        <v>0.98280000000000001</v>
      </c>
      <c r="K890" s="8" t="s">
        <v>5833</v>
      </c>
      <c r="S890"/>
    </row>
    <row r="891" spans="1:19" ht="15" x14ac:dyDescent="0.25">
      <c r="A891" s="8" t="s">
        <v>5622</v>
      </c>
      <c r="B891" s="8" t="s">
        <v>4847</v>
      </c>
      <c r="C891" s="8" t="s">
        <v>5845</v>
      </c>
      <c r="D891" s="32" t="s">
        <v>6984</v>
      </c>
      <c r="E891" s="32" t="s">
        <v>5845</v>
      </c>
      <c r="F891" s="10">
        <v>3</v>
      </c>
      <c r="G891" s="8" t="s">
        <v>5832</v>
      </c>
      <c r="H891" s="10">
        <v>3.4</v>
      </c>
      <c r="I891" s="10">
        <f t="shared" si="15"/>
        <v>10.199999999999999</v>
      </c>
      <c r="J891" s="10">
        <v>0.33900000000000002</v>
      </c>
      <c r="K891" s="8" t="s">
        <v>5833</v>
      </c>
      <c r="S891"/>
    </row>
    <row r="892" spans="1:19" ht="15" x14ac:dyDescent="0.25">
      <c r="A892" s="8" t="s">
        <v>5622</v>
      </c>
      <c r="B892" s="8" t="s">
        <v>4847</v>
      </c>
      <c r="C892" s="8" t="s">
        <v>5846</v>
      </c>
      <c r="D892" s="32" t="s">
        <v>6984</v>
      </c>
      <c r="E892" s="32" t="s">
        <v>5846</v>
      </c>
      <c r="F892" s="10">
        <v>8</v>
      </c>
      <c r="G892" s="8" t="s">
        <v>5832</v>
      </c>
      <c r="H892" s="10">
        <v>4.2874999999999996</v>
      </c>
      <c r="I892" s="10">
        <f t="shared" si="15"/>
        <v>34.299999999999997</v>
      </c>
      <c r="J892" s="10">
        <v>1.1384000000000001</v>
      </c>
      <c r="K892" s="8" t="s">
        <v>5833</v>
      </c>
      <c r="S892"/>
    </row>
    <row r="893" spans="1:19" ht="15" x14ac:dyDescent="0.25">
      <c r="A893" s="8" t="s">
        <v>5622</v>
      </c>
      <c r="B893" s="8" t="s">
        <v>4847</v>
      </c>
      <c r="C893" s="8" t="s">
        <v>5847</v>
      </c>
      <c r="D893" s="32" t="s">
        <v>6984</v>
      </c>
      <c r="E893" s="32" t="s">
        <v>5847</v>
      </c>
      <c r="F893" s="10">
        <v>8</v>
      </c>
      <c r="G893" s="8" t="s">
        <v>5832</v>
      </c>
      <c r="H893" s="10">
        <v>4.3250000000000002</v>
      </c>
      <c r="I893" s="10">
        <f t="shared" si="15"/>
        <v>34.6</v>
      </c>
      <c r="J893" s="10">
        <v>1.1476</v>
      </c>
      <c r="K893" s="8" t="s">
        <v>5833</v>
      </c>
      <c r="S893"/>
    </row>
    <row r="894" spans="1:19" ht="15" x14ac:dyDescent="0.25">
      <c r="A894" s="8" t="s">
        <v>5622</v>
      </c>
      <c r="B894" s="8" t="s">
        <v>4847</v>
      </c>
      <c r="C894" s="8" t="s">
        <v>5848</v>
      </c>
      <c r="D894" s="32" t="s">
        <v>6984</v>
      </c>
      <c r="E894" s="32" t="s">
        <v>5848</v>
      </c>
      <c r="F894" s="10">
        <v>12</v>
      </c>
      <c r="G894" s="8" t="s">
        <v>5832</v>
      </c>
      <c r="H894" s="10">
        <v>3.0833333333333335</v>
      </c>
      <c r="I894" s="10">
        <f t="shared" si="15"/>
        <v>37</v>
      </c>
      <c r="J894" s="10">
        <v>1.2270000000000001</v>
      </c>
      <c r="K894" s="8" t="s">
        <v>5833</v>
      </c>
      <c r="S894"/>
    </row>
    <row r="895" spans="1:19" ht="15" x14ac:dyDescent="0.25">
      <c r="A895" s="8" t="s">
        <v>5622</v>
      </c>
      <c r="B895" s="8" t="s">
        <v>4847</v>
      </c>
      <c r="C895" s="8" t="s">
        <v>5849</v>
      </c>
      <c r="D895" s="32" t="s">
        <v>6984</v>
      </c>
      <c r="E895" s="32" t="s">
        <v>5849</v>
      </c>
      <c r="F895" s="10">
        <v>24</v>
      </c>
      <c r="G895" s="8" t="s">
        <v>5832</v>
      </c>
      <c r="H895" s="10">
        <v>3.4208333333333329</v>
      </c>
      <c r="I895" s="10">
        <f t="shared" si="15"/>
        <v>82.1</v>
      </c>
      <c r="J895" s="10">
        <v>2.7240000000000002</v>
      </c>
      <c r="K895" s="8" t="s">
        <v>5833</v>
      </c>
      <c r="S895"/>
    </row>
    <row r="896" spans="1:19" ht="15" x14ac:dyDescent="0.25">
      <c r="A896" s="8" t="s">
        <v>5622</v>
      </c>
      <c r="B896" s="8" t="s">
        <v>4847</v>
      </c>
      <c r="C896" s="8" t="s">
        <v>5850</v>
      </c>
      <c r="D896" s="32" t="s">
        <v>6984</v>
      </c>
      <c r="E896" s="32" t="s">
        <v>5850</v>
      </c>
      <c r="F896" s="10">
        <v>36</v>
      </c>
      <c r="G896" s="8" t="s">
        <v>5832</v>
      </c>
      <c r="H896" s="10">
        <v>3.3083333333333331</v>
      </c>
      <c r="I896" s="10">
        <f t="shared" si="15"/>
        <v>119.1</v>
      </c>
      <c r="J896" s="10">
        <v>3.9510000000000001</v>
      </c>
      <c r="K896" s="8" t="s">
        <v>5833</v>
      </c>
      <c r="S896"/>
    </row>
    <row r="897" spans="1:19" ht="15" x14ac:dyDescent="0.25">
      <c r="A897" s="8" t="s">
        <v>5622</v>
      </c>
      <c r="B897" s="8" t="s">
        <v>4847</v>
      </c>
      <c r="C897" s="8" t="s">
        <v>5851</v>
      </c>
      <c r="D897" s="32" t="s">
        <v>6984</v>
      </c>
      <c r="E897" s="32" t="s">
        <v>5851</v>
      </c>
      <c r="F897" s="10">
        <v>12</v>
      </c>
      <c r="G897" s="8" t="s">
        <v>5832</v>
      </c>
      <c r="H897" s="10">
        <v>3.8000000000000003</v>
      </c>
      <c r="I897" s="10">
        <f t="shared" si="15"/>
        <v>45.6</v>
      </c>
      <c r="J897" s="10">
        <v>1.512</v>
      </c>
      <c r="K897" s="8" t="s">
        <v>5833</v>
      </c>
      <c r="S897"/>
    </row>
    <row r="898" spans="1:19" ht="15" x14ac:dyDescent="0.25">
      <c r="A898" s="8" t="s">
        <v>5622</v>
      </c>
      <c r="B898" s="8" t="s">
        <v>4847</v>
      </c>
      <c r="C898" s="8" t="s">
        <v>5852</v>
      </c>
      <c r="D898" s="32" t="s">
        <v>6984</v>
      </c>
      <c r="E898" s="32" t="s">
        <v>5852</v>
      </c>
      <c r="F898" s="10">
        <v>4</v>
      </c>
      <c r="G898" s="8" t="s">
        <v>5832</v>
      </c>
      <c r="H898" s="10">
        <v>4.5750000000000002</v>
      </c>
      <c r="I898" s="10">
        <f t="shared" si="15"/>
        <v>18.3</v>
      </c>
      <c r="J898" s="10">
        <v>0.60860000000000003</v>
      </c>
      <c r="K898" s="8" t="s">
        <v>5833</v>
      </c>
      <c r="S898"/>
    </row>
    <row r="899" spans="1:19" ht="15" x14ac:dyDescent="0.25">
      <c r="A899" s="8" t="s">
        <v>5622</v>
      </c>
      <c r="B899" s="8" t="s">
        <v>4847</v>
      </c>
      <c r="C899" s="8" t="s">
        <v>5853</v>
      </c>
      <c r="D899" s="32" t="s">
        <v>6984</v>
      </c>
      <c r="E899" s="32" t="s">
        <v>5853</v>
      </c>
      <c r="F899" s="10">
        <v>4</v>
      </c>
      <c r="G899" s="8" t="s">
        <v>5832</v>
      </c>
      <c r="H899" s="10">
        <v>4.55</v>
      </c>
      <c r="I899" s="10">
        <f t="shared" si="15"/>
        <v>18.2</v>
      </c>
      <c r="J899" s="10">
        <v>0.6038</v>
      </c>
      <c r="K899" s="8" t="s">
        <v>5833</v>
      </c>
      <c r="S899"/>
    </row>
    <row r="900" spans="1:19" ht="15" x14ac:dyDescent="0.25">
      <c r="A900" s="8" t="s">
        <v>5622</v>
      </c>
      <c r="B900" s="8" t="s">
        <v>4847</v>
      </c>
      <c r="C900" s="8" t="s">
        <v>5854</v>
      </c>
      <c r="D900" s="32" t="s">
        <v>6984</v>
      </c>
      <c r="E900" s="32" t="s">
        <v>5854</v>
      </c>
      <c r="F900" s="10">
        <v>6</v>
      </c>
      <c r="G900" s="8" t="s">
        <v>5832</v>
      </c>
      <c r="H900" s="10">
        <v>3.0833333333333335</v>
      </c>
      <c r="I900" s="10">
        <f t="shared" si="15"/>
        <v>18.5</v>
      </c>
      <c r="J900" s="10">
        <v>0.61439999999999995</v>
      </c>
      <c r="K900" s="8" t="s">
        <v>5833</v>
      </c>
      <c r="S900"/>
    </row>
    <row r="901" spans="1:19" ht="15" x14ac:dyDescent="0.25">
      <c r="A901" s="8" t="s">
        <v>5622</v>
      </c>
      <c r="B901" s="8" t="s">
        <v>4847</v>
      </c>
      <c r="C901" s="8" t="s">
        <v>5855</v>
      </c>
      <c r="D901" s="32" t="s">
        <v>6984</v>
      </c>
      <c r="E901" s="32" t="s">
        <v>5855</v>
      </c>
      <c r="F901" s="10">
        <v>8</v>
      </c>
      <c r="G901" s="8" t="s">
        <v>5832</v>
      </c>
      <c r="H901" s="10">
        <v>4.625</v>
      </c>
      <c r="I901" s="10">
        <f t="shared" ref="I901:I964" si="16">F901*H901</f>
        <v>37</v>
      </c>
      <c r="J901" s="10">
        <v>1.2267999999999999</v>
      </c>
      <c r="K901" s="8" t="s">
        <v>5833</v>
      </c>
      <c r="S901"/>
    </row>
    <row r="902" spans="1:19" ht="15" x14ac:dyDescent="0.25">
      <c r="A902" s="8" t="s">
        <v>5622</v>
      </c>
      <c r="B902" s="8" t="s">
        <v>4847</v>
      </c>
      <c r="C902" s="8" t="s">
        <v>5856</v>
      </c>
      <c r="D902" s="32" t="s">
        <v>6984</v>
      </c>
      <c r="E902" s="32" t="s">
        <v>5856</v>
      </c>
      <c r="F902" s="10">
        <v>12</v>
      </c>
      <c r="G902" s="8" t="s">
        <v>5832</v>
      </c>
      <c r="H902" s="10">
        <v>3.4250000000000003</v>
      </c>
      <c r="I902" s="10">
        <f t="shared" si="16"/>
        <v>41.1</v>
      </c>
      <c r="J902" s="10">
        <v>1.3637999999999999</v>
      </c>
      <c r="K902" s="8" t="s">
        <v>5833</v>
      </c>
      <c r="S902"/>
    </row>
    <row r="903" spans="1:19" ht="15" x14ac:dyDescent="0.25">
      <c r="A903" s="8" t="s">
        <v>5622</v>
      </c>
      <c r="B903" s="8" t="s">
        <v>4847</v>
      </c>
      <c r="C903" s="8" t="s">
        <v>5857</v>
      </c>
      <c r="D903" s="32" t="s">
        <v>6984</v>
      </c>
      <c r="E903" s="32" t="s">
        <v>5857</v>
      </c>
      <c r="F903" s="10">
        <v>18</v>
      </c>
      <c r="G903" s="8" t="s">
        <v>5832</v>
      </c>
      <c r="H903" s="10">
        <v>3.3111111111111113</v>
      </c>
      <c r="I903" s="10">
        <f t="shared" si="16"/>
        <v>59.6</v>
      </c>
      <c r="J903" s="10">
        <v>1.9782</v>
      </c>
      <c r="K903" s="8" t="s">
        <v>5833</v>
      </c>
      <c r="S903"/>
    </row>
    <row r="904" spans="1:19" ht="15" x14ac:dyDescent="0.25">
      <c r="A904" s="8" t="s">
        <v>5622</v>
      </c>
      <c r="B904" s="8" t="s">
        <v>4847</v>
      </c>
      <c r="C904" s="8" t="s">
        <v>5858</v>
      </c>
      <c r="D904" s="32" t="s">
        <v>6984</v>
      </c>
      <c r="E904" s="32" t="s">
        <v>5858</v>
      </c>
      <c r="F904" s="10">
        <v>6</v>
      </c>
      <c r="G904" s="8" t="s">
        <v>5832</v>
      </c>
      <c r="H904" s="10">
        <v>3.5500000000000003</v>
      </c>
      <c r="I904" s="10">
        <f t="shared" si="16"/>
        <v>21.3</v>
      </c>
      <c r="J904" s="10">
        <v>0.7056</v>
      </c>
      <c r="K904" s="8" t="s">
        <v>5833</v>
      </c>
      <c r="S904"/>
    </row>
    <row r="905" spans="1:19" ht="15" x14ac:dyDescent="0.25">
      <c r="A905" s="8" t="s">
        <v>5622</v>
      </c>
      <c r="B905" s="8" t="s">
        <v>4847</v>
      </c>
      <c r="C905" s="8" t="s">
        <v>5859</v>
      </c>
      <c r="D905" s="32" t="s">
        <v>6984</v>
      </c>
      <c r="E905" s="32" t="s">
        <v>5859</v>
      </c>
      <c r="F905" s="10">
        <v>6</v>
      </c>
      <c r="G905" s="8" t="s">
        <v>5832</v>
      </c>
      <c r="H905" s="10">
        <v>4.3166666666666664</v>
      </c>
      <c r="I905" s="10">
        <f t="shared" si="16"/>
        <v>25.9</v>
      </c>
      <c r="J905" s="10">
        <v>0.85950000000000004</v>
      </c>
      <c r="K905" s="8" t="s">
        <v>5833</v>
      </c>
      <c r="S905"/>
    </row>
    <row r="906" spans="1:19" ht="15" x14ac:dyDescent="0.25">
      <c r="A906" s="8" t="s">
        <v>5622</v>
      </c>
      <c r="B906" s="8" t="s">
        <v>4847</v>
      </c>
      <c r="C906" s="8" t="s">
        <v>5860</v>
      </c>
      <c r="D906" s="32" t="s">
        <v>6984</v>
      </c>
      <c r="E906" s="32" t="s">
        <v>5860</v>
      </c>
      <c r="F906" s="10">
        <v>4</v>
      </c>
      <c r="G906" s="8" t="s">
        <v>5832</v>
      </c>
      <c r="H906" s="10">
        <v>4.5999999999999996</v>
      </c>
      <c r="I906" s="10">
        <f t="shared" si="16"/>
        <v>18.399999999999999</v>
      </c>
      <c r="J906" s="10">
        <v>0.61180000000000001</v>
      </c>
      <c r="K906" s="8" t="s">
        <v>5833</v>
      </c>
      <c r="S906"/>
    </row>
    <row r="907" spans="1:19" ht="15" x14ac:dyDescent="0.25">
      <c r="A907" s="8" t="s">
        <v>5622</v>
      </c>
      <c r="B907" s="8" t="s">
        <v>4847</v>
      </c>
      <c r="C907" s="8" t="s">
        <v>5861</v>
      </c>
      <c r="D907" s="32" t="s">
        <v>6984</v>
      </c>
      <c r="E907" s="32" t="s">
        <v>5861</v>
      </c>
      <c r="F907" s="10">
        <v>4</v>
      </c>
      <c r="G907" s="8" t="s">
        <v>5832</v>
      </c>
      <c r="H907" s="10">
        <v>4.5750000000000002</v>
      </c>
      <c r="I907" s="10">
        <f t="shared" si="16"/>
        <v>18.3</v>
      </c>
      <c r="J907" s="10">
        <v>0.60680000000000001</v>
      </c>
      <c r="K907" s="8" t="s">
        <v>5833</v>
      </c>
      <c r="S907"/>
    </row>
    <row r="908" spans="1:19" ht="15" x14ac:dyDescent="0.25">
      <c r="A908" s="8" t="s">
        <v>5622</v>
      </c>
      <c r="B908" s="8" t="s">
        <v>4847</v>
      </c>
      <c r="C908" s="8" t="s">
        <v>5862</v>
      </c>
      <c r="D908" s="32" t="s">
        <v>6984</v>
      </c>
      <c r="E908" s="32" t="s">
        <v>5862</v>
      </c>
      <c r="F908" s="10">
        <v>16</v>
      </c>
      <c r="G908" s="8" t="s">
        <v>5832</v>
      </c>
      <c r="H908" s="10">
        <v>4.0875000000000004</v>
      </c>
      <c r="I908" s="10">
        <f t="shared" si="16"/>
        <v>65.400000000000006</v>
      </c>
      <c r="J908" s="10">
        <v>2.1703999999999999</v>
      </c>
      <c r="K908" s="8" t="s">
        <v>5833</v>
      </c>
      <c r="S908"/>
    </row>
    <row r="909" spans="1:19" ht="15" x14ac:dyDescent="0.25">
      <c r="A909" s="8" t="s">
        <v>5622</v>
      </c>
      <c r="B909" s="8" t="s">
        <v>4847</v>
      </c>
      <c r="C909" s="8" t="s">
        <v>5863</v>
      </c>
      <c r="D909" s="32" t="s">
        <v>6984</v>
      </c>
      <c r="E909" s="32" t="s">
        <v>5863</v>
      </c>
      <c r="F909" s="10">
        <v>4</v>
      </c>
      <c r="G909" s="8" t="s">
        <v>5832</v>
      </c>
      <c r="H909" s="10">
        <v>4.3</v>
      </c>
      <c r="I909" s="10">
        <f t="shared" si="16"/>
        <v>17.2</v>
      </c>
      <c r="J909" s="10">
        <v>0.57199999999999995</v>
      </c>
      <c r="K909" s="8" t="s">
        <v>5833</v>
      </c>
      <c r="S909"/>
    </row>
    <row r="910" spans="1:19" ht="15" x14ac:dyDescent="0.25">
      <c r="A910" s="8" t="s">
        <v>5622</v>
      </c>
      <c r="B910" s="8" t="s">
        <v>4847</v>
      </c>
      <c r="C910" s="8" t="s">
        <v>5864</v>
      </c>
      <c r="D910" s="32" t="s">
        <v>6984</v>
      </c>
      <c r="E910" s="32" t="s">
        <v>5864</v>
      </c>
      <c r="F910" s="10">
        <v>12</v>
      </c>
      <c r="G910" s="8" t="s">
        <v>5832</v>
      </c>
      <c r="H910" s="10">
        <v>4.3166666666666664</v>
      </c>
      <c r="I910" s="10">
        <f t="shared" si="16"/>
        <v>51.8</v>
      </c>
      <c r="J910" s="10">
        <v>1.7183999999999999</v>
      </c>
      <c r="K910" s="8" t="s">
        <v>5833</v>
      </c>
      <c r="S910"/>
    </row>
    <row r="911" spans="1:19" ht="15" x14ac:dyDescent="0.25">
      <c r="A911" s="8" t="s">
        <v>5622</v>
      </c>
      <c r="B911" s="8" t="s">
        <v>4847</v>
      </c>
      <c r="C911" s="8" t="s">
        <v>5865</v>
      </c>
      <c r="D911" s="32" t="s">
        <v>6984</v>
      </c>
      <c r="E911" s="32" t="s">
        <v>5865</v>
      </c>
      <c r="F911" s="10">
        <v>2</v>
      </c>
      <c r="G911" s="8" t="s">
        <v>5086</v>
      </c>
      <c r="H911" s="10">
        <v>13.95</v>
      </c>
      <c r="I911" s="10">
        <f t="shared" si="16"/>
        <v>27.9</v>
      </c>
      <c r="J911" s="10">
        <v>0</v>
      </c>
      <c r="K911" s="8" t="s">
        <v>5087</v>
      </c>
      <c r="S911"/>
    </row>
    <row r="912" spans="1:19" ht="15" x14ac:dyDescent="0.25">
      <c r="A912" s="8" t="s">
        <v>5622</v>
      </c>
      <c r="B912" s="8" t="s">
        <v>4847</v>
      </c>
      <c r="C912" s="8" t="s">
        <v>5866</v>
      </c>
      <c r="D912" s="32" t="s">
        <v>6984</v>
      </c>
      <c r="E912" s="32" t="s">
        <v>5866</v>
      </c>
      <c r="F912" s="10">
        <v>2</v>
      </c>
      <c r="G912" s="8" t="s">
        <v>5086</v>
      </c>
      <c r="H912" s="10">
        <v>12.25</v>
      </c>
      <c r="I912" s="10">
        <f t="shared" si="16"/>
        <v>24.5</v>
      </c>
      <c r="J912" s="10">
        <v>0</v>
      </c>
      <c r="K912" s="8" t="s">
        <v>5087</v>
      </c>
      <c r="S912"/>
    </row>
    <row r="913" spans="1:19" ht="15" x14ac:dyDescent="0.25">
      <c r="A913" s="8" t="s">
        <v>5622</v>
      </c>
      <c r="B913" s="8" t="s">
        <v>4847</v>
      </c>
      <c r="C913" s="8" t="s">
        <v>5867</v>
      </c>
      <c r="D913" s="32" t="s">
        <v>6984</v>
      </c>
      <c r="E913" s="32" t="s">
        <v>5867</v>
      </c>
      <c r="F913" s="10">
        <v>2</v>
      </c>
      <c r="G913" s="8" t="s">
        <v>5086</v>
      </c>
      <c r="H913" s="10">
        <v>12.35</v>
      </c>
      <c r="I913" s="10">
        <f t="shared" si="16"/>
        <v>24.7</v>
      </c>
      <c r="J913" s="10">
        <v>0</v>
      </c>
      <c r="K913" s="8" t="s">
        <v>5087</v>
      </c>
      <c r="S913"/>
    </row>
    <row r="914" spans="1:19" ht="15" x14ac:dyDescent="0.25">
      <c r="A914" s="8" t="s">
        <v>5622</v>
      </c>
      <c r="B914" s="8" t="s">
        <v>4847</v>
      </c>
      <c r="C914" s="8" t="s">
        <v>5868</v>
      </c>
      <c r="D914" s="32" t="s">
        <v>6984</v>
      </c>
      <c r="E914" s="32" t="s">
        <v>5868</v>
      </c>
      <c r="F914" s="10">
        <v>1</v>
      </c>
      <c r="G914" s="8" t="s">
        <v>5086</v>
      </c>
      <c r="H914" s="10">
        <v>9.6</v>
      </c>
      <c r="I914" s="10">
        <f t="shared" si="16"/>
        <v>9.6</v>
      </c>
      <c r="J914" s="10">
        <v>0</v>
      </c>
      <c r="K914" s="8" t="s">
        <v>5087</v>
      </c>
      <c r="S914"/>
    </row>
    <row r="915" spans="1:19" ht="15" x14ac:dyDescent="0.25">
      <c r="A915" s="8" t="s">
        <v>5622</v>
      </c>
      <c r="B915" s="8" t="s">
        <v>4847</v>
      </c>
      <c r="C915" s="8" t="s">
        <v>5869</v>
      </c>
      <c r="D915" s="32" t="s">
        <v>6984</v>
      </c>
      <c r="E915" s="32" t="s">
        <v>5869</v>
      </c>
      <c r="F915" s="10">
        <v>2</v>
      </c>
      <c r="G915" s="8" t="s">
        <v>5086</v>
      </c>
      <c r="H915" s="10">
        <v>39.450000000000003</v>
      </c>
      <c r="I915" s="10">
        <f t="shared" si="16"/>
        <v>78.900000000000006</v>
      </c>
      <c r="J915" s="10">
        <v>0</v>
      </c>
      <c r="K915" s="8" t="s">
        <v>5087</v>
      </c>
      <c r="S915"/>
    </row>
    <row r="916" spans="1:19" ht="15" x14ac:dyDescent="0.25">
      <c r="A916" s="8" t="s">
        <v>5622</v>
      </c>
      <c r="B916" s="8" t="s">
        <v>4847</v>
      </c>
      <c r="C916" s="8" t="s">
        <v>5870</v>
      </c>
      <c r="D916" s="32" t="s">
        <v>6984</v>
      </c>
      <c r="E916" s="32" t="s">
        <v>5870</v>
      </c>
      <c r="F916" s="10">
        <v>2</v>
      </c>
      <c r="G916" s="8" t="s">
        <v>5086</v>
      </c>
      <c r="H916" s="10">
        <v>39.75</v>
      </c>
      <c r="I916" s="10">
        <f t="shared" si="16"/>
        <v>79.5</v>
      </c>
      <c r="J916" s="10">
        <v>0</v>
      </c>
      <c r="K916" s="8" t="s">
        <v>5087</v>
      </c>
      <c r="S916"/>
    </row>
    <row r="917" spans="1:19" ht="15" x14ac:dyDescent="0.25">
      <c r="A917" s="8" t="s">
        <v>5622</v>
      </c>
      <c r="B917" s="8" t="s">
        <v>4847</v>
      </c>
      <c r="C917" s="8" t="s">
        <v>5871</v>
      </c>
      <c r="D917" s="32" t="s">
        <v>6984</v>
      </c>
      <c r="E917" s="32" t="s">
        <v>5871</v>
      </c>
      <c r="F917" s="10">
        <v>1</v>
      </c>
      <c r="G917" s="8" t="s">
        <v>5086</v>
      </c>
      <c r="H917" s="10">
        <v>41.9</v>
      </c>
      <c r="I917" s="10">
        <f t="shared" si="16"/>
        <v>41.9</v>
      </c>
      <c r="J917" s="10">
        <v>0</v>
      </c>
      <c r="K917" s="8" t="s">
        <v>5087</v>
      </c>
      <c r="S917"/>
    </row>
    <row r="918" spans="1:19" ht="15" x14ac:dyDescent="0.25">
      <c r="A918" s="8" t="s">
        <v>5622</v>
      </c>
      <c r="B918" s="8" t="s">
        <v>4847</v>
      </c>
      <c r="C918" s="8" t="s">
        <v>5872</v>
      </c>
      <c r="D918" s="32" t="s">
        <v>6984</v>
      </c>
      <c r="E918" s="32" t="s">
        <v>5872</v>
      </c>
      <c r="F918" s="10">
        <v>1</v>
      </c>
      <c r="G918" s="8" t="s">
        <v>5086</v>
      </c>
      <c r="H918" s="10">
        <v>39.4</v>
      </c>
      <c r="I918" s="10">
        <f t="shared" si="16"/>
        <v>39.4</v>
      </c>
      <c r="J918" s="10">
        <v>0</v>
      </c>
      <c r="K918" s="8" t="s">
        <v>5087</v>
      </c>
      <c r="S918"/>
    </row>
    <row r="919" spans="1:19" ht="15" x14ac:dyDescent="0.25">
      <c r="A919" s="8" t="s">
        <v>5622</v>
      </c>
      <c r="B919" s="8" t="s">
        <v>4847</v>
      </c>
      <c r="C919" s="8" t="s">
        <v>5873</v>
      </c>
      <c r="D919" s="32" t="s">
        <v>6984</v>
      </c>
      <c r="E919" s="32" t="s">
        <v>5873</v>
      </c>
      <c r="F919" s="10">
        <v>1</v>
      </c>
      <c r="G919" s="8" t="s">
        <v>5086</v>
      </c>
      <c r="H919" s="10">
        <v>40.5</v>
      </c>
      <c r="I919" s="10">
        <f t="shared" si="16"/>
        <v>40.5</v>
      </c>
      <c r="J919" s="10">
        <v>0</v>
      </c>
      <c r="K919" s="8" t="s">
        <v>5087</v>
      </c>
      <c r="S919"/>
    </row>
    <row r="920" spans="1:19" ht="15" x14ac:dyDescent="0.25">
      <c r="A920" s="8" t="s">
        <v>5622</v>
      </c>
      <c r="B920" s="8" t="s">
        <v>4847</v>
      </c>
      <c r="C920" s="8" t="s">
        <v>5874</v>
      </c>
      <c r="D920" s="32" t="s">
        <v>6984</v>
      </c>
      <c r="E920" s="32" t="s">
        <v>5874</v>
      </c>
      <c r="F920" s="10">
        <v>5</v>
      </c>
      <c r="G920" s="8" t="s">
        <v>5086</v>
      </c>
      <c r="H920" s="10">
        <v>8.6</v>
      </c>
      <c r="I920" s="10">
        <f t="shared" si="16"/>
        <v>43</v>
      </c>
      <c r="J920" s="10">
        <v>0</v>
      </c>
      <c r="K920" s="8" t="s">
        <v>5087</v>
      </c>
      <c r="S920"/>
    </row>
    <row r="921" spans="1:19" ht="15" x14ac:dyDescent="0.25">
      <c r="A921" s="8" t="s">
        <v>5622</v>
      </c>
      <c r="B921" s="8" t="s">
        <v>4847</v>
      </c>
      <c r="C921" s="8" t="s">
        <v>5875</v>
      </c>
      <c r="D921" s="32" t="s">
        <v>6984</v>
      </c>
      <c r="E921" s="32" t="s">
        <v>5875</v>
      </c>
      <c r="F921" s="10">
        <v>7</v>
      </c>
      <c r="G921" s="8" t="s">
        <v>5086</v>
      </c>
      <c r="H921" s="10">
        <v>7.5428571428571427</v>
      </c>
      <c r="I921" s="10">
        <f t="shared" si="16"/>
        <v>52.8</v>
      </c>
      <c r="J921" s="10">
        <v>0</v>
      </c>
      <c r="K921" s="8" t="s">
        <v>5087</v>
      </c>
      <c r="S921"/>
    </row>
    <row r="922" spans="1:19" ht="15" x14ac:dyDescent="0.25">
      <c r="A922" s="8" t="s">
        <v>5622</v>
      </c>
      <c r="B922" s="8" t="s">
        <v>4847</v>
      </c>
      <c r="C922" s="8" t="s">
        <v>5876</v>
      </c>
      <c r="D922" s="32" t="s">
        <v>6984</v>
      </c>
      <c r="E922" s="32" t="s">
        <v>5876</v>
      </c>
      <c r="F922" s="10">
        <v>6</v>
      </c>
      <c r="G922" s="8" t="s">
        <v>5086</v>
      </c>
      <c r="H922" s="10">
        <v>7.6166666666666671</v>
      </c>
      <c r="I922" s="10">
        <f t="shared" si="16"/>
        <v>45.7</v>
      </c>
      <c r="J922" s="10">
        <v>0</v>
      </c>
      <c r="K922" s="8" t="s">
        <v>5087</v>
      </c>
      <c r="S922"/>
    </row>
    <row r="923" spans="1:19" ht="15" x14ac:dyDescent="0.25">
      <c r="A923" s="8" t="s">
        <v>5622</v>
      </c>
      <c r="B923" s="8" t="s">
        <v>4847</v>
      </c>
      <c r="C923" s="8" t="s">
        <v>5877</v>
      </c>
      <c r="D923" s="32" t="s">
        <v>6984</v>
      </c>
      <c r="E923" s="32" t="s">
        <v>5877</v>
      </c>
      <c r="F923" s="10">
        <v>13</v>
      </c>
      <c r="G923" s="8" t="s">
        <v>5086</v>
      </c>
      <c r="H923" s="10">
        <v>8.6769230769230763</v>
      </c>
      <c r="I923" s="10">
        <f t="shared" si="16"/>
        <v>112.8</v>
      </c>
      <c r="J923" s="10">
        <v>0</v>
      </c>
      <c r="K923" s="8" t="s">
        <v>5087</v>
      </c>
      <c r="S923"/>
    </row>
    <row r="924" spans="1:19" ht="15" x14ac:dyDescent="0.25">
      <c r="A924" s="8" t="s">
        <v>5622</v>
      </c>
      <c r="B924" s="8" t="s">
        <v>4847</v>
      </c>
      <c r="C924" s="8" t="s">
        <v>5878</v>
      </c>
      <c r="D924" s="32" t="s">
        <v>6984</v>
      </c>
      <c r="E924" s="32" t="s">
        <v>5878</v>
      </c>
      <c r="F924" s="10">
        <v>15</v>
      </c>
      <c r="G924" s="8" t="s">
        <v>5086</v>
      </c>
      <c r="H924" s="10">
        <v>7.62</v>
      </c>
      <c r="I924" s="10">
        <f t="shared" si="16"/>
        <v>114.3</v>
      </c>
      <c r="J924" s="10">
        <v>0</v>
      </c>
      <c r="K924" s="8" t="s">
        <v>5087</v>
      </c>
      <c r="S924"/>
    </row>
    <row r="925" spans="1:19" ht="15" x14ac:dyDescent="0.25">
      <c r="A925" s="8" t="s">
        <v>5622</v>
      </c>
      <c r="B925" s="8" t="s">
        <v>4847</v>
      </c>
      <c r="C925" s="8" t="s">
        <v>5879</v>
      </c>
      <c r="D925" s="32" t="s">
        <v>6984</v>
      </c>
      <c r="E925" s="32" t="s">
        <v>5879</v>
      </c>
      <c r="F925" s="10">
        <v>16</v>
      </c>
      <c r="G925" s="8" t="s">
        <v>5086</v>
      </c>
      <c r="H925" s="10">
        <v>7.6875</v>
      </c>
      <c r="I925" s="10">
        <f t="shared" si="16"/>
        <v>123</v>
      </c>
      <c r="J925" s="10">
        <v>0</v>
      </c>
      <c r="K925" s="8" t="s">
        <v>5087</v>
      </c>
      <c r="S925"/>
    </row>
    <row r="926" spans="1:19" ht="15" x14ac:dyDescent="0.25">
      <c r="A926" s="8" t="s">
        <v>5622</v>
      </c>
      <c r="B926" s="8" t="s">
        <v>4847</v>
      </c>
      <c r="C926" s="8" t="s">
        <v>5880</v>
      </c>
      <c r="D926" s="32" t="s">
        <v>6984</v>
      </c>
      <c r="E926" s="32" t="s">
        <v>5880</v>
      </c>
      <c r="F926" s="10">
        <v>1</v>
      </c>
      <c r="G926" s="8" t="s">
        <v>5086</v>
      </c>
      <c r="H926" s="10">
        <v>8.6999999999999993</v>
      </c>
      <c r="I926" s="10">
        <f t="shared" si="16"/>
        <v>8.6999999999999993</v>
      </c>
      <c r="J926" s="10">
        <v>0</v>
      </c>
      <c r="K926" s="8" t="s">
        <v>5087</v>
      </c>
      <c r="S926"/>
    </row>
    <row r="927" spans="1:19" ht="15" x14ac:dyDescent="0.25">
      <c r="A927" s="8" t="s">
        <v>5622</v>
      </c>
      <c r="B927" s="8" t="s">
        <v>4847</v>
      </c>
      <c r="C927" s="8" t="s">
        <v>5881</v>
      </c>
      <c r="D927" s="32" t="s">
        <v>6984</v>
      </c>
      <c r="E927" s="32" t="s">
        <v>5881</v>
      </c>
      <c r="F927" s="10">
        <v>1</v>
      </c>
      <c r="G927" s="8" t="s">
        <v>5086</v>
      </c>
      <c r="H927" s="10">
        <v>8.6999999999999993</v>
      </c>
      <c r="I927" s="10">
        <f t="shared" si="16"/>
        <v>8.6999999999999993</v>
      </c>
      <c r="J927" s="10">
        <v>0</v>
      </c>
      <c r="K927" s="8" t="s">
        <v>5087</v>
      </c>
      <c r="S927"/>
    </row>
    <row r="928" spans="1:19" ht="15" x14ac:dyDescent="0.25">
      <c r="A928" s="8" t="s">
        <v>5622</v>
      </c>
      <c r="B928" s="8" t="s">
        <v>4847</v>
      </c>
      <c r="C928" s="8" t="s">
        <v>5882</v>
      </c>
      <c r="D928" s="32" t="s">
        <v>6984</v>
      </c>
      <c r="E928" s="32" t="s">
        <v>5882</v>
      </c>
      <c r="F928" s="10">
        <v>1</v>
      </c>
      <c r="G928" s="8" t="s">
        <v>5086</v>
      </c>
      <c r="H928" s="10">
        <v>32.700000000000003</v>
      </c>
      <c r="I928" s="10">
        <f t="shared" si="16"/>
        <v>32.700000000000003</v>
      </c>
      <c r="J928" s="10">
        <v>0</v>
      </c>
      <c r="K928" s="8" t="s">
        <v>5087</v>
      </c>
      <c r="S928"/>
    </row>
    <row r="929" spans="1:19" ht="15" x14ac:dyDescent="0.25">
      <c r="A929" s="8" t="s">
        <v>5622</v>
      </c>
      <c r="B929" s="8" t="s">
        <v>4847</v>
      </c>
      <c r="C929" s="8" t="s">
        <v>5883</v>
      </c>
      <c r="D929" s="32" t="s">
        <v>6984</v>
      </c>
      <c r="E929" s="32" t="s">
        <v>5883</v>
      </c>
      <c r="F929" s="10">
        <v>2</v>
      </c>
      <c r="G929" s="8" t="s">
        <v>5086</v>
      </c>
      <c r="H929" s="10">
        <v>32.65</v>
      </c>
      <c r="I929" s="10">
        <f t="shared" si="16"/>
        <v>65.3</v>
      </c>
      <c r="J929" s="10">
        <v>0</v>
      </c>
      <c r="K929" s="8" t="s">
        <v>5087</v>
      </c>
      <c r="S929"/>
    </row>
    <row r="930" spans="1:19" ht="15" x14ac:dyDescent="0.25">
      <c r="A930" s="8" t="s">
        <v>5622</v>
      </c>
      <c r="B930" s="8" t="s">
        <v>4847</v>
      </c>
      <c r="C930" s="8" t="s">
        <v>5884</v>
      </c>
      <c r="D930" s="32" t="s">
        <v>6984</v>
      </c>
      <c r="E930" s="32" t="s">
        <v>5884</v>
      </c>
      <c r="F930" s="10">
        <v>2</v>
      </c>
      <c r="G930" s="8" t="s">
        <v>5086</v>
      </c>
      <c r="H930" s="10">
        <v>7.6</v>
      </c>
      <c r="I930" s="10">
        <f t="shared" si="16"/>
        <v>15.2</v>
      </c>
      <c r="J930" s="10">
        <v>0</v>
      </c>
      <c r="K930" s="8" t="s">
        <v>5087</v>
      </c>
      <c r="S930"/>
    </row>
    <row r="931" spans="1:19" ht="15" x14ac:dyDescent="0.25">
      <c r="A931" s="8" t="s">
        <v>5622</v>
      </c>
      <c r="B931" s="8" t="s">
        <v>4847</v>
      </c>
      <c r="C931" s="8" t="s">
        <v>5885</v>
      </c>
      <c r="D931" s="32" t="s">
        <v>6984</v>
      </c>
      <c r="E931" s="32" t="s">
        <v>5885</v>
      </c>
      <c r="F931" s="10">
        <v>1</v>
      </c>
      <c r="G931" s="8" t="s">
        <v>5086</v>
      </c>
      <c r="H931" s="10">
        <v>32.700000000000003</v>
      </c>
      <c r="I931" s="10">
        <f t="shared" si="16"/>
        <v>32.700000000000003</v>
      </c>
      <c r="J931" s="10">
        <v>0</v>
      </c>
      <c r="K931" s="8" t="s">
        <v>5087</v>
      </c>
      <c r="S931"/>
    </row>
    <row r="932" spans="1:19" ht="15" x14ac:dyDescent="0.25">
      <c r="A932" s="8" t="s">
        <v>5622</v>
      </c>
      <c r="B932" s="8" t="s">
        <v>4847</v>
      </c>
      <c r="C932" s="8" t="s">
        <v>5886</v>
      </c>
      <c r="D932" s="32" t="s">
        <v>6984</v>
      </c>
      <c r="E932" s="32" t="s">
        <v>5886</v>
      </c>
      <c r="F932" s="10">
        <v>21</v>
      </c>
      <c r="G932" s="8" t="s">
        <v>5569</v>
      </c>
      <c r="H932" s="10">
        <v>13.100000000000001</v>
      </c>
      <c r="I932" s="10">
        <f t="shared" si="16"/>
        <v>275.10000000000002</v>
      </c>
      <c r="J932" s="10">
        <v>0</v>
      </c>
      <c r="K932" s="8" t="s">
        <v>5570</v>
      </c>
      <c r="S932"/>
    </row>
    <row r="933" spans="1:19" ht="15" x14ac:dyDescent="0.25">
      <c r="A933" s="8" t="s">
        <v>4932</v>
      </c>
      <c r="B933" s="8" t="s">
        <v>14</v>
      </c>
      <c r="C933" s="8" t="s">
        <v>5887</v>
      </c>
      <c r="D933" s="32" t="s">
        <v>6984</v>
      </c>
      <c r="E933" s="32" t="s">
        <v>5887</v>
      </c>
      <c r="F933" s="10">
        <v>1</v>
      </c>
      <c r="G933" s="8" t="s">
        <v>5086</v>
      </c>
      <c r="H933" s="10">
        <v>33.6</v>
      </c>
      <c r="I933" s="10">
        <f t="shared" si="16"/>
        <v>33.6</v>
      </c>
      <c r="J933" s="10">
        <v>0</v>
      </c>
      <c r="K933" s="8" t="s">
        <v>5087</v>
      </c>
      <c r="S933"/>
    </row>
    <row r="934" spans="1:19" ht="15" x14ac:dyDescent="0.25">
      <c r="A934" s="8" t="s">
        <v>4932</v>
      </c>
      <c r="B934" s="8" t="s">
        <v>14</v>
      </c>
      <c r="C934" s="8" t="s">
        <v>5888</v>
      </c>
      <c r="D934" s="32" t="s">
        <v>6984</v>
      </c>
      <c r="E934" s="32" t="s">
        <v>5888</v>
      </c>
      <c r="F934" s="10">
        <v>3</v>
      </c>
      <c r="G934" s="8" t="s">
        <v>5086</v>
      </c>
      <c r="H934" s="10">
        <v>32.133333333333333</v>
      </c>
      <c r="I934" s="10">
        <f t="shared" si="16"/>
        <v>96.4</v>
      </c>
      <c r="J934" s="10">
        <v>0</v>
      </c>
      <c r="K934" s="8" t="s">
        <v>5087</v>
      </c>
      <c r="S934"/>
    </row>
    <row r="935" spans="1:19" ht="15" x14ac:dyDescent="0.25">
      <c r="A935" s="8" t="s">
        <v>4932</v>
      </c>
      <c r="B935" s="8" t="s">
        <v>14</v>
      </c>
      <c r="C935" s="8" t="s">
        <v>5889</v>
      </c>
      <c r="D935" s="32" t="s">
        <v>6984</v>
      </c>
      <c r="E935" s="32" t="s">
        <v>5889</v>
      </c>
      <c r="F935" s="10">
        <v>1</v>
      </c>
      <c r="G935" s="8" t="s">
        <v>5086</v>
      </c>
      <c r="H935" s="10">
        <v>32.1</v>
      </c>
      <c r="I935" s="10">
        <f t="shared" si="16"/>
        <v>32.1</v>
      </c>
      <c r="J935" s="10">
        <v>0</v>
      </c>
      <c r="K935" s="8" t="s">
        <v>5087</v>
      </c>
      <c r="S935"/>
    </row>
    <row r="936" spans="1:19" ht="15" x14ac:dyDescent="0.25">
      <c r="A936" s="8" t="s">
        <v>4932</v>
      </c>
      <c r="B936" s="8" t="s">
        <v>14</v>
      </c>
      <c r="C936" s="8" t="s">
        <v>5890</v>
      </c>
      <c r="D936" s="32" t="s">
        <v>6984</v>
      </c>
      <c r="E936" s="32" t="s">
        <v>5890</v>
      </c>
      <c r="F936" s="10">
        <v>1</v>
      </c>
      <c r="G936" s="8" t="s">
        <v>5086</v>
      </c>
      <c r="H936" s="10">
        <v>34.1</v>
      </c>
      <c r="I936" s="10">
        <f t="shared" si="16"/>
        <v>34.1</v>
      </c>
      <c r="J936" s="10">
        <v>0</v>
      </c>
      <c r="K936" s="8" t="s">
        <v>5087</v>
      </c>
      <c r="S936"/>
    </row>
    <row r="937" spans="1:19" ht="15" x14ac:dyDescent="0.25">
      <c r="A937" s="8" t="s">
        <v>4932</v>
      </c>
      <c r="B937" s="8" t="s">
        <v>14</v>
      </c>
      <c r="C937" s="8" t="s">
        <v>5891</v>
      </c>
      <c r="D937" s="32" t="s">
        <v>6984</v>
      </c>
      <c r="E937" s="32" t="s">
        <v>5891</v>
      </c>
      <c r="F937" s="10">
        <v>1</v>
      </c>
      <c r="G937" s="8" t="s">
        <v>5086</v>
      </c>
      <c r="H937" s="10">
        <v>38.6</v>
      </c>
      <c r="I937" s="10">
        <f t="shared" si="16"/>
        <v>38.6</v>
      </c>
      <c r="J937" s="10">
        <v>0</v>
      </c>
      <c r="K937" s="8" t="s">
        <v>5087</v>
      </c>
      <c r="S937"/>
    </row>
    <row r="938" spans="1:19" ht="15" x14ac:dyDescent="0.25">
      <c r="A938" s="8" t="s">
        <v>4932</v>
      </c>
      <c r="B938" s="8" t="s">
        <v>14</v>
      </c>
      <c r="C938" s="8" t="s">
        <v>5892</v>
      </c>
      <c r="D938" s="32" t="s">
        <v>6984</v>
      </c>
      <c r="E938" s="32" t="s">
        <v>5892</v>
      </c>
      <c r="F938" s="10">
        <v>1</v>
      </c>
      <c r="G938" s="8" t="s">
        <v>5086</v>
      </c>
      <c r="H938" s="10">
        <v>28</v>
      </c>
      <c r="I938" s="10">
        <f t="shared" si="16"/>
        <v>28</v>
      </c>
      <c r="J938" s="10">
        <v>0</v>
      </c>
      <c r="K938" s="8" t="s">
        <v>5087</v>
      </c>
      <c r="S938"/>
    </row>
    <row r="939" spans="1:19" ht="15" x14ac:dyDescent="0.25">
      <c r="A939" s="8" t="s">
        <v>4932</v>
      </c>
      <c r="B939" s="8" t="s">
        <v>14</v>
      </c>
      <c r="C939" s="8" t="s">
        <v>5893</v>
      </c>
      <c r="D939" s="32" t="s">
        <v>6984</v>
      </c>
      <c r="E939" s="32" t="s">
        <v>5893</v>
      </c>
      <c r="F939" s="10">
        <v>25</v>
      </c>
      <c r="G939" s="8" t="s">
        <v>5569</v>
      </c>
      <c r="H939" s="10">
        <v>13.1</v>
      </c>
      <c r="I939" s="10">
        <f t="shared" si="16"/>
        <v>327.5</v>
      </c>
      <c r="J939" s="10">
        <v>0</v>
      </c>
      <c r="K939" s="8" t="s">
        <v>5570</v>
      </c>
      <c r="S939"/>
    </row>
    <row r="940" spans="1:19" ht="15" x14ac:dyDescent="0.25">
      <c r="A940" s="8" t="s">
        <v>5073</v>
      </c>
      <c r="B940" s="8" t="s">
        <v>5070</v>
      </c>
      <c r="C940" s="8" t="s">
        <v>5894</v>
      </c>
      <c r="D940" s="32" t="s">
        <v>5895</v>
      </c>
      <c r="E940" s="32" t="s">
        <v>5894</v>
      </c>
      <c r="F940" s="10">
        <v>1</v>
      </c>
      <c r="G940" s="8" t="s">
        <v>5896</v>
      </c>
      <c r="J940" s="10">
        <v>0</v>
      </c>
      <c r="K940" s="8" t="s">
        <v>5896</v>
      </c>
      <c r="L940" s="8" t="s">
        <v>32</v>
      </c>
      <c r="S940"/>
    </row>
    <row r="941" spans="1:19" ht="15" x14ac:dyDescent="0.25">
      <c r="A941" s="8" t="s">
        <v>5073</v>
      </c>
      <c r="B941" s="8" t="s">
        <v>5070</v>
      </c>
      <c r="C941" s="8" t="s">
        <v>5897</v>
      </c>
      <c r="D941" s="32" t="s">
        <v>5895</v>
      </c>
      <c r="E941" s="32" t="s">
        <v>5897</v>
      </c>
      <c r="F941" s="10">
        <v>1</v>
      </c>
      <c r="G941" s="8" t="s">
        <v>5898</v>
      </c>
      <c r="J941" s="10">
        <v>0</v>
      </c>
      <c r="K941" s="8" t="s">
        <v>5898</v>
      </c>
      <c r="L941" s="8" t="s">
        <v>32</v>
      </c>
      <c r="S941"/>
    </row>
    <row r="942" spans="1:19" ht="15" x14ac:dyDescent="0.25">
      <c r="A942" s="8" t="s">
        <v>5073</v>
      </c>
      <c r="B942" s="8" t="s">
        <v>5070</v>
      </c>
      <c r="C942" s="8" t="s">
        <v>5899</v>
      </c>
      <c r="D942" s="32" t="s">
        <v>5146</v>
      </c>
      <c r="E942" s="32" t="s">
        <v>5899</v>
      </c>
      <c r="F942" s="10">
        <v>6</v>
      </c>
      <c r="G942" s="8" t="s">
        <v>5900</v>
      </c>
      <c r="J942" s="10">
        <v>0</v>
      </c>
      <c r="K942" s="8" t="s">
        <v>5900</v>
      </c>
      <c r="L942" s="8" t="s">
        <v>32</v>
      </c>
      <c r="S942"/>
    </row>
    <row r="943" spans="1:19" ht="15" x14ac:dyDescent="0.25">
      <c r="A943" s="8" t="s">
        <v>5073</v>
      </c>
      <c r="B943" s="8" t="s">
        <v>5070</v>
      </c>
      <c r="C943" s="8" t="s">
        <v>5901</v>
      </c>
      <c r="D943" s="32" t="s">
        <v>5895</v>
      </c>
      <c r="E943" s="32" t="s">
        <v>5901</v>
      </c>
      <c r="F943" s="10">
        <v>1</v>
      </c>
      <c r="G943" s="8" t="s">
        <v>5902</v>
      </c>
      <c r="J943" s="10">
        <v>0</v>
      </c>
      <c r="K943" s="8" t="s">
        <v>5902</v>
      </c>
      <c r="L943" s="8" t="s">
        <v>32</v>
      </c>
      <c r="S943"/>
    </row>
    <row r="944" spans="1:19" ht="15" x14ac:dyDescent="0.25">
      <c r="A944" s="8" t="s">
        <v>5073</v>
      </c>
      <c r="B944" s="8" t="s">
        <v>5070</v>
      </c>
      <c r="C944" s="8" t="s">
        <v>5903</v>
      </c>
      <c r="D944" s="32" t="s">
        <v>5146</v>
      </c>
      <c r="E944" s="32" t="s">
        <v>5903</v>
      </c>
      <c r="F944" s="10">
        <v>1</v>
      </c>
      <c r="G944" s="8" t="s">
        <v>5904</v>
      </c>
      <c r="J944" s="10">
        <v>0</v>
      </c>
      <c r="K944" s="8" t="s">
        <v>5904</v>
      </c>
      <c r="L944" s="8" t="s">
        <v>32</v>
      </c>
      <c r="S944"/>
    </row>
    <row r="945" spans="1:19" ht="15" x14ac:dyDescent="0.25">
      <c r="A945" s="8" t="s">
        <v>5073</v>
      </c>
      <c r="B945" s="8" t="s">
        <v>5070</v>
      </c>
      <c r="C945" s="8" t="s">
        <v>5905</v>
      </c>
      <c r="D945" s="32" t="s">
        <v>5146</v>
      </c>
      <c r="E945" s="32" t="s">
        <v>5905</v>
      </c>
      <c r="F945" s="10">
        <v>1</v>
      </c>
      <c r="G945" s="8" t="s">
        <v>5906</v>
      </c>
      <c r="J945" s="10">
        <v>0</v>
      </c>
      <c r="K945" s="8" t="s">
        <v>5906</v>
      </c>
      <c r="L945" s="8" t="s">
        <v>32</v>
      </c>
      <c r="S945"/>
    </row>
    <row r="946" spans="1:19" ht="15" x14ac:dyDescent="0.25">
      <c r="A946" s="8" t="s">
        <v>5073</v>
      </c>
      <c r="B946" s="8" t="s">
        <v>5070</v>
      </c>
      <c r="C946" s="8" t="s">
        <v>5907</v>
      </c>
      <c r="D946" s="32" t="s">
        <v>5895</v>
      </c>
      <c r="E946" s="32" t="s">
        <v>5907</v>
      </c>
      <c r="F946" s="10">
        <v>1</v>
      </c>
      <c r="G946" s="8" t="s">
        <v>5896</v>
      </c>
      <c r="J946" s="10">
        <v>0</v>
      </c>
      <c r="K946" s="8" t="s">
        <v>5896</v>
      </c>
      <c r="L946" s="8" t="s">
        <v>32</v>
      </c>
      <c r="S946"/>
    </row>
    <row r="947" spans="1:19" ht="15" x14ac:dyDescent="0.25">
      <c r="A947" s="8" t="s">
        <v>5073</v>
      </c>
      <c r="B947" s="8" t="s">
        <v>5070</v>
      </c>
      <c r="C947" s="8" t="s">
        <v>5908</v>
      </c>
      <c r="D947" s="32" t="s">
        <v>5895</v>
      </c>
      <c r="E947" s="32" t="s">
        <v>5908</v>
      </c>
      <c r="F947" s="10">
        <v>1</v>
      </c>
      <c r="G947" s="8" t="s">
        <v>5898</v>
      </c>
      <c r="J947" s="10">
        <v>0</v>
      </c>
      <c r="K947" s="8" t="s">
        <v>5898</v>
      </c>
      <c r="L947" s="8" t="s">
        <v>32</v>
      </c>
      <c r="S947"/>
    </row>
    <row r="948" spans="1:19" ht="15" x14ac:dyDescent="0.25">
      <c r="A948" s="8" t="s">
        <v>5073</v>
      </c>
      <c r="B948" s="8" t="s">
        <v>5070</v>
      </c>
      <c r="C948" s="8" t="s">
        <v>5909</v>
      </c>
      <c r="D948" s="32" t="s">
        <v>5146</v>
      </c>
      <c r="E948" s="32" t="s">
        <v>5909</v>
      </c>
      <c r="F948" s="10">
        <v>6</v>
      </c>
      <c r="G948" s="8" t="s">
        <v>5900</v>
      </c>
      <c r="J948" s="10">
        <v>0</v>
      </c>
      <c r="K948" s="8" t="s">
        <v>5900</v>
      </c>
      <c r="L948" s="8" t="s">
        <v>32</v>
      </c>
      <c r="S948"/>
    </row>
    <row r="949" spans="1:19" ht="15" x14ac:dyDescent="0.25">
      <c r="A949" s="8" t="s">
        <v>5073</v>
      </c>
      <c r="B949" s="8" t="s">
        <v>5070</v>
      </c>
      <c r="C949" s="8" t="s">
        <v>5910</v>
      </c>
      <c r="D949" s="32" t="s">
        <v>5895</v>
      </c>
      <c r="E949" s="32" t="s">
        <v>5910</v>
      </c>
      <c r="F949" s="10">
        <v>1</v>
      </c>
      <c r="G949" s="8" t="s">
        <v>5902</v>
      </c>
      <c r="J949" s="10">
        <v>0</v>
      </c>
      <c r="K949" s="8" t="s">
        <v>5902</v>
      </c>
      <c r="L949" s="8" t="s">
        <v>32</v>
      </c>
      <c r="S949"/>
    </row>
    <row r="950" spans="1:19" ht="15" x14ac:dyDescent="0.25">
      <c r="A950" s="8" t="s">
        <v>5073</v>
      </c>
      <c r="B950" s="8" t="s">
        <v>5070</v>
      </c>
      <c r="C950" s="8" t="s">
        <v>5911</v>
      </c>
      <c r="D950" s="32" t="s">
        <v>5146</v>
      </c>
      <c r="E950" s="32" t="s">
        <v>5911</v>
      </c>
      <c r="F950" s="10">
        <v>1</v>
      </c>
      <c r="G950" s="8" t="s">
        <v>5904</v>
      </c>
      <c r="J950" s="10">
        <v>0</v>
      </c>
      <c r="K950" s="8" t="s">
        <v>5904</v>
      </c>
      <c r="L950" s="8" t="s">
        <v>32</v>
      </c>
      <c r="S950"/>
    </row>
    <row r="951" spans="1:19" ht="15" x14ac:dyDescent="0.25">
      <c r="A951" s="8" t="s">
        <v>5073</v>
      </c>
      <c r="B951" s="8" t="s">
        <v>5070</v>
      </c>
      <c r="C951" s="8" t="s">
        <v>5912</v>
      </c>
      <c r="D951" s="32" t="s">
        <v>5146</v>
      </c>
      <c r="E951" s="32" t="s">
        <v>5912</v>
      </c>
      <c r="F951" s="10">
        <v>1</v>
      </c>
      <c r="G951" s="8" t="s">
        <v>5906</v>
      </c>
      <c r="J951" s="10">
        <v>0</v>
      </c>
      <c r="K951" s="8" t="s">
        <v>5906</v>
      </c>
      <c r="L951" s="8" t="s">
        <v>32</v>
      </c>
      <c r="S951"/>
    </row>
    <row r="952" spans="1:19" ht="15" x14ac:dyDescent="0.25">
      <c r="A952" s="8" t="s">
        <v>5069</v>
      </c>
      <c r="B952" s="8" t="s">
        <v>5070</v>
      </c>
      <c r="C952" s="8" t="s">
        <v>5913</v>
      </c>
      <c r="D952" s="32" t="s">
        <v>6984</v>
      </c>
      <c r="E952" s="32" t="s">
        <v>5913</v>
      </c>
      <c r="F952" s="10">
        <v>1</v>
      </c>
      <c r="G952" s="8" t="s">
        <v>4934</v>
      </c>
      <c r="H952" s="10">
        <v>3037.8</v>
      </c>
      <c r="I952" s="10">
        <f t="shared" si="16"/>
        <v>3037.8</v>
      </c>
      <c r="J952" s="10">
        <v>43.650424373299998</v>
      </c>
      <c r="K952" s="8" t="s">
        <v>4965</v>
      </c>
      <c r="S952"/>
    </row>
    <row r="953" spans="1:19" ht="15" x14ac:dyDescent="0.25">
      <c r="A953" s="8" t="s">
        <v>5073</v>
      </c>
      <c r="B953" s="8" t="s">
        <v>5070</v>
      </c>
      <c r="C953" s="8" t="s">
        <v>5914</v>
      </c>
      <c r="D953" s="32" t="s">
        <v>6984</v>
      </c>
      <c r="E953" s="32" t="s">
        <v>5914</v>
      </c>
      <c r="F953" s="10">
        <v>1</v>
      </c>
      <c r="G953" s="8" t="s">
        <v>4934</v>
      </c>
      <c r="H953" s="10">
        <v>3042.3</v>
      </c>
      <c r="I953" s="10">
        <f t="shared" si="16"/>
        <v>3042.3</v>
      </c>
      <c r="J953" s="10">
        <v>41.655657508730002</v>
      </c>
      <c r="K953" s="8" t="s">
        <v>4965</v>
      </c>
      <c r="S953"/>
    </row>
    <row r="954" spans="1:19" ht="15" x14ac:dyDescent="0.25">
      <c r="A954" s="8" t="s">
        <v>5073</v>
      </c>
      <c r="B954" s="8" t="s">
        <v>5070</v>
      </c>
      <c r="C954" s="8" t="s">
        <v>5915</v>
      </c>
      <c r="D954" s="32" t="s">
        <v>6984</v>
      </c>
      <c r="E954" s="32" t="s">
        <v>5915</v>
      </c>
      <c r="F954" s="10">
        <v>1</v>
      </c>
      <c r="G954" s="8" t="s">
        <v>4934</v>
      </c>
      <c r="H954" s="10">
        <v>87.5</v>
      </c>
      <c r="I954" s="10">
        <f t="shared" si="16"/>
        <v>87.5</v>
      </c>
      <c r="J954" s="10">
        <v>3.2803057968</v>
      </c>
      <c r="K954" s="8" t="s">
        <v>5049</v>
      </c>
      <c r="S954"/>
    </row>
    <row r="955" spans="1:19" ht="15" x14ac:dyDescent="0.25">
      <c r="A955" s="8" t="s">
        <v>5073</v>
      </c>
      <c r="B955" s="8" t="s">
        <v>5070</v>
      </c>
      <c r="C955" s="8" t="s">
        <v>5916</v>
      </c>
      <c r="D955" s="32" t="s">
        <v>6984</v>
      </c>
      <c r="E955" s="32" t="s">
        <v>5916</v>
      </c>
      <c r="F955" s="10">
        <v>1</v>
      </c>
      <c r="G955" s="8" t="s">
        <v>4934</v>
      </c>
      <c r="H955" s="10">
        <v>89.8</v>
      </c>
      <c r="I955" s="10">
        <f t="shared" si="16"/>
        <v>89.8</v>
      </c>
      <c r="J955" s="10">
        <v>3.3570802025600002</v>
      </c>
      <c r="K955" s="8" t="s">
        <v>5049</v>
      </c>
      <c r="S955"/>
    </row>
    <row r="956" spans="1:19" ht="15" x14ac:dyDescent="0.25">
      <c r="A956" s="8" t="s">
        <v>5073</v>
      </c>
      <c r="B956" s="8" t="s">
        <v>5070</v>
      </c>
      <c r="C956" s="8" t="s">
        <v>5917</v>
      </c>
      <c r="D956" s="32" t="s">
        <v>6984</v>
      </c>
      <c r="E956" s="32" t="s">
        <v>5917</v>
      </c>
      <c r="F956" s="10">
        <v>1</v>
      </c>
      <c r="G956" s="8" t="s">
        <v>4934</v>
      </c>
      <c r="H956" s="10">
        <v>89.8</v>
      </c>
      <c r="I956" s="10">
        <f t="shared" si="16"/>
        <v>89.8</v>
      </c>
      <c r="J956" s="10">
        <v>3.3570802025600002</v>
      </c>
      <c r="K956" s="8" t="s">
        <v>5049</v>
      </c>
      <c r="S956"/>
    </row>
    <row r="957" spans="1:19" ht="15" x14ac:dyDescent="0.25">
      <c r="A957" s="8" t="s">
        <v>5073</v>
      </c>
      <c r="B957" s="8" t="s">
        <v>5070</v>
      </c>
      <c r="C957" s="8" t="s">
        <v>5918</v>
      </c>
      <c r="D957" s="32" t="s">
        <v>6984</v>
      </c>
      <c r="E957" s="32" t="s">
        <v>5918</v>
      </c>
      <c r="F957" s="10">
        <v>1</v>
      </c>
      <c r="G957" s="8" t="s">
        <v>4934</v>
      </c>
      <c r="H957" s="10">
        <v>87.5</v>
      </c>
      <c r="I957" s="10">
        <f t="shared" si="16"/>
        <v>87.5</v>
      </c>
      <c r="J957" s="10">
        <v>3.2803057968</v>
      </c>
      <c r="K957" s="8" t="s">
        <v>5049</v>
      </c>
      <c r="S957"/>
    </row>
    <row r="958" spans="1:19" ht="15" x14ac:dyDescent="0.25">
      <c r="A958" s="8" t="s">
        <v>5069</v>
      </c>
      <c r="B958" s="8" t="s">
        <v>5070</v>
      </c>
      <c r="C958" s="8" t="s">
        <v>5919</v>
      </c>
      <c r="D958" s="32" t="s">
        <v>6984</v>
      </c>
      <c r="E958" s="32" t="s">
        <v>5919</v>
      </c>
      <c r="F958" s="10">
        <v>1</v>
      </c>
      <c r="G958" s="8" t="s">
        <v>4934</v>
      </c>
      <c r="H958" s="10">
        <v>89.8</v>
      </c>
      <c r="I958" s="10">
        <f t="shared" si="16"/>
        <v>89.8</v>
      </c>
      <c r="J958" s="10">
        <v>3.3792179296399998</v>
      </c>
      <c r="K958" s="8" t="s">
        <v>5049</v>
      </c>
      <c r="S958"/>
    </row>
    <row r="959" spans="1:19" ht="15" x14ac:dyDescent="0.25">
      <c r="A959" s="8" t="s">
        <v>5069</v>
      </c>
      <c r="B959" s="8" t="s">
        <v>5070</v>
      </c>
      <c r="C959" s="8" t="s">
        <v>5920</v>
      </c>
      <c r="D959" s="32" t="s">
        <v>6984</v>
      </c>
      <c r="E959" s="32" t="s">
        <v>5920</v>
      </c>
      <c r="F959" s="10">
        <v>1</v>
      </c>
      <c r="G959" s="8" t="s">
        <v>4934</v>
      </c>
      <c r="H959" s="10">
        <v>89.9</v>
      </c>
      <c r="I959" s="10">
        <f t="shared" si="16"/>
        <v>89.9</v>
      </c>
      <c r="J959" s="10">
        <v>3.35875113648</v>
      </c>
      <c r="K959" s="8" t="s">
        <v>5049</v>
      </c>
      <c r="S959"/>
    </row>
    <row r="960" spans="1:19" ht="15" x14ac:dyDescent="0.25">
      <c r="A960" s="8" t="s">
        <v>5069</v>
      </c>
      <c r="B960" s="8" t="s">
        <v>5070</v>
      </c>
      <c r="C960" s="8" t="s">
        <v>5921</v>
      </c>
      <c r="D960" s="32" t="s">
        <v>6984</v>
      </c>
      <c r="E960" s="32" t="s">
        <v>5921</v>
      </c>
      <c r="F960" s="10">
        <v>1</v>
      </c>
      <c r="G960" s="8" t="s">
        <v>4934</v>
      </c>
      <c r="H960" s="10">
        <v>87.4</v>
      </c>
      <c r="I960" s="10">
        <f t="shared" si="16"/>
        <v>87.4</v>
      </c>
      <c r="J960" s="10">
        <v>3.3024435238800001</v>
      </c>
      <c r="K960" s="8" t="s">
        <v>5049</v>
      </c>
      <c r="S960"/>
    </row>
    <row r="961" spans="1:19" ht="15" x14ac:dyDescent="0.25">
      <c r="A961" s="8" t="s">
        <v>5069</v>
      </c>
      <c r="B961" s="8" t="s">
        <v>5070</v>
      </c>
      <c r="C961" s="8" t="s">
        <v>5922</v>
      </c>
      <c r="D961" s="32" t="s">
        <v>6984</v>
      </c>
      <c r="E961" s="32" t="s">
        <v>5922</v>
      </c>
      <c r="F961" s="10">
        <v>1</v>
      </c>
      <c r="G961" s="8" t="s">
        <v>4934</v>
      </c>
      <c r="H961" s="10">
        <v>87.5</v>
      </c>
      <c r="I961" s="10">
        <f t="shared" si="16"/>
        <v>87.5</v>
      </c>
      <c r="J961" s="10">
        <v>3.2819767307199998</v>
      </c>
      <c r="K961" s="8" t="s">
        <v>5049</v>
      </c>
      <c r="S961"/>
    </row>
    <row r="962" spans="1:19" ht="15" x14ac:dyDescent="0.25">
      <c r="A962" s="8" t="s">
        <v>5073</v>
      </c>
      <c r="B962" s="8" t="s">
        <v>5070</v>
      </c>
      <c r="C962" s="8" t="s">
        <v>5923</v>
      </c>
      <c r="D962" s="32" t="s">
        <v>6984</v>
      </c>
      <c r="E962" s="32" t="s">
        <v>5923</v>
      </c>
      <c r="F962" s="10">
        <v>3</v>
      </c>
      <c r="G962" s="8" t="s">
        <v>4934</v>
      </c>
      <c r="H962" s="10">
        <v>61.933333333333337</v>
      </c>
      <c r="I962" s="10">
        <f t="shared" si="16"/>
        <v>185.8</v>
      </c>
      <c r="J962" s="10">
        <v>7.0725945599999998</v>
      </c>
      <c r="K962" s="8" t="s">
        <v>5049</v>
      </c>
      <c r="S962"/>
    </row>
    <row r="963" spans="1:19" ht="15" x14ac:dyDescent="0.25">
      <c r="A963" s="8" t="s">
        <v>5073</v>
      </c>
      <c r="B963" s="8" t="s">
        <v>5070</v>
      </c>
      <c r="C963" s="8" t="s">
        <v>5924</v>
      </c>
      <c r="D963" s="32" t="s">
        <v>6984</v>
      </c>
      <c r="E963" s="32" t="s">
        <v>5924</v>
      </c>
      <c r="F963" s="10">
        <v>3</v>
      </c>
      <c r="G963" s="8" t="s">
        <v>4934</v>
      </c>
      <c r="H963" s="10">
        <v>74.166666666666671</v>
      </c>
      <c r="I963" s="10">
        <f t="shared" si="16"/>
        <v>222.5</v>
      </c>
      <c r="J963" s="10">
        <v>8.4562492799999998</v>
      </c>
      <c r="K963" s="8" t="s">
        <v>5049</v>
      </c>
      <c r="S963"/>
    </row>
    <row r="964" spans="1:19" ht="15" x14ac:dyDescent="0.25">
      <c r="A964" s="8" t="s">
        <v>5073</v>
      </c>
      <c r="B964" s="8" t="s">
        <v>5070</v>
      </c>
      <c r="C964" s="8" t="s">
        <v>5925</v>
      </c>
      <c r="D964" s="32" t="s">
        <v>6984</v>
      </c>
      <c r="E964" s="32" t="s">
        <v>5925</v>
      </c>
      <c r="F964" s="10">
        <v>1</v>
      </c>
      <c r="G964" s="8" t="s">
        <v>4934</v>
      </c>
      <c r="H964" s="10">
        <v>78.599999999999994</v>
      </c>
      <c r="I964" s="10">
        <f t="shared" si="16"/>
        <v>78.599999999999994</v>
      </c>
      <c r="J964" s="10">
        <v>2.9855053267199998</v>
      </c>
      <c r="K964" s="8" t="s">
        <v>5049</v>
      </c>
      <c r="S964"/>
    </row>
    <row r="965" spans="1:19" ht="15" x14ac:dyDescent="0.25">
      <c r="A965" s="8" t="s">
        <v>5073</v>
      </c>
      <c r="B965" s="8" t="s">
        <v>5070</v>
      </c>
      <c r="C965" s="8" t="s">
        <v>5926</v>
      </c>
      <c r="D965" s="32" t="s">
        <v>6984</v>
      </c>
      <c r="E965" s="32" t="s">
        <v>5926</v>
      </c>
      <c r="F965" s="10">
        <v>1</v>
      </c>
      <c r="G965" s="8" t="s">
        <v>4934</v>
      </c>
      <c r="H965" s="10">
        <v>75.400000000000006</v>
      </c>
      <c r="I965" s="10">
        <f t="shared" ref="I965:I1028" si="17">F965*H965</f>
        <v>75.400000000000006</v>
      </c>
      <c r="J965" s="10">
        <v>0.11217152</v>
      </c>
      <c r="K965" s="8" t="s">
        <v>5049</v>
      </c>
      <c r="S965"/>
    </row>
    <row r="966" spans="1:19" ht="15" x14ac:dyDescent="0.25">
      <c r="A966" s="8" t="s">
        <v>5073</v>
      </c>
      <c r="B966" s="8" t="s">
        <v>5070</v>
      </c>
      <c r="C966" s="8" t="s">
        <v>5927</v>
      </c>
      <c r="D966" s="32" t="s">
        <v>6984</v>
      </c>
      <c r="E966" s="32" t="s">
        <v>5927</v>
      </c>
      <c r="F966" s="10">
        <v>1</v>
      </c>
      <c r="G966" s="8" t="s">
        <v>4934</v>
      </c>
      <c r="H966" s="10">
        <v>73.2</v>
      </c>
      <c r="I966" s="10">
        <f t="shared" si="17"/>
        <v>73.2</v>
      </c>
      <c r="J966" s="10">
        <v>0.11217152</v>
      </c>
      <c r="K966" s="8" t="s">
        <v>5049</v>
      </c>
      <c r="S966"/>
    </row>
    <row r="967" spans="1:19" ht="15" x14ac:dyDescent="0.25">
      <c r="A967" s="8" t="s">
        <v>5073</v>
      </c>
      <c r="B967" s="8" t="s">
        <v>5070</v>
      </c>
      <c r="C967" s="8" t="s">
        <v>5928</v>
      </c>
      <c r="D967" s="32" t="s">
        <v>6984</v>
      </c>
      <c r="E967" s="32" t="s">
        <v>5928</v>
      </c>
      <c r="F967" s="10">
        <v>4</v>
      </c>
      <c r="G967" s="8" t="s">
        <v>4934</v>
      </c>
      <c r="H967" s="10">
        <v>72.025000000000006</v>
      </c>
      <c r="I967" s="10">
        <f t="shared" si="17"/>
        <v>288.10000000000002</v>
      </c>
      <c r="J967" s="10">
        <v>11.000110080000001</v>
      </c>
      <c r="K967" s="8" t="s">
        <v>5049</v>
      </c>
      <c r="S967"/>
    </row>
    <row r="968" spans="1:19" ht="15" x14ac:dyDescent="0.25">
      <c r="A968" s="8" t="s">
        <v>5069</v>
      </c>
      <c r="B968" s="8" t="s">
        <v>5070</v>
      </c>
      <c r="C968" s="8" t="s">
        <v>5929</v>
      </c>
      <c r="D968" s="32" t="s">
        <v>6984</v>
      </c>
      <c r="E968" s="32" t="s">
        <v>5929</v>
      </c>
      <c r="F968" s="10">
        <v>1</v>
      </c>
      <c r="G968" s="8" t="s">
        <v>4934</v>
      </c>
      <c r="H968" s="10">
        <v>64.599999999999994</v>
      </c>
      <c r="I968" s="10">
        <f t="shared" si="17"/>
        <v>64.599999999999994</v>
      </c>
      <c r="J968" s="10">
        <v>2.4420410995199999</v>
      </c>
      <c r="K968" s="8" t="s">
        <v>5049</v>
      </c>
      <c r="S968"/>
    </row>
    <row r="969" spans="1:19" ht="15" x14ac:dyDescent="0.25">
      <c r="A969" s="8" t="s">
        <v>5069</v>
      </c>
      <c r="B969" s="8" t="s">
        <v>5070</v>
      </c>
      <c r="C969" s="8" t="s">
        <v>5930</v>
      </c>
      <c r="D969" s="32" t="s">
        <v>6984</v>
      </c>
      <c r="E969" s="32" t="s">
        <v>5930</v>
      </c>
      <c r="F969" s="10">
        <v>1</v>
      </c>
      <c r="G969" s="8" t="s">
        <v>4934</v>
      </c>
      <c r="H969" s="10">
        <v>74.2</v>
      </c>
      <c r="I969" s="10">
        <f t="shared" si="17"/>
        <v>74.2</v>
      </c>
      <c r="J969" s="10">
        <v>2.8187497600000002</v>
      </c>
      <c r="K969" s="8" t="s">
        <v>5049</v>
      </c>
      <c r="S969"/>
    </row>
    <row r="970" spans="1:19" ht="15" x14ac:dyDescent="0.25">
      <c r="A970" s="8" t="s">
        <v>5069</v>
      </c>
      <c r="B970" s="8" t="s">
        <v>5070</v>
      </c>
      <c r="C970" s="8" t="s">
        <v>5931</v>
      </c>
      <c r="D970" s="32" t="s">
        <v>6984</v>
      </c>
      <c r="E970" s="32" t="s">
        <v>5931</v>
      </c>
      <c r="F970" s="10">
        <v>1</v>
      </c>
      <c r="G970" s="8" t="s">
        <v>4934</v>
      </c>
      <c r="H970" s="10">
        <v>76.5</v>
      </c>
      <c r="I970" s="10">
        <f t="shared" si="17"/>
        <v>76.5</v>
      </c>
      <c r="J970" s="10">
        <v>2.9046096156800001</v>
      </c>
      <c r="K970" s="8" t="s">
        <v>5049</v>
      </c>
      <c r="S970"/>
    </row>
    <row r="971" spans="1:19" ht="15" x14ac:dyDescent="0.25">
      <c r="A971" s="8" t="s">
        <v>5073</v>
      </c>
      <c r="B971" s="8" t="s">
        <v>5070</v>
      </c>
      <c r="C971" s="8" t="s">
        <v>5932</v>
      </c>
      <c r="D971" s="32" t="s">
        <v>6984</v>
      </c>
      <c r="E971" s="32" t="s">
        <v>5932</v>
      </c>
      <c r="F971" s="10">
        <v>2</v>
      </c>
      <c r="G971" s="8" t="s">
        <v>22</v>
      </c>
      <c r="H971" s="10">
        <v>2.2999999999999998</v>
      </c>
      <c r="I971" s="10">
        <f t="shared" si="17"/>
        <v>4.5999999999999996</v>
      </c>
      <c r="J971" s="10">
        <v>0.14971369600000001</v>
      </c>
      <c r="K971" s="8" t="s">
        <v>23</v>
      </c>
      <c r="S971"/>
    </row>
    <row r="972" spans="1:19" ht="15" x14ac:dyDescent="0.25">
      <c r="A972" s="8" t="s">
        <v>5073</v>
      </c>
      <c r="B972" s="8" t="s">
        <v>5070</v>
      </c>
      <c r="C972" s="8" t="s">
        <v>5933</v>
      </c>
      <c r="D972" s="32" t="s">
        <v>6984</v>
      </c>
      <c r="E972" s="32" t="s">
        <v>5933</v>
      </c>
      <c r="F972" s="10">
        <v>92</v>
      </c>
      <c r="G972" s="8" t="s">
        <v>22</v>
      </c>
      <c r="H972" s="10">
        <v>2.0076086956521739</v>
      </c>
      <c r="I972" s="10">
        <f t="shared" si="17"/>
        <v>184.7</v>
      </c>
      <c r="J972" s="10">
        <v>7.5637800000000004</v>
      </c>
      <c r="K972" s="8" t="s">
        <v>4798</v>
      </c>
      <c r="S972"/>
    </row>
    <row r="973" spans="1:19" ht="15" x14ac:dyDescent="0.25">
      <c r="A973" s="8" t="s">
        <v>5073</v>
      </c>
      <c r="B973" s="8" t="s">
        <v>5070</v>
      </c>
      <c r="C973" s="8" t="s">
        <v>5934</v>
      </c>
      <c r="D973" s="32" t="s">
        <v>6984</v>
      </c>
      <c r="E973" s="32" t="s">
        <v>5934</v>
      </c>
      <c r="F973" s="10">
        <v>236</v>
      </c>
      <c r="G973" s="8" t="s">
        <v>22</v>
      </c>
      <c r="H973" s="10">
        <v>1.4834745762711865</v>
      </c>
      <c r="I973" s="10">
        <f t="shared" si="17"/>
        <v>350.1</v>
      </c>
      <c r="J973" s="10">
        <v>14.337</v>
      </c>
      <c r="K973" s="8" t="s">
        <v>4798</v>
      </c>
      <c r="S973"/>
    </row>
    <row r="974" spans="1:19" ht="15" x14ac:dyDescent="0.25">
      <c r="A974" s="8" t="s">
        <v>5073</v>
      </c>
      <c r="B974" s="8" t="s">
        <v>5070</v>
      </c>
      <c r="C974" s="8" t="s">
        <v>5935</v>
      </c>
      <c r="D974" s="32" t="s">
        <v>6984</v>
      </c>
      <c r="E974" s="32" t="s">
        <v>5935</v>
      </c>
      <c r="F974" s="10">
        <v>11</v>
      </c>
      <c r="G974" s="8" t="s">
        <v>22</v>
      </c>
      <c r="H974" s="10">
        <v>35.800000000000004</v>
      </c>
      <c r="I974" s="10">
        <f t="shared" si="17"/>
        <v>393.80000000000007</v>
      </c>
      <c r="J974" s="10">
        <v>6.4706400000000004</v>
      </c>
      <c r="K974" s="8" t="s">
        <v>5488</v>
      </c>
      <c r="S974"/>
    </row>
    <row r="975" spans="1:19" ht="15" x14ac:dyDescent="0.25">
      <c r="A975" s="8" t="s">
        <v>5073</v>
      </c>
      <c r="B975" s="8" t="s">
        <v>5070</v>
      </c>
      <c r="C975" s="8" t="s">
        <v>5936</v>
      </c>
      <c r="D975" s="32" t="s">
        <v>6984</v>
      </c>
      <c r="E975" s="32" t="s">
        <v>5936</v>
      </c>
      <c r="F975" s="10">
        <v>22</v>
      </c>
      <c r="G975" s="8" t="s">
        <v>22</v>
      </c>
      <c r="H975" s="10">
        <v>15.036363636363637</v>
      </c>
      <c r="I975" s="10">
        <f t="shared" si="17"/>
        <v>330.8</v>
      </c>
      <c r="J975" s="10">
        <v>5.4353376000000004</v>
      </c>
      <c r="K975" s="8" t="s">
        <v>5488</v>
      </c>
      <c r="S975"/>
    </row>
    <row r="976" spans="1:19" ht="15" x14ac:dyDescent="0.25">
      <c r="A976" s="8" t="s">
        <v>5073</v>
      </c>
      <c r="B976" s="8" t="s">
        <v>5070</v>
      </c>
      <c r="C976" s="8" t="s">
        <v>5937</v>
      </c>
      <c r="D976" s="32" t="s">
        <v>6984</v>
      </c>
      <c r="E976" s="32" t="s">
        <v>5937</v>
      </c>
      <c r="F976" s="10">
        <v>6</v>
      </c>
      <c r="G976" s="8" t="s">
        <v>22</v>
      </c>
      <c r="H976" s="10">
        <v>15.033333333333333</v>
      </c>
      <c r="I976" s="10">
        <f t="shared" si="17"/>
        <v>90.2</v>
      </c>
      <c r="J976" s="10">
        <v>1.4823648</v>
      </c>
      <c r="K976" s="8" t="s">
        <v>5488</v>
      </c>
      <c r="S976"/>
    </row>
    <row r="977" spans="1:19" ht="15" x14ac:dyDescent="0.25">
      <c r="A977" s="8" t="s">
        <v>5073</v>
      </c>
      <c r="B977" s="8" t="s">
        <v>5070</v>
      </c>
      <c r="C977" s="8" t="s">
        <v>5938</v>
      </c>
      <c r="D977" s="32" t="s">
        <v>6984</v>
      </c>
      <c r="E977" s="32" t="s">
        <v>5938</v>
      </c>
      <c r="F977" s="10">
        <v>3</v>
      </c>
      <c r="G977" s="8" t="s">
        <v>22</v>
      </c>
      <c r="H977" s="10">
        <v>35.800000000000004</v>
      </c>
      <c r="I977" s="10">
        <f t="shared" si="17"/>
        <v>107.4</v>
      </c>
      <c r="J977" s="10">
        <v>1.7647200000000001</v>
      </c>
      <c r="K977" s="8" t="s">
        <v>5488</v>
      </c>
      <c r="S977"/>
    </row>
    <row r="978" spans="1:19" ht="15" x14ac:dyDescent="0.25">
      <c r="A978" s="8" t="s">
        <v>5073</v>
      </c>
      <c r="B978" s="8" t="s">
        <v>5070</v>
      </c>
      <c r="C978" s="8" t="s">
        <v>5939</v>
      </c>
      <c r="D978" s="32" t="s">
        <v>6984</v>
      </c>
      <c r="E978" s="32" t="s">
        <v>5939</v>
      </c>
      <c r="F978" s="10">
        <v>14</v>
      </c>
      <c r="G978" s="8" t="s">
        <v>22</v>
      </c>
      <c r="H978" s="10">
        <v>17.957142857142859</v>
      </c>
      <c r="I978" s="10">
        <f t="shared" si="17"/>
        <v>251.40000000000003</v>
      </c>
      <c r="J978" s="10">
        <v>6.8705056000000004</v>
      </c>
      <c r="K978" s="8" t="s">
        <v>25</v>
      </c>
      <c r="S978"/>
    </row>
    <row r="979" spans="1:19" ht="15" x14ac:dyDescent="0.25">
      <c r="A979" s="8" t="s">
        <v>5073</v>
      </c>
      <c r="B979" s="8" t="s">
        <v>5070</v>
      </c>
      <c r="C979" s="8" t="s">
        <v>5940</v>
      </c>
      <c r="D979" s="32" t="s">
        <v>6984</v>
      </c>
      <c r="E979" s="32" t="s">
        <v>5940</v>
      </c>
      <c r="F979" s="10">
        <v>36</v>
      </c>
      <c r="G979" s="8" t="s">
        <v>22</v>
      </c>
      <c r="H979" s="10">
        <v>4.1166666666666663</v>
      </c>
      <c r="I979" s="10">
        <f t="shared" si="17"/>
        <v>148.19999999999999</v>
      </c>
      <c r="J979" s="10">
        <v>4.7943820800000001</v>
      </c>
      <c r="K979" s="8" t="s">
        <v>23</v>
      </c>
      <c r="S979"/>
    </row>
    <row r="980" spans="1:19" ht="15" x14ac:dyDescent="0.25">
      <c r="A980" s="8" t="s">
        <v>5073</v>
      </c>
      <c r="B980" s="8" t="s">
        <v>5070</v>
      </c>
      <c r="C980" s="8" t="s">
        <v>5941</v>
      </c>
      <c r="D980" s="32" t="s">
        <v>6984</v>
      </c>
      <c r="E980" s="32" t="s">
        <v>5941</v>
      </c>
      <c r="F980" s="10">
        <v>62</v>
      </c>
      <c r="G980" s="8" t="s">
        <v>22</v>
      </c>
      <c r="H980" s="10">
        <v>1.8209677419354839</v>
      </c>
      <c r="I980" s="10">
        <f t="shared" si="17"/>
        <v>112.9</v>
      </c>
      <c r="J980" s="10">
        <v>3.6535359999999999</v>
      </c>
      <c r="K980" s="8" t="s">
        <v>23</v>
      </c>
      <c r="S980"/>
    </row>
    <row r="981" spans="1:19" ht="15" x14ac:dyDescent="0.25">
      <c r="A981" s="8" t="s">
        <v>5073</v>
      </c>
      <c r="B981" s="8" t="s">
        <v>5070</v>
      </c>
      <c r="C981" s="8" t="s">
        <v>5942</v>
      </c>
      <c r="D981" s="32" t="s">
        <v>6984</v>
      </c>
      <c r="E981" s="32" t="s">
        <v>5942</v>
      </c>
      <c r="F981" s="10">
        <v>27</v>
      </c>
      <c r="G981" s="8" t="s">
        <v>22</v>
      </c>
      <c r="H981" s="10">
        <v>4.662962962962963</v>
      </c>
      <c r="I981" s="10">
        <f t="shared" si="17"/>
        <v>125.9</v>
      </c>
      <c r="J981" s="10">
        <v>4.0731033600000002</v>
      </c>
      <c r="K981" s="8" t="s">
        <v>23</v>
      </c>
      <c r="S981"/>
    </row>
    <row r="982" spans="1:19" ht="15" x14ac:dyDescent="0.25">
      <c r="A982" s="8" t="s">
        <v>5073</v>
      </c>
      <c r="B982" s="8" t="s">
        <v>5070</v>
      </c>
      <c r="C982" s="8" t="s">
        <v>5943</v>
      </c>
      <c r="D982" s="32" t="s">
        <v>6984</v>
      </c>
      <c r="E982" s="32" t="s">
        <v>5943</v>
      </c>
      <c r="F982" s="10">
        <v>32</v>
      </c>
      <c r="G982" s="8" t="s">
        <v>22</v>
      </c>
      <c r="H982" s="10">
        <v>21.293749999999999</v>
      </c>
      <c r="I982" s="10">
        <f t="shared" si="17"/>
        <v>681.4</v>
      </c>
      <c r="J982" s="10">
        <v>14.242144</v>
      </c>
      <c r="K982" s="8" t="s">
        <v>4795</v>
      </c>
      <c r="S982"/>
    </row>
    <row r="983" spans="1:19" ht="15" x14ac:dyDescent="0.25">
      <c r="A983" s="8" t="s">
        <v>5073</v>
      </c>
      <c r="B983" s="8" t="s">
        <v>5070</v>
      </c>
      <c r="C983" s="8" t="s">
        <v>5944</v>
      </c>
      <c r="D983" s="32" t="s">
        <v>6984</v>
      </c>
      <c r="E983" s="32" t="s">
        <v>5944</v>
      </c>
      <c r="F983" s="10">
        <v>4</v>
      </c>
      <c r="G983" s="8" t="s">
        <v>22</v>
      </c>
      <c r="H983" s="10">
        <v>11.525</v>
      </c>
      <c r="I983" s="10">
        <f t="shared" si="17"/>
        <v>46.1</v>
      </c>
      <c r="J983" s="10">
        <v>1.4906752000000001</v>
      </c>
      <c r="K983" s="8" t="s">
        <v>23</v>
      </c>
      <c r="S983"/>
    </row>
    <row r="984" spans="1:19" ht="15" x14ac:dyDescent="0.25">
      <c r="A984" s="8" t="s">
        <v>5073</v>
      </c>
      <c r="B984" s="8" t="s">
        <v>5070</v>
      </c>
      <c r="C984" s="8" t="s">
        <v>5945</v>
      </c>
      <c r="D984" s="32" t="s">
        <v>6984</v>
      </c>
      <c r="E984" s="32" t="s">
        <v>5945</v>
      </c>
      <c r="F984" s="10">
        <v>220</v>
      </c>
      <c r="G984" s="8" t="s">
        <v>22</v>
      </c>
      <c r="H984" s="10">
        <v>1.0013636363636365</v>
      </c>
      <c r="I984" s="10">
        <f t="shared" si="17"/>
        <v>220.3</v>
      </c>
      <c r="J984" s="10">
        <v>9.0213750000000008</v>
      </c>
      <c r="K984" s="8" t="s">
        <v>4798</v>
      </c>
      <c r="S984"/>
    </row>
    <row r="985" spans="1:19" ht="15" x14ac:dyDescent="0.25">
      <c r="A985" s="8" t="s">
        <v>5069</v>
      </c>
      <c r="B985" s="8" t="s">
        <v>5070</v>
      </c>
      <c r="C985" s="8" t="s">
        <v>5946</v>
      </c>
      <c r="D985" s="32" t="s">
        <v>6984</v>
      </c>
      <c r="E985" s="32" t="s">
        <v>5946</v>
      </c>
      <c r="F985" s="10">
        <v>8</v>
      </c>
      <c r="G985" s="8" t="s">
        <v>22</v>
      </c>
      <c r="H985" s="10">
        <v>21.5625</v>
      </c>
      <c r="I985" s="10">
        <f t="shared" si="17"/>
        <v>172.5</v>
      </c>
      <c r="J985" s="10">
        <v>3.6064783999999999</v>
      </c>
      <c r="K985" s="8" t="s">
        <v>4795</v>
      </c>
      <c r="S985"/>
    </row>
    <row r="986" spans="1:19" ht="15" x14ac:dyDescent="0.25">
      <c r="A986" s="8" t="s">
        <v>5073</v>
      </c>
      <c r="B986" s="8" t="s">
        <v>5070</v>
      </c>
      <c r="C986" s="8" t="s">
        <v>5947</v>
      </c>
      <c r="D986" s="32" t="s">
        <v>6984</v>
      </c>
      <c r="E986" s="32" t="s">
        <v>5947</v>
      </c>
      <c r="F986" s="10">
        <v>28</v>
      </c>
      <c r="G986" s="8" t="s">
        <v>22</v>
      </c>
      <c r="H986" s="10">
        <v>11.407142857142857</v>
      </c>
      <c r="I986" s="10">
        <f t="shared" si="17"/>
        <v>319.39999999999998</v>
      </c>
      <c r="J986" s="10">
        <v>6.676005</v>
      </c>
      <c r="K986" s="8" t="s">
        <v>4795</v>
      </c>
      <c r="S986"/>
    </row>
    <row r="987" spans="1:19" ht="15" x14ac:dyDescent="0.25">
      <c r="A987" s="8" t="s">
        <v>5073</v>
      </c>
      <c r="B987" s="8" t="s">
        <v>5070</v>
      </c>
      <c r="C987" s="8" t="s">
        <v>5948</v>
      </c>
      <c r="D987" s="32" t="s">
        <v>6984</v>
      </c>
      <c r="E987" s="32" t="s">
        <v>5948</v>
      </c>
      <c r="F987" s="10">
        <v>68</v>
      </c>
      <c r="G987" s="8" t="s">
        <v>22</v>
      </c>
      <c r="H987" s="10">
        <v>11.554411764705883</v>
      </c>
      <c r="I987" s="10">
        <f t="shared" si="17"/>
        <v>785.7</v>
      </c>
      <c r="J987" s="10">
        <v>16.422357000000002</v>
      </c>
      <c r="K987" s="8" t="s">
        <v>4795</v>
      </c>
      <c r="S987"/>
    </row>
    <row r="988" spans="1:19" ht="15" x14ac:dyDescent="0.25">
      <c r="A988" s="8" t="s">
        <v>5073</v>
      </c>
      <c r="B988" s="8" t="s">
        <v>5070</v>
      </c>
      <c r="C988" s="8" t="s">
        <v>5949</v>
      </c>
      <c r="D988" s="32" t="s">
        <v>6984</v>
      </c>
      <c r="E988" s="32" t="s">
        <v>5949</v>
      </c>
      <c r="F988" s="10">
        <v>4</v>
      </c>
      <c r="G988" s="8" t="s">
        <v>22</v>
      </c>
      <c r="H988" s="10">
        <v>19.25</v>
      </c>
      <c r="I988" s="10">
        <f t="shared" si="17"/>
        <v>77</v>
      </c>
      <c r="J988" s="10">
        <v>1.0712159999999999</v>
      </c>
      <c r="K988" s="8" t="s">
        <v>5013</v>
      </c>
      <c r="S988"/>
    </row>
    <row r="989" spans="1:19" ht="15" x14ac:dyDescent="0.25">
      <c r="A989" s="8" t="s">
        <v>5073</v>
      </c>
      <c r="B989" s="8" t="s">
        <v>5070</v>
      </c>
      <c r="C989" s="8" t="s">
        <v>5950</v>
      </c>
      <c r="D989" s="32" t="s">
        <v>6984</v>
      </c>
      <c r="E989" s="32" t="s">
        <v>5950</v>
      </c>
      <c r="F989" s="10">
        <v>8</v>
      </c>
      <c r="G989" s="8" t="s">
        <v>22</v>
      </c>
      <c r="H989" s="10">
        <v>8.6624999999999996</v>
      </c>
      <c r="I989" s="10">
        <f t="shared" si="17"/>
        <v>69.3</v>
      </c>
      <c r="J989" s="10">
        <v>0.96409440000000002</v>
      </c>
      <c r="K989" s="8" t="s">
        <v>5013</v>
      </c>
      <c r="S989"/>
    </row>
    <row r="990" spans="1:19" ht="15" x14ac:dyDescent="0.25">
      <c r="A990" s="8" t="s">
        <v>5073</v>
      </c>
      <c r="B990" s="8" t="s">
        <v>5070</v>
      </c>
      <c r="C990" s="8" t="s">
        <v>5951</v>
      </c>
      <c r="D990" s="32" t="s">
        <v>6984</v>
      </c>
      <c r="E990" s="32" t="s">
        <v>5951</v>
      </c>
      <c r="F990" s="10">
        <v>4</v>
      </c>
      <c r="G990" s="8" t="s">
        <v>22</v>
      </c>
      <c r="H990" s="10">
        <v>12.525</v>
      </c>
      <c r="I990" s="10">
        <f t="shared" si="17"/>
        <v>50.1</v>
      </c>
      <c r="J990" s="10">
        <v>0.69753600000000004</v>
      </c>
      <c r="K990" s="8" t="s">
        <v>5013</v>
      </c>
      <c r="S990"/>
    </row>
    <row r="991" spans="1:19" ht="15" x14ac:dyDescent="0.25">
      <c r="A991" s="8" t="s">
        <v>5073</v>
      </c>
      <c r="B991" s="8" t="s">
        <v>5070</v>
      </c>
      <c r="C991" s="8" t="s">
        <v>5952</v>
      </c>
      <c r="D991" s="32" t="s">
        <v>6984</v>
      </c>
      <c r="E991" s="32" t="s">
        <v>5952</v>
      </c>
      <c r="F991" s="10">
        <v>8</v>
      </c>
      <c r="G991" s="8" t="s">
        <v>22</v>
      </c>
      <c r="H991" s="10">
        <v>5.6375000000000002</v>
      </c>
      <c r="I991" s="10">
        <f t="shared" si="17"/>
        <v>45.1</v>
      </c>
      <c r="J991" s="10">
        <v>0.62778239999999996</v>
      </c>
      <c r="K991" s="8" t="s">
        <v>5013</v>
      </c>
      <c r="S991"/>
    </row>
    <row r="992" spans="1:19" ht="15" x14ac:dyDescent="0.25">
      <c r="A992" s="8" t="s">
        <v>5073</v>
      </c>
      <c r="B992" s="8" t="s">
        <v>5070</v>
      </c>
      <c r="C992" s="8" t="s">
        <v>5953</v>
      </c>
      <c r="D992" s="32" t="s">
        <v>6984</v>
      </c>
      <c r="E992" s="32" t="s">
        <v>5953</v>
      </c>
      <c r="F992" s="10">
        <v>80</v>
      </c>
      <c r="G992" s="8" t="s">
        <v>22</v>
      </c>
      <c r="H992" s="10">
        <v>5.8725000000000005</v>
      </c>
      <c r="I992" s="10">
        <f t="shared" si="17"/>
        <v>469.80000000000007</v>
      </c>
      <c r="J992" s="10">
        <v>12.839399999999999</v>
      </c>
      <c r="K992" s="8" t="s">
        <v>25</v>
      </c>
      <c r="S992"/>
    </row>
    <row r="993" spans="1:19" ht="15" x14ac:dyDescent="0.25">
      <c r="A993" s="8" t="s">
        <v>5073</v>
      </c>
      <c r="B993" s="8" t="s">
        <v>5070</v>
      </c>
      <c r="C993" s="8" t="s">
        <v>5954</v>
      </c>
      <c r="D993" s="32" t="s">
        <v>6984</v>
      </c>
      <c r="E993" s="32" t="s">
        <v>5954</v>
      </c>
      <c r="F993" s="10">
        <v>120</v>
      </c>
      <c r="G993" s="8" t="s">
        <v>22</v>
      </c>
      <c r="H993" s="10">
        <v>1.2749999999999999</v>
      </c>
      <c r="I993" s="10">
        <f t="shared" si="17"/>
        <v>153</v>
      </c>
      <c r="J993" s="10">
        <v>4.9499519999999997</v>
      </c>
      <c r="K993" s="8" t="s">
        <v>23</v>
      </c>
      <c r="S993"/>
    </row>
    <row r="994" spans="1:19" ht="15" x14ac:dyDescent="0.25">
      <c r="A994" s="8" t="s">
        <v>5073</v>
      </c>
      <c r="B994" s="8" t="s">
        <v>5070</v>
      </c>
      <c r="C994" s="8" t="s">
        <v>5955</v>
      </c>
      <c r="D994" s="32" t="s">
        <v>6984</v>
      </c>
      <c r="E994" s="32" t="s">
        <v>5955</v>
      </c>
      <c r="F994" s="10">
        <v>4</v>
      </c>
      <c r="G994" s="8" t="s">
        <v>22</v>
      </c>
      <c r="H994" s="10">
        <v>5.0999999999999996</v>
      </c>
      <c r="I994" s="10">
        <f t="shared" si="17"/>
        <v>20.399999999999999</v>
      </c>
      <c r="J994" s="10">
        <v>0.65999359999999996</v>
      </c>
      <c r="K994" s="8" t="s">
        <v>23</v>
      </c>
      <c r="S994"/>
    </row>
    <row r="995" spans="1:19" ht="15" x14ac:dyDescent="0.25">
      <c r="A995" s="8" t="s">
        <v>5073</v>
      </c>
      <c r="B995" s="8" t="s">
        <v>5070</v>
      </c>
      <c r="C995" s="8" t="s">
        <v>5956</v>
      </c>
      <c r="D995" s="32" t="s">
        <v>6984</v>
      </c>
      <c r="E995" s="32" t="s">
        <v>5956</v>
      </c>
      <c r="F995" s="10">
        <v>92</v>
      </c>
      <c r="G995" s="8" t="s">
        <v>22</v>
      </c>
      <c r="H995" s="10">
        <v>1.409782608695652</v>
      </c>
      <c r="I995" s="10">
        <f t="shared" si="17"/>
        <v>129.69999999999999</v>
      </c>
      <c r="J995" s="10">
        <v>5.3095499999999998</v>
      </c>
      <c r="K995" s="8" t="s">
        <v>4798</v>
      </c>
      <c r="S995"/>
    </row>
    <row r="996" spans="1:19" ht="15" x14ac:dyDescent="0.25">
      <c r="A996" s="8" t="s">
        <v>5073</v>
      </c>
      <c r="B996" s="8" t="s">
        <v>5070</v>
      </c>
      <c r="C996" s="8" t="s">
        <v>5957</v>
      </c>
      <c r="D996" s="32" t="s">
        <v>6984</v>
      </c>
      <c r="E996" s="32" t="s">
        <v>5957</v>
      </c>
      <c r="F996" s="10">
        <v>20</v>
      </c>
      <c r="G996" s="8" t="s">
        <v>22</v>
      </c>
      <c r="H996" s="10">
        <v>2.375</v>
      </c>
      <c r="I996" s="10">
        <f t="shared" si="17"/>
        <v>47.5</v>
      </c>
      <c r="J996" s="10">
        <v>1.944</v>
      </c>
      <c r="K996" s="8" t="s">
        <v>4798</v>
      </c>
      <c r="S996"/>
    </row>
    <row r="997" spans="1:19" ht="15" x14ac:dyDescent="0.25">
      <c r="A997" s="8" t="s">
        <v>5073</v>
      </c>
      <c r="B997" s="8" t="s">
        <v>5070</v>
      </c>
      <c r="C997" s="8" t="s">
        <v>5958</v>
      </c>
      <c r="D997" s="32" t="s">
        <v>6984</v>
      </c>
      <c r="E997" s="32" t="s">
        <v>5958</v>
      </c>
      <c r="F997" s="10">
        <v>88</v>
      </c>
      <c r="G997" s="8" t="s">
        <v>22</v>
      </c>
      <c r="H997" s="10">
        <v>2.4477272727272728</v>
      </c>
      <c r="I997" s="10">
        <f t="shared" si="17"/>
        <v>215.4</v>
      </c>
      <c r="J997" s="10">
        <v>8.8209</v>
      </c>
      <c r="K997" s="8" t="s">
        <v>4798</v>
      </c>
      <c r="S997"/>
    </row>
    <row r="998" spans="1:19" ht="15" x14ac:dyDescent="0.25">
      <c r="A998" s="8" t="s">
        <v>5069</v>
      </c>
      <c r="B998" s="8" t="s">
        <v>5070</v>
      </c>
      <c r="C998" s="8" t="s">
        <v>5959</v>
      </c>
      <c r="D998" s="32" t="s">
        <v>6984</v>
      </c>
      <c r="E998" s="32" t="s">
        <v>5959</v>
      </c>
      <c r="F998" s="10">
        <v>2</v>
      </c>
      <c r="G998" s="8" t="s">
        <v>22</v>
      </c>
      <c r="H998" s="10">
        <v>2.2999999999999998</v>
      </c>
      <c r="I998" s="10">
        <f t="shared" si="17"/>
        <v>4.5999999999999996</v>
      </c>
      <c r="J998" s="10">
        <v>0.15047366400000001</v>
      </c>
      <c r="K998" s="8" t="s">
        <v>23</v>
      </c>
      <c r="S998"/>
    </row>
    <row r="999" spans="1:19" ht="15" x14ac:dyDescent="0.25">
      <c r="A999" s="8" t="s">
        <v>5073</v>
      </c>
      <c r="B999" s="8" t="s">
        <v>5070</v>
      </c>
      <c r="C999" s="8" t="s">
        <v>5960</v>
      </c>
      <c r="D999" s="32" t="s">
        <v>6984</v>
      </c>
      <c r="E999" s="32" t="s">
        <v>5960</v>
      </c>
      <c r="F999" s="10">
        <v>4</v>
      </c>
      <c r="G999" s="8" t="s">
        <v>22</v>
      </c>
      <c r="H999" s="10">
        <v>12.75</v>
      </c>
      <c r="I999" s="10">
        <f t="shared" si="17"/>
        <v>51</v>
      </c>
      <c r="J999" s="10">
        <v>1.6499839999999999</v>
      </c>
      <c r="K999" s="8" t="s">
        <v>23</v>
      </c>
      <c r="S999"/>
    </row>
    <row r="1000" spans="1:19" ht="15" x14ac:dyDescent="0.25">
      <c r="A1000" s="8" t="s">
        <v>5622</v>
      </c>
      <c r="B1000" s="8" t="s">
        <v>4847</v>
      </c>
      <c r="C1000" s="8" t="s">
        <v>5961</v>
      </c>
      <c r="D1000" s="32" t="s">
        <v>6984</v>
      </c>
      <c r="E1000" s="32" t="s">
        <v>5961</v>
      </c>
      <c r="F1000" s="10">
        <v>1</v>
      </c>
      <c r="G1000" s="8" t="s">
        <v>5962</v>
      </c>
      <c r="H1000" s="10">
        <v>76.5</v>
      </c>
      <c r="I1000" s="10">
        <f t="shared" si="17"/>
        <v>76.5</v>
      </c>
      <c r="J1000" s="10">
        <v>6.8618350000000001</v>
      </c>
      <c r="K1000" s="8" t="s">
        <v>5963</v>
      </c>
      <c r="S1000"/>
    </row>
    <row r="1001" spans="1:19" ht="15" x14ac:dyDescent="0.25">
      <c r="A1001" s="8" t="s">
        <v>5622</v>
      </c>
      <c r="B1001" s="8" t="s">
        <v>4847</v>
      </c>
      <c r="C1001" s="8" t="s">
        <v>5964</v>
      </c>
      <c r="D1001" s="32" t="s">
        <v>6984</v>
      </c>
      <c r="E1001" s="32" t="s">
        <v>5964</v>
      </c>
      <c r="F1001" s="10">
        <v>2</v>
      </c>
      <c r="G1001" s="8" t="s">
        <v>5962</v>
      </c>
      <c r="H1001" s="10">
        <v>103.8</v>
      </c>
      <c r="I1001" s="10">
        <f t="shared" si="17"/>
        <v>207.6</v>
      </c>
      <c r="J1001" s="10">
        <v>18.61655</v>
      </c>
      <c r="K1001" s="8" t="s">
        <v>5963</v>
      </c>
      <c r="S1001"/>
    </row>
    <row r="1002" spans="1:19" ht="15" x14ac:dyDescent="0.25">
      <c r="A1002" s="8" t="s">
        <v>5622</v>
      </c>
      <c r="B1002" s="8" t="s">
        <v>4847</v>
      </c>
      <c r="C1002" s="8" t="s">
        <v>5965</v>
      </c>
      <c r="D1002" s="32" t="s">
        <v>6984</v>
      </c>
      <c r="E1002" s="32" t="s">
        <v>5965</v>
      </c>
      <c r="F1002" s="10">
        <v>6</v>
      </c>
      <c r="G1002" s="8" t="s">
        <v>5962</v>
      </c>
      <c r="H1002" s="10">
        <v>127.3</v>
      </c>
      <c r="I1002" s="10">
        <f t="shared" si="17"/>
        <v>763.8</v>
      </c>
      <c r="J1002" s="10">
        <v>61.40043</v>
      </c>
      <c r="K1002" s="8" t="s">
        <v>5966</v>
      </c>
      <c r="S1002"/>
    </row>
    <row r="1003" spans="1:19" ht="15" x14ac:dyDescent="0.25">
      <c r="A1003" s="8" t="s">
        <v>5622</v>
      </c>
      <c r="B1003" s="8" t="s">
        <v>4847</v>
      </c>
      <c r="C1003" s="8" t="s">
        <v>5967</v>
      </c>
      <c r="D1003" s="32" t="s">
        <v>6984</v>
      </c>
      <c r="E1003" s="32" t="s">
        <v>5967</v>
      </c>
      <c r="F1003" s="10">
        <v>1</v>
      </c>
      <c r="G1003" s="8" t="s">
        <v>5962</v>
      </c>
      <c r="H1003" s="10">
        <v>120.7</v>
      </c>
      <c r="I1003" s="10">
        <f t="shared" si="17"/>
        <v>120.7</v>
      </c>
      <c r="J1003" s="10">
        <v>4.0183610999999999</v>
      </c>
      <c r="K1003" s="8" t="s">
        <v>4904</v>
      </c>
      <c r="S1003"/>
    </row>
    <row r="1004" spans="1:19" ht="15" x14ac:dyDescent="0.25">
      <c r="A1004" s="8" t="s">
        <v>5622</v>
      </c>
      <c r="B1004" s="8" t="s">
        <v>4847</v>
      </c>
      <c r="C1004" s="8" t="s">
        <v>5968</v>
      </c>
      <c r="D1004" s="32" t="s">
        <v>6984</v>
      </c>
      <c r="E1004" s="32" t="s">
        <v>5968</v>
      </c>
      <c r="F1004" s="10">
        <v>1</v>
      </c>
      <c r="G1004" s="8" t="s">
        <v>5962</v>
      </c>
      <c r="H1004" s="10">
        <v>94.6</v>
      </c>
      <c r="I1004" s="10">
        <f t="shared" si="17"/>
        <v>94.6</v>
      </c>
      <c r="J1004" s="10">
        <v>8.4874299999999998</v>
      </c>
      <c r="K1004" s="8" t="s">
        <v>5963</v>
      </c>
      <c r="S1004"/>
    </row>
    <row r="1005" spans="1:19" ht="15" x14ac:dyDescent="0.25">
      <c r="A1005" s="8" t="s">
        <v>5622</v>
      </c>
      <c r="B1005" s="8" t="s">
        <v>4847</v>
      </c>
      <c r="C1005" s="8" t="s">
        <v>5969</v>
      </c>
      <c r="D1005" s="32" t="s">
        <v>6984</v>
      </c>
      <c r="E1005" s="32" t="s">
        <v>5969</v>
      </c>
      <c r="F1005" s="10">
        <v>6</v>
      </c>
      <c r="G1005" s="8" t="s">
        <v>5962</v>
      </c>
      <c r="H1005" s="10">
        <v>96.850000000000009</v>
      </c>
      <c r="I1005" s="10">
        <f t="shared" si="17"/>
        <v>581.1</v>
      </c>
      <c r="J1005" s="10">
        <v>52.115609999999997</v>
      </c>
      <c r="K1005" s="8" t="s">
        <v>5963</v>
      </c>
      <c r="S1005"/>
    </row>
    <row r="1006" spans="1:19" ht="15" x14ac:dyDescent="0.25">
      <c r="A1006" s="8" t="s">
        <v>5622</v>
      </c>
      <c r="B1006" s="8" t="s">
        <v>4847</v>
      </c>
      <c r="C1006" s="8" t="s">
        <v>5970</v>
      </c>
      <c r="D1006" s="32" t="s">
        <v>6984</v>
      </c>
      <c r="E1006" s="32" t="s">
        <v>5970</v>
      </c>
      <c r="F1006" s="10">
        <v>2</v>
      </c>
      <c r="G1006" s="8" t="s">
        <v>5962</v>
      </c>
      <c r="H1006" s="10">
        <v>127.3</v>
      </c>
      <c r="I1006" s="10">
        <f t="shared" si="17"/>
        <v>254.6</v>
      </c>
      <c r="J1006" s="10">
        <v>20.466809999999999</v>
      </c>
      <c r="K1006" s="8" t="s">
        <v>5966</v>
      </c>
      <c r="S1006"/>
    </row>
    <row r="1007" spans="1:19" ht="15" x14ac:dyDescent="0.25">
      <c r="A1007" s="8" t="s">
        <v>5622</v>
      </c>
      <c r="B1007" s="8" t="s">
        <v>4847</v>
      </c>
      <c r="C1007" s="8" t="s">
        <v>5971</v>
      </c>
      <c r="D1007" s="32" t="s">
        <v>6984</v>
      </c>
      <c r="E1007" s="32" t="s">
        <v>5971</v>
      </c>
      <c r="F1007" s="10">
        <v>1</v>
      </c>
      <c r="G1007" s="8" t="s">
        <v>5962</v>
      </c>
      <c r="H1007" s="10">
        <v>71.8</v>
      </c>
      <c r="I1007" s="10">
        <f t="shared" si="17"/>
        <v>71.8</v>
      </c>
      <c r="J1007" s="10">
        <v>6.4412190000000002</v>
      </c>
      <c r="K1007" s="8" t="s">
        <v>5963</v>
      </c>
      <c r="S1007"/>
    </row>
    <row r="1008" spans="1:19" ht="15" x14ac:dyDescent="0.25">
      <c r="A1008" s="8" t="s">
        <v>5622</v>
      </c>
      <c r="B1008" s="8" t="s">
        <v>4847</v>
      </c>
      <c r="C1008" s="8" t="s">
        <v>5972</v>
      </c>
      <c r="D1008" s="32" t="s">
        <v>6984</v>
      </c>
      <c r="E1008" s="32" t="s">
        <v>5972</v>
      </c>
      <c r="F1008" s="10">
        <v>1</v>
      </c>
      <c r="G1008" s="8" t="s">
        <v>5973</v>
      </c>
      <c r="H1008" s="10">
        <v>68.400000000000006</v>
      </c>
      <c r="I1008" s="10">
        <f t="shared" si="17"/>
        <v>68.400000000000006</v>
      </c>
      <c r="J1008" s="10">
        <v>2.3230634999999999</v>
      </c>
      <c r="K1008" s="8" t="s">
        <v>5974</v>
      </c>
      <c r="S1008"/>
    </row>
    <row r="1009" spans="1:19" ht="15" x14ac:dyDescent="0.25">
      <c r="A1009" s="8" t="s">
        <v>5622</v>
      </c>
      <c r="B1009" s="8" t="s">
        <v>4847</v>
      </c>
      <c r="C1009" s="8" t="s">
        <v>5975</v>
      </c>
      <c r="D1009" s="32" t="s">
        <v>6984</v>
      </c>
      <c r="E1009" s="32" t="s">
        <v>5975</v>
      </c>
      <c r="F1009" s="10">
        <v>1</v>
      </c>
      <c r="G1009" s="8" t="s">
        <v>5962</v>
      </c>
      <c r="H1009" s="10">
        <v>122.5</v>
      </c>
      <c r="I1009" s="10">
        <f t="shared" si="17"/>
        <v>122.5</v>
      </c>
      <c r="J1009" s="10">
        <v>4.0635935999999999</v>
      </c>
      <c r="K1009" s="8" t="s">
        <v>4904</v>
      </c>
      <c r="S1009"/>
    </row>
    <row r="1010" spans="1:19" ht="15" x14ac:dyDescent="0.25">
      <c r="A1010" s="8" t="s">
        <v>5622</v>
      </c>
      <c r="B1010" s="8" t="s">
        <v>4847</v>
      </c>
      <c r="C1010" s="8" t="s">
        <v>5976</v>
      </c>
      <c r="D1010" s="32" t="s">
        <v>6984</v>
      </c>
      <c r="E1010" s="32" t="s">
        <v>5976</v>
      </c>
      <c r="F1010" s="10">
        <v>1</v>
      </c>
      <c r="G1010" s="8" t="s">
        <v>5962</v>
      </c>
      <c r="H1010" s="10">
        <v>120.7</v>
      </c>
      <c r="I1010" s="10">
        <f t="shared" si="17"/>
        <v>120.7</v>
      </c>
      <c r="J1010" s="10">
        <v>4.0183610999999999</v>
      </c>
      <c r="K1010" s="8" t="s">
        <v>4904</v>
      </c>
      <c r="S1010"/>
    </row>
    <row r="1011" spans="1:19" ht="15" x14ac:dyDescent="0.25">
      <c r="A1011" s="8" t="s">
        <v>5622</v>
      </c>
      <c r="B1011" s="8" t="s">
        <v>4847</v>
      </c>
      <c r="C1011" s="8" t="s">
        <v>5977</v>
      </c>
      <c r="D1011" s="32" t="s">
        <v>6984</v>
      </c>
      <c r="E1011" s="32" t="s">
        <v>5977</v>
      </c>
      <c r="F1011" s="10">
        <v>2</v>
      </c>
      <c r="G1011" s="8" t="s">
        <v>5962</v>
      </c>
      <c r="H1011" s="10">
        <v>68.45</v>
      </c>
      <c r="I1011" s="10">
        <f t="shared" si="17"/>
        <v>136.9</v>
      </c>
      <c r="J1011" s="10">
        <v>4.6461269999999999</v>
      </c>
      <c r="K1011" s="8" t="s">
        <v>5974</v>
      </c>
      <c r="S1011"/>
    </row>
    <row r="1012" spans="1:19" ht="15" x14ac:dyDescent="0.25">
      <c r="A1012" s="8" t="s">
        <v>5622</v>
      </c>
      <c r="B1012" s="8" t="s">
        <v>4847</v>
      </c>
      <c r="C1012" s="8" t="s">
        <v>5978</v>
      </c>
      <c r="D1012" s="32" t="s">
        <v>6984</v>
      </c>
      <c r="E1012" s="32" t="s">
        <v>5978</v>
      </c>
      <c r="F1012" s="10">
        <v>1</v>
      </c>
      <c r="G1012" s="8" t="s">
        <v>5962</v>
      </c>
      <c r="H1012" s="10">
        <v>98.3</v>
      </c>
      <c r="I1012" s="10">
        <f t="shared" si="17"/>
        <v>98.3</v>
      </c>
      <c r="J1012" s="10">
        <v>3.2613599999999998</v>
      </c>
      <c r="K1012" s="8" t="s">
        <v>4904</v>
      </c>
      <c r="S1012"/>
    </row>
    <row r="1013" spans="1:19" ht="15" x14ac:dyDescent="0.25">
      <c r="A1013" s="8" t="s">
        <v>5622</v>
      </c>
      <c r="B1013" s="8" t="s">
        <v>4847</v>
      </c>
      <c r="C1013" s="8" t="s">
        <v>5979</v>
      </c>
      <c r="D1013" s="32" t="s">
        <v>6984</v>
      </c>
      <c r="E1013" s="32" t="s">
        <v>5979</v>
      </c>
      <c r="F1013" s="10">
        <v>1</v>
      </c>
      <c r="G1013" s="8" t="s">
        <v>5962</v>
      </c>
      <c r="H1013" s="10">
        <v>98.3</v>
      </c>
      <c r="I1013" s="10">
        <f t="shared" si="17"/>
        <v>98.3</v>
      </c>
      <c r="J1013" s="10">
        <v>3.2613599999999998</v>
      </c>
      <c r="K1013" s="8" t="s">
        <v>4904</v>
      </c>
      <c r="S1013"/>
    </row>
    <row r="1014" spans="1:19" ht="15" x14ac:dyDescent="0.25">
      <c r="A1014" s="8" t="s">
        <v>5622</v>
      </c>
      <c r="B1014" s="8" t="s">
        <v>4847</v>
      </c>
      <c r="C1014" s="8" t="s">
        <v>5980</v>
      </c>
      <c r="D1014" s="32" t="s">
        <v>6984</v>
      </c>
      <c r="E1014" s="32" t="s">
        <v>5980</v>
      </c>
      <c r="F1014" s="10">
        <v>1</v>
      </c>
      <c r="G1014" s="8" t="s">
        <v>5962</v>
      </c>
      <c r="H1014" s="10">
        <v>70.599999999999994</v>
      </c>
      <c r="I1014" s="10">
        <f t="shared" si="17"/>
        <v>70.599999999999994</v>
      </c>
      <c r="J1014" s="10">
        <v>6.3296270000000003</v>
      </c>
      <c r="K1014" s="8" t="s">
        <v>5963</v>
      </c>
      <c r="S1014"/>
    </row>
    <row r="1015" spans="1:19" ht="15" x14ac:dyDescent="0.25">
      <c r="A1015" s="8" t="s">
        <v>5622</v>
      </c>
      <c r="B1015" s="8" t="s">
        <v>4847</v>
      </c>
      <c r="C1015" s="8" t="s">
        <v>5981</v>
      </c>
      <c r="D1015" s="32" t="s">
        <v>6984</v>
      </c>
      <c r="E1015" s="32" t="s">
        <v>5981</v>
      </c>
      <c r="F1015" s="10">
        <v>1</v>
      </c>
      <c r="G1015" s="8" t="s">
        <v>5962</v>
      </c>
      <c r="H1015" s="10">
        <v>90.3</v>
      </c>
      <c r="I1015" s="10">
        <f t="shared" si="17"/>
        <v>90.3</v>
      </c>
      <c r="J1015" s="10">
        <v>3.0476952000000002</v>
      </c>
      <c r="K1015" s="8" t="s">
        <v>5974</v>
      </c>
      <c r="S1015"/>
    </row>
    <row r="1016" spans="1:19" ht="15" x14ac:dyDescent="0.25">
      <c r="A1016" s="8" t="s">
        <v>5622</v>
      </c>
      <c r="B1016" s="8" t="s">
        <v>4847</v>
      </c>
      <c r="C1016" s="8" t="s">
        <v>5982</v>
      </c>
      <c r="D1016" s="32" t="s">
        <v>6984</v>
      </c>
      <c r="E1016" s="32" t="s">
        <v>5982</v>
      </c>
      <c r="F1016" s="10">
        <v>1</v>
      </c>
      <c r="G1016" s="8" t="s">
        <v>5962</v>
      </c>
      <c r="H1016" s="10">
        <v>72.099999999999994</v>
      </c>
      <c r="I1016" s="10">
        <f t="shared" si="17"/>
        <v>72.099999999999994</v>
      </c>
      <c r="J1016" s="10">
        <v>2.4446786999999999</v>
      </c>
      <c r="K1016" s="8" t="s">
        <v>5974</v>
      </c>
      <c r="S1016"/>
    </row>
    <row r="1017" spans="1:19" ht="15" x14ac:dyDescent="0.25">
      <c r="A1017" s="8" t="s">
        <v>5622</v>
      </c>
      <c r="B1017" s="8" t="s">
        <v>4847</v>
      </c>
      <c r="C1017" s="8" t="s">
        <v>5983</v>
      </c>
      <c r="D1017" s="32" t="s">
        <v>6984</v>
      </c>
      <c r="E1017" s="32" t="s">
        <v>5983</v>
      </c>
      <c r="F1017" s="10">
        <v>1</v>
      </c>
      <c r="G1017" s="8" t="s">
        <v>5962</v>
      </c>
      <c r="H1017" s="10">
        <v>102.3</v>
      </c>
      <c r="I1017" s="10">
        <f t="shared" si="17"/>
        <v>102.3</v>
      </c>
      <c r="J1017" s="10">
        <v>9.1784420000000004</v>
      </c>
      <c r="K1017" s="8" t="s">
        <v>5963</v>
      </c>
      <c r="S1017"/>
    </row>
    <row r="1018" spans="1:19" ht="15" x14ac:dyDescent="0.25">
      <c r="A1018" s="8" t="s">
        <v>5622</v>
      </c>
      <c r="B1018" s="8" t="s">
        <v>4847</v>
      </c>
      <c r="C1018" s="8" t="s">
        <v>5984</v>
      </c>
      <c r="D1018" s="32" t="s">
        <v>6984</v>
      </c>
      <c r="E1018" s="32" t="s">
        <v>5984</v>
      </c>
      <c r="F1018" s="10">
        <v>1</v>
      </c>
      <c r="G1018" s="8" t="s">
        <v>5962</v>
      </c>
      <c r="H1018" s="10">
        <v>74</v>
      </c>
      <c r="I1018" s="10">
        <f t="shared" si="17"/>
        <v>74</v>
      </c>
      <c r="J1018" s="10">
        <v>6.6365049999999997</v>
      </c>
      <c r="K1018" s="8" t="s">
        <v>5963</v>
      </c>
      <c r="S1018"/>
    </row>
    <row r="1019" spans="1:19" ht="15" x14ac:dyDescent="0.25">
      <c r="A1019" s="8" t="s">
        <v>5622</v>
      </c>
      <c r="B1019" s="8" t="s">
        <v>4847</v>
      </c>
      <c r="C1019" s="8" t="s">
        <v>5985</v>
      </c>
      <c r="D1019" s="32" t="s">
        <v>6984</v>
      </c>
      <c r="E1019" s="32" t="s">
        <v>5985</v>
      </c>
      <c r="F1019" s="10">
        <v>1</v>
      </c>
      <c r="G1019" s="8" t="s">
        <v>5962</v>
      </c>
      <c r="H1019" s="10">
        <v>103.8</v>
      </c>
      <c r="I1019" s="10">
        <f t="shared" si="17"/>
        <v>103.8</v>
      </c>
      <c r="J1019" s="10">
        <v>9.3082750000000001</v>
      </c>
      <c r="K1019" s="8" t="s">
        <v>5963</v>
      </c>
      <c r="S1019"/>
    </row>
    <row r="1020" spans="1:19" ht="15" x14ac:dyDescent="0.25">
      <c r="A1020" s="8" t="s">
        <v>5622</v>
      </c>
      <c r="B1020" s="8" t="s">
        <v>4847</v>
      </c>
      <c r="C1020" s="8" t="s">
        <v>5986</v>
      </c>
      <c r="D1020" s="32" t="s">
        <v>6984</v>
      </c>
      <c r="E1020" s="32" t="s">
        <v>5986</v>
      </c>
      <c r="F1020" s="10">
        <v>1</v>
      </c>
      <c r="G1020" s="8" t="s">
        <v>5962</v>
      </c>
      <c r="H1020" s="10">
        <v>125.5</v>
      </c>
      <c r="I1020" s="10">
        <f t="shared" si="17"/>
        <v>125.5</v>
      </c>
      <c r="J1020" s="10">
        <v>10.08882</v>
      </c>
      <c r="K1020" s="8" t="s">
        <v>5966</v>
      </c>
      <c r="S1020"/>
    </row>
    <row r="1021" spans="1:19" ht="15" x14ac:dyDescent="0.25">
      <c r="A1021" s="8" t="s">
        <v>5622</v>
      </c>
      <c r="B1021" s="8" t="s">
        <v>4847</v>
      </c>
      <c r="C1021" s="8" t="s">
        <v>5987</v>
      </c>
      <c r="D1021" s="32" t="s">
        <v>6984</v>
      </c>
      <c r="E1021" s="32" t="s">
        <v>5987</v>
      </c>
      <c r="F1021" s="10">
        <v>2</v>
      </c>
      <c r="G1021" s="8" t="s">
        <v>5962</v>
      </c>
      <c r="H1021" s="10">
        <v>63.6</v>
      </c>
      <c r="I1021" s="10">
        <f t="shared" si="17"/>
        <v>127.2</v>
      </c>
      <c r="J1021" s="10">
        <v>11.403843999999999</v>
      </c>
      <c r="K1021" s="8" t="s">
        <v>5963</v>
      </c>
      <c r="S1021"/>
    </row>
    <row r="1022" spans="1:19" ht="15" x14ac:dyDescent="0.25">
      <c r="A1022" s="8" t="s">
        <v>5622</v>
      </c>
      <c r="B1022" s="8" t="s">
        <v>4847</v>
      </c>
      <c r="C1022" s="8" t="s">
        <v>5988</v>
      </c>
      <c r="D1022" s="32" t="s">
        <v>6984</v>
      </c>
      <c r="E1022" s="32" t="s">
        <v>5988</v>
      </c>
      <c r="F1022" s="10">
        <v>6</v>
      </c>
      <c r="G1022" s="8" t="s">
        <v>5973</v>
      </c>
      <c r="H1022" s="10">
        <v>130.56666666666666</v>
      </c>
      <c r="I1022" s="10">
        <f t="shared" si="17"/>
        <v>783.4</v>
      </c>
      <c r="J1022" s="10">
        <v>62.974800000000002</v>
      </c>
      <c r="K1022" s="8" t="s">
        <v>5966</v>
      </c>
      <c r="S1022"/>
    </row>
    <row r="1023" spans="1:19" ht="15" x14ac:dyDescent="0.25">
      <c r="A1023" s="8" t="s">
        <v>5622</v>
      </c>
      <c r="B1023" s="8" t="s">
        <v>4847</v>
      </c>
      <c r="C1023" s="8" t="s">
        <v>5989</v>
      </c>
      <c r="D1023" s="32" t="s">
        <v>6984</v>
      </c>
      <c r="E1023" s="32" t="s">
        <v>5989</v>
      </c>
      <c r="F1023" s="10">
        <v>1</v>
      </c>
      <c r="G1023" s="8" t="s">
        <v>5973</v>
      </c>
      <c r="H1023" s="10">
        <v>130.6</v>
      </c>
      <c r="I1023" s="10">
        <f t="shared" si="17"/>
        <v>130.6</v>
      </c>
      <c r="J1023" s="10">
        <v>10.495799999999999</v>
      </c>
      <c r="K1023" s="8" t="s">
        <v>5966</v>
      </c>
      <c r="S1023"/>
    </row>
    <row r="1024" spans="1:19" ht="15" x14ac:dyDescent="0.25">
      <c r="A1024" s="8" t="s">
        <v>5622</v>
      </c>
      <c r="B1024" s="8" t="s">
        <v>4847</v>
      </c>
      <c r="C1024" s="8" t="s">
        <v>5990</v>
      </c>
      <c r="D1024" s="32" t="s">
        <v>6984</v>
      </c>
      <c r="E1024" s="32" t="s">
        <v>5990</v>
      </c>
      <c r="F1024" s="10">
        <v>1</v>
      </c>
      <c r="G1024" s="8" t="s">
        <v>5973</v>
      </c>
      <c r="H1024" s="10">
        <v>75.900000000000006</v>
      </c>
      <c r="I1024" s="10">
        <f t="shared" si="17"/>
        <v>75.900000000000006</v>
      </c>
      <c r="J1024" s="10">
        <v>6.8081849999999999</v>
      </c>
      <c r="K1024" s="8" t="s">
        <v>5963</v>
      </c>
      <c r="S1024"/>
    </row>
    <row r="1025" spans="1:19" ht="15" x14ac:dyDescent="0.25">
      <c r="A1025" s="8" t="s">
        <v>5622</v>
      </c>
      <c r="B1025" s="8" t="s">
        <v>4847</v>
      </c>
      <c r="C1025" s="8" t="s">
        <v>5991</v>
      </c>
      <c r="D1025" s="32" t="s">
        <v>6984</v>
      </c>
      <c r="E1025" s="32" t="s">
        <v>5991</v>
      </c>
      <c r="F1025" s="10">
        <v>1</v>
      </c>
      <c r="G1025" s="8" t="s">
        <v>5973</v>
      </c>
      <c r="H1025" s="10">
        <v>102.3</v>
      </c>
      <c r="I1025" s="10">
        <f t="shared" si="17"/>
        <v>102.3</v>
      </c>
      <c r="J1025" s="10">
        <v>9.1795150000000003</v>
      </c>
      <c r="K1025" s="8" t="s">
        <v>5963</v>
      </c>
      <c r="S1025"/>
    </row>
    <row r="1026" spans="1:19" ht="15" x14ac:dyDescent="0.25">
      <c r="A1026" s="8" t="s">
        <v>5622</v>
      </c>
      <c r="B1026" s="8" t="s">
        <v>4847</v>
      </c>
      <c r="C1026" s="8" t="s">
        <v>5992</v>
      </c>
      <c r="D1026" s="32" t="s">
        <v>6984</v>
      </c>
      <c r="E1026" s="32" t="s">
        <v>5992</v>
      </c>
      <c r="F1026" s="10">
        <v>1</v>
      </c>
      <c r="G1026" s="8" t="s">
        <v>5973</v>
      </c>
      <c r="H1026" s="10">
        <v>102.3</v>
      </c>
      <c r="I1026" s="10">
        <f t="shared" si="17"/>
        <v>102.3</v>
      </c>
      <c r="J1026" s="10">
        <v>9.1795150000000003</v>
      </c>
      <c r="K1026" s="8" t="s">
        <v>5963</v>
      </c>
      <c r="S1026"/>
    </row>
    <row r="1027" spans="1:19" ht="15" x14ac:dyDescent="0.25">
      <c r="A1027" s="8" t="s">
        <v>5622</v>
      </c>
      <c r="B1027" s="8" t="s">
        <v>4847</v>
      </c>
      <c r="C1027" s="8" t="s">
        <v>5993</v>
      </c>
      <c r="D1027" s="32" t="s">
        <v>6984</v>
      </c>
      <c r="E1027" s="32" t="s">
        <v>5993</v>
      </c>
      <c r="F1027" s="10">
        <v>2</v>
      </c>
      <c r="G1027" s="8" t="s">
        <v>5973</v>
      </c>
      <c r="H1027" s="10">
        <v>90.25</v>
      </c>
      <c r="I1027" s="10">
        <f t="shared" si="17"/>
        <v>180.5</v>
      </c>
      <c r="J1027" s="10">
        <v>6.0960000000000001</v>
      </c>
      <c r="K1027" s="8" t="s">
        <v>5974</v>
      </c>
      <c r="S1027"/>
    </row>
    <row r="1028" spans="1:19" ht="15" x14ac:dyDescent="0.25">
      <c r="A1028" s="8" t="s">
        <v>5622</v>
      </c>
      <c r="B1028" s="8" t="s">
        <v>4847</v>
      </c>
      <c r="C1028" s="8" t="s">
        <v>5994</v>
      </c>
      <c r="D1028" s="32" t="s">
        <v>6984</v>
      </c>
      <c r="E1028" s="32" t="s">
        <v>5994</v>
      </c>
      <c r="F1028" s="10">
        <v>1</v>
      </c>
      <c r="G1028" s="8" t="s">
        <v>5973</v>
      </c>
      <c r="H1028" s="10">
        <v>69.8</v>
      </c>
      <c r="I1028" s="10">
        <f t="shared" si="17"/>
        <v>69.8</v>
      </c>
      <c r="J1028" s="10">
        <v>6.260955</v>
      </c>
      <c r="K1028" s="8" t="s">
        <v>5963</v>
      </c>
      <c r="S1028"/>
    </row>
    <row r="1029" spans="1:19" ht="15" x14ac:dyDescent="0.25">
      <c r="A1029" s="8" t="s">
        <v>5622</v>
      </c>
      <c r="B1029" s="8" t="s">
        <v>4847</v>
      </c>
      <c r="C1029" s="8" t="s">
        <v>5995</v>
      </c>
      <c r="D1029" s="32" t="s">
        <v>6984</v>
      </c>
      <c r="E1029" s="32" t="s">
        <v>5995</v>
      </c>
      <c r="F1029" s="10">
        <v>2</v>
      </c>
      <c r="G1029" s="8" t="s">
        <v>5973</v>
      </c>
      <c r="H1029" s="10">
        <v>96.85</v>
      </c>
      <c r="I1029" s="10">
        <f t="shared" ref="I1029:I1092" si="18">F1029*H1029</f>
        <v>193.7</v>
      </c>
      <c r="J1029" s="10">
        <v>17.371870000000001</v>
      </c>
      <c r="K1029" s="8" t="s">
        <v>5963</v>
      </c>
      <c r="S1029"/>
    </row>
    <row r="1030" spans="1:19" ht="15" x14ac:dyDescent="0.25">
      <c r="A1030" s="8" t="s">
        <v>5622</v>
      </c>
      <c r="B1030" s="8" t="s">
        <v>4847</v>
      </c>
      <c r="C1030" s="8" t="s">
        <v>5996</v>
      </c>
      <c r="D1030" s="32" t="s">
        <v>6984</v>
      </c>
      <c r="E1030" s="32" t="s">
        <v>5996</v>
      </c>
      <c r="F1030" s="10">
        <v>1</v>
      </c>
      <c r="G1030" s="8" t="s">
        <v>5973</v>
      </c>
      <c r="H1030" s="10">
        <v>72.5</v>
      </c>
      <c r="I1030" s="10">
        <f t="shared" si="18"/>
        <v>72.5</v>
      </c>
      <c r="J1030" s="10">
        <v>6.5023799999999996</v>
      </c>
      <c r="K1030" s="8" t="s">
        <v>5963</v>
      </c>
      <c r="S1030"/>
    </row>
    <row r="1031" spans="1:19" ht="15" x14ac:dyDescent="0.25">
      <c r="A1031" s="8" t="s">
        <v>5622</v>
      </c>
      <c r="B1031" s="8" t="s">
        <v>4847</v>
      </c>
      <c r="C1031" s="8" t="s">
        <v>5997</v>
      </c>
      <c r="D1031" s="32" t="s">
        <v>6984</v>
      </c>
      <c r="E1031" s="32" t="s">
        <v>5997</v>
      </c>
      <c r="F1031" s="10">
        <v>2</v>
      </c>
      <c r="G1031" s="8" t="s">
        <v>5973</v>
      </c>
      <c r="H1031" s="10">
        <v>103.8</v>
      </c>
      <c r="I1031" s="10">
        <f t="shared" si="18"/>
        <v>207.6</v>
      </c>
      <c r="J1031" s="10">
        <v>18.61655</v>
      </c>
      <c r="K1031" s="8" t="s">
        <v>5963</v>
      </c>
      <c r="S1031"/>
    </row>
    <row r="1032" spans="1:19" ht="15" x14ac:dyDescent="0.25">
      <c r="A1032" s="8" t="s">
        <v>5622</v>
      </c>
      <c r="B1032" s="8" t="s">
        <v>4847</v>
      </c>
      <c r="C1032" s="8" t="s">
        <v>5998</v>
      </c>
      <c r="D1032" s="32" t="s">
        <v>6984</v>
      </c>
      <c r="E1032" s="32" t="s">
        <v>5998</v>
      </c>
      <c r="F1032" s="10">
        <v>1</v>
      </c>
      <c r="G1032" s="8" t="s">
        <v>5973</v>
      </c>
      <c r="H1032" s="10">
        <v>72.5</v>
      </c>
      <c r="I1032" s="10">
        <f t="shared" si="18"/>
        <v>72.5</v>
      </c>
      <c r="J1032" s="10">
        <v>6.5023799999999996</v>
      </c>
      <c r="K1032" s="8" t="s">
        <v>5963</v>
      </c>
      <c r="S1032"/>
    </row>
    <row r="1033" spans="1:19" ht="15" x14ac:dyDescent="0.25">
      <c r="A1033" s="8" t="s">
        <v>5622</v>
      </c>
      <c r="B1033" s="8" t="s">
        <v>4847</v>
      </c>
      <c r="C1033" s="8" t="s">
        <v>5999</v>
      </c>
      <c r="D1033" s="32" t="s">
        <v>6984</v>
      </c>
      <c r="E1033" s="32" t="s">
        <v>5999</v>
      </c>
      <c r="F1033" s="10">
        <v>1</v>
      </c>
      <c r="G1033" s="8" t="s">
        <v>5973</v>
      </c>
      <c r="H1033" s="10">
        <v>72.5</v>
      </c>
      <c r="I1033" s="10">
        <f t="shared" si="18"/>
        <v>72.5</v>
      </c>
      <c r="J1033" s="10">
        <v>6.5023799999999996</v>
      </c>
      <c r="K1033" s="8" t="s">
        <v>5963</v>
      </c>
      <c r="S1033"/>
    </row>
    <row r="1034" spans="1:19" ht="15" x14ac:dyDescent="0.25">
      <c r="A1034" s="8" t="s">
        <v>5622</v>
      </c>
      <c r="B1034" s="8" t="s">
        <v>4847</v>
      </c>
      <c r="C1034" s="8" t="s">
        <v>6000</v>
      </c>
      <c r="D1034" s="32" t="s">
        <v>6984</v>
      </c>
      <c r="E1034" s="32" t="s">
        <v>6000</v>
      </c>
      <c r="F1034" s="10">
        <v>2</v>
      </c>
      <c r="G1034" s="8" t="s">
        <v>5973</v>
      </c>
      <c r="H1034" s="10">
        <v>103.8</v>
      </c>
      <c r="I1034" s="10">
        <f t="shared" si="18"/>
        <v>207.6</v>
      </c>
      <c r="J1034" s="10">
        <v>18.61655</v>
      </c>
      <c r="K1034" s="8" t="s">
        <v>5963</v>
      </c>
      <c r="S1034"/>
    </row>
    <row r="1035" spans="1:19" ht="15" x14ac:dyDescent="0.25">
      <c r="A1035" s="8" t="s">
        <v>5622</v>
      </c>
      <c r="B1035" s="8" t="s">
        <v>4847</v>
      </c>
      <c r="C1035" s="8" t="s">
        <v>6001</v>
      </c>
      <c r="D1035" s="32" t="s">
        <v>6984</v>
      </c>
      <c r="E1035" s="32" t="s">
        <v>6001</v>
      </c>
      <c r="F1035" s="10">
        <v>1</v>
      </c>
      <c r="G1035" s="8" t="s">
        <v>5973</v>
      </c>
      <c r="H1035" s="10">
        <v>96.8</v>
      </c>
      <c r="I1035" s="10">
        <f t="shared" si="18"/>
        <v>96.8</v>
      </c>
      <c r="J1035" s="10">
        <v>8.6859350000000006</v>
      </c>
      <c r="K1035" s="8" t="s">
        <v>5963</v>
      </c>
      <c r="S1035"/>
    </row>
    <row r="1036" spans="1:19" ht="15" x14ac:dyDescent="0.25">
      <c r="A1036" s="8" t="s">
        <v>5622</v>
      </c>
      <c r="B1036" s="8" t="s">
        <v>4847</v>
      </c>
      <c r="C1036" s="8" t="s">
        <v>6002</v>
      </c>
      <c r="D1036" s="32" t="s">
        <v>6984</v>
      </c>
      <c r="E1036" s="32" t="s">
        <v>6002</v>
      </c>
      <c r="F1036" s="10">
        <v>1</v>
      </c>
      <c r="G1036" s="8" t="s">
        <v>5973</v>
      </c>
      <c r="H1036" s="10">
        <v>127.3</v>
      </c>
      <c r="I1036" s="10">
        <f t="shared" si="18"/>
        <v>127.3</v>
      </c>
      <c r="J1036" s="10">
        <v>10.233404999999999</v>
      </c>
      <c r="K1036" s="8" t="s">
        <v>5966</v>
      </c>
      <c r="S1036"/>
    </row>
    <row r="1037" spans="1:19" ht="15" x14ac:dyDescent="0.25">
      <c r="A1037" s="8" t="s">
        <v>5622</v>
      </c>
      <c r="B1037" s="8" t="s">
        <v>4847</v>
      </c>
      <c r="C1037" s="8" t="s">
        <v>6003</v>
      </c>
      <c r="D1037" s="32" t="s">
        <v>6984</v>
      </c>
      <c r="E1037" s="32" t="s">
        <v>6003</v>
      </c>
      <c r="F1037" s="10">
        <v>1</v>
      </c>
      <c r="G1037" s="8" t="s">
        <v>5973</v>
      </c>
      <c r="H1037" s="10">
        <v>127.3</v>
      </c>
      <c r="I1037" s="10">
        <f t="shared" si="18"/>
        <v>127.3</v>
      </c>
      <c r="J1037" s="10">
        <v>10.233404999999999</v>
      </c>
      <c r="K1037" s="8" t="s">
        <v>5966</v>
      </c>
      <c r="S1037"/>
    </row>
    <row r="1038" spans="1:19" ht="15" x14ac:dyDescent="0.25">
      <c r="A1038" s="8" t="s">
        <v>5622</v>
      </c>
      <c r="B1038" s="8" t="s">
        <v>4847</v>
      </c>
      <c r="C1038" s="8" t="s">
        <v>6004</v>
      </c>
      <c r="D1038" s="32" t="s">
        <v>6984</v>
      </c>
      <c r="E1038" s="32" t="s">
        <v>6004</v>
      </c>
      <c r="F1038" s="10">
        <v>1</v>
      </c>
      <c r="G1038" s="8" t="s">
        <v>5973</v>
      </c>
      <c r="H1038" s="10">
        <v>127.3</v>
      </c>
      <c r="I1038" s="10">
        <f t="shared" si="18"/>
        <v>127.3</v>
      </c>
      <c r="J1038" s="10">
        <v>10.233404999999999</v>
      </c>
      <c r="K1038" s="8" t="s">
        <v>5966</v>
      </c>
      <c r="S1038"/>
    </row>
    <row r="1039" spans="1:19" ht="15" x14ac:dyDescent="0.25">
      <c r="A1039" s="8" t="s">
        <v>5622</v>
      </c>
      <c r="B1039" s="8" t="s">
        <v>4847</v>
      </c>
      <c r="C1039" s="8" t="s">
        <v>6005</v>
      </c>
      <c r="D1039" s="32" t="s">
        <v>6984</v>
      </c>
      <c r="E1039" s="32" t="s">
        <v>6005</v>
      </c>
      <c r="F1039" s="10">
        <v>1</v>
      </c>
      <c r="G1039" s="8" t="s">
        <v>5973</v>
      </c>
      <c r="H1039" s="10">
        <v>130.6</v>
      </c>
      <c r="I1039" s="10">
        <f t="shared" si="18"/>
        <v>130.6</v>
      </c>
      <c r="J1039" s="10">
        <v>10.495799999999999</v>
      </c>
      <c r="K1039" s="8" t="s">
        <v>5966</v>
      </c>
      <c r="S1039"/>
    </row>
    <row r="1040" spans="1:19" ht="15" x14ac:dyDescent="0.25">
      <c r="A1040" s="8" t="s">
        <v>5622</v>
      </c>
      <c r="B1040" s="8" t="s">
        <v>4847</v>
      </c>
      <c r="C1040" s="8" t="s">
        <v>6006</v>
      </c>
      <c r="D1040" s="32" t="s">
        <v>6984</v>
      </c>
      <c r="E1040" s="32" t="s">
        <v>6006</v>
      </c>
      <c r="F1040" s="10">
        <v>1</v>
      </c>
      <c r="G1040" s="8" t="s">
        <v>5973</v>
      </c>
      <c r="H1040" s="10">
        <v>102.3</v>
      </c>
      <c r="I1040" s="10">
        <f t="shared" si="18"/>
        <v>102.3</v>
      </c>
      <c r="J1040" s="10">
        <v>9.1795150000000003</v>
      </c>
      <c r="K1040" s="8" t="s">
        <v>5963</v>
      </c>
      <c r="S1040"/>
    </row>
    <row r="1041" spans="1:19" ht="15" x14ac:dyDescent="0.25">
      <c r="A1041" s="8" t="s">
        <v>5622</v>
      </c>
      <c r="B1041" s="8" t="s">
        <v>4847</v>
      </c>
      <c r="C1041" s="8" t="s">
        <v>6007</v>
      </c>
      <c r="D1041" s="32" t="s">
        <v>6984</v>
      </c>
      <c r="E1041" s="32" t="s">
        <v>6007</v>
      </c>
      <c r="F1041" s="10">
        <v>2</v>
      </c>
      <c r="G1041" s="8" t="s">
        <v>5973</v>
      </c>
      <c r="H1041" s="10">
        <v>103.8</v>
      </c>
      <c r="I1041" s="10">
        <f t="shared" si="18"/>
        <v>207.6</v>
      </c>
      <c r="J1041" s="10">
        <v>18.61655</v>
      </c>
      <c r="K1041" s="8" t="s">
        <v>5963</v>
      </c>
      <c r="S1041"/>
    </row>
    <row r="1042" spans="1:19" ht="15" x14ac:dyDescent="0.25">
      <c r="A1042" s="8" t="s">
        <v>5622</v>
      </c>
      <c r="B1042" s="8" t="s">
        <v>4847</v>
      </c>
      <c r="C1042" s="8" t="s">
        <v>6008</v>
      </c>
      <c r="D1042" s="32" t="s">
        <v>6984</v>
      </c>
      <c r="E1042" s="32" t="s">
        <v>6008</v>
      </c>
      <c r="F1042" s="10">
        <v>6</v>
      </c>
      <c r="G1042" s="8" t="s">
        <v>5973</v>
      </c>
      <c r="H1042" s="10">
        <v>102.35000000000001</v>
      </c>
      <c r="I1042" s="10">
        <f t="shared" si="18"/>
        <v>614.1</v>
      </c>
      <c r="J1042" s="10">
        <v>55.077089999999998</v>
      </c>
      <c r="K1042" s="8" t="s">
        <v>5963</v>
      </c>
      <c r="S1042"/>
    </row>
    <row r="1043" spans="1:19" ht="15" x14ac:dyDescent="0.25">
      <c r="A1043" s="8" t="s">
        <v>5622</v>
      </c>
      <c r="B1043" s="8" t="s">
        <v>4847</v>
      </c>
      <c r="C1043" s="8" t="s">
        <v>6009</v>
      </c>
      <c r="D1043" s="32" t="s">
        <v>6984</v>
      </c>
      <c r="E1043" s="32" t="s">
        <v>6009</v>
      </c>
      <c r="F1043" s="10">
        <v>1</v>
      </c>
      <c r="G1043" s="8" t="s">
        <v>5973</v>
      </c>
      <c r="H1043" s="10">
        <v>96.8</v>
      </c>
      <c r="I1043" s="10">
        <f t="shared" si="18"/>
        <v>96.8</v>
      </c>
      <c r="J1043" s="10">
        <v>8.6859350000000006</v>
      </c>
      <c r="K1043" s="8" t="s">
        <v>5963</v>
      </c>
      <c r="S1043"/>
    </row>
    <row r="1044" spans="1:19" ht="15" x14ac:dyDescent="0.25">
      <c r="A1044" s="8" t="s">
        <v>5622</v>
      </c>
      <c r="B1044" s="8" t="s">
        <v>4847</v>
      </c>
      <c r="C1044" s="8" t="s">
        <v>6010</v>
      </c>
      <c r="D1044" s="32" t="s">
        <v>6984</v>
      </c>
      <c r="E1044" s="32" t="s">
        <v>6010</v>
      </c>
      <c r="F1044" s="10">
        <v>1</v>
      </c>
      <c r="G1044" s="8" t="s">
        <v>5973</v>
      </c>
      <c r="H1044" s="10">
        <v>89.1</v>
      </c>
      <c r="I1044" s="10">
        <f t="shared" si="18"/>
        <v>89.1</v>
      </c>
      <c r="J1044" s="10">
        <v>2.9565600000000001</v>
      </c>
      <c r="K1044" s="8" t="s">
        <v>4904</v>
      </c>
      <c r="S1044"/>
    </row>
    <row r="1045" spans="1:19" ht="15" x14ac:dyDescent="0.25">
      <c r="A1045" s="8" t="s">
        <v>5622</v>
      </c>
      <c r="B1045" s="8" t="s">
        <v>4847</v>
      </c>
      <c r="C1045" s="8" t="s">
        <v>6011</v>
      </c>
      <c r="D1045" s="32" t="s">
        <v>6984</v>
      </c>
      <c r="E1045" s="32" t="s">
        <v>6011</v>
      </c>
      <c r="F1045" s="10">
        <v>1</v>
      </c>
      <c r="G1045" s="8" t="s">
        <v>5973</v>
      </c>
      <c r="H1045" s="10">
        <v>96.8</v>
      </c>
      <c r="I1045" s="10">
        <f t="shared" si="18"/>
        <v>96.8</v>
      </c>
      <c r="J1045" s="10">
        <v>8.6859350000000006</v>
      </c>
      <c r="K1045" s="8" t="s">
        <v>5963</v>
      </c>
      <c r="S1045"/>
    </row>
    <row r="1046" spans="1:19" ht="15" x14ac:dyDescent="0.25">
      <c r="A1046" s="8" t="s">
        <v>5622</v>
      </c>
      <c r="B1046" s="8" t="s">
        <v>4847</v>
      </c>
      <c r="C1046" s="8" t="s">
        <v>6012</v>
      </c>
      <c r="D1046" s="32" t="s">
        <v>6984</v>
      </c>
      <c r="E1046" s="32" t="s">
        <v>6012</v>
      </c>
      <c r="F1046" s="10">
        <v>1</v>
      </c>
      <c r="G1046" s="8" t="s">
        <v>5973</v>
      </c>
      <c r="H1046" s="10">
        <v>90.3</v>
      </c>
      <c r="I1046" s="10">
        <f t="shared" si="18"/>
        <v>90.3</v>
      </c>
      <c r="J1046" s="10">
        <v>3.048</v>
      </c>
      <c r="K1046" s="8" t="s">
        <v>5974</v>
      </c>
      <c r="S1046"/>
    </row>
    <row r="1047" spans="1:19" ht="15" x14ac:dyDescent="0.25">
      <c r="A1047" s="8" t="s">
        <v>5622</v>
      </c>
      <c r="B1047" s="8" t="s">
        <v>4847</v>
      </c>
      <c r="C1047" s="8" t="s">
        <v>6013</v>
      </c>
      <c r="D1047" s="32" t="s">
        <v>6984</v>
      </c>
      <c r="E1047" s="32" t="s">
        <v>6013</v>
      </c>
      <c r="F1047" s="10">
        <v>6</v>
      </c>
      <c r="G1047" s="8" t="s">
        <v>5973</v>
      </c>
      <c r="H1047" s="10">
        <v>96.850000000000009</v>
      </c>
      <c r="I1047" s="10">
        <f t="shared" si="18"/>
        <v>581.1</v>
      </c>
      <c r="J1047" s="10">
        <v>52.115609999999997</v>
      </c>
      <c r="K1047" s="8" t="s">
        <v>5963</v>
      </c>
      <c r="S1047"/>
    </row>
    <row r="1048" spans="1:19" ht="15" x14ac:dyDescent="0.25">
      <c r="A1048" s="8" t="s">
        <v>5622</v>
      </c>
      <c r="B1048" s="8" t="s">
        <v>4847</v>
      </c>
      <c r="C1048" s="8" t="s">
        <v>6014</v>
      </c>
      <c r="D1048" s="32" t="s">
        <v>6984</v>
      </c>
      <c r="E1048" s="32" t="s">
        <v>6014</v>
      </c>
      <c r="F1048" s="10">
        <v>11</v>
      </c>
      <c r="G1048" s="8" t="s">
        <v>5973</v>
      </c>
      <c r="H1048" s="10">
        <v>103.78181818181817</v>
      </c>
      <c r="I1048" s="10">
        <f t="shared" si="18"/>
        <v>1141.5999999999999</v>
      </c>
      <c r="J1048" s="10">
        <v>102.391025</v>
      </c>
      <c r="K1048" s="8" t="s">
        <v>5963</v>
      </c>
      <c r="S1048"/>
    </row>
    <row r="1049" spans="1:19" ht="15" x14ac:dyDescent="0.25">
      <c r="A1049" s="8" t="s">
        <v>5622</v>
      </c>
      <c r="B1049" s="8" t="s">
        <v>4847</v>
      </c>
      <c r="C1049" s="8" t="s">
        <v>6015</v>
      </c>
      <c r="D1049" s="32" t="s">
        <v>6984</v>
      </c>
      <c r="E1049" s="32" t="s">
        <v>6015</v>
      </c>
      <c r="F1049" s="10">
        <v>1</v>
      </c>
      <c r="G1049" s="8" t="s">
        <v>5973</v>
      </c>
      <c r="H1049" s="10">
        <v>96.8</v>
      </c>
      <c r="I1049" s="10">
        <f t="shared" si="18"/>
        <v>96.8</v>
      </c>
      <c r="J1049" s="10">
        <v>8.6859350000000006</v>
      </c>
      <c r="K1049" s="8" t="s">
        <v>5963</v>
      </c>
      <c r="S1049"/>
    </row>
    <row r="1050" spans="1:19" ht="15" x14ac:dyDescent="0.25">
      <c r="A1050" s="8" t="s">
        <v>5622</v>
      </c>
      <c r="B1050" s="8" t="s">
        <v>4847</v>
      </c>
      <c r="C1050" s="8" t="s">
        <v>6016</v>
      </c>
      <c r="D1050" s="32" t="s">
        <v>6984</v>
      </c>
      <c r="E1050" s="32" t="s">
        <v>6016</v>
      </c>
      <c r="F1050" s="10">
        <v>1</v>
      </c>
      <c r="G1050" s="8" t="s">
        <v>5973</v>
      </c>
      <c r="H1050" s="10">
        <v>96.8</v>
      </c>
      <c r="I1050" s="10">
        <f t="shared" si="18"/>
        <v>96.8</v>
      </c>
      <c r="J1050" s="10">
        <v>8.6859350000000006</v>
      </c>
      <c r="K1050" s="8" t="s">
        <v>5963</v>
      </c>
      <c r="S1050"/>
    </row>
    <row r="1051" spans="1:19" ht="15" x14ac:dyDescent="0.25">
      <c r="A1051" s="8" t="s">
        <v>5622</v>
      </c>
      <c r="B1051" s="8" t="s">
        <v>4847</v>
      </c>
      <c r="C1051" s="8" t="s">
        <v>6017</v>
      </c>
      <c r="D1051" s="32" t="s">
        <v>6984</v>
      </c>
      <c r="E1051" s="32" t="s">
        <v>6017</v>
      </c>
      <c r="F1051" s="10">
        <v>2</v>
      </c>
      <c r="G1051" s="8" t="s">
        <v>5973</v>
      </c>
      <c r="H1051" s="10">
        <v>71.650000000000006</v>
      </c>
      <c r="I1051" s="10">
        <f t="shared" si="18"/>
        <v>143.30000000000001</v>
      </c>
      <c r="J1051" s="10">
        <v>12.85454</v>
      </c>
      <c r="K1051" s="8" t="s">
        <v>5963</v>
      </c>
      <c r="S1051"/>
    </row>
    <row r="1052" spans="1:19" ht="15" x14ac:dyDescent="0.25">
      <c r="A1052" s="8" t="s">
        <v>5622</v>
      </c>
      <c r="B1052" s="8" t="s">
        <v>4847</v>
      </c>
      <c r="C1052" s="8" t="s">
        <v>6018</v>
      </c>
      <c r="D1052" s="32" t="s">
        <v>6984</v>
      </c>
      <c r="E1052" s="32" t="s">
        <v>6018</v>
      </c>
      <c r="F1052" s="10">
        <v>4</v>
      </c>
      <c r="G1052" s="8" t="s">
        <v>5973</v>
      </c>
      <c r="H1052" s="10">
        <v>75.900000000000006</v>
      </c>
      <c r="I1052" s="10">
        <f t="shared" si="18"/>
        <v>303.60000000000002</v>
      </c>
      <c r="J1052" s="10">
        <v>27.23274</v>
      </c>
      <c r="K1052" s="8" t="s">
        <v>5963</v>
      </c>
      <c r="S1052"/>
    </row>
    <row r="1053" spans="1:19" ht="15" x14ac:dyDescent="0.25">
      <c r="A1053" s="8" t="s">
        <v>5622</v>
      </c>
      <c r="B1053" s="8" t="s">
        <v>4847</v>
      </c>
      <c r="C1053" s="8" t="s">
        <v>6019</v>
      </c>
      <c r="D1053" s="32" t="s">
        <v>6984</v>
      </c>
      <c r="E1053" s="32" t="s">
        <v>6019</v>
      </c>
      <c r="F1053" s="10">
        <v>1</v>
      </c>
      <c r="G1053" s="8" t="s">
        <v>5973</v>
      </c>
      <c r="H1053" s="10">
        <v>102.3</v>
      </c>
      <c r="I1053" s="10">
        <f t="shared" si="18"/>
        <v>102.3</v>
      </c>
      <c r="J1053" s="10">
        <v>9.1795150000000003</v>
      </c>
      <c r="K1053" s="8" t="s">
        <v>5963</v>
      </c>
      <c r="S1053"/>
    </row>
    <row r="1054" spans="1:19" ht="15" x14ac:dyDescent="0.25">
      <c r="A1054" s="8" t="s">
        <v>5622</v>
      </c>
      <c r="B1054" s="8" t="s">
        <v>4847</v>
      </c>
      <c r="C1054" s="8" t="s">
        <v>6020</v>
      </c>
      <c r="D1054" s="32" t="s">
        <v>6984</v>
      </c>
      <c r="E1054" s="32" t="s">
        <v>6020</v>
      </c>
      <c r="F1054" s="10">
        <v>1</v>
      </c>
      <c r="G1054" s="8" t="s">
        <v>5973</v>
      </c>
      <c r="H1054" s="10">
        <v>75.900000000000006</v>
      </c>
      <c r="I1054" s="10">
        <f t="shared" si="18"/>
        <v>75.900000000000006</v>
      </c>
      <c r="J1054" s="10">
        <v>6.8081849999999999</v>
      </c>
      <c r="K1054" s="8" t="s">
        <v>5963</v>
      </c>
      <c r="S1054"/>
    </row>
    <row r="1055" spans="1:19" ht="15" x14ac:dyDescent="0.25">
      <c r="A1055" s="8" t="s">
        <v>5622</v>
      </c>
      <c r="B1055" s="8" t="s">
        <v>4847</v>
      </c>
      <c r="C1055" s="8" t="s">
        <v>6021</v>
      </c>
      <c r="D1055" s="32" t="s">
        <v>6984</v>
      </c>
      <c r="E1055" s="32" t="s">
        <v>6021</v>
      </c>
      <c r="F1055" s="10">
        <v>2</v>
      </c>
      <c r="G1055" s="8" t="s">
        <v>5973</v>
      </c>
      <c r="H1055" s="10">
        <v>68.95</v>
      </c>
      <c r="I1055" s="10">
        <f t="shared" si="18"/>
        <v>137.9</v>
      </c>
      <c r="J1055" s="10">
        <v>12.369543999999999</v>
      </c>
      <c r="K1055" s="8" t="s">
        <v>5963</v>
      </c>
      <c r="S1055"/>
    </row>
    <row r="1056" spans="1:19" ht="15" x14ac:dyDescent="0.25">
      <c r="A1056" s="8" t="s">
        <v>5622</v>
      </c>
      <c r="B1056" s="8" t="s">
        <v>4847</v>
      </c>
      <c r="C1056" s="8" t="s">
        <v>6022</v>
      </c>
      <c r="D1056" s="32" t="s">
        <v>6984</v>
      </c>
      <c r="E1056" s="32" t="s">
        <v>6022</v>
      </c>
      <c r="F1056" s="10">
        <v>2</v>
      </c>
      <c r="G1056" s="8" t="s">
        <v>5973</v>
      </c>
      <c r="H1056" s="10">
        <v>75.900000000000006</v>
      </c>
      <c r="I1056" s="10">
        <f t="shared" si="18"/>
        <v>151.80000000000001</v>
      </c>
      <c r="J1056" s="10">
        <v>13.61637</v>
      </c>
      <c r="K1056" s="8" t="s">
        <v>5963</v>
      </c>
      <c r="S1056"/>
    </row>
    <row r="1057" spans="1:19" ht="15" x14ac:dyDescent="0.25">
      <c r="A1057" s="8" t="s">
        <v>5622</v>
      </c>
      <c r="B1057" s="8" t="s">
        <v>4847</v>
      </c>
      <c r="C1057" s="8" t="s">
        <v>6023</v>
      </c>
      <c r="D1057" s="32" t="s">
        <v>6984</v>
      </c>
      <c r="E1057" s="32" t="s">
        <v>6023</v>
      </c>
      <c r="F1057" s="10">
        <v>1</v>
      </c>
      <c r="G1057" s="8" t="s">
        <v>5973</v>
      </c>
      <c r="H1057" s="10">
        <v>71.7</v>
      </c>
      <c r="I1057" s="10">
        <f t="shared" si="18"/>
        <v>71.7</v>
      </c>
      <c r="J1057" s="10">
        <v>6.42727</v>
      </c>
      <c r="K1057" s="8" t="s">
        <v>5963</v>
      </c>
      <c r="S1057"/>
    </row>
    <row r="1058" spans="1:19" ht="15" x14ac:dyDescent="0.25">
      <c r="A1058" s="8" t="s">
        <v>5622</v>
      </c>
      <c r="B1058" s="8" t="s">
        <v>4847</v>
      </c>
      <c r="C1058" s="8" t="s">
        <v>6024</v>
      </c>
      <c r="D1058" s="32" t="s">
        <v>6984</v>
      </c>
      <c r="E1058" s="32" t="s">
        <v>6024</v>
      </c>
      <c r="F1058" s="10">
        <v>4</v>
      </c>
      <c r="G1058" s="8" t="s">
        <v>5973</v>
      </c>
      <c r="H1058" s="10">
        <v>71.650000000000006</v>
      </c>
      <c r="I1058" s="10">
        <f t="shared" si="18"/>
        <v>286.60000000000002</v>
      </c>
      <c r="J1058" s="10">
        <v>25.70908</v>
      </c>
      <c r="K1058" s="8" t="s">
        <v>5963</v>
      </c>
      <c r="S1058"/>
    </row>
    <row r="1059" spans="1:19" ht="15" x14ac:dyDescent="0.25">
      <c r="A1059" s="8" t="s">
        <v>5622</v>
      </c>
      <c r="B1059" s="8" t="s">
        <v>4847</v>
      </c>
      <c r="C1059" s="8" t="s">
        <v>6025</v>
      </c>
      <c r="D1059" s="32" t="s">
        <v>6984</v>
      </c>
      <c r="E1059" s="32" t="s">
        <v>6025</v>
      </c>
      <c r="F1059" s="10">
        <v>1</v>
      </c>
      <c r="G1059" s="8" t="s">
        <v>5973</v>
      </c>
      <c r="H1059" s="10">
        <v>71.7</v>
      </c>
      <c r="I1059" s="10">
        <f t="shared" si="18"/>
        <v>71.7</v>
      </c>
      <c r="J1059" s="10">
        <v>6.42727</v>
      </c>
      <c r="K1059" s="8" t="s">
        <v>5963</v>
      </c>
      <c r="S1059"/>
    </row>
    <row r="1060" spans="1:19" ht="15" x14ac:dyDescent="0.25">
      <c r="A1060" s="8" t="s">
        <v>5622</v>
      </c>
      <c r="B1060" s="8" t="s">
        <v>4847</v>
      </c>
      <c r="C1060" s="8" t="s">
        <v>6026</v>
      </c>
      <c r="D1060" s="32" t="s">
        <v>6984</v>
      </c>
      <c r="E1060" s="32" t="s">
        <v>6026</v>
      </c>
      <c r="F1060" s="10">
        <v>1</v>
      </c>
      <c r="G1060" s="8" t="s">
        <v>16</v>
      </c>
      <c r="H1060" s="10">
        <v>671.3</v>
      </c>
      <c r="I1060" s="10">
        <f t="shared" si="18"/>
        <v>671.3</v>
      </c>
      <c r="J1060" s="10">
        <v>12.32987723976</v>
      </c>
      <c r="K1060" s="8" t="s">
        <v>4850</v>
      </c>
      <c r="S1060"/>
    </row>
    <row r="1061" spans="1:19" ht="15" x14ac:dyDescent="0.25">
      <c r="A1061" s="8" t="s">
        <v>5622</v>
      </c>
      <c r="B1061" s="8" t="s">
        <v>4847</v>
      </c>
      <c r="C1061" s="8" t="s">
        <v>6027</v>
      </c>
      <c r="D1061" s="32" t="s">
        <v>6984</v>
      </c>
      <c r="E1061" s="32" t="s">
        <v>6027</v>
      </c>
      <c r="F1061" s="10">
        <v>1</v>
      </c>
      <c r="G1061" s="8" t="s">
        <v>16</v>
      </c>
      <c r="H1061" s="10">
        <v>44.1</v>
      </c>
      <c r="I1061" s="10">
        <f t="shared" si="18"/>
        <v>44.1</v>
      </c>
      <c r="J1061" s="10">
        <v>1.32931295956</v>
      </c>
      <c r="K1061" s="8" t="s">
        <v>4781</v>
      </c>
      <c r="S1061"/>
    </row>
    <row r="1062" spans="1:19" ht="15" x14ac:dyDescent="0.25">
      <c r="A1062" s="8" t="s">
        <v>5622</v>
      </c>
      <c r="B1062" s="8" t="s">
        <v>4847</v>
      </c>
      <c r="C1062" s="8" t="s">
        <v>6028</v>
      </c>
      <c r="D1062" s="32" t="s">
        <v>6984</v>
      </c>
      <c r="E1062" s="32" t="s">
        <v>6028</v>
      </c>
      <c r="F1062" s="10">
        <v>1</v>
      </c>
      <c r="G1062" s="8" t="s">
        <v>16</v>
      </c>
      <c r="H1062" s="10">
        <v>364.8</v>
      </c>
      <c r="I1062" s="10">
        <f t="shared" si="18"/>
        <v>364.8</v>
      </c>
      <c r="J1062" s="10">
        <v>9.28261895232</v>
      </c>
      <c r="K1062" s="8" t="s">
        <v>4949</v>
      </c>
      <c r="S1062"/>
    </row>
    <row r="1063" spans="1:19" ht="15" x14ac:dyDescent="0.25">
      <c r="A1063" s="8" t="s">
        <v>5622</v>
      </c>
      <c r="B1063" s="8" t="s">
        <v>4847</v>
      </c>
      <c r="C1063" s="8" t="s">
        <v>6029</v>
      </c>
      <c r="D1063" s="32" t="s">
        <v>6984</v>
      </c>
      <c r="E1063" s="32" t="s">
        <v>6029</v>
      </c>
      <c r="F1063" s="10">
        <v>1</v>
      </c>
      <c r="G1063" s="8" t="s">
        <v>16</v>
      </c>
      <c r="H1063" s="10">
        <v>419.7</v>
      </c>
      <c r="I1063" s="10">
        <f t="shared" si="18"/>
        <v>419.7</v>
      </c>
      <c r="J1063" s="10">
        <v>10.738039339</v>
      </c>
      <c r="K1063" s="8" t="s">
        <v>4949</v>
      </c>
      <c r="S1063"/>
    </row>
    <row r="1064" spans="1:19" ht="15" x14ac:dyDescent="0.25">
      <c r="A1064" s="8" t="s">
        <v>5622</v>
      </c>
      <c r="B1064" s="8" t="s">
        <v>4847</v>
      </c>
      <c r="C1064" s="8" t="s">
        <v>6030</v>
      </c>
      <c r="D1064" s="32" t="s">
        <v>6984</v>
      </c>
      <c r="E1064" s="32" t="s">
        <v>6030</v>
      </c>
      <c r="F1064" s="10">
        <v>3</v>
      </c>
      <c r="G1064" s="8" t="s">
        <v>5642</v>
      </c>
      <c r="H1064" s="10">
        <v>157.4</v>
      </c>
      <c r="I1064" s="10">
        <f t="shared" si="18"/>
        <v>472.20000000000005</v>
      </c>
      <c r="J1064" s="10">
        <v>18.096519104999999</v>
      </c>
      <c r="K1064" s="8" t="s">
        <v>5643</v>
      </c>
      <c r="S1064"/>
    </row>
    <row r="1065" spans="1:19" ht="15" x14ac:dyDescent="0.25">
      <c r="A1065" s="8" t="s">
        <v>5622</v>
      </c>
      <c r="B1065" s="8" t="s">
        <v>4847</v>
      </c>
      <c r="C1065" s="8" t="s">
        <v>6031</v>
      </c>
      <c r="D1065" s="32" t="s">
        <v>6984</v>
      </c>
      <c r="E1065" s="32" t="s">
        <v>6031</v>
      </c>
      <c r="F1065" s="10">
        <v>1</v>
      </c>
      <c r="G1065" s="8" t="s">
        <v>5642</v>
      </c>
      <c r="H1065" s="10">
        <v>566.9</v>
      </c>
      <c r="I1065" s="10">
        <f t="shared" si="18"/>
        <v>566.9</v>
      </c>
      <c r="J1065" s="10">
        <v>6.5915343899999996</v>
      </c>
      <c r="K1065" s="8" t="s">
        <v>5643</v>
      </c>
      <c r="S1065"/>
    </row>
    <row r="1066" spans="1:19" ht="15" x14ac:dyDescent="0.25">
      <c r="A1066" s="8" t="s">
        <v>5622</v>
      </c>
      <c r="B1066" s="8" t="s">
        <v>4847</v>
      </c>
      <c r="C1066" s="8" t="s">
        <v>6032</v>
      </c>
      <c r="D1066" s="32" t="s">
        <v>6984</v>
      </c>
      <c r="E1066" s="32" t="s">
        <v>6032</v>
      </c>
      <c r="F1066" s="10">
        <v>1</v>
      </c>
      <c r="G1066" s="8" t="s">
        <v>5642</v>
      </c>
      <c r="H1066" s="10">
        <v>206.4</v>
      </c>
      <c r="I1066" s="10">
        <f t="shared" si="18"/>
        <v>206.4</v>
      </c>
      <c r="J1066" s="10">
        <v>6.5619243899999997</v>
      </c>
      <c r="K1066" s="8" t="s">
        <v>5643</v>
      </c>
      <c r="S1066"/>
    </row>
    <row r="1067" spans="1:19" ht="15" x14ac:dyDescent="0.25">
      <c r="A1067" s="8" t="s">
        <v>5622</v>
      </c>
      <c r="B1067" s="8" t="s">
        <v>4847</v>
      </c>
      <c r="C1067" s="8" t="s">
        <v>6033</v>
      </c>
      <c r="D1067" s="32" t="s">
        <v>6984</v>
      </c>
      <c r="E1067" s="32" t="s">
        <v>6033</v>
      </c>
      <c r="F1067" s="10">
        <v>2</v>
      </c>
      <c r="G1067" s="8" t="s">
        <v>5642</v>
      </c>
      <c r="H1067" s="10">
        <v>102.5</v>
      </c>
      <c r="I1067" s="10">
        <f t="shared" si="18"/>
        <v>205</v>
      </c>
      <c r="J1067" s="10">
        <v>12.056786069999999</v>
      </c>
      <c r="K1067" s="8" t="s">
        <v>5643</v>
      </c>
      <c r="S1067"/>
    </row>
    <row r="1068" spans="1:19" ht="15" x14ac:dyDescent="0.25">
      <c r="A1068" s="8" t="s">
        <v>5622</v>
      </c>
      <c r="B1068" s="8" t="s">
        <v>4847</v>
      </c>
      <c r="C1068" s="8" t="s">
        <v>6034</v>
      </c>
      <c r="D1068" s="32" t="s">
        <v>6984</v>
      </c>
      <c r="E1068" s="32" t="s">
        <v>6034</v>
      </c>
      <c r="F1068" s="10">
        <v>1</v>
      </c>
      <c r="G1068" s="8" t="s">
        <v>4903</v>
      </c>
      <c r="H1068" s="10">
        <v>377.7</v>
      </c>
      <c r="I1068" s="10">
        <f t="shared" si="18"/>
        <v>377.7</v>
      </c>
      <c r="J1068" s="10">
        <v>12.061126826000001</v>
      </c>
      <c r="K1068" s="8" t="s">
        <v>4949</v>
      </c>
      <c r="S1068"/>
    </row>
    <row r="1069" spans="1:19" ht="15" x14ac:dyDescent="0.25">
      <c r="A1069" s="8" t="s">
        <v>5622</v>
      </c>
      <c r="B1069" s="8" t="s">
        <v>4847</v>
      </c>
      <c r="C1069" s="8" t="s">
        <v>6035</v>
      </c>
      <c r="D1069" s="32" t="s">
        <v>6984</v>
      </c>
      <c r="E1069" s="32" t="s">
        <v>6035</v>
      </c>
      <c r="F1069" s="10">
        <v>1</v>
      </c>
      <c r="G1069" s="8" t="s">
        <v>4934</v>
      </c>
      <c r="H1069" s="10">
        <v>141.5</v>
      </c>
      <c r="I1069" s="10">
        <f t="shared" si="18"/>
        <v>141.5</v>
      </c>
      <c r="J1069" s="10">
        <v>5.3784072639999998</v>
      </c>
      <c r="K1069" s="8" t="s">
        <v>5049</v>
      </c>
      <c r="S1069"/>
    </row>
    <row r="1070" spans="1:19" ht="15" x14ac:dyDescent="0.25">
      <c r="A1070" s="8" t="s">
        <v>5622</v>
      </c>
      <c r="B1070" s="8" t="s">
        <v>4847</v>
      </c>
      <c r="C1070" s="8" t="s">
        <v>6036</v>
      </c>
      <c r="D1070" s="32" t="s">
        <v>6984</v>
      </c>
      <c r="E1070" s="32" t="s">
        <v>6036</v>
      </c>
      <c r="F1070" s="10">
        <v>1</v>
      </c>
      <c r="G1070" s="8" t="s">
        <v>4934</v>
      </c>
      <c r="H1070" s="10">
        <v>28.8</v>
      </c>
      <c r="I1070" s="10">
        <f t="shared" si="18"/>
        <v>28.8</v>
      </c>
      <c r="J1070" s="10">
        <v>1.050056259</v>
      </c>
      <c r="K1070" s="8" t="s">
        <v>5049</v>
      </c>
      <c r="S1070"/>
    </row>
    <row r="1071" spans="1:19" ht="15" x14ac:dyDescent="0.25">
      <c r="A1071" s="8" t="s">
        <v>5622</v>
      </c>
      <c r="B1071" s="8" t="s">
        <v>4847</v>
      </c>
      <c r="C1071" s="8" t="s">
        <v>6037</v>
      </c>
      <c r="D1071" s="32" t="s">
        <v>6984</v>
      </c>
      <c r="E1071" s="32" t="s">
        <v>6037</v>
      </c>
      <c r="F1071" s="10">
        <v>1</v>
      </c>
      <c r="G1071" s="8" t="s">
        <v>4934</v>
      </c>
      <c r="H1071" s="10">
        <v>40.5</v>
      </c>
      <c r="I1071" s="10">
        <f t="shared" si="18"/>
        <v>40.5</v>
      </c>
      <c r="J1071" s="10">
        <v>1.5283384440000001</v>
      </c>
      <c r="K1071" s="8" t="s">
        <v>5049</v>
      </c>
      <c r="S1071"/>
    </row>
    <row r="1072" spans="1:19" ht="15" x14ac:dyDescent="0.25">
      <c r="A1072" s="8" t="s">
        <v>5622</v>
      </c>
      <c r="B1072" s="8" t="s">
        <v>4847</v>
      </c>
      <c r="C1072" s="8" t="s">
        <v>6038</v>
      </c>
      <c r="D1072" s="32" t="s">
        <v>6984</v>
      </c>
      <c r="E1072" s="32" t="s">
        <v>6038</v>
      </c>
      <c r="F1072" s="10">
        <v>1</v>
      </c>
      <c r="G1072" s="8" t="s">
        <v>4934</v>
      </c>
      <c r="H1072" s="10">
        <v>140.30000000000001</v>
      </c>
      <c r="I1072" s="10">
        <f t="shared" si="18"/>
        <v>140.30000000000001</v>
      </c>
      <c r="J1072" s="10">
        <v>5.3447776640000004</v>
      </c>
      <c r="K1072" s="8" t="s">
        <v>5049</v>
      </c>
      <c r="S1072"/>
    </row>
    <row r="1073" spans="1:19" ht="15" x14ac:dyDescent="0.25">
      <c r="A1073" s="8" t="s">
        <v>5622</v>
      </c>
      <c r="B1073" s="8" t="s">
        <v>4847</v>
      </c>
      <c r="C1073" s="8" t="s">
        <v>6039</v>
      </c>
      <c r="D1073" s="32" t="s">
        <v>6984</v>
      </c>
      <c r="E1073" s="32" t="s">
        <v>6039</v>
      </c>
      <c r="F1073" s="10">
        <v>1</v>
      </c>
      <c r="G1073" s="8" t="s">
        <v>4934</v>
      </c>
      <c r="H1073" s="10">
        <v>63.8</v>
      </c>
      <c r="I1073" s="10">
        <f t="shared" si="18"/>
        <v>63.8</v>
      </c>
      <c r="J1073" s="10">
        <v>2.4138821840000002</v>
      </c>
      <c r="K1073" s="8" t="s">
        <v>5049</v>
      </c>
      <c r="S1073"/>
    </row>
    <row r="1074" spans="1:19" ht="15" x14ac:dyDescent="0.25">
      <c r="A1074" s="8" t="s">
        <v>5622</v>
      </c>
      <c r="B1074" s="8" t="s">
        <v>4847</v>
      </c>
      <c r="C1074" s="8" t="s">
        <v>6040</v>
      </c>
      <c r="D1074" s="32" t="s">
        <v>6984</v>
      </c>
      <c r="E1074" s="32" t="s">
        <v>6040</v>
      </c>
      <c r="F1074" s="10">
        <v>6</v>
      </c>
      <c r="G1074" s="8" t="s">
        <v>5832</v>
      </c>
      <c r="H1074" s="10">
        <v>8.9333333333333336</v>
      </c>
      <c r="I1074" s="10">
        <f t="shared" si="18"/>
        <v>53.6</v>
      </c>
      <c r="J1074" s="10">
        <v>2.944566</v>
      </c>
      <c r="K1074" s="8" t="s">
        <v>5245</v>
      </c>
      <c r="S1074"/>
    </row>
    <row r="1075" spans="1:19" ht="15" x14ac:dyDescent="0.25">
      <c r="A1075" s="8" t="s">
        <v>5622</v>
      </c>
      <c r="B1075" s="8" t="s">
        <v>4847</v>
      </c>
      <c r="C1075" s="8" t="s">
        <v>6041</v>
      </c>
      <c r="D1075" s="32" t="s">
        <v>6984</v>
      </c>
      <c r="E1075" s="32" t="s">
        <v>6041</v>
      </c>
      <c r="F1075" s="10">
        <v>18</v>
      </c>
      <c r="G1075" s="8" t="s">
        <v>5832</v>
      </c>
      <c r="H1075" s="10">
        <v>10.088888888888889</v>
      </c>
      <c r="I1075" s="10">
        <f t="shared" si="18"/>
        <v>181.6</v>
      </c>
      <c r="J1075" s="10">
        <v>9.9995580000000004</v>
      </c>
      <c r="K1075" s="8" t="s">
        <v>5245</v>
      </c>
      <c r="S1075"/>
    </row>
    <row r="1076" spans="1:19" ht="15" x14ac:dyDescent="0.25">
      <c r="A1076" s="8" t="s">
        <v>5622</v>
      </c>
      <c r="B1076" s="8" t="s">
        <v>4847</v>
      </c>
      <c r="C1076" s="8" t="s">
        <v>6042</v>
      </c>
      <c r="D1076" s="32" t="s">
        <v>6984</v>
      </c>
      <c r="E1076" s="32" t="s">
        <v>6042</v>
      </c>
      <c r="F1076" s="10">
        <v>12</v>
      </c>
      <c r="G1076" s="8" t="s">
        <v>5832</v>
      </c>
      <c r="H1076" s="10">
        <v>10.066666666666666</v>
      </c>
      <c r="I1076" s="10">
        <f t="shared" si="18"/>
        <v>120.8</v>
      </c>
      <c r="J1076" s="10">
        <v>6.6511319999999996</v>
      </c>
      <c r="K1076" s="8" t="s">
        <v>5245</v>
      </c>
      <c r="S1076"/>
    </row>
    <row r="1077" spans="1:19" ht="15" x14ac:dyDescent="0.25">
      <c r="A1077" s="8" t="s">
        <v>5622</v>
      </c>
      <c r="B1077" s="8" t="s">
        <v>4847</v>
      </c>
      <c r="C1077" s="8" t="s">
        <v>6043</v>
      </c>
      <c r="D1077" s="32" t="s">
        <v>6984</v>
      </c>
      <c r="E1077" s="32" t="s">
        <v>6043</v>
      </c>
      <c r="F1077" s="10">
        <v>6</v>
      </c>
      <c r="G1077" s="8" t="s">
        <v>5832</v>
      </c>
      <c r="H1077" s="10">
        <v>7.25</v>
      </c>
      <c r="I1077" s="10">
        <f t="shared" si="18"/>
        <v>43.5</v>
      </c>
      <c r="J1077" s="10">
        <v>2.3806859999999999</v>
      </c>
      <c r="K1077" s="8" t="s">
        <v>5245</v>
      </c>
      <c r="S1077"/>
    </row>
    <row r="1078" spans="1:19" ht="15" x14ac:dyDescent="0.25">
      <c r="A1078" s="8" t="s">
        <v>5622</v>
      </c>
      <c r="B1078" s="8" t="s">
        <v>4847</v>
      </c>
      <c r="C1078" s="8" t="s">
        <v>6044</v>
      </c>
      <c r="D1078" s="32" t="s">
        <v>6984</v>
      </c>
      <c r="E1078" s="32" t="s">
        <v>6044</v>
      </c>
      <c r="F1078" s="10">
        <v>2</v>
      </c>
      <c r="G1078" s="8" t="s">
        <v>5832</v>
      </c>
      <c r="H1078" s="10">
        <v>7.75</v>
      </c>
      <c r="I1078" s="10">
        <f t="shared" si="18"/>
        <v>15.5</v>
      </c>
      <c r="J1078" s="10">
        <v>0.84944200000000003</v>
      </c>
      <c r="K1078" s="8" t="s">
        <v>5245</v>
      </c>
      <c r="S1078"/>
    </row>
    <row r="1079" spans="1:19" ht="15" x14ac:dyDescent="0.25">
      <c r="A1079" s="8" t="s">
        <v>5622</v>
      </c>
      <c r="B1079" s="8" t="s">
        <v>4847</v>
      </c>
      <c r="C1079" s="8" t="s">
        <v>6045</v>
      </c>
      <c r="D1079" s="32" t="s">
        <v>6984</v>
      </c>
      <c r="E1079" s="32" t="s">
        <v>6045</v>
      </c>
      <c r="F1079" s="10">
        <v>3</v>
      </c>
      <c r="G1079" s="8" t="s">
        <v>5832</v>
      </c>
      <c r="H1079" s="10">
        <v>10.1</v>
      </c>
      <c r="I1079" s="10">
        <f t="shared" si="18"/>
        <v>30.299999999999997</v>
      </c>
      <c r="J1079" s="10">
        <v>1.666593</v>
      </c>
      <c r="K1079" s="8" t="s">
        <v>5245</v>
      </c>
      <c r="S1079"/>
    </row>
    <row r="1080" spans="1:19" ht="15" x14ac:dyDescent="0.25">
      <c r="A1080" s="8" t="s">
        <v>5622</v>
      </c>
      <c r="B1080" s="8" t="s">
        <v>4847</v>
      </c>
      <c r="C1080" s="8" t="s">
        <v>6046</v>
      </c>
      <c r="D1080" s="32" t="s">
        <v>6984</v>
      </c>
      <c r="E1080" s="32" t="s">
        <v>6046</v>
      </c>
      <c r="F1080" s="10">
        <v>2</v>
      </c>
      <c r="G1080" s="8" t="s">
        <v>5642</v>
      </c>
      <c r="H1080" s="10">
        <v>4.75</v>
      </c>
      <c r="I1080" s="10">
        <f t="shared" si="18"/>
        <v>9.5</v>
      </c>
      <c r="J1080" s="10">
        <v>0.53888639999999999</v>
      </c>
      <c r="K1080" s="8" t="s">
        <v>5248</v>
      </c>
      <c r="S1080"/>
    </row>
    <row r="1081" spans="1:19" ht="15" x14ac:dyDescent="0.25">
      <c r="A1081" s="8" t="s">
        <v>4932</v>
      </c>
      <c r="B1081" s="8" t="s">
        <v>14</v>
      </c>
      <c r="C1081" s="8" t="s">
        <v>6047</v>
      </c>
      <c r="D1081" s="32" t="s">
        <v>6984</v>
      </c>
      <c r="E1081" s="32" t="s">
        <v>6047</v>
      </c>
      <c r="F1081" s="10">
        <v>1</v>
      </c>
      <c r="G1081" s="8" t="s">
        <v>5642</v>
      </c>
      <c r="H1081" s="10">
        <v>6.7</v>
      </c>
      <c r="I1081" s="10">
        <f t="shared" si="18"/>
        <v>6.7</v>
      </c>
      <c r="J1081" s="10">
        <v>0.28270200000000001</v>
      </c>
      <c r="K1081" s="8" t="s">
        <v>5335</v>
      </c>
      <c r="S1081"/>
    </row>
    <row r="1082" spans="1:19" ht="15" x14ac:dyDescent="0.25">
      <c r="A1082" s="8" t="s">
        <v>4932</v>
      </c>
      <c r="B1082" s="8" t="s">
        <v>14</v>
      </c>
      <c r="C1082" s="8" t="s">
        <v>6048</v>
      </c>
      <c r="D1082" s="32" t="s">
        <v>6984</v>
      </c>
      <c r="E1082" s="32" t="s">
        <v>6048</v>
      </c>
      <c r="F1082" s="10">
        <v>2</v>
      </c>
      <c r="G1082" s="8" t="s">
        <v>5642</v>
      </c>
      <c r="H1082" s="10">
        <v>4.75</v>
      </c>
      <c r="I1082" s="10">
        <f t="shared" si="18"/>
        <v>9.5</v>
      </c>
      <c r="J1082" s="10">
        <v>0.53522879999999995</v>
      </c>
      <c r="K1082" s="8" t="s">
        <v>5248</v>
      </c>
      <c r="S1082"/>
    </row>
    <row r="1083" spans="1:19" ht="15" x14ac:dyDescent="0.25">
      <c r="A1083" s="8" t="s">
        <v>4932</v>
      </c>
      <c r="B1083" s="8" t="s">
        <v>14</v>
      </c>
      <c r="C1083" s="8" t="s">
        <v>6049</v>
      </c>
      <c r="D1083" s="32" t="s">
        <v>6984</v>
      </c>
      <c r="E1083" s="32" t="s">
        <v>6049</v>
      </c>
      <c r="F1083" s="10">
        <v>2</v>
      </c>
      <c r="G1083" s="8" t="s">
        <v>5642</v>
      </c>
      <c r="H1083" s="10">
        <v>8.5</v>
      </c>
      <c r="I1083" s="10">
        <f t="shared" si="18"/>
        <v>17</v>
      </c>
      <c r="J1083" s="10">
        <v>0.70896479999999995</v>
      </c>
      <c r="K1083" s="8" t="s">
        <v>5051</v>
      </c>
      <c r="S1083"/>
    </row>
    <row r="1084" spans="1:19" ht="15" x14ac:dyDescent="0.25">
      <c r="A1084" s="8" t="s">
        <v>4932</v>
      </c>
      <c r="B1084" s="8" t="s">
        <v>14</v>
      </c>
      <c r="C1084" s="8" t="s">
        <v>6050</v>
      </c>
      <c r="D1084" s="32" t="s">
        <v>6984</v>
      </c>
      <c r="E1084" s="32" t="s">
        <v>6050</v>
      </c>
      <c r="F1084" s="10">
        <v>4</v>
      </c>
      <c r="G1084" s="8" t="s">
        <v>5642</v>
      </c>
      <c r="H1084" s="10">
        <v>4.7</v>
      </c>
      <c r="I1084" s="10">
        <f t="shared" si="18"/>
        <v>18.8</v>
      </c>
      <c r="J1084" s="10">
        <v>1.0655808</v>
      </c>
      <c r="K1084" s="8" t="s">
        <v>5248</v>
      </c>
      <c r="S1084"/>
    </row>
    <row r="1085" spans="1:19" ht="15" x14ac:dyDescent="0.25">
      <c r="A1085" s="8" t="s">
        <v>4932</v>
      </c>
      <c r="B1085" s="8" t="s">
        <v>14</v>
      </c>
      <c r="C1085" s="8" t="s">
        <v>6051</v>
      </c>
      <c r="D1085" s="32" t="s">
        <v>6984</v>
      </c>
      <c r="E1085" s="32" t="s">
        <v>6051</v>
      </c>
      <c r="F1085" s="10">
        <v>2</v>
      </c>
      <c r="G1085" s="8" t="s">
        <v>5642</v>
      </c>
      <c r="H1085" s="10">
        <v>4.75</v>
      </c>
      <c r="I1085" s="10">
        <f t="shared" si="18"/>
        <v>9.5</v>
      </c>
      <c r="J1085" s="10">
        <v>0.53522879999999995</v>
      </c>
      <c r="K1085" s="8" t="s">
        <v>5248</v>
      </c>
      <c r="S1085"/>
    </row>
    <row r="1086" spans="1:19" ht="15" x14ac:dyDescent="0.25">
      <c r="A1086" s="8" t="s">
        <v>4932</v>
      </c>
      <c r="B1086" s="8" t="s">
        <v>14</v>
      </c>
      <c r="C1086" s="8" t="s">
        <v>6052</v>
      </c>
      <c r="D1086" s="32" t="s">
        <v>6984</v>
      </c>
      <c r="E1086" s="32" t="s">
        <v>6052</v>
      </c>
      <c r="F1086" s="10">
        <v>1</v>
      </c>
      <c r="G1086" s="8" t="s">
        <v>5642</v>
      </c>
      <c r="H1086" s="10">
        <v>21.9</v>
      </c>
      <c r="I1086" s="10">
        <f t="shared" si="18"/>
        <v>21.9</v>
      </c>
      <c r="J1086" s="10">
        <v>0.91257120000000003</v>
      </c>
      <c r="K1086" s="8" t="s">
        <v>5051</v>
      </c>
      <c r="S1086"/>
    </row>
    <row r="1087" spans="1:19" ht="15" x14ac:dyDescent="0.25">
      <c r="A1087" s="8" t="s">
        <v>4932</v>
      </c>
      <c r="B1087" s="8" t="s">
        <v>14</v>
      </c>
      <c r="C1087" s="8" t="s">
        <v>6053</v>
      </c>
      <c r="D1087" s="32" t="s">
        <v>6984</v>
      </c>
      <c r="E1087" s="32" t="s">
        <v>6053</v>
      </c>
      <c r="F1087" s="10">
        <v>1</v>
      </c>
      <c r="G1087" s="8" t="s">
        <v>5642</v>
      </c>
      <c r="H1087" s="10">
        <v>21.9</v>
      </c>
      <c r="I1087" s="10">
        <f t="shared" si="18"/>
        <v>21.9</v>
      </c>
      <c r="J1087" s="10">
        <v>0.91257120000000003</v>
      </c>
      <c r="K1087" s="8" t="s">
        <v>5051</v>
      </c>
      <c r="S1087"/>
    </row>
    <row r="1088" spans="1:19" ht="15" x14ac:dyDescent="0.25">
      <c r="A1088" s="8" t="s">
        <v>4932</v>
      </c>
      <c r="B1088" s="8" t="s">
        <v>14</v>
      </c>
      <c r="C1088" s="8" t="s">
        <v>6054</v>
      </c>
      <c r="D1088" s="32" t="s">
        <v>6984</v>
      </c>
      <c r="E1088" s="32" t="s">
        <v>6054</v>
      </c>
      <c r="F1088" s="10">
        <v>1</v>
      </c>
      <c r="G1088" s="8" t="s">
        <v>5642</v>
      </c>
      <c r="H1088" s="10">
        <v>6.7</v>
      </c>
      <c r="I1088" s="10">
        <f t="shared" si="18"/>
        <v>6.7</v>
      </c>
      <c r="J1088" s="10">
        <v>0.28244799999999998</v>
      </c>
      <c r="K1088" s="8" t="s">
        <v>5335</v>
      </c>
      <c r="S1088"/>
    </row>
    <row r="1089" spans="1:19" ht="15" x14ac:dyDescent="0.25">
      <c r="A1089" s="8" t="s">
        <v>4932</v>
      </c>
      <c r="B1089" s="8" t="s">
        <v>14</v>
      </c>
      <c r="C1089" s="8" t="s">
        <v>6055</v>
      </c>
      <c r="D1089" s="32" t="s">
        <v>6984</v>
      </c>
      <c r="E1089" s="32" t="s">
        <v>6055</v>
      </c>
      <c r="F1089" s="10">
        <v>2</v>
      </c>
      <c r="G1089" s="8" t="s">
        <v>5642</v>
      </c>
      <c r="H1089" s="10">
        <v>5.95</v>
      </c>
      <c r="I1089" s="10">
        <f t="shared" si="18"/>
        <v>11.9</v>
      </c>
      <c r="J1089" s="10">
        <v>0.504444</v>
      </c>
      <c r="K1089" s="8" t="s">
        <v>5335</v>
      </c>
      <c r="S1089"/>
    </row>
    <row r="1090" spans="1:19" ht="15" x14ac:dyDescent="0.25">
      <c r="A1090" s="8" t="s">
        <v>4932</v>
      </c>
      <c r="B1090" s="8" t="s">
        <v>14</v>
      </c>
      <c r="C1090" s="8" t="s">
        <v>6056</v>
      </c>
      <c r="D1090" s="32" t="s">
        <v>6984</v>
      </c>
      <c r="E1090" s="32" t="s">
        <v>6056</v>
      </c>
      <c r="F1090" s="10">
        <v>4</v>
      </c>
      <c r="G1090" s="8" t="s">
        <v>22</v>
      </c>
      <c r="H1090" s="10">
        <v>0.42499999999999999</v>
      </c>
      <c r="I1090" s="10">
        <f t="shared" si="18"/>
        <v>1.7</v>
      </c>
      <c r="J1090" s="10">
        <v>5.5595520000000002E-2</v>
      </c>
      <c r="K1090" s="8" t="s">
        <v>23</v>
      </c>
      <c r="S1090"/>
    </row>
    <row r="1091" spans="1:19" ht="15" x14ac:dyDescent="0.25">
      <c r="A1091" s="8" t="s">
        <v>4932</v>
      </c>
      <c r="B1091" s="8" t="s">
        <v>14</v>
      </c>
      <c r="C1091" s="8" t="s">
        <v>6057</v>
      </c>
      <c r="D1091" s="32" t="s">
        <v>6984</v>
      </c>
      <c r="E1091" s="32" t="s">
        <v>6057</v>
      </c>
      <c r="F1091" s="10">
        <v>2</v>
      </c>
      <c r="G1091" s="8" t="s">
        <v>22</v>
      </c>
      <c r="H1091" s="10">
        <v>2.4500000000000002</v>
      </c>
      <c r="I1091" s="10">
        <f t="shared" si="18"/>
        <v>4.9000000000000004</v>
      </c>
      <c r="J1091" s="10">
        <v>0.20047499999999999</v>
      </c>
      <c r="K1091" s="8" t="s">
        <v>4798</v>
      </c>
      <c r="S1091"/>
    </row>
    <row r="1092" spans="1:19" ht="15" x14ac:dyDescent="0.25">
      <c r="A1092" s="8" t="s">
        <v>4932</v>
      </c>
      <c r="B1092" s="8" t="s">
        <v>14</v>
      </c>
      <c r="C1092" s="8" t="s">
        <v>6058</v>
      </c>
      <c r="D1092" s="32" t="s">
        <v>6984</v>
      </c>
      <c r="E1092" s="32" t="s">
        <v>6058</v>
      </c>
      <c r="F1092" s="10">
        <v>16</v>
      </c>
      <c r="G1092" s="8" t="s">
        <v>22</v>
      </c>
      <c r="H1092" s="10">
        <v>1</v>
      </c>
      <c r="I1092" s="10">
        <f t="shared" si="18"/>
        <v>16</v>
      </c>
      <c r="J1092" s="10">
        <v>0.65610000000000002</v>
      </c>
      <c r="K1092" s="8" t="s">
        <v>4798</v>
      </c>
      <c r="S1092"/>
    </row>
    <row r="1093" spans="1:19" ht="15" x14ac:dyDescent="0.25">
      <c r="A1093" s="8" t="s">
        <v>4932</v>
      </c>
      <c r="B1093" s="8" t="s">
        <v>14</v>
      </c>
      <c r="C1093" s="8" t="s">
        <v>6059</v>
      </c>
      <c r="D1093" s="32" t="s">
        <v>6984</v>
      </c>
      <c r="E1093" s="32" t="s">
        <v>6059</v>
      </c>
      <c r="F1093" s="10">
        <v>4</v>
      </c>
      <c r="G1093" s="8" t="s">
        <v>22</v>
      </c>
      <c r="H1093" s="10">
        <v>5.875</v>
      </c>
      <c r="I1093" s="10">
        <f t="shared" ref="I1093:I1156" si="19">F1093*H1093</f>
        <v>23.5</v>
      </c>
      <c r="J1093" s="10">
        <v>0.25224000000000002</v>
      </c>
      <c r="K1093" s="8" t="s">
        <v>6060</v>
      </c>
      <c r="S1093"/>
    </row>
    <row r="1094" spans="1:19" ht="15" x14ac:dyDescent="0.25">
      <c r="A1094" s="8" t="s">
        <v>4932</v>
      </c>
      <c r="B1094" s="8" t="s">
        <v>14</v>
      </c>
      <c r="C1094" s="8" t="s">
        <v>6061</v>
      </c>
      <c r="D1094" s="32" t="s">
        <v>6984</v>
      </c>
      <c r="E1094" s="32" t="s">
        <v>6061</v>
      </c>
      <c r="F1094" s="10">
        <v>2</v>
      </c>
      <c r="G1094" s="8" t="s">
        <v>22</v>
      </c>
      <c r="H1094" s="10">
        <v>9.6999999999999993</v>
      </c>
      <c r="I1094" s="10">
        <f t="shared" si="19"/>
        <v>19.399999999999999</v>
      </c>
      <c r="J1094" s="10">
        <v>0.20809800000000001</v>
      </c>
      <c r="K1094" s="8" t="s">
        <v>6060</v>
      </c>
      <c r="S1094"/>
    </row>
    <row r="1095" spans="1:19" ht="15" x14ac:dyDescent="0.25">
      <c r="A1095" s="8" t="s">
        <v>4932</v>
      </c>
      <c r="B1095" s="8" t="s">
        <v>14</v>
      </c>
      <c r="C1095" s="8" t="s">
        <v>6062</v>
      </c>
      <c r="D1095" s="32" t="s">
        <v>6984</v>
      </c>
      <c r="E1095" s="32" t="s">
        <v>6062</v>
      </c>
      <c r="F1095" s="10">
        <v>1</v>
      </c>
      <c r="G1095" s="8" t="s">
        <v>22</v>
      </c>
      <c r="H1095" s="10">
        <v>1</v>
      </c>
      <c r="I1095" s="10">
        <f t="shared" si="19"/>
        <v>1</v>
      </c>
      <c r="J1095" s="10">
        <v>1.02998E-2</v>
      </c>
      <c r="K1095" s="8" t="s">
        <v>6063</v>
      </c>
      <c r="S1095"/>
    </row>
    <row r="1096" spans="1:19" ht="15" x14ac:dyDescent="0.25">
      <c r="A1096" s="8" t="s">
        <v>5622</v>
      </c>
      <c r="B1096" s="8" t="s">
        <v>4847</v>
      </c>
      <c r="C1096" s="8" t="s">
        <v>6064</v>
      </c>
      <c r="D1096" s="32" t="s">
        <v>6984</v>
      </c>
      <c r="E1096" s="32" t="s">
        <v>6064</v>
      </c>
      <c r="F1096" s="10">
        <v>2</v>
      </c>
      <c r="G1096" s="8" t="s">
        <v>5139</v>
      </c>
      <c r="H1096" s="10">
        <v>158.94999999999999</v>
      </c>
      <c r="I1096" s="10">
        <f t="shared" si="19"/>
        <v>317.89999999999998</v>
      </c>
      <c r="J1096" s="10">
        <v>21.169720685600002</v>
      </c>
      <c r="K1096" s="8" t="s">
        <v>5128</v>
      </c>
      <c r="S1096"/>
    </row>
    <row r="1097" spans="1:19" ht="15" x14ac:dyDescent="0.25">
      <c r="A1097" s="8" t="s">
        <v>5622</v>
      </c>
      <c r="B1097" s="8" t="s">
        <v>4847</v>
      </c>
      <c r="C1097" s="8" t="s">
        <v>6065</v>
      </c>
      <c r="D1097" s="32" t="s">
        <v>6984</v>
      </c>
      <c r="E1097" s="32" t="s">
        <v>6065</v>
      </c>
      <c r="F1097" s="10">
        <v>1</v>
      </c>
      <c r="G1097" s="8" t="s">
        <v>5139</v>
      </c>
      <c r="H1097" s="10">
        <v>194.9</v>
      </c>
      <c r="I1097" s="10">
        <f t="shared" si="19"/>
        <v>194.9</v>
      </c>
      <c r="J1097" s="10">
        <v>13.1308414868</v>
      </c>
      <c r="K1097" s="8" t="s">
        <v>5128</v>
      </c>
      <c r="S1097"/>
    </row>
    <row r="1098" spans="1:19" ht="15" x14ac:dyDescent="0.25">
      <c r="A1098" s="8" t="s">
        <v>5622</v>
      </c>
      <c r="B1098" s="8" t="s">
        <v>4847</v>
      </c>
      <c r="C1098" s="8" t="s">
        <v>6066</v>
      </c>
      <c r="D1098" s="32" t="s">
        <v>6984</v>
      </c>
      <c r="E1098" s="32" t="s">
        <v>6066</v>
      </c>
      <c r="F1098" s="10">
        <v>1</v>
      </c>
      <c r="G1098" s="8" t="s">
        <v>5139</v>
      </c>
      <c r="H1098" s="10">
        <v>158.6</v>
      </c>
      <c r="I1098" s="10">
        <f t="shared" si="19"/>
        <v>158.6</v>
      </c>
      <c r="J1098" s="10">
        <v>10.559832670800001</v>
      </c>
      <c r="K1098" s="8" t="s">
        <v>5128</v>
      </c>
      <c r="S1098"/>
    </row>
    <row r="1099" spans="1:19" ht="15" x14ac:dyDescent="0.25">
      <c r="A1099" s="8" t="s">
        <v>5622</v>
      </c>
      <c r="B1099" s="8" t="s">
        <v>4847</v>
      </c>
      <c r="C1099" s="8" t="s">
        <v>6067</v>
      </c>
      <c r="D1099" s="32" t="s">
        <v>6984</v>
      </c>
      <c r="E1099" s="32" t="s">
        <v>6067</v>
      </c>
      <c r="F1099" s="10">
        <v>1</v>
      </c>
      <c r="G1099" s="8" t="s">
        <v>5101</v>
      </c>
      <c r="H1099" s="10">
        <v>42.3</v>
      </c>
      <c r="I1099" s="10">
        <f t="shared" si="19"/>
        <v>42.3</v>
      </c>
      <c r="J1099" s="10">
        <v>2.3013332308000001</v>
      </c>
      <c r="K1099" s="8" t="s">
        <v>5130</v>
      </c>
      <c r="S1099"/>
    </row>
    <row r="1100" spans="1:19" ht="15" x14ac:dyDescent="0.25">
      <c r="A1100" s="8" t="s">
        <v>6068</v>
      </c>
      <c r="B1100" s="8" t="s">
        <v>6069</v>
      </c>
      <c r="C1100" s="8" t="s">
        <v>6070</v>
      </c>
      <c r="D1100" s="32" t="s">
        <v>6984</v>
      </c>
      <c r="E1100" s="32" t="s">
        <v>6070</v>
      </c>
      <c r="F1100" s="10">
        <v>1</v>
      </c>
      <c r="G1100" s="8" t="s">
        <v>16</v>
      </c>
      <c r="H1100" s="10">
        <v>353.9</v>
      </c>
      <c r="I1100" s="10">
        <f t="shared" si="19"/>
        <v>353.9</v>
      </c>
      <c r="J1100" s="10">
        <v>10.763436584999999</v>
      </c>
      <c r="K1100" s="8" t="s">
        <v>5038</v>
      </c>
      <c r="S1100"/>
    </row>
    <row r="1101" spans="1:19" ht="15" x14ac:dyDescent="0.25">
      <c r="A1101" s="8" t="s">
        <v>6071</v>
      </c>
      <c r="B1101" s="8" t="s">
        <v>6069</v>
      </c>
      <c r="C1101" s="8" t="s">
        <v>6072</v>
      </c>
      <c r="D1101" s="32" t="s">
        <v>6984</v>
      </c>
      <c r="E1101" s="32" t="s">
        <v>6072</v>
      </c>
      <c r="F1101" s="10">
        <v>1</v>
      </c>
      <c r="G1101" s="8" t="s">
        <v>16</v>
      </c>
      <c r="H1101" s="10">
        <v>358.4</v>
      </c>
      <c r="I1101" s="10">
        <f t="shared" si="19"/>
        <v>358.4</v>
      </c>
      <c r="J1101" s="10">
        <v>10.902950625000001</v>
      </c>
      <c r="K1101" s="8" t="s">
        <v>5038</v>
      </c>
      <c r="S1101"/>
    </row>
    <row r="1102" spans="1:19" ht="15" x14ac:dyDescent="0.25">
      <c r="A1102" s="8" t="s">
        <v>6068</v>
      </c>
      <c r="B1102" s="8" t="s">
        <v>6069</v>
      </c>
      <c r="C1102" s="8" t="s">
        <v>6073</v>
      </c>
      <c r="D1102" s="32" t="s">
        <v>6984</v>
      </c>
      <c r="E1102" s="32" t="s">
        <v>6073</v>
      </c>
      <c r="F1102" s="10">
        <v>1</v>
      </c>
      <c r="G1102" s="8" t="s">
        <v>16</v>
      </c>
      <c r="H1102" s="10">
        <v>391.1</v>
      </c>
      <c r="I1102" s="10">
        <f t="shared" si="19"/>
        <v>391.1</v>
      </c>
      <c r="J1102" s="10">
        <v>11.83208838</v>
      </c>
      <c r="K1102" s="8" t="s">
        <v>5038</v>
      </c>
      <c r="S1102"/>
    </row>
    <row r="1103" spans="1:19" ht="15" x14ac:dyDescent="0.25">
      <c r="A1103" s="8" t="s">
        <v>6068</v>
      </c>
      <c r="B1103" s="8" t="s">
        <v>6069</v>
      </c>
      <c r="C1103" s="8" t="s">
        <v>6074</v>
      </c>
      <c r="D1103" s="32" t="s">
        <v>6984</v>
      </c>
      <c r="E1103" s="32" t="s">
        <v>6074</v>
      </c>
      <c r="F1103" s="10">
        <v>1</v>
      </c>
      <c r="G1103" s="8" t="s">
        <v>16</v>
      </c>
      <c r="H1103" s="10">
        <v>402.7</v>
      </c>
      <c r="I1103" s="10">
        <f t="shared" si="19"/>
        <v>402.7</v>
      </c>
      <c r="J1103" s="10">
        <v>12.262110855</v>
      </c>
      <c r="K1103" s="8" t="s">
        <v>5038</v>
      </c>
      <c r="S1103"/>
    </row>
    <row r="1104" spans="1:19" ht="15" x14ac:dyDescent="0.25">
      <c r="A1104" s="8" t="s">
        <v>6071</v>
      </c>
      <c r="B1104" s="8" t="s">
        <v>6069</v>
      </c>
      <c r="C1104" s="8" t="s">
        <v>6075</v>
      </c>
      <c r="D1104" s="32" t="s">
        <v>6984</v>
      </c>
      <c r="E1104" s="32" t="s">
        <v>6075</v>
      </c>
      <c r="F1104" s="10">
        <v>1</v>
      </c>
      <c r="G1104" s="8" t="s">
        <v>16</v>
      </c>
      <c r="H1104" s="10">
        <v>358.4</v>
      </c>
      <c r="I1104" s="10">
        <f t="shared" si="19"/>
        <v>358.4</v>
      </c>
      <c r="J1104" s="10">
        <v>10.930872992999999</v>
      </c>
      <c r="K1104" s="8" t="s">
        <v>5038</v>
      </c>
      <c r="S1104"/>
    </row>
    <row r="1105" spans="1:19" ht="15" x14ac:dyDescent="0.25">
      <c r="A1105" s="8" t="s">
        <v>6071</v>
      </c>
      <c r="B1105" s="8" t="s">
        <v>6069</v>
      </c>
      <c r="C1105" s="8" t="s">
        <v>6076</v>
      </c>
      <c r="D1105" s="32" t="s">
        <v>6984</v>
      </c>
      <c r="E1105" s="32" t="s">
        <v>6076</v>
      </c>
      <c r="F1105" s="10">
        <v>1</v>
      </c>
      <c r="G1105" s="8" t="s">
        <v>16</v>
      </c>
      <c r="H1105" s="10">
        <v>367.2</v>
      </c>
      <c r="I1105" s="10">
        <f t="shared" si="19"/>
        <v>367.2</v>
      </c>
      <c r="J1105" s="10">
        <v>11.168138624999999</v>
      </c>
      <c r="K1105" s="8" t="s">
        <v>5038</v>
      </c>
      <c r="S1105"/>
    </row>
    <row r="1106" spans="1:19" ht="15" x14ac:dyDescent="0.25">
      <c r="A1106" s="8" t="s">
        <v>6071</v>
      </c>
      <c r="B1106" s="8" t="s">
        <v>6069</v>
      </c>
      <c r="C1106" s="8" t="s">
        <v>6077</v>
      </c>
      <c r="D1106" s="32" t="s">
        <v>6984</v>
      </c>
      <c r="E1106" s="32" t="s">
        <v>6077</v>
      </c>
      <c r="F1106" s="10">
        <v>1</v>
      </c>
      <c r="G1106" s="8" t="s">
        <v>16</v>
      </c>
      <c r="H1106" s="10">
        <v>358.6</v>
      </c>
      <c r="I1106" s="10">
        <f t="shared" si="19"/>
        <v>358.6</v>
      </c>
      <c r="J1106" s="10">
        <v>10.9187292</v>
      </c>
      <c r="K1106" s="8" t="s">
        <v>5038</v>
      </c>
      <c r="S1106"/>
    </row>
    <row r="1107" spans="1:19" ht="15" x14ac:dyDescent="0.25">
      <c r="A1107" s="8" t="s">
        <v>6071</v>
      </c>
      <c r="B1107" s="8" t="s">
        <v>6069</v>
      </c>
      <c r="C1107" s="8" t="s">
        <v>6078</v>
      </c>
      <c r="D1107" s="32" t="s">
        <v>6984</v>
      </c>
      <c r="E1107" s="32" t="s">
        <v>6078</v>
      </c>
      <c r="F1107" s="10">
        <v>1</v>
      </c>
      <c r="G1107" s="8" t="s">
        <v>16</v>
      </c>
      <c r="H1107" s="10">
        <v>357.5</v>
      </c>
      <c r="I1107" s="10">
        <f t="shared" si="19"/>
        <v>357.5</v>
      </c>
      <c r="J1107" s="10">
        <v>10.879504425</v>
      </c>
      <c r="K1107" s="8" t="s">
        <v>5038</v>
      </c>
      <c r="S1107"/>
    </row>
    <row r="1108" spans="1:19" ht="15" x14ac:dyDescent="0.25">
      <c r="A1108" s="8" t="s">
        <v>6068</v>
      </c>
      <c r="B1108" s="8" t="s">
        <v>6069</v>
      </c>
      <c r="C1108" s="8" t="s">
        <v>6079</v>
      </c>
      <c r="D1108" s="32" t="s">
        <v>6984</v>
      </c>
      <c r="E1108" s="32" t="s">
        <v>6079</v>
      </c>
      <c r="F1108" s="10">
        <v>1</v>
      </c>
      <c r="G1108" s="8" t="s">
        <v>16</v>
      </c>
      <c r="H1108" s="10">
        <v>1145.9000000000001</v>
      </c>
      <c r="I1108" s="10">
        <f t="shared" si="19"/>
        <v>1145.9000000000001</v>
      </c>
      <c r="J1108" s="10">
        <v>20.039937970499999</v>
      </c>
      <c r="K1108" s="8" t="s">
        <v>5670</v>
      </c>
      <c r="S1108"/>
    </row>
    <row r="1109" spans="1:19" ht="15" x14ac:dyDescent="0.25">
      <c r="A1109" s="8" t="s">
        <v>6071</v>
      </c>
      <c r="B1109" s="8" t="s">
        <v>6069</v>
      </c>
      <c r="C1109" s="8" t="s">
        <v>6080</v>
      </c>
      <c r="D1109" s="32" t="s">
        <v>6984</v>
      </c>
      <c r="E1109" s="32" t="s">
        <v>6080</v>
      </c>
      <c r="F1109" s="10">
        <v>1</v>
      </c>
      <c r="G1109" s="8" t="s">
        <v>16</v>
      </c>
      <c r="H1109" s="10">
        <v>1017.1</v>
      </c>
      <c r="I1109" s="10">
        <f t="shared" si="19"/>
        <v>1017.1</v>
      </c>
      <c r="J1109" s="10">
        <v>17.756856887200001</v>
      </c>
      <c r="K1109" s="8" t="s">
        <v>5670</v>
      </c>
      <c r="S1109"/>
    </row>
    <row r="1110" spans="1:19" ht="15" x14ac:dyDescent="0.25">
      <c r="A1110" s="8" t="s">
        <v>6068</v>
      </c>
      <c r="B1110" s="8" t="s">
        <v>6069</v>
      </c>
      <c r="C1110" s="8" t="s">
        <v>6081</v>
      </c>
      <c r="D1110" s="32" t="s">
        <v>6984</v>
      </c>
      <c r="E1110" s="32" t="s">
        <v>6081</v>
      </c>
      <c r="F1110" s="10">
        <v>1</v>
      </c>
      <c r="G1110" s="8" t="s">
        <v>16</v>
      </c>
      <c r="H1110" s="10">
        <v>1142.8</v>
      </c>
      <c r="I1110" s="10">
        <f t="shared" si="19"/>
        <v>1142.8</v>
      </c>
      <c r="J1110" s="10">
        <v>19.837856887200001</v>
      </c>
      <c r="K1110" s="8" t="s">
        <v>5670</v>
      </c>
      <c r="S1110"/>
    </row>
    <row r="1111" spans="1:19" ht="15" x14ac:dyDescent="0.25">
      <c r="A1111" s="8" t="s">
        <v>6068</v>
      </c>
      <c r="B1111" s="8" t="s">
        <v>6069</v>
      </c>
      <c r="C1111" s="8" t="s">
        <v>6082</v>
      </c>
      <c r="D1111" s="32" t="s">
        <v>6984</v>
      </c>
      <c r="E1111" s="32" t="s">
        <v>6082</v>
      </c>
      <c r="F1111" s="10">
        <v>1</v>
      </c>
      <c r="G1111" s="8" t="s">
        <v>16</v>
      </c>
      <c r="H1111" s="10">
        <v>869.6</v>
      </c>
      <c r="I1111" s="10">
        <f t="shared" si="19"/>
        <v>869.6</v>
      </c>
      <c r="J1111" s="10">
        <v>17.8152576345</v>
      </c>
      <c r="K1111" s="8" t="s">
        <v>17</v>
      </c>
      <c r="S1111"/>
    </row>
    <row r="1112" spans="1:19" ht="15" x14ac:dyDescent="0.25">
      <c r="A1112" s="8" t="s">
        <v>6068</v>
      </c>
      <c r="B1112" s="8" t="s">
        <v>6069</v>
      </c>
      <c r="C1112" s="8" t="s">
        <v>6083</v>
      </c>
      <c r="D1112" s="32" t="s">
        <v>6984</v>
      </c>
      <c r="E1112" s="32" t="s">
        <v>6083</v>
      </c>
      <c r="F1112" s="10">
        <v>1</v>
      </c>
      <c r="G1112" s="8" t="s">
        <v>16</v>
      </c>
      <c r="H1112" s="10">
        <v>704.4</v>
      </c>
      <c r="I1112" s="10">
        <f t="shared" si="19"/>
        <v>704.4</v>
      </c>
      <c r="J1112" s="10">
        <v>16.226034378750001</v>
      </c>
      <c r="K1112" s="8" t="s">
        <v>4887</v>
      </c>
      <c r="S1112"/>
    </row>
    <row r="1113" spans="1:19" ht="15" x14ac:dyDescent="0.25">
      <c r="A1113" s="8" t="s">
        <v>6071</v>
      </c>
      <c r="B1113" s="8" t="s">
        <v>6069</v>
      </c>
      <c r="C1113" s="8" t="s">
        <v>6084</v>
      </c>
      <c r="D1113" s="32" t="s">
        <v>6984</v>
      </c>
      <c r="E1113" s="32" t="s">
        <v>6084</v>
      </c>
      <c r="F1113" s="10">
        <v>2</v>
      </c>
      <c r="G1113" s="8" t="s">
        <v>16</v>
      </c>
      <c r="H1113" s="10">
        <v>320.8</v>
      </c>
      <c r="I1113" s="10">
        <f t="shared" si="19"/>
        <v>641.6</v>
      </c>
      <c r="J1113" s="10">
        <v>18.257032937999998</v>
      </c>
      <c r="K1113" s="8" t="s">
        <v>4956</v>
      </c>
      <c r="S1113"/>
    </row>
    <row r="1114" spans="1:19" ht="15" x14ac:dyDescent="0.25">
      <c r="A1114" s="8" t="s">
        <v>6071</v>
      </c>
      <c r="B1114" s="8" t="s">
        <v>6069</v>
      </c>
      <c r="C1114" s="8" t="s">
        <v>6085</v>
      </c>
      <c r="D1114" s="32" t="s">
        <v>6984</v>
      </c>
      <c r="E1114" s="32" t="s">
        <v>6085</v>
      </c>
      <c r="F1114" s="10">
        <v>1</v>
      </c>
      <c r="G1114" s="8" t="s">
        <v>16</v>
      </c>
      <c r="H1114" s="10">
        <v>768.7</v>
      </c>
      <c r="I1114" s="10">
        <f t="shared" si="19"/>
        <v>768.7</v>
      </c>
      <c r="J1114" s="10">
        <v>15.771636514500001</v>
      </c>
      <c r="K1114" s="8" t="s">
        <v>17</v>
      </c>
      <c r="S1114"/>
    </row>
    <row r="1115" spans="1:19" ht="15" x14ac:dyDescent="0.25">
      <c r="A1115" s="8" t="s">
        <v>6071</v>
      </c>
      <c r="B1115" s="8" t="s">
        <v>6069</v>
      </c>
      <c r="C1115" s="8" t="s">
        <v>6086</v>
      </c>
      <c r="D1115" s="32" t="s">
        <v>6984</v>
      </c>
      <c r="E1115" s="32" t="s">
        <v>6086</v>
      </c>
      <c r="F1115" s="10">
        <v>1</v>
      </c>
      <c r="G1115" s="8" t="s">
        <v>16</v>
      </c>
      <c r="H1115" s="10">
        <v>772.8</v>
      </c>
      <c r="I1115" s="10">
        <f t="shared" si="19"/>
        <v>772.8</v>
      </c>
      <c r="J1115" s="10">
        <v>15.904773154500001</v>
      </c>
      <c r="K1115" s="8" t="s">
        <v>17</v>
      </c>
      <c r="S1115"/>
    </row>
    <row r="1116" spans="1:19" ht="15" x14ac:dyDescent="0.25">
      <c r="A1116" s="8" t="s">
        <v>6068</v>
      </c>
      <c r="B1116" s="8" t="s">
        <v>6069</v>
      </c>
      <c r="C1116" s="8" t="s">
        <v>6087</v>
      </c>
      <c r="D1116" s="32" t="s">
        <v>6984</v>
      </c>
      <c r="E1116" s="32" t="s">
        <v>6087</v>
      </c>
      <c r="F1116" s="10">
        <v>1</v>
      </c>
      <c r="G1116" s="8" t="s">
        <v>16</v>
      </c>
      <c r="H1116" s="10">
        <v>200.4</v>
      </c>
      <c r="I1116" s="10">
        <f t="shared" si="19"/>
        <v>200.4</v>
      </c>
      <c r="J1116" s="10">
        <v>6.9543699999999999</v>
      </c>
      <c r="K1116" s="8" t="s">
        <v>5685</v>
      </c>
      <c r="S1116"/>
    </row>
    <row r="1117" spans="1:19" ht="15" x14ac:dyDescent="0.25">
      <c r="A1117" s="8" t="s">
        <v>6068</v>
      </c>
      <c r="B1117" s="8" t="s">
        <v>6069</v>
      </c>
      <c r="C1117" s="8" t="s">
        <v>6088</v>
      </c>
      <c r="D1117" s="32" t="s">
        <v>6984</v>
      </c>
      <c r="E1117" s="32" t="s">
        <v>6088</v>
      </c>
      <c r="F1117" s="10">
        <v>2</v>
      </c>
      <c r="G1117" s="8" t="s">
        <v>16</v>
      </c>
      <c r="H1117" s="10">
        <v>98.1</v>
      </c>
      <c r="I1117" s="10">
        <f t="shared" si="19"/>
        <v>196.2</v>
      </c>
      <c r="J1117" s="10">
        <v>6.8066399999999998</v>
      </c>
      <c r="K1117" s="8" t="s">
        <v>5685</v>
      </c>
      <c r="S1117"/>
    </row>
    <row r="1118" spans="1:19" ht="15" x14ac:dyDescent="0.25">
      <c r="A1118" s="8" t="s">
        <v>6071</v>
      </c>
      <c r="B1118" s="8" t="s">
        <v>6069</v>
      </c>
      <c r="C1118" s="8" t="s">
        <v>6089</v>
      </c>
      <c r="D1118" s="32" t="s">
        <v>6984</v>
      </c>
      <c r="E1118" s="32" t="s">
        <v>6089</v>
      </c>
      <c r="F1118" s="10">
        <v>4</v>
      </c>
      <c r="G1118" s="8" t="s">
        <v>16</v>
      </c>
      <c r="H1118" s="10">
        <v>177.625</v>
      </c>
      <c r="I1118" s="10">
        <f t="shared" si="19"/>
        <v>710.5</v>
      </c>
      <c r="J1118" s="10">
        <v>24.65748</v>
      </c>
      <c r="K1118" s="8" t="s">
        <v>5685</v>
      </c>
      <c r="S1118"/>
    </row>
    <row r="1119" spans="1:19" ht="15" x14ac:dyDescent="0.25">
      <c r="A1119" s="8" t="s">
        <v>6071</v>
      </c>
      <c r="B1119" s="8" t="s">
        <v>6069</v>
      </c>
      <c r="C1119" s="8" t="s">
        <v>6090</v>
      </c>
      <c r="D1119" s="32" t="s">
        <v>6984</v>
      </c>
      <c r="E1119" s="32" t="s">
        <v>6090</v>
      </c>
      <c r="F1119" s="10">
        <v>2</v>
      </c>
      <c r="G1119" s="8" t="s">
        <v>16</v>
      </c>
      <c r="H1119" s="10">
        <v>86.7</v>
      </c>
      <c r="I1119" s="10">
        <f t="shared" si="19"/>
        <v>173.4</v>
      </c>
      <c r="J1119" s="10">
        <v>6.0166399999999998</v>
      </c>
      <c r="K1119" s="8" t="s">
        <v>5685</v>
      </c>
      <c r="S1119"/>
    </row>
    <row r="1120" spans="1:19" ht="15" x14ac:dyDescent="0.25">
      <c r="A1120" s="8" t="s">
        <v>6071</v>
      </c>
      <c r="B1120" s="8" t="s">
        <v>6069</v>
      </c>
      <c r="C1120" s="8" t="s">
        <v>6091</v>
      </c>
      <c r="D1120" s="32" t="s">
        <v>6984</v>
      </c>
      <c r="E1120" s="32" t="s">
        <v>6091</v>
      </c>
      <c r="F1120" s="10">
        <v>7</v>
      </c>
      <c r="G1120" s="8" t="s">
        <v>16</v>
      </c>
      <c r="H1120" s="10">
        <v>27.585714285714285</v>
      </c>
      <c r="I1120" s="10">
        <f t="shared" si="19"/>
        <v>193.1</v>
      </c>
      <c r="J1120" s="10">
        <v>9.8300999999999998</v>
      </c>
      <c r="K1120" s="8" t="s">
        <v>5123</v>
      </c>
      <c r="S1120"/>
    </row>
    <row r="1121" spans="1:19" ht="15" x14ac:dyDescent="0.25">
      <c r="A1121" s="8" t="s">
        <v>6068</v>
      </c>
      <c r="B1121" s="8" t="s">
        <v>6069</v>
      </c>
      <c r="C1121" s="8" t="s">
        <v>6092</v>
      </c>
      <c r="D1121" s="32" t="s">
        <v>6984</v>
      </c>
      <c r="E1121" s="32" t="s">
        <v>6092</v>
      </c>
      <c r="F1121" s="10">
        <v>3</v>
      </c>
      <c r="G1121" s="8" t="s">
        <v>16</v>
      </c>
      <c r="H1121" s="10">
        <v>27.099999999999998</v>
      </c>
      <c r="I1121" s="10">
        <f t="shared" si="19"/>
        <v>81.3</v>
      </c>
      <c r="J1121" s="10">
        <v>4.1384999999999996</v>
      </c>
      <c r="K1121" s="8" t="s">
        <v>5123</v>
      </c>
      <c r="S1121"/>
    </row>
    <row r="1122" spans="1:19" ht="15" x14ac:dyDescent="0.25">
      <c r="A1122" s="8" t="s">
        <v>6071</v>
      </c>
      <c r="B1122" s="8" t="s">
        <v>6069</v>
      </c>
      <c r="C1122" s="8" t="s">
        <v>6093</v>
      </c>
      <c r="D1122" s="32" t="s">
        <v>6984</v>
      </c>
      <c r="E1122" s="32" t="s">
        <v>6093</v>
      </c>
      <c r="F1122" s="10">
        <v>24</v>
      </c>
      <c r="G1122" s="8" t="s">
        <v>16</v>
      </c>
      <c r="H1122" s="10">
        <v>27.108333333333334</v>
      </c>
      <c r="I1122" s="10">
        <f t="shared" si="19"/>
        <v>650.6</v>
      </c>
      <c r="J1122" s="10">
        <v>33.107999999999997</v>
      </c>
      <c r="K1122" s="8" t="s">
        <v>5123</v>
      </c>
      <c r="S1122"/>
    </row>
    <row r="1123" spans="1:19" ht="15" x14ac:dyDescent="0.25">
      <c r="A1123" s="8" t="s">
        <v>6071</v>
      </c>
      <c r="B1123" s="8" t="s">
        <v>6069</v>
      </c>
      <c r="C1123" s="8" t="s">
        <v>6094</v>
      </c>
      <c r="D1123" s="32" t="s">
        <v>6984</v>
      </c>
      <c r="E1123" s="32" t="s">
        <v>6094</v>
      </c>
      <c r="F1123" s="10">
        <v>14</v>
      </c>
      <c r="G1123" s="8" t="s">
        <v>16</v>
      </c>
      <c r="H1123" s="10">
        <v>27.55</v>
      </c>
      <c r="I1123" s="10">
        <f t="shared" si="19"/>
        <v>385.7</v>
      </c>
      <c r="J1123" s="10">
        <v>19.627649999999999</v>
      </c>
      <c r="K1123" s="8" t="s">
        <v>5123</v>
      </c>
      <c r="S1123"/>
    </row>
    <row r="1124" spans="1:19" ht="15" x14ac:dyDescent="0.25">
      <c r="A1124" s="8" t="s">
        <v>6068</v>
      </c>
      <c r="B1124" s="8" t="s">
        <v>6069</v>
      </c>
      <c r="C1124" s="8" t="s">
        <v>6095</v>
      </c>
      <c r="D1124" s="32" t="s">
        <v>6984</v>
      </c>
      <c r="E1124" s="32" t="s">
        <v>6095</v>
      </c>
      <c r="F1124" s="10">
        <v>2</v>
      </c>
      <c r="G1124" s="8" t="s">
        <v>16</v>
      </c>
      <c r="H1124" s="10">
        <v>332.45</v>
      </c>
      <c r="I1124" s="10">
        <f t="shared" si="19"/>
        <v>664.9</v>
      </c>
      <c r="J1124" s="10">
        <v>18.20448</v>
      </c>
      <c r="K1124" s="8" t="s">
        <v>5209</v>
      </c>
      <c r="S1124"/>
    </row>
    <row r="1125" spans="1:19" ht="15" x14ac:dyDescent="0.25">
      <c r="A1125" s="8" t="s">
        <v>6071</v>
      </c>
      <c r="B1125" s="8" t="s">
        <v>6069</v>
      </c>
      <c r="C1125" s="8" t="s">
        <v>6096</v>
      </c>
      <c r="D1125" s="32" t="s">
        <v>6984</v>
      </c>
      <c r="E1125" s="32" t="s">
        <v>6096</v>
      </c>
      <c r="F1125" s="10">
        <v>1</v>
      </c>
      <c r="G1125" s="8" t="s">
        <v>16</v>
      </c>
      <c r="H1125" s="10">
        <v>266.5</v>
      </c>
      <c r="I1125" s="10">
        <f t="shared" si="19"/>
        <v>266.5</v>
      </c>
      <c r="J1125" s="10">
        <v>7.6454700000000004</v>
      </c>
      <c r="K1125" s="8" t="s">
        <v>4956</v>
      </c>
      <c r="S1125"/>
    </row>
    <row r="1126" spans="1:19" ht="15" x14ac:dyDescent="0.25">
      <c r="A1126" s="8" t="s">
        <v>6071</v>
      </c>
      <c r="B1126" s="8" t="s">
        <v>6069</v>
      </c>
      <c r="C1126" s="8" t="s">
        <v>6097</v>
      </c>
      <c r="D1126" s="32" t="s">
        <v>6984</v>
      </c>
      <c r="E1126" s="32" t="s">
        <v>6097</v>
      </c>
      <c r="F1126" s="10">
        <v>3</v>
      </c>
      <c r="G1126" s="8" t="s">
        <v>16</v>
      </c>
      <c r="H1126" s="10">
        <v>351</v>
      </c>
      <c r="I1126" s="10">
        <f t="shared" si="19"/>
        <v>1053</v>
      </c>
      <c r="J1126" s="10">
        <v>27.078869999999998</v>
      </c>
      <c r="K1126" s="8" t="s">
        <v>4949</v>
      </c>
      <c r="S1126"/>
    </row>
    <row r="1127" spans="1:19" ht="15" x14ac:dyDescent="0.25">
      <c r="A1127" s="8" t="s">
        <v>6071</v>
      </c>
      <c r="B1127" s="8" t="s">
        <v>6069</v>
      </c>
      <c r="C1127" s="8" t="s">
        <v>6098</v>
      </c>
      <c r="D1127" s="32" t="s">
        <v>6984</v>
      </c>
      <c r="E1127" s="32" t="s">
        <v>6098</v>
      </c>
      <c r="F1127" s="10">
        <v>7</v>
      </c>
      <c r="G1127" s="8" t="s">
        <v>16</v>
      </c>
      <c r="H1127" s="10">
        <v>35.514285714285712</v>
      </c>
      <c r="I1127" s="10">
        <f t="shared" si="19"/>
        <v>248.6</v>
      </c>
      <c r="J1127" s="10">
        <v>12.6511</v>
      </c>
      <c r="K1127" s="8" t="s">
        <v>5123</v>
      </c>
      <c r="S1127"/>
    </row>
    <row r="1128" spans="1:19" ht="15" x14ac:dyDescent="0.25">
      <c r="A1128" s="8" t="s">
        <v>6071</v>
      </c>
      <c r="B1128" s="8" t="s">
        <v>6069</v>
      </c>
      <c r="C1128" s="8" t="s">
        <v>6099</v>
      </c>
      <c r="D1128" s="32" t="s">
        <v>6984</v>
      </c>
      <c r="E1128" s="32" t="s">
        <v>6099</v>
      </c>
      <c r="F1128" s="10">
        <v>2</v>
      </c>
      <c r="G1128" s="8" t="s">
        <v>16</v>
      </c>
      <c r="H1128" s="10">
        <v>342.6</v>
      </c>
      <c r="I1128" s="10">
        <f t="shared" si="19"/>
        <v>685.2</v>
      </c>
      <c r="J1128" s="10">
        <v>19.151299999999999</v>
      </c>
      <c r="K1128" s="8" t="s">
        <v>4855</v>
      </c>
      <c r="S1128"/>
    </row>
    <row r="1129" spans="1:19" ht="15" x14ac:dyDescent="0.25">
      <c r="A1129" s="8" t="s">
        <v>6068</v>
      </c>
      <c r="B1129" s="8" t="s">
        <v>6069</v>
      </c>
      <c r="C1129" s="8" t="s">
        <v>6100</v>
      </c>
      <c r="D1129" s="32" t="s">
        <v>6984</v>
      </c>
      <c r="E1129" s="32" t="s">
        <v>6100</v>
      </c>
      <c r="F1129" s="10">
        <v>1</v>
      </c>
      <c r="G1129" s="8" t="s">
        <v>16</v>
      </c>
      <c r="H1129" s="10">
        <v>387.5</v>
      </c>
      <c r="I1129" s="10">
        <f t="shared" si="19"/>
        <v>387.5</v>
      </c>
      <c r="J1129" s="10">
        <v>10.83065</v>
      </c>
      <c r="K1129" s="8" t="s">
        <v>4855</v>
      </c>
      <c r="S1129"/>
    </row>
    <row r="1130" spans="1:19" ht="15" x14ac:dyDescent="0.25">
      <c r="A1130" s="8" t="s">
        <v>6068</v>
      </c>
      <c r="B1130" s="8" t="s">
        <v>6069</v>
      </c>
      <c r="C1130" s="8" t="s">
        <v>6101</v>
      </c>
      <c r="D1130" s="32" t="s">
        <v>6984</v>
      </c>
      <c r="E1130" s="32" t="s">
        <v>6101</v>
      </c>
      <c r="F1130" s="10">
        <v>10</v>
      </c>
      <c r="G1130" s="8" t="s">
        <v>16</v>
      </c>
      <c r="H1130" s="10">
        <v>35.510000000000005</v>
      </c>
      <c r="I1130" s="10">
        <f t="shared" si="19"/>
        <v>355.1</v>
      </c>
      <c r="J1130" s="10">
        <v>18.065249999999999</v>
      </c>
      <c r="K1130" s="8" t="s">
        <v>5123</v>
      </c>
      <c r="S1130"/>
    </row>
    <row r="1131" spans="1:19" ht="15" x14ac:dyDescent="0.25">
      <c r="A1131" s="8" t="s">
        <v>6068</v>
      </c>
      <c r="B1131" s="8" t="s">
        <v>6069</v>
      </c>
      <c r="C1131" s="8" t="s">
        <v>6102</v>
      </c>
      <c r="D1131" s="32" t="s">
        <v>6984</v>
      </c>
      <c r="E1131" s="32" t="s">
        <v>6102</v>
      </c>
      <c r="F1131" s="10">
        <v>1</v>
      </c>
      <c r="G1131" s="8" t="s">
        <v>16</v>
      </c>
      <c r="H1131" s="10">
        <v>11.3</v>
      </c>
      <c r="I1131" s="10">
        <f t="shared" si="19"/>
        <v>11.3</v>
      </c>
      <c r="J1131" s="10">
        <v>0.57504999999999995</v>
      </c>
      <c r="K1131" s="8" t="s">
        <v>5123</v>
      </c>
      <c r="S1131"/>
    </row>
    <row r="1132" spans="1:19" ht="15" x14ac:dyDescent="0.25">
      <c r="A1132" s="8" t="s">
        <v>6071</v>
      </c>
      <c r="B1132" s="8" t="s">
        <v>6069</v>
      </c>
      <c r="C1132" s="8" t="s">
        <v>6103</v>
      </c>
      <c r="D1132" s="32" t="s">
        <v>6984</v>
      </c>
      <c r="E1132" s="32" t="s">
        <v>6103</v>
      </c>
      <c r="F1132" s="10">
        <v>1</v>
      </c>
      <c r="G1132" s="8" t="s">
        <v>4903</v>
      </c>
      <c r="H1132" s="10">
        <v>265</v>
      </c>
      <c r="I1132" s="10">
        <f t="shared" si="19"/>
        <v>265</v>
      </c>
      <c r="J1132" s="10">
        <v>6.223014</v>
      </c>
      <c r="K1132" s="8" t="s">
        <v>4983</v>
      </c>
      <c r="S1132"/>
    </row>
    <row r="1133" spans="1:19" ht="15" x14ac:dyDescent="0.25">
      <c r="A1133" s="8" t="s">
        <v>6071</v>
      </c>
      <c r="B1133" s="8" t="s">
        <v>6069</v>
      </c>
      <c r="C1133" s="8" t="s">
        <v>6104</v>
      </c>
      <c r="D1133" s="32" t="s">
        <v>6984</v>
      </c>
      <c r="E1133" s="32" t="s">
        <v>6104</v>
      </c>
      <c r="F1133" s="10">
        <v>1</v>
      </c>
      <c r="G1133" s="8" t="s">
        <v>4903</v>
      </c>
      <c r="H1133" s="10">
        <v>265.2</v>
      </c>
      <c r="I1133" s="10">
        <f t="shared" si="19"/>
        <v>265.2</v>
      </c>
      <c r="J1133" s="10">
        <v>6.2259479999999998</v>
      </c>
      <c r="K1133" s="8" t="s">
        <v>4983</v>
      </c>
      <c r="S1133"/>
    </row>
    <row r="1134" spans="1:19" ht="15" x14ac:dyDescent="0.25">
      <c r="A1134" s="8" t="s">
        <v>6068</v>
      </c>
      <c r="B1134" s="8" t="s">
        <v>6069</v>
      </c>
      <c r="C1134" s="8" t="s">
        <v>6105</v>
      </c>
      <c r="D1134" s="32" t="s">
        <v>6984</v>
      </c>
      <c r="E1134" s="32" t="s">
        <v>6105</v>
      </c>
      <c r="F1134" s="10">
        <v>1</v>
      </c>
      <c r="G1134" s="8" t="s">
        <v>4903</v>
      </c>
      <c r="H1134" s="10">
        <v>287.10000000000002</v>
      </c>
      <c r="I1134" s="10">
        <f t="shared" si="19"/>
        <v>287.10000000000002</v>
      </c>
      <c r="J1134" s="10">
        <v>6.7408650000000003</v>
      </c>
      <c r="K1134" s="8" t="s">
        <v>4983</v>
      </c>
      <c r="S1134"/>
    </row>
    <row r="1135" spans="1:19" ht="15" x14ac:dyDescent="0.25">
      <c r="A1135" s="8" t="s">
        <v>6068</v>
      </c>
      <c r="B1135" s="8" t="s">
        <v>6069</v>
      </c>
      <c r="C1135" s="8" t="s">
        <v>6106</v>
      </c>
      <c r="D1135" s="32" t="s">
        <v>6984</v>
      </c>
      <c r="E1135" s="32" t="s">
        <v>6106</v>
      </c>
      <c r="F1135" s="10">
        <v>1</v>
      </c>
      <c r="G1135" s="8" t="s">
        <v>4903</v>
      </c>
      <c r="H1135" s="10">
        <v>211.8</v>
      </c>
      <c r="I1135" s="10">
        <f t="shared" si="19"/>
        <v>211.8</v>
      </c>
      <c r="J1135" s="10">
        <v>5.4477149999999996</v>
      </c>
      <c r="K1135" s="8" t="s">
        <v>4949</v>
      </c>
      <c r="S1135"/>
    </row>
    <row r="1136" spans="1:19" ht="15" x14ac:dyDescent="0.25">
      <c r="A1136" s="8" t="s">
        <v>6071</v>
      </c>
      <c r="B1136" s="8" t="s">
        <v>6069</v>
      </c>
      <c r="C1136" s="8" t="s">
        <v>6107</v>
      </c>
      <c r="D1136" s="32" t="s">
        <v>6984</v>
      </c>
      <c r="E1136" s="32" t="s">
        <v>6107</v>
      </c>
      <c r="F1136" s="10">
        <v>1</v>
      </c>
      <c r="G1136" s="8" t="s">
        <v>4903</v>
      </c>
      <c r="H1136" s="10">
        <v>196.9</v>
      </c>
      <c r="I1136" s="10">
        <f t="shared" si="19"/>
        <v>196.9</v>
      </c>
      <c r="J1136" s="10">
        <v>5.0632400000000004</v>
      </c>
      <c r="K1136" s="8" t="s">
        <v>4949</v>
      </c>
      <c r="S1136"/>
    </row>
    <row r="1137" spans="1:19" ht="15" x14ac:dyDescent="0.25">
      <c r="A1137" s="8" t="s">
        <v>6071</v>
      </c>
      <c r="B1137" s="8" t="s">
        <v>6069</v>
      </c>
      <c r="C1137" s="8" t="s">
        <v>6108</v>
      </c>
      <c r="D1137" s="32" t="s">
        <v>6984</v>
      </c>
      <c r="E1137" s="32" t="s">
        <v>6108</v>
      </c>
      <c r="F1137" s="10">
        <v>4</v>
      </c>
      <c r="G1137" s="8" t="s">
        <v>4903</v>
      </c>
      <c r="H1137" s="10">
        <v>161.77500000000001</v>
      </c>
      <c r="I1137" s="10">
        <f t="shared" si="19"/>
        <v>647.1</v>
      </c>
      <c r="J1137" s="10">
        <v>18.56316</v>
      </c>
      <c r="K1137" s="8" t="s">
        <v>4956</v>
      </c>
      <c r="S1137"/>
    </row>
    <row r="1138" spans="1:19" ht="15" x14ac:dyDescent="0.25">
      <c r="A1138" s="8" t="s">
        <v>6071</v>
      </c>
      <c r="B1138" s="8" t="s">
        <v>6069</v>
      </c>
      <c r="C1138" s="8" t="s">
        <v>6109</v>
      </c>
      <c r="D1138" s="32" t="s">
        <v>6984</v>
      </c>
      <c r="E1138" s="32" t="s">
        <v>6109</v>
      </c>
      <c r="F1138" s="10">
        <v>4</v>
      </c>
      <c r="G1138" s="8" t="s">
        <v>4903</v>
      </c>
      <c r="H1138" s="10">
        <v>237.125</v>
      </c>
      <c r="I1138" s="10">
        <f t="shared" si="19"/>
        <v>948.5</v>
      </c>
      <c r="J1138" s="10">
        <v>27.206759999999999</v>
      </c>
      <c r="K1138" s="8" t="s">
        <v>4956</v>
      </c>
      <c r="S1138"/>
    </row>
    <row r="1139" spans="1:19" ht="15" x14ac:dyDescent="0.25">
      <c r="A1139" s="8" t="s">
        <v>6071</v>
      </c>
      <c r="B1139" s="8" t="s">
        <v>6069</v>
      </c>
      <c r="C1139" s="8" t="s">
        <v>6110</v>
      </c>
      <c r="D1139" s="32" t="s">
        <v>6984</v>
      </c>
      <c r="E1139" s="32" t="s">
        <v>6110</v>
      </c>
      <c r="F1139" s="10">
        <v>2</v>
      </c>
      <c r="G1139" s="8" t="s">
        <v>4903</v>
      </c>
      <c r="H1139" s="10">
        <v>29.1</v>
      </c>
      <c r="I1139" s="10">
        <f t="shared" si="19"/>
        <v>58.2</v>
      </c>
      <c r="J1139" s="10">
        <v>2.2612719999999999</v>
      </c>
      <c r="K1139" s="8" t="s">
        <v>5049</v>
      </c>
      <c r="S1139"/>
    </row>
    <row r="1140" spans="1:19" ht="15" x14ac:dyDescent="0.25">
      <c r="A1140" s="8" t="s">
        <v>6068</v>
      </c>
      <c r="B1140" s="8" t="s">
        <v>6069</v>
      </c>
      <c r="C1140" s="8" t="s">
        <v>6111</v>
      </c>
      <c r="D1140" s="32" t="s">
        <v>6984</v>
      </c>
      <c r="E1140" s="32" t="s">
        <v>6111</v>
      </c>
      <c r="F1140" s="10">
        <v>1</v>
      </c>
      <c r="G1140" s="8" t="s">
        <v>4903</v>
      </c>
      <c r="H1140" s="10">
        <v>283.60000000000002</v>
      </c>
      <c r="I1140" s="10">
        <f t="shared" si="19"/>
        <v>283.60000000000002</v>
      </c>
      <c r="J1140" s="10">
        <v>6.6572459999999998</v>
      </c>
      <c r="K1140" s="8" t="s">
        <v>4983</v>
      </c>
      <c r="S1140"/>
    </row>
    <row r="1141" spans="1:19" ht="15" x14ac:dyDescent="0.25">
      <c r="A1141" s="8" t="s">
        <v>6071</v>
      </c>
      <c r="B1141" s="8" t="s">
        <v>6069</v>
      </c>
      <c r="C1141" s="8" t="s">
        <v>6112</v>
      </c>
      <c r="D1141" s="32" t="s">
        <v>6984</v>
      </c>
      <c r="E1141" s="32" t="s">
        <v>6112</v>
      </c>
      <c r="F1141" s="10">
        <v>1</v>
      </c>
      <c r="G1141" s="8" t="s">
        <v>4903</v>
      </c>
      <c r="H1141" s="10">
        <v>185.1</v>
      </c>
      <c r="I1141" s="10">
        <f t="shared" si="19"/>
        <v>185.1</v>
      </c>
      <c r="J1141" s="10">
        <v>4.7615749999999997</v>
      </c>
      <c r="K1141" s="8" t="s">
        <v>4949</v>
      </c>
      <c r="S1141"/>
    </row>
    <row r="1142" spans="1:19" ht="15" x14ac:dyDescent="0.25">
      <c r="A1142" s="8" t="s">
        <v>6068</v>
      </c>
      <c r="B1142" s="8" t="s">
        <v>6069</v>
      </c>
      <c r="C1142" s="8" t="s">
        <v>6113</v>
      </c>
      <c r="D1142" s="32" t="s">
        <v>6984</v>
      </c>
      <c r="E1142" s="32" t="s">
        <v>6113</v>
      </c>
      <c r="F1142" s="10">
        <v>1</v>
      </c>
      <c r="G1142" s="8" t="s">
        <v>4903</v>
      </c>
      <c r="H1142" s="10">
        <v>204.5</v>
      </c>
      <c r="I1142" s="10">
        <f t="shared" si="19"/>
        <v>204.5</v>
      </c>
      <c r="J1142" s="10">
        <v>5.2584350000000004</v>
      </c>
      <c r="K1142" s="8" t="s">
        <v>4949</v>
      </c>
      <c r="S1142"/>
    </row>
    <row r="1143" spans="1:19" ht="15" x14ac:dyDescent="0.25">
      <c r="A1143" s="8" t="s">
        <v>6068</v>
      </c>
      <c r="B1143" s="8" t="s">
        <v>6069</v>
      </c>
      <c r="C1143" s="8" t="s">
        <v>6114</v>
      </c>
      <c r="D1143" s="32" t="s">
        <v>6984</v>
      </c>
      <c r="E1143" s="32" t="s">
        <v>6114</v>
      </c>
      <c r="F1143" s="10">
        <v>1</v>
      </c>
      <c r="G1143" s="8" t="s">
        <v>16</v>
      </c>
      <c r="H1143" s="10">
        <v>1675.1</v>
      </c>
      <c r="I1143" s="10">
        <f t="shared" si="19"/>
        <v>1675.1</v>
      </c>
      <c r="J1143" s="10">
        <v>27.377815732799998</v>
      </c>
      <c r="K1143" s="8" t="s">
        <v>5670</v>
      </c>
      <c r="S1143"/>
    </row>
    <row r="1144" spans="1:19" ht="15" x14ac:dyDescent="0.25">
      <c r="A1144" s="8" t="s">
        <v>6068</v>
      </c>
      <c r="B1144" s="8" t="s">
        <v>6069</v>
      </c>
      <c r="C1144" s="8" t="s">
        <v>6115</v>
      </c>
      <c r="D1144" s="32" t="s">
        <v>6984</v>
      </c>
      <c r="E1144" s="32" t="s">
        <v>6115</v>
      </c>
      <c r="F1144" s="10">
        <v>1</v>
      </c>
      <c r="G1144" s="8" t="s">
        <v>16</v>
      </c>
      <c r="H1144" s="10">
        <v>1675.1</v>
      </c>
      <c r="I1144" s="10">
        <f t="shared" si="19"/>
        <v>1675.1</v>
      </c>
      <c r="J1144" s="10">
        <v>27.409755509610001</v>
      </c>
      <c r="K1144" s="8" t="s">
        <v>5670</v>
      </c>
      <c r="S1144"/>
    </row>
    <row r="1145" spans="1:19" ht="15" x14ac:dyDescent="0.25">
      <c r="A1145" s="8" t="s">
        <v>6071</v>
      </c>
      <c r="B1145" s="8" t="s">
        <v>6069</v>
      </c>
      <c r="C1145" s="8" t="s">
        <v>6116</v>
      </c>
      <c r="D1145" s="32" t="s">
        <v>6984</v>
      </c>
      <c r="E1145" s="32" t="s">
        <v>6116</v>
      </c>
      <c r="F1145" s="10">
        <v>1</v>
      </c>
      <c r="G1145" s="8" t="s">
        <v>16</v>
      </c>
      <c r="H1145" s="10">
        <v>82.9</v>
      </c>
      <c r="I1145" s="10">
        <f t="shared" si="19"/>
        <v>82.9</v>
      </c>
      <c r="J1145" s="10">
        <v>2.7700184960000001</v>
      </c>
      <c r="K1145" s="8" t="s">
        <v>5040</v>
      </c>
      <c r="S1145"/>
    </row>
    <row r="1146" spans="1:19" ht="15" x14ac:dyDescent="0.25">
      <c r="A1146" s="8" t="s">
        <v>6071</v>
      </c>
      <c r="B1146" s="8" t="s">
        <v>6069</v>
      </c>
      <c r="C1146" s="8" t="s">
        <v>6117</v>
      </c>
      <c r="D1146" s="32" t="s">
        <v>6984</v>
      </c>
      <c r="E1146" s="32" t="s">
        <v>6117</v>
      </c>
      <c r="F1146" s="10">
        <v>1</v>
      </c>
      <c r="G1146" s="8" t="s">
        <v>16</v>
      </c>
      <c r="H1146" s="10">
        <v>82.9</v>
      </c>
      <c r="I1146" s="10">
        <f t="shared" si="19"/>
        <v>82.9</v>
      </c>
      <c r="J1146" s="10">
        <v>2.7700184960000001</v>
      </c>
      <c r="K1146" s="8" t="s">
        <v>5040</v>
      </c>
      <c r="S1146"/>
    </row>
    <row r="1147" spans="1:19" ht="15" x14ac:dyDescent="0.25">
      <c r="A1147" s="8" t="s">
        <v>6071</v>
      </c>
      <c r="B1147" s="8" t="s">
        <v>6069</v>
      </c>
      <c r="C1147" s="8" t="s">
        <v>6118</v>
      </c>
      <c r="D1147" s="32" t="s">
        <v>6984</v>
      </c>
      <c r="E1147" s="32" t="s">
        <v>6118</v>
      </c>
      <c r="F1147" s="10">
        <v>1</v>
      </c>
      <c r="G1147" s="8" t="s">
        <v>16</v>
      </c>
      <c r="H1147" s="10">
        <v>1676.5</v>
      </c>
      <c r="I1147" s="10">
        <f t="shared" si="19"/>
        <v>1676.5</v>
      </c>
      <c r="J1147" s="10">
        <v>27.291857474130001</v>
      </c>
      <c r="K1147" s="8" t="s">
        <v>5670</v>
      </c>
      <c r="S1147"/>
    </row>
    <row r="1148" spans="1:19" ht="15" x14ac:dyDescent="0.25">
      <c r="A1148" s="8" t="s">
        <v>6071</v>
      </c>
      <c r="B1148" s="8" t="s">
        <v>6069</v>
      </c>
      <c r="C1148" s="8" t="s">
        <v>6119</v>
      </c>
      <c r="D1148" s="32" t="s">
        <v>6984</v>
      </c>
      <c r="E1148" s="32" t="s">
        <v>6119</v>
      </c>
      <c r="F1148" s="10">
        <v>1</v>
      </c>
      <c r="G1148" s="8" t="s">
        <v>16</v>
      </c>
      <c r="H1148" s="10">
        <v>1663.9</v>
      </c>
      <c r="I1148" s="10">
        <f t="shared" si="19"/>
        <v>1663.9</v>
      </c>
      <c r="J1148" s="10">
        <v>27.08375747413</v>
      </c>
      <c r="K1148" s="8" t="s">
        <v>5670</v>
      </c>
      <c r="S1148"/>
    </row>
    <row r="1149" spans="1:19" ht="15" x14ac:dyDescent="0.25">
      <c r="A1149" s="8" t="s">
        <v>6071</v>
      </c>
      <c r="B1149" s="8" t="s">
        <v>6069</v>
      </c>
      <c r="C1149" s="8" t="s">
        <v>6120</v>
      </c>
      <c r="D1149" s="32" t="s">
        <v>6984</v>
      </c>
      <c r="E1149" s="32" t="s">
        <v>6120</v>
      </c>
      <c r="F1149" s="10">
        <v>1</v>
      </c>
      <c r="G1149" s="8" t="s">
        <v>16</v>
      </c>
      <c r="H1149" s="10">
        <v>83.1</v>
      </c>
      <c r="I1149" s="10">
        <f t="shared" si="19"/>
        <v>83.1</v>
      </c>
      <c r="J1149" s="10">
        <v>2.7773464959999998</v>
      </c>
      <c r="K1149" s="8" t="s">
        <v>5040</v>
      </c>
      <c r="S1149"/>
    </row>
    <row r="1150" spans="1:19" ht="15" x14ac:dyDescent="0.25">
      <c r="A1150" s="8" t="s">
        <v>6071</v>
      </c>
      <c r="B1150" s="8" t="s">
        <v>6069</v>
      </c>
      <c r="C1150" s="8" t="s">
        <v>6121</v>
      </c>
      <c r="D1150" s="32" t="s">
        <v>6984</v>
      </c>
      <c r="E1150" s="32" t="s">
        <v>6121</v>
      </c>
      <c r="F1150" s="10">
        <v>1</v>
      </c>
      <c r="G1150" s="8" t="s">
        <v>16</v>
      </c>
      <c r="H1150" s="10">
        <v>83.1</v>
      </c>
      <c r="I1150" s="10">
        <f t="shared" si="19"/>
        <v>83.1</v>
      </c>
      <c r="J1150" s="10">
        <v>2.7773464959999998</v>
      </c>
      <c r="K1150" s="8" t="s">
        <v>5040</v>
      </c>
      <c r="S1150"/>
    </row>
    <row r="1151" spans="1:19" ht="15" x14ac:dyDescent="0.25">
      <c r="A1151" s="8" t="s">
        <v>6068</v>
      </c>
      <c r="B1151" s="8" t="s">
        <v>6069</v>
      </c>
      <c r="C1151" s="8" t="s">
        <v>6122</v>
      </c>
      <c r="D1151" s="32" t="s">
        <v>6984</v>
      </c>
      <c r="E1151" s="32" t="s">
        <v>6122</v>
      </c>
      <c r="F1151" s="10">
        <v>1</v>
      </c>
      <c r="G1151" s="8" t="s">
        <v>16</v>
      </c>
      <c r="H1151" s="10">
        <v>1693.3</v>
      </c>
      <c r="I1151" s="10">
        <f t="shared" si="19"/>
        <v>1693.3</v>
      </c>
      <c r="J1151" s="10">
        <v>27.95490458638</v>
      </c>
      <c r="K1151" s="8" t="s">
        <v>5670</v>
      </c>
      <c r="S1151"/>
    </row>
    <row r="1152" spans="1:19" ht="15" x14ac:dyDescent="0.25">
      <c r="A1152" s="8" t="s">
        <v>6071</v>
      </c>
      <c r="B1152" s="8" t="s">
        <v>6069</v>
      </c>
      <c r="C1152" s="8" t="s">
        <v>6123</v>
      </c>
      <c r="D1152" s="32" t="s">
        <v>6984</v>
      </c>
      <c r="E1152" s="32" t="s">
        <v>6123</v>
      </c>
      <c r="F1152" s="10">
        <v>1</v>
      </c>
      <c r="G1152" s="8" t="s">
        <v>16</v>
      </c>
      <c r="H1152" s="10">
        <v>1671.6</v>
      </c>
      <c r="I1152" s="10">
        <f t="shared" si="19"/>
        <v>1671.6</v>
      </c>
      <c r="J1152" s="10">
        <v>27.349214716030001</v>
      </c>
      <c r="K1152" s="8" t="s">
        <v>5670</v>
      </c>
      <c r="S1152"/>
    </row>
    <row r="1153" spans="1:19" ht="15" x14ac:dyDescent="0.25">
      <c r="A1153" s="8" t="s">
        <v>6071</v>
      </c>
      <c r="B1153" s="8" t="s">
        <v>6069</v>
      </c>
      <c r="C1153" s="8" t="s">
        <v>6124</v>
      </c>
      <c r="D1153" s="32" t="s">
        <v>6984</v>
      </c>
      <c r="E1153" s="32" t="s">
        <v>6124</v>
      </c>
      <c r="F1153" s="10">
        <v>1</v>
      </c>
      <c r="G1153" s="8" t="s">
        <v>16</v>
      </c>
      <c r="H1153" s="10">
        <v>221.5</v>
      </c>
      <c r="I1153" s="10">
        <f t="shared" si="19"/>
        <v>221.5</v>
      </c>
      <c r="J1153" s="10">
        <v>7.5772381400000004</v>
      </c>
      <c r="K1153" s="8" t="s">
        <v>5040</v>
      </c>
      <c r="S1153"/>
    </row>
    <row r="1154" spans="1:19" ht="15" x14ac:dyDescent="0.25">
      <c r="A1154" s="8" t="s">
        <v>6071</v>
      </c>
      <c r="B1154" s="8" t="s">
        <v>6069</v>
      </c>
      <c r="C1154" s="8" t="s">
        <v>6125</v>
      </c>
      <c r="D1154" s="32" t="s">
        <v>6984</v>
      </c>
      <c r="E1154" s="32" t="s">
        <v>6125</v>
      </c>
      <c r="F1154" s="10">
        <v>1</v>
      </c>
      <c r="G1154" s="8" t="s">
        <v>16</v>
      </c>
      <c r="H1154" s="10">
        <v>1017.6</v>
      </c>
      <c r="I1154" s="10">
        <f t="shared" si="19"/>
        <v>1017.6</v>
      </c>
      <c r="J1154" s="10">
        <v>17.826606624699998</v>
      </c>
      <c r="K1154" s="8" t="s">
        <v>5670</v>
      </c>
      <c r="S1154"/>
    </row>
    <row r="1155" spans="1:19" ht="15" x14ac:dyDescent="0.25">
      <c r="A1155" s="8" t="s">
        <v>6068</v>
      </c>
      <c r="B1155" s="8" t="s">
        <v>6069</v>
      </c>
      <c r="C1155" s="8" t="s">
        <v>6126</v>
      </c>
      <c r="D1155" s="32" t="s">
        <v>6984</v>
      </c>
      <c r="E1155" s="32" t="s">
        <v>6126</v>
      </c>
      <c r="F1155" s="10">
        <v>1</v>
      </c>
      <c r="G1155" s="8" t="s">
        <v>16</v>
      </c>
      <c r="H1155" s="10">
        <v>374.8</v>
      </c>
      <c r="I1155" s="10">
        <f t="shared" si="19"/>
        <v>374.8</v>
      </c>
      <c r="J1155" s="10">
        <v>11.32689574674</v>
      </c>
      <c r="K1155" s="8" t="s">
        <v>5038</v>
      </c>
      <c r="S1155"/>
    </row>
    <row r="1156" spans="1:19" ht="15" x14ac:dyDescent="0.25">
      <c r="A1156" s="8" t="s">
        <v>6068</v>
      </c>
      <c r="B1156" s="8" t="s">
        <v>6069</v>
      </c>
      <c r="C1156" s="8" t="s">
        <v>6127</v>
      </c>
      <c r="D1156" s="32" t="s">
        <v>6984</v>
      </c>
      <c r="E1156" s="32" t="s">
        <v>6127</v>
      </c>
      <c r="F1156" s="10">
        <v>1</v>
      </c>
      <c r="G1156" s="8" t="s">
        <v>16</v>
      </c>
      <c r="H1156" s="10">
        <v>357.2</v>
      </c>
      <c r="I1156" s="10">
        <f t="shared" si="19"/>
        <v>357.2</v>
      </c>
      <c r="J1156" s="10">
        <v>10.666168754559999</v>
      </c>
      <c r="K1156" s="8" t="s">
        <v>5038</v>
      </c>
      <c r="S1156"/>
    </row>
    <row r="1157" spans="1:19" ht="15" x14ac:dyDescent="0.25">
      <c r="A1157" s="8" t="s">
        <v>6068</v>
      </c>
      <c r="B1157" s="8" t="s">
        <v>6069</v>
      </c>
      <c r="C1157" s="8" t="s">
        <v>6128</v>
      </c>
      <c r="D1157" s="32" t="s">
        <v>6984</v>
      </c>
      <c r="E1157" s="32" t="s">
        <v>6128</v>
      </c>
      <c r="F1157" s="10">
        <v>1</v>
      </c>
      <c r="G1157" s="8" t="s">
        <v>16</v>
      </c>
      <c r="H1157" s="10">
        <v>376.8</v>
      </c>
      <c r="I1157" s="10">
        <f t="shared" ref="I1157:I1220" si="20">F1157*H1157</f>
        <v>376.8</v>
      </c>
      <c r="J1157" s="10">
        <v>10.544456094479999</v>
      </c>
      <c r="K1157" s="8" t="s">
        <v>5209</v>
      </c>
      <c r="S1157"/>
    </row>
    <row r="1158" spans="1:19" ht="15" x14ac:dyDescent="0.25">
      <c r="A1158" s="8" t="s">
        <v>6071</v>
      </c>
      <c r="B1158" s="8" t="s">
        <v>6069</v>
      </c>
      <c r="C1158" s="8" t="s">
        <v>6129</v>
      </c>
      <c r="D1158" s="32" t="s">
        <v>6984</v>
      </c>
      <c r="E1158" s="32" t="s">
        <v>6129</v>
      </c>
      <c r="F1158" s="10">
        <v>1</v>
      </c>
      <c r="G1158" s="8" t="s">
        <v>16</v>
      </c>
      <c r="H1158" s="10">
        <v>364.4</v>
      </c>
      <c r="I1158" s="10">
        <f t="shared" si="20"/>
        <v>364.4</v>
      </c>
      <c r="J1158" s="10">
        <v>10.141973546639999</v>
      </c>
      <c r="K1158" s="8" t="s">
        <v>5209</v>
      </c>
      <c r="S1158"/>
    </row>
    <row r="1159" spans="1:19" ht="15" x14ac:dyDescent="0.25">
      <c r="A1159" s="8" t="s">
        <v>6071</v>
      </c>
      <c r="B1159" s="8" t="s">
        <v>6069</v>
      </c>
      <c r="C1159" s="8" t="s">
        <v>6130</v>
      </c>
      <c r="D1159" s="32" t="s">
        <v>6984</v>
      </c>
      <c r="E1159" s="32" t="s">
        <v>6130</v>
      </c>
      <c r="F1159" s="10">
        <v>1</v>
      </c>
      <c r="G1159" s="8" t="s">
        <v>16</v>
      </c>
      <c r="H1159" s="10">
        <v>344.8</v>
      </c>
      <c r="I1159" s="10">
        <f t="shared" si="20"/>
        <v>344.8</v>
      </c>
      <c r="J1159" s="10">
        <v>9.5001053155200008</v>
      </c>
      <c r="K1159" s="8" t="s">
        <v>5209</v>
      </c>
      <c r="S1159"/>
    </row>
    <row r="1160" spans="1:19" ht="15" x14ac:dyDescent="0.25">
      <c r="A1160" s="8" t="s">
        <v>6071</v>
      </c>
      <c r="B1160" s="8" t="s">
        <v>6069</v>
      </c>
      <c r="C1160" s="8" t="s">
        <v>6131</v>
      </c>
      <c r="D1160" s="32" t="s">
        <v>6984</v>
      </c>
      <c r="E1160" s="32" t="s">
        <v>6131</v>
      </c>
      <c r="F1160" s="10">
        <v>1</v>
      </c>
      <c r="G1160" s="8" t="s">
        <v>16</v>
      </c>
      <c r="H1160" s="10">
        <v>1315.1</v>
      </c>
      <c r="I1160" s="10">
        <f t="shared" si="20"/>
        <v>1315.1</v>
      </c>
      <c r="J1160" s="10">
        <v>22.429468571680001</v>
      </c>
      <c r="K1160" s="8" t="s">
        <v>5670</v>
      </c>
      <c r="S1160"/>
    </row>
    <row r="1161" spans="1:19" ht="15" x14ac:dyDescent="0.25">
      <c r="A1161" s="8" t="s">
        <v>6071</v>
      </c>
      <c r="B1161" s="8" t="s">
        <v>6069</v>
      </c>
      <c r="C1161" s="8" t="s">
        <v>6132</v>
      </c>
      <c r="D1161" s="32" t="s">
        <v>6984</v>
      </c>
      <c r="E1161" s="32" t="s">
        <v>6132</v>
      </c>
      <c r="F1161" s="10">
        <v>1</v>
      </c>
      <c r="G1161" s="8" t="s">
        <v>16</v>
      </c>
      <c r="H1161" s="10">
        <v>1085.7</v>
      </c>
      <c r="I1161" s="10">
        <f t="shared" si="20"/>
        <v>1085.7</v>
      </c>
      <c r="J1161" s="10">
        <v>22.501443815399998</v>
      </c>
      <c r="K1161" s="8" t="s">
        <v>17</v>
      </c>
      <c r="S1161"/>
    </row>
    <row r="1162" spans="1:19" ht="15" x14ac:dyDescent="0.25">
      <c r="A1162" s="8" t="s">
        <v>6068</v>
      </c>
      <c r="B1162" s="8" t="s">
        <v>6069</v>
      </c>
      <c r="C1162" s="8" t="s">
        <v>6133</v>
      </c>
      <c r="D1162" s="32" t="s">
        <v>6984</v>
      </c>
      <c r="E1162" s="32" t="s">
        <v>6133</v>
      </c>
      <c r="F1162" s="10">
        <v>1</v>
      </c>
      <c r="G1162" s="8" t="s">
        <v>16</v>
      </c>
      <c r="H1162" s="10">
        <v>1195.3</v>
      </c>
      <c r="I1162" s="10">
        <f t="shared" si="20"/>
        <v>1195.3</v>
      </c>
      <c r="J1162" s="10">
        <v>25.990671393589999</v>
      </c>
      <c r="K1162" s="8" t="s">
        <v>17</v>
      </c>
      <c r="S1162"/>
    </row>
    <row r="1163" spans="1:19" ht="15" x14ac:dyDescent="0.25">
      <c r="A1163" s="8" t="s">
        <v>6071</v>
      </c>
      <c r="B1163" s="8" t="s">
        <v>6069</v>
      </c>
      <c r="C1163" s="8" t="s">
        <v>6134</v>
      </c>
      <c r="D1163" s="32" t="s">
        <v>6984</v>
      </c>
      <c r="E1163" s="32" t="s">
        <v>6134</v>
      </c>
      <c r="F1163" s="10">
        <v>1</v>
      </c>
      <c r="G1163" s="8" t="s">
        <v>16</v>
      </c>
      <c r="H1163" s="10">
        <v>980.4</v>
      </c>
      <c r="I1163" s="10">
        <f t="shared" si="20"/>
        <v>980.4</v>
      </c>
      <c r="J1163" s="10">
        <v>21.302211095499999</v>
      </c>
      <c r="K1163" s="8" t="s">
        <v>17</v>
      </c>
      <c r="S1163"/>
    </row>
    <row r="1164" spans="1:19" ht="15" x14ac:dyDescent="0.25">
      <c r="A1164" s="8" t="s">
        <v>6071</v>
      </c>
      <c r="B1164" s="8" t="s">
        <v>6069</v>
      </c>
      <c r="C1164" s="8" t="s">
        <v>6135</v>
      </c>
      <c r="D1164" s="32" t="s">
        <v>6984</v>
      </c>
      <c r="E1164" s="32" t="s">
        <v>6135</v>
      </c>
      <c r="F1164" s="10">
        <v>1</v>
      </c>
      <c r="G1164" s="8" t="s">
        <v>16</v>
      </c>
      <c r="H1164" s="10">
        <v>377.2</v>
      </c>
      <c r="I1164" s="10">
        <f t="shared" si="20"/>
        <v>377.2</v>
      </c>
      <c r="J1164" s="10">
        <v>10.558230656719999</v>
      </c>
      <c r="K1164" s="8" t="s">
        <v>5209</v>
      </c>
      <c r="S1164"/>
    </row>
    <row r="1165" spans="1:19" ht="15" x14ac:dyDescent="0.25">
      <c r="A1165" s="8" t="s">
        <v>6068</v>
      </c>
      <c r="B1165" s="8" t="s">
        <v>6069</v>
      </c>
      <c r="C1165" s="8" t="s">
        <v>6136</v>
      </c>
      <c r="D1165" s="32" t="s">
        <v>6984</v>
      </c>
      <c r="E1165" s="32" t="s">
        <v>6136</v>
      </c>
      <c r="F1165" s="10">
        <v>1</v>
      </c>
      <c r="G1165" s="8" t="s">
        <v>16</v>
      </c>
      <c r="H1165" s="10">
        <v>377.3</v>
      </c>
      <c r="I1165" s="10">
        <f t="shared" si="20"/>
        <v>377.3</v>
      </c>
      <c r="J1165" s="10">
        <v>10.56037787112</v>
      </c>
      <c r="K1165" s="8" t="s">
        <v>5209</v>
      </c>
      <c r="S1165"/>
    </row>
    <row r="1166" spans="1:19" ht="15" x14ac:dyDescent="0.25">
      <c r="A1166" s="8" t="s">
        <v>6068</v>
      </c>
      <c r="B1166" s="8" t="s">
        <v>6069</v>
      </c>
      <c r="C1166" s="8" t="s">
        <v>6137</v>
      </c>
      <c r="D1166" s="32" t="s">
        <v>6984</v>
      </c>
      <c r="E1166" s="32" t="s">
        <v>6137</v>
      </c>
      <c r="F1166" s="10">
        <v>1</v>
      </c>
      <c r="G1166" s="8" t="s">
        <v>16</v>
      </c>
      <c r="H1166" s="10">
        <v>379.5</v>
      </c>
      <c r="I1166" s="10">
        <f t="shared" si="20"/>
        <v>379.5</v>
      </c>
      <c r="J1166" s="10">
        <v>10.173198751999999</v>
      </c>
      <c r="K1166" s="8" t="s">
        <v>5209</v>
      </c>
      <c r="S1166"/>
    </row>
    <row r="1167" spans="1:19" ht="15" x14ac:dyDescent="0.25">
      <c r="A1167" s="8" t="s">
        <v>6068</v>
      </c>
      <c r="B1167" s="8" t="s">
        <v>6069</v>
      </c>
      <c r="C1167" s="8" t="s">
        <v>6138</v>
      </c>
      <c r="D1167" s="32" t="s">
        <v>6984</v>
      </c>
      <c r="E1167" s="32" t="s">
        <v>6138</v>
      </c>
      <c r="F1167" s="10">
        <v>1</v>
      </c>
      <c r="G1167" s="8" t="s">
        <v>16</v>
      </c>
      <c r="H1167" s="10">
        <v>1315.6</v>
      </c>
      <c r="I1167" s="10">
        <f t="shared" si="20"/>
        <v>1315.6</v>
      </c>
      <c r="J1167" s="10">
        <v>22.447056495199998</v>
      </c>
      <c r="K1167" s="8" t="s">
        <v>5670</v>
      </c>
      <c r="S1167"/>
    </row>
    <row r="1168" spans="1:19" ht="15" x14ac:dyDescent="0.25">
      <c r="A1168" s="8" t="s">
        <v>6068</v>
      </c>
      <c r="B1168" s="8" t="s">
        <v>6069</v>
      </c>
      <c r="C1168" s="8" t="s">
        <v>6139</v>
      </c>
      <c r="D1168" s="32" t="s">
        <v>6984</v>
      </c>
      <c r="E1168" s="32" t="s">
        <v>6139</v>
      </c>
      <c r="F1168" s="10">
        <v>1</v>
      </c>
      <c r="G1168" s="8" t="s">
        <v>16</v>
      </c>
      <c r="H1168" s="10">
        <v>83</v>
      </c>
      <c r="I1168" s="10">
        <f t="shared" si="20"/>
        <v>83</v>
      </c>
      <c r="J1168" s="10">
        <v>2.772766496</v>
      </c>
      <c r="K1168" s="8" t="s">
        <v>5040</v>
      </c>
      <c r="S1168"/>
    </row>
    <row r="1169" spans="1:19" ht="15" x14ac:dyDescent="0.25">
      <c r="A1169" s="8" t="s">
        <v>6068</v>
      </c>
      <c r="B1169" s="8" t="s">
        <v>6069</v>
      </c>
      <c r="C1169" s="8" t="s">
        <v>6140</v>
      </c>
      <c r="D1169" s="32" t="s">
        <v>6984</v>
      </c>
      <c r="E1169" s="32" t="s">
        <v>6140</v>
      </c>
      <c r="F1169" s="10">
        <v>1</v>
      </c>
      <c r="G1169" s="8" t="s">
        <v>16</v>
      </c>
      <c r="H1169" s="10">
        <v>83</v>
      </c>
      <c r="I1169" s="10">
        <f t="shared" si="20"/>
        <v>83</v>
      </c>
      <c r="J1169" s="10">
        <v>2.772766496</v>
      </c>
      <c r="K1169" s="8" t="s">
        <v>5040</v>
      </c>
      <c r="S1169"/>
    </row>
    <row r="1170" spans="1:19" ht="15" x14ac:dyDescent="0.25">
      <c r="A1170" s="8" t="s">
        <v>6068</v>
      </c>
      <c r="B1170" s="8" t="s">
        <v>6069</v>
      </c>
      <c r="C1170" s="8" t="s">
        <v>6141</v>
      </c>
      <c r="D1170" s="32" t="s">
        <v>6984</v>
      </c>
      <c r="E1170" s="32" t="s">
        <v>6141</v>
      </c>
      <c r="F1170" s="10">
        <v>1</v>
      </c>
      <c r="G1170" s="8" t="s">
        <v>16</v>
      </c>
      <c r="H1170" s="10">
        <v>82.8</v>
      </c>
      <c r="I1170" s="10">
        <f t="shared" si="20"/>
        <v>82.8</v>
      </c>
      <c r="J1170" s="10">
        <v>2.7681864960000002</v>
      </c>
      <c r="K1170" s="8" t="s">
        <v>5040</v>
      </c>
      <c r="S1170"/>
    </row>
    <row r="1171" spans="1:19" ht="15" x14ac:dyDescent="0.25">
      <c r="A1171" s="8" t="s">
        <v>6068</v>
      </c>
      <c r="B1171" s="8" t="s">
        <v>6069</v>
      </c>
      <c r="C1171" s="8" t="s">
        <v>6142</v>
      </c>
      <c r="D1171" s="32" t="s">
        <v>6984</v>
      </c>
      <c r="E1171" s="32" t="s">
        <v>6142</v>
      </c>
      <c r="F1171" s="10">
        <v>1</v>
      </c>
      <c r="G1171" s="8" t="s">
        <v>16</v>
      </c>
      <c r="H1171" s="10">
        <v>82.8</v>
      </c>
      <c r="I1171" s="10">
        <f t="shared" si="20"/>
        <v>82.8</v>
      </c>
      <c r="J1171" s="10">
        <v>2.7681864960000002</v>
      </c>
      <c r="K1171" s="8" t="s">
        <v>5040</v>
      </c>
      <c r="S1171"/>
    </row>
    <row r="1172" spans="1:19" ht="15" x14ac:dyDescent="0.25">
      <c r="A1172" s="8" t="s">
        <v>6068</v>
      </c>
      <c r="B1172" s="8" t="s">
        <v>6069</v>
      </c>
      <c r="C1172" s="8" t="s">
        <v>6143</v>
      </c>
      <c r="D1172" s="32" t="s">
        <v>6984</v>
      </c>
      <c r="E1172" s="32" t="s">
        <v>6143</v>
      </c>
      <c r="F1172" s="10">
        <v>1</v>
      </c>
      <c r="G1172" s="8" t="s">
        <v>16</v>
      </c>
      <c r="H1172" s="10">
        <v>1169.5999999999999</v>
      </c>
      <c r="I1172" s="10">
        <f t="shared" si="20"/>
        <v>1169.5999999999999</v>
      </c>
      <c r="J1172" s="10">
        <v>24.87890089183</v>
      </c>
      <c r="K1172" s="8" t="s">
        <v>17</v>
      </c>
      <c r="S1172"/>
    </row>
    <row r="1173" spans="1:19" ht="15" x14ac:dyDescent="0.25">
      <c r="A1173" s="8" t="s">
        <v>6071</v>
      </c>
      <c r="B1173" s="8" t="s">
        <v>6069</v>
      </c>
      <c r="C1173" s="8" t="s">
        <v>6144</v>
      </c>
      <c r="D1173" s="32" t="s">
        <v>6984</v>
      </c>
      <c r="E1173" s="32" t="s">
        <v>6144</v>
      </c>
      <c r="F1173" s="10">
        <v>1</v>
      </c>
      <c r="G1173" s="8" t="s">
        <v>16</v>
      </c>
      <c r="H1173" s="10">
        <v>960.8</v>
      </c>
      <c r="I1173" s="10">
        <f t="shared" si="20"/>
        <v>960.8</v>
      </c>
      <c r="J1173" s="10">
        <v>20.437809940000001</v>
      </c>
      <c r="K1173" s="8" t="s">
        <v>17</v>
      </c>
      <c r="S1173"/>
    </row>
    <row r="1174" spans="1:19" ht="15" x14ac:dyDescent="0.25">
      <c r="A1174" s="8" t="s">
        <v>6068</v>
      </c>
      <c r="B1174" s="8" t="s">
        <v>6069</v>
      </c>
      <c r="C1174" s="8" t="s">
        <v>6145</v>
      </c>
      <c r="D1174" s="32" t="s">
        <v>6984</v>
      </c>
      <c r="E1174" s="32" t="s">
        <v>6145</v>
      </c>
      <c r="F1174" s="10">
        <v>1</v>
      </c>
      <c r="G1174" s="8" t="s">
        <v>16</v>
      </c>
      <c r="H1174" s="10">
        <v>63.3</v>
      </c>
      <c r="I1174" s="10">
        <f t="shared" si="20"/>
        <v>63.3</v>
      </c>
      <c r="J1174" s="10">
        <v>2.0514164384</v>
      </c>
      <c r="K1174" s="8" t="s">
        <v>5116</v>
      </c>
      <c r="S1174"/>
    </row>
    <row r="1175" spans="1:19" ht="15" x14ac:dyDescent="0.25">
      <c r="A1175" s="8" t="s">
        <v>6071</v>
      </c>
      <c r="B1175" s="8" t="s">
        <v>6069</v>
      </c>
      <c r="C1175" s="8" t="s">
        <v>6146</v>
      </c>
      <c r="D1175" s="32" t="s">
        <v>6984</v>
      </c>
      <c r="E1175" s="32" t="s">
        <v>6146</v>
      </c>
      <c r="F1175" s="10">
        <v>2</v>
      </c>
      <c r="G1175" s="8" t="s">
        <v>16</v>
      </c>
      <c r="H1175" s="10">
        <v>245.7</v>
      </c>
      <c r="I1175" s="10">
        <f t="shared" si="20"/>
        <v>491.4</v>
      </c>
      <c r="J1175" s="10">
        <v>8.6685271188000002</v>
      </c>
      <c r="K1175" s="8" t="s">
        <v>5670</v>
      </c>
      <c r="S1175"/>
    </row>
    <row r="1176" spans="1:19" ht="15" x14ac:dyDescent="0.25">
      <c r="A1176" s="8" t="s">
        <v>6071</v>
      </c>
      <c r="B1176" s="8" t="s">
        <v>6069</v>
      </c>
      <c r="C1176" s="8" t="s">
        <v>6147</v>
      </c>
      <c r="D1176" s="32" t="s">
        <v>6984</v>
      </c>
      <c r="E1176" s="32" t="s">
        <v>6147</v>
      </c>
      <c r="F1176" s="10">
        <v>1</v>
      </c>
      <c r="G1176" s="8" t="s">
        <v>16</v>
      </c>
      <c r="H1176" s="10">
        <v>343.8</v>
      </c>
      <c r="I1176" s="10">
        <f t="shared" si="20"/>
        <v>343.8</v>
      </c>
      <c r="J1176" s="10">
        <v>9.6252220000000008</v>
      </c>
      <c r="K1176" s="8" t="s">
        <v>4855</v>
      </c>
      <c r="S1176"/>
    </row>
    <row r="1177" spans="1:19" ht="15" x14ac:dyDescent="0.25">
      <c r="A1177" s="8" t="s">
        <v>6071</v>
      </c>
      <c r="B1177" s="8" t="s">
        <v>6069</v>
      </c>
      <c r="C1177" s="8" t="s">
        <v>6148</v>
      </c>
      <c r="D1177" s="32" t="s">
        <v>6984</v>
      </c>
      <c r="E1177" s="32" t="s">
        <v>6148</v>
      </c>
      <c r="F1177" s="10">
        <v>2</v>
      </c>
      <c r="G1177" s="8" t="s">
        <v>16</v>
      </c>
      <c r="H1177" s="10">
        <v>369.2</v>
      </c>
      <c r="I1177" s="10">
        <f t="shared" si="20"/>
        <v>738.4</v>
      </c>
      <c r="J1177" s="10">
        <v>20.605577955720001</v>
      </c>
      <c r="K1177" s="8" t="s">
        <v>4855</v>
      </c>
      <c r="S1177"/>
    </row>
    <row r="1178" spans="1:19" ht="15" x14ac:dyDescent="0.25">
      <c r="A1178" s="8" t="s">
        <v>6071</v>
      </c>
      <c r="B1178" s="8" t="s">
        <v>6069</v>
      </c>
      <c r="C1178" s="8" t="s">
        <v>6149</v>
      </c>
      <c r="D1178" s="32" t="s">
        <v>6984</v>
      </c>
      <c r="E1178" s="32" t="s">
        <v>6149</v>
      </c>
      <c r="F1178" s="10">
        <v>1</v>
      </c>
      <c r="G1178" s="8" t="s">
        <v>16</v>
      </c>
      <c r="H1178" s="10">
        <v>379.8</v>
      </c>
      <c r="I1178" s="10">
        <f t="shared" si="20"/>
        <v>379.8</v>
      </c>
      <c r="J1178" s="10">
        <v>9.8140224473999993</v>
      </c>
      <c r="K1178" s="8" t="s">
        <v>4949</v>
      </c>
      <c r="S1178"/>
    </row>
    <row r="1179" spans="1:19" ht="15" x14ac:dyDescent="0.25">
      <c r="A1179" s="8" t="s">
        <v>6068</v>
      </c>
      <c r="B1179" s="8" t="s">
        <v>6069</v>
      </c>
      <c r="C1179" s="8" t="s">
        <v>6150</v>
      </c>
      <c r="D1179" s="32" t="s">
        <v>6984</v>
      </c>
      <c r="E1179" s="32" t="s">
        <v>6150</v>
      </c>
      <c r="F1179" s="10">
        <v>1</v>
      </c>
      <c r="G1179" s="8" t="s">
        <v>16</v>
      </c>
      <c r="H1179" s="10">
        <v>427.9</v>
      </c>
      <c r="I1179" s="10">
        <f t="shared" si="20"/>
        <v>427.9</v>
      </c>
      <c r="J1179" s="10">
        <v>11.94994749392</v>
      </c>
      <c r="K1179" s="8" t="s">
        <v>4855</v>
      </c>
      <c r="S1179"/>
    </row>
    <row r="1180" spans="1:19" ht="15" x14ac:dyDescent="0.25">
      <c r="A1180" s="8" t="s">
        <v>6071</v>
      </c>
      <c r="B1180" s="8" t="s">
        <v>6069</v>
      </c>
      <c r="C1180" s="8" t="s">
        <v>6151</v>
      </c>
      <c r="D1180" s="32" t="s">
        <v>6984</v>
      </c>
      <c r="E1180" s="32" t="s">
        <v>6151</v>
      </c>
      <c r="F1180" s="10">
        <v>1</v>
      </c>
      <c r="G1180" s="8" t="s">
        <v>16</v>
      </c>
      <c r="H1180" s="10">
        <v>345</v>
      </c>
      <c r="I1180" s="10">
        <f t="shared" si="20"/>
        <v>345</v>
      </c>
      <c r="J1180" s="10">
        <v>9.6747940000000003</v>
      </c>
      <c r="K1180" s="8" t="s">
        <v>4855</v>
      </c>
      <c r="S1180"/>
    </row>
    <row r="1181" spans="1:19" ht="15" x14ac:dyDescent="0.25">
      <c r="A1181" s="8" t="s">
        <v>6068</v>
      </c>
      <c r="B1181" s="8" t="s">
        <v>6069</v>
      </c>
      <c r="C1181" s="8" t="s">
        <v>6152</v>
      </c>
      <c r="D1181" s="32" t="s">
        <v>6984</v>
      </c>
      <c r="E1181" s="32" t="s">
        <v>6152</v>
      </c>
      <c r="F1181" s="10">
        <v>1</v>
      </c>
      <c r="G1181" s="8" t="s">
        <v>16</v>
      </c>
      <c r="H1181" s="10">
        <v>389.9</v>
      </c>
      <c r="I1181" s="10">
        <f t="shared" si="20"/>
        <v>389.9</v>
      </c>
      <c r="J1181" s="10">
        <v>10.929793999999999</v>
      </c>
      <c r="K1181" s="8" t="s">
        <v>4855</v>
      </c>
      <c r="S1181"/>
    </row>
    <row r="1182" spans="1:19" ht="15" x14ac:dyDescent="0.25">
      <c r="A1182" s="8" t="s">
        <v>6068</v>
      </c>
      <c r="B1182" s="8" t="s">
        <v>6069</v>
      </c>
      <c r="C1182" s="8" t="s">
        <v>6153</v>
      </c>
      <c r="D1182" s="32" t="s">
        <v>6984</v>
      </c>
      <c r="E1182" s="32" t="s">
        <v>6153</v>
      </c>
      <c r="F1182" s="10">
        <v>1</v>
      </c>
      <c r="G1182" s="8" t="s">
        <v>16</v>
      </c>
      <c r="H1182" s="10">
        <v>36.4</v>
      </c>
      <c r="I1182" s="10">
        <f t="shared" si="20"/>
        <v>36.4</v>
      </c>
      <c r="J1182" s="10">
        <v>1.8565962</v>
      </c>
      <c r="K1182" s="8" t="s">
        <v>5123</v>
      </c>
      <c r="S1182"/>
    </row>
    <row r="1183" spans="1:19" ht="15" x14ac:dyDescent="0.25">
      <c r="A1183" s="8" t="s">
        <v>6071</v>
      </c>
      <c r="B1183" s="8" t="s">
        <v>6069</v>
      </c>
      <c r="C1183" s="8" t="s">
        <v>6154</v>
      </c>
      <c r="D1183" s="32" t="s">
        <v>6984</v>
      </c>
      <c r="E1183" s="32" t="s">
        <v>6154</v>
      </c>
      <c r="F1183" s="10">
        <v>1</v>
      </c>
      <c r="G1183" s="8" t="s">
        <v>16</v>
      </c>
      <c r="H1183" s="10">
        <v>35.9</v>
      </c>
      <c r="I1183" s="10">
        <f t="shared" si="20"/>
        <v>35.9</v>
      </c>
      <c r="J1183" s="10">
        <v>0.87944699999999998</v>
      </c>
      <c r="K1183" s="8" t="s">
        <v>4920</v>
      </c>
      <c r="S1183"/>
    </row>
    <row r="1184" spans="1:19" ht="15" x14ac:dyDescent="0.25">
      <c r="A1184" s="8" t="s">
        <v>6068</v>
      </c>
      <c r="B1184" s="8" t="s">
        <v>6069</v>
      </c>
      <c r="C1184" s="8" t="s">
        <v>6155</v>
      </c>
      <c r="D1184" s="32" t="s">
        <v>6984</v>
      </c>
      <c r="E1184" s="32" t="s">
        <v>6155</v>
      </c>
      <c r="F1184" s="10">
        <v>1</v>
      </c>
      <c r="G1184" s="8" t="s">
        <v>16</v>
      </c>
      <c r="H1184" s="10">
        <v>35.9</v>
      </c>
      <c r="I1184" s="10">
        <f t="shared" si="20"/>
        <v>35.9</v>
      </c>
      <c r="J1184" s="10">
        <v>0.87944699999999998</v>
      </c>
      <c r="K1184" s="8" t="s">
        <v>4920</v>
      </c>
      <c r="S1184"/>
    </row>
    <row r="1185" spans="1:19" ht="15" x14ac:dyDescent="0.25">
      <c r="A1185" s="8" t="s">
        <v>6071</v>
      </c>
      <c r="B1185" s="8" t="s">
        <v>6069</v>
      </c>
      <c r="C1185" s="8" t="s">
        <v>6156</v>
      </c>
      <c r="D1185" s="32" t="s">
        <v>6984</v>
      </c>
      <c r="E1185" s="32" t="s">
        <v>6156</v>
      </c>
      <c r="F1185" s="10">
        <v>1</v>
      </c>
      <c r="G1185" s="8" t="s">
        <v>16</v>
      </c>
      <c r="H1185" s="10">
        <v>36</v>
      </c>
      <c r="I1185" s="10">
        <f t="shared" si="20"/>
        <v>36</v>
      </c>
      <c r="J1185" s="10">
        <v>1.8453268</v>
      </c>
      <c r="K1185" s="8" t="s">
        <v>5123</v>
      </c>
      <c r="S1185"/>
    </row>
    <row r="1186" spans="1:19" ht="15" x14ac:dyDescent="0.25">
      <c r="A1186" s="8" t="s">
        <v>6068</v>
      </c>
      <c r="B1186" s="8" t="s">
        <v>6069</v>
      </c>
      <c r="C1186" s="8" t="s">
        <v>6157</v>
      </c>
      <c r="D1186" s="32" t="s">
        <v>6984</v>
      </c>
      <c r="E1186" s="32" t="s">
        <v>6157</v>
      </c>
      <c r="F1186" s="10">
        <v>1</v>
      </c>
      <c r="G1186" s="8" t="s">
        <v>5624</v>
      </c>
      <c r="H1186" s="10">
        <v>650.4</v>
      </c>
      <c r="I1186" s="10">
        <f t="shared" si="20"/>
        <v>650.4</v>
      </c>
      <c r="J1186" s="10">
        <v>17.809837250739999</v>
      </c>
      <c r="K1186" s="8" t="s">
        <v>5209</v>
      </c>
      <c r="S1186"/>
    </row>
    <row r="1187" spans="1:19" ht="15" x14ac:dyDescent="0.25">
      <c r="A1187" s="8" t="s">
        <v>6071</v>
      </c>
      <c r="B1187" s="8" t="s">
        <v>6069</v>
      </c>
      <c r="C1187" s="8" t="s">
        <v>6158</v>
      </c>
      <c r="D1187" s="32" t="s">
        <v>6984</v>
      </c>
      <c r="E1187" s="32" t="s">
        <v>6158</v>
      </c>
      <c r="F1187" s="10">
        <v>1</v>
      </c>
      <c r="G1187" s="8" t="s">
        <v>5624</v>
      </c>
      <c r="H1187" s="10">
        <v>634.20000000000005</v>
      </c>
      <c r="I1187" s="10">
        <f t="shared" si="20"/>
        <v>634.20000000000005</v>
      </c>
      <c r="J1187" s="10">
        <v>17.459295132699999</v>
      </c>
      <c r="K1187" s="8" t="s">
        <v>5209</v>
      </c>
      <c r="S1187"/>
    </row>
    <row r="1188" spans="1:19" ht="15" x14ac:dyDescent="0.25">
      <c r="A1188" s="8" t="s">
        <v>6068</v>
      </c>
      <c r="B1188" s="8" t="s">
        <v>6069</v>
      </c>
      <c r="C1188" s="8" t="s">
        <v>6159</v>
      </c>
      <c r="D1188" s="32" t="s">
        <v>6984</v>
      </c>
      <c r="E1188" s="32" t="s">
        <v>6159</v>
      </c>
      <c r="F1188" s="10">
        <v>1</v>
      </c>
      <c r="G1188" s="8" t="s">
        <v>5624</v>
      </c>
      <c r="H1188" s="10">
        <v>652.29999999999995</v>
      </c>
      <c r="I1188" s="10">
        <f t="shared" si="20"/>
        <v>652.29999999999995</v>
      </c>
      <c r="J1188" s="10">
        <v>17.84829009608</v>
      </c>
      <c r="K1188" s="8" t="s">
        <v>5209</v>
      </c>
      <c r="S1188"/>
    </row>
    <row r="1189" spans="1:19" ht="15" x14ac:dyDescent="0.25">
      <c r="A1189" s="8" t="s">
        <v>6068</v>
      </c>
      <c r="B1189" s="8" t="s">
        <v>6069</v>
      </c>
      <c r="C1189" s="8" t="s">
        <v>6160</v>
      </c>
      <c r="D1189" s="32" t="s">
        <v>6984</v>
      </c>
      <c r="E1189" s="32" t="s">
        <v>6160</v>
      </c>
      <c r="F1189" s="10">
        <v>1</v>
      </c>
      <c r="G1189" s="8" t="s">
        <v>5624</v>
      </c>
      <c r="H1189" s="10">
        <v>636.1</v>
      </c>
      <c r="I1189" s="10">
        <f t="shared" si="20"/>
        <v>636.1</v>
      </c>
      <c r="J1189" s="10">
        <v>17.49774797804</v>
      </c>
      <c r="K1189" s="8" t="s">
        <v>5209</v>
      </c>
      <c r="S1189"/>
    </row>
    <row r="1190" spans="1:19" ht="15" x14ac:dyDescent="0.25">
      <c r="A1190" s="8" t="s">
        <v>6071</v>
      </c>
      <c r="B1190" s="8" t="s">
        <v>6069</v>
      </c>
      <c r="C1190" s="8" t="s">
        <v>6161</v>
      </c>
      <c r="D1190" s="32" t="s">
        <v>6984</v>
      </c>
      <c r="E1190" s="32" t="s">
        <v>6161</v>
      </c>
      <c r="F1190" s="10">
        <v>4</v>
      </c>
      <c r="G1190" s="8" t="s">
        <v>5624</v>
      </c>
      <c r="H1190" s="10">
        <v>648.54999999999995</v>
      </c>
      <c r="I1190" s="10">
        <f t="shared" si="20"/>
        <v>2594.1999999999998</v>
      </c>
      <c r="J1190" s="10">
        <v>71.085537621599997</v>
      </c>
      <c r="K1190" s="8" t="s">
        <v>5209</v>
      </c>
      <c r="S1190"/>
    </row>
    <row r="1191" spans="1:19" ht="15" x14ac:dyDescent="0.25">
      <c r="A1191" s="8" t="s">
        <v>6071</v>
      </c>
      <c r="B1191" s="8" t="s">
        <v>6069</v>
      </c>
      <c r="C1191" s="8" t="s">
        <v>6162</v>
      </c>
      <c r="D1191" s="32" t="s">
        <v>6984</v>
      </c>
      <c r="E1191" s="32" t="s">
        <v>6162</v>
      </c>
      <c r="F1191" s="10">
        <v>1</v>
      </c>
      <c r="G1191" s="8" t="s">
        <v>5624</v>
      </c>
      <c r="H1191" s="10">
        <v>608.1</v>
      </c>
      <c r="I1191" s="10">
        <f t="shared" si="20"/>
        <v>608.1</v>
      </c>
      <c r="J1191" s="10">
        <v>16.551680544850001</v>
      </c>
      <c r="K1191" s="8" t="s">
        <v>4855</v>
      </c>
      <c r="S1191"/>
    </row>
    <row r="1192" spans="1:19" ht="15" x14ac:dyDescent="0.25">
      <c r="A1192" s="8" t="s">
        <v>6068</v>
      </c>
      <c r="B1192" s="8" t="s">
        <v>6069</v>
      </c>
      <c r="C1192" s="8" t="s">
        <v>6163</v>
      </c>
      <c r="D1192" s="32" t="s">
        <v>6984</v>
      </c>
      <c r="E1192" s="32" t="s">
        <v>6163</v>
      </c>
      <c r="F1192" s="10">
        <v>1</v>
      </c>
      <c r="G1192" s="8" t="s">
        <v>5624</v>
      </c>
      <c r="H1192" s="10">
        <v>602.70000000000005</v>
      </c>
      <c r="I1192" s="10">
        <f t="shared" si="20"/>
        <v>602.70000000000005</v>
      </c>
      <c r="J1192" s="10">
        <v>16.43917250914</v>
      </c>
      <c r="K1192" s="8" t="s">
        <v>4855</v>
      </c>
      <c r="S1192"/>
    </row>
    <row r="1193" spans="1:19" ht="15" x14ac:dyDescent="0.25">
      <c r="A1193" s="8" t="s">
        <v>6068</v>
      </c>
      <c r="B1193" s="8" t="s">
        <v>6069</v>
      </c>
      <c r="C1193" s="8" t="s">
        <v>6164</v>
      </c>
      <c r="D1193" s="32" t="s">
        <v>6984</v>
      </c>
      <c r="E1193" s="32" t="s">
        <v>6164</v>
      </c>
      <c r="F1193" s="10">
        <v>1</v>
      </c>
      <c r="G1193" s="8" t="s">
        <v>4903</v>
      </c>
      <c r="H1193" s="10">
        <v>97.4</v>
      </c>
      <c r="I1193" s="10">
        <f t="shared" si="20"/>
        <v>97.4</v>
      </c>
      <c r="J1193" s="10">
        <v>3.1764600000000001</v>
      </c>
      <c r="K1193" s="8" t="s">
        <v>5643</v>
      </c>
      <c r="S1193"/>
    </row>
    <row r="1194" spans="1:19" ht="15" x14ac:dyDescent="0.25">
      <c r="A1194" s="8" t="s">
        <v>6068</v>
      </c>
      <c r="B1194" s="8" t="s">
        <v>6069</v>
      </c>
      <c r="C1194" s="8" t="s">
        <v>6165</v>
      </c>
      <c r="D1194" s="32" t="s">
        <v>6984</v>
      </c>
      <c r="E1194" s="32" t="s">
        <v>6165</v>
      </c>
      <c r="F1194" s="10">
        <v>1</v>
      </c>
      <c r="G1194" s="8" t="s">
        <v>4903</v>
      </c>
      <c r="H1194" s="10">
        <v>95.5</v>
      </c>
      <c r="I1194" s="10">
        <f t="shared" si="20"/>
        <v>95.5</v>
      </c>
      <c r="J1194" s="10">
        <v>3.1147200000000002</v>
      </c>
      <c r="K1194" s="8" t="s">
        <v>5643</v>
      </c>
      <c r="S1194"/>
    </row>
    <row r="1195" spans="1:19" ht="15" x14ac:dyDescent="0.25">
      <c r="A1195" s="8" t="s">
        <v>6071</v>
      </c>
      <c r="B1195" s="8" t="s">
        <v>6069</v>
      </c>
      <c r="C1195" s="8" t="s">
        <v>6166</v>
      </c>
      <c r="D1195" s="32" t="s">
        <v>6984</v>
      </c>
      <c r="E1195" s="32" t="s">
        <v>6166</v>
      </c>
      <c r="F1195" s="10">
        <v>4</v>
      </c>
      <c r="G1195" s="8" t="s">
        <v>4903</v>
      </c>
      <c r="H1195" s="10">
        <v>88.35</v>
      </c>
      <c r="I1195" s="10">
        <f t="shared" si="20"/>
        <v>353.4</v>
      </c>
      <c r="J1195" s="10">
        <v>11.529</v>
      </c>
      <c r="K1195" s="8" t="s">
        <v>5643</v>
      </c>
      <c r="S1195"/>
    </row>
    <row r="1196" spans="1:19" ht="15" x14ac:dyDescent="0.25">
      <c r="A1196" s="8" t="s">
        <v>6068</v>
      </c>
      <c r="B1196" s="8" t="s">
        <v>6069</v>
      </c>
      <c r="C1196" s="8" t="s">
        <v>6167</v>
      </c>
      <c r="D1196" s="32" t="s">
        <v>6984</v>
      </c>
      <c r="E1196" s="32" t="s">
        <v>6167</v>
      </c>
      <c r="F1196" s="10">
        <v>2</v>
      </c>
      <c r="G1196" s="8" t="s">
        <v>4903</v>
      </c>
      <c r="H1196" s="10">
        <v>95</v>
      </c>
      <c r="I1196" s="10">
        <f t="shared" si="20"/>
        <v>190</v>
      </c>
      <c r="J1196" s="10">
        <v>6.19794</v>
      </c>
      <c r="K1196" s="8" t="s">
        <v>5643</v>
      </c>
      <c r="S1196"/>
    </row>
    <row r="1197" spans="1:19" ht="15" x14ac:dyDescent="0.25">
      <c r="A1197" s="8" t="s">
        <v>6071</v>
      </c>
      <c r="B1197" s="8" t="s">
        <v>6069</v>
      </c>
      <c r="C1197" s="8" t="s">
        <v>6168</v>
      </c>
      <c r="D1197" s="32" t="s">
        <v>6984</v>
      </c>
      <c r="E1197" s="32" t="s">
        <v>6168</v>
      </c>
      <c r="F1197" s="10">
        <v>4</v>
      </c>
      <c r="G1197" s="8" t="s">
        <v>4903</v>
      </c>
      <c r="H1197" s="10">
        <v>89.474999999999994</v>
      </c>
      <c r="I1197" s="10">
        <f t="shared" si="20"/>
        <v>357.9</v>
      </c>
      <c r="J1197" s="10">
        <v>11.677680000000001</v>
      </c>
      <c r="K1197" s="8" t="s">
        <v>5643</v>
      </c>
      <c r="S1197"/>
    </row>
    <row r="1198" spans="1:19" ht="15" x14ac:dyDescent="0.25">
      <c r="A1198" s="8" t="s">
        <v>6071</v>
      </c>
      <c r="B1198" s="8" t="s">
        <v>6069</v>
      </c>
      <c r="C1198" s="8" t="s">
        <v>6169</v>
      </c>
      <c r="D1198" s="32" t="s">
        <v>6984</v>
      </c>
      <c r="E1198" s="32" t="s">
        <v>6169</v>
      </c>
      <c r="F1198" s="10">
        <v>8</v>
      </c>
      <c r="G1198" s="8" t="s">
        <v>4903</v>
      </c>
      <c r="H1198" s="10">
        <v>88.912499999999994</v>
      </c>
      <c r="I1198" s="10">
        <f t="shared" si="20"/>
        <v>711.3</v>
      </c>
      <c r="J1198" s="10">
        <v>23.204160000000002</v>
      </c>
      <c r="K1198" s="8" t="s">
        <v>5643</v>
      </c>
      <c r="S1198"/>
    </row>
    <row r="1199" spans="1:19" ht="15" x14ac:dyDescent="0.25">
      <c r="A1199" s="8" t="s">
        <v>6068</v>
      </c>
      <c r="B1199" s="8" t="s">
        <v>6069</v>
      </c>
      <c r="C1199" s="8" t="s">
        <v>6170</v>
      </c>
      <c r="D1199" s="32" t="s">
        <v>6984</v>
      </c>
      <c r="E1199" s="32" t="s">
        <v>6170</v>
      </c>
      <c r="F1199" s="10">
        <v>2</v>
      </c>
      <c r="G1199" s="8" t="s">
        <v>4903</v>
      </c>
      <c r="H1199" s="10">
        <v>95.45</v>
      </c>
      <c r="I1199" s="10">
        <f t="shared" si="20"/>
        <v>190.9</v>
      </c>
      <c r="J1199" s="10">
        <v>6.22818</v>
      </c>
      <c r="K1199" s="8" t="s">
        <v>5643</v>
      </c>
      <c r="S1199"/>
    </row>
    <row r="1200" spans="1:19" ht="15" x14ac:dyDescent="0.25">
      <c r="A1200" s="8" t="s">
        <v>6068</v>
      </c>
      <c r="B1200" s="8" t="s">
        <v>6069</v>
      </c>
      <c r="C1200" s="8" t="s">
        <v>6171</v>
      </c>
      <c r="D1200" s="32" t="s">
        <v>6984</v>
      </c>
      <c r="E1200" s="32" t="s">
        <v>6171</v>
      </c>
      <c r="F1200" s="10">
        <v>2</v>
      </c>
      <c r="G1200" s="8" t="s">
        <v>4903</v>
      </c>
      <c r="H1200" s="10">
        <v>96.35</v>
      </c>
      <c r="I1200" s="10">
        <f t="shared" si="20"/>
        <v>192.7</v>
      </c>
      <c r="J1200" s="10">
        <v>6.2861399999999996</v>
      </c>
      <c r="K1200" s="8" t="s">
        <v>5643</v>
      </c>
      <c r="S1200"/>
    </row>
    <row r="1201" spans="1:19" ht="15" x14ac:dyDescent="0.25">
      <c r="A1201" s="8" t="s">
        <v>6071</v>
      </c>
      <c r="B1201" s="8" t="s">
        <v>6069</v>
      </c>
      <c r="C1201" s="8" t="s">
        <v>6172</v>
      </c>
      <c r="D1201" s="32" t="s">
        <v>6984</v>
      </c>
      <c r="E1201" s="32" t="s">
        <v>6172</v>
      </c>
      <c r="F1201" s="10">
        <v>2</v>
      </c>
      <c r="G1201" s="8" t="s">
        <v>4903</v>
      </c>
      <c r="H1201" s="10">
        <v>88.4</v>
      </c>
      <c r="I1201" s="10">
        <f t="shared" si="20"/>
        <v>176.8</v>
      </c>
      <c r="J1201" s="10">
        <v>5.7682799999999999</v>
      </c>
      <c r="K1201" s="8" t="s">
        <v>5643</v>
      </c>
      <c r="S1201"/>
    </row>
    <row r="1202" spans="1:19" ht="15" x14ac:dyDescent="0.25">
      <c r="A1202" s="8" t="s">
        <v>6068</v>
      </c>
      <c r="B1202" s="8" t="s">
        <v>6069</v>
      </c>
      <c r="C1202" s="8" t="s">
        <v>6173</v>
      </c>
      <c r="D1202" s="32" t="s">
        <v>6984</v>
      </c>
      <c r="E1202" s="32" t="s">
        <v>6173</v>
      </c>
      <c r="F1202" s="10">
        <v>1</v>
      </c>
      <c r="G1202" s="8" t="s">
        <v>4903</v>
      </c>
      <c r="H1202" s="10">
        <v>96</v>
      </c>
      <c r="I1202" s="10">
        <f t="shared" si="20"/>
        <v>96</v>
      </c>
      <c r="J1202" s="10">
        <v>3.1323599999999998</v>
      </c>
      <c r="K1202" s="8" t="s">
        <v>5643</v>
      </c>
      <c r="S1202"/>
    </row>
    <row r="1203" spans="1:19" ht="15" x14ac:dyDescent="0.25">
      <c r="A1203" s="8" t="s">
        <v>6071</v>
      </c>
      <c r="B1203" s="8" t="s">
        <v>6069</v>
      </c>
      <c r="C1203" s="8" t="s">
        <v>6174</v>
      </c>
      <c r="D1203" s="32" t="s">
        <v>6984</v>
      </c>
      <c r="E1203" s="32" t="s">
        <v>6174</v>
      </c>
      <c r="F1203" s="10">
        <v>2</v>
      </c>
      <c r="G1203" s="8" t="s">
        <v>4903</v>
      </c>
      <c r="H1203" s="10">
        <v>87.85</v>
      </c>
      <c r="I1203" s="10">
        <f t="shared" si="20"/>
        <v>175.7</v>
      </c>
      <c r="J1203" s="10">
        <v>5.7317400000000003</v>
      </c>
      <c r="K1203" s="8" t="s">
        <v>5643</v>
      </c>
      <c r="S1203"/>
    </row>
    <row r="1204" spans="1:19" ht="15" x14ac:dyDescent="0.25">
      <c r="A1204" s="8" t="s">
        <v>6071</v>
      </c>
      <c r="B1204" s="8" t="s">
        <v>6069</v>
      </c>
      <c r="C1204" s="8" t="s">
        <v>6175</v>
      </c>
      <c r="D1204" s="32" t="s">
        <v>6984</v>
      </c>
      <c r="E1204" s="32" t="s">
        <v>6175</v>
      </c>
      <c r="F1204" s="10">
        <v>2</v>
      </c>
      <c r="G1204" s="8" t="s">
        <v>4903</v>
      </c>
      <c r="H1204" s="10">
        <v>87.35</v>
      </c>
      <c r="I1204" s="10">
        <f t="shared" si="20"/>
        <v>174.7</v>
      </c>
      <c r="J1204" s="10">
        <v>5.6989799999999997</v>
      </c>
      <c r="K1204" s="8" t="s">
        <v>5643</v>
      </c>
      <c r="S1204"/>
    </row>
    <row r="1205" spans="1:19" ht="15" x14ac:dyDescent="0.25">
      <c r="A1205" s="8" t="s">
        <v>6068</v>
      </c>
      <c r="B1205" s="8" t="s">
        <v>6069</v>
      </c>
      <c r="C1205" s="8" t="s">
        <v>6176</v>
      </c>
      <c r="D1205" s="32" t="s">
        <v>6984</v>
      </c>
      <c r="E1205" s="32" t="s">
        <v>6176</v>
      </c>
      <c r="F1205" s="10">
        <v>3</v>
      </c>
      <c r="G1205" s="8" t="s">
        <v>4903</v>
      </c>
      <c r="H1205" s="10">
        <v>96.8</v>
      </c>
      <c r="I1205" s="10">
        <f t="shared" si="20"/>
        <v>290.39999999999998</v>
      </c>
      <c r="J1205" s="10">
        <v>9.4745699999999999</v>
      </c>
      <c r="K1205" s="8" t="s">
        <v>5643</v>
      </c>
      <c r="S1205"/>
    </row>
    <row r="1206" spans="1:19" ht="15" x14ac:dyDescent="0.25">
      <c r="A1206" s="8" t="s">
        <v>6071</v>
      </c>
      <c r="B1206" s="8" t="s">
        <v>6069</v>
      </c>
      <c r="C1206" s="8" t="s">
        <v>6177</v>
      </c>
      <c r="D1206" s="32" t="s">
        <v>6984</v>
      </c>
      <c r="E1206" s="32" t="s">
        <v>6177</v>
      </c>
      <c r="F1206" s="10">
        <v>2</v>
      </c>
      <c r="G1206" s="8" t="s">
        <v>4903</v>
      </c>
      <c r="H1206" s="10">
        <v>87.9</v>
      </c>
      <c r="I1206" s="10">
        <f t="shared" si="20"/>
        <v>175.8</v>
      </c>
      <c r="J1206" s="10">
        <v>5.7367800000000004</v>
      </c>
      <c r="K1206" s="8" t="s">
        <v>5643</v>
      </c>
      <c r="S1206"/>
    </row>
    <row r="1207" spans="1:19" ht="15" x14ac:dyDescent="0.25">
      <c r="A1207" s="8" t="s">
        <v>6068</v>
      </c>
      <c r="B1207" s="8" t="s">
        <v>6069</v>
      </c>
      <c r="C1207" s="8" t="s">
        <v>6178</v>
      </c>
      <c r="D1207" s="32" t="s">
        <v>6984</v>
      </c>
      <c r="E1207" s="32" t="s">
        <v>6178</v>
      </c>
      <c r="F1207" s="10">
        <v>1</v>
      </c>
      <c r="G1207" s="8" t="s">
        <v>4903</v>
      </c>
      <c r="H1207" s="10">
        <v>209.8</v>
      </c>
      <c r="I1207" s="10">
        <f t="shared" si="20"/>
        <v>209.8</v>
      </c>
      <c r="J1207" s="10">
        <v>6.71006021</v>
      </c>
      <c r="K1207" s="8" t="s">
        <v>5643</v>
      </c>
      <c r="S1207"/>
    </row>
    <row r="1208" spans="1:19" ht="15" x14ac:dyDescent="0.25">
      <c r="A1208" s="8" t="s">
        <v>6071</v>
      </c>
      <c r="B1208" s="8" t="s">
        <v>6069</v>
      </c>
      <c r="C1208" s="8" t="s">
        <v>6179</v>
      </c>
      <c r="D1208" s="32" t="s">
        <v>6984</v>
      </c>
      <c r="E1208" s="32" t="s">
        <v>6179</v>
      </c>
      <c r="F1208" s="10">
        <v>4</v>
      </c>
      <c r="G1208" s="8" t="s">
        <v>4903</v>
      </c>
      <c r="H1208" s="10">
        <v>193.67500000000001</v>
      </c>
      <c r="I1208" s="10">
        <f t="shared" si="20"/>
        <v>774.7</v>
      </c>
      <c r="J1208" s="10">
        <v>24.766108639999999</v>
      </c>
      <c r="K1208" s="8" t="s">
        <v>5643</v>
      </c>
      <c r="S1208"/>
    </row>
    <row r="1209" spans="1:19" ht="15" x14ac:dyDescent="0.25">
      <c r="A1209" s="8" t="s">
        <v>6071</v>
      </c>
      <c r="B1209" s="8" t="s">
        <v>6069</v>
      </c>
      <c r="C1209" s="8" t="s">
        <v>6180</v>
      </c>
      <c r="D1209" s="32" t="s">
        <v>6984</v>
      </c>
      <c r="E1209" s="32" t="s">
        <v>6180</v>
      </c>
      <c r="F1209" s="10">
        <v>4</v>
      </c>
      <c r="G1209" s="8" t="s">
        <v>4903</v>
      </c>
      <c r="H1209" s="10">
        <v>192.67500000000001</v>
      </c>
      <c r="I1209" s="10">
        <f t="shared" si="20"/>
        <v>770.7</v>
      </c>
      <c r="J1209" s="10">
        <v>24.635097340000002</v>
      </c>
      <c r="K1209" s="8" t="s">
        <v>5643</v>
      </c>
      <c r="S1209"/>
    </row>
    <row r="1210" spans="1:19" ht="15" x14ac:dyDescent="0.25">
      <c r="A1210" s="8" t="s">
        <v>6068</v>
      </c>
      <c r="B1210" s="8" t="s">
        <v>6069</v>
      </c>
      <c r="C1210" s="8" t="s">
        <v>6181</v>
      </c>
      <c r="D1210" s="32" t="s">
        <v>6984</v>
      </c>
      <c r="E1210" s="32" t="s">
        <v>6181</v>
      </c>
      <c r="F1210" s="10">
        <v>1</v>
      </c>
      <c r="G1210" s="8" t="s">
        <v>4903</v>
      </c>
      <c r="H1210" s="10">
        <v>208.9</v>
      </c>
      <c r="I1210" s="10">
        <f t="shared" si="20"/>
        <v>208.9</v>
      </c>
      <c r="J1210" s="10">
        <v>6.6798273850000003</v>
      </c>
      <c r="K1210" s="8" t="s">
        <v>5643</v>
      </c>
      <c r="S1210"/>
    </row>
    <row r="1211" spans="1:19" ht="15" x14ac:dyDescent="0.25">
      <c r="A1211" s="8" t="s">
        <v>6068</v>
      </c>
      <c r="B1211" s="8" t="s">
        <v>6069</v>
      </c>
      <c r="C1211" s="8" t="s">
        <v>6182</v>
      </c>
      <c r="D1211" s="32" t="s">
        <v>6984</v>
      </c>
      <c r="E1211" s="32" t="s">
        <v>6182</v>
      </c>
      <c r="F1211" s="10">
        <v>1</v>
      </c>
      <c r="G1211" s="8" t="s">
        <v>4903</v>
      </c>
      <c r="H1211" s="10">
        <v>662.7</v>
      </c>
      <c r="I1211" s="10">
        <f t="shared" si="20"/>
        <v>662.7</v>
      </c>
      <c r="J1211" s="10">
        <v>15.4411263176</v>
      </c>
      <c r="K1211" s="8" t="s">
        <v>4983</v>
      </c>
      <c r="S1211"/>
    </row>
    <row r="1212" spans="1:19" ht="15" x14ac:dyDescent="0.25">
      <c r="A1212" s="8" t="s">
        <v>6071</v>
      </c>
      <c r="B1212" s="8" t="s">
        <v>6069</v>
      </c>
      <c r="C1212" s="8" t="s">
        <v>6183</v>
      </c>
      <c r="D1212" s="32" t="s">
        <v>6984</v>
      </c>
      <c r="E1212" s="32" t="s">
        <v>6183</v>
      </c>
      <c r="F1212" s="10">
        <v>1</v>
      </c>
      <c r="G1212" s="8" t="s">
        <v>4903</v>
      </c>
      <c r="H1212" s="10">
        <v>622.20000000000005</v>
      </c>
      <c r="I1212" s="10">
        <f t="shared" si="20"/>
        <v>622.20000000000005</v>
      </c>
      <c r="J1212" s="10">
        <v>14.4908101738</v>
      </c>
      <c r="K1212" s="8" t="s">
        <v>4983</v>
      </c>
      <c r="S1212"/>
    </row>
    <row r="1213" spans="1:19" ht="15" x14ac:dyDescent="0.25">
      <c r="A1213" s="8" t="s">
        <v>6068</v>
      </c>
      <c r="B1213" s="8" t="s">
        <v>6069</v>
      </c>
      <c r="C1213" s="8" t="s">
        <v>6184</v>
      </c>
      <c r="D1213" s="32" t="s">
        <v>6984</v>
      </c>
      <c r="E1213" s="32" t="s">
        <v>6184</v>
      </c>
      <c r="F1213" s="10">
        <v>1</v>
      </c>
      <c r="G1213" s="8" t="s">
        <v>4903</v>
      </c>
      <c r="H1213" s="10">
        <v>479</v>
      </c>
      <c r="I1213" s="10">
        <f t="shared" si="20"/>
        <v>479</v>
      </c>
      <c r="J1213" s="10">
        <v>12.239345522000001</v>
      </c>
      <c r="K1213" s="8" t="s">
        <v>4949</v>
      </c>
      <c r="S1213"/>
    </row>
    <row r="1214" spans="1:19" ht="15" x14ac:dyDescent="0.25">
      <c r="A1214" s="8" t="s">
        <v>6071</v>
      </c>
      <c r="B1214" s="8" t="s">
        <v>6069</v>
      </c>
      <c r="C1214" s="8" t="s">
        <v>6185</v>
      </c>
      <c r="D1214" s="32" t="s">
        <v>6984</v>
      </c>
      <c r="E1214" s="32" t="s">
        <v>6185</v>
      </c>
      <c r="F1214" s="10">
        <v>1</v>
      </c>
      <c r="G1214" s="8" t="s">
        <v>4903</v>
      </c>
      <c r="H1214" s="10">
        <v>444.8</v>
      </c>
      <c r="I1214" s="10">
        <f t="shared" si="20"/>
        <v>444.8</v>
      </c>
      <c r="J1214" s="10">
        <v>11.356133664</v>
      </c>
      <c r="K1214" s="8" t="s">
        <v>4949</v>
      </c>
      <c r="S1214"/>
    </row>
    <row r="1215" spans="1:19" ht="15" x14ac:dyDescent="0.25">
      <c r="A1215" s="8" t="s">
        <v>6071</v>
      </c>
      <c r="B1215" s="8" t="s">
        <v>6069</v>
      </c>
      <c r="C1215" s="8" t="s">
        <v>6186</v>
      </c>
      <c r="D1215" s="32" t="s">
        <v>6984</v>
      </c>
      <c r="E1215" s="32" t="s">
        <v>6186</v>
      </c>
      <c r="F1215" s="10">
        <v>1</v>
      </c>
      <c r="G1215" s="8" t="s">
        <v>4903</v>
      </c>
      <c r="H1215" s="10">
        <v>115.5</v>
      </c>
      <c r="I1215" s="10">
        <f t="shared" si="20"/>
        <v>115.5</v>
      </c>
      <c r="J1215" s="10">
        <v>3.8135583999999998</v>
      </c>
      <c r="K1215" s="8" t="s">
        <v>4904</v>
      </c>
      <c r="S1215"/>
    </row>
    <row r="1216" spans="1:19" ht="15" x14ac:dyDescent="0.25">
      <c r="A1216" s="8" t="s">
        <v>6071</v>
      </c>
      <c r="B1216" s="8" t="s">
        <v>6069</v>
      </c>
      <c r="C1216" s="8" t="s">
        <v>6187</v>
      </c>
      <c r="D1216" s="32" t="s">
        <v>6984</v>
      </c>
      <c r="E1216" s="32" t="s">
        <v>6187</v>
      </c>
      <c r="F1216" s="10">
        <v>1</v>
      </c>
      <c r="G1216" s="8" t="s">
        <v>4903</v>
      </c>
      <c r="H1216" s="10">
        <v>115.5</v>
      </c>
      <c r="I1216" s="10">
        <f t="shared" si="20"/>
        <v>115.5</v>
      </c>
      <c r="J1216" s="10">
        <v>3.8135583999999998</v>
      </c>
      <c r="K1216" s="8" t="s">
        <v>4904</v>
      </c>
      <c r="S1216"/>
    </row>
    <row r="1217" spans="1:19" ht="15" x14ac:dyDescent="0.25">
      <c r="A1217" s="8" t="s">
        <v>6068</v>
      </c>
      <c r="B1217" s="8" t="s">
        <v>6069</v>
      </c>
      <c r="C1217" s="8" t="s">
        <v>6188</v>
      </c>
      <c r="D1217" s="32" t="s">
        <v>6984</v>
      </c>
      <c r="E1217" s="32" t="s">
        <v>6188</v>
      </c>
      <c r="F1217" s="10">
        <v>1</v>
      </c>
      <c r="G1217" s="8" t="s">
        <v>4903</v>
      </c>
      <c r="H1217" s="10">
        <v>121.7</v>
      </c>
      <c r="I1217" s="10">
        <f t="shared" si="20"/>
        <v>121.7</v>
      </c>
      <c r="J1217" s="10">
        <v>4.0148288000000001</v>
      </c>
      <c r="K1217" s="8" t="s">
        <v>4904</v>
      </c>
      <c r="S1217"/>
    </row>
    <row r="1218" spans="1:19" ht="15" x14ac:dyDescent="0.25">
      <c r="A1218" s="8" t="s">
        <v>6068</v>
      </c>
      <c r="B1218" s="8" t="s">
        <v>6069</v>
      </c>
      <c r="C1218" s="8" t="s">
        <v>6189</v>
      </c>
      <c r="D1218" s="32" t="s">
        <v>6984</v>
      </c>
      <c r="E1218" s="32" t="s">
        <v>6189</v>
      </c>
      <c r="F1218" s="10">
        <v>1</v>
      </c>
      <c r="G1218" s="8" t="s">
        <v>4903</v>
      </c>
      <c r="H1218" s="10">
        <v>121.7</v>
      </c>
      <c r="I1218" s="10">
        <f t="shared" si="20"/>
        <v>121.7</v>
      </c>
      <c r="J1218" s="10">
        <v>4.0148288000000001</v>
      </c>
      <c r="K1218" s="8" t="s">
        <v>4904</v>
      </c>
      <c r="S1218"/>
    </row>
    <row r="1219" spans="1:19" ht="15" x14ac:dyDescent="0.25">
      <c r="A1219" s="8" t="s">
        <v>6068</v>
      </c>
      <c r="B1219" s="8" t="s">
        <v>6069</v>
      </c>
      <c r="C1219" s="8" t="s">
        <v>6190</v>
      </c>
      <c r="D1219" s="32" t="s">
        <v>6984</v>
      </c>
      <c r="E1219" s="32" t="s">
        <v>6190</v>
      </c>
      <c r="F1219" s="10">
        <v>1</v>
      </c>
      <c r="G1219" s="8" t="s">
        <v>4934</v>
      </c>
      <c r="H1219" s="10">
        <v>3237.7</v>
      </c>
      <c r="I1219" s="10">
        <f t="shared" si="20"/>
        <v>3237.7</v>
      </c>
      <c r="J1219" s="10">
        <v>49.96888800376</v>
      </c>
      <c r="K1219" s="8" t="s">
        <v>6191</v>
      </c>
      <c r="S1219"/>
    </row>
    <row r="1220" spans="1:19" ht="15" x14ac:dyDescent="0.25">
      <c r="A1220" s="8" t="s">
        <v>6068</v>
      </c>
      <c r="B1220" s="8" t="s">
        <v>6069</v>
      </c>
      <c r="C1220" s="8" t="s">
        <v>6192</v>
      </c>
      <c r="D1220" s="32" t="s">
        <v>6984</v>
      </c>
      <c r="E1220" s="32" t="s">
        <v>6192</v>
      </c>
      <c r="F1220" s="10">
        <v>1</v>
      </c>
      <c r="G1220" s="8" t="s">
        <v>4934</v>
      </c>
      <c r="H1220" s="10">
        <v>5106.5</v>
      </c>
      <c r="I1220" s="10">
        <f t="shared" si="20"/>
        <v>5106.5</v>
      </c>
      <c r="J1220" s="10">
        <v>63.2067376368</v>
      </c>
      <c r="K1220" s="8" t="s">
        <v>4974</v>
      </c>
      <c r="S1220"/>
    </row>
    <row r="1221" spans="1:19" ht="15" x14ac:dyDescent="0.25">
      <c r="A1221" s="8" t="s">
        <v>6068</v>
      </c>
      <c r="B1221" s="8" t="s">
        <v>6069</v>
      </c>
      <c r="C1221" s="8" t="s">
        <v>6193</v>
      </c>
      <c r="D1221" s="32" t="s">
        <v>6984</v>
      </c>
      <c r="E1221" s="32" t="s">
        <v>6193</v>
      </c>
      <c r="F1221" s="10">
        <v>1</v>
      </c>
      <c r="G1221" s="8" t="s">
        <v>4934</v>
      </c>
      <c r="H1221" s="10">
        <v>3291.7</v>
      </c>
      <c r="I1221" s="10">
        <f t="shared" ref="I1221:I1225" si="21">F1221*H1221</f>
        <v>3291.7</v>
      </c>
      <c r="J1221" s="10">
        <v>50.033650044479998</v>
      </c>
      <c r="K1221" s="8" t="s">
        <v>6191</v>
      </c>
      <c r="S1221"/>
    </row>
    <row r="1222" spans="1:19" ht="15" x14ac:dyDescent="0.25">
      <c r="A1222" s="8" t="s">
        <v>6068</v>
      </c>
      <c r="B1222" s="8" t="s">
        <v>6069</v>
      </c>
      <c r="C1222" s="8" t="s">
        <v>6194</v>
      </c>
      <c r="D1222" s="32" t="s">
        <v>6984</v>
      </c>
      <c r="E1222" s="32" t="s">
        <v>6194</v>
      </c>
      <c r="F1222" s="10">
        <v>1</v>
      </c>
      <c r="G1222" s="8" t="s">
        <v>4934</v>
      </c>
      <c r="H1222" s="10">
        <v>3290.6</v>
      </c>
      <c r="I1222" s="10">
        <f t="shared" si="21"/>
        <v>3290.6</v>
      </c>
      <c r="J1222" s="10">
        <v>50.064863310329997</v>
      </c>
      <c r="K1222" s="8" t="s">
        <v>6191</v>
      </c>
      <c r="S1222"/>
    </row>
    <row r="1223" spans="1:19" ht="15" x14ac:dyDescent="0.25">
      <c r="A1223" s="8" t="s">
        <v>6071</v>
      </c>
      <c r="B1223" s="8" t="s">
        <v>6069</v>
      </c>
      <c r="C1223" s="8" t="s">
        <v>6195</v>
      </c>
      <c r="D1223" s="32" t="s">
        <v>6984</v>
      </c>
      <c r="E1223" s="32" t="s">
        <v>6195</v>
      </c>
      <c r="F1223" s="10">
        <v>1</v>
      </c>
      <c r="G1223" s="8" t="s">
        <v>4934</v>
      </c>
      <c r="H1223" s="10">
        <v>3281.1</v>
      </c>
      <c r="I1223" s="10">
        <f t="shared" si="21"/>
        <v>3281.1</v>
      </c>
      <c r="J1223" s="10">
        <v>50.3981305804</v>
      </c>
      <c r="K1223" s="8" t="s">
        <v>6191</v>
      </c>
      <c r="S1223"/>
    </row>
    <row r="1224" spans="1:19" ht="15" x14ac:dyDescent="0.25">
      <c r="A1224" s="8" t="s">
        <v>6071</v>
      </c>
      <c r="B1224" s="8" t="s">
        <v>6069</v>
      </c>
      <c r="C1224" s="8" t="s">
        <v>6196</v>
      </c>
      <c r="D1224" s="32" t="s">
        <v>6984</v>
      </c>
      <c r="E1224" s="32" t="s">
        <v>6196</v>
      </c>
      <c r="F1224" s="10">
        <v>1</v>
      </c>
      <c r="G1224" s="8" t="s">
        <v>4934</v>
      </c>
      <c r="H1224" s="10">
        <v>3335.8</v>
      </c>
      <c r="I1224" s="10">
        <f t="shared" si="21"/>
        <v>3335.8</v>
      </c>
      <c r="J1224" s="10">
        <v>51.063355217080002</v>
      </c>
      <c r="K1224" s="8" t="s">
        <v>6191</v>
      </c>
      <c r="S1224"/>
    </row>
    <row r="1225" spans="1:19" ht="15" x14ac:dyDescent="0.25">
      <c r="A1225" s="8" t="s">
        <v>6071</v>
      </c>
      <c r="B1225" s="8" t="s">
        <v>6069</v>
      </c>
      <c r="C1225" s="8" t="s">
        <v>6197</v>
      </c>
      <c r="D1225" s="32" t="s">
        <v>6984</v>
      </c>
      <c r="E1225" s="32" t="s">
        <v>6197</v>
      </c>
      <c r="F1225" s="10">
        <v>1</v>
      </c>
      <c r="G1225" s="8" t="s">
        <v>4934</v>
      </c>
      <c r="H1225" s="10">
        <v>3323.1</v>
      </c>
      <c r="I1225" s="10">
        <f t="shared" si="21"/>
        <v>3323.1</v>
      </c>
      <c r="J1225" s="10">
        <v>51.283795228450003</v>
      </c>
      <c r="K1225" s="8" t="s">
        <v>6191</v>
      </c>
      <c r="S1225"/>
    </row>
    <row r="1226" spans="1:19" ht="15" x14ac:dyDescent="0.25">
      <c r="A1226" s="8" t="s">
        <v>5069</v>
      </c>
      <c r="B1226" s="8" t="s">
        <v>5070</v>
      </c>
      <c r="C1226" s="8" t="s">
        <v>6198</v>
      </c>
      <c r="D1226" s="32" t="s">
        <v>5146</v>
      </c>
      <c r="E1226" s="32" t="s">
        <v>6198</v>
      </c>
      <c r="F1226" s="10">
        <v>33</v>
      </c>
      <c r="G1226" s="8" t="s">
        <v>5736</v>
      </c>
      <c r="K1226" s="8" t="s">
        <v>6199</v>
      </c>
      <c r="L1226" s="8" t="s">
        <v>32</v>
      </c>
      <c r="S1226"/>
    </row>
    <row r="1227" spans="1:19" ht="15" x14ac:dyDescent="0.25">
      <c r="A1227" s="8" t="s">
        <v>5069</v>
      </c>
      <c r="B1227" s="8" t="s">
        <v>5070</v>
      </c>
      <c r="C1227" s="8" t="s">
        <v>6200</v>
      </c>
      <c r="D1227" s="32" t="s">
        <v>5146</v>
      </c>
      <c r="E1227" s="32" t="s">
        <v>6200</v>
      </c>
      <c r="F1227" s="10">
        <v>33</v>
      </c>
      <c r="G1227" s="8" t="s">
        <v>6201</v>
      </c>
      <c r="K1227" s="8" t="s">
        <v>6199</v>
      </c>
      <c r="L1227" s="8" t="s">
        <v>32</v>
      </c>
      <c r="S1227"/>
    </row>
    <row r="1228" spans="1:19" ht="15" x14ac:dyDescent="0.25">
      <c r="A1228" s="8" t="s">
        <v>5069</v>
      </c>
      <c r="B1228" s="8" t="s">
        <v>5070</v>
      </c>
      <c r="C1228" s="8" t="s">
        <v>6202</v>
      </c>
      <c r="D1228" s="32" t="s">
        <v>5146</v>
      </c>
      <c r="E1228" s="32" t="s">
        <v>6202</v>
      </c>
      <c r="F1228" s="10">
        <v>33</v>
      </c>
      <c r="G1228" s="8" t="s">
        <v>5740</v>
      </c>
      <c r="K1228" s="8" t="s">
        <v>6199</v>
      </c>
      <c r="L1228" s="8" t="s">
        <v>32</v>
      </c>
      <c r="S1228"/>
    </row>
    <row r="1229" spans="1:19" ht="15" x14ac:dyDescent="0.25">
      <c r="A1229" s="8" t="s">
        <v>5069</v>
      </c>
      <c r="B1229" s="8" t="s">
        <v>5070</v>
      </c>
      <c r="C1229" s="8" t="s">
        <v>6203</v>
      </c>
      <c r="D1229" s="32" t="s">
        <v>5146</v>
      </c>
      <c r="E1229" s="32" t="s">
        <v>6203</v>
      </c>
      <c r="F1229" s="10">
        <v>441</v>
      </c>
      <c r="G1229" s="8" t="s">
        <v>5175</v>
      </c>
      <c r="K1229" s="8" t="s">
        <v>6199</v>
      </c>
      <c r="L1229" s="8" t="s">
        <v>32</v>
      </c>
      <c r="S1229"/>
    </row>
    <row r="1230" spans="1:19" ht="15" x14ac:dyDescent="0.25">
      <c r="A1230" s="8" t="s">
        <v>5069</v>
      </c>
      <c r="B1230" s="8" t="s">
        <v>5070</v>
      </c>
      <c r="C1230" s="8" t="s">
        <v>6204</v>
      </c>
      <c r="D1230" s="32" t="s">
        <v>5146</v>
      </c>
      <c r="E1230" s="32" t="s">
        <v>6204</v>
      </c>
      <c r="F1230" s="10">
        <v>441</v>
      </c>
      <c r="G1230" s="8" t="s">
        <v>6205</v>
      </c>
      <c r="K1230" s="8" t="s">
        <v>6199</v>
      </c>
      <c r="L1230" s="8" t="s">
        <v>32</v>
      </c>
      <c r="S1230"/>
    </row>
    <row r="1231" spans="1:19" ht="15" x14ac:dyDescent="0.25">
      <c r="A1231" s="8" t="s">
        <v>5069</v>
      </c>
      <c r="B1231" s="8" t="s">
        <v>5070</v>
      </c>
      <c r="C1231" s="8" t="s">
        <v>6206</v>
      </c>
      <c r="D1231" s="32" t="s">
        <v>5146</v>
      </c>
      <c r="E1231" s="32" t="s">
        <v>6206</v>
      </c>
      <c r="F1231" s="10">
        <v>441</v>
      </c>
      <c r="G1231" s="8" t="s">
        <v>5745</v>
      </c>
      <c r="K1231" s="8" t="s">
        <v>6199</v>
      </c>
      <c r="L1231" s="8" t="s">
        <v>32</v>
      </c>
      <c r="S1231"/>
    </row>
    <row r="1232" spans="1:19" ht="15" x14ac:dyDescent="0.25">
      <c r="A1232" s="8" t="s">
        <v>5069</v>
      </c>
      <c r="B1232" s="8" t="s">
        <v>5070</v>
      </c>
      <c r="C1232" s="8" t="s">
        <v>6207</v>
      </c>
      <c r="D1232" s="32" t="s">
        <v>5146</v>
      </c>
      <c r="E1232" s="32" t="s">
        <v>6207</v>
      </c>
      <c r="F1232" s="10">
        <v>9</v>
      </c>
      <c r="G1232" s="8" t="s">
        <v>5747</v>
      </c>
      <c r="K1232" s="8" t="s">
        <v>6199</v>
      </c>
      <c r="L1232" s="8" t="s">
        <v>32</v>
      </c>
      <c r="S1232"/>
    </row>
    <row r="1233" spans="1:19" ht="15" x14ac:dyDescent="0.25">
      <c r="A1233" s="8" t="s">
        <v>5069</v>
      </c>
      <c r="B1233" s="8" t="s">
        <v>5070</v>
      </c>
      <c r="C1233" s="8" t="s">
        <v>6208</v>
      </c>
      <c r="D1233" s="32" t="s">
        <v>5146</v>
      </c>
      <c r="E1233" s="32" t="s">
        <v>6208</v>
      </c>
      <c r="F1233" s="10">
        <v>3</v>
      </c>
      <c r="G1233" s="8" t="s">
        <v>6209</v>
      </c>
      <c r="K1233" s="8" t="s">
        <v>6199</v>
      </c>
      <c r="L1233" s="8" t="s">
        <v>32</v>
      </c>
      <c r="S1233"/>
    </row>
    <row r="1234" spans="1:19" ht="15" x14ac:dyDescent="0.25">
      <c r="A1234" s="8" t="s">
        <v>5069</v>
      </c>
      <c r="B1234" s="8" t="s">
        <v>5070</v>
      </c>
      <c r="C1234" s="8" t="s">
        <v>6210</v>
      </c>
      <c r="D1234" s="32" t="s">
        <v>5146</v>
      </c>
      <c r="E1234" s="32" t="s">
        <v>6210</v>
      </c>
      <c r="F1234" s="10">
        <v>12</v>
      </c>
      <c r="G1234" s="8" t="s">
        <v>5177</v>
      </c>
      <c r="K1234" s="8" t="s">
        <v>6199</v>
      </c>
      <c r="L1234" s="8" t="s">
        <v>32</v>
      </c>
      <c r="S1234"/>
    </row>
    <row r="1235" spans="1:19" ht="15" x14ac:dyDescent="0.25">
      <c r="A1235" s="8" t="s">
        <v>5069</v>
      </c>
      <c r="B1235" s="8" t="s">
        <v>5070</v>
      </c>
      <c r="C1235" s="8" t="s">
        <v>6211</v>
      </c>
      <c r="D1235" s="32" t="s">
        <v>5146</v>
      </c>
      <c r="E1235" s="32" t="s">
        <v>6211</v>
      </c>
      <c r="F1235" s="10">
        <v>12</v>
      </c>
      <c r="G1235" s="8" t="s">
        <v>5750</v>
      </c>
      <c r="K1235" s="8" t="s">
        <v>6199</v>
      </c>
      <c r="L1235" s="8" t="s">
        <v>32</v>
      </c>
      <c r="S1235"/>
    </row>
    <row r="1236" spans="1:19" ht="15" x14ac:dyDescent="0.25">
      <c r="A1236" s="8" t="s">
        <v>5069</v>
      </c>
      <c r="B1236" s="8" t="s">
        <v>5070</v>
      </c>
      <c r="C1236" s="8" t="s">
        <v>6212</v>
      </c>
      <c r="D1236" s="32" t="s">
        <v>5146</v>
      </c>
      <c r="E1236" s="32" t="s">
        <v>6212</v>
      </c>
      <c r="F1236" s="10">
        <v>45</v>
      </c>
      <c r="G1236" s="8" t="s">
        <v>5153</v>
      </c>
      <c r="K1236" s="8" t="s">
        <v>6199</v>
      </c>
      <c r="L1236" s="8" t="s">
        <v>32</v>
      </c>
      <c r="S1236"/>
    </row>
    <row r="1237" spans="1:19" ht="15" x14ac:dyDescent="0.25">
      <c r="A1237" s="8" t="s">
        <v>5069</v>
      </c>
      <c r="B1237" s="8" t="s">
        <v>5070</v>
      </c>
      <c r="C1237" s="8" t="s">
        <v>6213</v>
      </c>
      <c r="D1237" s="32" t="s">
        <v>5146</v>
      </c>
      <c r="E1237" s="32" t="s">
        <v>6213</v>
      </c>
      <c r="F1237" s="10">
        <v>2502</v>
      </c>
      <c r="G1237" s="8" t="s">
        <v>5155</v>
      </c>
      <c r="K1237" s="8" t="s">
        <v>6199</v>
      </c>
      <c r="L1237" s="8" t="s">
        <v>32</v>
      </c>
      <c r="S1237"/>
    </row>
    <row r="1238" spans="1:19" ht="15" x14ac:dyDescent="0.25">
      <c r="A1238" s="8" t="s">
        <v>5069</v>
      </c>
      <c r="B1238" s="8" t="s">
        <v>5070</v>
      </c>
      <c r="C1238" s="8" t="s">
        <v>6214</v>
      </c>
      <c r="D1238" s="32" t="s">
        <v>5146</v>
      </c>
      <c r="E1238" s="32" t="s">
        <v>6214</v>
      </c>
      <c r="F1238" s="10">
        <v>164</v>
      </c>
      <c r="G1238" s="8" t="s">
        <v>6215</v>
      </c>
      <c r="K1238" s="8" t="s">
        <v>6199</v>
      </c>
      <c r="L1238" s="8" t="s">
        <v>32</v>
      </c>
      <c r="S1238"/>
    </row>
    <row r="1239" spans="1:19" ht="15" x14ac:dyDescent="0.25">
      <c r="A1239" s="8" t="s">
        <v>5069</v>
      </c>
      <c r="B1239" s="8" t="s">
        <v>5070</v>
      </c>
      <c r="C1239" s="8" t="s">
        <v>6216</v>
      </c>
      <c r="D1239" s="32" t="s">
        <v>5146</v>
      </c>
      <c r="E1239" s="32" t="s">
        <v>6216</v>
      </c>
      <c r="F1239" s="10">
        <v>510</v>
      </c>
      <c r="G1239" s="8" t="s">
        <v>5157</v>
      </c>
      <c r="K1239" s="8" t="s">
        <v>6199</v>
      </c>
      <c r="L1239" s="8" t="s">
        <v>32</v>
      </c>
      <c r="S1239"/>
    </row>
    <row r="1240" spans="1:19" ht="15" x14ac:dyDescent="0.25">
      <c r="A1240" s="8" t="s">
        <v>5069</v>
      </c>
      <c r="B1240" s="8" t="s">
        <v>5070</v>
      </c>
      <c r="C1240" s="8" t="s">
        <v>6217</v>
      </c>
      <c r="D1240" s="32" t="s">
        <v>5146</v>
      </c>
      <c r="E1240" s="32" t="s">
        <v>6217</v>
      </c>
      <c r="F1240" s="10">
        <v>1579</v>
      </c>
      <c r="G1240" s="8" t="s">
        <v>5159</v>
      </c>
      <c r="K1240" s="8" t="s">
        <v>6199</v>
      </c>
      <c r="L1240" s="8" t="s">
        <v>32</v>
      </c>
      <c r="S1240"/>
    </row>
    <row r="1241" spans="1:19" ht="15" x14ac:dyDescent="0.25">
      <c r="A1241" s="8" t="s">
        <v>5069</v>
      </c>
      <c r="B1241" s="8" t="s">
        <v>5070</v>
      </c>
      <c r="C1241" s="8" t="s">
        <v>6218</v>
      </c>
      <c r="D1241" s="32" t="s">
        <v>5146</v>
      </c>
      <c r="E1241" s="32" t="s">
        <v>6218</v>
      </c>
      <c r="F1241" s="10">
        <v>2185</v>
      </c>
      <c r="G1241" s="8" t="s">
        <v>5161</v>
      </c>
      <c r="K1241" s="8" t="s">
        <v>6199</v>
      </c>
      <c r="L1241" s="8" t="s">
        <v>32</v>
      </c>
      <c r="S1241"/>
    </row>
    <row r="1242" spans="1:19" ht="15" x14ac:dyDescent="0.25">
      <c r="A1242" s="8" t="s">
        <v>5069</v>
      </c>
      <c r="B1242" s="8" t="s">
        <v>5070</v>
      </c>
      <c r="C1242" s="8" t="s">
        <v>6219</v>
      </c>
      <c r="D1242" s="32" t="s">
        <v>5146</v>
      </c>
      <c r="E1242" s="32" t="s">
        <v>6219</v>
      </c>
      <c r="F1242" s="10">
        <v>896</v>
      </c>
      <c r="G1242" s="8" t="s">
        <v>5163</v>
      </c>
      <c r="K1242" s="8" t="s">
        <v>6199</v>
      </c>
      <c r="L1242" s="8" t="s">
        <v>32</v>
      </c>
      <c r="S1242"/>
    </row>
    <row r="1243" spans="1:19" ht="15" x14ac:dyDescent="0.25">
      <c r="A1243" s="8" t="s">
        <v>5069</v>
      </c>
      <c r="B1243" s="8" t="s">
        <v>5070</v>
      </c>
      <c r="C1243" s="8" t="s">
        <v>6220</v>
      </c>
      <c r="D1243" s="32" t="s">
        <v>5146</v>
      </c>
      <c r="E1243" s="32" t="s">
        <v>6220</v>
      </c>
      <c r="F1243" s="10">
        <v>17</v>
      </c>
      <c r="G1243" s="8" t="s">
        <v>5185</v>
      </c>
      <c r="K1243" s="8" t="s">
        <v>6199</v>
      </c>
      <c r="L1243" s="8" t="s">
        <v>32</v>
      </c>
      <c r="S1243"/>
    </row>
    <row r="1244" spans="1:19" ht="15" x14ac:dyDescent="0.25">
      <c r="A1244" s="8" t="s">
        <v>5069</v>
      </c>
      <c r="B1244" s="8" t="s">
        <v>5070</v>
      </c>
      <c r="C1244" s="8" t="s">
        <v>6221</v>
      </c>
      <c r="D1244" s="32" t="s">
        <v>5146</v>
      </c>
      <c r="E1244" s="32" t="s">
        <v>6221</v>
      </c>
      <c r="F1244" s="10">
        <v>784</v>
      </c>
      <c r="G1244" s="8" t="s">
        <v>5187</v>
      </c>
      <c r="K1244" s="8" t="s">
        <v>6199</v>
      </c>
      <c r="L1244" s="8" t="s">
        <v>32</v>
      </c>
      <c r="S1244"/>
    </row>
    <row r="1245" spans="1:19" ht="15" x14ac:dyDescent="0.25">
      <c r="A1245" s="8" t="s">
        <v>5069</v>
      </c>
      <c r="B1245" s="8" t="s">
        <v>5070</v>
      </c>
      <c r="C1245" s="8" t="s">
        <v>6222</v>
      </c>
      <c r="D1245" s="32" t="s">
        <v>5146</v>
      </c>
      <c r="E1245" s="32" t="s">
        <v>6222</v>
      </c>
      <c r="F1245" s="10">
        <v>8682</v>
      </c>
      <c r="G1245" s="8" t="s">
        <v>5165</v>
      </c>
      <c r="K1245" s="8" t="s">
        <v>6199</v>
      </c>
      <c r="L1245" s="8" t="s">
        <v>32</v>
      </c>
      <c r="S1245"/>
    </row>
    <row r="1246" spans="1:19" ht="15" x14ac:dyDescent="0.25">
      <c r="A1246" s="8" t="s">
        <v>5069</v>
      </c>
      <c r="B1246" s="8" t="s">
        <v>5070</v>
      </c>
      <c r="C1246" s="8" t="s">
        <v>6223</v>
      </c>
      <c r="D1246" s="32" t="s">
        <v>5146</v>
      </c>
      <c r="E1246" s="32" t="s">
        <v>6223</v>
      </c>
      <c r="F1246" s="10">
        <v>8682</v>
      </c>
      <c r="G1246" s="8" t="s">
        <v>5167</v>
      </c>
      <c r="K1246" s="8" t="s">
        <v>6199</v>
      </c>
      <c r="L1246" s="8" t="s">
        <v>32</v>
      </c>
      <c r="S1246"/>
    </row>
    <row r="1247" spans="1:19" ht="15" x14ac:dyDescent="0.25">
      <c r="A1247" s="8" t="s">
        <v>5069</v>
      </c>
      <c r="B1247" s="8" t="s">
        <v>5070</v>
      </c>
      <c r="C1247" s="8" t="s">
        <v>6224</v>
      </c>
      <c r="D1247" s="32" t="s">
        <v>5146</v>
      </c>
      <c r="E1247" s="32" t="s">
        <v>6224</v>
      </c>
      <c r="F1247" s="10">
        <v>510</v>
      </c>
      <c r="G1247" s="8" t="s">
        <v>6225</v>
      </c>
      <c r="K1247" s="8" t="s">
        <v>6199</v>
      </c>
      <c r="L1247" s="8" t="s">
        <v>32</v>
      </c>
      <c r="S1247"/>
    </row>
    <row r="1248" spans="1:19" ht="15" x14ac:dyDescent="0.25">
      <c r="A1248" s="8" t="s">
        <v>5069</v>
      </c>
      <c r="B1248" s="8" t="s">
        <v>5070</v>
      </c>
      <c r="C1248" s="8" t="s">
        <v>6226</v>
      </c>
      <c r="D1248" s="32" t="s">
        <v>5146</v>
      </c>
      <c r="E1248" s="32" t="s">
        <v>6226</v>
      </c>
      <c r="F1248" s="10">
        <v>510</v>
      </c>
      <c r="G1248" s="8" t="s">
        <v>5167</v>
      </c>
      <c r="K1248" s="8" t="s">
        <v>6199</v>
      </c>
      <c r="L1248" s="8" t="s">
        <v>32</v>
      </c>
      <c r="S1248"/>
    </row>
    <row r="1249" spans="1:19" ht="15" x14ac:dyDescent="0.25">
      <c r="A1249" s="8" t="s">
        <v>5018</v>
      </c>
      <c r="B1249" s="8" t="s">
        <v>4819</v>
      </c>
      <c r="C1249" s="8" t="s">
        <v>6227</v>
      </c>
      <c r="D1249" s="32" t="s">
        <v>5146</v>
      </c>
      <c r="E1249" s="32" t="s">
        <v>6227</v>
      </c>
      <c r="F1249" s="10">
        <v>204</v>
      </c>
      <c r="G1249" s="8" t="s">
        <v>5736</v>
      </c>
      <c r="K1249" s="8" t="s">
        <v>6199</v>
      </c>
      <c r="L1249" s="8" t="s">
        <v>32</v>
      </c>
      <c r="S1249"/>
    </row>
    <row r="1250" spans="1:19" ht="15" x14ac:dyDescent="0.25">
      <c r="A1250" s="8" t="s">
        <v>5018</v>
      </c>
      <c r="B1250" s="8" t="s">
        <v>4819</v>
      </c>
      <c r="C1250" s="8" t="s">
        <v>6228</v>
      </c>
      <c r="D1250" s="32" t="s">
        <v>5146</v>
      </c>
      <c r="E1250" s="32" t="s">
        <v>6228</v>
      </c>
      <c r="F1250" s="10">
        <v>204</v>
      </c>
      <c r="G1250" s="8" t="s">
        <v>6201</v>
      </c>
      <c r="K1250" s="8" t="s">
        <v>6199</v>
      </c>
      <c r="L1250" s="8" t="s">
        <v>32</v>
      </c>
      <c r="S1250"/>
    </row>
    <row r="1251" spans="1:19" ht="15" x14ac:dyDescent="0.25">
      <c r="A1251" s="8" t="s">
        <v>5018</v>
      </c>
      <c r="B1251" s="8" t="s">
        <v>4819</v>
      </c>
      <c r="C1251" s="8" t="s">
        <v>6229</v>
      </c>
      <c r="D1251" s="32" t="s">
        <v>5146</v>
      </c>
      <c r="E1251" s="32" t="s">
        <v>6229</v>
      </c>
      <c r="F1251" s="10">
        <v>204</v>
      </c>
      <c r="G1251" s="8" t="s">
        <v>5740</v>
      </c>
      <c r="K1251" s="8" t="s">
        <v>6199</v>
      </c>
      <c r="L1251" s="8" t="s">
        <v>32</v>
      </c>
      <c r="S1251"/>
    </row>
    <row r="1252" spans="1:19" ht="15" x14ac:dyDescent="0.25">
      <c r="A1252" s="8" t="s">
        <v>5018</v>
      </c>
      <c r="B1252" s="8" t="s">
        <v>4819</v>
      </c>
      <c r="C1252" s="8" t="s">
        <v>6230</v>
      </c>
      <c r="D1252" s="32" t="s">
        <v>5146</v>
      </c>
      <c r="E1252" s="32" t="s">
        <v>6230</v>
      </c>
      <c r="F1252" s="10">
        <v>119</v>
      </c>
      <c r="G1252" s="8" t="s">
        <v>5175</v>
      </c>
      <c r="K1252" s="8" t="s">
        <v>6199</v>
      </c>
      <c r="L1252" s="8" t="s">
        <v>32</v>
      </c>
      <c r="S1252"/>
    </row>
    <row r="1253" spans="1:19" ht="15" x14ac:dyDescent="0.25">
      <c r="A1253" s="8" t="s">
        <v>5018</v>
      </c>
      <c r="B1253" s="8" t="s">
        <v>4819</v>
      </c>
      <c r="C1253" s="8" t="s">
        <v>6231</v>
      </c>
      <c r="D1253" s="32" t="s">
        <v>5146</v>
      </c>
      <c r="E1253" s="32" t="s">
        <v>6231</v>
      </c>
      <c r="F1253" s="10">
        <v>119</v>
      </c>
      <c r="G1253" s="8" t="s">
        <v>6205</v>
      </c>
      <c r="K1253" s="8" t="s">
        <v>6199</v>
      </c>
      <c r="L1253" s="8" t="s">
        <v>32</v>
      </c>
      <c r="S1253"/>
    </row>
    <row r="1254" spans="1:19" ht="15" x14ac:dyDescent="0.25">
      <c r="A1254" s="8" t="s">
        <v>5018</v>
      </c>
      <c r="B1254" s="8" t="s">
        <v>4819</v>
      </c>
      <c r="C1254" s="8" t="s">
        <v>6232</v>
      </c>
      <c r="D1254" s="32" t="s">
        <v>5146</v>
      </c>
      <c r="E1254" s="32" t="s">
        <v>6232</v>
      </c>
      <c r="F1254" s="10">
        <v>119</v>
      </c>
      <c r="G1254" s="8" t="s">
        <v>5745</v>
      </c>
      <c r="K1254" s="8" t="s">
        <v>6199</v>
      </c>
      <c r="L1254" s="8" t="s">
        <v>32</v>
      </c>
      <c r="S1254"/>
    </row>
    <row r="1255" spans="1:19" ht="15" x14ac:dyDescent="0.25">
      <c r="A1255" s="8" t="s">
        <v>5018</v>
      </c>
      <c r="B1255" s="8" t="s">
        <v>4819</v>
      </c>
      <c r="C1255" s="8" t="s">
        <v>6233</v>
      </c>
      <c r="D1255" s="32" t="s">
        <v>5146</v>
      </c>
      <c r="E1255" s="32" t="s">
        <v>6233</v>
      </c>
      <c r="F1255" s="10">
        <v>31</v>
      </c>
      <c r="G1255" s="8" t="s">
        <v>5747</v>
      </c>
      <c r="K1255" s="8" t="s">
        <v>6199</v>
      </c>
      <c r="L1255" s="8" t="s">
        <v>32</v>
      </c>
      <c r="S1255"/>
    </row>
    <row r="1256" spans="1:19" ht="15" x14ac:dyDescent="0.25">
      <c r="A1256" s="8" t="s">
        <v>5018</v>
      </c>
      <c r="B1256" s="8" t="s">
        <v>4819</v>
      </c>
      <c r="C1256" s="8" t="s">
        <v>6234</v>
      </c>
      <c r="D1256" s="32" t="s">
        <v>5146</v>
      </c>
      <c r="E1256" s="32" t="s">
        <v>6234</v>
      </c>
      <c r="F1256" s="10">
        <v>31</v>
      </c>
      <c r="G1256" s="8" t="s">
        <v>5177</v>
      </c>
      <c r="K1256" s="8" t="s">
        <v>6199</v>
      </c>
      <c r="L1256" s="8" t="s">
        <v>32</v>
      </c>
      <c r="S1256"/>
    </row>
    <row r="1257" spans="1:19" ht="15" x14ac:dyDescent="0.25">
      <c r="A1257" s="8" t="s">
        <v>5018</v>
      </c>
      <c r="B1257" s="8" t="s">
        <v>4819</v>
      </c>
      <c r="C1257" s="8" t="s">
        <v>6235</v>
      </c>
      <c r="D1257" s="32" t="s">
        <v>5146</v>
      </c>
      <c r="E1257" s="32" t="s">
        <v>6235</v>
      </c>
      <c r="F1257" s="10">
        <v>31</v>
      </c>
      <c r="G1257" s="8" t="s">
        <v>5750</v>
      </c>
      <c r="K1257" s="8" t="s">
        <v>6199</v>
      </c>
      <c r="L1257" s="8" t="s">
        <v>32</v>
      </c>
      <c r="S1257"/>
    </row>
    <row r="1258" spans="1:19" ht="15" x14ac:dyDescent="0.25">
      <c r="A1258" s="8" t="s">
        <v>5018</v>
      </c>
      <c r="B1258" s="8" t="s">
        <v>4819</v>
      </c>
      <c r="C1258" s="8" t="s">
        <v>6236</v>
      </c>
      <c r="D1258" s="32" t="s">
        <v>5146</v>
      </c>
      <c r="E1258" s="32" t="s">
        <v>6236</v>
      </c>
      <c r="F1258" s="10">
        <v>82</v>
      </c>
      <c r="G1258" s="8" t="s">
        <v>5153</v>
      </c>
      <c r="K1258" s="8" t="s">
        <v>6199</v>
      </c>
      <c r="L1258" s="8" t="s">
        <v>32</v>
      </c>
      <c r="S1258"/>
    </row>
    <row r="1259" spans="1:19" ht="15" x14ac:dyDescent="0.25">
      <c r="A1259" s="8" t="s">
        <v>5018</v>
      </c>
      <c r="B1259" s="8" t="s">
        <v>4819</v>
      </c>
      <c r="C1259" s="8" t="s">
        <v>6237</v>
      </c>
      <c r="D1259" s="32" t="s">
        <v>5146</v>
      </c>
      <c r="E1259" s="32" t="s">
        <v>6237</v>
      </c>
      <c r="F1259" s="10">
        <v>332</v>
      </c>
      <c r="G1259" s="8" t="s">
        <v>5155</v>
      </c>
      <c r="K1259" s="8" t="s">
        <v>6199</v>
      </c>
      <c r="L1259" s="8" t="s">
        <v>32</v>
      </c>
      <c r="S1259"/>
    </row>
    <row r="1260" spans="1:19" ht="15" x14ac:dyDescent="0.25">
      <c r="A1260" s="8" t="s">
        <v>5018</v>
      </c>
      <c r="B1260" s="8" t="s">
        <v>4819</v>
      </c>
      <c r="C1260" s="8" t="s">
        <v>6238</v>
      </c>
      <c r="D1260" s="32" t="s">
        <v>5146</v>
      </c>
      <c r="E1260" s="32" t="s">
        <v>6238</v>
      </c>
      <c r="F1260" s="10">
        <v>436</v>
      </c>
      <c r="G1260" s="8" t="s">
        <v>5157</v>
      </c>
      <c r="K1260" s="8" t="s">
        <v>6199</v>
      </c>
      <c r="L1260" s="8" t="s">
        <v>32</v>
      </c>
      <c r="S1260"/>
    </row>
    <row r="1261" spans="1:19" ht="15" x14ac:dyDescent="0.25">
      <c r="A1261" s="8" t="s">
        <v>5018</v>
      </c>
      <c r="B1261" s="8" t="s">
        <v>4819</v>
      </c>
      <c r="C1261" s="8" t="s">
        <v>6239</v>
      </c>
      <c r="D1261" s="32" t="s">
        <v>5146</v>
      </c>
      <c r="E1261" s="32" t="s">
        <v>6239</v>
      </c>
      <c r="F1261" s="10">
        <v>947</v>
      </c>
      <c r="G1261" s="8" t="s">
        <v>5159</v>
      </c>
      <c r="K1261" s="8" t="s">
        <v>6199</v>
      </c>
      <c r="L1261" s="8" t="s">
        <v>32</v>
      </c>
      <c r="S1261"/>
    </row>
    <row r="1262" spans="1:19" ht="15" x14ac:dyDescent="0.25">
      <c r="A1262" s="8" t="s">
        <v>5018</v>
      </c>
      <c r="B1262" s="8" t="s">
        <v>4819</v>
      </c>
      <c r="C1262" s="8" t="s">
        <v>6240</v>
      </c>
      <c r="D1262" s="32" t="s">
        <v>5146</v>
      </c>
      <c r="E1262" s="32" t="s">
        <v>6240</v>
      </c>
      <c r="F1262" s="10">
        <v>892</v>
      </c>
      <c r="G1262" s="8" t="s">
        <v>5161</v>
      </c>
      <c r="K1262" s="8" t="s">
        <v>6199</v>
      </c>
      <c r="L1262" s="8" t="s">
        <v>32</v>
      </c>
      <c r="S1262"/>
    </row>
    <row r="1263" spans="1:19" ht="15" x14ac:dyDescent="0.25">
      <c r="A1263" s="8" t="s">
        <v>5018</v>
      </c>
      <c r="B1263" s="8" t="s">
        <v>4819</v>
      </c>
      <c r="C1263" s="8" t="s">
        <v>6241</v>
      </c>
      <c r="D1263" s="32" t="s">
        <v>5146</v>
      </c>
      <c r="E1263" s="32" t="s">
        <v>6241</v>
      </c>
      <c r="F1263" s="10">
        <v>1176</v>
      </c>
      <c r="G1263" s="8" t="s">
        <v>5163</v>
      </c>
      <c r="K1263" s="8" t="s">
        <v>6199</v>
      </c>
      <c r="L1263" s="8" t="s">
        <v>32</v>
      </c>
      <c r="S1263"/>
    </row>
    <row r="1264" spans="1:19" ht="15" x14ac:dyDescent="0.25">
      <c r="A1264" s="8" t="s">
        <v>5018</v>
      </c>
      <c r="B1264" s="8" t="s">
        <v>4819</v>
      </c>
      <c r="C1264" s="8" t="s">
        <v>6242</v>
      </c>
      <c r="D1264" s="32" t="s">
        <v>5146</v>
      </c>
      <c r="E1264" s="32" t="s">
        <v>6242</v>
      </c>
      <c r="F1264" s="10">
        <v>3865</v>
      </c>
      <c r="G1264" s="8" t="s">
        <v>5165</v>
      </c>
      <c r="K1264" s="8" t="s">
        <v>6199</v>
      </c>
      <c r="L1264" s="8" t="s">
        <v>32</v>
      </c>
      <c r="S1264"/>
    </row>
    <row r="1265" spans="1:19" ht="15" x14ac:dyDescent="0.25">
      <c r="A1265" s="8" t="s">
        <v>5018</v>
      </c>
      <c r="B1265" s="8" t="s">
        <v>4819</v>
      </c>
      <c r="C1265" s="8" t="s">
        <v>6243</v>
      </c>
      <c r="D1265" s="32" t="s">
        <v>5146</v>
      </c>
      <c r="E1265" s="32" t="s">
        <v>6243</v>
      </c>
      <c r="F1265" s="10">
        <v>3865</v>
      </c>
      <c r="G1265" s="8" t="s">
        <v>5167</v>
      </c>
      <c r="K1265" s="8" t="s">
        <v>6199</v>
      </c>
      <c r="L1265" s="8" t="s">
        <v>32</v>
      </c>
      <c r="S1265"/>
    </row>
    <row r="1266" spans="1:19" ht="15" x14ac:dyDescent="0.25">
      <c r="A1266" s="8" t="s">
        <v>5622</v>
      </c>
      <c r="B1266" s="8" t="s">
        <v>4847</v>
      </c>
      <c r="C1266" s="8" t="s">
        <v>6244</v>
      </c>
      <c r="D1266" s="32" t="s">
        <v>5146</v>
      </c>
      <c r="E1266" s="32" t="s">
        <v>6244</v>
      </c>
      <c r="F1266" s="10">
        <v>86</v>
      </c>
      <c r="G1266" s="8" t="s">
        <v>5736</v>
      </c>
      <c r="K1266" s="8" t="s">
        <v>6199</v>
      </c>
      <c r="L1266" s="8" t="s">
        <v>32</v>
      </c>
      <c r="S1266"/>
    </row>
    <row r="1267" spans="1:19" ht="15" x14ac:dyDescent="0.25">
      <c r="A1267" s="8" t="s">
        <v>5622</v>
      </c>
      <c r="B1267" s="8" t="s">
        <v>4847</v>
      </c>
      <c r="C1267" s="8" t="s">
        <v>6245</v>
      </c>
      <c r="D1267" s="32" t="s">
        <v>5146</v>
      </c>
      <c r="E1267" s="32" t="s">
        <v>6245</v>
      </c>
      <c r="F1267" s="10">
        <v>86</v>
      </c>
      <c r="G1267" s="8" t="s">
        <v>6201</v>
      </c>
      <c r="K1267" s="8" t="s">
        <v>6199</v>
      </c>
      <c r="L1267" s="8" t="s">
        <v>32</v>
      </c>
      <c r="S1267"/>
    </row>
    <row r="1268" spans="1:19" ht="15" x14ac:dyDescent="0.25">
      <c r="A1268" s="8" t="s">
        <v>5622</v>
      </c>
      <c r="B1268" s="8" t="s">
        <v>4847</v>
      </c>
      <c r="C1268" s="8" t="s">
        <v>6246</v>
      </c>
      <c r="D1268" s="32" t="s">
        <v>5146</v>
      </c>
      <c r="E1268" s="32" t="s">
        <v>6246</v>
      </c>
      <c r="F1268" s="10">
        <v>86</v>
      </c>
      <c r="G1268" s="8" t="s">
        <v>5740</v>
      </c>
      <c r="K1268" s="8" t="s">
        <v>6199</v>
      </c>
      <c r="L1268" s="8" t="s">
        <v>32</v>
      </c>
      <c r="S1268"/>
    </row>
    <row r="1269" spans="1:19" ht="15" x14ac:dyDescent="0.25">
      <c r="A1269" s="8" t="s">
        <v>5622</v>
      </c>
      <c r="B1269" s="8" t="s">
        <v>4847</v>
      </c>
      <c r="C1269" s="8" t="s">
        <v>6247</v>
      </c>
      <c r="D1269" s="32" t="s">
        <v>5146</v>
      </c>
      <c r="E1269" s="32" t="s">
        <v>6247</v>
      </c>
      <c r="F1269" s="10">
        <v>7</v>
      </c>
      <c r="G1269" s="8" t="s">
        <v>6248</v>
      </c>
      <c r="K1269" s="8" t="s">
        <v>6199</v>
      </c>
      <c r="L1269" s="8" t="s">
        <v>32</v>
      </c>
      <c r="S1269"/>
    </row>
    <row r="1270" spans="1:19" ht="15" x14ac:dyDescent="0.25">
      <c r="A1270" s="8" t="s">
        <v>5622</v>
      </c>
      <c r="B1270" s="8" t="s">
        <v>4847</v>
      </c>
      <c r="C1270" s="8" t="s">
        <v>6249</v>
      </c>
      <c r="D1270" s="32" t="s">
        <v>5146</v>
      </c>
      <c r="E1270" s="32" t="s">
        <v>6249</v>
      </c>
      <c r="F1270" s="10">
        <v>217</v>
      </c>
      <c r="G1270" s="8" t="s">
        <v>5175</v>
      </c>
      <c r="K1270" s="8" t="s">
        <v>6199</v>
      </c>
      <c r="L1270" s="8" t="s">
        <v>32</v>
      </c>
      <c r="S1270"/>
    </row>
    <row r="1271" spans="1:19" ht="15" x14ac:dyDescent="0.25">
      <c r="A1271" s="8" t="s">
        <v>5622</v>
      </c>
      <c r="B1271" s="8" t="s">
        <v>4847</v>
      </c>
      <c r="C1271" s="8" t="s">
        <v>6250</v>
      </c>
      <c r="D1271" s="32" t="s">
        <v>5146</v>
      </c>
      <c r="E1271" s="32" t="s">
        <v>6250</v>
      </c>
      <c r="F1271" s="10">
        <v>224</v>
      </c>
      <c r="G1271" s="8" t="s">
        <v>6205</v>
      </c>
      <c r="K1271" s="8" t="s">
        <v>6199</v>
      </c>
      <c r="L1271" s="8" t="s">
        <v>32</v>
      </c>
      <c r="S1271"/>
    </row>
    <row r="1272" spans="1:19" ht="15" x14ac:dyDescent="0.25">
      <c r="A1272" s="8" t="s">
        <v>5622</v>
      </c>
      <c r="B1272" s="8" t="s">
        <v>4847</v>
      </c>
      <c r="C1272" s="8" t="s">
        <v>6251</v>
      </c>
      <c r="D1272" s="32" t="s">
        <v>5146</v>
      </c>
      <c r="E1272" s="32" t="s">
        <v>6251</v>
      </c>
      <c r="F1272" s="10">
        <v>224</v>
      </c>
      <c r="G1272" s="8" t="s">
        <v>5745</v>
      </c>
      <c r="K1272" s="8" t="s">
        <v>6199</v>
      </c>
      <c r="L1272" s="8" t="s">
        <v>32</v>
      </c>
      <c r="S1272"/>
    </row>
    <row r="1273" spans="1:19" ht="15" x14ac:dyDescent="0.25">
      <c r="A1273" s="8" t="s">
        <v>5622</v>
      </c>
      <c r="B1273" s="8" t="s">
        <v>4847</v>
      </c>
      <c r="C1273" s="8" t="s">
        <v>6252</v>
      </c>
      <c r="D1273" s="32" t="s">
        <v>5146</v>
      </c>
      <c r="E1273" s="32" t="s">
        <v>6252</v>
      </c>
      <c r="F1273" s="10">
        <v>642</v>
      </c>
      <c r="G1273" s="8" t="s">
        <v>6253</v>
      </c>
      <c r="K1273" s="8" t="s">
        <v>6199</v>
      </c>
      <c r="L1273" s="8" t="s">
        <v>32</v>
      </c>
      <c r="S1273"/>
    </row>
    <row r="1274" spans="1:19" ht="15" x14ac:dyDescent="0.25">
      <c r="A1274" s="8" t="s">
        <v>5622</v>
      </c>
      <c r="B1274" s="8" t="s">
        <v>4847</v>
      </c>
      <c r="C1274" s="8" t="s">
        <v>6254</v>
      </c>
      <c r="D1274" s="32" t="s">
        <v>5146</v>
      </c>
      <c r="E1274" s="32" t="s">
        <v>6254</v>
      </c>
      <c r="F1274" s="10">
        <v>202</v>
      </c>
      <c r="G1274" s="8" t="s">
        <v>5747</v>
      </c>
      <c r="K1274" s="8" t="s">
        <v>6199</v>
      </c>
      <c r="L1274" s="8" t="s">
        <v>32</v>
      </c>
      <c r="S1274"/>
    </row>
    <row r="1275" spans="1:19" ht="15" x14ac:dyDescent="0.25">
      <c r="A1275" s="8" t="s">
        <v>5622</v>
      </c>
      <c r="B1275" s="8" t="s">
        <v>4847</v>
      </c>
      <c r="C1275" s="8" t="s">
        <v>6255</v>
      </c>
      <c r="D1275" s="32" t="s">
        <v>5146</v>
      </c>
      <c r="E1275" s="32" t="s">
        <v>6255</v>
      </c>
      <c r="F1275" s="10">
        <v>844</v>
      </c>
      <c r="G1275" s="8" t="s">
        <v>5177</v>
      </c>
      <c r="K1275" s="8" t="s">
        <v>6199</v>
      </c>
      <c r="L1275" s="8" t="s">
        <v>32</v>
      </c>
      <c r="S1275"/>
    </row>
    <row r="1276" spans="1:19" ht="15" x14ac:dyDescent="0.25">
      <c r="A1276" s="8" t="s">
        <v>5622</v>
      </c>
      <c r="B1276" s="8" t="s">
        <v>4847</v>
      </c>
      <c r="C1276" s="8" t="s">
        <v>6256</v>
      </c>
      <c r="D1276" s="32" t="s">
        <v>5146</v>
      </c>
      <c r="E1276" s="32" t="s">
        <v>6256</v>
      </c>
      <c r="F1276" s="10">
        <v>844</v>
      </c>
      <c r="G1276" s="8" t="s">
        <v>5750</v>
      </c>
      <c r="K1276" s="8" t="s">
        <v>6199</v>
      </c>
      <c r="L1276" s="8" t="s">
        <v>32</v>
      </c>
      <c r="S1276"/>
    </row>
    <row r="1277" spans="1:19" ht="15" x14ac:dyDescent="0.25">
      <c r="A1277" s="8" t="s">
        <v>5622</v>
      </c>
      <c r="B1277" s="8" t="s">
        <v>4847</v>
      </c>
      <c r="C1277" s="8" t="s">
        <v>6257</v>
      </c>
      <c r="D1277" s="32" t="s">
        <v>5146</v>
      </c>
      <c r="E1277" s="32" t="s">
        <v>6257</v>
      </c>
      <c r="F1277" s="10">
        <v>29</v>
      </c>
      <c r="G1277" s="8" t="s">
        <v>5153</v>
      </c>
      <c r="K1277" s="8" t="s">
        <v>6199</v>
      </c>
      <c r="L1277" s="8" t="s">
        <v>32</v>
      </c>
      <c r="S1277"/>
    </row>
    <row r="1278" spans="1:19" ht="15" x14ac:dyDescent="0.25">
      <c r="A1278" s="8" t="s">
        <v>5622</v>
      </c>
      <c r="B1278" s="8" t="s">
        <v>4847</v>
      </c>
      <c r="C1278" s="8" t="s">
        <v>6258</v>
      </c>
      <c r="D1278" s="32" t="s">
        <v>5146</v>
      </c>
      <c r="E1278" s="32" t="s">
        <v>6258</v>
      </c>
      <c r="F1278" s="10">
        <v>1976</v>
      </c>
      <c r="G1278" s="8" t="s">
        <v>5155</v>
      </c>
      <c r="K1278" s="8" t="s">
        <v>6199</v>
      </c>
      <c r="L1278" s="8" t="s">
        <v>32</v>
      </c>
      <c r="S1278"/>
    </row>
    <row r="1279" spans="1:19" ht="15" x14ac:dyDescent="0.25">
      <c r="A1279" s="8" t="s">
        <v>5622</v>
      </c>
      <c r="B1279" s="8" t="s">
        <v>4847</v>
      </c>
      <c r="C1279" s="8" t="s">
        <v>6259</v>
      </c>
      <c r="D1279" s="32" t="s">
        <v>5146</v>
      </c>
      <c r="E1279" s="32" t="s">
        <v>6259</v>
      </c>
      <c r="F1279" s="10">
        <v>1305</v>
      </c>
      <c r="G1279" s="8" t="s">
        <v>5157</v>
      </c>
      <c r="K1279" s="8" t="s">
        <v>6199</v>
      </c>
      <c r="L1279" s="8" t="s">
        <v>32</v>
      </c>
      <c r="S1279"/>
    </row>
    <row r="1280" spans="1:19" ht="15" x14ac:dyDescent="0.25">
      <c r="A1280" s="8" t="s">
        <v>5622</v>
      </c>
      <c r="B1280" s="8" t="s">
        <v>4847</v>
      </c>
      <c r="C1280" s="8" t="s">
        <v>6260</v>
      </c>
      <c r="D1280" s="32" t="s">
        <v>5146</v>
      </c>
      <c r="E1280" s="32" t="s">
        <v>6260</v>
      </c>
      <c r="F1280" s="10">
        <v>943</v>
      </c>
      <c r="G1280" s="8" t="s">
        <v>5159</v>
      </c>
      <c r="K1280" s="8" t="s">
        <v>6199</v>
      </c>
      <c r="L1280" s="8" t="s">
        <v>32</v>
      </c>
      <c r="S1280"/>
    </row>
    <row r="1281" spans="1:19" ht="15" x14ac:dyDescent="0.25">
      <c r="A1281" s="8" t="s">
        <v>5622</v>
      </c>
      <c r="B1281" s="8" t="s">
        <v>4847</v>
      </c>
      <c r="C1281" s="8" t="s">
        <v>6261</v>
      </c>
      <c r="D1281" s="32" t="s">
        <v>5146</v>
      </c>
      <c r="E1281" s="32" t="s">
        <v>6261</v>
      </c>
      <c r="F1281" s="10">
        <v>241</v>
      </c>
      <c r="G1281" s="8" t="s">
        <v>5161</v>
      </c>
      <c r="K1281" s="8" t="s">
        <v>6199</v>
      </c>
      <c r="L1281" s="8" t="s">
        <v>32</v>
      </c>
      <c r="S1281"/>
    </row>
    <row r="1282" spans="1:19" ht="15" x14ac:dyDescent="0.25">
      <c r="A1282" s="8" t="s">
        <v>5622</v>
      </c>
      <c r="B1282" s="8" t="s">
        <v>4847</v>
      </c>
      <c r="C1282" s="8" t="s">
        <v>6262</v>
      </c>
      <c r="D1282" s="32" t="s">
        <v>5146</v>
      </c>
      <c r="E1282" s="32" t="s">
        <v>6262</v>
      </c>
      <c r="F1282" s="10">
        <v>33</v>
      </c>
      <c r="G1282" s="8" t="s">
        <v>5163</v>
      </c>
      <c r="K1282" s="8" t="s">
        <v>6199</v>
      </c>
      <c r="L1282" s="8" t="s">
        <v>32</v>
      </c>
      <c r="S1282"/>
    </row>
    <row r="1283" spans="1:19" ht="15" x14ac:dyDescent="0.25">
      <c r="A1283" s="8" t="s">
        <v>5622</v>
      </c>
      <c r="B1283" s="8" t="s">
        <v>4847</v>
      </c>
      <c r="C1283" s="8" t="s">
        <v>6263</v>
      </c>
      <c r="D1283" s="32" t="s">
        <v>5146</v>
      </c>
      <c r="E1283" s="32" t="s">
        <v>6263</v>
      </c>
      <c r="F1283" s="10">
        <v>4527</v>
      </c>
      <c r="G1283" s="8" t="s">
        <v>5165</v>
      </c>
      <c r="K1283" s="8" t="s">
        <v>6199</v>
      </c>
      <c r="L1283" s="8" t="s">
        <v>32</v>
      </c>
      <c r="S1283"/>
    </row>
    <row r="1284" spans="1:19" ht="15" x14ac:dyDescent="0.25">
      <c r="A1284" s="8" t="s">
        <v>5622</v>
      </c>
      <c r="B1284" s="8" t="s">
        <v>4847</v>
      </c>
      <c r="C1284" s="8" t="s">
        <v>6264</v>
      </c>
      <c r="D1284" s="32" t="s">
        <v>5146</v>
      </c>
      <c r="E1284" s="32" t="s">
        <v>6264</v>
      </c>
      <c r="F1284" s="10">
        <v>4527</v>
      </c>
      <c r="G1284" s="8" t="s">
        <v>5167</v>
      </c>
      <c r="K1284" s="8" t="s">
        <v>6199</v>
      </c>
      <c r="L1284" s="8" t="s">
        <v>32</v>
      </c>
      <c r="S1284"/>
    </row>
    <row r="1285" spans="1:19" ht="15" x14ac:dyDescent="0.25">
      <c r="A1285" s="8" t="s">
        <v>6071</v>
      </c>
      <c r="B1285" s="8" t="s">
        <v>6069</v>
      </c>
      <c r="C1285" s="8" t="s">
        <v>6265</v>
      </c>
      <c r="D1285" s="32" t="s">
        <v>6984</v>
      </c>
      <c r="E1285" s="32" t="s">
        <v>6265</v>
      </c>
      <c r="F1285" s="10">
        <v>1</v>
      </c>
      <c r="G1285" s="8" t="s">
        <v>6266</v>
      </c>
      <c r="H1285" s="10">
        <v>84</v>
      </c>
      <c r="I1285" s="10">
        <f t="shared" ref="I1285:I1348" si="22">F1285*H1285</f>
        <v>84</v>
      </c>
      <c r="J1285" s="10">
        <v>0</v>
      </c>
      <c r="K1285" s="8" t="s">
        <v>5087</v>
      </c>
      <c r="S1285"/>
    </row>
    <row r="1286" spans="1:19" ht="15" x14ac:dyDescent="0.25">
      <c r="A1286" s="8" t="s">
        <v>6071</v>
      </c>
      <c r="B1286" s="8" t="s">
        <v>6069</v>
      </c>
      <c r="C1286" s="8" t="s">
        <v>6267</v>
      </c>
      <c r="D1286" s="32" t="s">
        <v>6984</v>
      </c>
      <c r="E1286" s="32" t="s">
        <v>6267</v>
      </c>
      <c r="F1286" s="10">
        <v>2</v>
      </c>
      <c r="G1286" s="8" t="s">
        <v>6266</v>
      </c>
      <c r="H1286" s="10">
        <v>25.45</v>
      </c>
      <c r="I1286" s="10">
        <f t="shared" si="22"/>
        <v>50.9</v>
      </c>
      <c r="J1286" s="10">
        <v>0</v>
      </c>
      <c r="K1286" s="8" t="s">
        <v>5087</v>
      </c>
      <c r="S1286"/>
    </row>
    <row r="1287" spans="1:19" ht="15" x14ac:dyDescent="0.25">
      <c r="A1287" s="8" t="s">
        <v>6071</v>
      </c>
      <c r="B1287" s="8" t="s">
        <v>6069</v>
      </c>
      <c r="C1287" s="8" t="s">
        <v>6268</v>
      </c>
      <c r="D1287" s="32" t="s">
        <v>6984</v>
      </c>
      <c r="E1287" s="32" t="s">
        <v>6268</v>
      </c>
      <c r="F1287" s="10">
        <v>1</v>
      </c>
      <c r="G1287" s="8" t="s">
        <v>6266</v>
      </c>
      <c r="H1287" s="10">
        <v>84</v>
      </c>
      <c r="I1287" s="10">
        <f t="shared" si="22"/>
        <v>84</v>
      </c>
      <c r="J1287" s="10">
        <v>0</v>
      </c>
      <c r="K1287" s="8" t="s">
        <v>5087</v>
      </c>
      <c r="S1287"/>
    </row>
    <row r="1288" spans="1:19" ht="15" x14ac:dyDescent="0.25">
      <c r="A1288" s="8" t="s">
        <v>6071</v>
      </c>
      <c r="B1288" s="8" t="s">
        <v>6069</v>
      </c>
      <c r="C1288" s="8" t="s">
        <v>6269</v>
      </c>
      <c r="D1288" s="32" t="s">
        <v>6984</v>
      </c>
      <c r="E1288" s="32" t="s">
        <v>6269</v>
      </c>
      <c r="F1288" s="10">
        <v>1</v>
      </c>
      <c r="G1288" s="8" t="s">
        <v>6266</v>
      </c>
      <c r="H1288" s="10">
        <v>71.099999999999994</v>
      </c>
      <c r="I1288" s="10">
        <f t="shared" si="22"/>
        <v>71.099999999999994</v>
      </c>
      <c r="J1288" s="10">
        <v>0</v>
      </c>
      <c r="K1288" s="8" t="s">
        <v>5087</v>
      </c>
      <c r="S1288"/>
    </row>
    <row r="1289" spans="1:19" ht="15" x14ac:dyDescent="0.25">
      <c r="A1289" s="8" t="s">
        <v>6071</v>
      </c>
      <c r="B1289" s="8" t="s">
        <v>6069</v>
      </c>
      <c r="C1289" s="8" t="s">
        <v>6270</v>
      </c>
      <c r="D1289" s="32" t="s">
        <v>6984</v>
      </c>
      <c r="E1289" s="32" t="s">
        <v>6270</v>
      </c>
      <c r="F1289" s="10">
        <v>1</v>
      </c>
      <c r="G1289" s="8" t="s">
        <v>6266</v>
      </c>
      <c r="H1289" s="10">
        <v>24.6</v>
      </c>
      <c r="I1289" s="10">
        <f t="shared" si="22"/>
        <v>24.6</v>
      </c>
      <c r="J1289" s="10">
        <v>0</v>
      </c>
      <c r="K1289" s="8" t="s">
        <v>5087</v>
      </c>
      <c r="S1289"/>
    </row>
    <row r="1290" spans="1:19" ht="15" x14ac:dyDescent="0.25">
      <c r="A1290" s="8" t="s">
        <v>6068</v>
      </c>
      <c r="B1290" s="8" t="s">
        <v>6069</v>
      </c>
      <c r="C1290" s="8" t="s">
        <v>6271</v>
      </c>
      <c r="D1290" s="32" t="s">
        <v>6984</v>
      </c>
      <c r="E1290" s="32" t="s">
        <v>6271</v>
      </c>
      <c r="F1290" s="10">
        <v>2</v>
      </c>
      <c r="G1290" s="8" t="s">
        <v>6266</v>
      </c>
      <c r="H1290" s="10">
        <v>47.55</v>
      </c>
      <c r="I1290" s="10">
        <f t="shared" si="22"/>
        <v>95.1</v>
      </c>
      <c r="J1290" s="10">
        <v>0</v>
      </c>
      <c r="K1290" s="8" t="s">
        <v>5087</v>
      </c>
      <c r="S1290"/>
    </row>
    <row r="1291" spans="1:19" ht="15" x14ac:dyDescent="0.25">
      <c r="A1291" s="8" t="s">
        <v>6068</v>
      </c>
      <c r="B1291" s="8" t="s">
        <v>6069</v>
      </c>
      <c r="C1291" s="8" t="s">
        <v>6272</v>
      </c>
      <c r="D1291" s="32" t="s">
        <v>6984</v>
      </c>
      <c r="E1291" s="32" t="s">
        <v>6272</v>
      </c>
      <c r="F1291" s="10">
        <v>3</v>
      </c>
      <c r="G1291" s="8" t="s">
        <v>6266</v>
      </c>
      <c r="H1291" s="10">
        <v>39.333333333333336</v>
      </c>
      <c r="I1291" s="10">
        <f t="shared" si="22"/>
        <v>118</v>
      </c>
      <c r="J1291" s="10">
        <v>0</v>
      </c>
      <c r="K1291" s="8" t="s">
        <v>5087</v>
      </c>
      <c r="S1291"/>
    </row>
    <row r="1292" spans="1:19" ht="15" x14ac:dyDescent="0.25">
      <c r="A1292" s="8" t="s">
        <v>6068</v>
      </c>
      <c r="B1292" s="8" t="s">
        <v>6069</v>
      </c>
      <c r="C1292" s="8" t="s">
        <v>6273</v>
      </c>
      <c r="D1292" s="32" t="s">
        <v>6984</v>
      </c>
      <c r="E1292" s="32" t="s">
        <v>6273</v>
      </c>
      <c r="F1292" s="10">
        <v>6</v>
      </c>
      <c r="G1292" s="8" t="s">
        <v>6266</v>
      </c>
      <c r="H1292" s="10">
        <v>35.133333333333333</v>
      </c>
      <c r="I1292" s="10">
        <f t="shared" si="22"/>
        <v>210.8</v>
      </c>
      <c r="J1292" s="10">
        <v>0</v>
      </c>
      <c r="K1292" s="8" t="s">
        <v>5087</v>
      </c>
      <c r="S1292"/>
    </row>
    <row r="1293" spans="1:19" ht="15" x14ac:dyDescent="0.25">
      <c r="A1293" s="8" t="s">
        <v>6068</v>
      </c>
      <c r="B1293" s="8" t="s">
        <v>6069</v>
      </c>
      <c r="C1293" s="8" t="s">
        <v>6274</v>
      </c>
      <c r="D1293" s="32" t="s">
        <v>6984</v>
      </c>
      <c r="E1293" s="32" t="s">
        <v>6274</v>
      </c>
      <c r="F1293" s="10">
        <v>2</v>
      </c>
      <c r="G1293" s="8" t="s">
        <v>6266</v>
      </c>
      <c r="H1293" s="10">
        <v>36.450000000000003</v>
      </c>
      <c r="I1293" s="10">
        <f t="shared" si="22"/>
        <v>72.900000000000006</v>
      </c>
      <c r="J1293" s="10">
        <v>0</v>
      </c>
      <c r="K1293" s="8" t="s">
        <v>5087</v>
      </c>
      <c r="S1293"/>
    </row>
    <row r="1294" spans="1:19" ht="15" x14ac:dyDescent="0.25">
      <c r="A1294" s="8" t="s">
        <v>6068</v>
      </c>
      <c r="B1294" s="8" t="s">
        <v>6069</v>
      </c>
      <c r="C1294" s="8" t="s">
        <v>6275</v>
      </c>
      <c r="D1294" s="32" t="s">
        <v>6984</v>
      </c>
      <c r="E1294" s="32" t="s">
        <v>6275</v>
      </c>
      <c r="F1294" s="10">
        <v>2</v>
      </c>
      <c r="G1294" s="8" t="s">
        <v>6266</v>
      </c>
      <c r="H1294" s="10">
        <v>33.85</v>
      </c>
      <c r="I1294" s="10">
        <f t="shared" si="22"/>
        <v>67.7</v>
      </c>
      <c r="J1294" s="10">
        <v>0</v>
      </c>
      <c r="K1294" s="8" t="s">
        <v>5087</v>
      </c>
      <c r="S1294"/>
    </row>
    <row r="1295" spans="1:19" ht="15" x14ac:dyDescent="0.25">
      <c r="A1295" s="8" t="s">
        <v>6071</v>
      </c>
      <c r="B1295" s="8" t="s">
        <v>6069</v>
      </c>
      <c r="C1295" s="8" t="s">
        <v>6276</v>
      </c>
      <c r="D1295" s="32" t="s">
        <v>6984</v>
      </c>
      <c r="E1295" s="32" t="s">
        <v>6276</v>
      </c>
      <c r="F1295" s="10">
        <v>2</v>
      </c>
      <c r="G1295" s="8" t="s">
        <v>6266</v>
      </c>
      <c r="H1295" s="10">
        <v>47.9</v>
      </c>
      <c r="I1295" s="10">
        <f t="shared" si="22"/>
        <v>95.8</v>
      </c>
      <c r="J1295" s="10">
        <v>0</v>
      </c>
      <c r="K1295" s="8" t="s">
        <v>5087</v>
      </c>
      <c r="S1295"/>
    </row>
    <row r="1296" spans="1:19" ht="15" x14ac:dyDescent="0.25">
      <c r="A1296" s="8" t="s">
        <v>6071</v>
      </c>
      <c r="B1296" s="8" t="s">
        <v>6069</v>
      </c>
      <c r="C1296" s="8" t="s">
        <v>6277</v>
      </c>
      <c r="D1296" s="32" t="s">
        <v>6984</v>
      </c>
      <c r="E1296" s="32" t="s">
        <v>6277</v>
      </c>
      <c r="F1296" s="10">
        <v>2</v>
      </c>
      <c r="G1296" s="8" t="s">
        <v>6266</v>
      </c>
      <c r="H1296" s="10">
        <v>36.450000000000003</v>
      </c>
      <c r="I1296" s="10">
        <f t="shared" si="22"/>
        <v>72.900000000000006</v>
      </c>
      <c r="J1296" s="10">
        <v>0</v>
      </c>
      <c r="K1296" s="8" t="s">
        <v>5087</v>
      </c>
      <c r="S1296"/>
    </row>
    <row r="1297" spans="1:19" ht="15" x14ac:dyDescent="0.25">
      <c r="A1297" s="8" t="s">
        <v>6068</v>
      </c>
      <c r="B1297" s="8" t="s">
        <v>6069</v>
      </c>
      <c r="C1297" s="8" t="s">
        <v>6278</v>
      </c>
      <c r="D1297" s="32" t="s">
        <v>6984</v>
      </c>
      <c r="E1297" s="32" t="s">
        <v>6278</v>
      </c>
      <c r="F1297" s="10">
        <v>5</v>
      </c>
      <c r="G1297" s="8" t="s">
        <v>6266</v>
      </c>
      <c r="H1297" s="10">
        <v>19.399999999999999</v>
      </c>
      <c r="I1297" s="10">
        <f t="shared" si="22"/>
        <v>97</v>
      </c>
      <c r="J1297" s="10">
        <v>0</v>
      </c>
      <c r="K1297" s="8" t="s">
        <v>5087</v>
      </c>
      <c r="S1297"/>
    </row>
    <row r="1298" spans="1:19" ht="15" x14ac:dyDescent="0.25">
      <c r="A1298" s="8" t="s">
        <v>6071</v>
      </c>
      <c r="B1298" s="8" t="s">
        <v>6069</v>
      </c>
      <c r="C1298" s="8" t="s">
        <v>6279</v>
      </c>
      <c r="D1298" s="32" t="s">
        <v>6984</v>
      </c>
      <c r="E1298" s="32" t="s">
        <v>6279</v>
      </c>
      <c r="F1298" s="10">
        <v>5</v>
      </c>
      <c r="G1298" s="8" t="s">
        <v>6266</v>
      </c>
      <c r="H1298" s="10">
        <v>20.64</v>
      </c>
      <c r="I1298" s="10">
        <f t="shared" si="22"/>
        <v>103.2</v>
      </c>
      <c r="J1298" s="10">
        <v>0</v>
      </c>
      <c r="K1298" s="8" t="s">
        <v>5087</v>
      </c>
      <c r="S1298"/>
    </row>
    <row r="1299" spans="1:19" ht="15" x14ac:dyDescent="0.25">
      <c r="A1299" s="8" t="s">
        <v>6068</v>
      </c>
      <c r="B1299" s="8" t="s">
        <v>6069</v>
      </c>
      <c r="C1299" s="8" t="s">
        <v>6280</v>
      </c>
      <c r="D1299" s="32" t="s">
        <v>6984</v>
      </c>
      <c r="E1299" s="32" t="s">
        <v>6280</v>
      </c>
      <c r="F1299" s="10">
        <v>1</v>
      </c>
      <c r="G1299" s="8" t="s">
        <v>6266</v>
      </c>
      <c r="H1299" s="10">
        <v>18.5</v>
      </c>
      <c r="I1299" s="10">
        <f t="shared" si="22"/>
        <v>18.5</v>
      </c>
      <c r="J1299" s="10">
        <v>0</v>
      </c>
      <c r="K1299" s="8" t="s">
        <v>5087</v>
      </c>
      <c r="S1299"/>
    </row>
    <row r="1300" spans="1:19" ht="15" x14ac:dyDescent="0.25">
      <c r="A1300" s="8" t="s">
        <v>6071</v>
      </c>
      <c r="B1300" s="8" t="s">
        <v>6069</v>
      </c>
      <c r="C1300" s="8" t="s">
        <v>6281</v>
      </c>
      <c r="D1300" s="32" t="s">
        <v>6984</v>
      </c>
      <c r="E1300" s="32" t="s">
        <v>6281</v>
      </c>
      <c r="F1300" s="10">
        <v>1</v>
      </c>
      <c r="G1300" s="8" t="s">
        <v>6266</v>
      </c>
      <c r="H1300" s="10">
        <v>34.1</v>
      </c>
      <c r="I1300" s="10">
        <f t="shared" si="22"/>
        <v>34.1</v>
      </c>
      <c r="J1300" s="10">
        <v>0</v>
      </c>
      <c r="K1300" s="8" t="s">
        <v>5087</v>
      </c>
      <c r="S1300"/>
    </row>
    <row r="1301" spans="1:19" ht="15" x14ac:dyDescent="0.25">
      <c r="A1301" s="8" t="s">
        <v>6071</v>
      </c>
      <c r="B1301" s="8" t="s">
        <v>6069</v>
      </c>
      <c r="C1301" s="8" t="s">
        <v>6282</v>
      </c>
      <c r="D1301" s="32" t="s">
        <v>6984</v>
      </c>
      <c r="E1301" s="32" t="s">
        <v>6282</v>
      </c>
      <c r="F1301" s="10">
        <v>1</v>
      </c>
      <c r="G1301" s="8" t="s">
        <v>6266</v>
      </c>
      <c r="H1301" s="10">
        <v>34.1</v>
      </c>
      <c r="I1301" s="10">
        <f t="shared" si="22"/>
        <v>34.1</v>
      </c>
      <c r="J1301" s="10">
        <v>0</v>
      </c>
      <c r="K1301" s="8" t="s">
        <v>5087</v>
      </c>
      <c r="S1301"/>
    </row>
    <row r="1302" spans="1:19" ht="15" x14ac:dyDescent="0.25">
      <c r="A1302" s="8" t="s">
        <v>6071</v>
      </c>
      <c r="B1302" s="8" t="s">
        <v>6069</v>
      </c>
      <c r="C1302" s="8" t="s">
        <v>6283</v>
      </c>
      <c r="D1302" s="32" t="s">
        <v>6984</v>
      </c>
      <c r="E1302" s="32" t="s">
        <v>6283</v>
      </c>
      <c r="F1302" s="10">
        <v>1</v>
      </c>
      <c r="G1302" s="8" t="s">
        <v>6266</v>
      </c>
      <c r="H1302" s="10">
        <v>25.9</v>
      </c>
      <c r="I1302" s="10">
        <f t="shared" si="22"/>
        <v>25.9</v>
      </c>
      <c r="J1302" s="10">
        <v>0</v>
      </c>
      <c r="K1302" s="8" t="s">
        <v>5087</v>
      </c>
      <c r="S1302"/>
    </row>
    <row r="1303" spans="1:19" ht="15" x14ac:dyDescent="0.25">
      <c r="A1303" s="8" t="s">
        <v>6071</v>
      </c>
      <c r="B1303" s="8" t="s">
        <v>6069</v>
      </c>
      <c r="C1303" s="8" t="s">
        <v>6284</v>
      </c>
      <c r="D1303" s="32" t="s">
        <v>6984</v>
      </c>
      <c r="E1303" s="32" t="s">
        <v>6284</v>
      </c>
      <c r="F1303" s="10">
        <v>1</v>
      </c>
      <c r="G1303" s="8" t="s">
        <v>6266</v>
      </c>
      <c r="H1303" s="10">
        <v>36.9</v>
      </c>
      <c r="I1303" s="10">
        <f t="shared" si="22"/>
        <v>36.9</v>
      </c>
      <c r="J1303" s="10">
        <v>0</v>
      </c>
      <c r="K1303" s="8" t="s">
        <v>5087</v>
      </c>
      <c r="S1303"/>
    </row>
    <row r="1304" spans="1:19" ht="15" x14ac:dyDescent="0.25">
      <c r="A1304" s="8" t="s">
        <v>6071</v>
      </c>
      <c r="B1304" s="8" t="s">
        <v>6069</v>
      </c>
      <c r="C1304" s="8" t="s">
        <v>6285</v>
      </c>
      <c r="D1304" s="32" t="s">
        <v>6984</v>
      </c>
      <c r="E1304" s="32" t="s">
        <v>6285</v>
      </c>
      <c r="F1304" s="10">
        <v>1</v>
      </c>
      <c r="G1304" s="8" t="s">
        <v>6266</v>
      </c>
      <c r="H1304" s="10">
        <v>47.3</v>
      </c>
      <c r="I1304" s="10">
        <f t="shared" si="22"/>
        <v>47.3</v>
      </c>
      <c r="J1304" s="10">
        <v>0</v>
      </c>
      <c r="K1304" s="8" t="s">
        <v>5087</v>
      </c>
      <c r="S1304"/>
    </row>
    <row r="1305" spans="1:19" ht="15" x14ac:dyDescent="0.25">
      <c r="A1305" s="8" t="s">
        <v>6068</v>
      </c>
      <c r="B1305" s="8" t="s">
        <v>6069</v>
      </c>
      <c r="C1305" s="8" t="s">
        <v>6286</v>
      </c>
      <c r="D1305" s="32" t="s">
        <v>6984</v>
      </c>
      <c r="E1305" s="32" t="s">
        <v>6286</v>
      </c>
      <c r="F1305" s="10">
        <v>2</v>
      </c>
      <c r="G1305" s="8" t="s">
        <v>6266</v>
      </c>
      <c r="H1305" s="10">
        <v>26.15</v>
      </c>
      <c r="I1305" s="10">
        <f t="shared" si="22"/>
        <v>52.3</v>
      </c>
      <c r="J1305" s="10">
        <v>0</v>
      </c>
      <c r="K1305" s="8" t="s">
        <v>5087</v>
      </c>
      <c r="S1305"/>
    </row>
    <row r="1306" spans="1:19" ht="15" x14ac:dyDescent="0.25">
      <c r="A1306" s="8" t="s">
        <v>6071</v>
      </c>
      <c r="B1306" s="8" t="s">
        <v>6069</v>
      </c>
      <c r="C1306" s="8" t="s">
        <v>6287</v>
      </c>
      <c r="D1306" s="32" t="s">
        <v>6984</v>
      </c>
      <c r="E1306" s="32" t="s">
        <v>6287</v>
      </c>
      <c r="F1306" s="10">
        <v>1</v>
      </c>
      <c r="G1306" s="8" t="s">
        <v>6266</v>
      </c>
      <c r="H1306" s="10">
        <v>34.1</v>
      </c>
      <c r="I1306" s="10">
        <f t="shared" si="22"/>
        <v>34.1</v>
      </c>
      <c r="J1306" s="10">
        <v>0</v>
      </c>
      <c r="K1306" s="8" t="s">
        <v>5087</v>
      </c>
      <c r="S1306"/>
    </row>
    <row r="1307" spans="1:19" ht="15" x14ac:dyDescent="0.25">
      <c r="A1307" s="8" t="s">
        <v>6068</v>
      </c>
      <c r="B1307" s="8" t="s">
        <v>6069</v>
      </c>
      <c r="C1307" s="8" t="s">
        <v>6288</v>
      </c>
      <c r="D1307" s="32" t="s">
        <v>6984</v>
      </c>
      <c r="E1307" s="32" t="s">
        <v>6288</v>
      </c>
      <c r="F1307" s="10">
        <v>1</v>
      </c>
      <c r="G1307" s="8" t="s">
        <v>6266</v>
      </c>
      <c r="H1307" s="10">
        <v>20.6</v>
      </c>
      <c r="I1307" s="10">
        <f t="shared" si="22"/>
        <v>20.6</v>
      </c>
      <c r="J1307" s="10">
        <v>0</v>
      </c>
      <c r="K1307" s="8" t="s">
        <v>5087</v>
      </c>
      <c r="S1307"/>
    </row>
    <row r="1308" spans="1:19" ht="15" x14ac:dyDescent="0.25">
      <c r="A1308" s="8" t="s">
        <v>6071</v>
      </c>
      <c r="B1308" s="8" t="s">
        <v>6069</v>
      </c>
      <c r="C1308" s="8" t="s">
        <v>6289</v>
      </c>
      <c r="D1308" s="32" t="s">
        <v>6984</v>
      </c>
      <c r="E1308" s="32" t="s">
        <v>6289</v>
      </c>
      <c r="F1308" s="10">
        <v>1</v>
      </c>
      <c r="G1308" s="8" t="s">
        <v>6266</v>
      </c>
      <c r="H1308" s="10">
        <v>23.6</v>
      </c>
      <c r="I1308" s="10">
        <f t="shared" si="22"/>
        <v>23.6</v>
      </c>
      <c r="J1308" s="10">
        <v>0</v>
      </c>
      <c r="K1308" s="8" t="s">
        <v>5087</v>
      </c>
      <c r="S1308"/>
    </row>
    <row r="1309" spans="1:19" ht="15" x14ac:dyDescent="0.25">
      <c r="A1309" s="8" t="s">
        <v>6068</v>
      </c>
      <c r="B1309" s="8" t="s">
        <v>6069</v>
      </c>
      <c r="C1309" s="8" t="s">
        <v>6290</v>
      </c>
      <c r="D1309" s="32" t="s">
        <v>6984</v>
      </c>
      <c r="E1309" s="32" t="s">
        <v>6290</v>
      </c>
      <c r="F1309" s="10">
        <v>1</v>
      </c>
      <c r="G1309" s="8" t="s">
        <v>6266</v>
      </c>
      <c r="H1309" s="10">
        <v>25.4</v>
      </c>
      <c r="I1309" s="10">
        <f t="shared" si="22"/>
        <v>25.4</v>
      </c>
      <c r="J1309" s="10">
        <v>0</v>
      </c>
      <c r="K1309" s="8" t="s">
        <v>5087</v>
      </c>
      <c r="S1309"/>
    </row>
    <row r="1310" spans="1:19" ht="15" x14ac:dyDescent="0.25">
      <c r="A1310" s="8" t="s">
        <v>6068</v>
      </c>
      <c r="B1310" s="8" t="s">
        <v>6069</v>
      </c>
      <c r="C1310" s="8" t="s">
        <v>6291</v>
      </c>
      <c r="D1310" s="32" t="s">
        <v>6984</v>
      </c>
      <c r="E1310" s="32" t="s">
        <v>6291</v>
      </c>
      <c r="F1310" s="10">
        <v>1</v>
      </c>
      <c r="G1310" s="8" t="s">
        <v>6266</v>
      </c>
      <c r="H1310" s="10">
        <v>24.1</v>
      </c>
      <c r="I1310" s="10">
        <f t="shared" si="22"/>
        <v>24.1</v>
      </c>
      <c r="J1310" s="10">
        <v>0</v>
      </c>
      <c r="K1310" s="8" t="s">
        <v>5087</v>
      </c>
      <c r="S1310"/>
    </row>
    <row r="1311" spans="1:19" ht="15" x14ac:dyDescent="0.25">
      <c r="A1311" s="8" t="s">
        <v>6071</v>
      </c>
      <c r="B1311" s="8" t="s">
        <v>6069</v>
      </c>
      <c r="C1311" s="8" t="s">
        <v>6292</v>
      </c>
      <c r="D1311" s="32" t="s">
        <v>6984</v>
      </c>
      <c r="E1311" s="32" t="s">
        <v>6292</v>
      </c>
      <c r="F1311" s="10">
        <v>1</v>
      </c>
      <c r="G1311" s="8" t="s">
        <v>6266</v>
      </c>
      <c r="H1311" s="10">
        <v>25</v>
      </c>
      <c r="I1311" s="10">
        <f t="shared" si="22"/>
        <v>25</v>
      </c>
      <c r="J1311" s="10">
        <v>0</v>
      </c>
      <c r="K1311" s="8" t="s">
        <v>5087</v>
      </c>
      <c r="S1311"/>
    </row>
    <row r="1312" spans="1:19" ht="15" x14ac:dyDescent="0.25">
      <c r="A1312" s="8" t="s">
        <v>6071</v>
      </c>
      <c r="B1312" s="8" t="s">
        <v>6069</v>
      </c>
      <c r="C1312" s="8" t="s">
        <v>6293</v>
      </c>
      <c r="D1312" s="32" t="s">
        <v>6984</v>
      </c>
      <c r="E1312" s="32" t="s">
        <v>6293</v>
      </c>
      <c r="F1312" s="10">
        <v>1</v>
      </c>
      <c r="G1312" s="8" t="s">
        <v>6266</v>
      </c>
      <c r="H1312" s="10">
        <v>25.2</v>
      </c>
      <c r="I1312" s="10">
        <f t="shared" si="22"/>
        <v>25.2</v>
      </c>
      <c r="J1312" s="10">
        <v>0</v>
      </c>
      <c r="K1312" s="8" t="s">
        <v>5087</v>
      </c>
      <c r="S1312"/>
    </row>
    <row r="1313" spans="1:19" ht="15" x14ac:dyDescent="0.25">
      <c r="A1313" s="8" t="s">
        <v>6068</v>
      </c>
      <c r="B1313" s="8" t="s">
        <v>6069</v>
      </c>
      <c r="C1313" s="8" t="s">
        <v>6294</v>
      </c>
      <c r="D1313" s="32" t="s">
        <v>6984</v>
      </c>
      <c r="E1313" s="32" t="s">
        <v>6294</v>
      </c>
      <c r="F1313" s="10">
        <v>1</v>
      </c>
      <c r="G1313" s="8" t="s">
        <v>6266</v>
      </c>
      <c r="H1313" s="10">
        <v>24.8</v>
      </c>
      <c r="I1313" s="10">
        <f t="shared" si="22"/>
        <v>24.8</v>
      </c>
      <c r="J1313" s="10">
        <v>0</v>
      </c>
      <c r="K1313" s="8" t="s">
        <v>5087</v>
      </c>
      <c r="S1313"/>
    </row>
    <row r="1314" spans="1:19" ht="15" x14ac:dyDescent="0.25">
      <c r="A1314" s="8" t="s">
        <v>6071</v>
      </c>
      <c r="B1314" s="8" t="s">
        <v>6069</v>
      </c>
      <c r="C1314" s="8" t="s">
        <v>6295</v>
      </c>
      <c r="D1314" s="32" t="s">
        <v>6984</v>
      </c>
      <c r="E1314" s="32" t="s">
        <v>6295</v>
      </c>
      <c r="F1314" s="10">
        <v>1</v>
      </c>
      <c r="G1314" s="8" t="s">
        <v>6266</v>
      </c>
      <c r="H1314" s="10">
        <v>38.299999999999997</v>
      </c>
      <c r="I1314" s="10">
        <f t="shared" si="22"/>
        <v>38.299999999999997</v>
      </c>
      <c r="J1314" s="10">
        <v>0</v>
      </c>
      <c r="K1314" s="8" t="s">
        <v>5087</v>
      </c>
      <c r="S1314"/>
    </row>
    <row r="1315" spans="1:19" ht="15" x14ac:dyDescent="0.25">
      <c r="A1315" s="8" t="s">
        <v>6068</v>
      </c>
      <c r="B1315" s="8" t="s">
        <v>6069</v>
      </c>
      <c r="C1315" s="8" t="s">
        <v>6296</v>
      </c>
      <c r="D1315" s="32" t="s">
        <v>6984</v>
      </c>
      <c r="E1315" s="32" t="s">
        <v>6296</v>
      </c>
      <c r="F1315" s="10">
        <v>1</v>
      </c>
      <c r="G1315" s="8" t="s">
        <v>6266</v>
      </c>
      <c r="H1315" s="10">
        <v>40</v>
      </c>
      <c r="I1315" s="10">
        <f t="shared" si="22"/>
        <v>40</v>
      </c>
      <c r="J1315" s="10">
        <v>0</v>
      </c>
      <c r="K1315" s="8" t="s">
        <v>5087</v>
      </c>
      <c r="S1315"/>
    </row>
    <row r="1316" spans="1:19" ht="15" x14ac:dyDescent="0.25">
      <c r="A1316" s="8" t="s">
        <v>6068</v>
      </c>
      <c r="B1316" s="8" t="s">
        <v>6069</v>
      </c>
      <c r="C1316" s="8" t="s">
        <v>6297</v>
      </c>
      <c r="D1316" s="32" t="s">
        <v>6984</v>
      </c>
      <c r="E1316" s="32" t="s">
        <v>6297</v>
      </c>
      <c r="F1316" s="10">
        <v>1</v>
      </c>
      <c r="G1316" s="8" t="s">
        <v>6266</v>
      </c>
      <c r="H1316" s="10">
        <v>50.5</v>
      </c>
      <c r="I1316" s="10">
        <f t="shared" si="22"/>
        <v>50.5</v>
      </c>
      <c r="J1316" s="10">
        <v>0</v>
      </c>
      <c r="K1316" s="8" t="s">
        <v>5087</v>
      </c>
      <c r="S1316"/>
    </row>
    <row r="1317" spans="1:19" ht="15" x14ac:dyDescent="0.25">
      <c r="A1317" s="8" t="s">
        <v>6068</v>
      </c>
      <c r="B1317" s="8" t="s">
        <v>6069</v>
      </c>
      <c r="C1317" s="8" t="s">
        <v>6298</v>
      </c>
      <c r="D1317" s="32" t="s">
        <v>6984</v>
      </c>
      <c r="E1317" s="32" t="s">
        <v>6298</v>
      </c>
      <c r="F1317" s="10">
        <v>1</v>
      </c>
      <c r="G1317" s="8" t="s">
        <v>6266</v>
      </c>
      <c r="H1317" s="10">
        <v>37.200000000000003</v>
      </c>
      <c r="I1317" s="10">
        <f t="shared" si="22"/>
        <v>37.200000000000003</v>
      </c>
      <c r="J1317" s="10">
        <v>0</v>
      </c>
      <c r="K1317" s="8" t="s">
        <v>5087</v>
      </c>
      <c r="S1317"/>
    </row>
    <row r="1318" spans="1:19" ht="15" x14ac:dyDescent="0.25">
      <c r="A1318" s="8" t="s">
        <v>6068</v>
      </c>
      <c r="B1318" s="8" t="s">
        <v>6069</v>
      </c>
      <c r="C1318" s="8" t="s">
        <v>6299</v>
      </c>
      <c r="D1318" s="32" t="s">
        <v>6984</v>
      </c>
      <c r="E1318" s="32" t="s">
        <v>6299</v>
      </c>
      <c r="F1318" s="10">
        <v>1</v>
      </c>
      <c r="G1318" s="8" t="s">
        <v>6266</v>
      </c>
      <c r="H1318" s="10">
        <v>37.5</v>
      </c>
      <c r="I1318" s="10">
        <f t="shared" si="22"/>
        <v>37.5</v>
      </c>
      <c r="J1318" s="10">
        <v>0</v>
      </c>
      <c r="K1318" s="8" t="s">
        <v>5087</v>
      </c>
      <c r="S1318"/>
    </row>
    <row r="1319" spans="1:19" ht="15" x14ac:dyDescent="0.25">
      <c r="A1319" s="8" t="s">
        <v>6071</v>
      </c>
      <c r="B1319" s="8" t="s">
        <v>6069</v>
      </c>
      <c r="C1319" s="8" t="s">
        <v>6300</v>
      </c>
      <c r="D1319" s="32" t="s">
        <v>6984</v>
      </c>
      <c r="E1319" s="32" t="s">
        <v>6300</v>
      </c>
      <c r="F1319" s="10">
        <v>1</v>
      </c>
      <c r="G1319" s="8" t="s">
        <v>6266</v>
      </c>
      <c r="H1319" s="10">
        <v>38</v>
      </c>
      <c r="I1319" s="10">
        <f t="shared" si="22"/>
        <v>38</v>
      </c>
      <c r="J1319" s="10">
        <v>0</v>
      </c>
      <c r="K1319" s="8" t="s">
        <v>5087</v>
      </c>
      <c r="S1319"/>
    </row>
    <row r="1320" spans="1:19" ht="15" x14ac:dyDescent="0.25">
      <c r="A1320" s="8" t="s">
        <v>6068</v>
      </c>
      <c r="B1320" s="8" t="s">
        <v>6069</v>
      </c>
      <c r="C1320" s="8" t="s">
        <v>6301</v>
      </c>
      <c r="D1320" s="32" t="s">
        <v>6984</v>
      </c>
      <c r="E1320" s="32" t="s">
        <v>6301</v>
      </c>
      <c r="F1320" s="10">
        <v>1</v>
      </c>
      <c r="G1320" s="8" t="s">
        <v>6266</v>
      </c>
      <c r="H1320" s="10">
        <v>39.299999999999997</v>
      </c>
      <c r="I1320" s="10">
        <f t="shared" si="22"/>
        <v>39.299999999999997</v>
      </c>
      <c r="J1320" s="10">
        <v>0</v>
      </c>
      <c r="K1320" s="8" t="s">
        <v>5087</v>
      </c>
      <c r="S1320"/>
    </row>
    <row r="1321" spans="1:19" ht="15" x14ac:dyDescent="0.25">
      <c r="A1321" s="8" t="s">
        <v>6068</v>
      </c>
      <c r="B1321" s="8" t="s">
        <v>6069</v>
      </c>
      <c r="C1321" s="8" t="s">
        <v>6302</v>
      </c>
      <c r="D1321" s="32" t="s">
        <v>6984</v>
      </c>
      <c r="E1321" s="32" t="s">
        <v>6302</v>
      </c>
      <c r="F1321" s="10">
        <v>1</v>
      </c>
      <c r="G1321" s="8" t="s">
        <v>6266</v>
      </c>
      <c r="H1321" s="10">
        <v>35.1</v>
      </c>
      <c r="I1321" s="10">
        <f t="shared" si="22"/>
        <v>35.1</v>
      </c>
      <c r="J1321" s="10">
        <v>0</v>
      </c>
      <c r="K1321" s="8" t="s">
        <v>5087</v>
      </c>
      <c r="S1321"/>
    </row>
    <row r="1322" spans="1:19" ht="15" x14ac:dyDescent="0.25">
      <c r="A1322" s="8" t="s">
        <v>6068</v>
      </c>
      <c r="B1322" s="8" t="s">
        <v>6069</v>
      </c>
      <c r="C1322" s="8" t="s">
        <v>6303</v>
      </c>
      <c r="D1322" s="32" t="s">
        <v>6984</v>
      </c>
      <c r="E1322" s="32" t="s">
        <v>6303</v>
      </c>
      <c r="F1322" s="10">
        <v>1</v>
      </c>
      <c r="G1322" s="8" t="s">
        <v>6266</v>
      </c>
      <c r="H1322" s="10">
        <v>35.1</v>
      </c>
      <c r="I1322" s="10">
        <f t="shared" si="22"/>
        <v>35.1</v>
      </c>
      <c r="J1322" s="10">
        <v>0</v>
      </c>
      <c r="K1322" s="8" t="s">
        <v>5087</v>
      </c>
      <c r="S1322"/>
    </row>
    <row r="1323" spans="1:19" ht="15" x14ac:dyDescent="0.25">
      <c r="A1323" s="8" t="s">
        <v>6068</v>
      </c>
      <c r="B1323" s="8" t="s">
        <v>6069</v>
      </c>
      <c r="C1323" s="8" t="s">
        <v>6304</v>
      </c>
      <c r="D1323" s="32" t="s">
        <v>6984</v>
      </c>
      <c r="E1323" s="32" t="s">
        <v>6304</v>
      </c>
      <c r="F1323" s="10">
        <v>1</v>
      </c>
      <c r="G1323" s="8" t="s">
        <v>6266</v>
      </c>
      <c r="H1323" s="10">
        <v>36.4</v>
      </c>
      <c r="I1323" s="10">
        <f t="shared" si="22"/>
        <v>36.4</v>
      </c>
      <c r="J1323" s="10">
        <v>0</v>
      </c>
      <c r="K1323" s="8" t="s">
        <v>5087</v>
      </c>
      <c r="S1323"/>
    </row>
    <row r="1324" spans="1:19" ht="15" x14ac:dyDescent="0.25">
      <c r="A1324" s="8" t="s">
        <v>6068</v>
      </c>
      <c r="B1324" s="8" t="s">
        <v>6069</v>
      </c>
      <c r="C1324" s="8" t="s">
        <v>6305</v>
      </c>
      <c r="D1324" s="32" t="s">
        <v>6984</v>
      </c>
      <c r="E1324" s="32" t="s">
        <v>6305</v>
      </c>
      <c r="F1324" s="10">
        <v>1</v>
      </c>
      <c r="G1324" s="8" t="s">
        <v>6266</v>
      </c>
      <c r="H1324" s="10">
        <v>26.2</v>
      </c>
      <c r="I1324" s="10">
        <f t="shared" si="22"/>
        <v>26.2</v>
      </c>
      <c r="J1324" s="10">
        <v>0</v>
      </c>
      <c r="K1324" s="8" t="s">
        <v>5087</v>
      </c>
      <c r="S1324"/>
    </row>
    <row r="1325" spans="1:19" ht="15" x14ac:dyDescent="0.25">
      <c r="A1325" s="8" t="s">
        <v>6071</v>
      </c>
      <c r="B1325" s="8" t="s">
        <v>6069</v>
      </c>
      <c r="C1325" s="8" t="s">
        <v>6306</v>
      </c>
      <c r="D1325" s="32" t="s">
        <v>6984</v>
      </c>
      <c r="E1325" s="32" t="s">
        <v>6306</v>
      </c>
      <c r="F1325" s="10">
        <v>1</v>
      </c>
      <c r="G1325" s="8" t="s">
        <v>6266</v>
      </c>
      <c r="H1325" s="10">
        <v>37.4</v>
      </c>
      <c r="I1325" s="10">
        <f t="shared" si="22"/>
        <v>37.4</v>
      </c>
      <c r="J1325" s="10">
        <v>0</v>
      </c>
      <c r="K1325" s="8" t="s">
        <v>5087</v>
      </c>
      <c r="S1325"/>
    </row>
    <row r="1326" spans="1:19" ht="15" x14ac:dyDescent="0.25">
      <c r="A1326" s="8" t="s">
        <v>6071</v>
      </c>
      <c r="B1326" s="8" t="s">
        <v>6069</v>
      </c>
      <c r="C1326" s="8" t="s">
        <v>6307</v>
      </c>
      <c r="D1326" s="32" t="s">
        <v>6984</v>
      </c>
      <c r="E1326" s="32" t="s">
        <v>6307</v>
      </c>
      <c r="F1326" s="10">
        <v>1</v>
      </c>
      <c r="G1326" s="8" t="s">
        <v>6266</v>
      </c>
      <c r="H1326" s="10">
        <v>37.4</v>
      </c>
      <c r="I1326" s="10">
        <f t="shared" si="22"/>
        <v>37.4</v>
      </c>
      <c r="J1326" s="10">
        <v>0</v>
      </c>
      <c r="K1326" s="8" t="s">
        <v>5087</v>
      </c>
      <c r="S1326"/>
    </row>
    <row r="1327" spans="1:19" ht="15" x14ac:dyDescent="0.25">
      <c r="A1327" s="8" t="s">
        <v>6071</v>
      </c>
      <c r="B1327" s="8" t="s">
        <v>6069</v>
      </c>
      <c r="C1327" s="8" t="s">
        <v>6308</v>
      </c>
      <c r="D1327" s="32" t="s">
        <v>6984</v>
      </c>
      <c r="E1327" s="32" t="s">
        <v>6308</v>
      </c>
      <c r="F1327" s="10">
        <v>1</v>
      </c>
      <c r="G1327" s="8" t="s">
        <v>6266</v>
      </c>
      <c r="H1327" s="10">
        <v>25.2</v>
      </c>
      <c r="I1327" s="10">
        <f t="shared" si="22"/>
        <v>25.2</v>
      </c>
      <c r="J1327" s="10">
        <v>0</v>
      </c>
      <c r="K1327" s="8" t="s">
        <v>5087</v>
      </c>
      <c r="S1327"/>
    </row>
    <row r="1328" spans="1:19" ht="15" x14ac:dyDescent="0.25">
      <c r="A1328" s="8" t="s">
        <v>6071</v>
      </c>
      <c r="B1328" s="8" t="s">
        <v>6069</v>
      </c>
      <c r="C1328" s="8" t="s">
        <v>6309</v>
      </c>
      <c r="D1328" s="32" t="s">
        <v>6984</v>
      </c>
      <c r="E1328" s="32" t="s">
        <v>6309</v>
      </c>
      <c r="F1328" s="10">
        <v>1</v>
      </c>
      <c r="G1328" s="8" t="s">
        <v>6266</v>
      </c>
      <c r="H1328" s="10">
        <v>23.1</v>
      </c>
      <c r="I1328" s="10">
        <f t="shared" si="22"/>
        <v>23.1</v>
      </c>
      <c r="J1328" s="10">
        <v>0</v>
      </c>
      <c r="K1328" s="8" t="s">
        <v>5087</v>
      </c>
      <c r="S1328"/>
    </row>
    <row r="1329" spans="1:19" ht="15" x14ac:dyDescent="0.25">
      <c r="A1329" s="8" t="s">
        <v>6071</v>
      </c>
      <c r="B1329" s="8" t="s">
        <v>6069</v>
      </c>
      <c r="C1329" s="8" t="s">
        <v>6310</v>
      </c>
      <c r="D1329" s="32" t="s">
        <v>6984</v>
      </c>
      <c r="E1329" s="32" t="s">
        <v>6310</v>
      </c>
      <c r="F1329" s="10">
        <v>1</v>
      </c>
      <c r="G1329" s="8" t="s">
        <v>6266</v>
      </c>
      <c r="H1329" s="10">
        <v>25.6</v>
      </c>
      <c r="I1329" s="10">
        <f t="shared" si="22"/>
        <v>25.6</v>
      </c>
      <c r="J1329" s="10">
        <v>0</v>
      </c>
      <c r="K1329" s="8" t="s">
        <v>5087</v>
      </c>
      <c r="S1329"/>
    </row>
    <row r="1330" spans="1:19" ht="15" x14ac:dyDescent="0.25">
      <c r="A1330" s="8" t="s">
        <v>6071</v>
      </c>
      <c r="B1330" s="8" t="s">
        <v>6069</v>
      </c>
      <c r="C1330" s="8" t="s">
        <v>6311</v>
      </c>
      <c r="D1330" s="32" t="s">
        <v>6984</v>
      </c>
      <c r="E1330" s="32" t="s">
        <v>6311</v>
      </c>
      <c r="F1330" s="10">
        <v>1</v>
      </c>
      <c r="G1330" s="8" t="s">
        <v>6266</v>
      </c>
      <c r="H1330" s="10">
        <v>23.4</v>
      </c>
      <c r="I1330" s="10">
        <f t="shared" si="22"/>
        <v>23.4</v>
      </c>
      <c r="J1330" s="10">
        <v>0</v>
      </c>
      <c r="K1330" s="8" t="s">
        <v>5087</v>
      </c>
      <c r="S1330"/>
    </row>
    <row r="1331" spans="1:19" ht="15" x14ac:dyDescent="0.25">
      <c r="A1331" s="8" t="s">
        <v>6071</v>
      </c>
      <c r="B1331" s="8" t="s">
        <v>6069</v>
      </c>
      <c r="C1331" s="8" t="s">
        <v>6312</v>
      </c>
      <c r="D1331" s="32" t="s">
        <v>6984</v>
      </c>
      <c r="E1331" s="32" t="s">
        <v>6312</v>
      </c>
      <c r="F1331" s="10">
        <v>1</v>
      </c>
      <c r="G1331" s="8" t="s">
        <v>6266</v>
      </c>
      <c r="H1331" s="10">
        <v>25.4</v>
      </c>
      <c r="I1331" s="10">
        <f t="shared" si="22"/>
        <v>25.4</v>
      </c>
      <c r="J1331" s="10">
        <v>0</v>
      </c>
      <c r="K1331" s="8" t="s">
        <v>5087</v>
      </c>
      <c r="S1331"/>
    </row>
    <row r="1332" spans="1:19" ht="15" x14ac:dyDescent="0.25">
      <c r="A1332" s="8" t="s">
        <v>6068</v>
      </c>
      <c r="B1332" s="8" t="s">
        <v>6069</v>
      </c>
      <c r="C1332" s="8" t="s">
        <v>6313</v>
      </c>
      <c r="D1332" s="32" t="s">
        <v>6984</v>
      </c>
      <c r="E1332" s="32" t="s">
        <v>6313</v>
      </c>
      <c r="F1332" s="10">
        <v>1</v>
      </c>
      <c r="G1332" s="8" t="s">
        <v>6266</v>
      </c>
      <c r="H1332" s="10">
        <v>23.8</v>
      </c>
      <c r="I1332" s="10">
        <f t="shared" si="22"/>
        <v>23.8</v>
      </c>
      <c r="J1332" s="10">
        <v>0</v>
      </c>
      <c r="K1332" s="8" t="s">
        <v>5087</v>
      </c>
      <c r="S1332"/>
    </row>
    <row r="1333" spans="1:19" ht="15" x14ac:dyDescent="0.25">
      <c r="A1333" s="8" t="s">
        <v>6071</v>
      </c>
      <c r="B1333" s="8" t="s">
        <v>6069</v>
      </c>
      <c r="C1333" s="8" t="s">
        <v>6314</v>
      </c>
      <c r="D1333" s="32" t="s">
        <v>6984</v>
      </c>
      <c r="E1333" s="32" t="s">
        <v>6314</v>
      </c>
      <c r="F1333" s="10">
        <v>1</v>
      </c>
      <c r="G1333" s="8" t="s">
        <v>6266</v>
      </c>
      <c r="H1333" s="10">
        <v>20.6</v>
      </c>
      <c r="I1333" s="10">
        <f t="shared" si="22"/>
        <v>20.6</v>
      </c>
      <c r="J1333" s="10">
        <v>0</v>
      </c>
      <c r="K1333" s="8" t="s">
        <v>5087</v>
      </c>
      <c r="S1333"/>
    </row>
    <row r="1334" spans="1:19" ht="15" x14ac:dyDescent="0.25">
      <c r="A1334" s="8" t="s">
        <v>6068</v>
      </c>
      <c r="B1334" s="8" t="s">
        <v>6069</v>
      </c>
      <c r="C1334" s="8" t="s">
        <v>6315</v>
      </c>
      <c r="D1334" s="32" t="s">
        <v>6984</v>
      </c>
      <c r="E1334" s="32" t="s">
        <v>6315</v>
      </c>
      <c r="F1334" s="10">
        <v>1</v>
      </c>
      <c r="G1334" s="8" t="s">
        <v>6266</v>
      </c>
      <c r="H1334" s="10">
        <v>19.399999999999999</v>
      </c>
      <c r="I1334" s="10">
        <f t="shared" si="22"/>
        <v>19.399999999999999</v>
      </c>
      <c r="J1334" s="10">
        <v>0</v>
      </c>
      <c r="K1334" s="8" t="s">
        <v>5087</v>
      </c>
      <c r="S1334"/>
    </row>
    <row r="1335" spans="1:19" ht="15" x14ac:dyDescent="0.25">
      <c r="A1335" s="8" t="s">
        <v>6068</v>
      </c>
      <c r="B1335" s="8" t="s">
        <v>6069</v>
      </c>
      <c r="C1335" s="8" t="s">
        <v>6316</v>
      </c>
      <c r="D1335" s="32" t="s">
        <v>6984</v>
      </c>
      <c r="E1335" s="32" t="s">
        <v>6316</v>
      </c>
      <c r="F1335" s="10">
        <v>1</v>
      </c>
      <c r="G1335" s="8" t="s">
        <v>6266</v>
      </c>
      <c r="H1335" s="10">
        <v>24.8</v>
      </c>
      <c r="I1335" s="10">
        <f t="shared" si="22"/>
        <v>24.8</v>
      </c>
      <c r="J1335" s="10">
        <v>0</v>
      </c>
      <c r="K1335" s="8" t="s">
        <v>5087</v>
      </c>
      <c r="S1335"/>
    </row>
    <row r="1336" spans="1:19" ht="15" x14ac:dyDescent="0.25">
      <c r="A1336" s="8" t="s">
        <v>6068</v>
      </c>
      <c r="B1336" s="8" t="s">
        <v>6069</v>
      </c>
      <c r="C1336" s="8" t="s">
        <v>6317</v>
      </c>
      <c r="D1336" s="32" t="s">
        <v>6984</v>
      </c>
      <c r="E1336" s="32" t="s">
        <v>6317</v>
      </c>
      <c r="F1336" s="10">
        <v>1</v>
      </c>
      <c r="G1336" s="8" t="s">
        <v>6266</v>
      </c>
      <c r="H1336" s="10">
        <v>20.5</v>
      </c>
      <c r="I1336" s="10">
        <f t="shared" si="22"/>
        <v>20.5</v>
      </c>
      <c r="J1336" s="10">
        <v>0</v>
      </c>
      <c r="K1336" s="8" t="s">
        <v>5087</v>
      </c>
      <c r="S1336"/>
    </row>
    <row r="1337" spans="1:19" ht="15" x14ac:dyDescent="0.25">
      <c r="A1337" s="8" t="s">
        <v>6068</v>
      </c>
      <c r="B1337" s="8" t="s">
        <v>6069</v>
      </c>
      <c r="C1337" s="8" t="s">
        <v>6318</v>
      </c>
      <c r="D1337" s="32" t="s">
        <v>6984</v>
      </c>
      <c r="E1337" s="32" t="s">
        <v>6318</v>
      </c>
      <c r="F1337" s="10">
        <v>1</v>
      </c>
      <c r="G1337" s="8" t="s">
        <v>6266</v>
      </c>
      <c r="H1337" s="10">
        <v>51.8</v>
      </c>
      <c r="I1337" s="10">
        <f t="shared" si="22"/>
        <v>51.8</v>
      </c>
      <c r="J1337" s="10">
        <v>0</v>
      </c>
      <c r="K1337" s="8" t="s">
        <v>5087</v>
      </c>
      <c r="S1337"/>
    </row>
    <row r="1338" spans="1:19" ht="15" x14ac:dyDescent="0.25">
      <c r="A1338" s="8" t="s">
        <v>6068</v>
      </c>
      <c r="B1338" s="8" t="s">
        <v>6069</v>
      </c>
      <c r="C1338" s="8" t="s">
        <v>6319</v>
      </c>
      <c r="D1338" s="32" t="s">
        <v>6984</v>
      </c>
      <c r="E1338" s="32" t="s">
        <v>6319</v>
      </c>
      <c r="F1338" s="10">
        <v>1</v>
      </c>
      <c r="G1338" s="8" t="s">
        <v>6266</v>
      </c>
      <c r="H1338" s="10">
        <v>49</v>
      </c>
      <c r="I1338" s="10">
        <f t="shared" si="22"/>
        <v>49</v>
      </c>
      <c r="J1338" s="10">
        <v>0</v>
      </c>
      <c r="K1338" s="8" t="s">
        <v>5087</v>
      </c>
      <c r="S1338"/>
    </row>
    <row r="1339" spans="1:19" ht="15" x14ac:dyDescent="0.25">
      <c r="A1339" s="8" t="s">
        <v>6071</v>
      </c>
      <c r="B1339" s="8" t="s">
        <v>6069</v>
      </c>
      <c r="C1339" s="8" t="s">
        <v>6320</v>
      </c>
      <c r="D1339" s="32" t="s">
        <v>6984</v>
      </c>
      <c r="E1339" s="32" t="s">
        <v>6320</v>
      </c>
      <c r="F1339" s="10">
        <v>1</v>
      </c>
      <c r="G1339" s="8" t="s">
        <v>6266</v>
      </c>
      <c r="H1339" s="10">
        <v>48</v>
      </c>
      <c r="I1339" s="10">
        <f t="shared" si="22"/>
        <v>48</v>
      </c>
      <c r="J1339" s="10">
        <v>0</v>
      </c>
      <c r="K1339" s="8" t="s">
        <v>5087</v>
      </c>
      <c r="S1339"/>
    </row>
    <row r="1340" spans="1:19" ht="15" x14ac:dyDescent="0.25">
      <c r="A1340" s="8" t="s">
        <v>6068</v>
      </c>
      <c r="B1340" s="8" t="s">
        <v>6069</v>
      </c>
      <c r="C1340" s="8" t="s">
        <v>6321</v>
      </c>
      <c r="D1340" s="32" t="s">
        <v>6984</v>
      </c>
      <c r="E1340" s="32" t="s">
        <v>6321</v>
      </c>
      <c r="F1340" s="10">
        <v>1</v>
      </c>
      <c r="G1340" s="8" t="s">
        <v>6266</v>
      </c>
      <c r="H1340" s="10">
        <v>70.599999999999994</v>
      </c>
      <c r="I1340" s="10">
        <f t="shared" si="22"/>
        <v>70.599999999999994</v>
      </c>
      <c r="J1340" s="10">
        <v>0</v>
      </c>
      <c r="K1340" s="8" t="s">
        <v>5087</v>
      </c>
      <c r="S1340"/>
    </row>
    <row r="1341" spans="1:19" ht="15" x14ac:dyDescent="0.25">
      <c r="A1341" s="8" t="s">
        <v>6071</v>
      </c>
      <c r="B1341" s="8" t="s">
        <v>6069</v>
      </c>
      <c r="C1341" s="8" t="s">
        <v>6322</v>
      </c>
      <c r="D1341" s="32" t="s">
        <v>6984</v>
      </c>
      <c r="E1341" s="32" t="s">
        <v>6322</v>
      </c>
      <c r="F1341" s="10">
        <v>2</v>
      </c>
      <c r="G1341" s="8" t="s">
        <v>6266</v>
      </c>
      <c r="H1341" s="10">
        <v>71.099999999999994</v>
      </c>
      <c r="I1341" s="10">
        <f t="shared" si="22"/>
        <v>142.19999999999999</v>
      </c>
      <c r="J1341" s="10">
        <v>0</v>
      </c>
      <c r="K1341" s="8" t="s">
        <v>5087</v>
      </c>
      <c r="S1341"/>
    </row>
    <row r="1342" spans="1:19" ht="15" x14ac:dyDescent="0.25">
      <c r="A1342" s="8" t="s">
        <v>6071</v>
      </c>
      <c r="B1342" s="8" t="s">
        <v>6069</v>
      </c>
      <c r="C1342" s="8" t="s">
        <v>6323</v>
      </c>
      <c r="D1342" s="32" t="s">
        <v>6984</v>
      </c>
      <c r="E1342" s="32" t="s">
        <v>6323</v>
      </c>
      <c r="F1342" s="10">
        <v>1</v>
      </c>
      <c r="G1342" s="8" t="s">
        <v>6266</v>
      </c>
      <c r="H1342" s="10">
        <v>50.9</v>
      </c>
      <c r="I1342" s="10">
        <f t="shared" si="22"/>
        <v>50.9</v>
      </c>
      <c r="J1342" s="10">
        <v>0</v>
      </c>
      <c r="K1342" s="8" t="s">
        <v>5087</v>
      </c>
      <c r="S1342"/>
    </row>
    <row r="1343" spans="1:19" ht="15" x14ac:dyDescent="0.25">
      <c r="A1343" s="8" t="s">
        <v>6071</v>
      </c>
      <c r="B1343" s="8" t="s">
        <v>6069</v>
      </c>
      <c r="C1343" s="8" t="s">
        <v>6324</v>
      </c>
      <c r="D1343" s="32" t="s">
        <v>6984</v>
      </c>
      <c r="E1343" s="32" t="s">
        <v>6324</v>
      </c>
      <c r="F1343" s="10">
        <v>1</v>
      </c>
      <c r="G1343" s="8" t="s">
        <v>6266</v>
      </c>
      <c r="H1343" s="10">
        <v>40.299999999999997</v>
      </c>
      <c r="I1343" s="10">
        <f t="shared" si="22"/>
        <v>40.299999999999997</v>
      </c>
      <c r="J1343" s="10">
        <v>0</v>
      </c>
      <c r="K1343" s="8" t="s">
        <v>5087</v>
      </c>
      <c r="S1343"/>
    </row>
    <row r="1344" spans="1:19" ht="15" x14ac:dyDescent="0.25">
      <c r="A1344" s="8" t="s">
        <v>6068</v>
      </c>
      <c r="B1344" s="8" t="s">
        <v>6069</v>
      </c>
      <c r="C1344" s="8" t="s">
        <v>6325</v>
      </c>
      <c r="D1344" s="32" t="s">
        <v>6984</v>
      </c>
      <c r="E1344" s="32" t="s">
        <v>6325</v>
      </c>
      <c r="F1344" s="10">
        <v>1</v>
      </c>
      <c r="G1344" s="8" t="s">
        <v>6266</v>
      </c>
      <c r="H1344" s="10">
        <v>84</v>
      </c>
      <c r="I1344" s="10">
        <f t="shared" si="22"/>
        <v>84</v>
      </c>
      <c r="J1344" s="10">
        <v>0</v>
      </c>
      <c r="K1344" s="8" t="s">
        <v>5087</v>
      </c>
      <c r="S1344"/>
    </row>
    <row r="1345" spans="1:19" ht="15" x14ac:dyDescent="0.25">
      <c r="A1345" s="8" t="s">
        <v>6068</v>
      </c>
      <c r="B1345" s="8" t="s">
        <v>6069</v>
      </c>
      <c r="C1345" s="8" t="s">
        <v>6326</v>
      </c>
      <c r="D1345" s="32" t="s">
        <v>6984</v>
      </c>
      <c r="E1345" s="32" t="s">
        <v>6326</v>
      </c>
      <c r="F1345" s="10">
        <v>1</v>
      </c>
      <c r="G1345" s="8" t="s">
        <v>6266</v>
      </c>
      <c r="H1345" s="10">
        <v>48.4</v>
      </c>
      <c r="I1345" s="10">
        <f t="shared" si="22"/>
        <v>48.4</v>
      </c>
      <c r="J1345" s="10">
        <v>0</v>
      </c>
      <c r="K1345" s="8" t="s">
        <v>5087</v>
      </c>
      <c r="S1345"/>
    </row>
    <row r="1346" spans="1:19" ht="15" x14ac:dyDescent="0.25">
      <c r="A1346" s="8" t="s">
        <v>6068</v>
      </c>
      <c r="B1346" s="8" t="s">
        <v>6069</v>
      </c>
      <c r="C1346" s="8" t="s">
        <v>6327</v>
      </c>
      <c r="D1346" s="32" t="s">
        <v>6984</v>
      </c>
      <c r="E1346" s="32" t="s">
        <v>6327</v>
      </c>
      <c r="F1346" s="10">
        <v>1</v>
      </c>
      <c r="G1346" s="8" t="s">
        <v>6266</v>
      </c>
      <c r="H1346" s="10">
        <v>37.200000000000003</v>
      </c>
      <c r="I1346" s="10">
        <f t="shared" si="22"/>
        <v>37.200000000000003</v>
      </c>
      <c r="J1346" s="10">
        <v>0</v>
      </c>
      <c r="K1346" s="8" t="s">
        <v>5087</v>
      </c>
      <c r="S1346"/>
    </row>
    <row r="1347" spans="1:19" ht="15" x14ac:dyDescent="0.25">
      <c r="A1347" s="8" t="s">
        <v>6068</v>
      </c>
      <c r="B1347" s="8" t="s">
        <v>6069</v>
      </c>
      <c r="C1347" s="8" t="s">
        <v>6328</v>
      </c>
      <c r="D1347" s="32" t="s">
        <v>6984</v>
      </c>
      <c r="E1347" s="32" t="s">
        <v>6328</v>
      </c>
      <c r="F1347" s="10">
        <v>1</v>
      </c>
      <c r="G1347" s="8" t="s">
        <v>6266</v>
      </c>
      <c r="H1347" s="10">
        <v>32.799999999999997</v>
      </c>
      <c r="I1347" s="10">
        <f t="shared" si="22"/>
        <v>32.799999999999997</v>
      </c>
      <c r="J1347" s="10">
        <v>0</v>
      </c>
      <c r="K1347" s="8" t="s">
        <v>5087</v>
      </c>
      <c r="S1347"/>
    </row>
    <row r="1348" spans="1:19" ht="15" x14ac:dyDescent="0.25">
      <c r="A1348" s="8" t="s">
        <v>6068</v>
      </c>
      <c r="B1348" s="8" t="s">
        <v>6069</v>
      </c>
      <c r="C1348" s="8" t="s">
        <v>6329</v>
      </c>
      <c r="D1348" s="32" t="s">
        <v>6984</v>
      </c>
      <c r="E1348" s="32" t="s">
        <v>6329</v>
      </c>
      <c r="F1348" s="10">
        <v>1</v>
      </c>
      <c r="G1348" s="8" t="s">
        <v>6266</v>
      </c>
      <c r="H1348" s="10">
        <v>32.799999999999997</v>
      </c>
      <c r="I1348" s="10">
        <f t="shared" si="22"/>
        <v>32.799999999999997</v>
      </c>
      <c r="J1348" s="10">
        <v>0</v>
      </c>
      <c r="K1348" s="8" t="s">
        <v>5087</v>
      </c>
      <c r="S1348"/>
    </row>
    <row r="1349" spans="1:19" ht="15" x14ac:dyDescent="0.25">
      <c r="A1349" s="8" t="s">
        <v>6068</v>
      </c>
      <c r="B1349" s="8" t="s">
        <v>6069</v>
      </c>
      <c r="C1349" s="8" t="s">
        <v>6330</v>
      </c>
      <c r="D1349" s="32" t="s">
        <v>6984</v>
      </c>
      <c r="E1349" s="32" t="s">
        <v>6330</v>
      </c>
      <c r="F1349" s="10">
        <v>3</v>
      </c>
      <c r="G1349" s="8" t="s">
        <v>6266</v>
      </c>
      <c r="H1349" s="10">
        <v>29.3</v>
      </c>
      <c r="I1349" s="10">
        <f t="shared" ref="I1349:I1412" si="23">F1349*H1349</f>
        <v>87.9</v>
      </c>
      <c r="J1349" s="10">
        <v>0</v>
      </c>
      <c r="K1349" s="8" t="s">
        <v>5087</v>
      </c>
      <c r="S1349"/>
    </row>
    <row r="1350" spans="1:19" ht="15" x14ac:dyDescent="0.25">
      <c r="A1350" s="8" t="s">
        <v>6068</v>
      </c>
      <c r="B1350" s="8" t="s">
        <v>6069</v>
      </c>
      <c r="C1350" s="8" t="s">
        <v>6331</v>
      </c>
      <c r="D1350" s="32" t="s">
        <v>6984</v>
      </c>
      <c r="E1350" s="32" t="s">
        <v>6331</v>
      </c>
      <c r="F1350" s="10">
        <v>3</v>
      </c>
      <c r="G1350" s="8" t="s">
        <v>6266</v>
      </c>
      <c r="H1350" s="10">
        <v>29.3</v>
      </c>
      <c r="I1350" s="10">
        <f t="shared" si="23"/>
        <v>87.9</v>
      </c>
      <c r="J1350" s="10">
        <v>0</v>
      </c>
      <c r="K1350" s="8" t="s">
        <v>5087</v>
      </c>
      <c r="S1350"/>
    </row>
    <row r="1351" spans="1:19" ht="15" x14ac:dyDescent="0.25">
      <c r="A1351" s="8" t="s">
        <v>6068</v>
      </c>
      <c r="B1351" s="8" t="s">
        <v>6069</v>
      </c>
      <c r="C1351" s="8" t="s">
        <v>6332</v>
      </c>
      <c r="D1351" s="32" t="s">
        <v>6984</v>
      </c>
      <c r="E1351" s="32" t="s">
        <v>6332</v>
      </c>
      <c r="F1351" s="10">
        <v>1</v>
      </c>
      <c r="G1351" s="8" t="s">
        <v>6266</v>
      </c>
      <c r="H1351" s="10">
        <v>33.6</v>
      </c>
      <c r="I1351" s="10">
        <f t="shared" si="23"/>
        <v>33.6</v>
      </c>
      <c r="J1351" s="10">
        <v>0</v>
      </c>
      <c r="K1351" s="8" t="s">
        <v>5087</v>
      </c>
      <c r="S1351"/>
    </row>
    <row r="1352" spans="1:19" ht="15" x14ac:dyDescent="0.25">
      <c r="A1352" s="8" t="s">
        <v>6068</v>
      </c>
      <c r="B1352" s="8" t="s">
        <v>6069</v>
      </c>
      <c r="C1352" s="8" t="s">
        <v>6333</v>
      </c>
      <c r="D1352" s="32" t="s">
        <v>6984</v>
      </c>
      <c r="E1352" s="32" t="s">
        <v>6333</v>
      </c>
      <c r="F1352" s="10">
        <v>2</v>
      </c>
      <c r="G1352" s="8" t="s">
        <v>6266</v>
      </c>
      <c r="H1352" s="10">
        <v>33.65</v>
      </c>
      <c r="I1352" s="10">
        <f t="shared" si="23"/>
        <v>67.3</v>
      </c>
      <c r="J1352" s="10">
        <v>0</v>
      </c>
      <c r="K1352" s="8" t="s">
        <v>5087</v>
      </c>
      <c r="S1352"/>
    </row>
    <row r="1353" spans="1:19" ht="15" x14ac:dyDescent="0.25">
      <c r="A1353" s="8" t="s">
        <v>6068</v>
      </c>
      <c r="B1353" s="8" t="s">
        <v>6069</v>
      </c>
      <c r="C1353" s="8" t="s">
        <v>6334</v>
      </c>
      <c r="D1353" s="32" t="s">
        <v>6984</v>
      </c>
      <c r="E1353" s="32" t="s">
        <v>6334</v>
      </c>
      <c r="F1353" s="10">
        <v>2</v>
      </c>
      <c r="G1353" s="8" t="s">
        <v>6266</v>
      </c>
      <c r="H1353" s="10">
        <v>36.85</v>
      </c>
      <c r="I1353" s="10">
        <f t="shared" si="23"/>
        <v>73.7</v>
      </c>
      <c r="J1353" s="10">
        <v>0</v>
      </c>
      <c r="K1353" s="8" t="s">
        <v>5087</v>
      </c>
      <c r="S1353"/>
    </row>
    <row r="1354" spans="1:19" ht="15" x14ac:dyDescent="0.25">
      <c r="A1354" s="8" t="s">
        <v>6068</v>
      </c>
      <c r="B1354" s="8" t="s">
        <v>6069</v>
      </c>
      <c r="C1354" s="8" t="s">
        <v>6335</v>
      </c>
      <c r="D1354" s="32" t="s">
        <v>6984</v>
      </c>
      <c r="E1354" s="32" t="s">
        <v>6335</v>
      </c>
      <c r="F1354" s="10">
        <v>1</v>
      </c>
      <c r="G1354" s="8" t="s">
        <v>6266</v>
      </c>
      <c r="H1354" s="10">
        <v>84</v>
      </c>
      <c r="I1354" s="10">
        <f t="shared" si="23"/>
        <v>84</v>
      </c>
      <c r="J1354" s="10">
        <v>0</v>
      </c>
      <c r="K1354" s="8" t="s">
        <v>5087</v>
      </c>
      <c r="S1354"/>
    </row>
    <row r="1355" spans="1:19" ht="15" x14ac:dyDescent="0.25">
      <c r="A1355" s="8" t="s">
        <v>6068</v>
      </c>
      <c r="B1355" s="8" t="s">
        <v>6069</v>
      </c>
      <c r="C1355" s="8" t="s">
        <v>6336</v>
      </c>
      <c r="D1355" s="32" t="s">
        <v>6984</v>
      </c>
      <c r="E1355" s="32" t="s">
        <v>6336</v>
      </c>
      <c r="F1355" s="10">
        <v>1</v>
      </c>
      <c r="G1355" s="8" t="s">
        <v>6266</v>
      </c>
      <c r="H1355" s="10">
        <v>14.9</v>
      </c>
      <c r="I1355" s="10">
        <f t="shared" si="23"/>
        <v>14.9</v>
      </c>
      <c r="J1355" s="10">
        <v>0</v>
      </c>
      <c r="K1355" s="8" t="s">
        <v>5087</v>
      </c>
      <c r="S1355"/>
    </row>
    <row r="1356" spans="1:19" ht="15" x14ac:dyDescent="0.25">
      <c r="A1356" s="8" t="s">
        <v>6071</v>
      </c>
      <c r="B1356" s="8" t="s">
        <v>6069</v>
      </c>
      <c r="C1356" s="8" t="s">
        <v>6337</v>
      </c>
      <c r="D1356" s="32" t="s">
        <v>6984</v>
      </c>
      <c r="E1356" s="32" t="s">
        <v>6337</v>
      </c>
      <c r="F1356" s="10">
        <v>12</v>
      </c>
      <c r="G1356" s="8" t="s">
        <v>6266</v>
      </c>
      <c r="H1356" s="10">
        <v>25.208333333333332</v>
      </c>
      <c r="I1356" s="10">
        <f t="shared" si="23"/>
        <v>302.5</v>
      </c>
      <c r="J1356" s="10">
        <v>0</v>
      </c>
      <c r="K1356" s="8" t="s">
        <v>5087</v>
      </c>
      <c r="S1356"/>
    </row>
    <row r="1357" spans="1:19" ht="15" x14ac:dyDescent="0.25">
      <c r="A1357" s="8" t="s">
        <v>6071</v>
      </c>
      <c r="B1357" s="8" t="s">
        <v>6069</v>
      </c>
      <c r="C1357" s="8" t="s">
        <v>6338</v>
      </c>
      <c r="D1357" s="32" t="s">
        <v>6984</v>
      </c>
      <c r="E1357" s="32" t="s">
        <v>6338</v>
      </c>
      <c r="F1357" s="10">
        <v>1</v>
      </c>
      <c r="G1357" s="8" t="s">
        <v>6266</v>
      </c>
      <c r="H1357" s="10">
        <v>28</v>
      </c>
      <c r="I1357" s="10">
        <f t="shared" si="23"/>
        <v>28</v>
      </c>
      <c r="J1357" s="10">
        <v>0</v>
      </c>
      <c r="K1357" s="8" t="s">
        <v>5087</v>
      </c>
      <c r="S1357"/>
    </row>
    <row r="1358" spans="1:19" ht="15" x14ac:dyDescent="0.25">
      <c r="A1358" s="8" t="s">
        <v>6071</v>
      </c>
      <c r="B1358" s="8" t="s">
        <v>6069</v>
      </c>
      <c r="C1358" s="8" t="s">
        <v>6339</v>
      </c>
      <c r="D1358" s="32" t="s">
        <v>6984</v>
      </c>
      <c r="E1358" s="32" t="s">
        <v>6339</v>
      </c>
      <c r="F1358" s="10">
        <v>1</v>
      </c>
      <c r="G1358" s="8" t="s">
        <v>6266</v>
      </c>
      <c r="H1358" s="10">
        <v>25.6</v>
      </c>
      <c r="I1358" s="10">
        <f t="shared" si="23"/>
        <v>25.6</v>
      </c>
      <c r="J1358" s="10">
        <v>0</v>
      </c>
      <c r="K1358" s="8" t="s">
        <v>5087</v>
      </c>
      <c r="S1358"/>
    </row>
    <row r="1359" spans="1:19" ht="15" x14ac:dyDescent="0.25">
      <c r="A1359" s="8" t="s">
        <v>6071</v>
      </c>
      <c r="B1359" s="8" t="s">
        <v>6069</v>
      </c>
      <c r="C1359" s="8" t="s">
        <v>6340</v>
      </c>
      <c r="D1359" s="32" t="s">
        <v>6984</v>
      </c>
      <c r="E1359" s="32" t="s">
        <v>6340</v>
      </c>
      <c r="F1359" s="10">
        <v>1</v>
      </c>
      <c r="G1359" s="8" t="s">
        <v>6266</v>
      </c>
      <c r="H1359" s="10">
        <v>23.1</v>
      </c>
      <c r="I1359" s="10">
        <f t="shared" si="23"/>
        <v>23.1</v>
      </c>
      <c r="J1359" s="10">
        <v>0</v>
      </c>
      <c r="K1359" s="8" t="s">
        <v>5087</v>
      </c>
      <c r="S1359"/>
    </row>
    <row r="1360" spans="1:19" ht="15" x14ac:dyDescent="0.25">
      <c r="A1360" s="8" t="s">
        <v>6071</v>
      </c>
      <c r="B1360" s="8" t="s">
        <v>6069</v>
      </c>
      <c r="C1360" s="8" t="s">
        <v>6341</v>
      </c>
      <c r="D1360" s="32" t="s">
        <v>6984</v>
      </c>
      <c r="E1360" s="32" t="s">
        <v>6341</v>
      </c>
      <c r="F1360" s="10">
        <v>2</v>
      </c>
      <c r="G1360" s="8" t="s">
        <v>6266</v>
      </c>
      <c r="H1360" s="10">
        <v>24.7</v>
      </c>
      <c r="I1360" s="10">
        <f t="shared" si="23"/>
        <v>49.4</v>
      </c>
      <c r="J1360" s="10">
        <v>0</v>
      </c>
      <c r="K1360" s="8" t="s">
        <v>5087</v>
      </c>
      <c r="S1360"/>
    </row>
    <row r="1361" spans="1:19" ht="15" x14ac:dyDescent="0.25">
      <c r="A1361" s="8" t="s">
        <v>6071</v>
      </c>
      <c r="B1361" s="8" t="s">
        <v>6069</v>
      </c>
      <c r="C1361" s="8" t="s">
        <v>6342</v>
      </c>
      <c r="D1361" s="32" t="s">
        <v>6984</v>
      </c>
      <c r="E1361" s="32" t="s">
        <v>6342</v>
      </c>
      <c r="F1361" s="10">
        <v>9</v>
      </c>
      <c r="G1361" s="8" t="s">
        <v>6266</v>
      </c>
      <c r="H1361" s="10">
        <v>24.966666666666665</v>
      </c>
      <c r="I1361" s="10">
        <f t="shared" si="23"/>
        <v>224.7</v>
      </c>
      <c r="J1361" s="10">
        <v>0</v>
      </c>
      <c r="K1361" s="8" t="s">
        <v>5087</v>
      </c>
      <c r="S1361"/>
    </row>
    <row r="1362" spans="1:19" ht="15" x14ac:dyDescent="0.25">
      <c r="A1362" s="8" t="s">
        <v>6071</v>
      </c>
      <c r="B1362" s="8" t="s">
        <v>6069</v>
      </c>
      <c r="C1362" s="8" t="s">
        <v>6343</v>
      </c>
      <c r="D1362" s="32" t="s">
        <v>6984</v>
      </c>
      <c r="E1362" s="32" t="s">
        <v>6343</v>
      </c>
      <c r="F1362" s="10">
        <v>9</v>
      </c>
      <c r="G1362" s="8" t="s">
        <v>6266</v>
      </c>
      <c r="H1362" s="10">
        <v>23.433333333333334</v>
      </c>
      <c r="I1362" s="10">
        <f t="shared" si="23"/>
        <v>210.9</v>
      </c>
      <c r="J1362" s="10">
        <v>0</v>
      </c>
      <c r="K1362" s="8" t="s">
        <v>5087</v>
      </c>
      <c r="S1362"/>
    </row>
    <row r="1363" spans="1:19" ht="15" x14ac:dyDescent="0.25">
      <c r="A1363" s="8" t="s">
        <v>6071</v>
      </c>
      <c r="B1363" s="8" t="s">
        <v>6069</v>
      </c>
      <c r="C1363" s="8" t="s">
        <v>6344</v>
      </c>
      <c r="D1363" s="32" t="s">
        <v>6984</v>
      </c>
      <c r="E1363" s="32" t="s">
        <v>6344</v>
      </c>
      <c r="F1363" s="10">
        <v>1</v>
      </c>
      <c r="G1363" s="8" t="s">
        <v>6266</v>
      </c>
      <c r="H1363" s="10">
        <v>23.6</v>
      </c>
      <c r="I1363" s="10">
        <f t="shared" si="23"/>
        <v>23.6</v>
      </c>
      <c r="J1363" s="10">
        <v>0</v>
      </c>
      <c r="K1363" s="8" t="s">
        <v>5087</v>
      </c>
      <c r="S1363"/>
    </row>
    <row r="1364" spans="1:19" ht="15" x14ac:dyDescent="0.25">
      <c r="A1364" s="8" t="s">
        <v>6071</v>
      </c>
      <c r="B1364" s="8" t="s">
        <v>6069</v>
      </c>
      <c r="C1364" s="8" t="s">
        <v>6345</v>
      </c>
      <c r="D1364" s="32" t="s">
        <v>6984</v>
      </c>
      <c r="E1364" s="32" t="s">
        <v>6345</v>
      </c>
      <c r="F1364" s="10">
        <v>28</v>
      </c>
      <c r="G1364" s="8" t="s">
        <v>6266</v>
      </c>
      <c r="H1364" s="10">
        <v>25.432142857142857</v>
      </c>
      <c r="I1364" s="10">
        <f t="shared" si="23"/>
        <v>712.1</v>
      </c>
      <c r="J1364" s="10">
        <v>0</v>
      </c>
      <c r="K1364" s="8" t="s">
        <v>5087</v>
      </c>
      <c r="S1364"/>
    </row>
    <row r="1365" spans="1:19" ht="15" x14ac:dyDescent="0.25">
      <c r="A1365" s="8" t="s">
        <v>6068</v>
      </c>
      <c r="B1365" s="8" t="s">
        <v>6069</v>
      </c>
      <c r="C1365" s="8" t="s">
        <v>6346</v>
      </c>
      <c r="D1365" s="32" t="s">
        <v>6984</v>
      </c>
      <c r="E1365" s="32" t="s">
        <v>6346</v>
      </c>
      <c r="F1365" s="10">
        <v>1</v>
      </c>
      <c r="G1365" s="8" t="s">
        <v>6266</v>
      </c>
      <c r="H1365" s="10">
        <v>24.1</v>
      </c>
      <c r="I1365" s="10">
        <f t="shared" si="23"/>
        <v>24.1</v>
      </c>
      <c r="J1365" s="10">
        <v>0</v>
      </c>
      <c r="K1365" s="8" t="s">
        <v>5087</v>
      </c>
      <c r="S1365"/>
    </row>
    <row r="1366" spans="1:19" ht="15" x14ac:dyDescent="0.25">
      <c r="A1366" s="8" t="s">
        <v>6068</v>
      </c>
      <c r="B1366" s="8" t="s">
        <v>6069</v>
      </c>
      <c r="C1366" s="8" t="s">
        <v>6347</v>
      </c>
      <c r="D1366" s="32" t="s">
        <v>6984</v>
      </c>
      <c r="E1366" s="32" t="s">
        <v>6347</v>
      </c>
      <c r="F1366" s="10">
        <v>13</v>
      </c>
      <c r="G1366" s="8" t="s">
        <v>6266</v>
      </c>
      <c r="H1366" s="10">
        <v>23.823076923076922</v>
      </c>
      <c r="I1366" s="10">
        <f t="shared" si="23"/>
        <v>309.7</v>
      </c>
      <c r="J1366" s="10">
        <v>0</v>
      </c>
      <c r="K1366" s="8" t="s">
        <v>5087</v>
      </c>
      <c r="S1366"/>
    </row>
    <row r="1367" spans="1:19" ht="15" x14ac:dyDescent="0.25">
      <c r="A1367" s="8" t="s">
        <v>6068</v>
      </c>
      <c r="B1367" s="8" t="s">
        <v>6069</v>
      </c>
      <c r="C1367" s="8" t="s">
        <v>6348</v>
      </c>
      <c r="D1367" s="32" t="s">
        <v>6984</v>
      </c>
      <c r="E1367" s="32" t="s">
        <v>6348</v>
      </c>
      <c r="F1367" s="10">
        <v>1</v>
      </c>
      <c r="G1367" s="8" t="s">
        <v>6266</v>
      </c>
      <c r="H1367" s="10">
        <v>20.3</v>
      </c>
      <c r="I1367" s="10">
        <f t="shared" si="23"/>
        <v>20.3</v>
      </c>
      <c r="J1367" s="10">
        <v>0</v>
      </c>
      <c r="K1367" s="8" t="s">
        <v>5087</v>
      </c>
      <c r="S1367"/>
    </row>
    <row r="1368" spans="1:19" ht="15" x14ac:dyDescent="0.25">
      <c r="A1368" s="8" t="s">
        <v>6068</v>
      </c>
      <c r="B1368" s="8" t="s">
        <v>6069</v>
      </c>
      <c r="C1368" s="8" t="s">
        <v>6349</v>
      </c>
      <c r="D1368" s="32" t="s">
        <v>6984</v>
      </c>
      <c r="E1368" s="32" t="s">
        <v>6349</v>
      </c>
      <c r="F1368" s="10">
        <v>1</v>
      </c>
      <c r="G1368" s="8" t="s">
        <v>6266</v>
      </c>
      <c r="H1368" s="10">
        <v>18.3</v>
      </c>
      <c r="I1368" s="10">
        <f t="shared" si="23"/>
        <v>18.3</v>
      </c>
      <c r="J1368" s="10">
        <v>0</v>
      </c>
      <c r="K1368" s="8" t="s">
        <v>5087</v>
      </c>
      <c r="S1368"/>
    </row>
    <row r="1369" spans="1:19" ht="15" x14ac:dyDescent="0.25">
      <c r="A1369" s="8" t="s">
        <v>6071</v>
      </c>
      <c r="B1369" s="8" t="s">
        <v>6069</v>
      </c>
      <c r="C1369" s="8" t="s">
        <v>6350</v>
      </c>
      <c r="D1369" s="32" t="s">
        <v>6984</v>
      </c>
      <c r="E1369" s="32" t="s">
        <v>6350</v>
      </c>
      <c r="F1369" s="10">
        <v>4</v>
      </c>
      <c r="G1369" s="8" t="s">
        <v>6266</v>
      </c>
      <c r="H1369" s="10">
        <v>25.65</v>
      </c>
      <c r="I1369" s="10">
        <f t="shared" si="23"/>
        <v>102.6</v>
      </c>
      <c r="J1369" s="10">
        <v>0</v>
      </c>
      <c r="K1369" s="8" t="s">
        <v>5087</v>
      </c>
      <c r="S1369"/>
    </row>
    <row r="1370" spans="1:19" ht="15" x14ac:dyDescent="0.25">
      <c r="A1370" s="8" t="s">
        <v>6071</v>
      </c>
      <c r="B1370" s="8" t="s">
        <v>6069</v>
      </c>
      <c r="C1370" s="8" t="s">
        <v>6351</v>
      </c>
      <c r="D1370" s="32" t="s">
        <v>6984</v>
      </c>
      <c r="E1370" s="32" t="s">
        <v>6351</v>
      </c>
      <c r="F1370" s="10">
        <v>2</v>
      </c>
      <c r="G1370" s="8" t="s">
        <v>6266</v>
      </c>
      <c r="H1370" s="10">
        <v>34.549999999999997</v>
      </c>
      <c r="I1370" s="10">
        <f t="shared" si="23"/>
        <v>69.099999999999994</v>
      </c>
      <c r="J1370" s="10">
        <v>0</v>
      </c>
      <c r="K1370" s="8" t="s">
        <v>5087</v>
      </c>
      <c r="S1370"/>
    </row>
    <row r="1371" spans="1:19" ht="15" x14ac:dyDescent="0.25">
      <c r="A1371" s="8" t="s">
        <v>6071</v>
      </c>
      <c r="B1371" s="8" t="s">
        <v>6069</v>
      </c>
      <c r="C1371" s="8" t="s">
        <v>6352</v>
      </c>
      <c r="D1371" s="32" t="s">
        <v>6984</v>
      </c>
      <c r="E1371" s="32" t="s">
        <v>6352</v>
      </c>
      <c r="F1371" s="10">
        <v>7</v>
      </c>
      <c r="G1371" s="8" t="s">
        <v>6266</v>
      </c>
      <c r="H1371" s="10">
        <v>31.028571428571428</v>
      </c>
      <c r="I1371" s="10">
        <f t="shared" si="23"/>
        <v>217.2</v>
      </c>
      <c r="J1371" s="10">
        <v>0</v>
      </c>
      <c r="K1371" s="8" t="s">
        <v>5087</v>
      </c>
      <c r="S1371"/>
    </row>
    <row r="1372" spans="1:19" ht="15" x14ac:dyDescent="0.25">
      <c r="A1372" s="8" t="s">
        <v>6071</v>
      </c>
      <c r="B1372" s="8" t="s">
        <v>6069</v>
      </c>
      <c r="C1372" s="8" t="s">
        <v>6353</v>
      </c>
      <c r="D1372" s="32" t="s">
        <v>6984</v>
      </c>
      <c r="E1372" s="32" t="s">
        <v>6353</v>
      </c>
      <c r="F1372" s="10">
        <v>2</v>
      </c>
      <c r="G1372" s="8" t="s">
        <v>6266</v>
      </c>
      <c r="H1372" s="10">
        <v>39</v>
      </c>
      <c r="I1372" s="10">
        <f t="shared" si="23"/>
        <v>78</v>
      </c>
      <c r="J1372" s="10">
        <v>0</v>
      </c>
      <c r="K1372" s="8" t="s">
        <v>5087</v>
      </c>
      <c r="S1372"/>
    </row>
    <row r="1373" spans="1:19" ht="15" x14ac:dyDescent="0.25">
      <c r="A1373" s="8" t="s">
        <v>6071</v>
      </c>
      <c r="B1373" s="8" t="s">
        <v>6069</v>
      </c>
      <c r="C1373" s="8" t="s">
        <v>6354</v>
      </c>
      <c r="D1373" s="32" t="s">
        <v>6984</v>
      </c>
      <c r="E1373" s="32" t="s">
        <v>6354</v>
      </c>
      <c r="F1373" s="10">
        <v>2</v>
      </c>
      <c r="G1373" s="8" t="s">
        <v>6266</v>
      </c>
      <c r="H1373" s="10">
        <v>37.4</v>
      </c>
      <c r="I1373" s="10">
        <f t="shared" si="23"/>
        <v>74.8</v>
      </c>
      <c r="J1373" s="10">
        <v>0</v>
      </c>
      <c r="K1373" s="8" t="s">
        <v>5087</v>
      </c>
      <c r="S1373"/>
    </row>
    <row r="1374" spans="1:19" ht="15" x14ac:dyDescent="0.25">
      <c r="A1374" s="8" t="s">
        <v>6071</v>
      </c>
      <c r="B1374" s="8" t="s">
        <v>6069</v>
      </c>
      <c r="C1374" s="8" t="s">
        <v>6355</v>
      </c>
      <c r="D1374" s="32" t="s">
        <v>6984</v>
      </c>
      <c r="E1374" s="32" t="s">
        <v>6355</v>
      </c>
      <c r="F1374" s="10">
        <v>2</v>
      </c>
      <c r="G1374" s="8" t="s">
        <v>6266</v>
      </c>
      <c r="H1374" s="10">
        <v>33.200000000000003</v>
      </c>
      <c r="I1374" s="10">
        <f t="shared" si="23"/>
        <v>66.400000000000006</v>
      </c>
      <c r="J1374" s="10">
        <v>0</v>
      </c>
      <c r="K1374" s="8" t="s">
        <v>5087</v>
      </c>
      <c r="S1374"/>
    </row>
    <row r="1375" spans="1:19" ht="15" x14ac:dyDescent="0.25">
      <c r="A1375" s="8" t="s">
        <v>6068</v>
      </c>
      <c r="B1375" s="8" t="s">
        <v>6069</v>
      </c>
      <c r="C1375" s="8" t="s">
        <v>6356</v>
      </c>
      <c r="D1375" s="32" t="s">
        <v>6984</v>
      </c>
      <c r="E1375" s="32" t="s">
        <v>6356</v>
      </c>
      <c r="F1375" s="10">
        <v>5</v>
      </c>
      <c r="G1375" s="8" t="s">
        <v>6266</v>
      </c>
      <c r="H1375" s="10">
        <v>24.119999999999997</v>
      </c>
      <c r="I1375" s="10">
        <f t="shared" si="23"/>
        <v>120.6</v>
      </c>
      <c r="J1375" s="10">
        <v>0</v>
      </c>
      <c r="K1375" s="8" t="s">
        <v>5087</v>
      </c>
      <c r="S1375"/>
    </row>
    <row r="1376" spans="1:19" ht="15" x14ac:dyDescent="0.25">
      <c r="A1376" s="8" t="s">
        <v>6068</v>
      </c>
      <c r="B1376" s="8" t="s">
        <v>6069</v>
      </c>
      <c r="C1376" s="8" t="s">
        <v>6357</v>
      </c>
      <c r="D1376" s="32" t="s">
        <v>6984</v>
      </c>
      <c r="E1376" s="32" t="s">
        <v>6357</v>
      </c>
      <c r="F1376" s="10">
        <v>2</v>
      </c>
      <c r="G1376" s="8" t="s">
        <v>6266</v>
      </c>
      <c r="H1376" s="10">
        <v>24.25</v>
      </c>
      <c r="I1376" s="10">
        <f t="shared" si="23"/>
        <v>48.5</v>
      </c>
      <c r="J1376" s="10">
        <v>0</v>
      </c>
      <c r="K1376" s="8" t="s">
        <v>5087</v>
      </c>
      <c r="S1376"/>
    </row>
    <row r="1377" spans="1:19" ht="15" x14ac:dyDescent="0.25">
      <c r="A1377" s="8" t="s">
        <v>6071</v>
      </c>
      <c r="B1377" s="8" t="s">
        <v>6069</v>
      </c>
      <c r="C1377" s="8" t="s">
        <v>6358</v>
      </c>
      <c r="D1377" s="32" t="s">
        <v>6984</v>
      </c>
      <c r="E1377" s="32" t="s">
        <v>6358</v>
      </c>
      <c r="F1377" s="10">
        <v>1</v>
      </c>
      <c r="G1377" s="8" t="s">
        <v>4934</v>
      </c>
      <c r="H1377" s="10">
        <v>1784</v>
      </c>
      <c r="I1377" s="10">
        <f t="shared" si="23"/>
        <v>1784</v>
      </c>
      <c r="J1377" s="10">
        <v>24.112703389</v>
      </c>
      <c r="K1377" s="8" t="s">
        <v>6359</v>
      </c>
      <c r="S1377"/>
    </row>
    <row r="1378" spans="1:19" ht="15" x14ac:dyDescent="0.25">
      <c r="A1378" s="8" t="s">
        <v>6071</v>
      </c>
      <c r="B1378" s="8" t="s">
        <v>6069</v>
      </c>
      <c r="C1378" s="8" t="s">
        <v>6360</v>
      </c>
      <c r="D1378" s="32" t="s">
        <v>6984</v>
      </c>
      <c r="E1378" s="32" t="s">
        <v>6360</v>
      </c>
      <c r="F1378" s="10">
        <v>1</v>
      </c>
      <c r="G1378" s="8" t="s">
        <v>4934</v>
      </c>
      <c r="H1378" s="10">
        <v>5179.2</v>
      </c>
      <c r="I1378" s="10">
        <f t="shared" si="23"/>
        <v>5179.2</v>
      </c>
      <c r="J1378" s="10">
        <v>64.203720144299993</v>
      </c>
      <c r="K1378" s="8" t="s">
        <v>4974</v>
      </c>
      <c r="S1378"/>
    </row>
    <row r="1379" spans="1:19" ht="15" x14ac:dyDescent="0.25">
      <c r="A1379" s="8" t="s">
        <v>6071</v>
      </c>
      <c r="B1379" s="8" t="s">
        <v>6069</v>
      </c>
      <c r="C1379" s="8" t="s">
        <v>6361</v>
      </c>
      <c r="D1379" s="32" t="s">
        <v>6984</v>
      </c>
      <c r="E1379" s="32" t="s">
        <v>6361</v>
      </c>
      <c r="F1379" s="10">
        <v>1</v>
      </c>
      <c r="G1379" s="8" t="s">
        <v>4934</v>
      </c>
      <c r="H1379" s="10">
        <v>5108.2</v>
      </c>
      <c r="I1379" s="10">
        <f t="shared" si="23"/>
        <v>5108.2</v>
      </c>
      <c r="J1379" s="10">
        <v>64.071023239780004</v>
      </c>
      <c r="K1379" s="8" t="s">
        <v>4974</v>
      </c>
      <c r="S1379"/>
    </row>
    <row r="1380" spans="1:19" ht="15" x14ac:dyDescent="0.25">
      <c r="A1380" s="8" t="s">
        <v>6068</v>
      </c>
      <c r="B1380" s="8" t="s">
        <v>6069</v>
      </c>
      <c r="C1380" s="8" t="s">
        <v>6362</v>
      </c>
      <c r="D1380" s="32" t="s">
        <v>6984</v>
      </c>
      <c r="E1380" s="32" t="s">
        <v>6362</v>
      </c>
      <c r="F1380" s="10">
        <v>1</v>
      </c>
      <c r="G1380" s="8" t="s">
        <v>4934</v>
      </c>
      <c r="H1380" s="10">
        <v>5221.2</v>
      </c>
      <c r="I1380" s="10">
        <f t="shared" si="23"/>
        <v>5221.2</v>
      </c>
      <c r="J1380" s="10">
        <v>65.342478777279993</v>
      </c>
      <c r="K1380" s="8" t="s">
        <v>4974</v>
      </c>
      <c r="S1380"/>
    </row>
    <row r="1381" spans="1:19" ht="15" x14ac:dyDescent="0.25">
      <c r="A1381" s="8" t="s">
        <v>6068</v>
      </c>
      <c r="B1381" s="8" t="s">
        <v>6069</v>
      </c>
      <c r="C1381" s="8" t="s">
        <v>6363</v>
      </c>
      <c r="D1381" s="32" t="s">
        <v>6984</v>
      </c>
      <c r="E1381" s="32" t="s">
        <v>6363</v>
      </c>
      <c r="F1381" s="10">
        <v>1</v>
      </c>
      <c r="G1381" s="8" t="s">
        <v>4934</v>
      </c>
      <c r="H1381" s="10">
        <v>604.70000000000005</v>
      </c>
      <c r="I1381" s="10">
        <f t="shared" si="23"/>
        <v>604.70000000000005</v>
      </c>
      <c r="J1381" s="10">
        <v>9.1609590515600008</v>
      </c>
      <c r="K1381" s="8" t="s">
        <v>6359</v>
      </c>
      <c r="S1381"/>
    </row>
    <row r="1382" spans="1:19" ht="15" x14ac:dyDescent="0.25">
      <c r="A1382" s="8" t="s">
        <v>6068</v>
      </c>
      <c r="B1382" s="8" t="s">
        <v>6069</v>
      </c>
      <c r="C1382" s="8" t="s">
        <v>6364</v>
      </c>
      <c r="D1382" s="32" t="s">
        <v>6984</v>
      </c>
      <c r="E1382" s="32" t="s">
        <v>6364</v>
      </c>
      <c r="F1382" s="10">
        <v>1</v>
      </c>
      <c r="G1382" s="8" t="s">
        <v>4934</v>
      </c>
      <c r="H1382" s="10">
        <v>5228.7</v>
      </c>
      <c r="I1382" s="10">
        <f t="shared" si="23"/>
        <v>5228.7</v>
      </c>
      <c r="J1382" s="10">
        <v>65.53103837978</v>
      </c>
      <c r="K1382" s="8" t="s">
        <v>4974</v>
      </c>
      <c r="S1382"/>
    </row>
    <row r="1383" spans="1:19" ht="15" x14ac:dyDescent="0.25">
      <c r="A1383" s="8" t="s">
        <v>6068</v>
      </c>
      <c r="B1383" s="8" t="s">
        <v>6069</v>
      </c>
      <c r="C1383" s="8" t="s">
        <v>6365</v>
      </c>
      <c r="D1383" s="32" t="s">
        <v>6984</v>
      </c>
      <c r="E1383" s="32" t="s">
        <v>6365</v>
      </c>
      <c r="F1383" s="10">
        <v>1</v>
      </c>
      <c r="G1383" s="8" t="s">
        <v>4934</v>
      </c>
      <c r="H1383" s="10">
        <v>605.20000000000005</v>
      </c>
      <c r="I1383" s="10">
        <f t="shared" si="23"/>
        <v>605.20000000000005</v>
      </c>
      <c r="J1383" s="10">
        <v>9.1172068386599996</v>
      </c>
      <c r="K1383" s="8" t="s">
        <v>6359</v>
      </c>
      <c r="S1383"/>
    </row>
    <row r="1384" spans="1:19" ht="15" x14ac:dyDescent="0.25">
      <c r="A1384" s="8" t="s">
        <v>6071</v>
      </c>
      <c r="B1384" s="8" t="s">
        <v>6069</v>
      </c>
      <c r="C1384" s="8" t="s">
        <v>6366</v>
      </c>
      <c r="D1384" s="32" t="s">
        <v>6984</v>
      </c>
      <c r="E1384" s="32" t="s">
        <v>6366</v>
      </c>
      <c r="F1384" s="10">
        <v>1</v>
      </c>
      <c r="G1384" s="8" t="s">
        <v>4934</v>
      </c>
      <c r="H1384" s="10">
        <v>5220.7</v>
      </c>
      <c r="I1384" s="10">
        <f t="shared" si="23"/>
        <v>5220.7</v>
      </c>
      <c r="J1384" s="10">
        <v>65.327967565120005</v>
      </c>
      <c r="K1384" s="8" t="s">
        <v>4974</v>
      </c>
      <c r="S1384"/>
    </row>
    <row r="1385" spans="1:19" ht="15" x14ac:dyDescent="0.25">
      <c r="A1385" s="8" t="s">
        <v>6068</v>
      </c>
      <c r="B1385" s="8" t="s">
        <v>6069</v>
      </c>
      <c r="C1385" s="8" t="s">
        <v>6367</v>
      </c>
      <c r="D1385" s="32" t="s">
        <v>6984</v>
      </c>
      <c r="E1385" s="32" t="s">
        <v>6367</v>
      </c>
      <c r="F1385" s="10">
        <v>1</v>
      </c>
      <c r="G1385" s="8" t="s">
        <v>4934</v>
      </c>
      <c r="H1385" s="10">
        <v>599.79999999999995</v>
      </c>
      <c r="I1385" s="10">
        <f t="shared" si="23"/>
        <v>599.79999999999995</v>
      </c>
      <c r="J1385" s="10">
        <v>9.0034894102899994</v>
      </c>
      <c r="K1385" s="8" t="s">
        <v>6359</v>
      </c>
      <c r="S1385"/>
    </row>
    <row r="1386" spans="1:19" ht="15" x14ac:dyDescent="0.25">
      <c r="A1386" s="8" t="s">
        <v>6071</v>
      </c>
      <c r="B1386" s="8" t="s">
        <v>6069</v>
      </c>
      <c r="C1386" s="8" t="s">
        <v>6368</v>
      </c>
      <c r="D1386" s="32" t="s">
        <v>6984</v>
      </c>
      <c r="E1386" s="32" t="s">
        <v>6368</v>
      </c>
      <c r="F1386" s="10">
        <v>3</v>
      </c>
      <c r="G1386" s="8" t="s">
        <v>4934</v>
      </c>
      <c r="H1386" s="10">
        <v>600.26666666666665</v>
      </c>
      <c r="I1386" s="10">
        <f t="shared" si="23"/>
        <v>1800.8</v>
      </c>
      <c r="J1386" s="10">
        <v>27.041317096259998</v>
      </c>
      <c r="K1386" s="8" t="s">
        <v>6359</v>
      </c>
      <c r="S1386"/>
    </row>
    <row r="1387" spans="1:19" ht="15" x14ac:dyDescent="0.25">
      <c r="A1387" s="8" t="s">
        <v>6071</v>
      </c>
      <c r="B1387" s="8" t="s">
        <v>6069</v>
      </c>
      <c r="C1387" s="8" t="s">
        <v>6369</v>
      </c>
      <c r="D1387" s="32" t="s">
        <v>6984</v>
      </c>
      <c r="E1387" s="32" t="s">
        <v>6369</v>
      </c>
      <c r="F1387" s="10">
        <v>1</v>
      </c>
      <c r="G1387" s="8" t="s">
        <v>4934</v>
      </c>
      <c r="H1387" s="10">
        <v>606.79999999999995</v>
      </c>
      <c r="I1387" s="10">
        <f t="shared" si="23"/>
        <v>606.79999999999995</v>
      </c>
      <c r="J1387" s="10">
        <v>9.1495095964199997</v>
      </c>
      <c r="K1387" s="8" t="s">
        <v>6359</v>
      </c>
      <c r="S1387"/>
    </row>
    <row r="1388" spans="1:19" ht="15" x14ac:dyDescent="0.25">
      <c r="A1388" s="8" t="s">
        <v>6071</v>
      </c>
      <c r="B1388" s="8" t="s">
        <v>6069</v>
      </c>
      <c r="C1388" s="8" t="s">
        <v>6370</v>
      </c>
      <c r="D1388" s="32" t="s">
        <v>6984</v>
      </c>
      <c r="E1388" s="32" t="s">
        <v>6370</v>
      </c>
      <c r="F1388" s="10">
        <v>1</v>
      </c>
      <c r="G1388" s="8" t="s">
        <v>4934</v>
      </c>
      <c r="H1388" s="10">
        <v>601.29999999999995</v>
      </c>
      <c r="I1388" s="10">
        <f t="shared" si="23"/>
        <v>601.29999999999995</v>
      </c>
      <c r="J1388" s="10">
        <v>9.0502087271999994</v>
      </c>
      <c r="K1388" s="8" t="s">
        <v>6359</v>
      </c>
      <c r="S1388"/>
    </row>
    <row r="1389" spans="1:19" ht="15" x14ac:dyDescent="0.25">
      <c r="A1389" s="8" t="s">
        <v>6068</v>
      </c>
      <c r="B1389" s="8" t="s">
        <v>6069</v>
      </c>
      <c r="C1389" s="8" t="s">
        <v>6371</v>
      </c>
      <c r="D1389" s="32" t="s">
        <v>6984</v>
      </c>
      <c r="E1389" s="32" t="s">
        <v>6371</v>
      </c>
      <c r="F1389" s="10">
        <v>1</v>
      </c>
      <c r="G1389" s="8" t="s">
        <v>4934</v>
      </c>
      <c r="H1389" s="10">
        <v>5190.8999999999996</v>
      </c>
      <c r="I1389" s="10">
        <f t="shared" si="23"/>
        <v>5190.8999999999996</v>
      </c>
      <c r="J1389" s="10">
        <v>64.519601321799996</v>
      </c>
      <c r="K1389" s="8" t="s">
        <v>4974</v>
      </c>
      <c r="S1389"/>
    </row>
    <row r="1390" spans="1:19" ht="15" x14ac:dyDescent="0.25">
      <c r="A1390" s="8" t="s">
        <v>6071</v>
      </c>
      <c r="B1390" s="8" t="s">
        <v>6069</v>
      </c>
      <c r="C1390" s="8" t="s">
        <v>6372</v>
      </c>
      <c r="D1390" s="32" t="s">
        <v>6984</v>
      </c>
      <c r="E1390" s="32" t="s">
        <v>6372</v>
      </c>
      <c r="F1390" s="10">
        <v>1</v>
      </c>
      <c r="G1390" s="8" t="s">
        <v>4934</v>
      </c>
      <c r="H1390" s="10">
        <v>5111.7</v>
      </c>
      <c r="I1390" s="10">
        <f t="shared" si="23"/>
        <v>5111.7</v>
      </c>
      <c r="J1390" s="10">
        <v>64.029645797300006</v>
      </c>
      <c r="K1390" s="8" t="s">
        <v>4974</v>
      </c>
      <c r="S1390"/>
    </row>
    <row r="1391" spans="1:19" ht="15" x14ac:dyDescent="0.25">
      <c r="A1391" s="8" t="s">
        <v>6071</v>
      </c>
      <c r="B1391" s="8" t="s">
        <v>6069</v>
      </c>
      <c r="C1391" s="8" t="s">
        <v>6373</v>
      </c>
      <c r="D1391" s="32" t="s">
        <v>6984</v>
      </c>
      <c r="E1391" s="32" t="s">
        <v>6373</v>
      </c>
      <c r="F1391" s="10">
        <v>1</v>
      </c>
      <c r="G1391" s="8" t="s">
        <v>4934</v>
      </c>
      <c r="H1391" s="10">
        <v>2219.1999999999998</v>
      </c>
      <c r="I1391" s="10">
        <f t="shared" si="23"/>
        <v>2219.1999999999998</v>
      </c>
      <c r="J1391" s="10">
        <v>32.04171304162</v>
      </c>
      <c r="K1391" s="8" t="s">
        <v>6359</v>
      </c>
      <c r="S1391"/>
    </row>
    <row r="1392" spans="1:19" ht="15" x14ac:dyDescent="0.25">
      <c r="A1392" s="8" t="s">
        <v>6068</v>
      </c>
      <c r="B1392" s="8" t="s">
        <v>6069</v>
      </c>
      <c r="C1392" s="8" t="s">
        <v>6374</v>
      </c>
      <c r="D1392" s="32" t="s">
        <v>6984</v>
      </c>
      <c r="E1392" s="32" t="s">
        <v>6374</v>
      </c>
      <c r="F1392" s="10">
        <v>1</v>
      </c>
      <c r="G1392" s="8" t="s">
        <v>4934</v>
      </c>
      <c r="H1392" s="10">
        <v>3526.2</v>
      </c>
      <c r="I1392" s="10">
        <f t="shared" si="23"/>
        <v>3526.2</v>
      </c>
      <c r="J1392" s="10">
        <v>55.330038153579999</v>
      </c>
      <c r="K1392" s="8" t="s">
        <v>6191</v>
      </c>
      <c r="S1392"/>
    </row>
    <row r="1393" spans="1:19" ht="15" x14ac:dyDescent="0.25">
      <c r="A1393" s="8" t="s">
        <v>6071</v>
      </c>
      <c r="B1393" s="8" t="s">
        <v>6069</v>
      </c>
      <c r="C1393" s="8" t="s">
        <v>6375</v>
      </c>
      <c r="D1393" s="32" t="s">
        <v>6984</v>
      </c>
      <c r="E1393" s="32" t="s">
        <v>6375</v>
      </c>
      <c r="F1393" s="10">
        <v>8</v>
      </c>
      <c r="G1393" s="8" t="s">
        <v>4934</v>
      </c>
      <c r="H1393" s="10">
        <v>263.97500000000002</v>
      </c>
      <c r="I1393" s="10">
        <f t="shared" si="23"/>
        <v>2111.8000000000002</v>
      </c>
      <c r="J1393" s="10">
        <v>29.136691200000001</v>
      </c>
      <c r="K1393" s="8" t="s">
        <v>6376</v>
      </c>
      <c r="S1393"/>
    </row>
    <row r="1394" spans="1:19" ht="15" x14ac:dyDescent="0.25">
      <c r="A1394" s="8" t="s">
        <v>6071</v>
      </c>
      <c r="B1394" s="8" t="s">
        <v>6069</v>
      </c>
      <c r="C1394" s="8" t="s">
        <v>6377</v>
      </c>
      <c r="D1394" s="32" t="s">
        <v>6984</v>
      </c>
      <c r="E1394" s="32" t="s">
        <v>6377</v>
      </c>
      <c r="F1394" s="10">
        <v>1</v>
      </c>
      <c r="G1394" s="8" t="s">
        <v>4934</v>
      </c>
      <c r="H1394" s="10">
        <v>268.10000000000002</v>
      </c>
      <c r="I1394" s="10">
        <f t="shared" si="23"/>
        <v>268.10000000000002</v>
      </c>
      <c r="J1394" s="10">
        <v>6.8726197190000002</v>
      </c>
      <c r="K1394" s="8" t="s">
        <v>4949</v>
      </c>
      <c r="S1394"/>
    </row>
    <row r="1395" spans="1:19" ht="15" x14ac:dyDescent="0.25">
      <c r="A1395" s="8" t="s">
        <v>6068</v>
      </c>
      <c r="B1395" s="8" t="s">
        <v>6069</v>
      </c>
      <c r="C1395" s="8" t="s">
        <v>6378</v>
      </c>
      <c r="D1395" s="32" t="s">
        <v>6984</v>
      </c>
      <c r="E1395" s="32" t="s">
        <v>6378</v>
      </c>
      <c r="F1395" s="10">
        <v>1</v>
      </c>
      <c r="G1395" s="8" t="s">
        <v>4934</v>
      </c>
      <c r="H1395" s="10">
        <v>271</v>
      </c>
      <c r="I1395" s="10">
        <f t="shared" si="23"/>
        <v>271</v>
      </c>
      <c r="J1395" s="10">
        <v>6.9660920649999998</v>
      </c>
      <c r="K1395" s="8" t="s">
        <v>4949</v>
      </c>
      <c r="S1395"/>
    </row>
    <row r="1396" spans="1:19" ht="15" x14ac:dyDescent="0.25">
      <c r="A1396" s="8" t="s">
        <v>6071</v>
      </c>
      <c r="B1396" s="8" t="s">
        <v>6069</v>
      </c>
      <c r="C1396" s="8" t="s">
        <v>6379</v>
      </c>
      <c r="D1396" s="32" t="s">
        <v>6984</v>
      </c>
      <c r="E1396" s="32" t="s">
        <v>6379</v>
      </c>
      <c r="F1396" s="10">
        <v>2</v>
      </c>
      <c r="G1396" s="8" t="s">
        <v>4934</v>
      </c>
      <c r="H1396" s="10">
        <v>443.85</v>
      </c>
      <c r="I1396" s="10">
        <f t="shared" si="23"/>
        <v>887.7</v>
      </c>
      <c r="J1396" s="10">
        <v>22.785725438</v>
      </c>
      <c r="K1396" s="8" t="s">
        <v>4949</v>
      </c>
      <c r="S1396"/>
    </row>
    <row r="1397" spans="1:19" ht="15" x14ac:dyDescent="0.25">
      <c r="A1397" s="8" t="s">
        <v>6068</v>
      </c>
      <c r="B1397" s="8" t="s">
        <v>6069</v>
      </c>
      <c r="C1397" s="8" t="s">
        <v>6380</v>
      </c>
      <c r="D1397" s="32" t="s">
        <v>6984</v>
      </c>
      <c r="E1397" s="32" t="s">
        <v>6380</v>
      </c>
      <c r="F1397" s="10">
        <v>1</v>
      </c>
      <c r="G1397" s="8" t="s">
        <v>5973</v>
      </c>
      <c r="H1397" s="10">
        <v>4.2666666666666666</v>
      </c>
      <c r="I1397" s="10">
        <f t="shared" si="23"/>
        <v>4.2666666666666666</v>
      </c>
      <c r="J1397" s="10">
        <v>0.38306100000000004</v>
      </c>
      <c r="K1397" s="8" t="s">
        <v>5963</v>
      </c>
      <c r="S1397"/>
    </row>
    <row r="1398" spans="1:19" ht="15" x14ac:dyDescent="0.25">
      <c r="A1398" s="8" t="s">
        <v>6068</v>
      </c>
      <c r="B1398" s="8" t="s">
        <v>6069</v>
      </c>
      <c r="C1398" s="8" t="s">
        <v>6381</v>
      </c>
      <c r="D1398" s="32" t="s">
        <v>6984</v>
      </c>
      <c r="E1398" s="32" t="s">
        <v>6381</v>
      </c>
      <c r="F1398" s="10">
        <v>1</v>
      </c>
      <c r="G1398" s="8" t="s">
        <v>5973</v>
      </c>
      <c r="H1398" s="10">
        <v>143.4</v>
      </c>
      <c r="I1398" s="10">
        <f t="shared" si="23"/>
        <v>143.4</v>
      </c>
      <c r="J1398" s="10">
        <v>12.865270000000001</v>
      </c>
      <c r="K1398" s="8" t="s">
        <v>5963</v>
      </c>
      <c r="S1398"/>
    </row>
    <row r="1399" spans="1:19" ht="15" x14ac:dyDescent="0.25">
      <c r="A1399" s="8" t="s">
        <v>6068</v>
      </c>
      <c r="B1399" s="8" t="s">
        <v>6069</v>
      </c>
      <c r="C1399" s="8" t="s">
        <v>6382</v>
      </c>
      <c r="D1399" s="32" t="s">
        <v>6984</v>
      </c>
      <c r="E1399" s="32" t="s">
        <v>6382</v>
      </c>
      <c r="F1399" s="10">
        <v>5</v>
      </c>
      <c r="G1399" s="8" t="s">
        <v>5973</v>
      </c>
      <c r="H1399" s="10">
        <v>129.16</v>
      </c>
      <c r="I1399" s="10">
        <f t="shared" si="23"/>
        <v>645.79999999999995</v>
      </c>
      <c r="J1399" s="10">
        <v>51.916725</v>
      </c>
      <c r="K1399" s="8" t="s">
        <v>5966</v>
      </c>
      <c r="S1399"/>
    </row>
    <row r="1400" spans="1:19" ht="15" x14ac:dyDescent="0.25">
      <c r="A1400" s="8" t="s">
        <v>6071</v>
      </c>
      <c r="B1400" s="8" t="s">
        <v>6069</v>
      </c>
      <c r="C1400" s="8" t="s">
        <v>6383</v>
      </c>
      <c r="D1400" s="32" t="s">
        <v>6984</v>
      </c>
      <c r="E1400" s="32" t="s">
        <v>6383</v>
      </c>
      <c r="F1400" s="10">
        <v>5</v>
      </c>
      <c r="G1400" s="8" t="s">
        <v>5973</v>
      </c>
      <c r="H1400" s="10">
        <v>103.78</v>
      </c>
      <c r="I1400" s="10">
        <f t="shared" si="23"/>
        <v>518.9</v>
      </c>
      <c r="J1400" s="10">
        <v>46.541375000000002</v>
      </c>
      <c r="K1400" s="8" t="s">
        <v>5963</v>
      </c>
      <c r="S1400"/>
    </row>
    <row r="1401" spans="1:19" ht="15" x14ac:dyDescent="0.25">
      <c r="A1401" s="8" t="s">
        <v>6071</v>
      </c>
      <c r="B1401" s="8" t="s">
        <v>6069</v>
      </c>
      <c r="C1401" s="8" t="s">
        <v>6384</v>
      </c>
      <c r="D1401" s="32" t="s">
        <v>6984</v>
      </c>
      <c r="E1401" s="32" t="s">
        <v>6384</v>
      </c>
      <c r="F1401" s="10">
        <v>1</v>
      </c>
      <c r="G1401" s="8" t="s">
        <v>5973</v>
      </c>
      <c r="H1401" s="10">
        <v>143.9</v>
      </c>
      <c r="I1401" s="10">
        <f t="shared" si="23"/>
        <v>143.9</v>
      </c>
      <c r="J1401" s="10">
        <v>12.902825</v>
      </c>
      <c r="K1401" s="8" t="s">
        <v>5963</v>
      </c>
      <c r="S1401"/>
    </row>
    <row r="1402" spans="1:19" ht="15" x14ac:dyDescent="0.25">
      <c r="A1402" s="8" t="s">
        <v>6071</v>
      </c>
      <c r="B1402" s="8" t="s">
        <v>6069</v>
      </c>
      <c r="C1402" s="8" t="s">
        <v>6385</v>
      </c>
      <c r="D1402" s="32" t="s">
        <v>6984</v>
      </c>
      <c r="E1402" s="32" t="s">
        <v>6385</v>
      </c>
      <c r="F1402" s="10">
        <v>6</v>
      </c>
      <c r="G1402" s="8" t="s">
        <v>5973</v>
      </c>
      <c r="H1402" s="10">
        <v>143.43333333333334</v>
      </c>
      <c r="I1402" s="10">
        <f t="shared" si="23"/>
        <v>860.6</v>
      </c>
      <c r="J1402" s="10">
        <v>77.19162</v>
      </c>
      <c r="K1402" s="8" t="s">
        <v>5963</v>
      </c>
      <c r="S1402"/>
    </row>
    <row r="1403" spans="1:19" ht="15" x14ac:dyDescent="0.25">
      <c r="A1403" s="8" t="s">
        <v>6068</v>
      </c>
      <c r="B1403" s="8" t="s">
        <v>6069</v>
      </c>
      <c r="C1403" s="8" t="s">
        <v>6386</v>
      </c>
      <c r="D1403" s="32" t="s">
        <v>6984</v>
      </c>
      <c r="E1403" s="32" t="s">
        <v>6386</v>
      </c>
      <c r="F1403" s="10">
        <v>1</v>
      </c>
      <c r="G1403" s="8" t="s">
        <v>5973</v>
      </c>
      <c r="H1403" s="10">
        <v>110.8</v>
      </c>
      <c r="I1403" s="10">
        <f t="shared" si="23"/>
        <v>110.8</v>
      </c>
      <c r="J1403" s="10">
        <v>3.7414200000000002</v>
      </c>
      <c r="K1403" s="8" t="s">
        <v>5974</v>
      </c>
      <c r="S1403"/>
    </row>
    <row r="1404" spans="1:19" ht="15" x14ac:dyDescent="0.25">
      <c r="A1404" s="8" t="s">
        <v>6071</v>
      </c>
      <c r="B1404" s="8" t="s">
        <v>6069</v>
      </c>
      <c r="C1404" s="8" t="s">
        <v>6387</v>
      </c>
      <c r="D1404" s="32" t="s">
        <v>6984</v>
      </c>
      <c r="E1404" s="32" t="s">
        <v>6387</v>
      </c>
      <c r="F1404" s="10">
        <v>1</v>
      </c>
      <c r="G1404" s="8" t="s">
        <v>5973</v>
      </c>
      <c r="H1404" s="10">
        <v>110.8</v>
      </c>
      <c r="I1404" s="10">
        <f t="shared" si="23"/>
        <v>110.8</v>
      </c>
      <c r="J1404" s="10">
        <v>3.7405056000000001</v>
      </c>
      <c r="K1404" s="8" t="s">
        <v>5974</v>
      </c>
      <c r="S1404"/>
    </row>
    <row r="1405" spans="1:19" ht="15" x14ac:dyDescent="0.25">
      <c r="A1405" s="8" t="s">
        <v>6071</v>
      </c>
      <c r="B1405" s="8" t="s">
        <v>6069</v>
      </c>
      <c r="C1405" s="8" t="s">
        <v>6388</v>
      </c>
      <c r="D1405" s="32" t="s">
        <v>6984</v>
      </c>
      <c r="E1405" s="32" t="s">
        <v>6388</v>
      </c>
      <c r="F1405" s="10">
        <v>4</v>
      </c>
      <c r="G1405" s="8" t="s">
        <v>5973</v>
      </c>
      <c r="H1405" s="10">
        <v>95.6</v>
      </c>
      <c r="I1405" s="10">
        <f t="shared" si="23"/>
        <v>382.4</v>
      </c>
      <c r="J1405" s="10">
        <v>32.700000000000003</v>
      </c>
      <c r="K1405" s="8" t="s">
        <v>5963</v>
      </c>
      <c r="S1405"/>
    </row>
    <row r="1406" spans="1:19" ht="15" x14ac:dyDescent="0.25">
      <c r="A1406" s="8" t="s">
        <v>6071</v>
      </c>
      <c r="B1406" s="8" t="s">
        <v>6069</v>
      </c>
      <c r="C1406" s="8" t="s">
        <v>6389</v>
      </c>
      <c r="D1406" s="32" t="s">
        <v>6984</v>
      </c>
      <c r="E1406" s="32" t="s">
        <v>6389</v>
      </c>
      <c r="F1406" s="10">
        <v>1</v>
      </c>
      <c r="G1406" s="8" t="s">
        <v>5973</v>
      </c>
      <c r="H1406" s="10">
        <v>103.8</v>
      </c>
      <c r="I1406" s="10">
        <f t="shared" si="23"/>
        <v>103.8</v>
      </c>
      <c r="J1406" s="10">
        <v>9.3082750000000001</v>
      </c>
      <c r="K1406" s="8" t="s">
        <v>5963</v>
      </c>
      <c r="S1406"/>
    </row>
    <row r="1407" spans="1:19" ht="15" x14ac:dyDescent="0.25">
      <c r="A1407" s="8" t="s">
        <v>6068</v>
      </c>
      <c r="B1407" s="8" t="s">
        <v>6069</v>
      </c>
      <c r="C1407" s="8" t="s">
        <v>6390</v>
      </c>
      <c r="D1407" s="32" t="s">
        <v>6984</v>
      </c>
      <c r="E1407" s="32" t="s">
        <v>6390</v>
      </c>
      <c r="F1407" s="10">
        <v>1</v>
      </c>
      <c r="G1407" s="8" t="s">
        <v>5973</v>
      </c>
      <c r="H1407" s="10">
        <v>129.19999999999999</v>
      </c>
      <c r="I1407" s="10">
        <f t="shared" si="23"/>
        <v>129.19999999999999</v>
      </c>
      <c r="J1407" s="10">
        <v>10.383345</v>
      </c>
      <c r="K1407" s="8" t="s">
        <v>5966</v>
      </c>
      <c r="S1407"/>
    </row>
    <row r="1408" spans="1:19" ht="15" x14ac:dyDescent="0.25">
      <c r="A1408" s="8" t="s">
        <v>6071</v>
      </c>
      <c r="B1408" s="8" t="s">
        <v>6069</v>
      </c>
      <c r="C1408" s="8" t="s">
        <v>6391</v>
      </c>
      <c r="D1408" s="32" t="s">
        <v>6984</v>
      </c>
      <c r="E1408" s="32" t="s">
        <v>6391</v>
      </c>
      <c r="F1408" s="10">
        <v>20</v>
      </c>
      <c r="G1408" s="8" t="s">
        <v>5973</v>
      </c>
      <c r="H1408" s="10">
        <v>95.59</v>
      </c>
      <c r="I1408" s="10">
        <f t="shared" si="23"/>
        <v>1911.8000000000002</v>
      </c>
      <c r="J1408" s="10">
        <v>164.3</v>
      </c>
      <c r="K1408" s="8" t="s">
        <v>5963</v>
      </c>
      <c r="S1408"/>
    </row>
    <row r="1409" spans="1:19" ht="15" x14ac:dyDescent="0.25">
      <c r="A1409" s="8" t="s">
        <v>6068</v>
      </c>
      <c r="B1409" s="8" t="s">
        <v>6069</v>
      </c>
      <c r="C1409" s="8" t="s">
        <v>6392</v>
      </c>
      <c r="D1409" s="32" t="s">
        <v>6984</v>
      </c>
      <c r="E1409" s="32" t="s">
        <v>6392</v>
      </c>
      <c r="F1409" s="10">
        <v>1</v>
      </c>
      <c r="G1409" s="8" t="s">
        <v>5973</v>
      </c>
      <c r="H1409" s="10">
        <v>119.8</v>
      </c>
      <c r="I1409" s="10">
        <f t="shared" si="23"/>
        <v>119.8</v>
      </c>
      <c r="J1409" s="10">
        <v>9.6282899999999998</v>
      </c>
      <c r="K1409" s="8" t="s">
        <v>5966</v>
      </c>
      <c r="S1409"/>
    </row>
    <row r="1410" spans="1:19" ht="15" x14ac:dyDescent="0.25">
      <c r="A1410" s="8" t="s">
        <v>6071</v>
      </c>
      <c r="B1410" s="8" t="s">
        <v>6069</v>
      </c>
      <c r="C1410" s="8" t="s">
        <v>6393</v>
      </c>
      <c r="D1410" s="32" t="s">
        <v>6984</v>
      </c>
      <c r="E1410" s="32" t="s">
        <v>6393</v>
      </c>
      <c r="F1410" s="10">
        <v>2</v>
      </c>
      <c r="G1410" s="8" t="s">
        <v>5973</v>
      </c>
      <c r="H1410" s="10">
        <v>7.95</v>
      </c>
      <c r="I1410" s="10">
        <f t="shared" si="23"/>
        <v>15.9</v>
      </c>
      <c r="J1410" s="10">
        <v>1.42709</v>
      </c>
      <c r="K1410" s="8" t="s">
        <v>5963</v>
      </c>
      <c r="S1410"/>
    </row>
    <row r="1411" spans="1:19" ht="15" x14ac:dyDescent="0.25">
      <c r="A1411" s="8" t="s">
        <v>6071</v>
      </c>
      <c r="B1411" s="8" t="s">
        <v>6069</v>
      </c>
      <c r="C1411" s="8" t="s">
        <v>6394</v>
      </c>
      <c r="D1411" s="32" t="s">
        <v>6984</v>
      </c>
      <c r="E1411" s="32" t="s">
        <v>6394</v>
      </c>
      <c r="F1411" s="10">
        <v>4</v>
      </c>
      <c r="G1411" s="8" t="s">
        <v>5973</v>
      </c>
      <c r="H1411" s="10">
        <v>7.95</v>
      </c>
      <c r="I1411" s="10">
        <f t="shared" si="23"/>
        <v>31.8</v>
      </c>
      <c r="J1411" s="10">
        <v>2.8541799999999999</v>
      </c>
      <c r="K1411" s="8" t="s">
        <v>5963</v>
      </c>
      <c r="S1411"/>
    </row>
    <row r="1412" spans="1:19" ht="15" x14ac:dyDescent="0.25">
      <c r="A1412" s="8" t="s">
        <v>6068</v>
      </c>
      <c r="B1412" s="8" t="s">
        <v>6069</v>
      </c>
      <c r="C1412" s="8" t="s">
        <v>6395</v>
      </c>
      <c r="D1412" s="32" t="s">
        <v>6984</v>
      </c>
      <c r="E1412" s="32" t="s">
        <v>6395</v>
      </c>
      <c r="F1412" s="10">
        <v>1</v>
      </c>
      <c r="G1412" s="8" t="s">
        <v>5973</v>
      </c>
      <c r="H1412" s="10">
        <v>8</v>
      </c>
      <c r="I1412" s="10">
        <f t="shared" si="23"/>
        <v>8</v>
      </c>
      <c r="J1412" s="10">
        <v>0.71354499999999998</v>
      </c>
      <c r="K1412" s="8" t="s">
        <v>5963</v>
      </c>
      <c r="S1412"/>
    </row>
    <row r="1413" spans="1:19" ht="15" x14ac:dyDescent="0.25">
      <c r="A1413" s="8" t="s">
        <v>6071</v>
      </c>
      <c r="B1413" s="8" t="s">
        <v>6069</v>
      </c>
      <c r="C1413" s="8" t="s">
        <v>6396</v>
      </c>
      <c r="D1413" s="32" t="s">
        <v>6984</v>
      </c>
      <c r="E1413" s="32" t="s">
        <v>6396</v>
      </c>
      <c r="F1413" s="10">
        <v>1</v>
      </c>
      <c r="G1413" s="8" t="s">
        <v>5973</v>
      </c>
      <c r="H1413" s="10">
        <v>9.6</v>
      </c>
      <c r="I1413" s="10">
        <f t="shared" ref="I1413:I1472" si="24">F1413*H1413</f>
        <v>9.6</v>
      </c>
      <c r="J1413" s="10">
        <v>0.86269200000000001</v>
      </c>
      <c r="K1413" s="8" t="s">
        <v>5963</v>
      </c>
      <c r="S1413"/>
    </row>
    <row r="1414" spans="1:19" ht="15" x14ac:dyDescent="0.25">
      <c r="A1414" s="8" t="s">
        <v>6071</v>
      </c>
      <c r="B1414" s="8" t="s">
        <v>6069</v>
      </c>
      <c r="C1414" s="8" t="s">
        <v>6397</v>
      </c>
      <c r="D1414" s="32" t="s">
        <v>6984</v>
      </c>
      <c r="E1414" s="32" t="s">
        <v>6397</v>
      </c>
      <c r="F1414" s="10">
        <v>1</v>
      </c>
      <c r="G1414" s="8" t="s">
        <v>5973</v>
      </c>
      <c r="H1414" s="10">
        <v>141.80000000000001</v>
      </c>
      <c r="I1414" s="10">
        <f t="shared" si="24"/>
        <v>141.80000000000001</v>
      </c>
      <c r="J1414" s="10">
        <v>12.716123</v>
      </c>
      <c r="K1414" s="8" t="s">
        <v>5963</v>
      </c>
      <c r="S1414"/>
    </row>
    <row r="1415" spans="1:19" ht="15" x14ac:dyDescent="0.25">
      <c r="A1415" s="8" t="s">
        <v>6068</v>
      </c>
      <c r="B1415" s="8" t="s">
        <v>6069</v>
      </c>
      <c r="C1415" s="8" t="s">
        <v>6398</v>
      </c>
      <c r="D1415" s="32" t="s">
        <v>6984</v>
      </c>
      <c r="E1415" s="32" t="s">
        <v>6398</v>
      </c>
      <c r="F1415" s="10">
        <v>1</v>
      </c>
      <c r="G1415" s="8" t="s">
        <v>5973</v>
      </c>
      <c r="H1415" s="10">
        <v>140.19999999999999</v>
      </c>
      <c r="I1415" s="10">
        <f t="shared" si="24"/>
        <v>140.19999999999999</v>
      </c>
      <c r="J1415" s="10">
        <v>12.578779000000001</v>
      </c>
      <c r="K1415" s="8" t="s">
        <v>5963</v>
      </c>
      <c r="S1415"/>
    </row>
    <row r="1416" spans="1:19" ht="15" x14ac:dyDescent="0.25">
      <c r="A1416" s="8" t="s">
        <v>6068</v>
      </c>
      <c r="B1416" s="8" t="s">
        <v>6069</v>
      </c>
      <c r="C1416" s="8" t="s">
        <v>6399</v>
      </c>
      <c r="D1416" s="32" t="s">
        <v>6984</v>
      </c>
      <c r="E1416" s="32" t="s">
        <v>6399</v>
      </c>
      <c r="F1416" s="10">
        <v>5</v>
      </c>
      <c r="G1416" s="8" t="s">
        <v>5973</v>
      </c>
      <c r="H1416" s="10">
        <v>119.75999999999999</v>
      </c>
      <c r="I1416" s="10">
        <f t="shared" si="24"/>
        <v>598.79999999999995</v>
      </c>
      <c r="J1416" s="10">
        <v>45.9</v>
      </c>
      <c r="K1416" s="8" t="s">
        <v>5966</v>
      </c>
      <c r="S1416"/>
    </row>
    <row r="1417" spans="1:19" ht="15" x14ac:dyDescent="0.25">
      <c r="A1417" s="8" t="s">
        <v>6071</v>
      </c>
      <c r="B1417" s="8" t="s">
        <v>6069</v>
      </c>
      <c r="C1417" s="8" t="s">
        <v>6400</v>
      </c>
      <c r="D1417" s="32" t="s">
        <v>6984</v>
      </c>
      <c r="E1417" s="32" t="s">
        <v>6400</v>
      </c>
      <c r="F1417" s="10">
        <v>1</v>
      </c>
      <c r="G1417" s="8" t="s">
        <v>5973</v>
      </c>
      <c r="H1417" s="10">
        <v>8</v>
      </c>
      <c r="I1417" s="10">
        <f t="shared" si="24"/>
        <v>8</v>
      </c>
      <c r="J1417" s="10">
        <v>0.71354499999999998</v>
      </c>
      <c r="K1417" s="8" t="s">
        <v>5963</v>
      </c>
      <c r="S1417"/>
    </row>
    <row r="1418" spans="1:19" ht="15" x14ac:dyDescent="0.25">
      <c r="A1418" s="8" t="s">
        <v>4963</v>
      </c>
      <c r="B1418" s="8" t="s">
        <v>4869</v>
      </c>
      <c r="C1418" s="8" t="s">
        <v>4900</v>
      </c>
      <c r="D1418" s="32" t="s">
        <v>6984</v>
      </c>
      <c r="E1418" s="32" t="s">
        <v>4900</v>
      </c>
      <c r="F1418" s="10">
        <v>4</v>
      </c>
      <c r="G1418" s="8" t="s">
        <v>4901</v>
      </c>
      <c r="H1418" s="10">
        <v>78.86</v>
      </c>
      <c r="I1418" s="10">
        <f t="shared" si="24"/>
        <v>315.44</v>
      </c>
      <c r="J1418" s="10">
        <v>2.5535999999999999</v>
      </c>
      <c r="K1418" s="8" t="s">
        <v>6401</v>
      </c>
      <c r="S1418"/>
    </row>
    <row r="1419" spans="1:19" ht="15" x14ac:dyDescent="0.25">
      <c r="A1419" s="8" t="s">
        <v>6068</v>
      </c>
      <c r="B1419" s="8" t="s">
        <v>6069</v>
      </c>
      <c r="C1419" s="8" t="s">
        <v>6402</v>
      </c>
      <c r="D1419" s="32" t="s">
        <v>5146</v>
      </c>
      <c r="E1419" s="32" t="s">
        <v>6402</v>
      </c>
      <c r="F1419" s="10">
        <v>303</v>
      </c>
      <c r="G1419" s="8" t="s">
        <v>6403</v>
      </c>
      <c r="K1419" s="8" t="s">
        <v>6403</v>
      </c>
      <c r="L1419" s="8" t="s">
        <v>32</v>
      </c>
      <c r="S1419"/>
    </row>
    <row r="1420" spans="1:19" ht="15" x14ac:dyDescent="0.25">
      <c r="A1420" s="8" t="s">
        <v>6068</v>
      </c>
      <c r="B1420" s="8" t="s">
        <v>6069</v>
      </c>
      <c r="C1420" s="8" t="s">
        <v>6404</v>
      </c>
      <c r="D1420" s="32" t="s">
        <v>5146</v>
      </c>
      <c r="E1420" s="32" t="s">
        <v>6404</v>
      </c>
      <c r="F1420" s="10">
        <v>570</v>
      </c>
      <c r="G1420" s="8" t="s">
        <v>6405</v>
      </c>
      <c r="K1420" s="8" t="s">
        <v>6405</v>
      </c>
      <c r="L1420" s="8" t="s">
        <v>32</v>
      </c>
      <c r="S1420"/>
    </row>
    <row r="1421" spans="1:19" ht="15" x14ac:dyDescent="0.25">
      <c r="A1421" s="8" t="s">
        <v>6068</v>
      </c>
      <c r="B1421" s="8" t="s">
        <v>6069</v>
      </c>
      <c r="C1421" s="8" t="s">
        <v>6406</v>
      </c>
      <c r="D1421" s="32" t="s">
        <v>5146</v>
      </c>
      <c r="E1421" s="32" t="s">
        <v>6406</v>
      </c>
      <c r="F1421" s="10">
        <v>272</v>
      </c>
      <c r="G1421" s="8" t="s">
        <v>6407</v>
      </c>
      <c r="K1421" s="8" t="s">
        <v>6407</v>
      </c>
      <c r="L1421" s="8" t="s">
        <v>32</v>
      </c>
      <c r="S1421"/>
    </row>
    <row r="1422" spans="1:19" ht="15" x14ac:dyDescent="0.25">
      <c r="A1422" s="8" t="s">
        <v>6068</v>
      </c>
      <c r="B1422" s="8" t="s">
        <v>6069</v>
      </c>
      <c r="C1422" s="8" t="s">
        <v>6408</v>
      </c>
      <c r="D1422" s="32" t="s">
        <v>5146</v>
      </c>
      <c r="E1422" s="32" t="s">
        <v>6408</v>
      </c>
      <c r="F1422" s="10">
        <v>292</v>
      </c>
      <c r="G1422" s="8" t="s">
        <v>6409</v>
      </c>
      <c r="K1422" s="8" t="s">
        <v>6409</v>
      </c>
      <c r="L1422" s="8" t="s">
        <v>32</v>
      </c>
      <c r="S1422"/>
    </row>
    <row r="1423" spans="1:19" ht="15" x14ac:dyDescent="0.25">
      <c r="A1423" s="8" t="s">
        <v>6068</v>
      </c>
      <c r="B1423" s="8" t="s">
        <v>6069</v>
      </c>
      <c r="C1423" s="8" t="s">
        <v>6410</v>
      </c>
      <c r="D1423" s="32" t="s">
        <v>5146</v>
      </c>
      <c r="E1423" s="32" t="s">
        <v>6410</v>
      </c>
      <c r="F1423" s="10">
        <v>100</v>
      </c>
      <c r="G1423" s="8" t="s">
        <v>6411</v>
      </c>
      <c r="K1423" s="8" t="s">
        <v>6411</v>
      </c>
      <c r="L1423" s="8" t="s">
        <v>32</v>
      </c>
      <c r="S1423"/>
    </row>
    <row r="1424" spans="1:19" ht="15" x14ac:dyDescent="0.25">
      <c r="A1424" s="8" t="s">
        <v>6068</v>
      </c>
      <c r="B1424" s="8" t="s">
        <v>6069</v>
      </c>
      <c r="C1424" s="8" t="s">
        <v>6412</v>
      </c>
      <c r="D1424" s="32" t="s">
        <v>5146</v>
      </c>
      <c r="E1424" s="32" t="s">
        <v>6412</v>
      </c>
      <c r="F1424" s="10">
        <v>2537</v>
      </c>
      <c r="G1424" s="8" t="s">
        <v>6413</v>
      </c>
      <c r="K1424" s="8" t="s">
        <v>6413</v>
      </c>
      <c r="L1424" s="8" t="s">
        <v>32</v>
      </c>
      <c r="S1424"/>
    </row>
    <row r="1425" spans="1:19" ht="15" x14ac:dyDescent="0.25">
      <c r="A1425" s="8" t="s">
        <v>6068</v>
      </c>
      <c r="B1425" s="8" t="s">
        <v>6069</v>
      </c>
      <c r="C1425" s="8" t="s">
        <v>6414</v>
      </c>
      <c r="D1425" s="32" t="s">
        <v>5146</v>
      </c>
      <c r="E1425" s="32" t="s">
        <v>6414</v>
      </c>
      <c r="F1425" s="10">
        <v>1041</v>
      </c>
      <c r="G1425" s="8" t="s">
        <v>6415</v>
      </c>
      <c r="K1425" s="8" t="s">
        <v>6415</v>
      </c>
      <c r="L1425" s="8" t="s">
        <v>32</v>
      </c>
      <c r="S1425"/>
    </row>
    <row r="1426" spans="1:19" ht="15" x14ac:dyDescent="0.25">
      <c r="A1426" s="8" t="s">
        <v>6068</v>
      </c>
      <c r="B1426" s="8" t="s">
        <v>6069</v>
      </c>
      <c r="C1426" s="8" t="s">
        <v>6416</v>
      </c>
      <c r="D1426" s="32" t="s">
        <v>5146</v>
      </c>
      <c r="E1426" s="32" t="s">
        <v>6416</v>
      </c>
      <c r="F1426" s="10">
        <v>1498</v>
      </c>
      <c r="G1426" s="8" t="s">
        <v>6417</v>
      </c>
      <c r="K1426" s="8" t="s">
        <v>6417</v>
      </c>
      <c r="L1426" s="8" t="s">
        <v>32</v>
      </c>
      <c r="S1426"/>
    </row>
    <row r="1427" spans="1:19" ht="15" x14ac:dyDescent="0.25">
      <c r="A1427" s="8" t="s">
        <v>6068</v>
      </c>
      <c r="B1427" s="8" t="s">
        <v>6069</v>
      </c>
      <c r="C1427" s="8" t="s">
        <v>6418</v>
      </c>
      <c r="D1427" s="32" t="s">
        <v>5146</v>
      </c>
      <c r="E1427" s="32" t="s">
        <v>6418</v>
      </c>
      <c r="F1427" s="10">
        <v>976</v>
      </c>
      <c r="G1427" s="8" t="s">
        <v>6419</v>
      </c>
      <c r="K1427" s="8" t="s">
        <v>6419</v>
      </c>
      <c r="L1427" s="8" t="s">
        <v>32</v>
      </c>
      <c r="S1427"/>
    </row>
    <row r="1428" spans="1:19" ht="15" x14ac:dyDescent="0.25">
      <c r="A1428" s="8" t="s">
        <v>6068</v>
      </c>
      <c r="B1428" s="8" t="s">
        <v>6069</v>
      </c>
      <c r="C1428" s="8" t="s">
        <v>6420</v>
      </c>
      <c r="D1428" s="32" t="s">
        <v>5146</v>
      </c>
      <c r="E1428" s="32" t="s">
        <v>6420</v>
      </c>
      <c r="F1428" s="10">
        <v>229</v>
      </c>
      <c r="G1428" s="8" t="s">
        <v>6421</v>
      </c>
      <c r="K1428" s="8" t="s">
        <v>6421</v>
      </c>
      <c r="L1428" s="8" t="s">
        <v>32</v>
      </c>
      <c r="S1428"/>
    </row>
    <row r="1429" spans="1:19" ht="15" x14ac:dyDescent="0.25">
      <c r="A1429" s="8" t="s">
        <v>6068</v>
      </c>
      <c r="B1429" s="8" t="s">
        <v>6069</v>
      </c>
      <c r="C1429" s="8" t="s">
        <v>6422</v>
      </c>
      <c r="D1429" s="32" t="s">
        <v>5146</v>
      </c>
      <c r="E1429" s="32" t="s">
        <v>6422</v>
      </c>
      <c r="F1429" s="10">
        <v>1031</v>
      </c>
      <c r="G1429" s="8" t="s">
        <v>6423</v>
      </c>
      <c r="K1429" s="8" t="s">
        <v>6423</v>
      </c>
      <c r="L1429" s="8" t="s">
        <v>32</v>
      </c>
      <c r="S1429"/>
    </row>
    <row r="1430" spans="1:19" ht="15" x14ac:dyDescent="0.25">
      <c r="A1430" s="8" t="s">
        <v>6068</v>
      </c>
      <c r="B1430" s="8" t="s">
        <v>6069</v>
      </c>
      <c r="C1430" s="8" t="s">
        <v>6424</v>
      </c>
      <c r="D1430" s="32" t="s">
        <v>5146</v>
      </c>
      <c r="E1430" s="32" t="s">
        <v>6424</v>
      </c>
      <c r="F1430" s="10">
        <v>790</v>
      </c>
      <c r="G1430" s="8" t="s">
        <v>6425</v>
      </c>
      <c r="K1430" s="8" t="s">
        <v>6425</v>
      </c>
      <c r="L1430" s="8" t="s">
        <v>32</v>
      </c>
      <c r="S1430"/>
    </row>
    <row r="1431" spans="1:19" ht="15" x14ac:dyDescent="0.25">
      <c r="A1431" s="8" t="s">
        <v>6068</v>
      </c>
      <c r="B1431" s="8" t="s">
        <v>6069</v>
      </c>
      <c r="C1431" s="8" t="s">
        <v>6426</v>
      </c>
      <c r="D1431" s="32" t="s">
        <v>5146</v>
      </c>
      <c r="E1431" s="32" t="s">
        <v>6426</v>
      </c>
      <c r="F1431" s="10">
        <v>9</v>
      </c>
      <c r="G1431" s="8" t="s">
        <v>6427</v>
      </c>
      <c r="K1431" s="8" t="s">
        <v>6427</v>
      </c>
      <c r="L1431" s="8" t="s">
        <v>32</v>
      </c>
      <c r="S1431"/>
    </row>
    <row r="1432" spans="1:19" ht="15" x14ac:dyDescent="0.25">
      <c r="A1432" s="8" t="s">
        <v>6068</v>
      </c>
      <c r="B1432" s="8" t="s">
        <v>6069</v>
      </c>
      <c r="C1432" s="8" t="s">
        <v>6428</v>
      </c>
      <c r="D1432" s="32" t="s">
        <v>5146</v>
      </c>
      <c r="E1432" s="32" t="s">
        <v>6428</v>
      </c>
      <c r="F1432" s="10">
        <v>74</v>
      </c>
      <c r="G1432" s="8" t="s">
        <v>6429</v>
      </c>
      <c r="K1432" s="8" t="s">
        <v>6429</v>
      </c>
      <c r="L1432" s="8" t="s">
        <v>32</v>
      </c>
      <c r="S1432"/>
    </row>
    <row r="1433" spans="1:19" ht="15" x14ac:dyDescent="0.25">
      <c r="A1433" s="8" t="s">
        <v>6068</v>
      </c>
      <c r="B1433" s="8" t="s">
        <v>6069</v>
      </c>
      <c r="C1433" s="8" t="s">
        <v>6430</v>
      </c>
      <c r="D1433" s="32" t="s">
        <v>5146</v>
      </c>
      <c r="E1433" s="32" t="s">
        <v>6430</v>
      </c>
      <c r="F1433" s="10">
        <v>873</v>
      </c>
      <c r="G1433" s="8" t="s">
        <v>6431</v>
      </c>
      <c r="K1433" s="8" t="s">
        <v>6431</v>
      </c>
      <c r="L1433" s="8" t="s">
        <v>32</v>
      </c>
      <c r="S1433"/>
    </row>
    <row r="1434" spans="1:19" ht="15" x14ac:dyDescent="0.25">
      <c r="A1434" s="8" t="s">
        <v>6068</v>
      </c>
      <c r="B1434" s="8" t="s">
        <v>6069</v>
      </c>
      <c r="C1434" s="8" t="s">
        <v>6432</v>
      </c>
      <c r="D1434" s="32" t="s">
        <v>5146</v>
      </c>
      <c r="E1434" s="32" t="s">
        <v>6432</v>
      </c>
      <c r="F1434" s="10">
        <v>564</v>
      </c>
      <c r="G1434" s="8" t="s">
        <v>6433</v>
      </c>
      <c r="K1434" s="8" t="s">
        <v>6433</v>
      </c>
      <c r="L1434" s="8" t="s">
        <v>32</v>
      </c>
      <c r="S1434"/>
    </row>
    <row r="1435" spans="1:19" ht="15" x14ac:dyDescent="0.25">
      <c r="A1435" s="8" t="s">
        <v>6068</v>
      </c>
      <c r="B1435" s="8" t="s">
        <v>6069</v>
      </c>
      <c r="C1435" s="8" t="s">
        <v>6434</v>
      </c>
      <c r="D1435" s="32" t="s">
        <v>5146</v>
      </c>
      <c r="E1435" s="32" t="s">
        <v>6434</v>
      </c>
      <c r="F1435" s="10">
        <v>8211</v>
      </c>
      <c r="G1435" s="8" t="s">
        <v>6435</v>
      </c>
      <c r="K1435" s="8" t="s">
        <v>6435</v>
      </c>
      <c r="L1435" s="8" t="s">
        <v>32</v>
      </c>
      <c r="S1435"/>
    </row>
    <row r="1436" spans="1:19" ht="15" x14ac:dyDescent="0.25">
      <c r="A1436" s="8" t="s">
        <v>6068</v>
      </c>
      <c r="B1436" s="8" t="s">
        <v>6069</v>
      </c>
      <c r="C1436" s="8" t="s">
        <v>6436</v>
      </c>
      <c r="D1436" s="32" t="s">
        <v>5146</v>
      </c>
      <c r="E1436" s="32" t="s">
        <v>6436</v>
      </c>
      <c r="F1436" s="10">
        <v>74</v>
      </c>
      <c r="G1436" s="8" t="s">
        <v>6437</v>
      </c>
      <c r="K1436" s="8" t="s">
        <v>6437</v>
      </c>
      <c r="L1436" s="8" t="s">
        <v>32</v>
      </c>
      <c r="S1436"/>
    </row>
    <row r="1437" spans="1:19" ht="15" x14ac:dyDescent="0.25">
      <c r="A1437" s="8" t="s">
        <v>6068</v>
      </c>
      <c r="B1437" s="8" t="s">
        <v>6069</v>
      </c>
      <c r="C1437" s="8" t="s">
        <v>6438</v>
      </c>
      <c r="D1437" s="32" t="s">
        <v>5146</v>
      </c>
      <c r="E1437" s="32" t="s">
        <v>6438</v>
      </c>
      <c r="F1437" s="10">
        <v>873</v>
      </c>
      <c r="G1437" s="8" t="s">
        <v>6439</v>
      </c>
      <c r="K1437" s="8" t="s">
        <v>6439</v>
      </c>
      <c r="L1437" s="8" t="s">
        <v>32</v>
      </c>
      <c r="S1437"/>
    </row>
    <row r="1438" spans="1:19" ht="15" x14ac:dyDescent="0.25">
      <c r="A1438" s="8" t="s">
        <v>6068</v>
      </c>
      <c r="B1438" s="8" t="s">
        <v>6069</v>
      </c>
      <c r="C1438" s="8" t="s">
        <v>6440</v>
      </c>
      <c r="D1438" s="32" t="s">
        <v>5146</v>
      </c>
      <c r="E1438" s="32" t="s">
        <v>6440</v>
      </c>
      <c r="F1438" s="10">
        <v>564</v>
      </c>
      <c r="G1438" s="8" t="s">
        <v>6441</v>
      </c>
      <c r="K1438" s="8" t="s">
        <v>6441</v>
      </c>
      <c r="L1438" s="8" t="s">
        <v>32</v>
      </c>
      <c r="S1438"/>
    </row>
    <row r="1439" spans="1:19" ht="15" x14ac:dyDescent="0.25">
      <c r="A1439" s="8" t="s">
        <v>6068</v>
      </c>
      <c r="B1439" s="8" t="s">
        <v>6069</v>
      </c>
      <c r="C1439" s="8" t="s">
        <v>6442</v>
      </c>
      <c r="D1439" s="32" t="s">
        <v>5146</v>
      </c>
      <c r="E1439" s="32" t="s">
        <v>6442</v>
      </c>
      <c r="F1439" s="10">
        <v>8211</v>
      </c>
      <c r="G1439" s="8" t="s">
        <v>6443</v>
      </c>
      <c r="K1439" s="8" t="s">
        <v>6443</v>
      </c>
      <c r="L1439" s="8" t="s">
        <v>32</v>
      </c>
      <c r="S1439"/>
    </row>
    <row r="1440" spans="1:19" ht="15" x14ac:dyDescent="0.25">
      <c r="A1440" s="8" t="s">
        <v>6068</v>
      </c>
      <c r="B1440" s="8" t="s">
        <v>6069</v>
      </c>
      <c r="C1440" s="8" t="s">
        <v>6444</v>
      </c>
      <c r="D1440" s="32" t="s">
        <v>5146</v>
      </c>
      <c r="E1440" s="32" t="s">
        <v>6444</v>
      </c>
      <c r="F1440" s="10">
        <v>74</v>
      </c>
      <c r="G1440" s="8" t="s">
        <v>6445</v>
      </c>
      <c r="K1440" s="8" t="s">
        <v>6445</v>
      </c>
      <c r="L1440" s="8" t="s">
        <v>32</v>
      </c>
      <c r="S1440"/>
    </row>
    <row r="1441" spans="1:19" ht="15" x14ac:dyDescent="0.25">
      <c r="A1441" s="8" t="s">
        <v>4998</v>
      </c>
      <c r="B1441" s="8" t="s">
        <v>4779</v>
      </c>
      <c r="C1441" s="8" t="s">
        <v>6446</v>
      </c>
      <c r="D1441" s="32" t="s">
        <v>6984</v>
      </c>
      <c r="E1441" s="32" t="s">
        <v>6446</v>
      </c>
      <c r="F1441" s="10">
        <v>1</v>
      </c>
      <c r="G1441" s="8" t="s">
        <v>6447</v>
      </c>
      <c r="H1441" s="10">
        <v>18.5</v>
      </c>
      <c r="I1441" s="10">
        <f t="shared" si="24"/>
        <v>18.5</v>
      </c>
      <c r="J1441" s="10">
        <v>0</v>
      </c>
      <c r="K1441" s="8" t="s">
        <v>5087</v>
      </c>
      <c r="S1441"/>
    </row>
    <row r="1442" spans="1:19" ht="15" x14ac:dyDescent="0.25">
      <c r="A1442" s="8" t="s">
        <v>4998</v>
      </c>
      <c r="B1442" s="8" t="s">
        <v>4779</v>
      </c>
      <c r="C1442" s="8" t="s">
        <v>6448</v>
      </c>
      <c r="D1442" s="32" t="s">
        <v>6984</v>
      </c>
      <c r="E1442" s="32" t="s">
        <v>6448</v>
      </c>
      <c r="F1442" s="10">
        <v>1</v>
      </c>
      <c r="G1442" s="8" t="s">
        <v>6447</v>
      </c>
      <c r="H1442" s="10">
        <v>48.32</v>
      </c>
      <c r="I1442" s="10">
        <f t="shared" si="24"/>
        <v>48.32</v>
      </c>
      <c r="J1442" s="10">
        <v>0</v>
      </c>
      <c r="K1442" s="8" t="s">
        <v>5087</v>
      </c>
      <c r="S1442"/>
    </row>
    <row r="1443" spans="1:19" ht="15" x14ac:dyDescent="0.25">
      <c r="A1443" s="8" t="s">
        <v>4998</v>
      </c>
      <c r="B1443" s="8" t="s">
        <v>4779</v>
      </c>
      <c r="C1443" s="8" t="s">
        <v>6449</v>
      </c>
      <c r="D1443" s="32" t="s">
        <v>6984</v>
      </c>
      <c r="E1443" s="32" t="s">
        <v>6449</v>
      </c>
      <c r="F1443" s="10">
        <v>14</v>
      </c>
      <c r="G1443" s="8" t="s">
        <v>5569</v>
      </c>
      <c r="H1443" s="10">
        <v>12.299999999999999</v>
      </c>
      <c r="I1443" s="10">
        <f t="shared" si="24"/>
        <v>172.2</v>
      </c>
      <c r="J1443" s="10">
        <v>0</v>
      </c>
      <c r="K1443" s="8" t="s">
        <v>6450</v>
      </c>
      <c r="S1443"/>
    </row>
    <row r="1444" spans="1:19" ht="15" x14ac:dyDescent="0.25">
      <c r="A1444" s="8" t="s">
        <v>4998</v>
      </c>
      <c r="B1444" s="8" t="s">
        <v>4779</v>
      </c>
      <c r="C1444" s="8" t="s">
        <v>6451</v>
      </c>
      <c r="D1444" s="32" t="s">
        <v>6984</v>
      </c>
      <c r="E1444" s="32" t="s">
        <v>6451</v>
      </c>
      <c r="F1444" s="10">
        <v>16</v>
      </c>
      <c r="G1444" s="8" t="s">
        <v>5569</v>
      </c>
      <c r="H1444" s="10">
        <v>13.1</v>
      </c>
      <c r="I1444" s="10">
        <f t="shared" si="24"/>
        <v>209.6</v>
      </c>
      <c r="J1444" s="10">
        <v>0</v>
      </c>
      <c r="K1444" s="8" t="s">
        <v>6452</v>
      </c>
      <c r="S1444"/>
    </row>
    <row r="1445" spans="1:19" ht="15" x14ac:dyDescent="0.25">
      <c r="A1445" s="8" t="s">
        <v>4998</v>
      </c>
      <c r="B1445" s="8" t="s">
        <v>4779</v>
      </c>
      <c r="C1445" s="8" t="s">
        <v>6453</v>
      </c>
      <c r="D1445" s="32" t="s">
        <v>5146</v>
      </c>
      <c r="E1445" s="32" t="s">
        <v>6453</v>
      </c>
      <c r="F1445" s="10">
        <v>8</v>
      </c>
      <c r="G1445" s="8" t="s">
        <v>6454</v>
      </c>
      <c r="K1445" s="8" t="s">
        <v>6454</v>
      </c>
      <c r="L1445" s="8" t="s">
        <v>32</v>
      </c>
      <c r="S1445"/>
    </row>
    <row r="1446" spans="1:19" ht="15" x14ac:dyDescent="0.25">
      <c r="A1446" s="8" t="s">
        <v>4998</v>
      </c>
      <c r="B1446" s="8" t="s">
        <v>4779</v>
      </c>
      <c r="C1446" s="8" t="s">
        <v>6455</v>
      </c>
      <c r="D1446" s="32" t="s">
        <v>5146</v>
      </c>
      <c r="E1446" s="32" t="s">
        <v>6455</v>
      </c>
      <c r="F1446" s="10">
        <v>8</v>
      </c>
      <c r="G1446" s="8" t="s">
        <v>6456</v>
      </c>
      <c r="K1446" s="8" t="s">
        <v>6456</v>
      </c>
      <c r="L1446" s="8" t="s">
        <v>32</v>
      </c>
      <c r="S1446"/>
    </row>
    <row r="1447" spans="1:19" ht="15" x14ac:dyDescent="0.25">
      <c r="A1447" s="8" t="s">
        <v>4998</v>
      </c>
      <c r="B1447" s="8" t="s">
        <v>4779</v>
      </c>
      <c r="C1447" s="8" t="s">
        <v>6457</v>
      </c>
      <c r="D1447" s="32" t="s">
        <v>6984</v>
      </c>
      <c r="E1447" s="32" t="s">
        <v>6457</v>
      </c>
      <c r="F1447" s="10">
        <v>1</v>
      </c>
      <c r="G1447" s="8" t="s">
        <v>5139</v>
      </c>
      <c r="H1447" s="10">
        <v>156.19999999999999</v>
      </c>
      <c r="I1447" s="10">
        <f t="shared" si="24"/>
        <v>156.19999999999999</v>
      </c>
      <c r="J1447" s="10">
        <v>9.5598573015999992</v>
      </c>
      <c r="K1447" s="8" t="s">
        <v>5102</v>
      </c>
      <c r="S1447"/>
    </row>
    <row r="1448" spans="1:19" ht="15" x14ac:dyDescent="0.25">
      <c r="A1448" s="8" t="s">
        <v>4998</v>
      </c>
      <c r="B1448" s="8" t="s">
        <v>4779</v>
      </c>
      <c r="C1448" s="8" t="s">
        <v>6458</v>
      </c>
      <c r="D1448" s="32" t="s">
        <v>6984</v>
      </c>
      <c r="E1448" s="32" t="s">
        <v>6458</v>
      </c>
      <c r="F1448" s="10">
        <v>1</v>
      </c>
      <c r="G1448" s="8" t="s">
        <v>5139</v>
      </c>
      <c r="H1448" s="10">
        <v>156.19999999999999</v>
      </c>
      <c r="I1448" s="10">
        <f t="shared" si="24"/>
        <v>156.19999999999999</v>
      </c>
      <c r="J1448" s="10">
        <v>9.5598573015999992</v>
      </c>
      <c r="K1448" s="8" t="s">
        <v>5102</v>
      </c>
      <c r="S1448"/>
    </row>
    <row r="1449" spans="1:19" ht="15" x14ac:dyDescent="0.25">
      <c r="A1449" s="8" t="s">
        <v>4998</v>
      </c>
      <c r="B1449" s="8" t="s">
        <v>4779</v>
      </c>
      <c r="C1449" s="8" t="s">
        <v>6459</v>
      </c>
      <c r="D1449" s="32" t="s">
        <v>6984</v>
      </c>
      <c r="E1449" s="32" t="s">
        <v>6459</v>
      </c>
      <c r="F1449" s="10">
        <v>2</v>
      </c>
      <c r="G1449" s="8" t="s">
        <v>5101</v>
      </c>
      <c r="H1449" s="10">
        <v>167.1</v>
      </c>
      <c r="I1449" s="10">
        <f t="shared" si="24"/>
        <v>334.2</v>
      </c>
      <c r="J1449" s="10">
        <v>22.497569307999999</v>
      </c>
      <c r="K1449" s="8" t="s">
        <v>5128</v>
      </c>
      <c r="S1449"/>
    </row>
    <row r="1450" spans="1:19" ht="15" x14ac:dyDescent="0.25">
      <c r="A1450" s="8" t="s">
        <v>4998</v>
      </c>
      <c r="B1450" s="8" t="s">
        <v>4779</v>
      </c>
      <c r="C1450" s="8" t="s">
        <v>6460</v>
      </c>
      <c r="D1450" s="32" t="s">
        <v>6984</v>
      </c>
      <c r="E1450" s="32" t="s">
        <v>6460</v>
      </c>
      <c r="F1450" s="10">
        <v>1</v>
      </c>
      <c r="G1450" s="8" t="s">
        <v>5101</v>
      </c>
      <c r="H1450" s="10">
        <v>40.700000000000003</v>
      </c>
      <c r="I1450" s="10">
        <f t="shared" si="24"/>
        <v>40.700000000000003</v>
      </c>
      <c r="J1450" s="10">
        <v>2.1708506890399999</v>
      </c>
      <c r="K1450" s="8" t="s">
        <v>5128</v>
      </c>
      <c r="S1450"/>
    </row>
    <row r="1451" spans="1:19" ht="15" x14ac:dyDescent="0.25">
      <c r="A1451" s="8" t="s">
        <v>4998</v>
      </c>
      <c r="B1451" s="8" t="s">
        <v>4779</v>
      </c>
      <c r="C1451" s="8" t="s">
        <v>6461</v>
      </c>
      <c r="D1451" s="32" t="s">
        <v>6984</v>
      </c>
      <c r="E1451" s="32" t="s">
        <v>6461</v>
      </c>
      <c r="F1451" s="10">
        <v>1</v>
      </c>
      <c r="G1451" s="8" t="s">
        <v>5101</v>
      </c>
      <c r="H1451" s="10">
        <v>82.7</v>
      </c>
      <c r="I1451" s="10">
        <f t="shared" si="24"/>
        <v>82.7</v>
      </c>
      <c r="J1451" s="10">
        <v>5.1436536180000001</v>
      </c>
      <c r="K1451" s="8" t="s">
        <v>5128</v>
      </c>
      <c r="S1451"/>
    </row>
    <row r="1452" spans="1:19" ht="15" x14ac:dyDescent="0.25">
      <c r="A1452" s="8" t="s">
        <v>4998</v>
      </c>
      <c r="B1452" s="8" t="s">
        <v>4779</v>
      </c>
      <c r="C1452" s="8" t="s">
        <v>6462</v>
      </c>
      <c r="D1452" s="32" t="s">
        <v>6984</v>
      </c>
      <c r="E1452" s="32" t="s">
        <v>6462</v>
      </c>
      <c r="F1452" s="10">
        <v>1</v>
      </c>
      <c r="G1452" s="8" t="s">
        <v>5101</v>
      </c>
      <c r="H1452" s="10">
        <v>98.8</v>
      </c>
      <c r="I1452" s="10">
        <f t="shared" si="24"/>
        <v>98.8</v>
      </c>
      <c r="J1452" s="10">
        <v>6.4499413564000001</v>
      </c>
      <c r="K1452" s="8" t="s">
        <v>5128</v>
      </c>
      <c r="S1452"/>
    </row>
    <row r="1453" spans="1:19" ht="15" x14ac:dyDescent="0.25">
      <c r="A1453" s="8" t="s">
        <v>4998</v>
      </c>
      <c r="B1453" s="8" t="s">
        <v>4779</v>
      </c>
      <c r="C1453" s="8" t="s">
        <v>6463</v>
      </c>
      <c r="D1453" s="32" t="s">
        <v>6984</v>
      </c>
      <c r="E1453" s="32" t="s">
        <v>6463</v>
      </c>
      <c r="F1453" s="10">
        <v>1</v>
      </c>
      <c r="G1453" s="8" t="s">
        <v>5139</v>
      </c>
      <c r="H1453" s="10">
        <v>66.3</v>
      </c>
      <c r="I1453" s="10">
        <f t="shared" si="24"/>
        <v>66.3</v>
      </c>
      <c r="J1453" s="10">
        <v>2.4917716294000001</v>
      </c>
      <c r="K1453" s="8" t="s">
        <v>5128</v>
      </c>
      <c r="S1453"/>
    </row>
    <row r="1454" spans="1:19" ht="15" x14ac:dyDescent="0.25">
      <c r="A1454" s="8" t="s">
        <v>4998</v>
      </c>
      <c r="B1454" s="8" t="s">
        <v>4779</v>
      </c>
      <c r="C1454" s="8" t="s">
        <v>6464</v>
      </c>
      <c r="D1454" s="32" t="s">
        <v>6984</v>
      </c>
      <c r="E1454" s="32" t="s">
        <v>6464</v>
      </c>
      <c r="F1454" s="10">
        <v>1</v>
      </c>
      <c r="G1454" s="8" t="s">
        <v>6465</v>
      </c>
      <c r="H1454" s="10">
        <v>44.7</v>
      </c>
      <c r="I1454" s="10">
        <f t="shared" si="24"/>
        <v>44.7</v>
      </c>
      <c r="J1454" s="10">
        <v>4.2420392331999999</v>
      </c>
      <c r="K1454" s="8" t="s">
        <v>5128</v>
      </c>
      <c r="S1454"/>
    </row>
    <row r="1455" spans="1:19" ht="15" x14ac:dyDescent="0.25">
      <c r="A1455" s="8" t="s">
        <v>4998</v>
      </c>
      <c r="B1455" s="8" t="s">
        <v>4779</v>
      </c>
      <c r="C1455" s="8" t="s">
        <v>6466</v>
      </c>
      <c r="D1455" s="32" t="s">
        <v>6984</v>
      </c>
      <c r="E1455" s="32" t="s">
        <v>6466</v>
      </c>
      <c r="F1455" s="10">
        <v>1</v>
      </c>
      <c r="G1455" s="8" t="s">
        <v>5101</v>
      </c>
      <c r="H1455" s="10">
        <v>152.80000000000001</v>
      </c>
      <c r="I1455" s="10">
        <f t="shared" si="24"/>
        <v>152.80000000000001</v>
      </c>
      <c r="J1455" s="10">
        <v>10.088294532400001</v>
      </c>
      <c r="K1455" s="8" t="s">
        <v>5128</v>
      </c>
      <c r="S1455"/>
    </row>
    <row r="1456" spans="1:19" ht="15" x14ac:dyDescent="0.25">
      <c r="A1456" s="8" t="s">
        <v>4998</v>
      </c>
      <c r="B1456" s="8" t="s">
        <v>4779</v>
      </c>
      <c r="C1456" s="8" t="s">
        <v>6467</v>
      </c>
      <c r="D1456" s="32" t="s">
        <v>6984</v>
      </c>
      <c r="E1456" s="32" t="s">
        <v>6467</v>
      </c>
      <c r="F1456" s="10">
        <v>1</v>
      </c>
      <c r="G1456" s="8" t="s">
        <v>5101</v>
      </c>
      <c r="H1456" s="10">
        <v>49.4</v>
      </c>
      <c r="I1456" s="10">
        <f t="shared" si="24"/>
        <v>49.4</v>
      </c>
      <c r="J1456" s="10">
        <v>2.874919234</v>
      </c>
      <c r="K1456" s="8" t="s">
        <v>5128</v>
      </c>
      <c r="S1456"/>
    </row>
    <row r="1457" spans="1:19" ht="15" x14ac:dyDescent="0.25">
      <c r="A1457" s="8" t="s">
        <v>4998</v>
      </c>
      <c r="B1457" s="8" t="s">
        <v>4779</v>
      </c>
      <c r="C1457" s="8" t="s">
        <v>6468</v>
      </c>
      <c r="D1457" s="32" t="s">
        <v>6984</v>
      </c>
      <c r="E1457" s="32" t="s">
        <v>6468</v>
      </c>
      <c r="F1457" s="10">
        <v>1</v>
      </c>
      <c r="G1457" s="8" t="s">
        <v>5101</v>
      </c>
      <c r="H1457" s="10">
        <v>38.700000000000003</v>
      </c>
      <c r="I1457" s="10">
        <f t="shared" si="24"/>
        <v>38.700000000000003</v>
      </c>
      <c r="J1457" s="10">
        <v>2.0087781412000001</v>
      </c>
      <c r="K1457" s="8" t="s">
        <v>5128</v>
      </c>
      <c r="S1457"/>
    </row>
    <row r="1458" spans="1:19" ht="15" x14ac:dyDescent="0.25">
      <c r="A1458" s="8" t="s">
        <v>4998</v>
      </c>
      <c r="B1458" s="8" t="s">
        <v>4779</v>
      </c>
      <c r="C1458" s="8" t="s">
        <v>6469</v>
      </c>
      <c r="D1458" s="32" t="s">
        <v>6984</v>
      </c>
      <c r="E1458" s="32" t="s">
        <v>6469</v>
      </c>
      <c r="F1458" s="10">
        <v>1</v>
      </c>
      <c r="G1458" s="8" t="s">
        <v>5101</v>
      </c>
      <c r="H1458" s="10">
        <v>120.7</v>
      </c>
      <c r="I1458" s="10">
        <f t="shared" si="24"/>
        <v>120.7</v>
      </c>
      <c r="J1458" s="10">
        <v>7.8523429387999997</v>
      </c>
      <c r="K1458" s="8" t="s">
        <v>5128</v>
      </c>
      <c r="S1458"/>
    </row>
    <row r="1459" spans="1:19" ht="15" x14ac:dyDescent="0.25">
      <c r="A1459" s="8" t="s">
        <v>4998</v>
      </c>
      <c r="B1459" s="8" t="s">
        <v>4779</v>
      </c>
      <c r="C1459" s="8" t="s">
        <v>6470</v>
      </c>
      <c r="D1459" s="32" t="s">
        <v>6984</v>
      </c>
      <c r="E1459" s="32" t="s">
        <v>6470</v>
      </c>
      <c r="F1459" s="10">
        <v>1</v>
      </c>
      <c r="G1459" s="8" t="s">
        <v>5101</v>
      </c>
      <c r="H1459" s="10">
        <v>50.7</v>
      </c>
      <c r="I1459" s="10">
        <f t="shared" si="24"/>
        <v>50.7</v>
      </c>
      <c r="J1459" s="10">
        <v>2.9209563531999998</v>
      </c>
      <c r="K1459" s="8" t="s">
        <v>5128</v>
      </c>
      <c r="S1459"/>
    </row>
    <row r="1460" spans="1:19" ht="15" x14ac:dyDescent="0.25">
      <c r="A1460" s="8" t="s">
        <v>4998</v>
      </c>
      <c r="B1460" s="8" t="s">
        <v>4779</v>
      </c>
      <c r="C1460" s="8" t="s">
        <v>6471</v>
      </c>
      <c r="D1460" s="32" t="s">
        <v>6984</v>
      </c>
      <c r="E1460" s="32" t="s">
        <v>6471</v>
      </c>
      <c r="F1460" s="10">
        <v>1</v>
      </c>
      <c r="G1460" s="8" t="s">
        <v>5101</v>
      </c>
      <c r="H1460" s="10">
        <v>118</v>
      </c>
      <c r="I1460" s="10">
        <f t="shared" si="24"/>
        <v>118</v>
      </c>
      <c r="J1460" s="10">
        <v>7.6410195812000001</v>
      </c>
      <c r="K1460" s="8" t="s">
        <v>5128</v>
      </c>
      <c r="S1460"/>
    </row>
    <row r="1461" spans="1:19" ht="15" x14ac:dyDescent="0.25">
      <c r="A1461" s="8" t="s">
        <v>4998</v>
      </c>
      <c r="B1461" s="8" t="s">
        <v>4779</v>
      </c>
      <c r="C1461" s="8" t="s">
        <v>6472</v>
      </c>
      <c r="D1461" s="32" t="s">
        <v>6984</v>
      </c>
      <c r="E1461" s="32" t="s">
        <v>6472</v>
      </c>
      <c r="F1461" s="10">
        <v>1</v>
      </c>
      <c r="G1461" s="8" t="s">
        <v>5101</v>
      </c>
      <c r="H1461" s="10">
        <v>152.80000000000001</v>
      </c>
      <c r="I1461" s="10">
        <f t="shared" si="24"/>
        <v>152.80000000000001</v>
      </c>
      <c r="J1461" s="10">
        <v>10.0897672356</v>
      </c>
      <c r="K1461" s="8" t="s">
        <v>5128</v>
      </c>
      <c r="S1461"/>
    </row>
    <row r="1462" spans="1:19" ht="15" x14ac:dyDescent="0.25">
      <c r="A1462" s="8" t="s">
        <v>4998</v>
      </c>
      <c r="B1462" s="8" t="s">
        <v>4779</v>
      </c>
      <c r="C1462" s="8" t="s">
        <v>6473</v>
      </c>
      <c r="D1462" s="32" t="s">
        <v>6984</v>
      </c>
      <c r="E1462" s="32" t="s">
        <v>6473</v>
      </c>
      <c r="F1462" s="10">
        <v>1</v>
      </c>
      <c r="G1462" s="8" t="s">
        <v>5101</v>
      </c>
      <c r="H1462" s="10">
        <v>141</v>
      </c>
      <c r="I1462" s="10">
        <f t="shared" si="24"/>
        <v>141</v>
      </c>
      <c r="J1462" s="10">
        <v>8.5260495416000008</v>
      </c>
      <c r="K1462" s="8" t="s">
        <v>5102</v>
      </c>
      <c r="S1462"/>
    </row>
    <row r="1463" spans="1:19" ht="15" x14ac:dyDescent="0.25">
      <c r="A1463" s="8" t="s">
        <v>4998</v>
      </c>
      <c r="B1463" s="8" t="s">
        <v>4779</v>
      </c>
      <c r="C1463" s="8" t="s">
        <v>6474</v>
      </c>
      <c r="D1463" s="32" t="s">
        <v>6984</v>
      </c>
      <c r="E1463" s="32" t="s">
        <v>6474</v>
      </c>
      <c r="F1463" s="10">
        <v>1</v>
      </c>
      <c r="G1463" s="8" t="s">
        <v>5101</v>
      </c>
      <c r="H1463" s="10">
        <v>141</v>
      </c>
      <c r="I1463" s="10">
        <f t="shared" si="24"/>
        <v>141</v>
      </c>
      <c r="J1463" s="10">
        <v>8.5260495416000008</v>
      </c>
      <c r="K1463" s="8" t="s">
        <v>5102</v>
      </c>
      <c r="S1463"/>
    </row>
    <row r="1464" spans="1:19" ht="15" x14ac:dyDescent="0.25">
      <c r="A1464" s="8" t="s">
        <v>4998</v>
      </c>
      <c r="B1464" s="8" t="s">
        <v>4779</v>
      </c>
      <c r="C1464" s="8" t="s">
        <v>6475</v>
      </c>
      <c r="D1464" s="32" t="s">
        <v>6984</v>
      </c>
      <c r="E1464" s="32" t="s">
        <v>6475</v>
      </c>
      <c r="F1464" s="10">
        <v>1</v>
      </c>
      <c r="G1464" s="8" t="s">
        <v>5095</v>
      </c>
      <c r="H1464" s="10">
        <v>202.6</v>
      </c>
      <c r="I1464" s="10">
        <f t="shared" si="24"/>
        <v>202.6</v>
      </c>
      <c r="J1464" s="10">
        <v>5.5986946959999999</v>
      </c>
      <c r="K1464" s="8" t="s">
        <v>5536</v>
      </c>
      <c r="S1464"/>
    </row>
    <row r="1465" spans="1:19" ht="15" x14ac:dyDescent="0.25">
      <c r="A1465" s="8" t="s">
        <v>4998</v>
      </c>
      <c r="B1465" s="8" t="s">
        <v>4779</v>
      </c>
      <c r="C1465" s="8" t="s">
        <v>6476</v>
      </c>
      <c r="D1465" s="32" t="s">
        <v>6984</v>
      </c>
      <c r="E1465" s="32" t="s">
        <v>6476</v>
      </c>
      <c r="F1465" s="10">
        <v>2</v>
      </c>
      <c r="G1465" s="8" t="s">
        <v>5095</v>
      </c>
      <c r="H1465" s="10">
        <v>23</v>
      </c>
      <c r="I1465" s="10">
        <f t="shared" si="24"/>
        <v>46</v>
      </c>
      <c r="J1465" s="10">
        <v>1.2611600000000001</v>
      </c>
      <c r="K1465" s="8" t="s">
        <v>5536</v>
      </c>
      <c r="S1465"/>
    </row>
    <row r="1466" spans="1:19" ht="15" x14ac:dyDescent="0.25">
      <c r="A1466" s="8" t="s">
        <v>4998</v>
      </c>
      <c r="B1466" s="8" t="s">
        <v>4779</v>
      </c>
      <c r="C1466" s="8" t="s">
        <v>6477</v>
      </c>
      <c r="D1466" s="32" t="s">
        <v>6984</v>
      </c>
      <c r="E1466" s="32" t="s">
        <v>6477</v>
      </c>
      <c r="F1466" s="10">
        <v>1</v>
      </c>
      <c r="G1466" s="8" t="s">
        <v>5095</v>
      </c>
      <c r="H1466" s="10">
        <v>205.6</v>
      </c>
      <c r="I1466" s="10">
        <f t="shared" si="24"/>
        <v>205.6</v>
      </c>
      <c r="J1466" s="10">
        <v>5.728417576</v>
      </c>
      <c r="K1466" s="8" t="s">
        <v>5536</v>
      </c>
      <c r="S1466"/>
    </row>
    <row r="1467" spans="1:19" ht="15" x14ac:dyDescent="0.25">
      <c r="A1467" s="8" t="s">
        <v>4998</v>
      </c>
      <c r="B1467" s="8" t="s">
        <v>4779</v>
      </c>
      <c r="C1467" s="8" t="s">
        <v>6478</v>
      </c>
      <c r="D1467" s="32" t="s">
        <v>6984</v>
      </c>
      <c r="E1467" s="32" t="s">
        <v>6478</v>
      </c>
      <c r="F1467" s="10">
        <v>1</v>
      </c>
      <c r="G1467" s="8" t="s">
        <v>5095</v>
      </c>
      <c r="H1467" s="10">
        <v>134.6</v>
      </c>
      <c r="I1467" s="10">
        <f t="shared" si="24"/>
        <v>134.6</v>
      </c>
      <c r="J1467" s="10">
        <v>3.7332777635199998</v>
      </c>
      <c r="K1467" s="8" t="s">
        <v>5536</v>
      </c>
      <c r="S1467"/>
    </row>
    <row r="1468" spans="1:19" ht="15" x14ac:dyDescent="0.25">
      <c r="A1468" s="8" t="s">
        <v>4998</v>
      </c>
      <c r="B1468" s="8" t="s">
        <v>4779</v>
      </c>
      <c r="C1468" s="8" t="s">
        <v>6479</v>
      </c>
      <c r="D1468" s="32" t="s">
        <v>6984</v>
      </c>
      <c r="E1468" s="32" t="s">
        <v>6479</v>
      </c>
      <c r="F1468" s="10">
        <v>1</v>
      </c>
      <c r="G1468" s="8" t="s">
        <v>5095</v>
      </c>
      <c r="H1468" s="10">
        <v>134.6</v>
      </c>
      <c r="I1468" s="10">
        <f t="shared" si="24"/>
        <v>134.6</v>
      </c>
      <c r="J1468" s="10">
        <v>3.7332777635199998</v>
      </c>
      <c r="K1468" s="8" t="s">
        <v>5536</v>
      </c>
      <c r="S1468"/>
    </row>
    <row r="1469" spans="1:19" ht="15" x14ac:dyDescent="0.25">
      <c r="A1469" s="8" t="s">
        <v>4998</v>
      </c>
      <c r="B1469" s="8" t="s">
        <v>4779</v>
      </c>
      <c r="C1469" s="8" t="s">
        <v>6480</v>
      </c>
      <c r="D1469" s="32" t="s">
        <v>6984</v>
      </c>
      <c r="E1469" s="32" t="s">
        <v>6480</v>
      </c>
      <c r="F1469" s="10">
        <v>4</v>
      </c>
      <c r="G1469" s="8" t="s">
        <v>5642</v>
      </c>
      <c r="H1469" s="10">
        <v>4.5750000000000002</v>
      </c>
      <c r="I1469" s="10">
        <f t="shared" si="24"/>
        <v>18.3</v>
      </c>
      <c r="J1469" s="10">
        <v>1.0338816</v>
      </c>
      <c r="K1469" s="8" t="s">
        <v>5248</v>
      </c>
      <c r="S1469"/>
    </row>
    <row r="1470" spans="1:19" ht="15" x14ac:dyDescent="0.25">
      <c r="A1470" s="8" t="s">
        <v>4998</v>
      </c>
      <c r="B1470" s="8" t="s">
        <v>4779</v>
      </c>
      <c r="C1470" s="8" t="s">
        <v>6481</v>
      </c>
      <c r="D1470" s="32" t="s">
        <v>6984</v>
      </c>
      <c r="E1470" s="32" t="s">
        <v>6481</v>
      </c>
      <c r="F1470" s="10">
        <v>1</v>
      </c>
      <c r="G1470" s="8" t="s">
        <v>5642</v>
      </c>
      <c r="H1470" s="10">
        <v>6.7</v>
      </c>
      <c r="I1470" s="10">
        <f t="shared" si="24"/>
        <v>6.7</v>
      </c>
      <c r="J1470" s="10">
        <v>0.28270200000000001</v>
      </c>
      <c r="K1470" s="8" t="s">
        <v>5335</v>
      </c>
      <c r="S1470"/>
    </row>
    <row r="1471" spans="1:19" ht="15" x14ac:dyDescent="0.25">
      <c r="A1471" s="8" t="s">
        <v>4998</v>
      </c>
      <c r="B1471" s="8" t="s">
        <v>4779</v>
      </c>
      <c r="C1471" s="8" t="s">
        <v>6482</v>
      </c>
      <c r="D1471" s="32" t="s">
        <v>6984</v>
      </c>
      <c r="E1471" s="32" t="s">
        <v>6482</v>
      </c>
      <c r="F1471" s="10">
        <v>1</v>
      </c>
      <c r="G1471" s="8" t="s">
        <v>5642</v>
      </c>
      <c r="H1471" s="10">
        <v>6.7</v>
      </c>
      <c r="I1471" s="10">
        <f t="shared" si="24"/>
        <v>6.7</v>
      </c>
      <c r="J1471" s="10">
        <v>0.28244799999999998</v>
      </c>
      <c r="K1471" s="8" t="s">
        <v>5335</v>
      </c>
      <c r="S1471"/>
    </row>
    <row r="1472" spans="1:19" ht="15" x14ac:dyDescent="0.25">
      <c r="A1472" s="8" t="s">
        <v>4998</v>
      </c>
      <c r="B1472" s="8" t="s">
        <v>4779</v>
      </c>
      <c r="C1472" s="8" t="s">
        <v>6483</v>
      </c>
      <c r="D1472" s="32" t="s">
        <v>6984</v>
      </c>
      <c r="E1472" s="32" t="s">
        <v>6483</v>
      </c>
      <c r="F1472" s="10">
        <v>5</v>
      </c>
      <c r="G1472" s="8" t="s">
        <v>5642</v>
      </c>
      <c r="H1472" s="10">
        <v>4.7799999999999994</v>
      </c>
      <c r="I1472" s="10">
        <f t="shared" si="24"/>
        <v>23.9</v>
      </c>
      <c r="J1472" s="10">
        <v>1.349248</v>
      </c>
      <c r="K1472" s="8" t="s">
        <v>5248</v>
      </c>
      <c r="S1472"/>
    </row>
    <row r="1473" spans="1:19" ht="15" x14ac:dyDescent="0.25">
      <c r="A1473" s="8" t="s">
        <v>4963</v>
      </c>
      <c r="B1473" s="8" t="s">
        <v>4869</v>
      </c>
      <c r="C1473" s="8" t="s">
        <v>6484</v>
      </c>
      <c r="D1473" s="32" t="s">
        <v>5146</v>
      </c>
      <c r="E1473" s="32" t="s">
        <v>6484</v>
      </c>
      <c r="F1473" s="10">
        <v>16</v>
      </c>
      <c r="G1473" s="8" t="s">
        <v>6456</v>
      </c>
      <c r="J1473" s="10">
        <v>0</v>
      </c>
      <c r="K1473" s="8" t="s">
        <v>6456</v>
      </c>
      <c r="L1473" s="8" t="s">
        <v>32</v>
      </c>
      <c r="S1473"/>
    </row>
    <row r="1474" spans="1:19" ht="15" x14ac:dyDescent="0.25">
      <c r="A1474" s="8" t="s">
        <v>4932</v>
      </c>
      <c r="B1474" s="8" t="s">
        <v>14</v>
      </c>
      <c r="C1474" s="8" t="s">
        <v>6485</v>
      </c>
      <c r="D1474" s="32" t="s">
        <v>5146</v>
      </c>
      <c r="E1474" s="32" t="s">
        <v>6485</v>
      </c>
      <c r="F1474" s="10">
        <v>32</v>
      </c>
      <c r="G1474" s="8" t="s">
        <v>6456</v>
      </c>
      <c r="J1474" s="10">
        <v>0</v>
      </c>
      <c r="K1474" s="8" t="s">
        <v>6456</v>
      </c>
      <c r="L1474" s="8" t="s">
        <v>32</v>
      </c>
      <c r="S1474"/>
    </row>
    <row r="1475" spans="1:19" ht="15" x14ac:dyDescent="0.25">
      <c r="A1475" s="8" t="s">
        <v>5069</v>
      </c>
      <c r="B1475" s="8" t="s">
        <v>5070</v>
      </c>
      <c r="C1475" s="8" t="s">
        <v>6486</v>
      </c>
      <c r="D1475" s="32" t="s">
        <v>5146</v>
      </c>
      <c r="E1475" s="32" t="s">
        <v>6486</v>
      </c>
      <c r="F1475" s="10">
        <v>144</v>
      </c>
      <c r="G1475" s="8" t="s">
        <v>6456</v>
      </c>
      <c r="J1475" s="10">
        <v>0</v>
      </c>
      <c r="K1475" s="8" t="s">
        <v>6456</v>
      </c>
      <c r="L1475" s="8" t="s">
        <v>32</v>
      </c>
      <c r="S1475"/>
    </row>
    <row r="1476" spans="1:19" ht="15" x14ac:dyDescent="0.25">
      <c r="A1476" s="8" t="s">
        <v>5073</v>
      </c>
      <c r="B1476" s="8" t="s">
        <v>5070</v>
      </c>
      <c r="C1476" s="8" t="s">
        <v>6487</v>
      </c>
      <c r="D1476" s="32" t="s">
        <v>5146</v>
      </c>
      <c r="E1476" s="32" t="s">
        <v>6487</v>
      </c>
      <c r="F1476" s="10">
        <v>124</v>
      </c>
      <c r="G1476" s="8" t="s">
        <v>6456</v>
      </c>
      <c r="J1476" s="10">
        <v>0</v>
      </c>
      <c r="K1476" s="8" t="s">
        <v>6456</v>
      </c>
      <c r="L1476" s="8" t="s">
        <v>32</v>
      </c>
      <c r="S1476"/>
    </row>
    <row r="1477" spans="1:19" ht="15" x14ac:dyDescent="0.25">
      <c r="A1477" s="8" t="s">
        <v>5622</v>
      </c>
      <c r="B1477" s="8" t="s">
        <v>4847</v>
      </c>
      <c r="C1477" s="8" t="s">
        <v>6488</v>
      </c>
      <c r="D1477" s="32" t="s">
        <v>5146</v>
      </c>
      <c r="E1477" s="32" t="s">
        <v>6488</v>
      </c>
      <c r="F1477" s="10">
        <v>344</v>
      </c>
      <c r="G1477" s="8" t="s">
        <v>6456</v>
      </c>
      <c r="J1477" s="10">
        <v>0</v>
      </c>
      <c r="K1477" s="8" t="s">
        <v>6456</v>
      </c>
      <c r="L1477" s="8" t="s">
        <v>32</v>
      </c>
      <c r="S1477"/>
    </row>
    <row r="1478" spans="1:19" ht="15" x14ac:dyDescent="0.25">
      <c r="A1478" s="8" t="s">
        <v>5018</v>
      </c>
      <c r="B1478" s="8" t="s">
        <v>4819</v>
      </c>
      <c r="C1478" s="8" t="s">
        <v>6489</v>
      </c>
      <c r="D1478" s="32" t="s">
        <v>6984</v>
      </c>
      <c r="E1478" s="32" t="s">
        <v>6489</v>
      </c>
      <c r="F1478" s="10">
        <v>1</v>
      </c>
      <c r="G1478" s="8" t="s">
        <v>6266</v>
      </c>
      <c r="H1478" s="10">
        <v>42.7</v>
      </c>
      <c r="I1478" s="10">
        <f t="shared" ref="I1478:I1540" si="25">F1478*H1478</f>
        <v>42.7</v>
      </c>
      <c r="J1478" s="10">
        <v>0</v>
      </c>
      <c r="K1478" s="8" t="s">
        <v>5087</v>
      </c>
      <c r="S1478"/>
    </row>
    <row r="1479" spans="1:19" ht="15" x14ac:dyDescent="0.25">
      <c r="A1479" s="8" t="s">
        <v>5018</v>
      </c>
      <c r="B1479" s="8" t="s">
        <v>4819</v>
      </c>
      <c r="C1479" s="8" t="s">
        <v>6490</v>
      </c>
      <c r="D1479" s="32" t="s">
        <v>6984</v>
      </c>
      <c r="E1479" s="32" t="s">
        <v>6490</v>
      </c>
      <c r="F1479" s="10">
        <v>1</v>
      </c>
      <c r="G1479" s="8" t="s">
        <v>6266</v>
      </c>
      <c r="H1479" s="10">
        <v>29.8</v>
      </c>
      <c r="I1479" s="10">
        <f t="shared" si="25"/>
        <v>29.8</v>
      </c>
      <c r="J1479" s="10">
        <v>0</v>
      </c>
      <c r="K1479" s="8" t="s">
        <v>5087</v>
      </c>
      <c r="S1479"/>
    </row>
    <row r="1480" spans="1:19" ht="15" x14ac:dyDescent="0.25">
      <c r="A1480" s="8" t="s">
        <v>5018</v>
      </c>
      <c r="B1480" s="8" t="s">
        <v>4819</v>
      </c>
      <c r="C1480" s="8" t="s">
        <v>6491</v>
      </c>
      <c r="D1480" s="32" t="s">
        <v>6984</v>
      </c>
      <c r="E1480" s="32" t="s">
        <v>6491</v>
      </c>
      <c r="F1480" s="10">
        <v>1</v>
      </c>
      <c r="G1480" s="8" t="s">
        <v>6266</v>
      </c>
      <c r="H1480" s="10">
        <v>22.6</v>
      </c>
      <c r="I1480" s="10">
        <f t="shared" si="25"/>
        <v>22.6</v>
      </c>
      <c r="J1480" s="10">
        <v>0</v>
      </c>
      <c r="K1480" s="8" t="s">
        <v>5087</v>
      </c>
      <c r="S1480"/>
    </row>
    <row r="1481" spans="1:19" ht="15" x14ac:dyDescent="0.25">
      <c r="A1481" s="8" t="s">
        <v>5018</v>
      </c>
      <c r="B1481" s="8" t="s">
        <v>4819</v>
      </c>
      <c r="C1481" s="8" t="s">
        <v>6492</v>
      </c>
      <c r="D1481" s="32" t="s">
        <v>6984</v>
      </c>
      <c r="E1481" s="32" t="s">
        <v>6492</v>
      </c>
      <c r="F1481" s="10">
        <v>1</v>
      </c>
      <c r="G1481" s="8" t="s">
        <v>6266</v>
      </c>
      <c r="H1481" s="10">
        <v>35.200000000000003</v>
      </c>
      <c r="I1481" s="10">
        <f t="shared" si="25"/>
        <v>35.200000000000003</v>
      </c>
      <c r="J1481" s="10">
        <v>0</v>
      </c>
      <c r="K1481" s="8" t="s">
        <v>5087</v>
      </c>
      <c r="S1481"/>
    </row>
    <row r="1482" spans="1:19" ht="15" x14ac:dyDescent="0.25">
      <c r="A1482" s="8" t="s">
        <v>5018</v>
      </c>
      <c r="B1482" s="8" t="s">
        <v>4819</v>
      </c>
      <c r="C1482" s="8" t="s">
        <v>6493</v>
      </c>
      <c r="D1482" s="32" t="s">
        <v>6984</v>
      </c>
      <c r="E1482" s="32" t="s">
        <v>6493</v>
      </c>
      <c r="F1482" s="10">
        <v>1</v>
      </c>
      <c r="G1482" s="8" t="s">
        <v>6266</v>
      </c>
      <c r="H1482" s="10">
        <v>25.5</v>
      </c>
      <c r="I1482" s="10">
        <f t="shared" si="25"/>
        <v>25.5</v>
      </c>
      <c r="J1482" s="10">
        <v>0</v>
      </c>
      <c r="K1482" s="8" t="s">
        <v>5087</v>
      </c>
      <c r="S1482"/>
    </row>
    <row r="1483" spans="1:19" ht="15" x14ac:dyDescent="0.25">
      <c r="A1483" s="8" t="s">
        <v>5018</v>
      </c>
      <c r="B1483" s="8" t="s">
        <v>4819</v>
      </c>
      <c r="C1483" s="8" t="s">
        <v>6494</v>
      </c>
      <c r="D1483" s="32" t="s">
        <v>6984</v>
      </c>
      <c r="E1483" s="32" t="s">
        <v>6494</v>
      </c>
      <c r="F1483" s="10">
        <v>1</v>
      </c>
      <c r="G1483" s="8" t="s">
        <v>6266</v>
      </c>
      <c r="H1483" s="10">
        <v>46.1</v>
      </c>
      <c r="I1483" s="10">
        <f t="shared" si="25"/>
        <v>46.1</v>
      </c>
      <c r="J1483" s="10">
        <v>0</v>
      </c>
      <c r="K1483" s="8" t="s">
        <v>5087</v>
      </c>
      <c r="S1483"/>
    </row>
    <row r="1484" spans="1:19" ht="15" x14ac:dyDescent="0.25">
      <c r="A1484" s="8" t="s">
        <v>5018</v>
      </c>
      <c r="B1484" s="8" t="s">
        <v>4819</v>
      </c>
      <c r="C1484" s="8" t="s">
        <v>6495</v>
      </c>
      <c r="D1484" s="32" t="s">
        <v>6984</v>
      </c>
      <c r="E1484" s="32" t="s">
        <v>6495</v>
      </c>
      <c r="F1484" s="10">
        <v>1</v>
      </c>
      <c r="G1484" s="8" t="s">
        <v>6266</v>
      </c>
      <c r="H1484" s="10">
        <v>19.600000000000001</v>
      </c>
      <c r="I1484" s="10">
        <f t="shared" si="25"/>
        <v>19.600000000000001</v>
      </c>
      <c r="J1484" s="10">
        <v>0</v>
      </c>
      <c r="K1484" s="8" t="s">
        <v>5087</v>
      </c>
      <c r="S1484"/>
    </row>
    <row r="1485" spans="1:19" ht="15" x14ac:dyDescent="0.25">
      <c r="A1485" s="8" t="s">
        <v>5018</v>
      </c>
      <c r="B1485" s="8" t="s">
        <v>4819</v>
      </c>
      <c r="C1485" s="8" t="s">
        <v>6496</v>
      </c>
      <c r="D1485" s="32" t="s">
        <v>6984</v>
      </c>
      <c r="E1485" s="32" t="s">
        <v>6496</v>
      </c>
      <c r="F1485" s="10">
        <v>1</v>
      </c>
      <c r="G1485" s="8" t="s">
        <v>6266</v>
      </c>
      <c r="H1485" s="10">
        <v>29.1</v>
      </c>
      <c r="I1485" s="10">
        <f t="shared" si="25"/>
        <v>29.1</v>
      </c>
      <c r="J1485" s="10">
        <v>0</v>
      </c>
      <c r="K1485" s="8" t="s">
        <v>5087</v>
      </c>
      <c r="S1485"/>
    </row>
    <row r="1486" spans="1:19" ht="15" x14ac:dyDescent="0.25">
      <c r="A1486" s="8" t="s">
        <v>5018</v>
      </c>
      <c r="B1486" s="8" t="s">
        <v>4819</v>
      </c>
      <c r="C1486" s="8" t="s">
        <v>6497</v>
      </c>
      <c r="D1486" s="32" t="s">
        <v>6984</v>
      </c>
      <c r="E1486" s="32" t="s">
        <v>6497</v>
      </c>
      <c r="F1486" s="10">
        <v>1</v>
      </c>
      <c r="G1486" s="8" t="s">
        <v>6266</v>
      </c>
      <c r="H1486" s="10">
        <v>44.8</v>
      </c>
      <c r="I1486" s="10">
        <f t="shared" si="25"/>
        <v>44.8</v>
      </c>
      <c r="J1486" s="10">
        <v>0</v>
      </c>
      <c r="K1486" s="8" t="s">
        <v>5087</v>
      </c>
      <c r="S1486"/>
    </row>
    <row r="1487" spans="1:19" ht="15" x14ac:dyDescent="0.25">
      <c r="A1487" s="8" t="s">
        <v>5018</v>
      </c>
      <c r="B1487" s="8" t="s">
        <v>4819</v>
      </c>
      <c r="C1487" s="8" t="s">
        <v>6498</v>
      </c>
      <c r="D1487" s="32" t="s">
        <v>6984</v>
      </c>
      <c r="E1487" s="32" t="s">
        <v>6498</v>
      </c>
      <c r="F1487" s="10">
        <v>1</v>
      </c>
      <c r="G1487" s="8" t="s">
        <v>6266</v>
      </c>
      <c r="H1487" s="10">
        <v>50.1</v>
      </c>
      <c r="I1487" s="10">
        <f t="shared" si="25"/>
        <v>50.1</v>
      </c>
      <c r="J1487" s="10">
        <v>0</v>
      </c>
      <c r="K1487" s="8" t="s">
        <v>5087</v>
      </c>
      <c r="S1487"/>
    </row>
    <row r="1488" spans="1:19" ht="15" x14ac:dyDescent="0.25">
      <c r="A1488" s="8" t="s">
        <v>5018</v>
      </c>
      <c r="B1488" s="8" t="s">
        <v>4819</v>
      </c>
      <c r="C1488" s="8" t="s">
        <v>6499</v>
      </c>
      <c r="D1488" s="32" t="s">
        <v>6984</v>
      </c>
      <c r="E1488" s="32" t="s">
        <v>6499</v>
      </c>
      <c r="F1488" s="10">
        <v>50</v>
      </c>
      <c r="G1488" s="8" t="s">
        <v>5569</v>
      </c>
      <c r="H1488" s="10">
        <v>13.1</v>
      </c>
      <c r="I1488" s="10">
        <f t="shared" si="25"/>
        <v>655</v>
      </c>
      <c r="J1488" s="10">
        <v>0</v>
      </c>
      <c r="K1488" s="8" t="s">
        <v>6452</v>
      </c>
      <c r="S1488"/>
    </row>
    <row r="1489" spans="1:19" ht="15" x14ac:dyDescent="0.25">
      <c r="A1489" s="8" t="s">
        <v>5622</v>
      </c>
      <c r="B1489" s="8" t="s">
        <v>4847</v>
      </c>
      <c r="C1489" s="8" t="s">
        <v>6500</v>
      </c>
      <c r="D1489" s="32" t="s">
        <v>6984</v>
      </c>
      <c r="E1489" s="32" t="s">
        <v>6500</v>
      </c>
      <c r="F1489" s="10">
        <v>20</v>
      </c>
      <c r="G1489" s="8" t="s">
        <v>5569</v>
      </c>
      <c r="H1489" s="10">
        <v>13.1</v>
      </c>
      <c r="I1489" s="10">
        <f t="shared" si="25"/>
        <v>262</v>
      </c>
      <c r="J1489" s="10">
        <v>0</v>
      </c>
      <c r="K1489" s="8" t="s">
        <v>6452</v>
      </c>
      <c r="S1489"/>
    </row>
    <row r="1490" spans="1:19" ht="15" x14ac:dyDescent="0.25">
      <c r="A1490" s="8" t="s">
        <v>5622</v>
      </c>
      <c r="B1490" s="8" t="s">
        <v>4847</v>
      </c>
      <c r="C1490" s="8" t="s">
        <v>6501</v>
      </c>
      <c r="D1490" s="32" t="s">
        <v>6984</v>
      </c>
      <c r="E1490" s="32" t="s">
        <v>6501</v>
      </c>
      <c r="F1490" s="10">
        <v>1</v>
      </c>
      <c r="G1490" s="8" t="s">
        <v>6266</v>
      </c>
      <c r="H1490" s="10">
        <v>21.9</v>
      </c>
      <c r="I1490" s="10">
        <f t="shared" si="25"/>
        <v>21.9</v>
      </c>
      <c r="J1490" s="10">
        <v>0</v>
      </c>
      <c r="K1490" s="8" t="s">
        <v>5087</v>
      </c>
      <c r="S1490"/>
    </row>
    <row r="1491" spans="1:19" ht="15" x14ac:dyDescent="0.25">
      <c r="A1491" s="8" t="s">
        <v>5622</v>
      </c>
      <c r="B1491" s="8" t="s">
        <v>4847</v>
      </c>
      <c r="C1491" s="8" t="s">
        <v>6502</v>
      </c>
      <c r="D1491" s="32" t="s">
        <v>6984</v>
      </c>
      <c r="E1491" s="32" t="s">
        <v>6502</v>
      </c>
      <c r="F1491" s="10">
        <v>1</v>
      </c>
      <c r="G1491" s="8" t="s">
        <v>6266</v>
      </c>
      <c r="H1491" s="10">
        <v>17.899999999999999</v>
      </c>
      <c r="I1491" s="10">
        <f t="shared" si="25"/>
        <v>17.899999999999999</v>
      </c>
      <c r="J1491" s="10">
        <v>0</v>
      </c>
      <c r="K1491" s="8" t="s">
        <v>5087</v>
      </c>
      <c r="S1491"/>
    </row>
    <row r="1492" spans="1:19" ht="15" x14ac:dyDescent="0.25">
      <c r="A1492" s="8" t="s">
        <v>5622</v>
      </c>
      <c r="B1492" s="8" t="s">
        <v>4847</v>
      </c>
      <c r="C1492" s="8" t="s">
        <v>6503</v>
      </c>
      <c r="D1492" s="32" t="s">
        <v>6984</v>
      </c>
      <c r="E1492" s="32" t="s">
        <v>6503</v>
      </c>
      <c r="F1492" s="10">
        <v>1</v>
      </c>
      <c r="G1492" s="8" t="s">
        <v>5139</v>
      </c>
      <c r="H1492" s="10">
        <v>154.1</v>
      </c>
      <c r="I1492" s="10">
        <f t="shared" si="25"/>
        <v>154.1</v>
      </c>
      <c r="J1492" s="10">
        <v>9.6766041416000004</v>
      </c>
      <c r="K1492" s="8" t="s">
        <v>5102</v>
      </c>
      <c r="S1492"/>
    </row>
    <row r="1493" spans="1:19" ht="15" x14ac:dyDescent="0.25">
      <c r="A1493" s="8" t="s">
        <v>5622</v>
      </c>
      <c r="B1493" s="8" t="s">
        <v>4847</v>
      </c>
      <c r="C1493" s="8" t="s">
        <v>6504</v>
      </c>
      <c r="D1493" s="32" t="s">
        <v>6984</v>
      </c>
      <c r="E1493" s="32" t="s">
        <v>6504</v>
      </c>
      <c r="F1493" s="10">
        <v>1</v>
      </c>
      <c r="G1493" s="8" t="s">
        <v>5139</v>
      </c>
      <c r="H1493" s="10">
        <v>154.1</v>
      </c>
      <c r="I1493" s="10">
        <f t="shared" si="25"/>
        <v>154.1</v>
      </c>
      <c r="J1493" s="10">
        <v>9.6773661416000003</v>
      </c>
      <c r="K1493" s="8" t="s">
        <v>5102</v>
      </c>
      <c r="S1493"/>
    </row>
    <row r="1494" spans="1:19" ht="15" x14ac:dyDescent="0.25">
      <c r="A1494" s="8" t="s">
        <v>5622</v>
      </c>
      <c r="B1494" s="8" t="s">
        <v>4847</v>
      </c>
      <c r="C1494" s="8" t="s">
        <v>6505</v>
      </c>
      <c r="D1494" s="32" t="s">
        <v>6984</v>
      </c>
      <c r="E1494" s="32" t="s">
        <v>6505</v>
      </c>
      <c r="F1494" s="10">
        <v>1</v>
      </c>
      <c r="G1494" s="8" t="s">
        <v>5139</v>
      </c>
      <c r="H1494" s="10">
        <v>63.9</v>
      </c>
      <c r="I1494" s="10">
        <f t="shared" si="25"/>
        <v>63.9</v>
      </c>
      <c r="J1494" s="10">
        <v>3.9304972216</v>
      </c>
      <c r="K1494" s="8" t="s">
        <v>5102</v>
      </c>
      <c r="S1494"/>
    </row>
    <row r="1495" spans="1:19" ht="15" x14ac:dyDescent="0.25">
      <c r="A1495" s="8" t="s">
        <v>5622</v>
      </c>
      <c r="B1495" s="8" t="s">
        <v>4847</v>
      </c>
      <c r="C1495" s="8" t="s">
        <v>6506</v>
      </c>
      <c r="D1495" s="32" t="s">
        <v>6984</v>
      </c>
      <c r="E1495" s="32" t="s">
        <v>6506</v>
      </c>
      <c r="F1495" s="10">
        <v>1</v>
      </c>
      <c r="G1495" s="8" t="s">
        <v>5139</v>
      </c>
      <c r="H1495" s="10">
        <v>63.9</v>
      </c>
      <c r="I1495" s="10">
        <f t="shared" si="25"/>
        <v>63.9</v>
      </c>
      <c r="J1495" s="10">
        <v>3.9304972216</v>
      </c>
      <c r="K1495" s="8" t="s">
        <v>5102</v>
      </c>
      <c r="S1495"/>
    </row>
    <row r="1496" spans="1:19" ht="15" x14ac:dyDescent="0.25">
      <c r="A1496" s="8" t="s">
        <v>5622</v>
      </c>
      <c r="B1496" s="8" t="s">
        <v>4847</v>
      </c>
      <c r="C1496" s="8" t="s">
        <v>6507</v>
      </c>
      <c r="D1496" s="32" t="s">
        <v>6984</v>
      </c>
      <c r="E1496" s="32" t="s">
        <v>6507</v>
      </c>
      <c r="F1496" s="10">
        <v>1</v>
      </c>
      <c r="G1496" s="8" t="s">
        <v>5139</v>
      </c>
      <c r="H1496" s="10">
        <v>40.1</v>
      </c>
      <c r="I1496" s="10">
        <f t="shared" si="25"/>
        <v>40.1</v>
      </c>
      <c r="J1496" s="10">
        <v>2.2547499908000002</v>
      </c>
      <c r="K1496" s="8" t="s">
        <v>5130</v>
      </c>
      <c r="S1496"/>
    </row>
    <row r="1497" spans="1:19" ht="15" x14ac:dyDescent="0.25">
      <c r="A1497" s="8" t="s">
        <v>5622</v>
      </c>
      <c r="B1497" s="8" t="s">
        <v>4847</v>
      </c>
      <c r="C1497" s="8" t="s">
        <v>6508</v>
      </c>
      <c r="D1497" s="32" t="s">
        <v>6984</v>
      </c>
      <c r="E1497" s="32" t="s">
        <v>6508</v>
      </c>
      <c r="F1497" s="10">
        <v>1</v>
      </c>
      <c r="G1497" s="8" t="s">
        <v>5139</v>
      </c>
      <c r="H1497" s="10">
        <v>38.6</v>
      </c>
      <c r="I1497" s="10">
        <f t="shared" si="25"/>
        <v>38.6</v>
      </c>
      <c r="J1497" s="10">
        <v>2.1917303908000001</v>
      </c>
      <c r="K1497" s="8" t="s">
        <v>5130</v>
      </c>
      <c r="S1497"/>
    </row>
    <row r="1498" spans="1:19" ht="15" x14ac:dyDescent="0.25">
      <c r="A1498" s="8" t="s">
        <v>5622</v>
      </c>
      <c r="B1498" s="8" t="s">
        <v>4847</v>
      </c>
      <c r="C1498" s="8" t="s">
        <v>6509</v>
      </c>
      <c r="D1498" s="32" t="s">
        <v>6984</v>
      </c>
      <c r="E1498" s="32" t="s">
        <v>6509</v>
      </c>
      <c r="F1498" s="10">
        <v>1</v>
      </c>
      <c r="G1498" s="8" t="s">
        <v>5139</v>
      </c>
      <c r="H1498" s="10">
        <v>38.6</v>
      </c>
      <c r="I1498" s="10">
        <f t="shared" si="25"/>
        <v>38.6</v>
      </c>
      <c r="J1498" s="10">
        <v>2.1917303908000001</v>
      </c>
      <c r="K1498" s="8" t="s">
        <v>5130</v>
      </c>
      <c r="S1498"/>
    </row>
    <row r="1499" spans="1:19" ht="15" x14ac:dyDescent="0.25">
      <c r="A1499" s="8" t="s">
        <v>5622</v>
      </c>
      <c r="B1499" s="8" t="s">
        <v>4847</v>
      </c>
      <c r="C1499" s="8" t="s">
        <v>6510</v>
      </c>
      <c r="D1499" s="32" t="s">
        <v>6984</v>
      </c>
      <c r="E1499" s="32" t="s">
        <v>6510</v>
      </c>
      <c r="F1499" s="10">
        <v>1</v>
      </c>
      <c r="G1499" s="8" t="s">
        <v>5095</v>
      </c>
      <c r="H1499" s="10">
        <v>240.7</v>
      </c>
      <c r="I1499" s="10">
        <f t="shared" si="25"/>
        <v>240.7</v>
      </c>
      <c r="J1499" s="10">
        <v>6.7329974960000003</v>
      </c>
      <c r="K1499" s="8" t="s">
        <v>5536</v>
      </c>
      <c r="S1499"/>
    </row>
    <row r="1500" spans="1:19" ht="15" x14ac:dyDescent="0.25">
      <c r="A1500" s="8" t="s">
        <v>5622</v>
      </c>
      <c r="B1500" s="8" t="s">
        <v>4847</v>
      </c>
      <c r="C1500" s="8" t="s">
        <v>6511</v>
      </c>
      <c r="D1500" s="32" t="s">
        <v>6984</v>
      </c>
      <c r="E1500" s="32" t="s">
        <v>6511</v>
      </c>
      <c r="F1500" s="10">
        <v>4</v>
      </c>
      <c r="G1500" s="8" t="s">
        <v>5642</v>
      </c>
      <c r="H1500" s="10">
        <v>5</v>
      </c>
      <c r="I1500" s="10">
        <f t="shared" si="25"/>
        <v>20</v>
      </c>
      <c r="J1500" s="10">
        <v>1.1281664</v>
      </c>
      <c r="K1500" s="8" t="s">
        <v>5248</v>
      </c>
      <c r="S1500"/>
    </row>
    <row r="1501" spans="1:19" ht="15" x14ac:dyDescent="0.25">
      <c r="A1501" s="8" t="s">
        <v>5622</v>
      </c>
      <c r="B1501" s="8" t="s">
        <v>4847</v>
      </c>
      <c r="C1501" s="8" t="s">
        <v>6512</v>
      </c>
      <c r="D1501" s="32" t="s">
        <v>6984</v>
      </c>
      <c r="E1501" s="32" t="s">
        <v>6512</v>
      </c>
      <c r="F1501" s="10">
        <v>2</v>
      </c>
      <c r="G1501" s="8" t="s">
        <v>5642</v>
      </c>
      <c r="H1501" s="10">
        <v>4.3</v>
      </c>
      <c r="I1501" s="10">
        <f t="shared" si="25"/>
        <v>8.6</v>
      </c>
      <c r="J1501" s="10">
        <v>0.48564800000000002</v>
      </c>
      <c r="K1501" s="8" t="s">
        <v>5248</v>
      </c>
      <c r="S1501"/>
    </row>
    <row r="1502" spans="1:19" ht="15" x14ac:dyDescent="0.25">
      <c r="A1502" s="8" t="s">
        <v>5622</v>
      </c>
      <c r="B1502" s="8" t="s">
        <v>4847</v>
      </c>
      <c r="C1502" s="8" t="s">
        <v>6513</v>
      </c>
      <c r="D1502" s="32" t="s">
        <v>6984</v>
      </c>
      <c r="E1502" s="32" t="s">
        <v>6513</v>
      </c>
      <c r="F1502" s="10">
        <v>1</v>
      </c>
      <c r="G1502" s="8" t="s">
        <v>5095</v>
      </c>
      <c r="H1502" s="10">
        <v>242.7</v>
      </c>
      <c r="I1502" s="10">
        <f t="shared" si="25"/>
        <v>242.7</v>
      </c>
      <c r="J1502" s="10">
        <v>6.6681360559999998</v>
      </c>
      <c r="K1502" s="8" t="s">
        <v>5536</v>
      </c>
      <c r="S1502"/>
    </row>
    <row r="1503" spans="1:19" ht="15" x14ac:dyDescent="0.25">
      <c r="A1503" s="8" t="s">
        <v>5018</v>
      </c>
      <c r="B1503" s="8" t="s">
        <v>4819</v>
      </c>
      <c r="C1503" s="8" t="s">
        <v>6514</v>
      </c>
      <c r="D1503" s="32" t="s">
        <v>6984</v>
      </c>
      <c r="E1503" s="32" t="s">
        <v>6514</v>
      </c>
      <c r="F1503" s="10">
        <v>1</v>
      </c>
      <c r="G1503" s="8" t="s">
        <v>5095</v>
      </c>
      <c r="H1503" s="10">
        <v>124.4</v>
      </c>
      <c r="I1503" s="10">
        <f t="shared" si="25"/>
        <v>124.4</v>
      </c>
      <c r="J1503" s="10">
        <v>3.8252828982799998</v>
      </c>
      <c r="K1503" s="8" t="s">
        <v>5536</v>
      </c>
      <c r="S1503"/>
    </row>
    <row r="1504" spans="1:19" ht="15" x14ac:dyDescent="0.25">
      <c r="A1504" s="8" t="s">
        <v>5018</v>
      </c>
      <c r="B1504" s="8" t="s">
        <v>4819</v>
      </c>
      <c r="C1504" s="8" t="s">
        <v>6515</v>
      </c>
      <c r="D1504" s="32" t="s">
        <v>6984</v>
      </c>
      <c r="E1504" s="32" t="s">
        <v>6515</v>
      </c>
      <c r="F1504" s="10">
        <v>1</v>
      </c>
      <c r="G1504" s="8" t="s">
        <v>5095</v>
      </c>
      <c r="H1504" s="10">
        <v>114.4</v>
      </c>
      <c r="I1504" s="10">
        <f t="shared" si="25"/>
        <v>114.4</v>
      </c>
      <c r="J1504" s="10">
        <v>3.8906320182799998</v>
      </c>
      <c r="K1504" s="8" t="s">
        <v>5536</v>
      </c>
      <c r="S1504"/>
    </row>
    <row r="1505" spans="1:19" ht="15" x14ac:dyDescent="0.25">
      <c r="A1505" s="8" t="s">
        <v>5018</v>
      </c>
      <c r="B1505" s="8" t="s">
        <v>4819</v>
      </c>
      <c r="C1505" s="8" t="s">
        <v>6516</v>
      </c>
      <c r="D1505" s="32" t="s">
        <v>6984</v>
      </c>
      <c r="E1505" s="32" t="s">
        <v>6516</v>
      </c>
      <c r="F1505" s="10">
        <v>1</v>
      </c>
      <c r="G1505" s="8" t="s">
        <v>5095</v>
      </c>
      <c r="H1505" s="10">
        <v>17.100000000000001</v>
      </c>
      <c r="I1505" s="10">
        <f t="shared" si="25"/>
        <v>17.100000000000001</v>
      </c>
      <c r="J1505" s="10">
        <v>0.58054032</v>
      </c>
      <c r="K1505" s="8" t="s">
        <v>5536</v>
      </c>
      <c r="S1505"/>
    </row>
    <row r="1506" spans="1:19" ht="15" x14ac:dyDescent="0.25">
      <c r="A1506" s="8" t="s">
        <v>5018</v>
      </c>
      <c r="B1506" s="8" t="s">
        <v>4819</v>
      </c>
      <c r="C1506" s="8" t="s">
        <v>6517</v>
      </c>
      <c r="D1506" s="32" t="s">
        <v>6984</v>
      </c>
      <c r="E1506" s="32" t="s">
        <v>6517</v>
      </c>
      <c r="F1506" s="10">
        <v>8</v>
      </c>
      <c r="G1506" s="8" t="s">
        <v>5095</v>
      </c>
      <c r="H1506" s="10">
        <v>18.537500000000001</v>
      </c>
      <c r="I1506" s="10">
        <f t="shared" si="25"/>
        <v>148.30000000000001</v>
      </c>
      <c r="J1506" s="10">
        <v>5.0446400000000002</v>
      </c>
      <c r="K1506" s="8" t="s">
        <v>5536</v>
      </c>
      <c r="S1506"/>
    </row>
    <row r="1507" spans="1:19" ht="15" x14ac:dyDescent="0.25">
      <c r="A1507" s="8" t="s">
        <v>5018</v>
      </c>
      <c r="B1507" s="8" t="s">
        <v>4819</v>
      </c>
      <c r="C1507" s="8" t="s">
        <v>6518</v>
      </c>
      <c r="D1507" s="32" t="s">
        <v>6984</v>
      </c>
      <c r="E1507" s="32" t="s">
        <v>6518</v>
      </c>
      <c r="F1507" s="10">
        <v>1</v>
      </c>
      <c r="G1507" s="8" t="s">
        <v>5095</v>
      </c>
      <c r="H1507" s="10">
        <v>18.7</v>
      </c>
      <c r="I1507" s="10">
        <f t="shared" si="25"/>
        <v>18.7</v>
      </c>
      <c r="J1507" s="10">
        <v>0.63442500000000002</v>
      </c>
      <c r="K1507" s="8" t="s">
        <v>5536</v>
      </c>
      <c r="S1507"/>
    </row>
    <row r="1508" spans="1:19" ht="15" x14ac:dyDescent="0.25">
      <c r="A1508" s="8" t="s">
        <v>5018</v>
      </c>
      <c r="B1508" s="8" t="s">
        <v>4819</v>
      </c>
      <c r="C1508" s="8" t="s">
        <v>6519</v>
      </c>
      <c r="D1508" s="32" t="s">
        <v>6984</v>
      </c>
      <c r="E1508" s="32" t="s">
        <v>6519</v>
      </c>
      <c r="F1508" s="10">
        <v>1</v>
      </c>
      <c r="G1508" s="8" t="s">
        <v>5095</v>
      </c>
      <c r="H1508" s="10">
        <v>45.8</v>
      </c>
      <c r="I1508" s="10">
        <f t="shared" si="25"/>
        <v>45.8</v>
      </c>
      <c r="J1508" s="10">
        <v>1.5515881199999999</v>
      </c>
      <c r="K1508" s="8" t="s">
        <v>5536</v>
      </c>
      <c r="S1508"/>
    </row>
    <row r="1509" spans="1:19" ht="15" x14ac:dyDescent="0.25">
      <c r="A1509" s="8" t="s">
        <v>5018</v>
      </c>
      <c r="B1509" s="8" t="s">
        <v>4819</v>
      </c>
      <c r="C1509" s="8" t="s">
        <v>6520</v>
      </c>
      <c r="D1509" s="32" t="s">
        <v>6984</v>
      </c>
      <c r="E1509" s="32" t="s">
        <v>6520</v>
      </c>
      <c r="F1509" s="10">
        <v>1</v>
      </c>
      <c r="G1509" s="8" t="s">
        <v>5095</v>
      </c>
      <c r="H1509" s="10">
        <v>44.3</v>
      </c>
      <c r="I1509" s="10">
        <f t="shared" si="25"/>
        <v>44.3</v>
      </c>
      <c r="J1509" s="10">
        <v>1.50237212</v>
      </c>
      <c r="K1509" s="8" t="s">
        <v>5536</v>
      </c>
      <c r="S1509"/>
    </row>
    <row r="1510" spans="1:19" ht="15" x14ac:dyDescent="0.25">
      <c r="A1510" s="8" t="s">
        <v>5018</v>
      </c>
      <c r="B1510" s="8" t="s">
        <v>4819</v>
      </c>
      <c r="C1510" s="8" t="s">
        <v>6521</v>
      </c>
      <c r="D1510" s="32" t="s">
        <v>6984</v>
      </c>
      <c r="E1510" s="32" t="s">
        <v>6521</v>
      </c>
      <c r="F1510" s="10">
        <v>1</v>
      </c>
      <c r="G1510" s="8" t="s">
        <v>5139</v>
      </c>
      <c r="H1510" s="10">
        <v>135.1</v>
      </c>
      <c r="I1510" s="10">
        <f t="shared" si="25"/>
        <v>135.1</v>
      </c>
      <c r="J1510" s="10">
        <v>8.1528448216000005</v>
      </c>
      <c r="K1510" s="8" t="s">
        <v>5102</v>
      </c>
      <c r="S1510"/>
    </row>
    <row r="1511" spans="1:19" ht="15" x14ac:dyDescent="0.25">
      <c r="A1511" s="8" t="s">
        <v>5018</v>
      </c>
      <c r="B1511" s="8" t="s">
        <v>4819</v>
      </c>
      <c r="C1511" s="8" t="s">
        <v>6522</v>
      </c>
      <c r="D1511" s="32" t="s">
        <v>6984</v>
      </c>
      <c r="E1511" s="32" t="s">
        <v>6522</v>
      </c>
      <c r="F1511" s="10">
        <v>1</v>
      </c>
      <c r="G1511" s="8" t="s">
        <v>5101</v>
      </c>
      <c r="H1511" s="10">
        <v>135.69999999999999</v>
      </c>
      <c r="I1511" s="10">
        <f t="shared" si="25"/>
        <v>135.69999999999999</v>
      </c>
      <c r="J1511" s="10">
        <v>8.1200922616</v>
      </c>
      <c r="K1511" s="8" t="s">
        <v>5102</v>
      </c>
      <c r="S1511"/>
    </row>
    <row r="1512" spans="1:19" ht="15" x14ac:dyDescent="0.25">
      <c r="A1512" s="8" t="s">
        <v>5018</v>
      </c>
      <c r="B1512" s="8" t="s">
        <v>4819</v>
      </c>
      <c r="C1512" s="8" t="s">
        <v>6523</v>
      </c>
      <c r="D1512" s="32" t="s">
        <v>6984</v>
      </c>
      <c r="E1512" s="32" t="s">
        <v>6523</v>
      </c>
      <c r="F1512" s="10">
        <v>1</v>
      </c>
      <c r="G1512" s="8" t="s">
        <v>5139</v>
      </c>
      <c r="H1512" s="10">
        <v>142.19999999999999</v>
      </c>
      <c r="I1512" s="10">
        <f t="shared" si="25"/>
        <v>142.19999999999999</v>
      </c>
      <c r="J1512" s="10">
        <v>8.6325638615999996</v>
      </c>
      <c r="K1512" s="8" t="s">
        <v>5102</v>
      </c>
      <c r="S1512"/>
    </row>
    <row r="1513" spans="1:19" ht="15" x14ac:dyDescent="0.25">
      <c r="A1513" s="8" t="s">
        <v>5018</v>
      </c>
      <c r="B1513" s="8" t="s">
        <v>4819</v>
      </c>
      <c r="C1513" s="8" t="s">
        <v>6524</v>
      </c>
      <c r="D1513" s="32" t="s">
        <v>6984</v>
      </c>
      <c r="E1513" s="32" t="s">
        <v>6524</v>
      </c>
      <c r="F1513" s="10">
        <v>1</v>
      </c>
      <c r="G1513" s="8" t="s">
        <v>5139</v>
      </c>
      <c r="H1513" s="10">
        <v>142.19999999999999</v>
      </c>
      <c r="I1513" s="10">
        <f t="shared" si="25"/>
        <v>142.19999999999999</v>
      </c>
      <c r="J1513" s="10">
        <v>8.6325638615999996</v>
      </c>
      <c r="K1513" s="8" t="s">
        <v>5102</v>
      </c>
      <c r="S1513"/>
    </row>
    <row r="1514" spans="1:19" ht="15" x14ac:dyDescent="0.25">
      <c r="A1514" s="8" t="s">
        <v>5018</v>
      </c>
      <c r="B1514" s="8" t="s">
        <v>4819</v>
      </c>
      <c r="C1514" s="8" t="s">
        <v>6525</v>
      </c>
      <c r="D1514" s="32" t="s">
        <v>6984</v>
      </c>
      <c r="E1514" s="32" t="s">
        <v>6525</v>
      </c>
      <c r="F1514" s="10">
        <v>1</v>
      </c>
      <c r="G1514" s="8" t="s">
        <v>5139</v>
      </c>
      <c r="H1514" s="10">
        <v>135.1</v>
      </c>
      <c r="I1514" s="10">
        <f t="shared" si="25"/>
        <v>135.1</v>
      </c>
      <c r="J1514" s="10">
        <v>8.1518288216000006</v>
      </c>
      <c r="K1514" s="8" t="s">
        <v>5102</v>
      </c>
      <c r="S1514"/>
    </row>
    <row r="1515" spans="1:19" ht="15" x14ac:dyDescent="0.25">
      <c r="A1515" s="8" t="s">
        <v>5018</v>
      </c>
      <c r="B1515" s="8" t="s">
        <v>4819</v>
      </c>
      <c r="C1515" s="8" t="s">
        <v>6526</v>
      </c>
      <c r="D1515" s="32" t="s">
        <v>6984</v>
      </c>
      <c r="E1515" s="32" t="s">
        <v>6526</v>
      </c>
      <c r="F1515" s="10">
        <v>1</v>
      </c>
      <c r="G1515" s="8" t="s">
        <v>5101</v>
      </c>
      <c r="H1515" s="10">
        <v>135.69999999999999</v>
      </c>
      <c r="I1515" s="10">
        <f t="shared" si="25"/>
        <v>135.69999999999999</v>
      </c>
      <c r="J1515" s="10">
        <v>8.1200922616</v>
      </c>
      <c r="K1515" s="8" t="s">
        <v>5102</v>
      </c>
      <c r="S1515"/>
    </row>
    <row r="1516" spans="1:19" ht="15" x14ac:dyDescent="0.25">
      <c r="A1516" s="8" t="s">
        <v>5018</v>
      </c>
      <c r="B1516" s="8" t="s">
        <v>4819</v>
      </c>
      <c r="C1516" s="8" t="s">
        <v>6527</v>
      </c>
      <c r="D1516" s="32" t="s">
        <v>6984</v>
      </c>
      <c r="E1516" s="32" t="s">
        <v>6527</v>
      </c>
      <c r="F1516" s="10">
        <v>1</v>
      </c>
      <c r="G1516" s="8" t="s">
        <v>5101</v>
      </c>
      <c r="H1516" s="10">
        <v>105.6</v>
      </c>
      <c r="I1516" s="10">
        <f t="shared" si="25"/>
        <v>105.6</v>
      </c>
      <c r="J1516" s="10">
        <v>6.3593734615999997</v>
      </c>
      <c r="K1516" s="8" t="s">
        <v>5102</v>
      </c>
      <c r="S1516"/>
    </row>
    <row r="1517" spans="1:19" ht="15" x14ac:dyDescent="0.25">
      <c r="A1517" s="8" t="s">
        <v>5018</v>
      </c>
      <c r="B1517" s="8" t="s">
        <v>4819</v>
      </c>
      <c r="C1517" s="8" t="s">
        <v>6528</v>
      </c>
      <c r="D1517" s="32" t="s">
        <v>6984</v>
      </c>
      <c r="E1517" s="32" t="s">
        <v>6528</v>
      </c>
      <c r="F1517" s="10">
        <v>1</v>
      </c>
      <c r="G1517" s="8" t="s">
        <v>5101</v>
      </c>
      <c r="H1517" s="10">
        <v>105.6</v>
      </c>
      <c r="I1517" s="10">
        <f t="shared" si="25"/>
        <v>105.6</v>
      </c>
      <c r="J1517" s="10">
        <v>6.3593734615999997</v>
      </c>
      <c r="K1517" s="8" t="s">
        <v>5102</v>
      </c>
      <c r="S1517"/>
    </row>
    <row r="1518" spans="1:19" ht="15" x14ac:dyDescent="0.25">
      <c r="A1518" s="8" t="s">
        <v>5018</v>
      </c>
      <c r="B1518" s="8" t="s">
        <v>4819</v>
      </c>
      <c r="C1518" s="8" t="s">
        <v>6529</v>
      </c>
      <c r="D1518" s="32" t="s">
        <v>6984</v>
      </c>
      <c r="E1518" s="32" t="s">
        <v>6529</v>
      </c>
      <c r="F1518" s="10">
        <v>1</v>
      </c>
      <c r="G1518" s="8" t="s">
        <v>5095</v>
      </c>
      <c r="H1518" s="10">
        <v>231.9</v>
      </c>
      <c r="I1518" s="10">
        <f t="shared" si="25"/>
        <v>231.9</v>
      </c>
      <c r="J1518" s="10">
        <v>6.4240197200000004</v>
      </c>
      <c r="K1518" s="8" t="s">
        <v>5536</v>
      </c>
      <c r="S1518"/>
    </row>
    <row r="1519" spans="1:19" ht="15" x14ac:dyDescent="0.25">
      <c r="A1519" s="8" t="s">
        <v>5018</v>
      </c>
      <c r="B1519" s="8" t="s">
        <v>4819</v>
      </c>
      <c r="C1519" s="8" t="s">
        <v>6530</v>
      </c>
      <c r="D1519" s="32" t="s">
        <v>6984</v>
      </c>
      <c r="E1519" s="32" t="s">
        <v>6530</v>
      </c>
      <c r="F1519" s="10">
        <v>1</v>
      </c>
      <c r="G1519" s="8" t="s">
        <v>5095</v>
      </c>
      <c r="H1519" s="10">
        <v>201.4</v>
      </c>
      <c r="I1519" s="10">
        <f t="shared" si="25"/>
        <v>201.4</v>
      </c>
      <c r="J1519" s="10">
        <v>5.58546604</v>
      </c>
      <c r="K1519" s="8" t="s">
        <v>5536</v>
      </c>
      <c r="S1519"/>
    </row>
    <row r="1520" spans="1:19" ht="15" x14ac:dyDescent="0.25">
      <c r="A1520" s="8" t="s">
        <v>5018</v>
      </c>
      <c r="B1520" s="8" t="s">
        <v>4819</v>
      </c>
      <c r="C1520" s="8" t="s">
        <v>6531</v>
      </c>
      <c r="D1520" s="32" t="s">
        <v>6984</v>
      </c>
      <c r="E1520" s="32" t="s">
        <v>6531</v>
      </c>
      <c r="F1520" s="10">
        <v>1</v>
      </c>
      <c r="G1520" s="8" t="s">
        <v>5095</v>
      </c>
      <c r="H1520" s="10">
        <v>203.3</v>
      </c>
      <c r="I1520" s="10">
        <f t="shared" si="25"/>
        <v>203.3</v>
      </c>
      <c r="J1520" s="10">
        <v>5.6282645999999996</v>
      </c>
      <c r="K1520" s="8" t="s">
        <v>5536</v>
      </c>
      <c r="S1520"/>
    </row>
    <row r="1521" spans="1:19" ht="15" x14ac:dyDescent="0.25">
      <c r="A1521" s="8" t="s">
        <v>5018</v>
      </c>
      <c r="B1521" s="8" t="s">
        <v>4819</v>
      </c>
      <c r="C1521" s="8" t="s">
        <v>6532</v>
      </c>
      <c r="D1521" s="32" t="s">
        <v>6984</v>
      </c>
      <c r="E1521" s="32" t="s">
        <v>6532</v>
      </c>
      <c r="F1521" s="10">
        <v>1</v>
      </c>
      <c r="G1521" s="8" t="s">
        <v>5095</v>
      </c>
      <c r="H1521" s="10">
        <v>232.2</v>
      </c>
      <c r="I1521" s="10">
        <f t="shared" si="25"/>
        <v>232.2</v>
      </c>
      <c r="J1521" s="10">
        <v>6.4361014799999996</v>
      </c>
      <c r="K1521" s="8" t="s">
        <v>5536</v>
      </c>
      <c r="S1521"/>
    </row>
    <row r="1522" spans="1:19" ht="15" x14ac:dyDescent="0.25">
      <c r="A1522" s="8" t="s">
        <v>5018</v>
      </c>
      <c r="B1522" s="8" t="s">
        <v>4819</v>
      </c>
      <c r="C1522" s="8" t="s">
        <v>6533</v>
      </c>
      <c r="D1522" s="32" t="s">
        <v>6984</v>
      </c>
      <c r="E1522" s="32" t="s">
        <v>6533</v>
      </c>
      <c r="F1522" s="10">
        <v>1</v>
      </c>
      <c r="G1522" s="8" t="s">
        <v>5095</v>
      </c>
      <c r="H1522" s="10">
        <v>201.3</v>
      </c>
      <c r="I1522" s="10">
        <f t="shared" si="25"/>
        <v>201.3</v>
      </c>
      <c r="J1522" s="10">
        <v>5.5823367599999996</v>
      </c>
      <c r="K1522" s="8" t="s">
        <v>5536</v>
      </c>
      <c r="S1522"/>
    </row>
    <row r="1523" spans="1:19" ht="15" x14ac:dyDescent="0.25">
      <c r="A1523" s="8" t="s">
        <v>5018</v>
      </c>
      <c r="B1523" s="8" t="s">
        <v>4819</v>
      </c>
      <c r="C1523" s="8" t="s">
        <v>6534</v>
      </c>
      <c r="D1523" s="32" t="s">
        <v>6984</v>
      </c>
      <c r="E1523" s="32" t="s">
        <v>6534</v>
      </c>
      <c r="F1523" s="10">
        <v>1</v>
      </c>
      <c r="G1523" s="8" t="s">
        <v>5095</v>
      </c>
      <c r="H1523" s="10">
        <v>205.2</v>
      </c>
      <c r="I1523" s="10">
        <f t="shared" si="25"/>
        <v>205.2</v>
      </c>
      <c r="J1523" s="10">
        <v>5.6899967599999997</v>
      </c>
      <c r="K1523" s="8" t="s">
        <v>5536</v>
      </c>
      <c r="S1523"/>
    </row>
    <row r="1524" spans="1:19" ht="15" x14ac:dyDescent="0.25">
      <c r="A1524" s="8" t="s">
        <v>5018</v>
      </c>
      <c r="B1524" s="8" t="s">
        <v>4819</v>
      </c>
      <c r="C1524" s="8" t="s">
        <v>6535</v>
      </c>
      <c r="D1524" s="32" t="s">
        <v>6984</v>
      </c>
      <c r="E1524" s="32" t="s">
        <v>6535</v>
      </c>
      <c r="F1524" s="10">
        <v>1</v>
      </c>
      <c r="G1524" s="8" t="s">
        <v>5139</v>
      </c>
      <c r="H1524" s="10">
        <v>39.6</v>
      </c>
      <c r="I1524" s="10">
        <f t="shared" si="25"/>
        <v>39.6</v>
      </c>
      <c r="J1524" s="10">
        <v>2.0845999268000002</v>
      </c>
      <c r="K1524" s="8" t="s">
        <v>5128</v>
      </c>
      <c r="S1524"/>
    </row>
    <row r="1525" spans="1:19" ht="15" x14ac:dyDescent="0.25">
      <c r="A1525" s="8" t="s">
        <v>5018</v>
      </c>
      <c r="B1525" s="8" t="s">
        <v>4819</v>
      </c>
      <c r="C1525" s="8" t="s">
        <v>6536</v>
      </c>
      <c r="D1525" s="32" t="s">
        <v>6984</v>
      </c>
      <c r="E1525" s="32" t="s">
        <v>6536</v>
      </c>
      <c r="F1525" s="10">
        <v>1</v>
      </c>
      <c r="G1525" s="8" t="s">
        <v>5139</v>
      </c>
      <c r="H1525" s="10">
        <v>49.3</v>
      </c>
      <c r="I1525" s="10">
        <f t="shared" si="25"/>
        <v>49.3</v>
      </c>
      <c r="J1525" s="10">
        <v>2.8675731180000001</v>
      </c>
      <c r="K1525" s="8" t="s">
        <v>5128</v>
      </c>
      <c r="S1525"/>
    </row>
    <row r="1526" spans="1:19" ht="15" x14ac:dyDescent="0.25">
      <c r="A1526" s="8" t="s">
        <v>5018</v>
      </c>
      <c r="B1526" s="8" t="s">
        <v>4819</v>
      </c>
      <c r="C1526" s="8" t="s">
        <v>6537</v>
      </c>
      <c r="D1526" s="32" t="s">
        <v>6984</v>
      </c>
      <c r="E1526" s="32" t="s">
        <v>6537</v>
      </c>
      <c r="F1526" s="10">
        <v>1</v>
      </c>
      <c r="G1526" s="8" t="s">
        <v>5139</v>
      </c>
      <c r="H1526" s="10">
        <v>82.5</v>
      </c>
      <c r="I1526" s="10">
        <f t="shared" si="25"/>
        <v>82.5</v>
      </c>
      <c r="J1526" s="10">
        <v>5.2162216611999996</v>
      </c>
      <c r="K1526" s="8" t="s">
        <v>5128</v>
      </c>
      <c r="S1526"/>
    </row>
    <row r="1527" spans="1:19" ht="15" x14ac:dyDescent="0.25">
      <c r="A1527" s="8" t="s">
        <v>5018</v>
      </c>
      <c r="B1527" s="8" t="s">
        <v>4819</v>
      </c>
      <c r="C1527" s="8" t="s">
        <v>6538</v>
      </c>
      <c r="D1527" s="32" t="s">
        <v>6984</v>
      </c>
      <c r="E1527" s="32" t="s">
        <v>6538</v>
      </c>
      <c r="F1527" s="10">
        <v>1</v>
      </c>
      <c r="G1527" s="8" t="s">
        <v>5139</v>
      </c>
      <c r="H1527" s="10">
        <v>63.6</v>
      </c>
      <c r="I1527" s="10">
        <f t="shared" si="25"/>
        <v>63.6</v>
      </c>
      <c r="J1527" s="10">
        <v>4.02091333</v>
      </c>
      <c r="K1527" s="8" t="s">
        <v>5128</v>
      </c>
      <c r="S1527"/>
    </row>
    <row r="1528" spans="1:19" ht="15" x14ac:dyDescent="0.25">
      <c r="A1528" s="8" t="s">
        <v>5018</v>
      </c>
      <c r="B1528" s="8" t="s">
        <v>4819</v>
      </c>
      <c r="C1528" s="8" t="s">
        <v>6539</v>
      </c>
      <c r="D1528" s="32" t="s">
        <v>6984</v>
      </c>
      <c r="E1528" s="32" t="s">
        <v>6539</v>
      </c>
      <c r="F1528" s="10">
        <v>1</v>
      </c>
      <c r="G1528" s="8" t="s">
        <v>5139</v>
      </c>
      <c r="H1528" s="10">
        <v>116.4</v>
      </c>
      <c r="I1528" s="10">
        <f t="shared" si="25"/>
        <v>116.4</v>
      </c>
      <c r="J1528" s="10">
        <v>7.6280468020000001</v>
      </c>
      <c r="K1528" s="8" t="s">
        <v>5128</v>
      </c>
      <c r="S1528"/>
    </row>
    <row r="1529" spans="1:19" ht="15" x14ac:dyDescent="0.25">
      <c r="A1529" s="8" t="s">
        <v>5018</v>
      </c>
      <c r="B1529" s="8" t="s">
        <v>4819</v>
      </c>
      <c r="C1529" s="8" t="s">
        <v>6540</v>
      </c>
      <c r="D1529" s="32" t="s">
        <v>6984</v>
      </c>
      <c r="E1529" s="32" t="s">
        <v>6540</v>
      </c>
      <c r="F1529" s="10">
        <v>1</v>
      </c>
      <c r="G1529" s="8" t="s">
        <v>5139</v>
      </c>
      <c r="H1529" s="10">
        <v>49.5</v>
      </c>
      <c r="I1529" s="10">
        <f t="shared" si="25"/>
        <v>49.5</v>
      </c>
      <c r="J1529" s="10">
        <v>2.8807961268</v>
      </c>
      <c r="K1529" s="8" t="s">
        <v>5128</v>
      </c>
      <c r="S1529"/>
    </row>
    <row r="1530" spans="1:19" ht="15" x14ac:dyDescent="0.25">
      <c r="A1530" s="8" t="s">
        <v>5018</v>
      </c>
      <c r="B1530" s="8" t="s">
        <v>4819</v>
      </c>
      <c r="C1530" s="8" t="s">
        <v>6541</v>
      </c>
      <c r="D1530" s="32" t="s">
        <v>6984</v>
      </c>
      <c r="E1530" s="32" t="s">
        <v>6541</v>
      </c>
      <c r="F1530" s="10">
        <v>1</v>
      </c>
      <c r="G1530" s="8" t="s">
        <v>5139</v>
      </c>
      <c r="H1530" s="10">
        <v>117</v>
      </c>
      <c r="I1530" s="10">
        <f t="shared" si="25"/>
        <v>117</v>
      </c>
      <c r="J1530" s="10">
        <v>7.6794696140000003</v>
      </c>
      <c r="K1530" s="8" t="s">
        <v>5128</v>
      </c>
      <c r="S1530"/>
    </row>
    <row r="1531" spans="1:19" ht="15" x14ac:dyDescent="0.25">
      <c r="A1531" s="8" t="s">
        <v>5018</v>
      </c>
      <c r="B1531" s="8" t="s">
        <v>4819</v>
      </c>
      <c r="C1531" s="8" t="s">
        <v>6542</v>
      </c>
      <c r="D1531" s="32" t="s">
        <v>6984</v>
      </c>
      <c r="E1531" s="32" t="s">
        <v>6542</v>
      </c>
      <c r="F1531" s="10">
        <v>1</v>
      </c>
      <c r="G1531" s="8" t="s">
        <v>5139</v>
      </c>
      <c r="H1531" s="10">
        <v>55.8</v>
      </c>
      <c r="I1531" s="10">
        <f t="shared" si="25"/>
        <v>55.8</v>
      </c>
      <c r="J1531" s="10">
        <v>3.3935550235999998</v>
      </c>
      <c r="K1531" s="8" t="s">
        <v>5128</v>
      </c>
      <c r="S1531"/>
    </row>
    <row r="1532" spans="1:19" ht="15" x14ac:dyDescent="0.25">
      <c r="A1532" s="8" t="s">
        <v>5018</v>
      </c>
      <c r="B1532" s="8" t="s">
        <v>4819</v>
      </c>
      <c r="C1532" s="8" t="s">
        <v>6543</v>
      </c>
      <c r="D1532" s="32" t="s">
        <v>6984</v>
      </c>
      <c r="E1532" s="32" t="s">
        <v>6543</v>
      </c>
      <c r="F1532" s="10">
        <v>1</v>
      </c>
      <c r="G1532" s="8" t="s">
        <v>5139</v>
      </c>
      <c r="H1532" s="10">
        <v>51.3</v>
      </c>
      <c r="I1532" s="10">
        <f t="shared" si="25"/>
        <v>51.3</v>
      </c>
      <c r="J1532" s="10">
        <v>3.0306568932000002</v>
      </c>
      <c r="K1532" s="8" t="s">
        <v>5128</v>
      </c>
      <c r="S1532"/>
    </row>
    <row r="1533" spans="1:19" ht="15" x14ac:dyDescent="0.25">
      <c r="A1533" s="8" t="s">
        <v>5018</v>
      </c>
      <c r="B1533" s="8" t="s">
        <v>4819</v>
      </c>
      <c r="C1533" s="8" t="s">
        <v>6544</v>
      </c>
      <c r="D1533" s="32" t="s">
        <v>6984</v>
      </c>
      <c r="E1533" s="32" t="s">
        <v>6544</v>
      </c>
      <c r="F1533" s="10">
        <v>1</v>
      </c>
      <c r="G1533" s="8" t="s">
        <v>5139</v>
      </c>
      <c r="H1533" s="10">
        <v>49.1</v>
      </c>
      <c r="I1533" s="10">
        <f t="shared" si="25"/>
        <v>49.1</v>
      </c>
      <c r="J1533" s="10">
        <v>2.8470039932</v>
      </c>
      <c r="K1533" s="8" t="s">
        <v>5128</v>
      </c>
      <c r="S1533"/>
    </row>
    <row r="1534" spans="1:19" ht="15" x14ac:dyDescent="0.25">
      <c r="A1534" s="8" t="s">
        <v>5018</v>
      </c>
      <c r="B1534" s="8" t="s">
        <v>4819</v>
      </c>
      <c r="C1534" s="8" t="s">
        <v>6545</v>
      </c>
      <c r="D1534" s="32" t="s">
        <v>6984</v>
      </c>
      <c r="E1534" s="32" t="s">
        <v>6545</v>
      </c>
      <c r="F1534" s="10">
        <v>1</v>
      </c>
      <c r="G1534" s="8" t="s">
        <v>5139</v>
      </c>
      <c r="H1534" s="10">
        <v>50.9</v>
      </c>
      <c r="I1534" s="10">
        <f t="shared" si="25"/>
        <v>50.9</v>
      </c>
      <c r="J1534" s="10">
        <v>2.9968647596000002</v>
      </c>
      <c r="K1534" s="8" t="s">
        <v>5128</v>
      </c>
      <c r="S1534"/>
    </row>
    <row r="1535" spans="1:19" ht="15" x14ac:dyDescent="0.25">
      <c r="A1535" s="8" t="s">
        <v>5018</v>
      </c>
      <c r="B1535" s="8" t="s">
        <v>4819</v>
      </c>
      <c r="C1535" s="8" t="s">
        <v>6546</v>
      </c>
      <c r="D1535" s="32" t="s">
        <v>6984</v>
      </c>
      <c r="E1535" s="32" t="s">
        <v>6546</v>
      </c>
      <c r="F1535" s="10">
        <v>1</v>
      </c>
      <c r="G1535" s="8" t="s">
        <v>5139</v>
      </c>
      <c r="H1535" s="10">
        <v>64</v>
      </c>
      <c r="I1535" s="10">
        <f t="shared" si="25"/>
        <v>64</v>
      </c>
      <c r="J1535" s="10">
        <v>4.0547054636000004</v>
      </c>
      <c r="K1535" s="8" t="s">
        <v>5128</v>
      </c>
      <c r="S1535"/>
    </row>
    <row r="1536" spans="1:19" ht="15" x14ac:dyDescent="0.25">
      <c r="A1536" s="8" t="s">
        <v>5018</v>
      </c>
      <c r="B1536" s="8" t="s">
        <v>4819</v>
      </c>
      <c r="C1536" s="8" t="s">
        <v>6547</v>
      </c>
      <c r="D1536" s="32" t="s">
        <v>6984</v>
      </c>
      <c r="E1536" s="32" t="s">
        <v>6547</v>
      </c>
      <c r="F1536" s="10">
        <v>1</v>
      </c>
      <c r="G1536" s="8" t="s">
        <v>5642</v>
      </c>
      <c r="H1536" s="10">
        <v>24.9</v>
      </c>
      <c r="I1536" s="10">
        <f t="shared" si="25"/>
        <v>24.9</v>
      </c>
      <c r="J1536" s="10">
        <v>1.0390632</v>
      </c>
      <c r="K1536" s="8" t="s">
        <v>5051</v>
      </c>
      <c r="S1536"/>
    </row>
    <row r="1537" spans="1:19" ht="15" x14ac:dyDescent="0.25">
      <c r="A1537" s="8" t="s">
        <v>5018</v>
      </c>
      <c r="B1537" s="8" t="s">
        <v>4819</v>
      </c>
      <c r="C1537" s="8" t="s">
        <v>6548</v>
      </c>
      <c r="D1537" s="32" t="s">
        <v>6984</v>
      </c>
      <c r="E1537" s="32" t="s">
        <v>6548</v>
      </c>
      <c r="F1537" s="10">
        <v>1</v>
      </c>
      <c r="G1537" s="8" t="s">
        <v>5642</v>
      </c>
      <c r="H1537" s="10">
        <v>24.9</v>
      </c>
      <c r="I1537" s="10">
        <f t="shared" si="25"/>
        <v>24.9</v>
      </c>
      <c r="J1537" s="10">
        <v>1.0390632</v>
      </c>
      <c r="K1537" s="8" t="s">
        <v>5051</v>
      </c>
      <c r="S1537"/>
    </row>
    <row r="1538" spans="1:19" ht="15" x14ac:dyDescent="0.25">
      <c r="A1538" s="8" t="s">
        <v>5018</v>
      </c>
      <c r="B1538" s="8" t="s">
        <v>4819</v>
      </c>
      <c r="C1538" s="8" t="s">
        <v>6549</v>
      </c>
      <c r="D1538" s="32" t="s">
        <v>6984</v>
      </c>
      <c r="E1538" s="32" t="s">
        <v>6549</v>
      </c>
      <c r="F1538" s="10">
        <v>4</v>
      </c>
      <c r="G1538" s="8" t="s">
        <v>5642</v>
      </c>
      <c r="H1538" s="10">
        <v>4.8250000000000002</v>
      </c>
      <c r="I1538" s="10">
        <f t="shared" si="25"/>
        <v>19.3</v>
      </c>
      <c r="J1538" s="10">
        <v>1.0915904000000001</v>
      </c>
      <c r="K1538" s="8" t="s">
        <v>5248</v>
      </c>
      <c r="S1538"/>
    </row>
    <row r="1539" spans="1:19" ht="15" x14ac:dyDescent="0.25">
      <c r="A1539" s="8" t="s">
        <v>5018</v>
      </c>
      <c r="B1539" s="8" t="s">
        <v>4819</v>
      </c>
      <c r="C1539" s="8" t="s">
        <v>6550</v>
      </c>
      <c r="D1539" s="32" t="s">
        <v>6984</v>
      </c>
      <c r="E1539" s="32" t="s">
        <v>6550</v>
      </c>
      <c r="F1539" s="10">
        <v>3</v>
      </c>
      <c r="G1539" s="8" t="s">
        <v>5642</v>
      </c>
      <c r="H1539" s="10">
        <v>4.666666666666667</v>
      </c>
      <c r="I1539" s="10">
        <f t="shared" si="25"/>
        <v>14</v>
      </c>
      <c r="J1539" s="10">
        <v>0.79308959999999995</v>
      </c>
      <c r="K1539" s="8" t="s">
        <v>5248</v>
      </c>
      <c r="S1539"/>
    </row>
    <row r="1540" spans="1:19" ht="15" x14ac:dyDescent="0.25">
      <c r="A1540" s="8" t="s">
        <v>5018</v>
      </c>
      <c r="B1540" s="8" t="s">
        <v>4819</v>
      </c>
      <c r="C1540" s="8" t="s">
        <v>6551</v>
      </c>
      <c r="D1540" s="32" t="s">
        <v>6984</v>
      </c>
      <c r="E1540" s="32" t="s">
        <v>6551</v>
      </c>
      <c r="F1540" s="10">
        <v>4</v>
      </c>
      <c r="G1540" s="8" t="s">
        <v>5642</v>
      </c>
      <c r="H1540" s="10">
        <v>4.8250000000000002</v>
      </c>
      <c r="I1540" s="10">
        <f t="shared" si="25"/>
        <v>19.3</v>
      </c>
      <c r="J1540" s="10">
        <v>1.0891519999999999</v>
      </c>
      <c r="K1540" s="8" t="s">
        <v>5248</v>
      </c>
      <c r="S1540"/>
    </row>
    <row r="1541" spans="1:19" ht="15" x14ac:dyDescent="0.25">
      <c r="A1541" s="8" t="s">
        <v>5018</v>
      </c>
      <c r="B1541" s="8" t="s">
        <v>4819</v>
      </c>
      <c r="C1541" s="8" t="s">
        <v>6552</v>
      </c>
      <c r="D1541" s="32" t="s">
        <v>6984</v>
      </c>
      <c r="E1541" s="32" t="s">
        <v>6552</v>
      </c>
      <c r="F1541" s="10">
        <v>4</v>
      </c>
      <c r="G1541" s="8" t="s">
        <v>5642</v>
      </c>
      <c r="H1541" s="10">
        <v>4.7750000000000004</v>
      </c>
      <c r="I1541" s="10">
        <f t="shared" ref="I1541:I1604" si="26">F1541*H1541</f>
        <v>19.100000000000001</v>
      </c>
      <c r="J1541" s="10">
        <v>1.0777728</v>
      </c>
      <c r="K1541" s="8" t="s">
        <v>5248</v>
      </c>
      <c r="S1541"/>
    </row>
    <row r="1542" spans="1:19" ht="15" x14ac:dyDescent="0.25">
      <c r="A1542" s="8" t="s">
        <v>5018</v>
      </c>
      <c r="B1542" s="8" t="s">
        <v>4819</v>
      </c>
      <c r="C1542" s="8" t="s">
        <v>6553</v>
      </c>
      <c r="D1542" s="32" t="s">
        <v>6984</v>
      </c>
      <c r="E1542" s="32" t="s">
        <v>6553</v>
      </c>
      <c r="F1542" s="10">
        <v>1</v>
      </c>
      <c r="G1542" s="8" t="s">
        <v>16</v>
      </c>
      <c r="H1542" s="10">
        <v>220.9</v>
      </c>
      <c r="I1542" s="10">
        <f t="shared" si="26"/>
        <v>220.9</v>
      </c>
      <c r="J1542" s="10">
        <v>7.0441349936000002</v>
      </c>
      <c r="K1542" s="8" t="s">
        <v>4781</v>
      </c>
      <c r="S1542"/>
    </row>
    <row r="1543" spans="1:19" ht="15" x14ac:dyDescent="0.25">
      <c r="A1543" s="8" t="s">
        <v>5018</v>
      </c>
      <c r="B1543" s="8" t="s">
        <v>4819</v>
      </c>
      <c r="C1543" s="8" t="s">
        <v>6554</v>
      </c>
      <c r="D1543" s="32" t="s">
        <v>6984</v>
      </c>
      <c r="E1543" s="32" t="s">
        <v>6554</v>
      </c>
      <c r="F1543" s="10">
        <v>1</v>
      </c>
      <c r="G1543" s="8" t="s">
        <v>16</v>
      </c>
      <c r="H1543" s="10">
        <v>104.1</v>
      </c>
      <c r="I1543" s="10">
        <f t="shared" si="26"/>
        <v>104.1</v>
      </c>
      <c r="J1543" s="10">
        <v>3.3733515407999999</v>
      </c>
      <c r="K1543" s="8" t="s">
        <v>5116</v>
      </c>
      <c r="S1543"/>
    </row>
    <row r="1544" spans="1:19" ht="15" x14ac:dyDescent="0.25">
      <c r="A1544" s="8" t="s">
        <v>6071</v>
      </c>
      <c r="B1544" s="8" t="s">
        <v>6069</v>
      </c>
      <c r="C1544" s="8" t="s">
        <v>6555</v>
      </c>
      <c r="D1544" s="32" t="s">
        <v>6984</v>
      </c>
      <c r="E1544" s="32" t="s">
        <v>6555</v>
      </c>
      <c r="F1544" s="10">
        <v>1</v>
      </c>
      <c r="G1544" s="8" t="s">
        <v>5101</v>
      </c>
      <c r="H1544" s="10">
        <v>56.8</v>
      </c>
      <c r="I1544" s="10">
        <f t="shared" si="26"/>
        <v>56.8</v>
      </c>
      <c r="J1544" s="10">
        <v>3.4706031390000001</v>
      </c>
      <c r="K1544" s="8" t="s">
        <v>5335</v>
      </c>
      <c r="S1544"/>
    </row>
    <row r="1545" spans="1:19" ht="15" x14ac:dyDescent="0.25">
      <c r="A1545" s="8" t="s">
        <v>6068</v>
      </c>
      <c r="B1545" s="8" t="s">
        <v>6069</v>
      </c>
      <c r="C1545" s="8" t="s">
        <v>6556</v>
      </c>
      <c r="D1545" s="32" t="s">
        <v>6984</v>
      </c>
      <c r="E1545" s="32" t="s">
        <v>6556</v>
      </c>
      <c r="F1545" s="10">
        <v>1</v>
      </c>
      <c r="G1545" s="8" t="s">
        <v>5101</v>
      </c>
      <c r="H1545" s="10">
        <v>48</v>
      </c>
      <c r="I1545" s="10">
        <f t="shared" si="26"/>
        <v>48</v>
      </c>
      <c r="J1545" s="10">
        <v>2.7617852892000001</v>
      </c>
      <c r="K1545" s="8" t="s">
        <v>5335</v>
      </c>
      <c r="S1545"/>
    </row>
    <row r="1546" spans="1:19" ht="15" x14ac:dyDescent="0.25">
      <c r="A1546" s="8" t="s">
        <v>6068</v>
      </c>
      <c r="B1546" s="8" t="s">
        <v>6069</v>
      </c>
      <c r="C1546" s="8" t="s">
        <v>6557</v>
      </c>
      <c r="D1546" s="32" t="s">
        <v>6984</v>
      </c>
      <c r="E1546" s="32" t="s">
        <v>6557</v>
      </c>
      <c r="F1546" s="10">
        <v>1</v>
      </c>
      <c r="G1546" s="8" t="s">
        <v>5101</v>
      </c>
      <c r="H1546" s="10">
        <v>67.3</v>
      </c>
      <c r="I1546" s="10">
        <f t="shared" si="26"/>
        <v>67.3</v>
      </c>
      <c r="J1546" s="10">
        <v>4.1522152771999998</v>
      </c>
      <c r="K1546" s="8" t="s">
        <v>5335</v>
      </c>
      <c r="S1546"/>
    </row>
    <row r="1547" spans="1:19" ht="15" x14ac:dyDescent="0.25">
      <c r="A1547" s="8" t="s">
        <v>6071</v>
      </c>
      <c r="B1547" s="8" t="s">
        <v>6069</v>
      </c>
      <c r="C1547" s="8" t="s">
        <v>6558</v>
      </c>
      <c r="D1547" s="32" t="s">
        <v>6984</v>
      </c>
      <c r="E1547" s="32" t="s">
        <v>6558</v>
      </c>
      <c r="F1547" s="10">
        <v>6</v>
      </c>
      <c r="G1547" s="8" t="s">
        <v>5101</v>
      </c>
      <c r="H1547" s="10">
        <v>67.183333333333337</v>
      </c>
      <c r="I1547" s="10">
        <f t="shared" si="26"/>
        <v>403.1</v>
      </c>
      <c r="J1547" s="10">
        <v>24.878239663199999</v>
      </c>
      <c r="K1547" s="8" t="s">
        <v>5335</v>
      </c>
      <c r="S1547"/>
    </row>
    <row r="1548" spans="1:19" ht="15" x14ac:dyDescent="0.25">
      <c r="A1548" s="8" t="s">
        <v>6071</v>
      </c>
      <c r="B1548" s="8" t="s">
        <v>6069</v>
      </c>
      <c r="C1548" s="8" t="s">
        <v>6559</v>
      </c>
      <c r="D1548" s="32" t="s">
        <v>6984</v>
      </c>
      <c r="E1548" s="32" t="s">
        <v>6559</v>
      </c>
      <c r="F1548" s="10">
        <v>1</v>
      </c>
      <c r="G1548" s="8" t="s">
        <v>5101</v>
      </c>
      <c r="H1548" s="10">
        <v>67.2</v>
      </c>
      <c r="I1548" s="10">
        <f t="shared" si="26"/>
        <v>67.2</v>
      </c>
      <c r="J1548" s="10">
        <v>4.1463732772000004</v>
      </c>
      <c r="K1548" s="8" t="s">
        <v>5335</v>
      </c>
      <c r="S1548"/>
    </row>
    <row r="1549" spans="1:19" ht="15" x14ac:dyDescent="0.25">
      <c r="A1549" s="8" t="s">
        <v>6071</v>
      </c>
      <c r="B1549" s="8" t="s">
        <v>6069</v>
      </c>
      <c r="C1549" s="8" t="s">
        <v>6560</v>
      </c>
      <c r="D1549" s="32" t="s">
        <v>6984</v>
      </c>
      <c r="E1549" s="32" t="s">
        <v>6560</v>
      </c>
      <c r="F1549" s="10">
        <v>1</v>
      </c>
      <c r="G1549" s="8" t="s">
        <v>5101</v>
      </c>
      <c r="H1549" s="10">
        <v>67.2</v>
      </c>
      <c r="I1549" s="10">
        <f t="shared" si="26"/>
        <v>67.2</v>
      </c>
      <c r="J1549" s="10">
        <v>4.1463732772000004</v>
      </c>
      <c r="K1549" s="8" t="s">
        <v>5335</v>
      </c>
      <c r="S1549"/>
    </row>
    <row r="1550" spans="1:19" ht="15" x14ac:dyDescent="0.25">
      <c r="A1550" s="8" t="s">
        <v>6071</v>
      </c>
      <c r="B1550" s="8" t="s">
        <v>6069</v>
      </c>
      <c r="C1550" s="8" t="s">
        <v>6561</v>
      </c>
      <c r="D1550" s="32" t="s">
        <v>6984</v>
      </c>
      <c r="E1550" s="32" t="s">
        <v>6561</v>
      </c>
      <c r="F1550" s="10">
        <v>1</v>
      </c>
      <c r="G1550" s="8" t="s">
        <v>5101</v>
      </c>
      <c r="H1550" s="10">
        <v>67.3</v>
      </c>
      <c r="I1550" s="10">
        <f t="shared" si="26"/>
        <v>67.3</v>
      </c>
      <c r="J1550" s="10">
        <v>4.1522152771999998</v>
      </c>
      <c r="K1550" s="8" t="s">
        <v>5335</v>
      </c>
      <c r="S1550"/>
    </row>
    <row r="1551" spans="1:19" ht="15" x14ac:dyDescent="0.25">
      <c r="A1551" s="8" t="s">
        <v>6071</v>
      </c>
      <c r="B1551" s="8" t="s">
        <v>6069</v>
      </c>
      <c r="C1551" s="8" t="s">
        <v>6562</v>
      </c>
      <c r="D1551" s="32" t="s">
        <v>6984</v>
      </c>
      <c r="E1551" s="32" t="s">
        <v>6562</v>
      </c>
      <c r="F1551" s="10">
        <v>1</v>
      </c>
      <c r="G1551" s="8" t="s">
        <v>5101</v>
      </c>
      <c r="H1551" s="10">
        <v>67.3</v>
      </c>
      <c r="I1551" s="10">
        <f t="shared" si="26"/>
        <v>67.3</v>
      </c>
      <c r="J1551" s="10">
        <v>4.1522152771999998</v>
      </c>
      <c r="K1551" s="8" t="s">
        <v>5335</v>
      </c>
      <c r="S1551"/>
    </row>
    <row r="1552" spans="1:19" ht="15" x14ac:dyDescent="0.25">
      <c r="A1552" s="8" t="s">
        <v>6071</v>
      </c>
      <c r="B1552" s="8" t="s">
        <v>6069</v>
      </c>
      <c r="C1552" s="8" t="s">
        <v>6563</v>
      </c>
      <c r="D1552" s="32" t="s">
        <v>6984</v>
      </c>
      <c r="E1552" s="32" t="s">
        <v>6563</v>
      </c>
      <c r="F1552" s="10">
        <v>1</v>
      </c>
      <c r="G1552" s="8" t="s">
        <v>5101</v>
      </c>
      <c r="H1552" s="10">
        <v>67.2</v>
      </c>
      <c r="I1552" s="10">
        <f t="shared" si="26"/>
        <v>67.2</v>
      </c>
      <c r="J1552" s="10">
        <v>4.1463732772000004</v>
      </c>
      <c r="K1552" s="8" t="s">
        <v>5335</v>
      </c>
      <c r="S1552"/>
    </row>
    <row r="1553" spans="1:19" ht="15" x14ac:dyDescent="0.25">
      <c r="A1553" s="8" t="s">
        <v>6068</v>
      </c>
      <c r="B1553" s="8" t="s">
        <v>6069</v>
      </c>
      <c r="C1553" s="8" t="s">
        <v>6564</v>
      </c>
      <c r="D1553" s="32" t="s">
        <v>6984</v>
      </c>
      <c r="E1553" s="32" t="s">
        <v>6564</v>
      </c>
      <c r="F1553" s="10">
        <v>1</v>
      </c>
      <c r="G1553" s="8" t="s">
        <v>5101</v>
      </c>
      <c r="H1553" s="10">
        <v>67.3</v>
      </c>
      <c r="I1553" s="10">
        <f t="shared" si="26"/>
        <v>67.3</v>
      </c>
      <c r="J1553" s="10">
        <v>4.1522152771999998</v>
      </c>
      <c r="K1553" s="8" t="s">
        <v>5335</v>
      </c>
      <c r="S1553"/>
    </row>
    <row r="1554" spans="1:19" ht="15" x14ac:dyDescent="0.25">
      <c r="A1554" s="8" t="s">
        <v>6068</v>
      </c>
      <c r="B1554" s="8" t="s">
        <v>6069</v>
      </c>
      <c r="C1554" s="8" t="s">
        <v>6565</v>
      </c>
      <c r="D1554" s="32" t="s">
        <v>6984</v>
      </c>
      <c r="E1554" s="32" t="s">
        <v>6565</v>
      </c>
      <c r="F1554" s="10">
        <v>1</v>
      </c>
      <c r="G1554" s="8" t="s">
        <v>5101</v>
      </c>
      <c r="H1554" s="10">
        <v>67.2</v>
      </c>
      <c r="I1554" s="10">
        <f t="shared" si="26"/>
        <v>67.2</v>
      </c>
      <c r="J1554" s="10">
        <v>4.1463732772000004</v>
      </c>
      <c r="K1554" s="8" t="s">
        <v>5335</v>
      </c>
      <c r="S1554"/>
    </row>
    <row r="1555" spans="1:19" ht="15" x14ac:dyDescent="0.25">
      <c r="A1555" s="8" t="s">
        <v>6068</v>
      </c>
      <c r="B1555" s="8" t="s">
        <v>6069</v>
      </c>
      <c r="C1555" s="8" t="s">
        <v>6566</v>
      </c>
      <c r="D1555" s="32" t="s">
        <v>6984</v>
      </c>
      <c r="E1555" s="32" t="s">
        <v>6566</v>
      </c>
      <c r="F1555" s="10">
        <v>1</v>
      </c>
      <c r="G1555" s="8" t="s">
        <v>5101</v>
      </c>
      <c r="H1555" s="10">
        <v>67.3</v>
      </c>
      <c r="I1555" s="10">
        <f t="shared" si="26"/>
        <v>67.3</v>
      </c>
      <c r="J1555" s="10">
        <v>4.1522152771999998</v>
      </c>
      <c r="K1555" s="8" t="s">
        <v>5335</v>
      </c>
      <c r="S1555"/>
    </row>
    <row r="1556" spans="1:19" ht="15" x14ac:dyDescent="0.25">
      <c r="A1556" s="8" t="s">
        <v>6068</v>
      </c>
      <c r="B1556" s="8" t="s">
        <v>6069</v>
      </c>
      <c r="C1556" s="8" t="s">
        <v>6567</v>
      </c>
      <c r="D1556" s="32" t="s">
        <v>6984</v>
      </c>
      <c r="E1556" s="32" t="s">
        <v>6567</v>
      </c>
      <c r="F1556" s="10">
        <v>1</v>
      </c>
      <c r="G1556" s="8" t="s">
        <v>5101</v>
      </c>
      <c r="H1556" s="10">
        <v>67.2</v>
      </c>
      <c r="I1556" s="10">
        <f t="shared" si="26"/>
        <v>67.2</v>
      </c>
      <c r="J1556" s="10">
        <v>4.1463732772000004</v>
      </c>
      <c r="K1556" s="8" t="s">
        <v>5335</v>
      </c>
      <c r="S1556"/>
    </row>
    <row r="1557" spans="1:19" ht="15" x14ac:dyDescent="0.25">
      <c r="A1557" s="8" t="s">
        <v>6068</v>
      </c>
      <c r="B1557" s="8" t="s">
        <v>6069</v>
      </c>
      <c r="C1557" s="8" t="s">
        <v>6568</v>
      </c>
      <c r="D1557" s="32" t="s">
        <v>6984</v>
      </c>
      <c r="E1557" s="32" t="s">
        <v>6568</v>
      </c>
      <c r="F1557" s="10">
        <v>1</v>
      </c>
      <c r="G1557" s="8" t="s">
        <v>5101</v>
      </c>
      <c r="H1557" s="10">
        <v>67.2</v>
      </c>
      <c r="I1557" s="10">
        <f t="shared" si="26"/>
        <v>67.2</v>
      </c>
      <c r="J1557" s="10">
        <v>4.1463732772000004</v>
      </c>
      <c r="K1557" s="8" t="s">
        <v>5335</v>
      </c>
      <c r="S1557"/>
    </row>
    <row r="1558" spans="1:19" ht="15" x14ac:dyDescent="0.25">
      <c r="A1558" s="8" t="s">
        <v>6068</v>
      </c>
      <c r="B1558" s="8" t="s">
        <v>6069</v>
      </c>
      <c r="C1558" s="8" t="s">
        <v>6569</v>
      </c>
      <c r="D1558" s="32" t="s">
        <v>6984</v>
      </c>
      <c r="E1558" s="32" t="s">
        <v>6569</v>
      </c>
      <c r="F1558" s="10">
        <v>1</v>
      </c>
      <c r="G1558" s="8" t="s">
        <v>5101</v>
      </c>
      <c r="H1558" s="10">
        <v>67.2</v>
      </c>
      <c r="I1558" s="10">
        <f t="shared" si="26"/>
        <v>67.2</v>
      </c>
      <c r="J1558" s="10">
        <v>4.1463732772000004</v>
      </c>
      <c r="K1558" s="8" t="s">
        <v>5335</v>
      </c>
      <c r="S1558"/>
    </row>
    <row r="1559" spans="1:19" ht="15" x14ac:dyDescent="0.25">
      <c r="A1559" s="8" t="s">
        <v>6068</v>
      </c>
      <c r="B1559" s="8" t="s">
        <v>6069</v>
      </c>
      <c r="C1559" s="8" t="s">
        <v>6570</v>
      </c>
      <c r="D1559" s="32" t="s">
        <v>6984</v>
      </c>
      <c r="E1559" s="32" t="s">
        <v>6570</v>
      </c>
      <c r="F1559" s="10">
        <v>1</v>
      </c>
      <c r="G1559" s="8" t="s">
        <v>5101</v>
      </c>
      <c r="H1559" s="10">
        <v>67.3</v>
      </c>
      <c r="I1559" s="10">
        <f t="shared" si="26"/>
        <v>67.3</v>
      </c>
      <c r="J1559" s="10">
        <v>4.1522152771999998</v>
      </c>
      <c r="K1559" s="8" t="s">
        <v>5335</v>
      </c>
      <c r="S1559"/>
    </row>
    <row r="1560" spans="1:19" ht="15" x14ac:dyDescent="0.25">
      <c r="A1560" s="8" t="s">
        <v>6071</v>
      </c>
      <c r="B1560" s="8" t="s">
        <v>6069</v>
      </c>
      <c r="C1560" s="8" t="s">
        <v>6571</v>
      </c>
      <c r="D1560" s="32" t="s">
        <v>6984</v>
      </c>
      <c r="E1560" s="32" t="s">
        <v>6571</v>
      </c>
      <c r="F1560" s="10">
        <v>1</v>
      </c>
      <c r="G1560" s="8" t="s">
        <v>5101</v>
      </c>
      <c r="H1560" s="10">
        <v>47.9</v>
      </c>
      <c r="I1560" s="10">
        <f t="shared" si="26"/>
        <v>47.9</v>
      </c>
      <c r="J1560" s="10">
        <v>2.7559075611999999</v>
      </c>
      <c r="K1560" s="8" t="s">
        <v>5335</v>
      </c>
      <c r="S1560"/>
    </row>
    <row r="1561" spans="1:19" ht="15" x14ac:dyDescent="0.25">
      <c r="A1561" s="8" t="s">
        <v>6071</v>
      </c>
      <c r="B1561" s="8" t="s">
        <v>6069</v>
      </c>
      <c r="C1561" s="8" t="s">
        <v>6572</v>
      </c>
      <c r="D1561" s="32" t="s">
        <v>6984</v>
      </c>
      <c r="E1561" s="32" t="s">
        <v>6572</v>
      </c>
      <c r="F1561" s="10">
        <v>1</v>
      </c>
      <c r="G1561" s="8" t="s">
        <v>5101</v>
      </c>
      <c r="H1561" s="10">
        <v>58</v>
      </c>
      <c r="I1561" s="10">
        <f t="shared" si="26"/>
        <v>58</v>
      </c>
      <c r="J1561" s="10">
        <v>3.5698618076000002</v>
      </c>
      <c r="K1561" s="8" t="s">
        <v>5335</v>
      </c>
      <c r="S1561"/>
    </row>
    <row r="1562" spans="1:19" ht="15" x14ac:dyDescent="0.25">
      <c r="A1562" s="8" t="s">
        <v>6068</v>
      </c>
      <c r="B1562" s="8" t="s">
        <v>6069</v>
      </c>
      <c r="C1562" s="8" t="s">
        <v>6573</v>
      </c>
      <c r="D1562" s="32" t="s">
        <v>6984</v>
      </c>
      <c r="E1562" s="32" t="s">
        <v>6573</v>
      </c>
      <c r="F1562" s="10">
        <v>1</v>
      </c>
      <c r="G1562" s="8" t="s">
        <v>5101</v>
      </c>
      <c r="H1562" s="10">
        <v>92.2</v>
      </c>
      <c r="I1562" s="10">
        <f t="shared" si="26"/>
        <v>92.2</v>
      </c>
      <c r="J1562" s="10">
        <v>6.0037252963999999</v>
      </c>
      <c r="K1562" s="8" t="s">
        <v>5335</v>
      </c>
      <c r="S1562"/>
    </row>
    <row r="1563" spans="1:19" ht="15" x14ac:dyDescent="0.25">
      <c r="A1563" s="8" t="s">
        <v>6071</v>
      </c>
      <c r="B1563" s="8" t="s">
        <v>6069</v>
      </c>
      <c r="C1563" s="8" t="s">
        <v>6574</v>
      </c>
      <c r="D1563" s="32" t="s">
        <v>6984</v>
      </c>
      <c r="E1563" s="32" t="s">
        <v>6574</v>
      </c>
      <c r="F1563" s="10">
        <v>2</v>
      </c>
      <c r="G1563" s="8" t="s">
        <v>5101</v>
      </c>
      <c r="H1563" s="10">
        <v>92.2</v>
      </c>
      <c r="I1563" s="10">
        <f t="shared" si="26"/>
        <v>184.4</v>
      </c>
      <c r="J1563" s="10">
        <v>12.0074505928</v>
      </c>
      <c r="K1563" s="8" t="s">
        <v>5335</v>
      </c>
      <c r="S1563"/>
    </row>
    <row r="1564" spans="1:19" ht="15" x14ac:dyDescent="0.25">
      <c r="A1564" s="8" t="s">
        <v>6071</v>
      </c>
      <c r="B1564" s="8" t="s">
        <v>6069</v>
      </c>
      <c r="C1564" s="8" t="s">
        <v>6575</v>
      </c>
      <c r="D1564" s="32" t="s">
        <v>6984</v>
      </c>
      <c r="E1564" s="32" t="s">
        <v>6575</v>
      </c>
      <c r="F1564" s="10">
        <v>1</v>
      </c>
      <c r="G1564" s="8" t="s">
        <v>5101</v>
      </c>
      <c r="H1564" s="10">
        <v>66.099999999999994</v>
      </c>
      <c r="I1564" s="10">
        <f t="shared" si="26"/>
        <v>66.099999999999994</v>
      </c>
      <c r="J1564" s="10">
        <v>4.2236661315999999</v>
      </c>
      <c r="K1564" s="8" t="s">
        <v>5335</v>
      </c>
      <c r="S1564"/>
    </row>
    <row r="1565" spans="1:19" ht="15" x14ac:dyDescent="0.25">
      <c r="A1565" s="8" t="s">
        <v>6071</v>
      </c>
      <c r="B1565" s="8" t="s">
        <v>6069</v>
      </c>
      <c r="C1565" s="8" t="s">
        <v>6576</v>
      </c>
      <c r="D1565" s="32" t="s">
        <v>6984</v>
      </c>
      <c r="E1565" s="32" t="s">
        <v>6576</v>
      </c>
      <c r="F1565" s="10">
        <v>1</v>
      </c>
      <c r="G1565" s="8" t="s">
        <v>5101</v>
      </c>
      <c r="H1565" s="10">
        <v>57.9</v>
      </c>
      <c r="I1565" s="10">
        <f t="shared" si="26"/>
        <v>57.9</v>
      </c>
      <c r="J1565" s="10">
        <v>3.5581080219999999</v>
      </c>
      <c r="K1565" s="8" t="s">
        <v>5335</v>
      </c>
      <c r="S1565"/>
    </row>
    <row r="1566" spans="1:19" ht="15" x14ac:dyDescent="0.25">
      <c r="A1566" s="8" t="s">
        <v>6071</v>
      </c>
      <c r="B1566" s="8" t="s">
        <v>6069</v>
      </c>
      <c r="C1566" s="8" t="s">
        <v>6577</v>
      </c>
      <c r="D1566" s="32" t="s">
        <v>6984</v>
      </c>
      <c r="E1566" s="32" t="s">
        <v>6577</v>
      </c>
      <c r="F1566" s="10">
        <v>1</v>
      </c>
      <c r="G1566" s="8" t="s">
        <v>5101</v>
      </c>
      <c r="H1566" s="10">
        <v>135.9</v>
      </c>
      <c r="I1566" s="10">
        <f t="shared" si="26"/>
        <v>135.9</v>
      </c>
      <c r="J1566" s="10">
        <v>9.2001156260000005</v>
      </c>
      <c r="K1566" s="8" t="s">
        <v>5335</v>
      </c>
      <c r="S1566"/>
    </row>
    <row r="1567" spans="1:19" ht="15" x14ac:dyDescent="0.25">
      <c r="A1567" s="8" t="s">
        <v>6071</v>
      </c>
      <c r="B1567" s="8" t="s">
        <v>6069</v>
      </c>
      <c r="C1567" s="8" t="s">
        <v>6578</v>
      </c>
      <c r="D1567" s="32" t="s">
        <v>6984</v>
      </c>
      <c r="E1567" s="32" t="s">
        <v>6578</v>
      </c>
      <c r="F1567" s="10">
        <v>1</v>
      </c>
      <c r="G1567" s="8" t="s">
        <v>5101</v>
      </c>
      <c r="H1567" s="10">
        <v>94.7</v>
      </c>
      <c r="I1567" s="10">
        <f t="shared" si="26"/>
        <v>94.7</v>
      </c>
      <c r="J1567" s="10">
        <v>6.2020704283999999</v>
      </c>
      <c r="K1567" s="8" t="s">
        <v>5335</v>
      </c>
      <c r="S1567"/>
    </row>
    <row r="1568" spans="1:19" ht="15" x14ac:dyDescent="0.25">
      <c r="A1568" s="8" t="s">
        <v>6071</v>
      </c>
      <c r="B1568" s="8" t="s">
        <v>6069</v>
      </c>
      <c r="C1568" s="8" t="s">
        <v>6579</v>
      </c>
      <c r="D1568" s="32" t="s">
        <v>6984</v>
      </c>
      <c r="E1568" s="32" t="s">
        <v>6579</v>
      </c>
      <c r="F1568" s="10">
        <v>1</v>
      </c>
      <c r="G1568" s="8" t="s">
        <v>5101</v>
      </c>
      <c r="H1568" s="10">
        <v>114.4</v>
      </c>
      <c r="I1568" s="10">
        <f t="shared" si="26"/>
        <v>114.4</v>
      </c>
      <c r="J1568" s="10">
        <v>7.4620245803999996</v>
      </c>
      <c r="K1568" s="8" t="s">
        <v>5335</v>
      </c>
      <c r="S1568"/>
    </row>
    <row r="1569" spans="1:19" ht="15" x14ac:dyDescent="0.25">
      <c r="A1569" s="8" t="s">
        <v>6071</v>
      </c>
      <c r="B1569" s="8" t="s">
        <v>6069</v>
      </c>
      <c r="C1569" s="8" t="s">
        <v>6580</v>
      </c>
      <c r="D1569" s="32" t="s">
        <v>6984</v>
      </c>
      <c r="E1569" s="32" t="s">
        <v>6580</v>
      </c>
      <c r="F1569" s="10">
        <v>2</v>
      </c>
      <c r="G1569" s="8" t="s">
        <v>5101</v>
      </c>
      <c r="H1569" s="10">
        <v>116</v>
      </c>
      <c r="I1569" s="10">
        <f t="shared" si="26"/>
        <v>232</v>
      </c>
      <c r="J1569" s="10">
        <v>15.191447783199999</v>
      </c>
      <c r="K1569" s="8" t="s">
        <v>5335</v>
      </c>
      <c r="S1569"/>
    </row>
    <row r="1570" spans="1:19" ht="15" x14ac:dyDescent="0.25">
      <c r="A1570" s="8" t="s">
        <v>6068</v>
      </c>
      <c r="B1570" s="8" t="s">
        <v>6069</v>
      </c>
      <c r="C1570" s="8" t="s">
        <v>6581</v>
      </c>
      <c r="D1570" s="32" t="s">
        <v>6984</v>
      </c>
      <c r="E1570" s="32" t="s">
        <v>6581</v>
      </c>
      <c r="F1570" s="10">
        <v>1</v>
      </c>
      <c r="G1570" s="8" t="s">
        <v>5101</v>
      </c>
      <c r="H1570" s="10">
        <v>88</v>
      </c>
      <c r="I1570" s="10">
        <f t="shared" si="26"/>
        <v>88</v>
      </c>
      <c r="J1570" s="10">
        <v>5.6599270676</v>
      </c>
      <c r="K1570" s="8" t="s">
        <v>5335</v>
      </c>
      <c r="S1570"/>
    </row>
    <row r="1571" spans="1:19" ht="15" x14ac:dyDescent="0.25">
      <c r="A1571" s="8" t="s">
        <v>6068</v>
      </c>
      <c r="B1571" s="8" t="s">
        <v>6069</v>
      </c>
      <c r="C1571" s="8" t="s">
        <v>6582</v>
      </c>
      <c r="D1571" s="32" t="s">
        <v>6984</v>
      </c>
      <c r="E1571" s="32" t="s">
        <v>6582</v>
      </c>
      <c r="F1571" s="10">
        <v>2</v>
      </c>
      <c r="G1571" s="8" t="s">
        <v>5101</v>
      </c>
      <c r="H1571" s="10">
        <v>124.95</v>
      </c>
      <c r="I1571" s="10">
        <f t="shared" si="26"/>
        <v>249.9</v>
      </c>
      <c r="J1571" s="10">
        <v>16.635709812000002</v>
      </c>
      <c r="K1571" s="8" t="s">
        <v>5335</v>
      </c>
      <c r="S1571"/>
    </row>
    <row r="1572" spans="1:19" ht="15" x14ac:dyDescent="0.25">
      <c r="A1572" s="8" t="s">
        <v>6068</v>
      </c>
      <c r="B1572" s="8" t="s">
        <v>6069</v>
      </c>
      <c r="C1572" s="8" t="s">
        <v>6583</v>
      </c>
      <c r="D1572" s="32" t="s">
        <v>6984</v>
      </c>
      <c r="E1572" s="32" t="s">
        <v>6583</v>
      </c>
      <c r="F1572" s="10">
        <v>1</v>
      </c>
      <c r="G1572" s="8" t="s">
        <v>5101</v>
      </c>
      <c r="H1572" s="10">
        <v>92.4</v>
      </c>
      <c r="I1572" s="10">
        <f t="shared" si="26"/>
        <v>92.4</v>
      </c>
      <c r="J1572" s="10">
        <v>6.0213559747999996</v>
      </c>
      <c r="K1572" s="8" t="s">
        <v>5335</v>
      </c>
      <c r="S1572"/>
    </row>
    <row r="1573" spans="1:19" ht="15" x14ac:dyDescent="0.25">
      <c r="A1573" s="8" t="s">
        <v>6068</v>
      </c>
      <c r="B1573" s="8" t="s">
        <v>6069</v>
      </c>
      <c r="C1573" s="8" t="s">
        <v>6584</v>
      </c>
      <c r="D1573" s="32" t="s">
        <v>6984</v>
      </c>
      <c r="E1573" s="32" t="s">
        <v>6584</v>
      </c>
      <c r="F1573" s="10">
        <v>1</v>
      </c>
      <c r="G1573" s="8" t="s">
        <v>5101</v>
      </c>
      <c r="H1573" s="10">
        <v>155.6</v>
      </c>
      <c r="I1573" s="10">
        <f t="shared" si="26"/>
        <v>155.6</v>
      </c>
      <c r="J1573" s="10">
        <v>10.465946670799999</v>
      </c>
      <c r="K1573" s="8" t="s">
        <v>5335</v>
      </c>
      <c r="S1573"/>
    </row>
    <row r="1574" spans="1:19" ht="15" x14ac:dyDescent="0.25">
      <c r="A1574" s="8" t="s">
        <v>6068</v>
      </c>
      <c r="B1574" s="8" t="s">
        <v>6069</v>
      </c>
      <c r="C1574" s="8" t="s">
        <v>6585</v>
      </c>
      <c r="D1574" s="32" t="s">
        <v>6984</v>
      </c>
      <c r="E1574" s="32" t="s">
        <v>6585</v>
      </c>
      <c r="F1574" s="10">
        <v>1</v>
      </c>
      <c r="G1574" s="8" t="s">
        <v>5101</v>
      </c>
      <c r="H1574" s="10">
        <v>57.3</v>
      </c>
      <c r="I1574" s="10">
        <f t="shared" si="26"/>
        <v>57.3</v>
      </c>
      <c r="J1574" s="10">
        <v>3.5110928796</v>
      </c>
      <c r="K1574" s="8" t="s">
        <v>5335</v>
      </c>
      <c r="S1574"/>
    </row>
    <row r="1575" spans="1:19" ht="15" x14ac:dyDescent="0.25">
      <c r="A1575" s="8" t="s">
        <v>6068</v>
      </c>
      <c r="B1575" s="8" t="s">
        <v>6069</v>
      </c>
      <c r="C1575" s="8" t="s">
        <v>6586</v>
      </c>
      <c r="D1575" s="32" t="s">
        <v>6984</v>
      </c>
      <c r="E1575" s="32" t="s">
        <v>6586</v>
      </c>
      <c r="F1575" s="10">
        <v>1</v>
      </c>
      <c r="G1575" s="8" t="s">
        <v>5101</v>
      </c>
      <c r="H1575" s="10">
        <v>124</v>
      </c>
      <c r="I1575" s="10">
        <f t="shared" si="26"/>
        <v>124</v>
      </c>
      <c r="J1575" s="10">
        <v>8.2421820996000008</v>
      </c>
      <c r="K1575" s="8" t="s">
        <v>5335</v>
      </c>
      <c r="S1575"/>
    </row>
    <row r="1576" spans="1:19" ht="15" x14ac:dyDescent="0.25">
      <c r="A1576" s="8" t="s">
        <v>6068</v>
      </c>
      <c r="B1576" s="8" t="s">
        <v>6069</v>
      </c>
      <c r="C1576" s="8" t="s">
        <v>6587</v>
      </c>
      <c r="D1576" s="32" t="s">
        <v>6984</v>
      </c>
      <c r="E1576" s="32" t="s">
        <v>6587</v>
      </c>
      <c r="F1576" s="10">
        <v>1</v>
      </c>
      <c r="G1576" s="8" t="s">
        <v>5101</v>
      </c>
      <c r="H1576" s="10">
        <v>58.3</v>
      </c>
      <c r="I1576" s="10">
        <f t="shared" si="26"/>
        <v>58.3</v>
      </c>
      <c r="J1576" s="10">
        <v>3.5963078251999998</v>
      </c>
      <c r="K1576" s="8" t="s">
        <v>5335</v>
      </c>
      <c r="S1576"/>
    </row>
    <row r="1577" spans="1:19" ht="15" x14ac:dyDescent="0.25">
      <c r="A1577" s="8" t="s">
        <v>6071</v>
      </c>
      <c r="B1577" s="8" t="s">
        <v>6069</v>
      </c>
      <c r="C1577" s="8" t="s">
        <v>6588</v>
      </c>
      <c r="D1577" s="32" t="s">
        <v>6984</v>
      </c>
      <c r="E1577" s="32" t="s">
        <v>6588</v>
      </c>
      <c r="F1577" s="10">
        <v>2</v>
      </c>
      <c r="G1577" s="8" t="s">
        <v>5101</v>
      </c>
      <c r="H1577" s="10">
        <v>116.55</v>
      </c>
      <c r="I1577" s="10">
        <f t="shared" si="26"/>
        <v>233.1</v>
      </c>
      <c r="J1577" s="10">
        <v>15.2796011752</v>
      </c>
      <c r="K1577" s="8" t="s">
        <v>5335</v>
      </c>
      <c r="S1577"/>
    </row>
    <row r="1578" spans="1:19" ht="15" x14ac:dyDescent="0.25">
      <c r="A1578" s="8" t="s">
        <v>6071</v>
      </c>
      <c r="B1578" s="8" t="s">
        <v>6069</v>
      </c>
      <c r="C1578" s="8" t="s">
        <v>6589</v>
      </c>
      <c r="D1578" s="32" t="s">
        <v>6984</v>
      </c>
      <c r="E1578" s="32" t="s">
        <v>6589</v>
      </c>
      <c r="F1578" s="10">
        <v>6</v>
      </c>
      <c r="G1578" s="8" t="s">
        <v>5101</v>
      </c>
      <c r="H1578" s="10">
        <v>116.55</v>
      </c>
      <c r="I1578" s="10">
        <f t="shared" si="26"/>
        <v>699.3</v>
      </c>
      <c r="J1578" s="10">
        <v>45.838803525599999</v>
      </c>
      <c r="K1578" s="8" t="s">
        <v>5335</v>
      </c>
      <c r="S1578"/>
    </row>
    <row r="1579" spans="1:19" ht="15" x14ac:dyDescent="0.25">
      <c r="A1579" s="8" t="s">
        <v>6071</v>
      </c>
      <c r="B1579" s="8" t="s">
        <v>6069</v>
      </c>
      <c r="C1579" s="8" t="s">
        <v>6590</v>
      </c>
      <c r="D1579" s="32" t="s">
        <v>6984</v>
      </c>
      <c r="E1579" s="32" t="s">
        <v>6590</v>
      </c>
      <c r="F1579" s="10">
        <v>6</v>
      </c>
      <c r="G1579" s="8" t="s">
        <v>5101</v>
      </c>
      <c r="H1579" s="10">
        <v>116.55</v>
      </c>
      <c r="I1579" s="10">
        <f t="shared" si="26"/>
        <v>699.3</v>
      </c>
      <c r="J1579" s="10">
        <v>45.838803525599999</v>
      </c>
      <c r="K1579" s="8" t="s">
        <v>5335</v>
      </c>
      <c r="S1579"/>
    </row>
    <row r="1580" spans="1:19" ht="15" x14ac:dyDescent="0.25">
      <c r="A1580" s="8" t="s">
        <v>6068</v>
      </c>
      <c r="B1580" s="8" t="s">
        <v>6069</v>
      </c>
      <c r="C1580" s="8" t="s">
        <v>6591</v>
      </c>
      <c r="D1580" s="32" t="s">
        <v>6984</v>
      </c>
      <c r="E1580" s="32" t="s">
        <v>6591</v>
      </c>
      <c r="F1580" s="10">
        <v>2</v>
      </c>
      <c r="G1580" s="8" t="s">
        <v>5101</v>
      </c>
      <c r="H1580" s="10">
        <v>98.7</v>
      </c>
      <c r="I1580" s="10">
        <f t="shared" si="26"/>
        <v>197.4</v>
      </c>
      <c r="J1580" s="10">
        <v>13.0535375112</v>
      </c>
      <c r="K1580" s="8" t="s">
        <v>5335</v>
      </c>
      <c r="S1580"/>
    </row>
    <row r="1581" spans="1:19" ht="15" x14ac:dyDescent="0.25">
      <c r="A1581" s="8" t="s">
        <v>6068</v>
      </c>
      <c r="B1581" s="8" t="s">
        <v>6069</v>
      </c>
      <c r="C1581" s="8" t="s">
        <v>6592</v>
      </c>
      <c r="D1581" s="32" t="s">
        <v>6984</v>
      </c>
      <c r="E1581" s="32" t="s">
        <v>6592</v>
      </c>
      <c r="F1581" s="10">
        <v>1</v>
      </c>
      <c r="G1581" s="8" t="s">
        <v>5101</v>
      </c>
      <c r="H1581" s="10">
        <v>62.6</v>
      </c>
      <c r="I1581" s="10">
        <f t="shared" si="26"/>
        <v>62.6</v>
      </c>
      <c r="J1581" s="10">
        <v>3.9445137236000001</v>
      </c>
      <c r="K1581" s="8" t="s">
        <v>5335</v>
      </c>
      <c r="S1581"/>
    </row>
    <row r="1582" spans="1:19" ht="15" x14ac:dyDescent="0.25">
      <c r="A1582" s="8" t="s">
        <v>6071</v>
      </c>
      <c r="B1582" s="8" t="s">
        <v>6069</v>
      </c>
      <c r="C1582" s="8" t="s">
        <v>6593</v>
      </c>
      <c r="D1582" s="32" t="s">
        <v>6984</v>
      </c>
      <c r="E1582" s="32" t="s">
        <v>6593</v>
      </c>
      <c r="F1582" s="10">
        <v>2</v>
      </c>
      <c r="G1582" s="8" t="s">
        <v>5101</v>
      </c>
      <c r="H1582" s="10">
        <v>62.65</v>
      </c>
      <c r="I1582" s="10">
        <f t="shared" si="26"/>
        <v>125.3</v>
      </c>
      <c r="J1582" s="10">
        <v>7.8890274472000002</v>
      </c>
      <c r="K1582" s="8" t="s">
        <v>5335</v>
      </c>
      <c r="S1582"/>
    </row>
    <row r="1583" spans="1:19" ht="15" x14ac:dyDescent="0.25">
      <c r="A1583" s="8" t="s">
        <v>6068</v>
      </c>
      <c r="B1583" s="8" t="s">
        <v>6069</v>
      </c>
      <c r="C1583" s="8" t="s">
        <v>6594</v>
      </c>
      <c r="D1583" s="32" t="s">
        <v>6984</v>
      </c>
      <c r="E1583" s="32" t="s">
        <v>6594</v>
      </c>
      <c r="F1583" s="10">
        <v>1</v>
      </c>
      <c r="G1583" s="8" t="s">
        <v>5101</v>
      </c>
      <c r="H1583" s="10">
        <v>125.7</v>
      </c>
      <c r="I1583" s="10">
        <f t="shared" si="26"/>
        <v>125.7</v>
      </c>
      <c r="J1583" s="10">
        <v>8.3817583035999998</v>
      </c>
      <c r="K1583" s="8" t="s">
        <v>5335</v>
      </c>
      <c r="S1583"/>
    </row>
    <row r="1584" spans="1:19" ht="15" x14ac:dyDescent="0.25">
      <c r="A1584" s="8" t="s">
        <v>6071</v>
      </c>
      <c r="B1584" s="8" t="s">
        <v>6069</v>
      </c>
      <c r="C1584" s="8" t="s">
        <v>6595</v>
      </c>
      <c r="D1584" s="32" t="s">
        <v>6984</v>
      </c>
      <c r="E1584" s="32" t="s">
        <v>6595</v>
      </c>
      <c r="F1584" s="10">
        <v>1</v>
      </c>
      <c r="G1584" s="8" t="s">
        <v>5101</v>
      </c>
      <c r="H1584" s="10">
        <v>125.7</v>
      </c>
      <c r="I1584" s="10">
        <f t="shared" si="26"/>
        <v>125.7</v>
      </c>
      <c r="J1584" s="10">
        <v>8.3817583035999998</v>
      </c>
      <c r="K1584" s="8" t="s">
        <v>5335</v>
      </c>
      <c r="S1584"/>
    </row>
    <row r="1585" spans="1:19" ht="15" x14ac:dyDescent="0.25">
      <c r="A1585" s="8" t="s">
        <v>6071</v>
      </c>
      <c r="B1585" s="8" t="s">
        <v>6069</v>
      </c>
      <c r="C1585" s="8" t="s">
        <v>6596</v>
      </c>
      <c r="D1585" s="32" t="s">
        <v>6984</v>
      </c>
      <c r="E1585" s="32" t="s">
        <v>6596</v>
      </c>
      <c r="F1585" s="10">
        <v>1</v>
      </c>
      <c r="G1585" s="8" t="s">
        <v>5101</v>
      </c>
      <c r="H1585" s="10">
        <v>82.7</v>
      </c>
      <c r="I1585" s="10">
        <f t="shared" si="26"/>
        <v>82.7</v>
      </c>
      <c r="J1585" s="10">
        <v>5.2338523396000003</v>
      </c>
      <c r="K1585" s="8" t="s">
        <v>5335</v>
      </c>
      <c r="S1585"/>
    </row>
    <row r="1586" spans="1:19" ht="15" x14ac:dyDescent="0.25">
      <c r="A1586" s="8" t="s">
        <v>6071</v>
      </c>
      <c r="B1586" s="8" t="s">
        <v>6069</v>
      </c>
      <c r="C1586" s="8" t="s">
        <v>6597</v>
      </c>
      <c r="D1586" s="32" t="s">
        <v>6984</v>
      </c>
      <c r="E1586" s="32" t="s">
        <v>6597</v>
      </c>
      <c r="F1586" s="10">
        <v>8</v>
      </c>
      <c r="G1586" s="8" t="s">
        <v>5101</v>
      </c>
      <c r="H1586" s="10">
        <v>52.112499999999997</v>
      </c>
      <c r="I1586" s="10">
        <f t="shared" si="26"/>
        <v>416.9</v>
      </c>
      <c r="J1586" s="10">
        <v>24.1424719392</v>
      </c>
      <c r="K1586" s="8" t="s">
        <v>5335</v>
      </c>
      <c r="S1586"/>
    </row>
    <row r="1587" spans="1:19" ht="15" x14ac:dyDescent="0.25">
      <c r="A1587" s="8" t="s">
        <v>6071</v>
      </c>
      <c r="B1587" s="8" t="s">
        <v>6069</v>
      </c>
      <c r="C1587" s="8" t="s">
        <v>6598</v>
      </c>
      <c r="D1587" s="32" t="s">
        <v>6984</v>
      </c>
      <c r="E1587" s="32" t="s">
        <v>6598</v>
      </c>
      <c r="F1587" s="10">
        <v>8</v>
      </c>
      <c r="G1587" s="8" t="s">
        <v>5101</v>
      </c>
      <c r="H1587" s="10">
        <v>50.237499999999997</v>
      </c>
      <c r="I1587" s="10">
        <f t="shared" si="26"/>
        <v>401.9</v>
      </c>
      <c r="J1587" s="10">
        <v>22.925621379199999</v>
      </c>
      <c r="K1587" s="8" t="s">
        <v>5335</v>
      </c>
      <c r="S1587"/>
    </row>
    <row r="1588" spans="1:19" ht="15" x14ac:dyDescent="0.25">
      <c r="A1588" s="8" t="s">
        <v>6071</v>
      </c>
      <c r="B1588" s="8" t="s">
        <v>6069</v>
      </c>
      <c r="C1588" s="8" t="s">
        <v>6599</v>
      </c>
      <c r="D1588" s="32" t="s">
        <v>6984</v>
      </c>
      <c r="E1588" s="32" t="s">
        <v>6599</v>
      </c>
      <c r="F1588" s="10">
        <v>8</v>
      </c>
      <c r="G1588" s="8" t="s">
        <v>5101</v>
      </c>
      <c r="H1588" s="10">
        <v>52.112499999999997</v>
      </c>
      <c r="I1588" s="10">
        <f t="shared" si="26"/>
        <v>416.9</v>
      </c>
      <c r="J1588" s="10">
        <v>24.1424719392</v>
      </c>
      <c r="K1588" s="8" t="s">
        <v>5335</v>
      </c>
      <c r="S1588"/>
    </row>
    <row r="1589" spans="1:19" ht="15" x14ac:dyDescent="0.25">
      <c r="A1589" s="8" t="s">
        <v>6071</v>
      </c>
      <c r="B1589" s="8" t="s">
        <v>6069</v>
      </c>
      <c r="C1589" s="8" t="s">
        <v>6600</v>
      </c>
      <c r="D1589" s="32" t="s">
        <v>6984</v>
      </c>
      <c r="E1589" s="32" t="s">
        <v>6600</v>
      </c>
      <c r="F1589" s="10">
        <v>8</v>
      </c>
      <c r="G1589" s="8" t="s">
        <v>5101</v>
      </c>
      <c r="H1589" s="10">
        <v>50.237499999999997</v>
      </c>
      <c r="I1589" s="10">
        <f t="shared" si="26"/>
        <v>401.9</v>
      </c>
      <c r="J1589" s="10">
        <v>22.925621379199999</v>
      </c>
      <c r="K1589" s="8" t="s">
        <v>5335</v>
      </c>
      <c r="S1589"/>
    </row>
    <row r="1590" spans="1:19" ht="15" x14ac:dyDescent="0.25">
      <c r="A1590" s="8" t="s">
        <v>6071</v>
      </c>
      <c r="B1590" s="8" t="s">
        <v>6069</v>
      </c>
      <c r="C1590" s="8" t="s">
        <v>6601</v>
      </c>
      <c r="D1590" s="32" t="s">
        <v>6984</v>
      </c>
      <c r="E1590" s="32" t="s">
        <v>6601</v>
      </c>
      <c r="F1590" s="10">
        <v>1</v>
      </c>
      <c r="G1590" s="8" t="s">
        <v>5101</v>
      </c>
      <c r="H1590" s="10">
        <v>125.6</v>
      </c>
      <c r="I1590" s="10">
        <f t="shared" si="26"/>
        <v>125.6</v>
      </c>
      <c r="J1590" s="10">
        <v>8.3745843927999992</v>
      </c>
      <c r="K1590" s="8" t="s">
        <v>5335</v>
      </c>
      <c r="S1590"/>
    </row>
    <row r="1591" spans="1:19" ht="15" x14ac:dyDescent="0.25">
      <c r="A1591" s="8" t="s">
        <v>6068</v>
      </c>
      <c r="B1591" s="8" t="s">
        <v>6069</v>
      </c>
      <c r="C1591" s="8" t="s">
        <v>6602</v>
      </c>
      <c r="D1591" s="32" t="s">
        <v>6984</v>
      </c>
      <c r="E1591" s="32" t="s">
        <v>6602</v>
      </c>
      <c r="F1591" s="10">
        <v>4</v>
      </c>
      <c r="G1591" s="8" t="s">
        <v>5101</v>
      </c>
      <c r="H1591" s="10">
        <v>120.55</v>
      </c>
      <c r="I1591" s="10">
        <f t="shared" si="26"/>
        <v>482.2</v>
      </c>
      <c r="J1591" s="10">
        <v>31.849211566400001</v>
      </c>
      <c r="K1591" s="8" t="s">
        <v>5335</v>
      </c>
      <c r="S1591"/>
    </row>
    <row r="1592" spans="1:19" ht="15" x14ac:dyDescent="0.25">
      <c r="A1592" s="8" t="s">
        <v>6071</v>
      </c>
      <c r="B1592" s="8" t="s">
        <v>6069</v>
      </c>
      <c r="C1592" s="8" t="s">
        <v>6603</v>
      </c>
      <c r="D1592" s="32" t="s">
        <v>6984</v>
      </c>
      <c r="E1592" s="32" t="s">
        <v>6603</v>
      </c>
      <c r="F1592" s="10">
        <v>1</v>
      </c>
      <c r="G1592" s="8" t="s">
        <v>5101</v>
      </c>
      <c r="H1592" s="10">
        <v>27.4</v>
      </c>
      <c r="I1592" s="10">
        <f t="shared" si="26"/>
        <v>27.4</v>
      </c>
      <c r="J1592" s="10">
        <v>1.4325274511999999</v>
      </c>
      <c r="K1592" s="8" t="s">
        <v>5335</v>
      </c>
      <c r="S1592"/>
    </row>
    <row r="1593" spans="1:19" ht="15" x14ac:dyDescent="0.25">
      <c r="A1593" s="8" t="s">
        <v>6071</v>
      </c>
      <c r="B1593" s="8" t="s">
        <v>6069</v>
      </c>
      <c r="C1593" s="8" t="s">
        <v>6604</v>
      </c>
      <c r="D1593" s="32" t="s">
        <v>6984</v>
      </c>
      <c r="E1593" s="32" t="s">
        <v>6604</v>
      </c>
      <c r="F1593" s="10">
        <v>9</v>
      </c>
      <c r="G1593" s="8" t="s">
        <v>5101</v>
      </c>
      <c r="H1593" s="10">
        <v>111.44444444444444</v>
      </c>
      <c r="I1593" s="10">
        <f t="shared" si="26"/>
        <v>1003</v>
      </c>
      <c r="J1593" s="10">
        <v>65.042539815599994</v>
      </c>
      <c r="K1593" s="8" t="s">
        <v>5335</v>
      </c>
      <c r="S1593"/>
    </row>
    <row r="1594" spans="1:19" ht="15" x14ac:dyDescent="0.25">
      <c r="A1594" s="8" t="s">
        <v>6068</v>
      </c>
      <c r="B1594" s="8" t="s">
        <v>6069</v>
      </c>
      <c r="C1594" s="8" t="s">
        <v>6605</v>
      </c>
      <c r="D1594" s="32" t="s">
        <v>6984</v>
      </c>
      <c r="E1594" s="32" t="s">
        <v>6605</v>
      </c>
      <c r="F1594" s="10">
        <v>1</v>
      </c>
      <c r="G1594" s="8" t="s">
        <v>5101</v>
      </c>
      <c r="H1594" s="10">
        <v>67.3</v>
      </c>
      <c r="I1594" s="10">
        <f t="shared" si="26"/>
        <v>67.3</v>
      </c>
      <c r="J1594" s="10">
        <v>4.1524692771999998</v>
      </c>
      <c r="K1594" s="8" t="s">
        <v>5335</v>
      </c>
      <c r="S1594"/>
    </row>
    <row r="1595" spans="1:19" ht="15" x14ac:dyDescent="0.25">
      <c r="A1595" s="8" t="s">
        <v>6068</v>
      </c>
      <c r="B1595" s="8" t="s">
        <v>6069</v>
      </c>
      <c r="C1595" s="8" t="s">
        <v>6606</v>
      </c>
      <c r="D1595" s="32" t="s">
        <v>6984</v>
      </c>
      <c r="E1595" s="32" t="s">
        <v>6606</v>
      </c>
      <c r="F1595" s="10">
        <v>1</v>
      </c>
      <c r="G1595" s="8" t="s">
        <v>5101</v>
      </c>
      <c r="H1595" s="10">
        <v>66.099999999999994</v>
      </c>
      <c r="I1595" s="10">
        <f t="shared" si="26"/>
        <v>66.099999999999994</v>
      </c>
      <c r="J1595" s="10">
        <v>4.0596726747999998</v>
      </c>
      <c r="K1595" s="8" t="s">
        <v>5335</v>
      </c>
      <c r="S1595"/>
    </row>
    <row r="1596" spans="1:19" ht="15" x14ac:dyDescent="0.25">
      <c r="A1596" s="8" t="s">
        <v>6068</v>
      </c>
      <c r="B1596" s="8" t="s">
        <v>6069</v>
      </c>
      <c r="C1596" s="8" t="s">
        <v>6607</v>
      </c>
      <c r="D1596" s="32" t="s">
        <v>6984</v>
      </c>
      <c r="E1596" s="32" t="s">
        <v>6607</v>
      </c>
      <c r="F1596" s="10">
        <v>1</v>
      </c>
      <c r="G1596" s="8" t="s">
        <v>5101</v>
      </c>
      <c r="H1596" s="10">
        <v>67.2</v>
      </c>
      <c r="I1596" s="10">
        <f t="shared" si="26"/>
        <v>67.2</v>
      </c>
      <c r="J1596" s="10">
        <v>4.1463732772000004</v>
      </c>
      <c r="K1596" s="8" t="s">
        <v>5335</v>
      </c>
      <c r="S1596"/>
    </row>
    <row r="1597" spans="1:19" ht="15" x14ac:dyDescent="0.25">
      <c r="A1597" s="8" t="s">
        <v>6071</v>
      </c>
      <c r="B1597" s="8" t="s">
        <v>6069</v>
      </c>
      <c r="C1597" s="8" t="s">
        <v>6608</v>
      </c>
      <c r="D1597" s="32" t="s">
        <v>6984</v>
      </c>
      <c r="E1597" s="32" t="s">
        <v>6608</v>
      </c>
      <c r="F1597" s="10">
        <v>9</v>
      </c>
      <c r="G1597" s="8" t="s">
        <v>5101</v>
      </c>
      <c r="H1597" s="10">
        <v>114.74444444444445</v>
      </c>
      <c r="I1597" s="10">
        <f t="shared" si="26"/>
        <v>1032.7</v>
      </c>
      <c r="J1597" s="10">
        <v>67.447219417200003</v>
      </c>
      <c r="K1597" s="8" t="s">
        <v>5335</v>
      </c>
      <c r="S1597"/>
    </row>
    <row r="1598" spans="1:19" ht="15" x14ac:dyDescent="0.25">
      <c r="A1598" s="8" t="s">
        <v>6068</v>
      </c>
      <c r="B1598" s="8" t="s">
        <v>6069</v>
      </c>
      <c r="C1598" s="8" t="s">
        <v>6609</v>
      </c>
      <c r="D1598" s="32" t="s">
        <v>6984</v>
      </c>
      <c r="E1598" s="32" t="s">
        <v>6609</v>
      </c>
      <c r="F1598" s="10">
        <v>4</v>
      </c>
      <c r="G1598" s="8" t="s">
        <v>5101</v>
      </c>
      <c r="H1598" s="10">
        <v>123.825</v>
      </c>
      <c r="I1598" s="10">
        <f t="shared" si="26"/>
        <v>495.3</v>
      </c>
      <c r="J1598" s="10">
        <v>32.914988363200003</v>
      </c>
      <c r="K1598" s="8" t="s">
        <v>5335</v>
      </c>
      <c r="S1598"/>
    </row>
    <row r="1599" spans="1:19" ht="15" x14ac:dyDescent="0.25">
      <c r="A1599" s="8" t="s">
        <v>6071</v>
      </c>
      <c r="B1599" s="8" t="s">
        <v>6069</v>
      </c>
      <c r="C1599" s="8" t="s">
        <v>6610</v>
      </c>
      <c r="D1599" s="32" t="s">
        <v>6984</v>
      </c>
      <c r="E1599" s="32" t="s">
        <v>6610</v>
      </c>
      <c r="F1599" s="10">
        <v>1</v>
      </c>
      <c r="G1599" s="8" t="s">
        <v>5101</v>
      </c>
      <c r="H1599" s="10">
        <v>88.5</v>
      </c>
      <c r="I1599" s="10">
        <f t="shared" si="26"/>
        <v>88.5</v>
      </c>
      <c r="J1599" s="10">
        <v>5.7067302099999999</v>
      </c>
      <c r="K1599" s="8" t="s">
        <v>5335</v>
      </c>
      <c r="S1599"/>
    </row>
    <row r="1600" spans="1:19" ht="15" x14ac:dyDescent="0.25">
      <c r="A1600" s="8" t="s">
        <v>6071</v>
      </c>
      <c r="B1600" s="8" t="s">
        <v>6069</v>
      </c>
      <c r="C1600" s="8" t="s">
        <v>6611</v>
      </c>
      <c r="D1600" s="32" t="s">
        <v>6984</v>
      </c>
      <c r="E1600" s="32" t="s">
        <v>6611</v>
      </c>
      <c r="F1600" s="10">
        <v>1</v>
      </c>
      <c r="G1600" s="8" t="s">
        <v>5101</v>
      </c>
      <c r="H1600" s="10">
        <v>67.3</v>
      </c>
      <c r="I1600" s="10">
        <f t="shared" si="26"/>
        <v>67.3</v>
      </c>
      <c r="J1600" s="10">
        <v>4.1504372772</v>
      </c>
      <c r="K1600" s="8" t="s">
        <v>5335</v>
      </c>
      <c r="S1600"/>
    </row>
    <row r="1601" spans="1:19" ht="15" x14ac:dyDescent="0.25">
      <c r="A1601" s="8" t="s">
        <v>6071</v>
      </c>
      <c r="B1601" s="8" t="s">
        <v>6069</v>
      </c>
      <c r="C1601" s="8" t="s">
        <v>6612</v>
      </c>
      <c r="D1601" s="32" t="s">
        <v>6984</v>
      </c>
      <c r="E1601" s="32" t="s">
        <v>6612</v>
      </c>
      <c r="F1601" s="10">
        <v>1</v>
      </c>
      <c r="G1601" s="8" t="s">
        <v>5101</v>
      </c>
      <c r="H1601" s="10">
        <v>67.2</v>
      </c>
      <c r="I1601" s="10">
        <f t="shared" si="26"/>
        <v>67.2</v>
      </c>
      <c r="J1601" s="10">
        <v>4.1463732772000004</v>
      </c>
      <c r="K1601" s="8" t="s">
        <v>5335</v>
      </c>
      <c r="S1601"/>
    </row>
    <row r="1602" spans="1:19" ht="15" x14ac:dyDescent="0.25">
      <c r="A1602" s="8" t="s">
        <v>6071</v>
      </c>
      <c r="B1602" s="8" t="s">
        <v>6069</v>
      </c>
      <c r="C1602" s="8" t="s">
        <v>6613</v>
      </c>
      <c r="D1602" s="32" t="s">
        <v>6984</v>
      </c>
      <c r="E1602" s="32" t="s">
        <v>6613</v>
      </c>
      <c r="F1602" s="10">
        <v>1</v>
      </c>
      <c r="G1602" s="8" t="s">
        <v>5101</v>
      </c>
      <c r="H1602" s="10">
        <v>67.2</v>
      </c>
      <c r="I1602" s="10">
        <f t="shared" si="26"/>
        <v>67.2</v>
      </c>
      <c r="J1602" s="10">
        <v>4.1463732772000004</v>
      </c>
      <c r="K1602" s="8" t="s">
        <v>5335</v>
      </c>
      <c r="S1602"/>
    </row>
    <row r="1603" spans="1:19" ht="15" x14ac:dyDescent="0.25">
      <c r="A1603" s="8" t="s">
        <v>6071</v>
      </c>
      <c r="B1603" s="8" t="s">
        <v>6069</v>
      </c>
      <c r="C1603" s="8" t="s">
        <v>6614</v>
      </c>
      <c r="D1603" s="32" t="s">
        <v>6984</v>
      </c>
      <c r="E1603" s="32" t="s">
        <v>6614</v>
      </c>
      <c r="F1603" s="10">
        <v>1</v>
      </c>
      <c r="G1603" s="8" t="s">
        <v>5101</v>
      </c>
      <c r="H1603" s="10">
        <v>67.3</v>
      </c>
      <c r="I1603" s="10">
        <f t="shared" si="26"/>
        <v>67.3</v>
      </c>
      <c r="J1603" s="10">
        <v>4.1522152771999998</v>
      </c>
      <c r="K1603" s="8" t="s">
        <v>5335</v>
      </c>
      <c r="S1603"/>
    </row>
    <row r="1604" spans="1:19" ht="15" x14ac:dyDescent="0.25">
      <c r="A1604" s="8" t="s">
        <v>6071</v>
      </c>
      <c r="B1604" s="8" t="s">
        <v>6069</v>
      </c>
      <c r="C1604" s="8" t="s">
        <v>6615</v>
      </c>
      <c r="D1604" s="32" t="s">
        <v>6984</v>
      </c>
      <c r="E1604" s="32" t="s">
        <v>6615</v>
      </c>
      <c r="F1604" s="10">
        <v>1</v>
      </c>
      <c r="G1604" s="8" t="s">
        <v>5101</v>
      </c>
      <c r="H1604" s="10">
        <v>67.2</v>
      </c>
      <c r="I1604" s="10">
        <f t="shared" si="26"/>
        <v>67.2</v>
      </c>
      <c r="J1604" s="10">
        <v>4.1463732772000004</v>
      </c>
      <c r="K1604" s="8" t="s">
        <v>5335</v>
      </c>
      <c r="S1604"/>
    </row>
    <row r="1605" spans="1:19" ht="15" x14ac:dyDescent="0.25">
      <c r="A1605" s="8" t="s">
        <v>6071</v>
      </c>
      <c r="B1605" s="8" t="s">
        <v>6069</v>
      </c>
      <c r="C1605" s="8" t="s">
        <v>6616</v>
      </c>
      <c r="D1605" s="32" t="s">
        <v>6984</v>
      </c>
      <c r="E1605" s="32" t="s">
        <v>6616</v>
      </c>
      <c r="F1605" s="10">
        <v>1</v>
      </c>
      <c r="G1605" s="8" t="s">
        <v>5101</v>
      </c>
      <c r="H1605" s="10">
        <v>67.3</v>
      </c>
      <c r="I1605" s="10">
        <f t="shared" ref="I1605:I1668" si="27">F1605*H1605</f>
        <v>67.3</v>
      </c>
      <c r="J1605" s="10">
        <v>4.1501732772000004</v>
      </c>
      <c r="K1605" s="8" t="s">
        <v>5335</v>
      </c>
      <c r="S1605"/>
    </row>
    <row r="1606" spans="1:19" ht="15" x14ac:dyDescent="0.25">
      <c r="A1606" s="8" t="s">
        <v>6071</v>
      </c>
      <c r="B1606" s="8" t="s">
        <v>6069</v>
      </c>
      <c r="C1606" s="8" t="s">
        <v>6617</v>
      </c>
      <c r="D1606" s="32" t="s">
        <v>6984</v>
      </c>
      <c r="E1606" s="32" t="s">
        <v>6617</v>
      </c>
      <c r="F1606" s="10">
        <v>1</v>
      </c>
      <c r="G1606" s="8" t="s">
        <v>5101</v>
      </c>
      <c r="H1606" s="10">
        <v>67.2</v>
      </c>
      <c r="I1606" s="10">
        <f t="shared" si="27"/>
        <v>67.2</v>
      </c>
      <c r="J1606" s="10">
        <v>4.1499732772</v>
      </c>
      <c r="K1606" s="8" t="s">
        <v>5335</v>
      </c>
      <c r="S1606"/>
    </row>
    <row r="1607" spans="1:19" ht="15" x14ac:dyDescent="0.25">
      <c r="A1607" s="8" t="s">
        <v>6071</v>
      </c>
      <c r="B1607" s="8" t="s">
        <v>6069</v>
      </c>
      <c r="C1607" s="8" t="s">
        <v>6618</v>
      </c>
      <c r="D1607" s="32" t="s">
        <v>6984</v>
      </c>
      <c r="E1607" s="32" t="s">
        <v>6618</v>
      </c>
      <c r="F1607" s="10">
        <v>1</v>
      </c>
      <c r="G1607" s="8" t="s">
        <v>5101</v>
      </c>
      <c r="H1607" s="10">
        <v>67.3</v>
      </c>
      <c r="I1607" s="10">
        <f t="shared" si="27"/>
        <v>67.3</v>
      </c>
      <c r="J1607" s="10">
        <v>4.1540372771999996</v>
      </c>
      <c r="K1607" s="8" t="s">
        <v>5335</v>
      </c>
      <c r="S1607"/>
    </row>
    <row r="1608" spans="1:19" ht="15" x14ac:dyDescent="0.25">
      <c r="A1608" s="8" t="s">
        <v>6068</v>
      </c>
      <c r="B1608" s="8" t="s">
        <v>6069</v>
      </c>
      <c r="C1608" s="8" t="s">
        <v>6619</v>
      </c>
      <c r="D1608" s="32" t="s">
        <v>6984</v>
      </c>
      <c r="E1608" s="32" t="s">
        <v>6619</v>
      </c>
      <c r="F1608" s="10">
        <v>2</v>
      </c>
      <c r="G1608" s="8" t="s">
        <v>5101</v>
      </c>
      <c r="H1608" s="10">
        <v>67.3</v>
      </c>
      <c r="I1608" s="10">
        <f t="shared" si="27"/>
        <v>134.6</v>
      </c>
      <c r="J1608" s="10">
        <v>8.3080745543999992</v>
      </c>
      <c r="K1608" s="8" t="s">
        <v>5335</v>
      </c>
      <c r="S1608"/>
    </row>
    <row r="1609" spans="1:19" ht="15" x14ac:dyDescent="0.25">
      <c r="A1609" s="8" t="s">
        <v>6071</v>
      </c>
      <c r="B1609" s="8" t="s">
        <v>6069</v>
      </c>
      <c r="C1609" s="8" t="s">
        <v>6620</v>
      </c>
      <c r="D1609" s="32" t="s">
        <v>6984</v>
      </c>
      <c r="E1609" s="32" t="s">
        <v>6620</v>
      </c>
      <c r="F1609" s="10">
        <v>1</v>
      </c>
      <c r="G1609" s="8" t="s">
        <v>5101</v>
      </c>
      <c r="H1609" s="10">
        <v>67.2</v>
      </c>
      <c r="I1609" s="10">
        <f t="shared" si="27"/>
        <v>67.2</v>
      </c>
      <c r="J1609" s="10">
        <v>4.1499732772</v>
      </c>
      <c r="K1609" s="8" t="s">
        <v>5335</v>
      </c>
      <c r="S1609"/>
    </row>
    <row r="1610" spans="1:19" ht="15" x14ac:dyDescent="0.25">
      <c r="A1610" s="8" t="s">
        <v>6071</v>
      </c>
      <c r="B1610" s="8" t="s">
        <v>6069</v>
      </c>
      <c r="C1610" s="8" t="s">
        <v>6621</v>
      </c>
      <c r="D1610" s="32" t="s">
        <v>6984</v>
      </c>
      <c r="E1610" s="32" t="s">
        <v>6621</v>
      </c>
      <c r="F1610" s="10">
        <v>2</v>
      </c>
      <c r="G1610" s="8" t="s">
        <v>5101</v>
      </c>
      <c r="H1610" s="10">
        <v>67.3</v>
      </c>
      <c r="I1610" s="10">
        <f t="shared" si="27"/>
        <v>134.6</v>
      </c>
      <c r="J1610" s="10">
        <v>8.3080745543999992</v>
      </c>
      <c r="K1610" s="8" t="s">
        <v>5335</v>
      </c>
      <c r="S1610"/>
    </row>
    <row r="1611" spans="1:19" ht="15" x14ac:dyDescent="0.25">
      <c r="A1611" s="8" t="s">
        <v>6068</v>
      </c>
      <c r="B1611" s="8" t="s">
        <v>6069</v>
      </c>
      <c r="C1611" s="8" t="s">
        <v>6622</v>
      </c>
      <c r="D1611" s="32" t="s">
        <v>6984</v>
      </c>
      <c r="E1611" s="32" t="s">
        <v>6622</v>
      </c>
      <c r="F1611" s="10">
        <v>1</v>
      </c>
      <c r="G1611" s="8" t="s">
        <v>5101</v>
      </c>
      <c r="H1611" s="10">
        <v>44.4</v>
      </c>
      <c r="I1611" s="10">
        <f t="shared" si="27"/>
        <v>44.4</v>
      </c>
      <c r="J1611" s="10">
        <v>2.4818439068</v>
      </c>
      <c r="K1611" s="8" t="s">
        <v>5335</v>
      </c>
      <c r="S1611"/>
    </row>
    <row r="1612" spans="1:19" ht="15" x14ac:dyDescent="0.25">
      <c r="A1612" s="8" t="s">
        <v>6068</v>
      </c>
      <c r="B1612" s="8" t="s">
        <v>6069</v>
      </c>
      <c r="C1612" s="8" t="s">
        <v>6623</v>
      </c>
      <c r="D1612" s="32" t="s">
        <v>6984</v>
      </c>
      <c r="E1612" s="32" t="s">
        <v>6623</v>
      </c>
      <c r="F1612" s="10">
        <v>2</v>
      </c>
      <c r="G1612" s="8" t="s">
        <v>5101</v>
      </c>
      <c r="H1612" s="10">
        <v>67.3</v>
      </c>
      <c r="I1612" s="10">
        <f t="shared" si="27"/>
        <v>134.6</v>
      </c>
      <c r="J1612" s="10">
        <v>8.3008745544</v>
      </c>
      <c r="K1612" s="8" t="s">
        <v>5335</v>
      </c>
      <c r="S1612"/>
    </row>
    <row r="1613" spans="1:19" ht="15" x14ac:dyDescent="0.25">
      <c r="A1613" s="8" t="s">
        <v>6068</v>
      </c>
      <c r="B1613" s="8" t="s">
        <v>6069</v>
      </c>
      <c r="C1613" s="8" t="s">
        <v>6624</v>
      </c>
      <c r="D1613" s="32" t="s">
        <v>6984</v>
      </c>
      <c r="E1613" s="32" t="s">
        <v>6624</v>
      </c>
      <c r="F1613" s="10">
        <v>1</v>
      </c>
      <c r="G1613" s="8" t="s">
        <v>5101</v>
      </c>
      <c r="H1613" s="10">
        <v>67.3</v>
      </c>
      <c r="I1613" s="10">
        <f t="shared" si="27"/>
        <v>67.3</v>
      </c>
      <c r="J1613" s="10">
        <v>4.1504372772</v>
      </c>
      <c r="K1613" s="8" t="s">
        <v>5335</v>
      </c>
      <c r="S1613"/>
    </row>
    <row r="1614" spans="1:19" ht="15" x14ac:dyDescent="0.25">
      <c r="A1614" s="8" t="s">
        <v>6071</v>
      </c>
      <c r="B1614" s="8" t="s">
        <v>6069</v>
      </c>
      <c r="C1614" s="8" t="s">
        <v>6625</v>
      </c>
      <c r="D1614" s="32" t="s">
        <v>6984</v>
      </c>
      <c r="E1614" s="32" t="s">
        <v>6625</v>
      </c>
      <c r="F1614" s="10">
        <v>12</v>
      </c>
      <c r="G1614" s="8" t="s">
        <v>5101</v>
      </c>
      <c r="H1614" s="10">
        <v>67.191666666666663</v>
      </c>
      <c r="I1614" s="10">
        <f t="shared" si="27"/>
        <v>806.3</v>
      </c>
      <c r="J1614" s="10">
        <v>49.756479326399997</v>
      </c>
      <c r="K1614" s="8" t="s">
        <v>5335</v>
      </c>
      <c r="S1614"/>
    </row>
    <row r="1615" spans="1:19" ht="15" x14ac:dyDescent="0.25">
      <c r="A1615" s="8" t="s">
        <v>6071</v>
      </c>
      <c r="B1615" s="8" t="s">
        <v>6069</v>
      </c>
      <c r="C1615" s="8" t="s">
        <v>6626</v>
      </c>
      <c r="D1615" s="32" t="s">
        <v>6984</v>
      </c>
      <c r="E1615" s="32" t="s">
        <v>6626</v>
      </c>
      <c r="F1615" s="10">
        <v>1</v>
      </c>
      <c r="G1615" s="8" t="s">
        <v>5101</v>
      </c>
      <c r="H1615" s="10">
        <v>63.2</v>
      </c>
      <c r="I1615" s="10">
        <f t="shared" si="27"/>
        <v>63.2</v>
      </c>
      <c r="J1615" s="10">
        <v>3.8421606372000001</v>
      </c>
      <c r="K1615" s="8" t="s">
        <v>5335</v>
      </c>
      <c r="S1615"/>
    </row>
    <row r="1616" spans="1:19" ht="15" x14ac:dyDescent="0.25">
      <c r="A1616" s="8" t="s">
        <v>6071</v>
      </c>
      <c r="B1616" s="8" t="s">
        <v>6069</v>
      </c>
      <c r="C1616" s="8" t="s">
        <v>6627</v>
      </c>
      <c r="D1616" s="32" t="s">
        <v>6984</v>
      </c>
      <c r="E1616" s="32" t="s">
        <v>6627</v>
      </c>
      <c r="F1616" s="10">
        <v>1</v>
      </c>
      <c r="G1616" s="8" t="s">
        <v>5101</v>
      </c>
      <c r="H1616" s="10">
        <v>67.3</v>
      </c>
      <c r="I1616" s="10">
        <f t="shared" si="27"/>
        <v>67.3</v>
      </c>
      <c r="J1616" s="10">
        <v>4.1504372772</v>
      </c>
      <c r="K1616" s="8" t="s">
        <v>5335</v>
      </c>
      <c r="S1616"/>
    </row>
    <row r="1617" spans="1:19" ht="15" x14ac:dyDescent="0.25">
      <c r="A1617" s="8" t="s">
        <v>6068</v>
      </c>
      <c r="B1617" s="8" t="s">
        <v>6069</v>
      </c>
      <c r="C1617" s="8" t="s">
        <v>6628</v>
      </c>
      <c r="D1617" s="32" t="s">
        <v>6984</v>
      </c>
      <c r="E1617" s="32" t="s">
        <v>6628</v>
      </c>
      <c r="F1617" s="10">
        <v>1</v>
      </c>
      <c r="G1617" s="8" t="s">
        <v>5101</v>
      </c>
      <c r="H1617" s="10">
        <v>68.7</v>
      </c>
      <c r="I1617" s="10">
        <f t="shared" si="27"/>
        <v>68.7</v>
      </c>
      <c r="J1617" s="10">
        <v>4.2619740803999999</v>
      </c>
      <c r="K1617" s="8" t="s">
        <v>5335</v>
      </c>
      <c r="S1617"/>
    </row>
    <row r="1618" spans="1:19" ht="15" x14ac:dyDescent="0.25">
      <c r="A1618" s="8" t="s">
        <v>6071</v>
      </c>
      <c r="B1618" s="8" t="s">
        <v>6069</v>
      </c>
      <c r="C1618" s="8" t="s">
        <v>6629</v>
      </c>
      <c r="D1618" s="32" t="s">
        <v>6984</v>
      </c>
      <c r="E1618" s="32" t="s">
        <v>6629</v>
      </c>
      <c r="F1618" s="10">
        <v>1</v>
      </c>
      <c r="G1618" s="8" t="s">
        <v>5101</v>
      </c>
      <c r="H1618" s="10">
        <v>43.9</v>
      </c>
      <c r="I1618" s="10">
        <f t="shared" si="27"/>
        <v>43.9</v>
      </c>
      <c r="J1618" s="10">
        <v>2.3502953172000001</v>
      </c>
      <c r="K1618" s="8" t="s">
        <v>5335</v>
      </c>
      <c r="S1618"/>
    </row>
    <row r="1619" spans="1:19" ht="15" x14ac:dyDescent="0.25">
      <c r="A1619" s="8" t="s">
        <v>6071</v>
      </c>
      <c r="B1619" s="8" t="s">
        <v>6069</v>
      </c>
      <c r="C1619" s="8" t="s">
        <v>6630</v>
      </c>
      <c r="D1619" s="32" t="s">
        <v>6984</v>
      </c>
      <c r="E1619" s="32" t="s">
        <v>6630</v>
      </c>
      <c r="F1619" s="10">
        <v>1</v>
      </c>
      <c r="G1619" s="8" t="s">
        <v>5101</v>
      </c>
      <c r="H1619" s="10">
        <v>131</v>
      </c>
      <c r="I1619" s="10">
        <f t="shared" si="27"/>
        <v>131</v>
      </c>
      <c r="J1619" s="10">
        <v>8.8122407012000004</v>
      </c>
      <c r="K1619" s="8" t="s">
        <v>5335</v>
      </c>
      <c r="S1619"/>
    </row>
    <row r="1620" spans="1:19" ht="15" x14ac:dyDescent="0.25">
      <c r="A1620" s="8" t="s">
        <v>6071</v>
      </c>
      <c r="B1620" s="8" t="s">
        <v>6069</v>
      </c>
      <c r="C1620" s="8" t="s">
        <v>6631</v>
      </c>
      <c r="D1620" s="32" t="s">
        <v>6984</v>
      </c>
      <c r="E1620" s="32" t="s">
        <v>6631</v>
      </c>
      <c r="F1620" s="10">
        <v>1</v>
      </c>
      <c r="G1620" s="8" t="s">
        <v>5101</v>
      </c>
      <c r="H1620" s="10">
        <v>126</v>
      </c>
      <c r="I1620" s="10">
        <f t="shared" si="27"/>
        <v>126</v>
      </c>
      <c r="J1620" s="10">
        <v>8.3993889819999996</v>
      </c>
      <c r="K1620" s="8" t="s">
        <v>5335</v>
      </c>
      <c r="S1620"/>
    </row>
    <row r="1621" spans="1:19" ht="15" x14ac:dyDescent="0.25">
      <c r="A1621" s="8" t="s">
        <v>6071</v>
      </c>
      <c r="B1621" s="8" t="s">
        <v>6069</v>
      </c>
      <c r="C1621" s="8" t="s">
        <v>6632</v>
      </c>
      <c r="D1621" s="32" t="s">
        <v>6984</v>
      </c>
      <c r="E1621" s="32" t="s">
        <v>6632</v>
      </c>
      <c r="F1621" s="10">
        <v>1</v>
      </c>
      <c r="G1621" s="8" t="s">
        <v>5101</v>
      </c>
      <c r="H1621" s="10">
        <v>154.69999999999999</v>
      </c>
      <c r="I1621" s="10">
        <f t="shared" si="27"/>
        <v>154.69999999999999</v>
      </c>
      <c r="J1621" s="10">
        <v>10.3895470644</v>
      </c>
      <c r="K1621" s="8" t="s">
        <v>5335</v>
      </c>
      <c r="S1621"/>
    </row>
    <row r="1622" spans="1:19" ht="15" x14ac:dyDescent="0.25">
      <c r="A1622" s="8" t="s">
        <v>6071</v>
      </c>
      <c r="B1622" s="8" t="s">
        <v>6069</v>
      </c>
      <c r="C1622" s="8" t="s">
        <v>6633</v>
      </c>
      <c r="D1622" s="32" t="s">
        <v>6984</v>
      </c>
      <c r="E1622" s="32" t="s">
        <v>6633</v>
      </c>
      <c r="F1622" s="10">
        <v>1</v>
      </c>
      <c r="G1622" s="8" t="s">
        <v>5101</v>
      </c>
      <c r="H1622" s="10">
        <v>148.80000000000001</v>
      </c>
      <c r="I1622" s="10">
        <f t="shared" si="27"/>
        <v>148.80000000000001</v>
      </c>
      <c r="J1622" s="10">
        <v>9.9141672566000008</v>
      </c>
      <c r="K1622" s="8" t="s">
        <v>5335</v>
      </c>
      <c r="S1622"/>
    </row>
    <row r="1623" spans="1:19" ht="15" x14ac:dyDescent="0.25">
      <c r="A1623" s="8" t="s">
        <v>6071</v>
      </c>
      <c r="B1623" s="8" t="s">
        <v>6069</v>
      </c>
      <c r="C1623" s="8" t="s">
        <v>6634</v>
      </c>
      <c r="D1623" s="32" t="s">
        <v>6984</v>
      </c>
      <c r="E1623" s="32" t="s">
        <v>6634</v>
      </c>
      <c r="F1623" s="10">
        <v>8</v>
      </c>
      <c r="G1623" s="8" t="s">
        <v>5832</v>
      </c>
      <c r="H1623" s="10">
        <v>10.887499999999999</v>
      </c>
      <c r="I1623" s="10">
        <f t="shared" si="27"/>
        <v>87.1</v>
      </c>
      <c r="J1623" s="10">
        <v>4.7998479999999999</v>
      </c>
      <c r="K1623" s="8" t="s">
        <v>5245</v>
      </c>
      <c r="S1623"/>
    </row>
    <row r="1624" spans="1:19" ht="15" x14ac:dyDescent="0.25">
      <c r="A1624" s="8" t="s">
        <v>6071</v>
      </c>
      <c r="B1624" s="8" t="s">
        <v>6069</v>
      </c>
      <c r="C1624" s="8" t="s">
        <v>6635</v>
      </c>
      <c r="D1624" s="32" t="s">
        <v>6984</v>
      </c>
      <c r="E1624" s="32" t="s">
        <v>6635</v>
      </c>
      <c r="F1624" s="10">
        <v>21</v>
      </c>
      <c r="G1624" s="8" t="s">
        <v>5832</v>
      </c>
      <c r="H1624" s="10">
        <v>10.580952380952381</v>
      </c>
      <c r="I1624" s="10">
        <f t="shared" si="27"/>
        <v>222.2</v>
      </c>
      <c r="J1624" s="10">
        <v>12.242222999999999</v>
      </c>
      <c r="K1624" s="8" t="s">
        <v>5245</v>
      </c>
      <c r="S1624"/>
    </row>
    <row r="1625" spans="1:19" ht="15" x14ac:dyDescent="0.25">
      <c r="A1625" s="8" t="s">
        <v>6068</v>
      </c>
      <c r="B1625" s="8" t="s">
        <v>6069</v>
      </c>
      <c r="C1625" s="8" t="s">
        <v>6636</v>
      </c>
      <c r="D1625" s="32" t="s">
        <v>6984</v>
      </c>
      <c r="E1625" s="32" t="s">
        <v>6636</v>
      </c>
      <c r="F1625" s="10">
        <v>2</v>
      </c>
      <c r="G1625" s="8" t="s">
        <v>4901</v>
      </c>
      <c r="H1625" s="10">
        <v>444.15</v>
      </c>
      <c r="I1625" s="10">
        <f t="shared" si="27"/>
        <v>888.3</v>
      </c>
      <c r="J1625" s="10">
        <v>0</v>
      </c>
      <c r="K1625" s="8" t="s">
        <v>6637</v>
      </c>
      <c r="S1625"/>
    </row>
    <row r="1626" spans="1:19" ht="15" x14ac:dyDescent="0.25">
      <c r="A1626" s="8" t="s">
        <v>6068</v>
      </c>
      <c r="B1626" s="8" t="s">
        <v>6069</v>
      </c>
      <c r="C1626" s="8" t="s">
        <v>6638</v>
      </c>
      <c r="D1626" s="32" t="s">
        <v>6984</v>
      </c>
      <c r="E1626" s="32" t="s">
        <v>6638</v>
      </c>
      <c r="F1626" s="10">
        <v>6</v>
      </c>
      <c r="G1626" s="8" t="s">
        <v>4901</v>
      </c>
      <c r="H1626" s="10">
        <v>441.84999999999997</v>
      </c>
      <c r="I1626" s="10">
        <f t="shared" si="27"/>
        <v>2651.1</v>
      </c>
      <c r="J1626" s="10">
        <v>0</v>
      </c>
      <c r="K1626" s="8" t="s">
        <v>6637</v>
      </c>
      <c r="S1626"/>
    </row>
    <row r="1627" spans="1:19" ht="15" x14ac:dyDescent="0.25">
      <c r="A1627" s="8" t="s">
        <v>6071</v>
      </c>
      <c r="B1627" s="8" t="s">
        <v>6069</v>
      </c>
      <c r="C1627" s="8" t="s">
        <v>6639</v>
      </c>
      <c r="D1627" s="32" t="s">
        <v>6984</v>
      </c>
      <c r="E1627" s="32" t="s">
        <v>6639</v>
      </c>
      <c r="F1627" s="10">
        <v>2</v>
      </c>
      <c r="G1627" s="8" t="s">
        <v>4901</v>
      </c>
      <c r="H1627" s="10">
        <v>262.55</v>
      </c>
      <c r="I1627" s="10">
        <f t="shared" si="27"/>
        <v>525.1</v>
      </c>
      <c r="J1627" s="10">
        <v>0</v>
      </c>
      <c r="K1627" s="8" t="s">
        <v>6637</v>
      </c>
      <c r="S1627"/>
    </row>
    <row r="1628" spans="1:19" ht="15" x14ac:dyDescent="0.25">
      <c r="A1628" s="8" t="s">
        <v>6068</v>
      </c>
      <c r="B1628" s="8" t="s">
        <v>6069</v>
      </c>
      <c r="C1628" s="8" t="s">
        <v>6640</v>
      </c>
      <c r="D1628" s="32" t="s">
        <v>6984</v>
      </c>
      <c r="E1628" s="32" t="s">
        <v>6640</v>
      </c>
      <c r="F1628" s="10">
        <v>3</v>
      </c>
      <c r="G1628" s="8" t="s">
        <v>4901</v>
      </c>
      <c r="H1628" s="10">
        <v>894.76666666666677</v>
      </c>
      <c r="I1628" s="10">
        <f t="shared" si="27"/>
        <v>2684.3</v>
      </c>
      <c r="J1628" s="10">
        <v>17.135999999999999</v>
      </c>
      <c r="K1628" s="8" t="s">
        <v>6641</v>
      </c>
      <c r="S1628"/>
    </row>
    <row r="1629" spans="1:19" ht="15" x14ac:dyDescent="0.25">
      <c r="A1629" s="8" t="s">
        <v>6068</v>
      </c>
      <c r="B1629" s="8" t="s">
        <v>6069</v>
      </c>
      <c r="C1629" s="8" t="s">
        <v>6642</v>
      </c>
      <c r="D1629" s="32" t="s">
        <v>6984</v>
      </c>
      <c r="E1629" s="32" t="s">
        <v>6642</v>
      </c>
      <c r="F1629" s="10">
        <v>1</v>
      </c>
      <c r="G1629" s="8" t="s">
        <v>4901</v>
      </c>
      <c r="H1629" s="10">
        <v>894.8</v>
      </c>
      <c r="I1629" s="10">
        <f t="shared" si="27"/>
        <v>894.8</v>
      </c>
      <c r="J1629" s="10">
        <v>5.7119999999999997</v>
      </c>
      <c r="K1629" s="8" t="s">
        <v>6641</v>
      </c>
      <c r="S1629"/>
    </row>
    <row r="1630" spans="1:19" ht="15" x14ac:dyDescent="0.25">
      <c r="A1630" s="8" t="s">
        <v>6071</v>
      </c>
      <c r="B1630" s="8" t="s">
        <v>6069</v>
      </c>
      <c r="C1630" s="8" t="s">
        <v>6643</v>
      </c>
      <c r="D1630" s="32" t="s">
        <v>6984</v>
      </c>
      <c r="E1630" s="32" t="s">
        <v>6643</v>
      </c>
      <c r="F1630" s="10">
        <v>1</v>
      </c>
      <c r="G1630" s="8" t="s">
        <v>4901</v>
      </c>
      <c r="H1630" s="10">
        <v>724.9</v>
      </c>
      <c r="I1630" s="10">
        <f t="shared" si="27"/>
        <v>724.9</v>
      </c>
      <c r="J1630" s="10">
        <v>4.6271959999999996</v>
      </c>
      <c r="K1630" s="8" t="s">
        <v>6641</v>
      </c>
      <c r="S1630"/>
    </row>
    <row r="1631" spans="1:19" ht="15" x14ac:dyDescent="0.25">
      <c r="A1631" s="8" t="s">
        <v>6068</v>
      </c>
      <c r="B1631" s="8" t="s">
        <v>6069</v>
      </c>
      <c r="C1631" s="8" t="s">
        <v>6644</v>
      </c>
      <c r="D1631" s="32" t="s">
        <v>6984</v>
      </c>
      <c r="E1631" s="32" t="s">
        <v>6644</v>
      </c>
      <c r="F1631" s="10">
        <v>1</v>
      </c>
      <c r="G1631" s="8" t="s">
        <v>6266</v>
      </c>
      <c r="H1631" s="10">
        <v>35.299999999999997</v>
      </c>
      <c r="I1631" s="10">
        <f t="shared" si="27"/>
        <v>35.299999999999997</v>
      </c>
      <c r="J1631" s="10">
        <v>0</v>
      </c>
      <c r="K1631" s="8" t="s">
        <v>5087</v>
      </c>
      <c r="S1631"/>
    </row>
    <row r="1632" spans="1:19" ht="15" x14ac:dyDescent="0.25">
      <c r="A1632" s="8" t="s">
        <v>6068</v>
      </c>
      <c r="B1632" s="8" t="s">
        <v>6069</v>
      </c>
      <c r="C1632" s="8" t="s">
        <v>6645</v>
      </c>
      <c r="D1632" s="32" t="s">
        <v>6984</v>
      </c>
      <c r="E1632" s="32" t="s">
        <v>6645</v>
      </c>
      <c r="F1632" s="10">
        <v>1</v>
      </c>
      <c r="G1632" s="8" t="s">
        <v>6266</v>
      </c>
      <c r="H1632" s="10">
        <v>35.299999999999997</v>
      </c>
      <c r="I1632" s="10">
        <f t="shared" si="27"/>
        <v>35.299999999999997</v>
      </c>
      <c r="J1632" s="10">
        <v>0</v>
      </c>
      <c r="K1632" s="8" t="s">
        <v>5087</v>
      </c>
      <c r="S1632"/>
    </row>
    <row r="1633" spans="1:19" ht="15" x14ac:dyDescent="0.25">
      <c r="A1633" s="8" t="s">
        <v>6068</v>
      </c>
      <c r="B1633" s="8" t="s">
        <v>6069</v>
      </c>
      <c r="C1633" s="8" t="s">
        <v>6646</v>
      </c>
      <c r="D1633" s="32" t="s">
        <v>6984</v>
      </c>
      <c r="E1633" s="32" t="s">
        <v>6646</v>
      </c>
      <c r="F1633" s="10">
        <v>1</v>
      </c>
      <c r="G1633" s="8" t="s">
        <v>6266</v>
      </c>
      <c r="H1633" s="10">
        <v>35.299999999999997</v>
      </c>
      <c r="I1633" s="10">
        <f t="shared" si="27"/>
        <v>35.299999999999997</v>
      </c>
      <c r="J1633" s="10">
        <v>0</v>
      </c>
      <c r="K1633" s="8" t="s">
        <v>5087</v>
      </c>
      <c r="S1633"/>
    </row>
    <row r="1634" spans="1:19" ht="15" x14ac:dyDescent="0.25">
      <c r="A1634" s="8" t="s">
        <v>6068</v>
      </c>
      <c r="B1634" s="8" t="s">
        <v>6069</v>
      </c>
      <c r="C1634" s="8" t="s">
        <v>6647</v>
      </c>
      <c r="D1634" s="32" t="s">
        <v>6984</v>
      </c>
      <c r="E1634" s="32" t="s">
        <v>6647</v>
      </c>
      <c r="F1634" s="10">
        <v>1</v>
      </c>
      <c r="G1634" s="8" t="s">
        <v>6266</v>
      </c>
      <c r="H1634" s="10">
        <v>35.299999999999997</v>
      </c>
      <c r="I1634" s="10">
        <f t="shared" si="27"/>
        <v>35.299999999999997</v>
      </c>
      <c r="J1634" s="10">
        <v>0</v>
      </c>
      <c r="K1634" s="8" t="s">
        <v>5087</v>
      </c>
      <c r="S1634"/>
    </row>
    <row r="1635" spans="1:19" ht="15" x14ac:dyDescent="0.25">
      <c r="A1635" s="8" t="s">
        <v>6068</v>
      </c>
      <c r="B1635" s="8" t="s">
        <v>6069</v>
      </c>
      <c r="C1635" s="8" t="s">
        <v>6648</v>
      </c>
      <c r="D1635" s="32" t="s">
        <v>6984</v>
      </c>
      <c r="E1635" s="32" t="s">
        <v>6648</v>
      </c>
      <c r="F1635" s="10">
        <v>1</v>
      </c>
      <c r="G1635" s="8" t="s">
        <v>6266</v>
      </c>
      <c r="H1635" s="10">
        <v>35.299999999999997</v>
      </c>
      <c r="I1635" s="10">
        <f t="shared" si="27"/>
        <v>35.299999999999997</v>
      </c>
      <c r="J1635" s="10">
        <v>0</v>
      </c>
      <c r="K1635" s="8" t="s">
        <v>5087</v>
      </c>
      <c r="S1635"/>
    </row>
    <row r="1636" spans="1:19" ht="15" x14ac:dyDescent="0.25">
      <c r="A1636" s="8" t="s">
        <v>6068</v>
      </c>
      <c r="B1636" s="8" t="s">
        <v>6069</v>
      </c>
      <c r="C1636" s="8" t="s">
        <v>6649</v>
      </c>
      <c r="D1636" s="32" t="s">
        <v>6984</v>
      </c>
      <c r="E1636" s="32" t="s">
        <v>6649</v>
      </c>
      <c r="F1636" s="10">
        <v>1</v>
      </c>
      <c r="G1636" s="8" t="s">
        <v>6266</v>
      </c>
      <c r="H1636" s="10">
        <v>35.299999999999997</v>
      </c>
      <c r="I1636" s="10">
        <f t="shared" si="27"/>
        <v>35.299999999999997</v>
      </c>
      <c r="J1636" s="10">
        <v>0</v>
      </c>
      <c r="K1636" s="8" t="s">
        <v>5087</v>
      </c>
      <c r="S1636"/>
    </row>
    <row r="1637" spans="1:19" ht="15" x14ac:dyDescent="0.25">
      <c r="A1637" s="8" t="s">
        <v>6068</v>
      </c>
      <c r="B1637" s="8" t="s">
        <v>6069</v>
      </c>
      <c r="C1637" s="8" t="s">
        <v>6650</v>
      </c>
      <c r="D1637" s="32" t="s">
        <v>6984</v>
      </c>
      <c r="E1637" s="32" t="s">
        <v>6650</v>
      </c>
      <c r="F1637" s="10">
        <v>1</v>
      </c>
      <c r="G1637" s="8" t="s">
        <v>6266</v>
      </c>
      <c r="H1637" s="10">
        <v>32.1</v>
      </c>
      <c r="I1637" s="10">
        <f t="shared" si="27"/>
        <v>32.1</v>
      </c>
      <c r="J1637" s="10">
        <v>0</v>
      </c>
      <c r="K1637" s="8" t="s">
        <v>5087</v>
      </c>
      <c r="S1637"/>
    </row>
    <row r="1638" spans="1:19" ht="15" x14ac:dyDescent="0.25">
      <c r="A1638" s="8" t="s">
        <v>6071</v>
      </c>
      <c r="B1638" s="8" t="s">
        <v>6069</v>
      </c>
      <c r="C1638" s="8" t="s">
        <v>6651</v>
      </c>
      <c r="D1638" s="32" t="s">
        <v>6984</v>
      </c>
      <c r="E1638" s="32" t="s">
        <v>6651</v>
      </c>
      <c r="F1638" s="10">
        <v>1</v>
      </c>
      <c r="G1638" s="8" t="s">
        <v>6266</v>
      </c>
      <c r="H1638" s="10">
        <v>35.299999999999997</v>
      </c>
      <c r="I1638" s="10">
        <f t="shared" si="27"/>
        <v>35.299999999999997</v>
      </c>
      <c r="J1638" s="10">
        <v>0</v>
      </c>
      <c r="K1638" s="8" t="s">
        <v>5087</v>
      </c>
      <c r="S1638"/>
    </row>
    <row r="1639" spans="1:19" ht="15" x14ac:dyDescent="0.25">
      <c r="A1639" s="8" t="s">
        <v>6071</v>
      </c>
      <c r="B1639" s="8" t="s">
        <v>6069</v>
      </c>
      <c r="C1639" s="8" t="s">
        <v>6652</v>
      </c>
      <c r="D1639" s="32" t="s">
        <v>6984</v>
      </c>
      <c r="E1639" s="32" t="s">
        <v>6652</v>
      </c>
      <c r="F1639" s="10">
        <v>1</v>
      </c>
      <c r="G1639" s="8" t="s">
        <v>6266</v>
      </c>
      <c r="H1639" s="10">
        <v>35.299999999999997</v>
      </c>
      <c r="I1639" s="10">
        <f t="shared" si="27"/>
        <v>35.299999999999997</v>
      </c>
      <c r="J1639" s="10">
        <v>0</v>
      </c>
      <c r="K1639" s="8" t="s">
        <v>5087</v>
      </c>
      <c r="S1639"/>
    </row>
    <row r="1640" spans="1:19" ht="15" x14ac:dyDescent="0.25">
      <c r="A1640" s="8" t="s">
        <v>6071</v>
      </c>
      <c r="B1640" s="8" t="s">
        <v>6069</v>
      </c>
      <c r="C1640" s="8" t="s">
        <v>6653</v>
      </c>
      <c r="D1640" s="32" t="s">
        <v>6984</v>
      </c>
      <c r="E1640" s="32" t="s">
        <v>6653</v>
      </c>
      <c r="F1640" s="10">
        <v>1</v>
      </c>
      <c r="G1640" s="8" t="s">
        <v>6266</v>
      </c>
      <c r="H1640" s="10">
        <v>32.1</v>
      </c>
      <c r="I1640" s="10">
        <f t="shared" si="27"/>
        <v>32.1</v>
      </c>
      <c r="J1640" s="10">
        <v>0</v>
      </c>
      <c r="K1640" s="8" t="s">
        <v>5087</v>
      </c>
      <c r="S1640"/>
    </row>
    <row r="1641" spans="1:19" ht="15" x14ac:dyDescent="0.25">
      <c r="A1641" s="8" t="s">
        <v>6071</v>
      </c>
      <c r="B1641" s="8" t="s">
        <v>6069</v>
      </c>
      <c r="C1641" s="8" t="s">
        <v>6654</v>
      </c>
      <c r="D1641" s="32" t="s">
        <v>6984</v>
      </c>
      <c r="E1641" s="32" t="s">
        <v>6654</v>
      </c>
      <c r="F1641" s="10">
        <v>1</v>
      </c>
      <c r="G1641" s="8" t="s">
        <v>6266</v>
      </c>
      <c r="H1641" s="10">
        <v>35.299999999999997</v>
      </c>
      <c r="I1641" s="10">
        <f t="shared" si="27"/>
        <v>35.299999999999997</v>
      </c>
      <c r="J1641" s="10">
        <v>0</v>
      </c>
      <c r="K1641" s="8" t="s">
        <v>5087</v>
      </c>
      <c r="S1641"/>
    </row>
    <row r="1642" spans="1:19" ht="15" x14ac:dyDescent="0.25">
      <c r="A1642" s="8" t="s">
        <v>6071</v>
      </c>
      <c r="B1642" s="8" t="s">
        <v>6069</v>
      </c>
      <c r="C1642" s="8" t="s">
        <v>6655</v>
      </c>
      <c r="D1642" s="32" t="s">
        <v>6984</v>
      </c>
      <c r="E1642" s="32" t="s">
        <v>6655</v>
      </c>
      <c r="F1642" s="10">
        <v>1</v>
      </c>
      <c r="G1642" s="8" t="s">
        <v>6266</v>
      </c>
      <c r="H1642" s="10">
        <v>32.1</v>
      </c>
      <c r="I1642" s="10">
        <f t="shared" si="27"/>
        <v>32.1</v>
      </c>
      <c r="J1642" s="10">
        <v>0</v>
      </c>
      <c r="K1642" s="8" t="s">
        <v>5087</v>
      </c>
      <c r="S1642"/>
    </row>
    <row r="1643" spans="1:19" ht="15" x14ac:dyDescent="0.25">
      <c r="A1643" s="8" t="s">
        <v>6071</v>
      </c>
      <c r="B1643" s="8" t="s">
        <v>6069</v>
      </c>
      <c r="C1643" s="8" t="s">
        <v>6656</v>
      </c>
      <c r="D1643" s="32" t="s">
        <v>6984</v>
      </c>
      <c r="E1643" s="32" t="s">
        <v>6656</v>
      </c>
      <c r="F1643" s="10">
        <v>1</v>
      </c>
      <c r="G1643" s="8" t="s">
        <v>6266</v>
      </c>
      <c r="H1643" s="10">
        <v>35.299999999999997</v>
      </c>
      <c r="I1643" s="10">
        <f t="shared" si="27"/>
        <v>35.299999999999997</v>
      </c>
      <c r="J1643" s="10">
        <v>0</v>
      </c>
      <c r="K1643" s="8" t="s">
        <v>5087</v>
      </c>
      <c r="S1643"/>
    </row>
    <row r="1644" spans="1:19" ht="15" x14ac:dyDescent="0.25">
      <c r="A1644" s="8" t="s">
        <v>6071</v>
      </c>
      <c r="B1644" s="8" t="s">
        <v>6069</v>
      </c>
      <c r="C1644" s="8" t="s">
        <v>6657</v>
      </c>
      <c r="D1644" s="32" t="s">
        <v>6984</v>
      </c>
      <c r="E1644" s="32" t="s">
        <v>6657</v>
      </c>
      <c r="F1644" s="10">
        <v>1</v>
      </c>
      <c r="G1644" s="8" t="s">
        <v>6266</v>
      </c>
      <c r="H1644" s="10">
        <v>35.299999999999997</v>
      </c>
      <c r="I1644" s="10">
        <f t="shared" si="27"/>
        <v>35.299999999999997</v>
      </c>
      <c r="J1644" s="10">
        <v>0</v>
      </c>
      <c r="K1644" s="8" t="s">
        <v>5087</v>
      </c>
      <c r="S1644"/>
    </row>
    <row r="1645" spans="1:19" ht="15" x14ac:dyDescent="0.25">
      <c r="A1645" s="8" t="s">
        <v>6071</v>
      </c>
      <c r="B1645" s="8" t="s">
        <v>6069</v>
      </c>
      <c r="C1645" s="8" t="s">
        <v>6658</v>
      </c>
      <c r="D1645" s="32" t="s">
        <v>6984</v>
      </c>
      <c r="E1645" s="32" t="s">
        <v>6658</v>
      </c>
      <c r="F1645" s="10">
        <v>1</v>
      </c>
      <c r="G1645" s="8" t="s">
        <v>6266</v>
      </c>
      <c r="H1645" s="10">
        <v>35.299999999999997</v>
      </c>
      <c r="I1645" s="10">
        <f t="shared" si="27"/>
        <v>35.299999999999997</v>
      </c>
      <c r="J1645" s="10">
        <v>0</v>
      </c>
      <c r="K1645" s="8" t="s">
        <v>5087</v>
      </c>
      <c r="S1645"/>
    </row>
    <row r="1646" spans="1:19" ht="15" x14ac:dyDescent="0.25">
      <c r="A1646" s="8" t="s">
        <v>6071</v>
      </c>
      <c r="B1646" s="8" t="s">
        <v>6069</v>
      </c>
      <c r="C1646" s="8" t="s">
        <v>6659</v>
      </c>
      <c r="D1646" s="32" t="s">
        <v>6984</v>
      </c>
      <c r="E1646" s="32" t="s">
        <v>6659</v>
      </c>
      <c r="F1646" s="10">
        <v>2</v>
      </c>
      <c r="G1646" s="8" t="s">
        <v>6266</v>
      </c>
      <c r="H1646" s="10">
        <v>35.25</v>
      </c>
      <c r="I1646" s="10">
        <f t="shared" si="27"/>
        <v>70.5</v>
      </c>
      <c r="J1646" s="10">
        <v>0</v>
      </c>
      <c r="K1646" s="8" t="s">
        <v>5087</v>
      </c>
      <c r="S1646"/>
    </row>
    <row r="1647" spans="1:19" ht="15" x14ac:dyDescent="0.25">
      <c r="A1647" s="8" t="s">
        <v>6071</v>
      </c>
      <c r="B1647" s="8" t="s">
        <v>6069</v>
      </c>
      <c r="C1647" s="8" t="s">
        <v>6660</v>
      </c>
      <c r="D1647" s="32" t="s">
        <v>6984</v>
      </c>
      <c r="E1647" s="32" t="s">
        <v>6660</v>
      </c>
      <c r="F1647" s="10">
        <v>1</v>
      </c>
      <c r="G1647" s="8" t="s">
        <v>6266</v>
      </c>
      <c r="H1647" s="10">
        <v>35.299999999999997</v>
      </c>
      <c r="I1647" s="10">
        <f t="shared" si="27"/>
        <v>35.299999999999997</v>
      </c>
      <c r="J1647" s="10">
        <v>0</v>
      </c>
      <c r="K1647" s="8" t="s">
        <v>5087</v>
      </c>
      <c r="S1647"/>
    </row>
    <row r="1648" spans="1:19" ht="15" x14ac:dyDescent="0.25">
      <c r="A1648" s="8" t="s">
        <v>6071</v>
      </c>
      <c r="B1648" s="8" t="s">
        <v>6069</v>
      </c>
      <c r="C1648" s="8" t="s">
        <v>6661</v>
      </c>
      <c r="D1648" s="32" t="s">
        <v>6984</v>
      </c>
      <c r="E1648" s="32" t="s">
        <v>6661</v>
      </c>
      <c r="F1648" s="10">
        <v>1</v>
      </c>
      <c r="G1648" s="8" t="s">
        <v>6266</v>
      </c>
      <c r="H1648" s="10">
        <v>32.1</v>
      </c>
      <c r="I1648" s="10">
        <f t="shared" si="27"/>
        <v>32.1</v>
      </c>
      <c r="J1648" s="10">
        <v>0</v>
      </c>
      <c r="K1648" s="8" t="s">
        <v>5087</v>
      </c>
      <c r="S1648"/>
    </row>
    <row r="1649" spans="1:19" ht="15" x14ac:dyDescent="0.25">
      <c r="A1649" s="8" t="s">
        <v>6071</v>
      </c>
      <c r="B1649" s="8" t="s">
        <v>6069</v>
      </c>
      <c r="C1649" s="8" t="s">
        <v>6662</v>
      </c>
      <c r="D1649" s="32" t="s">
        <v>6984</v>
      </c>
      <c r="E1649" s="32" t="s">
        <v>6662</v>
      </c>
      <c r="F1649" s="10">
        <v>1</v>
      </c>
      <c r="G1649" s="8" t="s">
        <v>6266</v>
      </c>
      <c r="H1649" s="10">
        <v>35.299999999999997</v>
      </c>
      <c r="I1649" s="10">
        <f t="shared" si="27"/>
        <v>35.299999999999997</v>
      </c>
      <c r="J1649" s="10">
        <v>0</v>
      </c>
      <c r="K1649" s="8" t="s">
        <v>5087</v>
      </c>
      <c r="S1649"/>
    </row>
    <row r="1650" spans="1:19" ht="15" x14ac:dyDescent="0.25">
      <c r="A1650" s="8" t="s">
        <v>6068</v>
      </c>
      <c r="B1650" s="8" t="s">
        <v>6069</v>
      </c>
      <c r="C1650" s="8" t="s">
        <v>6663</v>
      </c>
      <c r="D1650" s="32" t="s">
        <v>6984</v>
      </c>
      <c r="E1650" s="32" t="s">
        <v>6663</v>
      </c>
      <c r="F1650" s="10">
        <v>1</v>
      </c>
      <c r="G1650" s="8" t="s">
        <v>6266</v>
      </c>
      <c r="H1650" s="10">
        <v>35.299999999999997</v>
      </c>
      <c r="I1650" s="10">
        <f t="shared" si="27"/>
        <v>35.299999999999997</v>
      </c>
      <c r="J1650" s="10">
        <v>0</v>
      </c>
      <c r="K1650" s="8" t="s">
        <v>5087</v>
      </c>
      <c r="S1650"/>
    </row>
    <row r="1651" spans="1:19" ht="15" x14ac:dyDescent="0.25">
      <c r="A1651" s="8" t="s">
        <v>6068</v>
      </c>
      <c r="B1651" s="8" t="s">
        <v>6069</v>
      </c>
      <c r="C1651" s="8" t="s">
        <v>6664</v>
      </c>
      <c r="D1651" s="32" t="s">
        <v>6984</v>
      </c>
      <c r="E1651" s="32" t="s">
        <v>6664</v>
      </c>
      <c r="F1651" s="10">
        <v>1</v>
      </c>
      <c r="G1651" s="8" t="s">
        <v>6266</v>
      </c>
      <c r="H1651" s="10">
        <v>30.9</v>
      </c>
      <c r="I1651" s="10">
        <f t="shared" si="27"/>
        <v>30.9</v>
      </c>
      <c r="J1651" s="10">
        <v>0</v>
      </c>
      <c r="K1651" s="8" t="s">
        <v>5087</v>
      </c>
      <c r="S1651"/>
    </row>
    <row r="1652" spans="1:19" ht="15" x14ac:dyDescent="0.25">
      <c r="A1652" s="8" t="s">
        <v>6071</v>
      </c>
      <c r="B1652" s="8" t="s">
        <v>6069</v>
      </c>
      <c r="C1652" s="8" t="s">
        <v>6665</v>
      </c>
      <c r="D1652" s="32" t="s">
        <v>6984</v>
      </c>
      <c r="E1652" s="32" t="s">
        <v>6665</v>
      </c>
      <c r="F1652" s="10">
        <v>2</v>
      </c>
      <c r="G1652" s="8" t="s">
        <v>6266</v>
      </c>
      <c r="H1652" s="10">
        <v>35.25</v>
      </c>
      <c r="I1652" s="10">
        <f t="shared" si="27"/>
        <v>70.5</v>
      </c>
      <c r="J1652" s="10">
        <v>0</v>
      </c>
      <c r="K1652" s="8" t="s">
        <v>5087</v>
      </c>
      <c r="S1652"/>
    </row>
    <row r="1653" spans="1:19" ht="15" x14ac:dyDescent="0.25">
      <c r="A1653" s="8" t="s">
        <v>6071</v>
      </c>
      <c r="B1653" s="8" t="s">
        <v>6069</v>
      </c>
      <c r="C1653" s="8" t="s">
        <v>6666</v>
      </c>
      <c r="D1653" s="32" t="s">
        <v>6984</v>
      </c>
      <c r="E1653" s="32" t="s">
        <v>6666</v>
      </c>
      <c r="F1653" s="10">
        <v>1</v>
      </c>
      <c r="G1653" s="8" t="s">
        <v>6266</v>
      </c>
      <c r="H1653" s="10">
        <v>35.299999999999997</v>
      </c>
      <c r="I1653" s="10">
        <f t="shared" si="27"/>
        <v>35.299999999999997</v>
      </c>
      <c r="J1653" s="10">
        <v>0</v>
      </c>
      <c r="K1653" s="8" t="s">
        <v>5087</v>
      </c>
      <c r="S1653"/>
    </row>
    <row r="1654" spans="1:19" ht="15" x14ac:dyDescent="0.25">
      <c r="A1654" s="8" t="s">
        <v>6071</v>
      </c>
      <c r="B1654" s="8" t="s">
        <v>6069</v>
      </c>
      <c r="C1654" s="8" t="s">
        <v>6667</v>
      </c>
      <c r="D1654" s="32" t="s">
        <v>6984</v>
      </c>
      <c r="E1654" s="32" t="s">
        <v>6667</v>
      </c>
      <c r="F1654" s="10">
        <v>1</v>
      </c>
      <c r="G1654" s="8" t="s">
        <v>6266</v>
      </c>
      <c r="H1654" s="10">
        <v>35.299999999999997</v>
      </c>
      <c r="I1654" s="10">
        <f t="shared" si="27"/>
        <v>35.299999999999997</v>
      </c>
      <c r="J1654" s="10">
        <v>0</v>
      </c>
      <c r="K1654" s="8" t="s">
        <v>5087</v>
      </c>
      <c r="S1654"/>
    </row>
    <row r="1655" spans="1:19" ht="15" x14ac:dyDescent="0.25">
      <c r="A1655" s="8" t="s">
        <v>6071</v>
      </c>
      <c r="B1655" s="8" t="s">
        <v>6069</v>
      </c>
      <c r="C1655" s="8" t="s">
        <v>6668</v>
      </c>
      <c r="D1655" s="32" t="s">
        <v>6984</v>
      </c>
      <c r="E1655" s="32" t="s">
        <v>6668</v>
      </c>
      <c r="F1655" s="10">
        <v>1</v>
      </c>
      <c r="G1655" s="8" t="s">
        <v>6266</v>
      </c>
      <c r="H1655" s="10">
        <v>35.299999999999997</v>
      </c>
      <c r="I1655" s="10">
        <f t="shared" si="27"/>
        <v>35.299999999999997</v>
      </c>
      <c r="J1655" s="10">
        <v>0</v>
      </c>
      <c r="K1655" s="8" t="s">
        <v>5087</v>
      </c>
      <c r="S1655"/>
    </row>
    <row r="1656" spans="1:19" ht="15" x14ac:dyDescent="0.25">
      <c r="A1656" s="8" t="s">
        <v>6071</v>
      </c>
      <c r="B1656" s="8" t="s">
        <v>6069</v>
      </c>
      <c r="C1656" s="8" t="s">
        <v>6669</v>
      </c>
      <c r="D1656" s="32" t="s">
        <v>6984</v>
      </c>
      <c r="E1656" s="32" t="s">
        <v>6669</v>
      </c>
      <c r="F1656" s="10">
        <v>1</v>
      </c>
      <c r="G1656" s="8" t="s">
        <v>6266</v>
      </c>
      <c r="H1656" s="10">
        <v>35.299999999999997</v>
      </c>
      <c r="I1656" s="10">
        <f t="shared" si="27"/>
        <v>35.299999999999997</v>
      </c>
      <c r="J1656" s="10">
        <v>0</v>
      </c>
      <c r="K1656" s="8" t="s">
        <v>5087</v>
      </c>
      <c r="S1656"/>
    </row>
    <row r="1657" spans="1:19" ht="15" x14ac:dyDescent="0.25">
      <c r="A1657" s="8" t="s">
        <v>6071</v>
      </c>
      <c r="B1657" s="8" t="s">
        <v>6069</v>
      </c>
      <c r="C1657" s="8" t="s">
        <v>6670</v>
      </c>
      <c r="D1657" s="32" t="s">
        <v>6984</v>
      </c>
      <c r="E1657" s="32" t="s">
        <v>6670</v>
      </c>
      <c r="F1657" s="10">
        <v>1</v>
      </c>
      <c r="G1657" s="8" t="s">
        <v>6266</v>
      </c>
      <c r="H1657" s="10">
        <v>35.299999999999997</v>
      </c>
      <c r="I1657" s="10">
        <f t="shared" si="27"/>
        <v>35.299999999999997</v>
      </c>
      <c r="J1657" s="10">
        <v>0</v>
      </c>
      <c r="K1657" s="8" t="s">
        <v>5087</v>
      </c>
      <c r="S1657"/>
    </row>
    <row r="1658" spans="1:19" ht="15" x14ac:dyDescent="0.25">
      <c r="A1658" s="8" t="s">
        <v>6071</v>
      </c>
      <c r="B1658" s="8" t="s">
        <v>6069</v>
      </c>
      <c r="C1658" s="8" t="s">
        <v>6671</v>
      </c>
      <c r="D1658" s="32" t="s">
        <v>6984</v>
      </c>
      <c r="E1658" s="32" t="s">
        <v>6671</v>
      </c>
      <c r="F1658" s="10">
        <v>1</v>
      </c>
      <c r="G1658" s="8" t="s">
        <v>6266</v>
      </c>
      <c r="H1658" s="10">
        <v>35.299999999999997</v>
      </c>
      <c r="I1658" s="10">
        <f t="shared" si="27"/>
        <v>35.299999999999997</v>
      </c>
      <c r="J1658" s="10">
        <v>0</v>
      </c>
      <c r="K1658" s="8" t="s">
        <v>5087</v>
      </c>
      <c r="S1658"/>
    </row>
    <row r="1659" spans="1:19" ht="15" x14ac:dyDescent="0.25">
      <c r="A1659" s="8" t="s">
        <v>6071</v>
      </c>
      <c r="B1659" s="8" t="s">
        <v>6069</v>
      </c>
      <c r="C1659" s="8" t="s">
        <v>6672</v>
      </c>
      <c r="D1659" s="32" t="s">
        <v>6984</v>
      </c>
      <c r="E1659" s="32" t="s">
        <v>6672</v>
      </c>
      <c r="F1659" s="10">
        <v>1</v>
      </c>
      <c r="G1659" s="8" t="s">
        <v>6266</v>
      </c>
      <c r="H1659" s="10">
        <v>35.299999999999997</v>
      </c>
      <c r="I1659" s="10">
        <f t="shared" si="27"/>
        <v>35.299999999999997</v>
      </c>
      <c r="J1659" s="10">
        <v>0</v>
      </c>
      <c r="K1659" s="8" t="s">
        <v>5087</v>
      </c>
      <c r="S1659"/>
    </row>
    <row r="1660" spans="1:19" ht="15" x14ac:dyDescent="0.25">
      <c r="A1660" s="8" t="s">
        <v>6071</v>
      </c>
      <c r="B1660" s="8" t="s">
        <v>6069</v>
      </c>
      <c r="C1660" s="8" t="s">
        <v>6673</v>
      </c>
      <c r="D1660" s="32" t="s">
        <v>6984</v>
      </c>
      <c r="E1660" s="32" t="s">
        <v>6673</v>
      </c>
      <c r="F1660" s="10">
        <v>1</v>
      </c>
      <c r="G1660" s="8" t="s">
        <v>6266</v>
      </c>
      <c r="H1660" s="10">
        <v>35.299999999999997</v>
      </c>
      <c r="I1660" s="10">
        <f t="shared" si="27"/>
        <v>35.299999999999997</v>
      </c>
      <c r="J1660" s="10">
        <v>0</v>
      </c>
      <c r="K1660" s="8" t="s">
        <v>5087</v>
      </c>
      <c r="S1660"/>
    </row>
    <row r="1661" spans="1:19" ht="15" x14ac:dyDescent="0.25">
      <c r="A1661" s="8" t="s">
        <v>6068</v>
      </c>
      <c r="B1661" s="8" t="s">
        <v>6069</v>
      </c>
      <c r="C1661" s="8" t="s">
        <v>6674</v>
      </c>
      <c r="D1661" s="32" t="s">
        <v>6984</v>
      </c>
      <c r="E1661" s="32" t="s">
        <v>6674</v>
      </c>
      <c r="F1661" s="10">
        <v>1</v>
      </c>
      <c r="G1661" s="8" t="s">
        <v>6266</v>
      </c>
      <c r="H1661" s="10">
        <v>35.299999999999997</v>
      </c>
      <c r="I1661" s="10">
        <f t="shared" si="27"/>
        <v>35.299999999999997</v>
      </c>
      <c r="J1661" s="10">
        <v>0</v>
      </c>
      <c r="K1661" s="8" t="s">
        <v>5087</v>
      </c>
      <c r="S1661"/>
    </row>
    <row r="1662" spans="1:19" ht="15" x14ac:dyDescent="0.25">
      <c r="A1662" s="8" t="s">
        <v>6068</v>
      </c>
      <c r="B1662" s="8" t="s">
        <v>6069</v>
      </c>
      <c r="C1662" s="8" t="s">
        <v>6675</v>
      </c>
      <c r="D1662" s="32" t="s">
        <v>6984</v>
      </c>
      <c r="E1662" s="32" t="s">
        <v>6675</v>
      </c>
      <c r="F1662" s="10">
        <v>1</v>
      </c>
      <c r="G1662" s="8" t="s">
        <v>6266</v>
      </c>
      <c r="H1662" s="10">
        <v>35.299999999999997</v>
      </c>
      <c r="I1662" s="10">
        <f t="shared" si="27"/>
        <v>35.299999999999997</v>
      </c>
      <c r="J1662" s="10">
        <v>0</v>
      </c>
      <c r="K1662" s="8" t="s">
        <v>5087</v>
      </c>
      <c r="S1662"/>
    </row>
    <row r="1663" spans="1:19" ht="15" x14ac:dyDescent="0.25">
      <c r="A1663" s="8" t="s">
        <v>6068</v>
      </c>
      <c r="B1663" s="8" t="s">
        <v>6069</v>
      </c>
      <c r="C1663" s="8" t="s">
        <v>6676</v>
      </c>
      <c r="D1663" s="32" t="s">
        <v>6984</v>
      </c>
      <c r="E1663" s="32" t="s">
        <v>6676</v>
      </c>
      <c r="F1663" s="10">
        <v>1</v>
      </c>
      <c r="G1663" s="8" t="s">
        <v>6266</v>
      </c>
      <c r="H1663" s="10">
        <v>32.1</v>
      </c>
      <c r="I1663" s="10">
        <f t="shared" si="27"/>
        <v>32.1</v>
      </c>
      <c r="J1663" s="10">
        <v>0</v>
      </c>
      <c r="K1663" s="8" t="s">
        <v>5087</v>
      </c>
      <c r="S1663"/>
    </row>
    <row r="1664" spans="1:19" ht="15" x14ac:dyDescent="0.25">
      <c r="A1664" s="8" t="s">
        <v>6068</v>
      </c>
      <c r="B1664" s="8" t="s">
        <v>6069</v>
      </c>
      <c r="C1664" s="8" t="s">
        <v>6677</v>
      </c>
      <c r="D1664" s="32" t="s">
        <v>6984</v>
      </c>
      <c r="E1664" s="32" t="s">
        <v>6677</v>
      </c>
      <c r="F1664" s="10">
        <v>1</v>
      </c>
      <c r="G1664" s="8" t="s">
        <v>6266</v>
      </c>
      <c r="H1664" s="10">
        <v>35.299999999999997</v>
      </c>
      <c r="I1664" s="10">
        <f t="shared" si="27"/>
        <v>35.299999999999997</v>
      </c>
      <c r="J1664" s="10">
        <v>0</v>
      </c>
      <c r="K1664" s="8" t="s">
        <v>5087</v>
      </c>
      <c r="S1664"/>
    </row>
    <row r="1665" spans="1:19" ht="15" x14ac:dyDescent="0.25">
      <c r="A1665" s="8" t="s">
        <v>6068</v>
      </c>
      <c r="B1665" s="8" t="s">
        <v>6069</v>
      </c>
      <c r="C1665" s="8" t="s">
        <v>6678</v>
      </c>
      <c r="D1665" s="32" t="s">
        <v>6984</v>
      </c>
      <c r="E1665" s="32" t="s">
        <v>6678</v>
      </c>
      <c r="F1665" s="10">
        <v>1</v>
      </c>
      <c r="G1665" s="8" t="s">
        <v>6266</v>
      </c>
      <c r="H1665" s="10">
        <v>39</v>
      </c>
      <c r="I1665" s="10">
        <f t="shared" si="27"/>
        <v>39</v>
      </c>
      <c r="J1665" s="10">
        <v>0</v>
      </c>
      <c r="K1665" s="8" t="s">
        <v>5087</v>
      </c>
      <c r="S1665"/>
    </row>
    <row r="1666" spans="1:19" ht="15" x14ac:dyDescent="0.25">
      <c r="A1666" s="8" t="s">
        <v>6071</v>
      </c>
      <c r="B1666" s="8" t="s">
        <v>6069</v>
      </c>
      <c r="C1666" s="8" t="s">
        <v>6679</v>
      </c>
      <c r="D1666" s="32" t="s">
        <v>6984</v>
      </c>
      <c r="E1666" s="32" t="s">
        <v>6679</v>
      </c>
      <c r="F1666" s="10">
        <v>1</v>
      </c>
      <c r="G1666" s="8" t="s">
        <v>6266</v>
      </c>
      <c r="H1666" s="10">
        <v>35.299999999999997</v>
      </c>
      <c r="I1666" s="10">
        <f t="shared" si="27"/>
        <v>35.299999999999997</v>
      </c>
      <c r="J1666" s="10">
        <v>0</v>
      </c>
      <c r="K1666" s="8" t="s">
        <v>5087</v>
      </c>
      <c r="S1666"/>
    </row>
    <row r="1667" spans="1:19" ht="15" x14ac:dyDescent="0.25">
      <c r="A1667" s="8" t="s">
        <v>6071</v>
      </c>
      <c r="B1667" s="8" t="s">
        <v>6069</v>
      </c>
      <c r="C1667" s="8" t="s">
        <v>6680</v>
      </c>
      <c r="D1667" s="32" t="s">
        <v>6984</v>
      </c>
      <c r="E1667" s="32" t="s">
        <v>6680</v>
      </c>
      <c r="F1667" s="10">
        <v>7</v>
      </c>
      <c r="G1667" s="8" t="s">
        <v>6266</v>
      </c>
      <c r="H1667" s="10">
        <v>35.25714285714286</v>
      </c>
      <c r="I1667" s="10">
        <f t="shared" si="27"/>
        <v>246.8</v>
      </c>
      <c r="J1667" s="10">
        <v>0</v>
      </c>
      <c r="K1667" s="8" t="s">
        <v>5087</v>
      </c>
      <c r="S1667"/>
    </row>
    <row r="1668" spans="1:19" ht="15" x14ac:dyDescent="0.25">
      <c r="A1668" s="8" t="s">
        <v>6071</v>
      </c>
      <c r="B1668" s="8" t="s">
        <v>6069</v>
      </c>
      <c r="C1668" s="8" t="s">
        <v>6681</v>
      </c>
      <c r="D1668" s="32" t="s">
        <v>6984</v>
      </c>
      <c r="E1668" s="32" t="s">
        <v>6681</v>
      </c>
      <c r="F1668" s="10">
        <v>1</v>
      </c>
      <c r="G1668" s="8" t="s">
        <v>6266</v>
      </c>
      <c r="H1668" s="10">
        <v>36</v>
      </c>
      <c r="I1668" s="10">
        <f t="shared" si="27"/>
        <v>36</v>
      </c>
      <c r="J1668" s="10">
        <v>0</v>
      </c>
      <c r="K1668" s="8" t="s">
        <v>5087</v>
      </c>
      <c r="S1668"/>
    </row>
    <row r="1669" spans="1:19" ht="15" x14ac:dyDescent="0.25">
      <c r="A1669" s="8" t="s">
        <v>6071</v>
      </c>
      <c r="B1669" s="8" t="s">
        <v>6069</v>
      </c>
      <c r="C1669" s="8" t="s">
        <v>6682</v>
      </c>
      <c r="D1669" s="32" t="s">
        <v>6984</v>
      </c>
      <c r="E1669" s="32" t="s">
        <v>6682</v>
      </c>
      <c r="F1669" s="10">
        <v>1</v>
      </c>
      <c r="G1669" s="8" t="s">
        <v>6266</v>
      </c>
      <c r="H1669" s="10">
        <v>34.700000000000003</v>
      </c>
      <c r="I1669" s="10">
        <f t="shared" ref="I1669:I1732" si="28">F1669*H1669</f>
        <v>34.700000000000003</v>
      </c>
      <c r="J1669" s="10">
        <v>0</v>
      </c>
      <c r="K1669" s="8" t="s">
        <v>5087</v>
      </c>
      <c r="S1669"/>
    </row>
    <row r="1670" spans="1:19" ht="15" x14ac:dyDescent="0.25">
      <c r="A1670" s="8" t="s">
        <v>6071</v>
      </c>
      <c r="B1670" s="8" t="s">
        <v>6069</v>
      </c>
      <c r="C1670" s="8" t="s">
        <v>6683</v>
      </c>
      <c r="D1670" s="32" t="s">
        <v>6984</v>
      </c>
      <c r="E1670" s="32" t="s">
        <v>6683</v>
      </c>
      <c r="F1670" s="10">
        <v>4</v>
      </c>
      <c r="G1670" s="8" t="s">
        <v>6266</v>
      </c>
      <c r="H1670" s="10">
        <v>31.725000000000001</v>
      </c>
      <c r="I1670" s="10">
        <f t="shared" si="28"/>
        <v>126.9</v>
      </c>
      <c r="J1670" s="10">
        <v>0</v>
      </c>
      <c r="K1670" s="8" t="s">
        <v>5087</v>
      </c>
      <c r="S1670"/>
    </row>
    <row r="1671" spans="1:19" ht="15" x14ac:dyDescent="0.25">
      <c r="A1671" s="8" t="s">
        <v>6071</v>
      </c>
      <c r="B1671" s="8" t="s">
        <v>6069</v>
      </c>
      <c r="C1671" s="8" t="s">
        <v>6684</v>
      </c>
      <c r="D1671" s="32" t="s">
        <v>6984</v>
      </c>
      <c r="E1671" s="32" t="s">
        <v>6684</v>
      </c>
      <c r="F1671" s="10">
        <v>1</v>
      </c>
      <c r="G1671" s="8" t="s">
        <v>6266</v>
      </c>
      <c r="H1671" s="10">
        <v>19.7</v>
      </c>
      <c r="I1671" s="10">
        <f t="shared" si="28"/>
        <v>19.7</v>
      </c>
      <c r="J1671" s="10">
        <v>0</v>
      </c>
      <c r="K1671" s="8" t="s">
        <v>5087</v>
      </c>
      <c r="S1671"/>
    </row>
    <row r="1672" spans="1:19" ht="15" x14ac:dyDescent="0.25">
      <c r="A1672" s="8" t="s">
        <v>6071</v>
      </c>
      <c r="B1672" s="8" t="s">
        <v>6069</v>
      </c>
      <c r="C1672" s="8" t="s">
        <v>6685</v>
      </c>
      <c r="D1672" s="32" t="s">
        <v>6984</v>
      </c>
      <c r="E1672" s="32" t="s">
        <v>6685</v>
      </c>
      <c r="F1672" s="10">
        <v>1</v>
      </c>
      <c r="G1672" s="8" t="s">
        <v>6266</v>
      </c>
      <c r="H1672" s="10">
        <v>31.7</v>
      </c>
      <c r="I1672" s="10">
        <f t="shared" si="28"/>
        <v>31.7</v>
      </c>
      <c r="J1672" s="10">
        <v>0</v>
      </c>
      <c r="K1672" s="8" t="s">
        <v>5087</v>
      </c>
      <c r="S1672"/>
    </row>
    <row r="1673" spans="1:19" ht="15" x14ac:dyDescent="0.25">
      <c r="A1673" s="8" t="s">
        <v>6071</v>
      </c>
      <c r="B1673" s="8" t="s">
        <v>6069</v>
      </c>
      <c r="C1673" s="8" t="s">
        <v>6686</v>
      </c>
      <c r="D1673" s="32" t="s">
        <v>6984</v>
      </c>
      <c r="E1673" s="32" t="s">
        <v>6686</v>
      </c>
      <c r="F1673" s="10">
        <v>1</v>
      </c>
      <c r="G1673" s="8" t="s">
        <v>6266</v>
      </c>
      <c r="H1673" s="10">
        <v>24.1</v>
      </c>
      <c r="I1673" s="10">
        <f t="shared" si="28"/>
        <v>24.1</v>
      </c>
      <c r="J1673" s="10">
        <v>0</v>
      </c>
      <c r="K1673" s="8" t="s">
        <v>5087</v>
      </c>
      <c r="S1673"/>
    </row>
    <row r="1674" spans="1:19" ht="15" x14ac:dyDescent="0.25">
      <c r="A1674" s="8" t="s">
        <v>6071</v>
      </c>
      <c r="B1674" s="8" t="s">
        <v>6069</v>
      </c>
      <c r="C1674" s="8" t="s">
        <v>6687</v>
      </c>
      <c r="D1674" s="32" t="s">
        <v>6984</v>
      </c>
      <c r="E1674" s="32" t="s">
        <v>6687</v>
      </c>
      <c r="F1674" s="10">
        <v>1</v>
      </c>
      <c r="G1674" s="8" t="s">
        <v>6266</v>
      </c>
      <c r="H1674" s="10">
        <v>36</v>
      </c>
      <c r="I1674" s="10">
        <f t="shared" si="28"/>
        <v>36</v>
      </c>
      <c r="J1674" s="10">
        <v>0</v>
      </c>
      <c r="K1674" s="8" t="s">
        <v>5087</v>
      </c>
      <c r="S1674"/>
    </row>
    <row r="1675" spans="1:19" ht="15" x14ac:dyDescent="0.25">
      <c r="A1675" s="8" t="s">
        <v>6071</v>
      </c>
      <c r="B1675" s="8" t="s">
        <v>6069</v>
      </c>
      <c r="C1675" s="8" t="s">
        <v>6688</v>
      </c>
      <c r="D1675" s="32" t="s">
        <v>6984</v>
      </c>
      <c r="E1675" s="32" t="s">
        <v>6688</v>
      </c>
      <c r="F1675" s="10">
        <v>2</v>
      </c>
      <c r="G1675" s="8" t="s">
        <v>6266</v>
      </c>
      <c r="H1675" s="10">
        <v>35.25</v>
      </c>
      <c r="I1675" s="10">
        <f t="shared" si="28"/>
        <v>70.5</v>
      </c>
      <c r="J1675" s="10">
        <v>0</v>
      </c>
      <c r="K1675" s="8" t="s">
        <v>5087</v>
      </c>
      <c r="S1675"/>
    </row>
    <row r="1676" spans="1:19" ht="15" x14ac:dyDescent="0.25">
      <c r="A1676" s="8" t="s">
        <v>6068</v>
      </c>
      <c r="B1676" s="8" t="s">
        <v>6069</v>
      </c>
      <c r="C1676" s="8" t="s">
        <v>6689</v>
      </c>
      <c r="D1676" s="32" t="s">
        <v>6984</v>
      </c>
      <c r="E1676" s="32" t="s">
        <v>6689</v>
      </c>
      <c r="F1676" s="10">
        <v>1</v>
      </c>
      <c r="G1676" s="8" t="s">
        <v>6266</v>
      </c>
      <c r="H1676" s="10">
        <v>35.299999999999997</v>
      </c>
      <c r="I1676" s="10">
        <f t="shared" si="28"/>
        <v>35.299999999999997</v>
      </c>
      <c r="J1676" s="10">
        <v>0</v>
      </c>
      <c r="K1676" s="8" t="s">
        <v>5087</v>
      </c>
      <c r="S1676"/>
    </row>
    <row r="1677" spans="1:19" ht="15" x14ac:dyDescent="0.25">
      <c r="A1677" s="8" t="s">
        <v>6071</v>
      </c>
      <c r="B1677" s="8" t="s">
        <v>6069</v>
      </c>
      <c r="C1677" s="8" t="s">
        <v>6690</v>
      </c>
      <c r="D1677" s="32" t="s">
        <v>6984</v>
      </c>
      <c r="E1677" s="32" t="s">
        <v>6690</v>
      </c>
      <c r="F1677" s="10">
        <v>1</v>
      </c>
      <c r="G1677" s="8" t="s">
        <v>6266</v>
      </c>
      <c r="H1677" s="10">
        <v>40.6</v>
      </c>
      <c r="I1677" s="10">
        <f t="shared" si="28"/>
        <v>40.6</v>
      </c>
      <c r="J1677" s="10">
        <v>0</v>
      </c>
      <c r="K1677" s="8" t="s">
        <v>5087</v>
      </c>
      <c r="S1677"/>
    </row>
    <row r="1678" spans="1:19" ht="15" x14ac:dyDescent="0.25">
      <c r="A1678" s="8" t="s">
        <v>6071</v>
      </c>
      <c r="B1678" s="8" t="s">
        <v>6069</v>
      </c>
      <c r="C1678" s="8" t="s">
        <v>6691</v>
      </c>
      <c r="D1678" s="32" t="s">
        <v>6984</v>
      </c>
      <c r="E1678" s="32" t="s">
        <v>6691</v>
      </c>
      <c r="F1678" s="10">
        <v>1</v>
      </c>
      <c r="G1678" s="8" t="s">
        <v>6266</v>
      </c>
      <c r="H1678" s="10">
        <v>45.4</v>
      </c>
      <c r="I1678" s="10">
        <f t="shared" si="28"/>
        <v>45.4</v>
      </c>
      <c r="J1678" s="10">
        <v>0</v>
      </c>
      <c r="K1678" s="8" t="s">
        <v>5087</v>
      </c>
      <c r="S1678"/>
    </row>
    <row r="1679" spans="1:19" ht="15" x14ac:dyDescent="0.25">
      <c r="A1679" s="8" t="s">
        <v>6068</v>
      </c>
      <c r="B1679" s="8" t="s">
        <v>6069</v>
      </c>
      <c r="C1679" s="8" t="s">
        <v>6692</v>
      </c>
      <c r="D1679" s="32" t="s">
        <v>6984</v>
      </c>
      <c r="E1679" s="32" t="s">
        <v>6692</v>
      </c>
      <c r="F1679" s="10">
        <v>1</v>
      </c>
      <c r="G1679" s="8" t="s">
        <v>6266</v>
      </c>
      <c r="H1679" s="10">
        <v>44.4</v>
      </c>
      <c r="I1679" s="10">
        <f t="shared" si="28"/>
        <v>44.4</v>
      </c>
      <c r="J1679" s="10">
        <v>0</v>
      </c>
      <c r="K1679" s="8" t="s">
        <v>5087</v>
      </c>
      <c r="S1679"/>
    </row>
    <row r="1680" spans="1:19" ht="15" x14ac:dyDescent="0.25">
      <c r="A1680" s="8" t="s">
        <v>6068</v>
      </c>
      <c r="B1680" s="8" t="s">
        <v>6069</v>
      </c>
      <c r="C1680" s="8" t="s">
        <v>6693</v>
      </c>
      <c r="D1680" s="32" t="s">
        <v>6984</v>
      </c>
      <c r="E1680" s="32" t="s">
        <v>6693</v>
      </c>
      <c r="F1680" s="10">
        <v>1</v>
      </c>
      <c r="G1680" s="8" t="s">
        <v>6266</v>
      </c>
      <c r="H1680" s="10">
        <v>44.4</v>
      </c>
      <c r="I1680" s="10">
        <f t="shared" si="28"/>
        <v>44.4</v>
      </c>
      <c r="J1680" s="10">
        <v>0</v>
      </c>
      <c r="K1680" s="8" t="s">
        <v>5087</v>
      </c>
      <c r="S1680"/>
    </row>
    <row r="1681" spans="1:19" ht="15" x14ac:dyDescent="0.25">
      <c r="A1681" s="8" t="s">
        <v>6071</v>
      </c>
      <c r="B1681" s="8" t="s">
        <v>6069</v>
      </c>
      <c r="C1681" s="8" t="s">
        <v>6694</v>
      </c>
      <c r="D1681" s="32" t="s">
        <v>6984</v>
      </c>
      <c r="E1681" s="32" t="s">
        <v>6694</v>
      </c>
      <c r="F1681" s="10">
        <v>1</v>
      </c>
      <c r="G1681" s="8" t="s">
        <v>6266</v>
      </c>
      <c r="H1681" s="10">
        <v>42.6</v>
      </c>
      <c r="I1681" s="10">
        <f t="shared" si="28"/>
        <v>42.6</v>
      </c>
      <c r="J1681" s="10">
        <v>0</v>
      </c>
      <c r="K1681" s="8" t="s">
        <v>5087</v>
      </c>
      <c r="S1681"/>
    </row>
    <row r="1682" spans="1:19" ht="15" x14ac:dyDescent="0.25">
      <c r="A1682" s="8" t="s">
        <v>6068</v>
      </c>
      <c r="B1682" s="8" t="s">
        <v>6069</v>
      </c>
      <c r="C1682" s="8" t="s">
        <v>6695</v>
      </c>
      <c r="D1682" s="32" t="s">
        <v>6984</v>
      </c>
      <c r="E1682" s="32" t="s">
        <v>6695</v>
      </c>
      <c r="F1682" s="10">
        <v>1</v>
      </c>
      <c r="G1682" s="8" t="s">
        <v>6266</v>
      </c>
      <c r="H1682" s="10">
        <v>44.4</v>
      </c>
      <c r="I1682" s="10">
        <f t="shared" si="28"/>
        <v>44.4</v>
      </c>
      <c r="J1682" s="10">
        <v>0</v>
      </c>
      <c r="K1682" s="8" t="s">
        <v>5087</v>
      </c>
      <c r="S1682"/>
    </row>
    <row r="1683" spans="1:19" ht="15" x14ac:dyDescent="0.25">
      <c r="A1683" s="8" t="s">
        <v>6068</v>
      </c>
      <c r="B1683" s="8" t="s">
        <v>6069</v>
      </c>
      <c r="C1683" s="8" t="s">
        <v>6696</v>
      </c>
      <c r="D1683" s="32" t="s">
        <v>6984</v>
      </c>
      <c r="E1683" s="32" t="s">
        <v>6696</v>
      </c>
      <c r="F1683" s="10">
        <v>1</v>
      </c>
      <c r="G1683" s="8" t="s">
        <v>6266</v>
      </c>
      <c r="H1683" s="10">
        <v>44.4</v>
      </c>
      <c r="I1683" s="10">
        <f t="shared" si="28"/>
        <v>44.4</v>
      </c>
      <c r="J1683" s="10">
        <v>0</v>
      </c>
      <c r="K1683" s="8" t="s">
        <v>5087</v>
      </c>
      <c r="S1683"/>
    </row>
    <row r="1684" spans="1:19" ht="15" x14ac:dyDescent="0.25">
      <c r="A1684" s="8" t="s">
        <v>6068</v>
      </c>
      <c r="B1684" s="8" t="s">
        <v>6069</v>
      </c>
      <c r="C1684" s="8" t="s">
        <v>6697</v>
      </c>
      <c r="D1684" s="32" t="s">
        <v>6984</v>
      </c>
      <c r="E1684" s="32" t="s">
        <v>6697</v>
      </c>
      <c r="F1684" s="10">
        <v>1</v>
      </c>
      <c r="G1684" s="8" t="s">
        <v>6266</v>
      </c>
      <c r="H1684" s="10">
        <v>42.6</v>
      </c>
      <c r="I1684" s="10">
        <f t="shared" si="28"/>
        <v>42.6</v>
      </c>
      <c r="J1684" s="10">
        <v>0</v>
      </c>
      <c r="K1684" s="8" t="s">
        <v>5087</v>
      </c>
      <c r="S1684"/>
    </row>
    <row r="1685" spans="1:19" ht="15" x14ac:dyDescent="0.25">
      <c r="A1685" s="8" t="s">
        <v>6071</v>
      </c>
      <c r="B1685" s="8" t="s">
        <v>6069</v>
      </c>
      <c r="C1685" s="8" t="s">
        <v>6698</v>
      </c>
      <c r="D1685" s="32" t="s">
        <v>6984</v>
      </c>
      <c r="E1685" s="32" t="s">
        <v>6698</v>
      </c>
      <c r="F1685" s="10">
        <v>1</v>
      </c>
      <c r="G1685" s="8" t="s">
        <v>6266</v>
      </c>
      <c r="H1685" s="10">
        <v>44.4</v>
      </c>
      <c r="I1685" s="10">
        <f t="shared" si="28"/>
        <v>44.4</v>
      </c>
      <c r="J1685" s="10">
        <v>0</v>
      </c>
      <c r="K1685" s="8" t="s">
        <v>5087</v>
      </c>
      <c r="S1685"/>
    </row>
    <row r="1686" spans="1:19" ht="15" x14ac:dyDescent="0.25">
      <c r="A1686" s="8" t="s">
        <v>6071</v>
      </c>
      <c r="B1686" s="8" t="s">
        <v>6069</v>
      </c>
      <c r="C1686" s="8" t="s">
        <v>6699</v>
      </c>
      <c r="D1686" s="32" t="s">
        <v>6984</v>
      </c>
      <c r="E1686" s="32" t="s">
        <v>6699</v>
      </c>
      <c r="F1686" s="10">
        <v>1</v>
      </c>
      <c r="G1686" s="8" t="s">
        <v>6266</v>
      </c>
      <c r="H1686" s="10">
        <v>40.4</v>
      </c>
      <c r="I1686" s="10">
        <f t="shared" si="28"/>
        <v>40.4</v>
      </c>
      <c r="J1686" s="10">
        <v>0</v>
      </c>
      <c r="K1686" s="8" t="s">
        <v>5087</v>
      </c>
      <c r="S1686"/>
    </row>
    <row r="1687" spans="1:19" ht="15" x14ac:dyDescent="0.25">
      <c r="A1687" s="8" t="s">
        <v>6071</v>
      </c>
      <c r="B1687" s="8" t="s">
        <v>6069</v>
      </c>
      <c r="C1687" s="8" t="s">
        <v>6700</v>
      </c>
      <c r="D1687" s="32" t="s">
        <v>6984</v>
      </c>
      <c r="E1687" s="32" t="s">
        <v>6700</v>
      </c>
      <c r="F1687" s="10">
        <v>1</v>
      </c>
      <c r="G1687" s="8" t="s">
        <v>6266</v>
      </c>
      <c r="H1687" s="10">
        <v>44.4</v>
      </c>
      <c r="I1687" s="10">
        <f t="shared" si="28"/>
        <v>44.4</v>
      </c>
      <c r="J1687" s="10">
        <v>0</v>
      </c>
      <c r="K1687" s="8" t="s">
        <v>5087</v>
      </c>
      <c r="S1687"/>
    </row>
    <row r="1688" spans="1:19" ht="15" x14ac:dyDescent="0.25">
      <c r="A1688" s="8" t="s">
        <v>6068</v>
      </c>
      <c r="B1688" s="8" t="s">
        <v>6069</v>
      </c>
      <c r="C1688" s="8" t="s">
        <v>6701</v>
      </c>
      <c r="D1688" s="32" t="s">
        <v>6984</v>
      </c>
      <c r="E1688" s="32" t="s">
        <v>6701</v>
      </c>
      <c r="F1688" s="10">
        <v>1</v>
      </c>
      <c r="G1688" s="8" t="s">
        <v>6266</v>
      </c>
      <c r="H1688" s="10">
        <v>44.4</v>
      </c>
      <c r="I1688" s="10">
        <f t="shared" si="28"/>
        <v>44.4</v>
      </c>
      <c r="J1688" s="10">
        <v>0</v>
      </c>
      <c r="K1688" s="8" t="s">
        <v>5087</v>
      </c>
      <c r="S1688"/>
    </row>
    <row r="1689" spans="1:19" ht="15" x14ac:dyDescent="0.25">
      <c r="A1689" s="8" t="s">
        <v>6068</v>
      </c>
      <c r="B1689" s="8" t="s">
        <v>6069</v>
      </c>
      <c r="C1689" s="8" t="s">
        <v>6702</v>
      </c>
      <c r="D1689" s="32" t="s">
        <v>6984</v>
      </c>
      <c r="E1689" s="32" t="s">
        <v>6702</v>
      </c>
      <c r="F1689" s="10">
        <v>1</v>
      </c>
      <c r="G1689" s="8" t="s">
        <v>6266</v>
      </c>
      <c r="H1689" s="10">
        <v>44.4</v>
      </c>
      <c r="I1689" s="10">
        <f t="shared" si="28"/>
        <v>44.4</v>
      </c>
      <c r="J1689" s="10">
        <v>0</v>
      </c>
      <c r="K1689" s="8" t="s">
        <v>5087</v>
      </c>
      <c r="S1689"/>
    </row>
    <row r="1690" spans="1:19" ht="15" x14ac:dyDescent="0.25">
      <c r="A1690" s="8" t="s">
        <v>6068</v>
      </c>
      <c r="B1690" s="8" t="s">
        <v>6069</v>
      </c>
      <c r="C1690" s="8" t="s">
        <v>6703</v>
      </c>
      <c r="D1690" s="32" t="s">
        <v>6984</v>
      </c>
      <c r="E1690" s="32" t="s">
        <v>6703</v>
      </c>
      <c r="F1690" s="10">
        <v>1</v>
      </c>
      <c r="G1690" s="8" t="s">
        <v>6266</v>
      </c>
      <c r="H1690" s="10">
        <v>44.4</v>
      </c>
      <c r="I1690" s="10">
        <f t="shared" si="28"/>
        <v>44.4</v>
      </c>
      <c r="J1690" s="10">
        <v>0</v>
      </c>
      <c r="K1690" s="8" t="s">
        <v>5087</v>
      </c>
      <c r="S1690"/>
    </row>
    <row r="1691" spans="1:19" ht="15" x14ac:dyDescent="0.25">
      <c r="A1691" s="8" t="s">
        <v>6068</v>
      </c>
      <c r="B1691" s="8" t="s">
        <v>6069</v>
      </c>
      <c r="C1691" s="8" t="s">
        <v>6704</v>
      </c>
      <c r="D1691" s="32" t="s">
        <v>6984</v>
      </c>
      <c r="E1691" s="32" t="s">
        <v>6704</v>
      </c>
      <c r="F1691" s="10">
        <v>1</v>
      </c>
      <c r="G1691" s="8" t="s">
        <v>6266</v>
      </c>
      <c r="H1691" s="10">
        <v>44.4</v>
      </c>
      <c r="I1691" s="10">
        <f t="shared" si="28"/>
        <v>44.4</v>
      </c>
      <c r="J1691" s="10">
        <v>0</v>
      </c>
      <c r="K1691" s="8" t="s">
        <v>5087</v>
      </c>
      <c r="S1691"/>
    </row>
    <row r="1692" spans="1:19" ht="15" x14ac:dyDescent="0.25">
      <c r="A1692" s="8" t="s">
        <v>6068</v>
      </c>
      <c r="B1692" s="8" t="s">
        <v>6069</v>
      </c>
      <c r="C1692" s="8" t="s">
        <v>6705</v>
      </c>
      <c r="D1692" s="32" t="s">
        <v>6984</v>
      </c>
      <c r="E1692" s="32" t="s">
        <v>6705</v>
      </c>
      <c r="F1692" s="10">
        <v>1</v>
      </c>
      <c r="G1692" s="8" t="s">
        <v>6266</v>
      </c>
      <c r="H1692" s="10">
        <v>44.4</v>
      </c>
      <c r="I1692" s="10">
        <f t="shared" si="28"/>
        <v>44.4</v>
      </c>
      <c r="J1692" s="10">
        <v>0</v>
      </c>
      <c r="K1692" s="8" t="s">
        <v>5087</v>
      </c>
      <c r="S1692"/>
    </row>
    <row r="1693" spans="1:19" ht="15" x14ac:dyDescent="0.25">
      <c r="A1693" s="8" t="s">
        <v>6068</v>
      </c>
      <c r="B1693" s="8" t="s">
        <v>6069</v>
      </c>
      <c r="C1693" s="8" t="s">
        <v>6706</v>
      </c>
      <c r="D1693" s="32" t="s">
        <v>6984</v>
      </c>
      <c r="E1693" s="32" t="s">
        <v>6706</v>
      </c>
      <c r="F1693" s="10">
        <v>1</v>
      </c>
      <c r="G1693" s="8" t="s">
        <v>6266</v>
      </c>
      <c r="H1693" s="10">
        <v>44.4</v>
      </c>
      <c r="I1693" s="10">
        <f t="shared" si="28"/>
        <v>44.4</v>
      </c>
      <c r="J1693" s="10">
        <v>0</v>
      </c>
      <c r="K1693" s="8" t="s">
        <v>5087</v>
      </c>
      <c r="S1693"/>
    </row>
    <row r="1694" spans="1:19" ht="15" x14ac:dyDescent="0.25">
      <c r="A1694" s="8" t="s">
        <v>6068</v>
      </c>
      <c r="B1694" s="8" t="s">
        <v>6069</v>
      </c>
      <c r="C1694" s="8" t="s">
        <v>6707</v>
      </c>
      <c r="D1694" s="32" t="s">
        <v>6984</v>
      </c>
      <c r="E1694" s="32" t="s">
        <v>6707</v>
      </c>
      <c r="F1694" s="10">
        <v>1</v>
      </c>
      <c r="G1694" s="8" t="s">
        <v>6266</v>
      </c>
      <c r="H1694" s="10">
        <v>44.4</v>
      </c>
      <c r="I1694" s="10">
        <f t="shared" si="28"/>
        <v>44.4</v>
      </c>
      <c r="J1694" s="10">
        <v>0</v>
      </c>
      <c r="K1694" s="8" t="s">
        <v>5087</v>
      </c>
      <c r="S1694"/>
    </row>
    <row r="1695" spans="1:19" ht="15" x14ac:dyDescent="0.25">
      <c r="A1695" s="8" t="s">
        <v>6068</v>
      </c>
      <c r="B1695" s="8" t="s">
        <v>6069</v>
      </c>
      <c r="C1695" s="8" t="s">
        <v>6708</v>
      </c>
      <c r="D1695" s="32" t="s">
        <v>6984</v>
      </c>
      <c r="E1695" s="32" t="s">
        <v>6708</v>
      </c>
      <c r="F1695" s="10">
        <v>1</v>
      </c>
      <c r="G1695" s="8" t="s">
        <v>6266</v>
      </c>
      <c r="H1695" s="10">
        <v>49.1</v>
      </c>
      <c r="I1695" s="10">
        <f t="shared" si="28"/>
        <v>49.1</v>
      </c>
      <c r="J1695" s="10">
        <v>0</v>
      </c>
      <c r="K1695" s="8" t="s">
        <v>5087</v>
      </c>
      <c r="S1695"/>
    </row>
    <row r="1696" spans="1:19" ht="15" x14ac:dyDescent="0.25">
      <c r="A1696" s="8" t="s">
        <v>6068</v>
      </c>
      <c r="B1696" s="8" t="s">
        <v>6069</v>
      </c>
      <c r="C1696" s="8" t="s">
        <v>6709</v>
      </c>
      <c r="D1696" s="32" t="s">
        <v>6984</v>
      </c>
      <c r="E1696" s="32" t="s">
        <v>6709</v>
      </c>
      <c r="F1696" s="10">
        <v>1</v>
      </c>
      <c r="G1696" s="8" t="s">
        <v>6266</v>
      </c>
      <c r="H1696" s="10">
        <v>44.7</v>
      </c>
      <c r="I1696" s="10">
        <f t="shared" si="28"/>
        <v>44.7</v>
      </c>
      <c r="J1696" s="10">
        <v>0</v>
      </c>
      <c r="K1696" s="8" t="s">
        <v>5087</v>
      </c>
      <c r="S1696"/>
    </row>
    <row r="1697" spans="1:19" ht="15" x14ac:dyDescent="0.25">
      <c r="A1697" s="8" t="s">
        <v>6071</v>
      </c>
      <c r="B1697" s="8" t="s">
        <v>6069</v>
      </c>
      <c r="C1697" s="8" t="s">
        <v>6710</v>
      </c>
      <c r="D1697" s="32" t="s">
        <v>6984</v>
      </c>
      <c r="E1697" s="32" t="s">
        <v>6710</v>
      </c>
      <c r="F1697" s="10">
        <v>2</v>
      </c>
      <c r="G1697" s="8" t="s">
        <v>6266</v>
      </c>
      <c r="H1697" s="10">
        <v>44.4</v>
      </c>
      <c r="I1697" s="10">
        <f t="shared" si="28"/>
        <v>88.8</v>
      </c>
      <c r="J1697" s="10">
        <v>0</v>
      </c>
      <c r="K1697" s="8" t="s">
        <v>5087</v>
      </c>
      <c r="S1697"/>
    </row>
    <row r="1698" spans="1:19" ht="15" x14ac:dyDescent="0.25">
      <c r="A1698" s="8" t="s">
        <v>6071</v>
      </c>
      <c r="B1698" s="8" t="s">
        <v>6069</v>
      </c>
      <c r="C1698" s="8" t="s">
        <v>6711</v>
      </c>
      <c r="D1698" s="32" t="s">
        <v>6984</v>
      </c>
      <c r="E1698" s="32" t="s">
        <v>6711</v>
      </c>
      <c r="F1698" s="10">
        <v>1</v>
      </c>
      <c r="G1698" s="8" t="s">
        <v>6266</v>
      </c>
      <c r="H1698" s="10">
        <v>44.4</v>
      </c>
      <c r="I1698" s="10">
        <f t="shared" si="28"/>
        <v>44.4</v>
      </c>
      <c r="J1698" s="10">
        <v>0</v>
      </c>
      <c r="K1698" s="8" t="s">
        <v>5087</v>
      </c>
      <c r="S1698"/>
    </row>
    <row r="1699" spans="1:19" ht="15" x14ac:dyDescent="0.25">
      <c r="A1699" s="8" t="s">
        <v>6071</v>
      </c>
      <c r="B1699" s="8" t="s">
        <v>6069</v>
      </c>
      <c r="C1699" s="8" t="s">
        <v>6712</v>
      </c>
      <c r="D1699" s="32" t="s">
        <v>6984</v>
      </c>
      <c r="E1699" s="32" t="s">
        <v>6712</v>
      </c>
      <c r="F1699" s="10">
        <v>1</v>
      </c>
      <c r="G1699" s="8" t="s">
        <v>6266</v>
      </c>
      <c r="H1699" s="10">
        <v>44.4</v>
      </c>
      <c r="I1699" s="10">
        <f t="shared" si="28"/>
        <v>44.4</v>
      </c>
      <c r="J1699" s="10">
        <v>0</v>
      </c>
      <c r="K1699" s="8" t="s">
        <v>5087</v>
      </c>
      <c r="S1699"/>
    </row>
    <row r="1700" spans="1:19" ht="15" x14ac:dyDescent="0.25">
      <c r="A1700" s="8" t="s">
        <v>6071</v>
      </c>
      <c r="B1700" s="8" t="s">
        <v>6069</v>
      </c>
      <c r="C1700" s="8" t="s">
        <v>6713</v>
      </c>
      <c r="D1700" s="32" t="s">
        <v>6984</v>
      </c>
      <c r="E1700" s="32" t="s">
        <v>6713</v>
      </c>
      <c r="F1700" s="10">
        <v>1</v>
      </c>
      <c r="G1700" s="8" t="s">
        <v>6266</v>
      </c>
      <c r="H1700" s="10">
        <v>44.4</v>
      </c>
      <c r="I1700" s="10">
        <f t="shared" si="28"/>
        <v>44.4</v>
      </c>
      <c r="J1700" s="10">
        <v>0</v>
      </c>
      <c r="K1700" s="8" t="s">
        <v>5087</v>
      </c>
      <c r="S1700"/>
    </row>
    <row r="1701" spans="1:19" ht="15" x14ac:dyDescent="0.25">
      <c r="A1701" s="8" t="s">
        <v>6071</v>
      </c>
      <c r="B1701" s="8" t="s">
        <v>6069</v>
      </c>
      <c r="C1701" s="8" t="s">
        <v>6714</v>
      </c>
      <c r="D1701" s="32" t="s">
        <v>6984</v>
      </c>
      <c r="E1701" s="32" t="s">
        <v>6714</v>
      </c>
      <c r="F1701" s="10">
        <v>2</v>
      </c>
      <c r="G1701" s="8" t="s">
        <v>6266</v>
      </c>
      <c r="H1701" s="10">
        <v>44.4</v>
      </c>
      <c r="I1701" s="10">
        <f t="shared" si="28"/>
        <v>88.8</v>
      </c>
      <c r="J1701" s="10">
        <v>0</v>
      </c>
      <c r="K1701" s="8" t="s">
        <v>5087</v>
      </c>
      <c r="S1701"/>
    </row>
    <row r="1702" spans="1:19" ht="15" x14ac:dyDescent="0.25">
      <c r="A1702" s="8" t="s">
        <v>6071</v>
      </c>
      <c r="B1702" s="8" t="s">
        <v>6069</v>
      </c>
      <c r="C1702" s="8" t="s">
        <v>6715</v>
      </c>
      <c r="D1702" s="32" t="s">
        <v>6984</v>
      </c>
      <c r="E1702" s="32" t="s">
        <v>6715</v>
      </c>
      <c r="F1702" s="10">
        <v>1</v>
      </c>
      <c r="G1702" s="8" t="s">
        <v>6266</v>
      </c>
      <c r="H1702" s="10">
        <v>44.4</v>
      </c>
      <c r="I1702" s="10">
        <f t="shared" si="28"/>
        <v>44.4</v>
      </c>
      <c r="J1702" s="10">
        <v>0</v>
      </c>
      <c r="K1702" s="8" t="s">
        <v>5087</v>
      </c>
      <c r="S1702"/>
    </row>
    <row r="1703" spans="1:19" ht="15" x14ac:dyDescent="0.25">
      <c r="A1703" s="8" t="s">
        <v>6071</v>
      </c>
      <c r="B1703" s="8" t="s">
        <v>6069</v>
      </c>
      <c r="C1703" s="8" t="s">
        <v>6716</v>
      </c>
      <c r="D1703" s="32" t="s">
        <v>6984</v>
      </c>
      <c r="E1703" s="32" t="s">
        <v>6716</v>
      </c>
      <c r="F1703" s="10">
        <v>1</v>
      </c>
      <c r="G1703" s="8" t="s">
        <v>6266</v>
      </c>
      <c r="H1703" s="10">
        <v>44.4</v>
      </c>
      <c r="I1703" s="10">
        <f t="shared" si="28"/>
        <v>44.4</v>
      </c>
      <c r="J1703" s="10">
        <v>0</v>
      </c>
      <c r="K1703" s="8" t="s">
        <v>5087</v>
      </c>
      <c r="S1703"/>
    </row>
    <row r="1704" spans="1:19" ht="15" x14ac:dyDescent="0.25">
      <c r="A1704" s="8" t="s">
        <v>6071</v>
      </c>
      <c r="B1704" s="8" t="s">
        <v>6069</v>
      </c>
      <c r="C1704" s="8" t="s">
        <v>6717</v>
      </c>
      <c r="D1704" s="32" t="s">
        <v>6984</v>
      </c>
      <c r="E1704" s="32" t="s">
        <v>6717</v>
      </c>
      <c r="F1704" s="10">
        <v>1</v>
      </c>
      <c r="G1704" s="8" t="s">
        <v>6266</v>
      </c>
      <c r="H1704" s="10">
        <v>44.4</v>
      </c>
      <c r="I1704" s="10">
        <f t="shared" si="28"/>
        <v>44.4</v>
      </c>
      <c r="J1704" s="10">
        <v>0</v>
      </c>
      <c r="K1704" s="8" t="s">
        <v>5087</v>
      </c>
      <c r="S1704"/>
    </row>
    <row r="1705" spans="1:19" ht="15" x14ac:dyDescent="0.25">
      <c r="A1705" s="8" t="s">
        <v>6071</v>
      </c>
      <c r="B1705" s="8" t="s">
        <v>6069</v>
      </c>
      <c r="C1705" s="8" t="s">
        <v>6718</v>
      </c>
      <c r="D1705" s="32" t="s">
        <v>6984</v>
      </c>
      <c r="E1705" s="32" t="s">
        <v>6718</v>
      </c>
      <c r="F1705" s="10">
        <v>1</v>
      </c>
      <c r="G1705" s="8" t="s">
        <v>6266</v>
      </c>
      <c r="H1705" s="10">
        <v>40.4</v>
      </c>
      <c r="I1705" s="10">
        <f t="shared" si="28"/>
        <v>40.4</v>
      </c>
      <c r="J1705" s="10">
        <v>0</v>
      </c>
      <c r="K1705" s="8" t="s">
        <v>5087</v>
      </c>
      <c r="S1705"/>
    </row>
    <row r="1706" spans="1:19" ht="15" x14ac:dyDescent="0.25">
      <c r="A1706" s="8" t="s">
        <v>6071</v>
      </c>
      <c r="B1706" s="8" t="s">
        <v>6069</v>
      </c>
      <c r="C1706" s="8" t="s">
        <v>6719</v>
      </c>
      <c r="D1706" s="32" t="s">
        <v>6984</v>
      </c>
      <c r="E1706" s="32" t="s">
        <v>6719</v>
      </c>
      <c r="F1706" s="10">
        <v>1</v>
      </c>
      <c r="G1706" s="8" t="s">
        <v>6266</v>
      </c>
      <c r="H1706" s="10">
        <v>44.4</v>
      </c>
      <c r="I1706" s="10">
        <f t="shared" si="28"/>
        <v>44.4</v>
      </c>
      <c r="J1706" s="10">
        <v>0</v>
      </c>
      <c r="K1706" s="8" t="s">
        <v>5087</v>
      </c>
      <c r="S1706"/>
    </row>
    <row r="1707" spans="1:19" ht="15" x14ac:dyDescent="0.25">
      <c r="A1707" s="8" t="s">
        <v>6071</v>
      </c>
      <c r="B1707" s="8" t="s">
        <v>6069</v>
      </c>
      <c r="C1707" s="8" t="s">
        <v>6720</v>
      </c>
      <c r="D1707" s="32" t="s">
        <v>6984</v>
      </c>
      <c r="E1707" s="32" t="s">
        <v>6720</v>
      </c>
      <c r="F1707" s="10">
        <v>1</v>
      </c>
      <c r="G1707" s="8" t="s">
        <v>6266</v>
      </c>
      <c r="H1707" s="10">
        <v>44.4</v>
      </c>
      <c r="I1707" s="10">
        <f t="shared" si="28"/>
        <v>44.4</v>
      </c>
      <c r="J1707" s="10">
        <v>0</v>
      </c>
      <c r="K1707" s="8" t="s">
        <v>5087</v>
      </c>
      <c r="S1707"/>
    </row>
    <row r="1708" spans="1:19" ht="15" x14ac:dyDescent="0.25">
      <c r="A1708" s="8" t="s">
        <v>6071</v>
      </c>
      <c r="B1708" s="8" t="s">
        <v>6069</v>
      </c>
      <c r="C1708" s="8" t="s">
        <v>6721</v>
      </c>
      <c r="D1708" s="32" t="s">
        <v>6984</v>
      </c>
      <c r="E1708" s="32" t="s">
        <v>6721</v>
      </c>
      <c r="F1708" s="10">
        <v>1</v>
      </c>
      <c r="G1708" s="8" t="s">
        <v>6266</v>
      </c>
      <c r="H1708" s="10">
        <v>44.4</v>
      </c>
      <c r="I1708" s="10">
        <f t="shared" si="28"/>
        <v>44.4</v>
      </c>
      <c r="J1708" s="10">
        <v>0</v>
      </c>
      <c r="K1708" s="8" t="s">
        <v>5087</v>
      </c>
      <c r="S1708"/>
    </row>
    <row r="1709" spans="1:19" ht="15" x14ac:dyDescent="0.25">
      <c r="A1709" s="8" t="s">
        <v>6071</v>
      </c>
      <c r="B1709" s="8" t="s">
        <v>6069</v>
      </c>
      <c r="C1709" s="8" t="s">
        <v>6722</v>
      </c>
      <c r="D1709" s="32" t="s">
        <v>6984</v>
      </c>
      <c r="E1709" s="32" t="s">
        <v>6722</v>
      </c>
      <c r="F1709" s="10">
        <v>1</v>
      </c>
      <c r="G1709" s="8" t="s">
        <v>6266</v>
      </c>
      <c r="H1709" s="10">
        <v>44.4</v>
      </c>
      <c r="I1709" s="10">
        <f t="shared" si="28"/>
        <v>44.4</v>
      </c>
      <c r="J1709" s="10">
        <v>0</v>
      </c>
      <c r="K1709" s="8" t="s">
        <v>5087</v>
      </c>
      <c r="S1709"/>
    </row>
    <row r="1710" spans="1:19" ht="15" x14ac:dyDescent="0.25">
      <c r="A1710" s="8" t="s">
        <v>6071</v>
      </c>
      <c r="B1710" s="8" t="s">
        <v>6069</v>
      </c>
      <c r="C1710" s="8" t="s">
        <v>6723</v>
      </c>
      <c r="D1710" s="32" t="s">
        <v>6984</v>
      </c>
      <c r="E1710" s="32" t="s">
        <v>6723</v>
      </c>
      <c r="F1710" s="10">
        <v>1</v>
      </c>
      <c r="G1710" s="8" t="s">
        <v>6266</v>
      </c>
      <c r="H1710" s="10">
        <v>44.4</v>
      </c>
      <c r="I1710" s="10">
        <f t="shared" si="28"/>
        <v>44.4</v>
      </c>
      <c r="J1710" s="10">
        <v>0</v>
      </c>
      <c r="K1710" s="8" t="s">
        <v>5087</v>
      </c>
      <c r="S1710"/>
    </row>
    <row r="1711" spans="1:19" ht="15" x14ac:dyDescent="0.25">
      <c r="A1711" s="8" t="s">
        <v>6071</v>
      </c>
      <c r="B1711" s="8" t="s">
        <v>6069</v>
      </c>
      <c r="C1711" s="8" t="s">
        <v>6724</v>
      </c>
      <c r="D1711" s="32" t="s">
        <v>6984</v>
      </c>
      <c r="E1711" s="32" t="s">
        <v>6724</v>
      </c>
      <c r="F1711" s="10">
        <v>1</v>
      </c>
      <c r="G1711" s="8" t="s">
        <v>6266</v>
      </c>
      <c r="H1711" s="10">
        <v>40.4</v>
      </c>
      <c r="I1711" s="10">
        <f t="shared" si="28"/>
        <v>40.4</v>
      </c>
      <c r="J1711" s="10">
        <v>0</v>
      </c>
      <c r="K1711" s="8" t="s">
        <v>5087</v>
      </c>
      <c r="S1711"/>
    </row>
    <row r="1712" spans="1:19" ht="15" x14ac:dyDescent="0.25">
      <c r="A1712" s="8" t="s">
        <v>6071</v>
      </c>
      <c r="B1712" s="8" t="s">
        <v>6069</v>
      </c>
      <c r="C1712" s="8" t="s">
        <v>6725</v>
      </c>
      <c r="D1712" s="32" t="s">
        <v>6984</v>
      </c>
      <c r="E1712" s="32" t="s">
        <v>6725</v>
      </c>
      <c r="F1712" s="10">
        <v>1</v>
      </c>
      <c r="G1712" s="8" t="s">
        <v>6266</v>
      </c>
      <c r="H1712" s="10">
        <v>44.4</v>
      </c>
      <c r="I1712" s="10">
        <f t="shared" si="28"/>
        <v>44.4</v>
      </c>
      <c r="J1712" s="10">
        <v>0</v>
      </c>
      <c r="K1712" s="8" t="s">
        <v>5087</v>
      </c>
      <c r="S1712"/>
    </row>
    <row r="1713" spans="1:19" ht="15" x14ac:dyDescent="0.25">
      <c r="A1713" s="8" t="s">
        <v>6071</v>
      </c>
      <c r="B1713" s="8" t="s">
        <v>6069</v>
      </c>
      <c r="C1713" s="8" t="s">
        <v>6726</v>
      </c>
      <c r="D1713" s="32" t="s">
        <v>6984</v>
      </c>
      <c r="E1713" s="32" t="s">
        <v>6726</v>
      </c>
      <c r="F1713" s="10">
        <v>1</v>
      </c>
      <c r="G1713" s="8" t="s">
        <v>6266</v>
      </c>
      <c r="H1713" s="10">
        <v>44.4</v>
      </c>
      <c r="I1713" s="10">
        <f t="shared" si="28"/>
        <v>44.4</v>
      </c>
      <c r="J1713" s="10">
        <v>0</v>
      </c>
      <c r="K1713" s="8" t="s">
        <v>5087</v>
      </c>
      <c r="S1713"/>
    </row>
    <row r="1714" spans="1:19" ht="15" x14ac:dyDescent="0.25">
      <c r="A1714" s="8" t="s">
        <v>6068</v>
      </c>
      <c r="B1714" s="8" t="s">
        <v>6069</v>
      </c>
      <c r="C1714" s="8" t="s">
        <v>6727</v>
      </c>
      <c r="D1714" s="32" t="s">
        <v>6984</v>
      </c>
      <c r="E1714" s="32" t="s">
        <v>6727</v>
      </c>
      <c r="F1714" s="10">
        <v>1</v>
      </c>
      <c r="G1714" s="8" t="s">
        <v>6266</v>
      </c>
      <c r="H1714" s="10">
        <v>40.4</v>
      </c>
      <c r="I1714" s="10">
        <f t="shared" si="28"/>
        <v>40.4</v>
      </c>
      <c r="J1714" s="10">
        <v>0</v>
      </c>
      <c r="K1714" s="8" t="s">
        <v>5087</v>
      </c>
      <c r="S1714"/>
    </row>
    <row r="1715" spans="1:19" ht="15" x14ac:dyDescent="0.25">
      <c r="A1715" s="8" t="s">
        <v>6071</v>
      </c>
      <c r="B1715" s="8" t="s">
        <v>6069</v>
      </c>
      <c r="C1715" s="8" t="s">
        <v>6728</v>
      </c>
      <c r="D1715" s="32" t="s">
        <v>6984</v>
      </c>
      <c r="E1715" s="32" t="s">
        <v>6728</v>
      </c>
      <c r="F1715" s="10">
        <v>5</v>
      </c>
      <c r="G1715" s="8" t="s">
        <v>6266</v>
      </c>
      <c r="H1715" s="10">
        <v>44.4</v>
      </c>
      <c r="I1715" s="10">
        <f t="shared" si="28"/>
        <v>222</v>
      </c>
      <c r="J1715" s="10">
        <v>0</v>
      </c>
      <c r="K1715" s="8" t="s">
        <v>5087</v>
      </c>
      <c r="S1715"/>
    </row>
    <row r="1716" spans="1:19" ht="15" x14ac:dyDescent="0.25">
      <c r="A1716" s="8" t="s">
        <v>6071</v>
      </c>
      <c r="B1716" s="8" t="s">
        <v>6069</v>
      </c>
      <c r="C1716" s="8" t="s">
        <v>6729</v>
      </c>
      <c r="D1716" s="32" t="s">
        <v>6984</v>
      </c>
      <c r="E1716" s="32" t="s">
        <v>6729</v>
      </c>
      <c r="F1716" s="10">
        <v>2</v>
      </c>
      <c r="G1716" s="8" t="s">
        <v>6266</v>
      </c>
      <c r="H1716" s="10">
        <v>42.6</v>
      </c>
      <c r="I1716" s="10">
        <f t="shared" si="28"/>
        <v>85.2</v>
      </c>
      <c r="J1716" s="10">
        <v>0</v>
      </c>
      <c r="K1716" s="8" t="s">
        <v>5087</v>
      </c>
      <c r="S1716"/>
    </row>
    <row r="1717" spans="1:19" ht="15" x14ac:dyDescent="0.25">
      <c r="A1717" s="8" t="s">
        <v>6071</v>
      </c>
      <c r="B1717" s="8" t="s">
        <v>6069</v>
      </c>
      <c r="C1717" s="8" t="s">
        <v>6730</v>
      </c>
      <c r="D1717" s="32" t="s">
        <v>6984</v>
      </c>
      <c r="E1717" s="32" t="s">
        <v>6730</v>
      </c>
      <c r="F1717" s="10">
        <v>1</v>
      </c>
      <c r="G1717" s="8" t="s">
        <v>6266</v>
      </c>
      <c r="H1717" s="10">
        <v>44.4</v>
      </c>
      <c r="I1717" s="10">
        <f t="shared" si="28"/>
        <v>44.4</v>
      </c>
      <c r="J1717" s="10">
        <v>0</v>
      </c>
      <c r="K1717" s="8" t="s">
        <v>5087</v>
      </c>
      <c r="S1717"/>
    </row>
    <row r="1718" spans="1:19" ht="15" x14ac:dyDescent="0.25">
      <c r="A1718" s="8" t="s">
        <v>6068</v>
      </c>
      <c r="B1718" s="8" t="s">
        <v>6069</v>
      </c>
      <c r="C1718" s="8" t="s">
        <v>6731</v>
      </c>
      <c r="D1718" s="32" t="s">
        <v>6984</v>
      </c>
      <c r="E1718" s="32" t="s">
        <v>6731</v>
      </c>
      <c r="F1718" s="10">
        <v>1</v>
      </c>
      <c r="G1718" s="8" t="s">
        <v>6266</v>
      </c>
      <c r="H1718" s="10">
        <v>44.4</v>
      </c>
      <c r="I1718" s="10">
        <f t="shared" si="28"/>
        <v>44.4</v>
      </c>
      <c r="J1718" s="10">
        <v>0</v>
      </c>
      <c r="K1718" s="8" t="s">
        <v>5087</v>
      </c>
      <c r="S1718"/>
    </row>
    <row r="1719" spans="1:19" ht="15" x14ac:dyDescent="0.25">
      <c r="A1719" s="8" t="s">
        <v>6071</v>
      </c>
      <c r="B1719" s="8" t="s">
        <v>6069</v>
      </c>
      <c r="C1719" s="8" t="s">
        <v>6732</v>
      </c>
      <c r="D1719" s="32" t="s">
        <v>6984</v>
      </c>
      <c r="E1719" s="32" t="s">
        <v>6732</v>
      </c>
      <c r="F1719" s="10">
        <v>2</v>
      </c>
      <c r="G1719" s="8" t="s">
        <v>6266</v>
      </c>
      <c r="H1719" s="10">
        <v>35.25</v>
      </c>
      <c r="I1719" s="10">
        <f t="shared" si="28"/>
        <v>70.5</v>
      </c>
      <c r="J1719" s="10">
        <v>0</v>
      </c>
      <c r="K1719" s="8" t="s">
        <v>5087</v>
      </c>
      <c r="S1719"/>
    </row>
    <row r="1720" spans="1:19" ht="15" x14ac:dyDescent="0.25">
      <c r="A1720" s="8" t="s">
        <v>6071</v>
      </c>
      <c r="B1720" s="8" t="s">
        <v>6069</v>
      </c>
      <c r="C1720" s="8" t="s">
        <v>6733</v>
      </c>
      <c r="D1720" s="32" t="s">
        <v>6984</v>
      </c>
      <c r="E1720" s="32" t="s">
        <v>6733</v>
      </c>
      <c r="F1720" s="10">
        <v>2</v>
      </c>
      <c r="G1720" s="8" t="s">
        <v>6266</v>
      </c>
      <c r="H1720" s="10">
        <v>35.25</v>
      </c>
      <c r="I1720" s="10">
        <f t="shared" si="28"/>
        <v>70.5</v>
      </c>
      <c r="J1720" s="10">
        <v>0</v>
      </c>
      <c r="K1720" s="8" t="s">
        <v>5087</v>
      </c>
      <c r="S1720"/>
    </row>
    <row r="1721" spans="1:19" ht="15" x14ac:dyDescent="0.25">
      <c r="A1721" s="8" t="s">
        <v>6071</v>
      </c>
      <c r="B1721" s="8" t="s">
        <v>6069</v>
      </c>
      <c r="C1721" s="8" t="s">
        <v>6734</v>
      </c>
      <c r="D1721" s="32" t="s">
        <v>6984</v>
      </c>
      <c r="E1721" s="32" t="s">
        <v>6734</v>
      </c>
      <c r="F1721" s="10">
        <v>1</v>
      </c>
      <c r="G1721" s="8" t="s">
        <v>6266</v>
      </c>
      <c r="H1721" s="10">
        <v>35.299999999999997</v>
      </c>
      <c r="I1721" s="10">
        <f t="shared" si="28"/>
        <v>35.299999999999997</v>
      </c>
      <c r="J1721" s="10">
        <v>0</v>
      </c>
      <c r="K1721" s="8" t="s">
        <v>5087</v>
      </c>
      <c r="S1721"/>
    </row>
    <row r="1722" spans="1:19" ht="15" x14ac:dyDescent="0.25">
      <c r="A1722" s="8" t="s">
        <v>6071</v>
      </c>
      <c r="B1722" s="8" t="s">
        <v>6069</v>
      </c>
      <c r="C1722" s="8" t="s">
        <v>6735</v>
      </c>
      <c r="D1722" s="32" t="s">
        <v>6984</v>
      </c>
      <c r="E1722" s="32" t="s">
        <v>6735</v>
      </c>
      <c r="F1722" s="10">
        <v>1</v>
      </c>
      <c r="G1722" s="8" t="s">
        <v>6266</v>
      </c>
      <c r="H1722" s="10">
        <v>47.1</v>
      </c>
      <c r="I1722" s="10">
        <f t="shared" si="28"/>
        <v>47.1</v>
      </c>
      <c r="J1722" s="10">
        <v>0</v>
      </c>
      <c r="K1722" s="8" t="s">
        <v>5087</v>
      </c>
      <c r="S1722"/>
    </row>
    <row r="1723" spans="1:19" ht="15" x14ac:dyDescent="0.25">
      <c r="A1723" s="8" t="s">
        <v>6071</v>
      </c>
      <c r="B1723" s="8" t="s">
        <v>6069</v>
      </c>
      <c r="C1723" s="8" t="s">
        <v>6736</v>
      </c>
      <c r="D1723" s="32" t="s">
        <v>6984</v>
      </c>
      <c r="E1723" s="32" t="s">
        <v>6736</v>
      </c>
      <c r="F1723" s="10">
        <v>1</v>
      </c>
      <c r="G1723" s="8" t="s">
        <v>6266</v>
      </c>
      <c r="H1723" s="10">
        <v>31.7</v>
      </c>
      <c r="I1723" s="10">
        <f t="shared" si="28"/>
        <v>31.7</v>
      </c>
      <c r="J1723" s="10">
        <v>0</v>
      </c>
      <c r="K1723" s="8" t="s">
        <v>5087</v>
      </c>
      <c r="S1723"/>
    </row>
    <row r="1724" spans="1:19" ht="15" x14ac:dyDescent="0.25">
      <c r="A1724" s="8" t="s">
        <v>6068</v>
      </c>
      <c r="B1724" s="8" t="s">
        <v>6069</v>
      </c>
      <c r="C1724" s="8" t="s">
        <v>6737</v>
      </c>
      <c r="D1724" s="32" t="s">
        <v>6984</v>
      </c>
      <c r="E1724" s="32" t="s">
        <v>6737</v>
      </c>
      <c r="F1724" s="10">
        <v>1</v>
      </c>
      <c r="G1724" s="8" t="s">
        <v>6266</v>
      </c>
      <c r="H1724" s="10">
        <v>35.299999999999997</v>
      </c>
      <c r="I1724" s="10">
        <f t="shared" si="28"/>
        <v>35.299999999999997</v>
      </c>
      <c r="J1724" s="10">
        <v>0</v>
      </c>
      <c r="K1724" s="8" t="s">
        <v>5087</v>
      </c>
      <c r="S1724"/>
    </row>
    <row r="1725" spans="1:19" ht="15" x14ac:dyDescent="0.25">
      <c r="A1725" s="8" t="s">
        <v>6068</v>
      </c>
      <c r="B1725" s="8" t="s">
        <v>6069</v>
      </c>
      <c r="C1725" s="8" t="s">
        <v>6738</v>
      </c>
      <c r="D1725" s="32" t="s">
        <v>6984</v>
      </c>
      <c r="E1725" s="32" t="s">
        <v>6738</v>
      </c>
      <c r="F1725" s="10">
        <v>1</v>
      </c>
      <c r="G1725" s="8" t="s">
        <v>6266</v>
      </c>
      <c r="H1725" s="10">
        <v>35.299999999999997</v>
      </c>
      <c r="I1725" s="10">
        <f t="shared" si="28"/>
        <v>35.299999999999997</v>
      </c>
      <c r="J1725" s="10">
        <v>0</v>
      </c>
      <c r="K1725" s="8" t="s">
        <v>5087</v>
      </c>
      <c r="S1725"/>
    </row>
    <row r="1726" spans="1:19" ht="15" x14ac:dyDescent="0.25">
      <c r="A1726" s="8" t="s">
        <v>6071</v>
      </c>
      <c r="B1726" s="8" t="s">
        <v>6069</v>
      </c>
      <c r="C1726" s="8" t="s">
        <v>6739</v>
      </c>
      <c r="D1726" s="32" t="s">
        <v>6984</v>
      </c>
      <c r="E1726" s="32" t="s">
        <v>6739</v>
      </c>
      <c r="F1726" s="10">
        <v>1</v>
      </c>
      <c r="G1726" s="8" t="s">
        <v>6266</v>
      </c>
      <c r="H1726" s="10">
        <v>35.299999999999997</v>
      </c>
      <c r="I1726" s="10">
        <f t="shared" si="28"/>
        <v>35.299999999999997</v>
      </c>
      <c r="J1726" s="10">
        <v>0</v>
      </c>
      <c r="K1726" s="8" t="s">
        <v>5087</v>
      </c>
      <c r="S1726"/>
    </row>
    <row r="1727" spans="1:19" ht="15" x14ac:dyDescent="0.25">
      <c r="A1727" s="8" t="s">
        <v>6068</v>
      </c>
      <c r="B1727" s="8" t="s">
        <v>6069</v>
      </c>
      <c r="C1727" s="8" t="s">
        <v>6740</v>
      </c>
      <c r="D1727" s="32" t="s">
        <v>6984</v>
      </c>
      <c r="E1727" s="32" t="s">
        <v>6740</v>
      </c>
      <c r="F1727" s="10">
        <v>1</v>
      </c>
      <c r="G1727" s="8" t="s">
        <v>6266</v>
      </c>
      <c r="H1727" s="10">
        <v>44.4</v>
      </c>
      <c r="I1727" s="10">
        <f t="shared" si="28"/>
        <v>44.4</v>
      </c>
      <c r="J1727" s="10">
        <v>0</v>
      </c>
      <c r="K1727" s="8" t="s">
        <v>5087</v>
      </c>
      <c r="S1727"/>
    </row>
    <row r="1728" spans="1:19" ht="15" x14ac:dyDescent="0.25">
      <c r="A1728" s="8" t="s">
        <v>6068</v>
      </c>
      <c r="B1728" s="8" t="s">
        <v>6069</v>
      </c>
      <c r="C1728" s="8" t="s">
        <v>6741</v>
      </c>
      <c r="D1728" s="32" t="s">
        <v>6984</v>
      </c>
      <c r="E1728" s="32" t="s">
        <v>6741</v>
      </c>
      <c r="F1728" s="10">
        <v>1</v>
      </c>
      <c r="G1728" s="8" t="s">
        <v>6266</v>
      </c>
      <c r="H1728" s="10">
        <v>44.4</v>
      </c>
      <c r="I1728" s="10">
        <f t="shared" si="28"/>
        <v>44.4</v>
      </c>
      <c r="J1728" s="10">
        <v>0</v>
      </c>
      <c r="K1728" s="8" t="s">
        <v>5087</v>
      </c>
      <c r="S1728"/>
    </row>
    <row r="1729" spans="1:19" ht="15" x14ac:dyDescent="0.25">
      <c r="A1729" s="8" t="s">
        <v>6068</v>
      </c>
      <c r="B1729" s="8" t="s">
        <v>6069</v>
      </c>
      <c r="C1729" s="8" t="s">
        <v>6742</v>
      </c>
      <c r="D1729" s="32" t="s">
        <v>6984</v>
      </c>
      <c r="E1729" s="32" t="s">
        <v>6742</v>
      </c>
      <c r="F1729" s="10">
        <v>1</v>
      </c>
      <c r="G1729" s="8" t="s">
        <v>6266</v>
      </c>
      <c r="H1729" s="10">
        <v>44.4</v>
      </c>
      <c r="I1729" s="10">
        <f t="shared" si="28"/>
        <v>44.4</v>
      </c>
      <c r="J1729" s="10">
        <v>0</v>
      </c>
      <c r="K1729" s="8" t="s">
        <v>5087</v>
      </c>
      <c r="S1729"/>
    </row>
    <row r="1730" spans="1:19" ht="15" x14ac:dyDescent="0.25">
      <c r="A1730" s="8" t="s">
        <v>6068</v>
      </c>
      <c r="B1730" s="8" t="s">
        <v>6069</v>
      </c>
      <c r="C1730" s="8" t="s">
        <v>6743</v>
      </c>
      <c r="D1730" s="32" t="s">
        <v>6984</v>
      </c>
      <c r="E1730" s="32" t="s">
        <v>6743</v>
      </c>
      <c r="F1730" s="10">
        <v>1</v>
      </c>
      <c r="G1730" s="8" t="s">
        <v>6266</v>
      </c>
      <c r="H1730" s="10">
        <v>44.4</v>
      </c>
      <c r="I1730" s="10">
        <f t="shared" si="28"/>
        <v>44.4</v>
      </c>
      <c r="J1730" s="10">
        <v>0</v>
      </c>
      <c r="K1730" s="8" t="s">
        <v>5087</v>
      </c>
      <c r="S1730"/>
    </row>
    <row r="1731" spans="1:19" ht="15" x14ac:dyDescent="0.25">
      <c r="A1731" s="8" t="s">
        <v>6068</v>
      </c>
      <c r="B1731" s="8" t="s">
        <v>6069</v>
      </c>
      <c r="C1731" s="8" t="s">
        <v>6744</v>
      </c>
      <c r="D1731" s="32" t="s">
        <v>6984</v>
      </c>
      <c r="E1731" s="32" t="s">
        <v>6744</v>
      </c>
      <c r="F1731" s="10">
        <v>1</v>
      </c>
      <c r="G1731" s="8" t="s">
        <v>6266</v>
      </c>
      <c r="H1731" s="10">
        <v>44.4</v>
      </c>
      <c r="I1731" s="10">
        <f t="shared" si="28"/>
        <v>44.4</v>
      </c>
      <c r="J1731" s="10">
        <v>0</v>
      </c>
      <c r="K1731" s="8" t="s">
        <v>5087</v>
      </c>
      <c r="S1731"/>
    </row>
    <row r="1732" spans="1:19" ht="15" x14ac:dyDescent="0.25">
      <c r="A1732" s="8" t="s">
        <v>6068</v>
      </c>
      <c r="B1732" s="8" t="s">
        <v>6069</v>
      </c>
      <c r="C1732" s="8" t="s">
        <v>6745</v>
      </c>
      <c r="D1732" s="32" t="s">
        <v>6984</v>
      </c>
      <c r="E1732" s="32" t="s">
        <v>6745</v>
      </c>
      <c r="F1732" s="10">
        <v>1</v>
      </c>
      <c r="G1732" s="8" t="s">
        <v>6266</v>
      </c>
      <c r="H1732" s="10">
        <v>40.4</v>
      </c>
      <c r="I1732" s="10">
        <f t="shared" si="28"/>
        <v>40.4</v>
      </c>
      <c r="J1732" s="10">
        <v>0</v>
      </c>
      <c r="K1732" s="8" t="s">
        <v>5087</v>
      </c>
      <c r="S1732"/>
    </row>
    <row r="1733" spans="1:19" ht="15" x14ac:dyDescent="0.25">
      <c r="A1733" s="8" t="s">
        <v>6071</v>
      </c>
      <c r="B1733" s="8" t="s">
        <v>6069</v>
      </c>
      <c r="C1733" s="8" t="s">
        <v>6746</v>
      </c>
      <c r="D1733" s="32" t="s">
        <v>6984</v>
      </c>
      <c r="E1733" s="32" t="s">
        <v>6746</v>
      </c>
      <c r="F1733" s="10">
        <v>102</v>
      </c>
      <c r="G1733" s="8" t="s">
        <v>5832</v>
      </c>
      <c r="H1733" s="10">
        <v>3.3764705882352941</v>
      </c>
      <c r="I1733" s="10">
        <f t="shared" ref="I1733:I1796" si="29">F1733*H1733</f>
        <v>344.4</v>
      </c>
      <c r="J1733" s="10">
        <v>11.423999999999999</v>
      </c>
      <c r="K1733" s="8" t="s">
        <v>5833</v>
      </c>
      <c r="S1733"/>
    </row>
    <row r="1734" spans="1:19" ht="15" x14ac:dyDescent="0.25">
      <c r="A1734" s="8" t="s">
        <v>6068</v>
      </c>
      <c r="B1734" s="8" t="s">
        <v>6069</v>
      </c>
      <c r="C1734" s="8" t="s">
        <v>6747</v>
      </c>
      <c r="D1734" s="32" t="s">
        <v>6984</v>
      </c>
      <c r="E1734" s="32" t="s">
        <v>6747</v>
      </c>
      <c r="F1734" s="10">
        <v>12</v>
      </c>
      <c r="G1734" s="8" t="s">
        <v>5832</v>
      </c>
      <c r="H1734" s="10">
        <v>2.8083333333333336</v>
      </c>
      <c r="I1734" s="10">
        <f t="shared" si="29"/>
        <v>33.700000000000003</v>
      </c>
      <c r="J1734" s="10">
        <v>1.119</v>
      </c>
      <c r="K1734" s="8" t="s">
        <v>5833</v>
      </c>
      <c r="S1734"/>
    </row>
    <row r="1735" spans="1:19" ht="15" x14ac:dyDescent="0.25">
      <c r="A1735" s="8" t="s">
        <v>6068</v>
      </c>
      <c r="B1735" s="8" t="s">
        <v>6069</v>
      </c>
      <c r="C1735" s="8" t="s">
        <v>6748</v>
      </c>
      <c r="D1735" s="32" t="s">
        <v>6984</v>
      </c>
      <c r="E1735" s="32" t="s">
        <v>6748</v>
      </c>
      <c r="F1735" s="10">
        <v>8</v>
      </c>
      <c r="G1735" s="8" t="s">
        <v>5832</v>
      </c>
      <c r="H1735" s="10">
        <v>2.5874999999999999</v>
      </c>
      <c r="I1735" s="10">
        <f t="shared" si="29"/>
        <v>20.7</v>
      </c>
      <c r="J1735" s="10">
        <v>0.68799999999999994</v>
      </c>
      <c r="K1735" s="8" t="s">
        <v>5833</v>
      </c>
      <c r="S1735"/>
    </row>
    <row r="1736" spans="1:19" ht="15" x14ac:dyDescent="0.25">
      <c r="A1736" s="8" t="s">
        <v>6071</v>
      </c>
      <c r="B1736" s="8" t="s">
        <v>6069</v>
      </c>
      <c r="C1736" s="8" t="s">
        <v>6749</v>
      </c>
      <c r="D1736" s="32" t="s">
        <v>6984</v>
      </c>
      <c r="E1736" s="32" t="s">
        <v>6749</v>
      </c>
      <c r="F1736" s="10">
        <v>212</v>
      </c>
      <c r="G1736" s="8" t="s">
        <v>5832</v>
      </c>
      <c r="H1736" s="10">
        <v>3.5721698113207543</v>
      </c>
      <c r="I1736" s="10">
        <f t="shared" si="29"/>
        <v>757.3</v>
      </c>
      <c r="J1736" s="10">
        <v>25.122</v>
      </c>
      <c r="K1736" s="8" t="s">
        <v>5833</v>
      </c>
      <c r="S1736"/>
    </row>
    <row r="1737" spans="1:19" ht="15" x14ac:dyDescent="0.25">
      <c r="A1737" s="8" t="s">
        <v>6071</v>
      </c>
      <c r="B1737" s="8" t="s">
        <v>6069</v>
      </c>
      <c r="C1737" s="8" t="s">
        <v>6750</v>
      </c>
      <c r="D1737" s="32" t="s">
        <v>6984</v>
      </c>
      <c r="E1737" s="32" t="s">
        <v>6750</v>
      </c>
      <c r="F1737" s="10">
        <v>32</v>
      </c>
      <c r="G1737" s="8" t="s">
        <v>5832</v>
      </c>
      <c r="H1737" s="10">
        <v>2.85</v>
      </c>
      <c r="I1737" s="10">
        <f t="shared" si="29"/>
        <v>91.2</v>
      </c>
      <c r="J1737" s="10">
        <v>3.024</v>
      </c>
      <c r="K1737" s="8" t="s">
        <v>5833</v>
      </c>
      <c r="S1737"/>
    </row>
    <row r="1738" spans="1:19" ht="15" x14ac:dyDescent="0.25">
      <c r="A1738" s="8" t="s">
        <v>6071</v>
      </c>
      <c r="B1738" s="8" t="s">
        <v>6069</v>
      </c>
      <c r="C1738" s="8" t="s">
        <v>6751</v>
      </c>
      <c r="D1738" s="32" t="s">
        <v>6984</v>
      </c>
      <c r="E1738" s="32" t="s">
        <v>6751</v>
      </c>
      <c r="F1738" s="10">
        <v>42</v>
      </c>
      <c r="G1738" s="8" t="s">
        <v>5832</v>
      </c>
      <c r="H1738" s="10">
        <v>3.5047619047619043</v>
      </c>
      <c r="I1738" s="10">
        <f t="shared" si="29"/>
        <v>147.19999999999999</v>
      </c>
      <c r="J1738" s="10">
        <v>4.8825000000000003</v>
      </c>
      <c r="K1738" s="8" t="s">
        <v>5833</v>
      </c>
      <c r="S1738"/>
    </row>
    <row r="1739" spans="1:19" ht="15" x14ac:dyDescent="0.25">
      <c r="A1739" s="8" t="s">
        <v>6071</v>
      </c>
      <c r="B1739" s="8" t="s">
        <v>6069</v>
      </c>
      <c r="C1739" s="8" t="s">
        <v>6752</v>
      </c>
      <c r="D1739" s="32" t="s">
        <v>6984</v>
      </c>
      <c r="E1739" s="32" t="s">
        <v>6752</v>
      </c>
      <c r="F1739" s="10">
        <v>48</v>
      </c>
      <c r="G1739" s="8" t="s">
        <v>5832</v>
      </c>
      <c r="H1739" s="10">
        <v>3.5874999999999999</v>
      </c>
      <c r="I1739" s="10">
        <f t="shared" si="29"/>
        <v>172.2</v>
      </c>
      <c r="J1739" s="10">
        <v>5.7119999999999997</v>
      </c>
      <c r="K1739" s="8" t="s">
        <v>5833</v>
      </c>
      <c r="S1739"/>
    </row>
    <row r="1740" spans="1:19" ht="15" x14ac:dyDescent="0.25">
      <c r="A1740" s="8" t="s">
        <v>6068</v>
      </c>
      <c r="B1740" s="8" t="s">
        <v>6069</v>
      </c>
      <c r="C1740" s="8" t="s">
        <v>6753</v>
      </c>
      <c r="D1740" s="32" t="s">
        <v>6984</v>
      </c>
      <c r="E1740" s="32" t="s">
        <v>6753</v>
      </c>
      <c r="F1740" s="10">
        <v>8</v>
      </c>
      <c r="G1740" s="8" t="s">
        <v>5832</v>
      </c>
      <c r="H1740" s="10">
        <v>4.625</v>
      </c>
      <c r="I1740" s="10">
        <f t="shared" si="29"/>
        <v>37</v>
      </c>
      <c r="J1740" s="10">
        <v>1.2263999999999999</v>
      </c>
      <c r="K1740" s="8" t="s">
        <v>5833</v>
      </c>
      <c r="S1740"/>
    </row>
    <row r="1741" spans="1:19" ht="15" x14ac:dyDescent="0.25">
      <c r="A1741" s="8" t="s">
        <v>6068</v>
      </c>
      <c r="B1741" s="8" t="s">
        <v>6069</v>
      </c>
      <c r="C1741" s="8" t="s">
        <v>6754</v>
      </c>
      <c r="D1741" s="32" t="s">
        <v>6984</v>
      </c>
      <c r="E1741" s="32" t="s">
        <v>6754</v>
      </c>
      <c r="F1741" s="10">
        <v>8</v>
      </c>
      <c r="G1741" s="8" t="s">
        <v>5832</v>
      </c>
      <c r="H1741" s="10">
        <v>4.6875</v>
      </c>
      <c r="I1741" s="10">
        <f t="shared" si="29"/>
        <v>37.5</v>
      </c>
      <c r="J1741" s="10">
        <v>1.244</v>
      </c>
      <c r="K1741" s="8" t="s">
        <v>5833</v>
      </c>
      <c r="S1741"/>
    </row>
    <row r="1742" spans="1:19" ht="15" x14ac:dyDescent="0.25">
      <c r="A1742" s="8" t="s">
        <v>6071</v>
      </c>
      <c r="B1742" s="8" t="s">
        <v>6069</v>
      </c>
      <c r="C1742" s="8" t="s">
        <v>6755</v>
      </c>
      <c r="D1742" s="32" t="s">
        <v>6984</v>
      </c>
      <c r="E1742" s="32" t="s">
        <v>6755</v>
      </c>
      <c r="F1742" s="10">
        <v>18</v>
      </c>
      <c r="G1742" s="8" t="s">
        <v>5832</v>
      </c>
      <c r="H1742" s="10">
        <v>4.3777777777777773</v>
      </c>
      <c r="I1742" s="10">
        <f t="shared" si="29"/>
        <v>78.8</v>
      </c>
      <c r="J1742" s="10">
        <v>2.6126999999999998</v>
      </c>
      <c r="K1742" s="8" t="s">
        <v>5833</v>
      </c>
      <c r="S1742"/>
    </row>
    <row r="1743" spans="1:19" ht="15" x14ac:dyDescent="0.25">
      <c r="A1743" s="8" t="s">
        <v>6071</v>
      </c>
      <c r="B1743" s="8" t="s">
        <v>6069</v>
      </c>
      <c r="C1743" s="8" t="s">
        <v>6756</v>
      </c>
      <c r="D1743" s="32" t="s">
        <v>6984</v>
      </c>
      <c r="E1743" s="32" t="s">
        <v>6756</v>
      </c>
      <c r="F1743" s="10">
        <v>14</v>
      </c>
      <c r="G1743" s="8" t="s">
        <v>5832</v>
      </c>
      <c r="H1743" s="10">
        <v>4.55</v>
      </c>
      <c r="I1743" s="10">
        <f t="shared" si="29"/>
        <v>63.699999999999996</v>
      </c>
      <c r="J1743" s="10">
        <v>2.1147</v>
      </c>
      <c r="K1743" s="8" t="s">
        <v>5833</v>
      </c>
      <c r="S1743"/>
    </row>
    <row r="1744" spans="1:19" ht="15" x14ac:dyDescent="0.25">
      <c r="A1744" s="8" t="s">
        <v>6068</v>
      </c>
      <c r="B1744" s="8" t="s">
        <v>6069</v>
      </c>
      <c r="C1744" s="8" t="s">
        <v>6757</v>
      </c>
      <c r="D1744" s="32" t="s">
        <v>6984</v>
      </c>
      <c r="E1744" s="32" t="s">
        <v>6757</v>
      </c>
      <c r="F1744" s="10">
        <v>2</v>
      </c>
      <c r="G1744" s="8" t="s">
        <v>5832</v>
      </c>
      <c r="H1744" s="10">
        <v>4.3499999999999996</v>
      </c>
      <c r="I1744" s="10">
        <f t="shared" si="29"/>
        <v>8.6999999999999993</v>
      </c>
      <c r="J1744" s="10">
        <v>0.28820000000000001</v>
      </c>
      <c r="K1744" s="8" t="s">
        <v>5833</v>
      </c>
      <c r="S1744"/>
    </row>
    <row r="1745" spans="1:19" ht="15" x14ac:dyDescent="0.25">
      <c r="A1745" s="8" t="s">
        <v>6071</v>
      </c>
      <c r="B1745" s="8" t="s">
        <v>6069</v>
      </c>
      <c r="C1745" s="8" t="s">
        <v>6758</v>
      </c>
      <c r="D1745" s="32" t="s">
        <v>6984</v>
      </c>
      <c r="E1745" s="32" t="s">
        <v>6758</v>
      </c>
      <c r="F1745" s="10">
        <v>20</v>
      </c>
      <c r="G1745" s="8" t="s">
        <v>5832</v>
      </c>
      <c r="H1745" s="10">
        <v>4.4399999999999995</v>
      </c>
      <c r="I1745" s="10">
        <f t="shared" si="29"/>
        <v>88.799999999999983</v>
      </c>
      <c r="J1745" s="10">
        <v>2.9449999999999998</v>
      </c>
      <c r="K1745" s="8" t="s">
        <v>5833</v>
      </c>
      <c r="S1745"/>
    </row>
    <row r="1746" spans="1:19" ht="15" x14ac:dyDescent="0.25">
      <c r="A1746" s="8" t="s">
        <v>6068</v>
      </c>
      <c r="B1746" s="8" t="s">
        <v>6069</v>
      </c>
      <c r="C1746" s="8" t="s">
        <v>6759</v>
      </c>
      <c r="D1746" s="32" t="s">
        <v>5146</v>
      </c>
      <c r="E1746" s="32" t="s">
        <v>6759</v>
      </c>
      <c r="F1746" s="10">
        <v>682</v>
      </c>
      <c r="G1746" s="8" t="s">
        <v>6760</v>
      </c>
      <c r="J1746" s="10">
        <v>0</v>
      </c>
      <c r="K1746" s="8" t="s">
        <v>6760</v>
      </c>
      <c r="L1746" s="8" t="s">
        <v>32</v>
      </c>
      <c r="S1746"/>
    </row>
    <row r="1747" spans="1:19" ht="15" x14ac:dyDescent="0.25">
      <c r="A1747" s="8" t="s">
        <v>6068</v>
      </c>
      <c r="B1747" s="8" t="s">
        <v>6069</v>
      </c>
      <c r="C1747" s="8" t="s">
        <v>6761</v>
      </c>
      <c r="D1747" s="32" t="s">
        <v>5146</v>
      </c>
      <c r="E1747" s="32" t="s">
        <v>6761</v>
      </c>
      <c r="F1747" s="10">
        <v>1364</v>
      </c>
      <c r="G1747" s="8" t="s">
        <v>6762</v>
      </c>
      <c r="J1747" s="10">
        <v>0</v>
      </c>
      <c r="K1747" s="8" t="s">
        <v>6763</v>
      </c>
      <c r="L1747" s="8" t="s">
        <v>32</v>
      </c>
      <c r="S1747"/>
    </row>
    <row r="1748" spans="1:19" ht="15" x14ac:dyDescent="0.25">
      <c r="A1748" s="8" t="s">
        <v>6068</v>
      </c>
      <c r="B1748" s="8" t="s">
        <v>6069</v>
      </c>
      <c r="C1748" s="8" t="s">
        <v>6764</v>
      </c>
      <c r="D1748" s="32" t="s">
        <v>5146</v>
      </c>
      <c r="E1748" s="32" t="s">
        <v>6764</v>
      </c>
      <c r="F1748" s="10">
        <v>682</v>
      </c>
      <c r="G1748" s="8" t="s">
        <v>6765</v>
      </c>
      <c r="J1748" s="10">
        <v>0</v>
      </c>
      <c r="K1748" s="8" t="s">
        <v>6765</v>
      </c>
      <c r="L1748" s="8" t="s">
        <v>32</v>
      </c>
      <c r="S1748"/>
    </row>
    <row r="1749" spans="1:19" ht="15" x14ac:dyDescent="0.25">
      <c r="A1749" s="8" t="s">
        <v>6068</v>
      </c>
      <c r="B1749" s="8" t="s">
        <v>6069</v>
      </c>
      <c r="C1749" s="8" t="s">
        <v>6766</v>
      </c>
      <c r="D1749" s="32" t="s">
        <v>5146</v>
      </c>
      <c r="E1749" s="32" t="s">
        <v>6766</v>
      </c>
      <c r="F1749" s="10">
        <v>682</v>
      </c>
      <c r="G1749" s="8" t="s">
        <v>6767</v>
      </c>
      <c r="J1749" s="10">
        <v>0</v>
      </c>
      <c r="K1749" s="8" t="s">
        <v>6767</v>
      </c>
      <c r="L1749" s="8" t="s">
        <v>32</v>
      </c>
      <c r="S1749"/>
    </row>
    <row r="1750" spans="1:19" ht="15" x14ac:dyDescent="0.25">
      <c r="A1750" s="8" t="s">
        <v>6068</v>
      </c>
      <c r="B1750" s="8" t="s">
        <v>6069</v>
      </c>
      <c r="C1750" s="8" t="s">
        <v>6768</v>
      </c>
      <c r="D1750" s="32" t="s">
        <v>5895</v>
      </c>
      <c r="E1750" s="32" t="s">
        <v>6768</v>
      </c>
      <c r="F1750" s="10">
        <v>682</v>
      </c>
      <c r="G1750" s="8" t="s">
        <v>6769</v>
      </c>
      <c r="J1750" s="10">
        <v>0</v>
      </c>
      <c r="K1750" s="8" t="s">
        <v>6769</v>
      </c>
      <c r="L1750" s="8" t="s">
        <v>32</v>
      </c>
      <c r="S1750"/>
    </row>
    <row r="1751" spans="1:19" ht="15" x14ac:dyDescent="0.25">
      <c r="A1751" s="8" t="s">
        <v>6068</v>
      </c>
      <c r="B1751" s="8" t="s">
        <v>6069</v>
      </c>
      <c r="C1751" s="8" t="s">
        <v>6770</v>
      </c>
      <c r="D1751" s="32" t="s">
        <v>5146</v>
      </c>
      <c r="E1751" s="32" t="s">
        <v>6770</v>
      </c>
      <c r="F1751" s="10">
        <v>344</v>
      </c>
      <c r="G1751" s="8" t="s">
        <v>6771</v>
      </c>
      <c r="J1751" s="10">
        <v>0</v>
      </c>
      <c r="K1751" s="8" t="s">
        <v>6771</v>
      </c>
      <c r="L1751" s="8" t="s">
        <v>32</v>
      </c>
      <c r="S1751"/>
    </row>
    <row r="1752" spans="1:19" ht="15" x14ac:dyDescent="0.25">
      <c r="A1752" s="8" t="s">
        <v>6068</v>
      </c>
      <c r="B1752" s="8" t="s">
        <v>6069</v>
      </c>
      <c r="C1752" s="8" t="s">
        <v>6772</v>
      </c>
      <c r="D1752" s="32" t="s">
        <v>5146</v>
      </c>
      <c r="E1752" s="32" t="s">
        <v>6772</v>
      </c>
      <c r="F1752" s="10">
        <v>144</v>
      </c>
      <c r="G1752" s="8" t="s">
        <v>6771</v>
      </c>
      <c r="J1752" s="10">
        <v>0</v>
      </c>
      <c r="K1752" s="8" t="s">
        <v>6771</v>
      </c>
      <c r="L1752" s="8" t="s">
        <v>32</v>
      </c>
      <c r="S1752"/>
    </row>
    <row r="1753" spans="1:19" ht="15" x14ac:dyDescent="0.25">
      <c r="A1753" s="8" t="s">
        <v>6068</v>
      </c>
      <c r="B1753" s="8" t="s">
        <v>6069</v>
      </c>
      <c r="C1753" s="8" t="s">
        <v>6773</v>
      </c>
      <c r="D1753" s="32" t="s">
        <v>5146</v>
      </c>
      <c r="E1753" s="32" t="s">
        <v>6773</v>
      </c>
      <c r="F1753" s="10">
        <v>112</v>
      </c>
      <c r="G1753" s="8" t="s">
        <v>6771</v>
      </c>
      <c r="J1753" s="10">
        <v>0</v>
      </c>
      <c r="K1753" s="8" t="s">
        <v>6771</v>
      </c>
      <c r="L1753" s="8" t="s">
        <v>32</v>
      </c>
      <c r="S1753"/>
    </row>
    <row r="1754" spans="1:19" ht="15" x14ac:dyDescent="0.25">
      <c r="A1754" s="8" t="s">
        <v>6068</v>
      </c>
      <c r="B1754" s="8" t="s">
        <v>6069</v>
      </c>
      <c r="C1754" s="8" t="s">
        <v>6774</v>
      </c>
      <c r="D1754" s="32" t="s">
        <v>5146</v>
      </c>
      <c r="E1754" s="32" t="s">
        <v>6774</v>
      </c>
      <c r="F1754" s="10">
        <v>120</v>
      </c>
      <c r="G1754" s="8" t="s">
        <v>6771</v>
      </c>
      <c r="J1754" s="10">
        <v>0</v>
      </c>
      <c r="K1754" s="8" t="s">
        <v>6771</v>
      </c>
      <c r="L1754" s="8" t="s">
        <v>32</v>
      </c>
      <c r="S1754"/>
    </row>
    <row r="1755" spans="1:19" ht="15" x14ac:dyDescent="0.25">
      <c r="A1755" s="8" t="s">
        <v>6068</v>
      </c>
      <c r="B1755" s="8" t="s">
        <v>6069</v>
      </c>
      <c r="C1755" s="8" t="s">
        <v>6775</v>
      </c>
      <c r="D1755" s="32" t="s">
        <v>5146</v>
      </c>
      <c r="E1755" s="32" t="s">
        <v>6775</v>
      </c>
      <c r="F1755" s="10">
        <v>1960</v>
      </c>
      <c r="G1755" s="8" t="s">
        <v>6776</v>
      </c>
      <c r="J1755" s="10">
        <v>0</v>
      </c>
      <c r="K1755" s="8" t="s">
        <v>6776</v>
      </c>
      <c r="L1755" s="8" t="s">
        <v>32</v>
      </c>
      <c r="S1755"/>
    </row>
    <row r="1756" spans="1:19" ht="15" x14ac:dyDescent="0.25">
      <c r="A1756" s="8" t="s">
        <v>6068</v>
      </c>
      <c r="B1756" s="8" t="s">
        <v>6069</v>
      </c>
      <c r="C1756" s="8" t="s">
        <v>6777</v>
      </c>
      <c r="D1756" s="32" t="s">
        <v>5146</v>
      </c>
      <c r="E1756" s="32" t="s">
        <v>6777</v>
      </c>
      <c r="F1756" s="10">
        <v>980</v>
      </c>
      <c r="G1756" s="8" t="s">
        <v>6778</v>
      </c>
      <c r="J1756" s="10">
        <v>0</v>
      </c>
      <c r="K1756" s="8" t="s">
        <v>6778</v>
      </c>
      <c r="L1756" s="8" t="s">
        <v>32</v>
      </c>
      <c r="S1756"/>
    </row>
    <row r="1757" spans="1:19" ht="15" x14ac:dyDescent="0.25">
      <c r="A1757" s="8" t="s">
        <v>6068</v>
      </c>
      <c r="B1757" s="8" t="s">
        <v>6069</v>
      </c>
      <c r="C1757" s="8" t="s">
        <v>6779</v>
      </c>
      <c r="D1757" s="32" t="s">
        <v>5146</v>
      </c>
      <c r="E1757" s="32" t="s">
        <v>6779</v>
      </c>
      <c r="F1757" s="10">
        <v>144</v>
      </c>
      <c r="G1757" s="8" t="s">
        <v>6776</v>
      </c>
      <c r="J1757" s="10">
        <v>0</v>
      </c>
      <c r="K1757" s="8" t="s">
        <v>6776</v>
      </c>
      <c r="L1757" s="8" t="s">
        <v>32</v>
      </c>
      <c r="S1757"/>
    </row>
    <row r="1758" spans="1:19" ht="15" x14ac:dyDescent="0.25">
      <c r="A1758" s="8" t="s">
        <v>6068</v>
      </c>
      <c r="B1758" s="8" t="s">
        <v>6069</v>
      </c>
      <c r="C1758" s="8" t="s">
        <v>6780</v>
      </c>
      <c r="D1758" s="32" t="s">
        <v>5146</v>
      </c>
      <c r="E1758" s="32" t="s">
        <v>6780</v>
      </c>
      <c r="F1758" s="10">
        <v>72</v>
      </c>
      <c r="G1758" s="8" t="s">
        <v>6778</v>
      </c>
      <c r="J1758" s="10">
        <v>0</v>
      </c>
      <c r="K1758" s="8" t="s">
        <v>6778</v>
      </c>
      <c r="L1758" s="8" t="s">
        <v>32</v>
      </c>
      <c r="S1758"/>
    </row>
    <row r="1759" spans="1:19" ht="15" x14ac:dyDescent="0.25">
      <c r="A1759" s="8" t="s">
        <v>6071</v>
      </c>
      <c r="B1759" s="8" t="s">
        <v>6069</v>
      </c>
      <c r="C1759" s="8" t="s">
        <v>6781</v>
      </c>
      <c r="D1759" s="32" t="s">
        <v>6984</v>
      </c>
      <c r="E1759" s="32" t="s">
        <v>6781</v>
      </c>
      <c r="F1759" s="10">
        <v>4</v>
      </c>
      <c r="G1759" s="8" t="s">
        <v>6782</v>
      </c>
      <c r="H1759" s="10">
        <v>959.92499999999995</v>
      </c>
      <c r="I1759" s="10">
        <f t="shared" si="29"/>
        <v>3839.7</v>
      </c>
      <c r="J1759" s="10">
        <v>96.838675791520004</v>
      </c>
      <c r="K1759" s="8" t="s">
        <v>6783</v>
      </c>
      <c r="S1759"/>
    </row>
    <row r="1760" spans="1:19" ht="15" x14ac:dyDescent="0.25">
      <c r="A1760" s="8" t="s">
        <v>6071</v>
      </c>
      <c r="B1760" s="8" t="s">
        <v>6069</v>
      </c>
      <c r="C1760" s="8" t="s">
        <v>6784</v>
      </c>
      <c r="D1760" s="32" t="s">
        <v>6984</v>
      </c>
      <c r="E1760" s="32" t="s">
        <v>6784</v>
      </c>
      <c r="F1760" s="10">
        <v>1</v>
      </c>
      <c r="G1760" s="8" t="s">
        <v>6782</v>
      </c>
      <c r="H1760" s="10">
        <v>1058.5</v>
      </c>
      <c r="I1760" s="10">
        <f t="shared" si="29"/>
        <v>1058.5</v>
      </c>
      <c r="J1760" s="10">
        <v>26.620970205780001</v>
      </c>
      <c r="K1760" s="8" t="s">
        <v>6783</v>
      </c>
      <c r="S1760"/>
    </row>
    <row r="1761" spans="1:19" ht="15" x14ac:dyDescent="0.25">
      <c r="A1761" s="8" t="s">
        <v>6071</v>
      </c>
      <c r="B1761" s="8" t="s">
        <v>6069</v>
      </c>
      <c r="C1761" s="8" t="s">
        <v>6785</v>
      </c>
      <c r="D1761" s="32" t="s">
        <v>6984</v>
      </c>
      <c r="E1761" s="32" t="s">
        <v>6785</v>
      </c>
      <c r="F1761" s="10">
        <v>1</v>
      </c>
      <c r="G1761" s="8" t="s">
        <v>6782</v>
      </c>
      <c r="H1761" s="10">
        <v>1003.8</v>
      </c>
      <c r="I1761" s="10">
        <f t="shared" si="29"/>
        <v>1003.8</v>
      </c>
      <c r="J1761" s="10">
        <v>25.42959725955</v>
      </c>
      <c r="K1761" s="8" t="s">
        <v>6783</v>
      </c>
      <c r="S1761"/>
    </row>
    <row r="1762" spans="1:19" ht="15" x14ac:dyDescent="0.25">
      <c r="A1762" s="8" t="s">
        <v>6071</v>
      </c>
      <c r="B1762" s="8" t="s">
        <v>6069</v>
      </c>
      <c r="C1762" s="8" t="s">
        <v>6786</v>
      </c>
      <c r="D1762" s="32" t="s">
        <v>6984</v>
      </c>
      <c r="E1762" s="32" t="s">
        <v>6786</v>
      </c>
      <c r="F1762" s="10">
        <v>1</v>
      </c>
      <c r="G1762" s="8" t="s">
        <v>6782</v>
      </c>
      <c r="H1762" s="10">
        <v>1102.9000000000001</v>
      </c>
      <c r="I1762" s="10">
        <f t="shared" si="29"/>
        <v>1102.9000000000001</v>
      </c>
      <c r="J1762" s="10">
        <v>27.8818663381</v>
      </c>
      <c r="K1762" s="8" t="s">
        <v>6783</v>
      </c>
      <c r="S1762"/>
    </row>
    <row r="1763" spans="1:19" ht="15" x14ac:dyDescent="0.25">
      <c r="A1763" s="8" t="s">
        <v>6071</v>
      </c>
      <c r="B1763" s="8" t="s">
        <v>6069</v>
      </c>
      <c r="C1763" s="8" t="s">
        <v>6787</v>
      </c>
      <c r="D1763" s="32" t="s">
        <v>6984</v>
      </c>
      <c r="E1763" s="32" t="s">
        <v>6787</v>
      </c>
      <c r="F1763" s="10">
        <v>1</v>
      </c>
      <c r="G1763" s="8" t="s">
        <v>16</v>
      </c>
      <c r="H1763" s="10">
        <v>162.5</v>
      </c>
      <c r="I1763" s="10">
        <f t="shared" si="29"/>
        <v>162.5</v>
      </c>
      <c r="J1763" s="10">
        <v>5.93173220098</v>
      </c>
      <c r="K1763" s="8" t="s">
        <v>6788</v>
      </c>
      <c r="S1763"/>
    </row>
    <row r="1764" spans="1:19" ht="15" x14ac:dyDescent="0.25">
      <c r="A1764" s="8" t="s">
        <v>6071</v>
      </c>
      <c r="B1764" s="8" t="s">
        <v>6069</v>
      </c>
      <c r="C1764" s="8" t="s">
        <v>6789</v>
      </c>
      <c r="D1764" s="32" t="s">
        <v>6984</v>
      </c>
      <c r="E1764" s="32" t="s">
        <v>6789</v>
      </c>
      <c r="F1764" s="10">
        <v>1</v>
      </c>
      <c r="G1764" s="8" t="s">
        <v>16</v>
      </c>
      <c r="H1764" s="10">
        <v>140.5</v>
      </c>
      <c r="I1764" s="10">
        <f t="shared" si="29"/>
        <v>140.5</v>
      </c>
      <c r="J1764" s="10">
        <v>5.0790511177199997</v>
      </c>
      <c r="K1764" s="8" t="s">
        <v>6788</v>
      </c>
      <c r="S1764"/>
    </row>
    <row r="1765" spans="1:19" ht="15" x14ac:dyDescent="0.25">
      <c r="A1765" s="8" t="s">
        <v>6071</v>
      </c>
      <c r="B1765" s="8" t="s">
        <v>6069</v>
      </c>
      <c r="C1765" s="8" t="s">
        <v>6790</v>
      </c>
      <c r="D1765" s="32" t="s">
        <v>6984</v>
      </c>
      <c r="E1765" s="32" t="s">
        <v>6790</v>
      </c>
      <c r="F1765" s="10">
        <v>1</v>
      </c>
      <c r="G1765" s="8" t="s">
        <v>16</v>
      </c>
      <c r="H1765" s="10">
        <v>323.8</v>
      </c>
      <c r="I1765" s="10">
        <f t="shared" si="29"/>
        <v>323.8</v>
      </c>
      <c r="J1765" s="10">
        <v>11.46872804645</v>
      </c>
      <c r="K1765" s="8" t="s">
        <v>6788</v>
      </c>
      <c r="S1765"/>
    </row>
    <row r="1766" spans="1:19" ht="15" x14ac:dyDescent="0.25">
      <c r="A1766" s="8" t="s">
        <v>6068</v>
      </c>
      <c r="B1766" s="8" t="s">
        <v>6069</v>
      </c>
      <c r="C1766" s="8" t="s">
        <v>6791</v>
      </c>
      <c r="D1766" s="32" t="s">
        <v>6984</v>
      </c>
      <c r="E1766" s="32" t="s">
        <v>6791</v>
      </c>
      <c r="F1766" s="10">
        <v>1</v>
      </c>
      <c r="G1766" s="8" t="s">
        <v>6792</v>
      </c>
      <c r="H1766" s="10">
        <v>446.7</v>
      </c>
      <c r="I1766" s="10">
        <f t="shared" si="29"/>
        <v>446.7</v>
      </c>
      <c r="J1766" s="10">
        <v>12.83458410876</v>
      </c>
      <c r="K1766" s="8" t="s">
        <v>5824</v>
      </c>
      <c r="S1766"/>
    </row>
    <row r="1767" spans="1:19" ht="15" x14ac:dyDescent="0.25">
      <c r="A1767" s="8" t="s">
        <v>6071</v>
      </c>
      <c r="B1767" s="8" t="s">
        <v>6069</v>
      </c>
      <c r="C1767" s="8" t="s">
        <v>6793</v>
      </c>
      <c r="D1767" s="32" t="s">
        <v>6984</v>
      </c>
      <c r="E1767" s="32" t="s">
        <v>6793</v>
      </c>
      <c r="F1767" s="10">
        <v>1</v>
      </c>
      <c r="G1767" s="8" t="s">
        <v>6792</v>
      </c>
      <c r="H1767" s="10">
        <v>393.5</v>
      </c>
      <c r="I1767" s="10">
        <f t="shared" si="29"/>
        <v>393.5</v>
      </c>
      <c r="J1767" s="10">
        <v>11.249825039679999</v>
      </c>
      <c r="K1767" s="8" t="s">
        <v>5824</v>
      </c>
      <c r="S1767"/>
    </row>
    <row r="1768" spans="1:19" ht="15" x14ac:dyDescent="0.25">
      <c r="A1768" s="8" t="s">
        <v>6068</v>
      </c>
      <c r="B1768" s="8" t="s">
        <v>6069</v>
      </c>
      <c r="C1768" s="8" t="s">
        <v>6794</v>
      </c>
      <c r="D1768" s="32" t="s">
        <v>6984</v>
      </c>
      <c r="E1768" s="32" t="s">
        <v>6794</v>
      </c>
      <c r="F1768" s="10">
        <v>1</v>
      </c>
      <c r="G1768" s="8" t="s">
        <v>6792</v>
      </c>
      <c r="H1768" s="10">
        <v>449.2</v>
      </c>
      <c r="I1768" s="10">
        <f t="shared" si="29"/>
        <v>449.2</v>
      </c>
      <c r="J1768" s="10">
        <v>12.86961816576</v>
      </c>
      <c r="K1768" s="8" t="s">
        <v>5824</v>
      </c>
      <c r="S1768"/>
    </row>
    <row r="1769" spans="1:19" ht="15" x14ac:dyDescent="0.25">
      <c r="A1769" s="8" t="s">
        <v>6071</v>
      </c>
      <c r="B1769" s="8" t="s">
        <v>6069</v>
      </c>
      <c r="C1769" s="8" t="s">
        <v>6795</v>
      </c>
      <c r="D1769" s="32" t="s">
        <v>6984</v>
      </c>
      <c r="E1769" s="32" t="s">
        <v>6795</v>
      </c>
      <c r="F1769" s="10">
        <v>2</v>
      </c>
      <c r="G1769" s="8" t="s">
        <v>6792</v>
      </c>
      <c r="H1769" s="10">
        <v>404.25</v>
      </c>
      <c r="I1769" s="10">
        <f t="shared" si="29"/>
        <v>808.5</v>
      </c>
      <c r="J1769" s="10">
        <v>22.953935191039999</v>
      </c>
      <c r="K1769" s="8" t="s">
        <v>5824</v>
      </c>
      <c r="S1769"/>
    </row>
    <row r="1770" spans="1:19" ht="15" x14ac:dyDescent="0.25">
      <c r="A1770" s="8" t="s">
        <v>6068</v>
      </c>
      <c r="B1770" s="8" t="s">
        <v>6069</v>
      </c>
      <c r="C1770" s="8" t="s">
        <v>6796</v>
      </c>
      <c r="D1770" s="32" t="s">
        <v>6984</v>
      </c>
      <c r="E1770" s="32" t="s">
        <v>6796</v>
      </c>
      <c r="F1770" s="10">
        <v>2</v>
      </c>
      <c r="G1770" s="8" t="s">
        <v>6792</v>
      </c>
      <c r="H1770" s="10">
        <v>453</v>
      </c>
      <c r="I1770" s="10">
        <f t="shared" si="29"/>
        <v>906</v>
      </c>
      <c r="J1770" s="10">
        <v>25.65362558004</v>
      </c>
      <c r="K1770" s="8" t="s">
        <v>5824</v>
      </c>
      <c r="S1770"/>
    </row>
    <row r="1771" spans="1:19" ht="15" x14ac:dyDescent="0.25">
      <c r="A1771" s="8" t="s">
        <v>6068</v>
      </c>
      <c r="B1771" s="8" t="s">
        <v>6069</v>
      </c>
      <c r="C1771" s="8" t="s">
        <v>6797</v>
      </c>
      <c r="D1771" s="32" t="s">
        <v>6984</v>
      </c>
      <c r="E1771" s="32" t="s">
        <v>6797</v>
      </c>
      <c r="F1771" s="10">
        <v>4</v>
      </c>
      <c r="G1771" s="8" t="s">
        <v>6792</v>
      </c>
      <c r="H1771" s="10">
        <v>360.67500000000001</v>
      </c>
      <c r="I1771" s="10">
        <f t="shared" si="29"/>
        <v>1442.7</v>
      </c>
      <c r="J1771" s="10">
        <v>43.568519859200002</v>
      </c>
      <c r="K1771" s="8" t="s">
        <v>4781</v>
      </c>
      <c r="S1771"/>
    </row>
    <row r="1772" spans="1:19" ht="15" x14ac:dyDescent="0.25">
      <c r="A1772" s="8" t="s">
        <v>6068</v>
      </c>
      <c r="B1772" s="8" t="s">
        <v>6069</v>
      </c>
      <c r="C1772" s="8" t="s">
        <v>6798</v>
      </c>
      <c r="D1772" s="32" t="s">
        <v>6984</v>
      </c>
      <c r="E1772" s="32" t="s">
        <v>6798</v>
      </c>
      <c r="F1772" s="10">
        <v>1</v>
      </c>
      <c r="G1772" s="8" t="s">
        <v>6792</v>
      </c>
      <c r="H1772" s="10">
        <v>401.9</v>
      </c>
      <c r="I1772" s="10">
        <f t="shared" si="29"/>
        <v>401.9</v>
      </c>
      <c r="J1772" s="10">
        <v>12.184601865399999</v>
      </c>
      <c r="K1772" s="8" t="s">
        <v>4781</v>
      </c>
      <c r="S1772"/>
    </row>
    <row r="1773" spans="1:19" ht="15" x14ac:dyDescent="0.25">
      <c r="A1773" s="8" t="s">
        <v>6068</v>
      </c>
      <c r="B1773" s="8" t="s">
        <v>6069</v>
      </c>
      <c r="C1773" s="8" t="s">
        <v>6799</v>
      </c>
      <c r="D1773" s="32" t="s">
        <v>6984</v>
      </c>
      <c r="E1773" s="32" t="s">
        <v>6799</v>
      </c>
      <c r="F1773" s="10">
        <v>1</v>
      </c>
      <c r="G1773" s="8" t="s">
        <v>6792</v>
      </c>
      <c r="H1773" s="10">
        <v>401.6</v>
      </c>
      <c r="I1773" s="10">
        <f t="shared" si="29"/>
        <v>401.6</v>
      </c>
      <c r="J1773" s="10">
        <v>12.179370133580001</v>
      </c>
      <c r="K1773" s="8" t="s">
        <v>4781</v>
      </c>
      <c r="S1773"/>
    </row>
    <row r="1774" spans="1:19" ht="15" x14ac:dyDescent="0.25">
      <c r="A1774" s="8" t="s">
        <v>6071</v>
      </c>
      <c r="B1774" s="8" t="s">
        <v>6069</v>
      </c>
      <c r="C1774" s="8" t="s">
        <v>6800</v>
      </c>
      <c r="D1774" s="32" t="s">
        <v>6984</v>
      </c>
      <c r="E1774" s="32" t="s">
        <v>6800</v>
      </c>
      <c r="F1774" s="10">
        <v>3</v>
      </c>
      <c r="G1774" s="8" t="s">
        <v>6792</v>
      </c>
      <c r="H1774" s="10">
        <v>344.7</v>
      </c>
      <c r="I1774" s="10">
        <f t="shared" si="29"/>
        <v>1034.0999999999999</v>
      </c>
      <c r="J1774" s="10">
        <v>31.80791563056</v>
      </c>
      <c r="K1774" s="8" t="s">
        <v>4781</v>
      </c>
      <c r="S1774"/>
    </row>
    <row r="1775" spans="1:19" ht="15" x14ac:dyDescent="0.25">
      <c r="A1775" s="8" t="s">
        <v>6071</v>
      </c>
      <c r="B1775" s="8" t="s">
        <v>6069</v>
      </c>
      <c r="C1775" s="8" t="s">
        <v>6801</v>
      </c>
      <c r="D1775" s="32" t="s">
        <v>6984</v>
      </c>
      <c r="E1775" s="32" t="s">
        <v>6801</v>
      </c>
      <c r="F1775" s="10">
        <v>1</v>
      </c>
      <c r="G1775" s="8" t="s">
        <v>6792</v>
      </c>
      <c r="H1775" s="10">
        <v>342.6</v>
      </c>
      <c r="I1775" s="10">
        <f t="shared" si="29"/>
        <v>342.6</v>
      </c>
      <c r="J1775" s="10">
        <v>10.53681754352</v>
      </c>
      <c r="K1775" s="8" t="s">
        <v>4781</v>
      </c>
      <c r="S1775"/>
    </row>
    <row r="1776" spans="1:19" ht="15" x14ac:dyDescent="0.25">
      <c r="A1776" s="8" t="s">
        <v>6068</v>
      </c>
      <c r="B1776" s="8" t="s">
        <v>6069</v>
      </c>
      <c r="C1776" s="8" t="s">
        <v>6802</v>
      </c>
      <c r="D1776" s="32" t="s">
        <v>6984</v>
      </c>
      <c r="E1776" s="32" t="s">
        <v>6802</v>
      </c>
      <c r="F1776" s="10">
        <v>1</v>
      </c>
      <c r="G1776" s="8" t="s">
        <v>6792</v>
      </c>
      <c r="H1776" s="10">
        <v>388.2</v>
      </c>
      <c r="I1776" s="10">
        <f t="shared" si="29"/>
        <v>388.2</v>
      </c>
      <c r="J1776" s="10">
        <v>11.969080376000001</v>
      </c>
      <c r="K1776" s="8" t="s">
        <v>4781</v>
      </c>
      <c r="S1776"/>
    </row>
    <row r="1777" spans="1:19" ht="15" x14ac:dyDescent="0.25">
      <c r="A1777" s="8" t="s">
        <v>6068</v>
      </c>
      <c r="B1777" s="8" t="s">
        <v>6069</v>
      </c>
      <c r="C1777" s="8" t="s">
        <v>6803</v>
      </c>
      <c r="D1777" s="32" t="s">
        <v>6984</v>
      </c>
      <c r="E1777" s="32" t="s">
        <v>6803</v>
      </c>
      <c r="F1777" s="10">
        <v>1</v>
      </c>
      <c r="G1777" s="8" t="s">
        <v>6792</v>
      </c>
      <c r="H1777" s="10">
        <v>386</v>
      </c>
      <c r="I1777" s="10">
        <f t="shared" si="29"/>
        <v>386</v>
      </c>
      <c r="J1777" s="10">
        <v>11.897731375999999</v>
      </c>
      <c r="K1777" s="8" t="s">
        <v>4781</v>
      </c>
      <c r="S1777"/>
    </row>
    <row r="1778" spans="1:19" ht="15" x14ac:dyDescent="0.25">
      <c r="A1778" s="8" t="s">
        <v>5622</v>
      </c>
      <c r="B1778" s="8" t="s">
        <v>4847</v>
      </c>
      <c r="C1778" s="8" t="s">
        <v>6804</v>
      </c>
      <c r="D1778" s="32" t="s">
        <v>5146</v>
      </c>
      <c r="E1778" s="32" t="s">
        <v>6804</v>
      </c>
      <c r="F1778" s="10">
        <v>960</v>
      </c>
      <c r="G1778" s="8" t="s">
        <v>6776</v>
      </c>
      <c r="J1778" s="10">
        <v>0</v>
      </c>
      <c r="K1778" s="8" t="s">
        <v>6776</v>
      </c>
      <c r="L1778" s="8" t="s">
        <v>32</v>
      </c>
      <c r="S1778"/>
    </row>
    <row r="1779" spans="1:19" ht="15" x14ac:dyDescent="0.25">
      <c r="A1779" s="8" t="s">
        <v>5622</v>
      </c>
      <c r="B1779" s="8" t="s">
        <v>4847</v>
      </c>
      <c r="C1779" s="8" t="s">
        <v>6805</v>
      </c>
      <c r="D1779" s="32" t="s">
        <v>5146</v>
      </c>
      <c r="E1779" s="32" t="s">
        <v>6805</v>
      </c>
      <c r="F1779" s="10">
        <v>480</v>
      </c>
      <c r="G1779" s="8" t="s">
        <v>6778</v>
      </c>
      <c r="J1779" s="10">
        <v>0</v>
      </c>
      <c r="K1779" s="8" t="s">
        <v>6778</v>
      </c>
      <c r="L1779" s="8" t="s">
        <v>32</v>
      </c>
      <c r="S1779"/>
    </row>
    <row r="1780" spans="1:19" ht="15" x14ac:dyDescent="0.25">
      <c r="A1780" s="8" t="s">
        <v>5622</v>
      </c>
      <c r="B1780" s="8" t="s">
        <v>4847</v>
      </c>
      <c r="C1780" s="8" t="s">
        <v>6806</v>
      </c>
      <c r="D1780" s="32" t="s">
        <v>5146</v>
      </c>
      <c r="E1780" s="32" t="s">
        <v>6806</v>
      </c>
      <c r="F1780" s="10">
        <v>548</v>
      </c>
      <c r="G1780" s="8" t="s">
        <v>6776</v>
      </c>
      <c r="J1780" s="10">
        <v>0</v>
      </c>
      <c r="K1780" s="8" t="s">
        <v>6776</v>
      </c>
      <c r="L1780" s="8" t="s">
        <v>32</v>
      </c>
      <c r="S1780"/>
    </row>
    <row r="1781" spans="1:19" ht="15" x14ac:dyDescent="0.25">
      <c r="A1781" s="8" t="s">
        <v>5622</v>
      </c>
      <c r="B1781" s="8" t="s">
        <v>4847</v>
      </c>
      <c r="C1781" s="8" t="s">
        <v>6807</v>
      </c>
      <c r="D1781" s="32" t="s">
        <v>5146</v>
      </c>
      <c r="E1781" s="32" t="s">
        <v>6807</v>
      </c>
      <c r="F1781" s="10">
        <v>274</v>
      </c>
      <c r="G1781" s="8" t="s">
        <v>6778</v>
      </c>
      <c r="J1781" s="10">
        <v>0</v>
      </c>
      <c r="K1781" s="8" t="s">
        <v>6778</v>
      </c>
      <c r="L1781" s="8" t="s">
        <v>32</v>
      </c>
      <c r="S1781"/>
    </row>
    <row r="1782" spans="1:19" ht="15" x14ac:dyDescent="0.25">
      <c r="A1782" s="8" t="s">
        <v>5622</v>
      </c>
      <c r="B1782" s="8" t="s">
        <v>4847</v>
      </c>
      <c r="C1782" s="8" t="s">
        <v>6808</v>
      </c>
      <c r="D1782" s="32" t="s">
        <v>5146</v>
      </c>
      <c r="E1782" s="32" t="s">
        <v>6808</v>
      </c>
      <c r="F1782" s="10">
        <v>280</v>
      </c>
      <c r="G1782" s="8" t="s">
        <v>6776</v>
      </c>
      <c r="J1782" s="10">
        <v>0</v>
      </c>
      <c r="K1782" s="8" t="s">
        <v>6776</v>
      </c>
      <c r="L1782" s="8" t="s">
        <v>32</v>
      </c>
      <c r="S1782"/>
    </row>
    <row r="1783" spans="1:19" ht="15" x14ac:dyDescent="0.25">
      <c r="A1783" s="8" t="s">
        <v>5622</v>
      </c>
      <c r="B1783" s="8" t="s">
        <v>4847</v>
      </c>
      <c r="C1783" s="8" t="s">
        <v>6809</v>
      </c>
      <c r="D1783" s="32" t="s">
        <v>5146</v>
      </c>
      <c r="E1783" s="32" t="s">
        <v>6809</v>
      </c>
      <c r="F1783" s="10">
        <v>140</v>
      </c>
      <c r="G1783" s="8" t="s">
        <v>6778</v>
      </c>
      <c r="J1783" s="10">
        <v>0</v>
      </c>
      <c r="K1783" s="8" t="s">
        <v>6778</v>
      </c>
      <c r="L1783" s="8" t="s">
        <v>32</v>
      </c>
      <c r="S1783"/>
    </row>
    <row r="1784" spans="1:19" ht="15" x14ac:dyDescent="0.25">
      <c r="A1784" s="8" t="s">
        <v>6071</v>
      </c>
      <c r="B1784" s="8" t="s">
        <v>6069</v>
      </c>
      <c r="C1784" s="8" t="s">
        <v>6810</v>
      </c>
      <c r="D1784" s="32" t="s">
        <v>5146</v>
      </c>
      <c r="E1784" s="32" t="s">
        <v>6810</v>
      </c>
      <c r="F1784" s="10">
        <v>184</v>
      </c>
      <c r="G1784" s="8" t="s">
        <v>6456</v>
      </c>
      <c r="J1784" s="10">
        <v>0</v>
      </c>
      <c r="K1784" s="8" t="s">
        <v>6456</v>
      </c>
      <c r="L1784" s="8" t="s">
        <v>32</v>
      </c>
      <c r="S1784"/>
    </row>
    <row r="1785" spans="1:19" ht="15" x14ac:dyDescent="0.25">
      <c r="A1785" s="8" t="s">
        <v>6071</v>
      </c>
      <c r="B1785" s="8" t="s">
        <v>6069</v>
      </c>
      <c r="C1785" s="8" t="s">
        <v>6811</v>
      </c>
      <c r="D1785" s="32" t="s">
        <v>5146</v>
      </c>
      <c r="E1785" s="32" t="s">
        <v>6811</v>
      </c>
      <c r="F1785" s="10">
        <v>96</v>
      </c>
      <c r="G1785" s="8" t="s">
        <v>6456</v>
      </c>
      <c r="J1785" s="10">
        <v>0</v>
      </c>
      <c r="K1785" s="8" t="s">
        <v>6456</v>
      </c>
      <c r="L1785" s="8" t="s">
        <v>32</v>
      </c>
      <c r="S1785"/>
    </row>
    <row r="1786" spans="1:19" ht="15" x14ac:dyDescent="0.25">
      <c r="A1786" s="8" t="s">
        <v>6068</v>
      </c>
      <c r="B1786" s="8" t="s">
        <v>6069</v>
      </c>
      <c r="C1786" s="8" t="s">
        <v>6812</v>
      </c>
      <c r="D1786" s="32" t="s">
        <v>5146</v>
      </c>
      <c r="E1786" s="32" t="s">
        <v>6812</v>
      </c>
      <c r="F1786" s="10">
        <v>116</v>
      </c>
      <c r="G1786" s="8" t="s">
        <v>6456</v>
      </c>
      <c r="J1786" s="10">
        <v>0</v>
      </c>
      <c r="K1786" s="8" t="s">
        <v>6456</v>
      </c>
      <c r="L1786" s="8" t="s">
        <v>32</v>
      </c>
      <c r="S1786"/>
    </row>
    <row r="1787" spans="1:19" ht="15" x14ac:dyDescent="0.25">
      <c r="A1787" s="8" t="s">
        <v>6068</v>
      </c>
      <c r="B1787" s="8" t="s">
        <v>6069</v>
      </c>
      <c r="C1787" s="8" t="s">
        <v>6813</v>
      </c>
      <c r="D1787" s="32" t="s">
        <v>5146</v>
      </c>
      <c r="E1787" s="32" t="s">
        <v>6813</v>
      </c>
      <c r="F1787" s="10">
        <v>432</v>
      </c>
      <c r="G1787" s="8" t="s">
        <v>6456</v>
      </c>
      <c r="J1787" s="10">
        <v>0</v>
      </c>
      <c r="K1787" s="8" t="s">
        <v>6456</v>
      </c>
      <c r="L1787" s="8" t="s">
        <v>32</v>
      </c>
      <c r="S1787"/>
    </row>
    <row r="1788" spans="1:19" ht="15" x14ac:dyDescent="0.25">
      <c r="A1788" s="8" t="s">
        <v>6068</v>
      </c>
      <c r="B1788" s="8" t="s">
        <v>6069</v>
      </c>
      <c r="C1788" s="8" t="s">
        <v>6814</v>
      </c>
      <c r="D1788" s="32" t="s">
        <v>6984</v>
      </c>
      <c r="E1788" s="32" t="s">
        <v>6814</v>
      </c>
      <c r="F1788" s="10">
        <v>1</v>
      </c>
      <c r="G1788" s="8" t="s">
        <v>5973</v>
      </c>
      <c r="H1788" s="10">
        <v>119.7</v>
      </c>
      <c r="I1788" s="10">
        <f t="shared" si="29"/>
        <v>119.7</v>
      </c>
      <c r="J1788" s="10">
        <v>9.6272190000000002</v>
      </c>
      <c r="K1788" s="8" t="s">
        <v>5966</v>
      </c>
      <c r="S1788"/>
    </row>
    <row r="1789" spans="1:19" ht="15" x14ac:dyDescent="0.25">
      <c r="A1789" s="8" t="s">
        <v>6068</v>
      </c>
      <c r="B1789" s="8" t="s">
        <v>6069</v>
      </c>
      <c r="C1789" s="8" t="s">
        <v>6815</v>
      </c>
      <c r="D1789" s="32" t="s">
        <v>6984</v>
      </c>
      <c r="E1789" s="32" t="s">
        <v>6815</v>
      </c>
      <c r="F1789" s="10">
        <v>1</v>
      </c>
      <c r="G1789" s="8" t="s">
        <v>5973</v>
      </c>
      <c r="H1789" s="10">
        <v>119.7</v>
      </c>
      <c r="I1789" s="10">
        <f t="shared" si="29"/>
        <v>119.7</v>
      </c>
      <c r="J1789" s="10">
        <v>9.6272190000000002</v>
      </c>
      <c r="K1789" s="8" t="s">
        <v>5966</v>
      </c>
      <c r="S1789"/>
    </row>
    <row r="1790" spans="1:19" ht="15" x14ac:dyDescent="0.25">
      <c r="A1790" s="8" t="s">
        <v>6068</v>
      </c>
      <c r="B1790" s="8" t="s">
        <v>6069</v>
      </c>
      <c r="C1790" s="8" t="s">
        <v>6816</v>
      </c>
      <c r="D1790" s="32" t="s">
        <v>6984</v>
      </c>
      <c r="E1790" s="32" t="s">
        <v>6816</v>
      </c>
      <c r="F1790" s="10">
        <v>2</v>
      </c>
      <c r="G1790" s="8" t="s">
        <v>5973</v>
      </c>
      <c r="H1790" s="10">
        <v>116.85</v>
      </c>
      <c r="I1790" s="10">
        <f t="shared" si="29"/>
        <v>233.7</v>
      </c>
      <c r="J1790" s="10">
        <v>18.785340000000001</v>
      </c>
      <c r="K1790" s="8" t="s">
        <v>5966</v>
      </c>
      <c r="S1790"/>
    </row>
    <row r="1791" spans="1:19" ht="15" x14ac:dyDescent="0.25">
      <c r="A1791" s="8" t="s">
        <v>6068</v>
      </c>
      <c r="B1791" s="8" t="s">
        <v>6069</v>
      </c>
      <c r="C1791" s="8" t="s">
        <v>6817</v>
      </c>
      <c r="D1791" s="32" t="s">
        <v>6984</v>
      </c>
      <c r="E1791" s="32" t="s">
        <v>6817</v>
      </c>
      <c r="F1791" s="10">
        <v>1</v>
      </c>
      <c r="G1791" s="8" t="s">
        <v>5973</v>
      </c>
      <c r="H1791" s="10">
        <v>130.30000000000001</v>
      </c>
      <c r="I1791" s="10">
        <f t="shared" si="29"/>
        <v>130.30000000000001</v>
      </c>
      <c r="J1791" s="10">
        <v>10.473309</v>
      </c>
      <c r="K1791" s="8" t="s">
        <v>5966</v>
      </c>
      <c r="S1791"/>
    </row>
    <row r="1792" spans="1:19" ht="15" x14ac:dyDescent="0.25">
      <c r="A1792" s="8" t="s">
        <v>6068</v>
      </c>
      <c r="B1792" s="8" t="s">
        <v>6069</v>
      </c>
      <c r="C1792" s="8" t="s">
        <v>6818</v>
      </c>
      <c r="D1792" s="32" t="s">
        <v>6984</v>
      </c>
      <c r="E1792" s="32" t="s">
        <v>6818</v>
      </c>
      <c r="F1792" s="10">
        <v>1</v>
      </c>
      <c r="G1792" s="8" t="s">
        <v>5973</v>
      </c>
      <c r="H1792" s="10">
        <v>130</v>
      </c>
      <c r="I1792" s="10">
        <f t="shared" si="29"/>
        <v>130</v>
      </c>
      <c r="J1792" s="10">
        <v>10.447604999999999</v>
      </c>
      <c r="K1792" s="8" t="s">
        <v>5966</v>
      </c>
      <c r="S1792"/>
    </row>
    <row r="1793" spans="1:19" ht="15" x14ac:dyDescent="0.25">
      <c r="A1793" s="8" t="s">
        <v>6068</v>
      </c>
      <c r="B1793" s="8" t="s">
        <v>6069</v>
      </c>
      <c r="C1793" s="8" t="s">
        <v>6819</v>
      </c>
      <c r="D1793" s="32" t="s">
        <v>6984</v>
      </c>
      <c r="E1793" s="32" t="s">
        <v>6819</v>
      </c>
      <c r="F1793" s="10">
        <v>1</v>
      </c>
      <c r="G1793" s="8" t="s">
        <v>5973</v>
      </c>
      <c r="H1793" s="10">
        <v>128.9</v>
      </c>
      <c r="I1793" s="10">
        <f t="shared" si="29"/>
        <v>128.9</v>
      </c>
      <c r="J1793" s="10">
        <v>10.361924999999999</v>
      </c>
      <c r="K1793" s="8" t="s">
        <v>5966</v>
      </c>
      <c r="S1793"/>
    </row>
    <row r="1794" spans="1:19" ht="15" x14ac:dyDescent="0.25">
      <c r="A1794" s="8" t="s">
        <v>6068</v>
      </c>
      <c r="B1794" s="8" t="s">
        <v>6069</v>
      </c>
      <c r="C1794" s="8" t="s">
        <v>6820</v>
      </c>
      <c r="D1794" s="32" t="s">
        <v>6984</v>
      </c>
      <c r="E1794" s="32" t="s">
        <v>6820</v>
      </c>
      <c r="F1794" s="10">
        <v>1</v>
      </c>
      <c r="G1794" s="8" t="s">
        <v>5973</v>
      </c>
      <c r="H1794" s="10">
        <v>121.2</v>
      </c>
      <c r="I1794" s="10">
        <f t="shared" si="29"/>
        <v>121.2</v>
      </c>
      <c r="J1794" s="10">
        <v>9.7407450000000004</v>
      </c>
      <c r="K1794" s="8" t="s">
        <v>5966</v>
      </c>
      <c r="S1794"/>
    </row>
    <row r="1795" spans="1:19" ht="15" x14ac:dyDescent="0.25">
      <c r="A1795" s="8" t="s">
        <v>6068</v>
      </c>
      <c r="B1795" s="8" t="s">
        <v>6069</v>
      </c>
      <c r="C1795" s="8" t="s">
        <v>6821</v>
      </c>
      <c r="D1795" s="32" t="s">
        <v>6984</v>
      </c>
      <c r="E1795" s="32" t="s">
        <v>6821</v>
      </c>
      <c r="F1795" s="10">
        <v>2</v>
      </c>
      <c r="G1795" s="8" t="s">
        <v>5973</v>
      </c>
      <c r="H1795" s="10">
        <v>128.9</v>
      </c>
      <c r="I1795" s="10">
        <f t="shared" si="29"/>
        <v>257.8</v>
      </c>
      <c r="J1795" s="10">
        <v>20.723849999999999</v>
      </c>
      <c r="K1795" s="8" t="s">
        <v>5966</v>
      </c>
      <c r="S1795"/>
    </row>
    <row r="1796" spans="1:19" ht="15" x14ac:dyDescent="0.25">
      <c r="A1796" s="8" t="s">
        <v>6068</v>
      </c>
      <c r="B1796" s="8" t="s">
        <v>6069</v>
      </c>
      <c r="C1796" s="8" t="s">
        <v>6822</v>
      </c>
      <c r="D1796" s="32" t="s">
        <v>6984</v>
      </c>
      <c r="E1796" s="32" t="s">
        <v>6822</v>
      </c>
      <c r="F1796" s="10">
        <v>1</v>
      </c>
      <c r="G1796" s="8" t="s">
        <v>5973</v>
      </c>
      <c r="H1796" s="10">
        <v>130.19999999999999</v>
      </c>
      <c r="I1796" s="10">
        <f t="shared" si="29"/>
        <v>130.19999999999999</v>
      </c>
      <c r="J1796" s="10">
        <v>10.469025</v>
      </c>
      <c r="K1796" s="8" t="s">
        <v>5966</v>
      </c>
      <c r="S1796"/>
    </row>
    <row r="1797" spans="1:19" ht="15" x14ac:dyDescent="0.25">
      <c r="A1797" s="8" t="s">
        <v>6068</v>
      </c>
      <c r="B1797" s="8" t="s">
        <v>6069</v>
      </c>
      <c r="C1797" s="8" t="s">
        <v>6823</v>
      </c>
      <c r="D1797" s="32" t="s">
        <v>6984</v>
      </c>
      <c r="E1797" s="32" t="s">
        <v>6823</v>
      </c>
      <c r="F1797" s="10">
        <v>1</v>
      </c>
      <c r="G1797" s="8" t="s">
        <v>5973</v>
      </c>
      <c r="H1797" s="10">
        <v>95.6</v>
      </c>
      <c r="I1797" s="10">
        <f t="shared" ref="I1797:I1860" si="30">F1797*H1797</f>
        <v>95.6</v>
      </c>
      <c r="J1797" s="10">
        <v>8.5743430000000007</v>
      </c>
      <c r="K1797" s="8" t="s">
        <v>5963</v>
      </c>
      <c r="S1797"/>
    </row>
    <row r="1798" spans="1:19" ht="15" x14ac:dyDescent="0.25">
      <c r="A1798" s="8" t="s">
        <v>6068</v>
      </c>
      <c r="B1798" s="8" t="s">
        <v>6069</v>
      </c>
      <c r="C1798" s="8" t="s">
        <v>6824</v>
      </c>
      <c r="D1798" s="32" t="s">
        <v>6984</v>
      </c>
      <c r="E1798" s="32" t="s">
        <v>6824</v>
      </c>
      <c r="F1798" s="10">
        <v>1</v>
      </c>
      <c r="G1798" s="8" t="s">
        <v>5973</v>
      </c>
      <c r="H1798" s="10">
        <v>96.8</v>
      </c>
      <c r="I1798" s="10">
        <f t="shared" si="30"/>
        <v>96.8</v>
      </c>
      <c r="J1798" s="10">
        <v>8.6805699999999995</v>
      </c>
      <c r="K1798" s="8" t="s">
        <v>5963</v>
      </c>
      <c r="S1798"/>
    </row>
    <row r="1799" spans="1:19" ht="15" x14ac:dyDescent="0.25">
      <c r="A1799" s="8" t="s">
        <v>6071</v>
      </c>
      <c r="B1799" s="8" t="s">
        <v>6069</v>
      </c>
      <c r="C1799" s="8" t="s">
        <v>6825</v>
      </c>
      <c r="D1799" s="32" t="s">
        <v>6984</v>
      </c>
      <c r="E1799" s="32" t="s">
        <v>6825</v>
      </c>
      <c r="F1799" s="10">
        <v>1</v>
      </c>
      <c r="G1799" s="8" t="s">
        <v>5973</v>
      </c>
      <c r="H1799" s="10">
        <v>96.8</v>
      </c>
      <c r="I1799" s="10">
        <f t="shared" si="30"/>
        <v>96.8</v>
      </c>
      <c r="J1799" s="10">
        <v>8.6859350000000006</v>
      </c>
      <c r="K1799" s="8" t="s">
        <v>5963</v>
      </c>
      <c r="S1799"/>
    </row>
    <row r="1800" spans="1:19" ht="15" x14ac:dyDescent="0.25">
      <c r="A1800" s="8" t="s">
        <v>6071</v>
      </c>
      <c r="B1800" s="8" t="s">
        <v>6069</v>
      </c>
      <c r="C1800" s="8" t="s">
        <v>6826</v>
      </c>
      <c r="D1800" s="32" t="s">
        <v>6984</v>
      </c>
      <c r="E1800" s="32" t="s">
        <v>6826</v>
      </c>
      <c r="F1800" s="10">
        <v>1</v>
      </c>
      <c r="G1800" s="8" t="s">
        <v>5973</v>
      </c>
      <c r="H1800" s="10">
        <v>102.5</v>
      </c>
      <c r="I1800" s="10">
        <f t="shared" si="30"/>
        <v>102.5</v>
      </c>
      <c r="J1800" s="10">
        <v>9.1902450000000009</v>
      </c>
      <c r="K1800" s="8" t="s">
        <v>5963</v>
      </c>
      <c r="S1800"/>
    </row>
    <row r="1801" spans="1:19" ht="15" x14ac:dyDescent="0.25">
      <c r="A1801" s="8" t="s">
        <v>6071</v>
      </c>
      <c r="B1801" s="8" t="s">
        <v>6069</v>
      </c>
      <c r="C1801" s="8" t="s">
        <v>6827</v>
      </c>
      <c r="D1801" s="32" t="s">
        <v>6984</v>
      </c>
      <c r="E1801" s="32" t="s">
        <v>6827</v>
      </c>
      <c r="F1801" s="10">
        <v>1</v>
      </c>
      <c r="G1801" s="8" t="s">
        <v>5973</v>
      </c>
      <c r="H1801" s="10">
        <v>103.8</v>
      </c>
      <c r="I1801" s="10">
        <f t="shared" si="30"/>
        <v>103.8</v>
      </c>
      <c r="J1801" s="10">
        <v>9.3082750000000001</v>
      </c>
      <c r="K1801" s="8" t="s">
        <v>5963</v>
      </c>
      <c r="S1801"/>
    </row>
    <row r="1802" spans="1:19" ht="15" x14ac:dyDescent="0.25">
      <c r="A1802" s="8" t="s">
        <v>6071</v>
      </c>
      <c r="B1802" s="8" t="s">
        <v>6069</v>
      </c>
      <c r="C1802" s="8" t="s">
        <v>6828</v>
      </c>
      <c r="D1802" s="32" t="s">
        <v>6984</v>
      </c>
      <c r="E1802" s="32" t="s">
        <v>6828</v>
      </c>
      <c r="F1802" s="10">
        <v>3</v>
      </c>
      <c r="G1802" s="8" t="s">
        <v>5973</v>
      </c>
      <c r="H1802" s="10">
        <v>95.600000000000009</v>
      </c>
      <c r="I1802" s="10">
        <f t="shared" si="30"/>
        <v>286.8</v>
      </c>
      <c r="J1802" s="10">
        <v>25.719809999999999</v>
      </c>
      <c r="K1802" s="8" t="s">
        <v>5963</v>
      </c>
      <c r="S1802"/>
    </row>
    <row r="1803" spans="1:19" ht="15" x14ac:dyDescent="0.25">
      <c r="A1803" s="8" t="s">
        <v>6071</v>
      </c>
      <c r="B1803" s="8" t="s">
        <v>6069</v>
      </c>
      <c r="C1803" s="8" t="s">
        <v>6829</v>
      </c>
      <c r="D1803" s="32" t="s">
        <v>6984</v>
      </c>
      <c r="E1803" s="32" t="s">
        <v>6829</v>
      </c>
      <c r="F1803" s="10">
        <v>1</v>
      </c>
      <c r="G1803" s="8" t="s">
        <v>5973</v>
      </c>
      <c r="H1803" s="10">
        <v>95.6</v>
      </c>
      <c r="I1803" s="10">
        <f t="shared" si="30"/>
        <v>95.6</v>
      </c>
      <c r="J1803" s="10">
        <v>8.5754160000000006</v>
      </c>
      <c r="K1803" s="8" t="s">
        <v>5963</v>
      </c>
      <c r="S1803"/>
    </row>
    <row r="1804" spans="1:19" ht="15" x14ac:dyDescent="0.25">
      <c r="A1804" s="8" t="s">
        <v>6071</v>
      </c>
      <c r="B1804" s="8" t="s">
        <v>6069</v>
      </c>
      <c r="C1804" s="8" t="s">
        <v>6830</v>
      </c>
      <c r="D1804" s="32" t="s">
        <v>6984</v>
      </c>
      <c r="E1804" s="32" t="s">
        <v>6830</v>
      </c>
      <c r="F1804" s="10">
        <v>4</v>
      </c>
      <c r="G1804" s="8" t="s">
        <v>5973</v>
      </c>
      <c r="H1804" s="10">
        <v>92.95</v>
      </c>
      <c r="I1804" s="10">
        <f t="shared" si="30"/>
        <v>371.8</v>
      </c>
      <c r="J1804" s="10">
        <v>33.353132000000002</v>
      </c>
      <c r="K1804" s="8" t="s">
        <v>5963</v>
      </c>
      <c r="S1804"/>
    </row>
    <row r="1805" spans="1:19" ht="15" x14ac:dyDescent="0.25">
      <c r="A1805" s="8" t="s">
        <v>6071</v>
      </c>
      <c r="B1805" s="8" t="s">
        <v>6069</v>
      </c>
      <c r="C1805" s="8" t="s">
        <v>6831</v>
      </c>
      <c r="D1805" s="32" t="s">
        <v>6984</v>
      </c>
      <c r="E1805" s="32" t="s">
        <v>6831</v>
      </c>
      <c r="F1805" s="10">
        <v>1</v>
      </c>
      <c r="G1805" s="8" t="s">
        <v>5973</v>
      </c>
      <c r="H1805" s="10">
        <v>94.2</v>
      </c>
      <c r="I1805" s="10">
        <f t="shared" si="30"/>
        <v>94.2</v>
      </c>
      <c r="J1805" s="10">
        <v>8.4445099999999993</v>
      </c>
      <c r="K1805" s="8" t="s">
        <v>5963</v>
      </c>
      <c r="S1805"/>
    </row>
    <row r="1806" spans="1:19" ht="15" x14ac:dyDescent="0.25">
      <c r="A1806" s="8" t="s">
        <v>6071</v>
      </c>
      <c r="B1806" s="8" t="s">
        <v>6069</v>
      </c>
      <c r="C1806" s="8" t="s">
        <v>6832</v>
      </c>
      <c r="D1806" s="32" t="s">
        <v>6984</v>
      </c>
      <c r="E1806" s="32" t="s">
        <v>6832</v>
      </c>
      <c r="F1806" s="10">
        <v>1</v>
      </c>
      <c r="G1806" s="8" t="s">
        <v>5973</v>
      </c>
      <c r="H1806" s="10">
        <v>96.8</v>
      </c>
      <c r="I1806" s="10">
        <f t="shared" si="30"/>
        <v>96.8</v>
      </c>
      <c r="J1806" s="10">
        <v>8.6859350000000006</v>
      </c>
      <c r="K1806" s="8" t="s">
        <v>5963</v>
      </c>
      <c r="S1806"/>
    </row>
    <row r="1807" spans="1:19" ht="15" x14ac:dyDescent="0.25">
      <c r="A1807" s="8" t="s">
        <v>6071</v>
      </c>
      <c r="B1807" s="8" t="s">
        <v>6069</v>
      </c>
      <c r="C1807" s="8" t="s">
        <v>6833</v>
      </c>
      <c r="D1807" s="32" t="s">
        <v>6984</v>
      </c>
      <c r="E1807" s="32" t="s">
        <v>6833</v>
      </c>
      <c r="F1807" s="10">
        <v>1</v>
      </c>
      <c r="G1807" s="8" t="s">
        <v>5973</v>
      </c>
      <c r="H1807" s="10">
        <v>95.6</v>
      </c>
      <c r="I1807" s="10">
        <f t="shared" si="30"/>
        <v>95.6</v>
      </c>
      <c r="J1807" s="10">
        <v>8.5700509999999994</v>
      </c>
      <c r="K1807" s="8" t="s">
        <v>5963</v>
      </c>
      <c r="S1807"/>
    </row>
    <row r="1808" spans="1:19" ht="15" x14ac:dyDescent="0.25">
      <c r="A1808" s="8" t="s">
        <v>6071</v>
      </c>
      <c r="B1808" s="8" t="s">
        <v>6069</v>
      </c>
      <c r="C1808" s="8" t="s">
        <v>6834</v>
      </c>
      <c r="D1808" s="32" t="s">
        <v>6984</v>
      </c>
      <c r="E1808" s="32" t="s">
        <v>6834</v>
      </c>
      <c r="F1808" s="10">
        <v>1</v>
      </c>
      <c r="G1808" s="8" t="s">
        <v>5973</v>
      </c>
      <c r="H1808" s="10">
        <v>95.6</v>
      </c>
      <c r="I1808" s="10">
        <f t="shared" si="30"/>
        <v>95.6</v>
      </c>
      <c r="J1808" s="10">
        <v>8.5764890000000005</v>
      </c>
      <c r="K1808" s="8" t="s">
        <v>5963</v>
      </c>
      <c r="S1808"/>
    </row>
    <row r="1809" spans="1:19" ht="15" x14ac:dyDescent="0.25">
      <c r="A1809" s="8" t="s">
        <v>6071</v>
      </c>
      <c r="B1809" s="8" t="s">
        <v>6069</v>
      </c>
      <c r="C1809" s="8" t="s">
        <v>6835</v>
      </c>
      <c r="D1809" s="32" t="s">
        <v>6984</v>
      </c>
      <c r="E1809" s="32" t="s">
        <v>6835</v>
      </c>
      <c r="F1809" s="10">
        <v>1</v>
      </c>
      <c r="G1809" s="8" t="s">
        <v>5973</v>
      </c>
      <c r="H1809" s="10">
        <v>95.6</v>
      </c>
      <c r="I1809" s="10">
        <f t="shared" si="30"/>
        <v>95.6</v>
      </c>
      <c r="J1809" s="10">
        <v>8.5732700000000008</v>
      </c>
      <c r="K1809" s="8" t="s">
        <v>5963</v>
      </c>
      <c r="S1809"/>
    </row>
    <row r="1810" spans="1:19" ht="15" x14ac:dyDescent="0.25">
      <c r="A1810" s="8" t="s">
        <v>6071</v>
      </c>
      <c r="B1810" s="8" t="s">
        <v>6069</v>
      </c>
      <c r="C1810" s="8" t="s">
        <v>6836</v>
      </c>
      <c r="D1810" s="32" t="s">
        <v>6984</v>
      </c>
      <c r="E1810" s="32" t="s">
        <v>6836</v>
      </c>
      <c r="F1810" s="10">
        <v>1</v>
      </c>
      <c r="G1810" s="8" t="s">
        <v>5973</v>
      </c>
      <c r="H1810" s="10">
        <v>103.8</v>
      </c>
      <c r="I1810" s="10">
        <f t="shared" si="30"/>
        <v>103.8</v>
      </c>
      <c r="J1810" s="10">
        <v>9.3082750000000001</v>
      </c>
      <c r="K1810" s="8" t="s">
        <v>5963</v>
      </c>
      <c r="S1810"/>
    </row>
    <row r="1811" spans="1:19" ht="15" x14ac:dyDescent="0.25">
      <c r="A1811" s="8" t="s">
        <v>6071</v>
      </c>
      <c r="B1811" s="8" t="s">
        <v>6069</v>
      </c>
      <c r="C1811" s="8" t="s">
        <v>6837</v>
      </c>
      <c r="D1811" s="32" t="s">
        <v>6984</v>
      </c>
      <c r="E1811" s="32" t="s">
        <v>6837</v>
      </c>
      <c r="F1811" s="10">
        <v>1</v>
      </c>
      <c r="G1811" s="8" t="s">
        <v>5973</v>
      </c>
      <c r="H1811" s="10">
        <v>103.8</v>
      </c>
      <c r="I1811" s="10">
        <f t="shared" si="30"/>
        <v>103.8</v>
      </c>
      <c r="J1811" s="10">
        <v>9.3082750000000001</v>
      </c>
      <c r="K1811" s="8" t="s">
        <v>5963</v>
      </c>
      <c r="S1811"/>
    </row>
    <row r="1812" spans="1:19" ht="15" x14ac:dyDescent="0.25">
      <c r="A1812" s="8" t="s">
        <v>6071</v>
      </c>
      <c r="B1812" s="8" t="s">
        <v>6069</v>
      </c>
      <c r="C1812" s="8" t="s">
        <v>6838</v>
      </c>
      <c r="D1812" s="32" t="s">
        <v>6984</v>
      </c>
      <c r="E1812" s="32" t="s">
        <v>6838</v>
      </c>
      <c r="F1812" s="10">
        <v>1</v>
      </c>
      <c r="G1812" s="8" t="s">
        <v>5973</v>
      </c>
      <c r="H1812" s="10">
        <v>95.6</v>
      </c>
      <c r="I1812" s="10">
        <f t="shared" si="30"/>
        <v>95.6</v>
      </c>
      <c r="J1812" s="10">
        <v>8.5732700000000008</v>
      </c>
      <c r="K1812" s="8" t="s">
        <v>5963</v>
      </c>
      <c r="S1812"/>
    </row>
    <row r="1813" spans="1:19" ht="15" x14ac:dyDescent="0.25">
      <c r="A1813" s="8" t="s">
        <v>6071</v>
      </c>
      <c r="B1813" s="8" t="s">
        <v>6069</v>
      </c>
      <c r="C1813" s="8" t="s">
        <v>6839</v>
      </c>
      <c r="D1813" s="32" t="s">
        <v>6984</v>
      </c>
      <c r="E1813" s="32" t="s">
        <v>6839</v>
      </c>
      <c r="F1813" s="10">
        <v>3</v>
      </c>
      <c r="G1813" s="8" t="s">
        <v>5973</v>
      </c>
      <c r="H1813" s="10">
        <v>95.600000000000009</v>
      </c>
      <c r="I1813" s="10">
        <f t="shared" si="30"/>
        <v>286.8</v>
      </c>
      <c r="J1813" s="10">
        <v>25.719809999999999</v>
      </c>
      <c r="K1813" s="8" t="s">
        <v>5963</v>
      </c>
      <c r="S1813"/>
    </row>
    <row r="1814" spans="1:19" ht="15" x14ac:dyDescent="0.25">
      <c r="A1814" s="8" t="s">
        <v>6068</v>
      </c>
      <c r="B1814" s="8" t="s">
        <v>6069</v>
      </c>
      <c r="C1814" s="8" t="s">
        <v>6840</v>
      </c>
      <c r="D1814" s="32" t="s">
        <v>6984</v>
      </c>
      <c r="E1814" s="32" t="s">
        <v>6840</v>
      </c>
      <c r="F1814" s="10">
        <v>32</v>
      </c>
      <c r="G1814" s="8" t="s">
        <v>6841</v>
      </c>
      <c r="H1814" s="10">
        <v>3.0062500000000001</v>
      </c>
      <c r="I1814" s="10">
        <f t="shared" si="30"/>
        <v>96.2</v>
      </c>
      <c r="J1814" s="10">
        <v>3.1113984000000001</v>
      </c>
      <c r="K1814" s="8" t="s">
        <v>23</v>
      </c>
      <c r="S1814"/>
    </row>
    <row r="1815" spans="1:19" ht="15" x14ac:dyDescent="0.25">
      <c r="A1815" s="8" t="s">
        <v>6068</v>
      </c>
      <c r="B1815" s="8" t="s">
        <v>6069</v>
      </c>
      <c r="C1815" s="8" t="s">
        <v>6842</v>
      </c>
      <c r="D1815" s="32" t="s">
        <v>6984</v>
      </c>
      <c r="E1815" s="32" t="s">
        <v>6842</v>
      </c>
      <c r="F1815" s="10">
        <v>2</v>
      </c>
      <c r="G1815" s="8" t="s">
        <v>6841</v>
      </c>
      <c r="H1815" s="10">
        <v>2.5499999999999998</v>
      </c>
      <c r="I1815" s="10">
        <f t="shared" si="30"/>
        <v>5.0999999999999996</v>
      </c>
      <c r="J1815" s="10">
        <v>0.16613632</v>
      </c>
      <c r="K1815" s="8" t="s">
        <v>23</v>
      </c>
      <c r="S1815"/>
    </row>
    <row r="1816" spans="1:19" ht="15" x14ac:dyDescent="0.25">
      <c r="A1816" s="8" t="s">
        <v>6068</v>
      </c>
      <c r="B1816" s="8" t="s">
        <v>6069</v>
      </c>
      <c r="C1816" s="8" t="s">
        <v>6843</v>
      </c>
      <c r="D1816" s="32" t="s">
        <v>6984</v>
      </c>
      <c r="E1816" s="32" t="s">
        <v>6843</v>
      </c>
      <c r="F1816" s="10">
        <v>8</v>
      </c>
      <c r="G1816" s="8" t="s">
        <v>6841</v>
      </c>
      <c r="H1816" s="10">
        <v>1.8875</v>
      </c>
      <c r="I1816" s="10">
        <f t="shared" si="30"/>
        <v>15.1</v>
      </c>
      <c r="J1816" s="10">
        <v>0.48768</v>
      </c>
      <c r="K1816" s="8" t="s">
        <v>23</v>
      </c>
      <c r="S1816"/>
    </row>
    <row r="1817" spans="1:19" ht="15" x14ac:dyDescent="0.25">
      <c r="A1817" s="8" t="s">
        <v>6068</v>
      </c>
      <c r="B1817" s="8" t="s">
        <v>6069</v>
      </c>
      <c r="C1817" s="8" t="s">
        <v>6844</v>
      </c>
      <c r="D1817" s="32" t="s">
        <v>6984</v>
      </c>
      <c r="E1817" s="32" t="s">
        <v>6844</v>
      </c>
      <c r="F1817" s="10">
        <v>64</v>
      </c>
      <c r="G1817" s="8" t="s">
        <v>6841</v>
      </c>
      <c r="H1817" s="10">
        <v>1.890625</v>
      </c>
      <c r="I1817" s="10">
        <f t="shared" si="30"/>
        <v>121</v>
      </c>
      <c r="J1817" s="10">
        <v>3.9144448000000001</v>
      </c>
      <c r="K1817" s="8" t="s">
        <v>23</v>
      </c>
      <c r="S1817"/>
    </row>
    <row r="1818" spans="1:19" ht="15" x14ac:dyDescent="0.25">
      <c r="A1818" s="8" t="s">
        <v>6068</v>
      </c>
      <c r="B1818" s="8" t="s">
        <v>6069</v>
      </c>
      <c r="C1818" s="8" t="s">
        <v>6845</v>
      </c>
      <c r="D1818" s="32" t="s">
        <v>6984</v>
      </c>
      <c r="E1818" s="32" t="s">
        <v>6845</v>
      </c>
      <c r="F1818" s="10">
        <v>4</v>
      </c>
      <c r="G1818" s="8" t="s">
        <v>6841</v>
      </c>
      <c r="H1818" s="10">
        <v>4.3250000000000002</v>
      </c>
      <c r="I1818" s="10">
        <f t="shared" si="30"/>
        <v>17.3</v>
      </c>
      <c r="J1818" s="10">
        <v>0.560832</v>
      </c>
      <c r="K1818" s="8" t="s">
        <v>23</v>
      </c>
      <c r="S1818"/>
    </row>
    <row r="1819" spans="1:19" ht="15" x14ac:dyDescent="0.25">
      <c r="A1819" s="8" t="s">
        <v>6068</v>
      </c>
      <c r="B1819" s="8" t="s">
        <v>6069</v>
      </c>
      <c r="C1819" s="8" t="s">
        <v>6846</v>
      </c>
      <c r="D1819" s="32" t="s">
        <v>6984</v>
      </c>
      <c r="E1819" s="32" t="s">
        <v>6846</v>
      </c>
      <c r="F1819" s="10">
        <v>4</v>
      </c>
      <c r="G1819" s="8" t="s">
        <v>6841</v>
      </c>
      <c r="H1819" s="10">
        <v>1.075</v>
      </c>
      <c r="I1819" s="10">
        <f t="shared" si="30"/>
        <v>4.3</v>
      </c>
      <c r="J1819" s="10">
        <v>0.138110976</v>
      </c>
      <c r="K1819" s="8" t="s">
        <v>23</v>
      </c>
      <c r="S1819"/>
    </row>
    <row r="1820" spans="1:19" ht="15" x14ac:dyDescent="0.25">
      <c r="A1820" s="8" t="s">
        <v>6068</v>
      </c>
      <c r="B1820" s="8" t="s">
        <v>6069</v>
      </c>
      <c r="C1820" s="8" t="s">
        <v>6847</v>
      </c>
      <c r="D1820" s="32" t="s">
        <v>6984</v>
      </c>
      <c r="E1820" s="32" t="s">
        <v>6847</v>
      </c>
      <c r="F1820" s="10">
        <v>1</v>
      </c>
      <c r="G1820" s="8" t="s">
        <v>6841</v>
      </c>
      <c r="H1820" s="10">
        <v>24.5</v>
      </c>
      <c r="I1820" s="10">
        <f t="shared" si="30"/>
        <v>24.5</v>
      </c>
      <c r="J1820" s="10">
        <v>0.72361374000000001</v>
      </c>
      <c r="K1820" s="8" t="s">
        <v>25</v>
      </c>
      <c r="S1820"/>
    </row>
    <row r="1821" spans="1:19" ht="15" x14ac:dyDescent="0.25">
      <c r="A1821" s="8" t="s">
        <v>6068</v>
      </c>
      <c r="B1821" s="8" t="s">
        <v>6069</v>
      </c>
      <c r="C1821" s="8" t="s">
        <v>6848</v>
      </c>
      <c r="D1821" s="32" t="s">
        <v>6984</v>
      </c>
      <c r="E1821" s="32" t="s">
        <v>6848</v>
      </c>
      <c r="F1821" s="10">
        <v>1</v>
      </c>
      <c r="G1821" s="8" t="s">
        <v>6841</v>
      </c>
      <c r="H1821" s="10">
        <v>28.8</v>
      </c>
      <c r="I1821" s="10">
        <f t="shared" si="30"/>
        <v>28.8</v>
      </c>
      <c r="J1821" s="10">
        <v>0.84293664000000001</v>
      </c>
      <c r="K1821" s="8" t="s">
        <v>23</v>
      </c>
      <c r="S1821"/>
    </row>
    <row r="1822" spans="1:19" ht="15" x14ac:dyDescent="0.25">
      <c r="A1822" s="8" t="s">
        <v>6068</v>
      </c>
      <c r="B1822" s="8" t="s">
        <v>6069</v>
      </c>
      <c r="C1822" s="8" t="s">
        <v>6849</v>
      </c>
      <c r="D1822" s="32" t="s">
        <v>6984</v>
      </c>
      <c r="E1822" s="32" t="s">
        <v>6849</v>
      </c>
      <c r="F1822" s="10">
        <v>12</v>
      </c>
      <c r="G1822" s="8" t="s">
        <v>6841</v>
      </c>
      <c r="H1822" s="10">
        <v>17.958333333333332</v>
      </c>
      <c r="I1822" s="10">
        <f t="shared" si="30"/>
        <v>215.5</v>
      </c>
      <c r="J1822" s="10">
        <v>5.8890048000000004</v>
      </c>
      <c r="K1822" s="8" t="s">
        <v>25</v>
      </c>
      <c r="S1822"/>
    </row>
    <row r="1823" spans="1:19" ht="15" x14ac:dyDescent="0.25">
      <c r="A1823" s="8" t="s">
        <v>6068</v>
      </c>
      <c r="B1823" s="8" t="s">
        <v>6069</v>
      </c>
      <c r="C1823" s="8" t="s">
        <v>6850</v>
      </c>
      <c r="D1823" s="32" t="s">
        <v>6984</v>
      </c>
      <c r="E1823" s="32" t="s">
        <v>6850</v>
      </c>
      <c r="F1823" s="10">
        <v>1</v>
      </c>
      <c r="G1823" s="8" t="s">
        <v>6841</v>
      </c>
      <c r="H1823" s="10">
        <v>11.2</v>
      </c>
      <c r="I1823" s="10">
        <f t="shared" si="30"/>
        <v>11.2</v>
      </c>
      <c r="J1823" s="10">
        <v>0.30606684000000001</v>
      </c>
      <c r="K1823" s="8" t="s">
        <v>25</v>
      </c>
      <c r="S1823"/>
    </row>
    <row r="1824" spans="1:19" ht="15" x14ac:dyDescent="0.25">
      <c r="A1824" s="8" t="s">
        <v>6068</v>
      </c>
      <c r="B1824" s="8" t="s">
        <v>6069</v>
      </c>
      <c r="C1824" s="8" t="s">
        <v>6851</v>
      </c>
      <c r="D1824" s="32" t="s">
        <v>6984</v>
      </c>
      <c r="E1824" s="32" t="s">
        <v>6851</v>
      </c>
      <c r="F1824" s="10">
        <v>4</v>
      </c>
      <c r="G1824" s="8" t="s">
        <v>6841</v>
      </c>
      <c r="H1824" s="10">
        <v>5.15</v>
      </c>
      <c r="I1824" s="10">
        <f t="shared" si="30"/>
        <v>20.6</v>
      </c>
      <c r="J1824" s="10">
        <v>0.56248799999999999</v>
      </c>
      <c r="K1824" s="8" t="s">
        <v>25</v>
      </c>
      <c r="S1824"/>
    </row>
    <row r="1825" spans="1:19" ht="15" x14ac:dyDescent="0.25">
      <c r="A1825" s="8" t="s">
        <v>6068</v>
      </c>
      <c r="B1825" s="8" t="s">
        <v>6069</v>
      </c>
      <c r="C1825" s="8" t="s">
        <v>6852</v>
      </c>
      <c r="D1825" s="32" t="s">
        <v>6984</v>
      </c>
      <c r="E1825" s="32" t="s">
        <v>6852</v>
      </c>
      <c r="F1825" s="10">
        <v>56</v>
      </c>
      <c r="G1825" s="8" t="s">
        <v>6841</v>
      </c>
      <c r="H1825" s="10">
        <v>5.8732142857142851</v>
      </c>
      <c r="I1825" s="10">
        <f t="shared" si="30"/>
        <v>328.9</v>
      </c>
      <c r="J1825" s="10">
        <v>8.9875799999999995</v>
      </c>
      <c r="K1825" s="8" t="s">
        <v>25</v>
      </c>
      <c r="S1825"/>
    </row>
    <row r="1826" spans="1:19" ht="15" x14ac:dyDescent="0.25">
      <c r="A1826" s="8" t="s">
        <v>6068</v>
      </c>
      <c r="B1826" s="8" t="s">
        <v>6069</v>
      </c>
      <c r="C1826" s="8" t="s">
        <v>6853</v>
      </c>
      <c r="D1826" s="32" t="s">
        <v>6984</v>
      </c>
      <c r="E1826" s="32" t="s">
        <v>6853</v>
      </c>
      <c r="F1826" s="10">
        <v>16</v>
      </c>
      <c r="G1826" s="8" t="s">
        <v>6841</v>
      </c>
      <c r="H1826" s="10">
        <v>20.2</v>
      </c>
      <c r="I1826" s="10">
        <f t="shared" si="30"/>
        <v>323.2</v>
      </c>
      <c r="J1826" s="10">
        <v>8.8335071999999997</v>
      </c>
      <c r="K1826" s="8" t="s">
        <v>25</v>
      </c>
      <c r="S1826"/>
    </row>
    <row r="1827" spans="1:19" ht="15" x14ac:dyDescent="0.25">
      <c r="A1827" s="8" t="s">
        <v>6068</v>
      </c>
      <c r="B1827" s="8" t="s">
        <v>6069</v>
      </c>
      <c r="C1827" s="8" t="s">
        <v>6854</v>
      </c>
      <c r="D1827" s="32" t="s">
        <v>6984</v>
      </c>
      <c r="E1827" s="32" t="s">
        <v>6854</v>
      </c>
      <c r="F1827" s="10">
        <v>1</v>
      </c>
      <c r="G1827" s="8" t="s">
        <v>6841</v>
      </c>
      <c r="H1827" s="10">
        <v>17.7</v>
      </c>
      <c r="I1827" s="10">
        <f t="shared" si="30"/>
        <v>17.7</v>
      </c>
      <c r="J1827" s="10">
        <v>0.53533792800000002</v>
      </c>
      <c r="K1827" s="8" t="s">
        <v>23</v>
      </c>
      <c r="S1827"/>
    </row>
    <row r="1828" spans="1:19" ht="15" x14ac:dyDescent="0.25">
      <c r="A1828" s="8" t="s">
        <v>6068</v>
      </c>
      <c r="B1828" s="8" t="s">
        <v>6069</v>
      </c>
      <c r="C1828" s="8" t="s">
        <v>6855</v>
      </c>
      <c r="D1828" s="32" t="s">
        <v>6984</v>
      </c>
      <c r="E1828" s="32" t="s">
        <v>6855</v>
      </c>
      <c r="F1828" s="10">
        <v>17</v>
      </c>
      <c r="G1828" s="8" t="s">
        <v>6841</v>
      </c>
      <c r="H1828" s="10">
        <v>7.5705882352941174</v>
      </c>
      <c r="I1828" s="10">
        <f t="shared" si="30"/>
        <v>128.69999999999999</v>
      </c>
      <c r="J1828" s="10">
        <v>3.5165690000000001</v>
      </c>
      <c r="K1828" s="8" t="s">
        <v>25</v>
      </c>
      <c r="S1828"/>
    </row>
    <row r="1829" spans="1:19" ht="15" x14ac:dyDescent="0.25">
      <c r="A1829" s="8" t="s">
        <v>6068</v>
      </c>
      <c r="B1829" s="8" t="s">
        <v>6069</v>
      </c>
      <c r="C1829" s="8" t="s">
        <v>6856</v>
      </c>
      <c r="D1829" s="32" t="s">
        <v>6984</v>
      </c>
      <c r="E1829" s="32" t="s">
        <v>6856</v>
      </c>
      <c r="F1829" s="10">
        <v>32</v>
      </c>
      <c r="G1829" s="8" t="s">
        <v>6841</v>
      </c>
      <c r="H1829" s="10">
        <v>16.465624999999999</v>
      </c>
      <c r="I1829" s="10">
        <f t="shared" si="30"/>
        <v>526.9</v>
      </c>
      <c r="J1829" s="10">
        <v>8.6588928000000003</v>
      </c>
      <c r="K1829" s="8" t="s">
        <v>5488</v>
      </c>
      <c r="S1829"/>
    </row>
    <row r="1830" spans="1:19" ht="15" x14ac:dyDescent="0.25">
      <c r="A1830" s="8" t="s">
        <v>6068</v>
      </c>
      <c r="B1830" s="8" t="s">
        <v>6069</v>
      </c>
      <c r="C1830" s="8" t="s">
        <v>6857</v>
      </c>
      <c r="D1830" s="32" t="s">
        <v>6984</v>
      </c>
      <c r="E1830" s="32" t="s">
        <v>6857</v>
      </c>
      <c r="F1830" s="10">
        <v>22</v>
      </c>
      <c r="G1830" s="8" t="s">
        <v>6841</v>
      </c>
      <c r="H1830" s="10">
        <v>15.036363636363637</v>
      </c>
      <c r="I1830" s="10">
        <f t="shared" si="30"/>
        <v>330.8</v>
      </c>
      <c r="J1830" s="10">
        <v>5.4353376000000004</v>
      </c>
      <c r="K1830" s="8" t="s">
        <v>5488</v>
      </c>
      <c r="S1830"/>
    </row>
    <row r="1831" spans="1:19" ht="15" x14ac:dyDescent="0.25">
      <c r="A1831" s="8" t="s">
        <v>6068</v>
      </c>
      <c r="B1831" s="8" t="s">
        <v>6069</v>
      </c>
      <c r="C1831" s="8" t="s">
        <v>6858</v>
      </c>
      <c r="D1831" s="32" t="s">
        <v>6984</v>
      </c>
      <c r="E1831" s="32" t="s">
        <v>6858</v>
      </c>
      <c r="F1831" s="10">
        <v>16</v>
      </c>
      <c r="G1831" s="8" t="s">
        <v>6841</v>
      </c>
      <c r="H1831" s="10">
        <v>39.375</v>
      </c>
      <c r="I1831" s="10">
        <f t="shared" si="30"/>
        <v>630</v>
      </c>
      <c r="J1831" s="10">
        <v>10.353024</v>
      </c>
      <c r="K1831" s="8" t="s">
        <v>5488</v>
      </c>
      <c r="S1831"/>
    </row>
    <row r="1832" spans="1:19" ht="15" x14ac:dyDescent="0.25">
      <c r="A1832" s="8" t="s">
        <v>6068</v>
      </c>
      <c r="B1832" s="8" t="s">
        <v>6069</v>
      </c>
      <c r="C1832" s="8" t="s">
        <v>6859</v>
      </c>
      <c r="D1832" s="32" t="s">
        <v>6984</v>
      </c>
      <c r="E1832" s="32" t="s">
        <v>6859</v>
      </c>
      <c r="F1832" s="10">
        <v>11</v>
      </c>
      <c r="G1832" s="8" t="s">
        <v>6841</v>
      </c>
      <c r="H1832" s="10">
        <v>35.800000000000004</v>
      </c>
      <c r="I1832" s="10">
        <f t="shared" si="30"/>
        <v>393.80000000000007</v>
      </c>
      <c r="J1832" s="10">
        <v>6.4706400000000004</v>
      </c>
      <c r="K1832" s="8" t="s">
        <v>5488</v>
      </c>
      <c r="S1832"/>
    </row>
    <row r="1833" spans="1:19" ht="15" x14ac:dyDescent="0.25">
      <c r="A1833" s="8" t="s">
        <v>6068</v>
      </c>
      <c r="B1833" s="8" t="s">
        <v>6069</v>
      </c>
      <c r="C1833" s="8" t="s">
        <v>6860</v>
      </c>
      <c r="D1833" s="32" t="s">
        <v>6984</v>
      </c>
      <c r="E1833" s="32" t="s">
        <v>6860</v>
      </c>
      <c r="F1833" s="10">
        <v>6</v>
      </c>
      <c r="G1833" s="8" t="s">
        <v>6841</v>
      </c>
      <c r="H1833" s="10">
        <v>15.033333333333333</v>
      </c>
      <c r="I1833" s="10">
        <f t="shared" si="30"/>
        <v>90.2</v>
      </c>
      <c r="J1833" s="10">
        <v>1.4823648</v>
      </c>
      <c r="K1833" s="8" t="s">
        <v>5488</v>
      </c>
      <c r="S1833"/>
    </row>
    <row r="1834" spans="1:19" ht="15" x14ac:dyDescent="0.25">
      <c r="A1834" s="8" t="s">
        <v>6068</v>
      </c>
      <c r="B1834" s="8" t="s">
        <v>6069</v>
      </c>
      <c r="C1834" s="8" t="s">
        <v>6861</v>
      </c>
      <c r="D1834" s="32" t="s">
        <v>6984</v>
      </c>
      <c r="E1834" s="32" t="s">
        <v>6861</v>
      </c>
      <c r="F1834" s="10">
        <v>3</v>
      </c>
      <c r="G1834" s="8" t="s">
        <v>6841</v>
      </c>
      <c r="H1834" s="10">
        <v>35.800000000000004</v>
      </c>
      <c r="I1834" s="10">
        <f t="shared" si="30"/>
        <v>107.4</v>
      </c>
      <c r="J1834" s="10">
        <v>1.7647200000000001</v>
      </c>
      <c r="K1834" s="8" t="s">
        <v>5488</v>
      </c>
      <c r="S1834"/>
    </row>
    <row r="1835" spans="1:19" ht="15" x14ac:dyDescent="0.25">
      <c r="A1835" s="8" t="s">
        <v>6068</v>
      </c>
      <c r="B1835" s="8" t="s">
        <v>6069</v>
      </c>
      <c r="C1835" s="8" t="s">
        <v>6862</v>
      </c>
      <c r="D1835" s="32" t="s">
        <v>6984</v>
      </c>
      <c r="E1835" s="32" t="s">
        <v>6862</v>
      </c>
      <c r="F1835" s="10">
        <v>24</v>
      </c>
      <c r="G1835" s="8" t="s">
        <v>6841</v>
      </c>
      <c r="H1835" s="10">
        <v>4.1166666666666663</v>
      </c>
      <c r="I1835" s="10">
        <f t="shared" si="30"/>
        <v>98.799999999999983</v>
      </c>
      <c r="J1835" s="10">
        <v>3.1852331519999999</v>
      </c>
      <c r="K1835" s="8" t="s">
        <v>23</v>
      </c>
      <c r="S1835"/>
    </row>
    <row r="1836" spans="1:19" ht="15" x14ac:dyDescent="0.25">
      <c r="A1836" s="8" t="s">
        <v>6068</v>
      </c>
      <c r="B1836" s="8" t="s">
        <v>6069</v>
      </c>
      <c r="C1836" s="8" t="s">
        <v>6863</v>
      </c>
      <c r="D1836" s="32" t="s">
        <v>6984</v>
      </c>
      <c r="E1836" s="32" t="s">
        <v>6863</v>
      </c>
      <c r="F1836" s="10">
        <v>4</v>
      </c>
      <c r="G1836" s="8" t="s">
        <v>5642</v>
      </c>
      <c r="H1836" s="10">
        <v>18.850000000000001</v>
      </c>
      <c r="I1836" s="10">
        <f t="shared" si="30"/>
        <v>75.400000000000006</v>
      </c>
      <c r="J1836" s="10">
        <v>3.1211519999999999</v>
      </c>
      <c r="K1836" s="8" t="s">
        <v>5711</v>
      </c>
      <c r="S1836"/>
    </row>
    <row r="1837" spans="1:19" ht="15" x14ac:dyDescent="0.25">
      <c r="A1837" s="8" t="s">
        <v>6068</v>
      </c>
      <c r="B1837" s="8" t="s">
        <v>6069</v>
      </c>
      <c r="C1837" s="8" t="s">
        <v>6864</v>
      </c>
      <c r="D1837" s="32" t="s">
        <v>6984</v>
      </c>
      <c r="E1837" s="32" t="s">
        <v>6864</v>
      </c>
      <c r="F1837" s="10">
        <v>2</v>
      </c>
      <c r="G1837" s="8" t="s">
        <v>5642</v>
      </c>
      <c r="H1837" s="10">
        <v>18.25</v>
      </c>
      <c r="I1837" s="10">
        <f t="shared" si="30"/>
        <v>36.5</v>
      </c>
      <c r="J1837" s="10">
        <v>1.5126208000000001</v>
      </c>
      <c r="K1837" s="8" t="s">
        <v>5711</v>
      </c>
      <c r="S1837"/>
    </row>
    <row r="1838" spans="1:19" ht="15" x14ac:dyDescent="0.25">
      <c r="A1838" s="8" t="s">
        <v>6071</v>
      </c>
      <c r="B1838" s="8" t="s">
        <v>6069</v>
      </c>
      <c r="C1838" s="8" t="s">
        <v>6865</v>
      </c>
      <c r="D1838" s="32" t="s">
        <v>6984</v>
      </c>
      <c r="E1838" s="32" t="s">
        <v>6865</v>
      </c>
      <c r="F1838" s="10">
        <v>10</v>
      </c>
      <c r="G1838" s="8" t="s">
        <v>5642</v>
      </c>
      <c r="H1838" s="10">
        <v>17.669999999999998</v>
      </c>
      <c r="I1838" s="10">
        <f t="shared" si="30"/>
        <v>176.7</v>
      </c>
      <c r="J1838" s="10">
        <v>7.3192640000000004</v>
      </c>
      <c r="K1838" s="8" t="s">
        <v>5711</v>
      </c>
      <c r="S1838"/>
    </row>
    <row r="1839" spans="1:19" ht="15" x14ac:dyDescent="0.25">
      <c r="A1839" s="8" t="s">
        <v>6071</v>
      </c>
      <c r="B1839" s="8" t="s">
        <v>6069</v>
      </c>
      <c r="C1839" s="8" t="s">
        <v>6866</v>
      </c>
      <c r="D1839" s="32" t="s">
        <v>6984</v>
      </c>
      <c r="E1839" s="32" t="s">
        <v>6866</v>
      </c>
      <c r="F1839" s="10">
        <v>10</v>
      </c>
      <c r="G1839" s="8" t="s">
        <v>5642</v>
      </c>
      <c r="H1839" s="10">
        <v>18.2</v>
      </c>
      <c r="I1839" s="10">
        <f t="shared" si="30"/>
        <v>182</v>
      </c>
      <c r="J1839" s="10">
        <v>7.5387199999999996</v>
      </c>
      <c r="K1839" s="8" t="s">
        <v>5711</v>
      </c>
      <c r="S1839"/>
    </row>
    <row r="1840" spans="1:19" ht="15" x14ac:dyDescent="0.25">
      <c r="A1840" s="8" t="s">
        <v>6071</v>
      </c>
      <c r="B1840" s="8" t="s">
        <v>6069</v>
      </c>
      <c r="C1840" s="8" t="s">
        <v>6867</v>
      </c>
      <c r="D1840" s="32" t="s">
        <v>6984</v>
      </c>
      <c r="E1840" s="32" t="s">
        <v>6867</v>
      </c>
      <c r="F1840" s="10">
        <v>8</v>
      </c>
      <c r="G1840" s="8" t="s">
        <v>5642</v>
      </c>
      <c r="H1840" s="10">
        <v>18</v>
      </c>
      <c r="I1840" s="10">
        <f t="shared" si="30"/>
        <v>144</v>
      </c>
      <c r="J1840" s="10">
        <v>5.9627008000000004</v>
      </c>
      <c r="K1840" s="8" t="s">
        <v>5711</v>
      </c>
      <c r="S1840"/>
    </row>
    <row r="1841" spans="1:19" ht="15" x14ac:dyDescent="0.25">
      <c r="A1841" s="8" t="s">
        <v>6071</v>
      </c>
      <c r="B1841" s="8" t="s">
        <v>6069</v>
      </c>
      <c r="C1841" s="8" t="s">
        <v>6868</v>
      </c>
      <c r="D1841" s="32" t="s">
        <v>6984</v>
      </c>
      <c r="E1841" s="32" t="s">
        <v>6868</v>
      </c>
      <c r="F1841" s="10">
        <v>26</v>
      </c>
      <c r="G1841" s="8" t="s">
        <v>5642</v>
      </c>
      <c r="H1841" s="10">
        <v>15.36153846153846</v>
      </c>
      <c r="I1841" s="10">
        <f t="shared" si="30"/>
        <v>399.4</v>
      </c>
      <c r="J1841" s="10">
        <v>16.536415999999999</v>
      </c>
      <c r="K1841" s="8" t="s">
        <v>5711</v>
      </c>
      <c r="S1841"/>
    </row>
    <row r="1842" spans="1:19" ht="15" x14ac:dyDescent="0.25">
      <c r="A1842" s="8" t="s">
        <v>6068</v>
      </c>
      <c r="B1842" s="8" t="s">
        <v>6069</v>
      </c>
      <c r="C1842" s="8" t="s">
        <v>6869</v>
      </c>
      <c r="D1842" s="32" t="s">
        <v>6984</v>
      </c>
      <c r="E1842" s="32" t="s">
        <v>6869</v>
      </c>
      <c r="F1842" s="10">
        <v>5</v>
      </c>
      <c r="G1842" s="8" t="s">
        <v>5642</v>
      </c>
      <c r="H1842" s="10">
        <v>15.36</v>
      </c>
      <c r="I1842" s="10">
        <f t="shared" si="30"/>
        <v>76.8</v>
      </c>
      <c r="J1842" s="10">
        <v>3.1841439999999999</v>
      </c>
      <c r="K1842" s="8" t="s">
        <v>5711</v>
      </c>
      <c r="S1842"/>
    </row>
    <row r="1843" spans="1:19" ht="15" x14ac:dyDescent="0.25">
      <c r="A1843" s="8" t="s">
        <v>6068</v>
      </c>
      <c r="B1843" s="8" t="s">
        <v>6069</v>
      </c>
      <c r="C1843" s="8" t="s">
        <v>6870</v>
      </c>
      <c r="D1843" s="32" t="s">
        <v>6984</v>
      </c>
      <c r="E1843" s="32" t="s">
        <v>6870</v>
      </c>
      <c r="F1843" s="10">
        <v>1</v>
      </c>
      <c r="G1843" s="8" t="s">
        <v>5642</v>
      </c>
      <c r="H1843" s="10">
        <v>15.2</v>
      </c>
      <c r="I1843" s="10">
        <f t="shared" si="30"/>
        <v>15.2</v>
      </c>
      <c r="J1843" s="10">
        <v>0.62870079999999995</v>
      </c>
      <c r="K1843" s="8" t="s">
        <v>5711</v>
      </c>
      <c r="S1843"/>
    </row>
    <row r="1844" spans="1:19" ht="15" x14ac:dyDescent="0.25">
      <c r="A1844" s="8" t="s">
        <v>6068</v>
      </c>
      <c r="B1844" s="8" t="s">
        <v>6069</v>
      </c>
      <c r="C1844" s="8" t="s">
        <v>6871</v>
      </c>
      <c r="D1844" s="32" t="s">
        <v>6984</v>
      </c>
      <c r="E1844" s="32" t="s">
        <v>6871</v>
      </c>
      <c r="F1844" s="10">
        <v>4</v>
      </c>
      <c r="G1844" s="8" t="s">
        <v>5642</v>
      </c>
      <c r="H1844" s="10">
        <v>18.899999999999999</v>
      </c>
      <c r="I1844" s="10">
        <f t="shared" si="30"/>
        <v>75.599999999999994</v>
      </c>
      <c r="J1844" s="10">
        <v>3.1309056000000002</v>
      </c>
      <c r="K1844" s="8" t="s">
        <v>5711</v>
      </c>
      <c r="S1844"/>
    </row>
    <row r="1845" spans="1:19" ht="15" x14ac:dyDescent="0.25">
      <c r="A1845" s="8" t="s">
        <v>6071</v>
      </c>
      <c r="B1845" s="8" t="s">
        <v>6069</v>
      </c>
      <c r="C1845" s="8" t="s">
        <v>6872</v>
      </c>
      <c r="D1845" s="32" t="s">
        <v>6984</v>
      </c>
      <c r="E1845" s="32" t="s">
        <v>6872</v>
      </c>
      <c r="F1845" s="10">
        <v>4</v>
      </c>
      <c r="G1845" s="8" t="s">
        <v>5642</v>
      </c>
      <c r="H1845" s="10">
        <v>18.05</v>
      </c>
      <c r="I1845" s="10">
        <f t="shared" si="30"/>
        <v>72.2</v>
      </c>
      <c r="J1845" s="10">
        <v>2.991104</v>
      </c>
      <c r="K1845" s="8" t="s">
        <v>5711</v>
      </c>
      <c r="S1845"/>
    </row>
    <row r="1846" spans="1:19" ht="15" x14ac:dyDescent="0.25">
      <c r="A1846" s="8" t="s">
        <v>6068</v>
      </c>
      <c r="B1846" s="8" t="s">
        <v>6069</v>
      </c>
      <c r="C1846" s="8" t="s">
        <v>6873</v>
      </c>
      <c r="D1846" s="32" t="s">
        <v>6984</v>
      </c>
      <c r="E1846" s="32" t="s">
        <v>6873</v>
      </c>
      <c r="F1846" s="10">
        <v>2</v>
      </c>
      <c r="G1846" s="8" t="s">
        <v>5642</v>
      </c>
      <c r="H1846" s="10">
        <v>14.95</v>
      </c>
      <c r="I1846" s="10">
        <f t="shared" si="30"/>
        <v>29.9</v>
      </c>
      <c r="J1846" s="10">
        <v>1.23952</v>
      </c>
      <c r="K1846" s="8" t="s">
        <v>5711</v>
      </c>
      <c r="S1846"/>
    </row>
    <row r="1847" spans="1:19" ht="15" x14ac:dyDescent="0.25">
      <c r="A1847" s="8" t="s">
        <v>6071</v>
      </c>
      <c r="B1847" s="8" t="s">
        <v>6069</v>
      </c>
      <c r="C1847" s="8" t="s">
        <v>6874</v>
      </c>
      <c r="D1847" s="32" t="s">
        <v>6984</v>
      </c>
      <c r="E1847" s="32" t="s">
        <v>6874</v>
      </c>
      <c r="F1847" s="10">
        <v>62</v>
      </c>
      <c r="G1847" s="8" t="s">
        <v>5642</v>
      </c>
      <c r="H1847" s="10">
        <v>3.9209677419354838</v>
      </c>
      <c r="I1847" s="10">
        <f t="shared" si="30"/>
        <v>243.1</v>
      </c>
      <c r="J1847" s="10">
        <v>10.148011199999999</v>
      </c>
      <c r="K1847" s="8" t="s">
        <v>5051</v>
      </c>
      <c r="S1847"/>
    </row>
    <row r="1848" spans="1:19" ht="15" x14ac:dyDescent="0.25">
      <c r="A1848" s="8" t="s">
        <v>6071</v>
      </c>
      <c r="B1848" s="8" t="s">
        <v>6069</v>
      </c>
      <c r="C1848" s="8" t="s">
        <v>6875</v>
      </c>
      <c r="D1848" s="32" t="s">
        <v>6984</v>
      </c>
      <c r="E1848" s="32" t="s">
        <v>6875</v>
      </c>
      <c r="F1848" s="10">
        <v>10</v>
      </c>
      <c r="G1848" s="8" t="s">
        <v>5642</v>
      </c>
      <c r="H1848" s="10">
        <v>10.97</v>
      </c>
      <c r="I1848" s="10">
        <f t="shared" si="30"/>
        <v>109.7</v>
      </c>
      <c r="J1848" s="10">
        <v>4.5811440000000001</v>
      </c>
      <c r="K1848" s="8" t="s">
        <v>5051</v>
      </c>
      <c r="S1848"/>
    </row>
    <row r="1849" spans="1:19" ht="15" x14ac:dyDescent="0.25">
      <c r="A1849" s="8" t="s">
        <v>6071</v>
      </c>
      <c r="B1849" s="8" t="s">
        <v>6069</v>
      </c>
      <c r="C1849" s="8" t="s">
        <v>6876</v>
      </c>
      <c r="D1849" s="32" t="s">
        <v>6984</v>
      </c>
      <c r="E1849" s="32" t="s">
        <v>6876</v>
      </c>
      <c r="F1849" s="10">
        <v>50</v>
      </c>
      <c r="G1849" s="8" t="s">
        <v>5642</v>
      </c>
      <c r="H1849" s="10">
        <v>2.8180000000000001</v>
      </c>
      <c r="I1849" s="10">
        <f t="shared" si="30"/>
        <v>140.9</v>
      </c>
      <c r="J1849" s="10">
        <v>5.8826400000000003</v>
      </c>
      <c r="K1849" s="8" t="s">
        <v>5051</v>
      </c>
      <c r="S1849"/>
    </row>
    <row r="1850" spans="1:19" ht="15" x14ac:dyDescent="0.25">
      <c r="A1850" s="8" t="s">
        <v>6071</v>
      </c>
      <c r="B1850" s="8" t="s">
        <v>6069</v>
      </c>
      <c r="C1850" s="8" t="s">
        <v>6877</v>
      </c>
      <c r="D1850" s="32" t="s">
        <v>6984</v>
      </c>
      <c r="E1850" s="32" t="s">
        <v>6877</v>
      </c>
      <c r="F1850" s="10">
        <v>20</v>
      </c>
      <c r="G1850" s="8" t="s">
        <v>5642</v>
      </c>
      <c r="H1850" s="10">
        <v>11.14</v>
      </c>
      <c r="I1850" s="10">
        <f t="shared" si="30"/>
        <v>222.8</v>
      </c>
      <c r="J1850" s="10">
        <v>9.3024959999999997</v>
      </c>
      <c r="K1850" s="8" t="s">
        <v>5051</v>
      </c>
      <c r="S1850"/>
    </row>
    <row r="1851" spans="1:19" ht="15" x14ac:dyDescent="0.25">
      <c r="A1851" s="8" t="s">
        <v>6071</v>
      </c>
      <c r="B1851" s="8" t="s">
        <v>6069</v>
      </c>
      <c r="C1851" s="8" t="s">
        <v>6878</v>
      </c>
      <c r="D1851" s="32" t="s">
        <v>6984</v>
      </c>
      <c r="E1851" s="32" t="s">
        <v>6878</v>
      </c>
      <c r="F1851" s="10">
        <v>25</v>
      </c>
      <c r="G1851" s="8" t="s">
        <v>5642</v>
      </c>
      <c r="H1851" s="10">
        <v>8.5399999999999991</v>
      </c>
      <c r="I1851" s="10">
        <f t="shared" si="30"/>
        <v>213.49999999999997</v>
      </c>
      <c r="J1851" s="10">
        <v>8.9230199999999993</v>
      </c>
      <c r="K1851" s="8" t="s">
        <v>5051</v>
      </c>
      <c r="S1851"/>
    </row>
    <row r="1852" spans="1:19" ht="15" x14ac:dyDescent="0.25">
      <c r="A1852" s="8" t="s">
        <v>6068</v>
      </c>
      <c r="B1852" s="8" t="s">
        <v>6069</v>
      </c>
      <c r="C1852" s="8" t="s">
        <v>6879</v>
      </c>
      <c r="D1852" s="32" t="s">
        <v>6984</v>
      </c>
      <c r="E1852" s="32" t="s">
        <v>6879</v>
      </c>
      <c r="F1852" s="10">
        <v>1</v>
      </c>
      <c r="G1852" s="8" t="s">
        <v>5642</v>
      </c>
      <c r="H1852" s="10">
        <v>2.8</v>
      </c>
      <c r="I1852" s="10">
        <f t="shared" si="30"/>
        <v>2.8</v>
      </c>
      <c r="J1852" s="10">
        <v>0.11673840000000001</v>
      </c>
      <c r="K1852" s="8" t="s">
        <v>5051</v>
      </c>
      <c r="S1852"/>
    </row>
    <row r="1853" spans="1:19" ht="15" x14ac:dyDescent="0.25">
      <c r="A1853" s="8" t="s">
        <v>6068</v>
      </c>
      <c r="B1853" s="8" t="s">
        <v>6069</v>
      </c>
      <c r="C1853" s="8" t="s">
        <v>6880</v>
      </c>
      <c r="D1853" s="32" t="s">
        <v>6984</v>
      </c>
      <c r="E1853" s="32" t="s">
        <v>6880</v>
      </c>
      <c r="F1853" s="10">
        <v>12</v>
      </c>
      <c r="G1853" s="8" t="s">
        <v>5642</v>
      </c>
      <c r="H1853" s="10">
        <v>11.683333333333332</v>
      </c>
      <c r="I1853" s="10">
        <f t="shared" si="30"/>
        <v>140.19999999999999</v>
      </c>
      <c r="J1853" s="10">
        <v>5.8521599999999996</v>
      </c>
      <c r="K1853" s="8" t="s">
        <v>5051</v>
      </c>
      <c r="S1853"/>
    </row>
    <row r="1854" spans="1:19" ht="15" x14ac:dyDescent="0.25">
      <c r="A1854" s="8" t="s">
        <v>6068</v>
      </c>
      <c r="B1854" s="8" t="s">
        <v>6069</v>
      </c>
      <c r="C1854" s="8" t="s">
        <v>6881</v>
      </c>
      <c r="D1854" s="32" t="s">
        <v>6984</v>
      </c>
      <c r="E1854" s="32" t="s">
        <v>6881</v>
      </c>
      <c r="F1854" s="10">
        <v>10</v>
      </c>
      <c r="G1854" s="8" t="s">
        <v>5642</v>
      </c>
      <c r="H1854" s="10">
        <v>8.5599999999999987</v>
      </c>
      <c r="I1854" s="10">
        <f t="shared" si="30"/>
        <v>85.6</v>
      </c>
      <c r="J1854" s="10">
        <v>3.5722559999999999</v>
      </c>
      <c r="K1854" s="8" t="s">
        <v>5051</v>
      </c>
      <c r="S1854"/>
    </row>
    <row r="1855" spans="1:19" ht="15" x14ac:dyDescent="0.25">
      <c r="A1855" s="8" t="s">
        <v>6068</v>
      </c>
      <c r="B1855" s="8" t="s">
        <v>6069</v>
      </c>
      <c r="C1855" s="8" t="s">
        <v>6882</v>
      </c>
      <c r="D1855" s="32" t="s">
        <v>6984</v>
      </c>
      <c r="E1855" s="32" t="s">
        <v>6882</v>
      </c>
      <c r="F1855" s="10">
        <v>19</v>
      </c>
      <c r="G1855" s="8" t="s">
        <v>5642</v>
      </c>
      <c r="H1855" s="10">
        <v>3.0157894736842104</v>
      </c>
      <c r="I1855" s="10">
        <f t="shared" si="30"/>
        <v>57.3</v>
      </c>
      <c r="J1855" s="10">
        <v>2.3917655999999998</v>
      </c>
      <c r="K1855" s="8" t="s">
        <v>5051</v>
      </c>
      <c r="S1855"/>
    </row>
    <row r="1856" spans="1:19" ht="15" x14ac:dyDescent="0.25">
      <c r="A1856" s="8" t="s">
        <v>6071</v>
      </c>
      <c r="B1856" s="8" t="s">
        <v>6069</v>
      </c>
      <c r="C1856" s="8" t="s">
        <v>6883</v>
      </c>
      <c r="D1856" s="32" t="s">
        <v>6984</v>
      </c>
      <c r="E1856" s="32" t="s">
        <v>6883</v>
      </c>
      <c r="F1856" s="10">
        <v>1</v>
      </c>
      <c r="G1856" s="8" t="s">
        <v>5642</v>
      </c>
      <c r="H1856" s="10">
        <v>3.9</v>
      </c>
      <c r="I1856" s="10">
        <f t="shared" si="30"/>
        <v>3.9</v>
      </c>
      <c r="J1856" s="10">
        <v>0.16367760000000001</v>
      </c>
      <c r="K1856" s="8" t="s">
        <v>5051</v>
      </c>
      <c r="S1856"/>
    </row>
    <row r="1857" spans="1:19" ht="15" x14ac:dyDescent="0.25">
      <c r="A1857" s="8" t="s">
        <v>6071</v>
      </c>
      <c r="B1857" s="8" t="s">
        <v>6069</v>
      </c>
      <c r="C1857" s="8" t="s">
        <v>6884</v>
      </c>
      <c r="D1857" s="32" t="s">
        <v>6984</v>
      </c>
      <c r="E1857" s="32" t="s">
        <v>6884</v>
      </c>
      <c r="F1857" s="10">
        <v>5</v>
      </c>
      <c r="G1857" s="8" t="s">
        <v>5642</v>
      </c>
      <c r="H1857" s="10">
        <v>4.9000000000000004</v>
      </c>
      <c r="I1857" s="10">
        <f t="shared" si="30"/>
        <v>24.5</v>
      </c>
      <c r="J1857" s="10">
        <v>1.3858239999999999</v>
      </c>
      <c r="K1857" s="8" t="s">
        <v>5248</v>
      </c>
      <c r="S1857"/>
    </row>
    <row r="1858" spans="1:19" ht="15" x14ac:dyDescent="0.25">
      <c r="A1858" s="8" t="s">
        <v>6071</v>
      </c>
      <c r="B1858" s="8" t="s">
        <v>6069</v>
      </c>
      <c r="C1858" s="8" t="s">
        <v>6885</v>
      </c>
      <c r="D1858" s="32" t="s">
        <v>6984</v>
      </c>
      <c r="E1858" s="32" t="s">
        <v>6885</v>
      </c>
      <c r="F1858" s="10">
        <v>20</v>
      </c>
      <c r="G1858" s="8" t="s">
        <v>5642</v>
      </c>
      <c r="H1858" s="10">
        <v>4.7249999999999996</v>
      </c>
      <c r="I1858" s="10">
        <f t="shared" si="30"/>
        <v>94.5</v>
      </c>
      <c r="J1858" s="10">
        <v>5.3441599999999996</v>
      </c>
      <c r="K1858" s="8" t="s">
        <v>5248</v>
      </c>
      <c r="S1858"/>
    </row>
    <row r="1859" spans="1:19" ht="15" x14ac:dyDescent="0.25">
      <c r="A1859" s="8" t="s">
        <v>6068</v>
      </c>
      <c r="B1859" s="8" t="s">
        <v>6069</v>
      </c>
      <c r="C1859" s="8" t="s">
        <v>6886</v>
      </c>
      <c r="D1859" s="32" t="s">
        <v>6984</v>
      </c>
      <c r="E1859" s="32" t="s">
        <v>6886</v>
      </c>
      <c r="F1859" s="10">
        <v>4</v>
      </c>
      <c r="G1859" s="8" t="s">
        <v>5642</v>
      </c>
      <c r="H1859" s="10">
        <v>4.95</v>
      </c>
      <c r="I1859" s="10">
        <f t="shared" si="30"/>
        <v>19.8</v>
      </c>
      <c r="J1859" s="10">
        <v>1.1167872000000001</v>
      </c>
      <c r="K1859" s="8" t="s">
        <v>5248</v>
      </c>
      <c r="S1859"/>
    </row>
    <row r="1860" spans="1:19" ht="15" x14ac:dyDescent="0.25">
      <c r="A1860" s="8" t="s">
        <v>6068</v>
      </c>
      <c r="B1860" s="8" t="s">
        <v>6069</v>
      </c>
      <c r="C1860" s="8" t="s">
        <v>6887</v>
      </c>
      <c r="D1860" s="32" t="s">
        <v>6984</v>
      </c>
      <c r="E1860" s="32" t="s">
        <v>6887</v>
      </c>
      <c r="F1860" s="10">
        <v>5</v>
      </c>
      <c r="G1860" s="8" t="s">
        <v>5642</v>
      </c>
      <c r="H1860" s="10">
        <v>4.76</v>
      </c>
      <c r="I1860" s="10">
        <f t="shared" si="30"/>
        <v>23.799999999999997</v>
      </c>
      <c r="J1860" s="10">
        <v>1.344168</v>
      </c>
      <c r="K1860" s="8" t="s">
        <v>5248</v>
      </c>
      <c r="S1860"/>
    </row>
    <row r="1861" spans="1:19" ht="15" x14ac:dyDescent="0.25">
      <c r="A1861" s="8" t="s">
        <v>6071</v>
      </c>
      <c r="B1861" s="8" t="s">
        <v>6069</v>
      </c>
      <c r="C1861" s="8" t="s">
        <v>6888</v>
      </c>
      <c r="D1861" s="32" t="s">
        <v>6984</v>
      </c>
      <c r="E1861" s="32" t="s">
        <v>6888</v>
      </c>
      <c r="F1861" s="10">
        <v>3</v>
      </c>
      <c r="G1861" s="8" t="s">
        <v>5642</v>
      </c>
      <c r="H1861" s="10">
        <v>5.0666666666666664</v>
      </c>
      <c r="I1861" s="10">
        <f t="shared" ref="I1861:I1924" si="31">F1861*H1861</f>
        <v>15.2</v>
      </c>
      <c r="J1861" s="10">
        <v>0.8577072</v>
      </c>
      <c r="K1861" s="8" t="s">
        <v>5248</v>
      </c>
      <c r="S1861"/>
    </row>
    <row r="1862" spans="1:19" ht="15" x14ac:dyDescent="0.25">
      <c r="A1862" s="8" t="s">
        <v>6071</v>
      </c>
      <c r="B1862" s="8" t="s">
        <v>6069</v>
      </c>
      <c r="C1862" s="8" t="s">
        <v>6889</v>
      </c>
      <c r="D1862" s="32" t="s">
        <v>6984</v>
      </c>
      <c r="E1862" s="32" t="s">
        <v>6889</v>
      </c>
      <c r="F1862" s="10">
        <v>1</v>
      </c>
      <c r="G1862" s="8" t="s">
        <v>5642</v>
      </c>
      <c r="H1862" s="10">
        <v>5.6</v>
      </c>
      <c r="I1862" s="10">
        <f t="shared" si="31"/>
        <v>5.6</v>
      </c>
      <c r="J1862" s="10">
        <v>0.2340864</v>
      </c>
      <c r="K1862" s="8" t="s">
        <v>5051</v>
      </c>
      <c r="S1862"/>
    </row>
    <row r="1863" spans="1:19" ht="15" x14ac:dyDescent="0.25">
      <c r="A1863" s="8" t="s">
        <v>6071</v>
      </c>
      <c r="B1863" s="8" t="s">
        <v>6069</v>
      </c>
      <c r="C1863" s="8" t="s">
        <v>6890</v>
      </c>
      <c r="D1863" s="32" t="s">
        <v>6984</v>
      </c>
      <c r="E1863" s="32" t="s">
        <v>6890</v>
      </c>
      <c r="F1863" s="10">
        <v>1</v>
      </c>
      <c r="G1863" s="8" t="s">
        <v>5642</v>
      </c>
      <c r="H1863" s="10">
        <v>6.1</v>
      </c>
      <c r="I1863" s="10">
        <f t="shared" si="31"/>
        <v>6.1</v>
      </c>
      <c r="J1863" s="10">
        <v>0.25267919999999999</v>
      </c>
      <c r="K1863" s="8" t="s">
        <v>5051</v>
      </c>
      <c r="S1863"/>
    </row>
    <row r="1864" spans="1:19" ht="15" x14ac:dyDescent="0.25">
      <c r="A1864" s="8" t="s">
        <v>6071</v>
      </c>
      <c r="B1864" s="8" t="s">
        <v>6069</v>
      </c>
      <c r="C1864" s="8" t="s">
        <v>6891</v>
      </c>
      <c r="D1864" s="32" t="s">
        <v>6984</v>
      </c>
      <c r="E1864" s="32" t="s">
        <v>6891</v>
      </c>
      <c r="F1864" s="10">
        <v>1</v>
      </c>
      <c r="G1864" s="8" t="s">
        <v>5642</v>
      </c>
      <c r="H1864" s="10">
        <v>4.3</v>
      </c>
      <c r="I1864" s="10">
        <f t="shared" si="31"/>
        <v>4.3</v>
      </c>
      <c r="J1864" s="10">
        <v>0.17891760000000001</v>
      </c>
      <c r="K1864" s="8" t="s">
        <v>5051</v>
      </c>
      <c r="S1864"/>
    </row>
    <row r="1865" spans="1:19" ht="15" x14ac:dyDescent="0.25">
      <c r="A1865" s="8" t="s">
        <v>6071</v>
      </c>
      <c r="B1865" s="8" t="s">
        <v>6069</v>
      </c>
      <c r="C1865" s="8" t="s">
        <v>6892</v>
      </c>
      <c r="D1865" s="32" t="s">
        <v>6984</v>
      </c>
      <c r="E1865" s="32" t="s">
        <v>6892</v>
      </c>
      <c r="F1865" s="10">
        <v>2</v>
      </c>
      <c r="G1865" s="8" t="s">
        <v>5642</v>
      </c>
      <c r="H1865" s="10">
        <v>6.4</v>
      </c>
      <c r="I1865" s="10">
        <f t="shared" si="31"/>
        <v>12.8</v>
      </c>
      <c r="J1865" s="10">
        <v>0.71079360000000003</v>
      </c>
      <c r="K1865" s="8" t="s">
        <v>5255</v>
      </c>
      <c r="S1865"/>
    </row>
    <row r="1866" spans="1:19" ht="15" x14ac:dyDescent="0.25">
      <c r="A1866" s="8" t="s">
        <v>6071</v>
      </c>
      <c r="B1866" s="8" t="s">
        <v>6069</v>
      </c>
      <c r="C1866" s="8" t="s">
        <v>6893</v>
      </c>
      <c r="D1866" s="32" t="s">
        <v>6984</v>
      </c>
      <c r="E1866" s="32" t="s">
        <v>6893</v>
      </c>
      <c r="F1866" s="10">
        <v>4</v>
      </c>
      <c r="G1866" s="8" t="s">
        <v>5642</v>
      </c>
      <c r="H1866" s="10">
        <v>6.6749999999999998</v>
      </c>
      <c r="I1866" s="10">
        <f t="shared" si="31"/>
        <v>26.7</v>
      </c>
      <c r="J1866" s="10">
        <v>1.4801088</v>
      </c>
      <c r="K1866" s="8" t="s">
        <v>5255</v>
      </c>
      <c r="S1866"/>
    </row>
    <row r="1867" spans="1:19" ht="15" x14ac:dyDescent="0.25">
      <c r="A1867" s="8" t="s">
        <v>6071</v>
      </c>
      <c r="B1867" s="8" t="s">
        <v>6069</v>
      </c>
      <c r="C1867" s="8" t="s">
        <v>6894</v>
      </c>
      <c r="D1867" s="32" t="s">
        <v>6984</v>
      </c>
      <c r="E1867" s="32" t="s">
        <v>6894</v>
      </c>
      <c r="F1867" s="10">
        <v>1</v>
      </c>
      <c r="G1867" s="8" t="s">
        <v>5642</v>
      </c>
      <c r="H1867" s="10">
        <v>6.3</v>
      </c>
      <c r="I1867" s="10">
        <f t="shared" si="31"/>
        <v>6.3</v>
      </c>
      <c r="J1867" s="10">
        <v>0.34960560000000002</v>
      </c>
      <c r="K1867" s="8" t="s">
        <v>5255</v>
      </c>
      <c r="S1867"/>
    </row>
    <row r="1868" spans="1:19" ht="15" x14ac:dyDescent="0.25">
      <c r="A1868" s="8" t="s">
        <v>6071</v>
      </c>
      <c r="B1868" s="8" t="s">
        <v>6069</v>
      </c>
      <c r="C1868" s="8" t="s">
        <v>6895</v>
      </c>
      <c r="D1868" s="32" t="s">
        <v>6984</v>
      </c>
      <c r="E1868" s="32" t="s">
        <v>6895</v>
      </c>
      <c r="F1868" s="10">
        <v>1</v>
      </c>
      <c r="G1868" s="8" t="s">
        <v>5642</v>
      </c>
      <c r="H1868" s="10">
        <v>6.3</v>
      </c>
      <c r="I1868" s="10">
        <f t="shared" si="31"/>
        <v>6.3</v>
      </c>
      <c r="J1868" s="10">
        <v>0.35052</v>
      </c>
      <c r="K1868" s="8" t="s">
        <v>5255</v>
      </c>
      <c r="S1868"/>
    </row>
    <row r="1869" spans="1:19" ht="15" x14ac:dyDescent="0.25">
      <c r="A1869" s="8" t="s">
        <v>6068</v>
      </c>
      <c r="B1869" s="8" t="s">
        <v>6069</v>
      </c>
      <c r="C1869" s="8" t="s">
        <v>6896</v>
      </c>
      <c r="D1869" s="32" t="s">
        <v>6984</v>
      </c>
      <c r="E1869" s="32" t="s">
        <v>6896</v>
      </c>
      <c r="F1869" s="10">
        <v>1</v>
      </c>
      <c r="G1869" s="8" t="s">
        <v>5642</v>
      </c>
      <c r="H1869" s="10">
        <v>6.6</v>
      </c>
      <c r="I1869" s="10">
        <f t="shared" si="31"/>
        <v>6.6</v>
      </c>
      <c r="J1869" s="10">
        <v>0.36545519999999998</v>
      </c>
      <c r="K1869" s="8" t="s">
        <v>5255</v>
      </c>
      <c r="S1869"/>
    </row>
    <row r="1870" spans="1:19" ht="15" x14ac:dyDescent="0.25">
      <c r="A1870" s="8" t="s">
        <v>6068</v>
      </c>
      <c r="B1870" s="8" t="s">
        <v>6069</v>
      </c>
      <c r="C1870" s="8" t="s">
        <v>6897</v>
      </c>
      <c r="D1870" s="32" t="s">
        <v>6984</v>
      </c>
      <c r="E1870" s="32" t="s">
        <v>6897</v>
      </c>
      <c r="F1870" s="10">
        <v>3</v>
      </c>
      <c r="G1870" s="8" t="s">
        <v>5642</v>
      </c>
      <c r="H1870" s="10">
        <v>6.7666666666666666</v>
      </c>
      <c r="I1870" s="10">
        <f t="shared" si="31"/>
        <v>20.3</v>
      </c>
      <c r="J1870" s="10">
        <v>1.1274552</v>
      </c>
      <c r="K1870" s="8" t="s">
        <v>5255</v>
      </c>
      <c r="S1870"/>
    </row>
    <row r="1871" spans="1:19" ht="15" x14ac:dyDescent="0.25">
      <c r="A1871" s="8" t="s">
        <v>6068</v>
      </c>
      <c r="B1871" s="8" t="s">
        <v>6069</v>
      </c>
      <c r="C1871" s="8" t="s">
        <v>6898</v>
      </c>
      <c r="D1871" s="32" t="s">
        <v>6984</v>
      </c>
      <c r="E1871" s="32" t="s">
        <v>6898</v>
      </c>
      <c r="F1871" s="10">
        <v>1</v>
      </c>
      <c r="G1871" s="8" t="s">
        <v>5642</v>
      </c>
      <c r="H1871" s="10">
        <v>6.8</v>
      </c>
      <c r="I1871" s="10">
        <f t="shared" si="31"/>
        <v>6.8</v>
      </c>
      <c r="J1871" s="10">
        <v>0.37490400000000002</v>
      </c>
      <c r="K1871" s="8" t="s">
        <v>5255</v>
      </c>
      <c r="S1871"/>
    </row>
    <row r="1872" spans="1:19" ht="15" x14ac:dyDescent="0.25">
      <c r="A1872" s="8" t="s">
        <v>6071</v>
      </c>
      <c r="B1872" s="8" t="s">
        <v>6069</v>
      </c>
      <c r="C1872" s="8" t="s">
        <v>6899</v>
      </c>
      <c r="D1872" s="32" t="s">
        <v>6984</v>
      </c>
      <c r="E1872" s="32" t="s">
        <v>6899</v>
      </c>
      <c r="F1872" s="10">
        <v>5</v>
      </c>
      <c r="G1872" s="8" t="s">
        <v>5642</v>
      </c>
      <c r="H1872" s="10">
        <v>6.56</v>
      </c>
      <c r="I1872" s="10">
        <f t="shared" si="31"/>
        <v>32.799999999999997</v>
      </c>
      <c r="J1872" s="10">
        <v>1.82118</v>
      </c>
      <c r="K1872" s="8" t="s">
        <v>5255</v>
      </c>
      <c r="S1872"/>
    </row>
    <row r="1873" spans="1:19" ht="15" x14ac:dyDescent="0.25">
      <c r="A1873" s="8" t="s">
        <v>6068</v>
      </c>
      <c r="B1873" s="8" t="s">
        <v>6069</v>
      </c>
      <c r="C1873" s="8" t="s">
        <v>6900</v>
      </c>
      <c r="D1873" s="32" t="s">
        <v>6984</v>
      </c>
      <c r="E1873" s="32" t="s">
        <v>6900</v>
      </c>
      <c r="F1873" s="10">
        <v>1</v>
      </c>
      <c r="G1873" s="8" t="s">
        <v>5642</v>
      </c>
      <c r="H1873" s="10">
        <v>6.3</v>
      </c>
      <c r="I1873" s="10">
        <f t="shared" si="31"/>
        <v>6.3</v>
      </c>
      <c r="J1873" s="10">
        <v>0.3502152</v>
      </c>
      <c r="K1873" s="8" t="s">
        <v>5255</v>
      </c>
      <c r="S1873"/>
    </row>
    <row r="1874" spans="1:19" ht="15" x14ac:dyDescent="0.25">
      <c r="A1874" s="8" t="s">
        <v>6068</v>
      </c>
      <c r="B1874" s="8" t="s">
        <v>6069</v>
      </c>
      <c r="C1874" s="8" t="s">
        <v>6901</v>
      </c>
      <c r="D1874" s="32" t="s">
        <v>6984</v>
      </c>
      <c r="E1874" s="32" t="s">
        <v>6901</v>
      </c>
      <c r="F1874" s="10">
        <v>2</v>
      </c>
      <c r="G1874" s="8" t="s">
        <v>5642</v>
      </c>
      <c r="H1874" s="10">
        <v>6.55</v>
      </c>
      <c r="I1874" s="10">
        <f t="shared" si="31"/>
        <v>13.1</v>
      </c>
      <c r="J1874" s="10">
        <v>0.72603359999999995</v>
      </c>
      <c r="K1874" s="8" t="s">
        <v>5255</v>
      </c>
      <c r="S1874"/>
    </row>
    <row r="1875" spans="1:19" ht="15" x14ac:dyDescent="0.25">
      <c r="A1875" s="8" t="s">
        <v>6068</v>
      </c>
      <c r="B1875" s="8" t="s">
        <v>6069</v>
      </c>
      <c r="C1875" s="8" t="s">
        <v>6902</v>
      </c>
      <c r="D1875" s="32" t="s">
        <v>6984</v>
      </c>
      <c r="E1875" s="32" t="s">
        <v>6902</v>
      </c>
      <c r="F1875" s="10">
        <v>1</v>
      </c>
      <c r="G1875" s="8" t="s">
        <v>5642</v>
      </c>
      <c r="H1875" s="10">
        <v>6.3</v>
      </c>
      <c r="I1875" s="10">
        <f t="shared" si="31"/>
        <v>6.3</v>
      </c>
      <c r="J1875" s="10">
        <v>0.34930080000000002</v>
      </c>
      <c r="K1875" s="8" t="s">
        <v>5255</v>
      </c>
      <c r="S1875"/>
    </row>
    <row r="1876" spans="1:19" ht="15" x14ac:dyDescent="0.25">
      <c r="A1876" s="8" t="s">
        <v>6068</v>
      </c>
      <c r="B1876" s="8" t="s">
        <v>6069</v>
      </c>
      <c r="C1876" s="8" t="s">
        <v>6903</v>
      </c>
      <c r="D1876" s="32" t="s">
        <v>6984</v>
      </c>
      <c r="E1876" s="32" t="s">
        <v>6903</v>
      </c>
      <c r="F1876" s="10">
        <v>2</v>
      </c>
      <c r="G1876" s="8" t="s">
        <v>5642</v>
      </c>
      <c r="H1876" s="10">
        <v>6.55</v>
      </c>
      <c r="I1876" s="10">
        <f t="shared" si="31"/>
        <v>13.1</v>
      </c>
      <c r="J1876" s="10">
        <v>0.72786240000000002</v>
      </c>
      <c r="K1876" s="8" t="s">
        <v>5255</v>
      </c>
      <c r="S1876"/>
    </row>
    <row r="1877" spans="1:19" ht="15" x14ac:dyDescent="0.25">
      <c r="A1877" s="8" t="s">
        <v>6068</v>
      </c>
      <c r="B1877" s="8" t="s">
        <v>6069</v>
      </c>
      <c r="C1877" s="8" t="s">
        <v>6904</v>
      </c>
      <c r="D1877" s="32" t="s">
        <v>6984</v>
      </c>
      <c r="E1877" s="32" t="s">
        <v>6904</v>
      </c>
      <c r="F1877" s="10">
        <v>1</v>
      </c>
      <c r="G1877" s="8" t="s">
        <v>5642</v>
      </c>
      <c r="H1877" s="10">
        <v>65</v>
      </c>
      <c r="I1877" s="10">
        <f t="shared" si="31"/>
        <v>65</v>
      </c>
      <c r="J1877" s="10">
        <v>2.6911808000000002</v>
      </c>
      <c r="K1877" s="8" t="s">
        <v>5711</v>
      </c>
      <c r="S1877"/>
    </row>
    <row r="1878" spans="1:19" ht="15" x14ac:dyDescent="0.25">
      <c r="A1878" s="8" t="s">
        <v>6068</v>
      </c>
      <c r="B1878" s="8" t="s">
        <v>6069</v>
      </c>
      <c r="C1878" s="8" t="s">
        <v>6905</v>
      </c>
      <c r="D1878" s="32" t="s">
        <v>6984</v>
      </c>
      <c r="E1878" s="32" t="s">
        <v>6905</v>
      </c>
      <c r="F1878" s="10">
        <v>1</v>
      </c>
      <c r="G1878" s="8" t="s">
        <v>5642</v>
      </c>
      <c r="H1878" s="10">
        <v>65.5</v>
      </c>
      <c r="I1878" s="10">
        <f t="shared" si="31"/>
        <v>65.5</v>
      </c>
      <c r="J1878" s="10">
        <v>2.7123135999999999</v>
      </c>
      <c r="K1878" s="8" t="s">
        <v>5711</v>
      </c>
      <c r="S1878"/>
    </row>
    <row r="1879" spans="1:19" ht="15" x14ac:dyDescent="0.25">
      <c r="A1879" s="8" t="s">
        <v>6068</v>
      </c>
      <c r="B1879" s="8" t="s">
        <v>6069</v>
      </c>
      <c r="C1879" s="8" t="s">
        <v>6906</v>
      </c>
      <c r="D1879" s="32" t="s">
        <v>6984</v>
      </c>
      <c r="E1879" s="32" t="s">
        <v>6906</v>
      </c>
      <c r="F1879" s="10">
        <v>6</v>
      </c>
      <c r="G1879" s="8" t="s">
        <v>22</v>
      </c>
      <c r="H1879" s="10">
        <v>0.48333333333333334</v>
      </c>
      <c r="I1879" s="10">
        <f t="shared" si="31"/>
        <v>2.9</v>
      </c>
      <c r="J1879" s="10">
        <v>0.102816</v>
      </c>
      <c r="K1879" s="8" t="s">
        <v>5513</v>
      </c>
      <c r="S1879"/>
    </row>
    <row r="1880" spans="1:19" ht="15" x14ac:dyDescent="0.25">
      <c r="A1880" s="8" t="s">
        <v>6071</v>
      </c>
      <c r="B1880" s="8" t="s">
        <v>6069</v>
      </c>
      <c r="C1880" s="8" t="s">
        <v>6907</v>
      </c>
      <c r="D1880" s="32" t="s">
        <v>6984</v>
      </c>
      <c r="E1880" s="32" t="s">
        <v>6907</v>
      </c>
      <c r="F1880" s="10">
        <v>18</v>
      </c>
      <c r="G1880" s="8" t="s">
        <v>22</v>
      </c>
      <c r="H1880" s="10">
        <v>0.42777777777777781</v>
      </c>
      <c r="I1880" s="10">
        <f t="shared" si="31"/>
        <v>7.7000000000000011</v>
      </c>
      <c r="J1880" s="10">
        <v>0.27216000000000001</v>
      </c>
      <c r="K1880" s="8" t="s">
        <v>5513</v>
      </c>
      <c r="S1880"/>
    </row>
    <row r="1881" spans="1:19" ht="15" x14ac:dyDescent="0.25">
      <c r="A1881" s="8" t="s">
        <v>6071</v>
      </c>
      <c r="B1881" s="8" t="s">
        <v>6069</v>
      </c>
      <c r="C1881" s="8" t="s">
        <v>6908</v>
      </c>
      <c r="D1881" s="32" t="s">
        <v>6984</v>
      </c>
      <c r="E1881" s="32" t="s">
        <v>6908</v>
      </c>
      <c r="F1881" s="10">
        <v>2</v>
      </c>
      <c r="G1881" s="8" t="s">
        <v>22</v>
      </c>
      <c r="H1881" s="10">
        <v>9.9499999999999993</v>
      </c>
      <c r="I1881" s="10">
        <f t="shared" si="31"/>
        <v>19.899999999999999</v>
      </c>
      <c r="J1881" s="10">
        <v>0.41635299999999997</v>
      </c>
      <c r="K1881" s="8" t="s">
        <v>4795</v>
      </c>
      <c r="S1881"/>
    </row>
    <row r="1882" spans="1:19" ht="15" x14ac:dyDescent="0.25">
      <c r="A1882" s="8" t="s">
        <v>6071</v>
      </c>
      <c r="B1882" s="8" t="s">
        <v>6069</v>
      </c>
      <c r="C1882" s="8" t="s">
        <v>6909</v>
      </c>
      <c r="D1882" s="32" t="s">
        <v>6984</v>
      </c>
      <c r="E1882" s="32" t="s">
        <v>6909</v>
      </c>
      <c r="F1882" s="10">
        <v>4</v>
      </c>
      <c r="G1882" s="8" t="s">
        <v>22</v>
      </c>
      <c r="H1882" s="10">
        <v>4.55</v>
      </c>
      <c r="I1882" s="10">
        <f t="shared" si="31"/>
        <v>18.2</v>
      </c>
      <c r="J1882" s="10">
        <v>0.38066559999999999</v>
      </c>
      <c r="K1882" s="8" t="s">
        <v>4795</v>
      </c>
      <c r="S1882"/>
    </row>
    <row r="1883" spans="1:19" ht="15" x14ac:dyDescent="0.25">
      <c r="A1883" s="8" t="s">
        <v>6068</v>
      </c>
      <c r="B1883" s="8" t="s">
        <v>6069</v>
      </c>
      <c r="C1883" s="8" t="s">
        <v>6910</v>
      </c>
      <c r="D1883" s="32" t="s">
        <v>6984</v>
      </c>
      <c r="E1883" s="32" t="s">
        <v>6910</v>
      </c>
      <c r="F1883" s="10">
        <v>2</v>
      </c>
      <c r="G1883" s="8" t="s">
        <v>22</v>
      </c>
      <c r="H1883" s="10">
        <v>1.4</v>
      </c>
      <c r="I1883" s="10">
        <f t="shared" si="31"/>
        <v>2.8</v>
      </c>
      <c r="J1883" s="10">
        <v>5.9068799999999998E-2</v>
      </c>
      <c r="K1883" s="8" t="s">
        <v>4795</v>
      </c>
      <c r="S1883"/>
    </row>
    <row r="1884" spans="1:19" ht="15" x14ac:dyDescent="0.25">
      <c r="A1884" s="8" t="s">
        <v>6071</v>
      </c>
      <c r="B1884" s="8" t="s">
        <v>6069</v>
      </c>
      <c r="C1884" s="8" t="s">
        <v>6911</v>
      </c>
      <c r="D1884" s="32" t="s">
        <v>6984</v>
      </c>
      <c r="E1884" s="32" t="s">
        <v>6911</v>
      </c>
      <c r="F1884" s="10">
        <v>32</v>
      </c>
      <c r="G1884" s="8" t="s">
        <v>22</v>
      </c>
      <c r="H1884" s="10">
        <v>6.75</v>
      </c>
      <c r="I1884" s="10">
        <f t="shared" si="31"/>
        <v>216</v>
      </c>
      <c r="J1884" s="10">
        <v>4.5154816000000002</v>
      </c>
      <c r="K1884" s="8" t="s">
        <v>4795</v>
      </c>
      <c r="S1884"/>
    </row>
    <row r="1885" spans="1:19" ht="15" x14ac:dyDescent="0.25">
      <c r="A1885" s="8" t="s">
        <v>6071</v>
      </c>
      <c r="B1885" s="8" t="s">
        <v>6069</v>
      </c>
      <c r="C1885" s="8" t="s">
        <v>6912</v>
      </c>
      <c r="D1885" s="32" t="s">
        <v>6984</v>
      </c>
      <c r="E1885" s="32" t="s">
        <v>6912</v>
      </c>
      <c r="F1885" s="10">
        <v>16</v>
      </c>
      <c r="G1885" s="8" t="s">
        <v>22</v>
      </c>
      <c r="H1885" s="10">
        <v>14.768750000000001</v>
      </c>
      <c r="I1885" s="10">
        <f t="shared" si="31"/>
        <v>236.3</v>
      </c>
      <c r="J1885" s="10">
        <v>4.9388079999999999</v>
      </c>
      <c r="K1885" s="8" t="s">
        <v>4795</v>
      </c>
      <c r="S1885"/>
    </row>
    <row r="1886" spans="1:19" ht="15" x14ac:dyDescent="0.25">
      <c r="A1886" s="8" t="s">
        <v>6071</v>
      </c>
      <c r="B1886" s="8" t="s">
        <v>6069</v>
      </c>
      <c r="C1886" s="8" t="s">
        <v>6913</v>
      </c>
      <c r="D1886" s="32" t="s">
        <v>6984</v>
      </c>
      <c r="E1886" s="32" t="s">
        <v>6913</v>
      </c>
      <c r="F1886" s="10">
        <v>1</v>
      </c>
      <c r="G1886" s="8" t="s">
        <v>22</v>
      </c>
      <c r="H1886" s="10">
        <v>10.3</v>
      </c>
      <c r="I1886" s="10">
        <f t="shared" si="31"/>
        <v>10.3</v>
      </c>
      <c r="J1886" s="10">
        <v>0.21428700328</v>
      </c>
      <c r="K1886" s="8" t="s">
        <v>4795</v>
      </c>
      <c r="S1886"/>
    </row>
    <row r="1887" spans="1:19" ht="15" x14ac:dyDescent="0.25">
      <c r="A1887" s="8" t="s">
        <v>6071</v>
      </c>
      <c r="B1887" s="8" t="s">
        <v>6069</v>
      </c>
      <c r="C1887" s="8" t="s">
        <v>6914</v>
      </c>
      <c r="D1887" s="32" t="s">
        <v>6984</v>
      </c>
      <c r="E1887" s="32" t="s">
        <v>6914</v>
      </c>
      <c r="F1887" s="10">
        <v>32</v>
      </c>
      <c r="G1887" s="8" t="s">
        <v>22</v>
      </c>
      <c r="H1887" s="10">
        <v>4.015625</v>
      </c>
      <c r="I1887" s="10">
        <f t="shared" si="31"/>
        <v>128.5</v>
      </c>
      <c r="J1887" s="10">
        <v>5.2617599999999998</v>
      </c>
      <c r="K1887" s="8" t="s">
        <v>4798</v>
      </c>
      <c r="S1887"/>
    </row>
    <row r="1888" spans="1:19" ht="15" x14ac:dyDescent="0.25">
      <c r="A1888" s="8" t="s">
        <v>6071</v>
      </c>
      <c r="B1888" s="8" t="s">
        <v>6069</v>
      </c>
      <c r="C1888" s="8" t="s">
        <v>6915</v>
      </c>
      <c r="D1888" s="32" t="s">
        <v>6984</v>
      </c>
      <c r="E1888" s="32" t="s">
        <v>6915</v>
      </c>
      <c r="F1888" s="10">
        <v>358</v>
      </c>
      <c r="G1888" s="8" t="s">
        <v>22</v>
      </c>
      <c r="H1888" s="10">
        <v>1.0013966480446927</v>
      </c>
      <c r="I1888" s="10">
        <f t="shared" si="31"/>
        <v>358.5</v>
      </c>
      <c r="J1888" s="10">
        <v>15.36894</v>
      </c>
      <c r="K1888" s="8" t="s">
        <v>6916</v>
      </c>
      <c r="S1888"/>
    </row>
    <row r="1889" spans="1:19" ht="15" x14ac:dyDescent="0.25">
      <c r="A1889" s="8" t="s">
        <v>6071</v>
      </c>
      <c r="B1889" s="8" t="s">
        <v>6069</v>
      </c>
      <c r="C1889" s="8" t="s">
        <v>6917</v>
      </c>
      <c r="D1889" s="32" t="s">
        <v>6984</v>
      </c>
      <c r="E1889" s="32" t="s">
        <v>6917</v>
      </c>
      <c r="F1889" s="10">
        <v>58</v>
      </c>
      <c r="G1889" s="8" t="s">
        <v>22</v>
      </c>
      <c r="H1889" s="10">
        <v>2.7689655172413792</v>
      </c>
      <c r="I1889" s="10">
        <f t="shared" si="31"/>
        <v>160.6</v>
      </c>
      <c r="J1889" s="10">
        <v>6.5772000000000004</v>
      </c>
      <c r="K1889" s="8" t="s">
        <v>4798</v>
      </c>
      <c r="S1889"/>
    </row>
    <row r="1890" spans="1:19" ht="15" x14ac:dyDescent="0.25">
      <c r="A1890" s="8" t="s">
        <v>6071</v>
      </c>
      <c r="B1890" s="8" t="s">
        <v>6069</v>
      </c>
      <c r="C1890" s="8" t="s">
        <v>6918</v>
      </c>
      <c r="D1890" s="32" t="s">
        <v>6984</v>
      </c>
      <c r="E1890" s="32" t="s">
        <v>6918</v>
      </c>
      <c r="F1890" s="10">
        <v>28</v>
      </c>
      <c r="G1890" s="8" t="s">
        <v>22</v>
      </c>
      <c r="H1890" s="10">
        <v>4.5678571428571431</v>
      </c>
      <c r="I1890" s="10">
        <f t="shared" si="31"/>
        <v>127.9</v>
      </c>
      <c r="J1890" s="10">
        <v>5.2390800000000004</v>
      </c>
      <c r="K1890" s="8" t="s">
        <v>4798</v>
      </c>
      <c r="S1890"/>
    </row>
    <row r="1891" spans="1:19" ht="15" x14ac:dyDescent="0.25">
      <c r="A1891" s="8" t="s">
        <v>6071</v>
      </c>
      <c r="B1891" s="8" t="s">
        <v>6069</v>
      </c>
      <c r="C1891" s="8" t="s">
        <v>6919</v>
      </c>
      <c r="D1891" s="32" t="s">
        <v>6984</v>
      </c>
      <c r="E1891" s="32" t="s">
        <v>6919</v>
      </c>
      <c r="F1891" s="10">
        <v>32</v>
      </c>
      <c r="G1891" s="8" t="s">
        <v>22</v>
      </c>
      <c r="H1891" s="10">
        <v>2.4468749999999999</v>
      </c>
      <c r="I1891" s="10">
        <f t="shared" si="31"/>
        <v>78.3</v>
      </c>
      <c r="J1891" s="10">
        <v>3.3580800000000002</v>
      </c>
      <c r="K1891" s="8" t="s">
        <v>6916</v>
      </c>
      <c r="S1891"/>
    </row>
    <row r="1892" spans="1:19" ht="15" x14ac:dyDescent="0.25">
      <c r="A1892" s="8" t="s">
        <v>6071</v>
      </c>
      <c r="B1892" s="8" t="s">
        <v>6069</v>
      </c>
      <c r="C1892" s="8" t="s">
        <v>6920</v>
      </c>
      <c r="D1892" s="32" t="s">
        <v>6984</v>
      </c>
      <c r="E1892" s="32" t="s">
        <v>6920</v>
      </c>
      <c r="F1892" s="10">
        <v>8</v>
      </c>
      <c r="G1892" s="8" t="s">
        <v>22</v>
      </c>
      <c r="H1892" s="10">
        <v>1.6</v>
      </c>
      <c r="I1892" s="10">
        <f t="shared" si="31"/>
        <v>12.8</v>
      </c>
      <c r="J1892" s="10">
        <v>0.52488000000000001</v>
      </c>
      <c r="K1892" s="8" t="s">
        <v>4798</v>
      </c>
      <c r="S1892"/>
    </row>
    <row r="1893" spans="1:19" ht="15" x14ac:dyDescent="0.25">
      <c r="A1893" s="8" t="s">
        <v>6071</v>
      </c>
      <c r="B1893" s="8" t="s">
        <v>6069</v>
      </c>
      <c r="C1893" s="8" t="s">
        <v>6921</v>
      </c>
      <c r="D1893" s="32" t="s">
        <v>6984</v>
      </c>
      <c r="E1893" s="32" t="s">
        <v>6921</v>
      </c>
      <c r="F1893" s="10">
        <v>80</v>
      </c>
      <c r="G1893" s="8" t="s">
        <v>22</v>
      </c>
      <c r="H1893" s="10">
        <v>2.0074999999999998</v>
      </c>
      <c r="I1893" s="10">
        <f t="shared" si="31"/>
        <v>160.6</v>
      </c>
      <c r="J1893" s="10">
        <v>6.5772000000000004</v>
      </c>
      <c r="K1893" s="8" t="s">
        <v>4798</v>
      </c>
      <c r="S1893"/>
    </row>
    <row r="1894" spans="1:19" ht="15" x14ac:dyDescent="0.25">
      <c r="A1894" s="8" t="s">
        <v>6071</v>
      </c>
      <c r="B1894" s="8" t="s">
        <v>6069</v>
      </c>
      <c r="C1894" s="8" t="s">
        <v>6922</v>
      </c>
      <c r="D1894" s="32" t="s">
        <v>6984</v>
      </c>
      <c r="E1894" s="32" t="s">
        <v>6922</v>
      </c>
      <c r="F1894" s="10">
        <v>40</v>
      </c>
      <c r="G1894" s="8" t="s">
        <v>22</v>
      </c>
      <c r="H1894" s="10">
        <v>1.9649999999999999</v>
      </c>
      <c r="I1894" s="10">
        <f t="shared" si="31"/>
        <v>78.599999999999994</v>
      </c>
      <c r="J1894" s="10">
        <v>3.3708</v>
      </c>
      <c r="K1894" s="8" t="s">
        <v>6916</v>
      </c>
      <c r="S1894"/>
    </row>
    <row r="1895" spans="1:19" ht="15" x14ac:dyDescent="0.25">
      <c r="A1895" s="8" t="s">
        <v>6071</v>
      </c>
      <c r="B1895" s="8" t="s">
        <v>6069</v>
      </c>
      <c r="C1895" s="8" t="s">
        <v>6923</v>
      </c>
      <c r="D1895" s="32" t="s">
        <v>6984</v>
      </c>
      <c r="E1895" s="32" t="s">
        <v>6923</v>
      </c>
      <c r="F1895" s="10">
        <v>2</v>
      </c>
      <c r="G1895" s="8" t="s">
        <v>22</v>
      </c>
      <c r="H1895" s="10">
        <v>1.35</v>
      </c>
      <c r="I1895" s="10">
        <f t="shared" si="31"/>
        <v>2.7</v>
      </c>
      <c r="J1895" s="10">
        <v>0.112246155</v>
      </c>
      <c r="K1895" s="8" t="s">
        <v>4798</v>
      </c>
      <c r="S1895"/>
    </row>
    <row r="1896" spans="1:19" ht="15" x14ac:dyDescent="0.25">
      <c r="A1896" s="8" t="s">
        <v>6071</v>
      </c>
      <c r="B1896" s="8" t="s">
        <v>6069</v>
      </c>
      <c r="C1896" s="8" t="s">
        <v>6924</v>
      </c>
      <c r="D1896" s="32" t="s">
        <v>6984</v>
      </c>
      <c r="E1896" s="32" t="s">
        <v>6924</v>
      </c>
      <c r="F1896" s="10">
        <v>48</v>
      </c>
      <c r="G1896" s="8" t="s">
        <v>22</v>
      </c>
      <c r="H1896" s="10">
        <v>1.4833333333333334</v>
      </c>
      <c r="I1896" s="10">
        <f t="shared" si="31"/>
        <v>71.2</v>
      </c>
      <c r="J1896" s="10">
        <v>3.0528</v>
      </c>
      <c r="K1896" s="8" t="s">
        <v>6916</v>
      </c>
      <c r="S1896"/>
    </row>
    <row r="1897" spans="1:19" ht="15" x14ac:dyDescent="0.25">
      <c r="A1897" s="8" t="s">
        <v>6071</v>
      </c>
      <c r="B1897" s="8" t="s">
        <v>6069</v>
      </c>
      <c r="C1897" s="8" t="s">
        <v>6925</v>
      </c>
      <c r="D1897" s="32" t="s">
        <v>6984</v>
      </c>
      <c r="E1897" s="32" t="s">
        <v>6925</v>
      </c>
      <c r="F1897" s="10">
        <v>4</v>
      </c>
      <c r="G1897" s="8" t="s">
        <v>22</v>
      </c>
      <c r="H1897" s="10">
        <v>1.4750000000000001</v>
      </c>
      <c r="I1897" s="10">
        <f t="shared" si="31"/>
        <v>5.9</v>
      </c>
      <c r="J1897" s="10">
        <v>0.25440000000000002</v>
      </c>
      <c r="K1897" s="8" t="s">
        <v>6916</v>
      </c>
      <c r="S1897"/>
    </row>
    <row r="1898" spans="1:19" ht="15" x14ac:dyDescent="0.25">
      <c r="A1898" s="8" t="s">
        <v>6071</v>
      </c>
      <c r="B1898" s="8" t="s">
        <v>6069</v>
      </c>
      <c r="C1898" s="8" t="s">
        <v>6926</v>
      </c>
      <c r="D1898" s="32" t="s">
        <v>6984</v>
      </c>
      <c r="E1898" s="32" t="s">
        <v>6926</v>
      </c>
      <c r="F1898" s="10">
        <v>32</v>
      </c>
      <c r="G1898" s="8" t="s">
        <v>22</v>
      </c>
      <c r="H1898" s="10">
        <v>4.5906250000000002</v>
      </c>
      <c r="I1898" s="10">
        <f t="shared" si="31"/>
        <v>146.9</v>
      </c>
      <c r="J1898" s="10">
        <v>4.7532544000000003</v>
      </c>
      <c r="K1898" s="8" t="s">
        <v>23</v>
      </c>
      <c r="S1898"/>
    </row>
    <row r="1899" spans="1:19" ht="15" x14ac:dyDescent="0.25">
      <c r="A1899" s="8" t="s">
        <v>6071</v>
      </c>
      <c r="B1899" s="8" t="s">
        <v>6069</v>
      </c>
      <c r="C1899" s="8" t="s">
        <v>6927</v>
      </c>
      <c r="D1899" s="32" t="s">
        <v>6984</v>
      </c>
      <c r="E1899" s="32" t="s">
        <v>6927</v>
      </c>
      <c r="F1899" s="10">
        <v>4</v>
      </c>
      <c r="G1899" s="8" t="s">
        <v>22</v>
      </c>
      <c r="H1899" s="10">
        <v>1.05</v>
      </c>
      <c r="I1899" s="10">
        <f t="shared" si="31"/>
        <v>4.2</v>
      </c>
      <c r="J1899" s="10">
        <v>0.13655039999999999</v>
      </c>
      <c r="K1899" s="8" t="s">
        <v>23</v>
      </c>
      <c r="S1899"/>
    </row>
    <row r="1900" spans="1:19" ht="15" x14ac:dyDescent="0.25">
      <c r="A1900" s="8" t="s">
        <v>6071</v>
      </c>
      <c r="B1900" s="8" t="s">
        <v>6069</v>
      </c>
      <c r="C1900" s="8" t="s">
        <v>6928</v>
      </c>
      <c r="D1900" s="32" t="s">
        <v>6984</v>
      </c>
      <c r="E1900" s="32" t="s">
        <v>6928</v>
      </c>
      <c r="F1900" s="10">
        <v>16</v>
      </c>
      <c r="G1900" s="8" t="s">
        <v>22</v>
      </c>
      <c r="H1900" s="10">
        <v>1.28125</v>
      </c>
      <c r="I1900" s="10">
        <f t="shared" si="31"/>
        <v>20.5</v>
      </c>
      <c r="J1900" s="10">
        <v>0.66324479999999997</v>
      </c>
      <c r="K1900" s="8" t="s">
        <v>23</v>
      </c>
      <c r="S1900"/>
    </row>
    <row r="1901" spans="1:19" ht="15" x14ac:dyDescent="0.25">
      <c r="A1901" s="8" t="s">
        <v>6071</v>
      </c>
      <c r="B1901" s="8" t="s">
        <v>6069</v>
      </c>
      <c r="C1901" s="8" t="s">
        <v>6929</v>
      </c>
      <c r="D1901" s="32" t="s">
        <v>6984</v>
      </c>
      <c r="E1901" s="32" t="s">
        <v>6929</v>
      </c>
      <c r="F1901" s="10">
        <v>2</v>
      </c>
      <c r="G1901" s="8" t="s">
        <v>4903</v>
      </c>
      <c r="H1901" s="10">
        <v>137.65</v>
      </c>
      <c r="I1901" s="10">
        <f t="shared" si="31"/>
        <v>275.3</v>
      </c>
      <c r="J1901" s="10">
        <v>9.0879232000000005</v>
      </c>
      <c r="K1901" s="8" t="s">
        <v>4904</v>
      </c>
      <c r="S1901"/>
    </row>
    <row r="1902" spans="1:19" ht="15" x14ac:dyDescent="0.25">
      <c r="A1902" s="8" t="s">
        <v>6071</v>
      </c>
      <c r="B1902" s="8" t="s">
        <v>6069</v>
      </c>
      <c r="C1902" s="8" t="s">
        <v>6930</v>
      </c>
      <c r="D1902" s="32" t="s">
        <v>6984</v>
      </c>
      <c r="E1902" s="32" t="s">
        <v>6930</v>
      </c>
      <c r="F1902" s="10">
        <v>2</v>
      </c>
      <c r="G1902" s="8" t="s">
        <v>4903</v>
      </c>
      <c r="H1902" s="10">
        <v>137.65</v>
      </c>
      <c r="I1902" s="10">
        <f t="shared" si="31"/>
        <v>275.3</v>
      </c>
      <c r="J1902" s="10">
        <v>9.0879232000000005</v>
      </c>
      <c r="K1902" s="8" t="s">
        <v>4904</v>
      </c>
      <c r="S1902"/>
    </row>
    <row r="1903" spans="1:19" ht="15" x14ac:dyDescent="0.25">
      <c r="A1903" s="8" t="s">
        <v>6068</v>
      </c>
      <c r="B1903" s="8" t="s">
        <v>6069</v>
      </c>
      <c r="C1903" s="8" t="s">
        <v>6931</v>
      </c>
      <c r="D1903" s="32" t="s">
        <v>6984</v>
      </c>
      <c r="E1903" s="32" t="s">
        <v>6931</v>
      </c>
      <c r="F1903" s="10">
        <v>1</v>
      </c>
      <c r="G1903" s="8" t="s">
        <v>4903</v>
      </c>
      <c r="H1903" s="10">
        <v>88.3</v>
      </c>
      <c r="I1903" s="10">
        <f t="shared" si="31"/>
        <v>88.3</v>
      </c>
      <c r="J1903" s="10">
        <v>2.9189696000000001</v>
      </c>
      <c r="K1903" s="8" t="s">
        <v>4904</v>
      </c>
      <c r="S1903"/>
    </row>
    <row r="1904" spans="1:19" ht="15" x14ac:dyDescent="0.25">
      <c r="A1904" s="8" t="s">
        <v>6071</v>
      </c>
      <c r="B1904" s="8" t="s">
        <v>6069</v>
      </c>
      <c r="C1904" s="8" t="s">
        <v>6932</v>
      </c>
      <c r="D1904" s="32" t="s">
        <v>6984</v>
      </c>
      <c r="E1904" s="32" t="s">
        <v>6932</v>
      </c>
      <c r="F1904" s="10">
        <v>2</v>
      </c>
      <c r="G1904" s="8" t="s">
        <v>4903</v>
      </c>
      <c r="H1904" s="10">
        <v>88.35</v>
      </c>
      <c r="I1904" s="10">
        <f t="shared" si="31"/>
        <v>176.7</v>
      </c>
      <c r="J1904" s="10">
        <v>5.8379392000000001</v>
      </c>
      <c r="K1904" s="8" t="s">
        <v>4904</v>
      </c>
      <c r="S1904"/>
    </row>
    <row r="1905" spans="1:19" ht="15" x14ac:dyDescent="0.25">
      <c r="A1905" s="8" t="s">
        <v>6071</v>
      </c>
      <c r="B1905" s="8" t="s">
        <v>6069</v>
      </c>
      <c r="C1905" s="8" t="s">
        <v>6933</v>
      </c>
      <c r="D1905" s="32" t="s">
        <v>6984</v>
      </c>
      <c r="E1905" s="32" t="s">
        <v>6933</v>
      </c>
      <c r="F1905" s="10">
        <v>2</v>
      </c>
      <c r="G1905" s="8" t="s">
        <v>4903</v>
      </c>
      <c r="H1905" s="10">
        <v>21.45</v>
      </c>
      <c r="I1905" s="10">
        <f t="shared" si="31"/>
        <v>42.9</v>
      </c>
      <c r="J1905" s="10">
        <v>1.7897856000000001</v>
      </c>
      <c r="K1905" s="8" t="s">
        <v>5051</v>
      </c>
      <c r="S1905"/>
    </row>
    <row r="1906" spans="1:19" ht="15" x14ac:dyDescent="0.25">
      <c r="A1906" s="8" t="s">
        <v>6071</v>
      </c>
      <c r="B1906" s="8" t="s">
        <v>6069</v>
      </c>
      <c r="C1906" s="8" t="s">
        <v>6934</v>
      </c>
      <c r="D1906" s="32" t="s">
        <v>6984</v>
      </c>
      <c r="E1906" s="32" t="s">
        <v>6934</v>
      </c>
      <c r="F1906" s="10">
        <v>2</v>
      </c>
      <c r="G1906" s="8" t="s">
        <v>4903</v>
      </c>
      <c r="H1906" s="10">
        <v>23</v>
      </c>
      <c r="I1906" s="10">
        <f t="shared" si="31"/>
        <v>46</v>
      </c>
      <c r="J1906" s="10">
        <v>1.9196304</v>
      </c>
      <c r="K1906" s="8" t="s">
        <v>5051</v>
      </c>
      <c r="S1906"/>
    </row>
    <row r="1907" spans="1:19" ht="15" x14ac:dyDescent="0.25">
      <c r="A1907" s="8" t="s">
        <v>6071</v>
      </c>
      <c r="B1907" s="8" t="s">
        <v>6069</v>
      </c>
      <c r="C1907" s="8" t="s">
        <v>6935</v>
      </c>
      <c r="D1907" s="32" t="s">
        <v>6984</v>
      </c>
      <c r="E1907" s="32" t="s">
        <v>6935</v>
      </c>
      <c r="F1907" s="10">
        <v>2</v>
      </c>
      <c r="G1907" s="8" t="s">
        <v>4903</v>
      </c>
      <c r="H1907" s="10">
        <v>15.55</v>
      </c>
      <c r="I1907" s="10">
        <f t="shared" si="31"/>
        <v>31.1</v>
      </c>
      <c r="J1907" s="10">
        <v>1.2966192000000001</v>
      </c>
      <c r="K1907" s="8" t="s">
        <v>5051</v>
      </c>
      <c r="S1907"/>
    </row>
    <row r="1908" spans="1:19" ht="15" x14ac:dyDescent="0.25">
      <c r="A1908" s="8" t="s">
        <v>6071</v>
      </c>
      <c r="B1908" s="8" t="s">
        <v>6069</v>
      </c>
      <c r="C1908" s="8" t="s">
        <v>6936</v>
      </c>
      <c r="D1908" s="32" t="s">
        <v>6984</v>
      </c>
      <c r="E1908" s="32" t="s">
        <v>6936</v>
      </c>
      <c r="F1908" s="10">
        <v>2</v>
      </c>
      <c r="G1908" s="8" t="s">
        <v>4903</v>
      </c>
      <c r="H1908" s="10">
        <v>21.25</v>
      </c>
      <c r="I1908" s="10">
        <f t="shared" si="31"/>
        <v>42.5</v>
      </c>
      <c r="J1908" s="10">
        <v>1.7727168</v>
      </c>
      <c r="K1908" s="8" t="s">
        <v>5051</v>
      </c>
      <c r="S1908"/>
    </row>
    <row r="1909" spans="1:19" ht="15" x14ac:dyDescent="0.25">
      <c r="A1909" s="8" t="s">
        <v>6071</v>
      </c>
      <c r="B1909" s="8" t="s">
        <v>6069</v>
      </c>
      <c r="C1909" s="8" t="s">
        <v>6937</v>
      </c>
      <c r="D1909" s="32" t="s">
        <v>6984</v>
      </c>
      <c r="E1909" s="32" t="s">
        <v>6937</v>
      </c>
      <c r="F1909" s="10">
        <v>2</v>
      </c>
      <c r="G1909" s="8" t="s">
        <v>4903</v>
      </c>
      <c r="H1909" s="10">
        <v>23</v>
      </c>
      <c r="I1909" s="10">
        <f t="shared" si="31"/>
        <v>46</v>
      </c>
      <c r="J1909" s="10">
        <v>1.9196304</v>
      </c>
      <c r="K1909" s="8" t="s">
        <v>5051</v>
      </c>
      <c r="S1909"/>
    </row>
    <row r="1910" spans="1:19" ht="15" x14ac:dyDescent="0.25">
      <c r="A1910" s="8" t="s">
        <v>6071</v>
      </c>
      <c r="B1910" s="8" t="s">
        <v>6069</v>
      </c>
      <c r="C1910" s="8" t="s">
        <v>6938</v>
      </c>
      <c r="D1910" s="32" t="s">
        <v>6984</v>
      </c>
      <c r="E1910" s="32" t="s">
        <v>6938</v>
      </c>
      <c r="F1910" s="10">
        <v>2</v>
      </c>
      <c r="G1910" s="8" t="s">
        <v>4903</v>
      </c>
      <c r="H1910" s="10">
        <v>7.7</v>
      </c>
      <c r="I1910" s="10">
        <f t="shared" si="31"/>
        <v>15.4</v>
      </c>
      <c r="J1910" s="10">
        <v>0.64434720000000001</v>
      </c>
      <c r="K1910" s="8" t="s">
        <v>5051</v>
      </c>
      <c r="S1910"/>
    </row>
    <row r="1911" spans="1:19" ht="15" x14ac:dyDescent="0.25">
      <c r="A1911" s="8" t="s">
        <v>6071</v>
      </c>
      <c r="B1911" s="8" t="s">
        <v>6069</v>
      </c>
      <c r="C1911" s="8" t="s">
        <v>6939</v>
      </c>
      <c r="D1911" s="32" t="s">
        <v>6984</v>
      </c>
      <c r="E1911" s="32" t="s">
        <v>6939</v>
      </c>
      <c r="F1911" s="10">
        <v>2</v>
      </c>
      <c r="G1911" s="8" t="s">
        <v>4903</v>
      </c>
      <c r="H1911" s="10">
        <v>10.9</v>
      </c>
      <c r="I1911" s="10">
        <f t="shared" si="31"/>
        <v>21.8</v>
      </c>
      <c r="J1911" s="10">
        <v>0.91135200000000005</v>
      </c>
      <c r="K1911" s="8" t="s">
        <v>5051</v>
      </c>
      <c r="S1911"/>
    </row>
    <row r="1912" spans="1:19" ht="15" x14ac:dyDescent="0.25">
      <c r="A1912" s="8" t="s">
        <v>6071</v>
      </c>
      <c r="B1912" s="8" t="s">
        <v>6069</v>
      </c>
      <c r="C1912" s="8" t="s">
        <v>6940</v>
      </c>
      <c r="D1912" s="32" t="s">
        <v>6984</v>
      </c>
      <c r="E1912" s="32" t="s">
        <v>6940</v>
      </c>
      <c r="F1912" s="10">
        <v>1</v>
      </c>
      <c r="G1912" s="8" t="s">
        <v>4903</v>
      </c>
      <c r="H1912" s="10">
        <v>88.6</v>
      </c>
      <c r="I1912" s="10">
        <f t="shared" si="31"/>
        <v>88.6</v>
      </c>
      <c r="J1912" s="10">
        <v>2.9270976000000002</v>
      </c>
      <c r="K1912" s="8" t="s">
        <v>4904</v>
      </c>
      <c r="S1912"/>
    </row>
    <row r="1913" spans="1:19" ht="15" x14ac:dyDescent="0.25">
      <c r="A1913" s="8" t="s">
        <v>6068</v>
      </c>
      <c r="B1913" s="8" t="s">
        <v>6069</v>
      </c>
      <c r="C1913" s="8" t="s">
        <v>6941</v>
      </c>
      <c r="D1913" s="32" t="s">
        <v>6984</v>
      </c>
      <c r="E1913" s="32" t="s">
        <v>6941</v>
      </c>
      <c r="F1913" s="10">
        <v>2</v>
      </c>
      <c r="G1913" s="8" t="s">
        <v>4903</v>
      </c>
      <c r="H1913" s="10">
        <v>11.95</v>
      </c>
      <c r="I1913" s="10">
        <f t="shared" si="31"/>
        <v>23.9</v>
      </c>
      <c r="J1913" s="10">
        <v>0.98917759999999999</v>
      </c>
      <c r="K1913" s="8" t="s">
        <v>5711</v>
      </c>
      <c r="S1913"/>
    </row>
    <row r="1914" spans="1:19" ht="15" x14ac:dyDescent="0.25">
      <c r="A1914" s="8" t="s">
        <v>6068</v>
      </c>
      <c r="B1914" s="8" t="s">
        <v>6069</v>
      </c>
      <c r="C1914" s="8" t="s">
        <v>6942</v>
      </c>
      <c r="D1914" s="32" t="s">
        <v>6984</v>
      </c>
      <c r="E1914" s="32" t="s">
        <v>6942</v>
      </c>
      <c r="F1914" s="10">
        <v>2</v>
      </c>
      <c r="G1914" s="8" t="s">
        <v>4903</v>
      </c>
      <c r="H1914" s="10">
        <v>17.3</v>
      </c>
      <c r="I1914" s="10">
        <f t="shared" si="31"/>
        <v>34.6</v>
      </c>
      <c r="J1914" s="10">
        <v>1.4313408000000001</v>
      </c>
      <c r="K1914" s="8" t="s">
        <v>5711</v>
      </c>
      <c r="S1914"/>
    </row>
    <row r="1915" spans="1:19" ht="15" x14ac:dyDescent="0.25">
      <c r="A1915" s="8" t="s">
        <v>6068</v>
      </c>
      <c r="B1915" s="8" t="s">
        <v>6069</v>
      </c>
      <c r="C1915" s="8" t="s">
        <v>6943</v>
      </c>
      <c r="D1915" s="32" t="s">
        <v>6984</v>
      </c>
      <c r="E1915" s="32" t="s">
        <v>6943</v>
      </c>
      <c r="F1915" s="10">
        <v>1</v>
      </c>
      <c r="G1915" s="8" t="s">
        <v>4903</v>
      </c>
      <c r="H1915" s="10">
        <v>31.1</v>
      </c>
      <c r="I1915" s="10">
        <f t="shared" si="31"/>
        <v>31.1</v>
      </c>
      <c r="J1915" s="10">
        <v>1.2870687999999999</v>
      </c>
      <c r="K1915" s="8" t="s">
        <v>5711</v>
      </c>
      <c r="S1915"/>
    </row>
    <row r="1916" spans="1:19" ht="15" x14ac:dyDescent="0.25">
      <c r="A1916" s="8" t="s">
        <v>6068</v>
      </c>
      <c r="B1916" s="8" t="s">
        <v>6069</v>
      </c>
      <c r="C1916" s="8" t="s">
        <v>6944</v>
      </c>
      <c r="D1916" s="32" t="s">
        <v>6984</v>
      </c>
      <c r="E1916" s="32" t="s">
        <v>6944</v>
      </c>
      <c r="F1916" s="10">
        <v>1</v>
      </c>
      <c r="G1916" s="8" t="s">
        <v>4903</v>
      </c>
      <c r="H1916" s="10">
        <v>31.1</v>
      </c>
      <c r="I1916" s="10">
        <f t="shared" si="31"/>
        <v>31.1</v>
      </c>
      <c r="J1916" s="10">
        <v>1.2870687999999999</v>
      </c>
      <c r="K1916" s="8" t="s">
        <v>5711</v>
      </c>
      <c r="S1916"/>
    </row>
    <row r="1917" spans="1:19" ht="15" x14ac:dyDescent="0.25">
      <c r="A1917" s="8" t="s">
        <v>6068</v>
      </c>
      <c r="B1917" s="8" t="s">
        <v>6069</v>
      </c>
      <c r="C1917" s="8" t="s">
        <v>6945</v>
      </c>
      <c r="D1917" s="32" t="s">
        <v>6984</v>
      </c>
      <c r="E1917" s="32" t="s">
        <v>6945</v>
      </c>
      <c r="F1917" s="10">
        <v>1</v>
      </c>
      <c r="G1917" s="8" t="s">
        <v>5642</v>
      </c>
      <c r="H1917" s="10">
        <v>65.400000000000006</v>
      </c>
      <c r="I1917" s="10">
        <f t="shared" si="31"/>
        <v>65.400000000000006</v>
      </c>
      <c r="J1917" s="10">
        <v>2.7082495999999998</v>
      </c>
      <c r="K1917" s="8" t="s">
        <v>5711</v>
      </c>
      <c r="S1917"/>
    </row>
    <row r="1918" spans="1:19" ht="15" x14ac:dyDescent="0.25">
      <c r="A1918" s="8" t="s">
        <v>6068</v>
      </c>
      <c r="B1918" s="8" t="s">
        <v>6069</v>
      </c>
      <c r="C1918" s="8" t="s">
        <v>6946</v>
      </c>
      <c r="D1918" s="32" t="s">
        <v>6984</v>
      </c>
      <c r="E1918" s="32" t="s">
        <v>6946</v>
      </c>
      <c r="F1918" s="10">
        <v>1</v>
      </c>
      <c r="G1918" s="8" t="s">
        <v>5642</v>
      </c>
      <c r="H1918" s="10">
        <v>65.400000000000006</v>
      </c>
      <c r="I1918" s="10">
        <f t="shared" si="31"/>
        <v>65.400000000000006</v>
      </c>
      <c r="J1918" s="10">
        <v>2.7082495999999998</v>
      </c>
      <c r="K1918" s="8" t="s">
        <v>5711</v>
      </c>
      <c r="S1918"/>
    </row>
    <row r="1919" spans="1:19" ht="15" x14ac:dyDescent="0.25">
      <c r="A1919" s="8" t="s">
        <v>6071</v>
      </c>
      <c r="B1919" s="8" t="s">
        <v>6069</v>
      </c>
      <c r="C1919" s="8" t="s">
        <v>6947</v>
      </c>
      <c r="D1919" s="32" t="s">
        <v>6984</v>
      </c>
      <c r="E1919" s="32" t="s">
        <v>6947</v>
      </c>
      <c r="F1919" s="10">
        <v>1</v>
      </c>
      <c r="G1919" s="8" t="s">
        <v>5642</v>
      </c>
      <c r="H1919" s="10">
        <v>6.5</v>
      </c>
      <c r="I1919" s="10">
        <f t="shared" si="31"/>
        <v>6.5</v>
      </c>
      <c r="J1919" s="10">
        <v>0.27035759999999998</v>
      </c>
      <c r="K1919" s="8" t="s">
        <v>5051</v>
      </c>
      <c r="S1919"/>
    </row>
    <row r="1920" spans="1:19" ht="15" x14ac:dyDescent="0.25">
      <c r="A1920" s="8" t="s">
        <v>6071</v>
      </c>
      <c r="B1920" s="8" t="s">
        <v>6069</v>
      </c>
      <c r="C1920" s="8" t="s">
        <v>6948</v>
      </c>
      <c r="D1920" s="32" t="s">
        <v>6984</v>
      </c>
      <c r="E1920" s="32" t="s">
        <v>6948</v>
      </c>
      <c r="F1920" s="10">
        <v>1</v>
      </c>
      <c r="G1920" s="8" t="s">
        <v>5642</v>
      </c>
      <c r="H1920" s="10">
        <v>6.1</v>
      </c>
      <c r="I1920" s="10">
        <f t="shared" si="31"/>
        <v>6.1</v>
      </c>
      <c r="J1920" s="10">
        <v>0.25633679999999998</v>
      </c>
      <c r="K1920" s="8" t="s">
        <v>5051</v>
      </c>
      <c r="S1920"/>
    </row>
    <row r="1921" spans="1:19" ht="15" x14ac:dyDescent="0.25">
      <c r="A1921" s="8" t="s">
        <v>6071</v>
      </c>
      <c r="B1921" s="8" t="s">
        <v>6069</v>
      </c>
      <c r="C1921" s="8" t="s">
        <v>6949</v>
      </c>
      <c r="D1921" s="32" t="s">
        <v>6984</v>
      </c>
      <c r="E1921" s="32" t="s">
        <v>6949</v>
      </c>
      <c r="F1921" s="10">
        <v>3</v>
      </c>
      <c r="G1921" s="8" t="s">
        <v>5642</v>
      </c>
      <c r="H1921" s="10">
        <v>6.1333333333333329</v>
      </c>
      <c r="I1921" s="10">
        <f t="shared" si="31"/>
        <v>18.399999999999999</v>
      </c>
      <c r="J1921" s="10">
        <v>0.76718160000000002</v>
      </c>
      <c r="K1921" s="8" t="s">
        <v>5051</v>
      </c>
      <c r="S1921"/>
    </row>
    <row r="1922" spans="1:19" ht="15" x14ac:dyDescent="0.25">
      <c r="A1922" s="8" t="s">
        <v>6071</v>
      </c>
      <c r="B1922" s="8" t="s">
        <v>6069</v>
      </c>
      <c r="C1922" s="8" t="s">
        <v>6950</v>
      </c>
      <c r="D1922" s="32" t="s">
        <v>6984</v>
      </c>
      <c r="E1922" s="32" t="s">
        <v>6950</v>
      </c>
      <c r="F1922" s="10">
        <v>5</v>
      </c>
      <c r="G1922" s="8" t="s">
        <v>5642</v>
      </c>
      <c r="H1922" s="10">
        <v>4.66</v>
      </c>
      <c r="I1922" s="10">
        <f t="shared" si="31"/>
        <v>23.3</v>
      </c>
      <c r="J1922" s="10">
        <v>0.97231199999999995</v>
      </c>
      <c r="K1922" s="8" t="s">
        <v>5051</v>
      </c>
      <c r="S1922"/>
    </row>
    <row r="1923" spans="1:19" ht="15" x14ac:dyDescent="0.25">
      <c r="A1923" s="8" t="s">
        <v>6071</v>
      </c>
      <c r="B1923" s="8" t="s">
        <v>6069</v>
      </c>
      <c r="C1923" s="8" t="s">
        <v>6951</v>
      </c>
      <c r="D1923" s="32" t="s">
        <v>6984</v>
      </c>
      <c r="E1923" s="32" t="s">
        <v>6951</v>
      </c>
      <c r="F1923" s="10">
        <v>4</v>
      </c>
      <c r="G1923" s="8" t="s">
        <v>5642</v>
      </c>
      <c r="H1923" s="10">
        <v>6.625</v>
      </c>
      <c r="I1923" s="10">
        <f t="shared" si="31"/>
        <v>26.5</v>
      </c>
      <c r="J1923" s="10">
        <v>1.1045952000000001</v>
      </c>
      <c r="K1923" s="8" t="s">
        <v>5051</v>
      </c>
      <c r="S1923"/>
    </row>
    <row r="1924" spans="1:19" ht="15" x14ac:dyDescent="0.25">
      <c r="A1924" s="8" t="s">
        <v>6071</v>
      </c>
      <c r="B1924" s="8" t="s">
        <v>6069</v>
      </c>
      <c r="C1924" s="8" t="s">
        <v>6952</v>
      </c>
      <c r="D1924" s="32" t="s">
        <v>6984</v>
      </c>
      <c r="E1924" s="32" t="s">
        <v>6952</v>
      </c>
      <c r="F1924" s="10">
        <v>1</v>
      </c>
      <c r="G1924" s="8" t="s">
        <v>5642</v>
      </c>
      <c r="H1924" s="10">
        <v>7.1</v>
      </c>
      <c r="I1924" s="10">
        <f t="shared" si="31"/>
        <v>7.1</v>
      </c>
      <c r="J1924" s="10">
        <v>0.29748479999999999</v>
      </c>
      <c r="K1924" s="8" t="s">
        <v>5051</v>
      </c>
      <c r="S1924"/>
    </row>
    <row r="1925" spans="1:19" ht="15" x14ac:dyDescent="0.25">
      <c r="A1925" s="8" t="s">
        <v>6071</v>
      </c>
      <c r="B1925" s="8" t="s">
        <v>6069</v>
      </c>
      <c r="C1925" s="8" t="s">
        <v>6953</v>
      </c>
      <c r="D1925" s="32" t="s">
        <v>6984</v>
      </c>
      <c r="E1925" s="32" t="s">
        <v>6953</v>
      </c>
      <c r="F1925" s="10">
        <v>5</v>
      </c>
      <c r="G1925" s="8" t="s">
        <v>5642</v>
      </c>
      <c r="H1925" s="10">
        <v>4.68</v>
      </c>
      <c r="I1925" s="10">
        <f t="shared" ref="I1925:I1945" si="32">F1925*H1925</f>
        <v>23.4</v>
      </c>
      <c r="J1925" s="10">
        <v>0.97840800000000006</v>
      </c>
      <c r="K1925" s="8" t="s">
        <v>5051</v>
      </c>
      <c r="S1925"/>
    </row>
    <row r="1926" spans="1:19" ht="15" x14ac:dyDescent="0.25">
      <c r="A1926" s="8" t="s">
        <v>6071</v>
      </c>
      <c r="B1926" s="8" t="s">
        <v>6069</v>
      </c>
      <c r="C1926" s="8" t="s">
        <v>6954</v>
      </c>
      <c r="D1926" s="32" t="s">
        <v>6984</v>
      </c>
      <c r="E1926" s="32" t="s">
        <v>6954</v>
      </c>
      <c r="F1926" s="10">
        <v>20</v>
      </c>
      <c r="G1926" s="8" t="s">
        <v>22</v>
      </c>
      <c r="H1926" s="10">
        <v>1.27</v>
      </c>
      <c r="I1926" s="10">
        <f t="shared" si="32"/>
        <v>25.4</v>
      </c>
      <c r="J1926" s="10">
        <v>0.86670000000000003</v>
      </c>
      <c r="K1926" s="8" t="s">
        <v>6955</v>
      </c>
      <c r="S1926"/>
    </row>
    <row r="1927" spans="1:19" ht="15" x14ac:dyDescent="0.25">
      <c r="A1927" s="8" t="s">
        <v>6071</v>
      </c>
      <c r="B1927" s="8" t="s">
        <v>6069</v>
      </c>
      <c r="C1927" s="8" t="s">
        <v>6956</v>
      </c>
      <c r="D1927" s="32" t="s">
        <v>6984</v>
      </c>
      <c r="E1927" s="32" t="s">
        <v>6956</v>
      </c>
      <c r="F1927" s="10">
        <v>159</v>
      </c>
      <c r="G1927" s="8" t="s">
        <v>22</v>
      </c>
      <c r="H1927" s="10">
        <v>1.2748427672955973</v>
      </c>
      <c r="I1927" s="10">
        <f t="shared" si="32"/>
        <v>202.69999999999996</v>
      </c>
      <c r="J1927" s="10">
        <v>6.5586864</v>
      </c>
      <c r="K1927" s="8" t="s">
        <v>23</v>
      </c>
      <c r="S1927"/>
    </row>
    <row r="1928" spans="1:19" ht="15" x14ac:dyDescent="0.25">
      <c r="A1928" s="8" t="s">
        <v>6071</v>
      </c>
      <c r="B1928" s="8" t="s">
        <v>6069</v>
      </c>
      <c r="C1928" s="8" t="s">
        <v>6957</v>
      </c>
      <c r="D1928" s="32" t="s">
        <v>6984</v>
      </c>
      <c r="E1928" s="32" t="s">
        <v>6957</v>
      </c>
      <c r="F1928" s="10">
        <v>24</v>
      </c>
      <c r="G1928" s="8" t="s">
        <v>22</v>
      </c>
      <c r="H1928" s="10">
        <v>3.6958333333333333</v>
      </c>
      <c r="I1928" s="10">
        <f t="shared" si="32"/>
        <v>88.7</v>
      </c>
      <c r="J1928" s="10">
        <v>2.87097216</v>
      </c>
      <c r="K1928" s="8" t="s">
        <v>23</v>
      </c>
      <c r="S1928"/>
    </row>
    <row r="1929" spans="1:19" ht="15" x14ac:dyDescent="0.25">
      <c r="A1929" s="8" t="s">
        <v>6071</v>
      </c>
      <c r="B1929" s="8" t="s">
        <v>6069</v>
      </c>
      <c r="C1929" s="8" t="s">
        <v>6958</v>
      </c>
      <c r="D1929" s="32" t="s">
        <v>6984</v>
      </c>
      <c r="E1929" s="32" t="s">
        <v>6958</v>
      </c>
      <c r="F1929" s="10">
        <v>8</v>
      </c>
      <c r="G1929" s="8" t="s">
        <v>22</v>
      </c>
      <c r="H1929" s="10">
        <v>3.25</v>
      </c>
      <c r="I1929" s="10">
        <f t="shared" si="32"/>
        <v>26</v>
      </c>
      <c r="J1929" s="10">
        <v>0.87312000000000001</v>
      </c>
      <c r="K1929" s="8" t="s">
        <v>6959</v>
      </c>
      <c r="S1929"/>
    </row>
    <row r="1930" spans="1:19" ht="15" x14ac:dyDescent="0.25">
      <c r="A1930" s="8" t="s">
        <v>6068</v>
      </c>
      <c r="B1930" s="8" t="s">
        <v>6069</v>
      </c>
      <c r="C1930" s="8" t="s">
        <v>6960</v>
      </c>
      <c r="D1930" s="32" t="s">
        <v>6984</v>
      </c>
      <c r="E1930" s="32" t="s">
        <v>6960</v>
      </c>
      <c r="F1930" s="10">
        <v>1</v>
      </c>
      <c r="G1930" s="8" t="s">
        <v>22</v>
      </c>
      <c r="H1930" s="10">
        <v>4.2</v>
      </c>
      <c r="I1930" s="10">
        <f t="shared" si="32"/>
        <v>4.2</v>
      </c>
      <c r="J1930" s="10">
        <v>0.135233664</v>
      </c>
      <c r="K1930" s="8" t="s">
        <v>23</v>
      </c>
      <c r="S1930"/>
    </row>
    <row r="1931" spans="1:19" ht="15" x14ac:dyDescent="0.25">
      <c r="A1931" s="8" t="s">
        <v>4963</v>
      </c>
      <c r="B1931" s="8" t="s">
        <v>4869</v>
      </c>
      <c r="C1931" s="8" t="s">
        <v>6961</v>
      </c>
      <c r="D1931" s="32" t="s">
        <v>6984</v>
      </c>
      <c r="E1931" s="32" t="s">
        <v>6961</v>
      </c>
      <c r="F1931" s="10">
        <v>4</v>
      </c>
      <c r="G1931" s="8" t="s">
        <v>4901</v>
      </c>
      <c r="H1931" s="10">
        <v>51.24</v>
      </c>
      <c r="I1931" s="10">
        <f t="shared" si="32"/>
        <v>204.96</v>
      </c>
      <c r="J1931" s="10">
        <v>3.6480000000000001</v>
      </c>
      <c r="K1931" s="8" t="s">
        <v>6401</v>
      </c>
      <c r="S1931"/>
    </row>
    <row r="1932" spans="1:19" ht="15" x14ac:dyDescent="0.25">
      <c r="A1932" s="8" t="s">
        <v>6071</v>
      </c>
      <c r="B1932" s="8" t="s">
        <v>6069</v>
      </c>
      <c r="C1932" s="8" t="s">
        <v>6962</v>
      </c>
      <c r="D1932" s="32" t="s">
        <v>6984</v>
      </c>
      <c r="E1932" s="32" t="s">
        <v>6962</v>
      </c>
      <c r="F1932" s="10">
        <v>123</v>
      </c>
      <c r="G1932" s="8" t="s">
        <v>5569</v>
      </c>
      <c r="H1932" s="10">
        <v>13.090243902439024</v>
      </c>
      <c r="I1932" s="10">
        <f t="shared" si="32"/>
        <v>1610.1</v>
      </c>
      <c r="J1932" s="10">
        <v>0</v>
      </c>
      <c r="K1932" s="8" t="s">
        <v>6452</v>
      </c>
      <c r="S1932"/>
    </row>
    <row r="1933" spans="1:19" ht="15" x14ac:dyDescent="0.25">
      <c r="A1933" s="8" t="s">
        <v>6071</v>
      </c>
      <c r="B1933" s="8" t="s">
        <v>6069</v>
      </c>
      <c r="C1933" s="8" t="s">
        <v>6963</v>
      </c>
      <c r="D1933" s="32" t="s">
        <v>6984</v>
      </c>
      <c r="E1933" s="32" t="s">
        <v>6963</v>
      </c>
      <c r="F1933" s="10">
        <v>1</v>
      </c>
      <c r="G1933" s="8" t="s">
        <v>6782</v>
      </c>
      <c r="H1933" s="10">
        <v>1079.9000000000001</v>
      </c>
      <c r="I1933" s="10">
        <f t="shared" si="32"/>
        <v>1079.9000000000001</v>
      </c>
      <c r="J1933" s="10">
        <v>27.309300179699999</v>
      </c>
      <c r="K1933" s="8" t="s">
        <v>6783</v>
      </c>
      <c r="S1933"/>
    </row>
    <row r="1934" spans="1:19" ht="15" x14ac:dyDescent="0.25">
      <c r="A1934" s="8" t="s">
        <v>6071</v>
      </c>
      <c r="B1934" s="8" t="s">
        <v>6069</v>
      </c>
      <c r="C1934" s="8" t="s">
        <v>6964</v>
      </c>
      <c r="D1934" s="32" t="s">
        <v>6984</v>
      </c>
      <c r="E1934" s="32" t="s">
        <v>6964</v>
      </c>
      <c r="F1934" s="10">
        <v>1</v>
      </c>
      <c r="G1934" s="8" t="s">
        <v>6782</v>
      </c>
      <c r="H1934" s="10">
        <v>1021.5</v>
      </c>
      <c r="I1934" s="10">
        <f t="shared" si="32"/>
        <v>1021.5</v>
      </c>
      <c r="J1934" s="10">
        <v>25.767769259240001</v>
      </c>
      <c r="K1934" s="8" t="s">
        <v>6783</v>
      </c>
      <c r="S1934"/>
    </row>
    <row r="1935" spans="1:19" ht="15" x14ac:dyDescent="0.25">
      <c r="A1935" s="8" t="s">
        <v>6071</v>
      </c>
      <c r="B1935" s="8" t="s">
        <v>6069</v>
      </c>
      <c r="C1935" s="8" t="s">
        <v>6965</v>
      </c>
      <c r="D1935" s="32" t="s">
        <v>6984</v>
      </c>
      <c r="E1935" s="32" t="s">
        <v>6965</v>
      </c>
      <c r="F1935" s="10">
        <v>1</v>
      </c>
      <c r="G1935" s="8" t="s">
        <v>6782</v>
      </c>
      <c r="H1935" s="10">
        <v>924.2</v>
      </c>
      <c r="I1935" s="10">
        <f t="shared" si="32"/>
        <v>924.2</v>
      </c>
      <c r="J1935" s="10">
        <v>23.318148646360001</v>
      </c>
      <c r="K1935" s="8" t="s">
        <v>6783</v>
      </c>
      <c r="S1935"/>
    </row>
    <row r="1936" spans="1:19" ht="15" x14ac:dyDescent="0.25">
      <c r="A1936" s="8" t="s">
        <v>6071</v>
      </c>
      <c r="B1936" s="8" t="s">
        <v>6069</v>
      </c>
      <c r="C1936" s="8" t="s">
        <v>6966</v>
      </c>
      <c r="D1936" s="32" t="s">
        <v>6984</v>
      </c>
      <c r="E1936" s="32" t="s">
        <v>6966</v>
      </c>
      <c r="F1936" s="10">
        <v>1</v>
      </c>
      <c r="G1936" s="8" t="s">
        <v>6782</v>
      </c>
      <c r="H1936" s="10">
        <v>928.9</v>
      </c>
      <c r="I1936" s="10">
        <f t="shared" si="32"/>
        <v>928.9</v>
      </c>
      <c r="J1936" s="10">
        <v>23.47350329292</v>
      </c>
      <c r="K1936" s="8" t="s">
        <v>6783</v>
      </c>
      <c r="S1936"/>
    </row>
    <row r="1937" spans="1:19" ht="15" x14ac:dyDescent="0.25">
      <c r="A1937" s="8" t="s">
        <v>6071</v>
      </c>
      <c r="B1937" s="8" t="s">
        <v>6069</v>
      </c>
      <c r="C1937" s="8" t="s">
        <v>6967</v>
      </c>
      <c r="D1937" s="32" t="s">
        <v>6984</v>
      </c>
      <c r="E1937" s="32" t="s">
        <v>6967</v>
      </c>
      <c r="F1937" s="10">
        <v>1</v>
      </c>
      <c r="G1937" s="8" t="s">
        <v>6782</v>
      </c>
      <c r="H1937" s="10">
        <v>924.1</v>
      </c>
      <c r="I1937" s="10">
        <f t="shared" si="32"/>
        <v>924.1</v>
      </c>
      <c r="J1937" s="10">
        <v>23.32053264636</v>
      </c>
      <c r="K1937" s="8" t="s">
        <v>6783</v>
      </c>
      <c r="S1937"/>
    </row>
    <row r="1938" spans="1:19" ht="15" x14ac:dyDescent="0.25">
      <c r="A1938" s="8" t="s">
        <v>6071</v>
      </c>
      <c r="B1938" s="8" t="s">
        <v>6069</v>
      </c>
      <c r="C1938" s="8" t="s">
        <v>6968</v>
      </c>
      <c r="D1938" s="32" t="s">
        <v>6984</v>
      </c>
      <c r="E1938" s="32" t="s">
        <v>6968</v>
      </c>
      <c r="F1938" s="10">
        <v>1</v>
      </c>
      <c r="G1938" s="8" t="s">
        <v>6782</v>
      </c>
      <c r="H1938" s="10">
        <v>924.2</v>
      </c>
      <c r="I1938" s="10">
        <f t="shared" si="32"/>
        <v>924.2</v>
      </c>
      <c r="J1938" s="10">
        <v>23.32053264636</v>
      </c>
      <c r="K1938" s="8" t="s">
        <v>6783</v>
      </c>
      <c r="S1938"/>
    </row>
    <row r="1939" spans="1:19" ht="15" x14ac:dyDescent="0.25">
      <c r="A1939" s="8" t="s">
        <v>6071</v>
      </c>
      <c r="B1939" s="8" t="s">
        <v>6069</v>
      </c>
      <c r="C1939" s="8" t="s">
        <v>6969</v>
      </c>
      <c r="D1939" s="32" t="s">
        <v>6984</v>
      </c>
      <c r="E1939" s="32" t="s">
        <v>6969</v>
      </c>
      <c r="F1939" s="10">
        <v>1</v>
      </c>
      <c r="G1939" s="8" t="s">
        <v>6782</v>
      </c>
      <c r="H1939" s="10">
        <v>982.2</v>
      </c>
      <c r="I1939" s="10">
        <f t="shared" si="32"/>
        <v>982.2</v>
      </c>
      <c r="J1939" s="10">
        <v>24.900208326609999</v>
      </c>
      <c r="K1939" s="8" t="s">
        <v>6783</v>
      </c>
      <c r="S1939"/>
    </row>
    <row r="1940" spans="1:19" ht="15" x14ac:dyDescent="0.25">
      <c r="A1940" s="8" t="s">
        <v>6071</v>
      </c>
      <c r="B1940" s="8" t="s">
        <v>6069</v>
      </c>
      <c r="C1940" s="8" t="s">
        <v>6970</v>
      </c>
      <c r="D1940" s="32" t="s">
        <v>6984</v>
      </c>
      <c r="E1940" s="32" t="s">
        <v>6970</v>
      </c>
      <c r="F1940" s="10">
        <v>1</v>
      </c>
      <c r="G1940" s="8" t="s">
        <v>4934</v>
      </c>
      <c r="H1940" s="10">
        <v>143.9</v>
      </c>
      <c r="I1940" s="10">
        <f t="shared" si="32"/>
        <v>143.9</v>
      </c>
      <c r="J1940" s="10">
        <v>5.4437305057599996</v>
      </c>
      <c r="K1940" s="8" t="s">
        <v>5049</v>
      </c>
      <c r="S1940"/>
    </row>
    <row r="1941" spans="1:19" ht="15" x14ac:dyDescent="0.25">
      <c r="A1941" s="8" t="s">
        <v>6071</v>
      </c>
      <c r="B1941" s="8" t="s">
        <v>6069</v>
      </c>
      <c r="C1941" s="8" t="s">
        <v>6971</v>
      </c>
      <c r="D1941" s="32" t="s">
        <v>6984</v>
      </c>
      <c r="E1941" s="32" t="s">
        <v>6971</v>
      </c>
      <c r="F1941" s="10">
        <v>1</v>
      </c>
      <c r="G1941" s="8" t="s">
        <v>4934</v>
      </c>
      <c r="H1941" s="10">
        <v>144.4</v>
      </c>
      <c r="I1941" s="10">
        <f t="shared" si="32"/>
        <v>144.4</v>
      </c>
      <c r="J1941" s="10">
        <v>5.46367745456</v>
      </c>
      <c r="K1941" s="8" t="s">
        <v>5049</v>
      </c>
      <c r="S1941"/>
    </row>
    <row r="1942" spans="1:19" ht="15" x14ac:dyDescent="0.25">
      <c r="A1942" s="8" t="s">
        <v>6071</v>
      </c>
      <c r="B1942" s="8" t="s">
        <v>6069</v>
      </c>
      <c r="C1942" s="8" t="s">
        <v>6972</v>
      </c>
      <c r="D1942" s="32" t="s">
        <v>6984</v>
      </c>
      <c r="E1942" s="32" t="s">
        <v>6972</v>
      </c>
      <c r="F1942" s="10">
        <v>1</v>
      </c>
      <c r="G1942" s="8" t="s">
        <v>16</v>
      </c>
      <c r="H1942" s="10">
        <v>363.6</v>
      </c>
      <c r="I1942" s="10">
        <f t="shared" si="32"/>
        <v>363.6</v>
      </c>
      <c r="J1942" s="10">
        <v>10.9811626288</v>
      </c>
      <c r="K1942" s="8" t="s">
        <v>4781</v>
      </c>
      <c r="S1942"/>
    </row>
    <row r="1943" spans="1:19" ht="15" x14ac:dyDescent="0.25">
      <c r="A1943" s="8" t="s">
        <v>6071</v>
      </c>
      <c r="B1943" s="8" t="s">
        <v>6069</v>
      </c>
      <c r="C1943" s="8" t="s">
        <v>6973</v>
      </c>
      <c r="D1943" s="32" t="s">
        <v>6984</v>
      </c>
      <c r="E1943" s="32" t="s">
        <v>6973</v>
      </c>
      <c r="F1943" s="10">
        <v>1</v>
      </c>
      <c r="G1943" s="8" t="s">
        <v>16</v>
      </c>
      <c r="H1943" s="10">
        <v>354.5</v>
      </c>
      <c r="I1943" s="10">
        <f t="shared" si="32"/>
        <v>354.5</v>
      </c>
      <c r="J1943" s="10">
        <v>10.914892501120001</v>
      </c>
      <c r="K1943" s="8" t="s">
        <v>4781</v>
      </c>
      <c r="S1943"/>
    </row>
    <row r="1944" spans="1:19" ht="15" x14ac:dyDescent="0.25">
      <c r="A1944" s="8" t="s">
        <v>6068</v>
      </c>
      <c r="B1944" s="8" t="s">
        <v>6069</v>
      </c>
      <c r="C1944" s="8" t="s">
        <v>6974</v>
      </c>
      <c r="D1944" s="32" t="s">
        <v>6984</v>
      </c>
      <c r="E1944" s="32" t="s">
        <v>6974</v>
      </c>
      <c r="F1944" s="10">
        <v>1</v>
      </c>
      <c r="G1944" s="8" t="s">
        <v>6975</v>
      </c>
      <c r="H1944" s="10">
        <v>48.6</v>
      </c>
      <c r="I1944" s="10">
        <f t="shared" si="32"/>
        <v>48.6</v>
      </c>
      <c r="J1944" s="10">
        <v>0.86642683099999995</v>
      </c>
      <c r="K1944" s="8" t="s">
        <v>5488</v>
      </c>
      <c r="S1944"/>
    </row>
    <row r="1945" spans="1:19" ht="15" x14ac:dyDescent="0.25">
      <c r="A1945" s="8" t="s">
        <v>6068</v>
      </c>
      <c r="B1945" s="8" t="s">
        <v>6069</v>
      </c>
      <c r="C1945" s="8" t="s">
        <v>6976</v>
      </c>
      <c r="D1945" s="32" t="s">
        <v>6984</v>
      </c>
      <c r="E1945" s="32" t="s">
        <v>6976</v>
      </c>
      <c r="F1945" s="10">
        <v>1</v>
      </c>
      <c r="G1945" s="8" t="s">
        <v>4934</v>
      </c>
      <c r="H1945" s="10">
        <v>83.3</v>
      </c>
      <c r="I1945" s="10">
        <f t="shared" si="32"/>
        <v>83.3</v>
      </c>
      <c r="J1945" s="10">
        <v>3.0834579155199999</v>
      </c>
      <c r="K1945" s="8" t="s">
        <v>5049</v>
      </c>
      <c r="S1945"/>
    </row>
  </sheetData>
  <autoFilter ref="A3:L1945" xr:uid="{DE4DFB24-FE1C-4AD7-8A36-EA068E76496B}"/>
  <sortState xmlns:xlrd2="http://schemas.microsoft.com/office/spreadsheetml/2017/richdata2" ref="S4:S1945">
    <sortCondition ref="S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2E35-227D-4764-B524-1D9A33B40A51}">
  <sheetPr>
    <tabColor rgb="FF04745F"/>
  </sheetPr>
  <dimension ref="A3:B4"/>
  <sheetViews>
    <sheetView workbookViewId="0">
      <selection activeCell="A8" sqref="A4:A26"/>
    </sheetView>
  </sheetViews>
  <sheetFormatPr defaultRowHeight="15" x14ac:dyDescent="0.25"/>
  <cols>
    <col min="1" max="1" width="9" bestFit="1" customWidth="1"/>
    <col min="2" max="3" width="32.28515625" bestFit="1" customWidth="1"/>
  </cols>
  <sheetData>
    <row r="3" spans="1:2" x14ac:dyDescent="0.25">
      <c r="A3" t="s">
        <v>8402</v>
      </c>
      <c r="B3" t="s">
        <v>8403</v>
      </c>
    </row>
    <row r="4" spans="1:2" x14ac:dyDescent="0.25">
      <c r="A4" s="402">
        <v>0</v>
      </c>
      <c r="B4">
        <v>0</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BF32-7CB2-47B5-9BBC-9194567DB3B2}">
  <sheetPr>
    <tabColor rgb="FF04745F"/>
  </sheetPr>
  <dimension ref="A3:D6"/>
  <sheetViews>
    <sheetView workbookViewId="0">
      <selection activeCell="B23" sqref="B23"/>
    </sheetView>
  </sheetViews>
  <sheetFormatPr defaultRowHeight="15" x14ac:dyDescent="0.25"/>
  <cols>
    <col min="1" max="1" width="18" bestFit="1" customWidth="1"/>
    <col min="2" max="2" width="13.85546875" bestFit="1" customWidth="1"/>
    <col min="3" max="3" width="14" bestFit="1" customWidth="1"/>
    <col min="4" max="4" width="17.5703125" bestFit="1" customWidth="1"/>
  </cols>
  <sheetData>
    <row r="3" spans="1:4" x14ac:dyDescent="0.25">
      <c r="A3" s="91" t="s">
        <v>7044</v>
      </c>
      <c r="B3" t="s">
        <v>8411</v>
      </c>
      <c r="C3" t="s">
        <v>8412</v>
      </c>
      <c r="D3" t="s">
        <v>8414</v>
      </c>
    </row>
    <row r="4" spans="1:4" x14ac:dyDescent="0.25">
      <c r="A4" s="92" t="s">
        <v>8236</v>
      </c>
      <c r="B4">
        <v>2135.2680000000028</v>
      </c>
      <c r="C4">
        <v>455.21939999999995</v>
      </c>
      <c r="D4" s="402">
        <v>133</v>
      </c>
    </row>
    <row r="5" spans="1:4" x14ac:dyDescent="0.25">
      <c r="A5" s="92" t="s">
        <v>7045</v>
      </c>
      <c r="D5" s="402"/>
    </row>
    <row r="6" spans="1:4" x14ac:dyDescent="0.25">
      <c r="A6" s="92" t="s">
        <v>7046</v>
      </c>
      <c r="B6">
        <v>2135.2680000000028</v>
      </c>
      <c r="C6">
        <v>455.21939999999995</v>
      </c>
      <c r="D6" s="402">
        <v>133</v>
      </c>
    </row>
  </sheetData>
  <pageMargins left="0.511811024" right="0.511811024" top="0.78740157499999996" bottom="0.78740157499999996" header="0.31496062000000002" footer="0.31496062000000002"/>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A13A-1A40-4B7B-B5FD-A997F318B94C}">
  <sheetPr>
    <tabColor rgb="FFFF0000"/>
  </sheetPr>
  <dimension ref="A3:D11"/>
  <sheetViews>
    <sheetView workbookViewId="0">
      <selection activeCell="E7" sqref="E7"/>
    </sheetView>
  </sheetViews>
  <sheetFormatPr defaultRowHeight="15" x14ac:dyDescent="0.25"/>
  <cols>
    <col min="1" max="1" width="20.28515625" bestFit="1" customWidth="1"/>
    <col min="2" max="2" width="18.42578125" bestFit="1" customWidth="1"/>
    <col min="3" max="4" width="19" bestFit="1" customWidth="1"/>
    <col min="5" max="5" width="16.7109375" bestFit="1" customWidth="1"/>
    <col min="6" max="8" width="10" bestFit="1" customWidth="1"/>
    <col min="9" max="9" width="10.7109375" bestFit="1" customWidth="1"/>
  </cols>
  <sheetData>
    <row r="3" spans="1:4" ht="33" customHeight="1" x14ac:dyDescent="0.25">
      <c r="A3" s="428" t="s">
        <v>8667</v>
      </c>
      <c r="B3" s="429" t="s">
        <v>8662</v>
      </c>
      <c r="C3" s="429" t="s">
        <v>8665</v>
      </c>
      <c r="D3" s="429" t="s">
        <v>8666</v>
      </c>
    </row>
    <row r="4" spans="1:4" x14ac:dyDescent="0.25">
      <c r="A4" s="92" t="s">
        <v>8502</v>
      </c>
      <c r="B4" s="432">
        <v>1924.7999999999997</v>
      </c>
      <c r="C4" s="431">
        <v>1.8021054523801493E-2</v>
      </c>
      <c r="D4" s="431">
        <v>1.8021054523801493E-2</v>
      </c>
    </row>
    <row r="5" spans="1:4" x14ac:dyDescent="0.25">
      <c r="A5" s="92" t="s">
        <v>8547</v>
      </c>
      <c r="B5" s="432">
        <v>0</v>
      </c>
      <c r="C5" s="431">
        <v>0</v>
      </c>
      <c r="D5" s="431">
        <v>0</v>
      </c>
    </row>
    <row r="6" spans="1:4" x14ac:dyDescent="0.25">
      <c r="A6" s="92" t="s">
        <v>8550</v>
      </c>
      <c r="B6" s="432">
        <v>0</v>
      </c>
      <c r="C6" s="431">
        <v>0</v>
      </c>
      <c r="D6" s="431">
        <v>0</v>
      </c>
    </row>
    <row r="7" spans="1:4" x14ac:dyDescent="0.25">
      <c r="A7" s="92" t="s">
        <v>8531</v>
      </c>
      <c r="B7" s="432">
        <v>3453.7999999999993</v>
      </c>
      <c r="C7" s="431">
        <v>3.2336407997872817E-2</v>
      </c>
      <c r="D7" s="431">
        <v>0</v>
      </c>
    </row>
    <row r="8" spans="1:4" x14ac:dyDescent="0.25">
      <c r="A8" s="92" t="s">
        <v>8478</v>
      </c>
      <c r="B8" s="432">
        <v>88713</v>
      </c>
      <c r="C8" s="431">
        <v>0.83058074084060796</v>
      </c>
      <c r="D8" s="431">
        <v>0.62308769722231572</v>
      </c>
    </row>
    <row r="9" spans="1:4" x14ac:dyDescent="0.25">
      <c r="A9" s="92" t="s">
        <v>8477</v>
      </c>
      <c r="B9" s="432">
        <v>2702.7999999999988</v>
      </c>
      <c r="C9" s="431">
        <v>2.5305125814074556E-2</v>
      </c>
      <c r="D9" s="431">
        <v>2.5305125814074556E-2</v>
      </c>
    </row>
    <row r="10" spans="1:4" x14ac:dyDescent="0.25">
      <c r="A10" s="92" t="s">
        <v>8417</v>
      </c>
      <c r="B10" s="432">
        <v>10014</v>
      </c>
      <c r="C10" s="431">
        <v>9.3756670823643085E-2</v>
      </c>
      <c r="D10" s="431">
        <v>9.3756670823643085E-2</v>
      </c>
    </row>
    <row r="11" spans="1:4" ht="16.5" customHeight="1" x14ac:dyDescent="0.25">
      <c r="A11" s="92" t="s">
        <v>7046</v>
      </c>
      <c r="B11" s="432">
        <v>106808.40000000001</v>
      </c>
      <c r="C11" s="431">
        <v>0.99999999999999978</v>
      </c>
      <c r="D11" s="431">
        <v>0.7601705483838348</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C00F-CF0E-4496-85F6-5B62093DE727}">
  <sheetPr>
    <tabColor rgb="FF04745F"/>
    <pageSetUpPr fitToPage="1"/>
  </sheetPr>
  <dimension ref="A1:AN1278"/>
  <sheetViews>
    <sheetView tabSelected="1" topLeftCell="D1" zoomScaleNormal="100" workbookViewId="0">
      <pane ySplit="4" topLeftCell="A5" activePane="bottomLeft" state="frozen"/>
      <selection pane="bottomLeft" activeCell="J12" sqref="J12"/>
    </sheetView>
  </sheetViews>
  <sheetFormatPr defaultColWidth="2.7109375" defaultRowHeight="12" outlineLevelCol="1" x14ac:dyDescent="0.25"/>
  <cols>
    <col min="1" max="1" width="13" style="8" hidden="1" customWidth="1"/>
    <col min="2" max="2" width="17.85546875" style="8" hidden="1" customWidth="1"/>
    <col min="3" max="3" width="22.140625" style="8" hidden="1" customWidth="1"/>
    <col min="4" max="4" width="16.85546875" style="8" customWidth="1"/>
    <col min="5" max="5" width="17.28515625" style="8" customWidth="1" outlineLevel="1" collapsed="1"/>
    <col min="6" max="7" width="10.42578125" style="8" customWidth="1" outlineLevel="1"/>
    <col min="8" max="9" width="20.7109375" style="420" customWidth="1"/>
    <col min="10" max="10" width="40.7109375" style="16" customWidth="1"/>
    <col min="11" max="11" width="8.7109375" style="38" customWidth="1" outlineLevel="1"/>
    <col min="12" max="12" width="13.140625" style="45" customWidth="1" outlineLevel="1"/>
    <col min="13" max="13" width="10.42578125" style="10" customWidth="1"/>
    <col min="14" max="14" width="14.7109375" style="30" hidden="1" customWidth="1" outlineLevel="1"/>
    <col min="15" max="15" width="16" style="30" hidden="1" customWidth="1" outlineLevel="1"/>
    <col min="16" max="16" width="15.85546875" style="40" bestFit="1" customWidth="1" collapsed="1"/>
    <col min="17" max="17" width="18.140625" style="40" customWidth="1" outlineLevel="1"/>
    <col min="18" max="19" width="16.140625" style="40" hidden="1" customWidth="1" outlineLevel="1"/>
    <col min="20" max="20" width="15" style="40" customWidth="1" outlineLevel="1"/>
    <col min="21" max="21" width="15.7109375" style="40" customWidth="1"/>
    <col min="22" max="23" width="15.7109375" style="40" customWidth="1" outlineLevel="1"/>
    <col min="24" max="26" width="15.7109375" style="30" customWidth="1" outlineLevel="1"/>
    <col min="27" max="27" width="17.85546875" style="30" customWidth="1" outlineLevel="1"/>
    <col min="28" max="28" width="1.7109375" style="30" customWidth="1"/>
    <col min="29" max="29" width="15.85546875" style="40" bestFit="1" customWidth="1"/>
    <col min="30" max="30" width="13.85546875" style="40" customWidth="1" outlineLevel="1"/>
    <col min="31" max="31" width="16.140625" style="40" customWidth="1" outlineLevel="1"/>
    <col min="32" max="32" width="15.7109375" style="40" customWidth="1"/>
    <col min="33" max="34" width="15.7109375" style="40" customWidth="1" outlineLevel="1"/>
    <col min="35" max="35" width="23.5703125" style="30" customWidth="1" outlineLevel="1"/>
    <col min="36" max="36" width="15.7109375" style="30" customWidth="1" outlineLevel="1"/>
    <col min="37" max="37" width="19" style="30" customWidth="1" outlineLevel="1"/>
    <col min="38" max="38" width="20.140625" style="30" customWidth="1" outlineLevel="1"/>
    <col min="39" max="39" width="1.7109375" style="30" customWidth="1"/>
    <col min="40" max="40" width="15.7109375" style="8" customWidth="1"/>
    <col min="41" max="16384" width="2.7109375" style="8"/>
  </cols>
  <sheetData>
    <row r="1" spans="1:40" ht="15.75" x14ac:dyDescent="0.25">
      <c r="B1" s="37" t="s">
        <v>976</v>
      </c>
      <c r="K1" s="87"/>
      <c r="L1" s="437">
        <v>106808.40000000001</v>
      </c>
      <c r="M1" s="438">
        <f>M3/L1</f>
        <v>1</v>
      </c>
      <c r="N1" s="38"/>
      <c r="O1" s="10">
        <f>M3*87.52%</f>
        <v>93478.711680000008</v>
      </c>
      <c r="P1" s="435">
        <f>L1-O1</f>
        <v>13329.688320000001</v>
      </c>
      <c r="Q1" s="39">
        <v>3</v>
      </c>
      <c r="R1" s="39">
        <v>4</v>
      </c>
      <c r="S1" s="39"/>
      <c r="T1" s="39"/>
      <c r="U1" s="39">
        <v>2</v>
      </c>
      <c r="V1" s="39">
        <v>3</v>
      </c>
      <c r="W1" s="39">
        <v>4</v>
      </c>
      <c r="X1" s="38"/>
      <c r="Y1" s="38"/>
      <c r="Z1" s="38"/>
      <c r="AA1" s="38"/>
      <c r="AB1" s="38"/>
      <c r="AC1" s="39">
        <v>2</v>
      </c>
      <c r="AD1" s="39">
        <v>3</v>
      </c>
      <c r="AE1" s="39">
        <v>4</v>
      </c>
      <c r="AF1" s="39">
        <v>2</v>
      </c>
      <c r="AG1" s="39">
        <v>3</v>
      </c>
      <c r="AH1" s="39">
        <v>4</v>
      </c>
      <c r="AI1" s="38"/>
      <c r="AJ1" s="38"/>
      <c r="AK1" s="38"/>
      <c r="AL1" s="38"/>
      <c r="AM1" s="38"/>
    </row>
    <row r="2" spans="1:40" x14ac:dyDescent="0.25">
      <c r="K2" s="85"/>
      <c r="L2" s="86"/>
      <c r="M2" s="87"/>
      <c r="N2" s="10">
        <f>SUBTOTAL(9,N5:N9675)</f>
        <v>0</v>
      </c>
      <c r="O2" s="10">
        <f>SUBTOTAL(9,O5:O410)</f>
        <v>0</v>
      </c>
      <c r="P2" s="30"/>
      <c r="Q2" s="30"/>
      <c r="R2" s="30"/>
      <c r="S2" s="30"/>
      <c r="T2" s="426"/>
      <c r="U2" s="30"/>
      <c r="V2" s="30"/>
      <c r="W2" s="30"/>
      <c r="AI2" s="43">
        <f>SUBTOTAL(9,AI5:AI426)</f>
        <v>0</v>
      </c>
      <c r="AJ2" s="43">
        <f>SUBTOTAL(9,AJ5:AJ426)</f>
        <v>0</v>
      </c>
      <c r="AK2" s="43">
        <f>SUBTOTAL(9,AK5:AK426)</f>
        <v>0</v>
      </c>
      <c r="AL2" s="43">
        <f>SUBTOTAL(9,AL5:AL426)</f>
        <v>0</v>
      </c>
    </row>
    <row r="3" spans="1:40" x14ac:dyDescent="0.25">
      <c r="B3" s="49" t="str">
        <f>IFERROR(VLOOKUP(A3,'ITEM PQ'!$A$1:$G$3107,7,FALSE),"-")</f>
        <v>-</v>
      </c>
      <c r="K3" s="38">
        <f>SUBTOTAL(9,K5:K9676)</f>
        <v>2344</v>
      </c>
      <c r="L3" s="10">
        <f>SUBTOTAL(9,L5:L9676)</f>
        <v>55390.56084946169</v>
      </c>
      <c r="M3" s="10">
        <f>SUBTOTAL(9,M5:O9676)</f>
        <v>106808.40000000001</v>
      </c>
      <c r="N3" s="10">
        <f>SUBTOTAL(9,N5:N9676)</f>
        <v>0</v>
      </c>
      <c r="O3" s="12">
        <f>SUM(O5:O411)</f>
        <v>0</v>
      </c>
      <c r="P3" s="30"/>
      <c r="Q3" s="30"/>
      <c r="R3" s="433"/>
      <c r="S3" s="426">
        <f>SUBTOTAL(9,S5:S262)</f>
        <v>0.99999999999999989</v>
      </c>
      <c r="T3" s="436">
        <f>SUBTOTAL(9,T5:T262)</f>
        <v>0.91808883945457442</v>
      </c>
      <c r="U3" s="30"/>
      <c r="V3" s="413">
        <f>SUBTOTAL(9,V5:V9676)</f>
        <v>0</v>
      </c>
      <c r="W3" s="30"/>
      <c r="AI3" s="43">
        <f>SUM(AI5:AI426)</f>
        <v>0</v>
      </c>
      <c r="AJ3" s="43">
        <f>SUM(AJ5:AJ426)</f>
        <v>0</v>
      </c>
      <c r="AK3" s="43">
        <f>SUM(AK5:AK426)</f>
        <v>0</v>
      </c>
      <c r="AL3" s="43">
        <f>SUM(AL5:AL426)</f>
        <v>0</v>
      </c>
    </row>
    <row r="4" spans="1:40" s="2" customFormat="1" ht="36" x14ac:dyDescent="0.25">
      <c r="A4" s="4" t="s">
        <v>0</v>
      </c>
      <c r="B4" s="4" t="s">
        <v>1</v>
      </c>
      <c r="C4" s="77" t="s">
        <v>7026</v>
      </c>
      <c r="D4" s="77" t="s">
        <v>8668</v>
      </c>
      <c r="E4" s="93" t="s">
        <v>7037</v>
      </c>
      <c r="F4" s="93" t="s">
        <v>8415</v>
      </c>
      <c r="G4" s="79" t="s">
        <v>35</v>
      </c>
      <c r="H4" s="421" t="s">
        <v>8416</v>
      </c>
      <c r="I4" s="415" t="s">
        <v>8450</v>
      </c>
      <c r="J4" s="415" t="s">
        <v>8451</v>
      </c>
      <c r="K4" s="424" t="s">
        <v>3</v>
      </c>
      <c r="L4" s="83" t="s">
        <v>8409</v>
      </c>
      <c r="M4" s="84" t="s">
        <v>8410</v>
      </c>
      <c r="N4" s="5" t="s">
        <v>7053</v>
      </c>
      <c r="O4" s="5" t="s">
        <v>7054</v>
      </c>
      <c r="P4" s="94" t="s">
        <v>8404</v>
      </c>
      <c r="Q4" s="94" t="s">
        <v>8405</v>
      </c>
      <c r="R4" s="94" t="s">
        <v>8406</v>
      </c>
      <c r="S4" s="430" t="s">
        <v>8661</v>
      </c>
      <c r="T4" s="430" t="s">
        <v>8663</v>
      </c>
      <c r="U4" s="6" t="s">
        <v>8404</v>
      </c>
      <c r="V4" s="6" t="s">
        <v>8405</v>
      </c>
      <c r="W4" s="6" t="s">
        <v>8406</v>
      </c>
      <c r="X4" s="25" t="s">
        <v>6</v>
      </c>
      <c r="Y4" s="25" t="s">
        <v>7</v>
      </c>
      <c r="Z4" s="25" t="s">
        <v>8</v>
      </c>
      <c r="AA4" s="25" t="s">
        <v>9</v>
      </c>
      <c r="AB4" s="25" t="s">
        <v>4778</v>
      </c>
      <c r="AC4" s="95" t="s">
        <v>8404</v>
      </c>
      <c r="AD4" s="95" t="s">
        <v>8405</v>
      </c>
      <c r="AE4" s="95" t="s">
        <v>8406</v>
      </c>
      <c r="AF4" s="7" t="s">
        <v>8404</v>
      </c>
      <c r="AG4" s="7" t="s">
        <v>8405</v>
      </c>
      <c r="AH4" s="7" t="s">
        <v>8406</v>
      </c>
      <c r="AI4" s="44" t="s">
        <v>10</v>
      </c>
      <c r="AJ4" s="44" t="s">
        <v>11</v>
      </c>
      <c r="AK4" s="44" t="s">
        <v>12</v>
      </c>
      <c r="AL4" s="44" t="s">
        <v>9</v>
      </c>
      <c r="AM4" s="26" t="s">
        <v>4778</v>
      </c>
      <c r="AN4" s="24" t="s">
        <v>13</v>
      </c>
    </row>
    <row r="5" spans="1:40" s="69" customFormat="1" x14ac:dyDescent="0.2">
      <c r="A5" s="88"/>
      <c r="B5" s="88"/>
      <c r="C5" s="70"/>
      <c r="D5" s="70"/>
      <c r="E5" s="70" t="s">
        <v>8418</v>
      </c>
      <c r="F5" s="70">
        <v>0</v>
      </c>
      <c r="G5" s="70" t="s">
        <v>8660</v>
      </c>
      <c r="H5" s="422" t="s">
        <v>8417</v>
      </c>
      <c r="I5" s="422" t="s">
        <v>8505</v>
      </c>
      <c r="J5" s="418" t="s">
        <v>8419</v>
      </c>
      <c r="K5" s="417">
        <v>1</v>
      </c>
      <c r="L5" s="408">
        <v>558.4</v>
      </c>
      <c r="M5" s="408">
        <f t="shared" ref="M5:M36" si="0">L5*K5</f>
        <v>558.4</v>
      </c>
      <c r="N5" s="408"/>
      <c r="O5" s="408"/>
      <c r="P5" s="411">
        <v>1</v>
      </c>
      <c r="Q5" s="411">
        <v>1</v>
      </c>
      <c r="R5" s="411"/>
      <c r="S5" s="427">
        <f>M5/$M$3</f>
        <v>5.2280532242782399E-3</v>
      </c>
      <c r="T5" s="427">
        <f>Q5*M5/$M$3</f>
        <v>5.2280532242782399E-3</v>
      </c>
      <c r="U5" s="42"/>
      <c r="V5" s="416"/>
      <c r="W5" s="42"/>
      <c r="X5" s="74"/>
      <c r="Y5" s="74"/>
      <c r="Z5" s="74"/>
      <c r="AA5" s="74"/>
      <c r="AB5" s="74"/>
      <c r="AC5" s="42"/>
      <c r="AD5" s="42"/>
      <c r="AE5" s="42"/>
      <c r="AF5" s="42"/>
      <c r="AG5" s="42"/>
      <c r="AH5" s="42"/>
      <c r="AI5" s="75"/>
      <c r="AJ5" s="75"/>
      <c r="AK5" s="75"/>
      <c r="AL5" s="75"/>
      <c r="AM5" s="74"/>
      <c r="AN5" s="72"/>
    </row>
    <row r="6" spans="1:40" s="69" customFormat="1" x14ac:dyDescent="0.2">
      <c r="A6" s="88"/>
      <c r="B6" s="88"/>
      <c r="C6" s="70"/>
      <c r="D6" s="70"/>
      <c r="E6" s="70" t="s">
        <v>8418</v>
      </c>
      <c r="F6" s="70">
        <v>0</v>
      </c>
      <c r="G6" s="70" t="s">
        <v>8660</v>
      </c>
      <c r="H6" s="422" t="s">
        <v>8417</v>
      </c>
      <c r="I6" s="422" t="s">
        <v>8505</v>
      </c>
      <c r="J6" s="418" t="s">
        <v>8419</v>
      </c>
      <c r="K6" s="417">
        <v>1</v>
      </c>
      <c r="L6" s="408">
        <v>558.4</v>
      </c>
      <c r="M6" s="408">
        <f t="shared" si="0"/>
        <v>558.4</v>
      </c>
      <c r="N6" s="408"/>
      <c r="O6" s="408"/>
      <c r="P6" s="411">
        <v>1</v>
      </c>
      <c r="Q6" s="411">
        <v>1</v>
      </c>
      <c r="R6" s="411"/>
      <c r="S6" s="427">
        <f t="shared" ref="S6:S69" si="1">M6/$M$3</f>
        <v>5.2280532242782399E-3</v>
      </c>
      <c r="T6" s="427">
        <f t="shared" ref="T6:T69" si="2">Q6*M6/$M$3</f>
        <v>5.2280532242782399E-3</v>
      </c>
      <c r="U6" s="42"/>
      <c r="V6" s="416"/>
      <c r="W6" s="42"/>
      <c r="X6" s="74"/>
      <c r="Y6" s="74"/>
      <c r="Z6" s="74"/>
      <c r="AA6" s="74"/>
      <c r="AB6" s="74"/>
      <c r="AC6" s="42"/>
      <c r="AD6" s="42"/>
      <c r="AE6" s="42"/>
      <c r="AF6" s="42"/>
      <c r="AG6" s="42"/>
      <c r="AH6" s="42"/>
      <c r="AI6" s="75"/>
      <c r="AJ6" s="75"/>
      <c r="AK6" s="75"/>
      <c r="AL6" s="75"/>
      <c r="AM6" s="74"/>
      <c r="AN6" s="72"/>
    </row>
    <row r="7" spans="1:40" s="69" customFormat="1" x14ac:dyDescent="0.2">
      <c r="A7" s="88"/>
      <c r="B7" s="88"/>
      <c r="C7" s="70"/>
      <c r="D7" s="70"/>
      <c r="E7" s="70" t="s">
        <v>8418</v>
      </c>
      <c r="F7" s="70">
        <v>0</v>
      </c>
      <c r="G7" s="70" t="s">
        <v>8660</v>
      </c>
      <c r="H7" s="422" t="s">
        <v>8417</v>
      </c>
      <c r="I7" s="422" t="s">
        <v>8505</v>
      </c>
      <c r="J7" s="418" t="s">
        <v>8419</v>
      </c>
      <c r="K7" s="417">
        <v>9</v>
      </c>
      <c r="L7" s="408">
        <v>558.40000000000009</v>
      </c>
      <c r="M7" s="408">
        <f t="shared" si="0"/>
        <v>5025.6000000000004</v>
      </c>
      <c r="N7" s="408"/>
      <c r="O7" s="408"/>
      <c r="P7" s="411">
        <v>1</v>
      </c>
      <c r="Q7" s="411">
        <v>1</v>
      </c>
      <c r="R7" s="411"/>
      <c r="S7" s="427">
        <f t="shared" si="1"/>
        <v>4.7052479018504165E-2</v>
      </c>
      <c r="T7" s="427">
        <f t="shared" si="2"/>
        <v>4.7052479018504165E-2</v>
      </c>
      <c r="U7" s="42"/>
      <c r="V7" s="416"/>
      <c r="W7" s="42"/>
      <c r="X7" s="74"/>
      <c r="Y7" s="74"/>
      <c r="Z7" s="74"/>
      <c r="AA7" s="74"/>
      <c r="AB7" s="74"/>
      <c r="AC7" s="42"/>
      <c r="AD7" s="42"/>
      <c r="AE7" s="42"/>
      <c r="AF7" s="42"/>
      <c r="AG7" s="42"/>
      <c r="AH7" s="42"/>
      <c r="AI7" s="75"/>
      <c r="AJ7" s="75"/>
      <c r="AK7" s="75"/>
      <c r="AL7" s="75"/>
      <c r="AM7" s="74"/>
      <c r="AN7" s="72"/>
    </row>
    <row r="8" spans="1:40" s="69" customFormat="1" x14ac:dyDescent="0.2">
      <c r="A8" s="88"/>
      <c r="B8" s="88"/>
      <c r="C8" s="70"/>
      <c r="D8" s="70"/>
      <c r="E8" s="70" t="s">
        <v>8418</v>
      </c>
      <c r="F8" s="70">
        <v>0</v>
      </c>
      <c r="G8" s="70" t="s">
        <v>8660</v>
      </c>
      <c r="H8" s="422" t="s">
        <v>8417</v>
      </c>
      <c r="I8" s="422" t="s">
        <v>8505</v>
      </c>
      <c r="J8" s="418" t="s">
        <v>8420</v>
      </c>
      <c r="K8" s="417">
        <v>4</v>
      </c>
      <c r="L8" s="408">
        <v>87.3</v>
      </c>
      <c r="M8" s="408">
        <f t="shared" si="0"/>
        <v>349.2</v>
      </c>
      <c r="N8" s="408"/>
      <c r="O8" s="408"/>
      <c r="P8" s="411">
        <v>1</v>
      </c>
      <c r="Q8" s="411">
        <v>1</v>
      </c>
      <c r="R8" s="411"/>
      <c r="S8" s="427">
        <f t="shared" si="1"/>
        <v>3.2694057770737131E-3</v>
      </c>
      <c r="T8" s="427">
        <f t="shared" si="2"/>
        <v>3.2694057770737131E-3</v>
      </c>
      <c r="U8" s="42"/>
      <c r="V8" s="416"/>
      <c r="W8" s="42"/>
      <c r="X8" s="74"/>
      <c r="Y8" s="74"/>
      <c r="Z8" s="74"/>
      <c r="AA8" s="74"/>
      <c r="AB8" s="74"/>
      <c r="AC8" s="42"/>
      <c r="AD8" s="42"/>
      <c r="AE8" s="42"/>
      <c r="AF8" s="42"/>
      <c r="AG8" s="42"/>
      <c r="AH8" s="42"/>
      <c r="AI8" s="75"/>
      <c r="AJ8" s="75"/>
      <c r="AK8" s="75"/>
      <c r="AL8" s="75"/>
      <c r="AM8" s="74"/>
      <c r="AN8" s="72"/>
    </row>
    <row r="9" spans="1:40" s="69" customFormat="1" x14ac:dyDescent="0.2">
      <c r="A9" s="88"/>
      <c r="B9" s="88"/>
      <c r="C9" s="70"/>
      <c r="D9" s="70"/>
      <c r="E9" s="70" t="s">
        <v>8418</v>
      </c>
      <c r="F9" s="70">
        <v>0</v>
      </c>
      <c r="G9" s="70" t="s">
        <v>8660</v>
      </c>
      <c r="H9" s="422" t="s">
        <v>8417</v>
      </c>
      <c r="I9" s="422" t="s">
        <v>8505</v>
      </c>
      <c r="J9" s="418" t="s">
        <v>8419</v>
      </c>
      <c r="K9" s="417">
        <v>1</v>
      </c>
      <c r="L9" s="408">
        <v>558.4</v>
      </c>
      <c r="M9" s="408">
        <f t="shared" si="0"/>
        <v>558.4</v>
      </c>
      <c r="N9" s="408"/>
      <c r="O9" s="408"/>
      <c r="P9" s="411">
        <v>1</v>
      </c>
      <c r="Q9" s="411">
        <v>1</v>
      </c>
      <c r="R9" s="411"/>
      <c r="S9" s="427">
        <f t="shared" si="1"/>
        <v>5.2280532242782399E-3</v>
      </c>
      <c r="T9" s="427">
        <f t="shared" si="2"/>
        <v>5.2280532242782399E-3</v>
      </c>
      <c r="U9" s="42"/>
      <c r="V9" s="416"/>
      <c r="W9" s="42"/>
      <c r="X9" s="74"/>
      <c r="Y9" s="74"/>
      <c r="Z9" s="74"/>
      <c r="AA9" s="74"/>
      <c r="AB9" s="74"/>
      <c r="AC9" s="42"/>
      <c r="AD9" s="42"/>
      <c r="AE9" s="42"/>
      <c r="AF9" s="42"/>
      <c r="AG9" s="42"/>
      <c r="AH9" s="42"/>
      <c r="AI9" s="75"/>
      <c r="AJ9" s="75"/>
      <c r="AK9" s="75"/>
      <c r="AL9" s="75"/>
      <c r="AM9" s="74"/>
      <c r="AN9" s="72"/>
    </row>
    <row r="10" spans="1:40" s="69" customFormat="1" x14ac:dyDescent="0.2">
      <c r="A10" s="88"/>
      <c r="B10" s="88"/>
      <c r="C10" s="70"/>
      <c r="D10" s="70"/>
      <c r="E10" s="70" t="s">
        <v>8418</v>
      </c>
      <c r="F10" s="70">
        <v>0</v>
      </c>
      <c r="G10" s="70" t="s">
        <v>8660</v>
      </c>
      <c r="H10" s="422" t="s">
        <v>8417</v>
      </c>
      <c r="I10" s="422" t="s">
        <v>8505</v>
      </c>
      <c r="J10" s="418" t="s">
        <v>8421</v>
      </c>
      <c r="K10" s="417">
        <v>1</v>
      </c>
      <c r="L10" s="408">
        <v>952.4</v>
      </c>
      <c r="M10" s="408">
        <f t="shared" si="0"/>
        <v>952.4</v>
      </c>
      <c r="N10" s="408"/>
      <c r="O10" s="408"/>
      <c r="P10" s="411">
        <v>1</v>
      </c>
      <c r="Q10" s="411">
        <v>1</v>
      </c>
      <c r="R10" s="411"/>
      <c r="S10" s="427">
        <f t="shared" si="1"/>
        <v>8.9169016669100928E-3</v>
      </c>
      <c r="T10" s="427">
        <f t="shared" si="2"/>
        <v>8.9169016669100928E-3</v>
      </c>
      <c r="U10" s="42"/>
      <c r="V10" s="416"/>
      <c r="W10" s="42"/>
      <c r="X10" s="74"/>
      <c r="Y10" s="74"/>
      <c r="Z10" s="74"/>
      <c r="AA10" s="74"/>
      <c r="AB10" s="74"/>
      <c r="AC10" s="42"/>
      <c r="AD10" s="42"/>
      <c r="AE10" s="42"/>
      <c r="AF10" s="42"/>
      <c r="AG10" s="42"/>
      <c r="AH10" s="42"/>
      <c r="AI10" s="75"/>
      <c r="AJ10" s="75"/>
      <c r="AK10" s="75"/>
      <c r="AL10" s="75"/>
      <c r="AM10" s="74"/>
      <c r="AN10" s="72"/>
    </row>
    <row r="11" spans="1:40" s="69" customFormat="1" x14ac:dyDescent="0.2">
      <c r="A11" s="88"/>
      <c r="B11" s="88"/>
      <c r="C11" s="70"/>
      <c r="D11" s="70"/>
      <c r="E11" s="70" t="s">
        <v>8418</v>
      </c>
      <c r="F11" s="70">
        <v>0</v>
      </c>
      <c r="G11" s="70" t="s">
        <v>8660</v>
      </c>
      <c r="H11" s="422" t="s">
        <v>8417</v>
      </c>
      <c r="I11" s="422" t="s">
        <v>8505</v>
      </c>
      <c r="J11" s="418" t="s">
        <v>8422</v>
      </c>
      <c r="K11" s="417">
        <v>2</v>
      </c>
      <c r="L11" s="408">
        <v>498</v>
      </c>
      <c r="M11" s="408">
        <f t="shared" si="0"/>
        <v>996</v>
      </c>
      <c r="N11" s="408"/>
      <c r="O11" s="408"/>
      <c r="P11" s="411">
        <v>1</v>
      </c>
      <c r="Q11" s="411">
        <v>1</v>
      </c>
      <c r="R11" s="411"/>
      <c r="S11" s="427">
        <f t="shared" si="1"/>
        <v>9.3251092610693535E-3</v>
      </c>
      <c r="T11" s="427">
        <f t="shared" si="2"/>
        <v>9.3251092610693535E-3</v>
      </c>
      <c r="U11" s="42"/>
      <c r="V11" s="416"/>
      <c r="W11" s="42"/>
      <c r="X11" s="74"/>
      <c r="Y11" s="74"/>
      <c r="Z11" s="74"/>
      <c r="AA11" s="74"/>
      <c r="AB11" s="74"/>
      <c r="AC11" s="42"/>
      <c r="AD11" s="42"/>
      <c r="AE11" s="42"/>
      <c r="AF11" s="42"/>
      <c r="AG11" s="42"/>
      <c r="AH11" s="42"/>
      <c r="AI11" s="75"/>
      <c r="AJ11" s="75"/>
      <c r="AK11" s="75"/>
      <c r="AL11" s="75"/>
      <c r="AM11" s="74"/>
      <c r="AN11" s="72"/>
    </row>
    <row r="12" spans="1:40" s="69" customFormat="1" x14ac:dyDescent="0.2">
      <c r="A12" s="88"/>
      <c r="B12" s="88"/>
      <c r="C12" s="70"/>
      <c r="D12" s="70"/>
      <c r="E12" s="70" t="s">
        <v>8418</v>
      </c>
      <c r="F12" s="70">
        <v>0</v>
      </c>
      <c r="G12" s="70" t="s">
        <v>8660</v>
      </c>
      <c r="H12" s="422" t="s">
        <v>8417</v>
      </c>
      <c r="I12" s="422" t="s">
        <v>8505</v>
      </c>
      <c r="J12" s="418" t="s">
        <v>8423</v>
      </c>
      <c r="K12" s="417">
        <v>1</v>
      </c>
      <c r="L12" s="408">
        <v>28.8</v>
      </c>
      <c r="M12" s="408">
        <f t="shared" si="0"/>
        <v>28.8</v>
      </c>
      <c r="N12" s="408"/>
      <c r="O12" s="408"/>
      <c r="P12" s="411">
        <v>1</v>
      </c>
      <c r="Q12" s="411">
        <v>1</v>
      </c>
      <c r="R12" s="411"/>
      <c r="S12" s="427">
        <f t="shared" si="1"/>
        <v>2.6964171357308977E-4</v>
      </c>
      <c r="T12" s="427">
        <f t="shared" si="2"/>
        <v>2.6964171357308977E-4</v>
      </c>
      <c r="U12" s="42"/>
      <c r="V12" s="416"/>
      <c r="W12" s="42"/>
      <c r="X12" s="74"/>
      <c r="Y12" s="74"/>
      <c r="Z12" s="74"/>
      <c r="AA12" s="74"/>
      <c r="AB12" s="74"/>
      <c r="AC12" s="42"/>
      <c r="AD12" s="42"/>
      <c r="AE12" s="42"/>
      <c r="AF12" s="42"/>
      <c r="AG12" s="42"/>
      <c r="AH12" s="42"/>
      <c r="AI12" s="75"/>
      <c r="AJ12" s="75"/>
      <c r="AK12" s="75"/>
      <c r="AL12" s="75"/>
      <c r="AM12" s="74"/>
      <c r="AN12" s="72"/>
    </row>
    <row r="13" spans="1:40" s="69" customFormat="1" x14ac:dyDescent="0.2">
      <c r="A13" s="88"/>
      <c r="B13" s="88"/>
      <c r="C13" s="70"/>
      <c r="D13" s="70"/>
      <c r="E13" s="70" t="s">
        <v>8418</v>
      </c>
      <c r="F13" s="70">
        <v>0</v>
      </c>
      <c r="G13" s="70" t="s">
        <v>8660</v>
      </c>
      <c r="H13" s="422" t="s">
        <v>8417</v>
      </c>
      <c r="I13" s="422" t="s">
        <v>8505</v>
      </c>
      <c r="J13" s="418" t="s">
        <v>8424</v>
      </c>
      <c r="K13" s="417">
        <v>2</v>
      </c>
      <c r="L13" s="408">
        <v>28.05</v>
      </c>
      <c r="M13" s="408">
        <f t="shared" si="0"/>
        <v>56.1</v>
      </c>
      <c r="N13" s="408"/>
      <c r="O13" s="408"/>
      <c r="P13" s="411">
        <v>1</v>
      </c>
      <c r="Q13" s="411">
        <v>1</v>
      </c>
      <c r="R13" s="411"/>
      <c r="S13" s="427">
        <f t="shared" si="1"/>
        <v>5.2523958789758103E-4</v>
      </c>
      <c r="T13" s="427">
        <f t="shared" si="2"/>
        <v>5.2523958789758103E-4</v>
      </c>
      <c r="U13" s="42"/>
      <c r="V13" s="416"/>
      <c r="W13" s="42"/>
      <c r="X13" s="74"/>
      <c r="Y13" s="74"/>
      <c r="Z13" s="74"/>
      <c r="AA13" s="74"/>
      <c r="AB13" s="74"/>
      <c r="AC13" s="42"/>
      <c r="AD13" s="42"/>
      <c r="AE13" s="42"/>
      <c r="AF13" s="42"/>
      <c r="AG13" s="42"/>
      <c r="AH13" s="42"/>
      <c r="AI13" s="75"/>
      <c r="AJ13" s="75"/>
      <c r="AK13" s="75"/>
      <c r="AL13" s="75"/>
      <c r="AM13" s="74"/>
      <c r="AN13" s="72"/>
    </row>
    <row r="14" spans="1:40" s="69" customFormat="1" x14ac:dyDescent="0.2">
      <c r="A14" s="88"/>
      <c r="B14" s="88"/>
      <c r="C14" s="70"/>
      <c r="D14" s="70"/>
      <c r="E14" s="70" t="s">
        <v>8418</v>
      </c>
      <c r="F14" s="70">
        <v>0</v>
      </c>
      <c r="G14" s="70" t="s">
        <v>8660</v>
      </c>
      <c r="H14" s="422" t="s">
        <v>8417</v>
      </c>
      <c r="I14" s="422" t="s">
        <v>8505</v>
      </c>
      <c r="J14" s="418" t="s">
        <v>8425</v>
      </c>
      <c r="K14" s="417">
        <v>1</v>
      </c>
      <c r="L14" s="408">
        <v>28.8</v>
      </c>
      <c r="M14" s="408">
        <f t="shared" si="0"/>
        <v>28.8</v>
      </c>
      <c r="N14" s="408"/>
      <c r="O14" s="408"/>
      <c r="P14" s="411">
        <v>1</v>
      </c>
      <c r="Q14" s="411">
        <v>1</v>
      </c>
      <c r="R14" s="411"/>
      <c r="S14" s="427">
        <f t="shared" si="1"/>
        <v>2.6964171357308977E-4</v>
      </c>
      <c r="T14" s="427">
        <f t="shared" si="2"/>
        <v>2.6964171357308977E-4</v>
      </c>
      <c r="U14" s="42"/>
      <c r="V14" s="416"/>
      <c r="W14" s="42"/>
      <c r="X14" s="74"/>
      <c r="Y14" s="74"/>
      <c r="Z14" s="74"/>
      <c r="AA14" s="74"/>
      <c r="AB14" s="74"/>
      <c r="AC14" s="42"/>
      <c r="AD14" s="42"/>
      <c r="AE14" s="42"/>
      <c r="AF14" s="42"/>
      <c r="AG14" s="42"/>
      <c r="AH14" s="42"/>
      <c r="AI14" s="75"/>
      <c r="AJ14" s="75"/>
      <c r="AK14" s="75"/>
      <c r="AL14" s="75"/>
      <c r="AM14" s="74"/>
      <c r="AN14" s="72"/>
    </row>
    <row r="15" spans="1:40" s="69" customFormat="1" x14ac:dyDescent="0.2">
      <c r="A15" s="88"/>
      <c r="B15" s="88"/>
      <c r="C15" s="70"/>
      <c r="D15" s="70"/>
      <c r="E15" s="70" t="s">
        <v>8418</v>
      </c>
      <c r="F15" s="70">
        <v>0</v>
      </c>
      <c r="G15" s="70" t="s">
        <v>8660</v>
      </c>
      <c r="H15" s="422" t="s">
        <v>8417</v>
      </c>
      <c r="I15" s="422" t="s">
        <v>8505</v>
      </c>
      <c r="J15" s="418" t="s">
        <v>8426</v>
      </c>
      <c r="K15" s="417">
        <v>1</v>
      </c>
      <c r="L15" s="408">
        <v>12.3</v>
      </c>
      <c r="M15" s="408">
        <f t="shared" si="0"/>
        <v>12.3</v>
      </c>
      <c r="N15" s="408"/>
      <c r="O15" s="408"/>
      <c r="P15" s="411">
        <v>1</v>
      </c>
      <c r="Q15" s="411">
        <v>1</v>
      </c>
      <c r="R15" s="411"/>
      <c r="S15" s="427">
        <f t="shared" si="1"/>
        <v>1.1515948183850708E-4</v>
      </c>
      <c r="T15" s="427">
        <f t="shared" si="2"/>
        <v>1.1515948183850708E-4</v>
      </c>
      <c r="U15" s="42"/>
      <c r="V15" s="416"/>
      <c r="W15" s="42"/>
      <c r="X15" s="74"/>
      <c r="Y15" s="74"/>
      <c r="Z15" s="74"/>
      <c r="AA15" s="74"/>
      <c r="AB15" s="74"/>
      <c r="AC15" s="42"/>
      <c r="AD15" s="42"/>
      <c r="AE15" s="42"/>
      <c r="AF15" s="42"/>
      <c r="AG15" s="42"/>
      <c r="AH15" s="42"/>
      <c r="AI15" s="75"/>
      <c r="AJ15" s="75"/>
      <c r="AK15" s="75"/>
      <c r="AL15" s="75"/>
      <c r="AM15" s="74"/>
      <c r="AN15" s="72"/>
    </row>
    <row r="16" spans="1:40" s="69" customFormat="1" x14ac:dyDescent="0.2">
      <c r="A16" s="88"/>
      <c r="B16" s="88"/>
      <c r="C16" s="70"/>
      <c r="D16" s="70"/>
      <c r="E16" s="70" t="s">
        <v>8418</v>
      </c>
      <c r="F16" s="70">
        <v>0</v>
      </c>
      <c r="G16" s="70" t="s">
        <v>8660</v>
      </c>
      <c r="H16" s="422" t="s">
        <v>8417</v>
      </c>
      <c r="I16" s="422" t="s">
        <v>8505</v>
      </c>
      <c r="J16" s="418" t="s">
        <v>8427</v>
      </c>
      <c r="K16" s="417">
        <v>2</v>
      </c>
      <c r="L16" s="408">
        <v>11.8</v>
      </c>
      <c r="M16" s="408">
        <f t="shared" si="0"/>
        <v>23.6</v>
      </c>
      <c r="N16" s="408"/>
      <c r="O16" s="408"/>
      <c r="P16" s="411">
        <v>1</v>
      </c>
      <c r="Q16" s="411">
        <v>1</v>
      </c>
      <c r="R16" s="411"/>
      <c r="S16" s="427">
        <f t="shared" si="1"/>
        <v>2.2095640417794856E-4</v>
      </c>
      <c r="T16" s="427">
        <f t="shared" si="2"/>
        <v>2.2095640417794856E-4</v>
      </c>
      <c r="U16" s="42"/>
      <c r="V16" s="416"/>
      <c r="W16" s="42"/>
      <c r="X16" s="74"/>
      <c r="Y16" s="74"/>
      <c r="Z16" s="74"/>
      <c r="AA16" s="74"/>
      <c r="AB16" s="74"/>
      <c r="AC16" s="42"/>
      <c r="AD16" s="42"/>
      <c r="AE16" s="42"/>
      <c r="AF16" s="42"/>
      <c r="AG16" s="42"/>
      <c r="AH16" s="42"/>
      <c r="AI16" s="75"/>
      <c r="AJ16" s="75"/>
      <c r="AK16" s="75"/>
      <c r="AL16" s="75"/>
      <c r="AM16" s="74"/>
      <c r="AN16" s="72"/>
    </row>
    <row r="17" spans="1:40" s="69" customFormat="1" x14ac:dyDescent="0.2">
      <c r="A17" s="88"/>
      <c r="B17" s="88"/>
      <c r="C17" s="70"/>
      <c r="D17" s="70"/>
      <c r="E17" s="70" t="s">
        <v>8418</v>
      </c>
      <c r="F17" s="70">
        <v>0</v>
      </c>
      <c r="G17" s="70" t="s">
        <v>8660</v>
      </c>
      <c r="H17" s="422" t="s">
        <v>8417</v>
      </c>
      <c r="I17" s="422" t="s">
        <v>8505</v>
      </c>
      <c r="J17" s="418" t="s">
        <v>8428</v>
      </c>
      <c r="K17" s="417">
        <v>1</v>
      </c>
      <c r="L17" s="408">
        <v>28.4</v>
      </c>
      <c r="M17" s="408">
        <f t="shared" si="0"/>
        <v>28.4</v>
      </c>
      <c r="N17" s="408"/>
      <c r="O17" s="408"/>
      <c r="P17" s="411">
        <v>1</v>
      </c>
      <c r="Q17" s="411">
        <v>1</v>
      </c>
      <c r="R17" s="411"/>
      <c r="S17" s="427">
        <f t="shared" si="1"/>
        <v>2.658966897734635E-4</v>
      </c>
      <c r="T17" s="427">
        <f t="shared" si="2"/>
        <v>2.658966897734635E-4</v>
      </c>
      <c r="U17" s="42"/>
      <c r="V17" s="416"/>
      <c r="W17" s="42"/>
      <c r="X17" s="74"/>
      <c r="Y17" s="74"/>
      <c r="Z17" s="74"/>
      <c r="AA17" s="74"/>
      <c r="AB17" s="74"/>
      <c r="AC17" s="42"/>
      <c r="AD17" s="42"/>
      <c r="AE17" s="42"/>
      <c r="AF17" s="42"/>
      <c r="AG17" s="42"/>
      <c r="AH17" s="42"/>
      <c r="AI17" s="75"/>
      <c r="AJ17" s="75"/>
      <c r="AK17" s="75"/>
      <c r="AL17" s="75"/>
      <c r="AM17" s="74"/>
      <c r="AN17" s="72"/>
    </row>
    <row r="18" spans="1:40" s="69" customFormat="1" x14ac:dyDescent="0.2">
      <c r="A18" s="88"/>
      <c r="B18" s="88"/>
      <c r="C18" s="70"/>
      <c r="D18" s="70"/>
      <c r="E18" s="70" t="s">
        <v>8418</v>
      </c>
      <c r="F18" s="70">
        <v>0</v>
      </c>
      <c r="G18" s="70" t="s">
        <v>8660</v>
      </c>
      <c r="H18" s="422" t="s">
        <v>8417</v>
      </c>
      <c r="I18" s="422" t="s">
        <v>8505</v>
      </c>
      <c r="J18" s="418" t="s">
        <v>8429</v>
      </c>
      <c r="K18" s="417">
        <v>1</v>
      </c>
      <c r="L18" s="408">
        <v>99.8</v>
      </c>
      <c r="M18" s="408">
        <f t="shared" si="0"/>
        <v>99.8</v>
      </c>
      <c r="N18" s="408"/>
      <c r="O18" s="408"/>
      <c r="P18" s="411">
        <v>1</v>
      </c>
      <c r="Q18" s="411">
        <v>1</v>
      </c>
      <c r="R18" s="411"/>
      <c r="S18" s="427">
        <f t="shared" si="1"/>
        <v>9.3438343800674839E-4</v>
      </c>
      <c r="T18" s="427">
        <f t="shared" si="2"/>
        <v>9.3438343800674839E-4</v>
      </c>
      <c r="U18" s="42"/>
      <c r="V18" s="416"/>
      <c r="W18" s="42"/>
      <c r="X18" s="74"/>
      <c r="Y18" s="74"/>
      <c r="Z18" s="74"/>
      <c r="AA18" s="74"/>
      <c r="AB18" s="74"/>
      <c r="AC18" s="42"/>
      <c r="AD18" s="42"/>
      <c r="AE18" s="42"/>
      <c r="AF18" s="42"/>
      <c r="AG18" s="42"/>
      <c r="AH18" s="42"/>
      <c r="AI18" s="75"/>
      <c r="AJ18" s="75"/>
      <c r="AK18" s="75"/>
      <c r="AL18" s="75"/>
      <c r="AM18" s="74"/>
      <c r="AN18" s="72"/>
    </row>
    <row r="19" spans="1:40" s="69" customFormat="1" x14ac:dyDescent="0.2">
      <c r="A19" s="88"/>
      <c r="B19" s="88"/>
      <c r="C19" s="70"/>
      <c r="D19" s="70"/>
      <c r="E19" s="70" t="s">
        <v>8418</v>
      </c>
      <c r="F19" s="70">
        <v>0</v>
      </c>
      <c r="G19" s="70" t="s">
        <v>8660</v>
      </c>
      <c r="H19" s="422" t="s">
        <v>8417</v>
      </c>
      <c r="I19" s="422" t="s">
        <v>8505</v>
      </c>
      <c r="J19" s="418" t="s">
        <v>8430</v>
      </c>
      <c r="K19" s="417">
        <v>8</v>
      </c>
      <c r="L19" s="408">
        <v>1.2875000000000001</v>
      </c>
      <c r="M19" s="408">
        <f t="shared" si="0"/>
        <v>10.3</v>
      </c>
      <c r="N19" s="408"/>
      <c r="O19" s="408"/>
      <c r="P19" s="411">
        <v>1</v>
      </c>
      <c r="Q19" s="411">
        <v>1</v>
      </c>
      <c r="R19" s="411"/>
      <c r="S19" s="427">
        <f t="shared" si="1"/>
        <v>9.6434362840375847E-5</v>
      </c>
      <c r="T19" s="427">
        <f t="shared" si="2"/>
        <v>9.6434362840375847E-5</v>
      </c>
      <c r="U19" s="42"/>
      <c r="V19" s="416"/>
      <c r="W19" s="42"/>
      <c r="X19" s="74"/>
      <c r="Y19" s="74"/>
      <c r="Z19" s="74"/>
      <c r="AA19" s="74"/>
      <c r="AB19" s="74"/>
      <c r="AC19" s="42"/>
      <c r="AD19" s="42"/>
      <c r="AE19" s="42"/>
      <c r="AF19" s="42"/>
      <c r="AG19" s="42"/>
      <c r="AH19" s="42"/>
      <c r="AI19" s="75"/>
      <c r="AJ19" s="75"/>
      <c r="AK19" s="75"/>
      <c r="AL19" s="75"/>
      <c r="AM19" s="74"/>
      <c r="AN19" s="72"/>
    </row>
    <row r="20" spans="1:40" s="69" customFormat="1" x14ac:dyDescent="0.2">
      <c r="A20" s="88"/>
      <c r="B20" s="88"/>
      <c r="C20" s="70"/>
      <c r="D20" s="70"/>
      <c r="E20" s="70" t="s">
        <v>8418</v>
      </c>
      <c r="F20" s="70">
        <v>0</v>
      </c>
      <c r="G20" s="70" t="s">
        <v>8660</v>
      </c>
      <c r="H20" s="422" t="s">
        <v>8417</v>
      </c>
      <c r="I20" s="422" t="s">
        <v>8505</v>
      </c>
      <c r="J20" s="418" t="s">
        <v>8431</v>
      </c>
      <c r="K20" s="417">
        <v>16</v>
      </c>
      <c r="L20" s="408">
        <v>0.66874999999999996</v>
      </c>
      <c r="M20" s="408">
        <f t="shared" si="0"/>
        <v>10.7</v>
      </c>
      <c r="N20" s="408"/>
      <c r="O20" s="408"/>
      <c r="P20" s="411">
        <v>1</v>
      </c>
      <c r="Q20" s="411">
        <v>1</v>
      </c>
      <c r="R20" s="411"/>
      <c r="S20" s="427">
        <f t="shared" si="1"/>
        <v>1.0017938664000208E-4</v>
      </c>
      <c r="T20" s="427">
        <f t="shared" si="2"/>
        <v>1.0017938664000208E-4</v>
      </c>
      <c r="U20" s="42"/>
      <c r="V20" s="416"/>
      <c r="W20" s="42"/>
      <c r="X20" s="74"/>
      <c r="Y20" s="74"/>
      <c r="Z20" s="74"/>
      <c r="AA20" s="74"/>
      <c r="AB20" s="74"/>
      <c r="AC20" s="42"/>
      <c r="AD20" s="42"/>
      <c r="AE20" s="42"/>
      <c r="AF20" s="42"/>
      <c r="AG20" s="42"/>
      <c r="AH20" s="42"/>
      <c r="AI20" s="75"/>
      <c r="AJ20" s="75"/>
      <c r="AK20" s="75"/>
      <c r="AL20" s="75"/>
      <c r="AM20" s="74"/>
      <c r="AN20" s="72"/>
    </row>
    <row r="21" spans="1:40" s="69" customFormat="1" x14ac:dyDescent="0.2">
      <c r="A21" s="88"/>
      <c r="B21" s="88"/>
      <c r="C21" s="70"/>
      <c r="D21" s="70"/>
      <c r="E21" s="70" t="s">
        <v>8418</v>
      </c>
      <c r="F21" s="70">
        <v>0</v>
      </c>
      <c r="G21" s="70" t="s">
        <v>8660</v>
      </c>
      <c r="H21" s="422" t="s">
        <v>8417</v>
      </c>
      <c r="I21" s="422" t="s">
        <v>8505</v>
      </c>
      <c r="J21" s="418" t="s">
        <v>8432</v>
      </c>
      <c r="K21" s="417">
        <v>1</v>
      </c>
      <c r="L21" s="408">
        <v>67.7</v>
      </c>
      <c r="M21" s="408">
        <f t="shared" si="0"/>
        <v>67.7</v>
      </c>
      <c r="N21" s="408"/>
      <c r="O21" s="408"/>
      <c r="P21" s="411">
        <v>1</v>
      </c>
      <c r="Q21" s="411">
        <v>1</v>
      </c>
      <c r="R21" s="411"/>
      <c r="S21" s="427">
        <f t="shared" si="1"/>
        <v>6.3384527808674218E-4</v>
      </c>
      <c r="T21" s="427">
        <f t="shared" si="2"/>
        <v>6.3384527808674218E-4</v>
      </c>
      <c r="U21" s="42"/>
      <c r="V21" s="416"/>
      <c r="W21" s="42"/>
      <c r="X21" s="74"/>
      <c r="Y21" s="74"/>
      <c r="Z21" s="74"/>
      <c r="AA21" s="74"/>
      <c r="AB21" s="74"/>
      <c r="AC21" s="42"/>
      <c r="AD21" s="42"/>
      <c r="AE21" s="42"/>
      <c r="AF21" s="42"/>
      <c r="AG21" s="42"/>
      <c r="AH21" s="42"/>
      <c r="AI21" s="75"/>
      <c r="AJ21" s="75"/>
      <c r="AK21" s="75"/>
      <c r="AL21" s="75"/>
      <c r="AM21" s="74"/>
      <c r="AN21" s="72"/>
    </row>
    <row r="22" spans="1:40" s="69" customFormat="1" x14ac:dyDescent="0.2">
      <c r="A22" s="88"/>
      <c r="B22" s="88"/>
      <c r="C22" s="70"/>
      <c r="D22" s="70"/>
      <c r="E22" s="70" t="s">
        <v>8418</v>
      </c>
      <c r="F22" s="70">
        <v>0</v>
      </c>
      <c r="G22" s="70" t="s">
        <v>8660</v>
      </c>
      <c r="H22" s="422" t="s">
        <v>8417</v>
      </c>
      <c r="I22" s="422" t="s">
        <v>8505</v>
      </c>
      <c r="J22" s="418" t="s">
        <v>8433</v>
      </c>
      <c r="K22" s="417">
        <v>1</v>
      </c>
      <c r="L22" s="408">
        <v>26.8</v>
      </c>
      <c r="M22" s="408">
        <f t="shared" si="0"/>
        <v>26.8</v>
      </c>
      <c r="N22" s="408"/>
      <c r="O22" s="408"/>
      <c r="P22" s="411">
        <v>1</v>
      </c>
      <c r="Q22" s="411">
        <v>1</v>
      </c>
      <c r="R22" s="411"/>
      <c r="S22" s="427">
        <f t="shared" si="1"/>
        <v>2.509165945749585E-4</v>
      </c>
      <c r="T22" s="427">
        <f t="shared" si="2"/>
        <v>2.509165945749585E-4</v>
      </c>
      <c r="U22" s="42"/>
      <c r="V22" s="416"/>
      <c r="W22" s="42"/>
      <c r="X22" s="74"/>
      <c r="Y22" s="74"/>
      <c r="Z22" s="74"/>
      <c r="AA22" s="74"/>
      <c r="AB22" s="74"/>
      <c r="AC22" s="42"/>
      <c r="AD22" s="42"/>
      <c r="AE22" s="42"/>
      <c r="AF22" s="42"/>
      <c r="AG22" s="42"/>
      <c r="AH22" s="42"/>
      <c r="AI22" s="75"/>
      <c r="AJ22" s="75"/>
      <c r="AK22" s="75"/>
      <c r="AL22" s="75"/>
      <c r="AM22" s="74"/>
      <c r="AN22" s="72"/>
    </row>
    <row r="23" spans="1:40" s="69" customFormat="1" x14ac:dyDescent="0.2">
      <c r="A23" s="88"/>
      <c r="B23" s="88"/>
      <c r="C23" s="70"/>
      <c r="D23" s="70"/>
      <c r="E23" s="70" t="s">
        <v>8418</v>
      </c>
      <c r="F23" s="70">
        <v>0</v>
      </c>
      <c r="G23" s="70" t="s">
        <v>8660</v>
      </c>
      <c r="H23" s="422" t="s">
        <v>8417</v>
      </c>
      <c r="I23" s="422" t="s">
        <v>8505</v>
      </c>
      <c r="J23" s="418" t="s">
        <v>8434</v>
      </c>
      <c r="K23" s="417">
        <v>1</v>
      </c>
      <c r="L23" s="408">
        <v>75</v>
      </c>
      <c r="M23" s="408">
        <f t="shared" si="0"/>
        <v>75</v>
      </c>
      <c r="N23" s="408"/>
      <c r="O23" s="408"/>
      <c r="P23" s="411">
        <v>1</v>
      </c>
      <c r="Q23" s="411">
        <v>1</v>
      </c>
      <c r="R23" s="411"/>
      <c r="S23" s="427">
        <f t="shared" si="1"/>
        <v>7.0219196242992114E-4</v>
      </c>
      <c r="T23" s="427">
        <f t="shared" si="2"/>
        <v>7.0219196242992114E-4</v>
      </c>
      <c r="U23" s="42"/>
      <c r="V23" s="416"/>
      <c r="W23" s="42"/>
      <c r="X23" s="74"/>
      <c r="Y23" s="74"/>
      <c r="Z23" s="74"/>
      <c r="AA23" s="74"/>
      <c r="AB23" s="74"/>
      <c r="AC23" s="42"/>
      <c r="AD23" s="42"/>
      <c r="AE23" s="42"/>
      <c r="AF23" s="42"/>
      <c r="AG23" s="42"/>
      <c r="AH23" s="42"/>
      <c r="AI23" s="75"/>
      <c r="AJ23" s="75"/>
      <c r="AK23" s="75"/>
      <c r="AL23" s="75"/>
      <c r="AM23" s="74"/>
      <c r="AN23" s="72"/>
    </row>
    <row r="24" spans="1:40" s="69" customFormat="1" x14ac:dyDescent="0.2">
      <c r="A24" s="88"/>
      <c r="B24" s="88"/>
      <c r="C24" s="70"/>
      <c r="D24" s="70"/>
      <c r="E24" s="70" t="s">
        <v>8418</v>
      </c>
      <c r="F24" s="70">
        <v>0</v>
      </c>
      <c r="G24" s="70" t="s">
        <v>8660</v>
      </c>
      <c r="H24" s="422" t="s">
        <v>8417</v>
      </c>
      <c r="I24" s="422" t="s">
        <v>8505</v>
      </c>
      <c r="J24" s="418" t="s">
        <v>8435</v>
      </c>
      <c r="K24" s="417">
        <v>1</v>
      </c>
      <c r="L24" s="408">
        <v>42.6</v>
      </c>
      <c r="M24" s="408">
        <f t="shared" si="0"/>
        <v>42.6</v>
      </c>
      <c r="N24" s="408"/>
      <c r="O24" s="408"/>
      <c r="P24" s="411">
        <v>1</v>
      </c>
      <c r="Q24" s="411">
        <v>1</v>
      </c>
      <c r="R24" s="411"/>
      <c r="S24" s="427">
        <f t="shared" si="1"/>
        <v>3.9884503466019523E-4</v>
      </c>
      <c r="T24" s="427">
        <f t="shared" si="2"/>
        <v>3.9884503466019523E-4</v>
      </c>
      <c r="U24" s="42"/>
      <c r="V24" s="416"/>
      <c r="W24" s="42"/>
      <c r="X24" s="74"/>
      <c r="Y24" s="74"/>
      <c r="Z24" s="74"/>
      <c r="AA24" s="74"/>
      <c r="AB24" s="74"/>
      <c r="AC24" s="42"/>
      <c r="AD24" s="42"/>
      <c r="AE24" s="42"/>
      <c r="AF24" s="42"/>
      <c r="AG24" s="42"/>
      <c r="AH24" s="42"/>
      <c r="AI24" s="75"/>
      <c r="AJ24" s="75"/>
      <c r="AK24" s="75"/>
      <c r="AL24" s="75"/>
      <c r="AM24" s="74"/>
      <c r="AN24" s="72"/>
    </row>
    <row r="25" spans="1:40" s="69" customFormat="1" x14ac:dyDescent="0.2">
      <c r="A25" s="88"/>
      <c r="B25" s="88"/>
      <c r="C25" s="70"/>
      <c r="D25" s="70"/>
      <c r="E25" s="70" t="s">
        <v>8418</v>
      </c>
      <c r="F25" s="70">
        <v>0</v>
      </c>
      <c r="G25" s="70" t="s">
        <v>8660</v>
      </c>
      <c r="H25" s="422" t="s">
        <v>8417</v>
      </c>
      <c r="I25" s="422" t="s">
        <v>8505</v>
      </c>
      <c r="J25" s="418" t="s">
        <v>8436</v>
      </c>
      <c r="K25" s="417">
        <v>1</v>
      </c>
      <c r="L25" s="408">
        <v>26.2</v>
      </c>
      <c r="M25" s="408">
        <f t="shared" si="0"/>
        <v>26.2</v>
      </c>
      <c r="N25" s="408"/>
      <c r="O25" s="408"/>
      <c r="P25" s="411">
        <v>1</v>
      </c>
      <c r="Q25" s="411">
        <v>1</v>
      </c>
      <c r="R25" s="411"/>
      <c r="S25" s="427">
        <f t="shared" si="1"/>
        <v>2.4529905887551914E-4</v>
      </c>
      <c r="T25" s="427">
        <f t="shared" si="2"/>
        <v>2.4529905887551914E-4</v>
      </c>
      <c r="U25" s="42"/>
      <c r="V25" s="416"/>
      <c r="W25" s="42"/>
      <c r="X25" s="74"/>
      <c r="Y25" s="74"/>
      <c r="Z25" s="74"/>
      <c r="AA25" s="74"/>
      <c r="AB25" s="74"/>
      <c r="AC25" s="42"/>
      <c r="AD25" s="42"/>
      <c r="AE25" s="42"/>
      <c r="AF25" s="42"/>
      <c r="AG25" s="42"/>
      <c r="AH25" s="42"/>
      <c r="AI25" s="75"/>
      <c r="AJ25" s="75"/>
      <c r="AK25" s="75"/>
      <c r="AL25" s="75"/>
      <c r="AM25" s="74"/>
      <c r="AN25" s="72"/>
    </row>
    <row r="26" spans="1:40" s="69" customFormat="1" x14ac:dyDescent="0.2">
      <c r="A26" s="88"/>
      <c r="B26" s="88"/>
      <c r="C26" s="70"/>
      <c r="D26" s="70"/>
      <c r="E26" s="70" t="s">
        <v>8418</v>
      </c>
      <c r="F26" s="70">
        <v>0</v>
      </c>
      <c r="G26" s="70" t="s">
        <v>8660</v>
      </c>
      <c r="H26" s="422" t="s">
        <v>8417</v>
      </c>
      <c r="I26" s="422" t="s">
        <v>8505</v>
      </c>
      <c r="J26" s="418" t="s">
        <v>8437</v>
      </c>
      <c r="K26" s="417">
        <v>1</v>
      </c>
      <c r="L26" s="408">
        <v>41</v>
      </c>
      <c r="M26" s="408">
        <f t="shared" si="0"/>
        <v>41</v>
      </c>
      <c r="N26" s="408"/>
      <c r="O26" s="408"/>
      <c r="P26" s="411">
        <v>1</v>
      </c>
      <c r="Q26" s="411">
        <v>1</v>
      </c>
      <c r="R26" s="411"/>
      <c r="S26" s="427">
        <f t="shared" si="1"/>
        <v>3.8386493946169023E-4</v>
      </c>
      <c r="T26" s="427">
        <f t="shared" si="2"/>
        <v>3.8386493946169023E-4</v>
      </c>
      <c r="U26" s="42"/>
      <c r="V26" s="416"/>
      <c r="W26" s="42"/>
      <c r="X26" s="74"/>
      <c r="Y26" s="74"/>
      <c r="Z26" s="74"/>
      <c r="AA26" s="74"/>
      <c r="AB26" s="74"/>
      <c r="AC26" s="42"/>
      <c r="AD26" s="42"/>
      <c r="AE26" s="42"/>
      <c r="AF26" s="42"/>
      <c r="AG26" s="42"/>
      <c r="AH26" s="42"/>
      <c r="AI26" s="75"/>
      <c r="AJ26" s="75"/>
      <c r="AK26" s="75"/>
      <c r="AL26" s="75"/>
      <c r="AM26" s="74"/>
      <c r="AN26" s="72"/>
    </row>
    <row r="27" spans="1:40" s="69" customFormat="1" x14ac:dyDescent="0.2">
      <c r="A27" s="88"/>
      <c r="B27" s="88"/>
      <c r="C27" s="70"/>
      <c r="D27" s="70"/>
      <c r="E27" s="70" t="s">
        <v>8418</v>
      </c>
      <c r="F27" s="70">
        <v>0</v>
      </c>
      <c r="G27" s="70" t="s">
        <v>8660</v>
      </c>
      <c r="H27" s="422" t="s">
        <v>8417</v>
      </c>
      <c r="I27" s="422" t="s">
        <v>8505</v>
      </c>
      <c r="J27" s="418" t="s">
        <v>8438</v>
      </c>
      <c r="K27" s="417">
        <v>2</v>
      </c>
      <c r="L27" s="408">
        <v>46.1</v>
      </c>
      <c r="M27" s="408">
        <f t="shared" si="0"/>
        <v>92.2</v>
      </c>
      <c r="N27" s="408"/>
      <c r="O27" s="408"/>
      <c r="P27" s="411">
        <v>1</v>
      </c>
      <c r="Q27" s="411">
        <v>1</v>
      </c>
      <c r="R27" s="411"/>
      <c r="S27" s="427">
        <f t="shared" si="1"/>
        <v>8.6322798581384976E-4</v>
      </c>
      <c r="T27" s="427">
        <f t="shared" si="2"/>
        <v>8.6322798581384976E-4</v>
      </c>
      <c r="U27" s="42"/>
      <c r="V27" s="416"/>
      <c r="W27" s="42"/>
      <c r="X27" s="74"/>
      <c r="Y27" s="74"/>
      <c r="Z27" s="74"/>
      <c r="AA27" s="74"/>
      <c r="AB27" s="74"/>
      <c r="AC27" s="42"/>
      <c r="AD27" s="42"/>
      <c r="AE27" s="42"/>
      <c r="AF27" s="42"/>
      <c r="AG27" s="42"/>
      <c r="AH27" s="42"/>
      <c r="AI27" s="75"/>
      <c r="AJ27" s="75"/>
      <c r="AK27" s="75"/>
      <c r="AL27" s="75"/>
      <c r="AM27" s="74"/>
      <c r="AN27" s="72"/>
    </row>
    <row r="28" spans="1:40" s="69" customFormat="1" x14ac:dyDescent="0.2">
      <c r="A28" s="88"/>
      <c r="B28" s="88"/>
      <c r="C28" s="70"/>
      <c r="D28" s="70"/>
      <c r="E28" s="70" t="s">
        <v>8418</v>
      </c>
      <c r="F28" s="70">
        <v>0</v>
      </c>
      <c r="G28" s="70" t="s">
        <v>8660</v>
      </c>
      <c r="H28" s="422" t="s">
        <v>8417</v>
      </c>
      <c r="I28" s="422" t="s">
        <v>8505</v>
      </c>
      <c r="J28" s="418" t="s">
        <v>8439</v>
      </c>
      <c r="K28" s="417">
        <v>1</v>
      </c>
      <c r="L28" s="408">
        <v>48.2</v>
      </c>
      <c r="M28" s="408">
        <f t="shared" si="0"/>
        <v>48.2</v>
      </c>
      <c r="N28" s="408"/>
      <c r="O28" s="408"/>
      <c r="P28" s="411">
        <v>1</v>
      </c>
      <c r="Q28" s="411">
        <v>1</v>
      </c>
      <c r="R28" s="411"/>
      <c r="S28" s="427">
        <f t="shared" si="1"/>
        <v>4.512753678549627E-4</v>
      </c>
      <c r="T28" s="427">
        <f t="shared" si="2"/>
        <v>4.512753678549627E-4</v>
      </c>
      <c r="U28" s="42"/>
      <c r="V28" s="416"/>
      <c r="W28" s="42"/>
      <c r="X28" s="74"/>
      <c r="Y28" s="74"/>
      <c r="Z28" s="74"/>
      <c r="AA28" s="74"/>
      <c r="AB28" s="74"/>
      <c r="AC28" s="42"/>
      <c r="AD28" s="42"/>
      <c r="AE28" s="42"/>
      <c r="AF28" s="42"/>
      <c r="AG28" s="42"/>
      <c r="AH28" s="42"/>
      <c r="AI28" s="75"/>
      <c r="AJ28" s="75"/>
      <c r="AK28" s="75"/>
      <c r="AL28" s="75"/>
      <c r="AM28" s="74"/>
      <c r="AN28" s="72"/>
    </row>
    <row r="29" spans="1:40" s="69" customFormat="1" x14ac:dyDescent="0.2">
      <c r="A29" s="88"/>
      <c r="B29" s="88"/>
      <c r="C29" s="70"/>
      <c r="D29" s="70"/>
      <c r="E29" s="70" t="s">
        <v>8418</v>
      </c>
      <c r="F29" s="70">
        <v>0</v>
      </c>
      <c r="G29" s="70" t="s">
        <v>8660</v>
      </c>
      <c r="H29" s="422" t="s">
        <v>8417</v>
      </c>
      <c r="I29" s="422" t="s">
        <v>8505</v>
      </c>
      <c r="J29" s="418" t="s">
        <v>8440</v>
      </c>
      <c r="K29" s="417">
        <v>2</v>
      </c>
      <c r="L29" s="408">
        <v>3.2</v>
      </c>
      <c r="M29" s="408">
        <f t="shared" si="0"/>
        <v>6.4</v>
      </c>
      <c r="N29" s="408"/>
      <c r="O29" s="408"/>
      <c r="P29" s="411">
        <v>1</v>
      </c>
      <c r="Q29" s="411">
        <v>1</v>
      </c>
      <c r="R29" s="411"/>
      <c r="S29" s="427">
        <f t="shared" si="1"/>
        <v>5.9920380794019942E-5</v>
      </c>
      <c r="T29" s="427">
        <f t="shared" si="2"/>
        <v>5.9920380794019942E-5</v>
      </c>
      <c r="U29" s="42"/>
      <c r="V29" s="416"/>
      <c r="W29" s="42"/>
      <c r="X29" s="74"/>
      <c r="Y29" s="74"/>
      <c r="Z29" s="74"/>
      <c r="AA29" s="74"/>
      <c r="AB29" s="74"/>
      <c r="AC29" s="42"/>
      <c r="AD29" s="42"/>
      <c r="AE29" s="42"/>
      <c r="AF29" s="42"/>
      <c r="AG29" s="42"/>
      <c r="AH29" s="42"/>
      <c r="AI29" s="75"/>
      <c r="AJ29" s="75"/>
      <c r="AK29" s="75"/>
      <c r="AL29" s="75"/>
      <c r="AM29" s="74"/>
      <c r="AN29" s="72"/>
    </row>
    <row r="30" spans="1:40" s="69" customFormat="1" x14ac:dyDescent="0.2">
      <c r="A30" s="88"/>
      <c r="B30" s="88"/>
      <c r="C30" s="70"/>
      <c r="D30" s="70"/>
      <c r="E30" s="70" t="s">
        <v>8418</v>
      </c>
      <c r="F30" s="70">
        <v>0</v>
      </c>
      <c r="G30" s="70" t="s">
        <v>8660</v>
      </c>
      <c r="H30" s="422" t="s">
        <v>8417</v>
      </c>
      <c r="I30" s="422" t="s">
        <v>8505</v>
      </c>
      <c r="J30" s="418" t="s">
        <v>8441</v>
      </c>
      <c r="K30" s="417">
        <v>2</v>
      </c>
      <c r="L30" s="408">
        <v>5.9</v>
      </c>
      <c r="M30" s="408">
        <f t="shared" si="0"/>
        <v>11.8</v>
      </c>
      <c r="N30" s="408"/>
      <c r="O30" s="408"/>
      <c r="P30" s="411">
        <v>1</v>
      </c>
      <c r="Q30" s="411">
        <v>1</v>
      </c>
      <c r="R30" s="411"/>
      <c r="S30" s="427">
        <f t="shared" si="1"/>
        <v>1.1047820208897428E-4</v>
      </c>
      <c r="T30" s="427">
        <f t="shared" si="2"/>
        <v>1.1047820208897428E-4</v>
      </c>
      <c r="U30" s="42"/>
      <c r="V30" s="416"/>
      <c r="W30" s="42"/>
      <c r="X30" s="74"/>
      <c r="Y30" s="74"/>
      <c r="Z30" s="74"/>
      <c r="AA30" s="74"/>
      <c r="AB30" s="74"/>
      <c r="AC30" s="42"/>
      <c r="AD30" s="42"/>
      <c r="AE30" s="42"/>
      <c r="AF30" s="42"/>
      <c r="AG30" s="42"/>
      <c r="AH30" s="42"/>
      <c r="AI30" s="75"/>
      <c r="AJ30" s="75"/>
      <c r="AK30" s="75"/>
      <c r="AL30" s="75"/>
      <c r="AM30" s="74"/>
      <c r="AN30" s="72"/>
    </row>
    <row r="31" spans="1:40" s="69" customFormat="1" x14ac:dyDescent="0.2">
      <c r="A31" s="88"/>
      <c r="B31" s="88"/>
      <c r="C31" s="70"/>
      <c r="D31" s="70"/>
      <c r="E31" s="70" t="s">
        <v>8418</v>
      </c>
      <c r="F31" s="70">
        <v>0</v>
      </c>
      <c r="G31" s="70" t="s">
        <v>8660</v>
      </c>
      <c r="H31" s="422" t="s">
        <v>8417</v>
      </c>
      <c r="I31" s="422" t="s">
        <v>8505</v>
      </c>
      <c r="J31" s="418" t="s">
        <v>8442</v>
      </c>
      <c r="K31" s="417">
        <v>1</v>
      </c>
      <c r="L31" s="408">
        <v>31.4</v>
      </c>
      <c r="M31" s="408">
        <f t="shared" si="0"/>
        <v>31.4</v>
      </c>
      <c r="N31" s="408"/>
      <c r="O31" s="408"/>
      <c r="P31" s="411">
        <v>1</v>
      </c>
      <c r="Q31" s="411">
        <v>1</v>
      </c>
      <c r="R31" s="411"/>
      <c r="S31" s="427">
        <f t="shared" si="1"/>
        <v>2.9398436827066034E-4</v>
      </c>
      <c r="T31" s="427">
        <f t="shared" si="2"/>
        <v>2.9398436827066034E-4</v>
      </c>
      <c r="U31" s="42"/>
      <c r="V31" s="416"/>
      <c r="W31" s="42"/>
      <c r="X31" s="74"/>
      <c r="Y31" s="74"/>
      <c r="Z31" s="74"/>
      <c r="AA31" s="74"/>
      <c r="AB31" s="74"/>
      <c r="AC31" s="42"/>
      <c r="AD31" s="42"/>
      <c r="AE31" s="42"/>
      <c r="AF31" s="42"/>
      <c r="AG31" s="42"/>
      <c r="AH31" s="42"/>
      <c r="AI31" s="75"/>
      <c r="AJ31" s="75"/>
      <c r="AK31" s="75"/>
      <c r="AL31" s="75"/>
      <c r="AM31" s="74"/>
      <c r="AN31" s="72"/>
    </row>
    <row r="32" spans="1:40" s="69" customFormat="1" x14ac:dyDescent="0.2">
      <c r="A32" s="88"/>
      <c r="B32" s="88"/>
      <c r="C32" s="70"/>
      <c r="D32" s="70"/>
      <c r="E32" s="70" t="s">
        <v>8418</v>
      </c>
      <c r="F32" s="70">
        <v>0</v>
      </c>
      <c r="G32" s="70" t="s">
        <v>8660</v>
      </c>
      <c r="H32" s="422" t="s">
        <v>8417</v>
      </c>
      <c r="I32" s="422" t="s">
        <v>8505</v>
      </c>
      <c r="J32" s="418" t="s">
        <v>8443</v>
      </c>
      <c r="K32" s="417">
        <v>1</v>
      </c>
      <c r="L32" s="408">
        <v>132</v>
      </c>
      <c r="M32" s="408">
        <f t="shared" si="0"/>
        <v>132</v>
      </c>
      <c r="N32" s="408"/>
      <c r="O32" s="408"/>
      <c r="P32" s="411">
        <v>1</v>
      </c>
      <c r="Q32" s="411">
        <v>1</v>
      </c>
      <c r="R32" s="411"/>
      <c r="S32" s="427">
        <f t="shared" si="1"/>
        <v>1.2358578538766614E-3</v>
      </c>
      <c r="T32" s="427">
        <f t="shared" si="2"/>
        <v>1.2358578538766614E-3</v>
      </c>
      <c r="U32" s="42"/>
      <c r="V32" s="416"/>
      <c r="W32" s="42"/>
      <c r="X32" s="74"/>
      <c r="Y32" s="74"/>
      <c r="Z32" s="74"/>
      <c r="AA32" s="74"/>
      <c r="AB32" s="74"/>
      <c r="AC32" s="42"/>
      <c r="AD32" s="42"/>
      <c r="AE32" s="42"/>
      <c r="AF32" s="42"/>
      <c r="AG32" s="42"/>
      <c r="AH32" s="42"/>
      <c r="AI32" s="75"/>
      <c r="AJ32" s="75"/>
      <c r="AK32" s="75"/>
      <c r="AL32" s="75"/>
      <c r="AM32" s="74"/>
      <c r="AN32" s="72"/>
    </row>
    <row r="33" spans="1:40" s="69" customFormat="1" x14ac:dyDescent="0.2">
      <c r="A33" s="88"/>
      <c r="B33" s="88"/>
      <c r="C33" s="70"/>
      <c r="D33" s="70"/>
      <c r="E33" s="70" t="s">
        <v>8418</v>
      </c>
      <c r="F33" s="70">
        <v>0</v>
      </c>
      <c r="G33" s="70" t="s">
        <v>8660</v>
      </c>
      <c r="H33" s="422" t="s">
        <v>8417</v>
      </c>
      <c r="I33" s="422" t="s">
        <v>8505</v>
      </c>
      <c r="J33" s="418" t="s">
        <v>8444</v>
      </c>
      <c r="K33" s="417">
        <v>1</v>
      </c>
      <c r="L33" s="408">
        <v>23</v>
      </c>
      <c r="M33" s="408">
        <f t="shared" si="0"/>
        <v>23</v>
      </c>
      <c r="N33" s="408"/>
      <c r="O33" s="408"/>
      <c r="P33" s="411">
        <v>1</v>
      </c>
      <c r="Q33" s="411">
        <v>1</v>
      </c>
      <c r="R33" s="411"/>
      <c r="S33" s="427">
        <f t="shared" si="1"/>
        <v>2.1533886847850916E-4</v>
      </c>
      <c r="T33" s="427">
        <f t="shared" si="2"/>
        <v>2.1533886847850916E-4</v>
      </c>
      <c r="U33" s="42"/>
      <c r="V33" s="416"/>
      <c r="W33" s="42"/>
      <c r="X33" s="74"/>
      <c r="Y33" s="74"/>
      <c r="Z33" s="74"/>
      <c r="AA33" s="74"/>
      <c r="AB33" s="74"/>
      <c r="AC33" s="42"/>
      <c r="AD33" s="42"/>
      <c r="AE33" s="42"/>
      <c r="AF33" s="42"/>
      <c r="AG33" s="42"/>
      <c r="AH33" s="42"/>
      <c r="AI33" s="75"/>
      <c r="AJ33" s="75"/>
      <c r="AK33" s="75"/>
      <c r="AL33" s="75"/>
      <c r="AM33" s="74"/>
      <c r="AN33" s="72"/>
    </row>
    <row r="34" spans="1:40" s="69" customFormat="1" x14ac:dyDescent="0.2">
      <c r="A34" s="88"/>
      <c r="B34" s="88"/>
      <c r="C34" s="70"/>
      <c r="D34" s="70"/>
      <c r="E34" s="70" t="s">
        <v>8418</v>
      </c>
      <c r="F34" s="70">
        <v>0</v>
      </c>
      <c r="G34" s="70" t="s">
        <v>8660</v>
      </c>
      <c r="H34" s="422" t="s">
        <v>8417</v>
      </c>
      <c r="I34" s="422" t="s">
        <v>8505</v>
      </c>
      <c r="J34" s="418" t="s">
        <v>8445</v>
      </c>
      <c r="K34" s="417">
        <v>1</v>
      </c>
      <c r="L34" s="408">
        <v>65.2</v>
      </c>
      <c r="M34" s="408">
        <f t="shared" si="0"/>
        <v>65.2</v>
      </c>
      <c r="N34" s="408"/>
      <c r="O34" s="408"/>
      <c r="P34" s="411">
        <v>1</v>
      </c>
      <c r="Q34" s="411">
        <v>1</v>
      </c>
      <c r="R34" s="411"/>
      <c r="S34" s="427">
        <f t="shared" si="1"/>
        <v>6.1043887933907815E-4</v>
      </c>
      <c r="T34" s="427">
        <f t="shared" si="2"/>
        <v>6.1043887933907815E-4</v>
      </c>
      <c r="U34" s="42"/>
      <c r="V34" s="416"/>
      <c r="W34" s="42"/>
      <c r="X34" s="74"/>
      <c r="Y34" s="74"/>
      <c r="Z34" s="74"/>
      <c r="AA34" s="74"/>
      <c r="AB34" s="74"/>
      <c r="AC34" s="42"/>
      <c r="AD34" s="42"/>
      <c r="AE34" s="42"/>
      <c r="AF34" s="42"/>
      <c r="AG34" s="42"/>
      <c r="AH34" s="42"/>
      <c r="AI34" s="75"/>
      <c r="AJ34" s="75"/>
      <c r="AK34" s="75"/>
      <c r="AL34" s="75"/>
      <c r="AM34" s="74"/>
      <c r="AN34" s="72"/>
    </row>
    <row r="35" spans="1:40" s="69" customFormat="1" x14ac:dyDescent="0.2">
      <c r="A35" s="88"/>
      <c r="B35" s="88"/>
      <c r="C35" s="70"/>
      <c r="D35" s="70"/>
      <c r="E35" s="70" t="s">
        <v>8418</v>
      </c>
      <c r="F35" s="70">
        <v>0</v>
      </c>
      <c r="G35" s="70" t="s">
        <v>8660</v>
      </c>
      <c r="H35" s="422" t="s">
        <v>8417</v>
      </c>
      <c r="I35" s="422" t="s">
        <v>8505</v>
      </c>
      <c r="J35" s="418" t="s">
        <v>8446</v>
      </c>
      <c r="K35" s="417">
        <v>1</v>
      </c>
      <c r="L35" s="408">
        <v>1</v>
      </c>
      <c r="M35" s="408">
        <f t="shared" si="0"/>
        <v>1</v>
      </c>
      <c r="N35" s="408"/>
      <c r="O35" s="408"/>
      <c r="P35" s="411">
        <v>1</v>
      </c>
      <c r="Q35" s="411">
        <v>1</v>
      </c>
      <c r="R35" s="411"/>
      <c r="S35" s="427">
        <f t="shared" si="1"/>
        <v>9.3625594990656159E-6</v>
      </c>
      <c r="T35" s="427">
        <f t="shared" si="2"/>
        <v>9.3625594990656159E-6</v>
      </c>
      <c r="U35" s="42"/>
      <c r="V35" s="416"/>
      <c r="W35" s="42"/>
      <c r="X35" s="74"/>
      <c r="Y35" s="74"/>
      <c r="Z35" s="74"/>
      <c r="AA35" s="74"/>
      <c r="AB35" s="74"/>
      <c r="AC35" s="42"/>
      <c r="AD35" s="42"/>
      <c r="AE35" s="42"/>
      <c r="AF35" s="42"/>
      <c r="AG35" s="42"/>
      <c r="AH35" s="42"/>
      <c r="AI35" s="75"/>
      <c r="AJ35" s="75"/>
      <c r="AK35" s="75"/>
      <c r="AL35" s="75"/>
      <c r="AM35" s="74"/>
      <c r="AN35" s="72"/>
    </row>
    <row r="36" spans="1:40" s="69" customFormat="1" x14ac:dyDescent="0.2">
      <c r="A36" s="88"/>
      <c r="B36" s="88"/>
      <c r="C36" s="70"/>
      <c r="D36" s="70"/>
      <c r="E36" s="70" t="s">
        <v>8418</v>
      </c>
      <c r="F36" s="70">
        <v>0</v>
      </c>
      <c r="G36" s="70" t="s">
        <v>8660</v>
      </c>
      <c r="H36" s="422" t="s">
        <v>8417</v>
      </c>
      <c r="I36" s="422" t="s">
        <v>8505</v>
      </c>
      <c r="J36" s="418" t="s">
        <v>8447</v>
      </c>
      <c r="K36" s="417">
        <v>8</v>
      </c>
      <c r="L36" s="408">
        <v>1.7</v>
      </c>
      <c r="M36" s="408">
        <f t="shared" si="0"/>
        <v>13.6</v>
      </c>
      <c r="N36" s="408"/>
      <c r="O36" s="408"/>
      <c r="P36" s="411">
        <v>1</v>
      </c>
      <c r="Q36" s="411">
        <v>1</v>
      </c>
      <c r="R36" s="411"/>
      <c r="S36" s="427">
        <f t="shared" si="1"/>
        <v>1.2733080918729238E-4</v>
      </c>
      <c r="T36" s="427">
        <f t="shared" si="2"/>
        <v>1.2733080918729238E-4</v>
      </c>
      <c r="U36" s="42"/>
      <c r="V36" s="416"/>
      <c r="W36" s="42"/>
      <c r="X36" s="74"/>
      <c r="Y36" s="74"/>
      <c r="Z36" s="74"/>
      <c r="AA36" s="74"/>
      <c r="AB36" s="74"/>
      <c r="AC36" s="42"/>
      <c r="AD36" s="42"/>
      <c r="AE36" s="42"/>
      <c r="AF36" s="42"/>
      <c r="AG36" s="42"/>
      <c r="AH36" s="42"/>
      <c r="AI36" s="75"/>
      <c r="AJ36" s="75"/>
      <c r="AK36" s="75"/>
      <c r="AL36" s="75"/>
      <c r="AM36" s="74"/>
      <c r="AN36" s="72"/>
    </row>
    <row r="37" spans="1:40" s="69" customFormat="1" x14ac:dyDescent="0.2">
      <c r="A37" s="88"/>
      <c r="B37" s="88"/>
      <c r="C37" s="70"/>
      <c r="D37" s="70"/>
      <c r="E37" s="70" t="s">
        <v>8418</v>
      </c>
      <c r="F37" s="70">
        <v>0</v>
      </c>
      <c r="G37" s="70" t="s">
        <v>8660</v>
      </c>
      <c r="H37" s="422" t="s">
        <v>8417</v>
      </c>
      <c r="I37" s="422" t="s">
        <v>8505</v>
      </c>
      <c r="J37" s="418" t="s">
        <v>8448</v>
      </c>
      <c r="K37" s="417">
        <v>2</v>
      </c>
      <c r="L37" s="408">
        <v>2.75</v>
      </c>
      <c r="M37" s="408">
        <f t="shared" ref="M37:M66" si="3">L37*K37</f>
        <v>5.5</v>
      </c>
      <c r="N37" s="408"/>
      <c r="O37" s="408"/>
      <c r="P37" s="411">
        <v>1</v>
      </c>
      <c r="Q37" s="411">
        <v>1</v>
      </c>
      <c r="R37" s="411"/>
      <c r="S37" s="427">
        <f t="shared" si="1"/>
        <v>5.149407724486089E-5</v>
      </c>
      <c r="T37" s="427">
        <f t="shared" si="2"/>
        <v>5.149407724486089E-5</v>
      </c>
      <c r="U37" s="42"/>
      <c r="V37" s="416"/>
      <c r="W37" s="42"/>
      <c r="X37" s="74"/>
      <c r="Y37" s="74"/>
      <c r="Z37" s="74"/>
      <c r="AA37" s="74"/>
      <c r="AB37" s="74"/>
      <c r="AC37" s="42"/>
      <c r="AD37" s="42"/>
      <c r="AE37" s="42"/>
      <c r="AF37" s="42"/>
      <c r="AG37" s="42"/>
      <c r="AH37" s="42"/>
      <c r="AI37" s="75"/>
      <c r="AJ37" s="75"/>
      <c r="AK37" s="75"/>
      <c r="AL37" s="75"/>
      <c r="AM37" s="74"/>
      <c r="AN37" s="72"/>
    </row>
    <row r="38" spans="1:40" s="69" customFormat="1" x14ac:dyDescent="0.2">
      <c r="A38" s="88"/>
      <c r="B38" s="88"/>
      <c r="C38" s="70"/>
      <c r="D38" s="70"/>
      <c r="E38" s="70" t="s">
        <v>8418</v>
      </c>
      <c r="F38" s="70">
        <v>0</v>
      </c>
      <c r="G38" s="70" t="s">
        <v>8660</v>
      </c>
      <c r="H38" s="422" t="s">
        <v>8417</v>
      </c>
      <c r="I38" s="422" t="s">
        <v>8505</v>
      </c>
      <c r="J38" s="418" t="s">
        <v>8449</v>
      </c>
      <c r="K38" s="417">
        <v>2</v>
      </c>
      <c r="L38" s="408">
        <v>3.6</v>
      </c>
      <c r="M38" s="408">
        <f t="shared" si="3"/>
        <v>7.2</v>
      </c>
      <c r="N38" s="408"/>
      <c r="O38" s="408"/>
      <c r="P38" s="411">
        <v>1</v>
      </c>
      <c r="Q38" s="411">
        <v>1</v>
      </c>
      <c r="R38" s="411"/>
      <c r="S38" s="427">
        <f t="shared" si="1"/>
        <v>6.7410428393272441E-5</v>
      </c>
      <c r="T38" s="427">
        <f t="shared" si="2"/>
        <v>6.7410428393272441E-5</v>
      </c>
      <c r="U38" s="42"/>
      <c r="V38" s="416"/>
      <c r="W38" s="42"/>
      <c r="X38" s="74"/>
      <c r="Y38" s="74"/>
      <c r="Z38" s="74"/>
      <c r="AA38" s="74"/>
      <c r="AB38" s="74"/>
      <c r="AC38" s="42"/>
      <c r="AD38" s="42"/>
      <c r="AE38" s="42"/>
      <c r="AF38" s="42"/>
      <c r="AG38" s="42"/>
      <c r="AH38" s="42"/>
      <c r="AI38" s="75"/>
      <c r="AJ38" s="75"/>
      <c r="AK38" s="75"/>
      <c r="AL38" s="75"/>
      <c r="AM38" s="74"/>
      <c r="AN38" s="72"/>
    </row>
    <row r="39" spans="1:40" s="69" customFormat="1" x14ac:dyDescent="0.2">
      <c r="A39" s="88"/>
      <c r="B39" s="88"/>
      <c r="C39" s="70"/>
      <c r="D39" s="70"/>
      <c r="E39" s="70" t="s">
        <v>8479</v>
      </c>
      <c r="F39" s="70">
        <v>0</v>
      </c>
      <c r="G39" s="70" t="s">
        <v>8658</v>
      </c>
      <c r="H39" s="422" t="s">
        <v>8477</v>
      </c>
      <c r="I39" s="422" t="s">
        <v>8504</v>
      </c>
      <c r="J39" s="418" t="s">
        <v>8452</v>
      </c>
      <c r="K39" s="417">
        <v>2</v>
      </c>
      <c r="L39" s="408">
        <v>168.8</v>
      </c>
      <c r="M39" s="408">
        <f t="shared" si="3"/>
        <v>337.6</v>
      </c>
      <c r="N39" s="408"/>
      <c r="O39" s="408"/>
      <c r="P39" s="411">
        <v>1</v>
      </c>
      <c r="Q39" s="411">
        <v>1</v>
      </c>
      <c r="R39" s="411"/>
      <c r="S39" s="427">
        <f t="shared" si="1"/>
        <v>3.1608000868845521E-3</v>
      </c>
      <c r="T39" s="427">
        <f t="shared" si="2"/>
        <v>3.1608000868845521E-3</v>
      </c>
      <c r="U39" s="42"/>
      <c r="V39" s="416"/>
      <c r="W39" s="42"/>
      <c r="X39" s="74"/>
      <c r="Y39" s="74"/>
      <c r="Z39" s="74"/>
      <c r="AA39" s="74"/>
      <c r="AB39" s="74"/>
      <c r="AC39" s="42"/>
      <c r="AD39" s="42"/>
      <c r="AE39" s="42"/>
      <c r="AF39" s="42"/>
      <c r="AG39" s="42"/>
      <c r="AH39" s="42"/>
      <c r="AI39" s="75"/>
      <c r="AJ39" s="75"/>
      <c r="AK39" s="75"/>
      <c r="AL39" s="75"/>
      <c r="AM39" s="74"/>
      <c r="AN39" s="72"/>
    </row>
    <row r="40" spans="1:40" s="69" customFormat="1" x14ac:dyDescent="0.2">
      <c r="A40" s="88"/>
      <c r="B40" s="88"/>
      <c r="C40" s="70"/>
      <c r="D40" s="70"/>
      <c r="E40" s="70" t="s">
        <v>8479</v>
      </c>
      <c r="F40" s="70">
        <v>0</v>
      </c>
      <c r="G40" s="70" t="s">
        <v>8658</v>
      </c>
      <c r="H40" s="422" t="s">
        <v>8477</v>
      </c>
      <c r="I40" s="422" t="s">
        <v>8504</v>
      </c>
      <c r="J40" s="418" t="s">
        <v>8453</v>
      </c>
      <c r="K40" s="417">
        <v>1</v>
      </c>
      <c r="L40" s="408">
        <v>638.70000000000005</v>
      </c>
      <c r="M40" s="408">
        <f t="shared" si="3"/>
        <v>638.70000000000005</v>
      </c>
      <c r="N40" s="408"/>
      <c r="O40" s="408"/>
      <c r="P40" s="411">
        <v>1</v>
      </c>
      <c r="Q40" s="411">
        <v>1</v>
      </c>
      <c r="R40" s="411"/>
      <c r="S40" s="427">
        <f t="shared" si="1"/>
        <v>5.9798667520532091E-3</v>
      </c>
      <c r="T40" s="427">
        <f t="shared" si="2"/>
        <v>5.9798667520532091E-3</v>
      </c>
      <c r="U40" s="42"/>
      <c r="V40" s="416"/>
      <c r="W40" s="42"/>
      <c r="X40" s="74"/>
      <c r="Y40" s="74"/>
      <c r="Z40" s="74"/>
      <c r="AA40" s="74"/>
      <c r="AB40" s="74"/>
      <c r="AC40" s="42"/>
      <c r="AD40" s="42"/>
      <c r="AE40" s="42"/>
      <c r="AF40" s="42"/>
      <c r="AG40" s="42"/>
      <c r="AH40" s="42"/>
      <c r="AI40" s="75"/>
      <c r="AJ40" s="75"/>
      <c r="AK40" s="75"/>
      <c r="AL40" s="75"/>
      <c r="AM40" s="74"/>
      <c r="AN40" s="72"/>
    </row>
    <row r="41" spans="1:40" s="69" customFormat="1" x14ac:dyDescent="0.2">
      <c r="A41" s="88"/>
      <c r="B41" s="88"/>
      <c r="C41" s="70"/>
      <c r="D41" s="70"/>
      <c r="E41" s="70" t="s">
        <v>8479</v>
      </c>
      <c r="F41" s="70">
        <v>0</v>
      </c>
      <c r="G41" s="70" t="s">
        <v>8658</v>
      </c>
      <c r="H41" s="422" t="s">
        <v>8477</v>
      </c>
      <c r="I41" s="422" t="s">
        <v>8504</v>
      </c>
      <c r="J41" s="418" t="s">
        <v>8454</v>
      </c>
      <c r="K41" s="417">
        <v>1</v>
      </c>
      <c r="L41" s="408">
        <v>201.2</v>
      </c>
      <c r="M41" s="408">
        <f t="shared" si="3"/>
        <v>201.2</v>
      </c>
      <c r="N41" s="408"/>
      <c r="O41" s="408"/>
      <c r="P41" s="411">
        <v>1</v>
      </c>
      <c r="Q41" s="411">
        <v>1</v>
      </c>
      <c r="R41" s="411"/>
      <c r="S41" s="427">
        <f t="shared" si="1"/>
        <v>1.8837469712120018E-3</v>
      </c>
      <c r="T41" s="427">
        <f t="shared" si="2"/>
        <v>1.8837469712120018E-3</v>
      </c>
      <c r="U41" s="42"/>
      <c r="V41" s="416"/>
      <c r="W41" s="42"/>
      <c r="X41" s="74"/>
      <c r="Y41" s="74"/>
      <c r="Z41" s="74"/>
      <c r="AA41" s="74"/>
      <c r="AB41" s="74"/>
      <c r="AC41" s="42"/>
      <c r="AD41" s="42"/>
      <c r="AE41" s="42"/>
      <c r="AF41" s="42"/>
      <c r="AG41" s="42"/>
      <c r="AH41" s="42"/>
      <c r="AI41" s="75"/>
      <c r="AJ41" s="75"/>
      <c r="AK41" s="75"/>
      <c r="AL41" s="75"/>
      <c r="AM41" s="74"/>
      <c r="AN41" s="72"/>
    </row>
    <row r="42" spans="1:40" s="69" customFormat="1" x14ac:dyDescent="0.2">
      <c r="A42" s="88"/>
      <c r="B42" s="88"/>
      <c r="C42" s="70"/>
      <c r="D42" s="70"/>
      <c r="E42" s="70" t="s">
        <v>8479</v>
      </c>
      <c r="F42" s="70">
        <v>0</v>
      </c>
      <c r="G42" s="70" t="s">
        <v>8658</v>
      </c>
      <c r="H42" s="422" t="s">
        <v>8477</v>
      </c>
      <c r="I42" s="422" t="s">
        <v>8504</v>
      </c>
      <c r="J42" s="418" t="s">
        <v>8453</v>
      </c>
      <c r="K42" s="417">
        <v>1</v>
      </c>
      <c r="L42" s="408">
        <v>638.70000000000005</v>
      </c>
      <c r="M42" s="408">
        <f t="shared" si="3"/>
        <v>638.70000000000005</v>
      </c>
      <c r="N42" s="408"/>
      <c r="O42" s="408"/>
      <c r="P42" s="411">
        <v>1</v>
      </c>
      <c r="Q42" s="411">
        <v>1</v>
      </c>
      <c r="R42" s="411"/>
      <c r="S42" s="427">
        <f t="shared" si="1"/>
        <v>5.9798667520532091E-3</v>
      </c>
      <c r="T42" s="427">
        <f t="shared" si="2"/>
        <v>5.9798667520532091E-3</v>
      </c>
      <c r="U42" s="42"/>
      <c r="V42" s="416"/>
      <c r="W42" s="42"/>
      <c r="X42" s="74"/>
      <c r="Y42" s="74"/>
      <c r="Z42" s="74"/>
      <c r="AA42" s="74"/>
      <c r="AB42" s="74"/>
      <c r="AC42" s="42"/>
      <c r="AD42" s="42"/>
      <c r="AE42" s="42"/>
      <c r="AF42" s="42"/>
      <c r="AG42" s="42"/>
      <c r="AH42" s="42"/>
      <c r="AI42" s="75"/>
      <c r="AJ42" s="75"/>
      <c r="AK42" s="75"/>
      <c r="AL42" s="75"/>
      <c r="AM42" s="74"/>
      <c r="AN42" s="72"/>
    </row>
    <row r="43" spans="1:40" s="69" customFormat="1" x14ac:dyDescent="0.2">
      <c r="A43" s="88"/>
      <c r="B43" s="88"/>
      <c r="C43" s="70"/>
      <c r="D43" s="70"/>
      <c r="E43" s="70" t="s">
        <v>8479</v>
      </c>
      <c r="F43" s="70">
        <v>0</v>
      </c>
      <c r="G43" s="70" t="s">
        <v>8658</v>
      </c>
      <c r="H43" s="422" t="s">
        <v>8477</v>
      </c>
      <c r="I43" s="422" t="s">
        <v>8504</v>
      </c>
      <c r="J43" s="418" t="s">
        <v>8454</v>
      </c>
      <c r="K43" s="417">
        <v>1</v>
      </c>
      <c r="L43" s="408">
        <v>201.2</v>
      </c>
      <c r="M43" s="408">
        <f t="shared" si="3"/>
        <v>201.2</v>
      </c>
      <c r="N43" s="408"/>
      <c r="O43" s="408"/>
      <c r="P43" s="411">
        <v>1</v>
      </c>
      <c r="Q43" s="411">
        <v>1</v>
      </c>
      <c r="R43" s="411"/>
      <c r="S43" s="427">
        <f t="shared" si="1"/>
        <v>1.8837469712120018E-3</v>
      </c>
      <c r="T43" s="427">
        <f t="shared" si="2"/>
        <v>1.8837469712120018E-3</v>
      </c>
      <c r="U43" s="42"/>
      <c r="V43" s="416"/>
      <c r="W43" s="42"/>
      <c r="X43" s="74"/>
      <c r="Y43" s="74"/>
      <c r="Z43" s="74"/>
      <c r="AA43" s="74"/>
      <c r="AB43" s="74"/>
      <c r="AC43" s="42"/>
      <c r="AD43" s="42"/>
      <c r="AE43" s="42"/>
      <c r="AF43" s="42"/>
      <c r="AG43" s="42"/>
      <c r="AH43" s="42"/>
      <c r="AI43" s="75"/>
      <c r="AJ43" s="75"/>
      <c r="AK43" s="75"/>
      <c r="AL43" s="75"/>
      <c r="AM43" s="74"/>
      <c r="AN43" s="72"/>
    </row>
    <row r="44" spans="1:40" s="69" customFormat="1" x14ac:dyDescent="0.2">
      <c r="A44" s="88"/>
      <c r="B44" s="88"/>
      <c r="C44" s="70"/>
      <c r="D44" s="70"/>
      <c r="E44" s="70" t="s">
        <v>8479</v>
      </c>
      <c r="F44" s="70">
        <v>0</v>
      </c>
      <c r="G44" s="70" t="s">
        <v>8658</v>
      </c>
      <c r="H44" s="422" t="s">
        <v>8477</v>
      </c>
      <c r="I44" s="422" t="s">
        <v>8504</v>
      </c>
      <c r="J44" s="418" t="s">
        <v>8455</v>
      </c>
      <c r="K44" s="417">
        <v>1</v>
      </c>
      <c r="L44" s="408">
        <v>413.8</v>
      </c>
      <c r="M44" s="408">
        <f t="shared" si="3"/>
        <v>413.8</v>
      </c>
      <c r="N44" s="408"/>
      <c r="O44" s="408"/>
      <c r="P44" s="411">
        <v>1</v>
      </c>
      <c r="Q44" s="411">
        <v>1</v>
      </c>
      <c r="R44" s="411"/>
      <c r="S44" s="427">
        <f t="shared" si="1"/>
        <v>3.8742271207133521E-3</v>
      </c>
      <c r="T44" s="427">
        <f t="shared" si="2"/>
        <v>3.8742271207133521E-3</v>
      </c>
      <c r="U44" s="42"/>
      <c r="V44" s="416"/>
      <c r="W44" s="42"/>
      <c r="X44" s="74"/>
      <c r="Y44" s="74"/>
      <c r="Z44" s="74"/>
      <c r="AA44" s="74"/>
      <c r="AB44" s="74"/>
      <c r="AC44" s="42"/>
      <c r="AD44" s="42"/>
      <c r="AE44" s="42"/>
      <c r="AF44" s="42"/>
      <c r="AG44" s="42"/>
      <c r="AH44" s="42"/>
      <c r="AI44" s="75"/>
      <c r="AJ44" s="75"/>
      <c r="AK44" s="75"/>
      <c r="AL44" s="75"/>
      <c r="AM44" s="74"/>
      <c r="AN44" s="72"/>
    </row>
    <row r="45" spans="1:40" s="69" customFormat="1" x14ac:dyDescent="0.2">
      <c r="A45" s="88"/>
      <c r="B45" s="88"/>
      <c r="C45" s="70"/>
      <c r="D45" s="70"/>
      <c r="E45" s="70" t="s">
        <v>8479</v>
      </c>
      <c r="F45" s="70">
        <v>0</v>
      </c>
      <c r="G45" s="70" t="s">
        <v>8658</v>
      </c>
      <c r="H45" s="422" t="s">
        <v>8477</v>
      </c>
      <c r="I45" s="422" t="s">
        <v>8504</v>
      </c>
      <c r="J45" s="418" t="s">
        <v>8456</v>
      </c>
      <c r="K45" s="417">
        <v>2</v>
      </c>
      <c r="L45" s="408">
        <v>10.1</v>
      </c>
      <c r="M45" s="408">
        <f t="shared" si="3"/>
        <v>20.2</v>
      </c>
      <c r="N45" s="408"/>
      <c r="O45" s="408"/>
      <c r="P45" s="411">
        <v>1</v>
      </c>
      <c r="Q45" s="411">
        <v>1</v>
      </c>
      <c r="R45" s="411"/>
      <c r="S45" s="427">
        <f t="shared" si="1"/>
        <v>1.8912370188112543E-4</v>
      </c>
      <c r="T45" s="427">
        <f t="shared" si="2"/>
        <v>1.8912370188112543E-4</v>
      </c>
      <c r="U45" s="42"/>
      <c r="V45" s="416"/>
      <c r="W45" s="42"/>
      <c r="X45" s="74"/>
      <c r="Y45" s="74"/>
      <c r="Z45" s="74"/>
      <c r="AA45" s="74"/>
      <c r="AB45" s="74"/>
      <c r="AC45" s="42"/>
      <c r="AD45" s="42"/>
      <c r="AE45" s="42"/>
      <c r="AF45" s="42"/>
      <c r="AG45" s="42"/>
      <c r="AH45" s="42"/>
      <c r="AI45" s="75"/>
      <c r="AJ45" s="75"/>
      <c r="AK45" s="75"/>
      <c r="AL45" s="75"/>
      <c r="AM45" s="74"/>
      <c r="AN45" s="72"/>
    </row>
    <row r="46" spans="1:40" s="69" customFormat="1" x14ac:dyDescent="0.2">
      <c r="A46" s="88"/>
      <c r="B46" s="88"/>
      <c r="C46" s="70"/>
      <c r="D46" s="70"/>
      <c r="E46" s="70" t="s">
        <v>8479</v>
      </c>
      <c r="F46" s="70">
        <v>0</v>
      </c>
      <c r="G46" s="70" t="s">
        <v>8658</v>
      </c>
      <c r="H46" s="422" t="s">
        <v>8477</v>
      </c>
      <c r="I46" s="422" t="s">
        <v>8504</v>
      </c>
      <c r="J46" s="418" t="s">
        <v>8457</v>
      </c>
      <c r="K46" s="417">
        <v>2</v>
      </c>
      <c r="L46" s="408">
        <v>35.200000000000003</v>
      </c>
      <c r="M46" s="408">
        <f t="shared" si="3"/>
        <v>70.400000000000006</v>
      </c>
      <c r="N46" s="408"/>
      <c r="O46" s="408"/>
      <c r="P46" s="411">
        <v>1</v>
      </c>
      <c r="Q46" s="411">
        <v>1</v>
      </c>
      <c r="R46" s="411"/>
      <c r="S46" s="427">
        <f t="shared" si="1"/>
        <v>6.5912418873421942E-4</v>
      </c>
      <c r="T46" s="427">
        <f t="shared" si="2"/>
        <v>6.5912418873421942E-4</v>
      </c>
      <c r="U46" s="42"/>
      <c r="V46" s="416"/>
      <c r="W46" s="42"/>
      <c r="X46" s="74"/>
      <c r="Y46" s="74"/>
      <c r="Z46" s="74"/>
      <c r="AA46" s="74"/>
      <c r="AB46" s="74"/>
      <c r="AC46" s="42"/>
      <c r="AD46" s="42"/>
      <c r="AE46" s="42"/>
      <c r="AF46" s="42"/>
      <c r="AG46" s="42"/>
      <c r="AH46" s="42"/>
      <c r="AI46" s="75"/>
      <c r="AJ46" s="75"/>
      <c r="AK46" s="75"/>
      <c r="AL46" s="75"/>
      <c r="AM46" s="74"/>
      <c r="AN46" s="72"/>
    </row>
    <row r="47" spans="1:40" s="69" customFormat="1" x14ac:dyDescent="0.2">
      <c r="A47" s="88"/>
      <c r="B47" s="88"/>
      <c r="C47" s="70"/>
      <c r="D47" s="70"/>
      <c r="E47" s="70" t="s">
        <v>8479</v>
      </c>
      <c r="F47" s="70">
        <v>0</v>
      </c>
      <c r="G47" s="70" t="s">
        <v>8658</v>
      </c>
      <c r="H47" s="422" t="s">
        <v>8477</v>
      </c>
      <c r="I47" s="422" t="s">
        <v>8504</v>
      </c>
      <c r="J47" s="418" t="s">
        <v>8458</v>
      </c>
      <c r="K47" s="417">
        <v>3</v>
      </c>
      <c r="L47" s="408">
        <v>4.8</v>
      </c>
      <c r="M47" s="408">
        <f t="shared" si="3"/>
        <v>14.399999999999999</v>
      </c>
      <c r="N47" s="408"/>
      <c r="O47" s="408"/>
      <c r="P47" s="411">
        <v>1</v>
      </c>
      <c r="Q47" s="411">
        <v>1</v>
      </c>
      <c r="R47" s="411"/>
      <c r="S47" s="427">
        <f t="shared" si="1"/>
        <v>1.3482085678654486E-4</v>
      </c>
      <c r="T47" s="427">
        <f t="shared" si="2"/>
        <v>1.3482085678654486E-4</v>
      </c>
      <c r="U47" s="42"/>
      <c r="V47" s="416"/>
      <c r="W47" s="42"/>
      <c r="X47" s="74"/>
      <c r="Y47" s="74"/>
      <c r="Z47" s="74"/>
      <c r="AA47" s="74"/>
      <c r="AB47" s="74"/>
      <c r="AC47" s="42"/>
      <c r="AD47" s="42"/>
      <c r="AE47" s="42"/>
      <c r="AF47" s="42"/>
      <c r="AG47" s="42"/>
      <c r="AH47" s="42"/>
      <c r="AI47" s="75"/>
      <c r="AJ47" s="75"/>
      <c r="AK47" s="75"/>
      <c r="AL47" s="75"/>
      <c r="AM47" s="74"/>
      <c r="AN47" s="72"/>
    </row>
    <row r="48" spans="1:40" s="69" customFormat="1" x14ac:dyDescent="0.2">
      <c r="A48" s="88"/>
      <c r="B48" s="88"/>
      <c r="C48" s="70"/>
      <c r="D48" s="70"/>
      <c r="E48" s="70" t="s">
        <v>8479</v>
      </c>
      <c r="F48" s="70">
        <v>0</v>
      </c>
      <c r="G48" s="70" t="s">
        <v>8658</v>
      </c>
      <c r="H48" s="422" t="s">
        <v>8477</v>
      </c>
      <c r="I48" s="422" t="s">
        <v>8504</v>
      </c>
      <c r="J48" s="418" t="s">
        <v>8459</v>
      </c>
      <c r="K48" s="417">
        <v>3</v>
      </c>
      <c r="L48" s="408">
        <v>3.9</v>
      </c>
      <c r="M48" s="408">
        <f t="shared" si="3"/>
        <v>11.7</v>
      </c>
      <c r="N48" s="408"/>
      <c r="O48" s="408"/>
      <c r="P48" s="411">
        <v>1</v>
      </c>
      <c r="Q48" s="411">
        <v>1</v>
      </c>
      <c r="R48" s="411"/>
      <c r="S48" s="427">
        <f t="shared" si="1"/>
        <v>1.095419461390677E-4</v>
      </c>
      <c r="T48" s="427">
        <f t="shared" si="2"/>
        <v>1.095419461390677E-4</v>
      </c>
      <c r="U48" s="42"/>
      <c r="V48" s="416"/>
      <c r="W48" s="42"/>
      <c r="X48" s="74"/>
      <c r="Y48" s="74"/>
      <c r="Z48" s="74"/>
      <c r="AA48" s="74"/>
      <c r="AB48" s="74"/>
      <c r="AC48" s="42"/>
      <c r="AD48" s="42"/>
      <c r="AE48" s="42"/>
      <c r="AF48" s="42"/>
      <c r="AG48" s="42"/>
      <c r="AH48" s="42"/>
      <c r="AI48" s="75"/>
      <c r="AJ48" s="75"/>
      <c r="AK48" s="75"/>
      <c r="AL48" s="75"/>
      <c r="AM48" s="74"/>
      <c r="AN48" s="72"/>
    </row>
    <row r="49" spans="1:40" s="69" customFormat="1" x14ac:dyDescent="0.2">
      <c r="A49" s="88"/>
      <c r="B49" s="88"/>
      <c r="C49" s="70"/>
      <c r="D49" s="70"/>
      <c r="E49" s="70" t="s">
        <v>8479</v>
      </c>
      <c r="F49" s="70">
        <v>0</v>
      </c>
      <c r="G49" s="70" t="s">
        <v>8658</v>
      </c>
      <c r="H49" s="422" t="s">
        <v>8477</v>
      </c>
      <c r="I49" s="422" t="s">
        <v>8504</v>
      </c>
      <c r="J49" s="418" t="s">
        <v>8460</v>
      </c>
      <c r="K49" s="417">
        <v>3</v>
      </c>
      <c r="L49" s="408">
        <v>5.9</v>
      </c>
      <c r="M49" s="408">
        <f t="shared" si="3"/>
        <v>17.700000000000003</v>
      </c>
      <c r="N49" s="408"/>
      <c r="O49" s="408"/>
      <c r="P49" s="411">
        <v>1</v>
      </c>
      <c r="Q49" s="411">
        <v>1</v>
      </c>
      <c r="R49" s="411"/>
      <c r="S49" s="427">
        <f t="shared" si="1"/>
        <v>1.6571730313346143E-4</v>
      </c>
      <c r="T49" s="427">
        <f t="shared" si="2"/>
        <v>1.6571730313346143E-4</v>
      </c>
      <c r="U49" s="42"/>
      <c r="V49" s="416"/>
      <c r="W49" s="42"/>
      <c r="X49" s="74"/>
      <c r="Y49" s="74"/>
      <c r="Z49" s="74"/>
      <c r="AA49" s="74"/>
      <c r="AB49" s="74"/>
      <c r="AC49" s="42"/>
      <c r="AD49" s="42"/>
      <c r="AE49" s="42"/>
      <c r="AF49" s="42"/>
      <c r="AG49" s="42"/>
      <c r="AH49" s="42"/>
      <c r="AI49" s="75"/>
      <c r="AJ49" s="75"/>
      <c r="AK49" s="75"/>
      <c r="AL49" s="75"/>
      <c r="AM49" s="74"/>
      <c r="AN49" s="72"/>
    </row>
    <row r="50" spans="1:40" s="69" customFormat="1" x14ac:dyDescent="0.2">
      <c r="A50" s="88"/>
      <c r="B50" s="88"/>
      <c r="C50" s="70"/>
      <c r="D50" s="70"/>
      <c r="E50" s="70" t="s">
        <v>8479</v>
      </c>
      <c r="F50" s="70">
        <v>0</v>
      </c>
      <c r="G50" s="70" t="s">
        <v>8658</v>
      </c>
      <c r="H50" s="422" t="s">
        <v>8477</v>
      </c>
      <c r="I50" s="422" t="s">
        <v>8504</v>
      </c>
      <c r="J50" s="418" t="s">
        <v>8461</v>
      </c>
      <c r="K50" s="417">
        <v>6</v>
      </c>
      <c r="L50" s="408">
        <v>1.1000000000000001</v>
      </c>
      <c r="M50" s="408">
        <f t="shared" si="3"/>
        <v>6.6000000000000005</v>
      </c>
      <c r="N50" s="408"/>
      <c r="O50" s="408"/>
      <c r="P50" s="411">
        <v>1</v>
      </c>
      <c r="Q50" s="411">
        <v>1</v>
      </c>
      <c r="R50" s="411"/>
      <c r="S50" s="427">
        <f t="shared" si="1"/>
        <v>6.1792892693833074E-5</v>
      </c>
      <c r="T50" s="427">
        <f t="shared" si="2"/>
        <v>6.1792892693833074E-5</v>
      </c>
      <c r="U50" s="42"/>
      <c r="V50" s="416"/>
      <c r="W50" s="42"/>
      <c r="X50" s="74"/>
      <c r="Y50" s="74"/>
      <c r="Z50" s="74"/>
      <c r="AA50" s="74"/>
      <c r="AB50" s="74"/>
      <c r="AC50" s="42"/>
      <c r="AD50" s="42"/>
      <c r="AE50" s="42"/>
      <c r="AF50" s="42"/>
      <c r="AG50" s="42"/>
      <c r="AH50" s="42"/>
      <c r="AI50" s="75"/>
      <c r="AJ50" s="75"/>
      <c r="AK50" s="75"/>
      <c r="AL50" s="75"/>
      <c r="AM50" s="74"/>
      <c r="AN50" s="72"/>
    </row>
    <row r="51" spans="1:40" s="69" customFormat="1" x14ac:dyDescent="0.2">
      <c r="A51" s="88"/>
      <c r="B51" s="88"/>
      <c r="C51" s="70"/>
      <c r="D51" s="70"/>
      <c r="E51" s="70" t="s">
        <v>8479</v>
      </c>
      <c r="F51" s="70">
        <v>0</v>
      </c>
      <c r="G51" s="70" t="s">
        <v>8658</v>
      </c>
      <c r="H51" s="422" t="s">
        <v>8477</v>
      </c>
      <c r="I51" s="422" t="s">
        <v>8504</v>
      </c>
      <c r="J51" s="418" t="s">
        <v>8462</v>
      </c>
      <c r="K51" s="417">
        <v>1</v>
      </c>
      <c r="L51" s="408">
        <v>0.9</v>
      </c>
      <c r="M51" s="408">
        <f t="shared" si="3"/>
        <v>0.9</v>
      </c>
      <c r="N51" s="408"/>
      <c r="O51" s="408"/>
      <c r="P51" s="411">
        <v>1</v>
      </c>
      <c r="Q51" s="411">
        <v>1</v>
      </c>
      <c r="R51" s="411"/>
      <c r="S51" s="427">
        <f t="shared" si="1"/>
        <v>8.4263035491590552E-6</v>
      </c>
      <c r="T51" s="427">
        <f t="shared" si="2"/>
        <v>8.4263035491590552E-6</v>
      </c>
      <c r="U51" s="42"/>
      <c r="V51" s="416"/>
      <c r="W51" s="42"/>
      <c r="X51" s="74"/>
      <c r="Y51" s="74"/>
      <c r="Z51" s="74"/>
      <c r="AA51" s="74"/>
      <c r="AB51" s="74"/>
      <c r="AC51" s="42"/>
      <c r="AD51" s="42"/>
      <c r="AE51" s="42"/>
      <c r="AF51" s="42"/>
      <c r="AG51" s="42"/>
      <c r="AH51" s="42"/>
      <c r="AI51" s="75"/>
      <c r="AJ51" s="75"/>
      <c r="AK51" s="75"/>
      <c r="AL51" s="75"/>
      <c r="AM51" s="74"/>
      <c r="AN51" s="72"/>
    </row>
    <row r="52" spans="1:40" s="69" customFormat="1" x14ac:dyDescent="0.2">
      <c r="A52" s="88"/>
      <c r="B52" s="88"/>
      <c r="C52" s="70"/>
      <c r="D52" s="70"/>
      <c r="E52" s="70" t="s">
        <v>8479</v>
      </c>
      <c r="F52" s="70">
        <v>0</v>
      </c>
      <c r="G52" s="70" t="s">
        <v>8658</v>
      </c>
      <c r="H52" s="422" t="s">
        <v>8477</v>
      </c>
      <c r="I52" s="422" t="s">
        <v>8504</v>
      </c>
      <c r="J52" s="418" t="s">
        <v>8463</v>
      </c>
      <c r="K52" s="417">
        <v>2</v>
      </c>
      <c r="L52" s="408">
        <v>2.2999999999999998</v>
      </c>
      <c r="M52" s="408">
        <f t="shared" si="3"/>
        <v>4.5999999999999996</v>
      </c>
      <c r="N52" s="408"/>
      <c r="O52" s="408"/>
      <c r="P52" s="411">
        <v>1</v>
      </c>
      <c r="Q52" s="411">
        <v>1</v>
      </c>
      <c r="R52" s="411"/>
      <c r="S52" s="427">
        <f t="shared" si="1"/>
        <v>4.3067773695701832E-5</v>
      </c>
      <c r="T52" s="427">
        <f t="shared" si="2"/>
        <v>4.3067773695701832E-5</v>
      </c>
      <c r="U52" s="42"/>
      <c r="V52" s="416"/>
      <c r="W52" s="42"/>
      <c r="X52" s="74"/>
      <c r="Y52" s="74"/>
      <c r="Z52" s="74"/>
      <c r="AA52" s="74"/>
      <c r="AB52" s="74"/>
      <c r="AC52" s="42"/>
      <c r="AD52" s="42"/>
      <c r="AE52" s="42"/>
      <c r="AF52" s="42"/>
      <c r="AG52" s="42"/>
      <c r="AH52" s="42"/>
      <c r="AI52" s="75"/>
      <c r="AJ52" s="75"/>
      <c r="AK52" s="75"/>
      <c r="AL52" s="75"/>
      <c r="AM52" s="74"/>
      <c r="AN52" s="72"/>
    </row>
    <row r="53" spans="1:40" s="69" customFormat="1" x14ac:dyDescent="0.2">
      <c r="A53" s="88"/>
      <c r="B53" s="88"/>
      <c r="C53" s="70"/>
      <c r="D53" s="70"/>
      <c r="E53" s="70" t="s">
        <v>8479</v>
      </c>
      <c r="F53" s="70">
        <v>0</v>
      </c>
      <c r="G53" s="70" t="s">
        <v>8658</v>
      </c>
      <c r="H53" s="422" t="s">
        <v>8477</v>
      </c>
      <c r="I53" s="422" t="s">
        <v>8504</v>
      </c>
      <c r="J53" s="418" t="s">
        <v>8464</v>
      </c>
      <c r="K53" s="417">
        <v>1</v>
      </c>
      <c r="L53" s="408">
        <v>1.6</v>
      </c>
      <c r="M53" s="408">
        <f t="shared" si="3"/>
        <v>1.6</v>
      </c>
      <c r="N53" s="408"/>
      <c r="O53" s="408"/>
      <c r="P53" s="411">
        <v>1</v>
      </c>
      <c r="Q53" s="411">
        <v>1</v>
      </c>
      <c r="R53" s="411"/>
      <c r="S53" s="427">
        <f t="shared" si="1"/>
        <v>1.4980095198504985E-5</v>
      </c>
      <c r="T53" s="427">
        <f t="shared" si="2"/>
        <v>1.4980095198504985E-5</v>
      </c>
      <c r="U53" s="42"/>
      <c r="V53" s="416"/>
      <c r="W53" s="42"/>
      <c r="X53" s="74"/>
      <c r="Y53" s="74"/>
      <c r="Z53" s="74"/>
      <c r="AA53" s="74"/>
      <c r="AB53" s="74"/>
      <c r="AC53" s="42"/>
      <c r="AD53" s="42"/>
      <c r="AE53" s="42"/>
      <c r="AF53" s="42"/>
      <c r="AG53" s="42"/>
      <c r="AH53" s="42"/>
      <c r="AI53" s="75"/>
      <c r="AJ53" s="75"/>
      <c r="AK53" s="75"/>
      <c r="AL53" s="75"/>
      <c r="AM53" s="74"/>
      <c r="AN53" s="72"/>
    </row>
    <row r="54" spans="1:40" s="69" customFormat="1" x14ac:dyDescent="0.2">
      <c r="A54" s="88"/>
      <c r="B54" s="88"/>
      <c r="C54" s="70"/>
      <c r="D54" s="70"/>
      <c r="E54" s="70" t="s">
        <v>8479</v>
      </c>
      <c r="F54" s="70">
        <v>0</v>
      </c>
      <c r="G54" s="70" t="s">
        <v>8658</v>
      </c>
      <c r="H54" s="422" t="s">
        <v>8477</v>
      </c>
      <c r="I54" s="422" t="s">
        <v>8504</v>
      </c>
      <c r="J54" s="418" t="s">
        <v>8465</v>
      </c>
      <c r="K54" s="417">
        <v>1</v>
      </c>
      <c r="L54" s="408">
        <v>2.7</v>
      </c>
      <c r="M54" s="408">
        <f t="shared" si="3"/>
        <v>2.7</v>
      </c>
      <c r="N54" s="408"/>
      <c r="O54" s="408"/>
      <c r="P54" s="411">
        <v>1</v>
      </c>
      <c r="Q54" s="411">
        <v>1</v>
      </c>
      <c r="R54" s="411"/>
      <c r="S54" s="427">
        <f t="shared" si="1"/>
        <v>2.5278910647477166E-5</v>
      </c>
      <c r="T54" s="427">
        <f t="shared" si="2"/>
        <v>2.5278910647477166E-5</v>
      </c>
      <c r="U54" s="42"/>
      <c r="V54" s="416"/>
      <c r="W54" s="42"/>
      <c r="X54" s="74"/>
      <c r="Y54" s="74"/>
      <c r="Z54" s="74"/>
      <c r="AA54" s="74"/>
      <c r="AB54" s="74"/>
      <c r="AC54" s="42"/>
      <c r="AD54" s="42"/>
      <c r="AE54" s="42"/>
      <c r="AF54" s="42"/>
      <c r="AG54" s="42"/>
      <c r="AH54" s="42"/>
      <c r="AI54" s="75"/>
      <c r="AJ54" s="75"/>
      <c r="AK54" s="75"/>
      <c r="AL54" s="75"/>
      <c r="AM54" s="74"/>
      <c r="AN54" s="72"/>
    </row>
    <row r="55" spans="1:40" s="69" customFormat="1" x14ac:dyDescent="0.2">
      <c r="A55" s="88"/>
      <c r="B55" s="88"/>
      <c r="C55" s="70"/>
      <c r="D55" s="70"/>
      <c r="E55" s="70" t="s">
        <v>8479</v>
      </c>
      <c r="F55" s="70">
        <v>0</v>
      </c>
      <c r="G55" s="70" t="s">
        <v>8658</v>
      </c>
      <c r="H55" s="422" t="s">
        <v>8477</v>
      </c>
      <c r="I55" s="422" t="s">
        <v>8504</v>
      </c>
      <c r="J55" s="418" t="s">
        <v>8466</v>
      </c>
      <c r="K55" s="417">
        <v>2</v>
      </c>
      <c r="L55" s="408">
        <v>3.6</v>
      </c>
      <c r="M55" s="408">
        <f t="shared" si="3"/>
        <v>7.2</v>
      </c>
      <c r="N55" s="408"/>
      <c r="O55" s="408"/>
      <c r="P55" s="411">
        <v>1</v>
      </c>
      <c r="Q55" s="411">
        <v>1</v>
      </c>
      <c r="R55" s="411"/>
      <c r="S55" s="427">
        <f t="shared" si="1"/>
        <v>6.7410428393272441E-5</v>
      </c>
      <c r="T55" s="427">
        <f t="shared" si="2"/>
        <v>6.7410428393272441E-5</v>
      </c>
      <c r="U55" s="42"/>
      <c r="V55" s="416"/>
      <c r="W55" s="42"/>
      <c r="X55" s="74"/>
      <c r="Y55" s="74"/>
      <c r="Z55" s="74"/>
      <c r="AA55" s="74"/>
      <c r="AB55" s="74"/>
      <c r="AC55" s="42"/>
      <c r="AD55" s="42"/>
      <c r="AE55" s="42"/>
      <c r="AF55" s="42"/>
      <c r="AG55" s="42"/>
      <c r="AH55" s="42"/>
      <c r="AI55" s="75"/>
      <c r="AJ55" s="75"/>
      <c r="AK55" s="75"/>
      <c r="AL55" s="75"/>
      <c r="AM55" s="74"/>
      <c r="AN55" s="72"/>
    </row>
    <row r="56" spans="1:40" s="69" customFormat="1" x14ac:dyDescent="0.2">
      <c r="A56" s="88"/>
      <c r="B56" s="88"/>
      <c r="C56" s="70"/>
      <c r="D56" s="70"/>
      <c r="E56" s="70" t="s">
        <v>8479</v>
      </c>
      <c r="F56" s="70">
        <v>0</v>
      </c>
      <c r="G56" s="70" t="s">
        <v>8658</v>
      </c>
      <c r="H56" s="422" t="s">
        <v>8477</v>
      </c>
      <c r="I56" s="422" t="s">
        <v>8504</v>
      </c>
      <c r="J56" s="418" t="s">
        <v>8467</v>
      </c>
      <c r="K56" s="417">
        <v>2</v>
      </c>
      <c r="L56" s="408">
        <v>4.8</v>
      </c>
      <c r="M56" s="408">
        <f t="shared" si="3"/>
        <v>9.6</v>
      </c>
      <c r="N56" s="408"/>
      <c r="O56" s="408"/>
      <c r="P56" s="411">
        <v>1</v>
      </c>
      <c r="Q56" s="411">
        <v>1</v>
      </c>
      <c r="R56" s="411"/>
      <c r="S56" s="427">
        <f t="shared" si="1"/>
        <v>8.9880571191029913E-5</v>
      </c>
      <c r="T56" s="427">
        <f t="shared" si="2"/>
        <v>8.9880571191029913E-5</v>
      </c>
      <c r="U56" s="42"/>
      <c r="V56" s="416"/>
      <c r="W56" s="42"/>
      <c r="X56" s="74"/>
      <c r="Y56" s="74"/>
      <c r="Z56" s="74"/>
      <c r="AA56" s="74"/>
      <c r="AB56" s="74"/>
      <c r="AC56" s="42"/>
      <c r="AD56" s="42"/>
      <c r="AE56" s="42"/>
      <c r="AF56" s="42"/>
      <c r="AG56" s="42"/>
      <c r="AH56" s="42"/>
      <c r="AI56" s="75"/>
      <c r="AJ56" s="75"/>
      <c r="AK56" s="75"/>
      <c r="AL56" s="75"/>
      <c r="AM56" s="74"/>
      <c r="AN56" s="72"/>
    </row>
    <row r="57" spans="1:40" s="69" customFormat="1" x14ac:dyDescent="0.2">
      <c r="A57" s="88"/>
      <c r="B57" s="88"/>
      <c r="C57" s="70"/>
      <c r="D57" s="70"/>
      <c r="E57" s="70" t="s">
        <v>8479</v>
      </c>
      <c r="F57" s="70">
        <v>0</v>
      </c>
      <c r="G57" s="70" t="s">
        <v>8658</v>
      </c>
      <c r="H57" s="422" t="s">
        <v>8477</v>
      </c>
      <c r="I57" s="422" t="s">
        <v>8504</v>
      </c>
      <c r="J57" s="418" t="s">
        <v>8468</v>
      </c>
      <c r="K57" s="417">
        <v>1</v>
      </c>
      <c r="L57" s="408">
        <v>5.5</v>
      </c>
      <c r="M57" s="408">
        <f t="shared" si="3"/>
        <v>5.5</v>
      </c>
      <c r="N57" s="408"/>
      <c r="O57" s="408"/>
      <c r="P57" s="411">
        <v>1</v>
      </c>
      <c r="Q57" s="411">
        <v>1</v>
      </c>
      <c r="R57" s="411"/>
      <c r="S57" s="427">
        <f t="shared" si="1"/>
        <v>5.149407724486089E-5</v>
      </c>
      <c r="T57" s="427">
        <f t="shared" si="2"/>
        <v>5.149407724486089E-5</v>
      </c>
      <c r="U57" s="42"/>
      <c r="V57" s="416"/>
      <c r="W57" s="42"/>
      <c r="X57" s="74"/>
      <c r="Y57" s="74"/>
      <c r="Z57" s="74"/>
      <c r="AA57" s="74"/>
      <c r="AB57" s="74"/>
      <c r="AC57" s="42"/>
      <c r="AD57" s="42"/>
      <c r="AE57" s="42"/>
      <c r="AF57" s="42"/>
      <c r="AG57" s="42"/>
      <c r="AH57" s="42"/>
      <c r="AI57" s="75"/>
      <c r="AJ57" s="75"/>
      <c r="AK57" s="75"/>
      <c r="AL57" s="75"/>
      <c r="AM57" s="74"/>
      <c r="AN57" s="72"/>
    </row>
    <row r="58" spans="1:40" s="69" customFormat="1" x14ac:dyDescent="0.2">
      <c r="A58" s="88"/>
      <c r="B58" s="88"/>
      <c r="C58" s="70"/>
      <c r="D58" s="70"/>
      <c r="E58" s="70" t="s">
        <v>8479</v>
      </c>
      <c r="F58" s="70">
        <v>0</v>
      </c>
      <c r="G58" s="70" t="s">
        <v>8658</v>
      </c>
      <c r="H58" s="422" t="s">
        <v>8477</v>
      </c>
      <c r="I58" s="422" t="s">
        <v>8504</v>
      </c>
      <c r="J58" s="418" t="s">
        <v>8469</v>
      </c>
      <c r="K58" s="417">
        <v>1</v>
      </c>
      <c r="L58" s="408">
        <v>16.7</v>
      </c>
      <c r="M58" s="408">
        <f t="shared" si="3"/>
        <v>16.7</v>
      </c>
      <c r="N58" s="408"/>
      <c r="O58" s="408"/>
      <c r="P58" s="411">
        <v>1</v>
      </c>
      <c r="Q58" s="411">
        <v>1</v>
      </c>
      <c r="R58" s="411"/>
      <c r="S58" s="427">
        <f t="shared" si="1"/>
        <v>1.5635474363439577E-4</v>
      </c>
      <c r="T58" s="427">
        <f t="shared" si="2"/>
        <v>1.5635474363439577E-4</v>
      </c>
      <c r="U58" s="42"/>
      <c r="V58" s="416"/>
      <c r="W58" s="42"/>
      <c r="X58" s="74"/>
      <c r="Y58" s="74"/>
      <c r="Z58" s="74"/>
      <c r="AA58" s="74"/>
      <c r="AB58" s="74"/>
      <c r="AC58" s="42"/>
      <c r="AD58" s="42"/>
      <c r="AE58" s="42"/>
      <c r="AF58" s="42"/>
      <c r="AG58" s="42"/>
      <c r="AH58" s="42"/>
      <c r="AI58" s="75"/>
      <c r="AJ58" s="75"/>
      <c r="AK58" s="75"/>
      <c r="AL58" s="75"/>
      <c r="AM58" s="74"/>
      <c r="AN58" s="72"/>
    </row>
    <row r="59" spans="1:40" s="69" customFormat="1" x14ac:dyDescent="0.2">
      <c r="A59" s="88"/>
      <c r="B59" s="88"/>
      <c r="C59" s="70"/>
      <c r="D59" s="70"/>
      <c r="E59" s="70" t="s">
        <v>8479</v>
      </c>
      <c r="F59" s="70">
        <v>0</v>
      </c>
      <c r="G59" s="70" t="s">
        <v>8658</v>
      </c>
      <c r="H59" s="422" t="s">
        <v>8477</v>
      </c>
      <c r="I59" s="422" t="s">
        <v>8504</v>
      </c>
      <c r="J59" s="418" t="s">
        <v>8469</v>
      </c>
      <c r="K59" s="417">
        <v>1</v>
      </c>
      <c r="L59" s="408">
        <v>38.700000000000003</v>
      </c>
      <c r="M59" s="408">
        <f t="shared" si="3"/>
        <v>38.700000000000003</v>
      </c>
      <c r="N59" s="408"/>
      <c r="O59" s="408"/>
      <c r="P59" s="411">
        <v>1</v>
      </c>
      <c r="Q59" s="411">
        <v>1</v>
      </c>
      <c r="R59" s="411"/>
      <c r="S59" s="427">
        <f t="shared" si="1"/>
        <v>3.6233105261383936E-4</v>
      </c>
      <c r="T59" s="427">
        <f t="shared" si="2"/>
        <v>3.6233105261383936E-4</v>
      </c>
      <c r="U59" s="42"/>
      <c r="V59" s="416"/>
      <c r="W59" s="42"/>
      <c r="X59" s="74"/>
      <c r="Y59" s="74"/>
      <c r="Z59" s="74"/>
      <c r="AA59" s="74"/>
      <c r="AB59" s="74"/>
      <c r="AC59" s="42"/>
      <c r="AD59" s="42"/>
      <c r="AE59" s="42"/>
      <c r="AF59" s="42"/>
      <c r="AG59" s="42"/>
      <c r="AH59" s="42"/>
      <c r="AI59" s="75"/>
      <c r="AJ59" s="75"/>
      <c r="AK59" s="75"/>
      <c r="AL59" s="75"/>
      <c r="AM59" s="74"/>
      <c r="AN59" s="72"/>
    </row>
    <row r="60" spans="1:40" s="69" customFormat="1" x14ac:dyDescent="0.2">
      <c r="A60" s="88"/>
      <c r="B60" s="88"/>
      <c r="C60" s="70"/>
      <c r="D60" s="70"/>
      <c r="E60" s="70" t="s">
        <v>8479</v>
      </c>
      <c r="F60" s="70">
        <v>0</v>
      </c>
      <c r="G60" s="70" t="s">
        <v>8658</v>
      </c>
      <c r="H60" s="422" t="s">
        <v>8477</v>
      </c>
      <c r="I60" s="422" t="s">
        <v>8504</v>
      </c>
      <c r="J60" s="418" t="s">
        <v>8470</v>
      </c>
      <c r="K60" s="417">
        <v>1</v>
      </c>
      <c r="L60" s="408">
        <v>23.3</v>
      </c>
      <c r="M60" s="408">
        <f t="shared" si="3"/>
        <v>23.3</v>
      </c>
      <c r="N60" s="408"/>
      <c r="O60" s="408"/>
      <c r="P60" s="411">
        <v>1</v>
      </c>
      <c r="Q60" s="411">
        <v>1</v>
      </c>
      <c r="R60" s="411"/>
      <c r="S60" s="427">
        <f t="shared" si="1"/>
        <v>2.1814763632822885E-4</v>
      </c>
      <c r="T60" s="427">
        <f t="shared" si="2"/>
        <v>2.1814763632822885E-4</v>
      </c>
      <c r="U60" s="42"/>
      <c r="V60" s="416"/>
      <c r="W60" s="42"/>
      <c r="X60" s="74"/>
      <c r="Y60" s="74"/>
      <c r="Z60" s="74"/>
      <c r="AA60" s="74"/>
      <c r="AB60" s="74"/>
      <c r="AC60" s="42"/>
      <c r="AD60" s="42"/>
      <c r="AE60" s="42"/>
      <c r="AF60" s="42"/>
      <c r="AG60" s="42"/>
      <c r="AH60" s="42"/>
      <c r="AI60" s="75"/>
      <c r="AJ60" s="75"/>
      <c r="AK60" s="75"/>
      <c r="AL60" s="75"/>
      <c r="AM60" s="74"/>
      <c r="AN60" s="72"/>
    </row>
    <row r="61" spans="1:40" s="69" customFormat="1" x14ac:dyDescent="0.2">
      <c r="A61" s="88"/>
      <c r="B61" s="88"/>
      <c r="C61" s="70"/>
      <c r="D61" s="70"/>
      <c r="E61" s="70" t="s">
        <v>8479</v>
      </c>
      <c r="F61" s="70">
        <v>0</v>
      </c>
      <c r="G61" s="70" t="s">
        <v>8658</v>
      </c>
      <c r="H61" s="422" t="s">
        <v>8477</v>
      </c>
      <c r="I61" s="422" t="s">
        <v>8504</v>
      </c>
      <c r="J61" s="418" t="s">
        <v>8471</v>
      </c>
      <c r="K61" s="417">
        <v>2</v>
      </c>
      <c r="L61" s="408">
        <v>0.2</v>
      </c>
      <c r="M61" s="408">
        <f t="shared" si="3"/>
        <v>0.4</v>
      </c>
      <c r="N61" s="408"/>
      <c r="O61" s="408"/>
      <c r="P61" s="411">
        <v>1</v>
      </c>
      <c r="Q61" s="411">
        <v>1</v>
      </c>
      <c r="R61" s="411"/>
      <c r="S61" s="427">
        <f t="shared" si="1"/>
        <v>3.7450237996262464E-6</v>
      </c>
      <c r="T61" s="427">
        <f t="shared" si="2"/>
        <v>3.7450237996262464E-6</v>
      </c>
      <c r="U61" s="42"/>
      <c r="V61" s="416"/>
      <c r="W61" s="42"/>
      <c r="X61" s="74"/>
      <c r="Y61" s="74"/>
      <c r="Z61" s="74"/>
      <c r="AA61" s="74"/>
      <c r="AB61" s="74"/>
      <c r="AC61" s="42"/>
      <c r="AD61" s="42"/>
      <c r="AE61" s="42"/>
      <c r="AF61" s="42"/>
      <c r="AG61" s="42"/>
      <c r="AH61" s="42"/>
      <c r="AI61" s="75"/>
      <c r="AJ61" s="75"/>
      <c r="AK61" s="75"/>
      <c r="AL61" s="75"/>
      <c r="AM61" s="74"/>
      <c r="AN61" s="72"/>
    </row>
    <row r="62" spans="1:40" s="69" customFormat="1" x14ac:dyDescent="0.2">
      <c r="A62" s="88"/>
      <c r="B62" s="88"/>
      <c r="C62" s="70"/>
      <c r="D62" s="70"/>
      <c r="E62" s="70" t="s">
        <v>8479</v>
      </c>
      <c r="F62" s="70">
        <v>0</v>
      </c>
      <c r="G62" s="70" t="s">
        <v>8658</v>
      </c>
      <c r="H62" s="422" t="s">
        <v>8477</v>
      </c>
      <c r="I62" s="422" t="s">
        <v>8504</v>
      </c>
      <c r="J62" s="418" t="s">
        <v>8472</v>
      </c>
      <c r="K62" s="417">
        <v>6</v>
      </c>
      <c r="L62" s="408">
        <v>0.8</v>
      </c>
      <c r="M62" s="408">
        <f t="shared" si="3"/>
        <v>4.8000000000000007</v>
      </c>
      <c r="N62" s="408"/>
      <c r="O62" s="408"/>
      <c r="P62" s="411">
        <v>1</v>
      </c>
      <c r="Q62" s="411">
        <v>1</v>
      </c>
      <c r="R62" s="411"/>
      <c r="S62" s="427">
        <f t="shared" si="1"/>
        <v>4.4940285595514963E-5</v>
      </c>
      <c r="T62" s="427">
        <f t="shared" si="2"/>
        <v>4.4940285595514963E-5</v>
      </c>
      <c r="U62" s="42"/>
      <c r="V62" s="416"/>
      <c r="W62" s="42"/>
      <c r="X62" s="74"/>
      <c r="Y62" s="74"/>
      <c r="Z62" s="74"/>
      <c r="AA62" s="74"/>
      <c r="AB62" s="74"/>
      <c r="AC62" s="42"/>
      <c r="AD62" s="42"/>
      <c r="AE62" s="42"/>
      <c r="AF62" s="42"/>
      <c r="AG62" s="42"/>
      <c r="AH62" s="42"/>
      <c r="AI62" s="75"/>
      <c r="AJ62" s="75"/>
      <c r="AK62" s="75"/>
      <c r="AL62" s="75"/>
      <c r="AM62" s="74"/>
      <c r="AN62" s="72"/>
    </row>
    <row r="63" spans="1:40" s="69" customFormat="1" x14ac:dyDescent="0.2">
      <c r="A63" s="88"/>
      <c r="B63" s="88"/>
      <c r="C63" s="70"/>
      <c r="D63" s="70"/>
      <c r="E63" s="70" t="s">
        <v>8479</v>
      </c>
      <c r="F63" s="70">
        <v>0</v>
      </c>
      <c r="G63" s="70" t="s">
        <v>8658</v>
      </c>
      <c r="H63" s="422" t="s">
        <v>8477</v>
      </c>
      <c r="I63" s="422" t="s">
        <v>8504</v>
      </c>
      <c r="J63" s="418" t="s">
        <v>8473</v>
      </c>
      <c r="K63" s="417">
        <v>12</v>
      </c>
      <c r="L63" s="408">
        <v>0.5</v>
      </c>
      <c r="M63" s="408">
        <f t="shared" si="3"/>
        <v>6</v>
      </c>
      <c r="N63" s="408"/>
      <c r="O63" s="408"/>
      <c r="P63" s="411">
        <v>1</v>
      </c>
      <c r="Q63" s="411">
        <v>1</v>
      </c>
      <c r="R63" s="411"/>
      <c r="S63" s="427">
        <f t="shared" si="1"/>
        <v>5.6175356994393692E-5</v>
      </c>
      <c r="T63" s="427">
        <f t="shared" si="2"/>
        <v>5.6175356994393692E-5</v>
      </c>
      <c r="U63" s="42"/>
      <c r="V63" s="416"/>
      <c r="W63" s="42"/>
      <c r="X63" s="74"/>
      <c r="Y63" s="74"/>
      <c r="Z63" s="74"/>
      <c r="AA63" s="74"/>
      <c r="AB63" s="74"/>
      <c r="AC63" s="42"/>
      <c r="AD63" s="42"/>
      <c r="AE63" s="42"/>
      <c r="AF63" s="42"/>
      <c r="AG63" s="42"/>
      <c r="AH63" s="42"/>
      <c r="AI63" s="75"/>
      <c r="AJ63" s="75"/>
      <c r="AK63" s="75"/>
      <c r="AL63" s="75"/>
      <c r="AM63" s="74"/>
      <c r="AN63" s="72"/>
    </row>
    <row r="64" spans="1:40" s="69" customFormat="1" x14ac:dyDescent="0.2">
      <c r="A64" s="88"/>
      <c r="B64" s="88"/>
      <c r="C64" s="70"/>
      <c r="D64" s="70"/>
      <c r="E64" s="70" t="s">
        <v>8479</v>
      </c>
      <c r="F64" s="70">
        <v>0</v>
      </c>
      <c r="G64" s="70" t="s">
        <v>8658</v>
      </c>
      <c r="H64" s="422" t="s">
        <v>8477</v>
      </c>
      <c r="I64" s="422" t="s">
        <v>8504</v>
      </c>
      <c r="J64" s="418" t="s">
        <v>8474</v>
      </c>
      <c r="K64" s="417">
        <v>8</v>
      </c>
      <c r="L64" s="408">
        <v>0.4</v>
      </c>
      <c r="M64" s="408">
        <f t="shared" si="3"/>
        <v>3.2</v>
      </c>
      <c r="N64" s="408"/>
      <c r="O64" s="408"/>
      <c r="P64" s="411">
        <v>1</v>
      </c>
      <c r="Q64" s="411">
        <v>1</v>
      </c>
      <c r="R64" s="411"/>
      <c r="S64" s="427">
        <f t="shared" si="1"/>
        <v>2.9960190397009971E-5</v>
      </c>
      <c r="T64" s="427">
        <f t="shared" si="2"/>
        <v>2.9960190397009971E-5</v>
      </c>
      <c r="U64" s="42"/>
      <c r="V64" s="416"/>
      <c r="W64" s="42"/>
      <c r="X64" s="74"/>
      <c r="Y64" s="74"/>
      <c r="Z64" s="74"/>
      <c r="AA64" s="74"/>
      <c r="AB64" s="74"/>
      <c r="AC64" s="42"/>
      <c r="AD64" s="42"/>
      <c r="AE64" s="42"/>
      <c r="AF64" s="42"/>
      <c r="AG64" s="42"/>
      <c r="AH64" s="42"/>
      <c r="AI64" s="75"/>
      <c r="AJ64" s="75"/>
      <c r="AK64" s="75"/>
      <c r="AL64" s="75"/>
      <c r="AM64" s="74"/>
      <c r="AN64" s="72"/>
    </row>
    <row r="65" spans="1:40" s="69" customFormat="1" x14ac:dyDescent="0.2">
      <c r="A65" s="88"/>
      <c r="B65" s="88"/>
      <c r="C65" s="70"/>
      <c r="D65" s="70"/>
      <c r="E65" s="70" t="s">
        <v>8479</v>
      </c>
      <c r="F65" s="70">
        <v>0</v>
      </c>
      <c r="G65" s="70" t="s">
        <v>8658</v>
      </c>
      <c r="H65" s="422" t="s">
        <v>8477</v>
      </c>
      <c r="I65" s="422" t="s">
        <v>8504</v>
      </c>
      <c r="J65" s="418" t="s">
        <v>8475</v>
      </c>
      <c r="K65" s="417">
        <v>1</v>
      </c>
      <c r="L65" s="408">
        <v>2.2000000000000002</v>
      </c>
      <c r="M65" s="408">
        <f t="shared" si="3"/>
        <v>2.2000000000000002</v>
      </c>
      <c r="N65" s="408"/>
      <c r="O65" s="408"/>
      <c r="P65" s="411">
        <v>1</v>
      </c>
      <c r="Q65" s="411">
        <v>1</v>
      </c>
      <c r="R65" s="411"/>
      <c r="S65" s="427">
        <f t="shared" si="1"/>
        <v>2.0597630897944357E-5</v>
      </c>
      <c r="T65" s="427">
        <f t="shared" si="2"/>
        <v>2.0597630897944357E-5</v>
      </c>
      <c r="U65" s="42"/>
      <c r="V65" s="416"/>
      <c r="W65" s="42"/>
      <c r="X65" s="74"/>
      <c r="Y65" s="74"/>
      <c r="Z65" s="74"/>
      <c r="AA65" s="74"/>
      <c r="AB65" s="74"/>
      <c r="AC65" s="42"/>
      <c r="AD65" s="42"/>
      <c r="AE65" s="42"/>
      <c r="AF65" s="42"/>
      <c r="AG65" s="42"/>
      <c r="AH65" s="42"/>
      <c r="AI65" s="75"/>
      <c r="AJ65" s="75"/>
      <c r="AK65" s="75"/>
      <c r="AL65" s="75"/>
      <c r="AM65" s="74"/>
      <c r="AN65" s="72"/>
    </row>
    <row r="66" spans="1:40" s="69" customFormat="1" x14ac:dyDescent="0.2">
      <c r="A66" s="88"/>
      <c r="B66" s="88"/>
      <c r="C66" s="70"/>
      <c r="D66" s="70"/>
      <c r="E66" s="70" t="s">
        <v>8479</v>
      </c>
      <c r="F66" s="70">
        <v>0</v>
      </c>
      <c r="G66" s="70" t="s">
        <v>8658</v>
      </c>
      <c r="H66" s="422" t="s">
        <v>8477</v>
      </c>
      <c r="I66" s="422" t="s">
        <v>8504</v>
      </c>
      <c r="J66" s="418" t="s">
        <v>8476</v>
      </c>
      <c r="K66" s="417">
        <v>2</v>
      </c>
      <c r="L66" s="408">
        <v>1.6</v>
      </c>
      <c r="M66" s="408">
        <f t="shared" si="3"/>
        <v>3.2</v>
      </c>
      <c r="N66" s="408"/>
      <c r="O66" s="408"/>
      <c r="P66" s="411">
        <v>1</v>
      </c>
      <c r="Q66" s="411">
        <v>1</v>
      </c>
      <c r="R66" s="411"/>
      <c r="S66" s="427">
        <f t="shared" si="1"/>
        <v>2.9960190397009971E-5</v>
      </c>
      <c r="T66" s="427">
        <f t="shared" si="2"/>
        <v>2.9960190397009971E-5</v>
      </c>
      <c r="U66" s="42"/>
      <c r="V66" s="416"/>
      <c r="W66" s="42"/>
      <c r="X66" s="74"/>
      <c r="Y66" s="74"/>
      <c r="Z66" s="74"/>
      <c r="AA66" s="74"/>
      <c r="AB66" s="74"/>
      <c r="AC66" s="42"/>
      <c r="AD66" s="42"/>
      <c r="AE66" s="42"/>
      <c r="AF66" s="42"/>
      <c r="AG66" s="42"/>
      <c r="AH66" s="42"/>
      <c r="AI66" s="75"/>
      <c r="AJ66" s="75"/>
      <c r="AK66" s="75"/>
      <c r="AL66" s="75"/>
      <c r="AM66" s="74"/>
      <c r="AN66" s="72"/>
    </row>
    <row r="67" spans="1:40" s="69" customFormat="1" x14ac:dyDescent="0.25">
      <c r="A67" s="88"/>
      <c r="B67" s="88"/>
      <c r="C67" s="70"/>
      <c r="D67" s="70"/>
      <c r="E67" s="70" t="s">
        <v>8506</v>
      </c>
      <c r="F67" s="70">
        <v>0</v>
      </c>
      <c r="G67" s="70" t="s">
        <v>8659</v>
      </c>
      <c r="H67" s="422" t="s">
        <v>8502</v>
      </c>
      <c r="I67" s="422" t="s">
        <v>8503</v>
      </c>
      <c r="J67" s="418" t="s">
        <v>8480</v>
      </c>
      <c r="K67" s="414">
        <v>1</v>
      </c>
      <c r="L67" s="408">
        <v>357.5</v>
      </c>
      <c r="M67" s="408">
        <f t="shared" ref="M67:M95" si="4">L67*K67</f>
        <v>357.5</v>
      </c>
      <c r="N67" s="408"/>
      <c r="O67" s="408"/>
      <c r="P67" s="411">
        <v>1</v>
      </c>
      <c r="Q67" s="411">
        <v>1</v>
      </c>
      <c r="R67" s="411"/>
      <c r="S67" s="427">
        <f t="shared" si="1"/>
        <v>3.3471150209159577E-3</v>
      </c>
      <c r="T67" s="427">
        <f t="shared" si="2"/>
        <v>3.3471150209159577E-3</v>
      </c>
      <c r="U67" s="42"/>
      <c r="V67" s="416"/>
      <c r="W67" s="42"/>
      <c r="X67" s="74"/>
      <c r="Y67" s="74"/>
      <c r="Z67" s="74"/>
      <c r="AA67" s="74"/>
      <c r="AB67" s="74"/>
      <c r="AC67" s="42"/>
      <c r="AD67" s="42"/>
      <c r="AE67" s="42"/>
      <c r="AF67" s="42"/>
      <c r="AG67" s="42"/>
      <c r="AH67" s="42"/>
      <c r="AI67" s="75"/>
      <c r="AJ67" s="75"/>
      <c r="AK67" s="75"/>
      <c r="AL67" s="75"/>
      <c r="AM67" s="74"/>
      <c r="AN67" s="72"/>
    </row>
    <row r="68" spans="1:40" s="69" customFormat="1" x14ac:dyDescent="0.25">
      <c r="A68" s="88"/>
      <c r="B68" s="88"/>
      <c r="C68" s="70"/>
      <c r="D68" s="70"/>
      <c r="E68" s="70" t="s">
        <v>8506</v>
      </c>
      <c r="F68" s="70">
        <v>0</v>
      </c>
      <c r="G68" s="70" t="s">
        <v>8659</v>
      </c>
      <c r="H68" s="422" t="s">
        <v>8502</v>
      </c>
      <c r="I68" s="422" t="s">
        <v>8503</v>
      </c>
      <c r="J68" s="418" t="s">
        <v>8481</v>
      </c>
      <c r="K68" s="414">
        <v>1</v>
      </c>
      <c r="L68" s="408">
        <v>357.5</v>
      </c>
      <c r="M68" s="408">
        <f t="shared" si="4"/>
        <v>357.5</v>
      </c>
      <c r="N68" s="408"/>
      <c r="O68" s="408"/>
      <c r="P68" s="411">
        <v>1</v>
      </c>
      <c r="Q68" s="411">
        <v>1</v>
      </c>
      <c r="R68" s="411"/>
      <c r="S68" s="427">
        <f t="shared" si="1"/>
        <v>3.3471150209159577E-3</v>
      </c>
      <c r="T68" s="427">
        <f t="shared" si="2"/>
        <v>3.3471150209159577E-3</v>
      </c>
      <c r="U68" s="42"/>
      <c r="V68" s="416"/>
      <c r="W68" s="42"/>
      <c r="X68" s="74"/>
      <c r="Y68" s="74"/>
      <c r="Z68" s="74"/>
      <c r="AA68" s="74"/>
      <c r="AB68" s="74"/>
      <c r="AC68" s="42"/>
      <c r="AD68" s="42"/>
      <c r="AE68" s="42"/>
      <c r="AF68" s="42"/>
      <c r="AG68" s="42"/>
      <c r="AH68" s="42"/>
      <c r="AI68" s="75"/>
      <c r="AJ68" s="75"/>
      <c r="AK68" s="75"/>
      <c r="AL68" s="75"/>
      <c r="AM68" s="74"/>
      <c r="AN68" s="72"/>
    </row>
    <row r="69" spans="1:40" s="69" customFormat="1" x14ac:dyDescent="0.25">
      <c r="A69" s="88"/>
      <c r="B69" s="88"/>
      <c r="C69" s="70"/>
      <c r="D69" s="70"/>
      <c r="E69" s="70" t="s">
        <v>8506</v>
      </c>
      <c r="F69" s="70">
        <v>0</v>
      </c>
      <c r="G69" s="70" t="s">
        <v>8659</v>
      </c>
      <c r="H69" s="422" t="s">
        <v>8502</v>
      </c>
      <c r="I69" s="422" t="s">
        <v>8503</v>
      </c>
      <c r="J69" s="418" t="s">
        <v>8482</v>
      </c>
      <c r="K69" s="414">
        <v>2</v>
      </c>
      <c r="L69" s="408">
        <v>54.2</v>
      </c>
      <c r="M69" s="408">
        <f t="shared" si="4"/>
        <v>108.4</v>
      </c>
      <c r="N69" s="408"/>
      <c r="O69" s="408"/>
      <c r="P69" s="411">
        <v>1</v>
      </c>
      <c r="Q69" s="411">
        <v>1</v>
      </c>
      <c r="R69" s="411"/>
      <c r="S69" s="427">
        <f t="shared" si="1"/>
        <v>1.0149014496987129E-3</v>
      </c>
      <c r="T69" s="427">
        <f t="shared" si="2"/>
        <v>1.0149014496987129E-3</v>
      </c>
      <c r="U69" s="42"/>
      <c r="V69" s="416"/>
      <c r="W69" s="42"/>
      <c r="X69" s="74"/>
      <c r="Y69" s="74"/>
      <c r="Z69" s="74"/>
      <c r="AA69" s="74"/>
      <c r="AB69" s="74"/>
      <c r="AC69" s="42"/>
      <c r="AD69" s="42"/>
      <c r="AE69" s="42"/>
      <c r="AF69" s="42"/>
      <c r="AG69" s="42"/>
      <c r="AH69" s="42"/>
      <c r="AI69" s="75"/>
      <c r="AJ69" s="75"/>
      <c r="AK69" s="75"/>
      <c r="AL69" s="75"/>
      <c r="AM69" s="74"/>
      <c r="AN69" s="72"/>
    </row>
    <row r="70" spans="1:40" s="69" customFormat="1" x14ac:dyDescent="0.25">
      <c r="A70" s="88"/>
      <c r="B70" s="88"/>
      <c r="C70" s="70"/>
      <c r="D70" s="70"/>
      <c r="E70" s="70" t="s">
        <v>8506</v>
      </c>
      <c r="F70" s="70">
        <v>0</v>
      </c>
      <c r="G70" s="70" t="s">
        <v>8659</v>
      </c>
      <c r="H70" s="422" t="s">
        <v>8502</v>
      </c>
      <c r="I70" s="422" t="s">
        <v>8503</v>
      </c>
      <c r="J70" s="418" t="s">
        <v>8483</v>
      </c>
      <c r="K70" s="414">
        <v>2</v>
      </c>
      <c r="L70" s="408">
        <v>68</v>
      </c>
      <c r="M70" s="408">
        <f t="shared" si="4"/>
        <v>136</v>
      </c>
      <c r="N70" s="408"/>
      <c r="O70" s="408"/>
      <c r="P70" s="411">
        <v>1</v>
      </c>
      <c r="Q70" s="411">
        <v>1</v>
      </c>
      <c r="R70" s="411"/>
      <c r="S70" s="427">
        <f t="shared" ref="S70:S133" si="5">M70/$M$3</f>
        <v>1.2733080918729237E-3</v>
      </c>
      <c r="T70" s="427">
        <f t="shared" ref="T70:T133" si="6">Q70*M70/$M$3</f>
        <v>1.2733080918729237E-3</v>
      </c>
      <c r="U70" s="42"/>
      <c r="V70" s="416"/>
      <c r="W70" s="42"/>
      <c r="X70" s="74"/>
      <c r="Y70" s="74"/>
      <c r="Z70" s="74"/>
      <c r="AA70" s="74"/>
      <c r="AB70" s="74"/>
      <c r="AC70" s="42"/>
      <c r="AD70" s="42"/>
      <c r="AE70" s="42"/>
      <c r="AF70" s="42"/>
      <c r="AG70" s="42"/>
      <c r="AH70" s="42"/>
      <c r="AI70" s="75"/>
      <c r="AJ70" s="75"/>
      <c r="AK70" s="75"/>
      <c r="AL70" s="75"/>
      <c r="AM70" s="74"/>
      <c r="AN70" s="72"/>
    </row>
    <row r="71" spans="1:40" s="69" customFormat="1" x14ac:dyDescent="0.25">
      <c r="A71" s="88"/>
      <c r="B71" s="88"/>
      <c r="C71" s="70"/>
      <c r="D71" s="70"/>
      <c r="E71" s="70" t="s">
        <v>8506</v>
      </c>
      <c r="F71" s="70">
        <v>0</v>
      </c>
      <c r="G71" s="70" t="s">
        <v>8659</v>
      </c>
      <c r="H71" s="422" t="s">
        <v>8502</v>
      </c>
      <c r="I71" s="422" t="s">
        <v>8503</v>
      </c>
      <c r="J71" s="418" t="s">
        <v>8484</v>
      </c>
      <c r="K71" s="414">
        <v>1</v>
      </c>
      <c r="L71" s="408">
        <v>28.5</v>
      </c>
      <c r="M71" s="408">
        <f t="shared" si="4"/>
        <v>28.5</v>
      </c>
      <c r="N71" s="408"/>
      <c r="O71" s="408"/>
      <c r="P71" s="411">
        <v>1</v>
      </c>
      <c r="Q71" s="411">
        <v>1</v>
      </c>
      <c r="R71" s="411"/>
      <c r="S71" s="427">
        <f t="shared" si="5"/>
        <v>2.6683294572337005E-4</v>
      </c>
      <c r="T71" s="427">
        <f t="shared" si="6"/>
        <v>2.6683294572337005E-4</v>
      </c>
      <c r="U71" s="42"/>
      <c r="V71" s="416"/>
      <c r="W71" s="42"/>
      <c r="X71" s="74"/>
      <c r="Y71" s="74"/>
      <c r="Z71" s="74"/>
      <c r="AA71" s="74"/>
      <c r="AB71" s="74"/>
      <c r="AC71" s="42"/>
      <c r="AD71" s="42"/>
      <c r="AE71" s="42"/>
      <c r="AF71" s="42"/>
      <c r="AG71" s="42"/>
      <c r="AH71" s="42"/>
      <c r="AI71" s="75"/>
      <c r="AJ71" s="75"/>
      <c r="AK71" s="75"/>
      <c r="AL71" s="75"/>
      <c r="AM71" s="74"/>
      <c r="AN71" s="72"/>
    </row>
    <row r="72" spans="1:40" s="69" customFormat="1" x14ac:dyDescent="0.25">
      <c r="A72" s="88"/>
      <c r="B72" s="88"/>
      <c r="C72" s="70"/>
      <c r="D72" s="70"/>
      <c r="E72" s="70" t="s">
        <v>8506</v>
      </c>
      <c r="F72" s="70">
        <v>0</v>
      </c>
      <c r="G72" s="70" t="s">
        <v>8659</v>
      </c>
      <c r="H72" s="422" t="s">
        <v>8502</v>
      </c>
      <c r="I72" s="422" t="s">
        <v>8503</v>
      </c>
      <c r="J72" s="418" t="s">
        <v>8485</v>
      </c>
      <c r="K72" s="414">
        <v>2</v>
      </c>
      <c r="L72" s="408">
        <v>36.299999999999997</v>
      </c>
      <c r="M72" s="408">
        <f t="shared" si="4"/>
        <v>72.599999999999994</v>
      </c>
      <c r="N72" s="408"/>
      <c r="O72" s="408"/>
      <c r="P72" s="411">
        <v>1</v>
      </c>
      <c r="Q72" s="411">
        <v>1</v>
      </c>
      <c r="R72" s="411"/>
      <c r="S72" s="427">
        <f t="shared" si="5"/>
        <v>6.7972181963216367E-4</v>
      </c>
      <c r="T72" s="427">
        <f t="shared" si="6"/>
        <v>6.7972181963216367E-4</v>
      </c>
      <c r="U72" s="42"/>
      <c r="V72" s="416"/>
      <c r="W72" s="42"/>
      <c r="X72" s="74"/>
      <c r="Y72" s="74"/>
      <c r="Z72" s="74"/>
      <c r="AA72" s="74"/>
      <c r="AB72" s="74"/>
      <c r="AC72" s="42"/>
      <c r="AD72" s="42"/>
      <c r="AE72" s="42"/>
      <c r="AF72" s="42"/>
      <c r="AG72" s="42"/>
      <c r="AH72" s="42"/>
      <c r="AI72" s="75"/>
      <c r="AJ72" s="75"/>
      <c r="AK72" s="75"/>
      <c r="AL72" s="75"/>
      <c r="AM72" s="74"/>
      <c r="AN72" s="72"/>
    </row>
    <row r="73" spans="1:40" s="69" customFormat="1" x14ac:dyDescent="0.25">
      <c r="A73" s="88"/>
      <c r="B73" s="88"/>
      <c r="C73" s="70"/>
      <c r="D73" s="70"/>
      <c r="E73" s="70" t="s">
        <v>8506</v>
      </c>
      <c r="F73" s="70">
        <v>0</v>
      </c>
      <c r="G73" s="70" t="s">
        <v>8659</v>
      </c>
      <c r="H73" s="422" t="s">
        <v>8502</v>
      </c>
      <c r="I73" s="422" t="s">
        <v>8503</v>
      </c>
      <c r="J73" s="418" t="s">
        <v>8486</v>
      </c>
      <c r="K73" s="414">
        <v>1</v>
      </c>
      <c r="L73" s="408">
        <v>25.6</v>
      </c>
      <c r="M73" s="408">
        <f t="shared" si="4"/>
        <v>25.6</v>
      </c>
      <c r="N73" s="408"/>
      <c r="O73" s="408"/>
      <c r="P73" s="411">
        <v>1</v>
      </c>
      <c r="Q73" s="411">
        <v>1</v>
      </c>
      <c r="R73" s="411"/>
      <c r="S73" s="427">
        <f t="shared" si="5"/>
        <v>2.3968152317607977E-4</v>
      </c>
      <c r="T73" s="427">
        <f t="shared" si="6"/>
        <v>2.3968152317607977E-4</v>
      </c>
      <c r="U73" s="42"/>
      <c r="V73" s="416"/>
      <c r="W73" s="42"/>
      <c r="X73" s="74"/>
      <c r="Y73" s="74"/>
      <c r="Z73" s="74"/>
      <c r="AA73" s="74"/>
      <c r="AB73" s="74"/>
      <c r="AC73" s="42"/>
      <c r="AD73" s="42"/>
      <c r="AE73" s="42"/>
      <c r="AF73" s="42"/>
      <c r="AG73" s="42"/>
      <c r="AH73" s="42"/>
      <c r="AI73" s="75"/>
      <c r="AJ73" s="75"/>
      <c r="AK73" s="75"/>
      <c r="AL73" s="75"/>
      <c r="AM73" s="74"/>
      <c r="AN73" s="72"/>
    </row>
    <row r="74" spans="1:40" s="69" customFormat="1" x14ac:dyDescent="0.25">
      <c r="A74" s="88"/>
      <c r="B74" s="88"/>
      <c r="C74" s="70"/>
      <c r="D74" s="70"/>
      <c r="E74" s="70" t="s">
        <v>8506</v>
      </c>
      <c r="F74" s="70">
        <v>0</v>
      </c>
      <c r="G74" s="70" t="s">
        <v>8659</v>
      </c>
      <c r="H74" s="422" t="s">
        <v>8502</v>
      </c>
      <c r="I74" s="422" t="s">
        <v>8503</v>
      </c>
      <c r="J74" s="418" t="s">
        <v>8487</v>
      </c>
      <c r="K74" s="414">
        <v>2</v>
      </c>
      <c r="L74" s="408">
        <v>8.1</v>
      </c>
      <c r="M74" s="408">
        <f t="shared" si="4"/>
        <v>16.2</v>
      </c>
      <c r="N74" s="408"/>
      <c r="O74" s="408"/>
      <c r="P74" s="411">
        <v>1</v>
      </c>
      <c r="Q74" s="411">
        <v>1</v>
      </c>
      <c r="R74" s="411"/>
      <c r="S74" s="427">
        <f t="shared" si="5"/>
        <v>1.5167346388486296E-4</v>
      </c>
      <c r="T74" s="427">
        <f t="shared" si="6"/>
        <v>1.5167346388486296E-4</v>
      </c>
      <c r="U74" s="42"/>
      <c r="V74" s="416"/>
      <c r="W74" s="42"/>
      <c r="X74" s="74"/>
      <c r="Y74" s="74"/>
      <c r="Z74" s="74"/>
      <c r="AA74" s="74"/>
      <c r="AB74" s="74"/>
      <c r="AC74" s="42"/>
      <c r="AD74" s="42"/>
      <c r="AE74" s="42"/>
      <c r="AF74" s="42"/>
      <c r="AG74" s="42"/>
      <c r="AH74" s="42"/>
      <c r="AI74" s="75"/>
      <c r="AJ74" s="75"/>
      <c r="AK74" s="75"/>
      <c r="AL74" s="75"/>
      <c r="AM74" s="74"/>
      <c r="AN74" s="72"/>
    </row>
    <row r="75" spans="1:40" s="69" customFormat="1" x14ac:dyDescent="0.25">
      <c r="A75" s="88"/>
      <c r="B75" s="88"/>
      <c r="C75" s="70"/>
      <c r="D75" s="70"/>
      <c r="E75" s="70" t="s">
        <v>8506</v>
      </c>
      <c r="F75" s="70">
        <v>0</v>
      </c>
      <c r="G75" s="70" t="s">
        <v>8659</v>
      </c>
      <c r="H75" s="422" t="s">
        <v>8502</v>
      </c>
      <c r="I75" s="422" t="s">
        <v>8503</v>
      </c>
      <c r="J75" s="418" t="s">
        <v>8488</v>
      </c>
      <c r="K75" s="414">
        <v>2</v>
      </c>
      <c r="L75" s="408">
        <v>34.5</v>
      </c>
      <c r="M75" s="408">
        <f t="shared" si="4"/>
        <v>69</v>
      </c>
      <c r="N75" s="408"/>
      <c r="O75" s="408"/>
      <c r="P75" s="411">
        <v>1</v>
      </c>
      <c r="Q75" s="411">
        <v>1</v>
      </c>
      <c r="R75" s="411"/>
      <c r="S75" s="427">
        <f t="shared" si="5"/>
        <v>6.4601660543552747E-4</v>
      </c>
      <c r="T75" s="427">
        <f t="shared" si="6"/>
        <v>6.4601660543552747E-4</v>
      </c>
      <c r="U75" s="42"/>
      <c r="V75" s="416"/>
      <c r="W75" s="42"/>
      <c r="X75" s="74"/>
      <c r="Y75" s="74"/>
      <c r="Z75" s="74"/>
      <c r="AA75" s="74"/>
      <c r="AB75" s="74"/>
      <c r="AC75" s="42"/>
      <c r="AD75" s="42"/>
      <c r="AE75" s="42"/>
      <c r="AF75" s="42"/>
      <c r="AG75" s="42"/>
      <c r="AH75" s="42"/>
      <c r="AI75" s="75"/>
      <c r="AJ75" s="75"/>
      <c r="AK75" s="75"/>
      <c r="AL75" s="75"/>
      <c r="AM75" s="74"/>
      <c r="AN75" s="72"/>
    </row>
    <row r="76" spans="1:40" s="69" customFormat="1" x14ac:dyDescent="0.25">
      <c r="A76" s="88"/>
      <c r="B76" s="88"/>
      <c r="C76" s="70"/>
      <c r="D76" s="70"/>
      <c r="E76" s="70" t="s">
        <v>8506</v>
      </c>
      <c r="F76" s="70">
        <v>0</v>
      </c>
      <c r="G76" s="70" t="s">
        <v>8659</v>
      </c>
      <c r="H76" s="422" t="s">
        <v>8502</v>
      </c>
      <c r="I76" s="422" t="s">
        <v>8503</v>
      </c>
      <c r="J76" s="418" t="s">
        <v>8489</v>
      </c>
      <c r="K76" s="414">
        <v>1</v>
      </c>
      <c r="L76" s="408">
        <v>51.6</v>
      </c>
      <c r="M76" s="408">
        <f t="shared" si="4"/>
        <v>51.6</v>
      </c>
      <c r="N76" s="408"/>
      <c r="O76" s="408"/>
      <c r="P76" s="411">
        <v>1</v>
      </c>
      <c r="Q76" s="411">
        <v>1</v>
      </c>
      <c r="R76" s="411"/>
      <c r="S76" s="427">
        <f t="shared" si="5"/>
        <v>4.831080701517858E-4</v>
      </c>
      <c r="T76" s="427">
        <f t="shared" si="6"/>
        <v>4.831080701517858E-4</v>
      </c>
      <c r="U76" s="42"/>
      <c r="V76" s="416"/>
      <c r="W76" s="42"/>
      <c r="X76" s="74"/>
      <c r="Y76" s="74"/>
      <c r="Z76" s="74"/>
      <c r="AA76" s="74"/>
      <c r="AB76" s="74"/>
      <c r="AC76" s="42"/>
      <c r="AD76" s="42"/>
      <c r="AE76" s="42"/>
      <c r="AF76" s="42"/>
      <c r="AG76" s="42"/>
      <c r="AH76" s="42"/>
      <c r="AI76" s="75"/>
      <c r="AJ76" s="75"/>
      <c r="AK76" s="75"/>
      <c r="AL76" s="75"/>
      <c r="AM76" s="74"/>
      <c r="AN76" s="72"/>
    </row>
    <row r="77" spans="1:40" s="69" customFormat="1" x14ac:dyDescent="0.25">
      <c r="A77" s="88"/>
      <c r="B77" s="88"/>
      <c r="C77" s="70"/>
      <c r="D77" s="70"/>
      <c r="E77" s="70" t="s">
        <v>8506</v>
      </c>
      <c r="F77" s="70">
        <v>0</v>
      </c>
      <c r="G77" s="70" t="s">
        <v>8659</v>
      </c>
      <c r="H77" s="422" t="s">
        <v>8502</v>
      </c>
      <c r="I77" s="422" t="s">
        <v>8503</v>
      </c>
      <c r="J77" s="418" t="s">
        <v>8490</v>
      </c>
      <c r="K77" s="414">
        <v>1</v>
      </c>
      <c r="L77" s="408">
        <v>15</v>
      </c>
      <c r="M77" s="408">
        <f t="shared" si="4"/>
        <v>15</v>
      </c>
      <c r="N77" s="408"/>
      <c r="O77" s="408"/>
      <c r="P77" s="411">
        <v>1</v>
      </c>
      <c r="Q77" s="411">
        <v>1</v>
      </c>
      <c r="R77" s="411"/>
      <c r="S77" s="427">
        <f t="shared" si="5"/>
        <v>1.4043839248598422E-4</v>
      </c>
      <c r="T77" s="427">
        <f t="shared" si="6"/>
        <v>1.4043839248598422E-4</v>
      </c>
      <c r="U77" s="42"/>
      <c r="V77" s="416"/>
      <c r="W77" s="42"/>
      <c r="X77" s="74"/>
      <c r="Y77" s="74"/>
      <c r="Z77" s="74"/>
      <c r="AA77" s="74"/>
      <c r="AB77" s="74"/>
      <c r="AC77" s="42"/>
      <c r="AD77" s="42"/>
      <c r="AE77" s="42"/>
      <c r="AF77" s="42"/>
      <c r="AG77" s="42"/>
      <c r="AH77" s="42"/>
      <c r="AI77" s="75"/>
      <c r="AJ77" s="75"/>
      <c r="AK77" s="75"/>
      <c r="AL77" s="75"/>
      <c r="AM77" s="74"/>
      <c r="AN77" s="72"/>
    </row>
    <row r="78" spans="1:40" s="69" customFormat="1" x14ac:dyDescent="0.25">
      <c r="A78" s="88"/>
      <c r="B78" s="88"/>
      <c r="C78" s="70"/>
      <c r="D78" s="70"/>
      <c r="E78" s="70" t="s">
        <v>8506</v>
      </c>
      <c r="F78" s="70">
        <v>0</v>
      </c>
      <c r="G78" s="70" t="s">
        <v>8659</v>
      </c>
      <c r="H78" s="422" t="s">
        <v>8502</v>
      </c>
      <c r="I78" s="422" t="s">
        <v>8503</v>
      </c>
      <c r="J78" s="418" t="s">
        <v>8491</v>
      </c>
      <c r="K78" s="414">
        <v>1</v>
      </c>
      <c r="L78" s="408">
        <v>10.8</v>
      </c>
      <c r="M78" s="408">
        <f t="shared" si="4"/>
        <v>10.8</v>
      </c>
      <c r="N78" s="408"/>
      <c r="O78" s="408"/>
      <c r="P78" s="411">
        <v>1</v>
      </c>
      <c r="Q78" s="411">
        <v>1</v>
      </c>
      <c r="R78" s="411"/>
      <c r="S78" s="427">
        <f t="shared" si="5"/>
        <v>1.0111564258990866E-4</v>
      </c>
      <c r="T78" s="427">
        <f t="shared" si="6"/>
        <v>1.0111564258990866E-4</v>
      </c>
      <c r="U78" s="42"/>
      <c r="V78" s="416"/>
      <c r="W78" s="42"/>
      <c r="X78" s="74"/>
      <c r="Y78" s="74"/>
      <c r="Z78" s="74"/>
      <c r="AA78" s="74"/>
      <c r="AB78" s="74"/>
      <c r="AC78" s="42"/>
      <c r="AD78" s="42"/>
      <c r="AE78" s="42"/>
      <c r="AF78" s="42"/>
      <c r="AG78" s="42"/>
      <c r="AH78" s="42"/>
      <c r="AI78" s="75"/>
      <c r="AJ78" s="75"/>
      <c r="AK78" s="75"/>
      <c r="AL78" s="75"/>
      <c r="AM78" s="74"/>
      <c r="AN78" s="72"/>
    </row>
    <row r="79" spans="1:40" s="69" customFormat="1" x14ac:dyDescent="0.25">
      <c r="A79" s="88"/>
      <c r="B79" s="88"/>
      <c r="C79" s="70"/>
      <c r="D79" s="70"/>
      <c r="E79" s="70" t="s">
        <v>8506</v>
      </c>
      <c r="F79" s="70">
        <v>0</v>
      </c>
      <c r="G79" s="70" t="s">
        <v>8659</v>
      </c>
      <c r="H79" s="422" t="s">
        <v>8502</v>
      </c>
      <c r="I79" s="422" t="s">
        <v>8503</v>
      </c>
      <c r="J79" s="418" t="s">
        <v>8492</v>
      </c>
      <c r="K79" s="414">
        <v>4</v>
      </c>
      <c r="L79" s="408">
        <v>2.5</v>
      </c>
      <c r="M79" s="408">
        <f t="shared" si="4"/>
        <v>10</v>
      </c>
      <c r="N79" s="408"/>
      <c r="O79" s="408"/>
      <c r="P79" s="411">
        <v>1</v>
      </c>
      <c r="Q79" s="411">
        <v>1</v>
      </c>
      <c r="R79" s="411"/>
      <c r="S79" s="427">
        <f t="shared" si="5"/>
        <v>9.3625594990656163E-5</v>
      </c>
      <c r="T79" s="427">
        <f t="shared" si="6"/>
        <v>9.3625594990656163E-5</v>
      </c>
      <c r="U79" s="42"/>
      <c r="V79" s="416"/>
      <c r="W79" s="42"/>
      <c r="X79" s="74"/>
      <c r="Y79" s="74"/>
      <c r="Z79" s="74"/>
      <c r="AA79" s="74"/>
      <c r="AB79" s="74"/>
      <c r="AC79" s="42"/>
      <c r="AD79" s="42"/>
      <c r="AE79" s="42"/>
      <c r="AF79" s="42"/>
      <c r="AG79" s="42"/>
      <c r="AH79" s="42"/>
      <c r="AI79" s="75"/>
      <c r="AJ79" s="75"/>
      <c r="AK79" s="75"/>
      <c r="AL79" s="75"/>
      <c r="AM79" s="74"/>
      <c r="AN79" s="72"/>
    </row>
    <row r="80" spans="1:40" s="69" customFormat="1" x14ac:dyDescent="0.25">
      <c r="A80" s="88"/>
      <c r="B80" s="88"/>
      <c r="C80" s="70"/>
      <c r="D80" s="70"/>
      <c r="E80" s="70" t="s">
        <v>8506</v>
      </c>
      <c r="F80" s="70">
        <v>0</v>
      </c>
      <c r="G80" s="70" t="s">
        <v>8659</v>
      </c>
      <c r="H80" s="422" t="s">
        <v>8502</v>
      </c>
      <c r="I80" s="422" t="s">
        <v>8503</v>
      </c>
      <c r="J80" s="418" t="s">
        <v>8493</v>
      </c>
      <c r="K80" s="414">
        <v>8</v>
      </c>
      <c r="L80" s="408">
        <v>1</v>
      </c>
      <c r="M80" s="408">
        <f t="shared" si="4"/>
        <v>8</v>
      </c>
      <c r="N80" s="408"/>
      <c r="O80" s="408"/>
      <c r="P80" s="411">
        <v>1</v>
      </c>
      <c r="Q80" s="411">
        <v>1</v>
      </c>
      <c r="R80" s="411"/>
      <c r="S80" s="427">
        <f t="shared" si="5"/>
        <v>7.4900475992524927E-5</v>
      </c>
      <c r="T80" s="427">
        <f t="shared" si="6"/>
        <v>7.4900475992524927E-5</v>
      </c>
      <c r="U80" s="42"/>
      <c r="V80" s="416"/>
      <c r="W80" s="42"/>
      <c r="X80" s="74"/>
      <c r="Y80" s="74"/>
      <c r="Z80" s="74"/>
      <c r="AA80" s="74"/>
      <c r="AB80" s="74"/>
      <c r="AC80" s="42"/>
      <c r="AD80" s="42"/>
      <c r="AE80" s="42"/>
      <c r="AF80" s="42"/>
      <c r="AG80" s="42"/>
      <c r="AH80" s="42"/>
      <c r="AI80" s="75"/>
      <c r="AJ80" s="75"/>
      <c r="AK80" s="75"/>
      <c r="AL80" s="75"/>
      <c r="AM80" s="74"/>
      <c r="AN80" s="72"/>
    </row>
    <row r="81" spans="1:40" s="69" customFormat="1" x14ac:dyDescent="0.25">
      <c r="A81" s="88"/>
      <c r="B81" s="88"/>
      <c r="C81" s="70"/>
      <c r="D81" s="70"/>
      <c r="E81" s="70" t="s">
        <v>8506</v>
      </c>
      <c r="F81" s="70">
        <v>0</v>
      </c>
      <c r="G81" s="70" t="s">
        <v>8659</v>
      </c>
      <c r="H81" s="422" t="s">
        <v>8502</v>
      </c>
      <c r="I81" s="422" t="s">
        <v>8503</v>
      </c>
      <c r="J81" s="418" t="s">
        <v>8494</v>
      </c>
      <c r="K81" s="414">
        <v>2</v>
      </c>
      <c r="L81" s="408">
        <v>63.4</v>
      </c>
      <c r="M81" s="408">
        <f t="shared" si="4"/>
        <v>126.8</v>
      </c>
      <c r="N81" s="408"/>
      <c r="O81" s="408"/>
      <c r="P81" s="411">
        <v>1</v>
      </c>
      <c r="Q81" s="411">
        <v>1</v>
      </c>
      <c r="R81" s="411"/>
      <c r="S81" s="427">
        <f t="shared" si="5"/>
        <v>1.18717254448152E-3</v>
      </c>
      <c r="T81" s="427">
        <f t="shared" si="6"/>
        <v>1.18717254448152E-3</v>
      </c>
      <c r="U81" s="42"/>
      <c r="V81" s="416"/>
      <c r="W81" s="42"/>
      <c r="X81" s="74"/>
      <c r="Y81" s="74"/>
      <c r="Z81" s="74"/>
      <c r="AA81" s="74"/>
      <c r="AB81" s="74"/>
      <c r="AC81" s="42"/>
      <c r="AD81" s="42"/>
      <c r="AE81" s="42"/>
      <c r="AF81" s="42"/>
      <c r="AG81" s="42"/>
      <c r="AH81" s="42"/>
      <c r="AI81" s="75"/>
      <c r="AJ81" s="75"/>
      <c r="AK81" s="75"/>
      <c r="AL81" s="75"/>
      <c r="AM81" s="74"/>
      <c r="AN81" s="72"/>
    </row>
    <row r="82" spans="1:40" s="69" customFormat="1" x14ac:dyDescent="0.25">
      <c r="A82" s="88"/>
      <c r="B82" s="88"/>
      <c r="C82" s="70"/>
      <c r="D82" s="70"/>
      <c r="E82" s="70" t="s">
        <v>8506</v>
      </c>
      <c r="F82" s="70">
        <v>0</v>
      </c>
      <c r="G82" s="70" t="s">
        <v>8659</v>
      </c>
      <c r="H82" s="422" t="s">
        <v>8502</v>
      </c>
      <c r="I82" s="422" t="s">
        <v>8503</v>
      </c>
      <c r="J82" s="418" t="s">
        <v>8494</v>
      </c>
      <c r="K82" s="414">
        <v>2</v>
      </c>
      <c r="L82" s="408">
        <v>63.4</v>
      </c>
      <c r="M82" s="408">
        <f t="shared" si="4"/>
        <v>126.8</v>
      </c>
      <c r="N82" s="408"/>
      <c r="O82" s="408"/>
      <c r="P82" s="411">
        <v>1</v>
      </c>
      <c r="Q82" s="411">
        <v>1</v>
      </c>
      <c r="R82" s="411"/>
      <c r="S82" s="427">
        <f t="shared" si="5"/>
        <v>1.18717254448152E-3</v>
      </c>
      <c r="T82" s="427">
        <f t="shared" si="6"/>
        <v>1.18717254448152E-3</v>
      </c>
      <c r="U82" s="42"/>
      <c r="V82" s="416"/>
      <c r="W82" s="42"/>
      <c r="X82" s="74"/>
      <c r="Y82" s="74"/>
      <c r="Z82" s="74"/>
      <c r="AA82" s="74"/>
      <c r="AB82" s="74"/>
      <c r="AC82" s="42"/>
      <c r="AD82" s="42"/>
      <c r="AE82" s="42"/>
      <c r="AF82" s="42"/>
      <c r="AG82" s="42"/>
      <c r="AH82" s="42"/>
      <c r="AI82" s="75"/>
      <c r="AJ82" s="75"/>
      <c r="AK82" s="75"/>
      <c r="AL82" s="75"/>
      <c r="AM82" s="74"/>
      <c r="AN82" s="72"/>
    </row>
    <row r="83" spans="1:40" s="69" customFormat="1" x14ac:dyDescent="0.25">
      <c r="A83" s="88"/>
      <c r="B83" s="88"/>
      <c r="C83" s="70"/>
      <c r="D83" s="70"/>
      <c r="E83" s="70" t="s">
        <v>8506</v>
      </c>
      <c r="F83" s="70">
        <v>0</v>
      </c>
      <c r="G83" s="70" t="s">
        <v>8659</v>
      </c>
      <c r="H83" s="422" t="s">
        <v>8502</v>
      </c>
      <c r="I83" s="422" t="s">
        <v>8503</v>
      </c>
      <c r="J83" s="418" t="s">
        <v>8495</v>
      </c>
      <c r="K83" s="414">
        <v>2</v>
      </c>
      <c r="L83" s="408">
        <v>27</v>
      </c>
      <c r="M83" s="408">
        <f t="shared" si="4"/>
        <v>54</v>
      </c>
      <c r="N83" s="408"/>
      <c r="O83" s="408"/>
      <c r="P83" s="411">
        <v>1</v>
      </c>
      <c r="Q83" s="411">
        <v>1</v>
      </c>
      <c r="R83" s="411"/>
      <c r="S83" s="427">
        <f t="shared" si="5"/>
        <v>5.0557821294954322E-4</v>
      </c>
      <c r="T83" s="427">
        <f t="shared" si="6"/>
        <v>5.0557821294954322E-4</v>
      </c>
      <c r="U83" s="42"/>
      <c r="V83" s="416"/>
      <c r="W83" s="42"/>
      <c r="X83" s="74"/>
      <c r="Y83" s="74"/>
      <c r="Z83" s="74"/>
      <c r="AA83" s="74"/>
      <c r="AB83" s="74"/>
      <c r="AC83" s="42"/>
      <c r="AD83" s="42"/>
      <c r="AE83" s="42"/>
      <c r="AF83" s="42"/>
      <c r="AG83" s="42"/>
      <c r="AH83" s="42"/>
      <c r="AI83" s="75"/>
      <c r="AJ83" s="75"/>
      <c r="AK83" s="75"/>
      <c r="AL83" s="75"/>
      <c r="AM83" s="74"/>
      <c r="AN83" s="72"/>
    </row>
    <row r="84" spans="1:40" s="69" customFormat="1" x14ac:dyDescent="0.25">
      <c r="A84" s="88"/>
      <c r="B84" s="88"/>
      <c r="C84" s="70"/>
      <c r="D84" s="70"/>
      <c r="E84" s="70" t="s">
        <v>8506</v>
      </c>
      <c r="F84" s="70">
        <v>0</v>
      </c>
      <c r="G84" s="70" t="s">
        <v>8659</v>
      </c>
      <c r="H84" s="422" t="s">
        <v>8502</v>
      </c>
      <c r="I84" s="422" t="s">
        <v>8503</v>
      </c>
      <c r="J84" s="418" t="s">
        <v>8496</v>
      </c>
      <c r="K84" s="414">
        <v>1</v>
      </c>
      <c r="L84" s="408">
        <v>135</v>
      </c>
      <c r="M84" s="408">
        <f t="shared" si="4"/>
        <v>135</v>
      </c>
      <c r="N84" s="408"/>
      <c r="O84" s="408"/>
      <c r="P84" s="411">
        <v>1</v>
      </c>
      <c r="Q84" s="411">
        <v>1</v>
      </c>
      <c r="R84" s="411"/>
      <c r="S84" s="427">
        <f t="shared" si="5"/>
        <v>1.2639455323738581E-3</v>
      </c>
      <c r="T84" s="427">
        <f t="shared" si="6"/>
        <v>1.2639455323738581E-3</v>
      </c>
      <c r="U84" s="42"/>
      <c r="V84" s="416"/>
      <c r="W84" s="42"/>
      <c r="X84" s="74"/>
      <c r="Y84" s="74"/>
      <c r="Z84" s="74"/>
      <c r="AA84" s="74"/>
      <c r="AB84" s="74"/>
      <c r="AC84" s="42"/>
      <c r="AD84" s="42"/>
      <c r="AE84" s="42"/>
      <c r="AF84" s="42"/>
      <c r="AG84" s="42"/>
      <c r="AH84" s="42"/>
      <c r="AI84" s="75"/>
      <c r="AJ84" s="75"/>
      <c r="AK84" s="75"/>
      <c r="AL84" s="75"/>
      <c r="AM84" s="74"/>
      <c r="AN84" s="72"/>
    </row>
    <row r="85" spans="1:40" s="69" customFormat="1" x14ac:dyDescent="0.25">
      <c r="A85" s="88"/>
      <c r="B85" s="88"/>
      <c r="C85" s="70"/>
      <c r="D85" s="70"/>
      <c r="E85" s="70" t="s">
        <v>8506</v>
      </c>
      <c r="F85" s="70">
        <v>0</v>
      </c>
      <c r="G85" s="70" t="s">
        <v>8659</v>
      </c>
      <c r="H85" s="422" t="s">
        <v>8502</v>
      </c>
      <c r="I85" s="422" t="s">
        <v>8503</v>
      </c>
      <c r="J85" s="418" t="s">
        <v>8497</v>
      </c>
      <c r="K85" s="414">
        <v>1</v>
      </c>
      <c r="L85" s="408">
        <v>66.400000000000006</v>
      </c>
      <c r="M85" s="408">
        <f t="shared" si="4"/>
        <v>66.400000000000006</v>
      </c>
      <c r="N85" s="408"/>
      <c r="O85" s="408"/>
      <c r="P85" s="411">
        <v>1</v>
      </c>
      <c r="Q85" s="411">
        <v>1</v>
      </c>
      <c r="R85" s="411"/>
      <c r="S85" s="427">
        <f t="shared" si="5"/>
        <v>6.2167395073795689E-4</v>
      </c>
      <c r="T85" s="427">
        <f t="shared" si="6"/>
        <v>6.2167395073795689E-4</v>
      </c>
      <c r="U85" s="42"/>
      <c r="V85" s="416"/>
      <c r="W85" s="42"/>
      <c r="X85" s="74"/>
      <c r="Y85" s="74"/>
      <c r="Z85" s="74"/>
      <c r="AA85" s="74"/>
      <c r="AB85" s="74"/>
      <c r="AC85" s="42"/>
      <c r="AD85" s="42"/>
      <c r="AE85" s="42"/>
      <c r="AF85" s="42"/>
      <c r="AG85" s="42"/>
      <c r="AH85" s="42"/>
      <c r="AI85" s="75"/>
      <c r="AJ85" s="75"/>
      <c r="AK85" s="75"/>
      <c r="AL85" s="75"/>
      <c r="AM85" s="74"/>
      <c r="AN85" s="72"/>
    </row>
    <row r="86" spans="1:40" s="69" customFormat="1" x14ac:dyDescent="0.25">
      <c r="A86" s="88"/>
      <c r="B86" s="88"/>
      <c r="C86" s="70"/>
      <c r="D86" s="70"/>
      <c r="E86" s="70" t="s">
        <v>8506</v>
      </c>
      <c r="F86" s="70">
        <v>0</v>
      </c>
      <c r="G86" s="70" t="s">
        <v>8659</v>
      </c>
      <c r="H86" s="422" t="s">
        <v>8502</v>
      </c>
      <c r="I86" s="422" t="s">
        <v>8503</v>
      </c>
      <c r="J86" s="418" t="s">
        <v>8498</v>
      </c>
      <c r="K86" s="414">
        <v>1</v>
      </c>
      <c r="L86" s="408">
        <v>100</v>
      </c>
      <c r="M86" s="408">
        <f t="shared" si="4"/>
        <v>100</v>
      </c>
      <c r="N86" s="408"/>
      <c r="O86" s="408"/>
      <c r="P86" s="411">
        <v>1</v>
      </c>
      <c r="Q86" s="411">
        <v>1</v>
      </c>
      <c r="R86" s="411"/>
      <c r="S86" s="427">
        <f t="shared" si="5"/>
        <v>9.362559499065616E-4</v>
      </c>
      <c r="T86" s="427">
        <f t="shared" si="6"/>
        <v>9.362559499065616E-4</v>
      </c>
      <c r="U86" s="42"/>
      <c r="V86" s="416"/>
      <c r="W86" s="42"/>
      <c r="X86" s="74"/>
      <c r="Y86" s="74"/>
      <c r="Z86" s="74"/>
      <c r="AA86" s="74"/>
      <c r="AB86" s="74"/>
      <c r="AC86" s="42"/>
      <c r="AD86" s="42"/>
      <c r="AE86" s="42"/>
      <c r="AF86" s="42"/>
      <c r="AG86" s="42"/>
      <c r="AH86" s="42"/>
      <c r="AI86" s="75"/>
      <c r="AJ86" s="75"/>
      <c r="AK86" s="75"/>
      <c r="AL86" s="75"/>
      <c r="AM86" s="74"/>
      <c r="AN86" s="72"/>
    </row>
    <row r="87" spans="1:40" s="69" customFormat="1" x14ac:dyDescent="0.25">
      <c r="A87" s="88"/>
      <c r="B87" s="88"/>
      <c r="C87" s="70"/>
      <c r="D87" s="70"/>
      <c r="E87" s="70" t="s">
        <v>8506</v>
      </c>
      <c r="F87" s="70">
        <v>0</v>
      </c>
      <c r="G87" s="70" t="s">
        <v>8659</v>
      </c>
      <c r="H87" s="422" t="s">
        <v>8502</v>
      </c>
      <c r="I87" s="422" t="s">
        <v>8503</v>
      </c>
      <c r="J87" s="418" t="s">
        <v>8499</v>
      </c>
      <c r="K87" s="414">
        <v>2</v>
      </c>
      <c r="L87" s="408">
        <v>1.4</v>
      </c>
      <c r="M87" s="408">
        <f t="shared" si="4"/>
        <v>2.8</v>
      </c>
      <c r="N87" s="408"/>
      <c r="O87" s="408"/>
      <c r="P87" s="411">
        <v>1</v>
      </c>
      <c r="Q87" s="411">
        <v>1</v>
      </c>
      <c r="R87" s="411"/>
      <c r="S87" s="427">
        <f t="shared" si="5"/>
        <v>2.6215166597383721E-5</v>
      </c>
      <c r="T87" s="427">
        <f t="shared" si="6"/>
        <v>2.6215166597383721E-5</v>
      </c>
      <c r="U87" s="42"/>
      <c r="V87" s="416"/>
      <c r="W87" s="42"/>
      <c r="X87" s="74"/>
      <c r="Y87" s="74"/>
      <c r="Z87" s="74"/>
      <c r="AA87" s="74"/>
      <c r="AB87" s="74"/>
      <c r="AC87" s="42"/>
      <c r="AD87" s="42"/>
      <c r="AE87" s="42"/>
      <c r="AF87" s="42"/>
      <c r="AG87" s="42"/>
      <c r="AH87" s="42"/>
      <c r="AI87" s="75"/>
      <c r="AJ87" s="75"/>
      <c r="AK87" s="75"/>
      <c r="AL87" s="75"/>
      <c r="AM87" s="74"/>
      <c r="AN87" s="72"/>
    </row>
    <row r="88" spans="1:40" s="69" customFormat="1" x14ac:dyDescent="0.25">
      <c r="A88" s="88"/>
      <c r="B88" s="88"/>
      <c r="C88" s="70"/>
      <c r="D88" s="70"/>
      <c r="E88" s="70" t="s">
        <v>8506</v>
      </c>
      <c r="F88" s="70">
        <v>0</v>
      </c>
      <c r="G88" s="70" t="s">
        <v>8659</v>
      </c>
      <c r="H88" s="422" t="s">
        <v>8502</v>
      </c>
      <c r="I88" s="422" t="s">
        <v>8503</v>
      </c>
      <c r="J88" s="418" t="s">
        <v>8500</v>
      </c>
      <c r="K88" s="414">
        <v>2</v>
      </c>
      <c r="L88" s="408">
        <v>22.15</v>
      </c>
      <c r="M88" s="408">
        <f t="shared" si="4"/>
        <v>44.3</v>
      </c>
      <c r="N88" s="408"/>
      <c r="O88" s="408"/>
      <c r="P88" s="411">
        <v>1</v>
      </c>
      <c r="Q88" s="411">
        <v>1</v>
      </c>
      <c r="R88" s="411"/>
      <c r="S88" s="427">
        <f t="shared" si="5"/>
        <v>4.1476138580860678E-4</v>
      </c>
      <c r="T88" s="427">
        <f t="shared" si="6"/>
        <v>4.1476138580860678E-4</v>
      </c>
      <c r="U88" s="42"/>
      <c r="V88" s="416"/>
      <c r="W88" s="42"/>
      <c r="X88" s="74"/>
      <c r="Y88" s="74"/>
      <c r="Z88" s="74"/>
      <c r="AA88" s="74"/>
      <c r="AB88" s="74"/>
      <c r="AC88" s="42"/>
      <c r="AD88" s="42"/>
      <c r="AE88" s="42"/>
      <c r="AF88" s="42"/>
      <c r="AG88" s="42"/>
      <c r="AH88" s="42"/>
      <c r="AI88" s="75"/>
      <c r="AJ88" s="75"/>
      <c r="AK88" s="75"/>
      <c r="AL88" s="75"/>
      <c r="AM88" s="74"/>
      <c r="AN88" s="72"/>
    </row>
    <row r="89" spans="1:40" s="69" customFormat="1" x14ac:dyDescent="0.25">
      <c r="A89" s="88"/>
      <c r="B89" s="88"/>
      <c r="C89" s="70"/>
      <c r="D89" s="70"/>
      <c r="E89" s="70" t="s">
        <v>8506</v>
      </c>
      <c r="F89" s="70">
        <v>0</v>
      </c>
      <c r="G89" s="70" t="s">
        <v>8659</v>
      </c>
      <c r="H89" s="422" t="s">
        <v>8502</v>
      </c>
      <c r="I89" s="422" t="s">
        <v>8503</v>
      </c>
      <c r="J89" s="418" t="s">
        <v>8501</v>
      </c>
      <c r="K89" s="414">
        <v>2</v>
      </c>
      <c r="L89" s="408">
        <v>1</v>
      </c>
      <c r="M89" s="408">
        <f t="shared" si="4"/>
        <v>2</v>
      </c>
      <c r="N89" s="408"/>
      <c r="O89" s="408"/>
      <c r="P89" s="411">
        <v>1</v>
      </c>
      <c r="Q89" s="411">
        <v>1</v>
      </c>
      <c r="R89" s="411"/>
      <c r="S89" s="427">
        <f t="shared" si="5"/>
        <v>1.8725118998131232E-5</v>
      </c>
      <c r="T89" s="427">
        <f t="shared" si="6"/>
        <v>1.8725118998131232E-5</v>
      </c>
      <c r="U89" s="42"/>
      <c r="V89" s="416"/>
      <c r="W89" s="42"/>
      <c r="X89" s="74"/>
      <c r="Y89" s="74"/>
      <c r="Z89" s="74"/>
      <c r="AA89" s="74"/>
      <c r="AB89" s="74"/>
      <c r="AC89" s="42"/>
      <c r="AD89" s="42"/>
      <c r="AE89" s="42"/>
      <c r="AF89" s="42"/>
      <c r="AG89" s="42"/>
      <c r="AH89" s="42"/>
      <c r="AI89" s="75"/>
      <c r="AJ89" s="75"/>
      <c r="AK89" s="75"/>
      <c r="AL89" s="75"/>
      <c r="AM89" s="74"/>
      <c r="AN89" s="72"/>
    </row>
    <row r="90" spans="1:40" s="69" customFormat="1" x14ac:dyDescent="0.25">
      <c r="A90" s="88"/>
      <c r="B90" s="88"/>
      <c r="C90" s="70"/>
      <c r="D90" s="70"/>
      <c r="E90" s="70" t="s">
        <v>8532</v>
      </c>
      <c r="F90" s="70">
        <v>0</v>
      </c>
      <c r="G90" s="70" t="s">
        <v>8658</v>
      </c>
      <c r="H90" s="422" t="s">
        <v>8531</v>
      </c>
      <c r="I90" s="422" t="s">
        <v>8530</v>
      </c>
      <c r="J90" s="418" t="s">
        <v>8507</v>
      </c>
      <c r="K90" s="414">
        <v>4</v>
      </c>
      <c r="L90" s="408">
        <v>17.600000000000001</v>
      </c>
      <c r="M90" s="408">
        <f t="shared" si="4"/>
        <v>70.400000000000006</v>
      </c>
      <c r="N90" s="408"/>
      <c r="O90" s="408"/>
      <c r="P90" s="411"/>
      <c r="Q90" s="411"/>
      <c r="R90" s="411"/>
      <c r="S90" s="427">
        <f t="shared" si="5"/>
        <v>6.5912418873421942E-4</v>
      </c>
      <c r="T90" s="427">
        <f t="shared" si="6"/>
        <v>0</v>
      </c>
      <c r="U90" s="42"/>
      <c r="V90" s="416"/>
      <c r="W90" s="42"/>
      <c r="X90" s="74"/>
      <c r="Y90" s="74"/>
      <c r="Z90" s="74"/>
      <c r="AA90" s="74"/>
      <c r="AB90" s="74"/>
      <c r="AC90" s="42"/>
      <c r="AD90" s="42"/>
      <c r="AE90" s="42"/>
      <c r="AF90" s="42"/>
      <c r="AG90" s="42"/>
      <c r="AH90" s="42"/>
      <c r="AI90" s="75"/>
      <c r="AJ90" s="75"/>
      <c r="AK90" s="75"/>
      <c r="AL90" s="75"/>
      <c r="AM90" s="74"/>
      <c r="AN90" s="72"/>
    </row>
    <row r="91" spans="1:40" s="69" customFormat="1" x14ac:dyDescent="0.25">
      <c r="A91" s="88"/>
      <c r="B91" s="88"/>
      <c r="C91" s="70"/>
      <c r="D91" s="70"/>
      <c r="E91" s="70" t="s">
        <v>8532</v>
      </c>
      <c r="F91" s="70">
        <v>0</v>
      </c>
      <c r="G91" s="70" t="s">
        <v>8658</v>
      </c>
      <c r="H91" s="422" t="s">
        <v>8531</v>
      </c>
      <c r="I91" s="422" t="s">
        <v>8530</v>
      </c>
      <c r="J91" s="418" t="s">
        <v>8508</v>
      </c>
      <c r="K91" s="414">
        <v>2</v>
      </c>
      <c r="L91" s="408">
        <v>265.8</v>
      </c>
      <c r="M91" s="408">
        <f t="shared" si="4"/>
        <v>531.6</v>
      </c>
      <c r="N91" s="408"/>
      <c r="O91" s="408"/>
      <c r="P91" s="411"/>
      <c r="Q91" s="411"/>
      <c r="R91" s="411"/>
      <c r="S91" s="427">
        <f t="shared" si="5"/>
        <v>4.9771366297032818E-3</v>
      </c>
      <c r="T91" s="427">
        <f t="shared" si="6"/>
        <v>0</v>
      </c>
      <c r="U91" s="42"/>
      <c r="V91" s="416"/>
      <c r="W91" s="42"/>
      <c r="X91" s="74"/>
      <c r="Y91" s="74"/>
      <c r="Z91" s="74"/>
      <c r="AA91" s="74"/>
      <c r="AB91" s="74"/>
      <c r="AC91" s="42"/>
      <c r="AD91" s="42"/>
      <c r="AE91" s="42"/>
      <c r="AF91" s="42"/>
      <c r="AG91" s="42"/>
      <c r="AH91" s="42"/>
      <c r="AI91" s="75"/>
      <c r="AJ91" s="75"/>
      <c r="AK91" s="75"/>
      <c r="AL91" s="75"/>
      <c r="AM91" s="74"/>
      <c r="AN91" s="72"/>
    </row>
    <row r="92" spans="1:40" s="69" customFormat="1" x14ac:dyDescent="0.25">
      <c r="A92" s="88"/>
      <c r="B92" s="88"/>
      <c r="C92" s="70"/>
      <c r="D92" s="70"/>
      <c r="E92" s="70" t="s">
        <v>8532</v>
      </c>
      <c r="F92" s="70">
        <v>0</v>
      </c>
      <c r="G92" s="70" t="s">
        <v>8658</v>
      </c>
      <c r="H92" s="422" t="s">
        <v>8531</v>
      </c>
      <c r="I92" s="422" t="s">
        <v>8530</v>
      </c>
      <c r="J92" s="418" t="s">
        <v>8508</v>
      </c>
      <c r="K92" s="414">
        <v>1</v>
      </c>
      <c r="L92" s="408">
        <v>234.9</v>
      </c>
      <c r="M92" s="408">
        <f t="shared" si="4"/>
        <v>234.9</v>
      </c>
      <c r="N92" s="408"/>
      <c r="O92" s="408"/>
      <c r="P92" s="411"/>
      <c r="Q92" s="411"/>
      <c r="R92" s="411"/>
      <c r="S92" s="427">
        <f t="shared" si="5"/>
        <v>2.1992652263305131E-3</v>
      </c>
      <c r="T92" s="427">
        <f t="shared" si="6"/>
        <v>0</v>
      </c>
      <c r="U92" s="42"/>
      <c r="V92" s="416"/>
      <c r="W92" s="42"/>
      <c r="X92" s="74"/>
      <c r="Y92" s="74"/>
      <c r="Z92" s="74"/>
      <c r="AA92" s="74"/>
      <c r="AB92" s="74"/>
      <c r="AC92" s="42"/>
      <c r="AD92" s="42"/>
      <c r="AE92" s="42"/>
      <c r="AF92" s="42"/>
      <c r="AG92" s="42"/>
      <c r="AH92" s="42"/>
      <c r="AI92" s="75"/>
      <c r="AJ92" s="75"/>
      <c r="AK92" s="75"/>
      <c r="AL92" s="75"/>
      <c r="AM92" s="74"/>
      <c r="AN92" s="72"/>
    </row>
    <row r="93" spans="1:40" s="69" customFormat="1" x14ac:dyDescent="0.25">
      <c r="A93" s="88"/>
      <c r="B93" s="88"/>
      <c r="C93" s="70"/>
      <c r="D93" s="70"/>
      <c r="E93" s="70" t="s">
        <v>8532</v>
      </c>
      <c r="F93" s="70">
        <v>0</v>
      </c>
      <c r="G93" s="70" t="s">
        <v>8658</v>
      </c>
      <c r="H93" s="422" t="s">
        <v>8531</v>
      </c>
      <c r="I93" s="422" t="s">
        <v>8530</v>
      </c>
      <c r="J93" s="418" t="s">
        <v>8509</v>
      </c>
      <c r="K93" s="414">
        <v>2</v>
      </c>
      <c r="L93" s="408">
        <v>81.599999999999994</v>
      </c>
      <c r="M93" s="408">
        <f t="shared" si="4"/>
        <v>163.19999999999999</v>
      </c>
      <c r="N93" s="408"/>
      <c r="O93" s="408"/>
      <c r="P93" s="411"/>
      <c r="Q93" s="411"/>
      <c r="R93" s="411"/>
      <c r="S93" s="427">
        <f t="shared" si="5"/>
        <v>1.5279697102475085E-3</v>
      </c>
      <c r="T93" s="427">
        <f t="shared" si="6"/>
        <v>0</v>
      </c>
      <c r="U93" s="42"/>
      <c r="V93" s="416"/>
      <c r="W93" s="42"/>
      <c r="X93" s="74"/>
      <c r="Y93" s="74"/>
      <c r="Z93" s="74"/>
      <c r="AA93" s="74"/>
      <c r="AB93" s="74"/>
      <c r="AC93" s="42"/>
      <c r="AD93" s="42"/>
      <c r="AE93" s="42"/>
      <c r="AF93" s="42"/>
      <c r="AG93" s="42"/>
      <c r="AH93" s="42"/>
      <c r="AI93" s="75"/>
      <c r="AJ93" s="75"/>
      <c r="AK93" s="75"/>
      <c r="AL93" s="75"/>
      <c r="AM93" s="74"/>
      <c r="AN93" s="72"/>
    </row>
    <row r="94" spans="1:40" s="69" customFormat="1" x14ac:dyDescent="0.25">
      <c r="A94" s="88"/>
      <c r="B94" s="88"/>
      <c r="C94" s="70"/>
      <c r="D94" s="70"/>
      <c r="E94" s="70" t="s">
        <v>8532</v>
      </c>
      <c r="F94" s="70">
        <v>0</v>
      </c>
      <c r="G94" s="70" t="s">
        <v>8658</v>
      </c>
      <c r="H94" s="422" t="s">
        <v>8531</v>
      </c>
      <c r="I94" s="422" t="s">
        <v>8530</v>
      </c>
      <c r="J94" s="418" t="s">
        <v>8510</v>
      </c>
      <c r="K94" s="414">
        <v>1</v>
      </c>
      <c r="L94" s="408">
        <v>504.7</v>
      </c>
      <c r="M94" s="408">
        <f t="shared" si="4"/>
        <v>504.7</v>
      </c>
      <c r="N94" s="408"/>
      <c r="O94" s="408"/>
      <c r="P94" s="411"/>
      <c r="Q94" s="411"/>
      <c r="R94" s="411"/>
      <c r="S94" s="427">
        <f t="shared" si="5"/>
        <v>4.7252837791784165E-3</v>
      </c>
      <c r="T94" s="427">
        <f t="shared" si="6"/>
        <v>0</v>
      </c>
      <c r="U94" s="42"/>
      <c r="V94" s="416"/>
      <c r="W94" s="42"/>
      <c r="X94" s="74"/>
      <c r="Y94" s="74"/>
      <c r="Z94" s="74"/>
      <c r="AA94" s="74"/>
      <c r="AB94" s="74"/>
      <c r="AC94" s="42"/>
      <c r="AD94" s="42"/>
      <c r="AE94" s="42"/>
      <c r="AF94" s="42"/>
      <c r="AG94" s="42"/>
      <c r="AH94" s="42"/>
      <c r="AI94" s="75"/>
      <c r="AJ94" s="75"/>
      <c r="AK94" s="75"/>
      <c r="AL94" s="75"/>
      <c r="AM94" s="74"/>
      <c r="AN94" s="72"/>
    </row>
    <row r="95" spans="1:40" s="69" customFormat="1" x14ac:dyDescent="0.25">
      <c r="A95" s="88"/>
      <c r="B95" s="88"/>
      <c r="C95" s="70"/>
      <c r="D95" s="70"/>
      <c r="E95" s="70" t="s">
        <v>8532</v>
      </c>
      <c r="F95" s="70">
        <v>0</v>
      </c>
      <c r="G95" s="70" t="s">
        <v>8658</v>
      </c>
      <c r="H95" s="422" t="s">
        <v>8531</v>
      </c>
      <c r="I95" s="422" t="s">
        <v>8530</v>
      </c>
      <c r="J95" s="418" t="s">
        <v>8511</v>
      </c>
      <c r="K95" s="414">
        <v>2</v>
      </c>
      <c r="L95" s="408">
        <v>67.3</v>
      </c>
      <c r="M95" s="408">
        <f t="shared" si="4"/>
        <v>134.6</v>
      </c>
      <c r="N95" s="408"/>
      <c r="O95" s="408"/>
      <c r="P95" s="411"/>
      <c r="Q95" s="411"/>
      <c r="R95" s="411"/>
      <c r="S95" s="427">
        <f t="shared" si="5"/>
        <v>1.2602005085742319E-3</v>
      </c>
      <c r="T95" s="427">
        <f t="shared" si="6"/>
        <v>0</v>
      </c>
      <c r="U95" s="42"/>
      <c r="V95" s="416"/>
      <c r="W95" s="42"/>
      <c r="X95" s="74"/>
      <c r="Y95" s="74"/>
      <c r="Z95" s="74"/>
      <c r="AA95" s="74"/>
      <c r="AB95" s="74"/>
      <c r="AC95" s="42"/>
      <c r="AD95" s="42"/>
      <c r="AE95" s="42"/>
      <c r="AF95" s="42"/>
      <c r="AG95" s="42"/>
      <c r="AH95" s="42"/>
      <c r="AI95" s="75"/>
      <c r="AJ95" s="75"/>
      <c r="AK95" s="75"/>
      <c r="AL95" s="75"/>
      <c r="AM95" s="74"/>
      <c r="AN95" s="72"/>
    </row>
    <row r="96" spans="1:40" s="69" customFormat="1" x14ac:dyDescent="0.25">
      <c r="A96" s="88"/>
      <c r="B96" s="88"/>
      <c r="C96" s="70"/>
      <c r="D96" s="70"/>
      <c r="E96" s="70" t="s">
        <v>8532</v>
      </c>
      <c r="F96" s="70">
        <v>0</v>
      </c>
      <c r="G96" s="70" t="s">
        <v>8658</v>
      </c>
      <c r="H96" s="422" t="s">
        <v>8531</v>
      </c>
      <c r="I96" s="422" t="s">
        <v>8530</v>
      </c>
      <c r="J96" s="418" t="s">
        <v>8512</v>
      </c>
      <c r="K96" s="414">
        <v>12</v>
      </c>
      <c r="L96" s="408">
        <v>4.7</v>
      </c>
      <c r="M96" s="408">
        <f t="shared" ref="M96:M127" si="7">L96*K96</f>
        <v>56.400000000000006</v>
      </c>
      <c r="N96" s="408"/>
      <c r="O96" s="408"/>
      <c r="P96" s="411"/>
      <c r="Q96" s="411"/>
      <c r="R96" s="411"/>
      <c r="S96" s="427">
        <f t="shared" si="5"/>
        <v>5.280483557473008E-4</v>
      </c>
      <c r="T96" s="427">
        <f t="shared" si="6"/>
        <v>0</v>
      </c>
      <c r="U96" s="42"/>
      <c r="V96" s="416"/>
      <c r="W96" s="42"/>
      <c r="X96" s="74"/>
      <c r="Y96" s="74"/>
      <c r="Z96" s="74"/>
      <c r="AA96" s="74"/>
      <c r="AB96" s="74"/>
      <c r="AC96" s="42"/>
      <c r="AD96" s="42"/>
      <c r="AE96" s="42"/>
      <c r="AF96" s="42"/>
      <c r="AG96" s="42"/>
      <c r="AH96" s="42"/>
      <c r="AI96" s="75"/>
      <c r="AJ96" s="75"/>
      <c r="AK96" s="75"/>
      <c r="AL96" s="75"/>
      <c r="AM96" s="74"/>
      <c r="AN96" s="72"/>
    </row>
    <row r="97" spans="1:40" s="69" customFormat="1" x14ac:dyDescent="0.25">
      <c r="A97" s="88"/>
      <c r="B97" s="88"/>
      <c r="C97" s="70"/>
      <c r="D97" s="70"/>
      <c r="E97" s="70" t="s">
        <v>8532</v>
      </c>
      <c r="F97" s="70">
        <v>0</v>
      </c>
      <c r="G97" s="70" t="s">
        <v>8658</v>
      </c>
      <c r="H97" s="422" t="s">
        <v>8531</v>
      </c>
      <c r="I97" s="422" t="s">
        <v>8530</v>
      </c>
      <c r="J97" s="418" t="s">
        <v>8513</v>
      </c>
      <c r="K97" s="414">
        <v>6</v>
      </c>
      <c r="L97" s="408">
        <v>5.8</v>
      </c>
      <c r="M97" s="408">
        <f t="shared" si="7"/>
        <v>34.799999999999997</v>
      </c>
      <c r="N97" s="408"/>
      <c r="O97" s="408"/>
      <c r="P97" s="411"/>
      <c r="Q97" s="411"/>
      <c r="R97" s="411"/>
      <c r="S97" s="427">
        <f t="shared" si="5"/>
        <v>3.2581707056748339E-4</v>
      </c>
      <c r="T97" s="427">
        <f t="shared" si="6"/>
        <v>0</v>
      </c>
      <c r="U97" s="42"/>
      <c r="V97" s="416"/>
      <c r="W97" s="42"/>
      <c r="X97" s="74"/>
      <c r="Y97" s="74"/>
      <c r="Z97" s="74"/>
      <c r="AA97" s="74"/>
      <c r="AB97" s="74"/>
      <c r="AC97" s="42"/>
      <c r="AD97" s="42"/>
      <c r="AE97" s="42"/>
      <c r="AF97" s="42"/>
      <c r="AG97" s="42"/>
      <c r="AH97" s="42"/>
      <c r="AI97" s="75"/>
      <c r="AJ97" s="75"/>
      <c r="AK97" s="75"/>
      <c r="AL97" s="75"/>
      <c r="AM97" s="74"/>
      <c r="AN97" s="72"/>
    </row>
    <row r="98" spans="1:40" s="69" customFormat="1" x14ac:dyDescent="0.25">
      <c r="A98" s="88"/>
      <c r="B98" s="88"/>
      <c r="C98" s="70"/>
      <c r="D98" s="70"/>
      <c r="E98" s="70" t="s">
        <v>8532</v>
      </c>
      <c r="F98" s="70">
        <v>0</v>
      </c>
      <c r="G98" s="70" t="s">
        <v>8658</v>
      </c>
      <c r="H98" s="422" t="s">
        <v>8531</v>
      </c>
      <c r="I98" s="422" t="s">
        <v>8530</v>
      </c>
      <c r="J98" s="418" t="s">
        <v>8508</v>
      </c>
      <c r="K98" s="414">
        <v>1</v>
      </c>
      <c r="L98" s="408">
        <v>234.9</v>
      </c>
      <c r="M98" s="408">
        <f t="shared" si="7"/>
        <v>234.9</v>
      </c>
      <c r="N98" s="408"/>
      <c r="O98" s="408"/>
      <c r="P98" s="411"/>
      <c r="Q98" s="411"/>
      <c r="R98" s="411"/>
      <c r="S98" s="427">
        <f t="shared" si="5"/>
        <v>2.1992652263305131E-3</v>
      </c>
      <c r="T98" s="427">
        <f t="shared" si="6"/>
        <v>0</v>
      </c>
      <c r="U98" s="42"/>
      <c r="V98" s="416"/>
      <c r="W98" s="42"/>
      <c r="X98" s="74"/>
      <c r="Y98" s="74"/>
      <c r="Z98" s="74"/>
      <c r="AA98" s="74"/>
      <c r="AB98" s="74"/>
      <c r="AC98" s="42"/>
      <c r="AD98" s="42"/>
      <c r="AE98" s="42"/>
      <c r="AF98" s="42"/>
      <c r="AG98" s="42"/>
      <c r="AH98" s="42"/>
      <c r="AI98" s="75"/>
      <c r="AJ98" s="75"/>
      <c r="AK98" s="75"/>
      <c r="AL98" s="75"/>
      <c r="AM98" s="74"/>
      <c r="AN98" s="72"/>
    </row>
    <row r="99" spans="1:40" s="69" customFormat="1" x14ac:dyDescent="0.25">
      <c r="A99" s="88"/>
      <c r="B99" s="88"/>
      <c r="C99" s="70"/>
      <c r="D99" s="70"/>
      <c r="E99" s="70" t="s">
        <v>8532</v>
      </c>
      <c r="F99" s="70">
        <v>0</v>
      </c>
      <c r="G99" s="70" t="s">
        <v>8658</v>
      </c>
      <c r="H99" s="422" t="s">
        <v>8531</v>
      </c>
      <c r="I99" s="422" t="s">
        <v>8530</v>
      </c>
      <c r="J99" s="418" t="s">
        <v>8514</v>
      </c>
      <c r="K99" s="414">
        <v>4</v>
      </c>
      <c r="L99" s="408">
        <v>75</v>
      </c>
      <c r="M99" s="408">
        <f t="shared" si="7"/>
        <v>300</v>
      </c>
      <c r="N99" s="408"/>
      <c r="O99" s="408"/>
      <c r="P99" s="411"/>
      <c r="Q99" s="411"/>
      <c r="R99" s="411"/>
      <c r="S99" s="427">
        <f t="shared" si="5"/>
        <v>2.8087678497196846E-3</v>
      </c>
      <c r="T99" s="427">
        <f t="shared" si="6"/>
        <v>0</v>
      </c>
      <c r="U99" s="42"/>
      <c r="V99" s="416"/>
      <c r="W99" s="42"/>
      <c r="X99" s="74"/>
      <c r="Y99" s="74"/>
      <c r="Z99" s="74"/>
      <c r="AA99" s="74"/>
      <c r="AB99" s="74"/>
      <c r="AC99" s="42"/>
      <c r="AD99" s="42"/>
      <c r="AE99" s="42"/>
      <c r="AF99" s="42"/>
      <c r="AG99" s="42"/>
      <c r="AH99" s="42"/>
      <c r="AI99" s="75"/>
      <c r="AJ99" s="75"/>
      <c r="AK99" s="75"/>
      <c r="AL99" s="75"/>
      <c r="AM99" s="74"/>
      <c r="AN99" s="72"/>
    </row>
    <row r="100" spans="1:40" s="69" customFormat="1" x14ac:dyDescent="0.25">
      <c r="A100" s="88"/>
      <c r="B100" s="88"/>
      <c r="C100" s="70"/>
      <c r="D100" s="70"/>
      <c r="E100" s="70" t="s">
        <v>8532</v>
      </c>
      <c r="F100" s="70">
        <v>0</v>
      </c>
      <c r="G100" s="70" t="s">
        <v>8658</v>
      </c>
      <c r="H100" s="422" t="s">
        <v>8531</v>
      </c>
      <c r="I100" s="422" t="s">
        <v>8530</v>
      </c>
      <c r="J100" s="418" t="s">
        <v>8515</v>
      </c>
      <c r="K100" s="414">
        <v>1</v>
      </c>
      <c r="L100" s="408">
        <v>132.80000000000001</v>
      </c>
      <c r="M100" s="408">
        <f t="shared" si="7"/>
        <v>132.80000000000001</v>
      </c>
      <c r="N100" s="408"/>
      <c r="O100" s="408"/>
      <c r="P100" s="411"/>
      <c r="Q100" s="411"/>
      <c r="R100" s="411"/>
      <c r="S100" s="427">
        <f t="shared" si="5"/>
        <v>1.2433479014759138E-3</v>
      </c>
      <c r="T100" s="427">
        <f t="shared" si="6"/>
        <v>0</v>
      </c>
      <c r="U100" s="42"/>
      <c r="V100" s="416"/>
      <c r="W100" s="42"/>
      <c r="X100" s="74"/>
      <c r="Y100" s="74"/>
      <c r="Z100" s="74"/>
      <c r="AA100" s="74"/>
      <c r="AB100" s="74"/>
      <c r="AC100" s="42"/>
      <c r="AD100" s="42"/>
      <c r="AE100" s="42"/>
      <c r="AF100" s="42"/>
      <c r="AG100" s="42"/>
      <c r="AH100" s="42"/>
      <c r="AI100" s="75"/>
      <c r="AJ100" s="75"/>
      <c r="AK100" s="75"/>
      <c r="AL100" s="75"/>
      <c r="AM100" s="74"/>
      <c r="AN100" s="72"/>
    </row>
    <row r="101" spans="1:40" s="69" customFormat="1" x14ac:dyDescent="0.25">
      <c r="A101" s="88"/>
      <c r="B101" s="88"/>
      <c r="C101" s="70"/>
      <c r="D101" s="70"/>
      <c r="E101" s="70" t="s">
        <v>8532</v>
      </c>
      <c r="F101" s="70">
        <v>0</v>
      </c>
      <c r="G101" s="70" t="s">
        <v>8658</v>
      </c>
      <c r="H101" s="422" t="s">
        <v>8531</v>
      </c>
      <c r="I101" s="422" t="s">
        <v>8530</v>
      </c>
      <c r="J101" s="418" t="s">
        <v>8516</v>
      </c>
      <c r="K101" s="414">
        <v>1</v>
      </c>
      <c r="L101" s="408">
        <v>97.6</v>
      </c>
      <c r="M101" s="408">
        <f t="shared" si="7"/>
        <v>97.6</v>
      </c>
      <c r="N101" s="408"/>
      <c r="O101" s="408"/>
      <c r="P101" s="411"/>
      <c r="Q101" s="411"/>
      <c r="R101" s="411"/>
      <c r="S101" s="427">
        <f t="shared" si="5"/>
        <v>9.1378580710880402E-4</v>
      </c>
      <c r="T101" s="427">
        <f t="shared" si="6"/>
        <v>0</v>
      </c>
      <c r="U101" s="42"/>
      <c r="V101" s="416"/>
      <c r="W101" s="42"/>
      <c r="X101" s="74"/>
      <c r="Y101" s="74"/>
      <c r="Z101" s="74"/>
      <c r="AA101" s="74"/>
      <c r="AB101" s="74"/>
      <c r="AC101" s="42"/>
      <c r="AD101" s="42"/>
      <c r="AE101" s="42"/>
      <c r="AF101" s="42"/>
      <c r="AG101" s="42"/>
      <c r="AH101" s="42"/>
      <c r="AI101" s="75"/>
      <c r="AJ101" s="75"/>
      <c r="AK101" s="75"/>
      <c r="AL101" s="75"/>
      <c r="AM101" s="74"/>
      <c r="AN101" s="72"/>
    </row>
    <row r="102" spans="1:40" s="69" customFormat="1" x14ac:dyDescent="0.25">
      <c r="A102" s="88"/>
      <c r="B102" s="88"/>
      <c r="C102" s="70"/>
      <c r="D102" s="70"/>
      <c r="E102" s="70" t="s">
        <v>8532</v>
      </c>
      <c r="F102" s="70">
        <v>0</v>
      </c>
      <c r="G102" s="70" t="s">
        <v>8658</v>
      </c>
      <c r="H102" s="422" t="s">
        <v>8531</v>
      </c>
      <c r="I102" s="422" t="s">
        <v>8530</v>
      </c>
      <c r="J102" s="418" t="s">
        <v>8517</v>
      </c>
      <c r="K102" s="414">
        <v>1</v>
      </c>
      <c r="L102" s="408">
        <v>41.2</v>
      </c>
      <c r="M102" s="408">
        <f t="shared" si="7"/>
        <v>41.2</v>
      </c>
      <c r="N102" s="408"/>
      <c r="O102" s="408"/>
      <c r="P102" s="411"/>
      <c r="Q102" s="411"/>
      <c r="R102" s="411"/>
      <c r="S102" s="427">
        <f t="shared" si="5"/>
        <v>3.8573745136150339E-4</v>
      </c>
      <c r="T102" s="427">
        <f t="shared" si="6"/>
        <v>0</v>
      </c>
      <c r="U102" s="42"/>
      <c r="V102" s="416"/>
      <c r="W102" s="42"/>
      <c r="X102" s="74"/>
      <c r="Y102" s="74"/>
      <c r="Z102" s="74"/>
      <c r="AA102" s="74"/>
      <c r="AB102" s="74"/>
      <c r="AC102" s="42"/>
      <c r="AD102" s="42"/>
      <c r="AE102" s="42"/>
      <c r="AF102" s="42"/>
      <c r="AG102" s="42"/>
      <c r="AH102" s="42"/>
      <c r="AI102" s="75"/>
      <c r="AJ102" s="75"/>
      <c r="AK102" s="75"/>
      <c r="AL102" s="75"/>
      <c r="AM102" s="74"/>
      <c r="AN102" s="72"/>
    </row>
    <row r="103" spans="1:40" s="69" customFormat="1" x14ac:dyDescent="0.25">
      <c r="A103" s="88"/>
      <c r="B103" s="88"/>
      <c r="C103" s="70"/>
      <c r="D103" s="70"/>
      <c r="E103" s="70" t="s">
        <v>8532</v>
      </c>
      <c r="F103" s="70">
        <v>0</v>
      </c>
      <c r="G103" s="70" t="s">
        <v>8658</v>
      </c>
      <c r="H103" s="422" t="s">
        <v>8531</v>
      </c>
      <c r="I103" s="422" t="s">
        <v>8530</v>
      </c>
      <c r="J103" s="418" t="s">
        <v>8518</v>
      </c>
      <c r="K103" s="414">
        <v>1</v>
      </c>
      <c r="L103" s="408">
        <v>44.5</v>
      </c>
      <c r="M103" s="408">
        <f t="shared" si="7"/>
        <v>44.5</v>
      </c>
      <c r="N103" s="408"/>
      <c r="O103" s="408"/>
      <c r="P103" s="411"/>
      <c r="Q103" s="411"/>
      <c r="R103" s="411"/>
      <c r="S103" s="427">
        <f t="shared" si="5"/>
        <v>4.1663389770841988E-4</v>
      </c>
      <c r="T103" s="427">
        <f t="shared" si="6"/>
        <v>0</v>
      </c>
      <c r="U103" s="42"/>
      <c r="V103" s="416"/>
      <c r="W103" s="42"/>
      <c r="X103" s="74"/>
      <c r="Y103" s="74"/>
      <c r="Z103" s="74"/>
      <c r="AA103" s="74"/>
      <c r="AB103" s="74"/>
      <c r="AC103" s="42"/>
      <c r="AD103" s="42"/>
      <c r="AE103" s="42"/>
      <c r="AF103" s="42"/>
      <c r="AG103" s="42"/>
      <c r="AH103" s="42"/>
      <c r="AI103" s="75"/>
      <c r="AJ103" s="75"/>
      <c r="AK103" s="75"/>
      <c r="AL103" s="75"/>
      <c r="AM103" s="74"/>
      <c r="AN103" s="72"/>
    </row>
    <row r="104" spans="1:40" s="69" customFormat="1" x14ac:dyDescent="0.25">
      <c r="A104" s="88"/>
      <c r="B104" s="88"/>
      <c r="C104" s="70"/>
      <c r="D104" s="70"/>
      <c r="E104" s="70" t="s">
        <v>8532</v>
      </c>
      <c r="F104" s="70">
        <v>0</v>
      </c>
      <c r="G104" s="70" t="s">
        <v>8658</v>
      </c>
      <c r="H104" s="422" t="s">
        <v>8531</v>
      </c>
      <c r="I104" s="422" t="s">
        <v>8530</v>
      </c>
      <c r="J104" s="418" t="s">
        <v>8519</v>
      </c>
      <c r="K104" s="414">
        <v>1</v>
      </c>
      <c r="L104" s="408">
        <v>12.3</v>
      </c>
      <c r="M104" s="408">
        <f t="shared" si="7"/>
        <v>12.3</v>
      </c>
      <c r="N104" s="408"/>
      <c r="O104" s="408"/>
      <c r="P104" s="411"/>
      <c r="Q104" s="411"/>
      <c r="R104" s="411"/>
      <c r="S104" s="427">
        <f t="shared" si="5"/>
        <v>1.1515948183850708E-4</v>
      </c>
      <c r="T104" s="427">
        <f t="shared" si="6"/>
        <v>0</v>
      </c>
      <c r="U104" s="42"/>
      <c r="V104" s="416"/>
      <c r="W104" s="42"/>
      <c r="X104" s="74"/>
      <c r="Y104" s="74"/>
      <c r="Z104" s="74"/>
      <c r="AA104" s="74"/>
      <c r="AB104" s="74"/>
      <c r="AC104" s="42"/>
      <c r="AD104" s="42"/>
      <c r="AE104" s="42"/>
      <c r="AF104" s="42"/>
      <c r="AG104" s="42"/>
      <c r="AH104" s="42"/>
      <c r="AI104" s="75"/>
      <c r="AJ104" s="75"/>
      <c r="AK104" s="75"/>
      <c r="AL104" s="75"/>
      <c r="AM104" s="74"/>
      <c r="AN104" s="72"/>
    </row>
    <row r="105" spans="1:40" s="69" customFormat="1" x14ac:dyDescent="0.25">
      <c r="A105" s="88"/>
      <c r="B105" s="88"/>
      <c r="C105" s="70"/>
      <c r="D105" s="70"/>
      <c r="E105" s="70" t="s">
        <v>8532</v>
      </c>
      <c r="F105" s="70">
        <v>0</v>
      </c>
      <c r="G105" s="70" t="s">
        <v>8658</v>
      </c>
      <c r="H105" s="422" t="s">
        <v>8531</v>
      </c>
      <c r="I105" s="422" t="s">
        <v>8530</v>
      </c>
      <c r="J105" s="418" t="s">
        <v>8520</v>
      </c>
      <c r="K105" s="414">
        <v>1</v>
      </c>
      <c r="L105" s="408">
        <v>332</v>
      </c>
      <c r="M105" s="408">
        <f t="shared" si="7"/>
        <v>332</v>
      </c>
      <c r="N105" s="408"/>
      <c r="O105" s="408"/>
      <c r="P105" s="411"/>
      <c r="Q105" s="411"/>
      <c r="R105" s="411"/>
      <c r="S105" s="427">
        <f t="shared" si="5"/>
        <v>3.1083697536897843E-3</v>
      </c>
      <c r="T105" s="427">
        <f t="shared" si="6"/>
        <v>0</v>
      </c>
      <c r="U105" s="42"/>
      <c r="V105" s="416"/>
      <c r="W105" s="42"/>
      <c r="X105" s="74"/>
      <c r="Y105" s="74"/>
      <c r="Z105" s="74"/>
      <c r="AA105" s="74"/>
      <c r="AB105" s="74"/>
      <c r="AC105" s="42"/>
      <c r="AD105" s="42"/>
      <c r="AE105" s="42"/>
      <c r="AF105" s="42"/>
      <c r="AG105" s="42"/>
      <c r="AH105" s="42"/>
      <c r="AI105" s="75"/>
      <c r="AJ105" s="75"/>
      <c r="AK105" s="75"/>
      <c r="AL105" s="75"/>
      <c r="AM105" s="74"/>
      <c r="AN105" s="72"/>
    </row>
    <row r="106" spans="1:40" s="69" customFormat="1" x14ac:dyDescent="0.25">
      <c r="A106" s="88"/>
      <c r="B106" s="88"/>
      <c r="C106" s="70"/>
      <c r="D106" s="70"/>
      <c r="E106" s="70" t="s">
        <v>8532</v>
      </c>
      <c r="F106" s="70">
        <v>0</v>
      </c>
      <c r="G106" s="70" t="s">
        <v>8658</v>
      </c>
      <c r="H106" s="422" t="s">
        <v>8531</v>
      </c>
      <c r="I106" s="422" t="s">
        <v>8530</v>
      </c>
      <c r="J106" s="418" t="s">
        <v>8519</v>
      </c>
      <c r="K106" s="414">
        <v>6</v>
      </c>
      <c r="L106" s="408">
        <v>6.2</v>
      </c>
      <c r="M106" s="408">
        <f t="shared" si="7"/>
        <v>37.200000000000003</v>
      </c>
      <c r="N106" s="408"/>
      <c r="O106" s="408"/>
      <c r="P106" s="411"/>
      <c r="Q106" s="411"/>
      <c r="R106" s="411"/>
      <c r="S106" s="427">
        <f t="shared" si="5"/>
        <v>3.4828721336524092E-4</v>
      </c>
      <c r="T106" s="427">
        <f t="shared" si="6"/>
        <v>0</v>
      </c>
      <c r="U106" s="42"/>
      <c r="V106" s="416"/>
      <c r="W106" s="42"/>
      <c r="X106" s="74"/>
      <c r="Y106" s="74"/>
      <c r="Z106" s="74"/>
      <c r="AA106" s="74"/>
      <c r="AB106" s="74"/>
      <c r="AC106" s="42"/>
      <c r="AD106" s="42"/>
      <c r="AE106" s="42"/>
      <c r="AF106" s="42"/>
      <c r="AG106" s="42"/>
      <c r="AH106" s="42"/>
      <c r="AI106" s="75"/>
      <c r="AJ106" s="75"/>
      <c r="AK106" s="75"/>
      <c r="AL106" s="75"/>
      <c r="AM106" s="74"/>
      <c r="AN106" s="72"/>
    </row>
    <row r="107" spans="1:40" s="69" customFormat="1" x14ac:dyDescent="0.25">
      <c r="A107" s="88"/>
      <c r="B107" s="88"/>
      <c r="C107" s="70"/>
      <c r="D107" s="70"/>
      <c r="E107" s="70" t="s">
        <v>8532</v>
      </c>
      <c r="F107" s="70">
        <v>0</v>
      </c>
      <c r="G107" s="70" t="s">
        <v>8658</v>
      </c>
      <c r="H107" s="422" t="s">
        <v>8531</v>
      </c>
      <c r="I107" s="422" t="s">
        <v>8530</v>
      </c>
      <c r="J107" s="418" t="s">
        <v>8507</v>
      </c>
      <c r="K107" s="414">
        <v>8</v>
      </c>
      <c r="L107" s="408">
        <v>8.6</v>
      </c>
      <c r="M107" s="408">
        <f t="shared" si="7"/>
        <v>68.8</v>
      </c>
      <c r="N107" s="408"/>
      <c r="O107" s="408"/>
      <c r="P107" s="411"/>
      <c r="Q107" s="411"/>
      <c r="R107" s="411"/>
      <c r="S107" s="427">
        <f t="shared" si="5"/>
        <v>6.4414409353571436E-4</v>
      </c>
      <c r="T107" s="427">
        <f t="shared" si="6"/>
        <v>0</v>
      </c>
      <c r="U107" s="42"/>
      <c r="V107" s="416"/>
      <c r="W107" s="42"/>
      <c r="X107" s="74"/>
      <c r="Y107" s="74"/>
      <c r="Z107" s="74"/>
      <c r="AA107" s="74"/>
      <c r="AB107" s="74"/>
      <c r="AC107" s="42"/>
      <c r="AD107" s="42"/>
      <c r="AE107" s="42"/>
      <c r="AF107" s="42"/>
      <c r="AG107" s="42"/>
      <c r="AH107" s="42"/>
      <c r="AI107" s="75"/>
      <c r="AJ107" s="75"/>
      <c r="AK107" s="75"/>
      <c r="AL107" s="75"/>
      <c r="AM107" s="74"/>
      <c r="AN107" s="72"/>
    </row>
    <row r="108" spans="1:40" s="69" customFormat="1" x14ac:dyDescent="0.25">
      <c r="A108" s="88"/>
      <c r="B108" s="88"/>
      <c r="C108" s="70"/>
      <c r="D108" s="70"/>
      <c r="E108" s="70" t="s">
        <v>8532</v>
      </c>
      <c r="F108" s="70">
        <v>0</v>
      </c>
      <c r="G108" s="70" t="s">
        <v>8658</v>
      </c>
      <c r="H108" s="422" t="s">
        <v>8531</v>
      </c>
      <c r="I108" s="422" t="s">
        <v>8530</v>
      </c>
      <c r="J108" s="418" t="s">
        <v>8507</v>
      </c>
      <c r="K108" s="414">
        <v>8</v>
      </c>
      <c r="L108" s="408">
        <v>7.9</v>
      </c>
      <c r="M108" s="408">
        <f t="shared" si="7"/>
        <v>63.2</v>
      </c>
      <c r="N108" s="408"/>
      <c r="O108" s="408"/>
      <c r="P108" s="411"/>
      <c r="Q108" s="411"/>
      <c r="R108" s="411"/>
      <c r="S108" s="427">
        <f t="shared" si="5"/>
        <v>5.9171376034094689E-4</v>
      </c>
      <c r="T108" s="427">
        <f t="shared" si="6"/>
        <v>0</v>
      </c>
      <c r="U108" s="42"/>
      <c r="V108" s="416"/>
      <c r="W108" s="42"/>
      <c r="X108" s="74"/>
      <c r="Y108" s="74"/>
      <c r="Z108" s="74"/>
      <c r="AA108" s="74"/>
      <c r="AB108" s="74"/>
      <c r="AC108" s="42"/>
      <c r="AD108" s="42"/>
      <c r="AE108" s="42"/>
      <c r="AF108" s="42"/>
      <c r="AG108" s="42"/>
      <c r="AH108" s="42"/>
      <c r="AI108" s="75"/>
      <c r="AJ108" s="75"/>
      <c r="AK108" s="75"/>
      <c r="AL108" s="75"/>
      <c r="AM108" s="74"/>
      <c r="AN108" s="72"/>
    </row>
    <row r="109" spans="1:40" s="69" customFormat="1" x14ac:dyDescent="0.25">
      <c r="A109" s="88"/>
      <c r="B109" s="88"/>
      <c r="C109" s="70"/>
      <c r="D109" s="70"/>
      <c r="E109" s="70" t="s">
        <v>8532</v>
      </c>
      <c r="F109" s="70">
        <v>0</v>
      </c>
      <c r="G109" s="70" t="s">
        <v>8658</v>
      </c>
      <c r="H109" s="422" t="s">
        <v>8531</v>
      </c>
      <c r="I109" s="422" t="s">
        <v>8530</v>
      </c>
      <c r="J109" s="418" t="s">
        <v>8507</v>
      </c>
      <c r="K109" s="414">
        <v>4</v>
      </c>
      <c r="L109" s="408">
        <v>7</v>
      </c>
      <c r="M109" s="408">
        <f t="shared" si="7"/>
        <v>28</v>
      </c>
      <c r="N109" s="408"/>
      <c r="O109" s="408"/>
      <c r="P109" s="411"/>
      <c r="Q109" s="411"/>
      <c r="R109" s="411"/>
      <c r="S109" s="427">
        <f t="shared" si="5"/>
        <v>2.6215166597383724E-4</v>
      </c>
      <c r="T109" s="427">
        <f t="shared" si="6"/>
        <v>0</v>
      </c>
      <c r="U109" s="42"/>
      <c r="V109" s="416"/>
      <c r="W109" s="42"/>
      <c r="X109" s="74"/>
      <c r="Y109" s="74"/>
      <c r="Z109" s="74"/>
      <c r="AA109" s="74"/>
      <c r="AB109" s="74"/>
      <c r="AC109" s="42"/>
      <c r="AD109" s="42"/>
      <c r="AE109" s="42"/>
      <c r="AF109" s="42"/>
      <c r="AG109" s="42"/>
      <c r="AH109" s="42"/>
      <c r="AI109" s="75"/>
      <c r="AJ109" s="75"/>
      <c r="AK109" s="75"/>
      <c r="AL109" s="75"/>
      <c r="AM109" s="74"/>
      <c r="AN109" s="72"/>
    </row>
    <row r="110" spans="1:40" s="69" customFormat="1" x14ac:dyDescent="0.25">
      <c r="A110" s="88"/>
      <c r="B110" s="88"/>
      <c r="C110" s="70"/>
      <c r="D110" s="70"/>
      <c r="E110" s="70" t="s">
        <v>8532</v>
      </c>
      <c r="F110" s="70">
        <v>0</v>
      </c>
      <c r="G110" s="70" t="s">
        <v>8658</v>
      </c>
      <c r="H110" s="422" t="s">
        <v>8531</v>
      </c>
      <c r="I110" s="422" t="s">
        <v>8530</v>
      </c>
      <c r="J110" s="418" t="s">
        <v>8507</v>
      </c>
      <c r="K110" s="414">
        <v>4</v>
      </c>
      <c r="L110" s="408">
        <v>6.5</v>
      </c>
      <c r="M110" s="408">
        <f t="shared" si="7"/>
        <v>26</v>
      </c>
      <c r="N110" s="408"/>
      <c r="O110" s="408"/>
      <c r="P110" s="411"/>
      <c r="Q110" s="411"/>
      <c r="R110" s="411"/>
      <c r="S110" s="427">
        <f t="shared" si="5"/>
        <v>2.43426546975706E-4</v>
      </c>
      <c r="T110" s="427">
        <f t="shared" si="6"/>
        <v>0</v>
      </c>
      <c r="U110" s="42"/>
      <c r="V110" s="416"/>
      <c r="W110" s="42"/>
      <c r="X110" s="74"/>
      <c r="Y110" s="74"/>
      <c r="Z110" s="74"/>
      <c r="AA110" s="74"/>
      <c r="AB110" s="74"/>
      <c r="AC110" s="42"/>
      <c r="AD110" s="42"/>
      <c r="AE110" s="42"/>
      <c r="AF110" s="42"/>
      <c r="AG110" s="42"/>
      <c r="AH110" s="42"/>
      <c r="AI110" s="75"/>
      <c r="AJ110" s="75"/>
      <c r="AK110" s="75"/>
      <c r="AL110" s="75"/>
      <c r="AM110" s="74"/>
      <c r="AN110" s="72"/>
    </row>
    <row r="111" spans="1:40" s="69" customFormat="1" x14ac:dyDescent="0.25">
      <c r="A111" s="88"/>
      <c r="B111" s="88"/>
      <c r="C111" s="70"/>
      <c r="D111" s="70"/>
      <c r="E111" s="70" t="s">
        <v>8532</v>
      </c>
      <c r="F111" s="70">
        <v>0</v>
      </c>
      <c r="G111" s="70" t="s">
        <v>8658</v>
      </c>
      <c r="H111" s="422" t="s">
        <v>8531</v>
      </c>
      <c r="I111" s="422" t="s">
        <v>8530</v>
      </c>
      <c r="J111" s="418" t="s">
        <v>8521</v>
      </c>
      <c r="K111" s="414">
        <v>1</v>
      </c>
      <c r="L111" s="408">
        <v>268.7</v>
      </c>
      <c r="M111" s="408">
        <f t="shared" si="7"/>
        <v>268.7</v>
      </c>
      <c r="N111" s="408"/>
      <c r="O111" s="408"/>
      <c r="P111" s="411"/>
      <c r="Q111" s="411"/>
      <c r="R111" s="411"/>
      <c r="S111" s="427">
        <f t="shared" si="5"/>
        <v>2.515719737398931E-3</v>
      </c>
      <c r="T111" s="427">
        <f t="shared" si="6"/>
        <v>0</v>
      </c>
      <c r="U111" s="42"/>
      <c r="V111" s="416"/>
      <c r="W111" s="42"/>
      <c r="X111" s="74"/>
      <c r="Y111" s="74"/>
      <c r="Z111" s="74"/>
      <c r="AA111" s="74"/>
      <c r="AB111" s="74"/>
      <c r="AC111" s="42"/>
      <c r="AD111" s="42"/>
      <c r="AE111" s="42"/>
      <c r="AF111" s="42"/>
      <c r="AG111" s="42"/>
      <c r="AH111" s="42"/>
      <c r="AI111" s="75"/>
      <c r="AJ111" s="75"/>
      <c r="AK111" s="75"/>
      <c r="AL111" s="75"/>
      <c r="AM111" s="74"/>
      <c r="AN111" s="72"/>
    </row>
    <row r="112" spans="1:40" s="69" customFormat="1" x14ac:dyDescent="0.25">
      <c r="A112" s="88"/>
      <c r="B112" s="88"/>
      <c r="C112" s="70"/>
      <c r="D112" s="70"/>
      <c r="E112" s="70" t="s">
        <v>8532</v>
      </c>
      <c r="F112" s="70">
        <v>0</v>
      </c>
      <c r="G112" s="70" t="s">
        <v>8658</v>
      </c>
      <c r="H112" s="422" t="s">
        <v>8531</v>
      </c>
      <c r="I112" s="422" t="s">
        <v>8530</v>
      </c>
      <c r="J112" s="418" t="s">
        <v>8522</v>
      </c>
      <c r="K112" s="414">
        <v>4</v>
      </c>
      <c r="L112" s="408">
        <v>1.5</v>
      </c>
      <c r="M112" s="408">
        <f t="shared" si="7"/>
        <v>6</v>
      </c>
      <c r="N112" s="408"/>
      <c r="O112" s="408"/>
      <c r="P112" s="411"/>
      <c r="Q112" s="411"/>
      <c r="R112" s="411"/>
      <c r="S112" s="427">
        <f t="shared" si="5"/>
        <v>5.6175356994393692E-5</v>
      </c>
      <c r="T112" s="427">
        <f t="shared" si="6"/>
        <v>0</v>
      </c>
      <c r="U112" s="42"/>
      <c r="V112" s="416"/>
      <c r="W112" s="42"/>
      <c r="X112" s="74"/>
      <c r="Y112" s="74"/>
      <c r="Z112" s="74"/>
      <c r="AA112" s="74"/>
      <c r="AB112" s="74"/>
      <c r="AC112" s="42"/>
      <c r="AD112" s="42"/>
      <c r="AE112" s="42"/>
      <c r="AF112" s="42"/>
      <c r="AG112" s="42"/>
      <c r="AH112" s="42"/>
      <c r="AI112" s="75"/>
      <c r="AJ112" s="75"/>
      <c r="AK112" s="75"/>
      <c r="AL112" s="75"/>
      <c r="AM112" s="74"/>
      <c r="AN112" s="72"/>
    </row>
    <row r="113" spans="1:40" s="69" customFormat="1" x14ac:dyDescent="0.25">
      <c r="A113" s="88"/>
      <c r="B113" s="88"/>
      <c r="C113" s="70"/>
      <c r="D113" s="70"/>
      <c r="E113" s="70" t="s">
        <v>8532</v>
      </c>
      <c r="F113" s="70">
        <v>0</v>
      </c>
      <c r="G113" s="70" t="s">
        <v>8658</v>
      </c>
      <c r="H113" s="422" t="s">
        <v>8531</v>
      </c>
      <c r="I113" s="422" t="s">
        <v>8530</v>
      </c>
      <c r="J113" s="418" t="s">
        <v>8523</v>
      </c>
      <c r="K113" s="414">
        <v>4</v>
      </c>
      <c r="L113" s="408">
        <v>1.3</v>
      </c>
      <c r="M113" s="408">
        <f t="shared" si="7"/>
        <v>5.2</v>
      </c>
      <c r="N113" s="408"/>
      <c r="O113" s="408"/>
      <c r="P113" s="411"/>
      <c r="Q113" s="411"/>
      <c r="R113" s="411"/>
      <c r="S113" s="427">
        <f t="shared" si="5"/>
        <v>4.8685309395141206E-5</v>
      </c>
      <c r="T113" s="427">
        <f t="shared" si="6"/>
        <v>0</v>
      </c>
      <c r="U113" s="42"/>
      <c r="V113" s="416"/>
      <c r="W113" s="42"/>
      <c r="X113" s="74"/>
      <c r="Y113" s="74"/>
      <c r="Z113" s="74"/>
      <c r="AA113" s="74"/>
      <c r="AB113" s="74"/>
      <c r="AC113" s="42"/>
      <c r="AD113" s="42"/>
      <c r="AE113" s="42"/>
      <c r="AF113" s="42"/>
      <c r="AG113" s="42"/>
      <c r="AH113" s="42"/>
      <c r="AI113" s="75"/>
      <c r="AJ113" s="75"/>
      <c r="AK113" s="75"/>
      <c r="AL113" s="75"/>
      <c r="AM113" s="74"/>
      <c r="AN113" s="72"/>
    </row>
    <row r="114" spans="1:40" s="69" customFormat="1" x14ac:dyDescent="0.25">
      <c r="A114" s="88"/>
      <c r="B114" s="88"/>
      <c r="C114" s="70"/>
      <c r="D114" s="70"/>
      <c r="E114" s="70" t="s">
        <v>8532</v>
      </c>
      <c r="F114" s="70">
        <v>0</v>
      </c>
      <c r="G114" s="70" t="s">
        <v>8658</v>
      </c>
      <c r="H114" s="422" t="s">
        <v>8531</v>
      </c>
      <c r="I114" s="422" t="s">
        <v>8530</v>
      </c>
      <c r="J114" s="418" t="s">
        <v>8524</v>
      </c>
      <c r="K114" s="414">
        <v>4</v>
      </c>
      <c r="L114" s="408">
        <v>0.5</v>
      </c>
      <c r="M114" s="408">
        <f t="shared" si="7"/>
        <v>2</v>
      </c>
      <c r="N114" s="408"/>
      <c r="O114" s="408"/>
      <c r="P114" s="411"/>
      <c r="Q114" s="411"/>
      <c r="R114" s="411"/>
      <c r="S114" s="427">
        <f t="shared" si="5"/>
        <v>1.8725118998131232E-5</v>
      </c>
      <c r="T114" s="427">
        <f t="shared" si="6"/>
        <v>0</v>
      </c>
      <c r="U114" s="42"/>
      <c r="V114" s="416"/>
      <c r="W114" s="42"/>
      <c r="X114" s="74"/>
      <c r="Y114" s="74"/>
      <c r="Z114" s="74"/>
      <c r="AA114" s="74"/>
      <c r="AB114" s="74"/>
      <c r="AC114" s="42"/>
      <c r="AD114" s="42"/>
      <c r="AE114" s="42"/>
      <c r="AF114" s="42"/>
      <c r="AG114" s="42"/>
      <c r="AH114" s="42"/>
      <c r="AI114" s="75"/>
      <c r="AJ114" s="75"/>
      <c r="AK114" s="75"/>
      <c r="AL114" s="75"/>
      <c r="AM114" s="74"/>
      <c r="AN114" s="72"/>
    </row>
    <row r="115" spans="1:40" s="69" customFormat="1" x14ac:dyDescent="0.25">
      <c r="A115" s="88"/>
      <c r="B115" s="88"/>
      <c r="C115" s="70"/>
      <c r="D115" s="70"/>
      <c r="E115" s="70" t="s">
        <v>8532</v>
      </c>
      <c r="F115" s="70">
        <v>0</v>
      </c>
      <c r="G115" s="70" t="s">
        <v>8658</v>
      </c>
      <c r="H115" s="422" t="s">
        <v>8531</v>
      </c>
      <c r="I115" s="422" t="s">
        <v>8530</v>
      </c>
      <c r="J115" s="418" t="s">
        <v>8525</v>
      </c>
      <c r="K115" s="414">
        <v>2</v>
      </c>
      <c r="L115" s="408">
        <v>3</v>
      </c>
      <c r="M115" s="408">
        <f t="shared" si="7"/>
        <v>6</v>
      </c>
      <c r="N115" s="408"/>
      <c r="O115" s="408"/>
      <c r="P115" s="411"/>
      <c r="Q115" s="411"/>
      <c r="R115" s="411"/>
      <c r="S115" s="427">
        <f t="shared" si="5"/>
        <v>5.6175356994393692E-5</v>
      </c>
      <c r="T115" s="427">
        <f t="shared" si="6"/>
        <v>0</v>
      </c>
      <c r="U115" s="42"/>
      <c r="V115" s="416"/>
      <c r="W115" s="42"/>
      <c r="X115" s="74"/>
      <c r="Y115" s="74"/>
      <c r="Z115" s="74"/>
      <c r="AA115" s="74"/>
      <c r="AB115" s="74"/>
      <c r="AC115" s="42"/>
      <c r="AD115" s="42"/>
      <c r="AE115" s="42"/>
      <c r="AF115" s="42"/>
      <c r="AG115" s="42"/>
      <c r="AH115" s="42"/>
      <c r="AI115" s="75"/>
      <c r="AJ115" s="75"/>
      <c r="AK115" s="75"/>
      <c r="AL115" s="75"/>
      <c r="AM115" s="74"/>
      <c r="AN115" s="72"/>
    </row>
    <row r="116" spans="1:40" s="69" customFormat="1" x14ac:dyDescent="0.25">
      <c r="A116" s="88"/>
      <c r="B116" s="88"/>
      <c r="C116" s="70"/>
      <c r="D116" s="70"/>
      <c r="E116" s="70" t="s">
        <v>8532</v>
      </c>
      <c r="F116" s="70">
        <v>0</v>
      </c>
      <c r="G116" s="70" t="s">
        <v>8658</v>
      </c>
      <c r="H116" s="422" t="s">
        <v>8531</v>
      </c>
      <c r="I116" s="422" t="s">
        <v>8530</v>
      </c>
      <c r="J116" s="418" t="s">
        <v>8526</v>
      </c>
      <c r="K116" s="414">
        <v>2</v>
      </c>
      <c r="L116" s="408">
        <v>0.5</v>
      </c>
      <c r="M116" s="408">
        <f t="shared" si="7"/>
        <v>1</v>
      </c>
      <c r="N116" s="408"/>
      <c r="O116" s="408"/>
      <c r="P116" s="411"/>
      <c r="Q116" s="411"/>
      <c r="R116" s="411"/>
      <c r="S116" s="427">
        <f t="shared" si="5"/>
        <v>9.3625594990656159E-6</v>
      </c>
      <c r="T116" s="427">
        <f t="shared" si="6"/>
        <v>0</v>
      </c>
      <c r="U116" s="42"/>
      <c r="V116" s="416"/>
      <c r="W116" s="42"/>
      <c r="X116" s="74"/>
      <c r="Y116" s="74"/>
      <c r="Z116" s="74"/>
      <c r="AA116" s="74"/>
      <c r="AB116" s="74"/>
      <c r="AC116" s="42"/>
      <c r="AD116" s="42"/>
      <c r="AE116" s="42"/>
      <c r="AF116" s="42"/>
      <c r="AG116" s="42"/>
      <c r="AH116" s="42"/>
      <c r="AI116" s="75"/>
      <c r="AJ116" s="75"/>
      <c r="AK116" s="75"/>
      <c r="AL116" s="75"/>
      <c r="AM116" s="74"/>
      <c r="AN116" s="72"/>
    </row>
    <row r="117" spans="1:40" s="69" customFormat="1" x14ac:dyDescent="0.25">
      <c r="A117" s="88"/>
      <c r="B117" s="88"/>
      <c r="C117" s="70"/>
      <c r="D117" s="70"/>
      <c r="E117" s="70" t="s">
        <v>8532</v>
      </c>
      <c r="F117" s="70">
        <v>0</v>
      </c>
      <c r="G117" s="70" t="s">
        <v>8658</v>
      </c>
      <c r="H117" s="422" t="s">
        <v>8531</v>
      </c>
      <c r="I117" s="422" t="s">
        <v>8530</v>
      </c>
      <c r="J117" s="418" t="s">
        <v>8527</v>
      </c>
      <c r="K117" s="414">
        <v>4</v>
      </c>
      <c r="L117" s="408">
        <v>1.3</v>
      </c>
      <c r="M117" s="408">
        <f t="shared" si="7"/>
        <v>5.2</v>
      </c>
      <c r="N117" s="408"/>
      <c r="O117" s="408"/>
      <c r="P117" s="411"/>
      <c r="Q117" s="411"/>
      <c r="R117" s="411"/>
      <c r="S117" s="427">
        <f t="shared" si="5"/>
        <v>4.8685309395141206E-5</v>
      </c>
      <c r="T117" s="427">
        <f t="shared" si="6"/>
        <v>0</v>
      </c>
      <c r="U117" s="42"/>
      <c r="V117" s="416"/>
      <c r="W117" s="42"/>
      <c r="X117" s="74"/>
      <c r="Y117" s="74"/>
      <c r="Z117" s="74"/>
      <c r="AA117" s="74"/>
      <c r="AB117" s="74"/>
      <c r="AC117" s="42"/>
      <c r="AD117" s="42"/>
      <c r="AE117" s="42"/>
      <c r="AF117" s="42"/>
      <c r="AG117" s="42"/>
      <c r="AH117" s="42"/>
      <c r="AI117" s="75"/>
      <c r="AJ117" s="75"/>
      <c r="AK117" s="75"/>
      <c r="AL117" s="75"/>
      <c r="AM117" s="74"/>
      <c r="AN117" s="72"/>
    </row>
    <row r="118" spans="1:40" s="69" customFormat="1" x14ac:dyDescent="0.25">
      <c r="A118" s="88"/>
      <c r="B118" s="88"/>
      <c r="C118" s="70"/>
      <c r="D118" s="70"/>
      <c r="E118" s="70" t="s">
        <v>8532</v>
      </c>
      <c r="F118" s="70">
        <v>0</v>
      </c>
      <c r="G118" s="70" t="s">
        <v>8658</v>
      </c>
      <c r="H118" s="422" t="s">
        <v>8531</v>
      </c>
      <c r="I118" s="422" t="s">
        <v>8530</v>
      </c>
      <c r="J118" s="418" t="s">
        <v>8528</v>
      </c>
      <c r="K118" s="414">
        <v>4</v>
      </c>
      <c r="L118" s="408">
        <v>1.3</v>
      </c>
      <c r="M118" s="408">
        <f t="shared" si="7"/>
        <v>5.2</v>
      </c>
      <c r="N118" s="408"/>
      <c r="O118" s="408"/>
      <c r="P118" s="411"/>
      <c r="Q118" s="411"/>
      <c r="R118" s="411"/>
      <c r="S118" s="427">
        <f t="shared" si="5"/>
        <v>4.8685309395141206E-5</v>
      </c>
      <c r="T118" s="427">
        <f t="shared" si="6"/>
        <v>0</v>
      </c>
      <c r="U118" s="42"/>
      <c r="V118" s="416"/>
      <c r="W118" s="42"/>
      <c r="X118" s="74"/>
      <c r="Y118" s="74"/>
      <c r="Z118" s="74"/>
      <c r="AA118" s="74"/>
      <c r="AB118" s="74"/>
      <c r="AC118" s="42"/>
      <c r="AD118" s="42"/>
      <c r="AE118" s="42"/>
      <c r="AF118" s="42"/>
      <c r="AG118" s="42"/>
      <c r="AH118" s="42"/>
      <c r="AI118" s="75"/>
      <c r="AJ118" s="75"/>
      <c r="AK118" s="75"/>
      <c r="AL118" s="75"/>
      <c r="AM118" s="74"/>
      <c r="AN118" s="72"/>
    </row>
    <row r="119" spans="1:40" s="69" customFormat="1" x14ac:dyDescent="0.25">
      <c r="A119" s="88"/>
      <c r="B119" s="88"/>
      <c r="C119" s="70"/>
      <c r="D119" s="70"/>
      <c r="E119" s="70" t="s">
        <v>8532</v>
      </c>
      <c r="F119" s="70">
        <v>0</v>
      </c>
      <c r="G119" s="70" t="s">
        <v>8658</v>
      </c>
      <c r="H119" s="422" t="s">
        <v>8531</v>
      </c>
      <c r="I119" s="422" t="s">
        <v>8530</v>
      </c>
      <c r="J119" s="418" t="s">
        <v>8529</v>
      </c>
      <c r="K119" s="414">
        <v>2</v>
      </c>
      <c r="L119" s="408">
        <v>2.7</v>
      </c>
      <c r="M119" s="408">
        <f t="shared" si="7"/>
        <v>5.4</v>
      </c>
      <c r="N119" s="408"/>
      <c r="O119" s="408"/>
      <c r="P119" s="411"/>
      <c r="Q119" s="411"/>
      <c r="R119" s="411"/>
      <c r="S119" s="427">
        <f t="shared" si="5"/>
        <v>5.0557821294954331E-5</v>
      </c>
      <c r="T119" s="427">
        <f t="shared" si="6"/>
        <v>0</v>
      </c>
      <c r="U119" s="42"/>
      <c r="V119" s="416"/>
      <c r="W119" s="42"/>
      <c r="X119" s="74"/>
      <c r="Y119" s="74"/>
      <c r="Z119" s="74"/>
      <c r="AA119" s="74"/>
      <c r="AB119" s="74"/>
      <c r="AC119" s="42"/>
      <c r="AD119" s="42"/>
      <c r="AE119" s="42"/>
      <c r="AF119" s="42"/>
      <c r="AG119" s="42"/>
      <c r="AH119" s="42"/>
      <c r="AI119" s="75"/>
      <c r="AJ119" s="75"/>
      <c r="AK119" s="75"/>
      <c r="AL119" s="75"/>
      <c r="AM119" s="74"/>
      <c r="AN119" s="72"/>
    </row>
    <row r="120" spans="1:40" s="69" customFormat="1" x14ac:dyDescent="0.25">
      <c r="A120" s="70"/>
      <c r="B120" s="70"/>
      <c r="C120" s="70"/>
      <c r="D120" s="70"/>
      <c r="E120" s="70" t="s">
        <v>8548</v>
      </c>
      <c r="F120" s="70" t="s">
        <v>8664</v>
      </c>
      <c r="G120" s="70"/>
      <c r="H120" s="422" t="s">
        <v>8547</v>
      </c>
      <c r="I120" s="422" t="s">
        <v>8546</v>
      </c>
      <c r="J120" s="418" t="s">
        <v>8533</v>
      </c>
      <c r="K120" s="414">
        <v>2</v>
      </c>
      <c r="L120" s="408"/>
      <c r="M120" s="408">
        <f t="shared" si="7"/>
        <v>0</v>
      </c>
      <c r="N120" s="410"/>
      <c r="O120" s="410"/>
      <c r="P120" s="411"/>
      <c r="Q120" s="411"/>
      <c r="R120" s="411"/>
      <c r="S120" s="427">
        <f t="shared" si="5"/>
        <v>0</v>
      </c>
      <c r="T120" s="427">
        <f t="shared" si="6"/>
        <v>0</v>
      </c>
      <c r="U120" s="411"/>
      <c r="V120" s="416"/>
      <c r="W120" s="411"/>
      <c r="X120" s="410"/>
      <c r="Y120" s="410"/>
      <c r="Z120" s="410"/>
      <c r="AA120" s="410"/>
      <c r="AB120" s="410"/>
      <c r="AC120" s="411"/>
      <c r="AD120" s="411"/>
      <c r="AE120" s="411"/>
      <c r="AF120" s="411"/>
      <c r="AG120" s="411"/>
      <c r="AH120" s="411"/>
      <c r="AI120" s="412"/>
      <c r="AJ120" s="412"/>
      <c r="AK120" s="412"/>
      <c r="AL120" s="412"/>
      <c r="AM120" s="410"/>
      <c r="AN120" s="72"/>
    </row>
    <row r="121" spans="1:40" s="69" customFormat="1" x14ac:dyDescent="0.25">
      <c r="A121" s="88"/>
      <c r="B121" s="88"/>
      <c r="C121" s="70"/>
      <c r="D121" s="70"/>
      <c r="E121" s="70" t="s">
        <v>8548</v>
      </c>
      <c r="F121" s="70" t="s">
        <v>8664</v>
      </c>
      <c r="G121" s="70"/>
      <c r="H121" s="422" t="s">
        <v>8547</v>
      </c>
      <c r="I121" s="422" t="s">
        <v>8546</v>
      </c>
      <c r="J121" s="418" t="s">
        <v>8534</v>
      </c>
      <c r="K121" s="414">
        <v>1</v>
      </c>
      <c r="L121" s="408"/>
      <c r="M121" s="408">
        <f t="shared" si="7"/>
        <v>0</v>
      </c>
      <c r="N121" s="408"/>
      <c r="O121" s="408"/>
      <c r="P121" s="411"/>
      <c r="Q121" s="411"/>
      <c r="R121" s="411"/>
      <c r="S121" s="427">
        <f t="shared" si="5"/>
        <v>0</v>
      </c>
      <c r="T121" s="427">
        <f t="shared" si="6"/>
        <v>0</v>
      </c>
      <c r="U121" s="42"/>
      <c r="V121" s="416"/>
      <c r="W121" s="42"/>
      <c r="X121" s="74"/>
      <c r="Y121" s="74"/>
      <c r="Z121" s="74"/>
      <c r="AA121" s="74"/>
      <c r="AB121" s="74"/>
      <c r="AC121" s="42"/>
      <c r="AD121" s="42"/>
      <c r="AE121" s="42"/>
      <c r="AF121" s="42"/>
      <c r="AG121" s="42"/>
      <c r="AH121" s="42"/>
      <c r="AI121" s="75"/>
      <c r="AJ121" s="75"/>
      <c r="AK121" s="75"/>
      <c r="AL121" s="75"/>
      <c r="AM121" s="74"/>
      <c r="AN121" s="72"/>
    </row>
    <row r="122" spans="1:40" s="69" customFormat="1" x14ac:dyDescent="0.25">
      <c r="A122" s="88"/>
      <c r="B122" s="88"/>
      <c r="C122" s="70"/>
      <c r="D122" s="70"/>
      <c r="E122" s="70" t="s">
        <v>8548</v>
      </c>
      <c r="F122" s="70" t="s">
        <v>8664</v>
      </c>
      <c r="G122" s="70"/>
      <c r="H122" s="422" t="s">
        <v>8547</v>
      </c>
      <c r="I122" s="422" t="s">
        <v>8546</v>
      </c>
      <c r="J122" s="418" t="s">
        <v>8535</v>
      </c>
      <c r="K122" s="414">
        <v>1</v>
      </c>
      <c r="L122" s="408"/>
      <c r="M122" s="408">
        <f t="shared" si="7"/>
        <v>0</v>
      </c>
      <c r="N122" s="408"/>
      <c r="O122" s="408"/>
      <c r="P122" s="411"/>
      <c r="Q122" s="411"/>
      <c r="R122" s="411"/>
      <c r="S122" s="427">
        <f t="shared" si="5"/>
        <v>0</v>
      </c>
      <c r="T122" s="427">
        <f t="shared" si="6"/>
        <v>0</v>
      </c>
      <c r="U122" s="42"/>
      <c r="V122" s="416"/>
      <c r="W122" s="42"/>
      <c r="X122" s="74"/>
      <c r="Y122" s="74"/>
      <c r="Z122" s="74"/>
      <c r="AA122" s="74"/>
      <c r="AB122" s="74"/>
      <c r="AC122" s="42"/>
      <c r="AD122" s="42"/>
      <c r="AE122" s="42"/>
      <c r="AF122" s="42"/>
      <c r="AG122" s="42"/>
      <c r="AH122" s="42"/>
      <c r="AI122" s="75"/>
      <c r="AJ122" s="75"/>
      <c r="AK122" s="75"/>
      <c r="AL122" s="75"/>
      <c r="AM122" s="74"/>
      <c r="AN122" s="72"/>
    </row>
    <row r="123" spans="1:40" s="69" customFormat="1" x14ac:dyDescent="0.25">
      <c r="A123" s="88"/>
      <c r="B123" s="88"/>
      <c r="C123" s="70"/>
      <c r="D123" s="70"/>
      <c r="E123" s="70" t="s">
        <v>8548</v>
      </c>
      <c r="F123" s="70" t="s">
        <v>8664</v>
      </c>
      <c r="G123" s="70"/>
      <c r="H123" s="422" t="s">
        <v>8547</v>
      </c>
      <c r="I123" s="422" t="s">
        <v>8546</v>
      </c>
      <c r="J123" s="418" t="s">
        <v>8536</v>
      </c>
      <c r="K123" s="414">
        <v>8</v>
      </c>
      <c r="L123" s="408"/>
      <c r="M123" s="408">
        <f t="shared" si="7"/>
        <v>0</v>
      </c>
      <c r="N123" s="408"/>
      <c r="O123" s="408"/>
      <c r="P123" s="411"/>
      <c r="Q123" s="411"/>
      <c r="R123" s="411"/>
      <c r="S123" s="427">
        <f t="shared" si="5"/>
        <v>0</v>
      </c>
      <c r="T123" s="427">
        <f t="shared" si="6"/>
        <v>0</v>
      </c>
      <c r="U123" s="42"/>
      <c r="V123" s="416"/>
      <c r="W123" s="42"/>
      <c r="X123" s="74"/>
      <c r="Y123" s="74"/>
      <c r="Z123" s="74"/>
      <c r="AA123" s="74"/>
      <c r="AB123" s="74"/>
      <c r="AC123" s="42"/>
      <c r="AD123" s="42"/>
      <c r="AE123" s="42"/>
      <c r="AF123" s="42"/>
      <c r="AG123" s="42"/>
      <c r="AH123" s="42"/>
      <c r="AI123" s="75"/>
      <c r="AJ123" s="75"/>
      <c r="AK123" s="75"/>
      <c r="AL123" s="75"/>
      <c r="AM123" s="74"/>
      <c r="AN123" s="72"/>
    </row>
    <row r="124" spans="1:40" s="69" customFormat="1" x14ac:dyDescent="0.25">
      <c r="A124" s="88"/>
      <c r="B124" s="88"/>
      <c r="C124" s="70"/>
      <c r="D124" s="70"/>
      <c r="E124" s="70" t="s">
        <v>8548</v>
      </c>
      <c r="F124" s="70" t="s">
        <v>8664</v>
      </c>
      <c r="G124" s="70"/>
      <c r="H124" s="422" t="s">
        <v>8547</v>
      </c>
      <c r="I124" s="422" t="s">
        <v>8546</v>
      </c>
      <c r="J124" s="418" t="s">
        <v>8537</v>
      </c>
      <c r="K124" s="414">
        <v>4</v>
      </c>
      <c r="L124" s="408"/>
      <c r="M124" s="408">
        <f t="shared" si="7"/>
        <v>0</v>
      </c>
      <c r="N124" s="408"/>
      <c r="O124" s="408"/>
      <c r="P124" s="411"/>
      <c r="Q124" s="411"/>
      <c r="R124" s="411"/>
      <c r="S124" s="427">
        <f t="shared" si="5"/>
        <v>0</v>
      </c>
      <c r="T124" s="427">
        <f t="shared" si="6"/>
        <v>0</v>
      </c>
      <c r="U124" s="42"/>
      <c r="V124" s="416"/>
      <c r="W124" s="42"/>
      <c r="X124" s="74"/>
      <c r="Y124" s="74"/>
      <c r="Z124" s="74"/>
      <c r="AA124" s="74"/>
      <c r="AB124" s="74"/>
      <c r="AC124" s="42"/>
      <c r="AD124" s="42"/>
      <c r="AE124" s="42"/>
      <c r="AF124" s="42"/>
      <c r="AG124" s="42"/>
      <c r="AH124" s="42"/>
      <c r="AI124" s="75"/>
      <c r="AJ124" s="75"/>
      <c r="AK124" s="75"/>
      <c r="AL124" s="75"/>
      <c r="AM124" s="74"/>
      <c r="AN124" s="72"/>
    </row>
    <row r="125" spans="1:40" s="69" customFormat="1" x14ac:dyDescent="0.25">
      <c r="A125" s="88"/>
      <c r="B125" s="88"/>
      <c r="C125" s="70"/>
      <c r="D125" s="70"/>
      <c r="E125" s="70" t="s">
        <v>8548</v>
      </c>
      <c r="F125" s="70" t="s">
        <v>8664</v>
      </c>
      <c r="G125" s="70"/>
      <c r="H125" s="422" t="s">
        <v>8547</v>
      </c>
      <c r="I125" s="422" t="s">
        <v>8546</v>
      </c>
      <c r="J125" s="418" t="s">
        <v>8538</v>
      </c>
      <c r="K125" s="414">
        <v>2</v>
      </c>
      <c r="L125" s="408"/>
      <c r="M125" s="408">
        <f t="shared" si="7"/>
        <v>0</v>
      </c>
      <c r="N125" s="408"/>
      <c r="O125" s="408"/>
      <c r="P125" s="411"/>
      <c r="Q125" s="411"/>
      <c r="R125" s="411"/>
      <c r="S125" s="427">
        <f t="shared" si="5"/>
        <v>0</v>
      </c>
      <c r="T125" s="427">
        <f t="shared" si="6"/>
        <v>0</v>
      </c>
      <c r="U125" s="42"/>
      <c r="V125" s="416"/>
      <c r="W125" s="42"/>
      <c r="X125" s="74"/>
      <c r="Y125" s="74"/>
      <c r="Z125" s="74"/>
      <c r="AA125" s="74"/>
      <c r="AB125" s="74"/>
      <c r="AC125" s="42"/>
      <c r="AD125" s="42"/>
      <c r="AE125" s="42"/>
      <c r="AF125" s="42"/>
      <c r="AG125" s="42"/>
      <c r="AH125" s="42"/>
      <c r="AI125" s="75"/>
      <c r="AJ125" s="75"/>
      <c r="AK125" s="75"/>
      <c r="AL125" s="75"/>
      <c r="AM125" s="74"/>
      <c r="AN125" s="72"/>
    </row>
    <row r="126" spans="1:40" s="69" customFormat="1" x14ac:dyDescent="0.25">
      <c r="A126" s="88"/>
      <c r="B126" s="88"/>
      <c r="C126" s="70"/>
      <c r="D126" s="70"/>
      <c r="E126" s="70" t="s">
        <v>8548</v>
      </c>
      <c r="F126" s="70" t="s">
        <v>8664</v>
      </c>
      <c r="G126" s="70"/>
      <c r="H126" s="422" t="s">
        <v>8547</v>
      </c>
      <c r="I126" s="422" t="s">
        <v>8546</v>
      </c>
      <c r="J126" s="418" t="s">
        <v>8482</v>
      </c>
      <c r="K126" s="414">
        <v>3</v>
      </c>
      <c r="L126" s="408"/>
      <c r="M126" s="408">
        <f t="shared" si="7"/>
        <v>0</v>
      </c>
      <c r="N126" s="408"/>
      <c r="O126" s="408"/>
      <c r="P126" s="411"/>
      <c r="Q126" s="411"/>
      <c r="R126" s="411"/>
      <c r="S126" s="427">
        <f t="shared" si="5"/>
        <v>0</v>
      </c>
      <c r="T126" s="427">
        <f t="shared" si="6"/>
        <v>0</v>
      </c>
      <c r="U126" s="42"/>
      <c r="V126" s="416"/>
      <c r="W126" s="42"/>
      <c r="X126" s="74"/>
      <c r="Y126" s="74"/>
      <c r="Z126" s="74"/>
      <c r="AA126" s="74"/>
      <c r="AB126" s="74"/>
      <c r="AC126" s="42"/>
      <c r="AD126" s="42"/>
      <c r="AE126" s="42"/>
      <c r="AF126" s="42"/>
      <c r="AG126" s="42"/>
      <c r="AH126" s="42"/>
      <c r="AI126" s="75"/>
      <c r="AJ126" s="75"/>
      <c r="AK126" s="75"/>
      <c r="AL126" s="75"/>
      <c r="AM126" s="74"/>
      <c r="AN126" s="72"/>
    </row>
    <row r="127" spans="1:40" s="69" customFormat="1" x14ac:dyDescent="0.25">
      <c r="A127" s="88"/>
      <c r="B127" s="88"/>
      <c r="C127" s="70"/>
      <c r="D127" s="70"/>
      <c r="E127" s="70" t="s">
        <v>8548</v>
      </c>
      <c r="F127" s="70" t="s">
        <v>8664</v>
      </c>
      <c r="G127" s="70"/>
      <c r="H127" s="422" t="s">
        <v>8547</v>
      </c>
      <c r="I127" s="422" t="s">
        <v>8546</v>
      </c>
      <c r="J127" s="418" t="s">
        <v>8539</v>
      </c>
      <c r="K127" s="414">
        <v>3</v>
      </c>
      <c r="L127" s="408"/>
      <c r="M127" s="408">
        <f t="shared" si="7"/>
        <v>0</v>
      </c>
      <c r="N127" s="408"/>
      <c r="O127" s="408"/>
      <c r="P127" s="411"/>
      <c r="Q127" s="411"/>
      <c r="R127" s="411"/>
      <c r="S127" s="427">
        <f t="shared" si="5"/>
        <v>0</v>
      </c>
      <c r="T127" s="427">
        <f t="shared" si="6"/>
        <v>0</v>
      </c>
      <c r="U127" s="42"/>
      <c r="V127" s="416"/>
      <c r="W127" s="42"/>
      <c r="X127" s="74"/>
      <c r="Y127" s="74"/>
      <c r="Z127" s="74"/>
      <c r="AA127" s="74"/>
      <c r="AB127" s="74"/>
      <c r="AC127" s="42"/>
      <c r="AD127" s="42"/>
      <c r="AE127" s="42"/>
      <c r="AF127" s="42"/>
      <c r="AG127" s="42"/>
      <c r="AH127" s="42"/>
      <c r="AI127" s="75"/>
      <c r="AJ127" s="75"/>
      <c r="AK127" s="75"/>
      <c r="AL127" s="75"/>
      <c r="AM127" s="74"/>
      <c r="AN127" s="72"/>
    </row>
    <row r="128" spans="1:40" s="69" customFormat="1" x14ac:dyDescent="0.25">
      <c r="A128" s="88"/>
      <c r="B128" s="88"/>
      <c r="C128" s="70"/>
      <c r="D128" s="70"/>
      <c r="E128" s="70" t="s">
        <v>8548</v>
      </c>
      <c r="F128" s="70" t="s">
        <v>8664</v>
      </c>
      <c r="G128" s="70"/>
      <c r="H128" s="422" t="s">
        <v>8547</v>
      </c>
      <c r="I128" s="422" t="s">
        <v>8546</v>
      </c>
      <c r="J128" s="418" t="s">
        <v>8540</v>
      </c>
      <c r="K128" s="414">
        <v>1</v>
      </c>
      <c r="L128" s="408"/>
      <c r="M128" s="408">
        <f t="shared" ref="M128:M147" si="8">L128*K128</f>
        <v>0</v>
      </c>
      <c r="N128" s="408"/>
      <c r="O128" s="408"/>
      <c r="P128" s="411"/>
      <c r="Q128" s="411"/>
      <c r="R128" s="411"/>
      <c r="S128" s="427">
        <f t="shared" si="5"/>
        <v>0</v>
      </c>
      <c r="T128" s="427">
        <f t="shared" si="6"/>
        <v>0</v>
      </c>
      <c r="U128" s="42"/>
      <c r="V128" s="416"/>
      <c r="W128" s="42"/>
      <c r="X128" s="74"/>
      <c r="Y128" s="74"/>
      <c r="Z128" s="74"/>
      <c r="AA128" s="74"/>
      <c r="AB128" s="74"/>
      <c r="AC128" s="42"/>
      <c r="AD128" s="42"/>
      <c r="AE128" s="42"/>
      <c r="AF128" s="42"/>
      <c r="AG128" s="42"/>
      <c r="AH128" s="42"/>
      <c r="AI128" s="75"/>
      <c r="AJ128" s="75"/>
      <c r="AK128" s="75"/>
      <c r="AL128" s="75"/>
      <c r="AM128" s="74"/>
      <c r="AN128" s="72"/>
    </row>
    <row r="129" spans="1:40" s="69" customFormat="1" x14ac:dyDescent="0.25">
      <c r="A129" s="88"/>
      <c r="B129" s="88"/>
      <c r="C129" s="70"/>
      <c r="D129" s="70"/>
      <c r="E129" s="70" t="s">
        <v>8548</v>
      </c>
      <c r="F129" s="70" t="s">
        <v>8664</v>
      </c>
      <c r="G129" s="70"/>
      <c r="H129" s="422" t="s">
        <v>8547</v>
      </c>
      <c r="I129" s="422" t="s">
        <v>8546</v>
      </c>
      <c r="J129" s="418" t="s">
        <v>8541</v>
      </c>
      <c r="K129" s="414">
        <v>1</v>
      </c>
      <c r="L129" s="408"/>
      <c r="M129" s="408">
        <f t="shared" si="8"/>
        <v>0</v>
      </c>
      <c r="N129" s="408"/>
      <c r="O129" s="408"/>
      <c r="P129" s="411"/>
      <c r="Q129" s="411"/>
      <c r="R129" s="411"/>
      <c r="S129" s="427">
        <f t="shared" si="5"/>
        <v>0</v>
      </c>
      <c r="T129" s="427">
        <f t="shared" si="6"/>
        <v>0</v>
      </c>
      <c r="U129" s="42"/>
      <c r="V129" s="416"/>
      <c r="W129" s="42"/>
      <c r="X129" s="74"/>
      <c r="Y129" s="74"/>
      <c r="Z129" s="74"/>
      <c r="AA129" s="74"/>
      <c r="AB129" s="74"/>
      <c r="AC129" s="42"/>
      <c r="AD129" s="42"/>
      <c r="AE129" s="42"/>
      <c r="AF129" s="42"/>
      <c r="AG129" s="42"/>
      <c r="AH129" s="42"/>
      <c r="AI129" s="75"/>
      <c r="AJ129" s="75"/>
      <c r="AK129" s="75"/>
      <c r="AL129" s="75"/>
      <c r="AM129" s="74"/>
      <c r="AN129" s="72"/>
    </row>
    <row r="130" spans="1:40" s="69" customFormat="1" x14ac:dyDescent="0.25">
      <c r="A130" s="88"/>
      <c r="B130" s="88"/>
      <c r="C130" s="70"/>
      <c r="D130" s="70"/>
      <c r="E130" s="70" t="s">
        <v>8548</v>
      </c>
      <c r="F130" s="70" t="s">
        <v>8664</v>
      </c>
      <c r="G130" s="70"/>
      <c r="H130" s="422" t="s">
        <v>8547</v>
      </c>
      <c r="I130" s="422" t="s">
        <v>8546</v>
      </c>
      <c r="J130" s="418" t="s">
        <v>8542</v>
      </c>
      <c r="K130" s="414">
        <v>1</v>
      </c>
      <c r="L130" s="408"/>
      <c r="M130" s="408">
        <f t="shared" si="8"/>
        <v>0</v>
      </c>
      <c r="N130" s="408"/>
      <c r="O130" s="408"/>
      <c r="P130" s="411"/>
      <c r="Q130" s="411"/>
      <c r="R130" s="411"/>
      <c r="S130" s="427">
        <f t="shared" si="5"/>
        <v>0</v>
      </c>
      <c r="T130" s="427">
        <f t="shared" si="6"/>
        <v>0</v>
      </c>
      <c r="U130" s="42"/>
      <c r="V130" s="416"/>
      <c r="W130" s="42"/>
      <c r="X130" s="74"/>
      <c r="Y130" s="74"/>
      <c r="Z130" s="74"/>
      <c r="AA130" s="74"/>
      <c r="AB130" s="74"/>
      <c r="AC130" s="42"/>
      <c r="AD130" s="42"/>
      <c r="AE130" s="42"/>
      <c r="AF130" s="42"/>
      <c r="AG130" s="42"/>
      <c r="AH130" s="42"/>
      <c r="AI130" s="75"/>
      <c r="AJ130" s="75"/>
      <c r="AK130" s="75"/>
      <c r="AL130" s="75"/>
      <c r="AM130" s="74"/>
      <c r="AN130" s="72"/>
    </row>
    <row r="131" spans="1:40" s="69" customFormat="1" x14ac:dyDescent="0.25">
      <c r="A131" s="88"/>
      <c r="B131" s="88"/>
      <c r="C131" s="70"/>
      <c r="D131" s="70"/>
      <c r="E131" s="70" t="s">
        <v>8548</v>
      </c>
      <c r="F131" s="70" t="s">
        <v>8664</v>
      </c>
      <c r="G131" s="70"/>
      <c r="H131" s="422" t="s">
        <v>8547</v>
      </c>
      <c r="I131" s="422" t="s">
        <v>8546</v>
      </c>
      <c r="J131" s="418" t="s">
        <v>8543</v>
      </c>
      <c r="K131" s="414">
        <v>16</v>
      </c>
      <c r="L131" s="408"/>
      <c r="M131" s="408">
        <f t="shared" si="8"/>
        <v>0</v>
      </c>
      <c r="N131" s="408"/>
      <c r="O131" s="408"/>
      <c r="P131" s="411"/>
      <c r="Q131" s="411"/>
      <c r="R131" s="411"/>
      <c r="S131" s="427">
        <f t="shared" si="5"/>
        <v>0</v>
      </c>
      <c r="T131" s="427">
        <f t="shared" si="6"/>
        <v>0</v>
      </c>
      <c r="U131" s="42"/>
      <c r="V131" s="416"/>
      <c r="W131" s="42"/>
      <c r="X131" s="74"/>
      <c r="Y131" s="74"/>
      <c r="Z131" s="74"/>
      <c r="AA131" s="74"/>
      <c r="AB131" s="74"/>
      <c r="AC131" s="42"/>
      <c r="AD131" s="42"/>
      <c r="AE131" s="42"/>
      <c r="AF131" s="42"/>
      <c r="AG131" s="42"/>
      <c r="AH131" s="42"/>
      <c r="AI131" s="75"/>
      <c r="AJ131" s="75"/>
      <c r="AK131" s="75"/>
      <c r="AL131" s="75"/>
      <c r="AM131" s="74"/>
      <c r="AN131" s="72"/>
    </row>
    <row r="132" spans="1:40" s="69" customFormat="1" x14ac:dyDescent="0.25">
      <c r="A132" s="88"/>
      <c r="B132" s="88"/>
      <c r="C132" s="70"/>
      <c r="D132" s="70"/>
      <c r="E132" s="70" t="s">
        <v>8548</v>
      </c>
      <c r="F132" s="70" t="s">
        <v>8664</v>
      </c>
      <c r="G132" s="70"/>
      <c r="H132" s="422" t="s">
        <v>8547</v>
      </c>
      <c r="I132" s="422" t="s">
        <v>8546</v>
      </c>
      <c r="J132" s="418" t="s">
        <v>8544</v>
      </c>
      <c r="K132" s="414">
        <v>16</v>
      </c>
      <c r="L132" s="408"/>
      <c r="M132" s="408">
        <f t="shared" si="8"/>
        <v>0</v>
      </c>
      <c r="N132" s="408"/>
      <c r="O132" s="408"/>
      <c r="P132" s="411"/>
      <c r="Q132" s="411"/>
      <c r="R132" s="411"/>
      <c r="S132" s="427">
        <f t="shared" si="5"/>
        <v>0</v>
      </c>
      <c r="T132" s="427">
        <f t="shared" si="6"/>
        <v>0</v>
      </c>
      <c r="U132" s="42"/>
      <c r="V132" s="416"/>
      <c r="W132" s="42"/>
      <c r="X132" s="74"/>
      <c r="Y132" s="74"/>
      <c r="Z132" s="74"/>
      <c r="AA132" s="74"/>
      <c r="AB132" s="74"/>
      <c r="AC132" s="42"/>
      <c r="AD132" s="42"/>
      <c r="AE132" s="42"/>
      <c r="AF132" s="42"/>
      <c r="AG132" s="42"/>
      <c r="AH132" s="42"/>
      <c r="AI132" s="75"/>
      <c r="AJ132" s="75"/>
      <c r="AK132" s="75"/>
      <c r="AL132" s="75"/>
      <c r="AM132" s="74"/>
      <c r="AN132" s="72"/>
    </row>
    <row r="133" spans="1:40" s="69" customFormat="1" x14ac:dyDescent="0.25">
      <c r="A133" s="88"/>
      <c r="B133" s="88"/>
      <c r="C133" s="70"/>
      <c r="D133" s="70"/>
      <c r="E133" s="70" t="s">
        <v>8548</v>
      </c>
      <c r="F133" s="70" t="s">
        <v>8664</v>
      </c>
      <c r="G133" s="70"/>
      <c r="H133" s="422" t="s">
        <v>8547</v>
      </c>
      <c r="I133" s="422" t="s">
        <v>8546</v>
      </c>
      <c r="J133" s="418" t="s">
        <v>8545</v>
      </c>
      <c r="K133" s="414">
        <v>16</v>
      </c>
      <c r="L133" s="408"/>
      <c r="M133" s="408">
        <f t="shared" si="8"/>
        <v>0</v>
      </c>
      <c r="N133" s="408"/>
      <c r="O133" s="408"/>
      <c r="P133" s="411"/>
      <c r="Q133" s="411"/>
      <c r="R133" s="411"/>
      <c r="S133" s="427">
        <f t="shared" si="5"/>
        <v>0</v>
      </c>
      <c r="T133" s="427">
        <f t="shared" si="6"/>
        <v>0</v>
      </c>
      <c r="U133" s="42"/>
      <c r="V133" s="416"/>
      <c r="W133" s="42"/>
      <c r="X133" s="74"/>
      <c r="Y133" s="74"/>
      <c r="Z133" s="74"/>
      <c r="AA133" s="74"/>
      <c r="AB133" s="74"/>
      <c r="AC133" s="42"/>
      <c r="AD133" s="42"/>
      <c r="AE133" s="42"/>
      <c r="AF133" s="42"/>
      <c r="AG133" s="42"/>
      <c r="AH133" s="42"/>
      <c r="AI133" s="75"/>
      <c r="AJ133" s="75"/>
      <c r="AK133" s="75"/>
      <c r="AL133" s="75"/>
      <c r="AM133" s="74"/>
      <c r="AN133" s="72"/>
    </row>
    <row r="134" spans="1:40" s="69" customFormat="1" x14ac:dyDescent="0.25">
      <c r="A134" s="88"/>
      <c r="B134" s="88"/>
      <c r="C134" s="70"/>
      <c r="D134" s="70"/>
      <c r="E134" s="70" t="s">
        <v>8549</v>
      </c>
      <c r="F134" s="70" t="s">
        <v>8664</v>
      </c>
      <c r="G134" s="70"/>
      <c r="H134" s="422" t="s">
        <v>8550</v>
      </c>
      <c r="I134" s="422" t="s">
        <v>8551</v>
      </c>
      <c r="J134" s="418" t="s">
        <v>8533</v>
      </c>
      <c r="K134" s="414">
        <v>2</v>
      </c>
      <c r="L134" s="408"/>
      <c r="M134" s="408">
        <f t="shared" si="8"/>
        <v>0</v>
      </c>
      <c r="N134" s="408"/>
      <c r="O134" s="408"/>
      <c r="P134" s="411"/>
      <c r="Q134" s="411"/>
      <c r="R134" s="411"/>
      <c r="S134" s="427">
        <f t="shared" ref="S134:S197" si="9">M134/$M$3</f>
        <v>0</v>
      </c>
      <c r="T134" s="427">
        <f t="shared" ref="T134:T197" si="10">Q134*M134/$M$3</f>
        <v>0</v>
      </c>
      <c r="U134" s="42"/>
      <c r="V134" s="416"/>
      <c r="W134" s="42"/>
      <c r="X134" s="74"/>
      <c r="Y134" s="74"/>
      <c r="Z134" s="74"/>
      <c r="AA134" s="74"/>
      <c r="AB134" s="74"/>
      <c r="AC134" s="42"/>
      <c r="AD134" s="42"/>
      <c r="AE134" s="42"/>
      <c r="AF134" s="42"/>
      <c r="AG134" s="42"/>
      <c r="AH134" s="42"/>
      <c r="AI134" s="75"/>
      <c r="AJ134" s="75"/>
      <c r="AK134" s="75"/>
      <c r="AL134" s="75"/>
      <c r="AM134" s="74"/>
      <c r="AN134" s="72"/>
    </row>
    <row r="135" spans="1:40" s="69" customFormat="1" x14ac:dyDescent="0.25">
      <c r="A135" s="88"/>
      <c r="B135" s="88"/>
      <c r="C135" s="70"/>
      <c r="D135" s="70"/>
      <c r="E135" s="70" t="s">
        <v>8549</v>
      </c>
      <c r="F135" s="70" t="s">
        <v>8664</v>
      </c>
      <c r="G135" s="70"/>
      <c r="H135" s="422" t="s">
        <v>8550</v>
      </c>
      <c r="I135" s="422" t="s">
        <v>8551</v>
      </c>
      <c r="J135" s="418" t="s">
        <v>8534</v>
      </c>
      <c r="K135" s="414">
        <v>1</v>
      </c>
      <c r="L135" s="408"/>
      <c r="M135" s="408">
        <f t="shared" si="8"/>
        <v>0</v>
      </c>
      <c r="N135" s="408"/>
      <c r="O135" s="408"/>
      <c r="P135" s="411"/>
      <c r="Q135" s="411"/>
      <c r="R135" s="411"/>
      <c r="S135" s="427">
        <f t="shared" si="9"/>
        <v>0</v>
      </c>
      <c r="T135" s="427">
        <f t="shared" si="10"/>
        <v>0</v>
      </c>
      <c r="U135" s="42"/>
      <c r="V135" s="416"/>
      <c r="W135" s="42"/>
      <c r="X135" s="74"/>
      <c r="Y135" s="74"/>
      <c r="Z135" s="74"/>
      <c r="AA135" s="74"/>
      <c r="AB135" s="74"/>
      <c r="AC135" s="42"/>
      <c r="AD135" s="42"/>
      <c r="AE135" s="42"/>
      <c r="AF135" s="42"/>
      <c r="AG135" s="42"/>
      <c r="AH135" s="42"/>
      <c r="AI135" s="75"/>
      <c r="AJ135" s="75"/>
      <c r="AK135" s="75"/>
      <c r="AL135" s="75"/>
      <c r="AM135" s="74"/>
      <c r="AN135" s="72"/>
    </row>
    <row r="136" spans="1:40" s="69" customFormat="1" x14ac:dyDescent="0.25">
      <c r="A136" s="88"/>
      <c r="B136" s="88"/>
      <c r="C136" s="70"/>
      <c r="D136" s="70"/>
      <c r="E136" s="70" t="s">
        <v>8549</v>
      </c>
      <c r="F136" s="70" t="s">
        <v>8664</v>
      </c>
      <c r="G136" s="70"/>
      <c r="H136" s="422" t="s">
        <v>8550</v>
      </c>
      <c r="I136" s="422" t="s">
        <v>8551</v>
      </c>
      <c r="J136" s="418" t="s">
        <v>8535</v>
      </c>
      <c r="K136" s="414">
        <v>1</v>
      </c>
      <c r="L136" s="408"/>
      <c r="M136" s="408">
        <f t="shared" si="8"/>
        <v>0</v>
      </c>
      <c r="N136" s="408"/>
      <c r="O136" s="408"/>
      <c r="P136" s="411"/>
      <c r="Q136" s="411"/>
      <c r="R136" s="411"/>
      <c r="S136" s="427">
        <f t="shared" si="9"/>
        <v>0</v>
      </c>
      <c r="T136" s="427">
        <f t="shared" si="10"/>
        <v>0</v>
      </c>
      <c r="U136" s="42"/>
      <c r="V136" s="416"/>
      <c r="W136" s="42"/>
      <c r="X136" s="74"/>
      <c r="Y136" s="74"/>
      <c r="Z136" s="74"/>
      <c r="AA136" s="74"/>
      <c r="AB136" s="74"/>
      <c r="AC136" s="42"/>
      <c r="AD136" s="42"/>
      <c r="AE136" s="42"/>
      <c r="AF136" s="42"/>
      <c r="AG136" s="42"/>
      <c r="AH136" s="42"/>
      <c r="AI136" s="75"/>
      <c r="AJ136" s="75"/>
      <c r="AK136" s="75"/>
      <c r="AL136" s="75"/>
      <c r="AM136" s="74"/>
      <c r="AN136" s="72"/>
    </row>
    <row r="137" spans="1:40" s="69" customFormat="1" x14ac:dyDescent="0.25">
      <c r="A137" s="88"/>
      <c r="B137" s="88"/>
      <c r="C137" s="70"/>
      <c r="D137" s="70"/>
      <c r="E137" s="70" t="s">
        <v>8549</v>
      </c>
      <c r="F137" s="70" t="s">
        <v>8664</v>
      </c>
      <c r="G137" s="70"/>
      <c r="H137" s="422" t="s">
        <v>8550</v>
      </c>
      <c r="I137" s="422" t="s">
        <v>8551</v>
      </c>
      <c r="J137" s="418" t="s">
        <v>8536</v>
      </c>
      <c r="K137" s="414">
        <v>8</v>
      </c>
      <c r="L137" s="408"/>
      <c r="M137" s="408">
        <f t="shared" si="8"/>
        <v>0</v>
      </c>
      <c r="N137" s="408"/>
      <c r="O137" s="408"/>
      <c r="P137" s="411"/>
      <c r="Q137" s="411"/>
      <c r="R137" s="411"/>
      <c r="S137" s="427">
        <f t="shared" si="9"/>
        <v>0</v>
      </c>
      <c r="T137" s="427">
        <f t="shared" si="10"/>
        <v>0</v>
      </c>
      <c r="U137" s="42"/>
      <c r="V137" s="416"/>
      <c r="W137" s="42"/>
      <c r="X137" s="74"/>
      <c r="Y137" s="74"/>
      <c r="Z137" s="74"/>
      <c r="AA137" s="74"/>
      <c r="AB137" s="74"/>
      <c r="AC137" s="42"/>
      <c r="AD137" s="42"/>
      <c r="AE137" s="42"/>
      <c r="AF137" s="42"/>
      <c r="AG137" s="42"/>
      <c r="AH137" s="42"/>
      <c r="AI137" s="75"/>
      <c r="AJ137" s="75"/>
      <c r="AK137" s="75"/>
      <c r="AL137" s="75"/>
      <c r="AM137" s="74"/>
      <c r="AN137" s="72"/>
    </row>
    <row r="138" spans="1:40" s="69" customFormat="1" x14ac:dyDescent="0.25">
      <c r="A138" s="88"/>
      <c r="B138" s="88"/>
      <c r="C138" s="70"/>
      <c r="D138" s="70"/>
      <c r="E138" s="70" t="s">
        <v>8549</v>
      </c>
      <c r="F138" s="70" t="s">
        <v>8664</v>
      </c>
      <c r="G138" s="70"/>
      <c r="H138" s="422" t="s">
        <v>8550</v>
      </c>
      <c r="I138" s="422" t="s">
        <v>8551</v>
      </c>
      <c r="J138" s="418" t="s">
        <v>8537</v>
      </c>
      <c r="K138" s="414">
        <v>4</v>
      </c>
      <c r="L138" s="408"/>
      <c r="M138" s="408">
        <f t="shared" si="8"/>
        <v>0</v>
      </c>
      <c r="N138" s="408"/>
      <c r="O138" s="408"/>
      <c r="P138" s="411"/>
      <c r="Q138" s="411"/>
      <c r="R138" s="411"/>
      <c r="S138" s="427">
        <f t="shared" si="9"/>
        <v>0</v>
      </c>
      <c r="T138" s="427">
        <f t="shared" si="10"/>
        <v>0</v>
      </c>
      <c r="U138" s="42"/>
      <c r="V138" s="416"/>
      <c r="W138" s="42"/>
      <c r="X138" s="74"/>
      <c r="Y138" s="74"/>
      <c r="Z138" s="74"/>
      <c r="AA138" s="74"/>
      <c r="AB138" s="74"/>
      <c r="AC138" s="42"/>
      <c r="AD138" s="42"/>
      <c r="AE138" s="42"/>
      <c r="AF138" s="42"/>
      <c r="AG138" s="42"/>
      <c r="AH138" s="42"/>
      <c r="AI138" s="75"/>
      <c r="AJ138" s="75"/>
      <c r="AK138" s="75"/>
      <c r="AL138" s="75"/>
      <c r="AM138" s="74"/>
      <c r="AN138" s="72"/>
    </row>
    <row r="139" spans="1:40" s="69" customFormat="1" x14ac:dyDescent="0.25">
      <c r="A139" s="88"/>
      <c r="B139" s="88"/>
      <c r="C139" s="70"/>
      <c r="D139" s="70"/>
      <c r="E139" s="70" t="s">
        <v>8549</v>
      </c>
      <c r="F139" s="70" t="s">
        <v>8664</v>
      </c>
      <c r="G139" s="70"/>
      <c r="H139" s="422" t="s">
        <v>8550</v>
      </c>
      <c r="I139" s="422" t="s">
        <v>8551</v>
      </c>
      <c r="J139" s="418" t="s">
        <v>8538</v>
      </c>
      <c r="K139" s="414">
        <v>3</v>
      </c>
      <c r="L139" s="408"/>
      <c r="M139" s="408">
        <f t="shared" si="8"/>
        <v>0</v>
      </c>
      <c r="N139" s="408"/>
      <c r="O139" s="408"/>
      <c r="P139" s="411"/>
      <c r="Q139" s="411"/>
      <c r="R139" s="411"/>
      <c r="S139" s="427">
        <f t="shared" si="9"/>
        <v>0</v>
      </c>
      <c r="T139" s="427">
        <f t="shared" si="10"/>
        <v>0</v>
      </c>
      <c r="U139" s="42"/>
      <c r="V139" s="416"/>
      <c r="W139" s="42"/>
      <c r="X139" s="74"/>
      <c r="Y139" s="74"/>
      <c r="Z139" s="74"/>
      <c r="AA139" s="74"/>
      <c r="AB139" s="74"/>
      <c r="AC139" s="42"/>
      <c r="AD139" s="42"/>
      <c r="AE139" s="42"/>
      <c r="AF139" s="42"/>
      <c r="AG139" s="42"/>
      <c r="AH139" s="42"/>
      <c r="AI139" s="75"/>
      <c r="AJ139" s="75"/>
      <c r="AK139" s="75"/>
      <c r="AL139" s="75"/>
      <c r="AM139" s="74"/>
      <c r="AN139" s="72"/>
    </row>
    <row r="140" spans="1:40" s="69" customFormat="1" x14ac:dyDescent="0.25">
      <c r="A140" s="88"/>
      <c r="B140" s="88"/>
      <c r="C140" s="70"/>
      <c r="D140" s="70"/>
      <c r="E140" s="70" t="s">
        <v>8549</v>
      </c>
      <c r="F140" s="70" t="s">
        <v>8664</v>
      </c>
      <c r="G140" s="70"/>
      <c r="H140" s="422" t="s">
        <v>8550</v>
      </c>
      <c r="I140" s="422" t="s">
        <v>8551</v>
      </c>
      <c r="J140" s="418" t="s">
        <v>8482</v>
      </c>
      <c r="K140" s="414">
        <v>3</v>
      </c>
      <c r="L140" s="408"/>
      <c r="M140" s="408">
        <f t="shared" si="8"/>
        <v>0</v>
      </c>
      <c r="N140" s="408"/>
      <c r="O140" s="408"/>
      <c r="P140" s="411"/>
      <c r="Q140" s="411"/>
      <c r="R140" s="411"/>
      <c r="S140" s="427">
        <f t="shared" si="9"/>
        <v>0</v>
      </c>
      <c r="T140" s="427">
        <f t="shared" si="10"/>
        <v>0</v>
      </c>
      <c r="U140" s="42"/>
      <c r="V140" s="416"/>
      <c r="W140" s="42"/>
      <c r="X140" s="74"/>
      <c r="Y140" s="74"/>
      <c r="Z140" s="74"/>
      <c r="AA140" s="74"/>
      <c r="AB140" s="74"/>
      <c r="AC140" s="42"/>
      <c r="AD140" s="42"/>
      <c r="AE140" s="42"/>
      <c r="AF140" s="42"/>
      <c r="AG140" s="42"/>
      <c r="AH140" s="42"/>
      <c r="AI140" s="75"/>
      <c r="AJ140" s="75"/>
      <c r="AK140" s="75"/>
      <c r="AL140" s="75"/>
      <c r="AM140" s="74"/>
      <c r="AN140" s="72"/>
    </row>
    <row r="141" spans="1:40" s="69" customFormat="1" x14ac:dyDescent="0.25">
      <c r="A141" s="88"/>
      <c r="B141" s="88"/>
      <c r="C141" s="70"/>
      <c r="D141" s="70"/>
      <c r="E141" s="70" t="s">
        <v>8549</v>
      </c>
      <c r="F141" s="70" t="s">
        <v>8664</v>
      </c>
      <c r="G141" s="70"/>
      <c r="H141" s="422" t="s">
        <v>8550</v>
      </c>
      <c r="I141" s="422" t="s">
        <v>8551</v>
      </c>
      <c r="J141" s="418" t="s">
        <v>8539</v>
      </c>
      <c r="K141" s="414">
        <v>3</v>
      </c>
      <c r="L141" s="408"/>
      <c r="M141" s="408">
        <f t="shared" si="8"/>
        <v>0</v>
      </c>
      <c r="N141" s="408"/>
      <c r="O141" s="408"/>
      <c r="P141" s="411"/>
      <c r="Q141" s="411"/>
      <c r="R141" s="411"/>
      <c r="S141" s="427">
        <f t="shared" si="9"/>
        <v>0</v>
      </c>
      <c r="T141" s="427">
        <f t="shared" si="10"/>
        <v>0</v>
      </c>
      <c r="U141" s="42"/>
      <c r="V141" s="416"/>
      <c r="W141" s="42"/>
      <c r="X141" s="74"/>
      <c r="Y141" s="74"/>
      <c r="Z141" s="74"/>
      <c r="AA141" s="74"/>
      <c r="AB141" s="74"/>
      <c r="AC141" s="42"/>
      <c r="AD141" s="42"/>
      <c r="AE141" s="42"/>
      <c r="AF141" s="42"/>
      <c r="AG141" s="42"/>
      <c r="AH141" s="42"/>
      <c r="AI141" s="75"/>
      <c r="AJ141" s="75"/>
      <c r="AK141" s="75"/>
      <c r="AL141" s="75"/>
      <c r="AM141" s="74"/>
      <c r="AN141" s="72"/>
    </row>
    <row r="142" spans="1:40" s="69" customFormat="1" x14ac:dyDescent="0.25">
      <c r="A142" s="88"/>
      <c r="B142" s="88"/>
      <c r="C142" s="70"/>
      <c r="D142" s="70"/>
      <c r="E142" s="70" t="s">
        <v>8549</v>
      </c>
      <c r="F142" s="70" t="s">
        <v>8664</v>
      </c>
      <c r="G142" s="70"/>
      <c r="H142" s="422" t="s">
        <v>8550</v>
      </c>
      <c r="I142" s="422" t="s">
        <v>8551</v>
      </c>
      <c r="J142" s="418" t="s">
        <v>8540</v>
      </c>
      <c r="K142" s="414">
        <v>1</v>
      </c>
      <c r="L142" s="408"/>
      <c r="M142" s="408">
        <f t="shared" si="8"/>
        <v>0</v>
      </c>
      <c r="N142" s="408"/>
      <c r="O142" s="408"/>
      <c r="P142" s="411"/>
      <c r="Q142" s="411"/>
      <c r="R142" s="411"/>
      <c r="S142" s="427">
        <f t="shared" si="9"/>
        <v>0</v>
      </c>
      <c r="T142" s="427">
        <f t="shared" si="10"/>
        <v>0</v>
      </c>
      <c r="U142" s="42"/>
      <c r="V142" s="416"/>
      <c r="W142" s="42"/>
      <c r="X142" s="74"/>
      <c r="Y142" s="74"/>
      <c r="Z142" s="74"/>
      <c r="AA142" s="74"/>
      <c r="AB142" s="74"/>
      <c r="AC142" s="42"/>
      <c r="AD142" s="42"/>
      <c r="AE142" s="42"/>
      <c r="AF142" s="42"/>
      <c r="AG142" s="42"/>
      <c r="AH142" s="42"/>
      <c r="AI142" s="75"/>
      <c r="AJ142" s="75"/>
      <c r="AK142" s="75"/>
      <c r="AL142" s="75"/>
      <c r="AM142" s="74"/>
      <c r="AN142" s="72"/>
    </row>
    <row r="143" spans="1:40" s="69" customFormat="1" x14ac:dyDescent="0.25">
      <c r="A143" s="88"/>
      <c r="B143" s="88"/>
      <c r="C143" s="70"/>
      <c r="D143" s="70"/>
      <c r="E143" s="70" t="s">
        <v>8549</v>
      </c>
      <c r="F143" s="70" t="s">
        <v>8664</v>
      </c>
      <c r="G143" s="70"/>
      <c r="H143" s="422" t="s">
        <v>8550</v>
      </c>
      <c r="I143" s="422" t="s">
        <v>8551</v>
      </c>
      <c r="J143" s="418" t="s">
        <v>8541</v>
      </c>
      <c r="K143" s="414">
        <v>1</v>
      </c>
      <c r="L143" s="408"/>
      <c r="M143" s="408">
        <f t="shared" si="8"/>
        <v>0</v>
      </c>
      <c r="N143" s="408"/>
      <c r="O143" s="408"/>
      <c r="P143" s="411"/>
      <c r="Q143" s="411"/>
      <c r="R143" s="411"/>
      <c r="S143" s="427">
        <f t="shared" si="9"/>
        <v>0</v>
      </c>
      <c r="T143" s="427">
        <f t="shared" si="10"/>
        <v>0</v>
      </c>
      <c r="U143" s="42"/>
      <c r="V143" s="416"/>
      <c r="W143" s="42"/>
      <c r="X143" s="74"/>
      <c r="Y143" s="74"/>
      <c r="Z143" s="74"/>
      <c r="AA143" s="74"/>
      <c r="AB143" s="74"/>
      <c r="AC143" s="42"/>
      <c r="AD143" s="42"/>
      <c r="AE143" s="42"/>
      <c r="AF143" s="42"/>
      <c r="AG143" s="42"/>
      <c r="AH143" s="42"/>
      <c r="AI143" s="75"/>
      <c r="AJ143" s="75"/>
      <c r="AK143" s="75"/>
      <c r="AL143" s="75"/>
      <c r="AM143" s="74"/>
      <c r="AN143" s="72"/>
    </row>
    <row r="144" spans="1:40" s="69" customFormat="1" x14ac:dyDescent="0.25">
      <c r="A144" s="88"/>
      <c r="B144" s="88"/>
      <c r="C144" s="70"/>
      <c r="D144" s="70"/>
      <c r="E144" s="70" t="s">
        <v>8549</v>
      </c>
      <c r="F144" s="70" t="s">
        <v>8664</v>
      </c>
      <c r="G144" s="70"/>
      <c r="H144" s="422" t="s">
        <v>8550</v>
      </c>
      <c r="I144" s="422" t="s">
        <v>8551</v>
      </c>
      <c r="J144" s="418" t="s">
        <v>8542</v>
      </c>
      <c r="K144" s="414">
        <v>1</v>
      </c>
      <c r="L144" s="408"/>
      <c r="M144" s="408">
        <f t="shared" si="8"/>
        <v>0</v>
      </c>
      <c r="N144" s="408"/>
      <c r="O144" s="408"/>
      <c r="P144" s="411"/>
      <c r="Q144" s="411"/>
      <c r="R144" s="411"/>
      <c r="S144" s="427">
        <f t="shared" si="9"/>
        <v>0</v>
      </c>
      <c r="T144" s="427">
        <f t="shared" si="10"/>
        <v>0</v>
      </c>
      <c r="U144" s="42"/>
      <c r="V144" s="416"/>
      <c r="W144" s="42"/>
      <c r="X144" s="74"/>
      <c r="Y144" s="74"/>
      <c r="Z144" s="74"/>
      <c r="AA144" s="74"/>
      <c r="AB144" s="74"/>
      <c r="AC144" s="42"/>
      <c r="AD144" s="42"/>
      <c r="AE144" s="42"/>
      <c r="AF144" s="42"/>
      <c r="AG144" s="42"/>
      <c r="AH144" s="42"/>
      <c r="AI144" s="75"/>
      <c r="AJ144" s="75"/>
      <c r="AK144" s="75"/>
      <c r="AL144" s="75"/>
      <c r="AM144" s="74"/>
      <c r="AN144" s="72"/>
    </row>
    <row r="145" spans="1:40" s="69" customFormat="1" x14ac:dyDescent="0.25">
      <c r="A145" s="88"/>
      <c r="B145" s="88"/>
      <c r="C145" s="70"/>
      <c r="D145" s="70"/>
      <c r="E145" s="70" t="s">
        <v>8549</v>
      </c>
      <c r="F145" s="70" t="s">
        <v>8664</v>
      </c>
      <c r="G145" s="70"/>
      <c r="H145" s="422" t="s">
        <v>8550</v>
      </c>
      <c r="I145" s="422" t="s">
        <v>8551</v>
      </c>
      <c r="J145" s="418" t="s">
        <v>8543</v>
      </c>
      <c r="K145" s="414">
        <v>16</v>
      </c>
      <c r="L145" s="408"/>
      <c r="M145" s="408">
        <f t="shared" si="8"/>
        <v>0</v>
      </c>
      <c r="N145" s="408"/>
      <c r="O145" s="408"/>
      <c r="P145" s="411"/>
      <c r="Q145" s="411"/>
      <c r="R145" s="411"/>
      <c r="S145" s="427">
        <f t="shared" si="9"/>
        <v>0</v>
      </c>
      <c r="T145" s="427">
        <f t="shared" si="10"/>
        <v>0</v>
      </c>
      <c r="U145" s="42"/>
      <c r="V145" s="416"/>
      <c r="W145" s="42"/>
      <c r="X145" s="74"/>
      <c r="Y145" s="74"/>
      <c r="Z145" s="74"/>
      <c r="AA145" s="74"/>
      <c r="AB145" s="74"/>
      <c r="AC145" s="42"/>
      <c r="AD145" s="42"/>
      <c r="AE145" s="42"/>
      <c r="AF145" s="42"/>
      <c r="AG145" s="42"/>
      <c r="AH145" s="42"/>
      <c r="AI145" s="75"/>
      <c r="AJ145" s="75"/>
      <c r="AK145" s="75"/>
      <c r="AL145" s="75"/>
      <c r="AM145" s="74"/>
      <c r="AN145" s="72"/>
    </row>
    <row r="146" spans="1:40" s="69" customFormat="1" x14ac:dyDescent="0.25">
      <c r="A146" s="88"/>
      <c r="B146" s="88"/>
      <c r="C146" s="70"/>
      <c r="D146" s="70"/>
      <c r="E146" s="70" t="s">
        <v>8549</v>
      </c>
      <c r="F146" s="70" t="s">
        <v>8664</v>
      </c>
      <c r="G146" s="70"/>
      <c r="H146" s="422" t="s">
        <v>8550</v>
      </c>
      <c r="I146" s="422" t="s">
        <v>8551</v>
      </c>
      <c r="J146" s="418" t="s">
        <v>8544</v>
      </c>
      <c r="K146" s="414">
        <v>16</v>
      </c>
      <c r="L146" s="408"/>
      <c r="M146" s="408">
        <f t="shared" si="8"/>
        <v>0</v>
      </c>
      <c r="N146" s="408"/>
      <c r="O146" s="408"/>
      <c r="P146" s="411"/>
      <c r="Q146" s="411"/>
      <c r="R146" s="411"/>
      <c r="S146" s="427">
        <f t="shared" si="9"/>
        <v>0</v>
      </c>
      <c r="T146" s="427">
        <f t="shared" si="10"/>
        <v>0</v>
      </c>
      <c r="U146" s="42"/>
      <c r="V146" s="416"/>
      <c r="W146" s="42"/>
      <c r="X146" s="74"/>
      <c r="Y146" s="74"/>
      <c r="Z146" s="74"/>
      <c r="AA146" s="74"/>
      <c r="AB146" s="74"/>
      <c r="AC146" s="42"/>
      <c r="AD146" s="42"/>
      <c r="AE146" s="42"/>
      <c r="AF146" s="42"/>
      <c r="AG146" s="42"/>
      <c r="AH146" s="42"/>
      <c r="AI146" s="75"/>
      <c r="AJ146" s="75"/>
      <c r="AK146" s="75"/>
      <c r="AL146" s="75"/>
      <c r="AM146" s="74"/>
      <c r="AN146" s="72"/>
    </row>
    <row r="147" spans="1:40" s="69" customFormat="1" x14ac:dyDescent="0.25">
      <c r="A147" s="88"/>
      <c r="B147" s="88"/>
      <c r="C147" s="70"/>
      <c r="D147" s="70"/>
      <c r="E147" s="70" t="s">
        <v>8549</v>
      </c>
      <c r="F147" s="70" t="s">
        <v>8664</v>
      </c>
      <c r="G147" s="70"/>
      <c r="H147" s="422" t="s">
        <v>8550</v>
      </c>
      <c r="I147" s="422" t="s">
        <v>8551</v>
      </c>
      <c r="J147" s="418" t="s">
        <v>8545</v>
      </c>
      <c r="K147" s="414">
        <v>16</v>
      </c>
      <c r="L147" s="408"/>
      <c r="M147" s="408">
        <f t="shared" si="8"/>
        <v>0</v>
      </c>
      <c r="N147" s="408"/>
      <c r="O147" s="408"/>
      <c r="P147" s="411"/>
      <c r="Q147" s="411"/>
      <c r="R147" s="411"/>
      <c r="S147" s="427">
        <f t="shared" si="9"/>
        <v>0</v>
      </c>
      <c r="T147" s="427">
        <f t="shared" si="10"/>
        <v>0</v>
      </c>
      <c r="U147" s="42"/>
      <c r="V147" s="416"/>
      <c r="W147" s="42"/>
      <c r="X147" s="74"/>
      <c r="Y147" s="74"/>
      <c r="Z147" s="74"/>
      <c r="AA147" s="74"/>
      <c r="AB147" s="74"/>
      <c r="AC147" s="42"/>
      <c r="AD147" s="42"/>
      <c r="AE147" s="42"/>
      <c r="AF147" s="42"/>
      <c r="AG147" s="42"/>
      <c r="AH147" s="42"/>
      <c r="AI147" s="75"/>
      <c r="AJ147" s="75"/>
      <c r="AK147" s="75"/>
      <c r="AL147" s="75"/>
      <c r="AM147" s="74"/>
      <c r="AN147" s="72"/>
    </row>
    <row r="148" spans="1:40" s="69" customFormat="1" x14ac:dyDescent="0.25">
      <c r="A148" s="88"/>
      <c r="B148" s="88"/>
      <c r="C148" s="70"/>
      <c r="D148" s="70"/>
      <c r="E148" s="70" t="s">
        <v>8566</v>
      </c>
      <c r="F148" s="70">
        <v>0</v>
      </c>
      <c r="G148" s="70" t="s">
        <v>8658</v>
      </c>
      <c r="H148" s="422" t="s">
        <v>8478</v>
      </c>
      <c r="I148" s="422" t="s">
        <v>8565</v>
      </c>
      <c r="J148" s="418" t="s">
        <v>8552</v>
      </c>
      <c r="K148" s="414">
        <v>1</v>
      </c>
      <c r="L148" s="408">
        <v>2820</v>
      </c>
      <c r="M148" s="408">
        <f t="shared" ref="M148:M191" si="11">L148*K148</f>
        <v>2820</v>
      </c>
      <c r="N148" s="408"/>
      <c r="O148" s="408"/>
      <c r="P148" s="411"/>
      <c r="Q148" s="411"/>
      <c r="R148" s="411"/>
      <c r="S148" s="427">
        <f t="shared" si="9"/>
        <v>2.6402417787365035E-2</v>
      </c>
      <c r="T148" s="427">
        <f t="shared" si="10"/>
        <v>0</v>
      </c>
      <c r="U148" s="42"/>
      <c r="V148" s="416"/>
      <c r="W148" s="42"/>
      <c r="X148" s="74"/>
      <c r="Y148" s="74"/>
      <c r="Z148" s="74"/>
      <c r="AA148" s="74"/>
      <c r="AB148" s="74"/>
      <c r="AC148" s="42"/>
      <c r="AD148" s="42"/>
      <c r="AE148" s="42"/>
      <c r="AF148" s="42"/>
      <c r="AG148" s="42"/>
      <c r="AH148" s="42"/>
      <c r="AI148" s="75"/>
      <c r="AJ148" s="75"/>
      <c r="AK148" s="75"/>
      <c r="AL148" s="75"/>
      <c r="AM148" s="74"/>
      <c r="AN148" s="72"/>
    </row>
    <row r="149" spans="1:40" s="69" customFormat="1" x14ac:dyDescent="0.25">
      <c r="A149" s="88"/>
      <c r="B149" s="88"/>
      <c r="C149" s="70"/>
      <c r="D149" s="70"/>
      <c r="E149" s="70" t="s">
        <v>8566</v>
      </c>
      <c r="F149" s="70">
        <v>0</v>
      </c>
      <c r="G149" s="70" t="s">
        <v>8658</v>
      </c>
      <c r="H149" s="422" t="s">
        <v>8478</v>
      </c>
      <c r="I149" s="422" t="s">
        <v>8565</v>
      </c>
      <c r="J149" s="418" t="s">
        <v>8553</v>
      </c>
      <c r="K149" s="414">
        <v>1</v>
      </c>
      <c r="L149" s="408">
        <v>1975</v>
      </c>
      <c r="M149" s="408">
        <f t="shared" si="11"/>
        <v>1975</v>
      </c>
      <c r="N149" s="408"/>
      <c r="O149" s="408"/>
      <c r="P149" s="411"/>
      <c r="Q149" s="411"/>
      <c r="R149" s="411"/>
      <c r="S149" s="427">
        <f t="shared" si="9"/>
        <v>1.8491055010654591E-2</v>
      </c>
      <c r="T149" s="427">
        <f t="shared" si="10"/>
        <v>0</v>
      </c>
      <c r="U149" s="42"/>
      <c r="V149" s="416"/>
      <c r="W149" s="42"/>
      <c r="X149" s="74"/>
      <c r="Y149" s="74"/>
      <c r="Z149" s="74"/>
      <c r="AA149" s="74"/>
      <c r="AB149" s="74"/>
      <c r="AC149" s="42"/>
      <c r="AD149" s="42"/>
      <c r="AE149" s="42"/>
      <c r="AF149" s="42"/>
      <c r="AG149" s="42"/>
      <c r="AH149" s="42"/>
      <c r="AI149" s="75"/>
      <c r="AJ149" s="75"/>
      <c r="AK149" s="75"/>
      <c r="AL149" s="75"/>
      <c r="AM149" s="74"/>
      <c r="AN149" s="72"/>
    </row>
    <row r="150" spans="1:40" s="69" customFormat="1" x14ac:dyDescent="0.25">
      <c r="A150" s="88"/>
      <c r="B150" s="88"/>
      <c r="C150" s="70"/>
      <c r="D150" s="70"/>
      <c r="E150" s="70" t="s">
        <v>8566</v>
      </c>
      <c r="F150" s="70">
        <v>0</v>
      </c>
      <c r="G150" s="70" t="s">
        <v>8658</v>
      </c>
      <c r="H150" s="422" t="s">
        <v>8478</v>
      </c>
      <c r="I150" s="422" t="s">
        <v>8565</v>
      </c>
      <c r="J150" s="418" t="s">
        <v>8554</v>
      </c>
      <c r="K150" s="414">
        <v>36</v>
      </c>
      <c r="L150" s="408">
        <v>0.58333333333333337</v>
      </c>
      <c r="M150" s="408">
        <f t="shared" si="11"/>
        <v>21</v>
      </c>
      <c r="N150" s="408"/>
      <c r="O150" s="408"/>
      <c r="P150" s="411"/>
      <c r="Q150" s="411"/>
      <c r="R150" s="411"/>
      <c r="S150" s="427">
        <f t="shared" si="9"/>
        <v>1.9661374948037793E-4</v>
      </c>
      <c r="T150" s="427">
        <f t="shared" si="10"/>
        <v>0</v>
      </c>
      <c r="U150" s="42"/>
      <c r="V150" s="416"/>
      <c r="W150" s="42"/>
      <c r="X150" s="74"/>
      <c r="Y150" s="74"/>
      <c r="Z150" s="74"/>
      <c r="AA150" s="74"/>
      <c r="AB150" s="74"/>
      <c r="AC150" s="42"/>
      <c r="AD150" s="42"/>
      <c r="AE150" s="42"/>
      <c r="AF150" s="42"/>
      <c r="AG150" s="42"/>
      <c r="AH150" s="42"/>
      <c r="AI150" s="75"/>
      <c r="AJ150" s="75"/>
      <c r="AK150" s="75"/>
      <c r="AL150" s="75"/>
      <c r="AM150" s="74"/>
      <c r="AN150" s="72"/>
    </row>
    <row r="151" spans="1:40" s="69" customFormat="1" x14ac:dyDescent="0.25">
      <c r="A151" s="88"/>
      <c r="B151" s="88"/>
      <c r="C151" s="70"/>
      <c r="D151" s="70"/>
      <c r="E151" s="70" t="s">
        <v>8566</v>
      </c>
      <c r="F151" s="70">
        <v>0</v>
      </c>
      <c r="G151" s="70" t="s">
        <v>8658</v>
      </c>
      <c r="H151" s="422" t="s">
        <v>8478</v>
      </c>
      <c r="I151" s="422" t="s">
        <v>8565</v>
      </c>
      <c r="J151" s="418" t="s">
        <v>8555</v>
      </c>
      <c r="K151" s="414">
        <v>109</v>
      </c>
      <c r="L151" s="408">
        <v>0.19266055045871561</v>
      </c>
      <c r="M151" s="408">
        <f t="shared" si="11"/>
        <v>21</v>
      </c>
      <c r="N151" s="408"/>
      <c r="O151" s="408"/>
      <c r="P151" s="411"/>
      <c r="Q151" s="411"/>
      <c r="R151" s="411"/>
      <c r="S151" s="427">
        <f t="shared" si="9"/>
        <v>1.9661374948037793E-4</v>
      </c>
      <c r="T151" s="427">
        <f t="shared" si="10"/>
        <v>0</v>
      </c>
      <c r="U151" s="42"/>
      <c r="V151" s="416"/>
      <c r="W151" s="42"/>
      <c r="X151" s="74"/>
      <c r="Y151" s="74"/>
      <c r="Z151" s="74"/>
      <c r="AA151" s="74"/>
      <c r="AB151" s="74"/>
      <c r="AC151" s="42"/>
      <c r="AD151" s="42"/>
      <c r="AE151" s="42"/>
      <c r="AF151" s="42"/>
      <c r="AG151" s="42"/>
      <c r="AH151" s="42"/>
      <c r="AI151" s="75"/>
      <c r="AJ151" s="75"/>
      <c r="AK151" s="75"/>
      <c r="AL151" s="75"/>
      <c r="AM151" s="74"/>
      <c r="AN151" s="72"/>
    </row>
    <row r="152" spans="1:40" s="69" customFormat="1" x14ac:dyDescent="0.25">
      <c r="A152" s="88"/>
      <c r="B152" s="88"/>
      <c r="C152" s="70"/>
      <c r="D152" s="70"/>
      <c r="E152" s="70" t="s">
        <v>8566</v>
      </c>
      <c r="F152" s="70">
        <v>0</v>
      </c>
      <c r="G152" s="70" t="s">
        <v>8658</v>
      </c>
      <c r="H152" s="422" t="s">
        <v>8478</v>
      </c>
      <c r="I152" s="422" t="s">
        <v>8565</v>
      </c>
      <c r="J152" s="418" t="s">
        <v>8556</v>
      </c>
      <c r="K152" s="414">
        <v>109</v>
      </c>
      <c r="L152" s="408">
        <v>4.5871559633027525E-2</v>
      </c>
      <c r="M152" s="408">
        <f t="shared" si="11"/>
        <v>5</v>
      </c>
      <c r="N152" s="408"/>
      <c r="O152" s="408"/>
      <c r="P152" s="411"/>
      <c r="Q152" s="411"/>
      <c r="R152" s="411"/>
      <c r="S152" s="427">
        <f t="shared" si="9"/>
        <v>4.6812797495328081E-5</v>
      </c>
      <c r="T152" s="427">
        <f t="shared" si="10"/>
        <v>0</v>
      </c>
      <c r="U152" s="42"/>
      <c r="V152" s="416"/>
      <c r="W152" s="42"/>
      <c r="X152" s="74"/>
      <c r="Y152" s="74"/>
      <c r="Z152" s="74"/>
      <c r="AA152" s="74"/>
      <c r="AB152" s="74"/>
      <c r="AC152" s="42"/>
      <c r="AD152" s="42"/>
      <c r="AE152" s="42"/>
      <c r="AF152" s="42"/>
      <c r="AG152" s="42"/>
      <c r="AH152" s="42"/>
      <c r="AI152" s="75"/>
      <c r="AJ152" s="75"/>
      <c r="AK152" s="75"/>
      <c r="AL152" s="75"/>
      <c r="AM152" s="74"/>
      <c r="AN152" s="72"/>
    </row>
    <row r="153" spans="1:40" s="69" customFormat="1" x14ac:dyDescent="0.25">
      <c r="A153" s="88"/>
      <c r="B153" s="88"/>
      <c r="C153" s="70"/>
      <c r="D153" s="70"/>
      <c r="E153" s="70" t="s">
        <v>8566</v>
      </c>
      <c r="F153" s="70">
        <v>0</v>
      </c>
      <c r="G153" s="70" t="s">
        <v>8658</v>
      </c>
      <c r="H153" s="422" t="s">
        <v>8478</v>
      </c>
      <c r="I153" s="422" t="s">
        <v>8565</v>
      </c>
      <c r="J153" s="418" t="s">
        <v>8557</v>
      </c>
      <c r="K153" s="414">
        <v>16</v>
      </c>
      <c r="L153" s="408">
        <v>0.125</v>
      </c>
      <c r="M153" s="408">
        <f t="shared" si="11"/>
        <v>2</v>
      </c>
      <c r="N153" s="408"/>
      <c r="O153" s="408"/>
      <c r="P153" s="411"/>
      <c r="Q153" s="411"/>
      <c r="R153" s="411"/>
      <c r="S153" s="427">
        <f t="shared" si="9"/>
        <v>1.8725118998131232E-5</v>
      </c>
      <c r="T153" s="427">
        <f t="shared" si="10"/>
        <v>0</v>
      </c>
      <c r="U153" s="42"/>
      <c r="V153" s="416"/>
      <c r="W153" s="42"/>
      <c r="X153" s="74"/>
      <c r="Y153" s="74"/>
      <c r="Z153" s="74"/>
      <c r="AA153" s="74"/>
      <c r="AB153" s="74"/>
      <c r="AC153" s="42"/>
      <c r="AD153" s="42"/>
      <c r="AE153" s="42"/>
      <c r="AF153" s="42"/>
      <c r="AG153" s="42"/>
      <c r="AH153" s="42"/>
      <c r="AI153" s="75"/>
      <c r="AJ153" s="75"/>
      <c r="AK153" s="75"/>
      <c r="AL153" s="75"/>
      <c r="AM153" s="74"/>
      <c r="AN153" s="72"/>
    </row>
    <row r="154" spans="1:40" s="69" customFormat="1" x14ac:dyDescent="0.25">
      <c r="A154" s="88"/>
      <c r="B154" s="88"/>
      <c r="C154" s="70"/>
      <c r="D154" s="70"/>
      <c r="E154" s="70" t="s">
        <v>8566</v>
      </c>
      <c r="F154" s="70">
        <v>0</v>
      </c>
      <c r="G154" s="70" t="s">
        <v>8658</v>
      </c>
      <c r="H154" s="422" t="s">
        <v>8478</v>
      </c>
      <c r="I154" s="422" t="s">
        <v>8565</v>
      </c>
      <c r="J154" s="418" t="s">
        <v>8558</v>
      </c>
      <c r="K154" s="414">
        <v>400</v>
      </c>
      <c r="L154" s="408">
        <v>5.5E-2</v>
      </c>
      <c r="M154" s="408">
        <f t="shared" si="11"/>
        <v>22</v>
      </c>
      <c r="N154" s="408"/>
      <c r="O154" s="408"/>
      <c r="P154" s="411"/>
      <c r="Q154" s="411"/>
      <c r="R154" s="411"/>
      <c r="S154" s="427">
        <f t="shared" si="9"/>
        <v>2.0597630897944356E-4</v>
      </c>
      <c r="T154" s="427">
        <f t="shared" si="10"/>
        <v>0</v>
      </c>
      <c r="U154" s="42"/>
      <c r="V154" s="416"/>
      <c r="W154" s="42"/>
      <c r="X154" s="74"/>
      <c r="Y154" s="74"/>
      <c r="Z154" s="74"/>
      <c r="AA154" s="74"/>
      <c r="AB154" s="74"/>
      <c r="AC154" s="42"/>
      <c r="AD154" s="42"/>
      <c r="AE154" s="42"/>
      <c r="AF154" s="42"/>
      <c r="AG154" s="42"/>
      <c r="AH154" s="42"/>
      <c r="AI154" s="75"/>
      <c r="AJ154" s="75"/>
      <c r="AK154" s="75"/>
      <c r="AL154" s="75"/>
      <c r="AM154" s="74"/>
      <c r="AN154" s="72"/>
    </row>
    <row r="155" spans="1:40" s="69" customFormat="1" x14ac:dyDescent="0.25">
      <c r="A155" s="88"/>
      <c r="B155" s="88"/>
      <c r="C155" s="70"/>
      <c r="D155" s="70"/>
      <c r="E155" s="70" t="s">
        <v>8566</v>
      </c>
      <c r="F155" s="70">
        <v>0</v>
      </c>
      <c r="G155" s="70" t="s">
        <v>8658</v>
      </c>
      <c r="H155" s="422" t="s">
        <v>8478</v>
      </c>
      <c r="I155" s="422" t="s">
        <v>8565</v>
      </c>
      <c r="J155" s="418" t="s">
        <v>8559</v>
      </c>
      <c r="K155" s="414">
        <v>400</v>
      </c>
      <c r="L155" s="408">
        <v>0.02</v>
      </c>
      <c r="M155" s="408">
        <f t="shared" si="11"/>
        <v>8</v>
      </c>
      <c r="N155" s="408"/>
      <c r="O155" s="408"/>
      <c r="P155" s="411"/>
      <c r="Q155" s="411"/>
      <c r="R155" s="411"/>
      <c r="S155" s="427">
        <f t="shared" si="9"/>
        <v>7.4900475992524927E-5</v>
      </c>
      <c r="T155" s="427">
        <f t="shared" si="10"/>
        <v>0</v>
      </c>
      <c r="U155" s="42"/>
      <c r="V155" s="416"/>
      <c r="W155" s="42"/>
      <c r="X155" s="74"/>
      <c r="Y155" s="74"/>
      <c r="Z155" s="74"/>
      <c r="AA155" s="74"/>
      <c r="AB155" s="74"/>
      <c r="AC155" s="42"/>
      <c r="AD155" s="42"/>
      <c r="AE155" s="42"/>
      <c r="AF155" s="42"/>
      <c r="AG155" s="42"/>
      <c r="AH155" s="42"/>
      <c r="AI155" s="75"/>
      <c r="AJ155" s="75"/>
      <c r="AK155" s="75"/>
      <c r="AL155" s="75"/>
      <c r="AM155" s="74"/>
      <c r="AN155" s="72"/>
    </row>
    <row r="156" spans="1:40" s="69" customFormat="1" x14ac:dyDescent="0.25">
      <c r="A156" s="88"/>
      <c r="B156" s="88"/>
      <c r="C156" s="70"/>
      <c r="D156" s="70"/>
      <c r="E156" s="70" t="s">
        <v>8566</v>
      </c>
      <c r="F156" s="70">
        <v>0</v>
      </c>
      <c r="G156" s="70" t="s">
        <v>8658</v>
      </c>
      <c r="H156" s="422" t="s">
        <v>8478</v>
      </c>
      <c r="I156" s="422" t="s">
        <v>8565</v>
      </c>
      <c r="J156" s="418" t="s">
        <v>8560</v>
      </c>
      <c r="K156" s="414">
        <v>32</v>
      </c>
      <c r="L156" s="408">
        <v>1.40625</v>
      </c>
      <c r="M156" s="408">
        <f t="shared" si="11"/>
        <v>45</v>
      </c>
      <c r="N156" s="408"/>
      <c r="O156" s="408"/>
      <c r="P156" s="411"/>
      <c r="Q156" s="411"/>
      <c r="R156" s="411"/>
      <c r="S156" s="427">
        <f t="shared" si="9"/>
        <v>4.213151774579527E-4</v>
      </c>
      <c r="T156" s="427">
        <f t="shared" si="10"/>
        <v>0</v>
      </c>
      <c r="U156" s="42"/>
      <c r="V156" s="416"/>
      <c r="W156" s="42"/>
      <c r="X156" s="74"/>
      <c r="Y156" s="74"/>
      <c r="Z156" s="74"/>
      <c r="AA156" s="74"/>
      <c r="AB156" s="74"/>
      <c r="AC156" s="42"/>
      <c r="AD156" s="42"/>
      <c r="AE156" s="42"/>
      <c r="AF156" s="42"/>
      <c r="AG156" s="42"/>
      <c r="AH156" s="42"/>
      <c r="AI156" s="75"/>
      <c r="AJ156" s="75"/>
      <c r="AK156" s="75"/>
      <c r="AL156" s="75"/>
      <c r="AM156" s="74"/>
      <c r="AN156" s="72"/>
    </row>
    <row r="157" spans="1:40" s="69" customFormat="1" x14ac:dyDescent="0.25">
      <c r="A157" s="88"/>
      <c r="B157" s="88"/>
      <c r="C157" s="70"/>
      <c r="D157" s="70"/>
      <c r="E157" s="70" t="s">
        <v>8566</v>
      </c>
      <c r="F157" s="70">
        <v>0</v>
      </c>
      <c r="G157" s="70" t="s">
        <v>8658</v>
      </c>
      <c r="H157" s="422" t="s">
        <v>8478</v>
      </c>
      <c r="I157" s="422" t="s">
        <v>8565</v>
      </c>
      <c r="J157" s="418" t="s">
        <v>8561</v>
      </c>
      <c r="K157" s="414">
        <v>32</v>
      </c>
      <c r="L157" s="408">
        <v>0.59375</v>
      </c>
      <c r="M157" s="408">
        <f t="shared" si="11"/>
        <v>19</v>
      </c>
      <c r="N157" s="408"/>
      <c r="O157" s="408"/>
      <c r="P157" s="411"/>
      <c r="Q157" s="411"/>
      <c r="R157" s="411"/>
      <c r="S157" s="427">
        <f t="shared" si="9"/>
        <v>1.7788863048224669E-4</v>
      </c>
      <c r="T157" s="427">
        <f t="shared" si="10"/>
        <v>0</v>
      </c>
      <c r="U157" s="42"/>
      <c r="V157" s="416"/>
      <c r="W157" s="42"/>
      <c r="X157" s="74"/>
      <c r="Y157" s="74"/>
      <c r="Z157" s="74"/>
      <c r="AA157" s="74"/>
      <c r="AB157" s="74"/>
      <c r="AC157" s="42"/>
      <c r="AD157" s="42"/>
      <c r="AE157" s="42"/>
      <c r="AF157" s="42"/>
      <c r="AG157" s="42"/>
      <c r="AH157" s="42"/>
      <c r="AI157" s="75"/>
      <c r="AJ157" s="75"/>
      <c r="AK157" s="75"/>
      <c r="AL157" s="75"/>
      <c r="AM157" s="74"/>
      <c r="AN157" s="72"/>
    </row>
    <row r="158" spans="1:40" s="69" customFormat="1" x14ac:dyDescent="0.25">
      <c r="A158" s="88"/>
      <c r="B158" s="88"/>
      <c r="C158" s="70"/>
      <c r="D158" s="70"/>
      <c r="E158" s="70" t="s">
        <v>8566</v>
      </c>
      <c r="F158" s="70">
        <v>0</v>
      </c>
      <c r="G158" s="70" t="s">
        <v>8658</v>
      </c>
      <c r="H158" s="422" t="s">
        <v>8478</v>
      </c>
      <c r="I158" s="422" t="s">
        <v>8565</v>
      </c>
      <c r="J158" s="418" t="s">
        <v>8562</v>
      </c>
      <c r="K158" s="414">
        <v>32</v>
      </c>
      <c r="L158" s="408">
        <v>0.125</v>
      </c>
      <c r="M158" s="408">
        <f t="shared" si="11"/>
        <v>4</v>
      </c>
      <c r="N158" s="408"/>
      <c r="O158" s="408"/>
      <c r="P158" s="411"/>
      <c r="Q158" s="411"/>
      <c r="R158" s="411"/>
      <c r="S158" s="427">
        <f t="shared" si="9"/>
        <v>3.7450237996262464E-5</v>
      </c>
      <c r="T158" s="427">
        <f t="shared" si="10"/>
        <v>0</v>
      </c>
      <c r="U158" s="42"/>
      <c r="V158" s="416"/>
      <c r="W158" s="42"/>
      <c r="X158" s="74"/>
      <c r="Y158" s="74"/>
      <c r="Z158" s="74"/>
      <c r="AA158" s="74"/>
      <c r="AB158" s="74"/>
      <c r="AC158" s="42"/>
      <c r="AD158" s="42"/>
      <c r="AE158" s="42"/>
      <c r="AF158" s="42"/>
      <c r="AG158" s="42"/>
      <c r="AH158" s="42"/>
      <c r="AI158" s="75"/>
      <c r="AJ158" s="75"/>
      <c r="AK158" s="75"/>
      <c r="AL158" s="75"/>
      <c r="AM158" s="74"/>
      <c r="AN158" s="72"/>
    </row>
    <row r="159" spans="1:40" s="69" customFormat="1" x14ac:dyDescent="0.25">
      <c r="A159" s="88"/>
      <c r="B159" s="88"/>
      <c r="C159" s="70"/>
      <c r="D159" s="70"/>
      <c r="E159" s="70" t="s">
        <v>8566</v>
      </c>
      <c r="F159" s="70">
        <v>0</v>
      </c>
      <c r="G159" s="70" t="s">
        <v>8658</v>
      </c>
      <c r="H159" s="422" t="s">
        <v>8478</v>
      </c>
      <c r="I159" s="422" t="s">
        <v>8565</v>
      </c>
      <c r="J159" s="418" t="s">
        <v>8563</v>
      </c>
      <c r="K159" s="414">
        <v>73</v>
      </c>
      <c r="L159" s="408">
        <v>0.49315068493150682</v>
      </c>
      <c r="M159" s="408">
        <f t="shared" si="11"/>
        <v>36</v>
      </c>
      <c r="N159" s="408"/>
      <c r="O159" s="408"/>
      <c r="P159" s="411"/>
      <c r="Q159" s="411"/>
      <c r="R159" s="411"/>
      <c r="S159" s="427">
        <f t="shared" si="9"/>
        <v>3.3705214196636218E-4</v>
      </c>
      <c r="T159" s="427">
        <f t="shared" si="10"/>
        <v>0</v>
      </c>
      <c r="U159" s="42"/>
      <c r="V159" s="416"/>
      <c r="W159" s="42"/>
      <c r="X159" s="74"/>
      <c r="Y159" s="74"/>
      <c r="Z159" s="74"/>
      <c r="AA159" s="74"/>
      <c r="AB159" s="74"/>
      <c r="AC159" s="42"/>
      <c r="AD159" s="42"/>
      <c r="AE159" s="42"/>
      <c r="AF159" s="42"/>
      <c r="AG159" s="42"/>
      <c r="AH159" s="42"/>
      <c r="AI159" s="75"/>
      <c r="AJ159" s="75"/>
      <c r="AK159" s="75"/>
      <c r="AL159" s="75"/>
      <c r="AM159" s="74"/>
      <c r="AN159" s="72"/>
    </row>
    <row r="160" spans="1:40" s="69" customFormat="1" x14ac:dyDescent="0.25">
      <c r="A160" s="88"/>
      <c r="B160" s="88"/>
      <c r="C160" s="70"/>
      <c r="D160" s="70"/>
      <c r="E160" s="70" t="s">
        <v>8566</v>
      </c>
      <c r="F160" s="70">
        <v>0</v>
      </c>
      <c r="G160" s="70" t="s">
        <v>8658</v>
      </c>
      <c r="H160" s="422" t="s">
        <v>8478</v>
      </c>
      <c r="I160" s="422" t="s">
        <v>8565</v>
      </c>
      <c r="J160" s="418" t="s">
        <v>8564</v>
      </c>
      <c r="K160" s="414">
        <v>384</v>
      </c>
      <c r="L160" s="408">
        <v>0.11458333333333333</v>
      </c>
      <c r="M160" s="408">
        <f t="shared" si="11"/>
        <v>44</v>
      </c>
      <c r="N160" s="408"/>
      <c r="O160" s="408"/>
      <c r="P160" s="411"/>
      <c r="Q160" s="411"/>
      <c r="R160" s="411"/>
      <c r="S160" s="427">
        <f t="shared" si="9"/>
        <v>4.1195261795888712E-4</v>
      </c>
      <c r="T160" s="427">
        <f t="shared" si="10"/>
        <v>0</v>
      </c>
      <c r="U160" s="42"/>
      <c r="V160" s="416"/>
      <c r="W160" s="42"/>
      <c r="X160" s="74"/>
      <c r="Y160" s="74"/>
      <c r="Z160" s="74"/>
      <c r="AA160" s="74"/>
      <c r="AB160" s="74"/>
      <c r="AC160" s="42"/>
      <c r="AD160" s="42"/>
      <c r="AE160" s="42"/>
      <c r="AF160" s="42"/>
      <c r="AG160" s="42"/>
      <c r="AH160" s="42"/>
      <c r="AI160" s="75"/>
      <c r="AJ160" s="75"/>
      <c r="AK160" s="75"/>
      <c r="AL160" s="75"/>
      <c r="AM160" s="74"/>
      <c r="AN160" s="72"/>
    </row>
    <row r="161" spans="1:40" s="69" customFormat="1" x14ac:dyDescent="0.25">
      <c r="A161" s="88"/>
      <c r="B161" s="88"/>
      <c r="C161" s="70"/>
      <c r="D161" s="70"/>
      <c r="E161" s="70" t="s">
        <v>8589</v>
      </c>
      <c r="F161" s="70">
        <v>0</v>
      </c>
      <c r="G161" s="70" t="s">
        <v>8658</v>
      </c>
      <c r="H161" s="422" t="s">
        <v>8478</v>
      </c>
      <c r="I161" s="422" t="s">
        <v>8565</v>
      </c>
      <c r="J161" s="418" t="s">
        <v>8567</v>
      </c>
      <c r="K161" s="414">
        <v>1</v>
      </c>
      <c r="L161" s="408">
        <v>1868</v>
      </c>
      <c r="M161" s="408">
        <f t="shared" si="11"/>
        <v>1868</v>
      </c>
      <c r="N161" s="408"/>
      <c r="O161" s="408"/>
      <c r="P161" s="411">
        <v>1</v>
      </c>
      <c r="Q161" s="411">
        <v>1</v>
      </c>
      <c r="R161" s="411"/>
      <c r="S161" s="427">
        <f t="shared" si="9"/>
        <v>1.7489261144254569E-2</v>
      </c>
      <c r="T161" s="427">
        <f t="shared" si="10"/>
        <v>1.7489261144254569E-2</v>
      </c>
      <c r="U161" s="42"/>
      <c r="V161" s="416"/>
      <c r="W161" s="42"/>
      <c r="X161" s="74"/>
      <c r="Y161" s="74"/>
      <c r="Z161" s="74"/>
      <c r="AA161" s="74"/>
      <c r="AB161" s="74"/>
      <c r="AC161" s="42"/>
      <c r="AD161" s="42"/>
      <c r="AE161" s="42"/>
      <c r="AF161" s="42"/>
      <c r="AG161" s="42"/>
      <c r="AH161" s="42"/>
      <c r="AI161" s="75"/>
      <c r="AJ161" s="75"/>
      <c r="AK161" s="75"/>
      <c r="AL161" s="75"/>
      <c r="AM161" s="74"/>
      <c r="AN161" s="72"/>
    </row>
    <row r="162" spans="1:40" s="69" customFormat="1" x14ac:dyDescent="0.25">
      <c r="A162" s="88"/>
      <c r="B162" s="88"/>
      <c r="C162" s="70"/>
      <c r="D162" s="70"/>
      <c r="E162" s="70" t="s">
        <v>8589</v>
      </c>
      <c r="F162" s="70">
        <v>0</v>
      </c>
      <c r="G162" s="70" t="s">
        <v>8658</v>
      </c>
      <c r="H162" s="422" t="s">
        <v>8478</v>
      </c>
      <c r="I162" s="422" t="s">
        <v>8565</v>
      </c>
      <c r="J162" s="418" t="s">
        <v>8567</v>
      </c>
      <c r="K162" s="414">
        <v>1</v>
      </c>
      <c r="L162" s="408">
        <v>1868</v>
      </c>
      <c r="M162" s="408">
        <f t="shared" si="11"/>
        <v>1868</v>
      </c>
      <c r="N162" s="408"/>
      <c r="O162" s="408"/>
      <c r="P162" s="411">
        <v>1</v>
      </c>
      <c r="Q162" s="411">
        <v>1</v>
      </c>
      <c r="R162" s="411"/>
      <c r="S162" s="427">
        <f t="shared" si="9"/>
        <v>1.7489261144254569E-2</v>
      </c>
      <c r="T162" s="427">
        <f t="shared" si="10"/>
        <v>1.7489261144254569E-2</v>
      </c>
      <c r="U162" s="42"/>
      <c r="V162" s="416"/>
      <c r="W162" s="42"/>
      <c r="X162" s="74"/>
      <c r="Y162" s="74"/>
      <c r="Z162" s="74"/>
      <c r="AA162" s="74"/>
      <c r="AB162" s="74"/>
      <c r="AC162" s="42"/>
      <c r="AD162" s="42"/>
      <c r="AE162" s="42"/>
      <c r="AF162" s="42"/>
      <c r="AG162" s="42"/>
      <c r="AH162" s="42"/>
      <c r="AI162" s="75"/>
      <c r="AJ162" s="75"/>
      <c r="AK162" s="75"/>
      <c r="AL162" s="75"/>
      <c r="AM162" s="74"/>
      <c r="AN162" s="72"/>
    </row>
    <row r="163" spans="1:40" s="69" customFormat="1" x14ac:dyDescent="0.25">
      <c r="A163" s="88"/>
      <c r="B163" s="88"/>
      <c r="C163" s="70"/>
      <c r="D163" s="70"/>
      <c r="E163" s="70" t="s">
        <v>8589</v>
      </c>
      <c r="F163" s="70">
        <v>0</v>
      </c>
      <c r="G163" s="70" t="s">
        <v>8658</v>
      </c>
      <c r="H163" s="422" t="s">
        <v>8478</v>
      </c>
      <c r="I163" s="422" t="s">
        <v>8565</v>
      </c>
      <c r="J163" s="418" t="s">
        <v>8567</v>
      </c>
      <c r="K163" s="414">
        <v>1</v>
      </c>
      <c r="L163" s="408">
        <v>1868</v>
      </c>
      <c r="M163" s="408">
        <f t="shared" si="11"/>
        <v>1868</v>
      </c>
      <c r="N163" s="408"/>
      <c r="O163" s="408"/>
      <c r="P163" s="411">
        <v>1</v>
      </c>
      <c r="Q163" s="411">
        <v>1</v>
      </c>
      <c r="R163" s="411"/>
      <c r="S163" s="427">
        <f t="shared" si="9"/>
        <v>1.7489261144254569E-2</v>
      </c>
      <c r="T163" s="427">
        <f t="shared" si="10"/>
        <v>1.7489261144254569E-2</v>
      </c>
      <c r="U163" s="42"/>
      <c r="V163" s="416"/>
      <c r="W163" s="42"/>
      <c r="X163" s="74"/>
      <c r="Y163" s="74"/>
      <c r="Z163" s="74"/>
      <c r="AA163" s="74"/>
      <c r="AB163" s="74"/>
      <c r="AC163" s="42"/>
      <c r="AD163" s="42"/>
      <c r="AE163" s="42"/>
      <c r="AF163" s="42"/>
      <c r="AG163" s="42"/>
      <c r="AH163" s="42"/>
      <c r="AI163" s="75"/>
      <c r="AJ163" s="75"/>
      <c r="AK163" s="75"/>
      <c r="AL163" s="75"/>
      <c r="AM163" s="74"/>
      <c r="AN163" s="72"/>
    </row>
    <row r="164" spans="1:40" s="69" customFormat="1" x14ac:dyDescent="0.25">
      <c r="A164" s="88"/>
      <c r="B164" s="88"/>
      <c r="C164" s="70"/>
      <c r="D164" s="70"/>
      <c r="E164" s="70" t="s">
        <v>8589</v>
      </c>
      <c r="F164" s="70">
        <v>0</v>
      </c>
      <c r="G164" s="70" t="s">
        <v>8658</v>
      </c>
      <c r="H164" s="422" t="s">
        <v>8478</v>
      </c>
      <c r="I164" s="422" t="s">
        <v>8565</v>
      </c>
      <c r="J164" s="418" t="s">
        <v>8568</v>
      </c>
      <c r="K164" s="414">
        <v>1</v>
      </c>
      <c r="L164" s="408">
        <v>709</v>
      </c>
      <c r="M164" s="408">
        <f t="shared" si="11"/>
        <v>709</v>
      </c>
      <c r="N164" s="408"/>
      <c r="O164" s="408"/>
      <c r="P164" s="411">
        <v>1</v>
      </c>
      <c r="Q164" s="411">
        <v>1</v>
      </c>
      <c r="R164" s="411"/>
      <c r="S164" s="427">
        <f t="shared" si="9"/>
        <v>6.6380546848375218E-3</v>
      </c>
      <c r="T164" s="427">
        <f t="shared" si="10"/>
        <v>6.6380546848375218E-3</v>
      </c>
      <c r="U164" s="42"/>
      <c r="V164" s="416"/>
      <c r="W164" s="42"/>
      <c r="X164" s="74"/>
      <c r="Y164" s="74"/>
      <c r="Z164" s="74"/>
      <c r="AA164" s="74"/>
      <c r="AB164" s="74"/>
      <c r="AC164" s="42"/>
      <c r="AD164" s="42"/>
      <c r="AE164" s="42"/>
      <c r="AF164" s="42"/>
      <c r="AG164" s="42"/>
      <c r="AH164" s="42"/>
      <c r="AI164" s="75"/>
      <c r="AJ164" s="75"/>
      <c r="AK164" s="75"/>
      <c r="AL164" s="75"/>
      <c r="AM164" s="74"/>
      <c r="AN164" s="72"/>
    </row>
    <row r="165" spans="1:40" s="69" customFormat="1" x14ac:dyDescent="0.25">
      <c r="A165" s="88"/>
      <c r="B165" s="88"/>
      <c r="C165" s="70"/>
      <c r="D165" s="70"/>
      <c r="E165" s="70" t="s">
        <v>8589</v>
      </c>
      <c r="F165" s="70">
        <v>0</v>
      </c>
      <c r="G165" s="70" t="s">
        <v>8658</v>
      </c>
      <c r="H165" s="422" t="s">
        <v>8478</v>
      </c>
      <c r="I165" s="422" t="s">
        <v>8565</v>
      </c>
      <c r="J165" s="418" t="s">
        <v>8567</v>
      </c>
      <c r="K165" s="414">
        <v>1</v>
      </c>
      <c r="L165" s="408">
        <v>1868</v>
      </c>
      <c r="M165" s="408">
        <f t="shared" si="11"/>
        <v>1868</v>
      </c>
      <c r="N165" s="408"/>
      <c r="O165" s="408"/>
      <c r="P165" s="411">
        <v>1</v>
      </c>
      <c r="Q165" s="411">
        <v>1</v>
      </c>
      <c r="R165" s="411"/>
      <c r="S165" s="427">
        <f t="shared" si="9"/>
        <v>1.7489261144254569E-2</v>
      </c>
      <c r="T165" s="427">
        <f t="shared" si="10"/>
        <v>1.7489261144254569E-2</v>
      </c>
      <c r="U165" s="42"/>
      <c r="V165" s="416"/>
      <c r="W165" s="42"/>
      <c r="X165" s="74"/>
      <c r="Y165" s="74"/>
      <c r="Z165" s="74"/>
      <c r="AA165" s="74"/>
      <c r="AB165" s="74"/>
      <c r="AC165" s="42"/>
      <c r="AD165" s="42"/>
      <c r="AE165" s="42"/>
      <c r="AF165" s="42"/>
      <c r="AG165" s="42"/>
      <c r="AH165" s="42"/>
      <c r="AI165" s="75"/>
      <c r="AJ165" s="75"/>
      <c r="AK165" s="75"/>
      <c r="AL165" s="75"/>
      <c r="AM165" s="74"/>
      <c r="AN165" s="72"/>
    </row>
    <row r="166" spans="1:40" s="69" customFormat="1" x14ac:dyDescent="0.25">
      <c r="A166" s="88"/>
      <c r="B166" s="88"/>
      <c r="C166" s="70"/>
      <c r="D166" s="70"/>
      <c r="E166" s="70" t="s">
        <v>8589</v>
      </c>
      <c r="F166" s="70">
        <v>0</v>
      </c>
      <c r="G166" s="70" t="s">
        <v>8658</v>
      </c>
      <c r="H166" s="422" t="s">
        <v>8478</v>
      </c>
      <c r="I166" s="422" t="s">
        <v>8565</v>
      </c>
      <c r="J166" s="418" t="s">
        <v>8569</v>
      </c>
      <c r="K166" s="414">
        <v>1</v>
      </c>
      <c r="L166" s="408">
        <v>573</v>
      </c>
      <c r="M166" s="408">
        <f t="shared" si="11"/>
        <v>573</v>
      </c>
      <c r="N166" s="408"/>
      <c r="O166" s="408"/>
      <c r="P166" s="411">
        <v>1</v>
      </c>
      <c r="Q166" s="411">
        <v>1</v>
      </c>
      <c r="R166" s="411"/>
      <c r="S166" s="427">
        <f t="shared" si="9"/>
        <v>5.3647465929645977E-3</v>
      </c>
      <c r="T166" s="427">
        <f t="shared" si="10"/>
        <v>5.3647465929645977E-3</v>
      </c>
      <c r="U166" s="42"/>
      <c r="V166" s="416"/>
      <c r="W166" s="42"/>
      <c r="X166" s="74"/>
      <c r="Y166" s="74"/>
      <c r="Z166" s="74"/>
      <c r="AA166" s="74"/>
      <c r="AB166" s="74"/>
      <c r="AC166" s="42"/>
      <c r="AD166" s="42"/>
      <c r="AE166" s="42"/>
      <c r="AF166" s="42"/>
      <c r="AG166" s="42"/>
      <c r="AH166" s="42"/>
      <c r="AI166" s="75"/>
      <c r="AJ166" s="75"/>
      <c r="AK166" s="75"/>
      <c r="AL166" s="75"/>
      <c r="AM166" s="74"/>
      <c r="AN166" s="72"/>
    </row>
    <row r="167" spans="1:40" s="69" customFormat="1" x14ac:dyDescent="0.25">
      <c r="A167" s="88"/>
      <c r="B167" s="88"/>
      <c r="C167" s="70"/>
      <c r="D167" s="70"/>
      <c r="E167" s="70" t="s">
        <v>8589</v>
      </c>
      <c r="F167" s="70">
        <v>0</v>
      </c>
      <c r="G167" s="70" t="s">
        <v>8658</v>
      </c>
      <c r="H167" s="422" t="s">
        <v>8478</v>
      </c>
      <c r="I167" s="422" t="s">
        <v>8565</v>
      </c>
      <c r="J167" s="418" t="s">
        <v>8570</v>
      </c>
      <c r="K167" s="414">
        <v>1</v>
      </c>
      <c r="L167" s="408">
        <v>1610</v>
      </c>
      <c r="M167" s="408">
        <f t="shared" si="11"/>
        <v>1610</v>
      </c>
      <c r="N167" s="408"/>
      <c r="O167" s="408"/>
      <c r="P167" s="411">
        <v>1</v>
      </c>
      <c r="Q167" s="411">
        <v>1</v>
      </c>
      <c r="R167" s="411"/>
      <c r="S167" s="427">
        <f t="shared" si="9"/>
        <v>1.5073720793495641E-2</v>
      </c>
      <c r="T167" s="427">
        <f t="shared" si="10"/>
        <v>1.5073720793495641E-2</v>
      </c>
      <c r="U167" s="42"/>
      <c r="V167" s="416"/>
      <c r="W167" s="42"/>
      <c r="X167" s="74"/>
      <c r="Y167" s="74"/>
      <c r="Z167" s="74"/>
      <c r="AA167" s="74"/>
      <c r="AB167" s="74"/>
      <c r="AC167" s="42"/>
      <c r="AD167" s="42"/>
      <c r="AE167" s="42"/>
      <c r="AF167" s="42"/>
      <c r="AG167" s="42"/>
      <c r="AH167" s="42"/>
      <c r="AI167" s="75"/>
      <c r="AJ167" s="75"/>
      <c r="AK167" s="75"/>
      <c r="AL167" s="75"/>
      <c r="AM167" s="74"/>
      <c r="AN167" s="72"/>
    </row>
    <row r="168" spans="1:40" s="69" customFormat="1" x14ac:dyDescent="0.25">
      <c r="A168" s="88"/>
      <c r="B168" s="88"/>
      <c r="C168" s="70"/>
      <c r="D168" s="70"/>
      <c r="E168" s="70" t="s">
        <v>8589</v>
      </c>
      <c r="F168" s="70">
        <v>0</v>
      </c>
      <c r="G168" s="70" t="s">
        <v>8658</v>
      </c>
      <c r="H168" s="422" t="s">
        <v>8478</v>
      </c>
      <c r="I168" s="422" t="s">
        <v>8565</v>
      </c>
      <c r="J168" s="418" t="s">
        <v>8567</v>
      </c>
      <c r="K168" s="414">
        <v>2</v>
      </c>
      <c r="L168" s="408">
        <v>1868</v>
      </c>
      <c r="M168" s="408">
        <f t="shared" si="11"/>
        <v>3736</v>
      </c>
      <c r="N168" s="408"/>
      <c r="O168" s="408"/>
      <c r="P168" s="411">
        <v>1</v>
      </c>
      <c r="Q168" s="411">
        <v>1</v>
      </c>
      <c r="R168" s="411"/>
      <c r="S168" s="427">
        <f t="shared" si="9"/>
        <v>3.4978522288509138E-2</v>
      </c>
      <c r="T168" s="427">
        <f t="shared" si="10"/>
        <v>3.4978522288509138E-2</v>
      </c>
      <c r="U168" s="42"/>
      <c r="V168" s="416"/>
      <c r="W168" s="42"/>
      <c r="X168" s="74"/>
      <c r="Y168" s="74"/>
      <c r="Z168" s="74"/>
      <c r="AA168" s="74"/>
      <c r="AB168" s="74"/>
      <c r="AC168" s="42"/>
      <c r="AD168" s="42"/>
      <c r="AE168" s="42"/>
      <c r="AF168" s="42"/>
      <c r="AG168" s="42"/>
      <c r="AH168" s="42"/>
      <c r="AI168" s="75"/>
      <c r="AJ168" s="75"/>
      <c r="AK168" s="75"/>
      <c r="AL168" s="75"/>
      <c r="AM168" s="74"/>
      <c r="AN168" s="72"/>
    </row>
    <row r="169" spans="1:40" s="69" customFormat="1" x14ac:dyDescent="0.25">
      <c r="A169" s="88"/>
      <c r="B169" s="88"/>
      <c r="C169" s="70"/>
      <c r="D169" s="70"/>
      <c r="E169" s="70" t="s">
        <v>8589</v>
      </c>
      <c r="F169" s="70">
        <v>0</v>
      </c>
      <c r="G169" s="70" t="s">
        <v>8658</v>
      </c>
      <c r="H169" s="422" t="s">
        <v>8478</v>
      </c>
      <c r="I169" s="422" t="s">
        <v>8565</v>
      </c>
      <c r="J169" s="418" t="s">
        <v>8571</v>
      </c>
      <c r="K169" s="414">
        <v>6</v>
      </c>
      <c r="L169" s="408">
        <v>1046</v>
      </c>
      <c r="M169" s="408">
        <f t="shared" si="11"/>
        <v>6276</v>
      </c>
      <c r="N169" s="408"/>
      <c r="O169" s="408"/>
      <c r="P169" s="411">
        <v>1</v>
      </c>
      <c r="Q169" s="411">
        <v>1</v>
      </c>
      <c r="R169" s="411"/>
      <c r="S169" s="427">
        <f t="shared" si="9"/>
        <v>5.8759423416135804E-2</v>
      </c>
      <c r="T169" s="427">
        <f t="shared" si="10"/>
        <v>5.8759423416135804E-2</v>
      </c>
      <c r="U169" s="42"/>
      <c r="V169" s="416"/>
      <c r="W169" s="42"/>
      <c r="X169" s="74"/>
      <c r="Y169" s="74"/>
      <c r="Z169" s="74"/>
      <c r="AA169" s="74"/>
      <c r="AB169" s="74"/>
      <c r="AC169" s="42"/>
      <c r="AD169" s="42"/>
      <c r="AE169" s="42"/>
      <c r="AF169" s="42"/>
      <c r="AG169" s="42"/>
      <c r="AH169" s="42"/>
      <c r="AI169" s="75"/>
      <c r="AJ169" s="75"/>
      <c r="AK169" s="75"/>
      <c r="AL169" s="75"/>
      <c r="AM169" s="74"/>
      <c r="AN169" s="72"/>
    </row>
    <row r="170" spans="1:40" s="69" customFormat="1" x14ac:dyDescent="0.25">
      <c r="A170" s="88"/>
      <c r="B170" s="88"/>
      <c r="C170" s="70"/>
      <c r="D170" s="70"/>
      <c r="E170" s="70" t="s">
        <v>8589</v>
      </c>
      <c r="F170" s="70">
        <v>0</v>
      </c>
      <c r="G170" s="70" t="s">
        <v>8658</v>
      </c>
      <c r="H170" s="422" t="s">
        <v>8478</v>
      </c>
      <c r="I170" s="422" t="s">
        <v>8565</v>
      </c>
      <c r="J170" s="418" t="s">
        <v>8571</v>
      </c>
      <c r="K170" s="414">
        <v>1</v>
      </c>
      <c r="L170" s="408">
        <v>1046</v>
      </c>
      <c r="M170" s="408">
        <f t="shared" si="11"/>
        <v>1046</v>
      </c>
      <c r="N170" s="408"/>
      <c r="O170" s="408"/>
      <c r="P170" s="411">
        <v>1</v>
      </c>
      <c r="Q170" s="411">
        <v>1</v>
      </c>
      <c r="R170" s="411"/>
      <c r="S170" s="427">
        <f t="shared" si="9"/>
        <v>9.7932372360226335E-3</v>
      </c>
      <c r="T170" s="427">
        <f t="shared" si="10"/>
        <v>9.7932372360226335E-3</v>
      </c>
      <c r="U170" s="42"/>
      <c r="V170" s="416"/>
      <c r="W170" s="42"/>
      <c r="X170" s="74"/>
      <c r="Y170" s="74"/>
      <c r="Z170" s="74"/>
      <c r="AA170" s="74"/>
      <c r="AB170" s="74"/>
      <c r="AC170" s="42"/>
      <c r="AD170" s="42"/>
      <c r="AE170" s="42"/>
      <c r="AF170" s="42"/>
      <c r="AG170" s="42"/>
      <c r="AH170" s="42"/>
      <c r="AI170" s="75"/>
      <c r="AJ170" s="75"/>
      <c r="AK170" s="75"/>
      <c r="AL170" s="75"/>
      <c r="AM170" s="74"/>
      <c r="AN170" s="72"/>
    </row>
    <row r="171" spans="1:40" s="69" customFormat="1" x14ac:dyDescent="0.25">
      <c r="A171" s="88"/>
      <c r="B171" s="88"/>
      <c r="C171" s="70"/>
      <c r="D171" s="70"/>
      <c r="E171" s="70" t="s">
        <v>8589</v>
      </c>
      <c r="F171" s="70">
        <v>0</v>
      </c>
      <c r="G171" s="70" t="s">
        <v>8658</v>
      </c>
      <c r="H171" s="422" t="s">
        <v>8478</v>
      </c>
      <c r="I171" s="422" t="s">
        <v>8565</v>
      </c>
      <c r="J171" s="418" t="s">
        <v>8572</v>
      </c>
      <c r="K171" s="414">
        <v>1</v>
      </c>
      <c r="L171" s="408">
        <v>902</v>
      </c>
      <c r="M171" s="408">
        <f t="shared" si="11"/>
        <v>902</v>
      </c>
      <c r="N171" s="408"/>
      <c r="O171" s="408"/>
      <c r="P171" s="411">
        <v>1</v>
      </c>
      <c r="Q171" s="411">
        <v>1</v>
      </c>
      <c r="R171" s="411"/>
      <c r="S171" s="427">
        <f t="shared" si="9"/>
        <v>8.4450286681571861E-3</v>
      </c>
      <c r="T171" s="427">
        <f t="shared" si="10"/>
        <v>8.4450286681571861E-3</v>
      </c>
      <c r="U171" s="42"/>
      <c r="V171" s="416"/>
      <c r="W171" s="42"/>
      <c r="X171" s="74"/>
      <c r="Y171" s="74"/>
      <c r="Z171" s="74"/>
      <c r="AA171" s="74"/>
      <c r="AB171" s="74"/>
      <c r="AC171" s="42"/>
      <c r="AD171" s="42"/>
      <c r="AE171" s="42"/>
      <c r="AF171" s="42"/>
      <c r="AG171" s="42"/>
      <c r="AH171" s="42"/>
      <c r="AI171" s="75"/>
      <c r="AJ171" s="75"/>
      <c r="AK171" s="75"/>
      <c r="AL171" s="75"/>
      <c r="AM171" s="74"/>
      <c r="AN171" s="72"/>
    </row>
    <row r="172" spans="1:40" s="69" customFormat="1" x14ac:dyDescent="0.25">
      <c r="A172" s="88"/>
      <c r="B172" s="88"/>
      <c r="C172" s="70"/>
      <c r="D172" s="70"/>
      <c r="E172" s="70" t="s">
        <v>8589</v>
      </c>
      <c r="F172" s="70">
        <v>0</v>
      </c>
      <c r="G172" s="70" t="s">
        <v>8658</v>
      </c>
      <c r="H172" s="422" t="s">
        <v>8478</v>
      </c>
      <c r="I172" s="422" t="s">
        <v>8565</v>
      </c>
      <c r="J172" s="418" t="s">
        <v>8573</v>
      </c>
      <c r="K172" s="414">
        <v>6</v>
      </c>
      <c r="L172" s="408">
        <v>1434</v>
      </c>
      <c r="M172" s="408">
        <f t="shared" si="11"/>
        <v>8604</v>
      </c>
      <c r="N172" s="408"/>
      <c r="O172" s="408"/>
      <c r="P172" s="411">
        <v>1</v>
      </c>
      <c r="Q172" s="411">
        <v>1</v>
      </c>
      <c r="R172" s="411"/>
      <c r="S172" s="427">
        <f t="shared" si="9"/>
        <v>8.0555461929960562E-2</v>
      </c>
      <c r="T172" s="427">
        <f t="shared" si="10"/>
        <v>8.0555461929960562E-2</v>
      </c>
      <c r="U172" s="42"/>
      <c r="V172" s="416"/>
      <c r="W172" s="42"/>
      <c r="X172" s="74"/>
      <c r="Y172" s="74"/>
      <c r="Z172" s="74"/>
      <c r="AA172" s="74"/>
      <c r="AB172" s="74"/>
      <c r="AC172" s="42"/>
      <c r="AD172" s="42"/>
      <c r="AE172" s="42"/>
      <c r="AF172" s="42"/>
      <c r="AG172" s="42"/>
      <c r="AH172" s="42"/>
      <c r="AI172" s="75"/>
      <c r="AJ172" s="75"/>
      <c r="AK172" s="75"/>
      <c r="AL172" s="75"/>
      <c r="AM172" s="74"/>
      <c r="AN172" s="72"/>
    </row>
    <row r="173" spans="1:40" s="69" customFormat="1" x14ac:dyDescent="0.25">
      <c r="A173" s="88"/>
      <c r="B173" s="88"/>
      <c r="C173" s="70"/>
      <c r="D173" s="70"/>
      <c r="E173" s="70" t="s">
        <v>8589</v>
      </c>
      <c r="F173" s="70">
        <v>0</v>
      </c>
      <c r="G173" s="70" t="s">
        <v>8658</v>
      </c>
      <c r="H173" s="422" t="s">
        <v>8478</v>
      </c>
      <c r="I173" s="422" t="s">
        <v>8565</v>
      </c>
      <c r="J173" s="418" t="s">
        <v>8573</v>
      </c>
      <c r="K173" s="414">
        <v>1</v>
      </c>
      <c r="L173" s="408">
        <v>1434</v>
      </c>
      <c r="M173" s="408">
        <f t="shared" si="11"/>
        <v>1434</v>
      </c>
      <c r="N173" s="408"/>
      <c r="O173" s="408"/>
      <c r="P173" s="411">
        <v>1</v>
      </c>
      <c r="Q173" s="411">
        <v>1</v>
      </c>
      <c r="R173" s="411"/>
      <c r="S173" s="427">
        <f t="shared" si="9"/>
        <v>1.3425910321660094E-2</v>
      </c>
      <c r="T173" s="427">
        <f t="shared" si="10"/>
        <v>1.3425910321660094E-2</v>
      </c>
      <c r="U173" s="42"/>
      <c r="V173" s="416"/>
      <c r="W173" s="42"/>
      <c r="X173" s="74"/>
      <c r="Y173" s="74"/>
      <c r="Z173" s="74"/>
      <c r="AA173" s="74"/>
      <c r="AB173" s="74"/>
      <c r="AC173" s="42"/>
      <c r="AD173" s="42"/>
      <c r="AE173" s="42"/>
      <c r="AF173" s="42"/>
      <c r="AG173" s="42"/>
      <c r="AH173" s="42"/>
      <c r="AI173" s="75"/>
      <c r="AJ173" s="75"/>
      <c r="AK173" s="75"/>
      <c r="AL173" s="75"/>
      <c r="AM173" s="74"/>
      <c r="AN173" s="72"/>
    </row>
    <row r="174" spans="1:40" s="69" customFormat="1" x14ac:dyDescent="0.25">
      <c r="A174" s="88"/>
      <c r="B174" s="88"/>
      <c r="C174" s="70"/>
      <c r="D174" s="70"/>
      <c r="E174" s="70" t="s">
        <v>8589</v>
      </c>
      <c r="F174" s="70">
        <v>0</v>
      </c>
      <c r="G174" s="70" t="s">
        <v>8658</v>
      </c>
      <c r="H174" s="422" t="s">
        <v>8478</v>
      </c>
      <c r="I174" s="422" t="s">
        <v>8565</v>
      </c>
      <c r="J174" s="418" t="s">
        <v>8574</v>
      </c>
      <c r="K174" s="414">
        <v>1</v>
      </c>
      <c r="L174" s="408">
        <v>1234</v>
      </c>
      <c r="M174" s="408">
        <f t="shared" si="11"/>
        <v>1234</v>
      </c>
      <c r="N174" s="408"/>
      <c r="O174" s="408"/>
      <c r="P174" s="411">
        <v>1</v>
      </c>
      <c r="Q174" s="411">
        <v>1</v>
      </c>
      <c r="R174" s="411"/>
      <c r="S174" s="427">
        <f t="shared" si="9"/>
        <v>1.155339842184697E-2</v>
      </c>
      <c r="T174" s="427">
        <f t="shared" si="10"/>
        <v>1.155339842184697E-2</v>
      </c>
      <c r="U174" s="42"/>
      <c r="V174" s="416"/>
      <c r="W174" s="42"/>
      <c r="X174" s="74"/>
      <c r="Y174" s="74"/>
      <c r="Z174" s="74"/>
      <c r="AA174" s="74"/>
      <c r="AB174" s="74"/>
      <c r="AC174" s="42"/>
      <c r="AD174" s="42"/>
      <c r="AE174" s="42"/>
      <c r="AF174" s="42"/>
      <c r="AG174" s="42"/>
      <c r="AH174" s="42"/>
      <c r="AI174" s="75"/>
      <c r="AJ174" s="75"/>
      <c r="AK174" s="75"/>
      <c r="AL174" s="75"/>
      <c r="AM174" s="74"/>
      <c r="AN174" s="72"/>
    </row>
    <row r="175" spans="1:40" s="69" customFormat="1" x14ac:dyDescent="0.25">
      <c r="A175" s="88"/>
      <c r="B175" s="88"/>
      <c r="C175" s="70"/>
      <c r="D175" s="70"/>
      <c r="E175" s="70" t="s">
        <v>8589</v>
      </c>
      <c r="F175" s="70">
        <v>0</v>
      </c>
      <c r="G175" s="70" t="s">
        <v>8658</v>
      </c>
      <c r="H175" s="422" t="s">
        <v>8478</v>
      </c>
      <c r="I175" s="422" t="s">
        <v>8565</v>
      </c>
      <c r="J175" s="418" t="s">
        <v>8575</v>
      </c>
      <c r="K175" s="414">
        <v>6</v>
      </c>
      <c r="L175" s="408">
        <v>982</v>
      </c>
      <c r="M175" s="408">
        <f t="shared" si="11"/>
        <v>5892</v>
      </c>
      <c r="N175" s="408"/>
      <c r="O175" s="408"/>
      <c r="P175" s="411">
        <v>1</v>
      </c>
      <c r="Q175" s="411">
        <v>1</v>
      </c>
      <c r="R175" s="411"/>
      <c r="S175" s="427">
        <f t="shared" si="9"/>
        <v>5.5164200568494609E-2</v>
      </c>
      <c r="T175" s="427">
        <f t="shared" si="10"/>
        <v>5.5164200568494609E-2</v>
      </c>
      <c r="U175" s="42"/>
      <c r="V175" s="416"/>
      <c r="W175" s="42"/>
      <c r="X175" s="74"/>
      <c r="Y175" s="74"/>
      <c r="Z175" s="74"/>
      <c r="AA175" s="74"/>
      <c r="AB175" s="74"/>
      <c r="AC175" s="42"/>
      <c r="AD175" s="42"/>
      <c r="AE175" s="42"/>
      <c r="AF175" s="42"/>
      <c r="AG175" s="42"/>
      <c r="AH175" s="42"/>
      <c r="AI175" s="75"/>
      <c r="AJ175" s="75"/>
      <c r="AK175" s="75"/>
      <c r="AL175" s="75"/>
      <c r="AM175" s="74"/>
      <c r="AN175" s="72"/>
    </row>
    <row r="176" spans="1:40" s="69" customFormat="1" x14ac:dyDescent="0.25">
      <c r="A176" s="88"/>
      <c r="B176" s="88"/>
      <c r="C176" s="70"/>
      <c r="D176" s="70"/>
      <c r="E176" s="70" t="s">
        <v>8589</v>
      </c>
      <c r="F176" s="70">
        <v>0</v>
      </c>
      <c r="G176" s="70" t="s">
        <v>8658</v>
      </c>
      <c r="H176" s="422" t="s">
        <v>8478</v>
      </c>
      <c r="I176" s="422" t="s">
        <v>8565</v>
      </c>
      <c r="J176" s="418" t="s">
        <v>8576</v>
      </c>
      <c r="K176" s="414">
        <v>1</v>
      </c>
      <c r="L176" s="408">
        <v>1308</v>
      </c>
      <c r="M176" s="408">
        <f t="shared" si="11"/>
        <v>1308</v>
      </c>
      <c r="N176" s="408"/>
      <c r="O176" s="408"/>
      <c r="P176" s="411">
        <v>1</v>
      </c>
      <c r="Q176" s="411">
        <v>1</v>
      </c>
      <c r="R176" s="411"/>
      <c r="S176" s="427">
        <f t="shared" si="9"/>
        <v>1.2246227824777826E-2</v>
      </c>
      <c r="T176" s="427">
        <f t="shared" si="10"/>
        <v>1.2246227824777826E-2</v>
      </c>
      <c r="U176" s="42"/>
      <c r="V176" s="416"/>
      <c r="W176" s="42"/>
      <c r="X176" s="74"/>
      <c r="Y176" s="74"/>
      <c r="Z176" s="74"/>
      <c r="AA176" s="74"/>
      <c r="AB176" s="74"/>
      <c r="AC176" s="42"/>
      <c r="AD176" s="42"/>
      <c r="AE176" s="42"/>
      <c r="AF176" s="42"/>
      <c r="AG176" s="42"/>
      <c r="AH176" s="42"/>
      <c r="AI176" s="75"/>
      <c r="AJ176" s="75"/>
      <c r="AK176" s="75"/>
      <c r="AL176" s="75"/>
      <c r="AM176" s="74"/>
      <c r="AN176" s="72"/>
    </row>
    <row r="177" spans="1:40" s="69" customFormat="1" x14ac:dyDescent="0.25">
      <c r="A177" s="88"/>
      <c r="B177" s="88"/>
      <c r="C177" s="70"/>
      <c r="D177" s="70"/>
      <c r="E177" s="70" t="s">
        <v>8589</v>
      </c>
      <c r="F177" s="70">
        <v>0</v>
      </c>
      <c r="G177" s="70" t="s">
        <v>8658</v>
      </c>
      <c r="H177" s="422" t="s">
        <v>8478</v>
      </c>
      <c r="I177" s="422" t="s">
        <v>8565</v>
      </c>
      <c r="J177" s="418" t="s">
        <v>8577</v>
      </c>
      <c r="K177" s="414">
        <v>1</v>
      </c>
      <c r="L177" s="408">
        <v>844</v>
      </c>
      <c r="M177" s="408">
        <f t="shared" si="11"/>
        <v>844</v>
      </c>
      <c r="N177" s="408"/>
      <c r="O177" s="408"/>
      <c r="P177" s="411">
        <v>1</v>
      </c>
      <c r="Q177" s="411">
        <v>1</v>
      </c>
      <c r="R177" s="411"/>
      <c r="S177" s="427">
        <f t="shared" si="9"/>
        <v>7.9020002172113801E-3</v>
      </c>
      <c r="T177" s="427">
        <f t="shared" si="10"/>
        <v>7.9020002172113801E-3</v>
      </c>
      <c r="U177" s="42"/>
      <c r="V177" s="416"/>
      <c r="W177" s="42"/>
      <c r="X177" s="74"/>
      <c r="Y177" s="74"/>
      <c r="Z177" s="74"/>
      <c r="AA177" s="74"/>
      <c r="AB177" s="74"/>
      <c r="AC177" s="42"/>
      <c r="AD177" s="42"/>
      <c r="AE177" s="42"/>
      <c r="AF177" s="42"/>
      <c r="AG177" s="42"/>
      <c r="AH177" s="42"/>
      <c r="AI177" s="75"/>
      <c r="AJ177" s="75"/>
      <c r="AK177" s="75"/>
      <c r="AL177" s="75"/>
      <c r="AM177" s="74"/>
      <c r="AN177" s="72"/>
    </row>
    <row r="178" spans="1:40" s="69" customFormat="1" x14ac:dyDescent="0.25">
      <c r="A178" s="88"/>
      <c r="B178" s="88"/>
      <c r="C178" s="70"/>
      <c r="D178" s="70"/>
      <c r="E178" s="70" t="s">
        <v>8589</v>
      </c>
      <c r="F178" s="70">
        <v>0</v>
      </c>
      <c r="G178" s="70" t="s">
        <v>8658</v>
      </c>
      <c r="H178" s="422" t="s">
        <v>8478</v>
      </c>
      <c r="I178" s="422" t="s">
        <v>8565</v>
      </c>
      <c r="J178" s="418" t="s">
        <v>8567</v>
      </c>
      <c r="K178" s="414">
        <v>7</v>
      </c>
      <c r="L178" s="408">
        <v>1868</v>
      </c>
      <c r="M178" s="408">
        <f t="shared" si="11"/>
        <v>13076</v>
      </c>
      <c r="N178" s="408"/>
      <c r="O178" s="408"/>
      <c r="P178" s="411">
        <v>1</v>
      </c>
      <c r="Q178" s="411">
        <v>1</v>
      </c>
      <c r="R178" s="411"/>
      <c r="S178" s="427">
        <f t="shared" si="9"/>
        <v>0.12242482800978199</v>
      </c>
      <c r="T178" s="427">
        <f t="shared" si="10"/>
        <v>0.12242482800978199</v>
      </c>
      <c r="U178" s="42"/>
      <c r="V178" s="416"/>
      <c r="W178" s="42"/>
      <c r="X178" s="74"/>
      <c r="Y178" s="74"/>
      <c r="Z178" s="74"/>
      <c r="AA178" s="74"/>
      <c r="AB178" s="74"/>
      <c r="AC178" s="42"/>
      <c r="AD178" s="42"/>
      <c r="AE178" s="42"/>
      <c r="AF178" s="42"/>
      <c r="AG178" s="42"/>
      <c r="AH178" s="42"/>
      <c r="AI178" s="75"/>
      <c r="AJ178" s="75"/>
      <c r="AK178" s="75"/>
      <c r="AL178" s="75"/>
      <c r="AM178" s="74"/>
      <c r="AN178" s="72"/>
    </row>
    <row r="179" spans="1:40" s="69" customFormat="1" x14ac:dyDescent="0.25">
      <c r="A179" s="88"/>
      <c r="B179" s="88"/>
      <c r="C179" s="70"/>
      <c r="D179" s="70"/>
      <c r="E179" s="70" t="s">
        <v>8589</v>
      </c>
      <c r="F179" s="70">
        <v>0</v>
      </c>
      <c r="G179" s="70" t="s">
        <v>8658</v>
      </c>
      <c r="H179" s="422" t="s">
        <v>8478</v>
      </c>
      <c r="I179" s="422" t="s">
        <v>8565</v>
      </c>
      <c r="J179" s="418" t="s">
        <v>8578</v>
      </c>
      <c r="K179" s="414">
        <v>2</v>
      </c>
      <c r="L179" s="408">
        <v>1451</v>
      </c>
      <c r="M179" s="408">
        <f t="shared" si="11"/>
        <v>2902</v>
      </c>
      <c r="N179" s="408"/>
      <c r="O179" s="408"/>
      <c r="P179" s="411">
        <v>1</v>
      </c>
      <c r="Q179" s="411">
        <v>1</v>
      </c>
      <c r="R179" s="411"/>
      <c r="S179" s="427">
        <f t="shared" si="9"/>
        <v>2.7170147666288415E-2</v>
      </c>
      <c r="T179" s="427">
        <f t="shared" si="10"/>
        <v>2.7170147666288415E-2</v>
      </c>
      <c r="U179" s="42"/>
      <c r="V179" s="416"/>
      <c r="W179" s="42"/>
      <c r="X179" s="74"/>
      <c r="Y179" s="74"/>
      <c r="Z179" s="74"/>
      <c r="AA179" s="74"/>
      <c r="AB179" s="74"/>
      <c r="AC179" s="42"/>
      <c r="AD179" s="42"/>
      <c r="AE179" s="42"/>
      <c r="AF179" s="42"/>
      <c r="AG179" s="42"/>
      <c r="AH179" s="42"/>
      <c r="AI179" s="75"/>
      <c r="AJ179" s="75"/>
      <c r="AK179" s="75"/>
      <c r="AL179" s="75"/>
      <c r="AM179" s="74"/>
      <c r="AN179" s="72"/>
    </row>
    <row r="180" spans="1:40" s="69" customFormat="1" x14ac:dyDescent="0.25">
      <c r="A180" s="88"/>
      <c r="B180" s="88"/>
      <c r="C180" s="70"/>
      <c r="D180" s="70"/>
      <c r="E180" s="70" t="s">
        <v>8589</v>
      </c>
      <c r="F180" s="70">
        <v>0</v>
      </c>
      <c r="G180" s="70" t="s">
        <v>8658</v>
      </c>
      <c r="H180" s="422" t="s">
        <v>8478</v>
      </c>
      <c r="I180" s="422" t="s">
        <v>8565</v>
      </c>
      <c r="J180" s="418" t="s">
        <v>8578</v>
      </c>
      <c r="K180" s="414">
        <v>2</v>
      </c>
      <c r="L180" s="408">
        <v>834</v>
      </c>
      <c r="M180" s="408">
        <f t="shared" si="11"/>
        <v>1668</v>
      </c>
      <c r="N180" s="408"/>
      <c r="O180" s="408"/>
      <c r="P180" s="411">
        <v>1</v>
      </c>
      <c r="Q180" s="411">
        <v>1</v>
      </c>
      <c r="R180" s="411"/>
      <c r="S180" s="427">
        <f t="shared" si="9"/>
        <v>1.5616749244441447E-2</v>
      </c>
      <c r="T180" s="427">
        <f t="shared" si="10"/>
        <v>1.5616749244441447E-2</v>
      </c>
      <c r="U180" s="42"/>
      <c r="V180" s="416"/>
      <c r="W180" s="42"/>
      <c r="X180" s="74"/>
      <c r="Y180" s="74"/>
      <c r="Z180" s="74"/>
      <c r="AA180" s="74"/>
      <c r="AB180" s="74"/>
      <c r="AC180" s="42"/>
      <c r="AD180" s="42"/>
      <c r="AE180" s="42"/>
      <c r="AF180" s="42"/>
      <c r="AG180" s="42"/>
      <c r="AH180" s="42"/>
      <c r="AI180" s="75"/>
      <c r="AJ180" s="75"/>
      <c r="AK180" s="75"/>
      <c r="AL180" s="75"/>
      <c r="AM180" s="74"/>
      <c r="AN180" s="72"/>
    </row>
    <row r="181" spans="1:40" s="69" customFormat="1" x14ac:dyDescent="0.25">
      <c r="A181" s="88"/>
      <c r="B181" s="88"/>
      <c r="C181" s="70"/>
      <c r="D181" s="70"/>
      <c r="E181" s="70" t="s">
        <v>8589</v>
      </c>
      <c r="F181" s="70">
        <v>0</v>
      </c>
      <c r="G181" s="70" t="s">
        <v>8658</v>
      </c>
      <c r="H181" s="422" t="s">
        <v>8478</v>
      </c>
      <c r="I181" s="422" t="s">
        <v>8565</v>
      </c>
      <c r="J181" s="418" t="s">
        <v>8578</v>
      </c>
      <c r="K181" s="414">
        <v>2</v>
      </c>
      <c r="L181" s="408">
        <v>834</v>
      </c>
      <c r="M181" s="408">
        <f t="shared" si="11"/>
        <v>1668</v>
      </c>
      <c r="N181" s="408"/>
      <c r="O181" s="408"/>
      <c r="P181" s="411">
        <v>1</v>
      </c>
      <c r="Q181" s="411">
        <v>1</v>
      </c>
      <c r="R181" s="411"/>
      <c r="S181" s="427">
        <f t="shared" si="9"/>
        <v>1.5616749244441447E-2</v>
      </c>
      <c r="T181" s="427">
        <f t="shared" si="10"/>
        <v>1.5616749244441447E-2</v>
      </c>
      <c r="U181" s="42"/>
      <c r="V181" s="416"/>
      <c r="W181" s="42"/>
      <c r="X181" s="74"/>
      <c r="Y181" s="74"/>
      <c r="Z181" s="74"/>
      <c r="AA181" s="74"/>
      <c r="AB181" s="74"/>
      <c r="AC181" s="42"/>
      <c r="AD181" s="42"/>
      <c r="AE181" s="42"/>
      <c r="AF181" s="42"/>
      <c r="AG181" s="42"/>
      <c r="AH181" s="42"/>
      <c r="AI181" s="75"/>
      <c r="AJ181" s="75"/>
      <c r="AK181" s="75"/>
      <c r="AL181" s="75"/>
      <c r="AM181" s="74"/>
      <c r="AN181" s="72"/>
    </row>
    <row r="182" spans="1:40" s="69" customFormat="1" x14ac:dyDescent="0.25">
      <c r="A182" s="88"/>
      <c r="B182" s="88"/>
      <c r="C182" s="70"/>
      <c r="D182" s="70"/>
      <c r="E182" s="70" t="s">
        <v>8589</v>
      </c>
      <c r="F182" s="70">
        <v>0</v>
      </c>
      <c r="G182" s="70" t="s">
        <v>8658</v>
      </c>
      <c r="H182" s="422" t="s">
        <v>8478</v>
      </c>
      <c r="I182" s="422" t="s">
        <v>8565</v>
      </c>
      <c r="J182" s="418" t="s">
        <v>8579</v>
      </c>
      <c r="K182" s="414">
        <v>2</v>
      </c>
      <c r="L182" s="408">
        <v>374</v>
      </c>
      <c r="M182" s="408">
        <f t="shared" si="11"/>
        <v>748</v>
      </c>
      <c r="N182" s="408"/>
      <c r="O182" s="408"/>
      <c r="P182" s="411">
        <v>1</v>
      </c>
      <c r="Q182" s="411">
        <v>1</v>
      </c>
      <c r="R182" s="411"/>
      <c r="S182" s="427">
        <f t="shared" si="9"/>
        <v>7.0031945053010804E-3</v>
      </c>
      <c r="T182" s="427">
        <f t="shared" si="10"/>
        <v>7.0031945053010804E-3</v>
      </c>
      <c r="U182" s="42"/>
      <c r="V182" s="416"/>
      <c r="W182" s="42"/>
      <c r="X182" s="74"/>
      <c r="Y182" s="74"/>
      <c r="Z182" s="74"/>
      <c r="AA182" s="74"/>
      <c r="AB182" s="74"/>
      <c r="AC182" s="42"/>
      <c r="AD182" s="42"/>
      <c r="AE182" s="42"/>
      <c r="AF182" s="42"/>
      <c r="AG182" s="42"/>
      <c r="AH182" s="42"/>
      <c r="AI182" s="75"/>
      <c r="AJ182" s="75"/>
      <c r="AK182" s="75"/>
      <c r="AL182" s="75"/>
      <c r="AM182" s="74"/>
      <c r="AN182" s="72"/>
    </row>
    <row r="183" spans="1:40" s="69" customFormat="1" x14ac:dyDescent="0.25">
      <c r="A183" s="88"/>
      <c r="B183" s="88"/>
      <c r="C183" s="70"/>
      <c r="D183" s="70"/>
      <c r="E183" s="70" t="s">
        <v>8589</v>
      </c>
      <c r="F183" s="70">
        <v>0</v>
      </c>
      <c r="G183" s="70" t="s">
        <v>8658</v>
      </c>
      <c r="H183" s="422" t="s">
        <v>8478</v>
      </c>
      <c r="I183" s="422" t="s">
        <v>8565</v>
      </c>
      <c r="J183" s="418" t="s">
        <v>8579</v>
      </c>
      <c r="K183" s="414">
        <v>2</v>
      </c>
      <c r="L183" s="408">
        <v>374</v>
      </c>
      <c r="M183" s="408">
        <f t="shared" si="11"/>
        <v>748</v>
      </c>
      <c r="N183" s="408"/>
      <c r="O183" s="408"/>
      <c r="P183" s="411">
        <v>1</v>
      </c>
      <c r="Q183" s="411">
        <v>1</v>
      </c>
      <c r="R183" s="411"/>
      <c r="S183" s="427">
        <f t="shared" si="9"/>
        <v>7.0031945053010804E-3</v>
      </c>
      <c r="T183" s="427">
        <f t="shared" si="10"/>
        <v>7.0031945053010804E-3</v>
      </c>
      <c r="U183" s="42"/>
      <c r="V183" s="416"/>
      <c r="W183" s="42"/>
      <c r="X183" s="74"/>
      <c r="Y183" s="74"/>
      <c r="Z183" s="74"/>
      <c r="AA183" s="74"/>
      <c r="AB183" s="74"/>
      <c r="AC183" s="42"/>
      <c r="AD183" s="42"/>
      <c r="AE183" s="42"/>
      <c r="AF183" s="42"/>
      <c r="AG183" s="42"/>
      <c r="AH183" s="42"/>
      <c r="AI183" s="75"/>
      <c r="AJ183" s="75"/>
      <c r="AK183" s="75"/>
      <c r="AL183" s="75"/>
      <c r="AM183" s="74"/>
      <c r="AN183" s="72"/>
    </row>
    <row r="184" spans="1:40" s="69" customFormat="1" x14ac:dyDescent="0.25">
      <c r="A184" s="88"/>
      <c r="B184" s="88"/>
      <c r="C184" s="70"/>
      <c r="D184" s="70"/>
      <c r="E184" s="70" t="s">
        <v>8589</v>
      </c>
      <c r="F184" s="70">
        <v>0</v>
      </c>
      <c r="G184" s="70" t="s">
        <v>8658</v>
      </c>
      <c r="H184" s="422" t="s">
        <v>8478</v>
      </c>
      <c r="I184" s="422" t="s">
        <v>8565</v>
      </c>
      <c r="J184" s="418" t="s">
        <v>8580</v>
      </c>
      <c r="K184" s="414">
        <v>1</v>
      </c>
      <c r="L184" s="408">
        <v>996</v>
      </c>
      <c r="M184" s="408">
        <f t="shared" si="11"/>
        <v>996</v>
      </c>
      <c r="N184" s="408"/>
      <c r="O184" s="408"/>
      <c r="P184" s="411">
        <v>1</v>
      </c>
      <c r="Q184" s="411">
        <v>1</v>
      </c>
      <c r="R184" s="411"/>
      <c r="S184" s="427">
        <f t="shared" si="9"/>
        <v>9.3251092610693535E-3</v>
      </c>
      <c r="T184" s="427">
        <f t="shared" si="10"/>
        <v>9.3251092610693535E-3</v>
      </c>
      <c r="U184" s="42"/>
      <c r="V184" s="416"/>
      <c r="W184" s="42"/>
      <c r="X184" s="74"/>
      <c r="Y184" s="74"/>
      <c r="Z184" s="74"/>
      <c r="AA184" s="74"/>
      <c r="AB184" s="74"/>
      <c r="AC184" s="42"/>
      <c r="AD184" s="42"/>
      <c r="AE184" s="42"/>
      <c r="AF184" s="42"/>
      <c r="AG184" s="42"/>
      <c r="AH184" s="42"/>
      <c r="AI184" s="75"/>
      <c r="AJ184" s="75"/>
      <c r="AK184" s="75"/>
      <c r="AL184" s="75"/>
      <c r="AM184" s="74"/>
      <c r="AN184" s="72"/>
    </row>
    <row r="185" spans="1:40" s="69" customFormat="1" x14ac:dyDescent="0.25">
      <c r="A185" s="88"/>
      <c r="B185" s="88"/>
      <c r="C185" s="70"/>
      <c r="D185" s="70"/>
      <c r="E185" s="70" t="s">
        <v>8589</v>
      </c>
      <c r="F185" s="70">
        <v>0</v>
      </c>
      <c r="G185" s="70" t="s">
        <v>8658</v>
      </c>
      <c r="H185" s="422" t="s">
        <v>8478</v>
      </c>
      <c r="I185" s="422" t="s">
        <v>8565</v>
      </c>
      <c r="J185" s="418" t="s">
        <v>8581</v>
      </c>
      <c r="K185" s="414">
        <v>1</v>
      </c>
      <c r="L185" s="408">
        <v>13</v>
      </c>
      <c r="M185" s="408">
        <f t="shared" si="11"/>
        <v>13</v>
      </c>
      <c r="N185" s="408"/>
      <c r="O185" s="408"/>
      <c r="P185" s="411">
        <v>1</v>
      </c>
      <c r="Q185" s="411">
        <v>1</v>
      </c>
      <c r="R185" s="411"/>
      <c r="S185" s="427">
        <f t="shared" si="9"/>
        <v>1.21713273487853E-4</v>
      </c>
      <c r="T185" s="427">
        <f t="shared" si="10"/>
        <v>1.21713273487853E-4</v>
      </c>
      <c r="U185" s="42"/>
      <c r="V185" s="416"/>
      <c r="W185" s="42"/>
      <c r="X185" s="74"/>
      <c r="Y185" s="74"/>
      <c r="Z185" s="74"/>
      <c r="AA185" s="74"/>
      <c r="AB185" s="74"/>
      <c r="AC185" s="42"/>
      <c r="AD185" s="42"/>
      <c r="AE185" s="42"/>
      <c r="AF185" s="42"/>
      <c r="AG185" s="42"/>
      <c r="AH185" s="42"/>
      <c r="AI185" s="75"/>
      <c r="AJ185" s="75"/>
      <c r="AK185" s="75"/>
      <c r="AL185" s="75"/>
      <c r="AM185" s="74"/>
      <c r="AN185" s="72"/>
    </row>
    <row r="186" spans="1:40" s="69" customFormat="1" x14ac:dyDescent="0.25">
      <c r="A186" s="88"/>
      <c r="B186" s="88"/>
      <c r="C186" s="70"/>
      <c r="D186" s="70"/>
      <c r="E186" s="70" t="s">
        <v>8589</v>
      </c>
      <c r="F186" s="70">
        <v>0</v>
      </c>
      <c r="G186" s="70" t="s">
        <v>8658</v>
      </c>
      <c r="H186" s="422" t="s">
        <v>8478</v>
      </c>
      <c r="I186" s="422" t="s">
        <v>8565</v>
      </c>
      <c r="J186" s="418" t="s">
        <v>8582</v>
      </c>
      <c r="K186" s="414">
        <v>1</v>
      </c>
      <c r="L186" s="408">
        <v>3</v>
      </c>
      <c r="M186" s="408">
        <f t="shared" si="11"/>
        <v>3</v>
      </c>
      <c r="N186" s="408"/>
      <c r="O186" s="408"/>
      <c r="P186" s="411">
        <v>1</v>
      </c>
      <c r="Q186" s="411">
        <v>1</v>
      </c>
      <c r="R186" s="411"/>
      <c r="S186" s="427">
        <f t="shared" si="9"/>
        <v>2.8087678497196846E-5</v>
      </c>
      <c r="T186" s="427">
        <f t="shared" si="10"/>
        <v>2.8087678497196846E-5</v>
      </c>
      <c r="U186" s="42"/>
      <c r="V186" s="416"/>
      <c r="W186" s="42"/>
      <c r="X186" s="74"/>
      <c r="Y186" s="74"/>
      <c r="Z186" s="74"/>
      <c r="AA186" s="74"/>
      <c r="AB186" s="74"/>
      <c r="AC186" s="42"/>
      <c r="AD186" s="42"/>
      <c r="AE186" s="42"/>
      <c r="AF186" s="42"/>
      <c r="AG186" s="42"/>
      <c r="AH186" s="42"/>
      <c r="AI186" s="75"/>
      <c r="AJ186" s="75"/>
      <c r="AK186" s="75"/>
      <c r="AL186" s="75"/>
      <c r="AM186" s="74"/>
      <c r="AN186" s="72"/>
    </row>
    <row r="187" spans="1:40" s="69" customFormat="1" x14ac:dyDescent="0.25">
      <c r="A187" s="88"/>
      <c r="B187" s="88"/>
      <c r="C187" s="70"/>
      <c r="D187" s="70"/>
      <c r="E187" s="70" t="s">
        <v>8589</v>
      </c>
      <c r="F187" s="70">
        <v>0</v>
      </c>
      <c r="G187" s="70" t="s">
        <v>8658</v>
      </c>
      <c r="H187" s="422" t="s">
        <v>8478</v>
      </c>
      <c r="I187" s="422" t="s">
        <v>8565</v>
      </c>
      <c r="J187" s="418" t="s">
        <v>8583</v>
      </c>
      <c r="K187" s="414">
        <v>1</v>
      </c>
      <c r="L187" s="408">
        <v>21</v>
      </c>
      <c r="M187" s="408">
        <f t="shared" si="11"/>
        <v>21</v>
      </c>
      <c r="N187" s="408"/>
      <c r="O187" s="408"/>
      <c r="P187" s="434">
        <v>1</v>
      </c>
      <c r="Q187" s="434">
        <v>1</v>
      </c>
      <c r="R187" s="411"/>
      <c r="S187" s="427">
        <f t="shared" si="9"/>
        <v>1.9661374948037793E-4</v>
      </c>
      <c r="T187" s="427">
        <f t="shared" si="10"/>
        <v>1.9661374948037793E-4</v>
      </c>
      <c r="U187" s="42"/>
      <c r="V187" s="416"/>
      <c r="W187" s="42"/>
      <c r="X187" s="74"/>
      <c r="Y187" s="74"/>
      <c r="Z187" s="74"/>
      <c r="AA187" s="74"/>
      <c r="AB187" s="74"/>
      <c r="AC187" s="42"/>
      <c r="AD187" s="42"/>
      <c r="AE187" s="42"/>
      <c r="AF187" s="42"/>
      <c r="AG187" s="42"/>
      <c r="AH187" s="42"/>
      <c r="AI187" s="75"/>
      <c r="AJ187" s="75"/>
      <c r="AK187" s="75"/>
      <c r="AL187" s="75"/>
      <c r="AM187" s="74"/>
      <c r="AN187" s="72"/>
    </row>
    <row r="188" spans="1:40" s="69" customFormat="1" x14ac:dyDescent="0.25">
      <c r="A188" s="88"/>
      <c r="B188" s="88"/>
      <c r="C188" s="70"/>
      <c r="D188" s="70"/>
      <c r="E188" s="70" t="s">
        <v>8589</v>
      </c>
      <c r="F188" s="70">
        <v>0</v>
      </c>
      <c r="G188" s="70" t="s">
        <v>8658</v>
      </c>
      <c r="H188" s="422" t="s">
        <v>8478</v>
      </c>
      <c r="I188" s="422" t="s">
        <v>8565</v>
      </c>
      <c r="J188" s="418" t="s">
        <v>8584</v>
      </c>
      <c r="K188" s="414">
        <v>1</v>
      </c>
      <c r="L188" s="408">
        <v>14</v>
      </c>
      <c r="M188" s="408">
        <f t="shared" si="11"/>
        <v>14</v>
      </c>
      <c r="N188" s="408"/>
      <c r="O188" s="408"/>
      <c r="P188" s="411">
        <v>1</v>
      </c>
      <c r="Q188" s="411">
        <v>1</v>
      </c>
      <c r="R188" s="411"/>
      <c r="S188" s="427">
        <f t="shared" si="9"/>
        <v>1.3107583298691862E-4</v>
      </c>
      <c r="T188" s="427">
        <f t="shared" si="10"/>
        <v>1.3107583298691862E-4</v>
      </c>
      <c r="U188" s="42"/>
      <c r="V188" s="416"/>
      <c r="W188" s="42"/>
      <c r="X188" s="74"/>
      <c r="Y188" s="74"/>
      <c r="Z188" s="74"/>
      <c r="AA188" s="74"/>
      <c r="AB188" s="74"/>
      <c r="AC188" s="42"/>
      <c r="AD188" s="42"/>
      <c r="AE188" s="42"/>
      <c r="AF188" s="42"/>
      <c r="AG188" s="42"/>
      <c r="AH188" s="42"/>
      <c r="AI188" s="75"/>
      <c r="AJ188" s="75"/>
      <c r="AK188" s="75"/>
      <c r="AL188" s="75"/>
      <c r="AM188" s="74"/>
      <c r="AN188" s="72"/>
    </row>
    <row r="189" spans="1:40" s="69" customFormat="1" x14ac:dyDescent="0.25">
      <c r="A189" s="88"/>
      <c r="B189" s="88"/>
      <c r="C189" s="70"/>
      <c r="D189" s="70"/>
      <c r="E189" s="70" t="s">
        <v>8589</v>
      </c>
      <c r="F189" s="70">
        <v>0</v>
      </c>
      <c r="G189" s="70" t="s">
        <v>8658</v>
      </c>
      <c r="H189" s="422" t="s">
        <v>8478</v>
      </c>
      <c r="I189" s="422" t="s">
        <v>8565</v>
      </c>
      <c r="J189" s="418" t="s">
        <v>8585</v>
      </c>
      <c r="K189" s="414">
        <v>1</v>
      </c>
      <c r="L189" s="408">
        <v>747</v>
      </c>
      <c r="M189" s="408">
        <f t="shared" si="11"/>
        <v>747</v>
      </c>
      <c r="N189" s="408"/>
      <c r="O189" s="408"/>
      <c r="P189" s="411">
        <v>1</v>
      </c>
      <c r="Q189" s="411">
        <v>1</v>
      </c>
      <c r="R189" s="411"/>
      <c r="S189" s="427">
        <f t="shared" si="9"/>
        <v>6.9938319458020147E-3</v>
      </c>
      <c r="T189" s="427">
        <f t="shared" si="10"/>
        <v>6.9938319458020147E-3</v>
      </c>
      <c r="U189" s="42"/>
      <c r="V189" s="416"/>
      <c r="W189" s="42"/>
      <c r="X189" s="74"/>
      <c r="Y189" s="74"/>
      <c r="Z189" s="74"/>
      <c r="AA189" s="74"/>
      <c r="AB189" s="74"/>
      <c r="AC189" s="42"/>
      <c r="AD189" s="42"/>
      <c r="AE189" s="42"/>
      <c r="AF189" s="42"/>
      <c r="AG189" s="42"/>
      <c r="AH189" s="42"/>
      <c r="AI189" s="75"/>
      <c r="AJ189" s="75"/>
      <c r="AK189" s="75"/>
      <c r="AL189" s="75"/>
      <c r="AM189" s="74"/>
      <c r="AN189" s="72"/>
    </row>
    <row r="190" spans="1:40" s="69" customFormat="1" x14ac:dyDescent="0.25">
      <c r="A190" s="88"/>
      <c r="B190" s="88"/>
      <c r="C190" s="70"/>
      <c r="D190" s="70"/>
      <c r="E190" s="70" t="s">
        <v>8589</v>
      </c>
      <c r="F190" s="70">
        <v>0</v>
      </c>
      <c r="G190" s="70" t="s">
        <v>8658</v>
      </c>
      <c r="H190" s="422" t="s">
        <v>8478</v>
      </c>
      <c r="I190" s="422" t="s">
        <v>8565</v>
      </c>
      <c r="J190" s="418" t="s">
        <v>8586</v>
      </c>
      <c r="K190" s="414">
        <v>1</v>
      </c>
      <c r="L190" s="408">
        <v>806</v>
      </c>
      <c r="M190" s="408">
        <f t="shared" si="11"/>
        <v>806</v>
      </c>
      <c r="N190" s="408"/>
      <c r="O190" s="408"/>
      <c r="P190" s="411">
        <v>1</v>
      </c>
      <c r="Q190" s="411">
        <v>1</v>
      </c>
      <c r="R190" s="411"/>
      <c r="S190" s="427">
        <f t="shared" si="9"/>
        <v>7.5462229562468864E-3</v>
      </c>
      <c r="T190" s="427">
        <f t="shared" si="10"/>
        <v>7.5462229562468864E-3</v>
      </c>
      <c r="U190" s="42"/>
      <c r="V190" s="416"/>
      <c r="W190" s="42"/>
      <c r="X190" s="74"/>
      <c r="Y190" s="74"/>
      <c r="Z190" s="74"/>
      <c r="AA190" s="74"/>
      <c r="AB190" s="74"/>
      <c r="AC190" s="42"/>
      <c r="AD190" s="42"/>
      <c r="AE190" s="42"/>
      <c r="AF190" s="42"/>
      <c r="AG190" s="42"/>
      <c r="AH190" s="42"/>
      <c r="AI190" s="75"/>
      <c r="AJ190" s="75"/>
      <c r="AK190" s="75"/>
      <c r="AL190" s="75"/>
      <c r="AM190" s="74"/>
      <c r="AN190" s="72"/>
    </row>
    <row r="191" spans="1:40" s="69" customFormat="1" x14ac:dyDescent="0.25">
      <c r="A191" s="88"/>
      <c r="B191" s="88"/>
      <c r="C191" s="70"/>
      <c r="D191" s="70"/>
      <c r="E191" s="70" t="s">
        <v>8589</v>
      </c>
      <c r="F191" s="70">
        <v>0</v>
      </c>
      <c r="G191" s="70" t="s">
        <v>8658</v>
      </c>
      <c r="H191" s="422" t="s">
        <v>8478</v>
      </c>
      <c r="I191" s="422" t="s">
        <v>8565</v>
      </c>
      <c r="J191" s="418" t="s">
        <v>8587</v>
      </c>
      <c r="K191" s="414">
        <v>7</v>
      </c>
      <c r="L191" s="408">
        <v>88</v>
      </c>
      <c r="M191" s="408">
        <f t="shared" si="11"/>
        <v>616</v>
      </c>
      <c r="N191" s="408"/>
      <c r="O191" s="408"/>
      <c r="P191" s="411">
        <v>1</v>
      </c>
      <c r="Q191" s="411">
        <v>1</v>
      </c>
      <c r="R191" s="411"/>
      <c r="S191" s="427">
        <f t="shared" si="9"/>
        <v>5.7673366514244193E-3</v>
      </c>
      <c r="T191" s="427">
        <f t="shared" si="10"/>
        <v>5.7673366514244193E-3</v>
      </c>
      <c r="U191" s="42"/>
      <c r="V191" s="416"/>
      <c r="W191" s="42"/>
      <c r="X191" s="74"/>
      <c r="Y191" s="74"/>
      <c r="Z191" s="74"/>
      <c r="AA191" s="74"/>
      <c r="AB191" s="74"/>
      <c r="AC191" s="42"/>
      <c r="AD191" s="42"/>
      <c r="AE191" s="42"/>
      <c r="AF191" s="42"/>
      <c r="AG191" s="42"/>
      <c r="AH191" s="42"/>
      <c r="AI191" s="75"/>
      <c r="AJ191" s="75"/>
      <c r="AK191" s="75"/>
      <c r="AL191" s="75"/>
      <c r="AM191" s="74"/>
      <c r="AN191" s="72"/>
    </row>
    <row r="192" spans="1:40" s="69" customFormat="1" x14ac:dyDescent="0.25">
      <c r="A192" s="88"/>
      <c r="B192" s="88"/>
      <c r="C192" s="70"/>
      <c r="D192" s="70"/>
      <c r="E192" s="70" t="s">
        <v>8589</v>
      </c>
      <c r="F192" s="70">
        <v>0</v>
      </c>
      <c r="G192" s="70" t="s">
        <v>8658</v>
      </c>
      <c r="H192" s="422" t="s">
        <v>8478</v>
      </c>
      <c r="I192" s="422" t="s">
        <v>8565</v>
      </c>
      <c r="J192" s="418" t="s">
        <v>8588</v>
      </c>
      <c r="K192" s="414">
        <v>2</v>
      </c>
      <c r="L192" s="408">
        <v>61</v>
      </c>
      <c r="M192" s="408">
        <f t="shared" ref="M192:M239" si="12">L192*K192</f>
        <v>122</v>
      </c>
      <c r="N192" s="408"/>
      <c r="O192" s="408"/>
      <c r="P192" s="411">
        <v>1</v>
      </c>
      <c r="Q192" s="411">
        <v>1</v>
      </c>
      <c r="R192" s="411"/>
      <c r="S192" s="427">
        <f t="shared" si="9"/>
        <v>1.1422322588860051E-3</v>
      </c>
      <c r="T192" s="427">
        <f t="shared" si="10"/>
        <v>1.1422322588860051E-3</v>
      </c>
      <c r="U192" s="42"/>
      <c r="V192" s="416"/>
      <c r="W192" s="42"/>
      <c r="X192" s="74"/>
      <c r="Y192" s="74"/>
      <c r="Z192" s="74"/>
      <c r="AA192" s="74"/>
      <c r="AB192" s="74"/>
      <c r="AC192" s="42"/>
      <c r="AD192" s="42"/>
      <c r="AE192" s="42"/>
      <c r="AF192" s="42"/>
      <c r="AG192" s="42"/>
      <c r="AH192" s="42"/>
      <c r="AI192" s="75"/>
      <c r="AJ192" s="75"/>
      <c r="AK192" s="75"/>
      <c r="AL192" s="75"/>
      <c r="AM192" s="74"/>
      <c r="AN192" s="72"/>
    </row>
    <row r="193" spans="1:40" s="69" customFormat="1" x14ac:dyDescent="0.25">
      <c r="A193" s="88"/>
      <c r="B193" s="88"/>
      <c r="C193" s="70"/>
      <c r="D193" s="70"/>
      <c r="E193" s="70" t="s">
        <v>8616</v>
      </c>
      <c r="F193" s="70">
        <v>0</v>
      </c>
      <c r="G193" s="70" t="s">
        <v>8658</v>
      </c>
      <c r="H193" s="422" t="s">
        <v>8478</v>
      </c>
      <c r="I193" s="422" t="s">
        <v>8565</v>
      </c>
      <c r="J193" s="418" t="s">
        <v>8590</v>
      </c>
      <c r="K193" s="414">
        <v>1</v>
      </c>
      <c r="L193" s="408">
        <v>459</v>
      </c>
      <c r="M193" s="408">
        <f t="shared" si="12"/>
        <v>459</v>
      </c>
      <c r="N193" s="408"/>
      <c r="O193" s="408"/>
      <c r="P193" s="434">
        <v>1</v>
      </c>
      <c r="Q193" s="434">
        <v>1</v>
      </c>
      <c r="R193" s="411"/>
      <c r="S193" s="427">
        <f t="shared" si="9"/>
        <v>4.2974148100711172E-3</v>
      </c>
      <c r="T193" s="427">
        <f t="shared" si="10"/>
        <v>4.2974148100711172E-3</v>
      </c>
      <c r="U193" s="42"/>
      <c r="V193" s="416"/>
      <c r="W193" s="42"/>
      <c r="X193" s="74"/>
      <c r="Y193" s="74"/>
      <c r="Z193" s="74"/>
      <c r="AA193" s="74"/>
      <c r="AB193" s="74"/>
      <c r="AC193" s="42"/>
      <c r="AD193" s="42"/>
      <c r="AE193" s="42"/>
      <c r="AF193" s="42"/>
      <c r="AG193" s="42"/>
      <c r="AH193" s="42"/>
      <c r="AI193" s="75"/>
      <c r="AJ193" s="75"/>
      <c r="AK193" s="75"/>
      <c r="AL193" s="75"/>
      <c r="AM193" s="74"/>
      <c r="AN193" s="72"/>
    </row>
    <row r="194" spans="1:40" s="69" customFormat="1" x14ac:dyDescent="0.25">
      <c r="A194" s="88"/>
      <c r="B194" s="88"/>
      <c r="C194" s="70"/>
      <c r="D194" s="70"/>
      <c r="E194" s="70" t="s">
        <v>8616</v>
      </c>
      <c r="F194" s="70">
        <v>0</v>
      </c>
      <c r="G194" s="70" t="s">
        <v>8658</v>
      </c>
      <c r="H194" s="422" t="s">
        <v>8478</v>
      </c>
      <c r="I194" s="422" t="s">
        <v>8565</v>
      </c>
      <c r="J194" s="418" t="s">
        <v>8591</v>
      </c>
      <c r="K194" s="414">
        <v>1</v>
      </c>
      <c r="L194" s="408">
        <v>75</v>
      </c>
      <c r="M194" s="408">
        <f t="shared" si="12"/>
        <v>75</v>
      </c>
      <c r="N194" s="408"/>
      <c r="O194" s="408"/>
      <c r="P194" s="411"/>
      <c r="Q194" s="411"/>
      <c r="R194" s="411"/>
      <c r="S194" s="427">
        <f t="shared" si="9"/>
        <v>7.0219196242992114E-4</v>
      </c>
      <c r="T194" s="427">
        <f t="shared" si="10"/>
        <v>0</v>
      </c>
      <c r="U194" s="42"/>
      <c r="V194" s="416"/>
      <c r="W194" s="42"/>
      <c r="X194" s="74"/>
      <c r="Y194" s="74"/>
      <c r="Z194" s="74"/>
      <c r="AA194" s="74"/>
      <c r="AB194" s="74"/>
      <c r="AC194" s="42"/>
      <c r="AD194" s="42"/>
      <c r="AE194" s="42"/>
      <c r="AF194" s="42"/>
      <c r="AG194" s="42"/>
      <c r="AH194" s="42"/>
      <c r="AI194" s="75"/>
      <c r="AJ194" s="75"/>
      <c r="AK194" s="75"/>
      <c r="AL194" s="75"/>
      <c r="AM194" s="74"/>
      <c r="AN194" s="72"/>
    </row>
    <row r="195" spans="1:40" s="69" customFormat="1" x14ac:dyDescent="0.25">
      <c r="A195" s="88"/>
      <c r="B195" s="88"/>
      <c r="C195" s="70"/>
      <c r="D195" s="70"/>
      <c r="E195" s="70" t="s">
        <v>8616</v>
      </c>
      <c r="F195" s="70">
        <v>0</v>
      </c>
      <c r="G195" s="70" t="s">
        <v>8658</v>
      </c>
      <c r="H195" s="422" t="s">
        <v>8478</v>
      </c>
      <c r="I195" s="422" t="s">
        <v>8565</v>
      </c>
      <c r="J195" s="418" t="s">
        <v>8592</v>
      </c>
      <c r="K195" s="414">
        <v>1</v>
      </c>
      <c r="L195" s="408">
        <v>75</v>
      </c>
      <c r="M195" s="408">
        <f t="shared" si="12"/>
        <v>75</v>
      </c>
      <c r="N195" s="408"/>
      <c r="O195" s="408"/>
      <c r="P195" s="411"/>
      <c r="Q195" s="411"/>
      <c r="R195" s="411"/>
      <c r="S195" s="427">
        <f t="shared" si="9"/>
        <v>7.0219196242992114E-4</v>
      </c>
      <c r="T195" s="427">
        <f t="shared" si="10"/>
        <v>0</v>
      </c>
      <c r="U195" s="42"/>
      <c r="V195" s="416"/>
      <c r="W195" s="42"/>
      <c r="X195" s="74"/>
      <c r="Y195" s="74"/>
      <c r="Z195" s="74"/>
      <c r="AA195" s="74"/>
      <c r="AB195" s="74"/>
      <c r="AC195" s="42"/>
      <c r="AD195" s="42"/>
      <c r="AE195" s="42"/>
      <c r="AF195" s="42"/>
      <c r="AG195" s="42"/>
      <c r="AH195" s="42"/>
      <c r="AI195" s="75"/>
      <c r="AJ195" s="75"/>
      <c r="AK195" s="75"/>
      <c r="AL195" s="75"/>
      <c r="AM195" s="74"/>
      <c r="AN195" s="72"/>
    </row>
    <row r="196" spans="1:40" s="69" customFormat="1" x14ac:dyDescent="0.25">
      <c r="A196" s="88"/>
      <c r="B196" s="88"/>
      <c r="C196" s="70"/>
      <c r="D196" s="70"/>
      <c r="E196" s="70" t="s">
        <v>8616</v>
      </c>
      <c r="F196" s="70">
        <v>0</v>
      </c>
      <c r="G196" s="70" t="s">
        <v>8658</v>
      </c>
      <c r="H196" s="422" t="s">
        <v>8478</v>
      </c>
      <c r="I196" s="422" t="s">
        <v>8565</v>
      </c>
      <c r="J196" s="418" t="s">
        <v>8593</v>
      </c>
      <c r="K196" s="414">
        <v>1</v>
      </c>
      <c r="L196" s="408">
        <v>475</v>
      </c>
      <c r="M196" s="408">
        <f t="shared" si="12"/>
        <v>475</v>
      </c>
      <c r="N196" s="408"/>
      <c r="O196" s="408"/>
      <c r="P196" s="434">
        <v>1</v>
      </c>
      <c r="Q196" s="434">
        <v>1</v>
      </c>
      <c r="R196" s="411"/>
      <c r="S196" s="427">
        <f t="shared" si="9"/>
        <v>4.4472157620561673E-3</v>
      </c>
      <c r="T196" s="427">
        <f t="shared" si="10"/>
        <v>4.4472157620561673E-3</v>
      </c>
      <c r="U196" s="42"/>
      <c r="V196" s="416"/>
      <c r="W196" s="42"/>
      <c r="X196" s="74"/>
      <c r="Y196" s="74"/>
      <c r="Z196" s="74"/>
      <c r="AA196" s="74"/>
      <c r="AB196" s="74"/>
      <c r="AC196" s="42"/>
      <c r="AD196" s="42"/>
      <c r="AE196" s="42"/>
      <c r="AF196" s="42"/>
      <c r="AG196" s="42"/>
      <c r="AH196" s="42"/>
      <c r="AI196" s="75"/>
      <c r="AJ196" s="75"/>
      <c r="AK196" s="75"/>
      <c r="AL196" s="75"/>
      <c r="AM196" s="74"/>
      <c r="AN196" s="72"/>
    </row>
    <row r="197" spans="1:40" s="69" customFormat="1" x14ac:dyDescent="0.25">
      <c r="A197" s="88"/>
      <c r="B197" s="88"/>
      <c r="C197" s="70"/>
      <c r="D197" s="70"/>
      <c r="E197" s="70" t="s">
        <v>8616</v>
      </c>
      <c r="F197" s="70">
        <v>0</v>
      </c>
      <c r="G197" s="70" t="s">
        <v>8658</v>
      </c>
      <c r="H197" s="422" t="s">
        <v>8478</v>
      </c>
      <c r="I197" s="422" t="s">
        <v>8565</v>
      </c>
      <c r="J197" s="418" t="s">
        <v>8594</v>
      </c>
      <c r="K197" s="414">
        <v>3</v>
      </c>
      <c r="L197" s="408">
        <v>28</v>
      </c>
      <c r="M197" s="408">
        <f t="shared" si="12"/>
        <v>84</v>
      </c>
      <c r="N197" s="408"/>
      <c r="O197" s="408"/>
      <c r="P197" s="434">
        <v>1</v>
      </c>
      <c r="Q197" s="434">
        <v>1</v>
      </c>
      <c r="R197" s="411"/>
      <c r="S197" s="427">
        <f t="shared" si="9"/>
        <v>7.8645499792151172E-4</v>
      </c>
      <c r="T197" s="427">
        <f t="shared" si="10"/>
        <v>7.8645499792151172E-4</v>
      </c>
      <c r="U197" s="42"/>
      <c r="V197" s="416"/>
      <c r="W197" s="42"/>
      <c r="X197" s="74"/>
      <c r="Y197" s="74"/>
      <c r="Z197" s="74"/>
      <c r="AA197" s="74"/>
      <c r="AB197" s="74"/>
      <c r="AC197" s="42"/>
      <c r="AD197" s="42"/>
      <c r="AE197" s="42"/>
      <c r="AF197" s="42"/>
      <c r="AG197" s="42"/>
      <c r="AH197" s="42"/>
      <c r="AI197" s="75"/>
      <c r="AJ197" s="75"/>
      <c r="AK197" s="75"/>
      <c r="AL197" s="75"/>
      <c r="AM197" s="74"/>
      <c r="AN197" s="72"/>
    </row>
    <row r="198" spans="1:40" s="69" customFormat="1" x14ac:dyDescent="0.25">
      <c r="A198" s="88"/>
      <c r="B198" s="88"/>
      <c r="C198" s="70"/>
      <c r="D198" s="70"/>
      <c r="E198" s="70" t="s">
        <v>8616</v>
      </c>
      <c r="F198" s="70">
        <v>0</v>
      </c>
      <c r="G198" s="70" t="s">
        <v>8658</v>
      </c>
      <c r="H198" s="422" t="s">
        <v>8478</v>
      </c>
      <c r="I198" s="422" t="s">
        <v>8565</v>
      </c>
      <c r="J198" s="418" t="s">
        <v>8595</v>
      </c>
      <c r="K198" s="414">
        <v>3</v>
      </c>
      <c r="L198" s="408">
        <v>41</v>
      </c>
      <c r="M198" s="408">
        <f t="shared" si="12"/>
        <v>123</v>
      </c>
      <c r="N198" s="408"/>
      <c r="O198" s="408"/>
      <c r="P198" s="411"/>
      <c r="Q198" s="411"/>
      <c r="R198" s="411"/>
      <c r="S198" s="427">
        <f t="shared" ref="S198:S261" si="13">M198/$M$3</f>
        <v>1.1515948183850708E-3</v>
      </c>
      <c r="T198" s="427">
        <f t="shared" ref="T198:T261" si="14">Q198*M198/$M$3</f>
        <v>0</v>
      </c>
      <c r="U198" s="42"/>
      <c r="V198" s="416"/>
      <c r="W198" s="42"/>
      <c r="X198" s="74"/>
      <c r="Y198" s="74"/>
      <c r="Z198" s="74"/>
      <c r="AA198" s="74"/>
      <c r="AB198" s="74"/>
      <c r="AC198" s="42"/>
      <c r="AD198" s="42"/>
      <c r="AE198" s="42"/>
      <c r="AF198" s="42"/>
      <c r="AG198" s="42"/>
      <c r="AH198" s="42"/>
      <c r="AI198" s="75"/>
      <c r="AJ198" s="75"/>
      <c r="AK198" s="75"/>
      <c r="AL198" s="75"/>
      <c r="AM198" s="74"/>
      <c r="AN198" s="72"/>
    </row>
    <row r="199" spans="1:40" s="69" customFormat="1" x14ac:dyDescent="0.25">
      <c r="A199" s="88"/>
      <c r="B199" s="88"/>
      <c r="C199" s="70"/>
      <c r="D199" s="70"/>
      <c r="E199" s="70" t="s">
        <v>8616</v>
      </c>
      <c r="F199" s="70">
        <v>0</v>
      </c>
      <c r="G199" s="70" t="s">
        <v>8658</v>
      </c>
      <c r="H199" s="422" t="s">
        <v>8478</v>
      </c>
      <c r="I199" s="422" t="s">
        <v>8565</v>
      </c>
      <c r="J199" s="418" t="s">
        <v>8596</v>
      </c>
      <c r="K199" s="414">
        <v>3</v>
      </c>
      <c r="L199" s="408">
        <v>89</v>
      </c>
      <c r="M199" s="408">
        <f t="shared" si="12"/>
        <v>267</v>
      </c>
      <c r="N199" s="408"/>
      <c r="O199" s="408"/>
      <c r="P199" s="434">
        <v>1</v>
      </c>
      <c r="Q199" s="434">
        <v>1</v>
      </c>
      <c r="R199" s="411"/>
      <c r="S199" s="427">
        <f t="shared" si="13"/>
        <v>2.4998033862505195E-3</v>
      </c>
      <c r="T199" s="427">
        <f t="shared" si="14"/>
        <v>2.4998033862505195E-3</v>
      </c>
      <c r="U199" s="42"/>
      <c r="V199" s="416"/>
      <c r="W199" s="42"/>
      <c r="X199" s="74"/>
      <c r="Y199" s="74"/>
      <c r="Z199" s="74"/>
      <c r="AA199" s="74"/>
      <c r="AB199" s="74"/>
      <c r="AC199" s="42"/>
      <c r="AD199" s="42"/>
      <c r="AE199" s="42"/>
      <c r="AF199" s="42"/>
      <c r="AG199" s="42"/>
      <c r="AH199" s="42"/>
      <c r="AI199" s="75"/>
      <c r="AJ199" s="75"/>
      <c r="AK199" s="75"/>
      <c r="AL199" s="75"/>
      <c r="AM199" s="74"/>
      <c r="AN199" s="72"/>
    </row>
    <row r="200" spans="1:40" s="69" customFormat="1" x14ac:dyDescent="0.25">
      <c r="A200" s="88"/>
      <c r="B200" s="88"/>
      <c r="C200" s="70"/>
      <c r="D200" s="70"/>
      <c r="E200" s="70" t="s">
        <v>8616</v>
      </c>
      <c r="F200" s="70">
        <v>0</v>
      </c>
      <c r="G200" s="70" t="s">
        <v>8658</v>
      </c>
      <c r="H200" s="422" t="s">
        <v>8478</v>
      </c>
      <c r="I200" s="422" t="s">
        <v>8565</v>
      </c>
      <c r="J200" s="418" t="s">
        <v>8597</v>
      </c>
      <c r="K200" s="414">
        <v>3</v>
      </c>
      <c r="L200" s="408">
        <v>119</v>
      </c>
      <c r="M200" s="408">
        <f t="shared" si="12"/>
        <v>357</v>
      </c>
      <c r="N200" s="408"/>
      <c r="O200" s="408"/>
      <c r="P200" s="434">
        <v>1</v>
      </c>
      <c r="Q200" s="434">
        <v>1</v>
      </c>
      <c r="R200" s="411"/>
      <c r="S200" s="427">
        <f t="shared" si="13"/>
        <v>3.3424337411664248E-3</v>
      </c>
      <c r="T200" s="427">
        <f t="shared" si="14"/>
        <v>3.3424337411664248E-3</v>
      </c>
      <c r="U200" s="42"/>
      <c r="V200" s="416"/>
      <c r="W200" s="42"/>
      <c r="X200" s="74"/>
      <c r="Y200" s="74"/>
      <c r="Z200" s="74"/>
      <c r="AA200" s="74"/>
      <c r="AB200" s="74"/>
      <c r="AC200" s="42"/>
      <c r="AD200" s="42"/>
      <c r="AE200" s="42"/>
      <c r="AF200" s="42"/>
      <c r="AG200" s="42"/>
      <c r="AH200" s="42"/>
      <c r="AI200" s="75"/>
      <c r="AJ200" s="75"/>
      <c r="AK200" s="75"/>
      <c r="AL200" s="75"/>
      <c r="AM200" s="74"/>
      <c r="AN200" s="72"/>
    </row>
    <row r="201" spans="1:40" s="69" customFormat="1" x14ac:dyDescent="0.25">
      <c r="A201" s="88"/>
      <c r="B201" s="88"/>
      <c r="C201" s="70"/>
      <c r="D201" s="70"/>
      <c r="E201" s="70" t="s">
        <v>8616</v>
      </c>
      <c r="F201" s="70">
        <v>0</v>
      </c>
      <c r="G201" s="70" t="s">
        <v>8658</v>
      </c>
      <c r="H201" s="422" t="s">
        <v>8478</v>
      </c>
      <c r="I201" s="422" t="s">
        <v>8565</v>
      </c>
      <c r="J201" s="418" t="s">
        <v>8598</v>
      </c>
      <c r="K201" s="414">
        <v>3</v>
      </c>
      <c r="L201" s="408">
        <v>66</v>
      </c>
      <c r="M201" s="408">
        <f t="shared" si="12"/>
        <v>198</v>
      </c>
      <c r="N201" s="408"/>
      <c r="O201" s="408"/>
      <c r="P201" s="411">
        <v>1</v>
      </c>
      <c r="Q201" s="411">
        <v>1</v>
      </c>
      <c r="R201" s="411"/>
      <c r="S201" s="427">
        <f t="shared" si="13"/>
        <v>1.8537867808149919E-3</v>
      </c>
      <c r="T201" s="427">
        <f t="shared" si="14"/>
        <v>1.8537867808149919E-3</v>
      </c>
      <c r="U201" s="42"/>
      <c r="V201" s="416"/>
      <c r="W201" s="42"/>
      <c r="X201" s="74"/>
      <c r="Y201" s="74"/>
      <c r="Z201" s="74"/>
      <c r="AA201" s="74"/>
      <c r="AB201" s="74"/>
      <c r="AC201" s="42"/>
      <c r="AD201" s="42"/>
      <c r="AE201" s="42"/>
      <c r="AF201" s="42"/>
      <c r="AG201" s="42"/>
      <c r="AH201" s="42"/>
      <c r="AI201" s="75"/>
      <c r="AJ201" s="75"/>
      <c r="AK201" s="75"/>
      <c r="AL201" s="75"/>
      <c r="AM201" s="74"/>
      <c r="AN201" s="72"/>
    </row>
    <row r="202" spans="1:40" s="69" customFormat="1" x14ac:dyDescent="0.25">
      <c r="A202" s="88"/>
      <c r="B202" s="88"/>
      <c r="C202" s="70"/>
      <c r="D202" s="70"/>
      <c r="E202" s="70" t="s">
        <v>8616</v>
      </c>
      <c r="F202" s="70">
        <v>0</v>
      </c>
      <c r="G202" s="70" t="s">
        <v>8658</v>
      </c>
      <c r="H202" s="422" t="s">
        <v>8478</v>
      </c>
      <c r="I202" s="422" t="s">
        <v>8565</v>
      </c>
      <c r="J202" s="418" t="s">
        <v>8596</v>
      </c>
      <c r="K202" s="414">
        <v>3</v>
      </c>
      <c r="L202" s="408">
        <v>29</v>
      </c>
      <c r="M202" s="408">
        <f t="shared" si="12"/>
        <v>87</v>
      </c>
      <c r="N202" s="408"/>
      <c r="O202" s="408"/>
      <c r="P202" s="434">
        <v>1</v>
      </c>
      <c r="Q202" s="434">
        <v>1</v>
      </c>
      <c r="R202" s="411"/>
      <c r="S202" s="427">
        <f t="shared" si="13"/>
        <v>8.1454267641870861E-4</v>
      </c>
      <c r="T202" s="427">
        <f t="shared" si="14"/>
        <v>8.1454267641870861E-4</v>
      </c>
      <c r="U202" s="42"/>
      <c r="V202" s="416"/>
      <c r="W202" s="42"/>
      <c r="X202" s="74"/>
      <c r="Y202" s="74"/>
      <c r="Z202" s="74"/>
      <c r="AA202" s="74"/>
      <c r="AB202" s="74"/>
      <c r="AC202" s="42"/>
      <c r="AD202" s="42"/>
      <c r="AE202" s="42"/>
      <c r="AF202" s="42"/>
      <c r="AG202" s="42"/>
      <c r="AH202" s="42"/>
      <c r="AI202" s="75"/>
      <c r="AJ202" s="75"/>
      <c r="AK202" s="75"/>
      <c r="AL202" s="75"/>
      <c r="AM202" s="74"/>
      <c r="AN202" s="72"/>
    </row>
    <row r="203" spans="1:40" s="69" customFormat="1" x14ac:dyDescent="0.25">
      <c r="A203" s="88"/>
      <c r="B203" s="88"/>
      <c r="C203" s="70"/>
      <c r="D203" s="70"/>
      <c r="E203" s="70" t="s">
        <v>8616</v>
      </c>
      <c r="F203" s="70">
        <v>0</v>
      </c>
      <c r="G203" s="70" t="s">
        <v>8658</v>
      </c>
      <c r="H203" s="422" t="s">
        <v>8478</v>
      </c>
      <c r="I203" s="422" t="s">
        <v>8565</v>
      </c>
      <c r="J203" s="418" t="s">
        <v>8599</v>
      </c>
      <c r="K203" s="414">
        <v>1</v>
      </c>
      <c r="L203" s="408">
        <v>60</v>
      </c>
      <c r="M203" s="408">
        <f t="shared" si="12"/>
        <v>60</v>
      </c>
      <c r="N203" s="408"/>
      <c r="O203" s="408"/>
      <c r="P203" s="434">
        <v>1</v>
      </c>
      <c r="Q203" s="434">
        <v>1</v>
      </c>
      <c r="R203" s="411"/>
      <c r="S203" s="427">
        <f t="shared" si="13"/>
        <v>5.6175356994393689E-4</v>
      </c>
      <c r="T203" s="427">
        <f t="shared" si="14"/>
        <v>5.6175356994393689E-4</v>
      </c>
      <c r="U203" s="42"/>
      <c r="V203" s="416"/>
      <c r="W203" s="42"/>
      <c r="X203" s="74"/>
      <c r="Y203" s="74"/>
      <c r="Z203" s="74"/>
      <c r="AA203" s="74"/>
      <c r="AB203" s="74"/>
      <c r="AC203" s="42"/>
      <c r="AD203" s="42"/>
      <c r="AE203" s="42"/>
      <c r="AF203" s="42"/>
      <c r="AG203" s="42"/>
      <c r="AH203" s="42"/>
      <c r="AI203" s="75"/>
      <c r="AJ203" s="75"/>
      <c r="AK203" s="75"/>
      <c r="AL203" s="75"/>
      <c r="AM203" s="74"/>
      <c r="AN203" s="72"/>
    </row>
    <row r="204" spans="1:40" s="69" customFormat="1" x14ac:dyDescent="0.25">
      <c r="A204" s="88"/>
      <c r="B204" s="88"/>
      <c r="C204" s="70"/>
      <c r="D204" s="70"/>
      <c r="E204" s="70" t="s">
        <v>8616</v>
      </c>
      <c r="F204" s="70">
        <v>0</v>
      </c>
      <c r="G204" s="70" t="s">
        <v>8658</v>
      </c>
      <c r="H204" s="422" t="s">
        <v>8478</v>
      </c>
      <c r="I204" s="422" t="s">
        <v>8565</v>
      </c>
      <c r="J204" s="418" t="s">
        <v>8600</v>
      </c>
      <c r="K204" s="414">
        <v>2</v>
      </c>
      <c r="L204" s="408">
        <v>96</v>
      </c>
      <c r="M204" s="408">
        <f t="shared" si="12"/>
        <v>192</v>
      </c>
      <c r="N204" s="408"/>
      <c r="O204" s="408"/>
      <c r="P204" s="434">
        <v>1</v>
      </c>
      <c r="Q204" s="434">
        <v>1</v>
      </c>
      <c r="R204" s="411"/>
      <c r="S204" s="427">
        <f t="shared" si="13"/>
        <v>1.7976114238205981E-3</v>
      </c>
      <c r="T204" s="427">
        <f t="shared" si="14"/>
        <v>1.7976114238205981E-3</v>
      </c>
      <c r="U204" s="42"/>
      <c r="V204" s="416"/>
      <c r="W204" s="42"/>
      <c r="X204" s="74"/>
      <c r="Y204" s="74"/>
      <c r="Z204" s="74"/>
      <c r="AA204" s="74"/>
      <c r="AB204" s="74"/>
      <c r="AC204" s="42"/>
      <c r="AD204" s="42"/>
      <c r="AE204" s="42"/>
      <c r="AF204" s="42"/>
      <c r="AG204" s="42"/>
      <c r="AH204" s="42"/>
      <c r="AI204" s="75"/>
      <c r="AJ204" s="75"/>
      <c r="AK204" s="75"/>
      <c r="AL204" s="75"/>
      <c r="AM204" s="74"/>
      <c r="AN204" s="72"/>
    </row>
    <row r="205" spans="1:40" s="69" customFormat="1" x14ac:dyDescent="0.25">
      <c r="A205" s="88"/>
      <c r="B205" s="88"/>
      <c r="C205" s="70"/>
      <c r="D205" s="70"/>
      <c r="E205" s="70" t="s">
        <v>8616</v>
      </c>
      <c r="F205" s="70">
        <v>0</v>
      </c>
      <c r="G205" s="70" t="s">
        <v>8658</v>
      </c>
      <c r="H205" s="422" t="s">
        <v>8478</v>
      </c>
      <c r="I205" s="422" t="s">
        <v>8565</v>
      </c>
      <c r="J205" s="418" t="s">
        <v>8601</v>
      </c>
      <c r="K205" s="414">
        <v>1</v>
      </c>
      <c r="L205" s="408">
        <v>120</v>
      </c>
      <c r="M205" s="408">
        <f t="shared" si="12"/>
        <v>120</v>
      </c>
      <c r="N205" s="408"/>
      <c r="O205" s="408"/>
      <c r="P205" s="434">
        <v>1</v>
      </c>
      <c r="Q205" s="434">
        <v>1</v>
      </c>
      <c r="R205" s="411"/>
      <c r="S205" s="427">
        <f t="shared" si="13"/>
        <v>1.1235071398878738E-3</v>
      </c>
      <c r="T205" s="427">
        <f t="shared" si="14"/>
        <v>1.1235071398878738E-3</v>
      </c>
      <c r="U205" s="42"/>
      <c r="V205" s="416"/>
      <c r="W205" s="42"/>
      <c r="X205" s="74"/>
      <c r="Y205" s="74"/>
      <c r="Z205" s="74"/>
      <c r="AA205" s="74"/>
      <c r="AB205" s="74"/>
      <c r="AC205" s="42"/>
      <c r="AD205" s="42"/>
      <c r="AE205" s="42"/>
      <c r="AF205" s="42"/>
      <c r="AG205" s="42"/>
      <c r="AH205" s="42"/>
      <c r="AI205" s="75"/>
      <c r="AJ205" s="75"/>
      <c r="AK205" s="75"/>
      <c r="AL205" s="75"/>
      <c r="AM205" s="74"/>
      <c r="AN205" s="72"/>
    </row>
    <row r="206" spans="1:40" s="69" customFormat="1" x14ac:dyDescent="0.25">
      <c r="A206" s="88"/>
      <c r="B206" s="88"/>
      <c r="C206" s="70"/>
      <c r="D206" s="70"/>
      <c r="E206" s="70" t="s">
        <v>8616</v>
      </c>
      <c r="F206" s="70">
        <v>0</v>
      </c>
      <c r="G206" s="70" t="s">
        <v>8658</v>
      </c>
      <c r="H206" s="422" t="s">
        <v>8478</v>
      </c>
      <c r="I206" s="422" t="s">
        <v>8565</v>
      </c>
      <c r="J206" s="418" t="s">
        <v>8602</v>
      </c>
      <c r="K206" s="414">
        <v>1</v>
      </c>
      <c r="L206" s="408">
        <v>45</v>
      </c>
      <c r="M206" s="408">
        <f t="shared" si="12"/>
        <v>45</v>
      </c>
      <c r="N206" s="408"/>
      <c r="O206" s="408"/>
      <c r="P206" s="434">
        <v>1</v>
      </c>
      <c r="Q206" s="434">
        <v>1</v>
      </c>
      <c r="R206" s="411"/>
      <c r="S206" s="427">
        <f t="shared" si="13"/>
        <v>4.213151774579527E-4</v>
      </c>
      <c r="T206" s="427">
        <f t="shared" si="14"/>
        <v>4.213151774579527E-4</v>
      </c>
      <c r="U206" s="42"/>
      <c r="V206" s="416"/>
      <c r="W206" s="42"/>
      <c r="X206" s="74"/>
      <c r="Y206" s="74"/>
      <c r="Z206" s="74"/>
      <c r="AA206" s="74"/>
      <c r="AB206" s="74"/>
      <c r="AC206" s="42"/>
      <c r="AD206" s="42"/>
      <c r="AE206" s="42"/>
      <c r="AF206" s="42"/>
      <c r="AG206" s="42"/>
      <c r="AH206" s="42"/>
      <c r="AI206" s="75"/>
      <c r="AJ206" s="75"/>
      <c r="AK206" s="75"/>
      <c r="AL206" s="75"/>
      <c r="AM206" s="74"/>
      <c r="AN206" s="72"/>
    </row>
    <row r="207" spans="1:40" s="69" customFormat="1" x14ac:dyDescent="0.25">
      <c r="A207" s="88"/>
      <c r="B207" s="88"/>
      <c r="C207" s="70"/>
      <c r="D207" s="70"/>
      <c r="E207" s="70" t="s">
        <v>8616</v>
      </c>
      <c r="F207" s="70">
        <v>0</v>
      </c>
      <c r="G207" s="70" t="s">
        <v>8658</v>
      </c>
      <c r="H207" s="422" t="s">
        <v>8478</v>
      </c>
      <c r="I207" s="422" t="s">
        <v>8565</v>
      </c>
      <c r="J207" s="418" t="s">
        <v>8603</v>
      </c>
      <c r="K207" s="414">
        <v>1</v>
      </c>
      <c r="L207" s="408">
        <v>59</v>
      </c>
      <c r="M207" s="408">
        <f t="shared" si="12"/>
        <v>59</v>
      </c>
      <c r="N207" s="408"/>
      <c r="O207" s="408"/>
      <c r="P207" s="411">
        <v>1</v>
      </c>
      <c r="Q207" s="411">
        <v>1</v>
      </c>
      <c r="R207" s="411"/>
      <c r="S207" s="427">
        <f t="shared" si="13"/>
        <v>5.5239101044487137E-4</v>
      </c>
      <c r="T207" s="427">
        <f t="shared" si="14"/>
        <v>5.5239101044487137E-4</v>
      </c>
      <c r="U207" s="42"/>
      <c r="V207" s="416"/>
      <c r="W207" s="42"/>
      <c r="X207" s="74"/>
      <c r="Y207" s="74"/>
      <c r="Z207" s="74"/>
      <c r="AA207" s="74"/>
      <c r="AB207" s="74"/>
      <c r="AC207" s="42"/>
      <c r="AD207" s="42"/>
      <c r="AE207" s="42"/>
      <c r="AF207" s="42"/>
      <c r="AG207" s="42"/>
      <c r="AH207" s="42"/>
      <c r="AI207" s="75"/>
      <c r="AJ207" s="75"/>
      <c r="AK207" s="75"/>
      <c r="AL207" s="75"/>
      <c r="AM207" s="74"/>
      <c r="AN207" s="72"/>
    </row>
    <row r="208" spans="1:40" s="69" customFormat="1" x14ac:dyDescent="0.25">
      <c r="A208" s="88"/>
      <c r="B208" s="88"/>
      <c r="C208" s="70"/>
      <c r="D208" s="70"/>
      <c r="E208" s="70" t="s">
        <v>8616</v>
      </c>
      <c r="F208" s="70">
        <v>0</v>
      </c>
      <c r="G208" s="70" t="s">
        <v>8658</v>
      </c>
      <c r="H208" s="422" t="s">
        <v>8478</v>
      </c>
      <c r="I208" s="422" t="s">
        <v>8565</v>
      </c>
      <c r="J208" s="418" t="s">
        <v>8604</v>
      </c>
      <c r="K208" s="414">
        <v>1</v>
      </c>
      <c r="L208" s="408">
        <v>20</v>
      </c>
      <c r="M208" s="408">
        <f t="shared" si="12"/>
        <v>20</v>
      </c>
      <c r="N208" s="408"/>
      <c r="O208" s="408"/>
      <c r="P208" s="411">
        <v>1</v>
      </c>
      <c r="Q208" s="411">
        <v>1</v>
      </c>
      <c r="R208" s="411"/>
      <c r="S208" s="427">
        <f t="shared" si="13"/>
        <v>1.8725118998131233E-4</v>
      </c>
      <c r="T208" s="427">
        <f t="shared" si="14"/>
        <v>1.8725118998131233E-4</v>
      </c>
      <c r="U208" s="42"/>
      <c r="V208" s="416"/>
      <c r="W208" s="42"/>
      <c r="X208" s="74"/>
      <c r="Y208" s="74"/>
      <c r="Z208" s="74"/>
      <c r="AA208" s="74"/>
      <c r="AB208" s="74"/>
      <c r="AC208" s="42"/>
      <c r="AD208" s="42"/>
      <c r="AE208" s="42"/>
      <c r="AF208" s="42"/>
      <c r="AG208" s="42"/>
      <c r="AH208" s="42"/>
      <c r="AI208" s="75"/>
      <c r="AJ208" s="75"/>
      <c r="AK208" s="75"/>
      <c r="AL208" s="75"/>
      <c r="AM208" s="74"/>
      <c r="AN208" s="72"/>
    </row>
    <row r="209" spans="1:40" s="69" customFormat="1" x14ac:dyDescent="0.25">
      <c r="A209" s="88"/>
      <c r="B209" s="88"/>
      <c r="C209" s="70"/>
      <c r="D209" s="70"/>
      <c r="E209" s="70" t="s">
        <v>8616</v>
      </c>
      <c r="F209" s="70">
        <v>0</v>
      </c>
      <c r="G209" s="70" t="s">
        <v>8658</v>
      </c>
      <c r="H209" s="422" t="s">
        <v>8478</v>
      </c>
      <c r="I209" s="422" t="s">
        <v>8565</v>
      </c>
      <c r="J209" s="418" t="s">
        <v>8605</v>
      </c>
      <c r="K209" s="414">
        <v>2</v>
      </c>
      <c r="L209" s="408">
        <v>15</v>
      </c>
      <c r="M209" s="408">
        <f t="shared" si="12"/>
        <v>30</v>
      </c>
      <c r="N209" s="408"/>
      <c r="O209" s="408"/>
      <c r="P209" s="411">
        <v>1</v>
      </c>
      <c r="Q209" s="411">
        <v>1</v>
      </c>
      <c r="R209" s="411"/>
      <c r="S209" s="427">
        <f t="shared" si="13"/>
        <v>2.8087678497196845E-4</v>
      </c>
      <c r="T209" s="427">
        <f t="shared" si="14"/>
        <v>2.8087678497196845E-4</v>
      </c>
      <c r="U209" s="42"/>
      <c r="V209" s="416"/>
      <c r="W209" s="42"/>
      <c r="X209" s="74"/>
      <c r="Y209" s="74"/>
      <c r="Z209" s="74"/>
      <c r="AA209" s="74"/>
      <c r="AB209" s="74"/>
      <c r="AC209" s="42"/>
      <c r="AD209" s="42"/>
      <c r="AE209" s="42"/>
      <c r="AF209" s="42"/>
      <c r="AG209" s="42"/>
      <c r="AH209" s="42"/>
      <c r="AI209" s="75"/>
      <c r="AJ209" s="75"/>
      <c r="AK209" s="75"/>
      <c r="AL209" s="75"/>
      <c r="AM209" s="74"/>
      <c r="AN209" s="72"/>
    </row>
    <row r="210" spans="1:40" s="69" customFormat="1" x14ac:dyDescent="0.25">
      <c r="A210" s="88"/>
      <c r="B210" s="88"/>
      <c r="C210" s="70"/>
      <c r="D210" s="70"/>
      <c r="E210" s="70" t="s">
        <v>8616</v>
      </c>
      <c r="F210" s="70">
        <v>0</v>
      </c>
      <c r="G210" s="70" t="s">
        <v>8658</v>
      </c>
      <c r="H210" s="422" t="s">
        <v>8478</v>
      </c>
      <c r="I210" s="422" t="s">
        <v>8565</v>
      </c>
      <c r="J210" s="418" t="s">
        <v>8606</v>
      </c>
      <c r="K210" s="414">
        <v>1</v>
      </c>
      <c r="L210" s="408">
        <v>29</v>
      </c>
      <c r="M210" s="408">
        <f t="shared" si="12"/>
        <v>29</v>
      </c>
      <c r="N210" s="408"/>
      <c r="O210" s="408"/>
      <c r="P210" s="411">
        <v>1</v>
      </c>
      <c r="Q210" s="411">
        <v>1</v>
      </c>
      <c r="R210" s="411"/>
      <c r="S210" s="427">
        <f t="shared" si="13"/>
        <v>2.7151422547290287E-4</v>
      </c>
      <c r="T210" s="427">
        <f t="shared" si="14"/>
        <v>2.7151422547290287E-4</v>
      </c>
      <c r="U210" s="42"/>
      <c r="V210" s="416"/>
      <c r="W210" s="42"/>
      <c r="X210" s="74"/>
      <c r="Y210" s="74"/>
      <c r="Z210" s="74"/>
      <c r="AA210" s="74"/>
      <c r="AB210" s="74"/>
      <c r="AC210" s="42"/>
      <c r="AD210" s="42"/>
      <c r="AE210" s="42"/>
      <c r="AF210" s="42"/>
      <c r="AG210" s="42"/>
      <c r="AH210" s="42"/>
      <c r="AI210" s="75"/>
      <c r="AJ210" s="75"/>
      <c r="AK210" s="75"/>
      <c r="AL210" s="75"/>
      <c r="AM210" s="74"/>
      <c r="AN210" s="72"/>
    </row>
    <row r="211" spans="1:40" s="69" customFormat="1" x14ac:dyDescent="0.25">
      <c r="A211" s="88"/>
      <c r="B211" s="88"/>
      <c r="C211" s="70"/>
      <c r="D211" s="70"/>
      <c r="E211" s="70" t="s">
        <v>8616</v>
      </c>
      <c r="F211" s="70">
        <v>0</v>
      </c>
      <c r="G211" s="70" t="s">
        <v>8658</v>
      </c>
      <c r="H211" s="422" t="s">
        <v>8478</v>
      </c>
      <c r="I211" s="422" t="s">
        <v>8565</v>
      </c>
      <c r="J211" s="418" t="s">
        <v>8607</v>
      </c>
      <c r="K211" s="414">
        <v>1</v>
      </c>
      <c r="L211" s="408">
        <v>17</v>
      </c>
      <c r="M211" s="408">
        <f t="shared" si="12"/>
        <v>17</v>
      </c>
      <c r="N211" s="408"/>
      <c r="O211" s="408"/>
      <c r="P211" s="434">
        <v>1</v>
      </c>
      <c r="Q211" s="434">
        <v>1</v>
      </c>
      <c r="R211" s="411"/>
      <c r="S211" s="427">
        <f t="shared" si="13"/>
        <v>1.5916351148411546E-4</v>
      </c>
      <c r="T211" s="427">
        <f t="shared" si="14"/>
        <v>1.5916351148411546E-4</v>
      </c>
      <c r="U211" s="42"/>
      <c r="V211" s="416"/>
      <c r="W211" s="42"/>
      <c r="X211" s="74"/>
      <c r="Y211" s="74"/>
      <c r="Z211" s="74"/>
      <c r="AA211" s="74"/>
      <c r="AB211" s="74"/>
      <c r="AC211" s="42"/>
      <c r="AD211" s="42"/>
      <c r="AE211" s="42"/>
      <c r="AF211" s="42"/>
      <c r="AG211" s="42"/>
      <c r="AH211" s="42"/>
      <c r="AI211" s="75"/>
      <c r="AJ211" s="75"/>
      <c r="AK211" s="75"/>
      <c r="AL211" s="75"/>
      <c r="AM211" s="74"/>
      <c r="AN211" s="72"/>
    </row>
    <row r="212" spans="1:40" s="69" customFormat="1" x14ac:dyDescent="0.25">
      <c r="A212" s="88"/>
      <c r="B212" s="88"/>
      <c r="C212" s="70"/>
      <c r="D212" s="70"/>
      <c r="E212" s="70" t="s">
        <v>8616</v>
      </c>
      <c r="F212" s="70">
        <v>0</v>
      </c>
      <c r="G212" s="70" t="s">
        <v>8658</v>
      </c>
      <c r="H212" s="422" t="s">
        <v>8478</v>
      </c>
      <c r="I212" s="422" t="s">
        <v>8565</v>
      </c>
      <c r="J212" s="418" t="s">
        <v>8608</v>
      </c>
      <c r="K212" s="414">
        <v>1</v>
      </c>
      <c r="L212" s="408">
        <v>70</v>
      </c>
      <c r="M212" s="408">
        <f t="shared" si="12"/>
        <v>70</v>
      </c>
      <c r="N212" s="408"/>
      <c r="O212" s="408"/>
      <c r="P212" s="434">
        <v>1</v>
      </c>
      <c r="Q212" s="434">
        <v>1</v>
      </c>
      <c r="R212" s="411"/>
      <c r="S212" s="427">
        <f t="shared" si="13"/>
        <v>6.553791649345931E-4</v>
      </c>
      <c r="T212" s="427">
        <f t="shared" si="14"/>
        <v>6.553791649345931E-4</v>
      </c>
      <c r="U212" s="42"/>
      <c r="V212" s="416"/>
      <c r="W212" s="42"/>
      <c r="X212" s="74"/>
      <c r="Y212" s="74"/>
      <c r="Z212" s="74"/>
      <c r="AA212" s="74"/>
      <c r="AB212" s="74"/>
      <c r="AC212" s="42"/>
      <c r="AD212" s="42"/>
      <c r="AE212" s="42"/>
      <c r="AF212" s="42"/>
      <c r="AG212" s="42"/>
      <c r="AH212" s="42"/>
      <c r="AI212" s="75"/>
      <c r="AJ212" s="75"/>
      <c r="AK212" s="75"/>
      <c r="AL212" s="75"/>
      <c r="AM212" s="74"/>
      <c r="AN212" s="72"/>
    </row>
    <row r="213" spans="1:40" s="69" customFormat="1" x14ac:dyDescent="0.25">
      <c r="A213" s="88"/>
      <c r="B213" s="88"/>
      <c r="C213" s="70"/>
      <c r="D213" s="70"/>
      <c r="E213" s="70" t="s">
        <v>8616</v>
      </c>
      <c r="F213" s="70">
        <v>0</v>
      </c>
      <c r="G213" s="70" t="s">
        <v>8658</v>
      </c>
      <c r="H213" s="422" t="s">
        <v>8478</v>
      </c>
      <c r="I213" s="422" t="s">
        <v>8565</v>
      </c>
      <c r="J213" s="418" t="s">
        <v>8609</v>
      </c>
      <c r="K213" s="414">
        <v>3</v>
      </c>
      <c r="L213" s="408">
        <v>2</v>
      </c>
      <c r="M213" s="408">
        <f t="shared" si="12"/>
        <v>6</v>
      </c>
      <c r="N213" s="408"/>
      <c r="O213" s="408"/>
      <c r="P213" s="434">
        <v>1</v>
      </c>
      <c r="Q213" s="434">
        <v>1</v>
      </c>
      <c r="R213" s="411"/>
      <c r="S213" s="427">
        <f t="shared" si="13"/>
        <v>5.6175356994393692E-5</v>
      </c>
      <c r="T213" s="427">
        <f t="shared" si="14"/>
        <v>5.6175356994393692E-5</v>
      </c>
      <c r="U213" s="42"/>
      <c r="V213" s="416"/>
      <c r="W213" s="42"/>
      <c r="X213" s="74"/>
      <c r="Y213" s="74"/>
      <c r="Z213" s="74"/>
      <c r="AA213" s="74"/>
      <c r="AB213" s="74"/>
      <c r="AC213" s="42"/>
      <c r="AD213" s="42"/>
      <c r="AE213" s="42"/>
      <c r="AF213" s="42"/>
      <c r="AG213" s="42"/>
      <c r="AH213" s="42"/>
      <c r="AI213" s="75"/>
      <c r="AJ213" s="75"/>
      <c r="AK213" s="75"/>
      <c r="AL213" s="75"/>
      <c r="AM213" s="74"/>
      <c r="AN213" s="72"/>
    </row>
    <row r="214" spans="1:40" s="69" customFormat="1" x14ac:dyDescent="0.25">
      <c r="A214" s="88"/>
      <c r="B214" s="88"/>
      <c r="C214" s="70"/>
      <c r="D214" s="70"/>
      <c r="E214" s="70" t="s">
        <v>8616</v>
      </c>
      <c r="F214" s="70">
        <v>0</v>
      </c>
      <c r="G214" s="70" t="s">
        <v>8658</v>
      </c>
      <c r="H214" s="422" t="s">
        <v>8478</v>
      </c>
      <c r="I214" s="422" t="s">
        <v>8565</v>
      </c>
      <c r="J214" s="418" t="s">
        <v>8610</v>
      </c>
      <c r="K214" s="414">
        <v>2</v>
      </c>
      <c r="L214" s="408">
        <v>2</v>
      </c>
      <c r="M214" s="408">
        <f t="shared" si="12"/>
        <v>4</v>
      </c>
      <c r="N214" s="408"/>
      <c r="O214" s="408"/>
      <c r="P214" s="434">
        <v>1</v>
      </c>
      <c r="Q214" s="434">
        <v>1</v>
      </c>
      <c r="R214" s="411"/>
      <c r="S214" s="427">
        <f t="shared" si="13"/>
        <v>3.7450237996262464E-5</v>
      </c>
      <c r="T214" s="427">
        <f t="shared" si="14"/>
        <v>3.7450237996262464E-5</v>
      </c>
      <c r="U214" s="42"/>
      <c r="V214" s="416"/>
      <c r="W214" s="42"/>
      <c r="X214" s="74"/>
      <c r="Y214" s="74"/>
      <c r="Z214" s="74"/>
      <c r="AA214" s="74"/>
      <c r="AB214" s="74"/>
      <c r="AC214" s="42"/>
      <c r="AD214" s="42"/>
      <c r="AE214" s="42"/>
      <c r="AF214" s="42"/>
      <c r="AG214" s="42"/>
      <c r="AH214" s="42"/>
      <c r="AI214" s="75"/>
      <c r="AJ214" s="75"/>
      <c r="AK214" s="75"/>
      <c r="AL214" s="75"/>
      <c r="AM214" s="74"/>
      <c r="AN214" s="72"/>
    </row>
    <row r="215" spans="1:40" s="69" customFormat="1" x14ac:dyDescent="0.25">
      <c r="A215" s="88"/>
      <c r="B215" s="88"/>
      <c r="C215" s="70"/>
      <c r="D215" s="70"/>
      <c r="E215" s="70" t="s">
        <v>8616</v>
      </c>
      <c r="F215" s="70">
        <v>0</v>
      </c>
      <c r="G215" s="70" t="s">
        <v>8658</v>
      </c>
      <c r="H215" s="422" t="s">
        <v>8478</v>
      </c>
      <c r="I215" s="422" t="s">
        <v>8565</v>
      </c>
      <c r="J215" s="418" t="s">
        <v>8611</v>
      </c>
      <c r="K215" s="414">
        <v>2</v>
      </c>
      <c r="L215" s="408">
        <v>6</v>
      </c>
      <c r="M215" s="408">
        <f t="shared" si="12"/>
        <v>12</v>
      </c>
      <c r="N215" s="408"/>
      <c r="O215" s="408"/>
      <c r="P215" s="411">
        <v>1</v>
      </c>
      <c r="Q215" s="411">
        <v>1</v>
      </c>
      <c r="R215" s="411"/>
      <c r="S215" s="427">
        <f t="shared" si="13"/>
        <v>1.1235071398878738E-4</v>
      </c>
      <c r="T215" s="427">
        <f t="shared" si="14"/>
        <v>1.1235071398878738E-4</v>
      </c>
      <c r="U215" s="42"/>
      <c r="V215" s="416"/>
      <c r="W215" s="42"/>
      <c r="X215" s="74"/>
      <c r="Y215" s="74"/>
      <c r="Z215" s="74"/>
      <c r="AA215" s="74"/>
      <c r="AB215" s="74"/>
      <c r="AC215" s="42"/>
      <c r="AD215" s="42"/>
      <c r="AE215" s="42"/>
      <c r="AF215" s="42"/>
      <c r="AG215" s="42"/>
      <c r="AH215" s="42"/>
      <c r="AI215" s="75"/>
      <c r="AJ215" s="75"/>
      <c r="AK215" s="75"/>
      <c r="AL215" s="75"/>
      <c r="AM215" s="74"/>
      <c r="AN215" s="72"/>
    </row>
    <row r="216" spans="1:40" s="69" customFormat="1" x14ac:dyDescent="0.25">
      <c r="A216" s="88"/>
      <c r="B216" s="88"/>
      <c r="C216" s="70"/>
      <c r="D216" s="70"/>
      <c r="E216" s="70" t="s">
        <v>8616</v>
      </c>
      <c r="F216" s="70">
        <v>0</v>
      </c>
      <c r="G216" s="70" t="s">
        <v>8658</v>
      </c>
      <c r="H216" s="422" t="s">
        <v>8478</v>
      </c>
      <c r="I216" s="422" t="s">
        <v>8565</v>
      </c>
      <c r="J216" s="418" t="s">
        <v>8612</v>
      </c>
      <c r="K216" s="414">
        <v>2</v>
      </c>
      <c r="L216" s="408">
        <v>5</v>
      </c>
      <c r="M216" s="408">
        <f t="shared" si="12"/>
        <v>10</v>
      </c>
      <c r="N216" s="408"/>
      <c r="O216" s="408"/>
      <c r="P216" s="434">
        <v>1</v>
      </c>
      <c r="Q216" s="434">
        <v>1</v>
      </c>
      <c r="R216" s="411"/>
      <c r="S216" s="427">
        <f t="shared" si="13"/>
        <v>9.3625594990656163E-5</v>
      </c>
      <c r="T216" s="427">
        <f t="shared" si="14"/>
        <v>9.3625594990656163E-5</v>
      </c>
      <c r="U216" s="42"/>
      <c r="V216" s="416"/>
      <c r="W216" s="42"/>
      <c r="X216" s="74"/>
      <c r="Y216" s="74"/>
      <c r="Z216" s="74"/>
      <c r="AA216" s="74"/>
      <c r="AB216" s="74"/>
      <c r="AC216" s="42"/>
      <c r="AD216" s="42"/>
      <c r="AE216" s="42"/>
      <c r="AF216" s="42"/>
      <c r="AG216" s="42"/>
      <c r="AH216" s="42"/>
      <c r="AI216" s="75"/>
      <c r="AJ216" s="75"/>
      <c r="AK216" s="75"/>
      <c r="AL216" s="75"/>
      <c r="AM216" s="74"/>
      <c r="AN216" s="72"/>
    </row>
    <row r="217" spans="1:40" s="69" customFormat="1" x14ac:dyDescent="0.25">
      <c r="A217" s="88"/>
      <c r="B217" s="88"/>
      <c r="C217" s="70"/>
      <c r="D217" s="70"/>
      <c r="E217" s="70" t="s">
        <v>8616</v>
      </c>
      <c r="F217" s="70">
        <v>0</v>
      </c>
      <c r="G217" s="70" t="s">
        <v>8658</v>
      </c>
      <c r="H217" s="422" t="s">
        <v>8478</v>
      </c>
      <c r="I217" s="422" t="s">
        <v>8565</v>
      </c>
      <c r="J217" s="418" t="s">
        <v>8613</v>
      </c>
      <c r="K217" s="414">
        <v>1</v>
      </c>
      <c r="L217" s="408">
        <v>1</v>
      </c>
      <c r="M217" s="408">
        <f t="shared" si="12"/>
        <v>1</v>
      </c>
      <c r="N217" s="408"/>
      <c r="O217" s="408"/>
      <c r="P217" s="434">
        <v>1</v>
      </c>
      <c r="Q217" s="434">
        <v>1</v>
      </c>
      <c r="R217" s="411"/>
      <c r="S217" s="427">
        <f t="shared" si="13"/>
        <v>9.3625594990656159E-6</v>
      </c>
      <c r="T217" s="427">
        <f t="shared" si="14"/>
        <v>9.3625594990656159E-6</v>
      </c>
      <c r="U217" s="42"/>
      <c r="V217" s="416"/>
      <c r="W217" s="42"/>
      <c r="X217" s="74"/>
      <c r="Y217" s="74"/>
      <c r="Z217" s="74"/>
      <c r="AA217" s="74"/>
      <c r="AB217" s="74"/>
      <c r="AC217" s="42"/>
      <c r="AD217" s="42"/>
      <c r="AE217" s="42"/>
      <c r="AF217" s="42"/>
      <c r="AG217" s="42"/>
      <c r="AH217" s="42"/>
      <c r="AI217" s="75"/>
      <c r="AJ217" s="75"/>
      <c r="AK217" s="75"/>
      <c r="AL217" s="75"/>
      <c r="AM217" s="74"/>
      <c r="AN217" s="72"/>
    </row>
    <row r="218" spans="1:40" s="69" customFormat="1" x14ac:dyDescent="0.25">
      <c r="A218" s="88"/>
      <c r="B218" s="88"/>
      <c r="C218" s="70"/>
      <c r="D218" s="70"/>
      <c r="E218" s="70" t="s">
        <v>8616</v>
      </c>
      <c r="F218" s="70">
        <v>0</v>
      </c>
      <c r="G218" s="70" t="s">
        <v>8658</v>
      </c>
      <c r="H218" s="422" t="s">
        <v>8478</v>
      </c>
      <c r="I218" s="422" t="s">
        <v>8565</v>
      </c>
      <c r="J218" s="418" t="s">
        <v>8614</v>
      </c>
      <c r="K218" s="414">
        <v>1</v>
      </c>
      <c r="L218" s="408">
        <v>2</v>
      </c>
      <c r="M218" s="408">
        <f t="shared" si="12"/>
        <v>2</v>
      </c>
      <c r="N218" s="408"/>
      <c r="O218" s="408"/>
      <c r="P218" s="411">
        <v>1</v>
      </c>
      <c r="Q218" s="411">
        <v>1</v>
      </c>
      <c r="R218" s="411"/>
      <c r="S218" s="427">
        <f t="shared" si="13"/>
        <v>1.8725118998131232E-5</v>
      </c>
      <c r="T218" s="427">
        <f t="shared" si="14"/>
        <v>1.8725118998131232E-5</v>
      </c>
      <c r="U218" s="42"/>
      <c r="V218" s="416"/>
      <c r="W218" s="42"/>
      <c r="X218" s="74"/>
      <c r="Y218" s="74"/>
      <c r="Z218" s="74"/>
      <c r="AA218" s="74"/>
      <c r="AB218" s="74"/>
      <c r="AC218" s="42"/>
      <c r="AD218" s="42"/>
      <c r="AE218" s="42"/>
      <c r="AF218" s="42"/>
      <c r="AG218" s="42"/>
      <c r="AH218" s="42"/>
      <c r="AI218" s="75"/>
      <c r="AJ218" s="75"/>
      <c r="AK218" s="75"/>
      <c r="AL218" s="75"/>
      <c r="AM218" s="74"/>
      <c r="AN218" s="72"/>
    </row>
    <row r="219" spans="1:40" s="69" customFormat="1" x14ac:dyDescent="0.25">
      <c r="A219" s="88"/>
      <c r="B219" s="88"/>
      <c r="C219" s="70"/>
      <c r="D219" s="70"/>
      <c r="E219" s="70" t="s">
        <v>8616</v>
      </c>
      <c r="F219" s="70">
        <v>0</v>
      </c>
      <c r="G219" s="70" t="s">
        <v>8658</v>
      </c>
      <c r="H219" s="422" t="s">
        <v>8478</v>
      </c>
      <c r="I219" s="422" t="s">
        <v>8565</v>
      </c>
      <c r="J219" s="418" t="s">
        <v>8615</v>
      </c>
      <c r="K219" s="414">
        <v>1</v>
      </c>
      <c r="L219" s="408">
        <v>430</v>
      </c>
      <c r="M219" s="408">
        <f t="shared" si="12"/>
        <v>430</v>
      </c>
      <c r="N219" s="408"/>
      <c r="O219" s="408"/>
      <c r="P219" s="434">
        <v>1</v>
      </c>
      <c r="Q219" s="434">
        <v>1</v>
      </c>
      <c r="R219" s="411"/>
      <c r="S219" s="427">
        <f t="shared" si="13"/>
        <v>4.0259005845982151E-3</v>
      </c>
      <c r="T219" s="427">
        <f t="shared" si="14"/>
        <v>4.0259005845982151E-3</v>
      </c>
      <c r="U219" s="42"/>
      <c r="V219" s="416"/>
      <c r="W219" s="42"/>
      <c r="X219" s="74"/>
      <c r="Y219" s="74"/>
      <c r="Z219" s="74"/>
      <c r="AA219" s="74"/>
      <c r="AB219" s="74"/>
      <c r="AC219" s="42"/>
      <c r="AD219" s="42"/>
      <c r="AE219" s="42"/>
      <c r="AF219" s="42"/>
      <c r="AG219" s="42"/>
      <c r="AH219" s="42"/>
      <c r="AI219" s="75"/>
      <c r="AJ219" s="75"/>
      <c r="AK219" s="75"/>
      <c r="AL219" s="75"/>
      <c r="AM219" s="74"/>
      <c r="AN219" s="72"/>
    </row>
    <row r="220" spans="1:40" s="69" customFormat="1" x14ac:dyDescent="0.25">
      <c r="A220" s="88"/>
      <c r="B220" s="88"/>
      <c r="C220" s="70"/>
      <c r="D220" s="70"/>
      <c r="E220" s="70" t="s">
        <v>8634</v>
      </c>
      <c r="F220" s="70">
        <v>0</v>
      </c>
      <c r="G220" s="70" t="s">
        <v>8658</v>
      </c>
      <c r="H220" s="422" t="s">
        <v>8478</v>
      </c>
      <c r="I220" s="422" t="s">
        <v>8565</v>
      </c>
      <c r="J220" s="418" t="s">
        <v>8617</v>
      </c>
      <c r="K220" s="414">
        <v>1</v>
      </c>
      <c r="L220" s="408">
        <v>84</v>
      </c>
      <c r="M220" s="408">
        <f t="shared" si="12"/>
        <v>84</v>
      </c>
      <c r="N220" s="408"/>
      <c r="O220" s="408"/>
      <c r="P220" s="434">
        <v>1</v>
      </c>
      <c r="Q220" s="434">
        <v>1</v>
      </c>
      <c r="R220" s="411"/>
      <c r="S220" s="427">
        <f t="shared" si="13"/>
        <v>7.8645499792151172E-4</v>
      </c>
      <c r="T220" s="427">
        <f t="shared" si="14"/>
        <v>7.8645499792151172E-4</v>
      </c>
      <c r="U220" s="42"/>
      <c r="V220" s="416"/>
      <c r="W220" s="42"/>
      <c r="X220" s="74"/>
      <c r="Y220" s="74"/>
      <c r="Z220" s="74"/>
      <c r="AA220" s="74"/>
      <c r="AB220" s="74"/>
      <c r="AC220" s="42"/>
      <c r="AD220" s="42"/>
      <c r="AE220" s="42"/>
      <c r="AF220" s="42"/>
      <c r="AG220" s="42"/>
      <c r="AH220" s="42"/>
      <c r="AI220" s="75"/>
      <c r="AJ220" s="75"/>
      <c r="AK220" s="75"/>
      <c r="AL220" s="75"/>
      <c r="AM220" s="74"/>
      <c r="AN220" s="72"/>
    </row>
    <row r="221" spans="1:40" s="69" customFormat="1" x14ac:dyDescent="0.25">
      <c r="A221" s="88"/>
      <c r="B221" s="88"/>
      <c r="C221" s="70"/>
      <c r="D221" s="70"/>
      <c r="E221" s="70" t="s">
        <v>8634</v>
      </c>
      <c r="F221" s="70">
        <v>0</v>
      </c>
      <c r="G221" s="70" t="s">
        <v>8658</v>
      </c>
      <c r="H221" s="422" t="s">
        <v>8478</v>
      </c>
      <c r="I221" s="422" t="s">
        <v>8565</v>
      </c>
      <c r="J221" s="418" t="s">
        <v>8618</v>
      </c>
      <c r="K221" s="414">
        <v>2</v>
      </c>
      <c r="L221" s="408">
        <v>10</v>
      </c>
      <c r="M221" s="408">
        <f t="shared" si="12"/>
        <v>20</v>
      </c>
      <c r="N221" s="408"/>
      <c r="O221" s="408"/>
      <c r="P221" s="434">
        <v>1</v>
      </c>
      <c r="Q221" s="434">
        <v>1</v>
      </c>
      <c r="R221" s="411"/>
      <c r="S221" s="427">
        <f t="shared" si="13"/>
        <v>1.8725118998131233E-4</v>
      </c>
      <c r="T221" s="427">
        <f t="shared" si="14"/>
        <v>1.8725118998131233E-4</v>
      </c>
      <c r="U221" s="42"/>
      <c r="V221" s="416"/>
      <c r="W221" s="42"/>
      <c r="X221" s="74"/>
      <c r="Y221" s="74"/>
      <c r="Z221" s="74"/>
      <c r="AA221" s="74"/>
      <c r="AB221" s="74"/>
      <c r="AC221" s="42"/>
      <c r="AD221" s="42"/>
      <c r="AE221" s="42"/>
      <c r="AF221" s="42"/>
      <c r="AG221" s="42"/>
      <c r="AH221" s="42"/>
      <c r="AI221" s="75"/>
      <c r="AJ221" s="75"/>
      <c r="AK221" s="75"/>
      <c r="AL221" s="75"/>
      <c r="AM221" s="74"/>
      <c r="AN221" s="72"/>
    </row>
    <row r="222" spans="1:40" s="69" customFormat="1" x14ac:dyDescent="0.25">
      <c r="A222" s="88"/>
      <c r="B222" s="88"/>
      <c r="C222" s="70"/>
      <c r="D222" s="70"/>
      <c r="E222" s="70" t="s">
        <v>8634</v>
      </c>
      <c r="F222" s="70">
        <v>0</v>
      </c>
      <c r="G222" s="70" t="s">
        <v>8658</v>
      </c>
      <c r="H222" s="422" t="s">
        <v>8478</v>
      </c>
      <c r="I222" s="422" t="s">
        <v>8565</v>
      </c>
      <c r="J222" s="418" t="s">
        <v>8619</v>
      </c>
      <c r="K222" s="414">
        <v>2</v>
      </c>
      <c r="L222" s="408">
        <v>3</v>
      </c>
      <c r="M222" s="408">
        <f t="shared" si="12"/>
        <v>6</v>
      </c>
      <c r="N222" s="408"/>
      <c r="O222" s="408"/>
      <c r="P222" s="434">
        <v>1</v>
      </c>
      <c r="Q222" s="434">
        <v>1</v>
      </c>
      <c r="R222" s="411"/>
      <c r="S222" s="427">
        <f t="shared" si="13"/>
        <v>5.6175356994393692E-5</v>
      </c>
      <c r="T222" s="427">
        <f t="shared" si="14"/>
        <v>5.6175356994393692E-5</v>
      </c>
      <c r="U222" s="42"/>
      <c r="V222" s="416"/>
      <c r="W222" s="42"/>
      <c r="X222" s="74"/>
      <c r="Y222" s="74"/>
      <c r="Z222" s="74"/>
      <c r="AA222" s="74"/>
      <c r="AB222" s="74"/>
      <c r="AC222" s="42"/>
      <c r="AD222" s="42"/>
      <c r="AE222" s="42"/>
      <c r="AF222" s="42"/>
      <c r="AG222" s="42"/>
      <c r="AH222" s="42"/>
      <c r="AI222" s="75"/>
      <c r="AJ222" s="75"/>
      <c r="AK222" s="75"/>
      <c r="AL222" s="75"/>
      <c r="AM222" s="74"/>
      <c r="AN222" s="72"/>
    </row>
    <row r="223" spans="1:40" s="69" customFormat="1" x14ac:dyDescent="0.25">
      <c r="A223" s="88"/>
      <c r="B223" s="88"/>
      <c r="C223" s="70"/>
      <c r="D223" s="70"/>
      <c r="E223" s="70" t="s">
        <v>8634</v>
      </c>
      <c r="F223" s="70">
        <v>0</v>
      </c>
      <c r="G223" s="70" t="s">
        <v>8658</v>
      </c>
      <c r="H223" s="422" t="s">
        <v>8478</v>
      </c>
      <c r="I223" s="422" t="s">
        <v>8565</v>
      </c>
      <c r="J223" s="418" t="s">
        <v>8620</v>
      </c>
      <c r="K223" s="414">
        <v>2</v>
      </c>
      <c r="L223" s="408">
        <v>9</v>
      </c>
      <c r="M223" s="408">
        <f t="shared" si="12"/>
        <v>18</v>
      </c>
      <c r="N223" s="408"/>
      <c r="O223" s="408"/>
      <c r="P223" s="434">
        <v>1</v>
      </c>
      <c r="Q223" s="434">
        <v>1</v>
      </c>
      <c r="R223" s="411"/>
      <c r="S223" s="427">
        <f t="shared" si="13"/>
        <v>1.6852607098318109E-4</v>
      </c>
      <c r="T223" s="427">
        <f t="shared" si="14"/>
        <v>1.6852607098318109E-4</v>
      </c>
      <c r="U223" s="42"/>
      <c r="V223" s="416"/>
      <c r="W223" s="42"/>
      <c r="X223" s="74"/>
      <c r="Y223" s="74"/>
      <c r="Z223" s="74"/>
      <c r="AA223" s="74"/>
      <c r="AB223" s="74"/>
      <c r="AC223" s="42"/>
      <c r="AD223" s="42"/>
      <c r="AE223" s="42"/>
      <c r="AF223" s="42"/>
      <c r="AG223" s="42"/>
      <c r="AH223" s="42"/>
      <c r="AI223" s="75"/>
      <c r="AJ223" s="75"/>
      <c r="AK223" s="75"/>
      <c r="AL223" s="75"/>
      <c r="AM223" s="74"/>
      <c r="AN223" s="72"/>
    </row>
    <row r="224" spans="1:40" s="69" customFormat="1" x14ac:dyDescent="0.25">
      <c r="A224" s="88"/>
      <c r="B224" s="88"/>
      <c r="C224" s="70"/>
      <c r="D224" s="70"/>
      <c r="E224" s="70" t="s">
        <v>8634</v>
      </c>
      <c r="F224" s="70">
        <v>0</v>
      </c>
      <c r="G224" s="70" t="s">
        <v>8658</v>
      </c>
      <c r="H224" s="422" t="s">
        <v>8478</v>
      </c>
      <c r="I224" s="422" t="s">
        <v>8565</v>
      </c>
      <c r="J224" s="418" t="s">
        <v>8621</v>
      </c>
      <c r="K224" s="414">
        <v>1</v>
      </c>
      <c r="L224" s="408">
        <v>3</v>
      </c>
      <c r="M224" s="408">
        <f t="shared" si="12"/>
        <v>3</v>
      </c>
      <c r="N224" s="408"/>
      <c r="O224" s="408"/>
      <c r="P224" s="434">
        <v>1</v>
      </c>
      <c r="Q224" s="434">
        <v>1</v>
      </c>
      <c r="R224" s="411"/>
      <c r="S224" s="427">
        <f t="shared" si="13"/>
        <v>2.8087678497196846E-5</v>
      </c>
      <c r="T224" s="427">
        <f t="shared" si="14"/>
        <v>2.8087678497196846E-5</v>
      </c>
      <c r="U224" s="42"/>
      <c r="V224" s="416"/>
      <c r="W224" s="42"/>
      <c r="X224" s="74"/>
      <c r="Y224" s="74"/>
      <c r="Z224" s="74"/>
      <c r="AA224" s="74"/>
      <c r="AB224" s="74"/>
      <c r="AC224" s="42"/>
      <c r="AD224" s="42"/>
      <c r="AE224" s="42"/>
      <c r="AF224" s="42"/>
      <c r="AG224" s="42"/>
      <c r="AH224" s="42"/>
      <c r="AI224" s="75"/>
      <c r="AJ224" s="75"/>
      <c r="AK224" s="75"/>
      <c r="AL224" s="75"/>
      <c r="AM224" s="74"/>
      <c r="AN224" s="72"/>
    </row>
    <row r="225" spans="1:40" s="69" customFormat="1" x14ac:dyDescent="0.25">
      <c r="A225" s="88"/>
      <c r="B225" s="88"/>
      <c r="C225" s="70"/>
      <c r="D225" s="70"/>
      <c r="E225" s="70" t="s">
        <v>8634</v>
      </c>
      <c r="F225" s="70">
        <v>0</v>
      </c>
      <c r="G225" s="70" t="s">
        <v>8658</v>
      </c>
      <c r="H225" s="422" t="s">
        <v>8478</v>
      </c>
      <c r="I225" s="422" t="s">
        <v>8565</v>
      </c>
      <c r="J225" s="418" t="s">
        <v>8622</v>
      </c>
      <c r="K225" s="414">
        <v>1</v>
      </c>
      <c r="L225" s="408">
        <v>2</v>
      </c>
      <c r="M225" s="408">
        <f t="shared" si="12"/>
        <v>2</v>
      </c>
      <c r="N225" s="408"/>
      <c r="O225" s="408"/>
      <c r="P225" s="434">
        <v>1</v>
      </c>
      <c r="Q225" s="434">
        <v>1</v>
      </c>
      <c r="R225" s="411"/>
      <c r="S225" s="427">
        <f t="shared" si="13"/>
        <v>1.8725118998131232E-5</v>
      </c>
      <c r="T225" s="427">
        <f t="shared" si="14"/>
        <v>1.8725118998131232E-5</v>
      </c>
      <c r="U225" s="42"/>
      <c r="V225" s="416"/>
      <c r="W225" s="42"/>
      <c r="X225" s="74"/>
      <c r="Y225" s="74"/>
      <c r="Z225" s="74"/>
      <c r="AA225" s="74"/>
      <c r="AB225" s="74"/>
      <c r="AC225" s="42"/>
      <c r="AD225" s="42"/>
      <c r="AE225" s="42"/>
      <c r="AF225" s="42"/>
      <c r="AG225" s="42"/>
      <c r="AH225" s="42"/>
      <c r="AI225" s="75"/>
      <c r="AJ225" s="75"/>
      <c r="AK225" s="75"/>
      <c r="AL225" s="75"/>
      <c r="AM225" s="74"/>
      <c r="AN225" s="72"/>
    </row>
    <row r="226" spans="1:40" s="69" customFormat="1" x14ac:dyDescent="0.25">
      <c r="A226" s="88"/>
      <c r="B226" s="88"/>
      <c r="C226" s="70"/>
      <c r="D226" s="70"/>
      <c r="E226" s="70" t="s">
        <v>8634</v>
      </c>
      <c r="F226" s="70">
        <v>0</v>
      </c>
      <c r="G226" s="70" t="s">
        <v>8658</v>
      </c>
      <c r="H226" s="422" t="s">
        <v>8478</v>
      </c>
      <c r="I226" s="422" t="s">
        <v>8565</v>
      </c>
      <c r="J226" s="418" t="s">
        <v>8620</v>
      </c>
      <c r="K226" s="414">
        <v>2</v>
      </c>
      <c r="L226" s="408">
        <v>9</v>
      </c>
      <c r="M226" s="408">
        <f t="shared" si="12"/>
        <v>18</v>
      </c>
      <c r="N226" s="408"/>
      <c r="O226" s="408"/>
      <c r="P226" s="434">
        <v>1</v>
      </c>
      <c r="Q226" s="434">
        <v>1</v>
      </c>
      <c r="R226" s="411"/>
      <c r="S226" s="427">
        <f t="shared" si="13"/>
        <v>1.6852607098318109E-4</v>
      </c>
      <c r="T226" s="427">
        <f t="shared" si="14"/>
        <v>1.6852607098318109E-4</v>
      </c>
      <c r="U226" s="42"/>
      <c r="V226" s="416"/>
      <c r="W226" s="42"/>
      <c r="X226" s="74"/>
      <c r="Y226" s="74"/>
      <c r="Z226" s="74"/>
      <c r="AA226" s="74"/>
      <c r="AB226" s="74"/>
      <c r="AC226" s="42"/>
      <c r="AD226" s="42"/>
      <c r="AE226" s="42"/>
      <c r="AF226" s="42"/>
      <c r="AG226" s="42"/>
      <c r="AH226" s="42"/>
      <c r="AI226" s="75"/>
      <c r="AJ226" s="75"/>
      <c r="AK226" s="75"/>
      <c r="AL226" s="75"/>
      <c r="AM226" s="74"/>
      <c r="AN226" s="72"/>
    </row>
    <row r="227" spans="1:40" s="69" customFormat="1" x14ac:dyDescent="0.25">
      <c r="A227" s="88"/>
      <c r="B227" s="88"/>
      <c r="C227" s="70"/>
      <c r="D227" s="70"/>
      <c r="E227" s="70" t="s">
        <v>8634</v>
      </c>
      <c r="F227" s="70">
        <v>0</v>
      </c>
      <c r="G227" s="70" t="s">
        <v>8658</v>
      </c>
      <c r="H227" s="422" t="s">
        <v>8478</v>
      </c>
      <c r="I227" s="422" t="s">
        <v>8565</v>
      </c>
      <c r="J227" s="418" t="s">
        <v>8623</v>
      </c>
      <c r="K227" s="414">
        <v>1</v>
      </c>
      <c r="L227" s="408">
        <v>3</v>
      </c>
      <c r="M227" s="408">
        <f t="shared" si="12"/>
        <v>3</v>
      </c>
      <c r="N227" s="408"/>
      <c r="O227" s="408"/>
      <c r="P227" s="434">
        <v>1</v>
      </c>
      <c r="Q227" s="434">
        <v>1</v>
      </c>
      <c r="R227" s="411"/>
      <c r="S227" s="427">
        <f t="shared" si="13"/>
        <v>2.8087678497196846E-5</v>
      </c>
      <c r="T227" s="427">
        <f t="shared" si="14"/>
        <v>2.8087678497196846E-5</v>
      </c>
      <c r="U227" s="42"/>
      <c r="V227" s="416"/>
      <c r="W227" s="42"/>
      <c r="X227" s="74"/>
      <c r="Y227" s="74"/>
      <c r="Z227" s="74"/>
      <c r="AA227" s="74"/>
      <c r="AB227" s="74"/>
      <c r="AC227" s="42"/>
      <c r="AD227" s="42"/>
      <c r="AE227" s="42"/>
      <c r="AF227" s="42"/>
      <c r="AG227" s="42"/>
      <c r="AH227" s="42"/>
      <c r="AI227" s="75"/>
      <c r="AJ227" s="75"/>
      <c r="AK227" s="75"/>
      <c r="AL227" s="75"/>
      <c r="AM227" s="74"/>
      <c r="AN227" s="72"/>
    </row>
    <row r="228" spans="1:40" s="69" customFormat="1" x14ac:dyDescent="0.25">
      <c r="A228" s="88"/>
      <c r="B228" s="88"/>
      <c r="C228" s="70"/>
      <c r="D228" s="70"/>
      <c r="E228" s="70" t="s">
        <v>8634</v>
      </c>
      <c r="F228" s="70">
        <v>0</v>
      </c>
      <c r="G228" s="70" t="s">
        <v>8658</v>
      </c>
      <c r="H228" s="422" t="s">
        <v>8478</v>
      </c>
      <c r="I228" s="422" t="s">
        <v>8565</v>
      </c>
      <c r="J228" s="418" t="s">
        <v>8624</v>
      </c>
      <c r="K228" s="414">
        <v>1</v>
      </c>
      <c r="L228" s="408">
        <v>2</v>
      </c>
      <c r="M228" s="408">
        <f t="shared" si="12"/>
        <v>2</v>
      </c>
      <c r="N228" s="408"/>
      <c r="O228" s="408"/>
      <c r="P228" s="434">
        <v>1</v>
      </c>
      <c r="Q228" s="434">
        <v>1</v>
      </c>
      <c r="R228" s="411"/>
      <c r="S228" s="427">
        <f t="shared" si="13"/>
        <v>1.8725118998131232E-5</v>
      </c>
      <c r="T228" s="427">
        <f t="shared" si="14"/>
        <v>1.8725118998131232E-5</v>
      </c>
      <c r="U228" s="42"/>
      <c r="V228" s="416"/>
      <c r="W228" s="42"/>
      <c r="X228" s="74"/>
      <c r="Y228" s="74"/>
      <c r="Z228" s="74"/>
      <c r="AA228" s="74"/>
      <c r="AB228" s="74"/>
      <c r="AC228" s="42"/>
      <c r="AD228" s="42"/>
      <c r="AE228" s="42"/>
      <c r="AF228" s="42"/>
      <c r="AG228" s="42"/>
      <c r="AH228" s="42"/>
      <c r="AI228" s="75"/>
      <c r="AJ228" s="75"/>
      <c r="AK228" s="75"/>
      <c r="AL228" s="75"/>
      <c r="AM228" s="74"/>
      <c r="AN228" s="72"/>
    </row>
    <row r="229" spans="1:40" s="69" customFormat="1" x14ac:dyDescent="0.25">
      <c r="A229" s="88"/>
      <c r="B229" s="88"/>
      <c r="C229" s="70"/>
      <c r="D229" s="70"/>
      <c r="E229" s="70" t="s">
        <v>8634</v>
      </c>
      <c r="F229" s="70">
        <v>0</v>
      </c>
      <c r="G229" s="70" t="s">
        <v>8658</v>
      </c>
      <c r="H229" s="422" t="s">
        <v>8478</v>
      </c>
      <c r="I229" s="422" t="s">
        <v>8565</v>
      </c>
      <c r="J229" s="418" t="s">
        <v>8625</v>
      </c>
      <c r="K229" s="414">
        <v>1</v>
      </c>
      <c r="L229" s="408">
        <v>67</v>
      </c>
      <c r="M229" s="408">
        <f t="shared" si="12"/>
        <v>67</v>
      </c>
      <c r="N229" s="408"/>
      <c r="O229" s="408"/>
      <c r="P229" s="434">
        <v>1</v>
      </c>
      <c r="Q229" s="434">
        <v>1</v>
      </c>
      <c r="R229" s="411"/>
      <c r="S229" s="427">
        <f t="shared" si="13"/>
        <v>6.2729148643739631E-4</v>
      </c>
      <c r="T229" s="427">
        <f t="shared" si="14"/>
        <v>6.2729148643739631E-4</v>
      </c>
      <c r="U229" s="42"/>
      <c r="V229" s="416"/>
      <c r="W229" s="42"/>
      <c r="X229" s="74"/>
      <c r="Y229" s="74"/>
      <c r="Z229" s="74"/>
      <c r="AA229" s="74"/>
      <c r="AB229" s="74"/>
      <c r="AC229" s="42"/>
      <c r="AD229" s="42"/>
      <c r="AE229" s="42"/>
      <c r="AF229" s="42"/>
      <c r="AG229" s="42"/>
      <c r="AH229" s="42"/>
      <c r="AI229" s="75"/>
      <c r="AJ229" s="75"/>
      <c r="AK229" s="75"/>
      <c r="AL229" s="75"/>
      <c r="AM229" s="74"/>
      <c r="AN229" s="72"/>
    </row>
    <row r="230" spans="1:40" s="69" customFormat="1" x14ac:dyDescent="0.25">
      <c r="A230" s="88"/>
      <c r="B230" s="88"/>
      <c r="C230" s="70"/>
      <c r="D230" s="70"/>
      <c r="E230" s="70" t="s">
        <v>8634</v>
      </c>
      <c r="F230" s="70">
        <v>0</v>
      </c>
      <c r="G230" s="70" t="s">
        <v>8658</v>
      </c>
      <c r="H230" s="422" t="s">
        <v>8478</v>
      </c>
      <c r="I230" s="422" t="s">
        <v>8565</v>
      </c>
      <c r="J230" s="418" t="s">
        <v>8626</v>
      </c>
      <c r="K230" s="414">
        <v>1</v>
      </c>
      <c r="L230" s="408">
        <v>9</v>
      </c>
      <c r="M230" s="408">
        <f t="shared" si="12"/>
        <v>9</v>
      </c>
      <c r="N230" s="408"/>
      <c r="O230" s="408"/>
      <c r="P230" s="434">
        <v>1</v>
      </c>
      <c r="Q230" s="434">
        <v>1</v>
      </c>
      <c r="R230" s="411"/>
      <c r="S230" s="427">
        <f t="shared" si="13"/>
        <v>8.4263035491590545E-5</v>
      </c>
      <c r="T230" s="427">
        <f t="shared" si="14"/>
        <v>8.4263035491590545E-5</v>
      </c>
      <c r="U230" s="42"/>
      <c r="V230" s="416"/>
      <c r="W230" s="42"/>
      <c r="X230" s="74"/>
      <c r="Y230" s="74"/>
      <c r="Z230" s="74"/>
      <c r="AA230" s="74"/>
      <c r="AB230" s="74"/>
      <c r="AC230" s="42"/>
      <c r="AD230" s="42"/>
      <c r="AE230" s="42"/>
      <c r="AF230" s="42"/>
      <c r="AG230" s="42"/>
      <c r="AH230" s="42"/>
      <c r="AI230" s="75"/>
      <c r="AJ230" s="75"/>
      <c r="AK230" s="75"/>
      <c r="AL230" s="75"/>
      <c r="AM230" s="74"/>
      <c r="AN230" s="72"/>
    </row>
    <row r="231" spans="1:40" s="69" customFormat="1" x14ac:dyDescent="0.25">
      <c r="A231" s="88"/>
      <c r="B231" s="88"/>
      <c r="C231" s="70"/>
      <c r="D231" s="70"/>
      <c r="E231" s="70" t="s">
        <v>8634</v>
      </c>
      <c r="F231" s="70">
        <v>0</v>
      </c>
      <c r="G231" s="70" t="s">
        <v>8658</v>
      </c>
      <c r="H231" s="422" t="s">
        <v>8478</v>
      </c>
      <c r="I231" s="422" t="s">
        <v>8565</v>
      </c>
      <c r="J231" s="418" t="s">
        <v>8627</v>
      </c>
      <c r="K231" s="414">
        <v>1</v>
      </c>
      <c r="L231" s="408">
        <v>10</v>
      </c>
      <c r="M231" s="408">
        <f t="shared" si="12"/>
        <v>10</v>
      </c>
      <c r="N231" s="408"/>
      <c r="O231" s="408"/>
      <c r="P231" s="434">
        <v>1</v>
      </c>
      <c r="Q231" s="434">
        <v>1</v>
      </c>
      <c r="R231" s="411"/>
      <c r="S231" s="427">
        <f t="shared" si="13"/>
        <v>9.3625594990656163E-5</v>
      </c>
      <c r="T231" s="427">
        <f t="shared" si="14"/>
        <v>9.3625594990656163E-5</v>
      </c>
      <c r="U231" s="42"/>
      <c r="V231" s="416"/>
      <c r="W231" s="42"/>
      <c r="X231" s="74"/>
      <c r="Y231" s="74"/>
      <c r="Z231" s="74"/>
      <c r="AA231" s="74"/>
      <c r="AB231" s="74"/>
      <c r="AC231" s="42"/>
      <c r="AD231" s="42"/>
      <c r="AE231" s="42"/>
      <c r="AF231" s="42"/>
      <c r="AG231" s="42"/>
      <c r="AH231" s="42"/>
      <c r="AI231" s="75"/>
      <c r="AJ231" s="75"/>
      <c r="AK231" s="75"/>
      <c r="AL231" s="75"/>
      <c r="AM231" s="74"/>
      <c r="AN231" s="72"/>
    </row>
    <row r="232" spans="1:40" s="69" customFormat="1" x14ac:dyDescent="0.25">
      <c r="A232" s="88"/>
      <c r="B232" s="88"/>
      <c r="C232" s="70"/>
      <c r="D232" s="70"/>
      <c r="E232" s="70" t="s">
        <v>8634</v>
      </c>
      <c r="F232" s="70">
        <v>0</v>
      </c>
      <c r="G232" s="70" t="s">
        <v>8658</v>
      </c>
      <c r="H232" s="422" t="s">
        <v>8478</v>
      </c>
      <c r="I232" s="422" t="s">
        <v>8565</v>
      </c>
      <c r="J232" s="418" t="s">
        <v>8628</v>
      </c>
      <c r="K232" s="414">
        <v>1</v>
      </c>
      <c r="L232" s="408">
        <v>1</v>
      </c>
      <c r="M232" s="408">
        <f t="shared" si="12"/>
        <v>1</v>
      </c>
      <c r="N232" s="408"/>
      <c r="O232" s="408"/>
      <c r="P232" s="434">
        <v>1</v>
      </c>
      <c r="Q232" s="434">
        <v>1</v>
      </c>
      <c r="R232" s="411"/>
      <c r="S232" s="427">
        <f t="shared" si="13"/>
        <v>9.3625594990656159E-6</v>
      </c>
      <c r="T232" s="427">
        <f t="shared" si="14"/>
        <v>9.3625594990656159E-6</v>
      </c>
      <c r="U232" s="42"/>
      <c r="V232" s="416"/>
      <c r="W232" s="42"/>
      <c r="X232" s="74"/>
      <c r="Y232" s="74"/>
      <c r="Z232" s="74"/>
      <c r="AA232" s="74"/>
      <c r="AB232" s="74"/>
      <c r="AC232" s="42"/>
      <c r="AD232" s="42"/>
      <c r="AE232" s="42"/>
      <c r="AF232" s="42"/>
      <c r="AG232" s="42"/>
      <c r="AH232" s="42"/>
      <c r="AI232" s="75"/>
      <c r="AJ232" s="75"/>
      <c r="AK232" s="75"/>
      <c r="AL232" s="75"/>
      <c r="AM232" s="74"/>
      <c r="AN232" s="72"/>
    </row>
    <row r="233" spans="1:40" s="69" customFormat="1" x14ac:dyDescent="0.25">
      <c r="A233" s="88"/>
      <c r="B233" s="88"/>
      <c r="C233" s="70"/>
      <c r="D233" s="70"/>
      <c r="E233" s="70" t="s">
        <v>8634</v>
      </c>
      <c r="F233" s="70">
        <v>0</v>
      </c>
      <c r="G233" s="70" t="s">
        <v>8658</v>
      </c>
      <c r="H233" s="422" t="s">
        <v>8478</v>
      </c>
      <c r="I233" s="422" t="s">
        <v>8565</v>
      </c>
      <c r="J233" s="418" t="s">
        <v>8611</v>
      </c>
      <c r="K233" s="414">
        <v>1</v>
      </c>
      <c r="L233" s="408">
        <v>6</v>
      </c>
      <c r="M233" s="408">
        <f t="shared" si="12"/>
        <v>6</v>
      </c>
      <c r="N233" s="408"/>
      <c r="O233" s="408"/>
      <c r="P233" s="411">
        <v>1</v>
      </c>
      <c r="Q233" s="411">
        <v>1</v>
      </c>
      <c r="R233" s="411"/>
      <c r="S233" s="427">
        <f t="shared" si="13"/>
        <v>5.6175356994393692E-5</v>
      </c>
      <c r="T233" s="427">
        <f t="shared" si="14"/>
        <v>5.6175356994393692E-5</v>
      </c>
      <c r="U233" s="42"/>
      <c r="V233" s="416"/>
      <c r="W233" s="42"/>
      <c r="X233" s="74"/>
      <c r="Y233" s="74"/>
      <c r="Z233" s="74"/>
      <c r="AA233" s="74"/>
      <c r="AB233" s="74"/>
      <c r="AC233" s="42"/>
      <c r="AD233" s="42"/>
      <c r="AE233" s="42"/>
      <c r="AF233" s="42"/>
      <c r="AG233" s="42"/>
      <c r="AH233" s="42"/>
      <c r="AI233" s="75"/>
      <c r="AJ233" s="75"/>
      <c r="AK233" s="75"/>
      <c r="AL233" s="75"/>
      <c r="AM233" s="74"/>
      <c r="AN233" s="72"/>
    </row>
    <row r="234" spans="1:40" s="69" customFormat="1" x14ac:dyDescent="0.25">
      <c r="A234" s="88"/>
      <c r="B234" s="88"/>
      <c r="C234" s="70"/>
      <c r="D234" s="70"/>
      <c r="E234" s="70" t="s">
        <v>8634</v>
      </c>
      <c r="F234" s="70">
        <v>0</v>
      </c>
      <c r="G234" s="70" t="s">
        <v>8658</v>
      </c>
      <c r="H234" s="422" t="s">
        <v>8478</v>
      </c>
      <c r="I234" s="422" t="s">
        <v>8565</v>
      </c>
      <c r="J234" s="418" t="s">
        <v>8629</v>
      </c>
      <c r="K234" s="414">
        <v>1</v>
      </c>
      <c r="L234" s="408">
        <v>1</v>
      </c>
      <c r="M234" s="408">
        <f t="shared" si="12"/>
        <v>1</v>
      </c>
      <c r="N234" s="408"/>
      <c r="O234" s="408"/>
      <c r="P234" s="434">
        <v>1</v>
      </c>
      <c r="Q234" s="434">
        <v>1</v>
      </c>
      <c r="R234" s="411"/>
      <c r="S234" s="427">
        <f t="shared" si="13"/>
        <v>9.3625594990656159E-6</v>
      </c>
      <c r="T234" s="427">
        <f t="shared" si="14"/>
        <v>9.3625594990656159E-6</v>
      </c>
      <c r="U234" s="42"/>
      <c r="V234" s="416"/>
      <c r="W234" s="42"/>
      <c r="X234" s="74"/>
      <c r="Y234" s="74"/>
      <c r="Z234" s="74"/>
      <c r="AA234" s="74"/>
      <c r="AB234" s="74"/>
      <c r="AC234" s="42"/>
      <c r="AD234" s="42"/>
      <c r="AE234" s="42"/>
      <c r="AF234" s="42"/>
      <c r="AG234" s="42"/>
      <c r="AH234" s="42"/>
      <c r="AI234" s="75"/>
      <c r="AJ234" s="75"/>
      <c r="AK234" s="75"/>
      <c r="AL234" s="75"/>
      <c r="AM234" s="74"/>
      <c r="AN234" s="72"/>
    </row>
    <row r="235" spans="1:40" s="69" customFormat="1" x14ac:dyDescent="0.25">
      <c r="A235" s="88"/>
      <c r="B235" s="88"/>
      <c r="C235" s="70"/>
      <c r="D235" s="70"/>
      <c r="E235" s="70" t="s">
        <v>8634</v>
      </c>
      <c r="F235" s="70">
        <v>0</v>
      </c>
      <c r="G235" s="70" t="s">
        <v>8658</v>
      </c>
      <c r="H235" s="422" t="s">
        <v>8478</v>
      </c>
      <c r="I235" s="422" t="s">
        <v>8565</v>
      </c>
      <c r="J235" s="418" t="s">
        <v>8630</v>
      </c>
      <c r="K235" s="414">
        <v>8</v>
      </c>
      <c r="L235" s="408">
        <v>766</v>
      </c>
      <c r="M235" s="408">
        <f t="shared" si="12"/>
        <v>6128</v>
      </c>
      <c r="N235" s="408"/>
      <c r="O235" s="408"/>
      <c r="P235" s="434">
        <v>1</v>
      </c>
      <c r="Q235" s="434">
        <v>1</v>
      </c>
      <c r="R235" s="411"/>
      <c r="S235" s="427">
        <f t="shared" si="13"/>
        <v>5.7373764610274096E-2</v>
      </c>
      <c r="T235" s="427">
        <f t="shared" si="14"/>
        <v>5.7373764610274096E-2</v>
      </c>
      <c r="U235" s="42"/>
      <c r="V235" s="416"/>
      <c r="W235" s="42"/>
      <c r="X235" s="74"/>
      <c r="Y235" s="74"/>
      <c r="Z235" s="74"/>
      <c r="AA235" s="74"/>
      <c r="AB235" s="74"/>
      <c r="AC235" s="42"/>
      <c r="AD235" s="42"/>
      <c r="AE235" s="42"/>
      <c r="AF235" s="42"/>
      <c r="AG235" s="42"/>
      <c r="AH235" s="42"/>
      <c r="AI235" s="75"/>
      <c r="AJ235" s="75"/>
      <c r="AK235" s="75"/>
      <c r="AL235" s="75"/>
      <c r="AM235" s="74"/>
      <c r="AN235" s="72"/>
    </row>
    <row r="236" spans="1:40" s="69" customFormat="1" x14ac:dyDescent="0.25">
      <c r="A236" s="88"/>
      <c r="B236" s="88"/>
      <c r="C236" s="70"/>
      <c r="D236" s="70"/>
      <c r="E236" s="70" t="s">
        <v>8634</v>
      </c>
      <c r="F236" s="70">
        <v>0</v>
      </c>
      <c r="G236" s="70" t="s">
        <v>8658</v>
      </c>
      <c r="H236" s="422" t="s">
        <v>8478</v>
      </c>
      <c r="I236" s="422" t="s">
        <v>8565</v>
      </c>
      <c r="J236" s="418" t="s">
        <v>8631</v>
      </c>
      <c r="K236" s="414">
        <v>32</v>
      </c>
      <c r="L236" s="408">
        <v>48</v>
      </c>
      <c r="M236" s="408">
        <f t="shared" si="12"/>
        <v>1536</v>
      </c>
      <c r="N236" s="408"/>
      <c r="O236" s="408"/>
      <c r="P236" s="411">
        <v>1</v>
      </c>
      <c r="Q236" s="411">
        <v>1</v>
      </c>
      <c r="R236" s="411"/>
      <c r="S236" s="427">
        <f t="shared" si="13"/>
        <v>1.4380891390564785E-2</v>
      </c>
      <c r="T236" s="427">
        <f t="shared" si="14"/>
        <v>1.4380891390564785E-2</v>
      </c>
      <c r="U236" s="42"/>
      <c r="V236" s="416"/>
      <c r="W236" s="42"/>
      <c r="X236" s="74"/>
      <c r="Y236" s="74"/>
      <c r="Z236" s="74"/>
      <c r="AA236" s="74"/>
      <c r="AB236" s="74"/>
      <c r="AC236" s="42"/>
      <c r="AD236" s="42"/>
      <c r="AE236" s="42"/>
      <c r="AF236" s="42"/>
      <c r="AG236" s="42"/>
      <c r="AH236" s="42"/>
      <c r="AI236" s="75"/>
      <c r="AJ236" s="75"/>
      <c r="AK236" s="75"/>
      <c r="AL236" s="75"/>
      <c r="AM236" s="74"/>
      <c r="AN236" s="72"/>
    </row>
    <row r="237" spans="1:40" s="69" customFormat="1" x14ac:dyDescent="0.25">
      <c r="A237" s="88"/>
      <c r="B237" s="88"/>
      <c r="C237" s="70"/>
      <c r="D237" s="70"/>
      <c r="E237" s="70" t="s">
        <v>8634</v>
      </c>
      <c r="F237" s="70">
        <v>0</v>
      </c>
      <c r="G237" s="70" t="s">
        <v>8658</v>
      </c>
      <c r="H237" s="422" t="s">
        <v>8478</v>
      </c>
      <c r="I237" s="422" t="s">
        <v>8565</v>
      </c>
      <c r="J237" s="418" t="s">
        <v>8632</v>
      </c>
      <c r="K237" s="414">
        <v>32</v>
      </c>
      <c r="L237" s="408">
        <v>24</v>
      </c>
      <c r="M237" s="408">
        <f t="shared" si="12"/>
        <v>768</v>
      </c>
      <c r="N237" s="408"/>
      <c r="O237" s="408"/>
      <c r="P237" s="434">
        <v>1</v>
      </c>
      <c r="Q237" s="434">
        <v>1</v>
      </c>
      <c r="R237" s="411"/>
      <c r="S237" s="427">
        <f t="shared" si="13"/>
        <v>7.1904456952823926E-3</v>
      </c>
      <c r="T237" s="427">
        <f t="shared" si="14"/>
        <v>7.1904456952823926E-3</v>
      </c>
      <c r="U237" s="42"/>
      <c r="V237" s="416"/>
      <c r="W237" s="42"/>
      <c r="X237" s="74"/>
      <c r="Y237" s="74"/>
      <c r="Z237" s="74"/>
      <c r="AA237" s="74"/>
      <c r="AB237" s="74"/>
      <c r="AC237" s="42"/>
      <c r="AD237" s="42"/>
      <c r="AE237" s="42"/>
      <c r="AF237" s="42"/>
      <c r="AG237" s="42"/>
      <c r="AH237" s="42"/>
      <c r="AI237" s="75"/>
      <c r="AJ237" s="75"/>
      <c r="AK237" s="75"/>
      <c r="AL237" s="75"/>
      <c r="AM237" s="74"/>
      <c r="AN237" s="72"/>
    </row>
    <row r="238" spans="1:40" s="69" customFormat="1" x14ac:dyDescent="0.25">
      <c r="A238" s="88"/>
      <c r="B238" s="88"/>
      <c r="C238" s="70"/>
      <c r="D238" s="70"/>
      <c r="E238" s="70" t="s">
        <v>8634</v>
      </c>
      <c r="F238" s="70">
        <v>0</v>
      </c>
      <c r="G238" s="70" t="s">
        <v>8658</v>
      </c>
      <c r="H238" s="422" t="s">
        <v>8478</v>
      </c>
      <c r="I238" s="422" t="s">
        <v>8565</v>
      </c>
      <c r="J238" s="418" t="s">
        <v>8633</v>
      </c>
      <c r="K238" s="414">
        <v>1</v>
      </c>
      <c r="L238" s="408">
        <v>2</v>
      </c>
      <c r="M238" s="408">
        <f t="shared" si="12"/>
        <v>2</v>
      </c>
      <c r="N238" s="408"/>
      <c r="O238" s="408"/>
      <c r="P238" s="434">
        <v>1</v>
      </c>
      <c r="Q238" s="434">
        <v>1</v>
      </c>
      <c r="R238" s="411"/>
      <c r="S238" s="427">
        <f t="shared" si="13"/>
        <v>1.8725118998131232E-5</v>
      </c>
      <c r="T238" s="427">
        <f t="shared" si="14"/>
        <v>1.8725118998131232E-5</v>
      </c>
      <c r="U238" s="42"/>
      <c r="V238" s="416"/>
      <c r="W238" s="42"/>
      <c r="X238" s="74"/>
      <c r="Y238" s="74"/>
      <c r="Z238" s="74"/>
      <c r="AA238" s="74"/>
      <c r="AB238" s="74"/>
      <c r="AC238" s="42"/>
      <c r="AD238" s="42"/>
      <c r="AE238" s="42"/>
      <c r="AF238" s="42"/>
      <c r="AG238" s="42"/>
      <c r="AH238" s="42"/>
      <c r="AI238" s="75"/>
      <c r="AJ238" s="75"/>
      <c r="AK238" s="75"/>
      <c r="AL238" s="75"/>
      <c r="AM238" s="74"/>
      <c r="AN238" s="72"/>
    </row>
    <row r="239" spans="1:40" s="69" customFormat="1" x14ac:dyDescent="0.25">
      <c r="A239" s="88"/>
      <c r="B239" s="88"/>
      <c r="C239" s="70"/>
      <c r="D239" s="70"/>
      <c r="E239" s="70" t="s">
        <v>8657</v>
      </c>
      <c r="F239" s="70">
        <v>0</v>
      </c>
      <c r="G239" s="70" t="s">
        <v>8658</v>
      </c>
      <c r="H239" s="422" t="s">
        <v>8478</v>
      </c>
      <c r="I239" s="422" t="s">
        <v>8565</v>
      </c>
      <c r="J239" s="418" t="s">
        <v>8635</v>
      </c>
      <c r="K239" s="414">
        <v>1</v>
      </c>
      <c r="L239" s="408">
        <v>39</v>
      </c>
      <c r="M239" s="408">
        <f t="shared" si="12"/>
        <v>39</v>
      </c>
      <c r="N239" s="408"/>
      <c r="O239" s="408"/>
      <c r="P239" s="434">
        <v>1</v>
      </c>
      <c r="Q239" s="434">
        <v>1</v>
      </c>
      <c r="R239" s="411"/>
      <c r="S239" s="427">
        <f t="shared" si="13"/>
        <v>3.6513982046355902E-4</v>
      </c>
      <c r="T239" s="427">
        <f t="shared" si="14"/>
        <v>3.6513982046355902E-4</v>
      </c>
      <c r="U239" s="42"/>
      <c r="V239" s="416"/>
      <c r="W239" s="42"/>
      <c r="X239" s="74"/>
      <c r="Y239" s="74"/>
      <c r="Z239" s="74"/>
      <c r="AA239" s="74"/>
      <c r="AB239" s="74"/>
      <c r="AC239" s="42"/>
      <c r="AD239" s="42"/>
      <c r="AE239" s="42"/>
      <c r="AF239" s="42"/>
      <c r="AG239" s="42"/>
      <c r="AH239" s="42"/>
      <c r="AI239" s="75"/>
      <c r="AJ239" s="75"/>
      <c r="AK239" s="75"/>
      <c r="AL239" s="75"/>
      <c r="AM239" s="74"/>
      <c r="AN239" s="72"/>
    </row>
    <row r="240" spans="1:40" s="69" customFormat="1" x14ac:dyDescent="0.25">
      <c r="A240" s="88"/>
      <c r="B240" s="88"/>
      <c r="C240" s="70"/>
      <c r="D240" s="70"/>
      <c r="E240" s="70" t="s">
        <v>8657</v>
      </c>
      <c r="F240" s="70">
        <v>0</v>
      </c>
      <c r="G240" s="70" t="s">
        <v>8658</v>
      </c>
      <c r="H240" s="422" t="s">
        <v>8478</v>
      </c>
      <c r="I240" s="422" t="s">
        <v>8565</v>
      </c>
      <c r="J240" s="418" t="s">
        <v>8636</v>
      </c>
      <c r="K240" s="414">
        <v>1</v>
      </c>
      <c r="L240" s="408">
        <v>530</v>
      </c>
      <c r="M240" s="408">
        <f t="shared" ref="M240:M261" si="15">L240*K240</f>
        <v>530</v>
      </c>
      <c r="N240" s="408"/>
      <c r="O240" s="408"/>
      <c r="P240" s="434">
        <v>1</v>
      </c>
      <c r="Q240" s="434">
        <v>1</v>
      </c>
      <c r="R240" s="411"/>
      <c r="S240" s="427">
        <f t="shared" si="13"/>
        <v>4.9621565345047761E-3</v>
      </c>
      <c r="T240" s="427">
        <f t="shared" si="14"/>
        <v>4.9621565345047761E-3</v>
      </c>
      <c r="U240" s="42"/>
      <c r="V240" s="416"/>
      <c r="W240" s="42"/>
      <c r="X240" s="74"/>
      <c r="Y240" s="74"/>
      <c r="Z240" s="74"/>
      <c r="AA240" s="74"/>
      <c r="AB240" s="74"/>
      <c r="AC240" s="42"/>
      <c r="AD240" s="42"/>
      <c r="AE240" s="42"/>
      <c r="AF240" s="42"/>
      <c r="AG240" s="42"/>
      <c r="AH240" s="42"/>
      <c r="AI240" s="75"/>
      <c r="AJ240" s="75"/>
      <c r="AK240" s="75"/>
      <c r="AL240" s="75"/>
      <c r="AM240" s="74"/>
      <c r="AN240" s="72"/>
    </row>
    <row r="241" spans="1:40" s="69" customFormat="1" x14ac:dyDescent="0.25">
      <c r="A241" s="88"/>
      <c r="B241" s="88"/>
      <c r="C241" s="70"/>
      <c r="D241" s="70"/>
      <c r="E241" s="70" t="s">
        <v>8657</v>
      </c>
      <c r="F241" s="70">
        <v>0</v>
      </c>
      <c r="G241" s="70" t="s">
        <v>8658</v>
      </c>
      <c r="H241" s="422" t="s">
        <v>8478</v>
      </c>
      <c r="I241" s="422" t="s">
        <v>8565</v>
      </c>
      <c r="J241" s="418" t="s">
        <v>8637</v>
      </c>
      <c r="K241" s="414">
        <v>1</v>
      </c>
      <c r="L241" s="408">
        <v>81</v>
      </c>
      <c r="M241" s="408">
        <f t="shared" si="15"/>
        <v>81</v>
      </c>
      <c r="N241" s="408"/>
      <c r="O241" s="408"/>
      <c r="P241" s="434">
        <v>1</v>
      </c>
      <c r="Q241" s="434">
        <v>1</v>
      </c>
      <c r="R241" s="411"/>
      <c r="S241" s="427">
        <f t="shared" si="13"/>
        <v>7.5836731942431493E-4</v>
      </c>
      <c r="T241" s="427">
        <f t="shared" si="14"/>
        <v>7.5836731942431493E-4</v>
      </c>
      <c r="U241" s="42"/>
      <c r="V241" s="416"/>
      <c r="W241" s="42"/>
      <c r="X241" s="74"/>
      <c r="Y241" s="74"/>
      <c r="Z241" s="74"/>
      <c r="AA241" s="74"/>
      <c r="AB241" s="74"/>
      <c r="AC241" s="42"/>
      <c r="AD241" s="42"/>
      <c r="AE241" s="42"/>
      <c r="AF241" s="42"/>
      <c r="AG241" s="42"/>
      <c r="AH241" s="42"/>
      <c r="AI241" s="75"/>
      <c r="AJ241" s="75"/>
      <c r="AK241" s="75"/>
      <c r="AL241" s="75"/>
      <c r="AM241" s="74"/>
      <c r="AN241" s="72"/>
    </row>
    <row r="242" spans="1:40" s="69" customFormat="1" x14ac:dyDescent="0.25">
      <c r="A242" s="88"/>
      <c r="B242" s="88"/>
      <c r="C242" s="70"/>
      <c r="D242" s="70"/>
      <c r="E242" s="70" t="s">
        <v>8657</v>
      </c>
      <c r="F242" s="70">
        <v>0</v>
      </c>
      <c r="G242" s="70" t="s">
        <v>8658</v>
      </c>
      <c r="H242" s="422" t="s">
        <v>8478</v>
      </c>
      <c r="I242" s="422" t="s">
        <v>8565</v>
      </c>
      <c r="J242" s="418" t="s">
        <v>8637</v>
      </c>
      <c r="K242" s="414">
        <v>1</v>
      </c>
      <c r="L242" s="408">
        <v>213</v>
      </c>
      <c r="M242" s="408">
        <f t="shared" si="15"/>
        <v>213</v>
      </c>
      <c r="N242" s="408"/>
      <c r="O242" s="408"/>
      <c r="P242" s="434">
        <v>1</v>
      </c>
      <c r="Q242" s="434">
        <v>1</v>
      </c>
      <c r="R242" s="411"/>
      <c r="S242" s="427">
        <f t="shared" si="13"/>
        <v>1.9942251733009761E-3</v>
      </c>
      <c r="T242" s="427">
        <f t="shared" si="14"/>
        <v>1.9942251733009761E-3</v>
      </c>
      <c r="U242" s="42"/>
      <c r="V242" s="416"/>
      <c r="W242" s="42"/>
      <c r="X242" s="74"/>
      <c r="Y242" s="74"/>
      <c r="Z242" s="74"/>
      <c r="AA242" s="74"/>
      <c r="AB242" s="74"/>
      <c r="AC242" s="42"/>
      <c r="AD242" s="42"/>
      <c r="AE242" s="42"/>
      <c r="AF242" s="42"/>
      <c r="AG242" s="42"/>
      <c r="AH242" s="42"/>
      <c r="AI242" s="75"/>
      <c r="AJ242" s="75"/>
      <c r="AK242" s="75"/>
      <c r="AL242" s="75"/>
      <c r="AM242" s="74"/>
      <c r="AN242" s="72"/>
    </row>
    <row r="243" spans="1:40" s="69" customFormat="1" x14ac:dyDescent="0.25">
      <c r="A243" s="88"/>
      <c r="B243" s="88"/>
      <c r="C243" s="70"/>
      <c r="D243" s="70"/>
      <c r="E243" s="70" t="s">
        <v>8657</v>
      </c>
      <c r="F243" s="70">
        <v>0</v>
      </c>
      <c r="G243" s="70" t="s">
        <v>8658</v>
      </c>
      <c r="H243" s="422" t="s">
        <v>8478</v>
      </c>
      <c r="I243" s="422" t="s">
        <v>8565</v>
      </c>
      <c r="J243" s="418" t="s">
        <v>8638</v>
      </c>
      <c r="K243" s="414">
        <v>2</v>
      </c>
      <c r="L243" s="408">
        <v>0.5</v>
      </c>
      <c r="M243" s="408">
        <f t="shared" si="15"/>
        <v>1</v>
      </c>
      <c r="N243" s="408"/>
      <c r="O243" s="408"/>
      <c r="P243" s="411">
        <v>1</v>
      </c>
      <c r="Q243" s="411">
        <v>1</v>
      </c>
      <c r="R243" s="411"/>
      <c r="S243" s="427">
        <f t="shared" si="13"/>
        <v>9.3625594990656159E-6</v>
      </c>
      <c r="T243" s="427">
        <f t="shared" si="14"/>
        <v>9.3625594990656159E-6</v>
      </c>
      <c r="U243" s="42"/>
      <c r="V243" s="416"/>
      <c r="W243" s="42"/>
      <c r="X243" s="74"/>
      <c r="Y243" s="74"/>
      <c r="Z243" s="74"/>
      <c r="AA243" s="74"/>
      <c r="AB243" s="74"/>
      <c r="AC243" s="42"/>
      <c r="AD243" s="42"/>
      <c r="AE243" s="42"/>
      <c r="AF243" s="42"/>
      <c r="AG243" s="42"/>
      <c r="AH243" s="42"/>
      <c r="AI243" s="75"/>
      <c r="AJ243" s="75"/>
      <c r="AK243" s="75"/>
      <c r="AL243" s="75"/>
      <c r="AM243" s="74"/>
      <c r="AN243" s="72"/>
    </row>
    <row r="244" spans="1:40" s="69" customFormat="1" x14ac:dyDescent="0.25">
      <c r="A244" s="88"/>
      <c r="B244" s="88"/>
      <c r="C244" s="70"/>
      <c r="D244" s="70"/>
      <c r="E244" s="70" t="s">
        <v>8657</v>
      </c>
      <c r="F244" s="70">
        <v>0</v>
      </c>
      <c r="G244" s="70" t="s">
        <v>8658</v>
      </c>
      <c r="H244" s="422" t="s">
        <v>8478</v>
      </c>
      <c r="I244" s="422" t="s">
        <v>8565</v>
      </c>
      <c r="J244" s="418" t="s">
        <v>8639</v>
      </c>
      <c r="K244" s="414">
        <v>1</v>
      </c>
      <c r="L244" s="408">
        <v>2230</v>
      </c>
      <c r="M244" s="408">
        <f t="shared" si="15"/>
        <v>2230</v>
      </c>
      <c r="N244" s="408"/>
      <c r="O244" s="408"/>
      <c r="P244" s="411">
        <v>1</v>
      </c>
      <c r="Q244" s="411">
        <v>1</v>
      </c>
      <c r="R244" s="411"/>
      <c r="S244" s="427">
        <f t="shared" si="13"/>
        <v>2.0878507682916322E-2</v>
      </c>
      <c r="T244" s="427">
        <f t="shared" si="14"/>
        <v>2.0878507682916322E-2</v>
      </c>
      <c r="U244" s="42"/>
      <c r="V244" s="416"/>
      <c r="W244" s="42"/>
      <c r="X244" s="74"/>
      <c r="Y244" s="74"/>
      <c r="Z244" s="74"/>
      <c r="AA244" s="74"/>
      <c r="AB244" s="74"/>
      <c r="AC244" s="42"/>
      <c r="AD244" s="42"/>
      <c r="AE244" s="42"/>
      <c r="AF244" s="42"/>
      <c r="AG244" s="42"/>
      <c r="AH244" s="42"/>
      <c r="AI244" s="75"/>
      <c r="AJ244" s="75"/>
      <c r="AK244" s="75"/>
      <c r="AL244" s="75"/>
      <c r="AM244" s="74"/>
      <c r="AN244" s="72"/>
    </row>
    <row r="245" spans="1:40" s="69" customFormat="1" x14ac:dyDescent="0.25">
      <c r="A245" s="88"/>
      <c r="B245" s="88"/>
      <c r="C245" s="70"/>
      <c r="D245" s="70"/>
      <c r="E245" s="70" t="s">
        <v>8657</v>
      </c>
      <c r="F245" s="70">
        <v>0</v>
      </c>
      <c r="G245" s="70" t="s">
        <v>8658</v>
      </c>
      <c r="H245" s="422" t="s">
        <v>8478</v>
      </c>
      <c r="I245" s="422" t="s">
        <v>8565</v>
      </c>
      <c r="J245" s="418" t="s">
        <v>8640</v>
      </c>
      <c r="K245" s="414">
        <v>1</v>
      </c>
      <c r="L245" s="408">
        <v>199</v>
      </c>
      <c r="M245" s="408">
        <f t="shared" si="15"/>
        <v>199</v>
      </c>
      <c r="N245" s="408"/>
      <c r="O245" s="408"/>
      <c r="P245" s="434">
        <v>1</v>
      </c>
      <c r="Q245" s="434">
        <v>1</v>
      </c>
      <c r="R245" s="411"/>
      <c r="S245" s="427">
        <f t="shared" si="13"/>
        <v>1.8631493403140575E-3</v>
      </c>
      <c r="T245" s="427">
        <f t="shared" si="14"/>
        <v>1.8631493403140575E-3</v>
      </c>
      <c r="U245" s="42"/>
      <c r="V245" s="416"/>
      <c r="W245" s="42"/>
      <c r="X245" s="74"/>
      <c r="Y245" s="74"/>
      <c r="Z245" s="74"/>
      <c r="AA245" s="74"/>
      <c r="AB245" s="74"/>
      <c r="AC245" s="42"/>
      <c r="AD245" s="42"/>
      <c r="AE245" s="42"/>
      <c r="AF245" s="42"/>
      <c r="AG245" s="42"/>
      <c r="AH245" s="42"/>
      <c r="AI245" s="75"/>
      <c r="AJ245" s="75"/>
      <c r="AK245" s="75"/>
      <c r="AL245" s="75"/>
      <c r="AM245" s="74"/>
      <c r="AN245" s="72"/>
    </row>
    <row r="246" spans="1:40" s="69" customFormat="1" x14ac:dyDescent="0.25">
      <c r="A246" s="88"/>
      <c r="B246" s="88"/>
      <c r="C246" s="70"/>
      <c r="D246" s="70"/>
      <c r="E246" s="70" t="s">
        <v>8657</v>
      </c>
      <c r="F246" s="70">
        <v>0</v>
      </c>
      <c r="G246" s="70" t="s">
        <v>8658</v>
      </c>
      <c r="H246" s="422" t="s">
        <v>8478</v>
      </c>
      <c r="I246" s="422" t="s">
        <v>8565</v>
      </c>
      <c r="J246" s="418" t="s">
        <v>8641</v>
      </c>
      <c r="K246" s="414">
        <v>14</v>
      </c>
      <c r="L246" s="408">
        <v>30</v>
      </c>
      <c r="M246" s="408">
        <f t="shared" si="15"/>
        <v>420</v>
      </c>
      <c r="N246" s="408"/>
      <c r="O246" s="408"/>
      <c r="P246" s="434">
        <v>1</v>
      </c>
      <c r="Q246" s="434">
        <v>1</v>
      </c>
      <c r="R246" s="411"/>
      <c r="S246" s="427">
        <f t="shared" si="13"/>
        <v>3.9322749896075586E-3</v>
      </c>
      <c r="T246" s="427">
        <f t="shared" si="14"/>
        <v>3.9322749896075586E-3</v>
      </c>
      <c r="U246" s="42"/>
      <c r="V246" s="416"/>
      <c r="W246" s="42"/>
      <c r="X246" s="74"/>
      <c r="Y246" s="74"/>
      <c r="Z246" s="74"/>
      <c r="AA246" s="74"/>
      <c r="AB246" s="74"/>
      <c r="AC246" s="42"/>
      <c r="AD246" s="42"/>
      <c r="AE246" s="42"/>
      <c r="AF246" s="42"/>
      <c r="AG246" s="42"/>
      <c r="AH246" s="42"/>
      <c r="AI246" s="75"/>
      <c r="AJ246" s="75"/>
      <c r="AK246" s="75"/>
      <c r="AL246" s="75"/>
      <c r="AM246" s="74"/>
      <c r="AN246" s="72"/>
    </row>
    <row r="247" spans="1:40" s="69" customFormat="1" x14ac:dyDescent="0.25">
      <c r="A247" s="88"/>
      <c r="B247" s="88"/>
      <c r="C247" s="70"/>
      <c r="D247" s="70"/>
      <c r="E247" s="70" t="s">
        <v>8657</v>
      </c>
      <c r="F247" s="70">
        <v>0</v>
      </c>
      <c r="G247" s="70" t="s">
        <v>8658</v>
      </c>
      <c r="H247" s="422" t="s">
        <v>8478</v>
      </c>
      <c r="I247" s="422" t="s">
        <v>8565</v>
      </c>
      <c r="J247" s="418" t="s">
        <v>8642</v>
      </c>
      <c r="K247" s="414">
        <v>2</v>
      </c>
      <c r="L247" s="408">
        <v>29</v>
      </c>
      <c r="M247" s="408">
        <f t="shared" si="15"/>
        <v>58</v>
      </c>
      <c r="N247" s="408"/>
      <c r="O247" s="408"/>
      <c r="P247" s="434">
        <v>1</v>
      </c>
      <c r="Q247" s="434">
        <v>1</v>
      </c>
      <c r="R247" s="411"/>
      <c r="S247" s="427">
        <f t="shared" si="13"/>
        <v>5.4302845094580574E-4</v>
      </c>
      <c r="T247" s="427">
        <f t="shared" si="14"/>
        <v>5.4302845094580574E-4</v>
      </c>
      <c r="U247" s="42"/>
      <c r="V247" s="416"/>
      <c r="W247" s="42"/>
      <c r="X247" s="74"/>
      <c r="Y247" s="74"/>
      <c r="Z247" s="74"/>
      <c r="AA247" s="74"/>
      <c r="AB247" s="74"/>
      <c r="AC247" s="42"/>
      <c r="AD247" s="42"/>
      <c r="AE247" s="42"/>
      <c r="AF247" s="42"/>
      <c r="AG247" s="42"/>
      <c r="AH247" s="42"/>
      <c r="AI247" s="75"/>
      <c r="AJ247" s="75"/>
      <c r="AK247" s="75"/>
      <c r="AL247" s="75"/>
      <c r="AM247" s="74"/>
      <c r="AN247" s="72"/>
    </row>
    <row r="248" spans="1:40" s="69" customFormat="1" x14ac:dyDescent="0.25">
      <c r="A248" s="88"/>
      <c r="B248" s="88"/>
      <c r="C248" s="70"/>
      <c r="D248" s="70"/>
      <c r="E248" s="70" t="s">
        <v>8657</v>
      </c>
      <c r="F248" s="70">
        <v>0</v>
      </c>
      <c r="G248" s="70" t="s">
        <v>8658</v>
      </c>
      <c r="H248" s="422" t="s">
        <v>8478</v>
      </c>
      <c r="I248" s="422" t="s">
        <v>8565</v>
      </c>
      <c r="J248" s="418" t="s">
        <v>8643</v>
      </c>
      <c r="K248" s="414">
        <v>2</v>
      </c>
      <c r="L248" s="408">
        <v>27</v>
      </c>
      <c r="M248" s="408">
        <f t="shared" si="15"/>
        <v>54</v>
      </c>
      <c r="N248" s="408"/>
      <c r="O248" s="408"/>
      <c r="P248" s="434">
        <v>1</v>
      </c>
      <c r="Q248" s="434">
        <v>1</v>
      </c>
      <c r="R248" s="411"/>
      <c r="S248" s="427">
        <f t="shared" si="13"/>
        <v>5.0557821294954322E-4</v>
      </c>
      <c r="T248" s="427">
        <f t="shared" si="14"/>
        <v>5.0557821294954322E-4</v>
      </c>
      <c r="U248" s="42"/>
      <c r="V248" s="416"/>
      <c r="W248" s="42"/>
      <c r="X248" s="74"/>
      <c r="Y248" s="74"/>
      <c r="Z248" s="74"/>
      <c r="AA248" s="74"/>
      <c r="AB248" s="74"/>
      <c r="AC248" s="42"/>
      <c r="AD248" s="42"/>
      <c r="AE248" s="42"/>
      <c r="AF248" s="42"/>
      <c r="AG248" s="42"/>
      <c r="AH248" s="42"/>
      <c r="AI248" s="75"/>
      <c r="AJ248" s="75"/>
      <c r="AK248" s="75"/>
      <c r="AL248" s="75"/>
      <c r="AM248" s="74"/>
      <c r="AN248" s="72"/>
    </row>
    <row r="249" spans="1:40" s="69" customFormat="1" x14ac:dyDescent="0.25">
      <c r="A249" s="88"/>
      <c r="B249" s="88"/>
      <c r="C249" s="70"/>
      <c r="D249" s="70"/>
      <c r="E249" s="70" t="s">
        <v>8657</v>
      </c>
      <c r="F249" s="70">
        <v>0</v>
      </c>
      <c r="G249" s="70" t="s">
        <v>8658</v>
      </c>
      <c r="H249" s="422" t="s">
        <v>8478</v>
      </c>
      <c r="I249" s="422" t="s">
        <v>8565</v>
      </c>
      <c r="J249" s="418" t="s">
        <v>8644</v>
      </c>
      <c r="K249" s="414">
        <v>2</v>
      </c>
      <c r="L249" s="408">
        <v>25</v>
      </c>
      <c r="M249" s="408">
        <f t="shared" si="15"/>
        <v>50</v>
      </c>
      <c r="N249" s="408"/>
      <c r="O249" s="408"/>
      <c r="P249" s="434">
        <v>1</v>
      </c>
      <c r="Q249" s="434">
        <v>1</v>
      </c>
      <c r="R249" s="411"/>
      <c r="S249" s="427">
        <f t="shared" si="13"/>
        <v>4.681279749532808E-4</v>
      </c>
      <c r="T249" s="427">
        <f t="shared" si="14"/>
        <v>4.681279749532808E-4</v>
      </c>
      <c r="U249" s="42"/>
      <c r="V249" s="416"/>
      <c r="W249" s="42"/>
      <c r="X249" s="74"/>
      <c r="Y249" s="74"/>
      <c r="Z249" s="74"/>
      <c r="AA249" s="74"/>
      <c r="AB249" s="74"/>
      <c r="AC249" s="42"/>
      <c r="AD249" s="42"/>
      <c r="AE249" s="42"/>
      <c r="AF249" s="42"/>
      <c r="AG249" s="42"/>
      <c r="AH249" s="42"/>
      <c r="AI249" s="75"/>
      <c r="AJ249" s="75"/>
      <c r="AK249" s="75"/>
      <c r="AL249" s="75"/>
      <c r="AM249" s="74"/>
      <c r="AN249" s="72"/>
    </row>
    <row r="250" spans="1:40" s="69" customFormat="1" x14ac:dyDescent="0.25">
      <c r="A250" s="88"/>
      <c r="B250" s="88"/>
      <c r="C250" s="70"/>
      <c r="D250" s="70"/>
      <c r="E250" s="70" t="s">
        <v>8657</v>
      </c>
      <c r="F250" s="70">
        <v>0</v>
      </c>
      <c r="G250" s="70" t="s">
        <v>8658</v>
      </c>
      <c r="H250" s="422" t="s">
        <v>8478</v>
      </c>
      <c r="I250" s="422" t="s">
        <v>8565</v>
      </c>
      <c r="J250" s="418" t="s">
        <v>8645</v>
      </c>
      <c r="K250" s="414">
        <v>2</v>
      </c>
      <c r="L250" s="408">
        <v>23</v>
      </c>
      <c r="M250" s="408">
        <f t="shared" si="15"/>
        <v>46</v>
      </c>
      <c r="N250" s="408"/>
      <c r="O250" s="408"/>
      <c r="P250" s="434">
        <v>1</v>
      </c>
      <c r="Q250" s="434">
        <v>1</v>
      </c>
      <c r="R250" s="411"/>
      <c r="S250" s="427">
        <f t="shared" si="13"/>
        <v>4.3067773695701833E-4</v>
      </c>
      <c r="T250" s="427">
        <f t="shared" si="14"/>
        <v>4.3067773695701833E-4</v>
      </c>
      <c r="U250" s="42"/>
      <c r="V250" s="416"/>
      <c r="W250" s="42"/>
      <c r="X250" s="74"/>
      <c r="Y250" s="74"/>
      <c r="Z250" s="74"/>
      <c r="AA250" s="74"/>
      <c r="AB250" s="74"/>
      <c r="AC250" s="42"/>
      <c r="AD250" s="42"/>
      <c r="AE250" s="42"/>
      <c r="AF250" s="42"/>
      <c r="AG250" s="42"/>
      <c r="AH250" s="42"/>
      <c r="AI250" s="75"/>
      <c r="AJ250" s="75"/>
      <c r="AK250" s="75"/>
      <c r="AL250" s="75"/>
      <c r="AM250" s="74"/>
      <c r="AN250" s="72"/>
    </row>
    <row r="251" spans="1:40" s="69" customFormat="1" x14ac:dyDescent="0.25">
      <c r="A251" s="88"/>
      <c r="B251" s="88"/>
      <c r="C251" s="70"/>
      <c r="D251" s="70"/>
      <c r="E251" s="70" t="s">
        <v>8657</v>
      </c>
      <c r="F251" s="70">
        <v>0</v>
      </c>
      <c r="G251" s="70" t="s">
        <v>8658</v>
      </c>
      <c r="H251" s="422" t="s">
        <v>8478</v>
      </c>
      <c r="I251" s="422" t="s">
        <v>8565</v>
      </c>
      <c r="J251" s="418" t="s">
        <v>8646</v>
      </c>
      <c r="K251" s="414">
        <v>2</v>
      </c>
      <c r="L251" s="408">
        <v>21</v>
      </c>
      <c r="M251" s="408">
        <f t="shared" si="15"/>
        <v>42</v>
      </c>
      <c r="N251" s="408"/>
      <c r="O251" s="408"/>
      <c r="P251" s="434">
        <v>1</v>
      </c>
      <c r="Q251" s="434">
        <v>1</v>
      </c>
      <c r="R251" s="411"/>
      <c r="S251" s="427">
        <f t="shared" si="13"/>
        <v>3.9322749896075586E-4</v>
      </c>
      <c r="T251" s="427">
        <f t="shared" si="14"/>
        <v>3.9322749896075586E-4</v>
      </c>
      <c r="U251" s="42"/>
      <c r="V251" s="416"/>
      <c r="W251" s="42"/>
      <c r="X251" s="74"/>
      <c r="Y251" s="74"/>
      <c r="Z251" s="74"/>
      <c r="AA251" s="74"/>
      <c r="AB251" s="74"/>
      <c r="AC251" s="42"/>
      <c r="AD251" s="42"/>
      <c r="AE251" s="42"/>
      <c r="AF251" s="42"/>
      <c r="AG251" s="42"/>
      <c r="AH251" s="42"/>
      <c r="AI251" s="75"/>
      <c r="AJ251" s="75"/>
      <c r="AK251" s="75"/>
      <c r="AL251" s="75"/>
      <c r="AM251" s="74"/>
      <c r="AN251" s="72"/>
    </row>
    <row r="252" spans="1:40" s="69" customFormat="1" x14ac:dyDescent="0.25">
      <c r="A252" s="88"/>
      <c r="B252" s="88"/>
      <c r="C252" s="70"/>
      <c r="D252" s="70"/>
      <c r="E252" s="70" t="s">
        <v>8657</v>
      </c>
      <c r="F252" s="70">
        <v>0</v>
      </c>
      <c r="G252" s="70" t="s">
        <v>8658</v>
      </c>
      <c r="H252" s="422" t="s">
        <v>8478</v>
      </c>
      <c r="I252" s="422" t="s">
        <v>8565</v>
      </c>
      <c r="J252" s="418" t="s">
        <v>8647</v>
      </c>
      <c r="K252" s="414">
        <v>1</v>
      </c>
      <c r="L252" s="408">
        <v>229</v>
      </c>
      <c r="M252" s="408">
        <f t="shared" si="15"/>
        <v>229</v>
      </c>
      <c r="N252" s="408"/>
      <c r="O252" s="408"/>
      <c r="P252" s="434">
        <v>1</v>
      </c>
      <c r="Q252" s="434">
        <v>1</v>
      </c>
      <c r="R252" s="411"/>
      <c r="S252" s="427">
        <f t="shared" si="13"/>
        <v>2.1440261252860262E-3</v>
      </c>
      <c r="T252" s="427">
        <f t="shared" si="14"/>
        <v>2.1440261252860262E-3</v>
      </c>
      <c r="U252" s="42"/>
      <c r="V252" s="416"/>
      <c r="W252" s="42"/>
      <c r="X252" s="74"/>
      <c r="Y252" s="74"/>
      <c r="Z252" s="74"/>
      <c r="AA252" s="74"/>
      <c r="AB252" s="74"/>
      <c r="AC252" s="42"/>
      <c r="AD252" s="42"/>
      <c r="AE252" s="42"/>
      <c r="AF252" s="42"/>
      <c r="AG252" s="42"/>
      <c r="AH252" s="42"/>
      <c r="AI252" s="75"/>
      <c r="AJ252" s="75"/>
      <c r="AK252" s="75"/>
      <c r="AL252" s="75"/>
      <c r="AM252" s="74"/>
      <c r="AN252" s="72"/>
    </row>
    <row r="253" spans="1:40" s="69" customFormat="1" x14ac:dyDescent="0.25">
      <c r="A253" s="88"/>
      <c r="B253" s="88"/>
      <c r="C253" s="70"/>
      <c r="D253" s="70"/>
      <c r="E253" s="70" t="s">
        <v>8657</v>
      </c>
      <c r="F253" s="70">
        <v>0</v>
      </c>
      <c r="G253" s="70" t="s">
        <v>8658</v>
      </c>
      <c r="H253" s="422" t="s">
        <v>8478</v>
      </c>
      <c r="I253" s="422" t="s">
        <v>8565</v>
      </c>
      <c r="J253" s="418" t="s">
        <v>8648</v>
      </c>
      <c r="K253" s="414">
        <v>1</v>
      </c>
      <c r="L253" s="408">
        <v>1243</v>
      </c>
      <c r="M253" s="408">
        <f t="shared" si="15"/>
        <v>1243</v>
      </c>
      <c r="N253" s="408"/>
      <c r="O253" s="408"/>
      <c r="P253" s="411">
        <v>1</v>
      </c>
      <c r="Q253" s="411">
        <v>1</v>
      </c>
      <c r="R253" s="411"/>
      <c r="S253" s="427">
        <f t="shared" si="13"/>
        <v>1.163766145733856E-2</v>
      </c>
      <c r="T253" s="427">
        <f t="shared" si="14"/>
        <v>1.163766145733856E-2</v>
      </c>
      <c r="U253" s="42"/>
      <c r="V253" s="416"/>
      <c r="W253" s="42"/>
      <c r="X253" s="74"/>
      <c r="Y253" s="74"/>
      <c r="Z253" s="74"/>
      <c r="AA253" s="74"/>
      <c r="AB253" s="74"/>
      <c r="AC253" s="42"/>
      <c r="AD253" s="42"/>
      <c r="AE253" s="42"/>
      <c r="AF253" s="42"/>
      <c r="AG253" s="42"/>
      <c r="AH253" s="42"/>
      <c r="AI253" s="75"/>
      <c r="AJ253" s="75"/>
      <c r="AK253" s="75"/>
      <c r="AL253" s="75"/>
      <c r="AM253" s="74"/>
      <c r="AN253" s="72"/>
    </row>
    <row r="254" spans="1:40" s="69" customFormat="1" x14ac:dyDescent="0.25">
      <c r="A254" s="88"/>
      <c r="B254" s="88"/>
      <c r="C254" s="70"/>
      <c r="D254" s="70"/>
      <c r="E254" s="70" t="s">
        <v>8657</v>
      </c>
      <c r="F254" s="70">
        <v>0</v>
      </c>
      <c r="G254" s="70" t="s">
        <v>8658</v>
      </c>
      <c r="H254" s="422" t="s">
        <v>8478</v>
      </c>
      <c r="I254" s="422" t="s">
        <v>8565</v>
      </c>
      <c r="J254" s="418" t="s">
        <v>8649</v>
      </c>
      <c r="K254" s="414">
        <v>2</v>
      </c>
      <c r="L254" s="408">
        <v>35</v>
      </c>
      <c r="M254" s="408">
        <f t="shared" si="15"/>
        <v>70</v>
      </c>
      <c r="N254" s="408"/>
      <c r="O254" s="408"/>
      <c r="P254" s="434">
        <v>1</v>
      </c>
      <c r="Q254" s="434">
        <v>1</v>
      </c>
      <c r="R254" s="411"/>
      <c r="S254" s="427">
        <f t="shared" si="13"/>
        <v>6.553791649345931E-4</v>
      </c>
      <c r="T254" s="427">
        <f t="shared" si="14"/>
        <v>6.553791649345931E-4</v>
      </c>
      <c r="U254" s="42"/>
      <c r="V254" s="416"/>
      <c r="W254" s="42"/>
      <c r="X254" s="74"/>
      <c r="Y254" s="74"/>
      <c r="Z254" s="74"/>
      <c r="AA254" s="74"/>
      <c r="AB254" s="74"/>
      <c r="AC254" s="42"/>
      <c r="AD254" s="42"/>
      <c r="AE254" s="42"/>
      <c r="AF254" s="42"/>
      <c r="AG254" s="42"/>
      <c r="AH254" s="42"/>
      <c r="AI254" s="75"/>
      <c r="AJ254" s="75"/>
      <c r="AK254" s="75"/>
      <c r="AL254" s="75"/>
      <c r="AM254" s="74"/>
      <c r="AN254" s="72"/>
    </row>
    <row r="255" spans="1:40" s="69" customFormat="1" x14ac:dyDescent="0.25">
      <c r="A255" s="88"/>
      <c r="B255" s="88"/>
      <c r="C255" s="70"/>
      <c r="D255" s="70"/>
      <c r="E255" s="70" t="s">
        <v>8657</v>
      </c>
      <c r="F255" s="70">
        <v>0</v>
      </c>
      <c r="G255" s="70" t="s">
        <v>8658</v>
      </c>
      <c r="H255" s="422" t="s">
        <v>8478</v>
      </c>
      <c r="I255" s="422" t="s">
        <v>8565</v>
      </c>
      <c r="J255" s="418" t="s">
        <v>8650</v>
      </c>
      <c r="K255" s="414">
        <v>2</v>
      </c>
      <c r="L255" s="408">
        <v>34</v>
      </c>
      <c r="M255" s="408">
        <f t="shared" si="15"/>
        <v>68</v>
      </c>
      <c r="N255" s="408"/>
      <c r="O255" s="408"/>
      <c r="P255" s="434">
        <v>1</v>
      </c>
      <c r="Q255" s="434">
        <v>1</v>
      </c>
      <c r="R255" s="411"/>
      <c r="S255" s="427">
        <f t="shared" si="13"/>
        <v>6.3665404593646184E-4</v>
      </c>
      <c r="T255" s="427">
        <f t="shared" si="14"/>
        <v>6.3665404593646184E-4</v>
      </c>
      <c r="U255" s="42"/>
      <c r="V255" s="416"/>
      <c r="W255" s="42"/>
      <c r="X255" s="74"/>
      <c r="Y255" s="74"/>
      <c r="Z255" s="74"/>
      <c r="AA255" s="74"/>
      <c r="AB255" s="74"/>
      <c r="AC255" s="42"/>
      <c r="AD255" s="42"/>
      <c r="AE255" s="42"/>
      <c r="AF255" s="42"/>
      <c r="AG255" s="42"/>
      <c r="AH255" s="42"/>
      <c r="AI255" s="75"/>
      <c r="AJ255" s="75"/>
      <c r="AK255" s="75"/>
      <c r="AL255" s="75"/>
      <c r="AM255" s="74"/>
      <c r="AN255" s="72"/>
    </row>
    <row r="256" spans="1:40" s="69" customFormat="1" x14ac:dyDescent="0.25">
      <c r="A256" s="88"/>
      <c r="B256" s="88"/>
      <c r="C256" s="70"/>
      <c r="D256" s="70"/>
      <c r="E256" s="70" t="s">
        <v>8657</v>
      </c>
      <c r="F256" s="70">
        <v>0</v>
      </c>
      <c r="G256" s="70" t="s">
        <v>8658</v>
      </c>
      <c r="H256" s="422" t="s">
        <v>8478</v>
      </c>
      <c r="I256" s="422" t="s">
        <v>8565</v>
      </c>
      <c r="J256" s="418" t="s">
        <v>8651</v>
      </c>
      <c r="K256" s="414">
        <v>3</v>
      </c>
      <c r="L256" s="408">
        <v>33</v>
      </c>
      <c r="M256" s="408">
        <f t="shared" si="15"/>
        <v>99</v>
      </c>
      <c r="N256" s="408"/>
      <c r="O256" s="408"/>
      <c r="P256" s="434">
        <v>1</v>
      </c>
      <c r="Q256" s="434">
        <v>1</v>
      </c>
      <c r="R256" s="411"/>
      <c r="S256" s="427">
        <f t="shared" si="13"/>
        <v>9.2689339040749597E-4</v>
      </c>
      <c r="T256" s="427">
        <f t="shared" si="14"/>
        <v>9.2689339040749597E-4</v>
      </c>
      <c r="U256" s="42"/>
      <c r="V256" s="416"/>
      <c r="W256" s="42"/>
      <c r="X256" s="74"/>
      <c r="Y256" s="74"/>
      <c r="Z256" s="74"/>
      <c r="AA256" s="74"/>
      <c r="AB256" s="74"/>
      <c r="AC256" s="42"/>
      <c r="AD256" s="42"/>
      <c r="AE256" s="42"/>
      <c r="AF256" s="42"/>
      <c r="AG256" s="42"/>
      <c r="AH256" s="42"/>
      <c r="AI256" s="75"/>
      <c r="AJ256" s="75"/>
      <c r="AK256" s="75"/>
      <c r="AL256" s="75"/>
      <c r="AM256" s="74"/>
      <c r="AN256" s="72"/>
    </row>
    <row r="257" spans="1:40" s="69" customFormat="1" x14ac:dyDescent="0.25">
      <c r="A257" s="88"/>
      <c r="B257" s="88"/>
      <c r="C257" s="70"/>
      <c r="D257" s="70"/>
      <c r="E257" s="70" t="s">
        <v>8657</v>
      </c>
      <c r="F257" s="70">
        <v>0</v>
      </c>
      <c r="G257" s="70" t="s">
        <v>8658</v>
      </c>
      <c r="H257" s="422" t="s">
        <v>8478</v>
      </c>
      <c r="I257" s="422" t="s">
        <v>8565</v>
      </c>
      <c r="J257" s="418" t="s">
        <v>8652</v>
      </c>
      <c r="K257" s="414">
        <v>10</v>
      </c>
      <c r="L257" s="408">
        <v>7</v>
      </c>
      <c r="M257" s="408">
        <f t="shared" si="15"/>
        <v>70</v>
      </c>
      <c r="N257" s="408"/>
      <c r="O257" s="408"/>
      <c r="P257" s="434">
        <v>1</v>
      </c>
      <c r="Q257" s="434">
        <v>1</v>
      </c>
      <c r="R257" s="411"/>
      <c r="S257" s="427">
        <f t="shared" si="13"/>
        <v>6.553791649345931E-4</v>
      </c>
      <c r="T257" s="427">
        <f t="shared" si="14"/>
        <v>6.553791649345931E-4</v>
      </c>
      <c r="U257" s="42"/>
      <c r="V257" s="416"/>
      <c r="W257" s="42"/>
      <c r="X257" s="74"/>
      <c r="Y257" s="74"/>
      <c r="Z257" s="74"/>
      <c r="AA257" s="74"/>
      <c r="AB257" s="74"/>
      <c r="AC257" s="42"/>
      <c r="AD257" s="42"/>
      <c r="AE257" s="42"/>
      <c r="AF257" s="42"/>
      <c r="AG257" s="42"/>
      <c r="AH257" s="42"/>
      <c r="AI257" s="75"/>
      <c r="AJ257" s="75"/>
      <c r="AK257" s="75"/>
      <c r="AL257" s="75"/>
      <c r="AM257" s="74"/>
      <c r="AN257" s="72"/>
    </row>
    <row r="258" spans="1:40" s="69" customFormat="1" x14ac:dyDescent="0.25">
      <c r="A258" s="88"/>
      <c r="B258" s="88"/>
      <c r="C258" s="70"/>
      <c r="D258" s="70"/>
      <c r="E258" s="70" t="s">
        <v>8657</v>
      </c>
      <c r="F258" s="70">
        <v>0</v>
      </c>
      <c r="G258" s="70" t="s">
        <v>8658</v>
      </c>
      <c r="H258" s="422" t="s">
        <v>8478</v>
      </c>
      <c r="I258" s="422" t="s">
        <v>8565</v>
      </c>
      <c r="J258" s="418" t="s">
        <v>8653</v>
      </c>
      <c r="K258" s="414">
        <v>15</v>
      </c>
      <c r="L258" s="408">
        <v>9</v>
      </c>
      <c r="M258" s="408">
        <f t="shared" si="15"/>
        <v>135</v>
      </c>
      <c r="N258" s="408"/>
      <c r="O258" s="408"/>
      <c r="P258" s="434">
        <v>1</v>
      </c>
      <c r="Q258" s="434">
        <v>1</v>
      </c>
      <c r="R258" s="411"/>
      <c r="S258" s="427">
        <f t="shared" si="13"/>
        <v>1.2639455323738581E-3</v>
      </c>
      <c r="T258" s="427">
        <f t="shared" si="14"/>
        <v>1.2639455323738581E-3</v>
      </c>
      <c r="U258" s="42"/>
      <c r="V258" s="416"/>
      <c r="W258" s="42"/>
      <c r="X258" s="74"/>
      <c r="Y258" s="74"/>
      <c r="Z258" s="74"/>
      <c r="AA258" s="74"/>
      <c r="AB258" s="74"/>
      <c r="AC258" s="42"/>
      <c r="AD258" s="42"/>
      <c r="AE258" s="42"/>
      <c r="AF258" s="42"/>
      <c r="AG258" s="42"/>
      <c r="AH258" s="42"/>
      <c r="AI258" s="75"/>
      <c r="AJ258" s="75"/>
      <c r="AK258" s="75"/>
      <c r="AL258" s="75"/>
      <c r="AM258" s="74"/>
      <c r="AN258" s="72"/>
    </row>
    <row r="259" spans="1:40" s="69" customFormat="1" x14ac:dyDescent="0.25">
      <c r="A259" s="88"/>
      <c r="B259" s="88"/>
      <c r="C259" s="70"/>
      <c r="D259" s="70"/>
      <c r="E259" s="70" t="s">
        <v>8657</v>
      </c>
      <c r="F259" s="70">
        <v>0</v>
      </c>
      <c r="G259" s="70" t="s">
        <v>8658</v>
      </c>
      <c r="H259" s="422" t="s">
        <v>8478</v>
      </c>
      <c r="I259" s="422" t="s">
        <v>8565</v>
      </c>
      <c r="J259" s="418" t="s">
        <v>8654</v>
      </c>
      <c r="K259" s="414">
        <v>1</v>
      </c>
      <c r="L259" s="408">
        <v>22</v>
      </c>
      <c r="M259" s="408">
        <f t="shared" si="15"/>
        <v>22</v>
      </c>
      <c r="N259" s="408"/>
      <c r="O259" s="408"/>
      <c r="P259" s="434">
        <v>1</v>
      </c>
      <c r="Q259" s="434">
        <v>1</v>
      </c>
      <c r="R259" s="411"/>
      <c r="S259" s="427">
        <f t="shared" si="13"/>
        <v>2.0597630897944356E-4</v>
      </c>
      <c r="T259" s="427">
        <f t="shared" si="14"/>
        <v>2.0597630897944356E-4</v>
      </c>
      <c r="U259" s="42"/>
      <c r="V259" s="416"/>
      <c r="W259" s="42"/>
      <c r="X259" s="74"/>
      <c r="Y259" s="74"/>
      <c r="Z259" s="74"/>
      <c r="AA259" s="74"/>
      <c r="AB259" s="74"/>
      <c r="AC259" s="42"/>
      <c r="AD259" s="42"/>
      <c r="AE259" s="42"/>
      <c r="AF259" s="42"/>
      <c r="AG259" s="42"/>
      <c r="AH259" s="42"/>
      <c r="AI259" s="75"/>
      <c r="AJ259" s="75"/>
      <c r="AK259" s="75"/>
      <c r="AL259" s="75"/>
      <c r="AM259" s="74"/>
      <c r="AN259" s="72"/>
    </row>
    <row r="260" spans="1:40" s="69" customFormat="1" x14ac:dyDescent="0.25">
      <c r="A260" s="88"/>
      <c r="B260" s="88"/>
      <c r="C260" s="70"/>
      <c r="D260" s="70"/>
      <c r="E260" s="70" t="s">
        <v>8657</v>
      </c>
      <c r="F260" s="70">
        <v>0</v>
      </c>
      <c r="G260" s="70" t="s">
        <v>8658</v>
      </c>
      <c r="H260" s="422" t="s">
        <v>8478</v>
      </c>
      <c r="I260" s="422" t="s">
        <v>8565</v>
      </c>
      <c r="J260" s="418" t="s">
        <v>8655</v>
      </c>
      <c r="K260" s="414">
        <v>2</v>
      </c>
      <c r="L260" s="408">
        <v>5</v>
      </c>
      <c r="M260" s="408">
        <f t="shared" si="15"/>
        <v>10</v>
      </c>
      <c r="N260" s="408"/>
      <c r="O260" s="408"/>
      <c r="P260" s="434">
        <v>1</v>
      </c>
      <c r="Q260" s="434">
        <v>1</v>
      </c>
      <c r="R260" s="411"/>
      <c r="S260" s="427">
        <f t="shared" si="13"/>
        <v>9.3625594990656163E-5</v>
      </c>
      <c r="T260" s="427">
        <f t="shared" si="14"/>
        <v>9.3625594990656163E-5</v>
      </c>
      <c r="U260" s="42"/>
      <c r="V260" s="416"/>
      <c r="W260" s="42"/>
      <c r="X260" s="74"/>
      <c r="Y260" s="74"/>
      <c r="Z260" s="74"/>
      <c r="AA260" s="74"/>
      <c r="AB260" s="74"/>
      <c r="AC260" s="42"/>
      <c r="AD260" s="42"/>
      <c r="AE260" s="42"/>
      <c r="AF260" s="42"/>
      <c r="AG260" s="42"/>
      <c r="AH260" s="42"/>
      <c r="AI260" s="75"/>
      <c r="AJ260" s="75"/>
      <c r="AK260" s="75"/>
      <c r="AL260" s="75"/>
      <c r="AM260" s="74"/>
      <c r="AN260" s="72"/>
    </row>
    <row r="261" spans="1:40" s="69" customFormat="1" x14ac:dyDescent="0.25">
      <c r="A261" s="88"/>
      <c r="B261" s="88"/>
      <c r="C261" s="70"/>
      <c r="D261" s="70"/>
      <c r="E261" s="70" t="s">
        <v>8657</v>
      </c>
      <c r="F261" s="70">
        <v>0</v>
      </c>
      <c r="G261" s="70" t="s">
        <v>8658</v>
      </c>
      <c r="H261" s="422" t="s">
        <v>8478</v>
      </c>
      <c r="I261" s="422" t="s">
        <v>8565</v>
      </c>
      <c r="J261" s="418" t="s">
        <v>8656</v>
      </c>
      <c r="K261" s="414">
        <v>1</v>
      </c>
      <c r="L261" s="408">
        <v>3</v>
      </c>
      <c r="M261" s="408">
        <f t="shared" si="15"/>
        <v>3</v>
      </c>
      <c r="N261" s="408"/>
      <c r="O261" s="408"/>
      <c r="P261" s="434">
        <v>1</v>
      </c>
      <c r="Q261" s="434">
        <v>1</v>
      </c>
      <c r="R261" s="411"/>
      <c r="S261" s="427">
        <f t="shared" si="13"/>
        <v>2.8087678497196846E-5</v>
      </c>
      <c r="T261" s="427">
        <f t="shared" si="14"/>
        <v>2.8087678497196846E-5</v>
      </c>
      <c r="U261" s="42"/>
      <c r="V261" s="416"/>
      <c r="W261" s="42"/>
      <c r="X261" s="74"/>
      <c r="Y261" s="74"/>
      <c r="Z261" s="74"/>
      <c r="AA261" s="74"/>
      <c r="AB261" s="74"/>
      <c r="AC261" s="42"/>
      <c r="AD261" s="42"/>
      <c r="AE261" s="42"/>
      <c r="AF261" s="42"/>
      <c r="AG261" s="42"/>
      <c r="AH261" s="42"/>
      <c r="AI261" s="75"/>
      <c r="AJ261" s="75"/>
      <c r="AK261" s="75"/>
      <c r="AL261" s="75"/>
      <c r="AM261" s="74"/>
      <c r="AN261" s="72"/>
    </row>
    <row r="262" spans="1:40" s="69" customFormat="1" x14ac:dyDescent="0.25">
      <c r="A262" s="88"/>
      <c r="B262" s="88"/>
      <c r="C262" s="70"/>
      <c r="D262" s="70"/>
      <c r="E262" s="70"/>
      <c r="F262" s="70"/>
      <c r="G262" s="70"/>
      <c r="H262" s="422"/>
      <c r="I262" s="422"/>
      <c r="J262" s="418"/>
      <c r="K262" s="414"/>
      <c r="L262" s="409"/>
      <c r="M262" s="408"/>
      <c r="N262" s="408"/>
      <c r="O262" s="408"/>
      <c r="P262" s="411"/>
      <c r="Q262" s="411"/>
      <c r="R262" s="411"/>
      <c r="S262" s="411"/>
      <c r="T262" s="411"/>
      <c r="U262" s="42"/>
      <c r="V262" s="416"/>
      <c r="W262" s="42"/>
      <c r="X262" s="74"/>
      <c r="Y262" s="74"/>
      <c r="Z262" s="74"/>
      <c r="AA262" s="74"/>
      <c r="AB262" s="74"/>
      <c r="AC262" s="42"/>
      <c r="AD262" s="42"/>
      <c r="AE262" s="42"/>
      <c r="AF262" s="42"/>
      <c r="AG262" s="42"/>
      <c r="AH262" s="42"/>
      <c r="AI262" s="75"/>
      <c r="AJ262" s="75"/>
      <c r="AK262" s="75"/>
      <c r="AL262" s="75"/>
      <c r="AM262" s="74"/>
      <c r="AN262" s="72"/>
    </row>
    <row r="263" spans="1:40" s="69" customFormat="1" x14ac:dyDescent="0.25">
      <c r="A263" s="88"/>
      <c r="B263" s="88"/>
      <c r="C263" s="70"/>
      <c r="D263" s="70"/>
      <c r="E263" s="70"/>
      <c r="F263" s="70"/>
      <c r="G263" s="70"/>
      <c r="H263" s="422"/>
      <c r="I263" s="422"/>
      <c r="J263" s="418"/>
      <c r="K263" s="414"/>
      <c r="L263" s="409"/>
      <c r="M263" s="408"/>
      <c r="N263" s="408"/>
      <c r="O263" s="408"/>
      <c r="P263" s="411"/>
      <c r="Q263" s="411"/>
      <c r="R263" s="411"/>
      <c r="S263" s="411"/>
      <c r="T263" s="411"/>
      <c r="U263" s="42"/>
      <c r="V263" s="416"/>
      <c r="W263" s="42"/>
      <c r="X263" s="74"/>
      <c r="Y263" s="74"/>
      <c r="Z263" s="74"/>
      <c r="AA263" s="74"/>
      <c r="AB263" s="74"/>
      <c r="AC263" s="42"/>
      <c r="AD263" s="42"/>
      <c r="AE263" s="42"/>
      <c r="AF263" s="42"/>
      <c r="AG263" s="42"/>
      <c r="AH263" s="42"/>
      <c r="AI263" s="75"/>
      <c r="AJ263" s="75"/>
      <c r="AK263" s="75"/>
      <c r="AL263" s="75"/>
      <c r="AM263" s="74"/>
      <c r="AN263" s="72"/>
    </row>
    <row r="264" spans="1:40" s="69" customFormat="1" x14ac:dyDescent="0.25">
      <c r="A264" s="88"/>
      <c r="B264" s="88"/>
      <c r="C264" s="70"/>
      <c r="D264" s="70"/>
      <c r="E264" s="70"/>
      <c r="F264" s="70"/>
      <c r="G264" s="70"/>
      <c r="H264" s="422"/>
      <c r="I264" s="422"/>
      <c r="J264" s="418"/>
      <c r="K264" s="414"/>
      <c r="L264" s="409"/>
      <c r="M264" s="408"/>
      <c r="N264" s="408"/>
      <c r="O264" s="408"/>
      <c r="P264" s="411"/>
      <c r="Q264" s="411"/>
      <c r="R264" s="411"/>
      <c r="S264" s="411"/>
      <c r="T264" s="411"/>
      <c r="U264" s="42"/>
      <c r="V264" s="416"/>
      <c r="W264" s="42"/>
      <c r="X264" s="74"/>
      <c r="Y264" s="74"/>
      <c r="Z264" s="74"/>
      <c r="AA264" s="74"/>
      <c r="AB264" s="74"/>
      <c r="AC264" s="42"/>
      <c r="AD264" s="42"/>
      <c r="AE264" s="42"/>
      <c r="AF264" s="42"/>
      <c r="AG264" s="42"/>
      <c r="AH264" s="42"/>
      <c r="AI264" s="75"/>
      <c r="AJ264" s="75"/>
      <c r="AK264" s="75"/>
      <c r="AL264" s="75"/>
      <c r="AM264" s="74"/>
      <c r="AN264" s="72"/>
    </row>
    <row r="265" spans="1:40" s="69" customFormat="1" x14ac:dyDescent="0.25">
      <c r="A265" s="88"/>
      <c r="B265" s="88"/>
      <c r="C265" s="70"/>
      <c r="D265" s="70"/>
      <c r="E265" s="70"/>
      <c r="F265" s="70"/>
      <c r="G265" s="70"/>
      <c r="H265" s="422"/>
      <c r="I265" s="422"/>
      <c r="J265" s="418"/>
      <c r="K265" s="414"/>
      <c r="L265" s="409"/>
      <c r="M265" s="408"/>
      <c r="N265" s="408"/>
      <c r="O265" s="408"/>
      <c r="P265" s="411"/>
      <c r="Q265" s="411"/>
      <c r="R265" s="411"/>
      <c r="S265" s="411"/>
      <c r="T265" s="411"/>
      <c r="U265" s="42"/>
      <c r="V265" s="416"/>
      <c r="W265" s="42"/>
      <c r="X265" s="74"/>
      <c r="Y265" s="74"/>
      <c r="Z265" s="74"/>
      <c r="AA265" s="74"/>
      <c r="AB265" s="74"/>
      <c r="AC265" s="42"/>
      <c r="AD265" s="42"/>
      <c r="AE265" s="42"/>
      <c r="AF265" s="42"/>
      <c r="AG265" s="42"/>
      <c r="AH265" s="42"/>
      <c r="AI265" s="75"/>
      <c r="AJ265" s="75"/>
      <c r="AK265" s="75"/>
      <c r="AL265" s="75"/>
      <c r="AM265" s="74"/>
      <c r="AN265" s="72"/>
    </row>
    <row r="266" spans="1:40" s="69" customFormat="1" x14ac:dyDescent="0.25">
      <c r="A266" s="88"/>
      <c r="B266" s="88"/>
      <c r="C266" s="70"/>
      <c r="D266" s="70"/>
      <c r="E266" s="70"/>
      <c r="F266" s="70"/>
      <c r="G266" s="70"/>
      <c r="H266" s="422"/>
      <c r="I266" s="422"/>
      <c r="J266" s="418"/>
      <c r="K266" s="414"/>
      <c r="L266" s="409"/>
      <c r="M266" s="408"/>
      <c r="N266" s="408"/>
      <c r="O266" s="408"/>
      <c r="P266" s="411"/>
      <c r="Q266" s="411"/>
      <c r="R266" s="411"/>
      <c r="S266" s="411"/>
      <c r="T266" s="411"/>
      <c r="U266" s="42"/>
      <c r="V266" s="416"/>
      <c r="W266" s="42"/>
      <c r="X266" s="74"/>
      <c r="Y266" s="74"/>
      <c r="Z266" s="74"/>
      <c r="AA266" s="74"/>
      <c r="AB266" s="74"/>
      <c r="AC266" s="42"/>
      <c r="AD266" s="42"/>
      <c r="AE266" s="42"/>
      <c r="AF266" s="42"/>
      <c r="AG266" s="42"/>
      <c r="AH266" s="42"/>
      <c r="AI266" s="75"/>
      <c r="AJ266" s="75"/>
      <c r="AK266" s="75"/>
      <c r="AL266" s="75"/>
      <c r="AM266" s="74"/>
      <c r="AN266" s="72"/>
    </row>
    <row r="267" spans="1:40" s="69" customFormat="1" x14ac:dyDescent="0.25">
      <c r="A267" s="88"/>
      <c r="B267" s="88"/>
      <c r="C267" s="70"/>
      <c r="D267" s="70"/>
      <c r="E267" s="70"/>
      <c r="F267" s="70"/>
      <c r="G267" s="70"/>
      <c r="H267" s="422"/>
      <c r="I267" s="422"/>
      <c r="J267" s="418"/>
      <c r="K267" s="414"/>
      <c r="L267" s="409"/>
      <c r="M267" s="408"/>
      <c r="N267" s="408"/>
      <c r="O267" s="408"/>
      <c r="P267" s="411"/>
      <c r="Q267" s="411"/>
      <c r="R267" s="411"/>
      <c r="S267" s="411"/>
      <c r="T267" s="411"/>
      <c r="U267" s="42"/>
      <c r="V267" s="416"/>
      <c r="W267" s="42"/>
      <c r="X267" s="74"/>
      <c r="Y267" s="74"/>
      <c r="Z267" s="74"/>
      <c r="AA267" s="74"/>
      <c r="AB267" s="74"/>
      <c r="AC267" s="42"/>
      <c r="AD267" s="42"/>
      <c r="AE267" s="42"/>
      <c r="AF267" s="42"/>
      <c r="AG267" s="42"/>
      <c r="AH267" s="42"/>
      <c r="AI267" s="75"/>
      <c r="AJ267" s="75"/>
      <c r="AK267" s="75"/>
      <c r="AL267" s="75"/>
      <c r="AM267" s="74"/>
      <c r="AN267" s="72"/>
    </row>
    <row r="268" spans="1:40" s="69" customFormat="1" x14ac:dyDescent="0.25">
      <c r="A268" s="88"/>
      <c r="B268" s="88"/>
      <c r="C268" s="70"/>
      <c r="D268" s="70"/>
      <c r="E268" s="70"/>
      <c r="F268" s="70"/>
      <c r="G268" s="70"/>
      <c r="H268" s="422"/>
      <c r="I268" s="422"/>
      <c r="J268" s="418"/>
      <c r="K268" s="414"/>
      <c r="L268" s="409"/>
      <c r="M268" s="408"/>
      <c r="N268" s="408"/>
      <c r="O268" s="408"/>
      <c r="P268" s="411"/>
      <c r="Q268" s="411"/>
      <c r="R268" s="411"/>
      <c r="S268" s="411"/>
      <c r="T268" s="411"/>
      <c r="U268" s="42"/>
      <c r="V268" s="416"/>
      <c r="W268" s="42"/>
      <c r="X268" s="74"/>
      <c r="Y268" s="74"/>
      <c r="Z268" s="74"/>
      <c r="AA268" s="74"/>
      <c r="AB268" s="74"/>
      <c r="AC268" s="42"/>
      <c r="AD268" s="42"/>
      <c r="AE268" s="42"/>
      <c r="AF268" s="42"/>
      <c r="AG268" s="42"/>
      <c r="AH268" s="42"/>
      <c r="AI268" s="75"/>
      <c r="AJ268" s="75"/>
      <c r="AK268" s="75"/>
      <c r="AL268" s="75"/>
      <c r="AM268" s="74"/>
      <c r="AN268" s="72"/>
    </row>
    <row r="269" spans="1:40" s="69" customFormat="1" x14ac:dyDescent="0.25">
      <c r="A269" s="88"/>
      <c r="B269" s="88"/>
      <c r="C269" s="70"/>
      <c r="D269" s="70"/>
      <c r="E269" s="70"/>
      <c r="F269" s="70"/>
      <c r="G269" s="70"/>
      <c r="H269" s="422"/>
      <c r="I269" s="422"/>
      <c r="J269" s="418"/>
      <c r="K269" s="414"/>
      <c r="L269" s="409"/>
      <c r="M269" s="408"/>
      <c r="N269" s="408"/>
      <c r="O269" s="408"/>
      <c r="P269" s="411"/>
      <c r="Q269" s="411"/>
      <c r="R269" s="411"/>
      <c r="S269" s="411"/>
      <c r="T269" s="411"/>
      <c r="U269" s="42"/>
      <c r="V269" s="416"/>
      <c r="W269" s="42"/>
      <c r="X269" s="74"/>
      <c r="Y269" s="74"/>
      <c r="Z269" s="74"/>
      <c r="AA269" s="74"/>
      <c r="AB269" s="74"/>
      <c r="AC269" s="42"/>
      <c r="AD269" s="42"/>
      <c r="AE269" s="42"/>
      <c r="AF269" s="42"/>
      <c r="AG269" s="42"/>
      <c r="AH269" s="42"/>
      <c r="AI269" s="75"/>
      <c r="AJ269" s="75"/>
      <c r="AK269" s="75"/>
      <c r="AL269" s="75"/>
      <c r="AM269" s="74"/>
      <c r="AN269" s="72"/>
    </row>
    <row r="270" spans="1:40" s="69" customFormat="1" x14ac:dyDescent="0.25">
      <c r="A270" s="88"/>
      <c r="B270" s="88"/>
      <c r="C270" s="70"/>
      <c r="D270" s="70"/>
      <c r="E270" s="70"/>
      <c r="F270" s="70"/>
      <c r="G270" s="70"/>
      <c r="H270" s="422"/>
      <c r="I270" s="422"/>
      <c r="J270" s="418"/>
      <c r="K270" s="414"/>
      <c r="L270" s="409"/>
      <c r="M270" s="408"/>
      <c r="N270" s="408"/>
      <c r="O270" s="408"/>
      <c r="P270" s="411"/>
      <c r="Q270" s="411"/>
      <c r="R270" s="411"/>
      <c r="S270" s="411"/>
      <c r="T270" s="411"/>
      <c r="U270" s="42"/>
      <c r="V270" s="416"/>
      <c r="W270" s="42"/>
      <c r="X270" s="74"/>
      <c r="Y270" s="74"/>
      <c r="Z270" s="74"/>
      <c r="AA270" s="74"/>
      <c r="AB270" s="74"/>
      <c r="AC270" s="42"/>
      <c r="AD270" s="42"/>
      <c r="AE270" s="42"/>
      <c r="AF270" s="42"/>
      <c r="AG270" s="42"/>
      <c r="AH270" s="42"/>
      <c r="AI270" s="75"/>
      <c r="AJ270" s="75"/>
      <c r="AK270" s="75"/>
      <c r="AL270" s="75"/>
      <c r="AM270" s="74"/>
      <c r="AN270" s="72"/>
    </row>
    <row r="271" spans="1:40" s="69" customFormat="1" x14ac:dyDescent="0.25">
      <c r="A271" s="88"/>
      <c r="B271" s="88"/>
      <c r="C271" s="70"/>
      <c r="D271" s="70"/>
      <c r="E271" s="70"/>
      <c r="F271" s="70"/>
      <c r="G271" s="70"/>
      <c r="H271" s="422"/>
      <c r="I271" s="422"/>
      <c r="J271" s="418"/>
      <c r="K271" s="414"/>
      <c r="L271" s="409"/>
      <c r="M271" s="408"/>
      <c r="N271" s="408"/>
      <c r="O271" s="408"/>
      <c r="P271" s="411"/>
      <c r="Q271" s="411"/>
      <c r="R271" s="411"/>
      <c r="S271" s="411"/>
      <c r="T271" s="411"/>
      <c r="U271" s="42"/>
      <c r="V271" s="416"/>
      <c r="W271" s="42"/>
      <c r="X271" s="74"/>
      <c r="Y271" s="74"/>
      <c r="Z271" s="74"/>
      <c r="AA271" s="74"/>
      <c r="AB271" s="74"/>
      <c r="AC271" s="42"/>
      <c r="AD271" s="42"/>
      <c r="AE271" s="42"/>
      <c r="AF271" s="42"/>
      <c r="AG271" s="42"/>
      <c r="AH271" s="42"/>
      <c r="AI271" s="75"/>
      <c r="AJ271" s="75"/>
      <c r="AK271" s="75"/>
      <c r="AL271" s="75"/>
      <c r="AM271" s="74"/>
      <c r="AN271" s="72"/>
    </row>
    <row r="272" spans="1:40" s="69" customFormat="1" x14ac:dyDescent="0.25">
      <c r="A272" s="88"/>
      <c r="B272" s="88"/>
      <c r="C272" s="70"/>
      <c r="D272" s="70"/>
      <c r="E272" s="70"/>
      <c r="F272" s="70"/>
      <c r="G272" s="70"/>
      <c r="H272" s="422"/>
      <c r="I272" s="422"/>
      <c r="J272" s="418"/>
      <c r="K272" s="414"/>
      <c r="L272" s="409"/>
      <c r="M272" s="408"/>
      <c r="N272" s="408"/>
      <c r="O272" s="408"/>
      <c r="P272" s="411"/>
      <c r="Q272" s="411"/>
      <c r="R272" s="411"/>
      <c r="S272" s="411"/>
      <c r="T272" s="411"/>
      <c r="U272" s="42"/>
      <c r="V272" s="416"/>
      <c r="W272" s="42"/>
      <c r="X272" s="74"/>
      <c r="Y272" s="74"/>
      <c r="Z272" s="74"/>
      <c r="AA272" s="74"/>
      <c r="AB272" s="74"/>
      <c r="AC272" s="42"/>
      <c r="AD272" s="42"/>
      <c r="AE272" s="42"/>
      <c r="AF272" s="42"/>
      <c r="AG272" s="42"/>
      <c r="AH272" s="42"/>
      <c r="AI272" s="75"/>
      <c r="AJ272" s="75"/>
      <c r="AK272" s="75"/>
      <c r="AL272" s="75"/>
      <c r="AM272" s="74"/>
      <c r="AN272" s="72"/>
    </row>
    <row r="273" spans="1:40" s="69" customFormat="1" x14ac:dyDescent="0.25">
      <c r="A273" s="88"/>
      <c r="B273" s="88"/>
      <c r="C273" s="70"/>
      <c r="D273" s="70"/>
      <c r="E273" s="70"/>
      <c r="F273" s="70"/>
      <c r="G273" s="70"/>
      <c r="H273" s="422"/>
      <c r="I273" s="422"/>
      <c r="J273" s="418"/>
      <c r="K273" s="414"/>
      <c r="L273" s="409"/>
      <c r="M273" s="408"/>
      <c r="N273" s="408"/>
      <c r="O273" s="408"/>
      <c r="P273" s="411"/>
      <c r="Q273" s="411"/>
      <c r="R273" s="411"/>
      <c r="S273" s="411"/>
      <c r="T273" s="411"/>
      <c r="U273" s="42"/>
      <c r="V273" s="416"/>
      <c r="W273" s="42"/>
      <c r="X273" s="74"/>
      <c r="Y273" s="74"/>
      <c r="Z273" s="74"/>
      <c r="AA273" s="74"/>
      <c r="AB273" s="74"/>
      <c r="AC273" s="42"/>
      <c r="AD273" s="42"/>
      <c r="AE273" s="42"/>
      <c r="AF273" s="42"/>
      <c r="AG273" s="42"/>
      <c r="AH273" s="42"/>
      <c r="AI273" s="75"/>
      <c r="AJ273" s="75"/>
      <c r="AK273" s="75"/>
      <c r="AL273" s="75"/>
      <c r="AM273" s="74"/>
      <c r="AN273" s="72"/>
    </row>
    <row r="274" spans="1:40" s="69" customFormat="1" x14ac:dyDescent="0.25">
      <c r="A274" s="88"/>
      <c r="B274" s="88"/>
      <c r="C274" s="70"/>
      <c r="D274" s="70"/>
      <c r="E274" s="70"/>
      <c r="F274" s="70"/>
      <c r="G274" s="70"/>
      <c r="H274" s="422"/>
      <c r="I274" s="422"/>
      <c r="J274" s="418"/>
      <c r="K274" s="414"/>
      <c r="L274" s="409"/>
      <c r="M274" s="408"/>
      <c r="N274" s="408"/>
      <c r="O274" s="408"/>
      <c r="P274" s="411"/>
      <c r="Q274" s="411"/>
      <c r="R274" s="411"/>
      <c r="S274" s="411"/>
      <c r="T274" s="411"/>
      <c r="U274" s="42"/>
      <c r="V274" s="416"/>
      <c r="W274" s="42"/>
      <c r="X274" s="74"/>
      <c r="Y274" s="74"/>
      <c r="Z274" s="74"/>
      <c r="AA274" s="74"/>
      <c r="AB274" s="74"/>
      <c r="AC274" s="42"/>
      <c r="AD274" s="42"/>
      <c r="AE274" s="42"/>
      <c r="AF274" s="42"/>
      <c r="AG274" s="42"/>
      <c r="AH274" s="42"/>
      <c r="AI274" s="75"/>
      <c r="AJ274" s="75"/>
      <c r="AK274" s="75"/>
      <c r="AL274" s="75"/>
      <c r="AM274" s="74"/>
      <c r="AN274" s="72"/>
    </row>
    <row r="275" spans="1:40" s="69" customFormat="1" x14ac:dyDescent="0.25">
      <c r="A275" s="88"/>
      <c r="B275" s="88"/>
      <c r="C275" s="70"/>
      <c r="D275" s="70"/>
      <c r="E275" s="70"/>
      <c r="F275" s="70"/>
      <c r="G275" s="70"/>
      <c r="H275" s="422"/>
      <c r="I275" s="422"/>
      <c r="J275" s="418"/>
      <c r="K275" s="414"/>
      <c r="L275" s="409"/>
      <c r="M275" s="408"/>
      <c r="N275" s="408"/>
      <c r="O275" s="408"/>
      <c r="P275" s="411"/>
      <c r="Q275" s="411"/>
      <c r="R275" s="411"/>
      <c r="S275" s="411"/>
      <c r="T275" s="411"/>
      <c r="U275" s="42"/>
      <c r="V275" s="416"/>
      <c r="W275" s="42"/>
      <c r="X275" s="74"/>
      <c r="Y275" s="74"/>
      <c r="Z275" s="74"/>
      <c r="AA275" s="74"/>
      <c r="AB275" s="74"/>
      <c r="AC275" s="42"/>
      <c r="AD275" s="42"/>
      <c r="AE275" s="42"/>
      <c r="AF275" s="42"/>
      <c r="AG275" s="42"/>
      <c r="AH275" s="42"/>
      <c r="AI275" s="75"/>
      <c r="AJ275" s="75"/>
      <c r="AK275" s="75"/>
      <c r="AL275" s="75"/>
      <c r="AM275" s="74"/>
      <c r="AN275" s="72"/>
    </row>
    <row r="276" spans="1:40" s="69" customFormat="1" x14ac:dyDescent="0.25">
      <c r="A276" s="88"/>
      <c r="B276" s="88"/>
      <c r="C276" s="70"/>
      <c r="D276" s="70"/>
      <c r="E276" s="70"/>
      <c r="F276" s="70"/>
      <c r="G276" s="70"/>
      <c r="H276" s="422"/>
      <c r="I276" s="422"/>
      <c r="J276" s="418"/>
      <c r="K276" s="414"/>
      <c r="L276" s="409"/>
      <c r="M276" s="408"/>
      <c r="N276" s="408"/>
      <c r="O276" s="408"/>
      <c r="P276" s="411"/>
      <c r="Q276" s="411"/>
      <c r="R276" s="411"/>
      <c r="S276" s="411"/>
      <c r="T276" s="411"/>
      <c r="U276" s="42"/>
      <c r="V276" s="416"/>
      <c r="W276" s="42"/>
      <c r="X276" s="74"/>
      <c r="Y276" s="74"/>
      <c r="Z276" s="74"/>
      <c r="AA276" s="74"/>
      <c r="AB276" s="74"/>
      <c r="AC276" s="42"/>
      <c r="AD276" s="42"/>
      <c r="AE276" s="42"/>
      <c r="AF276" s="42"/>
      <c r="AG276" s="42"/>
      <c r="AH276" s="42"/>
      <c r="AI276" s="75"/>
      <c r="AJ276" s="75"/>
      <c r="AK276" s="75"/>
      <c r="AL276" s="75"/>
      <c r="AM276" s="74"/>
      <c r="AN276" s="72"/>
    </row>
    <row r="277" spans="1:40" s="69" customFormat="1" x14ac:dyDescent="0.25">
      <c r="A277" s="88"/>
      <c r="B277" s="88"/>
      <c r="C277" s="70"/>
      <c r="D277" s="70"/>
      <c r="E277" s="70"/>
      <c r="F277" s="70"/>
      <c r="G277" s="70"/>
      <c r="H277" s="422"/>
      <c r="I277" s="422"/>
      <c r="J277" s="418"/>
      <c r="K277" s="414"/>
      <c r="L277" s="409"/>
      <c r="M277" s="408"/>
      <c r="N277" s="408"/>
      <c r="O277" s="408"/>
      <c r="P277" s="411"/>
      <c r="Q277" s="411"/>
      <c r="R277" s="411"/>
      <c r="S277" s="411"/>
      <c r="T277" s="411"/>
      <c r="U277" s="42"/>
      <c r="V277" s="416"/>
      <c r="W277" s="42"/>
      <c r="X277" s="74"/>
      <c r="Y277" s="74"/>
      <c r="Z277" s="74"/>
      <c r="AA277" s="74"/>
      <c r="AB277" s="74"/>
      <c r="AC277" s="42"/>
      <c r="AD277" s="42"/>
      <c r="AE277" s="42"/>
      <c r="AF277" s="42"/>
      <c r="AG277" s="42"/>
      <c r="AH277" s="42"/>
      <c r="AI277" s="75"/>
      <c r="AJ277" s="75"/>
      <c r="AK277" s="75"/>
      <c r="AL277" s="75"/>
      <c r="AM277" s="74"/>
      <c r="AN277" s="72"/>
    </row>
    <row r="278" spans="1:40" s="69" customFormat="1" x14ac:dyDescent="0.25">
      <c r="A278" s="88"/>
      <c r="B278" s="88"/>
      <c r="C278" s="70"/>
      <c r="D278" s="70"/>
      <c r="E278" s="70"/>
      <c r="F278" s="70"/>
      <c r="G278" s="70"/>
      <c r="H278" s="422"/>
      <c r="I278" s="422"/>
      <c r="J278" s="418"/>
      <c r="K278" s="414"/>
      <c r="L278" s="409"/>
      <c r="M278" s="408"/>
      <c r="N278" s="408"/>
      <c r="O278" s="408"/>
      <c r="P278" s="411"/>
      <c r="Q278" s="411"/>
      <c r="R278" s="411"/>
      <c r="S278" s="411"/>
      <c r="T278" s="411"/>
      <c r="U278" s="42"/>
      <c r="V278" s="416"/>
      <c r="W278" s="42"/>
      <c r="X278" s="74"/>
      <c r="Y278" s="74"/>
      <c r="Z278" s="74"/>
      <c r="AA278" s="74"/>
      <c r="AB278" s="74"/>
      <c r="AC278" s="42"/>
      <c r="AD278" s="42"/>
      <c r="AE278" s="42"/>
      <c r="AF278" s="42"/>
      <c r="AG278" s="42"/>
      <c r="AH278" s="42"/>
      <c r="AI278" s="75"/>
      <c r="AJ278" s="75"/>
      <c r="AK278" s="75"/>
      <c r="AL278" s="75"/>
      <c r="AM278" s="74"/>
      <c r="AN278" s="72"/>
    </row>
    <row r="279" spans="1:40" s="69" customFormat="1" x14ac:dyDescent="0.25">
      <c r="A279" s="88"/>
      <c r="B279" s="88"/>
      <c r="C279" s="70"/>
      <c r="D279" s="70"/>
      <c r="E279" s="70"/>
      <c r="F279" s="70"/>
      <c r="G279" s="70"/>
      <c r="H279" s="422"/>
      <c r="I279" s="422"/>
      <c r="J279" s="418"/>
      <c r="K279" s="414"/>
      <c r="L279" s="409"/>
      <c r="M279" s="408"/>
      <c r="N279" s="408"/>
      <c r="O279" s="408"/>
      <c r="P279" s="411"/>
      <c r="Q279" s="411"/>
      <c r="R279" s="411"/>
      <c r="S279" s="411"/>
      <c r="T279" s="411"/>
      <c r="U279" s="42"/>
      <c r="V279" s="416"/>
      <c r="W279" s="42"/>
      <c r="X279" s="74"/>
      <c r="Y279" s="74"/>
      <c r="Z279" s="74"/>
      <c r="AA279" s="74"/>
      <c r="AB279" s="74"/>
      <c r="AC279" s="42"/>
      <c r="AD279" s="42"/>
      <c r="AE279" s="42"/>
      <c r="AF279" s="42"/>
      <c r="AG279" s="42"/>
      <c r="AH279" s="42"/>
      <c r="AI279" s="75"/>
      <c r="AJ279" s="75"/>
      <c r="AK279" s="75"/>
      <c r="AL279" s="75"/>
      <c r="AM279" s="74"/>
      <c r="AN279" s="72"/>
    </row>
    <row r="280" spans="1:40" s="69" customFormat="1" x14ac:dyDescent="0.25">
      <c r="A280" s="88"/>
      <c r="B280" s="88"/>
      <c r="C280" s="70"/>
      <c r="D280" s="70"/>
      <c r="E280" s="70"/>
      <c r="F280" s="70"/>
      <c r="G280" s="70"/>
      <c r="H280" s="422"/>
      <c r="I280" s="422"/>
      <c r="J280" s="418"/>
      <c r="K280" s="414"/>
      <c r="L280" s="409"/>
      <c r="M280" s="408"/>
      <c r="N280" s="408"/>
      <c r="O280" s="408"/>
      <c r="P280" s="411"/>
      <c r="Q280" s="411"/>
      <c r="R280" s="411"/>
      <c r="S280" s="411"/>
      <c r="T280" s="411"/>
      <c r="U280" s="42"/>
      <c r="V280" s="416"/>
      <c r="W280" s="42"/>
      <c r="X280" s="74"/>
      <c r="Y280" s="74"/>
      <c r="Z280" s="74"/>
      <c r="AA280" s="74"/>
      <c r="AB280" s="74"/>
      <c r="AC280" s="42"/>
      <c r="AD280" s="42"/>
      <c r="AE280" s="42"/>
      <c r="AF280" s="42"/>
      <c r="AG280" s="42"/>
      <c r="AH280" s="42"/>
      <c r="AI280" s="75"/>
      <c r="AJ280" s="75"/>
      <c r="AK280" s="75"/>
      <c r="AL280" s="75"/>
      <c r="AM280" s="74"/>
      <c r="AN280" s="72"/>
    </row>
    <row r="281" spans="1:40" s="69" customFormat="1" x14ac:dyDescent="0.25">
      <c r="A281" s="88"/>
      <c r="B281" s="88"/>
      <c r="C281" s="70"/>
      <c r="D281" s="70"/>
      <c r="E281" s="70"/>
      <c r="F281" s="70"/>
      <c r="G281" s="70"/>
      <c r="H281" s="422"/>
      <c r="I281" s="422"/>
      <c r="J281" s="418"/>
      <c r="K281" s="414"/>
      <c r="L281" s="409"/>
      <c r="M281" s="408"/>
      <c r="N281" s="408"/>
      <c r="O281" s="408"/>
      <c r="P281" s="411"/>
      <c r="Q281" s="411"/>
      <c r="R281" s="411"/>
      <c r="S281" s="411"/>
      <c r="T281" s="411"/>
      <c r="U281" s="42"/>
      <c r="V281" s="416"/>
      <c r="W281" s="42"/>
      <c r="X281" s="74"/>
      <c r="Y281" s="74"/>
      <c r="Z281" s="74"/>
      <c r="AA281" s="74"/>
      <c r="AB281" s="74"/>
      <c r="AC281" s="42"/>
      <c r="AD281" s="42"/>
      <c r="AE281" s="42"/>
      <c r="AF281" s="42"/>
      <c r="AG281" s="42"/>
      <c r="AH281" s="42"/>
      <c r="AI281" s="75"/>
      <c r="AJ281" s="75"/>
      <c r="AK281" s="75"/>
      <c r="AL281" s="75"/>
      <c r="AM281" s="74"/>
      <c r="AN281" s="72"/>
    </row>
    <row r="282" spans="1:40" s="69" customFormat="1" x14ac:dyDescent="0.25">
      <c r="A282" s="88"/>
      <c r="B282" s="88"/>
      <c r="C282" s="70"/>
      <c r="D282" s="70"/>
      <c r="E282" s="70"/>
      <c r="F282" s="70"/>
      <c r="G282" s="70"/>
      <c r="H282" s="422"/>
      <c r="I282" s="422"/>
      <c r="J282" s="418"/>
      <c r="K282" s="414"/>
      <c r="L282" s="409"/>
      <c r="M282" s="408"/>
      <c r="N282" s="408"/>
      <c r="O282" s="408"/>
      <c r="P282" s="411"/>
      <c r="Q282" s="411"/>
      <c r="R282" s="411"/>
      <c r="S282" s="411"/>
      <c r="T282" s="411"/>
      <c r="U282" s="42"/>
      <c r="V282" s="416"/>
      <c r="W282" s="42"/>
      <c r="X282" s="74"/>
      <c r="Y282" s="74"/>
      <c r="Z282" s="74"/>
      <c r="AA282" s="74"/>
      <c r="AB282" s="74"/>
      <c r="AC282" s="42"/>
      <c r="AD282" s="42"/>
      <c r="AE282" s="42"/>
      <c r="AF282" s="42"/>
      <c r="AG282" s="42"/>
      <c r="AH282" s="42"/>
      <c r="AI282" s="75"/>
      <c r="AJ282" s="75"/>
      <c r="AK282" s="75"/>
      <c r="AL282" s="75"/>
      <c r="AM282" s="74"/>
      <c r="AN282" s="72"/>
    </row>
    <row r="283" spans="1:40" s="69" customFormat="1" x14ac:dyDescent="0.25">
      <c r="A283" s="88"/>
      <c r="B283" s="88"/>
      <c r="C283" s="70"/>
      <c r="D283" s="70"/>
      <c r="E283" s="70"/>
      <c r="F283" s="70"/>
      <c r="G283" s="70"/>
      <c r="H283" s="422"/>
      <c r="I283" s="422"/>
      <c r="J283" s="418"/>
      <c r="K283" s="414"/>
      <c r="L283" s="409"/>
      <c r="M283" s="408"/>
      <c r="N283" s="408"/>
      <c r="O283" s="408"/>
      <c r="P283" s="411"/>
      <c r="Q283" s="411"/>
      <c r="R283" s="411"/>
      <c r="S283" s="411"/>
      <c r="T283" s="411"/>
      <c r="U283" s="42"/>
      <c r="V283" s="416"/>
      <c r="W283" s="42"/>
      <c r="X283" s="74"/>
      <c r="Y283" s="74"/>
      <c r="Z283" s="74"/>
      <c r="AA283" s="74"/>
      <c r="AB283" s="74"/>
      <c r="AC283" s="42"/>
      <c r="AD283" s="42"/>
      <c r="AE283" s="42"/>
      <c r="AF283" s="42"/>
      <c r="AG283" s="42"/>
      <c r="AH283" s="42"/>
      <c r="AI283" s="75"/>
      <c r="AJ283" s="75"/>
      <c r="AK283" s="75"/>
      <c r="AL283" s="75"/>
      <c r="AM283" s="74"/>
      <c r="AN283" s="72"/>
    </row>
    <row r="284" spans="1:40" s="69" customFormat="1" x14ac:dyDescent="0.25">
      <c r="A284" s="88"/>
      <c r="B284" s="88"/>
      <c r="C284" s="70"/>
      <c r="D284" s="70"/>
      <c r="E284" s="70"/>
      <c r="F284" s="70"/>
      <c r="G284" s="70"/>
      <c r="H284" s="422"/>
      <c r="I284" s="422"/>
      <c r="J284" s="418"/>
      <c r="K284" s="414"/>
      <c r="L284" s="409"/>
      <c r="M284" s="408"/>
      <c r="N284" s="408"/>
      <c r="O284" s="408"/>
      <c r="P284" s="411"/>
      <c r="Q284" s="411"/>
      <c r="R284" s="411"/>
      <c r="S284" s="411"/>
      <c r="T284" s="411"/>
      <c r="U284" s="42"/>
      <c r="V284" s="416"/>
      <c r="W284" s="42"/>
      <c r="X284" s="74"/>
      <c r="Y284" s="74"/>
      <c r="Z284" s="74"/>
      <c r="AA284" s="74"/>
      <c r="AB284" s="74"/>
      <c r="AC284" s="42"/>
      <c r="AD284" s="42"/>
      <c r="AE284" s="42"/>
      <c r="AF284" s="42"/>
      <c r="AG284" s="42"/>
      <c r="AH284" s="42"/>
      <c r="AI284" s="75"/>
      <c r="AJ284" s="75"/>
      <c r="AK284" s="75"/>
      <c r="AL284" s="75"/>
      <c r="AM284" s="74"/>
      <c r="AN284" s="72"/>
    </row>
    <row r="285" spans="1:40" s="69" customFormat="1" x14ac:dyDescent="0.25">
      <c r="A285" s="88"/>
      <c r="B285" s="88"/>
      <c r="C285" s="70"/>
      <c r="D285" s="70"/>
      <c r="E285" s="70"/>
      <c r="F285" s="70"/>
      <c r="G285" s="70"/>
      <c r="H285" s="422"/>
      <c r="I285" s="422"/>
      <c r="J285" s="418"/>
      <c r="K285" s="414"/>
      <c r="L285" s="409"/>
      <c r="M285" s="408"/>
      <c r="N285" s="408"/>
      <c r="O285" s="408"/>
      <c r="P285" s="411"/>
      <c r="Q285" s="411"/>
      <c r="R285" s="411"/>
      <c r="S285" s="411"/>
      <c r="T285" s="411"/>
      <c r="U285" s="42"/>
      <c r="V285" s="416"/>
      <c r="W285" s="42"/>
      <c r="X285" s="74"/>
      <c r="Y285" s="74"/>
      <c r="Z285" s="74"/>
      <c r="AA285" s="74"/>
      <c r="AB285" s="74"/>
      <c r="AC285" s="42"/>
      <c r="AD285" s="42"/>
      <c r="AE285" s="42"/>
      <c r="AF285" s="42"/>
      <c r="AG285" s="42"/>
      <c r="AH285" s="42"/>
      <c r="AI285" s="75"/>
      <c r="AJ285" s="75"/>
      <c r="AK285" s="75"/>
      <c r="AL285" s="75"/>
      <c r="AM285" s="74"/>
      <c r="AN285" s="72"/>
    </row>
    <row r="286" spans="1:40" s="69" customFormat="1" x14ac:dyDescent="0.25">
      <c r="A286" s="88"/>
      <c r="B286" s="88"/>
      <c r="C286" s="70"/>
      <c r="D286" s="70"/>
      <c r="E286" s="70"/>
      <c r="F286" s="70"/>
      <c r="G286" s="70"/>
      <c r="H286" s="422"/>
      <c r="I286" s="422"/>
      <c r="J286" s="418"/>
      <c r="K286" s="414"/>
      <c r="L286" s="409"/>
      <c r="M286" s="408"/>
      <c r="N286" s="408"/>
      <c r="O286" s="408"/>
      <c r="P286" s="411"/>
      <c r="Q286" s="411"/>
      <c r="R286" s="411"/>
      <c r="S286" s="411"/>
      <c r="T286" s="411"/>
      <c r="U286" s="42"/>
      <c r="V286" s="416"/>
      <c r="W286" s="42"/>
      <c r="X286" s="74"/>
      <c r="Y286" s="74"/>
      <c r="Z286" s="74"/>
      <c r="AA286" s="74"/>
      <c r="AB286" s="74"/>
      <c r="AC286" s="42"/>
      <c r="AD286" s="42"/>
      <c r="AE286" s="42"/>
      <c r="AF286" s="42"/>
      <c r="AG286" s="42"/>
      <c r="AH286" s="42"/>
      <c r="AI286" s="75"/>
      <c r="AJ286" s="75"/>
      <c r="AK286" s="75"/>
      <c r="AL286" s="75"/>
      <c r="AM286" s="74"/>
      <c r="AN286" s="72"/>
    </row>
    <row r="287" spans="1:40" s="69" customFormat="1" x14ac:dyDescent="0.25">
      <c r="A287" s="88"/>
      <c r="B287" s="88"/>
      <c r="C287" s="70"/>
      <c r="D287" s="70"/>
      <c r="E287" s="70"/>
      <c r="F287" s="70"/>
      <c r="G287" s="70"/>
      <c r="H287" s="422"/>
      <c r="I287" s="422"/>
      <c r="J287" s="418"/>
      <c r="K287" s="414"/>
      <c r="L287" s="409"/>
      <c r="M287" s="408"/>
      <c r="N287" s="408"/>
      <c r="O287" s="408"/>
      <c r="P287" s="411"/>
      <c r="Q287" s="411"/>
      <c r="R287" s="411"/>
      <c r="S287" s="411"/>
      <c r="T287" s="411"/>
      <c r="U287" s="42"/>
      <c r="V287" s="416"/>
      <c r="W287" s="42"/>
      <c r="X287" s="74"/>
      <c r="Y287" s="74"/>
      <c r="Z287" s="74"/>
      <c r="AA287" s="74"/>
      <c r="AB287" s="74"/>
      <c r="AC287" s="42"/>
      <c r="AD287" s="42"/>
      <c r="AE287" s="42"/>
      <c r="AF287" s="42"/>
      <c r="AG287" s="42"/>
      <c r="AH287" s="42"/>
      <c r="AI287" s="75"/>
      <c r="AJ287" s="75"/>
      <c r="AK287" s="75"/>
      <c r="AL287" s="75"/>
      <c r="AM287" s="74"/>
      <c r="AN287" s="72"/>
    </row>
    <row r="288" spans="1:40" s="69" customFormat="1" x14ac:dyDescent="0.25">
      <c r="A288" s="88"/>
      <c r="B288" s="88"/>
      <c r="C288" s="70"/>
      <c r="D288" s="70"/>
      <c r="E288" s="70"/>
      <c r="F288" s="70"/>
      <c r="G288" s="70"/>
      <c r="H288" s="422"/>
      <c r="I288" s="422"/>
      <c r="J288" s="418"/>
      <c r="K288" s="414"/>
      <c r="L288" s="409"/>
      <c r="M288" s="408"/>
      <c r="N288" s="408"/>
      <c r="O288" s="408"/>
      <c r="P288" s="411"/>
      <c r="Q288" s="411"/>
      <c r="R288" s="411"/>
      <c r="S288" s="411"/>
      <c r="T288" s="411"/>
      <c r="U288" s="42"/>
      <c r="V288" s="416"/>
      <c r="W288" s="42"/>
      <c r="X288" s="74"/>
      <c r="Y288" s="74"/>
      <c r="Z288" s="74"/>
      <c r="AA288" s="74"/>
      <c r="AB288" s="74"/>
      <c r="AC288" s="42"/>
      <c r="AD288" s="42"/>
      <c r="AE288" s="42"/>
      <c r="AF288" s="42"/>
      <c r="AG288" s="42"/>
      <c r="AH288" s="42"/>
      <c r="AI288" s="75"/>
      <c r="AJ288" s="75"/>
      <c r="AK288" s="75"/>
      <c r="AL288" s="75"/>
      <c r="AM288" s="74"/>
      <c r="AN288" s="72"/>
    </row>
    <row r="289" spans="1:40" s="69" customFormat="1" x14ac:dyDescent="0.25">
      <c r="A289" s="88"/>
      <c r="B289" s="88"/>
      <c r="C289" s="70"/>
      <c r="D289" s="70"/>
      <c r="E289" s="70"/>
      <c r="F289" s="70"/>
      <c r="G289" s="70"/>
      <c r="H289" s="422"/>
      <c r="I289" s="422"/>
      <c r="J289" s="418"/>
      <c r="K289" s="414"/>
      <c r="L289" s="409"/>
      <c r="M289" s="408"/>
      <c r="N289" s="408"/>
      <c r="O289" s="408"/>
      <c r="P289" s="411"/>
      <c r="Q289" s="411"/>
      <c r="R289" s="411"/>
      <c r="S289" s="411"/>
      <c r="T289" s="411"/>
      <c r="U289" s="42"/>
      <c r="V289" s="416"/>
      <c r="W289" s="42"/>
      <c r="X289" s="74"/>
      <c r="Y289" s="74"/>
      <c r="Z289" s="74"/>
      <c r="AA289" s="74"/>
      <c r="AB289" s="74"/>
      <c r="AC289" s="42"/>
      <c r="AD289" s="42"/>
      <c r="AE289" s="42"/>
      <c r="AF289" s="42"/>
      <c r="AG289" s="42"/>
      <c r="AH289" s="42"/>
      <c r="AI289" s="75"/>
      <c r="AJ289" s="75"/>
      <c r="AK289" s="75"/>
      <c r="AL289" s="75"/>
      <c r="AM289" s="74"/>
      <c r="AN289" s="72"/>
    </row>
    <row r="290" spans="1:40" s="69" customFormat="1" x14ac:dyDescent="0.25">
      <c r="A290" s="88"/>
      <c r="B290" s="88"/>
      <c r="C290" s="70"/>
      <c r="D290" s="70"/>
      <c r="E290" s="70"/>
      <c r="F290" s="70"/>
      <c r="G290" s="70"/>
      <c r="H290" s="422"/>
      <c r="I290" s="422"/>
      <c r="J290" s="418"/>
      <c r="K290" s="414"/>
      <c r="L290" s="409"/>
      <c r="M290" s="408"/>
      <c r="N290" s="408"/>
      <c r="O290" s="408"/>
      <c r="P290" s="411"/>
      <c r="Q290" s="411"/>
      <c r="R290" s="411"/>
      <c r="S290" s="411"/>
      <c r="T290" s="411"/>
      <c r="U290" s="42"/>
      <c r="V290" s="416"/>
      <c r="W290" s="42"/>
      <c r="X290" s="74"/>
      <c r="Y290" s="74"/>
      <c r="Z290" s="74"/>
      <c r="AA290" s="74"/>
      <c r="AB290" s="74"/>
      <c r="AC290" s="42"/>
      <c r="AD290" s="42"/>
      <c r="AE290" s="42"/>
      <c r="AF290" s="42"/>
      <c r="AG290" s="42"/>
      <c r="AH290" s="42"/>
      <c r="AI290" s="75"/>
      <c r="AJ290" s="75"/>
      <c r="AK290" s="75"/>
      <c r="AL290" s="75"/>
      <c r="AM290" s="74"/>
      <c r="AN290" s="72"/>
    </row>
    <row r="291" spans="1:40" s="69" customFormat="1" x14ac:dyDescent="0.25">
      <c r="A291" s="88"/>
      <c r="B291" s="88"/>
      <c r="C291" s="70"/>
      <c r="D291" s="70"/>
      <c r="E291" s="70"/>
      <c r="F291" s="70"/>
      <c r="G291" s="70"/>
      <c r="H291" s="422"/>
      <c r="I291" s="422"/>
      <c r="J291" s="418"/>
      <c r="K291" s="414"/>
      <c r="L291" s="409"/>
      <c r="M291" s="408"/>
      <c r="N291" s="408"/>
      <c r="O291" s="408"/>
      <c r="P291" s="411"/>
      <c r="Q291" s="411"/>
      <c r="R291" s="411"/>
      <c r="S291" s="411"/>
      <c r="T291" s="411"/>
      <c r="U291" s="42"/>
      <c r="V291" s="416"/>
      <c r="W291" s="42"/>
      <c r="X291" s="74"/>
      <c r="Y291" s="74"/>
      <c r="Z291" s="74"/>
      <c r="AA291" s="74"/>
      <c r="AB291" s="74"/>
      <c r="AC291" s="42"/>
      <c r="AD291" s="42"/>
      <c r="AE291" s="42"/>
      <c r="AF291" s="42"/>
      <c r="AG291" s="42"/>
      <c r="AH291" s="42"/>
      <c r="AI291" s="75"/>
      <c r="AJ291" s="75"/>
      <c r="AK291" s="75"/>
      <c r="AL291" s="75"/>
      <c r="AM291" s="74"/>
      <c r="AN291" s="72"/>
    </row>
    <row r="292" spans="1:40" s="69" customFormat="1" x14ac:dyDescent="0.25">
      <c r="A292" s="88"/>
      <c r="B292" s="88"/>
      <c r="C292" s="70"/>
      <c r="D292" s="70"/>
      <c r="E292" s="70"/>
      <c r="F292" s="70"/>
      <c r="G292" s="70"/>
      <c r="H292" s="422"/>
      <c r="I292" s="422"/>
      <c r="J292" s="418"/>
      <c r="K292" s="414"/>
      <c r="L292" s="409"/>
      <c r="M292" s="408"/>
      <c r="N292" s="408"/>
      <c r="O292" s="408"/>
      <c r="P292" s="411"/>
      <c r="Q292" s="411"/>
      <c r="R292" s="411"/>
      <c r="S292" s="411"/>
      <c r="T292" s="411"/>
      <c r="U292" s="42"/>
      <c r="V292" s="416"/>
      <c r="W292" s="42"/>
      <c r="X292" s="74"/>
      <c r="Y292" s="74"/>
      <c r="Z292" s="74"/>
      <c r="AA292" s="74"/>
      <c r="AB292" s="74"/>
      <c r="AC292" s="42"/>
      <c r="AD292" s="42"/>
      <c r="AE292" s="42"/>
      <c r="AF292" s="42"/>
      <c r="AG292" s="42"/>
      <c r="AH292" s="42"/>
      <c r="AI292" s="75"/>
      <c r="AJ292" s="75"/>
      <c r="AK292" s="75"/>
      <c r="AL292" s="75"/>
      <c r="AM292" s="74"/>
      <c r="AN292" s="72"/>
    </row>
    <row r="293" spans="1:40" s="69" customFormat="1" x14ac:dyDescent="0.25">
      <c r="A293" s="88"/>
      <c r="B293" s="88"/>
      <c r="C293" s="70"/>
      <c r="D293" s="70"/>
      <c r="E293" s="70"/>
      <c r="F293" s="70"/>
      <c r="G293" s="70"/>
      <c r="H293" s="422"/>
      <c r="I293" s="422"/>
      <c r="J293" s="418"/>
      <c r="K293" s="414"/>
      <c r="L293" s="409"/>
      <c r="M293" s="408"/>
      <c r="N293" s="408"/>
      <c r="O293" s="408"/>
      <c r="P293" s="411"/>
      <c r="Q293" s="411"/>
      <c r="R293" s="411"/>
      <c r="S293" s="411"/>
      <c r="T293" s="411"/>
      <c r="U293" s="42"/>
      <c r="V293" s="416"/>
      <c r="W293" s="42"/>
      <c r="X293" s="74"/>
      <c r="Y293" s="74"/>
      <c r="Z293" s="74"/>
      <c r="AA293" s="74"/>
      <c r="AB293" s="74"/>
      <c r="AC293" s="42"/>
      <c r="AD293" s="42"/>
      <c r="AE293" s="42"/>
      <c r="AF293" s="42"/>
      <c r="AG293" s="42"/>
      <c r="AH293" s="42"/>
      <c r="AI293" s="75"/>
      <c r="AJ293" s="75"/>
      <c r="AK293" s="75"/>
      <c r="AL293" s="75"/>
      <c r="AM293" s="74"/>
      <c r="AN293" s="72"/>
    </row>
    <row r="294" spans="1:40" s="69" customFormat="1" x14ac:dyDescent="0.25">
      <c r="A294" s="88"/>
      <c r="B294" s="88"/>
      <c r="C294" s="70"/>
      <c r="D294" s="70"/>
      <c r="E294" s="70"/>
      <c r="F294" s="70"/>
      <c r="G294" s="70"/>
      <c r="H294" s="422"/>
      <c r="I294" s="422"/>
      <c r="J294" s="418"/>
      <c r="K294" s="414"/>
      <c r="L294" s="409"/>
      <c r="M294" s="408"/>
      <c r="N294" s="408"/>
      <c r="O294" s="408"/>
      <c r="P294" s="411"/>
      <c r="Q294" s="411"/>
      <c r="R294" s="411"/>
      <c r="S294" s="411"/>
      <c r="T294" s="411"/>
      <c r="U294" s="42"/>
      <c r="V294" s="416"/>
      <c r="W294" s="42"/>
      <c r="X294" s="74"/>
      <c r="Y294" s="74"/>
      <c r="Z294" s="74"/>
      <c r="AA294" s="74"/>
      <c r="AB294" s="74"/>
      <c r="AC294" s="42"/>
      <c r="AD294" s="42"/>
      <c r="AE294" s="42"/>
      <c r="AF294" s="42"/>
      <c r="AG294" s="42"/>
      <c r="AH294" s="42"/>
      <c r="AI294" s="75"/>
      <c r="AJ294" s="75"/>
      <c r="AK294" s="75"/>
      <c r="AL294" s="75"/>
      <c r="AM294" s="74"/>
      <c r="AN294" s="72"/>
    </row>
    <row r="295" spans="1:40" s="69" customFormat="1" x14ac:dyDescent="0.25">
      <c r="A295" s="88"/>
      <c r="B295" s="88"/>
      <c r="C295" s="70"/>
      <c r="D295" s="70"/>
      <c r="E295" s="70"/>
      <c r="F295" s="70"/>
      <c r="G295" s="70"/>
      <c r="H295" s="422"/>
      <c r="I295" s="422"/>
      <c r="J295" s="418"/>
      <c r="K295" s="414"/>
      <c r="L295" s="409"/>
      <c r="M295" s="408"/>
      <c r="N295" s="408"/>
      <c r="O295" s="408"/>
      <c r="P295" s="411"/>
      <c r="Q295" s="411"/>
      <c r="R295" s="411"/>
      <c r="S295" s="411"/>
      <c r="T295" s="411"/>
      <c r="U295" s="42"/>
      <c r="V295" s="416"/>
      <c r="W295" s="42"/>
      <c r="X295" s="74"/>
      <c r="Y295" s="74"/>
      <c r="Z295" s="74"/>
      <c r="AA295" s="74"/>
      <c r="AB295" s="74"/>
      <c r="AC295" s="42"/>
      <c r="AD295" s="42"/>
      <c r="AE295" s="42"/>
      <c r="AF295" s="42"/>
      <c r="AG295" s="42"/>
      <c r="AH295" s="42"/>
      <c r="AI295" s="75"/>
      <c r="AJ295" s="75"/>
      <c r="AK295" s="75"/>
      <c r="AL295" s="75"/>
      <c r="AM295" s="74"/>
      <c r="AN295" s="72"/>
    </row>
    <row r="296" spans="1:40" s="69" customFormat="1" x14ac:dyDescent="0.25">
      <c r="A296" s="88"/>
      <c r="B296" s="88"/>
      <c r="C296" s="70"/>
      <c r="D296" s="70"/>
      <c r="E296" s="70"/>
      <c r="F296" s="70"/>
      <c r="G296" s="70"/>
      <c r="H296" s="422"/>
      <c r="I296" s="422"/>
      <c r="J296" s="418"/>
      <c r="K296" s="414"/>
      <c r="L296" s="409"/>
      <c r="M296" s="408"/>
      <c r="N296" s="408"/>
      <c r="O296" s="408"/>
      <c r="P296" s="411"/>
      <c r="Q296" s="411"/>
      <c r="R296" s="411"/>
      <c r="S296" s="411"/>
      <c r="T296" s="411"/>
      <c r="U296" s="42"/>
      <c r="V296" s="416"/>
      <c r="W296" s="42"/>
      <c r="X296" s="74"/>
      <c r="Y296" s="74"/>
      <c r="Z296" s="74"/>
      <c r="AA296" s="74"/>
      <c r="AB296" s="74"/>
      <c r="AC296" s="42"/>
      <c r="AD296" s="42"/>
      <c r="AE296" s="42"/>
      <c r="AF296" s="42"/>
      <c r="AG296" s="42"/>
      <c r="AH296" s="42"/>
      <c r="AI296" s="75"/>
      <c r="AJ296" s="75"/>
      <c r="AK296" s="75"/>
      <c r="AL296" s="75"/>
      <c r="AM296" s="74"/>
      <c r="AN296" s="72"/>
    </row>
    <row r="297" spans="1:40" s="69" customFormat="1" x14ac:dyDescent="0.25">
      <c r="A297" s="88"/>
      <c r="B297" s="88"/>
      <c r="C297" s="70"/>
      <c r="D297" s="70"/>
      <c r="E297" s="70"/>
      <c r="F297" s="70"/>
      <c r="G297" s="70"/>
      <c r="H297" s="422"/>
      <c r="I297" s="422"/>
      <c r="J297" s="418"/>
      <c r="K297" s="414"/>
      <c r="L297" s="409"/>
      <c r="M297" s="408"/>
      <c r="N297" s="408"/>
      <c r="O297" s="408"/>
      <c r="P297" s="411"/>
      <c r="Q297" s="411"/>
      <c r="R297" s="411"/>
      <c r="S297" s="411"/>
      <c r="T297" s="411"/>
      <c r="U297" s="42"/>
      <c r="V297" s="416"/>
      <c r="W297" s="42"/>
      <c r="X297" s="74"/>
      <c r="Y297" s="74"/>
      <c r="Z297" s="74"/>
      <c r="AA297" s="74"/>
      <c r="AB297" s="74"/>
      <c r="AC297" s="42"/>
      <c r="AD297" s="42"/>
      <c r="AE297" s="42"/>
      <c r="AF297" s="42"/>
      <c r="AG297" s="42"/>
      <c r="AH297" s="42"/>
      <c r="AI297" s="75"/>
      <c r="AJ297" s="75"/>
      <c r="AK297" s="75"/>
      <c r="AL297" s="75"/>
      <c r="AM297" s="74"/>
      <c r="AN297" s="72"/>
    </row>
    <row r="298" spans="1:40" s="69" customFormat="1" x14ac:dyDescent="0.25">
      <c r="A298" s="88"/>
      <c r="B298" s="88"/>
      <c r="C298" s="70"/>
      <c r="D298" s="70"/>
      <c r="E298" s="70"/>
      <c r="F298" s="70"/>
      <c r="G298" s="70"/>
      <c r="H298" s="422"/>
      <c r="I298" s="422"/>
      <c r="J298" s="418"/>
      <c r="K298" s="414"/>
      <c r="L298" s="409"/>
      <c r="M298" s="408"/>
      <c r="N298" s="408"/>
      <c r="O298" s="408"/>
      <c r="P298" s="411"/>
      <c r="Q298" s="411"/>
      <c r="R298" s="411"/>
      <c r="S298" s="411"/>
      <c r="T298" s="411"/>
      <c r="U298" s="42"/>
      <c r="V298" s="416"/>
      <c r="W298" s="42"/>
      <c r="X298" s="74"/>
      <c r="Y298" s="74"/>
      <c r="Z298" s="74"/>
      <c r="AA298" s="74"/>
      <c r="AB298" s="74"/>
      <c r="AC298" s="42"/>
      <c r="AD298" s="42"/>
      <c r="AE298" s="42"/>
      <c r="AF298" s="42"/>
      <c r="AG298" s="42"/>
      <c r="AH298" s="42"/>
      <c r="AI298" s="75"/>
      <c r="AJ298" s="75"/>
      <c r="AK298" s="75"/>
      <c r="AL298" s="75"/>
      <c r="AM298" s="74"/>
      <c r="AN298" s="72"/>
    </row>
    <row r="299" spans="1:40" s="69" customFormat="1" x14ac:dyDescent="0.25">
      <c r="A299" s="88"/>
      <c r="B299" s="88"/>
      <c r="C299" s="70"/>
      <c r="D299" s="70"/>
      <c r="E299" s="70"/>
      <c r="F299" s="70"/>
      <c r="G299" s="70"/>
      <c r="H299" s="422"/>
      <c r="I299" s="422"/>
      <c r="J299" s="418"/>
      <c r="K299" s="414"/>
      <c r="L299" s="409"/>
      <c r="M299" s="408"/>
      <c r="N299" s="408"/>
      <c r="O299" s="408"/>
      <c r="P299" s="411"/>
      <c r="Q299" s="411"/>
      <c r="R299" s="411"/>
      <c r="S299" s="411"/>
      <c r="T299" s="411"/>
      <c r="U299" s="42"/>
      <c r="V299" s="416"/>
      <c r="W299" s="42"/>
      <c r="X299" s="74"/>
      <c r="Y299" s="74"/>
      <c r="Z299" s="74"/>
      <c r="AA299" s="74"/>
      <c r="AB299" s="74"/>
      <c r="AC299" s="42"/>
      <c r="AD299" s="42"/>
      <c r="AE299" s="42"/>
      <c r="AF299" s="42"/>
      <c r="AG299" s="42"/>
      <c r="AH299" s="42"/>
      <c r="AI299" s="75"/>
      <c r="AJ299" s="75"/>
      <c r="AK299" s="75"/>
      <c r="AL299" s="75"/>
      <c r="AM299" s="74"/>
      <c r="AN299" s="72"/>
    </row>
    <row r="300" spans="1:40" s="69" customFormat="1" x14ac:dyDescent="0.25">
      <c r="A300" s="88"/>
      <c r="B300" s="88"/>
      <c r="C300" s="70"/>
      <c r="D300" s="70"/>
      <c r="E300" s="70"/>
      <c r="F300" s="70"/>
      <c r="G300" s="70"/>
      <c r="H300" s="422"/>
      <c r="I300" s="422"/>
      <c r="J300" s="418"/>
      <c r="K300" s="414"/>
      <c r="L300" s="409"/>
      <c r="M300" s="408"/>
      <c r="N300" s="408"/>
      <c r="O300" s="408"/>
      <c r="P300" s="411"/>
      <c r="Q300" s="411"/>
      <c r="R300" s="411"/>
      <c r="S300" s="411"/>
      <c r="T300" s="411"/>
      <c r="U300" s="42"/>
      <c r="V300" s="416"/>
      <c r="W300" s="42"/>
      <c r="X300" s="74"/>
      <c r="Y300" s="74"/>
      <c r="Z300" s="74"/>
      <c r="AA300" s="74"/>
      <c r="AB300" s="74"/>
      <c r="AC300" s="42"/>
      <c r="AD300" s="42"/>
      <c r="AE300" s="42"/>
      <c r="AF300" s="42"/>
      <c r="AG300" s="42"/>
      <c r="AH300" s="42"/>
      <c r="AI300" s="75"/>
      <c r="AJ300" s="75"/>
      <c r="AK300" s="75"/>
      <c r="AL300" s="75"/>
      <c r="AM300" s="74"/>
      <c r="AN300" s="72"/>
    </row>
    <row r="301" spans="1:40" s="69" customFormat="1" x14ac:dyDescent="0.25">
      <c r="A301" s="88"/>
      <c r="B301" s="88"/>
      <c r="C301" s="70"/>
      <c r="D301" s="70"/>
      <c r="E301" s="70"/>
      <c r="F301" s="70"/>
      <c r="G301" s="70"/>
      <c r="H301" s="422"/>
      <c r="I301" s="422"/>
      <c r="J301" s="418"/>
      <c r="K301" s="414"/>
      <c r="L301" s="409"/>
      <c r="M301" s="408"/>
      <c r="N301" s="408"/>
      <c r="O301" s="408"/>
      <c r="P301" s="411"/>
      <c r="Q301" s="411"/>
      <c r="R301" s="411"/>
      <c r="S301" s="411"/>
      <c r="T301" s="411"/>
      <c r="U301" s="42"/>
      <c r="V301" s="416"/>
      <c r="W301" s="42"/>
      <c r="X301" s="74"/>
      <c r="Y301" s="74"/>
      <c r="Z301" s="74"/>
      <c r="AA301" s="74"/>
      <c r="AB301" s="74"/>
      <c r="AC301" s="42"/>
      <c r="AD301" s="42"/>
      <c r="AE301" s="42"/>
      <c r="AF301" s="42"/>
      <c r="AG301" s="42"/>
      <c r="AH301" s="42"/>
      <c r="AI301" s="75"/>
      <c r="AJ301" s="75"/>
      <c r="AK301" s="75"/>
      <c r="AL301" s="75"/>
      <c r="AM301" s="74"/>
      <c r="AN301" s="72"/>
    </row>
    <row r="302" spans="1:40" s="69" customFormat="1" x14ac:dyDescent="0.25">
      <c r="A302" s="88"/>
      <c r="B302" s="88"/>
      <c r="C302" s="70"/>
      <c r="D302" s="70"/>
      <c r="E302" s="70"/>
      <c r="F302" s="70"/>
      <c r="G302" s="70"/>
      <c r="H302" s="422"/>
      <c r="I302" s="422"/>
      <c r="J302" s="418"/>
      <c r="K302" s="414"/>
      <c r="L302" s="409"/>
      <c r="M302" s="408"/>
      <c r="N302" s="408"/>
      <c r="O302" s="408"/>
      <c r="P302" s="411"/>
      <c r="Q302" s="411"/>
      <c r="R302" s="411"/>
      <c r="S302" s="411"/>
      <c r="T302" s="411"/>
      <c r="U302" s="42"/>
      <c r="V302" s="416"/>
      <c r="W302" s="42"/>
      <c r="X302" s="74"/>
      <c r="Y302" s="74"/>
      <c r="Z302" s="74"/>
      <c r="AA302" s="74"/>
      <c r="AB302" s="74"/>
      <c r="AC302" s="42"/>
      <c r="AD302" s="42"/>
      <c r="AE302" s="42"/>
      <c r="AF302" s="42"/>
      <c r="AG302" s="42"/>
      <c r="AH302" s="42"/>
      <c r="AI302" s="75"/>
      <c r="AJ302" s="75"/>
      <c r="AK302" s="75"/>
      <c r="AL302" s="75"/>
      <c r="AM302" s="74"/>
      <c r="AN302" s="72"/>
    </row>
    <row r="303" spans="1:40" s="69" customFormat="1" x14ac:dyDescent="0.25">
      <c r="A303" s="88"/>
      <c r="B303" s="88"/>
      <c r="C303" s="70"/>
      <c r="D303" s="70"/>
      <c r="E303" s="70"/>
      <c r="F303" s="70"/>
      <c r="G303" s="70"/>
      <c r="H303" s="422"/>
      <c r="I303" s="422"/>
      <c r="J303" s="418"/>
      <c r="K303" s="414"/>
      <c r="L303" s="409"/>
      <c r="M303" s="408"/>
      <c r="N303" s="408"/>
      <c r="O303" s="408"/>
      <c r="P303" s="411"/>
      <c r="Q303" s="411"/>
      <c r="R303" s="411"/>
      <c r="S303" s="411"/>
      <c r="T303" s="411"/>
      <c r="U303" s="42"/>
      <c r="V303" s="416"/>
      <c r="W303" s="42"/>
      <c r="X303" s="74"/>
      <c r="Y303" s="74"/>
      <c r="Z303" s="74"/>
      <c r="AA303" s="74"/>
      <c r="AB303" s="74"/>
      <c r="AC303" s="42"/>
      <c r="AD303" s="42"/>
      <c r="AE303" s="42"/>
      <c r="AF303" s="42"/>
      <c r="AG303" s="42"/>
      <c r="AH303" s="42"/>
      <c r="AI303" s="75"/>
      <c r="AJ303" s="75"/>
      <c r="AK303" s="75"/>
      <c r="AL303" s="75"/>
      <c r="AM303" s="74"/>
      <c r="AN303" s="72"/>
    </row>
    <row r="304" spans="1:40" s="69" customFormat="1" x14ac:dyDescent="0.25">
      <c r="A304" s="88"/>
      <c r="B304" s="88"/>
      <c r="C304" s="70"/>
      <c r="D304" s="70"/>
      <c r="E304" s="70"/>
      <c r="F304" s="70"/>
      <c r="G304" s="70"/>
      <c r="H304" s="422"/>
      <c r="I304" s="422"/>
      <c r="J304" s="418"/>
      <c r="K304" s="414"/>
      <c r="L304" s="409"/>
      <c r="M304" s="408"/>
      <c r="N304" s="408"/>
      <c r="O304" s="408"/>
      <c r="P304" s="411"/>
      <c r="Q304" s="411"/>
      <c r="R304" s="411"/>
      <c r="S304" s="411"/>
      <c r="T304" s="411"/>
      <c r="U304" s="42"/>
      <c r="V304" s="416"/>
      <c r="W304" s="42"/>
      <c r="X304" s="74"/>
      <c r="Y304" s="74"/>
      <c r="Z304" s="74"/>
      <c r="AA304" s="74"/>
      <c r="AB304" s="74"/>
      <c r="AC304" s="42"/>
      <c r="AD304" s="42"/>
      <c r="AE304" s="42"/>
      <c r="AF304" s="42"/>
      <c r="AG304" s="42"/>
      <c r="AH304" s="42"/>
      <c r="AI304" s="75"/>
      <c r="AJ304" s="75"/>
      <c r="AK304" s="75"/>
      <c r="AL304" s="75"/>
      <c r="AM304" s="74"/>
      <c r="AN304" s="72"/>
    </row>
    <row r="305" spans="1:40" s="69" customFormat="1" x14ac:dyDescent="0.25">
      <c r="A305" s="88"/>
      <c r="B305" s="88"/>
      <c r="C305" s="70"/>
      <c r="D305" s="70"/>
      <c r="E305" s="70"/>
      <c r="F305" s="70"/>
      <c r="G305" s="70"/>
      <c r="H305" s="422"/>
      <c r="I305" s="422"/>
      <c r="J305" s="418"/>
      <c r="K305" s="414"/>
      <c r="L305" s="409"/>
      <c r="M305" s="408"/>
      <c r="N305" s="408"/>
      <c r="O305" s="408"/>
      <c r="P305" s="411"/>
      <c r="Q305" s="411"/>
      <c r="R305" s="411"/>
      <c r="S305" s="411"/>
      <c r="T305" s="411"/>
      <c r="U305" s="42"/>
      <c r="V305" s="416"/>
      <c r="W305" s="42"/>
      <c r="X305" s="74"/>
      <c r="Y305" s="74"/>
      <c r="Z305" s="74"/>
      <c r="AA305" s="74"/>
      <c r="AB305" s="74"/>
      <c r="AC305" s="42"/>
      <c r="AD305" s="42"/>
      <c r="AE305" s="42"/>
      <c r="AF305" s="42"/>
      <c r="AG305" s="42"/>
      <c r="AH305" s="42"/>
      <c r="AI305" s="75"/>
      <c r="AJ305" s="75"/>
      <c r="AK305" s="75"/>
      <c r="AL305" s="75"/>
      <c r="AM305" s="74"/>
      <c r="AN305" s="72"/>
    </row>
    <row r="306" spans="1:40" s="69" customFormat="1" x14ac:dyDescent="0.25">
      <c r="A306" s="88"/>
      <c r="B306" s="88"/>
      <c r="C306" s="70"/>
      <c r="D306" s="70"/>
      <c r="E306" s="70"/>
      <c r="F306" s="70"/>
      <c r="G306" s="70"/>
      <c r="H306" s="422"/>
      <c r="I306" s="422"/>
      <c r="J306" s="418"/>
      <c r="K306" s="414"/>
      <c r="L306" s="409"/>
      <c r="M306" s="408"/>
      <c r="N306" s="408"/>
      <c r="O306" s="408"/>
      <c r="P306" s="411"/>
      <c r="Q306" s="411"/>
      <c r="R306" s="411"/>
      <c r="S306" s="411"/>
      <c r="T306" s="411"/>
      <c r="U306" s="42"/>
      <c r="V306" s="416"/>
      <c r="W306" s="42"/>
      <c r="X306" s="74"/>
      <c r="Y306" s="74"/>
      <c r="Z306" s="74"/>
      <c r="AA306" s="74"/>
      <c r="AB306" s="74"/>
      <c r="AC306" s="42"/>
      <c r="AD306" s="42"/>
      <c r="AE306" s="42"/>
      <c r="AF306" s="42"/>
      <c r="AG306" s="42"/>
      <c r="AH306" s="42"/>
      <c r="AI306" s="75"/>
      <c r="AJ306" s="75"/>
      <c r="AK306" s="75"/>
      <c r="AL306" s="75"/>
      <c r="AM306" s="74"/>
      <c r="AN306" s="72"/>
    </row>
    <row r="307" spans="1:40" s="69" customFormat="1" x14ac:dyDescent="0.25">
      <c r="A307" s="88"/>
      <c r="B307" s="88"/>
      <c r="C307" s="70"/>
      <c r="D307" s="70"/>
      <c r="E307" s="70"/>
      <c r="F307" s="70"/>
      <c r="G307" s="70"/>
      <c r="H307" s="422"/>
      <c r="I307" s="422"/>
      <c r="J307" s="418"/>
      <c r="K307" s="414"/>
      <c r="L307" s="409"/>
      <c r="M307" s="408"/>
      <c r="N307" s="408"/>
      <c r="O307" s="408"/>
      <c r="P307" s="411"/>
      <c r="Q307" s="411"/>
      <c r="R307" s="411"/>
      <c r="S307" s="411"/>
      <c r="T307" s="411"/>
      <c r="U307" s="42"/>
      <c r="V307" s="416"/>
      <c r="W307" s="42"/>
      <c r="X307" s="74"/>
      <c r="Y307" s="74"/>
      <c r="Z307" s="74"/>
      <c r="AA307" s="74"/>
      <c r="AB307" s="74"/>
      <c r="AC307" s="42"/>
      <c r="AD307" s="42"/>
      <c r="AE307" s="42"/>
      <c r="AF307" s="42"/>
      <c r="AG307" s="42"/>
      <c r="AH307" s="42"/>
      <c r="AI307" s="75"/>
      <c r="AJ307" s="75"/>
      <c r="AK307" s="75"/>
      <c r="AL307" s="75"/>
      <c r="AM307" s="74"/>
      <c r="AN307" s="72"/>
    </row>
    <row r="308" spans="1:40" s="69" customFormat="1" x14ac:dyDescent="0.25">
      <c r="A308" s="88"/>
      <c r="B308" s="88"/>
      <c r="C308" s="70"/>
      <c r="D308" s="70"/>
      <c r="E308" s="70"/>
      <c r="F308" s="70"/>
      <c r="G308" s="70"/>
      <c r="H308" s="422"/>
      <c r="I308" s="422"/>
      <c r="J308" s="418"/>
      <c r="K308" s="414"/>
      <c r="L308" s="409"/>
      <c r="M308" s="408"/>
      <c r="N308" s="408"/>
      <c r="O308" s="408"/>
      <c r="P308" s="411"/>
      <c r="Q308" s="411"/>
      <c r="R308" s="411"/>
      <c r="S308" s="411"/>
      <c r="T308" s="411"/>
      <c r="U308" s="42"/>
      <c r="V308" s="416"/>
      <c r="W308" s="42"/>
      <c r="X308" s="74"/>
      <c r="Y308" s="74"/>
      <c r="Z308" s="74"/>
      <c r="AA308" s="74"/>
      <c r="AB308" s="74"/>
      <c r="AC308" s="42"/>
      <c r="AD308" s="42"/>
      <c r="AE308" s="42"/>
      <c r="AF308" s="42"/>
      <c r="AG308" s="42"/>
      <c r="AH308" s="42"/>
      <c r="AI308" s="75"/>
      <c r="AJ308" s="75"/>
      <c r="AK308" s="75"/>
      <c r="AL308" s="75"/>
      <c r="AM308" s="74"/>
      <c r="AN308" s="72"/>
    </row>
    <row r="309" spans="1:40" s="69" customFormat="1" x14ac:dyDescent="0.25">
      <c r="A309" s="88"/>
      <c r="B309" s="88"/>
      <c r="C309" s="70"/>
      <c r="D309" s="70"/>
      <c r="E309" s="70"/>
      <c r="F309" s="70"/>
      <c r="G309" s="70"/>
      <c r="H309" s="422"/>
      <c r="I309" s="422"/>
      <c r="J309" s="418"/>
      <c r="K309" s="414"/>
      <c r="L309" s="409"/>
      <c r="M309" s="408"/>
      <c r="N309" s="408"/>
      <c r="O309" s="408"/>
      <c r="P309" s="411"/>
      <c r="Q309" s="411"/>
      <c r="R309" s="411"/>
      <c r="S309" s="411"/>
      <c r="T309" s="411"/>
      <c r="U309" s="42"/>
      <c r="V309" s="416"/>
      <c r="W309" s="42"/>
      <c r="X309" s="74"/>
      <c r="Y309" s="74"/>
      <c r="Z309" s="74"/>
      <c r="AA309" s="74"/>
      <c r="AB309" s="74"/>
      <c r="AC309" s="42"/>
      <c r="AD309" s="42"/>
      <c r="AE309" s="42"/>
      <c r="AF309" s="42"/>
      <c r="AG309" s="42"/>
      <c r="AH309" s="42"/>
      <c r="AI309" s="75"/>
      <c r="AJ309" s="75"/>
      <c r="AK309" s="75"/>
      <c r="AL309" s="75"/>
      <c r="AM309" s="74"/>
      <c r="AN309" s="72"/>
    </row>
    <row r="310" spans="1:40" s="69" customFormat="1" x14ac:dyDescent="0.25">
      <c r="A310" s="88"/>
      <c r="B310" s="88"/>
      <c r="C310" s="70"/>
      <c r="D310" s="70"/>
      <c r="E310" s="70"/>
      <c r="F310" s="70"/>
      <c r="G310" s="70"/>
      <c r="H310" s="422"/>
      <c r="I310" s="422"/>
      <c r="J310" s="418"/>
      <c r="K310" s="414"/>
      <c r="L310" s="409"/>
      <c r="M310" s="408"/>
      <c r="N310" s="408"/>
      <c r="O310" s="408"/>
      <c r="P310" s="411"/>
      <c r="Q310" s="411"/>
      <c r="R310" s="411"/>
      <c r="S310" s="411"/>
      <c r="T310" s="411"/>
      <c r="U310" s="42"/>
      <c r="V310" s="416"/>
      <c r="W310" s="42"/>
      <c r="X310" s="74"/>
      <c r="Y310" s="74"/>
      <c r="Z310" s="74"/>
      <c r="AA310" s="74"/>
      <c r="AB310" s="74"/>
      <c r="AC310" s="42"/>
      <c r="AD310" s="42"/>
      <c r="AE310" s="42"/>
      <c r="AF310" s="42"/>
      <c r="AG310" s="42"/>
      <c r="AH310" s="42"/>
      <c r="AI310" s="75"/>
      <c r="AJ310" s="75"/>
      <c r="AK310" s="75"/>
      <c r="AL310" s="75"/>
      <c r="AM310" s="74"/>
      <c r="AN310" s="72"/>
    </row>
    <row r="311" spans="1:40" s="69" customFormat="1" x14ac:dyDescent="0.25">
      <c r="A311" s="88"/>
      <c r="B311" s="88"/>
      <c r="C311" s="70"/>
      <c r="D311" s="70"/>
      <c r="E311" s="70"/>
      <c r="F311" s="70"/>
      <c r="G311" s="70"/>
      <c r="H311" s="422"/>
      <c r="I311" s="422"/>
      <c r="J311" s="418"/>
      <c r="K311" s="414"/>
      <c r="L311" s="409"/>
      <c r="M311" s="408"/>
      <c r="N311" s="408"/>
      <c r="O311" s="408"/>
      <c r="P311" s="411"/>
      <c r="Q311" s="411"/>
      <c r="R311" s="411"/>
      <c r="S311" s="411"/>
      <c r="T311" s="411"/>
      <c r="U311" s="42"/>
      <c r="V311" s="416"/>
      <c r="W311" s="42"/>
      <c r="X311" s="74"/>
      <c r="Y311" s="74"/>
      <c r="Z311" s="74"/>
      <c r="AA311" s="74"/>
      <c r="AB311" s="74"/>
      <c r="AC311" s="42"/>
      <c r="AD311" s="42"/>
      <c r="AE311" s="42"/>
      <c r="AF311" s="42"/>
      <c r="AG311" s="42"/>
      <c r="AH311" s="42"/>
      <c r="AI311" s="75"/>
      <c r="AJ311" s="75"/>
      <c r="AK311" s="75"/>
      <c r="AL311" s="75"/>
      <c r="AM311" s="74"/>
      <c r="AN311" s="72"/>
    </row>
    <row r="312" spans="1:40" s="69" customFormat="1" x14ac:dyDescent="0.25">
      <c r="A312" s="88"/>
      <c r="B312" s="88"/>
      <c r="C312" s="70"/>
      <c r="D312" s="70"/>
      <c r="E312" s="70"/>
      <c r="F312" s="70"/>
      <c r="G312" s="70"/>
      <c r="H312" s="422"/>
      <c r="I312" s="422"/>
      <c r="J312" s="418"/>
      <c r="K312" s="414"/>
      <c r="L312" s="409"/>
      <c r="M312" s="408"/>
      <c r="N312" s="408"/>
      <c r="O312" s="408"/>
      <c r="P312" s="411"/>
      <c r="Q312" s="411"/>
      <c r="R312" s="411"/>
      <c r="S312" s="411"/>
      <c r="T312" s="411"/>
      <c r="U312" s="42"/>
      <c r="V312" s="416"/>
      <c r="W312" s="42"/>
      <c r="X312" s="74"/>
      <c r="Y312" s="74"/>
      <c r="Z312" s="74"/>
      <c r="AA312" s="74"/>
      <c r="AB312" s="74"/>
      <c r="AC312" s="42"/>
      <c r="AD312" s="42"/>
      <c r="AE312" s="42"/>
      <c r="AF312" s="42"/>
      <c r="AG312" s="42"/>
      <c r="AH312" s="42"/>
      <c r="AI312" s="75"/>
      <c r="AJ312" s="75"/>
      <c r="AK312" s="75"/>
      <c r="AL312" s="75"/>
      <c r="AM312" s="74"/>
      <c r="AN312" s="72"/>
    </row>
    <row r="313" spans="1:40" s="69" customFormat="1" x14ac:dyDescent="0.25">
      <c r="A313" s="88"/>
      <c r="B313" s="88"/>
      <c r="C313" s="70"/>
      <c r="D313" s="70"/>
      <c r="E313" s="70"/>
      <c r="F313" s="70"/>
      <c r="G313" s="70"/>
      <c r="H313" s="422"/>
      <c r="I313" s="422"/>
      <c r="J313" s="418"/>
      <c r="K313" s="414"/>
      <c r="L313" s="409"/>
      <c r="M313" s="408"/>
      <c r="N313" s="408"/>
      <c r="O313" s="408"/>
      <c r="P313" s="411"/>
      <c r="Q313" s="411"/>
      <c r="R313" s="411"/>
      <c r="S313" s="411"/>
      <c r="T313" s="411"/>
      <c r="U313" s="42"/>
      <c r="V313" s="416"/>
      <c r="W313" s="42"/>
      <c r="X313" s="74"/>
      <c r="Y313" s="74"/>
      <c r="Z313" s="74"/>
      <c r="AA313" s="74"/>
      <c r="AB313" s="74"/>
      <c r="AC313" s="42"/>
      <c r="AD313" s="42"/>
      <c r="AE313" s="42"/>
      <c r="AF313" s="42"/>
      <c r="AG313" s="42"/>
      <c r="AH313" s="42"/>
      <c r="AI313" s="75"/>
      <c r="AJ313" s="75"/>
      <c r="AK313" s="75"/>
      <c r="AL313" s="75"/>
      <c r="AM313" s="74"/>
      <c r="AN313" s="72"/>
    </row>
    <row r="314" spans="1:40" s="69" customFormat="1" x14ac:dyDescent="0.25">
      <c r="A314" s="88"/>
      <c r="B314" s="88"/>
      <c r="C314" s="70"/>
      <c r="D314" s="70"/>
      <c r="E314" s="70"/>
      <c r="F314" s="70"/>
      <c r="G314" s="70"/>
      <c r="H314" s="422"/>
      <c r="I314" s="422"/>
      <c r="J314" s="418"/>
      <c r="K314" s="414"/>
      <c r="L314" s="409"/>
      <c r="M314" s="408"/>
      <c r="N314" s="408"/>
      <c r="O314" s="408"/>
      <c r="P314" s="411"/>
      <c r="Q314" s="411"/>
      <c r="R314" s="411"/>
      <c r="S314" s="411"/>
      <c r="T314" s="411"/>
      <c r="U314" s="42"/>
      <c r="V314" s="416"/>
      <c r="W314" s="42"/>
      <c r="X314" s="74"/>
      <c r="Y314" s="74"/>
      <c r="Z314" s="74"/>
      <c r="AA314" s="74"/>
      <c r="AB314" s="74"/>
      <c r="AC314" s="42"/>
      <c r="AD314" s="42"/>
      <c r="AE314" s="42"/>
      <c r="AF314" s="42"/>
      <c r="AG314" s="42"/>
      <c r="AH314" s="42"/>
      <c r="AI314" s="75"/>
      <c r="AJ314" s="75"/>
      <c r="AK314" s="75"/>
      <c r="AL314" s="75"/>
      <c r="AM314" s="74"/>
      <c r="AN314" s="72"/>
    </row>
    <row r="315" spans="1:40" s="69" customFormat="1" x14ac:dyDescent="0.25">
      <c r="A315" s="88"/>
      <c r="B315" s="88"/>
      <c r="C315" s="70"/>
      <c r="D315" s="70"/>
      <c r="E315" s="70"/>
      <c r="F315" s="70"/>
      <c r="G315" s="70"/>
      <c r="H315" s="422"/>
      <c r="I315" s="422"/>
      <c r="J315" s="418"/>
      <c r="K315" s="414"/>
      <c r="L315" s="409"/>
      <c r="M315" s="408"/>
      <c r="N315" s="408"/>
      <c r="O315" s="408"/>
      <c r="P315" s="411"/>
      <c r="Q315" s="411"/>
      <c r="R315" s="411"/>
      <c r="S315" s="411"/>
      <c r="T315" s="411"/>
      <c r="U315" s="42"/>
      <c r="V315" s="416"/>
      <c r="W315" s="42"/>
      <c r="X315" s="74"/>
      <c r="Y315" s="74"/>
      <c r="Z315" s="74"/>
      <c r="AA315" s="74"/>
      <c r="AB315" s="74"/>
      <c r="AC315" s="42"/>
      <c r="AD315" s="42"/>
      <c r="AE315" s="42"/>
      <c r="AF315" s="42"/>
      <c r="AG315" s="42"/>
      <c r="AH315" s="42"/>
      <c r="AI315" s="75"/>
      <c r="AJ315" s="75"/>
      <c r="AK315" s="75"/>
      <c r="AL315" s="75"/>
      <c r="AM315" s="74"/>
      <c r="AN315" s="72"/>
    </row>
    <row r="316" spans="1:40" s="69" customFormat="1" x14ac:dyDescent="0.25">
      <c r="A316" s="88"/>
      <c r="B316" s="88"/>
      <c r="C316" s="70"/>
      <c r="D316" s="70"/>
      <c r="E316" s="70"/>
      <c r="F316" s="70"/>
      <c r="G316" s="70"/>
      <c r="H316" s="422"/>
      <c r="I316" s="422"/>
      <c r="J316" s="418"/>
      <c r="K316" s="414"/>
      <c r="L316" s="409"/>
      <c r="M316" s="408"/>
      <c r="N316" s="408"/>
      <c r="O316" s="408"/>
      <c r="P316" s="411"/>
      <c r="Q316" s="411"/>
      <c r="R316" s="411"/>
      <c r="S316" s="411"/>
      <c r="T316" s="411"/>
      <c r="U316" s="42"/>
      <c r="V316" s="416"/>
      <c r="W316" s="42"/>
      <c r="X316" s="74"/>
      <c r="Y316" s="74"/>
      <c r="Z316" s="74"/>
      <c r="AA316" s="74"/>
      <c r="AB316" s="74"/>
      <c r="AC316" s="42"/>
      <c r="AD316" s="42"/>
      <c r="AE316" s="42"/>
      <c r="AF316" s="42"/>
      <c r="AG316" s="42"/>
      <c r="AH316" s="42"/>
      <c r="AI316" s="75"/>
      <c r="AJ316" s="75"/>
      <c r="AK316" s="75"/>
      <c r="AL316" s="75"/>
      <c r="AM316" s="74"/>
      <c r="AN316" s="72"/>
    </row>
    <row r="317" spans="1:40" s="69" customFormat="1" x14ac:dyDescent="0.25">
      <c r="A317" s="88"/>
      <c r="B317" s="88"/>
      <c r="C317" s="70"/>
      <c r="D317" s="70"/>
      <c r="E317" s="70"/>
      <c r="F317" s="70"/>
      <c r="G317" s="70"/>
      <c r="H317" s="422"/>
      <c r="I317" s="422"/>
      <c r="J317" s="418"/>
      <c r="K317" s="414"/>
      <c r="L317" s="409"/>
      <c r="M317" s="408"/>
      <c r="N317" s="408"/>
      <c r="O317" s="408"/>
      <c r="P317" s="411"/>
      <c r="Q317" s="411"/>
      <c r="R317" s="411"/>
      <c r="S317" s="411"/>
      <c r="T317" s="411"/>
      <c r="U317" s="42"/>
      <c r="V317" s="416"/>
      <c r="W317" s="42"/>
      <c r="X317" s="74"/>
      <c r="Y317" s="74"/>
      <c r="Z317" s="74"/>
      <c r="AA317" s="74"/>
      <c r="AB317" s="74"/>
      <c r="AC317" s="42"/>
      <c r="AD317" s="42"/>
      <c r="AE317" s="42"/>
      <c r="AF317" s="42"/>
      <c r="AG317" s="42"/>
      <c r="AH317" s="42"/>
      <c r="AI317" s="75"/>
      <c r="AJ317" s="75"/>
      <c r="AK317" s="75"/>
      <c r="AL317" s="75"/>
      <c r="AM317" s="74"/>
      <c r="AN317" s="72"/>
    </row>
    <row r="318" spans="1:40" s="69" customFormat="1" x14ac:dyDescent="0.25">
      <c r="A318" s="88"/>
      <c r="B318" s="88"/>
      <c r="C318" s="70"/>
      <c r="D318" s="70"/>
      <c r="E318" s="70"/>
      <c r="F318" s="70"/>
      <c r="G318" s="70"/>
      <c r="H318" s="422"/>
      <c r="I318" s="422"/>
      <c r="J318" s="418"/>
      <c r="K318" s="414"/>
      <c r="L318" s="409"/>
      <c r="M318" s="408"/>
      <c r="N318" s="408"/>
      <c r="O318" s="408"/>
      <c r="P318" s="411"/>
      <c r="Q318" s="411"/>
      <c r="R318" s="411"/>
      <c r="S318" s="411"/>
      <c r="T318" s="411"/>
      <c r="U318" s="42"/>
      <c r="V318" s="416"/>
      <c r="W318" s="42"/>
      <c r="X318" s="74"/>
      <c r="Y318" s="74"/>
      <c r="Z318" s="74"/>
      <c r="AA318" s="74"/>
      <c r="AB318" s="74"/>
      <c r="AC318" s="42"/>
      <c r="AD318" s="42"/>
      <c r="AE318" s="42"/>
      <c r="AF318" s="42"/>
      <c r="AG318" s="42"/>
      <c r="AH318" s="42"/>
      <c r="AI318" s="75"/>
      <c r="AJ318" s="75"/>
      <c r="AK318" s="75"/>
      <c r="AL318" s="75"/>
      <c r="AM318" s="74"/>
      <c r="AN318" s="72"/>
    </row>
    <row r="319" spans="1:40" s="69" customFormat="1" x14ac:dyDescent="0.25">
      <c r="A319" s="88"/>
      <c r="B319" s="88"/>
      <c r="C319" s="70"/>
      <c r="D319" s="70"/>
      <c r="E319" s="70"/>
      <c r="F319" s="70"/>
      <c r="G319" s="70"/>
      <c r="H319" s="422"/>
      <c r="I319" s="422"/>
      <c r="J319" s="418"/>
      <c r="K319" s="414"/>
      <c r="L319" s="409"/>
      <c r="M319" s="408"/>
      <c r="N319" s="408"/>
      <c r="O319" s="408"/>
      <c r="P319" s="411"/>
      <c r="Q319" s="411"/>
      <c r="R319" s="411"/>
      <c r="S319" s="411"/>
      <c r="T319" s="411"/>
      <c r="U319" s="42"/>
      <c r="V319" s="416"/>
      <c r="W319" s="42"/>
      <c r="X319" s="74"/>
      <c r="Y319" s="74"/>
      <c r="Z319" s="74"/>
      <c r="AA319" s="74"/>
      <c r="AB319" s="74"/>
      <c r="AC319" s="42"/>
      <c r="AD319" s="42"/>
      <c r="AE319" s="42"/>
      <c r="AF319" s="42"/>
      <c r="AG319" s="42"/>
      <c r="AH319" s="42"/>
      <c r="AI319" s="75"/>
      <c r="AJ319" s="75"/>
      <c r="AK319" s="75"/>
      <c r="AL319" s="75"/>
      <c r="AM319" s="74"/>
      <c r="AN319" s="72"/>
    </row>
    <row r="320" spans="1:40" s="69" customFormat="1" x14ac:dyDescent="0.25">
      <c r="A320" s="88"/>
      <c r="B320" s="88"/>
      <c r="C320" s="70"/>
      <c r="D320" s="70"/>
      <c r="E320" s="70"/>
      <c r="F320" s="70"/>
      <c r="G320" s="70"/>
      <c r="H320" s="422"/>
      <c r="I320" s="422"/>
      <c r="J320" s="418"/>
      <c r="K320" s="414"/>
      <c r="L320" s="409"/>
      <c r="M320" s="408"/>
      <c r="N320" s="408"/>
      <c r="O320" s="408"/>
      <c r="P320" s="411"/>
      <c r="Q320" s="411"/>
      <c r="R320" s="411"/>
      <c r="S320" s="411"/>
      <c r="T320" s="411"/>
      <c r="U320" s="42"/>
      <c r="V320" s="416"/>
      <c r="W320" s="42"/>
      <c r="X320" s="74"/>
      <c r="Y320" s="74"/>
      <c r="Z320" s="74"/>
      <c r="AA320" s="74"/>
      <c r="AB320" s="74"/>
      <c r="AC320" s="42"/>
      <c r="AD320" s="42"/>
      <c r="AE320" s="42"/>
      <c r="AF320" s="42"/>
      <c r="AG320" s="42"/>
      <c r="AH320" s="42"/>
      <c r="AI320" s="75"/>
      <c r="AJ320" s="75"/>
      <c r="AK320" s="75"/>
      <c r="AL320" s="75"/>
      <c r="AM320" s="74"/>
      <c r="AN320" s="72"/>
    </row>
    <row r="321" spans="1:40" s="69" customFormat="1" x14ac:dyDescent="0.25">
      <c r="A321" s="88"/>
      <c r="B321" s="88"/>
      <c r="C321" s="70"/>
      <c r="D321" s="70"/>
      <c r="E321" s="70"/>
      <c r="F321" s="70"/>
      <c r="G321" s="70"/>
      <c r="H321" s="422"/>
      <c r="I321" s="422"/>
      <c r="J321" s="418"/>
      <c r="K321" s="414"/>
      <c r="L321" s="409"/>
      <c r="M321" s="408"/>
      <c r="N321" s="408"/>
      <c r="O321" s="408"/>
      <c r="P321" s="411"/>
      <c r="Q321" s="411"/>
      <c r="R321" s="411"/>
      <c r="S321" s="411"/>
      <c r="T321" s="411"/>
      <c r="U321" s="42"/>
      <c r="V321" s="416"/>
      <c r="W321" s="42"/>
      <c r="X321" s="74"/>
      <c r="Y321" s="74"/>
      <c r="Z321" s="74"/>
      <c r="AA321" s="74"/>
      <c r="AB321" s="74"/>
      <c r="AC321" s="42"/>
      <c r="AD321" s="42"/>
      <c r="AE321" s="42"/>
      <c r="AF321" s="42"/>
      <c r="AG321" s="42"/>
      <c r="AH321" s="42"/>
      <c r="AI321" s="75"/>
      <c r="AJ321" s="75"/>
      <c r="AK321" s="75"/>
      <c r="AL321" s="75"/>
      <c r="AM321" s="74"/>
      <c r="AN321" s="72"/>
    </row>
    <row r="322" spans="1:40" s="69" customFormat="1" x14ac:dyDescent="0.25">
      <c r="A322" s="88"/>
      <c r="B322" s="88"/>
      <c r="C322" s="70"/>
      <c r="D322" s="70"/>
      <c r="E322" s="70"/>
      <c r="F322" s="70"/>
      <c r="G322" s="70"/>
      <c r="H322" s="422"/>
      <c r="I322" s="422"/>
      <c r="J322" s="418"/>
      <c r="K322" s="414"/>
      <c r="L322" s="409"/>
      <c r="M322" s="408"/>
      <c r="N322" s="408"/>
      <c r="O322" s="408"/>
      <c r="P322" s="411"/>
      <c r="Q322" s="411"/>
      <c r="R322" s="411"/>
      <c r="S322" s="411"/>
      <c r="T322" s="411"/>
      <c r="U322" s="42"/>
      <c r="V322" s="416"/>
      <c r="W322" s="42"/>
      <c r="X322" s="74"/>
      <c r="Y322" s="74"/>
      <c r="Z322" s="74"/>
      <c r="AA322" s="74"/>
      <c r="AB322" s="74"/>
      <c r="AC322" s="42"/>
      <c r="AD322" s="42"/>
      <c r="AE322" s="42"/>
      <c r="AF322" s="42"/>
      <c r="AG322" s="42"/>
      <c r="AH322" s="42"/>
      <c r="AI322" s="75"/>
      <c r="AJ322" s="75"/>
      <c r="AK322" s="75"/>
      <c r="AL322" s="75"/>
      <c r="AM322" s="74"/>
      <c r="AN322" s="72"/>
    </row>
    <row r="323" spans="1:40" s="69" customFormat="1" x14ac:dyDescent="0.25">
      <c r="A323" s="88"/>
      <c r="B323" s="88"/>
      <c r="C323" s="70"/>
      <c r="D323" s="70"/>
      <c r="E323" s="70"/>
      <c r="F323" s="70"/>
      <c r="G323" s="70"/>
      <c r="H323" s="422"/>
      <c r="I323" s="422"/>
      <c r="J323" s="418"/>
      <c r="K323" s="414"/>
      <c r="L323" s="409"/>
      <c r="M323" s="408"/>
      <c r="N323" s="408"/>
      <c r="O323" s="408"/>
      <c r="P323" s="411"/>
      <c r="Q323" s="411"/>
      <c r="R323" s="411"/>
      <c r="S323" s="411"/>
      <c r="T323" s="411"/>
      <c r="U323" s="42"/>
      <c r="V323" s="416"/>
      <c r="W323" s="42"/>
      <c r="X323" s="74"/>
      <c r="Y323" s="74"/>
      <c r="Z323" s="74"/>
      <c r="AA323" s="74"/>
      <c r="AB323" s="74"/>
      <c r="AC323" s="42"/>
      <c r="AD323" s="42"/>
      <c r="AE323" s="42"/>
      <c r="AF323" s="42"/>
      <c r="AG323" s="42"/>
      <c r="AH323" s="42"/>
      <c r="AI323" s="75"/>
      <c r="AJ323" s="75"/>
      <c r="AK323" s="75"/>
      <c r="AL323" s="75"/>
      <c r="AM323" s="74"/>
      <c r="AN323" s="72"/>
    </row>
    <row r="324" spans="1:40" s="69" customFormat="1" x14ac:dyDescent="0.25">
      <c r="A324" s="88"/>
      <c r="B324" s="88"/>
      <c r="C324" s="70"/>
      <c r="D324" s="70"/>
      <c r="E324" s="70"/>
      <c r="F324" s="70"/>
      <c r="G324" s="70"/>
      <c r="H324" s="422"/>
      <c r="I324" s="422"/>
      <c r="J324" s="418"/>
      <c r="K324" s="414"/>
      <c r="L324" s="409"/>
      <c r="M324" s="408"/>
      <c r="N324" s="408"/>
      <c r="O324" s="408"/>
      <c r="P324" s="411"/>
      <c r="Q324" s="411"/>
      <c r="R324" s="411"/>
      <c r="S324" s="411"/>
      <c r="T324" s="411"/>
      <c r="U324" s="42"/>
      <c r="V324" s="416"/>
      <c r="W324" s="42"/>
      <c r="X324" s="74"/>
      <c r="Y324" s="74"/>
      <c r="Z324" s="74"/>
      <c r="AA324" s="74"/>
      <c r="AB324" s="74"/>
      <c r="AC324" s="42"/>
      <c r="AD324" s="42"/>
      <c r="AE324" s="42"/>
      <c r="AF324" s="42"/>
      <c r="AG324" s="42"/>
      <c r="AH324" s="42"/>
      <c r="AI324" s="75"/>
      <c r="AJ324" s="75"/>
      <c r="AK324" s="75"/>
      <c r="AL324" s="75"/>
      <c r="AM324" s="74"/>
      <c r="AN324" s="72"/>
    </row>
    <row r="325" spans="1:40" s="69" customFormat="1" x14ac:dyDescent="0.25">
      <c r="A325" s="88"/>
      <c r="B325" s="88"/>
      <c r="C325" s="70"/>
      <c r="D325" s="70"/>
      <c r="E325" s="70"/>
      <c r="F325" s="70"/>
      <c r="G325" s="70"/>
      <c r="H325" s="422"/>
      <c r="I325" s="422"/>
      <c r="J325" s="418"/>
      <c r="K325" s="414"/>
      <c r="L325" s="409"/>
      <c r="M325" s="408"/>
      <c r="N325" s="408"/>
      <c r="O325" s="408"/>
      <c r="P325" s="411"/>
      <c r="Q325" s="411"/>
      <c r="R325" s="411"/>
      <c r="S325" s="411"/>
      <c r="T325" s="411"/>
      <c r="U325" s="42"/>
      <c r="V325" s="416"/>
      <c r="W325" s="42"/>
      <c r="X325" s="74"/>
      <c r="Y325" s="74"/>
      <c r="Z325" s="74"/>
      <c r="AA325" s="74"/>
      <c r="AB325" s="74"/>
      <c r="AC325" s="42"/>
      <c r="AD325" s="42"/>
      <c r="AE325" s="42"/>
      <c r="AF325" s="42"/>
      <c r="AG325" s="42"/>
      <c r="AH325" s="42"/>
      <c r="AI325" s="75"/>
      <c r="AJ325" s="75"/>
      <c r="AK325" s="75"/>
      <c r="AL325" s="75"/>
      <c r="AM325" s="74"/>
      <c r="AN325" s="72"/>
    </row>
    <row r="326" spans="1:40" s="69" customFormat="1" x14ac:dyDescent="0.25">
      <c r="A326" s="88"/>
      <c r="B326" s="88"/>
      <c r="C326" s="70"/>
      <c r="D326" s="70"/>
      <c r="E326" s="70"/>
      <c r="F326" s="70"/>
      <c r="G326" s="70"/>
      <c r="H326" s="422"/>
      <c r="I326" s="422"/>
      <c r="J326" s="418"/>
      <c r="K326" s="414"/>
      <c r="L326" s="409"/>
      <c r="M326" s="408"/>
      <c r="N326" s="408"/>
      <c r="O326" s="408"/>
      <c r="P326" s="411"/>
      <c r="Q326" s="411"/>
      <c r="R326" s="411"/>
      <c r="S326" s="411"/>
      <c r="T326" s="411"/>
      <c r="U326" s="42"/>
      <c r="V326" s="416"/>
      <c r="W326" s="42"/>
      <c r="X326" s="74"/>
      <c r="Y326" s="74"/>
      <c r="Z326" s="74"/>
      <c r="AA326" s="74"/>
      <c r="AB326" s="74"/>
      <c r="AC326" s="42"/>
      <c r="AD326" s="42"/>
      <c r="AE326" s="42"/>
      <c r="AF326" s="42"/>
      <c r="AG326" s="42"/>
      <c r="AH326" s="42"/>
      <c r="AI326" s="75"/>
      <c r="AJ326" s="75"/>
      <c r="AK326" s="75"/>
      <c r="AL326" s="75"/>
      <c r="AM326" s="74"/>
      <c r="AN326" s="72"/>
    </row>
    <row r="327" spans="1:40" s="69" customFormat="1" x14ac:dyDescent="0.25">
      <c r="A327" s="88"/>
      <c r="B327" s="88"/>
      <c r="C327" s="70"/>
      <c r="D327" s="70"/>
      <c r="E327" s="70"/>
      <c r="F327" s="70"/>
      <c r="G327" s="70"/>
      <c r="H327" s="422"/>
      <c r="I327" s="422"/>
      <c r="J327" s="418"/>
      <c r="K327" s="414"/>
      <c r="L327" s="409"/>
      <c r="M327" s="408"/>
      <c r="N327" s="408"/>
      <c r="O327" s="408"/>
      <c r="P327" s="411"/>
      <c r="Q327" s="411"/>
      <c r="R327" s="411"/>
      <c r="S327" s="411"/>
      <c r="T327" s="411"/>
      <c r="U327" s="42"/>
      <c r="V327" s="416"/>
      <c r="W327" s="42"/>
      <c r="X327" s="74"/>
      <c r="Y327" s="74"/>
      <c r="Z327" s="74"/>
      <c r="AA327" s="74"/>
      <c r="AB327" s="74"/>
      <c r="AC327" s="42"/>
      <c r="AD327" s="42"/>
      <c r="AE327" s="42"/>
      <c r="AF327" s="42"/>
      <c r="AG327" s="42"/>
      <c r="AH327" s="42"/>
      <c r="AI327" s="75"/>
      <c r="AJ327" s="75"/>
      <c r="AK327" s="75"/>
      <c r="AL327" s="75"/>
      <c r="AM327" s="74"/>
      <c r="AN327" s="72"/>
    </row>
    <row r="328" spans="1:40" s="69" customFormat="1" x14ac:dyDescent="0.25">
      <c r="A328" s="88"/>
      <c r="B328" s="88"/>
      <c r="C328" s="70"/>
      <c r="D328" s="70"/>
      <c r="E328" s="70"/>
      <c r="F328" s="70"/>
      <c r="G328" s="70"/>
      <c r="H328" s="422"/>
      <c r="I328" s="422"/>
      <c r="J328" s="418"/>
      <c r="K328" s="414"/>
      <c r="L328" s="409"/>
      <c r="M328" s="408"/>
      <c r="N328" s="408"/>
      <c r="O328" s="408"/>
      <c r="P328" s="411"/>
      <c r="Q328" s="411"/>
      <c r="R328" s="411"/>
      <c r="S328" s="411"/>
      <c r="T328" s="411"/>
      <c r="U328" s="42"/>
      <c r="V328" s="416"/>
      <c r="W328" s="42"/>
      <c r="X328" s="74"/>
      <c r="Y328" s="74"/>
      <c r="Z328" s="74"/>
      <c r="AA328" s="74"/>
      <c r="AB328" s="74"/>
      <c r="AC328" s="42"/>
      <c r="AD328" s="42"/>
      <c r="AE328" s="42"/>
      <c r="AF328" s="42"/>
      <c r="AG328" s="42"/>
      <c r="AH328" s="42"/>
      <c r="AI328" s="75"/>
      <c r="AJ328" s="75"/>
      <c r="AK328" s="75"/>
      <c r="AL328" s="75"/>
      <c r="AM328" s="74"/>
      <c r="AN328" s="72"/>
    </row>
    <row r="329" spans="1:40" s="69" customFormat="1" x14ac:dyDescent="0.25">
      <c r="A329" s="88"/>
      <c r="B329" s="88"/>
      <c r="C329" s="70"/>
      <c r="D329" s="70"/>
      <c r="E329" s="70"/>
      <c r="F329" s="70"/>
      <c r="G329" s="70"/>
      <c r="H329" s="422"/>
      <c r="I329" s="422"/>
      <c r="J329" s="418"/>
      <c r="K329" s="414"/>
      <c r="L329" s="409"/>
      <c r="M329" s="408"/>
      <c r="N329" s="408"/>
      <c r="O329" s="408"/>
      <c r="P329" s="411"/>
      <c r="Q329" s="411"/>
      <c r="R329" s="411"/>
      <c r="S329" s="411"/>
      <c r="T329" s="411"/>
      <c r="U329" s="42"/>
      <c r="V329" s="416"/>
      <c r="W329" s="42"/>
      <c r="X329" s="74"/>
      <c r="Y329" s="74"/>
      <c r="Z329" s="74"/>
      <c r="AA329" s="74"/>
      <c r="AB329" s="74"/>
      <c r="AC329" s="42"/>
      <c r="AD329" s="42"/>
      <c r="AE329" s="42"/>
      <c r="AF329" s="42"/>
      <c r="AG329" s="42"/>
      <c r="AH329" s="42"/>
      <c r="AI329" s="75"/>
      <c r="AJ329" s="75"/>
      <c r="AK329" s="75"/>
      <c r="AL329" s="75"/>
      <c r="AM329" s="74"/>
      <c r="AN329" s="72"/>
    </row>
    <row r="330" spans="1:40" s="69" customFormat="1" x14ac:dyDescent="0.25">
      <c r="A330" s="88"/>
      <c r="B330" s="88"/>
      <c r="C330" s="70"/>
      <c r="D330" s="70"/>
      <c r="E330" s="70"/>
      <c r="F330" s="70"/>
      <c r="G330" s="70"/>
      <c r="H330" s="422"/>
      <c r="I330" s="422"/>
      <c r="J330" s="418"/>
      <c r="K330" s="414"/>
      <c r="L330" s="409"/>
      <c r="M330" s="408"/>
      <c r="N330" s="408"/>
      <c r="O330" s="408"/>
      <c r="P330" s="411"/>
      <c r="Q330" s="411"/>
      <c r="R330" s="411"/>
      <c r="S330" s="411"/>
      <c r="T330" s="411"/>
      <c r="U330" s="42"/>
      <c r="V330" s="416"/>
      <c r="W330" s="42"/>
      <c r="X330" s="74"/>
      <c r="Y330" s="74"/>
      <c r="Z330" s="74"/>
      <c r="AA330" s="74"/>
      <c r="AB330" s="74"/>
      <c r="AC330" s="42"/>
      <c r="AD330" s="42"/>
      <c r="AE330" s="42"/>
      <c r="AF330" s="42"/>
      <c r="AG330" s="42"/>
      <c r="AH330" s="42"/>
      <c r="AI330" s="75"/>
      <c r="AJ330" s="75"/>
      <c r="AK330" s="75"/>
      <c r="AL330" s="75"/>
      <c r="AM330" s="74"/>
      <c r="AN330" s="72"/>
    </row>
    <row r="331" spans="1:40" s="69" customFormat="1" x14ac:dyDescent="0.25">
      <c r="A331" s="88"/>
      <c r="B331" s="88"/>
      <c r="C331" s="70"/>
      <c r="D331" s="70"/>
      <c r="E331" s="70"/>
      <c r="F331" s="70"/>
      <c r="G331" s="70"/>
      <c r="H331" s="422"/>
      <c r="I331" s="422"/>
      <c r="J331" s="418"/>
      <c r="K331" s="414"/>
      <c r="L331" s="409"/>
      <c r="M331" s="408"/>
      <c r="N331" s="408"/>
      <c r="O331" s="408"/>
      <c r="P331" s="411"/>
      <c r="Q331" s="411"/>
      <c r="R331" s="411"/>
      <c r="S331" s="411"/>
      <c r="T331" s="411"/>
      <c r="U331" s="42"/>
      <c r="V331" s="416"/>
      <c r="W331" s="42"/>
      <c r="X331" s="74"/>
      <c r="Y331" s="74"/>
      <c r="Z331" s="74"/>
      <c r="AA331" s="74"/>
      <c r="AB331" s="74"/>
      <c r="AC331" s="42"/>
      <c r="AD331" s="42"/>
      <c r="AE331" s="42"/>
      <c r="AF331" s="42"/>
      <c r="AG331" s="42"/>
      <c r="AH331" s="42"/>
      <c r="AI331" s="75"/>
      <c r="AJ331" s="75"/>
      <c r="AK331" s="75"/>
      <c r="AL331" s="75"/>
      <c r="AM331" s="74"/>
      <c r="AN331" s="72"/>
    </row>
    <row r="332" spans="1:40" s="69" customFormat="1" x14ac:dyDescent="0.25">
      <c r="A332" s="88"/>
      <c r="B332" s="88"/>
      <c r="C332" s="70"/>
      <c r="D332" s="70"/>
      <c r="E332" s="70"/>
      <c r="F332" s="70"/>
      <c r="G332" s="70"/>
      <c r="H332" s="422"/>
      <c r="I332" s="422"/>
      <c r="J332" s="418"/>
      <c r="K332" s="414"/>
      <c r="L332" s="409"/>
      <c r="M332" s="408"/>
      <c r="N332" s="408"/>
      <c r="O332" s="408"/>
      <c r="P332" s="411"/>
      <c r="Q332" s="411"/>
      <c r="R332" s="411"/>
      <c r="S332" s="411"/>
      <c r="T332" s="411"/>
      <c r="U332" s="42"/>
      <c r="V332" s="416"/>
      <c r="W332" s="42"/>
      <c r="X332" s="74"/>
      <c r="Y332" s="74"/>
      <c r="Z332" s="74"/>
      <c r="AA332" s="74"/>
      <c r="AB332" s="74"/>
      <c r="AC332" s="42"/>
      <c r="AD332" s="42"/>
      <c r="AE332" s="42"/>
      <c r="AF332" s="42"/>
      <c r="AG332" s="42"/>
      <c r="AH332" s="42"/>
      <c r="AI332" s="75"/>
      <c r="AJ332" s="75"/>
      <c r="AK332" s="75"/>
      <c r="AL332" s="75"/>
      <c r="AM332" s="74"/>
      <c r="AN332" s="72"/>
    </row>
    <row r="333" spans="1:40" s="69" customFormat="1" x14ac:dyDescent="0.25">
      <c r="A333" s="88"/>
      <c r="B333" s="88"/>
      <c r="C333" s="70"/>
      <c r="D333" s="70"/>
      <c r="E333" s="70"/>
      <c r="F333" s="70"/>
      <c r="G333" s="70"/>
      <c r="H333" s="422"/>
      <c r="I333" s="422"/>
      <c r="J333" s="418"/>
      <c r="K333" s="414"/>
      <c r="L333" s="409"/>
      <c r="M333" s="408"/>
      <c r="N333" s="408"/>
      <c r="O333" s="408"/>
      <c r="P333" s="411"/>
      <c r="Q333" s="411"/>
      <c r="R333" s="411"/>
      <c r="S333" s="411"/>
      <c r="T333" s="411"/>
      <c r="U333" s="42"/>
      <c r="V333" s="416"/>
      <c r="W333" s="42"/>
      <c r="X333" s="74"/>
      <c r="Y333" s="74"/>
      <c r="Z333" s="74"/>
      <c r="AA333" s="74"/>
      <c r="AB333" s="74"/>
      <c r="AC333" s="42"/>
      <c r="AD333" s="42"/>
      <c r="AE333" s="42"/>
      <c r="AF333" s="42"/>
      <c r="AG333" s="42"/>
      <c r="AH333" s="42"/>
      <c r="AI333" s="75"/>
      <c r="AJ333" s="75"/>
      <c r="AK333" s="75"/>
      <c r="AL333" s="75"/>
      <c r="AM333" s="74"/>
      <c r="AN333" s="72"/>
    </row>
    <row r="334" spans="1:40" s="69" customFormat="1" x14ac:dyDescent="0.25">
      <c r="A334" s="63"/>
      <c r="B334" s="63"/>
      <c r="C334" s="63"/>
      <c r="D334" s="63"/>
      <c r="E334" s="63"/>
      <c r="F334" s="63"/>
      <c r="G334" s="63"/>
      <c r="H334" s="423"/>
      <c r="I334" s="423"/>
      <c r="J334" s="419"/>
      <c r="K334" s="425"/>
      <c r="L334" s="66"/>
      <c r="M334" s="65"/>
      <c r="N334" s="67"/>
      <c r="O334" s="67"/>
      <c r="P334" s="41"/>
      <c r="Q334" s="41"/>
      <c r="R334" s="41"/>
      <c r="S334" s="41"/>
      <c r="T334" s="41"/>
      <c r="U334" s="41"/>
      <c r="V334" s="416"/>
      <c r="W334" s="41"/>
      <c r="X334" s="67"/>
      <c r="Y334" s="67"/>
      <c r="Z334" s="67"/>
      <c r="AA334" s="67"/>
      <c r="AB334" s="67"/>
      <c r="AC334" s="41"/>
      <c r="AD334" s="41"/>
      <c r="AE334" s="41"/>
      <c r="AF334" s="41"/>
      <c r="AG334" s="41"/>
      <c r="AH334" s="41"/>
      <c r="AI334" s="68"/>
      <c r="AJ334" s="68"/>
      <c r="AK334" s="68"/>
      <c r="AL334" s="68"/>
      <c r="AM334" s="67"/>
      <c r="AN334" s="72"/>
    </row>
    <row r="335" spans="1:40" s="69" customFormat="1" x14ac:dyDescent="0.25">
      <c r="A335" s="88"/>
      <c r="B335" s="88"/>
      <c r="C335" s="70"/>
      <c r="D335" s="70"/>
      <c r="E335" s="70"/>
      <c r="F335" s="70"/>
      <c r="G335" s="70"/>
      <c r="H335" s="422"/>
      <c r="I335" s="422"/>
      <c r="J335" s="418"/>
      <c r="K335" s="403"/>
      <c r="L335" s="73"/>
      <c r="M335" s="72"/>
      <c r="N335" s="72"/>
      <c r="O335" s="72"/>
      <c r="P335" s="42"/>
      <c r="Q335" s="42"/>
      <c r="R335" s="42"/>
      <c r="S335" s="42"/>
      <c r="T335" s="42"/>
      <c r="U335" s="42"/>
      <c r="V335" s="416"/>
      <c r="W335" s="42"/>
      <c r="X335" s="74"/>
      <c r="Y335" s="74"/>
      <c r="Z335" s="74"/>
      <c r="AA335" s="74"/>
      <c r="AB335" s="74"/>
      <c r="AC335" s="42"/>
      <c r="AD335" s="42"/>
      <c r="AE335" s="42"/>
      <c r="AF335" s="42"/>
      <c r="AG335" s="42"/>
      <c r="AH335" s="42"/>
      <c r="AI335" s="75"/>
      <c r="AJ335" s="75"/>
      <c r="AK335" s="75"/>
      <c r="AL335" s="75"/>
      <c r="AM335" s="74"/>
      <c r="AN335" s="72"/>
    </row>
    <row r="336" spans="1:40" s="69" customFormat="1" x14ac:dyDescent="0.25">
      <c r="A336" s="88"/>
      <c r="B336" s="88"/>
      <c r="C336" s="70"/>
      <c r="D336" s="70"/>
      <c r="E336" s="70"/>
      <c r="F336" s="70"/>
      <c r="G336" s="70"/>
      <c r="H336" s="422"/>
      <c r="I336" s="422"/>
      <c r="J336" s="418"/>
      <c r="K336" s="403"/>
      <c r="L336" s="73"/>
      <c r="M336" s="72"/>
      <c r="N336" s="72"/>
      <c r="O336" s="72"/>
      <c r="P336" s="42"/>
      <c r="Q336" s="42"/>
      <c r="R336" s="42"/>
      <c r="S336" s="42"/>
      <c r="T336" s="42"/>
      <c r="U336" s="42"/>
      <c r="V336" s="416"/>
      <c r="W336" s="42"/>
      <c r="X336" s="74"/>
      <c r="Y336" s="74"/>
      <c r="Z336" s="74"/>
      <c r="AA336" s="74"/>
      <c r="AB336" s="74"/>
      <c r="AC336" s="42"/>
      <c r="AD336" s="42"/>
      <c r="AE336" s="42"/>
      <c r="AF336" s="42"/>
      <c r="AG336" s="42"/>
      <c r="AH336" s="42"/>
      <c r="AI336" s="75"/>
      <c r="AJ336" s="75"/>
      <c r="AK336" s="75"/>
      <c r="AL336" s="75"/>
      <c r="AM336" s="74"/>
      <c r="AN336" s="72"/>
    </row>
    <row r="337" spans="1:40" s="69" customFormat="1" x14ac:dyDescent="0.25">
      <c r="A337" s="88"/>
      <c r="B337" s="88"/>
      <c r="C337" s="70"/>
      <c r="D337" s="70"/>
      <c r="E337" s="70"/>
      <c r="F337" s="70"/>
      <c r="G337" s="70"/>
      <c r="H337" s="422"/>
      <c r="I337" s="422"/>
      <c r="J337" s="418"/>
      <c r="K337" s="403"/>
      <c r="L337" s="73"/>
      <c r="M337" s="72"/>
      <c r="N337" s="72"/>
      <c r="O337" s="72"/>
      <c r="P337" s="42"/>
      <c r="Q337" s="42"/>
      <c r="R337" s="42"/>
      <c r="S337" s="42"/>
      <c r="T337" s="42"/>
      <c r="U337" s="42"/>
      <c r="V337" s="416"/>
      <c r="W337" s="42"/>
      <c r="X337" s="74"/>
      <c r="Y337" s="74"/>
      <c r="Z337" s="74"/>
      <c r="AA337" s="74"/>
      <c r="AB337" s="74"/>
      <c r="AC337" s="42"/>
      <c r="AD337" s="42"/>
      <c r="AE337" s="42"/>
      <c r="AF337" s="42"/>
      <c r="AG337" s="42"/>
      <c r="AH337" s="42"/>
      <c r="AI337" s="75"/>
      <c r="AJ337" s="75"/>
      <c r="AK337" s="75"/>
      <c r="AL337" s="75"/>
      <c r="AM337" s="74"/>
      <c r="AN337" s="72"/>
    </row>
    <row r="338" spans="1:40" s="69" customFormat="1" x14ac:dyDescent="0.25">
      <c r="A338" s="88"/>
      <c r="B338" s="88"/>
      <c r="C338" s="70"/>
      <c r="D338" s="70"/>
      <c r="E338" s="70"/>
      <c r="F338" s="70"/>
      <c r="G338" s="70"/>
      <c r="H338" s="422"/>
      <c r="I338" s="422"/>
      <c r="J338" s="418"/>
      <c r="K338" s="403"/>
      <c r="L338" s="73"/>
      <c r="M338" s="72"/>
      <c r="N338" s="72"/>
      <c r="O338" s="72"/>
      <c r="P338" s="42"/>
      <c r="Q338" s="42"/>
      <c r="R338" s="42"/>
      <c r="S338" s="42"/>
      <c r="T338" s="42"/>
      <c r="U338" s="42"/>
      <c r="V338" s="416"/>
      <c r="W338" s="42"/>
      <c r="X338" s="74"/>
      <c r="Y338" s="74"/>
      <c r="Z338" s="74"/>
      <c r="AA338" s="74"/>
      <c r="AB338" s="74"/>
      <c r="AC338" s="42"/>
      <c r="AD338" s="42"/>
      <c r="AE338" s="42"/>
      <c r="AF338" s="42"/>
      <c r="AG338" s="42"/>
      <c r="AH338" s="42"/>
      <c r="AI338" s="75"/>
      <c r="AJ338" s="75"/>
      <c r="AK338" s="75"/>
      <c r="AL338" s="75"/>
      <c r="AM338" s="74"/>
      <c r="AN338" s="72"/>
    </row>
    <row r="339" spans="1:40" s="69" customFormat="1" x14ac:dyDescent="0.25">
      <c r="A339" s="88"/>
      <c r="B339" s="88"/>
      <c r="C339" s="70"/>
      <c r="D339" s="70"/>
      <c r="E339" s="70"/>
      <c r="F339" s="70"/>
      <c r="G339" s="70"/>
      <c r="H339" s="422"/>
      <c r="I339" s="422"/>
      <c r="J339" s="418"/>
      <c r="K339" s="403"/>
      <c r="L339" s="73"/>
      <c r="M339" s="72"/>
      <c r="N339" s="72"/>
      <c r="O339" s="72"/>
      <c r="P339" s="42"/>
      <c r="Q339" s="42"/>
      <c r="R339" s="42"/>
      <c r="S339" s="42"/>
      <c r="T339" s="42"/>
      <c r="U339" s="42"/>
      <c r="V339" s="416"/>
      <c r="W339" s="42"/>
      <c r="X339" s="74"/>
      <c r="Y339" s="74"/>
      <c r="Z339" s="74"/>
      <c r="AA339" s="74"/>
      <c r="AB339" s="74"/>
      <c r="AC339" s="42"/>
      <c r="AD339" s="42"/>
      <c r="AE339" s="42"/>
      <c r="AF339" s="42"/>
      <c r="AG339" s="42"/>
      <c r="AH339" s="42"/>
      <c r="AI339" s="75"/>
      <c r="AJ339" s="75"/>
      <c r="AK339" s="75"/>
      <c r="AL339" s="75"/>
      <c r="AM339" s="74"/>
      <c r="AN339" s="72"/>
    </row>
    <row r="340" spans="1:40" s="69" customFormat="1" x14ac:dyDescent="0.25">
      <c r="A340" s="88"/>
      <c r="B340" s="88"/>
      <c r="C340" s="70"/>
      <c r="D340" s="70"/>
      <c r="E340" s="70"/>
      <c r="F340" s="70"/>
      <c r="G340" s="70"/>
      <c r="H340" s="422"/>
      <c r="I340" s="422"/>
      <c r="J340" s="418"/>
      <c r="K340" s="403"/>
      <c r="L340" s="73"/>
      <c r="M340" s="72"/>
      <c r="N340" s="72"/>
      <c r="O340" s="72"/>
      <c r="P340" s="42"/>
      <c r="Q340" s="42"/>
      <c r="R340" s="42"/>
      <c r="S340" s="42"/>
      <c r="T340" s="42"/>
      <c r="U340" s="42"/>
      <c r="V340" s="416"/>
      <c r="W340" s="42"/>
      <c r="X340" s="74"/>
      <c r="Y340" s="74"/>
      <c r="Z340" s="74"/>
      <c r="AA340" s="74"/>
      <c r="AB340" s="74"/>
      <c r="AC340" s="42"/>
      <c r="AD340" s="42"/>
      <c r="AE340" s="42"/>
      <c r="AF340" s="42"/>
      <c r="AG340" s="42"/>
      <c r="AH340" s="42"/>
      <c r="AI340" s="75"/>
      <c r="AJ340" s="75"/>
      <c r="AK340" s="75"/>
      <c r="AL340" s="75"/>
      <c r="AM340" s="74"/>
      <c r="AN340" s="72"/>
    </row>
    <row r="341" spans="1:40" s="69" customFormat="1" x14ac:dyDescent="0.25">
      <c r="A341" s="88"/>
      <c r="B341" s="88"/>
      <c r="C341" s="70"/>
      <c r="D341" s="70"/>
      <c r="E341" s="70"/>
      <c r="F341" s="70"/>
      <c r="G341" s="70"/>
      <c r="H341" s="422"/>
      <c r="I341" s="422"/>
      <c r="J341" s="418"/>
      <c r="K341" s="403"/>
      <c r="L341" s="73"/>
      <c r="M341" s="72"/>
      <c r="N341" s="72"/>
      <c r="O341" s="72"/>
      <c r="P341" s="42"/>
      <c r="Q341" s="42"/>
      <c r="R341" s="42"/>
      <c r="S341" s="42"/>
      <c r="T341" s="42"/>
      <c r="U341" s="42"/>
      <c r="V341" s="416"/>
      <c r="W341" s="42"/>
      <c r="X341" s="74"/>
      <c r="Y341" s="74"/>
      <c r="Z341" s="74"/>
      <c r="AA341" s="74"/>
      <c r="AB341" s="74"/>
      <c r="AC341" s="42"/>
      <c r="AD341" s="42"/>
      <c r="AE341" s="42"/>
      <c r="AF341" s="42"/>
      <c r="AG341" s="42"/>
      <c r="AH341" s="42"/>
      <c r="AI341" s="75"/>
      <c r="AJ341" s="75"/>
      <c r="AK341" s="75"/>
      <c r="AL341" s="75"/>
      <c r="AM341" s="74"/>
      <c r="AN341" s="72"/>
    </row>
    <row r="342" spans="1:40" s="69" customFormat="1" x14ac:dyDescent="0.25">
      <c r="A342" s="88"/>
      <c r="B342" s="88"/>
      <c r="C342" s="70"/>
      <c r="D342" s="70"/>
      <c r="E342" s="70"/>
      <c r="F342" s="70"/>
      <c r="G342" s="70"/>
      <c r="H342" s="422"/>
      <c r="I342" s="422"/>
      <c r="J342" s="418"/>
      <c r="K342" s="403"/>
      <c r="L342" s="73"/>
      <c r="M342" s="72"/>
      <c r="N342" s="72"/>
      <c r="O342" s="72"/>
      <c r="P342" s="42"/>
      <c r="Q342" s="42"/>
      <c r="R342" s="42"/>
      <c r="S342" s="42"/>
      <c r="T342" s="42"/>
      <c r="U342" s="42"/>
      <c r="V342" s="416"/>
      <c r="W342" s="42"/>
      <c r="X342" s="74"/>
      <c r="Y342" s="74"/>
      <c r="Z342" s="74"/>
      <c r="AA342" s="74"/>
      <c r="AB342" s="74"/>
      <c r="AC342" s="42"/>
      <c r="AD342" s="42"/>
      <c r="AE342" s="42"/>
      <c r="AF342" s="42"/>
      <c r="AG342" s="42"/>
      <c r="AH342" s="42"/>
      <c r="AI342" s="75"/>
      <c r="AJ342" s="75"/>
      <c r="AK342" s="75"/>
      <c r="AL342" s="75"/>
      <c r="AM342" s="74"/>
      <c r="AN342" s="72"/>
    </row>
    <row r="343" spans="1:40" s="69" customFormat="1" x14ac:dyDescent="0.25">
      <c r="A343" s="88"/>
      <c r="B343" s="88"/>
      <c r="C343" s="70"/>
      <c r="D343" s="70"/>
      <c r="E343" s="70"/>
      <c r="F343" s="70"/>
      <c r="G343" s="70"/>
      <c r="H343" s="422"/>
      <c r="I343" s="422"/>
      <c r="J343" s="418"/>
      <c r="K343" s="403"/>
      <c r="L343" s="73"/>
      <c r="M343" s="72"/>
      <c r="N343" s="72"/>
      <c r="O343" s="72"/>
      <c r="P343" s="42"/>
      <c r="Q343" s="42"/>
      <c r="R343" s="42"/>
      <c r="S343" s="42"/>
      <c r="T343" s="42"/>
      <c r="U343" s="42"/>
      <c r="V343" s="416"/>
      <c r="W343" s="42"/>
      <c r="X343" s="74"/>
      <c r="Y343" s="74"/>
      <c r="Z343" s="74"/>
      <c r="AA343" s="74"/>
      <c r="AB343" s="74"/>
      <c r="AC343" s="42"/>
      <c r="AD343" s="42"/>
      <c r="AE343" s="42"/>
      <c r="AF343" s="42"/>
      <c r="AG343" s="42"/>
      <c r="AH343" s="42"/>
      <c r="AI343" s="75"/>
      <c r="AJ343" s="75"/>
      <c r="AK343" s="75"/>
      <c r="AL343" s="75"/>
      <c r="AM343" s="74"/>
      <c r="AN343" s="72"/>
    </row>
    <row r="344" spans="1:40" s="69" customFormat="1" x14ac:dyDescent="0.25">
      <c r="A344" s="88"/>
      <c r="B344" s="88"/>
      <c r="C344" s="70"/>
      <c r="D344" s="70"/>
      <c r="E344" s="70"/>
      <c r="F344" s="70"/>
      <c r="G344" s="70"/>
      <c r="H344" s="422"/>
      <c r="I344" s="422"/>
      <c r="J344" s="418"/>
      <c r="K344" s="403"/>
      <c r="L344" s="73"/>
      <c r="M344" s="72"/>
      <c r="N344" s="72"/>
      <c r="O344" s="72"/>
      <c r="P344" s="42"/>
      <c r="Q344" s="42"/>
      <c r="R344" s="42"/>
      <c r="S344" s="42"/>
      <c r="T344" s="42"/>
      <c r="U344" s="42"/>
      <c r="V344" s="416"/>
      <c r="W344" s="42"/>
      <c r="X344" s="74"/>
      <c r="Y344" s="74"/>
      <c r="Z344" s="74"/>
      <c r="AA344" s="74"/>
      <c r="AB344" s="74"/>
      <c r="AC344" s="42"/>
      <c r="AD344" s="42"/>
      <c r="AE344" s="42"/>
      <c r="AF344" s="42"/>
      <c r="AG344" s="42"/>
      <c r="AH344" s="42"/>
      <c r="AI344" s="75"/>
      <c r="AJ344" s="75"/>
      <c r="AK344" s="75"/>
      <c r="AL344" s="75"/>
      <c r="AM344" s="74"/>
      <c r="AN344" s="72"/>
    </row>
    <row r="345" spans="1:40" s="69" customFormat="1" x14ac:dyDescent="0.25">
      <c r="A345" s="88"/>
      <c r="B345" s="88"/>
      <c r="C345" s="70"/>
      <c r="D345" s="70"/>
      <c r="E345" s="70"/>
      <c r="F345" s="70"/>
      <c r="G345" s="70"/>
      <c r="H345" s="422"/>
      <c r="I345" s="422"/>
      <c r="J345" s="418"/>
      <c r="K345" s="403"/>
      <c r="L345" s="73"/>
      <c r="M345" s="72"/>
      <c r="N345" s="72"/>
      <c r="O345" s="72"/>
      <c r="P345" s="42"/>
      <c r="Q345" s="42"/>
      <c r="R345" s="42"/>
      <c r="S345" s="42"/>
      <c r="T345" s="42"/>
      <c r="U345" s="42"/>
      <c r="V345" s="416"/>
      <c r="W345" s="42"/>
      <c r="X345" s="74"/>
      <c r="Y345" s="74"/>
      <c r="Z345" s="74"/>
      <c r="AA345" s="74"/>
      <c r="AB345" s="74"/>
      <c r="AC345" s="42"/>
      <c r="AD345" s="42"/>
      <c r="AE345" s="42"/>
      <c r="AF345" s="42"/>
      <c r="AG345" s="42"/>
      <c r="AH345" s="42"/>
      <c r="AI345" s="75"/>
      <c r="AJ345" s="75"/>
      <c r="AK345" s="75"/>
      <c r="AL345" s="75"/>
      <c r="AM345" s="74"/>
      <c r="AN345" s="72"/>
    </row>
    <row r="346" spans="1:40" s="69" customFormat="1" x14ac:dyDescent="0.25">
      <c r="A346" s="88"/>
      <c r="B346" s="88"/>
      <c r="C346" s="70"/>
      <c r="D346" s="70"/>
      <c r="E346" s="70"/>
      <c r="F346" s="70"/>
      <c r="G346" s="70"/>
      <c r="H346" s="422"/>
      <c r="I346" s="422"/>
      <c r="J346" s="418"/>
      <c r="K346" s="403"/>
      <c r="L346" s="73"/>
      <c r="M346" s="72"/>
      <c r="N346" s="72"/>
      <c r="O346" s="72"/>
      <c r="P346" s="42"/>
      <c r="Q346" s="42"/>
      <c r="R346" s="42"/>
      <c r="S346" s="42"/>
      <c r="T346" s="42"/>
      <c r="U346" s="42"/>
      <c r="V346" s="416"/>
      <c r="W346" s="42"/>
      <c r="X346" s="74"/>
      <c r="Y346" s="74"/>
      <c r="Z346" s="74"/>
      <c r="AA346" s="74"/>
      <c r="AB346" s="74"/>
      <c r="AC346" s="42"/>
      <c r="AD346" s="42"/>
      <c r="AE346" s="42"/>
      <c r="AF346" s="42"/>
      <c r="AG346" s="42"/>
      <c r="AH346" s="42"/>
      <c r="AI346" s="75"/>
      <c r="AJ346" s="75"/>
      <c r="AK346" s="75"/>
      <c r="AL346" s="75"/>
      <c r="AM346" s="74"/>
      <c r="AN346" s="72"/>
    </row>
    <row r="347" spans="1:40" s="69" customFormat="1" x14ac:dyDescent="0.25">
      <c r="A347" s="88"/>
      <c r="B347" s="88"/>
      <c r="C347" s="70"/>
      <c r="D347" s="70"/>
      <c r="E347" s="70"/>
      <c r="F347" s="70"/>
      <c r="G347" s="70"/>
      <c r="H347" s="422"/>
      <c r="I347" s="422"/>
      <c r="J347" s="418"/>
      <c r="K347" s="403"/>
      <c r="L347" s="73"/>
      <c r="M347" s="72"/>
      <c r="N347" s="72"/>
      <c r="O347" s="72"/>
      <c r="P347" s="42"/>
      <c r="Q347" s="42"/>
      <c r="R347" s="42"/>
      <c r="S347" s="42"/>
      <c r="T347" s="42"/>
      <c r="U347" s="42"/>
      <c r="V347" s="416"/>
      <c r="W347" s="42"/>
      <c r="X347" s="74"/>
      <c r="Y347" s="74"/>
      <c r="Z347" s="74"/>
      <c r="AA347" s="74"/>
      <c r="AB347" s="74"/>
      <c r="AC347" s="42"/>
      <c r="AD347" s="42"/>
      <c r="AE347" s="42"/>
      <c r="AF347" s="42"/>
      <c r="AG347" s="42"/>
      <c r="AH347" s="42"/>
      <c r="AI347" s="75"/>
      <c r="AJ347" s="75"/>
      <c r="AK347" s="75"/>
      <c r="AL347" s="75"/>
      <c r="AM347" s="74"/>
      <c r="AN347" s="72"/>
    </row>
    <row r="348" spans="1:40" s="69" customFormat="1" x14ac:dyDescent="0.25">
      <c r="A348" s="88"/>
      <c r="B348" s="88"/>
      <c r="C348" s="70"/>
      <c r="D348" s="70"/>
      <c r="E348" s="70"/>
      <c r="F348" s="70"/>
      <c r="G348" s="70"/>
      <c r="H348" s="422"/>
      <c r="I348" s="422"/>
      <c r="J348" s="418"/>
      <c r="K348" s="403"/>
      <c r="L348" s="73"/>
      <c r="M348" s="72"/>
      <c r="N348" s="72"/>
      <c r="O348" s="72"/>
      <c r="P348" s="42"/>
      <c r="Q348" s="42"/>
      <c r="R348" s="42"/>
      <c r="S348" s="42"/>
      <c r="T348" s="42"/>
      <c r="U348" s="42"/>
      <c r="V348" s="416"/>
      <c r="W348" s="42"/>
      <c r="X348" s="74"/>
      <c r="Y348" s="74"/>
      <c r="Z348" s="74"/>
      <c r="AA348" s="74"/>
      <c r="AB348" s="74"/>
      <c r="AC348" s="42"/>
      <c r="AD348" s="42"/>
      <c r="AE348" s="42"/>
      <c r="AF348" s="42"/>
      <c r="AG348" s="42"/>
      <c r="AH348" s="42"/>
      <c r="AI348" s="75"/>
      <c r="AJ348" s="75"/>
      <c r="AK348" s="75"/>
      <c r="AL348" s="75"/>
      <c r="AM348" s="74"/>
      <c r="AN348" s="72"/>
    </row>
    <row r="349" spans="1:40" s="69" customFormat="1" x14ac:dyDescent="0.25">
      <c r="A349" s="88"/>
      <c r="B349" s="88"/>
      <c r="C349" s="70"/>
      <c r="D349" s="70"/>
      <c r="E349" s="70"/>
      <c r="F349" s="70"/>
      <c r="G349" s="70"/>
      <c r="H349" s="422"/>
      <c r="I349" s="422"/>
      <c r="J349" s="418"/>
      <c r="K349" s="403"/>
      <c r="L349" s="73"/>
      <c r="M349" s="72"/>
      <c r="N349" s="72"/>
      <c r="O349" s="72"/>
      <c r="P349" s="42"/>
      <c r="Q349" s="42"/>
      <c r="R349" s="42"/>
      <c r="S349" s="42"/>
      <c r="T349" s="42"/>
      <c r="U349" s="42"/>
      <c r="V349" s="416"/>
      <c r="W349" s="42"/>
      <c r="X349" s="74"/>
      <c r="Y349" s="74"/>
      <c r="Z349" s="74"/>
      <c r="AA349" s="74"/>
      <c r="AB349" s="74"/>
      <c r="AC349" s="42"/>
      <c r="AD349" s="42"/>
      <c r="AE349" s="42"/>
      <c r="AF349" s="42"/>
      <c r="AG349" s="42"/>
      <c r="AH349" s="42"/>
      <c r="AI349" s="75"/>
      <c r="AJ349" s="75"/>
      <c r="AK349" s="75"/>
      <c r="AL349" s="75"/>
      <c r="AM349" s="74"/>
      <c r="AN349" s="72"/>
    </row>
    <row r="350" spans="1:40" s="69" customFormat="1" x14ac:dyDescent="0.25">
      <c r="A350" s="88"/>
      <c r="B350" s="88"/>
      <c r="C350" s="70"/>
      <c r="D350" s="70"/>
      <c r="E350" s="70"/>
      <c r="F350" s="70"/>
      <c r="G350" s="70"/>
      <c r="H350" s="422"/>
      <c r="I350" s="422"/>
      <c r="J350" s="418"/>
      <c r="K350" s="403"/>
      <c r="L350" s="73"/>
      <c r="M350" s="72"/>
      <c r="N350" s="72"/>
      <c r="O350" s="72"/>
      <c r="P350" s="42"/>
      <c r="Q350" s="42"/>
      <c r="R350" s="42"/>
      <c r="S350" s="42"/>
      <c r="T350" s="42"/>
      <c r="U350" s="42"/>
      <c r="V350" s="416"/>
      <c r="W350" s="42"/>
      <c r="X350" s="74"/>
      <c r="Y350" s="74"/>
      <c r="Z350" s="74"/>
      <c r="AA350" s="74"/>
      <c r="AB350" s="74"/>
      <c r="AC350" s="42"/>
      <c r="AD350" s="42"/>
      <c r="AE350" s="42"/>
      <c r="AF350" s="42"/>
      <c r="AG350" s="42"/>
      <c r="AH350" s="42"/>
      <c r="AI350" s="75"/>
      <c r="AJ350" s="75"/>
      <c r="AK350" s="75"/>
      <c r="AL350" s="75"/>
      <c r="AM350" s="74"/>
      <c r="AN350" s="72"/>
    </row>
    <row r="351" spans="1:40" s="69" customFormat="1" x14ac:dyDescent="0.25">
      <c r="A351" s="88"/>
      <c r="B351" s="88"/>
      <c r="C351" s="70"/>
      <c r="D351" s="70"/>
      <c r="E351" s="70"/>
      <c r="F351" s="70"/>
      <c r="G351" s="70"/>
      <c r="H351" s="422"/>
      <c r="I351" s="422"/>
      <c r="J351" s="418"/>
      <c r="K351" s="403"/>
      <c r="L351" s="73"/>
      <c r="M351" s="72"/>
      <c r="N351" s="72"/>
      <c r="O351" s="72"/>
      <c r="P351" s="42"/>
      <c r="Q351" s="42"/>
      <c r="R351" s="42"/>
      <c r="S351" s="42"/>
      <c r="T351" s="42"/>
      <c r="U351" s="42"/>
      <c r="V351" s="416"/>
      <c r="W351" s="42"/>
      <c r="X351" s="74"/>
      <c r="Y351" s="74"/>
      <c r="Z351" s="74"/>
      <c r="AA351" s="74"/>
      <c r="AB351" s="74"/>
      <c r="AC351" s="42"/>
      <c r="AD351" s="42"/>
      <c r="AE351" s="42"/>
      <c r="AF351" s="42"/>
      <c r="AG351" s="42"/>
      <c r="AH351" s="42"/>
      <c r="AI351" s="75"/>
      <c r="AJ351" s="75"/>
      <c r="AK351" s="75"/>
      <c r="AL351" s="75"/>
      <c r="AM351" s="74"/>
      <c r="AN351" s="72"/>
    </row>
    <row r="352" spans="1:40" s="69" customFormat="1" x14ac:dyDescent="0.25">
      <c r="A352" s="88"/>
      <c r="B352" s="88"/>
      <c r="C352" s="70"/>
      <c r="D352" s="70"/>
      <c r="E352" s="70"/>
      <c r="F352" s="70"/>
      <c r="G352" s="70"/>
      <c r="H352" s="422"/>
      <c r="I352" s="422"/>
      <c r="J352" s="418"/>
      <c r="K352" s="403"/>
      <c r="L352" s="73"/>
      <c r="M352" s="72"/>
      <c r="N352" s="72"/>
      <c r="O352" s="72"/>
      <c r="P352" s="42"/>
      <c r="Q352" s="42"/>
      <c r="R352" s="42"/>
      <c r="S352" s="42"/>
      <c r="T352" s="42"/>
      <c r="U352" s="42"/>
      <c r="V352" s="416"/>
      <c r="W352" s="42"/>
      <c r="X352" s="74"/>
      <c r="Y352" s="74"/>
      <c r="Z352" s="74"/>
      <c r="AA352" s="74"/>
      <c r="AB352" s="74"/>
      <c r="AC352" s="42"/>
      <c r="AD352" s="42"/>
      <c r="AE352" s="42"/>
      <c r="AF352" s="42"/>
      <c r="AG352" s="42"/>
      <c r="AH352" s="42"/>
      <c r="AI352" s="75"/>
      <c r="AJ352" s="75"/>
      <c r="AK352" s="75"/>
      <c r="AL352" s="75"/>
      <c r="AM352" s="74"/>
      <c r="AN352" s="72"/>
    </row>
    <row r="353" spans="1:40" s="69" customFormat="1" x14ac:dyDescent="0.25">
      <c r="A353" s="88"/>
      <c r="B353" s="88"/>
      <c r="C353" s="70"/>
      <c r="D353" s="70"/>
      <c r="E353" s="70"/>
      <c r="F353" s="70"/>
      <c r="G353" s="70"/>
      <c r="H353" s="422"/>
      <c r="I353" s="422"/>
      <c r="J353" s="418"/>
      <c r="K353" s="403"/>
      <c r="L353" s="73"/>
      <c r="M353" s="72"/>
      <c r="N353" s="72"/>
      <c r="O353" s="72"/>
      <c r="P353" s="42"/>
      <c r="Q353" s="42"/>
      <c r="R353" s="42"/>
      <c r="S353" s="42"/>
      <c r="T353" s="42"/>
      <c r="U353" s="42"/>
      <c r="V353" s="416"/>
      <c r="W353" s="42"/>
      <c r="X353" s="74"/>
      <c r="Y353" s="74"/>
      <c r="Z353" s="74"/>
      <c r="AA353" s="74"/>
      <c r="AB353" s="74"/>
      <c r="AC353" s="42"/>
      <c r="AD353" s="42"/>
      <c r="AE353" s="42"/>
      <c r="AF353" s="42"/>
      <c r="AG353" s="42"/>
      <c r="AH353" s="42"/>
      <c r="AI353" s="75"/>
      <c r="AJ353" s="75"/>
      <c r="AK353" s="75"/>
      <c r="AL353" s="75"/>
      <c r="AM353" s="74"/>
      <c r="AN353" s="72"/>
    </row>
    <row r="354" spans="1:40" s="69" customFormat="1" x14ac:dyDescent="0.25">
      <c r="A354" s="88"/>
      <c r="B354" s="88"/>
      <c r="C354" s="70"/>
      <c r="D354" s="70"/>
      <c r="E354" s="70"/>
      <c r="F354" s="70"/>
      <c r="G354" s="70"/>
      <c r="H354" s="422"/>
      <c r="I354" s="422"/>
      <c r="J354" s="418"/>
      <c r="K354" s="403"/>
      <c r="L354" s="73"/>
      <c r="M354" s="72"/>
      <c r="N354" s="72"/>
      <c r="O354" s="72"/>
      <c r="P354" s="42"/>
      <c r="Q354" s="42"/>
      <c r="R354" s="42"/>
      <c r="S354" s="42"/>
      <c r="T354" s="42"/>
      <c r="U354" s="42"/>
      <c r="V354" s="416"/>
      <c r="W354" s="42"/>
      <c r="X354" s="74"/>
      <c r="Y354" s="74"/>
      <c r="Z354" s="74"/>
      <c r="AA354" s="74"/>
      <c r="AB354" s="74"/>
      <c r="AC354" s="42"/>
      <c r="AD354" s="42"/>
      <c r="AE354" s="42"/>
      <c r="AF354" s="42"/>
      <c r="AG354" s="42"/>
      <c r="AH354" s="42"/>
      <c r="AI354" s="75"/>
      <c r="AJ354" s="75"/>
      <c r="AK354" s="75"/>
      <c r="AL354" s="75"/>
      <c r="AM354" s="74"/>
      <c r="AN354" s="72"/>
    </row>
    <row r="355" spans="1:40" s="69" customFormat="1" x14ac:dyDescent="0.25">
      <c r="A355" s="88"/>
      <c r="B355" s="88"/>
      <c r="C355" s="70"/>
      <c r="D355" s="70"/>
      <c r="E355" s="70"/>
      <c r="F355" s="70"/>
      <c r="G355" s="70"/>
      <c r="H355" s="422"/>
      <c r="I355" s="422"/>
      <c r="J355" s="418"/>
      <c r="K355" s="403"/>
      <c r="L355" s="73"/>
      <c r="M355" s="72"/>
      <c r="N355" s="72"/>
      <c r="O355" s="72"/>
      <c r="P355" s="42"/>
      <c r="Q355" s="42"/>
      <c r="R355" s="42"/>
      <c r="S355" s="42"/>
      <c r="T355" s="42"/>
      <c r="U355" s="42"/>
      <c r="V355" s="416"/>
      <c r="W355" s="42"/>
      <c r="X355" s="74"/>
      <c r="Y355" s="74"/>
      <c r="Z355" s="74"/>
      <c r="AA355" s="74"/>
      <c r="AB355" s="74"/>
      <c r="AC355" s="42"/>
      <c r="AD355" s="42"/>
      <c r="AE355" s="42"/>
      <c r="AF355" s="42"/>
      <c r="AG355" s="42"/>
      <c r="AH355" s="42"/>
      <c r="AI355" s="75"/>
      <c r="AJ355" s="75"/>
      <c r="AK355" s="75"/>
      <c r="AL355" s="75"/>
      <c r="AM355" s="74"/>
      <c r="AN355" s="72"/>
    </row>
    <row r="356" spans="1:40" s="69" customFormat="1" x14ac:dyDescent="0.25">
      <c r="A356" s="88"/>
      <c r="B356" s="88"/>
      <c r="C356" s="70"/>
      <c r="D356" s="70"/>
      <c r="E356" s="70"/>
      <c r="F356" s="70"/>
      <c r="G356" s="70"/>
      <c r="H356" s="422"/>
      <c r="I356" s="422"/>
      <c r="J356" s="418"/>
      <c r="K356" s="403"/>
      <c r="L356" s="73"/>
      <c r="M356" s="72"/>
      <c r="N356" s="72"/>
      <c r="O356" s="72"/>
      <c r="P356" s="42"/>
      <c r="Q356" s="42"/>
      <c r="R356" s="42"/>
      <c r="S356" s="42"/>
      <c r="T356" s="42"/>
      <c r="U356" s="42"/>
      <c r="V356" s="416"/>
      <c r="W356" s="42"/>
      <c r="X356" s="74"/>
      <c r="Y356" s="74"/>
      <c r="Z356" s="74"/>
      <c r="AA356" s="74"/>
      <c r="AB356" s="74"/>
      <c r="AC356" s="42"/>
      <c r="AD356" s="42"/>
      <c r="AE356" s="42"/>
      <c r="AF356" s="42"/>
      <c r="AG356" s="42"/>
      <c r="AH356" s="42"/>
      <c r="AI356" s="75"/>
      <c r="AJ356" s="75"/>
      <c r="AK356" s="75"/>
      <c r="AL356" s="75"/>
      <c r="AM356" s="74"/>
      <c r="AN356" s="72"/>
    </row>
    <row r="357" spans="1:40" s="69" customFormat="1" x14ac:dyDescent="0.25">
      <c r="A357" s="88"/>
      <c r="B357" s="88"/>
      <c r="C357" s="70"/>
      <c r="D357" s="70"/>
      <c r="E357" s="70"/>
      <c r="F357" s="70"/>
      <c r="G357" s="70"/>
      <c r="H357" s="422"/>
      <c r="I357" s="422"/>
      <c r="J357" s="418"/>
      <c r="K357" s="403"/>
      <c r="L357" s="73"/>
      <c r="M357" s="72"/>
      <c r="N357" s="72"/>
      <c r="O357" s="72"/>
      <c r="P357" s="42"/>
      <c r="Q357" s="42"/>
      <c r="R357" s="42"/>
      <c r="S357" s="42"/>
      <c r="T357" s="42"/>
      <c r="U357" s="42"/>
      <c r="V357" s="416"/>
      <c r="W357" s="42"/>
      <c r="X357" s="74"/>
      <c r="Y357" s="74"/>
      <c r="Z357" s="74"/>
      <c r="AA357" s="74"/>
      <c r="AB357" s="74"/>
      <c r="AC357" s="42"/>
      <c r="AD357" s="42"/>
      <c r="AE357" s="42"/>
      <c r="AF357" s="42"/>
      <c r="AG357" s="42"/>
      <c r="AH357" s="42"/>
      <c r="AI357" s="75"/>
      <c r="AJ357" s="75"/>
      <c r="AK357" s="75"/>
      <c r="AL357" s="75"/>
      <c r="AM357" s="74"/>
      <c r="AN357" s="72"/>
    </row>
    <row r="358" spans="1:40" s="69" customFormat="1" x14ac:dyDescent="0.25">
      <c r="A358" s="88"/>
      <c r="B358" s="88"/>
      <c r="C358" s="70"/>
      <c r="D358" s="70"/>
      <c r="E358" s="70"/>
      <c r="F358" s="70"/>
      <c r="G358" s="70"/>
      <c r="H358" s="422"/>
      <c r="I358" s="422"/>
      <c r="J358" s="418"/>
      <c r="K358" s="403"/>
      <c r="L358" s="73"/>
      <c r="M358" s="72"/>
      <c r="N358" s="72"/>
      <c r="O358" s="72"/>
      <c r="P358" s="42"/>
      <c r="Q358" s="42"/>
      <c r="R358" s="42"/>
      <c r="S358" s="42"/>
      <c r="T358" s="42"/>
      <c r="U358" s="42"/>
      <c r="V358" s="416"/>
      <c r="W358" s="42"/>
      <c r="X358" s="74"/>
      <c r="Y358" s="74"/>
      <c r="Z358" s="74"/>
      <c r="AA358" s="74"/>
      <c r="AB358" s="74"/>
      <c r="AC358" s="42"/>
      <c r="AD358" s="42"/>
      <c r="AE358" s="42"/>
      <c r="AF358" s="42"/>
      <c r="AG358" s="42"/>
      <c r="AH358" s="42"/>
      <c r="AI358" s="75"/>
      <c r="AJ358" s="75"/>
      <c r="AK358" s="75"/>
      <c r="AL358" s="75"/>
      <c r="AM358" s="74"/>
      <c r="AN358" s="72"/>
    </row>
    <row r="359" spans="1:40" s="69" customFormat="1" x14ac:dyDescent="0.25">
      <c r="A359" s="88"/>
      <c r="B359" s="88"/>
      <c r="C359" s="70"/>
      <c r="D359" s="70"/>
      <c r="E359" s="70"/>
      <c r="F359" s="70"/>
      <c r="G359" s="70"/>
      <c r="H359" s="422"/>
      <c r="I359" s="422"/>
      <c r="J359" s="418"/>
      <c r="K359" s="403"/>
      <c r="L359" s="73"/>
      <c r="M359" s="72"/>
      <c r="N359" s="72"/>
      <c r="O359" s="72"/>
      <c r="P359" s="42"/>
      <c r="Q359" s="42"/>
      <c r="R359" s="42"/>
      <c r="S359" s="42"/>
      <c r="T359" s="42"/>
      <c r="U359" s="42"/>
      <c r="V359" s="416"/>
      <c r="W359" s="42"/>
      <c r="X359" s="74"/>
      <c r="Y359" s="74"/>
      <c r="Z359" s="74"/>
      <c r="AA359" s="74"/>
      <c r="AB359" s="74"/>
      <c r="AC359" s="42"/>
      <c r="AD359" s="42"/>
      <c r="AE359" s="42"/>
      <c r="AF359" s="42"/>
      <c r="AG359" s="42"/>
      <c r="AH359" s="42"/>
      <c r="AI359" s="75"/>
      <c r="AJ359" s="75"/>
      <c r="AK359" s="75"/>
      <c r="AL359" s="75"/>
      <c r="AM359" s="74"/>
      <c r="AN359" s="72"/>
    </row>
    <row r="360" spans="1:40" s="69" customFormat="1" x14ac:dyDescent="0.25">
      <c r="A360" s="88"/>
      <c r="B360" s="88"/>
      <c r="C360" s="70"/>
      <c r="D360" s="70"/>
      <c r="E360" s="70"/>
      <c r="F360" s="70"/>
      <c r="G360" s="70"/>
      <c r="H360" s="422"/>
      <c r="I360" s="422"/>
      <c r="J360" s="418"/>
      <c r="K360" s="403"/>
      <c r="L360" s="73"/>
      <c r="M360" s="72"/>
      <c r="N360" s="72"/>
      <c r="O360" s="72"/>
      <c r="P360" s="42"/>
      <c r="Q360" s="42"/>
      <c r="R360" s="42"/>
      <c r="S360" s="42"/>
      <c r="T360" s="42"/>
      <c r="U360" s="42"/>
      <c r="V360" s="416"/>
      <c r="W360" s="42"/>
      <c r="X360" s="74"/>
      <c r="Y360" s="74"/>
      <c r="Z360" s="74"/>
      <c r="AA360" s="74"/>
      <c r="AB360" s="74"/>
      <c r="AC360" s="42"/>
      <c r="AD360" s="42"/>
      <c r="AE360" s="42"/>
      <c r="AF360" s="42"/>
      <c r="AG360" s="42"/>
      <c r="AH360" s="42"/>
      <c r="AI360" s="75"/>
      <c r="AJ360" s="75"/>
      <c r="AK360" s="75"/>
      <c r="AL360" s="75"/>
      <c r="AM360" s="74"/>
      <c r="AN360" s="72"/>
    </row>
    <row r="361" spans="1:40" s="69" customFormat="1" x14ac:dyDescent="0.25">
      <c r="A361" s="88"/>
      <c r="B361" s="88"/>
      <c r="C361" s="70"/>
      <c r="D361" s="70"/>
      <c r="E361" s="70"/>
      <c r="F361" s="70"/>
      <c r="G361" s="70"/>
      <c r="H361" s="422"/>
      <c r="I361" s="422"/>
      <c r="J361" s="418"/>
      <c r="K361" s="403"/>
      <c r="L361" s="73"/>
      <c r="M361" s="72"/>
      <c r="N361" s="72"/>
      <c r="O361" s="72"/>
      <c r="P361" s="42"/>
      <c r="Q361" s="42"/>
      <c r="R361" s="42"/>
      <c r="S361" s="42"/>
      <c r="T361" s="42"/>
      <c r="U361" s="42"/>
      <c r="V361" s="416"/>
      <c r="W361" s="42"/>
      <c r="X361" s="74"/>
      <c r="Y361" s="74"/>
      <c r="Z361" s="74"/>
      <c r="AA361" s="74"/>
      <c r="AB361" s="74"/>
      <c r="AC361" s="42"/>
      <c r="AD361" s="42"/>
      <c r="AE361" s="42"/>
      <c r="AF361" s="42"/>
      <c r="AG361" s="42"/>
      <c r="AH361" s="42"/>
      <c r="AI361" s="75"/>
      <c r="AJ361" s="75"/>
      <c r="AK361" s="75"/>
      <c r="AL361" s="75"/>
      <c r="AM361" s="74"/>
      <c r="AN361" s="72"/>
    </row>
    <row r="362" spans="1:40" s="69" customFormat="1" x14ac:dyDescent="0.25">
      <c r="A362" s="88"/>
      <c r="B362" s="88"/>
      <c r="C362" s="70"/>
      <c r="D362" s="70"/>
      <c r="E362" s="70"/>
      <c r="F362" s="70"/>
      <c r="G362" s="70"/>
      <c r="H362" s="422"/>
      <c r="I362" s="422"/>
      <c r="J362" s="418"/>
      <c r="K362" s="403"/>
      <c r="L362" s="73"/>
      <c r="M362" s="72"/>
      <c r="N362" s="72"/>
      <c r="O362" s="72"/>
      <c r="P362" s="42"/>
      <c r="Q362" s="42"/>
      <c r="R362" s="42"/>
      <c r="S362" s="42"/>
      <c r="T362" s="42"/>
      <c r="U362" s="42"/>
      <c r="V362" s="416"/>
      <c r="W362" s="42"/>
      <c r="X362" s="74"/>
      <c r="Y362" s="74"/>
      <c r="Z362" s="74"/>
      <c r="AA362" s="74"/>
      <c r="AB362" s="74"/>
      <c r="AC362" s="42"/>
      <c r="AD362" s="42"/>
      <c r="AE362" s="42"/>
      <c r="AF362" s="42"/>
      <c r="AG362" s="42"/>
      <c r="AH362" s="42"/>
      <c r="AI362" s="75"/>
      <c r="AJ362" s="75"/>
      <c r="AK362" s="75"/>
      <c r="AL362" s="75"/>
      <c r="AM362" s="74"/>
      <c r="AN362" s="72"/>
    </row>
    <row r="363" spans="1:40" s="69" customFormat="1" x14ac:dyDescent="0.25">
      <c r="A363" s="88"/>
      <c r="B363" s="88"/>
      <c r="C363" s="70"/>
      <c r="D363" s="70"/>
      <c r="E363" s="70"/>
      <c r="F363" s="70"/>
      <c r="G363" s="70"/>
      <c r="H363" s="422"/>
      <c r="I363" s="422"/>
      <c r="J363" s="418"/>
      <c r="K363" s="403"/>
      <c r="L363" s="73"/>
      <c r="M363" s="72"/>
      <c r="N363" s="72"/>
      <c r="O363" s="72"/>
      <c r="P363" s="42"/>
      <c r="Q363" s="42"/>
      <c r="R363" s="42"/>
      <c r="S363" s="42"/>
      <c r="T363" s="42"/>
      <c r="U363" s="42"/>
      <c r="V363" s="416"/>
      <c r="W363" s="42"/>
      <c r="X363" s="74"/>
      <c r="Y363" s="74"/>
      <c r="Z363" s="74"/>
      <c r="AA363" s="74"/>
      <c r="AB363" s="74"/>
      <c r="AC363" s="42"/>
      <c r="AD363" s="42"/>
      <c r="AE363" s="42"/>
      <c r="AF363" s="42"/>
      <c r="AG363" s="42"/>
      <c r="AH363" s="42"/>
      <c r="AI363" s="75"/>
      <c r="AJ363" s="75"/>
      <c r="AK363" s="75"/>
      <c r="AL363" s="75"/>
      <c r="AM363" s="74"/>
      <c r="AN363" s="72"/>
    </row>
    <row r="364" spans="1:40" s="69" customFormat="1" x14ac:dyDescent="0.25">
      <c r="A364" s="88"/>
      <c r="B364" s="88"/>
      <c r="C364" s="70"/>
      <c r="D364" s="70"/>
      <c r="E364" s="70"/>
      <c r="F364" s="70"/>
      <c r="G364" s="70"/>
      <c r="H364" s="422"/>
      <c r="I364" s="422"/>
      <c r="J364" s="418"/>
      <c r="K364" s="403"/>
      <c r="L364" s="73"/>
      <c r="M364" s="72"/>
      <c r="N364" s="72"/>
      <c r="O364" s="72"/>
      <c r="P364" s="42"/>
      <c r="Q364" s="42"/>
      <c r="R364" s="42"/>
      <c r="S364" s="42"/>
      <c r="T364" s="42"/>
      <c r="U364" s="42"/>
      <c r="V364" s="416"/>
      <c r="W364" s="42"/>
      <c r="X364" s="74"/>
      <c r="Y364" s="74"/>
      <c r="Z364" s="74"/>
      <c r="AA364" s="74"/>
      <c r="AB364" s="74"/>
      <c r="AC364" s="42"/>
      <c r="AD364" s="42"/>
      <c r="AE364" s="42"/>
      <c r="AF364" s="42"/>
      <c r="AG364" s="42"/>
      <c r="AH364" s="42"/>
      <c r="AI364" s="75"/>
      <c r="AJ364" s="75"/>
      <c r="AK364" s="75"/>
      <c r="AL364" s="75"/>
      <c r="AM364" s="74"/>
      <c r="AN364" s="72"/>
    </row>
    <row r="365" spans="1:40" s="69" customFormat="1" x14ac:dyDescent="0.25">
      <c r="A365" s="88"/>
      <c r="B365" s="88"/>
      <c r="C365" s="70"/>
      <c r="D365" s="70"/>
      <c r="E365" s="70"/>
      <c r="F365" s="70"/>
      <c r="G365" s="70"/>
      <c r="H365" s="422"/>
      <c r="I365" s="422"/>
      <c r="J365" s="418"/>
      <c r="K365" s="403"/>
      <c r="L365" s="73"/>
      <c r="M365" s="72"/>
      <c r="N365" s="72"/>
      <c r="O365" s="72"/>
      <c r="P365" s="42"/>
      <c r="Q365" s="42"/>
      <c r="R365" s="42"/>
      <c r="S365" s="42"/>
      <c r="T365" s="42"/>
      <c r="U365" s="42"/>
      <c r="V365" s="416"/>
      <c r="W365" s="42"/>
      <c r="X365" s="74"/>
      <c r="Y365" s="74"/>
      <c r="Z365" s="74"/>
      <c r="AA365" s="74"/>
      <c r="AB365" s="74"/>
      <c r="AC365" s="42"/>
      <c r="AD365" s="42"/>
      <c r="AE365" s="42"/>
      <c r="AF365" s="42"/>
      <c r="AG365" s="42"/>
      <c r="AH365" s="42"/>
      <c r="AI365" s="75"/>
      <c r="AJ365" s="75"/>
      <c r="AK365" s="75"/>
      <c r="AL365" s="75"/>
      <c r="AM365" s="74"/>
      <c r="AN365" s="72"/>
    </row>
    <row r="366" spans="1:40" s="69" customFormat="1" x14ac:dyDescent="0.25">
      <c r="A366" s="88"/>
      <c r="B366" s="88"/>
      <c r="C366" s="70"/>
      <c r="D366" s="70"/>
      <c r="E366" s="70"/>
      <c r="F366" s="70"/>
      <c r="G366" s="70"/>
      <c r="H366" s="422"/>
      <c r="I366" s="422"/>
      <c r="J366" s="418"/>
      <c r="K366" s="403"/>
      <c r="L366" s="73"/>
      <c r="M366" s="72"/>
      <c r="N366" s="72"/>
      <c r="O366" s="72"/>
      <c r="P366" s="42"/>
      <c r="Q366" s="42"/>
      <c r="R366" s="42"/>
      <c r="S366" s="42"/>
      <c r="T366" s="42"/>
      <c r="U366" s="42"/>
      <c r="V366" s="416"/>
      <c r="W366" s="42"/>
      <c r="X366" s="74"/>
      <c r="Y366" s="74"/>
      <c r="Z366" s="74"/>
      <c r="AA366" s="74"/>
      <c r="AB366" s="74"/>
      <c r="AC366" s="42"/>
      <c r="AD366" s="42"/>
      <c r="AE366" s="42"/>
      <c r="AF366" s="42"/>
      <c r="AG366" s="42"/>
      <c r="AH366" s="42"/>
      <c r="AI366" s="75"/>
      <c r="AJ366" s="75"/>
      <c r="AK366" s="75"/>
      <c r="AL366" s="75"/>
      <c r="AM366" s="74"/>
      <c r="AN366" s="72"/>
    </row>
    <row r="367" spans="1:40" s="69" customFormat="1" x14ac:dyDescent="0.25">
      <c r="A367" s="88"/>
      <c r="B367" s="88"/>
      <c r="C367" s="70"/>
      <c r="D367" s="70"/>
      <c r="E367" s="70"/>
      <c r="F367" s="70"/>
      <c r="G367" s="70"/>
      <c r="H367" s="422"/>
      <c r="I367" s="422"/>
      <c r="J367" s="418"/>
      <c r="K367" s="403"/>
      <c r="L367" s="73"/>
      <c r="M367" s="72"/>
      <c r="N367" s="72"/>
      <c r="O367" s="72"/>
      <c r="P367" s="42"/>
      <c r="Q367" s="42"/>
      <c r="R367" s="42"/>
      <c r="S367" s="42"/>
      <c r="T367" s="42"/>
      <c r="U367" s="42"/>
      <c r="V367" s="416"/>
      <c r="W367" s="42"/>
      <c r="X367" s="74"/>
      <c r="Y367" s="74"/>
      <c r="Z367" s="74"/>
      <c r="AA367" s="74"/>
      <c r="AB367" s="74"/>
      <c r="AC367" s="42"/>
      <c r="AD367" s="42"/>
      <c r="AE367" s="42"/>
      <c r="AF367" s="42"/>
      <c r="AG367" s="42"/>
      <c r="AH367" s="42"/>
      <c r="AI367" s="75"/>
      <c r="AJ367" s="75"/>
      <c r="AK367" s="75"/>
      <c r="AL367" s="75"/>
      <c r="AM367" s="74"/>
      <c r="AN367" s="72"/>
    </row>
    <row r="368" spans="1:40" s="69" customFormat="1" x14ac:dyDescent="0.25">
      <c r="A368" s="88"/>
      <c r="B368" s="88"/>
      <c r="C368" s="70"/>
      <c r="D368" s="70"/>
      <c r="E368" s="70"/>
      <c r="F368" s="70"/>
      <c r="G368" s="70"/>
      <c r="H368" s="422"/>
      <c r="I368" s="422"/>
      <c r="J368" s="418"/>
      <c r="K368" s="403"/>
      <c r="L368" s="73"/>
      <c r="M368" s="72"/>
      <c r="N368" s="72"/>
      <c r="O368" s="72"/>
      <c r="P368" s="42"/>
      <c r="Q368" s="42"/>
      <c r="R368" s="42"/>
      <c r="S368" s="42"/>
      <c r="T368" s="42"/>
      <c r="U368" s="42"/>
      <c r="V368" s="416"/>
      <c r="W368" s="42"/>
      <c r="X368" s="74"/>
      <c r="Y368" s="74"/>
      <c r="Z368" s="74"/>
      <c r="AA368" s="74"/>
      <c r="AB368" s="74"/>
      <c r="AC368" s="42"/>
      <c r="AD368" s="42"/>
      <c r="AE368" s="42"/>
      <c r="AF368" s="42"/>
      <c r="AG368" s="42"/>
      <c r="AH368" s="42"/>
      <c r="AI368" s="75"/>
      <c r="AJ368" s="75"/>
      <c r="AK368" s="75"/>
      <c r="AL368" s="75"/>
      <c r="AM368" s="74"/>
      <c r="AN368" s="72"/>
    </row>
    <row r="369" spans="1:40" s="69" customFormat="1" x14ac:dyDescent="0.25">
      <c r="A369" s="88"/>
      <c r="B369" s="88"/>
      <c r="C369" s="70"/>
      <c r="D369" s="70"/>
      <c r="E369" s="70"/>
      <c r="F369" s="70"/>
      <c r="G369" s="70"/>
      <c r="H369" s="422"/>
      <c r="I369" s="422"/>
      <c r="J369" s="418"/>
      <c r="K369" s="403"/>
      <c r="L369" s="73"/>
      <c r="M369" s="72"/>
      <c r="N369" s="72"/>
      <c r="O369" s="72"/>
      <c r="P369" s="42"/>
      <c r="Q369" s="42"/>
      <c r="R369" s="42"/>
      <c r="S369" s="42"/>
      <c r="T369" s="42"/>
      <c r="U369" s="42"/>
      <c r="V369" s="416"/>
      <c r="W369" s="42"/>
      <c r="X369" s="74"/>
      <c r="Y369" s="74"/>
      <c r="Z369" s="74"/>
      <c r="AA369" s="74"/>
      <c r="AB369" s="74"/>
      <c r="AC369" s="42"/>
      <c r="AD369" s="42"/>
      <c r="AE369" s="42"/>
      <c r="AF369" s="42"/>
      <c r="AG369" s="42"/>
      <c r="AH369" s="42"/>
      <c r="AI369" s="75"/>
      <c r="AJ369" s="75"/>
      <c r="AK369" s="75"/>
      <c r="AL369" s="75"/>
      <c r="AM369" s="74"/>
      <c r="AN369" s="72"/>
    </row>
    <row r="370" spans="1:40" s="69" customFormat="1" x14ac:dyDescent="0.25">
      <c r="A370" s="88"/>
      <c r="B370" s="88"/>
      <c r="C370" s="70"/>
      <c r="D370" s="70"/>
      <c r="E370" s="70"/>
      <c r="F370" s="70"/>
      <c r="G370" s="70"/>
      <c r="H370" s="422"/>
      <c r="I370" s="422"/>
      <c r="J370" s="418"/>
      <c r="K370" s="403"/>
      <c r="L370" s="73"/>
      <c r="M370" s="72"/>
      <c r="N370" s="72"/>
      <c r="O370" s="72"/>
      <c r="P370" s="42"/>
      <c r="Q370" s="42"/>
      <c r="R370" s="42"/>
      <c r="S370" s="42"/>
      <c r="T370" s="42"/>
      <c r="U370" s="42"/>
      <c r="V370" s="416"/>
      <c r="W370" s="42"/>
      <c r="X370" s="74"/>
      <c r="Y370" s="74"/>
      <c r="Z370" s="74"/>
      <c r="AA370" s="74"/>
      <c r="AB370" s="74"/>
      <c r="AC370" s="42"/>
      <c r="AD370" s="42"/>
      <c r="AE370" s="42"/>
      <c r="AF370" s="42"/>
      <c r="AG370" s="42"/>
      <c r="AH370" s="42"/>
      <c r="AI370" s="75"/>
      <c r="AJ370" s="75"/>
      <c r="AK370" s="75"/>
      <c r="AL370" s="75"/>
      <c r="AM370" s="74"/>
      <c r="AN370" s="72"/>
    </row>
    <row r="371" spans="1:40" s="69" customFormat="1" x14ac:dyDescent="0.25">
      <c r="A371" s="88"/>
      <c r="B371" s="88"/>
      <c r="C371" s="70"/>
      <c r="D371" s="70"/>
      <c r="E371" s="70"/>
      <c r="F371" s="70"/>
      <c r="G371" s="70"/>
      <c r="H371" s="422"/>
      <c r="I371" s="422"/>
      <c r="J371" s="418"/>
      <c r="K371" s="403"/>
      <c r="L371" s="73"/>
      <c r="M371" s="72"/>
      <c r="N371" s="72"/>
      <c r="O371" s="72"/>
      <c r="P371" s="42"/>
      <c r="Q371" s="42"/>
      <c r="R371" s="42"/>
      <c r="S371" s="42"/>
      <c r="T371" s="42"/>
      <c r="U371" s="42"/>
      <c r="V371" s="416"/>
      <c r="W371" s="42"/>
      <c r="X371" s="74"/>
      <c r="Y371" s="74"/>
      <c r="Z371" s="74"/>
      <c r="AA371" s="74"/>
      <c r="AB371" s="74"/>
      <c r="AC371" s="42"/>
      <c r="AD371" s="42"/>
      <c r="AE371" s="42"/>
      <c r="AF371" s="42"/>
      <c r="AG371" s="42"/>
      <c r="AH371" s="42"/>
      <c r="AI371" s="75"/>
      <c r="AJ371" s="75"/>
      <c r="AK371" s="75"/>
      <c r="AL371" s="75"/>
      <c r="AM371" s="74"/>
      <c r="AN371" s="72"/>
    </row>
    <row r="372" spans="1:40" s="69" customFormat="1" x14ac:dyDescent="0.25">
      <c r="A372" s="88"/>
      <c r="B372" s="88"/>
      <c r="C372" s="70"/>
      <c r="D372" s="70"/>
      <c r="E372" s="70"/>
      <c r="F372" s="70"/>
      <c r="G372" s="70"/>
      <c r="H372" s="422"/>
      <c r="I372" s="422"/>
      <c r="J372" s="418"/>
      <c r="K372" s="403"/>
      <c r="L372" s="73"/>
      <c r="M372" s="72"/>
      <c r="N372" s="72"/>
      <c r="O372" s="72"/>
      <c r="P372" s="42"/>
      <c r="Q372" s="42"/>
      <c r="R372" s="42"/>
      <c r="S372" s="42"/>
      <c r="T372" s="42"/>
      <c r="U372" s="42"/>
      <c r="V372" s="416"/>
      <c r="W372" s="42"/>
      <c r="X372" s="74"/>
      <c r="Y372" s="74"/>
      <c r="Z372" s="74"/>
      <c r="AA372" s="74"/>
      <c r="AB372" s="74"/>
      <c r="AC372" s="42"/>
      <c r="AD372" s="42"/>
      <c r="AE372" s="42"/>
      <c r="AF372" s="42"/>
      <c r="AG372" s="42"/>
      <c r="AH372" s="42"/>
      <c r="AI372" s="75"/>
      <c r="AJ372" s="75"/>
      <c r="AK372" s="75"/>
      <c r="AL372" s="75"/>
      <c r="AM372" s="74"/>
      <c r="AN372" s="72"/>
    </row>
    <row r="373" spans="1:40" s="69" customFormat="1" x14ac:dyDescent="0.25">
      <c r="A373" s="88"/>
      <c r="B373" s="88"/>
      <c r="C373" s="70"/>
      <c r="D373" s="70"/>
      <c r="E373" s="70"/>
      <c r="F373" s="70"/>
      <c r="G373" s="70"/>
      <c r="H373" s="422"/>
      <c r="I373" s="422"/>
      <c r="J373" s="418"/>
      <c r="K373" s="403"/>
      <c r="L373" s="73"/>
      <c r="M373" s="72"/>
      <c r="N373" s="72"/>
      <c r="O373" s="72"/>
      <c r="P373" s="42"/>
      <c r="Q373" s="42"/>
      <c r="R373" s="42"/>
      <c r="S373" s="42"/>
      <c r="T373" s="42"/>
      <c r="U373" s="42"/>
      <c r="V373" s="416"/>
      <c r="W373" s="42"/>
      <c r="X373" s="74"/>
      <c r="Y373" s="74"/>
      <c r="Z373" s="74"/>
      <c r="AA373" s="74"/>
      <c r="AB373" s="74"/>
      <c r="AC373" s="42"/>
      <c r="AD373" s="42"/>
      <c r="AE373" s="42"/>
      <c r="AF373" s="42"/>
      <c r="AG373" s="42"/>
      <c r="AH373" s="42"/>
      <c r="AI373" s="75"/>
      <c r="AJ373" s="75"/>
      <c r="AK373" s="75"/>
      <c r="AL373" s="75"/>
      <c r="AM373" s="74"/>
      <c r="AN373" s="72"/>
    </row>
    <row r="374" spans="1:40" s="69" customFormat="1" x14ac:dyDescent="0.25">
      <c r="A374" s="88"/>
      <c r="B374" s="88"/>
      <c r="C374" s="70"/>
      <c r="D374" s="70"/>
      <c r="E374" s="70"/>
      <c r="F374" s="70"/>
      <c r="G374" s="70"/>
      <c r="H374" s="422"/>
      <c r="I374" s="422"/>
      <c r="J374" s="418"/>
      <c r="K374" s="403"/>
      <c r="L374" s="73"/>
      <c r="M374" s="72"/>
      <c r="N374" s="72"/>
      <c r="O374" s="72"/>
      <c r="P374" s="42"/>
      <c r="Q374" s="42"/>
      <c r="R374" s="42"/>
      <c r="S374" s="42"/>
      <c r="T374" s="42"/>
      <c r="U374" s="42"/>
      <c r="V374" s="416"/>
      <c r="W374" s="42"/>
      <c r="X374" s="74"/>
      <c r="Y374" s="74"/>
      <c r="Z374" s="74"/>
      <c r="AA374" s="74"/>
      <c r="AB374" s="74"/>
      <c r="AC374" s="42"/>
      <c r="AD374" s="42"/>
      <c r="AE374" s="42"/>
      <c r="AF374" s="42"/>
      <c r="AG374" s="42"/>
      <c r="AH374" s="42"/>
      <c r="AI374" s="75"/>
      <c r="AJ374" s="75"/>
      <c r="AK374" s="75"/>
      <c r="AL374" s="75"/>
      <c r="AM374" s="74"/>
      <c r="AN374" s="72"/>
    </row>
    <row r="375" spans="1:40" s="69" customFormat="1" x14ac:dyDescent="0.25">
      <c r="A375" s="88"/>
      <c r="B375" s="88"/>
      <c r="C375" s="70"/>
      <c r="D375" s="70"/>
      <c r="E375" s="70"/>
      <c r="F375" s="70"/>
      <c r="G375" s="70"/>
      <c r="H375" s="422"/>
      <c r="I375" s="422"/>
      <c r="J375" s="418"/>
      <c r="K375" s="403"/>
      <c r="L375" s="73"/>
      <c r="M375" s="72"/>
      <c r="N375" s="72"/>
      <c r="O375" s="72"/>
      <c r="P375" s="42"/>
      <c r="Q375" s="42"/>
      <c r="R375" s="42"/>
      <c r="S375" s="42"/>
      <c r="T375" s="42"/>
      <c r="U375" s="42"/>
      <c r="V375" s="416"/>
      <c r="W375" s="42"/>
      <c r="X375" s="74"/>
      <c r="Y375" s="74"/>
      <c r="Z375" s="74"/>
      <c r="AA375" s="74"/>
      <c r="AB375" s="74"/>
      <c r="AC375" s="42"/>
      <c r="AD375" s="42"/>
      <c r="AE375" s="42"/>
      <c r="AF375" s="42"/>
      <c r="AG375" s="42"/>
      <c r="AH375" s="42"/>
      <c r="AI375" s="75"/>
      <c r="AJ375" s="75"/>
      <c r="AK375" s="75"/>
      <c r="AL375" s="75"/>
      <c r="AM375" s="74"/>
      <c r="AN375" s="72"/>
    </row>
    <row r="376" spans="1:40" s="69" customFormat="1" x14ac:dyDescent="0.25">
      <c r="A376" s="88"/>
      <c r="B376" s="88"/>
      <c r="C376" s="70"/>
      <c r="D376" s="70"/>
      <c r="E376" s="70"/>
      <c r="F376" s="70"/>
      <c r="G376" s="70"/>
      <c r="H376" s="422"/>
      <c r="I376" s="422"/>
      <c r="J376" s="418"/>
      <c r="K376" s="403"/>
      <c r="L376" s="73"/>
      <c r="M376" s="72"/>
      <c r="N376" s="72"/>
      <c r="O376" s="72"/>
      <c r="P376" s="42"/>
      <c r="Q376" s="42"/>
      <c r="R376" s="42"/>
      <c r="S376" s="42"/>
      <c r="T376" s="42"/>
      <c r="U376" s="42"/>
      <c r="V376" s="416"/>
      <c r="W376" s="42"/>
      <c r="X376" s="74"/>
      <c r="Y376" s="74"/>
      <c r="Z376" s="74"/>
      <c r="AA376" s="74"/>
      <c r="AB376" s="74"/>
      <c r="AC376" s="42"/>
      <c r="AD376" s="42"/>
      <c r="AE376" s="42"/>
      <c r="AF376" s="42"/>
      <c r="AG376" s="42"/>
      <c r="AH376" s="42"/>
      <c r="AI376" s="75"/>
      <c r="AJ376" s="75"/>
      <c r="AK376" s="75"/>
      <c r="AL376" s="75"/>
      <c r="AM376" s="74"/>
      <c r="AN376" s="72"/>
    </row>
    <row r="377" spans="1:40" s="69" customFormat="1" x14ac:dyDescent="0.25">
      <c r="A377" s="88"/>
      <c r="B377" s="88"/>
      <c r="C377" s="70"/>
      <c r="D377" s="70"/>
      <c r="E377" s="70"/>
      <c r="F377" s="70"/>
      <c r="G377" s="70"/>
      <c r="H377" s="422"/>
      <c r="I377" s="422"/>
      <c r="J377" s="418"/>
      <c r="K377" s="403"/>
      <c r="L377" s="73"/>
      <c r="M377" s="72"/>
      <c r="N377" s="72"/>
      <c r="O377" s="72"/>
      <c r="P377" s="42"/>
      <c r="Q377" s="42"/>
      <c r="R377" s="42"/>
      <c r="S377" s="42"/>
      <c r="T377" s="42"/>
      <c r="U377" s="42"/>
      <c r="V377" s="416"/>
      <c r="W377" s="42"/>
      <c r="X377" s="74"/>
      <c r="Y377" s="74"/>
      <c r="Z377" s="74"/>
      <c r="AA377" s="74"/>
      <c r="AB377" s="74"/>
      <c r="AC377" s="42"/>
      <c r="AD377" s="42"/>
      <c r="AE377" s="42"/>
      <c r="AF377" s="42"/>
      <c r="AG377" s="42"/>
      <c r="AH377" s="42"/>
      <c r="AI377" s="75"/>
      <c r="AJ377" s="75"/>
      <c r="AK377" s="75"/>
      <c r="AL377" s="75"/>
      <c r="AM377" s="74"/>
      <c r="AN377" s="72"/>
    </row>
    <row r="378" spans="1:40" s="69" customFormat="1" x14ac:dyDescent="0.25">
      <c r="A378" s="88"/>
      <c r="B378" s="88"/>
      <c r="C378" s="70"/>
      <c r="D378" s="70"/>
      <c r="E378" s="70"/>
      <c r="F378" s="70"/>
      <c r="G378" s="70"/>
      <c r="H378" s="422"/>
      <c r="I378" s="422"/>
      <c r="J378" s="418"/>
      <c r="K378" s="403"/>
      <c r="L378" s="73"/>
      <c r="M378" s="72"/>
      <c r="N378" s="72"/>
      <c r="O378" s="72"/>
      <c r="P378" s="42"/>
      <c r="Q378" s="42"/>
      <c r="R378" s="42"/>
      <c r="S378" s="42"/>
      <c r="T378" s="42"/>
      <c r="U378" s="42"/>
      <c r="V378" s="416"/>
      <c r="W378" s="42"/>
      <c r="X378" s="74"/>
      <c r="Y378" s="74"/>
      <c r="Z378" s="74"/>
      <c r="AA378" s="74"/>
      <c r="AB378" s="74"/>
      <c r="AC378" s="42"/>
      <c r="AD378" s="42"/>
      <c r="AE378" s="42"/>
      <c r="AF378" s="42"/>
      <c r="AG378" s="42"/>
      <c r="AH378" s="42"/>
      <c r="AI378" s="75"/>
      <c r="AJ378" s="75"/>
      <c r="AK378" s="75"/>
      <c r="AL378" s="75"/>
      <c r="AM378" s="74"/>
      <c r="AN378" s="72"/>
    </row>
    <row r="379" spans="1:40" s="69" customFormat="1" x14ac:dyDescent="0.25">
      <c r="A379" s="88"/>
      <c r="B379" s="88"/>
      <c r="C379" s="70"/>
      <c r="D379" s="70"/>
      <c r="E379" s="70"/>
      <c r="F379" s="70"/>
      <c r="G379" s="70"/>
      <c r="H379" s="422"/>
      <c r="I379" s="422"/>
      <c r="J379" s="418"/>
      <c r="K379" s="403"/>
      <c r="L379" s="73"/>
      <c r="M379" s="72"/>
      <c r="N379" s="72"/>
      <c r="O379" s="72"/>
      <c r="P379" s="42"/>
      <c r="Q379" s="42"/>
      <c r="R379" s="42"/>
      <c r="S379" s="42"/>
      <c r="T379" s="42"/>
      <c r="U379" s="42"/>
      <c r="V379" s="416"/>
      <c r="W379" s="42"/>
      <c r="X379" s="74"/>
      <c r="Y379" s="74"/>
      <c r="Z379" s="74"/>
      <c r="AA379" s="74"/>
      <c r="AB379" s="74"/>
      <c r="AC379" s="42"/>
      <c r="AD379" s="42"/>
      <c r="AE379" s="42"/>
      <c r="AF379" s="42"/>
      <c r="AG379" s="42"/>
      <c r="AH379" s="42"/>
      <c r="AI379" s="75"/>
      <c r="AJ379" s="75"/>
      <c r="AK379" s="75"/>
      <c r="AL379" s="75"/>
      <c r="AM379" s="74"/>
      <c r="AN379" s="72"/>
    </row>
    <row r="380" spans="1:40" s="69" customFormat="1" x14ac:dyDescent="0.25">
      <c r="A380" s="88"/>
      <c r="B380" s="88"/>
      <c r="C380" s="70"/>
      <c r="D380" s="70"/>
      <c r="E380" s="70"/>
      <c r="F380" s="70"/>
      <c r="G380" s="70"/>
      <c r="H380" s="422"/>
      <c r="I380" s="422"/>
      <c r="J380" s="418"/>
      <c r="K380" s="403"/>
      <c r="L380" s="73"/>
      <c r="M380" s="72"/>
      <c r="N380" s="72"/>
      <c r="O380" s="72"/>
      <c r="P380" s="42"/>
      <c r="Q380" s="42"/>
      <c r="R380" s="42"/>
      <c r="S380" s="42"/>
      <c r="T380" s="42"/>
      <c r="U380" s="42"/>
      <c r="V380" s="416"/>
      <c r="W380" s="42"/>
      <c r="X380" s="74"/>
      <c r="Y380" s="74"/>
      <c r="Z380" s="74"/>
      <c r="AA380" s="74"/>
      <c r="AB380" s="74"/>
      <c r="AC380" s="42"/>
      <c r="AD380" s="42"/>
      <c r="AE380" s="42"/>
      <c r="AF380" s="42"/>
      <c r="AG380" s="42"/>
      <c r="AH380" s="42"/>
      <c r="AI380" s="75"/>
      <c r="AJ380" s="75"/>
      <c r="AK380" s="75"/>
      <c r="AL380" s="75"/>
      <c r="AM380" s="74"/>
      <c r="AN380" s="72"/>
    </row>
    <row r="381" spans="1:40" s="69" customFormat="1" x14ac:dyDescent="0.25">
      <c r="A381" s="88"/>
      <c r="B381" s="88"/>
      <c r="C381" s="70"/>
      <c r="D381" s="70"/>
      <c r="E381" s="70"/>
      <c r="F381" s="70"/>
      <c r="G381" s="70"/>
      <c r="H381" s="422"/>
      <c r="I381" s="422"/>
      <c r="J381" s="418"/>
      <c r="K381" s="403"/>
      <c r="L381" s="73"/>
      <c r="M381" s="72"/>
      <c r="N381" s="72"/>
      <c r="O381" s="72"/>
      <c r="P381" s="42"/>
      <c r="Q381" s="42"/>
      <c r="R381" s="42"/>
      <c r="S381" s="42"/>
      <c r="T381" s="42"/>
      <c r="U381" s="42"/>
      <c r="V381" s="416"/>
      <c r="W381" s="42"/>
      <c r="X381" s="74"/>
      <c r="Y381" s="74"/>
      <c r="Z381" s="74"/>
      <c r="AA381" s="74"/>
      <c r="AB381" s="74"/>
      <c r="AC381" s="42"/>
      <c r="AD381" s="42"/>
      <c r="AE381" s="42"/>
      <c r="AF381" s="42"/>
      <c r="AG381" s="42"/>
      <c r="AH381" s="42"/>
      <c r="AI381" s="75"/>
      <c r="AJ381" s="75"/>
      <c r="AK381" s="75"/>
      <c r="AL381" s="75"/>
      <c r="AM381" s="74"/>
      <c r="AN381" s="72"/>
    </row>
    <row r="382" spans="1:40" s="69" customFormat="1" x14ac:dyDescent="0.25">
      <c r="A382" s="88"/>
      <c r="B382" s="88"/>
      <c r="C382" s="70"/>
      <c r="D382" s="70"/>
      <c r="E382" s="70"/>
      <c r="F382" s="70"/>
      <c r="G382" s="70"/>
      <c r="H382" s="422"/>
      <c r="I382" s="422"/>
      <c r="J382" s="418"/>
      <c r="K382" s="403"/>
      <c r="L382" s="73"/>
      <c r="M382" s="72"/>
      <c r="N382" s="72"/>
      <c r="O382" s="72"/>
      <c r="P382" s="42"/>
      <c r="Q382" s="42"/>
      <c r="R382" s="42"/>
      <c r="S382" s="42"/>
      <c r="T382" s="42"/>
      <c r="U382" s="42"/>
      <c r="V382" s="416"/>
      <c r="W382" s="42"/>
      <c r="X382" s="74"/>
      <c r="Y382" s="74"/>
      <c r="Z382" s="74"/>
      <c r="AA382" s="74"/>
      <c r="AB382" s="74"/>
      <c r="AC382" s="42"/>
      <c r="AD382" s="42"/>
      <c r="AE382" s="42"/>
      <c r="AF382" s="42"/>
      <c r="AG382" s="42"/>
      <c r="AH382" s="42"/>
      <c r="AI382" s="75"/>
      <c r="AJ382" s="75"/>
      <c r="AK382" s="75"/>
      <c r="AL382" s="75"/>
      <c r="AM382" s="74"/>
      <c r="AN382" s="72"/>
    </row>
    <row r="383" spans="1:40" s="69" customFormat="1" x14ac:dyDescent="0.25">
      <c r="A383" s="88"/>
      <c r="B383" s="88"/>
      <c r="C383" s="70"/>
      <c r="D383" s="70"/>
      <c r="E383" s="70"/>
      <c r="F383" s="70"/>
      <c r="G383" s="70"/>
      <c r="H383" s="422"/>
      <c r="I383" s="422"/>
      <c r="J383" s="418"/>
      <c r="K383" s="403"/>
      <c r="L383" s="73"/>
      <c r="M383" s="72"/>
      <c r="N383" s="72"/>
      <c r="O383" s="72"/>
      <c r="P383" s="42"/>
      <c r="Q383" s="42"/>
      <c r="R383" s="42"/>
      <c r="S383" s="42"/>
      <c r="T383" s="42"/>
      <c r="U383" s="42"/>
      <c r="V383" s="416"/>
      <c r="W383" s="42"/>
      <c r="X383" s="74"/>
      <c r="Y383" s="74"/>
      <c r="Z383" s="74"/>
      <c r="AA383" s="74"/>
      <c r="AB383" s="74"/>
      <c r="AC383" s="42"/>
      <c r="AD383" s="42"/>
      <c r="AE383" s="42"/>
      <c r="AF383" s="42"/>
      <c r="AG383" s="42"/>
      <c r="AH383" s="42"/>
      <c r="AI383" s="75"/>
      <c r="AJ383" s="75"/>
      <c r="AK383" s="75"/>
      <c r="AL383" s="75"/>
      <c r="AM383" s="74"/>
      <c r="AN383" s="72"/>
    </row>
    <row r="384" spans="1:40" s="69" customFormat="1" x14ac:dyDescent="0.25">
      <c r="A384" s="88"/>
      <c r="B384" s="88"/>
      <c r="C384" s="70"/>
      <c r="D384" s="70"/>
      <c r="E384" s="70"/>
      <c r="F384" s="70"/>
      <c r="G384" s="70"/>
      <c r="H384" s="422"/>
      <c r="I384" s="422"/>
      <c r="J384" s="418"/>
      <c r="K384" s="403"/>
      <c r="L384" s="73"/>
      <c r="M384" s="72"/>
      <c r="N384" s="72"/>
      <c r="O384" s="72"/>
      <c r="P384" s="42"/>
      <c r="Q384" s="42"/>
      <c r="R384" s="42"/>
      <c r="S384" s="42"/>
      <c r="T384" s="42"/>
      <c r="U384" s="42"/>
      <c r="V384" s="416"/>
      <c r="W384" s="42"/>
      <c r="X384" s="74"/>
      <c r="Y384" s="74"/>
      <c r="Z384" s="74"/>
      <c r="AA384" s="74"/>
      <c r="AB384" s="74"/>
      <c r="AC384" s="42"/>
      <c r="AD384" s="42"/>
      <c r="AE384" s="42"/>
      <c r="AF384" s="42"/>
      <c r="AG384" s="42"/>
      <c r="AH384" s="42"/>
      <c r="AI384" s="75"/>
      <c r="AJ384" s="75"/>
      <c r="AK384" s="75"/>
      <c r="AL384" s="75"/>
      <c r="AM384" s="74"/>
      <c r="AN384" s="72"/>
    </row>
    <row r="385" spans="1:40" s="69" customFormat="1" x14ac:dyDescent="0.25">
      <c r="A385" s="88"/>
      <c r="B385" s="88"/>
      <c r="C385" s="70"/>
      <c r="D385" s="70"/>
      <c r="E385" s="70"/>
      <c r="F385" s="70"/>
      <c r="G385" s="70"/>
      <c r="H385" s="422"/>
      <c r="I385" s="422"/>
      <c r="J385" s="418"/>
      <c r="K385" s="403"/>
      <c r="L385" s="73"/>
      <c r="M385" s="72"/>
      <c r="N385" s="72"/>
      <c r="O385" s="72"/>
      <c r="P385" s="42"/>
      <c r="Q385" s="42"/>
      <c r="R385" s="42"/>
      <c r="S385" s="42"/>
      <c r="T385" s="42"/>
      <c r="U385" s="42"/>
      <c r="V385" s="416"/>
      <c r="W385" s="42"/>
      <c r="X385" s="74"/>
      <c r="Y385" s="74"/>
      <c r="Z385" s="74"/>
      <c r="AA385" s="74"/>
      <c r="AB385" s="74"/>
      <c r="AC385" s="42"/>
      <c r="AD385" s="42"/>
      <c r="AE385" s="42"/>
      <c r="AF385" s="42"/>
      <c r="AG385" s="42"/>
      <c r="AH385" s="42"/>
      <c r="AI385" s="75"/>
      <c r="AJ385" s="75"/>
      <c r="AK385" s="75"/>
      <c r="AL385" s="75"/>
      <c r="AM385" s="74"/>
      <c r="AN385" s="72"/>
    </row>
    <row r="386" spans="1:40" s="69" customFormat="1" x14ac:dyDescent="0.25">
      <c r="A386" s="88"/>
      <c r="B386" s="88"/>
      <c r="C386" s="70"/>
      <c r="D386" s="70"/>
      <c r="E386" s="70"/>
      <c r="F386" s="70"/>
      <c r="G386" s="70"/>
      <c r="H386" s="422"/>
      <c r="I386" s="422"/>
      <c r="J386" s="418"/>
      <c r="K386" s="403"/>
      <c r="L386" s="73"/>
      <c r="M386" s="72"/>
      <c r="N386" s="72"/>
      <c r="O386" s="72"/>
      <c r="P386" s="42"/>
      <c r="Q386" s="42"/>
      <c r="R386" s="42"/>
      <c r="S386" s="42"/>
      <c r="T386" s="42"/>
      <c r="U386" s="42"/>
      <c r="V386" s="416"/>
      <c r="W386" s="42"/>
      <c r="X386" s="74"/>
      <c r="Y386" s="74"/>
      <c r="Z386" s="74"/>
      <c r="AA386" s="74"/>
      <c r="AB386" s="74"/>
      <c r="AC386" s="42"/>
      <c r="AD386" s="42"/>
      <c r="AE386" s="42"/>
      <c r="AF386" s="42"/>
      <c r="AG386" s="42"/>
      <c r="AH386" s="42"/>
      <c r="AI386" s="75"/>
      <c r="AJ386" s="75"/>
      <c r="AK386" s="75"/>
      <c r="AL386" s="75"/>
      <c r="AM386" s="74"/>
      <c r="AN386" s="72"/>
    </row>
    <row r="387" spans="1:40" s="69" customFormat="1" x14ac:dyDescent="0.25">
      <c r="A387" s="88"/>
      <c r="B387" s="88"/>
      <c r="C387" s="70"/>
      <c r="D387" s="70"/>
      <c r="E387" s="70"/>
      <c r="F387" s="70"/>
      <c r="G387" s="70"/>
      <c r="H387" s="422"/>
      <c r="I387" s="422"/>
      <c r="J387" s="418"/>
      <c r="K387" s="403"/>
      <c r="L387" s="73"/>
      <c r="M387" s="72"/>
      <c r="N387" s="72"/>
      <c r="O387" s="72"/>
      <c r="P387" s="42"/>
      <c r="Q387" s="42"/>
      <c r="R387" s="42"/>
      <c r="S387" s="42"/>
      <c r="T387" s="42"/>
      <c r="U387" s="42"/>
      <c r="V387" s="416"/>
      <c r="W387" s="42"/>
      <c r="X387" s="74"/>
      <c r="Y387" s="74"/>
      <c r="Z387" s="74"/>
      <c r="AA387" s="74"/>
      <c r="AB387" s="74"/>
      <c r="AC387" s="42"/>
      <c r="AD387" s="42"/>
      <c r="AE387" s="42"/>
      <c r="AF387" s="42"/>
      <c r="AG387" s="42"/>
      <c r="AH387" s="42"/>
      <c r="AI387" s="75"/>
      <c r="AJ387" s="75"/>
      <c r="AK387" s="75"/>
      <c r="AL387" s="75"/>
      <c r="AM387" s="74"/>
      <c r="AN387" s="72"/>
    </row>
    <row r="388" spans="1:40" s="69" customFormat="1" x14ac:dyDescent="0.25">
      <c r="A388" s="88"/>
      <c r="B388" s="88"/>
      <c r="C388" s="70"/>
      <c r="D388" s="70"/>
      <c r="E388" s="70"/>
      <c r="F388" s="70"/>
      <c r="G388" s="70"/>
      <c r="H388" s="422"/>
      <c r="I388" s="422"/>
      <c r="J388" s="418"/>
      <c r="K388" s="403"/>
      <c r="L388" s="73"/>
      <c r="M388" s="72"/>
      <c r="N388" s="72"/>
      <c r="O388" s="72"/>
      <c r="P388" s="42"/>
      <c r="Q388" s="42"/>
      <c r="R388" s="42"/>
      <c r="S388" s="42"/>
      <c r="T388" s="42"/>
      <c r="U388" s="42"/>
      <c r="V388" s="416"/>
      <c r="W388" s="42"/>
      <c r="X388" s="74"/>
      <c r="Y388" s="74"/>
      <c r="Z388" s="74"/>
      <c r="AA388" s="74"/>
      <c r="AB388" s="74"/>
      <c r="AC388" s="42"/>
      <c r="AD388" s="42"/>
      <c r="AE388" s="42"/>
      <c r="AF388" s="42"/>
      <c r="AG388" s="42"/>
      <c r="AH388" s="42"/>
      <c r="AI388" s="75"/>
      <c r="AJ388" s="75"/>
      <c r="AK388" s="75"/>
      <c r="AL388" s="75"/>
      <c r="AM388" s="74"/>
      <c r="AN388" s="72"/>
    </row>
    <row r="389" spans="1:40" s="69" customFormat="1" x14ac:dyDescent="0.25">
      <c r="A389" s="88"/>
      <c r="B389" s="88"/>
      <c r="C389" s="70"/>
      <c r="D389" s="70"/>
      <c r="E389" s="70"/>
      <c r="F389" s="70"/>
      <c r="G389" s="70"/>
      <c r="H389" s="422"/>
      <c r="I389" s="422"/>
      <c r="J389" s="418"/>
      <c r="K389" s="403"/>
      <c r="L389" s="73"/>
      <c r="M389" s="72"/>
      <c r="N389" s="72"/>
      <c r="O389" s="72"/>
      <c r="P389" s="42"/>
      <c r="Q389" s="42"/>
      <c r="R389" s="42"/>
      <c r="S389" s="42"/>
      <c r="T389" s="42"/>
      <c r="U389" s="42"/>
      <c r="V389" s="416"/>
      <c r="W389" s="42"/>
      <c r="X389" s="74"/>
      <c r="Y389" s="74"/>
      <c r="Z389" s="74"/>
      <c r="AA389" s="74"/>
      <c r="AB389" s="74"/>
      <c r="AC389" s="42"/>
      <c r="AD389" s="42"/>
      <c r="AE389" s="42"/>
      <c r="AF389" s="42"/>
      <c r="AG389" s="42"/>
      <c r="AH389" s="42"/>
      <c r="AI389" s="75"/>
      <c r="AJ389" s="75"/>
      <c r="AK389" s="75"/>
      <c r="AL389" s="75"/>
      <c r="AM389" s="74"/>
      <c r="AN389" s="72"/>
    </row>
    <row r="390" spans="1:40" s="69" customFormat="1" x14ac:dyDescent="0.25">
      <c r="A390" s="88"/>
      <c r="B390" s="88"/>
      <c r="C390" s="70"/>
      <c r="D390" s="70"/>
      <c r="E390" s="70"/>
      <c r="F390" s="70"/>
      <c r="G390" s="70"/>
      <c r="H390" s="422"/>
      <c r="I390" s="422"/>
      <c r="J390" s="418"/>
      <c r="K390" s="403"/>
      <c r="L390" s="73"/>
      <c r="M390" s="72"/>
      <c r="N390" s="72"/>
      <c r="O390" s="72"/>
      <c r="P390" s="42"/>
      <c r="Q390" s="42"/>
      <c r="R390" s="42"/>
      <c r="S390" s="42"/>
      <c r="T390" s="42"/>
      <c r="U390" s="42"/>
      <c r="V390" s="416"/>
      <c r="W390" s="42"/>
      <c r="X390" s="74"/>
      <c r="Y390" s="74"/>
      <c r="Z390" s="74"/>
      <c r="AA390" s="74"/>
      <c r="AB390" s="74"/>
      <c r="AC390" s="42"/>
      <c r="AD390" s="42"/>
      <c r="AE390" s="42"/>
      <c r="AF390" s="42"/>
      <c r="AG390" s="42"/>
      <c r="AH390" s="42"/>
      <c r="AI390" s="75"/>
      <c r="AJ390" s="75"/>
      <c r="AK390" s="75"/>
      <c r="AL390" s="75"/>
      <c r="AM390" s="74"/>
      <c r="AN390" s="72"/>
    </row>
    <row r="391" spans="1:40" s="69" customFormat="1" x14ac:dyDescent="0.25">
      <c r="A391" s="88"/>
      <c r="B391" s="88"/>
      <c r="C391" s="70"/>
      <c r="D391" s="70"/>
      <c r="E391" s="70"/>
      <c r="F391" s="70"/>
      <c r="G391" s="70"/>
      <c r="H391" s="422"/>
      <c r="I391" s="422"/>
      <c r="J391" s="418"/>
      <c r="K391" s="403"/>
      <c r="L391" s="73"/>
      <c r="M391" s="72"/>
      <c r="N391" s="72"/>
      <c r="O391" s="72"/>
      <c r="P391" s="42"/>
      <c r="Q391" s="42"/>
      <c r="R391" s="42"/>
      <c r="S391" s="42"/>
      <c r="T391" s="42"/>
      <c r="U391" s="42"/>
      <c r="V391" s="416"/>
      <c r="W391" s="42"/>
      <c r="X391" s="74"/>
      <c r="Y391" s="74"/>
      <c r="Z391" s="74"/>
      <c r="AA391" s="74"/>
      <c r="AB391" s="74"/>
      <c r="AC391" s="42"/>
      <c r="AD391" s="42"/>
      <c r="AE391" s="42"/>
      <c r="AF391" s="42"/>
      <c r="AG391" s="42"/>
      <c r="AH391" s="42"/>
      <c r="AI391" s="75"/>
      <c r="AJ391" s="75"/>
      <c r="AK391" s="75"/>
      <c r="AL391" s="75"/>
      <c r="AM391" s="74"/>
      <c r="AN391" s="72"/>
    </row>
    <row r="392" spans="1:40" s="69" customFormat="1" x14ac:dyDescent="0.25">
      <c r="A392" s="88"/>
      <c r="B392" s="88"/>
      <c r="C392" s="70"/>
      <c r="D392" s="70"/>
      <c r="E392" s="70"/>
      <c r="F392" s="70"/>
      <c r="G392" s="70"/>
      <c r="H392" s="422"/>
      <c r="I392" s="422"/>
      <c r="J392" s="418"/>
      <c r="K392" s="403"/>
      <c r="L392" s="73"/>
      <c r="M392" s="72"/>
      <c r="N392" s="72"/>
      <c r="O392" s="72"/>
      <c r="P392" s="42"/>
      <c r="Q392" s="42"/>
      <c r="R392" s="42"/>
      <c r="S392" s="42"/>
      <c r="T392" s="42"/>
      <c r="U392" s="42"/>
      <c r="V392" s="416"/>
      <c r="W392" s="42"/>
      <c r="X392" s="74"/>
      <c r="Y392" s="74"/>
      <c r="Z392" s="74"/>
      <c r="AA392" s="74"/>
      <c r="AB392" s="74"/>
      <c r="AC392" s="42"/>
      <c r="AD392" s="42"/>
      <c r="AE392" s="42"/>
      <c r="AF392" s="42"/>
      <c r="AG392" s="42"/>
      <c r="AH392" s="42"/>
      <c r="AI392" s="75"/>
      <c r="AJ392" s="75"/>
      <c r="AK392" s="75"/>
      <c r="AL392" s="75"/>
      <c r="AM392" s="74"/>
      <c r="AN392" s="72"/>
    </row>
    <row r="393" spans="1:40" s="69" customFormat="1" x14ac:dyDescent="0.25">
      <c r="A393" s="88"/>
      <c r="B393" s="88"/>
      <c r="C393" s="70"/>
      <c r="D393" s="70"/>
      <c r="E393" s="70"/>
      <c r="F393" s="70"/>
      <c r="G393" s="70"/>
      <c r="H393" s="422"/>
      <c r="I393" s="422"/>
      <c r="J393" s="418"/>
      <c r="K393" s="403"/>
      <c r="L393" s="73"/>
      <c r="M393" s="72"/>
      <c r="N393" s="72"/>
      <c r="O393" s="72"/>
      <c r="P393" s="42"/>
      <c r="Q393" s="42"/>
      <c r="R393" s="42"/>
      <c r="S393" s="42"/>
      <c r="T393" s="42"/>
      <c r="U393" s="42"/>
      <c r="V393" s="416"/>
      <c r="W393" s="42"/>
      <c r="X393" s="74"/>
      <c r="Y393" s="74"/>
      <c r="Z393" s="74"/>
      <c r="AA393" s="74"/>
      <c r="AB393" s="74"/>
      <c r="AC393" s="42"/>
      <c r="AD393" s="42"/>
      <c r="AE393" s="42"/>
      <c r="AF393" s="42"/>
      <c r="AG393" s="42"/>
      <c r="AH393" s="42"/>
      <c r="AI393" s="75"/>
      <c r="AJ393" s="75"/>
      <c r="AK393" s="75"/>
      <c r="AL393" s="75"/>
      <c r="AM393" s="74"/>
      <c r="AN393" s="72"/>
    </row>
    <row r="394" spans="1:40" s="69" customFormat="1" x14ac:dyDescent="0.25">
      <c r="A394" s="88"/>
      <c r="B394" s="88"/>
      <c r="C394" s="70"/>
      <c r="D394" s="70"/>
      <c r="E394" s="70"/>
      <c r="F394" s="70"/>
      <c r="G394" s="70"/>
      <c r="H394" s="422"/>
      <c r="I394" s="422"/>
      <c r="J394" s="418"/>
      <c r="K394" s="403"/>
      <c r="L394" s="73"/>
      <c r="M394" s="72"/>
      <c r="N394" s="72"/>
      <c r="O394" s="72"/>
      <c r="P394" s="42"/>
      <c r="Q394" s="42"/>
      <c r="R394" s="42"/>
      <c r="S394" s="42"/>
      <c r="T394" s="42"/>
      <c r="U394" s="42"/>
      <c r="V394" s="416"/>
      <c r="W394" s="42"/>
      <c r="X394" s="74"/>
      <c r="Y394" s="74"/>
      <c r="Z394" s="74"/>
      <c r="AA394" s="74"/>
      <c r="AB394" s="74"/>
      <c r="AC394" s="42"/>
      <c r="AD394" s="42"/>
      <c r="AE394" s="42"/>
      <c r="AF394" s="42"/>
      <c r="AG394" s="42"/>
      <c r="AH394" s="42"/>
      <c r="AI394" s="75"/>
      <c r="AJ394" s="75"/>
      <c r="AK394" s="75"/>
      <c r="AL394" s="75"/>
      <c r="AM394" s="74"/>
      <c r="AN394" s="72"/>
    </row>
    <row r="395" spans="1:40" s="69" customFormat="1" x14ac:dyDescent="0.25">
      <c r="A395" s="88"/>
      <c r="B395" s="88"/>
      <c r="C395" s="70"/>
      <c r="D395" s="70"/>
      <c r="E395" s="70"/>
      <c r="F395" s="70"/>
      <c r="G395" s="70"/>
      <c r="H395" s="422"/>
      <c r="I395" s="422"/>
      <c r="J395" s="418"/>
      <c r="K395" s="403"/>
      <c r="L395" s="73"/>
      <c r="M395" s="72"/>
      <c r="N395" s="72"/>
      <c r="O395" s="72"/>
      <c r="P395" s="42"/>
      <c r="Q395" s="42"/>
      <c r="R395" s="42"/>
      <c r="S395" s="42"/>
      <c r="T395" s="42"/>
      <c r="U395" s="42"/>
      <c r="V395" s="416"/>
      <c r="W395" s="42"/>
      <c r="X395" s="74"/>
      <c r="Y395" s="74"/>
      <c r="Z395" s="74"/>
      <c r="AA395" s="74"/>
      <c r="AB395" s="74"/>
      <c r="AC395" s="42"/>
      <c r="AD395" s="42"/>
      <c r="AE395" s="42"/>
      <c r="AF395" s="42"/>
      <c r="AG395" s="42"/>
      <c r="AH395" s="42"/>
      <c r="AI395" s="75"/>
      <c r="AJ395" s="75"/>
      <c r="AK395" s="75"/>
      <c r="AL395" s="75"/>
      <c r="AM395" s="74"/>
      <c r="AN395" s="72"/>
    </row>
    <row r="396" spans="1:40" s="69" customFormat="1" x14ac:dyDescent="0.25">
      <c r="A396" s="88"/>
      <c r="B396" s="88"/>
      <c r="C396" s="70"/>
      <c r="D396" s="70"/>
      <c r="E396" s="70"/>
      <c r="F396" s="70"/>
      <c r="G396" s="70"/>
      <c r="H396" s="422"/>
      <c r="I396" s="422"/>
      <c r="J396" s="418"/>
      <c r="K396" s="403"/>
      <c r="L396" s="73"/>
      <c r="M396" s="72"/>
      <c r="N396" s="72"/>
      <c r="O396" s="72"/>
      <c r="P396" s="42"/>
      <c r="Q396" s="42"/>
      <c r="R396" s="42"/>
      <c r="S396" s="42"/>
      <c r="T396" s="42"/>
      <c r="U396" s="42"/>
      <c r="V396" s="416"/>
      <c r="W396" s="42"/>
      <c r="X396" s="74"/>
      <c r="Y396" s="74"/>
      <c r="Z396" s="74"/>
      <c r="AA396" s="74"/>
      <c r="AB396" s="74"/>
      <c r="AC396" s="42"/>
      <c r="AD396" s="42"/>
      <c r="AE396" s="42"/>
      <c r="AF396" s="42"/>
      <c r="AG396" s="42"/>
      <c r="AH396" s="42"/>
      <c r="AI396" s="75"/>
      <c r="AJ396" s="75"/>
      <c r="AK396" s="75"/>
      <c r="AL396" s="75"/>
      <c r="AM396" s="74"/>
      <c r="AN396" s="72"/>
    </row>
    <row r="397" spans="1:40" s="69" customFormat="1" x14ac:dyDescent="0.25">
      <c r="A397" s="88"/>
      <c r="B397" s="88"/>
      <c r="C397" s="70"/>
      <c r="D397" s="70"/>
      <c r="E397" s="70"/>
      <c r="F397" s="70"/>
      <c r="G397" s="70"/>
      <c r="H397" s="422"/>
      <c r="I397" s="422"/>
      <c r="J397" s="418"/>
      <c r="K397" s="403"/>
      <c r="L397" s="73"/>
      <c r="M397" s="72"/>
      <c r="N397" s="72"/>
      <c r="O397" s="72"/>
      <c r="P397" s="42"/>
      <c r="Q397" s="42"/>
      <c r="R397" s="42"/>
      <c r="S397" s="42"/>
      <c r="T397" s="42"/>
      <c r="U397" s="42"/>
      <c r="V397" s="416"/>
      <c r="W397" s="42"/>
      <c r="X397" s="74"/>
      <c r="Y397" s="74"/>
      <c r="Z397" s="74"/>
      <c r="AA397" s="74"/>
      <c r="AB397" s="74"/>
      <c r="AC397" s="42"/>
      <c r="AD397" s="42"/>
      <c r="AE397" s="42"/>
      <c r="AF397" s="42"/>
      <c r="AG397" s="42"/>
      <c r="AH397" s="42"/>
      <c r="AI397" s="75"/>
      <c r="AJ397" s="75"/>
      <c r="AK397" s="75"/>
      <c r="AL397" s="75"/>
      <c r="AM397" s="74"/>
      <c r="AN397" s="72"/>
    </row>
    <row r="398" spans="1:40" s="69" customFormat="1" x14ac:dyDescent="0.25">
      <c r="A398" s="88"/>
      <c r="B398" s="88"/>
      <c r="C398" s="70"/>
      <c r="D398" s="70"/>
      <c r="E398" s="70"/>
      <c r="F398" s="70"/>
      <c r="G398" s="70"/>
      <c r="H398" s="422"/>
      <c r="I398" s="422"/>
      <c r="J398" s="418"/>
      <c r="K398" s="403"/>
      <c r="L398" s="73"/>
      <c r="M398" s="72"/>
      <c r="N398" s="72"/>
      <c r="O398" s="72"/>
      <c r="P398" s="42"/>
      <c r="Q398" s="42"/>
      <c r="R398" s="42"/>
      <c r="S398" s="42"/>
      <c r="T398" s="42"/>
      <c r="U398" s="42"/>
      <c r="V398" s="416"/>
      <c r="W398" s="42"/>
      <c r="X398" s="74"/>
      <c r="Y398" s="74"/>
      <c r="Z398" s="74"/>
      <c r="AA398" s="74"/>
      <c r="AB398" s="74"/>
      <c r="AC398" s="42"/>
      <c r="AD398" s="42"/>
      <c r="AE398" s="42"/>
      <c r="AF398" s="42"/>
      <c r="AG398" s="42"/>
      <c r="AH398" s="42"/>
      <c r="AI398" s="75"/>
      <c r="AJ398" s="75"/>
      <c r="AK398" s="75"/>
      <c r="AL398" s="75"/>
      <c r="AM398" s="74"/>
      <c r="AN398" s="72"/>
    </row>
    <row r="399" spans="1:40" s="69" customFormat="1" x14ac:dyDescent="0.25">
      <c r="A399" s="88"/>
      <c r="B399" s="88"/>
      <c r="C399" s="70"/>
      <c r="D399" s="70"/>
      <c r="E399" s="70"/>
      <c r="F399" s="70"/>
      <c r="G399" s="70"/>
      <c r="H399" s="422"/>
      <c r="I399" s="422"/>
      <c r="J399" s="418"/>
      <c r="K399" s="403"/>
      <c r="L399" s="73"/>
      <c r="M399" s="72"/>
      <c r="N399" s="72"/>
      <c r="O399" s="72"/>
      <c r="P399" s="42"/>
      <c r="Q399" s="42"/>
      <c r="R399" s="42"/>
      <c r="S399" s="42"/>
      <c r="T399" s="42"/>
      <c r="U399" s="42"/>
      <c r="V399" s="416"/>
      <c r="W399" s="42"/>
      <c r="X399" s="74"/>
      <c r="Y399" s="74"/>
      <c r="Z399" s="74"/>
      <c r="AA399" s="74"/>
      <c r="AB399" s="74"/>
      <c r="AC399" s="42"/>
      <c r="AD399" s="42"/>
      <c r="AE399" s="42"/>
      <c r="AF399" s="42"/>
      <c r="AG399" s="42"/>
      <c r="AH399" s="42"/>
      <c r="AI399" s="75"/>
      <c r="AJ399" s="75"/>
      <c r="AK399" s="75"/>
      <c r="AL399" s="75"/>
      <c r="AM399" s="74"/>
      <c r="AN399" s="72"/>
    </row>
    <row r="400" spans="1:40" s="69" customFormat="1" x14ac:dyDescent="0.25">
      <c r="A400" s="88"/>
      <c r="B400" s="88"/>
      <c r="C400" s="70"/>
      <c r="D400" s="70"/>
      <c r="E400" s="70"/>
      <c r="F400" s="70"/>
      <c r="G400" s="70"/>
      <c r="H400" s="422"/>
      <c r="I400" s="422"/>
      <c r="J400" s="418"/>
      <c r="K400" s="403"/>
      <c r="L400" s="73"/>
      <c r="M400" s="72"/>
      <c r="N400" s="72"/>
      <c r="O400" s="72"/>
      <c r="P400" s="42"/>
      <c r="Q400" s="42"/>
      <c r="R400" s="42"/>
      <c r="S400" s="42"/>
      <c r="T400" s="42"/>
      <c r="U400" s="42"/>
      <c r="V400" s="416"/>
      <c r="W400" s="42"/>
      <c r="X400" s="74"/>
      <c r="Y400" s="74"/>
      <c r="Z400" s="74"/>
      <c r="AA400" s="74"/>
      <c r="AB400" s="74"/>
      <c r="AC400" s="42"/>
      <c r="AD400" s="42"/>
      <c r="AE400" s="42"/>
      <c r="AF400" s="42"/>
      <c r="AG400" s="42"/>
      <c r="AH400" s="42"/>
      <c r="AI400" s="75"/>
      <c r="AJ400" s="75"/>
      <c r="AK400" s="75"/>
      <c r="AL400" s="75"/>
      <c r="AM400" s="74"/>
      <c r="AN400" s="72"/>
    </row>
    <row r="401" spans="1:40" s="69" customFormat="1" x14ac:dyDescent="0.25">
      <c r="A401" s="88"/>
      <c r="B401" s="88"/>
      <c r="C401" s="70"/>
      <c r="D401" s="70"/>
      <c r="E401" s="70"/>
      <c r="F401" s="70"/>
      <c r="G401" s="70"/>
      <c r="H401" s="422"/>
      <c r="I401" s="422"/>
      <c r="J401" s="418"/>
      <c r="K401" s="403"/>
      <c r="L401" s="73"/>
      <c r="M401" s="72"/>
      <c r="N401" s="72"/>
      <c r="O401" s="72"/>
      <c r="P401" s="42"/>
      <c r="Q401" s="42"/>
      <c r="R401" s="42"/>
      <c r="S401" s="42"/>
      <c r="T401" s="42"/>
      <c r="U401" s="42"/>
      <c r="V401" s="416"/>
      <c r="W401" s="42"/>
      <c r="X401" s="74"/>
      <c r="Y401" s="74"/>
      <c r="Z401" s="74"/>
      <c r="AA401" s="74"/>
      <c r="AB401" s="74"/>
      <c r="AC401" s="42"/>
      <c r="AD401" s="42"/>
      <c r="AE401" s="42"/>
      <c r="AF401" s="42"/>
      <c r="AG401" s="42"/>
      <c r="AH401" s="42"/>
      <c r="AI401" s="75"/>
      <c r="AJ401" s="75"/>
      <c r="AK401" s="75"/>
      <c r="AL401" s="75"/>
      <c r="AM401" s="74"/>
      <c r="AN401" s="72"/>
    </row>
    <row r="402" spans="1:40" s="69" customFormat="1" x14ac:dyDescent="0.25">
      <c r="A402" s="88"/>
      <c r="B402" s="88"/>
      <c r="C402" s="70"/>
      <c r="D402" s="70"/>
      <c r="E402" s="70"/>
      <c r="F402" s="70"/>
      <c r="G402" s="70"/>
      <c r="H402" s="422"/>
      <c r="I402" s="422"/>
      <c r="J402" s="418"/>
      <c r="K402" s="403"/>
      <c r="L402" s="73"/>
      <c r="M402" s="72"/>
      <c r="N402" s="72"/>
      <c r="O402" s="72"/>
      <c r="P402" s="42"/>
      <c r="Q402" s="42"/>
      <c r="R402" s="42"/>
      <c r="S402" s="42"/>
      <c r="T402" s="42"/>
      <c r="U402" s="42"/>
      <c r="V402" s="416"/>
      <c r="W402" s="42"/>
      <c r="X402" s="74"/>
      <c r="Y402" s="74"/>
      <c r="Z402" s="74"/>
      <c r="AA402" s="74"/>
      <c r="AB402" s="74"/>
      <c r="AC402" s="42"/>
      <c r="AD402" s="42"/>
      <c r="AE402" s="42"/>
      <c r="AF402" s="42"/>
      <c r="AG402" s="42"/>
      <c r="AH402" s="42"/>
      <c r="AI402" s="75"/>
      <c r="AJ402" s="75"/>
      <c r="AK402" s="75"/>
      <c r="AL402" s="75"/>
      <c r="AM402" s="74"/>
      <c r="AN402" s="72"/>
    </row>
    <row r="403" spans="1:40" s="69" customFormat="1" x14ac:dyDescent="0.25">
      <c r="A403" s="88"/>
      <c r="B403" s="88"/>
      <c r="C403" s="70"/>
      <c r="D403" s="70"/>
      <c r="E403" s="70"/>
      <c r="F403" s="70"/>
      <c r="G403" s="70"/>
      <c r="H403" s="422"/>
      <c r="I403" s="422"/>
      <c r="J403" s="418"/>
      <c r="K403" s="403"/>
      <c r="L403" s="73"/>
      <c r="M403" s="72"/>
      <c r="N403" s="72"/>
      <c r="O403" s="72"/>
      <c r="P403" s="42"/>
      <c r="Q403" s="42"/>
      <c r="R403" s="42"/>
      <c r="S403" s="42"/>
      <c r="T403" s="42"/>
      <c r="U403" s="42"/>
      <c r="V403" s="416"/>
      <c r="W403" s="42"/>
      <c r="X403" s="74"/>
      <c r="Y403" s="74"/>
      <c r="Z403" s="74"/>
      <c r="AA403" s="74"/>
      <c r="AB403" s="74"/>
      <c r="AC403" s="42"/>
      <c r="AD403" s="42"/>
      <c r="AE403" s="42"/>
      <c r="AF403" s="42"/>
      <c r="AG403" s="42"/>
      <c r="AH403" s="42"/>
      <c r="AI403" s="75"/>
      <c r="AJ403" s="75"/>
      <c r="AK403" s="75"/>
      <c r="AL403" s="75"/>
      <c r="AM403" s="74"/>
      <c r="AN403" s="72"/>
    </row>
    <row r="404" spans="1:40" s="69" customFormat="1" x14ac:dyDescent="0.25">
      <c r="A404" s="88"/>
      <c r="B404" s="88"/>
      <c r="C404" s="70"/>
      <c r="D404" s="70"/>
      <c r="E404" s="70"/>
      <c r="F404" s="70"/>
      <c r="G404" s="70"/>
      <c r="H404" s="422"/>
      <c r="I404" s="422"/>
      <c r="J404" s="418"/>
      <c r="K404" s="403"/>
      <c r="L404" s="73"/>
      <c r="M404" s="72"/>
      <c r="N404" s="72"/>
      <c r="O404" s="72"/>
      <c r="P404" s="42"/>
      <c r="Q404" s="42"/>
      <c r="R404" s="42"/>
      <c r="S404" s="42"/>
      <c r="T404" s="42"/>
      <c r="U404" s="42"/>
      <c r="V404" s="416"/>
      <c r="W404" s="42"/>
      <c r="X404" s="74"/>
      <c r="Y404" s="74"/>
      <c r="Z404" s="74"/>
      <c r="AA404" s="74"/>
      <c r="AB404" s="74"/>
      <c r="AC404" s="42"/>
      <c r="AD404" s="42"/>
      <c r="AE404" s="42"/>
      <c r="AF404" s="42"/>
      <c r="AG404" s="42"/>
      <c r="AH404" s="42"/>
      <c r="AI404" s="75"/>
      <c r="AJ404" s="75"/>
      <c r="AK404" s="75"/>
      <c r="AL404" s="75"/>
      <c r="AM404" s="74"/>
      <c r="AN404" s="72"/>
    </row>
    <row r="405" spans="1:40" s="69" customFormat="1" x14ac:dyDescent="0.25">
      <c r="A405" s="88"/>
      <c r="B405" s="88"/>
      <c r="C405" s="70"/>
      <c r="D405" s="70"/>
      <c r="E405" s="70"/>
      <c r="F405" s="70"/>
      <c r="G405" s="70"/>
      <c r="H405" s="422"/>
      <c r="I405" s="422"/>
      <c r="J405" s="418"/>
      <c r="K405" s="403"/>
      <c r="L405" s="73"/>
      <c r="M405" s="72"/>
      <c r="N405" s="72"/>
      <c r="O405" s="72"/>
      <c r="P405" s="42"/>
      <c r="Q405" s="42"/>
      <c r="R405" s="42"/>
      <c r="S405" s="42"/>
      <c r="T405" s="42"/>
      <c r="U405" s="42"/>
      <c r="V405" s="416"/>
      <c r="W405" s="42"/>
      <c r="X405" s="74"/>
      <c r="Y405" s="74"/>
      <c r="Z405" s="74"/>
      <c r="AA405" s="74"/>
      <c r="AB405" s="74"/>
      <c r="AC405" s="42"/>
      <c r="AD405" s="42"/>
      <c r="AE405" s="42"/>
      <c r="AF405" s="42"/>
      <c r="AG405" s="42"/>
      <c r="AH405" s="42"/>
      <c r="AI405" s="75"/>
      <c r="AJ405" s="75"/>
      <c r="AK405" s="75"/>
      <c r="AL405" s="75"/>
      <c r="AM405" s="74"/>
      <c r="AN405" s="72"/>
    </row>
    <row r="406" spans="1:40" s="69" customFormat="1" x14ac:dyDescent="0.25">
      <c r="A406" s="88"/>
      <c r="B406" s="88"/>
      <c r="C406" s="70"/>
      <c r="D406" s="70"/>
      <c r="E406" s="70"/>
      <c r="F406" s="70"/>
      <c r="G406" s="70"/>
      <c r="H406" s="422"/>
      <c r="I406" s="422"/>
      <c r="J406" s="418"/>
      <c r="K406" s="403"/>
      <c r="L406" s="73"/>
      <c r="M406" s="72"/>
      <c r="N406" s="72"/>
      <c r="O406" s="72"/>
      <c r="P406" s="42"/>
      <c r="Q406" s="42"/>
      <c r="R406" s="42"/>
      <c r="S406" s="42"/>
      <c r="T406" s="42"/>
      <c r="U406" s="42"/>
      <c r="V406" s="416"/>
      <c r="W406" s="42"/>
      <c r="X406" s="74"/>
      <c r="Y406" s="74"/>
      <c r="Z406" s="74"/>
      <c r="AA406" s="74"/>
      <c r="AB406" s="74"/>
      <c r="AC406" s="42"/>
      <c r="AD406" s="42"/>
      <c r="AE406" s="42"/>
      <c r="AF406" s="42"/>
      <c r="AG406" s="42"/>
      <c r="AH406" s="42"/>
      <c r="AI406" s="75"/>
      <c r="AJ406" s="75"/>
      <c r="AK406" s="75"/>
      <c r="AL406" s="75"/>
      <c r="AM406" s="74"/>
      <c r="AN406" s="72"/>
    </row>
    <row r="407" spans="1:40" s="69" customFormat="1" x14ac:dyDescent="0.25">
      <c r="A407" s="88"/>
      <c r="B407" s="88"/>
      <c r="C407" s="70"/>
      <c r="D407" s="70"/>
      <c r="E407" s="70"/>
      <c r="F407" s="70"/>
      <c r="G407" s="70"/>
      <c r="H407" s="422"/>
      <c r="I407" s="422"/>
      <c r="J407" s="418"/>
      <c r="K407" s="403"/>
      <c r="L407" s="73"/>
      <c r="M407" s="72"/>
      <c r="N407" s="72"/>
      <c r="O407" s="72"/>
      <c r="P407" s="42"/>
      <c r="Q407" s="42"/>
      <c r="R407" s="42"/>
      <c r="S407" s="42"/>
      <c r="T407" s="42"/>
      <c r="U407" s="42"/>
      <c r="V407" s="416"/>
      <c r="W407" s="42"/>
      <c r="X407" s="74"/>
      <c r="Y407" s="74"/>
      <c r="Z407" s="74"/>
      <c r="AA407" s="74"/>
      <c r="AB407" s="74"/>
      <c r="AC407" s="42"/>
      <c r="AD407" s="42"/>
      <c r="AE407" s="42"/>
      <c r="AF407" s="42"/>
      <c r="AG407" s="42"/>
      <c r="AH407" s="42"/>
      <c r="AI407" s="75"/>
      <c r="AJ407" s="75"/>
      <c r="AK407" s="75"/>
      <c r="AL407" s="75"/>
      <c r="AM407" s="74"/>
      <c r="AN407" s="72"/>
    </row>
    <row r="408" spans="1:40" s="69" customFormat="1" x14ac:dyDescent="0.25">
      <c r="A408" s="88"/>
      <c r="B408" s="88"/>
      <c r="C408" s="70"/>
      <c r="D408" s="70"/>
      <c r="E408" s="70"/>
      <c r="F408" s="70"/>
      <c r="G408" s="70"/>
      <c r="H408" s="422"/>
      <c r="I408" s="422"/>
      <c r="J408" s="418"/>
      <c r="K408" s="403"/>
      <c r="L408" s="73"/>
      <c r="M408" s="72"/>
      <c r="N408" s="72"/>
      <c r="O408" s="72"/>
      <c r="P408" s="42"/>
      <c r="Q408" s="42"/>
      <c r="R408" s="42"/>
      <c r="S408" s="42"/>
      <c r="T408" s="42"/>
      <c r="U408" s="42"/>
      <c r="V408" s="416"/>
      <c r="W408" s="42"/>
      <c r="X408" s="74"/>
      <c r="Y408" s="74"/>
      <c r="Z408" s="74"/>
      <c r="AA408" s="74"/>
      <c r="AB408" s="74"/>
      <c r="AC408" s="42"/>
      <c r="AD408" s="42"/>
      <c r="AE408" s="42"/>
      <c r="AF408" s="42"/>
      <c r="AG408" s="42"/>
      <c r="AH408" s="42"/>
      <c r="AI408" s="75"/>
      <c r="AJ408" s="75"/>
      <c r="AK408" s="75"/>
      <c r="AL408" s="75"/>
      <c r="AM408" s="74"/>
      <c r="AN408" s="72"/>
    </row>
    <row r="409" spans="1:40" s="69" customFormat="1" x14ac:dyDescent="0.25">
      <c r="A409" s="88"/>
      <c r="B409" s="88"/>
      <c r="C409" s="70"/>
      <c r="D409" s="70"/>
      <c r="E409" s="70"/>
      <c r="F409" s="70"/>
      <c r="G409" s="70"/>
      <c r="H409" s="422"/>
      <c r="I409" s="422"/>
      <c r="J409" s="418"/>
      <c r="K409" s="403"/>
      <c r="L409" s="73"/>
      <c r="M409" s="72"/>
      <c r="N409" s="72"/>
      <c r="O409" s="72"/>
      <c r="P409" s="42"/>
      <c r="Q409" s="42"/>
      <c r="R409" s="42"/>
      <c r="S409" s="42"/>
      <c r="T409" s="42"/>
      <c r="U409" s="42"/>
      <c r="V409" s="416"/>
      <c r="W409" s="42"/>
      <c r="X409" s="74"/>
      <c r="Y409" s="74"/>
      <c r="Z409" s="74"/>
      <c r="AA409" s="74"/>
      <c r="AB409" s="74"/>
      <c r="AC409" s="42"/>
      <c r="AD409" s="42"/>
      <c r="AE409" s="42"/>
      <c r="AF409" s="42"/>
      <c r="AG409" s="42"/>
      <c r="AH409" s="42"/>
      <c r="AI409" s="75"/>
      <c r="AJ409" s="75"/>
      <c r="AK409" s="75"/>
      <c r="AL409" s="75"/>
      <c r="AM409" s="74"/>
      <c r="AN409" s="72"/>
    </row>
    <row r="410" spans="1:40" s="69" customFormat="1" x14ac:dyDescent="0.25">
      <c r="A410" s="88"/>
      <c r="B410" s="88"/>
      <c r="C410" s="70"/>
      <c r="D410" s="70"/>
      <c r="E410" s="70"/>
      <c r="F410" s="70"/>
      <c r="G410" s="70"/>
      <c r="H410" s="422"/>
      <c r="I410" s="422"/>
      <c r="J410" s="418"/>
      <c r="K410" s="403"/>
      <c r="L410" s="73"/>
      <c r="M410" s="72"/>
      <c r="N410" s="72"/>
      <c r="O410" s="72"/>
      <c r="P410" s="42"/>
      <c r="Q410" s="42"/>
      <c r="R410" s="42"/>
      <c r="S410" s="42"/>
      <c r="T410" s="42"/>
      <c r="U410" s="42"/>
      <c r="V410" s="416"/>
      <c r="W410" s="42"/>
      <c r="X410" s="74"/>
      <c r="Y410" s="74"/>
      <c r="Z410" s="74"/>
      <c r="AA410" s="74"/>
      <c r="AB410" s="74"/>
      <c r="AC410" s="42"/>
      <c r="AD410" s="42"/>
      <c r="AE410" s="42"/>
      <c r="AF410" s="42"/>
      <c r="AG410" s="42"/>
      <c r="AH410" s="42"/>
      <c r="AI410" s="75"/>
      <c r="AJ410" s="75"/>
      <c r="AK410" s="75"/>
      <c r="AL410" s="75"/>
      <c r="AM410" s="74"/>
      <c r="AN410" s="72"/>
    </row>
    <row r="411" spans="1:40" s="69" customFormat="1" x14ac:dyDescent="0.25">
      <c r="A411" s="88"/>
      <c r="B411" s="88"/>
      <c r="C411" s="70"/>
      <c r="D411" s="70"/>
      <c r="E411" s="70"/>
      <c r="F411" s="70"/>
      <c r="G411" s="70"/>
      <c r="H411" s="422"/>
      <c r="I411" s="422"/>
      <c r="J411" s="418"/>
      <c r="K411" s="403"/>
      <c r="L411" s="73"/>
      <c r="M411" s="72"/>
      <c r="N411" s="72"/>
      <c r="O411" s="72"/>
      <c r="P411" s="42"/>
      <c r="Q411" s="42"/>
      <c r="R411" s="42"/>
      <c r="S411" s="42"/>
      <c r="T411" s="42"/>
      <c r="U411" s="42"/>
      <c r="V411" s="416"/>
      <c r="W411" s="42"/>
      <c r="X411" s="74"/>
      <c r="Y411" s="74"/>
      <c r="Z411" s="74"/>
      <c r="AA411" s="74"/>
      <c r="AB411" s="74"/>
      <c r="AC411" s="42"/>
      <c r="AD411" s="42"/>
      <c r="AE411" s="42"/>
      <c r="AF411" s="42"/>
      <c r="AG411" s="42"/>
      <c r="AH411" s="42"/>
      <c r="AI411" s="75"/>
      <c r="AJ411" s="75"/>
      <c r="AK411" s="75"/>
      <c r="AL411" s="75"/>
      <c r="AM411" s="74"/>
      <c r="AN411" s="72"/>
    </row>
    <row r="412" spans="1:40" s="69" customFormat="1" x14ac:dyDescent="0.25">
      <c r="A412" s="88"/>
      <c r="B412" s="88"/>
      <c r="C412" s="70"/>
      <c r="D412" s="70"/>
      <c r="E412" s="70"/>
      <c r="F412" s="70"/>
      <c r="G412" s="70"/>
      <c r="H412" s="422"/>
      <c r="I412" s="422"/>
      <c r="J412" s="418"/>
      <c r="K412" s="403"/>
      <c r="L412" s="73"/>
      <c r="M412" s="72"/>
      <c r="N412" s="72"/>
      <c r="O412" s="72"/>
      <c r="P412" s="42"/>
      <c r="Q412" s="42"/>
      <c r="R412" s="42"/>
      <c r="S412" s="42"/>
      <c r="T412" s="42"/>
      <c r="U412" s="42"/>
      <c r="V412" s="416"/>
      <c r="W412" s="42"/>
      <c r="X412" s="74"/>
      <c r="Y412" s="74"/>
      <c r="Z412" s="74"/>
      <c r="AA412" s="74"/>
      <c r="AB412" s="74"/>
      <c r="AC412" s="42"/>
      <c r="AD412" s="42"/>
      <c r="AE412" s="42"/>
      <c r="AF412" s="42"/>
      <c r="AG412" s="42"/>
      <c r="AH412" s="42"/>
      <c r="AI412" s="75"/>
      <c r="AJ412" s="75"/>
      <c r="AK412" s="75"/>
      <c r="AL412" s="75"/>
      <c r="AM412" s="74"/>
      <c r="AN412" s="72"/>
    </row>
    <row r="413" spans="1:40" s="69" customFormat="1" x14ac:dyDescent="0.25">
      <c r="A413" s="88"/>
      <c r="B413" s="88"/>
      <c r="C413" s="70"/>
      <c r="D413" s="70"/>
      <c r="E413" s="70"/>
      <c r="F413" s="70"/>
      <c r="G413" s="70"/>
      <c r="H413" s="422"/>
      <c r="I413" s="422"/>
      <c r="J413" s="418"/>
      <c r="K413" s="403"/>
      <c r="L413" s="73"/>
      <c r="M413" s="72"/>
      <c r="N413" s="72"/>
      <c r="O413" s="72"/>
      <c r="P413" s="42"/>
      <c r="Q413" s="42"/>
      <c r="R413" s="42"/>
      <c r="S413" s="42"/>
      <c r="T413" s="42"/>
      <c r="U413" s="42"/>
      <c r="V413" s="416"/>
      <c r="W413" s="42"/>
      <c r="X413" s="74"/>
      <c r="Y413" s="74"/>
      <c r="Z413" s="74"/>
      <c r="AA413" s="74"/>
      <c r="AB413" s="74"/>
      <c r="AC413" s="42"/>
      <c r="AD413" s="42"/>
      <c r="AE413" s="42"/>
      <c r="AF413" s="42"/>
      <c r="AG413" s="42"/>
      <c r="AH413" s="42"/>
      <c r="AI413" s="75"/>
      <c r="AJ413" s="75"/>
      <c r="AK413" s="75"/>
      <c r="AL413" s="75"/>
      <c r="AM413" s="74"/>
      <c r="AN413" s="72"/>
    </row>
    <row r="414" spans="1:40" s="69" customFormat="1" x14ac:dyDescent="0.25">
      <c r="A414" s="88"/>
      <c r="B414" s="88"/>
      <c r="C414" s="70"/>
      <c r="D414" s="70"/>
      <c r="E414" s="70"/>
      <c r="F414" s="70"/>
      <c r="G414" s="70"/>
      <c r="H414" s="422"/>
      <c r="I414" s="422"/>
      <c r="J414" s="418"/>
      <c r="K414" s="403"/>
      <c r="L414" s="73"/>
      <c r="M414" s="72"/>
      <c r="N414" s="72"/>
      <c r="O414" s="72"/>
      <c r="P414" s="42"/>
      <c r="Q414" s="42"/>
      <c r="R414" s="42"/>
      <c r="S414" s="42"/>
      <c r="T414" s="42"/>
      <c r="U414" s="42"/>
      <c r="V414" s="416"/>
      <c r="W414" s="42"/>
      <c r="X414" s="74"/>
      <c r="Y414" s="74"/>
      <c r="Z414" s="74"/>
      <c r="AA414" s="74"/>
      <c r="AB414" s="74"/>
      <c r="AC414" s="42"/>
      <c r="AD414" s="42"/>
      <c r="AE414" s="42"/>
      <c r="AF414" s="42"/>
      <c r="AG414" s="42"/>
      <c r="AH414" s="42"/>
      <c r="AI414" s="75"/>
      <c r="AJ414" s="75"/>
      <c r="AK414" s="75"/>
      <c r="AL414" s="75"/>
      <c r="AM414" s="74"/>
      <c r="AN414" s="72"/>
    </row>
    <row r="415" spans="1:40" s="69" customFormat="1" x14ac:dyDescent="0.25">
      <c r="A415" s="88"/>
      <c r="B415" s="88"/>
      <c r="C415" s="70"/>
      <c r="D415" s="70"/>
      <c r="E415" s="70"/>
      <c r="F415" s="70"/>
      <c r="G415" s="70"/>
      <c r="H415" s="422"/>
      <c r="I415" s="422"/>
      <c r="J415" s="418"/>
      <c r="K415" s="403"/>
      <c r="L415" s="73"/>
      <c r="M415" s="72"/>
      <c r="N415" s="72"/>
      <c r="O415" s="72"/>
      <c r="P415" s="42"/>
      <c r="Q415" s="42"/>
      <c r="R415" s="42"/>
      <c r="S415" s="42"/>
      <c r="T415" s="42"/>
      <c r="U415" s="42"/>
      <c r="V415" s="416"/>
      <c r="W415" s="42"/>
      <c r="X415" s="74"/>
      <c r="Y415" s="74"/>
      <c r="Z415" s="74"/>
      <c r="AA415" s="74"/>
      <c r="AB415" s="74"/>
      <c r="AC415" s="42"/>
      <c r="AD415" s="42"/>
      <c r="AE415" s="42"/>
      <c r="AF415" s="42"/>
      <c r="AG415" s="42"/>
      <c r="AH415" s="42"/>
      <c r="AI415" s="75"/>
      <c r="AJ415" s="75"/>
      <c r="AK415" s="75"/>
      <c r="AL415" s="75"/>
      <c r="AM415" s="74"/>
      <c r="AN415" s="72"/>
    </row>
    <row r="416" spans="1:40" s="69" customFormat="1" x14ac:dyDescent="0.25">
      <c r="A416" s="88"/>
      <c r="B416" s="88"/>
      <c r="C416" s="70"/>
      <c r="D416" s="70"/>
      <c r="E416" s="70"/>
      <c r="F416" s="70"/>
      <c r="G416" s="70"/>
      <c r="H416" s="422"/>
      <c r="I416" s="422"/>
      <c r="J416" s="418"/>
      <c r="K416" s="403"/>
      <c r="L416" s="73"/>
      <c r="M416" s="72"/>
      <c r="N416" s="72"/>
      <c r="O416" s="72"/>
      <c r="P416" s="42"/>
      <c r="Q416" s="42"/>
      <c r="R416" s="42"/>
      <c r="S416" s="42"/>
      <c r="T416" s="42"/>
      <c r="U416" s="42"/>
      <c r="V416" s="416"/>
      <c r="W416" s="42"/>
      <c r="X416" s="74"/>
      <c r="Y416" s="74"/>
      <c r="Z416" s="74"/>
      <c r="AA416" s="74"/>
      <c r="AB416" s="74"/>
      <c r="AC416" s="42"/>
      <c r="AD416" s="42"/>
      <c r="AE416" s="42"/>
      <c r="AF416" s="42"/>
      <c r="AG416" s="42"/>
      <c r="AH416" s="42"/>
      <c r="AI416" s="75"/>
      <c r="AJ416" s="75"/>
      <c r="AK416" s="75"/>
      <c r="AL416" s="75"/>
      <c r="AM416" s="74"/>
      <c r="AN416" s="72" t="e">
        <f>VLOOKUP(H416,[4]Planilha1!A$13:P$314,16,0)</f>
        <v>#N/A</v>
      </c>
    </row>
    <row r="417" spans="1:40" s="69" customFormat="1" x14ac:dyDescent="0.25">
      <c r="A417" s="88"/>
      <c r="B417" s="88"/>
      <c r="C417" s="70"/>
      <c r="D417" s="70"/>
      <c r="E417" s="70"/>
      <c r="F417" s="70"/>
      <c r="G417" s="70"/>
      <c r="H417" s="422"/>
      <c r="I417" s="422"/>
      <c r="J417" s="418"/>
      <c r="K417" s="403"/>
      <c r="L417" s="73"/>
      <c r="M417" s="72"/>
      <c r="N417" s="72"/>
      <c r="O417" s="72"/>
      <c r="P417" s="42"/>
      <c r="Q417" s="42"/>
      <c r="R417" s="42"/>
      <c r="S417" s="42"/>
      <c r="T417" s="42"/>
      <c r="U417" s="42"/>
      <c r="V417" s="416"/>
      <c r="W417" s="42"/>
      <c r="X417" s="74"/>
      <c r="Y417" s="74"/>
      <c r="Z417" s="74"/>
      <c r="AA417" s="74"/>
      <c r="AB417" s="74"/>
      <c r="AC417" s="42"/>
      <c r="AD417" s="42"/>
      <c r="AE417" s="42"/>
      <c r="AF417" s="42"/>
      <c r="AG417" s="42"/>
      <c r="AH417" s="42"/>
      <c r="AI417" s="75"/>
      <c r="AJ417" s="75"/>
      <c r="AK417" s="75"/>
      <c r="AL417" s="75"/>
      <c r="AM417" s="74"/>
      <c r="AN417" s="72" t="e">
        <f>VLOOKUP(H417,[4]Planilha1!A$13:P$314,16,0)</f>
        <v>#N/A</v>
      </c>
    </row>
    <row r="418" spans="1:40" s="69" customFormat="1" x14ac:dyDescent="0.25">
      <c r="A418" s="88"/>
      <c r="B418" s="88"/>
      <c r="C418" s="70"/>
      <c r="D418" s="70"/>
      <c r="E418" s="70"/>
      <c r="F418" s="70"/>
      <c r="G418" s="70"/>
      <c r="H418" s="422"/>
      <c r="I418" s="422"/>
      <c r="J418" s="418"/>
      <c r="K418" s="403"/>
      <c r="L418" s="73"/>
      <c r="M418" s="72"/>
      <c r="N418" s="72"/>
      <c r="O418" s="72"/>
      <c r="P418" s="42"/>
      <c r="Q418" s="42"/>
      <c r="R418" s="42"/>
      <c r="S418" s="42"/>
      <c r="T418" s="42"/>
      <c r="U418" s="42"/>
      <c r="V418" s="416"/>
      <c r="W418" s="42"/>
      <c r="X418" s="74"/>
      <c r="Y418" s="74"/>
      <c r="Z418" s="74"/>
      <c r="AA418" s="74"/>
      <c r="AB418" s="74"/>
      <c r="AC418" s="42"/>
      <c r="AD418" s="42"/>
      <c r="AE418" s="42"/>
      <c r="AF418" s="42"/>
      <c r="AG418" s="42"/>
      <c r="AH418" s="42"/>
      <c r="AI418" s="75"/>
      <c r="AJ418" s="75"/>
      <c r="AK418" s="75"/>
      <c r="AL418" s="75"/>
      <c r="AM418" s="74"/>
      <c r="AN418" s="72" t="e">
        <f>VLOOKUP(H418,[4]Planilha1!A$13:P$314,16,0)</f>
        <v>#N/A</v>
      </c>
    </row>
    <row r="419" spans="1:40" s="69" customFormat="1" x14ac:dyDescent="0.25">
      <c r="A419" s="88"/>
      <c r="B419" s="88"/>
      <c r="C419" s="70"/>
      <c r="D419" s="70"/>
      <c r="E419" s="70"/>
      <c r="F419" s="70"/>
      <c r="G419" s="70"/>
      <c r="H419" s="422"/>
      <c r="I419" s="422"/>
      <c r="J419" s="418"/>
      <c r="K419" s="403"/>
      <c r="L419" s="73"/>
      <c r="M419" s="72"/>
      <c r="N419" s="72"/>
      <c r="O419" s="72"/>
      <c r="P419" s="42"/>
      <c r="Q419" s="42"/>
      <c r="R419" s="42"/>
      <c r="S419" s="42"/>
      <c r="T419" s="42"/>
      <c r="U419" s="42"/>
      <c r="V419" s="416"/>
      <c r="W419" s="42"/>
      <c r="X419" s="74"/>
      <c r="Y419" s="74"/>
      <c r="Z419" s="74"/>
      <c r="AA419" s="74"/>
      <c r="AB419" s="74"/>
      <c r="AC419" s="42"/>
      <c r="AD419" s="42"/>
      <c r="AE419" s="42"/>
      <c r="AF419" s="42"/>
      <c r="AG419" s="42"/>
      <c r="AH419" s="42"/>
      <c r="AI419" s="75"/>
      <c r="AJ419" s="75"/>
      <c r="AK419" s="75"/>
      <c r="AL419" s="75"/>
      <c r="AM419" s="74"/>
      <c r="AN419" s="72" t="e">
        <f>VLOOKUP(H419,[4]Planilha1!A$13:P$314,16,0)</f>
        <v>#N/A</v>
      </c>
    </row>
    <row r="420" spans="1:40" s="69" customFormat="1" x14ac:dyDescent="0.25">
      <c r="A420" s="88"/>
      <c r="B420" s="88"/>
      <c r="C420" s="70"/>
      <c r="D420" s="70"/>
      <c r="E420" s="70"/>
      <c r="F420" s="70"/>
      <c r="G420" s="70"/>
      <c r="H420" s="422"/>
      <c r="I420" s="422"/>
      <c r="J420" s="418"/>
      <c r="K420" s="403"/>
      <c r="L420" s="73"/>
      <c r="M420" s="72"/>
      <c r="N420" s="72"/>
      <c r="O420" s="72"/>
      <c r="P420" s="42"/>
      <c r="Q420" s="42"/>
      <c r="R420" s="42"/>
      <c r="S420" s="42"/>
      <c r="T420" s="42"/>
      <c r="U420" s="42"/>
      <c r="V420" s="416"/>
      <c r="W420" s="42"/>
      <c r="X420" s="74"/>
      <c r="Y420" s="74"/>
      <c r="Z420" s="74"/>
      <c r="AA420" s="74"/>
      <c r="AB420" s="74"/>
      <c r="AC420" s="42"/>
      <c r="AD420" s="42"/>
      <c r="AE420" s="42"/>
      <c r="AF420" s="42"/>
      <c r="AG420" s="42"/>
      <c r="AH420" s="42"/>
      <c r="AI420" s="75"/>
      <c r="AJ420" s="75"/>
      <c r="AK420" s="75"/>
      <c r="AL420" s="75"/>
      <c r="AM420" s="74"/>
      <c r="AN420" s="72" t="e">
        <f>VLOOKUP(H420,[4]Planilha1!A$13:P$314,16,0)</f>
        <v>#N/A</v>
      </c>
    </row>
    <row r="421" spans="1:40" s="69" customFormat="1" x14ac:dyDescent="0.25">
      <c r="A421" s="88"/>
      <c r="B421" s="88"/>
      <c r="C421" s="70"/>
      <c r="D421" s="70"/>
      <c r="E421" s="70"/>
      <c r="F421" s="70"/>
      <c r="G421" s="70"/>
      <c r="H421" s="422"/>
      <c r="I421" s="422"/>
      <c r="J421" s="418"/>
      <c r="K421" s="403"/>
      <c r="L421" s="73"/>
      <c r="M421" s="72"/>
      <c r="N421" s="72"/>
      <c r="O421" s="72"/>
      <c r="P421" s="42"/>
      <c r="Q421" s="42"/>
      <c r="R421" s="42"/>
      <c r="S421" s="42"/>
      <c r="T421" s="42"/>
      <c r="U421" s="42"/>
      <c r="V421" s="416"/>
      <c r="W421" s="42"/>
      <c r="X421" s="74"/>
      <c r="Y421" s="74"/>
      <c r="Z421" s="74"/>
      <c r="AA421" s="74"/>
      <c r="AB421" s="74"/>
      <c r="AC421" s="42"/>
      <c r="AD421" s="42"/>
      <c r="AE421" s="42"/>
      <c r="AF421" s="42"/>
      <c r="AG421" s="42"/>
      <c r="AH421" s="42"/>
      <c r="AI421" s="75"/>
      <c r="AJ421" s="75"/>
      <c r="AK421" s="75"/>
      <c r="AL421" s="75"/>
      <c r="AM421" s="74"/>
      <c r="AN421" s="72" t="e">
        <f>VLOOKUP(H421,[4]Planilha1!A$13:P$314,16,0)</f>
        <v>#N/A</v>
      </c>
    </row>
    <row r="422" spans="1:40" s="69" customFormat="1" x14ac:dyDescent="0.25">
      <c r="A422" s="88"/>
      <c r="B422" s="88"/>
      <c r="C422" s="70"/>
      <c r="D422" s="70"/>
      <c r="E422" s="70"/>
      <c r="F422" s="70"/>
      <c r="G422" s="70"/>
      <c r="H422" s="422"/>
      <c r="I422" s="422"/>
      <c r="J422" s="418"/>
      <c r="K422" s="403"/>
      <c r="L422" s="73"/>
      <c r="M422" s="72"/>
      <c r="N422" s="72"/>
      <c r="O422" s="72"/>
      <c r="P422" s="42"/>
      <c r="Q422" s="42"/>
      <c r="R422" s="42"/>
      <c r="S422" s="42"/>
      <c r="T422" s="42"/>
      <c r="U422" s="42"/>
      <c r="V422" s="416"/>
      <c r="W422" s="42"/>
      <c r="X422" s="74"/>
      <c r="Y422" s="74"/>
      <c r="Z422" s="74"/>
      <c r="AA422" s="74"/>
      <c r="AB422" s="74"/>
      <c r="AC422" s="42"/>
      <c r="AD422" s="42"/>
      <c r="AE422" s="42"/>
      <c r="AF422" s="42"/>
      <c r="AG422" s="42"/>
      <c r="AH422" s="42"/>
      <c r="AI422" s="75"/>
      <c r="AJ422" s="75"/>
      <c r="AK422" s="75"/>
      <c r="AL422" s="75"/>
      <c r="AM422" s="74"/>
      <c r="AN422" s="72" t="e">
        <f>VLOOKUP(H422,[4]Planilha1!A$13:P$314,16,0)</f>
        <v>#N/A</v>
      </c>
    </row>
    <row r="423" spans="1:40" s="69" customFormat="1" x14ac:dyDescent="0.25">
      <c r="A423" s="88"/>
      <c r="B423" s="88"/>
      <c r="C423" s="70"/>
      <c r="D423" s="70"/>
      <c r="E423" s="70"/>
      <c r="F423" s="70"/>
      <c r="G423" s="70"/>
      <c r="H423" s="422"/>
      <c r="I423" s="422"/>
      <c r="J423" s="418"/>
      <c r="K423" s="403"/>
      <c r="L423" s="73"/>
      <c r="M423" s="72"/>
      <c r="N423" s="72"/>
      <c r="O423" s="72"/>
      <c r="P423" s="42"/>
      <c r="Q423" s="42"/>
      <c r="R423" s="42"/>
      <c r="S423" s="42"/>
      <c r="T423" s="42"/>
      <c r="U423" s="42"/>
      <c r="V423" s="416"/>
      <c r="W423" s="42"/>
      <c r="X423" s="74"/>
      <c r="Y423" s="74"/>
      <c r="Z423" s="74"/>
      <c r="AA423" s="74"/>
      <c r="AB423" s="74"/>
      <c r="AC423" s="42"/>
      <c r="AD423" s="42"/>
      <c r="AE423" s="42"/>
      <c r="AF423" s="42"/>
      <c r="AG423" s="42"/>
      <c r="AH423" s="42"/>
      <c r="AI423" s="75"/>
      <c r="AJ423" s="75"/>
      <c r="AK423" s="75"/>
      <c r="AL423" s="75"/>
      <c r="AM423" s="74"/>
      <c r="AN423" s="72" t="e">
        <f>VLOOKUP(H423,[4]Planilha1!A$13:P$314,16,0)</f>
        <v>#N/A</v>
      </c>
    </row>
    <row r="424" spans="1:40" s="69" customFormat="1" x14ac:dyDescent="0.25">
      <c r="A424" s="88"/>
      <c r="B424" s="88"/>
      <c r="C424" s="70"/>
      <c r="D424" s="70"/>
      <c r="E424" s="70"/>
      <c r="F424" s="70"/>
      <c r="G424" s="70"/>
      <c r="H424" s="422"/>
      <c r="I424" s="422"/>
      <c r="J424" s="418"/>
      <c r="K424" s="403"/>
      <c r="L424" s="73"/>
      <c r="M424" s="72"/>
      <c r="N424" s="72"/>
      <c r="O424" s="72"/>
      <c r="P424" s="42"/>
      <c r="Q424" s="42"/>
      <c r="R424" s="42"/>
      <c r="S424" s="42"/>
      <c r="T424" s="42"/>
      <c r="U424" s="42"/>
      <c r="V424" s="416"/>
      <c r="W424" s="42"/>
      <c r="X424" s="74"/>
      <c r="Y424" s="74"/>
      <c r="Z424" s="74"/>
      <c r="AA424" s="74"/>
      <c r="AB424" s="74"/>
      <c r="AC424" s="42"/>
      <c r="AD424" s="42"/>
      <c r="AE424" s="42"/>
      <c r="AF424" s="42"/>
      <c r="AG424" s="42"/>
      <c r="AH424" s="42"/>
      <c r="AI424" s="75"/>
      <c r="AJ424" s="75"/>
      <c r="AK424" s="75"/>
      <c r="AL424" s="75"/>
      <c r="AM424" s="74"/>
      <c r="AN424" s="72" t="e">
        <f>VLOOKUP(H424,[4]Planilha1!A$13:P$314,16,0)</f>
        <v>#N/A</v>
      </c>
    </row>
    <row r="425" spans="1:40" s="69" customFormat="1" x14ac:dyDescent="0.25">
      <c r="A425" s="88"/>
      <c r="B425" s="88"/>
      <c r="C425" s="70"/>
      <c r="D425" s="70"/>
      <c r="E425" s="70"/>
      <c r="F425" s="70"/>
      <c r="G425" s="70"/>
      <c r="H425" s="422"/>
      <c r="I425" s="422"/>
      <c r="J425" s="418"/>
      <c r="K425" s="403"/>
      <c r="L425" s="73"/>
      <c r="M425" s="72"/>
      <c r="N425" s="72"/>
      <c r="O425" s="72"/>
      <c r="P425" s="42"/>
      <c r="Q425" s="42"/>
      <c r="R425" s="42"/>
      <c r="S425" s="42"/>
      <c r="T425" s="42"/>
      <c r="U425" s="42"/>
      <c r="V425" s="416"/>
      <c r="W425" s="42"/>
      <c r="X425" s="74"/>
      <c r="Y425" s="74"/>
      <c r="Z425" s="74"/>
      <c r="AA425" s="74"/>
      <c r="AB425" s="74"/>
      <c r="AC425" s="42"/>
      <c r="AD425" s="42"/>
      <c r="AE425" s="42"/>
      <c r="AF425" s="42"/>
      <c r="AG425" s="42"/>
      <c r="AH425" s="42"/>
      <c r="AI425" s="75"/>
      <c r="AJ425" s="75"/>
      <c r="AK425" s="75"/>
      <c r="AL425" s="75"/>
      <c r="AM425" s="74"/>
      <c r="AN425" s="72" t="e">
        <f>VLOOKUP(H425,[4]Planilha1!A$13:P$314,16,0)</f>
        <v>#N/A</v>
      </c>
    </row>
    <row r="426" spans="1:40" s="69" customFormat="1" x14ac:dyDescent="0.25">
      <c r="A426" s="88"/>
      <c r="B426" s="88"/>
      <c r="C426" s="70"/>
      <c r="D426" s="70"/>
      <c r="E426" s="70"/>
      <c r="F426" s="70"/>
      <c r="G426" s="70"/>
      <c r="H426" s="422"/>
      <c r="I426" s="422"/>
      <c r="J426" s="418"/>
      <c r="K426" s="403"/>
      <c r="L426" s="73"/>
      <c r="M426" s="72"/>
      <c r="N426" s="72"/>
      <c r="O426" s="72"/>
      <c r="P426" s="42"/>
      <c r="Q426" s="42"/>
      <c r="R426" s="42"/>
      <c r="S426" s="42"/>
      <c r="T426" s="42"/>
      <c r="U426" s="42"/>
      <c r="V426" s="416"/>
      <c r="W426" s="42"/>
      <c r="X426" s="74"/>
      <c r="Y426" s="74"/>
      <c r="Z426" s="74"/>
      <c r="AA426" s="74"/>
      <c r="AB426" s="74"/>
      <c r="AC426" s="42"/>
      <c r="AD426" s="42"/>
      <c r="AE426" s="42"/>
      <c r="AF426" s="42"/>
      <c r="AG426" s="42"/>
      <c r="AH426" s="42"/>
      <c r="AI426" s="75"/>
      <c r="AJ426" s="75"/>
      <c r="AK426" s="75"/>
      <c r="AL426" s="75"/>
      <c r="AM426" s="74"/>
      <c r="AN426" s="72" t="e">
        <f>VLOOKUP(H426,[4]Planilha1!A$13:P$314,16,0)</f>
        <v>#N/A</v>
      </c>
    </row>
    <row r="427" spans="1:40" s="69" customFormat="1" x14ac:dyDescent="0.25">
      <c r="A427" s="88"/>
      <c r="B427" s="88"/>
      <c r="C427" s="70"/>
      <c r="D427" s="70"/>
      <c r="E427" s="70"/>
      <c r="F427" s="70"/>
      <c r="G427" s="70"/>
      <c r="H427" s="422"/>
      <c r="I427" s="422"/>
      <c r="J427" s="418"/>
      <c r="K427" s="403"/>
      <c r="L427" s="73"/>
      <c r="M427" s="72"/>
      <c r="N427" s="72"/>
      <c r="O427" s="72"/>
      <c r="P427" s="42"/>
      <c r="Q427" s="42"/>
      <c r="R427" s="42"/>
      <c r="S427" s="42"/>
      <c r="T427" s="42"/>
      <c r="U427" s="42"/>
      <c r="V427" s="416"/>
      <c r="W427" s="42"/>
      <c r="X427" s="74"/>
      <c r="Y427" s="74"/>
      <c r="Z427" s="74"/>
      <c r="AA427" s="74"/>
      <c r="AB427" s="74"/>
      <c r="AC427" s="42"/>
      <c r="AD427" s="42"/>
      <c r="AE427" s="42"/>
      <c r="AF427" s="42"/>
      <c r="AG427" s="42"/>
      <c r="AH427" s="42"/>
      <c r="AI427" s="75"/>
      <c r="AJ427" s="75"/>
      <c r="AK427" s="75"/>
      <c r="AL427" s="75"/>
      <c r="AM427" s="74"/>
      <c r="AN427" s="72" t="e">
        <f>VLOOKUP(H427,[4]Planilha1!A$13:P$314,16,0)</f>
        <v>#N/A</v>
      </c>
    </row>
    <row r="428" spans="1:40" s="69" customFormat="1" x14ac:dyDescent="0.25">
      <c r="A428" s="88"/>
      <c r="B428" s="88"/>
      <c r="C428" s="70"/>
      <c r="D428" s="70"/>
      <c r="E428" s="70"/>
      <c r="F428" s="70"/>
      <c r="G428" s="70"/>
      <c r="H428" s="422"/>
      <c r="I428" s="422"/>
      <c r="J428" s="418"/>
      <c r="K428" s="403"/>
      <c r="L428" s="73"/>
      <c r="M428" s="72"/>
      <c r="N428" s="72"/>
      <c r="O428" s="72"/>
      <c r="P428" s="42"/>
      <c r="Q428" s="42"/>
      <c r="R428" s="42"/>
      <c r="S428" s="42"/>
      <c r="T428" s="42"/>
      <c r="U428" s="42"/>
      <c r="V428" s="416"/>
      <c r="W428" s="42"/>
      <c r="X428" s="74"/>
      <c r="Y428" s="74"/>
      <c r="Z428" s="74"/>
      <c r="AA428" s="74"/>
      <c r="AB428" s="74"/>
      <c r="AC428" s="42"/>
      <c r="AD428" s="42"/>
      <c r="AE428" s="42"/>
      <c r="AF428" s="42"/>
      <c r="AG428" s="42"/>
      <c r="AH428" s="42"/>
      <c r="AI428" s="75"/>
      <c r="AJ428" s="75"/>
      <c r="AK428" s="75"/>
      <c r="AL428" s="75"/>
      <c r="AM428" s="74"/>
      <c r="AN428" s="72" t="e">
        <f>VLOOKUP(H428,[4]Planilha1!A$13:P$314,16,0)</f>
        <v>#N/A</v>
      </c>
    </row>
    <row r="429" spans="1:40" s="69" customFormat="1" x14ac:dyDescent="0.25">
      <c r="A429" s="88"/>
      <c r="B429" s="88"/>
      <c r="C429" s="70"/>
      <c r="D429" s="70"/>
      <c r="E429" s="70"/>
      <c r="F429" s="70"/>
      <c r="G429" s="70"/>
      <c r="H429" s="422"/>
      <c r="I429" s="422"/>
      <c r="J429" s="418"/>
      <c r="K429" s="403"/>
      <c r="L429" s="73"/>
      <c r="M429" s="72"/>
      <c r="N429" s="72"/>
      <c r="O429" s="72"/>
      <c r="P429" s="42"/>
      <c r="Q429" s="42"/>
      <c r="R429" s="42"/>
      <c r="S429" s="42"/>
      <c r="T429" s="42"/>
      <c r="U429" s="42"/>
      <c r="V429" s="416"/>
      <c r="W429" s="42"/>
      <c r="X429" s="74"/>
      <c r="Y429" s="74"/>
      <c r="Z429" s="74"/>
      <c r="AA429" s="74"/>
      <c r="AB429" s="74"/>
      <c r="AC429" s="42"/>
      <c r="AD429" s="42"/>
      <c r="AE429" s="42"/>
      <c r="AF429" s="42"/>
      <c r="AG429" s="42"/>
      <c r="AH429" s="42"/>
      <c r="AI429" s="75"/>
      <c r="AJ429" s="75"/>
      <c r="AK429" s="75"/>
      <c r="AL429" s="75"/>
      <c r="AM429" s="74"/>
      <c r="AN429" s="72" t="e">
        <f>VLOOKUP(H429,[4]Planilha1!A$13:P$314,16,0)</f>
        <v>#N/A</v>
      </c>
    </row>
    <row r="430" spans="1:40" s="69" customFormat="1" x14ac:dyDescent="0.25">
      <c r="A430" s="88"/>
      <c r="B430" s="88"/>
      <c r="C430" s="70"/>
      <c r="D430" s="70"/>
      <c r="E430" s="70"/>
      <c r="F430" s="70"/>
      <c r="G430" s="70"/>
      <c r="H430" s="422"/>
      <c r="I430" s="422"/>
      <c r="J430" s="418"/>
      <c r="K430" s="403"/>
      <c r="L430" s="73"/>
      <c r="M430" s="72"/>
      <c r="N430" s="72"/>
      <c r="O430" s="72"/>
      <c r="P430" s="42"/>
      <c r="Q430" s="42"/>
      <c r="R430" s="42"/>
      <c r="S430" s="42"/>
      <c r="T430" s="42"/>
      <c r="U430" s="42"/>
      <c r="V430" s="416"/>
      <c r="W430" s="42"/>
      <c r="X430" s="74"/>
      <c r="Y430" s="74"/>
      <c r="Z430" s="74"/>
      <c r="AA430" s="74"/>
      <c r="AB430" s="74"/>
      <c r="AC430" s="42"/>
      <c r="AD430" s="42"/>
      <c r="AE430" s="42"/>
      <c r="AF430" s="42"/>
      <c r="AG430" s="42"/>
      <c r="AH430" s="42"/>
      <c r="AI430" s="75"/>
      <c r="AJ430" s="75"/>
      <c r="AK430" s="75"/>
      <c r="AL430" s="75"/>
      <c r="AM430" s="74"/>
      <c r="AN430" s="72" t="e">
        <f>VLOOKUP(H430,[4]Planilha1!A$13:P$314,16,0)</f>
        <v>#N/A</v>
      </c>
    </row>
    <row r="431" spans="1:40" s="69" customFormat="1" x14ac:dyDescent="0.25">
      <c r="A431" s="88"/>
      <c r="B431" s="88"/>
      <c r="C431" s="70"/>
      <c r="D431" s="70"/>
      <c r="E431" s="70"/>
      <c r="F431" s="70"/>
      <c r="G431" s="70"/>
      <c r="H431" s="422"/>
      <c r="I431" s="422"/>
      <c r="J431" s="418"/>
      <c r="K431" s="403"/>
      <c r="L431" s="73"/>
      <c r="M431" s="72"/>
      <c r="N431" s="72"/>
      <c r="O431" s="72"/>
      <c r="P431" s="42"/>
      <c r="Q431" s="42"/>
      <c r="R431" s="42"/>
      <c r="S431" s="42"/>
      <c r="T431" s="42"/>
      <c r="U431" s="42"/>
      <c r="V431" s="416"/>
      <c r="W431" s="42"/>
      <c r="X431" s="74"/>
      <c r="Y431" s="74"/>
      <c r="Z431" s="74"/>
      <c r="AA431" s="74"/>
      <c r="AB431" s="74"/>
      <c r="AC431" s="42"/>
      <c r="AD431" s="42"/>
      <c r="AE431" s="42"/>
      <c r="AF431" s="42"/>
      <c r="AG431" s="42"/>
      <c r="AH431" s="42"/>
      <c r="AI431" s="75"/>
      <c r="AJ431" s="75"/>
      <c r="AK431" s="75"/>
      <c r="AL431" s="75"/>
      <c r="AM431" s="74"/>
      <c r="AN431" s="72" t="e">
        <f>VLOOKUP(H431,[4]Planilha1!A$13:P$314,16,0)</f>
        <v>#N/A</v>
      </c>
    </row>
    <row r="432" spans="1:40" s="69" customFormat="1" x14ac:dyDescent="0.25">
      <c r="A432" s="88"/>
      <c r="B432" s="88"/>
      <c r="C432" s="70"/>
      <c r="D432" s="70"/>
      <c r="E432" s="70"/>
      <c r="F432" s="70"/>
      <c r="G432" s="70"/>
      <c r="H432" s="422"/>
      <c r="I432" s="422"/>
      <c r="J432" s="418"/>
      <c r="K432" s="403"/>
      <c r="L432" s="73"/>
      <c r="M432" s="72"/>
      <c r="N432" s="72"/>
      <c r="O432" s="72"/>
      <c r="P432" s="42"/>
      <c r="Q432" s="42"/>
      <c r="R432" s="42"/>
      <c r="S432" s="42"/>
      <c r="T432" s="42"/>
      <c r="U432" s="42"/>
      <c r="V432" s="416"/>
      <c r="W432" s="42"/>
      <c r="X432" s="74"/>
      <c r="Y432" s="74"/>
      <c r="Z432" s="74"/>
      <c r="AA432" s="74"/>
      <c r="AB432" s="74"/>
      <c r="AC432" s="42"/>
      <c r="AD432" s="42"/>
      <c r="AE432" s="42"/>
      <c r="AF432" s="42"/>
      <c r="AG432" s="42"/>
      <c r="AH432" s="42"/>
      <c r="AI432" s="75"/>
      <c r="AJ432" s="75"/>
      <c r="AK432" s="75"/>
      <c r="AL432" s="75"/>
      <c r="AM432" s="74"/>
      <c r="AN432" s="72" t="e">
        <f>VLOOKUP(H432,[4]Planilha1!A$13:P$314,16,0)</f>
        <v>#N/A</v>
      </c>
    </row>
    <row r="433" spans="1:40" s="69" customFormat="1" x14ac:dyDescent="0.25">
      <c r="A433" s="88"/>
      <c r="B433" s="88"/>
      <c r="C433" s="70"/>
      <c r="D433" s="70"/>
      <c r="E433" s="70"/>
      <c r="F433" s="70"/>
      <c r="G433" s="70"/>
      <c r="H433" s="422"/>
      <c r="I433" s="422"/>
      <c r="J433" s="418"/>
      <c r="K433" s="403"/>
      <c r="L433" s="73"/>
      <c r="M433" s="72"/>
      <c r="N433" s="72"/>
      <c r="O433" s="72"/>
      <c r="P433" s="42"/>
      <c r="Q433" s="42"/>
      <c r="R433" s="42"/>
      <c r="S433" s="42"/>
      <c r="T433" s="42"/>
      <c r="U433" s="42"/>
      <c r="V433" s="416"/>
      <c r="W433" s="42"/>
      <c r="X433" s="74"/>
      <c r="Y433" s="74"/>
      <c r="Z433" s="74"/>
      <c r="AA433" s="74"/>
      <c r="AB433" s="74"/>
      <c r="AC433" s="42"/>
      <c r="AD433" s="42"/>
      <c r="AE433" s="42"/>
      <c r="AF433" s="42"/>
      <c r="AG433" s="42"/>
      <c r="AH433" s="42"/>
      <c r="AI433" s="75"/>
      <c r="AJ433" s="75"/>
      <c r="AK433" s="75"/>
      <c r="AL433" s="75"/>
      <c r="AM433" s="74"/>
      <c r="AN433" s="72" t="e">
        <f>VLOOKUP(H433,[4]Planilha1!A$13:P$314,16,0)</f>
        <v>#N/A</v>
      </c>
    </row>
    <row r="434" spans="1:40" s="69" customFormat="1" x14ac:dyDescent="0.25">
      <c r="A434" s="88"/>
      <c r="B434" s="88"/>
      <c r="C434" s="70"/>
      <c r="D434" s="70"/>
      <c r="E434" s="70"/>
      <c r="F434" s="70"/>
      <c r="G434" s="70"/>
      <c r="H434" s="422"/>
      <c r="I434" s="422"/>
      <c r="J434" s="418"/>
      <c r="K434" s="403"/>
      <c r="L434" s="73"/>
      <c r="M434" s="72"/>
      <c r="N434" s="72"/>
      <c r="O434" s="72"/>
      <c r="P434" s="42"/>
      <c r="Q434" s="42"/>
      <c r="R434" s="42"/>
      <c r="S434" s="42"/>
      <c r="T434" s="42"/>
      <c r="U434" s="42"/>
      <c r="V434" s="416"/>
      <c r="W434" s="42"/>
      <c r="X434" s="74"/>
      <c r="Y434" s="74"/>
      <c r="Z434" s="74"/>
      <c r="AA434" s="74"/>
      <c r="AB434" s="74"/>
      <c r="AC434" s="42"/>
      <c r="AD434" s="42"/>
      <c r="AE434" s="42"/>
      <c r="AF434" s="42"/>
      <c r="AG434" s="42"/>
      <c r="AH434" s="42"/>
      <c r="AI434" s="75"/>
      <c r="AJ434" s="75"/>
      <c r="AK434" s="75"/>
      <c r="AL434" s="75"/>
      <c r="AM434" s="74"/>
      <c r="AN434" s="72" t="e">
        <f>VLOOKUP(H434,[4]Planilha1!A$13:P$314,16,0)</f>
        <v>#N/A</v>
      </c>
    </row>
    <row r="435" spans="1:40" s="69" customFormat="1" x14ac:dyDescent="0.25">
      <c r="A435" s="88"/>
      <c r="B435" s="88"/>
      <c r="C435" s="70"/>
      <c r="D435" s="70"/>
      <c r="E435" s="70"/>
      <c r="F435" s="70"/>
      <c r="G435" s="70"/>
      <c r="H435" s="422"/>
      <c r="I435" s="422"/>
      <c r="J435" s="418"/>
      <c r="K435" s="403"/>
      <c r="L435" s="73"/>
      <c r="M435" s="72"/>
      <c r="N435" s="72"/>
      <c r="O435" s="72"/>
      <c r="P435" s="42"/>
      <c r="Q435" s="42"/>
      <c r="R435" s="42"/>
      <c r="S435" s="42"/>
      <c r="T435" s="42"/>
      <c r="U435" s="42"/>
      <c r="V435" s="416"/>
      <c r="W435" s="42"/>
      <c r="X435" s="74"/>
      <c r="Y435" s="74"/>
      <c r="Z435" s="74"/>
      <c r="AA435" s="74"/>
      <c r="AB435" s="74"/>
      <c r="AC435" s="42"/>
      <c r="AD435" s="42"/>
      <c r="AE435" s="42"/>
      <c r="AF435" s="42"/>
      <c r="AG435" s="42"/>
      <c r="AH435" s="42"/>
      <c r="AI435" s="75"/>
      <c r="AJ435" s="75"/>
      <c r="AK435" s="75"/>
      <c r="AL435" s="75"/>
      <c r="AM435" s="74"/>
      <c r="AN435" s="72" t="e">
        <f>VLOOKUP(H435,[4]Planilha1!A$13:P$314,16,0)</f>
        <v>#N/A</v>
      </c>
    </row>
    <row r="436" spans="1:40" s="69" customFormat="1" x14ac:dyDescent="0.25">
      <c r="A436" s="88"/>
      <c r="B436" s="88"/>
      <c r="C436" s="70"/>
      <c r="D436" s="70"/>
      <c r="E436" s="70"/>
      <c r="F436" s="70"/>
      <c r="G436" s="70"/>
      <c r="H436" s="422"/>
      <c r="I436" s="422"/>
      <c r="J436" s="418"/>
      <c r="K436" s="403"/>
      <c r="L436" s="73"/>
      <c r="M436" s="72"/>
      <c r="N436" s="72"/>
      <c r="O436" s="72"/>
      <c r="P436" s="42"/>
      <c r="Q436" s="42"/>
      <c r="R436" s="42"/>
      <c r="S436" s="42"/>
      <c r="T436" s="42"/>
      <c r="U436" s="42"/>
      <c r="V436" s="416"/>
      <c r="W436" s="42"/>
      <c r="X436" s="74"/>
      <c r="Y436" s="74"/>
      <c r="Z436" s="74"/>
      <c r="AA436" s="74"/>
      <c r="AB436" s="74"/>
      <c r="AC436" s="42"/>
      <c r="AD436" s="42"/>
      <c r="AE436" s="42"/>
      <c r="AF436" s="42"/>
      <c r="AG436" s="42"/>
      <c r="AH436" s="42"/>
      <c r="AI436" s="75"/>
      <c r="AJ436" s="75"/>
      <c r="AK436" s="75"/>
      <c r="AL436" s="75"/>
      <c r="AM436" s="74"/>
      <c r="AN436" s="72" t="e">
        <f>VLOOKUP(H436,[4]Planilha1!A$13:P$314,16,0)</f>
        <v>#N/A</v>
      </c>
    </row>
    <row r="437" spans="1:40" s="69" customFormat="1" x14ac:dyDescent="0.25">
      <c r="A437" s="88"/>
      <c r="B437" s="88"/>
      <c r="C437" s="70"/>
      <c r="D437" s="70"/>
      <c r="E437" s="70"/>
      <c r="F437" s="70"/>
      <c r="G437" s="70"/>
      <c r="H437" s="422"/>
      <c r="I437" s="422"/>
      <c r="J437" s="418"/>
      <c r="K437" s="403"/>
      <c r="L437" s="73"/>
      <c r="M437" s="72"/>
      <c r="N437" s="72"/>
      <c r="O437" s="72"/>
      <c r="P437" s="42"/>
      <c r="Q437" s="42"/>
      <c r="R437" s="42"/>
      <c r="S437" s="42"/>
      <c r="T437" s="42"/>
      <c r="U437" s="42"/>
      <c r="V437" s="416"/>
      <c r="W437" s="42"/>
      <c r="X437" s="74"/>
      <c r="Y437" s="74"/>
      <c r="Z437" s="74"/>
      <c r="AA437" s="74"/>
      <c r="AB437" s="74"/>
      <c r="AC437" s="42"/>
      <c r="AD437" s="42"/>
      <c r="AE437" s="42"/>
      <c r="AF437" s="42"/>
      <c r="AG437" s="42"/>
      <c r="AH437" s="42"/>
      <c r="AI437" s="75"/>
      <c r="AJ437" s="75"/>
      <c r="AK437" s="75"/>
      <c r="AL437" s="75"/>
      <c r="AM437" s="74"/>
      <c r="AN437" s="72" t="e">
        <f>VLOOKUP(H437,[4]Planilha1!A$13:P$314,16,0)</f>
        <v>#N/A</v>
      </c>
    </row>
    <row r="438" spans="1:40" s="69" customFormat="1" x14ac:dyDescent="0.25">
      <c r="A438" s="88"/>
      <c r="B438" s="88"/>
      <c r="C438" s="70"/>
      <c r="D438" s="70"/>
      <c r="E438" s="70"/>
      <c r="F438" s="70"/>
      <c r="G438" s="70"/>
      <c r="H438" s="422"/>
      <c r="I438" s="422"/>
      <c r="J438" s="418"/>
      <c r="K438" s="403"/>
      <c r="L438" s="73"/>
      <c r="M438" s="72"/>
      <c r="N438" s="72"/>
      <c r="O438" s="72"/>
      <c r="P438" s="42"/>
      <c r="Q438" s="42"/>
      <c r="R438" s="42"/>
      <c r="S438" s="42"/>
      <c r="T438" s="42"/>
      <c r="U438" s="42"/>
      <c r="V438" s="416"/>
      <c r="W438" s="42"/>
      <c r="X438" s="74"/>
      <c r="Y438" s="74"/>
      <c r="Z438" s="74"/>
      <c r="AA438" s="74"/>
      <c r="AB438" s="74"/>
      <c r="AC438" s="42"/>
      <c r="AD438" s="42"/>
      <c r="AE438" s="42"/>
      <c r="AF438" s="42"/>
      <c r="AG438" s="42"/>
      <c r="AH438" s="42"/>
      <c r="AI438" s="75"/>
      <c r="AJ438" s="75"/>
      <c r="AK438" s="75"/>
      <c r="AL438" s="75"/>
      <c r="AM438" s="74"/>
      <c r="AN438" s="72" t="e">
        <f>VLOOKUP(H438,[4]Planilha1!A$13:P$314,16,0)</f>
        <v>#N/A</v>
      </c>
    </row>
    <row r="439" spans="1:40" s="69" customFormat="1" x14ac:dyDescent="0.25">
      <c r="A439" s="88"/>
      <c r="B439" s="88"/>
      <c r="C439" s="70"/>
      <c r="D439" s="70"/>
      <c r="E439" s="70"/>
      <c r="F439" s="70"/>
      <c r="G439" s="70"/>
      <c r="H439" s="422"/>
      <c r="I439" s="422"/>
      <c r="J439" s="418"/>
      <c r="K439" s="403"/>
      <c r="L439" s="73"/>
      <c r="M439" s="72"/>
      <c r="N439" s="72"/>
      <c r="O439" s="72"/>
      <c r="P439" s="42"/>
      <c r="Q439" s="42"/>
      <c r="R439" s="42"/>
      <c r="S439" s="42"/>
      <c r="T439" s="42"/>
      <c r="U439" s="42"/>
      <c r="V439" s="416"/>
      <c r="W439" s="42"/>
      <c r="X439" s="74"/>
      <c r="Y439" s="74"/>
      <c r="Z439" s="74"/>
      <c r="AA439" s="74"/>
      <c r="AB439" s="74"/>
      <c r="AC439" s="42"/>
      <c r="AD439" s="42"/>
      <c r="AE439" s="42"/>
      <c r="AF439" s="42"/>
      <c r="AG439" s="42"/>
      <c r="AH439" s="42"/>
      <c r="AI439" s="75"/>
      <c r="AJ439" s="75"/>
      <c r="AK439" s="75"/>
      <c r="AL439" s="75"/>
      <c r="AM439" s="74"/>
      <c r="AN439" s="72" t="e">
        <f>VLOOKUP(H439,[4]Planilha1!A$13:P$314,16,0)</f>
        <v>#N/A</v>
      </c>
    </row>
    <row r="440" spans="1:40" s="69" customFormat="1" x14ac:dyDescent="0.25">
      <c r="A440" s="88"/>
      <c r="B440" s="88"/>
      <c r="C440" s="70"/>
      <c r="D440" s="70"/>
      <c r="E440" s="70"/>
      <c r="F440" s="70"/>
      <c r="G440" s="70"/>
      <c r="H440" s="422"/>
      <c r="I440" s="422"/>
      <c r="J440" s="418"/>
      <c r="K440" s="403"/>
      <c r="L440" s="73"/>
      <c r="M440" s="72"/>
      <c r="N440" s="72"/>
      <c r="O440" s="72"/>
      <c r="P440" s="42"/>
      <c r="Q440" s="42"/>
      <c r="R440" s="42"/>
      <c r="S440" s="42"/>
      <c r="T440" s="42"/>
      <c r="U440" s="42"/>
      <c r="V440" s="416"/>
      <c r="W440" s="42"/>
      <c r="X440" s="74"/>
      <c r="Y440" s="74"/>
      <c r="Z440" s="74"/>
      <c r="AA440" s="74"/>
      <c r="AB440" s="74"/>
      <c r="AC440" s="42"/>
      <c r="AD440" s="42"/>
      <c r="AE440" s="42"/>
      <c r="AF440" s="42"/>
      <c r="AG440" s="42"/>
      <c r="AH440" s="42"/>
      <c r="AI440" s="75"/>
      <c r="AJ440" s="75"/>
      <c r="AK440" s="75"/>
      <c r="AL440" s="75"/>
      <c r="AM440" s="74"/>
      <c r="AN440" s="72" t="e">
        <f>VLOOKUP(H440,[4]Planilha1!A$13:P$314,16,0)</f>
        <v>#N/A</v>
      </c>
    </row>
    <row r="441" spans="1:40" s="69" customFormat="1" x14ac:dyDescent="0.25">
      <c r="A441" s="88"/>
      <c r="B441" s="88"/>
      <c r="C441" s="70"/>
      <c r="D441" s="70"/>
      <c r="E441" s="70"/>
      <c r="F441" s="70"/>
      <c r="G441" s="70"/>
      <c r="H441" s="422"/>
      <c r="I441" s="422"/>
      <c r="J441" s="418"/>
      <c r="K441" s="403"/>
      <c r="L441" s="73"/>
      <c r="M441" s="72"/>
      <c r="N441" s="72"/>
      <c r="O441" s="72"/>
      <c r="P441" s="42"/>
      <c r="Q441" s="42"/>
      <c r="R441" s="42"/>
      <c r="S441" s="42"/>
      <c r="T441" s="42"/>
      <c r="U441" s="42"/>
      <c r="V441" s="416"/>
      <c r="W441" s="42"/>
      <c r="X441" s="74"/>
      <c r="Y441" s="74"/>
      <c r="Z441" s="74"/>
      <c r="AA441" s="74"/>
      <c r="AB441" s="74"/>
      <c r="AC441" s="42"/>
      <c r="AD441" s="42"/>
      <c r="AE441" s="42"/>
      <c r="AF441" s="42"/>
      <c r="AG441" s="42"/>
      <c r="AH441" s="42"/>
      <c r="AI441" s="75"/>
      <c r="AJ441" s="75"/>
      <c r="AK441" s="75"/>
      <c r="AL441" s="75"/>
      <c r="AM441" s="74"/>
      <c r="AN441" s="72" t="e">
        <f>VLOOKUP(H441,[4]Planilha1!A$13:P$314,16,0)</f>
        <v>#N/A</v>
      </c>
    </row>
    <row r="442" spans="1:40" s="69" customFormat="1" x14ac:dyDescent="0.25">
      <c r="A442" s="88"/>
      <c r="B442" s="88"/>
      <c r="C442" s="70"/>
      <c r="D442" s="70"/>
      <c r="E442" s="70"/>
      <c r="F442" s="70"/>
      <c r="G442" s="70"/>
      <c r="H442" s="422"/>
      <c r="I442" s="422"/>
      <c r="J442" s="418"/>
      <c r="K442" s="403"/>
      <c r="L442" s="73"/>
      <c r="M442" s="72"/>
      <c r="N442" s="72"/>
      <c r="O442" s="72"/>
      <c r="P442" s="42"/>
      <c r="Q442" s="42"/>
      <c r="R442" s="42"/>
      <c r="S442" s="42"/>
      <c r="T442" s="42"/>
      <c r="U442" s="42"/>
      <c r="V442" s="416"/>
      <c r="W442" s="42"/>
      <c r="X442" s="74"/>
      <c r="Y442" s="74"/>
      <c r="Z442" s="74"/>
      <c r="AA442" s="74"/>
      <c r="AB442" s="74"/>
      <c r="AC442" s="42"/>
      <c r="AD442" s="42"/>
      <c r="AE442" s="42"/>
      <c r="AF442" s="42"/>
      <c r="AG442" s="42"/>
      <c r="AH442" s="42"/>
      <c r="AI442" s="75"/>
      <c r="AJ442" s="75"/>
      <c r="AK442" s="75"/>
      <c r="AL442" s="75"/>
      <c r="AM442" s="74"/>
      <c r="AN442" s="72" t="e">
        <f>VLOOKUP(H442,[4]Planilha1!A$13:P$314,16,0)</f>
        <v>#N/A</v>
      </c>
    </row>
    <row r="443" spans="1:40" s="69" customFormat="1" x14ac:dyDescent="0.25">
      <c r="A443" s="88"/>
      <c r="B443" s="88"/>
      <c r="C443" s="70"/>
      <c r="D443" s="70"/>
      <c r="E443" s="70"/>
      <c r="F443" s="70"/>
      <c r="G443" s="70"/>
      <c r="H443" s="422"/>
      <c r="I443" s="422"/>
      <c r="J443" s="418"/>
      <c r="K443" s="403"/>
      <c r="L443" s="73"/>
      <c r="M443" s="72"/>
      <c r="N443" s="72"/>
      <c r="O443" s="72"/>
      <c r="P443" s="42"/>
      <c r="Q443" s="42"/>
      <c r="R443" s="42"/>
      <c r="S443" s="42"/>
      <c r="T443" s="42"/>
      <c r="U443" s="42"/>
      <c r="V443" s="416"/>
      <c r="W443" s="42"/>
      <c r="X443" s="74"/>
      <c r="Y443" s="74"/>
      <c r="Z443" s="74"/>
      <c r="AA443" s="74"/>
      <c r="AB443" s="74"/>
      <c r="AC443" s="42"/>
      <c r="AD443" s="42"/>
      <c r="AE443" s="42"/>
      <c r="AF443" s="42"/>
      <c r="AG443" s="42"/>
      <c r="AH443" s="42"/>
      <c r="AI443" s="75"/>
      <c r="AJ443" s="75"/>
      <c r="AK443" s="75"/>
      <c r="AL443" s="75"/>
      <c r="AM443" s="74"/>
      <c r="AN443" s="72" t="e">
        <f>VLOOKUP(H443,[4]Planilha1!A$13:P$314,16,0)</f>
        <v>#N/A</v>
      </c>
    </row>
    <row r="444" spans="1:40" s="69" customFormat="1" x14ac:dyDescent="0.25">
      <c r="A444" s="88"/>
      <c r="B444" s="88"/>
      <c r="C444" s="70"/>
      <c r="D444" s="70"/>
      <c r="E444" s="70"/>
      <c r="F444" s="70"/>
      <c r="G444" s="70"/>
      <c r="H444" s="422"/>
      <c r="I444" s="422"/>
      <c r="J444" s="418"/>
      <c r="K444" s="403"/>
      <c r="L444" s="73"/>
      <c r="M444" s="72"/>
      <c r="N444" s="72"/>
      <c r="O444" s="72"/>
      <c r="P444" s="42"/>
      <c r="Q444" s="42"/>
      <c r="R444" s="42"/>
      <c r="S444" s="42"/>
      <c r="T444" s="42"/>
      <c r="U444" s="42"/>
      <c r="V444" s="416"/>
      <c r="W444" s="42"/>
      <c r="X444" s="74"/>
      <c r="Y444" s="74"/>
      <c r="Z444" s="74"/>
      <c r="AA444" s="74"/>
      <c r="AB444" s="74"/>
      <c r="AC444" s="42"/>
      <c r="AD444" s="42"/>
      <c r="AE444" s="42"/>
      <c r="AF444" s="42"/>
      <c r="AG444" s="42"/>
      <c r="AH444" s="42"/>
      <c r="AI444" s="75"/>
      <c r="AJ444" s="75"/>
      <c r="AK444" s="75"/>
      <c r="AL444" s="75"/>
      <c r="AM444" s="74"/>
      <c r="AN444" s="72" t="e">
        <f>VLOOKUP(H444,[4]Planilha1!A$13:P$314,16,0)</f>
        <v>#N/A</v>
      </c>
    </row>
    <row r="445" spans="1:40" s="69" customFormat="1" x14ac:dyDescent="0.25">
      <c r="A445" s="88"/>
      <c r="B445" s="88"/>
      <c r="C445" s="70"/>
      <c r="D445" s="70"/>
      <c r="E445" s="70"/>
      <c r="F445" s="70"/>
      <c r="G445" s="70"/>
      <c r="H445" s="422"/>
      <c r="I445" s="422"/>
      <c r="J445" s="418"/>
      <c r="K445" s="403"/>
      <c r="L445" s="73"/>
      <c r="M445" s="72"/>
      <c r="N445" s="72"/>
      <c r="O445" s="72"/>
      <c r="P445" s="42"/>
      <c r="Q445" s="42"/>
      <c r="R445" s="42"/>
      <c r="S445" s="42"/>
      <c r="T445" s="42"/>
      <c r="U445" s="42"/>
      <c r="V445" s="416"/>
      <c r="W445" s="42"/>
      <c r="X445" s="74"/>
      <c r="Y445" s="74"/>
      <c r="Z445" s="74"/>
      <c r="AA445" s="74"/>
      <c r="AB445" s="74"/>
      <c r="AC445" s="42"/>
      <c r="AD445" s="42"/>
      <c r="AE445" s="42"/>
      <c r="AF445" s="42"/>
      <c r="AG445" s="42"/>
      <c r="AH445" s="42"/>
      <c r="AI445" s="75"/>
      <c r="AJ445" s="75"/>
      <c r="AK445" s="75"/>
      <c r="AL445" s="75"/>
      <c r="AM445" s="74"/>
      <c r="AN445" s="72" t="e">
        <f>VLOOKUP(H445,[4]Planilha1!A$13:P$314,16,0)</f>
        <v>#N/A</v>
      </c>
    </row>
    <row r="446" spans="1:40" s="69" customFormat="1" x14ac:dyDescent="0.25">
      <c r="A446" s="88"/>
      <c r="B446" s="88"/>
      <c r="C446" s="70"/>
      <c r="D446" s="70"/>
      <c r="E446" s="70"/>
      <c r="F446" s="70"/>
      <c r="G446" s="70"/>
      <c r="H446" s="422"/>
      <c r="I446" s="422"/>
      <c r="J446" s="418"/>
      <c r="K446" s="403"/>
      <c r="L446" s="73"/>
      <c r="M446" s="72"/>
      <c r="N446" s="72"/>
      <c r="O446" s="72"/>
      <c r="P446" s="42"/>
      <c r="Q446" s="42"/>
      <c r="R446" s="42"/>
      <c r="S446" s="42"/>
      <c r="T446" s="42"/>
      <c r="U446" s="42"/>
      <c r="V446" s="416"/>
      <c r="W446" s="42"/>
      <c r="X446" s="74"/>
      <c r="Y446" s="74"/>
      <c r="Z446" s="74"/>
      <c r="AA446" s="74"/>
      <c r="AB446" s="74"/>
      <c r="AC446" s="42"/>
      <c r="AD446" s="42"/>
      <c r="AE446" s="42"/>
      <c r="AF446" s="42"/>
      <c r="AG446" s="42"/>
      <c r="AH446" s="42"/>
      <c r="AI446" s="75"/>
      <c r="AJ446" s="75"/>
      <c r="AK446" s="75"/>
      <c r="AL446" s="75"/>
      <c r="AM446" s="74"/>
      <c r="AN446" s="72" t="e">
        <f>VLOOKUP(H446,[4]Planilha1!A$13:P$314,16,0)</f>
        <v>#N/A</v>
      </c>
    </row>
    <row r="447" spans="1:40" s="69" customFormat="1" x14ac:dyDescent="0.25">
      <c r="A447" s="88"/>
      <c r="B447" s="88"/>
      <c r="C447" s="70"/>
      <c r="D447" s="70"/>
      <c r="E447" s="70"/>
      <c r="F447" s="70"/>
      <c r="G447" s="70"/>
      <c r="H447" s="422"/>
      <c r="I447" s="422"/>
      <c r="J447" s="418"/>
      <c r="K447" s="403"/>
      <c r="L447" s="73"/>
      <c r="M447" s="72"/>
      <c r="N447" s="72"/>
      <c r="O447" s="72"/>
      <c r="P447" s="42"/>
      <c r="Q447" s="42"/>
      <c r="R447" s="42"/>
      <c r="S447" s="42"/>
      <c r="T447" s="42"/>
      <c r="U447" s="42"/>
      <c r="V447" s="416"/>
      <c r="W447" s="42"/>
      <c r="X447" s="74"/>
      <c r="Y447" s="74"/>
      <c r="Z447" s="74"/>
      <c r="AA447" s="74"/>
      <c r="AB447" s="74"/>
      <c r="AC447" s="42"/>
      <c r="AD447" s="42"/>
      <c r="AE447" s="42"/>
      <c r="AF447" s="42"/>
      <c r="AG447" s="42"/>
      <c r="AH447" s="42"/>
      <c r="AI447" s="75"/>
      <c r="AJ447" s="75"/>
      <c r="AK447" s="75"/>
      <c r="AL447" s="75"/>
      <c r="AM447" s="74"/>
      <c r="AN447" s="72" t="e">
        <f>VLOOKUP(H447,[4]Planilha1!A$13:P$314,16,0)</f>
        <v>#N/A</v>
      </c>
    </row>
    <row r="448" spans="1:40" s="69" customFormat="1" x14ac:dyDescent="0.25">
      <c r="A448" s="88"/>
      <c r="B448" s="88"/>
      <c r="C448" s="70"/>
      <c r="D448" s="70"/>
      <c r="E448" s="70"/>
      <c r="F448" s="70"/>
      <c r="G448" s="70"/>
      <c r="H448" s="422"/>
      <c r="I448" s="422"/>
      <c r="J448" s="418"/>
      <c r="K448" s="403"/>
      <c r="L448" s="73"/>
      <c r="M448" s="72"/>
      <c r="N448" s="72"/>
      <c r="O448" s="72"/>
      <c r="P448" s="42"/>
      <c r="Q448" s="42"/>
      <c r="R448" s="42"/>
      <c r="S448" s="42"/>
      <c r="T448" s="42"/>
      <c r="U448" s="42"/>
      <c r="V448" s="416"/>
      <c r="W448" s="42"/>
      <c r="X448" s="74"/>
      <c r="Y448" s="74"/>
      <c r="Z448" s="74"/>
      <c r="AA448" s="74"/>
      <c r="AB448" s="74"/>
      <c r="AC448" s="42"/>
      <c r="AD448" s="42"/>
      <c r="AE448" s="42"/>
      <c r="AF448" s="42"/>
      <c r="AG448" s="42"/>
      <c r="AH448" s="42"/>
      <c r="AI448" s="75"/>
      <c r="AJ448" s="75"/>
      <c r="AK448" s="75"/>
      <c r="AL448" s="75"/>
      <c r="AM448" s="74"/>
      <c r="AN448" s="72" t="e">
        <f>VLOOKUP(H448,[4]Planilha1!A$13:P$314,16,0)</f>
        <v>#N/A</v>
      </c>
    </row>
    <row r="449" spans="1:40" s="69" customFormat="1" x14ac:dyDescent="0.25">
      <c r="A449" s="88"/>
      <c r="B449" s="88"/>
      <c r="C449" s="70"/>
      <c r="D449" s="70"/>
      <c r="E449" s="70"/>
      <c r="F449" s="70"/>
      <c r="G449" s="70"/>
      <c r="H449" s="422"/>
      <c r="I449" s="422"/>
      <c r="J449" s="418"/>
      <c r="K449" s="403"/>
      <c r="L449" s="73"/>
      <c r="M449" s="72"/>
      <c r="N449" s="72"/>
      <c r="O449" s="72"/>
      <c r="P449" s="42"/>
      <c r="Q449" s="42"/>
      <c r="R449" s="42"/>
      <c r="S449" s="42"/>
      <c r="T449" s="42"/>
      <c r="U449" s="42"/>
      <c r="V449" s="416"/>
      <c r="W449" s="42"/>
      <c r="X449" s="74"/>
      <c r="Y449" s="74"/>
      <c r="Z449" s="74"/>
      <c r="AA449" s="74"/>
      <c r="AB449" s="74"/>
      <c r="AC449" s="42"/>
      <c r="AD449" s="42"/>
      <c r="AE449" s="42"/>
      <c r="AF449" s="42"/>
      <c r="AG449" s="42"/>
      <c r="AH449" s="42"/>
      <c r="AI449" s="75"/>
      <c r="AJ449" s="75"/>
      <c r="AK449" s="75"/>
      <c r="AL449" s="75"/>
      <c r="AM449" s="74"/>
      <c r="AN449" s="72" t="e">
        <f>VLOOKUP(H449,[4]Planilha1!A$13:P$314,16,0)</f>
        <v>#N/A</v>
      </c>
    </row>
    <row r="450" spans="1:40" s="69" customFormat="1" x14ac:dyDescent="0.25">
      <c r="A450" s="88"/>
      <c r="B450" s="88"/>
      <c r="C450" s="70"/>
      <c r="D450" s="70"/>
      <c r="E450" s="70"/>
      <c r="F450" s="70"/>
      <c r="G450" s="70"/>
      <c r="H450" s="422"/>
      <c r="I450" s="422"/>
      <c r="J450" s="418"/>
      <c r="K450" s="403"/>
      <c r="L450" s="73"/>
      <c r="M450" s="72"/>
      <c r="N450" s="72"/>
      <c r="O450" s="72"/>
      <c r="P450" s="42"/>
      <c r="Q450" s="42"/>
      <c r="R450" s="42"/>
      <c r="S450" s="42"/>
      <c r="T450" s="42"/>
      <c r="U450" s="42"/>
      <c r="V450" s="416"/>
      <c r="W450" s="42"/>
      <c r="X450" s="74"/>
      <c r="Y450" s="74"/>
      <c r="Z450" s="74"/>
      <c r="AA450" s="74"/>
      <c r="AB450" s="74"/>
      <c r="AC450" s="42"/>
      <c r="AD450" s="42"/>
      <c r="AE450" s="42"/>
      <c r="AF450" s="42"/>
      <c r="AG450" s="42"/>
      <c r="AH450" s="42"/>
      <c r="AI450" s="75"/>
      <c r="AJ450" s="75"/>
      <c r="AK450" s="75"/>
      <c r="AL450" s="75"/>
      <c r="AM450" s="74"/>
      <c r="AN450" s="72" t="e">
        <f>VLOOKUP(H450,[4]Planilha1!A$13:P$314,16,0)</f>
        <v>#N/A</v>
      </c>
    </row>
    <row r="451" spans="1:40" s="69" customFormat="1" x14ac:dyDescent="0.25">
      <c r="A451" s="88"/>
      <c r="B451" s="88"/>
      <c r="C451" s="70"/>
      <c r="D451" s="70"/>
      <c r="E451" s="70"/>
      <c r="F451" s="70"/>
      <c r="G451" s="70"/>
      <c r="H451" s="422"/>
      <c r="I451" s="422"/>
      <c r="J451" s="418"/>
      <c r="K451" s="403"/>
      <c r="L451" s="73"/>
      <c r="M451" s="72"/>
      <c r="N451" s="72"/>
      <c r="O451" s="72"/>
      <c r="P451" s="42"/>
      <c r="Q451" s="42"/>
      <c r="R451" s="42"/>
      <c r="S451" s="42"/>
      <c r="T451" s="42"/>
      <c r="U451" s="42"/>
      <c r="V451" s="416"/>
      <c r="W451" s="42"/>
      <c r="X451" s="74"/>
      <c r="Y451" s="74"/>
      <c r="Z451" s="74"/>
      <c r="AA451" s="74"/>
      <c r="AB451" s="74"/>
      <c r="AC451" s="42"/>
      <c r="AD451" s="42"/>
      <c r="AE451" s="42"/>
      <c r="AF451" s="42"/>
      <c r="AG451" s="42"/>
      <c r="AH451" s="42"/>
      <c r="AI451" s="75"/>
      <c r="AJ451" s="75"/>
      <c r="AK451" s="75"/>
      <c r="AL451" s="75"/>
      <c r="AM451" s="74"/>
      <c r="AN451" s="72" t="e">
        <f>VLOOKUP(H451,[4]Planilha1!A$13:P$314,16,0)</f>
        <v>#N/A</v>
      </c>
    </row>
    <row r="452" spans="1:40" s="69" customFormat="1" x14ac:dyDescent="0.25">
      <c r="A452" s="88"/>
      <c r="B452" s="88"/>
      <c r="C452" s="70"/>
      <c r="D452" s="70"/>
      <c r="E452" s="70"/>
      <c r="F452" s="70"/>
      <c r="G452" s="70"/>
      <c r="H452" s="422"/>
      <c r="I452" s="422"/>
      <c r="J452" s="418"/>
      <c r="K452" s="403"/>
      <c r="L452" s="73"/>
      <c r="M452" s="72"/>
      <c r="N452" s="72"/>
      <c r="O452" s="72"/>
      <c r="P452" s="42"/>
      <c r="Q452" s="42"/>
      <c r="R452" s="42"/>
      <c r="S452" s="42"/>
      <c r="T452" s="42"/>
      <c r="U452" s="42"/>
      <c r="V452" s="416"/>
      <c r="W452" s="42"/>
      <c r="X452" s="74"/>
      <c r="Y452" s="74"/>
      <c r="Z452" s="74"/>
      <c r="AA452" s="74"/>
      <c r="AB452" s="74"/>
      <c r="AC452" s="42"/>
      <c r="AD452" s="42"/>
      <c r="AE452" s="42"/>
      <c r="AF452" s="42"/>
      <c r="AG452" s="42"/>
      <c r="AH452" s="42"/>
      <c r="AI452" s="75"/>
      <c r="AJ452" s="75"/>
      <c r="AK452" s="75"/>
      <c r="AL452" s="75"/>
      <c r="AM452" s="74"/>
      <c r="AN452" s="72" t="e">
        <f>VLOOKUP(H452,[4]Planilha1!A$13:P$314,16,0)</f>
        <v>#N/A</v>
      </c>
    </row>
    <row r="453" spans="1:40" s="69" customFormat="1" x14ac:dyDescent="0.25">
      <c r="A453" s="88"/>
      <c r="B453" s="88"/>
      <c r="C453" s="70"/>
      <c r="D453" s="70"/>
      <c r="E453" s="70"/>
      <c r="F453" s="70"/>
      <c r="G453" s="70"/>
      <c r="H453" s="422"/>
      <c r="I453" s="422"/>
      <c r="J453" s="418"/>
      <c r="K453" s="403"/>
      <c r="L453" s="73"/>
      <c r="M453" s="72"/>
      <c r="N453" s="72"/>
      <c r="O453" s="72"/>
      <c r="P453" s="42"/>
      <c r="Q453" s="42"/>
      <c r="R453" s="42"/>
      <c r="S453" s="42"/>
      <c r="T453" s="42"/>
      <c r="U453" s="42"/>
      <c r="V453" s="416"/>
      <c r="W453" s="42"/>
      <c r="X453" s="74"/>
      <c r="Y453" s="74"/>
      <c r="Z453" s="74"/>
      <c r="AA453" s="74"/>
      <c r="AB453" s="74"/>
      <c r="AC453" s="42"/>
      <c r="AD453" s="42"/>
      <c r="AE453" s="42"/>
      <c r="AF453" s="42"/>
      <c r="AG453" s="42"/>
      <c r="AH453" s="42"/>
      <c r="AI453" s="75"/>
      <c r="AJ453" s="75"/>
      <c r="AK453" s="75"/>
      <c r="AL453" s="75"/>
      <c r="AM453" s="74"/>
      <c r="AN453" s="72" t="e">
        <f>VLOOKUP(H453,[4]Planilha1!A$13:P$314,16,0)</f>
        <v>#N/A</v>
      </c>
    </row>
    <row r="454" spans="1:40" s="69" customFormat="1" x14ac:dyDescent="0.25">
      <c r="A454" s="88"/>
      <c r="B454" s="88"/>
      <c r="C454" s="70"/>
      <c r="D454" s="70"/>
      <c r="E454" s="70"/>
      <c r="F454" s="70"/>
      <c r="G454" s="70"/>
      <c r="H454" s="422"/>
      <c r="I454" s="422"/>
      <c r="J454" s="418"/>
      <c r="K454" s="403"/>
      <c r="L454" s="73"/>
      <c r="M454" s="72"/>
      <c r="N454" s="72"/>
      <c r="O454" s="72"/>
      <c r="P454" s="42"/>
      <c r="Q454" s="42"/>
      <c r="R454" s="42"/>
      <c r="S454" s="42"/>
      <c r="T454" s="42"/>
      <c r="U454" s="42"/>
      <c r="V454" s="416"/>
      <c r="W454" s="42"/>
      <c r="X454" s="74"/>
      <c r="Y454" s="74"/>
      <c r="Z454" s="74"/>
      <c r="AA454" s="74"/>
      <c r="AB454" s="74"/>
      <c r="AC454" s="42"/>
      <c r="AD454" s="42"/>
      <c r="AE454" s="42"/>
      <c r="AF454" s="42"/>
      <c r="AG454" s="42"/>
      <c r="AH454" s="42"/>
      <c r="AI454" s="75"/>
      <c r="AJ454" s="75"/>
      <c r="AK454" s="75"/>
      <c r="AL454" s="75"/>
      <c r="AM454" s="74"/>
      <c r="AN454" s="72" t="e">
        <f>VLOOKUP(H454,[4]Planilha1!A$13:P$314,16,0)</f>
        <v>#N/A</v>
      </c>
    </row>
    <row r="455" spans="1:40" s="69" customFormat="1" x14ac:dyDescent="0.25">
      <c r="A455" s="88"/>
      <c r="B455" s="88"/>
      <c r="C455" s="70"/>
      <c r="D455" s="70"/>
      <c r="E455" s="70"/>
      <c r="F455" s="70"/>
      <c r="G455" s="70"/>
      <c r="H455" s="422"/>
      <c r="I455" s="422"/>
      <c r="J455" s="418"/>
      <c r="K455" s="403"/>
      <c r="L455" s="73"/>
      <c r="M455" s="72"/>
      <c r="N455" s="72"/>
      <c r="O455" s="72"/>
      <c r="P455" s="42"/>
      <c r="Q455" s="42"/>
      <c r="R455" s="42"/>
      <c r="S455" s="42"/>
      <c r="T455" s="42"/>
      <c r="U455" s="42"/>
      <c r="V455" s="416"/>
      <c r="W455" s="42"/>
      <c r="X455" s="74"/>
      <c r="Y455" s="74"/>
      <c r="Z455" s="74"/>
      <c r="AA455" s="74"/>
      <c r="AB455" s="74"/>
      <c r="AC455" s="42"/>
      <c r="AD455" s="42"/>
      <c r="AE455" s="42"/>
      <c r="AF455" s="42"/>
      <c r="AG455" s="42"/>
      <c r="AH455" s="42"/>
      <c r="AI455" s="75"/>
      <c r="AJ455" s="75"/>
      <c r="AK455" s="75"/>
      <c r="AL455" s="75"/>
      <c r="AM455" s="74"/>
      <c r="AN455" s="72" t="e">
        <f>VLOOKUP(H455,[4]Planilha1!A$13:P$314,16,0)</f>
        <v>#N/A</v>
      </c>
    </row>
    <row r="456" spans="1:40" s="69" customFormat="1" x14ac:dyDescent="0.25">
      <c r="A456" s="88"/>
      <c r="B456" s="88"/>
      <c r="C456" s="70"/>
      <c r="D456" s="70"/>
      <c r="E456" s="70"/>
      <c r="F456" s="70"/>
      <c r="G456" s="70"/>
      <c r="H456" s="422"/>
      <c r="I456" s="422"/>
      <c r="J456" s="418"/>
      <c r="K456" s="403"/>
      <c r="L456" s="73"/>
      <c r="M456" s="72"/>
      <c r="N456" s="72"/>
      <c r="O456" s="72"/>
      <c r="P456" s="42"/>
      <c r="Q456" s="42"/>
      <c r="R456" s="42"/>
      <c r="S456" s="42"/>
      <c r="T456" s="42"/>
      <c r="U456" s="42"/>
      <c r="V456" s="416"/>
      <c r="W456" s="42"/>
      <c r="X456" s="74"/>
      <c r="Y456" s="74"/>
      <c r="Z456" s="74"/>
      <c r="AA456" s="74"/>
      <c r="AB456" s="74"/>
      <c r="AC456" s="42"/>
      <c r="AD456" s="42"/>
      <c r="AE456" s="42"/>
      <c r="AF456" s="42"/>
      <c r="AG456" s="42"/>
      <c r="AH456" s="42"/>
      <c r="AI456" s="75"/>
      <c r="AJ456" s="75"/>
      <c r="AK456" s="75"/>
      <c r="AL456" s="75"/>
      <c r="AM456" s="74"/>
      <c r="AN456" s="72" t="e">
        <f>VLOOKUP(H456,[4]Planilha1!A$13:P$314,16,0)</f>
        <v>#N/A</v>
      </c>
    </row>
    <row r="457" spans="1:40" s="69" customFormat="1" x14ac:dyDescent="0.25">
      <c r="A457" s="88"/>
      <c r="B457" s="88"/>
      <c r="C457" s="70"/>
      <c r="D457" s="70"/>
      <c r="E457" s="70"/>
      <c r="F457" s="70"/>
      <c r="G457" s="70"/>
      <c r="H457" s="422"/>
      <c r="I457" s="422"/>
      <c r="J457" s="418"/>
      <c r="K457" s="403"/>
      <c r="L457" s="73"/>
      <c r="M457" s="72"/>
      <c r="N457" s="72"/>
      <c r="O457" s="72"/>
      <c r="P457" s="42"/>
      <c r="Q457" s="42"/>
      <c r="R457" s="42"/>
      <c r="S457" s="42"/>
      <c r="T457" s="42"/>
      <c r="U457" s="42"/>
      <c r="V457" s="416"/>
      <c r="W457" s="42"/>
      <c r="X457" s="74"/>
      <c r="Y457" s="74"/>
      <c r="Z457" s="74"/>
      <c r="AA457" s="74"/>
      <c r="AB457" s="74"/>
      <c r="AC457" s="42"/>
      <c r="AD457" s="42"/>
      <c r="AE457" s="42"/>
      <c r="AF457" s="42"/>
      <c r="AG457" s="42"/>
      <c r="AH457" s="42"/>
      <c r="AI457" s="75"/>
      <c r="AJ457" s="75"/>
      <c r="AK457" s="75"/>
      <c r="AL457" s="75"/>
      <c r="AM457" s="74"/>
      <c r="AN457" s="72" t="e">
        <f>VLOOKUP(H457,[4]Planilha1!A$13:P$314,16,0)</f>
        <v>#N/A</v>
      </c>
    </row>
    <row r="458" spans="1:40" s="69" customFormat="1" x14ac:dyDescent="0.25">
      <c r="A458" s="88"/>
      <c r="B458" s="88"/>
      <c r="C458" s="70"/>
      <c r="D458" s="70"/>
      <c r="E458" s="70"/>
      <c r="F458" s="70"/>
      <c r="G458" s="70"/>
      <c r="H458" s="422"/>
      <c r="I458" s="422"/>
      <c r="J458" s="418"/>
      <c r="K458" s="403"/>
      <c r="L458" s="73"/>
      <c r="M458" s="72"/>
      <c r="N458" s="72"/>
      <c r="O458" s="72"/>
      <c r="P458" s="42"/>
      <c r="Q458" s="42"/>
      <c r="R458" s="42"/>
      <c r="S458" s="42"/>
      <c r="T458" s="42"/>
      <c r="U458" s="42"/>
      <c r="V458" s="416"/>
      <c r="W458" s="42"/>
      <c r="X458" s="74"/>
      <c r="Y458" s="74"/>
      <c r="Z458" s="74"/>
      <c r="AA458" s="74"/>
      <c r="AB458" s="74"/>
      <c r="AC458" s="42"/>
      <c r="AD458" s="42"/>
      <c r="AE458" s="42"/>
      <c r="AF458" s="42"/>
      <c r="AG458" s="42"/>
      <c r="AH458" s="42"/>
      <c r="AI458" s="75"/>
      <c r="AJ458" s="75"/>
      <c r="AK458" s="75"/>
      <c r="AL458" s="75"/>
      <c r="AM458" s="74"/>
      <c r="AN458" s="72" t="e">
        <f>VLOOKUP(H458,[4]Planilha1!A$13:P$314,16,0)</f>
        <v>#N/A</v>
      </c>
    </row>
    <row r="459" spans="1:40" s="69" customFormat="1" x14ac:dyDescent="0.25">
      <c r="A459" s="88"/>
      <c r="B459" s="88"/>
      <c r="C459" s="70"/>
      <c r="D459" s="70"/>
      <c r="E459" s="70"/>
      <c r="F459" s="70"/>
      <c r="G459" s="70"/>
      <c r="H459" s="422"/>
      <c r="I459" s="422"/>
      <c r="J459" s="418"/>
      <c r="K459" s="403"/>
      <c r="L459" s="73"/>
      <c r="M459" s="72"/>
      <c r="N459" s="72"/>
      <c r="O459" s="72"/>
      <c r="P459" s="42"/>
      <c r="Q459" s="42"/>
      <c r="R459" s="42"/>
      <c r="S459" s="42"/>
      <c r="T459" s="42"/>
      <c r="U459" s="42"/>
      <c r="V459" s="416"/>
      <c r="W459" s="42"/>
      <c r="X459" s="74"/>
      <c r="Y459" s="74"/>
      <c r="Z459" s="74"/>
      <c r="AA459" s="74"/>
      <c r="AB459" s="74"/>
      <c r="AC459" s="42"/>
      <c r="AD459" s="42"/>
      <c r="AE459" s="42"/>
      <c r="AF459" s="42"/>
      <c r="AG459" s="42"/>
      <c r="AH459" s="42"/>
      <c r="AI459" s="75"/>
      <c r="AJ459" s="75"/>
      <c r="AK459" s="75"/>
      <c r="AL459" s="75"/>
      <c r="AM459" s="74"/>
      <c r="AN459" s="72" t="e">
        <f>VLOOKUP(H459,[4]Planilha1!A$13:P$314,16,0)</f>
        <v>#N/A</v>
      </c>
    </row>
    <row r="460" spans="1:40" s="69" customFormat="1" x14ac:dyDescent="0.25">
      <c r="A460" s="88"/>
      <c r="B460" s="88"/>
      <c r="C460" s="70"/>
      <c r="D460" s="70"/>
      <c r="E460" s="70"/>
      <c r="F460" s="70"/>
      <c r="G460" s="70"/>
      <c r="H460" s="422"/>
      <c r="I460" s="422"/>
      <c r="J460" s="418"/>
      <c r="K460" s="403"/>
      <c r="L460" s="73"/>
      <c r="M460" s="72"/>
      <c r="N460" s="72"/>
      <c r="O460" s="72"/>
      <c r="P460" s="42"/>
      <c r="Q460" s="42"/>
      <c r="R460" s="42"/>
      <c r="S460" s="42"/>
      <c r="T460" s="42"/>
      <c r="U460" s="42"/>
      <c r="V460" s="416"/>
      <c r="W460" s="42"/>
      <c r="X460" s="74"/>
      <c r="Y460" s="74"/>
      <c r="Z460" s="74"/>
      <c r="AA460" s="74"/>
      <c r="AB460" s="74"/>
      <c r="AC460" s="42"/>
      <c r="AD460" s="42"/>
      <c r="AE460" s="42"/>
      <c r="AF460" s="42"/>
      <c r="AG460" s="42"/>
      <c r="AH460" s="42"/>
      <c r="AI460" s="75"/>
      <c r="AJ460" s="75"/>
      <c r="AK460" s="75"/>
      <c r="AL460" s="75"/>
      <c r="AM460" s="74"/>
      <c r="AN460" s="72" t="e">
        <f>VLOOKUP(H460,[4]Planilha1!A$13:P$314,16,0)</f>
        <v>#N/A</v>
      </c>
    </row>
    <row r="461" spans="1:40" s="69" customFormat="1" x14ac:dyDescent="0.25">
      <c r="A461" s="88"/>
      <c r="B461" s="88"/>
      <c r="C461" s="70"/>
      <c r="D461" s="70"/>
      <c r="E461" s="70"/>
      <c r="F461" s="70"/>
      <c r="G461" s="70"/>
      <c r="H461" s="422"/>
      <c r="I461" s="422"/>
      <c r="J461" s="418"/>
      <c r="K461" s="403"/>
      <c r="L461" s="73"/>
      <c r="M461" s="72"/>
      <c r="N461" s="72"/>
      <c r="O461" s="72"/>
      <c r="P461" s="42"/>
      <c r="Q461" s="42"/>
      <c r="R461" s="42"/>
      <c r="S461" s="42"/>
      <c r="T461" s="42"/>
      <c r="U461" s="42"/>
      <c r="V461" s="416"/>
      <c r="W461" s="42"/>
      <c r="X461" s="74"/>
      <c r="Y461" s="74"/>
      <c r="Z461" s="74"/>
      <c r="AA461" s="74"/>
      <c r="AB461" s="74"/>
      <c r="AC461" s="42"/>
      <c r="AD461" s="42"/>
      <c r="AE461" s="42"/>
      <c r="AF461" s="42"/>
      <c r="AG461" s="42"/>
      <c r="AH461" s="42"/>
      <c r="AI461" s="75"/>
      <c r="AJ461" s="75"/>
      <c r="AK461" s="75"/>
      <c r="AL461" s="75"/>
      <c r="AM461" s="74"/>
      <c r="AN461" s="72" t="e">
        <f>VLOOKUP(H461,[4]Planilha1!A$13:P$314,16,0)</f>
        <v>#N/A</v>
      </c>
    </row>
    <row r="462" spans="1:40" s="69" customFormat="1" x14ac:dyDescent="0.25">
      <c r="A462" s="88"/>
      <c r="B462" s="88"/>
      <c r="C462" s="70"/>
      <c r="D462" s="70"/>
      <c r="E462" s="70"/>
      <c r="F462" s="70"/>
      <c r="G462" s="70"/>
      <c r="H462" s="422"/>
      <c r="I462" s="422"/>
      <c r="J462" s="418"/>
      <c r="K462" s="403"/>
      <c r="L462" s="73"/>
      <c r="M462" s="72"/>
      <c r="N462" s="72"/>
      <c r="O462" s="72"/>
      <c r="P462" s="42"/>
      <c r="Q462" s="42"/>
      <c r="R462" s="42"/>
      <c r="S462" s="42"/>
      <c r="T462" s="42"/>
      <c r="U462" s="42"/>
      <c r="V462" s="416"/>
      <c r="W462" s="42"/>
      <c r="X462" s="74"/>
      <c r="Y462" s="74"/>
      <c r="Z462" s="74"/>
      <c r="AA462" s="74"/>
      <c r="AB462" s="74"/>
      <c r="AC462" s="42"/>
      <c r="AD462" s="42"/>
      <c r="AE462" s="42"/>
      <c r="AF462" s="42"/>
      <c r="AG462" s="42"/>
      <c r="AH462" s="42"/>
      <c r="AI462" s="75"/>
      <c r="AJ462" s="75"/>
      <c r="AK462" s="75"/>
      <c r="AL462" s="75"/>
      <c r="AM462" s="74"/>
      <c r="AN462" s="72" t="e">
        <f>VLOOKUP(H462,[4]Planilha1!A$13:P$314,16,0)</f>
        <v>#N/A</v>
      </c>
    </row>
    <row r="463" spans="1:40" s="69" customFormat="1" x14ac:dyDescent="0.25">
      <c r="A463" s="88"/>
      <c r="B463" s="88"/>
      <c r="C463" s="70"/>
      <c r="D463" s="70"/>
      <c r="E463" s="70"/>
      <c r="F463" s="70"/>
      <c r="G463" s="70"/>
      <c r="H463" s="422"/>
      <c r="I463" s="422"/>
      <c r="J463" s="418"/>
      <c r="K463" s="403"/>
      <c r="L463" s="73"/>
      <c r="M463" s="72"/>
      <c r="N463" s="72"/>
      <c r="O463" s="72"/>
      <c r="P463" s="42"/>
      <c r="Q463" s="42"/>
      <c r="R463" s="42"/>
      <c r="S463" s="42"/>
      <c r="T463" s="42"/>
      <c r="U463" s="42"/>
      <c r="V463" s="416"/>
      <c r="W463" s="42"/>
      <c r="X463" s="74"/>
      <c r="Y463" s="74"/>
      <c r="Z463" s="74"/>
      <c r="AA463" s="74"/>
      <c r="AB463" s="74"/>
      <c r="AC463" s="42"/>
      <c r="AD463" s="42"/>
      <c r="AE463" s="42"/>
      <c r="AF463" s="42"/>
      <c r="AG463" s="42"/>
      <c r="AH463" s="42"/>
      <c r="AI463" s="75"/>
      <c r="AJ463" s="75"/>
      <c r="AK463" s="75"/>
      <c r="AL463" s="75"/>
      <c r="AM463" s="74"/>
      <c r="AN463" s="72" t="e">
        <f>VLOOKUP(H463,[4]Planilha1!A$13:P$314,16,0)</f>
        <v>#N/A</v>
      </c>
    </row>
    <row r="464" spans="1:40" s="69" customFormat="1" x14ac:dyDescent="0.25">
      <c r="A464" s="88"/>
      <c r="B464" s="88"/>
      <c r="C464" s="70"/>
      <c r="D464" s="70"/>
      <c r="E464" s="70"/>
      <c r="F464" s="70"/>
      <c r="G464" s="70"/>
      <c r="H464" s="422"/>
      <c r="I464" s="422"/>
      <c r="J464" s="418"/>
      <c r="K464" s="403"/>
      <c r="L464" s="73"/>
      <c r="M464" s="72"/>
      <c r="N464" s="72"/>
      <c r="O464" s="72"/>
      <c r="P464" s="42"/>
      <c r="Q464" s="42"/>
      <c r="R464" s="42"/>
      <c r="S464" s="42"/>
      <c r="T464" s="42"/>
      <c r="U464" s="42"/>
      <c r="V464" s="416"/>
      <c r="W464" s="42"/>
      <c r="X464" s="74"/>
      <c r="Y464" s="74"/>
      <c r="Z464" s="74"/>
      <c r="AA464" s="74"/>
      <c r="AB464" s="74"/>
      <c r="AC464" s="42"/>
      <c r="AD464" s="42"/>
      <c r="AE464" s="42"/>
      <c r="AF464" s="42"/>
      <c r="AG464" s="42"/>
      <c r="AH464" s="42"/>
      <c r="AI464" s="75"/>
      <c r="AJ464" s="75"/>
      <c r="AK464" s="75"/>
      <c r="AL464" s="75"/>
      <c r="AM464" s="74"/>
      <c r="AN464" s="72" t="e">
        <f>VLOOKUP(H464,[4]Planilha1!A$13:P$314,16,0)</f>
        <v>#N/A</v>
      </c>
    </row>
    <row r="465" spans="1:40" s="69" customFormat="1" x14ac:dyDescent="0.25">
      <c r="A465" s="88"/>
      <c r="B465" s="88"/>
      <c r="C465" s="70"/>
      <c r="D465" s="70"/>
      <c r="E465" s="70"/>
      <c r="F465" s="70"/>
      <c r="G465" s="70"/>
      <c r="H465" s="422"/>
      <c r="I465" s="422"/>
      <c r="J465" s="418"/>
      <c r="K465" s="403"/>
      <c r="L465" s="73"/>
      <c r="M465" s="72"/>
      <c r="N465" s="72"/>
      <c r="O465" s="72"/>
      <c r="P465" s="42"/>
      <c r="Q465" s="42"/>
      <c r="R465" s="42"/>
      <c r="S465" s="42"/>
      <c r="T465" s="42"/>
      <c r="U465" s="42"/>
      <c r="V465" s="416"/>
      <c r="W465" s="42"/>
      <c r="X465" s="74"/>
      <c r="Y465" s="74"/>
      <c r="Z465" s="74"/>
      <c r="AA465" s="74"/>
      <c r="AB465" s="74"/>
      <c r="AC465" s="42"/>
      <c r="AD465" s="42"/>
      <c r="AE465" s="42"/>
      <c r="AF465" s="42"/>
      <c r="AG465" s="42"/>
      <c r="AH465" s="42"/>
      <c r="AI465" s="75"/>
      <c r="AJ465" s="75"/>
      <c r="AK465" s="75"/>
      <c r="AL465" s="75"/>
      <c r="AM465" s="74"/>
      <c r="AN465" s="72" t="e">
        <f>VLOOKUP(H465,[4]Planilha1!A$13:P$314,16,0)</f>
        <v>#N/A</v>
      </c>
    </row>
    <row r="466" spans="1:40" s="69" customFormat="1" x14ac:dyDescent="0.25">
      <c r="A466" s="88"/>
      <c r="B466" s="88"/>
      <c r="C466" s="70"/>
      <c r="D466" s="70"/>
      <c r="E466" s="70"/>
      <c r="F466" s="70"/>
      <c r="G466" s="70"/>
      <c r="H466" s="422"/>
      <c r="I466" s="422"/>
      <c r="J466" s="418"/>
      <c r="K466" s="403"/>
      <c r="L466" s="73"/>
      <c r="M466" s="72"/>
      <c r="N466" s="72"/>
      <c r="O466" s="72"/>
      <c r="P466" s="42"/>
      <c r="Q466" s="42"/>
      <c r="R466" s="42"/>
      <c r="S466" s="42"/>
      <c r="T466" s="42"/>
      <c r="U466" s="42"/>
      <c r="V466" s="416"/>
      <c r="W466" s="42"/>
      <c r="X466" s="74"/>
      <c r="Y466" s="74"/>
      <c r="Z466" s="74"/>
      <c r="AA466" s="74"/>
      <c r="AB466" s="74"/>
      <c r="AC466" s="42"/>
      <c r="AD466" s="42"/>
      <c r="AE466" s="42"/>
      <c r="AF466" s="42"/>
      <c r="AG466" s="42"/>
      <c r="AH466" s="42"/>
      <c r="AI466" s="75"/>
      <c r="AJ466" s="75"/>
      <c r="AK466" s="75"/>
      <c r="AL466" s="75"/>
      <c r="AM466" s="74"/>
      <c r="AN466" s="72" t="e">
        <f>VLOOKUP(H466,[4]Planilha1!A$13:P$314,16,0)</f>
        <v>#N/A</v>
      </c>
    </row>
    <row r="467" spans="1:40" s="69" customFormat="1" x14ac:dyDescent="0.25">
      <c r="A467" s="88"/>
      <c r="B467" s="88"/>
      <c r="C467" s="70"/>
      <c r="D467" s="70"/>
      <c r="E467" s="70"/>
      <c r="F467" s="70"/>
      <c r="G467" s="70"/>
      <c r="H467" s="422"/>
      <c r="I467" s="422"/>
      <c r="J467" s="418"/>
      <c r="K467" s="403"/>
      <c r="L467" s="73"/>
      <c r="M467" s="72"/>
      <c r="N467" s="72"/>
      <c r="O467" s="72"/>
      <c r="P467" s="42"/>
      <c r="Q467" s="42"/>
      <c r="R467" s="42"/>
      <c r="S467" s="42"/>
      <c r="T467" s="42"/>
      <c r="U467" s="42"/>
      <c r="V467" s="416"/>
      <c r="W467" s="42"/>
      <c r="X467" s="74"/>
      <c r="Y467" s="74"/>
      <c r="Z467" s="74"/>
      <c r="AA467" s="74"/>
      <c r="AB467" s="74"/>
      <c r="AC467" s="42"/>
      <c r="AD467" s="42"/>
      <c r="AE467" s="42"/>
      <c r="AF467" s="42"/>
      <c r="AG467" s="42"/>
      <c r="AH467" s="42"/>
      <c r="AI467" s="75"/>
      <c r="AJ467" s="75"/>
      <c r="AK467" s="75"/>
      <c r="AL467" s="75"/>
      <c r="AM467" s="74"/>
      <c r="AN467" s="72" t="e">
        <f>VLOOKUP(H467,[4]Planilha1!A$13:P$314,16,0)</f>
        <v>#N/A</v>
      </c>
    </row>
    <row r="468" spans="1:40" s="69" customFormat="1" x14ac:dyDescent="0.25">
      <c r="A468" s="88"/>
      <c r="B468" s="88"/>
      <c r="C468" s="70"/>
      <c r="D468" s="70"/>
      <c r="E468" s="70"/>
      <c r="F468" s="70"/>
      <c r="G468" s="70"/>
      <c r="H468" s="422"/>
      <c r="I468" s="422"/>
      <c r="J468" s="418"/>
      <c r="K468" s="403"/>
      <c r="L468" s="73"/>
      <c r="M468" s="72"/>
      <c r="N468" s="72"/>
      <c r="O468" s="72"/>
      <c r="P468" s="42"/>
      <c r="Q468" s="42"/>
      <c r="R468" s="42"/>
      <c r="S468" s="42"/>
      <c r="T468" s="42"/>
      <c r="U468" s="42"/>
      <c r="V468" s="416"/>
      <c r="W468" s="42"/>
      <c r="X468" s="74"/>
      <c r="Y468" s="74"/>
      <c r="Z468" s="74"/>
      <c r="AA468" s="74"/>
      <c r="AB468" s="74"/>
      <c r="AC468" s="42"/>
      <c r="AD468" s="42"/>
      <c r="AE468" s="42"/>
      <c r="AF468" s="42"/>
      <c r="AG468" s="42"/>
      <c r="AH468" s="42"/>
      <c r="AI468" s="75"/>
      <c r="AJ468" s="75"/>
      <c r="AK468" s="75"/>
      <c r="AL468" s="75"/>
      <c r="AM468" s="74"/>
      <c r="AN468" s="72" t="e">
        <f>VLOOKUP(H468,[4]Planilha1!A$13:P$314,16,0)</f>
        <v>#N/A</v>
      </c>
    </row>
    <row r="469" spans="1:40" s="69" customFormat="1" x14ac:dyDescent="0.25">
      <c r="A469" s="88"/>
      <c r="B469" s="88"/>
      <c r="C469" s="70"/>
      <c r="D469" s="70"/>
      <c r="E469" s="70"/>
      <c r="F469" s="70"/>
      <c r="G469" s="70"/>
      <c r="H469" s="422"/>
      <c r="I469" s="422"/>
      <c r="J469" s="418"/>
      <c r="K469" s="403"/>
      <c r="L469" s="73"/>
      <c r="M469" s="72"/>
      <c r="N469" s="72"/>
      <c r="O469" s="72"/>
      <c r="P469" s="42"/>
      <c r="Q469" s="42"/>
      <c r="R469" s="42"/>
      <c r="S469" s="42"/>
      <c r="T469" s="42"/>
      <c r="U469" s="42"/>
      <c r="V469" s="416"/>
      <c r="W469" s="42"/>
      <c r="X469" s="74"/>
      <c r="Y469" s="74"/>
      <c r="Z469" s="74"/>
      <c r="AA469" s="74"/>
      <c r="AB469" s="74"/>
      <c r="AC469" s="42"/>
      <c r="AD469" s="42"/>
      <c r="AE469" s="42"/>
      <c r="AF469" s="42"/>
      <c r="AG469" s="42"/>
      <c r="AH469" s="42"/>
      <c r="AI469" s="75"/>
      <c r="AJ469" s="75"/>
      <c r="AK469" s="75"/>
      <c r="AL469" s="75"/>
      <c r="AM469" s="74"/>
      <c r="AN469" s="72" t="e">
        <f>VLOOKUP(H469,[4]Planilha1!A$13:P$314,16,0)</f>
        <v>#N/A</v>
      </c>
    </row>
    <row r="470" spans="1:40" s="69" customFormat="1" x14ac:dyDescent="0.25">
      <c r="A470" s="88"/>
      <c r="B470" s="88"/>
      <c r="C470" s="70"/>
      <c r="D470" s="70"/>
      <c r="E470" s="70"/>
      <c r="F470" s="70"/>
      <c r="G470" s="70"/>
      <c r="H470" s="422"/>
      <c r="I470" s="422"/>
      <c r="J470" s="418"/>
      <c r="K470" s="403"/>
      <c r="L470" s="73"/>
      <c r="M470" s="72"/>
      <c r="N470" s="72"/>
      <c r="O470" s="72"/>
      <c r="P470" s="42"/>
      <c r="Q470" s="42"/>
      <c r="R470" s="42"/>
      <c r="S470" s="42"/>
      <c r="T470" s="42"/>
      <c r="U470" s="42"/>
      <c r="V470" s="416"/>
      <c r="W470" s="42"/>
      <c r="X470" s="74"/>
      <c r="Y470" s="74"/>
      <c r="Z470" s="74"/>
      <c r="AA470" s="74"/>
      <c r="AB470" s="74"/>
      <c r="AC470" s="42"/>
      <c r="AD470" s="42"/>
      <c r="AE470" s="42"/>
      <c r="AF470" s="42"/>
      <c r="AG470" s="42"/>
      <c r="AH470" s="42"/>
      <c r="AI470" s="75"/>
      <c r="AJ470" s="75"/>
      <c r="AK470" s="75"/>
      <c r="AL470" s="75"/>
      <c r="AM470" s="74"/>
      <c r="AN470" s="72" t="e">
        <f>VLOOKUP(H470,[4]Planilha1!A$13:P$314,16,0)</f>
        <v>#N/A</v>
      </c>
    </row>
    <row r="471" spans="1:40" s="69" customFormat="1" x14ac:dyDescent="0.25">
      <c r="A471" s="88"/>
      <c r="B471" s="88"/>
      <c r="C471" s="70"/>
      <c r="D471" s="70"/>
      <c r="E471" s="70"/>
      <c r="F471" s="70"/>
      <c r="G471" s="70"/>
      <c r="H471" s="422"/>
      <c r="I471" s="422"/>
      <c r="J471" s="418"/>
      <c r="K471" s="403"/>
      <c r="L471" s="73"/>
      <c r="M471" s="72"/>
      <c r="N471" s="72"/>
      <c r="O471" s="72"/>
      <c r="P471" s="42"/>
      <c r="Q471" s="42"/>
      <c r="R471" s="42"/>
      <c r="S471" s="42"/>
      <c r="T471" s="42"/>
      <c r="U471" s="42"/>
      <c r="V471" s="416"/>
      <c r="W471" s="42"/>
      <c r="X471" s="74"/>
      <c r="Y471" s="74"/>
      <c r="Z471" s="74"/>
      <c r="AA471" s="74"/>
      <c r="AB471" s="74"/>
      <c r="AC471" s="42"/>
      <c r="AD471" s="42"/>
      <c r="AE471" s="42"/>
      <c r="AF471" s="42"/>
      <c r="AG471" s="42"/>
      <c r="AH471" s="42"/>
      <c r="AI471" s="75"/>
      <c r="AJ471" s="75"/>
      <c r="AK471" s="75"/>
      <c r="AL471" s="75"/>
      <c r="AM471" s="74"/>
      <c r="AN471" s="72" t="e">
        <f>VLOOKUP(H471,[4]Planilha1!A$13:P$314,16,0)</f>
        <v>#N/A</v>
      </c>
    </row>
    <row r="472" spans="1:40" s="69" customFormat="1" x14ac:dyDescent="0.25">
      <c r="A472" s="88"/>
      <c r="B472" s="88"/>
      <c r="C472" s="70"/>
      <c r="D472" s="70"/>
      <c r="E472" s="70"/>
      <c r="F472" s="70"/>
      <c r="G472" s="70"/>
      <c r="H472" s="422"/>
      <c r="I472" s="422"/>
      <c r="J472" s="418"/>
      <c r="K472" s="403"/>
      <c r="L472" s="73"/>
      <c r="M472" s="72"/>
      <c r="N472" s="72"/>
      <c r="O472" s="72"/>
      <c r="P472" s="42"/>
      <c r="Q472" s="42"/>
      <c r="R472" s="42"/>
      <c r="S472" s="42"/>
      <c r="T472" s="42"/>
      <c r="U472" s="42"/>
      <c r="V472" s="416"/>
      <c r="W472" s="42"/>
      <c r="X472" s="74"/>
      <c r="Y472" s="74"/>
      <c r="Z472" s="74"/>
      <c r="AA472" s="74"/>
      <c r="AB472" s="74"/>
      <c r="AC472" s="42"/>
      <c r="AD472" s="42"/>
      <c r="AE472" s="42"/>
      <c r="AF472" s="42"/>
      <c r="AG472" s="42"/>
      <c r="AH472" s="42"/>
      <c r="AI472" s="75"/>
      <c r="AJ472" s="75"/>
      <c r="AK472" s="75"/>
      <c r="AL472" s="75"/>
      <c r="AM472" s="74"/>
      <c r="AN472" s="72" t="e">
        <f>VLOOKUP(H472,[4]Planilha1!A$13:P$314,16,0)</f>
        <v>#N/A</v>
      </c>
    </row>
    <row r="473" spans="1:40" s="69" customFormat="1" x14ac:dyDescent="0.25">
      <c r="A473" s="88"/>
      <c r="B473" s="88"/>
      <c r="C473" s="70"/>
      <c r="D473" s="70"/>
      <c r="E473" s="70"/>
      <c r="F473" s="70"/>
      <c r="G473" s="70"/>
      <c r="H473" s="422"/>
      <c r="I473" s="422"/>
      <c r="J473" s="418"/>
      <c r="K473" s="403"/>
      <c r="L473" s="73"/>
      <c r="M473" s="72"/>
      <c r="N473" s="72"/>
      <c r="O473" s="72"/>
      <c r="P473" s="42"/>
      <c r="Q473" s="42"/>
      <c r="R473" s="42"/>
      <c r="S473" s="42"/>
      <c r="T473" s="42"/>
      <c r="U473" s="42"/>
      <c r="V473" s="416"/>
      <c r="W473" s="42"/>
      <c r="X473" s="74"/>
      <c r="Y473" s="74"/>
      <c r="Z473" s="74"/>
      <c r="AA473" s="74"/>
      <c r="AB473" s="74"/>
      <c r="AC473" s="42"/>
      <c r="AD473" s="42"/>
      <c r="AE473" s="42"/>
      <c r="AF473" s="42"/>
      <c r="AG473" s="42"/>
      <c r="AH473" s="42"/>
      <c r="AI473" s="75"/>
      <c r="AJ473" s="75"/>
      <c r="AK473" s="75"/>
      <c r="AL473" s="75"/>
      <c r="AM473" s="74"/>
      <c r="AN473" s="72" t="e">
        <f>VLOOKUP(H473,[4]Planilha1!A$13:P$314,16,0)</f>
        <v>#N/A</v>
      </c>
    </row>
    <row r="474" spans="1:40" s="69" customFormat="1" x14ac:dyDescent="0.25">
      <c r="A474" s="88"/>
      <c r="B474" s="88"/>
      <c r="C474" s="70"/>
      <c r="D474" s="70"/>
      <c r="E474" s="70"/>
      <c r="F474" s="70"/>
      <c r="G474" s="70"/>
      <c r="H474" s="422"/>
      <c r="I474" s="422"/>
      <c r="J474" s="418"/>
      <c r="K474" s="403"/>
      <c r="L474" s="73"/>
      <c r="M474" s="72"/>
      <c r="N474" s="72"/>
      <c r="O474" s="72"/>
      <c r="P474" s="42"/>
      <c r="Q474" s="42"/>
      <c r="R474" s="42"/>
      <c r="S474" s="42"/>
      <c r="T474" s="42"/>
      <c r="U474" s="42"/>
      <c r="V474" s="416"/>
      <c r="W474" s="42"/>
      <c r="X474" s="74"/>
      <c r="Y474" s="74"/>
      <c r="Z474" s="74"/>
      <c r="AA474" s="74"/>
      <c r="AB474" s="74"/>
      <c r="AC474" s="42"/>
      <c r="AD474" s="42"/>
      <c r="AE474" s="42"/>
      <c r="AF474" s="42"/>
      <c r="AG474" s="42"/>
      <c r="AH474" s="42"/>
      <c r="AI474" s="75"/>
      <c r="AJ474" s="75"/>
      <c r="AK474" s="75"/>
      <c r="AL474" s="75"/>
      <c r="AM474" s="74"/>
      <c r="AN474" s="72" t="e">
        <f>VLOOKUP(H474,[4]Planilha1!A$13:P$314,16,0)</f>
        <v>#N/A</v>
      </c>
    </row>
    <row r="475" spans="1:40" s="69" customFormat="1" x14ac:dyDescent="0.25">
      <c r="A475" s="88"/>
      <c r="B475" s="88"/>
      <c r="C475" s="70"/>
      <c r="D475" s="70"/>
      <c r="E475" s="70"/>
      <c r="F475" s="70"/>
      <c r="G475" s="70"/>
      <c r="H475" s="422"/>
      <c r="I475" s="422"/>
      <c r="J475" s="418"/>
      <c r="K475" s="403"/>
      <c r="L475" s="73"/>
      <c r="M475" s="72"/>
      <c r="N475" s="72"/>
      <c r="O475" s="72"/>
      <c r="P475" s="42"/>
      <c r="Q475" s="42"/>
      <c r="R475" s="42"/>
      <c r="S475" s="42"/>
      <c r="T475" s="42"/>
      <c r="U475" s="42"/>
      <c r="V475" s="416"/>
      <c r="W475" s="42"/>
      <c r="X475" s="74"/>
      <c r="Y475" s="74"/>
      <c r="Z475" s="74"/>
      <c r="AA475" s="74"/>
      <c r="AB475" s="74"/>
      <c r="AC475" s="42"/>
      <c r="AD475" s="42"/>
      <c r="AE475" s="42"/>
      <c r="AF475" s="42"/>
      <c r="AG475" s="42"/>
      <c r="AH475" s="42"/>
      <c r="AI475" s="75"/>
      <c r="AJ475" s="75"/>
      <c r="AK475" s="75"/>
      <c r="AL475" s="75"/>
      <c r="AM475" s="74"/>
      <c r="AN475" s="72" t="e">
        <f>VLOOKUP(H475,[4]Planilha1!A$13:P$314,16,0)</f>
        <v>#N/A</v>
      </c>
    </row>
    <row r="476" spans="1:40" s="69" customFormat="1" x14ac:dyDescent="0.25">
      <c r="A476" s="88"/>
      <c r="B476" s="88"/>
      <c r="C476" s="70"/>
      <c r="D476" s="70"/>
      <c r="E476" s="70"/>
      <c r="F476" s="70"/>
      <c r="G476" s="70"/>
      <c r="H476" s="422"/>
      <c r="I476" s="422"/>
      <c r="J476" s="418"/>
      <c r="K476" s="403"/>
      <c r="L476" s="73"/>
      <c r="M476" s="72"/>
      <c r="N476" s="72"/>
      <c r="O476" s="72"/>
      <c r="P476" s="42"/>
      <c r="Q476" s="42"/>
      <c r="R476" s="42"/>
      <c r="S476" s="42"/>
      <c r="T476" s="42"/>
      <c r="U476" s="42"/>
      <c r="V476" s="416"/>
      <c r="W476" s="42"/>
      <c r="X476" s="74"/>
      <c r="Y476" s="74"/>
      <c r="Z476" s="74"/>
      <c r="AA476" s="74"/>
      <c r="AB476" s="74"/>
      <c r="AC476" s="42"/>
      <c r="AD476" s="42"/>
      <c r="AE476" s="42"/>
      <c r="AF476" s="42"/>
      <c r="AG476" s="42"/>
      <c r="AH476" s="42"/>
      <c r="AI476" s="75"/>
      <c r="AJ476" s="75"/>
      <c r="AK476" s="75"/>
      <c r="AL476" s="75"/>
      <c r="AM476" s="74"/>
      <c r="AN476" s="72" t="e">
        <f>VLOOKUP(H476,[4]Planilha1!A$13:P$314,16,0)</f>
        <v>#N/A</v>
      </c>
    </row>
    <row r="477" spans="1:40" s="69" customFormat="1" x14ac:dyDescent="0.25">
      <c r="A477" s="88"/>
      <c r="B477" s="88"/>
      <c r="C477" s="70"/>
      <c r="D477" s="70"/>
      <c r="E477" s="70"/>
      <c r="F477" s="70"/>
      <c r="G477" s="70"/>
      <c r="H477" s="422"/>
      <c r="I477" s="422"/>
      <c r="J477" s="418"/>
      <c r="K477" s="403"/>
      <c r="L477" s="73"/>
      <c r="M477" s="72"/>
      <c r="N477" s="72"/>
      <c r="O477" s="72"/>
      <c r="P477" s="42"/>
      <c r="Q477" s="42"/>
      <c r="R477" s="42"/>
      <c r="S477" s="42"/>
      <c r="T477" s="42"/>
      <c r="U477" s="42"/>
      <c r="V477" s="416"/>
      <c r="W477" s="42"/>
      <c r="X477" s="74"/>
      <c r="Y477" s="74"/>
      <c r="Z477" s="74"/>
      <c r="AA477" s="74"/>
      <c r="AB477" s="74"/>
      <c r="AC477" s="42"/>
      <c r="AD477" s="42"/>
      <c r="AE477" s="42"/>
      <c r="AF477" s="42"/>
      <c r="AG477" s="42"/>
      <c r="AH477" s="42"/>
      <c r="AI477" s="75"/>
      <c r="AJ477" s="75"/>
      <c r="AK477" s="75"/>
      <c r="AL477" s="75"/>
      <c r="AM477" s="74"/>
      <c r="AN477" s="72" t="e">
        <f>VLOOKUP(H477,[4]Planilha1!A$13:P$314,16,0)</f>
        <v>#N/A</v>
      </c>
    </row>
    <row r="478" spans="1:40" s="69" customFormat="1" x14ac:dyDescent="0.25">
      <c r="A478" s="88"/>
      <c r="B478" s="88"/>
      <c r="C478" s="70"/>
      <c r="D478" s="70"/>
      <c r="E478" s="70"/>
      <c r="F478" s="70"/>
      <c r="G478" s="70"/>
      <c r="H478" s="422"/>
      <c r="I478" s="422"/>
      <c r="J478" s="418"/>
      <c r="K478" s="403"/>
      <c r="L478" s="73"/>
      <c r="M478" s="72"/>
      <c r="N478" s="72"/>
      <c r="O478" s="72"/>
      <c r="P478" s="42"/>
      <c r="Q478" s="42"/>
      <c r="R478" s="42"/>
      <c r="S478" s="42"/>
      <c r="T478" s="42"/>
      <c r="U478" s="42"/>
      <c r="V478" s="416"/>
      <c r="W478" s="42"/>
      <c r="X478" s="74"/>
      <c r="Y478" s="74"/>
      <c r="Z478" s="74"/>
      <c r="AA478" s="74"/>
      <c r="AB478" s="74"/>
      <c r="AC478" s="42"/>
      <c r="AD478" s="42"/>
      <c r="AE478" s="42"/>
      <c r="AF478" s="42"/>
      <c r="AG478" s="42"/>
      <c r="AH478" s="42"/>
      <c r="AI478" s="75"/>
      <c r="AJ478" s="75"/>
      <c r="AK478" s="75"/>
      <c r="AL478" s="75"/>
      <c r="AM478" s="74"/>
      <c r="AN478" s="72" t="e">
        <f>VLOOKUP(H478,[4]Planilha1!A$13:P$314,16,0)</f>
        <v>#N/A</v>
      </c>
    </row>
    <row r="479" spans="1:40" s="69" customFormat="1" x14ac:dyDescent="0.25">
      <c r="A479" s="88"/>
      <c r="B479" s="88"/>
      <c r="C479" s="70"/>
      <c r="D479" s="70"/>
      <c r="E479" s="70"/>
      <c r="F479" s="70"/>
      <c r="G479" s="70"/>
      <c r="H479" s="422"/>
      <c r="I479" s="422"/>
      <c r="J479" s="418"/>
      <c r="K479" s="403"/>
      <c r="L479" s="73"/>
      <c r="M479" s="72"/>
      <c r="N479" s="72"/>
      <c r="O479" s="72"/>
      <c r="P479" s="42"/>
      <c r="Q479" s="42"/>
      <c r="R479" s="42"/>
      <c r="S479" s="42"/>
      <c r="T479" s="42"/>
      <c r="U479" s="42"/>
      <c r="V479" s="416"/>
      <c r="W479" s="42"/>
      <c r="X479" s="74"/>
      <c r="Y479" s="74"/>
      <c r="Z479" s="74"/>
      <c r="AA479" s="74"/>
      <c r="AB479" s="74"/>
      <c r="AC479" s="42"/>
      <c r="AD479" s="42"/>
      <c r="AE479" s="42"/>
      <c r="AF479" s="42"/>
      <c r="AG479" s="42"/>
      <c r="AH479" s="42"/>
      <c r="AI479" s="75"/>
      <c r="AJ479" s="75"/>
      <c r="AK479" s="75"/>
      <c r="AL479" s="75"/>
      <c r="AM479" s="74"/>
      <c r="AN479" s="72" t="e">
        <f>VLOOKUP(H479,[4]Planilha1!A$13:P$314,16,0)</f>
        <v>#N/A</v>
      </c>
    </row>
    <row r="480" spans="1:40" s="69" customFormat="1" x14ac:dyDescent="0.25">
      <c r="A480" s="88"/>
      <c r="B480" s="88"/>
      <c r="C480" s="70"/>
      <c r="D480" s="70"/>
      <c r="E480" s="70"/>
      <c r="F480" s="70"/>
      <c r="G480" s="70"/>
      <c r="H480" s="422"/>
      <c r="I480" s="422"/>
      <c r="J480" s="418"/>
      <c r="K480" s="403"/>
      <c r="L480" s="73"/>
      <c r="M480" s="72"/>
      <c r="N480" s="72"/>
      <c r="O480" s="72"/>
      <c r="P480" s="42"/>
      <c r="Q480" s="42"/>
      <c r="R480" s="42"/>
      <c r="S480" s="42"/>
      <c r="T480" s="42"/>
      <c r="U480" s="42"/>
      <c r="V480" s="416"/>
      <c r="W480" s="42"/>
      <c r="X480" s="74"/>
      <c r="Y480" s="74"/>
      <c r="Z480" s="74"/>
      <c r="AA480" s="74"/>
      <c r="AB480" s="74"/>
      <c r="AC480" s="42"/>
      <c r="AD480" s="42"/>
      <c r="AE480" s="42"/>
      <c r="AF480" s="42"/>
      <c r="AG480" s="42"/>
      <c r="AH480" s="42"/>
      <c r="AI480" s="75"/>
      <c r="AJ480" s="75"/>
      <c r="AK480" s="75"/>
      <c r="AL480" s="75"/>
      <c r="AM480" s="74"/>
      <c r="AN480" s="72" t="e">
        <f>VLOOKUP(H480,[4]Planilha1!A$13:P$314,16,0)</f>
        <v>#N/A</v>
      </c>
    </row>
    <row r="481" spans="1:40" s="69" customFormat="1" x14ac:dyDescent="0.25">
      <c r="A481" s="88"/>
      <c r="B481" s="88"/>
      <c r="C481" s="70"/>
      <c r="D481" s="70"/>
      <c r="E481" s="70"/>
      <c r="F481" s="70"/>
      <c r="G481" s="70"/>
      <c r="H481" s="422"/>
      <c r="I481" s="422"/>
      <c r="J481" s="418"/>
      <c r="K481" s="403"/>
      <c r="L481" s="73"/>
      <c r="M481" s="72"/>
      <c r="N481" s="72"/>
      <c r="O481" s="72"/>
      <c r="P481" s="42"/>
      <c r="Q481" s="42"/>
      <c r="R481" s="42"/>
      <c r="S481" s="42"/>
      <c r="T481" s="42"/>
      <c r="U481" s="42"/>
      <c r="V481" s="416"/>
      <c r="W481" s="42"/>
      <c r="X481" s="74"/>
      <c r="Y481" s="74"/>
      <c r="Z481" s="74"/>
      <c r="AA481" s="74"/>
      <c r="AB481" s="74"/>
      <c r="AC481" s="42"/>
      <c r="AD481" s="42"/>
      <c r="AE481" s="42"/>
      <c r="AF481" s="42"/>
      <c r="AG481" s="42"/>
      <c r="AH481" s="42"/>
      <c r="AI481" s="75"/>
      <c r="AJ481" s="75"/>
      <c r="AK481" s="75"/>
      <c r="AL481" s="75"/>
      <c r="AM481" s="74"/>
      <c r="AN481" s="72" t="e">
        <f>VLOOKUP(H481,[4]Planilha1!A$13:P$314,16,0)</f>
        <v>#N/A</v>
      </c>
    </row>
    <row r="482" spans="1:40" s="69" customFormat="1" x14ac:dyDescent="0.25">
      <c r="A482" s="88"/>
      <c r="B482" s="88"/>
      <c r="C482" s="70"/>
      <c r="D482" s="70"/>
      <c r="E482" s="70"/>
      <c r="F482" s="70"/>
      <c r="G482" s="70"/>
      <c r="H482" s="422"/>
      <c r="I482" s="422"/>
      <c r="J482" s="418"/>
      <c r="K482" s="403"/>
      <c r="L482" s="73"/>
      <c r="M482" s="72"/>
      <c r="N482" s="72"/>
      <c r="O482" s="72"/>
      <c r="P482" s="42"/>
      <c r="Q482" s="42"/>
      <c r="R482" s="42"/>
      <c r="S482" s="42"/>
      <c r="T482" s="42"/>
      <c r="U482" s="42"/>
      <c r="V482" s="416"/>
      <c r="W482" s="42"/>
      <c r="X482" s="74"/>
      <c r="Y482" s="74"/>
      <c r="Z482" s="74"/>
      <c r="AA482" s="74"/>
      <c r="AB482" s="74"/>
      <c r="AC482" s="42"/>
      <c r="AD482" s="42"/>
      <c r="AE482" s="42"/>
      <c r="AF482" s="42"/>
      <c r="AG482" s="42"/>
      <c r="AH482" s="42"/>
      <c r="AI482" s="75"/>
      <c r="AJ482" s="75"/>
      <c r="AK482" s="75"/>
      <c r="AL482" s="75"/>
      <c r="AM482" s="74"/>
      <c r="AN482" s="72" t="e">
        <f>VLOOKUP(H482,[4]Planilha1!A$13:P$314,16,0)</f>
        <v>#N/A</v>
      </c>
    </row>
    <row r="483" spans="1:40" s="69" customFormat="1" x14ac:dyDescent="0.25">
      <c r="A483" s="88"/>
      <c r="B483" s="88"/>
      <c r="C483" s="70"/>
      <c r="D483" s="70"/>
      <c r="E483" s="70"/>
      <c r="F483" s="70"/>
      <c r="G483" s="70"/>
      <c r="H483" s="422"/>
      <c r="I483" s="422"/>
      <c r="J483" s="418"/>
      <c r="K483" s="403"/>
      <c r="L483" s="73"/>
      <c r="M483" s="72"/>
      <c r="N483" s="72"/>
      <c r="O483" s="72"/>
      <c r="P483" s="42"/>
      <c r="Q483" s="42"/>
      <c r="R483" s="42"/>
      <c r="S483" s="42"/>
      <c r="T483" s="42"/>
      <c r="U483" s="42"/>
      <c r="V483" s="416"/>
      <c r="W483" s="42"/>
      <c r="X483" s="74"/>
      <c r="Y483" s="74"/>
      <c r="Z483" s="74"/>
      <c r="AA483" s="74"/>
      <c r="AB483" s="74"/>
      <c r="AC483" s="42"/>
      <c r="AD483" s="42"/>
      <c r="AE483" s="42"/>
      <c r="AF483" s="42"/>
      <c r="AG483" s="42"/>
      <c r="AH483" s="42"/>
      <c r="AI483" s="75"/>
      <c r="AJ483" s="75"/>
      <c r="AK483" s="75"/>
      <c r="AL483" s="75"/>
      <c r="AM483" s="74"/>
      <c r="AN483" s="72" t="e">
        <f>VLOOKUP(H483,[4]Planilha1!A$13:P$314,16,0)</f>
        <v>#N/A</v>
      </c>
    </row>
    <row r="484" spans="1:40" s="69" customFormat="1" x14ac:dyDescent="0.25">
      <c r="A484" s="88"/>
      <c r="B484" s="88"/>
      <c r="C484" s="70"/>
      <c r="D484" s="70"/>
      <c r="E484" s="70"/>
      <c r="F484" s="70"/>
      <c r="G484" s="70"/>
      <c r="H484" s="422"/>
      <c r="I484" s="422"/>
      <c r="J484" s="418"/>
      <c r="K484" s="403"/>
      <c r="L484" s="73"/>
      <c r="M484" s="72"/>
      <c r="N484" s="72"/>
      <c r="O484" s="72"/>
      <c r="P484" s="42"/>
      <c r="Q484" s="42"/>
      <c r="R484" s="42"/>
      <c r="S484" s="42"/>
      <c r="T484" s="42"/>
      <c r="U484" s="42"/>
      <c r="V484" s="416"/>
      <c r="W484" s="42"/>
      <c r="X484" s="74"/>
      <c r="Y484" s="74"/>
      <c r="Z484" s="74"/>
      <c r="AA484" s="74"/>
      <c r="AB484" s="74"/>
      <c r="AC484" s="42"/>
      <c r="AD484" s="42"/>
      <c r="AE484" s="42"/>
      <c r="AF484" s="42"/>
      <c r="AG484" s="42"/>
      <c r="AH484" s="42"/>
      <c r="AI484" s="75"/>
      <c r="AJ484" s="75"/>
      <c r="AK484" s="75"/>
      <c r="AL484" s="75"/>
      <c r="AM484" s="74"/>
      <c r="AN484" s="72" t="e">
        <f>VLOOKUP(H484,[4]Planilha1!A$13:P$314,16,0)</f>
        <v>#N/A</v>
      </c>
    </row>
    <row r="485" spans="1:40" s="69" customFormat="1" x14ac:dyDescent="0.25">
      <c r="A485" s="88"/>
      <c r="B485" s="88"/>
      <c r="C485" s="70"/>
      <c r="D485" s="70"/>
      <c r="E485" s="70"/>
      <c r="F485" s="70"/>
      <c r="G485" s="70"/>
      <c r="H485" s="422"/>
      <c r="I485" s="422"/>
      <c r="J485" s="418"/>
      <c r="K485" s="403"/>
      <c r="L485" s="73"/>
      <c r="M485" s="72"/>
      <c r="N485" s="72"/>
      <c r="O485" s="72"/>
      <c r="P485" s="42"/>
      <c r="Q485" s="42"/>
      <c r="R485" s="42"/>
      <c r="S485" s="42"/>
      <c r="T485" s="42"/>
      <c r="U485" s="42"/>
      <c r="V485" s="416"/>
      <c r="W485" s="42"/>
      <c r="X485" s="74"/>
      <c r="Y485" s="74"/>
      <c r="Z485" s="74"/>
      <c r="AA485" s="74"/>
      <c r="AB485" s="74"/>
      <c r="AC485" s="42"/>
      <c r="AD485" s="42"/>
      <c r="AE485" s="42"/>
      <c r="AF485" s="42"/>
      <c r="AG485" s="42"/>
      <c r="AH485" s="42"/>
      <c r="AI485" s="75"/>
      <c r="AJ485" s="75"/>
      <c r="AK485" s="75"/>
      <c r="AL485" s="75"/>
      <c r="AM485" s="74"/>
      <c r="AN485" s="72" t="e">
        <f>VLOOKUP(H485,[4]Planilha1!A$13:P$314,16,0)</f>
        <v>#N/A</v>
      </c>
    </row>
    <row r="486" spans="1:40" s="69" customFormat="1" x14ac:dyDescent="0.25">
      <c r="A486" s="88"/>
      <c r="B486" s="88"/>
      <c r="C486" s="70"/>
      <c r="D486" s="70"/>
      <c r="E486" s="70"/>
      <c r="F486" s="70"/>
      <c r="G486" s="70"/>
      <c r="H486" s="422"/>
      <c r="I486" s="422"/>
      <c r="J486" s="418"/>
      <c r="K486" s="403"/>
      <c r="L486" s="73"/>
      <c r="M486" s="72"/>
      <c r="N486" s="72"/>
      <c r="O486" s="72"/>
      <c r="P486" s="42"/>
      <c r="Q486" s="42"/>
      <c r="R486" s="42"/>
      <c r="S486" s="42"/>
      <c r="T486" s="42"/>
      <c r="U486" s="42"/>
      <c r="V486" s="416"/>
      <c r="W486" s="42"/>
      <c r="X486" s="74"/>
      <c r="Y486" s="74"/>
      <c r="Z486" s="74"/>
      <c r="AA486" s="74"/>
      <c r="AB486" s="74"/>
      <c r="AC486" s="42"/>
      <c r="AD486" s="42"/>
      <c r="AE486" s="42"/>
      <c r="AF486" s="42"/>
      <c r="AG486" s="42"/>
      <c r="AH486" s="42"/>
      <c r="AI486" s="75"/>
      <c r="AJ486" s="75"/>
      <c r="AK486" s="75"/>
      <c r="AL486" s="75"/>
      <c r="AM486" s="74"/>
      <c r="AN486" s="72" t="e">
        <f>VLOOKUP(H486,[4]Planilha1!A$13:P$314,16,0)</f>
        <v>#N/A</v>
      </c>
    </row>
    <row r="487" spans="1:40" s="69" customFormat="1" x14ac:dyDescent="0.25">
      <c r="A487" s="88"/>
      <c r="B487" s="88"/>
      <c r="C487" s="70"/>
      <c r="D487" s="70"/>
      <c r="E487" s="70"/>
      <c r="F487" s="70"/>
      <c r="G487" s="70"/>
      <c r="H487" s="422"/>
      <c r="I487" s="422"/>
      <c r="J487" s="418"/>
      <c r="K487" s="403"/>
      <c r="L487" s="73"/>
      <c r="M487" s="72"/>
      <c r="N487" s="72"/>
      <c r="O487" s="72"/>
      <c r="P487" s="42"/>
      <c r="Q487" s="42"/>
      <c r="R487" s="42"/>
      <c r="S487" s="42"/>
      <c r="T487" s="42"/>
      <c r="U487" s="42"/>
      <c r="V487" s="416"/>
      <c r="W487" s="42"/>
      <c r="X487" s="74"/>
      <c r="Y487" s="74"/>
      <c r="Z487" s="74"/>
      <c r="AA487" s="74"/>
      <c r="AB487" s="74"/>
      <c r="AC487" s="42"/>
      <c r="AD487" s="42"/>
      <c r="AE487" s="42"/>
      <c r="AF487" s="42"/>
      <c r="AG487" s="42"/>
      <c r="AH487" s="42"/>
      <c r="AI487" s="75"/>
      <c r="AJ487" s="75"/>
      <c r="AK487" s="75"/>
      <c r="AL487" s="75"/>
      <c r="AM487" s="74"/>
      <c r="AN487" s="72" t="e">
        <f>VLOOKUP(H487,[4]Planilha1!A$13:P$314,16,0)</f>
        <v>#N/A</v>
      </c>
    </row>
    <row r="488" spans="1:40" s="69" customFormat="1" x14ac:dyDescent="0.25">
      <c r="A488" s="88"/>
      <c r="B488" s="88"/>
      <c r="C488" s="70"/>
      <c r="D488" s="70"/>
      <c r="E488" s="70"/>
      <c r="F488" s="70"/>
      <c r="G488" s="70"/>
      <c r="H488" s="422"/>
      <c r="I488" s="422"/>
      <c r="J488" s="418"/>
      <c r="K488" s="403"/>
      <c r="L488" s="73"/>
      <c r="M488" s="72"/>
      <c r="N488" s="72"/>
      <c r="O488" s="72"/>
      <c r="P488" s="42"/>
      <c r="Q488" s="42"/>
      <c r="R488" s="42"/>
      <c r="S488" s="42"/>
      <c r="T488" s="42"/>
      <c r="U488" s="42"/>
      <c r="V488" s="416"/>
      <c r="W488" s="42"/>
      <c r="X488" s="74"/>
      <c r="Y488" s="74"/>
      <c r="Z488" s="74"/>
      <c r="AA488" s="74"/>
      <c r="AB488" s="74"/>
      <c r="AC488" s="42"/>
      <c r="AD488" s="42"/>
      <c r="AE488" s="42"/>
      <c r="AF488" s="42"/>
      <c r="AG488" s="42"/>
      <c r="AH488" s="42"/>
      <c r="AI488" s="75"/>
      <c r="AJ488" s="75"/>
      <c r="AK488" s="75"/>
      <c r="AL488" s="75"/>
      <c r="AM488" s="74"/>
      <c r="AN488" s="72" t="e">
        <f>VLOOKUP(H488,[4]Planilha1!A$13:P$314,16,0)</f>
        <v>#N/A</v>
      </c>
    </row>
    <row r="489" spans="1:40" s="69" customFormat="1" x14ac:dyDescent="0.25">
      <c r="A489" s="88"/>
      <c r="B489" s="88"/>
      <c r="C489" s="70"/>
      <c r="D489" s="70"/>
      <c r="E489" s="70"/>
      <c r="F489" s="70"/>
      <c r="G489" s="70"/>
      <c r="H489" s="422"/>
      <c r="I489" s="422"/>
      <c r="J489" s="418"/>
      <c r="K489" s="403"/>
      <c r="L489" s="73"/>
      <c r="M489" s="72"/>
      <c r="N489" s="72"/>
      <c r="O489" s="72"/>
      <c r="P489" s="42"/>
      <c r="Q489" s="42"/>
      <c r="R489" s="42"/>
      <c r="S489" s="42"/>
      <c r="T489" s="42"/>
      <c r="U489" s="42"/>
      <c r="V489" s="416"/>
      <c r="W489" s="42"/>
      <c r="X489" s="74"/>
      <c r="Y489" s="74"/>
      <c r="Z489" s="74"/>
      <c r="AA489" s="74"/>
      <c r="AB489" s="74"/>
      <c r="AC489" s="42"/>
      <c r="AD489" s="42"/>
      <c r="AE489" s="42"/>
      <c r="AF489" s="42"/>
      <c r="AG489" s="42"/>
      <c r="AH489" s="42"/>
      <c r="AI489" s="75"/>
      <c r="AJ489" s="75"/>
      <c r="AK489" s="75"/>
      <c r="AL489" s="75"/>
      <c r="AM489" s="74"/>
      <c r="AN489" s="72" t="e">
        <f>VLOOKUP(H489,[4]Planilha1!A$13:P$314,16,0)</f>
        <v>#N/A</v>
      </c>
    </row>
    <row r="490" spans="1:40" s="69" customFormat="1" x14ac:dyDescent="0.25">
      <c r="A490" s="88"/>
      <c r="B490" s="88"/>
      <c r="C490" s="70"/>
      <c r="D490" s="70"/>
      <c r="E490" s="70"/>
      <c r="F490" s="70"/>
      <c r="G490" s="70"/>
      <c r="H490" s="422"/>
      <c r="I490" s="422"/>
      <c r="J490" s="418"/>
      <c r="K490" s="403"/>
      <c r="L490" s="73"/>
      <c r="M490" s="72"/>
      <c r="N490" s="72"/>
      <c r="O490" s="72"/>
      <c r="P490" s="42"/>
      <c r="Q490" s="42"/>
      <c r="R490" s="42"/>
      <c r="S490" s="42"/>
      <c r="T490" s="42"/>
      <c r="U490" s="42"/>
      <c r="V490" s="416"/>
      <c r="W490" s="42"/>
      <c r="X490" s="74"/>
      <c r="Y490" s="74"/>
      <c r="Z490" s="74"/>
      <c r="AA490" s="74"/>
      <c r="AB490" s="74"/>
      <c r="AC490" s="42"/>
      <c r="AD490" s="42"/>
      <c r="AE490" s="42"/>
      <c r="AF490" s="42"/>
      <c r="AG490" s="42"/>
      <c r="AH490" s="42"/>
      <c r="AI490" s="75"/>
      <c r="AJ490" s="75"/>
      <c r="AK490" s="75"/>
      <c r="AL490" s="75"/>
      <c r="AM490" s="74"/>
      <c r="AN490" s="72" t="e">
        <f>VLOOKUP(H490,[4]Planilha1!A$13:P$314,16,0)</f>
        <v>#N/A</v>
      </c>
    </row>
    <row r="491" spans="1:40" s="69" customFormat="1" x14ac:dyDescent="0.25">
      <c r="A491" s="88"/>
      <c r="B491" s="88"/>
      <c r="C491" s="70"/>
      <c r="D491" s="70"/>
      <c r="E491" s="70"/>
      <c r="F491" s="70"/>
      <c r="G491" s="70"/>
      <c r="H491" s="422"/>
      <c r="I491" s="422"/>
      <c r="J491" s="418"/>
      <c r="K491" s="403"/>
      <c r="L491" s="73"/>
      <c r="M491" s="72"/>
      <c r="N491" s="72"/>
      <c r="O491" s="72"/>
      <c r="P491" s="42"/>
      <c r="Q491" s="42"/>
      <c r="R491" s="42"/>
      <c r="S491" s="42"/>
      <c r="T491" s="42"/>
      <c r="U491" s="42"/>
      <c r="V491" s="416"/>
      <c r="W491" s="42"/>
      <c r="X491" s="74"/>
      <c r="Y491" s="74"/>
      <c r="Z491" s="74"/>
      <c r="AA491" s="74"/>
      <c r="AB491" s="74"/>
      <c r="AC491" s="42"/>
      <c r="AD491" s="42"/>
      <c r="AE491" s="42"/>
      <c r="AF491" s="42"/>
      <c r="AG491" s="42"/>
      <c r="AH491" s="42"/>
      <c r="AI491" s="75"/>
      <c r="AJ491" s="75"/>
      <c r="AK491" s="75"/>
      <c r="AL491" s="75"/>
      <c r="AM491" s="74"/>
      <c r="AN491" s="72" t="e">
        <f>VLOOKUP(H491,[4]Planilha1!A$13:P$314,16,0)</f>
        <v>#N/A</v>
      </c>
    </row>
    <row r="492" spans="1:40" s="69" customFormat="1" x14ac:dyDescent="0.25">
      <c r="A492" s="88"/>
      <c r="B492" s="88"/>
      <c r="C492" s="70"/>
      <c r="D492" s="70"/>
      <c r="E492" s="70"/>
      <c r="F492" s="70"/>
      <c r="G492" s="70"/>
      <c r="H492" s="422"/>
      <c r="I492" s="422"/>
      <c r="J492" s="418"/>
      <c r="K492" s="403"/>
      <c r="L492" s="73"/>
      <c r="M492" s="72"/>
      <c r="N492" s="72"/>
      <c r="O492" s="72"/>
      <c r="P492" s="42"/>
      <c r="Q492" s="42"/>
      <c r="R492" s="42"/>
      <c r="S492" s="42"/>
      <c r="T492" s="42"/>
      <c r="U492" s="42"/>
      <c r="V492" s="416"/>
      <c r="W492" s="42"/>
      <c r="X492" s="74"/>
      <c r="Y492" s="74"/>
      <c r="Z492" s="74"/>
      <c r="AA492" s="74"/>
      <c r="AB492" s="74"/>
      <c r="AC492" s="42"/>
      <c r="AD492" s="42"/>
      <c r="AE492" s="42"/>
      <c r="AF492" s="42"/>
      <c r="AG492" s="42"/>
      <c r="AH492" s="42"/>
      <c r="AI492" s="75"/>
      <c r="AJ492" s="75"/>
      <c r="AK492" s="75"/>
      <c r="AL492" s="75"/>
      <c r="AM492" s="74"/>
      <c r="AN492" s="72" t="e">
        <f>VLOOKUP(H492,[4]Planilha1!A$13:P$314,16,0)</f>
        <v>#N/A</v>
      </c>
    </row>
    <row r="493" spans="1:40" s="69" customFormat="1" x14ac:dyDescent="0.25">
      <c r="A493" s="88"/>
      <c r="B493" s="88"/>
      <c r="C493" s="70"/>
      <c r="D493" s="70"/>
      <c r="E493" s="70"/>
      <c r="F493" s="70"/>
      <c r="G493" s="70"/>
      <c r="H493" s="422"/>
      <c r="I493" s="422"/>
      <c r="J493" s="418"/>
      <c r="K493" s="403"/>
      <c r="L493" s="73"/>
      <c r="M493" s="72"/>
      <c r="N493" s="72"/>
      <c r="O493" s="72"/>
      <c r="P493" s="42"/>
      <c r="Q493" s="42"/>
      <c r="R493" s="42"/>
      <c r="S493" s="42"/>
      <c r="T493" s="42"/>
      <c r="U493" s="42"/>
      <c r="V493" s="416"/>
      <c r="W493" s="42"/>
      <c r="X493" s="74"/>
      <c r="Y493" s="74"/>
      <c r="Z493" s="74"/>
      <c r="AA493" s="74"/>
      <c r="AB493" s="74"/>
      <c r="AC493" s="42"/>
      <c r="AD493" s="42"/>
      <c r="AE493" s="42"/>
      <c r="AF493" s="42"/>
      <c r="AG493" s="42"/>
      <c r="AH493" s="42"/>
      <c r="AI493" s="75"/>
      <c r="AJ493" s="75"/>
      <c r="AK493" s="75"/>
      <c r="AL493" s="75"/>
      <c r="AM493" s="74"/>
      <c r="AN493" s="72" t="e">
        <f>VLOOKUP(H493,[4]Planilha1!A$13:P$314,16,0)</f>
        <v>#N/A</v>
      </c>
    </row>
    <row r="494" spans="1:40" s="69" customFormat="1" x14ac:dyDescent="0.25">
      <c r="A494" s="88"/>
      <c r="B494" s="88"/>
      <c r="C494" s="70"/>
      <c r="D494" s="70"/>
      <c r="E494" s="70"/>
      <c r="F494" s="70"/>
      <c r="G494" s="70"/>
      <c r="H494" s="422"/>
      <c r="I494" s="422"/>
      <c r="J494" s="418"/>
      <c r="K494" s="403"/>
      <c r="L494" s="73"/>
      <c r="M494" s="72"/>
      <c r="N494" s="72"/>
      <c r="O494" s="72"/>
      <c r="P494" s="42"/>
      <c r="Q494" s="42"/>
      <c r="R494" s="42"/>
      <c r="S494" s="42"/>
      <c r="T494" s="42"/>
      <c r="U494" s="42"/>
      <c r="V494" s="416"/>
      <c r="W494" s="42"/>
      <c r="X494" s="74"/>
      <c r="Y494" s="74"/>
      <c r="Z494" s="74"/>
      <c r="AA494" s="74"/>
      <c r="AB494" s="74"/>
      <c r="AC494" s="42"/>
      <c r="AD494" s="42"/>
      <c r="AE494" s="42"/>
      <c r="AF494" s="42"/>
      <c r="AG494" s="42"/>
      <c r="AH494" s="42"/>
      <c r="AI494" s="75"/>
      <c r="AJ494" s="75"/>
      <c r="AK494" s="75"/>
      <c r="AL494" s="75"/>
      <c r="AM494" s="74"/>
      <c r="AN494" s="72" t="e">
        <f>VLOOKUP(H494,[4]Planilha1!A$13:P$314,16,0)</f>
        <v>#N/A</v>
      </c>
    </row>
    <row r="495" spans="1:40" s="69" customFormat="1" x14ac:dyDescent="0.25">
      <c r="A495" s="88"/>
      <c r="B495" s="88"/>
      <c r="C495" s="70"/>
      <c r="D495" s="70"/>
      <c r="E495" s="70"/>
      <c r="F495" s="70"/>
      <c r="G495" s="70"/>
      <c r="H495" s="422"/>
      <c r="I495" s="422"/>
      <c r="J495" s="418"/>
      <c r="K495" s="403"/>
      <c r="L495" s="73"/>
      <c r="M495" s="72"/>
      <c r="N495" s="72"/>
      <c r="O495" s="72"/>
      <c r="P495" s="42"/>
      <c r="Q495" s="42"/>
      <c r="R495" s="42"/>
      <c r="S495" s="42"/>
      <c r="T495" s="42"/>
      <c r="U495" s="42"/>
      <c r="V495" s="416"/>
      <c r="W495" s="42"/>
      <c r="X495" s="74"/>
      <c r="Y495" s="74"/>
      <c r="Z495" s="74"/>
      <c r="AA495" s="74"/>
      <c r="AB495" s="74"/>
      <c r="AC495" s="42"/>
      <c r="AD495" s="42"/>
      <c r="AE495" s="42"/>
      <c r="AF495" s="42"/>
      <c r="AG495" s="42"/>
      <c r="AH495" s="42"/>
      <c r="AI495" s="75"/>
      <c r="AJ495" s="75"/>
      <c r="AK495" s="75"/>
      <c r="AL495" s="75"/>
      <c r="AM495" s="74"/>
      <c r="AN495" s="72" t="e">
        <f>VLOOKUP(H495,[4]Planilha1!A$13:P$314,16,0)</f>
        <v>#N/A</v>
      </c>
    </row>
    <row r="496" spans="1:40" s="69" customFormat="1" x14ac:dyDescent="0.25">
      <c r="A496" s="88"/>
      <c r="B496" s="88"/>
      <c r="C496" s="70"/>
      <c r="D496" s="70"/>
      <c r="E496" s="70"/>
      <c r="F496" s="70"/>
      <c r="G496" s="70"/>
      <c r="H496" s="422"/>
      <c r="I496" s="422"/>
      <c r="J496" s="418"/>
      <c r="K496" s="403"/>
      <c r="L496" s="73"/>
      <c r="M496" s="72"/>
      <c r="N496" s="72"/>
      <c r="O496" s="72"/>
      <c r="P496" s="42"/>
      <c r="Q496" s="42"/>
      <c r="R496" s="42"/>
      <c r="S496" s="42"/>
      <c r="T496" s="42"/>
      <c r="U496" s="42"/>
      <c r="V496" s="416"/>
      <c r="W496" s="42"/>
      <c r="X496" s="74"/>
      <c r="Y496" s="74"/>
      <c r="Z496" s="74"/>
      <c r="AA496" s="74"/>
      <c r="AB496" s="74"/>
      <c r="AC496" s="42"/>
      <c r="AD496" s="42"/>
      <c r="AE496" s="42"/>
      <c r="AF496" s="42"/>
      <c r="AG496" s="42"/>
      <c r="AH496" s="42"/>
      <c r="AI496" s="75"/>
      <c r="AJ496" s="75"/>
      <c r="AK496" s="75"/>
      <c r="AL496" s="75"/>
      <c r="AM496" s="74"/>
      <c r="AN496" s="72" t="e">
        <f>VLOOKUP(H496,[4]Planilha1!A$13:P$314,16,0)</f>
        <v>#N/A</v>
      </c>
    </row>
    <row r="497" spans="1:40" s="69" customFormat="1" x14ac:dyDescent="0.25">
      <c r="A497" s="88"/>
      <c r="B497" s="88"/>
      <c r="C497" s="70"/>
      <c r="D497" s="70"/>
      <c r="E497" s="70"/>
      <c r="F497" s="70"/>
      <c r="G497" s="70"/>
      <c r="H497" s="422"/>
      <c r="I497" s="422"/>
      <c r="J497" s="418"/>
      <c r="K497" s="403"/>
      <c r="L497" s="73"/>
      <c r="M497" s="72"/>
      <c r="N497" s="72"/>
      <c r="O497" s="72"/>
      <c r="P497" s="42"/>
      <c r="Q497" s="42"/>
      <c r="R497" s="42"/>
      <c r="S497" s="42"/>
      <c r="T497" s="42"/>
      <c r="U497" s="42"/>
      <c r="V497" s="416"/>
      <c r="W497" s="42"/>
      <c r="X497" s="74"/>
      <c r="Y497" s="74"/>
      <c r="Z497" s="74"/>
      <c r="AA497" s="74"/>
      <c r="AB497" s="74"/>
      <c r="AC497" s="42"/>
      <c r="AD497" s="42"/>
      <c r="AE497" s="42"/>
      <c r="AF497" s="42"/>
      <c r="AG497" s="42"/>
      <c r="AH497" s="42"/>
      <c r="AI497" s="75"/>
      <c r="AJ497" s="75"/>
      <c r="AK497" s="75"/>
      <c r="AL497" s="75"/>
      <c r="AM497" s="74"/>
      <c r="AN497" s="72" t="e">
        <f>VLOOKUP(H497,[4]Planilha1!A$13:P$314,16,0)</f>
        <v>#N/A</v>
      </c>
    </row>
    <row r="498" spans="1:40" s="69" customFormat="1" x14ac:dyDescent="0.25">
      <c r="A498" s="88"/>
      <c r="B498" s="88"/>
      <c r="C498" s="70"/>
      <c r="D498" s="70"/>
      <c r="E498" s="70"/>
      <c r="F498" s="70"/>
      <c r="G498" s="70"/>
      <c r="H498" s="422"/>
      <c r="I498" s="422"/>
      <c r="J498" s="418"/>
      <c r="K498" s="403"/>
      <c r="L498" s="73"/>
      <c r="M498" s="72"/>
      <c r="N498" s="72"/>
      <c r="O498" s="72"/>
      <c r="P498" s="42"/>
      <c r="Q498" s="42"/>
      <c r="R498" s="42"/>
      <c r="S498" s="42"/>
      <c r="T498" s="42"/>
      <c r="U498" s="42"/>
      <c r="V498" s="416"/>
      <c r="W498" s="42"/>
      <c r="X498" s="74"/>
      <c r="Y498" s="74"/>
      <c r="Z498" s="74"/>
      <c r="AA498" s="74"/>
      <c r="AB498" s="74"/>
      <c r="AC498" s="42"/>
      <c r="AD498" s="42"/>
      <c r="AE498" s="42"/>
      <c r="AF498" s="42"/>
      <c r="AG498" s="42"/>
      <c r="AH498" s="42"/>
      <c r="AI498" s="75"/>
      <c r="AJ498" s="75"/>
      <c r="AK498" s="75"/>
      <c r="AL498" s="75"/>
      <c r="AM498" s="74"/>
      <c r="AN498" s="72" t="e">
        <f>VLOOKUP(H498,[4]Planilha1!A$13:P$314,16,0)</f>
        <v>#N/A</v>
      </c>
    </row>
    <row r="499" spans="1:40" s="69" customFormat="1" x14ac:dyDescent="0.25">
      <c r="A499" s="88"/>
      <c r="B499" s="88"/>
      <c r="C499" s="70"/>
      <c r="D499" s="70"/>
      <c r="E499" s="70"/>
      <c r="F499" s="70"/>
      <c r="G499" s="70"/>
      <c r="H499" s="422"/>
      <c r="I499" s="422"/>
      <c r="J499" s="418"/>
      <c r="K499" s="403"/>
      <c r="L499" s="73"/>
      <c r="M499" s="72"/>
      <c r="N499" s="72"/>
      <c r="O499" s="72"/>
      <c r="P499" s="42"/>
      <c r="Q499" s="42"/>
      <c r="R499" s="42"/>
      <c r="S499" s="42"/>
      <c r="T499" s="42"/>
      <c r="U499" s="42"/>
      <c r="V499" s="416"/>
      <c r="W499" s="42"/>
      <c r="X499" s="74"/>
      <c r="Y499" s="74"/>
      <c r="Z499" s="74"/>
      <c r="AA499" s="74"/>
      <c r="AB499" s="74"/>
      <c r="AC499" s="42"/>
      <c r="AD499" s="42"/>
      <c r="AE499" s="42"/>
      <c r="AF499" s="42"/>
      <c r="AG499" s="42"/>
      <c r="AH499" s="42"/>
      <c r="AI499" s="75"/>
      <c r="AJ499" s="75"/>
      <c r="AK499" s="75"/>
      <c r="AL499" s="75"/>
      <c r="AM499" s="74"/>
      <c r="AN499" s="72" t="e">
        <f>VLOOKUP(H499,[4]Planilha1!A$13:P$314,16,0)</f>
        <v>#N/A</v>
      </c>
    </row>
    <row r="500" spans="1:40" s="69" customFormat="1" x14ac:dyDescent="0.25">
      <c r="A500" s="88"/>
      <c r="B500" s="88"/>
      <c r="C500" s="70"/>
      <c r="D500" s="70"/>
      <c r="E500" s="70"/>
      <c r="F500" s="70"/>
      <c r="G500" s="70"/>
      <c r="H500" s="422"/>
      <c r="I500" s="422"/>
      <c r="J500" s="418"/>
      <c r="K500" s="403"/>
      <c r="L500" s="73"/>
      <c r="M500" s="72"/>
      <c r="N500" s="72"/>
      <c r="O500" s="72"/>
      <c r="P500" s="42"/>
      <c r="Q500" s="42"/>
      <c r="R500" s="42"/>
      <c r="S500" s="42"/>
      <c r="T500" s="42"/>
      <c r="U500" s="42"/>
      <c r="V500" s="416"/>
      <c r="W500" s="42"/>
      <c r="X500" s="74"/>
      <c r="Y500" s="74"/>
      <c r="Z500" s="74"/>
      <c r="AA500" s="74"/>
      <c r="AB500" s="74"/>
      <c r="AC500" s="42"/>
      <c r="AD500" s="42"/>
      <c r="AE500" s="42"/>
      <c r="AF500" s="42"/>
      <c r="AG500" s="42"/>
      <c r="AH500" s="42"/>
      <c r="AI500" s="75"/>
      <c r="AJ500" s="75"/>
      <c r="AK500" s="75"/>
      <c r="AL500" s="75"/>
      <c r="AM500" s="74"/>
      <c r="AN500" s="72" t="e">
        <f>VLOOKUP(H500,[4]Planilha1!A$13:P$314,16,0)</f>
        <v>#N/A</v>
      </c>
    </row>
    <row r="501" spans="1:40" s="69" customFormat="1" x14ac:dyDescent="0.25">
      <c r="A501" s="88"/>
      <c r="B501" s="88"/>
      <c r="C501" s="70"/>
      <c r="D501" s="70"/>
      <c r="E501" s="70"/>
      <c r="F501" s="70"/>
      <c r="G501" s="70"/>
      <c r="H501" s="422"/>
      <c r="I501" s="422"/>
      <c r="J501" s="418"/>
      <c r="K501" s="403"/>
      <c r="L501" s="73"/>
      <c r="M501" s="72"/>
      <c r="N501" s="72"/>
      <c r="O501" s="72"/>
      <c r="P501" s="42"/>
      <c r="Q501" s="42"/>
      <c r="R501" s="42"/>
      <c r="S501" s="42"/>
      <c r="T501" s="42"/>
      <c r="U501" s="42"/>
      <c r="V501" s="416"/>
      <c r="W501" s="42"/>
      <c r="X501" s="74"/>
      <c r="Y501" s="74"/>
      <c r="Z501" s="74"/>
      <c r="AA501" s="74"/>
      <c r="AB501" s="74"/>
      <c r="AC501" s="42"/>
      <c r="AD501" s="42"/>
      <c r="AE501" s="42"/>
      <c r="AF501" s="42"/>
      <c r="AG501" s="42"/>
      <c r="AH501" s="42"/>
      <c r="AI501" s="75"/>
      <c r="AJ501" s="75"/>
      <c r="AK501" s="75"/>
      <c r="AL501" s="75"/>
      <c r="AM501" s="74"/>
      <c r="AN501" s="72" t="e">
        <f>VLOOKUP(H501,[4]Planilha1!A$13:P$314,16,0)</f>
        <v>#N/A</v>
      </c>
    </row>
    <row r="502" spans="1:40" s="69" customFormat="1" x14ac:dyDescent="0.25">
      <c r="A502" s="88"/>
      <c r="B502" s="88"/>
      <c r="C502" s="70"/>
      <c r="D502" s="70"/>
      <c r="E502" s="70"/>
      <c r="F502" s="70"/>
      <c r="G502" s="70"/>
      <c r="H502" s="422"/>
      <c r="I502" s="422"/>
      <c r="J502" s="418"/>
      <c r="K502" s="403"/>
      <c r="L502" s="73"/>
      <c r="M502" s="72"/>
      <c r="N502" s="72"/>
      <c r="O502" s="72"/>
      <c r="P502" s="42"/>
      <c r="Q502" s="42"/>
      <c r="R502" s="42"/>
      <c r="S502" s="42"/>
      <c r="T502" s="42"/>
      <c r="U502" s="42"/>
      <c r="V502" s="416"/>
      <c r="W502" s="42"/>
      <c r="X502" s="74"/>
      <c r="Y502" s="74"/>
      <c r="Z502" s="74"/>
      <c r="AA502" s="74"/>
      <c r="AB502" s="74"/>
      <c r="AC502" s="42"/>
      <c r="AD502" s="42"/>
      <c r="AE502" s="42"/>
      <c r="AF502" s="42"/>
      <c r="AG502" s="42"/>
      <c r="AH502" s="42"/>
      <c r="AI502" s="75"/>
      <c r="AJ502" s="75"/>
      <c r="AK502" s="75"/>
      <c r="AL502" s="75"/>
      <c r="AM502" s="74"/>
      <c r="AN502" s="72" t="e">
        <f>VLOOKUP(H502,[4]Planilha1!A$13:P$314,16,0)</f>
        <v>#N/A</v>
      </c>
    </row>
    <row r="503" spans="1:40" s="69" customFormat="1" x14ac:dyDescent="0.25">
      <c r="A503" s="88"/>
      <c r="B503" s="88"/>
      <c r="C503" s="70"/>
      <c r="D503" s="70"/>
      <c r="E503" s="70"/>
      <c r="F503" s="70"/>
      <c r="G503" s="70"/>
      <c r="H503" s="422"/>
      <c r="I503" s="422"/>
      <c r="J503" s="418"/>
      <c r="K503" s="403"/>
      <c r="L503" s="73"/>
      <c r="M503" s="72"/>
      <c r="N503" s="72"/>
      <c r="O503" s="72"/>
      <c r="P503" s="42"/>
      <c r="Q503" s="42"/>
      <c r="R503" s="42"/>
      <c r="S503" s="42"/>
      <c r="T503" s="42"/>
      <c r="U503" s="42"/>
      <c r="V503" s="416"/>
      <c r="W503" s="42"/>
      <c r="X503" s="74"/>
      <c r="Y503" s="74"/>
      <c r="Z503" s="74"/>
      <c r="AA503" s="74"/>
      <c r="AB503" s="74"/>
      <c r="AC503" s="42"/>
      <c r="AD503" s="42"/>
      <c r="AE503" s="42"/>
      <c r="AF503" s="42"/>
      <c r="AG503" s="42"/>
      <c r="AH503" s="42"/>
      <c r="AI503" s="75"/>
      <c r="AJ503" s="75"/>
      <c r="AK503" s="75"/>
      <c r="AL503" s="75"/>
      <c r="AM503" s="74"/>
      <c r="AN503" s="72" t="e">
        <f>VLOOKUP(H503,[4]Planilha1!A$13:P$314,16,0)</f>
        <v>#N/A</v>
      </c>
    </row>
    <row r="504" spans="1:40" s="69" customFormat="1" x14ac:dyDescent="0.25">
      <c r="A504" s="88"/>
      <c r="B504" s="88"/>
      <c r="C504" s="70"/>
      <c r="D504" s="70"/>
      <c r="E504" s="70"/>
      <c r="F504" s="70"/>
      <c r="G504" s="70"/>
      <c r="H504" s="422"/>
      <c r="I504" s="422"/>
      <c r="J504" s="418"/>
      <c r="K504" s="403"/>
      <c r="L504" s="73"/>
      <c r="M504" s="72"/>
      <c r="N504" s="72"/>
      <c r="O504" s="72"/>
      <c r="P504" s="42"/>
      <c r="Q504" s="42"/>
      <c r="R504" s="42"/>
      <c r="S504" s="42"/>
      <c r="T504" s="42"/>
      <c r="U504" s="42"/>
      <c r="V504" s="416"/>
      <c r="W504" s="42"/>
      <c r="X504" s="74"/>
      <c r="Y504" s="74"/>
      <c r="Z504" s="74"/>
      <c r="AA504" s="74"/>
      <c r="AB504" s="74"/>
      <c r="AC504" s="42"/>
      <c r="AD504" s="42"/>
      <c r="AE504" s="42"/>
      <c r="AF504" s="42"/>
      <c r="AG504" s="42"/>
      <c r="AH504" s="42"/>
      <c r="AI504" s="75"/>
      <c r="AJ504" s="75"/>
      <c r="AK504" s="75"/>
      <c r="AL504" s="75"/>
      <c r="AM504" s="74"/>
      <c r="AN504" s="72" t="e">
        <f>VLOOKUP(H504,[4]Planilha1!A$13:P$314,16,0)</f>
        <v>#N/A</v>
      </c>
    </row>
    <row r="505" spans="1:40" s="69" customFormat="1" x14ac:dyDescent="0.25">
      <c r="A505" s="88"/>
      <c r="B505" s="88"/>
      <c r="C505" s="70"/>
      <c r="D505" s="70"/>
      <c r="E505" s="70"/>
      <c r="F505" s="70"/>
      <c r="G505" s="70"/>
      <c r="H505" s="422"/>
      <c r="I505" s="422"/>
      <c r="J505" s="418"/>
      <c r="K505" s="403"/>
      <c r="L505" s="73"/>
      <c r="M505" s="72"/>
      <c r="N505" s="72"/>
      <c r="O505" s="72"/>
      <c r="P505" s="42"/>
      <c r="Q505" s="42"/>
      <c r="R505" s="42"/>
      <c r="S505" s="42"/>
      <c r="T505" s="42"/>
      <c r="U505" s="42"/>
      <c r="V505" s="416"/>
      <c r="W505" s="42"/>
      <c r="X505" s="74"/>
      <c r="Y505" s="74"/>
      <c r="Z505" s="74"/>
      <c r="AA505" s="74"/>
      <c r="AB505" s="74"/>
      <c r="AC505" s="42"/>
      <c r="AD505" s="42"/>
      <c r="AE505" s="42"/>
      <c r="AF505" s="42"/>
      <c r="AG505" s="42"/>
      <c r="AH505" s="42"/>
      <c r="AI505" s="75"/>
      <c r="AJ505" s="75"/>
      <c r="AK505" s="75"/>
      <c r="AL505" s="75"/>
      <c r="AM505" s="74"/>
      <c r="AN505" s="72" t="e">
        <f>VLOOKUP(H505,[4]Planilha1!A$13:P$314,16,0)</f>
        <v>#N/A</v>
      </c>
    </row>
    <row r="506" spans="1:40" s="69" customFormat="1" x14ac:dyDescent="0.25">
      <c r="A506" s="88"/>
      <c r="B506" s="88"/>
      <c r="C506" s="70"/>
      <c r="D506" s="70"/>
      <c r="E506" s="70"/>
      <c r="F506" s="70"/>
      <c r="G506" s="70"/>
      <c r="H506" s="422"/>
      <c r="I506" s="422"/>
      <c r="J506" s="418"/>
      <c r="K506" s="403"/>
      <c r="L506" s="73"/>
      <c r="M506" s="72"/>
      <c r="N506" s="72"/>
      <c r="O506" s="72"/>
      <c r="P506" s="42"/>
      <c r="Q506" s="42"/>
      <c r="R506" s="42"/>
      <c r="S506" s="42"/>
      <c r="T506" s="42"/>
      <c r="U506" s="42"/>
      <c r="V506" s="416"/>
      <c r="W506" s="42"/>
      <c r="X506" s="74"/>
      <c r="Y506" s="74"/>
      <c r="Z506" s="74"/>
      <c r="AA506" s="74"/>
      <c r="AB506" s="74"/>
      <c r="AC506" s="42"/>
      <c r="AD506" s="42"/>
      <c r="AE506" s="42"/>
      <c r="AF506" s="42"/>
      <c r="AG506" s="42"/>
      <c r="AH506" s="42"/>
      <c r="AI506" s="75"/>
      <c r="AJ506" s="75"/>
      <c r="AK506" s="75"/>
      <c r="AL506" s="75"/>
      <c r="AM506" s="74"/>
      <c r="AN506" s="72" t="e">
        <f>VLOOKUP(H506,[4]Planilha1!A$13:P$314,16,0)</f>
        <v>#N/A</v>
      </c>
    </row>
    <row r="507" spans="1:40" s="69" customFormat="1" x14ac:dyDescent="0.25">
      <c r="A507" s="88"/>
      <c r="B507" s="88"/>
      <c r="C507" s="70"/>
      <c r="D507" s="70"/>
      <c r="E507" s="70"/>
      <c r="F507" s="70"/>
      <c r="G507" s="70"/>
      <c r="H507" s="422"/>
      <c r="I507" s="422"/>
      <c r="J507" s="418"/>
      <c r="K507" s="403"/>
      <c r="L507" s="73"/>
      <c r="M507" s="72"/>
      <c r="N507" s="72"/>
      <c r="O507" s="72"/>
      <c r="P507" s="42"/>
      <c r="Q507" s="42"/>
      <c r="R507" s="42"/>
      <c r="S507" s="42"/>
      <c r="T507" s="42"/>
      <c r="U507" s="42"/>
      <c r="V507" s="416"/>
      <c r="W507" s="42"/>
      <c r="X507" s="74"/>
      <c r="Y507" s="74"/>
      <c r="Z507" s="74"/>
      <c r="AA507" s="74"/>
      <c r="AB507" s="74"/>
      <c r="AC507" s="42"/>
      <c r="AD507" s="42"/>
      <c r="AE507" s="42"/>
      <c r="AF507" s="42"/>
      <c r="AG507" s="42"/>
      <c r="AH507" s="42"/>
      <c r="AI507" s="75"/>
      <c r="AJ507" s="75"/>
      <c r="AK507" s="75"/>
      <c r="AL507" s="75"/>
      <c r="AM507" s="74"/>
      <c r="AN507" s="72" t="e">
        <f>VLOOKUP(H507,[4]Planilha1!A$13:P$314,16,0)</f>
        <v>#N/A</v>
      </c>
    </row>
    <row r="508" spans="1:40" s="69" customFormat="1" x14ac:dyDescent="0.25">
      <c r="A508" s="88"/>
      <c r="B508" s="88"/>
      <c r="C508" s="70"/>
      <c r="D508" s="70"/>
      <c r="E508" s="70"/>
      <c r="F508" s="70"/>
      <c r="G508" s="70"/>
      <c r="H508" s="422"/>
      <c r="I508" s="422"/>
      <c r="J508" s="418"/>
      <c r="K508" s="403"/>
      <c r="L508" s="73"/>
      <c r="M508" s="72"/>
      <c r="N508" s="72"/>
      <c r="O508" s="72"/>
      <c r="P508" s="42"/>
      <c r="Q508" s="42"/>
      <c r="R508" s="42"/>
      <c r="S508" s="42"/>
      <c r="T508" s="42"/>
      <c r="U508" s="42"/>
      <c r="V508" s="416"/>
      <c r="W508" s="42"/>
      <c r="X508" s="74"/>
      <c r="Y508" s="74"/>
      <c r="Z508" s="74"/>
      <c r="AA508" s="74"/>
      <c r="AB508" s="74"/>
      <c r="AC508" s="42"/>
      <c r="AD508" s="42"/>
      <c r="AE508" s="42"/>
      <c r="AF508" s="42"/>
      <c r="AG508" s="42"/>
      <c r="AH508" s="42"/>
      <c r="AI508" s="75"/>
      <c r="AJ508" s="75"/>
      <c r="AK508" s="75"/>
      <c r="AL508" s="75"/>
      <c r="AM508" s="74"/>
      <c r="AN508" s="72" t="e">
        <f>VLOOKUP(H508,[4]Planilha1!A$13:P$314,16,0)</f>
        <v>#N/A</v>
      </c>
    </row>
    <row r="509" spans="1:40" s="69" customFormat="1" x14ac:dyDescent="0.25">
      <c r="A509" s="88"/>
      <c r="B509" s="88"/>
      <c r="C509" s="70"/>
      <c r="D509" s="70"/>
      <c r="E509" s="70"/>
      <c r="F509" s="70"/>
      <c r="G509" s="70"/>
      <c r="H509" s="422"/>
      <c r="I509" s="422"/>
      <c r="J509" s="418"/>
      <c r="K509" s="403"/>
      <c r="L509" s="73"/>
      <c r="M509" s="72"/>
      <c r="N509" s="72"/>
      <c r="O509" s="72"/>
      <c r="P509" s="42"/>
      <c r="Q509" s="42"/>
      <c r="R509" s="42"/>
      <c r="S509" s="42"/>
      <c r="T509" s="42"/>
      <c r="U509" s="42"/>
      <c r="V509" s="416"/>
      <c r="W509" s="42"/>
      <c r="X509" s="74"/>
      <c r="Y509" s="74"/>
      <c r="Z509" s="74"/>
      <c r="AA509" s="74"/>
      <c r="AB509" s="74"/>
      <c r="AC509" s="42"/>
      <c r="AD509" s="42"/>
      <c r="AE509" s="42"/>
      <c r="AF509" s="42"/>
      <c r="AG509" s="42"/>
      <c r="AH509" s="42"/>
      <c r="AI509" s="75"/>
      <c r="AJ509" s="75"/>
      <c r="AK509" s="75"/>
      <c r="AL509" s="75"/>
      <c r="AM509" s="74"/>
      <c r="AN509" s="72" t="e">
        <f>VLOOKUP(H509,[4]Planilha1!A$13:P$314,16,0)</f>
        <v>#N/A</v>
      </c>
    </row>
    <row r="510" spans="1:40" s="69" customFormat="1" x14ac:dyDescent="0.25">
      <c r="A510" s="88"/>
      <c r="B510" s="88"/>
      <c r="C510" s="70"/>
      <c r="D510" s="70"/>
      <c r="E510" s="70"/>
      <c r="F510" s="70"/>
      <c r="G510" s="70"/>
      <c r="H510" s="422"/>
      <c r="I510" s="422"/>
      <c r="J510" s="418"/>
      <c r="K510" s="403"/>
      <c r="L510" s="73"/>
      <c r="M510" s="72"/>
      <c r="N510" s="72"/>
      <c r="O510" s="72"/>
      <c r="P510" s="42"/>
      <c r="Q510" s="42"/>
      <c r="R510" s="42"/>
      <c r="S510" s="42"/>
      <c r="T510" s="42"/>
      <c r="U510" s="42"/>
      <c r="V510" s="416"/>
      <c r="W510" s="42"/>
      <c r="X510" s="74"/>
      <c r="Y510" s="74"/>
      <c r="Z510" s="74"/>
      <c r="AA510" s="74"/>
      <c r="AB510" s="74"/>
      <c r="AC510" s="42"/>
      <c r="AD510" s="42"/>
      <c r="AE510" s="42"/>
      <c r="AF510" s="42"/>
      <c r="AG510" s="42"/>
      <c r="AH510" s="42"/>
      <c r="AI510" s="75"/>
      <c r="AJ510" s="75"/>
      <c r="AK510" s="75"/>
      <c r="AL510" s="75"/>
      <c r="AM510" s="74"/>
      <c r="AN510" s="72" t="e">
        <f>VLOOKUP(H510,[4]Planilha1!A$13:P$314,16,0)</f>
        <v>#N/A</v>
      </c>
    </row>
    <row r="511" spans="1:40" s="69" customFormat="1" x14ac:dyDescent="0.25">
      <c r="A511" s="88"/>
      <c r="B511" s="88"/>
      <c r="C511" s="70"/>
      <c r="D511" s="70"/>
      <c r="E511" s="70"/>
      <c r="F511" s="70"/>
      <c r="G511" s="70"/>
      <c r="H511" s="422"/>
      <c r="I511" s="422"/>
      <c r="J511" s="418"/>
      <c r="K511" s="403"/>
      <c r="L511" s="73"/>
      <c r="M511" s="72"/>
      <c r="N511" s="72"/>
      <c r="O511" s="72"/>
      <c r="P511" s="42"/>
      <c r="Q511" s="42"/>
      <c r="R511" s="42"/>
      <c r="S511" s="42"/>
      <c r="T511" s="42"/>
      <c r="U511" s="42"/>
      <c r="V511" s="416"/>
      <c r="W511" s="42"/>
      <c r="X511" s="74"/>
      <c r="Y511" s="74"/>
      <c r="Z511" s="74"/>
      <c r="AA511" s="74"/>
      <c r="AB511" s="74"/>
      <c r="AC511" s="42"/>
      <c r="AD511" s="42"/>
      <c r="AE511" s="42"/>
      <c r="AF511" s="42"/>
      <c r="AG511" s="42"/>
      <c r="AH511" s="42"/>
      <c r="AI511" s="75"/>
      <c r="AJ511" s="75"/>
      <c r="AK511" s="75"/>
      <c r="AL511" s="75"/>
      <c r="AM511" s="74"/>
      <c r="AN511" s="72" t="e">
        <f>VLOOKUP(H511,[4]Planilha1!A$13:P$314,16,0)</f>
        <v>#N/A</v>
      </c>
    </row>
    <row r="512" spans="1:40" s="69" customFormat="1" x14ac:dyDescent="0.25">
      <c r="A512" s="88"/>
      <c r="B512" s="88"/>
      <c r="C512" s="70"/>
      <c r="D512" s="70"/>
      <c r="E512" s="70"/>
      <c r="F512" s="70"/>
      <c r="G512" s="70"/>
      <c r="H512" s="422"/>
      <c r="I512" s="422"/>
      <c r="J512" s="418"/>
      <c r="K512" s="403"/>
      <c r="L512" s="73"/>
      <c r="M512" s="72"/>
      <c r="N512" s="72"/>
      <c r="O512" s="72"/>
      <c r="P512" s="42"/>
      <c r="Q512" s="42"/>
      <c r="R512" s="42"/>
      <c r="S512" s="42"/>
      <c r="T512" s="42"/>
      <c r="U512" s="42"/>
      <c r="V512" s="416"/>
      <c r="W512" s="42"/>
      <c r="X512" s="74"/>
      <c r="Y512" s="74"/>
      <c r="Z512" s="74"/>
      <c r="AA512" s="74"/>
      <c r="AB512" s="74"/>
      <c r="AC512" s="42"/>
      <c r="AD512" s="42"/>
      <c r="AE512" s="42"/>
      <c r="AF512" s="42"/>
      <c r="AG512" s="42"/>
      <c r="AH512" s="42"/>
      <c r="AI512" s="75"/>
      <c r="AJ512" s="75"/>
      <c r="AK512" s="75"/>
      <c r="AL512" s="75"/>
      <c r="AM512" s="74"/>
      <c r="AN512" s="72" t="e">
        <f>VLOOKUP(H512,[4]Planilha1!A$13:P$314,16,0)</f>
        <v>#N/A</v>
      </c>
    </row>
    <row r="513" spans="1:40" s="69" customFormat="1" x14ac:dyDescent="0.25">
      <c r="A513" s="88"/>
      <c r="B513" s="88"/>
      <c r="C513" s="70"/>
      <c r="D513" s="70"/>
      <c r="E513" s="70"/>
      <c r="F513" s="70"/>
      <c r="G513" s="70"/>
      <c r="H513" s="422"/>
      <c r="I513" s="422"/>
      <c r="J513" s="418"/>
      <c r="K513" s="403"/>
      <c r="L513" s="73"/>
      <c r="M513" s="72"/>
      <c r="N513" s="72"/>
      <c r="O513" s="72"/>
      <c r="P513" s="42"/>
      <c r="Q513" s="42"/>
      <c r="R513" s="42"/>
      <c r="S513" s="42"/>
      <c r="T513" s="42"/>
      <c r="U513" s="42"/>
      <c r="V513" s="416"/>
      <c r="W513" s="42"/>
      <c r="X513" s="74"/>
      <c r="Y513" s="74"/>
      <c r="Z513" s="74"/>
      <c r="AA513" s="74"/>
      <c r="AB513" s="74"/>
      <c r="AC513" s="42"/>
      <c r="AD513" s="42"/>
      <c r="AE513" s="42"/>
      <c r="AF513" s="42"/>
      <c r="AG513" s="42"/>
      <c r="AH513" s="42"/>
      <c r="AI513" s="75"/>
      <c r="AJ513" s="75"/>
      <c r="AK513" s="75"/>
      <c r="AL513" s="75"/>
      <c r="AM513" s="74"/>
      <c r="AN513" s="72" t="e">
        <f>VLOOKUP(H513,[4]Planilha1!A$13:P$314,16,0)</f>
        <v>#N/A</v>
      </c>
    </row>
    <row r="514" spans="1:40" s="69" customFormat="1" x14ac:dyDescent="0.25">
      <c r="A514" s="88"/>
      <c r="B514" s="88"/>
      <c r="C514" s="70"/>
      <c r="D514" s="70"/>
      <c r="E514" s="70"/>
      <c r="F514" s="70"/>
      <c r="G514" s="70"/>
      <c r="H514" s="422"/>
      <c r="I514" s="422"/>
      <c r="J514" s="418"/>
      <c r="K514" s="403"/>
      <c r="L514" s="73"/>
      <c r="M514" s="72"/>
      <c r="N514" s="72"/>
      <c r="O514" s="72"/>
      <c r="P514" s="42"/>
      <c r="Q514" s="42"/>
      <c r="R514" s="42"/>
      <c r="S514" s="42"/>
      <c r="T514" s="42"/>
      <c r="U514" s="42"/>
      <c r="V514" s="416"/>
      <c r="W514" s="42"/>
      <c r="X514" s="74"/>
      <c r="Y514" s="74"/>
      <c r="Z514" s="74"/>
      <c r="AA514" s="74"/>
      <c r="AB514" s="74"/>
      <c r="AC514" s="42"/>
      <c r="AD514" s="42"/>
      <c r="AE514" s="42"/>
      <c r="AF514" s="42"/>
      <c r="AG514" s="42"/>
      <c r="AH514" s="42"/>
      <c r="AI514" s="75"/>
      <c r="AJ514" s="75"/>
      <c r="AK514" s="75"/>
      <c r="AL514" s="75"/>
      <c r="AM514" s="74"/>
      <c r="AN514" s="72" t="e">
        <f>VLOOKUP(H514,[4]Planilha1!A$13:P$314,16,0)</f>
        <v>#N/A</v>
      </c>
    </row>
    <row r="515" spans="1:40" s="69" customFormat="1" x14ac:dyDescent="0.25">
      <c r="A515" s="88"/>
      <c r="B515" s="88"/>
      <c r="C515" s="70"/>
      <c r="D515" s="70"/>
      <c r="E515" s="70"/>
      <c r="F515" s="70"/>
      <c r="G515" s="70"/>
      <c r="H515" s="422"/>
      <c r="I515" s="422"/>
      <c r="J515" s="418"/>
      <c r="K515" s="403"/>
      <c r="L515" s="73"/>
      <c r="M515" s="72"/>
      <c r="N515" s="72"/>
      <c r="O515" s="72"/>
      <c r="P515" s="42"/>
      <c r="Q515" s="42"/>
      <c r="R515" s="42"/>
      <c r="S515" s="42"/>
      <c r="T515" s="42"/>
      <c r="U515" s="42"/>
      <c r="V515" s="416"/>
      <c r="W515" s="42"/>
      <c r="X515" s="74"/>
      <c r="Y515" s="74"/>
      <c r="Z515" s="74"/>
      <c r="AA515" s="74"/>
      <c r="AB515" s="74"/>
      <c r="AC515" s="42"/>
      <c r="AD515" s="42"/>
      <c r="AE515" s="42"/>
      <c r="AF515" s="42"/>
      <c r="AG515" s="42"/>
      <c r="AH515" s="42"/>
      <c r="AI515" s="75"/>
      <c r="AJ515" s="75"/>
      <c r="AK515" s="75"/>
      <c r="AL515" s="75"/>
      <c r="AM515" s="74"/>
      <c r="AN515" s="72" t="e">
        <f>VLOOKUP(H515,[4]Planilha1!A$13:P$314,16,0)</f>
        <v>#N/A</v>
      </c>
    </row>
    <row r="516" spans="1:40" s="69" customFormat="1" x14ac:dyDescent="0.25">
      <c r="A516" s="88"/>
      <c r="B516" s="88"/>
      <c r="C516" s="70"/>
      <c r="D516" s="70"/>
      <c r="E516" s="70"/>
      <c r="F516" s="70"/>
      <c r="G516" s="70"/>
      <c r="H516" s="422"/>
      <c r="I516" s="422"/>
      <c r="J516" s="418"/>
      <c r="K516" s="403"/>
      <c r="L516" s="73"/>
      <c r="M516" s="72"/>
      <c r="N516" s="72"/>
      <c r="O516" s="72"/>
      <c r="P516" s="42"/>
      <c r="Q516" s="42"/>
      <c r="R516" s="42"/>
      <c r="S516" s="42"/>
      <c r="T516" s="42"/>
      <c r="U516" s="42"/>
      <c r="V516" s="416"/>
      <c r="W516" s="42"/>
      <c r="X516" s="74"/>
      <c r="Y516" s="74"/>
      <c r="Z516" s="74"/>
      <c r="AA516" s="74"/>
      <c r="AB516" s="74"/>
      <c r="AC516" s="42"/>
      <c r="AD516" s="42"/>
      <c r="AE516" s="42"/>
      <c r="AF516" s="42"/>
      <c r="AG516" s="42"/>
      <c r="AH516" s="42"/>
      <c r="AI516" s="75"/>
      <c r="AJ516" s="75"/>
      <c r="AK516" s="75"/>
      <c r="AL516" s="75"/>
      <c r="AM516" s="74"/>
      <c r="AN516" s="72" t="e">
        <f>VLOOKUP(H516,[4]Planilha1!A$13:P$314,16,0)</f>
        <v>#N/A</v>
      </c>
    </row>
    <row r="517" spans="1:40" s="69" customFormat="1" x14ac:dyDescent="0.25">
      <c r="A517" s="88"/>
      <c r="B517" s="88"/>
      <c r="C517" s="70"/>
      <c r="D517" s="70"/>
      <c r="E517" s="70"/>
      <c r="F517" s="70"/>
      <c r="G517" s="70"/>
      <c r="H517" s="422"/>
      <c r="I517" s="422"/>
      <c r="J517" s="418"/>
      <c r="K517" s="403"/>
      <c r="L517" s="73"/>
      <c r="M517" s="72"/>
      <c r="N517" s="72"/>
      <c r="O517" s="72"/>
      <c r="P517" s="42"/>
      <c r="Q517" s="42"/>
      <c r="R517" s="42"/>
      <c r="S517" s="42"/>
      <c r="T517" s="42"/>
      <c r="U517" s="42"/>
      <c r="V517" s="416"/>
      <c r="W517" s="42"/>
      <c r="X517" s="74"/>
      <c r="Y517" s="74"/>
      <c r="Z517" s="74"/>
      <c r="AA517" s="74"/>
      <c r="AB517" s="74"/>
      <c r="AC517" s="42"/>
      <c r="AD517" s="42"/>
      <c r="AE517" s="42"/>
      <c r="AF517" s="42"/>
      <c r="AG517" s="42"/>
      <c r="AH517" s="42"/>
      <c r="AI517" s="75"/>
      <c r="AJ517" s="75"/>
      <c r="AK517" s="75"/>
      <c r="AL517" s="75"/>
      <c r="AM517" s="74"/>
      <c r="AN517" s="72" t="e">
        <f>VLOOKUP(H517,[4]Planilha1!A$13:P$314,16,0)</f>
        <v>#N/A</v>
      </c>
    </row>
    <row r="518" spans="1:40" s="69" customFormat="1" x14ac:dyDescent="0.25">
      <c r="A518" s="88"/>
      <c r="B518" s="88"/>
      <c r="C518" s="70"/>
      <c r="D518" s="70"/>
      <c r="E518" s="70"/>
      <c r="F518" s="70"/>
      <c r="G518" s="70"/>
      <c r="H518" s="422"/>
      <c r="I518" s="422"/>
      <c r="J518" s="418"/>
      <c r="K518" s="403"/>
      <c r="L518" s="73"/>
      <c r="M518" s="72"/>
      <c r="N518" s="72"/>
      <c r="O518" s="72"/>
      <c r="P518" s="42"/>
      <c r="Q518" s="42"/>
      <c r="R518" s="42"/>
      <c r="S518" s="42"/>
      <c r="T518" s="42"/>
      <c r="U518" s="42"/>
      <c r="V518" s="416"/>
      <c r="W518" s="42"/>
      <c r="X518" s="74"/>
      <c r="Y518" s="74"/>
      <c r="Z518" s="74"/>
      <c r="AA518" s="74"/>
      <c r="AB518" s="74"/>
      <c r="AC518" s="42"/>
      <c r="AD518" s="42"/>
      <c r="AE518" s="42"/>
      <c r="AF518" s="42"/>
      <c r="AG518" s="42"/>
      <c r="AH518" s="42"/>
      <c r="AI518" s="75"/>
      <c r="AJ518" s="75"/>
      <c r="AK518" s="75"/>
      <c r="AL518" s="75"/>
      <c r="AM518" s="74"/>
      <c r="AN518" s="72" t="e">
        <f>VLOOKUP(H518,[4]Planilha1!A$13:P$314,16,0)</f>
        <v>#N/A</v>
      </c>
    </row>
    <row r="519" spans="1:40" s="69" customFormat="1" x14ac:dyDescent="0.25">
      <c r="A519" s="88"/>
      <c r="B519" s="88"/>
      <c r="C519" s="70"/>
      <c r="D519" s="70"/>
      <c r="E519" s="70"/>
      <c r="F519" s="70"/>
      <c r="G519" s="70"/>
      <c r="H519" s="422"/>
      <c r="I519" s="422"/>
      <c r="J519" s="418"/>
      <c r="K519" s="403"/>
      <c r="L519" s="73"/>
      <c r="M519" s="72"/>
      <c r="N519" s="72"/>
      <c r="O519" s="72"/>
      <c r="P519" s="42"/>
      <c r="Q519" s="42"/>
      <c r="R519" s="42"/>
      <c r="S519" s="42"/>
      <c r="T519" s="42"/>
      <c r="U519" s="42"/>
      <c r="V519" s="416"/>
      <c r="W519" s="42"/>
      <c r="X519" s="74"/>
      <c r="Y519" s="74"/>
      <c r="Z519" s="74"/>
      <c r="AA519" s="74"/>
      <c r="AB519" s="74"/>
      <c r="AC519" s="42"/>
      <c r="AD519" s="42"/>
      <c r="AE519" s="42"/>
      <c r="AF519" s="42"/>
      <c r="AG519" s="42"/>
      <c r="AH519" s="42"/>
      <c r="AI519" s="75"/>
      <c r="AJ519" s="75"/>
      <c r="AK519" s="75"/>
      <c r="AL519" s="75"/>
      <c r="AM519" s="74"/>
      <c r="AN519" s="72" t="e">
        <f>VLOOKUP(H519,[4]Planilha1!A$13:P$314,16,0)</f>
        <v>#N/A</v>
      </c>
    </row>
    <row r="520" spans="1:40" s="69" customFormat="1" x14ac:dyDescent="0.25">
      <c r="A520" s="88"/>
      <c r="B520" s="88"/>
      <c r="C520" s="70"/>
      <c r="D520" s="70"/>
      <c r="E520" s="70"/>
      <c r="F520" s="70"/>
      <c r="G520" s="70"/>
      <c r="H520" s="422"/>
      <c r="I520" s="422"/>
      <c r="J520" s="418"/>
      <c r="K520" s="403"/>
      <c r="L520" s="73"/>
      <c r="M520" s="72"/>
      <c r="N520" s="72"/>
      <c r="O520" s="72"/>
      <c r="P520" s="42"/>
      <c r="Q520" s="42"/>
      <c r="R520" s="42"/>
      <c r="S520" s="42"/>
      <c r="T520" s="42"/>
      <c r="U520" s="42"/>
      <c r="V520" s="416"/>
      <c r="W520" s="42"/>
      <c r="X520" s="74"/>
      <c r="Y520" s="74"/>
      <c r="Z520" s="74"/>
      <c r="AA520" s="74"/>
      <c r="AB520" s="74"/>
      <c r="AC520" s="42"/>
      <c r="AD520" s="42"/>
      <c r="AE520" s="42"/>
      <c r="AF520" s="42"/>
      <c r="AG520" s="42"/>
      <c r="AH520" s="42"/>
      <c r="AI520" s="75"/>
      <c r="AJ520" s="75"/>
      <c r="AK520" s="75"/>
      <c r="AL520" s="75"/>
      <c r="AM520" s="74"/>
      <c r="AN520" s="72" t="e">
        <f>VLOOKUP(H520,[4]Planilha1!A$13:P$314,16,0)</f>
        <v>#N/A</v>
      </c>
    </row>
    <row r="521" spans="1:40" s="69" customFormat="1" x14ac:dyDescent="0.25">
      <c r="A521" s="88"/>
      <c r="B521" s="88"/>
      <c r="C521" s="70"/>
      <c r="D521" s="70"/>
      <c r="E521" s="70"/>
      <c r="F521" s="70"/>
      <c r="G521" s="70"/>
      <c r="H521" s="422"/>
      <c r="I521" s="422"/>
      <c r="J521" s="418"/>
      <c r="K521" s="403"/>
      <c r="L521" s="73"/>
      <c r="M521" s="72"/>
      <c r="N521" s="72"/>
      <c r="O521" s="72"/>
      <c r="P521" s="42"/>
      <c r="Q521" s="42"/>
      <c r="R521" s="42"/>
      <c r="S521" s="42"/>
      <c r="T521" s="42"/>
      <c r="U521" s="42"/>
      <c r="V521" s="416"/>
      <c r="W521" s="42"/>
      <c r="X521" s="74"/>
      <c r="Y521" s="74"/>
      <c r="Z521" s="74"/>
      <c r="AA521" s="74"/>
      <c r="AB521" s="74"/>
      <c r="AC521" s="42"/>
      <c r="AD521" s="42"/>
      <c r="AE521" s="42"/>
      <c r="AF521" s="42"/>
      <c r="AG521" s="42"/>
      <c r="AH521" s="42"/>
      <c r="AI521" s="75"/>
      <c r="AJ521" s="75"/>
      <c r="AK521" s="75"/>
      <c r="AL521" s="75"/>
      <c r="AM521" s="74"/>
      <c r="AN521" s="72" t="e">
        <f>VLOOKUP(H521,[4]Planilha1!A$13:P$314,16,0)</f>
        <v>#N/A</v>
      </c>
    </row>
    <row r="522" spans="1:40" s="69" customFormat="1" x14ac:dyDescent="0.25">
      <c r="A522" s="88"/>
      <c r="B522" s="88"/>
      <c r="C522" s="70"/>
      <c r="D522" s="70"/>
      <c r="E522" s="70"/>
      <c r="F522" s="70"/>
      <c r="G522" s="70"/>
      <c r="H522" s="422"/>
      <c r="I522" s="422"/>
      <c r="J522" s="418"/>
      <c r="K522" s="403"/>
      <c r="L522" s="73"/>
      <c r="M522" s="72"/>
      <c r="N522" s="72"/>
      <c r="O522" s="72"/>
      <c r="P522" s="42"/>
      <c r="Q522" s="42"/>
      <c r="R522" s="42"/>
      <c r="S522" s="42"/>
      <c r="T522" s="42"/>
      <c r="U522" s="42"/>
      <c r="V522" s="416"/>
      <c r="W522" s="42"/>
      <c r="X522" s="74"/>
      <c r="Y522" s="74"/>
      <c r="Z522" s="74"/>
      <c r="AA522" s="74"/>
      <c r="AB522" s="74"/>
      <c r="AC522" s="42"/>
      <c r="AD522" s="42"/>
      <c r="AE522" s="42"/>
      <c r="AF522" s="42"/>
      <c r="AG522" s="42"/>
      <c r="AH522" s="42"/>
      <c r="AI522" s="75"/>
      <c r="AJ522" s="75"/>
      <c r="AK522" s="75"/>
      <c r="AL522" s="75"/>
      <c r="AM522" s="74"/>
      <c r="AN522" s="72" t="e">
        <f>VLOOKUP(H522,[4]Planilha1!A$13:P$314,16,0)</f>
        <v>#N/A</v>
      </c>
    </row>
    <row r="523" spans="1:40" s="69" customFormat="1" x14ac:dyDescent="0.25">
      <c r="A523" s="88"/>
      <c r="B523" s="88"/>
      <c r="C523" s="70"/>
      <c r="D523" s="70"/>
      <c r="E523" s="70"/>
      <c r="F523" s="70"/>
      <c r="G523" s="70"/>
      <c r="H523" s="422"/>
      <c r="I523" s="422"/>
      <c r="J523" s="418"/>
      <c r="K523" s="403"/>
      <c r="L523" s="73"/>
      <c r="M523" s="72"/>
      <c r="N523" s="72"/>
      <c r="O523" s="72"/>
      <c r="P523" s="42"/>
      <c r="Q523" s="42"/>
      <c r="R523" s="42"/>
      <c r="S523" s="42"/>
      <c r="T523" s="42"/>
      <c r="U523" s="42"/>
      <c r="V523" s="416"/>
      <c r="W523" s="42"/>
      <c r="X523" s="74"/>
      <c r="Y523" s="74"/>
      <c r="Z523" s="74"/>
      <c r="AA523" s="74"/>
      <c r="AB523" s="74"/>
      <c r="AC523" s="42"/>
      <c r="AD523" s="42"/>
      <c r="AE523" s="42"/>
      <c r="AF523" s="42"/>
      <c r="AG523" s="42"/>
      <c r="AH523" s="42"/>
      <c r="AI523" s="75"/>
      <c r="AJ523" s="75"/>
      <c r="AK523" s="75"/>
      <c r="AL523" s="75"/>
      <c r="AM523" s="74"/>
      <c r="AN523" s="72" t="e">
        <f>VLOOKUP(H523,[4]Planilha1!A$13:P$314,16,0)</f>
        <v>#N/A</v>
      </c>
    </row>
    <row r="524" spans="1:40" s="69" customFormat="1" x14ac:dyDescent="0.25">
      <c r="A524" s="88"/>
      <c r="B524" s="88"/>
      <c r="C524" s="70"/>
      <c r="D524" s="70"/>
      <c r="E524" s="70"/>
      <c r="F524" s="70"/>
      <c r="G524" s="70"/>
      <c r="H524" s="422"/>
      <c r="I524" s="422"/>
      <c r="J524" s="418"/>
      <c r="K524" s="403"/>
      <c r="L524" s="73"/>
      <c r="M524" s="72"/>
      <c r="N524" s="72"/>
      <c r="O524" s="72"/>
      <c r="P524" s="42"/>
      <c r="Q524" s="42"/>
      <c r="R524" s="42"/>
      <c r="S524" s="42"/>
      <c r="T524" s="42"/>
      <c r="U524" s="42"/>
      <c r="V524" s="416"/>
      <c r="W524" s="42"/>
      <c r="X524" s="74"/>
      <c r="Y524" s="74"/>
      <c r="Z524" s="74"/>
      <c r="AA524" s="74"/>
      <c r="AB524" s="74"/>
      <c r="AC524" s="42"/>
      <c r="AD524" s="42"/>
      <c r="AE524" s="42"/>
      <c r="AF524" s="42"/>
      <c r="AG524" s="42"/>
      <c r="AH524" s="42"/>
      <c r="AI524" s="75"/>
      <c r="AJ524" s="75"/>
      <c r="AK524" s="75"/>
      <c r="AL524" s="75"/>
      <c r="AM524" s="74"/>
      <c r="AN524" s="72" t="e">
        <f>VLOOKUP(H524,[4]Planilha1!A$13:P$314,16,0)</f>
        <v>#N/A</v>
      </c>
    </row>
    <row r="525" spans="1:40" s="69" customFormat="1" x14ac:dyDescent="0.25">
      <c r="A525" s="88"/>
      <c r="B525" s="88"/>
      <c r="C525" s="70"/>
      <c r="D525" s="70"/>
      <c r="E525" s="70"/>
      <c r="F525" s="70"/>
      <c r="G525" s="70"/>
      <c r="H525" s="422"/>
      <c r="I525" s="422"/>
      <c r="J525" s="418"/>
      <c r="K525" s="403"/>
      <c r="L525" s="73"/>
      <c r="M525" s="72"/>
      <c r="N525" s="72"/>
      <c r="O525" s="72"/>
      <c r="P525" s="42"/>
      <c r="Q525" s="42"/>
      <c r="R525" s="42"/>
      <c r="S525" s="42"/>
      <c r="T525" s="42"/>
      <c r="U525" s="42"/>
      <c r="V525" s="416"/>
      <c r="W525" s="42"/>
      <c r="X525" s="74"/>
      <c r="Y525" s="74"/>
      <c r="Z525" s="74"/>
      <c r="AA525" s="74"/>
      <c r="AB525" s="74"/>
      <c r="AC525" s="42"/>
      <c r="AD525" s="42"/>
      <c r="AE525" s="42"/>
      <c r="AF525" s="42"/>
      <c r="AG525" s="42"/>
      <c r="AH525" s="42"/>
      <c r="AI525" s="75"/>
      <c r="AJ525" s="75"/>
      <c r="AK525" s="75"/>
      <c r="AL525" s="75"/>
      <c r="AM525" s="74"/>
      <c r="AN525" s="72" t="e">
        <f>VLOOKUP(H525,[4]Planilha1!A$13:P$314,16,0)</f>
        <v>#N/A</v>
      </c>
    </row>
    <row r="526" spans="1:40" s="69" customFormat="1" x14ac:dyDescent="0.25">
      <c r="A526" s="88"/>
      <c r="B526" s="88"/>
      <c r="C526" s="70"/>
      <c r="D526" s="70"/>
      <c r="E526" s="70"/>
      <c r="F526" s="70"/>
      <c r="G526" s="70"/>
      <c r="H526" s="422"/>
      <c r="I526" s="422"/>
      <c r="J526" s="418"/>
      <c r="K526" s="403"/>
      <c r="L526" s="73"/>
      <c r="M526" s="72"/>
      <c r="N526" s="72"/>
      <c r="O526" s="72"/>
      <c r="P526" s="42"/>
      <c r="Q526" s="42"/>
      <c r="R526" s="42"/>
      <c r="S526" s="42"/>
      <c r="T526" s="42"/>
      <c r="U526" s="42"/>
      <c r="V526" s="416"/>
      <c r="W526" s="42"/>
      <c r="X526" s="74"/>
      <c r="Y526" s="74"/>
      <c r="Z526" s="74"/>
      <c r="AA526" s="74"/>
      <c r="AB526" s="74"/>
      <c r="AC526" s="42"/>
      <c r="AD526" s="42"/>
      <c r="AE526" s="42"/>
      <c r="AF526" s="42"/>
      <c r="AG526" s="42"/>
      <c r="AH526" s="42"/>
      <c r="AI526" s="75"/>
      <c r="AJ526" s="75"/>
      <c r="AK526" s="75"/>
      <c r="AL526" s="75"/>
      <c r="AM526" s="74"/>
      <c r="AN526" s="72" t="e">
        <f>VLOOKUP(H526,[4]Planilha1!A$13:P$314,16,0)</f>
        <v>#N/A</v>
      </c>
    </row>
    <row r="527" spans="1:40" s="69" customFormat="1" x14ac:dyDescent="0.25">
      <c r="A527" s="88"/>
      <c r="B527" s="88"/>
      <c r="C527" s="70"/>
      <c r="D527" s="70"/>
      <c r="E527" s="70"/>
      <c r="F527" s="70"/>
      <c r="G527" s="70"/>
      <c r="H527" s="422"/>
      <c r="I527" s="422"/>
      <c r="J527" s="418"/>
      <c r="K527" s="403"/>
      <c r="L527" s="73"/>
      <c r="M527" s="72"/>
      <c r="N527" s="72"/>
      <c r="O527" s="72"/>
      <c r="P527" s="42"/>
      <c r="Q527" s="42"/>
      <c r="R527" s="42"/>
      <c r="S527" s="42"/>
      <c r="T527" s="42"/>
      <c r="U527" s="42"/>
      <c r="V527" s="416"/>
      <c r="W527" s="42"/>
      <c r="X527" s="74"/>
      <c r="Y527" s="74"/>
      <c r="Z527" s="74"/>
      <c r="AA527" s="74"/>
      <c r="AB527" s="74"/>
      <c r="AC527" s="42"/>
      <c r="AD527" s="42"/>
      <c r="AE527" s="42"/>
      <c r="AF527" s="42"/>
      <c r="AG527" s="42"/>
      <c r="AH527" s="42"/>
      <c r="AI527" s="75"/>
      <c r="AJ527" s="75"/>
      <c r="AK527" s="75"/>
      <c r="AL527" s="75"/>
      <c r="AM527" s="74"/>
      <c r="AN527" s="72" t="e">
        <f>VLOOKUP(H527,[4]Planilha1!A$13:P$314,16,0)</f>
        <v>#N/A</v>
      </c>
    </row>
    <row r="528" spans="1:40" s="69" customFormat="1" x14ac:dyDescent="0.25">
      <c r="A528" s="88"/>
      <c r="B528" s="88"/>
      <c r="C528" s="70"/>
      <c r="D528" s="70"/>
      <c r="E528" s="70"/>
      <c r="F528" s="70"/>
      <c r="G528" s="70"/>
      <c r="H528" s="422"/>
      <c r="I528" s="422"/>
      <c r="J528" s="418"/>
      <c r="K528" s="403"/>
      <c r="L528" s="73"/>
      <c r="M528" s="72"/>
      <c r="N528" s="72"/>
      <c r="O528" s="72"/>
      <c r="P528" s="42"/>
      <c r="Q528" s="42"/>
      <c r="R528" s="42"/>
      <c r="S528" s="42"/>
      <c r="T528" s="42"/>
      <c r="U528" s="42"/>
      <c r="V528" s="416"/>
      <c r="W528" s="42"/>
      <c r="X528" s="74"/>
      <c r="Y528" s="74"/>
      <c r="Z528" s="74"/>
      <c r="AA528" s="74"/>
      <c r="AB528" s="74"/>
      <c r="AC528" s="42"/>
      <c r="AD528" s="42"/>
      <c r="AE528" s="42"/>
      <c r="AF528" s="42"/>
      <c r="AG528" s="42"/>
      <c r="AH528" s="42"/>
      <c r="AI528" s="75"/>
      <c r="AJ528" s="75"/>
      <c r="AK528" s="75"/>
      <c r="AL528" s="75"/>
      <c r="AM528" s="74"/>
      <c r="AN528" s="72" t="e">
        <f>VLOOKUP(H528,[4]Planilha1!A$13:P$314,16,0)</f>
        <v>#N/A</v>
      </c>
    </row>
    <row r="529" spans="1:40" s="69" customFormat="1" x14ac:dyDescent="0.25">
      <c r="A529" s="88"/>
      <c r="B529" s="88"/>
      <c r="C529" s="70"/>
      <c r="D529" s="70"/>
      <c r="E529" s="70"/>
      <c r="F529" s="70"/>
      <c r="G529" s="70"/>
      <c r="H529" s="422"/>
      <c r="I529" s="422"/>
      <c r="J529" s="418"/>
      <c r="K529" s="403"/>
      <c r="L529" s="73"/>
      <c r="M529" s="72"/>
      <c r="N529" s="72"/>
      <c r="O529" s="72"/>
      <c r="P529" s="42"/>
      <c r="Q529" s="42"/>
      <c r="R529" s="42"/>
      <c r="S529" s="42"/>
      <c r="T529" s="42"/>
      <c r="U529" s="42"/>
      <c r="V529" s="416"/>
      <c r="W529" s="42"/>
      <c r="X529" s="74"/>
      <c r="Y529" s="74"/>
      <c r="Z529" s="74"/>
      <c r="AA529" s="74"/>
      <c r="AB529" s="74"/>
      <c r="AC529" s="42"/>
      <c r="AD529" s="42"/>
      <c r="AE529" s="42"/>
      <c r="AF529" s="42"/>
      <c r="AG529" s="42"/>
      <c r="AH529" s="42"/>
      <c r="AI529" s="75"/>
      <c r="AJ529" s="75"/>
      <c r="AK529" s="75"/>
      <c r="AL529" s="75"/>
      <c r="AM529" s="74"/>
      <c r="AN529" s="72" t="e">
        <f>VLOOKUP(H529,[4]Planilha1!A$13:P$314,16,0)</f>
        <v>#N/A</v>
      </c>
    </row>
    <row r="530" spans="1:40" s="69" customFormat="1" x14ac:dyDescent="0.25">
      <c r="A530" s="88"/>
      <c r="B530" s="88"/>
      <c r="C530" s="70"/>
      <c r="D530" s="70"/>
      <c r="E530" s="70"/>
      <c r="F530" s="70"/>
      <c r="G530" s="70"/>
      <c r="H530" s="422"/>
      <c r="I530" s="422"/>
      <c r="J530" s="418"/>
      <c r="K530" s="403"/>
      <c r="L530" s="73"/>
      <c r="M530" s="72"/>
      <c r="N530" s="72"/>
      <c r="O530" s="72"/>
      <c r="P530" s="42"/>
      <c r="Q530" s="42"/>
      <c r="R530" s="42"/>
      <c r="S530" s="42"/>
      <c r="T530" s="42"/>
      <c r="U530" s="42"/>
      <c r="V530" s="416"/>
      <c r="W530" s="42"/>
      <c r="X530" s="74"/>
      <c r="Y530" s="74"/>
      <c r="Z530" s="74"/>
      <c r="AA530" s="74"/>
      <c r="AB530" s="74"/>
      <c r="AC530" s="42"/>
      <c r="AD530" s="42"/>
      <c r="AE530" s="42"/>
      <c r="AF530" s="42"/>
      <c r="AG530" s="42"/>
      <c r="AH530" s="42"/>
      <c r="AI530" s="75"/>
      <c r="AJ530" s="75"/>
      <c r="AK530" s="75"/>
      <c r="AL530" s="75"/>
      <c r="AM530" s="74"/>
      <c r="AN530" s="72" t="e">
        <f>VLOOKUP(H530,[4]Planilha1!A$13:P$314,16,0)</f>
        <v>#N/A</v>
      </c>
    </row>
    <row r="531" spans="1:40" s="69" customFormat="1" x14ac:dyDescent="0.25">
      <c r="A531" s="88"/>
      <c r="B531" s="88"/>
      <c r="C531" s="70"/>
      <c r="D531" s="70"/>
      <c r="E531" s="70"/>
      <c r="F531" s="70"/>
      <c r="G531" s="70"/>
      <c r="H531" s="422"/>
      <c r="I531" s="422"/>
      <c r="J531" s="418"/>
      <c r="K531" s="403"/>
      <c r="L531" s="73"/>
      <c r="M531" s="72"/>
      <c r="N531" s="72"/>
      <c r="O531" s="72"/>
      <c r="P531" s="42"/>
      <c r="Q531" s="42"/>
      <c r="R531" s="42"/>
      <c r="S531" s="42"/>
      <c r="T531" s="42"/>
      <c r="U531" s="42"/>
      <c r="V531" s="416"/>
      <c r="W531" s="42"/>
      <c r="X531" s="74"/>
      <c r="Y531" s="74"/>
      <c r="Z531" s="74"/>
      <c r="AA531" s="74"/>
      <c r="AB531" s="74"/>
      <c r="AC531" s="42"/>
      <c r="AD531" s="42"/>
      <c r="AE531" s="42"/>
      <c r="AF531" s="42"/>
      <c r="AG531" s="42"/>
      <c r="AH531" s="42"/>
      <c r="AI531" s="75"/>
      <c r="AJ531" s="75"/>
      <c r="AK531" s="75"/>
      <c r="AL531" s="75"/>
      <c r="AM531" s="74"/>
      <c r="AN531" s="72" t="e">
        <f>VLOOKUP(H531,[4]Planilha1!A$13:P$314,16,0)</f>
        <v>#N/A</v>
      </c>
    </row>
    <row r="532" spans="1:40" s="69" customFormat="1" x14ac:dyDescent="0.25">
      <c r="A532" s="88"/>
      <c r="B532" s="88"/>
      <c r="C532" s="70"/>
      <c r="D532" s="70"/>
      <c r="E532" s="70"/>
      <c r="F532" s="70"/>
      <c r="G532" s="70"/>
      <c r="H532" s="422"/>
      <c r="I532" s="422"/>
      <c r="J532" s="418"/>
      <c r="K532" s="403"/>
      <c r="L532" s="73"/>
      <c r="M532" s="72"/>
      <c r="N532" s="72"/>
      <c r="O532" s="72"/>
      <c r="P532" s="42"/>
      <c r="Q532" s="42"/>
      <c r="R532" s="42"/>
      <c r="S532" s="42"/>
      <c r="T532" s="42"/>
      <c r="U532" s="42"/>
      <c r="V532" s="416"/>
      <c r="W532" s="42"/>
      <c r="X532" s="74"/>
      <c r="Y532" s="74"/>
      <c r="Z532" s="74"/>
      <c r="AA532" s="74"/>
      <c r="AB532" s="74"/>
      <c r="AC532" s="42"/>
      <c r="AD532" s="42"/>
      <c r="AE532" s="42"/>
      <c r="AF532" s="42"/>
      <c r="AG532" s="42"/>
      <c r="AH532" s="42"/>
      <c r="AI532" s="75"/>
      <c r="AJ532" s="75"/>
      <c r="AK532" s="75"/>
      <c r="AL532" s="75"/>
      <c r="AM532" s="74"/>
      <c r="AN532" s="72" t="e">
        <f>VLOOKUP(H532,[4]Planilha1!A$13:P$314,16,0)</f>
        <v>#N/A</v>
      </c>
    </row>
    <row r="533" spans="1:40" s="69" customFormat="1" x14ac:dyDescent="0.25">
      <c r="A533" s="88"/>
      <c r="B533" s="88"/>
      <c r="C533" s="70"/>
      <c r="D533" s="70"/>
      <c r="E533" s="70"/>
      <c r="F533" s="70"/>
      <c r="G533" s="70"/>
      <c r="H533" s="422"/>
      <c r="I533" s="422"/>
      <c r="J533" s="418"/>
      <c r="K533" s="403"/>
      <c r="L533" s="73"/>
      <c r="M533" s="72"/>
      <c r="N533" s="72"/>
      <c r="O533" s="72"/>
      <c r="P533" s="42"/>
      <c r="Q533" s="42"/>
      <c r="R533" s="42"/>
      <c r="S533" s="42"/>
      <c r="T533" s="42"/>
      <c r="U533" s="42"/>
      <c r="V533" s="416"/>
      <c r="W533" s="42"/>
      <c r="X533" s="74"/>
      <c r="Y533" s="74"/>
      <c r="Z533" s="74"/>
      <c r="AA533" s="74"/>
      <c r="AB533" s="74"/>
      <c r="AC533" s="42"/>
      <c r="AD533" s="42"/>
      <c r="AE533" s="42"/>
      <c r="AF533" s="42"/>
      <c r="AG533" s="42"/>
      <c r="AH533" s="42"/>
      <c r="AI533" s="75"/>
      <c r="AJ533" s="75"/>
      <c r="AK533" s="75"/>
      <c r="AL533" s="75"/>
      <c r="AM533" s="74"/>
      <c r="AN533" s="72" t="e">
        <f>VLOOKUP(H533,[4]Planilha1!A$13:P$314,16,0)</f>
        <v>#N/A</v>
      </c>
    </row>
    <row r="534" spans="1:40" s="69" customFormat="1" x14ac:dyDescent="0.25">
      <c r="A534" s="88"/>
      <c r="B534" s="88"/>
      <c r="C534" s="70"/>
      <c r="D534" s="70"/>
      <c r="E534" s="70"/>
      <c r="F534" s="70"/>
      <c r="G534" s="70"/>
      <c r="H534" s="422"/>
      <c r="I534" s="422"/>
      <c r="J534" s="418"/>
      <c r="K534" s="403"/>
      <c r="L534" s="73"/>
      <c r="M534" s="72"/>
      <c r="N534" s="72"/>
      <c r="O534" s="72"/>
      <c r="P534" s="42"/>
      <c r="Q534" s="42"/>
      <c r="R534" s="42"/>
      <c r="S534" s="42"/>
      <c r="T534" s="42"/>
      <c r="U534" s="42"/>
      <c r="V534" s="416"/>
      <c r="W534" s="42"/>
      <c r="X534" s="74"/>
      <c r="Y534" s="74"/>
      <c r="Z534" s="74"/>
      <c r="AA534" s="74"/>
      <c r="AB534" s="74"/>
      <c r="AC534" s="42"/>
      <c r="AD534" s="42"/>
      <c r="AE534" s="42"/>
      <c r="AF534" s="42"/>
      <c r="AG534" s="42"/>
      <c r="AH534" s="42"/>
      <c r="AI534" s="75"/>
      <c r="AJ534" s="75"/>
      <c r="AK534" s="75"/>
      <c r="AL534" s="75"/>
      <c r="AM534" s="74"/>
      <c r="AN534" s="72" t="e">
        <f>VLOOKUP(H534,[4]Planilha1!A$13:P$314,16,0)</f>
        <v>#N/A</v>
      </c>
    </row>
    <row r="535" spans="1:40" s="69" customFormat="1" x14ac:dyDescent="0.25">
      <c r="A535" s="88"/>
      <c r="B535" s="88"/>
      <c r="C535" s="70"/>
      <c r="D535" s="70"/>
      <c r="E535" s="70"/>
      <c r="F535" s="70"/>
      <c r="G535" s="70"/>
      <c r="H535" s="422"/>
      <c r="I535" s="422"/>
      <c r="J535" s="418"/>
      <c r="K535" s="403"/>
      <c r="L535" s="73"/>
      <c r="M535" s="72"/>
      <c r="N535" s="72"/>
      <c r="O535" s="72"/>
      <c r="P535" s="42"/>
      <c r="Q535" s="42"/>
      <c r="R535" s="42"/>
      <c r="S535" s="42"/>
      <c r="T535" s="42"/>
      <c r="U535" s="42"/>
      <c r="V535" s="416"/>
      <c r="W535" s="42"/>
      <c r="X535" s="74"/>
      <c r="Y535" s="74"/>
      <c r="Z535" s="74"/>
      <c r="AA535" s="74"/>
      <c r="AB535" s="74"/>
      <c r="AC535" s="42"/>
      <c r="AD535" s="42"/>
      <c r="AE535" s="42"/>
      <c r="AF535" s="42"/>
      <c r="AG535" s="42"/>
      <c r="AH535" s="42"/>
      <c r="AI535" s="75"/>
      <c r="AJ535" s="75"/>
      <c r="AK535" s="75"/>
      <c r="AL535" s="75"/>
      <c r="AM535" s="74"/>
      <c r="AN535" s="72" t="e">
        <f>VLOOKUP(H535,[4]Planilha1!A$13:P$314,16,0)</f>
        <v>#N/A</v>
      </c>
    </row>
    <row r="536" spans="1:40" s="69" customFormat="1" x14ac:dyDescent="0.25">
      <c r="A536" s="88"/>
      <c r="B536" s="88"/>
      <c r="C536" s="70"/>
      <c r="D536" s="70"/>
      <c r="E536" s="70"/>
      <c r="F536" s="70"/>
      <c r="G536" s="70"/>
      <c r="H536" s="422"/>
      <c r="I536" s="422"/>
      <c r="J536" s="418"/>
      <c r="K536" s="403"/>
      <c r="L536" s="73"/>
      <c r="M536" s="72"/>
      <c r="N536" s="72"/>
      <c r="O536" s="72"/>
      <c r="P536" s="42"/>
      <c r="Q536" s="42"/>
      <c r="R536" s="42"/>
      <c r="S536" s="42"/>
      <c r="T536" s="42"/>
      <c r="U536" s="42"/>
      <c r="V536" s="416"/>
      <c r="W536" s="42"/>
      <c r="X536" s="74"/>
      <c r="Y536" s="74"/>
      <c r="Z536" s="74"/>
      <c r="AA536" s="74"/>
      <c r="AB536" s="74"/>
      <c r="AC536" s="42"/>
      <c r="AD536" s="42"/>
      <c r="AE536" s="42"/>
      <c r="AF536" s="42"/>
      <c r="AG536" s="42"/>
      <c r="AH536" s="42"/>
      <c r="AI536" s="75"/>
      <c r="AJ536" s="75"/>
      <c r="AK536" s="75"/>
      <c r="AL536" s="75"/>
      <c r="AM536" s="74"/>
      <c r="AN536" s="72" t="e">
        <f>VLOOKUP(H536,[4]Planilha1!A$13:P$314,16,0)</f>
        <v>#N/A</v>
      </c>
    </row>
    <row r="537" spans="1:40" s="69" customFormat="1" x14ac:dyDescent="0.25">
      <c r="A537" s="88"/>
      <c r="B537" s="88"/>
      <c r="C537" s="70"/>
      <c r="D537" s="70"/>
      <c r="E537" s="70"/>
      <c r="F537" s="70"/>
      <c r="G537" s="70"/>
      <c r="H537" s="422"/>
      <c r="I537" s="422"/>
      <c r="J537" s="418"/>
      <c r="K537" s="403"/>
      <c r="L537" s="73"/>
      <c r="M537" s="72"/>
      <c r="N537" s="72"/>
      <c r="O537" s="72"/>
      <c r="P537" s="42"/>
      <c r="Q537" s="42"/>
      <c r="R537" s="42"/>
      <c r="S537" s="42"/>
      <c r="T537" s="42"/>
      <c r="U537" s="42"/>
      <c r="V537" s="416"/>
      <c r="W537" s="42"/>
      <c r="X537" s="74"/>
      <c r="Y537" s="74"/>
      <c r="Z537" s="74"/>
      <c r="AA537" s="74"/>
      <c r="AB537" s="74"/>
      <c r="AC537" s="42"/>
      <c r="AD537" s="42"/>
      <c r="AE537" s="42"/>
      <c r="AF537" s="42"/>
      <c r="AG537" s="42"/>
      <c r="AH537" s="42"/>
      <c r="AI537" s="75"/>
      <c r="AJ537" s="75"/>
      <c r="AK537" s="75"/>
      <c r="AL537" s="75"/>
      <c r="AM537" s="74"/>
      <c r="AN537" s="72" t="e">
        <f>VLOOKUP(H537,[4]Planilha1!A$13:P$314,16,0)</f>
        <v>#N/A</v>
      </c>
    </row>
    <row r="538" spans="1:40" s="69" customFormat="1" x14ac:dyDescent="0.25">
      <c r="A538" s="88"/>
      <c r="B538" s="88"/>
      <c r="C538" s="70"/>
      <c r="D538" s="70"/>
      <c r="E538" s="70"/>
      <c r="F538" s="70"/>
      <c r="G538" s="70"/>
      <c r="H538" s="422"/>
      <c r="I538" s="422"/>
      <c r="J538" s="418"/>
      <c r="K538" s="403"/>
      <c r="L538" s="73"/>
      <c r="M538" s="72"/>
      <c r="N538" s="72"/>
      <c r="O538" s="72"/>
      <c r="P538" s="42"/>
      <c r="Q538" s="42"/>
      <c r="R538" s="42"/>
      <c r="S538" s="42"/>
      <c r="T538" s="42"/>
      <c r="U538" s="42"/>
      <c r="V538" s="416"/>
      <c r="W538" s="42"/>
      <c r="X538" s="74"/>
      <c r="Y538" s="74"/>
      <c r="Z538" s="74"/>
      <c r="AA538" s="74"/>
      <c r="AB538" s="74"/>
      <c r="AC538" s="42"/>
      <c r="AD538" s="42"/>
      <c r="AE538" s="42"/>
      <c r="AF538" s="42"/>
      <c r="AG538" s="42"/>
      <c r="AH538" s="42"/>
      <c r="AI538" s="75"/>
      <c r="AJ538" s="75"/>
      <c r="AK538" s="75"/>
      <c r="AL538" s="75"/>
      <c r="AM538" s="74"/>
      <c r="AN538" s="72" t="e">
        <f>VLOOKUP(H538,[4]Planilha1!A$13:P$314,16,0)</f>
        <v>#N/A</v>
      </c>
    </row>
    <row r="539" spans="1:40" s="69" customFormat="1" x14ac:dyDescent="0.25">
      <c r="A539" s="88"/>
      <c r="B539" s="88"/>
      <c r="C539" s="70"/>
      <c r="D539" s="70"/>
      <c r="E539" s="70"/>
      <c r="F539" s="70"/>
      <c r="G539" s="70"/>
      <c r="H539" s="422"/>
      <c r="I539" s="422"/>
      <c r="J539" s="418"/>
      <c r="K539" s="403"/>
      <c r="L539" s="73"/>
      <c r="M539" s="72"/>
      <c r="N539" s="72"/>
      <c r="O539" s="72"/>
      <c r="P539" s="42"/>
      <c r="Q539" s="42"/>
      <c r="R539" s="42"/>
      <c r="S539" s="42"/>
      <c r="T539" s="42"/>
      <c r="U539" s="42"/>
      <c r="V539" s="416"/>
      <c r="W539" s="42"/>
      <c r="X539" s="74"/>
      <c r="Y539" s="74"/>
      <c r="Z539" s="74"/>
      <c r="AA539" s="74"/>
      <c r="AB539" s="74"/>
      <c r="AC539" s="42"/>
      <c r="AD539" s="42"/>
      <c r="AE539" s="42"/>
      <c r="AF539" s="42"/>
      <c r="AG539" s="42"/>
      <c r="AH539" s="42"/>
      <c r="AI539" s="75"/>
      <c r="AJ539" s="75"/>
      <c r="AK539" s="75"/>
      <c r="AL539" s="75"/>
      <c r="AM539" s="74"/>
      <c r="AN539" s="72" t="e">
        <f>VLOOKUP(H539,[4]Planilha1!A$13:P$314,16,0)</f>
        <v>#N/A</v>
      </c>
    </row>
    <row r="540" spans="1:40" s="69" customFormat="1" x14ac:dyDescent="0.25">
      <c r="A540" s="88"/>
      <c r="B540" s="88"/>
      <c r="C540" s="70"/>
      <c r="D540" s="70"/>
      <c r="E540" s="70"/>
      <c r="F540" s="70"/>
      <c r="G540" s="70"/>
      <c r="H540" s="422"/>
      <c r="I540" s="422"/>
      <c r="J540" s="418"/>
      <c r="K540" s="403"/>
      <c r="L540" s="73"/>
      <c r="M540" s="72"/>
      <c r="N540" s="72"/>
      <c r="O540" s="72"/>
      <c r="P540" s="42"/>
      <c r="Q540" s="42"/>
      <c r="R540" s="42"/>
      <c r="S540" s="42"/>
      <c r="T540" s="42"/>
      <c r="U540" s="42"/>
      <c r="V540" s="416"/>
      <c r="W540" s="42"/>
      <c r="X540" s="74"/>
      <c r="Y540" s="74"/>
      <c r="Z540" s="74"/>
      <c r="AA540" s="74"/>
      <c r="AB540" s="74"/>
      <c r="AC540" s="42"/>
      <c r="AD540" s="42"/>
      <c r="AE540" s="42"/>
      <c r="AF540" s="42"/>
      <c r="AG540" s="42"/>
      <c r="AH540" s="42"/>
      <c r="AI540" s="75"/>
      <c r="AJ540" s="75"/>
      <c r="AK540" s="75"/>
      <c r="AL540" s="75"/>
      <c r="AM540" s="74"/>
      <c r="AN540" s="72" t="e">
        <f>VLOOKUP(H540,[4]Planilha1!A$13:P$314,16,0)</f>
        <v>#N/A</v>
      </c>
    </row>
    <row r="541" spans="1:40" s="69" customFormat="1" x14ac:dyDescent="0.25">
      <c r="A541" s="88"/>
      <c r="B541" s="88"/>
      <c r="C541" s="70"/>
      <c r="D541" s="70"/>
      <c r="E541" s="70"/>
      <c r="F541" s="70"/>
      <c r="G541" s="70"/>
      <c r="H541" s="422"/>
      <c r="I541" s="422"/>
      <c r="J541" s="418"/>
      <c r="K541" s="403"/>
      <c r="L541" s="73"/>
      <c r="M541" s="72"/>
      <c r="N541" s="72"/>
      <c r="O541" s="72"/>
      <c r="P541" s="42"/>
      <c r="Q541" s="42"/>
      <c r="R541" s="42"/>
      <c r="S541" s="42"/>
      <c r="T541" s="42"/>
      <c r="U541" s="42"/>
      <c r="V541" s="416"/>
      <c r="W541" s="42"/>
      <c r="X541" s="74"/>
      <c r="Y541" s="74"/>
      <c r="Z541" s="74"/>
      <c r="AA541" s="74"/>
      <c r="AB541" s="74"/>
      <c r="AC541" s="42"/>
      <c r="AD541" s="42"/>
      <c r="AE541" s="42"/>
      <c r="AF541" s="42"/>
      <c r="AG541" s="42"/>
      <c r="AH541" s="42"/>
      <c r="AI541" s="75"/>
      <c r="AJ541" s="75"/>
      <c r="AK541" s="75"/>
      <c r="AL541" s="75"/>
      <c r="AM541" s="74"/>
      <c r="AN541" s="72" t="e">
        <f>VLOOKUP(H541,[4]Planilha1!A$13:P$314,16,0)</f>
        <v>#N/A</v>
      </c>
    </row>
    <row r="542" spans="1:40" s="69" customFormat="1" x14ac:dyDescent="0.25">
      <c r="A542" s="88"/>
      <c r="B542" s="88"/>
      <c r="C542" s="70"/>
      <c r="D542" s="70"/>
      <c r="E542" s="70"/>
      <c r="F542" s="70"/>
      <c r="G542" s="70"/>
      <c r="H542" s="422"/>
      <c r="I542" s="422"/>
      <c r="J542" s="418"/>
      <c r="K542" s="403"/>
      <c r="L542" s="73"/>
      <c r="M542" s="72"/>
      <c r="N542" s="72"/>
      <c r="O542" s="72"/>
      <c r="P542" s="42"/>
      <c r="Q542" s="42"/>
      <c r="R542" s="42"/>
      <c r="S542" s="42"/>
      <c r="T542" s="42"/>
      <c r="U542" s="42"/>
      <c r="V542" s="416"/>
      <c r="W542" s="42"/>
      <c r="X542" s="74"/>
      <c r="Y542" s="74"/>
      <c r="Z542" s="74"/>
      <c r="AA542" s="74"/>
      <c r="AB542" s="74"/>
      <c r="AC542" s="42"/>
      <c r="AD542" s="42"/>
      <c r="AE542" s="42"/>
      <c r="AF542" s="42"/>
      <c r="AG542" s="42"/>
      <c r="AH542" s="42"/>
      <c r="AI542" s="75"/>
      <c r="AJ542" s="75"/>
      <c r="AK542" s="75"/>
      <c r="AL542" s="75"/>
      <c r="AM542" s="74"/>
      <c r="AN542" s="72" t="e">
        <f>VLOOKUP(H542,[4]Planilha1!A$13:P$314,16,0)</f>
        <v>#N/A</v>
      </c>
    </row>
    <row r="543" spans="1:40" s="69" customFormat="1" x14ac:dyDescent="0.25">
      <c r="A543" s="88"/>
      <c r="B543" s="88"/>
      <c r="C543" s="70"/>
      <c r="D543" s="70"/>
      <c r="E543" s="70"/>
      <c r="F543" s="70"/>
      <c r="G543" s="70"/>
      <c r="H543" s="422"/>
      <c r="I543" s="422"/>
      <c r="J543" s="418"/>
      <c r="K543" s="403"/>
      <c r="L543" s="73"/>
      <c r="M543" s="72"/>
      <c r="N543" s="72"/>
      <c r="O543" s="72"/>
      <c r="P543" s="42"/>
      <c r="Q543" s="42"/>
      <c r="R543" s="42"/>
      <c r="S543" s="42"/>
      <c r="T543" s="42"/>
      <c r="U543" s="42"/>
      <c r="V543" s="416"/>
      <c r="W543" s="42"/>
      <c r="X543" s="74"/>
      <c r="Y543" s="74"/>
      <c r="Z543" s="74"/>
      <c r="AA543" s="74"/>
      <c r="AB543" s="74"/>
      <c r="AC543" s="42"/>
      <c r="AD543" s="42"/>
      <c r="AE543" s="42"/>
      <c r="AF543" s="42"/>
      <c r="AG543" s="42"/>
      <c r="AH543" s="42"/>
      <c r="AI543" s="75"/>
      <c r="AJ543" s="75"/>
      <c r="AK543" s="75"/>
      <c r="AL543" s="75"/>
      <c r="AM543" s="74"/>
      <c r="AN543" s="72" t="e">
        <f>VLOOKUP(H543,[4]Planilha1!A$13:P$314,16,0)</f>
        <v>#N/A</v>
      </c>
    </row>
    <row r="544" spans="1:40" s="69" customFormat="1" x14ac:dyDescent="0.25">
      <c r="A544" s="88"/>
      <c r="B544" s="88"/>
      <c r="C544" s="70"/>
      <c r="D544" s="70"/>
      <c r="E544" s="70"/>
      <c r="F544" s="70"/>
      <c r="G544" s="70"/>
      <c r="H544" s="422"/>
      <c r="I544" s="422"/>
      <c r="J544" s="418"/>
      <c r="K544" s="403"/>
      <c r="L544" s="73"/>
      <c r="M544" s="72"/>
      <c r="N544" s="72"/>
      <c r="O544" s="72"/>
      <c r="P544" s="42"/>
      <c r="Q544" s="42"/>
      <c r="R544" s="42"/>
      <c r="S544" s="42"/>
      <c r="T544" s="42"/>
      <c r="U544" s="42"/>
      <c r="V544" s="416"/>
      <c r="W544" s="42"/>
      <c r="X544" s="74"/>
      <c r="Y544" s="74"/>
      <c r="Z544" s="74"/>
      <c r="AA544" s="74"/>
      <c r="AB544" s="74"/>
      <c r="AC544" s="42"/>
      <c r="AD544" s="42"/>
      <c r="AE544" s="42"/>
      <c r="AF544" s="42"/>
      <c r="AG544" s="42"/>
      <c r="AH544" s="42"/>
      <c r="AI544" s="75"/>
      <c r="AJ544" s="75"/>
      <c r="AK544" s="75"/>
      <c r="AL544" s="75"/>
      <c r="AM544" s="74"/>
      <c r="AN544" s="72" t="e">
        <f>VLOOKUP(H544,[4]Planilha1!A$13:P$314,16,0)</f>
        <v>#N/A</v>
      </c>
    </row>
    <row r="545" spans="1:40" s="69" customFormat="1" x14ac:dyDescent="0.25">
      <c r="A545" s="88"/>
      <c r="B545" s="88"/>
      <c r="C545" s="70"/>
      <c r="D545" s="70"/>
      <c r="E545" s="70"/>
      <c r="F545" s="70"/>
      <c r="G545" s="70"/>
      <c r="H545" s="422"/>
      <c r="I545" s="422"/>
      <c r="J545" s="418"/>
      <c r="K545" s="403"/>
      <c r="L545" s="73"/>
      <c r="M545" s="72"/>
      <c r="N545" s="72"/>
      <c r="O545" s="72"/>
      <c r="P545" s="42"/>
      <c r="Q545" s="42"/>
      <c r="R545" s="42"/>
      <c r="S545" s="42"/>
      <c r="T545" s="42"/>
      <c r="U545" s="42"/>
      <c r="V545" s="416"/>
      <c r="W545" s="42"/>
      <c r="X545" s="74"/>
      <c r="Y545" s="74"/>
      <c r="Z545" s="74"/>
      <c r="AA545" s="74"/>
      <c r="AB545" s="74"/>
      <c r="AC545" s="42"/>
      <c r="AD545" s="42"/>
      <c r="AE545" s="42"/>
      <c r="AF545" s="42"/>
      <c r="AG545" s="42"/>
      <c r="AH545" s="42"/>
      <c r="AI545" s="75"/>
      <c r="AJ545" s="75"/>
      <c r="AK545" s="75"/>
      <c r="AL545" s="75"/>
      <c r="AM545" s="74"/>
      <c r="AN545" s="72" t="e">
        <f>VLOOKUP(H545,[4]Planilha1!A$13:P$314,16,0)</f>
        <v>#N/A</v>
      </c>
    </row>
    <row r="546" spans="1:40" s="69" customFormat="1" x14ac:dyDescent="0.25">
      <c r="A546" s="88"/>
      <c r="B546" s="88"/>
      <c r="C546" s="70"/>
      <c r="D546" s="70"/>
      <c r="E546" s="70"/>
      <c r="F546" s="70"/>
      <c r="G546" s="70"/>
      <c r="H546" s="422"/>
      <c r="I546" s="422"/>
      <c r="J546" s="418"/>
      <c r="K546" s="403"/>
      <c r="L546" s="73"/>
      <c r="M546" s="72"/>
      <c r="N546" s="72"/>
      <c r="O546" s="72"/>
      <c r="P546" s="42"/>
      <c r="Q546" s="42"/>
      <c r="R546" s="42"/>
      <c r="S546" s="42"/>
      <c r="T546" s="42"/>
      <c r="U546" s="42"/>
      <c r="V546" s="416"/>
      <c r="W546" s="42"/>
      <c r="X546" s="74"/>
      <c r="Y546" s="74"/>
      <c r="Z546" s="74"/>
      <c r="AA546" s="74"/>
      <c r="AB546" s="74"/>
      <c r="AC546" s="42"/>
      <c r="AD546" s="42"/>
      <c r="AE546" s="42"/>
      <c r="AF546" s="42"/>
      <c r="AG546" s="42"/>
      <c r="AH546" s="42"/>
      <c r="AI546" s="75"/>
      <c r="AJ546" s="75"/>
      <c r="AK546" s="75"/>
      <c r="AL546" s="75"/>
      <c r="AM546" s="74"/>
      <c r="AN546" s="72" t="e">
        <f>VLOOKUP(H546,[4]Planilha1!A$13:P$314,16,0)</f>
        <v>#N/A</v>
      </c>
    </row>
    <row r="547" spans="1:40" s="69" customFormat="1" x14ac:dyDescent="0.25">
      <c r="A547" s="88"/>
      <c r="B547" s="88"/>
      <c r="C547" s="70"/>
      <c r="D547" s="70"/>
      <c r="E547" s="70"/>
      <c r="F547" s="70"/>
      <c r="G547" s="70"/>
      <c r="H547" s="422"/>
      <c r="I547" s="422"/>
      <c r="J547" s="418"/>
      <c r="K547" s="403"/>
      <c r="L547" s="73"/>
      <c r="M547" s="72"/>
      <c r="N547" s="72"/>
      <c r="O547" s="72"/>
      <c r="P547" s="42"/>
      <c r="Q547" s="42"/>
      <c r="R547" s="42"/>
      <c r="S547" s="42"/>
      <c r="T547" s="42"/>
      <c r="U547" s="42"/>
      <c r="V547" s="416"/>
      <c r="W547" s="42"/>
      <c r="X547" s="74"/>
      <c r="Y547" s="74"/>
      <c r="Z547" s="74"/>
      <c r="AA547" s="74"/>
      <c r="AB547" s="74"/>
      <c r="AC547" s="42"/>
      <c r="AD547" s="42"/>
      <c r="AE547" s="42"/>
      <c r="AF547" s="42"/>
      <c r="AG547" s="42"/>
      <c r="AH547" s="42"/>
      <c r="AI547" s="75"/>
      <c r="AJ547" s="75"/>
      <c r="AK547" s="75"/>
      <c r="AL547" s="75"/>
      <c r="AM547" s="74"/>
      <c r="AN547" s="72" t="e">
        <f>VLOOKUP(H547,[4]Planilha1!A$13:P$314,16,0)</f>
        <v>#N/A</v>
      </c>
    </row>
    <row r="548" spans="1:40" s="69" customFormat="1" x14ac:dyDescent="0.25">
      <c r="A548" s="88"/>
      <c r="B548" s="88"/>
      <c r="C548" s="70"/>
      <c r="D548" s="70"/>
      <c r="E548" s="70"/>
      <c r="F548" s="70"/>
      <c r="G548" s="70"/>
      <c r="H548" s="422"/>
      <c r="I548" s="422"/>
      <c r="J548" s="418"/>
      <c r="K548" s="403"/>
      <c r="L548" s="73"/>
      <c r="M548" s="72"/>
      <c r="N548" s="72"/>
      <c r="O548" s="72"/>
      <c r="P548" s="42"/>
      <c r="Q548" s="42"/>
      <c r="R548" s="42"/>
      <c r="S548" s="42"/>
      <c r="T548" s="42"/>
      <c r="U548" s="42"/>
      <c r="V548" s="416"/>
      <c r="W548" s="42"/>
      <c r="X548" s="74"/>
      <c r="Y548" s="74"/>
      <c r="Z548" s="74"/>
      <c r="AA548" s="74"/>
      <c r="AB548" s="74"/>
      <c r="AC548" s="42"/>
      <c r="AD548" s="42"/>
      <c r="AE548" s="42"/>
      <c r="AF548" s="42"/>
      <c r="AG548" s="42"/>
      <c r="AH548" s="42"/>
      <c r="AI548" s="75"/>
      <c r="AJ548" s="75"/>
      <c r="AK548" s="75"/>
      <c r="AL548" s="75"/>
      <c r="AM548" s="74"/>
      <c r="AN548" s="72" t="e">
        <f>VLOOKUP(H548,[4]Planilha1!A$13:P$314,16,0)</f>
        <v>#N/A</v>
      </c>
    </row>
    <row r="549" spans="1:40" s="69" customFormat="1" x14ac:dyDescent="0.25">
      <c r="A549" s="88"/>
      <c r="B549" s="88"/>
      <c r="C549" s="70"/>
      <c r="D549" s="70"/>
      <c r="E549" s="70"/>
      <c r="F549" s="70"/>
      <c r="G549" s="70"/>
      <c r="H549" s="422"/>
      <c r="I549" s="422"/>
      <c r="J549" s="418"/>
      <c r="K549" s="403"/>
      <c r="L549" s="73"/>
      <c r="M549" s="72"/>
      <c r="N549" s="72"/>
      <c r="O549" s="72"/>
      <c r="P549" s="42"/>
      <c r="Q549" s="42"/>
      <c r="R549" s="42"/>
      <c r="S549" s="42"/>
      <c r="T549" s="42"/>
      <c r="U549" s="42"/>
      <c r="V549" s="416"/>
      <c r="W549" s="42"/>
      <c r="X549" s="74"/>
      <c r="Y549" s="74"/>
      <c r="Z549" s="74"/>
      <c r="AA549" s="74"/>
      <c r="AB549" s="74"/>
      <c r="AC549" s="42"/>
      <c r="AD549" s="42"/>
      <c r="AE549" s="42"/>
      <c r="AF549" s="42"/>
      <c r="AG549" s="42"/>
      <c r="AH549" s="42"/>
      <c r="AI549" s="75"/>
      <c r="AJ549" s="75"/>
      <c r="AK549" s="75"/>
      <c r="AL549" s="75"/>
      <c r="AM549" s="74"/>
      <c r="AN549" s="72" t="e">
        <f>VLOOKUP(H549,[4]Planilha1!A$13:P$314,16,0)</f>
        <v>#N/A</v>
      </c>
    </row>
    <row r="550" spans="1:40" s="69" customFormat="1" x14ac:dyDescent="0.25">
      <c r="A550" s="88"/>
      <c r="B550" s="88"/>
      <c r="C550" s="70"/>
      <c r="D550" s="70"/>
      <c r="E550" s="70"/>
      <c r="F550" s="70"/>
      <c r="G550" s="70"/>
      <c r="H550" s="422"/>
      <c r="I550" s="422"/>
      <c r="J550" s="418"/>
      <c r="K550" s="403"/>
      <c r="L550" s="73"/>
      <c r="M550" s="72"/>
      <c r="N550" s="72"/>
      <c r="O550" s="72"/>
      <c r="P550" s="42"/>
      <c r="Q550" s="42"/>
      <c r="R550" s="42"/>
      <c r="S550" s="42"/>
      <c r="T550" s="42"/>
      <c r="U550" s="42"/>
      <c r="V550" s="416"/>
      <c r="W550" s="42"/>
      <c r="X550" s="74"/>
      <c r="Y550" s="74"/>
      <c r="Z550" s="74"/>
      <c r="AA550" s="74"/>
      <c r="AB550" s="74"/>
      <c r="AC550" s="42"/>
      <c r="AD550" s="42"/>
      <c r="AE550" s="42"/>
      <c r="AF550" s="42"/>
      <c r="AG550" s="42"/>
      <c r="AH550" s="42"/>
      <c r="AI550" s="75"/>
      <c r="AJ550" s="75"/>
      <c r="AK550" s="75"/>
      <c r="AL550" s="75"/>
      <c r="AM550" s="74"/>
      <c r="AN550" s="72" t="e">
        <f>VLOOKUP(H550,[4]Planilha1!A$13:P$314,16,0)</f>
        <v>#N/A</v>
      </c>
    </row>
    <row r="551" spans="1:40" s="69" customFormat="1" x14ac:dyDescent="0.25">
      <c r="A551" s="88"/>
      <c r="B551" s="88"/>
      <c r="C551" s="70"/>
      <c r="D551" s="70"/>
      <c r="E551" s="70"/>
      <c r="F551" s="70"/>
      <c r="G551" s="70"/>
      <c r="H551" s="422"/>
      <c r="I551" s="422"/>
      <c r="J551" s="418"/>
      <c r="K551" s="403"/>
      <c r="L551" s="73"/>
      <c r="M551" s="72"/>
      <c r="N551" s="72"/>
      <c r="O551" s="72"/>
      <c r="P551" s="42"/>
      <c r="Q551" s="42"/>
      <c r="R551" s="42"/>
      <c r="S551" s="42"/>
      <c r="T551" s="42"/>
      <c r="U551" s="42"/>
      <c r="V551" s="416"/>
      <c r="W551" s="42"/>
      <c r="X551" s="74"/>
      <c r="Y551" s="74"/>
      <c r="Z551" s="74"/>
      <c r="AA551" s="74"/>
      <c r="AB551" s="74"/>
      <c r="AC551" s="42"/>
      <c r="AD551" s="42"/>
      <c r="AE551" s="42"/>
      <c r="AF551" s="42"/>
      <c r="AG551" s="42"/>
      <c r="AH551" s="42"/>
      <c r="AI551" s="75"/>
      <c r="AJ551" s="75"/>
      <c r="AK551" s="75"/>
      <c r="AL551" s="75"/>
      <c r="AM551" s="74"/>
      <c r="AN551" s="72" t="e">
        <f>VLOOKUP(H551,[4]Planilha1!A$13:P$314,16,0)</f>
        <v>#N/A</v>
      </c>
    </row>
    <row r="552" spans="1:40" s="69" customFormat="1" x14ac:dyDescent="0.25">
      <c r="A552" s="88"/>
      <c r="B552" s="88"/>
      <c r="C552" s="70"/>
      <c r="D552" s="70"/>
      <c r="E552" s="70"/>
      <c r="F552" s="70"/>
      <c r="G552" s="70"/>
      <c r="H552" s="422"/>
      <c r="I552" s="422"/>
      <c r="J552" s="418"/>
      <c r="K552" s="403"/>
      <c r="L552" s="73"/>
      <c r="M552" s="72"/>
      <c r="N552" s="72"/>
      <c r="O552" s="72"/>
      <c r="P552" s="42"/>
      <c r="Q552" s="42"/>
      <c r="R552" s="42"/>
      <c r="S552" s="42"/>
      <c r="T552" s="42"/>
      <c r="U552" s="42"/>
      <c r="V552" s="416"/>
      <c r="W552" s="42"/>
      <c r="X552" s="74"/>
      <c r="Y552" s="74"/>
      <c r="Z552" s="74"/>
      <c r="AA552" s="74"/>
      <c r="AB552" s="74"/>
      <c r="AC552" s="42"/>
      <c r="AD552" s="42"/>
      <c r="AE552" s="42"/>
      <c r="AF552" s="42"/>
      <c r="AG552" s="42"/>
      <c r="AH552" s="42"/>
      <c r="AI552" s="75"/>
      <c r="AJ552" s="75"/>
      <c r="AK552" s="75"/>
      <c r="AL552" s="75"/>
      <c r="AM552" s="74"/>
      <c r="AN552" s="72" t="e">
        <f>VLOOKUP(H552,[4]Planilha1!A$13:P$314,16,0)</f>
        <v>#N/A</v>
      </c>
    </row>
    <row r="553" spans="1:40" s="69" customFormat="1" x14ac:dyDescent="0.25">
      <c r="A553" s="88"/>
      <c r="B553" s="88"/>
      <c r="C553" s="70"/>
      <c r="D553" s="70"/>
      <c r="E553" s="70"/>
      <c r="F553" s="70"/>
      <c r="G553" s="70"/>
      <c r="H553" s="422"/>
      <c r="I553" s="422"/>
      <c r="J553" s="418"/>
      <c r="K553" s="403"/>
      <c r="L553" s="73"/>
      <c r="M553" s="72"/>
      <c r="N553" s="72"/>
      <c r="O553" s="72"/>
      <c r="P553" s="42"/>
      <c r="Q553" s="42"/>
      <c r="R553" s="42"/>
      <c r="S553" s="42"/>
      <c r="T553" s="42"/>
      <c r="U553" s="42"/>
      <c r="V553" s="416"/>
      <c r="W553" s="42"/>
      <c r="X553" s="74"/>
      <c r="Y553" s="74"/>
      <c r="Z553" s="74"/>
      <c r="AA553" s="74"/>
      <c r="AB553" s="74"/>
      <c r="AC553" s="42"/>
      <c r="AD553" s="42"/>
      <c r="AE553" s="42"/>
      <c r="AF553" s="42"/>
      <c r="AG553" s="42"/>
      <c r="AH553" s="42"/>
      <c r="AI553" s="75"/>
      <c r="AJ553" s="75"/>
      <c r="AK553" s="75"/>
      <c r="AL553" s="75"/>
      <c r="AM553" s="74"/>
      <c r="AN553" s="72" t="e">
        <f>VLOOKUP(H553,[4]Planilha1!A$13:P$314,16,0)</f>
        <v>#N/A</v>
      </c>
    </row>
    <row r="554" spans="1:40" s="69" customFormat="1" x14ac:dyDescent="0.25">
      <c r="A554" s="88"/>
      <c r="B554" s="88"/>
      <c r="C554" s="70"/>
      <c r="D554" s="70"/>
      <c r="E554" s="70"/>
      <c r="F554" s="70"/>
      <c r="G554" s="70"/>
      <c r="H554" s="422"/>
      <c r="I554" s="422"/>
      <c r="J554" s="418"/>
      <c r="K554" s="403"/>
      <c r="L554" s="73"/>
      <c r="M554" s="72"/>
      <c r="N554" s="72"/>
      <c r="O554" s="72"/>
      <c r="P554" s="42"/>
      <c r="Q554" s="42"/>
      <c r="R554" s="42"/>
      <c r="S554" s="42"/>
      <c r="T554" s="42"/>
      <c r="U554" s="42"/>
      <c r="V554" s="416"/>
      <c r="W554" s="42"/>
      <c r="X554" s="74"/>
      <c r="Y554" s="74"/>
      <c r="Z554" s="74"/>
      <c r="AA554" s="74"/>
      <c r="AB554" s="74"/>
      <c r="AC554" s="42"/>
      <c r="AD554" s="42"/>
      <c r="AE554" s="42"/>
      <c r="AF554" s="42"/>
      <c r="AG554" s="42"/>
      <c r="AH554" s="42"/>
      <c r="AI554" s="75"/>
      <c r="AJ554" s="75"/>
      <c r="AK554" s="75"/>
      <c r="AL554" s="75"/>
      <c r="AM554" s="74"/>
      <c r="AN554" s="72" t="e">
        <f>VLOOKUP(H554,[4]Planilha1!A$13:P$314,16,0)</f>
        <v>#N/A</v>
      </c>
    </row>
    <row r="555" spans="1:40" s="69" customFormat="1" x14ac:dyDescent="0.25">
      <c r="A555" s="88"/>
      <c r="B555" s="88"/>
      <c r="C555" s="70"/>
      <c r="D555" s="70"/>
      <c r="E555" s="70"/>
      <c r="F555" s="70"/>
      <c r="G555" s="70"/>
      <c r="H555" s="422"/>
      <c r="I555" s="422"/>
      <c r="J555" s="418"/>
      <c r="K555" s="403"/>
      <c r="L555" s="73"/>
      <c r="M555" s="72"/>
      <c r="N555" s="72"/>
      <c r="O555" s="72"/>
      <c r="P555" s="42"/>
      <c r="Q555" s="42"/>
      <c r="R555" s="42"/>
      <c r="S555" s="42"/>
      <c r="T555" s="42"/>
      <c r="U555" s="42"/>
      <c r="V555" s="416"/>
      <c r="W555" s="42"/>
      <c r="X555" s="74"/>
      <c r="Y555" s="74"/>
      <c r="Z555" s="74"/>
      <c r="AA555" s="74"/>
      <c r="AB555" s="74"/>
      <c r="AC555" s="42"/>
      <c r="AD555" s="42"/>
      <c r="AE555" s="42"/>
      <c r="AF555" s="42"/>
      <c r="AG555" s="42"/>
      <c r="AH555" s="42"/>
      <c r="AI555" s="75"/>
      <c r="AJ555" s="75"/>
      <c r="AK555" s="75"/>
      <c r="AL555" s="75"/>
      <c r="AM555" s="74"/>
      <c r="AN555" s="72" t="e">
        <f>VLOOKUP(H555,[4]Planilha1!A$13:P$314,16,0)</f>
        <v>#N/A</v>
      </c>
    </row>
    <row r="556" spans="1:40" s="69" customFormat="1" x14ac:dyDescent="0.25">
      <c r="A556" s="88"/>
      <c r="B556" s="88"/>
      <c r="C556" s="70"/>
      <c r="D556" s="70"/>
      <c r="E556" s="70"/>
      <c r="F556" s="70"/>
      <c r="G556" s="70"/>
      <c r="H556" s="422"/>
      <c r="I556" s="422"/>
      <c r="J556" s="418"/>
      <c r="K556" s="403"/>
      <c r="L556" s="73"/>
      <c r="M556" s="72"/>
      <c r="N556" s="72"/>
      <c r="O556" s="72"/>
      <c r="P556" s="42"/>
      <c r="Q556" s="42"/>
      <c r="R556" s="42"/>
      <c r="S556" s="42"/>
      <c r="T556" s="42"/>
      <c r="U556" s="42"/>
      <c r="V556" s="416"/>
      <c r="W556" s="42"/>
      <c r="X556" s="74"/>
      <c r="Y556" s="74"/>
      <c r="Z556" s="74"/>
      <c r="AA556" s="74"/>
      <c r="AB556" s="74"/>
      <c r="AC556" s="42"/>
      <c r="AD556" s="42"/>
      <c r="AE556" s="42"/>
      <c r="AF556" s="42"/>
      <c r="AG556" s="42"/>
      <c r="AH556" s="42"/>
      <c r="AI556" s="75"/>
      <c r="AJ556" s="75"/>
      <c r="AK556" s="75"/>
      <c r="AL556" s="75"/>
      <c r="AM556" s="74"/>
      <c r="AN556" s="72" t="e">
        <f>VLOOKUP(H556,[4]Planilha1!A$13:P$314,16,0)</f>
        <v>#N/A</v>
      </c>
    </row>
    <row r="557" spans="1:40" s="69" customFormat="1" x14ac:dyDescent="0.25">
      <c r="A557" s="88"/>
      <c r="B557" s="88"/>
      <c r="C557" s="70"/>
      <c r="D557" s="70"/>
      <c r="E557" s="70"/>
      <c r="F557" s="70"/>
      <c r="G557" s="70"/>
      <c r="H557" s="422"/>
      <c r="I557" s="422"/>
      <c r="J557" s="418"/>
      <c r="K557" s="403"/>
      <c r="L557" s="73"/>
      <c r="M557" s="72"/>
      <c r="N557" s="72"/>
      <c r="O557" s="72"/>
      <c r="P557" s="42"/>
      <c r="Q557" s="42"/>
      <c r="R557" s="42"/>
      <c r="S557" s="42"/>
      <c r="T557" s="42"/>
      <c r="U557" s="42"/>
      <c r="V557" s="416"/>
      <c r="W557" s="42"/>
      <c r="X557" s="74"/>
      <c r="Y557" s="74"/>
      <c r="Z557" s="74"/>
      <c r="AA557" s="74"/>
      <c r="AB557" s="74"/>
      <c r="AC557" s="42"/>
      <c r="AD557" s="42"/>
      <c r="AE557" s="42"/>
      <c r="AF557" s="42"/>
      <c r="AG557" s="42"/>
      <c r="AH557" s="42"/>
      <c r="AI557" s="75"/>
      <c r="AJ557" s="75"/>
      <c r="AK557" s="75"/>
      <c r="AL557" s="75"/>
      <c r="AM557" s="74"/>
      <c r="AN557" s="72" t="e">
        <f>VLOOKUP(H557,[4]Planilha1!A$13:P$314,16,0)</f>
        <v>#N/A</v>
      </c>
    </row>
    <row r="558" spans="1:40" s="69" customFormat="1" x14ac:dyDescent="0.25">
      <c r="A558" s="88"/>
      <c r="B558" s="88"/>
      <c r="C558" s="70"/>
      <c r="D558" s="70"/>
      <c r="E558" s="70"/>
      <c r="F558" s="70"/>
      <c r="G558" s="70"/>
      <c r="H558" s="422"/>
      <c r="I558" s="422"/>
      <c r="J558" s="418"/>
      <c r="K558" s="403"/>
      <c r="L558" s="73"/>
      <c r="M558" s="72"/>
      <c r="N558" s="72"/>
      <c r="O558" s="72"/>
      <c r="P558" s="42"/>
      <c r="Q558" s="42"/>
      <c r="R558" s="42"/>
      <c r="S558" s="42"/>
      <c r="T558" s="42"/>
      <c r="U558" s="42"/>
      <c r="V558" s="416"/>
      <c r="W558" s="42"/>
      <c r="X558" s="74"/>
      <c r="Y558" s="74"/>
      <c r="Z558" s="74"/>
      <c r="AA558" s="74"/>
      <c r="AB558" s="74"/>
      <c r="AC558" s="42"/>
      <c r="AD558" s="42"/>
      <c r="AE558" s="42"/>
      <c r="AF558" s="42"/>
      <c r="AG558" s="42"/>
      <c r="AH558" s="42"/>
      <c r="AI558" s="75"/>
      <c r="AJ558" s="75"/>
      <c r="AK558" s="75"/>
      <c r="AL558" s="75"/>
      <c r="AM558" s="74"/>
      <c r="AN558" s="72" t="e">
        <f>VLOOKUP(H558,[4]Planilha1!A$13:P$314,16,0)</f>
        <v>#N/A</v>
      </c>
    </row>
    <row r="559" spans="1:40" s="69" customFormat="1" x14ac:dyDescent="0.25">
      <c r="A559" s="88"/>
      <c r="B559" s="88"/>
      <c r="C559" s="70"/>
      <c r="D559" s="70"/>
      <c r="E559" s="70"/>
      <c r="F559" s="70"/>
      <c r="G559" s="70"/>
      <c r="H559" s="422"/>
      <c r="I559" s="422"/>
      <c r="J559" s="418"/>
      <c r="K559" s="403"/>
      <c r="L559" s="73"/>
      <c r="M559" s="72"/>
      <c r="N559" s="72"/>
      <c r="O559" s="72"/>
      <c r="P559" s="42"/>
      <c r="Q559" s="42"/>
      <c r="R559" s="42"/>
      <c r="S559" s="42"/>
      <c r="T559" s="42"/>
      <c r="U559" s="42"/>
      <c r="V559" s="416"/>
      <c r="W559" s="42"/>
      <c r="X559" s="74"/>
      <c r="Y559" s="74"/>
      <c r="Z559" s="74"/>
      <c r="AA559" s="74"/>
      <c r="AB559" s="74"/>
      <c r="AC559" s="42"/>
      <c r="AD559" s="42"/>
      <c r="AE559" s="42"/>
      <c r="AF559" s="42"/>
      <c r="AG559" s="42"/>
      <c r="AH559" s="42"/>
      <c r="AI559" s="75"/>
      <c r="AJ559" s="75"/>
      <c r="AK559" s="75"/>
      <c r="AL559" s="75"/>
      <c r="AM559" s="74"/>
      <c r="AN559" s="72" t="e">
        <f>VLOOKUP(H559,[4]Planilha1!A$13:P$314,16,0)</f>
        <v>#N/A</v>
      </c>
    </row>
    <row r="560" spans="1:40" s="69" customFormat="1" x14ac:dyDescent="0.25">
      <c r="A560" s="88"/>
      <c r="B560" s="88"/>
      <c r="C560" s="70"/>
      <c r="D560" s="70"/>
      <c r="E560" s="70"/>
      <c r="F560" s="70"/>
      <c r="G560" s="70"/>
      <c r="H560" s="422"/>
      <c r="I560" s="422"/>
      <c r="J560" s="418"/>
      <c r="K560" s="403"/>
      <c r="L560" s="73"/>
      <c r="M560" s="72"/>
      <c r="N560" s="72"/>
      <c r="O560" s="72"/>
      <c r="P560" s="42"/>
      <c r="Q560" s="42"/>
      <c r="R560" s="42"/>
      <c r="S560" s="42"/>
      <c r="T560" s="42"/>
      <c r="U560" s="42"/>
      <c r="V560" s="416"/>
      <c r="W560" s="42"/>
      <c r="X560" s="74"/>
      <c r="Y560" s="74"/>
      <c r="Z560" s="74"/>
      <c r="AA560" s="74"/>
      <c r="AB560" s="74"/>
      <c r="AC560" s="42"/>
      <c r="AD560" s="42"/>
      <c r="AE560" s="42"/>
      <c r="AF560" s="42"/>
      <c r="AG560" s="42"/>
      <c r="AH560" s="42"/>
      <c r="AI560" s="75"/>
      <c r="AJ560" s="75"/>
      <c r="AK560" s="75"/>
      <c r="AL560" s="75"/>
      <c r="AM560" s="74"/>
      <c r="AN560" s="72" t="e">
        <f>VLOOKUP(H560,[4]Planilha1!A$13:P$314,16,0)</f>
        <v>#N/A</v>
      </c>
    </row>
    <row r="561" spans="1:40" s="69" customFormat="1" x14ac:dyDescent="0.25">
      <c r="A561" s="88"/>
      <c r="B561" s="88"/>
      <c r="C561" s="70"/>
      <c r="D561" s="70"/>
      <c r="E561" s="70"/>
      <c r="F561" s="70"/>
      <c r="G561" s="70"/>
      <c r="H561" s="422"/>
      <c r="I561" s="422"/>
      <c r="J561" s="418"/>
      <c r="K561" s="403"/>
      <c r="L561" s="73"/>
      <c r="M561" s="72"/>
      <c r="N561" s="72"/>
      <c r="O561" s="72"/>
      <c r="P561" s="42"/>
      <c r="Q561" s="42"/>
      <c r="R561" s="42"/>
      <c r="S561" s="42"/>
      <c r="T561" s="42"/>
      <c r="U561" s="42"/>
      <c r="V561" s="416"/>
      <c r="W561" s="42"/>
      <c r="X561" s="74"/>
      <c r="Y561" s="74"/>
      <c r="Z561" s="74"/>
      <c r="AA561" s="74"/>
      <c r="AB561" s="74"/>
      <c r="AC561" s="42"/>
      <c r="AD561" s="42"/>
      <c r="AE561" s="42"/>
      <c r="AF561" s="42"/>
      <c r="AG561" s="42"/>
      <c r="AH561" s="42"/>
      <c r="AI561" s="75"/>
      <c r="AJ561" s="75"/>
      <c r="AK561" s="75"/>
      <c r="AL561" s="75"/>
      <c r="AM561" s="74"/>
      <c r="AN561" s="72" t="e">
        <f>VLOOKUP(H561,[4]Planilha1!A$13:P$314,16,0)</f>
        <v>#N/A</v>
      </c>
    </row>
    <row r="562" spans="1:40" s="69" customFormat="1" x14ac:dyDescent="0.25">
      <c r="A562" s="88"/>
      <c r="B562" s="88"/>
      <c r="C562" s="70"/>
      <c r="D562" s="70"/>
      <c r="E562" s="70"/>
      <c r="F562" s="70"/>
      <c r="G562" s="70"/>
      <c r="H562" s="422"/>
      <c r="I562" s="422"/>
      <c r="J562" s="418"/>
      <c r="K562" s="403"/>
      <c r="L562" s="73"/>
      <c r="M562" s="72"/>
      <c r="N562" s="72"/>
      <c r="O562" s="72"/>
      <c r="P562" s="42"/>
      <c r="Q562" s="42"/>
      <c r="R562" s="42"/>
      <c r="S562" s="42"/>
      <c r="T562" s="42"/>
      <c r="U562" s="42"/>
      <c r="V562" s="416"/>
      <c r="W562" s="42"/>
      <c r="X562" s="74"/>
      <c r="Y562" s="74"/>
      <c r="Z562" s="74"/>
      <c r="AA562" s="74"/>
      <c r="AB562" s="74"/>
      <c r="AC562" s="42"/>
      <c r="AD562" s="42"/>
      <c r="AE562" s="42"/>
      <c r="AF562" s="42"/>
      <c r="AG562" s="42"/>
      <c r="AH562" s="42"/>
      <c r="AI562" s="75"/>
      <c r="AJ562" s="75"/>
      <c r="AK562" s="75"/>
      <c r="AL562" s="75"/>
      <c r="AM562" s="74"/>
      <c r="AN562" s="72" t="e">
        <f>VLOOKUP(H562,[4]Planilha1!A$13:P$314,16,0)</f>
        <v>#N/A</v>
      </c>
    </row>
    <row r="563" spans="1:40" s="69" customFormat="1" x14ac:dyDescent="0.25">
      <c r="A563" s="88"/>
      <c r="B563" s="88"/>
      <c r="C563" s="70"/>
      <c r="D563" s="70"/>
      <c r="E563" s="70"/>
      <c r="F563" s="70"/>
      <c r="G563" s="70"/>
      <c r="H563" s="422"/>
      <c r="I563" s="422"/>
      <c r="J563" s="418"/>
      <c r="K563" s="403"/>
      <c r="L563" s="73"/>
      <c r="M563" s="72"/>
      <c r="N563" s="72"/>
      <c r="O563" s="72"/>
      <c r="P563" s="42"/>
      <c r="Q563" s="42"/>
      <c r="R563" s="42"/>
      <c r="S563" s="42"/>
      <c r="T563" s="42"/>
      <c r="U563" s="42"/>
      <c r="V563" s="416"/>
      <c r="W563" s="42"/>
      <c r="X563" s="74"/>
      <c r="Y563" s="74"/>
      <c r="Z563" s="74"/>
      <c r="AA563" s="74"/>
      <c r="AB563" s="74"/>
      <c r="AC563" s="42"/>
      <c r="AD563" s="42"/>
      <c r="AE563" s="42"/>
      <c r="AF563" s="42"/>
      <c r="AG563" s="42"/>
      <c r="AH563" s="42"/>
      <c r="AI563" s="75"/>
      <c r="AJ563" s="75"/>
      <c r="AK563" s="75"/>
      <c r="AL563" s="75"/>
      <c r="AM563" s="74"/>
      <c r="AN563" s="72" t="e">
        <f>VLOOKUP(H563,[4]Planilha1!A$13:P$314,16,0)</f>
        <v>#N/A</v>
      </c>
    </row>
    <row r="564" spans="1:40" s="69" customFormat="1" x14ac:dyDescent="0.25">
      <c r="A564" s="88"/>
      <c r="B564" s="88"/>
      <c r="C564" s="70"/>
      <c r="D564" s="70"/>
      <c r="E564" s="70"/>
      <c r="F564" s="70"/>
      <c r="G564" s="70"/>
      <c r="H564" s="422"/>
      <c r="I564" s="422"/>
      <c r="J564" s="418"/>
      <c r="K564" s="403"/>
      <c r="L564" s="73"/>
      <c r="M564" s="72"/>
      <c r="N564" s="72"/>
      <c r="O564" s="72"/>
      <c r="P564" s="42"/>
      <c r="Q564" s="42"/>
      <c r="R564" s="42"/>
      <c r="S564" s="42"/>
      <c r="T564" s="42"/>
      <c r="U564" s="42"/>
      <c r="V564" s="416"/>
      <c r="W564" s="42"/>
      <c r="X564" s="74"/>
      <c r="Y564" s="74"/>
      <c r="Z564" s="74"/>
      <c r="AA564" s="74"/>
      <c r="AB564" s="74"/>
      <c r="AC564" s="42"/>
      <c r="AD564" s="42"/>
      <c r="AE564" s="42"/>
      <c r="AF564" s="42"/>
      <c r="AG564" s="42"/>
      <c r="AH564" s="42"/>
      <c r="AI564" s="75"/>
      <c r="AJ564" s="75"/>
      <c r="AK564" s="75"/>
      <c r="AL564" s="75"/>
      <c r="AM564" s="74"/>
      <c r="AN564" s="72" t="e">
        <f>VLOOKUP(H564,[4]Planilha1!A$13:P$314,16,0)</f>
        <v>#N/A</v>
      </c>
    </row>
    <row r="565" spans="1:40" s="69" customFormat="1" x14ac:dyDescent="0.25">
      <c r="A565" s="88"/>
      <c r="B565" s="88"/>
      <c r="C565" s="70"/>
      <c r="D565" s="70"/>
      <c r="E565" s="70"/>
      <c r="F565" s="70"/>
      <c r="G565" s="70"/>
      <c r="H565" s="422"/>
      <c r="I565" s="422"/>
      <c r="J565" s="418"/>
      <c r="K565" s="403"/>
      <c r="L565" s="73"/>
      <c r="M565" s="72"/>
      <c r="N565" s="72"/>
      <c r="O565" s="72"/>
      <c r="P565" s="42"/>
      <c r="Q565" s="42"/>
      <c r="R565" s="42"/>
      <c r="S565" s="42"/>
      <c r="T565" s="42"/>
      <c r="U565" s="42"/>
      <c r="V565" s="416"/>
      <c r="W565" s="42"/>
      <c r="X565" s="74"/>
      <c r="Y565" s="74"/>
      <c r="Z565" s="74"/>
      <c r="AA565" s="74"/>
      <c r="AB565" s="74"/>
      <c r="AC565" s="42"/>
      <c r="AD565" s="42"/>
      <c r="AE565" s="42"/>
      <c r="AF565" s="42"/>
      <c r="AG565" s="42"/>
      <c r="AH565" s="42"/>
      <c r="AI565" s="75"/>
      <c r="AJ565" s="75"/>
      <c r="AK565" s="75"/>
      <c r="AL565" s="75"/>
      <c r="AM565" s="74"/>
      <c r="AN565" s="72" t="e">
        <f>VLOOKUP(H565,[4]Planilha1!A$13:P$314,16,0)</f>
        <v>#N/A</v>
      </c>
    </row>
    <row r="566" spans="1:40" s="69" customFormat="1" x14ac:dyDescent="0.25">
      <c r="A566" s="88"/>
      <c r="B566" s="88"/>
      <c r="C566" s="70"/>
      <c r="D566" s="70"/>
      <c r="E566" s="70"/>
      <c r="F566" s="70"/>
      <c r="G566" s="70"/>
      <c r="H566" s="422"/>
      <c r="I566" s="422"/>
      <c r="J566" s="418"/>
      <c r="K566" s="403"/>
      <c r="L566" s="73"/>
      <c r="M566" s="72"/>
      <c r="N566" s="72"/>
      <c r="O566" s="72"/>
      <c r="P566" s="42"/>
      <c r="Q566" s="42"/>
      <c r="R566" s="42"/>
      <c r="S566" s="42"/>
      <c r="T566" s="42"/>
      <c r="U566" s="42"/>
      <c r="V566" s="416"/>
      <c r="W566" s="42"/>
      <c r="X566" s="74"/>
      <c r="Y566" s="74"/>
      <c r="Z566" s="74"/>
      <c r="AA566" s="74"/>
      <c r="AB566" s="74"/>
      <c r="AC566" s="42"/>
      <c r="AD566" s="42"/>
      <c r="AE566" s="42"/>
      <c r="AF566" s="42"/>
      <c r="AG566" s="42"/>
      <c r="AH566" s="42"/>
      <c r="AI566" s="75"/>
      <c r="AJ566" s="75"/>
      <c r="AK566" s="75"/>
      <c r="AL566" s="75"/>
      <c r="AM566" s="74"/>
      <c r="AN566" s="72" t="e">
        <f>VLOOKUP(H566,[4]Planilha1!A$13:P$314,16,0)</f>
        <v>#N/A</v>
      </c>
    </row>
    <row r="567" spans="1:40" s="69" customFormat="1" x14ac:dyDescent="0.25">
      <c r="A567" s="88"/>
      <c r="B567" s="88"/>
      <c r="C567" s="70"/>
      <c r="D567" s="70"/>
      <c r="E567" s="70"/>
      <c r="F567" s="70"/>
      <c r="G567" s="70"/>
      <c r="H567" s="422"/>
      <c r="I567" s="422"/>
      <c r="J567" s="418"/>
      <c r="K567" s="403"/>
      <c r="L567" s="73"/>
      <c r="M567" s="72"/>
      <c r="N567" s="72"/>
      <c r="O567" s="72"/>
      <c r="P567" s="42"/>
      <c r="Q567" s="42"/>
      <c r="R567" s="42"/>
      <c r="S567" s="42"/>
      <c r="T567" s="42"/>
      <c r="U567" s="42"/>
      <c r="V567" s="416"/>
      <c r="W567" s="42"/>
      <c r="X567" s="74"/>
      <c r="Y567" s="74"/>
      <c r="Z567" s="74"/>
      <c r="AA567" s="74"/>
      <c r="AB567" s="74"/>
      <c r="AC567" s="42"/>
      <c r="AD567" s="42"/>
      <c r="AE567" s="42"/>
      <c r="AF567" s="42"/>
      <c r="AG567" s="42"/>
      <c r="AH567" s="42"/>
      <c r="AI567" s="75"/>
      <c r="AJ567" s="75"/>
      <c r="AK567" s="75"/>
      <c r="AL567" s="75"/>
      <c r="AM567" s="74"/>
      <c r="AN567" s="72" t="e">
        <f>VLOOKUP(H567,[4]Planilha1!A$13:P$314,16,0)</f>
        <v>#N/A</v>
      </c>
    </row>
    <row r="568" spans="1:40" s="69" customFormat="1" x14ac:dyDescent="0.25">
      <c r="A568" s="88"/>
      <c r="B568" s="88"/>
      <c r="C568" s="70"/>
      <c r="D568" s="70"/>
      <c r="E568" s="70"/>
      <c r="F568" s="70"/>
      <c r="G568" s="70"/>
      <c r="H568" s="422"/>
      <c r="I568" s="422"/>
      <c r="J568" s="418"/>
      <c r="K568" s="403"/>
      <c r="L568" s="73"/>
      <c r="M568" s="72"/>
      <c r="N568" s="72"/>
      <c r="O568" s="72"/>
      <c r="P568" s="42"/>
      <c r="Q568" s="42"/>
      <c r="R568" s="42"/>
      <c r="S568" s="42"/>
      <c r="T568" s="42"/>
      <c r="U568" s="42"/>
      <c r="V568" s="416"/>
      <c r="W568" s="42"/>
      <c r="X568" s="74"/>
      <c r="Y568" s="74"/>
      <c r="Z568" s="74"/>
      <c r="AA568" s="74"/>
      <c r="AB568" s="74"/>
      <c r="AC568" s="42"/>
      <c r="AD568" s="42"/>
      <c r="AE568" s="42"/>
      <c r="AF568" s="42"/>
      <c r="AG568" s="42"/>
      <c r="AH568" s="42"/>
      <c r="AI568" s="75"/>
      <c r="AJ568" s="75"/>
      <c r="AK568" s="75"/>
      <c r="AL568" s="75"/>
      <c r="AM568" s="74"/>
      <c r="AN568" s="72" t="e">
        <f>VLOOKUP(H568,[4]Planilha1!A$13:P$314,16,0)</f>
        <v>#N/A</v>
      </c>
    </row>
    <row r="569" spans="1:40" s="69" customFormat="1" x14ac:dyDescent="0.25">
      <c r="A569" s="88"/>
      <c r="B569" s="88"/>
      <c r="C569" s="70"/>
      <c r="D569" s="70"/>
      <c r="E569" s="70"/>
      <c r="F569" s="70"/>
      <c r="G569" s="70"/>
      <c r="H569" s="422"/>
      <c r="I569" s="422"/>
      <c r="J569" s="418"/>
      <c r="K569" s="403"/>
      <c r="L569" s="73"/>
      <c r="M569" s="72"/>
      <c r="N569" s="72"/>
      <c r="O569" s="72"/>
      <c r="P569" s="42"/>
      <c r="Q569" s="42"/>
      <c r="R569" s="42"/>
      <c r="S569" s="42"/>
      <c r="T569" s="42"/>
      <c r="U569" s="42"/>
      <c r="V569" s="416"/>
      <c r="W569" s="42"/>
      <c r="X569" s="74"/>
      <c r="Y569" s="74"/>
      <c r="Z569" s="74"/>
      <c r="AA569" s="74"/>
      <c r="AB569" s="74"/>
      <c r="AC569" s="42"/>
      <c r="AD569" s="42"/>
      <c r="AE569" s="42"/>
      <c r="AF569" s="42"/>
      <c r="AG569" s="42"/>
      <c r="AH569" s="42"/>
      <c r="AI569" s="75"/>
      <c r="AJ569" s="75"/>
      <c r="AK569" s="75"/>
      <c r="AL569" s="75"/>
      <c r="AM569" s="74"/>
      <c r="AN569" s="72" t="e">
        <f>VLOOKUP(H569,[4]Planilha1!A$13:P$314,16,0)</f>
        <v>#N/A</v>
      </c>
    </row>
    <row r="570" spans="1:40" s="69" customFormat="1" x14ac:dyDescent="0.25">
      <c r="A570" s="88"/>
      <c r="B570" s="88"/>
      <c r="C570" s="70"/>
      <c r="D570" s="70"/>
      <c r="E570" s="70"/>
      <c r="F570" s="70"/>
      <c r="G570" s="70"/>
      <c r="H570" s="422"/>
      <c r="I570" s="422"/>
      <c r="J570" s="418"/>
      <c r="K570" s="403"/>
      <c r="L570" s="73"/>
      <c r="M570" s="72"/>
      <c r="N570" s="72"/>
      <c r="O570" s="72"/>
      <c r="P570" s="42"/>
      <c r="Q570" s="42"/>
      <c r="R570" s="42"/>
      <c r="S570" s="42"/>
      <c r="T570" s="42"/>
      <c r="U570" s="42"/>
      <c r="V570" s="416"/>
      <c r="W570" s="42"/>
      <c r="X570" s="74"/>
      <c r="Y570" s="74"/>
      <c r="Z570" s="74"/>
      <c r="AA570" s="74"/>
      <c r="AB570" s="74"/>
      <c r="AC570" s="42"/>
      <c r="AD570" s="42"/>
      <c r="AE570" s="42"/>
      <c r="AF570" s="42"/>
      <c r="AG570" s="42"/>
      <c r="AH570" s="42"/>
      <c r="AI570" s="75"/>
      <c r="AJ570" s="75"/>
      <c r="AK570" s="75"/>
      <c r="AL570" s="75"/>
      <c r="AM570" s="74"/>
      <c r="AN570" s="72" t="e">
        <f>VLOOKUP(H570,[4]Planilha1!A$13:P$314,16,0)</f>
        <v>#N/A</v>
      </c>
    </row>
    <row r="571" spans="1:40" s="69" customFormat="1" x14ac:dyDescent="0.25">
      <c r="A571" s="88"/>
      <c r="B571" s="88"/>
      <c r="C571" s="70"/>
      <c r="D571" s="70"/>
      <c r="E571" s="70"/>
      <c r="F571" s="70"/>
      <c r="G571" s="70"/>
      <c r="H571" s="422"/>
      <c r="I571" s="422"/>
      <c r="J571" s="418"/>
      <c r="K571" s="403"/>
      <c r="L571" s="73"/>
      <c r="M571" s="72"/>
      <c r="N571" s="72"/>
      <c r="O571" s="72"/>
      <c r="P571" s="42"/>
      <c r="Q571" s="42"/>
      <c r="R571" s="42"/>
      <c r="S571" s="42"/>
      <c r="T571" s="42"/>
      <c r="U571" s="42"/>
      <c r="V571" s="416"/>
      <c r="W571" s="42"/>
      <c r="X571" s="74"/>
      <c r="Y571" s="74"/>
      <c r="Z571" s="74"/>
      <c r="AA571" s="74"/>
      <c r="AB571" s="74"/>
      <c r="AC571" s="42"/>
      <c r="AD571" s="42"/>
      <c r="AE571" s="42"/>
      <c r="AF571" s="42"/>
      <c r="AG571" s="42"/>
      <c r="AH571" s="42"/>
      <c r="AI571" s="75"/>
      <c r="AJ571" s="75"/>
      <c r="AK571" s="75"/>
      <c r="AL571" s="75"/>
      <c r="AM571" s="74"/>
      <c r="AN571" s="72" t="e">
        <f>VLOOKUP(H571,[4]Planilha1!A$13:P$314,16,0)</f>
        <v>#N/A</v>
      </c>
    </row>
    <row r="572" spans="1:40" s="69" customFormat="1" x14ac:dyDescent="0.25">
      <c r="A572" s="88"/>
      <c r="B572" s="88"/>
      <c r="C572" s="70"/>
      <c r="D572" s="70"/>
      <c r="E572" s="70"/>
      <c r="F572" s="70"/>
      <c r="G572" s="70"/>
      <c r="H572" s="422"/>
      <c r="I572" s="422"/>
      <c r="J572" s="418"/>
      <c r="K572" s="403"/>
      <c r="L572" s="73"/>
      <c r="M572" s="72"/>
      <c r="N572" s="72"/>
      <c r="O572" s="72"/>
      <c r="P572" s="42"/>
      <c r="Q572" s="42"/>
      <c r="R572" s="42"/>
      <c r="S572" s="42"/>
      <c r="T572" s="42"/>
      <c r="U572" s="42"/>
      <c r="V572" s="416"/>
      <c r="W572" s="42"/>
      <c r="X572" s="74"/>
      <c r="Y572" s="74"/>
      <c r="Z572" s="74"/>
      <c r="AA572" s="74"/>
      <c r="AB572" s="74"/>
      <c r="AC572" s="42"/>
      <c r="AD572" s="42"/>
      <c r="AE572" s="42"/>
      <c r="AF572" s="42"/>
      <c r="AG572" s="42"/>
      <c r="AH572" s="42"/>
      <c r="AI572" s="75"/>
      <c r="AJ572" s="75"/>
      <c r="AK572" s="75"/>
      <c r="AL572" s="75"/>
      <c r="AM572" s="74"/>
      <c r="AN572" s="72" t="e">
        <f>VLOOKUP(H572,[4]Planilha1!A$13:P$314,16,0)</f>
        <v>#N/A</v>
      </c>
    </row>
    <row r="573" spans="1:40" s="69" customFormat="1" x14ac:dyDescent="0.25">
      <c r="A573" s="88"/>
      <c r="B573" s="88"/>
      <c r="C573" s="70"/>
      <c r="D573" s="70"/>
      <c r="E573" s="70"/>
      <c r="F573" s="70"/>
      <c r="G573" s="70"/>
      <c r="H573" s="422"/>
      <c r="I573" s="422"/>
      <c r="J573" s="418"/>
      <c r="K573" s="403"/>
      <c r="L573" s="73"/>
      <c r="M573" s="72"/>
      <c r="N573" s="72"/>
      <c r="O573" s="72"/>
      <c r="P573" s="42"/>
      <c r="Q573" s="42"/>
      <c r="R573" s="42"/>
      <c r="S573" s="42"/>
      <c r="T573" s="42"/>
      <c r="U573" s="42"/>
      <c r="V573" s="416"/>
      <c r="W573" s="42"/>
      <c r="X573" s="74"/>
      <c r="Y573" s="74"/>
      <c r="Z573" s="74"/>
      <c r="AA573" s="74"/>
      <c r="AB573" s="74"/>
      <c r="AC573" s="42"/>
      <c r="AD573" s="42"/>
      <c r="AE573" s="42"/>
      <c r="AF573" s="42"/>
      <c r="AG573" s="42"/>
      <c r="AH573" s="42"/>
      <c r="AI573" s="75"/>
      <c r="AJ573" s="75"/>
      <c r="AK573" s="75"/>
      <c r="AL573" s="75"/>
      <c r="AM573" s="74"/>
      <c r="AN573" s="72" t="e">
        <f>VLOOKUP(H573,[4]Planilha1!A$13:P$314,16,0)</f>
        <v>#N/A</v>
      </c>
    </row>
    <row r="574" spans="1:40" s="69" customFormat="1" x14ac:dyDescent="0.25">
      <c r="A574" s="88"/>
      <c r="B574" s="88"/>
      <c r="C574" s="70"/>
      <c r="D574" s="70"/>
      <c r="E574" s="70"/>
      <c r="F574" s="70"/>
      <c r="G574" s="70"/>
      <c r="H574" s="422"/>
      <c r="I574" s="422"/>
      <c r="J574" s="418"/>
      <c r="K574" s="403"/>
      <c r="L574" s="73"/>
      <c r="M574" s="72"/>
      <c r="N574" s="72"/>
      <c r="O574" s="72"/>
      <c r="P574" s="42"/>
      <c r="Q574" s="42"/>
      <c r="R574" s="42"/>
      <c r="S574" s="42"/>
      <c r="T574" s="42"/>
      <c r="U574" s="42"/>
      <c r="V574" s="416"/>
      <c r="W574" s="42"/>
      <c r="X574" s="74"/>
      <c r="Y574" s="74"/>
      <c r="Z574" s="74"/>
      <c r="AA574" s="74"/>
      <c r="AB574" s="74"/>
      <c r="AC574" s="42"/>
      <c r="AD574" s="42"/>
      <c r="AE574" s="42"/>
      <c r="AF574" s="42"/>
      <c r="AG574" s="42"/>
      <c r="AH574" s="42"/>
      <c r="AI574" s="75"/>
      <c r="AJ574" s="75"/>
      <c r="AK574" s="75"/>
      <c r="AL574" s="75"/>
      <c r="AM574" s="74"/>
      <c r="AN574" s="72" t="e">
        <f>VLOOKUP(H574,[4]Planilha1!A$13:P$314,16,0)</f>
        <v>#N/A</v>
      </c>
    </row>
    <row r="575" spans="1:40" s="69" customFormat="1" x14ac:dyDescent="0.25">
      <c r="A575" s="88"/>
      <c r="B575" s="88"/>
      <c r="C575" s="70"/>
      <c r="D575" s="70"/>
      <c r="E575" s="70"/>
      <c r="F575" s="70"/>
      <c r="G575" s="70"/>
      <c r="H575" s="422"/>
      <c r="I575" s="422"/>
      <c r="J575" s="418"/>
      <c r="K575" s="403"/>
      <c r="L575" s="73"/>
      <c r="M575" s="72"/>
      <c r="N575" s="72"/>
      <c r="O575" s="72"/>
      <c r="P575" s="42"/>
      <c r="Q575" s="42"/>
      <c r="R575" s="42"/>
      <c r="S575" s="42"/>
      <c r="T575" s="42"/>
      <c r="U575" s="42"/>
      <c r="V575" s="416"/>
      <c r="W575" s="42"/>
      <c r="X575" s="74"/>
      <c r="Y575" s="74"/>
      <c r="Z575" s="74"/>
      <c r="AA575" s="74"/>
      <c r="AB575" s="74"/>
      <c r="AC575" s="42"/>
      <c r="AD575" s="42"/>
      <c r="AE575" s="42"/>
      <c r="AF575" s="42"/>
      <c r="AG575" s="42"/>
      <c r="AH575" s="42"/>
      <c r="AI575" s="75"/>
      <c r="AJ575" s="75"/>
      <c r="AK575" s="75"/>
      <c r="AL575" s="75"/>
      <c r="AM575" s="74"/>
      <c r="AN575" s="72" t="e">
        <f>VLOOKUP(H575,[4]Planilha1!A$13:P$314,16,0)</f>
        <v>#N/A</v>
      </c>
    </row>
    <row r="576" spans="1:40" s="69" customFormat="1" x14ac:dyDescent="0.25">
      <c r="A576" s="88"/>
      <c r="B576" s="88"/>
      <c r="C576" s="70"/>
      <c r="D576" s="70"/>
      <c r="E576" s="70"/>
      <c r="F576" s="70"/>
      <c r="G576" s="70"/>
      <c r="H576" s="422"/>
      <c r="I576" s="422"/>
      <c r="J576" s="418"/>
      <c r="K576" s="403"/>
      <c r="L576" s="73"/>
      <c r="M576" s="72"/>
      <c r="N576" s="72"/>
      <c r="O576" s="72"/>
      <c r="P576" s="42"/>
      <c r="Q576" s="42"/>
      <c r="R576" s="42"/>
      <c r="S576" s="42"/>
      <c r="T576" s="42"/>
      <c r="U576" s="42"/>
      <c r="V576" s="416"/>
      <c r="W576" s="42"/>
      <c r="X576" s="74"/>
      <c r="Y576" s="74"/>
      <c r="Z576" s="74"/>
      <c r="AA576" s="74"/>
      <c r="AB576" s="74"/>
      <c r="AC576" s="42"/>
      <c r="AD576" s="42"/>
      <c r="AE576" s="42"/>
      <c r="AF576" s="42"/>
      <c r="AG576" s="42"/>
      <c r="AH576" s="42"/>
      <c r="AI576" s="75"/>
      <c r="AJ576" s="75"/>
      <c r="AK576" s="75"/>
      <c r="AL576" s="75"/>
      <c r="AM576" s="74"/>
      <c r="AN576" s="72" t="e">
        <f>VLOOKUP(H576,[4]Planilha1!A$13:P$314,16,0)</f>
        <v>#N/A</v>
      </c>
    </row>
    <row r="577" spans="1:40" s="69" customFormat="1" x14ac:dyDescent="0.25">
      <c r="A577" s="88"/>
      <c r="B577" s="88"/>
      <c r="C577" s="70"/>
      <c r="D577" s="70"/>
      <c r="E577" s="70"/>
      <c r="F577" s="70"/>
      <c r="G577" s="70"/>
      <c r="H577" s="422"/>
      <c r="I577" s="422"/>
      <c r="J577" s="418"/>
      <c r="K577" s="403"/>
      <c r="L577" s="73"/>
      <c r="M577" s="72"/>
      <c r="N577" s="72"/>
      <c r="O577" s="72"/>
      <c r="P577" s="42"/>
      <c r="Q577" s="42"/>
      <c r="R577" s="42"/>
      <c r="S577" s="42"/>
      <c r="T577" s="42"/>
      <c r="U577" s="42"/>
      <c r="V577" s="416"/>
      <c r="W577" s="42"/>
      <c r="X577" s="74"/>
      <c r="Y577" s="74"/>
      <c r="Z577" s="74"/>
      <c r="AA577" s="74"/>
      <c r="AB577" s="74"/>
      <c r="AC577" s="42"/>
      <c r="AD577" s="42"/>
      <c r="AE577" s="42"/>
      <c r="AF577" s="42"/>
      <c r="AG577" s="42"/>
      <c r="AH577" s="42"/>
      <c r="AI577" s="75"/>
      <c r="AJ577" s="75"/>
      <c r="AK577" s="75"/>
      <c r="AL577" s="75"/>
      <c r="AM577" s="74"/>
      <c r="AN577" s="72" t="e">
        <f>VLOOKUP(H577,[4]Planilha1!A$13:P$314,16,0)</f>
        <v>#N/A</v>
      </c>
    </row>
    <row r="578" spans="1:40" s="69" customFormat="1" x14ac:dyDescent="0.25">
      <c r="A578" s="88"/>
      <c r="B578" s="88"/>
      <c r="C578" s="70"/>
      <c r="D578" s="70"/>
      <c r="E578" s="70"/>
      <c r="F578" s="70"/>
      <c r="G578" s="70"/>
      <c r="H578" s="422"/>
      <c r="I578" s="422"/>
      <c r="J578" s="418"/>
      <c r="K578" s="403"/>
      <c r="L578" s="73"/>
      <c r="M578" s="72"/>
      <c r="N578" s="72"/>
      <c r="O578" s="72"/>
      <c r="P578" s="42"/>
      <c r="Q578" s="42"/>
      <c r="R578" s="42"/>
      <c r="S578" s="42"/>
      <c r="T578" s="42"/>
      <c r="U578" s="42"/>
      <c r="V578" s="416"/>
      <c r="W578" s="42"/>
      <c r="X578" s="74"/>
      <c r="Y578" s="74"/>
      <c r="Z578" s="74"/>
      <c r="AA578" s="74"/>
      <c r="AB578" s="74"/>
      <c r="AC578" s="42"/>
      <c r="AD578" s="42"/>
      <c r="AE578" s="42"/>
      <c r="AF578" s="42"/>
      <c r="AG578" s="42"/>
      <c r="AH578" s="42"/>
      <c r="AI578" s="75"/>
      <c r="AJ578" s="75"/>
      <c r="AK578" s="75"/>
      <c r="AL578" s="75"/>
      <c r="AM578" s="74"/>
      <c r="AN578" s="72" t="e">
        <f>VLOOKUP(H578,[4]Planilha1!A$13:P$314,16,0)</f>
        <v>#N/A</v>
      </c>
    </row>
    <row r="579" spans="1:40" s="69" customFormat="1" x14ac:dyDescent="0.25">
      <c r="A579" s="88"/>
      <c r="B579" s="88"/>
      <c r="C579" s="70"/>
      <c r="D579" s="70"/>
      <c r="E579" s="70"/>
      <c r="F579" s="70"/>
      <c r="G579" s="70"/>
      <c r="H579" s="422"/>
      <c r="I579" s="422"/>
      <c r="J579" s="418"/>
      <c r="K579" s="403"/>
      <c r="L579" s="73"/>
      <c r="M579" s="72"/>
      <c r="N579" s="72"/>
      <c r="O579" s="72"/>
      <c r="P579" s="42"/>
      <c r="Q579" s="42"/>
      <c r="R579" s="42"/>
      <c r="S579" s="42"/>
      <c r="T579" s="42"/>
      <c r="U579" s="42"/>
      <c r="V579" s="416"/>
      <c r="W579" s="42"/>
      <c r="X579" s="74"/>
      <c r="Y579" s="74"/>
      <c r="Z579" s="74"/>
      <c r="AA579" s="74"/>
      <c r="AB579" s="74"/>
      <c r="AC579" s="42"/>
      <c r="AD579" s="42"/>
      <c r="AE579" s="42"/>
      <c r="AF579" s="42"/>
      <c r="AG579" s="42"/>
      <c r="AH579" s="42"/>
      <c r="AI579" s="75"/>
      <c r="AJ579" s="75"/>
      <c r="AK579" s="75"/>
      <c r="AL579" s="75"/>
      <c r="AM579" s="74"/>
      <c r="AN579" s="72" t="e">
        <f>VLOOKUP(H579,[4]Planilha1!A$13:P$314,16,0)</f>
        <v>#N/A</v>
      </c>
    </row>
    <row r="580" spans="1:40" s="69" customFormat="1" x14ac:dyDescent="0.25">
      <c r="A580" s="88"/>
      <c r="B580" s="88"/>
      <c r="C580" s="70"/>
      <c r="D580" s="70"/>
      <c r="E580" s="70"/>
      <c r="F580" s="70"/>
      <c r="G580" s="70"/>
      <c r="H580" s="422"/>
      <c r="I580" s="422"/>
      <c r="J580" s="418"/>
      <c r="K580" s="403"/>
      <c r="L580" s="73"/>
      <c r="M580" s="72"/>
      <c r="N580" s="72"/>
      <c r="O580" s="72"/>
      <c r="P580" s="42"/>
      <c r="Q580" s="42"/>
      <c r="R580" s="42"/>
      <c r="S580" s="42"/>
      <c r="T580" s="42"/>
      <c r="U580" s="42"/>
      <c r="V580" s="416"/>
      <c r="W580" s="42"/>
      <c r="X580" s="74"/>
      <c r="Y580" s="74"/>
      <c r="Z580" s="74"/>
      <c r="AA580" s="74"/>
      <c r="AB580" s="74"/>
      <c r="AC580" s="42"/>
      <c r="AD580" s="42"/>
      <c r="AE580" s="42"/>
      <c r="AF580" s="42"/>
      <c r="AG580" s="42"/>
      <c r="AH580" s="42"/>
      <c r="AI580" s="75"/>
      <c r="AJ580" s="75"/>
      <c r="AK580" s="75"/>
      <c r="AL580" s="75"/>
      <c r="AM580" s="74"/>
      <c r="AN580" s="72" t="e">
        <f>VLOOKUP(H580,[4]Planilha1!A$13:P$314,16,0)</f>
        <v>#N/A</v>
      </c>
    </row>
    <row r="581" spans="1:40" s="69" customFormat="1" x14ac:dyDescent="0.25">
      <c r="A581" s="88"/>
      <c r="B581" s="88"/>
      <c r="C581" s="70"/>
      <c r="D581" s="70"/>
      <c r="E581" s="70"/>
      <c r="F581" s="70"/>
      <c r="G581" s="70"/>
      <c r="H581" s="422"/>
      <c r="I581" s="422"/>
      <c r="J581" s="418"/>
      <c r="K581" s="403"/>
      <c r="L581" s="73"/>
      <c r="M581" s="72"/>
      <c r="N581" s="72"/>
      <c r="O581" s="72"/>
      <c r="P581" s="42"/>
      <c r="Q581" s="42"/>
      <c r="R581" s="42"/>
      <c r="S581" s="42"/>
      <c r="T581" s="42"/>
      <c r="U581" s="42"/>
      <c r="V581" s="416"/>
      <c r="W581" s="42"/>
      <c r="X581" s="74"/>
      <c r="Y581" s="74"/>
      <c r="Z581" s="74"/>
      <c r="AA581" s="74"/>
      <c r="AB581" s="74"/>
      <c r="AC581" s="42"/>
      <c r="AD581" s="42"/>
      <c r="AE581" s="42"/>
      <c r="AF581" s="42"/>
      <c r="AG581" s="42"/>
      <c r="AH581" s="42"/>
      <c r="AI581" s="75"/>
      <c r="AJ581" s="75"/>
      <c r="AK581" s="75"/>
      <c r="AL581" s="75"/>
      <c r="AM581" s="74"/>
      <c r="AN581" s="72" t="e">
        <f>VLOOKUP(H581,[4]Planilha1!A$13:P$314,16,0)</f>
        <v>#N/A</v>
      </c>
    </row>
    <row r="582" spans="1:40" s="69" customFormat="1" x14ac:dyDescent="0.25">
      <c r="A582" s="88"/>
      <c r="B582" s="88"/>
      <c r="C582" s="70"/>
      <c r="D582" s="70"/>
      <c r="E582" s="70"/>
      <c r="F582" s="70"/>
      <c r="G582" s="70"/>
      <c r="H582" s="422"/>
      <c r="I582" s="422"/>
      <c r="J582" s="418"/>
      <c r="K582" s="403"/>
      <c r="L582" s="73"/>
      <c r="M582" s="72"/>
      <c r="N582" s="72"/>
      <c r="O582" s="72"/>
      <c r="P582" s="42"/>
      <c r="Q582" s="42"/>
      <c r="R582" s="42"/>
      <c r="S582" s="42"/>
      <c r="T582" s="42"/>
      <c r="U582" s="42"/>
      <c r="V582" s="416"/>
      <c r="W582" s="42"/>
      <c r="X582" s="74"/>
      <c r="Y582" s="74"/>
      <c r="Z582" s="74"/>
      <c r="AA582" s="74"/>
      <c r="AB582" s="74"/>
      <c r="AC582" s="42"/>
      <c r="AD582" s="42"/>
      <c r="AE582" s="42"/>
      <c r="AF582" s="42"/>
      <c r="AG582" s="42"/>
      <c r="AH582" s="42"/>
      <c r="AI582" s="75"/>
      <c r="AJ582" s="75"/>
      <c r="AK582" s="75"/>
      <c r="AL582" s="75"/>
      <c r="AM582" s="74"/>
      <c r="AN582" s="72" t="e">
        <f>VLOOKUP(H582,[4]Planilha1!A$13:P$314,16,0)</f>
        <v>#N/A</v>
      </c>
    </row>
    <row r="583" spans="1:40" s="69" customFormat="1" x14ac:dyDescent="0.25">
      <c r="A583" s="88"/>
      <c r="B583" s="88"/>
      <c r="C583" s="70"/>
      <c r="D583" s="70"/>
      <c r="E583" s="70"/>
      <c r="F583" s="70"/>
      <c r="G583" s="70"/>
      <c r="H583" s="422"/>
      <c r="I583" s="422"/>
      <c r="J583" s="418"/>
      <c r="K583" s="403"/>
      <c r="L583" s="73"/>
      <c r="M583" s="72"/>
      <c r="N583" s="72"/>
      <c r="O583" s="72"/>
      <c r="P583" s="42"/>
      <c r="Q583" s="42"/>
      <c r="R583" s="42"/>
      <c r="S583" s="42"/>
      <c r="T583" s="42"/>
      <c r="U583" s="42"/>
      <c r="V583" s="416"/>
      <c r="W583" s="42"/>
      <c r="X583" s="74"/>
      <c r="Y583" s="74"/>
      <c r="Z583" s="74"/>
      <c r="AA583" s="74"/>
      <c r="AB583" s="74"/>
      <c r="AC583" s="42"/>
      <c r="AD583" s="42"/>
      <c r="AE583" s="42"/>
      <c r="AF583" s="42"/>
      <c r="AG583" s="42"/>
      <c r="AH583" s="42"/>
      <c r="AI583" s="75"/>
      <c r="AJ583" s="75"/>
      <c r="AK583" s="75"/>
      <c r="AL583" s="75"/>
      <c r="AM583" s="74"/>
      <c r="AN583" s="72" t="e">
        <f>VLOOKUP(H583,[4]Planilha1!A$13:P$314,16,0)</f>
        <v>#N/A</v>
      </c>
    </row>
    <row r="584" spans="1:40" s="69" customFormat="1" x14ac:dyDescent="0.25">
      <c r="A584" s="88"/>
      <c r="B584" s="88"/>
      <c r="C584" s="70"/>
      <c r="D584" s="70"/>
      <c r="E584" s="70"/>
      <c r="F584" s="70"/>
      <c r="G584" s="70"/>
      <c r="H584" s="422"/>
      <c r="I584" s="422"/>
      <c r="J584" s="418"/>
      <c r="K584" s="403"/>
      <c r="L584" s="73"/>
      <c r="M584" s="72"/>
      <c r="N584" s="72"/>
      <c r="O584" s="72"/>
      <c r="P584" s="42"/>
      <c r="Q584" s="42"/>
      <c r="R584" s="42"/>
      <c r="S584" s="42"/>
      <c r="T584" s="42"/>
      <c r="U584" s="42"/>
      <c r="V584" s="416"/>
      <c r="W584" s="42"/>
      <c r="X584" s="74"/>
      <c r="Y584" s="74"/>
      <c r="Z584" s="74"/>
      <c r="AA584" s="74"/>
      <c r="AB584" s="74"/>
      <c r="AC584" s="42"/>
      <c r="AD584" s="42"/>
      <c r="AE584" s="42"/>
      <c r="AF584" s="42"/>
      <c r="AG584" s="42"/>
      <c r="AH584" s="42"/>
      <c r="AI584" s="75"/>
      <c r="AJ584" s="75"/>
      <c r="AK584" s="75"/>
      <c r="AL584" s="75"/>
      <c r="AM584" s="74"/>
      <c r="AN584" s="72" t="e">
        <f>VLOOKUP(H584,[4]Planilha1!A$13:P$314,16,0)</f>
        <v>#N/A</v>
      </c>
    </row>
    <row r="585" spans="1:40" s="69" customFormat="1" x14ac:dyDescent="0.25">
      <c r="A585" s="88"/>
      <c r="B585" s="88"/>
      <c r="C585" s="70"/>
      <c r="D585" s="70"/>
      <c r="E585" s="70"/>
      <c r="F585" s="70"/>
      <c r="G585" s="70"/>
      <c r="H585" s="422"/>
      <c r="I585" s="422"/>
      <c r="J585" s="418"/>
      <c r="K585" s="403"/>
      <c r="L585" s="73"/>
      <c r="M585" s="72"/>
      <c r="N585" s="72"/>
      <c r="O585" s="72"/>
      <c r="P585" s="42"/>
      <c r="Q585" s="42"/>
      <c r="R585" s="42"/>
      <c r="S585" s="42"/>
      <c r="T585" s="42"/>
      <c r="U585" s="42"/>
      <c r="V585" s="416"/>
      <c r="W585" s="42"/>
      <c r="X585" s="74"/>
      <c r="Y585" s="74"/>
      <c r="Z585" s="74"/>
      <c r="AA585" s="74"/>
      <c r="AB585" s="74"/>
      <c r="AC585" s="42"/>
      <c r="AD585" s="42"/>
      <c r="AE585" s="42"/>
      <c r="AF585" s="42"/>
      <c r="AG585" s="42"/>
      <c r="AH585" s="42"/>
      <c r="AI585" s="75"/>
      <c r="AJ585" s="75"/>
      <c r="AK585" s="75"/>
      <c r="AL585" s="75"/>
      <c r="AM585" s="74"/>
      <c r="AN585" s="72" t="e">
        <f>VLOOKUP(H585,[4]Planilha1!A$13:P$314,16,0)</f>
        <v>#N/A</v>
      </c>
    </row>
    <row r="586" spans="1:40" s="69" customFormat="1" x14ac:dyDescent="0.25">
      <c r="A586" s="88"/>
      <c r="B586" s="88"/>
      <c r="C586" s="70"/>
      <c r="D586" s="70"/>
      <c r="E586" s="70"/>
      <c r="F586" s="70"/>
      <c r="G586" s="70"/>
      <c r="H586" s="422"/>
      <c r="I586" s="422"/>
      <c r="J586" s="418"/>
      <c r="K586" s="403"/>
      <c r="L586" s="73"/>
      <c r="M586" s="72"/>
      <c r="N586" s="72"/>
      <c r="O586" s="72"/>
      <c r="P586" s="42"/>
      <c r="Q586" s="42"/>
      <c r="R586" s="42"/>
      <c r="S586" s="42"/>
      <c r="T586" s="42"/>
      <c r="U586" s="42"/>
      <c r="V586" s="416"/>
      <c r="W586" s="42"/>
      <c r="X586" s="74"/>
      <c r="Y586" s="74"/>
      <c r="Z586" s="74"/>
      <c r="AA586" s="74"/>
      <c r="AB586" s="74"/>
      <c r="AC586" s="42"/>
      <c r="AD586" s="42"/>
      <c r="AE586" s="42"/>
      <c r="AF586" s="42"/>
      <c r="AG586" s="42"/>
      <c r="AH586" s="42"/>
      <c r="AI586" s="75"/>
      <c r="AJ586" s="75"/>
      <c r="AK586" s="75"/>
      <c r="AL586" s="75"/>
      <c r="AM586" s="74"/>
      <c r="AN586" s="72" t="e">
        <f>VLOOKUP(H586,[4]Planilha1!A$13:P$314,16,0)</f>
        <v>#N/A</v>
      </c>
    </row>
    <row r="587" spans="1:40" s="69" customFormat="1" x14ac:dyDescent="0.25">
      <c r="A587" s="88"/>
      <c r="B587" s="88"/>
      <c r="C587" s="70"/>
      <c r="D587" s="70"/>
      <c r="E587" s="70"/>
      <c r="F587" s="70"/>
      <c r="G587" s="70"/>
      <c r="H587" s="422"/>
      <c r="I587" s="422"/>
      <c r="J587" s="418"/>
      <c r="K587" s="403"/>
      <c r="L587" s="73"/>
      <c r="M587" s="72"/>
      <c r="N587" s="72"/>
      <c r="O587" s="72"/>
      <c r="P587" s="42"/>
      <c r="Q587" s="42"/>
      <c r="R587" s="42"/>
      <c r="S587" s="42"/>
      <c r="T587" s="42"/>
      <c r="U587" s="42"/>
      <c r="V587" s="416"/>
      <c r="W587" s="42"/>
      <c r="X587" s="74"/>
      <c r="Y587" s="74"/>
      <c r="Z587" s="74"/>
      <c r="AA587" s="74"/>
      <c r="AB587" s="74"/>
      <c r="AC587" s="42"/>
      <c r="AD587" s="42"/>
      <c r="AE587" s="42"/>
      <c r="AF587" s="42"/>
      <c r="AG587" s="42"/>
      <c r="AH587" s="42"/>
      <c r="AI587" s="75"/>
      <c r="AJ587" s="75"/>
      <c r="AK587" s="75"/>
      <c r="AL587" s="75"/>
      <c r="AM587" s="74"/>
      <c r="AN587" s="72" t="e">
        <f>VLOOKUP(H587,[4]Planilha1!A$13:P$314,16,0)</f>
        <v>#N/A</v>
      </c>
    </row>
    <row r="588" spans="1:40" s="69" customFormat="1" x14ac:dyDescent="0.25">
      <c r="A588" s="88"/>
      <c r="B588" s="88"/>
      <c r="C588" s="70"/>
      <c r="D588" s="70"/>
      <c r="E588" s="70"/>
      <c r="F588" s="70"/>
      <c r="G588" s="70"/>
      <c r="H588" s="422"/>
      <c r="I588" s="422"/>
      <c r="J588" s="418"/>
      <c r="K588" s="403"/>
      <c r="L588" s="73"/>
      <c r="M588" s="72"/>
      <c r="N588" s="72"/>
      <c r="O588" s="72"/>
      <c r="P588" s="42"/>
      <c r="Q588" s="42"/>
      <c r="R588" s="42"/>
      <c r="S588" s="42"/>
      <c r="T588" s="42"/>
      <c r="U588" s="42"/>
      <c r="V588" s="416"/>
      <c r="W588" s="42"/>
      <c r="X588" s="74"/>
      <c r="Y588" s="74"/>
      <c r="Z588" s="74"/>
      <c r="AA588" s="74"/>
      <c r="AB588" s="74"/>
      <c r="AC588" s="42"/>
      <c r="AD588" s="42"/>
      <c r="AE588" s="42"/>
      <c r="AF588" s="42"/>
      <c r="AG588" s="42"/>
      <c r="AH588" s="42"/>
      <c r="AI588" s="75"/>
      <c r="AJ588" s="75"/>
      <c r="AK588" s="75"/>
      <c r="AL588" s="75"/>
      <c r="AM588" s="74"/>
      <c r="AN588" s="72" t="e">
        <f>VLOOKUP(H588,[4]Planilha1!A$13:P$314,16,0)</f>
        <v>#N/A</v>
      </c>
    </row>
    <row r="589" spans="1:40" s="69" customFormat="1" x14ac:dyDescent="0.25">
      <c r="A589" s="88"/>
      <c r="B589" s="88"/>
      <c r="C589" s="70"/>
      <c r="D589" s="70"/>
      <c r="E589" s="70"/>
      <c r="F589" s="70"/>
      <c r="G589" s="70"/>
      <c r="H589" s="422"/>
      <c r="I589" s="422"/>
      <c r="J589" s="418"/>
      <c r="K589" s="403"/>
      <c r="L589" s="73"/>
      <c r="M589" s="72"/>
      <c r="N589" s="72"/>
      <c r="O589" s="72"/>
      <c r="P589" s="42"/>
      <c r="Q589" s="42"/>
      <c r="R589" s="42"/>
      <c r="S589" s="42"/>
      <c r="T589" s="42"/>
      <c r="U589" s="42"/>
      <c r="V589" s="416"/>
      <c r="W589" s="42"/>
      <c r="X589" s="74"/>
      <c r="Y589" s="74"/>
      <c r="Z589" s="74"/>
      <c r="AA589" s="74"/>
      <c r="AB589" s="74"/>
      <c r="AC589" s="42"/>
      <c r="AD589" s="42"/>
      <c r="AE589" s="42"/>
      <c r="AF589" s="42"/>
      <c r="AG589" s="42"/>
      <c r="AH589" s="42"/>
      <c r="AI589" s="75"/>
      <c r="AJ589" s="75"/>
      <c r="AK589" s="75"/>
      <c r="AL589" s="75"/>
      <c r="AM589" s="74"/>
      <c r="AN589" s="72" t="e">
        <f>VLOOKUP(H589,[4]Planilha1!A$13:P$314,16,0)</f>
        <v>#N/A</v>
      </c>
    </row>
    <row r="590" spans="1:40" s="69" customFormat="1" x14ac:dyDescent="0.25">
      <c r="A590" s="88"/>
      <c r="B590" s="88"/>
      <c r="C590" s="70"/>
      <c r="D590" s="70"/>
      <c r="E590" s="70"/>
      <c r="F590" s="70"/>
      <c r="G590" s="70"/>
      <c r="H590" s="422"/>
      <c r="I590" s="422"/>
      <c r="J590" s="418"/>
      <c r="K590" s="403"/>
      <c r="L590" s="73"/>
      <c r="M590" s="72"/>
      <c r="N590" s="72"/>
      <c r="O590" s="72"/>
      <c r="P590" s="42"/>
      <c r="Q590" s="42"/>
      <c r="R590" s="42"/>
      <c r="S590" s="42"/>
      <c r="T590" s="42"/>
      <c r="U590" s="42"/>
      <c r="V590" s="416"/>
      <c r="W590" s="42"/>
      <c r="X590" s="74"/>
      <c r="Y590" s="74"/>
      <c r="Z590" s="74"/>
      <c r="AA590" s="74"/>
      <c r="AB590" s="74"/>
      <c r="AC590" s="42"/>
      <c r="AD590" s="42"/>
      <c r="AE590" s="42"/>
      <c r="AF590" s="42"/>
      <c r="AG590" s="42"/>
      <c r="AH590" s="42"/>
      <c r="AI590" s="75"/>
      <c r="AJ590" s="75"/>
      <c r="AK590" s="75"/>
      <c r="AL590" s="75"/>
      <c r="AM590" s="74"/>
      <c r="AN590" s="72" t="e">
        <f>VLOOKUP(H590,[4]Planilha1!A$13:P$314,16,0)</f>
        <v>#N/A</v>
      </c>
    </row>
    <row r="591" spans="1:40" s="69" customFormat="1" x14ac:dyDescent="0.25">
      <c r="A591" s="88"/>
      <c r="B591" s="88"/>
      <c r="C591" s="70"/>
      <c r="D591" s="70"/>
      <c r="E591" s="70"/>
      <c r="F591" s="70"/>
      <c r="G591" s="70"/>
      <c r="H591" s="422"/>
      <c r="I591" s="422"/>
      <c r="J591" s="418"/>
      <c r="K591" s="403"/>
      <c r="L591" s="73"/>
      <c r="M591" s="72"/>
      <c r="N591" s="72"/>
      <c r="O591" s="72"/>
      <c r="P591" s="42"/>
      <c r="Q591" s="42"/>
      <c r="R591" s="42"/>
      <c r="S591" s="42"/>
      <c r="T591" s="42"/>
      <c r="U591" s="42"/>
      <c r="V591" s="416"/>
      <c r="W591" s="42"/>
      <c r="X591" s="74"/>
      <c r="Y591" s="74"/>
      <c r="Z591" s="74"/>
      <c r="AA591" s="74"/>
      <c r="AB591" s="74"/>
      <c r="AC591" s="42"/>
      <c r="AD591" s="42"/>
      <c r="AE591" s="42"/>
      <c r="AF591" s="42"/>
      <c r="AG591" s="42"/>
      <c r="AH591" s="42"/>
      <c r="AI591" s="75"/>
      <c r="AJ591" s="75"/>
      <c r="AK591" s="75"/>
      <c r="AL591" s="75"/>
      <c r="AM591" s="74"/>
      <c r="AN591" s="72" t="e">
        <f>VLOOKUP(H591,[4]Planilha1!A$13:P$314,16,0)</f>
        <v>#N/A</v>
      </c>
    </row>
    <row r="592" spans="1:40" s="69" customFormat="1" x14ac:dyDescent="0.25">
      <c r="A592" s="88"/>
      <c r="B592" s="88"/>
      <c r="C592" s="70"/>
      <c r="D592" s="70"/>
      <c r="E592" s="70"/>
      <c r="F592" s="70"/>
      <c r="G592" s="70"/>
      <c r="H592" s="422"/>
      <c r="I592" s="422"/>
      <c r="J592" s="418"/>
      <c r="K592" s="403"/>
      <c r="L592" s="73"/>
      <c r="M592" s="72"/>
      <c r="N592" s="72"/>
      <c r="O592" s="72"/>
      <c r="P592" s="42"/>
      <c r="Q592" s="42"/>
      <c r="R592" s="42"/>
      <c r="S592" s="42"/>
      <c r="T592" s="42"/>
      <c r="U592" s="42"/>
      <c r="V592" s="416"/>
      <c r="W592" s="42"/>
      <c r="X592" s="74"/>
      <c r="Y592" s="74"/>
      <c r="Z592" s="74"/>
      <c r="AA592" s="74"/>
      <c r="AB592" s="74"/>
      <c r="AC592" s="42"/>
      <c r="AD592" s="42"/>
      <c r="AE592" s="42"/>
      <c r="AF592" s="42"/>
      <c r="AG592" s="42"/>
      <c r="AH592" s="42"/>
      <c r="AI592" s="75"/>
      <c r="AJ592" s="75"/>
      <c r="AK592" s="75"/>
      <c r="AL592" s="75"/>
      <c r="AM592" s="74"/>
      <c r="AN592" s="72" t="e">
        <f>VLOOKUP(H592,[4]Planilha1!A$13:P$314,16,0)</f>
        <v>#N/A</v>
      </c>
    </row>
    <row r="593" spans="1:40" s="69" customFormat="1" x14ac:dyDescent="0.25">
      <c r="A593" s="88"/>
      <c r="B593" s="88"/>
      <c r="C593" s="70"/>
      <c r="D593" s="70"/>
      <c r="E593" s="70"/>
      <c r="F593" s="70"/>
      <c r="G593" s="70"/>
      <c r="H593" s="422"/>
      <c r="I593" s="422"/>
      <c r="J593" s="418"/>
      <c r="K593" s="403"/>
      <c r="L593" s="73"/>
      <c r="M593" s="72"/>
      <c r="N593" s="72"/>
      <c r="O593" s="72"/>
      <c r="P593" s="42"/>
      <c r="Q593" s="42"/>
      <c r="R593" s="42"/>
      <c r="S593" s="42"/>
      <c r="T593" s="42"/>
      <c r="U593" s="42"/>
      <c r="V593" s="416"/>
      <c r="W593" s="42"/>
      <c r="X593" s="74"/>
      <c r="Y593" s="74"/>
      <c r="Z593" s="74"/>
      <c r="AA593" s="74"/>
      <c r="AB593" s="74"/>
      <c r="AC593" s="42"/>
      <c r="AD593" s="42"/>
      <c r="AE593" s="42"/>
      <c r="AF593" s="42"/>
      <c r="AG593" s="42"/>
      <c r="AH593" s="42"/>
      <c r="AI593" s="75"/>
      <c r="AJ593" s="75"/>
      <c r="AK593" s="75"/>
      <c r="AL593" s="75"/>
      <c r="AM593" s="74"/>
      <c r="AN593" s="72" t="e">
        <f>VLOOKUP(H593,[4]Planilha1!A$13:P$314,16,0)</f>
        <v>#N/A</v>
      </c>
    </row>
    <row r="594" spans="1:40" s="69" customFormat="1" x14ac:dyDescent="0.25">
      <c r="A594" s="88"/>
      <c r="B594" s="88"/>
      <c r="C594" s="70"/>
      <c r="D594" s="70"/>
      <c r="E594" s="70"/>
      <c r="F594" s="70"/>
      <c r="G594" s="70"/>
      <c r="H594" s="422"/>
      <c r="I594" s="422"/>
      <c r="J594" s="418"/>
      <c r="K594" s="403"/>
      <c r="L594" s="73"/>
      <c r="M594" s="72"/>
      <c r="N594" s="72"/>
      <c r="O594" s="72"/>
      <c r="P594" s="42"/>
      <c r="Q594" s="42"/>
      <c r="R594" s="42"/>
      <c r="S594" s="42"/>
      <c r="T594" s="42"/>
      <c r="U594" s="42"/>
      <c r="V594" s="416"/>
      <c r="W594" s="42"/>
      <c r="X594" s="74"/>
      <c r="Y594" s="74"/>
      <c r="Z594" s="74"/>
      <c r="AA594" s="74"/>
      <c r="AB594" s="74"/>
      <c r="AC594" s="42"/>
      <c r="AD594" s="42"/>
      <c r="AE594" s="42"/>
      <c r="AF594" s="42"/>
      <c r="AG594" s="42"/>
      <c r="AH594" s="42"/>
      <c r="AI594" s="75"/>
      <c r="AJ594" s="75"/>
      <c r="AK594" s="75"/>
      <c r="AL594" s="75"/>
      <c r="AM594" s="74"/>
      <c r="AN594" s="72" t="e">
        <f>VLOOKUP(H594,[4]Planilha1!A$13:P$314,16,0)</f>
        <v>#N/A</v>
      </c>
    </row>
    <row r="595" spans="1:40" s="69" customFormat="1" x14ac:dyDescent="0.25">
      <c r="A595" s="88"/>
      <c r="B595" s="88"/>
      <c r="C595" s="70"/>
      <c r="D595" s="70"/>
      <c r="E595" s="70"/>
      <c r="F595" s="70"/>
      <c r="G595" s="70"/>
      <c r="H595" s="422"/>
      <c r="I595" s="422"/>
      <c r="J595" s="418"/>
      <c r="K595" s="403"/>
      <c r="L595" s="73"/>
      <c r="M595" s="72"/>
      <c r="N595" s="72"/>
      <c r="O595" s="72"/>
      <c r="P595" s="42"/>
      <c r="Q595" s="42"/>
      <c r="R595" s="42"/>
      <c r="S595" s="42"/>
      <c r="T595" s="42"/>
      <c r="U595" s="42"/>
      <c r="V595" s="416"/>
      <c r="W595" s="42"/>
      <c r="X595" s="74"/>
      <c r="Y595" s="74"/>
      <c r="Z595" s="74"/>
      <c r="AA595" s="74"/>
      <c r="AB595" s="74"/>
      <c r="AC595" s="42"/>
      <c r="AD595" s="42"/>
      <c r="AE595" s="42"/>
      <c r="AF595" s="42"/>
      <c r="AG595" s="42"/>
      <c r="AH595" s="42"/>
      <c r="AI595" s="75"/>
      <c r="AJ595" s="75"/>
      <c r="AK595" s="75"/>
      <c r="AL595" s="75"/>
      <c r="AM595" s="74"/>
      <c r="AN595" s="72" t="e">
        <f>VLOOKUP(H595,[4]Planilha1!A$13:P$314,16,0)</f>
        <v>#N/A</v>
      </c>
    </row>
    <row r="596" spans="1:40" s="69" customFormat="1" x14ac:dyDescent="0.25">
      <c r="A596" s="88"/>
      <c r="B596" s="88"/>
      <c r="C596" s="70"/>
      <c r="D596" s="70"/>
      <c r="E596" s="70"/>
      <c r="F596" s="70"/>
      <c r="G596" s="70"/>
      <c r="H596" s="422"/>
      <c r="I596" s="422"/>
      <c r="J596" s="418"/>
      <c r="K596" s="403"/>
      <c r="L596" s="73"/>
      <c r="M596" s="72"/>
      <c r="N596" s="72"/>
      <c r="O596" s="72"/>
      <c r="P596" s="42"/>
      <c r="Q596" s="42"/>
      <c r="R596" s="42"/>
      <c r="S596" s="42"/>
      <c r="T596" s="42"/>
      <c r="U596" s="42"/>
      <c r="V596" s="416"/>
      <c r="W596" s="42"/>
      <c r="X596" s="74"/>
      <c r="Y596" s="74"/>
      <c r="Z596" s="74"/>
      <c r="AA596" s="74"/>
      <c r="AB596" s="74"/>
      <c r="AC596" s="42"/>
      <c r="AD596" s="42"/>
      <c r="AE596" s="42"/>
      <c r="AF596" s="42"/>
      <c r="AG596" s="42"/>
      <c r="AH596" s="42"/>
      <c r="AI596" s="75"/>
      <c r="AJ596" s="75"/>
      <c r="AK596" s="75"/>
      <c r="AL596" s="75"/>
      <c r="AM596" s="74"/>
      <c r="AN596" s="72" t="e">
        <f>VLOOKUP(H596,[4]Planilha1!A$13:P$314,16,0)</f>
        <v>#N/A</v>
      </c>
    </row>
    <row r="597" spans="1:40" s="69" customFormat="1" x14ac:dyDescent="0.25">
      <c r="A597" s="88"/>
      <c r="B597" s="88"/>
      <c r="C597" s="70"/>
      <c r="D597" s="70"/>
      <c r="E597" s="70"/>
      <c r="F597" s="70"/>
      <c r="G597" s="70"/>
      <c r="H597" s="422"/>
      <c r="I597" s="422"/>
      <c r="J597" s="418"/>
      <c r="K597" s="403"/>
      <c r="L597" s="73"/>
      <c r="M597" s="72"/>
      <c r="N597" s="72"/>
      <c r="O597" s="72"/>
      <c r="P597" s="42"/>
      <c r="Q597" s="42"/>
      <c r="R597" s="42"/>
      <c r="S597" s="42"/>
      <c r="T597" s="42"/>
      <c r="U597" s="42"/>
      <c r="V597" s="416"/>
      <c r="W597" s="42"/>
      <c r="X597" s="74"/>
      <c r="Y597" s="74"/>
      <c r="Z597" s="74"/>
      <c r="AA597" s="74"/>
      <c r="AB597" s="74"/>
      <c r="AC597" s="42"/>
      <c r="AD597" s="42"/>
      <c r="AE597" s="42"/>
      <c r="AF597" s="42"/>
      <c r="AG597" s="42"/>
      <c r="AH597" s="42"/>
      <c r="AI597" s="75"/>
      <c r="AJ597" s="75"/>
      <c r="AK597" s="75"/>
      <c r="AL597" s="75"/>
      <c r="AM597" s="74"/>
      <c r="AN597" s="72" t="e">
        <f>VLOOKUP(H597,[4]Planilha1!A$13:P$314,16,0)</f>
        <v>#N/A</v>
      </c>
    </row>
    <row r="598" spans="1:40" s="69" customFormat="1" x14ac:dyDescent="0.25">
      <c r="A598" s="88"/>
      <c r="B598" s="88"/>
      <c r="C598" s="70"/>
      <c r="D598" s="70"/>
      <c r="E598" s="70"/>
      <c r="F598" s="70"/>
      <c r="G598" s="70"/>
      <c r="H598" s="422"/>
      <c r="I598" s="422"/>
      <c r="J598" s="418"/>
      <c r="K598" s="403"/>
      <c r="L598" s="73"/>
      <c r="M598" s="72"/>
      <c r="N598" s="72"/>
      <c r="O598" s="72"/>
      <c r="P598" s="42"/>
      <c r="Q598" s="42"/>
      <c r="R598" s="42"/>
      <c r="S598" s="42"/>
      <c r="T598" s="42"/>
      <c r="U598" s="42"/>
      <c r="V598" s="416"/>
      <c r="W598" s="42"/>
      <c r="X598" s="74"/>
      <c r="Y598" s="74"/>
      <c r="Z598" s="74"/>
      <c r="AA598" s="74"/>
      <c r="AB598" s="74"/>
      <c r="AC598" s="42"/>
      <c r="AD598" s="42"/>
      <c r="AE598" s="42"/>
      <c r="AF598" s="42"/>
      <c r="AG598" s="42"/>
      <c r="AH598" s="42"/>
      <c r="AI598" s="75"/>
      <c r="AJ598" s="75"/>
      <c r="AK598" s="75"/>
      <c r="AL598" s="75"/>
      <c r="AM598" s="74"/>
      <c r="AN598" s="72" t="e">
        <f>VLOOKUP(H598,[4]Planilha1!A$13:P$314,16,0)</f>
        <v>#N/A</v>
      </c>
    </row>
    <row r="599" spans="1:40" s="69" customFormat="1" x14ac:dyDescent="0.25">
      <c r="A599" s="88"/>
      <c r="B599" s="88"/>
      <c r="C599" s="70"/>
      <c r="D599" s="70"/>
      <c r="E599" s="70"/>
      <c r="F599" s="70"/>
      <c r="G599" s="70"/>
      <c r="H599" s="422"/>
      <c r="I599" s="422"/>
      <c r="J599" s="418"/>
      <c r="K599" s="403"/>
      <c r="L599" s="73"/>
      <c r="M599" s="72"/>
      <c r="N599" s="72"/>
      <c r="O599" s="72"/>
      <c r="P599" s="42"/>
      <c r="Q599" s="42"/>
      <c r="R599" s="42"/>
      <c r="S599" s="42"/>
      <c r="T599" s="42"/>
      <c r="U599" s="42"/>
      <c r="V599" s="416"/>
      <c r="W599" s="42"/>
      <c r="X599" s="74"/>
      <c r="Y599" s="74"/>
      <c r="Z599" s="74"/>
      <c r="AA599" s="74"/>
      <c r="AB599" s="74"/>
      <c r="AC599" s="42"/>
      <c r="AD599" s="42"/>
      <c r="AE599" s="42"/>
      <c r="AF599" s="42"/>
      <c r="AG599" s="42"/>
      <c r="AH599" s="42"/>
      <c r="AI599" s="75"/>
      <c r="AJ599" s="75"/>
      <c r="AK599" s="75"/>
      <c r="AL599" s="75"/>
      <c r="AM599" s="74"/>
      <c r="AN599" s="72" t="e">
        <f>VLOOKUP(H599,[4]Planilha1!A$13:P$314,16,0)</f>
        <v>#N/A</v>
      </c>
    </row>
    <row r="600" spans="1:40" s="69" customFormat="1" x14ac:dyDescent="0.25">
      <c r="A600" s="88"/>
      <c r="B600" s="88"/>
      <c r="C600" s="70"/>
      <c r="D600" s="70"/>
      <c r="E600" s="70"/>
      <c r="F600" s="70"/>
      <c r="G600" s="70"/>
      <c r="H600" s="422"/>
      <c r="I600" s="422"/>
      <c r="J600" s="418"/>
      <c r="K600" s="403"/>
      <c r="L600" s="73"/>
      <c r="M600" s="72"/>
      <c r="N600" s="72"/>
      <c r="O600" s="72"/>
      <c r="P600" s="42"/>
      <c r="Q600" s="42"/>
      <c r="R600" s="42"/>
      <c r="S600" s="42"/>
      <c r="T600" s="42"/>
      <c r="U600" s="42"/>
      <c r="V600" s="416"/>
      <c r="W600" s="42"/>
      <c r="X600" s="74"/>
      <c r="Y600" s="74"/>
      <c r="Z600" s="74"/>
      <c r="AA600" s="74"/>
      <c r="AB600" s="74"/>
      <c r="AC600" s="42"/>
      <c r="AD600" s="42"/>
      <c r="AE600" s="42"/>
      <c r="AF600" s="42"/>
      <c r="AG600" s="42"/>
      <c r="AH600" s="42"/>
      <c r="AI600" s="75"/>
      <c r="AJ600" s="75"/>
      <c r="AK600" s="75"/>
      <c r="AL600" s="75"/>
      <c r="AM600" s="74"/>
      <c r="AN600" s="72" t="e">
        <f>VLOOKUP(H600,[4]Planilha1!A$13:P$314,16,0)</f>
        <v>#N/A</v>
      </c>
    </row>
    <row r="601" spans="1:40" s="69" customFormat="1" x14ac:dyDescent="0.25">
      <c r="A601" s="88"/>
      <c r="B601" s="88"/>
      <c r="C601" s="70"/>
      <c r="D601" s="70"/>
      <c r="E601" s="70"/>
      <c r="F601" s="70"/>
      <c r="G601" s="70"/>
      <c r="H601" s="422"/>
      <c r="I601" s="422"/>
      <c r="J601" s="418"/>
      <c r="K601" s="403"/>
      <c r="L601" s="73"/>
      <c r="M601" s="72"/>
      <c r="N601" s="72"/>
      <c r="O601" s="72"/>
      <c r="P601" s="42"/>
      <c r="Q601" s="42"/>
      <c r="R601" s="42"/>
      <c r="S601" s="42"/>
      <c r="T601" s="42"/>
      <c r="U601" s="42"/>
      <c r="V601" s="416"/>
      <c r="W601" s="42"/>
      <c r="X601" s="74"/>
      <c r="Y601" s="74"/>
      <c r="Z601" s="74"/>
      <c r="AA601" s="74"/>
      <c r="AB601" s="74"/>
      <c r="AC601" s="42"/>
      <c r="AD601" s="42"/>
      <c r="AE601" s="42"/>
      <c r="AF601" s="42"/>
      <c r="AG601" s="42"/>
      <c r="AH601" s="42"/>
      <c r="AI601" s="75"/>
      <c r="AJ601" s="75"/>
      <c r="AK601" s="75"/>
      <c r="AL601" s="75"/>
      <c r="AM601" s="74"/>
      <c r="AN601" s="72" t="e">
        <f>VLOOKUP(H601,[4]Planilha1!A$13:P$314,16,0)</f>
        <v>#N/A</v>
      </c>
    </row>
    <row r="602" spans="1:40" s="69" customFormat="1" x14ac:dyDescent="0.25">
      <c r="A602" s="88"/>
      <c r="B602" s="88"/>
      <c r="C602" s="70"/>
      <c r="D602" s="70"/>
      <c r="E602" s="70"/>
      <c r="F602" s="70"/>
      <c r="G602" s="70"/>
      <c r="H602" s="422"/>
      <c r="I602" s="422"/>
      <c r="J602" s="418"/>
      <c r="K602" s="403"/>
      <c r="L602" s="73"/>
      <c r="M602" s="72"/>
      <c r="N602" s="72"/>
      <c r="O602" s="72"/>
      <c r="P602" s="42"/>
      <c r="Q602" s="42"/>
      <c r="R602" s="42"/>
      <c r="S602" s="42"/>
      <c r="T602" s="42"/>
      <c r="U602" s="42"/>
      <c r="V602" s="416"/>
      <c r="W602" s="42"/>
      <c r="X602" s="74"/>
      <c r="Y602" s="74"/>
      <c r="Z602" s="74"/>
      <c r="AA602" s="74"/>
      <c r="AB602" s="74"/>
      <c r="AC602" s="42"/>
      <c r="AD602" s="42"/>
      <c r="AE602" s="42"/>
      <c r="AF602" s="42"/>
      <c r="AG602" s="42"/>
      <c r="AH602" s="42"/>
      <c r="AI602" s="75"/>
      <c r="AJ602" s="75"/>
      <c r="AK602" s="75"/>
      <c r="AL602" s="75"/>
      <c r="AM602" s="74"/>
      <c r="AN602" s="72" t="e">
        <f>VLOOKUP(H602,[4]Planilha1!A$13:P$314,16,0)</f>
        <v>#N/A</v>
      </c>
    </row>
    <row r="603" spans="1:40" s="69" customFormat="1" x14ac:dyDescent="0.25">
      <c r="A603" s="88"/>
      <c r="B603" s="88"/>
      <c r="C603" s="70"/>
      <c r="D603" s="70"/>
      <c r="E603" s="70"/>
      <c r="F603" s="70"/>
      <c r="G603" s="70"/>
      <c r="H603" s="422"/>
      <c r="I603" s="422"/>
      <c r="J603" s="418"/>
      <c r="K603" s="403"/>
      <c r="L603" s="73"/>
      <c r="M603" s="72"/>
      <c r="N603" s="72"/>
      <c r="O603" s="72"/>
      <c r="P603" s="42"/>
      <c r="Q603" s="42"/>
      <c r="R603" s="42"/>
      <c r="S603" s="42"/>
      <c r="T603" s="42"/>
      <c r="U603" s="42"/>
      <c r="V603" s="416"/>
      <c r="W603" s="42"/>
      <c r="X603" s="74"/>
      <c r="Y603" s="74"/>
      <c r="Z603" s="74"/>
      <c r="AA603" s="74"/>
      <c r="AB603" s="74"/>
      <c r="AC603" s="42"/>
      <c r="AD603" s="42"/>
      <c r="AE603" s="42"/>
      <c r="AF603" s="42"/>
      <c r="AG603" s="42"/>
      <c r="AH603" s="42"/>
      <c r="AI603" s="75"/>
      <c r="AJ603" s="75"/>
      <c r="AK603" s="75"/>
      <c r="AL603" s="75"/>
      <c r="AM603" s="74"/>
      <c r="AN603" s="72" t="e">
        <f>VLOOKUP(H603,[4]Planilha1!A$13:P$314,16,0)</f>
        <v>#N/A</v>
      </c>
    </row>
    <row r="604" spans="1:40" s="69" customFormat="1" x14ac:dyDescent="0.25">
      <c r="A604" s="88"/>
      <c r="B604" s="88"/>
      <c r="C604" s="70"/>
      <c r="D604" s="70"/>
      <c r="E604" s="70"/>
      <c r="F604" s="70"/>
      <c r="G604" s="70"/>
      <c r="H604" s="422"/>
      <c r="I604" s="422"/>
      <c r="J604" s="418"/>
      <c r="K604" s="403"/>
      <c r="L604" s="73"/>
      <c r="M604" s="72"/>
      <c r="N604" s="72"/>
      <c r="O604" s="72"/>
      <c r="P604" s="42"/>
      <c r="Q604" s="42"/>
      <c r="R604" s="42"/>
      <c r="S604" s="42"/>
      <c r="T604" s="42"/>
      <c r="U604" s="42"/>
      <c r="V604" s="416"/>
      <c r="W604" s="42"/>
      <c r="X604" s="74"/>
      <c r="Y604" s="74"/>
      <c r="Z604" s="74"/>
      <c r="AA604" s="74"/>
      <c r="AB604" s="74"/>
      <c r="AC604" s="42"/>
      <c r="AD604" s="42"/>
      <c r="AE604" s="42"/>
      <c r="AF604" s="42"/>
      <c r="AG604" s="42"/>
      <c r="AH604" s="42"/>
      <c r="AI604" s="75"/>
      <c r="AJ604" s="75"/>
      <c r="AK604" s="75"/>
      <c r="AL604" s="75"/>
      <c r="AM604" s="74"/>
      <c r="AN604" s="72" t="e">
        <f>VLOOKUP(H604,[4]Planilha1!A$13:P$314,16,0)</f>
        <v>#N/A</v>
      </c>
    </row>
    <row r="605" spans="1:40" s="69" customFormat="1" x14ac:dyDescent="0.25">
      <c r="A605" s="88"/>
      <c r="B605" s="88"/>
      <c r="C605" s="70"/>
      <c r="D605" s="70"/>
      <c r="E605" s="70"/>
      <c r="F605" s="70"/>
      <c r="G605" s="70"/>
      <c r="H605" s="422"/>
      <c r="I605" s="422"/>
      <c r="J605" s="418"/>
      <c r="K605" s="403"/>
      <c r="L605" s="73"/>
      <c r="M605" s="72"/>
      <c r="N605" s="72"/>
      <c r="O605" s="72"/>
      <c r="P605" s="42"/>
      <c r="Q605" s="42"/>
      <c r="R605" s="42"/>
      <c r="S605" s="42"/>
      <c r="T605" s="42"/>
      <c r="U605" s="42"/>
      <c r="V605" s="416"/>
      <c r="W605" s="42"/>
      <c r="X605" s="74"/>
      <c r="Y605" s="74"/>
      <c r="Z605" s="74"/>
      <c r="AA605" s="74"/>
      <c r="AB605" s="74"/>
      <c r="AC605" s="42"/>
      <c r="AD605" s="42"/>
      <c r="AE605" s="42"/>
      <c r="AF605" s="42"/>
      <c r="AG605" s="42"/>
      <c r="AH605" s="42"/>
      <c r="AI605" s="75"/>
      <c r="AJ605" s="75"/>
      <c r="AK605" s="75"/>
      <c r="AL605" s="75"/>
      <c r="AM605" s="74"/>
      <c r="AN605" s="72" t="e">
        <f>VLOOKUP(H605,[4]Planilha1!A$13:P$314,16,0)</f>
        <v>#N/A</v>
      </c>
    </row>
    <row r="606" spans="1:40" s="69" customFormat="1" x14ac:dyDescent="0.25">
      <c r="A606" s="88"/>
      <c r="B606" s="88"/>
      <c r="C606" s="70"/>
      <c r="D606" s="70"/>
      <c r="E606" s="70"/>
      <c r="F606" s="70"/>
      <c r="G606" s="70"/>
      <c r="H606" s="422"/>
      <c r="I606" s="422"/>
      <c r="J606" s="418"/>
      <c r="K606" s="403"/>
      <c r="L606" s="73"/>
      <c r="M606" s="72"/>
      <c r="N606" s="72"/>
      <c r="O606" s="72"/>
      <c r="P606" s="42"/>
      <c r="Q606" s="42"/>
      <c r="R606" s="42"/>
      <c r="S606" s="42"/>
      <c r="T606" s="42"/>
      <c r="U606" s="42"/>
      <c r="V606" s="416"/>
      <c r="W606" s="42"/>
      <c r="X606" s="74"/>
      <c r="Y606" s="74"/>
      <c r="Z606" s="74"/>
      <c r="AA606" s="74"/>
      <c r="AB606" s="74"/>
      <c r="AC606" s="42"/>
      <c r="AD606" s="42"/>
      <c r="AE606" s="42"/>
      <c r="AF606" s="42"/>
      <c r="AG606" s="42"/>
      <c r="AH606" s="42"/>
      <c r="AI606" s="75"/>
      <c r="AJ606" s="75"/>
      <c r="AK606" s="75"/>
      <c r="AL606" s="75"/>
      <c r="AM606" s="74"/>
      <c r="AN606" s="72" t="e">
        <f>VLOOKUP(H606,[4]Planilha1!A$13:P$314,16,0)</f>
        <v>#N/A</v>
      </c>
    </row>
    <row r="607" spans="1:40" s="69" customFormat="1" x14ac:dyDescent="0.25">
      <c r="A607" s="88"/>
      <c r="B607" s="88"/>
      <c r="C607" s="70"/>
      <c r="D607" s="70"/>
      <c r="E607" s="70"/>
      <c r="F607" s="70"/>
      <c r="G607" s="70"/>
      <c r="H607" s="422"/>
      <c r="I607" s="422"/>
      <c r="J607" s="418"/>
      <c r="K607" s="403"/>
      <c r="L607" s="73"/>
      <c r="M607" s="72"/>
      <c r="N607" s="72"/>
      <c r="O607" s="72"/>
      <c r="P607" s="42"/>
      <c r="Q607" s="42"/>
      <c r="R607" s="42"/>
      <c r="S607" s="42"/>
      <c r="T607" s="42"/>
      <c r="U607" s="42"/>
      <c r="V607" s="416"/>
      <c r="W607" s="42"/>
      <c r="X607" s="74"/>
      <c r="Y607" s="74"/>
      <c r="Z607" s="74"/>
      <c r="AA607" s="74"/>
      <c r="AB607" s="74"/>
      <c r="AC607" s="42"/>
      <c r="AD607" s="42"/>
      <c r="AE607" s="42"/>
      <c r="AF607" s="42"/>
      <c r="AG607" s="42"/>
      <c r="AH607" s="42"/>
      <c r="AI607" s="75"/>
      <c r="AJ607" s="75"/>
      <c r="AK607" s="75"/>
      <c r="AL607" s="75"/>
      <c r="AM607" s="74"/>
      <c r="AN607" s="72" t="e">
        <f>VLOOKUP(H607,[4]Planilha1!A$13:P$314,16,0)</f>
        <v>#N/A</v>
      </c>
    </row>
    <row r="608" spans="1:40" s="69" customFormat="1" x14ac:dyDescent="0.25">
      <c r="A608" s="88"/>
      <c r="B608" s="88"/>
      <c r="C608" s="70"/>
      <c r="D608" s="70"/>
      <c r="E608" s="70"/>
      <c r="F608" s="70"/>
      <c r="G608" s="70"/>
      <c r="H608" s="422"/>
      <c r="I608" s="422"/>
      <c r="J608" s="418"/>
      <c r="K608" s="403"/>
      <c r="L608" s="73"/>
      <c r="M608" s="72"/>
      <c r="N608" s="72"/>
      <c r="O608" s="72"/>
      <c r="P608" s="42"/>
      <c r="Q608" s="42"/>
      <c r="R608" s="42"/>
      <c r="S608" s="42"/>
      <c r="T608" s="42"/>
      <c r="U608" s="42"/>
      <c r="V608" s="416"/>
      <c r="W608" s="42"/>
      <c r="X608" s="74"/>
      <c r="Y608" s="74"/>
      <c r="Z608" s="74"/>
      <c r="AA608" s="74"/>
      <c r="AB608" s="74"/>
      <c r="AC608" s="42"/>
      <c r="AD608" s="42"/>
      <c r="AE608" s="42"/>
      <c r="AF608" s="42"/>
      <c r="AG608" s="42"/>
      <c r="AH608" s="42"/>
      <c r="AI608" s="75"/>
      <c r="AJ608" s="75"/>
      <c r="AK608" s="75"/>
      <c r="AL608" s="75"/>
      <c r="AM608" s="74"/>
      <c r="AN608" s="72" t="e">
        <f>VLOOKUP(H608,[4]Planilha1!A$13:P$314,16,0)</f>
        <v>#N/A</v>
      </c>
    </row>
    <row r="609" spans="1:40" s="69" customFormat="1" x14ac:dyDescent="0.25">
      <c r="A609" s="88"/>
      <c r="B609" s="88"/>
      <c r="C609" s="70"/>
      <c r="D609" s="70"/>
      <c r="E609" s="70"/>
      <c r="F609" s="70"/>
      <c r="G609" s="70"/>
      <c r="H609" s="422"/>
      <c r="I609" s="422"/>
      <c r="J609" s="418"/>
      <c r="K609" s="403"/>
      <c r="L609" s="73"/>
      <c r="M609" s="72"/>
      <c r="N609" s="72"/>
      <c r="O609" s="72"/>
      <c r="P609" s="42"/>
      <c r="Q609" s="42"/>
      <c r="R609" s="42"/>
      <c r="S609" s="42"/>
      <c r="T609" s="42"/>
      <c r="U609" s="42"/>
      <c r="V609" s="416"/>
      <c r="W609" s="42"/>
      <c r="X609" s="74"/>
      <c r="Y609" s="74"/>
      <c r="Z609" s="74"/>
      <c r="AA609" s="74"/>
      <c r="AB609" s="74"/>
      <c r="AC609" s="42"/>
      <c r="AD609" s="42"/>
      <c r="AE609" s="42"/>
      <c r="AF609" s="42"/>
      <c r="AG609" s="42"/>
      <c r="AH609" s="42"/>
      <c r="AI609" s="75"/>
      <c r="AJ609" s="75"/>
      <c r="AK609" s="75"/>
      <c r="AL609" s="75"/>
      <c r="AM609" s="74"/>
      <c r="AN609" s="72" t="e">
        <f>VLOOKUP(H609,[4]Planilha1!A$13:P$314,16,0)</f>
        <v>#N/A</v>
      </c>
    </row>
    <row r="610" spans="1:40" s="69" customFormat="1" x14ac:dyDescent="0.25">
      <c r="A610" s="88"/>
      <c r="B610" s="88"/>
      <c r="C610" s="70"/>
      <c r="D610" s="70"/>
      <c r="E610" s="70"/>
      <c r="F610" s="70"/>
      <c r="G610" s="70"/>
      <c r="H610" s="422"/>
      <c r="I610" s="422"/>
      <c r="J610" s="418"/>
      <c r="K610" s="403"/>
      <c r="L610" s="73"/>
      <c r="M610" s="72"/>
      <c r="N610" s="72"/>
      <c r="O610" s="72"/>
      <c r="P610" s="42"/>
      <c r="Q610" s="42"/>
      <c r="R610" s="42"/>
      <c r="S610" s="42"/>
      <c r="T610" s="42"/>
      <c r="U610" s="42"/>
      <c r="V610" s="416"/>
      <c r="W610" s="42"/>
      <c r="X610" s="74"/>
      <c r="Y610" s="74"/>
      <c r="Z610" s="74"/>
      <c r="AA610" s="74"/>
      <c r="AB610" s="74"/>
      <c r="AC610" s="42"/>
      <c r="AD610" s="42"/>
      <c r="AE610" s="42"/>
      <c r="AF610" s="42"/>
      <c r="AG610" s="42"/>
      <c r="AH610" s="42"/>
      <c r="AI610" s="75"/>
      <c r="AJ610" s="75"/>
      <c r="AK610" s="75"/>
      <c r="AL610" s="75"/>
      <c r="AM610" s="74"/>
      <c r="AN610" s="72" t="e">
        <f>VLOOKUP(H610,[4]Planilha1!A$13:P$314,16,0)</f>
        <v>#N/A</v>
      </c>
    </row>
    <row r="611" spans="1:40" s="69" customFormat="1" x14ac:dyDescent="0.25">
      <c r="A611" s="88"/>
      <c r="B611" s="88"/>
      <c r="C611" s="70"/>
      <c r="D611" s="70"/>
      <c r="E611" s="70"/>
      <c r="F611" s="70"/>
      <c r="G611" s="70"/>
      <c r="H611" s="422"/>
      <c r="I611" s="422"/>
      <c r="J611" s="418"/>
      <c r="K611" s="403"/>
      <c r="L611" s="73"/>
      <c r="M611" s="72"/>
      <c r="N611" s="72"/>
      <c r="O611" s="72"/>
      <c r="P611" s="42"/>
      <c r="Q611" s="42"/>
      <c r="R611" s="42"/>
      <c r="S611" s="42"/>
      <c r="T611" s="42"/>
      <c r="U611" s="42"/>
      <c r="V611" s="416"/>
      <c r="W611" s="42"/>
      <c r="X611" s="74"/>
      <c r="Y611" s="74"/>
      <c r="Z611" s="74"/>
      <c r="AA611" s="74"/>
      <c r="AB611" s="74"/>
      <c r="AC611" s="42"/>
      <c r="AD611" s="42"/>
      <c r="AE611" s="42"/>
      <c r="AF611" s="42"/>
      <c r="AG611" s="42"/>
      <c r="AH611" s="42"/>
      <c r="AI611" s="75"/>
      <c r="AJ611" s="75"/>
      <c r="AK611" s="75"/>
      <c r="AL611" s="75"/>
      <c r="AM611" s="74"/>
      <c r="AN611" s="72" t="e">
        <f>VLOOKUP(H611,[4]Planilha1!A$13:P$314,16,0)</f>
        <v>#N/A</v>
      </c>
    </row>
    <row r="612" spans="1:40" s="69" customFormat="1" x14ac:dyDescent="0.25">
      <c r="A612" s="88"/>
      <c r="B612" s="88"/>
      <c r="C612" s="70"/>
      <c r="D612" s="70"/>
      <c r="E612" s="70"/>
      <c r="F612" s="70"/>
      <c r="G612" s="70"/>
      <c r="H612" s="422"/>
      <c r="I612" s="422"/>
      <c r="J612" s="418"/>
      <c r="K612" s="403"/>
      <c r="L612" s="73"/>
      <c r="M612" s="72"/>
      <c r="N612" s="72"/>
      <c r="O612" s="72"/>
      <c r="P612" s="42"/>
      <c r="Q612" s="42"/>
      <c r="R612" s="42"/>
      <c r="S612" s="42"/>
      <c r="T612" s="42"/>
      <c r="U612" s="42"/>
      <c r="V612" s="416"/>
      <c r="W612" s="42"/>
      <c r="X612" s="74"/>
      <c r="Y612" s="74"/>
      <c r="Z612" s="74"/>
      <c r="AA612" s="74"/>
      <c r="AB612" s="74"/>
      <c r="AC612" s="42"/>
      <c r="AD612" s="42"/>
      <c r="AE612" s="42"/>
      <c r="AF612" s="42"/>
      <c r="AG612" s="42"/>
      <c r="AH612" s="42"/>
      <c r="AI612" s="75"/>
      <c r="AJ612" s="75"/>
      <c r="AK612" s="75"/>
      <c r="AL612" s="75"/>
      <c r="AM612" s="74"/>
      <c r="AN612" s="72" t="e">
        <f>VLOOKUP(H612,[4]Planilha1!A$13:P$314,16,0)</f>
        <v>#N/A</v>
      </c>
    </row>
    <row r="613" spans="1:40" s="69" customFormat="1" x14ac:dyDescent="0.25">
      <c r="A613" s="88"/>
      <c r="B613" s="88"/>
      <c r="C613" s="70"/>
      <c r="D613" s="70"/>
      <c r="E613" s="70"/>
      <c r="F613" s="70"/>
      <c r="G613" s="70"/>
      <c r="H613" s="422"/>
      <c r="I613" s="422"/>
      <c r="J613" s="418"/>
      <c r="K613" s="403"/>
      <c r="L613" s="73"/>
      <c r="M613" s="72"/>
      <c r="N613" s="72"/>
      <c r="O613" s="72"/>
      <c r="P613" s="42"/>
      <c r="Q613" s="42"/>
      <c r="R613" s="42"/>
      <c r="S613" s="42"/>
      <c r="T613" s="42"/>
      <c r="U613" s="42"/>
      <c r="V613" s="416"/>
      <c r="W613" s="42"/>
      <c r="X613" s="74"/>
      <c r="Y613" s="74"/>
      <c r="Z613" s="74"/>
      <c r="AA613" s="74"/>
      <c r="AB613" s="74"/>
      <c r="AC613" s="42"/>
      <c r="AD613" s="42"/>
      <c r="AE613" s="42"/>
      <c r="AF613" s="42"/>
      <c r="AG613" s="42"/>
      <c r="AH613" s="42"/>
      <c r="AI613" s="75"/>
      <c r="AJ613" s="75"/>
      <c r="AK613" s="75"/>
      <c r="AL613" s="75"/>
      <c r="AM613" s="74"/>
      <c r="AN613" s="72" t="e">
        <f>VLOOKUP(H613,[4]Planilha1!A$13:P$314,16,0)</f>
        <v>#N/A</v>
      </c>
    </row>
    <row r="614" spans="1:40" s="69" customFormat="1" x14ac:dyDescent="0.25">
      <c r="A614" s="88"/>
      <c r="B614" s="88"/>
      <c r="C614" s="70"/>
      <c r="D614" s="70"/>
      <c r="E614" s="70"/>
      <c r="F614" s="70"/>
      <c r="G614" s="70"/>
      <c r="H614" s="422"/>
      <c r="I614" s="422"/>
      <c r="J614" s="418"/>
      <c r="K614" s="403"/>
      <c r="L614" s="73"/>
      <c r="M614" s="72"/>
      <c r="N614" s="72"/>
      <c r="O614" s="72"/>
      <c r="P614" s="42"/>
      <c r="Q614" s="42"/>
      <c r="R614" s="42"/>
      <c r="S614" s="42"/>
      <c r="T614" s="42"/>
      <c r="U614" s="42"/>
      <c r="V614" s="416"/>
      <c r="W614" s="42"/>
      <c r="X614" s="74"/>
      <c r="Y614" s="74"/>
      <c r="Z614" s="74"/>
      <c r="AA614" s="74"/>
      <c r="AB614" s="74"/>
      <c r="AC614" s="42"/>
      <c r="AD614" s="42"/>
      <c r="AE614" s="42"/>
      <c r="AF614" s="42"/>
      <c r="AG614" s="42"/>
      <c r="AH614" s="42"/>
      <c r="AI614" s="75"/>
      <c r="AJ614" s="75"/>
      <c r="AK614" s="75"/>
      <c r="AL614" s="75"/>
      <c r="AM614" s="74"/>
      <c r="AN614" s="72" t="e">
        <f>VLOOKUP(H614,[4]Planilha1!A$13:P$314,16,0)</f>
        <v>#N/A</v>
      </c>
    </row>
    <row r="615" spans="1:40" s="69" customFormat="1" x14ac:dyDescent="0.25">
      <c r="A615" s="88"/>
      <c r="B615" s="88"/>
      <c r="C615" s="70"/>
      <c r="D615" s="70"/>
      <c r="E615" s="70"/>
      <c r="F615" s="70"/>
      <c r="G615" s="70"/>
      <c r="H615" s="422"/>
      <c r="I615" s="422"/>
      <c r="J615" s="418"/>
      <c r="K615" s="403"/>
      <c r="L615" s="73"/>
      <c r="M615" s="72"/>
      <c r="N615" s="72"/>
      <c r="O615" s="72"/>
      <c r="P615" s="42"/>
      <c r="Q615" s="42"/>
      <c r="R615" s="42"/>
      <c r="S615" s="42"/>
      <c r="T615" s="42"/>
      <c r="U615" s="42"/>
      <c r="V615" s="416"/>
      <c r="W615" s="42"/>
      <c r="X615" s="74"/>
      <c r="Y615" s="74"/>
      <c r="Z615" s="74"/>
      <c r="AA615" s="74"/>
      <c r="AB615" s="74"/>
      <c r="AC615" s="42"/>
      <c r="AD615" s="42"/>
      <c r="AE615" s="42"/>
      <c r="AF615" s="42"/>
      <c r="AG615" s="42"/>
      <c r="AH615" s="42"/>
      <c r="AI615" s="75"/>
      <c r="AJ615" s="75"/>
      <c r="AK615" s="75"/>
      <c r="AL615" s="75"/>
      <c r="AM615" s="74"/>
      <c r="AN615" s="72" t="e">
        <f>VLOOKUP(H615,[4]Planilha1!A$13:P$314,16,0)</f>
        <v>#N/A</v>
      </c>
    </row>
    <row r="616" spans="1:40" s="69" customFormat="1" x14ac:dyDescent="0.25">
      <c r="A616" s="88"/>
      <c r="B616" s="88"/>
      <c r="C616" s="70"/>
      <c r="D616" s="70"/>
      <c r="E616" s="70"/>
      <c r="F616" s="70"/>
      <c r="G616" s="70"/>
      <c r="H616" s="422"/>
      <c r="I616" s="422"/>
      <c r="J616" s="418"/>
      <c r="K616" s="403"/>
      <c r="L616" s="73"/>
      <c r="M616" s="72"/>
      <c r="N616" s="72"/>
      <c r="O616" s="72"/>
      <c r="P616" s="42"/>
      <c r="Q616" s="42"/>
      <c r="R616" s="42"/>
      <c r="S616" s="42"/>
      <c r="T616" s="42"/>
      <c r="U616" s="42"/>
      <c r="V616" s="416"/>
      <c r="W616" s="42"/>
      <c r="X616" s="74"/>
      <c r="Y616" s="74"/>
      <c r="Z616" s="74"/>
      <c r="AA616" s="74"/>
      <c r="AB616" s="74"/>
      <c r="AC616" s="42"/>
      <c r="AD616" s="42"/>
      <c r="AE616" s="42"/>
      <c r="AF616" s="42"/>
      <c r="AG616" s="42"/>
      <c r="AH616" s="42"/>
      <c r="AI616" s="75"/>
      <c r="AJ616" s="75"/>
      <c r="AK616" s="75"/>
      <c r="AL616" s="75"/>
      <c r="AM616" s="74"/>
      <c r="AN616" s="72" t="e">
        <f>VLOOKUP(H616,[4]Planilha1!A$13:P$314,16,0)</f>
        <v>#N/A</v>
      </c>
    </row>
    <row r="617" spans="1:40" s="69" customFormat="1" x14ac:dyDescent="0.25">
      <c r="A617" s="88"/>
      <c r="B617" s="88"/>
      <c r="C617" s="70"/>
      <c r="D617" s="70"/>
      <c r="E617" s="70"/>
      <c r="F617" s="70"/>
      <c r="G617" s="70"/>
      <c r="H617" s="422"/>
      <c r="I617" s="422"/>
      <c r="J617" s="418"/>
      <c r="K617" s="403"/>
      <c r="L617" s="73"/>
      <c r="M617" s="72"/>
      <c r="N617" s="72"/>
      <c r="O617" s="72"/>
      <c r="P617" s="42"/>
      <c r="Q617" s="42"/>
      <c r="R617" s="42"/>
      <c r="S617" s="42"/>
      <c r="T617" s="42"/>
      <c r="U617" s="42"/>
      <c r="V617" s="416"/>
      <c r="W617" s="42"/>
      <c r="X617" s="74"/>
      <c r="Y617" s="74"/>
      <c r="Z617" s="74"/>
      <c r="AA617" s="74"/>
      <c r="AB617" s="74"/>
      <c r="AC617" s="42"/>
      <c r="AD617" s="42"/>
      <c r="AE617" s="42"/>
      <c r="AF617" s="42"/>
      <c r="AG617" s="42"/>
      <c r="AH617" s="42"/>
      <c r="AI617" s="75"/>
      <c r="AJ617" s="75"/>
      <c r="AK617" s="75"/>
      <c r="AL617" s="75"/>
      <c r="AM617" s="74"/>
      <c r="AN617" s="72" t="e">
        <f>VLOOKUP(H617,[4]Planilha1!A$13:P$314,16,0)</f>
        <v>#N/A</v>
      </c>
    </row>
    <row r="618" spans="1:40" s="69" customFormat="1" x14ac:dyDescent="0.25">
      <c r="A618" s="88"/>
      <c r="B618" s="88"/>
      <c r="C618" s="70"/>
      <c r="D618" s="70"/>
      <c r="E618" s="70"/>
      <c r="F618" s="70"/>
      <c r="G618" s="70"/>
      <c r="H618" s="422"/>
      <c r="I618" s="422"/>
      <c r="J618" s="418"/>
      <c r="K618" s="403"/>
      <c r="L618" s="73"/>
      <c r="M618" s="72"/>
      <c r="N618" s="72"/>
      <c r="O618" s="72"/>
      <c r="P618" s="42"/>
      <c r="Q618" s="42"/>
      <c r="R618" s="42"/>
      <c r="S618" s="42"/>
      <c r="T618" s="42"/>
      <c r="U618" s="42"/>
      <c r="V618" s="416"/>
      <c r="W618" s="42"/>
      <c r="X618" s="74"/>
      <c r="Y618" s="74"/>
      <c r="Z618" s="74"/>
      <c r="AA618" s="74"/>
      <c r="AB618" s="74"/>
      <c r="AC618" s="42"/>
      <c r="AD618" s="42"/>
      <c r="AE618" s="42"/>
      <c r="AF618" s="42"/>
      <c r="AG618" s="42"/>
      <c r="AH618" s="42"/>
      <c r="AI618" s="75"/>
      <c r="AJ618" s="75"/>
      <c r="AK618" s="75"/>
      <c r="AL618" s="75"/>
      <c r="AM618" s="74"/>
      <c r="AN618" s="72" t="e">
        <f>VLOOKUP(H618,[4]Planilha1!A$13:P$314,16,0)</f>
        <v>#N/A</v>
      </c>
    </row>
    <row r="619" spans="1:40" s="69" customFormat="1" x14ac:dyDescent="0.25">
      <c r="A619" s="88"/>
      <c r="B619" s="88"/>
      <c r="C619" s="70"/>
      <c r="D619" s="70"/>
      <c r="E619" s="70"/>
      <c r="F619" s="70"/>
      <c r="G619" s="70"/>
      <c r="H619" s="422"/>
      <c r="I619" s="422"/>
      <c r="J619" s="418"/>
      <c r="K619" s="403"/>
      <c r="L619" s="73"/>
      <c r="M619" s="72"/>
      <c r="N619" s="72"/>
      <c r="O619" s="72"/>
      <c r="P619" s="42"/>
      <c r="Q619" s="42"/>
      <c r="R619" s="42"/>
      <c r="S619" s="42"/>
      <c r="T619" s="42"/>
      <c r="U619" s="42"/>
      <c r="V619" s="416"/>
      <c r="W619" s="42"/>
      <c r="X619" s="74"/>
      <c r="Y619" s="74"/>
      <c r="Z619" s="74"/>
      <c r="AA619" s="74"/>
      <c r="AB619" s="74"/>
      <c r="AC619" s="42"/>
      <c r="AD619" s="42"/>
      <c r="AE619" s="42"/>
      <c r="AF619" s="42"/>
      <c r="AG619" s="42"/>
      <c r="AH619" s="42"/>
      <c r="AI619" s="75"/>
      <c r="AJ619" s="75"/>
      <c r="AK619" s="75"/>
      <c r="AL619" s="75"/>
      <c r="AM619" s="74"/>
      <c r="AN619" s="72" t="e">
        <f>VLOOKUP(H619,[4]Planilha1!A$13:P$314,16,0)</f>
        <v>#N/A</v>
      </c>
    </row>
    <row r="620" spans="1:40" s="69" customFormat="1" x14ac:dyDescent="0.25">
      <c r="A620" s="88"/>
      <c r="B620" s="88"/>
      <c r="C620" s="70"/>
      <c r="D620" s="70"/>
      <c r="E620" s="70"/>
      <c r="F620" s="70"/>
      <c r="G620" s="70"/>
      <c r="H620" s="422"/>
      <c r="I620" s="422"/>
      <c r="J620" s="418"/>
      <c r="K620" s="403"/>
      <c r="L620" s="73"/>
      <c r="M620" s="72"/>
      <c r="N620" s="72"/>
      <c r="O620" s="72"/>
      <c r="P620" s="42"/>
      <c r="Q620" s="42"/>
      <c r="R620" s="42"/>
      <c r="S620" s="42"/>
      <c r="T620" s="42"/>
      <c r="U620" s="42"/>
      <c r="V620" s="416"/>
      <c r="W620" s="42"/>
      <c r="X620" s="74"/>
      <c r="Y620" s="74"/>
      <c r="Z620" s="74"/>
      <c r="AA620" s="74"/>
      <c r="AB620" s="74"/>
      <c r="AC620" s="42"/>
      <c r="AD620" s="42"/>
      <c r="AE620" s="42"/>
      <c r="AF620" s="42"/>
      <c r="AG620" s="42"/>
      <c r="AH620" s="42"/>
      <c r="AI620" s="75"/>
      <c r="AJ620" s="75"/>
      <c r="AK620" s="75"/>
      <c r="AL620" s="75"/>
      <c r="AM620" s="74"/>
      <c r="AN620" s="72" t="e">
        <f>VLOOKUP(H620,[4]Planilha1!A$13:P$314,16,0)</f>
        <v>#N/A</v>
      </c>
    </row>
    <row r="621" spans="1:40" s="69" customFormat="1" x14ac:dyDescent="0.25">
      <c r="A621" s="88"/>
      <c r="B621" s="88"/>
      <c r="C621" s="70"/>
      <c r="D621" s="70"/>
      <c r="E621" s="70"/>
      <c r="F621" s="70"/>
      <c r="G621" s="70"/>
      <c r="H621" s="422"/>
      <c r="I621" s="422"/>
      <c r="J621" s="418"/>
      <c r="K621" s="403"/>
      <c r="L621" s="73"/>
      <c r="M621" s="72"/>
      <c r="N621" s="72"/>
      <c r="O621" s="72"/>
      <c r="P621" s="42"/>
      <c r="Q621" s="42"/>
      <c r="R621" s="42"/>
      <c r="S621" s="42"/>
      <c r="T621" s="42"/>
      <c r="U621" s="42"/>
      <c r="V621" s="416"/>
      <c r="W621" s="42"/>
      <c r="X621" s="74"/>
      <c r="Y621" s="74"/>
      <c r="Z621" s="74"/>
      <c r="AA621" s="74"/>
      <c r="AB621" s="74"/>
      <c r="AC621" s="42"/>
      <c r="AD621" s="42"/>
      <c r="AE621" s="42"/>
      <c r="AF621" s="42"/>
      <c r="AG621" s="42"/>
      <c r="AH621" s="42"/>
      <c r="AI621" s="75"/>
      <c r="AJ621" s="75"/>
      <c r="AK621" s="75"/>
      <c r="AL621" s="75"/>
      <c r="AM621" s="74"/>
      <c r="AN621" s="72" t="e">
        <f>VLOOKUP(H621,[4]Planilha1!A$13:P$314,16,0)</f>
        <v>#N/A</v>
      </c>
    </row>
    <row r="622" spans="1:40" s="69" customFormat="1" x14ac:dyDescent="0.25">
      <c r="A622" s="88"/>
      <c r="B622" s="88"/>
      <c r="C622" s="70"/>
      <c r="D622" s="70"/>
      <c r="E622" s="70"/>
      <c r="F622" s="70"/>
      <c r="G622" s="70"/>
      <c r="H622" s="422"/>
      <c r="I622" s="422"/>
      <c r="J622" s="418"/>
      <c r="K622" s="403"/>
      <c r="L622" s="73"/>
      <c r="M622" s="72"/>
      <c r="N622" s="72"/>
      <c r="O622" s="72"/>
      <c r="P622" s="42"/>
      <c r="Q622" s="42"/>
      <c r="R622" s="42"/>
      <c r="S622" s="42"/>
      <c r="T622" s="42"/>
      <c r="U622" s="42"/>
      <c r="V622" s="416"/>
      <c r="W622" s="42"/>
      <c r="X622" s="74"/>
      <c r="Y622" s="74"/>
      <c r="Z622" s="74"/>
      <c r="AA622" s="74"/>
      <c r="AB622" s="74"/>
      <c r="AC622" s="42"/>
      <c r="AD622" s="42"/>
      <c r="AE622" s="42"/>
      <c r="AF622" s="42"/>
      <c r="AG622" s="42"/>
      <c r="AH622" s="42"/>
      <c r="AI622" s="75"/>
      <c r="AJ622" s="75"/>
      <c r="AK622" s="75"/>
      <c r="AL622" s="75"/>
      <c r="AM622" s="74"/>
      <c r="AN622" s="72" t="e">
        <f>VLOOKUP(H622,[4]Planilha1!A$13:P$314,16,0)</f>
        <v>#N/A</v>
      </c>
    </row>
    <row r="623" spans="1:40" s="69" customFormat="1" x14ac:dyDescent="0.25">
      <c r="A623" s="88"/>
      <c r="B623" s="88"/>
      <c r="C623" s="70"/>
      <c r="D623" s="70"/>
      <c r="E623" s="70"/>
      <c r="F623" s="70"/>
      <c r="G623" s="70"/>
      <c r="H623" s="422"/>
      <c r="I623" s="422"/>
      <c r="J623" s="418"/>
      <c r="K623" s="403"/>
      <c r="L623" s="73"/>
      <c r="M623" s="72"/>
      <c r="N623" s="72"/>
      <c r="O623" s="72"/>
      <c r="P623" s="42"/>
      <c r="Q623" s="42"/>
      <c r="R623" s="42"/>
      <c r="S623" s="42"/>
      <c r="T623" s="42"/>
      <c r="U623" s="42"/>
      <c r="V623" s="416"/>
      <c r="W623" s="42"/>
      <c r="X623" s="74"/>
      <c r="Y623" s="74"/>
      <c r="Z623" s="74"/>
      <c r="AA623" s="74"/>
      <c r="AB623" s="74"/>
      <c r="AC623" s="42"/>
      <c r="AD623" s="42"/>
      <c r="AE623" s="42"/>
      <c r="AF623" s="42"/>
      <c r="AG623" s="42"/>
      <c r="AH623" s="42"/>
      <c r="AI623" s="75"/>
      <c r="AJ623" s="75"/>
      <c r="AK623" s="75"/>
      <c r="AL623" s="75"/>
      <c r="AM623" s="74"/>
      <c r="AN623" s="72" t="e">
        <f>VLOOKUP(H623,[4]Planilha1!A$13:P$314,16,0)</f>
        <v>#N/A</v>
      </c>
    </row>
    <row r="624" spans="1:40" s="69" customFormat="1" x14ac:dyDescent="0.25">
      <c r="A624" s="88"/>
      <c r="B624" s="88"/>
      <c r="C624" s="70"/>
      <c r="D624" s="70"/>
      <c r="E624" s="70"/>
      <c r="F624" s="70"/>
      <c r="G624" s="70"/>
      <c r="H624" s="422"/>
      <c r="I624" s="422"/>
      <c r="J624" s="418"/>
      <c r="K624" s="403"/>
      <c r="L624" s="73"/>
      <c r="M624" s="72"/>
      <c r="N624" s="72"/>
      <c r="O624" s="72"/>
      <c r="P624" s="42"/>
      <c r="Q624" s="42"/>
      <c r="R624" s="42"/>
      <c r="S624" s="42"/>
      <c r="T624" s="42"/>
      <c r="U624" s="42"/>
      <c r="V624" s="416"/>
      <c r="W624" s="42"/>
      <c r="X624" s="74"/>
      <c r="Y624" s="74"/>
      <c r="Z624" s="74"/>
      <c r="AA624" s="74"/>
      <c r="AB624" s="74"/>
      <c r="AC624" s="42"/>
      <c r="AD624" s="42"/>
      <c r="AE624" s="42"/>
      <c r="AF624" s="42"/>
      <c r="AG624" s="42"/>
      <c r="AH624" s="42"/>
      <c r="AI624" s="75"/>
      <c r="AJ624" s="75"/>
      <c r="AK624" s="75"/>
      <c r="AL624" s="75"/>
      <c r="AM624" s="74"/>
      <c r="AN624" s="72" t="e">
        <f>VLOOKUP(H624,[4]Planilha1!A$13:P$314,16,0)</f>
        <v>#N/A</v>
      </c>
    </row>
    <row r="625" spans="1:40" s="69" customFormat="1" x14ac:dyDescent="0.25">
      <c r="A625" s="88"/>
      <c r="B625" s="88"/>
      <c r="C625" s="70"/>
      <c r="D625" s="70"/>
      <c r="E625" s="70"/>
      <c r="F625" s="70"/>
      <c r="G625" s="70"/>
      <c r="H625" s="422"/>
      <c r="I625" s="422"/>
      <c r="J625" s="418"/>
      <c r="K625" s="403"/>
      <c r="L625" s="73"/>
      <c r="M625" s="72"/>
      <c r="N625" s="72"/>
      <c r="O625" s="72"/>
      <c r="P625" s="42"/>
      <c r="Q625" s="42"/>
      <c r="R625" s="42"/>
      <c r="S625" s="42"/>
      <c r="T625" s="42"/>
      <c r="U625" s="42"/>
      <c r="V625" s="416"/>
      <c r="W625" s="42"/>
      <c r="X625" s="74"/>
      <c r="Y625" s="74"/>
      <c r="Z625" s="74"/>
      <c r="AA625" s="74"/>
      <c r="AB625" s="74"/>
      <c r="AC625" s="42"/>
      <c r="AD625" s="42"/>
      <c r="AE625" s="42"/>
      <c r="AF625" s="42"/>
      <c r="AG625" s="42"/>
      <c r="AH625" s="42"/>
      <c r="AI625" s="75"/>
      <c r="AJ625" s="75"/>
      <c r="AK625" s="75"/>
      <c r="AL625" s="75"/>
      <c r="AM625" s="74"/>
      <c r="AN625" s="72" t="e">
        <f>VLOOKUP(H625,[4]Planilha1!A$13:P$314,16,0)</f>
        <v>#N/A</v>
      </c>
    </row>
    <row r="626" spans="1:40" s="69" customFormat="1" x14ac:dyDescent="0.25">
      <c r="A626" s="88"/>
      <c r="B626" s="88"/>
      <c r="C626" s="70"/>
      <c r="D626" s="70"/>
      <c r="E626" s="70"/>
      <c r="F626" s="70"/>
      <c r="G626" s="70"/>
      <c r="H626" s="422"/>
      <c r="I626" s="422"/>
      <c r="J626" s="418"/>
      <c r="K626" s="403"/>
      <c r="L626" s="73"/>
      <c r="M626" s="72"/>
      <c r="N626" s="72"/>
      <c r="O626" s="72"/>
      <c r="P626" s="42"/>
      <c r="Q626" s="42"/>
      <c r="R626" s="42"/>
      <c r="S626" s="42"/>
      <c r="T626" s="42"/>
      <c r="U626" s="42"/>
      <c r="V626" s="416"/>
      <c r="W626" s="42"/>
      <c r="X626" s="74"/>
      <c r="Y626" s="74"/>
      <c r="Z626" s="74"/>
      <c r="AA626" s="74"/>
      <c r="AB626" s="74"/>
      <c r="AC626" s="42"/>
      <c r="AD626" s="42"/>
      <c r="AE626" s="42"/>
      <c r="AF626" s="42"/>
      <c r="AG626" s="42"/>
      <c r="AH626" s="42"/>
      <c r="AI626" s="75"/>
      <c r="AJ626" s="75"/>
      <c r="AK626" s="75"/>
      <c r="AL626" s="75"/>
      <c r="AM626" s="74"/>
      <c r="AN626" s="72" t="e">
        <f>VLOOKUP(H626,[4]Planilha1!A$13:P$314,16,0)</f>
        <v>#N/A</v>
      </c>
    </row>
    <row r="627" spans="1:40" s="69" customFormat="1" x14ac:dyDescent="0.25">
      <c r="A627" s="88"/>
      <c r="B627" s="88"/>
      <c r="C627" s="70"/>
      <c r="D627" s="70"/>
      <c r="E627" s="70"/>
      <c r="F627" s="70"/>
      <c r="G627" s="70"/>
      <c r="H627" s="422"/>
      <c r="I627" s="422"/>
      <c r="J627" s="418"/>
      <c r="K627" s="403"/>
      <c r="L627" s="73"/>
      <c r="M627" s="72"/>
      <c r="N627" s="72"/>
      <c r="O627" s="72"/>
      <c r="P627" s="42"/>
      <c r="Q627" s="42"/>
      <c r="R627" s="42"/>
      <c r="S627" s="42"/>
      <c r="T627" s="42"/>
      <c r="U627" s="42"/>
      <c r="V627" s="416"/>
      <c r="W627" s="42"/>
      <c r="X627" s="74"/>
      <c r="Y627" s="74"/>
      <c r="Z627" s="74"/>
      <c r="AA627" s="74"/>
      <c r="AB627" s="74"/>
      <c r="AC627" s="42"/>
      <c r="AD627" s="42"/>
      <c r="AE627" s="42"/>
      <c r="AF627" s="42"/>
      <c r="AG627" s="42"/>
      <c r="AH627" s="42"/>
      <c r="AI627" s="75"/>
      <c r="AJ627" s="75"/>
      <c r="AK627" s="75"/>
      <c r="AL627" s="75"/>
      <c r="AM627" s="74"/>
      <c r="AN627" s="72" t="e">
        <f>VLOOKUP(H627,[4]Planilha1!A$13:P$314,16,0)</f>
        <v>#N/A</v>
      </c>
    </row>
    <row r="628" spans="1:40" s="69" customFormat="1" x14ac:dyDescent="0.25">
      <c r="A628" s="88"/>
      <c r="B628" s="88"/>
      <c r="C628" s="70"/>
      <c r="D628" s="70"/>
      <c r="E628" s="70"/>
      <c r="F628" s="70"/>
      <c r="G628" s="70"/>
      <c r="H628" s="422"/>
      <c r="I628" s="422"/>
      <c r="J628" s="418"/>
      <c r="K628" s="403"/>
      <c r="L628" s="73"/>
      <c r="M628" s="72"/>
      <c r="N628" s="72"/>
      <c r="O628" s="72"/>
      <c r="P628" s="42"/>
      <c r="Q628" s="42"/>
      <c r="R628" s="42"/>
      <c r="S628" s="42"/>
      <c r="T628" s="42"/>
      <c r="U628" s="42"/>
      <c r="V628" s="416"/>
      <c r="W628" s="42"/>
      <c r="X628" s="74"/>
      <c r="Y628" s="74"/>
      <c r="Z628" s="74"/>
      <c r="AA628" s="74"/>
      <c r="AB628" s="74"/>
      <c r="AC628" s="42"/>
      <c r="AD628" s="42"/>
      <c r="AE628" s="42"/>
      <c r="AF628" s="42"/>
      <c r="AG628" s="42"/>
      <c r="AH628" s="42"/>
      <c r="AI628" s="75"/>
      <c r="AJ628" s="75"/>
      <c r="AK628" s="75"/>
      <c r="AL628" s="75"/>
      <c r="AM628" s="74"/>
      <c r="AN628" s="72" t="e">
        <f>VLOOKUP(H628,[4]Planilha1!A$13:P$314,16,0)</f>
        <v>#N/A</v>
      </c>
    </row>
    <row r="629" spans="1:40" s="69" customFormat="1" x14ac:dyDescent="0.25">
      <c r="A629" s="88"/>
      <c r="B629" s="88"/>
      <c r="C629" s="70"/>
      <c r="D629" s="70"/>
      <c r="E629" s="70"/>
      <c r="F629" s="70"/>
      <c r="G629" s="70"/>
      <c r="H629" s="422"/>
      <c r="I629" s="422"/>
      <c r="J629" s="418"/>
      <c r="K629" s="403"/>
      <c r="L629" s="73"/>
      <c r="M629" s="72"/>
      <c r="N629" s="72"/>
      <c r="O629" s="72"/>
      <c r="P629" s="42"/>
      <c r="Q629" s="42"/>
      <c r="R629" s="42"/>
      <c r="S629" s="42"/>
      <c r="T629" s="42"/>
      <c r="U629" s="42"/>
      <c r="V629" s="416"/>
      <c r="W629" s="42"/>
      <c r="X629" s="74"/>
      <c r="Y629" s="74"/>
      <c r="Z629" s="74"/>
      <c r="AA629" s="74"/>
      <c r="AB629" s="74"/>
      <c r="AC629" s="42"/>
      <c r="AD629" s="42"/>
      <c r="AE629" s="42"/>
      <c r="AF629" s="42"/>
      <c r="AG629" s="42"/>
      <c r="AH629" s="42"/>
      <c r="AI629" s="75"/>
      <c r="AJ629" s="75"/>
      <c r="AK629" s="75"/>
      <c r="AL629" s="75"/>
      <c r="AM629" s="74"/>
      <c r="AN629" s="72" t="e">
        <f>VLOOKUP(H629,[4]Planilha1!A$13:P$314,16,0)</f>
        <v>#N/A</v>
      </c>
    </row>
    <row r="630" spans="1:40" s="69" customFormat="1" x14ac:dyDescent="0.25">
      <c r="A630" s="88"/>
      <c r="B630" s="88"/>
      <c r="C630" s="70"/>
      <c r="D630" s="70"/>
      <c r="E630" s="70"/>
      <c r="F630" s="70"/>
      <c r="G630" s="70"/>
      <c r="H630" s="422"/>
      <c r="I630" s="422"/>
      <c r="J630" s="418"/>
      <c r="K630" s="403"/>
      <c r="L630" s="73"/>
      <c r="M630" s="72"/>
      <c r="N630" s="72"/>
      <c r="O630" s="72"/>
      <c r="P630" s="42"/>
      <c r="Q630" s="42"/>
      <c r="R630" s="42"/>
      <c r="S630" s="42"/>
      <c r="T630" s="42"/>
      <c r="U630" s="42"/>
      <c r="V630" s="416"/>
      <c r="W630" s="42"/>
      <c r="X630" s="74"/>
      <c r="Y630" s="74"/>
      <c r="Z630" s="74"/>
      <c r="AA630" s="74"/>
      <c r="AB630" s="74"/>
      <c r="AC630" s="42"/>
      <c r="AD630" s="42"/>
      <c r="AE630" s="42"/>
      <c r="AF630" s="42"/>
      <c r="AG630" s="42"/>
      <c r="AH630" s="42"/>
      <c r="AI630" s="75"/>
      <c r="AJ630" s="75"/>
      <c r="AK630" s="75"/>
      <c r="AL630" s="75"/>
      <c r="AM630" s="74"/>
      <c r="AN630" s="72" t="e">
        <f>VLOOKUP(H630,[4]Planilha1!A$13:P$314,16,0)</f>
        <v>#N/A</v>
      </c>
    </row>
    <row r="631" spans="1:40" s="69" customFormat="1" x14ac:dyDescent="0.25">
      <c r="A631" s="88"/>
      <c r="B631" s="88"/>
      <c r="C631" s="70"/>
      <c r="D631" s="70"/>
      <c r="E631" s="70"/>
      <c r="F631" s="70"/>
      <c r="G631" s="70"/>
      <c r="H631" s="422"/>
      <c r="I631" s="422"/>
      <c r="J631" s="418"/>
      <c r="K631" s="403"/>
      <c r="L631" s="73"/>
      <c r="M631" s="72"/>
      <c r="N631" s="72"/>
      <c r="O631" s="72"/>
      <c r="P631" s="42"/>
      <c r="Q631" s="42"/>
      <c r="R631" s="42"/>
      <c r="S631" s="42"/>
      <c r="T631" s="42"/>
      <c r="U631" s="42"/>
      <c r="V631" s="416"/>
      <c r="W631" s="42"/>
      <c r="X631" s="74"/>
      <c r="Y631" s="74"/>
      <c r="Z631" s="74"/>
      <c r="AA631" s="74"/>
      <c r="AB631" s="74"/>
      <c r="AC631" s="42"/>
      <c r="AD631" s="42"/>
      <c r="AE631" s="42"/>
      <c r="AF631" s="42"/>
      <c r="AG631" s="42"/>
      <c r="AH631" s="42"/>
      <c r="AI631" s="75"/>
      <c r="AJ631" s="75"/>
      <c r="AK631" s="75"/>
      <c r="AL631" s="75"/>
      <c r="AM631" s="74"/>
      <c r="AN631" s="72" t="e">
        <f>VLOOKUP(H631,[4]Planilha1!A$13:P$314,16,0)</f>
        <v>#N/A</v>
      </c>
    </row>
    <row r="632" spans="1:40" s="69" customFormat="1" x14ac:dyDescent="0.25">
      <c r="A632" s="88"/>
      <c r="B632" s="88"/>
      <c r="C632" s="70"/>
      <c r="D632" s="70"/>
      <c r="E632" s="70"/>
      <c r="F632" s="70"/>
      <c r="G632" s="70"/>
      <c r="H632" s="422"/>
      <c r="I632" s="422"/>
      <c r="J632" s="418"/>
      <c r="K632" s="403"/>
      <c r="L632" s="73"/>
      <c r="M632" s="72"/>
      <c r="N632" s="72"/>
      <c r="O632" s="72"/>
      <c r="P632" s="42"/>
      <c r="Q632" s="42"/>
      <c r="R632" s="42"/>
      <c r="S632" s="42"/>
      <c r="T632" s="42"/>
      <c r="U632" s="42"/>
      <c r="V632" s="416"/>
      <c r="W632" s="42"/>
      <c r="X632" s="74"/>
      <c r="Y632" s="74"/>
      <c r="Z632" s="74"/>
      <c r="AA632" s="74"/>
      <c r="AB632" s="74"/>
      <c r="AC632" s="42"/>
      <c r="AD632" s="42"/>
      <c r="AE632" s="42"/>
      <c r="AF632" s="42"/>
      <c r="AG632" s="42"/>
      <c r="AH632" s="42"/>
      <c r="AI632" s="75"/>
      <c r="AJ632" s="75"/>
      <c r="AK632" s="75"/>
      <c r="AL632" s="75"/>
      <c r="AM632" s="74"/>
      <c r="AN632" s="72" t="e">
        <f>VLOOKUP(H632,[4]Planilha1!A$13:P$314,16,0)</f>
        <v>#N/A</v>
      </c>
    </row>
    <row r="633" spans="1:40" s="69" customFormat="1" x14ac:dyDescent="0.25">
      <c r="A633" s="88"/>
      <c r="B633" s="88"/>
      <c r="C633" s="70"/>
      <c r="D633" s="70"/>
      <c r="E633" s="70"/>
      <c r="F633" s="70"/>
      <c r="G633" s="70"/>
      <c r="H633" s="422"/>
      <c r="I633" s="422"/>
      <c r="J633" s="418"/>
      <c r="K633" s="403"/>
      <c r="L633" s="73"/>
      <c r="M633" s="72"/>
      <c r="N633" s="72"/>
      <c r="O633" s="72"/>
      <c r="P633" s="42"/>
      <c r="Q633" s="42"/>
      <c r="R633" s="42"/>
      <c r="S633" s="42"/>
      <c r="T633" s="42"/>
      <c r="U633" s="42"/>
      <c r="V633" s="416"/>
      <c r="W633" s="42"/>
      <c r="X633" s="74"/>
      <c r="Y633" s="74"/>
      <c r="Z633" s="74"/>
      <c r="AA633" s="74"/>
      <c r="AB633" s="74"/>
      <c r="AC633" s="42"/>
      <c r="AD633" s="42"/>
      <c r="AE633" s="42"/>
      <c r="AF633" s="42"/>
      <c r="AG633" s="42"/>
      <c r="AH633" s="42"/>
      <c r="AI633" s="75"/>
      <c r="AJ633" s="75"/>
      <c r="AK633" s="75"/>
      <c r="AL633" s="75"/>
      <c r="AM633" s="74"/>
      <c r="AN633" s="72" t="e">
        <f>VLOOKUP(H633,[4]Planilha1!A$13:P$314,16,0)</f>
        <v>#N/A</v>
      </c>
    </row>
    <row r="634" spans="1:40" s="69" customFormat="1" x14ac:dyDescent="0.25">
      <c r="A634" s="88"/>
      <c r="B634" s="88"/>
      <c r="C634" s="70"/>
      <c r="D634" s="70"/>
      <c r="E634" s="70"/>
      <c r="F634" s="70"/>
      <c r="G634" s="70"/>
      <c r="H634" s="422"/>
      <c r="I634" s="422"/>
      <c r="J634" s="418"/>
      <c r="K634" s="403"/>
      <c r="L634" s="73"/>
      <c r="M634" s="72"/>
      <c r="N634" s="72"/>
      <c r="O634" s="72"/>
      <c r="P634" s="42"/>
      <c r="Q634" s="42"/>
      <c r="R634" s="42"/>
      <c r="S634" s="42"/>
      <c r="T634" s="42"/>
      <c r="U634" s="42"/>
      <c r="V634" s="416"/>
      <c r="W634" s="42"/>
      <c r="X634" s="74"/>
      <c r="Y634" s="74"/>
      <c r="Z634" s="74"/>
      <c r="AA634" s="74"/>
      <c r="AB634" s="74"/>
      <c r="AC634" s="42"/>
      <c r="AD634" s="42"/>
      <c r="AE634" s="42"/>
      <c r="AF634" s="42"/>
      <c r="AG634" s="42"/>
      <c r="AH634" s="42"/>
      <c r="AI634" s="75"/>
      <c r="AJ634" s="75"/>
      <c r="AK634" s="75"/>
      <c r="AL634" s="75"/>
      <c r="AM634" s="74"/>
      <c r="AN634" s="72" t="e">
        <f>VLOOKUP(H634,[4]Planilha1!A$13:P$314,16,0)</f>
        <v>#N/A</v>
      </c>
    </row>
    <row r="635" spans="1:40" s="69" customFormat="1" x14ac:dyDescent="0.25">
      <c r="A635" s="88"/>
      <c r="B635" s="88"/>
      <c r="C635" s="70"/>
      <c r="D635" s="70"/>
      <c r="E635" s="70"/>
      <c r="F635" s="70"/>
      <c r="G635" s="70"/>
      <c r="H635" s="422"/>
      <c r="I635" s="422"/>
      <c r="J635" s="418"/>
      <c r="K635" s="403"/>
      <c r="L635" s="73"/>
      <c r="M635" s="72"/>
      <c r="N635" s="72"/>
      <c r="O635" s="72"/>
      <c r="P635" s="42"/>
      <c r="Q635" s="42"/>
      <c r="R635" s="42"/>
      <c r="S635" s="42"/>
      <c r="T635" s="42"/>
      <c r="U635" s="42"/>
      <c r="V635" s="416"/>
      <c r="W635" s="42"/>
      <c r="X635" s="74"/>
      <c r="Y635" s="74"/>
      <c r="Z635" s="74"/>
      <c r="AA635" s="74"/>
      <c r="AB635" s="74"/>
      <c r="AC635" s="42"/>
      <c r="AD635" s="42"/>
      <c r="AE635" s="42"/>
      <c r="AF635" s="42"/>
      <c r="AG635" s="42"/>
      <c r="AH635" s="42"/>
      <c r="AI635" s="75"/>
      <c r="AJ635" s="75"/>
      <c r="AK635" s="75"/>
      <c r="AL635" s="75"/>
      <c r="AM635" s="74"/>
      <c r="AN635" s="72" t="e">
        <f>VLOOKUP(H635,[4]Planilha1!A$13:P$314,16,0)</f>
        <v>#N/A</v>
      </c>
    </row>
    <row r="636" spans="1:40" s="69" customFormat="1" x14ac:dyDescent="0.25">
      <c r="A636" s="88"/>
      <c r="B636" s="88"/>
      <c r="C636" s="70"/>
      <c r="D636" s="70"/>
      <c r="E636" s="70"/>
      <c r="F636" s="70"/>
      <c r="G636" s="70"/>
      <c r="H636" s="422"/>
      <c r="I636" s="422"/>
      <c r="J636" s="418"/>
      <c r="K636" s="403"/>
      <c r="L636" s="73"/>
      <c r="M636" s="72"/>
      <c r="N636" s="72"/>
      <c r="O636" s="72"/>
      <c r="P636" s="42"/>
      <c r="Q636" s="42"/>
      <c r="R636" s="42"/>
      <c r="S636" s="42"/>
      <c r="T636" s="42"/>
      <c r="U636" s="42"/>
      <c r="V636" s="416"/>
      <c r="W636" s="42"/>
      <c r="X636" s="74"/>
      <c r="Y636" s="74"/>
      <c r="Z636" s="74"/>
      <c r="AA636" s="74"/>
      <c r="AB636" s="74"/>
      <c r="AC636" s="42"/>
      <c r="AD636" s="42"/>
      <c r="AE636" s="42"/>
      <c r="AF636" s="42"/>
      <c r="AG636" s="42"/>
      <c r="AH636" s="42"/>
      <c r="AI636" s="75"/>
      <c r="AJ636" s="75"/>
      <c r="AK636" s="75"/>
      <c r="AL636" s="75"/>
      <c r="AM636" s="74"/>
      <c r="AN636" s="72" t="e">
        <f>VLOOKUP(H636,[4]Planilha1!A$13:P$314,16,0)</f>
        <v>#N/A</v>
      </c>
    </row>
    <row r="637" spans="1:40" s="69" customFormat="1" x14ac:dyDescent="0.25">
      <c r="A637" s="88"/>
      <c r="B637" s="88"/>
      <c r="C637" s="70"/>
      <c r="D637" s="70"/>
      <c r="E637" s="70"/>
      <c r="F637" s="70"/>
      <c r="G637" s="70"/>
      <c r="H637" s="422"/>
      <c r="I637" s="422"/>
      <c r="J637" s="418"/>
      <c r="K637" s="403"/>
      <c r="L637" s="73"/>
      <c r="M637" s="72"/>
      <c r="N637" s="72"/>
      <c r="O637" s="72"/>
      <c r="P637" s="42"/>
      <c r="Q637" s="42"/>
      <c r="R637" s="42"/>
      <c r="S637" s="42"/>
      <c r="T637" s="42"/>
      <c r="U637" s="42"/>
      <c r="V637" s="416"/>
      <c r="W637" s="42"/>
      <c r="X637" s="74"/>
      <c r="Y637" s="74"/>
      <c r="Z637" s="74"/>
      <c r="AA637" s="74"/>
      <c r="AB637" s="74"/>
      <c r="AC637" s="42"/>
      <c r="AD637" s="42"/>
      <c r="AE637" s="42"/>
      <c r="AF637" s="42"/>
      <c r="AG637" s="42"/>
      <c r="AH637" s="42"/>
      <c r="AI637" s="75"/>
      <c r="AJ637" s="75"/>
      <c r="AK637" s="75"/>
      <c r="AL637" s="75"/>
      <c r="AM637" s="74"/>
      <c r="AN637" s="72" t="e">
        <f>VLOOKUP(H637,[4]Planilha1!A$13:P$314,16,0)</f>
        <v>#N/A</v>
      </c>
    </row>
    <row r="638" spans="1:40" s="69" customFormat="1" x14ac:dyDescent="0.25">
      <c r="A638" s="88"/>
      <c r="B638" s="88"/>
      <c r="C638" s="70"/>
      <c r="D638" s="70"/>
      <c r="E638" s="70"/>
      <c r="F638" s="70"/>
      <c r="G638" s="70"/>
      <c r="H638" s="422"/>
      <c r="I638" s="422"/>
      <c r="J638" s="418"/>
      <c r="K638" s="403"/>
      <c r="L638" s="73"/>
      <c r="M638" s="72"/>
      <c r="N638" s="72"/>
      <c r="O638" s="72"/>
      <c r="P638" s="42"/>
      <c r="Q638" s="42"/>
      <c r="R638" s="42"/>
      <c r="S638" s="42"/>
      <c r="T638" s="42"/>
      <c r="U638" s="42"/>
      <c r="V638" s="416"/>
      <c r="W638" s="42"/>
      <c r="X638" s="74"/>
      <c r="Y638" s="74"/>
      <c r="Z638" s="74"/>
      <c r="AA638" s="74"/>
      <c r="AB638" s="74"/>
      <c r="AC638" s="42"/>
      <c r="AD638" s="42"/>
      <c r="AE638" s="42"/>
      <c r="AF638" s="42"/>
      <c r="AG638" s="42"/>
      <c r="AH638" s="42"/>
      <c r="AI638" s="75"/>
      <c r="AJ638" s="75"/>
      <c r="AK638" s="75"/>
      <c r="AL638" s="75"/>
      <c r="AM638" s="74"/>
      <c r="AN638" s="72" t="e">
        <f>VLOOKUP(H638,[4]Planilha1!A$13:P$314,16,0)</f>
        <v>#N/A</v>
      </c>
    </row>
    <row r="639" spans="1:40" s="69" customFormat="1" x14ac:dyDescent="0.25">
      <c r="A639" s="88"/>
      <c r="B639" s="88"/>
      <c r="C639" s="70"/>
      <c r="D639" s="70"/>
      <c r="E639" s="70"/>
      <c r="F639" s="70"/>
      <c r="G639" s="70"/>
      <c r="H639" s="422"/>
      <c r="I639" s="422"/>
      <c r="J639" s="418"/>
      <c r="K639" s="403"/>
      <c r="L639" s="73"/>
      <c r="M639" s="72"/>
      <c r="N639" s="72"/>
      <c r="O639" s="72"/>
      <c r="P639" s="42"/>
      <c r="Q639" s="42"/>
      <c r="R639" s="42"/>
      <c r="S639" s="42"/>
      <c r="T639" s="42"/>
      <c r="U639" s="42"/>
      <c r="V639" s="416"/>
      <c r="W639" s="42"/>
      <c r="X639" s="74"/>
      <c r="Y639" s="74"/>
      <c r="Z639" s="74"/>
      <c r="AA639" s="74"/>
      <c r="AB639" s="74"/>
      <c r="AC639" s="42"/>
      <c r="AD639" s="42"/>
      <c r="AE639" s="42"/>
      <c r="AF639" s="42"/>
      <c r="AG639" s="42"/>
      <c r="AH639" s="42"/>
      <c r="AI639" s="75"/>
      <c r="AJ639" s="75"/>
      <c r="AK639" s="75"/>
      <c r="AL639" s="75"/>
      <c r="AM639" s="74"/>
      <c r="AN639" s="72" t="e">
        <f>VLOOKUP(H639,[4]Planilha1!A$13:P$314,16,0)</f>
        <v>#N/A</v>
      </c>
    </row>
    <row r="640" spans="1:40" s="69" customFormat="1" x14ac:dyDescent="0.25">
      <c r="A640" s="88"/>
      <c r="B640" s="88"/>
      <c r="C640" s="70"/>
      <c r="D640" s="70"/>
      <c r="E640" s="70"/>
      <c r="F640" s="70"/>
      <c r="G640" s="70"/>
      <c r="H640" s="422"/>
      <c r="I640" s="422"/>
      <c r="J640" s="418"/>
      <c r="K640" s="403"/>
      <c r="L640" s="73"/>
      <c r="M640" s="72"/>
      <c r="N640" s="72"/>
      <c r="O640" s="72"/>
      <c r="P640" s="42"/>
      <c r="Q640" s="42"/>
      <c r="R640" s="42"/>
      <c r="S640" s="42"/>
      <c r="T640" s="42"/>
      <c r="U640" s="42"/>
      <c r="V640" s="416"/>
      <c r="W640" s="42"/>
      <c r="X640" s="74"/>
      <c r="Y640" s="74"/>
      <c r="Z640" s="74"/>
      <c r="AA640" s="74"/>
      <c r="AB640" s="74"/>
      <c r="AC640" s="42"/>
      <c r="AD640" s="42"/>
      <c r="AE640" s="42"/>
      <c r="AF640" s="42"/>
      <c r="AG640" s="42"/>
      <c r="AH640" s="42"/>
      <c r="AI640" s="75"/>
      <c r="AJ640" s="75"/>
      <c r="AK640" s="75"/>
      <c r="AL640" s="75"/>
      <c r="AM640" s="74"/>
      <c r="AN640" s="72" t="e">
        <f>VLOOKUP(H640,[4]Planilha1!A$13:P$314,16,0)</f>
        <v>#N/A</v>
      </c>
    </row>
    <row r="641" spans="1:40" s="69" customFormat="1" x14ac:dyDescent="0.25">
      <c r="A641" s="88"/>
      <c r="B641" s="88"/>
      <c r="C641" s="70"/>
      <c r="D641" s="70"/>
      <c r="E641" s="70"/>
      <c r="F641" s="70"/>
      <c r="G641" s="70"/>
      <c r="H641" s="422"/>
      <c r="I641" s="422"/>
      <c r="J641" s="418"/>
      <c r="K641" s="403"/>
      <c r="L641" s="73"/>
      <c r="M641" s="72"/>
      <c r="N641" s="72"/>
      <c r="O641" s="72"/>
      <c r="P641" s="42"/>
      <c r="Q641" s="42"/>
      <c r="R641" s="42"/>
      <c r="S641" s="42"/>
      <c r="T641" s="42"/>
      <c r="U641" s="42"/>
      <c r="V641" s="416"/>
      <c r="W641" s="42"/>
      <c r="X641" s="74"/>
      <c r="Y641" s="74"/>
      <c r="Z641" s="74"/>
      <c r="AA641" s="74"/>
      <c r="AB641" s="74"/>
      <c r="AC641" s="42"/>
      <c r="AD641" s="42"/>
      <c r="AE641" s="42"/>
      <c r="AF641" s="42"/>
      <c r="AG641" s="42"/>
      <c r="AH641" s="42"/>
      <c r="AI641" s="75"/>
      <c r="AJ641" s="75"/>
      <c r="AK641" s="75"/>
      <c r="AL641" s="75"/>
      <c r="AM641" s="74"/>
      <c r="AN641" s="72" t="e">
        <f>VLOOKUP(H641,[4]Planilha1!A$13:P$314,16,0)</f>
        <v>#N/A</v>
      </c>
    </row>
    <row r="642" spans="1:40" s="69" customFormat="1" x14ac:dyDescent="0.25">
      <c r="A642" s="88"/>
      <c r="B642" s="88"/>
      <c r="C642" s="70"/>
      <c r="D642" s="70"/>
      <c r="E642" s="70"/>
      <c r="F642" s="70"/>
      <c r="G642" s="70"/>
      <c r="H642" s="422"/>
      <c r="I642" s="422"/>
      <c r="J642" s="418"/>
      <c r="K642" s="403"/>
      <c r="L642" s="73"/>
      <c r="M642" s="72"/>
      <c r="N642" s="72"/>
      <c r="O642" s="72"/>
      <c r="P642" s="42"/>
      <c r="Q642" s="42"/>
      <c r="R642" s="42"/>
      <c r="S642" s="42"/>
      <c r="T642" s="42"/>
      <c r="U642" s="42"/>
      <c r="V642" s="416"/>
      <c r="W642" s="42"/>
      <c r="X642" s="74"/>
      <c r="Y642" s="74"/>
      <c r="Z642" s="74"/>
      <c r="AA642" s="74"/>
      <c r="AB642" s="74"/>
      <c r="AC642" s="42"/>
      <c r="AD642" s="42"/>
      <c r="AE642" s="42"/>
      <c r="AF642" s="42"/>
      <c r="AG642" s="42"/>
      <c r="AH642" s="42"/>
      <c r="AI642" s="75"/>
      <c r="AJ642" s="75"/>
      <c r="AK642" s="75"/>
      <c r="AL642" s="75"/>
      <c r="AM642" s="74"/>
      <c r="AN642" s="72" t="e">
        <f>VLOOKUP(H642,[4]Planilha1!A$13:P$314,16,0)</f>
        <v>#N/A</v>
      </c>
    </row>
    <row r="643" spans="1:40" s="69" customFormat="1" x14ac:dyDescent="0.25">
      <c r="A643" s="88"/>
      <c r="B643" s="88"/>
      <c r="C643" s="70"/>
      <c r="D643" s="70"/>
      <c r="E643" s="70"/>
      <c r="F643" s="70"/>
      <c r="G643" s="70"/>
      <c r="H643" s="422"/>
      <c r="I643" s="422"/>
      <c r="J643" s="418"/>
      <c r="K643" s="403"/>
      <c r="L643" s="73"/>
      <c r="M643" s="72"/>
      <c r="N643" s="72"/>
      <c r="O643" s="72"/>
      <c r="P643" s="42"/>
      <c r="Q643" s="42"/>
      <c r="R643" s="42"/>
      <c r="S643" s="42"/>
      <c r="T643" s="42"/>
      <c r="U643" s="42"/>
      <c r="V643" s="416"/>
      <c r="W643" s="42"/>
      <c r="X643" s="74"/>
      <c r="Y643" s="74"/>
      <c r="Z643" s="74"/>
      <c r="AA643" s="74"/>
      <c r="AB643" s="74"/>
      <c r="AC643" s="42"/>
      <c r="AD643" s="42"/>
      <c r="AE643" s="42"/>
      <c r="AF643" s="42"/>
      <c r="AG643" s="42"/>
      <c r="AH643" s="42"/>
      <c r="AI643" s="75"/>
      <c r="AJ643" s="75"/>
      <c r="AK643" s="75"/>
      <c r="AL643" s="75"/>
      <c r="AM643" s="74"/>
      <c r="AN643" s="72" t="e">
        <f>VLOOKUP(H643,[4]Planilha1!A$13:P$314,16,0)</f>
        <v>#N/A</v>
      </c>
    </row>
    <row r="644" spans="1:40" s="69" customFormat="1" x14ac:dyDescent="0.25">
      <c r="A644" s="88"/>
      <c r="B644" s="88"/>
      <c r="C644" s="70"/>
      <c r="D644" s="70"/>
      <c r="E644" s="70"/>
      <c r="F644" s="70"/>
      <c r="G644" s="70"/>
      <c r="H644" s="422"/>
      <c r="I644" s="422"/>
      <c r="J644" s="418"/>
      <c r="K644" s="403"/>
      <c r="L644" s="73"/>
      <c r="M644" s="72"/>
      <c r="N644" s="72"/>
      <c r="O644" s="72"/>
      <c r="P644" s="42"/>
      <c r="Q644" s="42"/>
      <c r="R644" s="42"/>
      <c r="S644" s="42"/>
      <c r="T644" s="42"/>
      <c r="U644" s="42"/>
      <c r="V644" s="416"/>
      <c r="W644" s="42"/>
      <c r="X644" s="74"/>
      <c r="Y644" s="74"/>
      <c r="Z644" s="74"/>
      <c r="AA644" s="74"/>
      <c r="AB644" s="74"/>
      <c r="AC644" s="42"/>
      <c r="AD644" s="42"/>
      <c r="AE644" s="42"/>
      <c r="AF644" s="42"/>
      <c r="AG644" s="42"/>
      <c r="AH644" s="42"/>
      <c r="AI644" s="75"/>
      <c r="AJ644" s="75"/>
      <c r="AK644" s="75"/>
      <c r="AL644" s="75"/>
      <c r="AM644" s="74"/>
      <c r="AN644" s="72" t="e">
        <f>VLOOKUP(H644,[4]Planilha1!A$13:P$314,16,0)</f>
        <v>#N/A</v>
      </c>
    </row>
    <row r="645" spans="1:40" s="69" customFormat="1" x14ac:dyDescent="0.25">
      <c r="A645" s="88"/>
      <c r="B645" s="88"/>
      <c r="C645" s="70"/>
      <c r="D645" s="70"/>
      <c r="E645" s="70"/>
      <c r="F645" s="70"/>
      <c r="G645" s="70"/>
      <c r="H645" s="422"/>
      <c r="I645" s="422"/>
      <c r="J645" s="418"/>
      <c r="K645" s="403"/>
      <c r="L645" s="73"/>
      <c r="M645" s="72"/>
      <c r="N645" s="72"/>
      <c r="O645" s="72"/>
      <c r="P645" s="42"/>
      <c r="Q645" s="42"/>
      <c r="R645" s="42"/>
      <c r="S645" s="42"/>
      <c r="T645" s="42"/>
      <c r="U645" s="42"/>
      <c r="V645" s="416"/>
      <c r="W645" s="42"/>
      <c r="X645" s="74"/>
      <c r="Y645" s="74"/>
      <c r="Z645" s="74"/>
      <c r="AA645" s="74"/>
      <c r="AB645" s="74"/>
      <c r="AC645" s="42"/>
      <c r="AD645" s="42"/>
      <c r="AE645" s="42"/>
      <c r="AF645" s="42"/>
      <c r="AG645" s="42"/>
      <c r="AH645" s="42"/>
      <c r="AI645" s="75"/>
      <c r="AJ645" s="75"/>
      <c r="AK645" s="75"/>
      <c r="AL645" s="75"/>
      <c r="AM645" s="74"/>
      <c r="AN645" s="72" t="e">
        <f>VLOOKUP(H645,[4]Planilha1!A$13:P$314,16,0)</f>
        <v>#N/A</v>
      </c>
    </row>
    <row r="646" spans="1:40" s="69" customFormat="1" x14ac:dyDescent="0.25">
      <c r="A646" s="88"/>
      <c r="B646" s="88"/>
      <c r="C646" s="70"/>
      <c r="D646" s="70"/>
      <c r="E646" s="70"/>
      <c r="F646" s="70"/>
      <c r="G646" s="70"/>
      <c r="H646" s="422"/>
      <c r="I646" s="422"/>
      <c r="J646" s="418"/>
      <c r="K646" s="403"/>
      <c r="L646" s="73"/>
      <c r="M646" s="72"/>
      <c r="N646" s="72"/>
      <c r="O646" s="72"/>
      <c r="P646" s="42"/>
      <c r="Q646" s="42"/>
      <c r="R646" s="42"/>
      <c r="S646" s="42"/>
      <c r="T646" s="42"/>
      <c r="U646" s="42"/>
      <c r="V646" s="416"/>
      <c r="W646" s="42"/>
      <c r="X646" s="74"/>
      <c r="Y646" s="74"/>
      <c r="Z646" s="74"/>
      <c r="AA646" s="74"/>
      <c r="AB646" s="74"/>
      <c r="AC646" s="42"/>
      <c r="AD646" s="42"/>
      <c r="AE646" s="42"/>
      <c r="AF646" s="42"/>
      <c r="AG646" s="42"/>
      <c r="AH646" s="42"/>
      <c r="AI646" s="75"/>
      <c r="AJ646" s="75"/>
      <c r="AK646" s="75"/>
      <c r="AL646" s="75"/>
      <c r="AM646" s="74"/>
      <c r="AN646" s="72" t="e">
        <f>VLOOKUP(H646,[4]Planilha1!A$13:P$314,16,0)</f>
        <v>#N/A</v>
      </c>
    </row>
    <row r="647" spans="1:40" s="69" customFormat="1" x14ac:dyDescent="0.25">
      <c r="A647" s="88"/>
      <c r="B647" s="88"/>
      <c r="C647" s="70"/>
      <c r="D647" s="70"/>
      <c r="E647" s="70"/>
      <c r="F647" s="70"/>
      <c r="G647" s="70"/>
      <c r="H647" s="422"/>
      <c r="I647" s="422"/>
      <c r="J647" s="418"/>
      <c r="K647" s="403"/>
      <c r="L647" s="73"/>
      <c r="M647" s="72"/>
      <c r="N647" s="72"/>
      <c r="O647" s="72"/>
      <c r="P647" s="42"/>
      <c r="Q647" s="42"/>
      <c r="R647" s="42"/>
      <c r="S647" s="42"/>
      <c r="T647" s="42"/>
      <c r="U647" s="42"/>
      <c r="V647" s="416"/>
      <c r="W647" s="42"/>
      <c r="X647" s="74"/>
      <c r="Y647" s="74"/>
      <c r="Z647" s="74"/>
      <c r="AA647" s="74"/>
      <c r="AB647" s="74"/>
      <c r="AC647" s="42"/>
      <c r="AD647" s="42"/>
      <c r="AE647" s="42"/>
      <c r="AF647" s="42"/>
      <c r="AG647" s="42"/>
      <c r="AH647" s="42"/>
      <c r="AI647" s="75"/>
      <c r="AJ647" s="75"/>
      <c r="AK647" s="75"/>
      <c r="AL647" s="75"/>
      <c r="AM647" s="74"/>
      <c r="AN647" s="72" t="e">
        <f>VLOOKUP(H647,[4]Planilha1!A$13:P$314,16,0)</f>
        <v>#N/A</v>
      </c>
    </row>
    <row r="648" spans="1:40" s="69" customFormat="1" x14ac:dyDescent="0.25">
      <c r="A648" s="88"/>
      <c r="B648" s="88"/>
      <c r="C648" s="70"/>
      <c r="D648" s="70"/>
      <c r="E648" s="70"/>
      <c r="F648" s="70"/>
      <c r="G648" s="70"/>
      <c r="H648" s="422"/>
      <c r="I648" s="422"/>
      <c r="J648" s="418"/>
      <c r="K648" s="403"/>
      <c r="L648" s="73"/>
      <c r="M648" s="72"/>
      <c r="N648" s="72"/>
      <c r="O648" s="72"/>
      <c r="P648" s="42"/>
      <c r="Q648" s="42"/>
      <c r="R648" s="42"/>
      <c r="S648" s="42"/>
      <c r="T648" s="42"/>
      <c r="U648" s="42"/>
      <c r="V648" s="416"/>
      <c r="W648" s="42"/>
      <c r="X648" s="74"/>
      <c r="Y648" s="74"/>
      <c r="Z648" s="74"/>
      <c r="AA648" s="74"/>
      <c r="AB648" s="74"/>
      <c r="AC648" s="42"/>
      <c r="AD648" s="42"/>
      <c r="AE648" s="42"/>
      <c r="AF648" s="42"/>
      <c r="AG648" s="42"/>
      <c r="AH648" s="42"/>
      <c r="AI648" s="75"/>
      <c r="AJ648" s="75"/>
      <c r="AK648" s="75"/>
      <c r="AL648" s="75"/>
      <c r="AM648" s="74"/>
      <c r="AN648" s="72" t="e">
        <f>VLOOKUP(H648,[4]Planilha1!A$13:P$314,16,0)</f>
        <v>#N/A</v>
      </c>
    </row>
    <row r="649" spans="1:40" s="69" customFormat="1" x14ac:dyDescent="0.25">
      <c r="A649" s="88"/>
      <c r="B649" s="88"/>
      <c r="C649" s="70"/>
      <c r="D649" s="70"/>
      <c r="E649" s="70"/>
      <c r="F649" s="70"/>
      <c r="G649" s="70"/>
      <c r="H649" s="422"/>
      <c r="I649" s="422"/>
      <c r="J649" s="418"/>
      <c r="K649" s="403"/>
      <c r="L649" s="73"/>
      <c r="M649" s="72"/>
      <c r="N649" s="72"/>
      <c r="O649" s="72"/>
      <c r="P649" s="42"/>
      <c r="Q649" s="42"/>
      <c r="R649" s="42"/>
      <c r="S649" s="42"/>
      <c r="T649" s="42"/>
      <c r="U649" s="42"/>
      <c r="V649" s="416"/>
      <c r="W649" s="42"/>
      <c r="X649" s="74"/>
      <c r="Y649" s="74"/>
      <c r="Z649" s="74"/>
      <c r="AA649" s="74"/>
      <c r="AB649" s="74"/>
      <c r="AC649" s="42"/>
      <c r="AD649" s="42"/>
      <c r="AE649" s="42"/>
      <c r="AF649" s="42"/>
      <c r="AG649" s="42"/>
      <c r="AH649" s="42"/>
      <c r="AI649" s="75"/>
      <c r="AJ649" s="75"/>
      <c r="AK649" s="75"/>
      <c r="AL649" s="75"/>
      <c r="AM649" s="74"/>
      <c r="AN649" s="72" t="e">
        <f>VLOOKUP(H649,[4]Planilha1!A$13:P$314,16,0)</f>
        <v>#N/A</v>
      </c>
    </row>
    <row r="650" spans="1:40" s="69" customFormat="1" x14ac:dyDescent="0.25">
      <c r="A650" s="88"/>
      <c r="B650" s="88"/>
      <c r="C650" s="70"/>
      <c r="D650" s="70"/>
      <c r="E650" s="70"/>
      <c r="F650" s="70"/>
      <c r="G650" s="70"/>
      <c r="H650" s="422"/>
      <c r="I650" s="422"/>
      <c r="J650" s="418"/>
      <c r="K650" s="403"/>
      <c r="L650" s="73"/>
      <c r="M650" s="72"/>
      <c r="N650" s="72"/>
      <c r="O650" s="72"/>
      <c r="P650" s="42"/>
      <c r="Q650" s="42"/>
      <c r="R650" s="42"/>
      <c r="S650" s="42"/>
      <c r="T650" s="42"/>
      <c r="U650" s="42"/>
      <c r="V650" s="416"/>
      <c r="W650" s="42"/>
      <c r="X650" s="74"/>
      <c r="Y650" s="74"/>
      <c r="Z650" s="74"/>
      <c r="AA650" s="74"/>
      <c r="AB650" s="74"/>
      <c r="AC650" s="42"/>
      <c r="AD650" s="42"/>
      <c r="AE650" s="42"/>
      <c r="AF650" s="42"/>
      <c r="AG650" s="42"/>
      <c r="AH650" s="42"/>
      <c r="AI650" s="75"/>
      <c r="AJ650" s="75"/>
      <c r="AK650" s="75"/>
      <c r="AL650" s="75"/>
      <c r="AM650" s="74"/>
      <c r="AN650" s="72" t="e">
        <f>VLOOKUP(H650,[4]Planilha1!A$13:P$314,16,0)</f>
        <v>#N/A</v>
      </c>
    </row>
    <row r="651" spans="1:40" s="69" customFormat="1" x14ac:dyDescent="0.25">
      <c r="A651" s="88"/>
      <c r="B651" s="88"/>
      <c r="C651" s="70"/>
      <c r="D651" s="70"/>
      <c r="E651" s="70"/>
      <c r="F651" s="70"/>
      <c r="G651" s="70"/>
      <c r="H651" s="422"/>
      <c r="I651" s="422"/>
      <c r="J651" s="418"/>
      <c r="K651" s="403"/>
      <c r="L651" s="73"/>
      <c r="M651" s="72"/>
      <c r="N651" s="72"/>
      <c r="O651" s="72"/>
      <c r="P651" s="42"/>
      <c r="Q651" s="42"/>
      <c r="R651" s="42"/>
      <c r="S651" s="42"/>
      <c r="T651" s="42"/>
      <c r="U651" s="42"/>
      <c r="V651" s="416"/>
      <c r="W651" s="42"/>
      <c r="X651" s="74"/>
      <c r="Y651" s="74"/>
      <c r="Z651" s="74"/>
      <c r="AA651" s="74"/>
      <c r="AB651" s="74"/>
      <c r="AC651" s="42"/>
      <c r="AD651" s="42"/>
      <c r="AE651" s="42"/>
      <c r="AF651" s="42"/>
      <c r="AG651" s="42"/>
      <c r="AH651" s="42"/>
      <c r="AI651" s="75"/>
      <c r="AJ651" s="75"/>
      <c r="AK651" s="75"/>
      <c r="AL651" s="75"/>
      <c r="AM651" s="74"/>
      <c r="AN651" s="72" t="e">
        <f>VLOOKUP(H651,[4]Planilha1!A$13:P$314,16,0)</f>
        <v>#N/A</v>
      </c>
    </row>
    <row r="652" spans="1:40" s="69" customFormat="1" x14ac:dyDescent="0.25">
      <c r="A652" s="88"/>
      <c r="B652" s="88"/>
      <c r="C652" s="70"/>
      <c r="D652" s="70"/>
      <c r="E652" s="70"/>
      <c r="F652" s="70"/>
      <c r="G652" s="70"/>
      <c r="H652" s="422"/>
      <c r="I652" s="422"/>
      <c r="J652" s="418"/>
      <c r="K652" s="403"/>
      <c r="L652" s="73"/>
      <c r="M652" s="72"/>
      <c r="N652" s="72"/>
      <c r="O652" s="72"/>
      <c r="P652" s="42"/>
      <c r="Q652" s="42"/>
      <c r="R652" s="42"/>
      <c r="S652" s="42"/>
      <c r="T652" s="42"/>
      <c r="U652" s="42"/>
      <c r="V652" s="416"/>
      <c r="W652" s="42"/>
      <c r="X652" s="74"/>
      <c r="Y652" s="74"/>
      <c r="Z652" s="74"/>
      <c r="AA652" s="74"/>
      <c r="AB652" s="74"/>
      <c r="AC652" s="42"/>
      <c r="AD652" s="42"/>
      <c r="AE652" s="42"/>
      <c r="AF652" s="42"/>
      <c r="AG652" s="42"/>
      <c r="AH652" s="42"/>
      <c r="AI652" s="75"/>
      <c r="AJ652" s="75"/>
      <c r="AK652" s="75"/>
      <c r="AL652" s="75"/>
      <c r="AM652" s="74"/>
      <c r="AN652" s="72" t="e">
        <f>VLOOKUP(H652,[4]Planilha1!A$13:P$314,16,0)</f>
        <v>#N/A</v>
      </c>
    </row>
    <row r="653" spans="1:40" s="69" customFormat="1" x14ac:dyDescent="0.25">
      <c r="A653" s="88"/>
      <c r="B653" s="88"/>
      <c r="C653" s="70"/>
      <c r="D653" s="70"/>
      <c r="E653" s="70"/>
      <c r="F653" s="70"/>
      <c r="G653" s="70"/>
      <c r="H653" s="422"/>
      <c r="I653" s="422"/>
      <c r="J653" s="418"/>
      <c r="K653" s="403"/>
      <c r="L653" s="73"/>
      <c r="M653" s="72"/>
      <c r="N653" s="72"/>
      <c r="O653" s="72"/>
      <c r="P653" s="42"/>
      <c r="Q653" s="42"/>
      <c r="R653" s="42"/>
      <c r="S653" s="42"/>
      <c r="T653" s="42"/>
      <c r="U653" s="42"/>
      <c r="V653" s="416"/>
      <c r="W653" s="42"/>
      <c r="X653" s="74"/>
      <c r="Y653" s="74"/>
      <c r="Z653" s="74"/>
      <c r="AA653" s="74"/>
      <c r="AB653" s="74"/>
      <c r="AC653" s="42"/>
      <c r="AD653" s="42"/>
      <c r="AE653" s="42"/>
      <c r="AF653" s="42"/>
      <c r="AG653" s="42"/>
      <c r="AH653" s="42"/>
      <c r="AI653" s="75"/>
      <c r="AJ653" s="75"/>
      <c r="AK653" s="75"/>
      <c r="AL653" s="75"/>
      <c r="AM653" s="74"/>
      <c r="AN653" s="72" t="e">
        <f>VLOOKUP(H653,[4]Planilha1!A$13:P$314,16,0)</f>
        <v>#N/A</v>
      </c>
    </row>
    <row r="654" spans="1:40" s="69" customFormat="1" x14ac:dyDescent="0.25">
      <c r="A654" s="88"/>
      <c r="B654" s="88"/>
      <c r="C654" s="70"/>
      <c r="D654" s="70"/>
      <c r="E654" s="70"/>
      <c r="F654" s="70"/>
      <c r="G654" s="70"/>
      <c r="H654" s="422"/>
      <c r="I654" s="422"/>
      <c r="J654" s="418"/>
      <c r="K654" s="403"/>
      <c r="L654" s="73"/>
      <c r="M654" s="72"/>
      <c r="N654" s="72"/>
      <c r="O654" s="72"/>
      <c r="P654" s="42"/>
      <c r="Q654" s="42"/>
      <c r="R654" s="42"/>
      <c r="S654" s="42"/>
      <c r="T654" s="42"/>
      <c r="U654" s="42"/>
      <c r="V654" s="416"/>
      <c r="W654" s="42"/>
      <c r="X654" s="74"/>
      <c r="Y654" s="74"/>
      <c r="Z654" s="74"/>
      <c r="AA654" s="74"/>
      <c r="AB654" s="74"/>
      <c r="AC654" s="42"/>
      <c r="AD654" s="42"/>
      <c r="AE654" s="42"/>
      <c r="AF654" s="42"/>
      <c r="AG654" s="42"/>
      <c r="AH654" s="42"/>
      <c r="AI654" s="75"/>
      <c r="AJ654" s="75"/>
      <c r="AK654" s="75"/>
      <c r="AL654" s="75"/>
      <c r="AM654" s="74"/>
      <c r="AN654" s="72" t="e">
        <f>VLOOKUP(H654,[4]Planilha1!A$13:P$314,16,0)</f>
        <v>#N/A</v>
      </c>
    </row>
    <row r="655" spans="1:40" s="69" customFormat="1" x14ac:dyDescent="0.25">
      <c r="A655" s="88"/>
      <c r="B655" s="88"/>
      <c r="C655" s="70"/>
      <c r="D655" s="70"/>
      <c r="E655" s="70"/>
      <c r="F655" s="70"/>
      <c r="G655" s="70"/>
      <c r="H655" s="422"/>
      <c r="I655" s="422"/>
      <c r="J655" s="418"/>
      <c r="K655" s="403"/>
      <c r="L655" s="73"/>
      <c r="M655" s="72"/>
      <c r="N655" s="72"/>
      <c r="O655" s="72"/>
      <c r="P655" s="42"/>
      <c r="Q655" s="42"/>
      <c r="R655" s="42"/>
      <c r="S655" s="42"/>
      <c r="T655" s="42"/>
      <c r="U655" s="42"/>
      <c r="V655" s="416"/>
      <c r="W655" s="42"/>
      <c r="X655" s="74"/>
      <c r="Y655" s="74"/>
      <c r="Z655" s="74"/>
      <c r="AA655" s="74"/>
      <c r="AB655" s="74"/>
      <c r="AC655" s="42"/>
      <c r="AD655" s="42"/>
      <c r="AE655" s="42"/>
      <c r="AF655" s="42"/>
      <c r="AG655" s="42"/>
      <c r="AH655" s="42"/>
      <c r="AI655" s="75"/>
      <c r="AJ655" s="75"/>
      <c r="AK655" s="75"/>
      <c r="AL655" s="75"/>
      <c r="AM655" s="74"/>
      <c r="AN655" s="72" t="e">
        <f>VLOOKUP(H655,[4]Planilha1!A$13:P$314,16,0)</f>
        <v>#N/A</v>
      </c>
    </row>
    <row r="656" spans="1:40" s="69" customFormat="1" x14ac:dyDescent="0.25">
      <c r="A656" s="88"/>
      <c r="B656" s="88"/>
      <c r="C656" s="70"/>
      <c r="D656" s="70"/>
      <c r="E656" s="70"/>
      <c r="F656" s="70"/>
      <c r="G656" s="70"/>
      <c r="H656" s="422"/>
      <c r="I656" s="422"/>
      <c r="J656" s="418"/>
      <c r="K656" s="403"/>
      <c r="L656" s="73"/>
      <c r="M656" s="72"/>
      <c r="N656" s="72"/>
      <c r="O656" s="72"/>
      <c r="P656" s="42"/>
      <c r="Q656" s="42"/>
      <c r="R656" s="42"/>
      <c r="S656" s="42"/>
      <c r="T656" s="42"/>
      <c r="U656" s="42"/>
      <c r="V656" s="416"/>
      <c r="W656" s="42"/>
      <c r="X656" s="74"/>
      <c r="Y656" s="74"/>
      <c r="Z656" s="74"/>
      <c r="AA656" s="74"/>
      <c r="AB656" s="74"/>
      <c r="AC656" s="42"/>
      <c r="AD656" s="42"/>
      <c r="AE656" s="42"/>
      <c r="AF656" s="42"/>
      <c r="AG656" s="42"/>
      <c r="AH656" s="42"/>
      <c r="AI656" s="75"/>
      <c r="AJ656" s="75"/>
      <c r="AK656" s="75"/>
      <c r="AL656" s="75"/>
      <c r="AM656" s="74"/>
      <c r="AN656" s="72" t="e">
        <f>VLOOKUP(H656,[4]Planilha1!A$13:P$314,16,0)</f>
        <v>#N/A</v>
      </c>
    </row>
    <row r="657" spans="1:40" s="69" customFormat="1" x14ac:dyDescent="0.25">
      <c r="A657" s="88"/>
      <c r="B657" s="88"/>
      <c r="C657" s="70"/>
      <c r="D657" s="70"/>
      <c r="E657" s="70"/>
      <c r="F657" s="70"/>
      <c r="G657" s="70"/>
      <c r="H657" s="422"/>
      <c r="I657" s="422"/>
      <c r="J657" s="418"/>
      <c r="K657" s="403"/>
      <c r="L657" s="73"/>
      <c r="M657" s="72"/>
      <c r="N657" s="72"/>
      <c r="O657" s="72"/>
      <c r="P657" s="42"/>
      <c r="Q657" s="42"/>
      <c r="R657" s="42"/>
      <c r="S657" s="42"/>
      <c r="T657" s="42"/>
      <c r="U657" s="42"/>
      <c r="V657" s="416"/>
      <c r="W657" s="42"/>
      <c r="X657" s="74"/>
      <c r="Y657" s="74"/>
      <c r="Z657" s="74"/>
      <c r="AA657" s="74"/>
      <c r="AB657" s="74"/>
      <c r="AC657" s="42"/>
      <c r="AD657" s="42"/>
      <c r="AE657" s="42"/>
      <c r="AF657" s="42"/>
      <c r="AG657" s="42"/>
      <c r="AH657" s="42"/>
      <c r="AI657" s="75"/>
      <c r="AJ657" s="75"/>
      <c r="AK657" s="75"/>
      <c r="AL657" s="75"/>
      <c r="AM657" s="74"/>
      <c r="AN657" s="72" t="e">
        <f>VLOOKUP(H657,[4]Planilha1!A$13:P$314,16,0)</f>
        <v>#N/A</v>
      </c>
    </row>
    <row r="658" spans="1:40" s="69" customFormat="1" x14ac:dyDescent="0.25">
      <c r="A658" s="88"/>
      <c r="B658" s="88"/>
      <c r="C658" s="70"/>
      <c r="D658" s="70"/>
      <c r="E658" s="70"/>
      <c r="F658" s="70"/>
      <c r="G658" s="70"/>
      <c r="H658" s="422"/>
      <c r="I658" s="422"/>
      <c r="J658" s="418"/>
      <c r="K658" s="403"/>
      <c r="L658" s="73"/>
      <c r="M658" s="72"/>
      <c r="N658" s="72"/>
      <c r="O658" s="72"/>
      <c r="P658" s="42"/>
      <c r="Q658" s="42"/>
      <c r="R658" s="42"/>
      <c r="S658" s="42"/>
      <c r="T658" s="42"/>
      <c r="U658" s="42"/>
      <c r="V658" s="416"/>
      <c r="W658" s="42"/>
      <c r="X658" s="74"/>
      <c r="Y658" s="74"/>
      <c r="Z658" s="74"/>
      <c r="AA658" s="74"/>
      <c r="AB658" s="74"/>
      <c r="AC658" s="42"/>
      <c r="AD658" s="42"/>
      <c r="AE658" s="42"/>
      <c r="AF658" s="42"/>
      <c r="AG658" s="42"/>
      <c r="AH658" s="42"/>
      <c r="AI658" s="75"/>
      <c r="AJ658" s="75"/>
      <c r="AK658" s="75"/>
      <c r="AL658" s="75"/>
      <c r="AM658" s="74"/>
      <c r="AN658" s="72" t="e">
        <f>VLOOKUP(H658,[4]Planilha1!A$13:P$314,16,0)</f>
        <v>#N/A</v>
      </c>
    </row>
    <row r="659" spans="1:40" s="69" customFormat="1" x14ac:dyDescent="0.25">
      <c r="A659" s="88"/>
      <c r="B659" s="88"/>
      <c r="C659" s="70"/>
      <c r="D659" s="70"/>
      <c r="E659" s="70"/>
      <c r="F659" s="70"/>
      <c r="G659" s="70"/>
      <c r="H659" s="422"/>
      <c r="I659" s="422"/>
      <c r="J659" s="418"/>
      <c r="K659" s="403"/>
      <c r="L659" s="73"/>
      <c r="M659" s="72"/>
      <c r="N659" s="72"/>
      <c r="O659" s="72"/>
      <c r="P659" s="42"/>
      <c r="Q659" s="42"/>
      <c r="R659" s="42"/>
      <c r="S659" s="42"/>
      <c r="T659" s="42"/>
      <c r="U659" s="42"/>
      <c r="V659" s="416"/>
      <c r="W659" s="42"/>
      <c r="X659" s="74"/>
      <c r="Y659" s="74"/>
      <c r="Z659" s="74"/>
      <c r="AA659" s="74"/>
      <c r="AB659" s="74"/>
      <c r="AC659" s="42"/>
      <c r="AD659" s="42"/>
      <c r="AE659" s="42"/>
      <c r="AF659" s="42"/>
      <c r="AG659" s="42"/>
      <c r="AH659" s="42"/>
      <c r="AI659" s="75"/>
      <c r="AJ659" s="75"/>
      <c r="AK659" s="75"/>
      <c r="AL659" s="75"/>
      <c r="AM659" s="74"/>
      <c r="AN659" s="72" t="e">
        <f>VLOOKUP(H659,[4]Planilha1!A$13:P$314,16,0)</f>
        <v>#N/A</v>
      </c>
    </row>
    <row r="660" spans="1:40" s="69" customFormat="1" x14ac:dyDescent="0.25">
      <c r="A660" s="88"/>
      <c r="B660" s="88"/>
      <c r="C660" s="70"/>
      <c r="D660" s="70"/>
      <c r="E660" s="70"/>
      <c r="F660" s="70"/>
      <c r="G660" s="70"/>
      <c r="H660" s="422"/>
      <c r="I660" s="422"/>
      <c r="J660" s="418"/>
      <c r="K660" s="403"/>
      <c r="L660" s="73"/>
      <c r="M660" s="72"/>
      <c r="N660" s="72"/>
      <c r="O660" s="72"/>
      <c r="P660" s="42"/>
      <c r="Q660" s="42"/>
      <c r="R660" s="42"/>
      <c r="S660" s="42"/>
      <c r="T660" s="42"/>
      <c r="U660" s="42"/>
      <c r="V660" s="416"/>
      <c r="W660" s="42"/>
      <c r="X660" s="74"/>
      <c r="Y660" s="74"/>
      <c r="Z660" s="74"/>
      <c r="AA660" s="74"/>
      <c r="AB660" s="74"/>
      <c r="AC660" s="42"/>
      <c r="AD660" s="42"/>
      <c r="AE660" s="42"/>
      <c r="AF660" s="42"/>
      <c r="AG660" s="42"/>
      <c r="AH660" s="42"/>
      <c r="AI660" s="75"/>
      <c r="AJ660" s="75"/>
      <c r="AK660" s="75"/>
      <c r="AL660" s="75"/>
      <c r="AM660" s="74"/>
      <c r="AN660" s="72" t="e">
        <f>VLOOKUP(H660,[4]Planilha1!A$13:P$314,16,0)</f>
        <v>#N/A</v>
      </c>
    </row>
    <row r="661" spans="1:40" s="69" customFormat="1" x14ac:dyDescent="0.25">
      <c r="A661" s="88"/>
      <c r="B661" s="88"/>
      <c r="C661" s="70"/>
      <c r="D661" s="70"/>
      <c r="E661" s="70"/>
      <c r="F661" s="70"/>
      <c r="G661" s="70"/>
      <c r="H661" s="422"/>
      <c r="I661" s="422"/>
      <c r="J661" s="418"/>
      <c r="K661" s="403"/>
      <c r="L661" s="73"/>
      <c r="M661" s="72"/>
      <c r="N661" s="72"/>
      <c r="O661" s="72"/>
      <c r="P661" s="42"/>
      <c r="Q661" s="42"/>
      <c r="R661" s="42"/>
      <c r="S661" s="42"/>
      <c r="T661" s="42"/>
      <c r="U661" s="42"/>
      <c r="V661" s="416"/>
      <c r="W661" s="42"/>
      <c r="X661" s="74"/>
      <c r="Y661" s="74"/>
      <c r="Z661" s="74"/>
      <c r="AA661" s="74"/>
      <c r="AB661" s="74"/>
      <c r="AC661" s="42"/>
      <c r="AD661" s="42"/>
      <c r="AE661" s="42"/>
      <c r="AF661" s="42"/>
      <c r="AG661" s="42"/>
      <c r="AH661" s="42"/>
      <c r="AI661" s="75"/>
      <c r="AJ661" s="75"/>
      <c r="AK661" s="75"/>
      <c r="AL661" s="75"/>
      <c r="AM661" s="74"/>
      <c r="AN661" s="72" t="e">
        <f>VLOOKUP(H661,[4]Planilha1!A$13:P$314,16,0)</f>
        <v>#N/A</v>
      </c>
    </row>
    <row r="662" spans="1:40" s="69" customFormat="1" x14ac:dyDescent="0.25">
      <c r="A662" s="88"/>
      <c r="B662" s="88"/>
      <c r="C662" s="70"/>
      <c r="D662" s="70"/>
      <c r="E662" s="70"/>
      <c r="F662" s="70"/>
      <c r="G662" s="70"/>
      <c r="H662" s="422"/>
      <c r="I662" s="422"/>
      <c r="J662" s="418"/>
      <c r="K662" s="403"/>
      <c r="L662" s="73"/>
      <c r="M662" s="72"/>
      <c r="N662" s="72"/>
      <c r="O662" s="72"/>
      <c r="P662" s="42"/>
      <c r="Q662" s="42"/>
      <c r="R662" s="42"/>
      <c r="S662" s="42"/>
      <c r="T662" s="42"/>
      <c r="U662" s="42"/>
      <c r="V662" s="416"/>
      <c r="W662" s="42"/>
      <c r="X662" s="74"/>
      <c r="Y662" s="74"/>
      <c r="Z662" s="74"/>
      <c r="AA662" s="74"/>
      <c r="AB662" s="74"/>
      <c r="AC662" s="42"/>
      <c r="AD662" s="42"/>
      <c r="AE662" s="42"/>
      <c r="AF662" s="42"/>
      <c r="AG662" s="42"/>
      <c r="AH662" s="42"/>
      <c r="AI662" s="75"/>
      <c r="AJ662" s="75"/>
      <c r="AK662" s="75"/>
      <c r="AL662" s="75"/>
      <c r="AM662" s="74"/>
      <c r="AN662" s="72" t="e">
        <f>VLOOKUP(H662,[4]Planilha1!A$13:P$314,16,0)</f>
        <v>#N/A</v>
      </c>
    </row>
    <row r="663" spans="1:40" s="69" customFormat="1" x14ac:dyDescent="0.25">
      <c r="A663" s="88"/>
      <c r="B663" s="88"/>
      <c r="C663" s="70"/>
      <c r="D663" s="70"/>
      <c r="E663" s="70"/>
      <c r="F663" s="70"/>
      <c r="G663" s="70"/>
      <c r="H663" s="422"/>
      <c r="I663" s="422"/>
      <c r="J663" s="418"/>
      <c r="K663" s="403"/>
      <c r="L663" s="73"/>
      <c r="M663" s="72"/>
      <c r="N663" s="72"/>
      <c r="O663" s="72"/>
      <c r="P663" s="42"/>
      <c r="Q663" s="42"/>
      <c r="R663" s="42"/>
      <c r="S663" s="42"/>
      <c r="T663" s="42"/>
      <c r="U663" s="42"/>
      <c r="V663" s="416"/>
      <c r="W663" s="42"/>
      <c r="X663" s="74"/>
      <c r="Y663" s="74"/>
      <c r="Z663" s="74"/>
      <c r="AA663" s="74"/>
      <c r="AB663" s="74"/>
      <c r="AC663" s="42"/>
      <c r="AD663" s="42"/>
      <c r="AE663" s="42"/>
      <c r="AF663" s="42"/>
      <c r="AG663" s="42"/>
      <c r="AH663" s="42"/>
      <c r="AI663" s="75"/>
      <c r="AJ663" s="75"/>
      <c r="AK663" s="75"/>
      <c r="AL663" s="75"/>
      <c r="AM663" s="74"/>
      <c r="AN663" s="72" t="e">
        <f>VLOOKUP(H663,[4]Planilha1!A$13:P$314,16,0)</f>
        <v>#N/A</v>
      </c>
    </row>
    <row r="664" spans="1:40" s="69" customFormat="1" x14ac:dyDescent="0.25">
      <c r="A664" s="88"/>
      <c r="B664" s="88"/>
      <c r="C664" s="70"/>
      <c r="D664" s="70"/>
      <c r="E664" s="70"/>
      <c r="F664" s="70"/>
      <c r="G664" s="70"/>
      <c r="H664" s="422"/>
      <c r="I664" s="422"/>
      <c r="J664" s="418"/>
      <c r="K664" s="403"/>
      <c r="L664" s="73"/>
      <c r="M664" s="72"/>
      <c r="N664" s="72"/>
      <c r="O664" s="72"/>
      <c r="P664" s="42"/>
      <c r="Q664" s="42"/>
      <c r="R664" s="42"/>
      <c r="S664" s="42"/>
      <c r="T664" s="42"/>
      <c r="U664" s="42"/>
      <c r="V664" s="416"/>
      <c r="W664" s="42"/>
      <c r="X664" s="74"/>
      <c r="Y664" s="74"/>
      <c r="Z664" s="74"/>
      <c r="AA664" s="74"/>
      <c r="AB664" s="74"/>
      <c r="AC664" s="42"/>
      <c r="AD664" s="42"/>
      <c r="AE664" s="42"/>
      <c r="AF664" s="42"/>
      <c r="AG664" s="42"/>
      <c r="AH664" s="42"/>
      <c r="AI664" s="75"/>
      <c r="AJ664" s="75"/>
      <c r="AK664" s="75"/>
      <c r="AL664" s="75"/>
      <c r="AM664" s="74"/>
      <c r="AN664" s="72" t="e">
        <f>VLOOKUP(H664,[4]Planilha1!A$13:P$314,16,0)</f>
        <v>#N/A</v>
      </c>
    </row>
    <row r="665" spans="1:40" s="69" customFormat="1" x14ac:dyDescent="0.25">
      <c r="A665" s="88"/>
      <c r="B665" s="88"/>
      <c r="C665" s="70"/>
      <c r="D665" s="70"/>
      <c r="E665" s="70"/>
      <c r="F665" s="70"/>
      <c r="G665" s="70"/>
      <c r="H665" s="422"/>
      <c r="I665" s="422"/>
      <c r="J665" s="418"/>
      <c r="K665" s="403"/>
      <c r="L665" s="73"/>
      <c r="M665" s="72"/>
      <c r="N665" s="72"/>
      <c r="O665" s="72"/>
      <c r="P665" s="42"/>
      <c r="Q665" s="42"/>
      <c r="R665" s="42"/>
      <c r="S665" s="42"/>
      <c r="T665" s="42"/>
      <c r="U665" s="42"/>
      <c r="V665" s="416"/>
      <c r="W665" s="42"/>
      <c r="X665" s="74"/>
      <c r="Y665" s="74"/>
      <c r="Z665" s="74"/>
      <c r="AA665" s="74"/>
      <c r="AB665" s="74"/>
      <c r="AC665" s="42"/>
      <c r="AD665" s="42"/>
      <c r="AE665" s="42"/>
      <c r="AF665" s="42"/>
      <c r="AG665" s="42"/>
      <c r="AH665" s="42"/>
      <c r="AI665" s="75"/>
      <c r="AJ665" s="75"/>
      <c r="AK665" s="75"/>
      <c r="AL665" s="75"/>
      <c r="AM665" s="74"/>
      <c r="AN665" s="72" t="e">
        <f>VLOOKUP(H665,[4]Planilha1!A$13:P$314,16,0)</f>
        <v>#N/A</v>
      </c>
    </row>
    <row r="666" spans="1:40" s="69" customFormat="1" x14ac:dyDescent="0.25">
      <c r="A666" s="88"/>
      <c r="B666" s="88"/>
      <c r="C666" s="70"/>
      <c r="D666" s="70"/>
      <c r="E666" s="70"/>
      <c r="F666" s="70"/>
      <c r="G666" s="70"/>
      <c r="H666" s="422"/>
      <c r="I666" s="422"/>
      <c r="J666" s="418"/>
      <c r="K666" s="403"/>
      <c r="L666" s="73"/>
      <c r="M666" s="72"/>
      <c r="N666" s="72"/>
      <c r="O666" s="72"/>
      <c r="P666" s="42"/>
      <c r="Q666" s="42"/>
      <c r="R666" s="42"/>
      <c r="S666" s="42"/>
      <c r="T666" s="42"/>
      <c r="U666" s="42"/>
      <c r="V666" s="416"/>
      <c r="W666" s="42"/>
      <c r="X666" s="74"/>
      <c r="Y666" s="74"/>
      <c r="Z666" s="74"/>
      <c r="AA666" s="74"/>
      <c r="AB666" s="74"/>
      <c r="AC666" s="42"/>
      <c r="AD666" s="42"/>
      <c r="AE666" s="42"/>
      <c r="AF666" s="42"/>
      <c r="AG666" s="42"/>
      <c r="AH666" s="42"/>
      <c r="AI666" s="75"/>
      <c r="AJ666" s="75"/>
      <c r="AK666" s="75"/>
      <c r="AL666" s="75"/>
      <c r="AM666" s="74"/>
      <c r="AN666" s="72" t="e">
        <f>VLOOKUP(H666,[4]Planilha1!A$13:P$314,16,0)</f>
        <v>#N/A</v>
      </c>
    </row>
    <row r="667" spans="1:40" s="69" customFormat="1" x14ac:dyDescent="0.25">
      <c r="A667" s="88"/>
      <c r="B667" s="88"/>
      <c r="C667" s="70"/>
      <c r="D667" s="70"/>
      <c r="E667" s="70"/>
      <c r="F667" s="70"/>
      <c r="G667" s="70"/>
      <c r="H667" s="422"/>
      <c r="I667" s="422"/>
      <c r="J667" s="418"/>
      <c r="K667" s="403"/>
      <c r="L667" s="73"/>
      <c r="M667" s="72"/>
      <c r="N667" s="72"/>
      <c r="O667" s="72"/>
      <c r="P667" s="42"/>
      <c r="Q667" s="42"/>
      <c r="R667" s="42"/>
      <c r="S667" s="42"/>
      <c r="T667" s="42"/>
      <c r="U667" s="42"/>
      <c r="V667" s="416"/>
      <c r="W667" s="42"/>
      <c r="X667" s="74"/>
      <c r="Y667" s="74"/>
      <c r="Z667" s="74"/>
      <c r="AA667" s="74"/>
      <c r="AB667" s="74"/>
      <c r="AC667" s="42"/>
      <c r="AD667" s="42"/>
      <c r="AE667" s="42"/>
      <c r="AF667" s="42"/>
      <c r="AG667" s="42"/>
      <c r="AH667" s="42"/>
      <c r="AI667" s="75"/>
      <c r="AJ667" s="75"/>
      <c r="AK667" s="75"/>
      <c r="AL667" s="75"/>
      <c r="AM667" s="74"/>
      <c r="AN667" s="72" t="e">
        <f>VLOOKUP(H667,[4]Planilha1!A$13:P$314,16,0)</f>
        <v>#N/A</v>
      </c>
    </row>
    <row r="668" spans="1:40" s="69" customFormat="1" x14ac:dyDescent="0.25">
      <c r="A668" s="88"/>
      <c r="B668" s="88"/>
      <c r="C668" s="70"/>
      <c r="D668" s="70"/>
      <c r="E668" s="70"/>
      <c r="F668" s="70"/>
      <c r="G668" s="70"/>
      <c r="H668" s="422"/>
      <c r="I668" s="422"/>
      <c r="J668" s="418"/>
      <c r="K668" s="403"/>
      <c r="L668" s="73"/>
      <c r="M668" s="72"/>
      <c r="N668" s="72"/>
      <c r="O668" s="72"/>
      <c r="P668" s="42"/>
      <c r="Q668" s="42"/>
      <c r="R668" s="42"/>
      <c r="S668" s="42"/>
      <c r="T668" s="42"/>
      <c r="U668" s="42"/>
      <c r="V668" s="416"/>
      <c r="W668" s="42"/>
      <c r="X668" s="74"/>
      <c r="Y668" s="74"/>
      <c r="Z668" s="74"/>
      <c r="AA668" s="74"/>
      <c r="AB668" s="74"/>
      <c r="AC668" s="42"/>
      <c r="AD668" s="42"/>
      <c r="AE668" s="42"/>
      <c r="AF668" s="42"/>
      <c r="AG668" s="42"/>
      <c r="AH668" s="42"/>
      <c r="AI668" s="75"/>
      <c r="AJ668" s="75"/>
      <c r="AK668" s="75"/>
      <c r="AL668" s="75"/>
      <c r="AM668" s="74"/>
      <c r="AN668" s="72" t="e">
        <f>VLOOKUP(H668,[4]Planilha1!A$13:P$314,16,0)</f>
        <v>#N/A</v>
      </c>
    </row>
    <row r="669" spans="1:40" s="69" customFormat="1" x14ac:dyDescent="0.25">
      <c r="A669" s="88"/>
      <c r="B669" s="88"/>
      <c r="C669" s="70"/>
      <c r="D669" s="70"/>
      <c r="E669" s="70"/>
      <c r="F669" s="70"/>
      <c r="G669" s="70"/>
      <c r="H669" s="422"/>
      <c r="I669" s="422"/>
      <c r="J669" s="418"/>
      <c r="K669" s="403"/>
      <c r="L669" s="73"/>
      <c r="M669" s="72"/>
      <c r="N669" s="72"/>
      <c r="O669" s="72"/>
      <c r="P669" s="42"/>
      <c r="Q669" s="42"/>
      <c r="R669" s="42"/>
      <c r="S669" s="42"/>
      <c r="T669" s="42"/>
      <c r="U669" s="42"/>
      <c r="V669" s="416"/>
      <c r="W669" s="42"/>
      <c r="X669" s="74"/>
      <c r="Y669" s="74"/>
      <c r="Z669" s="74"/>
      <c r="AA669" s="74"/>
      <c r="AB669" s="74"/>
      <c r="AC669" s="42"/>
      <c r="AD669" s="42"/>
      <c r="AE669" s="42"/>
      <c r="AF669" s="42"/>
      <c r="AG669" s="42"/>
      <c r="AH669" s="42"/>
      <c r="AI669" s="75"/>
      <c r="AJ669" s="75"/>
      <c r="AK669" s="75"/>
      <c r="AL669" s="75"/>
      <c r="AM669" s="74"/>
      <c r="AN669" s="72" t="e">
        <f>VLOOKUP(H669,[4]Planilha1!A$13:P$314,16,0)</f>
        <v>#N/A</v>
      </c>
    </row>
    <row r="670" spans="1:40" s="69" customFormat="1" x14ac:dyDescent="0.25">
      <c r="A670" s="88"/>
      <c r="B670" s="88"/>
      <c r="C670" s="70"/>
      <c r="D670" s="70"/>
      <c r="E670" s="70"/>
      <c r="F670" s="70"/>
      <c r="G670" s="70"/>
      <c r="H670" s="422"/>
      <c r="I670" s="422"/>
      <c r="J670" s="418"/>
      <c r="K670" s="403"/>
      <c r="L670" s="73"/>
      <c r="M670" s="72"/>
      <c r="N670" s="72"/>
      <c r="O670" s="72"/>
      <c r="P670" s="42"/>
      <c r="Q670" s="42"/>
      <c r="R670" s="42"/>
      <c r="S670" s="42"/>
      <c r="T670" s="42"/>
      <c r="U670" s="42"/>
      <c r="V670" s="416"/>
      <c r="W670" s="42"/>
      <c r="X670" s="74"/>
      <c r="Y670" s="74"/>
      <c r="Z670" s="74"/>
      <c r="AA670" s="74"/>
      <c r="AB670" s="74"/>
      <c r="AC670" s="42"/>
      <c r="AD670" s="42"/>
      <c r="AE670" s="42"/>
      <c r="AF670" s="42"/>
      <c r="AG670" s="42"/>
      <c r="AH670" s="42"/>
      <c r="AI670" s="75"/>
      <c r="AJ670" s="75"/>
      <c r="AK670" s="75"/>
      <c r="AL670" s="75"/>
      <c r="AM670" s="74"/>
      <c r="AN670" s="72" t="e">
        <f>VLOOKUP(H670,[4]Planilha1!A$13:P$314,16,0)</f>
        <v>#N/A</v>
      </c>
    </row>
    <row r="671" spans="1:40" s="69" customFormat="1" x14ac:dyDescent="0.25">
      <c r="A671" s="88"/>
      <c r="B671" s="88"/>
      <c r="C671" s="70"/>
      <c r="D671" s="70"/>
      <c r="E671" s="70"/>
      <c r="F671" s="70"/>
      <c r="G671" s="70"/>
      <c r="H671" s="422"/>
      <c r="I671" s="422"/>
      <c r="J671" s="418"/>
      <c r="K671" s="403"/>
      <c r="L671" s="73"/>
      <c r="M671" s="72"/>
      <c r="N671" s="72"/>
      <c r="O671" s="72"/>
      <c r="P671" s="42"/>
      <c r="Q671" s="42"/>
      <c r="R671" s="42"/>
      <c r="S671" s="42"/>
      <c r="T671" s="42"/>
      <c r="U671" s="42"/>
      <c r="V671" s="416"/>
      <c r="W671" s="42"/>
      <c r="X671" s="74"/>
      <c r="Y671" s="74"/>
      <c r="Z671" s="74"/>
      <c r="AA671" s="74"/>
      <c r="AB671" s="74"/>
      <c r="AC671" s="42"/>
      <c r="AD671" s="42"/>
      <c r="AE671" s="42"/>
      <c r="AF671" s="42"/>
      <c r="AG671" s="42"/>
      <c r="AH671" s="42"/>
      <c r="AI671" s="75"/>
      <c r="AJ671" s="75"/>
      <c r="AK671" s="75"/>
      <c r="AL671" s="75"/>
      <c r="AM671" s="74"/>
      <c r="AN671" s="72" t="e">
        <f>VLOOKUP(H671,[4]Planilha1!A$13:P$314,16,0)</f>
        <v>#N/A</v>
      </c>
    </row>
    <row r="672" spans="1:40" s="69" customFormat="1" x14ac:dyDescent="0.25">
      <c r="A672" s="88"/>
      <c r="B672" s="88"/>
      <c r="C672" s="70"/>
      <c r="D672" s="70"/>
      <c r="E672" s="70"/>
      <c r="F672" s="70"/>
      <c r="G672" s="70"/>
      <c r="H672" s="422"/>
      <c r="I672" s="422"/>
      <c r="J672" s="418"/>
      <c r="K672" s="403"/>
      <c r="L672" s="73"/>
      <c r="M672" s="72"/>
      <c r="N672" s="72"/>
      <c r="O672" s="72"/>
      <c r="P672" s="42"/>
      <c r="Q672" s="42"/>
      <c r="R672" s="42"/>
      <c r="S672" s="42"/>
      <c r="T672" s="42"/>
      <c r="U672" s="42"/>
      <c r="V672" s="416"/>
      <c r="W672" s="42"/>
      <c r="X672" s="74"/>
      <c r="Y672" s="74"/>
      <c r="Z672" s="74"/>
      <c r="AA672" s="74"/>
      <c r="AB672" s="74"/>
      <c r="AC672" s="42"/>
      <c r="AD672" s="42"/>
      <c r="AE672" s="42"/>
      <c r="AF672" s="42"/>
      <c r="AG672" s="42"/>
      <c r="AH672" s="42"/>
      <c r="AI672" s="75"/>
      <c r="AJ672" s="75"/>
      <c r="AK672" s="75"/>
      <c r="AL672" s="75"/>
      <c r="AM672" s="74"/>
      <c r="AN672" s="72" t="e">
        <f>VLOOKUP(H672,[4]Planilha1!A$13:P$314,16,0)</f>
        <v>#N/A</v>
      </c>
    </row>
    <row r="673" spans="1:40" s="69" customFormat="1" x14ac:dyDescent="0.25">
      <c r="A673" s="88"/>
      <c r="B673" s="88"/>
      <c r="C673" s="70"/>
      <c r="D673" s="70"/>
      <c r="E673" s="70"/>
      <c r="F673" s="70"/>
      <c r="G673" s="70"/>
      <c r="H673" s="422"/>
      <c r="I673" s="422"/>
      <c r="J673" s="418"/>
      <c r="K673" s="403"/>
      <c r="L673" s="73"/>
      <c r="M673" s="72"/>
      <c r="N673" s="72"/>
      <c r="O673" s="72"/>
      <c r="P673" s="42"/>
      <c r="Q673" s="42"/>
      <c r="R673" s="42"/>
      <c r="S673" s="42"/>
      <c r="T673" s="42"/>
      <c r="U673" s="42"/>
      <c r="V673" s="416"/>
      <c r="W673" s="42"/>
      <c r="X673" s="74"/>
      <c r="Y673" s="74"/>
      <c r="Z673" s="74"/>
      <c r="AA673" s="74"/>
      <c r="AB673" s="74"/>
      <c r="AC673" s="42"/>
      <c r="AD673" s="42"/>
      <c r="AE673" s="42"/>
      <c r="AF673" s="42"/>
      <c r="AG673" s="42"/>
      <c r="AH673" s="42"/>
      <c r="AI673" s="75"/>
      <c r="AJ673" s="75"/>
      <c r="AK673" s="75"/>
      <c r="AL673" s="75"/>
      <c r="AM673" s="74"/>
      <c r="AN673" s="72" t="e">
        <f>VLOOKUP(H673,[4]Planilha1!A$13:P$314,16,0)</f>
        <v>#N/A</v>
      </c>
    </row>
    <row r="674" spans="1:40" s="69" customFormat="1" x14ac:dyDescent="0.25">
      <c r="A674" s="88"/>
      <c r="B674" s="88"/>
      <c r="C674" s="70"/>
      <c r="D674" s="70"/>
      <c r="E674" s="70"/>
      <c r="F674" s="70"/>
      <c r="G674" s="70"/>
      <c r="H674" s="422"/>
      <c r="I674" s="422"/>
      <c r="J674" s="418"/>
      <c r="K674" s="403"/>
      <c r="L674" s="73"/>
      <c r="M674" s="72"/>
      <c r="N674" s="72"/>
      <c r="O674" s="72"/>
      <c r="P674" s="42"/>
      <c r="Q674" s="42"/>
      <c r="R674" s="42"/>
      <c r="S674" s="42"/>
      <c r="T674" s="42"/>
      <c r="U674" s="42"/>
      <c r="V674" s="416"/>
      <c r="W674" s="42"/>
      <c r="X674" s="74"/>
      <c r="Y674" s="74"/>
      <c r="Z674" s="74"/>
      <c r="AA674" s="74"/>
      <c r="AB674" s="74"/>
      <c r="AC674" s="42"/>
      <c r="AD674" s="42"/>
      <c r="AE674" s="42"/>
      <c r="AF674" s="42"/>
      <c r="AG674" s="42"/>
      <c r="AH674" s="42"/>
      <c r="AI674" s="75"/>
      <c r="AJ674" s="75"/>
      <c r="AK674" s="75"/>
      <c r="AL674" s="75"/>
      <c r="AM674" s="74"/>
      <c r="AN674" s="72" t="e">
        <f>VLOOKUP(H674,[4]Planilha1!A$13:P$314,16,0)</f>
        <v>#N/A</v>
      </c>
    </row>
    <row r="675" spans="1:40" s="69" customFormat="1" x14ac:dyDescent="0.25">
      <c r="A675" s="88"/>
      <c r="B675" s="88"/>
      <c r="C675" s="70"/>
      <c r="D675" s="70"/>
      <c r="E675" s="70"/>
      <c r="F675" s="70"/>
      <c r="G675" s="70"/>
      <c r="H675" s="422"/>
      <c r="I675" s="422"/>
      <c r="J675" s="418"/>
      <c r="K675" s="403"/>
      <c r="L675" s="73"/>
      <c r="M675" s="72"/>
      <c r="N675" s="72"/>
      <c r="O675" s="72"/>
      <c r="P675" s="42"/>
      <c r="Q675" s="42"/>
      <c r="R675" s="42"/>
      <c r="S675" s="42"/>
      <c r="T675" s="42"/>
      <c r="U675" s="42"/>
      <c r="V675" s="416"/>
      <c r="W675" s="42"/>
      <c r="X675" s="74"/>
      <c r="Y675" s="74"/>
      <c r="Z675" s="74"/>
      <c r="AA675" s="74"/>
      <c r="AB675" s="74"/>
      <c r="AC675" s="42"/>
      <c r="AD675" s="42"/>
      <c r="AE675" s="42"/>
      <c r="AF675" s="42"/>
      <c r="AG675" s="42"/>
      <c r="AH675" s="42"/>
      <c r="AI675" s="75"/>
      <c r="AJ675" s="75"/>
      <c r="AK675" s="75"/>
      <c r="AL675" s="75"/>
      <c r="AM675" s="74"/>
      <c r="AN675" s="72" t="e">
        <f>VLOOKUP(H675,[4]Planilha1!A$13:P$314,16,0)</f>
        <v>#N/A</v>
      </c>
    </row>
    <row r="676" spans="1:40" s="69" customFormat="1" x14ac:dyDescent="0.25">
      <c r="A676" s="88"/>
      <c r="B676" s="88"/>
      <c r="C676" s="70"/>
      <c r="D676" s="70"/>
      <c r="E676" s="70"/>
      <c r="F676" s="70"/>
      <c r="G676" s="70"/>
      <c r="H676" s="422"/>
      <c r="I676" s="422"/>
      <c r="J676" s="418"/>
      <c r="K676" s="403"/>
      <c r="L676" s="73"/>
      <c r="M676" s="72"/>
      <c r="N676" s="72"/>
      <c r="O676" s="72"/>
      <c r="P676" s="42"/>
      <c r="Q676" s="42"/>
      <c r="R676" s="42"/>
      <c r="S676" s="42"/>
      <c r="T676" s="42"/>
      <c r="U676" s="42"/>
      <c r="V676" s="416"/>
      <c r="W676" s="42"/>
      <c r="X676" s="74"/>
      <c r="Y676" s="74"/>
      <c r="Z676" s="74"/>
      <c r="AA676" s="74"/>
      <c r="AB676" s="74"/>
      <c r="AC676" s="42"/>
      <c r="AD676" s="42"/>
      <c r="AE676" s="42"/>
      <c r="AF676" s="42"/>
      <c r="AG676" s="42"/>
      <c r="AH676" s="42"/>
      <c r="AI676" s="75"/>
      <c r="AJ676" s="75"/>
      <c r="AK676" s="75"/>
      <c r="AL676" s="75"/>
      <c r="AM676" s="74"/>
      <c r="AN676" s="72" t="e">
        <f>VLOOKUP(H676,[4]Planilha1!A$13:P$314,16,0)</f>
        <v>#N/A</v>
      </c>
    </row>
    <row r="677" spans="1:40" s="69" customFormat="1" x14ac:dyDescent="0.25">
      <c r="A677" s="88"/>
      <c r="B677" s="88"/>
      <c r="C677" s="70"/>
      <c r="D677" s="70"/>
      <c r="E677" s="70"/>
      <c r="F677" s="70"/>
      <c r="G677" s="70"/>
      <c r="H677" s="422"/>
      <c r="I677" s="422"/>
      <c r="J677" s="418"/>
      <c r="K677" s="403"/>
      <c r="L677" s="73"/>
      <c r="M677" s="72"/>
      <c r="N677" s="72"/>
      <c r="O677" s="72"/>
      <c r="P677" s="42"/>
      <c r="Q677" s="42"/>
      <c r="R677" s="42"/>
      <c r="S677" s="42"/>
      <c r="T677" s="42"/>
      <c r="U677" s="42"/>
      <c r="V677" s="416"/>
      <c r="W677" s="42"/>
      <c r="X677" s="74"/>
      <c r="Y677" s="74"/>
      <c r="Z677" s="74"/>
      <c r="AA677" s="74"/>
      <c r="AB677" s="74"/>
      <c r="AC677" s="42"/>
      <c r="AD677" s="42"/>
      <c r="AE677" s="42"/>
      <c r="AF677" s="42"/>
      <c r="AG677" s="42"/>
      <c r="AH677" s="42"/>
      <c r="AI677" s="75"/>
      <c r="AJ677" s="75"/>
      <c r="AK677" s="75"/>
      <c r="AL677" s="75"/>
      <c r="AM677" s="74"/>
      <c r="AN677" s="72" t="e">
        <f>VLOOKUP(H677,[4]Planilha1!A$13:P$314,16,0)</f>
        <v>#N/A</v>
      </c>
    </row>
    <row r="678" spans="1:40" s="69" customFormat="1" x14ac:dyDescent="0.25">
      <c r="A678" s="88"/>
      <c r="B678" s="88"/>
      <c r="C678" s="70"/>
      <c r="D678" s="70"/>
      <c r="E678" s="70"/>
      <c r="F678" s="70"/>
      <c r="G678" s="70"/>
      <c r="H678" s="422"/>
      <c r="I678" s="422"/>
      <c r="J678" s="418"/>
      <c r="K678" s="403"/>
      <c r="L678" s="73"/>
      <c r="M678" s="72"/>
      <c r="N678" s="72"/>
      <c r="O678" s="72"/>
      <c r="P678" s="42"/>
      <c r="Q678" s="42"/>
      <c r="R678" s="42"/>
      <c r="S678" s="42"/>
      <c r="T678" s="42"/>
      <c r="U678" s="42"/>
      <c r="V678" s="416"/>
      <c r="W678" s="42"/>
      <c r="X678" s="74"/>
      <c r="Y678" s="74"/>
      <c r="Z678" s="74"/>
      <c r="AA678" s="74"/>
      <c r="AB678" s="74"/>
      <c r="AC678" s="42"/>
      <c r="AD678" s="42"/>
      <c r="AE678" s="42"/>
      <c r="AF678" s="42"/>
      <c r="AG678" s="42"/>
      <c r="AH678" s="42"/>
      <c r="AI678" s="75"/>
      <c r="AJ678" s="75"/>
      <c r="AK678" s="75"/>
      <c r="AL678" s="75"/>
      <c r="AM678" s="74"/>
      <c r="AN678" s="72" t="e">
        <f>VLOOKUP(H678,[4]Planilha1!A$13:P$314,16,0)</f>
        <v>#N/A</v>
      </c>
    </row>
    <row r="679" spans="1:40" s="69" customFormat="1" x14ac:dyDescent="0.25">
      <c r="A679" s="88"/>
      <c r="B679" s="88"/>
      <c r="C679" s="70"/>
      <c r="D679" s="70"/>
      <c r="E679" s="70"/>
      <c r="F679" s="70"/>
      <c r="G679" s="70"/>
      <c r="H679" s="422"/>
      <c r="I679" s="422"/>
      <c r="J679" s="418"/>
      <c r="K679" s="403"/>
      <c r="L679" s="73"/>
      <c r="M679" s="72"/>
      <c r="N679" s="72"/>
      <c r="O679" s="72"/>
      <c r="P679" s="42"/>
      <c r="Q679" s="42"/>
      <c r="R679" s="42"/>
      <c r="S679" s="42"/>
      <c r="T679" s="42"/>
      <c r="U679" s="42"/>
      <c r="V679" s="416"/>
      <c r="W679" s="42"/>
      <c r="X679" s="74"/>
      <c r="Y679" s="74"/>
      <c r="Z679" s="74"/>
      <c r="AA679" s="74"/>
      <c r="AB679" s="74"/>
      <c r="AC679" s="42"/>
      <c r="AD679" s="42"/>
      <c r="AE679" s="42"/>
      <c r="AF679" s="42"/>
      <c r="AG679" s="42"/>
      <c r="AH679" s="42"/>
      <c r="AI679" s="75"/>
      <c r="AJ679" s="75"/>
      <c r="AK679" s="75"/>
      <c r="AL679" s="75"/>
      <c r="AM679" s="74"/>
      <c r="AN679" s="72" t="e">
        <f>VLOOKUP(H679,[4]Planilha1!A$13:P$314,16,0)</f>
        <v>#N/A</v>
      </c>
    </row>
    <row r="680" spans="1:40" s="69" customFormat="1" x14ac:dyDescent="0.25">
      <c r="A680" s="88"/>
      <c r="B680" s="88"/>
      <c r="C680" s="70"/>
      <c r="D680" s="70"/>
      <c r="E680" s="70"/>
      <c r="F680" s="70"/>
      <c r="G680" s="70"/>
      <c r="H680" s="422"/>
      <c r="I680" s="422"/>
      <c r="J680" s="418"/>
      <c r="K680" s="403"/>
      <c r="L680" s="73"/>
      <c r="M680" s="72"/>
      <c r="N680" s="72"/>
      <c r="O680" s="72"/>
      <c r="P680" s="42"/>
      <c r="Q680" s="42"/>
      <c r="R680" s="42"/>
      <c r="S680" s="42"/>
      <c r="T680" s="42"/>
      <c r="U680" s="42"/>
      <c r="V680" s="416"/>
      <c r="W680" s="42"/>
      <c r="X680" s="74"/>
      <c r="Y680" s="74"/>
      <c r="Z680" s="74"/>
      <c r="AA680" s="74"/>
      <c r="AB680" s="74"/>
      <c r="AC680" s="42"/>
      <c r="AD680" s="42"/>
      <c r="AE680" s="42"/>
      <c r="AF680" s="42"/>
      <c r="AG680" s="42"/>
      <c r="AH680" s="42"/>
      <c r="AI680" s="75"/>
      <c r="AJ680" s="75"/>
      <c r="AK680" s="75"/>
      <c r="AL680" s="75"/>
      <c r="AM680" s="74"/>
      <c r="AN680" s="72" t="e">
        <f>VLOOKUP(H680,[4]Planilha1!A$13:P$314,16,0)</f>
        <v>#N/A</v>
      </c>
    </row>
    <row r="681" spans="1:40" s="69" customFormat="1" x14ac:dyDescent="0.25">
      <c r="A681" s="88"/>
      <c r="B681" s="88"/>
      <c r="C681" s="70"/>
      <c r="D681" s="70"/>
      <c r="E681" s="70"/>
      <c r="F681" s="70"/>
      <c r="G681" s="70"/>
      <c r="H681" s="422"/>
      <c r="I681" s="422"/>
      <c r="J681" s="418"/>
      <c r="K681" s="403"/>
      <c r="L681" s="73"/>
      <c r="M681" s="72"/>
      <c r="N681" s="72"/>
      <c r="O681" s="72"/>
      <c r="P681" s="42"/>
      <c r="Q681" s="42"/>
      <c r="R681" s="42"/>
      <c r="S681" s="42"/>
      <c r="T681" s="42"/>
      <c r="U681" s="42"/>
      <c r="V681" s="416"/>
      <c r="W681" s="42"/>
      <c r="X681" s="74"/>
      <c r="Y681" s="74"/>
      <c r="Z681" s="74"/>
      <c r="AA681" s="74"/>
      <c r="AB681" s="74"/>
      <c r="AC681" s="42"/>
      <c r="AD681" s="42"/>
      <c r="AE681" s="42"/>
      <c r="AF681" s="42"/>
      <c r="AG681" s="42"/>
      <c r="AH681" s="42"/>
      <c r="AI681" s="75"/>
      <c r="AJ681" s="75"/>
      <c r="AK681" s="75"/>
      <c r="AL681" s="75"/>
      <c r="AM681" s="74"/>
      <c r="AN681" s="72" t="e">
        <f>VLOOKUP(H681,[4]Planilha1!A$13:P$314,16,0)</f>
        <v>#N/A</v>
      </c>
    </row>
    <row r="682" spans="1:40" s="69" customFormat="1" x14ac:dyDescent="0.25">
      <c r="A682" s="88"/>
      <c r="B682" s="88"/>
      <c r="C682" s="70"/>
      <c r="D682" s="70"/>
      <c r="E682" s="70"/>
      <c r="F682" s="70"/>
      <c r="G682" s="70"/>
      <c r="H682" s="422"/>
      <c r="I682" s="422"/>
      <c r="J682" s="418"/>
      <c r="K682" s="403"/>
      <c r="L682" s="73"/>
      <c r="M682" s="72"/>
      <c r="N682" s="72"/>
      <c r="O682" s="72"/>
      <c r="P682" s="42"/>
      <c r="Q682" s="42"/>
      <c r="R682" s="42"/>
      <c r="S682" s="42"/>
      <c r="T682" s="42"/>
      <c r="U682" s="42"/>
      <c r="V682" s="416"/>
      <c r="W682" s="42"/>
      <c r="X682" s="74"/>
      <c r="Y682" s="74"/>
      <c r="Z682" s="74"/>
      <c r="AA682" s="74"/>
      <c r="AB682" s="74"/>
      <c r="AC682" s="42"/>
      <c r="AD682" s="42"/>
      <c r="AE682" s="42"/>
      <c r="AF682" s="42"/>
      <c r="AG682" s="42"/>
      <c r="AH682" s="42"/>
      <c r="AI682" s="75"/>
      <c r="AJ682" s="75"/>
      <c r="AK682" s="75"/>
      <c r="AL682" s="75"/>
      <c r="AM682" s="74"/>
      <c r="AN682" s="72" t="e">
        <f>VLOOKUP(H682,[4]Planilha1!A$13:P$314,16,0)</f>
        <v>#N/A</v>
      </c>
    </row>
    <row r="683" spans="1:40" s="69" customFormat="1" x14ac:dyDescent="0.25">
      <c r="A683" s="88"/>
      <c r="B683" s="88"/>
      <c r="C683" s="70"/>
      <c r="D683" s="70"/>
      <c r="E683" s="70"/>
      <c r="F683" s="70"/>
      <c r="G683" s="70"/>
      <c r="H683" s="422"/>
      <c r="I683" s="422"/>
      <c r="J683" s="418"/>
      <c r="K683" s="403"/>
      <c r="L683" s="73"/>
      <c r="M683" s="72"/>
      <c r="N683" s="72"/>
      <c r="O683" s="72"/>
      <c r="P683" s="42"/>
      <c r="Q683" s="42"/>
      <c r="R683" s="42"/>
      <c r="S683" s="42"/>
      <c r="T683" s="42"/>
      <c r="U683" s="42"/>
      <c r="V683" s="416"/>
      <c r="W683" s="42"/>
      <c r="X683" s="74"/>
      <c r="Y683" s="74"/>
      <c r="Z683" s="74"/>
      <c r="AA683" s="74"/>
      <c r="AB683" s="74"/>
      <c r="AC683" s="42"/>
      <c r="AD683" s="42"/>
      <c r="AE683" s="42"/>
      <c r="AF683" s="42"/>
      <c r="AG683" s="42"/>
      <c r="AH683" s="42"/>
      <c r="AI683" s="75"/>
      <c r="AJ683" s="75"/>
      <c r="AK683" s="75"/>
      <c r="AL683" s="75"/>
      <c r="AM683" s="74"/>
      <c r="AN683" s="72" t="e">
        <f>VLOOKUP(H683,[4]Planilha1!A$13:P$314,16,0)</f>
        <v>#N/A</v>
      </c>
    </row>
    <row r="684" spans="1:40" s="69" customFormat="1" x14ac:dyDescent="0.25">
      <c r="A684" s="88"/>
      <c r="B684" s="88"/>
      <c r="C684" s="70"/>
      <c r="D684" s="70"/>
      <c r="E684" s="70"/>
      <c r="F684" s="70"/>
      <c r="G684" s="70"/>
      <c r="H684" s="422"/>
      <c r="I684" s="422"/>
      <c r="J684" s="418"/>
      <c r="K684" s="403"/>
      <c r="L684" s="73"/>
      <c r="M684" s="72"/>
      <c r="N684" s="72"/>
      <c r="O684" s="72"/>
      <c r="P684" s="42"/>
      <c r="Q684" s="42"/>
      <c r="R684" s="42"/>
      <c r="S684" s="42"/>
      <c r="T684" s="42"/>
      <c r="U684" s="42"/>
      <c r="V684" s="416"/>
      <c r="W684" s="42"/>
      <c r="X684" s="74"/>
      <c r="Y684" s="74"/>
      <c r="Z684" s="74"/>
      <c r="AA684" s="74"/>
      <c r="AB684" s="74"/>
      <c r="AC684" s="42"/>
      <c r="AD684" s="42"/>
      <c r="AE684" s="42"/>
      <c r="AF684" s="42"/>
      <c r="AG684" s="42"/>
      <c r="AH684" s="42"/>
      <c r="AI684" s="75"/>
      <c r="AJ684" s="75"/>
      <c r="AK684" s="75"/>
      <c r="AL684" s="75"/>
      <c r="AM684" s="74"/>
      <c r="AN684" s="72" t="e">
        <f>VLOOKUP(H684,[4]Planilha1!A$13:P$314,16,0)</f>
        <v>#N/A</v>
      </c>
    </row>
    <row r="685" spans="1:40" s="69" customFormat="1" x14ac:dyDescent="0.25">
      <c r="A685" s="88"/>
      <c r="B685" s="88"/>
      <c r="C685" s="70"/>
      <c r="D685" s="70"/>
      <c r="E685" s="70"/>
      <c r="F685" s="70"/>
      <c r="G685" s="70"/>
      <c r="H685" s="422"/>
      <c r="I685" s="422"/>
      <c r="J685" s="418"/>
      <c r="K685" s="403"/>
      <c r="L685" s="73"/>
      <c r="M685" s="72"/>
      <c r="N685" s="72"/>
      <c r="O685" s="72"/>
      <c r="P685" s="42"/>
      <c r="Q685" s="42"/>
      <c r="R685" s="42"/>
      <c r="S685" s="42"/>
      <c r="T685" s="42"/>
      <c r="U685" s="42"/>
      <c r="V685" s="416"/>
      <c r="W685" s="42"/>
      <c r="X685" s="74"/>
      <c r="Y685" s="74"/>
      <c r="Z685" s="74"/>
      <c r="AA685" s="74"/>
      <c r="AB685" s="74"/>
      <c r="AC685" s="42"/>
      <c r="AD685" s="42"/>
      <c r="AE685" s="42"/>
      <c r="AF685" s="42"/>
      <c r="AG685" s="42"/>
      <c r="AH685" s="42"/>
      <c r="AI685" s="75"/>
      <c r="AJ685" s="75"/>
      <c r="AK685" s="75"/>
      <c r="AL685" s="75"/>
      <c r="AM685" s="74"/>
      <c r="AN685" s="72" t="e">
        <f>VLOOKUP(H685,[4]Planilha1!A$13:P$314,16,0)</f>
        <v>#N/A</v>
      </c>
    </row>
    <row r="686" spans="1:40" s="69" customFormat="1" x14ac:dyDescent="0.25">
      <c r="A686" s="88"/>
      <c r="B686" s="88"/>
      <c r="C686" s="70"/>
      <c r="D686" s="70"/>
      <c r="E686" s="70"/>
      <c r="F686" s="70"/>
      <c r="G686" s="70"/>
      <c r="H686" s="422"/>
      <c r="I686" s="422"/>
      <c r="J686" s="418"/>
      <c r="K686" s="403"/>
      <c r="L686" s="73"/>
      <c r="M686" s="72"/>
      <c r="N686" s="72"/>
      <c r="O686" s="72"/>
      <c r="P686" s="42"/>
      <c r="Q686" s="42"/>
      <c r="R686" s="42"/>
      <c r="S686" s="42"/>
      <c r="T686" s="42"/>
      <c r="U686" s="42"/>
      <c r="V686" s="416"/>
      <c r="W686" s="42"/>
      <c r="X686" s="74"/>
      <c r="Y686" s="74"/>
      <c r="Z686" s="74"/>
      <c r="AA686" s="74"/>
      <c r="AB686" s="74"/>
      <c r="AC686" s="42"/>
      <c r="AD686" s="42"/>
      <c r="AE686" s="42"/>
      <c r="AF686" s="42"/>
      <c r="AG686" s="42"/>
      <c r="AH686" s="42"/>
      <c r="AI686" s="75"/>
      <c r="AJ686" s="75"/>
      <c r="AK686" s="75"/>
      <c r="AL686" s="75"/>
      <c r="AM686" s="74"/>
      <c r="AN686" s="72" t="e">
        <f>VLOOKUP(H686,[4]Planilha1!A$13:P$314,16,0)</f>
        <v>#N/A</v>
      </c>
    </row>
    <row r="687" spans="1:40" s="69" customFormat="1" x14ac:dyDescent="0.25">
      <c r="A687" s="88"/>
      <c r="B687" s="88"/>
      <c r="C687" s="70"/>
      <c r="D687" s="70"/>
      <c r="E687" s="70"/>
      <c r="F687" s="70"/>
      <c r="G687" s="70"/>
      <c r="H687" s="422"/>
      <c r="I687" s="422"/>
      <c r="J687" s="418"/>
      <c r="K687" s="403"/>
      <c r="L687" s="73"/>
      <c r="M687" s="72"/>
      <c r="N687" s="72"/>
      <c r="O687" s="72"/>
      <c r="P687" s="42"/>
      <c r="Q687" s="42"/>
      <c r="R687" s="42"/>
      <c r="S687" s="42"/>
      <c r="T687" s="42"/>
      <c r="U687" s="42"/>
      <c r="V687" s="416"/>
      <c r="W687" s="42"/>
      <c r="X687" s="74"/>
      <c r="Y687" s="74"/>
      <c r="Z687" s="74"/>
      <c r="AA687" s="74"/>
      <c r="AB687" s="74"/>
      <c r="AC687" s="42"/>
      <c r="AD687" s="42"/>
      <c r="AE687" s="42"/>
      <c r="AF687" s="42"/>
      <c r="AG687" s="42"/>
      <c r="AH687" s="42"/>
      <c r="AI687" s="75"/>
      <c r="AJ687" s="75"/>
      <c r="AK687" s="75"/>
      <c r="AL687" s="75"/>
      <c r="AM687" s="74"/>
      <c r="AN687" s="72" t="e">
        <f>VLOOKUP(H687,[4]Planilha1!A$13:P$314,16,0)</f>
        <v>#N/A</v>
      </c>
    </row>
    <row r="688" spans="1:40" s="69" customFormat="1" x14ac:dyDescent="0.25">
      <c r="A688" s="88"/>
      <c r="B688" s="88"/>
      <c r="C688" s="70"/>
      <c r="D688" s="70"/>
      <c r="E688" s="70"/>
      <c r="F688" s="70"/>
      <c r="G688" s="70"/>
      <c r="H688" s="422"/>
      <c r="I688" s="422"/>
      <c r="J688" s="418"/>
      <c r="K688" s="403"/>
      <c r="L688" s="73"/>
      <c r="M688" s="72"/>
      <c r="N688" s="72"/>
      <c r="O688" s="72"/>
      <c r="P688" s="42"/>
      <c r="Q688" s="42"/>
      <c r="R688" s="42"/>
      <c r="S688" s="42"/>
      <c r="T688" s="42"/>
      <c r="U688" s="42"/>
      <c r="V688" s="416"/>
      <c r="W688" s="42"/>
      <c r="X688" s="74"/>
      <c r="Y688" s="74"/>
      <c r="Z688" s="74"/>
      <c r="AA688" s="74"/>
      <c r="AB688" s="74"/>
      <c r="AC688" s="42"/>
      <c r="AD688" s="42"/>
      <c r="AE688" s="42"/>
      <c r="AF688" s="42"/>
      <c r="AG688" s="42"/>
      <c r="AH688" s="42"/>
      <c r="AI688" s="75"/>
      <c r="AJ688" s="75"/>
      <c r="AK688" s="75"/>
      <c r="AL688" s="75"/>
      <c r="AM688" s="74"/>
      <c r="AN688" s="72" t="e">
        <f>VLOOKUP(H688,[4]Planilha1!A$13:P$314,16,0)</f>
        <v>#N/A</v>
      </c>
    </row>
    <row r="689" spans="1:40" s="69" customFormat="1" x14ac:dyDescent="0.25">
      <c r="A689" s="88"/>
      <c r="B689" s="88"/>
      <c r="C689" s="70"/>
      <c r="D689" s="70"/>
      <c r="E689" s="70"/>
      <c r="F689" s="70"/>
      <c r="G689" s="70"/>
      <c r="H689" s="422"/>
      <c r="I689" s="422"/>
      <c r="J689" s="418"/>
      <c r="K689" s="403"/>
      <c r="L689" s="73"/>
      <c r="M689" s="72"/>
      <c r="N689" s="72"/>
      <c r="O689" s="72"/>
      <c r="P689" s="42"/>
      <c r="Q689" s="42"/>
      <c r="R689" s="42"/>
      <c r="S689" s="42"/>
      <c r="T689" s="42"/>
      <c r="U689" s="42"/>
      <c r="V689" s="416"/>
      <c r="W689" s="42"/>
      <c r="X689" s="74"/>
      <c r="Y689" s="74"/>
      <c r="Z689" s="74"/>
      <c r="AA689" s="74"/>
      <c r="AB689" s="74"/>
      <c r="AC689" s="42"/>
      <c r="AD689" s="42"/>
      <c r="AE689" s="42"/>
      <c r="AF689" s="42"/>
      <c r="AG689" s="42"/>
      <c r="AH689" s="42"/>
      <c r="AI689" s="75"/>
      <c r="AJ689" s="75"/>
      <c r="AK689" s="75"/>
      <c r="AL689" s="75"/>
      <c r="AM689" s="74"/>
      <c r="AN689" s="72" t="e">
        <f>VLOOKUP(H689,[4]Planilha1!A$13:P$314,16,0)</f>
        <v>#N/A</v>
      </c>
    </row>
    <row r="690" spans="1:40" s="69" customFormat="1" x14ac:dyDescent="0.25">
      <c r="A690" s="88"/>
      <c r="B690" s="88"/>
      <c r="C690" s="70"/>
      <c r="D690" s="70"/>
      <c r="E690" s="70"/>
      <c r="F690" s="70"/>
      <c r="G690" s="70"/>
      <c r="H690" s="422"/>
      <c r="I690" s="422"/>
      <c r="J690" s="418"/>
      <c r="K690" s="403"/>
      <c r="L690" s="73"/>
      <c r="M690" s="72"/>
      <c r="N690" s="72"/>
      <c r="O690" s="72"/>
      <c r="P690" s="42"/>
      <c r="Q690" s="42"/>
      <c r="R690" s="42"/>
      <c r="S690" s="42"/>
      <c r="T690" s="42"/>
      <c r="U690" s="42"/>
      <c r="V690" s="416"/>
      <c r="W690" s="42"/>
      <c r="X690" s="74"/>
      <c r="Y690" s="74"/>
      <c r="Z690" s="74"/>
      <c r="AA690" s="74"/>
      <c r="AB690" s="74"/>
      <c r="AC690" s="42"/>
      <c r="AD690" s="42"/>
      <c r="AE690" s="42"/>
      <c r="AF690" s="42"/>
      <c r="AG690" s="42"/>
      <c r="AH690" s="42"/>
      <c r="AI690" s="75"/>
      <c r="AJ690" s="75"/>
      <c r="AK690" s="75"/>
      <c r="AL690" s="75"/>
      <c r="AM690" s="74"/>
      <c r="AN690" s="72" t="e">
        <f>VLOOKUP(H690,[4]Planilha1!A$13:P$314,16,0)</f>
        <v>#N/A</v>
      </c>
    </row>
    <row r="691" spans="1:40" s="69" customFormat="1" x14ac:dyDescent="0.25">
      <c r="A691" s="88"/>
      <c r="B691" s="88"/>
      <c r="C691" s="70"/>
      <c r="D691" s="70"/>
      <c r="E691" s="70"/>
      <c r="F691" s="70"/>
      <c r="G691" s="70"/>
      <c r="H691" s="422"/>
      <c r="I691" s="422"/>
      <c r="J691" s="418"/>
      <c r="K691" s="403"/>
      <c r="L691" s="73"/>
      <c r="M691" s="72"/>
      <c r="N691" s="72"/>
      <c r="O691" s="72"/>
      <c r="P691" s="42"/>
      <c r="Q691" s="42"/>
      <c r="R691" s="42"/>
      <c r="S691" s="42"/>
      <c r="T691" s="42"/>
      <c r="U691" s="42"/>
      <c r="V691" s="416"/>
      <c r="W691" s="42"/>
      <c r="X691" s="74"/>
      <c r="Y691" s="74"/>
      <c r="Z691" s="74"/>
      <c r="AA691" s="74"/>
      <c r="AB691" s="74"/>
      <c r="AC691" s="42"/>
      <c r="AD691" s="42"/>
      <c r="AE691" s="42"/>
      <c r="AF691" s="42"/>
      <c r="AG691" s="42"/>
      <c r="AH691" s="42"/>
      <c r="AI691" s="75"/>
      <c r="AJ691" s="75"/>
      <c r="AK691" s="75"/>
      <c r="AL691" s="75"/>
      <c r="AM691" s="74"/>
      <c r="AN691" s="72" t="e">
        <f>VLOOKUP(H691,[4]Planilha1!A$13:P$314,16,0)</f>
        <v>#N/A</v>
      </c>
    </row>
    <row r="692" spans="1:40" s="69" customFormat="1" x14ac:dyDescent="0.25">
      <c r="A692" s="88"/>
      <c r="B692" s="88"/>
      <c r="C692" s="70"/>
      <c r="D692" s="70"/>
      <c r="E692" s="70"/>
      <c r="F692" s="70"/>
      <c r="G692" s="70"/>
      <c r="H692" s="422"/>
      <c r="I692" s="422"/>
      <c r="J692" s="418"/>
      <c r="K692" s="403"/>
      <c r="L692" s="73"/>
      <c r="M692" s="72"/>
      <c r="N692" s="72"/>
      <c r="O692" s="72"/>
      <c r="P692" s="42"/>
      <c r="Q692" s="42"/>
      <c r="R692" s="42"/>
      <c r="S692" s="42"/>
      <c r="T692" s="42"/>
      <c r="U692" s="42"/>
      <c r="V692" s="416"/>
      <c r="W692" s="42"/>
      <c r="X692" s="74"/>
      <c r="Y692" s="74"/>
      <c r="Z692" s="74"/>
      <c r="AA692" s="74"/>
      <c r="AB692" s="74"/>
      <c r="AC692" s="42"/>
      <c r="AD692" s="42"/>
      <c r="AE692" s="42"/>
      <c r="AF692" s="42"/>
      <c r="AG692" s="42"/>
      <c r="AH692" s="42"/>
      <c r="AI692" s="75"/>
      <c r="AJ692" s="75"/>
      <c r="AK692" s="75"/>
      <c r="AL692" s="75"/>
      <c r="AM692" s="74"/>
      <c r="AN692" s="72" t="e">
        <f>VLOOKUP(H692,[4]Planilha1!A$13:P$314,16,0)</f>
        <v>#N/A</v>
      </c>
    </row>
    <row r="693" spans="1:40" s="69" customFormat="1" x14ac:dyDescent="0.25">
      <c r="A693" s="88"/>
      <c r="B693" s="88"/>
      <c r="C693" s="70"/>
      <c r="D693" s="70"/>
      <c r="E693" s="70"/>
      <c r="F693" s="70"/>
      <c r="G693" s="70"/>
      <c r="H693" s="422"/>
      <c r="I693" s="422"/>
      <c r="J693" s="418"/>
      <c r="K693" s="403"/>
      <c r="L693" s="73"/>
      <c r="M693" s="72"/>
      <c r="N693" s="72"/>
      <c r="O693" s="72"/>
      <c r="P693" s="42"/>
      <c r="Q693" s="42"/>
      <c r="R693" s="42"/>
      <c r="S693" s="42"/>
      <c r="T693" s="42"/>
      <c r="U693" s="42"/>
      <c r="V693" s="416"/>
      <c r="W693" s="42"/>
      <c r="X693" s="74"/>
      <c r="Y693" s="74"/>
      <c r="Z693" s="74"/>
      <c r="AA693" s="74"/>
      <c r="AB693" s="74"/>
      <c r="AC693" s="42"/>
      <c r="AD693" s="42"/>
      <c r="AE693" s="42"/>
      <c r="AF693" s="42"/>
      <c r="AG693" s="42"/>
      <c r="AH693" s="42"/>
      <c r="AI693" s="75"/>
      <c r="AJ693" s="75"/>
      <c r="AK693" s="75"/>
      <c r="AL693" s="75"/>
      <c r="AM693" s="74"/>
      <c r="AN693" s="72" t="e">
        <f>VLOOKUP(H693,[4]Planilha1!A$13:P$314,16,0)</f>
        <v>#N/A</v>
      </c>
    </row>
    <row r="694" spans="1:40" s="69" customFormat="1" x14ac:dyDescent="0.25">
      <c r="A694" s="88"/>
      <c r="B694" s="88"/>
      <c r="C694" s="70"/>
      <c r="D694" s="70"/>
      <c r="E694" s="70"/>
      <c r="F694" s="70"/>
      <c r="G694" s="70"/>
      <c r="H694" s="422"/>
      <c r="I694" s="422"/>
      <c r="J694" s="418"/>
      <c r="K694" s="403"/>
      <c r="L694" s="73"/>
      <c r="M694" s="72"/>
      <c r="N694" s="72"/>
      <c r="O694" s="72"/>
      <c r="P694" s="42"/>
      <c r="Q694" s="42"/>
      <c r="R694" s="42"/>
      <c r="S694" s="42"/>
      <c r="T694" s="42"/>
      <c r="U694" s="42"/>
      <c r="V694" s="416"/>
      <c r="W694" s="42"/>
      <c r="X694" s="74"/>
      <c r="Y694" s="74"/>
      <c r="Z694" s="74"/>
      <c r="AA694" s="74"/>
      <c r="AB694" s="74"/>
      <c r="AC694" s="42"/>
      <c r="AD694" s="42"/>
      <c r="AE694" s="42"/>
      <c r="AF694" s="42"/>
      <c r="AG694" s="42"/>
      <c r="AH694" s="42"/>
      <c r="AI694" s="75"/>
      <c r="AJ694" s="75"/>
      <c r="AK694" s="75"/>
      <c r="AL694" s="75"/>
      <c r="AM694" s="74"/>
      <c r="AN694" s="72" t="e">
        <f>VLOOKUP(H694,[4]Planilha1!A$13:P$314,16,0)</f>
        <v>#N/A</v>
      </c>
    </row>
    <row r="695" spans="1:40" s="69" customFormat="1" x14ac:dyDescent="0.25">
      <c r="A695" s="88"/>
      <c r="B695" s="88"/>
      <c r="C695" s="70"/>
      <c r="D695" s="70"/>
      <c r="E695" s="70"/>
      <c r="F695" s="70"/>
      <c r="G695" s="70"/>
      <c r="H695" s="422"/>
      <c r="I695" s="422"/>
      <c r="J695" s="418"/>
      <c r="K695" s="403"/>
      <c r="L695" s="73"/>
      <c r="M695" s="72"/>
      <c r="N695" s="72"/>
      <c r="O695" s="72"/>
      <c r="P695" s="42"/>
      <c r="Q695" s="42"/>
      <c r="R695" s="42"/>
      <c r="S695" s="42"/>
      <c r="T695" s="42"/>
      <c r="U695" s="42"/>
      <c r="V695" s="416"/>
      <c r="W695" s="42"/>
      <c r="X695" s="74"/>
      <c r="Y695" s="74"/>
      <c r="Z695" s="74"/>
      <c r="AA695" s="74"/>
      <c r="AB695" s="74"/>
      <c r="AC695" s="42"/>
      <c r="AD695" s="42"/>
      <c r="AE695" s="42"/>
      <c r="AF695" s="42"/>
      <c r="AG695" s="42"/>
      <c r="AH695" s="42"/>
      <c r="AI695" s="75"/>
      <c r="AJ695" s="75"/>
      <c r="AK695" s="75"/>
      <c r="AL695" s="75"/>
      <c r="AM695" s="74"/>
      <c r="AN695" s="72" t="e">
        <f>VLOOKUP(H695,[4]Planilha1!A$13:P$314,16,0)</f>
        <v>#N/A</v>
      </c>
    </row>
    <row r="696" spans="1:40" s="69" customFormat="1" x14ac:dyDescent="0.25">
      <c r="A696" s="88"/>
      <c r="B696" s="88"/>
      <c r="C696" s="70"/>
      <c r="D696" s="70"/>
      <c r="E696" s="70"/>
      <c r="F696" s="70"/>
      <c r="G696" s="70"/>
      <c r="H696" s="422"/>
      <c r="I696" s="422"/>
      <c r="J696" s="418"/>
      <c r="K696" s="403"/>
      <c r="L696" s="73"/>
      <c r="M696" s="72"/>
      <c r="N696" s="72"/>
      <c r="O696" s="72"/>
      <c r="P696" s="42"/>
      <c r="Q696" s="42"/>
      <c r="R696" s="42"/>
      <c r="S696" s="42"/>
      <c r="T696" s="42"/>
      <c r="U696" s="42"/>
      <c r="V696" s="416"/>
      <c r="W696" s="42"/>
      <c r="X696" s="74"/>
      <c r="Y696" s="74"/>
      <c r="Z696" s="74"/>
      <c r="AA696" s="74"/>
      <c r="AB696" s="74"/>
      <c r="AC696" s="42"/>
      <c r="AD696" s="42"/>
      <c r="AE696" s="42"/>
      <c r="AF696" s="42"/>
      <c r="AG696" s="42"/>
      <c r="AH696" s="42"/>
      <c r="AI696" s="75"/>
      <c r="AJ696" s="75"/>
      <c r="AK696" s="75"/>
      <c r="AL696" s="75"/>
      <c r="AM696" s="74"/>
      <c r="AN696" s="72" t="e">
        <f>VLOOKUP(H696,[4]Planilha1!A$13:P$314,16,0)</f>
        <v>#N/A</v>
      </c>
    </row>
    <row r="697" spans="1:40" s="69" customFormat="1" x14ac:dyDescent="0.25">
      <c r="A697" s="88"/>
      <c r="B697" s="88"/>
      <c r="C697" s="70"/>
      <c r="D697" s="70"/>
      <c r="E697" s="70"/>
      <c r="F697" s="70"/>
      <c r="G697" s="70"/>
      <c r="H697" s="422"/>
      <c r="I697" s="422"/>
      <c r="J697" s="418"/>
      <c r="K697" s="403"/>
      <c r="L697" s="73"/>
      <c r="M697" s="72"/>
      <c r="N697" s="72"/>
      <c r="O697" s="72"/>
      <c r="P697" s="42"/>
      <c r="Q697" s="42"/>
      <c r="R697" s="42"/>
      <c r="S697" s="42"/>
      <c r="T697" s="42"/>
      <c r="U697" s="42"/>
      <c r="V697" s="416"/>
      <c r="W697" s="42"/>
      <c r="X697" s="74"/>
      <c r="Y697" s="74"/>
      <c r="Z697" s="74"/>
      <c r="AA697" s="74"/>
      <c r="AB697" s="74"/>
      <c r="AC697" s="42"/>
      <c r="AD697" s="42"/>
      <c r="AE697" s="42"/>
      <c r="AF697" s="42"/>
      <c r="AG697" s="42"/>
      <c r="AH697" s="42"/>
      <c r="AI697" s="75"/>
      <c r="AJ697" s="75"/>
      <c r="AK697" s="75"/>
      <c r="AL697" s="75"/>
      <c r="AM697" s="74"/>
      <c r="AN697" s="72" t="e">
        <f>VLOOKUP(H697,[4]Planilha1!A$13:P$314,16,0)</f>
        <v>#N/A</v>
      </c>
    </row>
    <row r="698" spans="1:40" s="69" customFormat="1" x14ac:dyDescent="0.25">
      <c r="A698" s="88"/>
      <c r="B698" s="88"/>
      <c r="C698" s="70"/>
      <c r="D698" s="70"/>
      <c r="E698" s="70"/>
      <c r="F698" s="70"/>
      <c r="G698" s="70"/>
      <c r="H698" s="422"/>
      <c r="I698" s="422"/>
      <c r="J698" s="418"/>
      <c r="K698" s="403"/>
      <c r="L698" s="73"/>
      <c r="M698" s="72"/>
      <c r="N698" s="72"/>
      <c r="O698" s="72"/>
      <c r="P698" s="42"/>
      <c r="Q698" s="42"/>
      <c r="R698" s="42"/>
      <c r="S698" s="42"/>
      <c r="T698" s="42"/>
      <c r="U698" s="42"/>
      <c r="V698" s="416"/>
      <c r="W698" s="42"/>
      <c r="X698" s="74"/>
      <c r="Y698" s="74"/>
      <c r="Z698" s="74"/>
      <c r="AA698" s="74"/>
      <c r="AB698" s="74"/>
      <c r="AC698" s="42"/>
      <c r="AD698" s="42"/>
      <c r="AE698" s="42"/>
      <c r="AF698" s="42"/>
      <c r="AG698" s="42"/>
      <c r="AH698" s="42"/>
      <c r="AI698" s="75"/>
      <c r="AJ698" s="75"/>
      <c r="AK698" s="75"/>
      <c r="AL698" s="75"/>
      <c r="AM698" s="74"/>
      <c r="AN698" s="72" t="e">
        <f>VLOOKUP(H698,[4]Planilha1!A$13:P$314,16,0)</f>
        <v>#N/A</v>
      </c>
    </row>
    <row r="699" spans="1:40" s="69" customFormat="1" x14ac:dyDescent="0.25">
      <c r="A699" s="88"/>
      <c r="B699" s="88"/>
      <c r="C699" s="70"/>
      <c r="D699" s="70"/>
      <c r="E699" s="70"/>
      <c r="F699" s="70"/>
      <c r="G699" s="70"/>
      <c r="H699" s="422"/>
      <c r="I699" s="422"/>
      <c r="J699" s="418"/>
      <c r="K699" s="403"/>
      <c r="L699" s="73"/>
      <c r="M699" s="72"/>
      <c r="N699" s="72"/>
      <c r="O699" s="72"/>
      <c r="P699" s="42"/>
      <c r="Q699" s="42"/>
      <c r="R699" s="42"/>
      <c r="S699" s="42"/>
      <c r="T699" s="42"/>
      <c r="U699" s="42"/>
      <c r="V699" s="416"/>
      <c r="W699" s="42"/>
      <c r="X699" s="74"/>
      <c r="Y699" s="74"/>
      <c r="Z699" s="74"/>
      <c r="AA699" s="74"/>
      <c r="AB699" s="74"/>
      <c r="AC699" s="42"/>
      <c r="AD699" s="42"/>
      <c r="AE699" s="42"/>
      <c r="AF699" s="42"/>
      <c r="AG699" s="42"/>
      <c r="AH699" s="42"/>
      <c r="AI699" s="75"/>
      <c r="AJ699" s="75"/>
      <c r="AK699" s="75"/>
      <c r="AL699" s="75"/>
      <c r="AM699" s="74"/>
      <c r="AN699" s="72" t="e">
        <f>VLOOKUP(H699,[4]Planilha1!A$13:P$314,16,0)</f>
        <v>#N/A</v>
      </c>
    </row>
    <row r="700" spans="1:40" s="69" customFormat="1" x14ac:dyDescent="0.25">
      <c r="A700" s="88"/>
      <c r="B700" s="88"/>
      <c r="C700" s="70"/>
      <c r="D700" s="70"/>
      <c r="E700" s="70"/>
      <c r="F700" s="70"/>
      <c r="G700" s="70"/>
      <c r="H700" s="422"/>
      <c r="I700" s="422"/>
      <c r="J700" s="418"/>
      <c r="K700" s="403"/>
      <c r="L700" s="73"/>
      <c r="M700" s="72"/>
      <c r="N700" s="72"/>
      <c r="O700" s="72"/>
      <c r="P700" s="42"/>
      <c r="Q700" s="42"/>
      <c r="R700" s="42"/>
      <c r="S700" s="42"/>
      <c r="T700" s="42"/>
      <c r="U700" s="42"/>
      <c r="V700" s="416"/>
      <c r="W700" s="42"/>
      <c r="X700" s="74"/>
      <c r="Y700" s="74"/>
      <c r="Z700" s="74"/>
      <c r="AA700" s="74"/>
      <c r="AB700" s="74"/>
      <c r="AC700" s="42"/>
      <c r="AD700" s="42"/>
      <c r="AE700" s="42"/>
      <c r="AF700" s="42"/>
      <c r="AG700" s="42"/>
      <c r="AH700" s="42"/>
      <c r="AI700" s="75"/>
      <c r="AJ700" s="75"/>
      <c r="AK700" s="75"/>
      <c r="AL700" s="75"/>
      <c r="AM700" s="74"/>
      <c r="AN700" s="72" t="e">
        <f>VLOOKUP(H700,[4]Planilha1!A$13:P$314,16,0)</f>
        <v>#N/A</v>
      </c>
    </row>
    <row r="701" spans="1:40" s="69" customFormat="1" x14ac:dyDescent="0.25">
      <c r="A701" s="88"/>
      <c r="B701" s="88"/>
      <c r="C701" s="70"/>
      <c r="D701" s="70"/>
      <c r="E701" s="70"/>
      <c r="F701" s="70"/>
      <c r="G701" s="70"/>
      <c r="H701" s="422"/>
      <c r="I701" s="422"/>
      <c r="J701" s="418"/>
      <c r="K701" s="403"/>
      <c r="L701" s="73"/>
      <c r="M701" s="72"/>
      <c r="N701" s="72"/>
      <c r="O701" s="72"/>
      <c r="P701" s="42"/>
      <c r="Q701" s="42"/>
      <c r="R701" s="42"/>
      <c r="S701" s="42"/>
      <c r="T701" s="42"/>
      <c r="U701" s="42"/>
      <c r="V701" s="416"/>
      <c r="W701" s="42"/>
      <c r="X701" s="74"/>
      <c r="Y701" s="74"/>
      <c r="Z701" s="74"/>
      <c r="AA701" s="74"/>
      <c r="AB701" s="74"/>
      <c r="AC701" s="42"/>
      <c r="AD701" s="42"/>
      <c r="AE701" s="42"/>
      <c r="AF701" s="42"/>
      <c r="AG701" s="42"/>
      <c r="AH701" s="42"/>
      <c r="AI701" s="75"/>
      <c r="AJ701" s="75"/>
      <c r="AK701" s="75"/>
      <c r="AL701" s="75"/>
      <c r="AM701" s="74"/>
      <c r="AN701" s="72" t="e">
        <f>VLOOKUP(H701,[4]Planilha1!A$13:P$314,16,0)</f>
        <v>#N/A</v>
      </c>
    </row>
    <row r="702" spans="1:40" s="69" customFormat="1" x14ac:dyDescent="0.25">
      <c r="A702" s="88"/>
      <c r="B702" s="88"/>
      <c r="C702" s="70"/>
      <c r="D702" s="70"/>
      <c r="E702" s="70"/>
      <c r="F702" s="70"/>
      <c r="G702" s="70"/>
      <c r="H702" s="422"/>
      <c r="I702" s="422"/>
      <c r="J702" s="418"/>
      <c r="K702" s="403"/>
      <c r="L702" s="73"/>
      <c r="M702" s="72"/>
      <c r="N702" s="72"/>
      <c r="O702" s="72"/>
      <c r="P702" s="42"/>
      <c r="Q702" s="42"/>
      <c r="R702" s="42"/>
      <c r="S702" s="42"/>
      <c r="T702" s="42"/>
      <c r="U702" s="42"/>
      <c r="V702" s="416"/>
      <c r="W702" s="42"/>
      <c r="X702" s="74"/>
      <c r="Y702" s="74"/>
      <c r="Z702" s="74"/>
      <c r="AA702" s="74"/>
      <c r="AB702" s="74"/>
      <c r="AC702" s="42"/>
      <c r="AD702" s="42"/>
      <c r="AE702" s="42"/>
      <c r="AF702" s="42"/>
      <c r="AG702" s="42"/>
      <c r="AH702" s="42"/>
      <c r="AI702" s="75"/>
      <c r="AJ702" s="75"/>
      <c r="AK702" s="75"/>
      <c r="AL702" s="75"/>
      <c r="AM702" s="74"/>
      <c r="AN702" s="72" t="e">
        <f>VLOOKUP(H702,[4]Planilha1!A$13:P$314,16,0)</f>
        <v>#N/A</v>
      </c>
    </row>
    <row r="703" spans="1:40" s="69" customFormat="1" x14ac:dyDescent="0.25">
      <c r="A703" s="88"/>
      <c r="B703" s="88"/>
      <c r="C703" s="70"/>
      <c r="D703" s="70"/>
      <c r="E703" s="70"/>
      <c r="F703" s="70"/>
      <c r="G703" s="70"/>
      <c r="H703" s="422"/>
      <c r="I703" s="422"/>
      <c r="J703" s="418"/>
      <c r="K703" s="403"/>
      <c r="L703" s="73"/>
      <c r="M703" s="72"/>
      <c r="N703" s="72"/>
      <c r="O703" s="72"/>
      <c r="P703" s="42"/>
      <c r="Q703" s="42"/>
      <c r="R703" s="42"/>
      <c r="S703" s="42"/>
      <c r="T703" s="42"/>
      <c r="U703" s="42"/>
      <c r="V703" s="416"/>
      <c r="W703" s="42"/>
      <c r="X703" s="74"/>
      <c r="Y703" s="74"/>
      <c r="Z703" s="74"/>
      <c r="AA703" s="74"/>
      <c r="AB703" s="74"/>
      <c r="AC703" s="42"/>
      <c r="AD703" s="42"/>
      <c r="AE703" s="42"/>
      <c r="AF703" s="42"/>
      <c r="AG703" s="42"/>
      <c r="AH703" s="42"/>
      <c r="AI703" s="75"/>
      <c r="AJ703" s="75"/>
      <c r="AK703" s="75"/>
      <c r="AL703" s="75"/>
      <c r="AM703" s="74"/>
      <c r="AN703" s="72" t="e">
        <f>VLOOKUP(H703,[4]Planilha1!A$13:P$314,16,0)</f>
        <v>#N/A</v>
      </c>
    </row>
    <row r="704" spans="1:40" s="69" customFormat="1" x14ac:dyDescent="0.25">
      <c r="A704" s="88"/>
      <c r="B704" s="88"/>
      <c r="C704" s="70"/>
      <c r="D704" s="70"/>
      <c r="E704" s="70"/>
      <c r="F704" s="70"/>
      <c r="G704" s="70"/>
      <c r="H704" s="422"/>
      <c r="I704" s="422"/>
      <c r="J704" s="418"/>
      <c r="K704" s="403"/>
      <c r="L704" s="73"/>
      <c r="M704" s="72"/>
      <c r="N704" s="72"/>
      <c r="O704" s="72"/>
      <c r="P704" s="42"/>
      <c r="Q704" s="42"/>
      <c r="R704" s="42"/>
      <c r="S704" s="42"/>
      <c r="T704" s="42"/>
      <c r="U704" s="42"/>
      <c r="V704" s="416"/>
      <c r="W704" s="42"/>
      <c r="X704" s="74"/>
      <c r="Y704" s="74"/>
      <c r="Z704" s="74"/>
      <c r="AA704" s="74"/>
      <c r="AB704" s="74"/>
      <c r="AC704" s="42"/>
      <c r="AD704" s="42"/>
      <c r="AE704" s="42"/>
      <c r="AF704" s="42"/>
      <c r="AG704" s="42"/>
      <c r="AH704" s="42"/>
      <c r="AI704" s="75"/>
      <c r="AJ704" s="75"/>
      <c r="AK704" s="75"/>
      <c r="AL704" s="75"/>
      <c r="AM704" s="74"/>
      <c r="AN704" s="72" t="e">
        <f>VLOOKUP(H704,[4]Planilha1!A$13:P$314,16,0)</f>
        <v>#N/A</v>
      </c>
    </row>
    <row r="705" spans="1:40" s="69" customFormat="1" x14ac:dyDescent="0.25">
      <c r="A705" s="88"/>
      <c r="B705" s="88"/>
      <c r="C705" s="70"/>
      <c r="D705" s="70"/>
      <c r="E705" s="70"/>
      <c r="F705" s="70"/>
      <c r="G705" s="70"/>
      <c r="H705" s="422"/>
      <c r="I705" s="422"/>
      <c r="J705" s="418"/>
      <c r="K705" s="403"/>
      <c r="L705" s="73"/>
      <c r="M705" s="72"/>
      <c r="N705" s="72"/>
      <c r="O705" s="72"/>
      <c r="P705" s="42"/>
      <c r="Q705" s="42"/>
      <c r="R705" s="42"/>
      <c r="S705" s="42"/>
      <c r="T705" s="42"/>
      <c r="U705" s="42"/>
      <c r="V705" s="416"/>
      <c r="W705" s="42"/>
      <c r="X705" s="74"/>
      <c r="Y705" s="74"/>
      <c r="Z705" s="74"/>
      <c r="AA705" s="74"/>
      <c r="AB705" s="74"/>
      <c r="AC705" s="42"/>
      <c r="AD705" s="42"/>
      <c r="AE705" s="42"/>
      <c r="AF705" s="42"/>
      <c r="AG705" s="42"/>
      <c r="AH705" s="42"/>
      <c r="AI705" s="75"/>
      <c r="AJ705" s="75"/>
      <c r="AK705" s="75"/>
      <c r="AL705" s="75"/>
      <c r="AM705" s="74"/>
      <c r="AN705" s="72" t="e">
        <f>VLOOKUP(H705,[4]Planilha1!A$13:P$314,16,0)</f>
        <v>#N/A</v>
      </c>
    </row>
    <row r="706" spans="1:40" s="69" customFormat="1" x14ac:dyDescent="0.25">
      <c r="A706" s="88"/>
      <c r="B706" s="88"/>
      <c r="C706" s="70"/>
      <c r="D706" s="70"/>
      <c r="E706" s="70"/>
      <c r="F706" s="70"/>
      <c r="G706" s="70"/>
      <c r="H706" s="422"/>
      <c r="I706" s="422"/>
      <c r="J706" s="418"/>
      <c r="K706" s="403"/>
      <c r="L706" s="73"/>
      <c r="M706" s="72"/>
      <c r="N706" s="72"/>
      <c r="O706" s="72"/>
      <c r="P706" s="42"/>
      <c r="Q706" s="42"/>
      <c r="R706" s="42"/>
      <c r="S706" s="42"/>
      <c r="T706" s="42"/>
      <c r="U706" s="42"/>
      <c r="V706" s="416"/>
      <c r="W706" s="42"/>
      <c r="X706" s="74"/>
      <c r="Y706" s="74"/>
      <c r="Z706" s="74"/>
      <c r="AA706" s="74"/>
      <c r="AB706" s="74"/>
      <c r="AC706" s="42"/>
      <c r="AD706" s="42"/>
      <c r="AE706" s="42"/>
      <c r="AF706" s="42"/>
      <c r="AG706" s="42"/>
      <c r="AH706" s="42"/>
      <c r="AI706" s="75"/>
      <c r="AJ706" s="75"/>
      <c r="AK706" s="75"/>
      <c r="AL706" s="75"/>
      <c r="AM706" s="74"/>
      <c r="AN706" s="72" t="e">
        <f>VLOOKUP(H706,[4]Planilha1!A$13:P$314,16,0)</f>
        <v>#N/A</v>
      </c>
    </row>
    <row r="707" spans="1:40" s="69" customFormat="1" x14ac:dyDescent="0.25">
      <c r="A707" s="88"/>
      <c r="B707" s="88"/>
      <c r="C707" s="70"/>
      <c r="D707" s="70"/>
      <c r="E707" s="70"/>
      <c r="F707" s="70"/>
      <c r="G707" s="70"/>
      <c r="H707" s="422"/>
      <c r="I707" s="422"/>
      <c r="J707" s="418"/>
      <c r="K707" s="403"/>
      <c r="L707" s="73"/>
      <c r="M707" s="72"/>
      <c r="N707" s="72"/>
      <c r="O707" s="72"/>
      <c r="P707" s="42"/>
      <c r="Q707" s="42"/>
      <c r="R707" s="42"/>
      <c r="S707" s="42"/>
      <c r="T707" s="42"/>
      <c r="U707" s="42"/>
      <c r="V707" s="416"/>
      <c r="W707" s="42"/>
      <c r="X707" s="74"/>
      <c r="Y707" s="74"/>
      <c r="Z707" s="74"/>
      <c r="AA707" s="74"/>
      <c r="AB707" s="74"/>
      <c r="AC707" s="42"/>
      <c r="AD707" s="42"/>
      <c r="AE707" s="42"/>
      <c r="AF707" s="42"/>
      <c r="AG707" s="42"/>
      <c r="AH707" s="42"/>
      <c r="AI707" s="75"/>
      <c r="AJ707" s="75"/>
      <c r="AK707" s="75"/>
      <c r="AL707" s="75"/>
      <c r="AM707" s="74"/>
      <c r="AN707" s="72" t="e">
        <f>VLOOKUP(H707,[4]Planilha1!A$13:P$314,16,0)</f>
        <v>#N/A</v>
      </c>
    </row>
    <row r="708" spans="1:40" s="69" customFormat="1" x14ac:dyDescent="0.25">
      <c r="A708" s="88"/>
      <c r="B708" s="88"/>
      <c r="C708" s="70"/>
      <c r="D708" s="70"/>
      <c r="E708" s="70"/>
      <c r="F708" s="70"/>
      <c r="G708" s="70"/>
      <c r="H708" s="422"/>
      <c r="I708" s="422"/>
      <c r="J708" s="418"/>
      <c r="K708" s="403"/>
      <c r="L708" s="73"/>
      <c r="M708" s="72"/>
      <c r="N708" s="72"/>
      <c r="O708" s="72"/>
      <c r="P708" s="42"/>
      <c r="Q708" s="42"/>
      <c r="R708" s="42"/>
      <c r="S708" s="42"/>
      <c r="T708" s="42"/>
      <c r="U708" s="42"/>
      <c r="V708" s="416"/>
      <c r="W708" s="42"/>
      <c r="X708" s="74"/>
      <c r="Y708" s="74"/>
      <c r="Z708" s="74"/>
      <c r="AA708" s="74"/>
      <c r="AB708" s="74"/>
      <c r="AC708" s="42"/>
      <c r="AD708" s="42"/>
      <c r="AE708" s="42"/>
      <c r="AF708" s="42"/>
      <c r="AG708" s="42"/>
      <c r="AH708" s="42"/>
      <c r="AI708" s="75"/>
      <c r="AJ708" s="75"/>
      <c r="AK708" s="75"/>
      <c r="AL708" s="75"/>
      <c r="AM708" s="74"/>
      <c r="AN708" s="72" t="e">
        <f>VLOOKUP(H708,[4]Planilha1!A$13:P$314,16,0)</f>
        <v>#N/A</v>
      </c>
    </row>
    <row r="709" spans="1:40" s="69" customFormat="1" x14ac:dyDescent="0.25">
      <c r="A709" s="88"/>
      <c r="B709" s="88"/>
      <c r="C709" s="70"/>
      <c r="D709" s="70"/>
      <c r="E709" s="70"/>
      <c r="F709" s="70"/>
      <c r="G709" s="70"/>
      <c r="H709" s="422"/>
      <c r="I709" s="422"/>
      <c r="J709" s="418"/>
      <c r="K709" s="403"/>
      <c r="L709" s="73"/>
      <c r="M709" s="72"/>
      <c r="N709" s="72"/>
      <c r="O709" s="72"/>
      <c r="P709" s="42"/>
      <c r="Q709" s="42"/>
      <c r="R709" s="42"/>
      <c r="S709" s="42"/>
      <c r="T709" s="42"/>
      <c r="U709" s="42"/>
      <c r="V709" s="416"/>
      <c r="W709" s="42"/>
      <c r="X709" s="74"/>
      <c r="Y709" s="74"/>
      <c r="Z709" s="74"/>
      <c r="AA709" s="74"/>
      <c r="AB709" s="74"/>
      <c r="AC709" s="42"/>
      <c r="AD709" s="42"/>
      <c r="AE709" s="42"/>
      <c r="AF709" s="42"/>
      <c r="AG709" s="42"/>
      <c r="AH709" s="42"/>
      <c r="AI709" s="75"/>
      <c r="AJ709" s="75"/>
      <c r="AK709" s="75"/>
      <c r="AL709" s="75"/>
      <c r="AM709" s="74"/>
      <c r="AN709" s="72" t="e">
        <f>VLOOKUP(H709,[4]Planilha1!A$13:P$314,16,0)</f>
        <v>#N/A</v>
      </c>
    </row>
    <row r="710" spans="1:40" s="69" customFormat="1" x14ac:dyDescent="0.25">
      <c r="A710" s="88"/>
      <c r="B710" s="88"/>
      <c r="C710" s="70"/>
      <c r="D710" s="70"/>
      <c r="E710" s="70"/>
      <c r="F710" s="70"/>
      <c r="G710" s="70"/>
      <c r="H710" s="422"/>
      <c r="I710" s="422"/>
      <c r="J710" s="418"/>
      <c r="K710" s="403"/>
      <c r="L710" s="73"/>
      <c r="M710" s="72"/>
      <c r="N710" s="72"/>
      <c r="O710" s="72"/>
      <c r="P710" s="42"/>
      <c r="Q710" s="42"/>
      <c r="R710" s="42"/>
      <c r="S710" s="42"/>
      <c r="T710" s="42"/>
      <c r="U710" s="42"/>
      <c r="V710" s="416"/>
      <c r="W710" s="42"/>
      <c r="X710" s="74"/>
      <c r="Y710" s="74"/>
      <c r="Z710" s="74"/>
      <c r="AA710" s="74"/>
      <c r="AB710" s="74"/>
      <c r="AC710" s="42"/>
      <c r="AD710" s="42"/>
      <c r="AE710" s="42"/>
      <c r="AF710" s="42"/>
      <c r="AG710" s="42"/>
      <c r="AH710" s="42"/>
      <c r="AI710" s="75"/>
      <c r="AJ710" s="75"/>
      <c r="AK710" s="75"/>
      <c r="AL710" s="75"/>
      <c r="AM710" s="74"/>
      <c r="AN710" s="72" t="e">
        <f>VLOOKUP(H710,[4]Planilha1!A$13:P$314,16,0)</f>
        <v>#N/A</v>
      </c>
    </row>
    <row r="711" spans="1:40" s="69" customFormat="1" x14ac:dyDescent="0.25">
      <c r="A711" s="88"/>
      <c r="B711" s="88"/>
      <c r="C711" s="70"/>
      <c r="D711" s="70"/>
      <c r="E711" s="70"/>
      <c r="F711" s="70"/>
      <c r="G711" s="70"/>
      <c r="H711" s="422"/>
      <c r="I711" s="422"/>
      <c r="J711" s="418"/>
      <c r="K711" s="403"/>
      <c r="L711" s="73"/>
      <c r="M711" s="72"/>
      <c r="N711" s="72"/>
      <c r="O711" s="72"/>
      <c r="P711" s="42"/>
      <c r="Q711" s="42"/>
      <c r="R711" s="42"/>
      <c r="S711" s="42"/>
      <c r="T711" s="42"/>
      <c r="U711" s="42"/>
      <c r="V711" s="416"/>
      <c r="W711" s="42"/>
      <c r="X711" s="74"/>
      <c r="Y711" s="74"/>
      <c r="Z711" s="74"/>
      <c r="AA711" s="74"/>
      <c r="AB711" s="74"/>
      <c r="AC711" s="42"/>
      <c r="AD711" s="42"/>
      <c r="AE711" s="42"/>
      <c r="AF711" s="42"/>
      <c r="AG711" s="42"/>
      <c r="AH711" s="42"/>
      <c r="AI711" s="75"/>
      <c r="AJ711" s="75"/>
      <c r="AK711" s="75"/>
      <c r="AL711" s="75"/>
      <c r="AM711" s="74"/>
      <c r="AN711" s="72" t="e">
        <f>VLOOKUP(H711,[4]Planilha1!A$13:P$314,16,0)</f>
        <v>#N/A</v>
      </c>
    </row>
    <row r="712" spans="1:40" s="69" customFormat="1" x14ac:dyDescent="0.25">
      <c r="A712" s="88"/>
      <c r="B712" s="88"/>
      <c r="C712" s="70"/>
      <c r="D712" s="70"/>
      <c r="E712" s="70"/>
      <c r="F712" s="70"/>
      <c r="G712" s="70"/>
      <c r="H712" s="422"/>
      <c r="I712" s="422"/>
      <c r="J712" s="418"/>
      <c r="K712" s="403"/>
      <c r="L712" s="73"/>
      <c r="M712" s="72"/>
      <c r="N712" s="72"/>
      <c r="O712" s="72"/>
      <c r="P712" s="42"/>
      <c r="Q712" s="42"/>
      <c r="R712" s="42"/>
      <c r="S712" s="42"/>
      <c r="T712" s="42"/>
      <c r="U712" s="42"/>
      <c r="V712" s="416"/>
      <c r="W712" s="42"/>
      <c r="X712" s="74"/>
      <c r="Y712" s="74"/>
      <c r="Z712" s="74"/>
      <c r="AA712" s="74"/>
      <c r="AB712" s="74"/>
      <c r="AC712" s="42"/>
      <c r="AD712" s="42"/>
      <c r="AE712" s="42"/>
      <c r="AF712" s="42"/>
      <c r="AG712" s="42"/>
      <c r="AH712" s="42"/>
      <c r="AI712" s="75"/>
      <c r="AJ712" s="75"/>
      <c r="AK712" s="75"/>
      <c r="AL712" s="75"/>
      <c r="AM712" s="74"/>
      <c r="AN712" s="72" t="e">
        <f>VLOOKUP(H712,[4]Planilha1!A$13:P$314,16,0)</f>
        <v>#N/A</v>
      </c>
    </row>
    <row r="713" spans="1:40" s="69" customFormat="1" x14ac:dyDescent="0.25">
      <c r="A713" s="88"/>
      <c r="B713" s="88"/>
      <c r="C713" s="70"/>
      <c r="D713" s="70"/>
      <c r="E713" s="70"/>
      <c r="F713" s="70"/>
      <c r="G713" s="70"/>
      <c r="H713" s="422"/>
      <c r="I713" s="422"/>
      <c r="J713" s="418"/>
      <c r="K713" s="403"/>
      <c r="L713" s="73"/>
      <c r="M713" s="72"/>
      <c r="N713" s="72"/>
      <c r="O713" s="72"/>
      <c r="P713" s="42"/>
      <c r="Q713" s="42"/>
      <c r="R713" s="42"/>
      <c r="S713" s="42"/>
      <c r="T713" s="42"/>
      <c r="U713" s="42"/>
      <c r="V713" s="416"/>
      <c r="W713" s="42"/>
      <c r="X713" s="74"/>
      <c r="Y713" s="74"/>
      <c r="Z713" s="74"/>
      <c r="AA713" s="74"/>
      <c r="AB713" s="74"/>
      <c r="AC713" s="42"/>
      <c r="AD713" s="42"/>
      <c r="AE713" s="42"/>
      <c r="AF713" s="42"/>
      <c r="AG713" s="42"/>
      <c r="AH713" s="42"/>
      <c r="AI713" s="75"/>
      <c r="AJ713" s="75"/>
      <c r="AK713" s="75"/>
      <c r="AL713" s="75"/>
      <c r="AM713" s="74"/>
      <c r="AN713" s="72" t="e">
        <f>VLOOKUP(H713,[4]Planilha1!A$13:P$314,16,0)</f>
        <v>#N/A</v>
      </c>
    </row>
    <row r="714" spans="1:40" s="69" customFormat="1" x14ac:dyDescent="0.25">
      <c r="A714" s="88"/>
      <c r="B714" s="88"/>
      <c r="C714" s="70"/>
      <c r="D714" s="70"/>
      <c r="E714" s="70"/>
      <c r="F714" s="70"/>
      <c r="G714" s="70"/>
      <c r="H714" s="422"/>
      <c r="I714" s="422"/>
      <c r="J714" s="418"/>
      <c r="K714" s="403"/>
      <c r="L714" s="73"/>
      <c r="M714" s="72"/>
      <c r="N714" s="72"/>
      <c r="O714" s="72"/>
      <c r="P714" s="42"/>
      <c r="Q714" s="42"/>
      <c r="R714" s="42"/>
      <c r="S714" s="42"/>
      <c r="T714" s="42"/>
      <c r="U714" s="42"/>
      <c r="V714" s="416"/>
      <c r="W714" s="42"/>
      <c r="X714" s="74"/>
      <c r="Y714" s="74"/>
      <c r="Z714" s="74"/>
      <c r="AA714" s="74"/>
      <c r="AB714" s="74"/>
      <c r="AC714" s="42"/>
      <c r="AD714" s="42"/>
      <c r="AE714" s="42"/>
      <c r="AF714" s="42"/>
      <c r="AG714" s="42"/>
      <c r="AH714" s="42"/>
      <c r="AI714" s="75"/>
      <c r="AJ714" s="75"/>
      <c r="AK714" s="75"/>
      <c r="AL714" s="75"/>
      <c r="AM714" s="74"/>
      <c r="AN714" s="72" t="e">
        <f>VLOOKUP(H714,[4]Planilha1!A$13:P$314,16,0)</f>
        <v>#N/A</v>
      </c>
    </row>
    <row r="715" spans="1:40" s="69" customFormat="1" x14ac:dyDescent="0.25">
      <c r="A715" s="88"/>
      <c r="B715" s="88"/>
      <c r="C715" s="70"/>
      <c r="D715" s="70"/>
      <c r="E715" s="70"/>
      <c r="F715" s="70"/>
      <c r="G715" s="70"/>
      <c r="H715" s="422"/>
      <c r="I715" s="422"/>
      <c r="J715" s="418"/>
      <c r="K715" s="403"/>
      <c r="L715" s="73"/>
      <c r="M715" s="72"/>
      <c r="N715" s="72"/>
      <c r="O715" s="72"/>
      <c r="P715" s="42"/>
      <c r="Q715" s="42"/>
      <c r="R715" s="42"/>
      <c r="S715" s="42"/>
      <c r="T715" s="42"/>
      <c r="U715" s="42"/>
      <c r="V715" s="416"/>
      <c r="W715" s="42"/>
      <c r="X715" s="74"/>
      <c r="Y715" s="74"/>
      <c r="Z715" s="74"/>
      <c r="AA715" s="74"/>
      <c r="AB715" s="74"/>
      <c r="AC715" s="42"/>
      <c r="AD715" s="42"/>
      <c r="AE715" s="42"/>
      <c r="AF715" s="42"/>
      <c r="AG715" s="42"/>
      <c r="AH715" s="42"/>
      <c r="AI715" s="75"/>
      <c r="AJ715" s="75"/>
      <c r="AK715" s="75"/>
      <c r="AL715" s="75"/>
      <c r="AM715" s="74"/>
      <c r="AN715" s="72" t="e">
        <f>VLOOKUP(H715,[4]Planilha1!A$13:P$314,16,0)</f>
        <v>#N/A</v>
      </c>
    </row>
    <row r="716" spans="1:40" s="69" customFormat="1" x14ac:dyDescent="0.25">
      <c r="A716" s="88"/>
      <c r="B716" s="88"/>
      <c r="C716" s="70"/>
      <c r="D716" s="70"/>
      <c r="E716" s="70"/>
      <c r="F716" s="70"/>
      <c r="G716" s="70"/>
      <c r="H716" s="422"/>
      <c r="I716" s="422"/>
      <c r="J716" s="418"/>
      <c r="K716" s="403"/>
      <c r="L716" s="73"/>
      <c r="M716" s="72"/>
      <c r="N716" s="72"/>
      <c r="O716" s="72"/>
      <c r="P716" s="42"/>
      <c r="Q716" s="42"/>
      <c r="R716" s="42"/>
      <c r="S716" s="42"/>
      <c r="T716" s="42"/>
      <c r="U716" s="42"/>
      <c r="V716" s="416"/>
      <c r="W716" s="42"/>
      <c r="X716" s="74"/>
      <c r="Y716" s="74"/>
      <c r="Z716" s="74"/>
      <c r="AA716" s="74"/>
      <c r="AB716" s="74"/>
      <c r="AC716" s="42"/>
      <c r="AD716" s="42"/>
      <c r="AE716" s="42"/>
      <c r="AF716" s="42"/>
      <c r="AG716" s="42"/>
      <c r="AH716" s="42"/>
      <c r="AI716" s="75"/>
      <c r="AJ716" s="75"/>
      <c r="AK716" s="75"/>
      <c r="AL716" s="75"/>
      <c r="AM716" s="74"/>
      <c r="AN716" s="72" t="e">
        <f>VLOOKUP(H716,[4]Planilha1!A$13:P$314,16,0)</f>
        <v>#N/A</v>
      </c>
    </row>
    <row r="717" spans="1:40" s="69" customFormat="1" x14ac:dyDescent="0.25">
      <c r="A717" s="88"/>
      <c r="B717" s="88"/>
      <c r="C717" s="70"/>
      <c r="D717" s="70"/>
      <c r="E717" s="70"/>
      <c r="F717" s="70"/>
      <c r="G717" s="70"/>
      <c r="H717" s="422"/>
      <c r="I717" s="422"/>
      <c r="J717" s="418"/>
      <c r="K717" s="403"/>
      <c r="L717" s="73"/>
      <c r="M717" s="72"/>
      <c r="N717" s="72"/>
      <c r="O717" s="72"/>
      <c r="P717" s="42"/>
      <c r="Q717" s="42"/>
      <c r="R717" s="42"/>
      <c r="S717" s="42"/>
      <c r="T717" s="42"/>
      <c r="U717" s="42"/>
      <c r="V717" s="416"/>
      <c r="W717" s="42"/>
      <c r="X717" s="74"/>
      <c r="Y717" s="74"/>
      <c r="Z717" s="74"/>
      <c r="AA717" s="74"/>
      <c r="AB717" s="74"/>
      <c r="AC717" s="42"/>
      <c r="AD717" s="42"/>
      <c r="AE717" s="42"/>
      <c r="AF717" s="42"/>
      <c r="AG717" s="42"/>
      <c r="AH717" s="42"/>
      <c r="AI717" s="75"/>
      <c r="AJ717" s="75"/>
      <c r="AK717" s="75"/>
      <c r="AL717" s="75"/>
      <c r="AM717" s="74"/>
      <c r="AN717" s="72" t="e">
        <f>VLOOKUP(H717,[4]Planilha1!A$13:P$314,16,0)</f>
        <v>#N/A</v>
      </c>
    </row>
    <row r="718" spans="1:40" s="69" customFormat="1" x14ac:dyDescent="0.25">
      <c r="A718" s="88"/>
      <c r="B718" s="88"/>
      <c r="C718" s="70"/>
      <c r="D718" s="70"/>
      <c r="E718" s="70"/>
      <c r="F718" s="70"/>
      <c r="G718" s="70"/>
      <c r="H718" s="422"/>
      <c r="I718" s="422"/>
      <c r="J718" s="418"/>
      <c r="K718" s="403"/>
      <c r="L718" s="73"/>
      <c r="M718" s="72"/>
      <c r="N718" s="72"/>
      <c r="O718" s="72"/>
      <c r="P718" s="42"/>
      <c r="Q718" s="42"/>
      <c r="R718" s="42"/>
      <c r="S718" s="42"/>
      <c r="T718" s="42"/>
      <c r="U718" s="42"/>
      <c r="V718" s="416"/>
      <c r="W718" s="42"/>
      <c r="X718" s="74"/>
      <c r="Y718" s="74"/>
      <c r="Z718" s="74"/>
      <c r="AA718" s="74"/>
      <c r="AB718" s="74"/>
      <c r="AC718" s="42"/>
      <c r="AD718" s="42"/>
      <c r="AE718" s="42"/>
      <c r="AF718" s="42"/>
      <c r="AG718" s="42"/>
      <c r="AH718" s="42"/>
      <c r="AI718" s="75"/>
      <c r="AJ718" s="75"/>
      <c r="AK718" s="75"/>
      <c r="AL718" s="75"/>
      <c r="AM718" s="74"/>
      <c r="AN718" s="72" t="e">
        <f>VLOOKUP(H718,[4]Planilha1!A$13:P$314,16,0)</f>
        <v>#N/A</v>
      </c>
    </row>
    <row r="719" spans="1:40" s="69" customFormat="1" x14ac:dyDescent="0.25">
      <c r="A719" s="88"/>
      <c r="B719" s="88"/>
      <c r="C719" s="70"/>
      <c r="D719" s="70"/>
      <c r="E719" s="70"/>
      <c r="F719" s="70"/>
      <c r="G719" s="70"/>
      <c r="H719" s="422"/>
      <c r="I719" s="422"/>
      <c r="J719" s="418"/>
      <c r="K719" s="403"/>
      <c r="L719" s="73"/>
      <c r="M719" s="72"/>
      <c r="N719" s="72"/>
      <c r="O719" s="72"/>
      <c r="P719" s="42"/>
      <c r="Q719" s="42"/>
      <c r="R719" s="42"/>
      <c r="S719" s="42"/>
      <c r="T719" s="42"/>
      <c r="U719" s="42"/>
      <c r="V719" s="416"/>
      <c r="W719" s="42"/>
      <c r="X719" s="74"/>
      <c r="Y719" s="74"/>
      <c r="Z719" s="74"/>
      <c r="AA719" s="74"/>
      <c r="AB719" s="74"/>
      <c r="AC719" s="42"/>
      <c r="AD719" s="42"/>
      <c r="AE719" s="42"/>
      <c r="AF719" s="42"/>
      <c r="AG719" s="42"/>
      <c r="AH719" s="42"/>
      <c r="AI719" s="75"/>
      <c r="AJ719" s="75"/>
      <c r="AK719" s="75"/>
      <c r="AL719" s="75"/>
      <c r="AM719" s="74"/>
      <c r="AN719" s="72" t="e">
        <f>VLOOKUP(H719,[4]Planilha1!A$13:P$314,16,0)</f>
        <v>#N/A</v>
      </c>
    </row>
    <row r="720" spans="1:40" s="69" customFormat="1" x14ac:dyDescent="0.25">
      <c r="A720" s="88"/>
      <c r="B720" s="88"/>
      <c r="C720" s="70"/>
      <c r="D720" s="70"/>
      <c r="E720" s="70"/>
      <c r="F720" s="70"/>
      <c r="G720" s="70"/>
      <c r="H720" s="422"/>
      <c r="I720" s="422"/>
      <c r="J720" s="418"/>
      <c r="K720" s="403"/>
      <c r="L720" s="73"/>
      <c r="M720" s="72"/>
      <c r="N720" s="72"/>
      <c r="O720" s="72"/>
      <c r="P720" s="42"/>
      <c r="Q720" s="42"/>
      <c r="R720" s="42"/>
      <c r="S720" s="42"/>
      <c r="T720" s="42"/>
      <c r="U720" s="42"/>
      <c r="V720" s="416"/>
      <c r="W720" s="42"/>
      <c r="X720" s="74"/>
      <c r="Y720" s="74"/>
      <c r="Z720" s="74"/>
      <c r="AA720" s="74"/>
      <c r="AB720" s="74"/>
      <c r="AC720" s="42"/>
      <c r="AD720" s="42"/>
      <c r="AE720" s="42"/>
      <c r="AF720" s="42"/>
      <c r="AG720" s="42"/>
      <c r="AH720" s="42"/>
      <c r="AI720" s="75"/>
      <c r="AJ720" s="75"/>
      <c r="AK720" s="75"/>
      <c r="AL720" s="75"/>
      <c r="AM720" s="74"/>
      <c r="AN720" s="72" t="e">
        <f>VLOOKUP(H720,[4]Planilha1!A$13:P$314,16,0)</f>
        <v>#N/A</v>
      </c>
    </row>
    <row r="721" spans="1:40" s="69" customFormat="1" x14ac:dyDescent="0.25">
      <c r="A721" s="88"/>
      <c r="B721" s="88"/>
      <c r="C721" s="70"/>
      <c r="D721" s="70"/>
      <c r="E721" s="70"/>
      <c r="F721" s="70"/>
      <c r="G721" s="70"/>
      <c r="H721" s="422"/>
      <c r="I721" s="422"/>
      <c r="J721" s="418"/>
      <c r="K721" s="403"/>
      <c r="L721" s="73"/>
      <c r="M721" s="72"/>
      <c r="N721" s="72"/>
      <c r="O721" s="72"/>
      <c r="P721" s="42"/>
      <c r="Q721" s="42"/>
      <c r="R721" s="42"/>
      <c r="S721" s="42"/>
      <c r="T721" s="42"/>
      <c r="U721" s="42"/>
      <c r="V721" s="416"/>
      <c r="W721" s="42"/>
      <c r="X721" s="74"/>
      <c r="Y721" s="74"/>
      <c r="Z721" s="74"/>
      <c r="AA721" s="74"/>
      <c r="AB721" s="74"/>
      <c r="AC721" s="42"/>
      <c r="AD721" s="42"/>
      <c r="AE721" s="42"/>
      <c r="AF721" s="42"/>
      <c r="AG721" s="42"/>
      <c r="AH721" s="42"/>
      <c r="AI721" s="75"/>
      <c r="AJ721" s="75"/>
      <c r="AK721" s="75"/>
      <c r="AL721" s="75"/>
      <c r="AM721" s="74"/>
      <c r="AN721" s="72" t="e">
        <f>VLOOKUP(H721,[4]Planilha1!A$13:P$314,16,0)</f>
        <v>#N/A</v>
      </c>
    </row>
    <row r="722" spans="1:40" s="69" customFormat="1" x14ac:dyDescent="0.25">
      <c r="A722" s="88"/>
      <c r="B722" s="88"/>
      <c r="C722" s="70"/>
      <c r="D722" s="70"/>
      <c r="E722" s="70"/>
      <c r="F722" s="70"/>
      <c r="G722" s="70"/>
      <c r="H722" s="422"/>
      <c r="I722" s="422"/>
      <c r="J722" s="418"/>
      <c r="K722" s="403"/>
      <c r="L722" s="73"/>
      <c r="M722" s="72"/>
      <c r="N722" s="72"/>
      <c r="O722" s="72"/>
      <c r="P722" s="42"/>
      <c r="Q722" s="42"/>
      <c r="R722" s="42"/>
      <c r="S722" s="42"/>
      <c r="T722" s="42"/>
      <c r="U722" s="42"/>
      <c r="V722" s="416"/>
      <c r="W722" s="42"/>
      <c r="X722" s="74"/>
      <c r="Y722" s="74"/>
      <c r="Z722" s="74"/>
      <c r="AA722" s="74"/>
      <c r="AB722" s="74"/>
      <c r="AC722" s="42"/>
      <c r="AD722" s="42"/>
      <c r="AE722" s="42"/>
      <c r="AF722" s="42"/>
      <c r="AG722" s="42"/>
      <c r="AH722" s="42"/>
      <c r="AI722" s="75"/>
      <c r="AJ722" s="75"/>
      <c r="AK722" s="75"/>
      <c r="AL722" s="75"/>
      <c r="AM722" s="74"/>
      <c r="AN722" s="72" t="e">
        <f>VLOOKUP(H722,[4]Planilha1!A$13:P$314,16,0)</f>
        <v>#N/A</v>
      </c>
    </row>
    <row r="723" spans="1:40" s="69" customFormat="1" x14ac:dyDescent="0.25">
      <c r="A723" s="88"/>
      <c r="B723" s="88"/>
      <c r="C723" s="70"/>
      <c r="D723" s="70"/>
      <c r="E723" s="70"/>
      <c r="F723" s="70"/>
      <c r="G723" s="70"/>
      <c r="H723" s="422"/>
      <c r="I723" s="422"/>
      <c r="J723" s="418"/>
      <c r="K723" s="403"/>
      <c r="L723" s="73"/>
      <c r="M723" s="72"/>
      <c r="N723" s="72"/>
      <c r="O723" s="72"/>
      <c r="P723" s="42"/>
      <c r="Q723" s="42"/>
      <c r="R723" s="42"/>
      <c r="S723" s="42"/>
      <c r="T723" s="42"/>
      <c r="U723" s="42"/>
      <c r="V723" s="416"/>
      <c r="W723" s="42"/>
      <c r="X723" s="74"/>
      <c r="Y723" s="74"/>
      <c r="Z723" s="74"/>
      <c r="AA723" s="74"/>
      <c r="AB723" s="74"/>
      <c r="AC723" s="42"/>
      <c r="AD723" s="42"/>
      <c r="AE723" s="42"/>
      <c r="AF723" s="42"/>
      <c r="AG723" s="42"/>
      <c r="AH723" s="42"/>
      <c r="AI723" s="75"/>
      <c r="AJ723" s="75"/>
      <c r="AK723" s="75"/>
      <c r="AL723" s="75"/>
      <c r="AM723" s="74"/>
      <c r="AN723" s="72" t="e">
        <f>VLOOKUP(H723,[4]Planilha1!A$13:P$314,16,0)</f>
        <v>#N/A</v>
      </c>
    </row>
    <row r="724" spans="1:40" s="69" customFormat="1" x14ac:dyDescent="0.25">
      <c r="A724" s="88"/>
      <c r="B724" s="88"/>
      <c r="C724" s="70"/>
      <c r="D724" s="70"/>
      <c r="E724" s="70"/>
      <c r="F724" s="70"/>
      <c r="G724" s="70"/>
      <c r="H724" s="422"/>
      <c r="I724" s="422"/>
      <c r="J724" s="418"/>
      <c r="K724" s="403"/>
      <c r="L724" s="73"/>
      <c r="M724" s="72"/>
      <c r="N724" s="72"/>
      <c r="O724" s="72"/>
      <c r="P724" s="42"/>
      <c r="Q724" s="42"/>
      <c r="R724" s="42"/>
      <c r="S724" s="42"/>
      <c r="T724" s="42"/>
      <c r="U724" s="42"/>
      <c r="V724" s="416"/>
      <c r="W724" s="42"/>
      <c r="X724" s="74"/>
      <c r="Y724" s="74"/>
      <c r="Z724" s="74"/>
      <c r="AA724" s="74"/>
      <c r="AB724" s="74"/>
      <c r="AC724" s="42"/>
      <c r="AD724" s="42"/>
      <c r="AE724" s="42"/>
      <c r="AF724" s="42"/>
      <c r="AG724" s="42"/>
      <c r="AH724" s="42"/>
      <c r="AI724" s="75"/>
      <c r="AJ724" s="75"/>
      <c r="AK724" s="75"/>
      <c r="AL724" s="75"/>
      <c r="AM724" s="74"/>
      <c r="AN724" s="72" t="e">
        <f>VLOOKUP(H724,[4]Planilha1!A$13:P$314,16,0)</f>
        <v>#N/A</v>
      </c>
    </row>
    <row r="725" spans="1:40" s="69" customFormat="1" x14ac:dyDescent="0.25">
      <c r="A725" s="88"/>
      <c r="B725" s="88"/>
      <c r="C725" s="70"/>
      <c r="D725" s="70"/>
      <c r="E725" s="70"/>
      <c r="F725" s="70"/>
      <c r="G725" s="70"/>
      <c r="H725" s="422"/>
      <c r="I725" s="422"/>
      <c r="J725" s="418"/>
      <c r="K725" s="403"/>
      <c r="L725" s="73"/>
      <c r="M725" s="72"/>
      <c r="N725" s="72"/>
      <c r="O725" s="72"/>
      <c r="P725" s="42"/>
      <c r="Q725" s="42"/>
      <c r="R725" s="42"/>
      <c r="S725" s="42"/>
      <c r="T725" s="42"/>
      <c r="U725" s="42"/>
      <c r="V725" s="416"/>
      <c r="W725" s="42"/>
      <c r="X725" s="74"/>
      <c r="Y725" s="74"/>
      <c r="Z725" s="74"/>
      <c r="AA725" s="74"/>
      <c r="AB725" s="74"/>
      <c r="AC725" s="42"/>
      <c r="AD725" s="42"/>
      <c r="AE725" s="42"/>
      <c r="AF725" s="42"/>
      <c r="AG725" s="42"/>
      <c r="AH725" s="42"/>
      <c r="AI725" s="75"/>
      <c r="AJ725" s="75"/>
      <c r="AK725" s="75"/>
      <c r="AL725" s="75"/>
      <c r="AM725" s="74"/>
      <c r="AN725" s="72" t="e">
        <f>VLOOKUP(H725,[4]Planilha1!A$13:P$314,16,0)</f>
        <v>#N/A</v>
      </c>
    </row>
    <row r="726" spans="1:40" s="69" customFormat="1" x14ac:dyDescent="0.25">
      <c r="A726" s="88"/>
      <c r="B726" s="88"/>
      <c r="C726" s="70"/>
      <c r="D726" s="70"/>
      <c r="E726" s="70"/>
      <c r="F726" s="70"/>
      <c r="G726" s="70"/>
      <c r="H726" s="422"/>
      <c r="I726" s="422"/>
      <c r="J726" s="418"/>
      <c r="K726" s="403"/>
      <c r="L726" s="73"/>
      <c r="M726" s="72"/>
      <c r="N726" s="72"/>
      <c r="O726" s="72"/>
      <c r="P726" s="42"/>
      <c r="Q726" s="42"/>
      <c r="R726" s="42"/>
      <c r="S726" s="42"/>
      <c r="T726" s="42"/>
      <c r="U726" s="42"/>
      <c r="V726" s="416"/>
      <c r="W726" s="42"/>
      <c r="X726" s="74"/>
      <c r="Y726" s="74"/>
      <c r="Z726" s="74"/>
      <c r="AA726" s="74"/>
      <c r="AB726" s="74"/>
      <c r="AC726" s="42"/>
      <c r="AD726" s="42"/>
      <c r="AE726" s="42"/>
      <c r="AF726" s="42"/>
      <c r="AG726" s="42"/>
      <c r="AH726" s="42"/>
      <c r="AI726" s="75"/>
      <c r="AJ726" s="75"/>
      <c r="AK726" s="75"/>
      <c r="AL726" s="75"/>
      <c r="AM726" s="74"/>
      <c r="AN726" s="72" t="e">
        <f>VLOOKUP(H726,[4]Planilha1!A$13:P$314,16,0)</f>
        <v>#N/A</v>
      </c>
    </row>
    <row r="727" spans="1:40" s="69" customFormat="1" x14ac:dyDescent="0.25">
      <c r="A727" s="88"/>
      <c r="B727" s="88"/>
      <c r="C727" s="70"/>
      <c r="D727" s="70"/>
      <c r="E727" s="70"/>
      <c r="F727" s="70"/>
      <c r="G727" s="70"/>
      <c r="H727" s="422"/>
      <c r="I727" s="422"/>
      <c r="J727" s="418"/>
      <c r="K727" s="403"/>
      <c r="L727" s="73"/>
      <c r="M727" s="72"/>
      <c r="N727" s="72"/>
      <c r="O727" s="72"/>
      <c r="P727" s="42"/>
      <c r="Q727" s="42"/>
      <c r="R727" s="42"/>
      <c r="S727" s="42"/>
      <c r="T727" s="42"/>
      <c r="U727" s="42"/>
      <c r="V727" s="416"/>
      <c r="W727" s="42"/>
      <c r="X727" s="74"/>
      <c r="Y727" s="74"/>
      <c r="Z727" s="74"/>
      <c r="AA727" s="74"/>
      <c r="AB727" s="74"/>
      <c r="AC727" s="42"/>
      <c r="AD727" s="42"/>
      <c r="AE727" s="42"/>
      <c r="AF727" s="42"/>
      <c r="AG727" s="42"/>
      <c r="AH727" s="42"/>
      <c r="AI727" s="75"/>
      <c r="AJ727" s="75"/>
      <c r="AK727" s="75"/>
      <c r="AL727" s="75"/>
      <c r="AM727" s="74"/>
      <c r="AN727" s="72" t="e">
        <f>VLOOKUP(H727,[4]Planilha1!A$13:P$314,16,0)</f>
        <v>#N/A</v>
      </c>
    </row>
    <row r="728" spans="1:40" s="69" customFormat="1" x14ac:dyDescent="0.25">
      <c r="A728" s="88"/>
      <c r="B728" s="88"/>
      <c r="C728" s="70"/>
      <c r="D728" s="70"/>
      <c r="E728" s="70"/>
      <c r="F728" s="70"/>
      <c r="G728" s="70"/>
      <c r="H728" s="422"/>
      <c r="I728" s="422"/>
      <c r="J728" s="418"/>
      <c r="K728" s="403"/>
      <c r="L728" s="73"/>
      <c r="M728" s="72"/>
      <c r="N728" s="72"/>
      <c r="O728" s="72"/>
      <c r="P728" s="42"/>
      <c r="Q728" s="42"/>
      <c r="R728" s="42"/>
      <c r="S728" s="42"/>
      <c r="T728" s="42"/>
      <c r="U728" s="42"/>
      <c r="V728" s="416"/>
      <c r="W728" s="42"/>
      <c r="X728" s="74"/>
      <c r="Y728" s="74"/>
      <c r="Z728" s="74"/>
      <c r="AA728" s="74"/>
      <c r="AB728" s="74"/>
      <c r="AC728" s="42"/>
      <c r="AD728" s="42"/>
      <c r="AE728" s="42"/>
      <c r="AF728" s="42"/>
      <c r="AG728" s="42"/>
      <c r="AH728" s="42"/>
      <c r="AI728" s="75"/>
      <c r="AJ728" s="75"/>
      <c r="AK728" s="75"/>
      <c r="AL728" s="75"/>
      <c r="AM728" s="74"/>
      <c r="AN728" s="72" t="e">
        <f>VLOOKUP(H728,[4]Planilha1!A$13:P$314,16,0)</f>
        <v>#N/A</v>
      </c>
    </row>
    <row r="729" spans="1:40" s="69" customFormat="1" x14ac:dyDescent="0.25">
      <c r="A729" s="88"/>
      <c r="B729" s="88"/>
      <c r="C729" s="70"/>
      <c r="D729" s="70"/>
      <c r="E729" s="70"/>
      <c r="F729" s="70"/>
      <c r="G729" s="70"/>
      <c r="H729" s="422"/>
      <c r="I729" s="422"/>
      <c r="J729" s="418"/>
      <c r="K729" s="403"/>
      <c r="L729" s="73"/>
      <c r="M729" s="72"/>
      <c r="N729" s="72"/>
      <c r="O729" s="72"/>
      <c r="P729" s="42"/>
      <c r="Q729" s="42"/>
      <c r="R729" s="42"/>
      <c r="S729" s="42"/>
      <c r="T729" s="42"/>
      <c r="U729" s="42"/>
      <c r="V729" s="416"/>
      <c r="W729" s="42"/>
      <c r="X729" s="74"/>
      <c r="Y729" s="74"/>
      <c r="Z729" s="74"/>
      <c r="AA729" s="74"/>
      <c r="AB729" s="74"/>
      <c r="AC729" s="42"/>
      <c r="AD729" s="42"/>
      <c r="AE729" s="42"/>
      <c r="AF729" s="42"/>
      <c r="AG729" s="42"/>
      <c r="AH729" s="42"/>
      <c r="AI729" s="75"/>
      <c r="AJ729" s="75"/>
      <c r="AK729" s="75"/>
      <c r="AL729" s="75"/>
      <c r="AM729" s="74"/>
      <c r="AN729" s="72" t="e">
        <f>VLOOKUP(H729,[4]Planilha1!A$13:P$314,16,0)</f>
        <v>#N/A</v>
      </c>
    </row>
    <row r="730" spans="1:40" s="69" customFormat="1" x14ac:dyDescent="0.25">
      <c r="A730" s="88"/>
      <c r="B730" s="88"/>
      <c r="C730" s="70"/>
      <c r="D730" s="70"/>
      <c r="E730" s="70"/>
      <c r="F730" s="70"/>
      <c r="G730" s="70"/>
      <c r="H730" s="422"/>
      <c r="I730" s="422"/>
      <c r="J730" s="418"/>
      <c r="K730" s="403"/>
      <c r="L730" s="73"/>
      <c r="M730" s="72"/>
      <c r="N730" s="72"/>
      <c r="O730" s="72"/>
      <c r="P730" s="42"/>
      <c r="Q730" s="42"/>
      <c r="R730" s="42"/>
      <c r="S730" s="42"/>
      <c r="T730" s="42"/>
      <c r="U730" s="42"/>
      <c r="V730" s="416"/>
      <c r="W730" s="42"/>
      <c r="X730" s="74"/>
      <c r="Y730" s="74"/>
      <c r="Z730" s="74"/>
      <c r="AA730" s="74"/>
      <c r="AB730" s="74"/>
      <c r="AC730" s="42"/>
      <c r="AD730" s="42"/>
      <c r="AE730" s="42"/>
      <c r="AF730" s="42"/>
      <c r="AG730" s="42"/>
      <c r="AH730" s="42"/>
      <c r="AI730" s="75"/>
      <c r="AJ730" s="75"/>
      <c r="AK730" s="75"/>
      <c r="AL730" s="75"/>
      <c r="AM730" s="74"/>
      <c r="AN730" s="72" t="e">
        <f>VLOOKUP(H730,[4]Planilha1!A$13:P$314,16,0)</f>
        <v>#N/A</v>
      </c>
    </row>
    <row r="731" spans="1:40" s="69" customFormat="1" x14ac:dyDescent="0.25">
      <c r="A731" s="88"/>
      <c r="B731" s="88"/>
      <c r="C731" s="70"/>
      <c r="D731" s="70"/>
      <c r="E731" s="70"/>
      <c r="F731" s="70"/>
      <c r="G731" s="70"/>
      <c r="H731" s="422"/>
      <c r="I731" s="422"/>
      <c r="J731" s="418"/>
      <c r="K731" s="403"/>
      <c r="L731" s="73"/>
      <c r="M731" s="72"/>
      <c r="N731" s="72"/>
      <c r="O731" s="72"/>
      <c r="P731" s="42"/>
      <c r="Q731" s="42"/>
      <c r="R731" s="42"/>
      <c r="S731" s="42"/>
      <c r="T731" s="42"/>
      <c r="U731" s="42"/>
      <c r="V731" s="416"/>
      <c r="W731" s="42"/>
      <c r="X731" s="74"/>
      <c r="Y731" s="74"/>
      <c r="Z731" s="74"/>
      <c r="AA731" s="74"/>
      <c r="AB731" s="74"/>
      <c r="AC731" s="42"/>
      <c r="AD731" s="42"/>
      <c r="AE731" s="42"/>
      <c r="AF731" s="42"/>
      <c r="AG731" s="42"/>
      <c r="AH731" s="42"/>
      <c r="AI731" s="75"/>
      <c r="AJ731" s="75"/>
      <c r="AK731" s="75"/>
      <c r="AL731" s="75"/>
      <c r="AM731" s="74"/>
      <c r="AN731" s="72" t="e">
        <f>VLOOKUP(H731,[4]Planilha1!A$13:P$314,16,0)</f>
        <v>#N/A</v>
      </c>
    </row>
    <row r="732" spans="1:40" s="69" customFormat="1" x14ac:dyDescent="0.25">
      <c r="A732" s="88"/>
      <c r="B732" s="88"/>
      <c r="C732" s="70"/>
      <c r="D732" s="70"/>
      <c r="E732" s="70"/>
      <c r="F732" s="70"/>
      <c r="G732" s="70"/>
      <c r="H732" s="422"/>
      <c r="I732" s="422"/>
      <c r="J732" s="418"/>
      <c r="K732" s="403"/>
      <c r="L732" s="73"/>
      <c r="M732" s="72"/>
      <c r="N732" s="72"/>
      <c r="O732" s="72"/>
      <c r="P732" s="42"/>
      <c r="Q732" s="42"/>
      <c r="R732" s="42"/>
      <c r="S732" s="42"/>
      <c r="T732" s="42"/>
      <c r="U732" s="42"/>
      <c r="V732" s="416"/>
      <c r="W732" s="42"/>
      <c r="X732" s="74"/>
      <c r="Y732" s="74"/>
      <c r="Z732" s="74"/>
      <c r="AA732" s="74"/>
      <c r="AB732" s="74"/>
      <c r="AC732" s="42"/>
      <c r="AD732" s="42"/>
      <c r="AE732" s="42"/>
      <c r="AF732" s="42"/>
      <c r="AG732" s="42"/>
      <c r="AH732" s="42"/>
      <c r="AI732" s="75"/>
      <c r="AJ732" s="75"/>
      <c r="AK732" s="75"/>
      <c r="AL732" s="75"/>
      <c r="AM732" s="74"/>
      <c r="AN732" s="72" t="e">
        <f>VLOOKUP(H732,[4]Planilha1!A$13:P$314,16,0)</f>
        <v>#N/A</v>
      </c>
    </row>
    <row r="733" spans="1:40" s="69" customFormat="1" x14ac:dyDescent="0.25">
      <c r="A733" s="88"/>
      <c r="B733" s="88"/>
      <c r="C733" s="70"/>
      <c r="D733" s="70"/>
      <c r="E733" s="70"/>
      <c r="F733" s="70"/>
      <c r="G733" s="70"/>
      <c r="H733" s="422"/>
      <c r="I733" s="422"/>
      <c r="J733" s="418"/>
      <c r="K733" s="403"/>
      <c r="L733" s="73"/>
      <c r="M733" s="72"/>
      <c r="N733" s="72"/>
      <c r="O733" s="72"/>
      <c r="P733" s="42"/>
      <c r="Q733" s="42"/>
      <c r="R733" s="42"/>
      <c r="S733" s="42"/>
      <c r="T733" s="42"/>
      <c r="U733" s="42"/>
      <c r="V733" s="416"/>
      <c r="W733" s="42"/>
      <c r="X733" s="74"/>
      <c r="Y733" s="74"/>
      <c r="Z733" s="74"/>
      <c r="AA733" s="74"/>
      <c r="AB733" s="74"/>
      <c r="AC733" s="42"/>
      <c r="AD733" s="42"/>
      <c r="AE733" s="42"/>
      <c r="AF733" s="42"/>
      <c r="AG733" s="42"/>
      <c r="AH733" s="42"/>
      <c r="AI733" s="75"/>
      <c r="AJ733" s="75"/>
      <c r="AK733" s="75"/>
      <c r="AL733" s="75"/>
      <c r="AM733" s="74"/>
      <c r="AN733" s="72" t="e">
        <f>VLOOKUP(H733,[4]Planilha1!A$13:P$314,16,0)</f>
        <v>#N/A</v>
      </c>
    </row>
    <row r="734" spans="1:40" s="69" customFormat="1" x14ac:dyDescent="0.25">
      <c r="A734" s="88"/>
      <c r="B734" s="88"/>
      <c r="C734" s="70"/>
      <c r="D734" s="70"/>
      <c r="E734" s="70"/>
      <c r="F734" s="70"/>
      <c r="G734" s="70"/>
      <c r="H734" s="422"/>
      <c r="I734" s="422"/>
      <c r="J734" s="418"/>
      <c r="K734" s="403"/>
      <c r="L734" s="73"/>
      <c r="M734" s="72"/>
      <c r="N734" s="72"/>
      <c r="O734" s="72"/>
      <c r="P734" s="42"/>
      <c r="Q734" s="42"/>
      <c r="R734" s="42"/>
      <c r="S734" s="42"/>
      <c r="T734" s="42"/>
      <c r="U734" s="42"/>
      <c r="V734" s="416"/>
      <c r="W734" s="42"/>
      <c r="X734" s="74"/>
      <c r="Y734" s="74"/>
      <c r="Z734" s="74"/>
      <c r="AA734" s="74"/>
      <c r="AB734" s="74"/>
      <c r="AC734" s="42"/>
      <c r="AD734" s="42"/>
      <c r="AE734" s="42"/>
      <c r="AF734" s="42"/>
      <c r="AG734" s="42"/>
      <c r="AH734" s="42"/>
      <c r="AI734" s="75"/>
      <c r="AJ734" s="75"/>
      <c r="AK734" s="75"/>
      <c r="AL734" s="75"/>
      <c r="AM734" s="74"/>
      <c r="AN734" s="72" t="e">
        <f>VLOOKUP(H734,[4]Planilha1!A$13:P$314,16,0)</f>
        <v>#N/A</v>
      </c>
    </row>
    <row r="735" spans="1:40" s="69" customFormat="1" x14ac:dyDescent="0.25">
      <c r="A735" s="88"/>
      <c r="B735" s="88"/>
      <c r="C735" s="70"/>
      <c r="D735" s="70"/>
      <c r="E735" s="70"/>
      <c r="F735" s="70"/>
      <c r="G735" s="70"/>
      <c r="H735" s="422"/>
      <c r="I735" s="422"/>
      <c r="J735" s="418"/>
      <c r="K735" s="403"/>
      <c r="L735" s="73"/>
      <c r="M735" s="72"/>
      <c r="N735" s="72"/>
      <c r="O735" s="72"/>
      <c r="P735" s="42"/>
      <c r="Q735" s="42"/>
      <c r="R735" s="42"/>
      <c r="S735" s="42"/>
      <c r="T735" s="42"/>
      <c r="U735" s="42"/>
      <c r="V735" s="416"/>
      <c r="W735" s="42"/>
      <c r="X735" s="74"/>
      <c r="Y735" s="74"/>
      <c r="Z735" s="74"/>
      <c r="AA735" s="74"/>
      <c r="AB735" s="74"/>
      <c r="AC735" s="42"/>
      <c r="AD735" s="42"/>
      <c r="AE735" s="42"/>
      <c r="AF735" s="42"/>
      <c r="AG735" s="42"/>
      <c r="AH735" s="42"/>
      <c r="AI735" s="75"/>
      <c r="AJ735" s="75"/>
      <c r="AK735" s="75"/>
      <c r="AL735" s="75"/>
      <c r="AM735" s="74"/>
      <c r="AN735" s="72" t="e">
        <f>VLOOKUP(H735,[4]Planilha1!A$13:P$314,16,0)</f>
        <v>#N/A</v>
      </c>
    </row>
    <row r="736" spans="1:40" s="69" customFormat="1" x14ac:dyDescent="0.25">
      <c r="A736" s="88"/>
      <c r="B736" s="88"/>
      <c r="C736" s="70"/>
      <c r="D736" s="70"/>
      <c r="E736" s="70"/>
      <c r="F736" s="70"/>
      <c r="G736" s="70"/>
      <c r="H736" s="422"/>
      <c r="I736" s="422"/>
      <c r="J736" s="418"/>
      <c r="K736" s="403"/>
      <c r="L736" s="73"/>
      <c r="M736" s="72"/>
      <c r="N736" s="72"/>
      <c r="O736" s="72"/>
      <c r="P736" s="42"/>
      <c r="Q736" s="42"/>
      <c r="R736" s="42"/>
      <c r="S736" s="42"/>
      <c r="T736" s="42"/>
      <c r="U736" s="42"/>
      <c r="V736" s="416"/>
      <c r="W736" s="42"/>
      <c r="X736" s="74"/>
      <c r="Y736" s="74"/>
      <c r="Z736" s="74"/>
      <c r="AA736" s="74"/>
      <c r="AB736" s="74"/>
      <c r="AC736" s="42"/>
      <c r="AD736" s="42"/>
      <c r="AE736" s="42"/>
      <c r="AF736" s="42"/>
      <c r="AG736" s="42"/>
      <c r="AH736" s="42"/>
      <c r="AI736" s="75"/>
      <c r="AJ736" s="75"/>
      <c r="AK736" s="75"/>
      <c r="AL736" s="75"/>
      <c r="AM736" s="74"/>
      <c r="AN736" s="72" t="e">
        <f>VLOOKUP(H736,[4]Planilha1!A$13:P$314,16,0)</f>
        <v>#N/A</v>
      </c>
    </row>
    <row r="737" spans="1:40" s="69" customFormat="1" x14ac:dyDescent="0.25">
      <c r="A737" s="88"/>
      <c r="B737" s="88"/>
      <c r="C737" s="70"/>
      <c r="D737" s="70"/>
      <c r="E737" s="70"/>
      <c r="F737" s="70"/>
      <c r="G737" s="70"/>
      <c r="H737" s="422"/>
      <c r="I737" s="422"/>
      <c r="J737" s="418"/>
      <c r="K737" s="403"/>
      <c r="L737" s="73"/>
      <c r="M737" s="72"/>
      <c r="N737" s="72"/>
      <c r="O737" s="72"/>
      <c r="P737" s="42"/>
      <c r="Q737" s="42"/>
      <c r="R737" s="42"/>
      <c r="S737" s="42"/>
      <c r="T737" s="42"/>
      <c r="U737" s="42"/>
      <c r="V737" s="416"/>
      <c r="W737" s="42"/>
      <c r="X737" s="74"/>
      <c r="Y737" s="74"/>
      <c r="Z737" s="74"/>
      <c r="AA737" s="74"/>
      <c r="AB737" s="74"/>
      <c r="AC737" s="42"/>
      <c r="AD737" s="42"/>
      <c r="AE737" s="42"/>
      <c r="AF737" s="42"/>
      <c r="AG737" s="42"/>
      <c r="AH737" s="42"/>
      <c r="AI737" s="75"/>
      <c r="AJ737" s="75"/>
      <c r="AK737" s="75"/>
      <c r="AL737" s="75"/>
      <c r="AM737" s="74"/>
      <c r="AN737" s="72" t="e">
        <f>VLOOKUP(H737,[4]Planilha1!A$13:P$314,16,0)</f>
        <v>#N/A</v>
      </c>
    </row>
    <row r="738" spans="1:40" s="69" customFormat="1" x14ac:dyDescent="0.25">
      <c r="A738" s="88"/>
      <c r="B738" s="88"/>
      <c r="C738" s="70"/>
      <c r="D738" s="70"/>
      <c r="E738" s="70"/>
      <c r="F738" s="70"/>
      <c r="G738" s="70"/>
      <c r="H738" s="422"/>
      <c r="I738" s="422"/>
      <c r="J738" s="418"/>
      <c r="K738" s="403"/>
      <c r="L738" s="73"/>
      <c r="M738" s="72"/>
      <c r="N738" s="72"/>
      <c r="O738" s="72"/>
      <c r="P738" s="42"/>
      <c r="Q738" s="42"/>
      <c r="R738" s="42"/>
      <c r="S738" s="42"/>
      <c r="T738" s="42"/>
      <c r="U738" s="42"/>
      <c r="V738" s="416"/>
      <c r="W738" s="42"/>
      <c r="X738" s="74"/>
      <c r="Y738" s="74"/>
      <c r="Z738" s="74"/>
      <c r="AA738" s="74"/>
      <c r="AB738" s="74"/>
      <c r="AC738" s="42"/>
      <c r="AD738" s="42"/>
      <c r="AE738" s="42"/>
      <c r="AF738" s="42"/>
      <c r="AG738" s="42"/>
      <c r="AH738" s="42"/>
      <c r="AI738" s="75"/>
      <c r="AJ738" s="75"/>
      <c r="AK738" s="75"/>
      <c r="AL738" s="75"/>
      <c r="AM738" s="74"/>
      <c r="AN738" s="72" t="e">
        <f>VLOOKUP(H738,[4]Planilha1!A$13:P$314,16,0)</f>
        <v>#N/A</v>
      </c>
    </row>
    <row r="739" spans="1:40" s="69" customFormat="1" x14ac:dyDescent="0.25">
      <c r="A739" s="88"/>
      <c r="B739" s="88"/>
      <c r="C739" s="70"/>
      <c r="D739" s="70"/>
      <c r="E739" s="70"/>
      <c r="F739" s="70"/>
      <c r="G739" s="70"/>
      <c r="H739" s="422"/>
      <c r="I739" s="422"/>
      <c r="J739" s="418"/>
      <c r="K739" s="403"/>
      <c r="L739" s="73"/>
      <c r="M739" s="72"/>
      <c r="N739" s="72"/>
      <c r="O739" s="72"/>
      <c r="P739" s="42"/>
      <c r="Q739" s="42"/>
      <c r="R739" s="42"/>
      <c r="S739" s="42"/>
      <c r="T739" s="42"/>
      <c r="U739" s="42"/>
      <c r="V739" s="416"/>
      <c r="W739" s="42"/>
      <c r="X739" s="74"/>
      <c r="Y739" s="74"/>
      <c r="Z739" s="74"/>
      <c r="AA739" s="74"/>
      <c r="AB739" s="74"/>
      <c r="AC739" s="42"/>
      <c r="AD739" s="42"/>
      <c r="AE739" s="42"/>
      <c r="AF739" s="42"/>
      <c r="AG739" s="42"/>
      <c r="AH739" s="42"/>
      <c r="AI739" s="75"/>
      <c r="AJ739" s="75"/>
      <c r="AK739" s="75"/>
      <c r="AL739" s="75"/>
      <c r="AM739" s="74"/>
      <c r="AN739" s="72" t="e">
        <f>VLOOKUP(H739,[4]Planilha1!A$13:P$314,16,0)</f>
        <v>#N/A</v>
      </c>
    </row>
    <row r="740" spans="1:40" s="69" customFormat="1" x14ac:dyDescent="0.25">
      <c r="A740" s="88"/>
      <c r="B740" s="88"/>
      <c r="C740" s="70"/>
      <c r="D740" s="70"/>
      <c r="E740" s="70"/>
      <c r="F740" s="70"/>
      <c r="G740" s="70"/>
      <c r="H740" s="422"/>
      <c r="I740" s="422"/>
      <c r="J740" s="418"/>
      <c r="K740" s="403"/>
      <c r="L740" s="73"/>
      <c r="M740" s="72"/>
      <c r="N740" s="72"/>
      <c r="O740" s="72"/>
      <c r="P740" s="42"/>
      <c r="Q740" s="42"/>
      <c r="R740" s="42"/>
      <c r="S740" s="42"/>
      <c r="T740" s="42"/>
      <c r="U740" s="42"/>
      <c r="V740" s="416"/>
      <c r="W740" s="42"/>
      <c r="X740" s="74"/>
      <c r="Y740" s="74"/>
      <c r="Z740" s="74"/>
      <c r="AA740" s="74"/>
      <c r="AB740" s="74"/>
      <c r="AC740" s="42"/>
      <c r="AD740" s="42"/>
      <c r="AE740" s="42"/>
      <c r="AF740" s="42"/>
      <c r="AG740" s="42"/>
      <c r="AH740" s="42"/>
      <c r="AI740" s="75"/>
      <c r="AJ740" s="75"/>
      <c r="AK740" s="75"/>
      <c r="AL740" s="75"/>
      <c r="AM740" s="74"/>
      <c r="AN740" s="72" t="e">
        <f>VLOOKUP(H740,[4]Planilha1!A$13:P$314,16,0)</f>
        <v>#N/A</v>
      </c>
    </row>
    <row r="741" spans="1:40" s="69" customFormat="1" x14ac:dyDescent="0.25">
      <c r="A741" s="88"/>
      <c r="B741" s="88"/>
      <c r="C741" s="70"/>
      <c r="D741" s="70"/>
      <c r="E741" s="70"/>
      <c r="F741" s="70"/>
      <c r="G741" s="70"/>
      <c r="H741" s="422"/>
      <c r="I741" s="422"/>
      <c r="J741" s="418"/>
      <c r="K741" s="403"/>
      <c r="L741" s="73"/>
      <c r="M741" s="72"/>
      <c r="N741" s="72"/>
      <c r="O741" s="72"/>
      <c r="P741" s="42"/>
      <c r="Q741" s="42"/>
      <c r="R741" s="42"/>
      <c r="S741" s="42"/>
      <c r="T741" s="42"/>
      <c r="U741" s="42"/>
      <c r="V741" s="416"/>
      <c r="W741" s="42"/>
      <c r="X741" s="74"/>
      <c r="Y741" s="74"/>
      <c r="Z741" s="74"/>
      <c r="AA741" s="74"/>
      <c r="AB741" s="74"/>
      <c r="AC741" s="42"/>
      <c r="AD741" s="42"/>
      <c r="AE741" s="42"/>
      <c r="AF741" s="42"/>
      <c r="AG741" s="42"/>
      <c r="AH741" s="42"/>
      <c r="AI741" s="75"/>
      <c r="AJ741" s="75"/>
      <c r="AK741" s="75"/>
      <c r="AL741" s="75"/>
      <c r="AM741" s="74"/>
      <c r="AN741" s="72" t="e">
        <f>VLOOKUP(H741,[4]Planilha1!A$13:P$314,16,0)</f>
        <v>#N/A</v>
      </c>
    </row>
    <row r="742" spans="1:40" s="69" customFormat="1" x14ac:dyDescent="0.25">
      <c r="A742" s="88"/>
      <c r="B742" s="88"/>
      <c r="C742" s="70"/>
      <c r="D742" s="70"/>
      <c r="E742" s="70"/>
      <c r="F742" s="70"/>
      <c r="G742" s="70"/>
      <c r="H742" s="422"/>
      <c r="I742" s="422"/>
      <c r="J742" s="418"/>
      <c r="K742" s="403"/>
      <c r="L742" s="73"/>
      <c r="M742" s="72"/>
      <c r="N742" s="72"/>
      <c r="O742" s="72"/>
      <c r="P742" s="42"/>
      <c r="Q742" s="42"/>
      <c r="R742" s="42"/>
      <c r="S742" s="42"/>
      <c r="T742" s="42"/>
      <c r="U742" s="42"/>
      <c r="V742" s="416"/>
      <c r="W742" s="42"/>
      <c r="X742" s="74"/>
      <c r="Y742" s="74"/>
      <c r="Z742" s="74"/>
      <c r="AA742" s="74"/>
      <c r="AB742" s="74"/>
      <c r="AC742" s="42"/>
      <c r="AD742" s="42"/>
      <c r="AE742" s="42"/>
      <c r="AF742" s="42"/>
      <c r="AG742" s="42"/>
      <c r="AH742" s="42"/>
      <c r="AI742" s="75"/>
      <c r="AJ742" s="75"/>
      <c r="AK742" s="75"/>
      <c r="AL742" s="75"/>
      <c r="AM742" s="74"/>
      <c r="AN742" s="72" t="e">
        <f>VLOOKUP(H742,[4]Planilha1!A$13:P$314,16,0)</f>
        <v>#N/A</v>
      </c>
    </row>
    <row r="743" spans="1:40" s="69" customFormat="1" x14ac:dyDescent="0.25">
      <c r="A743" s="88"/>
      <c r="B743" s="88"/>
      <c r="C743" s="70"/>
      <c r="D743" s="70"/>
      <c r="E743" s="70"/>
      <c r="F743" s="70"/>
      <c r="G743" s="70"/>
      <c r="H743" s="422"/>
      <c r="I743" s="422"/>
      <c r="J743" s="418"/>
      <c r="K743" s="403"/>
      <c r="L743" s="73"/>
      <c r="M743" s="72"/>
      <c r="N743" s="72"/>
      <c r="O743" s="72"/>
      <c r="P743" s="42"/>
      <c r="Q743" s="42"/>
      <c r="R743" s="42"/>
      <c r="S743" s="42"/>
      <c r="T743" s="42"/>
      <c r="U743" s="42"/>
      <c r="V743" s="416"/>
      <c r="W743" s="42"/>
      <c r="X743" s="74"/>
      <c r="Y743" s="74"/>
      <c r="Z743" s="74"/>
      <c r="AA743" s="74"/>
      <c r="AB743" s="74"/>
      <c r="AC743" s="42"/>
      <c r="AD743" s="42"/>
      <c r="AE743" s="42"/>
      <c r="AF743" s="42"/>
      <c r="AG743" s="42"/>
      <c r="AH743" s="42"/>
      <c r="AI743" s="75"/>
      <c r="AJ743" s="75"/>
      <c r="AK743" s="75"/>
      <c r="AL743" s="75"/>
      <c r="AM743" s="74"/>
      <c r="AN743" s="72" t="e">
        <f>VLOOKUP(H743,[4]Planilha1!A$13:P$314,16,0)</f>
        <v>#N/A</v>
      </c>
    </row>
    <row r="744" spans="1:40" s="69" customFormat="1" x14ac:dyDescent="0.25">
      <c r="A744" s="88"/>
      <c r="B744" s="88"/>
      <c r="C744" s="70"/>
      <c r="D744" s="70"/>
      <c r="E744" s="70"/>
      <c r="F744" s="70"/>
      <c r="G744" s="70"/>
      <c r="H744" s="422"/>
      <c r="I744" s="422"/>
      <c r="J744" s="418"/>
      <c r="K744" s="403"/>
      <c r="L744" s="73"/>
      <c r="M744" s="72"/>
      <c r="N744" s="72"/>
      <c r="O744" s="72"/>
      <c r="P744" s="42"/>
      <c r="Q744" s="42"/>
      <c r="R744" s="42"/>
      <c r="S744" s="42"/>
      <c r="T744" s="42"/>
      <c r="U744" s="42"/>
      <c r="V744" s="416"/>
      <c r="W744" s="42"/>
      <c r="X744" s="74"/>
      <c r="Y744" s="74"/>
      <c r="Z744" s="74"/>
      <c r="AA744" s="74"/>
      <c r="AB744" s="74"/>
      <c r="AC744" s="42"/>
      <c r="AD744" s="42"/>
      <c r="AE744" s="42"/>
      <c r="AF744" s="42"/>
      <c r="AG744" s="42"/>
      <c r="AH744" s="42"/>
      <c r="AI744" s="75"/>
      <c r="AJ744" s="75"/>
      <c r="AK744" s="75"/>
      <c r="AL744" s="75"/>
      <c r="AM744" s="74"/>
      <c r="AN744" s="72" t="e">
        <f>VLOOKUP(H744,[4]Planilha1!A$13:P$314,16,0)</f>
        <v>#N/A</v>
      </c>
    </row>
    <row r="745" spans="1:40" s="69" customFormat="1" x14ac:dyDescent="0.25">
      <c r="A745" s="88"/>
      <c r="B745" s="88"/>
      <c r="C745" s="70"/>
      <c r="D745" s="70"/>
      <c r="E745" s="70"/>
      <c r="F745" s="70"/>
      <c r="G745" s="70"/>
      <c r="H745" s="422"/>
      <c r="I745" s="422"/>
      <c r="J745" s="418"/>
      <c r="K745" s="403"/>
      <c r="L745" s="73"/>
      <c r="M745" s="72"/>
      <c r="N745" s="72"/>
      <c r="O745" s="72"/>
      <c r="P745" s="42"/>
      <c r="Q745" s="42"/>
      <c r="R745" s="42"/>
      <c r="S745" s="42"/>
      <c r="T745" s="42"/>
      <c r="U745" s="42"/>
      <c r="V745" s="416"/>
      <c r="W745" s="42"/>
      <c r="X745" s="74"/>
      <c r="Y745" s="74"/>
      <c r="Z745" s="74"/>
      <c r="AA745" s="74"/>
      <c r="AB745" s="74"/>
      <c r="AC745" s="42"/>
      <c r="AD745" s="42"/>
      <c r="AE745" s="42"/>
      <c r="AF745" s="42"/>
      <c r="AG745" s="42"/>
      <c r="AH745" s="42"/>
      <c r="AI745" s="75"/>
      <c r="AJ745" s="75"/>
      <c r="AK745" s="75"/>
      <c r="AL745" s="75"/>
      <c r="AM745" s="74"/>
      <c r="AN745" s="72" t="e">
        <f>VLOOKUP(H745,[4]Planilha1!A$13:P$314,16,0)</f>
        <v>#N/A</v>
      </c>
    </row>
    <row r="746" spans="1:40" s="69" customFormat="1" x14ac:dyDescent="0.25">
      <c r="A746" s="88"/>
      <c r="B746" s="88"/>
      <c r="C746" s="70"/>
      <c r="D746" s="70"/>
      <c r="E746" s="70"/>
      <c r="F746" s="70"/>
      <c r="G746" s="70"/>
      <c r="H746" s="422"/>
      <c r="I746" s="422"/>
      <c r="J746" s="418"/>
      <c r="K746" s="403"/>
      <c r="L746" s="73"/>
      <c r="M746" s="72"/>
      <c r="N746" s="72"/>
      <c r="O746" s="72"/>
      <c r="P746" s="42"/>
      <c r="Q746" s="42"/>
      <c r="R746" s="42"/>
      <c r="S746" s="42"/>
      <c r="T746" s="42"/>
      <c r="U746" s="42"/>
      <c r="V746" s="416"/>
      <c r="W746" s="42"/>
      <c r="X746" s="74"/>
      <c r="Y746" s="74"/>
      <c r="Z746" s="74"/>
      <c r="AA746" s="74"/>
      <c r="AB746" s="74"/>
      <c r="AC746" s="42"/>
      <c r="AD746" s="42"/>
      <c r="AE746" s="42"/>
      <c r="AF746" s="42"/>
      <c r="AG746" s="42"/>
      <c r="AH746" s="42"/>
      <c r="AI746" s="75"/>
      <c r="AJ746" s="75"/>
      <c r="AK746" s="75"/>
      <c r="AL746" s="75"/>
      <c r="AM746" s="74"/>
      <c r="AN746" s="72" t="e">
        <f>VLOOKUP(H746,[4]Planilha1!A$13:P$314,16,0)</f>
        <v>#N/A</v>
      </c>
    </row>
    <row r="747" spans="1:40" s="69" customFormat="1" x14ac:dyDescent="0.25">
      <c r="A747" s="88"/>
      <c r="B747" s="88"/>
      <c r="C747" s="70"/>
      <c r="D747" s="70"/>
      <c r="E747" s="70"/>
      <c r="F747" s="70"/>
      <c r="G747" s="70"/>
      <c r="H747" s="422"/>
      <c r="I747" s="422"/>
      <c r="J747" s="418"/>
      <c r="K747" s="403"/>
      <c r="L747" s="73"/>
      <c r="M747" s="72"/>
      <c r="N747" s="72"/>
      <c r="O747" s="72"/>
      <c r="P747" s="42"/>
      <c r="Q747" s="42"/>
      <c r="R747" s="42"/>
      <c r="S747" s="42"/>
      <c r="T747" s="42"/>
      <c r="U747" s="42"/>
      <c r="V747" s="416"/>
      <c r="W747" s="42"/>
      <c r="X747" s="74"/>
      <c r="Y747" s="74"/>
      <c r="Z747" s="74"/>
      <c r="AA747" s="74"/>
      <c r="AB747" s="74"/>
      <c r="AC747" s="42"/>
      <c r="AD747" s="42"/>
      <c r="AE747" s="42"/>
      <c r="AF747" s="42"/>
      <c r="AG747" s="42"/>
      <c r="AH747" s="42"/>
      <c r="AI747" s="75"/>
      <c r="AJ747" s="75"/>
      <c r="AK747" s="75"/>
      <c r="AL747" s="75"/>
      <c r="AM747" s="74"/>
      <c r="AN747" s="72" t="e">
        <f>VLOOKUP(H747,[4]Planilha1!A$13:P$314,16,0)</f>
        <v>#N/A</v>
      </c>
    </row>
    <row r="748" spans="1:40" s="69" customFormat="1" x14ac:dyDescent="0.25">
      <c r="A748" s="88"/>
      <c r="B748" s="88"/>
      <c r="C748" s="70"/>
      <c r="D748" s="70"/>
      <c r="E748" s="70"/>
      <c r="F748" s="70"/>
      <c r="G748" s="70"/>
      <c r="H748" s="422"/>
      <c r="I748" s="422"/>
      <c r="J748" s="418"/>
      <c r="K748" s="403"/>
      <c r="L748" s="73"/>
      <c r="M748" s="72"/>
      <c r="N748" s="72"/>
      <c r="O748" s="72"/>
      <c r="P748" s="42"/>
      <c r="Q748" s="42"/>
      <c r="R748" s="42"/>
      <c r="S748" s="42"/>
      <c r="T748" s="42"/>
      <c r="U748" s="42"/>
      <c r="V748" s="416"/>
      <c r="W748" s="42"/>
      <c r="X748" s="74"/>
      <c r="Y748" s="74"/>
      <c r="Z748" s="74"/>
      <c r="AA748" s="74"/>
      <c r="AB748" s="74"/>
      <c r="AC748" s="42"/>
      <c r="AD748" s="42"/>
      <c r="AE748" s="42"/>
      <c r="AF748" s="42"/>
      <c r="AG748" s="42"/>
      <c r="AH748" s="42"/>
      <c r="AI748" s="75"/>
      <c r="AJ748" s="75"/>
      <c r="AK748" s="75"/>
      <c r="AL748" s="75"/>
      <c r="AM748" s="74"/>
      <c r="AN748" s="72" t="e">
        <f>VLOOKUP(H748,[4]Planilha1!A$13:P$314,16,0)</f>
        <v>#N/A</v>
      </c>
    </row>
    <row r="749" spans="1:40" s="69" customFormat="1" x14ac:dyDescent="0.25">
      <c r="A749" s="88"/>
      <c r="B749" s="88"/>
      <c r="C749" s="70"/>
      <c r="D749" s="70"/>
      <c r="E749" s="70"/>
      <c r="F749" s="70"/>
      <c r="G749" s="70"/>
      <c r="H749" s="422"/>
      <c r="I749" s="422"/>
      <c r="J749" s="418"/>
      <c r="K749" s="403"/>
      <c r="L749" s="73"/>
      <c r="M749" s="72"/>
      <c r="N749" s="72"/>
      <c r="O749" s="72"/>
      <c r="P749" s="42"/>
      <c r="Q749" s="42"/>
      <c r="R749" s="42"/>
      <c r="S749" s="42"/>
      <c r="T749" s="42"/>
      <c r="U749" s="42"/>
      <c r="V749" s="416"/>
      <c r="W749" s="42"/>
      <c r="X749" s="74"/>
      <c r="Y749" s="74"/>
      <c r="Z749" s="74"/>
      <c r="AA749" s="74"/>
      <c r="AB749" s="74"/>
      <c r="AC749" s="42"/>
      <c r="AD749" s="42"/>
      <c r="AE749" s="42"/>
      <c r="AF749" s="42"/>
      <c r="AG749" s="42"/>
      <c r="AH749" s="42"/>
      <c r="AI749" s="75"/>
      <c r="AJ749" s="75"/>
      <c r="AK749" s="75"/>
      <c r="AL749" s="75"/>
      <c r="AM749" s="74"/>
      <c r="AN749" s="72" t="e">
        <f>VLOOKUP(H749,[4]Planilha1!A$13:P$314,16,0)</f>
        <v>#N/A</v>
      </c>
    </row>
    <row r="750" spans="1:40" s="69" customFormat="1" x14ac:dyDescent="0.25">
      <c r="A750" s="88"/>
      <c r="B750" s="88"/>
      <c r="C750" s="70"/>
      <c r="D750" s="70"/>
      <c r="E750" s="70"/>
      <c r="F750" s="70"/>
      <c r="G750" s="70"/>
      <c r="H750" s="422"/>
      <c r="I750" s="422"/>
      <c r="J750" s="418"/>
      <c r="K750" s="403"/>
      <c r="L750" s="73"/>
      <c r="M750" s="72"/>
      <c r="N750" s="72"/>
      <c r="O750" s="72"/>
      <c r="P750" s="42"/>
      <c r="Q750" s="42"/>
      <c r="R750" s="42"/>
      <c r="S750" s="42"/>
      <c r="T750" s="42"/>
      <c r="U750" s="42"/>
      <c r="V750" s="416"/>
      <c r="W750" s="42"/>
      <c r="X750" s="74"/>
      <c r="Y750" s="74"/>
      <c r="Z750" s="74"/>
      <c r="AA750" s="74"/>
      <c r="AB750" s="74"/>
      <c r="AC750" s="42"/>
      <c r="AD750" s="42"/>
      <c r="AE750" s="42"/>
      <c r="AF750" s="42"/>
      <c r="AG750" s="42"/>
      <c r="AH750" s="42"/>
      <c r="AI750" s="75"/>
      <c r="AJ750" s="75"/>
      <c r="AK750" s="75"/>
      <c r="AL750" s="75"/>
      <c r="AM750" s="74"/>
      <c r="AN750" s="72" t="e">
        <f>VLOOKUP(H750,[4]Planilha1!A$13:P$314,16,0)</f>
        <v>#N/A</v>
      </c>
    </row>
    <row r="751" spans="1:40" s="69" customFormat="1" x14ac:dyDescent="0.25">
      <c r="A751" s="88"/>
      <c r="B751" s="88"/>
      <c r="C751" s="70"/>
      <c r="D751" s="70"/>
      <c r="E751" s="70"/>
      <c r="F751" s="70"/>
      <c r="G751" s="70"/>
      <c r="H751" s="422"/>
      <c r="I751" s="422"/>
      <c r="J751" s="418"/>
      <c r="K751" s="403"/>
      <c r="L751" s="73"/>
      <c r="M751" s="72"/>
      <c r="N751" s="72"/>
      <c r="O751" s="72"/>
      <c r="P751" s="42"/>
      <c r="Q751" s="42"/>
      <c r="R751" s="42"/>
      <c r="S751" s="42"/>
      <c r="T751" s="42"/>
      <c r="U751" s="42"/>
      <c r="V751" s="416"/>
      <c r="W751" s="42"/>
      <c r="X751" s="74"/>
      <c r="Y751" s="74"/>
      <c r="Z751" s="74"/>
      <c r="AA751" s="74"/>
      <c r="AB751" s="74"/>
      <c r="AC751" s="42"/>
      <c r="AD751" s="42"/>
      <c r="AE751" s="42"/>
      <c r="AF751" s="42"/>
      <c r="AG751" s="42"/>
      <c r="AH751" s="42"/>
      <c r="AI751" s="75"/>
      <c r="AJ751" s="75"/>
      <c r="AK751" s="75"/>
      <c r="AL751" s="75"/>
      <c r="AM751" s="74"/>
      <c r="AN751" s="72" t="e">
        <f>VLOOKUP(H751,[4]Planilha1!A$13:P$314,16,0)</f>
        <v>#N/A</v>
      </c>
    </row>
    <row r="752" spans="1:40" s="69" customFormat="1" x14ac:dyDescent="0.25">
      <c r="A752" s="88"/>
      <c r="B752" s="88"/>
      <c r="C752" s="70"/>
      <c r="D752" s="70"/>
      <c r="E752" s="70"/>
      <c r="F752" s="70"/>
      <c r="G752" s="70"/>
      <c r="H752" s="422"/>
      <c r="I752" s="422"/>
      <c r="J752" s="418"/>
      <c r="K752" s="403"/>
      <c r="L752" s="73"/>
      <c r="M752" s="72"/>
      <c r="N752" s="72"/>
      <c r="O752" s="72"/>
      <c r="P752" s="42"/>
      <c r="Q752" s="42"/>
      <c r="R752" s="42"/>
      <c r="S752" s="42"/>
      <c r="T752" s="42"/>
      <c r="U752" s="42"/>
      <c r="V752" s="416"/>
      <c r="W752" s="42"/>
      <c r="X752" s="74"/>
      <c r="Y752" s="74"/>
      <c r="Z752" s="74"/>
      <c r="AA752" s="74"/>
      <c r="AB752" s="74"/>
      <c r="AC752" s="42"/>
      <c r="AD752" s="42"/>
      <c r="AE752" s="42"/>
      <c r="AF752" s="42"/>
      <c r="AG752" s="42"/>
      <c r="AH752" s="42"/>
      <c r="AI752" s="75"/>
      <c r="AJ752" s="75"/>
      <c r="AK752" s="75"/>
      <c r="AL752" s="75"/>
      <c r="AM752" s="74"/>
      <c r="AN752" s="72" t="e">
        <f>VLOOKUP(H752,[4]Planilha1!A$13:P$314,16,0)</f>
        <v>#N/A</v>
      </c>
    </row>
    <row r="753" spans="1:40" s="69" customFormat="1" x14ac:dyDescent="0.25">
      <c r="A753" s="88"/>
      <c r="B753" s="88"/>
      <c r="C753" s="70"/>
      <c r="D753" s="70"/>
      <c r="E753" s="70"/>
      <c r="F753" s="70"/>
      <c r="G753" s="70"/>
      <c r="H753" s="422"/>
      <c r="I753" s="422"/>
      <c r="J753" s="418"/>
      <c r="K753" s="403"/>
      <c r="L753" s="73"/>
      <c r="M753" s="72"/>
      <c r="N753" s="72"/>
      <c r="O753" s="72"/>
      <c r="P753" s="42"/>
      <c r="Q753" s="42"/>
      <c r="R753" s="42"/>
      <c r="S753" s="42"/>
      <c r="T753" s="42"/>
      <c r="U753" s="42"/>
      <c r="V753" s="416"/>
      <c r="W753" s="42"/>
      <c r="X753" s="74"/>
      <c r="Y753" s="74"/>
      <c r="Z753" s="74"/>
      <c r="AA753" s="74"/>
      <c r="AB753" s="74"/>
      <c r="AC753" s="42"/>
      <c r="AD753" s="42"/>
      <c r="AE753" s="42"/>
      <c r="AF753" s="42"/>
      <c r="AG753" s="42"/>
      <c r="AH753" s="42"/>
      <c r="AI753" s="75"/>
      <c r="AJ753" s="75"/>
      <c r="AK753" s="75"/>
      <c r="AL753" s="75"/>
      <c r="AM753" s="74"/>
      <c r="AN753" s="72" t="e">
        <f>VLOOKUP(H753,[4]Planilha1!A$13:P$314,16,0)</f>
        <v>#N/A</v>
      </c>
    </row>
    <row r="754" spans="1:40" s="69" customFormat="1" x14ac:dyDescent="0.25">
      <c r="A754" s="88"/>
      <c r="B754" s="88"/>
      <c r="C754" s="70"/>
      <c r="D754" s="70"/>
      <c r="E754" s="70"/>
      <c r="F754" s="70"/>
      <c r="G754" s="70"/>
      <c r="H754" s="422"/>
      <c r="I754" s="422"/>
      <c r="J754" s="418"/>
      <c r="K754" s="403"/>
      <c r="L754" s="73"/>
      <c r="M754" s="72"/>
      <c r="N754" s="72"/>
      <c r="O754" s="72"/>
      <c r="P754" s="42"/>
      <c r="Q754" s="42"/>
      <c r="R754" s="42"/>
      <c r="S754" s="42"/>
      <c r="T754" s="42"/>
      <c r="U754" s="42"/>
      <c r="V754" s="416"/>
      <c r="W754" s="42"/>
      <c r="X754" s="74"/>
      <c r="Y754" s="74"/>
      <c r="Z754" s="74"/>
      <c r="AA754" s="74"/>
      <c r="AB754" s="74"/>
      <c r="AC754" s="42"/>
      <c r="AD754" s="42"/>
      <c r="AE754" s="42"/>
      <c r="AF754" s="42"/>
      <c r="AG754" s="42"/>
      <c r="AH754" s="42"/>
      <c r="AI754" s="75"/>
      <c r="AJ754" s="75"/>
      <c r="AK754" s="75"/>
      <c r="AL754" s="75"/>
      <c r="AM754" s="74"/>
      <c r="AN754" s="72" t="e">
        <f>VLOOKUP(H754,[4]Planilha1!A$13:P$314,16,0)</f>
        <v>#N/A</v>
      </c>
    </row>
    <row r="755" spans="1:40" s="69" customFormat="1" x14ac:dyDescent="0.25">
      <c r="A755" s="88"/>
      <c r="B755" s="88"/>
      <c r="C755" s="70"/>
      <c r="D755" s="70"/>
      <c r="E755" s="70"/>
      <c r="F755" s="70"/>
      <c r="G755" s="70"/>
      <c r="H755" s="422"/>
      <c r="I755" s="422"/>
      <c r="J755" s="418"/>
      <c r="K755" s="403"/>
      <c r="L755" s="73"/>
      <c r="M755" s="72"/>
      <c r="N755" s="72"/>
      <c r="O755" s="72"/>
      <c r="P755" s="42"/>
      <c r="Q755" s="42"/>
      <c r="R755" s="42"/>
      <c r="S755" s="42"/>
      <c r="T755" s="42"/>
      <c r="U755" s="42"/>
      <c r="V755" s="416"/>
      <c r="W755" s="42"/>
      <c r="X755" s="74"/>
      <c r="Y755" s="74"/>
      <c r="Z755" s="74"/>
      <c r="AA755" s="74"/>
      <c r="AB755" s="74"/>
      <c r="AC755" s="42"/>
      <c r="AD755" s="42"/>
      <c r="AE755" s="42"/>
      <c r="AF755" s="42"/>
      <c r="AG755" s="42"/>
      <c r="AH755" s="42"/>
      <c r="AI755" s="75"/>
      <c r="AJ755" s="75"/>
      <c r="AK755" s="75"/>
      <c r="AL755" s="75"/>
      <c r="AM755" s="74"/>
      <c r="AN755" s="72" t="e">
        <f>VLOOKUP(H755,[4]Planilha1!A$13:P$314,16,0)</f>
        <v>#N/A</v>
      </c>
    </row>
    <row r="756" spans="1:40" s="69" customFormat="1" x14ac:dyDescent="0.25">
      <c r="A756" s="88"/>
      <c r="B756" s="88"/>
      <c r="C756" s="70"/>
      <c r="D756" s="70"/>
      <c r="E756" s="70"/>
      <c r="F756" s="70"/>
      <c r="G756" s="70"/>
      <c r="H756" s="422"/>
      <c r="I756" s="422"/>
      <c r="J756" s="418"/>
      <c r="K756" s="403"/>
      <c r="L756" s="73"/>
      <c r="M756" s="72"/>
      <c r="N756" s="72"/>
      <c r="O756" s="72"/>
      <c r="P756" s="42"/>
      <c r="Q756" s="42"/>
      <c r="R756" s="42"/>
      <c r="S756" s="42"/>
      <c r="T756" s="42"/>
      <c r="U756" s="42"/>
      <c r="V756" s="416"/>
      <c r="W756" s="42"/>
      <c r="X756" s="74"/>
      <c r="Y756" s="74"/>
      <c r="Z756" s="74"/>
      <c r="AA756" s="74"/>
      <c r="AB756" s="74"/>
      <c r="AC756" s="42"/>
      <c r="AD756" s="42"/>
      <c r="AE756" s="42"/>
      <c r="AF756" s="42"/>
      <c r="AG756" s="42"/>
      <c r="AH756" s="42"/>
      <c r="AI756" s="75"/>
      <c r="AJ756" s="75"/>
      <c r="AK756" s="75"/>
      <c r="AL756" s="75"/>
      <c r="AM756" s="74"/>
      <c r="AN756" s="72" t="e">
        <f>VLOOKUP(H756,[4]Planilha1!A$13:P$314,16,0)</f>
        <v>#N/A</v>
      </c>
    </row>
    <row r="757" spans="1:40" s="69" customFormat="1" x14ac:dyDescent="0.25">
      <c r="A757" s="88"/>
      <c r="B757" s="88"/>
      <c r="C757" s="70"/>
      <c r="D757" s="70"/>
      <c r="E757" s="70"/>
      <c r="F757" s="70"/>
      <c r="G757" s="70"/>
      <c r="H757" s="422"/>
      <c r="I757" s="422"/>
      <c r="J757" s="418"/>
      <c r="K757" s="403"/>
      <c r="L757" s="73"/>
      <c r="M757" s="72"/>
      <c r="N757" s="72"/>
      <c r="O757" s="72"/>
      <c r="P757" s="42"/>
      <c r="Q757" s="42"/>
      <c r="R757" s="42"/>
      <c r="S757" s="42"/>
      <c r="T757" s="42"/>
      <c r="U757" s="42"/>
      <c r="V757" s="416"/>
      <c r="W757" s="42"/>
      <c r="X757" s="74"/>
      <c r="Y757" s="74"/>
      <c r="Z757" s="74"/>
      <c r="AA757" s="74"/>
      <c r="AB757" s="74"/>
      <c r="AC757" s="42"/>
      <c r="AD757" s="42"/>
      <c r="AE757" s="42"/>
      <c r="AF757" s="42"/>
      <c r="AG757" s="42"/>
      <c r="AH757" s="42"/>
      <c r="AI757" s="75"/>
      <c r="AJ757" s="75"/>
      <c r="AK757" s="75"/>
      <c r="AL757" s="75"/>
      <c r="AM757" s="74"/>
      <c r="AN757" s="72" t="e">
        <f>VLOOKUP(H757,[4]Planilha1!A$13:P$314,16,0)</f>
        <v>#N/A</v>
      </c>
    </row>
    <row r="758" spans="1:40" s="69" customFormat="1" x14ac:dyDescent="0.25">
      <c r="A758" s="88"/>
      <c r="B758" s="88"/>
      <c r="C758" s="70"/>
      <c r="D758" s="70"/>
      <c r="E758" s="70"/>
      <c r="F758" s="70"/>
      <c r="G758" s="70"/>
      <c r="H758" s="422"/>
      <c r="I758" s="422"/>
      <c r="J758" s="418"/>
      <c r="K758" s="403"/>
      <c r="L758" s="73"/>
      <c r="M758" s="72"/>
      <c r="N758" s="72"/>
      <c r="O758" s="72"/>
      <c r="P758" s="42"/>
      <c r="Q758" s="42"/>
      <c r="R758" s="42"/>
      <c r="S758" s="42"/>
      <c r="T758" s="42"/>
      <c r="U758" s="42"/>
      <c r="V758" s="416"/>
      <c r="W758" s="42"/>
      <c r="X758" s="74"/>
      <c r="Y758" s="74"/>
      <c r="Z758" s="74"/>
      <c r="AA758" s="74"/>
      <c r="AB758" s="74"/>
      <c r="AC758" s="42"/>
      <c r="AD758" s="42"/>
      <c r="AE758" s="42"/>
      <c r="AF758" s="42"/>
      <c r="AG758" s="42"/>
      <c r="AH758" s="42"/>
      <c r="AI758" s="75"/>
      <c r="AJ758" s="75"/>
      <c r="AK758" s="75"/>
      <c r="AL758" s="75"/>
      <c r="AM758" s="74"/>
      <c r="AN758" s="72" t="e">
        <f>VLOOKUP(H758,[4]Planilha1!A$13:P$314,16,0)</f>
        <v>#N/A</v>
      </c>
    </row>
    <row r="759" spans="1:40" s="69" customFormat="1" x14ac:dyDescent="0.25">
      <c r="A759" s="88"/>
      <c r="B759" s="88"/>
      <c r="C759" s="70"/>
      <c r="D759" s="70"/>
      <c r="E759" s="70"/>
      <c r="F759" s="70"/>
      <c r="G759" s="70"/>
      <c r="H759" s="422"/>
      <c r="I759" s="422"/>
      <c r="J759" s="418"/>
      <c r="K759" s="403"/>
      <c r="L759" s="73"/>
      <c r="M759" s="72"/>
      <c r="N759" s="72"/>
      <c r="O759" s="72"/>
      <c r="P759" s="42"/>
      <c r="Q759" s="42"/>
      <c r="R759" s="42"/>
      <c r="S759" s="42"/>
      <c r="T759" s="42"/>
      <c r="U759" s="42"/>
      <c r="V759" s="416"/>
      <c r="W759" s="42"/>
      <c r="X759" s="74"/>
      <c r="Y759" s="74"/>
      <c r="Z759" s="74"/>
      <c r="AA759" s="74"/>
      <c r="AB759" s="74"/>
      <c r="AC759" s="42"/>
      <c r="AD759" s="42"/>
      <c r="AE759" s="42"/>
      <c r="AF759" s="42"/>
      <c r="AG759" s="42"/>
      <c r="AH759" s="42"/>
      <c r="AI759" s="75"/>
      <c r="AJ759" s="75"/>
      <c r="AK759" s="75"/>
      <c r="AL759" s="75"/>
      <c r="AM759" s="74"/>
      <c r="AN759" s="72" t="e">
        <f>VLOOKUP(H759,[4]Planilha1!A$13:P$314,16,0)</f>
        <v>#N/A</v>
      </c>
    </row>
    <row r="760" spans="1:40" s="69" customFormat="1" x14ac:dyDescent="0.25">
      <c r="A760" s="88"/>
      <c r="B760" s="88"/>
      <c r="C760" s="70"/>
      <c r="D760" s="70"/>
      <c r="E760" s="70"/>
      <c r="F760" s="70"/>
      <c r="G760" s="70"/>
      <c r="H760" s="422"/>
      <c r="I760" s="422"/>
      <c r="J760" s="418"/>
      <c r="K760" s="403"/>
      <c r="L760" s="73"/>
      <c r="M760" s="72"/>
      <c r="N760" s="72"/>
      <c r="O760" s="72"/>
      <c r="P760" s="42"/>
      <c r="Q760" s="42"/>
      <c r="R760" s="42"/>
      <c r="S760" s="42"/>
      <c r="T760" s="42"/>
      <c r="U760" s="42"/>
      <c r="V760" s="416"/>
      <c r="W760" s="42"/>
      <c r="X760" s="74"/>
      <c r="Y760" s="74"/>
      <c r="Z760" s="74"/>
      <c r="AA760" s="74"/>
      <c r="AB760" s="74"/>
      <c r="AC760" s="42"/>
      <c r="AD760" s="42"/>
      <c r="AE760" s="42"/>
      <c r="AF760" s="42"/>
      <c r="AG760" s="42"/>
      <c r="AH760" s="42"/>
      <c r="AI760" s="75"/>
      <c r="AJ760" s="75"/>
      <c r="AK760" s="75"/>
      <c r="AL760" s="75"/>
      <c r="AM760" s="74"/>
      <c r="AN760" s="72" t="e">
        <f>VLOOKUP(H760,[4]Planilha1!A$13:P$314,16,0)</f>
        <v>#N/A</v>
      </c>
    </row>
    <row r="761" spans="1:40" s="69" customFormat="1" x14ac:dyDescent="0.25">
      <c r="A761" s="88"/>
      <c r="B761" s="88"/>
      <c r="C761" s="70"/>
      <c r="D761" s="70"/>
      <c r="E761" s="70"/>
      <c r="F761" s="70"/>
      <c r="G761" s="70"/>
      <c r="H761" s="422"/>
      <c r="I761" s="422"/>
      <c r="J761" s="418"/>
      <c r="K761" s="403"/>
      <c r="L761" s="73"/>
      <c r="M761" s="72"/>
      <c r="N761" s="72"/>
      <c r="O761" s="72"/>
      <c r="P761" s="42"/>
      <c r="Q761" s="42"/>
      <c r="R761" s="42"/>
      <c r="S761" s="42"/>
      <c r="T761" s="42"/>
      <c r="U761" s="42"/>
      <c r="V761" s="416"/>
      <c r="W761" s="42"/>
      <c r="X761" s="74"/>
      <c r="Y761" s="74"/>
      <c r="Z761" s="74"/>
      <c r="AA761" s="74"/>
      <c r="AB761" s="74"/>
      <c r="AC761" s="42"/>
      <c r="AD761" s="42"/>
      <c r="AE761" s="42"/>
      <c r="AF761" s="42"/>
      <c r="AG761" s="42"/>
      <c r="AH761" s="42"/>
      <c r="AI761" s="75"/>
      <c r="AJ761" s="75"/>
      <c r="AK761" s="75"/>
      <c r="AL761" s="75"/>
      <c r="AM761" s="74"/>
      <c r="AN761" s="72" t="e">
        <f>VLOOKUP(H761,[4]Planilha1!A$13:P$314,16,0)</f>
        <v>#N/A</v>
      </c>
    </row>
    <row r="762" spans="1:40" s="69" customFormat="1" x14ac:dyDescent="0.25">
      <c r="A762" s="88"/>
      <c r="B762" s="88"/>
      <c r="C762" s="70"/>
      <c r="D762" s="70"/>
      <c r="E762" s="70"/>
      <c r="F762" s="70"/>
      <c r="G762" s="70"/>
      <c r="H762" s="422"/>
      <c r="I762" s="422"/>
      <c r="J762" s="418"/>
      <c r="K762" s="403"/>
      <c r="L762" s="73"/>
      <c r="M762" s="72"/>
      <c r="N762" s="72"/>
      <c r="O762" s="72"/>
      <c r="P762" s="42"/>
      <c r="Q762" s="42"/>
      <c r="R762" s="42"/>
      <c r="S762" s="42"/>
      <c r="T762" s="42"/>
      <c r="U762" s="42"/>
      <c r="V762" s="416"/>
      <c r="W762" s="42"/>
      <c r="X762" s="74"/>
      <c r="Y762" s="74"/>
      <c r="Z762" s="74"/>
      <c r="AA762" s="74"/>
      <c r="AB762" s="74"/>
      <c r="AC762" s="42"/>
      <c r="AD762" s="42"/>
      <c r="AE762" s="42"/>
      <c r="AF762" s="42"/>
      <c r="AG762" s="42"/>
      <c r="AH762" s="42"/>
      <c r="AI762" s="75"/>
      <c r="AJ762" s="75"/>
      <c r="AK762" s="75"/>
      <c r="AL762" s="75"/>
      <c r="AM762" s="74"/>
      <c r="AN762" s="72" t="e">
        <f>VLOOKUP(H762,[4]Planilha1!A$13:P$314,16,0)</f>
        <v>#N/A</v>
      </c>
    </row>
    <row r="763" spans="1:40" s="69" customFormat="1" x14ac:dyDescent="0.25">
      <c r="A763" s="88"/>
      <c r="B763" s="88"/>
      <c r="C763" s="70"/>
      <c r="D763" s="70"/>
      <c r="E763" s="70"/>
      <c r="F763" s="70"/>
      <c r="G763" s="70"/>
      <c r="H763" s="422"/>
      <c r="I763" s="422"/>
      <c r="J763" s="418"/>
      <c r="K763" s="403"/>
      <c r="L763" s="73"/>
      <c r="M763" s="72"/>
      <c r="N763" s="72"/>
      <c r="O763" s="72"/>
      <c r="P763" s="42"/>
      <c r="Q763" s="42"/>
      <c r="R763" s="42"/>
      <c r="S763" s="42"/>
      <c r="T763" s="42"/>
      <c r="U763" s="42"/>
      <c r="V763" s="416"/>
      <c r="W763" s="42"/>
      <c r="X763" s="74"/>
      <c r="Y763" s="74"/>
      <c r="Z763" s="74"/>
      <c r="AA763" s="74"/>
      <c r="AB763" s="74"/>
      <c r="AC763" s="42"/>
      <c r="AD763" s="42"/>
      <c r="AE763" s="42"/>
      <c r="AF763" s="42"/>
      <c r="AG763" s="42"/>
      <c r="AH763" s="42"/>
      <c r="AI763" s="75"/>
      <c r="AJ763" s="75"/>
      <c r="AK763" s="75"/>
      <c r="AL763" s="75"/>
      <c r="AM763" s="74"/>
      <c r="AN763" s="72" t="e">
        <f>VLOOKUP(H763,[4]Planilha1!A$13:P$314,16,0)</f>
        <v>#N/A</v>
      </c>
    </row>
    <row r="764" spans="1:40" s="69" customFormat="1" x14ac:dyDescent="0.25">
      <c r="A764" s="88"/>
      <c r="B764" s="88"/>
      <c r="C764" s="70"/>
      <c r="D764" s="70"/>
      <c r="E764" s="70"/>
      <c r="F764" s="70"/>
      <c r="G764" s="70"/>
      <c r="H764" s="422"/>
      <c r="I764" s="422"/>
      <c r="J764" s="418"/>
      <c r="K764" s="403"/>
      <c r="L764" s="73"/>
      <c r="M764" s="72"/>
      <c r="N764" s="72"/>
      <c r="O764" s="72"/>
      <c r="P764" s="42"/>
      <c r="Q764" s="42"/>
      <c r="R764" s="42"/>
      <c r="S764" s="42"/>
      <c r="T764" s="42"/>
      <c r="U764" s="42"/>
      <c r="V764" s="416"/>
      <c r="W764" s="42"/>
      <c r="X764" s="74"/>
      <c r="Y764" s="74"/>
      <c r="Z764" s="74"/>
      <c r="AA764" s="74"/>
      <c r="AB764" s="74"/>
      <c r="AC764" s="42"/>
      <c r="AD764" s="42"/>
      <c r="AE764" s="42"/>
      <c r="AF764" s="42"/>
      <c r="AG764" s="42"/>
      <c r="AH764" s="42"/>
      <c r="AI764" s="75"/>
      <c r="AJ764" s="75"/>
      <c r="AK764" s="75"/>
      <c r="AL764" s="75"/>
      <c r="AM764" s="74"/>
      <c r="AN764" s="72" t="e">
        <f>VLOOKUP(H764,[4]Planilha1!A$13:P$314,16,0)</f>
        <v>#N/A</v>
      </c>
    </row>
    <row r="765" spans="1:40" s="69" customFormat="1" x14ac:dyDescent="0.25">
      <c r="A765" s="88"/>
      <c r="B765" s="88"/>
      <c r="C765" s="70"/>
      <c r="D765" s="70"/>
      <c r="E765" s="70"/>
      <c r="F765" s="70"/>
      <c r="G765" s="70"/>
      <c r="H765" s="422"/>
      <c r="I765" s="422"/>
      <c r="J765" s="418"/>
      <c r="K765" s="403"/>
      <c r="L765" s="73"/>
      <c r="M765" s="72"/>
      <c r="N765" s="72"/>
      <c r="O765" s="72"/>
      <c r="P765" s="42"/>
      <c r="Q765" s="42"/>
      <c r="R765" s="42"/>
      <c r="S765" s="42"/>
      <c r="T765" s="42"/>
      <c r="U765" s="42"/>
      <c r="V765" s="416"/>
      <c r="W765" s="42"/>
      <c r="X765" s="74"/>
      <c r="Y765" s="74"/>
      <c r="Z765" s="74"/>
      <c r="AA765" s="74"/>
      <c r="AB765" s="74"/>
      <c r="AC765" s="42"/>
      <c r="AD765" s="42"/>
      <c r="AE765" s="42"/>
      <c r="AF765" s="42"/>
      <c r="AG765" s="42"/>
      <c r="AH765" s="42"/>
      <c r="AI765" s="75"/>
      <c r="AJ765" s="75"/>
      <c r="AK765" s="75"/>
      <c r="AL765" s="75"/>
      <c r="AM765" s="74"/>
      <c r="AN765" s="72" t="e">
        <f>VLOOKUP(H765,[4]Planilha1!A$13:P$314,16,0)</f>
        <v>#N/A</v>
      </c>
    </row>
    <row r="766" spans="1:40" s="69" customFormat="1" x14ac:dyDescent="0.25">
      <c r="A766" s="88"/>
      <c r="B766" s="88"/>
      <c r="C766" s="70"/>
      <c r="D766" s="70"/>
      <c r="E766" s="70"/>
      <c r="F766" s="70"/>
      <c r="G766" s="70"/>
      <c r="H766" s="422"/>
      <c r="I766" s="422"/>
      <c r="J766" s="418"/>
      <c r="K766" s="403"/>
      <c r="L766" s="73"/>
      <c r="M766" s="72"/>
      <c r="N766" s="72"/>
      <c r="O766" s="72"/>
      <c r="P766" s="42"/>
      <c r="Q766" s="42"/>
      <c r="R766" s="42"/>
      <c r="S766" s="42"/>
      <c r="T766" s="42"/>
      <c r="U766" s="42"/>
      <c r="V766" s="416"/>
      <c r="W766" s="42"/>
      <c r="X766" s="74"/>
      <c r="Y766" s="74"/>
      <c r="Z766" s="74"/>
      <c r="AA766" s="74"/>
      <c r="AB766" s="74"/>
      <c r="AC766" s="42"/>
      <c r="AD766" s="42"/>
      <c r="AE766" s="42"/>
      <c r="AF766" s="42"/>
      <c r="AG766" s="42"/>
      <c r="AH766" s="42"/>
      <c r="AI766" s="75"/>
      <c r="AJ766" s="75"/>
      <c r="AK766" s="75"/>
      <c r="AL766" s="75"/>
      <c r="AM766" s="74"/>
      <c r="AN766" s="72" t="e">
        <f>VLOOKUP(H766,[4]Planilha1!A$13:P$314,16,0)</f>
        <v>#N/A</v>
      </c>
    </row>
    <row r="767" spans="1:40" s="69" customFormat="1" x14ac:dyDescent="0.25">
      <c r="A767" s="88"/>
      <c r="B767" s="88"/>
      <c r="C767" s="70"/>
      <c r="D767" s="70"/>
      <c r="E767" s="70"/>
      <c r="F767" s="70"/>
      <c r="G767" s="70"/>
      <c r="H767" s="422"/>
      <c r="I767" s="422"/>
      <c r="J767" s="418"/>
      <c r="K767" s="403"/>
      <c r="L767" s="73"/>
      <c r="M767" s="72"/>
      <c r="N767" s="72"/>
      <c r="O767" s="72"/>
      <c r="P767" s="42"/>
      <c r="Q767" s="42"/>
      <c r="R767" s="42"/>
      <c r="S767" s="42"/>
      <c r="T767" s="42"/>
      <c r="U767" s="42"/>
      <c r="V767" s="416"/>
      <c r="W767" s="42"/>
      <c r="X767" s="74"/>
      <c r="Y767" s="74"/>
      <c r="Z767" s="74"/>
      <c r="AA767" s="74"/>
      <c r="AB767" s="74"/>
      <c r="AC767" s="42"/>
      <c r="AD767" s="42"/>
      <c r="AE767" s="42"/>
      <c r="AF767" s="42"/>
      <c r="AG767" s="42"/>
      <c r="AH767" s="42"/>
      <c r="AI767" s="75"/>
      <c r="AJ767" s="75"/>
      <c r="AK767" s="75"/>
      <c r="AL767" s="75"/>
      <c r="AM767" s="74"/>
      <c r="AN767" s="72" t="e">
        <f>VLOOKUP(H767,[4]Planilha1!A$13:P$314,16,0)</f>
        <v>#N/A</v>
      </c>
    </row>
    <row r="768" spans="1:40" s="69" customFormat="1" x14ac:dyDescent="0.25">
      <c r="A768" s="88"/>
      <c r="B768" s="88"/>
      <c r="C768" s="70"/>
      <c r="D768" s="70"/>
      <c r="E768" s="70"/>
      <c r="F768" s="70"/>
      <c r="G768" s="70"/>
      <c r="H768" s="422"/>
      <c r="I768" s="422"/>
      <c r="J768" s="418"/>
      <c r="K768" s="403"/>
      <c r="L768" s="73"/>
      <c r="M768" s="72"/>
      <c r="N768" s="72"/>
      <c r="O768" s="72"/>
      <c r="P768" s="42"/>
      <c r="Q768" s="42"/>
      <c r="R768" s="42"/>
      <c r="S768" s="42"/>
      <c r="T768" s="42"/>
      <c r="U768" s="42"/>
      <c r="V768" s="416"/>
      <c r="W768" s="42"/>
      <c r="X768" s="74"/>
      <c r="Y768" s="74"/>
      <c r="Z768" s="74"/>
      <c r="AA768" s="74"/>
      <c r="AB768" s="74"/>
      <c r="AC768" s="42"/>
      <c r="AD768" s="42"/>
      <c r="AE768" s="42"/>
      <c r="AF768" s="42"/>
      <c r="AG768" s="42"/>
      <c r="AH768" s="42"/>
      <c r="AI768" s="75"/>
      <c r="AJ768" s="75"/>
      <c r="AK768" s="75"/>
      <c r="AL768" s="75"/>
      <c r="AM768" s="74"/>
      <c r="AN768" s="72" t="e">
        <f>VLOOKUP(H768,[4]Planilha1!A$13:P$314,16,0)</f>
        <v>#N/A</v>
      </c>
    </row>
    <row r="769" spans="1:40" s="69" customFormat="1" x14ac:dyDescent="0.25">
      <c r="A769" s="88"/>
      <c r="B769" s="88"/>
      <c r="C769" s="70"/>
      <c r="D769" s="70"/>
      <c r="E769" s="70"/>
      <c r="F769" s="70"/>
      <c r="G769" s="70"/>
      <c r="H769" s="422"/>
      <c r="I769" s="422"/>
      <c r="J769" s="418"/>
      <c r="K769" s="403"/>
      <c r="L769" s="73"/>
      <c r="M769" s="72"/>
      <c r="N769" s="72"/>
      <c r="O769" s="72"/>
      <c r="P769" s="42"/>
      <c r="Q769" s="42"/>
      <c r="R769" s="42"/>
      <c r="S769" s="42"/>
      <c r="T769" s="42"/>
      <c r="U769" s="42"/>
      <c r="V769" s="416"/>
      <c r="W769" s="42"/>
      <c r="X769" s="74"/>
      <c r="Y769" s="74"/>
      <c r="Z769" s="74"/>
      <c r="AA769" s="74"/>
      <c r="AB769" s="74"/>
      <c r="AC769" s="42"/>
      <c r="AD769" s="42"/>
      <c r="AE769" s="42"/>
      <c r="AF769" s="42"/>
      <c r="AG769" s="42"/>
      <c r="AH769" s="42"/>
      <c r="AI769" s="75"/>
      <c r="AJ769" s="75"/>
      <c r="AK769" s="75"/>
      <c r="AL769" s="75"/>
      <c r="AM769" s="74"/>
      <c r="AN769" s="72" t="e">
        <f>VLOOKUP(H769,[4]Planilha1!A$13:P$314,16,0)</f>
        <v>#N/A</v>
      </c>
    </row>
    <row r="770" spans="1:40" s="69" customFormat="1" x14ac:dyDescent="0.25">
      <c r="A770" s="88"/>
      <c r="B770" s="88"/>
      <c r="C770" s="70"/>
      <c r="D770" s="70"/>
      <c r="E770" s="70"/>
      <c r="F770" s="70"/>
      <c r="G770" s="70"/>
      <c r="H770" s="422"/>
      <c r="I770" s="422"/>
      <c r="J770" s="418"/>
      <c r="K770" s="403"/>
      <c r="L770" s="73"/>
      <c r="M770" s="72"/>
      <c r="N770" s="72"/>
      <c r="O770" s="72"/>
      <c r="P770" s="42"/>
      <c r="Q770" s="42"/>
      <c r="R770" s="42"/>
      <c r="S770" s="42"/>
      <c r="T770" s="42"/>
      <c r="U770" s="42"/>
      <c r="V770" s="416"/>
      <c r="W770" s="42"/>
      <c r="X770" s="74"/>
      <c r="Y770" s="74"/>
      <c r="Z770" s="74"/>
      <c r="AA770" s="74"/>
      <c r="AB770" s="74"/>
      <c r="AC770" s="42"/>
      <c r="AD770" s="42"/>
      <c r="AE770" s="42"/>
      <c r="AF770" s="42"/>
      <c r="AG770" s="42"/>
      <c r="AH770" s="42"/>
      <c r="AI770" s="75"/>
      <c r="AJ770" s="75"/>
      <c r="AK770" s="75"/>
      <c r="AL770" s="75"/>
      <c r="AM770" s="74"/>
      <c r="AN770" s="72" t="e">
        <f>VLOOKUP(H770,[4]Planilha1!A$13:P$314,16,0)</f>
        <v>#N/A</v>
      </c>
    </row>
    <row r="771" spans="1:40" s="69" customFormat="1" x14ac:dyDescent="0.25">
      <c r="A771" s="88"/>
      <c r="B771" s="88"/>
      <c r="C771" s="70"/>
      <c r="D771" s="70"/>
      <c r="E771" s="70"/>
      <c r="F771" s="70"/>
      <c r="G771" s="70"/>
      <c r="H771" s="422"/>
      <c r="I771" s="422"/>
      <c r="J771" s="418"/>
      <c r="K771" s="403"/>
      <c r="L771" s="73"/>
      <c r="M771" s="72"/>
      <c r="N771" s="72"/>
      <c r="O771" s="72"/>
      <c r="P771" s="42"/>
      <c r="Q771" s="42"/>
      <c r="R771" s="42"/>
      <c r="S771" s="42"/>
      <c r="T771" s="42"/>
      <c r="U771" s="42"/>
      <c r="V771" s="416"/>
      <c r="W771" s="42"/>
      <c r="X771" s="74"/>
      <c r="Y771" s="74"/>
      <c r="Z771" s="74"/>
      <c r="AA771" s="74"/>
      <c r="AB771" s="74"/>
      <c r="AC771" s="42"/>
      <c r="AD771" s="42"/>
      <c r="AE771" s="42"/>
      <c r="AF771" s="42"/>
      <c r="AG771" s="42"/>
      <c r="AH771" s="42"/>
      <c r="AI771" s="75"/>
      <c r="AJ771" s="75"/>
      <c r="AK771" s="75"/>
      <c r="AL771" s="75"/>
      <c r="AM771" s="74"/>
      <c r="AN771" s="72" t="e">
        <f>VLOOKUP(H771,[4]Planilha1!A$13:P$314,16,0)</f>
        <v>#N/A</v>
      </c>
    </row>
    <row r="772" spans="1:40" s="69" customFormat="1" x14ac:dyDescent="0.25">
      <c r="A772" s="88"/>
      <c r="B772" s="88"/>
      <c r="C772" s="70"/>
      <c r="D772" s="70"/>
      <c r="E772" s="70"/>
      <c r="F772" s="70"/>
      <c r="G772" s="70"/>
      <c r="H772" s="422"/>
      <c r="I772" s="422"/>
      <c r="J772" s="418"/>
      <c r="K772" s="403"/>
      <c r="L772" s="73"/>
      <c r="M772" s="72"/>
      <c r="N772" s="72"/>
      <c r="O772" s="72"/>
      <c r="P772" s="42"/>
      <c r="Q772" s="42"/>
      <c r="R772" s="42"/>
      <c r="S772" s="42"/>
      <c r="T772" s="42"/>
      <c r="U772" s="42"/>
      <c r="V772" s="416"/>
      <c r="W772" s="42"/>
      <c r="X772" s="74"/>
      <c r="Y772" s="74"/>
      <c r="Z772" s="74"/>
      <c r="AA772" s="74"/>
      <c r="AB772" s="74"/>
      <c r="AC772" s="42"/>
      <c r="AD772" s="42"/>
      <c r="AE772" s="42"/>
      <c r="AF772" s="42"/>
      <c r="AG772" s="42"/>
      <c r="AH772" s="42"/>
      <c r="AI772" s="75"/>
      <c r="AJ772" s="75"/>
      <c r="AK772" s="75"/>
      <c r="AL772" s="75"/>
      <c r="AM772" s="74"/>
      <c r="AN772" s="72" t="e">
        <f>VLOOKUP(H772,[4]Planilha1!A$13:P$314,16,0)</f>
        <v>#N/A</v>
      </c>
    </row>
    <row r="773" spans="1:40" s="69" customFormat="1" x14ac:dyDescent="0.25">
      <c r="A773" s="88"/>
      <c r="B773" s="88"/>
      <c r="C773" s="70"/>
      <c r="D773" s="70"/>
      <c r="E773" s="70"/>
      <c r="F773" s="70"/>
      <c r="G773" s="70"/>
      <c r="H773" s="422"/>
      <c r="I773" s="422"/>
      <c r="J773" s="418"/>
      <c r="K773" s="403"/>
      <c r="L773" s="73"/>
      <c r="M773" s="72"/>
      <c r="N773" s="72"/>
      <c r="O773" s="72"/>
      <c r="P773" s="42"/>
      <c r="Q773" s="42"/>
      <c r="R773" s="42"/>
      <c r="S773" s="42"/>
      <c r="T773" s="42"/>
      <c r="U773" s="42"/>
      <c r="V773" s="416"/>
      <c r="W773" s="42"/>
      <c r="X773" s="74"/>
      <c r="Y773" s="74"/>
      <c r="Z773" s="74"/>
      <c r="AA773" s="74"/>
      <c r="AB773" s="74"/>
      <c r="AC773" s="42"/>
      <c r="AD773" s="42"/>
      <c r="AE773" s="42"/>
      <c r="AF773" s="42"/>
      <c r="AG773" s="42"/>
      <c r="AH773" s="42"/>
      <c r="AI773" s="75"/>
      <c r="AJ773" s="75"/>
      <c r="AK773" s="75"/>
      <c r="AL773" s="75"/>
      <c r="AM773" s="74"/>
      <c r="AN773" s="72" t="e">
        <f>VLOOKUP(H773,[4]Planilha1!A$13:P$314,16,0)</f>
        <v>#N/A</v>
      </c>
    </row>
    <row r="774" spans="1:40" s="69" customFormat="1" x14ac:dyDescent="0.25">
      <c r="A774" s="88"/>
      <c r="B774" s="88"/>
      <c r="C774" s="70"/>
      <c r="D774" s="70"/>
      <c r="E774" s="70"/>
      <c r="F774" s="70"/>
      <c r="G774" s="70"/>
      <c r="H774" s="422"/>
      <c r="I774" s="422"/>
      <c r="J774" s="418"/>
      <c r="K774" s="403"/>
      <c r="L774" s="73"/>
      <c r="M774" s="72"/>
      <c r="N774" s="72"/>
      <c r="O774" s="72"/>
      <c r="P774" s="42"/>
      <c r="Q774" s="42"/>
      <c r="R774" s="42"/>
      <c r="S774" s="42"/>
      <c r="T774" s="42"/>
      <c r="U774" s="42"/>
      <c r="V774" s="416"/>
      <c r="W774" s="42"/>
      <c r="X774" s="74"/>
      <c r="Y774" s="74"/>
      <c r="Z774" s="74"/>
      <c r="AA774" s="74"/>
      <c r="AB774" s="74"/>
      <c r="AC774" s="42"/>
      <c r="AD774" s="42"/>
      <c r="AE774" s="42"/>
      <c r="AF774" s="42"/>
      <c r="AG774" s="42"/>
      <c r="AH774" s="42"/>
      <c r="AI774" s="75"/>
      <c r="AJ774" s="75"/>
      <c r="AK774" s="75"/>
      <c r="AL774" s="75"/>
      <c r="AM774" s="74"/>
      <c r="AN774" s="72" t="e">
        <f>VLOOKUP(H774,[4]Planilha1!A$13:P$314,16,0)</f>
        <v>#N/A</v>
      </c>
    </row>
    <row r="775" spans="1:40" s="69" customFormat="1" x14ac:dyDescent="0.25">
      <c r="A775" s="88"/>
      <c r="B775" s="88"/>
      <c r="C775" s="70"/>
      <c r="D775" s="70"/>
      <c r="E775" s="70"/>
      <c r="F775" s="70"/>
      <c r="G775" s="70"/>
      <c r="H775" s="422"/>
      <c r="I775" s="422"/>
      <c r="J775" s="418"/>
      <c r="K775" s="403"/>
      <c r="L775" s="73"/>
      <c r="M775" s="72"/>
      <c r="N775" s="72"/>
      <c r="O775" s="72"/>
      <c r="P775" s="42"/>
      <c r="Q775" s="42"/>
      <c r="R775" s="42"/>
      <c r="S775" s="42"/>
      <c r="T775" s="42"/>
      <c r="U775" s="42"/>
      <c r="V775" s="416"/>
      <c r="W775" s="42"/>
      <c r="X775" s="74"/>
      <c r="Y775" s="74"/>
      <c r="Z775" s="74"/>
      <c r="AA775" s="74"/>
      <c r="AB775" s="74"/>
      <c r="AC775" s="42"/>
      <c r="AD775" s="42"/>
      <c r="AE775" s="42"/>
      <c r="AF775" s="42"/>
      <c r="AG775" s="42"/>
      <c r="AH775" s="42"/>
      <c r="AI775" s="75"/>
      <c r="AJ775" s="75"/>
      <c r="AK775" s="75"/>
      <c r="AL775" s="75"/>
      <c r="AM775" s="74"/>
      <c r="AN775" s="72" t="e">
        <f>VLOOKUP(H775,[4]Planilha1!A$13:P$314,16,0)</f>
        <v>#N/A</v>
      </c>
    </row>
    <row r="776" spans="1:40" s="69" customFormat="1" x14ac:dyDescent="0.25">
      <c r="A776" s="88"/>
      <c r="B776" s="88"/>
      <c r="C776" s="70"/>
      <c r="D776" s="70"/>
      <c r="E776" s="70"/>
      <c r="F776" s="70"/>
      <c r="G776" s="70"/>
      <c r="H776" s="422"/>
      <c r="I776" s="422"/>
      <c r="J776" s="418"/>
      <c r="K776" s="403"/>
      <c r="L776" s="73"/>
      <c r="M776" s="72"/>
      <c r="N776" s="72"/>
      <c r="O776" s="72"/>
      <c r="P776" s="42"/>
      <c r="Q776" s="42"/>
      <c r="R776" s="42"/>
      <c r="S776" s="42"/>
      <c r="T776" s="42"/>
      <c r="U776" s="42"/>
      <c r="V776" s="416"/>
      <c r="W776" s="42"/>
      <c r="X776" s="74"/>
      <c r="Y776" s="74"/>
      <c r="Z776" s="74"/>
      <c r="AA776" s="74"/>
      <c r="AB776" s="74"/>
      <c r="AC776" s="42"/>
      <c r="AD776" s="42"/>
      <c r="AE776" s="42"/>
      <c r="AF776" s="42"/>
      <c r="AG776" s="42"/>
      <c r="AH776" s="42"/>
      <c r="AI776" s="75"/>
      <c r="AJ776" s="75"/>
      <c r="AK776" s="75"/>
      <c r="AL776" s="75"/>
      <c r="AM776" s="74"/>
      <c r="AN776" s="72" t="e">
        <f>VLOOKUP(H776,[4]Planilha1!A$13:P$314,16,0)</f>
        <v>#N/A</v>
      </c>
    </row>
    <row r="777" spans="1:40" s="69" customFormat="1" x14ac:dyDescent="0.25">
      <c r="A777" s="88"/>
      <c r="B777" s="88"/>
      <c r="C777" s="70"/>
      <c r="D777" s="70"/>
      <c r="E777" s="70"/>
      <c r="F777" s="70"/>
      <c r="G777" s="70"/>
      <c r="H777" s="422"/>
      <c r="I777" s="422"/>
      <c r="J777" s="418"/>
      <c r="K777" s="403"/>
      <c r="L777" s="73"/>
      <c r="M777" s="72"/>
      <c r="N777" s="72"/>
      <c r="O777" s="72"/>
      <c r="P777" s="42"/>
      <c r="Q777" s="42"/>
      <c r="R777" s="42"/>
      <c r="S777" s="42"/>
      <c r="T777" s="42"/>
      <c r="U777" s="42"/>
      <c r="V777" s="416"/>
      <c r="W777" s="42"/>
      <c r="X777" s="74"/>
      <c r="Y777" s="74"/>
      <c r="Z777" s="74"/>
      <c r="AA777" s="74"/>
      <c r="AB777" s="74"/>
      <c r="AC777" s="42"/>
      <c r="AD777" s="42"/>
      <c r="AE777" s="42"/>
      <c r="AF777" s="42"/>
      <c r="AG777" s="42"/>
      <c r="AH777" s="42"/>
      <c r="AI777" s="75"/>
      <c r="AJ777" s="75"/>
      <c r="AK777" s="75"/>
      <c r="AL777" s="75"/>
      <c r="AM777" s="74"/>
      <c r="AN777" s="72" t="e">
        <f>VLOOKUP(H777,[4]Planilha1!A$13:P$314,16,0)</f>
        <v>#N/A</v>
      </c>
    </row>
    <row r="778" spans="1:40" s="69" customFormat="1" x14ac:dyDescent="0.25">
      <c r="A778" s="88"/>
      <c r="B778" s="88"/>
      <c r="C778" s="70"/>
      <c r="D778" s="70"/>
      <c r="E778" s="70"/>
      <c r="F778" s="70"/>
      <c r="G778" s="70"/>
      <c r="H778" s="422"/>
      <c r="I778" s="422"/>
      <c r="J778" s="418"/>
      <c r="K778" s="403"/>
      <c r="L778" s="73"/>
      <c r="M778" s="72"/>
      <c r="N778" s="72"/>
      <c r="O778" s="72"/>
      <c r="P778" s="42"/>
      <c r="Q778" s="42"/>
      <c r="R778" s="42"/>
      <c r="S778" s="42"/>
      <c r="T778" s="42"/>
      <c r="U778" s="42"/>
      <c r="V778" s="416"/>
      <c r="W778" s="42"/>
      <c r="X778" s="74"/>
      <c r="Y778" s="74"/>
      <c r="Z778" s="74"/>
      <c r="AA778" s="74"/>
      <c r="AB778" s="74"/>
      <c r="AC778" s="42"/>
      <c r="AD778" s="42"/>
      <c r="AE778" s="42"/>
      <c r="AF778" s="42"/>
      <c r="AG778" s="42"/>
      <c r="AH778" s="42"/>
      <c r="AI778" s="75"/>
      <c r="AJ778" s="75"/>
      <c r="AK778" s="75"/>
      <c r="AL778" s="75"/>
      <c r="AM778" s="74"/>
      <c r="AN778" s="72" t="e">
        <f>VLOOKUP(H778,[4]Planilha1!A$13:P$314,16,0)</f>
        <v>#N/A</v>
      </c>
    </row>
    <row r="779" spans="1:40" s="69" customFormat="1" x14ac:dyDescent="0.25">
      <c r="A779" s="88"/>
      <c r="B779" s="88"/>
      <c r="C779" s="70"/>
      <c r="D779" s="70"/>
      <c r="E779" s="70"/>
      <c r="F779" s="70"/>
      <c r="G779" s="70"/>
      <c r="H779" s="422"/>
      <c r="I779" s="422"/>
      <c r="J779" s="418"/>
      <c r="K779" s="403"/>
      <c r="L779" s="73"/>
      <c r="M779" s="72"/>
      <c r="N779" s="72"/>
      <c r="O779" s="72"/>
      <c r="P779" s="42"/>
      <c r="Q779" s="42"/>
      <c r="R779" s="42"/>
      <c r="S779" s="42"/>
      <c r="T779" s="42"/>
      <c r="U779" s="42"/>
      <c r="V779" s="416"/>
      <c r="W779" s="42"/>
      <c r="X779" s="74"/>
      <c r="Y779" s="74"/>
      <c r="Z779" s="74"/>
      <c r="AA779" s="74"/>
      <c r="AB779" s="74"/>
      <c r="AC779" s="42"/>
      <c r="AD779" s="42"/>
      <c r="AE779" s="42"/>
      <c r="AF779" s="42"/>
      <c r="AG779" s="42"/>
      <c r="AH779" s="42"/>
      <c r="AI779" s="75"/>
      <c r="AJ779" s="75"/>
      <c r="AK779" s="75"/>
      <c r="AL779" s="75"/>
      <c r="AM779" s="74"/>
      <c r="AN779" s="72" t="e">
        <f>VLOOKUP(H779,[4]Planilha1!A$13:P$314,16,0)</f>
        <v>#N/A</v>
      </c>
    </row>
    <row r="780" spans="1:40" s="69" customFormat="1" x14ac:dyDescent="0.25">
      <c r="A780" s="88"/>
      <c r="B780" s="88"/>
      <c r="C780" s="70"/>
      <c r="D780" s="70"/>
      <c r="E780" s="70"/>
      <c r="F780" s="70"/>
      <c r="G780" s="70"/>
      <c r="H780" s="422"/>
      <c r="I780" s="422"/>
      <c r="J780" s="418"/>
      <c r="K780" s="403"/>
      <c r="L780" s="73"/>
      <c r="M780" s="72"/>
      <c r="N780" s="72"/>
      <c r="O780" s="72"/>
      <c r="P780" s="42"/>
      <c r="Q780" s="42"/>
      <c r="R780" s="42"/>
      <c r="S780" s="42"/>
      <c r="T780" s="42"/>
      <c r="U780" s="42"/>
      <c r="V780" s="416"/>
      <c r="W780" s="42"/>
      <c r="X780" s="74"/>
      <c r="Y780" s="74"/>
      <c r="Z780" s="74"/>
      <c r="AA780" s="74"/>
      <c r="AB780" s="74"/>
      <c r="AC780" s="42"/>
      <c r="AD780" s="42"/>
      <c r="AE780" s="42"/>
      <c r="AF780" s="42"/>
      <c r="AG780" s="42"/>
      <c r="AH780" s="42"/>
      <c r="AI780" s="75"/>
      <c r="AJ780" s="75"/>
      <c r="AK780" s="75"/>
      <c r="AL780" s="75"/>
      <c r="AM780" s="74"/>
      <c r="AN780" s="72" t="e">
        <f>VLOOKUP(H780,[4]Planilha1!A$13:P$314,16,0)</f>
        <v>#N/A</v>
      </c>
    </row>
    <row r="781" spans="1:40" s="69" customFormat="1" x14ac:dyDescent="0.25">
      <c r="A781" s="88"/>
      <c r="B781" s="88"/>
      <c r="C781" s="70"/>
      <c r="D781" s="70"/>
      <c r="E781" s="70"/>
      <c r="F781" s="70"/>
      <c r="G781" s="70"/>
      <c r="H781" s="422"/>
      <c r="I781" s="422"/>
      <c r="J781" s="418"/>
      <c r="K781" s="403"/>
      <c r="L781" s="73"/>
      <c r="M781" s="72"/>
      <c r="N781" s="72"/>
      <c r="O781" s="72"/>
      <c r="P781" s="42"/>
      <c r="Q781" s="42"/>
      <c r="R781" s="42"/>
      <c r="S781" s="42"/>
      <c r="T781" s="42"/>
      <c r="U781" s="42"/>
      <c r="V781" s="416"/>
      <c r="W781" s="42"/>
      <c r="X781" s="74"/>
      <c r="Y781" s="74"/>
      <c r="Z781" s="74"/>
      <c r="AA781" s="74"/>
      <c r="AB781" s="74"/>
      <c r="AC781" s="42"/>
      <c r="AD781" s="42"/>
      <c r="AE781" s="42"/>
      <c r="AF781" s="42"/>
      <c r="AG781" s="42"/>
      <c r="AH781" s="42"/>
      <c r="AI781" s="75"/>
      <c r="AJ781" s="75"/>
      <c r="AK781" s="75"/>
      <c r="AL781" s="75"/>
      <c r="AM781" s="74"/>
      <c r="AN781" s="72" t="e">
        <f>VLOOKUP(H781,[4]Planilha1!A$13:P$314,16,0)</f>
        <v>#N/A</v>
      </c>
    </row>
    <row r="782" spans="1:40" s="69" customFormat="1" x14ac:dyDescent="0.25">
      <c r="A782" s="88"/>
      <c r="B782" s="88"/>
      <c r="C782" s="70"/>
      <c r="D782" s="70"/>
      <c r="E782" s="70"/>
      <c r="F782" s="70"/>
      <c r="G782" s="70"/>
      <c r="H782" s="422"/>
      <c r="I782" s="422"/>
      <c r="J782" s="418"/>
      <c r="K782" s="403"/>
      <c r="L782" s="73"/>
      <c r="M782" s="72"/>
      <c r="N782" s="72"/>
      <c r="O782" s="72"/>
      <c r="P782" s="42"/>
      <c r="Q782" s="42"/>
      <c r="R782" s="42"/>
      <c r="S782" s="42"/>
      <c r="T782" s="42"/>
      <c r="U782" s="42"/>
      <c r="V782" s="416"/>
      <c r="W782" s="42"/>
      <c r="X782" s="74"/>
      <c r="Y782" s="74"/>
      <c r="Z782" s="74"/>
      <c r="AA782" s="74"/>
      <c r="AB782" s="74"/>
      <c r="AC782" s="42"/>
      <c r="AD782" s="42"/>
      <c r="AE782" s="42"/>
      <c r="AF782" s="42"/>
      <c r="AG782" s="42"/>
      <c r="AH782" s="42"/>
      <c r="AI782" s="75"/>
      <c r="AJ782" s="75"/>
      <c r="AK782" s="75"/>
      <c r="AL782" s="75"/>
      <c r="AM782" s="74"/>
      <c r="AN782" s="72" t="e">
        <f>VLOOKUP(H782,[4]Planilha1!A$13:P$314,16,0)</f>
        <v>#N/A</v>
      </c>
    </row>
    <row r="783" spans="1:40" s="69" customFormat="1" x14ac:dyDescent="0.25">
      <c r="A783" s="88"/>
      <c r="B783" s="88"/>
      <c r="C783" s="70"/>
      <c r="D783" s="70"/>
      <c r="E783" s="70"/>
      <c r="F783" s="70"/>
      <c r="G783" s="70"/>
      <c r="H783" s="422"/>
      <c r="I783" s="422"/>
      <c r="J783" s="418"/>
      <c r="K783" s="403"/>
      <c r="L783" s="73"/>
      <c r="M783" s="72"/>
      <c r="N783" s="72"/>
      <c r="O783" s="72"/>
      <c r="P783" s="42"/>
      <c r="Q783" s="42"/>
      <c r="R783" s="42"/>
      <c r="S783" s="42"/>
      <c r="T783" s="42"/>
      <c r="U783" s="42"/>
      <c r="V783" s="416"/>
      <c r="W783" s="42"/>
      <c r="X783" s="74"/>
      <c r="Y783" s="74"/>
      <c r="Z783" s="74"/>
      <c r="AA783" s="74"/>
      <c r="AB783" s="74"/>
      <c r="AC783" s="42"/>
      <c r="AD783" s="42"/>
      <c r="AE783" s="42"/>
      <c r="AF783" s="42"/>
      <c r="AG783" s="42"/>
      <c r="AH783" s="42"/>
      <c r="AI783" s="75"/>
      <c r="AJ783" s="75"/>
      <c r="AK783" s="75"/>
      <c r="AL783" s="75"/>
      <c r="AM783" s="74"/>
      <c r="AN783" s="72" t="e">
        <f>VLOOKUP(H783,[4]Planilha1!A$13:P$314,16,0)</f>
        <v>#N/A</v>
      </c>
    </row>
    <row r="784" spans="1:40" s="69" customFormat="1" x14ac:dyDescent="0.25">
      <c r="A784" s="88"/>
      <c r="B784" s="88"/>
      <c r="C784" s="70"/>
      <c r="D784" s="70"/>
      <c r="E784" s="70"/>
      <c r="F784" s="70"/>
      <c r="G784" s="70"/>
      <c r="H784" s="422"/>
      <c r="I784" s="422"/>
      <c r="J784" s="418"/>
      <c r="K784" s="403"/>
      <c r="L784" s="73"/>
      <c r="M784" s="72"/>
      <c r="N784" s="72"/>
      <c r="O784" s="72"/>
      <c r="P784" s="42"/>
      <c r="Q784" s="42"/>
      <c r="R784" s="42"/>
      <c r="S784" s="42"/>
      <c r="T784" s="42"/>
      <c r="U784" s="42"/>
      <c r="V784" s="416"/>
      <c r="W784" s="42"/>
      <c r="X784" s="74"/>
      <c r="Y784" s="74"/>
      <c r="Z784" s="74"/>
      <c r="AA784" s="74"/>
      <c r="AB784" s="74"/>
      <c r="AC784" s="42"/>
      <c r="AD784" s="42"/>
      <c r="AE784" s="42"/>
      <c r="AF784" s="42"/>
      <c r="AG784" s="42"/>
      <c r="AH784" s="42"/>
      <c r="AI784" s="75"/>
      <c r="AJ784" s="75"/>
      <c r="AK784" s="75"/>
      <c r="AL784" s="75"/>
      <c r="AM784" s="74"/>
      <c r="AN784" s="72" t="e">
        <f>VLOOKUP(H784,[4]Planilha1!A$13:P$314,16,0)</f>
        <v>#N/A</v>
      </c>
    </row>
    <row r="785" spans="1:40" s="69" customFormat="1" x14ac:dyDescent="0.25">
      <c r="A785" s="88"/>
      <c r="B785" s="88"/>
      <c r="C785" s="70"/>
      <c r="D785" s="70"/>
      <c r="E785" s="70"/>
      <c r="F785" s="70"/>
      <c r="G785" s="70"/>
      <c r="H785" s="422"/>
      <c r="I785" s="422"/>
      <c r="J785" s="418"/>
      <c r="K785" s="403"/>
      <c r="L785" s="73"/>
      <c r="M785" s="72"/>
      <c r="N785" s="72"/>
      <c r="O785" s="72"/>
      <c r="P785" s="42"/>
      <c r="Q785" s="42"/>
      <c r="R785" s="42"/>
      <c r="S785" s="42"/>
      <c r="T785" s="42"/>
      <c r="U785" s="42"/>
      <c r="V785" s="416"/>
      <c r="W785" s="42"/>
      <c r="X785" s="74"/>
      <c r="Y785" s="74"/>
      <c r="Z785" s="74"/>
      <c r="AA785" s="74"/>
      <c r="AB785" s="74"/>
      <c r="AC785" s="42"/>
      <c r="AD785" s="42"/>
      <c r="AE785" s="42"/>
      <c r="AF785" s="42"/>
      <c r="AG785" s="42"/>
      <c r="AH785" s="42"/>
      <c r="AI785" s="75"/>
      <c r="AJ785" s="75"/>
      <c r="AK785" s="75"/>
      <c r="AL785" s="75"/>
      <c r="AM785" s="74"/>
      <c r="AN785" s="72" t="e">
        <f>VLOOKUP(H785,[4]Planilha1!A$13:P$314,16,0)</f>
        <v>#N/A</v>
      </c>
    </row>
    <row r="786" spans="1:40" s="69" customFormat="1" x14ac:dyDescent="0.25">
      <c r="A786" s="88"/>
      <c r="B786" s="88"/>
      <c r="C786" s="70"/>
      <c r="D786" s="70"/>
      <c r="E786" s="70"/>
      <c r="F786" s="70"/>
      <c r="G786" s="70"/>
      <c r="H786" s="422"/>
      <c r="I786" s="422"/>
      <c r="J786" s="418"/>
      <c r="K786" s="403"/>
      <c r="L786" s="73"/>
      <c r="M786" s="72"/>
      <c r="N786" s="72"/>
      <c r="O786" s="72"/>
      <c r="P786" s="42"/>
      <c r="Q786" s="42"/>
      <c r="R786" s="42"/>
      <c r="S786" s="42"/>
      <c r="T786" s="42"/>
      <c r="U786" s="42"/>
      <c r="V786" s="416"/>
      <c r="W786" s="42"/>
      <c r="X786" s="74"/>
      <c r="Y786" s="74"/>
      <c r="Z786" s="74"/>
      <c r="AA786" s="74"/>
      <c r="AB786" s="74"/>
      <c r="AC786" s="42"/>
      <c r="AD786" s="42"/>
      <c r="AE786" s="42"/>
      <c r="AF786" s="42"/>
      <c r="AG786" s="42"/>
      <c r="AH786" s="42"/>
      <c r="AI786" s="75"/>
      <c r="AJ786" s="75"/>
      <c r="AK786" s="75"/>
      <c r="AL786" s="75"/>
      <c r="AM786" s="74"/>
      <c r="AN786" s="72" t="e">
        <f>VLOOKUP(H786,[4]Planilha1!A$13:P$314,16,0)</f>
        <v>#N/A</v>
      </c>
    </row>
    <row r="787" spans="1:40" s="69" customFormat="1" x14ac:dyDescent="0.25">
      <c r="A787" s="88"/>
      <c r="B787" s="88"/>
      <c r="C787" s="70"/>
      <c r="D787" s="70"/>
      <c r="E787" s="70"/>
      <c r="F787" s="70"/>
      <c r="G787" s="70"/>
      <c r="H787" s="422"/>
      <c r="I787" s="422"/>
      <c r="J787" s="418"/>
      <c r="K787" s="403"/>
      <c r="L787" s="73"/>
      <c r="M787" s="72"/>
      <c r="N787" s="72"/>
      <c r="O787" s="72"/>
      <c r="P787" s="42"/>
      <c r="Q787" s="42"/>
      <c r="R787" s="42"/>
      <c r="S787" s="42"/>
      <c r="T787" s="42"/>
      <c r="U787" s="42"/>
      <c r="V787" s="416"/>
      <c r="W787" s="42"/>
      <c r="X787" s="74"/>
      <c r="Y787" s="74"/>
      <c r="Z787" s="74"/>
      <c r="AA787" s="74"/>
      <c r="AB787" s="74"/>
      <c r="AC787" s="42"/>
      <c r="AD787" s="42"/>
      <c r="AE787" s="42"/>
      <c r="AF787" s="42"/>
      <c r="AG787" s="42"/>
      <c r="AH787" s="42"/>
      <c r="AI787" s="75"/>
      <c r="AJ787" s="75"/>
      <c r="AK787" s="75"/>
      <c r="AL787" s="75"/>
      <c r="AM787" s="74"/>
      <c r="AN787" s="72" t="e">
        <f>VLOOKUP(H787,[4]Planilha1!A$13:P$314,16,0)</f>
        <v>#N/A</v>
      </c>
    </row>
    <row r="788" spans="1:40" s="69" customFormat="1" x14ac:dyDescent="0.25">
      <c r="A788" s="88"/>
      <c r="B788" s="88"/>
      <c r="C788" s="70"/>
      <c r="D788" s="70"/>
      <c r="E788" s="70"/>
      <c r="F788" s="70"/>
      <c r="G788" s="70"/>
      <c r="H788" s="422"/>
      <c r="I788" s="422"/>
      <c r="J788" s="418"/>
      <c r="K788" s="403"/>
      <c r="L788" s="73"/>
      <c r="M788" s="72"/>
      <c r="N788" s="72"/>
      <c r="O788" s="72"/>
      <c r="P788" s="42"/>
      <c r="Q788" s="42"/>
      <c r="R788" s="42"/>
      <c r="S788" s="42"/>
      <c r="T788" s="42"/>
      <c r="U788" s="42"/>
      <c r="V788" s="416"/>
      <c r="W788" s="42"/>
      <c r="X788" s="74"/>
      <c r="Y788" s="74"/>
      <c r="Z788" s="74"/>
      <c r="AA788" s="74"/>
      <c r="AB788" s="74"/>
      <c r="AC788" s="42"/>
      <c r="AD788" s="42"/>
      <c r="AE788" s="42"/>
      <c r="AF788" s="42"/>
      <c r="AG788" s="42"/>
      <c r="AH788" s="42"/>
      <c r="AI788" s="75"/>
      <c r="AJ788" s="75"/>
      <c r="AK788" s="75"/>
      <c r="AL788" s="75"/>
      <c r="AM788" s="74"/>
      <c r="AN788" s="72" t="e">
        <f>VLOOKUP(H788,[4]Planilha1!A$13:P$314,16,0)</f>
        <v>#N/A</v>
      </c>
    </row>
    <row r="789" spans="1:40" s="69" customFormat="1" x14ac:dyDescent="0.25">
      <c r="A789" s="88"/>
      <c r="B789" s="88"/>
      <c r="C789" s="70"/>
      <c r="D789" s="70"/>
      <c r="E789" s="70"/>
      <c r="F789" s="70"/>
      <c r="G789" s="70"/>
      <c r="H789" s="422"/>
      <c r="I789" s="422"/>
      <c r="J789" s="418"/>
      <c r="K789" s="403"/>
      <c r="L789" s="73"/>
      <c r="M789" s="72"/>
      <c r="N789" s="72"/>
      <c r="O789" s="72"/>
      <c r="P789" s="42"/>
      <c r="Q789" s="42"/>
      <c r="R789" s="42"/>
      <c r="S789" s="42"/>
      <c r="T789" s="42"/>
      <c r="U789" s="42"/>
      <c r="V789" s="416"/>
      <c r="W789" s="42"/>
      <c r="X789" s="74"/>
      <c r="Y789" s="74"/>
      <c r="Z789" s="74"/>
      <c r="AA789" s="74"/>
      <c r="AB789" s="74"/>
      <c r="AC789" s="42"/>
      <c r="AD789" s="42"/>
      <c r="AE789" s="42"/>
      <c r="AF789" s="42"/>
      <c r="AG789" s="42"/>
      <c r="AH789" s="42"/>
      <c r="AI789" s="75"/>
      <c r="AJ789" s="75"/>
      <c r="AK789" s="75"/>
      <c r="AL789" s="75"/>
      <c r="AM789" s="74"/>
      <c r="AN789" s="72" t="e">
        <f>VLOOKUP(H789,[4]Planilha1!A$13:P$314,16,0)</f>
        <v>#N/A</v>
      </c>
    </row>
    <row r="790" spans="1:40" s="69" customFormat="1" x14ac:dyDescent="0.25">
      <c r="A790" s="88"/>
      <c r="B790" s="88"/>
      <c r="C790" s="70"/>
      <c r="D790" s="70"/>
      <c r="E790" s="70"/>
      <c r="F790" s="70"/>
      <c r="G790" s="70"/>
      <c r="H790" s="422"/>
      <c r="I790" s="422"/>
      <c r="J790" s="418"/>
      <c r="K790" s="403"/>
      <c r="L790" s="73"/>
      <c r="M790" s="72"/>
      <c r="N790" s="72"/>
      <c r="O790" s="72"/>
      <c r="P790" s="42"/>
      <c r="Q790" s="42"/>
      <c r="R790" s="42"/>
      <c r="S790" s="42"/>
      <c r="T790" s="42"/>
      <c r="U790" s="42"/>
      <c r="V790" s="416"/>
      <c r="W790" s="42"/>
      <c r="X790" s="74"/>
      <c r="Y790" s="74"/>
      <c r="Z790" s="74"/>
      <c r="AA790" s="74"/>
      <c r="AB790" s="74"/>
      <c r="AC790" s="42"/>
      <c r="AD790" s="42"/>
      <c r="AE790" s="42"/>
      <c r="AF790" s="42"/>
      <c r="AG790" s="42"/>
      <c r="AH790" s="42"/>
      <c r="AI790" s="75"/>
      <c r="AJ790" s="75"/>
      <c r="AK790" s="75"/>
      <c r="AL790" s="75"/>
      <c r="AM790" s="74"/>
      <c r="AN790" s="72" t="e">
        <f>VLOOKUP(H790,[4]Planilha1!A$13:P$314,16,0)</f>
        <v>#N/A</v>
      </c>
    </row>
    <row r="791" spans="1:40" s="69" customFormat="1" x14ac:dyDescent="0.25">
      <c r="A791" s="88"/>
      <c r="B791" s="88"/>
      <c r="C791" s="70"/>
      <c r="D791" s="70"/>
      <c r="E791" s="70"/>
      <c r="F791" s="70"/>
      <c r="G791" s="70"/>
      <c r="H791" s="422"/>
      <c r="I791" s="422"/>
      <c r="J791" s="418"/>
      <c r="K791" s="403"/>
      <c r="L791" s="73"/>
      <c r="M791" s="72"/>
      <c r="N791" s="72"/>
      <c r="O791" s="72"/>
      <c r="P791" s="42"/>
      <c r="Q791" s="42"/>
      <c r="R791" s="42"/>
      <c r="S791" s="42"/>
      <c r="T791" s="42"/>
      <c r="U791" s="42"/>
      <c r="V791" s="416"/>
      <c r="W791" s="42"/>
      <c r="X791" s="74"/>
      <c r="Y791" s="74"/>
      <c r="Z791" s="74"/>
      <c r="AA791" s="74"/>
      <c r="AB791" s="74"/>
      <c r="AC791" s="42"/>
      <c r="AD791" s="42"/>
      <c r="AE791" s="42"/>
      <c r="AF791" s="42"/>
      <c r="AG791" s="42"/>
      <c r="AH791" s="42"/>
      <c r="AI791" s="75"/>
      <c r="AJ791" s="75"/>
      <c r="AK791" s="75"/>
      <c r="AL791" s="75"/>
      <c r="AM791" s="74"/>
      <c r="AN791" s="72" t="e">
        <f>VLOOKUP(H791,[4]Planilha1!A$13:P$314,16,0)</f>
        <v>#N/A</v>
      </c>
    </row>
    <row r="792" spans="1:40" s="69" customFormat="1" x14ac:dyDescent="0.25">
      <c r="A792" s="88"/>
      <c r="B792" s="88"/>
      <c r="C792" s="70"/>
      <c r="D792" s="70"/>
      <c r="E792" s="70"/>
      <c r="F792" s="70"/>
      <c r="G792" s="70"/>
      <c r="H792" s="422"/>
      <c r="I792" s="422"/>
      <c r="J792" s="418"/>
      <c r="K792" s="403"/>
      <c r="L792" s="73"/>
      <c r="M792" s="72"/>
      <c r="N792" s="72"/>
      <c r="O792" s="72"/>
      <c r="P792" s="42"/>
      <c r="Q792" s="42"/>
      <c r="R792" s="42"/>
      <c r="S792" s="42"/>
      <c r="T792" s="42"/>
      <c r="U792" s="42"/>
      <c r="V792" s="416"/>
      <c r="W792" s="42"/>
      <c r="X792" s="74"/>
      <c r="Y792" s="74"/>
      <c r="Z792" s="74"/>
      <c r="AA792" s="74"/>
      <c r="AB792" s="74"/>
      <c r="AC792" s="42"/>
      <c r="AD792" s="42"/>
      <c r="AE792" s="42"/>
      <c r="AF792" s="42"/>
      <c r="AG792" s="42"/>
      <c r="AH792" s="42"/>
      <c r="AI792" s="75"/>
      <c r="AJ792" s="75"/>
      <c r="AK792" s="75"/>
      <c r="AL792" s="75"/>
      <c r="AM792" s="74"/>
      <c r="AN792" s="72" t="e">
        <f>VLOOKUP(H792,[4]Planilha1!A$13:P$314,16,0)</f>
        <v>#N/A</v>
      </c>
    </row>
    <row r="793" spans="1:40" s="69" customFormat="1" x14ac:dyDescent="0.25">
      <c r="A793" s="88"/>
      <c r="B793" s="88"/>
      <c r="C793" s="70"/>
      <c r="D793" s="70"/>
      <c r="E793" s="70"/>
      <c r="F793" s="70"/>
      <c r="G793" s="70"/>
      <c r="H793" s="422"/>
      <c r="I793" s="422"/>
      <c r="J793" s="418"/>
      <c r="K793" s="403"/>
      <c r="L793" s="73"/>
      <c r="M793" s="72"/>
      <c r="N793" s="72"/>
      <c r="O793" s="72"/>
      <c r="P793" s="42"/>
      <c r="Q793" s="42"/>
      <c r="R793" s="42"/>
      <c r="S793" s="42"/>
      <c r="T793" s="42"/>
      <c r="U793" s="42"/>
      <c r="V793" s="416"/>
      <c r="W793" s="42"/>
      <c r="X793" s="74"/>
      <c r="Y793" s="74"/>
      <c r="Z793" s="74"/>
      <c r="AA793" s="74"/>
      <c r="AB793" s="74"/>
      <c r="AC793" s="42"/>
      <c r="AD793" s="42"/>
      <c r="AE793" s="42"/>
      <c r="AF793" s="42"/>
      <c r="AG793" s="42"/>
      <c r="AH793" s="42"/>
      <c r="AI793" s="75"/>
      <c r="AJ793" s="75"/>
      <c r="AK793" s="75"/>
      <c r="AL793" s="75"/>
      <c r="AM793" s="74"/>
      <c r="AN793" s="72" t="e">
        <f>VLOOKUP(H793,[4]Planilha1!A$13:P$314,16,0)</f>
        <v>#N/A</v>
      </c>
    </row>
    <row r="794" spans="1:40" s="69" customFormat="1" x14ac:dyDescent="0.25">
      <c r="A794" s="88"/>
      <c r="B794" s="88"/>
      <c r="C794" s="70"/>
      <c r="D794" s="70"/>
      <c r="E794" s="70"/>
      <c r="F794" s="70"/>
      <c r="G794" s="70"/>
      <c r="H794" s="422"/>
      <c r="I794" s="422"/>
      <c r="J794" s="418"/>
      <c r="K794" s="403"/>
      <c r="L794" s="73"/>
      <c r="M794" s="72"/>
      <c r="N794" s="72"/>
      <c r="O794" s="72"/>
      <c r="P794" s="42"/>
      <c r="Q794" s="42"/>
      <c r="R794" s="42"/>
      <c r="S794" s="42"/>
      <c r="T794" s="42"/>
      <c r="U794" s="42"/>
      <c r="V794" s="416"/>
      <c r="W794" s="42"/>
      <c r="X794" s="74"/>
      <c r="Y794" s="74"/>
      <c r="Z794" s="74"/>
      <c r="AA794" s="74"/>
      <c r="AB794" s="74"/>
      <c r="AC794" s="42"/>
      <c r="AD794" s="42"/>
      <c r="AE794" s="42"/>
      <c r="AF794" s="42"/>
      <c r="AG794" s="42"/>
      <c r="AH794" s="42"/>
      <c r="AI794" s="75"/>
      <c r="AJ794" s="75"/>
      <c r="AK794" s="75"/>
      <c r="AL794" s="75"/>
      <c r="AM794" s="74"/>
      <c r="AN794" s="72" t="e">
        <f>VLOOKUP(H794,[4]Planilha1!A$13:P$314,16,0)</f>
        <v>#N/A</v>
      </c>
    </row>
    <row r="795" spans="1:40" s="69" customFormat="1" x14ac:dyDescent="0.25">
      <c r="A795" s="88"/>
      <c r="B795" s="88"/>
      <c r="C795" s="70"/>
      <c r="D795" s="70"/>
      <c r="E795" s="70"/>
      <c r="F795" s="70"/>
      <c r="G795" s="70"/>
      <c r="H795" s="422"/>
      <c r="I795" s="422"/>
      <c r="J795" s="418"/>
      <c r="K795" s="403"/>
      <c r="L795" s="73"/>
      <c r="M795" s="72"/>
      <c r="N795" s="72"/>
      <c r="O795" s="72"/>
      <c r="P795" s="42"/>
      <c r="Q795" s="42"/>
      <c r="R795" s="42"/>
      <c r="S795" s="42"/>
      <c r="T795" s="42"/>
      <c r="U795" s="42"/>
      <c r="V795" s="416"/>
      <c r="W795" s="42"/>
      <c r="X795" s="74"/>
      <c r="Y795" s="74"/>
      <c r="Z795" s="74"/>
      <c r="AA795" s="74"/>
      <c r="AB795" s="74"/>
      <c r="AC795" s="42"/>
      <c r="AD795" s="42"/>
      <c r="AE795" s="42"/>
      <c r="AF795" s="42"/>
      <c r="AG795" s="42"/>
      <c r="AH795" s="42"/>
      <c r="AI795" s="75"/>
      <c r="AJ795" s="75"/>
      <c r="AK795" s="75"/>
      <c r="AL795" s="75"/>
      <c r="AM795" s="74"/>
      <c r="AN795" s="72" t="e">
        <f>VLOOKUP(H795,[4]Planilha1!A$13:P$314,16,0)</f>
        <v>#N/A</v>
      </c>
    </row>
    <row r="796" spans="1:40" s="69" customFormat="1" x14ac:dyDescent="0.25">
      <c r="A796" s="88"/>
      <c r="B796" s="88"/>
      <c r="C796" s="70"/>
      <c r="D796" s="70"/>
      <c r="E796" s="70"/>
      <c r="F796" s="70"/>
      <c r="G796" s="70"/>
      <c r="H796" s="422"/>
      <c r="I796" s="422"/>
      <c r="J796" s="418"/>
      <c r="K796" s="403"/>
      <c r="L796" s="73"/>
      <c r="M796" s="72"/>
      <c r="N796" s="72"/>
      <c r="O796" s="72"/>
      <c r="P796" s="42"/>
      <c r="Q796" s="42"/>
      <c r="R796" s="42"/>
      <c r="S796" s="42"/>
      <c r="T796" s="42"/>
      <c r="U796" s="42"/>
      <c r="V796" s="416"/>
      <c r="W796" s="42"/>
      <c r="X796" s="74"/>
      <c r="Y796" s="74"/>
      <c r="Z796" s="74"/>
      <c r="AA796" s="74"/>
      <c r="AB796" s="74"/>
      <c r="AC796" s="42"/>
      <c r="AD796" s="42"/>
      <c r="AE796" s="42"/>
      <c r="AF796" s="42"/>
      <c r="AG796" s="42"/>
      <c r="AH796" s="42"/>
      <c r="AI796" s="75"/>
      <c r="AJ796" s="75"/>
      <c r="AK796" s="75"/>
      <c r="AL796" s="75"/>
      <c r="AM796" s="74"/>
      <c r="AN796" s="72" t="e">
        <f>VLOOKUP(H796,[4]Planilha1!A$13:P$314,16,0)</f>
        <v>#N/A</v>
      </c>
    </row>
    <row r="797" spans="1:40" s="69" customFormat="1" x14ac:dyDescent="0.25">
      <c r="A797" s="88"/>
      <c r="B797" s="88"/>
      <c r="C797" s="70"/>
      <c r="D797" s="70"/>
      <c r="E797" s="70"/>
      <c r="F797" s="70"/>
      <c r="G797" s="70"/>
      <c r="H797" s="422"/>
      <c r="I797" s="422"/>
      <c r="J797" s="418"/>
      <c r="K797" s="403"/>
      <c r="L797" s="73"/>
      <c r="M797" s="72"/>
      <c r="N797" s="72"/>
      <c r="O797" s="72"/>
      <c r="P797" s="42"/>
      <c r="Q797" s="42"/>
      <c r="R797" s="42"/>
      <c r="S797" s="42"/>
      <c r="T797" s="42"/>
      <c r="U797" s="42"/>
      <c r="V797" s="416"/>
      <c r="W797" s="42"/>
      <c r="X797" s="74"/>
      <c r="Y797" s="74"/>
      <c r="Z797" s="74"/>
      <c r="AA797" s="74"/>
      <c r="AB797" s="74"/>
      <c r="AC797" s="42"/>
      <c r="AD797" s="42"/>
      <c r="AE797" s="42"/>
      <c r="AF797" s="42"/>
      <c r="AG797" s="42"/>
      <c r="AH797" s="42"/>
      <c r="AI797" s="75"/>
      <c r="AJ797" s="75"/>
      <c r="AK797" s="75"/>
      <c r="AL797" s="75"/>
      <c r="AM797" s="74"/>
      <c r="AN797" s="72" t="e">
        <f>VLOOKUP(H797,[4]Planilha1!A$13:P$314,16,0)</f>
        <v>#N/A</v>
      </c>
    </row>
    <row r="798" spans="1:40" s="69" customFormat="1" x14ac:dyDescent="0.25">
      <c r="A798" s="88"/>
      <c r="B798" s="88"/>
      <c r="C798" s="70"/>
      <c r="D798" s="70"/>
      <c r="E798" s="70"/>
      <c r="F798" s="70"/>
      <c r="G798" s="70"/>
      <c r="H798" s="422"/>
      <c r="I798" s="422"/>
      <c r="J798" s="418"/>
      <c r="K798" s="403"/>
      <c r="L798" s="73"/>
      <c r="M798" s="72"/>
      <c r="N798" s="72"/>
      <c r="O798" s="72"/>
      <c r="P798" s="42"/>
      <c r="Q798" s="42"/>
      <c r="R798" s="42"/>
      <c r="S798" s="42"/>
      <c r="T798" s="42"/>
      <c r="U798" s="42"/>
      <c r="V798" s="416"/>
      <c r="W798" s="42"/>
      <c r="X798" s="74"/>
      <c r="Y798" s="74"/>
      <c r="Z798" s="74"/>
      <c r="AA798" s="74"/>
      <c r="AB798" s="74"/>
      <c r="AC798" s="42"/>
      <c r="AD798" s="42"/>
      <c r="AE798" s="42"/>
      <c r="AF798" s="42"/>
      <c r="AG798" s="42"/>
      <c r="AH798" s="42"/>
      <c r="AI798" s="75"/>
      <c r="AJ798" s="75"/>
      <c r="AK798" s="75"/>
      <c r="AL798" s="75"/>
      <c r="AM798" s="74"/>
      <c r="AN798" s="72" t="e">
        <f>VLOOKUP(H798,[4]Planilha1!A$13:P$314,16,0)</f>
        <v>#N/A</v>
      </c>
    </row>
    <row r="799" spans="1:40" s="69" customFormat="1" x14ac:dyDescent="0.25">
      <c r="A799" s="88"/>
      <c r="B799" s="88"/>
      <c r="C799" s="70"/>
      <c r="D799" s="70"/>
      <c r="E799" s="70"/>
      <c r="F799" s="70"/>
      <c r="G799" s="70"/>
      <c r="H799" s="422"/>
      <c r="I799" s="422"/>
      <c r="J799" s="418"/>
      <c r="K799" s="403"/>
      <c r="L799" s="73"/>
      <c r="M799" s="72"/>
      <c r="N799" s="72"/>
      <c r="O799" s="72"/>
      <c r="P799" s="42"/>
      <c r="Q799" s="42"/>
      <c r="R799" s="42"/>
      <c r="S799" s="42"/>
      <c r="T799" s="42"/>
      <c r="U799" s="42"/>
      <c r="V799" s="416"/>
      <c r="W799" s="42"/>
      <c r="X799" s="74"/>
      <c r="Y799" s="74"/>
      <c r="Z799" s="74"/>
      <c r="AA799" s="74"/>
      <c r="AB799" s="74"/>
      <c r="AC799" s="42"/>
      <c r="AD799" s="42"/>
      <c r="AE799" s="42"/>
      <c r="AF799" s="42"/>
      <c r="AG799" s="42"/>
      <c r="AH799" s="42"/>
      <c r="AI799" s="75"/>
      <c r="AJ799" s="75"/>
      <c r="AK799" s="75"/>
      <c r="AL799" s="75"/>
      <c r="AM799" s="74"/>
      <c r="AN799" s="72" t="e">
        <f>VLOOKUP(H799,[4]Planilha1!A$13:P$314,16,0)</f>
        <v>#N/A</v>
      </c>
    </row>
    <row r="800" spans="1:40" s="69" customFormat="1" x14ac:dyDescent="0.25">
      <c r="A800" s="88"/>
      <c r="B800" s="88"/>
      <c r="C800" s="70"/>
      <c r="D800" s="70"/>
      <c r="E800" s="70"/>
      <c r="F800" s="70"/>
      <c r="G800" s="70"/>
      <c r="H800" s="422"/>
      <c r="I800" s="422"/>
      <c r="J800" s="418"/>
      <c r="K800" s="403"/>
      <c r="L800" s="73"/>
      <c r="M800" s="72"/>
      <c r="N800" s="72"/>
      <c r="O800" s="72"/>
      <c r="P800" s="42"/>
      <c r="Q800" s="42"/>
      <c r="R800" s="42"/>
      <c r="S800" s="42"/>
      <c r="T800" s="42"/>
      <c r="U800" s="42"/>
      <c r="V800" s="416"/>
      <c r="W800" s="42"/>
      <c r="X800" s="74"/>
      <c r="Y800" s="74"/>
      <c r="Z800" s="74"/>
      <c r="AA800" s="74"/>
      <c r="AB800" s="74"/>
      <c r="AC800" s="42"/>
      <c r="AD800" s="42"/>
      <c r="AE800" s="42"/>
      <c r="AF800" s="42"/>
      <c r="AG800" s="42"/>
      <c r="AH800" s="42"/>
      <c r="AI800" s="75"/>
      <c r="AJ800" s="75"/>
      <c r="AK800" s="75"/>
      <c r="AL800" s="75"/>
      <c r="AM800" s="74"/>
      <c r="AN800" s="72" t="e">
        <f>VLOOKUP(H800,[4]Planilha1!A$13:P$314,16,0)</f>
        <v>#N/A</v>
      </c>
    </row>
    <row r="801" spans="1:40" s="69" customFormat="1" x14ac:dyDescent="0.25">
      <c r="A801" s="88"/>
      <c r="B801" s="88"/>
      <c r="C801" s="70"/>
      <c r="D801" s="70"/>
      <c r="E801" s="70"/>
      <c r="F801" s="70"/>
      <c r="G801" s="70"/>
      <c r="H801" s="422"/>
      <c r="I801" s="422"/>
      <c r="J801" s="418"/>
      <c r="K801" s="403"/>
      <c r="L801" s="73"/>
      <c r="M801" s="72"/>
      <c r="N801" s="72"/>
      <c r="O801" s="72"/>
      <c r="P801" s="42"/>
      <c r="Q801" s="42"/>
      <c r="R801" s="42"/>
      <c r="S801" s="42"/>
      <c r="T801" s="42"/>
      <c r="U801" s="42"/>
      <c r="V801" s="416"/>
      <c r="W801" s="42"/>
      <c r="X801" s="74"/>
      <c r="Y801" s="74"/>
      <c r="Z801" s="74"/>
      <c r="AA801" s="74"/>
      <c r="AB801" s="74"/>
      <c r="AC801" s="42"/>
      <c r="AD801" s="42"/>
      <c r="AE801" s="42"/>
      <c r="AF801" s="42"/>
      <c r="AG801" s="42"/>
      <c r="AH801" s="42"/>
      <c r="AI801" s="75"/>
      <c r="AJ801" s="75"/>
      <c r="AK801" s="75"/>
      <c r="AL801" s="75"/>
      <c r="AM801" s="74"/>
      <c r="AN801" s="72" t="e">
        <f>VLOOKUP(H801,[4]Planilha1!A$13:P$314,16,0)</f>
        <v>#N/A</v>
      </c>
    </row>
    <row r="802" spans="1:40" s="69" customFormat="1" x14ac:dyDescent="0.25">
      <c r="A802" s="88"/>
      <c r="B802" s="88"/>
      <c r="C802" s="70"/>
      <c r="D802" s="70"/>
      <c r="E802" s="70"/>
      <c r="F802" s="70"/>
      <c r="G802" s="70"/>
      <c r="H802" s="422"/>
      <c r="I802" s="422"/>
      <c r="J802" s="418"/>
      <c r="K802" s="403"/>
      <c r="L802" s="73"/>
      <c r="M802" s="72"/>
      <c r="N802" s="72"/>
      <c r="O802" s="72"/>
      <c r="P802" s="42"/>
      <c r="Q802" s="42"/>
      <c r="R802" s="42"/>
      <c r="S802" s="42"/>
      <c r="T802" s="42"/>
      <c r="U802" s="42"/>
      <c r="V802" s="416"/>
      <c r="W802" s="42"/>
      <c r="X802" s="74"/>
      <c r="Y802" s="74"/>
      <c r="Z802" s="74"/>
      <c r="AA802" s="74"/>
      <c r="AB802" s="74"/>
      <c r="AC802" s="42"/>
      <c r="AD802" s="42"/>
      <c r="AE802" s="42"/>
      <c r="AF802" s="42"/>
      <c r="AG802" s="42"/>
      <c r="AH802" s="42"/>
      <c r="AI802" s="75"/>
      <c r="AJ802" s="75"/>
      <c r="AK802" s="75"/>
      <c r="AL802" s="75"/>
      <c r="AM802" s="74"/>
      <c r="AN802" s="72" t="e">
        <f>VLOOKUP(H802,[4]Planilha1!A$13:P$314,16,0)</f>
        <v>#N/A</v>
      </c>
    </row>
    <row r="803" spans="1:40" s="69" customFormat="1" x14ac:dyDescent="0.25">
      <c r="A803" s="88"/>
      <c r="B803" s="88"/>
      <c r="C803" s="70"/>
      <c r="D803" s="70"/>
      <c r="E803" s="70"/>
      <c r="F803" s="70"/>
      <c r="G803" s="70"/>
      <c r="H803" s="422"/>
      <c r="I803" s="422"/>
      <c r="J803" s="418"/>
      <c r="K803" s="403"/>
      <c r="L803" s="73"/>
      <c r="M803" s="72"/>
      <c r="N803" s="72"/>
      <c r="O803" s="72"/>
      <c r="P803" s="42"/>
      <c r="Q803" s="42"/>
      <c r="R803" s="42"/>
      <c r="S803" s="42"/>
      <c r="T803" s="42"/>
      <c r="U803" s="42"/>
      <c r="V803" s="416"/>
      <c r="W803" s="42"/>
      <c r="X803" s="74"/>
      <c r="Y803" s="74"/>
      <c r="Z803" s="74"/>
      <c r="AA803" s="74"/>
      <c r="AB803" s="74"/>
      <c r="AC803" s="42"/>
      <c r="AD803" s="42"/>
      <c r="AE803" s="42"/>
      <c r="AF803" s="42"/>
      <c r="AG803" s="42"/>
      <c r="AH803" s="42"/>
      <c r="AI803" s="75"/>
      <c r="AJ803" s="75"/>
      <c r="AK803" s="75"/>
      <c r="AL803" s="75"/>
      <c r="AM803" s="74"/>
      <c r="AN803" s="72" t="e">
        <f>VLOOKUP(H803,[4]Planilha1!A$13:P$314,16,0)</f>
        <v>#N/A</v>
      </c>
    </row>
    <row r="804" spans="1:40" s="69" customFormat="1" x14ac:dyDescent="0.25">
      <c r="A804" s="88"/>
      <c r="B804" s="88"/>
      <c r="C804" s="70"/>
      <c r="D804" s="70"/>
      <c r="E804" s="70"/>
      <c r="F804" s="70"/>
      <c r="G804" s="70"/>
      <c r="H804" s="422"/>
      <c r="I804" s="422"/>
      <c r="J804" s="418"/>
      <c r="K804" s="403"/>
      <c r="L804" s="73"/>
      <c r="M804" s="72"/>
      <c r="N804" s="72"/>
      <c r="O804" s="72"/>
      <c r="P804" s="42"/>
      <c r="Q804" s="42"/>
      <c r="R804" s="42"/>
      <c r="S804" s="42"/>
      <c r="T804" s="42"/>
      <c r="U804" s="42"/>
      <c r="V804" s="416"/>
      <c r="W804" s="42"/>
      <c r="X804" s="74"/>
      <c r="Y804" s="74"/>
      <c r="Z804" s="74"/>
      <c r="AA804" s="74"/>
      <c r="AB804" s="74"/>
      <c r="AC804" s="42"/>
      <c r="AD804" s="42"/>
      <c r="AE804" s="42"/>
      <c r="AF804" s="42"/>
      <c r="AG804" s="42"/>
      <c r="AH804" s="42"/>
      <c r="AI804" s="75"/>
      <c r="AJ804" s="75"/>
      <c r="AK804" s="75"/>
      <c r="AL804" s="75"/>
      <c r="AM804" s="74"/>
      <c r="AN804" s="72" t="e">
        <f>VLOOKUP(H804,[4]Planilha1!A$13:P$314,16,0)</f>
        <v>#N/A</v>
      </c>
    </row>
    <row r="805" spans="1:40" s="69" customFormat="1" x14ac:dyDescent="0.25">
      <c r="A805" s="88"/>
      <c r="B805" s="88"/>
      <c r="C805" s="70"/>
      <c r="D805" s="70"/>
      <c r="E805" s="70"/>
      <c r="F805" s="70"/>
      <c r="G805" s="70"/>
      <c r="H805" s="422"/>
      <c r="I805" s="422"/>
      <c r="J805" s="418"/>
      <c r="K805" s="403"/>
      <c r="L805" s="73"/>
      <c r="M805" s="72"/>
      <c r="N805" s="72"/>
      <c r="O805" s="72"/>
      <c r="P805" s="42"/>
      <c r="Q805" s="42"/>
      <c r="R805" s="42"/>
      <c r="S805" s="42"/>
      <c r="T805" s="42"/>
      <c r="U805" s="42"/>
      <c r="V805" s="416"/>
      <c r="W805" s="42"/>
      <c r="X805" s="74"/>
      <c r="Y805" s="74"/>
      <c r="Z805" s="74"/>
      <c r="AA805" s="74"/>
      <c r="AB805" s="74"/>
      <c r="AC805" s="42"/>
      <c r="AD805" s="42"/>
      <c r="AE805" s="42"/>
      <c r="AF805" s="42"/>
      <c r="AG805" s="42"/>
      <c r="AH805" s="42"/>
      <c r="AI805" s="75"/>
      <c r="AJ805" s="75"/>
      <c r="AK805" s="75"/>
      <c r="AL805" s="75"/>
      <c r="AM805" s="74"/>
      <c r="AN805" s="72" t="e">
        <f>VLOOKUP(H805,[4]Planilha1!A$13:P$314,16,0)</f>
        <v>#N/A</v>
      </c>
    </row>
    <row r="806" spans="1:40" s="69" customFormat="1" x14ac:dyDescent="0.25">
      <c r="A806" s="88"/>
      <c r="B806" s="88"/>
      <c r="C806" s="70"/>
      <c r="D806" s="70"/>
      <c r="E806" s="70"/>
      <c r="F806" s="70"/>
      <c r="G806" s="70"/>
      <c r="H806" s="422"/>
      <c r="I806" s="422"/>
      <c r="J806" s="418"/>
      <c r="K806" s="403"/>
      <c r="L806" s="73"/>
      <c r="M806" s="72"/>
      <c r="N806" s="72"/>
      <c r="O806" s="72"/>
      <c r="P806" s="42"/>
      <c r="Q806" s="42"/>
      <c r="R806" s="42"/>
      <c r="S806" s="42"/>
      <c r="T806" s="42"/>
      <c r="U806" s="42"/>
      <c r="V806" s="416"/>
      <c r="W806" s="42"/>
      <c r="X806" s="74"/>
      <c r="Y806" s="74"/>
      <c r="Z806" s="74"/>
      <c r="AA806" s="74"/>
      <c r="AB806" s="74"/>
      <c r="AC806" s="42"/>
      <c r="AD806" s="42"/>
      <c r="AE806" s="42"/>
      <c r="AF806" s="42"/>
      <c r="AG806" s="42"/>
      <c r="AH806" s="42"/>
      <c r="AI806" s="75"/>
      <c r="AJ806" s="75"/>
      <c r="AK806" s="75"/>
      <c r="AL806" s="75"/>
      <c r="AM806" s="74"/>
      <c r="AN806" s="72" t="e">
        <f>VLOOKUP(H806,[4]Planilha1!A$13:P$314,16,0)</f>
        <v>#N/A</v>
      </c>
    </row>
    <row r="807" spans="1:40" s="69" customFormat="1" x14ac:dyDescent="0.25">
      <c r="A807" s="88"/>
      <c r="B807" s="88"/>
      <c r="C807" s="70"/>
      <c r="D807" s="70"/>
      <c r="E807" s="70"/>
      <c r="F807" s="70"/>
      <c r="G807" s="70"/>
      <c r="H807" s="422"/>
      <c r="I807" s="422"/>
      <c r="J807" s="418"/>
      <c r="K807" s="403"/>
      <c r="L807" s="73"/>
      <c r="M807" s="72"/>
      <c r="N807" s="72"/>
      <c r="O807" s="72"/>
      <c r="P807" s="42"/>
      <c r="Q807" s="42"/>
      <c r="R807" s="42"/>
      <c r="S807" s="42"/>
      <c r="T807" s="42"/>
      <c r="U807" s="42"/>
      <c r="V807" s="416"/>
      <c r="W807" s="42"/>
      <c r="X807" s="74"/>
      <c r="Y807" s="74"/>
      <c r="Z807" s="74"/>
      <c r="AA807" s="74"/>
      <c r="AB807" s="74"/>
      <c r="AC807" s="42"/>
      <c r="AD807" s="42"/>
      <c r="AE807" s="42"/>
      <c r="AF807" s="42"/>
      <c r="AG807" s="42"/>
      <c r="AH807" s="42"/>
      <c r="AI807" s="75"/>
      <c r="AJ807" s="75"/>
      <c r="AK807" s="75"/>
      <c r="AL807" s="75"/>
      <c r="AM807" s="74"/>
      <c r="AN807" s="72" t="e">
        <f>VLOOKUP(H807,[4]Planilha1!A$13:P$314,16,0)</f>
        <v>#N/A</v>
      </c>
    </row>
    <row r="808" spans="1:40" s="69" customFormat="1" x14ac:dyDescent="0.25">
      <c r="A808" s="88"/>
      <c r="B808" s="88"/>
      <c r="C808" s="70"/>
      <c r="D808" s="70"/>
      <c r="E808" s="70"/>
      <c r="F808" s="70"/>
      <c r="G808" s="70"/>
      <c r="H808" s="422"/>
      <c r="I808" s="422"/>
      <c r="J808" s="418"/>
      <c r="K808" s="403"/>
      <c r="L808" s="73"/>
      <c r="M808" s="72"/>
      <c r="N808" s="72"/>
      <c r="O808" s="72"/>
      <c r="P808" s="42"/>
      <c r="Q808" s="42"/>
      <c r="R808" s="42"/>
      <c r="S808" s="42"/>
      <c r="T808" s="42"/>
      <c r="U808" s="42"/>
      <c r="V808" s="416"/>
      <c r="W808" s="42"/>
      <c r="X808" s="74"/>
      <c r="Y808" s="74"/>
      <c r="Z808" s="74"/>
      <c r="AA808" s="74"/>
      <c r="AB808" s="74"/>
      <c r="AC808" s="42"/>
      <c r="AD808" s="42"/>
      <c r="AE808" s="42"/>
      <c r="AF808" s="42"/>
      <c r="AG808" s="42"/>
      <c r="AH808" s="42"/>
      <c r="AI808" s="75"/>
      <c r="AJ808" s="75"/>
      <c r="AK808" s="75"/>
      <c r="AL808" s="75"/>
      <c r="AM808" s="74"/>
      <c r="AN808" s="72" t="e">
        <f>VLOOKUP(H808,[4]Planilha1!A$13:P$314,16,0)</f>
        <v>#N/A</v>
      </c>
    </row>
    <row r="809" spans="1:40" s="69" customFormat="1" x14ac:dyDescent="0.25">
      <c r="A809" s="88"/>
      <c r="B809" s="88"/>
      <c r="C809" s="70"/>
      <c r="D809" s="70"/>
      <c r="E809" s="70"/>
      <c r="F809" s="70"/>
      <c r="G809" s="70"/>
      <c r="H809" s="422"/>
      <c r="I809" s="422"/>
      <c r="J809" s="418"/>
      <c r="K809" s="403"/>
      <c r="L809" s="73"/>
      <c r="M809" s="72"/>
      <c r="N809" s="72"/>
      <c r="O809" s="72"/>
      <c r="P809" s="42"/>
      <c r="Q809" s="42"/>
      <c r="R809" s="42"/>
      <c r="S809" s="42"/>
      <c r="T809" s="42"/>
      <c r="U809" s="42"/>
      <c r="V809" s="416"/>
      <c r="W809" s="42"/>
      <c r="X809" s="74"/>
      <c r="Y809" s="74"/>
      <c r="Z809" s="74"/>
      <c r="AA809" s="74"/>
      <c r="AB809" s="74"/>
      <c r="AC809" s="42"/>
      <c r="AD809" s="42"/>
      <c r="AE809" s="42"/>
      <c r="AF809" s="42"/>
      <c r="AG809" s="42"/>
      <c r="AH809" s="42"/>
      <c r="AI809" s="75"/>
      <c r="AJ809" s="75"/>
      <c r="AK809" s="75"/>
      <c r="AL809" s="75"/>
      <c r="AM809" s="74"/>
      <c r="AN809" s="72" t="e">
        <f>VLOOKUP(H809,[4]Planilha1!A$13:P$314,16,0)</f>
        <v>#N/A</v>
      </c>
    </row>
    <row r="810" spans="1:40" s="69" customFormat="1" x14ac:dyDescent="0.25">
      <c r="A810" s="88"/>
      <c r="B810" s="88"/>
      <c r="C810" s="70"/>
      <c r="D810" s="70"/>
      <c r="E810" s="70"/>
      <c r="F810" s="70"/>
      <c r="G810" s="70"/>
      <c r="H810" s="422"/>
      <c r="I810" s="422"/>
      <c r="J810" s="418"/>
      <c r="K810" s="403"/>
      <c r="L810" s="73"/>
      <c r="M810" s="72"/>
      <c r="N810" s="72"/>
      <c r="O810" s="72"/>
      <c r="P810" s="42"/>
      <c r="Q810" s="42"/>
      <c r="R810" s="42"/>
      <c r="S810" s="42"/>
      <c r="T810" s="42"/>
      <c r="U810" s="42"/>
      <c r="V810" s="416"/>
      <c r="W810" s="42"/>
      <c r="X810" s="74"/>
      <c r="Y810" s="74"/>
      <c r="Z810" s="74"/>
      <c r="AA810" s="74"/>
      <c r="AB810" s="74"/>
      <c r="AC810" s="42"/>
      <c r="AD810" s="42"/>
      <c r="AE810" s="42"/>
      <c r="AF810" s="42"/>
      <c r="AG810" s="42"/>
      <c r="AH810" s="42"/>
      <c r="AI810" s="75"/>
      <c r="AJ810" s="75"/>
      <c r="AK810" s="75"/>
      <c r="AL810" s="75"/>
      <c r="AM810" s="74"/>
      <c r="AN810" s="72" t="e">
        <f>VLOOKUP(H810,[4]Planilha1!A$13:P$314,16,0)</f>
        <v>#N/A</v>
      </c>
    </row>
    <row r="811" spans="1:40" s="69" customFormat="1" x14ac:dyDescent="0.25">
      <c r="A811" s="88"/>
      <c r="B811" s="88"/>
      <c r="C811" s="70"/>
      <c r="D811" s="70"/>
      <c r="E811" s="70"/>
      <c r="F811" s="70"/>
      <c r="G811" s="70"/>
      <c r="H811" s="422"/>
      <c r="I811" s="422"/>
      <c r="J811" s="418"/>
      <c r="K811" s="403"/>
      <c r="L811" s="73"/>
      <c r="M811" s="72"/>
      <c r="N811" s="72"/>
      <c r="O811" s="72"/>
      <c r="P811" s="42"/>
      <c r="Q811" s="42"/>
      <c r="R811" s="42"/>
      <c r="S811" s="42"/>
      <c r="T811" s="42"/>
      <c r="U811" s="42"/>
      <c r="V811" s="416"/>
      <c r="W811" s="42"/>
      <c r="X811" s="74"/>
      <c r="Y811" s="74"/>
      <c r="Z811" s="74"/>
      <c r="AA811" s="74"/>
      <c r="AB811" s="74"/>
      <c r="AC811" s="42"/>
      <c r="AD811" s="42"/>
      <c r="AE811" s="42"/>
      <c r="AF811" s="42"/>
      <c r="AG811" s="42"/>
      <c r="AH811" s="42"/>
      <c r="AI811" s="75"/>
      <c r="AJ811" s="75"/>
      <c r="AK811" s="75"/>
      <c r="AL811" s="75"/>
      <c r="AM811" s="74"/>
      <c r="AN811" s="72" t="e">
        <f>VLOOKUP(H811,[4]Planilha1!A$13:P$314,16,0)</f>
        <v>#N/A</v>
      </c>
    </row>
    <row r="812" spans="1:40" s="69" customFormat="1" x14ac:dyDescent="0.25">
      <c r="A812" s="88"/>
      <c r="B812" s="88"/>
      <c r="C812" s="70"/>
      <c r="D812" s="70"/>
      <c r="E812" s="70"/>
      <c r="F812" s="70"/>
      <c r="G812" s="70"/>
      <c r="H812" s="422"/>
      <c r="I812" s="422"/>
      <c r="J812" s="418"/>
      <c r="K812" s="403"/>
      <c r="L812" s="73"/>
      <c r="M812" s="72"/>
      <c r="N812" s="72"/>
      <c r="O812" s="72"/>
      <c r="P812" s="42"/>
      <c r="Q812" s="42"/>
      <c r="R812" s="42"/>
      <c r="S812" s="42"/>
      <c r="T812" s="42"/>
      <c r="U812" s="42"/>
      <c r="V812" s="416"/>
      <c r="W812" s="42"/>
      <c r="X812" s="74"/>
      <c r="Y812" s="74"/>
      <c r="Z812" s="74"/>
      <c r="AA812" s="74"/>
      <c r="AB812" s="74"/>
      <c r="AC812" s="42"/>
      <c r="AD812" s="42"/>
      <c r="AE812" s="42"/>
      <c r="AF812" s="42"/>
      <c r="AG812" s="42"/>
      <c r="AH812" s="42"/>
      <c r="AI812" s="75"/>
      <c r="AJ812" s="75"/>
      <c r="AK812" s="75"/>
      <c r="AL812" s="75"/>
      <c r="AM812" s="74"/>
      <c r="AN812" s="72" t="e">
        <f>VLOOKUP(H812,[4]Planilha1!A$13:P$314,16,0)</f>
        <v>#N/A</v>
      </c>
    </row>
    <row r="813" spans="1:40" s="69" customFormat="1" x14ac:dyDescent="0.25">
      <c r="A813" s="88"/>
      <c r="B813" s="88"/>
      <c r="C813" s="70"/>
      <c r="D813" s="70"/>
      <c r="E813" s="70"/>
      <c r="F813" s="70"/>
      <c r="G813" s="70"/>
      <c r="H813" s="422"/>
      <c r="I813" s="422"/>
      <c r="J813" s="418"/>
      <c r="K813" s="403"/>
      <c r="L813" s="73"/>
      <c r="M813" s="72"/>
      <c r="N813" s="72"/>
      <c r="O813" s="72"/>
      <c r="P813" s="42"/>
      <c r="Q813" s="42"/>
      <c r="R813" s="42"/>
      <c r="S813" s="42"/>
      <c r="T813" s="42"/>
      <c r="U813" s="42"/>
      <c r="V813" s="416"/>
      <c r="W813" s="42"/>
      <c r="X813" s="74"/>
      <c r="Y813" s="74"/>
      <c r="Z813" s="74"/>
      <c r="AA813" s="74"/>
      <c r="AB813" s="74"/>
      <c r="AC813" s="42"/>
      <c r="AD813" s="42"/>
      <c r="AE813" s="42"/>
      <c r="AF813" s="42"/>
      <c r="AG813" s="42"/>
      <c r="AH813" s="42"/>
      <c r="AI813" s="75"/>
      <c r="AJ813" s="75"/>
      <c r="AK813" s="75"/>
      <c r="AL813" s="75"/>
      <c r="AM813" s="74"/>
      <c r="AN813" s="72" t="e">
        <f>VLOOKUP(H813,[4]Planilha1!A$13:P$314,16,0)</f>
        <v>#N/A</v>
      </c>
    </row>
    <row r="814" spans="1:40" s="69" customFormat="1" x14ac:dyDescent="0.25">
      <c r="A814" s="88"/>
      <c r="B814" s="88"/>
      <c r="C814" s="70"/>
      <c r="D814" s="70"/>
      <c r="E814" s="70"/>
      <c r="F814" s="70"/>
      <c r="G814" s="70"/>
      <c r="H814" s="422"/>
      <c r="I814" s="422"/>
      <c r="J814" s="418"/>
      <c r="K814" s="403"/>
      <c r="L814" s="73"/>
      <c r="M814" s="72"/>
      <c r="N814" s="72"/>
      <c r="O814" s="72"/>
      <c r="P814" s="42"/>
      <c r="Q814" s="42"/>
      <c r="R814" s="42"/>
      <c r="S814" s="42"/>
      <c r="T814" s="42"/>
      <c r="U814" s="42"/>
      <c r="V814" s="416"/>
      <c r="W814" s="42"/>
      <c r="X814" s="74"/>
      <c r="Y814" s="74"/>
      <c r="Z814" s="74"/>
      <c r="AA814" s="74"/>
      <c r="AB814" s="74"/>
      <c r="AC814" s="42"/>
      <c r="AD814" s="42"/>
      <c r="AE814" s="42"/>
      <c r="AF814" s="42"/>
      <c r="AG814" s="42"/>
      <c r="AH814" s="42"/>
      <c r="AI814" s="75"/>
      <c r="AJ814" s="75"/>
      <c r="AK814" s="75"/>
      <c r="AL814" s="75"/>
      <c r="AM814" s="74"/>
      <c r="AN814" s="72" t="e">
        <f>VLOOKUP(H814,[4]Planilha1!A$13:P$314,16,0)</f>
        <v>#N/A</v>
      </c>
    </row>
    <row r="815" spans="1:40" s="69" customFormat="1" x14ac:dyDescent="0.25">
      <c r="A815" s="88"/>
      <c r="B815" s="88"/>
      <c r="C815" s="70"/>
      <c r="D815" s="70"/>
      <c r="E815" s="70"/>
      <c r="F815" s="70"/>
      <c r="G815" s="70"/>
      <c r="H815" s="422"/>
      <c r="I815" s="422"/>
      <c r="J815" s="418"/>
      <c r="K815" s="403"/>
      <c r="L815" s="73"/>
      <c r="M815" s="72"/>
      <c r="N815" s="72"/>
      <c r="O815" s="72"/>
      <c r="P815" s="42"/>
      <c r="Q815" s="42"/>
      <c r="R815" s="42"/>
      <c r="S815" s="42"/>
      <c r="T815" s="42"/>
      <c r="U815" s="42"/>
      <c r="V815" s="416"/>
      <c r="W815" s="42"/>
      <c r="X815" s="74"/>
      <c r="Y815" s="74"/>
      <c r="Z815" s="74"/>
      <c r="AA815" s="74"/>
      <c r="AB815" s="74"/>
      <c r="AC815" s="42"/>
      <c r="AD815" s="42"/>
      <c r="AE815" s="42"/>
      <c r="AF815" s="42"/>
      <c r="AG815" s="42"/>
      <c r="AH815" s="42"/>
      <c r="AI815" s="75"/>
      <c r="AJ815" s="75"/>
      <c r="AK815" s="75"/>
      <c r="AL815" s="75"/>
      <c r="AM815" s="74"/>
      <c r="AN815" s="72" t="e">
        <f>VLOOKUP(H815,[4]Planilha1!A$13:P$314,16,0)</f>
        <v>#N/A</v>
      </c>
    </row>
    <row r="816" spans="1:40" s="69" customFormat="1" x14ac:dyDescent="0.25">
      <c r="A816" s="88"/>
      <c r="B816" s="88"/>
      <c r="C816" s="70"/>
      <c r="D816" s="70"/>
      <c r="E816" s="70"/>
      <c r="F816" s="70"/>
      <c r="G816" s="70"/>
      <c r="H816" s="422"/>
      <c r="I816" s="422"/>
      <c r="J816" s="418"/>
      <c r="K816" s="403"/>
      <c r="L816" s="73"/>
      <c r="M816" s="72"/>
      <c r="N816" s="72"/>
      <c r="O816" s="72"/>
      <c r="P816" s="42"/>
      <c r="Q816" s="42"/>
      <c r="R816" s="42"/>
      <c r="S816" s="42"/>
      <c r="T816" s="42"/>
      <c r="U816" s="42"/>
      <c r="V816" s="416"/>
      <c r="W816" s="42"/>
      <c r="X816" s="74"/>
      <c r="Y816" s="74"/>
      <c r="Z816" s="74"/>
      <c r="AA816" s="74"/>
      <c r="AB816" s="74"/>
      <c r="AC816" s="42"/>
      <c r="AD816" s="42"/>
      <c r="AE816" s="42"/>
      <c r="AF816" s="42"/>
      <c r="AG816" s="42"/>
      <c r="AH816" s="42"/>
      <c r="AI816" s="75"/>
      <c r="AJ816" s="75"/>
      <c r="AK816" s="75"/>
      <c r="AL816" s="75"/>
      <c r="AM816" s="74"/>
      <c r="AN816" s="72" t="e">
        <f>VLOOKUP(H816,[4]Planilha1!A$13:P$314,16,0)</f>
        <v>#N/A</v>
      </c>
    </row>
    <row r="817" spans="1:40" s="69" customFormat="1" x14ac:dyDescent="0.25">
      <c r="A817" s="88"/>
      <c r="B817" s="88"/>
      <c r="C817" s="70"/>
      <c r="D817" s="70"/>
      <c r="E817" s="70"/>
      <c r="F817" s="70"/>
      <c r="G817" s="70"/>
      <c r="H817" s="422"/>
      <c r="I817" s="422"/>
      <c r="J817" s="418"/>
      <c r="K817" s="403"/>
      <c r="L817" s="73"/>
      <c r="M817" s="72"/>
      <c r="N817" s="72"/>
      <c r="O817" s="72"/>
      <c r="P817" s="42"/>
      <c r="Q817" s="42"/>
      <c r="R817" s="42"/>
      <c r="S817" s="42"/>
      <c r="T817" s="42"/>
      <c r="U817" s="42"/>
      <c r="V817" s="416"/>
      <c r="W817" s="42"/>
      <c r="X817" s="74"/>
      <c r="Y817" s="74"/>
      <c r="Z817" s="74"/>
      <c r="AA817" s="74"/>
      <c r="AB817" s="74"/>
      <c r="AC817" s="42"/>
      <c r="AD817" s="42"/>
      <c r="AE817" s="42"/>
      <c r="AF817" s="42"/>
      <c r="AG817" s="42"/>
      <c r="AH817" s="42"/>
      <c r="AI817" s="75"/>
      <c r="AJ817" s="75"/>
      <c r="AK817" s="75"/>
      <c r="AL817" s="75"/>
      <c r="AM817" s="74"/>
      <c r="AN817" s="72" t="e">
        <f>VLOOKUP(H817,[4]Planilha1!A$13:P$314,16,0)</f>
        <v>#N/A</v>
      </c>
    </row>
    <row r="818" spans="1:40" s="69" customFormat="1" x14ac:dyDescent="0.25">
      <c r="A818" s="88"/>
      <c r="B818" s="88"/>
      <c r="C818" s="70"/>
      <c r="D818" s="70"/>
      <c r="E818" s="70"/>
      <c r="F818" s="70"/>
      <c r="G818" s="70"/>
      <c r="H818" s="422"/>
      <c r="I818" s="422"/>
      <c r="J818" s="418"/>
      <c r="K818" s="403"/>
      <c r="L818" s="73"/>
      <c r="M818" s="72"/>
      <c r="N818" s="72"/>
      <c r="O818" s="72"/>
      <c r="P818" s="42"/>
      <c r="Q818" s="42"/>
      <c r="R818" s="42"/>
      <c r="S818" s="42"/>
      <c r="T818" s="42"/>
      <c r="U818" s="42"/>
      <c r="V818" s="416"/>
      <c r="W818" s="42"/>
      <c r="X818" s="74"/>
      <c r="Y818" s="74"/>
      <c r="Z818" s="74"/>
      <c r="AA818" s="74"/>
      <c r="AB818" s="74"/>
      <c r="AC818" s="42"/>
      <c r="AD818" s="42"/>
      <c r="AE818" s="42"/>
      <c r="AF818" s="42"/>
      <c r="AG818" s="42"/>
      <c r="AH818" s="42"/>
      <c r="AI818" s="75"/>
      <c r="AJ818" s="75"/>
      <c r="AK818" s="75"/>
      <c r="AL818" s="75"/>
      <c r="AM818" s="74"/>
      <c r="AN818" s="72" t="e">
        <f>VLOOKUP(H818,[4]Planilha1!A$13:P$314,16,0)</f>
        <v>#N/A</v>
      </c>
    </row>
    <row r="819" spans="1:40" s="69" customFormat="1" x14ac:dyDescent="0.25">
      <c r="A819" s="88"/>
      <c r="B819" s="88"/>
      <c r="C819" s="70"/>
      <c r="D819" s="70"/>
      <c r="E819" s="70"/>
      <c r="F819" s="70"/>
      <c r="G819" s="70"/>
      <c r="H819" s="422"/>
      <c r="I819" s="422"/>
      <c r="J819" s="418"/>
      <c r="K819" s="403"/>
      <c r="L819" s="73"/>
      <c r="M819" s="72"/>
      <c r="N819" s="72"/>
      <c r="O819" s="72"/>
      <c r="P819" s="42"/>
      <c r="Q819" s="42"/>
      <c r="R819" s="42"/>
      <c r="S819" s="42"/>
      <c r="T819" s="42"/>
      <c r="U819" s="42"/>
      <c r="V819" s="416"/>
      <c r="W819" s="42"/>
      <c r="X819" s="74"/>
      <c r="Y819" s="74"/>
      <c r="Z819" s="74"/>
      <c r="AA819" s="74"/>
      <c r="AB819" s="74"/>
      <c r="AC819" s="42"/>
      <c r="AD819" s="42"/>
      <c r="AE819" s="42"/>
      <c r="AF819" s="42"/>
      <c r="AG819" s="42"/>
      <c r="AH819" s="42"/>
      <c r="AI819" s="75"/>
      <c r="AJ819" s="75"/>
      <c r="AK819" s="75"/>
      <c r="AL819" s="75"/>
      <c r="AM819" s="74"/>
      <c r="AN819" s="72" t="e">
        <f>VLOOKUP(H819,[4]Planilha1!A$13:P$314,16,0)</f>
        <v>#N/A</v>
      </c>
    </row>
    <row r="820" spans="1:40" s="69" customFormat="1" x14ac:dyDescent="0.25">
      <c r="A820" s="88"/>
      <c r="B820" s="88"/>
      <c r="C820" s="70"/>
      <c r="D820" s="70"/>
      <c r="E820" s="70"/>
      <c r="F820" s="70"/>
      <c r="G820" s="70"/>
      <c r="H820" s="422"/>
      <c r="I820" s="422"/>
      <c r="J820" s="418"/>
      <c r="K820" s="403"/>
      <c r="L820" s="73"/>
      <c r="M820" s="72"/>
      <c r="N820" s="72"/>
      <c r="O820" s="72"/>
      <c r="P820" s="42"/>
      <c r="Q820" s="42"/>
      <c r="R820" s="42"/>
      <c r="S820" s="42"/>
      <c r="T820" s="42"/>
      <c r="U820" s="42"/>
      <c r="V820" s="416"/>
      <c r="W820" s="42"/>
      <c r="X820" s="74"/>
      <c r="Y820" s="74"/>
      <c r="Z820" s="74"/>
      <c r="AA820" s="74"/>
      <c r="AB820" s="74"/>
      <c r="AC820" s="42"/>
      <c r="AD820" s="42"/>
      <c r="AE820" s="42"/>
      <c r="AF820" s="42"/>
      <c r="AG820" s="42"/>
      <c r="AH820" s="42"/>
      <c r="AI820" s="75"/>
      <c r="AJ820" s="75"/>
      <c r="AK820" s="75"/>
      <c r="AL820" s="75"/>
      <c r="AM820" s="74"/>
      <c r="AN820" s="72" t="e">
        <f>VLOOKUP(H820,[4]Planilha1!A$13:P$314,16,0)</f>
        <v>#N/A</v>
      </c>
    </row>
    <row r="821" spans="1:40" s="69" customFormat="1" x14ac:dyDescent="0.25">
      <c r="A821" s="88"/>
      <c r="B821" s="88"/>
      <c r="C821" s="70"/>
      <c r="D821" s="70"/>
      <c r="E821" s="70"/>
      <c r="F821" s="70"/>
      <c r="G821" s="70"/>
      <c r="H821" s="422"/>
      <c r="I821" s="422"/>
      <c r="J821" s="418"/>
      <c r="K821" s="403"/>
      <c r="L821" s="73"/>
      <c r="M821" s="72"/>
      <c r="N821" s="72"/>
      <c r="O821" s="72"/>
      <c r="P821" s="42"/>
      <c r="Q821" s="42"/>
      <c r="R821" s="42"/>
      <c r="S821" s="42"/>
      <c r="T821" s="42"/>
      <c r="U821" s="42"/>
      <c r="V821" s="416"/>
      <c r="W821" s="42"/>
      <c r="X821" s="74"/>
      <c r="Y821" s="74"/>
      <c r="Z821" s="74"/>
      <c r="AA821" s="74"/>
      <c r="AB821" s="74"/>
      <c r="AC821" s="42"/>
      <c r="AD821" s="42"/>
      <c r="AE821" s="42"/>
      <c r="AF821" s="42"/>
      <c r="AG821" s="42"/>
      <c r="AH821" s="42"/>
      <c r="AI821" s="75"/>
      <c r="AJ821" s="75"/>
      <c r="AK821" s="75"/>
      <c r="AL821" s="75"/>
      <c r="AM821" s="74"/>
      <c r="AN821" s="72" t="e">
        <f>VLOOKUP(H821,[4]Planilha1!A$13:P$314,16,0)</f>
        <v>#N/A</v>
      </c>
    </row>
    <row r="822" spans="1:40" s="69" customFormat="1" x14ac:dyDescent="0.25">
      <c r="A822" s="88"/>
      <c r="B822" s="88"/>
      <c r="C822" s="70"/>
      <c r="D822" s="70"/>
      <c r="E822" s="70"/>
      <c r="F822" s="70"/>
      <c r="G822" s="70"/>
      <c r="H822" s="422"/>
      <c r="I822" s="422"/>
      <c r="J822" s="418"/>
      <c r="K822" s="403"/>
      <c r="L822" s="73"/>
      <c r="M822" s="72"/>
      <c r="N822" s="72"/>
      <c r="O822" s="72"/>
      <c r="P822" s="42"/>
      <c r="Q822" s="42"/>
      <c r="R822" s="42"/>
      <c r="S822" s="42"/>
      <c r="T822" s="42"/>
      <c r="U822" s="42"/>
      <c r="V822" s="416"/>
      <c r="W822" s="42"/>
      <c r="X822" s="74"/>
      <c r="Y822" s="74"/>
      <c r="Z822" s="74"/>
      <c r="AA822" s="74"/>
      <c r="AB822" s="74"/>
      <c r="AC822" s="42"/>
      <c r="AD822" s="42"/>
      <c r="AE822" s="42"/>
      <c r="AF822" s="42"/>
      <c r="AG822" s="42"/>
      <c r="AH822" s="42"/>
      <c r="AI822" s="75"/>
      <c r="AJ822" s="75"/>
      <c r="AK822" s="75"/>
      <c r="AL822" s="75"/>
      <c r="AM822" s="74"/>
      <c r="AN822" s="72" t="e">
        <f>VLOOKUP(H822,[4]Planilha1!A$13:P$314,16,0)</f>
        <v>#N/A</v>
      </c>
    </row>
    <row r="823" spans="1:40" s="69" customFormat="1" x14ac:dyDescent="0.25">
      <c r="A823" s="88"/>
      <c r="B823" s="88"/>
      <c r="C823" s="70"/>
      <c r="D823" s="70"/>
      <c r="E823" s="70"/>
      <c r="F823" s="70"/>
      <c r="G823" s="70"/>
      <c r="H823" s="422"/>
      <c r="I823" s="422"/>
      <c r="J823" s="418"/>
      <c r="K823" s="403"/>
      <c r="L823" s="73"/>
      <c r="M823" s="72"/>
      <c r="N823" s="72"/>
      <c r="O823" s="72"/>
      <c r="P823" s="42"/>
      <c r="Q823" s="42"/>
      <c r="R823" s="42"/>
      <c r="S823" s="42"/>
      <c r="T823" s="42"/>
      <c r="U823" s="42"/>
      <c r="V823" s="416"/>
      <c r="W823" s="42"/>
      <c r="X823" s="74"/>
      <c r="Y823" s="74"/>
      <c r="Z823" s="74"/>
      <c r="AA823" s="74"/>
      <c r="AB823" s="74"/>
      <c r="AC823" s="42"/>
      <c r="AD823" s="42"/>
      <c r="AE823" s="42"/>
      <c r="AF823" s="42"/>
      <c r="AG823" s="42"/>
      <c r="AH823" s="42"/>
      <c r="AI823" s="75"/>
      <c r="AJ823" s="75"/>
      <c r="AK823" s="75"/>
      <c r="AL823" s="75"/>
      <c r="AM823" s="74"/>
      <c r="AN823" s="72" t="e">
        <f>VLOOKUP(H823,[4]Planilha1!A$13:P$314,16,0)</f>
        <v>#N/A</v>
      </c>
    </row>
    <row r="824" spans="1:40" s="69" customFormat="1" x14ac:dyDescent="0.25">
      <c r="A824" s="88"/>
      <c r="B824" s="88"/>
      <c r="C824" s="70"/>
      <c r="D824" s="70"/>
      <c r="E824" s="70"/>
      <c r="F824" s="70"/>
      <c r="G824" s="70"/>
      <c r="H824" s="422"/>
      <c r="I824" s="422"/>
      <c r="J824" s="418"/>
      <c r="K824" s="403"/>
      <c r="L824" s="73"/>
      <c r="M824" s="72"/>
      <c r="N824" s="72"/>
      <c r="O824" s="72"/>
      <c r="P824" s="42"/>
      <c r="Q824" s="42"/>
      <c r="R824" s="42"/>
      <c r="S824" s="42"/>
      <c r="T824" s="42"/>
      <c r="U824" s="42"/>
      <c r="V824" s="416"/>
      <c r="W824" s="42"/>
      <c r="X824" s="74"/>
      <c r="Y824" s="74"/>
      <c r="Z824" s="74"/>
      <c r="AA824" s="74"/>
      <c r="AB824" s="74"/>
      <c r="AC824" s="42"/>
      <c r="AD824" s="42"/>
      <c r="AE824" s="42"/>
      <c r="AF824" s="42"/>
      <c r="AG824" s="42"/>
      <c r="AH824" s="42"/>
      <c r="AI824" s="75"/>
      <c r="AJ824" s="75"/>
      <c r="AK824" s="75"/>
      <c r="AL824" s="75"/>
      <c r="AM824" s="74"/>
      <c r="AN824" s="72" t="e">
        <f>VLOOKUP(H824,[4]Planilha1!A$13:P$314,16,0)</f>
        <v>#N/A</v>
      </c>
    </row>
    <row r="825" spans="1:40" s="69" customFormat="1" x14ac:dyDescent="0.25">
      <c r="A825" s="88"/>
      <c r="B825" s="88"/>
      <c r="C825" s="70"/>
      <c r="D825" s="70"/>
      <c r="E825" s="70"/>
      <c r="F825" s="70"/>
      <c r="G825" s="70"/>
      <c r="H825" s="422"/>
      <c r="I825" s="422"/>
      <c r="J825" s="418"/>
      <c r="K825" s="403"/>
      <c r="L825" s="73"/>
      <c r="M825" s="72"/>
      <c r="N825" s="72"/>
      <c r="O825" s="72"/>
      <c r="P825" s="42"/>
      <c r="Q825" s="42"/>
      <c r="R825" s="42"/>
      <c r="S825" s="42"/>
      <c r="T825" s="42"/>
      <c r="U825" s="42"/>
      <c r="V825" s="416"/>
      <c r="W825" s="42"/>
      <c r="X825" s="74"/>
      <c r="Y825" s="74"/>
      <c r="Z825" s="74"/>
      <c r="AA825" s="74"/>
      <c r="AB825" s="74"/>
      <c r="AC825" s="42"/>
      <c r="AD825" s="42"/>
      <c r="AE825" s="42"/>
      <c r="AF825" s="42"/>
      <c r="AG825" s="42"/>
      <c r="AH825" s="42"/>
      <c r="AI825" s="75"/>
      <c r="AJ825" s="75"/>
      <c r="AK825" s="75"/>
      <c r="AL825" s="75"/>
      <c r="AM825" s="74"/>
      <c r="AN825" s="72" t="e">
        <f>VLOOKUP(H825,[4]Planilha1!A$13:P$314,16,0)</f>
        <v>#N/A</v>
      </c>
    </row>
    <row r="826" spans="1:40" s="69" customFormat="1" x14ac:dyDescent="0.25">
      <c r="A826" s="88"/>
      <c r="B826" s="88"/>
      <c r="C826" s="70"/>
      <c r="D826" s="70"/>
      <c r="E826" s="70"/>
      <c r="F826" s="70"/>
      <c r="G826" s="70"/>
      <c r="H826" s="422"/>
      <c r="I826" s="422"/>
      <c r="J826" s="418"/>
      <c r="K826" s="403"/>
      <c r="L826" s="73"/>
      <c r="M826" s="72"/>
      <c r="N826" s="72"/>
      <c r="O826" s="72"/>
      <c r="P826" s="42"/>
      <c r="Q826" s="42"/>
      <c r="R826" s="42"/>
      <c r="S826" s="42"/>
      <c r="T826" s="42"/>
      <c r="U826" s="42"/>
      <c r="V826" s="416"/>
      <c r="W826" s="42"/>
      <c r="X826" s="74"/>
      <c r="Y826" s="74"/>
      <c r="Z826" s="74"/>
      <c r="AA826" s="74"/>
      <c r="AB826" s="74"/>
      <c r="AC826" s="42"/>
      <c r="AD826" s="42"/>
      <c r="AE826" s="42"/>
      <c r="AF826" s="42"/>
      <c r="AG826" s="42"/>
      <c r="AH826" s="42"/>
      <c r="AI826" s="75"/>
      <c r="AJ826" s="75"/>
      <c r="AK826" s="75"/>
      <c r="AL826" s="75"/>
      <c r="AM826" s="74"/>
      <c r="AN826" s="72" t="e">
        <f>VLOOKUP(H826,[4]Planilha1!A$13:P$314,16,0)</f>
        <v>#N/A</v>
      </c>
    </row>
    <row r="827" spans="1:40" s="69" customFormat="1" x14ac:dyDescent="0.25">
      <c r="A827" s="88"/>
      <c r="B827" s="88"/>
      <c r="C827" s="70"/>
      <c r="D827" s="70"/>
      <c r="E827" s="70"/>
      <c r="F827" s="70"/>
      <c r="G827" s="70"/>
      <c r="H827" s="422"/>
      <c r="I827" s="422"/>
      <c r="J827" s="418"/>
      <c r="K827" s="403"/>
      <c r="L827" s="73"/>
      <c r="M827" s="72"/>
      <c r="N827" s="72"/>
      <c r="O827" s="72"/>
      <c r="P827" s="42"/>
      <c r="Q827" s="42"/>
      <c r="R827" s="42"/>
      <c r="S827" s="42"/>
      <c r="T827" s="42"/>
      <c r="U827" s="42"/>
      <c r="V827" s="416"/>
      <c r="W827" s="42"/>
      <c r="X827" s="74"/>
      <c r="Y827" s="74"/>
      <c r="Z827" s="74"/>
      <c r="AA827" s="74"/>
      <c r="AB827" s="74"/>
      <c r="AC827" s="42"/>
      <c r="AD827" s="42"/>
      <c r="AE827" s="42"/>
      <c r="AF827" s="42"/>
      <c r="AG827" s="42"/>
      <c r="AH827" s="42"/>
      <c r="AI827" s="75"/>
      <c r="AJ827" s="75"/>
      <c r="AK827" s="75"/>
      <c r="AL827" s="75"/>
      <c r="AM827" s="74"/>
      <c r="AN827" s="72" t="e">
        <f>VLOOKUP(H827,[4]Planilha1!A$13:P$314,16,0)</f>
        <v>#N/A</v>
      </c>
    </row>
    <row r="828" spans="1:40" s="69" customFormat="1" x14ac:dyDescent="0.25">
      <c r="A828" s="88"/>
      <c r="B828" s="88"/>
      <c r="C828" s="70"/>
      <c r="D828" s="70"/>
      <c r="E828" s="70"/>
      <c r="F828" s="70"/>
      <c r="G828" s="70"/>
      <c r="H828" s="422"/>
      <c r="I828" s="422"/>
      <c r="J828" s="418"/>
      <c r="K828" s="403"/>
      <c r="L828" s="73"/>
      <c r="M828" s="72"/>
      <c r="N828" s="72"/>
      <c r="O828" s="72"/>
      <c r="P828" s="42"/>
      <c r="Q828" s="42"/>
      <c r="R828" s="42"/>
      <c r="S828" s="42"/>
      <c r="T828" s="42"/>
      <c r="U828" s="42"/>
      <c r="V828" s="416"/>
      <c r="W828" s="42"/>
      <c r="X828" s="74"/>
      <c r="Y828" s="74"/>
      <c r="Z828" s="74"/>
      <c r="AA828" s="74"/>
      <c r="AB828" s="74"/>
      <c r="AC828" s="42"/>
      <c r="AD828" s="42"/>
      <c r="AE828" s="42"/>
      <c r="AF828" s="42"/>
      <c r="AG828" s="42"/>
      <c r="AH828" s="42"/>
      <c r="AI828" s="75"/>
      <c r="AJ828" s="75"/>
      <c r="AK828" s="75"/>
      <c r="AL828" s="75"/>
      <c r="AM828" s="74"/>
      <c r="AN828" s="72" t="e">
        <f>VLOOKUP(H828,[4]Planilha1!A$13:P$314,16,0)</f>
        <v>#N/A</v>
      </c>
    </row>
    <row r="829" spans="1:40" s="69" customFormat="1" x14ac:dyDescent="0.25">
      <c r="A829" s="88"/>
      <c r="B829" s="88"/>
      <c r="C829" s="70"/>
      <c r="D829" s="70"/>
      <c r="E829" s="70"/>
      <c r="F829" s="70"/>
      <c r="G829" s="70"/>
      <c r="H829" s="422"/>
      <c r="I829" s="422"/>
      <c r="J829" s="418"/>
      <c r="K829" s="403"/>
      <c r="L829" s="73"/>
      <c r="M829" s="72"/>
      <c r="N829" s="72"/>
      <c r="O829" s="72"/>
      <c r="P829" s="42"/>
      <c r="Q829" s="42"/>
      <c r="R829" s="42"/>
      <c r="S829" s="42"/>
      <c r="T829" s="42"/>
      <c r="U829" s="42"/>
      <c r="V829" s="416"/>
      <c r="W829" s="42"/>
      <c r="X829" s="74"/>
      <c r="Y829" s="74"/>
      <c r="Z829" s="74"/>
      <c r="AA829" s="74"/>
      <c r="AB829" s="74"/>
      <c r="AC829" s="42"/>
      <c r="AD829" s="42"/>
      <c r="AE829" s="42"/>
      <c r="AF829" s="42"/>
      <c r="AG829" s="42"/>
      <c r="AH829" s="42"/>
      <c r="AI829" s="75"/>
      <c r="AJ829" s="75"/>
      <c r="AK829" s="75"/>
      <c r="AL829" s="75"/>
      <c r="AM829" s="74"/>
      <c r="AN829" s="72" t="e">
        <f>VLOOKUP(H829,[4]Planilha1!A$13:P$314,16,0)</f>
        <v>#N/A</v>
      </c>
    </row>
    <row r="830" spans="1:40" s="69" customFormat="1" x14ac:dyDescent="0.25">
      <c r="A830" s="88"/>
      <c r="B830" s="88"/>
      <c r="C830" s="70"/>
      <c r="D830" s="70"/>
      <c r="E830" s="70"/>
      <c r="F830" s="70"/>
      <c r="G830" s="70"/>
      <c r="H830" s="422"/>
      <c r="I830" s="422"/>
      <c r="J830" s="418"/>
      <c r="K830" s="403"/>
      <c r="L830" s="73"/>
      <c r="M830" s="72"/>
      <c r="N830" s="72"/>
      <c r="O830" s="72"/>
      <c r="P830" s="42"/>
      <c r="Q830" s="42"/>
      <c r="R830" s="42"/>
      <c r="S830" s="42"/>
      <c r="T830" s="42"/>
      <c r="U830" s="42"/>
      <c r="V830" s="416"/>
      <c r="W830" s="42"/>
      <c r="X830" s="74"/>
      <c r="Y830" s="74"/>
      <c r="Z830" s="74"/>
      <c r="AA830" s="74"/>
      <c r="AB830" s="74"/>
      <c r="AC830" s="42"/>
      <c r="AD830" s="42"/>
      <c r="AE830" s="42"/>
      <c r="AF830" s="42"/>
      <c r="AG830" s="42"/>
      <c r="AH830" s="42"/>
      <c r="AI830" s="75"/>
      <c r="AJ830" s="75"/>
      <c r="AK830" s="75"/>
      <c r="AL830" s="75"/>
      <c r="AM830" s="74"/>
      <c r="AN830" s="72" t="e">
        <f>VLOOKUP(H830,[4]Planilha1!A$13:P$314,16,0)</f>
        <v>#N/A</v>
      </c>
    </row>
    <row r="831" spans="1:40" s="69" customFormat="1" x14ac:dyDescent="0.25">
      <c r="A831" s="88"/>
      <c r="B831" s="88"/>
      <c r="C831" s="70"/>
      <c r="D831" s="70"/>
      <c r="E831" s="70"/>
      <c r="F831" s="70"/>
      <c r="G831" s="70"/>
      <c r="H831" s="422"/>
      <c r="I831" s="422"/>
      <c r="J831" s="418"/>
      <c r="K831" s="403"/>
      <c r="L831" s="73"/>
      <c r="M831" s="72"/>
      <c r="N831" s="72"/>
      <c r="O831" s="72"/>
      <c r="P831" s="42"/>
      <c r="Q831" s="42"/>
      <c r="R831" s="42"/>
      <c r="S831" s="42"/>
      <c r="T831" s="42"/>
      <c r="U831" s="42"/>
      <c r="V831" s="416"/>
      <c r="W831" s="42"/>
      <c r="X831" s="74"/>
      <c r="Y831" s="74"/>
      <c r="Z831" s="74"/>
      <c r="AA831" s="74"/>
      <c r="AB831" s="74"/>
      <c r="AC831" s="42"/>
      <c r="AD831" s="42"/>
      <c r="AE831" s="42"/>
      <c r="AF831" s="42"/>
      <c r="AG831" s="42"/>
      <c r="AH831" s="42"/>
      <c r="AI831" s="75"/>
      <c r="AJ831" s="75"/>
      <c r="AK831" s="75"/>
      <c r="AL831" s="75"/>
      <c r="AM831" s="74"/>
      <c r="AN831" s="72" t="e">
        <f>VLOOKUP(H831,[4]Planilha1!A$13:P$314,16,0)</f>
        <v>#N/A</v>
      </c>
    </row>
    <row r="832" spans="1:40" s="69" customFormat="1" x14ac:dyDescent="0.25">
      <c r="A832" s="88"/>
      <c r="B832" s="88"/>
      <c r="C832" s="70"/>
      <c r="D832" s="70"/>
      <c r="E832" s="70"/>
      <c r="F832" s="70"/>
      <c r="G832" s="70"/>
      <c r="H832" s="422"/>
      <c r="I832" s="422"/>
      <c r="J832" s="418"/>
      <c r="K832" s="403"/>
      <c r="L832" s="73"/>
      <c r="M832" s="72"/>
      <c r="N832" s="72"/>
      <c r="O832" s="72"/>
      <c r="P832" s="42"/>
      <c r="Q832" s="42"/>
      <c r="R832" s="42"/>
      <c r="S832" s="42"/>
      <c r="T832" s="42"/>
      <c r="U832" s="42"/>
      <c r="V832" s="416"/>
      <c r="W832" s="42"/>
      <c r="X832" s="74"/>
      <c r="Y832" s="74"/>
      <c r="Z832" s="74"/>
      <c r="AA832" s="74"/>
      <c r="AB832" s="74"/>
      <c r="AC832" s="42"/>
      <c r="AD832" s="42"/>
      <c r="AE832" s="42"/>
      <c r="AF832" s="42"/>
      <c r="AG832" s="42"/>
      <c r="AH832" s="42"/>
      <c r="AI832" s="75"/>
      <c r="AJ832" s="75"/>
      <c r="AK832" s="75"/>
      <c r="AL832" s="75"/>
      <c r="AM832" s="74"/>
      <c r="AN832" s="72" t="e">
        <f>VLOOKUP(H832,[4]Planilha1!A$13:P$314,16,0)</f>
        <v>#N/A</v>
      </c>
    </row>
    <row r="833" spans="1:40" s="69" customFormat="1" x14ac:dyDescent="0.25">
      <c r="A833" s="88"/>
      <c r="B833" s="88"/>
      <c r="C833" s="70"/>
      <c r="D833" s="70"/>
      <c r="E833" s="70"/>
      <c r="F833" s="70"/>
      <c r="G833" s="70"/>
      <c r="H833" s="422"/>
      <c r="I833" s="422"/>
      <c r="J833" s="418"/>
      <c r="K833" s="403"/>
      <c r="L833" s="73"/>
      <c r="M833" s="72"/>
      <c r="N833" s="72"/>
      <c r="O833" s="72"/>
      <c r="P833" s="42"/>
      <c r="Q833" s="42"/>
      <c r="R833" s="42"/>
      <c r="S833" s="42"/>
      <c r="T833" s="42"/>
      <c r="U833" s="42"/>
      <c r="V833" s="416"/>
      <c r="W833" s="42"/>
      <c r="X833" s="74"/>
      <c r="Y833" s="74"/>
      <c r="Z833" s="74"/>
      <c r="AA833" s="74"/>
      <c r="AB833" s="74"/>
      <c r="AC833" s="42"/>
      <c r="AD833" s="42"/>
      <c r="AE833" s="42"/>
      <c r="AF833" s="42"/>
      <c r="AG833" s="42"/>
      <c r="AH833" s="42"/>
      <c r="AI833" s="75"/>
      <c r="AJ833" s="75"/>
      <c r="AK833" s="75"/>
      <c r="AL833" s="75"/>
      <c r="AM833" s="74"/>
      <c r="AN833" s="72" t="e">
        <f>VLOOKUP(H833,[4]Planilha1!A$13:P$314,16,0)</f>
        <v>#N/A</v>
      </c>
    </row>
    <row r="834" spans="1:40" s="69" customFormat="1" x14ac:dyDescent="0.25">
      <c r="A834" s="88"/>
      <c r="B834" s="88"/>
      <c r="C834" s="70"/>
      <c r="D834" s="70"/>
      <c r="E834" s="70"/>
      <c r="F834" s="70"/>
      <c r="G834" s="70"/>
      <c r="H834" s="422"/>
      <c r="I834" s="422"/>
      <c r="J834" s="418"/>
      <c r="K834" s="403"/>
      <c r="L834" s="73"/>
      <c r="M834" s="72"/>
      <c r="N834" s="72"/>
      <c r="O834" s="72"/>
      <c r="P834" s="42"/>
      <c r="Q834" s="42"/>
      <c r="R834" s="42"/>
      <c r="S834" s="42"/>
      <c r="T834" s="42"/>
      <c r="U834" s="42"/>
      <c r="V834" s="416"/>
      <c r="W834" s="42"/>
      <c r="X834" s="74"/>
      <c r="Y834" s="74"/>
      <c r="Z834" s="74"/>
      <c r="AA834" s="74"/>
      <c r="AB834" s="74"/>
      <c r="AC834" s="42"/>
      <c r="AD834" s="42"/>
      <c r="AE834" s="42"/>
      <c r="AF834" s="42"/>
      <c r="AG834" s="42"/>
      <c r="AH834" s="42"/>
      <c r="AI834" s="75"/>
      <c r="AJ834" s="75"/>
      <c r="AK834" s="75"/>
      <c r="AL834" s="75"/>
      <c r="AM834" s="74"/>
      <c r="AN834" s="72" t="e">
        <f>VLOOKUP(H834,[4]Planilha1!A$13:P$314,16,0)</f>
        <v>#N/A</v>
      </c>
    </row>
    <row r="835" spans="1:40" s="69" customFormat="1" x14ac:dyDescent="0.25">
      <c r="A835" s="88"/>
      <c r="B835" s="88"/>
      <c r="C835" s="70"/>
      <c r="D835" s="70"/>
      <c r="E835" s="70"/>
      <c r="F835" s="70"/>
      <c r="G835" s="70"/>
      <c r="H835" s="422"/>
      <c r="I835" s="422"/>
      <c r="J835" s="418"/>
      <c r="K835" s="403"/>
      <c r="L835" s="73"/>
      <c r="M835" s="72"/>
      <c r="N835" s="72"/>
      <c r="O835" s="72"/>
      <c r="P835" s="42"/>
      <c r="Q835" s="42"/>
      <c r="R835" s="42"/>
      <c r="S835" s="42"/>
      <c r="T835" s="42"/>
      <c r="U835" s="42"/>
      <c r="V835" s="416"/>
      <c r="W835" s="42"/>
      <c r="X835" s="74"/>
      <c r="Y835" s="74"/>
      <c r="Z835" s="74"/>
      <c r="AA835" s="74"/>
      <c r="AB835" s="74"/>
      <c r="AC835" s="42"/>
      <c r="AD835" s="42"/>
      <c r="AE835" s="42"/>
      <c r="AF835" s="42"/>
      <c r="AG835" s="42"/>
      <c r="AH835" s="42"/>
      <c r="AI835" s="75"/>
      <c r="AJ835" s="75"/>
      <c r="AK835" s="75"/>
      <c r="AL835" s="75"/>
      <c r="AM835" s="74"/>
      <c r="AN835" s="72" t="e">
        <f>VLOOKUP(H835,[4]Planilha1!A$13:P$314,16,0)</f>
        <v>#N/A</v>
      </c>
    </row>
    <row r="836" spans="1:40" s="69" customFormat="1" x14ac:dyDescent="0.25">
      <c r="A836" s="88"/>
      <c r="B836" s="88"/>
      <c r="C836" s="70"/>
      <c r="D836" s="70"/>
      <c r="E836" s="70"/>
      <c r="F836" s="70"/>
      <c r="G836" s="70"/>
      <c r="H836" s="422"/>
      <c r="I836" s="422"/>
      <c r="J836" s="418"/>
      <c r="K836" s="403"/>
      <c r="L836" s="73"/>
      <c r="M836" s="72"/>
      <c r="N836" s="72"/>
      <c r="O836" s="72"/>
      <c r="P836" s="42"/>
      <c r="Q836" s="42"/>
      <c r="R836" s="42"/>
      <c r="S836" s="42"/>
      <c r="T836" s="42"/>
      <c r="U836" s="42"/>
      <c r="V836" s="416"/>
      <c r="W836" s="42"/>
      <c r="X836" s="74"/>
      <c r="Y836" s="74"/>
      <c r="Z836" s="74"/>
      <c r="AA836" s="74"/>
      <c r="AB836" s="74"/>
      <c r="AC836" s="42"/>
      <c r="AD836" s="42"/>
      <c r="AE836" s="42"/>
      <c r="AF836" s="42"/>
      <c r="AG836" s="42"/>
      <c r="AH836" s="42"/>
      <c r="AI836" s="75"/>
      <c r="AJ836" s="75"/>
      <c r="AK836" s="75"/>
      <c r="AL836" s="75"/>
      <c r="AM836" s="74"/>
      <c r="AN836" s="72" t="e">
        <f>VLOOKUP(H836,[4]Planilha1!A$13:P$314,16,0)</f>
        <v>#N/A</v>
      </c>
    </row>
    <row r="837" spans="1:40" s="69" customFormat="1" x14ac:dyDescent="0.25">
      <c r="A837" s="88"/>
      <c r="B837" s="88"/>
      <c r="C837" s="70"/>
      <c r="D837" s="70"/>
      <c r="E837" s="70"/>
      <c r="F837" s="70"/>
      <c r="G837" s="70"/>
      <c r="H837" s="422"/>
      <c r="I837" s="422"/>
      <c r="J837" s="418"/>
      <c r="K837" s="403"/>
      <c r="L837" s="73"/>
      <c r="M837" s="72"/>
      <c r="N837" s="72"/>
      <c r="O837" s="72"/>
      <c r="P837" s="42"/>
      <c r="Q837" s="42"/>
      <c r="R837" s="42"/>
      <c r="S837" s="42"/>
      <c r="T837" s="42"/>
      <c r="U837" s="42"/>
      <c r="V837" s="416"/>
      <c r="W837" s="42"/>
      <c r="X837" s="74"/>
      <c r="Y837" s="74"/>
      <c r="Z837" s="74"/>
      <c r="AA837" s="74"/>
      <c r="AB837" s="74"/>
      <c r="AC837" s="42"/>
      <c r="AD837" s="42"/>
      <c r="AE837" s="42"/>
      <c r="AF837" s="42"/>
      <c r="AG837" s="42"/>
      <c r="AH837" s="42"/>
      <c r="AI837" s="75"/>
      <c r="AJ837" s="75"/>
      <c r="AK837" s="75"/>
      <c r="AL837" s="75"/>
      <c r="AM837" s="74"/>
      <c r="AN837" s="72" t="e">
        <f>VLOOKUP(H837,[4]Planilha1!A$13:P$314,16,0)</f>
        <v>#N/A</v>
      </c>
    </row>
    <row r="838" spans="1:40" s="69" customFormat="1" x14ac:dyDescent="0.25">
      <c r="A838" s="88"/>
      <c r="B838" s="88"/>
      <c r="C838" s="70"/>
      <c r="D838" s="70"/>
      <c r="E838" s="70"/>
      <c r="F838" s="70"/>
      <c r="G838" s="70"/>
      <c r="H838" s="422"/>
      <c r="I838" s="422"/>
      <c r="J838" s="418"/>
      <c r="K838" s="403"/>
      <c r="L838" s="73"/>
      <c r="M838" s="72"/>
      <c r="N838" s="72"/>
      <c r="O838" s="72"/>
      <c r="P838" s="42"/>
      <c r="Q838" s="42"/>
      <c r="R838" s="42"/>
      <c r="S838" s="42"/>
      <c r="T838" s="42"/>
      <c r="U838" s="42"/>
      <c r="V838" s="416"/>
      <c r="W838" s="42"/>
      <c r="X838" s="74"/>
      <c r="Y838" s="74"/>
      <c r="Z838" s="74"/>
      <c r="AA838" s="74"/>
      <c r="AB838" s="74"/>
      <c r="AC838" s="42"/>
      <c r="AD838" s="42"/>
      <c r="AE838" s="42"/>
      <c r="AF838" s="42"/>
      <c r="AG838" s="42"/>
      <c r="AH838" s="42"/>
      <c r="AI838" s="75"/>
      <c r="AJ838" s="75"/>
      <c r="AK838" s="75"/>
      <c r="AL838" s="75"/>
      <c r="AM838" s="74"/>
      <c r="AN838" s="72" t="e">
        <f>VLOOKUP(H838,[4]Planilha1!A$13:P$314,16,0)</f>
        <v>#N/A</v>
      </c>
    </row>
    <row r="839" spans="1:40" s="69" customFormat="1" x14ac:dyDescent="0.25">
      <c r="A839" s="88"/>
      <c r="B839" s="88"/>
      <c r="C839" s="70"/>
      <c r="D839" s="70"/>
      <c r="E839" s="70"/>
      <c r="F839" s="70"/>
      <c r="G839" s="70"/>
      <c r="H839" s="422"/>
      <c r="I839" s="422"/>
      <c r="J839" s="418"/>
      <c r="K839" s="403"/>
      <c r="L839" s="73"/>
      <c r="M839" s="72"/>
      <c r="N839" s="72"/>
      <c r="O839" s="72"/>
      <c r="P839" s="42"/>
      <c r="Q839" s="42"/>
      <c r="R839" s="42"/>
      <c r="S839" s="42"/>
      <c r="T839" s="42"/>
      <c r="U839" s="42"/>
      <c r="V839" s="416"/>
      <c r="W839" s="42"/>
      <c r="X839" s="74"/>
      <c r="Y839" s="74"/>
      <c r="Z839" s="74"/>
      <c r="AA839" s="74"/>
      <c r="AB839" s="74"/>
      <c r="AC839" s="42"/>
      <c r="AD839" s="42"/>
      <c r="AE839" s="42"/>
      <c r="AF839" s="42"/>
      <c r="AG839" s="42"/>
      <c r="AH839" s="42"/>
      <c r="AI839" s="75"/>
      <c r="AJ839" s="75"/>
      <c r="AK839" s="75"/>
      <c r="AL839" s="75"/>
      <c r="AM839" s="74"/>
      <c r="AN839" s="72" t="e">
        <f>VLOOKUP(H839,[4]Planilha1!A$13:P$314,16,0)</f>
        <v>#N/A</v>
      </c>
    </row>
    <row r="840" spans="1:40" s="69" customFormat="1" x14ac:dyDescent="0.25">
      <c r="A840" s="88"/>
      <c r="B840" s="88"/>
      <c r="C840" s="70"/>
      <c r="D840" s="70"/>
      <c r="E840" s="70"/>
      <c r="F840" s="70"/>
      <c r="G840" s="70"/>
      <c r="H840" s="422"/>
      <c r="I840" s="422"/>
      <c r="J840" s="418"/>
      <c r="K840" s="403"/>
      <c r="L840" s="73"/>
      <c r="M840" s="72"/>
      <c r="N840" s="72"/>
      <c r="O840" s="72"/>
      <c r="P840" s="42"/>
      <c r="Q840" s="42"/>
      <c r="R840" s="42"/>
      <c r="S840" s="42"/>
      <c r="T840" s="42"/>
      <c r="U840" s="42"/>
      <c r="V840" s="416"/>
      <c r="W840" s="42"/>
      <c r="X840" s="74"/>
      <c r="Y840" s="74"/>
      <c r="Z840" s="74"/>
      <c r="AA840" s="74"/>
      <c r="AB840" s="74"/>
      <c r="AC840" s="42"/>
      <c r="AD840" s="42"/>
      <c r="AE840" s="42"/>
      <c r="AF840" s="42"/>
      <c r="AG840" s="42"/>
      <c r="AH840" s="42"/>
      <c r="AI840" s="75"/>
      <c r="AJ840" s="75"/>
      <c r="AK840" s="75"/>
      <c r="AL840" s="75"/>
      <c r="AM840" s="74"/>
      <c r="AN840" s="72" t="e">
        <f>VLOOKUP(H840,[4]Planilha1!A$13:P$314,16,0)</f>
        <v>#N/A</v>
      </c>
    </row>
    <row r="841" spans="1:40" s="69" customFormat="1" x14ac:dyDescent="0.25">
      <c r="A841" s="88"/>
      <c r="B841" s="88"/>
      <c r="C841" s="70"/>
      <c r="D841" s="70"/>
      <c r="E841" s="70"/>
      <c r="F841" s="70"/>
      <c r="G841" s="70"/>
      <c r="H841" s="422"/>
      <c r="I841" s="422"/>
      <c r="J841" s="418"/>
      <c r="K841" s="403"/>
      <c r="L841" s="73"/>
      <c r="M841" s="72"/>
      <c r="N841" s="72"/>
      <c r="O841" s="72"/>
      <c r="P841" s="42"/>
      <c r="Q841" s="42"/>
      <c r="R841" s="42"/>
      <c r="S841" s="42"/>
      <c r="T841" s="42"/>
      <c r="U841" s="42"/>
      <c r="V841" s="416"/>
      <c r="W841" s="42"/>
      <c r="X841" s="74"/>
      <c r="Y841" s="74"/>
      <c r="Z841" s="74"/>
      <c r="AA841" s="74"/>
      <c r="AB841" s="74"/>
      <c r="AC841" s="42"/>
      <c r="AD841" s="42"/>
      <c r="AE841" s="42"/>
      <c r="AF841" s="42"/>
      <c r="AG841" s="42"/>
      <c r="AH841" s="42"/>
      <c r="AI841" s="75"/>
      <c r="AJ841" s="75"/>
      <c r="AK841" s="75"/>
      <c r="AL841" s="75"/>
      <c r="AM841" s="74"/>
      <c r="AN841" s="72" t="e">
        <f>VLOOKUP(H841,[4]Planilha1!A$13:P$314,16,0)</f>
        <v>#N/A</v>
      </c>
    </row>
    <row r="842" spans="1:40" s="69" customFormat="1" x14ac:dyDescent="0.25">
      <c r="A842" s="88"/>
      <c r="B842" s="88"/>
      <c r="C842" s="70"/>
      <c r="D842" s="70"/>
      <c r="E842" s="70"/>
      <c r="F842" s="70"/>
      <c r="G842" s="70"/>
      <c r="H842" s="422"/>
      <c r="I842" s="422"/>
      <c r="J842" s="418"/>
      <c r="K842" s="403"/>
      <c r="L842" s="73"/>
      <c r="M842" s="72"/>
      <c r="N842" s="72"/>
      <c r="O842" s="72"/>
      <c r="P842" s="42"/>
      <c r="Q842" s="42"/>
      <c r="R842" s="42"/>
      <c r="S842" s="42"/>
      <c r="T842" s="42"/>
      <c r="U842" s="42"/>
      <c r="V842" s="416"/>
      <c r="W842" s="42"/>
      <c r="X842" s="74"/>
      <c r="Y842" s="74"/>
      <c r="Z842" s="74"/>
      <c r="AA842" s="74"/>
      <c r="AB842" s="74"/>
      <c r="AC842" s="42"/>
      <c r="AD842" s="42"/>
      <c r="AE842" s="42"/>
      <c r="AF842" s="42"/>
      <c r="AG842" s="42"/>
      <c r="AH842" s="42"/>
      <c r="AI842" s="75"/>
      <c r="AJ842" s="75"/>
      <c r="AK842" s="75"/>
      <c r="AL842" s="75"/>
      <c r="AM842" s="74"/>
      <c r="AN842" s="72" t="e">
        <f>VLOOKUP(H842,[4]Planilha1!A$13:P$314,16,0)</f>
        <v>#N/A</v>
      </c>
    </row>
    <row r="843" spans="1:40" s="69" customFormat="1" x14ac:dyDescent="0.25">
      <c r="A843" s="88"/>
      <c r="B843" s="88"/>
      <c r="C843" s="70"/>
      <c r="D843" s="70"/>
      <c r="E843" s="70"/>
      <c r="F843" s="70"/>
      <c r="G843" s="70"/>
      <c r="H843" s="422"/>
      <c r="I843" s="422"/>
      <c r="J843" s="418"/>
      <c r="K843" s="403"/>
      <c r="L843" s="73"/>
      <c r="M843" s="72"/>
      <c r="N843" s="72"/>
      <c r="O843" s="72"/>
      <c r="P843" s="42"/>
      <c r="Q843" s="42"/>
      <c r="R843" s="42"/>
      <c r="S843" s="42"/>
      <c r="T843" s="42"/>
      <c r="U843" s="42"/>
      <c r="V843" s="416"/>
      <c r="W843" s="42"/>
      <c r="X843" s="74"/>
      <c r="Y843" s="74"/>
      <c r="Z843" s="74"/>
      <c r="AA843" s="74"/>
      <c r="AB843" s="74"/>
      <c r="AC843" s="42"/>
      <c r="AD843" s="42"/>
      <c r="AE843" s="42"/>
      <c r="AF843" s="42"/>
      <c r="AG843" s="42"/>
      <c r="AH843" s="42"/>
      <c r="AI843" s="75"/>
      <c r="AJ843" s="75"/>
      <c r="AK843" s="75"/>
      <c r="AL843" s="75"/>
      <c r="AM843" s="74"/>
      <c r="AN843" s="72" t="e">
        <f>VLOOKUP(H843,[4]Planilha1!A$13:P$314,16,0)</f>
        <v>#N/A</v>
      </c>
    </row>
    <row r="844" spans="1:40" s="69" customFormat="1" x14ac:dyDescent="0.25">
      <c r="A844" s="88"/>
      <c r="B844" s="88"/>
      <c r="C844" s="70"/>
      <c r="D844" s="70"/>
      <c r="E844" s="70"/>
      <c r="F844" s="70"/>
      <c r="G844" s="70"/>
      <c r="H844" s="422"/>
      <c r="I844" s="422"/>
      <c r="J844" s="418"/>
      <c r="K844" s="403"/>
      <c r="L844" s="73"/>
      <c r="M844" s="72"/>
      <c r="N844" s="72"/>
      <c r="O844" s="72"/>
      <c r="P844" s="42"/>
      <c r="Q844" s="42"/>
      <c r="R844" s="42"/>
      <c r="S844" s="42"/>
      <c r="T844" s="42"/>
      <c r="U844" s="42"/>
      <c r="V844" s="416"/>
      <c r="W844" s="42"/>
      <c r="X844" s="74"/>
      <c r="Y844" s="74"/>
      <c r="Z844" s="74"/>
      <c r="AA844" s="74"/>
      <c r="AB844" s="74"/>
      <c r="AC844" s="42"/>
      <c r="AD844" s="42"/>
      <c r="AE844" s="42"/>
      <c r="AF844" s="42"/>
      <c r="AG844" s="42"/>
      <c r="AH844" s="42"/>
      <c r="AI844" s="75"/>
      <c r="AJ844" s="75"/>
      <c r="AK844" s="75"/>
      <c r="AL844" s="75"/>
      <c r="AM844" s="74"/>
      <c r="AN844" s="72" t="e">
        <f>VLOOKUP(H844,[4]Planilha1!A$13:P$314,16,0)</f>
        <v>#N/A</v>
      </c>
    </row>
    <row r="845" spans="1:40" s="69" customFormat="1" x14ac:dyDescent="0.25">
      <c r="A845" s="88"/>
      <c r="B845" s="88"/>
      <c r="C845" s="70"/>
      <c r="D845" s="70"/>
      <c r="E845" s="70"/>
      <c r="F845" s="70"/>
      <c r="G845" s="70"/>
      <c r="H845" s="422"/>
      <c r="I845" s="422"/>
      <c r="J845" s="418"/>
      <c r="K845" s="403"/>
      <c r="L845" s="73"/>
      <c r="M845" s="72"/>
      <c r="N845" s="72"/>
      <c r="O845" s="72"/>
      <c r="P845" s="42"/>
      <c r="Q845" s="42"/>
      <c r="R845" s="42"/>
      <c r="S845" s="42"/>
      <c r="T845" s="42"/>
      <c r="U845" s="42"/>
      <c r="V845" s="416"/>
      <c r="W845" s="42"/>
      <c r="X845" s="74"/>
      <c r="Y845" s="74"/>
      <c r="Z845" s="74"/>
      <c r="AA845" s="74"/>
      <c r="AB845" s="74"/>
      <c r="AC845" s="42"/>
      <c r="AD845" s="42"/>
      <c r="AE845" s="42"/>
      <c r="AF845" s="42"/>
      <c r="AG845" s="42"/>
      <c r="AH845" s="42"/>
      <c r="AI845" s="75"/>
      <c r="AJ845" s="75"/>
      <c r="AK845" s="75"/>
      <c r="AL845" s="75"/>
      <c r="AM845" s="74"/>
      <c r="AN845" s="72" t="e">
        <f>VLOOKUP(H845,[4]Planilha1!A$13:P$314,16,0)</f>
        <v>#N/A</v>
      </c>
    </row>
    <row r="846" spans="1:40" s="69" customFormat="1" x14ac:dyDescent="0.25">
      <c r="A846" s="88"/>
      <c r="B846" s="88"/>
      <c r="C846" s="70"/>
      <c r="D846" s="70"/>
      <c r="E846" s="70"/>
      <c r="F846" s="70"/>
      <c r="G846" s="70"/>
      <c r="H846" s="422"/>
      <c r="I846" s="422"/>
      <c r="J846" s="418"/>
      <c r="K846" s="403"/>
      <c r="L846" s="73"/>
      <c r="M846" s="72"/>
      <c r="N846" s="72"/>
      <c r="O846" s="72"/>
      <c r="P846" s="42"/>
      <c r="Q846" s="42"/>
      <c r="R846" s="42"/>
      <c r="S846" s="42"/>
      <c r="T846" s="42"/>
      <c r="U846" s="42"/>
      <c r="V846" s="416"/>
      <c r="W846" s="42"/>
      <c r="X846" s="74"/>
      <c r="Y846" s="74"/>
      <c r="Z846" s="74"/>
      <c r="AA846" s="74"/>
      <c r="AB846" s="74"/>
      <c r="AC846" s="42"/>
      <c r="AD846" s="42"/>
      <c r="AE846" s="42"/>
      <c r="AF846" s="42"/>
      <c r="AG846" s="42"/>
      <c r="AH846" s="42"/>
      <c r="AI846" s="75"/>
      <c r="AJ846" s="75"/>
      <c r="AK846" s="75"/>
      <c r="AL846" s="75"/>
      <c r="AM846" s="74"/>
      <c r="AN846" s="72" t="e">
        <f>VLOOKUP(H846,[4]Planilha1!A$13:P$314,16,0)</f>
        <v>#N/A</v>
      </c>
    </row>
    <row r="847" spans="1:40" s="69" customFormat="1" x14ac:dyDescent="0.25">
      <c r="A847" s="88"/>
      <c r="B847" s="88"/>
      <c r="C847" s="70"/>
      <c r="D847" s="70"/>
      <c r="E847" s="70"/>
      <c r="F847" s="70"/>
      <c r="G847" s="70"/>
      <c r="H847" s="422"/>
      <c r="I847" s="422"/>
      <c r="J847" s="418"/>
      <c r="K847" s="403"/>
      <c r="L847" s="73"/>
      <c r="M847" s="72"/>
      <c r="N847" s="72"/>
      <c r="O847" s="72"/>
      <c r="P847" s="42"/>
      <c r="Q847" s="42"/>
      <c r="R847" s="42"/>
      <c r="S847" s="42"/>
      <c r="T847" s="42"/>
      <c r="U847" s="42"/>
      <c r="V847" s="416"/>
      <c r="W847" s="42"/>
      <c r="X847" s="74"/>
      <c r="Y847" s="74"/>
      <c r="Z847" s="74"/>
      <c r="AA847" s="74"/>
      <c r="AB847" s="74"/>
      <c r="AC847" s="42"/>
      <c r="AD847" s="42"/>
      <c r="AE847" s="42"/>
      <c r="AF847" s="42"/>
      <c r="AG847" s="42"/>
      <c r="AH847" s="42"/>
      <c r="AI847" s="75"/>
      <c r="AJ847" s="75"/>
      <c r="AK847" s="75"/>
      <c r="AL847" s="75"/>
      <c r="AM847" s="74"/>
      <c r="AN847" s="72" t="e">
        <f>VLOOKUP(H847,[4]Planilha1!A$13:P$314,16,0)</f>
        <v>#N/A</v>
      </c>
    </row>
    <row r="848" spans="1:40" s="69" customFormat="1" x14ac:dyDescent="0.25">
      <c r="A848" s="88"/>
      <c r="B848" s="88"/>
      <c r="C848" s="70"/>
      <c r="D848" s="70"/>
      <c r="E848" s="70"/>
      <c r="F848" s="70"/>
      <c r="G848" s="70"/>
      <c r="H848" s="422"/>
      <c r="I848" s="422"/>
      <c r="J848" s="418"/>
      <c r="K848" s="403"/>
      <c r="L848" s="73"/>
      <c r="M848" s="72"/>
      <c r="N848" s="72"/>
      <c r="O848" s="72"/>
      <c r="P848" s="42"/>
      <c r="Q848" s="42"/>
      <c r="R848" s="42"/>
      <c r="S848" s="42"/>
      <c r="T848" s="42"/>
      <c r="U848" s="42"/>
      <c r="V848" s="416"/>
      <c r="W848" s="42"/>
      <c r="X848" s="74"/>
      <c r="Y848" s="74"/>
      <c r="Z848" s="74"/>
      <c r="AA848" s="74"/>
      <c r="AB848" s="74"/>
      <c r="AC848" s="42"/>
      <c r="AD848" s="42"/>
      <c r="AE848" s="42"/>
      <c r="AF848" s="42"/>
      <c r="AG848" s="42"/>
      <c r="AH848" s="42"/>
      <c r="AI848" s="75"/>
      <c r="AJ848" s="75"/>
      <c r="AK848" s="75"/>
      <c r="AL848" s="75"/>
      <c r="AM848" s="74"/>
      <c r="AN848" s="72" t="e">
        <f>VLOOKUP(H848,[4]Planilha1!A$13:P$314,16,0)</f>
        <v>#N/A</v>
      </c>
    </row>
    <row r="849" spans="1:40" s="69" customFormat="1" x14ac:dyDescent="0.25">
      <c r="A849" s="88"/>
      <c r="B849" s="88"/>
      <c r="C849" s="70"/>
      <c r="D849" s="70"/>
      <c r="E849" s="70"/>
      <c r="F849" s="70"/>
      <c r="G849" s="70"/>
      <c r="H849" s="422"/>
      <c r="I849" s="422"/>
      <c r="J849" s="418"/>
      <c r="K849" s="403"/>
      <c r="L849" s="73"/>
      <c r="M849" s="72"/>
      <c r="N849" s="72"/>
      <c r="O849" s="72"/>
      <c r="P849" s="42"/>
      <c r="Q849" s="42"/>
      <c r="R849" s="42"/>
      <c r="S849" s="42"/>
      <c r="T849" s="42"/>
      <c r="U849" s="42"/>
      <c r="V849" s="416"/>
      <c r="W849" s="42"/>
      <c r="X849" s="74"/>
      <c r="Y849" s="74"/>
      <c r="Z849" s="74"/>
      <c r="AA849" s="74"/>
      <c r="AB849" s="74"/>
      <c r="AC849" s="42"/>
      <c r="AD849" s="42"/>
      <c r="AE849" s="42"/>
      <c r="AF849" s="42"/>
      <c r="AG849" s="42"/>
      <c r="AH849" s="42"/>
      <c r="AI849" s="75"/>
      <c r="AJ849" s="75"/>
      <c r="AK849" s="75"/>
      <c r="AL849" s="75"/>
      <c r="AM849" s="74"/>
      <c r="AN849" s="72" t="e">
        <f>VLOOKUP(H849,[4]Planilha1!A$13:P$314,16,0)</f>
        <v>#N/A</v>
      </c>
    </row>
    <row r="850" spans="1:40" s="69" customFormat="1" x14ac:dyDescent="0.25">
      <c r="A850" s="88"/>
      <c r="B850" s="88"/>
      <c r="C850" s="70"/>
      <c r="D850" s="70"/>
      <c r="E850" s="70"/>
      <c r="F850" s="70"/>
      <c r="G850" s="70"/>
      <c r="H850" s="422"/>
      <c r="I850" s="422"/>
      <c r="J850" s="418"/>
      <c r="K850" s="403"/>
      <c r="L850" s="73"/>
      <c r="M850" s="72"/>
      <c r="N850" s="72"/>
      <c r="O850" s="72"/>
      <c r="P850" s="42"/>
      <c r="Q850" s="42"/>
      <c r="R850" s="42"/>
      <c r="S850" s="42"/>
      <c r="T850" s="42"/>
      <c r="U850" s="42"/>
      <c r="V850" s="416"/>
      <c r="W850" s="42"/>
      <c r="X850" s="74"/>
      <c r="Y850" s="74"/>
      <c r="Z850" s="74"/>
      <c r="AA850" s="74"/>
      <c r="AB850" s="74"/>
      <c r="AC850" s="42"/>
      <c r="AD850" s="42"/>
      <c r="AE850" s="42"/>
      <c r="AF850" s="42"/>
      <c r="AG850" s="42"/>
      <c r="AH850" s="42"/>
      <c r="AI850" s="75"/>
      <c r="AJ850" s="75"/>
      <c r="AK850" s="75"/>
      <c r="AL850" s="75"/>
      <c r="AM850" s="74"/>
      <c r="AN850" s="72" t="e">
        <f>VLOOKUP(H850,[4]Planilha1!A$13:P$314,16,0)</f>
        <v>#N/A</v>
      </c>
    </row>
    <row r="851" spans="1:40" s="69" customFormat="1" x14ac:dyDescent="0.25">
      <c r="A851" s="88"/>
      <c r="B851" s="88"/>
      <c r="C851" s="70"/>
      <c r="D851" s="70"/>
      <c r="E851" s="70"/>
      <c r="F851" s="70"/>
      <c r="G851" s="70"/>
      <c r="H851" s="422"/>
      <c r="I851" s="422"/>
      <c r="J851" s="418"/>
      <c r="K851" s="403"/>
      <c r="L851" s="73"/>
      <c r="M851" s="72"/>
      <c r="N851" s="72"/>
      <c r="O851" s="72"/>
      <c r="P851" s="42"/>
      <c r="Q851" s="42"/>
      <c r="R851" s="42"/>
      <c r="S851" s="42"/>
      <c r="T851" s="42"/>
      <c r="U851" s="42"/>
      <c r="V851" s="416"/>
      <c r="W851" s="42"/>
      <c r="X851" s="74"/>
      <c r="Y851" s="74"/>
      <c r="Z851" s="74"/>
      <c r="AA851" s="74"/>
      <c r="AB851" s="74"/>
      <c r="AC851" s="42"/>
      <c r="AD851" s="42"/>
      <c r="AE851" s="42"/>
      <c r="AF851" s="42"/>
      <c r="AG851" s="42"/>
      <c r="AH851" s="42"/>
      <c r="AI851" s="75"/>
      <c r="AJ851" s="75"/>
      <c r="AK851" s="75"/>
      <c r="AL851" s="75"/>
      <c r="AM851" s="74"/>
      <c r="AN851" s="72" t="e">
        <f>VLOOKUP(H851,[4]Planilha1!A$13:P$314,16,0)</f>
        <v>#N/A</v>
      </c>
    </row>
    <row r="852" spans="1:40" s="69" customFormat="1" x14ac:dyDescent="0.25">
      <c r="A852" s="88"/>
      <c r="B852" s="88"/>
      <c r="C852" s="70"/>
      <c r="D852" s="70"/>
      <c r="E852" s="70"/>
      <c r="F852" s="70"/>
      <c r="G852" s="70"/>
      <c r="H852" s="422"/>
      <c r="I852" s="422"/>
      <c r="J852" s="418"/>
      <c r="K852" s="403"/>
      <c r="L852" s="73"/>
      <c r="M852" s="72"/>
      <c r="N852" s="72"/>
      <c r="O852" s="72"/>
      <c r="P852" s="42"/>
      <c r="Q852" s="42"/>
      <c r="R852" s="42"/>
      <c r="S852" s="42"/>
      <c r="T852" s="42"/>
      <c r="U852" s="42"/>
      <c r="V852" s="416"/>
      <c r="W852" s="42"/>
      <c r="X852" s="74"/>
      <c r="Y852" s="74"/>
      <c r="Z852" s="74"/>
      <c r="AA852" s="74"/>
      <c r="AB852" s="74"/>
      <c r="AC852" s="42"/>
      <c r="AD852" s="42"/>
      <c r="AE852" s="42"/>
      <c r="AF852" s="42"/>
      <c r="AG852" s="42"/>
      <c r="AH852" s="42"/>
      <c r="AI852" s="75"/>
      <c r="AJ852" s="75"/>
      <c r="AK852" s="75"/>
      <c r="AL852" s="75"/>
      <c r="AM852" s="74"/>
      <c r="AN852" s="72" t="e">
        <f>VLOOKUP(H852,[4]Planilha1!A$13:P$314,16,0)</f>
        <v>#N/A</v>
      </c>
    </row>
    <row r="853" spans="1:40" s="69" customFormat="1" x14ac:dyDescent="0.25">
      <c r="A853" s="88"/>
      <c r="B853" s="88"/>
      <c r="C853" s="70"/>
      <c r="D853" s="70"/>
      <c r="E853" s="70"/>
      <c r="F853" s="70"/>
      <c r="G853" s="70"/>
      <c r="H853" s="422"/>
      <c r="I853" s="422"/>
      <c r="J853" s="418"/>
      <c r="K853" s="403"/>
      <c r="L853" s="73"/>
      <c r="M853" s="72"/>
      <c r="N853" s="72"/>
      <c r="O853" s="72"/>
      <c r="P853" s="42"/>
      <c r="Q853" s="42"/>
      <c r="R853" s="42"/>
      <c r="S853" s="42"/>
      <c r="T853" s="42"/>
      <c r="U853" s="42"/>
      <c r="V853" s="416"/>
      <c r="W853" s="42"/>
      <c r="X853" s="74"/>
      <c r="Y853" s="74"/>
      <c r="Z853" s="74"/>
      <c r="AA853" s="74"/>
      <c r="AB853" s="74"/>
      <c r="AC853" s="42"/>
      <c r="AD853" s="42"/>
      <c r="AE853" s="42"/>
      <c r="AF853" s="42"/>
      <c r="AG853" s="42"/>
      <c r="AH853" s="42"/>
      <c r="AI853" s="75"/>
      <c r="AJ853" s="75"/>
      <c r="AK853" s="75"/>
      <c r="AL853" s="75"/>
      <c r="AM853" s="74"/>
      <c r="AN853" s="72" t="e">
        <f>VLOOKUP(H853,[4]Planilha1!A$13:P$314,16,0)</f>
        <v>#N/A</v>
      </c>
    </row>
    <row r="854" spans="1:40" s="69" customFormat="1" x14ac:dyDescent="0.25">
      <c r="A854" s="88"/>
      <c r="B854" s="88"/>
      <c r="C854" s="70"/>
      <c r="D854" s="70"/>
      <c r="E854" s="70"/>
      <c r="F854" s="70"/>
      <c r="G854" s="70"/>
      <c r="H854" s="422"/>
      <c r="I854" s="422"/>
      <c r="J854" s="418"/>
      <c r="K854" s="403"/>
      <c r="L854" s="73"/>
      <c r="M854" s="72"/>
      <c r="N854" s="72"/>
      <c r="O854" s="72"/>
      <c r="P854" s="42"/>
      <c r="Q854" s="42"/>
      <c r="R854" s="42"/>
      <c r="S854" s="42"/>
      <c r="T854" s="42"/>
      <c r="U854" s="42"/>
      <c r="V854" s="416"/>
      <c r="W854" s="42"/>
      <c r="X854" s="74"/>
      <c r="Y854" s="74"/>
      <c r="Z854" s="74"/>
      <c r="AA854" s="74"/>
      <c r="AB854" s="74"/>
      <c r="AC854" s="42"/>
      <c r="AD854" s="42"/>
      <c r="AE854" s="42"/>
      <c r="AF854" s="42"/>
      <c r="AG854" s="42"/>
      <c r="AH854" s="42"/>
      <c r="AI854" s="75"/>
      <c r="AJ854" s="75"/>
      <c r="AK854" s="75"/>
      <c r="AL854" s="75"/>
      <c r="AM854" s="74"/>
      <c r="AN854" s="72" t="e">
        <f>VLOOKUP(H854,[4]Planilha1!A$13:P$314,16,0)</f>
        <v>#N/A</v>
      </c>
    </row>
    <row r="855" spans="1:40" s="69" customFormat="1" x14ac:dyDescent="0.25">
      <c r="A855" s="88"/>
      <c r="B855" s="88"/>
      <c r="C855" s="70"/>
      <c r="D855" s="70"/>
      <c r="E855" s="70"/>
      <c r="F855" s="70"/>
      <c r="G855" s="70"/>
      <c r="H855" s="422"/>
      <c r="I855" s="422"/>
      <c r="J855" s="418"/>
      <c r="K855" s="403"/>
      <c r="L855" s="73"/>
      <c r="M855" s="72"/>
      <c r="N855" s="72"/>
      <c r="O855" s="72"/>
      <c r="P855" s="42"/>
      <c r="Q855" s="42"/>
      <c r="R855" s="42"/>
      <c r="S855" s="42"/>
      <c r="T855" s="42"/>
      <c r="U855" s="42"/>
      <c r="V855" s="416"/>
      <c r="W855" s="42"/>
      <c r="X855" s="74"/>
      <c r="Y855" s="74"/>
      <c r="Z855" s="74"/>
      <c r="AA855" s="74"/>
      <c r="AB855" s="74"/>
      <c r="AC855" s="42"/>
      <c r="AD855" s="42"/>
      <c r="AE855" s="42"/>
      <c r="AF855" s="42"/>
      <c r="AG855" s="42"/>
      <c r="AH855" s="42"/>
      <c r="AI855" s="75"/>
      <c r="AJ855" s="75"/>
      <c r="AK855" s="75"/>
      <c r="AL855" s="75"/>
      <c r="AM855" s="74"/>
      <c r="AN855" s="72" t="e">
        <f>VLOOKUP(H855,[4]Planilha1!A$13:P$314,16,0)</f>
        <v>#N/A</v>
      </c>
    </row>
    <row r="856" spans="1:40" s="69" customFormat="1" x14ac:dyDescent="0.25">
      <c r="A856" s="88"/>
      <c r="B856" s="88"/>
      <c r="C856" s="70"/>
      <c r="D856" s="70"/>
      <c r="E856" s="70"/>
      <c r="F856" s="70"/>
      <c r="G856" s="70"/>
      <c r="H856" s="422"/>
      <c r="I856" s="422"/>
      <c r="J856" s="418"/>
      <c r="K856" s="403"/>
      <c r="L856" s="73"/>
      <c r="M856" s="72"/>
      <c r="N856" s="72"/>
      <c r="O856" s="72"/>
      <c r="P856" s="42"/>
      <c r="Q856" s="42"/>
      <c r="R856" s="42"/>
      <c r="S856" s="42"/>
      <c r="T856" s="42"/>
      <c r="U856" s="42"/>
      <c r="V856" s="416"/>
      <c r="W856" s="42"/>
      <c r="X856" s="74"/>
      <c r="Y856" s="74"/>
      <c r="Z856" s="74"/>
      <c r="AA856" s="74"/>
      <c r="AB856" s="74"/>
      <c r="AC856" s="42"/>
      <c r="AD856" s="42"/>
      <c r="AE856" s="42"/>
      <c r="AF856" s="42"/>
      <c r="AG856" s="42"/>
      <c r="AH856" s="42"/>
      <c r="AI856" s="75"/>
      <c r="AJ856" s="75"/>
      <c r="AK856" s="75"/>
      <c r="AL856" s="75"/>
      <c r="AM856" s="74"/>
      <c r="AN856" s="72" t="e">
        <f>VLOOKUP(H856,[4]Planilha1!A$13:P$314,16,0)</f>
        <v>#N/A</v>
      </c>
    </row>
    <row r="857" spans="1:40" s="69" customFormat="1" x14ac:dyDescent="0.25">
      <c r="A857" s="88"/>
      <c r="B857" s="88"/>
      <c r="C857" s="70"/>
      <c r="D857" s="70"/>
      <c r="E857" s="70"/>
      <c r="F857" s="70"/>
      <c r="G857" s="70"/>
      <c r="H857" s="422"/>
      <c r="I857" s="422"/>
      <c r="J857" s="418"/>
      <c r="K857" s="403"/>
      <c r="L857" s="73"/>
      <c r="M857" s="72"/>
      <c r="N857" s="72"/>
      <c r="O857" s="72"/>
      <c r="P857" s="42"/>
      <c r="Q857" s="42"/>
      <c r="R857" s="42"/>
      <c r="S857" s="42"/>
      <c r="T857" s="42"/>
      <c r="U857" s="42"/>
      <c r="V857" s="416"/>
      <c r="W857" s="42"/>
      <c r="X857" s="74"/>
      <c r="Y857" s="74"/>
      <c r="Z857" s="74"/>
      <c r="AA857" s="74"/>
      <c r="AB857" s="74"/>
      <c r="AC857" s="42"/>
      <c r="AD857" s="42"/>
      <c r="AE857" s="42"/>
      <c r="AF857" s="42"/>
      <c r="AG857" s="42"/>
      <c r="AH857" s="42"/>
      <c r="AI857" s="75"/>
      <c r="AJ857" s="75"/>
      <c r="AK857" s="75"/>
      <c r="AL857" s="75"/>
      <c r="AM857" s="74"/>
      <c r="AN857" s="72" t="e">
        <f>VLOOKUP(H857,[4]Planilha1!A$13:P$314,16,0)</f>
        <v>#N/A</v>
      </c>
    </row>
    <row r="858" spans="1:40" s="69" customFormat="1" x14ac:dyDescent="0.25">
      <c r="A858" s="88"/>
      <c r="B858" s="88"/>
      <c r="C858" s="70"/>
      <c r="D858" s="70"/>
      <c r="E858" s="70"/>
      <c r="F858" s="70"/>
      <c r="G858" s="70"/>
      <c r="H858" s="422"/>
      <c r="I858" s="422"/>
      <c r="J858" s="418"/>
      <c r="K858" s="403"/>
      <c r="L858" s="73"/>
      <c r="M858" s="72"/>
      <c r="N858" s="72"/>
      <c r="O858" s="72"/>
      <c r="P858" s="42"/>
      <c r="Q858" s="42"/>
      <c r="R858" s="42"/>
      <c r="S858" s="42"/>
      <c r="T858" s="42"/>
      <c r="U858" s="42"/>
      <c r="V858" s="416"/>
      <c r="W858" s="42"/>
      <c r="X858" s="74"/>
      <c r="Y858" s="74"/>
      <c r="Z858" s="74"/>
      <c r="AA858" s="74"/>
      <c r="AB858" s="74"/>
      <c r="AC858" s="42"/>
      <c r="AD858" s="42"/>
      <c r="AE858" s="42"/>
      <c r="AF858" s="42"/>
      <c r="AG858" s="42"/>
      <c r="AH858" s="42"/>
      <c r="AI858" s="75"/>
      <c r="AJ858" s="75"/>
      <c r="AK858" s="75"/>
      <c r="AL858" s="75"/>
      <c r="AM858" s="74"/>
      <c r="AN858" s="72" t="e">
        <f>VLOOKUP(H858,[4]Planilha1!A$13:P$314,16,0)</f>
        <v>#N/A</v>
      </c>
    </row>
    <row r="859" spans="1:40" s="69" customFormat="1" x14ac:dyDescent="0.25">
      <c r="A859" s="88"/>
      <c r="B859" s="88"/>
      <c r="C859" s="70"/>
      <c r="D859" s="70"/>
      <c r="E859" s="70"/>
      <c r="F859" s="70"/>
      <c r="G859" s="70"/>
      <c r="H859" s="422"/>
      <c r="I859" s="422"/>
      <c r="J859" s="418"/>
      <c r="K859" s="403"/>
      <c r="L859" s="73"/>
      <c r="M859" s="72"/>
      <c r="N859" s="72"/>
      <c r="O859" s="72"/>
      <c r="P859" s="42"/>
      <c r="Q859" s="42"/>
      <c r="R859" s="42"/>
      <c r="S859" s="42"/>
      <c r="T859" s="42"/>
      <c r="U859" s="42"/>
      <c r="V859" s="416"/>
      <c r="W859" s="42"/>
      <c r="X859" s="74"/>
      <c r="Y859" s="74"/>
      <c r="Z859" s="74"/>
      <c r="AA859" s="74"/>
      <c r="AB859" s="74"/>
      <c r="AC859" s="42"/>
      <c r="AD859" s="42"/>
      <c r="AE859" s="42"/>
      <c r="AF859" s="42"/>
      <c r="AG859" s="42"/>
      <c r="AH859" s="42"/>
      <c r="AI859" s="75"/>
      <c r="AJ859" s="75"/>
      <c r="AK859" s="75"/>
      <c r="AL859" s="75"/>
      <c r="AM859" s="74"/>
      <c r="AN859" s="72" t="e">
        <f>VLOOKUP(H859,[4]Planilha1!A$13:P$314,16,0)</f>
        <v>#N/A</v>
      </c>
    </row>
    <row r="860" spans="1:40" s="69" customFormat="1" x14ac:dyDescent="0.25">
      <c r="A860" s="88"/>
      <c r="B860" s="88"/>
      <c r="C860" s="70"/>
      <c r="D860" s="70"/>
      <c r="E860" s="70"/>
      <c r="F860" s="70"/>
      <c r="G860" s="70"/>
      <c r="H860" s="422"/>
      <c r="I860" s="422"/>
      <c r="J860" s="418"/>
      <c r="K860" s="403"/>
      <c r="L860" s="73"/>
      <c r="M860" s="72"/>
      <c r="N860" s="72"/>
      <c r="O860" s="72"/>
      <c r="P860" s="42"/>
      <c r="Q860" s="42"/>
      <c r="R860" s="42"/>
      <c r="S860" s="42"/>
      <c r="T860" s="42"/>
      <c r="U860" s="42"/>
      <c r="V860" s="416"/>
      <c r="W860" s="42"/>
      <c r="X860" s="74"/>
      <c r="Y860" s="74"/>
      <c r="Z860" s="74"/>
      <c r="AA860" s="74"/>
      <c r="AB860" s="74"/>
      <c r="AC860" s="42"/>
      <c r="AD860" s="42"/>
      <c r="AE860" s="42"/>
      <c r="AF860" s="42"/>
      <c r="AG860" s="42"/>
      <c r="AH860" s="42"/>
      <c r="AI860" s="75"/>
      <c r="AJ860" s="75"/>
      <c r="AK860" s="75"/>
      <c r="AL860" s="75"/>
      <c r="AM860" s="74"/>
      <c r="AN860" s="72" t="e">
        <f>VLOOKUP(H860,[4]Planilha1!A$13:P$314,16,0)</f>
        <v>#N/A</v>
      </c>
    </row>
    <row r="861" spans="1:40" s="69" customFormat="1" x14ac:dyDescent="0.25">
      <c r="A861" s="88"/>
      <c r="B861" s="88"/>
      <c r="C861" s="70"/>
      <c r="D861" s="70"/>
      <c r="E861" s="70"/>
      <c r="F861" s="70"/>
      <c r="G861" s="70"/>
      <c r="H861" s="422"/>
      <c r="I861" s="422"/>
      <c r="J861" s="418"/>
      <c r="K861" s="403"/>
      <c r="L861" s="73"/>
      <c r="M861" s="72"/>
      <c r="N861" s="72"/>
      <c r="O861" s="72"/>
      <c r="P861" s="42"/>
      <c r="Q861" s="42"/>
      <c r="R861" s="42"/>
      <c r="S861" s="42"/>
      <c r="T861" s="42"/>
      <c r="U861" s="42"/>
      <c r="V861" s="416"/>
      <c r="W861" s="42"/>
      <c r="X861" s="74"/>
      <c r="Y861" s="74"/>
      <c r="Z861" s="74"/>
      <c r="AA861" s="74"/>
      <c r="AB861" s="74"/>
      <c r="AC861" s="42"/>
      <c r="AD861" s="42"/>
      <c r="AE861" s="42"/>
      <c r="AF861" s="42"/>
      <c r="AG861" s="42"/>
      <c r="AH861" s="42"/>
      <c r="AI861" s="75"/>
      <c r="AJ861" s="75"/>
      <c r="AK861" s="75"/>
      <c r="AL861" s="75"/>
      <c r="AM861" s="74"/>
      <c r="AN861" s="72" t="e">
        <f>VLOOKUP(H861,[4]Planilha1!A$13:P$314,16,0)</f>
        <v>#N/A</v>
      </c>
    </row>
    <row r="862" spans="1:40" s="69" customFormat="1" x14ac:dyDescent="0.25">
      <c r="A862" s="88"/>
      <c r="B862" s="88"/>
      <c r="C862" s="70"/>
      <c r="D862" s="70"/>
      <c r="E862" s="70"/>
      <c r="F862" s="70"/>
      <c r="G862" s="70"/>
      <c r="H862" s="422"/>
      <c r="I862" s="422"/>
      <c r="J862" s="418"/>
      <c r="K862" s="403"/>
      <c r="L862" s="73"/>
      <c r="M862" s="72"/>
      <c r="N862" s="72"/>
      <c r="O862" s="72"/>
      <c r="P862" s="42"/>
      <c r="Q862" s="42"/>
      <c r="R862" s="42"/>
      <c r="S862" s="42"/>
      <c r="T862" s="42"/>
      <c r="U862" s="42"/>
      <c r="V862" s="416"/>
      <c r="W862" s="42"/>
      <c r="X862" s="74"/>
      <c r="Y862" s="74"/>
      <c r="Z862" s="74"/>
      <c r="AA862" s="74"/>
      <c r="AB862" s="74"/>
      <c r="AC862" s="42"/>
      <c r="AD862" s="42"/>
      <c r="AE862" s="42"/>
      <c r="AF862" s="42"/>
      <c r="AG862" s="42"/>
      <c r="AH862" s="42"/>
      <c r="AI862" s="75"/>
      <c r="AJ862" s="75"/>
      <c r="AK862" s="75"/>
      <c r="AL862" s="75"/>
      <c r="AM862" s="74"/>
      <c r="AN862" s="72" t="e">
        <f>VLOOKUP(H862,[4]Planilha1!A$13:P$314,16,0)</f>
        <v>#N/A</v>
      </c>
    </row>
    <row r="863" spans="1:40" s="69" customFormat="1" x14ac:dyDescent="0.25">
      <c r="A863" s="88"/>
      <c r="B863" s="88"/>
      <c r="C863" s="70"/>
      <c r="D863" s="70"/>
      <c r="E863" s="70"/>
      <c r="F863" s="70"/>
      <c r="G863" s="70"/>
      <c r="H863" s="422"/>
      <c r="I863" s="422"/>
      <c r="J863" s="418"/>
      <c r="K863" s="403"/>
      <c r="L863" s="73"/>
      <c r="M863" s="72"/>
      <c r="N863" s="72"/>
      <c r="O863" s="72"/>
      <c r="P863" s="42"/>
      <c r="Q863" s="42"/>
      <c r="R863" s="42"/>
      <c r="S863" s="42"/>
      <c r="T863" s="42"/>
      <c r="U863" s="42"/>
      <c r="V863" s="416"/>
      <c r="W863" s="42"/>
      <c r="X863" s="74"/>
      <c r="Y863" s="74"/>
      <c r="Z863" s="74"/>
      <c r="AA863" s="74"/>
      <c r="AB863" s="74"/>
      <c r="AC863" s="42"/>
      <c r="AD863" s="42"/>
      <c r="AE863" s="42"/>
      <c r="AF863" s="42"/>
      <c r="AG863" s="42"/>
      <c r="AH863" s="42"/>
      <c r="AI863" s="75"/>
      <c r="AJ863" s="75"/>
      <c r="AK863" s="75"/>
      <c r="AL863" s="75"/>
      <c r="AM863" s="74"/>
      <c r="AN863" s="72" t="e">
        <f>VLOOKUP(H863,[4]Planilha1!A$13:P$314,16,0)</f>
        <v>#N/A</v>
      </c>
    </row>
    <row r="864" spans="1:40" s="69" customFormat="1" x14ac:dyDescent="0.25">
      <c r="A864" s="88"/>
      <c r="B864" s="88"/>
      <c r="C864" s="70"/>
      <c r="D864" s="70"/>
      <c r="E864" s="70"/>
      <c r="F864" s="70"/>
      <c r="G864" s="70"/>
      <c r="H864" s="422"/>
      <c r="I864" s="422"/>
      <c r="J864" s="418"/>
      <c r="K864" s="403"/>
      <c r="L864" s="73"/>
      <c r="M864" s="72"/>
      <c r="N864" s="72"/>
      <c r="O864" s="72"/>
      <c r="P864" s="42"/>
      <c r="Q864" s="42"/>
      <c r="R864" s="42"/>
      <c r="S864" s="42"/>
      <c r="T864" s="42"/>
      <c r="U864" s="42"/>
      <c r="V864" s="416"/>
      <c r="W864" s="42"/>
      <c r="X864" s="74"/>
      <c r="Y864" s="74"/>
      <c r="Z864" s="74"/>
      <c r="AA864" s="74"/>
      <c r="AB864" s="74"/>
      <c r="AC864" s="42"/>
      <c r="AD864" s="42"/>
      <c r="AE864" s="42"/>
      <c r="AF864" s="42"/>
      <c r="AG864" s="42"/>
      <c r="AH864" s="42"/>
      <c r="AI864" s="75"/>
      <c r="AJ864" s="75"/>
      <c r="AK864" s="75"/>
      <c r="AL864" s="75"/>
      <c r="AM864" s="74"/>
      <c r="AN864" s="72" t="e">
        <f>VLOOKUP(H864,[4]Planilha1!A$13:P$314,16,0)</f>
        <v>#N/A</v>
      </c>
    </row>
    <row r="865" spans="1:40" s="69" customFormat="1" x14ac:dyDescent="0.25">
      <c r="A865" s="88"/>
      <c r="B865" s="88"/>
      <c r="C865" s="70"/>
      <c r="D865" s="70"/>
      <c r="E865" s="70"/>
      <c r="F865" s="70"/>
      <c r="G865" s="70"/>
      <c r="H865" s="422"/>
      <c r="I865" s="422"/>
      <c r="J865" s="418"/>
      <c r="K865" s="403"/>
      <c r="L865" s="73"/>
      <c r="M865" s="72"/>
      <c r="N865" s="72"/>
      <c r="O865" s="72"/>
      <c r="P865" s="42"/>
      <c r="Q865" s="42"/>
      <c r="R865" s="42"/>
      <c r="S865" s="42"/>
      <c r="T865" s="42"/>
      <c r="U865" s="42"/>
      <c r="V865" s="416"/>
      <c r="W865" s="42"/>
      <c r="X865" s="74"/>
      <c r="Y865" s="74"/>
      <c r="Z865" s="74"/>
      <c r="AA865" s="74"/>
      <c r="AB865" s="74"/>
      <c r="AC865" s="42"/>
      <c r="AD865" s="42"/>
      <c r="AE865" s="42"/>
      <c r="AF865" s="42"/>
      <c r="AG865" s="42"/>
      <c r="AH865" s="42"/>
      <c r="AI865" s="75"/>
      <c r="AJ865" s="75"/>
      <c r="AK865" s="75"/>
      <c r="AL865" s="75"/>
      <c r="AM865" s="74"/>
      <c r="AN865" s="72" t="e">
        <f>VLOOKUP(H865,[4]Planilha1!A$13:P$314,16,0)</f>
        <v>#N/A</v>
      </c>
    </row>
    <row r="866" spans="1:40" s="69" customFormat="1" x14ac:dyDescent="0.25">
      <c r="A866" s="88"/>
      <c r="B866" s="88"/>
      <c r="C866" s="70"/>
      <c r="D866" s="70"/>
      <c r="E866" s="70"/>
      <c r="F866" s="70"/>
      <c r="G866" s="70"/>
      <c r="H866" s="422"/>
      <c r="I866" s="422"/>
      <c r="J866" s="418"/>
      <c r="K866" s="403"/>
      <c r="L866" s="73"/>
      <c r="M866" s="72"/>
      <c r="N866" s="72"/>
      <c r="O866" s="72"/>
      <c r="P866" s="42"/>
      <c r="Q866" s="42"/>
      <c r="R866" s="42"/>
      <c r="S866" s="42"/>
      <c r="T866" s="42"/>
      <c r="U866" s="42"/>
      <c r="V866" s="416"/>
      <c r="W866" s="42"/>
      <c r="X866" s="74"/>
      <c r="Y866" s="74"/>
      <c r="Z866" s="74"/>
      <c r="AA866" s="74"/>
      <c r="AB866" s="74"/>
      <c r="AC866" s="42"/>
      <c r="AD866" s="42"/>
      <c r="AE866" s="42"/>
      <c r="AF866" s="42"/>
      <c r="AG866" s="42"/>
      <c r="AH866" s="42"/>
      <c r="AI866" s="75"/>
      <c r="AJ866" s="75"/>
      <c r="AK866" s="75"/>
      <c r="AL866" s="75"/>
      <c r="AM866" s="74"/>
      <c r="AN866" s="72" t="e">
        <f>VLOOKUP(H866,[4]Planilha1!A$13:P$314,16,0)</f>
        <v>#N/A</v>
      </c>
    </row>
    <row r="867" spans="1:40" s="69" customFormat="1" x14ac:dyDescent="0.25">
      <c r="A867" s="88"/>
      <c r="B867" s="88"/>
      <c r="C867" s="70"/>
      <c r="D867" s="70"/>
      <c r="E867" s="70"/>
      <c r="F867" s="70"/>
      <c r="G867" s="70"/>
      <c r="H867" s="422"/>
      <c r="I867" s="422"/>
      <c r="J867" s="418"/>
      <c r="K867" s="403"/>
      <c r="L867" s="73"/>
      <c r="M867" s="72"/>
      <c r="N867" s="72"/>
      <c r="O867" s="72"/>
      <c r="P867" s="42"/>
      <c r="Q867" s="42"/>
      <c r="R867" s="42"/>
      <c r="S867" s="42"/>
      <c r="T867" s="42"/>
      <c r="U867" s="42"/>
      <c r="V867" s="416"/>
      <c r="W867" s="42"/>
      <c r="X867" s="74"/>
      <c r="Y867" s="74"/>
      <c r="Z867" s="74"/>
      <c r="AA867" s="74"/>
      <c r="AB867" s="74"/>
      <c r="AC867" s="42"/>
      <c r="AD867" s="42"/>
      <c r="AE867" s="42"/>
      <c r="AF867" s="42"/>
      <c r="AG867" s="42"/>
      <c r="AH867" s="42"/>
      <c r="AI867" s="75"/>
      <c r="AJ867" s="75"/>
      <c r="AK867" s="75"/>
      <c r="AL867" s="75"/>
      <c r="AM867" s="74"/>
      <c r="AN867" s="72" t="e">
        <f>VLOOKUP(H867,[4]Planilha1!A$13:P$314,16,0)</f>
        <v>#N/A</v>
      </c>
    </row>
    <row r="868" spans="1:40" s="69" customFormat="1" x14ac:dyDescent="0.25">
      <c r="A868" s="88"/>
      <c r="B868" s="88"/>
      <c r="C868" s="70"/>
      <c r="D868" s="70"/>
      <c r="E868" s="70"/>
      <c r="F868" s="70"/>
      <c r="G868" s="70"/>
      <c r="H868" s="422"/>
      <c r="I868" s="422"/>
      <c r="J868" s="418"/>
      <c r="K868" s="403"/>
      <c r="L868" s="73"/>
      <c r="M868" s="72"/>
      <c r="N868" s="72"/>
      <c r="O868" s="72"/>
      <c r="P868" s="42"/>
      <c r="Q868" s="42"/>
      <c r="R868" s="42"/>
      <c r="S868" s="42"/>
      <c r="T868" s="42"/>
      <c r="U868" s="42"/>
      <c r="V868" s="416"/>
      <c r="W868" s="42"/>
      <c r="X868" s="74"/>
      <c r="Y868" s="74"/>
      <c r="Z868" s="74"/>
      <c r="AA868" s="74"/>
      <c r="AB868" s="74"/>
      <c r="AC868" s="42"/>
      <c r="AD868" s="42"/>
      <c r="AE868" s="42"/>
      <c r="AF868" s="42"/>
      <c r="AG868" s="42"/>
      <c r="AH868" s="42"/>
      <c r="AI868" s="75"/>
      <c r="AJ868" s="75"/>
      <c r="AK868" s="75"/>
      <c r="AL868" s="75"/>
      <c r="AM868" s="74"/>
      <c r="AN868" s="72" t="e">
        <f>VLOOKUP(H868,[4]Planilha1!A$13:P$314,16,0)</f>
        <v>#N/A</v>
      </c>
    </row>
    <row r="869" spans="1:40" s="69" customFormat="1" x14ac:dyDescent="0.25">
      <c r="A869" s="88"/>
      <c r="B869" s="88"/>
      <c r="C869" s="70"/>
      <c r="D869" s="70"/>
      <c r="E869" s="70"/>
      <c r="F869" s="70"/>
      <c r="G869" s="70"/>
      <c r="H869" s="422"/>
      <c r="I869" s="422"/>
      <c r="J869" s="418"/>
      <c r="K869" s="403"/>
      <c r="L869" s="73"/>
      <c r="M869" s="72"/>
      <c r="N869" s="72"/>
      <c r="O869" s="72"/>
      <c r="P869" s="42"/>
      <c r="Q869" s="42"/>
      <c r="R869" s="42"/>
      <c r="S869" s="42"/>
      <c r="T869" s="42"/>
      <c r="U869" s="42"/>
      <c r="V869" s="416"/>
      <c r="W869" s="42"/>
      <c r="X869" s="74"/>
      <c r="Y869" s="74"/>
      <c r="Z869" s="74"/>
      <c r="AA869" s="74"/>
      <c r="AB869" s="74"/>
      <c r="AC869" s="42"/>
      <c r="AD869" s="42"/>
      <c r="AE869" s="42"/>
      <c r="AF869" s="42"/>
      <c r="AG869" s="42"/>
      <c r="AH869" s="42"/>
      <c r="AI869" s="75"/>
      <c r="AJ869" s="75"/>
      <c r="AK869" s="75"/>
      <c r="AL869" s="75"/>
      <c r="AM869" s="74"/>
      <c r="AN869" s="72" t="e">
        <f>VLOOKUP(H869,[4]Planilha1!A$13:P$314,16,0)</f>
        <v>#N/A</v>
      </c>
    </row>
    <row r="870" spans="1:40" s="69" customFormat="1" x14ac:dyDescent="0.25">
      <c r="A870" s="88"/>
      <c r="B870" s="88"/>
      <c r="C870" s="70"/>
      <c r="D870" s="70"/>
      <c r="E870" s="70"/>
      <c r="F870" s="70"/>
      <c r="G870" s="70"/>
      <c r="H870" s="422"/>
      <c r="I870" s="422"/>
      <c r="J870" s="418"/>
      <c r="K870" s="403"/>
      <c r="L870" s="73"/>
      <c r="M870" s="72"/>
      <c r="N870" s="72"/>
      <c r="O870" s="72"/>
      <c r="P870" s="42"/>
      <c r="Q870" s="42"/>
      <c r="R870" s="42"/>
      <c r="S870" s="42"/>
      <c r="T870" s="42"/>
      <c r="U870" s="42"/>
      <c r="V870" s="416"/>
      <c r="W870" s="42"/>
      <c r="X870" s="74"/>
      <c r="Y870" s="74"/>
      <c r="Z870" s="74"/>
      <c r="AA870" s="74"/>
      <c r="AB870" s="74"/>
      <c r="AC870" s="42"/>
      <c r="AD870" s="42"/>
      <c r="AE870" s="42"/>
      <c r="AF870" s="42"/>
      <c r="AG870" s="42"/>
      <c r="AH870" s="42"/>
      <c r="AI870" s="75"/>
      <c r="AJ870" s="75"/>
      <c r="AK870" s="75"/>
      <c r="AL870" s="75"/>
      <c r="AM870" s="74"/>
      <c r="AN870" s="72" t="e">
        <f>VLOOKUP(H870,[4]Planilha1!A$13:P$314,16,0)</f>
        <v>#N/A</v>
      </c>
    </row>
    <row r="871" spans="1:40" s="69" customFormat="1" x14ac:dyDescent="0.25">
      <c r="A871" s="88"/>
      <c r="B871" s="88"/>
      <c r="C871" s="70"/>
      <c r="D871" s="70"/>
      <c r="E871" s="70"/>
      <c r="F871" s="70"/>
      <c r="G871" s="70"/>
      <c r="H871" s="422"/>
      <c r="I871" s="422"/>
      <c r="J871" s="418"/>
      <c r="K871" s="403"/>
      <c r="L871" s="73"/>
      <c r="M871" s="72"/>
      <c r="N871" s="72"/>
      <c r="O871" s="72"/>
      <c r="P871" s="42"/>
      <c r="Q871" s="42"/>
      <c r="R871" s="42"/>
      <c r="S871" s="42"/>
      <c r="T871" s="42"/>
      <c r="U871" s="42"/>
      <c r="V871" s="416"/>
      <c r="W871" s="42"/>
      <c r="X871" s="74"/>
      <c r="Y871" s="74"/>
      <c r="Z871" s="74"/>
      <c r="AA871" s="74"/>
      <c r="AB871" s="74"/>
      <c r="AC871" s="42"/>
      <c r="AD871" s="42"/>
      <c r="AE871" s="42"/>
      <c r="AF871" s="42"/>
      <c r="AG871" s="42"/>
      <c r="AH871" s="42"/>
      <c r="AI871" s="75"/>
      <c r="AJ871" s="75"/>
      <c r="AK871" s="75"/>
      <c r="AL871" s="75"/>
      <c r="AM871" s="74"/>
      <c r="AN871" s="72" t="e">
        <f>VLOOKUP(H871,[4]Planilha1!A$13:P$314,16,0)</f>
        <v>#N/A</v>
      </c>
    </row>
    <row r="872" spans="1:40" s="69" customFormat="1" x14ac:dyDescent="0.25">
      <c r="A872" s="88"/>
      <c r="B872" s="88"/>
      <c r="C872" s="70"/>
      <c r="D872" s="70"/>
      <c r="E872" s="70"/>
      <c r="F872" s="70"/>
      <c r="G872" s="70"/>
      <c r="H872" s="422"/>
      <c r="I872" s="422"/>
      <c r="J872" s="418"/>
      <c r="K872" s="403"/>
      <c r="L872" s="73"/>
      <c r="M872" s="72"/>
      <c r="N872" s="72"/>
      <c r="O872" s="72"/>
      <c r="P872" s="42"/>
      <c r="Q872" s="42"/>
      <c r="R872" s="42"/>
      <c r="S872" s="42"/>
      <c r="T872" s="42"/>
      <c r="U872" s="42"/>
      <c r="V872" s="416"/>
      <c r="W872" s="42"/>
      <c r="X872" s="74"/>
      <c r="Y872" s="74"/>
      <c r="Z872" s="74"/>
      <c r="AA872" s="74"/>
      <c r="AB872" s="74"/>
      <c r="AC872" s="42"/>
      <c r="AD872" s="42"/>
      <c r="AE872" s="42"/>
      <c r="AF872" s="42"/>
      <c r="AG872" s="42"/>
      <c r="AH872" s="42"/>
      <c r="AI872" s="75"/>
      <c r="AJ872" s="75"/>
      <c r="AK872" s="75"/>
      <c r="AL872" s="75"/>
      <c r="AM872" s="74"/>
      <c r="AN872" s="72" t="e">
        <f>VLOOKUP(H872,[4]Planilha1!A$13:P$314,16,0)</f>
        <v>#N/A</v>
      </c>
    </row>
    <row r="873" spans="1:40" s="69" customFormat="1" x14ac:dyDescent="0.25">
      <c r="A873" s="88"/>
      <c r="B873" s="88"/>
      <c r="C873" s="70"/>
      <c r="D873" s="70"/>
      <c r="E873" s="70"/>
      <c r="F873" s="70"/>
      <c r="G873" s="70"/>
      <c r="H873" s="422"/>
      <c r="I873" s="422"/>
      <c r="J873" s="418"/>
      <c r="K873" s="403"/>
      <c r="L873" s="73"/>
      <c r="M873" s="72"/>
      <c r="N873" s="72"/>
      <c r="O873" s="72"/>
      <c r="P873" s="42"/>
      <c r="Q873" s="42"/>
      <c r="R873" s="42"/>
      <c r="S873" s="42"/>
      <c r="T873" s="42"/>
      <c r="U873" s="42"/>
      <c r="V873" s="416"/>
      <c r="W873" s="42"/>
      <c r="X873" s="74"/>
      <c r="Y873" s="74"/>
      <c r="Z873" s="74"/>
      <c r="AA873" s="74"/>
      <c r="AB873" s="74"/>
      <c r="AC873" s="42"/>
      <c r="AD873" s="42"/>
      <c r="AE873" s="42"/>
      <c r="AF873" s="42"/>
      <c r="AG873" s="42"/>
      <c r="AH873" s="42"/>
      <c r="AI873" s="75"/>
      <c r="AJ873" s="75"/>
      <c r="AK873" s="75"/>
      <c r="AL873" s="75"/>
      <c r="AM873" s="74"/>
      <c r="AN873" s="72" t="e">
        <f>VLOOKUP(H873,[4]Planilha1!A$13:P$314,16,0)</f>
        <v>#N/A</v>
      </c>
    </row>
    <row r="874" spans="1:40" s="69" customFormat="1" x14ac:dyDescent="0.25">
      <c r="A874" s="88"/>
      <c r="B874" s="88"/>
      <c r="C874" s="70"/>
      <c r="D874" s="70"/>
      <c r="E874" s="70"/>
      <c r="F874" s="70"/>
      <c r="G874" s="70"/>
      <c r="H874" s="422"/>
      <c r="I874" s="422"/>
      <c r="J874" s="418"/>
      <c r="K874" s="403"/>
      <c r="L874" s="73"/>
      <c r="M874" s="72"/>
      <c r="N874" s="72"/>
      <c r="O874" s="72"/>
      <c r="P874" s="42"/>
      <c r="Q874" s="42"/>
      <c r="R874" s="42"/>
      <c r="S874" s="42"/>
      <c r="T874" s="42"/>
      <c r="U874" s="42"/>
      <c r="V874" s="416"/>
      <c r="W874" s="42"/>
      <c r="X874" s="74"/>
      <c r="Y874" s="74"/>
      <c r="Z874" s="74"/>
      <c r="AA874" s="74"/>
      <c r="AB874" s="74"/>
      <c r="AC874" s="42"/>
      <c r="AD874" s="42"/>
      <c r="AE874" s="42"/>
      <c r="AF874" s="42"/>
      <c r="AG874" s="42"/>
      <c r="AH874" s="42"/>
      <c r="AI874" s="75"/>
      <c r="AJ874" s="75"/>
      <c r="AK874" s="75"/>
      <c r="AL874" s="75"/>
      <c r="AM874" s="74"/>
      <c r="AN874" s="72" t="e">
        <f>VLOOKUP(H874,[4]Planilha1!A$13:P$314,16,0)</f>
        <v>#N/A</v>
      </c>
    </row>
    <row r="875" spans="1:40" s="69" customFormat="1" x14ac:dyDescent="0.25">
      <c r="A875" s="88"/>
      <c r="B875" s="88"/>
      <c r="C875" s="70"/>
      <c r="D875" s="70"/>
      <c r="E875" s="70"/>
      <c r="F875" s="70"/>
      <c r="G875" s="70"/>
      <c r="H875" s="422"/>
      <c r="I875" s="422"/>
      <c r="J875" s="418"/>
      <c r="K875" s="403"/>
      <c r="L875" s="73"/>
      <c r="M875" s="72"/>
      <c r="N875" s="72"/>
      <c r="O875" s="72"/>
      <c r="P875" s="42"/>
      <c r="Q875" s="42"/>
      <c r="R875" s="42"/>
      <c r="S875" s="42"/>
      <c r="T875" s="42"/>
      <c r="U875" s="42"/>
      <c r="V875" s="416"/>
      <c r="W875" s="42"/>
      <c r="X875" s="74"/>
      <c r="Y875" s="74"/>
      <c r="Z875" s="74"/>
      <c r="AA875" s="74"/>
      <c r="AB875" s="74"/>
      <c r="AC875" s="42"/>
      <c r="AD875" s="42"/>
      <c r="AE875" s="42"/>
      <c r="AF875" s="42"/>
      <c r="AG875" s="42"/>
      <c r="AH875" s="42"/>
      <c r="AI875" s="75"/>
      <c r="AJ875" s="75"/>
      <c r="AK875" s="75"/>
      <c r="AL875" s="75"/>
      <c r="AM875" s="74"/>
      <c r="AN875" s="72" t="e">
        <f>VLOOKUP(H875,[4]Planilha1!A$13:P$314,16,0)</f>
        <v>#N/A</v>
      </c>
    </row>
    <row r="876" spans="1:40" s="69" customFormat="1" x14ac:dyDescent="0.25">
      <c r="A876" s="88"/>
      <c r="B876" s="88"/>
      <c r="C876" s="70"/>
      <c r="D876" s="70"/>
      <c r="E876" s="70"/>
      <c r="F876" s="70"/>
      <c r="G876" s="70"/>
      <c r="H876" s="422"/>
      <c r="I876" s="422"/>
      <c r="J876" s="418"/>
      <c r="K876" s="403"/>
      <c r="L876" s="73"/>
      <c r="M876" s="72"/>
      <c r="N876" s="72"/>
      <c r="O876" s="72"/>
      <c r="P876" s="42"/>
      <c r="Q876" s="42"/>
      <c r="R876" s="42"/>
      <c r="S876" s="42"/>
      <c r="T876" s="42"/>
      <c r="U876" s="42"/>
      <c r="V876" s="416"/>
      <c r="W876" s="42"/>
      <c r="X876" s="74"/>
      <c r="Y876" s="74"/>
      <c r="Z876" s="74"/>
      <c r="AA876" s="74"/>
      <c r="AB876" s="74"/>
      <c r="AC876" s="42"/>
      <c r="AD876" s="42"/>
      <c r="AE876" s="42"/>
      <c r="AF876" s="42"/>
      <c r="AG876" s="42"/>
      <c r="AH876" s="42"/>
      <c r="AI876" s="75"/>
      <c r="AJ876" s="75"/>
      <c r="AK876" s="75"/>
      <c r="AL876" s="75"/>
      <c r="AM876" s="74"/>
      <c r="AN876" s="72" t="e">
        <f>VLOOKUP(H876,[4]Planilha1!A$13:P$314,16,0)</f>
        <v>#N/A</v>
      </c>
    </row>
    <row r="877" spans="1:40" s="69" customFormat="1" x14ac:dyDescent="0.25">
      <c r="A877" s="88"/>
      <c r="B877" s="88"/>
      <c r="C877" s="70"/>
      <c r="D877" s="70"/>
      <c r="E877" s="70"/>
      <c r="F877" s="70"/>
      <c r="G877" s="70"/>
      <c r="H877" s="422"/>
      <c r="I877" s="422"/>
      <c r="J877" s="418"/>
      <c r="K877" s="403"/>
      <c r="L877" s="73"/>
      <c r="M877" s="72"/>
      <c r="N877" s="72"/>
      <c r="O877" s="72"/>
      <c r="P877" s="42"/>
      <c r="Q877" s="42"/>
      <c r="R877" s="42"/>
      <c r="S877" s="42"/>
      <c r="T877" s="42"/>
      <c r="U877" s="42"/>
      <c r="V877" s="416"/>
      <c r="W877" s="42"/>
      <c r="X877" s="74"/>
      <c r="Y877" s="74"/>
      <c r="Z877" s="74"/>
      <c r="AA877" s="74"/>
      <c r="AB877" s="74"/>
      <c r="AC877" s="42"/>
      <c r="AD877" s="42"/>
      <c r="AE877" s="42"/>
      <c r="AF877" s="42"/>
      <c r="AG877" s="42"/>
      <c r="AH877" s="42"/>
      <c r="AI877" s="75"/>
      <c r="AJ877" s="75"/>
      <c r="AK877" s="75"/>
      <c r="AL877" s="75"/>
      <c r="AM877" s="74"/>
      <c r="AN877" s="72" t="e">
        <f>VLOOKUP(H877,[4]Planilha1!A$13:P$314,16,0)</f>
        <v>#N/A</v>
      </c>
    </row>
    <row r="878" spans="1:40" s="69" customFormat="1" x14ac:dyDescent="0.25">
      <c r="A878" s="88"/>
      <c r="B878" s="88"/>
      <c r="C878" s="70"/>
      <c r="D878" s="70"/>
      <c r="E878" s="70"/>
      <c r="F878" s="70"/>
      <c r="G878" s="70"/>
      <c r="H878" s="422"/>
      <c r="I878" s="422"/>
      <c r="J878" s="418"/>
      <c r="K878" s="403"/>
      <c r="L878" s="73"/>
      <c r="M878" s="72"/>
      <c r="N878" s="72"/>
      <c r="O878" s="72"/>
      <c r="P878" s="42"/>
      <c r="Q878" s="42"/>
      <c r="R878" s="42"/>
      <c r="S878" s="42"/>
      <c r="T878" s="42"/>
      <c r="U878" s="42"/>
      <c r="V878" s="416"/>
      <c r="W878" s="42"/>
      <c r="X878" s="74"/>
      <c r="Y878" s="74"/>
      <c r="Z878" s="74"/>
      <c r="AA878" s="74"/>
      <c r="AB878" s="74"/>
      <c r="AC878" s="42"/>
      <c r="AD878" s="42"/>
      <c r="AE878" s="42"/>
      <c r="AF878" s="42"/>
      <c r="AG878" s="42"/>
      <c r="AH878" s="42"/>
      <c r="AI878" s="75"/>
      <c r="AJ878" s="75"/>
      <c r="AK878" s="75"/>
      <c r="AL878" s="75"/>
      <c r="AM878" s="74"/>
      <c r="AN878" s="72" t="e">
        <f>VLOOKUP(H878,[4]Planilha1!A$13:P$314,16,0)</f>
        <v>#N/A</v>
      </c>
    </row>
    <row r="879" spans="1:40" s="69" customFormat="1" x14ac:dyDescent="0.25">
      <c r="A879" s="88"/>
      <c r="B879" s="88"/>
      <c r="C879" s="70"/>
      <c r="D879" s="70"/>
      <c r="E879" s="70"/>
      <c r="F879" s="70"/>
      <c r="G879" s="70"/>
      <c r="H879" s="422"/>
      <c r="I879" s="422"/>
      <c r="J879" s="418"/>
      <c r="K879" s="403"/>
      <c r="L879" s="73"/>
      <c r="M879" s="72"/>
      <c r="N879" s="72"/>
      <c r="O879" s="72"/>
      <c r="P879" s="42"/>
      <c r="Q879" s="42"/>
      <c r="R879" s="42"/>
      <c r="S879" s="42"/>
      <c r="T879" s="42"/>
      <c r="U879" s="42"/>
      <c r="V879" s="416"/>
      <c r="W879" s="42"/>
      <c r="X879" s="74"/>
      <c r="Y879" s="74"/>
      <c r="Z879" s="74"/>
      <c r="AA879" s="74"/>
      <c r="AB879" s="74"/>
      <c r="AC879" s="42"/>
      <c r="AD879" s="42"/>
      <c r="AE879" s="42"/>
      <c r="AF879" s="42"/>
      <c r="AG879" s="42"/>
      <c r="AH879" s="42"/>
      <c r="AI879" s="75"/>
      <c r="AJ879" s="75"/>
      <c r="AK879" s="75"/>
      <c r="AL879" s="75"/>
      <c r="AM879" s="74"/>
      <c r="AN879" s="72" t="e">
        <f>VLOOKUP(H879,[4]Planilha1!A$13:P$314,16,0)</f>
        <v>#N/A</v>
      </c>
    </row>
    <row r="880" spans="1:40" s="69" customFormat="1" x14ac:dyDescent="0.25">
      <c r="A880" s="88"/>
      <c r="B880" s="88"/>
      <c r="C880" s="70"/>
      <c r="D880" s="70"/>
      <c r="E880" s="70"/>
      <c r="F880" s="70"/>
      <c r="G880" s="70"/>
      <c r="H880" s="422"/>
      <c r="I880" s="422"/>
      <c r="J880" s="418"/>
      <c r="K880" s="403"/>
      <c r="L880" s="73"/>
      <c r="M880" s="72"/>
      <c r="N880" s="72"/>
      <c r="O880" s="72"/>
      <c r="P880" s="42"/>
      <c r="Q880" s="42"/>
      <c r="R880" s="42"/>
      <c r="S880" s="42"/>
      <c r="T880" s="42"/>
      <c r="U880" s="42"/>
      <c r="V880" s="416"/>
      <c r="W880" s="42"/>
      <c r="X880" s="74"/>
      <c r="Y880" s="74"/>
      <c r="Z880" s="74"/>
      <c r="AA880" s="74"/>
      <c r="AB880" s="74"/>
      <c r="AC880" s="42"/>
      <c r="AD880" s="42"/>
      <c r="AE880" s="42"/>
      <c r="AF880" s="42"/>
      <c r="AG880" s="42"/>
      <c r="AH880" s="42"/>
      <c r="AI880" s="75"/>
      <c r="AJ880" s="75"/>
      <c r="AK880" s="75"/>
      <c r="AL880" s="75"/>
      <c r="AM880" s="74"/>
      <c r="AN880" s="72" t="e">
        <f>VLOOKUP(H880,[4]Planilha1!A$13:P$314,16,0)</f>
        <v>#N/A</v>
      </c>
    </row>
    <row r="881" spans="1:40" s="69" customFormat="1" x14ac:dyDescent="0.25">
      <c r="A881" s="88"/>
      <c r="B881" s="88"/>
      <c r="C881" s="70"/>
      <c r="D881" s="70"/>
      <c r="E881" s="70"/>
      <c r="F881" s="70"/>
      <c r="G881" s="70"/>
      <c r="H881" s="422"/>
      <c r="I881" s="422"/>
      <c r="J881" s="418"/>
      <c r="K881" s="403"/>
      <c r="L881" s="73"/>
      <c r="M881" s="72"/>
      <c r="N881" s="72"/>
      <c r="O881" s="72"/>
      <c r="P881" s="42"/>
      <c r="Q881" s="42"/>
      <c r="R881" s="42"/>
      <c r="S881" s="42"/>
      <c r="T881" s="42"/>
      <c r="U881" s="42"/>
      <c r="V881" s="416"/>
      <c r="W881" s="42"/>
      <c r="X881" s="74"/>
      <c r="Y881" s="74"/>
      <c r="Z881" s="74"/>
      <c r="AA881" s="74"/>
      <c r="AB881" s="74"/>
      <c r="AC881" s="42"/>
      <c r="AD881" s="42"/>
      <c r="AE881" s="42"/>
      <c r="AF881" s="42"/>
      <c r="AG881" s="42"/>
      <c r="AH881" s="42"/>
      <c r="AI881" s="75"/>
      <c r="AJ881" s="75"/>
      <c r="AK881" s="75"/>
      <c r="AL881" s="75"/>
      <c r="AM881" s="74"/>
      <c r="AN881" s="72" t="e">
        <f>VLOOKUP(H881,[4]Planilha1!A$13:P$314,16,0)</f>
        <v>#N/A</v>
      </c>
    </row>
    <row r="882" spans="1:40" s="69" customFormat="1" x14ac:dyDescent="0.25">
      <c r="A882" s="88"/>
      <c r="B882" s="88"/>
      <c r="C882" s="70"/>
      <c r="D882" s="70"/>
      <c r="E882" s="70"/>
      <c r="F882" s="70"/>
      <c r="G882" s="70"/>
      <c r="H882" s="422"/>
      <c r="I882" s="422"/>
      <c r="J882" s="418"/>
      <c r="K882" s="403"/>
      <c r="L882" s="73"/>
      <c r="M882" s="72"/>
      <c r="N882" s="72"/>
      <c r="O882" s="72"/>
      <c r="P882" s="42"/>
      <c r="Q882" s="42"/>
      <c r="R882" s="42"/>
      <c r="S882" s="42"/>
      <c r="T882" s="42"/>
      <c r="U882" s="42"/>
      <c r="V882" s="416"/>
      <c r="W882" s="42"/>
      <c r="X882" s="74"/>
      <c r="Y882" s="74"/>
      <c r="Z882" s="74"/>
      <c r="AA882" s="74"/>
      <c r="AB882" s="74"/>
      <c r="AC882" s="42"/>
      <c r="AD882" s="42"/>
      <c r="AE882" s="42"/>
      <c r="AF882" s="42"/>
      <c r="AG882" s="42"/>
      <c r="AH882" s="42"/>
      <c r="AI882" s="75"/>
      <c r="AJ882" s="75"/>
      <c r="AK882" s="75"/>
      <c r="AL882" s="75"/>
      <c r="AM882" s="74"/>
      <c r="AN882" s="72" t="e">
        <f>VLOOKUP(H882,[4]Planilha1!A$13:P$314,16,0)</f>
        <v>#N/A</v>
      </c>
    </row>
    <row r="883" spans="1:40" s="69" customFormat="1" x14ac:dyDescent="0.25">
      <c r="A883" s="88"/>
      <c r="B883" s="88"/>
      <c r="C883" s="70"/>
      <c r="D883" s="70"/>
      <c r="E883" s="70"/>
      <c r="F883" s="70"/>
      <c r="G883" s="70"/>
      <c r="H883" s="422"/>
      <c r="I883" s="422"/>
      <c r="J883" s="418"/>
      <c r="K883" s="403"/>
      <c r="L883" s="73"/>
      <c r="M883" s="72"/>
      <c r="N883" s="72"/>
      <c r="O883" s="72"/>
      <c r="P883" s="42"/>
      <c r="Q883" s="42"/>
      <c r="R883" s="42"/>
      <c r="S883" s="42"/>
      <c r="T883" s="42"/>
      <c r="U883" s="42"/>
      <c r="V883" s="416"/>
      <c r="W883" s="42"/>
      <c r="X883" s="74"/>
      <c r="Y883" s="74"/>
      <c r="Z883" s="74"/>
      <c r="AA883" s="74"/>
      <c r="AB883" s="74"/>
      <c r="AC883" s="42"/>
      <c r="AD883" s="42"/>
      <c r="AE883" s="42"/>
      <c r="AF883" s="42"/>
      <c r="AG883" s="42"/>
      <c r="AH883" s="42"/>
      <c r="AI883" s="75"/>
      <c r="AJ883" s="75"/>
      <c r="AK883" s="75"/>
      <c r="AL883" s="75"/>
      <c r="AM883" s="74"/>
      <c r="AN883" s="72" t="e">
        <f>VLOOKUP(H883,[4]Planilha1!A$13:P$314,16,0)</f>
        <v>#N/A</v>
      </c>
    </row>
    <row r="884" spans="1:40" s="69" customFormat="1" x14ac:dyDescent="0.25">
      <c r="A884" s="88"/>
      <c r="B884" s="88"/>
      <c r="C884" s="70"/>
      <c r="D884" s="70"/>
      <c r="E884" s="70"/>
      <c r="F884" s="70"/>
      <c r="G884" s="70"/>
      <c r="H884" s="422"/>
      <c r="I884" s="422"/>
      <c r="J884" s="418"/>
      <c r="K884" s="403"/>
      <c r="L884" s="73"/>
      <c r="M884" s="72"/>
      <c r="N884" s="72"/>
      <c r="O884" s="72"/>
      <c r="P884" s="42"/>
      <c r="Q884" s="42"/>
      <c r="R884" s="42"/>
      <c r="S884" s="42"/>
      <c r="T884" s="42"/>
      <c r="U884" s="42"/>
      <c r="V884" s="416"/>
      <c r="W884" s="42"/>
      <c r="X884" s="74"/>
      <c r="Y884" s="74"/>
      <c r="Z884" s="74"/>
      <c r="AA884" s="74"/>
      <c r="AB884" s="74"/>
      <c r="AC884" s="42"/>
      <c r="AD884" s="42"/>
      <c r="AE884" s="42"/>
      <c r="AF884" s="42"/>
      <c r="AG884" s="42"/>
      <c r="AH884" s="42"/>
      <c r="AI884" s="75"/>
      <c r="AJ884" s="75"/>
      <c r="AK884" s="75"/>
      <c r="AL884" s="75"/>
      <c r="AM884" s="74"/>
      <c r="AN884" s="72" t="e">
        <f>VLOOKUP(H884,[4]Planilha1!A$13:P$314,16,0)</f>
        <v>#N/A</v>
      </c>
    </row>
    <row r="885" spans="1:40" s="69" customFormat="1" x14ac:dyDescent="0.25">
      <c r="A885" s="88"/>
      <c r="B885" s="88"/>
      <c r="C885" s="70"/>
      <c r="D885" s="70"/>
      <c r="E885" s="70"/>
      <c r="F885" s="70"/>
      <c r="G885" s="70"/>
      <c r="H885" s="422"/>
      <c r="I885" s="422"/>
      <c r="J885" s="418"/>
      <c r="K885" s="403"/>
      <c r="L885" s="73"/>
      <c r="M885" s="72"/>
      <c r="N885" s="72"/>
      <c r="O885" s="72"/>
      <c r="P885" s="42"/>
      <c r="Q885" s="42"/>
      <c r="R885" s="42"/>
      <c r="S885" s="42"/>
      <c r="T885" s="42"/>
      <c r="U885" s="42"/>
      <c r="V885" s="416"/>
      <c r="W885" s="42"/>
      <c r="X885" s="74"/>
      <c r="Y885" s="74"/>
      <c r="Z885" s="74"/>
      <c r="AA885" s="74"/>
      <c r="AB885" s="74"/>
      <c r="AC885" s="42"/>
      <c r="AD885" s="42"/>
      <c r="AE885" s="42"/>
      <c r="AF885" s="42"/>
      <c r="AG885" s="42"/>
      <c r="AH885" s="42"/>
      <c r="AI885" s="75"/>
      <c r="AJ885" s="75"/>
      <c r="AK885" s="75"/>
      <c r="AL885" s="75"/>
      <c r="AM885" s="74"/>
      <c r="AN885" s="72" t="e">
        <f>VLOOKUP(H885,[4]Planilha1!A$13:P$314,16,0)</f>
        <v>#N/A</v>
      </c>
    </row>
    <row r="886" spans="1:40" s="69" customFormat="1" x14ac:dyDescent="0.25">
      <c r="A886" s="88"/>
      <c r="B886" s="88"/>
      <c r="C886" s="70"/>
      <c r="D886" s="70"/>
      <c r="E886" s="70"/>
      <c r="F886" s="70"/>
      <c r="G886" s="70"/>
      <c r="H886" s="422"/>
      <c r="I886" s="422"/>
      <c r="J886" s="418"/>
      <c r="K886" s="403"/>
      <c r="L886" s="73"/>
      <c r="M886" s="72"/>
      <c r="N886" s="72"/>
      <c r="O886" s="72"/>
      <c r="P886" s="42"/>
      <c r="Q886" s="42"/>
      <c r="R886" s="42"/>
      <c r="S886" s="42"/>
      <c r="T886" s="42"/>
      <c r="U886" s="42"/>
      <c r="V886" s="416"/>
      <c r="W886" s="42"/>
      <c r="X886" s="74"/>
      <c r="Y886" s="74"/>
      <c r="Z886" s="74"/>
      <c r="AA886" s="74"/>
      <c r="AB886" s="74"/>
      <c r="AC886" s="42"/>
      <c r="AD886" s="42"/>
      <c r="AE886" s="42"/>
      <c r="AF886" s="42"/>
      <c r="AG886" s="42"/>
      <c r="AH886" s="42"/>
      <c r="AI886" s="75"/>
      <c r="AJ886" s="75"/>
      <c r="AK886" s="75"/>
      <c r="AL886" s="75"/>
      <c r="AM886" s="74"/>
      <c r="AN886" s="72" t="e">
        <f>VLOOKUP(H886,[4]Planilha1!A$13:P$314,16,0)</f>
        <v>#N/A</v>
      </c>
    </row>
    <row r="887" spans="1:40" s="69" customFormat="1" x14ac:dyDescent="0.25">
      <c r="A887" s="88"/>
      <c r="B887" s="88"/>
      <c r="C887" s="70"/>
      <c r="D887" s="70"/>
      <c r="E887" s="70"/>
      <c r="F887" s="70"/>
      <c r="G887" s="70"/>
      <c r="H887" s="422"/>
      <c r="I887" s="422"/>
      <c r="J887" s="418"/>
      <c r="K887" s="403"/>
      <c r="L887" s="73"/>
      <c r="M887" s="72"/>
      <c r="N887" s="72"/>
      <c r="O887" s="72"/>
      <c r="P887" s="42"/>
      <c r="Q887" s="42"/>
      <c r="R887" s="42"/>
      <c r="S887" s="42"/>
      <c r="T887" s="42"/>
      <c r="U887" s="42"/>
      <c r="V887" s="416"/>
      <c r="W887" s="42"/>
      <c r="X887" s="74"/>
      <c r="Y887" s="74"/>
      <c r="Z887" s="74"/>
      <c r="AA887" s="74"/>
      <c r="AB887" s="74"/>
      <c r="AC887" s="42"/>
      <c r="AD887" s="42"/>
      <c r="AE887" s="42"/>
      <c r="AF887" s="42"/>
      <c r="AG887" s="42"/>
      <c r="AH887" s="42"/>
      <c r="AI887" s="75"/>
      <c r="AJ887" s="75"/>
      <c r="AK887" s="75"/>
      <c r="AL887" s="75"/>
      <c r="AM887" s="74"/>
      <c r="AN887" s="72" t="e">
        <f>VLOOKUP(H887,[4]Planilha1!A$13:P$314,16,0)</f>
        <v>#N/A</v>
      </c>
    </row>
    <row r="888" spans="1:40" s="69" customFormat="1" x14ac:dyDescent="0.25">
      <c r="A888" s="88"/>
      <c r="B888" s="88"/>
      <c r="C888" s="70"/>
      <c r="D888" s="70"/>
      <c r="E888" s="70"/>
      <c r="F888" s="70"/>
      <c r="G888" s="70"/>
      <c r="H888" s="422"/>
      <c r="I888" s="422"/>
      <c r="J888" s="418"/>
      <c r="K888" s="403"/>
      <c r="L888" s="73"/>
      <c r="M888" s="72"/>
      <c r="N888" s="72"/>
      <c r="O888" s="72"/>
      <c r="P888" s="42"/>
      <c r="Q888" s="42"/>
      <c r="R888" s="42"/>
      <c r="S888" s="42"/>
      <c r="T888" s="42"/>
      <c r="U888" s="42"/>
      <c r="V888" s="416"/>
      <c r="W888" s="42"/>
      <c r="X888" s="74"/>
      <c r="Y888" s="74"/>
      <c r="Z888" s="74"/>
      <c r="AA888" s="74"/>
      <c r="AB888" s="74"/>
      <c r="AC888" s="42"/>
      <c r="AD888" s="42"/>
      <c r="AE888" s="42"/>
      <c r="AF888" s="42"/>
      <c r="AG888" s="42"/>
      <c r="AH888" s="42"/>
      <c r="AI888" s="75"/>
      <c r="AJ888" s="75"/>
      <c r="AK888" s="75"/>
      <c r="AL888" s="75"/>
      <c r="AM888" s="74"/>
      <c r="AN888" s="72" t="e">
        <f>VLOOKUP(H888,[4]Planilha1!A$13:P$314,16,0)</f>
        <v>#N/A</v>
      </c>
    </row>
    <row r="889" spans="1:40" s="69" customFormat="1" x14ac:dyDescent="0.25">
      <c r="A889" s="88"/>
      <c r="B889" s="88"/>
      <c r="C889" s="70"/>
      <c r="D889" s="70"/>
      <c r="E889" s="70"/>
      <c r="F889" s="70"/>
      <c r="G889" s="70"/>
      <c r="H889" s="422"/>
      <c r="I889" s="422"/>
      <c r="J889" s="418"/>
      <c r="K889" s="403"/>
      <c r="L889" s="73"/>
      <c r="M889" s="72"/>
      <c r="N889" s="72"/>
      <c r="O889" s="72"/>
      <c r="P889" s="42"/>
      <c r="Q889" s="42"/>
      <c r="R889" s="42"/>
      <c r="S889" s="42"/>
      <c r="T889" s="42"/>
      <c r="U889" s="42"/>
      <c r="V889" s="416"/>
      <c r="W889" s="42"/>
      <c r="X889" s="74"/>
      <c r="Y889" s="74"/>
      <c r="Z889" s="74"/>
      <c r="AA889" s="74"/>
      <c r="AB889" s="74"/>
      <c r="AC889" s="42"/>
      <c r="AD889" s="42"/>
      <c r="AE889" s="42"/>
      <c r="AF889" s="42"/>
      <c r="AG889" s="42"/>
      <c r="AH889" s="42"/>
      <c r="AI889" s="75"/>
      <c r="AJ889" s="75"/>
      <c r="AK889" s="75"/>
      <c r="AL889" s="75"/>
      <c r="AM889" s="74"/>
      <c r="AN889" s="72" t="e">
        <f>VLOOKUP(H889,[4]Planilha1!A$13:P$314,16,0)</f>
        <v>#N/A</v>
      </c>
    </row>
    <row r="890" spans="1:40" s="69" customFormat="1" x14ac:dyDescent="0.25">
      <c r="A890" s="88"/>
      <c r="B890" s="88"/>
      <c r="C890" s="70"/>
      <c r="D890" s="70"/>
      <c r="E890" s="70"/>
      <c r="F890" s="70"/>
      <c r="G890" s="70"/>
      <c r="H890" s="422"/>
      <c r="I890" s="422"/>
      <c r="J890" s="418"/>
      <c r="K890" s="403"/>
      <c r="L890" s="73"/>
      <c r="M890" s="72"/>
      <c r="N890" s="72"/>
      <c r="O890" s="72"/>
      <c r="P890" s="42"/>
      <c r="Q890" s="42"/>
      <c r="R890" s="42"/>
      <c r="S890" s="42"/>
      <c r="T890" s="42"/>
      <c r="U890" s="42"/>
      <c r="V890" s="416"/>
      <c r="W890" s="42"/>
      <c r="X890" s="74"/>
      <c r="Y890" s="74"/>
      <c r="Z890" s="74"/>
      <c r="AA890" s="74"/>
      <c r="AB890" s="74"/>
      <c r="AC890" s="42"/>
      <c r="AD890" s="42"/>
      <c r="AE890" s="42"/>
      <c r="AF890" s="42"/>
      <c r="AG890" s="42"/>
      <c r="AH890" s="42"/>
      <c r="AI890" s="75"/>
      <c r="AJ890" s="75"/>
      <c r="AK890" s="75"/>
      <c r="AL890" s="75"/>
      <c r="AM890" s="74"/>
      <c r="AN890" s="72" t="e">
        <f>VLOOKUP(H890,[4]Planilha1!A$13:P$314,16,0)</f>
        <v>#N/A</v>
      </c>
    </row>
    <row r="891" spans="1:40" s="69" customFormat="1" x14ac:dyDescent="0.25">
      <c r="A891" s="88"/>
      <c r="B891" s="88"/>
      <c r="C891" s="70"/>
      <c r="D891" s="70"/>
      <c r="E891" s="70"/>
      <c r="F891" s="70"/>
      <c r="G891" s="70"/>
      <c r="H891" s="422"/>
      <c r="I891" s="422"/>
      <c r="J891" s="418"/>
      <c r="K891" s="403"/>
      <c r="L891" s="73"/>
      <c r="M891" s="72"/>
      <c r="N891" s="72"/>
      <c r="O891" s="72"/>
      <c r="P891" s="42"/>
      <c r="Q891" s="42"/>
      <c r="R891" s="42"/>
      <c r="S891" s="42"/>
      <c r="T891" s="42"/>
      <c r="U891" s="42"/>
      <c r="V891" s="416"/>
      <c r="W891" s="42"/>
      <c r="X891" s="74"/>
      <c r="Y891" s="74"/>
      <c r="Z891" s="74"/>
      <c r="AA891" s="74"/>
      <c r="AB891" s="74"/>
      <c r="AC891" s="42"/>
      <c r="AD891" s="42"/>
      <c r="AE891" s="42"/>
      <c r="AF891" s="42"/>
      <c r="AG891" s="42"/>
      <c r="AH891" s="42"/>
      <c r="AI891" s="75"/>
      <c r="AJ891" s="75"/>
      <c r="AK891" s="75"/>
      <c r="AL891" s="75"/>
      <c r="AM891" s="74"/>
      <c r="AN891" s="72" t="e">
        <f>VLOOKUP(H891,[4]Planilha1!A$13:P$314,16,0)</f>
        <v>#N/A</v>
      </c>
    </row>
    <row r="892" spans="1:40" s="69" customFormat="1" x14ac:dyDescent="0.25">
      <c r="A892" s="88"/>
      <c r="B892" s="88"/>
      <c r="C892" s="70"/>
      <c r="D892" s="70"/>
      <c r="E892" s="70"/>
      <c r="F892" s="70"/>
      <c r="G892" s="70"/>
      <c r="H892" s="422"/>
      <c r="I892" s="422"/>
      <c r="J892" s="418"/>
      <c r="K892" s="403"/>
      <c r="L892" s="73"/>
      <c r="M892" s="72"/>
      <c r="N892" s="72"/>
      <c r="O892" s="72"/>
      <c r="P892" s="42"/>
      <c r="Q892" s="42"/>
      <c r="R892" s="42"/>
      <c r="S892" s="42"/>
      <c r="T892" s="42"/>
      <c r="U892" s="42"/>
      <c r="V892" s="416"/>
      <c r="W892" s="42"/>
      <c r="X892" s="74"/>
      <c r="Y892" s="74"/>
      <c r="Z892" s="74"/>
      <c r="AA892" s="74"/>
      <c r="AB892" s="74"/>
      <c r="AC892" s="42"/>
      <c r="AD892" s="42"/>
      <c r="AE892" s="42"/>
      <c r="AF892" s="42"/>
      <c r="AG892" s="42"/>
      <c r="AH892" s="42"/>
      <c r="AI892" s="75"/>
      <c r="AJ892" s="75"/>
      <c r="AK892" s="75"/>
      <c r="AL892" s="75"/>
      <c r="AM892" s="74"/>
      <c r="AN892" s="72" t="e">
        <f>VLOOKUP(H892,[4]Planilha1!A$13:P$314,16,0)</f>
        <v>#N/A</v>
      </c>
    </row>
    <row r="893" spans="1:40" s="69" customFormat="1" x14ac:dyDescent="0.25">
      <c r="A893" s="88"/>
      <c r="B893" s="88"/>
      <c r="C893" s="70"/>
      <c r="D893" s="70"/>
      <c r="E893" s="70"/>
      <c r="F893" s="70"/>
      <c r="G893" s="70"/>
      <c r="H893" s="422"/>
      <c r="I893" s="422"/>
      <c r="J893" s="418"/>
      <c r="K893" s="403"/>
      <c r="L893" s="73"/>
      <c r="M893" s="72"/>
      <c r="N893" s="72"/>
      <c r="O893" s="72"/>
      <c r="P893" s="42"/>
      <c r="Q893" s="42"/>
      <c r="R893" s="42"/>
      <c r="S893" s="42"/>
      <c r="T893" s="42"/>
      <c r="U893" s="42"/>
      <c r="V893" s="416"/>
      <c r="W893" s="42"/>
      <c r="X893" s="74"/>
      <c r="Y893" s="74"/>
      <c r="Z893" s="74"/>
      <c r="AA893" s="74"/>
      <c r="AB893" s="74"/>
      <c r="AC893" s="42"/>
      <c r="AD893" s="42"/>
      <c r="AE893" s="42"/>
      <c r="AF893" s="42"/>
      <c r="AG893" s="42"/>
      <c r="AH893" s="42"/>
      <c r="AI893" s="75"/>
      <c r="AJ893" s="75"/>
      <c r="AK893" s="75"/>
      <c r="AL893" s="75"/>
      <c r="AM893" s="74"/>
      <c r="AN893" s="72" t="e">
        <f>VLOOKUP(H893,[4]Planilha1!A$13:P$314,16,0)</f>
        <v>#N/A</v>
      </c>
    </row>
    <row r="894" spans="1:40" s="69" customFormat="1" x14ac:dyDescent="0.25">
      <c r="A894" s="88"/>
      <c r="B894" s="88"/>
      <c r="C894" s="70"/>
      <c r="D894" s="70"/>
      <c r="E894" s="70"/>
      <c r="F894" s="70"/>
      <c r="G894" s="70"/>
      <c r="H894" s="422"/>
      <c r="I894" s="422"/>
      <c r="J894" s="418"/>
      <c r="K894" s="403"/>
      <c r="L894" s="73"/>
      <c r="M894" s="72"/>
      <c r="N894" s="72"/>
      <c r="O894" s="72"/>
      <c r="P894" s="42"/>
      <c r="Q894" s="42"/>
      <c r="R894" s="42"/>
      <c r="S894" s="42"/>
      <c r="T894" s="42"/>
      <c r="U894" s="42"/>
      <c r="V894" s="416"/>
      <c r="W894" s="42"/>
      <c r="X894" s="74"/>
      <c r="Y894" s="74"/>
      <c r="Z894" s="74"/>
      <c r="AA894" s="74"/>
      <c r="AB894" s="74"/>
      <c r="AC894" s="42"/>
      <c r="AD894" s="42"/>
      <c r="AE894" s="42"/>
      <c r="AF894" s="42"/>
      <c r="AG894" s="42"/>
      <c r="AH894" s="42"/>
      <c r="AI894" s="75"/>
      <c r="AJ894" s="75"/>
      <c r="AK894" s="75"/>
      <c r="AL894" s="75"/>
      <c r="AM894" s="74"/>
      <c r="AN894" s="72" t="e">
        <f>VLOOKUP(H894,[4]Planilha1!A$13:P$314,16,0)</f>
        <v>#N/A</v>
      </c>
    </row>
    <row r="895" spans="1:40" s="69" customFormat="1" x14ac:dyDescent="0.25">
      <c r="A895" s="88"/>
      <c r="B895" s="88"/>
      <c r="C895" s="70"/>
      <c r="D895" s="70"/>
      <c r="E895" s="70"/>
      <c r="F895" s="70"/>
      <c r="G895" s="70"/>
      <c r="H895" s="422"/>
      <c r="I895" s="422"/>
      <c r="J895" s="418"/>
      <c r="K895" s="403"/>
      <c r="L895" s="73"/>
      <c r="M895" s="72"/>
      <c r="N895" s="72"/>
      <c r="O895" s="72"/>
      <c r="P895" s="42"/>
      <c r="Q895" s="42"/>
      <c r="R895" s="42"/>
      <c r="S895" s="42"/>
      <c r="T895" s="42"/>
      <c r="U895" s="42"/>
      <c r="V895" s="416"/>
      <c r="W895" s="42"/>
      <c r="X895" s="74"/>
      <c r="Y895" s="74"/>
      <c r="Z895" s="74"/>
      <c r="AA895" s="74"/>
      <c r="AB895" s="74"/>
      <c r="AC895" s="42"/>
      <c r="AD895" s="42"/>
      <c r="AE895" s="42"/>
      <c r="AF895" s="42"/>
      <c r="AG895" s="42"/>
      <c r="AH895" s="42"/>
      <c r="AI895" s="75"/>
      <c r="AJ895" s="75"/>
      <c r="AK895" s="75"/>
      <c r="AL895" s="75"/>
      <c r="AM895" s="74"/>
      <c r="AN895" s="72" t="e">
        <f>VLOOKUP(H895,[4]Planilha1!A$13:P$314,16,0)</f>
        <v>#N/A</v>
      </c>
    </row>
    <row r="896" spans="1:40" s="69" customFormat="1" x14ac:dyDescent="0.25">
      <c r="A896" s="88"/>
      <c r="B896" s="88"/>
      <c r="C896" s="70"/>
      <c r="D896" s="70"/>
      <c r="E896" s="70"/>
      <c r="F896" s="70"/>
      <c r="G896" s="70"/>
      <c r="H896" s="422"/>
      <c r="I896" s="422"/>
      <c r="J896" s="418"/>
      <c r="K896" s="403"/>
      <c r="L896" s="73"/>
      <c r="M896" s="72"/>
      <c r="N896" s="72"/>
      <c r="O896" s="72"/>
      <c r="P896" s="42"/>
      <c r="Q896" s="42"/>
      <c r="R896" s="42"/>
      <c r="S896" s="42"/>
      <c r="T896" s="42"/>
      <c r="U896" s="42"/>
      <c r="V896" s="416"/>
      <c r="W896" s="42"/>
      <c r="X896" s="74"/>
      <c r="Y896" s="74"/>
      <c r="Z896" s="74"/>
      <c r="AA896" s="74"/>
      <c r="AB896" s="74"/>
      <c r="AC896" s="42"/>
      <c r="AD896" s="42"/>
      <c r="AE896" s="42"/>
      <c r="AF896" s="42"/>
      <c r="AG896" s="42"/>
      <c r="AH896" s="42"/>
      <c r="AI896" s="75"/>
      <c r="AJ896" s="75"/>
      <c r="AK896" s="75"/>
      <c r="AL896" s="75"/>
      <c r="AM896" s="74"/>
      <c r="AN896" s="72" t="e">
        <f>VLOOKUP(H896,[4]Planilha1!A$13:P$314,16,0)</f>
        <v>#N/A</v>
      </c>
    </row>
    <row r="897" spans="1:40" s="69" customFormat="1" x14ac:dyDescent="0.25">
      <c r="A897" s="88"/>
      <c r="B897" s="88"/>
      <c r="C897" s="70"/>
      <c r="D897" s="70"/>
      <c r="E897" s="70"/>
      <c r="F897" s="70"/>
      <c r="G897" s="70"/>
      <c r="H897" s="422"/>
      <c r="I897" s="422"/>
      <c r="J897" s="418"/>
      <c r="K897" s="403"/>
      <c r="L897" s="73"/>
      <c r="M897" s="72"/>
      <c r="N897" s="72"/>
      <c r="O897" s="72"/>
      <c r="P897" s="42"/>
      <c r="Q897" s="42"/>
      <c r="R897" s="42"/>
      <c r="S897" s="42"/>
      <c r="T897" s="42"/>
      <c r="U897" s="42"/>
      <c r="V897" s="416"/>
      <c r="W897" s="42"/>
      <c r="X897" s="74"/>
      <c r="Y897" s="74"/>
      <c r="Z897" s="74"/>
      <c r="AA897" s="74"/>
      <c r="AB897" s="74"/>
      <c r="AC897" s="42"/>
      <c r="AD897" s="42"/>
      <c r="AE897" s="42"/>
      <c r="AF897" s="42"/>
      <c r="AG897" s="42"/>
      <c r="AH897" s="42"/>
      <c r="AI897" s="75"/>
      <c r="AJ897" s="75"/>
      <c r="AK897" s="75"/>
      <c r="AL897" s="75"/>
      <c r="AM897" s="74"/>
      <c r="AN897" s="72" t="e">
        <f>VLOOKUP(H897,[4]Planilha1!A$13:P$314,16,0)</f>
        <v>#N/A</v>
      </c>
    </row>
    <row r="898" spans="1:40" s="69" customFormat="1" x14ac:dyDescent="0.25">
      <c r="A898" s="88"/>
      <c r="B898" s="88"/>
      <c r="C898" s="70"/>
      <c r="D898" s="70"/>
      <c r="E898" s="70"/>
      <c r="F898" s="70"/>
      <c r="G898" s="70"/>
      <c r="H898" s="422"/>
      <c r="I898" s="422"/>
      <c r="J898" s="418"/>
      <c r="K898" s="403"/>
      <c r="L898" s="73"/>
      <c r="M898" s="72"/>
      <c r="N898" s="72"/>
      <c r="O898" s="72"/>
      <c r="P898" s="42"/>
      <c r="Q898" s="42"/>
      <c r="R898" s="42"/>
      <c r="S898" s="42"/>
      <c r="T898" s="42"/>
      <c r="U898" s="42"/>
      <c r="V898" s="416"/>
      <c r="W898" s="42"/>
      <c r="X898" s="74"/>
      <c r="Y898" s="74"/>
      <c r="Z898" s="74"/>
      <c r="AA898" s="74"/>
      <c r="AB898" s="74"/>
      <c r="AC898" s="42"/>
      <c r="AD898" s="42"/>
      <c r="AE898" s="42"/>
      <c r="AF898" s="42"/>
      <c r="AG898" s="42"/>
      <c r="AH898" s="42"/>
      <c r="AI898" s="75"/>
      <c r="AJ898" s="75"/>
      <c r="AK898" s="75"/>
      <c r="AL898" s="75"/>
      <c r="AM898" s="74"/>
      <c r="AN898" s="72" t="e">
        <f>VLOOKUP(H898,[4]Planilha1!A$13:P$314,16,0)</f>
        <v>#N/A</v>
      </c>
    </row>
    <row r="899" spans="1:40" s="69" customFormat="1" x14ac:dyDescent="0.25">
      <c r="A899" s="88"/>
      <c r="B899" s="88"/>
      <c r="C899" s="70"/>
      <c r="D899" s="70"/>
      <c r="E899" s="70"/>
      <c r="F899" s="70"/>
      <c r="G899" s="70"/>
      <c r="H899" s="422"/>
      <c r="I899" s="422"/>
      <c r="J899" s="418"/>
      <c r="K899" s="403"/>
      <c r="L899" s="73"/>
      <c r="M899" s="72"/>
      <c r="N899" s="72"/>
      <c r="O899" s="72"/>
      <c r="P899" s="42"/>
      <c r="Q899" s="42"/>
      <c r="R899" s="42"/>
      <c r="S899" s="42"/>
      <c r="T899" s="42"/>
      <c r="U899" s="42"/>
      <c r="V899" s="416"/>
      <c r="W899" s="42"/>
      <c r="X899" s="74"/>
      <c r="Y899" s="74"/>
      <c r="Z899" s="74"/>
      <c r="AA899" s="74"/>
      <c r="AB899" s="74"/>
      <c r="AC899" s="42"/>
      <c r="AD899" s="42"/>
      <c r="AE899" s="42"/>
      <c r="AF899" s="42"/>
      <c r="AG899" s="42"/>
      <c r="AH899" s="42"/>
      <c r="AI899" s="75"/>
      <c r="AJ899" s="75"/>
      <c r="AK899" s="75"/>
      <c r="AL899" s="75"/>
      <c r="AM899" s="74"/>
      <c r="AN899" s="72" t="e">
        <f>VLOOKUP(H899,[4]Planilha1!A$13:P$314,16,0)</f>
        <v>#N/A</v>
      </c>
    </row>
    <row r="900" spans="1:40" s="69" customFormat="1" x14ac:dyDescent="0.25">
      <c r="A900" s="88"/>
      <c r="B900" s="88"/>
      <c r="C900" s="70"/>
      <c r="D900" s="70"/>
      <c r="E900" s="70"/>
      <c r="F900" s="70"/>
      <c r="G900" s="70"/>
      <c r="H900" s="422"/>
      <c r="I900" s="422"/>
      <c r="J900" s="418"/>
      <c r="K900" s="403"/>
      <c r="L900" s="73"/>
      <c r="M900" s="72"/>
      <c r="N900" s="72"/>
      <c r="O900" s="72"/>
      <c r="P900" s="42"/>
      <c r="Q900" s="42"/>
      <c r="R900" s="42"/>
      <c r="S900" s="42"/>
      <c r="T900" s="42"/>
      <c r="U900" s="42"/>
      <c r="V900" s="416"/>
      <c r="W900" s="42"/>
      <c r="X900" s="74"/>
      <c r="Y900" s="74"/>
      <c r="Z900" s="74"/>
      <c r="AA900" s="74"/>
      <c r="AB900" s="74"/>
      <c r="AC900" s="42"/>
      <c r="AD900" s="42"/>
      <c r="AE900" s="42"/>
      <c r="AF900" s="42"/>
      <c r="AG900" s="42"/>
      <c r="AH900" s="42"/>
      <c r="AI900" s="75"/>
      <c r="AJ900" s="75"/>
      <c r="AK900" s="75"/>
      <c r="AL900" s="75"/>
      <c r="AM900" s="74"/>
      <c r="AN900" s="72" t="e">
        <f>VLOOKUP(H900,[4]Planilha1!A$13:P$314,16,0)</f>
        <v>#N/A</v>
      </c>
    </row>
    <row r="901" spans="1:40" s="69" customFormat="1" x14ac:dyDescent="0.25">
      <c r="A901" s="88"/>
      <c r="B901" s="88"/>
      <c r="C901" s="70"/>
      <c r="D901" s="70"/>
      <c r="E901" s="70"/>
      <c r="F901" s="70"/>
      <c r="G901" s="70"/>
      <c r="H901" s="422"/>
      <c r="I901" s="422"/>
      <c r="J901" s="418"/>
      <c r="K901" s="403"/>
      <c r="L901" s="73"/>
      <c r="M901" s="72"/>
      <c r="N901" s="72"/>
      <c r="O901" s="72"/>
      <c r="P901" s="42"/>
      <c r="Q901" s="42"/>
      <c r="R901" s="42"/>
      <c r="S901" s="42"/>
      <c r="T901" s="42"/>
      <c r="U901" s="42"/>
      <c r="V901" s="416"/>
      <c r="W901" s="42"/>
      <c r="X901" s="74"/>
      <c r="Y901" s="74"/>
      <c r="Z901" s="74"/>
      <c r="AA901" s="74"/>
      <c r="AB901" s="74"/>
      <c r="AC901" s="42"/>
      <c r="AD901" s="42"/>
      <c r="AE901" s="42"/>
      <c r="AF901" s="42"/>
      <c r="AG901" s="42"/>
      <c r="AH901" s="42"/>
      <c r="AI901" s="75"/>
      <c r="AJ901" s="75"/>
      <c r="AK901" s="75"/>
      <c r="AL901" s="75"/>
      <c r="AM901" s="74"/>
      <c r="AN901" s="72" t="e">
        <f>VLOOKUP(H901,[4]Planilha1!A$13:P$314,16,0)</f>
        <v>#N/A</v>
      </c>
    </row>
    <row r="902" spans="1:40" s="69" customFormat="1" x14ac:dyDescent="0.25">
      <c r="A902" s="88"/>
      <c r="B902" s="88"/>
      <c r="C902" s="70"/>
      <c r="D902" s="70"/>
      <c r="E902" s="70"/>
      <c r="F902" s="70"/>
      <c r="G902" s="70"/>
      <c r="H902" s="422"/>
      <c r="I902" s="422"/>
      <c r="J902" s="418"/>
      <c r="K902" s="403"/>
      <c r="L902" s="73"/>
      <c r="M902" s="72"/>
      <c r="N902" s="72"/>
      <c r="O902" s="72"/>
      <c r="P902" s="42"/>
      <c r="Q902" s="42"/>
      <c r="R902" s="42"/>
      <c r="S902" s="42"/>
      <c r="T902" s="42"/>
      <c r="U902" s="42"/>
      <c r="V902" s="416"/>
      <c r="W902" s="42"/>
      <c r="X902" s="74"/>
      <c r="Y902" s="74"/>
      <c r="Z902" s="74"/>
      <c r="AA902" s="74"/>
      <c r="AB902" s="74"/>
      <c r="AC902" s="42"/>
      <c r="AD902" s="42"/>
      <c r="AE902" s="42"/>
      <c r="AF902" s="42"/>
      <c r="AG902" s="42"/>
      <c r="AH902" s="42"/>
      <c r="AI902" s="75"/>
      <c r="AJ902" s="75"/>
      <c r="AK902" s="75"/>
      <c r="AL902" s="75"/>
      <c r="AM902" s="74"/>
      <c r="AN902" s="72" t="e">
        <f>VLOOKUP(H902,[4]Planilha1!A$13:P$314,16,0)</f>
        <v>#N/A</v>
      </c>
    </row>
    <row r="903" spans="1:40" s="69" customFormat="1" x14ac:dyDescent="0.25">
      <c r="A903" s="88"/>
      <c r="B903" s="88"/>
      <c r="C903" s="70"/>
      <c r="D903" s="70"/>
      <c r="E903" s="70"/>
      <c r="F903" s="70"/>
      <c r="G903" s="70"/>
      <c r="H903" s="422"/>
      <c r="I903" s="422"/>
      <c r="J903" s="418"/>
      <c r="K903" s="403"/>
      <c r="L903" s="73"/>
      <c r="M903" s="72"/>
      <c r="N903" s="72"/>
      <c r="O903" s="72"/>
      <c r="P903" s="42"/>
      <c r="Q903" s="42"/>
      <c r="R903" s="42"/>
      <c r="S903" s="42"/>
      <c r="T903" s="42"/>
      <c r="U903" s="42"/>
      <c r="V903" s="416"/>
      <c r="W903" s="42"/>
      <c r="X903" s="74"/>
      <c r="Y903" s="74"/>
      <c r="Z903" s="74"/>
      <c r="AA903" s="74"/>
      <c r="AB903" s="74"/>
      <c r="AC903" s="42"/>
      <c r="AD903" s="42"/>
      <c r="AE903" s="42"/>
      <c r="AF903" s="42"/>
      <c r="AG903" s="42"/>
      <c r="AH903" s="42"/>
      <c r="AI903" s="75"/>
      <c r="AJ903" s="75"/>
      <c r="AK903" s="75"/>
      <c r="AL903" s="75"/>
      <c r="AM903" s="74"/>
      <c r="AN903" s="72" t="e">
        <f>VLOOKUP(H903,[4]Planilha1!A$13:P$314,16,0)</f>
        <v>#N/A</v>
      </c>
    </row>
    <row r="904" spans="1:40" s="69" customFormat="1" x14ac:dyDescent="0.25">
      <c r="A904" s="88"/>
      <c r="B904" s="88"/>
      <c r="C904" s="70"/>
      <c r="D904" s="70"/>
      <c r="E904" s="70"/>
      <c r="F904" s="70"/>
      <c r="G904" s="70"/>
      <c r="H904" s="422"/>
      <c r="I904" s="422"/>
      <c r="J904" s="418"/>
      <c r="K904" s="403"/>
      <c r="L904" s="73"/>
      <c r="M904" s="72"/>
      <c r="N904" s="72"/>
      <c r="O904" s="72"/>
      <c r="P904" s="42"/>
      <c r="Q904" s="42"/>
      <c r="R904" s="42"/>
      <c r="S904" s="42"/>
      <c r="T904" s="42"/>
      <c r="U904" s="42"/>
      <c r="V904" s="416"/>
      <c r="W904" s="42"/>
      <c r="X904" s="74"/>
      <c r="Y904" s="74"/>
      <c r="Z904" s="74"/>
      <c r="AA904" s="74"/>
      <c r="AB904" s="74"/>
      <c r="AC904" s="42"/>
      <c r="AD904" s="42"/>
      <c r="AE904" s="42"/>
      <c r="AF904" s="42"/>
      <c r="AG904" s="42"/>
      <c r="AH904" s="42"/>
      <c r="AI904" s="75"/>
      <c r="AJ904" s="75"/>
      <c r="AK904" s="75"/>
      <c r="AL904" s="75"/>
      <c r="AM904" s="74"/>
      <c r="AN904" s="72" t="e">
        <f>VLOOKUP(H904,[4]Planilha1!A$13:P$314,16,0)</f>
        <v>#N/A</v>
      </c>
    </row>
    <row r="905" spans="1:40" s="69" customFormat="1" x14ac:dyDescent="0.25">
      <c r="A905" s="88"/>
      <c r="B905" s="88"/>
      <c r="C905" s="70"/>
      <c r="D905" s="70"/>
      <c r="E905" s="70"/>
      <c r="F905" s="70"/>
      <c r="G905" s="70"/>
      <c r="H905" s="422"/>
      <c r="I905" s="422"/>
      <c r="J905" s="418"/>
      <c r="K905" s="403"/>
      <c r="L905" s="73"/>
      <c r="M905" s="72"/>
      <c r="N905" s="72"/>
      <c r="O905" s="72"/>
      <c r="P905" s="42"/>
      <c r="Q905" s="42"/>
      <c r="R905" s="42"/>
      <c r="S905" s="42"/>
      <c r="T905" s="42"/>
      <c r="U905" s="42"/>
      <c r="V905" s="416"/>
      <c r="W905" s="42"/>
      <c r="X905" s="74"/>
      <c r="Y905" s="74"/>
      <c r="Z905" s="74"/>
      <c r="AA905" s="74"/>
      <c r="AB905" s="74"/>
      <c r="AC905" s="42"/>
      <c r="AD905" s="42"/>
      <c r="AE905" s="42"/>
      <c r="AF905" s="42"/>
      <c r="AG905" s="42"/>
      <c r="AH905" s="42"/>
      <c r="AI905" s="75"/>
      <c r="AJ905" s="75"/>
      <c r="AK905" s="75"/>
      <c r="AL905" s="75"/>
      <c r="AM905" s="74"/>
      <c r="AN905" s="72" t="e">
        <f>VLOOKUP(H905,[4]Planilha1!A$13:P$314,16,0)</f>
        <v>#N/A</v>
      </c>
    </row>
    <row r="906" spans="1:40" s="69" customFormat="1" x14ac:dyDescent="0.25">
      <c r="A906" s="88"/>
      <c r="B906" s="88"/>
      <c r="C906" s="70"/>
      <c r="D906" s="70"/>
      <c r="E906" s="70"/>
      <c r="F906" s="70"/>
      <c r="G906" s="70"/>
      <c r="H906" s="422"/>
      <c r="I906" s="422"/>
      <c r="J906" s="418"/>
      <c r="K906" s="403"/>
      <c r="L906" s="73"/>
      <c r="M906" s="72"/>
      <c r="N906" s="72"/>
      <c r="O906" s="72"/>
      <c r="P906" s="42"/>
      <c r="Q906" s="42"/>
      <c r="R906" s="42"/>
      <c r="S906" s="42"/>
      <c r="T906" s="42"/>
      <c r="U906" s="42"/>
      <c r="V906" s="416"/>
      <c r="W906" s="42"/>
      <c r="X906" s="74"/>
      <c r="Y906" s="74"/>
      <c r="Z906" s="74"/>
      <c r="AA906" s="74"/>
      <c r="AB906" s="74"/>
      <c r="AC906" s="42"/>
      <c r="AD906" s="42"/>
      <c r="AE906" s="42"/>
      <c r="AF906" s="42"/>
      <c r="AG906" s="42"/>
      <c r="AH906" s="42"/>
      <c r="AI906" s="75"/>
      <c r="AJ906" s="75"/>
      <c r="AK906" s="75"/>
      <c r="AL906" s="75"/>
      <c r="AM906" s="74"/>
      <c r="AN906" s="72" t="e">
        <f>VLOOKUP(H906,[4]Planilha1!A$13:P$314,16,0)</f>
        <v>#N/A</v>
      </c>
    </row>
    <row r="907" spans="1:40" s="69" customFormat="1" x14ac:dyDescent="0.25">
      <c r="A907" s="88"/>
      <c r="B907" s="88"/>
      <c r="C907" s="70"/>
      <c r="D907" s="70"/>
      <c r="E907" s="70"/>
      <c r="F907" s="70"/>
      <c r="G907" s="70"/>
      <c r="H907" s="422"/>
      <c r="I907" s="422"/>
      <c r="J907" s="418"/>
      <c r="K907" s="403"/>
      <c r="L907" s="73"/>
      <c r="M907" s="72"/>
      <c r="N907" s="72"/>
      <c r="O907" s="72"/>
      <c r="P907" s="42"/>
      <c r="Q907" s="42"/>
      <c r="R907" s="42"/>
      <c r="S907" s="42"/>
      <c r="T907" s="42"/>
      <c r="U907" s="42"/>
      <c r="V907" s="416"/>
      <c r="W907" s="42"/>
      <c r="X907" s="74"/>
      <c r="Y907" s="74"/>
      <c r="Z907" s="74"/>
      <c r="AA907" s="74"/>
      <c r="AB907" s="74"/>
      <c r="AC907" s="42"/>
      <c r="AD907" s="42"/>
      <c r="AE907" s="42"/>
      <c r="AF907" s="42"/>
      <c r="AG907" s="42"/>
      <c r="AH907" s="42"/>
      <c r="AI907" s="75"/>
      <c r="AJ907" s="75"/>
      <c r="AK907" s="75"/>
      <c r="AL907" s="75"/>
      <c r="AM907" s="74"/>
      <c r="AN907" s="72" t="e">
        <f>VLOOKUP(H907,[4]Planilha1!A$13:P$314,16,0)</f>
        <v>#N/A</v>
      </c>
    </row>
    <row r="908" spans="1:40" s="69" customFormat="1" x14ac:dyDescent="0.25">
      <c r="A908" s="88"/>
      <c r="B908" s="88"/>
      <c r="C908" s="70"/>
      <c r="D908" s="70"/>
      <c r="E908" s="70"/>
      <c r="F908" s="70"/>
      <c r="G908" s="70"/>
      <c r="H908" s="422"/>
      <c r="I908" s="422"/>
      <c r="J908" s="418"/>
      <c r="K908" s="403"/>
      <c r="L908" s="73"/>
      <c r="M908" s="72"/>
      <c r="N908" s="72"/>
      <c r="O908" s="72"/>
      <c r="P908" s="42"/>
      <c r="Q908" s="42"/>
      <c r="R908" s="42"/>
      <c r="S908" s="42"/>
      <c r="T908" s="42"/>
      <c r="U908" s="42"/>
      <c r="V908" s="416"/>
      <c r="W908" s="42"/>
      <c r="X908" s="74"/>
      <c r="Y908" s="74"/>
      <c r="Z908" s="74"/>
      <c r="AA908" s="74"/>
      <c r="AB908" s="74"/>
      <c r="AC908" s="42"/>
      <c r="AD908" s="42"/>
      <c r="AE908" s="42"/>
      <c r="AF908" s="42"/>
      <c r="AG908" s="42"/>
      <c r="AH908" s="42"/>
      <c r="AI908" s="75"/>
      <c r="AJ908" s="75"/>
      <c r="AK908" s="75"/>
      <c r="AL908" s="75"/>
      <c r="AM908" s="74"/>
      <c r="AN908" s="72" t="e">
        <f>VLOOKUP(H908,[4]Planilha1!A$13:P$314,16,0)</f>
        <v>#N/A</v>
      </c>
    </row>
    <row r="909" spans="1:40" s="69" customFormat="1" x14ac:dyDescent="0.25">
      <c r="A909" s="88"/>
      <c r="B909" s="88"/>
      <c r="C909" s="70"/>
      <c r="D909" s="70"/>
      <c r="E909" s="70"/>
      <c r="F909" s="70"/>
      <c r="G909" s="70"/>
      <c r="H909" s="422"/>
      <c r="I909" s="422"/>
      <c r="J909" s="418"/>
      <c r="K909" s="403"/>
      <c r="L909" s="73"/>
      <c r="M909" s="72"/>
      <c r="N909" s="72"/>
      <c r="O909" s="72"/>
      <c r="P909" s="42"/>
      <c r="Q909" s="42"/>
      <c r="R909" s="42"/>
      <c r="S909" s="42"/>
      <c r="T909" s="42"/>
      <c r="U909" s="42"/>
      <c r="V909" s="416"/>
      <c r="W909" s="42"/>
      <c r="X909" s="74"/>
      <c r="Y909" s="74"/>
      <c r="Z909" s="74"/>
      <c r="AA909" s="74"/>
      <c r="AB909" s="74"/>
      <c r="AC909" s="42"/>
      <c r="AD909" s="42"/>
      <c r="AE909" s="42"/>
      <c r="AF909" s="42"/>
      <c r="AG909" s="42"/>
      <c r="AH909" s="42"/>
      <c r="AI909" s="75"/>
      <c r="AJ909" s="75"/>
      <c r="AK909" s="75"/>
      <c r="AL909" s="75"/>
      <c r="AM909" s="74"/>
      <c r="AN909" s="72" t="e">
        <f>VLOOKUP(H909,[4]Planilha1!A$13:P$314,16,0)</f>
        <v>#N/A</v>
      </c>
    </row>
    <row r="910" spans="1:40" s="69" customFormat="1" x14ac:dyDescent="0.25">
      <c r="A910" s="88"/>
      <c r="B910" s="88"/>
      <c r="C910" s="70"/>
      <c r="D910" s="70"/>
      <c r="E910" s="70"/>
      <c r="F910" s="70"/>
      <c r="G910" s="70"/>
      <c r="H910" s="422"/>
      <c r="I910" s="422"/>
      <c r="J910" s="418"/>
      <c r="K910" s="403"/>
      <c r="L910" s="73"/>
      <c r="M910" s="72"/>
      <c r="N910" s="72"/>
      <c r="O910" s="72"/>
      <c r="P910" s="42"/>
      <c r="Q910" s="42"/>
      <c r="R910" s="42"/>
      <c r="S910" s="42"/>
      <c r="T910" s="42"/>
      <c r="U910" s="42"/>
      <c r="V910" s="416"/>
      <c r="W910" s="42"/>
      <c r="X910" s="74"/>
      <c r="Y910" s="74"/>
      <c r="Z910" s="74"/>
      <c r="AA910" s="74"/>
      <c r="AB910" s="74"/>
      <c r="AC910" s="42"/>
      <c r="AD910" s="42"/>
      <c r="AE910" s="42"/>
      <c r="AF910" s="42"/>
      <c r="AG910" s="42"/>
      <c r="AH910" s="42"/>
      <c r="AI910" s="75"/>
      <c r="AJ910" s="75"/>
      <c r="AK910" s="75"/>
      <c r="AL910" s="75"/>
      <c r="AM910" s="74"/>
      <c r="AN910" s="72" t="e">
        <f>VLOOKUP(H910,[4]Planilha1!A$13:P$314,16,0)</f>
        <v>#N/A</v>
      </c>
    </row>
    <row r="911" spans="1:40" s="69" customFormat="1" x14ac:dyDescent="0.25">
      <c r="A911" s="88"/>
      <c r="B911" s="88"/>
      <c r="C911" s="70"/>
      <c r="D911" s="70"/>
      <c r="E911" s="70"/>
      <c r="F911" s="70"/>
      <c r="G911" s="70"/>
      <c r="H911" s="422"/>
      <c r="I911" s="422"/>
      <c r="J911" s="418"/>
      <c r="K911" s="403"/>
      <c r="L911" s="73"/>
      <c r="M911" s="72"/>
      <c r="N911" s="72"/>
      <c r="O911" s="72"/>
      <c r="P911" s="42"/>
      <c r="Q911" s="42"/>
      <c r="R911" s="42"/>
      <c r="S911" s="42"/>
      <c r="T911" s="42"/>
      <c r="U911" s="42"/>
      <c r="V911" s="416"/>
      <c r="W911" s="42"/>
      <c r="X911" s="74"/>
      <c r="Y911" s="74"/>
      <c r="Z911" s="74"/>
      <c r="AA911" s="74"/>
      <c r="AB911" s="74"/>
      <c r="AC911" s="42"/>
      <c r="AD911" s="42"/>
      <c r="AE911" s="42"/>
      <c r="AF911" s="42"/>
      <c r="AG911" s="42"/>
      <c r="AH911" s="42"/>
      <c r="AI911" s="75"/>
      <c r="AJ911" s="75"/>
      <c r="AK911" s="75"/>
      <c r="AL911" s="75"/>
      <c r="AM911" s="74"/>
      <c r="AN911" s="72" t="e">
        <f>VLOOKUP(H911,[4]Planilha1!A$13:P$314,16,0)</f>
        <v>#N/A</v>
      </c>
    </row>
    <row r="912" spans="1:40" s="69" customFormat="1" x14ac:dyDescent="0.25">
      <c r="A912" s="88"/>
      <c r="B912" s="88"/>
      <c r="C912" s="70"/>
      <c r="D912" s="70"/>
      <c r="E912" s="70"/>
      <c r="F912" s="70"/>
      <c r="G912" s="70"/>
      <c r="H912" s="422"/>
      <c r="I912" s="422"/>
      <c r="J912" s="418"/>
      <c r="K912" s="403"/>
      <c r="L912" s="73"/>
      <c r="M912" s="72"/>
      <c r="N912" s="72"/>
      <c r="O912" s="72"/>
      <c r="P912" s="42"/>
      <c r="Q912" s="42"/>
      <c r="R912" s="42"/>
      <c r="S912" s="42"/>
      <c r="T912" s="42"/>
      <c r="U912" s="42"/>
      <c r="V912" s="416"/>
      <c r="W912" s="42"/>
      <c r="X912" s="74"/>
      <c r="Y912" s="74"/>
      <c r="Z912" s="74"/>
      <c r="AA912" s="74"/>
      <c r="AB912" s="74"/>
      <c r="AC912" s="42"/>
      <c r="AD912" s="42"/>
      <c r="AE912" s="42"/>
      <c r="AF912" s="42"/>
      <c r="AG912" s="42"/>
      <c r="AH912" s="42"/>
      <c r="AI912" s="75"/>
      <c r="AJ912" s="75"/>
      <c r="AK912" s="75"/>
      <c r="AL912" s="75"/>
      <c r="AM912" s="74"/>
      <c r="AN912" s="72" t="e">
        <f>VLOOKUP(H912,[4]Planilha1!A$13:P$314,16,0)</f>
        <v>#N/A</v>
      </c>
    </row>
    <row r="913" spans="1:40" s="69" customFormat="1" x14ac:dyDescent="0.25">
      <c r="A913" s="88"/>
      <c r="B913" s="88"/>
      <c r="C913" s="70"/>
      <c r="D913" s="70"/>
      <c r="E913" s="70"/>
      <c r="F913" s="70"/>
      <c r="G913" s="70"/>
      <c r="H913" s="422"/>
      <c r="I913" s="422"/>
      <c r="J913" s="418"/>
      <c r="K913" s="403"/>
      <c r="L913" s="73"/>
      <c r="M913" s="72"/>
      <c r="N913" s="72"/>
      <c r="O913" s="72"/>
      <c r="P913" s="42"/>
      <c r="Q913" s="42"/>
      <c r="R913" s="42"/>
      <c r="S913" s="42"/>
      <c r="T913" s="42"/>
      <c r="U913" s="42"/>
      <c r="V913" s="416"/>
      <c r="W913" s="42"/>
      <c r="X913" s="74"/>
      <c r="Y913" s="74"/>
      <c r="Z913" s="74"/>
      <c r="AA913" s="74"/>
      <c r="AB913" s="74"/>
      <c r="AC913" s="42"/>
      <c r="AD913" s="42"/>
      <c r="AE913" s="42"/>
      <c r="AF913" s="42"/>
      <c r="AG913" s="42"/>
      <c r="AH913" s="42"/>
      <c r="AI913" s="75"/>
      <c r="AJ913" s="75"/>
      <c r="AK913" s="75"/>
      <c r="AL913" s="75"/>
      <c r="AM913" s="74"/>
      <c r="AN913" s="72" t="e">
        <f>VLOOKUP(H913,[4]Planilha1!A$13:P$314,16,0)</f>
        <v>#N/A</v>
      </c>
    </row>
    <row r="914" spans="1:40" s="69" customFormat="1" x14ac:dyDescent="0.25">
      <c r="A914" s="88"/>
      <c r="B914" s="88"/>
      <c r="C914" s="70"/>
      <c r="D914" s="70"/>
      <c r="E914" s="70"/>
      <c r="F914" s="70"/>
      <c r="G914" s="70"/>
      <c r="H914" s="422"/>
      <c r="I914" s="422"/>
      <c r="J914" s="418"/>
      <c r="K914" s="403"/>
      <c r="L914" s="73"/>
      <c r="M914" s="72"/>
      <c r="N914" s="72"/>
      <c r="O914" s="72"/>
      <c r="P914" s="42"/>
      <c r="Q914" s="42"/>
      <c r="R914" s="42"/>
      <c r="S914" s="42"/>
      <c r="T914" s="42"/>
      <c r="U914" s="42"/>
      <c r="V914" s="416"/>
      <c r="W914" s="42"/>
      <c r="X914" s="74"/>
      <c r="Y914" s="74"/>
      <c r="Z914" s="74"/>
      <c r="AA914" s="74"/>
      <c r="AB914" s="74"/>
      <c r="AC914" s="42"/>
      <c r="AD914" s="42"/>
      <c r="AE914" s="42"/>
      <c r="AF914" s="42"/>
      <c r="AG914" s="42"/>
      <c r="AH914" s="42"/>
      <c r="AI914" s="75"/>
      <c r="AJ914" s="75"/>
      <c r="AK914" s="75"/>
      <c r="AL914" s="75"/>
      <c r="AM914" s="74"/>
      <c r="AN914" s="72" t="e">
        <f>VLOOKUP(H914,[4]Planilha1!A$13:P$314,16,0)</f>
        <v>#N/A</v>
      </c>
    </row>
    <row r="915" spans="1:40" s="69" customFormat="1" x14ac:dyDescent="0.25">
      <c r="A915" s="88"/>
      <c r="B915" s="88"/>
      <c r="C915" s="70"/>
      <c r="D915" s="70"/>
      <c r="E915" s="70"/>
      <c r="F915" s="70"/>
      <c r="G915" s="70"/>
      <c r="H915" s="422"/>
      <c r="I915" s="422"/>
      <c r="J915" s="418"/>
      <c r="K915" s="403"/>
      <c r="L915" s="73"/>
      <c r="M915" s="72"/>
      <c r="N915" s="72"/>
      <c r="O915" s="72"/>
      <c r="P915" s="42"/>
      <c r="Q915" s="42"/>
      <c r="R915" s="42"/>
      <c r="S915" s="42"/>
      <c r="T915" s="42"/>
      <c r="U915" s="42"/>
      <c r="V915" s="416"/>
      <c r="W915" s="42"/>
      <c r="X915" s="74"/>
      <c r="Y915" s="74"/>
      <c r="Z915" s="74"/>
      <c r="AA915" s="74"/>
      <c r="AB915" s="74"/>
      <c r="AC915" s="42"/>
      <c r="AD915" s="42"/>
      <c r="AE915" s="42"/>
      <c r="AF915" s="42"/>
      <c r="AG915" s="42"/>
      <c r="AH915" s="42"/>
      <c r="AI915" s="75"/>
      <c r="AJ915" s="75"/>
      <c r="AK915" s="75"/>
      <c r="AL915" s="75"/>
      <c r="AM915" s="74"/>
      <c r="AN915" s="72" t="e">
        <f>VLOOKUP(H915,[4]Planilha1!A$13:P$314,16,0)</f>
        <v>#N/A</v>
      </c>
    </row>
    <row r="916" spans="1:40" s="69" customFormat="1" x14ac:dyDescent="0.25">
      <c r="A916" s="88"/>
      <c r="B916" s="88"/>
      <c r="C916" s="70"/>
      <c r="D916" s="70"/>
      <c r="E916" s="70"/>
      <c r="F916" s="70"/>
      <c r="G916" s="70"/>
      <c r="H916" s="422"/>
      <c r="I916" s="422"/>
      <c r="J916" s="418"/>
      <c r="K916" s="403"/>
      <c r="L916" s="73"/>
      <c r="M916" s="72"/>
      <c r="N916" s="72"/>
      <c r="O916" s="72"/>
      <c r="P916" s="42"/>
      <c r="Q916" s="42"/>
      <c r="R916" s="42"/>
      <c r="S916" s="42"/>
      <c r="T916" s="42"/>
      <c r="U916" s="42"/>
      <c r="V916" s="416"/>
      <c r="W916" s="42"/>
      <c r="X916" s="74"/>
      <c r="Y916" s="74"/>
      <c r="Z916" s="74"/>
      <c r="AA916" s="74"/>
      <c r="AB916" s="74"/>
      <c r="AC916" s="42"/>
      <c r="AD916" s="42"/>
      <c r="AE916" s="42"/>
      <c r="AF916" s="42"/>
      <c r="AG916" s="42"/>
      <c r="AH916" s="42"/>
      <c r="AI916" s="75"/>
      <c r="AJ916" s="75"/>
      <c r="AK916" s="75"/>
      <c r="AL916" s="75"/>
      <c r="AM916" s="74"/>
      <c r="AN916" s="72" t="e">
        <f>VLOOKUP(H916,[4]Planilha1!A$13:P$314,16,0)</f>
        <v>#N/A</v>
      </c>
    </row>
    <row r="917" spans="1:40" s="69" customFormat="1" x14ac:dyDescent="0.25">
      <c r="A917" s="88"/>
      <c r="B917" s="88"/>
      <c r="C917" s="70"/>
      <c r="D917" s="70"/>
      <c r="E917" s="70"/>
      <c r="F917" s="70"/>
      <c r="G917" s="70"/>
      <c r="H917" s="422"/>
      <c r="I917" s="422"/>
      <c r="J917" s="418"/>
      <c r="K917" s="403"/>
      <c r="L917" s="73"/>
      <c r="M917" s="72"/>
      <c r="N917" s="72"/>
      <c r="O917" s="72"/>
      <c r="P917" s="42"/>
      <c r="Q917" s="42"/>
      <c r="R917" s="42"/>
      <c r="S917" s="42"/>
      <c r="T917" s="42"/>
      <c r="U917" s="42"/>
      <c r="V917" s="416"/>
      <c r="W917" s="42"/>
      <c r="X917" s="74"/>
      <c r="Y917" s="74"/>
      <c r="Z917" s="74"/>
      <c r="AA917" s="74"/>
      <c r="AB917" s="74"/>
      <c r="AC917" s="42"/>
      <c r="AD917" s="42"/>
      <c r="AE917" s="42"/>
      <c r="AF917" s="42"/>
      <c r="AG917" s="42"/>
      <c r="AH917" s="42"/>
      <c r="AI917" s="75"/>
      <c r="AJ917" s="75"/>
      <c r="AK917" s="75"/>
      <c r="AL917" s="75"/>
      <c r="AM917" s="74"/>
      <c r="AN917" s="72" t="e">
        <f>VLOOKUP(H917,[4]Planilha1!A$13:P$314,16,0)</f>
        <v>#N/A</v>
      </c>
    </row>
    <row r="918" spans="1:40" s="69" customFormat="1" x14ac:dyDescent="0.25">
      <c r="A918" s="88"/>
      <c r="B918" s="88"/>
      <c r="C918" s="70"/>
      <c r="D918" s="70"/>
      <c r="E918" s="70"/>
      <c r="F918" s="70"/>
      <c r="G918" s="70"/>
      <c r="H918" s="422"/>
      <c r="I918" s="422"/>
      <c r="J918" s="418"/>
      <c r="K918" s="403"/>
      <c r="L918" s="73"/>
      <c r="M918" s="72"/>
      <c r="N918" s="72"/>
      <c r="O918" s="72"/>
      <c r="P918" s="42"/>
      <c r="Q918" s="42"/>
      <c r="R918" s="42"/>
      <c r="S918" s="42"/>
      <c r="T918" s="42"/>
      <c r="U918" s="42"/>
      <c r="V918" s="416"/>
      <c r="W918" s="42"/>
      <c r="X918" s="74"/>
      <c r="Y918" s="74"/>
      <c r="Z918" s="74"/>
      <c r="AA918" s="74"/>
      <c r="AB918" s="74"/>
      <c r="AC918" s="42"/>
      <c r="AD918" s="42"/>
      <c r="AE918" s="42"/>
      <c r="AF918" s="42"/>
      <c r="AG918" s="42"/>
      <c r="AH918" s="42"/>
      <c r="AI918" s="75"/>
      <c r="AJ918" s="75"/>
      <c r="AK918" s="75"/>
      <c r="AL918" s="75"/>
      <c r="AM918" s="74"/>
      <c r="AN918" s="72" t="e">
        <f>VLOOKUP(H918,[4]Planilha1!A$13:P$314,16,0)</f>
        <v>#N/A</v>
      </c>
    </row>
    <row r="919" spans="1:40" s="69" customFormat="1" x14ac:dyDescent="0.25">
      <c r="A919" s="88"/>
      <c r="B919" s="88"/>
      <c r="C919" s="70"/>
      <c r="D919" s="70"/>
      <c r="E919" s="70"/>
      <c r="F919" s="70"/>
      <c r="G919" s="70"/>
      <c r="H919" s="422"/>
      <c r="I919" s="422"/>
      <c r="J919" s="418"/>
      <c r="K919" s="403"/>
      <c r="L919" s="73"/>
      <c r="M919" s="72"/>
      <c r="N919" s="72"/>
      <c r="O919" s="72"/>
      <c r="P919" s="42"/>
      <c r="Q919" s="42"/>
      <c r="R919" s="42"/>
      <c r="S919" s="42"/>
      <c r="T919" s="42"/>
      <c r="U919" s="42"/>
      <c r="V919" s="416"/>
      <c r="W919" s="42"/>
      <c r="X919" s="74"/>
      <c r="Y919" s="74"/>
      <c r="Z919" s="74"/>
      <c r="AA919" s="74"/>
      <c r="AB919" s="74"/>
      <c r="AC919" s="42"/>
      <c r="AD919" s="42"/>
      <c r="AE919" s="42"/>
      <c r="AF919" s="42"/>
      <c r="AG919" s="42"/>
      <c r="AH919" s="42"/>
      <c r="AI919" s="75"/>
      <c r="AJ919" s="75"/>
      <c r="AK919" s="75"/>
      <c r="AL919" s="75"/>
      <c r="AM919" s="74"/>
      <c r="AN919" s="72" t="e">
        <f>VLOOKUP(H919,[4]Planilha1!A$13:P$314,16,0)</f>
        <v>#N/A</v>
      </c>
    </row>
    <row r="920" spans="1:40" s="69" customFormat="1" x14ac:dyDescent="0.25">
      <c r="A920" s="88"/>
      <c r="B920" s="88"/>
      <c r="C920" s="70"/>
      <c r="D920" s="70"/>
      <c r="E920" s="70"/>
      <c r="F920" s="70"/>
      <c r="G920" s="70"/>
      <c r="H920" s="422"/>
      <c r="I920" s="422"/>
      <c r="J920" s="418"/>
      <c r="K920" s="403"/>
      <c r="L920" s="73"/>
      <c r="M920" s="72"/>
      <c r="N920" s="72"/>
      <c r="O920" s="72"/>
      <c r="P920" s="42"/>
      <c r="Q920" s="42"/>
      <c r="R920" s="42"/>
      <c r="S920" s="42"/>
      <c r="T920" s="42"/>
      <c r="U920" s="42"/>
      <c r="V920" s="416"/>
      <c r="W920" s="42"/>
      <c r="X920" s="74"/>
      <c r="Y920" s="74"/>
      <c r="Z920" s="74"/>
      <c r="AA920" s="74"/>
      <c r="AB920" s="74"/>
      <c r="AC920" s="42"/>
      <c r="AD920" s="42"/>
      <c r="AE920" s="42"/>
      <c r="AF920" s="42"/>
      <c r="AG920" s="42"/>
      <c r="AH920" s="42"/>
      <c r="AI920" s="75"/>
      <c r="AJ920" s="75"/>
      <c r="AK920" s="75"/>
      <c r="AL920" s="75"/>
      <c r="AM920" s="74"/>
      <c r="AN920" s="72" t="e">
        <f>VLOOKUP(H920,[4]Planilha1!A$13:P$314,16,0)</f>
        <v>#N/A</v>
      </c>
    </row>
    <row r="921" spans="1:40" s="69" customFormat="1" x14ac:dyDescent="0.25">
      <c r="A921" s="88"/>
      <c r="B921" s="88"/>
      <c r="C921" s="70"/>
      <c r="D921" s="70"/>
      <c r="E921" s="70"/>
      <c r="F921" s="70"/>
      <c r="G921" s="70"/>
      <c r="H921" s="422"/>
      <c r="I921" s="422"/>
      <c r="J921" s="418"/>
      <c r="K921" s="403"/>
      <c r="L921" s="73"/>
      <c r="M921" s="72"/>
      <c r="N921" s="72"/>
      <c r="O921" s="72"/>
      <c r="P921" s="42"/>
      <c r="Q921" s="42"/>
      <c r="R921" s="42"/>
      <c r="S921" s="42"/>
      <c r="T921" s="42"/>
      <c r="U921" s="42"/>
      <c r="V921" s="416"/>
      <c r="W921" s="42"/>
      <c r="X921" s="74"/>
      <c r="Y921" s="74"/>
      <c r="Z921" s="74"/>
      <c r="AA921" s="74"/>
      <c r="AB921" s="74"/>
      <c r="AC921" s="42"/>
      <c r="AD921" s="42"/>
      <c r="AE921" s="42"/>
      <c r="AF921" s="42"/>
      <c r="AG921" s="42"/>
      <c r="AH921" s="42"/>
      <c r="AI921" s="75"/>
      <c r="AJ921" s="75"/>
      <c r="AK921" s="75"/>
      <c r="AL921" s="75"/>
      <c r="AM921" s="74"/>
      <c r="AN921" s="72" t="e">
        <f>VLOOKUP(H921,[4]Planilha1!A$13:P$314,16,0)</f>
        <v>#N/A</v>
      </c>
    </row>
    <row r="922" spans="1:40" s="69" customFormat="1" x14ac:dyDescent="0.25">
      <c r="A922" s="88"/>
      <c r="B922" s="88"/>
      <c r="C922" s="70"/>
      <c r="D922" s="70"/>
      <c r="E922" s="70"/>
      <c r="F922" s="70"/>
      <c r="G922" s="70"/>
      <c r="H922" s="422"/>
      <c r="I922" s="422"/>
      <c r="J922" s="418"/>
      <c r="K922" s="403"/>
      <c r="L922" s="73"/>
      <c r="M922" s="72"/>
      <c r="N922" s="72"/>
      <c r="O922" s="72"/>
      <c r="P922" s="42"/>
      <c r="Q922" s="42"/>
      <c r="R922" s="42"/>
      <c r="S922" s="42"/>
      <c r="T922" s="42"/>
      <c r="U922" s="42"/>
      <c r="V922" s="416"/>
      <c r="W922" s="42"/>
      <c r="X922" s="74"/>
      <c r="Y922" s="74"/>
      <c r="Z922" s="74"/>
      <c r="AA922" s="74"/>
      <c r="AB922" s="74"/>
      <c r="AC922" s="42"/>
      <c r="AD922" s="42"/>
      <c r="AE922" s="42"/>
      <c r="AF922" s="42"/>
      <c r="AG922" s="42"/>
      <c r="AH922" s="42"/>
      <c r="AI922" s="75"/>
      <c r="AJ922" s="75"/>
      <c r="AK922" s="75"/>
      <c r="AL922" s="75"/>
      <c r="AM922" s="74"/>
      <c r="AN922" s="72" t="e">
        <f>VLOOKUP(H922,[4]Planilha1!A$13:P$314,16,0)</f>
        <v>#N/A</v>
      </c>
    </row>
    <row r="923" spans="1:40" s="69" customFormat="1" x14ac:dyDescent="0.25">
      <c r="A923" s="88"/>
      <c r="B923" s="88"/>
      <c r="C923" s="70"/>
      <c r="D923" s="70"/>
      <c r="E923" s="70"/>
      <c r="F923" s="70"/>
      <c r="G923" s="70"/>
      <c r="H923" s="422"/>
      <c r="I923" s="422"/>
      <c r="J923" s="418"/>
      <c r="K923" s="403"/>
      <c r="L923" s="73"/>
      <c r="M923" s="72"/>
      <c r="N923" s="72"/>
      <c r="O923" s="72"/>
      <c r="P923" s="42"/>
      <c r="Q923" s="42"/>
      <c r="R923" s="42"/>
      <c r="S923" s="42"/>
      <c r="T923" s="42"/>
      <c r="U923" s="42"/>
      <c r="V923" s="416"/>
      <c r="W923" s="42"/>
      <c r="X923" s="74"/>
      <c r="Y923" s="74"/>
      <c r="Z923" s="74"/>
      <c r="AA923" s="74"/>
      <c r="AB923" s="74"/>
      <c r="AC923" s="42"/>
      <c r="AD923" s="42"/>
      <c r="AE923" s="42"/>
      <c r="AF923" s="42"/>
      <c r="AG923" s="42"/>
      <c r="AH923" s="42"/>
      <c r="AI923" s="75"/>
      <c r="AJ923" s="75"/>
      <c r="AK923" s="75"/>
      <c r="AL923" s="75"/>
      <c r="AM923" s="74"/>
      <c r="AN923" s="72" t="e">
        <f>VLOOKUP(H923,[4]Planilha1!A$13:P$314,16,0)</f>
        <v>#N/A</v>
      </c>
    </row>
    <row r="924" spans="1:40" s="69" customFormat="1" x14ac:dyDescent="0.25">
      <c r="A924" s="88"/>
      <c r="B924" s="88"/>
      <c r="C924" s="70"/>
      <c r="D924" s="70"/>
      <c r="E924" s="70"/>
      <c r="F924" s="70"/>
      <c r="G924" s="70"/>
      <c r="H924" s="422"/>
      <c r="I924" s="422"/>
      <c r="J924" s="418"/>
      <c r="K924" s="403"/>
      <c r="L924" s="73"/>
      <c r="M924" s="72"/>
      <c r="N924" s="72"/>
      <c r="O924" s="72"/>
      <c r="P924" s="42"/>
      <c r="Q924" s="42"/>
      <c r="R924" s="42"/>
      <c r="S924" s="42"/>
      <c r="T924" s="42"/>
      <c r="U924" s="42"/>
      <c r="V924" s="416"/>
      <c r="W924" s="42"/>
      <c r="X924" s="74"/>
      <c r="Y924" s="74"/>
      <c r="Z924" s="74"/>
      <c r="AA924" s="74"/>
      <c r="AB924" s="74"/>
      <c r="AC924" s="42"/>
      <c r="AD924" s="42"/>
      <c r="AE924" s="42"/>
      <c r="AF924" s="42"/>
      <c r="AG924" s="42"/>
      <c r="AH924" s="42"/>
      <c r="AI924" s="75"/>
      <c r="AJ924" s="75"/>
      <c r="AK924" s="75"/>
      <c r="AL924" s="75"/>
      <c r="AM924" s="74"/>
      <c r="AN924" s="72" t="e">
        <f>VLOOKUP(H924,[4]Planilha1!A$13:P$314,16,0)</f>
        <v>#N/A</v>
      </c>
    </row>
    <row r="925" spans="1:40" s="69" customFormat="1" x14ac:dyDescent="0.25">
      <c r="A925" s="88"/>
      <c r="B925" s="88"/>
      <c r="C925" s="70"/>
      <c r="D925" s="70"/>
      <c r="E925" s="70"/>
      <c r="F925" s="70"/>
      <c r="G925" s="70"/>
      <c r="H925" s="422"/>
      <c r="I925" s="422"/>
      <c r="J925" s="418"/>
      <c r="K925" s="403"/>
      <c r="L925" s="73"/>
      <c r="M925" s="72"/>
      <c r="N925" s="72"/>
      <c r="O925" s="72"/>
      <c r="P925" s="42"/>
      <c r="Q925" s="42"/>
      <c r="R925" s="42"/>
      <c r="S925" s="42"/>
      <c r="T925" s="42"/>
      <c r="U925" s="42"/>
      <c r="V925" s="416"/>
      <c r="W925" s="42"/>
      <c r="X925" s="74"/>
      <c r="Y925" s="74"/>
      <c r="Z925" s="74"/>
      <c r="AA925" s="74"/>
      <c r="AB925" s="74"/>
      <c r="AC925" s="42"/>
      <c r="AD925" s="42"/>
      <c r="AE925" s="42"/>
      <c r="AF925" s="42"/>
      <c r="AG925" s="42"/>
      <c r="AH925" s="42"/>
      <c r="AI925" s="75"/>
      <c r="AJ925" s="75"/>
      <c r="AK925" s="75"/>
      <c r="AL925" s="75"/>
      <c r="AM925" s="74"/>
      <c r="AN925" s="72" t="e">
        <f>VLOOKUP(H925,[4]Planilha1!A$13:P$314,16,0)</f>
        <v>#N/A</v>
      </c>
    </row>
    <row r="926" spans="1:40" s="69" customFormat="1" x14ac:dyDescent="0.25">
      <c r="A926" s="88"/>
      <c r="B926" s="88"/>
      <c r="C926" s="70"/>
      <c r="D926" s="70"/>
      <c r="E926" s="70"/>
      <c r="F926" s="70"/>
      <c r="G926" s="70"/>
      <c r="H926" s="422"/>
      <c r="I926" s="422"/>
      <c r="J926" s="418"/>
      <c r="K926" s="403"/>
      <c r="L926" s="73"/>
      <c r="M926" s="72"/>
      <c r="N926" s="72"/>
      <c r="O926" s="72"/>
      <c r="P926" s="42"/>
      <c r="Q926" s="42"/>
      <c r="R926" s="42"/>
      <c r="S926" s="42"/>
      <c r="T926" s="42"/>
      <c r="U926" s="42"/>
      <c r="V926" s="416"/>
      <c r="W926" s="42"/>
      <c r="X926" s="74"/>
      <c r="Y926" s="74"/>
      <c r="Z926" s="74"/>
      <c r="AA926" s="74"/>
      <c r="AB926" s="74"/>
      <c r="AC926" s="42"/>
      <c r="AD926" s="42"/>
      <c r="AE926" s="42"/>
      <c r="AF926" s="42"/>
      <c r="AG926" s="42"/>
      <c r="AH926" s="42"/>
      <c r="AI926" s="75"/>
      <c r="AJ926" s="75"/>
      <c r="AK926" s="75"/>
      <c r="AL926" s="75"/>
      <c r="AM926" s="74"/>
      <c r="AN926" s="72" t="e">
        <f>VLOOKUP(H926,[4]Planilha1!A$13:P$314,16,0)</f>
        <v>#N/A</v>
      </c>
    </row>
    <row r="927" spans="1:40" s="69" customFormat="1" x14ac:dyDescent="0.25">
      <c r="A927" s="88"/>
      <c r="B927" s="88"/>
      <c r="C927" s="70"/>
      <c r="D927" s="70"/>
      <c r="E927" s="70"/>
      <c r="F927" s="70"/>
      <c r="G927" s="70"/>
      <c r="H927" s="422"/>
      <c r="I927" s="422"/>
      <c r="J927" s="418"/>
      <c r="K927" s="403"/>
      <c r="L927" s="73"/>
      <c r="M927" s="72"/>
      <c r="N927" s="72"/>
      <c r="O927" s="72"/>
      <c r="P927" s="42"/>
      <c r="Q927" s="42"/>
      <c r="R927" s="42"/>
      <c r="S927" s="42"/>
      <c r="T927" s="42"/>
      <c r="U927" s="42"/>
      <c r="V927" s="416"/>
      <c r="W927" s="42"/>
      <c r="X927" s="74"/>
      <c r="Y927" s="74"/>
      <c r="Z927" s="74"/>
      <c r="AA927" s="74"/>
      <c r="AB927" s="74"/>
      <c r="AC927" s="42"/>
      <c r="AD927" s="42"/>
      <c r="AE927" s="42"/>
      <c r="AF927" s="42"/>
      <c r="AG927" s="42"/>
      <c r="AH927" s="42"/>
      <c r="AI927" s="75"/>
      <c r="AJ927" s="75"/>
      <c r="AK927" s="75"/>
      <c r="AL927" s="75"/>
      <c r="AM927" s="74"/>
      <c r="AN927" s="72" t="e">
        <f>VLOOKUP(H927,[4]Planilha1!A$13:P$314,16,0)</f>
        <v>#N/A</v>
      </c>
    </row>
    <row r="928" spans="1:40" s="69" customFormat="1" x14ac:dyDescent="0.25">
      <c r="A928" s="88"/>
      <c r="B928" s="88"/>
      <c r="C928" s="70"/>
      <c r="D928" s="70"/>
      <c r="E928" s="70"/>
      <c r="F928" s="70"/>
      <c r="G928" s="70"/>
      <c r="H928" s="422"/>
      <c r="I928" s="422"/>
      <c r="J928" s="418"/>
      <c r="K928" s="403"/>
      <c r="L928" s="73"/>
      <c r="M928" s="72"/>
      <c r="N928" s="72"/>
      <c r="O928" s="72"/>
      <c r="P928" s="42"/>
      <c r="Q928" s="42"/>
      <c r="R928" s="42"/>
      <c r="S928" s="42"/>
      <c r="T928" s="42"/>
      <c r="U928" s="42"/>
      <c r="V928" s="416"/>
      <c r="W928" s="42"/>
      <c r="X928" s="74"/>
      <c r="Y928" s="74"/>
      <c r="Z928" s="74"/>
      <c r="AA928" s="74"/>
      <c r="AB928" s="74"/>
      <c r="AC928" s="42"/>
      <c r="AD928" s="42"/>
      <c r="AE928" s="42"/>
      <c r="AF928" s="42"/>
      <c r="AG928" s="42"/>
      <c r="AH928" s="42"/>
      <c r="AI928" s="75"/>
      <c r="AJ928" s="75"/>
      <c r="AK928" s="75"/>
      <c r="AL928" s="75"/>
      <c r="AM928" s="74"/>
      <c r="AN928" s="72" t="e">
        <f>VLOOKUP(H928,[4]Planilha1!A$13:P$314,16,0)</f>
        <v>#N/A</v>
      </c>
    </row>
    <row r="929" spans="1:40" s="69" customFormat="1" x14ac:dyDescent="0.25">
      <c r="A929" s="88"/>
      <c r="B929" s="88"/>
      <c r="C929" s="70"/>
      <c r="D929" s="70"/>
      <c r="E929" s="70"/>
      <c r="F929" s="70"/>
      <c r="G929" s="70"/>
      <c r="H929" s="422"/>
      <c r="I929" s="422"/>
      <c r="J929" s="418"/>
      <c r="K929" s="403"/>
      <c r="L929" s="73"/>
      <c r="M929" s="72"/>
      <c r="N929" s="72"/>
      <c r="O929" s="72"/>
      <c r="P929" s="42"/>
      <c r="Q929" s="42"/>
      <c r="R929" s="42"/>
      <c r="S929" s="42"/>
      <c r="T929" s="42"/>
      <c r="U929" s="42"/>
      <c r="V929" s="416"/>
      <c r="W929" s="42"/>
      <c r="X929" s="74"/>
      <c r="Y929" s="74"/>
      <c r="Z929" s="74"/>
      <c r="AA929" s="74"/>
      <c r="AB929" s="74"/>
      <c r="AC929" s="42"/>
      <c r="AD929" s="42"/>
      <c r="AE929" s="42"/>
      <c r="AF929" s="42"/>
      <c r="AG929" s="42"/>
      <c r="AH929" s="42"/>
      <c r="AI929" s="75"/>
      <c r="AJ929" s="75"/>
      <c r="AK929" s="75"/>
      <c r="AL929" s="75"/>
      <c r="AM929" s="74"/>
      <c r="AN929" s="72" t="e">
        <f>VLOOKUP(H929,[4]Planilha1!A$13:P$314,16,0)</f>
        <v>#N/A</v>
      </c>
    </row>
    <row r="930" spans="1:40" s="69" customFormat="1" x14ac:dyDescent="0.25">
      <c r="A930" s="88"/>
      <c r="B930" s="88"/>
      <c r="C930" s="70"/>
      <c r="D930" s="70"/>
      <c r="E930" s="70"/>
      <c r="F930" s="70"/>
      <c r="G930" s="70"/>
      <c r="H930" s="422"/>
      <c r="I930" s="422"/>
      <c r="J930" s="418"/>
      <c r="K930" s="403"/>
      <c r="L930" s="73"/>
      <c r="M930" s="72"/>
      <c r="N930" s="72"/>
      <c r="O930" s="72"/>
      <c r="P930" s="42"/>
      <c r="Q930" s="42"/>
      <c r="R930" s="42"/>
      <c r="S930" s="42"/>
      <c r="T930" s="42"/>
      <c r="U930" s="42"/>
      <c r="V930" s="416"/>
      <c r="W930" s="42"/>
      <c r="X930" s="74"/>
      <c r="Y930" s="74"/>
      <c r="Z930" s="74"/>
      <c r="AA930" s="74"/>
      <c r="AB930" s="74"/>
      <c r="AC930" s="42"/>
      <c r="AD930" s="42"/>
      <c r="AE930" s="42"/>
      <c r="AF930" s="42"/>
      <c r="AG930" s="42"/>
      <c r="AH930" s="42"/>
      <c r="AI930" s="75"/>
      <c r="AJ930" s="75"/>
      <c r="AK930" s="75"/>
      <c r="AL930" s="75"/>
      <c r="AM930" s="74"/>
      <c r="AN930" s="72" t="e">
        <f>VLOOKUP(H930,[4]Planilha1!A$13:P$314,16,0)</f>
        <v>#N/A</v>
      </c>
    </row>
    <row r="931" spans="1:40" s="69" customFormat="1" x14ac:dyDescent="0.25">
      <c r="A931" s="88"/>
      <c r="B931" s="88"/>
      <c r="C931" s="70"/>
      <c r="D931" s="70"/>
      <c r="E931" s="70"/>
      <c r="F931" s="70"/>
      <c r="G931" s="70"/>
      <c r="H931" s="422"/>
      <c r="I931" s="422"/>
      <c r="J931" s="418"/>
      <c r="K931" s="403"/>
      <c r="L931" s="73"/>
      <c r="M931" s="72"/>
      <c r="N931" s="72"/>
      <c r="O931" s="72"/>
      <c r="P931" s="42"/>
      <c r="Q931" s="42"/>
      <c r="R931" s="42"/>
      <c r="S931" s="42"/>
      <c r="T931" s="42"/>
      <c r="U931" s="42"/>
      <c r="V931" s="416"/>
      <c r="W931" s="42"/>
      <c r="X931" s="74"/>
      <c r="Y931" s="74"/>
      <c r="Z931" s="74"/>
      <c r="AA931" s="74"/>
      <c r="AB931" s="74"/>
      <c r="AC931" s="42"/>
      <c r="AD931" s="42"/>
      <c r="AE931" s="42"/>
      <c r="AF931" s="42"/>
      <c r="AG931" s="42"/>
      <c r="AH931" s="42"/>
      <c r="AI931" s="75"/>
      <c r="AJ931" s="75"/>
      <c r="AK931" s="75"/>
      <c r="AL931" s="75"/>
      <c r="AM931" s="74"/>
      <c r="AN931" s="72" t="e">
        <f>VLOOKUP(H931,[4]Planilha1!A$13:P$314,16,0)</f>
        <v>#N/A</v>
      </c>
    </row>
    <row r="932" spans="1:40" s="69" customFormat="1" x14ac:dyDescent="0.25">
      <c r="A932" s="88"/>
      <c r="B932" s="88"/>
      <c r="C932" s="70"/>
      <c r="D932" s="70"/>
      <c r="E932" s="70"/>
      <c r="F932" s="70"/>
      <c r="G932" s="70"/>
      <c r="H932" s="422"/>
      <c r="I932" s="422"/>
      <c r="J932" s="418"/>
      <c r="K932" s="403"/>
      <c r="L932" s="73"/>
      <c r="M932" s="72"/>
      <c r="N932" s="72"/>
      <c r="O932" s="72"/>
      <c r="P932" s="42"/>
      <c r="Q932" s="42"/>
      <c r="R932" s="42"/>
      <c r="S932" s="42"/>
      <c r="T932" s="42"/>
      <c r="U932" s="42"/>
      <c r="V932" s="416"/>
      <c r="W932" s="42"/>
      <c r="X932" s="74"/>
      <c r="Y932" s="74"/>
      <c r="Z932" s="74"/>
      <c r="AA932" s="74"/>
      <c r="AB932" s="74"/>
      <c r="AC932" s="42"/>
      <c r="AD932" s="42"/>
      <c r="AE932" s="42"/>
      <c r="AF932" s="42"/>
      <c r="AG932" s="42"/>
      <c r="AH932" s="42"/>
      <c r="AI932" s="75"/>
      <c r="AJ932" s="75"/>
      <c r="AK932" s="75"/>
      <c r="AL932" s="75"/>
      <c r="AM932" s="74"/>
      <c r="AN932" s="72" t="e">
        <f>VLOOKUP(H932,[4]Planilha1!A$13:P$314,16,0)</f>
        <v>#N/A</v>
      </c>
    </row>
    <row r="933" spans="1:40" s="69" customFormat="1" x14ac:dyDescent="0.25">
      <c r="A933" s="88"/>
      <c r="B933" s="88"/>
      <c r="C933" s="70"/>
      <c r="D933" s="70"/>
      <c r="E933" s="70"/>
      <c r="F933" s="70"/>
      <c r="G933" s="70"/>
      <c r="H933" s="422"/>
      <c r="I933" s="422"/>
      <c r="J933" s="418"/>
      <c r="K933" s="403"/>
      <c r="L933" s="73"/>
      <c r="M933" s="72"/>
      <c r="N933" s="72"/>
      <c r="O933" s="72"/>
      <c r="P933" s="42"/>
      <c r="Q933" s="42"/>
      <c r="R933" s="42"/>
      <c r="S933" s="42"/>
      <c r="T933" s="42"/>
      <c r="U933" s="42"/>
      <c r="V933" s="416"/>
      <c r="W933" s="42"/>
      <c r="X933" s="74"/>
      <c r="Y933" s="74"/>
      <c r="Z933" s="74"/>
      <c r="AA933" s="74"/>
      <c r="AB933" s="74"/>
      <c r="AC933" s="42"/>
      <c r="AD933" s="42"/>
      <c r="AE933" s="42"/>
      <c r="AF933" s="42"/>
      <c r="AG933" s="42"/>
      <c r="AH933" s="42"/>
      <c r="AI933" s="75"/>
      <c r="AJ933" s="75"/>
      <c r="AK933" s="75"/>
      <c r="AL933" s="75"/>
      <c r="AM933" s="74"/>
      <c r="AN933" s="72" t="e">
        <f>VLOOKUP(H933,[4]Planilha1!A$13:P$314,16,0)</f>
        <v>#N/A</v>
      </c>
    </row>
    <row r="934" spans="1:40" s="69" customFormat="1" x14ac:dyDescent="0.25">
      <c r="A934" s="88"/>
      <c r="B934" s="88"/>
      <c r="C934" s="70"/>
      <c r="D934" s="70"/>
      <c r="E934" s="70"/>
      <c r="F934" s="70"/>
      <c r="G934" s="70"/>
      <c r="H934" s="422"/>
      <c r="I934" s="422"/>
      <c r="J934" s="418"/>
      <c r="K934" s="403"/>
      <c r="L934" s="73"/>
      <c r="M934" s="72"/>
      <c r="N934" s="72"/>
      <c r="O934" s="72"/>
      <c r="P934" s="42"/>
      <c r="Q934" s="42"/>
      <c r="R934" s="42"/>
      <c r="S934" s="42"/>
      <c r="T934" s="42"/>
      <c r="U934" s="42"/>
      <c r="V934" s="416"/>
      <c r="W934" s="42"/>
      <c r="X934" s="74"/>
      <c r="Y934" s="74"/>
      <c r="Z934" s="74"/>
      <c r="AA934" s="74"/>
      <c r="AB934" s="74"/>
      <c r="AC934" s="42"/>
      <c r="AD934" s="42"/>
      <c r="AE934" s="42"/>
      <c r="AF934" s="42"/>
      <c r="AG934" s="42"/>
      <c r="AH934" s="42"/>
      <c r="AI934" s="75"/>
      <c r="AJ934" s="75"/>
      <c r="AK934" s="75"/>
      <c r="AL934" s="75"/>
      <c r="AM934" s="74"/>
      <c r="AN934" s="72" t="e">
        <f>VLOOKUP(H934,[4]Planilha1!A$13:P$314,16,0)</f>
        <v>#N/A</v>
      </c>
    </row>
    <row r="935" spans="1:40" s="69" customFormat="1" x14ac:dyDescent="0.25">
      <c r="A935" s="88"/>
      <c r="B935" s="88"/>
      <c r="C935" s="70"/>
      <c r="D935" s="70"/>
      <c r="E935" s="70"/>
      <c r="F935" s="70"/>
      <c r="G935" s="70"/>
      <c r="H935" s="422"/>
      <c r="I935" s="422"/>
      <c r="J935" s="418"/>
      <c r="K935" s="403"/>
      <c r="L935" s="73"/>
      <c r="M935" s="72"/>
      <c r="N935" s="72"/>
      <c r="O935" s="72"/>
      <c r="P935" s="42"/>
      <c r="Q935" s="42"/>
      <c r="R935" s="42"/>
      <c r="S935" s="42"/>
      <c r="T935" s="42"/>
      <c r="U935" s="42"/>
      <c r="V935" s="416"/>
      <c r="W935" s="42"/>
      <c r="X935" s="74"/>
      <c r="Y935" s="74"/>
      <c r="Z935" s="74"/>
      <c r="AA935" s="74"/>
      <c r="AB935" s="74"/>
      <c r="AC935" s="42"/>
      <c r="AD935" s="42"/>
      <c r="AE935" s="42"/>
      <c r="AF935" s="42"/>
      <c r="AG935" s="42"/>
      <c r="AH935" s="42"/>
      <c r="AI935" s="75"/>
      <c r="AJ935" s="75"/>
      <c r="AK935" s="75"/>
      <c r="AL935" s="75"/>
      <c r="AM935" s="74"/>
      <c r="AN935" s="72" t="e">
        <f>VLOOKUP(H935,[4]Planilha1!A$13:P$314,16,0)</f>
        <v>#N/A</v>
      </c>
    </row>
    <row r="936" spans="1:40" s="69" customFormat="1" x14ac:dyDescent="0.25">
      <c r="A936" s="88"/>
      <c r="B936" s="88"/>
      <c r="C936" s="70"/>
      <c r="D936" s="70"/>
      <c r="E936" s="70"/>
      <c r="F936" s="70"/>
      <c r="G936" s="70"/>
      <c r="H936" s="422"/>
      <c r="I936" s="422"/>
      <c r="J936" s="418"/>
      <c r="K936" s="403"/>
      <c r="L936" s="73"/>
      <c r="M936" s="72"/>
      <c r="N936" s="72"/>
      <c r="O936" s="72"/>
      <c r="P936" s="42"/>
      <c r="Q936" s="42"/>
      <c r="R936" s="42"/>
      <c r="S936" s="42"/>
      <c r="T936" s="42"/>
      <c r="U936" s="42"/>
      <c r="V936" s="416"/>
      <c r="W936" s="42"/>
      <c r="X936" s="74"/>
      <c r="Y936" s="74"/>
      <c r="Z936" s="74"/>
      <c r="AA936" s="74"/>
      <c r="AB936" s="74"/>
      <c r="AC936" s="42"/>
      <c r="AD936" s="42"/>
      <c r="AE936" s="42"/>
      <c r="AF936" s="42"/>
      <c r="AG936" s="42"/>
      <c r="AH936" s="42"/>
      <c r="AI936" s="75"/>
      <c r="AJ936" s="75"/>
      <c r="AK936" s="75"/>
      <c r="AL936" s="75"/>
      <c r="AM936" s="74"/>
      <c r="AN936" s="72" t="e">
        <f>VLOOKUP(H936,[4]Planilha1!A$13:P$314,16,0)</f>
        <v>#N/A</v>
      </c>
    </row>
    <row r="937" spans="1:40" s="69" customFormat="1" x14ac:dyDescent="0.25">
      <c r="A937" s="88"/>
      <c r="B937" s="88"/>
      <c r="C937" s="70"/>
      <c r="D937" s="70"/>
      <c r="E937" s="70"/>
      <c r="F937" s="70"/>
      <c r="G937" s="70"/>
      <c r="H937" s="422"/>
      <c r="I937" s="422"/>
      <c r="J937" s="418"/>
      <c r="K937" s="403"/>
      <c r="L937" s="73"/>
      <c r="M937" s="72"/>
      <c r="N937" s="72"/>
      <c r="O937" s="72"/>
      <c r="P937" s="42"/>
      <c r="Q937" s="42"/>
      <c r="R937" s="42"/>
      <c r="S937" s="42"/>
      <c r="T937" s="42"/>
      <c r="U937" s="42"/>
      <c r="V937" s="416"/>
      <c r="W937" s="42"/>
      <c r="X937" s="74"/>
      <c r="Y937" s="74"/>
      <c r="Z937" s="74"/>
      <c r="AA937" s="74"/>
      <c r="AB937" s="74"/>
      <c r="AC937" s="42"/>
      <c r="AD937" s="42"/>
      <c r="AE937" s="42"/>
      <c r="AF937" s="42"/>
      <c r="AG937" s="42"/>
      <c r="AH937" s="42"/>
      <c r="AI937" s="75"/>
      <c r="AJ937" s="75"/>
      <c r="AK937" s="75"/>
      <c r="AL937" s="75"/>
      <c r="AM937" s="74"/>
      <c r="AN937" s="72" t="e">
        <f>VLOOKUP(H937,[4]Planilha1!A$13:P$314,16,0)</f>
        <v>#N/A</v>
      </c>
    </row>
    <row r="938" spans="1:40" s="69" customFormat="1" x14ac:dyDescent="0.25">
      <c r="A938" s="88"/>
      <c r="B938" s="88"/>
      <c r="C938" s="70"/>
      <c r="D938" s="70"/>
      <c r="E938" s="70"/>
      <c r="F938" s="70"/>
      <c r="G938" s="70"/>
      <c r="H938" s="422"/>
      <c r="I938" s="422"/>
      <c r="J938" s="418"/>
      <c r="K938" s="403"/>
      <c r="L938" s="73"/>
      <c r="M938" s="72"/>
      <c r="N938" s="72"/>
      <c r="O938" s="72"/>
      <c r="P938" s="42"/>
      <c r="Q938" s="42"/>
      <c r="R938" s="42"/>
      <c r="S938" s="42"/>
      <c r="T938" s="42"/>
      <c r="U938" s="42"/>
      <c r="V938" s="416"/>
      <c r="W938" s="42"/>
      <c r="X938" s="74"/>
      <c r="Y938" s="74"/>
      <c r="Z938" s="74"/>
      <c r="AA938" s="74"/>
      <c r="AB938" s="74"/>
      <c r="AC938" s="42"/>
      <c r="AD938" s="42"/>
      <c r="AE938" s="42"/>
      <c r="AF938" s="42"/>
      <c r="AG938" s="42"/>
      <c r="AH938" s="42"/>
      <c r="AI938" s="75"/>
      <c r="AJ938" s="75"/>
      <c r="AK938" s="75"/>
      <c r="AL938" s="75"/>
      <c r="AM938" s="74"/>
      <c r="AN938" s="72" t="e">
        <f>VLOOKUP(H938,[4]Planilha1!A$13:P$314,16,0)</f>
        <v>#N/A</v>
      </c>
    </row>
    <row r="939" spans="1:40" s="69" customFormat="1" x14ac:dyDescent="0.25">
      <c r="A939" s="88"/>
      <c r="B939" s="88"/>
      <c r="C939" s="70"/>
      <c r="D939" s="70"/>
      <c r="E939" s="70"/>
      <c r="F939" s="70"/>
      <c r="G939" s="70"/>
      <c r="H939" s="422"/>
      <c r="I939" s="422"/>
      <c r="J939" s="418"/>
      <c r="K939" s="403"/>
      <c r="L939" s="73"/>
      <c r="M939" s="72"/>
      <c r="N939" s="72"/>
      <c r="O939" s="72"/>
      <c r="P939" s="42"/>
      <c r="Q939" s="42"/>
      <c r="R939" s="42"/>
      <c r="S939" s="42"/>
      <c r="T939" s="42"/>
      <c r="U939" s="42"/>
      <c r="V939" s="416"/>
      <c r="W939" s="42"/>
      <c r="X939" s="74"/>
      <c r="Y939" s="74"/>
      <c r="Z939" s="74"/>
      <c r="AA939" s="74"/>
      <c r="AB939" s="74"/>
      <c r="AC939" s="42"/>
      <c r="AD939" s="42"/>
      <c r="AE939" s="42"/>
      <c r="AF939" s="42"/>
      <c r="AG939" s="42"/>
      <c r="AH939" s="42"/>
      <c r="AI939" s="75"/>
      <c r="AJ939" s="75"/>
      <c r="AK939" s="75"/>
      <c r="AL939" s="75"/>
      <c r="AM939" s="74"/>
      <c r="AN939" s="72" t="e">
        <f>VLOOKUP(H939,[4]Planilha1!A$13:P$314,16,0)</f>
        <v>#N/A</v>
      </c>
    </row>
    <row r="940" spans="1:40" s="69" customFormat="1" x14ac:dyDescent="0.25">
      <c r="A940" s="88"/>
      <c r="B940" s="88"/>
      <c r="C940" s="70"/>
      <c r="D940" s="70"/>
      <c r="E940" s="70"/>
      <c r="F940" s="70"/>
      <c r="G940" s="70"/>
      <c r="H940" s="422"/>
      <c r="I940" s="422"/>
      <c r="J940" s="418"/>
      <c r="K940" s="403"/>
      <c r="L940" s="73"/>
      <c r="M940" s="72"/>
      <c r="N940" s="72"/>
      <c r="O940" s="72"/>
      <c r="P940" s="42"/>
      <c r="Q940" s="42"/>
      <c r="R940" s="42"/>
      <c r="S940" s="42"/>
      <c r="T940" s="42"/>
      <c r="U940" s="42"/>
      <c r="V940" s="416"/>
      <c r="W940" s="42"/>
      <c r="X940" s="74"/>
      <c r="Y940" s="74"/>
      <c r="Z940" s="74"/>
      <c r="AA940" s="74"/>
      <c r="AB940" s="74"/>
      <c r="AC940" s="42"/>
      <c r="AD940" s="42"/>
      <c r="AE940" s="42"/>
      <c r="AF940" s="42"/>
      <c r="AG940" s="42"/>
      <c r="AH940" s="42"/>
      <c r="AI940" s="75"/>
      <c r="AJ940" s="75"/>
      <c r="AK940" s="75"/>
      <c r="AL940" s="75"/>
      <c r="AM940" s="74"/>
      <c r="AN940" s="72" t="e">
        <f>VLOOKUP(H940,[4]Planilha1!A$13:P$314,16,0)</f>
        <v>#N/A</v>
      </c>
    </row>
    <row r="941" spans="1:40" s="69" customFormat="1" x14ac:dyDescent="0.25">
      <c r="A941" s="88"/>
      <c r="B941" s="88"/>
      <c r="C941" s="70"/>
      <c r="D941" s="70"/>
      <c r="E941" s="70"/>
      <c r="F941" s="70"/>
      <c r="G941" s="70"/>
      <c r="H941" s="422"/>
      <c r="I941" s="422"/>
      <c r="J941" s="418"/>
      <c r="K941" s="403"/>
      <c r="L941" s="73"/>
      <c r="M941" s="72"/>
      <c r="N941" s="72"/>
      <c r="O941" s="72"/>
      <c r="P941" s="42"/>
      <c r="Q941" s="42"/>
      <c r="R941" s="42"/>
      <c r="S941" s="42"/>
      <c r="T941" s="42"/>
      <c r="U941" s="42"/>
      <c r="V941" s="416"/>
      <c r="W941" s="42"/>
      <c r="X941" s="74"/>
      <c r="Y941" s="74"/>
      <c r="Z941" s="74"/>
      <c r="AA941" s="74"/>
      <c r="AB941" s="74"/>
      <c r="AC941" s="42"/>
      <c r="AD941" s="42"/>
      <c r="AE941" s="42"/>
      <c r="AF941" s="42"/>
      <c r="AG941" s="42"/>
      <c r="AH941" s="42"/>
      <c r="AI941" s="75"/>
      <c r="AJ941" s="75"/>
      <c r="AK941" s="75"/>
      <c r="AL941" s="75"/>
      <c r="AM941" s="74"/>
      <c r="AN941" s="72" t="e">
        <f>VLOOKUP(H941,[4]Planilha1!A$13:P$314,16,0)</f>
        <v>#N/A</v>
      </c>
    </row>
    <row r="942" spans="1:40" s="69" customFormat="1" x14ac:dyDescent="0.25">
      <c r="A942" s="88"/>
      <c r="B942" s="88"/>
      <c r="C942" s="70"/>
      <c r="D942" s="70"/>
      <c r="E942" s="70"/>
      <c r="F942" s="70"/>
      <c r="G942" s="70"/>
      <c r="H942" s="422"/>
      <c r="I942" s="422"/>
      <c r="J942" s="418"/>
      <c r="K942" s="403"/>
      <c r="L942" s="73"/>
      <c r="M942" s="72"/>
      <c r="N942" s="72"/>
      <c r="O942" s="72"/>
      <c r="P942" s="42"/>
      <c r="Q942" s="42"/>
      <c r="R942" s="42"/>
      <c r="S942" s="42"/>
      <c r="T942" s="42"/>
      <c r="U942" s="42"/>
      <c r="V942" s="416"/>
      <c r="W942" s="42"/>
      <c r="X942" s="74"/>
      <c r="Y942" s="74"/>
      <c r="Z942" s="74"/>
      <c r="AA942" s="74"/>
      <c r="AB942" s="74"/>
      <c r="AC942" s="42"/>
      <c r="AD942" s="42"/>
      <c r="AE942" s="42"/>
      <c r="AF942" s="42"/>
      <c r="AG942" s="42"/>
      <c r="AH942" s="42"/>
      <c r="AI942" s="75"/>
      <c r="AJ942" s="75"/>
      <c r="AK942" s="75"/>
      <c r="AL942" s="75"/>
      <c r="AM942" s="74"/>
      <c r="AN942" s="72" t="e">
        <f>VLOOKUP(H942,[4]Planilha1!A$13:P$314,16,0)</f>
        <v>#N/A</v>
      </c>
    </row>
    <row r="943" spans="1:40" s="69" customFormat="1" x14ac:dyDescent="0.25">
      <c r="A943" s="88"/>
      <c r="B943" s="88"/>
      <c r="C943" s="70"/>
      <c r="D943" s="70"/>
      <c r="E943" s="70"/>
      <c r="F943" s="70"/>
      <c r="G943" s="70"/>
      <c r="H943" s="422"/>
      <c r="I943" s="422"/>
      <c r="J943" s="418"/>
      <c r="K943" s="403"/>
      <c r="L943" s="73"/>
      <c r="M943" s="72"/>
      <c r="N943" s="72"/>
      <c r="O943" s="72"/>
      <c r="P943" s="42"/>
      <c r="Q943" s="42"/>
      <c r="R943" s="42"/>
      <c r="S943" s="42"/>
      <c r="T943" s="42"/>
      <c r="U943" s="42"/>
      <c r="V943" s="416"/>
      <c r="W943" s="42"/>
      <c r="X943" s="74"/>
      <c r="Y943" s="74"/>
      <c r="Z943" s="74"/>
      <c r="AA943" s="74"/>
      <c r="AB943" s="74"/>
      <c r="AC943" s="42"/>
      <c r="AD943" s="42"/>
      <c r="AE943" s="42"/>
      <c r="AF943" s="42"/>
      <c r="AG943" s="42"/>
      <c r="AH943" s="42"/>
      <c r="AI943" s="75"/>
      <c r="AJ943" s="75"/>
      <c r="AK943" s="75"/>
      <c r="AL943" s="75"/>
      <c r="AM943" s="74"/>
      <c r="AN943" s="72" t="e">
        <f>VLOOKUP(H943,[4]Planilha1!A$13:P$314,16,0)</f>
        <v>#N/A</v>
      </c>
    </row>
    <row r="944" spans="1:40" s="69" customFormat="1" x14ac:dyDescent="0.25">
      <c r="A944" s="88"/>
      <c r="B944" s="88"/>
      <c r="C944" s="70"/>
      <c r="D944" s="70"/>
      <c r="E944" s="70"/>
      <c r="F944" s="70"/>
      <c r="G944" s="70"/>
      <c r="H944" s="422"/>
      <c r="I944" s="422"/>
      <c r="J944" s="418"/>
      <c r="K944" s="403"/>
      <c r="L944" s="73"/>
      <c r="M944" s="72"/>
      <c r="N944" s="72"/>
      <c r="O944" s="72"/>
      <c r="P944" s="42"/>
      <c r="Q944" s="42"/>
      <c r="R944" s="42"/>
      <c r="S944" s="42"/>
      <c r="T944" s="42"/>
      <c r="U944" s="42"/>
      <c r="V944" s="416"/>
      <c r="W944" s="42"/>
      <c r="X944" s="74"/>
      <c r="Y944" s="74"/>
      <c r="Z944" s="74"/>
      <c r="AA944" s="74"/>
      <c r="AB944" s="74"/>
      <c r="AC944" s="42"/>
      <c r="AD944" s="42"/>
      <c r="AE944" s="42"/>
      <c r="AF944" s="42"/>
      <c r="AG944" s="42"/>
      <c r="AH944" s="42"/>
      <c r="AI944" s="75"/>
      <c r="AJ944" s="75"/>
      <c r="AK944" s="75"/>
      <c r="AL944" s="75"/>
      <c r="AM944" s="74"/>
      <c r="AN944" s="72" t="e">
        <f>VLOOKUP(H944,[4]Planilha1!A$13:P$314,16,0)</f>
        <v>#N/A</v>
      </c>
    </row>
    <row r="945" spans="1:40" s="69" customFormat="1" x14ac:dyDescent="0.25">
      <c r="A945" s="88"/>
      <c r="B945" s="88"/>
      <c r="C945" s="70"/>
      <c r="D945" s="70"/>
      <c r="E945" s="70"/>
      <c r="F945" s="70"/>
      <c r="G945" s="70"/>
      <c r="H945" s="422"/>
      <c r="I945" s="422"/>
      <c r="J945" s="418"/>
      <c r="K945" s="403"/>
      <c r="L945" s="73"/>
      <c r="M945" s="72"/>
      <c r="N945" s="72"/>
      <c r="O945" s="72"/>
      <c r="P945" s="42"/>
      <c r="Q945" s="42"/>
      <c r="R945" s="42"/>
      <c r="S945" s="42"/>
      <c r="T945" s="42"/>
      <c r="U945" s="42"/>
      <c r="V945" s="416"/>
      <c r="W945" s="42"/>
      <c r="X945" s="74"/>
      <c r="Y945" s="74"/>
      <c r="Z945" s="74"/>
      <c r="AA945" s="74"/>
      <c r="AB945" s="74"/>
      <c r="AC945" s="42"/>
      <c r="AD945" s="42"/>
      <c r="AE945" s="42"/>
      <c r="AF945" s="42"/>
      <c r="AG945" s="42"/>
      <c r="AH945" s="42"/>
      <c r="AI945" s="75"/>
      <c r="AJ945" s="75"/>
      <c r="AK945" s="75"/>
      <c r="AL945" s="75"/>
      <c r="AM945" s="74"/>
      <c r="AN945" s="72" t="e">
        <f>VLOOKUP(H945,[4]Planilha1!A$13:P$314,16,0)</f>
        <v>#N/A</v>
      </c>
    </row>
    <row r="946" spans="1:40" s="69" customFormat="1" x14ac:dyDescent="0.25">
      <c r="A946" s="88"/>
      <c r="B946" s="88"/>
      <c r="C946" s="70"/>
      <c r="D946" s="70"/>
      <c r="E946" s="70"/>
      <c r="F946" s="70"/>
      <c r="G946" s="70"/>
      <c r="H946" s="422"/>
      <c r="I946" s="422"/>
      <c r="J946" s="418"/>
      <c r="K946" s="403"/>
      <c r="L946" s="73"/>
      <c r="M946" s="72"/>
      <c r="N946" s="72"/>
      <c r="O946" s="72"/>
      <c r="P946" s="42"/>
      <c r="Q946" s="42"/>
      <c r="R946" s="42"/>
      <c r="S946" s="42"/>
      <c r="T946" s="42"/>
      <c r="U946" s="42"/>
      <c r="V946" s="416"/>
      <c r="W946" s="42"/>
      <c r="X946" s="74"/>
      <c r="Y946" s="74"/>
      <c r="Z946" s="74"/>
      <c r="AA946" s="74"/>
      <c r="AB946" s="74"/>
      <c r="AC946" s="42"/>
      <c r="AD946" s="42"/>
      <c r="AE946" s="42"/>
      <c r="AF946" s="42"/>
      <c r="AG946" s="42"/>
      <c r="AH946" s="42"/>
      <c r="AI946" s="75"/>
      <c r="AJ946" s="75"/>
      <c r="AK946" s="75"/>
      <c r="AL946" s="75"/>
      <c r="AM946" s="74"/>
      <c r="AN946" s="72" t="e">
        <f>VLOOKUP(H946,[4]Planilha1!A$13:P$314,16,0)</f>
        <v>#N/A</v>
      </c>
    </row>
    <row r="947" spans="1:40" s="69" customFormat="1" x14ac:dyDescent="0.25">
      <c r="A947" s="88"/>
      <c r="B947" s="88"/>
      <c r="C947" s="70"/>
      <c r="D947" s="70"/>
      <c r="E947" s="70"/>
      <c r="F947" s="70"/>
      <c r="G947" s="70"/>
      <c r="H947" s="422"/>
      <c r="I947" s="422"/>
      <c r="J947" s="418"/>
      <c r="K947" s="403"/>
      <c r="L947" s="73"/>
      <c r="M947" s="72"/>
      <c r="N947" s="72"/>
      <c r="O947" s="72"/>
      <c r="P947" s="42"/>
      <c r="Q947" s="42"/>
      <c r="R947" s="42"/>
      <c r="S947" s="42"/>
      <c r="T947" s="42"/>
      <c r="U947" s="42"/>
      <c r="V947" s="416"/>
      <c r="W947" s="42"/>
      <c r="X947" s="74"/>
      <c r="Y947" s="74"/>
      <c r="Z947" s="74"/>
      <c r="AA947" s="74"/>
      <c r="AB947" s="74"/>
      <c r="AC947" s="42"/>
      <c r="AD947" s="42"/>
      <c r="AE947" s="42"/>
      <c r="AF947" s="42"/>
      <c r="AG947" s="42"/>
      <c r="AH947" s="42"/>
      <c r="AI947" s="75"/>
      <c r="AJ947" s="75"/>
      <c r="AK947" s="75"/>
      <c r="AL947" s="75"/>
      <c r="AM947" s="74"/>
      <c r="AN947" s="72" t="e">
        <f>VLOOKUP(H947,[4]Planilha1!A$13:P$314,16,0)</f>
        <v>#N/A</v>
      </c>
    </row>
    <row r="948" spans="1:40" s="69" customFormat="1" x14ac:dyDescent="0.25">
      <c r="A948" s="88"/>
      <c r="B948" s="88"/>
      <c r="C948" s="70"/>
      <c r="D948" s="70"/>
      <c r="E948" s="70"/>
      <c r="F948" s="70"/>
      <c r="G948" s="70"/>
      <c r="H948" s="422"/>
      <c r="I948" s="422"/>
      <c r="J948" s="418"/>
      <c r="K948" s="403"/>
      <c r="L948" s="73"/>
      <c r="M948" s="72"/>
      <c r="N948" s="72"/>
      <c r="O948" s="72"/>
      <c r="P948" s="42"/>
      <c r="Q948" s="42"/>
      <c r="R948" s="42"/>
      <c r="S948" s="42"/>
      <c r="T948" s="42"/>
      <c r="U948" s="42"/>
      <c r="V948" s="416"/>
      <c r="W948" s="42"/>
      <c r="X948" s="74"/>
      <c r="Y948" s="74"/>
      <c r="Z948" s="74"/>
      <c r="AA948" s="74"/>
      <c r="AB948" s="74"/>
      <c r="AC948" s="42"/>
      <c r="AD948" s="42"/>
      <c r="AE948" s="42"/>
      <c r="AF948" s="42"/>
      <c r="AG948" s="42"/>
      <c r="AH948" s="42"/>
      <c r="AI948" s="75"/>
      <c r="AJ948" s="75"/>
      <c r="AK948" s="75"/>
      <c r="AL948" s="75"/>
      <c r="AM948" s="74"/>
      <c r="AN948" s="72" t="e">
        <f>VLOOKUP(H948,[4]Planilha1!A$13:P$314,16,0)</f>
        <v>#N/A</v>
      </c>
    </row>
    <row r="949" spans="1:40" s="69" customFormat="1" x14ac:dyDescent="0.25">
      <c r="A949" s="88"/>
      <c r="B949" s="88"/>
      <c r="C949" s="70"/>
      <c r="D949" s="70"/>
      <c r="E949" s="70"/>
      <c r="F949" s="70"/>
      <c r="G949" s="70"/>
      <c r="H949" s="422"/>
      <c r="I949" s="422"/>
      <c r="J949" s="418"/>
      <c r="K949" s="403"/>
      <c r="L949" s="73"/>
      <c r="M949" s="72"/>
      <c r="N949" s="72"/>
      <c r="O949" s="72"/>
      <c r="P949" s="42"/>
      <c r="Q949" s="42"/>
      <c r="R949" s="42"/>
      <c r="S949" s="42"/>
      <c r="T949" s="42"/>
      <c r="U949" s="42"/>
      <c r="V949" s="416"/>
      <c r="W949" s="42"/>
      <c r="X949" s="74"/>
      <c r="Y949" s="74"/>
      <c r="Z949" s="74"/>
      <c r="AA949" s="74"/>
      <c r="AB949" s="74"/>
      <c r="AC949" s="42"/>
      <c r="AD949" s="42"/>
      <c r="AE949" s="42"/>
      <c r="AF949" s="42"/>
      <c r="AG949" s="42"/>
      <c r="AH949" s="42"/>
      <c r="AI949" s="75"/>
      <c r="AJ949" s="75"/>
      <c r="AK949" s="75"/>
      <c r="AL949" s="75"/>
      <c r="AM949" s="74"/>
      <c r="AN949" s="72" t="e">
        <f>VLOOKUP(H949,[4]Planilha1!A$13:P$314,16,0)</f>
        <v>#N/A</v>
      </c>
    </row>
    <row r="950" spans="1:40" s="69" customFormat="1" x14ac:dyDescent="0.25">
      <c r="A950" s="88"/>
      <c r="B950" s="88"/>
      <c r="C950" s="70"/>
      <c r="D950" s="70"/>
      <c r="E950" s="70"/>
      <c r="F950" s="70"/>
      <c r="G950" s="70"/>
      <c r="H950" s="422"/>
      <c r="I950" s="422"/>
      <c r="J950" s="418"/>
      <c r="K950" s="403"/>
      <c r="L950" s="73"/>
      <c r="M950" s="72"/>
      <c r="N950" s="72"/>
      <c r="O950" s="72"/>
      <c r="P950" s="42"/>
      <c r="Q950" s="42"/>
      <c r="R950" s="42"/>
      <c r="S950" s="42"/>
      <c r="T950" s="42"/>
      <c r="U950" s="42"/>
      <c r="V950" s="416"/>
      <c r="W950" s="42"/>
      <c r="X950" s="74"/>
      <c r="Y950" s="74"/>
      <c r="Z950" s="74"/>
      <c r="AA950" s="74"/>
      <c r="AB950" s="74"/>
      <c r="AC950" s="42"/>
      <c r="AD950" s="42"/>
      <c r="AE950" s="42"/>
      <c r="AF950" s="42"/>
      <c r="AG950" s="42"/>
      <c r="AH950" s="42"/>
      <c r="AI950" s="75"/>
      <c r="AJ950" s="75"/>
      <c r="AK950" s="75"/>
      <c r="AL950" s="75"/>
      <c r="AM950" s="74"/>
      <c r="AN950" s="72" t="e">
        <f>VLOOKUP(H950,[4]Planilha1!A$13:P$314,16,0)</f>
        <v>#N/A</v>
      </c>
    </row>
    <row r="951" spans="1:40" s="69" customFormat="1" x14ac:dyDescent="0.25">
      <c r="A951" s="88"/>
      <c r="B951" s="88"/>
      <c r="C951" s="70"/>
      <c r="D951" s="70"/>
      <c r="E951" s="70"/>
      <c r="F951" s="70"/>
      <c r="G951" s="70"/>
      <c r="H951" s="422"/>
      <c r="I951" s="422"/>
      <c r="J951" s="418"/>
      <c r="K951" s="403"/>
      <c r="L951" s="73"/>
      <c r="M951" s="72"/>
      <c r="N951" s="72"/>
      <c r="O951" s="72"/>
      <c r="P951" s="42"/>
      <c r="Q951" s="42"/>
      <c r="R951" s="42"/>
      <c r="S951" s="42"/>
      <c r="T951" s="42"/>
      <c r="U951" s="42"/>
      <c r="V951" s="416"/>
      <c r="W951" s="42"/>
      <c r="X951" s="74"/>
      <c r="Y951" s="74"/>
      <c r="Z951" s="74"/>
      <c r="AA951" s="74"/>
      <c r="AB951" s="74"/>
      <c r="AC951" s="42"/>
      <c r="AD951" s="42"/>
      <c r="AE951" s="42"/>
      <c r="AF951" s="42"/>
      <c r="AG951" s="42"/>
      <c r="AH951" s="42"/>
      <c r="AI951" s="75"/>
      <c r="AJ951" s="75"/>
      <c r="AK951" s="75"/>
      <c r="AL951" s="75"/>
      <c r="AM951" s="74"/>
      <c r="AN951" s="72" t="e">
        <f>VLOOKUP(H951,[4]Planilha1!A$13:P$314,16,0)</f>
        <v>#N/A</v>
      </c>
    </row>
    <row r="952" spans="1:40" s="69" customFormat="1" x14ac:dyDescent="0.25">
      <c r="A952" s="88"/>
      <c r="B952" s="88"/>
      <c r="C952" s="70"/>
      <c r="D952" s="70"/>
      <c r="E952" s="70"/>
      <c r="F952" s="70"/>
      <c r="G952" s="70"/>
      <c r="H952" s="422"/>
      <c r="I952" s="422"/>
      <c r="J952" s="418"/>
      <c r="K952" s="403"/>
      <c r="L952" s="73"/>
      <c r="M952" s="72"/>
      <c r="N952" s="72"/>
      <c r="O952" s="72"/>
      <c r="P952" s="42"/>
      <c r="Q952" s="42"/>
      <c r="R952" s="42"/>
      <c r="S952" s="42"/>
      <c r="T952" s="42"/>
      <c r="U952" s="42"/>
      <c r="V952" s="416"/>
      <c r="W952" s="42"/>
      <c r="X952" s="74"/>
      <c r="Y952" s="74"/>
      <c r="Z952" s="74"/>
      <c r="AA952" s="74"/>
      <c r="AB952" s="74"/>
      <c r="AC952" s="42"/>
      <c r="AD952" s="42"/>
      <c r="AE952" s="42"/>
      <c r="AF952" s="42"/>
      <c r="AG952" s="42"/>
      <c r="AH952" s="42"/>
      <c r="AI952" s="75"/>
      <c r="AJ952" s="75"/>
      <c r="AK952" s="75"/>
      <c r="AL952" s="75"/>
      <c r="AM952" s="74"/>
      <c r="AN952" s="72" t="e">
        <f>VLOOKUP(H952,[4]Planilha1!A$13:P$314,16,0)</f>
        <v>#N/A</v>
      </c>
    </row>
    <row r="953" spans="1:40" s="69" customFormat="1" x14ac:dyDescent="0.25">
      <c r="A953" s="88"/>
      <c r="B953" s="88"/>
      <c r="C953" s="70"/>
      <c r="D953" s="70"/>
      <c r="E953" s="70"/>
      <c r="F953" s="70"/>
      <c r="G953" s="70"/>
      <c r="H953" s="422"/>
      <c r="I953" s="422"/>
      <c r="J953" s="418"/>
      <c r="K953" s="403"/>
      <c r="L953" s="73"/>
      <c r="M953" s="72"/>
      <c r="N953" s="72"/>
      <c r="O953" s="72"/>
      <c r="P953" s="42"/>
      <c r="Q953" s="42"/>
      <c r="R953" s="42"/>
      <c r="S953" s="42"/>
      <c r="T953" s="42"/>
      <c r="U953" s="42"/>
      <c r="V953" s="416"/>
      <c r="W953" s="42"/>
      <c r="X953" s="74"/>
      <c r="Y953" s="74"/>
      <c r="Z953" s="74"/>
      <c r="AA953" s="74"/>
      <c r="AB953" s="74"/>
      <c r="AC953" s="42"/>
      <c r="AD953" s="42"/>
      <c r="AE953" s="42"/>
      <c r="AF953" s="42"/>
      <c r="AG953" s="42"/>
      <c r="AH953" s="42"/>
      <c r="AI953" s="75"/>
      <c r="AJ953" s="75"/>
      <c r="AK953" s="75"/>
      <c r="AL953" s="75"/>
      <c r="AM953" s="74"/>
      <c r="AN953" s="72" t="e">
        <f>VLOOKUP(H953,[4]Planilha1!A$13:P$314,16,0)</f>
        <v>#N/A</v>
      </c>
    </row>
    <row r="954" spans="1:40" s="69" customFormat="1" x14ac:dyDescent="0.25">
      <c r="A954" s="88"/>
      <c r="B954" s="88"/>
      <c r="C954" s="70"/>
      <c r="D954" s="70"/>
      <c r="E954" s="70"/>
      <c r="F954" s="70"/>
      <c r="G954" s="70"/>
      <c r="H954" s="422"/>
      <c r="I954" s="422"/>
      <c r="J954" s="418"/>
      <c r="K954" s="403"/>
      <c r="L954" s="73"/>
      <c r="M954" s="72"/>
      <c r="N954" s="72"/>
      <c r="O954" s="72"/>
      <c r="P954" s="42"/>
      <c r="Q954" s="42"/>
      <c r="R954" s="42"/>
      <c r="S954" s="42"/>
      <c r="T954" s="42"/>
      <c r="U954" s="42"/>
      <c r="V954" s="416"/>
      <c r="W954" s="42"/>
      <c r="X954" s="74"/>
      <c r="Y954" s="74"/>
      <c r="Z954" s="74"/>
      <c r="AA954" s="74"/>
      <c r="AB954" s="74"/>
      <c r="AC954" s="42"/>
      <c r="AD954" s="42"/>
      <c r="AE954" s="42"/>
      <c r="AF954" s="42"/>
      <c r="AG954" s="42"/>
      <c r="AH954" s="42"/>
      <c r="AI954" s="75"/>
      <c r="AJ954" s="75"/>
      <c r="AK954" s="75"/>
      <c r="AL954" s="75"/>
      <c r="AM954" s="74"/>
      <c r="AN954" s="72" t="e">
        <f>VLOOKUP(H954,[4]Planilha1!A$13:P$314,16,0)</f>
        <v>#N/A</v>
      </c>
    </row>
    <row r="955" spans="1:40" s="69" customFormat="1" x14ac:dyDescent="0.25">
      <c r="A955" s="88"/>
      <c r="B955" s="88"/>
      <c r="C955" s="70"/>
      <c r="D955" s="70"/>
      <c r="E955" s="70"/>
      <c r="F955" s="70"/>
      <c r="G955" s="70"/>
      <c r="H955" s="422"/>
      <c r="I955" s="422"/>
      <c r="J955" s="418"/>
      <c r="K955" s="403"/>
      <c r="L955" s="73"/>
      <c r="M955" s="72"/>
      <c r="N955" s="72"/>
      <c r="O955" s="72"/>
      <c r="P955" s="42"/>
      <c r="Q955" s="42"/>
      <c r="R955" s="42"/>
      <c r="S955" s="42"/>
      <c r="T955" s="42"/>
      <c r="U955" s="42"/>
      <c r="V955" s="416"/>
      <c r="W955" s="42"/>
      <c r="X955" s="74"/>
      <c r="Y955" s="74"/>
      <c r="Z955" s="74"/>
      <c r="AA955" s="74"/>
      <c r="AB955" s="74"/>
      <c r="AC955" s="42"/>
      <c r="AD955" s="42"/>
      <c r="AE955" s="42"/>
      <c r="AF955" s="42"/>
      <c r="AG955" s="42"/>
      <c r="AH955" s="42"/>
      <c r="AI955" s="75"/>
      <c r="AJ955" s="75"/>
      <c r="AK955" s="75"/>
      <c r="AL955" s="75"/>
      <c r="AM955" s="74"/>
      <c r="AN955" s="72" t="e">
        <f>VLOOKUP(H955,[4]Planilha1!A$13:P$314,16,0)</f>
        <v>#N/A</v>
      </c>
    </row>
    <row r="956" spans="1:40" s="69" customFormat="1" x14ac:dyDescent="0.25">
      <c r="A956" s="88"/>
      <c r="B956" s="88"/>
      <c r="C956" s="70"/>
      <c r="D956" s="70"/>
      <c r="E956" s="70"/>
      <c r="F956" s="70"/>
      <c r="G956" s="70"/>
      <c r="H956" s="422"/>
      <c r="I956" s="422"/>
      <c r="J956" s="418"/>
      <c r="K956" s="403"/>
      <c r="L956" s="73"/>
      <c r="M956" s="72"/>
      <c r="N956" s="72"/>
      <c r="O956" s="72"/>
      <c r="P956" s="42"/>
      <c r="Q956" s="42"/>
      <c r="R956" s="42"/>
      <c r="S956" s="42"/>
      <c r="T956" s="42"/>
      <c r="U956" s="42"/>
      <c r="V956" s="416"/>
      <c r="W956" s="42"/>
      <c r="X956" s="74"/>
      <c r="Y956" s="74"/>
      <c r="Z956" s="74"/>
      <c r="AA956" s="74"/>
      <c r="AB956" s="74"/>
      <c r="AC956" s="42"/>
      <c r="AD956" s="42"/>
      <c r="AE956" s="42"/>
      <c r="AF956" s="42"/>
      <c r="AG956" s="42"/>
      <c r="AH956" s="42"/>
      <c r="AI956" s="75"/>
      <c r="AJ956" s="75"/>
      <c r="AK956" s="75"/>
      <c r="AL956" s="75"/>
      <c r="AM956" s="74"/>
      <c r="AN956" s="72" t="e">
        <f>VLOOKUP(H956,[4]Planilha1!A$13:P$314,16,0)</f>
        <v>#N/A</v>
      </c>
    </row>
    <row r="957" spans="1:40" s="69" customFormat="1" x14ac:dyDescent="0.25">
      <c r="A957" s="88"/>
      <c r="B957" s="88"/>
      <c r="C957" s="70"/>
      <c r="D957" s="70"/>
      <c r="E957" s="70"/>
      <c r="F957" s="70"/>
      <c r="G957" s="70"/>
      <c r="H957" s="422"/>
      <c r="I957" s="422"/>
      <c r="J957" s="418"/>
      <c r="K957" s="403"/>
      <c r="L957" s="73"/>
      <c r="M957" s="72"/>
      <c r="N957" s="72"/>
      <c r="O957" s="72"/>
      <c r="P957" s="42"/>
      <c r="Q957" s="42"/>
      <c r="R957" s="42"/>
      <c r="S957" s="42"/>
      <c r="T957" s="42"/>
      <c r="U957" s="42"/>
      <c r="V957" s="416"/>
      <c r="W957" s="42"/>
      <c r="X957" s="74"/>
      <c r="Y957" s="74"/>
      <c r="Z957" s="74"/>
      <c r="AA957" s="74"/>
      <c r="AB957" s="74"/>
      <c r="AC957" s="42"/>
      <c r="AD957" s="42"/>
      <c r="AE957" s="42"/>
      <c r="AF957" s="42"/>
      <c r="AG957" s="42"/>
      <c r="AH957" s="42"/>
      <c r="AI957" s="75"/>
      <c r="AJ957" s="75"/>
      <c r="AK957" s="75"/>
      <c r="AL957" s="75"/>
      <c r="AM957" s="74"/>
      <c r="AN957" s="72" t="e">
        <f>VLOOKUP(H957,[4]Planilha1!A$13:P$314,16,0)</f>
        <v>#N/A</v>
      </c>
    </row>
    <row r="958" spans="1:40" s="69" customFormat="1" x14ac:dyDescent="0.25">
      <c r="A958" s="88"/>
      <c r="B958" s="88"/>
      <c r="C958" s="70"/>
      <c r="D958" s="70"/>
      <c r="E958" s="70"/>
      <c r="F958" s="70"/>
      <c r="G958" s="70"/>
      <c r="H958" s="422"/>
      <c r="I958" s="422"/>
      <c r="J958" s="418"/>
      <c r="K958" s="403"/>
      <c r="L958" s="73"/>
      <c r="M958" s="72"/>
      <c r="N958" s="72"/>
      <c r="O958" s="72"/>
      <c r="P958" s="42"/>
      <c r="Q958" s="42"/>
      <c r="R958" s="42"/>
      <c r="S958" s="42"/>
      <c r="T958" s="42"/>
      <c r="U958" s="42"/>
      <c r="V958" s="416"/>
      <c r="W958" s="42"/>
      <c r="X958" s="74"/>
      <c r="Y958" s="74"/>
      <c r="Z958" s="74"/>
      <c r="AA958" s="74"/>
      <c r="AB958" s="74"/>
      <c r="AC958" s="42"/>
      <c r="AD958" s="42"/>
      <c r="AE958" s="42"/>
      <c r="AF958" s="42"/>
      <c r="AG958" s="42"/>
      <c r="AH958" s="42"/>
      <c r="AI958" s="75"/>
      <c r="AJ958" s="75"/>
      <c r="AK958" s="75"/>
      <c r="AL958" s="75"/>
      <c r="AM958" s="74"/>
      <c r="AN958" s="72" t="e">
        <f>VLOOKUP(H958,[4]Planilha1!A$13:P$314,16,0)</f>
        <v>#N/A</v>
      </c>
    </row>
    <row r="959" spans="1:40" s="69" customFormat="1" x14ac:dyDescent="0.25">
      <c r="A959" s="88"/>
      <c r="B959" s="88"/>
      <c r="C959" s="70"/>
      <c r="D959" s="70"/>
      <c r="E959" s="70"/>
      <c r="F959" s="70"/>
      <c r="G959" s="70"/>
      <c r="H959" s="422"/>
      <c r="I959" s="422"/>
      <c r="J959" s="418"/>
      <c r="K959" s="403"/>
      <c r="L959" s="73"/>
      <c r="M959" s="72"/>
      <c r="N959" s="72"/>
      <c r="O959" s="72"/>
      <c r="P959" s="42"/>
      <c r="Q959" s="42"/>
      <c r="R959" s="42"/>
      <c r="S959" s="42"/>
      <c r="T959" s="42"/>
      <c r="U959" s="42"/>
      <c r="V959" s="416"/>
      <c r="W959" s="42"/>
      <c r="X959" s="74"/>
      <c r="Y959" s="74"/>
      <c r="Z959" s="74"/>
      <c r="AA959" s="74"/>
      <c r="AB959" s="74"/>
      <c r="AC959" s="42"/>
      <c r="AD959" s="42"/>
      <c r="AE959" s="42"/>
      <c r="AF959" s="42"/>
      <c r="AG959" s="42"/>
      <c r="AH959" s="42"/>
      <c r="AI959" s="75"/>
      <c r="AJ959" s="75"/>
      <c r="AK959" s="75"/>
      <c r="AL959" s="75"/>
      <c r="AM959" s="74"/>
      <c r="AN959" s="72" t="e">
        <f>VLOOKUP(H959,[4]Planilha1!A$13:P$314,16,0)</f>
        <v>#N/A</v>
      </c>
    </row>
    <row r="960" spans="1:40" s="69" customFormat="1" x14ac:dyDescent="0.25">
      <c r="A960" s="88"/>
      <c r="B960" s="88"/>
      <c r="C960" s="70"/>
      <c r="D960" s="70"/>
      <c r="E960" s="70"/>
      <c r="F960" s="70"/>
      <c r="G960" s="70"/>
      <c r="H960" s="422"/>
      <c r="I960" s="422"/>
      <c r="J960" s="418"/>
      <c r="K960" s="403"/>
      <c r="L960" s="73"/>
      <c r="M960" s="72"/>
      <c r="N960" s="72"/>
      <c r="O960" s="72"/>
      <c r="P960" s="42"/>
      <c r="Q960" s="42"/>
      <c r="R960" s="42"/>
      <c r="S960" s="42"/>
      <c r="T960" s="42"/>
      <c r="U960" s="42"/>
      <c r="V960" s="416"/>
      <c r="W960" s="42"/>
      <c r="X960" s="74"/>
      <c r="Y960" s="74"/>
      <c r="Z960" s="74"/>
      <c r="AA960" s="74"/>
      <c r="AB960" s="74"/>
      <c r="AC960" s="42"/>
      <c r="AD960" s="42"/>
      <c r="AE960" s="42"/>
      <c r="AF960" s="42"/>
      <c r="AG960" s="42"/>
      <c r="AH960" s="42"/>
      <c r="AI960" s="75"/>
      <c r="AJ960" s="75"/>
      <c r="AK960" s="75"/>
      <c r="AL960" s="75"/>
      <c r="AM960" s="74"/>
      <c r="AN960" s="72" t="e">
        <f>VLOOKUP(H960,[4]Planilha1!A$13:P$314,16,0)</f>
        <v>#N/A</v>
      </c>
    </row>
    <row r="961" spans="1:40" s="69" customFormat="1" x14ac:dyDescent="0.25">
      <c r="A961" s="88"/>
      <c r="B961" s="88"/>
      <c r="C961" s="70"/>
      <c r="D961" s="70"/>
      <c r="E961" s="70"/>
      <c r="F961" s="70"/>
      <c r="G961" s="70"/>
      <c r="H961" s="422"/>
      <c r="I961" s="422"/>
      <c r="J961" s="418"/>
      <c r="K961" s="403"/>
      <c r="L961" s="73"/>
      <c r="M961" s="72"/>
      <c r="N961" s="72"/>
      <c r="O961" s="72"/>
      <c r="P961" s="42"/>
      <c r="Q961" s="42"/>
      <c r="R961" s="42"/>
      <c r="S961" s="42"/>
      <c r="T961" s="42"/>
      <c r="U961" s="42"/>
      <c r="V961" s="416"/>
      <c r="W961" s="42"/>
      <c r="X961" s="74"/>
      <c r="Y961" s="74"/>
      <c r="Z961" s="74"/>
      <c r="AA961" s="74"/>
      <c r="AB961" s="74"/>
      <c r="AC961" s="42"/>
      <c r="AD961" s="42"/>
      <c r="AE961" s="42"/>
      <c r="AF961" s="42"/>
      <c r="AG961" s="42"/>
      <c r="AH961" s="42"/>
      <c r="AI961" s="75"/>
      <c r="AJ961" s="75"/>
      <c r="AK961" s="75"/>
      <c r="AL961" s="75"/>
      <c r="AM961" s="74"/>
      <c r="AN961" s="72" t="e">
        <f>VLOOKUP(H961,[4]Planilha1!A$13:P$314,16,0)</f>
        <v>#N/A</v>
      </c>
    </row>
    <row r="962" spans="1:40" s="69" customFormat="1" x14ac:dyDescent="0.25">
      <c r="A962" s="88"/>
      <c r="B962" s="88"/>
      <c r="C962" s="70"/>
      <c r="D962" s="70"/>
      <c r="E962" s="70"/>
      <c r="F962" s="70"/>
      <c r="G962" s="70"/>
      <c r="H962" s="422"/>
      <c r="I962" s="422"/>
      <c r="J962" s="418"/>
      <c r="K962" s="403"/>
      <c r="L962" s="73"/>
      <c r="M962" s="72"/>
      <c r="N962" s="72"/>
      <c r="O962" s="72"/>
      <c r="P962" s="42"/>
      <c r="Q962" s="42"/>
      <c r="R962" s="42"/>
      <c r="S962" s="42"/>
      <c r="T962" s="42"/>
      <c r="U962" s="42"/>
      <c r="V962" s="416"/>
      <c r="W962" s="42"/>
      <c r="X962" s="74"/>
      <c r="Y962" s="74"/>
      <c r="Z962" s="74"/>
      <c r="AA962" s="74"/>
      <c r="AB962" s="74"/>
      <c r="AC962" s="42"/>
      <c r="AD962" s="42"/>
      <c r="AE962" s="42"/>
      <c r="AF962" s="42"/>
      <c r="AG962" s="42"/>
      <c r="AH962" s="42"/>
      <c r="AI962" s="75"/>
      <c r="AJ962" s="75"/>
      <c r="AK962" s="75"/>
      <c r="AL962" s="75"/>
      <c r="AM962" s="74"/>
      <c r="AN962" s="72" t="e">
        <f>VLOOKUP(H962,[4]Planilha1!A$13:P$314,16,0)</f>
        <v>#N/A</v>
      </c>
    </row>
    <row r="963" spans="1:40" s="69" customFormat="1" x14ac:dyDescent="0.25">
      <c r="A963" s="88"/>
      <c r="B963" s="88"/>
      <c r="C963" s="70"/>
      <c r="D963" s="70"/>
      <c r="E963" s="70"/>
      <c r="F963" s="70"/>
      <c r="G963" s="70"/>
      <c r="H963" s="422"/>
      <c r="I963" s="422"/>
      <c r="J963" s="418"/>
      <c r="K963" s="403"/>
      <c r="L963" s="73"/>
      <c r="M963" s="72"/>
      <c r="N963" s="72"/>
      <c r="O963" s="72"/>
      <c r="P963" s="42"/>
      <c r="Q963" s="42"/>
      <c r="R963" s="42"/>
      <c r="S963" s="42"/>
      <c r="T963" s="42"/>
      <c r="U963" s="42"/>
      <c r="V963" s="416"/>
      <c r="W963" s="42"/>
      <c r="X963" s="74"/>
      <c r="Y963" s="74"/>
      <c r="Z963" s="74"/>
      <c r="AA963" s="74"/>
      <c r="AB963" s="74"/>
      <c r="AC963" s="42"/>
      <c r="AD963" s="42"/>
      <c r="AE963" s="42"/>
      <c r="AF963" s="42"/>
      <c r="AG963" s="42"/>
      <c r="AH963" s="42"/>
      <c r="AI963" s="75"/>
      <c r="AJ963" s="75"/>
      <c r="AK963" s="75"/>
      <c r="AL963" s="75"/>
      <c r="AM963" s="74"/>
      <c r="AN963" s="72" t="e">
        <f>VLOOKUP(H963,[4]Planilha1!A$13:P$314,16,0)</f>
        <v>#N/A</v>
      </c>
    </row>
    <row r="964" spans="1:40" s="69" customFormat="1" x14ac:dyDescent="0.25">
      <c r="A964" s="88"/>
      <c r="B964" s="88"/>
      <c r="C964" s="70"/>
      <c r="D964" s="70"/>
      <c r="E964" s="70"/>
      <c r="F964" s="70"/>
      <c r="G964" s="70"/>
      <c r="H964" s="422"/>
      <c r="I964" s="422"/>
      <c r="J964" s="418"/>
      <c r="K964" s="403"/>
      <c r="L964" s="73"/>
      <c r="M964" s="72"/>
      <c r="N964" s="72"/>
      <c r="O964" s="72"/>
      <c r="P964" s="42"/>
      <c r="Q964" s="42"/>
      <c r="R964" s="42"/>
      <c r="S964" s="42"/>
      <c r="T964" s="42"/>
      <c r="U964" s="42"/>
      <c r="V964" s="416"/>
      <c r="W964" s="42"/>
      <c r="X964" s="74"/>
      <c r="Y964" s="74"/>
      <c r="Z964" s="74"/>
      <c r="AA964" s="74"/>
      <c r="AB964" s="74"/>
      <c r="AC964" s="42"/>
      <c r="AD964" s="42"/>
      <c r="AE964" s="42"/>
      <c r="AF964" s="42"/>
      <c r="AG964" s="42"/>
      <c r="AH964" s="42"/>
      <c r="AI964" s="75"/>
      <c r="AJ964" s="75"/>
      <c r="AK964" s="75"/>
      <c r="AL964" s="75"/>
      <c r="AM964" s="74"/>
      <c r="AN964" s="72" t="e">
        <f>VLOOKUP(H964,[4]Planilha1!A$13:P$314,16,0)</f>
        <v>#N/A</v>
      </c>
    </row>
    <row r="965" spans="1:40" s="69" customFormat="1" x14ac:dyDescent="0.25">
      <c r="A965" s="88"/>
      <c r="B965" s="88"/>
      <c r="C965" s="70"/>
      <c r="D965" s="70"/>
      <c r="E965" s="70"/>
      <c r="F965" s="70"/>
      <c r="G965" s="70"/>
      <c r="H965" s="422"/>
      <c r="I965" s="422"/>
      <c r="J965" s="418"/>
      <c r="K965" s="403"/>
      <c r="L965" s="73"/>
      <c r="M965" s="72"/>
      <c r="N965" s="72"/>
      <c r="O965" s="72"/>
      <c r="P965" s="42"/>
      <c r="Q965" s="42"/>
      <c r="R965" s="42"/>
      <c r="S965" s="42"/>
      <c r="T965" s="42"/>
      <c r="U965" s="42"/>
      <c r="V965" s="416"/>
      <c r="W965" s="42"/>
      <c r="X965" s="74"/>
      <c r="Y965" s="74"/>
      <c r="Z965" s="74"/>
      <c r="AA965" s="74"/>
      <c r="AB965" s="74"/>
      <c r="AC965" s="42"/>
      <c r="AD965" s="42"/>
      <c r="AE965" s="42"/>
      <c r="AF965" s="42"/>
      <c r="AG965" s="42"/>
      <c r="AH965" s="42"/>
      <c r="AI965" s="75"/>
      <c r="AJ965" s="75"/>
      <c r="AK965" s="75"/>
      <c r="AL965" s="75"/>
      <c r="AM965" s="74"/>
      <c r="AN965" s="72" t="e">
        <f>VLOOKUP(H965,[4]Planilha1!A$13:P$314,16,0)</f>
        <v>#N/A</v>
      </c>
    </row>
    <row r="966" spans="1:40" s="69" customFormat="1" x14ac:dyDescent="0.25">
      <c r="A966" s="88"/>
      <c r="B966" s="88"/>
      <c r="C966" s="70"/>
      <c r="D966" s="70"/>
      <c r="E966" s="70"/>
      <c r="F966" s="70"/>
      <c r="G966" s="70"/>
      <c r="H966" s="422"/>
      <c r="I966" s="422"/>
      <c r="J966" s="418"/>
      <c r="K966" s="403"/>
      <c r="L966" s="73"/>
      <c r="M966" s="72"/>
      <c r="N966" s="72"/>
      <c r="O966" s="72"/>
      <c r="P966" s="42"/>
      <c r="Q966" s="42"/>
      <c r="R966" s="42"/>
      <c r="S966" s="42"/>
      <c r="T966" s="42"/>
      <c r="U966" s="42"/>
      <c r="V966" s="416"/>
      <c r="W966" s="42"/>
      <c r="X966" s="74"/>
      <c r="Y966" s="74"/>
      <c r="Z966" s="74"/>
      <c r="AA966" s="74"/>
      <c r="AB966" s="74"/>
      <c r="AC966" s="42"/>
      <c r="AD966" s="42"/>
      <c r="AE966" s="42"/>
      <c r="AF966" s="42"/>
      <c r="AG966" s="42"/>
      <c r="AH966" s="42"/>
      <c r="AI966" s="75"/>
      <c r="AJ966" s="75"/>
      <c r="AK966" s="75"/>
      <c r="AL966" s="75"/>
      <c r="AM966" s="74"/>
      <c r="AN966" s="72" t="e">
        <f>VLOOKUP(H966,[4]Planilha1!A$13:P$314,16,0)</f>
        <v>#N/A</v>
      </c>
    </row>
    <row r="967" spans="1:40" s="69" customFormat="1" x14ac:dyDescent="0.25">
      <c r="A967" s="88"/>
      <c r="B967" s="88"/>
      <c r="C967" s="70"/>
      <c r="D967" s="70"/>
      <c r="E967" s="70"/>
      <c r="F967" s="70"/>
      <c r="G967" s="70"/>
      <c r="H967" s="422"/>
      <c r="I967" s="422"/>
      <c r="J967" s="418"/>
      <c r="K967" s="403"/>
      <c r="L967" s="73"/>
      <c r="M967" s="72"/>
      <c r="N967" s="72"/>
      <c r="O967" s="72"/>
      <c r="P967" s="42"/>
      <c r="Q967" s="42"/>
      <c r="R967" s="42"/>
      <c r="S967" s="42"/>
      <c r="T967" s="42"/>
      <c r="U967" s="42"/>
      <c r="V967" s="416"/>
      <c r="W967" s="42"/>
      <c r="X967" s="74"/>
      <c r="Y967" s="74"/>
      <c r="Z967" s="74"/>
      <c r="AA967" s="74"/>
      <c r="AB967" s="74"/>
      <c r="AC967" s="42"/>
      <c r="AD967" s="42"/>
      <c r="AE967" s="42"/>
      <c r="AF967" s="42"/>
      <c r="AG967" s="42"/>
      <c r="AH967" s="42"/>
      <c r="AI967" s="75"/>
      <c r="AJ967" s="75"/>
      <c r="AK967" s="75"/>
      <c r="AL967" s="75"/>
      <c r="AM967" s="74"/>
      <c r="AN967" s="72" t="e">
        <f>VLOOKUP(H967,[4]Planilha1!A$13:P$314,16,0)</f>
        <v>#N/A</v>
      </c>
    </row>
    <row r="968" spans="1:40" s="69" customFormat="1" x14ac:dyDescent="0.25">
      <c r="A968" s="88"/>
      <c r="B968" s="88"/>
      <c r="C968" s="70"/>
      <c r="D968" s="70"/>
      <c r="E968" s="70"/>
      <c r="F968" s="70"/>
      <c r="G968" s="70"/>
      <c r="H968" s="422"/>
      <c r="I968" s="422"/>
      <c r="J968" s="418"/>
      <c r="K968" s="403"/>
      <c r="L968" s="73"/>
      <c r="M968" s="72"/>
      <c r="N968" s="72"/>
      <c r="O968" s="72"/>
      <c r="P968" s="42"/>
      <c r="Q968" s="42"/>
      <c r="R968" s="42"/>
      <c r="S968" s="42"/>
      <c r="T968" s="42"/>
      <c r="U968" s="42"/>
      <c r="V968" s="416"/>
      <c r="W968" s="42"/>
      <c r="X968" s="74"/>
      <c r="Y968" s="74"/>
      <c r="Z968" s="74"/>
      <c r="AA968" s="74"/>
      <c r="AB968" s="74"/>
      <c r="AC968" s="42"/>
      <c r="AD968" s="42"/>
      <c r="AE968" s="42"/>
      <c r="AF968" s="42"/>
      <c r="AG968" s="42"/>
      <c r="AH968" s="42"/>
      <c r="AI968" s="75"/>
      <c r="AJ968" s="75"/>
      <c r="AK968" s="75"/>
      <c r="AL968" s="75"/>
      <c r="AM968" s="74"/>
      <c r="AN968" s="72" t="e">
        <f>VLOOKUP(H968,[4]Planilha1!A$13:P$314,16,0)</f>
        <v>#N/A</v>
      </c>
    </row>
    <row r="969" spans="1:40" s="69" customFormat="1" x14ac:dyDescent="0.25">
      <c r="A969" s="88"/>
      <c r="B969" s="88"/>
      <c r="C969" s="70"/>
      <c r="D969" s="70"/>
      <c r="E969" s="70"/>
      <c r="F969" s="70"/>
      <c r="G969" s="70"/>
      <c r="H969" s="422"/>
      <c r="I969" s="422"/>
      <c r="J969" s="418"/>
      <c r="K969" s="403"/>
      <c r="L969" s="73"/>
      <c r="M969" s="72"/>
      <c r="N969" s="72"/>
      <c r="O969" s="72"/>
      <c r="P969" s="42"/>
      <c r="Q969" s="42"/>
      <c r="R969" s="42"/>
      <c r="S969" s="42"/>
      <c r="T969" s="42"/>
      <c r="U969" s="42"/>
      <c r="V969" s="416"/>
      <c r="W969" s="42"/>
      <c r="X969" s="74"/>
      <c r="Y969" s="74"/>
      <c r="Z969" s="74"/>
      <c r="AA969" s="74"/>
      <c r="AB969" s="74"/>
      <c r="AC969" s="42"/>
      <c r="AD969" s="42"/>
      <c r="AE969" s="42"/>
      <c r="AF969" s="42"/>
      <c r="AG969" s="42"/>
      <c r="AH969" s="42"/>
      <c r="AI969" s="75"/>
      <c r="AJ969" s="75"/>
      <c r="AK969" s="75"/>
      <c r="AL969" s="75"/>
      <c r="AM969" s="74"/>
      <c r="AN969" s="72" t="e">
        <f>VLOOKUP(H969,[4]Planilha1!A$13:P$314,16,0)</f>
        <v>#N/A</v>
      </c>
    </row>
    <row r="970" spans="1:40" s="69" customFormat="1" x14ac:dyDescent="0.25">
      <c r="A970" s="88"/>
      <c r="B970" s="88"/>
      <c r="C970" s="70"/>
      <c r="D970" s="70"/>
      <c r="E970" s="70"/>
      <c r="F970" s="70"/>
      <c r="G970" s="70"/>
      <c r="H970" s="422"/>
      <c r="I970" s="422"/>
      <c r="J970" s="418"/>
      <c r="K970" s="403"/>
      <c r="L970" s="73"/>
      <c r="M970" s="72"/>
      <c r="N970" s="72"/>
      <c r="O970" s="72"/>
      <c r="P970" s="42"/>
      <c r="Q970" s="42"/>
      <c r="R970" s="42"/>
      <c r="S970" s="42"/>
      <c r="T970" s="42"/>
      <c r="U970" s="42"/>
      <c r="V970" s="416"/>
      <c r="W970" s="42"/>
      <c r="X970" s="74"/>
      <c r="Y970" s="74"/>
      <c r="Z970" s="74"/>
      <c r="AA970" s="74"/>
      <c r="AB970" s="74"/>
      <c r="AC970" s="42"/>
      <c r="AD970" s="42"/>
      <c r="AE970" s="42"/>
      <c r="AF970" s="42"/>
      <c r="AG970" s="42"/>
      <c r="AH970" s="42"/>
      <c r="AI970" s="75"/>
      <c r="AJ970" s="75"/>
      <c r="AK970" s="75"/>
      <c r="AL970" s="75"/>
      <c r="AM970" s="74"/>
      <c r="AN970" s="72" t="e">
        <f>VLOOKUP(H970,[4]Planilha1!A$13:P$314,16,0)</f>
        <v>#N/A</v>
      </c>
    </row>
    <row r="971" spans="1:40" s="69" customFormat="1" x14ac:dyDescent="0.25">
      <c r="A971" s="88"/>
      <c r="B971" s="88"/>
      <c r="C971" s="70"/>
      <c r="D971" s="70"/>
      <c r="E971" s="70"/>
      <c r="F971" s="70"/>
      <c r="G971" s="70"/>
      <c r="H971" s="422"/>
      <c r="I971" s="422"/>
      <c r="J971" s="418"/>
      <c r="K971" s="403"/>
      <c r="L971" s="73"/>
      <c r="M971" s="72"/>
      <c r="N971" s="72"/>
      <c r="O971" s="72"/>
      <c r="P971" s="42"/>
      <c r="Q971" s="42"/>
      <c r="R971" s="42"/>
      <c r="S971" s="42"/>
      <c r="T971" s="42"/>
      <c r="U971" s="42"/>
      <c r="V971" s="416"/>
      <c r="W971" s="42"/>
      <c r="X971" s="74"/>
      <c r="Y971" s="74"/>
      <c r="Z971" s="74"/>
      <c r="AA971" s="74"/>
      <c r="AB971" s="74"/>
      <c r="AC971" s="42"/>
      <c r="AD971" s="42"/>
      <c r="AE971" s="42"/>
      <c r="AF971" s="42"/>
      <c r="AG971" s="42"/>
      <c r="AH971" s="42"/>
      <c r="AI971" s="75"/>
      <c r="AJ971" s="75"/>
      <c r="AK971" s="75"/>
      <c r="AL971" s="75"/>
      <c r="AM971" s="74"/>
      <c r="AN971" s="72" t="e">
        <f>VLOOKUP(H971,[4]Planilha1!A$13:P$314,16,0)</f>
        <v>#N/A</v>
      </c>
    </row>
    <row r="972" spans="1:40" s="69" customFormat="1" x14ac:dyDescent="0.25">
      <c r="A972" s="88"/>
      <c r="B972" s="88"/>
      <c r="C972" s="70"/>
      <c r="D972" s="70"/>
      <c r="E972" s="70"/>
      <c r="F972" s="70"/>
      <c r="G972" s="70"/>
      <c r="H972" s="422"/>
      <c r="I972" s="422"/>
      <c r="J972" s="418"/>
      <c r="K972" s="403"/>
      <c r="L972" s="73"/>
      <c r="M972" s="72"/>
      <c r="N972" s="72"/>
      <c r="O972" s="72"/>
      <c r="P972" s="42"/>
      <c r="Q972" s="42"/>
      <c r="R972" s="42"/>
      <c r="S972" s="42"/>
      <c r="T972" s="42"/>
      <c r="U972" s="42"/>
      <c r="V972" s="416"/>
      <c r="W972" s="42"/>
      <c r="X972" s="74"/>
      <c r="Y972" s="74"/>
      <c r="Z972" s="74"/>
      <c r="AA972" s="74"/>
      <c r="AB972" s="74"/>
      <c r="AC972" s="42"/>
      <c r="AD972" s="42"/>
      <c r="AE972" s="42"/>
      <c r="AF972" s="42"/>
      <c r="AG972" s="42"/>
      <c r="AH972" s="42"/>
      <c r="AI972" s="75"/>
      <c r="AJ972" s="75"/>
      <c r="AK972" s="75"/>
      <c r="AL972" s="75"/>
      <c r="AM972" s="74"/>
      <c r="AN972" s="72" t="e">
        <f>VLOOKUP(H972,[4]Planilha1!A$13:P$314,16,0)</f>
        <v>#N/A</v>
      </c>
    </row>
    <row r="973" spans="1:40" s="69" customFormat="1" x14ac:dyDescent="0.25">
      <c r="A973" s="88"/>
      <c r="B973" s="88"/>
      <c r="C973" s="70"/>
      <c r="D973" s="70"/>
      <c r="E973" s="70"/>
      <c r="F973" s="70"/>
      <c r="G973" s="70"/>
      <c r="H973" s="422"/>
      <c r="I973" s="422"/>
      <c r="J973" s="418"/>
      <c r="K973" s="403"/>
      <c r="L973" s="73"/>
      <c r="M973" s="72"/>
      <c r="N973" s="72"/>
      <c r="O973" s="72"/>
      <c r="P973" s="42"/>
      <c r="Q973" s="42"/>
      <c r="R973" s="42"/>
      <c r="S973" s="42"/>
      <c r="T973" s="42"/>
      <c r="U973" s="42"/>
      <c r="V973" s="416"/>
      <c r="W973" s="42"/>
      <c r="X973" s="74"/>
      <c r="Y973" s="74"/>
      <c r="Z973" s="74"/>
      <c r="AA973" s="74"/>
      <c r="AB973" s="74"/>
      <c r="AC973" s="42"/>
      <c r="AD973" s="42"/>
      <c r="AE973" s="42"/>
      <c r="AF973" s="42"/>
      <c r="AG973" s="42"/>
      <c r="AH973" s="42"/>
      <c r="AI973" s="75"/>
      <c r="AJ973" s="75"/>
      <c r="AK973" s="75"/>
      <c r="AL973" s="75"/>
      <c r="AM973" s="74"/>
      <c r="AN973" s="72" t="e">
        <f>VLOOKUP(H973,[4]Planilha1!A$13:P$314,16,0)</f>
        <v>#N/A</v>
      </c>
    </row>
    <row r="974" spans="1:40" s="69" customFormat="1" x14ac:dyDescent="0.25">
      <c r="A974" s="88"/>
      <c r="B974" s="88"/>
      <c r="C974" s="70"/>
      <c r="D974" s="70"/>
      <c r="E974" s="70"/>
      <c r="F974" s="70"/>
      <c r="G974" s="70"/>
      <c r="H974" s="422"/>
      <c r="I974" s="422"/>
      <c r="J974" s="418"/>
      <c r="K974" s="403"/>
      <c r="L974" s="73"/>
      <c r="M974" s="72"/>
      <c r="N974" s="72"/>
      <c r="O974" s="72"/>
      <c r="P974" s="42"/>
      <c r="Q974" s="42"/>
      <c r="R974" s="42"/>
      <c r="S974" s="42"/>
      <c r="T974" s="42"/>
      <c r="U974" s="42"/>
      <c r="V974" s="416"/>
      <c r="W974" s="42"/>
      <c r="X974" s="74"/>
      <c r="Y974" s="74"/>
      <c r="Z974" s="74"/>
      <c r="AA974" s="74"/>
      <c r="AB974" s="74"/>
      <c r="AC974" s="42"/>
      <c r="AD974" s="42"/>
      <c r="AE974" s="42"/>
      <c r="AF974" s="42"/>
      <c r="AG974" s="42"/>
      <c r="AH974" s="42"/>
      <c r="AI974" s="75"/>
      <c r="AJ974" s="75"/>
      <c r="AK974" s="75"/>
      <c r="AL974" s="75"/>
      <c r="AM974" s="74"/>
      <c r="AN974" s="72" t="e">
        <f>VLOOKUP(H974,[4]Planilha1!A$13:P$314,16,0)</f>
        <v>#N/A</v>
      </c>
    </row>
    <row r="975" spans="1:40" s="69" customFormat="1" x14ac:dyDescent="0.25">
      <c r="A975" s="88"/>
      <c r="B975" s="88"/>
      <c r="C975" s="70"/>
      <c r="D975" s="70"/>
      <c r="E975" s="70"/>
      <c r="F975" s="70"/>
      <c r="G975" s="70"/>
      <c r="H975" s="422"/>
      <c r="I975" s="422"/>
      <c r="J975" s="418"/>
      <c r="K975" s="403"/>
      <c r="L975" s="73"/>
      <c r="M975" s="72"/>
      <c r="N975" s="72"/>
      <c r="O975" s="72"/>
      <c r="P975" s="42"/>
      <c r="Q975" s="42"/>
      <c r="R975" s="42"/>
      <c r="S975" s="42"/>
      <c r="T975" s="42"/>
      <c r="U975" s="42"/>
      <c r="V975" s="416"/>
      <c r="W975" s="42"/>
      <c r="X975" s="74"/>
      <c r="Y975" s="74"/>
      <c r="Z975" s="74"/>
      <c r="AA975" s="74"/>
      <c r="AB975" s="74"/>
      <c r="AC975" s="42"/>
      <c r="AD975" s="42"/>
      <c r="AE975" s="42"/>
      <c r="AF975" s="42"/>
      <c r="AG975" s="42"/>
      <c r="AH975" s="42"/>
      <c r="AI975" s="75"/>
      <c r="AJ975" s="75"/>
      <c r="AK975" s="75"/>
      <c r="AL975" s="75"/>
      <c r="AM975" s="74"/>
      <c r="AN975" s="72" t="e">
        <f>VLOOKUP(H975,[4]Planilha1!A$13:P$314,16,0)</f>
        <v>#N/A</v>
      </c>
    </row>
    <row r="976" spans="1:40" s="69" customFormat="1" x14ac:dyDescent="0.25">
      <c r="A976" s="88"/>
      <c r="B976" s="88"/>
      <c r="C976" s="70"/>
      <c r="D976" s="70"/>
      <c r="E976" s="70"/>
      <c r="F976" s="70"/>
      <c r="G976" s="70"/>
      <c r="H976" s="422"/>
      <c r="I976" s="422"/>
      <c r="J976" s="418"/>
      <c r="K976" s="403"/>
      <c r="L976" s="73"/>
      <c r="M976" s="72"/>
      <c r="N976" s="72"/>
      <c r="O976" s="72"/>
      <c r="P976" s="42"/>
      <c r="Q976" s="42"/>
      <c r="R976" s="42"/>
      <c r="S976" s="42"/>
      <c r="T976" s="42"/>
      <c r="U976" s="42"/>
      <c r="V976" s="416"/>
      <c r="W976" s="42"/>
      <c r="X976" s="74"/>
      <c r="Y976" s="74"/>
      <c r="Z976" s="74"/>
      <c r="AA976" s="74"/>
      <c r="AB976" s="74"/>
      <c r="AC976" s="42"/>
      <c r="AD976" s="42"/>
      <c r="AE976" s="42"/>
      <c r="AF976" s="42"/>
      <c r="AG976" s="42"/>
      <c r="AH976" s="42"/>
      <c r="AI976" s="75"/>
      <c r="AJ976" s="75"/>
      <c r="AK976" s="75"/>
      <c r="AL976" s="75"/>
      <c r="AM976" s="74"/>
      <c r="AN976" s="72" t="e">
        <f>VLOOKUP(H976,[4]Planilha1!A$13:P$314,16,0)</f>
        <v>#N/A</v>
      </c>
    </row>
    <row r="977" spans="1:40" s="69" customFormat="1" x14ac:dyDescent="0.25">
      <c r="A977" s="88"/>
      <c r="B977" s="88"/>
      <c r="C977" s="70"/>
      <c r="D977" s="70"/>
      <c r="E977" s="70"/>
      <c r="F977" s="70"/>
      <c r="G977" s="70"/>
      <c r="H977" s="422"/>
      <c r="I977" s="422"/>
      <c r="J977" s="418"/>
      <c r="K977" s="403"/>
      <c r="L977" s="73"/>
      <c r="M977" s="72"/>
      <c r="N977" s="72"/>
      <c r="O977" s="72"/>
      <c r="P977" s="42"/>
      <c r="Q977" s="42"/>
      <c r="R977" s="42"/>
      <c r="S977" s="42"/>
      <c r="T977" s="42"/>
      <c r="U977" s="42"/>
      <c r="V977" s="416"/>
      <c r="W977" s="42"/>
      <c r="X977" s="74"/>
      <c r="Y977" s="74"/>
      <c r="Z977" s="74"/>
      <c r="AA977" s="74"/>
      <c r="AB977" s="74"/>
      <c r="AC977" s="42"/>
      <c r="AD977" s="42"/>
      <c r="AE977" s="42"/>
      <c r="AF977" s="42"/>
      <c r="AG977" s="42"/>
      <c r="AH977" s="42"/>
      <c r="AI977" s="75"/>
      <c r="AJ977" s="75"/>
      <c r="AK977" s="75"/>
      <c r="AL977" s="75"/>
      <c r="AM977" s="74"/>
      <c r="AN977" s="72" t="e">
        <f>VLOOKUP(H977,[4]Planilha1!A$13:P$314,16,0)</f>
        <v>#N/A</v>
      </c>
    </row>
    <row r="978" spans="1:40" s="69" customFormat="1" x14ac:dyDescent="0.25">
      <c r="A978" s="88"/>
      <c r="B978" s="88"/>
      <c r="C978" s="70"/>
      <c r="D978" s="70"/>
      <c r="E978" s="70"/>
      <c r="F978" s="70"/>
      <c r="G978" s="70"/>
      <c r="H978" s="422"/>
      <c r="I978" s="422"/>
      <c r="J978" s="418"/>
      <c r="K978" s="403"/>
      <c r="L978" s="73"/>
      <c r="M978" s="72"/>
      <c r="N978" s="72"/>
      <c r="O978" s="72"/>
      <c r="P978" s="42"/>
      <c r="Q978" s="42"/>
      <c r="R978" s="42"/>
      <c r="S978" s="42"/>
      <c r="T978" s="42"/>
      <c r="U978" s="42"/>
      <c r="V978" s="416"/>
      <c r="W978" s="42"/>
      <c r="X978" s="74"/>
      <c r="Y978" s="74"/>
      <c r="Z978" s="74"/>
      <c r="AA978" s="74"/>
      <c r="AB978" s="74"/>
      <c r="AC978" s="42"/>
      <c r="AD978" s="42"/>
      <c r="AE978" s="42"/>
      <c r="AF978" s="42"/>
      <c r="AG978" s="42"/>
      <c r="AH978" s="42"/>
      <c r="AI978" s="75"/>
      <c r="AJ978" s="75"/>
      <c r="AK978" s="75"/>
      <c r="AL978" s="75"/>
      <c r="AM978" s="74"/>
      <c r="AN978" s="72" t="e">
        <f>VLOOKUP(H978,[4]Planilha1!A$13:P$314,16,0)</f>
        <v>#N/A</v>
      </c>
    </row>
    <row r="979" spans="1:40" s="69" customFormat="1" x14ac:dyDescent="0.25">
      <c r="A979" s="88"/>
      <c r="B979" s="88"/>
      <c r="C979" s="70"/>
      <c r="D979" s="70"/>
      <c r="E979" s="70"/>
      <c r="F979" s="70"/>
      <c r="G979" s="70"/>
      <c r="H979" s="422"/>
      <c r="I979" s="422"/>
      <c r="J979" s="418"/>
      <c r="K979" s="403"/>
      <c r="L979" s="73"/>
      <c r="M979" s="72"/>
      <c r="N979" s="72"/>
      <c r="O979" s="72"/>
      <c r="P979" s="42"/>
      <c r="Q979" s="42"/>
      <c r="R979" s="42"/>
      <c r="S979" s="42"/>
      <c r="T979" s="42"/>
      <c r="U979" s="42"/>
      <c r="V979" s="416"/>
      <c r="W979" s="42"/>
      <c r="X979" s="74"/>
      <c r="Y979" s="74"/>
      <c r="Z979" s="74"/>
      <c r="AA979" s="74"/>
      <c r="AB979" s="74"/>
      <c r="AC979" s="42"/>
      <c r="AD979" s="42"/>
      <c r="AE979" s="42"/>
      <c r="AF979" s="42"/>
      <c r="AG979" s="42"/>
      <c r="AH979" s="42"/>
      <c r="AI979" s="75"/>
      <c r="AJ979" s="75"/>
      <c r="AK979" s="75"/>
      <c r="AL979" s="75"/>
      <c r="AM979" s="74"/>
      <c r="AN979" s="72" t="e">
        <f>VLOOKUP(H979,[4]Planilha1!A$13:P$314,16,0)</f>
        <v>#N/A</v>
      </c>
    </row>
    <row r="980" spans="1:40" s="69" customFormat="1" x14ac:dyDescent="0.25">
      <c r="A980" s="88"/>
      <c r="B980" s="88"/>
      <c r="C980" s="70"/>
      <c r="D980" s="70"/>
      <c r="E980" s="70"/>
      <c r="F980" s="70"/>
      <c r="G980" s="70"/>
      <c r="H980" s="422"/>
      <c r="I980" s="422"/>
      <c r="J980" s="418"/>
      <c r="K980" s="403"/>
      <c r="L980" s="73"/>
      <c r="M980" s="72"/>
      <c r="N980" s="72"/>
      <c r="O980" s="72"/>
      <c r="P980" s="42"/>
      <c r="Q980" s="42"/>
      <c r="R980" s="42"/>
      <c r="S980" s="42"/>
      <c r="T980" s="42"/>
      <c r="U980" s="42"/>
      <c r="V980" s="416"/>
      <c r="W980" s="42"/>
      <c r="X980" s="74"/>
      <c r="Y980" s="74"/>
      <c r="Z980" s="74"/>
      <c r="AA980" s="74"/>
      <c r="AB980" s="74"/>
      <c r="AC980" s="42"/>
      <c r="AD980" s="42"/>
      <c r="AE980" s="42"/>
      <c r="AF980" s="42"/>
      <c r="AG980" s="42"/>
      <c r="AH980" s="42"/>
      <c r="AI980" s="75"/>
      <c r="AJ980" s="75"/>
      <c r="AK980" s="75"/>
      <c r="AL980" s="75"/>
      <c r="AM980" s="74"/>
      <c r="AN980" s="72" t="e">
        <f>VLOOKUP(H980,[4]Planilha1!A$13:P$314,16,0)</f>
        <v>#N/A</v>
      </c>
    </row>
    <row r="981" spans="1:40" s="69" customFormat="1" x14ac:dyDescent="0.25">
      <c r="A981" s="88"/>
      <c r="B981" s="88"/>
      <c r="C981" s="70"/>
      <c r="D981" s="70"/>
      <c r="E981" s="70"/>
      <c r="F981" s="70"/>
      <c r="G981" s="70"/>
      <c r="H981" s="422"/>
      <c r="I981" s="422"/>
      <c r="J981" s="418"/>
      <c r="K981" s="403"/>
      <c r="L981" s="73"/>
      <c r="M981" s="72"/>
      <c r="N981" s="72"/>
      <c r="O981" s="72"/>
      <c r="P981" s="42"/>
      <c r="Q981" s="42"/>
      <c r="R981" s="42"/>
      <c r="S981" s="42"/>
      <c r="T981" s="42"/>
      <c r="U981" s="42"/>
      <c r="V981" s="416"/>
      <c r="W981" s="42"/>
      <c r="X981" s="74"/>
      <c r="Y981" s="74"/>
      <c r="Z981" s="74"/>
      <c r="AA981" s="74"/>
      <c r="AB981" s="74"/>
      <c r="AC981" s="42"/>
      <c r="AD981" s="42"/>
      <c r="AE981" s="42"/>
      <c r="AF981" s="42"/>
      <c r="AG981" s="42"/>
      <c r="AH981" s="42"/>
      <c r="AI981" s="75"/>
      <c r="AJ981" s="75"/>
      <c r="AK981" s="75"/>
      <c r="AL981" s="75"/>
      <c r="AM981" s="74"/>
      <c r="AN981" s="72" t="e">
        <f>VLOOKUP(H981,[4]Planilha1!A$13:P$314,16,0)</f>
        <v>#N/A</v>
      </c>
    </row>
    <row r="982" spans="1:40" s="69" customFormat="1" x14ac:dyDescent="0.25">
      <c r="A982" s="88"/>
      <c r="B982" s="88"/>
      <c r="C982" s="70"/>
      <c r="D982" s="70"/>
      <c r="E982" s="70"/>
      <c r="F982" s="70"/>
      <c r="G982" s="70"/>
      <c r="H982" s="422"/>
      <c r="I982" s="422"/>
      <c r="J982" s="418"/>
      <c r="K982" s="403"/>
      <c r="L982" s="73"/>
      <c r="M982" s="72"/>
      <c r="N982" s="72"/>
      <c r="O982" s="72"/>
      <c r="P982" s="42"/>
      <c r="Q982" s="42"/>
      <c r="R982" s="42"/>
      <c r="S982" s="42"/>
      <c r="T982" s="42"/>
      <c r="U982" s="42"/>
      <c r="V982" s="416"/>
      <c r="W982" s="42"/>
      <c r="X982" s="74"/>
      <c r="Y982" s="74"/>
      <c r="Z982" s="74"/>
      <c r="AA982" s="74"/>
      <c r="AB982" s="74"/>
      <c r="AC982" s="42"/>
      <c r="AD982" s="42"/>
      <c r="AE982" s="42"/>
      <c r="AF982" s="42"/>
      <c r="AG982" s="42"/>
      <c r="AH982" s="42"/>
      <c r="AI982" s="75"/>
      <c r="AJ982" s="75"/>
      <c r="AK982" s="75"/>
      <c r="AL982" s="75"/>
      <c r="AM982" s="74"/>
      <c r="AN982" s="72" t="e">
        <f>VLOOKUP(H982,[4]Planilha1!A$13:P$314,16,0)</f>
        <v>#N/A</v>
      </c>
    </row>
    <row r="983" spans="1:40" s="69" customFormat="1" x14ac:dyDescent="0.25">
      <c r="A983" s="88"/>
      <c r="B983" s="88"/>
      <c r="C983" s="70"/>
      <c r="D983" s="70"/>
      <c r="E983" s="70"/>
      <c r="F983" s="70"/>
      <c r="G983" s="70"/>
      <c r="H983" s="422"/>
      <c r="I983" s="422"/>
      <c r="J983" s="418"/>
      <c r="K983" s="403"/>
      <c r="L983" s="73"/>
      <c r="M983" s="72"/>
      <c r="N983" s="72"/>
      <c r="O983" s="72"/>
      <c r="P983" s="42"/>
      <c r="Q983" s="42"/>
      <c r="R983" s="42"/>
      <c r="S983" s="42"/>
      <c r="T983" s="42"/>
      <c r="U983" s="42"/>
      <c r="V983" s="416"/>
      <c r="W983" s="42"/>
      <c r="X983" s="74"/>
      <c r="Y983" s="74"/>
      <c r="Z983" s="74"/>
      <c r="AA983" s="74"/>
      <c r="AB983" s="74"/>
      <c r="AC983" s="42"/>
      <c r="AD983" s="42"/>
      <c r="AE983" s="42"/>
      <c r="AF983" s="42"/>
      <c r="AG983" s="42"/>
      <c r="AH983" s="42"/>
      <c r="AI983" s="75"/>
      <c r="AJ983" s="75"/>
      <c r="AK983" s="75"/>
      <c r="AL983" s="75"/>
      <c r="AM983" s="74"/>
      <c r="AN983" s="72" t="e">
        <f>VLOOKUP(H983,[4]Planilha1!A$13:P$314,16,0)</f>
        <v>#N/A</v>
      </c>
    </row>
    <row r="984" spans="1:40" s="69" customFormat="1" x14ac:dyDescent="0.25">
      <c r="A984" s="88"/>
      <c r="B984" s="88"/>
      <c r="C984" s="70"/>
      <c r="D984" s="70"/>
      <c r="E984" s="70"/>
      <c r="F984" s="70"/>
      <c r="G984" s="70"/>
      <c r="H984" s="422"/>
      <c r="I984" s="422"/>
      <c r="J984" s="418"/>
      <c r="K984" s="403"/>
      <c r="L984" s="73"/>
      <c r="M984" s="72"/>
      <c r="N984" s="72"/>
      <c r="O984" s="72"/>
      <c r="P984" s="42"/>
      <c r="Q984" s="42"/>
      <c r="R984" s="42"/>
      <c r="S984" s="42"/>
      <c r="T984" s="42"/>
      <c r="U984" s="42"/>
      <c r="V984" s="416"/>
      <c r="W984" s="42"/>
      <c r="X984" s="74"/>
      <c r="Y984" s="74"/>
      <c r="Z984" s="74"/>
      <c r="AA984" s="74"/>
      <c r="AB984" s="74"/>
      <c r="AC984" s="42"/>
      <c r="AD984" s="42"/>
      <c r="AE984" s="42"/>
      <c r="AF984" s="42"/>
      <c r="AG984" s="42"/>
      <c r="AH984" s="42"/>
      <c r="AI984" s="75"/>
      <c r="AJ984" s="75"/>
      <c r="AK984" s="75"/>
      <c r="AL984" s="75"/>
      <c r="AM984" s="74"/>
      <c r="AN984" s="72" t="e">
        <f>VLOOKUP(H984,[4]Planilha1!A$13:P$314,16,0)</f>
        <v>#N/A</v>
      </c>
    </row>
    <row r="985" spans="1:40" s="69" customFormat="1" x14ac:dyDescent="0.25">
      <c r="A985" s="88"/>
      <c r="B985" s="88"/>
      <c r="C985" s="70"/>
      <c r="D985" s="70"/>
      <c r="E985" s="70"/>
      <c r="F985" s="70"/>
      <c r="G985" s="70"/>
      <c r="H985" s="422"/>
      <c r="I985" s="422"/>
      <c r="J985" s="418"/>
      <c r="K985" s="403"/>
      <c r="L985" s="73"/>
      <c r="M985" s="72"/>
      <c r="N985" s="72"/>
      <c r="O985" s="72"/>
      <c r="P985" s="42"/>
      <c r="Q985" s="42"/>
      <c r="R985" s="42"/>
      <c r="S985" s="42"/>
      <c r="T985" s="42"/>
      <c r="U985" s="42"/>
      <c r="V985" s="416"/>
      <c r="W985" s="42"/>
      <c r="X985" s="74"/>
      <c r="Y985" s="74"/>
      <c r="Z985" s="74"/>
      <c r="AA985" s="74"/>
      <c r="AB985" s="74"/>
      <c r="AC985" s="42"/>
      <c r="AD985" s="42"/>
      <c r="AE985" s="42"/>
      <c r="AF985" s="42"/>
      <c r="AG985" s="42"/>
      <c r="AH985" s="42"/>
      <c r="AI985" s="75"/>
      <c r="AJ985" s="75"/>
      <c r="AK985" s="75"/>
      <c r="AL985" s="75"/>
      <c r="AM985" s="74"/>
      <c r="AN985" s="72" t="e">
        <f>VLOOKUP(H985,[4]Planilha1!A$13:P$314,16,0)</f>
        <v>#N/A</v>
      </c>
    </row>
    <row r="986" spans="1:40" s="69" customFormat="1" x14ac:dyDescent="0.25">
      <c r="A986" s="88"/>
      <c r="B986" s="88"/>
      <c r="C986" s="70"/>
      <c r="D986" s="70"/>
      <c r="E986" s="70"/>
      <c r="F986" s="70"/>
      <c r="G986" s="70"/>
      <c r="H986" s="422"/>
      <c r="I986" s="422"/>
      <c r="J986" s="418"/>
      <c r="K986" s="403"/>
      <c r="L986" s="73"/>
      <c r="M986" s="72"/>
      <c r="N986" s="72"/>
      <c r="O986" s="72"/>
      <c r="P986" s="42"/>
      <c r="Q986" s="42"/>
      <c r="R986" s="42"/>
      <c r="S986" s="42"/>
      <c r="T986" s="42"/>
      <c r="U986" s="42"/>
      <c r="V986" s="416"/>
      <c r="W986" s="42"/>
      <c r="X986" s="74"/>
      <c r="Y986" s="74"/>
      <c r="Z986" s="74"/>
      <c r="AA986" s="74"/>
      <c r="AB986" s="74"/>
      <c r="AC986" s="42"/>
      <c r="AD986" s="42"/>
      <c r="AE986" s="42"/>
      <c r="AF986" s="42"/>
      <c r="AG986" s="42"/>
      <c r="AH986" s="42"/>
      <c r="AI986" s="75"/>
      <c r="AJ986" s="75"/>
      <c r="AK986" s="75"/>
      <c r="AL986" s="75"/>
      <c r="AM986" s="74"/>
      <c r="AN986" s="72" t="e">
        <f>VLOOKUP(H986,[4]Planilha1!A$13:P$314,16,0)</f>
        <v>#N/A</v>
      </c>
    </row>
    <row r="987" spans="1:40" s="69" customFormat="1" x14ac:dyDescent="0.25">
      <c r="A987" s="88"/>
      <c r="B987" s="88"/>
      <c r="C987" s="70"/>
      <c r="D987" s="70"/>
      <c r="E987" s="70"/>
      <c r="F987" s="70"/>
      <c r="G987" s="70"/>
      <c r="H987" s="422"/>
      <c r="I987" s="422"/>
      <c r="J987" s="418"/>
      <c r="K987" s="403"/>
      <c r="L987" s="73"/>
      <c r="M987" s="72"/>
      <c r="N987" s="72"/>
      <c r="O987" s="72"/>
      <c r="P987" s="42"/>
      <c r="Q987" s="42"/>
      <c r="R987" s="42"/>
      <c r="S987" s="42"/>
      <c r="T987" s="42"/>
      <c r="U987" s="42"/>
      <c r="V987" s="416"/>
      <c r="W987" s="42"/>
      <c r="X987" s="74"/>
      <c r="Y987" s="74"/>
      <c r="Z987" s="74"/>
      <c r="AA987" s="74"/>
      <c r="AB987" s="74"/>
      <c r="AC987" s="42"/>
      <c r="AD987" s="42"/>
      <c r="AE987" s="42"/>
      <c r="AF987" s="42"/>
      <c r="AG987" s="42"/>
      <c r="AH987" s="42"/>
      <c r="AI987" s="75"/>
      <c r="AJ987" s="75"/>
      <c r="AK987" s="75"/>
      <c r="AL987" s="75"/>
      <c r="AM987" s="74"/>
      <c r="AN987" s="72" t="e">
        <f>VLOOKUP(H987,[4]Planilha1!A$13:P$314,16,0)</f>
        <v>#N/A</v>
      </c>
    </row>
    <row r="988" spans="1:40" s="69" customFormat="1" x14ac:dyDescent="0.25">
      <c r="A988" s="88"/>
      <c r="B988" s="88"/>
      <c r="C988" s="70"/>
      <c r="D988" s="70"/>
      <c r="E988" s="70"/>
      <c r="F988" s="70"/>
      <c r="G988" s="70"/>
      <c r="H988" s="422"/>
      <c r="I988" s="422"/>
      <c r="J988" s="418"/>
      <c r="K988" s="403"/>
      <c r="L988" s="73"/>
      <c r="M988" s="72"/>
      <c r="N988" s="72"/>
      <c r="O988" s="72"/>
      <c r="P988" s="42"/>
      <c r="Q988" s="42"/>
      <c r="R988" s="42"/>
      <c r="S988" s="42"/>
      <c r="T988" s="42"/>
      <c r="U988" s="42"/>
      <c r="V988" s="416"/>
      <c r="W988" s="42"/>
      <c r="X988" s="74"/>
      <c r="Y988" s="74"/>
      <c r="Z988" s="74"/>
      <c r="AA988" s="74"/>
      <c r="AB988" s="74"/>
      <c r="AC988" s="42"/>
      <c r="AD988" s="42"/>
      <c r="AE988" s="42"/>
      <c r="AF988" s="42"/>
      <c r="AG988" s="42"/>
      <c r="AH988" s="42"/>
      <c r="AI988" s="75"/>
      <c r="AJ988" s="75"/>
      <c r="AK988" s="75"/>
      <c r="AL988" s="75"/>
      <c r="AM988" s="74"/>
      <c r="AN988" s="72" t="e">
        <f>VLOOKUP(H988,[4]Planilha1!A$13:P$314,16,0)</f>
        <v>#N/A</v>
      </c>
    </row>
    <row r="989" spans="1:40" s="69" customFormat="1" x14ac:dyDescent="0.25">
      <c r="A989" s="88"/>
      <c r="B989" s="88"/>
      <c r="C989" s="70"/>
      <c r="D989" s="70"/>
      <c r="E989" s="70"/>
      <c r="F989" s="70"/>
      <c r="G989" s="70"/>
      <c r="H989" s="422"/>
      <c r="I989" s="422"/>
      <c r="J989" s="418"/>
      <c r="K989" s="403"/>
      <c r="L989" s="73"/>
      <c r="M989" s="72"/>
      <c r="N989" s="72"/>
      <c r="O989" s="72"/>
      <c r="P989" s="42"/>
      <c r="Q989" s="42"/>
      <c r="R989" s="42"/>
      <c r="S989" s="42"/>
      <c r="T989" s="42"/>
      <c r="U989" s="42"/>
      <c r="V989" s="416"/>
      <c r="W989" s="42"/>
      <c r="X989" s="74"/>
      <c r="Y989" s="74"/>
      <c r="Z989" s="74"/>
      <c r="AA989" s="74"/>
      <c r="AB989" s="74"/>
      <c r="AC989" s="42"/>
      <c r="AD989" s="42"/>
      <c r="AE989" s="42"/>
      <c r="AF989" s="42"/>
      <c r="AG989" s="42"/>
      <c r="AH989" s="42"/>
      <c r="AI989" s="75"/>
      <c r="AJ989" s="75"/>
      <c r="AK989" s="75"/>
      <c r="AL989" s="75"/>
      <c r="AM989" s="74"/>
      <c r="AN989" s="72" t="e">
        <f>VLOOKUP(H989,[4]Planilha1!A$13:P$314,16,0)</f>
        <v>#N/A</v>
      </c>
    </row>
    <row r="990" spans="1:40" s="69" customFormat="1" x14ac:dyDescent="0.25">
      <c r="A990" s="88"/>
      <c r="B990" s="88"/>
      <c r="C990" s="70"/>
      <c r="D990" s="70"/>
      <c r="E990" s="70"/>
      <c r="F990" s="70"/>
      <c r="G990" s="70"/>
      <c r="H990" s="422"/>
      <c r="I990" s="422"/>
      <c r="J990" s="418"/>
      <c r="K990" s="403"/>
      <c r="L990" s="73"/>
      <c r="M990" s="72"/>
      <c r="N990" s="72"/>
      <c r="O990" s="72"/>
      <c r="P990" s="42"/>
      <c r="Q990" s="42"/>
      <c r="R990" s="42"/>
      <c r="S990" s="42"/>
      <c r="T990" s="42"/>
      <c r="U990" s="42"/>
      <c r="V990" s="416"/>
      <c r="W990" s="42"/>
      <c r="X990" s="74"/>
      <c r="Y990" s="74"/>
      <c r="Z990" s="74"/>
      <c r="AA990" s="74"/>
      <c r="AB990" s="74"/>
      <c r="AC990" s="42"/>
      <c r="AD990" s="42"/>
      <c r="AE990" s="42"/>
      <c r="AF990" s="42"/>
      <c r="AG990" s="42"/>
      <c r="AH990" s="42"/>
      <c r="AI990" s="75"/>
      <c r="AJ990" s="75"/>
      <c r="AK990" s="75"/>
      <c r="AL990" s="75"/>
      <c r="AM990" s="74"/>
      <c r="AN990" s="72" t="e">
        <f>VLOOKUP(H990,[4]Planilha1!A$13:P$314,16,0)</f>
        <v>#N/A</v>
      </c>
    </row>
    <row r="991" spans="1:40" s="69" customFormat="1" x14ac:dyDescent="0.25">
      <c r="A991" s="88"/>
      <c r="B991" s="88"/>
      <c r="C991" s="70"/>
      <c r="D991" s="70"/>
      <c r="E991" s="70"/>
      <c r="F991" s="70"/>
      <c r="G991" s="70"/>
      <c r="H991" s="422"/>
      <c r="I991" s="422"/>
      <c r="J991" s="418"/>
      <c r="K991" s="403"/>
      <c r="L991" s="73"/>
      <c r="M991" s="72"/>
      <c r="N991" s="72"/>
      <c r="O991" s="72"/>
      <c r="P991" s="42"/>
      <c r="Q991" s="42"/>
      <c r="R991" s="42"/>
      <c r="S991" s="42"/>
      <c r="T991" s="42"/>
      <c r="U991" s="42"/>
      <c r="V991" s="416"/>
      <c r="W991" s="42"/>
      <c r="X991" s="74"/>
      <c r="Y991" s="74"/>
      <c r="Z991" s="74"/>
      <c r="AA991" s="74"/>
      <c r="AB991" s="74"/>
      <c r="AC991" s="42"/>
      <c r="AD991" s="42"/>
      <c r="AE991" s="42"/>
      <c r="AF991" s="42"/>
      <c r="AG991" s="42"/>
      <c r="AH991" s="42"/>
      <c r="AI991" s="75"/>
      <c r="AJ991" s="75"/>
      <c r="AK991" s="75"/>
      <c r="AL991" s="75"/>
      <c r="AM991" s="74"/>
      <c r="AN991" s="72" t="e">
        <f>VLOOKUP(H991,[4]Planilha1!A$13:P$314,16,0)</f>
        <v>#N/A</v>
      </c>
    </row>
    <row r="992" spans="1:40" s="69" customFormat="1" x14ac:dyDescent="0.25">
      <c r="A992" s="88"/>
      <c r="B992" s="88"/>
      <c r="C992" s="70"/>
      <c r="D992" s="70"/>
      <c r="E992" s="70"/>
      <c r="F992" s="70"/>
      <c r="G992" s="70"/>
      <c r="H992" s="422"/>
      <c r="I992" s="422"/>
      <c r="J992" s="418"/>
      <c r="K992" s="403"/>
      <c r="L992" s="73"/>
      <c r="M992" s="72"/>
      <c r="N992" s="72"/>
      <c r="O992" s="72"/>
      <c r="P992" s="42"/>
      <c r="Q992" s="42"/>
      <c r="R992" s="42"/>
      <c r="S992" s="42"/>
      <c r="T992" s="42"/>
      <c r="U992" s="42"/>
      <c r="V992" s="416"/>
      <c r="W992" s="42"/>
      <c r="X992" s="74"/>
      <c r="Y992" s="74"/>
      <c r="Z992" s="74"/>
      <c r="AA992" s="74"/>
      <c r="AB992" s="74"/>
      <c r="AC992" s="42"/>
      <c r="AD992" s="42"/>
      <c r="AE992" s="42"/>
      <c r="AF992" s="42"/>
      <c r="AG992" s="42"/>
      <c r="AH992" s="42"/>
      <c r="AI992" s="75"/>
      <c r="AJ992" s="75"/>
      <c r="AK992" s="75"/>
      <c r="AL992" s="75"/>
      <c r="AM992" s="74"/>
      <c r="AN992" s="72" t="e">
        <f>VLOOKUP(H992,[4]Planilha1!A$13:P$314,16,0)</f>
        <v>#N/A</v>
      </c>
    </row>
    <row r="993" spans="1:40" s="69" customFormat="1" x14ac:dyDescent="0.25">
      <c r="A993" s="88"/>
      <c r="B993" s="88"/>
      <c r="C993" s="70"/>
      <c r="D993" s="70"/>
      <c r="E993" s="70"/>
      <c r="F993" s="70"/>
      <c r="G993" s="70"/>
      <c r="H993" s="422"/>
      <c r="I993" s="422"/>
      <c r="J993" s="418"/>
      <c r="K993" s="403"/>
      <c r="L993" s="73"/>
      <c r="M993" s="72"/>
      <c r="N993" s="72"/>
      <c r="O993" s="72"/>
      <c r="P993" s="42"/>
      <c r="Q993" s="42"/>
      <c r="R993" s="42"/>
      <c r="S993" s="42"/>
      <c r="T993" s="42"/>
      <c r="U993" s="42"/>
      <c r="V993" s="416"/>
      <c r="W993" s="42"/>
      <c r="X993" s="74"/>
      <c r="Y993" s="74"/>
      <c r="Z993" s="74"/>
      <c r="AA993" s="74"/>
      <c r="AB993" s="74"/>
      <c r="AC993" s="42"/>
      <c r="AD993" s="42"/>
      <c r="AE993" s="42"/>
      <c r="AF993" s="42"/>
      <c r="AG993" s="42"/>
      <c r="AH993" s="42"/>
      <c r="AI993" s="75"/>
      <c r="AJ993" s="75"/>
      <c r="AK993" s="75"/>
      <c r="AL993" s="75"/>
      <c r="AM993" s="74"/>
      <c r="AN993" s="72" t="e">
        <f>VLOOKUP(H993,[4]Planilha1!A$13:P$314,16,0)</f>
        <v>#N/A</v>
      </c>
    </row>
    <row r="994" spans="1:40" s="69" customFormat="1" x14ac:dyDescent="0.25">
      <c r="A994" s="88"/>
      <c r="B994" s="88"/>
      <c r="C994" s="70"/>
      <c r="D994" s="70"/>
      <c r="E994" s="70"/>
      <c r="F994" s="70"/>
      <c r="G994" s="70"/>
      <c r="H994" s="422"/>
      <c r="I994" s="422"/>
      <c r="J994" s="418"/>
      <c r="K994" s="403"/>
      <c r="L994" s="73"/>
      <c r="M994" s="72"/>
      <c r="N994" s="72"/>
      <c r="O994" s="72"/>
      <c r="P994" s="42"/>
      <c r="Q994" s="42"/>
      <c r="R994" s="42"/>
      <c r="S994" s="42"/>
      <c r="T994" s="42"/>
      <c r="U994" s="42"/>
      <c r="V994" s="416"/>
      <c r="W994" s="42"/>
      <c r="X994" s="74"/>
      <c r="Y994" s="74"/>
      <c r="Z994" s="74"/>
      <c r="AA994" s="74"/>
      <c r="AB994" s="74"/>
      <c r="AC994" s="42"/>
      <c r="AD994" s="42"/>
      <c r="AE994" s="42"/>
      <c r="AF994" s="42"/>
      <c r="AG994" s="42"/>
      <c r="AH994" s="42"/>
      <c r="AI994" s="75"/>
      <c r="AJ994" s="75"/>
      <c r="AK994" s="75"/>
      <c r="AL994" s="75"/>
      <c r="AM994" s="74"/>
      <c r="AN994" s="72" t="e">
        <f>VLOOKUP(H994,[4]Planilha1!A$13:P$314,16,0)</f>
        <v>#N/A</v>
      </c>
    </row>
    <row r="995" spans="1:40" s="69" customFormat="1" x14ac:dyDescent="0.25">
      <c r="A995" s="88"/>
      <c r="B995" s="88"/>
      <c r="C995" s="70"/>
      <c r="D995" s="70"/>
      <c r="E995" s="70"/>
      <c r="F995" s="70"/>
      <c r="G995" s="70"/>
      <c r="H995" s="422"/>
      <c r="I995" s="422"/>
      <c r="J995" s="418"/>
      <c r="K995" s="403"/>
      <c r="L995" s="73"/>
      <c r="M995" s="72"/>
      <c r="N995" s="72"/>
      <c r="O995" s="72"/>
      <c r="P995" s="42"/>
      <c r="Q995" s="42"/>
      <c r="R995" s="42"/>
      <c r="S995" s="42"/>
      <c r="T995" s="42"/>
      <c r="U995" s="42"/>
      <c r="V995" s="416"/>
      <c r="W995" s="42"/>
      <c r="X995" s="74"/>
      <c r="Y995" s="74"/>
      <c r="Z995" s="74"/>
      <c r="AA995" s="74"/>
      <c r="AB995" s="74"/>
      <c r="AC995" s="42"/>
      <c r="AD995" s="42"/>
      <c r="AE995" s="42"/>
      <c r="AF995" s="42"/>
      <c r="AG995" s="42"/>
      <c r="AH995" s="42"/>
      <c r="AI995" s="75"/>
      <c r="AJ995" s="75"/>
      <c r="AK995" s="75"/>
      <c r="AL995" s="75"/>
      <c r="AM995" s="74"/>
      <c r="AN995" s="72" t="e">
        <f>VLOOKUP(H995,[4]Planilha1!A$13:P$314,16,0)</f>
        <v>#N/A</v>
      </c>
    </row>
    <row r="996" spans="1:40" s="69" customFormat="1" x14ac:dyDescent="0.25">
      <c r="A996" s="88"/>
      <c r="B996" s="88"/>
      <c r="C996" s="70"/>
      <c r="D996" s="70"/>
      <c r="E996" s="70"/>
      <c r="F996" s="70"/>
      <c r="G996" s="70"/>
      <c r="H996" s="422"/>
      <c r="I996" s="422"/>
      <c r="J996" s="418"/>
      <c r="K996" s="403"/>
      <c r="L996" s="73"/>
      <c r="M996" s="72"/>
      <c r="N996" s="72"/>
      <c r="O996" s="72"/>
      <c r="P996" s="42"/>
      <c r="Q996" s="42"/>
      <c r="R996" s="42"/>
      <c r="S996" s="42"/>
      <c r="T996" s="42"/>
      <c r="U996" s="42"/>
      <c r="V996" s="416"/>
      <c r="W996" s="42"/>
      <c r="X996" s="74"/>
      <c r="Y996" s="74"/>
      <c r="Z996" s="74"/>
      <c r="AA996" s="74"/>
      <c r="AB996" s="74"/>
      <c r="AC996" s="42"/>
      <c r="AD996" s="42"/>
      <c r="AE996" s="42"/>
      <c r="AF996" s="42"/>
      <c r="AG996" s="42"/>
      <c r="AH996" s="42"/>
      <c r="AI996" s="75"/>
      <c r="AJ996" s="75"/>
      <c r="AK996" s="75"/>
      <c r="AL996" s="75"/>
      <c r="AM996" s="74"/>
      <c r="AN996" s="72" t="e">
        <f>VLOOKUP(H996,[4]Planilha1!A$13:P$314,16,0)</f>
        <v>#N/A</v>
      </c>
    </row>
    <row r="997" spans="1:40" s="69" customFormat="1" x14ac:dyDescent="0.25">
      <c r="A997" s="88"/>
      <c r="B997" s="88"/>
      <c r="C997" s="70"/>
      <c r="D997" s="70"/>
      <c r="E997" s="70"/>
      <c r="F997" s="70"/>
      <c r="G997" s="70"/>
      <c r="H997" s="422"/>
      <c r="I997" s="422"/>
      <c r="J997" s="418"/>
      <c r="K997" s="403"/>
      <c r="L997" s="73"/>
      <c r="M997" s="72"/>
      <c r="N997" s="72"/>
      <c r="O997" s="72"/>
      <c r="P997" s="42"/>
      <c r="Q997" s="42"/>
      <c r="R997" s="42"/>
      <c r="S997" s="42"/>
      <c r="T997" s="42"/>
      <c r="U997" s="42"/>
      <c r="V997" s="416"/>
      <c r="W997" s="42"/>
      <c r="X997" s="74"/>
      <c r="Y997" s="74"/>
      <c r="Z997" s="74"/>
      <c r="AA997" s="74"/>
      <c r="AB997" s="74"/>
      <c r="AC997" s="42"/>
      <c r="AD997" s="42"/>
      <c r="AE997" s="42"/>
      <c r="AF997" s="42"/>
      <c r="AG997" s="42"/>
      <c r="AH997" s="42"/>
      <c r="AI997" s="75"/>
      <c r="AJ997" s="75"/>
      <c r="AK997" s="75"/>
      <c r="AL997" s="75"/>
      <c r="AM997" s="74"/>
      <c r="AN997" s="72" t="e">
        <f>VLOOKUP(H997,[4]Planilha1!A$13:P$314,16,0)</f>
        <v>#N/A</v>
      </c>
    </row>
    <row r="998" spans="1:40" s="69" customFormat="1" x14ac:dyDescent="0.25">
      <c r="A998" s="88"/>
      <c r="B998" s="88"/>
      <c r="C998" s="70"/>
      <c r="D998" s="70"/>
      <c r="E998" s="70"/>
      <c r="F998" s="70"/>
      <c r="G998" s="70"/>
      <c r="H998" s="422"/>
      <c r="I998" s="422"/>
      <c r="J998" s="418"/>
      <c r="K998" s="403"/>
      <c r="L998" s="73"/>
      <c r="M998" s="72"/>
      <c r="N998" s="72"/>
      <c r="O998" s="72"/>
      <c r="P998" s="42"/>
      <c r="Q998" s="42"/>
      <c r="R998" s="42"/>
      <c r="S998" s="42"/>
      <c r="T998" s="42"/>
      <c r="U998" s="42"/>
      <c r="V998" s="416"/>
      <c r="W998" s="42"/>
      <c r="X998" s="74"/>
      <c r="Y998" s="74"/>
      <c r="Z998" s="74"/>
      <c r="AA998" s="74"/>
      <c r="AB998" s="74"/>
      <c r="AC998" s="42"/>
      <c r="AD998" s="42"/>
      <c r="AE998" s="42"/>
      <c r="AF998" s="42"/>
      <c r="AG998" s="42"/>
      <c r="AH998" s="42"/>
      <c r="AI998" s="75"/>
      <c r="AJ998" s="75"/>
      <c r="AK998" s="75"/>
      <c r="AL998" s="75"/>
      <c r="AM998" s="74"/>
      <c r="AN998" s="72" t="e">
        <f>VLOOKUP(H998,[4]Planilha1!A$13:P$314,16,0)</f>
        <v>#N/A</v>
      </c>
    </row>
    <row r="999" spans="1:40" s="69" customFormat="1" x14ac:dyDescent="0.25">
      <c r="A999" s="88"/>
      <c r="B999" s="88"/>
      <c r="C999" s="70"/>
      <c r="D999" s="70"/>
      <c r="E999" s="70"/>
      <c r="F999" s="70"/>
      <c r="G999" s="70"/>
      <c r="H999" s="422"/>
      <c r="I999" s="422"/>
      <c r="J999" s="418"/>
      <c r="K999" s="403"/>
      <c r="L999" s="73"/>
      <c r="M999" s="72"/>
      <c r="N999" s="72"/>
      <c r="O999" s="72"/>
      <c r="P999" s="42"/>
      <c r="Q999" s="42"/>
      <c r="R999" s="42"/>
      <c r="S999" s="42"/>
      <c r="T999" s="42"/>
      <c r="U999" s="42"/>
      <c r="V999" s="416"/>
      <c r="W999" s="42"/>
      <c r="X999" s="74"/>
      <c r="Y999" s="74"/>
      <c r="Z999" s="74"/>
      <c r="AA999" s="74"/>
      <c r="AB999" s="74"/>
      <c r="AC999" s="42"/>
      <c r="AD999" s="42"/>
      <c r="AE999" s="42"/>
      <c r="AF999" s="42"/>
      <c r="AG999" s="42"/>
      <c r="AH999" s="42"/>
      <c r="AI999" s="75"/>
      <c r="AJ999" s="75"/>
      <c r="AK999" s="75"/>
      <c r="AL999" s="75"/>
      <c r="AM999" s="74"/>
      <c r="AN999" s="72" t="e">
        <f>VLOOKUP(H999,[4]Planilha1!A$13:P$314,16,0)</f>
        <v>#N/A</v>
      </c>
    </row>
    <row r="1000" spans="1:40" s="69" customFormat="1" x14ac:dyDescent="0.25">
      <c r="A1000" s="88"/>
      <c r="B1000" s="88"/>
      <c r="C1000" s="70"/>
      <c r="D1000" s="70"/>
      <c r="E1000" s="70"/>
      <c r="F1000" s="70"/>
      <c r="G1000" s="70"/>
      <c r="H1000" s="422"/>
      <c r="I1000" s="422"/>
      <c r="J1000" s="418"/>
      <c r="K1000" s="403"/>
      <c r="L1000" s="73"/>
      <c r="M1000" s="72"/>
      <c r="N1000" s="72"/>
      <c r="O1000" s="72"/>
      <c r="P1000" s="42"/>
      <c r="Q1000" s="42"/>
      <c r="R1000" s="42"/>
      <c r="S1000" s="42"/>
      <c r="T1000" s="42"/>
      <c r="U1000" s="42"/>
      <c r="V1000" s="416"/>
      <c r="W1000" s="42"/>
      <c r="X1000" s="74"/>
      <c r="Y1000" s="74"/>
      <c r="Z1000" s="74"/>
      <c r="AA1000" s="74"/>
      <c r="AB1000" s="74"/>
      <c r="AC1000" s="42"/>
      <c r="AD1000" s="42"/>
      <c r="AE1000" s="42"/>
      <c r="AF1000" s="42"/>
      <c r="AG1000" s="42"/>
      <c r="AH1000" s="42"/>
      <c r="AI1000" s="75"/>
      <c r="AJ1000" s="75"/>
      <c r="AK1000" s="75"/>
      <c r="AL1000" s="75"/>
      <c r="AM1000" s="74"/>
      <c r="AN1000" s="72" t="e">
        <f>VLOOKUP(H1000,[4]Planilha1!A$13:P$314,16,0)</f>
        <v>#N/A</v>
      </c>
    </row>
    <row r="1001" spans="1:40" s="69" customFormat="1" x14ac:dyDescent="0.25">
      <c r="A1001" s="88"/>
      <c r="B1001" s="88"/>
      <c r="C1001" s="70"/>
      <c r="D1001" s="70"/>
      <c r="E1001" s="70"/>
      <c r="F1001" s="70"/>
      <c r="G1001" s="70"/>
      <c r="H1001" s="422"/>
      <c r="I1001" s="422"/>
      <c r="J1001" s="418"/>
      <c r="K1001" s="403"/>
      <c r="L1001" s="73"/>
      <c r="M1001" s="72"/>
      <c r="N1001" s="72"/>
      <c r="O1001" s="72"/>
      <c r="P1001" s="42"/>
      <c r="Q1001" s="42"/>
      <c r="R1001" s="42"/>
      <c r="S1001" s="42"/>
      <c r="T1001" s="42"/>
      <c r="U1001" s="42"/>
      <c r="V1001" s="416"/>
      <c r="W1001" s="42"/>
      <c r="X1001" s="74"/>
      <c r="Y1001" s="74"/>
      <c r="Z1001" s="74"/>
      <c r="AA1001" s="74"/>
      <c r="AB1001" s="74"/>
      <c r="AC1001" s="42"/>
      <c r="AD1001" s="42"/>
      <c r="AE1001" s="42"/>
      <c r="AF1001" s="42"/>
      <c r="AG1001" s="42"/>
      <c r="AH1001" s="42"/>
      <c r="AI1001" s="75"/>
      <c r="AJ1001" s="75"/>
      <c r="AK1001" s="75"/>
      <c r="AL1001" s="75"/>
      <c r="AM1001" s="74"/>
      <c r="AN1001" s="72" t="e">
        <f>VLOOKUP(H1001,[4]Planilha1!A$13:P$314,16,0)</f>
        <v>#N/A</v>
      </c>
    </row>
    <row r="1002" spans="1:40" s="69" customFormat="1" x14ac:dyDescent="0.25">
      <c r="A1002" s="88"/>
      <c r="B1002" s="88"/>
      <c r="C1002" s="70"/>
      <c r="D1002" s="70"/>
      <c r="E1002" s="70"/>
      <c r="F1002" s="70"/>
      <c r="G1002" s="70"/>
      <c r="H1002" s="422"/>
      <c r="I1002" s="422"/>
      <c r="J1002" s="418"/>
      <c r="K1002" s="403"/>
      <c r="L1002" s="73"/>
      <c r="M1002" s="72"/>
      <c r="N1002" s="72"/>
      <c r="O1002" s="72"/>
      <c r="P1002" s="42"/>
      <c r="Q1002" s="42"/>
      <c r="R1002" s="42"/>
      <c r="S1002" s="42"/>
      <c r="T1002" s="42"/>
      <c r="U1002" s="42"/>
      <c r="V1002" s="416"/>
      <c r="W1002" s="42"/>
      <c r="X1002" s="74"/>
      <c r="Y1002" s="74"/>
      <c r="Z1002" s="74"/>
      <c r="AA1002" s="74"/>
      <c r="AB1002" s="74"/>
      <c r="AC1002" s="42"/>
      <c r="AD1002" s="42"/>
      <c r="AE1002" s="42"/>
      <c r="AF1002" s="42"/>
      <c r="AG1002" s="42"/>
      <c r="AH1002" s="42"/>
      <c r="AI1002" s="75"/>
      <c r="AJ1002" s="75"/>
      <c r="AK1002" s="75"/>
      <c r="AL1002" s="75"/>
      <c r="AM1002" s="74"/>
      <c r="AN1002" s="72" t="e">
        <f>VLOOKUP(H1002,[4]Planilha1!A$13:P$314,16,0)</f>
        <v>#N/A</v>
      </c>
    </row>
    <row r="1003" spans="1:40" s="69" customFormat="1" x14ac:dyDescent="0.25">
      <c r="A1003" s="88"/>
      <c r="B1003" s="88"/>
      <c r="C1003" s="70"/>
      <c r="D1003" s="70"/>
      <c r="E1003" s="70"/>
      <c r="F1003" s="70"/>
      <c r="G1003" s="70"/>
      <c r="H1003" s="422"/>
      <c r="I1003" s="422"/>
      <c r="J1003" s="418"/>
      <c r="K1003" s="403"/>
      <c r="L1003" s="73"/>
      <c r="M1003" s="72"/>
      <c r="N1003" s="72"/>
      <c r="O1003" s="72"/>
      <c r="P1003" s="42"/>
      <c r="Q1003" s="42"/>
      <c r="R1003" s="42"/>
      <c r="S1003" s="42"/>
      <c r="T1003" s="42"/>
      <c r="U1003" s="42"/>
      <c r="V1003" s="416"/>
      <c r="W1003" s="42"/>
      <c r="X1003" s="74"/>
      <c r="Y1003" s="74"/>
      <c r="Z1003" s="74"/>
      <c r="AA1003" s="74"/>
      <c r="AB1003" s="74"/>
      <c r="AC1003" s="42"/>
      <c r="AD1003" s="42"/>
      <c r="AE1003" s="42"/>
      <c r="AF1003" s="42"/>
      <c r="AG1003" s="42"/>
      <c r="AH1003" s="42"/>
      <c r="AI1003" s="75"/>
      <c r="AJ1003" s="75"/>
      <c r="AK1003" s="75"/>
      <c r="AL1003" s="75"/>
      <c r="AM1003" s="74"/>
      <c r="AN1003" s="72" t="e">
        <f>VLOOKUP(H1003,[4]Planilha1!A$13:P$314,16,0)</f>
        <v>#N/A</v>
      </c>
    </row>
    <row r="1004" spans="1:40" s="69" customFormat="1" x14ac:dyDescent="0.25">
      <c r="A1004" s="88"/>
      <c r="B1004" s="88"/>
      <c r="C1004" s="70"/>
      <c r="D1004" s="70"/>
      <c r="E1004" s="70"/>
      <c r="F1004" s="70"/>
      <c r="G1004" s="70"/>
      <c r="H1004" s="422"/>
      <c r="I1004" s="422"/>
      <c r="J1004" s="418"/>
      <c r="K1004" s="403"/>
      <c r="L1004" s="73"/>
      <c r="M1004" s="72"/>
      <c r="N1004" s="72"/>
      <c r="O1004" s="72"/>
      <c r="P1004" s="42"/>
      <c r="Q1004" s="42"/>
      <c r="R1004" s="42"/>
      <c r="S1004" s="42"/>
      <c r="T1004" s="42"/>
      <c r="U1004" s="42"/>
      <c r="V1004" s="416"/>
      <c r="W1004" s="42"/>
      <c r="X1004" s="74"/>
      <c r="Y1004" s="74"/>
      <c r="Z1004" s="74"/>
      <c r="AA1004" s="74"/>
      <c r="AB1004" s="74"/>
      <c r="AC1004" s="42"/>
      <c r="AD1004" s="42"/>
      <c r="AE1004" s="42"/>
      <c r="AF1004" s="42"/>
      <c r="AG1004" s="42"/>
      <c r="AH1004" s="42"/>
      <c r="AI1004" s="75"/>
      <c r="AJ1004" s="75"/>
      <c r="AK1004" s="75"/>
      <c r="AL1004" s="75"/>
      <c r="AM1004" s="74"/>
      <c r="AN1004" s="72" t="e">
        <f>VLOOKUP(H1004,[4]Planilha1!A$13:P$314,16,0)</f>
        <v>#N/A</v>
      </c>
    </row>
    <row r="1005" spans="1:40" s="69" customFormat="1" x14ac:dyDescent="0.25">
      <c r="A1005" s="88"/>
      <c r="B1005" s="88"/>
      <c r="C1005" s="70"/>
      <c r="D1005" s="70"/>
      <c r="E1005" s="70"/>
      <c r="F1005" s="70"/>
      <c r="G1005" s="70"/>
      <c r="H1005" s="422"/>
      <c r="I1005" s="422"/>
      <c r="J1005" s="418"/>
      <c r="K1005" s="403"/>
      <c r="L1005" s="73"/>
      <c r="M1005" s="72"/>
      <c r="N1005" s="72"/>
      <c r="O1005" s="72"/>
      <c r="P1005" s="42"/>
      <c r="Q1005" s="42"/>
      <c r="R1005" s="42"/>
      <c r="S1005" s="42"/>
      <c r="T1005" s="42"/>
      <c r="U1005" s="42"/>
      <c r="V1005" s="416"/>
      <c r="W1005" s="42"/>
      <c r="X1005" s="74"/>
      <c r="Y1005" s="74"/>
      <c r="Z1005" s="74"/>
      <c r="AA1005" s="74"/>
      <c r="AB1005" s="74"/>
      <c r="AC1005" s="42"/>
      <c r="AD1005" s="42"/>
      <c r="AE1005" s="42"/>
      <c r="AF1005" s="42"/>
      <c r="AG1005" s="42"/>
      <c r="AH1005" s="42"/>
      <c r="AI1005" s="75"/>
      <c r="AJ1005" s="75"/>
      <c r="AK1005" s="75"/>
      <c r="AL1005" s="75"/>
      <c r="AM1005" s="74"/>
      <c r="AN1005" s="72" t="e">
        <f>VLOOKUP(H1005,[4]Planilha1!A$13:P$314,16,0)</f>
        <v>#N/A</v>
      </c>
    </row>
    <row r="1006" spans="1:40" s="69" customFormat="1" x14ac:dyDescent="0.25">
      <c r="A1006" s="88"/>
      <c r="B1006" s="88"/>
      <c r="C1006" s="70"/>
      <c r="D1006" s="70"/>
      <c r="E1006" s="70"/>
      <c r="F1006" s="70"/>
      <c r="G1006" s="70"/>
      <c r="H1006" s="422"/>
      <c r="I1006" s="422"/>
      <c r="J1006" s="418"/>
      <c r="K1006" s="403"/>
      <c r="L1006" s="73"/>
      <c r="M1006" s="72"/>
      <c r="N1006" s="72"/>
      <c r="O1006" s="72"/>
      <c r="P1006" s="42"/>
      <c r="Q1006" s="42"/>
      <c r="R1006" s="42"/>
      <c r="S1006" s="42"/>
      <c r="T1006" s="42"/>
      <c r="U1006" s="42"/>
      <c r="V1006" s="416"/>
      <c r="W1006" s="42"/>
      <c r="X1006" s="74"/>
      <c r="Y1006" s="74"/>
      <c r="Z1006" s="74"/>
      <c r="AA1006" s="74"/>
      <c r="AB1006" s="74"/>
      <c r="AC1006" s="42"/>
      <c r="AD1006" s="42"/>
      <c r="AE1006" s="42"/>
      <c r="AF1006" s="42"/>
      <c r="AG1006" s="42"/>
      <c r="AH1006" s="42"/>
      <c r="AI1006" s="75"/>
      <c r="AJ1006" s="75"/>
      <c r="AK1006" s="75"/>
      <c r="AL1006" s="75"/>
      <c r="AM1006" s="74"/>
      <c r="AN1006" s="72" t="e">
        <f>VLOOKUP(H1006,[4]Planilha1!A$13:P$314,16,0)</f>
        <v>#N/A</v>
      </c>
    </row>
    <row r="1007" spans="1:40" s="69" customFormat="1" x14ac:dyDescent="0.25">
      <c r="A1007" s="88"/>
      <c r="B1007" s="88"/>
      <c r="C1007" s="70"/>
      <c r="D1007" s="70"/>
      <c r="E1007" s="70"/>
      <c r="F1007" s="70"/>
      <c r="G1007" s="70"/>
      <c r="H1007" s="422"/>
      <c r="I1007" s="422"/>
      <c r="J1007" s="418"/>
      <c r="K1007" s="403"/>
      <c r="L1007" s="73"/>
      <c r="M1007" s="72"/>
      <c r="N1007" s="72"/>
      <c r="O1007" s="72"/>
      <c r="P1007" s="42"/>
      <c r="Q1007" s="42"/>
      <c r="R1007" s="42"/>
      <c r="S1007" s="42"/>
      <c r="T1007" s="42"/>
      <c r="U1007" s="42"/>
      <c r="V1007" s="416"/>
      <c r="W1007" s="42"/>
      <c r="X1007" s="74"/>
      <c r="Y1007" s="74"/>
      <c r="Z1007" s="74"/>
      <c r="AA1007" s="74"/>
      <c r="AB1007" s="74"/>
      <c r="AC1007" s="42"/>
      <c r="AD1007" s="42"/>
      <c r="AE1007" s="42"/>
      <c r="AF1007" s="42"/>
      <c r="AG1007" s="42"/>
      <c r="AH1007" s="42"/>
      <c r="AI1007" s="75"/>
      <c r="AJ1007" s="75"/>
      <c r="AK1007" s="75"/>
      <c r="AL1007" s="75"/>
      <c r="AM1007" s="74"/>
      <c r="AN1007" s="72" t="e">
        <f>VLOOKUP(H1007,[4]Planilha1!A$13:P$314,16,0)</f>
        <v>#N/A</v>
      </c>
    </row>
    <row r="1008" spans="1:40" s="69" customFormat="1" x14ac:dyDescent="0.25">
      <c r="A1008" s="88"/>
      <c r="B1008" s="88"/>
      <c r="C1008" s="70"/>
      <c r="D1008" s="70"/>
      <c r="E1008" s="70"/>
      <c r="F1008" s="70"/>
      <c r="G1008" s="70"/>
      <c r="H1008" s="422"/>
      <c r="I1008" s="422"/>
      <c r="J1008" s="418"/>
      <c r="K1008" s="403"/>
      <c r="L1008" s="73"/>
      <c r="M1008" s="72"/>
      <c r="N1008" s="72"/>
      <c r="O1008" s="72"/>
      <c r="P1008" s="42"/>
      <c r="Q1008" s="42"/>
      <c r="R1008" s="42"/>
      <c r="S1008" s="42"/>
      <c r="T1008" s="42"/>
      <c r="U1008" s="42"/>
      <c r="V1008" s="416"/>
      <c r="W1008" s="42"/>
      <c r="X1008" s="74"/>
      <c r="Y1008" s="74"/>
      <c r="Z1008" s="74"/>
      <c r="AA1008" s="74"/>
      <c r="AB1008" s="74"/>
      <c r="AC1008" s="42"/>
      <c r="AD1008" s="42"/>
      <c r="AE1008" s="42"/>
      <c r="AF1008" s="42"/>
      <c r="AG1008" s="42"/>
      <c r="AH1008" s="42"/>
      <c r="AI1008" s="75"/>
      <c r="AJ1008" s="75"/>
      <c r="AK1008" s="75"/>
      <c r="AL1008" s="75"/>
      <c r="AM1008" s="74"/>
      <c r="AN1008" s="72" t="e">
        <f>VLOOKUP(H1008,[4]Planilha1!A$13:P$314,16,0)</f>
        <v>#N/A</v>
      </c>
    </row>
    <row r="1009" spans="1:40" s="69" customFormat="1" x14ac:dyDescent="0.25">
      <c r="A1009" s="88"/>
      <c r="B1009" s="88"/>
      <c r="C1009" s="70"/>
      <c r="D1009" s="70"/>
      <c r="E1009" s="70"/>
      <c r="F1009" s="70"/>
      <c r="G1009" s="70"/>
      <c r="H1009" s="422"/>
      <c r="I1009" s="422"/>
      <c r="J1009" s="418"/>
      <c r="K1009" s="403"/>
      <c r="L1009" s="73"/>
      <c r="M1009" s="72"/>
      <c r="N1009" s="72"/>
      <c r="O1009" s="72"/>
      <c r="P1009" s="42"/>
      <c r="Q1009" s="42"/>
      <c r="R1009" s="42"/>
      <c r="S1009" s="42"/>
      <c r="T1009" s="42"/>
      <c r="U1009" s="42"/>
      <c r="V1009" s="416"/>
      <c r="W1009" s="42"/>
      <c r="X1009" s="74"/>
      <c r="Y1009" s="74"/>
      <c r="Z1009" s="74"/>
      <c r="AA1009" s="74"/>
      <c r="AB1009" s="74"/>
      <c r="AC1009" s="42"/>
      <c r="AD1009" s="42"/>
      <c r="AE1009" s="42"/>
      <c r="AF1009" s="42"/>
      <c r="AG1009" s="42"/>
      <c r="AH1009" s="42"/>
      <c r="AI1009" s="75"/>
      <c r="AJ1009" s="75"/>
      <c r="AK1009" s="75"/>
      <c r="AL1009" s="75"/>
      <c r="AM1009" s="74"/>
      <c r="AN1009" s="72" t="e">
        <f>VLOOKUP(H1009,[4]Planilha1!A$13:P$314,16,0)</f>
        <v>#N/A</v>
      </c>
    </row>
    <row r="1010" spans="1:40" s="69" customFormat="1" x14ac:dyDescent="0.25">
      <c r="A1010" s="88"/>
      <c r="B1010" s="88"/>
      <c r="C1010" s="70"/>
      <c r="D1010" s="70"/>
      <c r="E1010" s="70"/>
      <c r="F1010" s="70"/>
      <c r="G1010" s="70"/>
      <c r="H1010" s="422"/>
      <c r="I1010" s="422"/>
      <c r="J1010" s="418"/>
      <c r="K1010" s="403"/>
      <c r="L1010" s="73"/>
      <c r="M1010" s="72"/>
      <c r="N1010" s="72"/>
      <c r="O1010" s="72"/>
      <c r="P1010" s="42"/>
      <c r="Q1010" s="42"/>
      <c r="R1010" s="42"/>
      <c r="S1010" s="42"/>
      <c r="T1010" s="42"/>
      <c r="U1010" s="42"/>
      <c r="V1010" s="416"/>
      <c r="W1010" s="42"/>
      <c r="X1010" s="74"/>
      <c r="Y1010" s="74"/>
      <c r="Z1010" s="74"/>
      <c r="AA1010" s="74"/>
      <c r="AB1010" s="74"/>
      <c r="AC1010" s="42"/>
      <c r="AD1010" s="42"/>
      <c r="AE1010" s="42"/>
      <c r="AF1010" s="42"/>
      <c r="AG1010" s="42"/>
      <c r="AH1010" s="42"/>
      <c r="AI1010" s="75"/>
      <c r="AJ1010" s="75"/>
      <c r="AK1010" s="75"/>
      <c r="AL1010" s="75"/>
      <c r="AM1010" s="74"/>
      <c r="AN1010" s="72" t="e">
        <f>VLOOKUP(H1010,[4]Planilha1!A$13:P$314,16,0)</f>
        <v>#N/A</v>
      </c>
    </row>
    <row r="1011" spans="1:40" s="69" customFormat="1" x14ac:dyDescent="0.25">
      <c r="A1011" s="88"/>
      <c r="B1011" s="88"/>
      <c r="C1011" s="70"/>
      <c r="D1011" s="70"/>
      <c r="E1011" s="70"/>
      <c r="F1011" s="70"/>
      <c r="G1011" s="70"/>
      <c r="H1011" s="422"/>
      <c r="I1011" s="422"/>
      <c r="J1011" s="418"/>
      <c r="K1011" s="403"/>
      <c r="L1011" s="73"/>
      <c r="M1011" s="72"/>
      <c r="N1011" s="72"/>
      <c r="O1011" s="72"/>
      <c r="P1011" s="42"/>
      <c r="Q1011" s="42"/>
      <c r="R1011" s="42"/>
      <c r="S1011" s="42"/>
      <c r="T1011" s="42"/>
      <c r="U1011" s="42"/>
      <c r="V1011" s="416"/>
      <c r="W1011" s="42"/>
      <c r="X1011" s="74"/>
      <c r="Y1011" s="74"/>
      <c r="Z1011" s="74"/>
      <c r="AA1011" s="74"/>
      <c r="AB1011" s="74"/>
      <c r="AC1011" s="42"/>
      <c r="AD1011" s="42"/>
      <c r="AE1011" s="42"/>
      <c r="AF1011" s="42"/>
      <c r="AG1011" s="42"/>
      <c r="AH1011" s="42"/>
      <c r="AI1011" s="75"/>
      <c r="AJ1011" s="75"/>
      <c r="AK1011" s="75"/>
      <c r="AL1011" s="75"/>
      <c r="AM1011" s="74"/>
      <c r="AN1011" s="72" t="e">
        <f>VLOOKUP(H1011,[4]Planilha1!A$13:P$314,16,0)</f>
        <v>#N/A</v>
      </c>
    </row>
    <row r="1012" spans="1:40" s="69" customFormat="1" x14ac:dyDescent="0.25">
      <c r="A1012" s="88"/>
      <c r="B1012" s="88"/>
      <c r="C1012" s="70"/>
      <c r="D1012" s="70"/>
      <c r="E1012" s="70"/>
      <c r="F1012" s="70"/>
      <c r="G1012" s="70"/>
      <c r="H1012" s="422"/>
      <c r="I1012" s="422"/>
      <c r="J1012" s="418"/>
      <c r="K1012" s="403"/>
      <c r="L1012" s="73"/>
      <c r="M1012" s="72"/>
      <c r="N1012" s="72"/>
      <c r="O1012" s="72"/>
      <c r="P1012" s="42"/>
      <c r="Q1012" s="42"/>
      <c r="R1012" s="42"/>
      <c r="S1012" s="42"/>
      <c r="T1012" s="42"/>
      <c r="U1012" s="42"/>
      <c r="V1012" s="416"/>
      <c r="W1012" s="42"/>
      <c r="X1012" s="74"/>
      <c r="Y1012" s="74"/>
      <c r="Z1012" s="74"/>
      <c r="AA1012" s="74"/>
      <c r="AB1012" s="74"/>
      <c r="AC1012" s="42"/>
      <c r="AD1012" s="42"/>
      <c r="AE1012" s="42"/>
      <c r="AF1012" s="42"/>
      <c r="AG1012" s="42"/>
      <c r="AH1012" s="42"/>
      <c r="AI1012" s="75"/>
      <c r="AJ1012" s="75"/>
      <c r="AK1012" s="75"/>
      <c r="AL1012" s="75"/>
      <c r="AM1012" s="74"/>
      <c r="AN1012" s="72" t="e">
        <f>VLOOKUP(H1012,[4]Planilha1!A$13:P$314,16,0)</f>
        <v>#N/A</v>
      </c>
    </row>
    <row r="1013" spans="1:40" s="69" customFormat="1" x14ac:dyDescent="0.25">
      <c r="A1013" s="88"/>
      <c r="B1013" s="88"/>
      <c r="C1013" s="70"/>
      <c r="D1013" s="70"/>
      <c r="E1013" s="70"/>
      <c r="F1013" s="70"/>
      <c r="G1013" s="70"/>
      <c r="H1013" s="422"/>
      <c r="I1013" s="422"/>
      <c r="J1013" s="418"/>
      <c r="K1013" s="403"/>
      <c r="L1013" s="73"/>
      <c r="M1013" s="72"/>
      <c r="N1013" s="72"/>
      <c r="O1013" s="72"/>
      <c r="P1013" s="42"/>
      <c r="Q1013" s="42"/>
      <c r="R1013" s="42"/>
      <c r="S1013" s="42"/>
      <c r="T1013" s="42"/>
      <c r="U1013" s="42"/>
      <c r="V1013" s="416"/>
      <c r="W1013" s="42"/>
      <c r="X1013" s="74"/>
      <c r="Y1013" s="74"/>
      <c r="Z1013" s="74"/>
      <c r="AA1013" s="74"/>
      <c r="AB1013" s="74"/>
      <c r="AC1013" s="42"/>
      <c r="AD1013" s="42"/>
      <c r="AE1013" s="42"/>
      <c r="AF1013" s="42"/>
      <c r="AG1013" s="42"/>
      <c r="AH1013" s="42"/>
      <c r="AI1013" s="75"/>
      <c r="AJ1013" s="75"/>
      <c r="AK1013" s="75"/>
      <c r="AL1013" s="75"/>
      <c r="AM1013" s="74"/>
      <c r="AN1013" s="72" t="e">
        <f>VLOOKUP(H1013,[4]Planilha1!A$13:P$314,16,0)</f>
        <v>#N/A</v>
      </c>
    </row>
    <row r="1014" spans="1:40" s="69" customFormat="1" x14ac:dyDescent="0.25">
      <c r="A1014" s="88"/>
      <c r="B1014" s="88"/>
      <c r="C1014" s="70"/>
      <c r="D1014" s="70"/>
      <c r="E1014" s="70"/>
      <c r="F1014" s="70"/>
      <c r="G1014" s="70"/>
      <c r="H1014" s="422"/>
      <c r="I1014" s="422"/>
      <c r="J1014" s="418"/>
      <c r="K1014" s="403"/>
      <c r="L1014" s="73"/>
      <c r="M1014" s="72"/>
      <c r="N1014" s="72"/>
      <c r="O1014" s="72"/>
      <c r="P1014" s="42"/>
      <c r="Q1014" s="42"/>
      <c r="R1014" s="42"/>
      <c r="S1014" s="42"/>
      <c r="T1014" s="42"/>
      <c r="U1014" s="42"/>
      <c r="V1014" s="416"/>
      <c r="W1014" s="42"/>
      <c r="X1014" s="74"/>
      <c r="Y1014" s="74"/>
      <c r="Z1014" s="74"/>
      <c r="AA1014" s="74"/>
      <c r="AB1014" s="74"/>
      <c r="AC1014" s="42"/>
      <c r="AD1014" s="42"/>
      <c r="AE1014" s="42"/>
      <c r="AF1014" s="42"/>
      <c r="AG1014" s="42"/>
      <c r="AH1014" s="42"/>
      <c r="AI1014" s="75"/>
      <c r="AJ1014" s="75"/>
      <c r="AK1014" s="75"/>
      <c r="AL1014" s="75"/>
      <c r="AM1014" s="74"/>
      <c r="AN1014" s="72" t="e">
        <f>VLOOKUP(H1014,[4]Planilha1!A$13:P$314,16,0)</f>
        <v>#N/A</v>
      </c>
    </row>
    <row r="1015" spans="1:40" s="69" customFormat="1" x14ac:dyDescent="0.25">
      <c r="A1015" s="88"/>
      <c r="B1015" s="88"/>
      <c r="C1015" s="70"/>
      <c r="D1015" s="70"/>
      <c r="E1015" s="70"/>
      <c r="F1015" s="70"/>
      <c r="G1015" s="70"/>
      <c r="H1015" s="422"/>
      <c r="I1015" s="422"/>
      <c r="J1015" s="418"/>
      <c r="K1015" s="403"/>
      <c r="L1015" s="73"/>
      <c r="M1015" s="72"/>
      <c r="N1015" s="72"/>
      <c r="O1015" s="72"/>
      <c r="P1015" s="42"/>
      <c r="Q1015" s="42"/>
      <c r="R1015" s="42"/>
      <c r="S1015" s="42"/>
      <c r="T1015" s="42"/>
      <c r="U1015" s="42"/>
      <c r="V1015" s="416"/>
      <c r="W1015" s="42"/>
      <c r="X1015" s="74"/>
      <c r="Y1015" s="74"/>
      <c r="Z1015" s="74"/>
      <c r="AA1015" s="74"/>
      <c r="AB1015" s="74"/>
      <c r="AC1015" s="42"/>
      <c r="AD1015" s="42"/>
      <c r="AE1015" s="42"/>
      <c r="AF1015" s="42"/>
      <c r="AG1015" s="42"/>
      <c r="AH1015" s="42"/>
      <c r="AI1015" s="75"/>
      <c r="AJ1015" s="75"/>
      <c r="AK1015" s="75"/>
      <c r="AL1015" s="75"/>
      <c r="AM1015" s="74"/>
      <c r="AN1015" s="72" t="e">
        <f>VLOOKUP(H1015,[4]Planilha1!A$13:P$314,16,0)</f>
        <v>#N/A</v>
      </c>
    </row>
    <row r="1016" spans="1:40" s="69" customFormat="1" x14ac:dyDescent="0.25">
      <c r="A1016" s="88"/>
      <c r="B1016" s="88"/>
      <c r="C1016" s="70"/>
      <c r="D1016" s="70"/>
      <c r="E1016" s="70"/>
      <c r="F1016" s="70"/>
      <c r="G1016" s="70"/>
      <c r="H1016" s="422"/>
      <c r="I1016" s="422"/>
      <c r="J1016" s="418"/>
      <c r="K1016" s="403"/>
      <c r="L1016" s="73"/>
      <c r="M1016" s="72"/>
      <c r="N1016" s="72"/>
      <c r="O1016" s="72"/>
      <c r="P1016" s="42"/>
      <c r="Q1016" s="42"/>
      <c r="R1016" s="42"/>
      <c r="S1016" s="42"/>
      <c r="T1016" s="42"/>
      <c r="U1016" s="42"/>
      <c r="V1016" s="416"/>
      <c r="W1016" s="42"/>
      <c r="X1016" s="74"/>
      <c r="Y1016" s="74"/>
      <c r="Z1016" s="74"/>
      <c r="AA1016" s="74"/>
      <c r="AB1016" s="74"/>
      <c r="AC1016" s="42"/>
      <c r="AD1016" s="42"/>
      <c r="AE1016" s="42"/>
      <c r="AF1016" s="42"/>
      <c r="AG1016" s="42"/>
      <c r="AH1016" s="42"/>
      <c r="AI1016" s="75"/>
      <c r="AJ1016" s="75"/>
      <c r="AK1016" s="75"/>
      <c r="AL1016" s="75"/>
      <c r="AM1016" s="74"/>
      <c r="AN1016" s="72" t="e">
        <f>VLOOKUP(H1016,[4]Planilha1!A$13:P$314,16,0)</f>
        <v>#N/A</v>
      </c>
    </row>
    <row r="1017" spans="1:40" s="69" customFormat="1" x14ac:dyDescent="0.25">
      <c r="A1017" s="88"/>
      <c r="B1017" s="88"/>
      <c r="C1017" s="70"/>
      <c r="D1017" s="70"/>
      <c r="E1017" s="70"/>
      <c r="F1017" s="70"/>
      <c r="G1017" s="70"/>
      <c r="H1017" s="422"/>
      <c r="I1017" s="422"/>
      <c r="J1017" s="418"/>
      <c r="K1017" s="403"/>
      <c r="L1017" s="73"/>
      <c r="M1017" s="72"/>
      <c r="N1017" s="72"/>
      <c r="O1017" s="72"/>
      <c r="P1017" s="42"/>
      <c r="Q1017" s="42"/>
      <c r="R1017" s="42"/>
      <c r="S1017" s="42"/>
      <c r="T1017" s="42"/>
      <c r="U1017" s="42"/>
      <c r="V1017" s="416"/>
      <c r="W1017" s="42"/>
      <c r="X1017" s="74"/>
      <c r="Y1017" s="74"/>
      <c r="Z1017" s="74"/>
      <c r="AA1017" s="74"/>
      <c r="AB1017" s="74"/>
      <c r="AC1017" s="42"/>
      <c r="AD1017" s="42"/>
      <c r="AE1017" s="42"/>
      <c r="AF1017" s="42"/>
      <c r="AG1017" s="42"/>
      <c r="AH1017" s="42"/>
      <c r="AI1017" s="75"/>
      <c r="AJ1017" s="75"/>
      <c r="AK1017" s="75"/>
      <c r="AL1017" s="75"/>
      <c r="AM1017" s="74"/>
      <c r="AN1017" s="72" t="e">
        <f>VLOOKUP(H1017,[4]Planilha1!A$13:P$314,16,0)</f>
        <v>#N/A</v>
      </c>
    </row>
    <row r="1018" spans="1:40" s="69" customFormat="1" x14ac:dyDescent="0.25">
      <c r="A1018" s="88"/>
      <c r="B1018" s="88"/>
      <c r="C1018" s="70"/>
      <c r="D1018" s="70"/>
      <c r="E1018" s="70"/>
      <c r="F1018" s="70"/>
      <c r="G1018" s="70"/>
      <c r="H1018" s="422"/>
      <c r="I1018" s="422"/>
      <c r="J1018" s="418"/>
      <c r="K1018" s="403"/>
      <c r="L1018" s="73"/>
      <c r="M1018" s="72"/>
      <c r="N1018" s="72"/>
      <c r="O1018" s="72"/>
      <c r="P1018" s="42"/>
      <c r="Q1018" s="42"/>
      <c r="R1018" s="42"/>
      <c r="S1018" s="42"/>
      <c r="T1018" s="42"/>
      <c r="U1018" s="42"/>
      <c r="V1018" s="416"/>
      <c r="W1018" s="42"/>
      <c r="X1018" s="74"/>
      <c r="Y1018" s="74"/>
      <c r="Z1018" s="74"/>
      <c r="AA1018" s="74"/>
      <c r="AB1018" s="74"/>
      <c r="AC1018" s="42"/>
      <c r="AD1018" s="42"/>
      <c r="AE1018" s="42"/>
      <c r="AF1018" s="42"/>
      <c r="AG1018" s="42"/>
      <c r="AH1018" s="42"/>
      <c r="AI1018" s="75"/>
      <c r="AJ1018" s="75"/>
      <c r="AK1018" s="75"/>
      <c r="AL1018" s="75"/>
      <c r="AM1018" s="74"/>
      <c r="AN1018" s="72" t="e">
        <f>VLOOKUP(H1018,[4]Planilha1!A$13:P$314,16,0)</f>
        <v>#N/A</v>
      </c>
    </row>
    <row r="1019" spans="1:40" s="69" customFormat="1" x14ac:dyDescent="0.25">
      <c r="A1019" s="88"/>
      <c r="B1019" s="88"/>
      <c r="C1019" s="70"/>
      <c r="D1019" s="70"/>
      <c r="E1019" s="70"/>
      <c r="F1019" s="70"/>
      <c r="G1019" s="70"/>
      <c r="H1019" s="422"/>
      <c r="I1019" s="422"/>
      <c r="J1019" s="418"/>
      <c r="K1019" s="403"/>
      <c r="L1019" s="73"/>
      <c r="M1019" s="72"/>
      <c r="N1019" s="72"/>
      <c r="O1019" s="72"/>
      <c r="P1019" s="42"/>
      <c r="Q1019" s="42"/>
      <c r="R1019" s="42"/>
      <c r="S1019" s="42"/>
      <c r="T1019" s="42"/>
      <c r="U1019" s="42"/>
      <c r="V1019" s="416"/>
      <c r="W1019" s="42"/>
      <c r="X1019" s="74"/>
      <c r="Y1019" s="74"/>
      <c r="Z1019" s="74"/>
      <c r="AA1019" s="74"/>
      <c r="AB1019" s="74"/>
      <c r="AC1019" s="42"/>
      <c r="AD1019" s="42"/>
      <c r="AE1019" s="42"/>
      <c r="AF1019" s="42"/>
      <c r="AG1019" s="42"/>
      <c r="AH1019" s="42"/>
      <c r="AI1019" s="75"/>
      <c r="AJ1019" s="75"/>
      <c r="AK1019" s="75"/>
      <c r="AL1019" s="75"/>
      <c r="AM1019" s="74"/>
      <c r="AN1019" s="72" t="e">
        <f>VLOOKUP(H1019,[4]Planilha1!A$13:P$314,16,0)</f>
        <v>#N/A</v>
      </c>
    </row>
    <row r="1020" spans="1:40" s="69" customFormat="1" x14ac:dyDescent="0.25">
      <c r="A1020" s="88"/>
      <c r="B1020" s="88"/>
      <c r="C1020" s="70"/>
      <c r="D1020" s="70"/>
      <c r="E1020" s="70"/>
      <c r="F1020" s="70"/>
      <c r="G1020" s="70"/>
      <c r="H1020" s="422"/>
      <c r="I1020" s="422"/>
      <c r="J1020" s="418"/>
      <c r="K1020" s="403"/>
      <c r="L1020" s="73"/>
      <c r="M1020" s="72"/>
      <c r="N1020" s="72"/>
      <c r="O1020" s="72"/>
      <c r="P1020" s="42"/>
      <c r="Q1020" s="42"/>
      <c r="R1020" s="42"/>
      <c r="S1020" s="42"/>
      <c r="T1020" s="42"/>
      <c r="U1020" s="42"/>
      <c r="V1020" s="416"/>
      <c r="W1020" s="42"/>
      <c r="X1020" s="74"/>
      <c r="Y1020" s="74"/>
      <c r="Z1020" s="74"/>
      <c r="AA1020" s="74"/>
      <c r="AB1020" s="74"/>
      <c r="AC1020" s="42"/>
      <c r="AD1020" s="42"/>
      <c r="AE1020" s="42"/>
      <c r="AF1020" s="42"/>
      <c r="AG1020" s="42"/>
      <c r="AH1020" s="42"/>
      <c r="AI1020" s="75"/>
      <c r="AJ1020" s="75"/>
      <c r="AK1020" s="75"/>
      <c r="AL1020" s="75"/>
      <c r="AM1020" s="74"/>
      <c r="AN1020" s="72" t="e">
        <f>VLOOKUP(H1020,[4]Planilha1!A$13:P$314,16,0)</f>
        <v>#N/A</v>
      </c>
    </row>
    <row r="1021" spans="1:40" s="69" customFormat="1" x14ac:dyDescent="0.25">
      <c r="A1021" s="88"/>
      <c r="B1021" s="88"/>
      <c r="C1021" s="70"/>
      <c r="D1021" s="70"/>
      <c r="E1021" s="70"/>
      <c r="F1021" s="70"/>
      <c r="G1021" s="70"/>
      <c r="H1021" s="422"/>
      <c r="I1021" s="422"/>
      <c r="J1021" s="418"/>
      <c r="K1021" s="403"/>
      <c r="L1021" s="73"/>
      <c r="M1021" s="72"/>
      <c r="N1021" s="72"/>
      <c r="O1021" s="72"/>
      <c r="P1021" s="42"/>
      <c r="Q1021" s="42"/>
      <c r="R1021" s="42"/>
      <c r="S1021" s="42"/>
      <c r="T1021" s="42"/>
      <c r="U1021" s="42"/>
      <c r="V1021" s="416"/>
      <c r="W1021" s="42"/>
      <c r="X1021" s="74"/>
      <c r="Y1021" s="74"/>
      <c r="Z1021" s="74"/>
      <c r="AA1021" s="74"/>
      <c r="AB1021" s="74"/>
      <c r="AC1021" s="42"/>
      <c r="AD1021" s="42"/>
      <c r="AE1021" s="42"/>
      <c r="AF1021" s="42"/>
      <c r="AG1021" s="42"/>
      <c r="AH1021" s="42"/>
      <c r="AI1021" s="75"/>
      <c r="AJ1021" s="75"/>
      <c r="AK1021" s="75"/>
      <c r="AL1021" s="75"/>
      <c r="AM1021" s="74"/>
      <c r="AN1021" s="72" t="e">
        <f>VLOOKUP(H1021,[4]Planilha1!A$13:P$314,16,0)</f>
        <v>#N/A</v>
      </c>
    </row>
    <row r="1022" spans="1:40" s="69" customFormat="1" x14ac:dyDescent="0.25">
      <c r="A1022" s="88"/>
      <c r="B1022" s="88"/>
      <c r="C1022" s="70"/>
      <c r="D1022" s="70"/>
      <c r="E1022" s="70"/>
      <c r="F1022" s="70"/>
      <c r="G1022" s="70"/>
      <c r="H1022" s="422"/>
      <c r="I1022" s="422"/>
      <c r="J1022" s="418"/>
      <c r="K1022" s="403"/>
      <c r="L1022" s="73"/>
      <c r="M1022" s="72"/>
      <c r="N1022" s="72"/>
      <c r="O1022" s="72"/>
      <c r="P1022" s="42"/>
      <c r="Q1022" s="42"/>
      <c r="R1022" s="42"/>
      <c r="S1022" s="42"/>
      <c r="T1022" s="42"/>
      <c r="U1022" s="42"/>
      <c r="V1022" s="416"/>
      <c r="W1022" s="42"/>
      <c r="X1022" s="74"/>
      <c r="Y1022" s="74"/>
      <c r="Z1022" s="74"/>
      <c r="AA1022" s="74"/>
      <c r="AB1022" s="74"/>
      <c r="AC1022" s="42"/>
      <c r="AD1022" s="42"/>
      <c r="AE1022" s="42"/>
      <c r="AF1022" s="42"/>
      <c r="AG1022" s="42"/>
      <c r="AH1022" s="42"/>
      <c r="AI1022" s="75"/>
      <c r="AJ1022" s="75"/>
      <c r="AK1022" s="75"/>
      <c r="AL1022" s="75"/>
      <c r="AM1022" s="74"/>
      <c r="AN1022" s="72" t="e">
        <f>VLOOKUP(H1022,[4]Planilha1!A$13:P$314,16,0)</f>
        <v>#N/A</v>
      </c>
    </row>
    <row r="1023" spans="1:40" s="69" customFormat="1" x14ac:dyDescent="0.25">
      <c r="A1023" s="88"/>
      <c r="B1023" s="88"/>
      <c r="C1023" s="70"/>
      <c r="D1023" s="70"/>
      <c r="E1023" s="70"/>
      <c r="F1023" s="70"/>
      <c r="G1023" s="70"/>
      <c r="H1023" s="422"/>
      <c r="I1023" s="422"/>
      <c r="J1023" s="418"/>
      <c r="K1023" s="403"/>
      <c r="L1023" s="73"/>
      <c r="M1023" s="72"/>
      <c r="N1023" s="72"/>
      <c r="O1023" s="72"/>
      <c r="P1023" s="42"/>
      <c r="Q1023" s="42"/>
      <c r="R1023" s="42"/>
      <c r="S1023" s="42"/>
      <c r="T1023" s="42"/>
      <c r="U1023" s="42"/>
      <c r="V1023" s="416"/>
      <c r="W1023" s="42"/>
      <c r="X1023" s="74"/>
      <c r="Y1023" s="74"/>
      <c r="Z1023" s="74"/>
      <c r="AA1023" s="74"/>
      <c r="AB1023" s="74"/>
      <c r="AC1023" s="42"/>
      <c r="AD1023" s="42"/>
      <c r="AE1023" s="42"/>
      <c r="AF1023" s="42"/>
      <c r="AG1023" s="42"/>
      <c r="AH1023" s="42"/>
      <c r="AI1023" s="75"/>
      <c r="AJ1023" s="75"/>
      <c r="AK1023" s="75"/>
      <c r="AL1023" s="75"/>
      <c r="AM1023" s="74"/>
      <c r="AN1023" s="72" t="e">
        <f>VLOOKUP(H1023,[4]Planilha1!A$13:P$314,16,0)</f>
        <v>#N/A</v>
      </c>
    </row>
    <row r="1024" spans="1:40" s="69" customFormat="1" x14ac:dyDescent="0.25">
      <c r="A1024" s="88"/>
      <c r="B1024" s="88"/>
      <c r="C1024" s="70"/>
      <c r="D1024" s="70"/>
      <c r="E1024" s="70"/>
      <c r="F1024" s="70"/>
      <c r="G1024" s="70"/>
      <c r="H1024" s="422"/>
      <c r="I1024" s="422"/>
      <c r="J1024" s="418"/>
      <c r="K1024" s="403"/>
      <c r="L1024" s="73"/>
      <c r="M1024" s="72"/>
      <c r="N1024" s="72"/>
      <c r="O1024" s="72"/>
      <c r="P1024" s="42"/>
      <c r="Q1024" s="42"/>
      <c r="R1024" s="42"/>
      <c r="S1024" s="42"/>
      <c r="T1024" s="42"/>
      <c r="U1024" s="42"/>
      <c r="V1024" s="416"/>
      <c r="W1024" s="42"/>
      <c r="X1024" s="74"/>
      <c r="Y1024" s="74"/>
      <c r="Z1024" s="74"/>
      <c r="AA1024" s="74"/>
      <c r="AB1024" s="74"/>
      <c r="AC1024" s="42"/>
      <c r="AD1024" s="42"/>
      <c r="AE1024" s="42"/>
      <c r="AF1024" s="42"/>
      <c r="AG1024" s="42"/>
      <c r="AH1024" s="42"/>
      <c r="AI1024" s="75"/>
      <c r="AJ1024" s="75"/>
      <c r="AK1024" s="75"/>
      <c r="AL1024" s="75"/>
      <c r="AM1024" s="74"/>
      <c r="AN1024" s="72" t="e">
        <f>VLOOKUP(H1024,[4]Planilha1!A$13:P$314,16,0)</f>
        <v>#N/A</v>
      </c>
    </row>
    <row r="1025" spans="1:40" s="69" customFormat="1" x14ac:dyDescent="0.25">
      <c r="A1025" s="88"/>
      <c r="B1025" s="88"/>
      <c r="C1025" s="70"/>
      <c r="D1025" s="70"/>
      <c r="E1025" s="70"/>
      <c r="F1025" s="70"/>
      <c r="G1025" s="70"/>
      <c r="H1025" s="422"/>
      <c r="I1025" s="422"/>
      <c r="J1025" s="418"/>
      <c r="K1025" s="403"/>
      <c r="L1025" s="73"/>
      <c r="M1025" s="72"/>
      <c r="N1025" s="72"/>
      <c r="O1025" s="72"/>
      <c r="P1025" s="42"/>
      <c r="Q1025" s="42"/>
      <c r="R1025" s="42"/>
      <c r="S1025" s="42"/>
      <c r="T1025" s="42"/>
      <c r="U1025" s="42"/>
      <c r="V1025" s="416"/>
      <c r="W1025" s="42"/>
      <c r="X1025" s="74"/>
      <c r="Y1025" s="74"/>
      <c r="Z1025" s="74"/>
      <c r="AA1025" s="74"/>
      <c r="AB1025" s="74"/>
      <c r="AC1025" s="42"/>
      <c r="AD1025" s="42"/>
      <c r="AE1025" s="42"/>
      <c r="AF1025" s="42"/>
      <c r="AG1025" s="42"/>
      <c r="AH1025" s="42"/>
      <c r="AI1025" s="75"/>
      <c r="AJ1025" s="75"/>
      <c r="AK1025" s="75"/>
      <c r="AL1025" s="75"/>
      <c r="AM1025" s="74"/>
      <c r="AN1025" s="72" t="e">
        <f>VLOOKUP(H1025,[4]Planilha1!A$13:P$314,16,0)</f>
        <v>#N/A</v>
      </c>
    </row>
    <row r="1026" spans="1:40" s="69" customFormat="1" x14ac:dyDescent="0.25">
      <c r="A1026" s="88"/>
      <c r="B1026" s="88"/>
      <c r="C1026" s="70"/>
      <c r="D1026" s="70"/>
      <c r="E1026" s="70"/>
      <c r="F1026" s="70"/>
      <c r="G1026" s="70"/>
      <c r="H1026" s="422"/>
      <c r="I1026" s="422"/>
      <c r="J1026" s="418"/>
      <c r="K1026" s="403"/>
      <c r="L1026" s="73"/>
      <c r="M1026" s="72"/>
      <c r="N1026" s="72"/>
      <c r="O1026" s="72"/>
      <c r="P1026" s="42"/>
      <c r="Q1026" s="42"/>
      <c r="R1026" s="42"/>
      <c r="S1026" s="42"/>
      <c r="T1026" s="42"/>
      <c r="U1026" s="42"/>
      <c r="V1026" s="416"/>
      <c r="W1026" s="42"/>
      <c r="X1026" s="74"/>
      <c r="Y1026" s="74"/>
      <c r="Z1026" s="74"/>
      <c r="AA1026" s="74"/>
      <c r="AB1026" s="74"/>
      <c r="AC1026" s="42"/>
      <c r="AD1026" s="42"/>
      <c r="AE1026" s="42"/>
      <c r="AF1026" s="42"/>
      <c r="AG1026" s="42"/>
      <c r="AH1026" s="42"/>
      <c r="AI1026" s="75"/>
      <c r="AJ1026" s="75"/>
      <c r="AK1026" s="75"/>
      <c r="AL1026" s="75"/>
      <c r="AM1026" s="74"/>
      <c r="AN1026" s="72" t="e">
        <f>VLOOKUP(H1026,[4]Planilha1!A$13:P$314,16,0)</f>
        <v>#N/A</v>
      </c>
    </row>
    <row r="1027" spans="1:40" s="69" customFormat="1" x14ac:dyDescent="0.25">
      <c r="A1027" s="88"/>
      <c r="B1027" s="88"/>
      <c r="C1027" s="70"/>
      <c r="D1027" s="70"/>
      <c r="E1027" s="70"/>
      <c r="F1027" s="70"/>
      <c r="G1027" s="70"/>
      <c r="H1027" s="422"/>
      <c r="I1027" s="422"/>
      <c r="J1027" s="418"/>
      <c r="K1027" s="403"/>
      <c r="L1027" s="73"/>
      <c r="M1027" s="72"/>
      <c r="N1027" s="72"/>
      <c r="O1027" s="72"/>
      <c r="P1027" s="42"/>
      <c r="Q1027" s="42"/>
      <c r="R1027" s="42"/>
      <c r="S1027" s="42"/>
      <c r="T1027" s="42"/>
      <c r="U1027" s="42"/>
      <c r="V1027" s="416"/>
      <c r="W1027" s="42"/>
      <c r="X1027" s="74"/>
      <c r="Y1027" s="74"/>
      <c r="Z1027" s="74"/>
      <c r="AA1027" s="74"/>
      <c r="AB1027" s="74"/>
      <c r="AC1027" s="42"/>
      <c r="AD1027" s="42"/>
      <c r="AE1027" s="42"/>
      <c r="AF1027" s="42"/>
      <c r="AG1027" s="42"/>
      <c r="AH1027" s="42"/>
      <c r="AI1027" s="75"/>
      <c r="AJ1027" s="75"/>
      <c r="AK1027" s="75"/>
      <c r="AL1027" s="75"/>
      <c r="AM1027" s="74"/>
      <c r="AN1027" s="72" t="e">
        <f>VLOOKUP(H1027,[4]Planilha1!A$13:P$314,16,0)</f>
        <v>#N/A</v>
      </c>
    </row>
    <row r="1028" spans="1:40" s="69" customFormat="1" x14ac:dyDescent="0.25">
      <c r="A1028" s="88"/>
      <c r="B1028" s="88"/>
      <c r="C1028" s="70"/>
      <c r="D1028" s="70"/>
      <c r="E1028" s="70"/>
      <c r="F1028" s="70"/>
      <c r="G1028" s="70"/>
      <c r="H1028" s="422"/>
      <c r="I1028" s="422"/>
      <c r="J1028" s="418"/>
      <c r="K1028" s="403"/>
      <c r="L1028" s="73"/>
      <c r="M1028" s="72"/>
      <c r="N1028" s="72"/>
      <c r="O1028" s="72"/>
      <c r="P1028" s="42"/>
      <c r="Q1028" s="42"/>
      <c r="R1028" s="42"/>
      <c r="S1028" s="42"/>
      <c r="T1028" s="42"/>
      <c r="U1028" s="42"/>
      <c r="V1028" s="416"/>
      <c r="W1028" s="42"/>
      <c r="X1028" s="74"/>
      <c r="Y1028" s="74"/>
      <c r="Z1028" s="74"/>
      <c r="AA1028" s="74"/>
      <c r="AB1028" s="74"/>
      <c r="AC1028" s="42"/>
      <c r="AD1028" s="42"/>
      <c r="AE1028" s="42"/>
      <c r="AF1028" s="42"/>
      <c r="AG1028" s="42"/>
      <c r="AH1028" s="42"/>
      <c r="AI1028" s="75"/>
      <c r="AJ1028" s="75"/>
      <c r="AK1028" s="75"/>
      <c r="AL1028" s="75"/>
      <c r="AM1028" s="74"/>
      <c r="AN1028" s="72" t="e">
        <f>VLOOKUP(H1028,[4]Planilha1!A$13:P$314,16,0)</f>
        <v>#N/A</v>
      </c>
    </row>
    <row r="1029" spans="1:40" s="69" customFormat="1" x14ac:dyDescent="0.25">
      <c r="A1029" s="88"/>
      <c r="B1029" s="88"/>
      <c r="C1029" s="70"/>
      <c r="D1029" s="70"/>
      <c r="E1029" s="70"/>
      <c r="F1029" s="70"/>
      <c r="G1029" s="70"/>
      <c r="H1029" s="422"/>
      <c r="I1029" s="422"/>
      <c r="J1029" s="418"/>
      <c r="K1029" s="403"/>
      <c r="L1029" s="73"/>
      <c r="M1029" s="72"/>
      <c r="N1029" s="72"/>
      <c r="O1029" s="72"/>
      <c r="P1029" s="42"/>
      <c r="Q1029" s="42"/>
      <c r="R1029" s="42"/>
      <c r="S1029" s="42"/>
      <c r="T1029" s="42"/>
      <c r="U1029" s="42"/>
      <c r="V1029" s="416"/>
      <c r="W1029" s="42"/>
      <c r="X1029" s="74"/>
      <c r="Y1029" s="74"/>
      <c r="Z1029" s="74"/>
      <c r="AA1029" s="74"/>
      <c r="AB1029" s="74"/>
      <c r="AC1029" s="42"/>
      <c r="AD1029" s="42"/>
      <c r="AE1029" s="42"/>
      <c r="AF1029" s="42"/>
      <c r="AG1029" s="42"/>
      <c r="AH1029" s="42"/>
      <c r="AI1029" s="75"/>
      <c r="AJ1029" s="75"/>
      <c r="AK1029" s="75"/>
      <c r="AL1029" s="75"/>
      <c r="AM1029" s="74"/>
      <c r="AN1029" s="72" t="e">
        <f>VLOOKUP(H1029,[4]Planilha1!A$13:P$314,16,0)</f>
        <v>#N/A</v>
      </c>
    </row>
    <row r="1030" spans="1:40" s="69" customFormat="1" x14ac:dyDescent="0.25">
      <c r="A1030" s="88"/>
      <c r="B1030" s="88"/>
      <c r="C1030" s="70"/>
      <c r="D1030" s="70"/>
      <c r="E1030" s="70"/>
      <c r="F1030" s="70"/>
      <c r="G1030" s="70"/>
      <c r="H1030" s="422"/>
      <c r="I1030" s="422"/>
      <c r="J1030" s="418"/>
      <c r="K1030" s="403"/>
      <c r="L1030" s="73"/>
      <c r="M1030" s="72"/>
      <c r="N1030" s="72"/>
      <c r="O1030" s="72"/>
      <c r="P1030" s="42"/>
      <c r="Q1030" s="42"/>
      <c r="R1030" s="42"/>
      <c r="S1030" s="42"/>
      <c r="T1030" s="42"/>
      <c r="U1030" s="42"/>
      <c r="V1030" s="416"/>
      <c r="W1030" s="42"/>
      <c r="X1030" s="74"/>
      <c r="Y1030" s="74"/>
      <c r="Z1030" s="74"/>
      <c r="AA1030" s="74"/>
      <c r="AB1030" s="74"/>
      <c r="AC1030" s="42"/>
      <c r="AD1030" s="42"/>
      <c r="AE1030" s="42"/>
      <c r="AF1030" s="42"/>
      <c r="AG1030" s="42"/>
      <c r="AH1030" s="42"/>
      <c r="AI1030" s="75"/>
      <c r="AJ1030" s="75"/>
      <c r="AK1030" s="75"/>
      <c r="AL1030" s="75"/>
      <c r="AM1030" s="74"/>
      <c r="AN1030" s="72" t="e">
        <f>VLOOKUP(H1030,[4]Planilha1!A$13:P$314,16,0)</f>
        <v>#N/A</v>
      </c>
    </row>
    <row r="1031" spans="1:40" s="69" customFormat="1" x14ac:dyDescent="0.25">
      <c r="A1031" s="88"/>
      <c r="B1031" s="88"/>
      <c r="C1031" s="70"/>
      <c r="D1031" s="70"/>
      <c r="E1031" s="70"/>
      <c r="F1031" s="70"/>
      <c r="G1031" s="70"/>
      <c r="H1031" s="422"/>
      <c r="I1031" s="422"/>
      <c r="J1031" s="418"/>
      <c r="K1031" s="403"/>
      <c r="L1031" s="73"/>
      <c r="M1031" s="72"/>
      <c r="N1031" s="72"/>
      <c r="O1031" s="72"/>
      <c r="P1031" s="42"/>
      <c r="Q1031" s="42"/>
      <c r="R1031" s="42"/>
      <c r="S1031" s="42"/>
      <c r="T1031" s="42"/>
      <c r="U1031" s="42"/>
      <c r="V1031" s="416"/>
      <c r="W1031" s="42"/>
      <c r="X1031" s="74"/>
      <c r="Y1031" s="74"/>
      <c r="Z1031" s="74"/>
      <c r="AA1031" s="74"/>
      <c r="AB1031" s="74"/>
      <c r="AC1031" s="42"/>
      <c r="AD1031" s="42"/>
      <c r="AE1031" s="42"/>
      <c r="AF1031" s="42"/>
      <c r="AG1031" s="42"/>
      <c r="AH1031" s="42"/>
      <c r="AI1031" s="75"/>
      <c r="AJ1031" s="75"/>
      <c r="AK1031" s="75"/>
      <c r="AL1031" s="75"/>
      <c r="AM1031" s="74"/>
      <c r="AN1031" s="72" t="e">
        <f>VLOOKUP(H1031,[4]Planilha1!A$13:P$314,16,0)</f>
        <v>#N/A</v>
      </c>
    </row>
    <row r="1032" spans="1:40" s="69" customFormat="1" x14ac:dyDescent="0.25">
      <c r="A1032" s="88"/>
      <c r="B1032" s="88"/>
      <c r="C1032" s="70"/>
      <c r="D1032" s="70"/>
      <c r="E1032" s="70"/>
      <c r="F1032" s="70"/>
      <c r="G1032" s="70"/>
      <c r="H1032" s="422"/>
      <c r="I1032" s="422"/>
      <c r="J1032" s="418"/>
      <c r="K1032" s="403"/>
      <c r="L1032" s="73"/>
      <c r="M1032" s="72"/>
      <c r="N1032" s="72"/>
      <c r="O1032" s="72"/>
      <c r="P1032" s="42"/>
      <c r="Q1032" s="42"/>
      <c r="R1032" s="42"/>
      <c r="S1032" s="42"/>
      <c r="T1032" s="42"/>
      <c r="U1032" s="42"/>
      <c r="V1032" s="416"/>
      <c r="W1032" s="42"/>
      <c r="X1032" s="74"/>
      <c r="Y1032" s="74"/>
      <c r="Z1032" s="74"/>
      <c r="AA1032" s="74"/>
      <c r="AB1032" s="74"/>
      <c r="AC1032" s="42"/>
      <c r="AD1032" s="42"/>
      <c r="AE1032" s="42"/>
      <c r="AF1032" s="42"/>
      <c r="AG1032" s="42"/>
      <c r="AH1032" s="42"/>
      <c r="AI1032" s="75"/>
      <c r="AJ1032" s="75"/>
      <c r="AK1032" s="75"/>
      <c r="AL1032" s="75"/>
      <c r="AM1032" s="74"/>
      <c r="AN1032" s="72" t="e">
        <f>VLOOKUP(H1032,[4]Planilha1!A$13:P$314,16,0)</f>
        <v>#N/A</v>
      </c>
    </row>
    <row r="1033" spans="1:40" s="69" customFormat="1" x14ac:dyDescent="0.25">
      <c r="A1033" s="88"/>
      <c r="B1033" s="88"/>
      <c r="C1033" s="70"/>
      <c r="D1033" s="70"/>
      <c r="E1033" s="70"/>
      <c r="F1033" s="70"/>
      <c r="G1033" s="70"/>
      <c r="H1033" s="422"/>
      <c r="I1033" s="422"/>
      <c r="J1033" s="418"/>
      <c r="K1033" s="403"/>
      <c r="L1033" s="73"/>
      <c r="M1033" s="72"/>
      <c r="N1033" s="72"/>
      <c r="O1033" s="72"/>
      <c r="P1033" s="42"/>
      <c r="Q1033" s="42"/>
      <c r="R1033" s="42"/>
      <c r="S1033" s="42"/>
      <c r="T1033" s="42"/>
      <c r="U1033" s="42"/>
      <c r="V1033" s="416"/>
      <c r="W1033" s="42"/>
      <c r="X1033" s="74"/>
      <c r="Y1033" s="74"/>
      <c r="Z1033" s="74"/>
      <c r="AA1033" s="74"/>
      <c r="AB1033" s="74"/>
      <c r="AC1033" s="42"/>
      <c r="AD1033" s="42"/>
      <c r="AE1033" s="42"/>
      <c r="AF1033" s="42"/>
      <c r="AG1033" s="42"/>
      <c r="AH1033" s="42"/>
      <c r="AI1033" s="75"/>
      <c r="AJ1033" s="75"/>
      <c r="AK1033" s="75"/>
      <c r="AL1033" s="75"/>
      <c r="AM1033" s="74"/>
      <c r="AN1033" s="72" t="e">
        <f>VLOOKUP(H1033,[4]Planilha1!A$13:P$314,16,0)</f>
        <v>#N/A</v>
      </c>
    </row>
    <row r="1034" spans="1:40" s="69" customFormat="1" x14ac:dyDescent="0.25">
      <c r="A1034" s="88"/>
      <c r="B1034" s="88"/>
      <c r="C1034" s="70"/>
      <c r="D1034" s="70"/>
      <c r="E1034" s="70"/>
      <c r="F1034" s="70"/>
      <c r="G1034" s="70"/>
      <c r="H1034" s="422"/>
      <c r="I1034" s="422"/>
      <c r="J1034" s="418"/>
      <c r="K1034" s="403"/>
      <c r="L1034" s="73"/>
      <c r="M1034" s="72"/>
      <c r="N1034" s="72"/>
      <c r="O1034" s="72"/>
      <c r="P1034" s="42"/>
      <c r="Q1034" s="42"/>
      <c r="R1034" s="42"/>
      <c r="S1034" s="42"/>
      <c r="T1034" s="42"/>
      <c r="U1034" s="42"/>
      <c r="V1034" s="416"/>
      <c r="W1034" s="42"/>
      <c r="X1034" s="74"/>
      <c r="Y1034" s="74"/>
      <c r="Z1034" s="74"/>
      <c r="AA1034" s="74"/>
      <c r="AB1034" s="74"/>
      <c r="AC1034" s="42"/>
      <c r="AD1034" s="42"/>
      <c r="AE1034" s="42"/>
      <c r="AF1034" s="42"/>
      <c r="AG1034" s="42"/>
      <c r="AH1034" s="42"/>
      <c r="AI1034" s="75"/>
      <c r="AJ1034" s="75"/>
      <c r="AK1034" s="75"/>
      <c r="AL1034" s="75"/>
      <c r="AM1034" s="74"/>
      <c r="AN1034" s="72" t="e">
        <f>VLOOKUP(H1034,[4]Planilha1!A$13:P$314,16,0)</f>
        <v>#N/A</v>
      </c>
    </row>
    <row r="1035" spans="1:40" s="69" customFormat="1" x14ac:dyDescent="0.25">
      <c r="A1035" s="88"/>
      <c r="B1035" s="88"/>
      <c r="C1035" s="70"/>
      <c r="D1035" s="70"/>
      <c r="E1035" s="70"/>
      <c r="F1035" s="70"/>
      <c r="G1035" s="70"/>
      <c r="H1035" s="422"/>
      <c r="I1035" s="422"/>
      <c r="J1035" s="418"/>
      <c r="K1035" s="403"/>
      <c r="L1035" s="73"/>
      <c r="M1035" s="72"/>
      <c r="N1035" s="72"/>
      <c r="O1035" s="72"/>
      <c r="P1035" s="42"/>
      <c r="Q1035" s="42"/>
      <c r="R1035" s="42"/>
      <c r="S1035" s="42"/>
      <c r="T1035" s="42"/>
      <c r="U1035" s="42"/>
      <c r="V1035" s="416"/>
      <c r="W1035" s="42"/>
      <c r="X1035" s="74"/>
      <c r="Y1035" s="74"/>
      <c r="Z1035" s="74"/>
      <c r="AA1035" s="74"/>
      <c r="AB1035" s="74"/>
      <c r="AC1035" s="42"/>
      <c r="AD1035" s="42"/>
      <c r="AE1035" s="42"/>
      <c r="AF1035" s="42"/>
      <c r="AG1035" s="42"/>
      <c r="AH1035" s="42"/>
      <c r="AI1035" s="75"/>
      <c r="AJ1035" s="75"/>
      <c r="AK1035" s="75"/>
      <c r="AL1035" s="75"/>
      <c r="AM1035" s="74"/>
      <c r="AN1035" s="72" t="e">
        <f>VLOOKUP(H1035,[4]Planilha1!A$13:P$314,16,0)</f>
        <v>#N/A</v>
      </c>
    </row>
    <row r="1036" spans="1:40" s="69" customFormat="1" x14ac:dyDescent="0.25">
      <c r="A1036" s="88"/>
      <c r="B1036" s="88"/>
      <c r="C1036" s="70"/>
      <c r="D1036" s="70"/>
      <c r="E1036" s="70"/>
      <c r="F1036" s="70"/>
      <c r="G1036" s="70"/>
      <c r="H1036" s="422"/>
      <c r="I1036" s="422"/>
      <c r="J1036" s="418"/>
      <c r="K1036" s="403"/>
      <c r="L1036" s="73"/>
      <c r="M1036" s="72"/>
      <c r="N1036" s="72"/>
      <c r="O1036" s="72"/>
      <c r="P1036" s="42"/>
      <c r="Q1036" s="42"/>
      <c r="R1036" s="42"/>
      <c r="S1036" s="42"/>
      <c r="T1036" s="42"/>
      <c r="U1036" s="42"/>
      <c r="V1036" s="416"/>
      <c r="W1036" s="42"/>
      <c r="X1036" s="74"/>
      <c r="Y1036" s="74"/>
      <c r="Z1036" s="74"/>
      <c r="AA1036" s="74"/>
      <c r="AB1036" s="74"/>
      <c r="AC1036" s="42"/>
      <c r="AD1036" s="42"/>
      <c r="AE1036" s="42"/>
      <c r="AF1036" s="42"/>
      <c r="AG1036" s="42"/>
      <c r="AH1036" s="42"/>
      <c r="AI1036" s="75"/>
      <c r="AJ1036" s="75"/>
      <c r="AK1036" s="75"/>
      <c r="AL1036" s="75"/>
      <c r="AM1036" s="74"/>
      <c r="AN1036" s="72" t="e">
        <f>VLOOKUP(H1036,[4]Planilha1!A$13:P$314,16,0)</f>
        <v>#N/A</v>
      </c>
    </row>
    <row r="1037" spans="1:40" s="69" customFormat="1" x14ac:dyDescent="0.25">
      <c r="A1037" s="88"/>
      <c r="B1037" s="88"/>
      <c r="C1037" s="70"/>
      <c r="D1037" s="70"/>
      <c r="E1037" s="70"/>
      <c r="F1037" s="70"/>
      <c r="G1037" s="70"/>
      <c r="H1037" s="422"/>
      <c r="I1037" s="422"/>
      <c r="J1037" s="418"/>
      <c r="K1037" s="403"/>
      <c r="L1037" s="73"/>
      <c r="M1037" s="72"/>
      <c r="N1037" s="72"/>
      <c r="O1037" s="72"/>
      <c r="P1037" s="42"/>
      <c r="Q1037" s="42"/>
      <c r="R1037" s="42"/>
      <c r="S1037" s="42"/>
      <c r="T1037" s="42"/>
      <c r="U1037" s="42"/>
      <c r="V1037" s="416"/>
      <c r="W1037" s="42"/>
      <c r="X1037" s="74"/>
      <c r="Y1037" s="74"/>
      <c r="Z1037" s="74"/>
      <c r="AA1037" s="74"/>
      <c r="AB1037" s="74"/>
      <c r="AC1037" s="42"/>
      <c r="AD1037" s="42"/>
      <c r="AE1037" s="42"/>
      <c r="AF1037" s="42"/>
      <c r="AG1037" s="42"/>
      <c r="AH1037" s="42"/>
      <c r="AI1037" s="75"/>
      <c r="AJ1037" s="75"/>
      <c r="AK1037" s="75"/>
      <c r="AL1037" s="75"/>
      <c r="AM1037" s="74"/>
      <c r="AN1037" s="72" t="e">
        <f>VLOOKUP(H1037,[4]Planilha1!A$13:P$314,16,0)</f>
        <v>#N/A</v>
      </c>
    </row>
    <row r="1038" spans="1:40" s="69" customFormat="1" x14ac:dyDescent="0.25">
      <c r="A1038" s="88"/>
      <c r="B1038" s="88"/>
      <c r="C1038" s="70"/>
      <c r="D1038" s="70"/>
      <c r="E1038" s="70"/>
      <c r="F1038" s="70"/>
      <c r="G1038" s="70"/>
      <c r="H1038" s="422"/>
      <c r="I1038" s="422"/>
      <c r="J1038" s="418"/>
      <c r="K1038" s="403"/>
      <c r="L1038" s="73"/>
      <c r="M1038" s="72"/>
      <c r="N1038" s="72"/>
      <c r="O1038" s="72"/>
      <c r="P1038" s="42"/>
      <c r="Q1038" s="42"/>
      <c r="R1038" s="42"/>
      <c r="S1038" s="42"/>
      <c r="T1038" s="42"/>
      <c r="U1038" s="42"/>
      <c r="V1038" s="416"/>
      <c r="W1038" s="42"/>
      <c r="X1038" s="74"/>
      <c r="Y1038" s="74"/>
      <c r="Z1038" s="74"/>
      <c r="AA1038" s="74"/>
      <c r="AB1038" s="74"/>
      <c r="AC1038" s="42"/>
      <c r="AD1038" s="42"/>
      <c r="AE1038" s="42"/>
      <c r="AF1038" s="42"/>
      <c r="AG1038" s="42"/>
      <c r="AH1038" s="42"/>
      <c r="AI1038" s="75"/>
      <c r="AJ1038" s="75"/>
      <c r="AK1038" s="75"/>
      <c r="AL1038" s="75"/>
      <c r="AM1038" s="74"/>
      <c r="AN1038" s="72" t="e">
        <f>VLOOKUP(H1038,[4]Planilha1!A$13:P$314,16,0)</f>
        <v>#N/A</v>
      </c>
    </row>
    <row r="1039" spans="1:40" s="69" customFormat="1" x14ac:dyDescent="0.25">
      <c r="A1039" s="88"/>
      <c r="B1039" s="88"/>
      <c r="C1039" s="70"/>
      <c r="D1039" s="70"/>
      <c r="E1039" s="70"/>
      <c r="F1039" s="70"/>
      <c r="G1039" s="70"/>
      <c r="H1039" s="422"/>
      <c r="I1039" s="422"/>
      <c r="J1039" s="418"/>
      <c r="K1039" s="403"/>
      <c r="L1039" s="73"/>
      <c r="M1039" s="72"/>
      <c r="N1039" s="72"/>
      <c r="O1039" s="72"/>
      <c r="P1039" s="42"/>
      <c r="Q1039" s="42"/>
      <c r="R1039" s="42"/>
      <c r="S1039" s="42"/>
      <c r="T1039" s="42"/>
      <c r="U1039" s="42"/>
      <c r="V1039" s="416"/>
      <c r="W1039" s="42"/>
      <c r="X1039" s="74"/>
      <c r="Y1039" s="74"/>
      <c r="Z1039" s="74"/>
      <c r="AA1039" s="74"/>
      <c r="AB1039" s="74"/>
      <c r="AC1039" s="42"/>
      <c r="AD1039" s="42"/>
      <c r="AE1039" s="42"/>
      <c r="AF1039" s="42"/>
      <c r="AG1039" s="42"/>
      <c r="AH1039" s="42"/>
      <c r="AI1039" s="75"/>
      <c r="AJ1039" s="75"/>
      <c r="AK1039" s="75"/>
      <c r="AL1039" s="75"/>
      <c r="AM1039" s="74"/>
      <c r="AN1039" s="72" t="e">
        <f>VLOOKUP(H1039,[4]Planilha1!A$13:P$314,16,0)</f>
        <v>#N/A</v>
      </c>
    </row>
    <row r="1040" spans="1:40" s="69" customFormat="1" x14ac:dyDescent="0.25">
      <c r="A1040" s="88"/>
      <c r="B1040" s="88"/>
      <c r="C1040" s="70"/>
      <c r="D1040" s="70"/>
      <c r="E1040" s="70"/>
      <c r="F1040" s="70"/>
      <c r="G1040" s="70"/>
      <c r="H1040" s="422"/>
      <c r="I1040" s="422"/>
      <c r="J1040" s="418"/>
      <c r="K1040" s="403"/>
      <c r="L1040" s="73"/>
      <c r="M1040" s="72"/>
      <c r="N1040" s="72"/>
      <c r="O1040" s="72"/>
      <c r="P1040" s="42"/>
      <c r="Q1040" s="42"/>
      <c r="R1040" s="42"/>
      <c r="S1040" s="42"/>
      <c r="T1040" s="42"/>
      <c r="U1040" s="42"/>
      <c r="V1040" s="416"/>
      <c r="W1040" s="42"/>
      <c r="X1040" s="74"/>
      <c r="Y1040" s="74"/>
      <c r="Z1040" s="74"/>
      <c r="AA1040" s="74"/>
      <c r="AB1040" s="74"/>
      <c r="AC1040" s="42"/>
      <c r="AD1040" s="42"/>
      <c r="AE1040" s="42"/>
      <c r="AF1040" s="42"/>
      <c r="AG1040" s="42"/>
      <c r="AH1040" s="42"/>
      <c r="AI1040" s="75"/>
      <c r="AJ1040" s="75"/>
      <c r="AK1040" s="75"/>
      <c r="AL1040" s="75"/>
      <c r="AM1040" s="74"/>
      <c r="AN1040" s="72" t="e">
        <f>VLOOKUP(H1040,[4]Planilha1!A$13:P$314,16,0)</f>
        <v>#N/A</v>
      </c>
    </row>
    <row r="1041" spans="1:40" s="69" customFormat="1" x14ac:dyDescent="0.25">
      <c r="A1041" s="88"/>
      <c r="B1041" s="88"/>
      <c r="C1041" s="70"/>
      <c r="D1041" s="70"/>
      <c r="E1041" s="70"/>
      <c r="F1041" s="70"/>
      <c r="G1041" s="70"/>
      <c r="H1041" s="422"/>
      <c r="I1041" s="422"/>
      <c r="J1041" s="418"/>
      <c r="K1041" s="403"/>
      <c r="L1041" s="73"/>
      <c r="M1041" s="72"/>
      <c r="N1041" s="72"/>
      <c r="O1041" s="72"/>
      <c r="P1041" s="42"/>
      <c r="Q1041" s="42"/>
      <c r="R1041" s="42"/>
      <c r="S1041" s="42"/>
      <c r="T1041" s="42"/>
      <c r="U1041" s="42"/>
      <c r="V1041" s="416"/>
      <c r="W1041" s="42"/>
      <c r="X1041" s="74"/>
      <c r="Y1041" s="74"/>
      <c r="Z1041" s="74"/>
      <c r="AA1041" s="74"/>
      <c r="AB1041" s="74"/>
      <c r="AC1041" s="42"/>
      <c r="AD1041" s="42"/>
      <c r="AE1041" s="42"/>
      <c r="AF1041" s="42"/>
      <c r="AG1041" s="42"/>
      <c r="AH1041" s="42"/>
      <c r="AI1041" s="75"/>
      <c r="AJ1041" s="75"/>
      <c r="AK1041" s="75"/>
      <c r="AL1041" s="75"/>
      <c r="AM1041" s="74"/>
      <c r="AN1041" s="72" t="e">
        <f>VLOOKUP(H1041,[4]Planilha1!A$13:P$314,16,0)</f>
        <v>#N/A</v>
      </c>
    </row>
    <row r="1042" spans="1:40" s="69" customFormat="1" x14ac:dyDescent="0.25">
      <c r="A1042" s="88"/>
      <c r="B1042" s="88"/>
      <c r="C1042" s="70"/>
      <c r="D1042" s="70"/>
      <c r="E1042" s="70"/>
      <c r="F1042" s="70"/>
      <c r="G1042" s="70"/>
      <c r="H1042" s="422"/>
      <c r="I1042" s="422"/>
      <c r="J1042" s="418"/>
      <c r="K1042" s="403"/>
      <c r="L1042" s="73"/>
      <c r="M1042" s="72"/>
      <c r="N1042" s="72"/>
      <c r="O1042" s="72"/>
      <c r="P1042" s="42"/>
      <c r="Q1042" s="42"/>
      <c r="R1042" s="42"/>
      <c r="S1042" s="42"/>
      <c r="T1042" s="42"/>
      <c r="U1042" s="42"/>
      <c r="V1042" s="416"/>
      <c r="W1042" s="42"/>
      <c r="X1042" s="74"/>
      <c r="Y1042" s="74"/>
      <c r="Z1042" s="74"/>
      <c r="AA1042" s="74"/>
      <c r="AB1042" s="74"/>
      <c r="AC1042" s="42"/>
      <c r="AD1042" s="42"/>
      <c r="AE1042" s="42"/>
      <c r="AF1042" s="42"/>
      <c r="AG1042" s="42"/>
      <c r="AH1042" s="42"/>
      <c r="AI1042" s="75"/>
      <c r="AJ1042" s="75"/>
      <c r="AK1042" s="75"/>
      <c r="AL1042" s="75"/>
      <c r="AM1042" s="74"/>
      <c r="AN1042" s="72" t="e">
        <f>VLOOKUP(H1042,[4]Planilha1!A$13:P$314,16,0)</f>
        <v>#N/A</v>
      </c>
    </row>
    <row r="1043" spans="1:40" s="69" customFormat="1" x14ac:dyDescent="0.25">
      <c r="A1043" s="88"/>
      <c r="B1043" s="88"/>
      <c r="C1043" s="70"/>
      <c r="D1043" s="70"/>
      <c r="E1043" s="70"/>
      <c r="F1043" s="70"/>
      <c r="G1043" s="70"/>
      <c r="H1043" s="422"/>
      <c r="I1043" s="422"/>
      <c r="J1043" s="418"/>
      <c r="K1043" s="403"/>
      <c r="L1043" s="73"/>
      <c r="M1043" s="72"/>
      <c r="N1043" s="72"/>
      <c r="O1043" s="72"/>
      <c r="P1043" s="42"/>
      <c r="Q1043" s="42"/>
      <c r="R1043" s="42"/>
      <c r="S1043" s="42"/>
      <c r="T1043" s="42"/>
      <c r="U1043" s="42"/>
      <c r="V1043" s="416"/>
      <c r="W1043" s="42"/>
      <c r="X1043" s="74"/>
      <c r="Y1043" s="74"/>
      <c r="Z1043" s="74"/>
      <c r="AA1043" s="74"/>
      <c r="AB1043" s="74"/>
      <c r="AC1043" s="42"/>
      <c r="AD1043" s="42"/>
      <c r="AE1043" s="42"/>
      <c r="AF1043" s="42"/>
      <c r="AG1043" s="42"/>
      <c r="AH1043" s="42"/>
      <c r="AI1043" s="75"/>
      <c r="AJ1043" s="75"/>
      <c r="AK1043" s="75"/>
      <c r="AL1043" s="75"/>
      <c r="AM1043" s="74"/>
      <c r="AN1043" s="72" t="e">
        <f>VLOOKUP(H1043,[4]Planilha1!A$13:P$314,16,0)</f>
        <v>#N/A</v>
      </c>
    </row>
    <row r="1044" spans="1:40" s="69" customFormat="1" x14ac:dyDescent="0.25">
      <c r="A1044" s="88"/>
      <c r="B1044" s="88"/>
      <c r="C1044" s="70"/>
      <c r="D1044" s="70"/>
      <c r="E1044" s="70"/>
      <c r="F1044" s="70"/>
      <c r="G1044" s="70"/>
      <c r="H1044" s="422"/>
      <c r="I1044" s="422"/>
      <c r="J1044" s="418"/>
      <c r="K1044" s="403"/>
      <c r="L1044" s="73"/>
      <c r="M1044" s="72"/>
      <c r="N1044" s="72"/>
      <c r="O1044" s="72"/>
      <c r="P1044" s="42"/>
      <c r="Q1044" s="42"/>
      <c r="R1044" s="42"/>
      <c r="S1044" s="42"/>
      <c r="T1044" s="42"/>
      <c r="U1044" s="42"/>
      <c r="V1044" s="416"/>
      <c r="W1044" s="42"/>
      <c r="X1044" s="74"/>
      <c r="Y1044" s="74"/>
      <c r="Z1044" s="74"/>
      <c r="AA1044" s="74"/>
      <c r="AB1044" s="74"/>
      <c r="AC1044" s="42"/>
      <c r="AD1044" s="42"/>
      <c r="AE1044" s="42"/>
      <c r="AF1044" s="42"/>
      <c r="AG1044" s="42"/>
      <c r="AH1044" s="42"/>
      <c r="AI1044" s="75"/>
      <c r="AJ1044" s="75"/>
      <c r="AK1044" s="75"/>
      <c r="AL1044" s="75"/>
      <c r="AM1044" s="74"/>
      <c r="AN1044" s="72" t="e">
        <f>VLOOKUP(H1044,[4]Planilha1!A$13:P$314,16,0)</f>
        <v>#N/A</v>
      </c>
    </row>
    <row r="1045" spans="1:40" s="69" customFormat="1" x14ac:dyDescent="0.25">
      <c r="A1045" s="88"/>
      <c r="B1045" s="88"/>
      <c r="C1045" s="70"/>
      <c r="D1045" s="70"/>
      <c r="E1045" s="70"/>
      <c r="F1045" s="70"/>
      <c r="G1045" s="70"/>
      <c r="H1045" s="422"/>
      <c r="I1045" s="422"/>
      <c r="J1045" s="418"/>
      <c r="K1045" s="403"/>
      <c r="L1045" s="73"/>
      <c r="M1045" s="72"/>
      <c r="N1045" s="72"/>
      <c r="O1045" s="72"/>
      <c r="P1045" s="42"/>
      <c r="Q1045" s="42"/>
      <c r="R1045" s="42"/>
      <c r="S1045" s="42"/>
      <c r="T1045" s="42"/>
      <c r="U1045" s="42"/>
      <c r="V1045" s="416"/>
      <c r="W1045" s="42"/>
      <c r="X1045" s="74"/>
      <c r="Y1045" s="74"/>
      <c r="Z1045" s="74"/>
      <c r="AA1045" s="74"/>
      <c r="AB1045" s="74"/>
      <c r="AC1045" s="42"/>
      <c r="AD1045" s="42"/>
      <c r="AE1045" s="42"/>
      <c r="AF1045" s="42"/>
      <c r="AG1045" s="42"/>
      <c r="AH1045" s="42"/>
      <c r="AI1045" s="75"/>
      <c r="AJ1045" s="75"/>
      <c r="AK1045" s="75"/>
      <c r="AL1045" s="75"/>
      <c r="AM1045" s="74"/>
      <c r="AN1045" s="72" t="e">
        <f>VLOOKUP(H1045,[4]Planilha1!A$13:P$314,16,0)</f>
        <v>#N/A</v>
      </c>
    </row>
    <row r="1046" spans="1:40" s="69" customFormat="1" x14ac:dyDescent="0.25">
      <c r="A1046" s="88"/>
      <c r="B1046" s="88"/>
      <c r="C1046" s="70"/>
      <c r="D1046" s="70"/>
      <c r="E1046" s="70"/>
      <c r="F1046" s="70"/>
      <c r="G1046" s="70"/>
      <c r="H1046" s="422"/>
      <c r="I1046" s="422"/>
      <c r="J1046" s="418"/>
      <c r="K1046" s="403"/>
      <c r="L1046" s="73"/>
      <c r="M1046" s="72"/>
      <c r="N1046" s="72"/>
      <c r="O1046" s="72"/>
      <c r="P1046" s="42"/>
      <c r="Q1046" s="42"/>
      <c r="R1046" s="42"/>
      <c r="S1046" s="42"/>
      <c r="T1046" s="42"/>
      <c r="U1046" s="42"/>
      <c r="V1046" s="416"/>
      <c r="W1046" s="42"/>
      <c r="X1046" s="74"/>
      <c r="Y1046" s="74"/>
      <c r="Z1046" s="74"/>
      <c r="AA1046" s="74"/>
      <c r="AB1046" s="74"/>
      <c r="AC1046" s="42"/>
      <c r="AD1046" s="42"/>
      <c r="AE1046" s="42"/>
      <c r="AF1046" s="42"/>
      <c r="AG1046" s="42"/>
      <c r="AH1046" s="42"/>
      <c r="AI1046" s="75"/>
      <c r="AJ1046" s="75"/>
      <c r="AK1046" s="75"/>
      <c r="AL1046" s="75"/>
      <c r="AM1046" s="74"/>
      <c r="AN1046" s="72" t="e">
        <f>VLOOKUP(H1046,[4]Planilha1!A$13:P$314,16,0)</f>
        <v>#N/A</v>
      </c>
    </row>
    <row r="1047" spans="1:40" s="69" customFormat="1" x14ac:dyDescent="0.25">
      <c r="A1047" s="88"/>
      <c r="B1047" s="88"/>
      <c r="C1047" s="70"/>
      <c r="D1047" s="70"/>
      <c r="E1047" s="70"/>
      <c r="F1047" s="70"/>
      <c r="G1047" s="70"/>
      <c r="H1047" s="422"/>
      <c r="I1047" s="422"/>
      <c r="J1047" s="418"/>
      <c r="K1047" s="403"/>
      <c r="L1047" s="73"/>
      <c r="M1047" s="72"/>
      <c r="N1047" s="72"/>
      <c r="O1047" s="72"/>
      <c r="P1047" s="42"/>
      <c r="Q1047" s="42"/>
      <c r="R1047" s="42"/>
      <c r="S1047" s="42"/>
      <c r="T1047" s="42"/>
      <c r="U1047" s="42"/>
      <c r="V1047" s="416"/>
      <c r="W1047" s="42"/>
      <c r="X1047" s="74"/>
      <c r="Y1047" s="74"/>
      <c r="Z1047" s="74"/>
      <c r="AA1047" s="74"/>
      <c r="AB1047" s="74"/>
      <c r="AC1047" s="42"/>
      <c r="AD1047" s="42"/>
      <c r="AE1047" s="42"/>
      <c r="AF1047" s="42"/>
      <c r="AG1047" s="42"/>
      <c r="AH1047" s="42"/>
      <c r="AI1047" s="75"/>
      <c r="AJ1047" s="75"/>
      <c r="AK1047" s="75"/>
      <c r="AL1047" s="75"/>
      <c r="AM1047" s="74"/>
      <c r="AN1047" s="72" t="e">
        <f>VLOOKUP(H1047,[4]Planilha1!A$13:P$314,16,0)</f>
        <v>#N/A</v>
      </c>
    </row>
    <row r="1048" spans="1:40" s="69" customFormat="1" x14ac:dyDescent="0.25">
      <c r="A1048" s="88"/>
      <c r="B1048" s="88"/>
      <c r="C1048" s="70"/>
      <c r="D1048" s="70"/>
      <c r="E1048" s="70"/>
      <c r="F1048" s="70"/>
      <c r="G1048" s="70"/>
      <c r="H1048" s="422"/>
      <c r="I1048" s="422"/>
      <c r="J1048" s="418"/>
      <c r="K1048" s="403"/>
      <c r="L1048" s="73"/>
      <c r="M1048" s="72"/>
      <c r="N1048" s="72"/>
      <c r="O1048" s="72"/>
      <c r="P1048" s="42"/>
      <c r="Q1048" s="42"/>
      <c r="R1048" s="42"/>
      <c r="S1048" s="42"/>
      <c r="T1048" s="42"/>
      <c r="U1048" s="42"/>
      <c r="V1048" s="416"/>
      <c r="W1048" s="42"/>
      <c r="X1048" s="74"/>
      <c r="Y1048" s="74"/>
      <c r="Z1048" s="74"/>
      <c r="AA1048" s="74"/>
      <c r="AB1048" s="74"/>
      <c r="AC1048" s="42"/>
      <c r="AD1048" s="42"/>
      <c r="AE1048" s="42"/>
      <c r="AF1048" s="42"/>
      <c r="AG1048" s="42"/>
      <c r="AH1048" s="42"/>
      <c r="AI1048" s="75"/>
      <c r="AJ1048" s="75"/>
      <c r="AK1048" s="75"/>
      <c r="AL1048" s="75"/>
      <c r="AM1048" s="74"/>
      <c r="AN1048" s="72" t="e">
        <f>VLOOKUP(H1048,[4]Planilha1!A$13:P$314,16,0)</f>
        <v>#N/A</v>
      </c>
    </row>
    <row r="1049" spans="1:40" s="69" customFormat="1" x14ac:dyDescent="0.25">
      <c r="A1049" s="88"/>
      <c r="B1049" s="88"/>
      <c r="C1049" s="70"/>
      <c r="D1049" s="70"/>
      <c r="E1049" s="70"/>
      <c r="F1049" s="70"/>
      <c r="G1049" s="70"/>
      <c r="H1049" s="422"/>
      <c r="I1049" s="422"/>
      <c r="J1049" s="418"/>
      <c r="K1049" s="403"/>
      <c r="L1049" s="73"/>
      <c r="M1049" s="72"/>
      <c r="N1049" s="72"/>
      <c r="O1049" s="72"/>
      <c r="P1049" s="42"/>
      <c r="Q1049" s="42"/>
      <c r="R1049" s="42"/>
      <c r="S1049" s="42"/>
      <c r="T1049" s="42"/>
      <c r="U1049" s="42"/>
      <c r="V1049" s="416"/>
      <c r="W1049" s="42"/>
      <c r="X1049" s="74"/>
      <c r="Y1049" s="74"/>
      <c r="Z1049" s="74"/>
      <c r="AA1049" s="74"/>
      <c r="AB1049" s="74"/>
      <c r="AC1049" s="42"/>
      <c r="AD1049" s="42"/>
      <c r="AE1049" s="42"/>
      <c r="AF1049" s="42"/>
      <c r="AG1049" s="42"/>
      <c r="AH1049" s="42"/>
      <c r="AI1049" s="75"/>
      <c r="AJ1049" s="75"/>
      <c r="AK1049" s="75"/>
      <c r="AL1049" s="75"/>
      <c r="AM1049" s="74"/>
      <c r="AN1049" s="72" t="e">
        <f>VLOOKUP(H1049,[4]Planilha1!A$13:P$314,16,0)</f>
        <v>#N/A</v>
      </c>
    </row>
    <row r="1050" spans="1:40" s="69" customFormat="1" x14ac:dyDescent="0.25">
      <c r="A1050" s="88"/>
      <c r="B1050" s="88"/>
      <c r="C1050" s="70"/>
      <c r="D1050" s="70"/>
      <c r="E1050" s="70"/>
      <c r="F1050" s="70"/>
      <c r="G1050" s="70"/>
      <c r="H1050" s="422"/>
      <c r="I1050" s="422"/>
      <c r="J1050" s="418"/>
      <c r="K1050" s="403"/>
      <c r="L1050" s="73"/>
      <c r="M1050" s="72"/>
      <c r="N1050" s="72"/>
      <c r="O1050" s="72"/>
      <c r="P1050" s="42"/>
      <c r="Q1050" s="42"/>
      <c r="R1050" s="42"/>
      <c r="S1050" s="42"/>
      <c r="T1050" s="42"/>
      <c r="U1050" s="42"/>
      <c r="V1050" s="416"/>
      <c r="W1050" s="42"/>
      <c r="X1050" s="74"/>
      <c r="Y1050" s="74"/>
      <c r="Z1050" s="74"/>
      <c r="AA1050" s="74"/>
      <c r="AB1050" s="74"/>
      <c r="AC1050" s="42"/>
      <c r="AD1050" s="42"/>
      <c r="AE1050" s="42"/>
      <c r="AF1050" s="42"/>
      <c r="AG1050" s="42"/>
      <c r="AH1050" s="42"/>
      <c r="AI1050" s="75"/>
      <c r="AJ1050" s="75"/>
      <c r="AK1050" s="75"/>
      <c r="AL1050" s="75"/>
      <c r="AM1050" s="74"/>
      <c r="AN1050" s="72" t="e">
        <f>VLOOKUP(H1050,[4]Planilha1!A$13:P$314,16,0)</f>
        <v>#N/A</v>
      </c>
    </row>
    <row r="1051" spans="1:40" s="69" customFormat="1" x14ac:dyDescent="0.25">
      <c r="A1051" s="88"/>
      <c r="B1051" s="88"/>
      <c r="C1051" s="70"/>
      <c r="D1051" s="70"/>
      <c r="E1051" s="70"/>
      <c r="F1051" s="70"/>
      <c r="G1051" s="70"/>
      <c r="H1051" s="422"/>
      <c r="I1051" s="422"/>
      <c r="J1051" s="418"/>
      <c r="K1051" s="403"/>
      <c r="L1051" s="73"/>
      <c r="M1051" s="72"/>
      <c r="N1051" s="72"/>
      <c r="O1051" s="72"/>
      <c r="P1051" s="42"/>
      <c r="Q1051" s="42"/>
      <c r="R1051" s="42"/>
      <c r="S1051" s="42"/>
      <c r="T1051" s="42"/>
      <c r="U1051" s="42"/>
      <c r="V1051" s="416"/>
      <c r="W1051" s="42"/>
      <c r="X1051" s="74"/>
      <c r="Y1051" s="74"/>
      <c r="Z1051" s="74"/>
      <c r="AA1051" s="74"/>
      <c r="AB1051" s="74"/>
      <c r="AC1051" s="42"/>
      <c r="AD1051" s="42"/>
      <c r="AE1051" s="42"/>
      <c r="AF1051" s="42"/>
      <c r="AG1051" s="42"/>
      <c r="AH1051" s="42"/>
      <c r="AI1051" s="75"/>
      <c r="AJ1051" s="75"/>
      <c r="AK1051" s="75"/>
      <c r="AL1051" s="75"/>
      <c r="AM1051" s="74"/>
      <c r="AN1051" s="72" t="e">
        <f>VLOOKUP(H1051,[4]Planilha1!A$13:P$314,16,0)</f>
        <v>#N/A</v>
      </c>
    </row>
    <row r="1052" spans="1:40" s="69" customFormat="1" x14ac:dyDescent="0.25">
      <c r="A1052" s="88"/>
      <c r="B1052" s="88"/>
      <c r="C1052" s="70"/>
      <c r="D1052" s="70"/>
      <c r="E1052" s="70"/>
      <c r="F1052" s="70"/>
      <c r="G1052" s="70"/>
      <c r="H1052" s="422"/>
      <c r="I1052" s="422"/>
      <c r="J1052" s="418"/>
      <c r="K1052" s="403"/>
      <c r="L1052" s="73"/>
      <c r="M1052" s="72"/>
      <c r="N1052" s="72"/>
      <c r="O1052" s="72"/>
      <c r="P1052" s="42"/>
      <c r="Q1052" s="42"/>
      <c r="R1052" s="42"/>
      <c r="S1052" s="42"/>
      <c r="T1052" s="42"/>
      <c r="U1052" s="42"/>
      <c r="V1052" s="416"/>
      <c r="W1052" s="42"/>
      <c r="X1052" s="74"/>
      <c r="Y1052" s="74"/>
      <c r="Z1052" s="74"/>
      <c r="AA1052" s="74"/>
      <c r="AB1052" s="74"/>
      <c r="AC1052" s="42"/>
      <c r="AD1052" s="42"/>
      <c r="AE1052" s="42"/>
      <c r="AF1052" s="42"/>
      <c r="AG1052" s="42"/>
      <c r="AH1052" s="42"/>
      <c r="AI1052" s="75"/>
      <c r="AJ1052" s="75"/>
      <c r="AK1052" s="75"/>
      <c r="AL1052" s="75"/>
      <c r="AM1052" s="74"/>
      <c r="AN1052" s="72" t="e">
        <f>VLOOKUP(H1052,[4]Planilha1!A$13:P$314,16,0)</f>
        <v>#N/A</v>
      </c>
    </row>
    <row r="1053" spans="1:40" s="69" customFormat="1" x14ac:dyDescent="0.25">
      <c r="A1053" s="88"/>
      <c r="B1053" s="88"/>
      <c r="C1053" s="70"/>
      <c r="D1053" s="70"/>
      <c r="E1053" s="70"/>
      <c r="F1053" s="70"/>
      <c r="G1053" s="70"/>
      <c r="H1053" s="422"/>
      <c r="I1053" s="422"/>
      <c r="J1053" s="418"/>
      <c r="K1053" s="403"/>
      <c r="L1053" s="73"/>
      <c r="M1053" s="72"/>
      <c r="N1053" s="72"/>
      <c r="O1053" s="72"/>
      <c r="P1053" s="42"/>
      <c r="Q1053" s="42"/>
      <c r="R1053" s="42"/>
      <c r="S1053" s="42"/>
      <c r="T1053" s="42"/>
      <c r="U1053" s="42"/>
      <c r="V1053" s="416"/>
      <c r="W1053" s="42"/>
      <c r="X1053" s="74"/>
      <c r="Y1053" s="74"/>
      <c r="Z1053" s="74"/>
      <c r="AA1053" s="74"/>
      <c r="AB1053" s="74"/>
      <c r="AC1053" s="42"/>
      <c r="AD1053" s="42"/>
      <c r="AE1053" s="42"/>
      <c r="AF1053" s="42"/>
      <c r="AG1053" s="42"/>
      <c r="AH1053" s="42"/>
      <c r="AI1053" s="75"/>
      <c r="AJ1053" s="75"/>
      <c r="AK1053" s="75"/>
      <c r="AL1053" s="75"/>
      <c r="AM1053" s="74"/>
      <c r="AN1053" s="72" t="e">
        <f>VLOOKUP(H1053,[4]Planilha1!A$13:P$314,16,0)</f>
        <v>#N/A</v>
      </c>
    </row>
    <row r="1054" spans="1:40" s="69" customFormat="1" x14ac:dyDescent="0.25">
      <c r="A1054" s="88"/>
      <c r="B1054" s="88"/>
      <c r="C1054" s="70"/>
      <c r="D1054" s="70"/>
      <c r="E1054" s="70"/>
      <c r="F1054" s="70"/>
      <c r="G1054" s="70"/>
      <c r="H1054" s="422"/>
      <c r="I1054" s="422"/>
      <c r="J1054" s="418"/>
      <c r="K1054" s="403"/>
      <c r="L1054" s="73"/>
      <c r="M1054" s="72"/>
      <c r="N1054" s="72"/>
      <c r="O1054" s="72"/>
      <c r="P1054" s="42"/>
      <c r="Q1054" s="42"/>
      <c r="R1054" s="42"/>
      <c r="S1054" s="42"/>
      <c r="T1054" s="42"/>
      <c r="U1054" s="42"/>
      <c r="V1054" s="416"/>
      <c r="W1054" s="42"/>
      <c r="X1054" s="74"/>
      <c r="Y1054" s="74"/>
      <c r="Z1054" s="74"/>
      <c r="AA1054" s="74"/>
      <c r="AB1054" s="74"/>
      <c r="AC1054" s="42"/>
      <c r="AD1054" s="42"/>
      <c r="AE1054" s="42"/>
      <c r="AF1054" s="42"/>
      <c r="AG1054" s="42"/>
      <c r="AH1054" s="42"/>
      <c r="AI1054" s="75"/>
      <c r="AJ1054" s="75"/>
      <c r="AK1054" s="75"/>
      <c r="AL1054" s="75"/>
      <c r="AM1054" s="74"/>
      <c r="AN1054" s="72" t="e">
        <f>VLOOKUP(H1054,[4]Planilha1!A$13:P$314,16,0)</f>
        <v>#N/A</v>
      </c>
    </row>
    <row r="1055" spans="1:40" s="69" customFormat="1" x14ac:dyDescent="0.25">
      <c r="A1055" s="88"/>
      <c r="B1055" s="88"/>
      <c r="C1055" s="70"/>
      <c r="D1055" s="70"/>
      <c r="E1055" s="70"/>
      <c r="F1055" s="70"/>
      <c r="G1055" s="70"/>
      <c r="H1055" s="422"/>
      <c r="I1055" s="422"/>
      <c r="J1055" s="418"/>
      <c r="K1055" s="403"/>
      <c r="L1055" s="73"/>
      <c r="M1055" s="72"/>
      <c r="N1055" s="72"/>
      <c r="O1055" s="72"/>
      <c r="P1055" s="42"/>
      <c r="Q1055" s="42"/>
      <c r="R1055" s="42"/>
      <c r="S1055" s="42"/>
      <c r="T1055" s="42"/>
      <c r="U1055" s="42"/>
      <c r="V1055" s="416"/>
      <c r="W1055" s="42"/>
      <c r="X1055" s="74"/>
      <c r="Y1055" s="74"/>
      <c r="Z1055" s="74"/>
      <c r="AA1055" s="74"/>
      <c r="AB1055" s="74"/>
      <c r="AC1055" s="42"/>
      <c r="AD1055" s="42"/>
      <c r="AE1055" s="42"/>
      <c r="AF1055" s="42"/>
      <c r="AG1055" s="42"/>
      <c r="AH1055" s="42"/>
      <c r="AI1055" s="75"/>
      <c r="AJ1055" s="75"/>
      <c r="AK1055" s="75"/>
      <c r="AL1055" s="75"/>
      <c r="AM1055" s="74"/>
      <c r="AN1055" s="72" t="e">
        <f>VLOOKUP(H1055,[4]Planilha1!A$13:P$314,16,0)</f>
        <v>#N/A</v>
      </c>
    </row>
    <row r="1056" spans="1:40" s="69" customFormat="1" x14ac:dyDescent="0.25">
      <c r="A1056" s="88"/>
      <c r="B1056" s="88"/>
      <c r="C1056" s="70"/>
      <c r="D1056" s="70"/>
      <c r="E1056" s="70"/>
      <c r="F1056" s="70"/>
      <c r="G1056" s="70"/>
      <c r="H1056" s="422"/>
      <c r="I1056" s="422"/>
      <c r="J1056" s="418"/>
      <c r="K1056" s="403"/>
      <c r="L1056" s="73"/>
      <c r="M1056" s="72"/>
      <c r="N1056" s="72"/>
      <c r="O1056" s="72"/>
      <c r="P1056" s="42"/>
      <c r="Q1056" s="42"/>
      <c r="R1056" s="42"/>
      <c r="S1056" s="42"/>
      <c r="T1056" s="42"/>
      <c r="U1056" s="42"/>
      <c r="V1056" s="416"/>
      <c r="W1056" s="42"/>
      <c r="X1056" s="74"/>
      <c r="Y1056" s="74"/>
      <c r="Z1056" s="74"/>
      <c r="AA1056" s="74"/>
      <c r="AB1056" s="74"/>
      <c r="AC1056" s="42"/>
      <c r="AD1056" s="42"/>
      <c r="AE1056" s="42"/>
      <c r="AF1056" s="42"/>
      <c r="AG1056" s="42"/>
      <c r="AH1056" s="42"/>
      <c r="AI1056" s="75"/>
      <c r="AJ1056" s="75"/>
      <c r="AK1056" s="75"/>
      <c r="AL1056" s="75"/>
      <c r="AM1056" s="74"/>
      <c r="AN1056" s="72" t="e">
        <f>VLOOKUP(H1056,[4]Planilha1!A$13:P$314,16,0)</f>
        <v>#N/A</v>
      </c>
    </row>
    <row r="1057" spans="1:40" s="69" customFormat="1" x14ac:dyDescent="0.25">
      <c r="A1057" s="88"/>
      <c r="B1057" s="88"/>
      <c r="C1057" s="70"/>
      <c r="D1057" s="70"/>
      <c r="E1057" s="70"/>
      <c r="F1057" s="70"/>
      <c r="G1057" s="70"/>
      <c r="H1057" s="422"/>
      <c r="I1057" s="422"/>
      <c r="J1057" s="418"/>
      <c r="K1057" s="403"/>
      <c r="L1057" s="73"/>
      <c r="M1057" s="72"/>
      <c r="N1057" s="72"/>
      <c r="O1057" s="72"/>
      <c r="P1057" s="42"/>
      <c r="Q1057" s="42"/>
      <c r="R1057" s="42"/>
      <c r="S1057" s="42"/>
      <c r="T1057" s="42"/>
      <c r="U1057" s="42"/>
      <c r="V1057" s="416"/>
      <c r="W1057" s="42"/>
      <c r="X1057" s="74"/>
      <c r="Y1057" s="74"/>
      <c r="Z1057" s="74"/>
      <c r="AA1057" s="74"/>
      <c r="AB1057" s="74"/>
      <c r="AC1057" s="42"/>
      <c r="AD1057" s="42"/>
      <c r="AE1057" s="42"/>
      <c r="AF1057" s="42"/>
      <c r="AG1057" s="42"/>
      <c r="AH1057" s="42"/>
      <c r="AI1057" s="75"/>
      <c r="AJ1057" s="75"/>
      <c r="AK1057" s="75"/>
      <c r="AL1057" s="75"/>
      <c r="AM1057" s="74"/>
      <c r="AN1057" s="72" t="e">
        <f>VLOOKUP(H1057,[4]Planilha1!A$13:P$314,16,0)</f>
        <v>#N/A</v>
      </c>
    </row>
    <row r="1058" spans="1:40" s="69" customFormat="1" x14ac:dyDescent="0.25">
      <c r="A1058" s="88"/>
      <c r="B1058" s="88"/>
      <c r="C1058" s="70"/>
      <c r="D1058" s="70"/>
      <c r="E1058" s="70"/>
      <c r="F1058" s="70"/>
      <c r="G1058" s="70"/>
      <c r="H1058" s="422"/>
      <c r="I1058" s="422"/>
      <c r="J1058" s="418"/>
      <c r="K1058" s="403"/>
      <c r="L1058" s="73"/>
      <c r="M1058" s="72"/>
      <c r="N1058" s="72"/>
      <c r="O1058" s="72"/>
      <c r="P1058" s="42"/>
      <c r="Q1058" s="42"/>
      <c r="R1058" s="42"/>
      <c r="S1058" s="42"/>
      <c r="T1058" s="42"/>
      <c r="U1058" s="42"/>
      <c r="V1058" s="416"/>
      <c r="W1058" s="42"/>
      <c r="X1058" s="74"/>
      <c r="Y1058" s="74"/>
      <c r="Z1058" s="74"/>
      <c r="AA1058" s="74"/>
      <c r="AB1058" s="74"/>
      <c r="AC1058" s="42"/>
      <c r="AD1058" s="42"/>
      <c r="AE1058" s="42"/>
      <c r="AF1058" s="42"/>
      <c r="AG1058" s="42"/>
      <c r="AH1058" s="42"/>
      <c r="AI1058" s="75"/>
      <c r="AJ1058" s="75"/>
      <c r="AK1058" s="75"/>
      <c r="AL1058" s="75"/>
      <c r="AM1058" s="74"/>
      <c r="AN1058" s="72" t="e">
        <f>VLOOKUP(H1058,[4]Planilha1!A$13:P$314,16,0)</f>
        <v>#N/A</v>
      </c>
    </row>
    <row r="1059" spans="1:40" s="69" customFormat="1" x14ac:dyDescent="0.25">
      <c r="A1059" s="88"/>
      <c r="B1059" s="88"/>
      <c r="C1059" s="70"/>
      <c r="D1059" s="70"/>
      <c r="E1059" s="70"/>
      <c r="F1059" s="70"/>
      <c r="G1059" s="70"/>
      <c r="H1059" s="422"/>
      <c r="I1059" s="422"/>
      <c r="J1059" s="418"/>
      <c r="K1059" s="403"/>
      <c r="L1059" s="73"/>
      <c r="M1059" s="72"/>
      <c r="N1059" s="72"/>
      <c r="O1059" s="72"/>
      <c r="P1059" s="42"/>
      <c r="Q1059" s="42"/>
      <c r="R1059" s="42"/>
      <c r="S1059" s="42"/>
      <c r="T1059" s="42"/>
      <c r="U1059" s="42"/>
      <c r="V1059" s="416"/>
      <c r="W1059" s="42"/>
      <c r="X1059" s="74"/>
      <c r="Y1059" s="74"/>
      <c r="Z1059" s="74"/>
      <c r="AA1059" s="74"/>
      <c r="AB1059" s="74"/>
      <c r="AC1059" s="42"/>
      <c r="AD1059" s="42"/>
      <c r="AE1059" s="42"/>
      <c r="AF1059" s="42"/>
      <c r="AG1059" s="42"/>
      <c r="AH1059" s="42"/>
      <c r="AI1059" s="75"/>
      <c r="AJ1059" s="75"/>
      <c r="AK1059" s="75"/>
      <c r="AL1059" s="75"/>
      <c r="AM1059" s="74"/>
      <c r="AN1059" s="72" t="e">
        <f>VLOOKUP(H1059,[4]Planilha1!A$13:P$314,16,0)</f>
        <v>#N/A</v>
      </c>
    </row>
    <row r="1060" spans="1:40" s="69" customFormat="1" x14ac:dyDescent="0.25">
      <c r="A1060" s="88"/>
      <c r="B1060" s="88"/>
      <c r="C1060" s="70"/>
      <c r="D1060" s="70"/>
      <c r="E1060" s="70"/>
      <c r="F1060" s="70"/>
      <c r="G1060" s="70"/>
      <c r="H1060" s="422"/>
      <c r="I1060" s="422"/>
      <c r="J1060" s="418"/>
      <c r="K1060" s="403"/>
      <c r="L1060" s="73"/>
      <c r="M1060" s="72"/>
      <c r="N1060" s="72"/>
      <c r="O1060" s="72"/>
      <c r="P1060" s="42"/>
      <c r="Q1060" s="42"/>
      <c r="R1060" s="42"/>
      <c r="S1060" s="42"/>
      <c r="T1060" s="42"/>
      <c r="U1060" s="42"/>
      <c r="V1060" s="416"/>
      <c r="W1060" s="42"/>
      <c r="X1060" s="74"/>
      <c r="Y1060" s="74"/>
      <c r="Z1060" s="74"/>
      <c r="AA1060" s="74"/>
      <c r="AB1060" s="74"/>
      <c r="AC1060" s="42"/>
      <c r="AD1060" s="42"/>
      <c r="AE1060" s="42"/>
      <c r="AF1060" s="42"/>
      <c r="AG1060" s="42"/>
      <c r="AH1060" s="42"/>
      <c r="AI1060" s="75"/>
      <c r="AJ1060" s="75"/>
      <c r="AK1060" s="75"/>
      <c r="AL1060" s="75"/>
      <c r="AM1060" s="74"/>
      <c r="AN1060" s="72" t="e">
        <f>VLOOKUP(H1060,[4]Planilha1!A$13:P$314,16,0)</f>
        <v>#N/A</v>
      </c>
    </row>
    <row r="1061" spans="1:40" s="69" customFormat="1" x14ac:dyDescent="0.25">
      <c r="A1061" s="88"/>
      <c r="B1061" s="88"/>
      <c r="C1061" s="70"/>
      <c r="D1061" s="70"/>
      <c r="E1061" s="70"/>
      <c r="F1061" s="70"/>
      <c r="G1061" s="70"/>
      <c r="H1061" s="422"/>
      <c r="I1061" s="422"/>
      <c r="J1061" s="418"/>
      <c r="K1061" s="403"/>
      <c r="L1061" s="73"/>
      <c r="M1061" s="72"/>
      <c r="N1061" s="72"/>
      <c r="O1061" s="72"/>
      <c r="P1061" s="42"/>
      <c r="Q1061" s="42"/>
      <c r="R1061" s="42"/>
      <c r="S1061" s="42"/>
      <c r="T1061" s="42"/>
      <c r="U1061" s="42"/>
      <c r="V1061" s="416"/>
      <c r="W1061" s="42"/>
      <c r="X1061" s="74"/>
      <c r="Y1061" s="74"/>
      <c r="Z1061" s="74"/>
      <c r="AA1061" s="74"/>
      <c r="AB1061" s="74"/>
      <c r="AC1061" s="42"/>
      <c r="AD1061" s="42"/>
      <c r="AE1061" s="42"/>
      <c r="AF1061" s="42"/>
      <c r="AG1061" s="42"/>
      <c r="AH1061" s="42"/>
      <c r="AI1061" s="75"/>
      <c r="AJ1061" s="75"/>
      <c r="AK1061" s="75"/>
      <c r="AL1061" s="75"/>
      <c r="AM1061" s="74"/>
      <c r="AN1061" s="72" t="e">
        <f>VLOOKUP(H1061,[4]Planilha1!A$13:P$314,16,0)</f>
        <v>#N/A</v>
      </c>
    </row>
    <row r="1062" spans="1:40" s="69" customFormat="1" x14ac:dyDescent="0.25">
      <c r="A1062" s="88"/>
      <c r="B1062" s="88"/>
      <c r="C1062" s="70"/>
      <c r="D1062" s="70"/>
      <c r="E1062" s="70"/>
      <c r="F1062" s="70"/>
      <c r="G1062" s="70"/>
      <c r="H1062" s="422"/>
      <c r="I1062" s="422"/>
      <c r="J1062" s="418"/>
      <c r="K1062" s="403"/>
      <c r="L1062" s="73"/>
      <c r="M1062" s="72"/>
      <c r="N1062" s="72"/>
      <c r="O1062" s="72"/>
      <c r="P1062" s="42"/>
      <c r="Q1062" s="42"/>
      <c r="R1062" s="42"/>
      <c r="S1062" s="42"/>
      <c r="T1062" s="42"/>
      <c r="U1062" s="42"/>
      <c r="V1062" s="416"/>
      <c r="W1062" s="42"/>
      <c r="X1062" s="74"/>
      <c r="Y1062" s="74"/>
      <c r="Z1062" s="74"/>
      <c r="AA1062" s="74"/>
      <c r="AB1062" s="74"/>
      <c r="AC1062" s="42"/>
      <c r="AD1062" s="42"/>
      <c r="AE1062" s="42"/>
      <c r="AF1062" s="42"/>
      <c r="AG1062" s="42"/>
      <c r="AH1062" s="42"/>
      <c r="AI1062" s="75"/>
      <c r="AJ1062" s="75"/>
      <c r="AK1062" s="75"/>
      <c r="AL1062" s="75"/>
      <c r="AM1062" s="74"/>
      <c r="AN1062" s="72" t="e">
        <f>VLOOKUP(H1062,[4]Planilha1!A$13:P$314,16,0)</f>
        <v>#N/A</v>
      </c>
    </row>
    <row r="1063" spans="1:40" s="69" customFormat="1" x14ac:dyDescent="0.25">
      <c r="A1063" s="88"/>
      <c r="B1063" s="88"/>
      <c r="C1063" s="70"/>
      <c r="D1063" s="70"/>
      <c r="E1063" s="70"/>
      <c r="F1063" s="70"/>
      <c r="G1063" s="70"/>
      <c r="H1063" s="422"/>
      <c r="I1063" s="422"/>
      <c r="J1063" s="418"/>
      <c r="K1063" s="403"/>
      <c r="L1063" s="73"/>
      <c r="M1063" s="72"/>
      <c r="N1063" s="72"/>
      <c r="O1063" s="72"/>
      <c r="P1063" s="42"/>
      <c r="Q1063" s="42"/>
      <c r="R1063" s="42"/>
      <c r="S1063" s="42"/>
      <c r="T1063" s="42"/>
      <c r="U1063" s="42"/>
      <c r="V1063" s="416"/>
      <c r="W1063" s="42"/>
      <c r="X1063" s="74"/>
      <c r="Y1063" s="74"/>
      <c r="Z1063" s="74"/>
      <c r="AA1063" s="74"/>
      <c r="AB1063" s="74"/>
      <c r="AC1063" s="42"/>
      <c r="AD1063" s="42"/>
      <c r="AE1063" s="42"/>
      <c r="AF1063" s="42"/>
      <c r="AG1063" s="42"/>
      <c r="AH1063" s="42"/>
      <c r="AI1063" s="75"/>
      <c r="AJ1063" s="75"/>
      <c r="AK1063" s="75"/>
      <c r="AL1063" s="75"/>
      <c r="AM1063" s="74"/>
      <c r="AN1063" s="72" t="e">
        <f>VLOOKUP(H1063,[4]Planilha1!A$13:P$314,16,0)</f>
        <v>#N/A</v>
      </c>
    </row>
    <row r="1064" spans="1:40" s="69" customFormat="1" x14ac:dyDescent="0.25">
      <c r="A1064" s="88"/>
      <c r="B1064" s="88"/>
      <c r="C1064" s="70"/>
      <c r="D1064" s="70"/>
      <c r="E1064" s="70"/>
      <c r="F1064" s="70"/>
      <c r="G1064" s="70"/>
      <c r="H1064" s="422"/>
      <c r="I1064" s="422"/>
      <c r="J1064" s="418"/>
      <c r="K1064" s="403"/>
      <c r="L1064" s="73"/>
      <c r="M1064" s="72"/>
      <c r="N1064" s="72"/>
      <c r="O1064" s="72"/>
      <c r="P1064" s="42"/>
      <c r="Q1064" s="42"/>
      <c r="R1064" s="42"/>
      <c r="S1064" s="42"/>
      <c r="T1064" s="42"/>
      <c r="U1064" s="42"/>
      <c r="V1064" s="416"/>
      <c r="W1064" s="42"/>
      <c r="X1064" s="74"/>
      <c r="Y1064" s="74"/>
      <c r="Z1064" s="74"/>
      <c r="AA1064" s="74"/>
      <c r="AB1064" s="74"/>
      <c r="AC1064" s="42"/>
      <c r="AD1064" s="42"/>
      <c r="AE1064" s="42"/>
      <c r="AF1064" s="42"/>
      <c r="AG1064" s="42"/>
      <c r="AH1064" s="42"/>
      <c r="AI1064" s="75"/>
      <c r="AJ1064" s="75"/>
      <c r="AK1064" s="75"/>
      <c r="AL1064" s="75"/>
      <c r="AM1064" s="74"/>
      <c r="AN1064" s="72" t="e">
        <f>VLOOKUP(H1064,[4]Planilha1!A$13:P$314,16,0)</f>
        <v>#N/A</v>
      </c>
    </row>
    <row r="1065" spans="1:40" s="69" customFormat="1" x14ac:dyDescent="0.25">
      <c r="A1065" s="88"/>
      <c r="B1065" s="88"/>
      <c r="C1065" s="70"/>
      <c r="D1065" s="70"/>
      <c r="E1065" s="70"/>
      <c r="F1065" s="70"/>
      <c r="G1065" s="70"/>
      <c r="H1065" s="422"/>
      <c r="I1065" s="422"/>
      <c r="J1065" s="418"/>
      <c r="K1065" s="403"/>
      <c r="L1065" s="73"/>
      <c r="M1065" s="72"/>
      <c r="N1065" s="72"/>
      <c r="O1065" s="72"/>
      <c r="P1065" s="42"/>
      <c r="Q1065" s="42"/>
      <c r="R1065" s="42"/>
      <c r="S1065" s="42"/>
      <c r="T1065" s="42"/>
      <c r="U1065" s="42"/>
      <c r="V1065" s="416"/>
      <c r="W1065" s="42"/>
      <c r="X1065" s="74"/>
      <c r="Y1065" s="74"/>
      <c r="Z1065" s="74"/>
      <c r="AA1065" s="74"/>
      <c r="AB1065" s="74"/>
      <c r="AC1065" s="42"/>
      <c r="AD1065" s="42"/>
      <c r="AE1065" s="42"/>
      <c r="AF1065" s="42"/>
      <c r="AG1065" s="42"/>
      <c r="AH1065" s="42"/>
      <c r="AI1065" s="75"/>
      <c r="AJ1065" s="75"/>
      <c r="AK1065" s="75"/>
      <c r="AL1065" s="75"/>
      <c r="AM1065" s="74"/>
      <c r="AN1065" s="72" t="e">
        <f>VLOOKUP(H1065,[4]Planilha1!A$13:P$314,16,0)</f>
        <v>#N/A</v>
      </c>
    </row>
    <row r="1066" spans="1:40" s="69" customFormat="1" x14ac:dyDescent="0.25">
      <c r="A1066" s="88"/>
      <c r="B1066" s="88"/>
      <c r="C1066" s="70"/>
      <c r="D1066" s="70"/>
      <c r="E1066" s="70"/>
      <c r="F1066" s="70"/>
      <c r="G1066" s="70"/>
      <c r="H1066" s="422"/>
      <c r="I1066" s="422"/>
      <c r="J1066" s="418"/>
      <c r="K1066" s="403"/>
      <c r="L1066" s="73"/>
      <c r="M1066" s="72"/>
      <c r="N1066" s="72"/>
      <c r="O1066" s="72"/>
      <c r="P1066" s="42"/>
      <c r="Q1066" s="42"/>
      <c r="R1066" s="42"/>
      <c r="S1066" s="42"/>
      <c r="T1066" s="42"/>
      <c r="U1066" s="42"/>
      <c r="V1066" s="416"/>
      <c r="W1066" s="42"/>
      <c r="X1066" s="74"/>
      <c r="Y1066" s="74"/>
      <c r="Z1066" s="74"/>
      <c r="AA1066" s="74"/>
      <c r="AB1066" s="74"/>
      <c r="AC1066" s="42"/>
      <c r="AD1066" s="42"/>
      <c r="AE1066" s="42"/>
      <c r="AF1066" s="42"/>
      <c r="AG1066" s="42"/>
      <c r="AH1066" s="42"/>
      <c r="AI1066" s="75"/>
      <c r="AJ1066" s="75"/>
      <c r="AK1066" s="75"/>
      <c r="AL1066" s="75"/>
      <c r="AM1066" s="74"/>
      <c r="AN1066" s="72" t="e">
        <f>VLOOKUP(H1066,[4]Planilha1!A$13:P$314,16,0)</f>
        <v>#N/A</v>
      </c>
    </row>
    <row r="1067" spans="1:40" s="69" customFormat="1" x14ac:dyDescent="0.25">
      <c r="A1067" s="88"/>
      <c r="B1067" s="88"/>
      <c r="C1067" s="70"/>
      <c r="D1067" s="70"/>
      <c r="E1067" s="70"/>
      <c r="F1067" s="70"/>
      <c r="G1067" s="70"/>
      <c r="H1067" s="422"/>
      <c r="I1067" s="422"/>
      <c r="J1067" s="418"/>
      <c r="K1067" s="403"/>
      <c r="L1067" s="73"/>
      <c r="M1067" s="72"/>
      <c r="N1067" s="72"/>
      <c r="O1067" s="72"/>
      <c r="P1067" s="42"/>
      <c r="Q1067" s="42"/>
      <c r="R1067" s="42"/>
      <c r="S1067" s="42"/>
      <c r="T1067" s="42"/>
      <c r="U1067" s="42"/>
      <c r="V1067" s="416"/>
      <c r="W1067" s="42"/>
      <c r="X1067" s="74"/>
      <c r="Y1067" s="74"/>
      <c r="Z1067" s="74"/>
      <c r="AA1067" s="74"/>
      <c r="AB1067" s="74"/>
      <c r="AC1067" s="42"/>
      <c r="AD1067" s="42"/>
      <c r="AE1067" s="42"/>
      <c r="AF1067" s="42"/>
      <c r="AG1067" s="42"/>
      <c r="AH1067" s="42"/>
      <c r="AI1067" s="75"/>
      <c r="AJ1067" s="75"/>
      <c r="AK1067" s="75"/>
      <c r="AL1067" s="75"/>
      <c r="AM1067" s="74"/>
      <c r="AN1067" s="72" t="e">
        <f>VLOOKUP(H1067,[4]Planilha1!A$13:P$314,16,0)</f>
        <v>#N/A</v>
      </c>
    </row>
    <row r="1068" spans="1:40" s="69" customFormat="1" x14ac:dyDescent="0.25">
      <c r="A1068" s="88"/>
      <c r="B1068" s="88"/>
      <c r="C1068" s="70"/>
      <c r="D1068" s="70"/>
      <c r="E1068" s="70"/>
      <c r="F1068" s="70"/>
      <c r="G1068" s="70"/>
      <c r="H1068" s="422"/>
      <c r="I1068" s="422"/>
      <c r="J1068" s="418"/>
      <c r="K1068" s="403"/>
      <c r="L1068" s="73"/>
      <c r="M1068" s="72"/>
      <c r="N1068" s="72"/>
      <c r="O1068" s="72"/>
      <c r="P1068" s="42"/>
      <c r="Q1068" s="42"/>
      <c r="R1068" s="42"/>
      <c r="S1068" s="42"/>
      <c r="T1068" s="42"/>
      <c r="U1068" s="42"/>
      <c r="V1068" s="416"/>
      <c r="W1068" s="42"/>
      <c r="X1068" s="74"/>
      <c r="Y1068" s="74"/>
      <c r="Z1068" s="74"/>
      <c r="AA1068" s="74"/>
      <c r="AB1068" s="74"/>
      <c r="AC1068" s="42"/>
      <c r="AD1068" s="42"/>
      <c r="AE1068" s="42"/>
      <c r="AF1068" s="42"/>
      <c r="AG1068" s="42"/>
      <c r="AH1068" s="42"/>
      <c r="AI1068" s="75"/>
      <c r="AJ1068" s="75"/>
      <c r="AK1068" s="75"/>
      <c r="AL1068" s="75"/>
      <c r="AM1068" s="74"/>
      <c r="AN1068" s="72" t="e">
        <f>VLOOKUP(H1068,[4]Planilha1!A$13:P$314,16,0)</f>
        <v>#N/A</v>
      </c>
    </row>
    <row r="1069" spans="1:40" s="69" customFormat="1" x14ac:dyDescent="0.25">
      <c r="A1069" s="88"/>
      <c r="B1069" s="88"/>
      <c r="C1069" s="70"/>
      <c r="D1069" s="70"/>
      <c r="E1069" s="70"/>
      <c r="F1069" s="70"/>
      <c r="G1069" s="70"/>
      <c r="H1069" s="422"/>
      <c r="I1069" s="422"/>
      <c r="J1069" s="418"/>
      <c r="K1069" s="403"/>
      <c r="L1069" s="73"/>
      <c r="M1069" s="72"/>
      <c r="N1069" s="72"/>
      <c r="O1069" s="72"/>
      <c r="P1069" s="42"/>
      <c r="Q1069" s="42"/>
      <c r="R1069" s="42"/>
      <c r="S1069" s="42"/>
      <c r="T1069" s="42"/>
      <c r="U1069" s="42"/>
      <c r="V1069" s="416"/>
      <c r="W1069" s="42"/>
      <c r="X1069" s="74"/>
      <c r="Y1069" s="74"/>
      <c r="Z1069" s="74"/>
      <c r="AA1069" s="74"/>
      <c r="AB1069" s="74"/>
      <c r="AC1069" s="42"/>
      <c r="AD1069" s="42"/>
      <c r="AE1069" s="42"/>
      <c r="AF1069" s="42"/>
      <c r="AG1069" s="42"/>
      <c r="AH1069" s="42"/>
      <c r="AI1069" s="75"/>
      <c r="AJ1069" s="75"/>
      <c r="AK1069" s="75"/>
      <c r="AL1069" s="75"/>
      <c r="AM1069" s="74"/>
      <c r="AN1069" s="72" t="e">
        <f>VLOOKUP(H1069,[4]Planilha1!A$13:P$314,16,0)</f>
        <v>#N/A</v>
      </c>
    </row>
    <row r="1070" spans="1:40" s="69" customFormat="1" x14ac:dyDescent="0.25">
      <c r="A1070" s="88"/>
      <c r="B1070" s="88"/>
      <c r="C1070" s="70"/>
      <c r="D1070" s="70"/>
      <c r="E1070" s="70"/>
      <c r="F1070" s="70"/>
      <c r="G1070" s="70"/>
      <c r="H1070" s="422"/>
      <c r="I1070" s="422"/>
      <c r="J1070" s="418"/>
      <c r="K1070" s="403"/>
      <c r="L1070" s="73"/>
      <c r="M1070" s="72"/>
      <c r="N1070" s="72"/>
      <c r="O1070" s="72"/>
      <c r="P1070" s="42"/>
      <c r="Q1070" s="42"/>
      <c r="R1070" s="42"/>
      <c r="S1070" s="42"/>
      <c r="T1070" s="42"/>
      <c r="U1070" s="42"/>
      <c r="V1070" s="416"/>
      <c r="W1070" s="42"/>
      <c r="X1070" s="74"/>
      <c r="Y1070" s="74"/>
      <c r="Z1070" s="74"/>
      <c r="AA1070" s="74"/>
      <c r="AB1070" s="74"/>
      <c r="AC1070" s="42"/>
      <c r="AD1070" s="42"/>
      <c r="AE1070" s="42"/>
      <c r="AF1070" s="42"/>
      <c r="AG1070" s="42"/>
      <c r="AH1070" s="42"/>
      <c r="AI1070" s="75"/>
      <c r="AJ1070" s="75"/>
      <c r="AK1070" s="75"/>
      <c r="AL1070" s="75"/>
      <c r="AM1070" s="74"/>
      <c r="AN1070" s="72" t="e">
        <f>VLOOKUP(H1070,[4]Planilha1!A$13:P$314,16,0)</f>
        <v>#N/A</v>
      </c>
    </row>
    <row r="1071" spans="1:40" s="69" customFormat="1" x14ac:dyDescent="0.25">
      <c r="A1071" s="88"/>
      <c r="B1071" s="88"/>
      <c r="C1071" s="70"/>
      <c r="D1071" s="70"/>
      <c r="E1071" s="70"/>
      <c r="F1071" s="70"/>
      <c r="G1071" s="70"/>
      <c r="H1071" s="422"/>
      <c r="I1071" s="422"/>
      <c r="J1071" s="418"/>
      <c r="K1071" s="403"/>
      <c r="L1071" s="73"/>
      <c r="M1071" s="72"/>
      <c r="N1071" s="72"/>
      <c r="O1071" s="72"/>
      <c r="P1071" s="42"/>
      <c r="Q1071" s="42"/>
      <c r="R1071" s="42"/>
      <c r="S1071" s="42"/>
      <c r="T1071" s="42"/>
      <c r="U1071" s="42"/>
      <c r="V1071" s="416"/>
      <c r="W1071" s="42"/>
      <c r="X1071" s="74"/>
      <c r="Y1071" s="74"/>
      <c r="Z1071" s="74"/>
      <c r="AA1071" s="74"/>
      <c r="AB1071" s="74"/>
      <c r="AC1071" s="42"/>
      <c r="AD1071" s="42"/>
      <c r="AE1071" s="42"/>
      <c r="AF1071" s="42"/>
      <c r="AG1071" s="42"/>
      <c r="AH1071" s="42"/>
      <c r="AI1071" s="75"/>
      <c r="AJ1071" s="75"/>
      <c r="AK1071" s="75"/>
      <c r="AL1071" s="75"/>
      <c r="AM1071" s="74"/>
      <c r="AN1071" s="72" t="e">
        <f>VLOOKUP(H1071,[4]Planilha1!A$13:P$314,16,0)</f>
        <v>#N/A</v>
      </c>
    </row>
    <row r="1072" spans="1:40" s="69" customFormat="1" x14ac:dyDescent="0.25">
      <c r="A1072" s="88"/>
      <c r="B1072" s="88"/>
      <c r="C1072" s="70"/>
      <c r="D1072" s="70"/>
      <c r="E1072" s="70"/>
      <c r="F1072" s="70"/>
      <c r="G1072" s="70"/>
      <c r="H1072" s="422"/>
      <c r="I1072" s="422"/>
      <c r="J1072" s="418"/>
      <c r="K1072" s="403"/>
      <c r="L1072" s="73"/>
      <c r="M1072" s="72"/>
      <c r="N1072" s="72"/>
      <c r="O1072" s="72"/>
      <c r="P1072" s="42"/>
      <c r="Q1072" s="42"/>
      <c r="R1072" s="42"/>
      <c r="S1072" s="42"/>
      <c r="T1072" s="42"/>
      <c r="U1072" s="42"/>
      <c r="V1072" s="416"/>
      <c r="W1072" s="42"/>
      <c r="X1072" s="74"/>
      <c r="Y1072" s="74"/>
      <c r="Z1072" s="74"/>
      <c r="AA1072" s="74"/>
      <c r="AB1072" s="74"/>
      <c r="AC1072" s="42"/>
      <c r="AD1072" s="42"/>
      <c r="AE1072" s="42"/>
      <c r="AF1072" s="42"/>
      <c r="AG1072" s="42"/>
      <c r="AH1072" s="42"/>
      <c r="AI1072" s="75"/>
      <c r="AJ1072" s="75"/>
      <c r="AK1072" s="75"/>
      <c r="AL1072" s="75"/>
      <c r="AM1072" s="74"/>
      <c r="AN1072" s="72" t="e">
        <f>VLOOKUP(H1072,[4]Planilha1!A$13:P$314,16,0)</f>
        <v>#N/A</v>
      </c>
    </row>
    <row r="1073" spans="1:40" s="69" customFormat="1" x14ac:dyDescent="0.25">
      <c r="A1073" s="88"/>
      <c r="B1073" s="88"/>
      <c r="C1073" s="70"/>
      <c r="D1073" s="70"/>
      <c r="E1073" s="70"/>
      <c r="F1073" s="70"/>
      <c r="G1073" s="70"/>
      <c r="H1073" s="422"/>
      <c r="I1073" s="422"/>
      <c r="J1073" s="418"/>
      <c r="K1073" s="403"/>
      <c r="L1073" s="73"/>
      <c r="M1073" s="72"/>
      <c r="N1073" s="72"/>
      <c r="O1073" s="72"/>
      <c r="P1073" s="42"/>
      <c r="Q1073" s="42"/>
      <c r="R1073" s="42"/>
      <c r="S1073" s="42"/>
      <c r="T1073" s="42"/>
      <c r="U1073" s="42"/>
      <c r="V1073" s="416"/>
      <c r="W1073" s="42"/>
      <c r="X1073" s="74"/>
      <c r="Y1073" s="74"/>
      <c r="Z1073" s="74"/>
      <c r="AA1073" s="74"/>
      <c r="AB1073" s="74"/>
      <c r="AC1073" s="42"/>
      <c r="AD1073" s="42"/>
      <c r="AE1073" s="42"/>
      <c r="AF1073" s="42"/>
      <c r="AG1073" s="42"/>
      <c r="AH1073" s="42"/>
      <c r="AI1073" s="75"/>
      <c r="AJ1073" s="75"/>
      <c r="AK1073" s="75"/>
      <c r="AL1073" s="75"/>
      <c r="AM1073" s="74"/>
      <c r="AN1073" s="72" t="e">
        <f>VLOOKUP(H1073,[4]Planilha1!A$13:P$314,16,0)</f>
        <v>#N/A</v>
      </c>
    </row>
    <row r="1074" spans="1:40" s="69" customFormat="1" x14ac:dyDescent="0.25">
      <c r="A1074" s="88"/>
      <c r="B1074" s="88"/>
      <c r="C1074" s="70"/>
      <c r="D1074" s="70"/>
      <c r="E1074" s="70"/>
      <c r="F1074" s="70"/>
      <c r="G1074" s="70"/>
      <c r="H1074" s="422"/>
      <c r="I1074" s="422"/>
      <c r="J1074" s="418"/>
      <c r="K1074" s="403"/>
      <c r="L1074" s="73"/>
      <c r="M1074" s="72"/>
      <c r="N1074" s="72"/>
      <c r="O1074" s="72"/>
      <c r="P1074" s="42"/>
      <c r="Q1074" s="42"/>
      <c r="R1074" s="42"/>
      <c r="S1074" s="42"/>
      <c r="T1074" s="42"/>
      <c r="U1074" s="42"/>
      <c r="V1074" s="416"/>
      <c r="W1074" s="42"/>
      <c r="X1074" s="74"/>
      <c r="Y1074" s="74"/>
      <c r="Z1074" s="74"/>
      <c r="AA1074" s="74"/>
      <c r="AB1074" s="74"/>
      <c r="AC1074" s="42"/>
      <c r="AD1074" s="42"/>
      <c r="AE1074" s="42"/>
      <c r="AF1074" s="42"/>
      <c r="AG1074" s="42"/>
      <c r="AH1074" s="42"/>
      <c r="AI1074" s="75"/>
      <c r="AJ1074" s="75"/>
      <c r="AK1074" s="75"/>
      <c r="AL1074" s="75"/>
      <c r="AM1074" s="74"/>
      <c r="AN1074" s="72" t="e">
        <f>VLOOKUP(H1074,[4]Planilha1!A$13:P$314,16,0)</f>
        <v>#N/A</v>
      </c>
    </row>
    <row r="1075" spans="1:40" s="69" customFormat="1" x14ac:dyDescent="0.25">
      <c r="A1075" s="88"/>
      <c r="B1075" s="88"/>
      <c r="C1075" s="70"/>
      <c r="D1075" s="70"/>
      <c r="E1075" s="70"/>
      <c r="F1075" s="70"/>
      <c r="G1075" s="70"/>
      <c r="H1075" s="422"/>
      <c r="I1075" s="422"/>
      <c r="J1075" s="418"/>
      <c r="K1075" s="403"/>
      <c r="L1075" s="73"/>
      <c r="M1075" s="72"/>
      <c r="N1075" s="72"/>
      <c r="O1075" s="72"/>
      <c r="P1075" s="42"/>
      <c r="Q1075" s="42"/>
      <c r="R1075" s="42"/>
      <c r="S1075" s="42"/>
      <c r="T1075" s="42"/>
      <c r="U1075" s="42"/>
      <c r="V1075" s="416"/>
      <c r="W1075" s="42"/>
      <c r="X1075" s="74"/>
      <c r="Y1075" s="74"/>
      <c r="Z1075" s="74"/>
      <c r="AA1075" s="74"/>
      <c r="AB1075" s="74"/>
      <c r="AC1075" s="42"/>
      <c r="AD1075" s="42"/>
      <c r="AE1075" s="42"/>
      <c r="AF1075" s="42"/>
      <c r="AG1075" s="42"/>
      <c r="AH1075" s="42"/>
      <c r="AI1075" s="75"/>
      <c r="AJ1075" s="75"/>
      <c r="AK1075" s="75"/>
      <c r="AL1075" s="75"/>
      <c r="AM1075" s="74"/>
      <c r="AN1075" s="72" t="e">
        <f>VLOOKUP(H1075,[4]Planilha1!A$13:P$314,16,0)</f>
        <v>#N/A</v>
      </c>
    </row>
    <row r="1076" spans="1:40" s="69" customFormat="1" x14ac:dyDescent="0.25">
      <c r="A1076" s="88"/>
      <c r="B1076" s="88"/>
      <c r="C1076" s="70"/>
      <c r="D1076" s="70"/>
      <c r="E1076" s="70"/>
      <c r="F1076" s="70"/>
      <c r="G1076" s="70"/>
      <c r="H1076" s="422"/>
      <c r="I1076" s="422"/>
      <c r="J1076" s="418"/>
      <c r="K1076" s="403"/>
      <c r="L1076" s="73"/>
      <c r="M1076" s="72"/>
      <c r="N1076" s="72"/>
      <c r="O1076" s="72"/>
      <c r="P1076" s="42"/>
      <c r="Q1076" s="42"/>
      <c r="R1076" s="42"/>
      <c r="S1076" s="42"/>
      <c r="T1076" s="42"/>
      <c r="U1076" s="42"/>
      <c r="V1076" s="416"/>
      <c r="W1076" s="42"/>
      <c r="X1076" s="74"/>
      <c r="Y1076" s="74"/>
      <c r="Z1076" s="74"/>
      <c r="AA1076" s="74"/>
      <c r="AB1076" s="74"/>
      <c r="AC1076" s="42"/>
      <c r="AD1076" s="42"/>
      <c r="AE1076" s="42"/>
      <c r="AF1076" s="42"/>
      <c r="AG1076" s="42"/>
      <c r="AH1076" s="42"/>
      <c r="AI1076" s="75"/>
      <c r="AJ1076" s="75"/>
      <c r="AK1076" s="75"/>
      <c r="AL1076" s="75"/>
      <c r="AM1076" s="74"/>
      <c r="AN1076" s="72" t="e">
        <f>VLOOKUP(H1076,[4]Planilha1!A$13:P$314,16,0)</f>
        <v>#N/A</v>
      </c>
    </row>
    <row r="1077" spans="1:40" s="69" customFormat="1" x14ac:dyDescent="0.25">
      <c r="A1077" s="88"/>
      <c r="B1077" s="88"/>
      <c r="C1077" s="70"/>
      <c r="D1077" s="70"/>
      <c r="E1077" s="70"/>
      <c r="F1077" s="70"/>
      <c r="G1077" s="70"/>
      <c r="H1077" s="422"/>
      <c r="I1077" s="422"/>
      <c r="J1077" s="418"/>
      <c r="K1077" s="403"/>
      <c r="L1077" s="73"/>
      <c r="M1077" s="72"/>
      <c r="N1077" s="72"/>
      <c r="O1077" s="72"/>
      <c r="P1077" s="42"/>
      <c r="Q1077" s="42"/>
      <c r="R1077" s="42"/>
      <c r="S1077" s="42"/>
      <c r="T1077" s="42"/>
      <c r="U1077" s="42"/>
      <c r="V1077" s="416"/>
      <c r="W1077" s="42"/>
      <c r="X1077" s="74"/>
      <c r="Y1077" s="74"/>
      <c r="Z1077" s="74"/>
      <c r="AA1077" s="74"/>
      <c r="AB1077" s="74"/>
      <c r="AC1077" s="42"/>
      <c r="AD1077" s="42"/>
      <c r="AE1077" s="42"/>
      <c r="AF1077" s="42"/>
      <c r="AG1077" s="42"/>
      <c r="AH1077" s="42"/>
      <c r="AI1077" s="75"/>
      <c r="AJ1077" s="75"/>
      <c r="AK1077" s="75"/>
      <c r="AL1077" s="75"/>
      <c r="AM1077" s="74"/>
      <c r="AN1077" s="72" t="e">
        <f>VLOOKUP(H1077,[4]Planilha1!A$13:P$314,16,0)</f>
        <v>#N/A</v>
      </c>
    </row>
    <row r="1078" spans="1:40" s="69" customFormat="1" x14ac:dyDescent="0.25">
      <c r="A1078" s="88"/>
      <c r="B1078" s="88"/>
      <c r="C1078" s="70"/>
      <c r="D1078" s="70"/>
      <c r="E1078" s="70"/>
      <c r="F1078" s="70"/>
      <c r="G1078" s="70"/>
      <c r="H1078" s="422"/>
      <c r="I1078" s="422"/>
      <c r="J1078" s="418"/>
      <c r="K1078" s="403"/>
      <c r="L1078" s="73"/>
      <c r="M1078" s="72"/>
      <c r="N1078" s="72"/>
      <c r="O1078" s="72"/>
      <c r="P1078" s="42"/>
      <c r="Q1078" s="42"/>
      <c r="R1078" s="42"/>
      <c r="S1078" s="42"/>
      <c r="T1078" s="42"/>
      <c r="U1078" s="42"/>
      <c r="V1078" s="416"/>
      <c r="W1078" s="42"/>
      <c r="X1078" s="74"/>
      <c r="Y1078" s="74"/>
      <c r="Z1078" s="74"/>
      <c r="AA1078" s="74"/>
      <c r="AB1078" s="74"/>
      <c r="AC1078" s="42"/>
      <c r="AD1078" s="42"/>
      <c r="AE1078" s="42"/>
      <c r="AF1078" s="42"/>
      <c r="AG1078" s="42"/>
      <c r="AH1078" s="42"/>
      <c r="AI1078" s="75"/>
      <c r="AJ1078" s="75"/>
      <c r="AK1078" s="75"/>
      <c r="AL1078" s="75"/>
      <c r="AM1078" s="74"/>
      <c r="AN1078" s="72" t="e">
        <f>VLOOKUP(H1078,[4]Planilha1!A$13:P$314,16,0)</f>
        <v>#N/A</v>
      </c>
    </row>
    <row r="1079" spans="1:40" s="69" customFormat="1" x14ac:dyDescent="0.25">
      <c r="A1079" s="88"/>
      <c r="B1079" s="88"/>
      <c r="C1079" s="70"/>
      <c r="D1079" s="70"/>
      <c r="E1079" s="70"/>
      <c r="F1079" s="70"/>
      <c r="G1079" s="70"/>
      <c r="H1079" s="422"/>
      <c r="I1079" s="422"/>
      <c r="J1079" s="418"/>
      <c r="K1079" s="403"/>
      <c r="L1079" s="73"/>
      <c r="M1079" s="72"/>
      <c r="N1079" s="72"/>
      <c r="O1079" s="72"/>
      <c r="P1079" s="42"/>
      <c r="Q1079" s="42"/>
      <c r="R1079" s="42"/>
      <c r="S1079" s="42"/>
      <c r="T1079" s="42"/>
      <c r="U1079" s="42"/>
      <c r="V1079" s="416"/>
      <c r="W1079" s="42"/>
      <c r="X1079" s="74"/>
      <c r="Y1079" s="74"/>
      <c r="Z1079" s="74"/>
      <c r="AA1079" s="74"/>
      <c r="AB1079" s="74"/>
      <c r="AC1079" s="42"/>
      <c r="AD1079" s="42"/>
      <c r="AE1079" s="42"/>
      <c r="AF1079" s="42"/>
      <c r="AG1079" s="42"/>
      <c r="AH1079" s="42"/>
      <c r="AI1079" s="75"/>
      <c r="AJ1079" s="75"/>
      <c r="AK1079" s="75"/>
      <c r="AL1079" s="75"/>
      <c r="AM1079" s="74"/>
      <c r="AN1079" s="72" t="e">
        <f>VLOOKUP(H1079,[4]Planilha1!A$13:P$314,16,0)</f>
        <v>#N/A</v>
      </c>
    </row>
    <row r="1080" spans="1:40" s="69" customFormat="1" x14ac:dyDescent="0.25">
      <c r="A1080" s="88"/>
      <c r="B1080" s="88"/>
      <c r="C1080" s="70"/>
      <c r="D1080" s="70"/>
      <c r="E1080" s="70"/>
      <c r="F1080" s="70"/>
      <c r="G1080" s="70"/>
      <c r="H1080" s="422"/>
      <c r="I1080" s="422"/>
      <c r="J1080" s="418"/>
      <c r="K1080" s="403"/>
      <c r="L1080" s="73"/>
      <c r="M1080" s="72"/>
      <c r="N1080" s="72"/>
      <c r="O1080" s="72"/>
      <c r="P1080" s="42"/>
      <c r="Q1080" s="42"/>
      <c r="R1080" s="42"/>
      <c r="S1080" s="42"/>
      <c r="T1080" s="42"/>
      <c r="U1080" s="42"/>
      <c r="V1080" s="416"/>
      <c r="W1080" s="42"/>
      <c r="X1080" s="74"/>
      <c r="Y1080" s="74"/>
      <c r="Z1080" s="74"/>
      <c r="AA1080" s="74"/>
      <c r="AB1080" s="74"/>
      <c r="AC1080" s="42"/>
      <c r="AD1080" s="42"/>
      <c r="AE1080" s="42"/>
      <c r="AF1080" s="42"/>
      <c r="AG1080" s="42"/>
      <c r="AH1080" s="42"/>
      <c r="AI1080" s="75"/>
      <c r="AJ1080" s="75"/>
      <c r="AK1080" s="75"/>
      <c r="AL1080" s="75"/>
      <c r="AM1080" s="74"/>
      <c r="AN1080" s="72" t="e">
        <f>VLOOKUP(H1080,[4]Planilha1!A$13:P$314,16,0)</f>
        <v>#N/A</v>
      </c>
    </row>
    <row r="1081" spans="1:40" s="69" customFormat="1" x14ac:dyDescent="0.25">
      <c r="A1081" s="88"/>
      <c r="B1081" s="88"/>
      <c r="C1081" s="70"/>
      <c r="D1081" s="70"/>
      <c r="E1081" s="70"/>
      <c r="F1081" s="70"/>
      <c r="G1081" s="70"/>
      <c r="H1081" s="422"/>
      <c r="I1081" s="422"/>
      <c r="J1081" s="418"/>
      <c r="K1081" s="403"/>
      <c r="L1081" s="73"/>
      <c r="M1081" s="72"/>
      <c r="N1081" s="72"/>
      <c r="O1081" s="72"/>
      <c r="P1081" s="42"/>
      <c r="Q1081" s="42"/>
      <c r="R1081" s="42"/>
      <c r="S1081" s="42"/>
      <c r="T1081" s="42"/>
      <c r="U1081" s="42"/>
      <c r="V1081" s="416"/>
      <c r="W1081" s="42"/>
      <c r="X1081" s="74"/>
      <c r="Y1081" s="74"/>
      <c r="Z1081" s="74"/>
      <c r="AA1081" s="74"/>
      <c r="AB1081" s="74"/>
      <c r="AC1081" s="42"/>
      <c r="AD1081" s="42"/>
      <c r="AE1081" s="42"/>
      <c r="AF1081" s="42"/>
      <c r="AG1081" s="42"/>
      <c r="AH1081" s="42"/>
      <c r="AI1081" s="75"/>
      <c r="AJ1081" s="75"/>
      <c r="AK1081" s="75"/>
      <c r="AL1081" s="75"/>
      <c r="AM1081" s="74"/>
      <c r="AN1081" s="72" t="e">
        <f>VLOOKUP(H1081,[4]Planilha1!A$13:P$314,16,0)</f>
        <v>#N/A</v>
      </c>
    </row>
    <row r="1082" spans="1:40" s="69" customFormat="1" x14ac:dyDescent="0.25">
      <c r="A1082" s="88"/>
      <c r="B1082" s="88"/>
      <c r="C1082" s="70"/>
      <c r="D1082" s="70"/>
      <c r="E1082" s="70"/>
      <c r="F1082" s="70"/>
      <c r="G1082" s="70"/>
      <c r="H1082" s="422"/>
      <c r="I1082" s="422"/>
      <c r="J1082" s="418"/>
      <c r="K1082" s="403"/>
      <c r="L1082" s="73"/>
      <c r="M1082" s="72"/>
      <c r="N1082" s="72"/>
      <c r="O1082" s="72"/>
      <c r="P1082" s="42"/>
      <c r="Q1082" s="42"/>
      <c r="R1082" s="42"/>
      <c r="S1082" s="42"/>
      <c r="T1082" s="42"/>
      <c r="U1082" s="42"/>
      <c r="V1082" s="416"/>
      <c r="W1082" s="42"/>
      <c r="X1082" s="74"/>
      <c r="Y1082" s="74"/>
      <c r="Z1082" s="74"/>
      <c r="AA1082" s="74"/>
      <c r="AB1082" s="74"/>
      <c r="AC1082" s="42"/>
      <c r="AD1082" s="42"/>
      <c r="AE1082" s="42"/>
      <c r="AF1082" s="42"/>
      <c r="AG1082" s="42"/>
      <c r="AH1082" s="42"/>
      <c r="AI1082" s="75"/>
      <c r="AJ1082" s="75"/>
      <c r="AK1082" s="75"/>
      <c r="AL1082" s="75"/>
      <c r="AM1082" s="74"/>
      <c r="AN1082" s="72" t="e">
        <f>VLOOKUP(H1082,[4]Planilha1!A$13:P$314,16,0)</f>
        <v>#N/A</v>
      </c>
    </row>
    <row r="1083" spans="1:40" s="69" customFormat="1" x14ac:dyDescent="0.25">
      <c r="A1083" s="88"/>
      <c r="B1083" s="88"/>
      <c r="C1083" s="70"/>
      <c r="D1083" s="70"/>
      <c r="E1083" s="70"/>
      <c r="F1083" s="70"/>
      <c r="G1083" s="70"/>
      <c r="H1083" s="422"/>
      <c r="I1083" s="422"/>
      <c r="J1083" s="418"/>
      <c r="K1083" s="403"/>
      <c r="L1083" s="73"/>
      <c r="M1083" s="72"/>
      <c r="N1083" s="72"/>
      <c r="O1083" s="72"/>
      <c r="P1083" s="42"/>
      <c r="Q1083" s="42"/>
      <c r="R1083" s="42"/>
      <c r="S1083" s="42"/>
      <c r="T1083" s="42"/>
      <c r="U1083" s="42"/>
      <c r="V1083" s="416"/>
      <c r="W1083" s="42"/>
      <c r="X1083" s="74"/>
      <c r="Y1083" s="74"/>
      <c r="Z1083" s="74"/>
      <c r="AA1083" s="74"/>
      <c r="AB1083" s="74"/>
      <c r="AC1083" s="42"/>
      <c r="AD1083" s="42"/>
      <c r="AE1083" s="42"/>
      <c r="AF1083" s="42"/>
      <c r="AG1083" s="42"/>
      <c r="AH1083" s="42"/>
      <c r="AI1083" s="75"/>
      <c r="AJ1083" s="75"/>
      <c r="AK1083" s="75"/>
      <c r="AL1083" s="75"/>
      <c r="AM1083" s="74"/>
      <c r="AN1083" s="72" t="e">
        <f>VLOOKUP(H1083,[4]Planilha1!A$13:P$314,16,0)</f>
        <v>#N/A</v>
      </c>
    </row>
    <row r="1084" spans="1:40" s="69" customFormat="1" x14ac:dyDescent="0.25">
      <c r="A1084" s="88"/>
      <c r="B1084" s="88"/>
      <c r="C1084" s="70"/>
      <c r="D1084" s="70"/>
      <c r="E1084" s="70"/>
      <c r="F1084" s="70"/>
      <c r="G1084" s="70"/>
      <c r="H1084" s="422"/>
      <c r="I1084" s="422"/>
      <c r="J1084" s="418"/>
      <c r="K1084" s="403"/>
      <c r="L1084" s="73"/>
      <c r="M1084" s="72"/>
      <c r="N1084" s="72"/>
      <c r="O1084" s="72"/>
      <c r="P1084" s="42"/>
      <c r="Q1084" s="42"/>
      <c r="R1084" s="42"/>
      <c r="S1084" s="42"/>
      <c r="T1084" s="42"/>
      <c r="U1084" s="42"/>
      <c r="V1084" s="416"/>
      <c r="W1084" s="42"/>
      <c r="X1084" s="74"/>
      <c r="Y1084" s="74"/>
      <c r="Z1084" s="74"/>
      <c r="AA1084" s="74"/>
      <c r="AB1084" s="74"/>
      <c r="AC1084" s="42"/>
      <c r="AD1084" s="42"/>
      <c r="AE1084" s="42"/>
      <c r="AF1084" s="42"/>
      <c r="AG1084" s="42"/>
      <c r="AH1084" s="42"/>
      <c r="AI1084" s="75"/>
      <c r="AJ1084" s="75"/>
      <c r="AK1084" s="75"/>
      <c r="AL1084" s="75"/>
      <c r="AM1084" s="74"/>
      <c r="AN1084" s="72" t="e">
        <f>VLOOKUP(H1084,[4]Planilha1!A$13:P$314,16,0)</f>
        <v>#N/A</v>
      </c>
    </row>
    <row r="1085" spans="1:40" s="69" customFormat="1" x14ac:dyDescent="0.25">
      <c r="A1085" s="88"/>
      <c r="B1085" s="88"/>
      <c r="C1085" s="70"/>
      <c r="D1085" s="70"/>
      <c r="E1085" s="70"/>
      <c r="F1085" s="70"/>
      <c r="G1085" s="70"/>
      <c r="H1085" s="422"/>
      <c r="I1085" s="422"/>
      <c r="J1085" s="418"/>
      <c r="K1085" s="403"/>
      <c r="L1085" s="73"/>
      <c r="M1085" s="72"/>
      <c r="N1085" s="72"/>
      <c r="O1085" s="72"/>
      <c r="P1085" s="42"/>
      <c r="Q1085" s="42"/>
      <c r="R1085" s="42"/>
      <c r="S1085" s="42"/>
      <c r="T1085" s="42"/>
      <c r="U1085" s="42"/>
      <c r="V1085" s="416"/>
      <c r="W1085" s="42"/>
      <c r="X1085" s="74"/>
      <c r="Y1085" s="74"/>
      <c r="Z1085" s="74"/>
      <c r="AA1085" s="74"/>
      <c r="AB1085" s="74"/>
      <c r="AC1085" s="42"/>
      <c r="AD1085" s="42"/>
      <c r="AE1085" s="42"/>
      <c r="AF1085" s="42"/>
      <c r="AG1085" s="42"/>
      <c r="AH1085" s="42"/>
      <c r="AI1085" s="75"/>
      <c r="AJ1085" s="75"/>
      <c r="AK1085" s="75"/>
      <c r="AL1085" s="75"/>
      <c r="AM1085" s="74"/>
      <c r="AN1085" s="72" t="e">
        <f>VLOOKUP(H1085,[4]Planilha1!A$13:P$314,16,0)</f>
        <v>#N/A</v>
      </c>
    </row>
    <row r="1086" spans="1:40" s="69" customFormat="1" x14ac:dyDescent="0.25">
      <c r="A1086" s="88"/>
      <c r="B1086" s="88"/>
      <c r="C1086" s="70"/>
      <c r="D1086" s="70"/>
      <c r="E1086" s="70"/>
      <c r="F1086" s="70"/>
      <c r="G1086" s="70"/>
      <c r="H1086" s="422"/>
      <c r="I1086" s="422"/>
      <c r="J1086" s="418"/>
      <c r="K1086" s="403"/>
      <c r="L1086" s="73"/>
      <c r="M1086" s="72"/>
      <c r="N1086" s="72"/>
      <c r="O1086" s="72"/>
      <c r="P1086" s="42"/>
      <c r="Q1086" s="42"/>
      <c r="R1086" s="42"/>
      <c r="S1086" s="42"/>
      <c r="T1086" s="42"/>
      <c r="U1086" s="42"/>
      <c r="V1086" s="416"/>
      <c r="W1086" s="42"/>
      <c r="X1086" s="74"/>
      <c r="Y1086" s="74"/>
      <c r="Z1086" s="74"/>
      <c r="AA1086" s="74"/>
      <c r="AB1086" s="74"/>
      <c r="AC1086" s="42"/>
      <c r="AD1086" s="42"/>
      <c r="AE1086" s="42"/>
      <c r="AF1086" s="42"/>
      <c r="AG1086" s="42"/>
      <c r="AH1086" s="42"/>
      <c r="AI1086" s="75"/>
      <c r="AJ1086" s="75"/>
      <c r="AK1086" s="75"/>
      <c r="AL1086" s="75"/>
      <c r="AM1086" s="74"/>
      <c r="AN1086" s="72" t="e">
        <f>VLOOKUP(H1086,[4]Planilha1!A$13:P$314,16,0)</f>
        <v>#N/A</v>
      </c>
    </row>
    <row r="1087" spans="1:40" s="69" customFormat="1" x14ac:dyDescent="0.25">
      <c r="A1087" s="88"/>
      <c r="B1087" s="88"/>
      <c r="C1087" s="70"/>
      <c r="D1087" s="70"/>
      <c r="E1087" s="70"/>
      <c r="F1087" s="70"/>
      <c r="G1087" s="70"/>
      <c r="H1087" s="422"/>
      <c r="I1087" s="422"/>
      <c r="J1087" s="418"/>
      <c r="K1087" s="403"/>
      <c r="L1087" s="73"/>
      <c r="M1087" s="72"/>
      <c r="N1087" s="72"/>
      <c r="O1087" s="72"/>
      <c r="P1087" s="42"/>
      <c r="Q1087" s="42"/>
      <c r="R1087" s="42"/>
      <c r="S1087" s="42"/>
      <c r="T1087" s="42"/>
      <c r="U1087" s="42"/>
      <c r="V1087" s="416"/>
      <c r="W1087" s="42"/>
      <c r="X1087" s="74"/>
      <c r="Y1087" s="74"/>
      <c r="Z1087" s="74"/>
      <c r="AA1087" s="74"/>
      <c r="AB1087" s="74"/>
      <c r="AC1087" s="42"/>
      <c r="AD1087" s="42"/>
      <c r="AE1087" s="42"/>
      <c r="AF1087" s="42"/>
      <c r="AG1087" s="42"/>
      <c r="AH1087" s="42"/>
      <c r="AI1087" s="75"/>
      <c r="AJ1087" s="75"/>
      <c r="AK1087" s="75"/>
      <c r="AL1087" s="75"/>
      <c r="AM1087" s="74"/>
      <c r="AN1087" s="72" t="e">
        <f>VLOOKUP(H1087,[4]Planilha1!A$13:P$314,16,0)</f>
        <v>#N/A</v>
      </c>
    </row>
    <row r="1088" spans="1:40" s="69" customFormat="1" x14ac:dyDescent="0.25">
      <c r="A1088" s="88"/>
      <c r="B1088" s="88"/>
      <c r="C1088" s="70"/>
      <c r="D1088" s="70"/>
      <c r="E1088" s="70"/>
      <c r="F1088" s="70"/>
      <c r="G1088" s="70"/>
      <c r="H1088" s="422"/>
      <c r="I1088" s="422"/>
      <c r="J1088" s="418"/>
      <c r="K1088" s="403"/>
      <c r="L1088" s="73"/>
      <c r="M1088" s="72"/>
      <c r="N1088" s="72"/>
      <c r="O1088" s="72"/>
      <c r="P1088" s="42"/>
      <c r="Q1088" s="42"/>
      <c r="R1088" s="42"/>
      <c r="S1088" s="42"/>
      <c r="T1088" s="42"/>
      <c r="U1088" s="42"/>
      <c r="V1088" s="416"/>
      <c r="W1088" s="42"/>
      <c r="X1088" s="74"/>
      <c r="Y1088" s="74"/>
      <c r="Z1088" s="74"/>
      <c r="AA1088" s="74"/>
      <c r="AB1088" s="74"/>
      <c r="AC1088" s="42"/>
      <c r="AD1088" s="42"/>
      <c r="AE1088" s="42"/>
      <c r="AF1088" s="42"/>
      <c r="AG1088" s="42"/>
      <c r="AH1088" s="42"/>
      <c r="AI1088" s="75"/>
      <c r="AJ1088" s="75"/>
      <c r="AK1088" s="75"/>
      <c r="AL1088" s="75"/>
      <c r="AM1088" s="74"/>
      <c r="AN1088" s="72" t="e">
        <f>VLOOKUP(H1088,[4]Planilha1!A$13:P$314,16,0)</f>
        <v>#N/A</v>
      </c>
    </row>
    <row r="1089" spans="1:40" s="69" customFormat="1" x14ac:dyDescent="0.25">
      <c r="A1089" s="88"/>
      <c r="B1089" s="88"/>
      <c r="C1089" s="70"/>
      <c r="D1089" s="70"/>
      <c r="E1089" s="70"/>
      <c r="F1089" s="70"/>
      <c r="G1089" s="70"/>
      <c r="H1089" s="422"/>
      <c r="I1089" s="422"/>
      <c r="J1089" s="418"/>
      <c r="K1089" s="403"/>
      <c r="L1089" s="73"/>
      <c r="M1089" s="72"/>
      <c r="N1089" s="72"/>
      <c r="O1089" s="72"/>
      <c r="P1089" s="42"/>
      <c r="Q1089" s="42"/>
      <c r="R1089" s="42"/>
      <c r="S1089" s="42"/>
      <c r="T1089" s="42"/>
      <c r="U1089" s="42"/>
      <c r="V1089" s="416"/>
      <c r="W1089" s="42"/>
      <c r="X1089" s="74"/>
      <c r="Y1089" s="74"/>
      <c r="Z1089" s="74"/>
      <c r="AA1089" s="74"/>
      <c r="AB1089" s="74"/>
      <c r="AC1089" s="42"/>
      <c r="AD1089" s="42"/>
      <c r="AE1089" s="42"/>
      <c r="AF1089" s="42"/>
      <c r="AG1089" s="42"/>
      <c r="AH1089" s="42"/>
      <c r="AI1089" s="75"/>
      <c r="AJ1089" s="75"/>
      <c r="AK1089" s="75"/>
      <c r="AL1089" s="75"/>
      <c r="AM1089" s="74"/>
      <c r="AN1089" s="72" t="e">
        <f>VLOOKUP(H1089,[4]Planilha1!A$13:P$314,16,0)</f>
        <v>#N/A</v>
      </c>
    </row>
    <row r="1090" spans="1:40" s="69" customFormat="1" x14ac:dyDescent="0.25">
      <c r="A1090" s="88"/>
      <c r="B1090" s="88"/>
      <c r="C1090" s="70"/>
      <c r="D1090" s="70"/>
      <c r="E1090" s="70"/>
      <c r="F1090" s="70"/>
      <c r="G1090" s="70"/>
      <c r="H1090" s="422"/>
      <c r="I1090" s="422"/>
      <c r="J1090" s="418"/>
      <c r="K1090" s="403"/>
      <c r="L1090" s="73"/>
      <c r="M1090" s="72"/>
      <c r="N1090" s="72"/>
      <c r="O1090" s="72"/>
      <c r="P1090" s="42"/>
      <c r="Q1090" s="42"/>
      <c r="R1090" s="42"/>
      <c r="S1090" s="42"/>
      <c r="T1090" s="42"/>
      <c r="U1090" s="42"/>
      <c r="V1090" s="416"/>
      <c r="W1090" s="42"/>
      <c r="X1090" s="74"/>
      <c r="Y1090" s="74"/>
      <c r="Z1090" s="74"/>
      <c r="AA1090" s="74"/>
      <c r="AB1090" s="74"/>
      <c r="AC1090" s="42"/>
      <c r="AD1090" s="42"/>
      <c r="AE1090" s="42"/>
      <c r="AF1090" s="42"/>
      <c r="AG1090" s="42"/>
      <c r="AH1090" s="42"/>
      <c r="AI1090" s="75"/>
      <c r="AJ1090" s="75"/>
      <c r="AK1090" s="75"/>
      <c r="AL1090" s="75"/>
      <c r="AM1090" s="74"/>
      <c r="AN1090" s="72" t="e">
        <f>VLOOKUP(H1090,[4]Planilha1!A$13:P$314,16,0)</f>
        <v>#N/A</v>
      </c>
    </row>
    <row r="1091" spans="1:40" s="69" customFormat="1" x14ac:dyDescent="0.25">
      <c r="A1091" s="88"/>
      <c r="B1091" s="88"/>
      <c r="C1091" s="70"/>
      <c r="D1091" s="70"/>
      <c r="E1091" s="70"/>
      <c r="F1091" s="70"/>
      <c r="G1091" s="70"/>
      <c r="H1091" s="422"/>
      <c r="I1091" s="422"/>
      <c r="J1091" s="418"/>
      <c r="K1091" s="403"/>
      <c r="L1091" s="73"/>
      <c r="M1091" s="72"/>
      <c r="N1091" s="72"/>
      <c r="O1091" s="72"/>
      <c r="P1091" s="42"/>
      <c r="Q1091" s="42"/>
      <c r="R1091" s="42"/>
      <c r="S1091" s="42"/>
      <c r="T1091" s="42"/>
      <c r="U1091" s="42"/>
      <c r="V1091" s="416"/>
      <c r="W1091" s="42"/>
      <c r="X1091" s="74"/>
      <c r="Y1091" s="74"/>
      <c r="Z1091" s="74"/>
      <c r="AA1091" s="74"/>
      <c r="AB1091" s="74"/>
      <c r="AC1091" s="42"/>
      <c r="AD1091" s="42"/>
      <c r="AE1091" s="42"/>
      <c r="AF1091" s="42"/>
      <c r="AG1091" s="42"/>
      <c r="AH1091" s="42"/>
      <c r="AI1091" s="75"/>
      <c r="AJ1091" s="75"/>
      <c r="AK1091" s="75"/>
      <c r="AL1091" s="75"/>
      <c r="AM1091" s="74"/>
      <c r="AN1091" s="72" t="e">
        <f>VLOOKUP(H1091,[4]Planilha1!A$13:P$314,16,0)</f>
        <v>#N/A</v>
      </c>
    </row>
    <row r="1092" spans="1:40" s="69" customFormat="1" x14ac:dyDescent="0.25">
      <c r="A1092" s="88"/>
      <c r="B1092" s="88"/>
      <c r="C1092" s="70"/>
      <c r="D1092" s="70"/>
      <c r="E1092" s="70"/>
      <c r="F1092" s="70"/>
      <c r="G1092" s="70"/>
      <c r="H1092" s="422"/>
      <c r="I1092" s="422"/>
      <c r="J1092" s="418"/>
      <c r="K1092" s="403"/>
      <c r="L1092" s="73"/>
      <c r="M1092" s="72"/>
      <c r="N1092" s="72"/>
      <c r="O1092" s="72"/>
      <c r="P1092" s="42"/>
      <c r="Q1092" s="42"/>
      <c r="R1092" s="42"/>
      <c r="S1092" s="42"/>
      <c r="T1092" s="42"/>
      <c r="U1092" s="42"/>
      <c r="V1092" s="416"/>
      <c r="W1092" s="42"/>
      <c r="X1092" s="74"/>
      <c r="Y1092" s="74"/>
      <c r="Z1092" s="74"/>
      <c r="AA1092" s="74"/>
      <c r="AB1092" s="74"/>
      <c r="AC1092" s="42"/>
      <c r="AD1092" s="42"/>
      <c r="AE1092" s="42"/>
      <c r="AF1092" s="42"/>
      <c r="AG1092" s="42"/>
      <c r="AH1092" s="42"/>
      <c r="AI1092" s="75"/>
      <c r="AJ1092" s="75"/>
      <c r="AK1092" s="75"/>
      <c r="AL1092" s="75"/>
      <c r="AM1092" s="74"/>
      <c r="AN1092" s="72" t="e">
        <f>VLOOKUP(H1092,[4]Planilha1!A$13:P$314,16,0)</f>
        <v>#N/A</v>
      </c>
    </row>
    <row r="1093" spans="1:40" s="69" customFormat="1" x14ac:dyDescent="0.25">
      <c r="A1093" s="88"/>
      <c r="B1093" s="88"/>
      <c r="C1093" s="70"/>
      <c r="D1093" s="70"/>
      <c r="E1093" s="70"/>
      <c r="F1093" s="70"/>
      <c r="G1093" s="70"/>
      <c r="H1093" s="422"/>
      <c r="I1093" s="422"/>
      <c r="J1093" s="418"/>
      <c r="K1093" s="403"/>
      <c r="L1093" s="73"/>
      <c r="M1093" s="72"/>
      <c r="N1093" s="72"/>
      <c r="O1093" s="72"/>
      <c r="P1093" s="42"/>
      <c r="Q1093" s="42"/>
      <c r="R1093" s="42"/>
      <c r="S1093" s="42"/>
      <c r="T1093" s="42"/>
      <c r="U1093" s="42"/>
      <c r="V1093" s="416"/>
      <c r="W1093" s="42"/>
      <c r="X1093" s="74"/>
      <c r="Y1093" s="74"/>
      <c r="Z1093" s="74"/>
      <c r="AA1093" s="74"/>
      <c r="AB1093" s="74"/>
      <c r="AC1093" s="42"/>
      <c r="AD1093" s="42"/>
      <c r="AE1093" s="42"/>
      <c r="AF1093" s="42"/>
      <c r="AG1093" s="42"/>
      <c r="AH1093" s="42"/>
      <c r="AI1093" s="75"/>
      <c r="AJ1093" s="75"/>
      <c r="AK1093" s="75"/>
      <c r="AL1093" s="75"/>
      <c r="AM1093" s="74"/>
      <c r="AN1093" s="72" t="e">
        <f>VLOOKUP(H1093,[4]Planilha1!A$13:P$314,16,0)</f>
        <v>#N/A</v>
      </c>
    </row>
    <row r="1094" spans="1:40" s="69" customFormat="1" x14ac:dyDescent="0.25">
      <c r="A1094" s="88"/>
      <c r="B1094" s="88"/>
      <c r="C1094" s="70"/>
      <c r="D1094" s="70"/>
      <c r="E1094" s="70"/>
      <c r="F1094" s="70"/>
      <c r="G1094" s="70"/>
      <c r="H1094" s="422"/>
      <c r="I1094" s="422"/>
      <c r="J1094" s="418"/>
      <c r="K1094" s="403"/>
      <c r="L1094" s="73"/>
      <c r="M1094" s="72"/>
      <c r="N1094" s="72"/>
      <c r="O1094" s="72"/>
      <c r="P1094" s="42"/>
      <c r="Q1094" s="42"/>
      <c r="R1094" s="42"/>
      <c r="S1094" s="42"/>
      <c r="T1094" s="42"/>
      <c r="U1094" s="42"/>
      <c r="V1094" s="416"/>
      <c r="W1094" s="42"/>
      <c r="X1094" s="74"/>
      <c r="Y1094" s="74"/>
      <c r="Z1094" s="74"/>
      <c r="AA1094" s="74"/>
      <c r="AB1094" s="74"/>
      <c r="AC1094" s="42"/>
      <c r="AD1094" s="42"/>
      <c r="AE1094" s="42"/>
      <c r="AF1094" s="42"/>
      <c r="AG1094" s="42"/>
      <c r="AH1094" s="42"/>
      <c r="AI1094" s="75"/>
      <c r="AJ1094" s="75"/>
      <c r="AK1094" s="75"/>
      <c r="AL1094" s="75"/>
      <c r="AM1094" s="74"/>
      <c r="AN1094" s="72" t="e">
        <f>VLOOKUP(H1094,[4]Planilha1!A$13:P$314,16,0)</f>
        <v>#N/A</v>
      </c>
    </row>
    <row r="1095" spans="1:40" s="69" customFormat="1" x14ac:dyDescent="0.25">
      <c r="A1095" s="88"/>
      <c r="B1095" s="88"/>
      <c r="C1095" s="70"/>
      <c r="D1095" s="70"/>
      <c r="E1095" s="70"/>
      <c r="F1095" s="70"/>
      <c r="G1095" s="70"/>
      <c r="H1095" s="422"/>
      <c r="I1095" s="422"/>
      <c r="J1095" s="418"/>
      <c r="K1095" s="403"/>
      <c r="L1095" s="73"/>
      <c r="M1095" s="72"/>
      <c r="N1095" s="72"/>
      <c r="O1095" s="72"/>
      <c r="P1095" s="42"/>
      <c r="Q1095" s="42"/>
      <c r="R1095" s="42"/>
      <c r="S1095" s="42"/>
      <c r="T1095" s="42"/>
      <c r="U1095" s="42"/>
      <c r="V1095" s="416"/>
      <c r="W1095" s="42"/>
      <c r="X1095" s="74"/>
      <c r="Y1095" s="74"/>
      <c r="Z1095" s="74"/>
      <c r="AA1095" s="74"/>
      <c r="AB1095" s="74"/>
      <c r="AC1095" s="42"/>
      <c r="AD1095" s="42"/>
      <c r="AE1095" s="42"/>
      <c r="AF1095" s="42"/>
      <c r="AG1095" s="42"/>
      <c r="AH1095" s="42"/>
      <c r="AI1095" s="75"/>
      <c r="AJ1095" s="75"/>
      <c r="AK1095" s="75"/>
      <c r="AL1095" s="75"/>
      <c r="AM1095" s="74"/>
      <c r="AN1095" s="72" t="e">
        <f>VLOOKUP(H1095,[4]Planilha1!A$13:P$314,16,0)</f>
        <v>#N/A</v>
      </c>
    </row>
    <row r="1096" spans="1:40" s="69" customFormat="1" x14ac:dyDescent="0.25">
      <c r="A1096" s="88"/>
      <c r="B1096" s="88"/>
      <c r="C1096" s="70"/>
      <c r="D1096" s="70"/>
      <c r="E1096" s="70"/>
      <c r="F1096" s="70"/>
      <c r="G1096" s="70"/>
      <c r="H1096" s="422"/>
      <c r="I1096" s="422"/>
      <c r="J1096" s="418"/>
      <c r="K1096" s="403"/>
      <c r="L1096" s="73"/>
      <c r="M1096" s="72"/>
      <c r="N1096" s="72"/>
      <c r="O1096" s="72"/>
      <c r="P1096" s="42"/>
      <c r="Q1096" s="42"/>
      <c r="R1096" s="42"/>
      <c r="S1096" s="42"/>
      <c r="T1096" s="42"/>
      <c r="U1096" s="42"/>
      <c r="V1096" s="416"/>
      <c r="W1096" s="42"/>
      <c r="X1096" s="74"/>
      <c r="Y1096" s="74"/>
      <c r="Z1096" s="74"/>
      <c r="AA1096" s="74"/>
      <c r="AB1096" s="74"/>
      <c r="AC1096" s="42"/>
      <c r="AD1096" s="42"/>
      <c r="AE1096" s="42"/>
      <c r="AF1096" s="42"/>
      <c r="AG1096" s="42"/>
      <c r="AH1096" s="42"/>
      <c r="AI1096" s="75"/>
      <c r="AJ1096" s="75"/>
      <c r="AK1096" s="75"/>
      <c r="AL1096" s="75"/>
      <c r="AM1096" s="74"/>
      <c r="AN1096" s="72" t="e">
        <f>VLOOKUP(H1096,[4]Planilha1!A$13:P$314,16,0)</f>
        <v>#N/A</v>
      </c>
    </row>
    <row r="1097" spans="1:40" s="69" customFormat="1" x14ac:dyDescent="0.25">
      <c r="A1097" s="88"/>
      <c r="B1097" s="88"/>
      <c r="C1097" s="70"/>
      <c r="D1097" s="70"/>
      <c r="E1097" s="70"/>
      <c r="F1097" s="70"/>
      <c r="G1097" s="70"/>
      <c r="H1097" s="422"/>
      <c r="I1097" s="422"/>
      <c r="J1097" s="418"/>
      <c r="K1097" s="403"/>
      <c r="L1097" s="73"/>
      <c r="M1097" s="72"/>
      <c r="N1097" s="72"/>
      <c r="O1097" s="72"/>
      <c r="P1097" s="42"/>
      <c r="Q1097" s="42"/>
      <c r="R1097" s="42"/>
      <c r="S1097" s="42"/>
      <c r="T1097" s="42"/>
      <c r="U1097" s="42"/>
      <c r="V1097" s="416"/>
      <c r="W1097" s="42"/>
      <c r="X1097" s="74"/>
      <c r="Y1097" s="74"/>
      <c r="Z1097" s="74"/>
      <c r="AA1097" s="74"/>
      <c r="AB1097" s="74"/>
      <c r="AC1097" s="42"/>
      <c r="AD1097" s="42"/>
      <c r="AE1097" s="42"/>
      <c r="AF1097" s="42"/>
      <c r="AG1097" s="42"/>
      <c r="AH1097" s="42"/>
      <c r="AI1097" s="75"/>
      <c r="AJ1097" s="75"/>
      <c r="AK1097" s="75"/>
      <c r="AL1097" s="75"/>
      <c r="AM1097" s="74"/>
      <c r="AN1097" s="72" t="e">
        <f>VLOOKUP(H1097,[4]Planilha1!A$13:P$314,16,0)</f>
        <v>#N/A</v>
      </c>
    </row>
    <row r="1098" spans="1:40" s="69" customFormat="1" x14ac:dyDescent="0.25">
      <c r="A1098" s="88"/>
      <c r="B1098" s="88"/>
      <c r="C1098" s="70"/>
      <c r="D1098" s="70"/>
      <c r="E1098" s="70"/>
      <c r="F1098" s="70"/>
      <c r="G1098" s="70"/>
      <c r="H1098" s="422"/>
      <c r="I1098" s="422"/>
      <c r="J1098" s="418"/>
      <c r="K1098" s="403"/>
      <c r="L1098" s="73"/>
      <c r="M1098" s="72"/>
      <c r="N1098" s="72"/>
      <c r="O1098" s="72"/>
      <c r="P1098" s="42"/>
      <c r="Q1098" s="42"/>
      <c r="R1098" s="42"/>
      <c r="S1098" s="42"/>
      <c r="T1098" s="42"/>
      <c r="U1098" s="42"/>
      <c r="V1098" s="416"/>
      <c r="W1098" s="42"/>
      <c r="X1098" s="74"/>
      <c r="Y1098" s="74"/>
      <c r="Z1098" s="74"/>
      <c r="AA1098" s="74"/>
      <c r="AB1098" s="74"/>
      <c r="AC1098" s="42"/>
      <c r="AD1098" s="42"/>
      <c r="AE1098" s="42"/>
      <c r="AF1098" s="42"/>
      <c r="AG1098" s="42"/>
      <c r="AH1098" s="42"/>
      <c r="AI1098" s="75"/>
      <c r="AJ1098" s="75"/>
      <c r="AK1098" s="75"/>
      <c r="AL1098" s="75"/>
      <c r="AM1098" s="74"/>
      <c r="AN1098" s="72" t="e">
        <f>VLOOKUP(H1098,[4]Planilha1!A$13:P$314,16,0)</f>
        <v>#N/A</v>
      </c>
    </row>
    <row r="1099" spans="1:40" s="69" customFormat="1" x14ac:dyDescent="0.25">
      <c r="A1099" s="88"/>
      <c r="B1099" s="88"/>
      <c r="C1099" s="70"/>
      <c r="D1099" s="70"/>
      <c r="E1099" s="70"/>
      <c r="F1099" s="70"/>
      <c r="G1099" s="70"/>
      <c r="H1099" s="422"/>
      <c r="I1099" s="422"/>
      <c r="J1099" s="418"/>
      <c r="K1099" s="403"/>
      <c r="L1099" s="73"/>
      <c r="M1099" s="72"/>
      <c r="N1099" s="72"/>
      <c r="O1099" s="72"/>
      <c r="P1099" s="42"/>
      <c r="Q1099" s="42"/>
      <c r="R1099" s="42"/>
      <c r="S1099" s="42"/>
      <c r="T1099" s="42"/>
      <c r="U1099" s="42"/>
      <c r="V1099" s="416"/>
      <c r="W1099" s="42"/>
      <c r="X1099" s="74"/>
      <c r="Y1099" s="74"/>
      <c r="Z1099" s="74"/>
      <c r="AA1099" s="74"/>
      <c r="AB1099" s="74"/>
      <c r="AC1099" s="42"/>
      <c r="AD1099" s="42"/>
      <c r="AE1099" s="42"/>
      <c r="AF1099" s="42"/>
      <c r="AG1099" s="42"/>
      <c r="AH1099" s="42"/>
      <c r="AI1099" s="75"/>
      <c r="AJ1099" s="75"/>
      <c r="AK1099" s="75"/>
      <c r="AL1099" s="75"/>
      <c r="AM1099" s="74"/>
      <c r="AN1099" s="72" t="e">
        <f>VLOOKUP(H1099,[4]Planilha1!A$13:P$314,16,0)</f>
        <v>#N/A</v>
      </c>
    </row>
    <row r="1100" spans="1:40" s="69" customFormat="1" x14ac:dyDescent="0.25">
      <c r="A1100" s="88"/>
      <c r="B1100" s="88"/>
      <c r="C1100" s="70"/>
      <c r="D1100" s="70"/>
      <c r="E1100" s="70"/>
      <c r="F1100" s="70"/>
      <c r="G1100" s="70"/>
      <c r="H1100" s="422"/>
      <c r="I1100" s="422"/>
      <c r="J1100" s="418"/>
      <c r="K1100" s="403"/>
      <c r="L1100" s="73"/>
      <c r="M1100" s="72"/>
      <c r="N1100" s="72"/>
      <c r="O1100" s="72"/>
      <c r="P1100" s="42"/>
      <c r="Q1100" s="42"/>
      <c r="R1100" s="42"/>
      <c r="S1100" s="42"/>
      <c r="T1100" s="42"/>
      <c r="U1100" s="42"/>
      <c r="V1100" s="416"/>
      <c r="W1100" s="42"/>
      <c r="X1100" s="74"/>
      <c r="Y1100" s="74"/>
      <c r="Z1100" s="74"/>
      <c r="AA1100" s="74"/>
      <c r="AB1100" s="74"/>
      <c r="AC1100" s="42"/>
      <c r="AD1100" s="42"/>
      <c r="AE1100" s="42"/>
      <c r="AF1100" s="42"/>
      <c r="AG1100" s="42"/>
      <c r="AH1100" s="42"/>
      <c r="AI1100" s="75"/>
      <c r="AJ1100" s="75"/>
      <c r="AK1100" s="75"/>
      <c r="AL1100" s="75"/>
      <c r="AM1100" s="74"/>
      <c r="AN1100" s="72" t="e">
        <f>VLOOKUP(H1100,[4]Planilha1!A$13:P$314,16,0)</f>
        <v>#N/A</v>
      </c>
    </row>
    <row r="1101" spans="1:40" s="69" customFormat="1" x14ac:dyDescent="0.25">
      <c r="A1101" s="88"/>
      <c r="B1101" s="88"/>
      <c r="C1101" s="70"/>
      <c r="D1101" s="70"/>
      <c r="E1101" s="70"/>
      <c r="F1101" s="70"/>
      <c r="G1101" s="70"/>
      <c r="H1101" s="422"/>
      <c r="I1101" s="422"/>
      <c r="J1101" s="418"/>
      <c r="K1101" s="403"/>
      <c r="L1101" s="73"/>
      <c r="M1101" s="72"/>
      <c r="N1101" s="72"/>
      <c r="O1101" s="72"/>
      <c r="P1101" s="42"/>
      <c r="Q1101" s="42"/>
      <c r="R1101" s="42"/>
      <c r="S1101" s="42"/>
      <c r="T1101" s="42"/>
      <c r="U1101" s="42"/>
      <c r="V1101" s="416"/>
      <c r="W1101" s="42"/>
      <c r="X1101" s="74"/>
      <c r="Y1101" s="74"/>
      <c r="Z1101" s="74"/>
      <c r="AA1101" s="74"/>
      <c r="AB1101" s="74"/>
      <c r="AC1101" s="42"/>
      <c r="AD1101" s="42"/>
      <c r="AE1101" s="42"/>
      <c r="AF1101" s="42"/>
      <c r="AG1101" s="42"/>
      <c r="AH1101" s="42"/>
      <c r="AI1101" s="75"/>
      <c r="AJ1101" s="75"/>
      <c r="AK1101" s="75"/>
      <c r="AL1101" s="75"/>
      <c r="AM1101" s="74"/>
      <c r="AN1101" s="72" t="e">
        <f>VLOOKUP(H1101,[4]Planilha1!A$13:P$314,16,0)</f>
        <v>#N/A</v>
      </c>
    </row>
    <row r="1102" spans="1:40" s="69" customFormat="1" x14ac:dyDescent="0.25">
      <c r="A1102" s="88"/>
      <c r="B1102" s="88"/>
      <c r="C1102" s="70"/>
      <c r="D1102" s="70"/>
      <c r="E1102" s="70"/>
      <c r="F1102" s="70"/>
      <c r="G1102" s="70"/>
      <c r="H1102" s="422"/>
      <c r="I1102" s="422"/>
      <c r="J1102" s="418"/>
      <c r="K1102" s="403"/>
      <c r="L1102" s="73"/>
      <c r="M1102" s="72"/>
      <c r="N1102" s="72"/>
      <c r="O1102" s="72"/>
      <c r="P1102" s="42"/>
      <c r="Q1102" s="42"/>
      <c r="R1102" s="42"/>
      <c r="S1102" s="42"/>
      <c r="T1102" s="42"/>
      <c r="U1102" s="42"/>
      <c r="V1102" s="416"/>
      <c r="W1102" s="42"/>
      <c r="X1102" s="74"/>
      <c r="Y1102" s="74"/>
      <c r="Z1102" s="74"/>
      <c r="AA1102" s="74"/>
      <c r="AB1102" s="74"/>
      <c r="AC1102" s="42"/>
      <c r="AD1102" s="42"/>
      <c r="AE1102" s="42"/>
      <c r="AF1102" s="42"/>
      <c r="AG1102" s="42"/>
      <c r="AH1102" s="42"/>
      <c r="AI1102" s="75"/>
      <c r="AJ1102" s="75"/>
      <c r="AK1102" s="75"/>
      <c r="AL1102" s="75"/>
      <c r="AM1102" s="74"/>
      <c r="AN1102" s="72" t="e">
        <f>VLOOKUP(H1102,[4]Planilha1!A$13:P$314,16,0)</f>
        <v>#N/A</v>
      </c>
    </row>
    <row r="1103" spans="1:40" s="69" customFormat="1" x14ac:dyDescent="0.25">
      <c r="A1103" s="88"/>
      <c r="B1103" s="88"/>
      <c r="C1103" s="70"/>
      <c r="D1103" s="70"/>
      <c r="E1103" s="70"/>
      <c r="F1103" s="70"/>
      <c r="G1103" s="70"/>
      <c r="H1103" s="422"/>
      <c r="I1103" s="422"/>
      <c r="J1103" s="418"/>
      <c r="K1103" s="403"/>
      <c r="L1103" s="73"/>
      <c r="M1103" s="72"/>
      <c r="N1103" s="72"/>
      <c r="O1103" s="72"/>
      <c r="P1103" s="42"/>
      <c r="Q1103" s="42"/>
      <c r="R1103" s="42"/>
      <c r="S1103" s="42"/>
      <c r="T1103" s="42"/>
      <c r="U1103" s="42"/>
      <c r="V1103" s="416"/>
      <c r="W1103" s="42"/>
      <c r="X1103" s="74"/>
      <c r="Y1103" s="74"/>
      <c r="Z1103" s="74"/>
      <c r="AA1103" s="74"/>
      <c r="AB1103" s="74"/>
      <c r="AC1103" s="42"/>
      <c r="AD1103" s="42"/>
      <c r="AE1103" s="42"/>
      <c r="AF1103" s="42"/>
      <c r="AG1103" s="42"/>
      <c r="AH1103" s="42"/>
      <c r="AI1103" s="75"/>
      <c r="AJ1103" s="75"/>
      <c r="AK1103" s="75"/>
      <c r="AL1103" s="75"/>
      <c r="AM1103" s="74"/>
      <c r="AN1103" s="72" t="e">
        <f>VLOOKUP(H1103,[4]Planilha1!A$13:P$314,16,0)</f>
        <v>#N/A</v>
      </c>
    </row>
    <row r="1104" spans="1:40" s="69" customFormat="1" x14ac:dyDescent="0.25">
      <c r="A1104" s="88"/>
      <c r="B1104" s="88"/>
      <c r="C1104" s="70"/>
      <c r="D1104" s="70"/>
      <c r="E1104" s="70"/>
      <c r="F1104" s="70"/>
      <c r="G1104" s="70"/>
      <c r="H1104" s="422"/>
      <c r="I1104" s="422"/>
      <c r="J1104" s="418"/>
      <c r="K1104" s="403"/>
      <c r="L1104" s="73"/>
      <c r="M1104" s="72"/>
      <c r="N1104" s="72"/>
      <c r="O1104" s="72"/>
      <c r="P1104" s="42"/>
      <c r="Q1104" s="42"/>
      <c r="R1104" s="42"/>
      <c r="S1104" s="42"/>
      <c r="T1104" s="42"/>
      <c r="U1104" s="42"/>
      <c r="V1104" s="416"/>
      <c r="W1104" s="42"/>
      <c r="X1104" s="74"/>
      <c r="Y1104" s="74"/>
      <c r="Z1104" s="74"/>
      <c r="AA1104" s="74"/>
      <c r="AB1104" s="74"/>
      <c r="AC1104" s="42"/>
      <c r="AD1104" s="42"/>
      <c r="AE1104" s="42"/>
      <c r="AF1104" s="42"/>
      <c r="AG1104" s="42"/>
      <c r="AH1104" s="42"/>
      <c r="AI1104" s="75"/>
      <c r="AJ1104" s="75"/>
      <c r="AK1104" s="75"/>
      <c r="AL1104" s="75"/>
      <c r="AM1104" s="74"/>
      <c r="AN1104" s="72" t="e">
        <f>VLOOKUP(H1104,[4]Planilha1!A$13:P$314,16,0)</f>
        <v>#N/A</v>
      </c>
    </row>
    <row r="1105" spans="1:40" s="69" customFormat="1" x14ac:dyDescent="0.25">
      <c r="A1105" s="88"/>
      <c r="B1105" s="88"/>
      <c r="C1105" s="70"/>
      <c r="D1105" s="70"/>
      <c r="E1105" s="70"/>
      <c r="F1105" s="70"/>
      <c r="G1105" s="70"/>
      <c r="H1105" s="422"/>
      <c r="I1105" s="422"/>
      <c r="J1105" s="418"/>
      <c r="K1105" s="403"/>
      <c r="L1105" s="73"/>
      <c r="M1105" s="72"/>
      <c r="N1105" s="72"/>
      <c r="O1105" s="72"/>
      <c r="P1105" s="42"/>
      <c r="Q1105" s="42"/>
      <c r="R1105" s="42"/>
      <c r="S1105" s="42"/>
      <c r="T1105" s="42"/>
      <c r="U1105" s="42"/>
      <c r="V1105" s="416"/>
      <c r="W1105" s="42"/>
      <c r="X1105" s="74"/>
      <c r="Y1105" s="74"/>
      <c r="Z1105" s="74"/>
      <c r="AA1105" s="74"/>
      <c r="AB1105" s="74"/>
      <c r="AC1105" s="42"/>
      <c r="AD1105" s="42"/>
      <c r="AE1105" s="42"/>
      <c r="AF1105" s="42"/>
      <c r="AG1105" s="42"/>
      <c r="AH1105" s="42"/>
      <c r="AI1105" s="75"/>
      <c r="AJ1105" s="75"/>
      <c r="AK1105" s="75"/>
      <c r="AL1105" s="75"/>
      <c r="AM1105" s="74"/>
      <c r="AN1105" s="72" t="e">
        <f>VLOOKUP(H1105,[4]Planilha1!A$13:P$314,16,0)</f>
        <v>#N/A</v>
      </c>
    </row>
    <row r="1106" spans="1:40" s="69" customFormat="1" x14ac:dyDescent="0.25">
      <c r="A1106" s="88"/>
      <c r="B1106" s="88"/>
      <c r="C1106" s="70"/>
      <c r="D1106" s="70"/>
      <c r="E1106" s="70"/>
      <c r="F1106" s="70"/>
      <c r="G1106" s="70"/>
      <c r="H1106" s="422"/>
      <c r="I1106" s="422"/>
      <c r="J1106" s="418"/>
      <c r="K1106" s="403"/>
      <c r="L1106" s="73"/>
      <c r="M1106" s="72"/>
      <c r="N1106" s="72"/>
      <c r="O1106" s="72"/>
      <c r="P1106" s="42"/>
      <c r="Q1106" s="42"/>
      <c r="R1106" s="42"/>
      <c r="S1106" s="42"/>
      <c r="T1106" s="42"/>
      <c r="U1106" s="42"/>
      <c r="V1106" s="416"/>
      <c r="W1106" s="42"/>
      <c r="X1106" s="74"/>
      <c r="Y1106" s="74"/>
      <c r="Z1106" s="74"/>
      <c r="AA1106" s="74"/>
      <c r="AB1106" s="74"/>
      <c r="AC1106" s="42"/>
      <c r="AD1106" s="42"/>
      <c r="AE1106" s="42"/>
      <c r="AF1106" s="42"/>
      <c r="AG1106" s="42"/>
      <c r="AH1106" s="42"/>
      <c r="AI1106" s="75"/>
      <c r="AJ1106" s="75"/>
      <c r="AK1106" s="75"/>
      <c r="AL1106" s="75"/>
      <c r="AM1106" s="74"/>
      <c r="AN1106" s="72" t="e">
        <f>VLOOKUP(H1106,[4]Planilha1!A$13:P$314,16,0)</f>
        <v>#N/A</v>
      </c>
    </row>
    <row r="1107" spans="1:40" s="69" customFormat="1" x14ac:dyDescent="0.25">
      <c r="A1107" s="88"/>
      <c r="B1107" s="88"/>
      <c r="C1107" s="70"/>
      <c r="D1107" s="70"/>
      <c r="E1107" s="70"/>
      <c r="F1107" s="70"/>
      <c r="G1107" s="70"/>
      <c r="H1107" s="422"/>
      <c r="I1107" s="422"/>
      <c r="J1107" s="418"/>
      <c r="K1107" s="403"/>
      <c r="L1107" s="73"/>
      <c r="M1107" s="72"/>
      <c r="N1107" s="72"/>
      <c r="O1107" s="72"/>
      <c r="P1107" s="42"/>
      <c r="Q1107" s="42"/>
      <c r="R1107" s="42"/>
      <c r="S1107" s="42"/>
      <c r="T1107" s="42"/>
      <c r="U1107" s="42"/>
      <c r="V1107" s="416"/>
      <c r="W1107" s="42"/>
      <c r="X1107" s="74"/>
      <c r="Y1107" s="74"/>
      <c r="Z1107" s="74"/>
      <c r="AA1107" s="74"/>
      <c r="AB1107" s="74"/>
      <c r="AC1107" s="42"/>
      <c r="AD1107" s="42"/>
      <c r="AE1107" s="42"/>
      <c r="AF1107" s="42"/>
      <c r="AG1107" s="42"/>
      <c r="AH1107" s="42"/>
      <c r="AI1107" s="75"/>
      <c r="AJ1107" s="75"/>
      <c r="AK1107" s="75"/>
      <c r="AL1107" s="75"/>
      <c r="AM1107" s="74"/>
      <c r="AN1107" s="72" t="e">
        <f>VLOOKUP(H1107,[4]Planilha1!A$13:P$314,16,0)</f>
        <v>#N/A</v>
      </c>
    </row>
    <row r="1108" spans="1:40" s="69" customFormat="1" x14ac:dyDescent="0.25">
      <c r="A1108" s="88"/>
      <c r="B1108" s="88"/>
      <c r="C1108" s="70"/>
      <c r="D1108" s="70"/>
      <c r="E1108" s="70"/>
      <c r="F1108" s="70"/>
      <c r="G1108" s="70"/>
      <c r="H1108" s="422"/>
      <c r="I1108" s="422"/>
      <c r="J1108" s="418"/>
      <c r="K1108" s="403"/>
      <c r="L1108" s="73"/>
      <c r="M1108" s="72"/>
      <c r="N1108" s="72"/>
      <c r="O1108" s="72"/>
      <c r="P1108" s="42"/>
      <c r="Q1108" s="42"/>
      <c r="R1108" s="42"/>
      <c r="S1108" s="42"/>
      <c r="T1108" s="42"/>
      <c r="U1108" s="42"/>
      <c r="V1108" s="416"/>
      <c r="W1108" s="42"/>
      <c r="X1108" s="74"/>
      <c r="Y1108" s="74"/>
      <c r="Z1108" s="74"/>
      <c r="AA1108" s="74"/>
      <c r="AB1108" s="74"/>
      <c r="AC1108" s="42"/>
      <c r="AD1108" s="42"/>
      <c r="AE1108" s="42"/>
      <c r="AF1108" s="42"/>
      <c r="AG1108" s="42"/>
      <c r="AH1108" s="42"/>
      <c r="AI1108" s="75"/>
      <c r="AJ1108" s="75"/>
      <c r="AK1108" s="75"/>
      <c r="AL1108" s="75"/>
      <c r="AM1108" s="74"/>
      <c r="AN1108" s="72" t="e">
        <f>VLOOKUP(H1108,[4]Planilha1!A$13:P$314,16,0)</f>
        <v>#N/A</v>
      </c>
    </row>
    <row r="1109" spans="1:40" s="69" customFormat="1" x14ac:dyDescent="0.25">
      <c r="A1109" s="88"/>
      <c r="B1109" s="88"/>
      <c r="C1109" s="70"/>
      <c r="D1109" s="70"/>
      <c r="E1109" s="70"/>
      <c r="F1109" s="70"/>
      <c r="G1109" s="70"/>
      <c r="H1109" s="422"/>
      <c r="I1109" s="422"/>
      <c r="J1109" s="418"/>
      <c r="K1109" s="403"/>
      <c r="L1109" s="73"/>
      <c r="M1109" s="72"/>
      <c r="N1109" s="72"/>
      <c r="O1109" s="72"/>
      <c r="P1109" s="42"/>
      <c r="Q1109" s="42"/>
      <c r="R1109" s="42"/>
      <c r="S1109" s="42"/>
      <c r="T1109" s="42"/>
      <c r="U1109" s="42"/>
      <c r="V1109" s="416"/>
      <c r="W1109" s="42"/>
      <c r="X1109" s="74"/>
      <c r="Y1109" s="74"/>
      <c r="Z1109" s="74"/>
      <c r="AA1109" s="74"/>
      <c r="AB1109" s="74"/>
      <c r="AC1109" s="42"/>
      <c r="AD1109" s="42"/>
      <c r="AE1109" s="42"/>
      <c r="AF1109" s="42"/>
      <c r="AG1109" s="42"/>
      <c r="AH1109" s="42"/>
      <c r="AI1109" s="75"/>
      <c r="AJ1109" s="75"/>
      <c r="AK1109" s="75"/>
      <c r="AL1109" s="75"/>
      <c r="AM1109" s="74"/>
      <c r="AN1109" s="72" t="e">
        <f>VLOOKUP(H1109,[4]Planilha1!A$13:P$314,16,0)</f>
        <v>#N/A</v>
      </c>
    </row>
    <row r="1110" spans="1:40" s="69" customFormat="1" x14ac:dyDescent="0.25">
      <c r="A1110" s="88"/>
      <c r="B1110" s="88"/>
      <c r="C1110" s="70"/>
      <c r="D1110" s="70"/>
      <c r="E1110" s="70"/>
      <c r="F1110" s="70"/>
      <c r="G1110" s="70"/>
      <c r="H1110" s="422"/>
      <c r="I1110" s="422"/>
      <c r="J1110" s="418"/>
      <c r="K1110" s="403"/>
      <c r="L1110" s="73"/>
      <c r="M1110" s="72"/>
      <c r="N1110" s="72"/>
      <c r="O1110" s="72"/>
      <c r="P1110" s="42"/>
      <c r="Q1110" s="42"/>
      <c r="R1110" s="42"/>
      <c r="S1110" s="42"/>
      <c r="T1110" s="42"/>
      <c r="U1110" s="42"/>
      <c r="V1110" s="416"/>
      <c r="W1110" s="42"/>
      <c r="X1110" s="74"/>
      <c r="Y1110" s="74"/>
      <c r="Z1110" s="74"/>
      <c r="AA1110" s="74"/>
      <c r="AB1110" s="74"/>
      <c r="AC1110" s="42"/>
      <c r="AD1110" s="42"/>
      <c r="AE1110" s="42"/>
      <c r="AF1110" s="42"/>
      <c r="AG1110" s="42"/>
      <c r="AH1110" s="42"/>
      <c r="AI1110" s="75"/>
      <c r="AJ1110" s="75"/>
      <c r="AK1110" s="75"/>
      <c r="AL1110" s="75"/>
      <c r="AM1110" s="74"/>
      <c r="AN1110" s="72" t="e">
        <f>VLOOKUP(H1110,[4]Planilha1!A$13:P$314,16,0)</f>
        <v>#N/A</v>
      </c>
    </row>
    <row r="1111" spans="1:40" s="69" customFormat="1" x14ac:dyDescent="0.25">
      <c r="A1111" s="88"/>
      <c r="B1111" s="88"/>
      <c r="C1111" s="70"/>
      <c r="D1111" s="70"/>
      <c r="E1111" s="70"/>
      <c r="F1111" s="70"/>
      <c r="G1111" s="70"/>
      <c r="H1111" s="422"/>
      <c r="I1111" s="422"/>
      <c r="J1111" s="418"/>
      <c r="K1111" s="403"/>
      <c r="L1111" s="73"/>
      <c r="M1111" s="72"/>
      <c r="N1111" s="72"/>
      <c r="O1111" s="72"/>
      <c r="P1111" s="42"/>
      <c r="Q1111" s="42"/>
      <c r="R1111" s="42"/>
      <c r="S1111" s="42"/>
      <c r="T1111" s="42"/>
      <c r="U1111" s="42"/>
      <c r="V1111" s="416"/>
      <c r="W1111" s="42"/>
      <c r="X1111" s="74"/>
      <c r="Y1111" s="74"/>
      <c r="Z1111" s="74"/>
      <c r="AA1111" s="74"/>
      <c r="AB1111" s="74"/>
      <c r="AC1111" s="42"/>
      <c r="AD1111" s="42"/>
      <c r="AE1111" s="42"/>
      <c r="AF1111" s="42"/>
      <c r="AG1111" s="42"/>
      <c r="AH1111" s="42"/>
      <c r="AI1111" s="75"/>
      <c r="AJ1111" s="75"/>
      <c r="AK1111" s="75"/>
      <c r="AL1111" s="75"/>
      <c r="AM1111" s="74"/>
      <c r="AN1111" s="72" t="e">
        <f>VLOOKUP(H1111,[4]Planilha1!A$13:P$314,16,0)</f>
        <v>#N/A</v>
      </c>
    </row>
    <row r="1112" spans="1:40" s="69" customFormat="1" x14ac:dyDescent="0.25">
      <c r="A1112" s="88"/>
      <c r="B1112" s="88"/>
      <c r="C1112" s="70"/>
      <c r="D1112" s="70"/>
      <c r="E1112" s="70"/>
      <c r="F1112" s="70"/>
      <c r="G1112" s="70"/>
      <c r="H1112" s="422"/>
      <c r="I1112" s="422"/>
      <c r="J1112" s="418"/>
      <c r="K1112" s="403"/>
      <c r="L1112" s="73"/>
      <c r="M1112" s="72"/>
      <c r="N1112" s="72"/>
      <c r="O1112" s="72"/>
      <c r="P1112" s="42"/>
      <c r="Q1112" s="42"/>
      <c r="R1112" s="42"/>
      <c r="S1112" s="42"/>
      <c r="T1112" s="42"/>
      <c r="U1112" s="42"/>
      <c r="V1112" s="416"/>
      <c r="W1112" s="42"/>
      <c r="X1112" s="74"/>
      <c r="Y1112" s="74"/>
      <c r="Z1112" s="74"/>
      <c r="AA1112" s="74"/>
      <c r="AB1112" s="74"/>
      <c r="AC1112" s="42"/>
      <c r="AD1112" s="42"/>
      <c r="AE1112" s="42"/>
      <c r="AF1112" s="42"/>
      <c r="AG1112" s="42"/>
      <c r="AH1112" s="42"/>
      <c r="AI1112" s="75"/>
      <c r="AJ1112" s="75"/>
      <c r="AK1112" s="75"/>
      <c r="AL1112" s="75"/>
      <c r="AM1112" s="74"/>
      <c r="AN1112" s="72" t="e">
        <f>VLOOKUP(H1112,[4]Planilha1!A$13:P$314,16,0)</f>
        <v>#N/A</v>
      </c>
    </row>
    <row r="1113" spans="1:40" s="69" customFormat="1" x14ac:dyDescent="0.25">
      <c r="A1113" s="88"/>
      <c r="B1113" s="88"/>
      <c r="C1113" s="70"/>
      <c r="D1113" s="70"/>
      <c r="E1113" s="70"/>
      <c r="F1113" s="70"/>
      <c r="G1113" s="70"/>
      <c r="H1113" s="422"/>
      <c r="I1113" s="422"/>
      <c r="J1113" s="418"/>
      <c r="K1113" s="403"/>
      <c r="L1113" s="73"/>
      <c r="M1113" s="72"/>
      <c r="N1113" s="72"/>
      <c r="O1113" s="72"/>
      <c r="P1113" s="42"/>
      <c r="Q1113" s="42"/>
      <c r="R1113" s="42"/>
      <c r="S1113" s="42"/>
      <c r="T1113" s="42"/>
      <c r="U1113" s="42"/>
      <c r="V1113" s="416"/>
      <c r="W1113" s="42"/>
      <c r="X1113" s="74"/>
      <c r="Y1113" s="74"/>
      <c r="Z1113" s="74"/>
      <c r="AA1113" s="74"/>
      <c r="AB1113" s="74"/>
      <c r="AC1113" s="42"/>
      <c r="AD1113" s="42"/>
      <c r="AE1113" s="42"/>
      <c r="AF1113" s="42"/>
      <c r="AG1113" s="42"/>
      <c r="AH1113" s="42"/>
      <c r="AI1113" s="75"/>
      <c r="AJ1113" s="75"/>
      <c r="AK1113" s="75"/>
      <c r="AL1113" s="75"/>
      <c r="AM1113" s="74"/>
      <c r="AN1113" s="72" t="e">
        <f>VLOOKUP(H1113,[4]Planilha1!A$13:P$314,16,0)</f>
        <v>#N/A</v>
      </c>
    </row>
    <row r="1114" spans="1:40" s="69" customFormat="1" x14ac:dyDescent="0.25">
      <c r="A1114" s="88"/>
      <c r="B1114" s="88"/>
      <c r="C1114" s="70"/>
      <c r="D1114" s="70"/>
      <c r="E1114" s="70"/>
      <c r="F1114" s="70"/>
      <c r="G1114" s="70"/>
      <c r="H1114" s="422"/>
      <c r="I1114" s="422"/>
      <c r="J1114" s="418"/>
      <c r="K1114" s="403"/>
      <c r="L1114" s="73"/>
      <c r="M1114" s="72"/>
      <c r="N1114" s="72"/>
      <c r="O1114" s="72"/>
      <c r="P1114" s="42"/>
      <c r="Q1114" s="42"/>
      <c r="R1114" s="42"/>
      <c r="S1114" s="42"/>
      <c r="T1114" s="42"/>
      <c r="U1114" s="42"/>
      <c r="V1114" s="416"/>
      <c r="W1114" s="42"/>
      <c r="X1114" s="74"/>
      <c r="Y1114" s="74"/>
      <c r="Z1114" s="74"/>
      <c r="AA1114" s="74"/>
      <c r="AB1114" s="74"/>
      <c r="AC1114" s="42"/>
      <c r="AD1114" s="42"/>
      <c r="AE1114" s="42"/>
      <c r="AF1114" s="42"/>
      <c r="AG1114" s="42"/>
      <c r="AH1114" s="42"/>
      <c r="AI1114" s="75"/>
      <c r="AJ1114" s="75"/>
      <c r="AK1114" s="75"/>
      <c r="AL1114" s="75"/>
      <c r="AM1114" s="74"/>
      <c r="AN1114" s="72" t="e">
        <f>VLOOKUP(H1114,[4]Planilha1!A$13:P$314,16,0)</f>
        <v>#N/A</v>
      </c>
    </row>
    <row r="1115" spans="1:40" s="69" customFormat="1" x14ac:dyDescent="0.25">
      <c r="A1115" s="88"/>
      <c r="B1115" s="88"/>
      <c r="C1115" s="70"/>
      <c r="D1115" s="70"/>
      <c r="E1115" s="70"/>
      <c r="F1115" s="70"/>
      <c r="G1115" s="70"/>
      <c r="H1115" s="422"/>
      <c r="I1115" s="422"/>
      <c r="J1115" s="418"/>
      <c r="K1115" s="403"/>
      <c r="L1115" s="73"/>
      <c r="M1115" s="72"/>
      <c r="N1115" s="72"/>
      <c r="O1115" s="72"/>
      <c r="P1115" s="42"/>
      <c r="Q1115" s="42"/>
      <c r="R1115" s="42"/>
      <c r="S1115" s="42"/>
      <c r="T1115" s="42"/>
      <c r="U1115" s="42"/>
      <c r="V1115" s="416"/>
      <c r="W1115" s="42"/>
      <c r="X1115" s="74"/>
      <c r="Y1115" s="74"/>
      <c r="Z1115" s="74"/>
      <c r="AA1115" s="74"/>
      <c r="AB1115" s="74"/>
      <c r="AC1115" s="42"/>
      <c r="AD1115" s="42"/>
      <c r="AE1115" s="42"/>
      <c r="AF1115" s="42"/>
      <c r="AG1115" s="42"/>
      <c r="AH1115" s="42"/>
      <c r="AI1115" s="75"/>
      <c r="AJ1115" s="75"/>
      <c r="AK1115" s="75"/>
      <c r="AL1115" s="75"/>
      <c r="AM1115" s="74"/>
      <c r="AN1115" s="72" t="e">
        <f>VLOOKUP(H1115,[4]Planilha1!A$13:P$314,16,0)</f>
        <v>#N/A</v>
      </c>
    </row>
    <row r="1116" spans="1:40" s="69" customFormat="1" x14ac:dyDescent="0.25">
      <c r="A1116" s="88"/>
      <c r="B1116" s="88"/>
      <c r="C1116" s="70"/>
      <c r="D1116" s="70"/>
      <c r="E1116" s="70"/>
      <c r="F1116" s="70"/>
      <c r="G1116" s="70"/>
      <c r="H1116" s="422"/>
      <c r="I1116" s="422"/>
      <c r="J1116" s="418"/>
      <c r="K1116" s="403"/>
      <c r="L1116" s="73"/>
      <c r="M1116" s="72"/>
      <c r="N1116" s="72"/>
      <c r="O1116" s="72"/>
      <c r="P1116" s="42"/>
      <c r="Q1116" s="42"/>
      <c r="R1116" s="42"/>
      <c r="S1116" s="42"/>
      <c r="T1116" s="42"/>
      <c r="U1116" s="42"/>
      <c r="V1116" s="416"/>
      <c r="W1116" s="42"/>
      <c r="X1116" s="74"/>
      <c r="Y1116" s="74"/>
      <c r="Z1116" s="74"/>
      <c r="AA1116" s="74"/>
      <c r="AB1116" s="74"/>
      <c r="AC1116" s="42"/>
      <c r="AD1116" s="42"/>
      <c r="AE1116" s="42"/>
      <c r="AF1116" s="42"/>
      <c r="AG1116" s="42"/>
      <c r="AH1116" s="42"/>
      <c r="AI1116" s="75"/>
      <c r="AJ1116" s="75"/>
      <c r="AK1116" s="75"/>
      <c r="AL1116" s="75"/>
      <c r="AM1116" s="74"/>
      <c r="AN1116" s="72" t="e">
        <f>VLOOKUP(H1116,[4]Planilha1!A$13:P$314,16,0)</f>
        <v>#N/A</v>
      </c>
    </row>
    <row r="1117" spans="1:40" s="69" customFormat="1" x14ac:dyDescent="0.25">
      <c r="A1117" s="88"/>
      <c r="B1117" s="88"/>
      <c r="C1117" s="70"/>
      <c r="D1117" s="70"/>
      <c r="E1117" s="70"/>
      <c r="F1117" s="70"/>
      <c r="G1117" s="70"/>
      <c r="H1117" s="422"/>
      <c r="I1117" s="422"/>
      <c r="J1117" s="418"/>
      <c r="K1117" s="403"/>
      <c r="L1117" s="73"/>
      <c r="M1117" s="72"/>
      <c r="N1117" s="72"/>
      <c r="O1117" s="72"/>
      <c r="P1117" s="42"/>
      <c r="Q1117" s="42"/>
      <c r="R1117" s="42"/>
      <c r="S1117" s="42"/>
      <c r="T1117" s="42"/>
      <c r="U1117" s="42"/>
      <c r="V1117" s="416"/>
      <c r="W1117" s="42"/>
      <c r="X1117" s="74"/>
      <c r="Y1117" s="74"/>
      <c r="Z1117" s="74"/>
      <c r="AA1117" s="74"/>
      <c r="AB1117" s="74"/>
      <c r="AC1117" s="42"/>
      <c r="AD1117" s="42"/>
      <c r="AE1117" s="42"/>
      <c r="AF1117" s="42"/>
      <c r="AG1117" s="42"/>
      <c r="AH1117" s="42"/>
      <c r="AI1117" s="75"/>
      <c r="AJ1117" s="75"/>
      <c r="AK1117" s="75"/>
      <c r="AL1117" s="75"/>
      <c r="AM1117" s="74"/>
      <c r="AN1117" s="72" t="e">
        <f>VLOOKUP(H1117,[4]Planilha1!A$13:P$314,16,0)</f>
        <v>#N/A</v>
      </c>
    </row>
    <row r="1118" spans="1:40" s="69" customFormat="1" x14ac:dyDescent="0.25">
      <c r="A1118" s="88"/>
      <c r="B1118" s="88"/>
      <c r="C1118" s="70"/>
      <c r="D1118" s="70"/>
      <c r="E1118" s="70"/>
      <c r="F1118" s="70"/>
      <c r="G1118" s="70"/>
      <c r="H1118" s="422"/>
      <c r="I1118" s="422"/>
      <c r="J1118" s="418"/>
      <c r="K1118" s="403"/>
      <c r="L1118" s="73"/>
      <c r="M1118" s="72"/>
      <c r="N1118" s="72"/>
      <c r="O1118" s="72"/>
      <c r="P1118" s="42"/>
      <c r="Q1118" s="42"/>
      <c r="R1118" s="42"/>
      <c r="S1118" s="42"/>
      <c r="T1118" s="42"/>
      <c r="U1118" s="42"/>
      <c r="V1118" s="416"/>
      <c r="W1118" s="42"/>
      <c r="X1118" s="74"/>
      <c r="Y1118" s="74"/>
      <c r="Z1118" s="74"/>
      <c r="AA1118" s="74"/>
      <c r="AB1118" s="74"/>
      <c r="AC1118" s="42"/>
      <c r="AD1118" s="42"/>
      <c r="AE1118" s="42"/>
      <c r="AF1118" s="42"/>
      <c r="AG1118" s="42"/>
      <c r="AH1118" s="42"/>
      <c r="AI1118" s="75"/>
      <c r="AJ1118" s="75"/>
      <c r="AK1118" s="75"/>
      <c r="AL1118" s="75"/>
      <c r="AM1118" s="74"/>
      <c r="AN1118" s="72" t="e">
        <f>VLOOKUP(H1118,[4]Planilha1!A$13:P$314,16,0)</f>
        <v>#N/A</v>
      </c>
    </row>
    <row r="1119" spans="1:40" s="69" customFormat="1" x14ac:dyDescent="0.25">
      <c r="A1119" s="88"/>
      <c r="B1119" s="88"/>
      <c r="C1119" s="70"/>
      <c r="D1119" s="70"/>
      <c r="E1119" s="70"/>
      <c r="F1119" s="70"/>
      <c r="G1119" s="70"/>
      <c r="H1119" s="422"/>
      <c r="I1119" s="422"/>
      <c r="J1119" s="418"/>
      <c r="K1119" s="403"/>
      <c r="L1119" s="73"/>
      <c r="M1119" s="72"/>
      <c r="N1119" s="72"/>
      <c r="O1119" s="72"/>
      <c r="P1119" s="42"/>
      <c r="Q1119" s="42"/>
      <c r="R1119" s="42"/>
      <c r="S1119" s="42"/>
      <c r="T1119" s="42"/>
      <c r="U1119" s="42"/>
      <c r="V1119" s="416"/>
      <c r="W1119" s="42"/>
      <c r="X1119" s="74"/>
      <c r="Y1119" s="74"/>
      <c r="Z1119" s="74"/>
      <c r="AA1119" s="74"/>
      <c r="AB1119" s="74"/>
      <c r="AC1119" s="42"/>
      <c r="AD1119" s="42"/>
      <c r="AE1119" s="42"/>
      <c r="AF1119" s="42"/>
      <c r="AG1119" s="42"/>
      <c r="AH1119" s="42"/>
      <c r="AI1119" s="75"/>
      <c r="AJ1119" s="75"/>
      <c r="AK1119" s="75"/>
      <c r="AL1119" s="75"/>
      <c r="AM1119" s="74"/>
      <c r="AN1119" s="72" t="e">
        <f>VLOOKUP(H1119,[4]Planilha1!A$13:P$314,16,0)</f>
        <v>#N/A</v>
      </c>
    </row>
    <row r="1120" spans="1:40" s="69" customFormat="1" x14ac:dyDescent="0.25">
      <c r="A1120" s="88"/>
      <c r="B1120" s="88"/>
      <c r="C1120" s="70"/>
      <c r="D1120" s="70"/>
      <c r="E1120" s="70"/>
      <c r="F1120" s="70"/>
      <c r="G1120" s="70"/>
      <c r="H1120" s="422"/>
      <c r="I1120" s="422"/>
      <c r="J1120" s="418"/>
      <c r="K1120" s="403"/>
      <c r="L1120" s="73"/>
      <c r="M1120" s="72"/>
      <c r="N1120" s="72"/>
      <c r="O1120" s="72"/>
      <c r="P1120" s="42"/>
      <c r="Q1120" s="42"/>
      <c r="R1120" s="42"/>
      <c r="S1120" s="42"/>
      <c r="T1120" s="42"/>
      <c r="U1120" s="42"/>
      <c r="V1120" s="416"/>
      <c r="W1120" s="42"/>
      <c r="X1120" s="74"/>
      <c r="Y1120" s="74"/>
      <c r="Z1120" s="74"/>
      <c r="AA1120" s="74"/>
      <c r="AB1120" s="74"/>
      <c r="AC1120" s="42"/>
      <c r="AD1120" s="42"/>
      <c r="AE1120" s="42"/>
      <c r="AF1120" s="42"/>
      <c r="AG1120" s="42"/>
      <c r="AH1120" s="42"/>
      <c r="AI1120" s="75"/>
      <c r="AJ1120" s="75"/>
      <c r="AK1120" s="75"/>
      <c r="AL1120" s="75"/>
      <c r="AM1120" s="74"/>
      <c r="AN1120" s="72" t="e">
        <f>VLOOKUP(H1120,[4]Planilha1!A$13:P$314,16,0)</f>
        <v>#N/A</v>
      </c>
    </row>
    <row r="1121" spans="1:40" s="69" customFormat="1" x14ac:dyDescent="0.25">
      <c r="A1121" s="88"/>
      <c r="B1121" s="88"/>
      <c r="C1121" s="70"/>
      <c r="D1121" s="70"/>
      <c r="E1121" s="70"/>
      <c r="F1121" s="70"/>
      <c r="G1121" s="70"/>
      <c r="H1121" s="422"/>
      <c r="I1121" s="422"/>
      <c r="J1121" s="418"/>
      <c r="K1121" s="403"/>
      <c r="L1121" s="73"/>
      <c r="M1121" s="72"/>
      <c r="N1121" s="72"/>
      <c r="O1121" s="72"/>
      <c r="P1121" s="42"/>
      <c r="Q1121" s="42"/>
      <c r="R1121" s="42"/>
      <c r="S1121" s="42"/>
      <c r="T1121" s="42"/>
      <c r="U1121" s="42"/>
      <c r="V1121" s="416"/>
      <c r="W1121" s="42"/>
      <c r="X1121" s="74"/>
      <c r="Y1121" s="74"/>
      <c r="Z1121" s="74"/>
      <c r="AA1121" s="74"/>
      <c r="AB1121" s="74"/>
      <c r="AC1121" s="42"/>
      <c r="AD1121" s="42"/>
      <c r="AE1121" s="42"/>
      <c r="AF1121" s="42"/>
      <c r="AG1121" s="42"/>
      <c r="AH1121" s="42"/>
      <c r="AI1121" s="75"/>
      <c r="AJ1121" s="75"/>
      <c r="AK1121" s="75"/>
      <c r="AL1121" s="75"/>
      <c r="AM1121" s="74"/>
      <c r="AN1121" s="72" t="e">
        <f>VLOOKUP(H1121,[4]Planilha1!A$13:P$314,16,0)</f>
        <v>#N/A</v>
      </c>
    </row>
    <row r="1122" spans="1:40" s="69" customFormat="1" x14ac:dyDescent="0.25">
      <c r="A1122" s="88"/>
      <c r="B1122" s="88"/>
      <c r="C1122" s="70"/>
      <c r="D1122" s="70"/>
      <c r="E1122" s="70"/>
      <c r="F1122" s="70"/>
      <c r="G1122" s="70"/>
      <c r="H1122" s="422"/>
      <c r="I1122" s="422"/>
      <c r="J1122" s="418"/>
      <c r="K1122" s="403"/>
      <c r="L1122" s="73"/>
      <c r="M1122" s="72"/>
      <c r="N1122" s="72"/>
      <c r="O1122" s="72"/>
      <c r="P1122" s="42"/>
      <c r="Q1122" s="42"/>
      <c r="R1122" s="42"/>
      <c r="S1122" s="42"/>
      <c r="T1122" s="42"/>
      <c r="U1122" s="42"/>
      <c r="V1122" s="416"/>
      <c r="W1122" s="42"/>
      <c r="X1122" s="74"/>
      <c r="Y1122" s="74"/>
      <c r="Z1122" s="74"/>
      <c r="AA1122" s="74"/>
      <c r="AB1122" s="74"/>
      <c r="AC1122" s="42"/>
      <c r="AD1122" s="42"/>
      <c r="AE1122" s="42"/>
      <c r="AF1122" s="42"/>
      <c r="AG1122" s="42"/>
      <c r="AH1122" s="42"/>
      <c r="AI1122" s="75"/>
      <c r="AJ1122" s="75"/>
      <c r="AK1122" s="75"/>
      <c r="AL1122" s="75"/>
      <c r="AM1122" s="74"/>
      <c r="AN1122" s="72" t="e">
        <f>VLOOKUP(H1122,[4]Planilha1!A$13:P$314,16,0)</f>
        <v>#N/A</v>
      </c>
    </row>
    <row r="1123" spans="1:40" s="69" customFormat="1" x14ac:dyDescent="0.25">
      <c r="A1123" s="88"/>
      <c r="B1123" s="88"/>
      <c r="C1123" s="70"/>
      <c r="D1123" s="70"/>
      <c r="E1123" s="70"/>
      <c r="F1123" s="70"/>
      <c r="G1123" s="70"/>
      <c r="H1123" s="422"/>
      <c r="I1123" s="422"/>
      <c r="J1123" s="418"/>
      <c r="K1123" s="403"/>
      <c r="L1123" s="73"/>
      <c r="M1123" s="72"/>
      <c r="N1123" s="72"/>
      <c r="O1123" s="72"/>
      <c r="P1123" s="42"/>
      <c r="Q1123" s="42"/>
      <c r="R1123" s="42"/>
      <c r="S1123" s="42"/>
      <c r="T1123" s="42"/>
      <c r="U1123" s="42"/>
      <c r="V1123" s="416"/>
      <c r="W1123" s="42"/>
      <c r="X1123" s="74"/>
      <c r="Y1123" s="74"/>
      <c r="Z1123" s="74"/>
      <c r="AA1123" s="74"/>
      <c r="AB1123" s="74"/>
      <c r="AC1123" s="42"/>
      <c r="AD1123" s="42"/>
      <c r="AE1123" s="42"/>
      <c r="AF1123" s="42"/>
      <c r="AG1123" s="42"/>
      <c r="AH1123" s="42"/>
      <c r="AI1123" s="75"/>
      <c r="AJ1123" s="75"/>
      <c r="AK1123" s="75"/>
      <c r="AL1123" s="75"/>
      <c r="AM1123" s="74"/>
      <c r="AN1123" s="72" t="e">
        <f>VLOOKUP(H1123,[4]Planilha1!A$13:P$314,16,0)</f>
        <v>#N/A</v>
      </c>
    </row>
    <row r="1124" spans="1:40" s="69" customFormat="1" x14ac:dyDescent="0.25">
      <c r="A1124" s="88"/>
      <c r="B1124" s="88"/>
      <c r="C1124" s="70"/>
      <c r="D1124" s="70"/>
      <c r="E1124" s="70"/>
      <c r="F1124" s="70"/>
      <c r="G1124" s="70"/>
      <c r="H1124" s="422"/>
      <c r="I1124" s="422"/>
      <c r="J1124" s="418"/>
      <c r="K1124" s="403"/>
      <c r="L1124" s="73"/>
      <c r="M1124" s="72"/>
      <c r="N1124" s="72"/>
      <c r="O1124" s="72"/>
      <c r="P1124" s="42"/>
      <c r="Q1124" s="42"/>
      <c r="R1124" s="42"/>
      <c r="S1124" s="42"/>
      <c r="T1124" s="42"/>
      <c r="U1124" s="42"/>
      <c r="V1124" s="416"/>
      <c r="W1124" s="42"/>
      <c r="X1124" s="74"/>
      <c r="Y1124" s="74"/>
      <c r="Z1124" s="74"/>
      <c r="AA1124" s="74"/>
      <c r="AB1124" s="74"/>
      <c r="AC1124" s="42"/>
      <c r="AD1124" s="42"/>
      <c r="AE1124" s="42"/>
      <c r="AF1124" s="42"/>
      <c r="AG1124" s="42"/>
      <c r="AH1124" s="42"/>
      <c r="AI1124" s="75"/>
      <c r="AJ1124" s="75"/>
      <c r="AK1124" s="75"/>
      <c r="AL1124" s="75"/>
      <c r="AM1124" s="74"/>
      <c r="AN1124" s="72" t="e">
        <f>VLOOKUP(H1124,[4]Planilha1!A$13:P$314,16,0)</f>
        <v>#N/A</v>
      </c>
    </row>
    <row r="1125" spans="1:40" s="69" customFormat="1" x14ac:dyDescent="0.25">
      <c r="A1125" s="88"/>
      <c r="B1125" s="88"/>
      <c r="C1125" s="70"/>
      <c r="D1125" s="70"/>
      <c r="E1125" s="70"/>
      <c r="F1125" s="70"/>
      <c r="G1125" s="70"/>
      <c r="H1125" s="422"/>
      <c r="I1125" s="422"/>
      <c r="J1125" s="418"/>
      <c r="K1125" s="403"/>
      <c r="L1125" s="73"/>
      <c r="M1125" s="72"/>
      <c r="N1125" s="72"/>
      <c r="O1125" s="72"/>
      <c r="P1125" s="42"/>
      <c r="Q1125" s="42"/>
      <c r="R1125" s="42"/>
      <c r="S1125" s="42"/>
      <c r="T1125" s="42"/>
      <c r="U1125" s="42"/>
      <c r="V1125" s="416"/>
      <c r="W1125" s="42"/>
      <c r="X1125" s="74"/>
      <c r="Y1125" s="74"/>
      <c r="Z1125" s="74"/>
      <c r="AA1125" s="74"/>
      <c r="AB1125" s="74"/>
      <c r="AC1125" s="42"/>
      <c r="AD1125" s="42"/>
      <c r="AE1125" s="42"/>
      <c r="AF1125" s="42"/>
      <c r="AG1125" s="42"/>
      <c r="AH1125" s="42"/>
      <c r="AI1125" s="75"/>
      <c r="AJ1125" s="75"/>
      <c r="AK1125" s="75"/>
      <c r="AL1125" s="75"/>
      <c r="AM1125" s="74"/>
      <c r="AN1125" s="72" t="e">
        <f>VLOOKUP(H1125,[4]Planilha1!A$13:P$314,16,0)</f>
        <v>#N/A</v>
      </c>
    </row>
    <row r="1126" spans="1:40" s="69" customFormat="1" x14ac:dyDescent="0.25">
      <c r="A1126" s="88"/>
      <c r="B1126" s="88"/>
      <c r="C1126" s="70"/>
      <c r="D1126" s="70"/>
      <c r="E1126" s="70"/>
      <c r="F1126" s="70"/>
      <c r="G1126" s="70"/>
      <c r="H1126" s="422"/>
      <c r="I1126" s="422"/>
      <c r="J1126" s="418"/>
      <c r="K1126" s="403"/>
      <c r="L1126" s="73"/>
      <c r="M1126" s="72"/>
      <c r="N1126" s="72"/>
      <c r="O1126" s="72"/>
      <c r="P1126" s="42"/>
      <c r="Q1126" s="42"/>
      <c r="R1126" s="42"/>
      <c r="S1126" s="42"/>
      <c r="T1126" s="42"/>
      <c r="U1126" s="42"/>
      <c r="V1126" s="416"/>
      <c r="W1126" s="42"/>
      <c r="X1126" s="74"/>
      <c r="Y1126" s="74"/>
      <c r="Z1126" s="74"/>
      <c r="AA1126" s="74"/>
      <c r="AB1126" s="74"/>
      <c r="AC1126" s="42"/>
      <c r="AD1126" s="42"/>
      <c r="AE1126" s="42"/>
      <c r="AF1126" s="42"/>
      <c r="AG1126" s="42"/>
      <c r="AH1126" s="42"/>
      <c r="AI1126" s="75"/>
      <c r="AJ1126" s="75"/>
      <c r="AK1126" s="75"/>
      <c r="AL1126" s="75"/>
      <c r="AM1126" s="74"/>
      <c r="AN1126" s="72" t="e">
        <f>VLOOKUP(H1126,[4]Planilha1!A$13:P$314,16,0)</f>
        <v>#N/A</v>
      </c>
    </row>
    <row r="1127" spans="1:40" s="69" customFormat="1" x14ac:dyDescent="0.25">
      <c r="A1127" s="88"/>
      <c r="B1127" s="88"/>
      <c r="C1127" s="70"/>
      <c r="D1127" s="70"/>
      <c r="E1127" s="70"/>
      <c r="F1127" s="70"/>
      <c r="G1127" s="70"/>
      <c r="H1127" s="422"/>
      <c r="I1127" s="422"/>
      <c r="J1127" s="418"/>
      <c r="K1127" s="403"/>
      <c r="L1127" s="73"/>
      <c r="M1127" s="72"/>
      <c r="N1127" s="72"/>
      <c r="O1127" s="72"/>
      <c r="P1127" s="42"/>
      <c r="Q1127" s="42"/>
      <c r="R1127" s="42"/>
      <c r="S1127" s="42"/>
      <c r="T1127" s="42"/>
      <c r="U1127" s="42"/>
      <c r="V1127" s="416"/>
      <c r="W1127" s="42"/>
      <c r="X1127" s="74"/>
      <c r="Y1127" s="74"/>
      <c r="Z1127" s="74"/>
      <c r="AA1127" s="74"/>
      <c r="AB1127" s="74"/>
      <c r="AC1127" s="42"/>
      <c r="AD1127" s="42"/>
      <c r="AE1127" s="42"/>
      <c r="AF1127" s="42"/>
      <c r="AG1127" s="42"/>
      <c r="AH1127" s="42"/>
      <c r="AI1127" s="75"/>
      <c r="AJ1127" s="75"/>
      <c r="AK1127" s="75"/>
      <c r="AL1127" s="75"/>
      <c r="AM1127" s="74"/>
      <c r="AN1127" s="72" t="e">
        <f>VLOOKUP(H1127,[4]Planilha1!A$13:P$314,16,0)</f>
        <v>#N/A</v>
      </c>
    </row>
    <row r="1128" spans="1:40" s="69" customFormat="1" x14ac:dyDescent="0.25">
      <c r="A1128" s="88"/>
      <c r="B1128" s="88"/>
      <c r="C1128" s="70"/>
      <c r="D1128" s="70"/>
      <c r="E1128" s="70"/>
      <c r="F1128" s="70"/>
      <c r="G1128" s="70"/>
      <c r="H1128" s="422"/>
      <c r="I1128" s="422"/>
      <c r="J1128" s="418"/>
      <c r="K1128" s="403"/>
      <c r="L1128" s="73"/>
      <c r="M1128" s="72"/>
      <c r="N1128" s="72"/>
      <c r="O1128" s="72"/>
      <c r="P1128" s="42"/>
      <c r="Q1128" s="42"/>
      <c r="R1128" s="42"/>
      <c r="S1128" s="42"/>
      <c r="T1128" s="42"/>
      <c r="U1128" s="42"/>
      <c r="V1128" s="416"/>
      <c r="W1128" s="42"/>
      <c r="X1128" s="74"/>
      <c r="Y1128" s="74"/>
      <c r="Z1128" s="74"/>
      <c r="AA1128" s="74"/>
      <c r="AB1128" s="74"/>
      <c r="AC1128" s="42"/>
      <c r="AD1128" s="42"/>
      <c r="AE1128" s="42"/>
      <c r="AF1128" s="42"/>
      <c r="AG1128" s="42"/>
      <c r="AH1128" s="42"/>
      <c r="AI1128" s="75"/>
      <c r="AJ1128" s="75"/>
      <c r="AK1128" s="75"/>
      <c r="AL1128" s="75"/>
      <c r="AM1128" s="74"/>
      <c r="AN1128" s="72" t="e">
        <f>VLOOKUP(H1128,[4]Planilha1!A$13:P$314,16,0)</f>
        <v>#N/A</v>
      </c>
    </row>
    <row r="1129" spans="1:40" s="69" customFormat="1" x14ac:dyDescent="0.25">
      <c r="A1129" s="88"/>
      <c r="B1129" s="88"/>
      <c r="C1129" s="70"/>
      <c r="D1129" s="70"/>
      <c r="E1129" s="70"/>
      <c r="F1129" s="70"/>
      <c r="G1129" s="70"/>
      <c r="H1129" s="422"/>
      <c r="I1129" s="422"/>
      <c r="J1129" s="418"/>
      <c r="K1129" s="403"/>
      <c r="L1129" s="73"/>
      <c r="M1129" s="72"/>
      <c r="N1129" s="72"/>
      <c r="O1129" s="72"/>
      <c r="P1129" s="42"/>
      <c r="Q1129" s="42"/>
      <c r="R1129" s="42"/>
      <c r="S1129" s="42"/>
      <c r="T1129" s="42"/>
      <c r="U1129" s="42"/>
      <c r="V1129" s="416"/>
      <c r="W1129" s="42"/>
      <c r="X1129" s="74"/>
      <c r="Y1129" s="74"/>
      <c r="Z1129" s="74"/>
      <c r="AA1129" s="74"/>
      <c r="AB1129" s="74"/>
      <c r="AC1129" s="42"/>
      <c r="AD1129" s="42"/>
      <c r="AE1129" s="42"/>
      <c r="AF1129" s="42"/>
      <c r="AG1129" s="42"/>
      <c r="AH1129" s="42"/>
      <c r="AI1129" s="75"/>
      <c r="AJ1129" s="75"/>
      <c r="AK1129" s="75"/>
      <c r="AL1129" s="75"/>
      <c r="AM1129" s="74"/>
      <c r="AN1129" s="72" t="e">
        <f>VLOOKUP(H1129,[4]Planilha1!A$13:P$314,16,0)</f>
        <v>#N/A</v>
      </c>
    </row>
    <row r="1130" spans="1:40" s="69" customFormat="1" x14ac:dyDescent="0.25">
      <c r="A1130" s="88"/>
      <c r="B1130" s="88"/>
      <c r="C1130" s="70"/>
      <c r="D1130" s="70"/>
      <c r="E1130" s="70"/>
      <c r="F1130" s="70"/>
      <c r="G1130" s="70"/>
      <c r="H1130" s="422"/>
      <c r="I1130" s="422"/>
      <c r="J1130" s="418"/>
      <c r="K1130" s="403"/>
      <c r="L1130" s="73"/>
      <c r="M1130" s="72"/>
      <c r="N1130" s="72"/>
      <c r="O1130" s="72"/>
      <c r="P1130" s="42"/>
      <c r="Q1130" s="42"/>
      <c r="R1130" s="42"/>
      <c r="S1130" s="42"/>
      <c r="T1130" s="42"/>
      <c r="U1130" s="42"/>
      <c r="V1130" s="416"/>
      <c r="W1130" s="42"/>
      <c r="X1130" s="74"/>
      <c r="Y1130" s="74"/>
      <c r="Z1130" s="74"/>
      <c r="AA1130" s="74"/>
      <c r="AB1130" s="74"/>
      <c r="AC1130" s="42"/>
      <c r="AD1130" s="42"/>
      <c r="AE1130" s="42"/>
      <c r="AF1130" s="42"/>
      <c r="AG1130" s="42"/>
      <c r="AH1130" s="42"/>
      <c r="AI1130" s="75"/>
      <c r="AJ1130" s="75"/>
      <c r="AK1130" s="75"/>
      <c r="AL1130" s="75"/>
      <c r="AM1130" s="74"/>
      <c r="AN1130" s="72" t="e">
        <f>VLOOKUP(H1130,[4]Planilha1!A$13:P$314,16,0)</f>
        <v>#N/A</v>
      </c>
    </row>
    <row r="1131" spans="1:40" s="69" customFormat="1" x14ac:dyDescent="0.25">
      <c r="A1131" s="88"/>
      <c r="B1131" s="88"/>
      <c r="C1131" s="70"/>
      <c r="D1131" s="70"/>
      <c r="E1131" s="70"/>
      <c r="F1131" s="70"/>
      <c r="G1131" s="70"/>
      <c r="H1131" s="422"/>
      <c r="I1131" s="422"/>
      <c r="J1131" s="418"/>
      <c r="K1131" s="403"/>
      <c r="L1131" s="73"/>
      <c r="M1131" s="72"/>
      <c r="N1131" s="72"/>
      <c r="O1131" s="72"/>
      <c r="P1131" s="42"/>
      <c r="Q1131" s="42"/>
      <c r="R1131" s="42"/>
      <c r="S1131" s="42"/>
      <c r="T1131" s="42"/>
      <c r="U1131" s="42"/>
      <c r="V1131" s="416"/>
      <c r="W1131" s="42"/>
      <c r="X1131" s="74"/>
      <c r="Y1131" s="74"/>
      <c r="Z1131" s="74"/>
      <c r="AA1131" s="74"/>
      <c r="AB1131" s="74"/>
      <c r="AC1131" s="42"/>
      <c r="AD1131" s="42"/>
      <c r="AE1131" s="42"/>
      <c r="AF1131" s="42"/>
      <c r="AG1131" s="42"/>
      <c r="AH1131" s="42"/>
      <c r="AI1131" s="75"/>
      <c r="AJ1131" s="75"/>
      <c r="AK1131" s="75"/>
      <c r="AL1131" s="75"/>
      <c r="AM1131" s="74"/>
      <c r="AN1131" s="72" t="e">
        <f>VLOOKUP(H1131,[4]Planilha1!A$13:P$314,16,0)</f>
        <v>#N/A</v>
      </c>
    </row>
    <row r="1132" spans="1:40" s="69" customFormat="1" x14ac:dyDescent="0.25">
      <c r="A1132" s="88"/>
      <c r="B1132" s="88"/>
      <c r="C1132" s="70"/>
      <c r="D1132" s="70"/>
      <c r="E1132" s="70"/>
      <c r="F1132" s="70"/>
      <c r="G1132" s="70"/>
      <c r="H1132" s="422"/>
      <c r="I1132" s="422"/>
      <c r="J1132" s="418"/>
      <c r="K1132" s="403"/>
      <c r="L1132" s="73"/>
      <c r="M1132" s="72"/>
      <c r="N1132" s="72"/>
      <c r="O1132" s="72"/>
      <c r="P1132" s="42"/>
      <c r="Q1132" s="42"/>
      <c r="R1132" s="42"/>
      <c r="S1132" s="42"/>
      <c r="T1132" s="42"/>
      <c r="U1132" s="42"/>
      <c r="V1132" s="416"/>
      <c r="W1132" s="42"/>
      <c r="X1132" s="74"/>
      <c r="Y1132" s="74"/>
      <c r="Z1132" s="74"/>
      <c r="AA1132" s="74"/>
      <c r="AB1132" s="74"/>
      <c r="AC1132" s="42"/>
      <c r="AD1132" s="42"/>
      <c r="AE1132" s="42"/>
      <c r="AF1132" s="42"/>
      <c r="AG1132" s="42"/>
      <c r="AH1132" s="42"/>
      <c r="AI1132" s="75"/>
      <c r="AJ1132" s="75"/>
      <c r="AK1132" s="75"/>
      <c r="AL1132" s="75"/>
      <c r="AM1132" s="74"/>
      <c r="AN1132" s="72" t="e">
        <f>VLOOKUP(H1132,[4]Planilha1!A$13:P$314,16,0)</f>
        <v>#N/A</v>
      </c>
    </row>
    <row r="1133" spans="1:40" s="69" customFormat="1" x14ac:dyDescent="0.25">
      <c r="A1133" s="88"/>
      <c r="B1133" s="88"/>
      <c r="C1133" s="70"/>
      <c r="D1133" s="70"/>
      <c r="E1133" s="70"/>
      <c r="F1133" s="70"/>
      <c r="G1133" s="70"/>
      <c r="H1133" s="422"/>
      <c r="I1133" s="422"/>
      <c r="J1133" s="418"/>
      <c r="K1133" s="403"/>
      <c r="L1133" s="73"/>
      <c r="M1133" s="72"/>
      <c r="N1133" s="72"/>
      <c r="O1133" s="72"/>
      <c r="P1133" s="42"/>
      <c r="Q1133" s="42"/>
      <c r="R1133" s="42"/>
      <c r="S1133" s="42"/>
      <c r="T1133" s="42"/>
      <c r="U1133" s="42"/>
      <c r="V1133" s="416"/>
      <c r="W1133" s="42"/>
      <c r="X1133" s="74"/>
      <c r="Y1133" s="74"/>
      <c r="Z1133" s="74"/>
      <c r="AA1133" s="74"/>
      <c r="AB1133" s="74"/>
      <c r="AC1133" s="42"/>
      <c r="AD1133" s="42"/>
      <c r="AE1133" s="42"/>
      <c r="AF1133" s="42"/>
      <c r="AG1133" s="42"/>
      <c r="AH1133" s="42"/>
      <c r="AI1133" s="75"/>
      <c r="AJ1133" s="75"/>
      <c r="AK1133" s="75"/>
      <c r="AL1133" s="75"/>
      <c r="AM1133" s="74"/>
      <c r="AN1133" s="72" t="e">
        <f>VLOOKUP(H1133,[4]Planilha1!A$13:P$314,16,0)</f>
        <v>#N/A</v>
      </c>
    </row>
    <row r="1134" spans="1:40" s="69" customFormat="1" x14ac:dyDescent="0.25">
      <c r="A1134" s="88"/>
      <c r="B1134" s="88"/>
      <c r="C1134" s="70"/>
      <c r="D1134" s="70"/>
      <c r="E1134" s="70"/>
      <c r="F1134" s="70"/>
      <c r="G1134" s="70"/>
      <c r="H1134" s="422"/>
      <c r="I1134" s="422"/>
      <c r="J1134" s="418"/>
      <c r="K1134" s="403"/>
      <c r="L1134" s="73"/>
      <c r="M1134" s="72"/>
      <c r="N1134" s="72"/>
      <c r="O1134" s="72"/>
      <c r="P1134" s="42"/>
      <c r="Q1134" s="42"/>
      <c r="R1134" s="42"/>
      <c r="S1134" s="42"/>
      <c r="T1134" s="42"/>
      <c r="U1134" s="42"/>
      <c r="V1134" s="416"/>
      <c r="W1134" s="42"/>
      <c r="X1134" s="74"/>
      <c r="Y1134" s="74"/>
      <c r="Z1134" s="74"/>
      <c r="AA1134" s="74"/>
      <c r="AB1134" s="74"/>
      <c r="AC1134" s="42"/>
      <c r="AD1134" s="42"/>
      <c r="AE1134" s="42"/>
      <c r="AF1134" s="42"/>
      <c r="AG1134" s="42"/>
      <c r="AH1134" s="42"/>
      <c r="AI1134" s="75"/>
      <c r="AJ1134" s="75"/>
      <c r="AK1134" s="75"/>
      <c r="AL1134" s="75"/>
      <c r="AM1134" s="74"/>
      <c r="AN1134" s="72" t="e">
        <f>VLOOKUP(H1134,[4]Planilha1!A$13:P$314,16,0)</f>
        <v>#N/A</v>
      </c>
    </row>
    <row r="1135" spans="1:40" s="69" customFormat="1" x14ac:dyDescent="0.25">
      <c r="A1135" s="88"/>
      <c r="B1135" s="88"/>
      <c r="C1135" s="70"/>
      <c r="D1135" s="70"/>
      <c r="E1135" s="70"/>
      <c r="F1135" s="70"/>
      <c r="G1135" s="70"/>
      <c r="H1135" s="422"/>
      <c r="I1135" s="422"/>
      <c r="J1135" s="418"/>
      <c r="K1135" s="403"/>
      <c r="L1135" s="73"/>
      <c r="M1135" s="72"/>
      <c r="N1135" s="72"/>
      <c r="O1135" s="72"/>
      <c r="P1135" s="42"/>
      <c r="Q1135" s="42"/>
      <c r="R1135" s="42"/>
      <c r="S1135" s="42"/>
      <c r="T1135" s="42"/>
      <c r="U1135" s="42"/>
      <c r="V1135" s="416"/>
      <c r="W1135" s="42"/>
      <c r="X1135" s="74"/>
      <c r="Y1135" s="74"/>
      <c r="Z1135" s="74"/>
      <c r="AA1135" s="74"/>
      <c r="AB1135" s="74"/>
      <c r="AC1135" s="42"/>
      <c r="AD1135" s="42"/>
      <c r="AE1135" s="42"/>
      <c r="AF1135" s="42"/>
      <c r="AG1135" s="42"/>
      <c r="AH1135" s="42"/>
      <c r="AI1135" s="75"/>
      <c r="AJ1135" s="75"/>
      <c r="AK1135" s="75"/>
      <c r="AL1135" s="75"/>
      <c r="AM1135" s="74"/>
      <c r="AN1135" s="72" t="e">
        <f>VLOOKUP(H1135,[4]Planilha1!A$13:P$314,16,0)</f>
        <v>#N/A</v>
      </c>
    </row>
    <row r="1136" spans="1:40" s="69" customFormat="1" x14ac:dyDescent="0.25">
      <c r="A1136" s="88"/>
      <c r="B1136" s="88"/>
      <c r="C1136" s="70"/>
      <c r="D1136" s="70"/>
      <c r="E1136" s="70"/>
      <c r="F1136" s="70"/>
      <c r="G1136" s="70"/>
      <c r="H1136" s="422"/>
      <c r="I1136" s="422"/>
      <c r="J1136" s="418"/>
      <c r="K1136" s="403"/>
      <c r="L1136" s="73"/>
      <c r="M1136" s="72"/>
      <c r="N1136" s="72"/>
      <c r="O1136" s="72"/>
      <c r="P1136" s="42"/>
      <c r="Q1136" s="42"/>
      <c r="R1136" s="42"/>
      <c r="S1136" s="42"/>
      <c r="T1136" s="42"/>
      <c r="U1136" s="42"/>
      <c r="V1136" s="416"/>
      <c r="W1136" s="42"/>
      <c r="X1136" s="74"/>
      <c r="Y1136" s="74"/>
      <c r="Z1136" s="74"/>
      <c r="AA1136" s="74"/>
      <c r="AB1136" s="74"/>
      <c r="AC1136" s="42"/>
      <c r="AD1136" s="42"/>
      <c r="AE1136" s="42"/>
      <c r="AF1136" s="42"/>
      <c r="AG1136" s="42"/>
      <c r="AH1136" s="42"/>
      <c r="AI1136" s="75"/>
      <c r="AJ1136" s="75"/>
      <c r="AK1136" s="75"/>
      <c r="AL1136" s="75"/>
      <c r="AM1136" s="74"/>
      <c r="AN1136" s="72" t="e">
        <f>VLOOKUP(H1136,[4]Planilha1!A$13:P$314,16,0)</f>
        <v>#N/A</v>
      </c>
    </row>
    <row r="1137" spans="1:40" s="69" customFormat="1" x14ac:dyDescent="0.25">
      <c r="A1137" s="88"/>
      <c r="B1137" s="88"/>
      <c r="C1137" s="70"/>
      <c r="D1137" s="70"/>
      <c r="E1137" s="70"/>
      <c r="F1137" s="70"/>
      <c r="G1137" s="70"/>
      <c r="H1137" s="422"/>
      <c r="I1137" s="422"/>
      <c r="J1137" s="418"/>
      <c r="K1137" s="403"/>
      <c r="L1137" s="73"/>
      <c r="M1137" s="72"/>
      <c r="N1137" s="72"/>
      <c r="O1137" s="72"/>
      <c r="P1137" s="42"/>
      <c r="Q1137" s="42"/>
      <c r="R1137" s="42"/>
      <c r="S1137" s="42"/>
      <c r="T1137" s="42"/>
      <c r="U1137" s="42"/>
      <c r="V1137" s="416"/>
      <c r="W1137" s="42"/>
      <c r="X1137" s="74"/>
      <c r="Y1137" s="74"/>
      <c r="Z1137" s="74"/>
      <c r="AA1137" s="74"/>
      <c r="AB1137" s="74"/>
      <c r="AC1137" s="42"/>
      <c r="AD1137" s="42"/>
      <c r="AE1137" s="42"/>
      <c r="AF1137" s="42"/>
      <c r="AG1137" s="42"/>
      <c r="AH1137" s="42"/>
      <c r="AI1137" s="75"/>
      <c r="AJ1137" s="75"/>
      <c r="AK1137" s="75"/>
      <c r="AL1137" s="75"/>
      <c r="AM1137" s="74"/>
      <c r="AN1137" s="72" t="e">
        <f>VLOOKUP(H1137,[4]Planilha1!A$13:P$314,16,0)</f>
        <v>#N/A</v>
      </c>
    </row>
    <row r="1138" spans="1:40" s="69" customFormat="1" x14ac:dyDescent="0.25">
      <c r="A1138" s="88"/>
      <c r="B1138" s="88"/>
      <c r="C1138" s="70"/>
      <c r="D1138" s="70"/>
      <c r="E1138" s="70"/>
      <c r="F1138" s="70"/>
      <c r="G1138" s="70"/>
      <c r="H1138" s="422"/>
      <c r="I1138" s="422"/>
      <c r="J1138" s="418"/>
      <c r="K1138" s="403"/>
      <c r="L1138" s="73"/>
      <c r="M1138" s="72"/>
      <c r="N1138" s="72"/>
      <c r="O1138" s="72"/>
      <c r="P1138" s="42"/>
      <c r="Q1138" s="42"/>
      <c r="R1138" s="42"/>
      <c r="S1138" s="42"/>
      <c r="T1138" s="42"/>
      <c r="U1138" s="42"/>
      <c r="V1138" s="416"/>
      <c r="W1138" s="42"/>
      <c r="X1138" s="74"/>
      <c r="Y1138" s="74"/>
      <c r="Z1138" s="74"/>
      <c r="AA1138" s="74"/>
      <c r="AB1138" s="74"/>
      <c r="AC1138" s="42"/>
      <c r="AD1138" s="42"/>
      <c r="AE1138" s="42"/>
      <c r="AF1138" s="42"/>
      <c r="AG1138" s="42"/>
      <c r="AH1138" s="42"/>
      <c r="AI1138" s="75"/>
      <c r="AJ1138" s="75"/>
      <c r="AK1138" s="75"/>
      <c r="AL1138" s="75"/>
      <c r="AM1138" s="74"/>
      <c r="AN1138" s="72" t="e">
        <f>VLOOKUP(H1138,[4]Planilha1!A$13:P$314,16,0)</f>
        <v>#N/A</v>
      </c>
    </row>
    <row r="1139" spans="1:40" s="69" customFormat="1" x14ac:dyDescent="0.25">
      <c r="A1139" s="88"/>
      <c r="B1139" s="88"/>
      <c r="C1139" s="70"/>
      <c r="D1139" s="70"/>
      <c r="E1139" s="70"/>
      <c r="F1139" s="70"/>
      <c r="G1139" s="70"/>
      <c r="H1139" s="422"/>
      <c r="I1139" s="422"/>
      <c r="J1139" s="418"/>
      <c r="K1139" s="403"/>
      <c r="L1139" s="73"/>
      <c r="M1139" s="72"/>
      <c r="N1139" s="72"/>
      <c r="O1139" s="72"/>
      <c r="P1139" s="42"/>
      <c r="Q1139" s="42"/>
      <c r="R1139" s="42"/>
      <c r="S1139" s="42"/>
      <c r="T1139" s="42"/>
      <c r="U1139" s="42"/>
      <c r="V1139" s="416"/>
      <c r="W1139" s="42"/>
      <c r="X1139" s="74"/>
      <c r="Y1139" s="74"/>
      <c r="Z1139" s="74"/>
      <c r="AA1139" s="74"/>
      <c r="AB1139" s="74"/>
      <c r="AC1139" s="42"/>
      <c r="AD1139" s="42"/>
      <c r="AE1139" s="42"/>
      <c r="AF1139" s="42"/>
      <c r="AG1139" s="42"/>
      <c r="AH1139" s="42"/>
      <c r="AI1139" s="75"/>
      <c r="AJ1139" s="75"/>
      <c r="AK1139" s="75"/>
      <c r="AL1139" s="75"/>
      <c r="AM1139" s="74"/>
      <c r="AN1139" s="72" t="e">
        <f>VLOOKUP(H1139,[4]Planilha1!A$13:P$314,16,0)</f>
        <v>#N/A</v>
      </c>
    </row>
    <row r="1140" spans="1:40" s="69" customFormat="1" x14ac:dyDescent="0.25">
      <c r="A1140" s="88"/>
      <c r="B1140" s="88"/>
      <c r="C1140" s="70"/>
      <c r="D1140" s="70"/>
      <c r="E1140" s="70"/>
      <c r="F1140" s="70"/>
      <c r="G1140" s="70"/>
      <c r="H1140" s="422"/>
      <c r="I1140" s="422"/>
      <c r="J1140" s="418"/>
      <c r="K1140" s="403"/>
      <c r="L1140" s="73"/>
      <c r="M1140" s="72"/>
      <c r="N1140" s="72"/>
      <c r="O1140" s="72"/>
      <c r="P1140" s="42"/>
      <c r="Q1140" s="42"/>
      <c r="R1140" s="42"/>
      <c r="S1140" s="42"/>
      <c r="T1140" s="42"/>
      <c r="U1140" s="42"/>
      <c r="V1140" s="416"/>
      <c r="W1140" s="42"/>
      <c r="X1140" s="74"/>
      <c r="Y1140" s="74"/>
      <c r="Z1140" s="74"/>
      <c r="AA1140" s="74"/>
      <c r="AB1140" s="74"/>
      <c r="AC1140" s="42"/>
      <c r="AD1140" s="42"/>
      <c r="AE1140" s="42"/>
      <c r="AF1140" s="42"/>
      <c r="AG1140" s="42"/>
      <c r="AH1140" s="42"/>
      <c r="AI1140" s="75"/>
      <c r="AJ1140" s="75"/>
      <c r="AK1140" s="75"/>
      <c r="AL1140" s="75"/>
      <c r="AM1140" s="74"/>
      <c r="AN1140" s="72" t="e">
        <f>VLOOKUP(H1140,[4]Planilha1!A$13:P$314,16,0)</f>
        <v>#N/A</v>
      </c>
    </row>
    <row r="1141" spans="1:40" s="69" customFormat="1" x14ac:dyDescent="0.25">
      <c r="A1141" s="88"/>
      <c r="B1141" s="88"/>
      <c r="C1141" s="70"/>
      <c r="D1141" s="70"/>
      <c r="E1141" s="70"/>
      <c r="F1141" s="70"/>
      <c r="G1141" s="70"/>
      <c r="H1141" s="422"/>
      <c r="I1141" s="422"/>
      <c r="J1141" s="418"/>
      <c r="K1141" s="403"/>
      <c r="L1141" s="73"/>
      <c r="M1141" s="72"/>
      <c r="N1141" s="72"/>
      <c r="O1141" s="72"/>
      <c r="P1141" s="42"/>
      <c r="Q1141" s="42"/>
      <c r="R1141" s="42"/>
      <c r="S1141" s="42"/>
      <c r="T1141" s="42"/>
      <c r="U1141" s="42"/>
      <c r="V1141" s="416"/>
      <c r="W1141" s="42"/>
      <c r="X1141" s="74"/>
      <c r="Y1141" s="74"/>
      <c r="Z1141" s="74"/>
      <c r="AA1141" s="74"/>
      <c r="AB1141" s="74"/>
      <c r="AC1141" s="42"/>
      <c r="AD1141" s="42"/>
      <c r="AE1141" s="42"/>
      <c r="AF1141" s="42"/>
      <c r="AG1141" s="42"/>
      <c r="AH1141" s="42"/>
      <c r="AI1141" s="75"/>
      <c r="AJ1141" s="75"/>
      <c r="AK1141" s="75"/>
      <c r="AL1141" s="75"/>
      <c r="AM1141" s="74"/>
      <c r="AN1141" s="72" t="e">
        <f>VLOOKUP(H1141,[4]Planilha1!A$13:P$314,16,0)</f>
        <v>#N/A</v>
      </c>
    </row>
    <row r="1142" spans="1:40" s="69" customFormat="1" x14ac:dyDescent="0.25">
      <c r="A1142" s="88"/>
      <c r="B1142" s="88"/>
      <c r="C1142" s="70"/>
      <c r="D1142" s="70"/>
      <c r="E1142" s="70"/>
      <c r="F1142" s="70"/>
      <c r="G1142" s="70"/>
      <c r="H1142" s="422"/>
      <c r="I1142" s="422"/>
      <c r="J1142" s="418"/>
      <c r="K1142" s="403"/>
      <c r="L1142" s="73"/>
      <c r="M1142" s="72"/>
      <c r="N1142" s="72"/>
      <c r="O1142" s="72"/>
      <c r="P1142" s="42"/>
      <c r="Q1142" s="42"/>
      <c r="R1142" s="42"/>
      <c r="S1142" s="42"/>
      <c r="T1142" s="42"/>
      <c r="U1142" s="42"/>
      <c r="V1142" s="416"/>
      <c r="W1142" s="42"/>
      <c r="X1142" s="74"/>
      <c r="Y1142" s="74"/>
      <c r="Z1142" s="74"/>
      <c r="AA1142" s="74"/>
      <c r="AB1142" s="74"/>
      <c r="AC1142" s="42"/>
      <c r="AD1142" s="42"/>
      <c r="AE1142" s="42"/>
      <c r="AF1142" s="42"/>
      <c r="AG1142" s="42"/>
      <c r="AH1142" s="42"/>
      <c r="AI1142" s="75"/>
      <c r="AJ1142" s="75"/>
      <c r="AK1142" s="75"/>
      <c r="AL1142" s="75"/>
      <c r="AM1142" s="74"/>
      <c r="AN1142" s="72" t="e">
        <f>VLOOKUP(H1142,[4]Planilha1!A$13:P$314,16,0)</f>
        <v>#N/A</v>
      </c>
    </row>
    <row r="1143" spans="1:40" s="69" customFormat="1" x14ac:dyDescent="0.25">
      <c r="A1143" s="88"/>
      <c r="B1143" s="88"/>
      <c r="C1143" s="70"/>
      <c r="D1143" s="70"/>
      <c r="E1143" s="70"/>
      <c r="F1143" s="70"/>
      <c r="G1143" s="70"/>
      <c r="H1143" s="422"/>
      <c r="I1143" s="422"/>
      <c r="J1143" s="418"/>
      <c r="K1143" s="403"/>
      <c r="L1143" s="73"/>
      <c r="M1143" s="72"/>
      <c r="N1143" s="72"/>
      <c r="O1143" s="72"/>
      <c r="P1143" s="42"/>
      <c r="Q1143" s="42"/>
      <c r="R1143" s="42"/>
      <c r="S1143" s="42"/>
      <c r="T1143" s="42"/>
      <c r="U1143" s="42"/>
      <c r="V1143" s="416"/>
      <c r="W1143" s="42"/>
      <c r="X1143" s="74"/>
      <c r="Y1143" s="74"/>
      <c r="Z1143" s="74"/>
      <c r="AA1143" s="74"/>
      <c r="AB1143" s="74"/>
      <c r="AC1143" s="42"/>
      <c r="AD1143" s="42"/>
      <c r="AE1143" s="42"/>
      <c r="AF1143" s="42"/>
      <c r="AG1143" s="42"/>
      <c r="AH1143" s="42"/>
      <c r="AI1143" s="75"/>
      <c r="AJ1143" s="75"/>
      <c r="AK1143" s="75"/>
      <c r="AL1143" s="75"/>
      <c r="AM1143" s="74"/>
      <c r="AN1143" s="72" t="e">
        <f>VLOOKUP(H1143,[4]Planilha1!A$13:P$314,16,0)</f>
        <v>#N/A</v>
      </c>
    </row>
    <row r="1144" spans="1:40" s="69" customFormat="1" x14ac:dyDescent="0.25">
      <c r="A1144" s="88"/>
      <c r="B1144" s="88"/>
      <c r="C1144" s="70"/>
      <c r="D1144" s="70"/>
      <c r="E1144" s="70"/>
      <c r="F1144" s="70"/>
      <c r="G1144" s="70"/>
      <c r="H1144" s="422"/>
      <c r="I1144" s="422"/>
      <c r="J1144" s="418"/>
      <c r="K1144" s="403"/>
      <c r="L1144" s="73"/>
      <c r="M1144" s="72"/>
      <c r="N1144" s="72"/>
      <c r="O1144" s="72"/>
      <c r="P1144" s="42"/>
      <c r="Q1144" s="42"/>
      <c r="R1144" s="42"/>
      <c r="S1144" s="42"/>
      <c r="T1144" s="42"/>
      <c r="U1144" s="42"/>
      <c r="V1144" s="416"/>
      <c r="W1144" s="42"/>
      <c r="X1144" s="74"/>
      <c r="Y1144" s="74"/>
      <c r="Z1144" s="74"/>
      <c r="AA1144" s="74"/>
      <c r="AB1144" s="74"/>
      <c r="AC1144" s="42"/>
      <c r="AD1144" s="42"/>
      <c r="AE1144" s="42"/>
      <c r="AF1144" s="42"/>
      <c r="AG1144" s="42"/>
      <c r="AH1144" s="42"/>
      <c r="AI1144" s="75"/>
      <c r="AJ1144" s="75"/>
      <c r="AK1144" s="75"/>
      <c r="AL1144" s="75"/>
      <c r="AM1144" s="74"/>
      <c r="AN1144" s="72" t="e">
        <f>VLOOKUP(H1144,[4]Planilha1!A$13:P$314,16,0)</f>
        <v>#N/A</v>
      </c>
    </row>
    <row r="1145" spans="1:40" s="69" customFormat="1" x14ac:dyDescent="0.25">
      <c r="A1145" s="88"/>
      <c r="B1145" s="88"/>
      <c r="C1145" s="70"/>
      <c r="D1145" s="70"/>
      <c r="E1145" s="70"/>
      <c r="F1145" s="70"/>
      <c r="G1145" s="70"/>
      <c r="H1145" s="422"/>
      <c r="I1145" s="422"/>
      <c r="J1145" s="418"/>
      <c r="K1145" s="403"/>
      <c r="L1145" s="73"/>
      <c r="M1145" s="72"/>
      <c r="N1145" s="72"/>
      <c r="O1145" s="72"/>
      <c r="P1145" s="42"/>
      <c r="Q1145" s="42"/>
      <c r="R1145" s="42"/>
      <c r="S1145" s="42"/>
      <c r="T1145" s="42"/>
      <c r="U1145" s="42"/>
      <c r="V1145" s="416"/>
      <c r="W1145" s="42"/>
      <c r="X1145" s="74"/>
      <c r="Y1145" s="74"/>
      <c r="Z1145" s="74"/>
      <c r="AA1145" s="74"/>
      <c r="AB1145" s="74"/>
      <c r="AC1145" s="42"/>
      <c r="AD1145" s="42"/>
      <c r="AE1145" s="42"/>
      <c r="AF1145" s="42"/>
      <c r="AG1145" s="42"/>
      <c r="AH1145" s="42"/>
      <c r="AI1145" s="75"/>
      <c r="AJ1145" s="75"/>
      <c r="AK1145" s="75"/>
      <c r="AL1145" s="75"/>
      <c r="AM1145" s="74"/>
      <c r="AN1145" s="72" t="e">
        <f>VLOOKUP(H1145,[4]Planilha1!A$13:P$314,16,0)</f>
        <v>#N/A</v>
      </c>
    </row>
    <row r="1146" spans="1:40" s="69" customFormat="1" x14ac:dyDescent="0.25">
      <c r="A1146" s="88"/>
      <c r="B1146" s="88"/>
      <c r="C1146" s="70"/>
      <c r="D1146" s="70"/>
      <c r="E1146" s="70"/>
      <c r="F1146" s="70"/>
      <c r="G1146" s="70"/>
      <c r="H1146" s="422"/>
      <c r="I1146" s="422"/>
      <c r="J1146" s="418"/>
      <c r="K1146" s="403"/>
      <c r="L1146" s="73"/>
      <c r="M1146" s="72"/>
      <c r="N1146" s="72"/>
      <c r="O1146" s="72"/>
      <c r="P1146" s="42"/>
      <c r="Q1146" s="42"/>
      <c r="R1146" s="42"/>
      <c r="S1146" s="42"/>
      <c r="T1146" s="42"/>
      <c r="U1146" s="42"/>
      <c r="V1146" s="416"/>
      <c r="W1146" s="42"/>
      <c r="X1146" s="74"/>
      <c r="Y1146" s="74"/>
      <c r="Z1146" s="74"/>
      <c r="AA1146" s="74"/>
      <c r="AB1146" s="74"/>
      <c r="AC1146" s="42"/>
      <c r="AD1146" s="42"/>
      <c r="AE1146" s="42"/>
      <c r="AF1146" s="42"/>
      <c r="AG1146" s="42"/>
      <c r="AH1146" s="42"/>
      <c r="AI1146" s="75"/>
      <c r="AJ1146" s="75"/>
      <c r="AK1146" s="75"/>
      <c r="AL1146" s="75"/>
      <c r="AM1146" s="74"/>
      <c r="AN1146" s="72" t="e">
        <f>VLOOKUP(H1146,[4]Planilha1!A$13:P$314,16,0)</f>
        <v>#N/A</v>
      </c>
    </row>
    <row r="1147" spans="1:40" s="69" customFormat="1" x14ac:dyDescent="0.25">
      <c r="A1147" s="88"/>
      <c r="B1147" s="88"/>
      <c r="C1147" s="70"/>
      <c r="D1147" s="70"/>
      <c r="E1147" s="70"/>
      <c r="F1147" s="70"/>
      <c r="G1147" s="70"/>
      <c r="H1147" s="422"/>
      <c r="I1147" s="422"/>
      <c r="J1147" s="418"/>
      <c r="K1147" s="403"/>
      <c r="L1147" s="73"/>
      <c r="M1147" s="72"/>
      <c r="N1147" s="72"/>
      <c r="O1147" s="72"/>
      <c r="P1147" s="42"/>
      <c r="Q1147" s="42"/>
      <c r="R1147" s="42"/>
      <c r="S1147" s="42"/>
      <c r="T1147" s="42"/>
      <c r="U1147" s="42"/>
      <c r="V1147" s="416"/>
      <c r="W1147" s="42"/>
      <c r="X1147" s="74"/>
      <c r="Y1147" s="74"/>
      <c r="Z1147" s="74"/>
      <c r="AA1147" s="74"/>
      <c r="AB1147" s="74"/>
      <c r="AC1147" s="42"/>
      <c r="AD1147" s="42"/>
      <c r="AE1147" s="42"/>
      <c r="AF1147" s="42"/>
      <c r="AG1147" s="42"/>
      <c r="AH1147" s="42"/>
      <c r="AI1147" s="75"/>
      <c r="AJ1147" s="75"/>
      <c r="AK1147" s="75"/>
      <c r="AL1147" s="75"/>
      <c r="AM1147" s="74"/>
      <c r="AN1147" s="72" t="e">
        <f>VLOOKUP(H1147,[4]Planilha1!A$13:P$314,16,0)</f>
        <v>#N/A</v>
      </c>
    </row>
    <row r="1148" spans="1:40" s="69" customFormat="1" x14ac:dyDescent="0.25">
      <c r="A1148" s="88"/>
      <c r="B1148" s="88"/>
      <c r="C1148" s="70"/>
      <c r="D1148" s="70"/>
      <c r="E1148" s="70"/>
      <c r="F1148" s="70"/>
      <c r="G1148" s="70"/>
      <c r="H1148" s="422"/>
      <c r="I1148" s="422"/>
      <c r="J1148" s="418"/>
      <c r="K1148" s="403"/>
      <c r="L1148" s="73"/>
      <c r="M1148" s="72"/>
      <c r="N1148" s="72"/>
      <c r="O1148" s="72"/>
      <c r="P1148" s="42"/>
      <c r="Q1148" s="42"/>
      <c r="R1148" s="42"/>
      <c r="S1148" s="42"/>
      <c r="T1148" s="42"/>
      <c r="U1148" s="42"/>
      <c r="V1148" s="416"/>
      <c r="W1148" s="42"/>
      <c r="X1148" s="74"/>
      <c r="Y1148" s="74"/>
      <c r="Z1148" s="74"/>
      <c r="AA1148" s="74"/>
      <c r="AB1148" s="74"/>
      <c r="AC1148" s="42"/>
      <c r="AD1148" s="42"/>
      <c r="AE1148" s="42"/>
      <c r="AF1148" s="42"/>
      <c r="AG1148" s="42"/>
      <c r="AH1148" s="42"/>
      <c r="AI1148" s="75"/>
      <c r="AJ1148" s="75"/>
      <c r="AK1148" s="75"/>
      <c r="AL1148" s="75"/>
      <c r="AM1148" s="74"/>
      <c r="AN1148" s="72" t="e">
        <f>VLOOKUP(H1148,[4]Planilha1!A$13:P$314,16,0)</f>
        <v>#N/A</v>
      </c>
    </row>
    <row r="1149" spans="1:40" s="69" customFormat="1" x14ac:dyDescent="0.25">
      <c r="A1149" s="88"/>
      <c r="B1149" s="88"/>
      <c r="C1149" s="70"/>
      <c r="D1149" s="70"/>
      <c r="E1149" s="70"/>
      <c r="F1149" s="70"/>
      <c r="G1149" s="70"/>
      <c r="H1149" s="422"/>
      <c r="I1149" s="422"/>
      <c r="J1149" s="418"/>
      <c r="K1149" s="403"/>
      <c r="L1149" s="73"/>
      <c r="M1149" s="72"/>
      <c r="N1149" s="72"/>
      <c r="O1149" s="72"/>
      <c r="P1149" s="42"/>
      <c r="Q1149" s="42"/>
      <c r="R1149" s="42"/>
      <c r="S1149" s="42"/>
      <c r="T1149" s="42"/>
      <c r="U1149" s="42"/>
      <c r="V1149" s="416"/>
      <c r="W1149" s="42"/>
      <c r="X1149" s="74"/>
      <c r="Y1149" s="74"/>
      <c r="Z1149" s="74"/>
      <c r="AA1149" s="74"/>
      <c r="AB1149" s="74"/>
      <c r="AC1149" s="42"/>
      <c r="AD1149" s="42"/>
      <c r="AE1149" s="42"/>
      <c r="AF1149" s="42"/>
      <c r="AG1149" s="42"/>
      <c r="AH1149" s="42"/>
      <c r="AI1149" s="75"/>
      <c r="AJ1149" s="75"/>
      <c r="AK1149" s="75"/>
      <c r="AL1149" s="75"/>
      <c r="AM1149" s="74"/>
      <c r="AN1149" s="72" t="e">
        <f>VLOOKUP(H1149,[4]Planilha1!A$13:P$314,16,0)</f>
        <v>#N/A</v>
      </c>
    </row>
    <row r="1150" spans="1:40" s="69" customFormat="1" x14ac:dyDescent="0.25">
      <c r="A1150" s="88"/>
      <c r="B1150" s="88"/>
      <c r="C1150" s="70"/>
      <c r="D1150" s="70"/>
      <c r="E1150" s="70"/>
      <c r="F1150" s="70"/>
      <c r="G1150" s="70"/>
      <c r="H1150" s="422"/>
      <c r="I1150" s="422"/>
      <c r="J1150" s="418"/>
      <c r="K1150" s="403"/>
      <c r="L1150" s="73"/>
      <c r="M1150" s="72"/>
      <c r="N1150" s="72"/>
      <c r="O1150" s="72"/>
      <c r="P1150" s="42"/>
      <c r="Q1150" s="42"/>
      <c r="R1150" s="42"/>
      <c r="S1150" s="42"/>
      <c r="T1150" s="42"/>
      <c r="U1150" s="42"/>
      <c r="V1150" s="416"/>
      <c r="W1150" s="42"/>
      <c r="X1150" s="74"/>
      <c r="Y1150" s="74"/>
      <c r="Z1150" s="74"/>
      <c r="AA1150" s="74"/>
      <c r="AB1150" s="74"/>
      <c r="AC1150" s="42"/>
      <c r="AD1150" s="42"/>
      <c r="AE1150" s="42"/>
      <c r="AF1150" s="42"/>
      <c r="AG1150" s="42"/>
      <c r="AH1150" s="42"/>
      <c r="AI1150" s="75"/>
      <c r="AJ1150" s="75"/>
      <c r="AK1150" s="75"/>
      <c r="AL1150" s="75"/>
      <c r="AM1150" s="74"/>
      <c r="AN1150" s="72" t="e">
        <f>VLOOKUP(H1150,[4]Planilha1!A$13:P$314,16,0)</f>
        <v>#N/A</v>
      </c>
    </row>
    <row r="1151" spans="1:40" s="69" customFormat="1" x14ac:dyDescent="0.25">
      <c r="A1151" s="88"/>
      <c r="B1151" s="88"/>
      <c r="C1151" s="70"/>
      <c r="D1151" s="70"/>
      <c r="E1151" s="70"/>
      <c r="F1151" s="70"/>
      <c r="G1151" s="70"/>
      <c r="H1151" s="422"/>
      <c r="I1151" s="422"/>
      <c r="J1151" s="418"/>
      <c r="K1151" s="403"/>
      <c r="L1151" s="73"/>
      <c r="M1151" s="72"/>
      <c r="N1151" s="72"/>
      <c r="O1151" s="72"/>
      <c r="P1151" s="42"/>
      <c r="Q1151" s="42"/>
      <c r="R1151" s="42"/>
      <c r="S1151" s="42"/>
      <c r="T1151" s="42"/>
      <c r="U1151" s="42"/>
      <c r="V1151" s="416"/>
      <c r="W1151" s="42"/>
      <c r="X1151" s="74"/>
      <c r="Y1151" s="74"/>
      <c r="Z1151" s="74"/>
      <c r="AA1151" s="74"/>
      <c r="AB1151" s="74"/>
      <c r="AC1151" s="42"/>
      <c r="AD1151" s="42"/>
      <c r="AE1151" s="42"/>
      <c r="AF1151" s="42"/>
      <c r="AG1151" s="42"/>
      <c r="AH1151" s="42"/>
      <c r="AI1151" s="75"/>
      <c r="AJ1151" s="75"/>
      <c r="AK1151" s="75"/>
      <c r="AL1151" s="75"/>
      <c r="AM1151" s="74"/>
      <c r="AN1151" s="72" t="e">
        <f>VLOOKUP(H1151,[4]Planilha1!A$13:P$314,16,0)</f>
        <v>#N/A</v>
      </c>
    </row>
    <row r="1152" spans="1:40" s="69" customFormat="1" x14ac:dyDescent="0.25">
      <c r="A1152" s="88"/>
      <c r="B1152" s="88"/>
      <c r="C1152" s="70"/>
      <c r="D1152" s="70"/>
      <c r="E1152" s="70"/>
      <c r="F1152" s="70"/>
      <c r="G1152" s="70"/>
      <c r="H1152" s="422"/>
      <c r="I1152" s="422"/>
      <c r="J1152" s="418"/>
      <c r="K1152" s="403"/>
      <c r="L1152" s="73"/>
      <c r="M1152" s="72"/>
      <c r="N1152" s="72"/>
      <c r="O1152" s="72"/>
      <c r="P1152" s="42"/>
      <c r="Q1152" s="42"/>
      <c r="R1152" s="42"/>
      <c r="S1152" s="42"/>
      <c r="T1152" s="42"/>
      <c r="U1152" s="42"/>
      <c r="V1152" s="416"/>
      <c r="W1152" s="42"/>
      <c r="X1152" s="74"/>
      <c r="Y1152" s="74"/>
      <c r="Z1152" s="74"/>
      <c r="AA1152" s="74"/>
      <c r="AB1152" s="74"/>
      <c r="AC1152" s="42"/>
      <c r="AD1152" s="42"/>
      <c r="AE1152" s="42"/>
      <c r="AF1152" s="42"/>
      <c r="AG1152" s="42"/>
      <c r="AH1152" s="42"/>
      <c r="AI1152" s="75"/>
      <c r="AJ1152" s="75"/>
      <c r="AK1152" s="75"/>
      <c r="AL1152" s="75"/>
      <c r="AM1152" s="74"/>
      <c r="AN1152" s="72" t="e">
        <f>VLOOKUP(H1152,[4]Planilha1!A$13:P$314,16,0)</f>
        <v>#N/A</v>
      </c>
    </row>
    <row r="1153" spans="1:40" s="69" customFormat="1" x14ac:dyDescent="0.25">
      <c r="A1153" s="88"/>
      <c r="B1153" s="88"/>
      <c r="C1153" s="70"/>
      <c r="D1153" s="70"/>
      <c r="E1153" s="70"/>
      <c r="F1153" s="70"/>
      <c r="G1153" s="70"/>
      <c r="H1153" s="422"/>
      <c r="I1153" s="422"/>
      <c r="J1153" s="418"/>
      <c r="K1153" s="403"/>
      <c r="L1153" s="73"/>
      <c r="M1153" s="72"/>
      <c r="N1153" s="72"/>
      <c r="O1153" s="72"/>
      <c r="P1153" s="42"/>
      <c r="Q1153" s="42"/>
      <c r="R1153" s="42"/>
      <c r="S1153" s="42"/>
      <c r="T1153" s="42"/>
      <c r="U1153" s="42"/>
      <c r="V1153" s="416"/>
      <c r="W1153" s="42"/>
      <c r="X1153" s="74"/>
      <c r="Y1153" s="74"/>
      <c r="Z1153" s="74"/>
      <c r="AA1153" s="74"/>
      <c r="AB1153" s="74"/>
      <c r="AC1153" s="42"/>
      <c r="AD1153" s="42"/>
      <c r="AE1153" s="42"/>
      <c r="AF1153" s="42"/>
      <c r="AG1153" s="42"/>
      <c r="AH1153" s="42"/>
      <c r="AI1153" s="75"/>
      <c r="AJ1153" s="75"/>
      <c r="AK1153" s="75"/>
      <c r="AL1153" s="75"/>
      <c r="AM1153" s="74"/>
      <c r="AN1153" s="72" t="e">
        <f>VLOOKUP(H1153,[4]Planilha1!A$13:P$314,16,0)</f>
        <v>#N/A</v>
      </c>
    </row>
    <row r="1154" spans="1:40" s="69" customFormat="1" x14ac:dyDescent="0.25">
      <c r="A1154" s="88"/>
      <c r="B1154" s="88"/>
      <c r="C1154" s="70"/>
      <c r="D1154" s="70"/>
      <c r="E1154" s="70"/>
      <c r="F1154" s="70"/>
      <c r="G1154" s="70"/>
      <c r="H1154" s="422"/>
      <c r="I1154" s="422"/>
      <c r="J1154" s="418"/>
      <c r="K1154" s="403"/>
      <c r="L1154" s="73"/>
      <c r="M1154" s="72"/>
      <c r="N1154" s="72"/>
      <c r="O1154" s="72"/>
      <c r="P1154" s="42"/>
      <c r="Q1154" s="42"/>
      <c r="R1154" s="42"/>
      <c r="S1154" s="42"/>
      <c r="T1154" s="42"/>
      <c r="U1154" s="42"/>
      <c r="V1154" s="416"/>
      <c r="W1154" s="42"/>
      <c r="X1154" s="74"/>
      <c r="Y1154" s="74"/>
      <c r="Z1154" s="74"/>
      <c r="AA1154" s="74"/>
      <c r="AB1154" s="74"/>
      <c r="AC1154" s="42"/>
      <c r="AD1154" s="42"/>
      <c r="AE1154" s="42"/>
      <c r="AF1154" s="42"/>
      <c r="AG1154" s="42"/>
      <c r="AH1154" s="42"/>
      <c r="AI1154" s="75"/>
      <c r="AJ1154" s="75"/>
      <c r="AK1154" s="75"/>
      <c r="AL1154" s="75"/>
      <c r="AM1154" s="74"/>
      <c r="AN1154" s="72" t="e">
        <f>VLOOKUP(H1154,[4]Planilha1!A$13:P$314,16,0)</f>
        <v>#N/A</v>
      </c>
    </row>
    <row r="1155" spans="1:40" s="69" customFormat="1" x14ac:dyDescent="0.25">
      <c r="A1155" s="88"/>
      <c r="B1155" s="88"/>
      <c r="C1155" s="70"/>
      <c r="D1155" s="70"/>
      <c r="E1155" s="70"/>
      <c r="F1155" s="70"/>
      <c r="G1155" s="70"/>
      <c r="H1155" s="422"/>
      <c r="I1155" s="422"/>
      <c r="J1155" s="418"/>
      <c r="K1155" s="403"/>
      <c r="L1155" s="73"/>
      <c r="M1155" s="72"/>
      <c r="N1155" s="72"/>
      <c r="O1155" s="72"/>
      <c r="P1155" s="42"/>
      <c r="Q1155" s="42"/>
      <c r="R1155" s="42"/>
      <c r="S1155" s="42"/>
      <c r="T1155" s="42"/>
      <c r="U1155" s="42"/>
      <c r="V1155" s="416"/>
      <c r="W1155" s="42"/>
      <c r="X1155" s="74"/>
      <c r="Y1155" s="74"/>
      <c r="Z1155" s="74"/>
      <c r="AA1155" s="74"/>
      <c r="AB1155" s="74"/>
      <c r="AC1155" s="42"/>
      <c r="AD1155" s="42"/>
      <c r="AE1155" s="42"/>
      <c r="AF1155" s="42"/>
      <c r="AG1155" s="42"/>
      <c r="AH1155" s="42"/>
      <c r="AI1155" s="75"/>
      <c r="AJ1155" s="75"/>
      <c r="AK1155" s="75"/>
      <c r="AL1155" s="75"/>
      <c r="AM1155" s="74"/>
      <c r="AN1155" s="72" t="e">
        <f>VLOOKUP(H1155,[4]Planilha1!A$13:P$314,16,0)</f>
        <v>#N/A</v>
      </c>
    </row>
    <row r="1156" spans="1:40" s="69" customFormat="1" x14ac:dyDescent="0.25">
      <c r="A1156" s="88"/>
      <c r="B1156" s="88"/>
      <c r="C1156" s="70"/>
      <c r="D1156" s="70"/>
      <c r="E1156" s="70"/>
      <c r="F1156" s="70"/>
      <c r="G1156" s="70"/>
      <c r="H1156" s="422"/>
      <c r="I1156" s="422"/>
      <c r="J1156" s="418"/>
      <c r="K1156" s="403"/>
      <c r="L1156" s="73"/>
      <c r="M1156" s="72"/>
      <c r="N1156" s="72"/>
      <c r="O1156" s="72"/>
      <c r="P1156" s="42"/>
      <c r="Q1156" s="42"/>
      <c r="R1156" s="42"/>
      <c r="S1156" s="42"/>
      <c r="T1156" s="42"/>
      <c r="U1156" s="42"/>
      <c r="V1156" s="416"/>
      <c r="W1156" s="42"/>
      <c r="X1156" s="74"/>
      <c r="Y1156" s="74"/>
      <c r="Z1156" s="74"/>
      <c r="AA1156" s="74"/>
      <c r="AB1156" s="74"/>
      <c r="AC1156" s="42"/>
      <c r="AD1156" s="42"/>
      <c r="AE1156" s="42"/>
      <c r="AF1156" s="42"/>
      <c r="AG1156" s="42"/>
      <c r="AH1156" s="42"/>
      <c r="AI1156" s="75"/>
      <c r="AJ1156" s="75"/>
      <c r="AK1156" s="75"/>
      <c r="AL1156" s="75"/>
      <c r="AM1156" s="74"/>
      <c r="AN1156" s="72" t="e">
        <f>VLOOKUP(H1156,[4]Planilha1!A$13:P$314,16,0)</f>
        <v>#N/A</v>
      </c>
    </row>
    <row r="1157" spans="1:40" s="69" customFormat="1" x14ac:dyDescent="0.25">
      <c r="A1157" s="88"/>
      <c r="B1157" s="88"/>
      <c r="C1157" s="70"/>
      <c r="D1157" s="70"/>
      <c r="E1157" s="70"/>
      <c r="F1157" s="70"/>
      <c r="G1157" s="70"/>
      <c r="H1157" s="422"/>
      <c r="I1157" s="422"/>
      <c r="J1157" s="418"/>
      <c r="K1157" s="403"/>
      <c r="L1157" s="73"/>
      <c r="M1157" s="72"/>
      <c r="N1157" s="72"/>
      <c r="O1157" s="72"/>
      <c r="P1157" s="42"/>
      <c r="Q1157" s="42"/>
      <c r="R1157" s="42"/>
      <c r="S1157" s="42"/>
      <c r="T1157" s="42"/>
      <c r="U1157" s="42"/>
      <c r="V1157" s="416"/>
      <c r="W1157" s="42"/>
      <c r="X1157" s="74"/>
      <c r="Y1157" s="74"/>
      <c r="Z1157" s="74"/>
      <c r="AA1157" s="74"/>
      <c r="AB1157" s="74"/>
      <c r="AC1157" s="42"/>
      <c r="AD1157" s="42"/>
      <c r="AE1157" s="42"/>
      <c r="AF1157" s="42"/>
      <c r="AG1157" s="42"/>
      <c r="AH1157" s="42"/>
      <c r="AI1157" s="75"/>
      <c r="AJ1157" s="75"/>
      <c r="AK1157" s="75"/>
      <c r="AL1157" s="75"/>
      <c r="AM1157" s="74"/>
      <c r="AN1157" s="72" t="e">
        <f>VLOOKUP(H1157,[4]Planilha1!A$13:P$314,16,0)</f>
        <v>#N/A</v>
      </c>
    </row>
    <row r="1158" spans="1:40" s="69" customFormat="1" x14ac:dyDescent="0.25">
      <c r="A1158" s="88"/>
      <c r="B1158" s="88"/>
      <c r="C1158" s="70"/>
      <c r="D1158" s="70"/>
      <c r="E1158" s="70"/>
      <c r="F1158" s="70"/>
      <c r="G1158" s="70"/>
      <c r="H1158" s="422"/>
      <c r="I1158" s="422"/>
      <c r="J1158" s="418"/>
      <c r="K1158" s="403"/>
      <c r="L1158" s="73"/>
      <c r="M1158" s="72"/>
      <c r="N1158" s="72"/>
      <c r="O1158" s="72"/>
      <c r="P1158" s="42"/>
      <c r="Q1158" s="42"/>
      <c r="R1158" s="42"/>
      <c r="S1158" s="42"/>
      <c r="T1158" s="42"/>
      <c r="U1158" s="42"/>
      <c r="V1158" s="416"/>
      <c r="W1158" s="42"/>
      <c r="X1158" s="74"/>
      <c r="Y1158" s="74"/>
      <c r="Z1158" s="74"/>
      <c r="AA1158" s="74"/>
      <c r="AB1158" s="74"/>
      <c r="AC1158" s="42"/>
      <c r="AD1158" s="42"/>
      <c r="AE1158" s="42"/>
      <c r="AF1158" s="42"/>
      <c r="AG1158" s="42"/>
      <c r="AH1158" s="42"/>
      <c r="AI1158" s="75"/>
      <c r="AJ1158" s="75"/>
      <c r="AK1158" s="75"/>
      <c r="AL1158" s="75"/>
      <c r="AM1158" s="74"/>
      <c r="AN1158" s="72" t="e">
        <f>VLOOKUP(H1158,[4]Planilha1!A$13:P$314,16,0)</f>
        <v>#N/A</v>
      </c>
    </row>
    <row r="1159" spans="1:40" s="69" customFormat="1" x14ac:dyDescent="0.25">
      <c r="A1159" s="88"/>
      <c r="B1159" s="88"/>
      <c r="C1159" s="70"/>
      <c r="D1159" s="70"/>
      <c r="E1159" s="70"/>
      <c r="F1159" s="70"/>
      <c r="G1159" s="70"/>
      <c r="H1159" s="422"/>
      <c r="I1159" s="422"/>
      <c r="J1159" s="418"/>
      <c r="K1159" s="403"/>
      <c r="L1159" s="73"/>
      <c r="M1159" s="72"/>
      <c r="N1159" s="72"/>
      <c r="O1159" s="72"/>
      <c r="P1159" s="42"/>
      <c r="Q1159" s="42"/>
      <c r="R1159" s="42"/>
      <c r="S1159" s="42"/>
      <c r="T1159" s="42"/>
      <c r="U1159" s="42"/>
      <c r="V1159" s="416"/>
      <c r="W1159" s="42"/>
      <c r="X1159" s="74"/>
      <c r="Y1159" s="74"/>
      <c r="Z1159" s="74"/>
      <c r="AA1159" s="74"/>
      <c r="AB1159" s="74"/>
      <c r="AC1159" s="42"/>
      <c r="AD1159" s="42"/>
      <c r="AE1159" s="42"/>
      <c r="AF1159" s="42"/>
      <c r="AG1159" s="42"/>
      <c r="AH1159" s="42"/>
      <c r="AI1159" s="75"/>
      <c r="AJ1159" s="75"/>
      <c r="AK1159" s="75"/>
      <c r="AL1159" s="75"/>
      <c r="AM1159" s="74"/>
      <c r="AN1159" s="72" t="e">
        <f>VLOOKUP(H1159,[4]Planilha1!A$13:P$314,16,0)</f>
        <v>#N/A</v>
      </c>
    </row>
    <row r="1160" spans="1:40" s="69" customFormat="1" x14ac:dyDescent="0.25">
      <c r="A1160" s="88"/>
      <c r="B1160" s="88"/>
      <c r="C1160" s="70"/>
      <c r="D1160" s="70"/>
      <c r="E1160" s="70"/>
      <c r="F1160" s="70"/>
      <c r="G1160" s="70"/>
      <c r="H1160" s="422"/>
      <c r="I1160" s="422"/>
      <c r="J1160" s="418"/>
      <c r="K1160" s="403"/>
      <c r="L1160" s="73"/>
      <c r="M1160" s="72"/>
      <c r="N1160" s="72"/>
      <c r="O1160" s="72"/>
      <c r="P1160" s="42"/>
      <c r="Q1160" s="42"/>
      <c r="R1160" s="42"/>
      <c r="S1160" s="42"/>
      <c r="T1160" s="42"/>
      <c r="U1160" s="42"/>
      <c r="V1160" s="416"/>
      <c r="W1160" s="42"/>
      <c r="X1160" s="74"/>
      <c r="Y1160" s="74"/>
      <c r="Z1160" s="74"/>
      <c r="AA1160" s="74"/>
      <c r="AB1160" s="74"/>
      <c r="AC1160" s="42"/>
      <c r="AD1160" s="42"/>
      <c r="AE1160" s="42"/>
      <c r="AF1160" s="42"/>
      <c r="AG1160" s="42"/>
      <c r="AH1160" s="42"/>
      <c r="AI1160" s="75"/>
      <c r="AJ1160" s="75"/>
      <c r="AK1160" s="75"/>
      <c r="AL1160" s="75"/>
      <c r="AM1160" s="74"/>
      <c r="AN1160" s="72" t="e">
        <f>VLOOKUP(H1160,[4]Planilha1!A$13:P$314,16,0)</f>
        <v>#N/A</v>
      </c>
    </row>
    <row r="1161" spans="1:40" s="69" customFormat="1" x14ac:dyDescent="0.25">
      <c r="A1161" s="88"/>
      <c r="B1161" s="88"/>
      <c r="C1161" s="70"/>
      <c r="D1161" s="70"/>
      <c r="E1161" s="70"/>
      <c r="F1161" s="70"/>
      <c r="G1161" s="70"/>
      <c r="H1161" s="422"/>
      <c r="I1161" s="422"/>
      <c r="J1161" s="418"/>
      <c r="K1161" s="403"/>
      <c r="L1161" s="73"/>
      <c r="M1161" s="72"/>
      <c r="N1161" s="72"/>
      <c r="O1161" s="72"/>
      <c r="P1161" s="42"/>
      <c r="Q1161" s="42"/>
      <c r="R1161" s="42"/>
      <c r="S1161" s="42"/>
      <c r="T1161" s="42"/>
      <c r="U1161" s="42"/>
      <c r="V1161" s="416"/>
      <c r="W1161" s="42"/>
      <c r="X1161" s="74"/>
      <c r="Y1161" s="74"/>
      <c r="Z1161" s="74"/>
      <c r="AA1161" s="74"/>
      <c r="AB1161" s="74"/>
      <c r="AC1161" s="42"/>
      <c r="AD1161" s="42"/>
      <c r="AE1161" s="42"/>
      <c r="AF1161" s="42"/>
      <c r="AG1161" s="42"/>
      <c r="AH1161" s="42"/>
      <c r="AI1161" s="75"/>
      <c r="AJ1161" s="75"/>
      <c r="AK1161" s="75"/>
      <c r="AL1161" s="75"/>
      <c r="AM1161" s="74"/>
      <c r="AN1161" s="72" t="e">
        <f>VLOOKUP(H1161,[4]Planilha1!A$13:P$314,16,0)</f>
        <v>#N/A</v>
      </c>
    </row>
    <row r="1162" spans="1:40" s="69" customFormat="1" x14ac:dyDescent="0.25">
      <c r="A1162" s="88"/>
      <c r="B1162" s="88"/>
      <c r="C1162" s="70"/>
      <c r="D1162" s="70"/>
      <c r="E1162" s="70"/>
      <c r="F1162" s="70"/>
      <c r="G1162" s="70"/>
      <c r="H1162" s="422"/>
      <c r="I1162" s="422"/>
      <c r="J1162" s="418"/>
      <c r="K1162" s="403"/>
      <c r="L1162" s="73"/>
      <c r="M1162" s="72"/>
      <c r="N1162" s="72"/>
      <c r="O1162" s="72"/>
      <c r="P1162" s="42"/>
      <c r="Q1162" s="42"/>
      <c r="R1162" s="42"/>
      <c r="S1162" s="42"/>
      <c r="T1162" s="42"/>
      <c r="U1162" s="42"/>
      <c r="V1162" s="416"/>
      <c r="W1162" s="42"/>
      <c r="X1162" s="74"/>
      <c r="Y1162" s="74"/>
      <c r="Z1162" s="74"/>
      <c r="AA1162" s="74"/>
      <c r="AB1162" s="74"/>
      <c r="AC1162" s="42"/>
      <c r="AD1162" s="42"/>
      <c r="AE1162" s="42"/>
      <c r="AF1162" s="42"/>
      <c r="AG1162" s="42"/>
      <c r="AH1162" s="42"/>
      <c r="AI1162" s="75"/>
      <c r="AJ1162" s="75"/>
      <c r="AK1162" s="75"/>
      <c r="AL1162" s="75"/>
      <c r="AM1162" s="74"/>
      <c r="AN1162" s="72" t="e">
        <f>VLOOKUP(H1162,[4]Planilha1!A$13:P$314,16,0)</f>
        <v>#N/A</v>
      </c>
    </row>
    <row r="1163" spans="1:40" s="69" customFormat="1" x14ac:dyDescent="0.25">
      <c r="A1163" s="88"/>
      <c r="B1163" s="88"/>
      <c r="C1163" s="70"/>
      <c r="D1163" s="70"/>
      <c r="E1163" s="70"/>
      <c r="F1163" s="70"/>
      <c r="G1163" s="70"/>
      <c r="H1163" s="422"/>
      <c r="I1163" s="422"/>
      <c r="J1163" s="418"/>
      <c r="K1163" s="403"/>
      <c r="L1163" s="73"/>
      <c r="M1163" s="72"/>
      <c r="N1163" s="72"/>
      <c r="O1163" s="72"/>
      <c r="P1163" s="42"/>
      <c r="Q1163" s="42"/>
      <c r="R1163" s="42"/>
      <c r="S1163" s="42"/>
      <c r="T1163" s="42"/>
      <c r="U1163" s="42"/>
      <c r="V1163" s="416"/>
      <c r="W1163" s="42"/>
      <c r="X1163" s="74"/>
      <c r="Y1163" s="74"/>
      <c r="Z1163" s="74"/>
      <c r="AA1163" s="74"/>
      <c r="AB1163" s="74"/>
      <c r="AC1163" s="42"/>
      <c r="AD1163" s="42"/>
      <c r="AE1163" s="42"/>
      <c r="AF1163" s="42"/>
      <c r="AG1163" s="42"/>
      <c r="AH1163" s="42"/>
      <c r="AI1163" s="75"/>
      <c r="AJ1163" s="75"/>
      <c r="AK1163" s="75"/>
      <c r="AL1163" s="75"/>
      <c r="AM1163" s="74"/>
      <c r="AN1163" s="72" t="e">
        <f>VLOOKUP(H1163,[4]Planilha1!A$13:P$314,16,0)</f>
        <v>#N/A</v>
      </c>
    </row>
    <row r="1164" spans="1:40" s="69" customFormat="1" x14ac:dyDescent="0.25">
      <c r="A1164" s="88"/>
      <c r="B1164" s="88"/>
      <c r="C1164" s="70"/>
      <c r="D1164" s="70"/>
      <c r="E1164" s="70"/>
      <c r="F1164" s="70"/>
      <c r="G1164" s="70"/>
      <c r="H1164" s="422"/>
      <c r="I1164" s="422"/>
      <c r="J1164" s="418"/>
      <c r="K1164" s="403"/>
      <c r="L1164" s="73"/>
      <c r="M1164" s="72"/>
      <c r="N1164" s="72"/>
      <c r="O1164" s="72"/>
      <c r="P1164" s="42"/>
      <c r="Q1164" s="42"/>
      <c r="R1164" s="42"/>
      <c r="S1164" s="42"/>
      <c r="T1164" s="42"/>
      <c r="U1164" s="42"/>
      <c r="V1164" s="416"/>
      <c r="W1164" s="42"/>
      <c r="X1164" s="74"/>
      <c r="Y1164" s="74"/>
      <c r="Z1164" s="74"/>
      <c r="AA1164" s="74"/>
      <c r="AB1164" s="74"/>
      <c r="AC1164" s="42"/>
      <c r="AD1164" s="42"/>
      <c r="AE1164" s="42"/>
      <c r="AF1164" s="42"/>
      <c r="AG1164" s="42"/>
      <c r="AH1164" s="42"/>
      <c r="AI1164" s="75"/>
      <c r="AJ1164" s="75"/>
      <c r="AK1164" s="75"/>
      <c r="AL1164" s="75"/>
      <c r="AM1164" s="74"/>
      <c r="AN1164" s="72" t="e">
        <f>VLOOKUP(H1164,[4]Planilha1!A$13:P$314,16,0)</f>
        <v>#N/A</v>
      </c>
    </row>
    <row r="1165" spans="1:40" s="69" customFormat="1" x14ac:dyDescent="0.25">
      <c r="A1165" s="88"/>
      <c r="B1165" s="88"/>
      <c r="C1165" s="70"/>
      <c r="D1165" s="70"/>
      <c r="E1165" s="70"/>
      <c r="F1165" s="70"/>
      <c r="G1165" s="70"/>
      <c r="H1165" s="422"/>
      <c r="I1165" s="422"/>
      <c r="J1165" s="418"/>
      <c r="K1165" s="403"/>
      <c r="L1165" s="73"/>
      <c r="M1165" s="72"/>
      <c r="N1165" s="72"/>
      <c r="O1165" s="72"/>
      <c r="P1165" s="42"/>
      <c r="Q1165" s="42"/>
      <c r="R1165" s="42"/>
      <c r="S1165" s="42"/>
      <c r="T1165" s="42"/>
      <c r="U1165" s="42"/>
      <c r="V1165" s="416"/>
      <c r="W1165" s="42"/>
      <c r="X1165" s="74"/>
      <c r="Y1165" s="74"/>
      <c r="Z1165" s="74"/>
      <c r="AA1165" s="74"/>
      <c r="AB1165" s="74"/>
      <c r="AC1165" s="42"/>
      <c r="AD1165" s="42"/>
      <c r="AE1165" s="42"/>
      <c r="AF1165" s="42"/>
      <c r="AG1165" s="42"/>
      <c r="AH1165" s="42"/>
      <c r="AI1165" s="75"/>
      <c r="AJ1165" s="75"/>
      <c r="AK1165" s="75"/>
      <c r="AL1165" s="75"/>
      <c r="AM1165" s="74"/>
      <c r="AN1165" s="72" t="e">
        <f>VLOOKUP(H1165,[4]Planilha1!A$13:P$314,16,0)</f>
        <v>#N/A</v>
      </c>
    </row>
    <row r="1166" spans="1:40" s="69" customFormat="1" x14ac:dyDescent="0.25">
      <c r="A1166" s="88"/>
      <c r="B1166" s="88"/>
      <c r="C1166" s="70"/>
      <c r="D1166" s="70"/>
      <c r="E1166" s="70"/>
      <c r="F1166" s="70"/>
      <c r="G1166" s="70"/>
      <c r="H1166" s="422"/>
      <c r="I1166" s="422"/>
      <c r="J1166" s="418"/>
      <c r="K1166" s="403"/>
      <c r="L1166" s="73"/>
      <c r="M1166" s="72"/>
      <c r="N1166" s="72"/>
      <c r="O1166" s="72"/>
      <c r="P1166" s="42"/>
      <c r="Q1166" s="42"/>
      <c r="R1166" s="42"/>
      <c r="S1166" s="42"/>
      <c r="T1166" s="42"/>
      <c r="U1166" s="42"/>
      <c r="V1166" s="416"/>
      <c r="W1166" s="42"/>
      <c r="X1166" s="74"/>
      <c r="Y1166" s="74"/>
      <c r="Z1166" s="74"/>
      <c r="AA1166" s="74"/>
      <c r="AB1166" s="74"/>
      <c r="AC1166" s="42"/>
      <c r="AD1166" s="42"/>
      <c r="AE1166" s="42"/>
      <c r="AF1166" s="42"/>
      <c r="AG1166" s="42"/>
      <c r="AH1166" s="42"/>
      <c r="AI1166" s="75"/>
      <c r="AJ1166" s="75"/>
      <c r="AK1166" s="75"/>
      <c r="AL1166" s="75"/>
      <c r="AM1166" s="74"/>
      <c r="AN1166" s="72" t="e">
        <f>VLOOKUP(H1166,[4]Planilha1!A$13:P$314,16,0)</f>
        <v>#N/A</v>
      </c>
    </row>
    <row r="1167" spans="1:40" s="69" customFormat="1" x14ac:dyDescent="0.25">
      <c r="A1167" s="88"/>
      <c r="B1167" s="88"/>
      <c r="C1167" s="70"/>
      <c r="D1167" s="70"/>
      <c r="E1167" s="70"/>
      <c r="F1167" s="70"/>
      <c r="G1167" s="70"/>
      <c r="H1167" s="422"/>
      <c r="I1167" s="422"/>
      <c r="J1167" s="418"/>
      <c r="K1167" s="403"/>
      <c r="L1167" s="73"/>
      <c r="M1167" s="72"/>
      <c r="N1167" s="72"/>
      <c r="O1167" s="72"/>
      <c r="P1167" s="42"/>
      <c r="Q1167" s="42"/>
      <c r="R1167" s="42"/>
      <c r="S1167" s="42"/>
      <c r="T1167" s="42"/>
      <c r="U1167" s="42"/>
      <c r="V1167" s="416"/>
      <c r="W1167" s="42"/>
      <c r="X1167" s="74"/>
      <c r="Y1167" s="74"/>
      <c r="Z1167" s="74"/>
      <c r="AA1167" s="74"/>
      <c r="AB1167" s="74"/>
      <c r="AC1167" s="42"/>
      <c r="AD1167" s="42"/>
      <c r="AE1167" s="42"/>
      <c r="AF1167" s="42"/>
      <c r="AG1167" s="42"/>
      <c r="AH1167" s="42"/>
      <c r="AI1167" s="75"/>
      <c r="AJ1167" s="75"/>
      <c r="AK1167" s="75"/>
      <c r="AL1167" s="75"/>
      <c r="AM1167" s="74"/>
      <c r="AN1167" s="72" t="e">
        <f>VLOOKUP(H1167,[4]Planilha1!A$13:P$314,16,0)</f>
        <v>#N/A</v>
      </c>
    </row>
    <row r="1168" spans="1:40" s="69" customFormat="1" x14ac:dyDescent="0.25">
      <c r="A1168" s="88"/>
      <c r="B1168" s="88"/>
      <c r="C1168" s="70"/>
      <c r="D1168" s="70"/>
      <c r="E1168" s="70"/>
      <c r="F1168" s="70"/>
      <c r="G1168" s="70"/>
      <c r="H1168" s="422"/>
      <c r="I1168" s="422"/>
      <c r="J1168" s="418"/>
      <c r="K1168" s="403"/>
      <c r="L1168" s="73"/>
      <c r="M1168" s="72"/>
      <c r="N1168" s="72"/>
      <c r="O1168" s="72"/>
      <c r="P1168" s="42"/>
      <c r="Q1168" s="42"/>
      <c r="R1168" s="42"/>
      <c r="S1168" s="42"/>
      <c r="T1168" s="42"/>
      <c r="U1168" s="42"/>
      <c r="V1168" s="416"/>
      <c r="W1168" s="42"/>
      <c r="X1168" s="74"/>
      <c r="Y1168" s="74"/>
      <c r="Z1168" s="74"/>
      <c r="AA1168" s="74"/>
      <c r="AB1168" s="74"/>
      <c r="AC1168" s="42"/>
      <c r="AD1168" s="42"/>
      <c r="AE1168" s="42"/>
      <c r="AF1168" s="42"/>
      <c r="AG1168" s="42"/>
      <c r="AH1168" s="42"/>
      <c r="AI1168" s="75"/>
      <c r="AJ1168" s="75"/>
      <c r="AK1168" s="75"/>
      <c r="AL1168" s="75"/>
      <c r="AM1168" s="74"/>
      <c r="AN1168" s="72" t="e">
        <f>VLOOKUP(H1168,[4]Planilha1!A$13:P$314,16,0)</f>
        <v>#N/A</v>
      </c>
    </row>
    <row r="1169" spans="1:40" s="69" customFormat="1" x14ac:dyDescent="0.25">
      <c r="A1169" s="88"/>
      <c r="B1169" s="88"/>
      <c r="C1169" s="70"/>
      <c r="D1169" s="70"/>
      <c r="E1169" s="70"/>
      <c r="F1169" s="70"/>
      <c r="G1169" s="70"/>
      <c r="H1169" s="422"/>
      <c r="I1169" s="422"/>
      <c r="J1169" s="418"/>
      <c r="K1169" s="403"/>
      <c r="L1169" s="73"/>
      <c r="M1169" s="72"/>
      <c r="N1169" s="72"/>
      <c r="O1169" s="72"/>
      <c r="P1169" s="42"/>
      <c r="Q1169" s="42"/>
      <c r="R1169" s="42"/>
      <c r="S1169" s="42"/>
      <c r="T1169" s="42"/>
      <c r="U1169" s="42"/>
      <c r="V1169" s="416"/>
      <c r="W1169" s="42"/>
      <c r="X1169" s="74"/>
      <c r="Y1169" s="74"/>
      <c r="Z1169" s="74"/>
      <c r="AA1169" s="74"/>
      <c r="AB1169" s="74"/>
      <c r="AC1169" s="42"/>
      <c r="AD1169" s="42"/>
      <c r="AE1169" s="42"/>
      <c r="AF1169" s="42"/>
      <c r="AG1169" s="42"/>
      <c r="AH1169" s="42"/>
      <c r="AI1169" s="75"/>
      <c r="AJ1169" s="75"/>
      <c r="AK1169" s="75"/>
      <c r="AL1169" s="75"/>
      <c r="AM1169" s="74"/>
      <c r="AN1169" s="72" t="e">
        <f>VLOOKUP(H1169,[4]Planilha1!A$13:P$314,16,0)</f>
        <v>#N/A</v>
      </c>
    </row>
    <row r="1170" spans="1:40" s="69" customFormat="1" x14ac:dyDescent="0.25">
      <c r="A1170" s="88"/>
      <c r="B1170" s="88"/>
      <c r="C1170" s="70"/>
      <c r="D1170" s="70"/>
      <c r="E1170" s="70"/>
      <c r="F1170" s="70"/>
      <c r="G1170" s="70"/>
      <c r="H1170" s="422"/>
      <c r="I1170" s="422"/>
      <c r="J1170" s="418"/>
      <c r="K1170" s="403"/>
      <c r="L1170" s="73"/>
      <c r="M1170" s="72"/>
      <c r="N1170" s="72"/>
      <c r="O1170" s="72"/>
      <c r="P1170" s="42"/>
      <c r="Q1170" s="42"/>
      <c r="R1170" s="42"/>
      <c r="S1170" s="42"/>
      <c r="T1170" s="42"/>
      <c r="U1170" s="42"/>
      <c r="V1170" s="416"/>
      <c r="W1170" s="42"/>
      <c r="X1170" s="74"/>
      <c r="Y1170" s="74"/>
      <c r="Z1170" s="74"/>
      <c r="AA1170" s="74"/>
      <c r="AB1170" s="74"/>
      <c r="AC1170" s="42"/>
      <c r="AD1170" s="42"/>
      <c r="AE1170" s="42"/>
      <c r="AF1170" s="42"/>
      <c r="AG1170" s="42"/>
      <c r="AH1170" s="42"/>
      <c r="AI1170" s="75"/>
      <c r="AJ1170" s="75"/>
      <c r="AK1170" s="75"/>
      <c r="AL1170" s="75"/>
      <c r="AM1170" s="74"/>
      <c r="AN1170" s="72" t="e">
        <f>VLOOKUP(H1170,[4]Planilha1!A$13:P$314,16,0)</f>
        <v>#N/A</v>
      </c>
    </row>
    <row r="1171" spans="1:40" s="69" customFormat="1" x14ac:dyDescent="0.25">
      <c r="A1171" s="88"/>
      <c r="B1171" s="88"/>
      <c r="C1171" s="70"/>
      <c r="D1171" s="70"/>
      <c r="E1171" s="70"/>
      <c r="F1171" s="70"/>
      <c r="G1171" s="70"/>
      <c r="H1171" s="422"/>
      <c r="I1171" s="422"/>
      <c r="J1171" s="418"/>
      <c r="K1171" s="403"/>
      <c r="L1171" s="73"/>
      <c r="M1171" s="72"/>
      <c r="N1171" s="72"/>
      <c r="O1171" s="72"/>
      <c r="P1171" s="42"/>
      <c r="Q1171" s="42"/>
      <c r="R1171" s="42"/>
      <c r="S1171" s="42"/>
      <c r="T1171" s="42"/>
      <c r="U1171" s="42"/>
      <c r="V1171" s="416"/>
      <c r="W1171" s="42"/>
      <c r="X1171" s="74"/>
      <c r="Y1171" s="74"/>
      <c r="Z1171" s="74"/>
      <c r="AA1171" s="74"/>
      <c r="AB1171" s="74"/>
      <c r="AC1171" s="42"/>
      <c r="AD1171" s="42"/>
      <c r="AE1171" s="42"/>
      <c r="AF1171" s="42"/>
      <c r="AG1171" s="42"/>
      <c r="AH1171" s="42"/>
      <c r="AI1171" s="75"/>
      <c r="AJ1171" s="75"/>
      <c r="AK1171" s="75"/>
      <c r="AL1171" s="75"/>
      <c r="AM1171" s="74"/>
      <c r="AN1171" s="72" t="e">
        <f>VLOOKUP(H1171,[4]Planilha1!A$13:P$314,16,0)</f>
        <v>#N/A</v>
      </c>
    </row>
    <row r="1172" spans="1:40" s="69" customFormat="1" x14ac:dyDescent="0.25">
      <c r="A1172" s="88"/>
      <c r="B1172" s="88"/>
      <c r="C1172" s="70"/>
      <c r="D1172" s="70"/>
      <c r="E1172" s="70"/>
      <c r="F1172" s="70"/>
      <c r="G1172" s="70"/>
      <c r="H1172" s="422"/>
      <c r="I1172" s="422"/>
      <c r="J1172" s="418"/>
      <c r="K1172" s="403"/>
      <c r="L1172" s="73"/>
      <c r="M1172" s="72"/>
      <c r="N1172" s="72"/>
      <c r="O1172" s="72"/>
      <c r="P1172" s="42"/>
      <c r="Q1172" s="42"/>
      <c r="R1172" s="42"/>
      <c r="S1172" s="42"/>
      <c r="T1172" s="42"/>
      <c r="U1172" s="42"/>
      <c r="V1172" s="416"/>
      <c r="W1172" s="42"/>
      <c r="X1172" s="74"/>
      <c r="Y1172" s="74"/>
      <c r="Z1172" s="74"/>
      <c r="AA1172" s="74"/>
      <c r="AB1172" s="74"/>
      <c r="AC1172" s="42"/>
      <c r="AD1172" s="42"/>
      <c r="AE1172" s="42"/>
      <c r="AF1172" s="42"/>
      <c r="AG1172" s="42"/>
      <c r="AH1172" s="42"/>
      <c r="AI1172" s="75"/>
      <c r="AJ1172" s="75"/>
      <c r="AK1172" s="75"/>
      <c r="AL1172" s="75"/>
      <c r="AM1172" s="74"/>
      <c r="AN1172" s="72" t="e">
        <f>VLOOKUP(H1172,[4]Planilha1!A$13:P$314,16,0)</f>
        <v>#N/A</v>
      </c>
    </row>
    <row r="1173" spans="1:40" s="69" customFormat="1" x14ac:dyDescent="0.25">
      <c r="A1173" s="88"/>
      <c r="B1173" s="88"/>
      <c r="C1173" s="70"/>
      <c r="D1173" s="70"/>
      <c r="E1173" s="70"/>
      <c r="F1173" s="70"/>
      <c r="G1173" s="70"/>
      <c r="H1173" s="422"/>
      <c r="I1173" s="422"/>
      <c r="J1173" s="418"/>
      <c r="K1173" s="403"/>
      <c r="L1173" s="73"/>
      <c r="M1173" s="72"/>
      <c r="N1173" s="72"/>
      <c r="O1173" s="72"/>
      <c r="P1173" s="42"/>
      <c r="Q1173" s="42"/>
      <c r="R1173" s="42"/>
      <c r="S1173" s="42"/>
      <c r="T1173" s="42"/>
      <c r="U1173" s="42"/>
      <c r="V1173" s="416"/>
      <c r="W1173" s="42"/>
      <c r="X1173" s="74"/>
      <c r="Y1173" s="74"/>
      <c r="Z1173" s="74"/>
      <c r="AA1173" s="74"/>
      <c r="AB1173" s="74"/>
      <c r="AC1173" s="42"/>
      <c r="AD1173" s="42"/>
      <c r="AE1173" s="42"/>
      <c r="AF1173" s="42"/>
      <c r="AG1173" s="42"/>
      <c r="AH1173" s="42"/>
      <c r="AI1173" s="75"/>
      <c r="AJ1173" s="75"/>
      <c r="AK1173" s="75"/>
      <c r="AL1173" s="75"/>
      <c r="AM1173" s="74"/>
      <c r="AN1173" s="72" t="e">
        <f>VLOOKUP(H1173,[4]Planilha1!A$13:P$314,16,0)</f>
        <v>#N/A</v>
      </c>
    </row>
    <row r="1174" spans="1:40" s="69" customFormat="1" x14ac:dyDescent="0.25">
      <c r="A1174" s="88"/>
      <c r="B1174" s="88"/>
      <c r="C1174" s="70"/>
      <c r="D1174" s="70"/>
      <c r="E1174" s="70"/>
      <c r="F1174" s="70"/>
      <c r="G1174" s="70"/>
      <c r="H1174" s="422"/>
      <c r="I1174" s="422"/>
      <c r="J1174" s="418"/>
      <c r="K1174" s="403"/>
      <c r="L1174" s="73"/>
      <c r="M1174" s="72"/>
      <c r="N1174" s="72"/>
      <c r="O1174" s="72"/>
      <c r="P1174" s="42"/>
      <c r="Q1174" s="42"/>
      <c r="R1174" s="42"/>
      <c r="S1174" s="42"/>
      <c r="T1174" s="42"/>
      <c r="U1174" s="42"/>
      <c r="V1174" s="416"/>
      <c r="W1174" s="42"/>
      <c r="X1174" s="74"/>
      <c r="Y1174" s="74"/>
      <c r="Z1174" s="74"/>
      <c r="AA1174" s="74"/>
      <c r="AB1174" s="74"/>
      <c r="AC1174" s="42"/>
      <c r="AD1174" s="42"/>
      <c r="AE1174" s="42"/>
      <c r="AF1174" s="42"/>
      <c r="AG1174" s="42"/>
      <c r="AH1174" s="42"/>
      <c r="AI1174" s="75"/>
      <c r="AJ1174" s="75"/>
      <c r="AK1174" s="75"/>
      <c r="AL1174" s="75"/>
      <c r="AM1174" s="74"/>
      <c r="AN1174" s="72" t="e">
        <f>VLOOKUP(H1174,[4]Planilha1!A$13:P$314,16,0)</f>
        <v>#N/A</v>
      </c>
    </row>
    <row r="1175" spans="1:40" s="69" customFormat="1" x14ac:dyDescent="0.25">
      <c r="A1175" s="88"/>
      <c r="B1175" s="88"/>
      <c r="C1175" s="70"/>
      <c r="D1175" s="70"/>
      <c r="E1175" s="70"/>
      <c r="F1175" s="70"/>
      <c r="G1175" s="70"/>
      <c r="H1175" s="422"/>
      <c r="I1175" s="422"/>
      <c r="J1175" s="418"/>
      <c r="K1175" s="403"/>
      <c r="L1175" s="73"/>
      <c r="M1175" s="72"/>
      <c r="N1175" s="72"/>
      <c r="O1175" s="72"/>
      <c r="P1175" s="42"/>
      <c r="Q1175" s="42"/>
      <c r="R1175" s="42"/>
      <c r="S1175" s="42"/>
      <c r="T1175" s="42"/>
      <c r="U1175" s="42"/>
      <c r="V1175" s="416"/>
      <c r="W1175" s="42"/>
      <c r="X1175" s="74"/>
      <c r="Y1175" s="74"/>
      <c r="Z1175" s="74"/>
      <c r="AA1175" s="74"/>
      <c r="AB1175" s="74"/>
      <c r="AC1175" s="42"/>
      <c r="AD1175" s="42"/>
      <c r="AE1175" s="42"/>
      <c r="AF1175" s="42"/>
      <c r="AG1175" s="42"/>
      <c r="AH1175" s="42"/>
      <c r="AI1175" s="75"/>
      <c r="AJ1175" s="75"/>
      <c r="AK1175" s="75"/>
      <c r="AL1175" s="75"/>
      <c r="AM1175" s="74"/>
      <c r="AN1175" s="72" t="e">
        <f>VLOOKUP(H1175,[4]Planilha1!A$13:P$314,16,0)</f>
        <v>#N/A</v>
      </c>
    </row>
    <row r="1176" spans="1:40" s="69" customFormat="1" x14ac:dyDescent="0.25">
      <c r="A1176" s="88"/>
      <c r="B1176" s="88"/>
      <c r="C1176" s="70"/>
      <c r="D1176" s="70"/>
      <c r="E1176" s="70"/>
      <c r="F1176" s="70"/>
      <c r="G1176" s="70"/>
      <c r="H1176" s="422"/>
      <c r="I1176" s="422"/>
      <c r="J1176" s="418"/>
      <c r="K1176" s="403"/>
      <c r="L1176" s="73"/>
      <c r="M1176" s="72"/>
      <c r="N1176" s="72"/>
      <c r="O1176" s="72"/>
      <c r="P1176" s="42"/>
      <c r="Q1176" s="42"/>
      <c r="R1176" s="42"/>
      <c r="S1176" s="42"/>
      <c r="T1176" s="42"/>
      <c r="U1176" s="42"/>
      <c r="V1176" s="416"/>
      <c r="W1176" s="42"/>
      <c r="X1176" s="74"/>
      <c r="Y1176" s="74"/>
      <c r="Z1176" s="74"/>
      <c r="AA1176" s="74"/>
      <c r="AB1176" s="74"/>
      <c r="AC1176" s="42"/>
      <c r="AD1176" s="42"/>
      <c r="AE1176" s="42"/>
      <c r="AF1176" s="42"/>
      <c r="AG1176" s="42"/>
      <c r="AH1176" s="42"/>
      <c r="AI1176" s="75"/>
      <c r="AJ1176" s="75"/>
      <c r="AK1176" s="75"/>
      <c r="AL1176" s="75"/>
      <c r="AM1176" s="74"/>
      <c r="AN1176" s="72" t="e">
        <f>VLOOKUP(H1176,[4]Planilha1!A$13:P$314,16,0)</f>
        <v>#N/A</v>
      </c>
    </row>
    <row r="1177" spans="1:40" s="69" customFormat="1" x14ac:dyDescent="0.25">
      <c r="A1177" s="88"/>
      <c r="B1177" s="88"/>
      <c r="C1177" s="70"/>
      <c r="D1177" s="70"/>
      <c r="E1177" s="70"/>
      <c r="F1177" s="70"/>
      <c r="G1177" s="70"/>
      <c r="H1177" s="422"/>
      <c r="I1177" s="422"/>
      <c r="J1177" s="418"/>
      <c r="K1177" s="403"/>
      <c r="L1177" s="73"/>
      <c r="M1177" s="72"/>
      <c r="N1177" s="72"/>
      <c r="O1177" s="72"/>
      <c r="P1177" s="42"/>
      <c r="Q1177" s="42"/>
      <c r="R1177" s="42"/>
      <c r="S1177" s="42"/>
      <c r="T1177" s="42"/>
      <c r="U1177" s="42"/>
      <c r="V1177" s="416"/>
      <c r="W1177" s="42"/>
      <c r="X1177" s="74"/>
      <c r="Y1177" s="74"/>
      <c r="Z1177" s="74"/>
      <c r="AA1177" s="74"/>
      <c r="AB1177" s="74"/>
      <c r="AC1177" s="42"/>
      <c r="AD1177" s="42"/>
      <c r="AE1177" s="42"/>
      <c r="AF1177" s="42"/>
      <c r="AG1177" s="42"/>
      <c r="AH1177" s="42"/>
      <c r="AI1177" s="75"/>
      <c r="AJ1177" s="75"/>
      <c r="AK1177" s="75"/>
      <c r="AL1177" s="75"/>
      <c r="AM1177" s="74"/>
      <c r="AN1177" s="72" t="e">
        <f>VLOOKUP(H1177,[4]Planilha1!A$13:P$314,16,0)</f>
        <v>#N/A</v>
      </c>
    </row>
    <row r="1178" spans="1:40" s="69" customFormat="1" x14ac:dyDescent="0.25">
      <c r="A1178" s="88"/>
      <c r="B1178" s="88"/>
      <c r="C1178" s="70"/>
      <c r="D1178" s="70"/>
      <c r="E1178" s="70"/>
      <c r="F1178" s="70"/>
      <c r="G1178" s="70"/>
      <c r="H1178" s="422"/>
      <c r="I1178" s="422"/>
      <c r="J1178" s="418"/>
      <c r="K1178" s="403"/>
      <c r="L1178" s="73"/>
      <c r="M1178" s="72"/>
      <c r="N1178" s="72"/>
      <c r="O1178" s="72"/>
      <c r="P1178" s="42"/>
      <c r="Q1178" s="42"/>
      <c r="R1178" s="42"/>
      <c r="S1178" s="42"/>
      <c r="T1178" s="42"/>
      <c r="U1178" s="42"/>
      <c r="V1178" s="416"/>
      <c r="W1178" s="42"/>
      <c r="X1178" s="74"/>
      <c r="Y1178" s="74"/>
      <c r="Z1178" s="74"/>
      <c r="AA1178" s="74"/>
      <c r="AB1178" s="74"/>
      <c r="AC1178" s="42"/>
      <c r="AD1178" s="42"/>
      <c r="AE1178" s="42"/>
      <c r="AF1178" s="42"/>
      <c r="AG1178" s="42"/>
      <c r="AH1178" s="42"/>
      <c r="AI1178" s="75"/>
      <c r="AJ1178" s="75"/>
      <c r="AK1178" s="75"/>
      <c r="AL1178" s="75"/>
      <c r="AM1178" s="74"/>
      <c r="AN1178" s="72" t="e">
        <f>VLOOKUP(H1178,[4]Planilha1!A$13:P$314,16,0)</f>
        <v>#N/A</v>
      </c>
    </row>
    <row r="1179" spans="1:40" s="69" customFormat="1" x14ac:dyDescent="0.25">
      <c r="A1179" s="88"/>
      <c r="B1179" s="88"/>
      <c r="C1179" s="70"/>
      <c r="D1179" s="70"/>
      <c r="E1179" s="70"/>
      <c r="F1179" s="70"/>
      <c r="G1179" s="70"/>
      <c r="H1179" s="422"/>
      <c r="I1179" s="422"/>
      <c r="J1179" s="418"/>
      <c r="K1179" s="403"/>
      <c r="L1179" s="73"/>
      <c r="M1179" s="72"/>
      <c r="N1179" s="72"/>
      <c r="O1179" s="72"/>
      <c r="P1179" s="42"/>
      <c r="Q1179" s="42"/>
      <c r="R1179" s="42"/>
      <c r="S1179" s="42"/>
      <c r="T1179" s="42"/>
      <c r="U1179" s="42"/>
      <c r="V1179" s="416"/>
      <c r="W1179" s="42"/>
      <c r="X1179" s="74"/>
      <c r="Y1179" s="74"/>
      <c r="Z1179" s="74"/>
      <c r="AA1179" s="74"/>
      <c r="AB1179" s="74"/>
      <c r="AC1179" s="42"/>
      <c r="AD1179" s="42"/>
      <c r="AE1179" s="42"/>
      <c r="AF1179" s="42"/>
      <c r="AG1179" s="42"/>
      <c r="AH1179" s="42"/>
      <c r="AI1179" s="75"/>
      <c r="AJ1179" s="75"/>
      <c r="AK1179" s="75"/>
      <c r="AL1179" s="75"/>
      <c r="AM1179" s="74"/>
      <c r="AN1179" s="72" t="e">
        <f>VLOOKUP(H1179,[4]Planilha1!A$13:P$314,16,0)</f>
        <v>#N/A</v>
      </c>
    </row>
    <row r="1180" spans="1:40" s="69" customFormat="1" x14ac:dyDescent="0.25">
      <c r="A1180" s="88"/>
      <c r="B1180" s="88"/>
      <c r="C1180" s="70"/>
      <c r="D1180" s="70"/>
      <c r="E1180" s="70"/>
      <c r="F1180" s="70"/>
      <c r="G1180" s="70"/>
      <c r="H1180" s="422"/>
      <c r="I1180" s="422"/>
      <c r="J1180" s="418"/>
      <c r="K1180" s="403"/>
      <c r="L1180" s="73"/>
      <c r="M1180" s="72"/>
      <c r="N1180" s="72"/>
      <c r="O1180" s="72"/>
      <c r="P1180" s="42"/>
      <c r="Q1180" s="42"/>
      <c r="R1180" s="42"/>
      <c r="S1180" s="42"/>
      <c r="T1180" s="42"/>
      <c r="U1180" s="42"/>
      <c r="V1180" s="416"/>
      <c r="W1180" s="42"/>
      <c r="X1180" s="74"/>
      <c r="Y1180" s="74"/>
      <c r="Z1180" s="74"/>
      <c r="AA1180" s="74"/>
      <c r="AB1180" s="74"/>
      <c r="AC1180" s="42"/>
      <c r="AD1180" s="42"/>
      <c r="AE1180" s="42"/>
      <c r="AF1180" s="42"/>
      <c r="AG1180" s="42"/>
      <c r="AH1180" s="42"/>
      <c r="AI1180" s="75"/>
      <c r="AJ1180" s="75"/>
      <c r="AK1180" s="75"/>
      <c r="AL1180" s="75"/>
      <c r="AM1180" s="74"/>
      <c r="AN1180" s="72" t="e">
        <f>VLOOKUP(H1180,[4]Planilha1!A$13:P$314,16,0)</f>
        <v>#N/A</v>
      </c>
    </row>
    <row r="1181" spans="1:40" s="69" customFormat="1" x14ac:dyDescent="0.25">
      <c r="A1181" s="88"/>
      <c r="B1181" s="88"/>
      <c r="C1181" s="70"/>
      <c r="D1181" s="70"/>
      <c r="E1181" s="70"/>
      <c r="F1181" s="70"/>
      <c r="G1181" s="70"/>
      <c r="H1181" s="422"/>
      <c r="I1181" s="422"/>
      <c r="J1181" s="418"/>
      <c r="K1181" s="403"/>
      <c r="L1181" s="73"/>
      <c r="M1181" s="72"/>
      <c r="N1181" s="72"/>
      <c r="O1181" s="72"/>
      <c r="P1181" s="42"/>
      <c r="Q1181" s="42"/>
      <c r="R1181" s="42"/>
      <c r="S1181" s="42"/>
      <c r="T1181" s="42"/>
      <c r="U1181" s="42"/>
      <c r="V1181" s="416"/>
      <c r="W1181" s="42"/>
      <c r="X1181" s="74"/>
      <c r="Y1181" s="74"/>
      <c r="Z1181" s="74"/>
      <c r="AA1181" s="74"/>
      <c r="AB1181" s="74"/>
      <c r="AC1181" s="42"/>
      <c r="AD1181" s="42"/>
      <c r="AE1181" s="42"/>
      <c r="AF1181" s="42"/>
      <c r="AG1181" s="42"/>
      <c r="AH1181" s="42"/>
      <c r="AI1181" s="75"/>
      <c r="AJ1181" s="75"/>
      <c r="AK1181" s="75"/>
      <c r="AL1181" s="75"/>
      <c r="AM1181" s="74"/>
      <c r="AN1181" s="72" t="e">
        <f>VLOOKUP(H1181,[4]Planilha1!A$13:P$314,16,0)</f>
        <v>#N/A</v>
      </c>
    </row>
    <row r="1182" spans="1:40" s="69" customFormat="1" x14ac:dyDescent="0.25">
      <c r="A1182" s="88"/>
      <c r="B1182" s="88"/>
      <c r="C1182" s="70"/>
      <c r="D1182" s="70"/>
      <c r="E1182" s="70"/>
      <c r="F1182" s="70"/>
      <c r="G1182" s="70"/>
      <c r="H1182" s="422"/>
      <c r="I1182" s="422"/>
      <c r="J1182" s="418"/>
      <c r="K1182" s="403"/>
      <c r="L1182" s="73"/>
      <c r="M1182" s="72"/>
      <c r="N1182" s="72"/>
      <c r="O1182" s="72"/>
      <c r="P1182" s="42"/>
      <c r="Q1182" s="42"/>
      <c r="R1182" s="42"/>
      <c r="S1182" s="42"/>
      <c r="T1182" s="42"/>
      <c r="U1182" s="42"/>
      <c r="V1182" s="416"/>
      <c r="W1182" s="42"/>
      <c r="X1182" s="74"/>
      <c r="Y1182" s="74"/>
      <c r="Z1182" s="74"/>
      <c r="AA1182" s="74"/>
      <c r="AB1182" s="74"/>
      <c r="AC1182" s="42"/>
      <c r="AD1182" s="42"/>
      <c r="AE1182" s="42"/>
      <c r="AF1182" s="42"/>
      <c r="AG1182" s="42"/>
      <c r="AH1182" s="42"/>
      <c r="AI1182" s="75"/>
      <c r="AJ1182" s="75"/>
      <c r="AK1182" s="75"/>
      <c r="AL1182" s="75"/>
      <c r="AM1182" s="74"/>
      <c r="AN1182" s="72" t="e">
        <f>VLOOKUP(H1182,[4]Planilha1!A$13:P$314,16,0)</f>
        <v>#N/A</v>
      </c>
    </row>
    <row r="1183" spans="1:40" s="69" customFormat="1" x14ac:dyDescent="0.25">
      <c r="A1183" s="88"/>
      <c r="B1183" s="88"/>
      <c r="C1183" s="70"/>
      <c r="D1183" s="70"/>
      <c r="E1183" s="70"/>
      <c r="F1183" s="70"/>
      <c r="G1183" s="70"/>
      <c r="H1183" s="422"/>
      <c r="I1183" s="422"/>
      <c r="J1183" s="418"/>
      <c r="K1183" s="403"/>
      <c r="L1183" s="73"/>
      <c r="M1183" s="72"/>
      <c r="N1183" s="72"/>
      <c r="O1183" s="72"/>
      <c r="P1183" s="42"/>
      <c r="Q1183" s="42"/>
      <c r="R1183" s="42"/>
      <c r="S1183" s="42"/>
      <c r="T1183" s="42"/>
      <c r="U1183" s="42"/>
      <c r="V1183" s="416"/>
      <c r="W1183" s="42"/>
      <c r="X1183" s="74"/>
      <c r="Y1183" s="74"/>
      <c r="Z1183" s="74"/>
      <c r="AA1183" s="74"/>
      <c r="AB1183" s="74"/>
      <c r="AC1183" s="42"/>
      <c r="AD1183" s="42"/>
      <c r="AE1183" s="42"/>
      <c r="AF1183" s="42"/>
      <c r="AG1183" s="42"/>
      <c r="AH1183" s="42"/>
      <c r="AI1183" s="75"/>
      <c r="AJ1183" s="75"/>
      <c r="AK1183" s="75"/>
      <c r="AL1183" s="75"/>
      <c r="AM1183" s="74"/>
      <c r="AN1183" s="72" t="e">
        <f>VLOOKUP(H1183,[4]Planilha1!A$13:P$314,16,0)</f>
        <v>#N/A</v>
      </c>
    </row>
    <row r="1184" spans="1:40" s="69" customFormat="1" x14ac:dyDescent="0.25">
      <c r="A1184" s="88"/>
      <c r="B1184" s="88"/>
      <c r="C1184" s="70"/>
      <c r="D1184" s="70"/>
      <c r="E1184" s="70"/>
      <c r="F1184" s="70"/>
      <c r="G1184" s="70"/>
      <c r="H1184" s="422"/>
      <c r="I1184" s="422"/>
      <c r="J1184" s="418"/>
      <c r="K1184" s="403"/>
      <c r="L1184" s="73"/>
      <c r="M1184" s="72"/>
      <c r="N1184" s="72"/>
      <c r="O1184" s="72"/>
      <c r="P1184" s="42"/>
      <c r="Q1184" s="42"/>
      <c r="R1184" s="42"/>
      <c r="S1184" s="42"/>
      <c r="T1184" s="42"/>
      <c r="U1184" s="42"/>
      <c r="V1184" s="416"/>
      <c r="W1184" s="42"/>
      <c r="X1184" s="74"/>
      <c r="Y1184" s="74"/>
      <c r="Z1184" s="74"/>
      <c r="AA1184" s="74"/>
      <c r="AB1184" s="74"/>
      <c r="AC1184" s="42"/>
      <c r="AD1184" s="42"/>
      <c r="AE1184" s="42"/>
      <c r="AF1184" s="42"/>
      <c r="AG1184" s="42"/>
      <c r="AH1184" s="42"/>
      <c r="AI1184" s="75"/>
      <c r="AJ1184" s="75"/>
      <c r="AK1184" s="75"/>
      <c r="AL1184" s="75"/>
      <c r="AM1184" s="74"/>
      <c r="AN1184" s="72" t="e">
        <f>VLOOKUP(H1184,[4]Planilha1!A$13:P$314,16,0)</f>
        <v>#N/A</v>
      </c>
    </row>
    <row r="1185" spans="1:40" s="69" customFormat="1" x14ac:dyDescent="0.25">
      <c r="A1185" s="88"/>
      <c r="B1185" s="88"/>
      <c r="C1185" s="70"/>
      <c r="D1185" s="70"/>
      <c r="E1185" s="70"/>
      <c r="F1185" s="70"/>
      <c r="G1185" s="70"/>
      <c r="H1185" s="422"/>
      <c r="I1185" s="422"/>
      <c r="J1185" s="418"/>
      <c r="K1185" s="403"/>
      <c r="L1185" s="73"/>
      <c r="M1185" s="72"/>
      <c r="N1185" s="72"/>
      <c r="O1185" s="72"/>
      <c r="P1185" s="42"/>
      <c r="Q1185" s="42"/>
      <c r="R1185" s="42"/>
      <c r="S1185" s="42"/>
      <c r="T1185" s="42"/>
      <c r="U1185" s="42"/>
      <c r="V1185" s="416"/>
      <c r="W1185" s="42"/>
      <c r="X1185" s="74"/>
      <c r="Y1185" s="74"/>
      <c r="Z1185" s="74"/>
      <c r="AA1185" s="74"/>
      <c r="AB1185" s="74"/>
      <c r="AC1185" s="42"/>
      <c r="AD1185" s="42"/>
      <c r="AE1185" s="42"/>
      <c r="AF1185" s="42"/>
      <c r="AG1185" s="42"/>
      <c r="AH1185" s="42"/>
      <c r="AI1185" s="75"/>
      <c r="AJ1185" s="75"/>
      <c r="AK1185" s="75"/>
      <c r="AL1185" s="75"/>
      <c r="AM1185" s="74"/>
      <c r="AN1185" s="72" t="e">
        <f>VLOOKUP(H1185,[4]Planilha1!A$13:P$314,16,0)</f>
        <v>#N/A</v>
      </c>
    </row>
    <row r="1186" spans="1:40" s="69" customFormat="1" x14ac:dyDescent="0.25">
      <c r="A1186" s="88"/>
      <c r="B1186" s="88"/>
      <c r="C1186" s="70"/>
      <c r="D1186" s="70"/>
      <c r="E1186" s="70"/>
      <c r="F1186" s="70"/>
      <c r="G1186" s="70"/>
      <c r="H1186" s="422"/>
      <c r="I1186" s="422"/>
      <c r="J1186" s="418"/>
      <c r="K1186" s="403"/>
      <c r="L1186" s="73"/>
      <c r="M1186" s="72"/>
      <c r="N1186" s="72"/>
      <c r="O1186" s="72"/>
      <c r="P1186" s="42"/>
      <c r="Q1186" s="42"/>
      <c r="R1186" s="42"/>
      <c r="S1186" s="42"/>
      <c r="T1186" s="42"/>
      <c r="U1186" s="42"/>
      <c r="V1186" s="416"/>
      <c r="W1186" s="42"/>
      <c r="X1186" s="74"/>
      <c r="Y1186" s="74"/>
      <c r="Z1186" s="74"/>
      <c r="AA1186" s="74"/>
      <c r="AB1186" s="74"/>
      <c r="AC1186" s="42"/>
      <c r="AD1186" s="42"/>
      <c r="AE1186" s="42"/>
      <c r="AF1186" s="42"/>
      <c r="AG1186" s="42"/>
      <c r="AH1186" s="42"/>
      <c r="AI1186" s="75"/>
      <c r="AJ1186" s="75"/>
      <c r="AK1186" s="75"/>
      <c r="AL1186" s="75"/>
      <c r="AM1186" s="74"/>
      <c r="AN1186" s="72" t="e">
        <f>VLOOKUP(H1186,[4]Planilha1!A$13:P$314,16,0)</f>
        <v>#N/A</v>
      </c>
    </row>
    <row r="1187" spans="1:40" s="69" customFormat="1" x14ac:dyDescent="0.25">
      <c r="A1187" s="88"/>
      <c r="B1187" s="88"/>
      <c r="C1187" s="70"/>
      <c r="D1187" s="70"/>
      <c r="E1187" s="70"/>
      <c r="F1187" s="70"/>
      <c r="G1187" s="70"/>
      <c r="H1187" s="422"/>
      <c r="I1187" s="422"/>
      <c r="J1187" s="418"/>
      <c r="K1187" s="403"/>
      <c r="L1187" s="73"/>
      <c r="M1187" s="72"/>
      <c r="N1187" s="72"/>
      <c r="O1187" s="72"/>
      <c r="P1187" s="42"/>
      <c r="Q1187" s="42"/>
      <c r="R1187" s="42"/>
      <c r="S1187" s="42"/>
      <c r="T1187" s="42"/>
      <c r="U1187" s="42"/>
      <c r="V1187" s="416"/>
      <c r="W1187" s="42"/>
      <c r="X1187" s="74"/>
      <c r="Y1187" s="74"/>
      <c r="Z1187" s="74"/>
      <c r="AA1187" s="74"/>
      <c r="AB1187" s="74"/>
      <c r="AC1187" s="42"/>
      <c r="AD1187" s="42"/>
      <c r="AE1187" s="42"/>
      <c r="AF1187" s="42"/>
      <c r="AG1187" s="42"/>
      <c r="AH1187" s="42"/>
      <c r="AI1187" s="75"/>
      <c r="AJ1187" s="75"/>
      <c r="AK1187" s="75"/>
      <c r="AL1187" s="75"/>
      <c r="AM1187" s="74"/>
      <c r="AN1187" s="72" t="e">
        <f>VLOOKUP(H1187,[4]Planilha1!A$13:P$314,16,0)</f>
        <v>#N/A</v>
      </c>
    </row>
    <row r="1188" spans="1:40" s="69" customFormat="1" x14ac:dyDescent="0.25">
      <c r="A1188" s="88"/>
      <c r="B1188" s="88"/>
      <c r="C1188" s="70"/>
      <c r="D1188" s="70"/>
      <c r="E1188" s="70"/>
      <c r="F1188" s="70"/>
      <c r="G1188" s="70"/>
      <c r="H1188" s="422"/>
      <c r="I1188" s="422"/>
      <c r="J1188" s="418"/>
      <c r="K1188" s="403"/>
      <c r="L1188" s="73"/>
      <c r="M1188" s="72"/>
      <c r="N1188" s="72"/>
      <c r="O1188" s="72"/>
      <c r="P1188" s="42"/>
      <c r="Q1188" s="42"/>
      <c r="R1188" s="42"/>
      <c r="S1188" s="42"/>
      <c r="T1188" s="42"/>
      <c r="U1188" s="42"/>
      <c r="V1188" s="416"/>
      <c r="W1188" s="42"/>
      <c r="X1188" s="74"/>
      <c r="Y1188" s="74"/>
      <c r="Z1188" s="74"/>
      <c r="AA1188" s="74"/>
      <c r="AB1188" s="74"/>
      <c r="AC1188" s="42"/>
      <c r="AD1188" s="42"/>
      <c r="AE1188" s="42"/>
      <c r="AF1188" s="42"/>
      <c r="AG1188" s="42"/>
      <c r="AH1188" s="42"/>
      <c r="AI1188" s="75"/>
      <c r="AJ1188" s="75"/>
      <c r="AK1188" s="75"/>
      <c r="AL1188" s="75"/>
      <c r="AM1188" s="74"/>
      <c r="AN1188" s="72" t="e">
        <f>VLOOKUP(H1188,[4]Planilha1!A$13:P$314,16,0)</f>
        <v>#N/A</v>
      </c>
    </row>
    <row r="1189" spans="1:40" s="69" customFormat="1" x14ac:dyDescent="0.25">
      <c r="A1189" s="88"/>
      <c r="B1189" s="88"/>
      <c r="C1189" s="70"/>
      <c r="D1189" s="70"/>
      <c r="E1189" s="70"/>
      <c r="F1189" s="70"/>
      <c r="G1189" s="70"/>
      <c r="H1189" s="422"/>
      <c r="I1189" s="422"/>
      <c r="J1189" s="418"/>
      <c r="K1189" s="403"/>
      <c r="L1189" s="73"/>
      <c r="M1189" s="72"/>
      <c r="N1189" s="72"/>
      <c r="O1189" s="72"/>
      <c r="P1189" s="42"/>
      <c r="Q1189" s="42"/>
      <c r="R1189" s="42"/>
      <c r="S1189" s="42"/>
      <c r="T1189" s="42"/>
      <c r="U1189" s="42"/>
      <c r="V1189" s="416"/>
      <c r="W1189" s="42"/>
      <c r="X1189" s="74"/>
      <c r="Y1189" s="74"/>
      <c r="Z1189" s="74"/>
      <c r="AA1189" s="74"/>
      <c r="AB1189" s="74"/>
      <c r="AC1189" s="42"/>
      <c r="AD1189" s="42"/>
      <c r="AE1189" s="42"/>
      <c r="AF1189" s="42"/>
      <c r="AG1189" s="42"/>
      <c r="AH1189" s="42"/>
      <c r="AI1189" s="75"/>
      <c r="AJ1189" s="75"/>
      <c r="AK1189" s="75"/>
      <c r="AL1189" s="75"/>
      <c r="AM1189" s="74"/>
      <c r="AN1189" s="72" t="e">
        <f>VLOOKUP(H1189,[4]Planilha1!A$13:P$314,16,0)</f>
        <v>#N/A</v>
      </c>
    </row>
    <row r="1190" spans="1:40" s="69" customFormat="1" x14ac:dyDescent="0.25">
      <c r="A1190" s="88"/>
      <c r="B1190" s="88"/>
      <c r="C1190" s="70"/>
      <c r="D1190" s="70"/>
      <c r="E1190" s="70"/>
      <c r="F1190" s="70"/>
      <c r="G1190" s="70"/>
      <c r="H1190" s="422"/>
      <c r="I1190" s="422"/>
      <c r="J1190" s="418"/>
      <c r="K1190" s="403"/>
      <c r="L1190" s="73"/>
      <c r="M1190" s="72"/>
      <c r="N1190" s="72"/>
      <c r="O1190" s="72"/>
      <c r="P1190" s="42"/>
      <c r="Q1190" s="42"/>
      <c r="R1190" s="42"/>
      <c r="S1190" s="42"/>
      <c r="T1190" s="42"/>
      <c r="U1190" s="42"/>
      <c r="V1190" s="416"/>
      <c r="W1190" s="42"/>
      <c r="X1190" s="74"/>
      <c r="Y1190" s="74"/>
      <c r="Z1190" s="74"/>
      <c r="AA1190" s="74"/>
      <c r="AB1190" s="74"/>
      <c r="AC1190" s="42"/>
      <c r="AD1190" s="42"/>
      <c r="AE1190" s="42"/>
      <c r="AF1190" s="42"/>
      <c r="AG1190" s="42"/>
      <c r="AH1190" s="42"/>
      <c r="AI1190" s="75"/>
      <c r="AJ1190" s="75"/>
      <c r="AK1190" s="75"/>
      <c r="AL1190" s="75"/>
      <c r="AM1190" s="74"/>
      <c r="AN1190" s="72" t="e">
        <f>VLOOKUP(H1190,[4]Planilha1!A$13:P$314,16,0)</f>
        <v>#N/A</v>
      </c>
    </row>
    <row r="1191" spans="1:40" s="69" customFormat="1" x14ac:dyDescent="0.25">
      <c r="A1191" s="88"/>
      <c r="B1191" s="88"/>
      <c r="C1191" s="70"/>
      <c r="D1191" s="70"/>
      <c r="E1191" s="70"/>
      <c r="F1191" s="70"/>
      <c r="G1191" s="70"/>
      <c r="H1191" s="422"/>
      <c r="I1191" s="422"/>
      <c r="J1191" s="418"/>
      <c r="K1191" s="403"/>
      <c r="L1191" s="73"/>
      <c r="M1191" s="72"/>
      <c r="N1191" s="72"/>
      <c r="O1191" s="72"/>
      <c r="P1191" s="42"/>
      <c r="Q1191" s="42"/>
      <c r="R1191" s="42"/>
      <c r="S1191" s="42"/>
      <c r="T1191" s="42"/>
      <c r="U1191" s="42"/>
      <c r="V1191" s="416"/>
      <c r="W1191" s="42"/>
      <c r="X1191" s="74"/>
      <c r="Y1191" s="74"/>
      <c r="Z1191" s="74"/>
      <c r="AA1191" s="74"/>
      <c r="AB1191" s="74"/>
      <c r="AC1191" s="42"/>
      <c r="AD1191" s="42"/>
      <c r="AE1191" s="42"/>
      <c r="AF1191" s="42"/>
      <c r="AG1191" s="42"/>
      <c r="AH1191" s="42"/>
      <c r="AI1191" s="75"/>
      <c r="AJ1191" s="75"/>
      <c r="AK1191" s="75"/>
      <c r="AL1191" s="75"/>
      <c r="AM1191" s="74"/>
      <c r="AN1191" s="72" t="e">
        <f>VLOOKUP(H1191,[4]Planilha1!A$13:P$314,16,0)</f>
        <v>#N/A</v>
      </c>
    </row>
    <row r="1192" spans="1:40" s="69" customFormat="1" x14ac:dyDescent="0.25">
      <c r="A1192" s="88"/>
      <c r="B1192" s="88"/>
      <c r="C1192" s="70"/>
      <c r="D1192" s="70"/>
      <c r="E1192" s="70"/>
      <c r="F1192" s="70"/>
      <c r="G1192" s="70"/>
      <c r="H1192" s="422"/>
      <c r="I1192" s="422"/>
      <c r="J1192" s="418"/>
      <c r="K1192" s="403"/>
      <c r="L1192" s="73"/>
      <c r="M1192" s="72"/>
      <c r="N1192" s="72"/>
      <c r="O1192" s="72"/>
      <c r="P1192" s="42"/>
      <c r="Q1192" s="42"/>
      <c r="R1192" s="42"/>
      <c r="S1192" s="42"/>
      <c r="T1192" s="42"/>
      <c r="U1192" s="42"/>
      <c r="V1192" s="416"/>
      <c r="W1192" s="42"/>
      <c r="X1192" s="74"/>
      <c r="Y1192" s="74"/>
      <c r="Z1192" s="74"/>
      <c r="AA1192" s="74"/>
      <c r="AB1192" s="74"/>
      <c r="AC1192" s="42"/>
      <c r="AD1192" s="42"/>
      <c r="AE1192" s="42"/>
      <c r="AF1192" s="42"/>
      <c r="AG1192" s="42"/>
      <c r="AH1192" s="42"/>
      <c r="AI1192" s="75"/>
      <c r="AJ1192" s="75"/>
      <c r="AK1192" s="75"/>
      <c r="AL1192" s="75"/>
      <c r="AM1192" s="74"/>
      <c r="AN1192" s="72" t="e">
        <f>VLOOKUP(H1192,[4]Planilha1!A$13:P$314,16,0)</f>
        <v>#N/A</v>
      </c>
    </row>
    <row r="1193" spans="1:40" s="69" customFormat="1" x14ac:dyDescent="0.25">
      <c r="A1193" s="88"/>
      <c r="B1193" s="88"/>
      <c r="C1193" s="70"/>
      <c r="D1193" s="70"/>
      <c r="E1193" s="70"/>
      <c r="F1193" s="70"/>
      <c r="G1193" s="70"/>
      <c r="H1193" s="422"/>
      <c r="I1193" s="422"/>
      <c r="J1193" s="418"/>
      <c r="K1193" s="403"/>
      <c r="L1193" s="73"/>
      <c r="M1193" s="72"/>
      <c r="N1193" s="72"/>
      <c r="O1193" s="72"/>
      <c r="P1193" s="42"/>
      <c r="Q1193" s="42"/>
      <c r="R1193" s="42"/>
      <c r="S1193" s="42"/>
      <c r="T1193" s="42"/>
      <c r="U1193" s="42"/>
      <c r="V1193" s="416"/>
      <c r="W1193" s="42"/>
      <c r="X1193" s="74"/>
      <c r="Y1193" s="74"/>
      <c r="Z1193" s="74"/>
      <c r="AA1193" s="74"/>
      <c r="AB1193" s="74"/>
      <c r="AC1193" s="42"/>
      <c r="AD1193" s="42"/>
      <c r="AE1193" s="42"/>
      <c r="AF1193" s="42"/>
      <c r="AG1193" s="42"/>
      <c r="AH1193" s="42"/>
      <c r="AI1193" s="75"/>
      <c r="AJ1193" s="75"/>
      <c r="AK1193" s="75"/>
      <c r="AL1193" s="75"/>
      <c r="AM1193" s="74"/>
      <c r="AN1193" s="72" t="e">
        <f>VLOOKUP(H1193,[4]Planilha1!A$13:P$314,16,0)</f>
        <v>#N/A</v>
      </c>
    </row>
    <row r="1194" spans="1:40" s="69" customFormat="1" x14ac:dyDescent="0.25">
      <c r="A1194" s="88"/>
      <c r="B1194" s="88"/>
      <c r="C1194" s="70"/>
      <c r="D1194" s="70"/>
      <c r="E1194" s="70"/>
      <c r="F1194" s="70"/>
      <c r="G1194" s="70"/>
      <c r="H1194" s="422"/>
      <c r="I1194" s="422"/>
      <c r="J1194" s="418"/>
      <c r="K1194" s="403"/>
      <c r="L1194" s="73"/>
      <c r="M1194" s="72"/>
      <c r="N1194" s="72"/>
      <c r="O1194" s="72"/>
      <c r="P1194" s="42"/>
      <c r="Q1194" s="42"/>
      <c r="R1194" s="42"/>
      <c r="S1194" s="42"/>
      <c r="T1194" s="42"/>
      <c r="U1194" s="42"/>
      <c r="V1194" s="416"/>
      <c r="W1194" s="42"/>
      <c r="X1194" s="74"/>
      <c r="Y1194" s="74"/>
      <c r="Z1194" s="74"/>
      <c r="AA1194" s="74"/>
      <c r="AB1194" s="74"/>
      <c r="AC1194" s="42"/>
      <c r="AD1194" s="42"/>
      <c r="AE1194" s="42"/>
      <c r="AF1194" s="42"/>
      <c r="AG1194" s="42"/>
      <c r="AH1194" s="42"/>
      <c r="AI1194" s="75"/>
      <c r="AJ1194" s="75"/>
      <c r="AK1194" s="75"/>
      <c r="AL1194" s="75"/>
      <c r="AM1194" s="74"/>
      <c r="AN1194" s="72" t="e">
        <f>VLOOKUP(H1194,[4]Planilha1!A$13:P$314,16,0)</f>
        <v>#N/A</v>
      </c>
    </row>
    <row r="1195" spans="1:40" s="69" customFormat="1" x14ac:dyDescent="0.25">
      <c r="A1195" s="88"/>
      <c r="B1195" s="88"/>
      <c r="C1195" s="70"/>
      <c r="D1195" s="70"/>
      <c r="E1195" s="70"/>
      <c r="F1195" s="70"/>
      <c r="G1195" s="70"/>
      <c r="H1195" s="422"/>
      <c r="I1195" s="422"/>
      <c r="J1195" s="418"/>
      <c r="K1195" s="403"/>
      <c r="L1195" s="73"/>
      <c r="M1195" s="72"/>
      <c r="N1195" s="72"/>
      <c r="O1195" s="72"/>
      <c r="P1195" s="42"/>
      <c r="Q1195" s="42"/>
      <c r="R1195" s="42"/>
      <c r="S1195" s="42"/>
      <c r="T1195" s="42"/>
      <c r="U1195" s="42"/>
      <c r="V1195" s="416"/>
      <c r="W1195" s="42"/>
      <c r="X1195" s="74"/>
      <c r="Y1195" s="74"/>
      <c r="Z1195" s="74"/>
      <c r="AA1195" s="74"/>
      <c r="AB1195" s="74"/>
      <c r="AC1195" s="42"/>
      <c r="AD1195" s="42"/>
      <c r="AE1195" s="42"/>
      <c r="AF1195" s="42"/>
      <c r="AG1195" s="42"/>
      <c r="AH1195" s="42"/>
      <c r="AI1195" s="75"/>
      <c r="AJ1195" s="75"/>
      <c r="AK1195" s="75"/>
      <c r="AL1195" s="75"/>
      <c r="AM1195" s="74"/>
      <c r="AN1195" s="72" t="e">
        <f>VLOOKUP(H1195,[4]Planilha1!A$13:P$314,16,0)</f>
        <v>#N/A</v>
      </c>
    </row>
    <row r="1196" spans="1:40" s="69" customFormat="1" x14ac:dyDescent="0.25">
      <c r="A1196" s="88"/>
      <c r="B1196" s="88"/>
      <c r="C1196" s="70"/>
      <c r="D1196" s="70"/>
      <c r="E1196" s="70"/>
      <c r="F1196" s="70"/>
      <c r="G1196" s="70"/>
      <c r="H1196" s="422"/>
      <c r="I1196" s="422"/>
      <c r="J1196" s="418"/>
      <c r="K1196" s="403"/>
      <c r="L1196" s="73"/>
      <c r="M1196" s="72"/>
      <c r="N1196" s="72"/>
      <c r="O1196" s="72"/>
      <c r="P1196" s="42"/>
      <c r="Q1196" s="42"/>
      <c r="R1196" s="42"/>
      <c r="S1196" s="42"/>
      <c r="T1196" s="42"/>
      <c r="U1196" s="42"/>
      <c r="V1196" s="416"/>
      <c r="W1196" s="42"/>
      <c r="X1196" s="74"/>
      <c r="Y1196" s="74"/>
      <c r="Z1196" s="74"/>
      <c r="AA1196" s="74"/>
      <c r="AB1196" s="74"/>
      <c r="AC1196" s="42"/>
      <c r="AD1196" s="42"/>
      <c r="AE1196" s="42"/>
      <c r="AF1196" s="42"/>
      <c r="AG1196" s="42"/>
      <c r="AH1196" s="42"/>
      <c r="AI1196" s="75"/>
      <c r="AJ1196" s="75"/>
      <c r="AK1196" s="75"/>
      <c r="AL1196" s="75"/>
      <c r="AM1196" s="74"/>
      <c r="AN1196" s="72" t="e">
        <f>VLOOKUP(H1196,[4]Planilha1!A$13:P$314,16,0)</f>
        <v>#N/A</v>
      </c>
    </row>
    <row r="1197" spans="1:40" s="69" customFormat="1" x14ac:dyDescent="0.25">
      <c r="A1197" s="88"/>
      <c r="B1197" s="88"/>
      <c r="C1197" s="70"/>
      <c r="D1197" s="70"/>
      <c r="E1197" s="70"/>
      <c r="F1197" s="70"/>
      <c r="G1197" s="70"/>
      <c r="H1197" s="422"/>
      <c r="I1197" s="422"/>
      <c r="J1197" s="418"/>
      <c r="K1197" s="403"/>
      <c r="L1197" s="73"/>
      <c r="M1197" s="72"/>
      <c r="N1197" s="72"/>
      <c r="O1197" s="72"/>
      <c r="P1197" s="42"/>
      <c r="Q1197" s="42"/>
      <c r="R1197" s="42"/>
      <c r="S1197" s="42"/>
      <c r="T1197" s="42"/>
      <c r="U1197" s="42"/>
      <c r="V1197" s="416"/>
      <c r="W1197" s="42"/>
      <c r="X1197" s="74"/>
      <c r="Y1197" s="74"/>
      <c r="Z1197" s="74"/>
      <c r="AA1197" s="74"/>
      <c r="AB1197" s="74"/>
      <c r="AC1197" s="42"/>
      <c r="AD1197" s="42"/>
      <c r="AE1197" s="42"/>
      <c r="AF1197" s="42"/>
      <c r="AG1197" s="42"/>
      <c r="AH1197" s="42"/>
      <c r="AI1197" s="75"/>
      <c r="AJ1197" s="75"/>
      <c r="AK1197" s="75"/>
      <c r="AL1197" s="75"/>
      <c r="AM1197" s="74"/>
      <c r="AN1197" s="72" t="e">
        <f>VLOOKUP(H1197,[4]Planilha1!A$13:P$314,16,0)</f>
        <v>#N/A</v>
      </c>
    </row>
    <row r="1198" spans="1:40" s="69" customFormat="1" x14ac:dyDescent="0.25">
      <c r="A1198" s="88"/>
      <c r="B1198" s="88"/>
      <c r="C1198" s="70"/>
      <c r="D1198" s="70"/>
      <c r="E1198" s="70"/>
      <c r="F1198" s="70"/>
      <c r="G1198" s="70"/>
      <c r="H1198" s="422"/>
      <c r="I1198" s="422"/>
      <c r="J1198" s="418"/>
      <c r="K1198" s="403"/>
      <c r="L1198" s="73"/>
      <c r="M1198" s="72"/>
      <c r="N1198" s="72"/>
      <c r="O1198" s="72"/>
      <c r="P1198" s="42"/>
      <c r="Q1198" s="42"/>
      <c r="R1198" s="42"/>
      <c r="S1198" s="42"/>
      <c r="T1198" s="42"/>
      <c r="U1198" s="42"/>
      <c r="V1198" s="416"/>
      <c r="W1198" s="42"/>
      <c r="X1198" s="74"/>
      <c r="Y1198" s="74"/>
      <c r="Z1198" s="74"/>
      <c r="AA1198" s="74"/>
      <c r="AB1198" s="74"/>
      <c r="AC1198" s="42"/>
      <c r="AD1198" s="42"/>
      <c r="AE1198" s="42"/>
      <c r="AF1198" s="42"/>
      <c r="AG1198" s="42"/>
      <c r="AH1198" s="42"/>
      <c r="AI1198" s="75"/>
      <c r="AJ1198" s="75"/>
      <c r="AK1198" s="75"/>
      <c r="AL1198" s="75"/>
      <c r="AM1198" s="74"/>
      <c r="AN1198" s="72" t="e">
        <f>VLOOKUP(H1198,[4]Planilha1!A$13:P$314,16,0)</f>
        <v>#N/A</v>
      </c>
    </row>
    <row r="1199" spans="1:40" s="69" customFormat="1" x14ac:dyDescent="0.25">
      <c r="A1199" s="88"/>
      <c r="B1199" s="88"/>
      <c r="C1199" s="70"/>
      <c r="D1199" s="70"/>
      <c r="E1199" s="70"/>
      <c r="F1199" s="70"/>
      <c r="G1199" s="70"/>
      <c r="H1199" s="422"/>
      <c r="I1199" s="422"/>
      <c r="J1199" s="418"/>
      <c r="K1199" s="403"/>
      <c r="L1199" s="73"/>
      <c r="M1199" s="72"/>
      <c r="N1199" s="72"/>
      <c r="O1199" s="72"/>
      <c r="P1199" s="42"/>
      <c r="Q1199" s="42"/>
      <c r="R1199" s="42"/>
      <c r="S1199" s="42"/>
      <c r="T1199" s="42"/>
      <c r="U1199" s="42"/>
      <c r="V1199" s="416"/>
      <c r="W1199" s="42"/>
      <c r="X1199" s="74"/>
      <c r="Y1199" s="74"/>
      <c r="Z1199" s="74"/>
      <c r="AA1199" s="74"/>
      <c r="AB1199" s="74"/>
      <c r="AC1199" s="42"/>
      <c r="AD1199" s="42"/>
      <c r="AE1199" s="42"/>
      <c r="AF1199" s="42"/>
      <c r="AG1199" s="42"/>
      <c r="AH1199" s="42"/>
      <c r="AI1199" s="75"/>
      <c r="AJ1199" s="75"/>
      <c r="AK1199" s="75"/>
      <c r="AL1199" s="75"/>
      <c r="AM1199" s="74"/>
      <c r="AN1199" s="72" t="e">
        <f>VLOOKUP(H1199,[4]Planilha1!A$13:P$314,16,0)</f>
        <v>#N/A</v>
      </c>
    </row>
    <row r="1200" spans="1:40" s="69" customFormat="1" x14ac:dyDescent="0.25">
      <c r="A1200" s="88"/>
      <c r="B1200" s="88"/>
      <c r="C1200" s="70"/>
      <c r="D1200" s="70"/>
      <c r="E1200" s="70"/>
      <c r="F1200" s="70"/>
      <c r="G1200" s="70"/>
      <c r="H1200" s="422"/>
      <c r="I1200" s="422"/>
      <c r="J1200" s="418"/>
      <c r="K1200" s="403"/>
      <c r="L1200" s="73"/>
      <c r="M1200" s="72"/>
      <c r="N1200" s="72"/>
      <c r="O1200" s="72"/>
      <c r="P1200" s="42"/>
      <c r="Q1200" s="42"/>
      <c r="R1200" s="42"/>
      <c r="S1200" s="42"/>
      <c r="T1200" s="42"/>
      <c r="U1200" s="42"/>
      <c r="V1200" s="416"/>
      <c r="W1200" s="42"/>
      <c r="X1200" s="74"/>
      <c r="Y1200" s="74"/>
      <c r="Z1200" s="74"/>
      <c r="AA1200" s="74"/>
      <c r="AB1200" s="74"/>
      <c r="AC1200" s="42"/>
      <c r="AD1200" s="42"/>
      <c r="AE1200" s="42"/>
      <c r="AF1200" s="42"/>
      <c r="AG1200" s="42"/>
      <c r="AH1200" s="42"/>
      <c r="AI1200" s="75"/>
      <c r="AJ1200" s="75"/>
      <c r="AK1200" s="75"/>
      <c r="AL1200" s="75"/>
      <c r="AM1200" s="74"/>
      <c r="AN1200" s="72" t="e">
        <f>VLOOKUP(H1200,[4]Planilha1!A$13:P$314,16,0)</f>
        <v>#N/A</v>
      </c>
    </row>
    <row r="1201" spans="1:40" s="69" customFormat="1" x14ac:dyDescent="0.25">
      <c r="A1201" s="88"/>
      <c r="B1201" s="88"/>
      <c r="C1201" s="70"/>
      <c r="D1201" s="70"/>
      <c r="E1201" s="70"/>
      <c r="F1201" s="70"/>
      <c r="G1201" s="70"/>
      <c r="H1201" s="422"/>
      <c r="I1201" s="422"/>
      <c r="J1201" s="418"/>
      <c r="K1201" s="403"/>
      <c r="L1201" s="73"/>
      <c r="M1201" s="72"/>
      <c r="N1201" s="72"/>
      <c r="O1201" s="72"/>
      <c r="P1201" s="42"/>
      <c r="Q1201" s="42"/>
      <c r="R1201" s="42"/>
      <c r="S1201" s="42"/>
      <c r="T1201" s="42"/>
      <c r="U1201" s="42"/>
      <c r="V1201" s="416"/>
      <c r="W1201" s="42"/>
      <c r="X1201" s="74"/>
      <c r="Y1201" s="74"/>
      <c r="Z1201" s="74"/>
      <c r="AA1201" s="74"/>
      <c r="AB1201" s="74"/>
      <c r="AC1201" s="42"/>
      <c r="AD1201" s="42"/>
      <c r="AE1201" s="42"/>
      <c r="AF1201" s="42"/>
      <c r="AG1201" s="42"/>
      <c r="AH1201" s="42"/>
      <c r="AI1201" s="75"/>
      <c r="AJ1201" s="75"/>
      <c r="AK1201" s="75"/>
      <c r="AL1201" s="75"/>
      <c r="AM1201" s="74"/>
      <c r="AN1201" s="72" t="e">
        <f>VLOOKUP(H1201,[4]Planilha1!A$13:P$314,16,0)</f>
        <v>#N/A</v>
      </c>
    </row>
    <row r="1202" spans="1:40" s="69" customFormat="1" x14ac:dyDescent="0.25">
      <c r="A1202" s="88"/>
      <c r="B1202" s="88"/>
      <c r="C1202" s="70"/>
      <c r="D1202" s="70"/>
      <c r="E1202" s="70"/>
      <c r="F1202" s="70"/>
      <c r="G1202" s="70"/>
      <c r="H1202" s="422"/>
      <c r="I1202" s="422"/>
      <c r="J1202" s="418"/>
      <c r="K1202" s="403"/>
      <c r="L1202" s="73"/>
      <c r="M1202" s="72"/>
      <c r="N1202" s="72"/>
      <c r="O1202" s="72"/>
      <c r="P1202" s="42"/>
      <c r="Q1202" s="42"/>
      <c r="R1202" s="42"/>
      <c r="S1202" s="42"/>
      <c r="T1202" s="42"/>
      <c r="U1202" s="42"/>
      <c r="V1202" s="416"/>
      <c r="W1202" s="42"/>
      <c r="X1202" s="74"/>
      <c r="Y1202" s="74"/>
      <c r="Z1202" s="74"/>
      <c r="AA1202" s="74"/>
      <c r="AB1202" s="74"/>
      <c r="AC1202" s="42"/>
      <c r="AD1202" s="42"/>
      <c r="AE1202" s="42"/>
      <c r="AF1202" s="42"/>
      <c r="AG1202" s="42"/>
      <c r="AH1202" s="42"/>
      <c r="AI1202" s="75"/>
      <c r="AJ1202" s="75"/>
      <c r="AK1202" s="75"/>
      <c r="AL1202" s="75"/>
      <c r="AM1202" s="74"/>
      <c r="AN1202" s="72" t="e">
        <f>VLOOKUP(H1202,[4]Planilha1!A$13:P$314,16,0)</f>
        <v>#N/A</v>
      </c>
    </row>
    <row r="1203" spans="1:40" s="69" customFormat="1" x14ac:dyDescent="0.25">
      <c r="A1203" s="88"/>
      <c r="B1203" s="88"/>
      <c r="C1203" s="70"/>
      <c r="D1203" s="70"/>
      <c r="E1203" s="70"/>
      <c r="F1203" s="70"/>
      <c r="G1203" s="70"/>
      <c r="H1203" s="422"/>
      <c r="I1203" s="422"/>
      <c r="J1203" s="418"/>
      <c r="K1203" s="403"/>
      <c r="L1203" s="73"/>
      <c r="M1203" s="72"/>
      <c r="N1203" s="72"/>
      <c r="O1203" s="72"/>
      <c r="P1203" s="42"/>
      <c r="Q1203" s="42"/>
      <c r="R1203" s="42"/>
      <c r="S1203" s="42"/>
      <c r="T1203" s="42"/>
      <c r="U1203" s="42"/>
      <c r="V1203" s="416"/>
      <c r="W1203" s="42"/>
      <c r="X1203" s="74"/>
      <c r="Y1203" s="74"/>
      <c r="Z1203" s="74"/>
      <c r="AA1203" s="74"/>
      <c r="AB1203" s="74"/>
      <c r="AC1203" s="42"/>
      <c r="AD1203" s="42"/>
      <c r="AE1203" s="42"/>
      <c r="AF1203" s="42"/>
      <c r="AG1203" s="42"/>
      <c r="AH1203" s="42"/>
      <c r="AI1203" s="75"/>
      <c r="AJ1203" s="75"/>
      <c r="AK1203" s="75"/>
      <c r="AL1203" s="75"/>
      <c r="AM1203" s="74"/>
      <c r="AN1203" s="72" t="e">
        <f>VLOOKUP(H1203,[4]Planilha1!A$13:P$314,16,0)</f>
        <v>#N/A</v>
      </c>
    </row>
    <row r="1204" spans="1:40" s="69" customFormat="1" x14ac:dyDescent="0.25">
      <c r="A1204" s="88"/>
      <c r="B1204" s="88"/>
      <c r="C1204" s="70"/>
      <c r="D1204" s="70"/>
      <c r="E1204" s="70"/>
      <c r="F1204" s="70"/>
      <c r="G1204" s="70"/>
      <c r="H1204" s="422"/>
      <c r="I1204" s="422"/>
      <c r="J1204" s="418"/>
      <c r="K1204" s="403"/>
      <c r="L1204" s="73"/>
      <c r="M1204" s="72"/>
      <c r="N1204" s="72"/>
      <c r="O1204" s="72"/>
      <c r="P1204" s="42"/>
      <c r="Q1204" s="42"/>
      <c r="R1204" s="42"/>
      <c r="S1204" s="42"/>
      <c r="T1204" s="42"/>
      <c r="U1204" s="42"/>
      <c r="V1204" s="416"/>
      <c r="W1204" s="42"/>
      <c r="X1204" s="74"/>
      <c r="Y1204" s="74"/>
      <c r="Z1204" s="74"/>
      <c r="AA1204" s="74"/>
      <c r="AB1204" s="74"/>
      <c r="AC1204" s="42"/>
      <c r="AD1204" s="42"/>
      <c r="AE1204" s="42"/>
      <c r="AF1204" s="42"/>
      <c r="AG1204" s="42"/>
      <c r="AH1204" s="42"/>
      <c r="AI1204" s="75"/>
      <c r="AJ1204" s="75"/>
      <c r="AK1204" s="75"/>
      <c r="AL1204" s="75"/>
      <c r="AM1204" s="74"/>
      <c r="AN1204" s="72" t="e">
        <f>VLOOKUP(H1204,[4]Planilha1!A$13:P$314,16,0)</f>
        <v>#N/A</v>
      </c>
    </row>
    <row r="1205" spans="1:40" s="69" customFormat="1" x14ac:dyDescent="0.25">
      <c r="A1205" s="88"/>
      <c r="B1205" s="88"/>
      <c r="C1205" s="70"/>
      <c r="D1205" s="70"/>
      <c r="E1205" s="70"/>
      <c r="F1205" s="70"/>
      <c r="G1205" s="70"/>
      <c r="H1205" s="422"/>
      <c r="I1205" s="422"/>
      <c r="J1205" s="418"/>
      <c r="K1205" s="403"/>
      <c r="L1205" s="73"/>
      <c r="M1205" s="72"/>
      <c r="N1205" s="72"/>
      <c r="O1205" s="72"/>
      <c r="P1205" s="42"/>
      <c r="Q1205" s="42"/>
      <c r="R1205" s="42"/>
      <c r="S1205" s="42"/>
      <c r="T1205" s="42"/>
      <c r="U1205" s="42"/>
      <c r="V1205" s="416"/>
      <c r="W1205" s="42"/>
      <c r="X1205" s="74"/>
      <c r="Y1205" s="74"/>
      <c r="Z1205" s="74"/>
      <c r="AA1205" s="74"/>
      <c r="AB1205" s="74"/>
      <c r="AC1205" s="42"/>
      <c r="AD1205" s="42"/>
      <c r="AE1205" s="42"/>
      <c r="AF1205" s="42"/>
      <c r="AG1205" s="42"/>
      <c r="AH1205" s="42"/>
      <c r="AI1205" s="75"/>
      <c r="AJ1205" s="75"/>
      <c r="AK1205" s="75"/>
      <c r="AL1205" s="75"/>
      <c r="AM1205" s="74"/>
      <c r="AN1205" s="72" t="e">
        <f>VLOOKUP(H1205,[4]Planilha1!A$13:P$314,16,0)</f>
        <v>#N/A</v>
      </c>
    </row>
    <row r="1206" spans="1:40" s="69" customFormat="1" x14ac:dyDescent="0.25">
      <c r="A1206" s="88"/>
      <c r="B1206" s="88"/>
      <c r="C1206" s="70"/>
      <c r="D1206" s="70"/>
      <c r="E1206" s="70"/>
      <c r="F1206" s="70"/>
      <c r="G1206" s="70"/>
      <c r="H1206" s="422"/>
      <c r="I1206" s="422"/>
      <c r="J1206" s="418"/>
      <c r="K1206" s="403"/>
      <c r="L1206" s="73"/>
      <c r="M1206" s="72"/>
      <c r="N1206" s="72"/>
      <c r="O1206" s="72"/>
      <c r="P1206" s="42"/>
      <c r="Q1206" s="42"/>
      <c r="R1206" s="42"/>
      <c r="S1206" s="42"/>
      <c r="T1206" s="42"/>
      <c r="U1206" s="42"/>
      <c r="V1206" s="416"/>
      <c r="W1206" s="42"/>
      <c r="X1206" s="74"/>
      <c r="Y1206" s="74"/>
      <c r="Z1206" s="74"/>
      <c r="AA1206" s="74"/>
      <c r="AB1206" s="74"/>
      <c r="AC1206" s="42"/>
      <c r="AD1206" s="42"/>
      <c r="AE1206" s="42"/>
      <c r="AF1206" s="42"/>
      <c r="AG1206" s="42"/>
      <c r="AH1206" s="42"/>
      <c r="AI1206" s="75"/>
      <c r="AJ1206" s="75"/>
      <c r="AK1206" s="75"/>
      <c r="AL1206" s="75"/>
      <c r="AM1206" s="74"/>
      <c r="AN1206" s="72" t="e">
        <f>VLOOKUP(H1206,[4]Planilha1!A$13:P$314,16,0)</f>
        <v>#N/A</v>
      </c>
    </row>
    <row r="1207" spans="1:40" s="69" customFormat="1" x14ac:dyDescent="0.25">
      <c r="A1207" s="88"/>
      <c r="B1207" s="88"/>
      <c r="C1207" s="70"/>
      <c r="D1207" s="70"/>
      <c r="E1207" s="70"/>
      <c r="F1207" s="70"/>
      <c r="G1207" s="70"/>
      <c r="H1207" s="422"/>
      <c r="I1207" s="422"/>
      <c r="J1207" s="418"/>
      <c r="K1207" s="403"/>
      <c r="L1207" s="73"/>
      <c r="M1207" s="72"/>
      <c r="N1207" s="72"/>
      <c r="O1207" s="72"/>
      <c r="P1207" s="42"/>
      <c r="Q1207" s="42"/>
      <c r="R1207" s="42"/>
      <c r="S1207" s="42"/>
      <c r="T1207" s="42"/>
      <c r="U1207" s="42"/>
      <c r="V1207" s="416"/>
      <c r="W1207" s="42"/>
      <c r="X1207" s="74"/>
      <c r="Y1207" s="74"/>
      <c r="Z1207" s="74"/>
      <c r="AA1207" s="74"/>
      <c r="AB1207" s="74"/>
      <c r="AC1207" s="42"/>
      <c r="AD1207" s="42"/>
      <c r="AE1207" s="42"/>
      <c r="AF1207" s="42"/>
      <c r="AG1207" s="42"/>
      <c r="AH1207" s="42"/>
      <c r="AI1207" s="75"/>
      <c r="AJ1207" s="75"/>
      <c r="AK1207" s="75"/>
      <c r="AL1207" s="75"/>
      <c r="AM1207" s="74"/>
      <c r="AN1207" s="72" t="e">
        <f>VLOOKUP(H1207,[4]Planilha1!A$13:P$314,16,0)</f>
        <v>#N/A</v>
      </c>
    </row>
    <row r="1208" spans="1:40" s="69" customFormat="1" x14ac:dyDescent="0.25">
      <c r="A1208" s="88"/>
      <c r="B1208" s="88"/>
      <c r="C1208" s="70"/>
      <c r="D1208" s="70"/>
      <c r="E1208" s="70"/>
      <c r="F1208" s="70"/>
      <c r="G1208" s="70"/>
      <c r="H1208" s="422"/>
      <c r="I1208" s="422"/>
      <c r="J1208" s="418"/>
      <c r="K1208" s="403"/>
      <c r="L1208" s="73"/>
      <c r="M1208" s="72"/>
      <c r="N1208" s="72"/>
      <c r="O1208" s="72"/>
      <c r="P1208" s="42"/>
      <c r="Q1208" s="42"/>
      <c r="R1208" s="42"/>
      <c r="S1208" s="42"/>
      <c r="T1208" s="42"/>
      <c r="U1208" s="42"/>
      <c r="V1208" s="416"/>
      <c r="W1208" s="42"/>
      <c r="X1208" s="74"/>
      <c r="Y1208" s="74"/>
      <c r="Z1208" s="74"/>
      <c r="AA1208" s="74"/>
      <c r="AB1208" s="74"/>
      <c r="AC1208" s="42"/>
      <c r="AD1208" s="42"/>
      <c r="AE1208" s="42"/>
      <c r="AF1208" s="42"/>
      <c r="AG1208" s="42"/>
      <c r="AH1208" s="42"/>
      <c r="AI1208" s="75"/>
      <c r="AJ1208" s="75"/>
      <c r="AK1208" s="75"/>
      <c r="AL1208" s="75"/>
      <c r="AM1208" s="74"/>
      <c r="AN1208" s="72" t="e">
        <f>VLOOKUP(H1208,[4]Planilha1!A$13:P$314,16,0)</f>
        <v>#N/A</v>
      </c>
    </row>
    <row r="1209" spans="1:40" s="69" customFormat="1" x14ac:dyDescent="0.25">
      <c r="A1209" s="88"/>
      <c r="B1209" s="88"/>
      <c r="C1209" s="70"/>
      <c r="D1209" s="70"/>
      <c r="E1209" s="70"/>
      <c r="F1209" s="70"/>
      <c r="G1209" s="70"/>
      <c r="H1209" s="422"/>
      <c r="I1209" s="422"/>
      <c r="J1209" s="418"/>
      <c r="K1209" s="403"/>
      <c r="L1209" s="73"/>
      <c r="M1209" s="72"/>
      <c r="N1209" s="72"/>
      <c r="O1209" s="72"/>
      <c r="P1209" s="42"/>
      <c r="Q1209" s="42"/>
      <c r="R1209" s="42"/>
      <c r="S1209" s="42"/>
      <c r="T1209" s="42"/>
      <c r="U1209" s="42"/>
      <c r="V1209" s="416"/>
      <c r="W1209" s="42"/>
      <c r="X1209" s="74"/>
      <c r="Y1209" s="74"/>
      <c r="Z1209" s="74"/>
      <c r="AA1209" s="74"/>
      <c r="AB1209" s="74"/>
      <c r="AC1209" s="42"/>
      <c r="AD1209" s="42"/>
      <c r="AE1209" s="42"/>
      <c r="AF1209" s="42"/>
      <c r="AG1209" s="42"/>
      <c r="AH1209" s="42"/>
      <c r="AI1209" s="75"/>
      <c r="AJ1209" s="75"/>
      <c r="AK1209" s="75"/>
      <c r="AL1209" s="75"/>
      <c r="AM1209" s="74"/>
      <c r="AN1209" s="72" t="e">
        <f>VLOOKUP(H1209,[4]Planilha1!A$13:P$314,16,0)</f>
        <v>#N/A</v>
      </c>
    </row>
    <row r="1210" spans="1:40" s="69" customFormat="1" x14ac:dyDescent="0.25">
      <c r="A1210" s="88"/>
      <c r="B1210" s="88"/>
      <c r="C1210" s="70"/>
      <c r="D1210" s="70"/>
      <c r="E1210" s="70"/>
      <c r="F1210" s="70"/>
      <c r="G1210" s="70"/>
      <c r="H1210" s="422"/>
      <c r="I1210" s="422"/>
      <c r="J1210" s="418"/>
      <c r="K1210" s="403"/>
      <c r="L1210" s="73"/>
      <c r="M1210" s="72"/>
      <c r="N1210" s="72"/>
      <c r="O1210" s="72"/>
      <c r="P1210" s="42"/>
      <c r="Q1210" s="42"/>
      <c r="R1210" s="42"/>
      <c r="S1210" s="42"/>
      <c r="T1210" s="42"/>
      <c r="U1210" s="42"/>
      <c r="V1210" s="416"/>
      <c r="W1210" s="42"/>
      <c r="X1210" s="74"/>
      <c r="Y1210" s="74"/>
      <c r="Z1210" s="74"/>
      <c r="AA1210" s="74"/>
      <c r="AB1210" s="74"/>
      <c r="AC1210" s="42"/>
      <c r="AD1210" s="42"/>
      <c r="AE1210" s="42"/>
      <c r="AF1210" s="42"/>
      <c r="AG1210" s="42"/>
      <c r="AH1210" s="42"/>
      <c r="AI1210" s="75"/>
      <c r="AJ1210" s="75"/>
      <c r="AK1210" s="75"/>
      <c r="AL1210" s="75"/>
      <c r="AM1210" s="74"/>
      <c r="AN1210" s="72" t="e">
        <f>VLOOKUP(H1210,[4]Planilha1!A$13:P$314,16,0)</f>
        <v>#N/A</v>
      </c>
    </row>
    <row r="1211" spans="1:40" s="69" customFormat="1" x14ac:dyDescent="0.25">
      <c r="A1211" s="88"/>
      <c r="B1211" s="88"/>
      <c r="C1211" s="70"/>
      <c r="D1211" s="70"/>
      <c r="E1211" s="70"/>
      <c r="F1211" s="70"/>
      <c r="G1211" s="70"/>
      <c r="H1211" s="422"/>
      <c r="I1211" s="422"/>
      <c r="J1211" s="418"/>
      <c r="K1211" s="403"/>
      <c r="L1211" s="73"/>
      <c r="M1211" s="72"/>
      <c r="N1211" s="72"/>
      <c r="O1211" s="72"/>
      <c r="P1211" s="42"/>
      <c r="Q1211" s="42"/>
      <c r="R1211" s="42"/>
      <c r="S1211" s="42"/>
      <c r="T1211" s="42"/>
      <c r="U1211" s="42"/>
      <c r="V1211" s="416"/>
      <c r="W1211" s="42"/>
      <c r="X1211" s="74"/>
      <c r="Y1211" s="74"/>
      <c r="Z1211" s="74"/>
      <c r="AA1211" s="74"/>
      <c r="AB1211" s="74"/>
      <c r="AC1211" s="42"/>
      <c r="AD1211" s="42"/>
      <c r="AE1211" s="42"/>
      <c r="AF1211" s="42"/>
      <c r="AG1211" s="42"/>
      <c r="AH1211" s="42"/>
      <c r="AI1211" s="75"/>
      <c r="AJ1211" s="75"/>
      <c r="AK1211" s="75"/>
      <c r="AL1211" s="75"/>
      <c r="AM1211" s="74"/>
      <c r="AN1211" s="72" t="e">
        <f>VLOOKUP(H1211,[4]Planilha1!A$13:P$314,16,0)</f>
        <v>#N/A</v>
      </c>
    </row>
    <row r="1212" spans="1:40" s="69" customFormat="1" x14ac:dyDescent="0.25">
      <c r="A1212" s="88"/>
      <c r="B1212" s="88"/>
      <c r="C1212" s="70"/>
      <c r="D1212" s="70"/>
      <c r="E1212" s="70"/>
      <c r="F1212" s="70"/>
      <c r="G1212" s="70"/>
      <c r="H1212" s="422"/>
      <c r="I1212" s="422"/>
      <c r="J1212" s="418"/>
      <c r="K1212" s="403"/>
      <c r="L1212" s="73"/>
      <c r="M1212" s="72"/>
      <c r="N1212" s="72"/>
      <c r="O1212" s="72"/>
      <c r="P1212" s="42"/>
      <c r="Q1212" s="42"/>
      <c r="R1212" s="42"/>
      <c r="S1212" s="42"/>
      <c r="T1212" s="42"/>
      <c r="U1212" s="42"/>
      <c r="V1212" s="416"/>
      <c r="W1212" s="42"/>
      <c r="X1212" s="74"/>
      <c r="Y1212" s="74"/>
      <c r="Z1212" s="74"/>
      <c r="AA1212" s="74"/>
      <c r="AB1212" s="74"/>
      <c r="AC1212" s="42"/>
      <c r="AD1212" s="42"/>
      <c r="AE1212" s="42"/>
      <c r="AF1212" s="42"/>
      <c r="AG1212" s="42"/>
      <c r="AH1212" s="42"/>
      <c r="AI1212" s="75"/>
      <c r="AJ1212" s="75"/>
      <c r="AK1212" s="75"/>
      <c r="AL1212" s="75"/>
      <c r="AM1212" s="74"/>
      <c r="AN1212" s="72" t="e">
        <f>VLOOKUP(H1212,[4]Planilha1!A$13:P$314,16,0)</f>
        <v>#N/A</v>
      </c>
    </row>
    <row r="1213" spans="1:40" s="69" customFormat="1" x14ac:dyDescent="0.25">
      <c r="A1213" s="88"/>
      <c r="B1213" s="88"/>
      <c r="C1213" s="70"/>
      <c r="D1213" s="70"/>
      <c r="E1213" s="70"/>
      <c r="F1213" s="70"/>
      <c r="G1213" s="70"/>
      <c r="H1213" s="422"/>
      <c r="I1213" s="422"/>
      <c r="J1213" s="418"/>
      <c r="K1213" s="403"/>
      <c r="L1213" s="73"/>
      <c r="M1213" s="72"/>
      <c r="N1213" s="72"/>
      <c r="O1213" s="72"/>
      <c r="P1213" s="42"/>
      <c r="Q1213" s="42"/>
      <c r="R1213" s="42"/>
      <c r="S1213" s="42"/>
      <c r="T1213" s="42"/>
      <c r="U1213" s="42"/>
      <c r="V1213" s="416"/>
      <c r="W1213" s="42"/>
      <c r="X1213" s="74"/>
      <c r="Y1213" s="74"/>
      <c r="Z1213" s="74"/>
      <c r="AA1213" s="74"/>
      <c r="AB1213" s="74"/>
      <c r="AC1213" s="42"/>
      <c r="AD1213" s="42"/>
      <c r="AE1213" s="42"/>
      <c r="AF1213" s="42"/>
      <c r="AG1213" s="42"/>
      <c r="AH1213" s="42"/>
      <c r="AI1213" s="75"/>
      <c r="AJ1213" s="75"/>
      <c r="AK1213" s="75"/>
      <c r="AL1213" s="75"/>
      <c r="AM1213" s="74"/>
      <c r="AN1213" s="72" t="e">
        <f>VLOOKUP(H1213,[4]Planilha1!A$13:P$314,16,0)</f>
        <v>#N/A</v>
      </c>
    </row>
    <row r="1214" spans="1:40" s="69" customFormat="1" x14ac:dyDescent="0.25">
      <c r="A1214" s="88"/>
      <c r="B1214" s="88"/>
      <c r="C1214" s="70"/>
      <c r="D1214" s="70"/>
      <c r="E1214" s="70"/>
      <c r="F1214" s="70"/>
      <c r="G1214" s="70"/>
      <c r="H1214" s="422"/>
      <c r="I1214" s="422"/>
      <c r="J1214" s="418"/>
      <c r="K1214" s="403"/>
      <c r="L1214" s="73"/>
      <c r="M1214" s="72"/>
      <c r="N1214" s="72"/>
      <c r="O1214" s="72"/>
      <c r="P1214" s="42"/>
      <c r="Q1214" s="42"/>
      <c r="R1214" s="42"/>
      <c r="S1214" s="42"/>
      <c r="T1214" s="42"/>
      <c r="U1214" s="42"/>
      <c r="V1214" s="416"/>
      <c r="W1214" s="42"/>
      <c r="X1214" s="74"/>
      <c r="Y1214" s="74"/>
      <c r="Z1214" s="74"/>
      <c r="AA1214" s="74"/>
      <c r="AB1214" s="74"/>
      <c r="AC1214" s="42"/>
      <c r="AD1214" s="42"/>
      <c r="AE1214" s="42"/>
      <c r="AF1214" s="42"/>
      <c r="AG1214" s="42"/>
      <c r="AH1214" s="42"/>
      <c r="AI1214" s="75"/>
      <c r="AJ1214" s="75"/>
      <c r="AK1214" s="75"/>
      <c r="AL1214" s="75"/>
      <c r="AM1214" s="74"/>
      <c r="AN1214" s="72" t="e">
        <f>VLOOKUP(H1214,[4]Planilha1!A$13:P$314,16,0)</f>
        <v>#N/A</v>
      </c>
    </row>
    <row r="1215" spans="1:40" s="69" customFormat="1" x14ac:dyDescent="0.25">
      <c r="A1215" s="88"/>
      <c r="B1215" s="88"/>
      <c r="C1215" s="70"/>
      <c r="D1215" s="70"/>
      <c r="E1215" s="70"/>
      <c r="F1215" s="70"/>
      <c r="G1215" s="70"/>
      <c r="H1215" s="422"/>
      <c r="I1215" s="422"/>
      <c r="J1215" s="418"/>
      <c r="K1215" s="403"/>
      <c r="L1215" s="73"/>
      <c r="M1215" s="72"/>
      <c r="N1215" s="72"/>
      <c r="O1215" s="72"/>
      <c r="P1215" s="42"/>
      <c r="Q1215" s="42"/>
      <c r="R1215" s="42"/>
      <c r="S1215" s="42"/>
      <c r="T1215" s="42"/>
      <c r="U1215" s="42"/>
      <c r="V1215" s="416"/>
      <c r="W1215" s="42"/>
      <c r="X1215" s="74"/>
      <c r="Y1215" s="74"/>
      <c r="Z1215" s="74"/>
      <c r="AA1215" s="74"/>
      <c r="AB1215" s="74"/>
      <c r="AC1215" s="42"/>
      <c r="AD1215" s="42"/>
      <c r="AE1215" s="42"/>
      <c r="AF1215" s="42"/>
      <c r="AG1215" s="42"/>
      <c r="AH1215" s="42"/>
      <c r="AI1215" s="75"/>
      <c r="AJ1215" s="75"/>
      <c r="AK1215" s="75"/>
      <c r="AL1215" s="75"/>
      <c r="AM1215" s="74"/>
      <c r="AN1215" s="72" t="e">
        <f>VLOOKUP(H1215,[4]Planilha1!A$13:P$314,16,0)</f>
        <v>#N/A</v>
      </c>
    </row>
    <row r="1216" spans="1:40" s="69" customFormat="1" x14ac:dyDescent="0.25">
      <c r="A1216" s="88"/>
      <c r="B1216" s="88"/>
      <c r="C1216" s="70"/>
      <c r="D1216" s="70"/>
      <c r="E1216" s="70"/>
      <c r="F1216" s="70"/>
      <c r="G1216" s="70"/>
      <c r="H1216" s="422"/>
      <c r="I1216" s="422"/>
      <c r="J1216" s="418"/>
      <c r="K1216" s="403"/>
      <c r="L1216" s="73"/>
      <c r="M1216" s="72"/>
      <c r="N1216" s="72"/>
      <c r="O1216" s="72"/>
      <c r="P1216" s="42"/>
      <c r="Q1216" s="42"/>
      <c r="R1216" s="42"/>
      <c r="S1216" s="42"/>
      <c r="T1216" s="42"/>
      <c r="U1216" s="42"/>
      <c r="V1216" s="416"/>
      <c r="W1216" s="42"/>
      <c r="X1216" s="74"/>
      <c r="Y1216" s="74"/>
      <c r="Z1216" s="74"/>
      <c r="AA1216" s="74"/>
      <c r="AB1216" s="74"/>
      <c r="AC1216" s="42"/>
      <c r="AD1216" s="42"/>
      <c r="AE1216" s="42"/>
      <c r="AF1216" s="42"/>
      <c r="AG1216" s="42"/>
      <c r="AH1216" s="42"/>
      <c r="AI1216" s="75"/>
      <c r="AJ1216" s="75"/>
      <c r="AK1216" s="75"/>
      <c r="AL1216" s="75"/>
      <c r="AM1216" s="74"/>
      <c r="AN1216" s="72" t="e">
        <f>VLOOKUP(H1216,[4]Planilha1!A$13:P$314,16,0)</f>
        <v>#N/A</v>
      </c>
    </row>
    <row r="1217" spans="1:40" s="69" customFormat="1" x14ac:dyDescent="0.25">
      <c r="A1217" s="88"/>
      <c r="B1217" s="88"/>
      <c r="C1217" s="70"/>
      <c r="D1217" s="70"/>
      <c r="E1217" s="70"/>
      <c r="F1217" s="70"/>
      <c r="G1217" s="70"/>
      <c r="H1217" s="422"/>
      <c r="I1217" s="422"/>
      <c r="J1217" s="418"/>
      <c r="K1217" s="403"/>
      <c r="L1217" s="73"/>
      <c r="M1217" s="72"/>
      <c r="N1217" s="72"/>
      <c r="O1217" s="72"/>
      <c r="P1217" s="42"/>
      <c r="Q1217" s="42"/>
      <c r="R1217" s="42"/>
      <c r="S1217" s="42"/>
      <c r="T1217" s="42"/>
      <c r="U1217" s="42"/>
      <c r="V1217" s="416"/>
      <c r="W1217" s="42"/>
      <c r="X1217" s="74"/>
      <c r="Y1217" s="74"/>
      <c r="Z1217" s="74"/>
      <c r="AA1217" s="74"/>
      <c r="AB1217" s="74"/>
      <c r="AC1217" s="42"/>
      <c r="AD1217" s="42"/>
      <c r="AE1217" s="42"/>
      <c r="AF1217" s="42"/>
      <c r="AG1217" s="42"/>
      <c r="AH1217" s="42"/>
      <c r="AI1217" s="75"/>
      <c r="AJ1217" s="75"/>
      <c r="AK1217" s="75"/>
      <c r="AL1217" s="75"/>
      <c r="AM1217" s="74"/>
      <c r="AN1217" s="72" t="e">
        <f>VLOOKUP(H1217,[4]Planilha1!A$13:P$314,16,0)</f>
        <v>#N/A</v>
      </c>
    </row>
    <row r="1218" spans="1:40" s="69" customFormat="1" x14ac:dyDescent="0.25">
      <c r="A1218" s="88"/>
      <c r="B1218" s="88"/>
      <c r="C1218" s="70"/>
      <c r="D1218" s="70"/>
      <c r="E1218" s="70"/>
      <c r="F1218" s="70"/>
      <c r="G1218" s="70"/>
      <c r="H1218" s="422"/>
      <c r="I1218" s="422"/>
      <c r="J1218" s="418"/>
      <c r="K1218" s="403"/>
      <c r="L1218" s="73"/>
      <c r="M1218" s="72"/>
      <c r="N1218" s="72"/>
      <c r="O1218" s="72"/>
      <c r="P1218" s="42"/>
      <c r="Q1218" s="42"/>
      <c r="R1218" s="42"/>
      <c r="S1218" s="42"/>
      <c r="T1218" s="42"/>
      <c r="U1218" s="42"/>
      <c r="V1218" s="416"/>
      <c r="W1218" s="42"/>
      <c r="X1218" s="74"/>
      <c r="Y1218" s="74"/>
      <c r="Z1218" s="74"/>
      <c r="AA1218" s="74"/>
      <c r="AB1218" s="74"/>
      <c r="AC1218" s="42"/>
      <c r="AD1218" s="42"/>
      <c r="AE1218" s="42"/>
      <c r="AF1218" s="42"/>
      <c r="AG1218" s="42"/>
      <c r="AH1218" s="42"/>
      <c r="AI1218" s="75"/>
      <c r="AJ1218" s="75"/>
      <c r="AK1218" s="75"/>
      <c r="AL1218" s="75"/>
      <c r="AM1218" s="74"/>
      <c r="AN1218" s="72" t="e">
        <f>VLOOKUP(H1218,[4]Planilha1!A$13:P$314,16,0)</f>
        <v>#N/A</v>
      </c>
    </row>
    <row r="1219" spans="1:40" s="69" customFormat="1" x14ac:dyDescent="0.25">
      <c r="A1219" s="88"/>
      <c r="B1219" s="88"/>
      <c r="C1219" s="70"/>
      <c r="D1219" s="70"/>
      <c r="E1219" s="70"/>
      <c r="F1219" s="70"/>
      <c r="G1219" s="70"/>
      <c r="H1219" s="422"/>
      <c r="I1219" s="422"/>
      <c r="J1219" s="418"/>
      <c r="K1219" s="403"/>
      <c r="L1219" s="73"/>
      <c r="M1219" s="72"/>
      <c r="N1219" s="72"/>
      <c r="O1219" s="72"/>
      <c r="P1219" s="42"/>
      <c r="Q1219" s="42"/>
      <c r="R1219" s="42"/>
      <c r="S1219" s="42"/>
      <c r="T1219" s="42"/>
      <c r="U1219" s="42"/>
      <c r="V1219" s="416"/>
      <c r="W1219" s="42"/>
      <c r="X1219" s="74"/>
      <c r="Y1219" s="74"/>
      <c r="Z1219" s="74"/>
      <c r="AA1219" s="74"/>
      <c r="AB1219" s="74"/>
      <c r="AC1219" s="42"/>
      <c r="AD1219" s="42"/>
      <c r="AE1219" s="42"/>
      <c r="AF1219" s="42"/>
      <c r="AG1219" s="42"/>
      <c r="AH1219" s="42"/>
      <c r="AI1219" s="75"/>
      <c r="AJ1219" s="75"/>
      <c r="AK1219" s="75"/>
      <c r="AL1219" s="75"/>
      <c r="AM1219" s="74"/>
      <c r="AN1219" s="72" t="e">
        <f>VLOOKUP(H1219,[4]Planilha1!A$13:P$314,16,0)</f>
        <v>#N/A</v>
      </c>
    </row>
    <row r="1220" spans="1:40" s="69" customFormat="1" x14ac:dyDescent="0.25">
      <c r="A1220" s="88"/>
      <c r="B1220" s="88"/>
      <c r="C1220" s="70"/>
      <c r="D1220" s="70"/>
      <c r="E1220" s="70"/>
      <c r="F1220" s="70"/>
      <c r="G1220" s="70"/>
      <c r="H1220" s="422"/>
      <c r="I1220" s="422"/>
      <c r="J1220" s="418"/>
      <c r="K1220" s="403"/>
      <c r="L1220" s="73"/>
      <c r="M1220" s="72"/>
      <c r="N1220" s="72"/>
      <c r="O1220" s="72"/>
      <c r="P1220" s="42"/>
      <c r="Q1220" s="42"/>
      <c r="R1220" s="42"/>
      <c r="S1220" s="42"/>
      <c r="T1220" s="42"/>
      <c r="U1220" s="42"/>
      <c r="V1220" s="416"/>
      <c r="W1220" s="42"/>
      <c r="X1220" s="74"/>
      <c r="Y1220" s="74"/>
      <c r="Z1220" s="74"/>
      <c r="AA1220" s="74"/>
      <c r="AB1220" s="74"/>
      <c r="AC1220" s="42"/>
      <c r="AD1220" s="42"/>
      <c r="AE1220" s="42"/>
      <c r="AF1220" s="42"/>
      <c r="AG1220" s="42"/>
      <c r="AH1220" s="42"/>
      <c r="AI1220" s="75"/>
      <c r="AJ1220" s="75"/>
      <c r="AK1220" s="75"/>
      <c r="AL1220" s="75"/>
      <c r="AM1220" s="74"/>
      <c r="AN1220" s="72" t="e">
        <f>VLOOKUP(H1220,[4]Planilha1!A$13:P$314,16,0)</f>
        <v>#N/A</v>
      </c>
    </row>
    <row r="1221" spans="1:40" s="69" customFormat="1" x14ac:dyDescent="0.25">
      <c r="A1221" s="88"/>
      <c r="B1221" s="88"/>
      <c r="C1221" s="70"/>
      <c r="D1221" s="70"/>
      <c r="E1221" s="70"/>
      <c r="F1221" s="70"/>
      <c r="G1221" s="70"/>
      <c r="H1221" s="422"/>
      <c r="I1221" s="422"/>
      <c r="J1221" s="418"/>
      <c r="K1221" s="403"/>
      <c r="L1221" s="73"/>
      <c r="M1221" s="72"/>
      <c r="N1221" s="72"/>
      <c r="O1221" s="72"/>
      <c r="P1221" s="42"/>
      <c r="Q1221" s="42"/>
      <c r="R1221" s="42"/>
      <c r="S1221" s="42"/>
      <c r="T1221" s="42"/>
      <c r="U1221" s="42"/>
      <c r="V1221" s="416"/>
      <c r="W1221" s="42"/>
      <c r="X1221" s="74"/>
      <c r="Y1221" s="74"/>
      <c r="Z1221" s="74"/>
      <c r="AA1221" s="74"/>
      <c r="AB1221" s="74"/>
      <c r="AC1221" s="42"/>
      <c r="AD1221" s="42"/>
      <c r="AE1221" s="42"/>
      <c r="AF1221" s="42"/>
      <c r="AG1221" s="42"/>
      <c r="AH1221" s="42"/>
      <c r="AI1221" s="75"/>
      <c r="AJ1221" s="75"/>
      <c r="AK1221" s="75"/>
      <c r="AL1221" s="75"/>
      <c r="AM1221" s="74"/>
      <c r="AN1221" s="72" t="e">
        <f>VLOOKUP(H1221,[4]Planilha1!A$13:P$314,16,0)</f>
        <v>#N/A</v>
      </c>
    </row>
    <row r="1222" spans="1:40" s="69" customFormat="1" x14ac:dyDescent="0.25">
      <c r="A1222" s="88"/>
      <c r="B1222" s="88"/>
      <c r="C1222" s="70"/>
      <c r="D1222" s="70"/>
      <c r="E1222" s="70"/>
      <c r="F1222" s="70"/>
      <c r="G1222" s="70"/>
      <c r="H1222" s="422"/>
      <c r="I1222" s="422"/>
      <c r="J1222" s="418"/>
      <c r="K1222" s="403"/>
      <c r="L1222" s="73"/>
      <c r="M1222" s="72"/>
      <c r="N1222" s="72"/>
      <c r="O1222" s="72"/>
      <c r="P1222" s="42"/>
      <c r="Q1222" s="42"/>
      <c r="R1222" s="42"/>
      <c r="S1222" s="42"/>
      <c r="T1222" s="42"/>
      <c r="U1222" s="42"/>
      <c r="V1222" s="416"/>
      <c r="W1222" s="42"/>
      <c r="X1222" s="74"/>
      <c r="Y1222" s="74"/>
      <c r="Z1222" s="74"/>
      <c r="AA1222" s="74"/>
      <c r="AB1222" s="74"/>
      <c r="AC1222" s="42"/>
      <c r="AD1222" s="42"/>
      <c r="AE1222" s="42"/>
      <c r="AF1222" s="42"/>
      <c r="AG1222" s="42"/>
      <c r="AH1222" s="42"/>
      <c r="AI1222" s="75"/>
      <c r="AJ1222" s="75"/>
      <c r="AK1222" s="75"/>
      <c r="AL1222" s="75"/>
      <c r="AM1222" s="74"/>
      <c r="AN1222" s="72" t="e">
        <f>VLOOKUP(H1222,[4]Planilha1!A$13:P$314,16,0)</f>
        <v>#N/A</v>
      </c>
    </row>
    <row r="1223" spans="1:40" s="69" customFormat="1" x14ac:dyDescent="0.25">
      <c r="A1223" s="88"/>
      <c r="B1223" s="88"/>
      <c r="C1223" s="70"/>
      <c r="D1223" s="70"/>
      <c r="E1223" s="70"/>
      <c r="F1223" s="70"/>
      <c r="G1223" s="70"/>
      <c r="H1223" s="422"/>
      <c r="I1223" s="422"/>
      <c r="J1223" s="418"/>
      <c r="K1223" s="403"/>
      <c r="L1223" s="73"/>
      <c r="M1223" s="72"/>
      <c r="N1223" s="72"/>
      <c r="O1223" s="72"/>
      <c r="P1223" s="42"/>
      <c r="Q1223" s="42"/>
      <c r="R1223" s="42"/>
      <c r="S1223" s="42"/>
      <c r="T1223" s="42"/>
      <c r="U1223" s="42"/>
      <c r="V1223" s="416"/>
      <c r="W1223" s="42"/>
      <c r="X1223" s="74"/>
      <c r="Y1223" s="74"/>
      <c r="Z1223" s="74"/>
      <c r="AA1223" s="74"/>
      <c r="AB1223" s="74"/>
      <c r="AC1223" s="42"/>
      <c r="AD1223" s="42"/>
      <c r="AE1223" s="42"/>
      <c r="AF1223" s="42"/>
      <c r="AG1223" s="42"/>
      <c r="AH1223" s="42"/>
      <c r="AI1223" s="75"/>
      <c r="AJ1223" s="75"/>
      <c r="AK1223" s="75"/>
      <c r="AL1223" s="75"/>
      <c r="AM1223" s="74"/>
      <c r="AN1223" s="72" t="e">
        <f>VLOOKUP(H1223,[4]Planilha1!A$13:P$314,16,0)</f>
        <v>#N/A</v>
      </c>
    </row>
    <row r="1224" spans="1:40" s="69" customFormat="1" x14ac:dyDescent="0.25">
      <c r="A1224" s="88"/>
      <c r="B1224" s="88"/>
      <c r="C1224" s="70"/>
      <c r="D1224" s="70"/>
      <c r="E1224" s="70"/>
      <c r="F1224" s="70"/>
      <c r="G1224" s="70"/>
      <c r="H1224" s="422"/>
      <c r="I1224" s="422"/>
      <c r="J1224" s="418"/>
      <c r="K1224" s="403"/>
      <c r="L1224" s="73"/>
      <c r="M1224" s="72"/>
      <c r="N1224" s="72"/>
      <c r="O1224" s="72"/>
      <c r="P1224" s="42"/>
      <c r="Q1224" s="42"/>
      <c r="R1224" s="42"/>
      <c r="S1224" s="42"/>
      <c r="T1224" s="42"/>
      <c r="U1224" s="42"/>
      <c r="V1224" s="416"/>
      <c r="W1224" s="42"/>
      <c r="X1224" s="74"/>
      <c r="Y1224" s="74"/>
      <c r="Z1224" s="74"/>
      <c r="AA1224" s="74"/>
      <c r="AB1224" s="74"/>
      <c r="AC1224" s="42"/>
      <c r="AD1224" s="42"/>
      <c r="AE1224" s="42"/>
      <c r="AF1224" s="42"/>
      <c r="AG1224" s="42"/>
      <c r="AH1224" s="42"/>
      <c r="AI1224" s="75"/>
      <c r="AJ1224" s="75"/>
      <c r="AK1224" s="75"/>
      <c r="AL1224" s="75"/>
      <c r="AM1224" s="74"/>
      <c r="AN1224" s="72" t="e">
        <f>VLOOKUP(H1224,[4]Planilha1!A$13:P$314,16,0)</f>
        <v>#N/A</v>
      </c>
    </row>
    <row r="1225" spans="1:40" s="69" customFormat="1" x14ac:dyDescent="0.25">
      <c r="A1225" s="88"/>
      <c r="B1225" s="88"/>
      <c r="C1225" s="70"/>
      <c r="D1225" s="70"/>
      <c r="E1225" s="70"/>
      <c r="F1225" s="70"/>
      <c r="G1225" s="70"/>
      <c r="H1225" s="422"/>
      <c r="I1225" s="422"/>
      <c r="J1225" s="418"/>
      <c r="K1225" s="403"/>
      <c r="L1225" s="73"/>
      <c r="M1225" s="72"/>
      <c r="N1225" s="72"/>
      <c r="O1225" s="72"/>
      <c r="P1225" s="42"/>
      <c r="Q1225" s="42"/>
      <c r="R1225" s="42"/>
      <c r="S1225" s="42"/>
      <c r="T1225" s="42"/>
      <c r="U1225" s="42"/>
      <c r="V1225" s="416"/>
      <c r="W1225" s="42"/>
      <c r="X1225" s="74"/>
      <c r="Y1225" s="74"/>
      <c r="Z1225" s="74"/>
      <c r="AA1225" s="74"/>
      <c r="AB1225" s="74"/>
      <c r="AC1225" s="42"/>
      <c r="AD1225" s="42"/>
      <c r="AE1225" s="42"/>
      <c r="AF1225" s="42"/>
      <c r="AG1225" s="42"/>
      <c r="AH1225" s="42"/>
      <c r="AI1225" s="75"/>
      <c r="AJ1225" s="75"/>
      <c r="AK1225" s="75"/>
      <c r="AL1225" s="75"/>
      <c r="AM1225" s="74"/>
      <c r="AN1225" s="72" t="e">
        <f>VLOOKUP(H1225,[4]Planilha1!A$13:P$314,16,0)</f>
        <v>#N/A</v>
      </c>
    </row>
    <row r="1226" spans="1:40" s="69" customFormat="1" x14ac:dyDescent="0.25">
      <c r="A1226" s="88"/>
      <c r="B1226" s="88"/>
      <c r="C1226" s="70"/>
      <c r="D1226" s="70"/>
      <c r="E1226" s="70"/>
      <c r="F1226" s="70"/>
      <c r="G1226" s="70"/>
      <c r="H1226" s="422"/>
      <c r="I1226" s="422"/>
      <c r="J1226" s="418"/>
      <c r="K1226" s="403"/>
      <c r="L1226" s="73"/>
      <c r="M1226" s="72"/>
      <c r="N1226" s="72"/>
      <c r="O1226" s="72"/>
      <c r="P1226" s="42"/>
      <c r="Q1226" s="42"/>
      <c r="R1226" s="42"/>
      <c r="S1226" s="42"/>
      <c r="T1226" s="42"/>
      <c r="U1226" s="42"/>
      <c r="V1226" s="416"/>
      <c r="W1226" s="42"/>
      <c r="X1226" s="74"/>
      <c r="Y1226" s="74"/>
      <c r="Z1226" s="74"/>
      <c r="AA1226" s="74"/>
      <c r="AB1226" s="74"/>
      <c r="AC1226" s="42"/>
      <c r="AD1226" s="42"/>
      <c r="AE1226" s="42"/>
      <c r="AF1226" s="42"/>
      <c r="AG1226" s="42"/>
      <c r="AH1226" s="42"/>
      <c r="AI1226" s="75"/>
      <c r="AJ1226" s="75"/>
      <c r="AK1226" s="75"/>
      <c r="AL1226" s="75"/>
      <c r="AM1226" s="74"/>
      <c r="AN1226" s="72" t="e">
        <f>VLOOKUP(H1226,[4]Planilha1!A$13:P$314,16,0)</f>
        <v>#N/A</v>
      </c>
    </row>
    <row r="1227" spans="1:40" s="69" customFormat="1" x14ac:dyDescent="0.25">
      <c r="A1227" s="88"/>
      <c r="B1227" s="88"/>
      <c r="C1227" s="70"/>
      <c r="D1227" s="70"/>
      <c r="E1227" s="70"/>
      <c r="F1227" s="70"/>
      <c r="G1227" s="70"/>
      <c r="H1227" s="422"/>
      <c r="I1227" s="422"/>
      <c r="J1227" s="418"/>
      <c r="K1227" s="403"/>
      <c r="L1227" s="73"/>
      <c r="M1227" s="72"/>
      <c r="N1227" s="72"/>
      <c r="O1227" s="72"/>
      <c r="P1227" s="42"/>
      <c r="Q1227" s="42"/>
      <c r="R1227" s="42"/>
      <c r="S1227" s="42"/>
      <c r="T1227" s="42"/>
      <c r="U1227" s="42"/>
      <c r="V1227" s="416"/>
      <c r="W1227" s="42"/>
      <c r="X1227" s="74"/>
      <c r="Y1227" s="74"/>
      <c r="Z1227" s="74"/>
      <c r="AA1227" s="74"/>
      <c r="AB1227" s="74"/>
      <c r="AC1227" s="42"/>
      <c r="AD1227" s="42"/>
      <c r="AE1227" s="42"/>
      <c r="AF1227" s="42"/>
      <c r="AG1227" s="42"/>
      <c r="AH1227" s="42"/>
      <c r="AI1227" s="75"/>
      <c r="AJ1227" s="75"/>
      <c r="AK1227" s="75"/>
      <c r="AL1227" s="75"/>
      <c r="AM1227" s="74"/>
      <c r="AN1227" s="72" t="e">
        <f>VLOOKUP(H1227,[4]Planilha1!A$13:P$314,16,0)</f>
        <v>#N/A</v>
      </c>
    </row>
    <row r="1228" spans="1:40" s="69" customFormat="1" x14ac:dyDescent="0.25">
      <c r="A1228" s="88"/>
      <c r="B1228" s="88"/>
      <c r="C1228" s="70"/>
      <c r="D1228" s="70"/>
      <c r="E1228" s="70"/>
      <c r="F1228" s="70"/>
      <c r="G1228" s="70"/>
      <c r="H1228" s="422"/>
      <c r="I1228" s="422"/>
      <c r="J1228" s="418"/>
      <c r="K1228" s="403"/>
      <c r="L1228" s="73"/>
      <c r="M1228" s="72"/>
      <c r="N1228" s="72"/>
      <c r="O1228" s="72"/>
      <c r="P1228" s="42"/>
      <c r="Q1228" s="42"/>
      <c r="R1228" s="42"/>
      <c r="S1228" s="42"/>
      <c r="T1228" s="42"/>
      <c r="U1228" s="42"/>
      <c r="V1228" s="416"/>
      <c r="W1228" s="42"/>
      <c r="X1228" s="74"/>
      <c r="Y1228" s="74"/>
      <c r="Z1228" s="74"/>
      <c r="AA1228" s="74"/>
      <c r="AB1228" s="74"/>
      <c r="AC1228" s="42"/>
      <c r="AD1228" s="42"/>
      <c r="AE1228" s="42"/>
      <c r="AF1228" s="42"/>
      <c r="AG1228" s="42"/>
      <c r="AH1228" s="42"/>
      <c r="AI1228" s="75"/>
      <c r="AJ1228" s="75"/>
      <c r="AK1228" s="75"/>
      <c r="AL1228" s="75"/>
      <c r="AM1228" s="74"/>
      <c r="AN1228" s="72" t="e">
        <f>VLOOKUP(H1228,[4]Planilha1!A$13:P$314,16,0)</f>
        <v>#N/A</v>
      </c>
    </row>
    <row r="1229" spans="1:40" s="69" customFormat="1" x14ac:dyDescent="0.25">
      <c r="A1229" s="88"/>
      <c r="B1229" s="88"/>
      <c r="C1229" s="70"/>
      <c r="D1229" s="70"/>
      <c r="E1229" s="70"/>
      <c r="F1229" s="70"/>
      <c r="G1229" s="70"/>
      <c r="H1229" s="422"/>
      <c r="I1229" s="422"/>
      <c r="J1229" s="418"/>
      <c r="K1229" s="403"/>
      <c r="L1229" s="73"/>
      <c r="M1229" s="72"/>
      <c r="N1229" s="72"/>
      <c r="O1229" s="72"/>
      <c r="P1229" s="42"/>
      <c r="Q1229" s="42"/>
      <c r="R1229" s="42"/>
      <c r="S1229" s="42"/>
      <c r="T1229" s="42"/>
      <c r="U1229" s="42"/>
      <c r="V1229" s="416"/>
      <c r="W1229" s="42"/>
      <c r="X1229" s="74"/>
      <c r="Y1229" s="74"/>
      <c r="Z1229" s="74"/>
      <c r="AA1229" s="74"/>
      <c r="AB1229" s="74"/>
      <c r="AC1229" s="42"/>
      <c r="AD1229" s="42"/>
      <c r="AE1229" s="42"/>
      <c r="AF1229" s="42"/>
      <c r="AG1229" s="42"/>
      <c r="AH1229" s="42"/>
      <c r="AI1229" s="75"/>
      <c r="AJ1229" s="75"/>
      <c r="AK1229" s="75"/>
      <c r="AL1229" s="75"/>
      <c r="AM1229" s="74"/>
      <c r="AN1229" s="72" t="e">
        <f>VLOOKUP(H1229,[4]Planilha1!A$13:P$314,16,0)</f>
        <v>#N/A</v>
      </c>
    </row>
    <row r="1230" spans="1:40" s="69" customFormat="1" x14ac:dyDescent="0.25">
      <c r="A1230" s="88"/>
      <c r="B1230" s="88"/>
      <c r="C1230" s="70"/>
      <c r="D1230" s="70"/>
      <c r="E1230" s="70"/>
      <c r="F1230" s="70"/>
      <c r="G1230" s="70"/>
      <c r="H1230" s="422"/>
      <c r="I1230" s="422"/>
      <c r="J1230" s="418"/>
      <c r="K1230" s="403"/>
      <c r="L1230" s="73"/>
      <c r="M1230" s="72"/>
      <c r="N1230" s="72"/>
      <c r="O1230" s="72"/>
      <c r="P1230" s="42"/>
      <c r="Q1230" s="42"/>
      <c r="R1230" s="42"/>
      <c r="S1230" s="42"/>
      <c r="T1230" s="42"/>
      <c r="U1230" s="42"/>
      <c r="V1230" s="416"/>
      <c r="W1230" s="42"/>
      <c r="X1230" s="74"/>
      <c r="Y1230" s="74"/>
      <c r="Z1230" s="74"/>
      <c r="AA1230" s="74"/>
      <c r="AB1230" s="74"/>
      <c r="AC1230" s="42"/>
      <c r="AD1230" s="42"/>
      <c r="AE1230" s="42"/>
      <c r="AF1230" s="42"/>
      <c r="AG1230" s="42"/>
      <c r="AH1230" s="42"/>
      <c r="AI1230" s="75"/>
      <c r="AJ1230" s="75"/>
      <c r="AK1230" s="75"/>
      <c r="AL1230" s="75"/>
      <c r="AM1230" s="74"/>
      <c r="AN1230" s="72" t="e">
        <f>VLOOKUP(H1230,[4]Planilha1!A$13:P$314,16,0)</f>
        <v>#N/A</v>
      </c>
    </row>
    <row r="1231" spans="1:40" s="69" customFormat="1" x14ac:dyDescent="0.25">
      <c r="A1231" s="88"/>
      <c r="B1231" s="88"/>
      <c r="C1231" s="70"/>
      <c r="D1231" s="70"/>
      <c r="E1231" s="70"/>
      <c r="F1231" s="70"/>
      <c r="G1231" s="70"/>
      <c r="H1231" s="422"/>
      <c r="I1231" s="422"/>
      <c r="J1231" s="418"/>
      <c r="K1231" s="403"/>
      <c r="L1231" s="73"/>
      <c r="M1231" s="72"/>
      <c r="N1231" s="72"/>
      <c r="O1231" s="72"/>
      <c r="P1231" s="42"/>
      <c r="Q1231" s="42"/>
      <c r="R1231" s="42"/>
      <c r="S1231" s="42"/>
      <c r="T1231" s="42"/>
      <c r="U1231" s="42"/>
      <c r="V1231" s="416"/>
      <c r="W1231" s="42"/>
      <c r="X1231" s="74"/>
      <c r="Y1231" s="74"/>
      <c r="Z1231" s="74"/>
      <c r="AA1231" s="74"/>
      <c r="AB1231" s="74"/>
      <c r="AC1231" s="42"/>
      <c r="AD1231" s="42"/>
      <c r="AE1231" s="42"/>
      <c r="AF1231" s="42"/>
      <c r="AG1231" s="42"/>
      <c r="AH1231" s="42"/>
      <c r="AI1231" s="75"/>
      <c r="AJ1231" s="75"/>
      <c r="AK1231" s="75"/>
      <c r="AL1231" s="75"/>
      <c r="AM1231" s="74"/>
      <c r="AN1231" s="72" t="e">
        <f>VLOOKUP(H1231,[4]Planilha1!A$13:P$314,16,0)</f>
        <v>#N/A</v>
      </c>
    </row>
    <row r="1232" spans="1:40" s="69" customFormat="1" x14ac:dyDescent="0.25">
      <c r="A1232" s="88"/>
      <c r="B1232" s="88"/>
      <c r="C1232" s="70"/>
      <c r="D1232" s="70"/>
      <c r="E1232" s="70"/>
      <c r="F1232" s="70"/>
      <c r="G1232" s="70"/>
      <c r="H1232" s="422"/>
      <c r="I1232" s="422"/>
      <c r="J1232" s="418"/>
      <c r="K1232" s="403"/>
      <c r="L1232" s="73"/>
      <c r="M1232" s="72"/>
      <c r="N1232" s="72"/>
      <c r="O1232" s="72"/>
      <c r="P1232" s="42"/>
      <c r="Q1232" s="42"/>
      <c r="R1232" s="42"/>
      <c r="S1232" s="42"/>
      <c r="T1232" s="42"/>
      <c r="U1232" s="42"/>
      <c r="V1232" s="416"/>
      <c r="W1232" s="42"/>
      <c r="X1232" s="74"/>
      <c r="Y1232" s="74"/>
      <c r="Z1232" s="74"/>
      <c r="AA1232" s="74"/>
      <c r="AB1232" s="74"/>
      <c r="AC1232" s="42"/>
      <c r="AD1232" s="42"/>
      <c r="AE1232" s="42"/>
      <c r="AF1232" s="42"/>
      <c r="AG1232" s="42"/>
      <c r="AH1232" s="42"/>
      <c r="AI1232" s="75"/>
      <c r="AJ1232" s="75"/>
      <c r="AK1232" s="75"/>
      <c r="AL1232" s="75"/>
      <c r="AM1232" s="74"/>
      <c r="AN1232" s="72" t="e">
        <f>VLOOKUP(H1232,[4]Planilha1!A$13:P$314,16,0)</f>
        <v>#N/A</v>
      </c>
    </row>
    <row r="1233" spans="1:40" s="69" customFormat="1" x14ac:dyDescent="0.25">
      <c r="A1233" s="88"/>
      <c r="B1233" s="88"/>
      <c r="C1233" s="70"/>
      <c r="D1233" s="70"/>
      <c r="E1233" s="70"/>
      <c r="F1233" s="70"/>
      <c r="G1233" s="70"/>
      <c r="H1233" s="422"/>
      <c r="I1233" s="422"/>
      <c r="J1233" s="418"/>
      <c r="K1233" s="403"/>
      <c r="L1233" s="73"/>
      <c r="M1233" s="72"/>
      <c r="N1233" s="72"/>
      <c r="O1233" s="72"/>
      <c r="P1233" s="42"/>
      <c r="Q1233" s="42"/>
      <c r="R1233" s="42"/>
      <c r="S1233" s="42"/>
      <c r="T1233" s="42"/>
      <c r="U1233" s="42"/>
      <c r="V1233" s="416"/>
      <c r="W1233" s="42"/>
      <c r="X1233" s="74"/>
      <c r="Y1233" s="74"/>
      <c r="Z1233" s="74"/>
      <c r="AA1233" s="74"/>
      <c r="AB1233" s="74"/>
      <c r="AC1233" s="42"/>
      <c r="AD1233" s="42"/>
      <c r="AE1233" s="42"/>
      <c r="AF1233" s="42"/>
      <c r="AG1233" s="42"/>
      <c r="AH1233" s="42"/>
      <c r="AI1233" s="75"/>
      <c r="AJ1233" s="75"/>
      <c r="AK1233" s="75"/>
      <c r="AL1233" s="75"/>
      <c r="AM1233" s="74"/>
      <c r="AN1233" s="72" t="e">
        <f>VLOOKUP(H1233,[4]Planilha1!A$13:P$314,16,0)</f>
        <v>#N/A</v>
      </c>
    </row>
    <row r="1234" spans="1:40" s="69" customFormat="1" x14ac:dyDescent="0.25">
      <c r="A1234" s="88"/>
      <c r="B1234" s="88"/>
      <c r="C1234" s="70"/>
      <c r="D1234" s="70"/>
      <c r="E1234" s="70"/>
      <c r="F1234" s="70"/>
      <c r="G1234" s="70"/>
      <c r="H1234" s="422"/>
      <c r="I1234" s="422"/>
      <c r="J1234" s="418"/>
      <c r="K1234" s="403"/>
      <c r="L1234" s="73"/>
      <c r="M1234" s="72"/>
      <c r="N1234" s="72"/>
      <c r="O1234" s="72"/>
      <c r="P1234" s="42"/>
      <c r="Q1234" s="42"/>
      <c r="R1234" s="42"/>
      <c r="S1234" s="42"/>
      <c r="T1234" s="42"/>
      <c r="U1234" s="42"/>
      <c r="V1234" s="416"/>
      <c r="W1234" s="42"/>
      <c r="X1234" s="74"/>
      <c r="Y1234" s="74"/>
      <c r="Z1234" s="74"/>
      <c r="AA1234" s="74"/>
      <c r="AB1234" s="74"/>
      <c r="AC1234" s="42"/>
      <c r="AD1234" s="42"/>
      <c r="AE1234" s="42"/>
      <c r="AF1234" s="42"/>
      <c r="AG1234" s="42"/>
      <c r="AH1234" s="42"/>
      <c r="AI1234" s="75"/>
      <c r="AJ1234" s="75"/>
      <c r="AK1234" s="75"/>
      <c r="AL1234" s="75"/>
      <c r="AM1234" s="74"/>
      <c r="AN1234" s="72" t="e">
        <f>VLOOKUP(H1234,[4]Planilha1!A$13:P$314,16,0)</f>
        <v>#N/A</v>
      </c>
    </row>
    <row r="1235" spans="1:40" s="69" customFormat="1" x14ac:dyDescent="0.25">
      <c r="A1235" s="88"/>
      <c r="B1235" s="88"/>
      <c r="C1235" s="70"/>
      <c r="D1235" s="70"/>
      <c r="E1235" s="70"/>
      <c r="F1235" s="70"/>
      <c r="G1235" s="70"/>
      <c r="H1235" s="422"/>
      <c r="I1235" s="422"/>
      <c r="J1235" s="418"/>
      <c r="K1235" s="403"/>
      <c r="L1235" s="73"/>
      <c r="M1235" s="72"/>
      <c r="N1235" s="72"/>
      <c r="O1235" s="72"/>
      <c r="P1235" s="42"/>
      <c r="Q1235" s="42"/>
      <c r="R1235" s="42"/>
      <c r="S1235" s="42"/>
      <c r="T1235" s="42"/>
      <c r="U1235" s="42"/>
      <c r="V1235" s="416"/>
      <c r="W1235" s="42"/>
      <c r="X1235" s="74"/>
      <c r="Y1235" s="74"/>
      <c r="Z1235" s="74"/>
      <c r="AA1235" s="74"/>
      <c r="AB1235" s="74"/>
      <c r="AC1235" s="42"/>
      <c r="AD1235" s="42"/>
      <c r="AE1235" s="42"/>
      <c r="AF1235" s="42"/>
      <c r="AG1235" s="42"/>
      <c r="AH1235" s="42"/>
      <c r="AI1235" s="75"/>
      <c r="AJ1235" s="75"/>
      <c r="AK1235" s="75"/>
      <c r="AL1235" s="75"/>
      <c r="AM1235" s="74"/>
      <c r="AN1235" s="72" t="e">
        <f>VLOOKUP(H1235,[4]Planilha1!A$13:P$314,16,0)</f>
        <v>#N/A</v>
      </c>
    </row>
    <row r="1236" spans="1:40" s="69" customFormat="1" x14ac:dyDescent="0.25">
      <c r="A1236" s="88"/>
      <c r="B1236" s="88"/>
      <c r="C1236" s="70"/>
      <c r="D1236" s="70"/>
      <c r="E1236" s="70"/>
      <c r="F1236" s="70"/>
      <c r="G1236" s="70"/>
      <c r="H1236" s="422"/>
      <c r="I1236" s="422"/>
      <c r="J1236" s="418"/>
      <c r="K1236" s="403"/>
      <c r="L1236" s="73"/>
      <c r="M1236" s="72"/>
      <c r="N1236" s="72"/>
      <c r="O1236" s="72"/>
      <c r="P1236" s="42"/>
      <c r="Q1236" s="42"/>
      <c r="R1236" s="42"/>
      <c r="S1236" s="42"/>
      <c r="T1236" s="42"/>
      <c r="U1236" s="42"/>
      <c r="V1236" s="416"/>
      <c r="W1236" s="42"/>
      <c r="X1236" s="74"/>
      <c r="Y1236" s="74"/>
      <c r="Z1236" s="74"/>
      <c r="AA1236" s="74"/>
      <c r="AB1236" s="74"/>
      <c r="AC1236" s="42"/>
      <c r="AD1236" s="42"/>
      <c r="AE1236" s="42"/>
      <c r="AF1236" s="42"/>
      <c r="AG1236" s="42"/>
      <c r="AH1236" s="42"/>
      <c r="AI1236" s="75"/>
      <c r="AJ1236" s="75"/>
      <c r="AK1236" s="75"/>
      <c r="AL1236" s="75"/>
      <c r="AM1236" s="74"/>
      <c r="AN1236" s="72" t="e">
        <f>VLOOKUP(H1236,[4]Planilha1!A$13:P$314,16,0)</f>
        <v>#N/A</v>
      </c>
    </row>
    <row r="1237" spans="1:40" s="69" customFormat="1" x14ac:dyDescent="0.25">
      <c r="A1237" s="88"/>
      <c r="B1237" s="88"/>
      <c r="C1237" s="70"/>
      <c r="D1237" s="70"/>
      <c r="E1237" s="70"/>
      <c r="F1237" s="70"/>
      <c r="G1237" s="70"/>
      <c r="H1237" s="422"/>
      <c r="I1237" s="422"/>
      <c r="J1237" s="418"/>
      <c r="K1237" s="403"/>
      <c r="L1237" s="73"/>
      <c r="M1237" s="72"/>
      <c r="N1237" s="72"/>
      <c r="O1237" s="72"/>
      <c r="P1237" s="42"/>
      <c r="Q1237" s="42"/>
      <c r="R1237" s="42"/>
      <c r="S1237" s="42"/>
      <c r="T1237" s="42"/>
      <c r="U1237" s="42"/>
      <c r="V1237" s="416"/>
      <c r="W1237" s="42"/>
      <c r="X1237" s="74"/>
      <c r="Y1237" s="74"/>
      <c r="Z1237" s="74"/>
      <c r="AA1237" s="74"/>
      <c r="AB1237" s="74"/>
      <c r="AC1237" s="42"/>
      <c r="AD1237" s="42"/>
      <c r="AE1237" s="42"/>
      <c r="AF1237" s="42"/>
      <c r="AG1237" s="42"/>
      <c r="AH1237" s="42"/>
      <c r="AI1237" s="75"/>
      <c r="AJ1237" s="75"/>
      <c r="AK1237" s="75"/>
      <c r="AL1237" s="75"/>
      <c r="AM1237" s="74"/>
      <c r="AN1237" s="72" t="e">
        <f>VLOOKUP(H1237,[4]Planilha1!A$13:P$314,16,0)</f>
        <v>#N/A</v>
      </c>
    </row>
    <row r="1238" spans="1:40" s="69" customFormat="1" x14ac:dyDescent="0.25">
      <c r="A1238" s="88"/>
      <c r="B1238" s="88"/>
      <c r="C1238" s="70"/>
      <c r="D1238" s="70"/>
      <c r="E1238" s="70"/>
      <c r="F1238" s="70"/>
      <c r="G1238" s="70"/>
      <c r="H1238" s="422"/>
      <c r="I1238" s="422"/>
      <c r="J1238" s="418"/>
      <c r="K1238" s="403"/>
      <c r="L1238" s="73"/>
      <c r="M1238" s="72"/>
      <c r="N1238" s="72"/>
      <c r="O1238" s="72"/>
      <c r="P1238" s="42"/>
      <c r="Q1238" s="42"/>
      <c r="R1238" s="42"/>
      <c r="S1238" s="42"/>
      <c r="T1238" s="42"/>
      <c r="U1238" s="42"/>
      <c r="V1238" s="416"/>
      <c r="W1238" s="42"/>
      <c r="X1238" s="74"/>
      <c r="Y1238" s="74"/>
      <c r="Z1238" s="74"/>
      <c r="AA1238" s="74"/>
      <c r="AB1238" s="74"/>
      <c r="AC1238" s="42"/>
      <c r="AD1238" s="42"/>
      <c r="AE1238" s="42"/>
      <c r="AF1238" s="42"/>
      <c r="AG1238" s="42"/>
      <c r="AH1238" s="42"/>
      <c r="AI1238" s="75"/>
      <c r="AJ1238" s="75"/>
      <c r="AK1238" s="75"/>
      <c r="AL1238" s="75"/>
      <c r="AM1238" s="74"/>
      <c r="AN1238" s="72" t="e">
        <f>VLOOKUP(H1238,[4]Planilha1!A$13:P$314,16,0)</f>
        <v>#N/A</v>
      </c>
    </row>
    <row r="1239" spans="1:40" s="69" customFormat="1" x14ac:dyDescent="0.25">
      <c r="A1239" s="88"/>
      <c r="B1239" s="88"/>
      <c r="C1239" s="70"/>
      <c r="D1239" s="70"/>
      <c r="E1239" s="70"/>
      <c r="F1239" s="70"/>
      <c r="G1239" s="70"/>
      <c r="H1239" s="422"/>
      <c r="I1239" s="422"/>
      <c r="J1239" s="418"/>
      <c r="K1239" s="403"/>
      <c r="L1239" s="73"/>
      <c r="M1239" s="72"/>
      <c r="N1239" s="72"/>
      <c r="O1239" s="72"/>
      <c r="P1239" s="42"/>
      <c r="Q1239" s="42"/>
      <c r="R1239" s="42"/>
      <c r="S1239" s="42"/>
      <c r="T1239" s="42"/>
      <c r="U1239" s="42"/>
      <c r="V1239" s="416"/>
      <c r="W1239" s="42"/>
      <c r="X1239" s="74"/>
      <c r="Y1239" s="74"/>
      <c r="Z1239" s="74"/>
      <c r="AA1239" s="74"/>
      <c r="AB1239" s="74"/>
      <c r="AC1239" s="42"/>
      <c r="AD1239" s="42"/>
      <c r="AE1239" s="42"/>
      <c r="AF1239" s="42"/>
      <c r="AG1239" s="42"/>
      <c r="AH1239" s="42"/>
      <c r="AI1239" s="75"/>
      <c r="AJ1239" s="75"/>
      <c r="AK1239" s="75"/>
      <c r="AL1239" s="75"/>
      <c r="AM1239" s="74"/>
      <c r="AN1239" s="72" t="e">
        <f>VLOOKUP(H1239,[4]Planilha1!A$13:P$314,16,0)</f>
        <v>#N/A</v>
      </c>
    </row>
    <row r="1240" spans="1:40" s="69" customFormat="1" x14ac:dyDescent="0.25">
      <c r="A1240" s="88"/>
      <c r="B1240" s="88"/>
      <c r="C1240" s="70"/>
      <c r="D1240" s="70"/>
      <c r="E1240" s="70"/>
      <c r="F1240" s="70"/>
      <c r="G1240" s="70"/>
      <c r="H1240" s="422"/>
      <c r="I1240" s="422"/>
      <c r="J1240" s="418"/>
      <c r="K1240" s="403"/>
      <c r="L1240" s="73"/>
      <c r="M1240" s="72"/>
      <c r="N1240" s="72"/>
      <c r="O1240" s="72"/>
      <c r="P1240" s="42"/>
      <c r="Q1240" s="42"/>
      <c r="R1240" s="42"/>
      <c r="S1240" s="42"/>
      <c r="T1240" s="42"/>
      <c r="U1240" s="42"/>
      <c r="V1240" s="416"/>
      <c r="W1240" s="42"/>
      <c r="X1240" s="74"/>
      <c r="Y1240" s="74"/>
      <c r="Z1240" s="74"/>
      <c r="AA1240" s="74"/>
      <c r="AB1240" s="74"/>
      <c r="AC1240" s="42"/>
      <c r="AD1240" s="42"/>
      <c r="AE1240" s="42"/>
      <c r="AF1240" s="42"/>
      <c r="AG1240" s="42"/>
      <c r="AH1240" s="42"/>
      <c r="AI1240" s="75"/>
      <c r="AJ1240" s="75"/>
      <c r="AK1240" s="75"/>
      <c r="AL1240" s="75"/>
      <c r="AM1240" s="74"/>
      <c r="AN1240" s="72" t="e">
        <f>VLOOKUP(H1240,[4]Planilha1!A$13:P$314,16,0)</f>
        <v>#N/A</v>
      </c>
    </row>
    <row r="1241" spans="1:40" s="69" customFormat="1" x14ac:dyDescent="0.25">
      <c r="A1241" s="88"/>
      <c r="B1241" s="88"/>
      <c r="C1241" s="70"/>
      <c r="D1241" s="70"/>
      <c r="E1241" s="70"/>
      <c r="F1241" s="70"/>
      <c r="G1241" s="70"/>
      <c r="H1241" s="422"/>
      <c r="I1241" s="422"/>
      <c r="J1241" s="418"/>
      <c r="K1241" s="403"/>
      <c r="L1241" s="73"/>
      <c r="M1241" s="72"/>
      <c r="N1241" s="72"/>
      <c r="O1241" s="72"/>
      <c r="P1241" s="42"/>
      <c r="Q1241" s="42"/>
      <c r="R1241" s="42"/>
      <c r="S1241" s="42"/>
      <c r="T1241" s="42"/>
      <c r="U1241" s="42"/>
      <c r="V1241" s="416"/>
      <c r="W1241" s="42"/>
      <c r="X1241" s="74"/>
      <c r="Y1241" s="74"/>
      <c r="Z1241" s="74"/>
      <c r="AA1241" s="74"/>
      <c r="AB1241" s="74"/>
      <c r="AC1241" s="42"/>
      <c r="AD1241" s="42"/>
      <c r="AE1241" s="42"/>
      <c r="AF1241" s="42"/>
      <c r="AG1241" s="42"/>
      <c r="AH1241" s="42"/>
      <c r="AI1241" s="75"/>
      <c r="AJ1241" s="75"/>
      <c r="AK1241" s="75"/>
      <c r="AL1241" s="75"/>
      <c r="AM1241" s="74"/>
      <c r="AN1241" s="72" t="e">
        <f>VLOOKUP(H1241,[4]Planilha1!A$13:P$314,16,0)</f>
        <v>#N/A</v>
      </c>
    </row>
    <row r="1242" spans="1:40" s="69" customFormat="1" x14ac:dyDescent="0.25">
      <c r="A1242" s="88"/>
      <c r="B1242" s="88"/>
      <c r="C1242" s="70"/>
      <c r="D1242" s="70"/>
      <c r="E1242" s="70"/>
      <c r="F1242" s="70"/>
      <c r="G1242" s="70"/>
      <c r="H1242" s="422"/>
      <c r="I1242" s="422"/>
      <c r="J1242" s="418"/>
      <c r="K1242" s="403"/>
      <c r="L1242" s="73"/>
      <c r="M1242" s="72"/>
      <c r="N1242" s="72"/>
      <c r="O1242" s="72"/>
      <c r="P1242" s="42"/>
      <c r="Q1242" s="42"/>
      <c r="R1242" s="42"/>
      <c r="S1242" s="42"/>
      <c r="T1242" s="42"/>
      <c r="U1242" s="42"/>
      <c r="V1242" s="416"/>
      <c r="W1242" s="42"/>
      <c r="X1242" s="74"/>
      <c r="Y1242" s="74"/>
      <c r="Z1242" s="74"/>
      <c r="AA1242" s="74"/>
      <c r="AB1242" s="74"/>
      <c r="AC1242" s="42"/>
      <c r="AD1242" s="42"/>
      <c r="AE1242" s="42"/>
      <c r="AF1242" s="42"/>
      <c r="AG1242" s="42"/>
      <c r="AH1242" s="42"/>
      <c r="AI1242" s="75"/>
      <c r="AJ1242" s="75"/>
      <c r="AK1242" s="75"/>
      <c r="AL1242" s="75"/>
      <c r="AM1242" s="74"/>
      <c r="AN1242" s="72" t="e">
        <f>VLOOKUP(H1242,[4]Planilha1!A$13:P$314,16,0)</f>
        <v>#N/A</v>
      </c>
    </row>
    <row r="1243" spans="1:40" s="69" customFormat="1" x14ac:dyDescent="0.25">
      <c r="A1243" s="88"/>
      <c r="B1243" s="88"/>
      <c r="C1243" s="70"/>
      <c r="D1243" s="70"/>
      <c r="E1243" s="70"/>
      <c r="F1243" s="70"/>
      <c r="G1243" s="70"/>
      <c r="H1243" s="422"/>
      <c r="I1243" s="422"/>
      <c r="J1243" s="418"/>
      <c r="K1243" s="403"/>
      <c r="L1243" s="73"/>
      <c r="M1243" s="72"/>
      <c r="N1243" s="72"/>
      <c r="O1243" s="72"/>
      <c r="P1243" s="42"/>
      <c r="Q1243" s="42"/>
      <c r="R1243" s="42"/>
      <c r="S1243" s="42"/>
      <c r="T1243" s="42"/>
      <c r="U1243" s="42"/>
      <c r="V1243" s="416"/>
      <c r="W1243" s="42"/>
      <c r="X1243" s="74"/>
      <c r="Y1243" s="74"/>
      <c r="Z1243" s="74"/>
      <c r="AA1243" s="74"/>
      <c r="AB1243" s="74"/>
      <c r="AC1243" s="42"/>
      <c r="AD1243" s="42"/>
      <c r="AE1243" s="42"/>
      <c r="AF1243" s="42"/>
      <c r="AG1243" s="42"/>
      <c r="AH1243" s="42"/>
      <c r="AI1243" s="75"/>
      <c r="AJ1243" s="75"/>
      <c r="AK1243" s="75"/>
      <c r="AL1243" s="75"/>
      <c r="AM1243" s="74"/>
      <c r="AN1243" s="72" t="e">
        <f>VLOOKUP(H1243,[4]Planilha1!A$13:P$314,16,0)</f>
        <v>#N/A</v>
      </c>
    </row>
    <row r="1244" spans="1:40" s="69" customFormat="1" x14ac:dyDescent="0.25">
      <c r="A1244" s="88"/>
      <c r="B1244" s="88"/>
      <c r="C1244" s="70"/>
      <c r="D1244" s="70"/>
      <c r="E1244" s="70"/>
      <c r="F1244" s="70"/>
      <c r="G1244" s="70"/>
      <c r="H1244" s="422"/>
      <c r="I1244" s="422"/>
      <c r="J1244" s="418"/>
      <c r="K1244" s="403"/>
      <c r="L1244" s="73"/>
      <c r="M1244" s="72"/>
      <c r="N1244" s="72"/>
      <c r="O1244" s="72"/>
      <c r="P1244" s="42"/>
      <c r="Q1244" s="42"/>
      <c r="R1244" s="42"/>
      <c r="S1244" s="42"/>
      <c r="T1244" s="42"/>
      <c r="U1244" s="42"/>
      <c r="V1244" s="416"/>
      <c r="W1244" s="42"/>
      <c r="X1244" s="74"/>
      <c r="Y1244" s="74"/>
      <c r="Z1244" s="74"/>
      <c r="AA1244" s="74"/>
      <c r="AB1244" s="74"/>
      <c r="AC1244" s="42"/>
      <c r="AD1244" s="42"/>
      <c r="AE1244" s="42"/>
      <c r="AF1244" s="42"/>
      <c r="AG1244" s="42"/>
      <c r="AH1244" s="42"/>
      <c r="AI1244" s="75"/>
      <c r="AJ1244" s="75"/>
      <c r="AK1244" s="75"/>
      <c r="AL1244" s="75"/>
      <c r="AM1244" s="74"/>
      <c r="AN1244" s="72" t="e">
        <f>VLOOKUP(H1244,[4]Planilha1!A$13:P$314,16,0)</f>
        <v>#N/A</v>
      </c>
    </row>
    <row r="1245" spans="1:40" s="69" customFormat="1" x14ac:dyDescent="0.25">
      <c r="A1245" s="88"/>
      <c r="B1245" s="88"/>
      <c r="C1245" s="70"/>
      <c r="D1245" s="70"/>
      <c r="E1245" s="70"/>
      <c r="F1245" s="70"/>
      <c r="G1245" s="70"/>
      <c r="H1245" s="422"/>
      <c r="I1245" s="422"/>
      <c r="J1245" s="418"/>
      <c r="K1245" s="403"/>
      <c r="L1245" s="73"/>
      <c r="M1245" s="72"/>
      <c r="N1245" s="72"/>
      <c r="O1245" s="72"/>
      <c r="P1245" s="42"/>
      <c r="Q1245" s="42"/>
      <c r="R1245" s="42"/>
      <c r="S1245" s="42"/>
      <c r="T1245" s="42"/>
      <c r="U1245" s="42"/>
      <c r="V1245" s="416"/>
      <c r="W1245" s="42"/>
      <c r="X1245" s="74"/>
      <c r="Y1245" s="74"/>
      <c r="Z1245" s="74"/>
      <c r="AA1245" s="74"/>
      <c r="AB1245" s="74"/>
      <c r="AC1245" s="42"/>
      <c r="AD1245" s="42"/>
      <c r="AE1245" s="42"/>
      <c r="AF1245" s="42"/>
      <c r="AG1245" s="42"/>
      <c r="AH1245" s="42"/>
      <c r="AI1245" s="75"/>
      <c r="AJ1245" s="75"/>
      <c r="AK1245" s="75"/>
      <c r="AL1245" s="75"/>
      <c r="AM1245" s="74"/>
      <c r="AN1245" s="72" t="e">
        <f>VLOOKUP(H1245,[4]Planilha1!A$13:P$314,16,0)</f>
        <v>#N/A</v>
      </c>
    </row>
    <row r="1246" spans="1:40" s="69" customFormat="1" x14ac:dyDescent="0.25">
      <c r="A1246" s="88"/>
      <c r="B1246" s="88"/>
      <c r="C1246" s="70"/>
      <c r="D1246" s="70"/>
      <c r="E1246" s="70"/>
      <c r="F1246" s="70"/>
      <c r="G1246" s="70"/>
      <c r="H1246" s="422"/>
      <c r="I1246" s="422"/>
      <c r="J1246" s="418"/>
      <c r="K1246" s="403"/>
      <c r="L1246" s="73"/>
      <c r="M1246" s="72"/>
      <c r="N1246" s="72"/>
      <c r="O1246" s="72"/>
      <c r="P1246" s="42"/>
      <c r="Q1246" s="42"/>
      <c r="R1246" s="42"/>
      <c r="S1246" s="42"/>
      <c r="T1246" s="42"/>
      <c r="U1246" s="42"/>
      <c r="V1246" s="416"/>
      <c r="W1246" s="42"/>
      <c r="X1246" s="74"/>
      <c r="Y1246" s="74"/>
      <c r="Z1246" s="74"/>
      <c r="AA1246" s="74"/>
      <c r="AB1246" s="74"/>
      <c r="AC1246" s="42"/>
      <c r="AD1246" s="42"/>
      <c r="AE1246" s="42"/>
      <c r="AF1246" s="42"/>
      <c r="AG1246" s="42"/>
      <c r="AH1246" s="42"/>
      <c r="AI1246" s="75"/>
      <c r="AJ1246" s="75"/>
      <c r="AK1246" s="75"/>
      <c r="AL1246" s="75"/>
      <c r="AM1246" s="74"/>
      <c r="AN1246" s="72" t="e">
        <f>VLOOKUP(H1246,[4]Planilha1!A$13:P$314,16,0)</f>
        <v>#N/A</v>
      </c>
    </row>
    <row r="1247" spans="1:40" s="69" customFormat="1" x14ac:dyDescent="0.25">
      <c r="A1247" s="88"/>
      <c r="B1247" s="88"/>
      <c r="C1247" s="70"/>
      <c r="D1247" s="70"/>
      <c r="E1247" s="70"/>
      <c r="F1247" s="70"/>
      <c r="G1247" s="70"/>
      <c r="H1247" s="422"/>
      <c r="I1247" s="422"/>
      <c r="J1247" s="418"/>
      <c r="K1247" s="403"/>
      <c r="L1247" s="73"/>
      <c r="M1247" s="72"/>
      <c r="N1247" s="72"/>
      <c r="O1247" s="72"/>
      <c r="P1247" s="42"/>
      <c r="Q1247" s="42"/>
      <c r="R1247" s="42"/>
      <c r="S1247" s="42"/>
      <c r="T1247" s="42"/>
      <c r="U1247" s="42"/>
      <c r="V1247" s="416"/>
      <c r="W1247" s="42"/>
      <c r="X1247" s="74"/>
      <c r="Y1247" s="74"/>
      <c r="Z1247" s="74"/>
      <c r="AA1247" s="74"/>
      <c r="AB1247" s="74"/>
      <c r="AC1247" s="42"/>
      <c r="AD1247" s="42"/>
      <c r="AE1247" s="42"/>
      <c r="AF1247" s="42"/>
      <c r="AG1247" s="42"/>
      <c r="AH1247" s="42"/>
      <c r="AI1247" s="75"/>
      <c r="AJ1247" s="75"/>
      <c r="AK1247" s="75"/>
      <c r="AL1247" s="75"/>
      <c r="AM1247" s="74"/>
      <c r="AN1247" s="72" t="e">
        <f>VLOOKUP(H1247,[4]Planilha1!A$13:P$314,16,0)</f>
        <v>#N/A</v>
      </c>
    </row>
    <row r="1248" spans="1:40" s="69" customFormat="1" x14ac:dyDescent="0.25">
      <c r="A1248" s="88"/>
      <c r="B1248" s="88"/>
      <c r="C1248" s="70"/>
      <c r="D1248" s="70"/>
      <c r="E1248" s="70"/>
      <c r="F1248" s="70"/>
      <c r="G1248" s="70"/>
      <c r="H1248" s="422"/>
      <c r="I1248" s="422"/>
      <c r="J1248" s="418"/>
      <c r="K1248" s="403"/>
      <c r="L1248" s="73"/>
      <c r="M1248" s="72"/>
      <c r="N1248" s="72"/>
      <c r="O1248" s="72"/>
      <c r="P1248" s="42"/>
      <c r="Q1248" s="42"/>
      <c r="R1248" s="42"/>
      <c r="S1248" s="42"/>
      <c r="T1248" s="42"/>
      <c r="U1248" s="42"/>
      <c r="V1248" s="416"/>
      <c r="W1248" s="42"/>
      <c r="X1248" s="74"/>
      <c r="Y1248" s="74"/>
      <c r="Z1248" s="74"/>
      <c r="AA1248" s="74"/>
      <c r="AB1248" s="74"/>
      <c r="AC1248" s="42"/>
      <c r="AD1248" s="42"/>
      <c r="AE1248" s="42"/>
      <c r="AF1248" s="42"/>
      <c r="AG1248" s="42"/>
      <c r="AH1248" s="42"/>
      <c r="AI1248" s="75"/>
      <c r="AJ1248" s="75"/>
      <c r="AK1248" s="75"/>
      <c r="AL1248" s="75"/>
      <c r="AM1248" s="74"/>
      <c r="AN1248" s="72" t="e">
        <f>VLOOKUP(H1248,[4]Planilha1!A$13:P$314,16,0)</f>
        <v>#N/A</v>
      </c>
    </row>
    <row r="1249" spans="1:40" s="69" customFormat="1" x14ac:dyDescent="0.25">
      <c r="A1249" s="88"/>
      <c r="B1249" s="88"/>
      <c r="C1249" s="70"/>
      <c r="D1249" s="70"/>
      <c r="E1249" s="70"/>
      <c r="F1249" s="70"/>
      <c r="G1249" s="70"/>
      <c r="H1249" s="422"/>
      <c r="I1249" s="422"/>
      <c r="J1249" s="418"/>
      <c r="K1249" s="403"/>
      <c r="L1249" s="73"/>
      <c r="M1249" s="72"/>
      <c r="N1249" s="72"/>
      <c r="O1249" s="72"/>
      <c r="P1249" s="42"/>
      <c r="Q1249" s="42"/>
      <c r="R1249" s="42"/>
      <c r="S1249" s="42"/>
      <c r="T1249" s="42"/>
      <c r="U1249" s="42"/>
      <c r="V1249" s="416"/>
      <c r="W1249" s="42"/>
      <c r="X1249" s="74"/>
      <c r="Y1249" s="74"/>
      <c r="Z1249" s="74"/>
      <c r="AA1249" s="74"/>
      <c r="AB1249" s="74"/>
      <c r="AC1249" s="42"/>
      <c r="AD1249" s="42"/>
      <c r="AE1249" s="42"/>
      <c r="AF1249" s="42"/>
      <c r="AG1249" s="42"/>
      <c r="AH1249" s="42"/>
      <c r="AI1249" s="75"/>
      <c r="AJ1249" s="75"/>
      <c r="AK1249" s="75"/>
      <c r="AL1249" s="75"/>
      <c r="AM1249" s="74"/>
      <c r="AN1249" s="72" t="e">
        <f>VLOOKUP(H1249,[4]Planilha1!A$13:P$314,16,0)</f>
        <v>#N/A</v>
      </c>
    </row>
    <row r="1250" spans="1:40" s="69" customFormat="1" x14ac:dyDescent="0.25">
      <c r="A1250" s="88"/>
      <c r="B1250" s="88"/>
      <c r="C1250" s="70"/>
      <c r="D1250" s="70"/>
      <c r="E1250" s="70"/>
      <c r="F1250" s="70"/>
      <c r="G1250" s="70"/>
      <c r="H1250" s="422"/>
      <c r="I1250" s="422"/>
      <c r="J1250" s="418"/>
      <c r="K1250" s="403"/>
      <c r="L1250" s="73"/>
      <c r="M1250" s="72"/>
      <c r="N1250" s="72"/>
      <c r="O1250" s="72"/>
      <c r="P1250" s="42"/>
      <c r="Q1250" s="42"/>
      <c r="R1250" s="42"/>
      <c r="S1250" s="42"/>
      <c r="T1250" s="42"/>
      <c r="U1250" s="42"/>
      <c r="V1250" s="416"/>
      <c r="W1250" s="42"/>
      <c r="X1250" s="74"/>
      <c r="Y1250" s="74"/>
      <c r="Z1250" s="74"/>
      <c r="AA1250" s="74"/>
      <c r="AB1250" s="74"/>
      <c r="AC1250" s="42"/>
      <c r="AD1250" s="42"/>
      <c r="AE1250" s="42"/>
      <c r="AF1250" s="42"/>
      <c r="AG1250" s="42"/>
      <c r="AH1250" s="42"/>
      <c r="AI1250" s="75"/>
      <c r="AJ1250" s="75"/>
      <c r="AK1250" s="75"/>
      <c r="AL1250" s="75"/>
      <c r="AM1250" s="74"/>
      <c r="AN1250" s="72" t="e">
        <f>VLOOKUP(H1250,[4]Planilha1!A$13:P$314,16,0)</f>
        <v>#N/A</v>
      </c>
    </row>
    <row r="1251" spans="1:40" s="69" customFormat="1" x14ac:dyDescent="0.25">
      <c r="A1251" s="88"/>
      <c r="B1251" s="88"/>
      <c r="C1251" s="70"/>
      <c r="D1251" s="70"/>
      <c r="E1251" s="70"/>
      <c r="F1251" s="70"/>
      <c r="G1251" s="70"/>
      <c r="H1251" s="422"/>
      <c r="I1251" s="422"/>
      <c r="J1251" s="418"/>
      <c r="K1251" s="403"/>
      <c r="L1251" s="73"/>
      <c r="M1251" s="72"/>
      <c r="N1251" s="72"/>
      <c r="O1251" s="72"/>
      <c r="P1251" s="42"/>
      <c r="Q1251" s="42"/>
      <c r="R1251" s="42"/>
      <c r="S1251" s="42"/>
      <c r="T1251" s="42"/>
      <c r="U1251" s="42"/>
      <c r="V1251" s="416"/>
      <c r="W1251" s="42"/>
      <c r="X1251" s="74"/>
      <c r="Y1251" s="74"/>
      <c r="Z1251" s="74"/>
      <c r="AA1251" s="74"/>
      <c r="AB1251" s="74"/>
      <c r="AC1251" s="42"/>
      <c r="AD1251" s="42"/>
      <c r="AE1251" s="42"/>
      <c r="AF1251" s="42"/>
      <c r="AG1251" s="42"/>
      <c r="AH1251" s="42"/>
      <c r="AI1251" s="75"/>
      <c r="AJ1251" s="75"/>
      <c r="AK1251" s="75"/>
      <c r="AL1251" s="75"/>
      <c r="AM1251" s="74"/>
      <c r="AN1251" s="72" t="e">
        <f>VLOOKUP(H1251,[4]Planilha1!A$13:P$314,16,0)</f>
        <v>#N/A</v>
      </c>
    </row>
    <row r="1252" spans="1:40" s="69" customFormat="1" x14ac:dyDescent="0.25">
      <c r="A1252" s="88"/>
      <c r="B1252" s="88"/>
      <c r="C1252" s="70"/>
      <c r="D1252" s="70"/>
      <c r="E1252" s="70"/>
      <c r="F1252" s="70"/>
      <c r="G1252" s="70"/>
      <c r="H1252" s="422"/>
      <c r="I1252" s="422"/>
      <c r="J1252" s="418"/>
      <c r="K1252" s="403"/>
      <c r="L1252" s="73"/>
      <c r="M1252" s="72"/>
      <c r="N1252" s="72"/>
      <c r="O1252" s="72"/>
      <c r="P1252" s="42"/>
      <c r="Q1252" s="42"/>
      <c r="R1252" s="42"/>
      <c r="S1252" s="42"/>
      <c r="T1252" s="42"/>
      <c r="U1252" s="42"/>
      <c r="V1252" s="416"/>
      <c r="W1252" s="42"/>
      <c r="X1252" s="74"/>
      <c r="Y1252" s="74"/>
      <c r="Z1252" s="74"/>
      <c r="AA1252" s="74"/>
      <c r="AB1252" s="74"/>
      <c r="AC1252" s="42"/>
      <c r="AD1252" s="42"/>
      <c r="AE1252" s="42"/>
      <c r="AF1252" s="42"/>
      <c r="AG1252" s="42"/>
      <c r="AH1252" s="42"/>
      <c r="AI1252" s="75"/>
      <c r="AJ1252" s="75"/>
      <c r="AK1252" s="75"/>
      <c r="AL1252" s="75"/>
      <c r="AM1252" s="74"/>
      <c r="AN1252" s="72" t="e">
        <f>VLOOKUP(H1252,[4]Planilha1!A$13:P$314,16,0)</f>
        <v>#N/A</v>
      </c>
    </row>
    <row r="1253" spans="1:40" s="69" customFormat="1" x14ac:dyDescent="0.25">
      <c r="A1253" s="88"/>
      <c r="B1253" s="88"/>
      <c r="C1253" s="70"/>
      <c r="D1253" s="70"/>
      <c r="E1253" s="70"/>
      <c r="F1253" s="70"/>
      <c r="G1253" s="70"/>
      <c r="H1253" s="422"/>
      <c r="I1253" s="422"/>
      <c r="J1253" s="418"/>
      <c r="K1253" s="403"/>
      <c r="L1253" s="73"/>
      <c r="M1253" s="72"/>
      <c r="N1253" s="72"/>
      <c r="O1253" s="72"/>
      <c r="P1253" s="42"/>
      <c r="Q1253" s="42"/>
      <c r="R1253" s="42"/>
      <c r="S1253" s="42"/>
      <c r="T1253" s="42"/>
      <c r="U1253" s="42"/>
      <c r="V1253" s="416"/>
      <c r="W1253" s="42"/>
      <c r="X1253" s="74"/>
      <c r="Y1253" s="74"/>
      <c r="Z1253" s="74"/>
      <c r="AA1253" s="74"/>
      <c r="AB1253" s="74"/>
      <c r="AC1253" s="42"/>
      <c r="AD1253" s="42"/>
      <c r="AE1253" s="42"/>
      <c r="AF1253" s="42"/>
      <c r="AG1253" s="42"/>
      <c r="AH1253" s="42"/>
      <c r="AI1253" s="75"/>
      <c r="AJ1253" s="75"/>
      <c r="AK1253" s="75"/>
      <c r="AL1253" s="75"/>
      <c r="AM1253" s="74"/>
      <c r="AN1253" s="72" t="e">
        <f>VLOOKUP(H1253,[4]Planilha1!A$13:P$314,16,0)</f>
        <v>#N/A</v>
      </c>
    </row>
    <row r="1254" spans="1:40" s="69" customFormat="1" x14ac:dyDescent="0.25">
      <c r="A1254" s="88"/>
      <c r="B1254" s="88"/>
      <c r="C1254" s="70"/>
      <c r="D1254" s="70"/>
      <c r="E1254" s="70"/>
      <c r="F1254" s="70"/>
      <c r="G1254" s="70"/>
      <c r="H1254" s="422"/>
      <c r="I1254" s="422"/>
      <c r="J1254" s="418"/>
      <c r="K1254" s="403"/>
      <c r="L1254" s="73"/>
      <c r="M1254" s="72"/>
      <c r="N1254" s="72"/>
      <c r="O1254" s="72"/>
      <c r="P1254" s="42"/>
      <c r="Q1254" s="42"/>
      <c r="R1254" s="42"/>
      <c r="S1254" s="42"/>
      <c r="T1254" s="42"/>
      <c r="U1254" s="42"/>
      <c r="V1254" s="416"/>
      <c r="W1254" s="42"/>
      <c r="X1254" s="74"/>
      <c r="Y1254" s="74"/>
      <c r="Z1254" s="74"/>
      <c r="AA1254" s="74"/>
      <c r="AB1254" s="74"/>
      <c r="AC1254" s="42"/>
      <c r="AD1254" s="42"/>
      <c r="AE1254" s="42"/>
      <c r="AF1254" s="42"/>
      <c r="AG1254" s="42"/>
      <c r="AH1254" s="42"/>
      <c r="AI1254" s="75"/>
      <c r="AJ1254" s="75"/>
      <c r="AK1254" s="75"/>
      <c r="AL1254" s="75"/>
      <c r="AM1254" s="74"/>
      <c r="AN1254" s="72" t="e">
        <f>VLOOKUP(H1254,[4]Planilha1!A$13:P$314,16,0)</f>
        <v>#N/A</v>
      </c>
    </row>
    <row r="1255" spans="1:40" s="69" customFormat="1" x14ac:dyDescent="0.25">
      <c r="A1255" s="88"/>
      <c r="B1255" s="88"/>
      <c r="C1255" s="70"/>
      <c r="D1255" s="70"/>
      <c r="E1255" s="70"/>
      <c r="F1255" s="70"/>
      <c r="G1255" s="70"/>
      <c r="H1255" s="422"/>
      <c r="I1255" s="422"/>
      <c r="J1255" s="418"/>
      <c r="K1255" s="403"/>
      <c r="L1255" s="73"/>
      <c r="M1255" s="72"/>
      <c r="N1255" s="72"/>
      <c r="O1255" s="72"/>
      <c r="P1255" s="42"/>
      <c r="Q1255" s="42"/>
      <c r="R1255" s="42"/>
      <c r="S1255" s="42"/>
      <c r="T1255" s="42"/>
      <c r="U1255" s="42"/>
      <c r="V1255" s="416"/>
      <c r="W1255" s="42"/>
      <c r="X1255" s="74"/>
      <c r="Y1255" s="74"/>
      <c r="Z1255" s="74"/>
      <c r="AA1255" s="74"/>
      <c r="AB1255" s="74"/>
      <c r="AC1255" s="42"/>
      <c r="AD1255" s="42"/>
      <c r="AE1255" s="42"/>
      <c r="AF1255" s="42"/>
      <c r="AG1255" s="42"/>
      <c r="AH1255" s="42"/>
      <c r="AI1255" s="75"/>
      <c r="AJ1255" s="75"/>
      <c r="AK1255" s="75"/>
      <c r="AL1255" s="75"/>
      <c r="AM1255" s="74"/>
      <c r="AN1255" s="72" t="e">
        <f>VLOOKUP(H1255,[4]Planilha1!A$13:P$314,16,0)</f>
        <v>#N/A</v>
      </c>
    </row>
    <row r="1256" spans="1:40" s="69" customFormat="1" x14ac:dyDescent="0.25">
      <c r="A1256" s="88"/>
      <c r="B1256" s="88"/>
      <c r="C1256" s="70"/>
      <c r="D1256" s="70"/>
      <c r="E1256" s="70"/>
      <c r="F1256" s="70"/>
      <c r="G1256" s="70"/>
      <c r="H1256" s="422"/>
      <c r="I1256" s="422"/>
      <c r="J1256" s="418"/>
      <c r="K1256" s="403"/>
      <c r="L1256" s="73"/>
      <c r="M1256" s="72"/>
      <c r="N1256" s="72"/>
      <c r="O1256" s="72"/>
      <c r="P1256" s="42"/>
      <c r="Q1256" s="42"/>
      <c r="R1256" s="42"/>
      <c r="S1256" s="42"/>
      <c r="T1256" s="42"/>
      <c r="U1256" s="42"/>
      <c r="V1256" s="416"/>
      <c r="W1256" s="42"/>
      <c r="X1256" s="74"/>
      <c r="Y1256" s="74"/>
      <c r="Z1256" s="74"/>
      <c r="AA1256" s="74"/>
      <c r="AB1256" s="74"/>
      <c r="AC1256" s="42"/>
      <c r="AD1256" s="42"/>
      <c r="AE1256" s="42"/>
      <c r="AF1256" s="42"/>
      <c r="AG1256" s="42"/>
      <c r="AH1256" s="42"/>
      <c r="AI1256" s="75"/>
      <c r="AJ1256" s="75"/>
      <c r="AK1256" s="75"/>
      <c r="AL1256" s="75"/>
      <c r="AM1256" s="74"/>
      <c r="AN1256" s="72" t="e">
        <f>VLOOKUP(H1256,[4]Planilha1!A$13:P$314,16,0)</f>
        <v>#N/A</v>
      </c>
    </row>
    <row r="1257" spans="1:40" s="69" customFormat="1" x14ac:dyDescent="0.25">
      <c r="A1257" s="88"/>
      <c r="B1257" s="88"/>
      <c r="C1257" s="70"/>
      <c r="D1257" s="70"/>
      <c r="E1257" s="70"/>
      <c r="F1257" s="70"/>
      <c r="G1257" s="70"/>
      <c r="H1257" s="422"/>
      <c r="I1257" s="422"/>
      <c r="J1257" s="418"/>
      <c r="K1257" s="403"/>
      <c r="L1257" s="73"/>
      <c r="M1257" s="72"/>
      <c r="N1257" s="72"/>
      <c r="O1257" s="72"/>
      <c r="P1257" s="42"/>
      <c r="Q1257" s="42"/>
      <c r="R1257" s="42"/>
      <c r="S1257" s="42"/>
      <c r="T1257" s="42"/>
      <c r="U1257" s="42"/>
      <c r="V1257" s="416"/>
      <c r="W1257" s="42"/>
      <c r="X1257" s="74"/>
      <c r="Y1257" s="74"/>
      <c r="Z1257" s="74"/>
      <c r="AA1257" s="74"/>
      <c r="AB1257" s="74"/>
      <c r="AC1257" s="42"/>
      <c r="AD1257" s="42"/>
      <c r="AE1257" s="42"/>
      <c r="AF1257" s="42"/>
      <c r="AG1257" s="42"/>
      <c r="AH1257" s="42"/>
      <c r="AI1257" s="75"/>
      <c r="AJ1257" s="75"/>
      <c r="AK1257" s="75"/>
      <c r="AL1257" s="75"/>
      <c r="AM1257" s="74"/>
      <c r="AN1257" s="72" t="e">
        <f>VLOOKUP(H1257,[4]Planilha1!A$13:P$314,16,0)</f>
        <v>#N/A</v>
      </c>
    </row>
    <row r="1258" spans="1:40" s="69" customFormat="1" x14ac:dyDescent="0.25">
      <c r="A1258" s="88"/>
      <c r="B1258" s="88"/>
      <c r="C1258" s="70"/>
      <c r="D1258" s="70"/>
      <c r="E1258" s="70"/>
      <c r="F1258" s="70"/>
      <c r="G1258" s="70"/>
      <c r="H1258" s="422"/>
      <c r="I1258" s="422"/>
      <c r="J1258" s="418"/>
      <c r="K1258" s="403"/>
      <c r="L1258" s="73"/>
      <c r="M1258" s="72"/>
      <c r="N1258" s="72"/>
      <c r="O1258" s="72"/>
      <c r="P1258" s="42"/>
      <c r="Q1258" s="42"/>
      <c r="R1258" s="42"/>
      <c r="S1258" s="42"/>
      <c r="T1258" s="42"/>
      <c r="U1258" s="42"/>
      <c r="V1258" s="416"/>
      <c r="W1258" s="42"/>
      <c r="X1258" s="74"/>
      <c r="Y1258" s="74"/>
      <c r="Z1258" s="74"/>
      <c r="AA1258" s="74"/>
      <c r="AB1258" s="74"/>
      <c r="AC1258" s="42"/>
      <c r="AD1258" s="42"/>
      <c r="AE1258" s="42"/>
      <c r="AF1258" s="42"/>
      <c r="AG1258" s="42"/>
      <c r="AH1258" s="42"/>
      <c r="AI1258" s="75"/>
      <c r="AJ1258" s="75"/>
      <c r="AK1258" s="75"/>
      <c r="AL1258" s="75"/>
      <c r="AM1258" s="74"/>
      <c r="AN1258" s="72" t="e">
        <f>VLOOKUP(H1258,[4]Planilha1!A$13:P$314,16,0)</f>
        <v>#N/A</v>
      </c>
    </row>
    <row r="1259" spans="1:40" s="69" customFormat="1" x14ac:dyDescent="0.25">
      <c r="A1259" s="88"/>
      <c r="B1259" s="88"/>
      <c r="C1259" s="70"/>
      <c r="D1259" s="70"/>
      <c r="E1259" s="70"/>
      <c r="F1259" s="70"/>
      <c r="G1259" s="70"/>
      <c r="H1259" s="422"/>
      <c r="I1259" s="422"/>
      <c r="J1259" s="418"/>
      <c r="K1259" s="403"/>
      <c r="L1259" s="73"/>
      <c r="M1259" s="72"/>
      <c r="N1259" s="72"/>
      <c r="O1259" s="72"/>
      <c r="P1259" s="42"/>
      <c r="Q1259" s="42"/>
      <c r="R1259" s="42"/>
      <c r="S1259" s="42"/>
      <c r="T1259" s="42"/>
      <c r="U1259" s="42"/>
      <c r="V1259" s="416"/>
      <c r="W1259" s="42"/>
      <c r="X1259" s="74"/>
      <c r="Y1259" s="74"/>
      <c r="Z1259" s="74"/>
      <c r="AA1259" s="74"/>
      <c r="AB1259" s="74"/>
      <c r="AC1259" s="42"/>
      <c r="AD1259" s="42"/>
      <c r="AE1259" s="42"/>
      <c r="AF1259" s="42"/>
      <c r="AG1259" s="42"/>
      <c r="AH1259" s="42"/>
      <c r="AI1259" s="75"/>
      <c r="AJ1259" s="75"/>
      <c r="AK1259" s="75"/>
      <c r="AL1259" s="75"/>
      <c r="AM1259" s="74"/>
      <c r="AN1259" s="72" t="e">
        <f>VLOOKUP(H1259,[4]Planilha1!A$13:P$314,16,0)</f>
        <v>#N/A</v>
      </c>
    </row>
    <row r="1260" spans="1:40" s="69" customFormat="1" x14ac:dyDescent="0.25">
      <c r="A1260" s="88"/>
      <c r="B1260" s="88"/>
      <c r="C1260" s="70"/>
      <c r="D1260" s="70"/>
      <c r="E1260" s="70"/>
      <c r="F1260" s="70"/>
      <c r="G1260" s="70"/>
      <c r="H1260" s="422"/>
      <c r="I1260" s="422"/>
      <c r="J1260" s="418"/>
      <c r="K1260" s="403"/>
      <c r="L1260" s="73"/>
      <c r="M1260" s="72"/>
      <c r="N1260" s="72"/>
      <c r="O1260" s="72"/>
      <c r="P1260" s="42"/>
      <c r="Q1260" s="42"/>
      <c r="R1260" s="42"/>
      <c r="S1260" s="42"/>
      <c r="T1260" s="42"/>
      <c r="U1260" s="42"/>
      <c r="V1260" s="416"/>
      <c r="W1260" s="42"/>
      <c r="X1260" s="74"/>
      <c r="Y1260" s="74"/>
      <c r="Z1260" s="74"/>
      <c r="AA1260" s="74"/>
      <c r="AB1260" s="74"/>
      <c r="AC1260" s="42"/>
      <c r="AD1260" s="42"/>
      <c r="AE1260" s="42"/>
      <c r="AF1260" s="42"/>
      <c r="AG1260" s="42"/>
      <c r="AH1260" s="42"/>
      <c r="AI1260" s="75"/>
      <c r="AJ1260" s="75"/>
      <c r="AK1260" s="75"/>
      <c r="AL1260" s="75"/>
      <c r="AM1260" s="74"/>
      <c r="AN1260" s="72" t="e">
        <f>VLOOKUP(H1260,[4]Planilha1!A$13:P$314,16,0)</f>
        <v>#N/A</v>
      </c>
    </row>
    <row r="1261" spans="1:40" s="69" customFormat="1" x14ac:dyDescent="0.25">
      <c r="A1261" s="88"/>
      <c r="B1261" s="88"/>
      <c r="C1261" s="70"/>
      <c r="D1261" s="70"/>
      <c r="E1261" s="70"/>
      <c r="F1261" s="70"/>
      <c r="G1261" s="70"/>
      <c r="H1261" s="422"/>
      <c r="I1261" s="422"/>
      <c r="J1261" s="418"/>
      <c r="K1261" s="403"/>
      <c r="L1261" s="73"/>
      <c r="M1261" s="72"/>
      <c r="N1261" s="72"/>
      <c r="O1261" s="72"/>
      <c r="P1261" s="42"/>
      <c r="Q1261" s="42"/>
      <c r="R1261" s="42"/>
      <c r="S1261" s="42"/>
      <c r="T1261" s="42"/>
      <c r="U1261" s="42"/>
      <c r="V1261" s="416"/>
      <c r="W1261" s="42"/>
      <c r="X1261" s="74"/>
      <c r="Y1261" s="74"/>
      <c r="Z1261" s="74"/>
      <c r="AA1261" s="74"/>
      <c r="AB1261" s="74"/>
      <c r="AC1261" s="42"/>
      <c r="AD1261" s="42"/>
      <c r="AE1261" s="42"/>
      <c r="AF1261" s="42"/>
      <c r="AG1261" s="42"/>
      <c r="AH1261" s="42"/>
      <c r="AI1261" s="75"/>
      <c r="AJ1261" s="75"/>
      <c r="AK1261" s="75"/>
      <c r="AL1261" s="75"/>
      <c r="AM1261" s="74"/>
      <c r="AN1261" s="72" t="e">
        <f>VLOOKUP(H1261,[4]Planilha1!A$13:P$314,16,0)</f>
        <v>#N/A</v>
      </c>
    </row>
    <row r="1262" spans="1:40" s="69" customFormat="1" x14ac:dyDescent="0.25">
      <c r="A1262" s="88"/>
      <c r="B1262" s="88"/>
      <c r="C1262" s="70"/>
      <c r="D1262" s="70"/>
      <c r="E1262" s="70"/>
      <c r="F1262" s="70"/>
      <c r="G1262" s="70"/>
      <c r="H1262" s="422"/>
      <c r="I1262" s="422"/>
      <c r="J1262" s="418"/>
      <c r="K1262" s="403"/>
      <c r="L1262" s="73"/>
      <c r="M1262" s="72"/>
      <c r="N1262" s="72"/>
      <c r="O1262" s="72"/>
      <c r="P1262" s="42"/>
      <c r="Q1262" s="42"/>
      <c r="R1262" s="42"/>
      <c r="S1262" s="42"/>
      <c r="T1262" s="42"/>
      <c r="U1262" s="42"/>
      <c r="V1262" s="416"/>
      <c r="W1262" s="42"/>
      <c r="X1262" s="74"/>
      <c r="Y1262" s="74"/>
      <c r="Z1262" s="74"/>
      <c r="AA1262" s="74"/>
      <c r="AB1262" s="74"/>
      <c r="AC1262" s="42"/>
      <c r="AD1262" s="42"/>
      <c r="AE1262" s="42"/>
      <c r="AF1262" s="42"/>
      <c r="AG1262" s="42"/>
      <c r="AH1262" s="42"/>
      <c r="AI1262" s="75"/>
      <c r="AJ1262" s="75"/>
      <c r="AK1262" s="75"/>
      <c r="AL1262" s="75"/>
      <c r="AM1262" s="74"/>
      <c r="AN1262" s="72" t="e">
        <f>VLOOKUP(H1262,[4]Planilha1!A$13:P$314,16,0)</f>
        <v>#N/A</v>
      </c>
    </row>
    <row r="1263" spans="1:40" s="69" customFormat="1" x14ac:dyDescent="0.25">
      <c r="A1263" s="88"/>
      <c r="B1263" s="88"/>
      <c r="C1263" s="70"/>
      <c r="D1263" s="70"/>
      <c r="E1263" s="70"/>
      <c r="F1263" s="70"/>
      <c r="G1263" s="70"/>
      <c r="H1263" s="422"/>
      <c r="I1263" s="422"/>
      <c r="J1263" s="418"/>
      <c r="K1263" s="403"/>
      <c r="L1263" s="73"/>
      <c r="M1263" s="72"/>
      <c r="N1263" s="72"/>
      <c r="O1263" s="72"/>
      <c r="P1263" s="42"/>
      <c r="Q1263" s="42"/>
      <c r="R1263" s="42"/>
      <c r="S1263" s="42"/>
      <c r="T1263" s="42"/>
      <c r="U1263" s="42"/>
      <c r="V1263" s="416"/>
      <c r="W1263" s="42"/>
      <c r="X1263" s="74"/>
      <c r="Y1263" s="74"/>
      <c r="Z1263" s="74"/>
      <c r="AA1263" s="74"/>
      <c r="AB1263" s="74"/>
      <c r="AC1263" s="42"/>
      <c r="AD1263" s="42"/>
      <c r="AE1263" s="42"/>
      <c r="AF1263" s="42"/>
      <c r="AG1263" s="42"/>
      <c r="AH1263" s="42"/>
      <c r="AI1263" s="75"/>
      <c r="AJ1263" s="75"/>
      <c r="AK1263" s="75"/>
      <c r="AL1263" s="75"/>
      <c r="AM1263" s="74"/>
      <c r="AN1263" s="72" t="e">
        <f>VLOOKUP(H1263,[4]Planilha1!A$13:P$314,16,0)</f>
        <v>#N/A</v>
      </c>
    </row>
    <row r="1264" spans="1:40" s="69" customFormat="1" x14ac:dyDescent="0.25">
      <c r="A1264" s="88"/>
      <c r="B1264" s="88"/>
      <c r="C1264" s="70"/>
      <c r="D1264" s="70"/>
      <c r="E1264" s="70"/>
      <c r="F1264" s="70"/>
      <c r="G1264" s="70"/>
      <c r="H1264" s="422"/>
      <c r="I1264" s="422"/>
      <c r="J1264" s="418"/>
      <c r="K1264" s="403"/>
      <c r="L1264" s="73"/>
      <c r="M1264" s="72"/>
      <c r="N1264" s="72"/>
      <c r="O1264" s="72"/>
      <c r="P1264" s="42"/>
      <c r="Q1264" s="42"/>
      <c r="R1264" s="42"/>
      <c r="S1264" s="42"/>
      <c r="T1264" s="42"/>
      <c r="U1264" s="42"/>
      <c r="V1264" s="416"/>
      <c r="W1264" s="42"/>
      <c r="X1264" s="74"/>
      <c r="Y1264" s="74"/>
      <c r="Z1264" s="74"/>
      <c r="AA1264" s="74"/>
      <c r="AB1264" s="74"/>
      <c r="AC1264" s="42"/>
      <c r="AD1264" s="42"/>
      <c r="AE1264" s="42"/>
      <c r="AF1264" s="42"/>
      <c r="AG1264" s="42"/>
      <c r="AH1264" s="42"/>
      <c r="AI1264" s="75"/>
      <c r="AJ1264" s="75"/>
      <c r="AK1264" s="75"/>
      <c r="AL1264" s="75"/>
      <c r="AM1264" s="74"/>
      <c r="AN1264" s="72" t="e">
        <f>VLOOKUP(H1264,[4]Planilha1!A$13:P$314,16,0)</f>
        <v>#N/A</v>
      </c>
    </row>
    <row r="1265" spans="1:40" s="69" customFormat="1" x14ac:dyDescent="0.25">
      <c r="A1265" s="88"/>
      <c r="B1265" s="88"/>
      <c r="C1265" s="70"/>
      <c r="D1265" s="70"/>
      <c r="E1265" s="70"/>
      <c r="F1265" s="70"/>
      <c r="G1265" s="70"/>
      <c r="H1265" s="422"/>
      <c r="I1265" s="422"/>
      <c r="J1265" s="418"/>
      <c r="K1265" s="403"/>
      <c r="L1265" s="73"/>
      <c r="M1265" s="72"/>
      <c r="N1265" s="72"/>
      <c r="O1265" s="72"/>
      <c r="P1265" s="42"/>
      <c r="Q1265" s="42"/>
      <c r="R1265" s="42"/>
      <c r="S1265" s="42"/>
      <c r="T1265" s="42"/>
      <c r="U1265" s="42"/>
      <c r="V1265" s="416"/>
      <c r="W1265" s="42"/>
      <c r="X1265" s="74"/>
      <c r="Y1265" s="74"/>
      <c r="Z1265" s="74"/>
      <c r="AA1265" s="74"/>
      <c r="AB1265" s="74"/>
      <c r="AC1265" s="42"/>
      <c r="AD1265" s="42"/>
      <c r="AE1265" s="42"/>
      <c r="AF1265" s="42"/>
      <c r="AG1265" s="42"/>
      <c r="AH1265" s="42"/>
      <c r="AI1265" s="75"/>
      <c r="AJ1265" s="75"/>
      <c r="AK1265" s="75"/>
      <c r="AL1265" s="75"/>
      <c r="AM1265" s="74"/>
      <c r="AN1265" s="72" t="e">
        <f>VLOOKUP(H1265,[4]Planilha1!A$13:P$314,16,0)</f>
        <v>#N/A</v>
      </c>
    </row>
    <row r="1266" spans="1:40" s="69" customFormat="1" x14ac:dyDescent="0.25">
      <c r="A1266" s="88"/>
      <c r="B1266" s="88"/>
      <c r="C1266" s="70"/>
      <c r="D1266" s="70"/>
      <c r="E1266" s="70"/>
      <c r="F1266" s="70"/>
      <c r="G1266" s="70"/>
      <c r="H1266" s="422"/>
      <c r="I1266" s="422"/>
      <c r="J1266" s="418"/>
      <c r="K1266" s="403"/>
      <c r="L1266" s="73"/>
      <c r="M1266" s="72"/>
      <c r="N1266" s="72"/>
      <c r="O1266" s="72"/>
      <c r="P1266" s="42"/>
      <c r="Q1266" s="42"/>
      <c r="R1266" s="42"/>
      <c r="S1266" s="42"/>
      <c r="T1266" s="42"/>
      <c r="U1266" s="42"/>
      <c r="V1266" s="416"/>
      <c r="W1266" s="42"/>
      <c r="X1266" s="74"/>
      <c r="Y1266" s="74"/>
      <c r="Z1266" s="74"/>
      <c r="AA1266" s="74"/>
      <c r="AB1266" s="74"/>
      <c r="AC1266" s="42"/>
      <c r="AD1266" s="42"/>
      <c r="AE1266" s="42"/>
      <c r="AF1266" s="42"/>
      <c r="AG1266" s="42"/>
      <c r="AH1266" s="42"/>
      <c r="AI1266" s="75"/>
      <c r="AJ1266" s="75"/>
      <c r="AK1266" s="75"/>
      <c r="AL1266" s="75"/>
      <c r="AM1266" s="74"/>
      <c r="AN1266" s="72" t="e">
        <f>VLOOKUP(H1266,[4]Planilha1!A$13:P$314,16,0)</f>
        <v>#N/A</v>
      </c>
    </row>
    <row r="1267" spans="1:40" s="69" customFormat="1" x14ac:dyDescent="0.25">
      <c r="A1267" s="88"/>
      <c r="B1267" s="88"/>
      <c r="C1267" s="70"/>
      <c r="D1267" s="70"/>
      <c r="E1267" s="70"/>
      <c r="F1267" s="70"/>
      <c r="G1267" s="70"/>
      <c r="H1267" s="422"/>
      <c r="I1267" s="422"/>
      <c r="J1267" s="418"/>
      <c r="K1267" s="403"/>
      <c r="L1267" s="73"/>
      <c r="M1267" s="72"/>
      <c r="N1267" s="72"/>
      <c r="O1267" s="72"/>
      <c r="P1267" s="42"/>
      <c r="Q1267" s="42"/>
      <c r="R1267" s="42"/>
      <c r="S1267" s="42"/>
      <c r="T1267" s="42"/>
      <c r="U1267" s="42"/>
      <c r="V1267" s="416"/>
      <c r="W1267" s="42"/>
      <c r="X1267" s="74"/>
      <c r="Y1267" s="74"/>
      <c r="Z1267" s="74"/>
      <c r="AA1267" s="74"/>
      <c r="AB1267" s="74"/>
      <c r="AC1267" s="42"/>
      <c r="AD1267" s="42"/>
      <c r="AE1267" s="42"/>
      <c r="AF1267" s="42"/>
      <c r="AG1267" s="42"/>
      <c r="AH1267" s="42"/>
      <c r="AI1267" s="75"/>
      <c r="AJ1267" s="75"/>
      <c r="AK1267" s="75"/>
      <c r="AL1267" s="75"/>
      <c r="AM1267" s="74"/>
      <c r="AN1267" s="72" t="e">
        <f>VLOOKUP(H1267,[4]Planilha1!A$13:P$314,16,0)</f>
        <v>#N/A</v>
      </c>
    </row>
    <row r="1268" spans="1:40" s="69" customFormat="1" x14ac:dyDescent="0.25">
      <c r="A1268" s="88"/>
      <c r="B1268" s="88"/>
      <c r="C1268" s="70"/>
      <c r="D1268" s="70"/>
      <c r="E1268" s="70"/>
      <c r="F1268" s="70"/>
      <c r="G1268" s="70"/>
      <c r="H1268" s="422"/>
      <c r="I1268" s="422"/>
      <c r="J1268" s="418"/>
      <c r="K1268" s="403"/>
      <c r="L1268" s="73"/>
      <c r="M1268" s="72"/>
      <c r="N1268" s="72"/>
      <c r="O1268" s="72"/>
      <c r="P1268" s="42"/>
      <c r="Q1268" s="42"/>
      <c r="R1268" s="42"/>
      <c r="S1268" s="42"/>
      <c r="T1268" s="42"/>
      <c r="U1268" s="42"/>
      <c r="V1268" s="416"/>
      <c r="W1268" s="42"/>
      <c r="X1268" s="74"/>
      <c r="Y1268" s="74"/>
      <c r="Z1268" s="74"/>
      <c r="AA1268" s="74"/>
      <c r="AB1268" s="74"/>
      <c r="AC1268" s="42"/>
      <c r="AD1268" s="42"/>
      <c r="AE1268" s="42"/>
      <c r="AF1268" s="42"/>
      <c r="AG1268" s="42"/>
      <c r="AH1268" s="42"/>
      <c r="AI1268" s="75"/>
      <c r="AJ1268" s="75"/>
      <c r="AK1268" s="75"/>
      <c r="AL1268" s="75"/>
      <c r="AM1268" s="74"/>
      <c r="AN1268" s="72" t="e">
        <f>VLOOKUP(H1268,[4]Planilha1!A$13:P$314,16,0)</f>
        <v>#N/A</v>
      </c>
    </row>
    <row r="1269" spans="1:40" s="69" customFormat="1" x14ac:dyDescent="0.25">
      <c r="A1269" s="88"/>
      <c r="B1269" s="88"/>
      <c r="C1269" s="70"/>
      <c r="D1269" s="70"/>
      <c r="E1269" s="70"/>
      <c r="F1269" s="70"/>
      <c r="G1269" s="70"/>
      <c r="H1269" s="422"/>
      <c r="I1269" s="422"/>
      <c r="J1269" s="418"/>
      <c r="K1269" s="403"/>
      <c r="L1269" s="73"/>
      <c r="M1269" s="72"/>
      <c r="N1269" s="72"/>
      <c r="O1269" s="72"/>
      <c r="P1269" s="42"/>
      <c r="Q1269" s="42"/>
      <c r="R1269" s="42"/>
      <c r="S1269" s="42"/>
      <c r="T1269" s="42"/>
      <c r="U1269" s="42"/>
      <c r="V1269" s="416"/>
      <c r="W1269" s="42"/>
      <c r="X1269" s="74"/>
      <c r="Y1269" s="74"/>
      <c r="Z1269" s="74"/>
      <c r="AA1269" s="74"/>
      <c r="AB1269" s="74"/>
      <c r="AC1269" s="42"/>
      <c r="AD1269" s="42"/>
      <c r="AE1269" s="42"/>
      <c r="AF1269" s="42"/>
      <c r="AG1269" s="42"/>
      <c r="AH1269" s="42"/>
      <c r="AI1269" s="75"/>
      <c r="AJ1269" s="75"/>
      <c r="AK1269" s="75"/>
      <c r="AL1269" s="75"/>
      <c r="AM1269" s="74"/>
      <c r="AN1269" s="72" t="e">
        <f>VLOOKUP(H1269,[4]Planilha1!A$13:P$314,16,0)</f>
        <v>#N/A</v>
      </c>
    </row>
    <row r="1270" spans="1:40" s="69" customFormat="1" x14ac:dyDescent="0.25">
      <c r="A1270" s="88"/>
      <c r="B1270" s="88"/>
      <c r="C1270" s="70"/>
      <c r="D1270" s="70"/>
      <c r="E1270" s="70"/>
      <c r="F1270" s="70"/>
      <c r="G1270" s="70"/>
      <c r="H1270" s="422"/>
      <c r="I1270" s="422"/>
      <c r="J1270" s="418"/>
      <c r="K1270" s="403"/>
      <c r="L1270" s="73"/>
      <c r="M1270" s="72"/>
      <c r="N1270" s="72"/>
      <c r="O1270" s="72"/>
      <c r="P1270" s="42"/>
      <c r="Q1270" s="42"/>
      <c r="R1270" s="42"/>
      <c r="S1270" s="42"/>
      <c r="T1270" s="42"/>
      <c r="U1270" s="42"/>
      <c r="V1270" s="416"/>
      <c r="W1270" s="42"/>
      <c r="X1270" s="74"/>
      <c r="Y1270" s="74"/>
      <c r="Z1270" s="74"/>
      <c r="AA1270" s="74"/>
      <c r="AB1270" s="74"/>
      <c r="AC1270" s="42"/>
      <c r="AD1270" s="42"/>
      <c r="AE1270" s="42"/>
      <c r="AF1270" s="42"/>
      <c r="AG1270" s="42"/>
      <c r="AH1270" s="42"/>
      <c r="AI1270" s="75"/>
      <c r="AJ1270" s="75"/>
      <c r="AK1270" s="75"/>
      <c r="AL1270" s="75"/>
      <c r="AM1270" s="74"/>
      <c r="AN1270" s="72" t="e">
        <f>VLOOKUP(H1270,[4]Planilha1!A$13:P$314,16,0)</f>
        <v>#N/A</v>
      </c>
    </row>
    <row r="1271" spans="1:40" s="69" customFormat="1" x14ac:dyDescent="0.25">
      <c r="A1271" s="88"/>
      <c r="B1271" s="88"/>
      <c r="C1271" s="70"/>
      <c r="D1271" s="70"/>
      <c r="E1271" s="70"/>
      <c r="F1271" s="70"/>
      <c r="G1271" s="70"/>
      <c r="H1271" s="422"/>
      <c r="I1271" s="422"/>
      <c r="J1271" s="418"/>
      <c r="K1271" s="403"/>
      <c r="L1271" s="73"/>
      <c r="M1271" s="72"/>
      <c r="N1271" s="72"/>
      <c r="O1271" s="72"/>
      <c r="P1271" s="42"/>
      <c r="Q1271" s="42"/>
      <c r="R1271" s="42"/>
      <c r="S1271" s="42"/>
      <c r="T1271" s="42"/>
      <c r="U1271" s="42"/>
      <c r="V1271" s="416"/>
      <c r="W1271" s="42"/>
      <c r="X1271" s="74"/>
      <c r="Y1271" s="74"/>
      <c r="Z1271" s="74"/>
      <c r="AA1271" s="74"/>
      <c r="AB1271" s="74"/>
      <c r="AC1271" s="42"/>
      <c r="AD1271" s="42"/>
      <c r="AE1271" s="42"/>
      <c r="AF1271" s="42"/>
      <c r="AG1271" s="42"/>
      <c r="AH1271" s="42"/>
      <c r="AI1271" s="75"/>
      <c r="AJ1271" s="75"/>
      <c r="AK1271" s="75"/>
      <c r="AL1271" s="75"/>
      <c r="AM1271" s="74"/>
      <c r="AN1271" s="72" t="e">
        <f>VLOOKUP(H1271,[4]Planilha1!A$13:P$314,16,0)</f>
        <v>#N/A</v>
      </c>
    </row>
    <row r="1272" spans="1:40" s="69" customFormat="1" x14ac:dyDescent="0.25">
      <c r="A1272" s="88"/>
      <c r="B1272" s="88"/>
      <c r="C1272" s="70"/>
      <c r="D1272" s="70"/>
      <c r="E1272" s="70"/>
      <c r="F1272" s="70"/>
      <c r="G1272" s="70"/>
      <c r="H1272" s="422"/>
      <c r="I1272" s="422"/>
      <c r="J1272" s="418"/>
      <c r="K1272" s="403"/>
      <c r="L1272" s="73"/>
      <c r="M1272" s="72"/>
      <c r="N1272" s="72"/>
      <c r="O1272" s="72"/>
      <c r="P1272" s="42"/>
      <c r="Q1272" s="42"/>
      <c r="R1272" s="42"/>
      <c r="S1272" s="42"/>
      <c r="T1272" s="42"/>
      <c r="U1272" s="42"/>
      <c r="V1272" s="416"/>
      <c r="W1272" s="42"/>
      <c r="X1272" s="74"/>
      <c r="Y1272" s="74"/>
      <c r="Z1272" s="74"/>
      <c r="AA1272" s="74"/>
      <c r="AB1272" s="74"/>
      <c r="AC1272" s="42"/>
      <c r="AD1272" s="42"/>
      <c r="AE1272" s="42"/>
      <c r="AF1272" s="42"/>
      <c r="AG1272" s="42"/>
      <c r="AH1272" s="42"/>
      <c r="AI1272" s="75"/>
      <c r="AJ1272" s="75"/>
      <c r="AK1272" s="75"/>
      <c r="AL1272" s="75"/>
      <c r="AM1272" s="74"/>
      <c r="AN1272" s="72" t="e">
        <f>VLOOKUP(H1272,[4]Planilha1!A$13:P$314,16,0)</f>
        <v>#N/A</v>
      </c>
    </row>
    <row r="1273" spans="1:40" s="69" customFormat="1" x14ac:dyDescent="0.25">
      <c r="A1273" s="88"/>
      <c r="B1273" s="88"/>
      <c r="C1273" s="70"/>
      <c r="D1273" s="70"/>
      <c r="E1273" s="70"/>
      <c r="F1273" s="70"/>
      <c r="G1273" s="70"/>
      <c r="H1273" s="422"/>
      <c r="I1273" s="422"/>
      <c r="J1273" s="418"/>
      <c r="K1273" s="403"/>
      <c r="L1273" s="73"/>
      <c r="M1273" s="72"/>
      <c r="N1273" s="72"/>
      <c r="O1273" s="72"/>
      <c r="P1273" s="42"/>
      <c r="Q1273" s="42"/>
      <c r="R1273" s="42"/>
      <c r="S1273" s="42"/>
      <c r="T1273" s="42"/>
      <c r="U1273" s="42"/>
      <c r="V1273" s="416"/>
      <c r="W1273" s="42"/>
      <c r="X1273" s="74"/>
      <c r="Y1273" s="74"/>
      <c r="Z1273" s="74"/>
      <c r="AA1273" s="74"/>
      <c r="AB1273" s="74"/>
      <c r="AC1273" s="42"/>
      <c r="AD1273" s="42"/>
      <c r="AE1273" s="42"/>
      <c r="AF1273" s="42"/>
      <c r="AG1273" s="42"/>
      <c r="AH1273" s="42"/>
      <c r="AI1273" s="75"/>
      <c r="AJ1273" s="75"/>
      <c r="AK1273" s="75"/>
      <c r="AL1273" s="75"/>
      <c r="AM1273" s="74"/>
      <c r="AN1273" s="72" t="e">
        <f>VLOOKUP(H1273,[4]Planilha1!A$13:P$314,16,0)</f>
        <v>#N/A</v>
      </c>
    </row>
    <row r="1274" spans="1:40" s="69" customFormat="1" x14ac:dyDescent="0.25">
      <c r="A1274" s="88"/>
      <c r="B1274" s="88"/>
      <c r="C1274" s="70"/>
      <c r="D1274" s="70"/>
      <c r="E1274" s="70"/>
      <c r="F1274" s="70"/>
      <c r="G1274" s="70"/>
      <c r="H1274" s="422"/>
      <c r="I1274" s="422"/>
      <c r="J1274" s="418"/>
      <c r="K1274" s="403"/>
      <c r="L1274" s="73"/>
      <c r="M1274" s="72"/>
      <c r="N1274" s="72"/>
      <c r="O1274" s="72"/>
      <c r="P1274" s="42"/>
      <c r="Q1274" s="42"/>
      <c r="R1274" s="42"/>
      <c r="S1274" s="42"/>
      <c r="T1274" s="42"/>
      <c r="U1274" s="42"/>
      <c r="V1274" s="416"/>
      <c r="W1274" s="42"/>
      <c r="X1274" s="74"/>
      <c r="Y1274" s="74"/>
      <c r="Z1274" s="74"/>
      <c r="AA1274" s="74"/>
      <c r="AB1274" s="74"/>
      <c r="AC1274" s="42"/>
      <c r="AD1274" s="42"/>
      <c r="AE1274" s="42"/>
      <c r="AF1274" s="42"/>
      <c r="AG1274" s="42"/>
      <c r="AH1274" s="42"/>
      <c r="AI1274" s="75"/>
      <c r="AJ1274" s="75"/>
      <c r="AK1274" s="75"/>
      <c r="AL1274" s="75"/>
      <c r="AM1274" s="74"/>
      <c r="AN1274" s="72" t="e">
        <f>VLOOKUP(H1274,[4]Planilha1!A$13:P$314,16,0)</f>
        <v>#N/A</v>
      </c>
    </row>
    <row r="1275" spans="1:40" s="69" customFormat="1" x14ac:dyDescent="0.25">
      <c r="A1275" s="88"/>
      <c r="B1275" s="88"/>
      <c r="C1275" s="70"/>
      <c r="D1275" s="70"/>
      <c r="E1275" s="70"/>
      <c r="F1275" s="70"/>
      <c r="G1275" s="70"/>
      <c r="H1275" s="422"/>
      <c r="I1275" s="422"/>
      <c r="J1275" s="418"/>
      <c r="K1275" s="403"/>
      <c r="L1275" s="73"/>
      <c r="M1275" s="72"/>
      <c r="N1275" s="72"/>
      <c r="O1275" s="72"/>
      <c r="P1275" s="42"/>
      <c r="Q1275" s="42"/>
      <c r="R1275" s="42"/>
      <c r="S1275" s="42"/>
      <c r="T1275" s="42"/>
      <c r="U1275" s="42"/>
      <c r="V1275" s="416"/>
      <c r="W1275" s="42"/>
      <c r="X1275" s="74"/>
      <c r="Y1275" s="74"/>
      <c r="Z1275" s="74"/>
      <c r="AA1275" s="74"/>
      <c r="AB1275" s="74"/>
      <c r="AC1275" s="42"/>
      <c r="AD1275" s="42"/>
      <c r="AE1275" s="42"/>
      <c r="AF1275" s="42"/>
      <c r="AG1275" s="42"/>
      <c r="AH1275" s="42"/>
      <c r="AI1275" s="75"/>
      <c r="AJ1275" s="75"/>
      <c r="AK1275" s="75"/>
      <c r="AL1275" s="75"/>
      <c r="AM1275" s="74"/>
      <c r="AN1275" s="72" t="e">
        <f>VLOOKUP(H1275,[4]Planilha1!A$13:P$314,16,0)</f>
        <v>#N/A</v>
      </c>
    </row>
    <row r="1276" spans="1:40" s="69" customFormat="1" x14ac:dyDescent="0.25">
      <c r="A1276" s="88"/>
      <c r="B1276" s="88"/>
      <c r="C1276" s="70"/>
      <c r="D1276" s="70"/>
      <c r="E1276" s="70"/>
      <c r="F1276" s="70"/>
      <c r="G1276" s="70"/>
      <c r="H1276" s="422"/>
      <c r="I1276" s="422"/>
      <c r="J1276" s="418"/>
      <c r="K1276" s="403"/>
      <c r="L1276" s="73"/>
      <c r="M1276" s="72"/>
      <c r="N1276" s="72"/>
      <c r="O1276" s="72"/>
      <c r="P1276" s="42"/>
      <c r="Q1276" s="42"/>
      <c r="R1276" s="42"/>
      <c r="S1276" s="42"/>
      <c r="T1276" s="42"/>
      <c r="U1276" s="42"/>
      <c r="V1276" s="416"/>
      <c r="W1276" s="42"/>
      <c r="X1276" s="74"/>
      <c r="Y1276" s="74"/>
      <c r="Z1276" s="74"/>
      <c r="AA1276" s="74"/>
      <c r="AB1276" s="74"/>
      <c r="AC1276" s="42"/>
      <c r="AD1276" s="42"/>
      <c r="AE1276" s="42"/>
      <c r="AF1276" s="42"/>
      <c r="AG1276" s="42"/>
      <c r="AH1276" s="42"/>
      <c r="AI1276" s="75"/>
      <c r="AJ1276" s="75"/>
      <c r="AK1276" s="75"/>
      <c r="AL1276" s="75"/>
      <c r="AM1276" s="74"/>
      <c r="AN1276" s="72" t="e">
        <f>VLOOKUP(H1276,[4]Planilha1!A$13:P$314,16,0)</f>
        <v>#N/A</v>
      </c>
    </row>
    <row r="1277" spans="1:40" s="69" customFormat="1" x14ac:dyDescent="0.25">
      <c r="A1277" s="88"/>
      <c r="B1277" s="88"/>
      <c r="C1277" s="70"/>
      <c r="D1277" s="70"/>
      <c r="E1277" s="70"/>
      <c r="F1277" s="70"/>
      <c r="G1277" s="70"/>
      <c r="H1277" s="422"/>
      <c r="I1277" s="422"/>
      <c r="J1277" s="418"/>
      <c r="K1277" s="403"/>
      <c r="L1277" s="73"/>
      <c r="M1277" s="72"/>
      <c r="N1277" s="72"/>
      <c r="O1277" s="72"/>
      <c r="P1277" s="42"/>
      <c r="Q1277" s="42"/>
      <c r="R1277" s="42"/>
      <c r="S1277" s="42"/>
      <c r="T1277" s="42"/>
      <c r="U1277" s="42"/>
      <c r="V1277" s="416"/>
      <c r="W1277" s="42"/>
      <c r="X1277" s="74"/>
      <c r="Y1277" s="74"/>
      <c r="Z1277" s="74"/>
      <c r="AA1277" s="74"/>
      <c r="AB1277" s="74"/>
      <c r="AC1277" s="42"/>
      <c r="AD1277" s="42"/>
      <c r="AE1277" s="42"/>
      <c r="AF1277" s="42"/>
      <c r="AG1277" s="42"/>
      <c r="AH1277" s="42"/>
      <c r="AI1277" s="75"/>
      <c r="AJ1277" s="75"/>
      <c r="AK1277" s="75"/>
      <c r="AL1277" s="75"/>
      <c r="AM1277" s="74"/>
      <c r="AN1277" s="72" t="e">
        <f>VLOOKUP(H1277,[4]Planilha1!A$13:P$314,16,0)</f>
        <v>#N/A</v>
      </c>
    </row>
    <row r="1278" spans="1:40" s="69" customFormat="1" x14ac:dyDescent="0.25">
      <c r="A1278" s="88"/>
      <c r="B1278" s="88"/>
      <c r="C1278" s="70"/>
      <c r="D1278" s="70"/>
      <c r="E1278" s="70"/>
      <c r="F1278" s="70"/>
      <c r="G1278" s="70"/>
      <c r="H1278" s="422"/>
      <c r="I1278" s="422"/>
      <c r="J1278" s="418"/>
      <c r="K1278" s="403"/>
      <c r="L1278" s="73"/>
      <c r="M1278" s="72"/>
      <c r="N1278" s="72"/>
      <c r="O1278" s="72"/>
      <c r="P1278" s="42"/>
      <c r="Q1278" s="42"/>
      <c r="R1278" s="42"/>
      <c r="S1278" s="42"/>
      <c r="T1278" s="42"/>
      <c r="U1278" s="42"/>
      <c r="V1278" s="416"/>
      <c r="W1278" s="42"/>
      <c r="X1278" s="74"/>
      <c r="Y1278" s="74"/>
      <c r="Z1278" s="74"/>
      <c r="AA1278" s="74"/>
      <c r="AB1278" s="74"/>
      <c r="AC1278" s="42"/>
      <c r="AD1278" s="42"/>
      <c r="AE1278" s="42"/>
      <c r="AF1278" s="42"/>
      <c r="AG1278" s="42"/>
      <c r="AH1278" s="42"/>
      <c r="AI1278" s="75"/>
      <c r="AJ1278" s="75"/>
      <c r="AK1278" s="75"/>
      <c r="AL1278" s="75"/>
      <c r="AM1278" s="74"/>
      <c r="AN1278" s="72" t="e">
        <f>VLOOKUP(H1278,[4]Planilha1!A$13:P$314,16,0)</f>
        <v>#N/A</v>
      </c>
    </row>
  </sheetData>
  <autoFilter ref="A4:AN1278" xr:uid="{00000000-0001-0000-0000-000000000000}"/>
  <dataConsolidate/>
  <phoneticPr fontId="8" type="noConversion"/>
  <conditionalFormatting sqref="G4">
    <cfRule type="duplicateValues" dxfId="0" priority="2"/>
  </conditionalFormatting>
  <pageMargins left="0.70866141732283472" right="0.70866141732283472" top="0.74803149606299213" bottom="0.74803149606299213" header="0.31496062992125984" footer="0.31496062992125984"/>
  <pageSetup paperSize="9" scale="22" fitToHeight="200" orientation="landscape"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C3F9D47-ED47-4D21-87B7-19DFF7BA743E}">
          <x14:formula1>
            <xm:f>CMS!$B$3:$B$9</xm:f>
          </x14:formula1>
          <xm:sqref>B1:B2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6840-8370-42C4-BE4A-94A28DEDD26E}">
  <sheetPr>
    <tabColor rgb="FF04745F"/>
  </sheetPr>
  <dimension ref="A3:B6"/>
  <sheetViews>
    <sheetView workbookViewId="0">
      <selection activeCell="A3" sqref="A3"/>
    </sheetView>
  </sheetViews>
  <sheetFormatPr defaultRowHeight="15" x14ac:dyDescent="0.25"/>
  <cols>
    <col min="1" max="1" width="18" bestFit="1" customWidth="1"/>
    <col min="2" max="2" width="23.42578125" bestFit="1" customWidth="1"/>
  </cols>
  <sheetData>
    <row r="3" spans="1:2" x14ac:dyDescent="0.25">
      <c r="A3" s="91" t="s">
        <v>7044</v>
      </c>
      <c r="B3" t="s">
        <v>7047</v>
      </c>
    </row>
    <row r="4" spans="1:2" x14ac:dyDescent="0.25">
      <c r="A4" s="92" t="s">
        <v>7027</v>
      </c>
      <c r="B4">
        <v>30</v>
      </c>
    </row>
    <row r="5" spans="1:2" x14ac:dyDescent="0.25">
      <c r="A5" s="92" t="s">
        <v>7045</v>
      </c>
    </row>
    <row r="6" spans="1:2" x14ac:dyDescent="0.25">
      <c r="A6" s="92" t="s">
        <v>7046</v>
      </c>
      <c r="B6">
        <v>30</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2A5D-792E-407E-986F-A24AB82C931E}">
  <sheetPr>
    <tabColor rgb="FF04745F"/>
    <pageSetUpPr fitToPage="1"/>
  </sheetPr>
  <dimension ref="B1:BU127"/>
  <sheetViews>
    <sheetView zoomScale="73" zoomScaleNormal="90" workbookViewId="0">
      <pane ySplit="4" topLeftCell="A5" activePane="bottomLeft" state="frozen"/>
      <selection pane="bottomLeft" activeCell="R7" sqref="R7:R10"/>
    </sheetView>
  </sheetViews>
  <sheetFormatPr defaultColWidth="2.7109375" defaultRowHeight="12" outlineLevelCol="1" x14ac:dyDescent="0.25"/>
  <cols>
    <col min="1" max="1" width="2.7109375" style="8"/>
    <col min="2" max="4" width="12.85546875" style="8" customWidth="1"/>
    <col min="5" max="5" width="13.140625" style="8" customWidth="1" outlineLevel="1" collapsed="1"/>
    <col min="6" max="6" width="15.85546875" style="8" customWidth="1" outlineLevel="1"/>
    <col min="7" max="7" width="14.28515625" style="8" customWidth="1"/>
    <col min="8" max="9" width="16" style="8" customWidth="1"/>
    <col min="10" max="10" width="10.5703125" style="8" customWidth="1"/>
    <col min="11" max="11" width="17.42578125" style="8" bestFit="1" customWidth="1"/>
    <col min="12" max="14" width="18.140625" style="8" customWidth="1" outlineLevel="1"/>
    <col min="15" max="15" width="16.28515625" style="29" customWidth="1" outlineLevel="1"/>
    <col min="16" max="16" width="17" style="8" customWidth="1"/>
    <col min="17" max="17" width="8.7109375" style="10" customWidth="1"/>
    <col min="18" max="18" width="13.140625" style="45" bestFit="1" customWidth="1"/>
    <col min="19" max="19" width="8.7109375" style="10" customWidth="1"/>
    <col min="20" max="16384" width="2.7109375" style="8"/>
  </cols>
  <sheetData>
    <row r="1" spans="2:19" x14ac:dyDescent="0.25">
      <c r="O1" s="8"/>
      <c r="Q1" s="85"/>
      <c r="R1" s="86"/>
      <c r="S1" s="85"/>
    </row>
    <row r="2" spans="2:19" x14ac:dyDescent="0.25">
      <c r="Q2" s="87"/>
      <c r="R2" s="86"/>
      <c r="S2" s="87"/>
    </row>
    <row r="3" spans="2:19" x14ac:dyDescent="0.25">
      <c r="Q3" s="87"/>
      <c r="R3" s="86"/>
      <c r="S3" s="87"/>
    </row>
    <row r="4" spans="2:19" s="2" customFormat="1" ht="24" x14ac:dyDescent="0.25">
      <c r="B4" s="77" t="s">
        <v>7026</v>
      </c>
      <c r="C4" s="77" t="s">
        <v>7039</v>
      </c>
      <c r="D4" s="77" t="s">
        <v>7040</v>
      </c>
      <c r="E4" s="78" t="s">
        <v>7028</v>
      </c>
      <c r="F4" s="78" t="s">
        <v>7029</v>
      </c>
      <c r="G4" s="79" t="s">
        <v>7033</v>
      </c>
      <c r="H4" s="79" t="s">
        <v>7031</v>
      </c>
      <c r="I4" s="79" t="s">
        <v>7035</v>
      </c>
      <c r="J4" s="79" t="s">
        <v>7034</v>
      </c>
      <c r="K4" s="79" t="s">
        <v>7036</v>
      </c>
      <c r="L4" s="89" t="s">
        <v>7042</v>
      </c>
      <c r="M4" s="89" t="s">
        <v>7043</v>
      </c>
      <c r="N4" s="89" t="s">
        <v>7038</v>
      </c>
      <c r="O4" s="80" t="s">
        <v>7037</v>
      </c>
      <c r="P4" s="81" t="s">
        <v>7048</v>
      </c>
      <c r="Q4" s="82" t="s">
        <v>3</v>
      </c>
      <c r="R4" s="83" t="s">
        <v>4</v>
      </c>
      <c r="S4" s="84" t="s">
        <v>5</v>
      </c>
    </row>
    <row r="5" spans="2:19" s="69" customFormat="1" x14ac:dyDescent="0.25">
      <c r="B5" s="63"/>
      <c r="C5" s="63"/>
      <c r="D5" s="63"/>
      <c r="E5" s="63"/>
      <c r="F5" s="63"/>
      <c r="G5" s="63"/>
      <c r="H5" s="63"/>
      <c r="I5" s="63"/>
      <c r="J5" s="63"/>
      <c r="K5" s="63"/>
      <c r="L5" s="63"/>
      <c r="M5" s="63"/>
      <c r="N5" s="63"/>
      <c r="O5" s="64"/>
      <c r="P5" s="63"/>
      <c r="Q5" s="65"/>
      <c r="R5" s="66"/>
      <c r="S5" s="65"/>
    </row>
    <row r="6" spans="2:19" s="69" customFormat="1" x14ac:dyDescent="0.25">
      <c r="B6" s="70" t="s">
        <v>7027</v>
      </c>
      <c r="C6" s="70">
        <v>500</v>
      </c>
      <c r="D6" s="70" t="s">
        <v>7041</v>
      </c>
      <c r="E6" s="70" t="s">
        <v>33</v>
      </c>
      <c r="F6" s="70">
        <v>6</v>
      </c>
      <c r="G6" s="70" t="s">
        <v>7030</v>
      </c>
      <c r="H6" s="70" t="s">
        <v>33</v>
      </c>
      <c r="I6" s="90">
        <v>44242</v>
      </c>
      <c r="J6" s="70" t="s">
        <v>7032</v>
      </c>
      <c r="K6" s="70"/>
      <c r="L6" s="70" t="s">
        <v>33</v>
      </c>
      <c r="M6" s="90">
        <v>44242</v>
      </c>
      <c r="N6" s="70">
        <v>1</v>
      </c>
      <c r="O6" s="71"/>
      <c r="P6" s="70" t="s">
        <v>7030</v>
      </c>
      <c r="Q6" s="72">
        <f>F6</f>
        <v>6</v>
      </c>
      <c r="R6" s="73">
        <v>43.718000000000004</v>
      </c>
      <c r="S6" s="72">
        <f>Q6*R6</f>
        <v>262.30799999999999</v>
      </c>
    </row>
    <row r="7" spans="2:19" s="69" customFormat="1" x14ac:dyDescent="0.25">
      <c r="B7" s="70" t="s">
        <v>7027</v>
      </c>
      <c r="C7" s="70">
        <v>500</v>
      </c>
      <c r="D7" s="70" t="s">
        <v>7041</v>
      </c>
      <c r="E7" s="70" t="s">
        <v>33</v>
      </c>
      <c r="F7" s="70">
        <v>6</v>
      </c>
      <c r="G7" s="70" t="s">
        <v>7030</v>
      </c>
      <c r="H7" s="70" t="s">
        <v>33</v>
      </c>
      <c r="I7" s="90">
        <v>44242</v>
      </c>
      <c r="J7" s="70" t="s">
        <v>7032</v>
      </c>
      <c r="K7" s="70"/>
      <c r="L7" s="70" t="s">
        <v>33</v>
      </c>
      <c r="M7" s="90">
        <v>44242</v>
      </c>
      <c r="N7" s="70">
        <v>2</v>
      </c>
      <c r="O7" s="71"/>
      <c r="P7" s="70" t="s">
        <v>7049</v>
      </c>
      <c r="Q7" s="72">
        <f t="shared" ref="Q7:Q10" si="0">F7</f>
        <v>6</v>
      </c>
      <c r="R7" s="73">
        <v>43.718000000000004</v>
      </c>
      <c r="S7" s="72">
        <f>Q7*R7</f>
        <v>262.30799999999999</v>
      </c>
    </row>
    <row r="8" spans="2:19" s="69" customFormat="1" x14ac:dyDescent="0.25">
      <c r="B8" s="70" t="s">
        <v>7027</v>
      </c>
      <c r="C8" s="70">
        <v>500</v>
      </c>
      <c r="D8" s="70" t="s">
        <v>7041</v>
      </c>
      <c r="E8" s="70" t="s">
        <v>33</v>
      </c>
      <c r="F8" s="70">
        <v>6</v>
      </c>
      <c r="G8" s="70" t="s">
        <v>7030</v>
      </c>
      <c r="H8" s="70" t="s">
        <v>33</v>
      </c>
      <c r="I8" s="90">
        <v>44242</v>
      </c>
      <c r="J8" s="70" t="s">
        <v>7032</v>
      </c>
      <c r="K8" s="70"/>
      <c r="L8" s="70" t="s">
        <v>33</v>
      </c>
      <c r="M8" s="90">
        <v>44242</v>
      </c>
      <c r="N8" s="70">
        <v>3</v>
      </c>
      <c r="O8" s="71"/>
      <c r="P8" s="70"/>
      <c r="Q8" s="72">
        <f t="shared" si="0"/>
        <v>6</v>
      </c>
      <c r="R8" s="73">
        <v>43.718000000000004</v>
      </c>
      <c r="S8" s="72">
        <f>Q8*R8</f>
        <v>262.30799999999999</v>
      </c>
    </row>
    <row r="9" spans="2:19" s="69" customFormat="1" x14ac:dyDescent="0.25">
      <c r="B9" s="70" t="s">
        <v>7027</v>
      </c>
      <c r="C9" s="70">
        <v>500</v>
      </c>
      <c r="D9" s="70" t="s">
        <v>7041</v>
      </c>
      <c r="E9" s="70" t="s">
        <v>33</v>
      </c>
      <c r="F9" s="70">
        <v>6</v>
      </c>
      <c r="G9" s="70" t="s">
        <v>7030</v>
      </c>
      <c r="H9" s="70" t="s">
        <v>7032</v>
      </c>
      <c r="I9" s="90">
        <v>44243</v>
      </c>
      <c r="J9" s="70" t="s">
        <v>7032</v>
      </c>
      <c r="K9" s="70"/>
      <c r="L9" s="70" t="s">
        <v>7032</v>
      </c>
      <c r="M9" s="90">
        <v>44243</v>
      </c>
      <c r="N9" s="70">
        <v>4</v>
      </c>
      <c r="O9" s="71"/>
      <c r="P9" s="70"/>
      <c r="Q9" s="72">
        <f t="shared" si="0"/>
        <v>6</v>
      </c>
      <c r="R9" s="73">
        <v>43.718000000000004</v>
      </c>
      <c r="S9" s="72">
        <f>Q9*R9</f>
        <v>262.30799999999999</v>
      </c>
    </row>
    <row r="10" spans="2:19" s="69" customFormat="1" x14ac:dyDescent="0.25">
      <c r="B10" s="70" t="s">
        <v>7027</v>
      </c>
      <c r="C10" s="70">
        <v>500</v>
      </c>
      <c r="D10" s="70" t="s">
        <v>7041</v>
      </c>
      <c r="E10" s="70" t="s">
        <v>33</v>
      </c>
      <c r="F10" s="70">
        <v>6</v>
      </c>
      <c r="G10" s="70" t="s">
        <v>7030</v>
      </c>
      <c r="H10" s="70" t="s">
        <v>7032</v>
      </c>
      <c r="I10" s="90">
        <v>44243</v>
      </c>
      <c r="J10" s="70" t="s">
        <v>7032</v>
      </c>
      <c r="K10" s="70"/>
      <c r="L10" s="70" t="s">
        <v>7032</v>
      </c>
      <c r="M10" s="90">
        <v>44243</v>
      </c>
      <c r="N10" s="70">
        <v>5</v>
      </c>
      <c r="O10" s="71"/>
      <c r="P10" s="70"/>
      <c r="Q10" s="72">
        <f t="shared" si="0"/>
        <v>6</v>
      </c>
      <c r="R10" s="73">
        <v>43.718000000000004</v>
      </c>
      <c r="S10" s="72">
        <f>Q10*R10</f>
        <v>262.30799999999999</v>
      </c>
    </row>
    <row r="11" spans="2:19" x14ac:dyDescent="0.25">
      <c r="B11" s="22"/>
      <c r="C11" s="22"/>
      <c r="D11" s="22"/>
      <c r="E11" s="22"/>
      <c r="F11" s="22"/>
      <c r="G11" s="22"/>
      <c r="H11" s="22"/>
      <c r="I11" s="22"/>
      <c r="J11" s="22"/>
      <c r="K11" s="22"/>
      <c r="L11" s="22"/>
      <c r="M11" s="22"/>
      <c r="N11" s="22"/>
      <c r="O11" s="27"/>
      <c r="P11" s="22"/>
      <c r="Q11" s="23"/>
      <c r="R11" s="46"/>
      <c r="S11" s="23"/>
    </row>
    <row r="12" spans="2:19" x14ac:dyDescent="0.25">
      <c r="B12" s="1"/>
      <c r="C12" s="1"/>
      <c r="D12" s="1"/>
      <c r="E12" s="1"/>
      <c r="F12" s="1"/>
      <c r="G12" s="1"/>
      <c r="H12" s="1"/>
      <c r="I12" s="1"/>
      <c r="J12" s="1"/>
      <c r="K12" s="1"/>
      <c r="L12" s="1"/>
      <c r="M12" s="1"/>
      <c r="N12" s="1"/>
      <c r="O12" s="28"/>
      <c r="P12" s="1"/>
      <c r="Q12" s="3"/>
      <c r="R12" s="47"/>
      <c r="S12" s="3"/>
    </row>
    <row r="13" spans="2:19" x14ac:dyDescent="0.25">
      <c r="B13" s="1"/>
      <c r="C13" s="1"/>
      <c r="D13" s="1"/>
      <c r="E13" s="1"/>
      <c r="F13" s="1"/>
      <c r="G13" s="1"/>
      <c r="H13" s="1"/>
      <c r="I13" s="1"/>
      <c r="J13" s="1"/>
      <c r="K13" s="1"/>
      <c r="L13" s="1"/>
      <c r="M13" s="1"/>
      <c r="N13" s="1"/>
      <c r="O13" s="28"/>
      <c r="P13" s="1"/>
      <c r="Q13" s="3"/>
      <c r="R13" s="47"/>
      <c r="S13" s="3"/>
    </row>
    <row r="14" spans="2:19" x14ac:dyDescent="0.25">
      <c r="B14" s="1"/>
      <c r="C14" s="1"/>
      <c r="D14" s="1"/>
      <c r="E14" s="1"/>
      <c r="F14" s="1"/>
      <c r="G14" s="1"/>
      <c r="H14" s="1"/>
      <c r="I14" s="1"/>
      <c r="J14" s="1"/>
      <c r="K14" s="1"/>
      <c r="L14" s="1"/>
      <c r="M14" s="1"/>
      <c r="N14" s="1"/>
      <c r="O14" s="28"/>
      <c r="P14" s="1"/>
      <c r="Q14" s="3"/>
      <c r="R14" s="47"/>
      <c r="S14" s="3"/>
    </row>
    <row r="15" spans="2:19" x14ac:dyDescent="0.25">
      <c r="B15" s="1"/>
      <c r="C15" s="1"/>
      <c r="D15" s="1"/>
      <c r="E15" s="1"/>
      <c r="F15" s="1"/>
      <c r="G15" s="1"/>
      <c r="H15" s="1"/>
      <c r="I15" s="1"/>
      <c r="J15" s="1"/>
      <c r="K15" s="1"/>
      <c r="L15" s="1"/>
      <c r="M15" s="1"/>
      <c r="N15" s="1"/>
      <c r="O15" s="28"/>
      <c r="P15" s="1"/>
      <c r="Q15" s="3"/>
      <c r="R15" s="47"/>
      <c r="S15" s="3"/>
    </row>
    <row r="16" spans="2:19" x14ac:dyDescent="0.25">
      <c r="B16" s="1"/>
      <c r="C16" s="1"/>
      <c r="D16" s="1"/>
      <c r="E16" s="1"/>
      <c r="F16" s="1"/>
      <c r="G16" s="1"/>
      <c r="H16" s="1"/>
      <c r="I16" s="1"/>
      <c r="J16" s="1"/>
      <c r="K16" s="1"/>
      <c r="L16" s="1"/>
      <c r="M16" s="1"/>
      <c r="N16" s="1"/>
      <c r="O16" s="28"/>
      <c r="P16" s="1"/>
      <c r="Q16" s="3"/>
      <c r="R16" s="47"/>
      <c r="S16" s="3"/>
    </row>
    <row r="17" spans="2:19" x14ac:dyDescent="0.25">
      <c r="B17" s="22"/>
      <c r="C17" s="22"/>
      <c r="D17" s="22"/>
      <c r="E17" s="22"/>
      <c r="F17" s="22"/>
      <c r="G17" s="22"/>
      <c r="H17" s="22"/>
      <c r="I17" s="22"/>
      <c r="J17" s="22"/>
      <c r="K17" s="22"/>
      <c r="L17" s="22"/>
      <c r="M17" s="22"/>
      <c r="N17" s="22"/>
      <c r="O17" s="27"/>
      <c r="P17" s="22"/>
      <c r="Q17" s="23"/>
      <c r="R17" s="46"/>
      <c r="S17" s="23"/>
    </row>
    <row r="18" spans="2:19" x14ac:dyDescent="0.25">
      <c r="B18" s="1"/>
      <c r="C18" s="1"/>
      <c r="D18" s="1"/>
      <c r="E18" s="1"/>
      <c r="F18" s="1"/>
      <c r="G18" s="1"/>
      <c r="H18" s="1"/>
      <c r="I18" s="1"/>
      <c r="J18" s="1"/>
      <c r="K18" s="1"/>
      <c r="L18" s="1"/>
      <c r="M18" s="1"/>
      <c r="N18" s="1"/>
      <c r="O18" s="28"/>
      <c r="P18" s="1"/>
      <c r="Q18" s="3"/>
      <c r="R18" s="47"/>
      <c r="S18" s="3"/>
    </row>
    <row r="19" spans="2:19" x14ac:dyDescent="0.25">
      <c r="B19" s="1"/>
      <c r="C19" s="1"/>
      <c r="D19" s="1"/>
      <c r="E19" s="1"/>
      <c r="F19" s="1"/>
      <c r="G19" s="1"/>
      <c r="H19" s="1"/>
      <c r="I19" s="1"/>
      <c r="J19" s="1"/>
      <c r="K19" s="1"/>
      <c r="L19" s="1"/>
      <c r="M19" s="1"/>
      <c r="N19" s="1"/>
      <c r="O19" s="28"/>
      <c r="P19" s="1"/>
      <c r="Q19" s="3"/>
      <c r="R19" s="47"/>
      <c r="S19" s="3"/>
    </row>
    <row r="20" spans="2:19" x14ac:dyDescent="0.25">
      <c r="B20" s="1"/>
      <c r="C20" s="1"/>
      <c r="D20" s="1"/>
      <c r="E20" s="1"/>
      <c r="F20" s="1"/>
      <c r="G20" s="1"/>
      <c r="H20" s="1"/>
      <c r="I20" s="1"/>
      <c r="J20" s="1"/>
      <c r="K20" s="1"/>
      <c r="L20" s="1"/>
      <c r="M20" s="1"/>
      <c r="N20" s="1"/>
      <c r="O20" s="28"/>
      <c r="P20" s="1"/>
      <c r="Q20" s="3"/>
      <c r="R20" s="47"/>
      <c r="S20" s="3"/>
    </row>
    <row r="21" spans="2:19" x14ac:dyDescent="0.25">
      <c r="B21" s="1"/>
      <c r="C21" s="1"/>
      <c r="D21" s="1"/>
      <c r="E21" s="1"/>
      <c r="F21" s="1"/>
      <c r="G21" s="1"/>
      <c r="H21" s="1"/>
      <c r="I21" s="1"/>
      <c r="J21" s="1"/>
      <c r="K21" s="1"/>
      <c r="L21" s="1"/>
      <c r="M21" s="1"/>
      <c r="N21" s="1"/>
      <c r="O21" s="28"/>
      <c r="P21" s="1"/>
      <c r="Q21" s="3"/>
      <c r="R21" s="47"/>
      <c r="S21" s="3"/>
    </row>
    <row r="22" spans="2:19" x14ac:dyDescent="0.25">
      <c r="B22" s="22"/>
      <c r="C22" s="22"/>
      <c r="D22" s="22"/>
      <c r="E22" s="22"/>
      <c r="F22" s="22"/>
      <c r="G22" s="22"/>
      <c r="H22" s="22"/>
      <c r="I22" s="22"/>
      <c r="J22" s="22"/>
      <c r="K22" s="22"/>
      <c r="L22" s="22"/>
      <c r="M22" s="22"/>
      <c r="N22" s="22"/>
      <c r="O22" s="27"/>
      <c r="P22" s="22"/>
      <c r="Q22" s="23"/>
      <c r="R22" s="46"/>
      <c r="S22" s="23"/>
    </row>
    <row r="23" spans="2:19" x14ac:dyDescent="0.25">
      <c r="B23" s="1"/>
      <c r="C23" s="1"/>
      <c r="D23" s="1"/>
      <c r="E23" s="1"/>
      <c r="F23" s="1"/>
      <c r="G23" s="1"/>
      <c r="H23" s="1"/>
      <c r="I23" s="1"/>
      <c r="J23" s="1"/>
      <c r="K23" s="1"/>
      <c r="L23" s="1"/>
      <c r="M23" s="1"/>
      <c r="N23" s="1"/>
      <c r="O23" s="28"/>
      <c r="P23" s="1"/>
      <c r="Q23" s="3"/>
      <c r="R23" s="47"/>
      <c r="S23" s="3"/>
    </row>
    <row r="24" spans="2:19" x14ac:dyDescent="0.25">
      <c r="B24" s="1"/>
      <c r="C24" s="1"/>
      <c r="D24" s="1"/>
      <c r="E24" s="1"/>
      <c r="F24" s="1"/>
      <c r="G24" s="1"/>
      <c r="H24" s="1"/>
      <c r="I24" s="1"/>
      <c r="J24" s="1"/>
      <c r="K24" s="1"/>
      <c r="L24" s="1"/>
      <c r="M24" s="1"/>
      <c r="N24" s="1"/>
      <c r="O24" s="28"/>
      <c r="P24" s="1"/>
      <c r="Q24" s="3"/>
      <c r="R24" s="47"/>
      <c r="S24" s="3"/>
    </row>
    <row r="25" spans="2:19" x14ac:dyDescent="0.25">
      <c r="B25" s="1"/>
      <c r="C25" s="1"/>
      <c r="D25" s="1"/>
      <c r="E25" s="1"/>
      <c r="F25" s="1"/>
      <c r="G25" s="1"/>
      <c r="H25" s="1"/>
      <c r="I25" s="1"/>
      <c r="J25" s="1"/>
      <c r="K25" s="1"/>
      <c r="L25" s="1"/>
      <c r="M25" s="1"/>
      <c r="N25" s="1"/>
      <c r="O25" s="28"/>
      <c r="P25" s="1"/>
      <c r="Q25" s="3"/>
      <c r="R25" s="47"/>
      <c r="S25" s="3"/>
    </row>
    <row r="26" spans="2:19" x14ac:dyDescent="0.25">
      <c r="B26" s="1"/>
      <c r="C26" s="1"/>
      <c r="D26" s="1"/>
      <c r="E26" s="1"/>
      <c r="F26" s="1"/>
      <c r="G26" s="1"/>
      <c r="H26" s="1"/>
      <c r="I26" s="1"/>
      <c r="J26" s="1"/>
      <c r="K26" s="1"/>
      <c r="L26" s="1"/>
      <c r="M26" s="1"/>
      <c r="N26" s="1"/>
      <c r="O26" s="28"/>
      <c r="P26" s="1"/>
      <c r="Q26" s="3"/>
      <c r="R26" s="47"/>
      <c r="S26" s="3"/>
    </row>
    <row r="27" spans="2:19" x14ac:dyDescent="0.25">
      <c r="B27" s="22"/>
      <c r="C27" s="22"/>
      <c r="D27" s="22"/>
      <c r="E27" s="22"/>
      <c r="F27" s="22"/>
      <c r="G27" s="22"/>
      <c r="H27" s="22"/>
      <c r="I27" s="22"/>
      <c r="J27" s="22"/>
      <c r="K27" s="22"/>
      <c r="L27" s="22"/>
      <c r="M27" s="22"/>
      <c r="N27" s="22"/>
      <c r="O27" s="27"/>
      <c r="P27" s="22"/>
      <c r="Q27" s="23"/>
      <c r="R27" s="46"/>
      <c r="S27" s="23"/>
    </row>
    <row r="28" spans="2:19" x14ac:dyDescent="0.25">
      <c r="B28" s="1"/>
      <c r="C28" s="1"/>
      <c r="D28" s="1"/>
      <c r="E28" s="1"/>
      <c r="F28" s="1"/>
      <c r="G28" s="1"/>
      <c r="H28" s="1"/>
      <c r="I28" s="1"/>
      <c r="J28" s="1"/>
      <c r="K28" s="1"/>
      <c r="L28" s="1"/>
      <c r="M28" s="1"/>
      <c r="N28" s="1"/>
      <c r="O28" s="28"/>
      <c r="P28" s="1"/>
      <c r="Q28" s="3"/>
      <c r="R28" s="47"/>
      <c r="S28" s="3"/>
    </row>
    <row r="29" spans="2:19" x14ac:dyDescent="0.25">
      <c r="B29" s="1"/>
      <c r="C29" s="1"/>
      <c r="D29" s="1"/>
      <c r="E29" s="1"/>
      <c r="F29" s="1"/>
      <c r="G29" s="1"/>
      <c r="H29" s="1"/>
      <c r="I29" s="1"/>
      <c r="J29" s="1"/>
      <c r="K29" s="1"/>
      <c r="L29" s="1"/>
      <c r="M29" s="1"/>
      <c r="N29" s="1"/>
      <c r="O29" s="28"/>
      <c r="P29" s="1"/>
      <c r="Q29" s="3"/>
      <c r="R29" s="47"/>
      <c r="S29" s="3"/>
    </row>
    <row r="30" spans="2:19" x14ac:dyDescent="0.25">
      <c r="B30" s="1"/>
      <c r="C30" s="1"/>
      <c r="D30" s="1"/>
      <c r="E30" s="1"/>
      <c r="F30" s="1"/>
      <c r="G30" s="1"/>
      <c r="H30" s="1"/>
      <c r="I30" s="1"/>
      <c r="J30" s="1"/>
      <c r="K30" s="1"/>
      <c r="L30" s="1"/>
      <c r="M30" s="1"/>
      <c r="N30" s="1"/>
      <c r="O30" s="28"/>
      <c r="P30" s="1"/>
      <c r="Q30" s="3"/>
      <c r="R30" s="47"/>
      <c r="S30" s="3"/>
    </row>
    <row r="31" spans="2:19" x14ac:dyDescent="0.25">
      <c r="B31" s="1"/>
      <c r="C31" s="1"/>
      <c r="D31" s="1"/>
      <c r="E31" s="1"/>
      <c r="F31" s="1"/>
      <c r="G31" s="1"/>
      <c r="H31" s="1"/>
      <c r="I31" s="1"/>
      <c r="J31" s="1"/>
      <c r="K31" s="1"/>
      <c r="L31" s="1"/>
      <c r="M31" s="1"/>
      <c r="N31" s="1"/>
      <c r="O31" s="28"/>
      <c r="P31" s="1"/>
      <c r="Q31" s="3"/>
      <c r="R31" s="47"/>
      <c r="S31" s="3"/>
    </row>
    <row r="32" spans="2:19" x14ac:dyDescent="0.25">
      <c r="B32" s="22"/>
      <c r="C32" s="22"/>
      <c r="D32" s="22"/>
      <c r="E32" s="22"/>
      <c r="F32" s="22"/>
      <c r="G32" s="22"/>
      <c r="H32" s="22"/>
      <c r="I32" s="22"/>
      <c r="J32" s="22"/>
      <c r="K32" s="22"/>
      <c r="L32" s="22"/>
      <c r="M32" s="22"/>
      <c r="N32" s="22"/>
      <c r="O32" s="27"/>
      <c r="P32" s="22"/>
      <c r="Q32" s="23"/>
      <c r="R32" s="46"/>
      <c r="S32" s="23"/>
    </row>
    <row r="33" spans="2:19" x14ac:dyDescent="0.25">
      <c r="B33" s="1"/>
      <c r="C33" s="1"/>
      <c r="D33" s="1"/>
      <c r="E33" s="1"/>
      <c r="F33" s="1"/>
      <c r="G33" s="1"/>
      <c r="H33" s="1"/>
      <c r="I33" s="1"/>
      <c r="J33" s="1"/>
      <c r="K33" s="1"/>
      <c r="L33" s="1"/>
      <c r="M33" s="1"/>
      <c r="N33" s="1"/>
      <c r="O33" s="28"/>
      <c r="P33" s="1"/>
      <c r="Q33" s="3"/>
      <c r="R33" s="47"/>
      <c r="S33" s="3"/>
    </row>
    <row r="34" spans="2:19" x14ac:dyDescent="0.25">
      <c r="B34" s="1"/>
      <c r="C34" s="1"/>
      <c r="D34" s="1"/>
      <c r="E34" s="1"/>
      <c r="F34" s="1"/>
      <c r="G34" s="1"/>
      <c r="H34" s="1"/>
      <c r="I34" s="1"/>
      <c r="J34" s="1"/>
      <c r="K34" s="1"/>
      <c r="L34" s="1"/>
      <c r="M34" s="1"/>
      <c r="N34" s="1"/>
      <c r="O34" s="28"/>
      <c r="P34" s="1"/>
      <c r="Q34" s="3"/>
      <c r="R34" s="47"/>
      <c r="S34" s="3"/>
    </row>
    <row r="35" spans="2:19" x14ac:dyDescent="0.25">
      <c r="B35" s="1"/>
      <c r="C35" s="1"/>
      <c r="D35" s="1"/>
      <c r="E35" s="1"/>
      <c r="F35" s="1"/>
      <c r="G35" s="1"/>
      <c r="H35" s="1"/>
      <c r="I35" s="1"/>
      <c r="J35" s="1"/>
      <c r="K35" s="1"/>
      <c r="L35" s="1"/>
      <c r="M35" s="1"/>
      <c r="N35" s="1"/>
      <c r="O35" s="28"/>
      <c r="P35" s="1"/>
      <c r="Q35" s="3"/>
      <c r="R35" s="47"/>
      <c r="S35" s="3"/>
    </row>
    <row r="36" spans="2:19" x14ac:dyDescent="0.25">
      <c r="B36" s="1"/>
      <c r="C36" s="1"/>
      <c r="D36" s="1"/>
      <c r="E36" s="1"/>
      <c r="F36" s="1"/>
      <c r="G36" s="1"/>
      <c r="H36" s="1"/>
      <c r="I36" s="1"/>
      <c r="J36" s="1"/>
      <c r="K36" s="1"/>
      <c r="L36" s="1"/>
      <c r="M36" s="1"/>
      <c r="N36" s="1"/>
      <c r="O36" s="28"/>
      <c r="P36" s="1"/>
      <c r="Q36" s="3"/>
      <c r="R36" s="47"/>
      <c r="S36" s="3"/>
    </row>
    <row r="37" spans="2:19" x14ac:dyDescent="0.25">
      <c r="B37" s="1"/>
      <c r="C37" s="1"/>
      <c r="D37" s="1"/>
      <c r="E37" s="1"/>
      <c r="F37" s="1"/>
      <c r="G37" s="1"/>
      <c r="H37" s="1"/>
      <c r="I37" s="1"/>
      <c r="J37" s="1"/>
      <c r="K37" s="1"/>
      <c r="L37" s="1"/>
      <c r="M37" s="1"/>
      <c r="N37" s="1"/>
      <c r="O37" s="28"/>
      <c r="P37" s="1"/>
      <c r="Q37" s="3"/>
      <c r="R37" s="47"/>
      <c r="S37" s="3"/>
    </row>
    <row r="38" spans="2:19" x14ac:dyDescent="0.25">
      <c r="B38" s="22"/>
      <c r="C38" s="22"/>
      <c r="D38" s="22"/>
      <c r="E38" s="22"/>
      <c r="F38" s="22"/>
      <c r="G38" s="22"/>
      <c r="H38" s="22"/>
      <c r="I38" s="22"/>
      <c r="J38" s="22"/>
      <c r="K38" s="22"/>
      <c r="L38" s="22"/>
      <c r="M38" s="22"/>
      <c r="N38" s="22"/>
      <c r="O38" s="27"/>
      <c r="P38" s="22"/>
      <c r="Q38" s="23"/>
      <c r="R38" s="46"/>
      <c r="S38" s="23"/>
    </row>
    <row r="39" spans="2:19" x14ac:dyDescent="0.25">
      <c r="B39" s="1"/>
      <c r="C39" s="1"/>
      <c r="D39" s="1"/>
      <c r="E39" s="1"/>
      <c r="F39" s="1"/>
      <c r="G39" s="1"/>
      <c r="H39" s="1"/>
      <c r="I39" s="1"/>
      <c r="J39" s="1"/>
      <c r="K39" s="1"/>
      <c r="L39" s="1"/>
      <c r="M39" s="1"/>
      <c r="N39" s="1"/>
      <c r="O39" s="28"/>
      <c r="P39" s="1"/>
      <c r="Q39" s="3"/>
      <c r="R39" s="47"/>
      <c r="S39" s="3"/>
    </row>
    <row r="40" spans="2:19" x14ac:dyDescent="0.25">
      <c r="B40" s="1"/>
      <c r="C40" s="1"/>
      <c r="D40" s="1"/>
      <c r="E40" s="1"/>
      <c r="F40" s="1"/>
      <c r="G40" s="1"/>
      <c r="H40" s="1"/>
      <c r="I40" s="1"/>
      <c r="J40" s="1"/>
      <c r="K40" s="1"/>
      <c r="L40" s="1"/>
      <c r="M40" s="1"/>
      <c r="N40" s="1"/>
      <c r="O40" s="28"/>
      <c r="P40" s="1"/>
      <c r="Q40" s="3"/>
      <c r="R40" s="47"/>
      <c r="S40" s="3"/>
    </row>
    <row r="41" spans="2:19" x14ac:dyDescent="0.25">
      <c r="B41" s="1"/>
      <c r="C41" s="1"/>
      <c r="D41" s="1"/>
      <c r="E41" s="1"/>
      <c r="F41" s="1"/>
      <c r="G41" s="1"/>
      <c r="H41" s="1"/>
      <c r="I41" s="1"/>
      <c r="J41" s="1"/>
      <c r="K41" s="1"/>
      <c r="L41" s="1"/>
      <c r="M41" s="1"/>
      <c r="N41" s="1"/>
      <c r="O41" s="28"/>
      <c r="P41" s="1"/>
      <c r="Q41" s="3"/>
      <c r="R41" s="47"/>
      <c r="S41" s="3"/>
    </row>
    <row r="42" spans="2:19" x14ac:dyDescent="0.25">
      <c r="B42" s="1"/>
      <c r="C42" s="1"/>
      <c r="D42" s="1"/>
      <c r="E42" s="1"/>
      <c r="F42" s="1"/>
      <c r="G42" s="1"/>
      <c r="H42" s="1"/>
      <c r="I42" s="1"/>
      <c r="J42" s="1"/>
      <c r="K42" s="1"/>
      <c r="L42" s="1"/>
      <c r="M42" s="1"/>
      <c r="N42" s="1"/>
      <c r="O42" s="28"/>
      <c r="P42" s="1"/>
      <c r="Q42" s="3"/>
      <c r="R42" s="47"/>
      <c r="S42" s="3"/>
    </row>
    <row r="43" spans="2:19" x14ac:dyDescent="0.25">
      <c r="B43" s="1"/>
      <c r="C43" s="1"/>
      <c r="D43" s="1"/>
      <c r="E43" s="1"/>
      <c r="F43" s="1"/>
      <c r="G43" s="1"/>
      <c r="H43" s="1"/>
      <c r="I43" s="1"/>
      <c r="J43" s="1"/>
      <c r="K43" s="1"/>
      <c r="L43" s="1"/>
      <c r="M43" s="1"/>
      <c r="N43" s="1"/>
      <c r="O43" s="28"/>
      <c r="P43" s="1"/>
      <c r="Q43" s="3"/>
      <c r="R43" s="47"/>
      <c r="S43" s="3"/>
    </row>
    <row r="44" spans="2:19" x14ac:dyDescent="0.25">
      <c r="B44" s="22"/>
      <c r="C44" s="22"/>
      <c r="D44" s="22"/>
      <c r="E44" s="22"/>
      <c r="F44" s="22"/>
      <c r="G44" s="22"/>
      <c r="H44" s="22"/>
      <c r="I44" s="22"/>
      <c r="J44" s="22"/>
      <c r="K44" s="22"/>
      <c r="L44" s="22"/>
      <c r="M44" s="22"/>
      <c r="N44" s="22"/>
      <c r="O44" s="27"/>
      <c r="P44" s="22"/>
      <c r="Q44" s="23"/>
      <c r="R44" s="46"/>
      <c r="S44" s="23"/>
    </row>
    <row r="45" spans="2:19" x14ac:dyDescent="0.25">
      <c r="B45" s="1"/>
      <c r="C45" s="1"/>
      <c r="D45" s="1"/>
      <c r="E45" s="1"/>
      <c r="F45" s="1"/>
      <c r="G45" s="1"/>
      <c r="H45" s="1"/>
      <c r="I45" s="1"/>
      <c r="J45" s="1"/>
      <c r="K45" s="1"/>
      <c r="L45" s="1"/>
      <c r="M45" s="1"/>
      <c r="N45" s="1"/>
      <c r="O45" s="28"/>
      <c r="P45" s="1"/>
      <c r="Q45" s="3"/>
      <c r="R45" s="47"/>
      <c r="S45" s="3"/>
    </row>
    <row r="46" spans="2:19" x14ac:dyDescent="0.25">
      <c r="B46" s="1"/>
      <c r="C46" s="1"/>
      <c r="D46" s="1"/>
      <c r="E46" s="1"/>
      <c r="F46" s="1"/>
      <c r="G46" s="1"/>
      <c r="H46" s="1"/>
      <c r="I46" s="1"/>
      <c r="J46" s="1"/>
      <c r="K46" s="1"/>
      <c r="L46" s="1"/>
      <c r="M46" s="1"/>
      <c r="N46" s="1"/>
      <c r="O46" s="28"/>
      <c r="P46" s="1"/>
      <c r="Q46" s="3"/>
      <c r="R46" s="47"/>
      <c r="S46" s="3"/>
    </row>
    <row r="47" spans="2:19" x14ac:dyDescent="0.25">
      <c r="B47" s="1"/>
      <c r="C47" s="1"/>
      <c r="D47" s="1"/>
      <c r="E47" s="1"/>
      <c r="F47" s="1"/>
      <c r="G47" s="1"/>
      <c r="H47" s="1"/>
      <c r="I47" s="1"/>
      <c r="J47" s="1"/>
      <c r="K47" s="1"/>
      <c r="L47" s="1"/>
      <c r="M47" s="1"/>
      <c r="N47" s="1"/>
      <c r="O47" s="28"/>
      <c r="P47" s="1"/>
      <c r="Q47" s="3"/>
      <c r="R47" s="47"/>
      <c r="S47" s="3"/>
    </row>
    <row r="48" spans="2:19" x14ac:dyDescent="0.25">
      <c r="B48" s="1"/>
      <c r="C48" s="1"/>
      <c r="D48" s="1"/>
      <c r="E48" s="1"/>
      <c r="F48" s="1"/>
      <c r="G48" s="1"/>
      <c r="H48" s="1"/>
      <c r="I48" s="1"/>
      <c r="J48" s="1"/>
      <c r="K48" s="1"/>
      <c r="L48" s="1"/>
      <c r="M48" s="1"/>
      <c r="N48" s="1"/>
      <c r="O48" s="28"/>
      <c r="P48" s="1"/>
      <c r="Q48" s="3"/>
      <c r="R48" s="47"/>
      <c r="S48" s="3"/>
    </row>
    <row r="49" spans="2:19" x14ac:dyDescent="0.25">
      <c r="B49" s="1"/>
      <c r="C49" s="1"/>
      <c r="D49" s="1"/>
      <c r="E49" s="1"/>
      <c r="F49" s="1"/>
      <c r="G49" s="1"/>
      <c r="H49" s="1"/>
      <c r="I49" s="1"/>
      <c r="J49" s="1"/>
      <c r="K49" s="1"/>
      <c r="L49" s="1"/>
      <c r="M49" s="1"/>
      <c r="N49" s="1"/>
      <c r="O49" s="28"/>
      <c r="P49" s="1"/>
      <c r="Q49" s="3"/>
      <c r="R49" s="47"/>
      <c r="S49" s="3"/>
    </row>
    <row r="50" spans="2:19" x14ac:dyDescent="0.25">
      <c r="B50" s="1"/>
      <c r="C50" s="1"/>
      <c r="D50" s="1"/>
      <c r="E50" s="1"/>
      <c r="F50" s="1"/>
      <c r="G50" s="1"/>
      <c r="H50" s="1"/>
      <c r="I50" s="1"/>
      <c r="J50" s="1"/>
      <c r="K50" s="1"/>
      <c r="L50" s="1"/>
      <c r="M50" s="1"/>
      <c r="N50" s="1"/>
      <c r="O50" s="28"/>
      <c r="P50" s="1"/>
      <c r="Q50" s="3"/>
      <c r="R50" s="47"/>
      <c r="S50" s="3"/>
    </row>
    <row r="51" spans="2:19" x14ac:dyDescent="0.25">
      <c r="B51" s="1"/>
      <c r="C51" s="1"/>
      <c r="D51" s="1"/>
      <c r="E51" s="1"/>
      <c r="F51" s="1"/>
      <c r="G51" s="1"/>
      <c r="H51" s="1"/>
      <c r="I51" s="1"/>
      <c r="J51" s="1"/>
      <c r="K51" s="1"/>
      <c r="L51" s="1"/>
      <c r="M51" s="1"/>
      <c r="N51" s="1"/>
      <c r="O51" s="28"/>
      <c r="P51" s="1"/>
      <c r="Q51" s="3"/>
      <c r="R51" s="47"/>
      <c r="S51" s="3"/>
    </row>
    <row r="52" spans="2:19" x14ac:dyDescent="0.25">
      <c r="B52" s="1"/>
      <c r="C52" s="1"/>
      <c r="D52" s="1"/>
      <c r="E52" s="1"/>
      <c r="F52" s="1"/>
      <c r="G52" s="1"/>
      <c r="H52" s="1"/>
      <c r="I52" s="1"/>
      <c r="J52" s="1"/>
      <c r="K52" s="1"/>
      <c r="L52" s="1"/>
      <c r="M52" s="1"/>
      <c r="N52" s="1"/>
      <c r="O52" s="28"/>
      <c r="P52" s="1"/>
      <c r="Q52" s="3"/>
      <c r="R52" s="47"/>
      <c r="S52" s="3"/>
    </row>
    <row r="53" spans="2:19" x14ac:dyDescent="0.25">
      <c r="B53" s="1"/>
      <c r="C53" s="1"/>
      <c r="D53" s="1"/>
      <c r="E53" s="1"/>
      <c r="F53" s="1"/>
      <c r="G53" s="1"/>
      <c r="H53" s="1"/>
      <c r="I53" s="1"/>
      <c r="J53" s="1"/>
      <c r="K53" s="1"/>
      <c r="L53" s="1"/>
      <c r="M53" s="1"/>
      <c r="N53" s="1"/>
      <c r="O53" s="28"/>
      <c r="P53" s="1"/>
      <c r="Q53" s="3"/>
      <c r="R53" s="47"/>
      <c r="S53" s="3"/>
    </row>
    <row r="54" spans="2:19" x14ac:dyDescent="0.25">
      <c r="B54" s="1"/>
      <c r="C54" s="1"/>
      <c r="D54" s="1"/>
      <c r="E54" s="1"/>
      <c r="F54" s="1"/>
      <c r="G54" s="1"/>
      <c r="H54" s="1"/>
      <c r="I54" s="1"/>
      <c r="J54" s="1"/>
      <c r="K54" s="1"/>
      <c r="L54" s="1"/>
      <c r="M54" s="1"/>
      <c r="N54" s="1"/>
      <c r="O54" s="28"/>
      <c r="P54" s="1"/>
      <c r="Q54" s="3"/>
      <c r="R54" s="47"/>
      <c r="S54" s="3"/>
    </row>
    <row r="55" spans="2:19" x14ac:dyDescent="0.25">
      <c r="B55" s="1"/>
      <c r="C55" s="1"/>
      <c r="D55" s="1"/>
      <c r="E55" s="1"/>
      <c r="F55" s="1"/>
      <c r="G55" s="1"/>
      <c r="H55" s="1"/>
      <c r="I55" s="1"/>
      <c r="J55" s="1"/>
      <c r="K55" s="1"/>
      <c r="L55" s="1"/>
      <c r="M55" s="1"/>
      <c r="N55" s="1"/>
      <c r="O55" s="28"/>
      <c r="P55" s="1"/>
      <c r="Q55" s="3"/>
      <c r="R55" s="47"/>
      <c r="S55" s="3"/>
    </row>
    <row r="56" spans="2:19" x14ac:dyDescent="0.25">
      <c r="B56" s="1"/>
      <c r="C56" s="1"/>
      <c r="D56" s="1"/>
      <c r="E56" s="1"/>
      <c r="F56" s="1"/>
      <c r="G56" s="1"/>
      <c r="H56" s="1"/>
      <c r="I56" s="1"/>
      <c r="J56" s="1"/>
      <c r="K56" s="1"/>
      <c r="L56" s="1"/>
      <c r="M56" s="1"/>
      <c r="N56" s="1"/>
      <c r="O56" s="28"/>
      <c r="P56" s="1"/>
      <c r="Q56" s="3"/>
      <c r="R56" s="47"/>
      <c r="S56" s="3"/>
    </row>
    <row r="57" spans="2:19" x14ac:dyDescent="0.25">
      <c r="B57" s="1"/>
      <c r="C57" s="1"/>
      <c r="D57" s="1"/>
      <c r="E57" s="1"/>
      <c r="F57" s="1"/>
      <c r="G57" s="1"/>
      <c r="H57" s="1"/>
      <c r="I57" s="1"/>
      <c r="J57" s="1"/>
      <c r="K57" s="1"/>
      <c r="L57" s="1"/>
      <c r="M57" s="1"/>
      <c r="N57" s="1"/>
      <c r="O57" s="28"/>
      <c r="P57" s="1"/>
      <c r="Q57" s="3"/>
      <c r="R57" s="47"/>
      <c r="S57" s="3"/>
    </row>
    <row r="58" spans="2:19" x14ac:dyDescent="0.25">
      <c r="B58" s="22"/>
      <c r="C58" s="22"/>
      <c r="D58" s="22"/>
      <c r="E58" s="22"/>
      <c r="F58" s="22"/>
      <c r="G58" s="22"/>
      <c r="H58" s="22"/>
      <c r="I58" s="22"/>
      <c r="J58" s="22"/>
      <c r="K58" s="22"/>
      <c r="L58" s="22"/>
      <c r="M58" s="22"/>
      <c r="N58" s="22"/>
      <c r="O58" s="27"/>
      <c r="P58" s="22"/>
      <c r="Q58" s="23"/>
      <c r="R58" s="46"/>
      <c r="S58" s="23"/>
    </row>
    <row r="59" spans="2:19" x14ac:dyDescent="0.25">
      <c r="B59" s="1"/>
      <c r="C59" s="1"/>
      <c r="D59" s="1"/>
      <c r="E59" s="1"/>
      <c r="F59" s="1"/>
      <c r="G59" s="1"/>
      <c r="H59" s="1"/>
      <c r="I59" s="1"/>
      <c r="J59" s="1"/>
      <c r="K59" s="1"/>
      <c r="L59" s="1"/>
      <c r="M59" s="1"/>
      <c r="N59" s="1"/>
      <c r="O59" s="28"/>
      <c r="P59" s="1"/>
      <c r="Q59" s="3"/>
      <c r="R59" s="47"/>
      <c r="S59" s="3"/>
    </row>
    <row r="60" spans="2:19" x14ac:dyDescent="0.25">
      <c r="B60" s="1"/>
      <c r="C60" s="1"/>
      <c r="D60" s="1"/>
      <c r="E60" s="1"/>
      <c r="F60" s="1"/>
      <c r="G60" s="1"/>
      <c r="H60" s="1"/>
      <c r="I60" s="1"/>
      <c r="J60" s="1"/>
      <c r="K60" s="1"/>
      <c r="L60" s="1"/>
      <c r="M60" s="1"/>
      <c r="N60" s="1"/>
      <c r="O60" s="28"/>
      <c r="P60" s="1"/>
      <c r="Q60" s="3"/>
      <c r="R60" s="47"/>
      <c r="S60" s="3"/>
    </row>
    <row r="61" spans="2:19" x14ac:dyDescent="0.25">
      <c r="B61" s="1"/>
      <c r="C61" s="1"/>
      <c r="D61" s="1"/>
      <c r="E61" s="1"/>
      <c r="F61" s="1"/>
      <c r="G61" s="1"/>
      <c r="H61" s="1"/>
      <c r="I61" s="1"/>
      <c r="J61" s="1"/>
      <c r="K61" s="1"/>
      <c r="L61" s="1"/>
      <c r="M61" s="1"/>
      <c r="N61" s="1"/>
      <c r="O61" s="28"/>
      <c r="P61" s="1"/>
      <c r="Q61" s="3"/>
      <c r="R61" s="47"/>
      <c r="S61" s="3"/>
    </row>
    <row r="62" spans="2:19" x14ac:dyDescent="0.25">
      <c r="B62" s="1"/>
      <c r="C62" s="1"/>
      <c r="D62" s="1"/>
      <c r="E62" s="1"/>
      <c r="F62" s="1"/>
      <c r="G62" s="1"/>
      <c r="H62" s="1"/>
      <c r="I62" s="1"/>
      <c r="J62" s="1"/>
      <c r="K62" s="1"/>
      <c r="L62" s="1"/>
      <c r="M62" s="1"/>
      <c r="N62" s="1"/>
      <c r="O62" s="28"/>
      <c r="P62" s="1"/>
      <c r="Q62" s="3"/>
      <c r="R62" s="47"/>
      <c r="S62" s="3"/>
    </row>
    <row r="63" spans="2:19" x14ac:dyDescent="0.25">
      <c r="B63" s="1"/>
      <c r="C63" s="1"/>
      <c r="D63" s="1"/>
      <c r="E63" s="1"/>
      <c r="F63" s="1"/>
      <c r="G63" s="1"/>
      <c r="H63" s="1"/>
      <c r="I63" s="1"/>
      <c r="J63" s="1"/>
      <c r="K63" s="1"/>
      <c r="L63" s="1"/>
      <c r="M63" s="1"/>
      <c r="N63" s="1"/>
      <c r="O63" s="28"/>
      <c r="P63" s="1"/>
      <c r="Q63" s="3"/>
      <c r="R63" s="47"/>
      <c r="S63" s="3"/>
    </row>
    <row r="64" spans="2:19" x14ac:dyDescent="0.25">
      <c r="B64" s="1"/>
      <c r="C64" s="1"/>
      <c r="D64" s="1"/>
      <c r="E64" s="1"/>
      <c r="F64" s="1"/>
      <c r="G64" s="1"/>
      <c r="H64" s="1"/>
      <c r="I64" s="1"/>
      <c r="J64" s="1"/>
      <c r="K64" s="1"/>
      <c r="L64" s="1"/>
      <c r="M64" s="1"/>
      <c r="N64" s="1"/>
      <c r="O64" s="28"/>
      <c r="P64" s="1"/>
      <c r="Q64" s="3"/>
      <c r="R64" s="47"/>
      <c r="S64" s="3"/>
    </row>
    <row r="65" spans="2:19" x14ac:dyDescent="0.25">
      <c r="B65" s="1"/>
      <c r="C65" s="1"/>
      <c r="D65" s="1"/>
      <c r="E65" s="1"/>
      <c r="F65" s="1"/>
      <c r="G65" s="1"/>
      <c r="H65" s="1"/>
      <c r="I65" s="1"/>
      <c r="J65" s="1"/>
      <c r="K65" s="1"/>
      <c r="L65" s="1"/>
      <c r="M65" s="1"/>
      <c r="N65" s="1"/>
      <c r="O65" s="28"/>
      <c r="P65" s="1"/>
      <c r="Q65" s="3"/>
      <c r="R65" s="47"/>
      <c r="S65" s="3"/>
    </row>
    <row r="66" spans="2:19" x14ac:dyDescent="0.25">
      <c r="B66" s="1"/>
      <c r="C66" s="1"/>
      <c r="D66" s="1"/>
      <c r="E66" s="1"/>
      <c r="F66" s="1"/>
      <c r="G66" s="1"/>
      <c r="H66" s="1"/>
      <c r="I66" s="1"/>
      <c r="J66" s="1"/>
      <c r="K66" s="1"/>
      <c r="L66" s="1"/>
      <c r="M66" s="1"/>
      <c r="N66" s="1"/>
      <c r="O66" s="28"/>
      <c r="P66" s="1"/>
      <c r="Q66" s="3"/>
      <c r="R66" s="47"/>
      <c r="S66" s="3"/>
    </row>
    <row r="67" spans="2:19" x14ac:dyDescent="0.25">
      <c r="B67" s="1"/>
      <c r="C67" s="1"/>
      <c r="D67" s="1"/>
      <c r="E67" s="1"/>
      <c r="F67" s="1"/>
      <c r="G67" s="1"/>
      <c r="H67" s="1"/>
      <c r="I67" s="1"/>
      <c r="J67" s="1"/>
      <c r="K67" s="1"/>
      <c r="L67" s="1"/>
      <c r="M67" s="1"/>
      <c r="N67" s="1"/>
      <c r="O67" s="28"/>
      <c r="P67" s="1"/>
      <c r="Q67" s="3"/>
      <c r="R67" s="47"/>
      <c r="S67" s="3"/>
    </row>
    <row r="68" spans="2:19" x14ac:dyDescent="0.25">
      <c r="B68" s="22"/>
      <c r="C68" s="22"/>
      <c r="D68" s="22"/>
      <c r="E68" s="22"/>
      <c r="F68" s="22"/>
      <c r="G68" s="22"/>
      <c r="H68" s="22"/>
      <c r="I68" s="22"/>
      <c r="J68" s="22"/>
      <c r="K68" s="22"/>
      <c r="L68" s="22"/>
      <c r="M68" s="22"/>
      <c r="N68" s="22"/>
      <c r="O68" s="27"/>
      <c r="P68" s="22"/>
      <c r="Q68" s="23"/>
      <c r="R68" s="46"/>
      <c r="S68" s="23"/>
    </row>
    <row r="69" spans="2:19" x14ac:dyDescent="0.25">
      <c r="B69" s="1"/>
      <c r="C69" s="1"/>
      <c r="D69" s="1"/>
      <c r="E69" s="1"/>
      <c r="F69" s="1"/>
      <c r="G69" s="1"/>
      <c r="H69" s="1"/>
      <c r="I69" s="1"/>
      <c r="J69" s="1"/>
      <c r="K69" s="1"/>
      <c r="L69" s="1"/>
      <c r="M69" s="1"/>
      <c r="N69" s="1"/>
      <c r="O69" s="28"/>
      <c r="P69" s="1"/>
      <c r="Q69" s="3"/>
      <c r="R69" s="47"/>
      <c r="S69" s="3"/>
    </row>
    <row r="70" spans="2:19" x14ac:dyDescent="0.25">
      <c r="B70" s="1"/>
      <c r="C70" s="1"/>
      <c r="D70" s="1"/>
      <c r="E70" s="1"/>
      <c r="F70" s="1"/>
      <c r="G70" s="1"/>
      <c r="H70" s="1"/>
      <c r="I70" s="1"/>
      <c r="J70" s="1"/>
      <c r="K70" s="1"/>
      <c r="L70" s="1"/>
      <c r="M70" s="1"/>
      <c r="N70" s="1"/>
      <c r="O70" s="28"/>
      <c r="P70" s="1"/>
      <c r="Q70" s="3"/>
      <c r="R70" s="47"/>
      <c r="S70" s="3"/>
    </row>
    <row r="71" spans="2:19" x14ac:dyDescent="0.25">
      <c r="B71" s="1"/>
      <c r="C71" s="1"/>
      <c r="D71" s="1"/>
      <c r="E71" s="1"/>
      <c r="F71" s="1"/>
      <c r="G71" s="1"/>
      <c r="H71" s="1"/>
      <c r="I71" s="1"/>
      <c r="J71" s="1"/>
      <c r="K71" s="1"/>
      <c r="L71" s="1"/>
      <c r="M71" s="1"/>
      <c r="N71" s="1"/>
      <c r="O71" s="28"/>
      <c r="P71" s="1"/>
      <c r="Q71" s="3"/>
      <c r="R71" s="47"/>
      <c r="S71" s="3"/>
    </row>
    <row r="72" spans="2:19" x14ac:dyDescent="0.25">
      <c r="B72" s="1"/>
      <c r="C72" s="1"/>
      <c r="D72" s="1"/>
      <c r="E72" s="1"/>
      <c r="F72" s="1"/>
      <c r="G72" s="1"/>
      <c r="H72" s="1"/>
      <c r="I72" s="1"/>
      <c r="J72" s="1"/>
      <c r="K72" s="1"/>
      <c r="L72" s="1"/>
      <c r="M72" s="1"/>
      <c r="N72" s="1"/>
      <c r="O72" s="28"/>
      <c r="P72" s="1"/>
      <c r="Q72" s="3"/>
      <c r="R72" s="47"/>
      <c r="S72" s="3"/>
    </row>
    <row r="73" spans="2:19" x14ac:dyDescent="0.25">
      <c r="B73" s="1"/>
      <c r="C73" s="1"/>
      <c r="D73" s="1"/>
      <c r="E73" s="1"/>
      <c r="F73" s="1"/>
      <c r="G73" s="1"/>
      <c r="H73" s="1"/>
      <c r="I73" s="1"/>
      <c r="J73" s="1"/>
      <c r="K73" s="1"/>
      <c r="L73" s="1"/>
      <c r="M73" s="1"/>
      <c r="N73" s="1"/>
      <c r="O73" s="28"/>
      <c r="P73" s="1"/>
      <c r="Q73" s="3"/>
      <c r="R73" s="47"/>
      <c r="S73" s="3"/>
    </row>
    <row r="74" spans="2:19" x14ac:dyDescent="0.25">
      <c r="B74" s="1"/>
      <c r="C74" s="1"/>
      <c r="D74" s="1"/>
      <c r="E74" s="1"/>
      <c r="F74" s="1"/>
      <c r="G74" s="1"/>
      <c r="H74" s="1"/>
      <c r="I74" s="1"/>
      <c r="J74" s="1"/>
      <c r="K74" s="1"/>
      <c r="L74" s="1"/>
      <c r="M74" s="1"/>
      <c r="N74" s="1"/>
      <c r="O74" s="28"/>
      <c r="P74" s="1"/>
      <c r="Q74" s="3"/>
      <c r="R74" s="47"/>
      <c r="S74" s="3"/>
    </row>
    <row r="75" spans="2:19" x14ac:dyDescent="0.25">
      <c r="B75" s="22"/>
      <c r="C75" s="22"/>
      <c r="D75" s="22"/>
      <c r="E75" s="22"/>
      <c r="F75" s="22"/>
      <c r="G75" s="22"/>
      <c r="H75" s="22"/>
      <c r="I75" s="22"/>
      <c r="J75" s="22"/>
      <c r="K75" s="22"/>
      <c r="L75" s="22"/>
      <c r="M75" s="22"/>
      <c r="N75" s="22"/>
      <c r="O75" s="27"/>
      <c r="P75" s="22"/>
      <c r="Q75" s="23"/>
      <c r="R75" s="46"/>
      <c r="S75" s="23"/>
    </row>
    <row r="76" spans="2:19" x14ac:dyDescent="0.25">
      <c r="B76" s="1"/>
      <c r="C76" s="1"/>
      <c r="D76" s="1"/>
      <c r="E76" s="1"/>
      <c r="F76" s="1"/>
      <c r="G76" s="1"/>
      <c r="H76" s="1"/>
      <c r="I76" s="1"/>
      <c r="J76" s="1"/>
      <c r="K76" s="1"/>
      <c r="L76" s="1"/>
      <c r="M76" s="1"/>
      <c r="N76" s="1"/>
      <c r="O76" s="28"/>
      <c r="P76" s="1"/>
      <c r="Q76" s="3"/>
      <c r="R76" s="47"/>
      <c r="S76" s="3"/>
    </row>
    <row r="77" spans="2:19" x14ac:dyDescent="0.25">
      <c r="B77" s="1"/>
      <c r="C77" s="1"/>
      <c r="D77" s="1"/>
      <c r="E77" s="1"/>
      <c r="F77" s="1"/>
      <c r="G77" s="1"/>
      <c r="H77" s="1"/>
      <c r="I77" s="1"/>
      <c r="J77" s="1"/>
      <c r="K77" s="1"/>
      <c r="L77" s="1"/>
      <c r="M77" s="1"/>
      <c r="N77" s="1"/>
      <c r="O77" s="28"/>
      <c r="P77" s="1"/>
      <c r="Q77" s="3"/>
      <c r="R77" s="47"/>
      <c r="S77" s="3"/>
    </row>
    <row r="78" spans="2:19" x14ac:dyDescent="0.25">
      <c r="B78" s="1"/>
      <c r="C78" s="1"/>
      <c r="D78" s="1"/>
      <c r="E78" s="1"/>
      <c r="F78" s="1"/>
      <c r="G78" s="1"/>
      <c r="H78" s="1"/>
      <c r="I78" s="1"/>
      <c r="J78" s="1"/>
      <c r="K78" s="1"/>
      <c r="L78" s="1"/>
      <c r="M78" s="1"/>
      <c r="N78" s="1"/>
      <c r="O78" s="28"/>
      <c r="P78" s="1"/>
      <c r="Q78" s="3"/>
      <c r="R78" s="47"/>
      <c r="S78" s="3"/>
    </row>
    <row r="79" spans="2:19" x14ac:dyDescent="0.25">
      <c r="B79" s="1"/>
      <c r="C79" s="1"/>
      <c r="D79" s="1"/>
      <c r="E79" s="1"/>
      <c r="F79" s="1"/>
      <c r="G79" s="1"/>
      <c r="H79" s="1"/>
      <c r="I79" s="1"/>
      <c r="J79" s="1"/>
      <c r="K79" s="1"/>
      <c r="L79" s="1"/>
      <c r="M79" s="1"/>
      <c r="N79" s="1"/>
      <c r="O79" s="28"/>
      <c r="P79" s="1"/>
      <c r="Q79" s="3"/>
      <c r="R79" s="47"/>
      <c r="S79" s="3"/>
    </row>
    <row r="80" spans="2:19" x14ac:dyDescent="0.25">
      <c r="B80" s="1"/>
      <c r="C80" s="1"/>
      <c r="D80" s="1"/>
      <c r="E80" s="1"/>
      <c r="F80" s="1"/>
      <c r="G80" s="1"/>
      <c r="H80" s="1"/>
      <c r="I80" s="1"/>
      <c r="J80" s="1"/>
      <c r="K80" s="1"/>
      <c r="L80" s="1"/>
      <c r="M80" s="1"/>
      <c r="N80" s="1"/>
      <c r="O80" s="28"/>
      <c r="P80" s="1"/>
      <c r="Q80" s="3"/>
      <c r="R80" s="47"/>
      <c r="S80" s="3"/>
    </row>
    <row r="81" spans="2:19" x14ac:dyDescent="0.25">
      <c r="B81" s="1"/>
      <c r="C81" s="1"/>
      <c r="D81" s="1"/>
      <c r="E81" s="1"/>
      <c r="F81" s="1"/>
      <c r="G81" s="1"/>
      <c r="H81" s="1"/>
      <c r="I81" s="1"/>
      <c r="J81" s="1"/>
      <c r="K81" s="1"/>
      <c r="L81" s="1"/>
      <c r="M81" s="1"/>
      <c r="N81" s="1"/>
      <c r="O81" s="28"/>
      <c r="P81" s="1"/>
      <c r="Q81" s="3"/>
      <c r="R81" s="47"/>
      <c r="S81" s="3"/>
    </row>
    <row r="82" spans="2:19" x14ac:dyDescent="0.25">
      <c r="B82" s="1"/>
      <c r="C82" s="1"/>
      <c r="D82" s="1"/>
      <c r="E82" s="1"/>
      <c r="F82" s="1"/>
      <c r="G82" s="1"/>
      <c r="H82" s="1"/>
      <c r="I82" s="1"/>
      <c r="J82" s="1"/>
      <c r="K82" s="1"/>
      <c r="L82" s="1"/>
      <c r="M82" s="1"/>
      <c r="N82" s="1"/>
      <c r="O82" s="28"/>
      <c r="P82" s="1"/>
      <c r="Q82" s="3"/>
      <c r="R82" s="47"/>
      <c r="S82" s="3"/>
    </row>
    <row r="83" spans="2:19" x14ac:dyDescent="0.25">
      <c r="B83" s="22"/>
      <c r="C83" s="22"/>
      <c r="D83" s="22"/>
      <c r="E83" s="22"/>
      <c r="F83" s="22"/>
      <c r="G83" s="22"/>
      <c r="H83" s="22"/>
      <c r="I83" s="22"/>
      <c r="J83" s="22"/>
      <c r="K83" s="22"/>
      <c r="L83" s="22"/>
      <c r="M83" s="22"/>
      <c r="N83" s="22"/>
      <c r="O83" s="27"/>
      <c r="P83" s="22"/>
      <c r="Q83" s="23"/>
      <c r="R83" s="46"/>
      <c r="S83" s="23"/>
    </row>
    <row r="84" spans="2:19" x14ac:dyDescent="0.25">
      <c r="B84" s="1"/>
      <c r="C84" s="1"/>
      <c r="D84" s="1"/>
      <c r="E84" s="1"/>
      <c r="F84" s="1"/>
      <c r="G84" s="1"/>
      <c r="H84" s="1"/>
      <c r="I84" s="1"/>
      <c r="J84" s="1"/>
      <c r="K84" s="1"/>
      <c r="L84" s="1"/>
      <c r="M84" s="1"/>
      <c r="N84" s="1"/>
      <c r="O84" s="28"/>
      <c r="P84" s="1"/>
      <c r="Q84" s="3"/>
      <c r="R84" s="47"/>
      <c r="S84" s="3"/>
    </row>
    <row r="85" spans="2:19" x14ac:dyDescent="0.25">
      <c r="B85" s="1"/>
      <c r="C85" s="1"/>
      <c r="D85" s="1"/>
      <c r="E85" s="1"/>
      <c r="F85" s="1"/>
      <c r="G85" s="1"/>
      <c r="H85" s="1"/>
      <c r="I85" s="1"/>
      <c r="J85" s="1"/>
      <c r="K85" s="1"/>
      <c r="L85" s="1"/>
      <c r="M85" s="1"/>
      <c r="N85" s="1"/>
      <c r="O85" s="28"/>
      <c r="P85" s="1"/>
      <c r="Q85" s="3"/>
      <c r="R85" s="47"/>
      <c r="S85" s="3"/>
    </row>
    <row r="86" spans="2:19" x14ac:dyDescent="0.25">
      <c r="B86" s="1"/>
      <c r="C86" s="1"/>
      <c r="D86" s="1"/>
      <c r="E86" s="1"/>
      <c r="F86" s="1"/>
      <c r="G86" s="1"/>
      <c r="H86" s="1"/>
      <c r="I86" s="1"/>
      <c r="J86" s="1"/>
      <c r="K86" s="1"/>
      <c r="L86" s="1"/>
      <c r="M86" s="1"/>
      <c r="N86" s="1"/>
      <c r="O86" s="28"/>
      <c r="P86" s="1"/>
      <c r="Q86" s="3"/>
      <c r="R86" s="47"/>
      <c r="S86" s="3"/>
    </row>
    <row r="87" spans="2:19" x14ac:dyDescent="0.25">
      <c r="B87" s="1"/>
      <c r="C87" s="1"/>
      <c r="D87" s="1"/>
      <c r="E87" s="1"/>
      <c r="F87" s="1"/>
      <c r="G87" s="1"/>
      <c r="H87" s="1"/>
      <c r="I87" s="1"/>
      <c r="J87" s="1"/>
      <c r="K87" s="1"/>
      <c r="L87" s="1"/>
      <c r="M87" s="1"/>
      <c r="N87" s="1"/>
      <c r="O87" s="28"/>
      <c r="P87" s="1"/>
      <c r="Q87" s="3"/>
      <c r="R87" s="47"/>
      <c r="S87" s="3"/>
    </row>
    <row r="88" spans="2:19" x14ac:dyDescent="0.25">
      <c r="B88" s="1"/>
      <c r="C88" s="1"/>
      <c r="D88" s="1"/>
      <c r="E88" s="1"/>
      <c r="F88" s="1"/>
      <c r="G88" s="1"/>
      <c r="H88" s="1"/>
      <c r="I88" s="1"/>
      <c r="J88" s="1"/>
      <c r="K88" s="1"/>
      <c r="L88" s="1"/>
      <c r="M88" s="1"/>
      <c r="N88" s="1"/>
      <c r="O88" s="28"/>
      <c r="P88" s="1"/>
      <c r="Q88" s="3"/>
      <c r="R88" s="47"/>
      <c r="S88" s="3"/>
    </row>
    <row r="89" spans="2:19" x14ac:dyDescent="0.25">
      <c r="B89" s="1"/>
      <c r="C89" s="1"/>
      <c r="D89" s="1"/>
      <c r="E89" s="1"/>
      <c r="F89" s="1"/>
      <c r="G89" s="1"/>
      <c r="H89" s="1"/>
      <c r="I89" s="1"/>
      <c r="J89" s="1"/>
      <c r="K89" s="1"/>
      <c r="L89" s="1"/>
      <c r="M89" s="1"/>
      <c r="N89" s="1"/>
      <c r="O89" s="28"/>
      <c r="P89" s="1"/>
      <c r="Q89" s="3"/>
      <c r="R89" s="47"/>
      <c r="S89" s="3"/>
    </row>
    <row r="90" spans="2:19" x14ac:dyDescent="0.25">
      <c r="B90" s="1"/>
      <c r="C90" s="1"/>
      <c r="D90" s="1"/>
      <c r="E90" s="1"/>
      <c r="F90" s="1"/>
      <c r="G90" s="1"/>
      <c r="H90" s="1"/>
      <c r="I90" s="1"/>
      <c r="J90" s="1"/>
      <c r="K90" s="1"/>
      <c r="L90" s="1"/>
      <c r="M90" s="1"/>
      <c r="N90" s="1"/>
      <c r="O90" s="28"/>
      <c r="P90" s="1"/>
      <c r="Q90" s="3"/>
      <c r="R90" s="47"/>
      <c r="S90" s="3"/>
    </row>
    <row r="91" spans="2:19" x14ac:dyDescent="0.25">
      <c r="B91" s="22"/>
      <c r="C91" s="22"/>
      <c r="D91" s="22"/>
      <c r="E91" s="22"/>
      <c r="F91" s="22"/>
      <c r="G91" s="22"/>
      <c r="H91" s="22"/>
      <c r="I91" s="22"/>
      <c r="J91" s="22"/>
      <c r="K91" s="22"/>
      <c r="L91" s="22"/>
      <c r="M91" s="22"/>
      <c r="N91" s="22"/>
      <c r="O91" s="27"/>
      <c r="P91" s="22"/>
      <c r="Q91" s="23"/>
      <c r="R91" s="46"/>
      <c r="S91" s="23"/>
    </row>
    <row r="92" spans="2:19" x14ac:dyDescent="0.25">
      <c r="B92" s="1"/>
      <c r="C92" s="1"/>
      <c r="D92" s="1"/>
      <c r="E92" s="1"/>
      <c r="F92" s="1"/>
      <c r="G92" s="1"/>
      <c r="H92" s="1"/>
      <c r="I92" s="1"/>
      <c r="J92" s="1"/>
      <c r="K92" s="1"/>
      <c r="L92" s="1"/>
      <c r="M92" s="1"/>
      <c r="N92" s="1"/>
      <c r="O92" s="28"/>
      <c r="P92" s="1"/>
      <c r="Q92" s="3"/>
      <c r="R92" s="47"/>
      <c r="S92" s="3"/>
    </row>
    <row r="93" spans="2:19" x14ac:dyDescent="0.25">
      <c r="B93" s="1"/>
      <c r="C93" s="1"/>
      <c r="D93" s="1"/>
      <c r="E93" s="1"/>
      <c r="F93" s="1"/>
      <c r="G93" s="1"/>
      <c r="H93" s="1"/>
      <c r="I93" s="1"/>
      <c r="J93" s="1"/>
      <c r="K93" s="1"/>
      <c r="L93" s="1"/>
      <c r="M93" s="1"/>
      <c r="N93" s="1"/>
      <c r="O93" s="28"/>
      <c r="P93" s="1"/>
      <c r="Q93" s="3"/>
      <c r="R93" s="47"/>
      <c r="S93" s="3"/>
    </row>
    <row r="94" spans="2:19" x14ac:dyDescent="0.25">
      <c r="B94" s="1"/>
      <c r="C94" s="1"/>
      <c r="D94" s="1"/>
      <c r="E94" s="1"/>
      <c r="F94" s="1"/>
      <c r="G94" s="1"/>
      <c r="H94" s="1"/>
      <c r="I94" s="1"/>
      <c r="J94" s="1"/>
      <c r="K94" s="1"/>
      <c r="L94" s="1"/>
      <c r="M94" s="1"/>
      <c r="N94" s="1"/>
      <c r="O94" s="28"/>
      <c r="P94" s="1"/>
      <c r="Q94" s="3"/>
      <c r="R94" s="47"/>
      <c r="S94" s="3"/>
    </row>
    <row r="95" spans="2:19" x14ac:dyDescent="0.25">
      <c r="B95" s="1"/>
      <c r="C95" s="1"/>
      <c r="D95" s="1"/>
      <c r="E95" s="1"/>
      <c r="F95" s="1"/>
      <c r="G95" s="1"/>
      <c r="H95" s="1"/>
      <c r="I95" s="1"/>
      <c r="J95" s="1"/>
      <c r="K95" s="1"/>
      <c r="L95" s="1"/>
      <c r="M95" s="1"/>
      <c r="N95" s="1"/>
      <c r="O95" s="28"/>
      <c r="P95" s="1"/>
      <c r="Q95" s="3"/>
      <c r="R95" s="47"/>
      <c r="S95" s="3"/>
    </row>
    <row r="96" spans="2:19" x14ac:dyDescent="0.25">
      <c r="B96" s="1"/>
      <c r="C96" s="1"/>
      <c r="D96" s="1"/>
      <c r="E96" s="1"/>
      <c r="F96" s="1"/>
      <c r="G96" s="1"/>
      <c r="H96" s="1"/>
      <c r="I96" s="1"/>
      <c r="J96" s="1"/>
      <c r="K96" s="1"/>
      <c r="L96" s="1"/>
      <c r="M96" s="1"/>
      <c r="N96" s="1"/>
      <c r="O96" s="28"/>
      <c r="P96" s="1"/>
      <c r="Q96" s="3"/>
      <c r="R96" s="47"/>
      <c r="S96" s="3"/>
    </row>
    <row r="97" spans="2:19" x14ac:dyDescent="0.25">
      <c r="B97" s="1"/>
      <c r="C97" s="1"/>
      <c r="D97" s="1"/>
      <c r="E97" s="1"/>
      <c r="F97" s="1"/>
      <c r="G97" s="1"/>
      <c r="H97" s="1"/>
      <c r="I97" s="1"/>
      <c r="J97" s="1"/>
      <c r="K97" s="1"/>
      <c r="L97" s="1"/>
      <c r="M97" s="1"/>
      <c r="N97" s="1"/>
      <c r="O97" s="28"/>
      <c r="P97" s="1"/>
      <c r="Q97" s="3"/>
      <c r="R97" s="47"/>
      <c r="S97" s="3"/>
    </row>
    <row r="98" spans="2:19" x14ac:dyDescent="0.25">
      <c r="B98" s="1"/>
      <c r="C98" s="1"/>
      <c r="D98" s="1"/>
      <c r="E98" s="1"/>
      <c r="F98" s="1"/>
      <c r="G98" s="1"/>
      <c r="H98" s="1"/>
      <c r="I98" s="1"/>
      <c r="J98" s="1"/>
      <c r="K98" s="1"/>
      <c r="L98" s="1"/>
      <c r="M98" s="1"/>
      <c r="N98" s="1"/>
      <c r="O98" s="28"/>
      <c r="P98" s="1"/>
      <c r="Q98" s="3"/>
      <c r="R98" s="47"/>
      <c r="S98" s="3"/>
    </row>
    <row r="99" spans="2:19" x14ac:dyDescent="0.25">
      <c r="B99" s="1"/>
      <c r="C99" s="1"/>
      <c r="D99" s="1"/>
      <c r="E99" s="1"/>
      <c r="F99" s="1"/>
      <c r="G99" s="1"/>
      <c r="H99" s="1"/>
      <c r="I99" s="1"/>
      <c r="J99" s="1"/>
      <c r="K99" s="1"/>
      <c r="L99" s="1"/>
      <c r="M99" s="1"/>
      <c r="N99" s="1"/>
      <c r="O99" s="28"/>
      <c r="P99" s="1"/>
      <c r="Q99" s="3"/>
      <c r="R99" s="47"/>
      <c r="S99" s="3"/>
    </row>
    <row r="100" spans="2:19" x14ac:dyDescent="0.25">
      <c r="B100" s="1"/>
      <c r="C100" s="1"/>
      <c r="D100" s="1"/>
      <c r="E100" s="1"/>
      <c r="F100" s="1"/>
      <c r="G100" s="1"/>
      <c r="H100" s="1"/>
      <c r="I100" s="1"/>
      <c r="J100" s="1"/>
      <c r="K100" s="1"/>
      <c r="L100" s="1"/>
      <c r="M100" s="1"/>
      <c r="N100" s="1"/>
      <c r="O100" s="28"/>
      <c r="P100" s="1"/>
      <c r="Q100" s="3"/>
      <c r="R100" s="47"/>
      <c r="S100" s="3"/>
    </row>
    <row r="101" spans="2:19" x14ac:dyDescent="0.25">
      <c r="B101" s="22"/>
      <c r="C101" s="22"/>
      <c r="D101" s="22"/>
      <c r="E101" s="22"/>
      <c r="F101" s="22"/>
      <c r="G101" s="22"/>
      <c r="H101" s="22"/>
      <c r="I101" s="22"/>
      <c r="J101" s="22"/>
      <c r="K101" s="22"/>
      <c r="L101" s="22"/>
      <c r="M101" s="22"/>
      <c r="N101" s="22"/>
      <c r="O101" s="27"/>
      <c r="P101" s="22"/>
      <c r="Q101" s="23"/>
      <c r="R101" s="46"/>
      <c r="S101" s="23"/>
    </row>
    <row r="102" spans="2:19" x14ac:dyDescent="0.25">
      <c r="B102" s="1"/>
      <c r="C102" s="1"/>
      <c r="D102" s="1"/>
      <c r="E102" s="1"/>
      <c r="F102" s="1"/>
      <c r="G102" s="1"/>
      <c r="H102" s="1"/>
      <c r="I102" s="1"/>
      <c r="J102" s="1"/>
      <c r="K102" s="1"/>
      <c r="L102" s="1"/>
      <c r="M102" s="1"/>
      <c r="N102" s="1"/>
      <c r="O102" s="28"/>
      <c r="P102" s="1"/>
      <c r="Q102" s="3"/>
      <c r="R102" s="47"/>
      <c r="S102" s="3"/>
    </row>
    <row r="103" spans="2:19" x14ac:dyDescent="0.25">
      <c r="B103" s="1"/>
      <c r="C103" s="1"/>
      <c r="D103" s="1"/>
      <c r="E103" s="1"/>
      <c r="F103" s="1"/>
      <c r="G103" s="1"/>
      <c r="H103" s="1"/>
      <c r="I103" s="1"/>
      <c r="J103" s="1"/>
      <c r="K103" s="1"/>
      <c r="L103" s="1"/>
      <c r="M103" s="1"/>
      <c r="N103" s="1"/>
      <c r="O103" s="28"/>
      <c r="P103" s="1"/>
      <c r="Q103" s="3"/>
      <c r="R103" s="47"/>
      <c r="S103" s="3"/>
    </row>
    <row r="104" spans="2:19" x14ac:dyDescent="0.25">
      <c r="B104" s="1"/>
      <c r="C104" s="1"/>
      <c r="D104" s="1"/>
      <c r="E104" s="1"/>
      <c r="F104" s="1"/>
      <c r="G104" s="1"/>
      <c r="H104" s="1"/>
      <c r="I104" s="1"/>
      <c r="J104" s="1"/>
      <c r="K104" s="1"/>
      <c r="L104" s="1"/>
      <c r="M104" s="1"/>
      <c r="N104" s="1"/>
      <c r="O104" s="28"/>
      <c r="P104" s="1"/>
      <c r="Q104" s="3"/>
      <c r="R104" s="47"/>
      <c r="S104" s="3"/>
    </row>
    <row r="105" spans="2:19" x14ac:dyDescent="0.25">
      <c r="B105" s="1"/>
      <c r="C105" s="1"/>
      <c r="D105" s="1"/>
      <c r="E105" s="1"/>
      <c r="F105" s="1"/>
      <c r="G105" s="1"/>
      <c r="H105" s="1"/>
      <c r="I105" s="1"/>
      <c r="J105" s="1"/>
      <c r="K105" s="1"/>
      <c r="L105" s="1"/>
      <c r="M105" s="1"/>
      <c r="N105" s="1"/>
      <c r="O105" s="28"/>
      <c r="P105" s="1"/>
      <c r="Q105" s="3"/>
      <c r="R105" s="47"/>
      <c r="S105" s="3"/>
    </row>
    <row r="106" spans="2:19" x14ac:dyDescent="0.25">
      <c r="B106" s="1"/>
      <c r="C106" s="1"/>
      <c r="D106" s="1"/>
      <c r="E106" s="1"/>
      <c r="F106" s="1"/>
      <c r="G106" s="1"/>
      <c r="H106" s="1"/>
      <c r="I106" s="1"/>
      <c r="J106" s="1"/>
      <c r="K106" s="1"/>
      <c r="L106" s="1"/>
      <c r="M106" s="1"/>
      <c r="N106" s="1"/>
      <c r="O106" s="28"/>
      <c r="P106" s="1"/>
      <c r="Q106" s="3"/>
      <c r="R106" s="47"/>
      <c r="S106" s="3"/>
    </row>
    <row r="107" spans="2:19" x14ac:dyDescent="0.25">
      <c r="B107" s="1"/>
      <c r="C107" s="1"/>
      <c r="D107" s="1"/>
      <c r="E107" s="1"/>
      <c r="F107" s="1"/>
      <c r="G107" s="1"/>
      <c r="H107" s="1"/>
      <c r="I107" s="1"/>
      <c r="J107" s="1"/>
      <c r="K107" s="1"/>
      <c r="L107" s="1"/>
      <c r="M107" s="1"/>
      <c r="N107" s="1"/>
      <c r="O107" s="28"/>
      <c r="P107" s="1"/>
      <c r="Q107" s="3"/>
      <c r="R107" s="47"/>
      <c r="S107" s="3"/>
    </row>
    <row r="108" spans="2:19" x14ac:dyDescent="0.25">
      <c r="B108" s="1"/>
      <c r="C108" s="1"/>
      <c r="D108" s="1"/>
      <c r="E108" s="1"/>
      <c r="F108" s="1"/>
      <c r="G108" s="1"/>
      <c r="H108" s="1"/>
      <c r="I108" s="1"/>
      <c r="J108" s="1"/>
      <c r="K108" s="1"/>
      <c r="L108" s="1"/>
      <c r="M108" s="1"/>
      <c r="N108" s="1"/>
      <c r="O108" s="28"/>
      <c r="P108" s="1"/>
      <c r="Q108" s="3"/>
      <c r="R108" s="47"/>
      <c r="S108" s="3"/>
    </row>
    <row r="109" spans="2:19" x14ac:dyDescent="0.25">
      <c r="B109" s="22"/>
      <c r="C109" s="22"/>
      <c r="D109" s="22"/>
      <c r="E109" s="22"/>
      <c r="F109" s="22"/>
      <c r="G109" s="22"/>
      <c r="H109" s="22"/>
      <c r="I109" s="22"/>
      <c r="J109" s="22"/>
      <c r="K109" s="22"/>
      <c r="L109" s="22"/>
      <c r="M109" s="22"/>
      <c r="N109" s="22"/>
      <c r="O109" s="27"/>
      <c r="P109" s="22"/>
      <c r="Q109" s="23"/>
      <c r="R109" s="46"/>
      <c r="S109" s="23"/>
    </row>
    <row r="110" spans="2:19" x14ac:dyDescent="0.25">
      <c r="B110" s="1"/>
      <c r="C110" s="1"/>
      <c r="D110" s="1"/>
      <c r="E110" s="1"/>
      <c r="F110" s="1"/>
      <c r="G110" s="1"/>
      <c r="H110" s="1"/>
      <c r="I110" s="1"/>
      <c r="J110" s="1"/>
      <c r="K110" s="1"/>
      <c r="L110" s="1"/>
      <c r="M110" s="1"/>
      <c r="N110" s="1"/>
      <c r="O110" s="28"/>
      <c r="P110" s="1"/>
      <c r="Q110" s="3"/>
      <c r="R110" s="47"/>
      <c r="S110" s="3"/>
    </row>
    <row r="111" spans="2:19" x14ac:dyDescent="0.25">
      <c r="B111" s="1"/>
      <c r="C111" s="1"/>
      <c r="D111" s="1"/>
      <c r="E111" s="1"/>
      <c r="F111" s="1"/>
      <c r="G111" s="1"/>
      <c r="H111" s="1"/>
      <c r="I111" s="1"/>
      <c r="J111" s="1"/>
      <c r="K111" s="1"/>
      <c r="L111" s="1"/>
      <c r="M111" s="1"/>
      <c r="N111" s="1"/>
      <c r="O111" s="28"/>
      <c r="P111" s="1"/>
      <c r="Q111" s="3"/>
      <c r="R111" s="47"/>
      <c r="S111" s="3"/>
    </row>
    <row r="112" spans="2:19" x14ac:dyDescent="0.25">
      <c r="B112" s="1"/>
      <c r="C112" s="1"/>
      <c r="D112" s="1"/>
      <c r="E112" s="1"/>
      <c r="F112" s="1"/>
      <c r="G112" s="1"/>
      <c r="H112" s="1"/>
      <c r="I112" s="1"/>
      <c r="J112" s="1"/>
      <c r="K112" s="1"/>
      <c r="L112" s="1"/>
      <c r="M112" s="1"/>
      <c r="N112" s="1"/>
      <c r="O112" s="28"/>
      <c r="P112" s="1"/>
      <c r="Q112" s="3"/>
      <c r="R112" s="47"/>
      <c r="S112" s="3"/>
    </row>
    <row r="113" spans="2:73" x14ac:dyDescent="0.25">
      <c r="B113" s="1"/>
      <c r="C113" s="1"/>
      <c r="D113" s="1"/>
      <c r="E113" s="1"/>
      <c r="F113" s="1"/>
      <c r="G113" s="1"/>
      <c r="H113" s="1"/>
      <c r="I113" s="1"/>
      <c r="J113" s="1"/>
      <c r="K113" s="1"/>
      <c r="L113" s="1"/>
      <c r="M113" s="1"/>
      <c r="N113" s="1"/>
      <c r="O113" s="28"/>
      <c r="P113" s="1"/>
      <c r="Q113" s="3"/>
      <c r="R113" s="47"/>
      <c r="S113" s="3"/>
    </row>
    <row r="114" spans="2:73" x14ac:dyDescent="0.25">
      <c r="B114" s="1"/>
      <c r="C114" s="1"/>
      <c r="D114" s="1"/>
      <c r="E114" s="1"/>
      <c r="F114" s="1"/>
      <c r="G114" s="1"/>
      <c r="H114" s="1"/>
      <c r="I114" s="1"/>
      <c r="J114" s="1"/>
      <c r="K114" s="1"/>
      <c r="L114" s="1"/>
      <c r="M114" s="1"/>
      <c r="N114" s="1"/>
      <c r="O114" s="28"/>
      <c r="P114" s="1"/>
      <c r="Q114" s="3"/>
      <c r="R114" s="47"/>
      <c r="S114" s="3"/>
    </row>
    <row r="115" spans="2:73" x14ac:dyDescent="0.25">
      <c r="B115" s="1"/>
      <c r="C115" s="1"/>
      <c r="D115" s="1"/>
      <c r="E115" s="1"/>
      <c r="F115" s="1"/>
      <c r="G115" s="1"/>
      <c r="H115" s="1"/>
      <c r="I115" s="1"/>
      <c r="J115" s="1"/>
      <c r="K115" s="1"/>
      <c r="L115" s="1"/>
      <c r="M115" s="1"/>
      <c r="N115" s="1"/>
      <c r="O115" s="28"/>
      <c r="P115" s="1"/>
      <c r="Q115" s="3"/>
      <c r="R115" s="47"/>
      <c r="S115" s="3"/>
    </row>
    <row r="116" spans="2:73" x14ac:dyDescent="0.25">
      <c r="B116" s="22"/>
      <c r="C116" s="22"/>
      <c r="D116" s="22"/>
      <c r="E116" s="22"/>
      <c r="F116" s="22"/>
      <c r="G116" s="22"/>
      <c r="H116" s="22"/>
      <c r="I116" s="22"/>
      <c r="J116" s="22"/>
      <c r="K116" s="22"/>
      <c r="L116" s="22"/>
      <c r="M116" s="22"/>
      <c r="N116" s="22"/>
      <c r="O116" s="27"/>
      <c r="P116" s="22"/>
      <c r="Q116" s="23"/>
      <c r="R116" s="46"/>
      <c r="S116" s="23"/>
    </row>
    <row r="117" spans="2:73" x14ac:dyDescent="0.25">
      <c r="B117" s="1"/>
      <c r="C117" s="1"/>
      <c r="D117" s="1"/>
      <c r="E117" s="1"/>
      <c r="F117" s="1"/>
      <c r="G117" s="1"/>
      <c r="H117" s="1"/>
      <c r="I117" s="1"/>
      <c r="J117" s="1"/>
      <c r="K117" s="1"/>
      <c r="L117" s="1"/>
      <c r="M117" s="1"/>
      <c r="N117" s="1"/>
      <c r="O117" s="28"/>
      <c r="P117" s="1"/>
      <c r="Q117" s="3"/>
      <c r="R117" s="47"/>
      <c r="S117" s="3"/>
    </row>
    <row r="118" spans="2:73" x14ac:dyDescent="0.25">
      <c r="B118" s="1"/>
      <c r="C118" s="1"/>
      <c r="D118" s="1"/>
      <c r="E118" s="1"/>
      <c r="F118" s="1"/>
      <c r="G118" s="1"/>
      <c r="H118" s="1"/>
      <c r="I118" s="1"/>
      <c r="J118" s="1"/>
      <c r="K118" s="1"/>
      <c r="L118" s="1"/>
      <c r="M118" s="1"/>
      <c r="N118" s="1"/>
      <c r="O118" s="28"/>
      <c r="P118" s="1"/>
      <c r="Q118" s="3"/>
      <c r="R118" s="47"/>
      <c r="S118" s="3"/>
    </row>
    <row r="119" spans="2:73" x14ac:dyDescent="0.25">
      <c r="B119" s="1"/>
      <c r="C119" s="1"/>
      <c r="D119" s="1"/>
      <c r="E119" s="1"/>
      <c r="F119" s="1"/>
      <c r="G119" s="1"/>
      <c r="H119" s="1"/>
      <c r="I119" s="1"/>
      <c r="J119" s="1"/>
      <c r="K119" s="1"/>
      <c r="L119" s="1"/>
      <c r="M119" s="1"/>
      <c r="N119" s="1"/>
      <c r="O119" s="28"/>
      <c r="P119" s="1"/>
      <c r="Q119" s="3"/>
      <c r="R119" s="47"/>
      <c r="S119" s="3"/>
    </row>
    <row r="120" spans="2:73" x14ac:dyDescent="0.25">
      <c r="B120" s="1"/>
      <c r="C120" s="1"/>
      <c r="D120" s="1"/>
      <c r="E120" s="1"/>
      <c r="F120" s="1"/>
      <c r="G120" s="1"/>
      <c r="H120" s="1"/>
      <c r="I120" s="1"/>
      <c r="J120" s="1"/>
      <c r="K120" s="1"/>
      <c r="L120" s="1"/>
      <c r="M120" s="1"/>
      <c r="N120" s="1"/>
      <c r="O120" s="28"/>
      <c r="P120" s="1"/>
      <c r="Q120" s="3"/>
      <c r="R120" s="47"/>
      <c r="S120" s="3"/>
    </row>
    <row r="121" spans="2:73" x14ac:dyDescent="0.25">
      <c r="B121" s="1"/>
      <c r="C121" s="1"/>
      <c r="D121" s="1"/>
      <c r="E121" s="1"/>
      <c r="F121" s="1"/>
      <c r="G121" s="1"/>
      <c r="H121" s="1"/>
      <c r="I121" s="1"/>
      <c r="J121" s="1"/>
      <c r="K121" s="1"/>
      <c r="L121" s="1"/>
      <c r="M121" s="1"/>
      <c r="N121" s="1"/>
      <c r="O121" s="28"/>
      <c r="P121" s="1"/>
      <c r="Q121" s="3"/>
      <c r="R121" s="47"/>
      <c r="S121" s="3"/>
    </row>
    <row r="122" spans="2:73" x14ac:dyDescent="0.25">
      <c r="B122" s="1"/>
      <c r="C122" s="1"/>
      <c r="D122" s="1"/>
      <c r="E122" s="1"/>
      <c r="F122" s="1"/>
      <c r="G122" s="1"/>
      <c r="H122" s="1"/>
      <c r="I122" s="1"/>
      <c r="J122" s="1"/>
      <c r="K122" s="1"/>
      <c r="L122" s="1"/>
      <c r="M122" s="1"/>
      <c r="N122" s="1"/>
      <c r="O122" s="28"/>
      <c r="P122" s="1"/>
      <c r="Q122" s="3"/>
      <c r="R122" s="47"/>
      <c r="S122" s="3"/>
    </row>
    <row r="123" spans="2:73" x14ac:dyDescent="0.25">
      <c r="B123" s="1"/>
      <c r="C123" s="1"/>
      <c r="D123" s="1"/>
      <c r="E123" s="1"/>
      <c r="F123" s="1"/>
      <c r="G123" s="1"/>
      <c r="H123" s="1"/>
      <c r="I123" s="1"/>
      <c r="J123" s="1"/>
      <c r="K123" s="1"/>
      <c r="L123" s="1"/>
      <c r="M123" s="1"/>
      <c r="N123" s="1"/>
      <c r="O123" s="28"/>
      <c r="P123" s="1"/>
      <c r="Q123" s="3"/>
      <c r="R123" s="47"/>
      <c r="S123" s="3"/>
    </row>
    <row r="124" spans="2:73" x14ac:dyDescent="0.25">
      <c r="B124" s="1"/>
      <c r="C124" s="1"/>
      <c r="D124" s="1"/>
      <c r="E124" s="1"/>
      <c r="F124" s="1"/>
      <c r="G124" s="1"/>
      <c r="H124" s="1"/>
      <c r="I124" s="1"/>
      <c r="J124" s="1"/>
      <c r="K124" s="1"/>
      <c r="L124" s="1"/>
      <c r="M124" s="1"/>
      <c r="N124" s="1"/>
      <c r="O124" s="28"/>
      <c r="P124" s="1"/>
      <c r="Q124" s="3"/>
      <c r="R124" s="47"/>
      <c r="S124" s="3"/>
    </row>
    <row r="125" spans="2:73" x14ac:dyDescent="0.25">
      <c r="B125" s="1"/>
      <c r="C125" s="1"/>
      <c r="D125" s="1"/>
      <c r="E125" s="1"/>
      <c r="F125" s="1"/>
      <c r="G125" s="1"/>
      <c r="H125" s="1"/>
      <c r="I125" s="1"/>
      <c r="J125" s="1"/>
      <c r="K125" s="1"/>
      <c r="L125" s="1"/>
      <c r="M125" s="1"/>
      <c r="N125" s="1"/>
      <c r="O125" s="28"/>
      <c r="P125" s="1"/>
      <c r="Q125" s="3"/>
      <c r="R125" s="47"/>
      <c r="S125" s="3"/>
    </row>
    <row r="126" spans="2:73" x14ac:dyDescent="0.25">
      <c r="B126" s="1"/>
      <c r="C126" s="1"/>
      <c r="D126" s="1"/>
      <c r="E126" s="1"/>
      <c r="F126" s="1"/>
      <c r="G126" s="1"/>
      <c r="H126" s="1"/>
      <c r="I126" s="1"/>
      <c r="J126" s="1"/>
      <c r="K126" s="1"/>
      <c r="L126" s="1"/>
      <c r="M126" s="1"/>
      <c r="N126" s="1"/>
      <c r="O126" s="28"/>
      <c r="P126" s="1"/>
      <c r="Q126" s="3"/>
      <c r="R126" s="47"/>
      <c r="S126" s="3"/>
    </row>
    <row r="127" spans="2:73" s="34" customFormat="1" x14ac:dyDescent="0.25">
      <c r="O127" s="35"/>
      <c r="Q127" s="36"/>
      <c r="R127" s="48"/>
      <c r="S127" s="36"/>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row>
  </sheetData>
  <autoFilter ref="B4:S128" xr:uid="{AAB9DDBE-AE3F-41DB-A9D1-5A8974937C29}"/>
  <pageMargins left="0.70866141732283472" right="0.70866141732283472" top="0.74803149606299213" bottom="0.74803149606299213" header="0.31496062992125984" footer="0.31496062992125984"/>
  <pageSetup paperSize="9" scale="22" fitToHeight="20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2422-E145-44AD-ACF5-437D9628D0C4}">
  <dimension ref="B1:W902"/>
  <sheetViews>
    <sheetView zoomScale="90" zoomScaleNormal="90" workbookViewId="0">
      <pane ySplit="1" topLeftCell="A851" activePane="bottomLeft" state="frozen"/>
      <selection activeCell="K857" sqref="K857"/>
      <selection pane="bottomLeft" activeCell="E6" sqref="E6"/>
    </sheetView>
  </sheetViews>
  <sheetFormatPr defaultColWidth="4.28515625" defaultRowHeight="12" x14ac:dyDescent="0.25"/>
  <cols>
    <col min="1" max="1" width="4.28515625" style="8"/>
    <col min="2" max="2" width="8.7109375" style="55" bestFit="1" customWidth="1"/>
    <col min="3" max="3" width="10" style="56" bestFit="1" customWidth="1"/>
    <col min="4" max="4" width="13.42578125" style="62" bestFit="1" customWidth="1"/>
    <col min="5" max="5" width="18.5703125" style="58" bestFit="1" customWidth="1"/>
    <col min="6" max="6" width="18.28515625" style="58" bestFit="1" customWidth="1"/>
    <col min="7" max="7" width="14.42578125" style="8" bestFit="1" customWidth="1"/>
    <col min="8" max="8" width="20" style="8" bestFit="1" customWidth="1"/>
    <col min="9" max="9" width="18.7109375" style="8" bestFit="1" customWidth="1"/>
    <col min="10" max="10" width="24.42578125" style="8" bestFit="1" customWidth="1"/>
    <col min="11" max="11" width="13" style="58" customWidth="1"/>
    <col min="12" max="12" width="13.42578125" style="58" bestFit="1" customWidth="1"/>
    <col min="13" max="13" width="15.85546875" style="58" bestFit="1" customWidth="1"/>
    <col min="14" max="16384" width="4.28515625" style="8"/>
  </cols>
  <sheetData>
    <row r="1" spans="2:13" s="9" customFormat="1" x14ac:dyDescent="0.25">
      <c r="B1" s="50" t="s">
        <v>6989</v>
      </c>
      <c r="C1" s="51" t="s">
        <v>6990</v>
      </c>
      <c r="D1" s="52" t="s">
        <v>6991</v>
      </c>
      <c r="E1" s="53" t="s">
        <v>6992</v>
      </c>
      <c r="F1" s="53" t="s">
        <v>6993</v>
      </c>
      <c r="G1" s="9" t="s">
        <v>6994</v>
      </c>
      <c r="H1" s="9" t="s">
        <v>6995</v>
      </c>
      <c r="I1" s="9" t="s">
        <v>6996</v>
      </c>
      <c r="J1" s="9" t="s">
        <v>6997</v>
      </c>
      <c r="K1" s="51" t="s">
        <v>6998</v>
      </c>
      <c r="L1" s="51" t="s">
        <v>6999</v>
      </c>
      <c r="M1" s="54" t="s">
        <v>7000</v>
      </c>
    </row>
    <row r="2" spans="2:13" ht="24" x14ac:dyDescent="0.25">
      <c r="B2" s="55">
        <v>0</v>
      </c>
      <c r="C2" s="56">
        <v>43794</v>
      </c>
      <c r="D2" s="57">
        <f>+C2</f>
        <v>43794</v>
      </c>
      <c r="E2" s="58">
        <v>1</v>
      </c>
      <c r="F2" s="58">
        <v>48</v>
      </c>
      <c r="G2" s="8">
        <v>201912</v>
      </c>
      <c r="H2" s="8" t="s">
        <v>7001</v>
      </c>
      <c r="I2" s="8">
        <v>201912</v>
      </c>
      <c r="J2" s="8" t="s">
        <v>7001</v>
      </c>
      <c r="K2" s="56">
        <f>_xlfn.MINIFS($C$2:$C$890,$E$2:$E$890,E2)</f>
        <v>43794</v>
      </c>
      <c r="L2" s="56">
        <f>_xlfn.MAXIFS($C$2:$C$890,$E$2:$E$890,E2)</f>
        <v>43800</v>
      </c>
      <c r="M2" s="59" t="str">
        <f>CONCATENATE(TEXT(K2,"DD/MM/YY")," @ ",CHAR(10),TEXT(L2,"DD/MM/YY"))</f>
        <v>25/11/19 @ 
01/12/19</v>
      </c>
    </row>
    <row r="3" spans="2:13" ht="24" x14ac:dyDescent="0.25">
      <c r="B3" s="55">
        <v>1</v>
      </c>
      <c r="C3" s="56">
        <f>+C2+1</f>
        <v>43795</v>
      </c>
      <c r="D3" s="57">
        <f t="shared" ref="D3:D66" si="0">+C3</f>
        <v>43795</v>
      </c>
      <c r="E3" s="58">
        <v>1</v>
      </c>
      <c r="F3" s="58">
        <v>48</v>
      </c>
      <c r="G3" s="8">
        <v>201912</v>
      </c>
      <c r="H3" s="8" t="s">
        <v>7001</v>
      </c>
      <c r="I3" s="8">
        <v>201912</v>
      </c>
      <c r="J3" s="8" t="s">
        <v>7001</v>
      </c>
      <c r="K3" s="56">
        <f t="shared" ref="K3:K66" si="1">_xlfn.MINIFS($C$2:$C$890,$E$2:$E$890,E3)</f>
        <v>43794</v>
      </c>
      <c r="L3" s="56">
        <f t="shared" ref="L3:L66" si="2">_xlfn.MAXIFS($C$2:$C$890,$E$2:$E$890,E3)</f>
        <v>43800</v>
      </c>
      <c r="M3" s="59" t="str">
        <f t="shared" ref="M3:M66" si="3">CONCATENATE(TEXT(K3,"DD/MM/YY")," @ ",CHAR(10),TEXT(L3,"DD/MM/YY"))</f>
        <v>25/11/19 @ 
01/12/19</v>
      </c>
    </row>
    <row r="4" spans="2:13" ht="24" x14ac:dyDescent="0.25">
      <c r="B4" s="55">
        <f>+B3+1</f>
        <v>2</v>
      </c>
      <c r="C4" s="56">
        <f t="shared" ref="C4:C67" si="4">+C3+1</f>
        <v>43796</v>
      </c>
      <c r="D4" s="57">
        <f t="shared" si="0"/>
        <v>43796</v>
      </c>
      <c r="E4" s="58">
        <v>1</v>
      </c>
      <c r="F4" s="58">
        <v>48</v>
      </c>
      <c r="G4" s="8">
        <v>201912</v>
      </c>
      <c r="H4" s="8" t="s">
        <v>7001</v>
      </c>
      <c r="I4" s="8">
        <v>201912</v>
      </c>
      <c r="J4" s="8" t="s">
        <v>7001</v>
      </c>
      <c r="K4" s="56">
        <f t="shared" si="1"/>
        <v>43794</v>
      </c>
      <c r="L4" s="56">
        <f t="shared" si="2"/>
        <v>43800</v>
      </c>
      <c r="M4" s="59" t="str">
        <f t="shared" si="3"/>
        <v>25/11/19 @ 
01/12/19</v>
      </c>
    </row>
    <row r="5" spans="2:13" ht="24" x14ac:dyDescent="0.25">
      <c r="B5" s="55">
        <f t="shared" ref="B5:C68" si="5">+B4+1</f>
        <v>3</v>
      </c>
      <c r="C5" s="56">
        <f t="shared" si="4"/>
        <v>43797</v>
      </c>
      <c r="D5" s="57">
        <f t="shared" si="0"/>
        <v>43797</v>
      </c>
      <c r="E5" s="58">
        <v>1</v>
      </c>
      <c r="F5" s="58">
        <v>48</v>
      </c>
      <c r="G5" s="8">
        <v>201912</v>
      </c>
      <c r="H5" s="8" t="s">
        <v>7001</v>
      </c>
      <c r="I5" s="8">
        <v>201912</v>
      </c>
      <c r="J5" s="8" t="s">
        <v>7001</v>
      </c>
      <c r="K5" s="56">
        <f t="shared" si="1"/>
        <v>43794</v>
      </c>
      <c r="L5" s="56">
        <f t="shared" si="2"/>
        <v>43800</v>
      </c>
      <c r="M5" s="59" t="str">
        <f t="shared" si="3"/>
        <v>25/11/19 @ 
01/12/19</v>
      </c>
    </row>
    <row r="6" spans="2:13" ht="24" x14ac:dyDescent="0.25">
      <c r="B6" s="55">
        <f t="shared" si="5"/>
        <v>4</v>
      </c>
      <c r="C6" s="56">
        <f t="shared" si="4"/>
        <v>43798</v>
      </c>
      <c r="D6" s="57">
        <f t="shared" si="0"/>
        <v>43798</v>
      </c>
      <c r="E6" s="58">
        <v>1</v>
      </c>
      <c r="F6" s="58">
        <v>48</v>
      </c>
      <c r="G6" s="8">
        <v>201912</v>
      </c>
      <c r="H6" s="8" t="s">
        <v>7001</v>
      </c>
      <c r="I6" s="8">
        <v>201912</v>
      </c>
      <c r="J6" s="8" t="s">
        <v>7001</v>
      </c>
      <c r="K6" s="56">
        <f t="shared" si="1"/>
        <v>43794</v>
      </c>
      <c r="L6" s="56">
        <f t="shared" si="2"/>
        <v>43800</v>
      </c>
      <c r="M6" s="59" t="str">
        <f t="shared" si="3"/>
        <v>25/11/19 @ 
01/12/19</v>
      </c>
    </row>
    <row r="7" spans="2:13" ht="24" x14ac:dyDescent="0.25">
      <c r="B7" s="55">
        <f t="shared" si="5"/>
        <v>5</v>
      </c>
      <c r="C7" s="56">
        <f t="shared" si="4"/>
        <v>43799</v>
      </c>
      <c r="D7" s="57">
        <f t="shared" si="0"/>
        <v>43799</v>
      </c>
      <c r="E7" s="58">
        <v>1</v>
      </c>
      <c r="F7" s="58">
        <v>48</v>
      </c>
      <c r="G7" s="8">
        <v>201912</v>
      </c>
      <c r="H7" s="8" t="s">
        <v>7001</v>
      </c>
      <c r="I7" s="8">
        <v>201912</v>
      </c>
      <c r="J7" s="8" t="s">
        <v>7001</v>
      </c>
      <c r="K7" s="56">
        <f t="shared" si="1"/>
        <v>43794</v>
      </c>
      <c r="L7" s="56">
        <f t="shared" si="2"/>
        <v>43800</v>
      </c>
      <c r="M7" s="59" t="str">
        <f t="shared" si="3"/>
        <v>25/11/19 @ 
01/12/19</v>
      </c>
    </row>
    <row r="8" spans="2:13" ht="24" x14ac:dyDescent="0.25">
      <c r="B8" s="55">
        <f t="shared" si="5"/>
        <v>6</v>
      </c>
      <c r="C8" s="56">
        <f t="shared" si="4"/>
        <v>43800</v>
      </c>
      <c r="D8" s="57">
        <f t="shared" si="0"/>
        <v>43800</v>
      </c>
      <c r="E8" s="58">
        <v>1</v>
      </c>
      <c r="F8" s="58">
        <v>48</v>
      </c>
      <c r="G8" s="8">
        <v>201912</v>
      </c>
      <c r="H8" s="8" t="s">
        <v>7001</v>
      </c>
      <c r="I8" s="8">
        <v>201912</v>
      </c>
      <c r="J8" s="8" t="s">
        <v>7001</v>
      </c>
      <c r="K8" s="56">
        <f t="shared" si="1"/>
        <v>43794</v>
      </c>
      <c r="L8" s="56">
        <f t="shared" si="2"/>
        <v>43800</v>
      </c>
      <c r="M8" s="59" t="str">
        <f t="shared" si="3"/>
        <v>25/11/19 @ 
01/12/19</v>
      </c>
    </row>
    <row r="9" spans="2:13" ht="24" x14ac:dyDescent="0.25">
      <c r="B9" s="55">
        <f t="shared" si="5"/>
        <v>7</v>
      </c>
      <c r="C9" s="56">
        <f t="shared" si="4"/>
        <v>43801</v>
      </c>
      <c r="D9" s="57">
        <f t="shared" si="0"/>
        <v>43801</v>
      </c>
      <c r="E9" s="58">
        <f>+E2+1</f>
        <v>2</v>
      </c>
      <c r="F9" s="58">
        <f>+F2+1</f>
        <v>49</v>
      </c>
      <c r="G9" s="8">
        <v>201912</v>
      </c>
      <c r="H9" s="8" t="s">
        <v>7001</v>
      </c>
      <c r="I9" s="8">
        <v>201912</v>
      </c>
      <c r="J9" s="8" t="s">
        <v>7001</v>
      </c>
      <c r="K9" s="56">
        <f t="shared" si="1"/>
        <v>43801</v>
      </c>
      <c r="L9" s="56">
        <f t="shared" si="2"/>
        <v>43807</v>
      </c>
      <c r="M9" s="59" t="str">
        <f t="shared" si="3"/>
        <v>02/12/19 @ 
08/12/19</v>
      </c>
    </row>
    <row r="10" spans="2:13" ht="24" x14ac:dyDescent="0.25">
      <c r="B10" s="55">
        <f t="shared" si="5"/>
        <v>8</v>
      </c>
      <c r="C10" s="56">
        <f t="shared" si="4"/>
        <v>43802</v>
      </c>
      <c r="D10" s="57">
        <f t="shared" si="0"/>
        <v>43802</v>
      </c>
      <c r="E10" s="58">
        <f t="shared" ref="E10:F25" si="6">+E3+1</f>
        <v>2</v>
      </c>
      <c r="F10" s="58">
        <f t="shared" si="6"/>
        <v>49</v>
      </c>
      <c r="G10" s="8">
        <v>201912</v>
      </c>
      <c r="H10" s="8" t="s">
        <v>7001</v>
      </c>
      <c r="I10" s="8">
        <v>201912</v>
      </c>
      <c r="J10" s="8" t="s">
        <v>7001</v>
      </c>
      <c r="K10" s="56">
        <f t="shared" si="1"/>
        <v>43801</v>
      </c>
      <c r="L10" s="56">
        <f t="shared" si="2"/>
        <v>43807</v>
      </c>
      <c r="M10" s="59" t="str">
        <f t="shared" si="3"/>
        <v>02/12/19 @ 
08/12/19</v>
      </c>
    </row>
    <row r="11" spans="2:13" ht="24" x14ac:dyDescent="0.25">
      <c r="B11" s="55">
        <f t="shared" si="5"/>
        <v>9</v>
      </c>
      <c r="C11" s="56">
        <f t="shared" si="4"/>
        <v>43803</v>
      </c>
      <c r="D11" s="57">
        <f t="shared" si="0"/>
        <v>43803</v>
      </c>
      <c r="E11" s="58">
        <f t="shared" si="6"/>
        <v>2</v>
      </c>
      <c r="F11" s="58">
        <f t="shared" si="6"/>
        <v>49</v>
      </c>
      <c r="G11" s="8">
        <v>201912</v>
      </c>
      <c r="H11" s="8" t="s">
        <v>7001</v>
      </c>
      <c r="I11" s="8">
        <v>201912</v>
      </c>
      <c r="J11" s="8" t="s">
        <v>7001</v>
      </c>
      <c r="K11" s="56">
        <f t="shared" si="1"/>
        <v>43801</v>
      </c>
      <c r="L11" s="56">
        <f t="shared" si="2"/>
        <v>43807</v>
      </c>
      <c r="M11" s="59" t="str">
        <f t="shared" si="3"/>
        <v>02/12/19 @ 
08/12/19</v>
      </c>
    </row>
    <row r="12" spans="2:13" ht="24" x14ac:dyDescent="0.25">
      <c r="B12" s="55">
        <f t="shared" si="5"/>
        <v>10</v>
      </c>
      <c r="C12" s="56">
        <f t="shared" si="4"/>
        <v>43804</v>
      </c>
      <c r="D12" s="57">
        <f t="shared" si="0"/>
        <v>43804</v>
      </c>
      <c r="E12" s="58">
        <f t="shared" si="6"/>
        <v>2</v>
      </c>
      <c r="F12" s="58">
        <f t="shared" si="6"/>
        <v>49</v>
      </c>
      <c r="G12" s="8">
        <v>201912</v>
      </c>
      <c r="H12" s="8" t="s">
        <v>7001</v>
      </c>
      <c r="I12" s="8">
        <v>201912</v>
      </c>
      <c r="J12" s="8" t="s">
        <v>7001</v>
      </c>
      <c r="K12" s="56">
        <f t="shared" si="1"/>
        <v>43801</v>
      </c>
      <c r="L12" s="56">
        <f t="shared" si="2"/>
        <v>43807</v>
      </c>
      <c r="M12" s="59" t="str">
        <f t="shared" si="3"/>
        <v>02/12/19 @ 
08/12/19</v>
      </c>
    </row>
    <row r="13" spans="2:13" ht="24" x14ac:dyDescent="0.25">
      <c r="B13" s="55">
        <f t="shared" si="5"/>
        <v>11</v>
      </c>
      <c r="C13" s="56">
        <f t="shared" si="4"/>
        <v>43805</v>
      </c>
      <c r="D13" s="57">
        <f t="shared" si="0"/>
        <v>43805</v>
      </c>
      <c r="E13" s="58">
        <f t="shared" si="6"/>
        <v>2</v>
      </c>
      <c r="F13" s="58">
        <f t="shared" si="6"/>
        <v>49</v>
      </c>
      <c r="G13" s="8">
        <v>201912</v>
      </c>
      <c r="H13" s="8" t="s">
        <v>7001</v>
      </c>
      <c r="I13" s="8">
        <v>201912</v>
      </c>
      <c r="J13" s="8" t="s">
        <v>7001</v>
      </c>
      <c r="K13" s="56">
        <f t="shared" si="1"/>
        <v>43801</v>
      </c>
      <c r="L13" s="56">
        <f t="shared" si="2"/>
        <v>43807</v>
      </c>
      <c r="M13" s="59" t="str">
        <f t="shared" si="3"/>
        <v>02/12/19 @ 
08/12/19</v>
      </c>
    </row>
    <row r="14" spans="2:13" ht="24" x14ac:dyDescent="0.25">
      <c r="B14" s="55">
        <f t="shared" si="5"/>
        <v>12</v>
      </c>
      <c r="C14" s="56">
        <f t="shared" si="4"/>
        <v>43806</v>
      </c>
      <c r="D14" s="57">
        <f t="shared" si="0"/>
        <v>43806</v>
      </c>
      <c r="E14" s="58">
        <f t="shared" si="6"/>
        <v>2</v>
      </c>
      <c r="F14" s="58">
        <f t="shared" si="6"/>
        <v>49</v>
      </c>
      <c r="G14" s="8">
        <v>201912</v>
      </c>
      <c r="H14" s="8" t="s">
        <v>7001</v>
      </c>
      <c r="I14" s="8">
        <v>201912</v>
      </c>
      <c r="J14" s="8" t="s">
        <v>7001</v>
      </c>
      <c r="K14" s="56">
        <f t="shared" si="1"/>
        <v>43801</v>
      </c>
      <c r="L14" s="56">
        <f t="shared" si="2"/>
        <v>43807</v>
      </c>
      <c r="M14" s="59" t="str">
        <f t="shared" si="3"/>
        <v>02/12/19 @ 
08/12/19</v>
      </c>
    </row>
    <row r="15" spans="2:13" ht="24" x14ac:dyDescent="0.25">
      <c r="B15" s="55">
        <f t="shared" si="5"/>
        <v>13</v>
      </c>
      <c r="C15" s="56">
        <f t="shared" si="4"/>
        <v>43807</v>
      </c>
      <c r="D15" s="57">
        <f t="shared" si="0"/>
        <v>43807</v>
      </c>
      <c r="E15" s="58">
        <f t="shared" si="6"/>
        <v>2</v>
      </c>
      <c r="F15" s="58">
        <f t="shared" si="6"/>
        <v>49</v>
      </c>
      <c r="G15" s="8">
        <v>201912</v>
      </c>
      <c r="H15" s="8" t="s">
        <v>7001</v>
      </c>
      <c r="I15" s="8">
        <v>201912</v>
      </c>
      <c r="J15" s="8" t="s">
        <v>7001</v>
      </c>
      <c r="K15" s="56">
        <f t="shared" si="1"/>
        <v>43801</v>
      </c>
      <c r="L15" s="56">
        <f t="shared" si="2"/>
        <v>43807</v>
      </c>
      <c r="M15" s="59" t="str">
        <f t="shared" si="3"/>
        <v>02/12/19 @ 
08/12/19</v>
      </c>
    </row>
    <row r="16" spans="2:13" ht="24" x14ac:dyDescent="0.25">
      <c r="B16" s="55">
        <f t="shared" si="5"/>
        <v>14</v>
      </c>
      <c r="C16" s="56">
        <f t="shared" si="4"/>
        <v>43808</v>
      </c>
      <c r="D16" s="57">
        <f t="shared" si="0"/>
        <v>43808</v>
      </c>
      <c r="E16" s="58">
        <f t="shared" si="6"/>
        <v>3</v>
      </c>
      <c r="F16" s="58">
        <f t="shared" si="6"/>
        <v>50</v>
      </c>
      <c r="G16" s="8">
        <v>201912</v>
      </c>
      <c r="H16" s="8" t="s">
        <v>7001</v>
      </c>
      <c r="I16" s="8">
        <v>201912</v>
      </c>
      <c r="J16" s="8" t="s">
        <v>7001</v>
      </c>
      <c r="K16" s="56">
        <f t="shared" si="1"/>
        <v>43808</v>
      </c>
      <c r="L16" s="56">
        <f t="shared" si="2"/>
        <v>43814</v>
      </c>
      <c r="M16" s="59" t="str">
        <f t="shared" si="3"/>
        <v>09/12/19 @ 
15/12/19</v>
      </c>
    </row>
    <row r="17" spans="2:13" ht="24" x14ac:dyDescent="0.25">
      <c r="B17" s="55">
        <f t="shared" si="5"/>
        <v>15</v>
      </c>
      <c r="C17" s="56">
        <f t="shared" si="4"/>
        <v>43809</v>
      </c>
      <c r="D17" s="57">
        <f t="shared" si="0"/>
        <v>43809</v>
      </c>
      <c r="E17" s="58">
        <f t="shared" si="6"/>
        <v>3</v>
      </c>
      <c r="F17" s="58">
        <f t="shared" si="6"/>
        <v>50</v>
      </c>
      <c r="G17" s="8">
        <v>201912</v>
      </c>
      <c r="H17" s="8" t="s">
        <v>7001</v>
      </c>
      <c r="I17" s="8">
        <v>201912</v>
      </c>
      <c r="J17" s="8" t="s">
        <v>7001</v>
      </c>
      <c r="K17" s="56">
        <f t="shared" si="1"/>
        <v>43808</v>
      </c>
      <c r="L17" s="56">
        <f t="shared" si="2"/>
        <v>43814</v>
      </c>
      <c r="M17" s="59" t="str">
        <f t="shared" si="3"/>
        <v>09/12/19 @ 
15/12/19</v>
      </c>
    </row>
    <row r="18" spans="2:13" ht="24" x14ac:dyDescent="0.25">
      <c r="B18" s="55">
        <f t="shared" si="5"/>
        <v>16</v>
      </c>
      <c r="C18" s="56">
        <f t="shared" si="4"/>
        <v>43810</v>
      </c>
      <c r="D18" s="57">
        <f t="shared" si="0"/>
        <v>43810</v>
      </c>
      <c r="E18" s="58">
        <f t="shared" si="6"/>
        <v>3</v>
      </c>
      <c r="F18" s="58">
        <f t="shared" si="6"/>
        <v>50</v>
      </c>
      <c r="G18" s="8">
        <v>201912</v>
      </c>
      <c r="H18" s="8" t="s">
        <v>7001</v>
      </c>
      <c r="I18" s="8">
        <v>201912</v>
      </c>
      <c r="J18" s="8" t="s">
        <v>7001</v>
      </c>
      <c r="K18" s="56">
        <f t="shared" si="1"/>
        <v>43808</v>
      </c>
      <c r="L18" s="56">
        <f t="shared" si="2"/>
        <v>43814</v>
      </c>
      <c r="M18" s="59" t="str">
        <f t="shared" si="3"/>
        <v>09/12/19 @ 
15/12/19</v>
      </c>
    </row>
    <row r="19" spans="2:13" ht="24" x14ac:dyDescent="0.25">
      <c r="B19" s="55">
        <f t="shared" si="5"/>
        <v>17</v>
      </c>
      <c r="C19" s="56">
        <f t="shared" si="4"/>
        <v>43811</v>
      </c>
      <c r="D19" s="57">
        <f t="shared" si="0"/>
        <v>43811</v>
      </c>
      <c r="E19" s="58">
        <f t="shared" si="6"/>
        <v>3</v>
      </c>
      <c r="F19" s="58">
        <f t="shared" si="6"/>
        <v>50</v>
      </c>
      <c r="G19" s="8">
        <v>201912</v>
      </c>
      <c r="H19" s="8" t="s">
        <v>7001</v>
      </c>
      <c r="I19" s="8">
        <v>201912</v>
      </c>
      <c r="J19" s="8" t="s">
        <v>7001</v>
      </c>
      <c r="K19" s="56">
        <f t="shared" si="1"/>
        <v>43808</v>
      </c>
      <c r="L19" s="56">
        <f t="shared" si="2"/>
        <v>43814</v>
      </c>
      <c r="M19" s="59" t="str">
        <f t="shared" si="3"/>
        <v>09/12/19 @ 
15/12/19</v>
      </c>
    </row>
    <row r="20" spans="2:13" ht="24" x14ac:dyDescent="0.25">
      <c r="B20" s="55">
        <f t="shared" si="5"/>
        <v>18</v>
      </c>
      <c r="C20" s="56">
        <f t="shared" si="4"/>
        <v>43812</v>
      </c>
      <c r="D20" s="57">
        <f t="shared" si="0"/>
        <v>43812</v>
      </c>
      <c r="E20" s="58">
        <f t="shared" si="6"/>
        <v>3</v>
      </c>
      <c r="F20" s="58">
        <f t="shared" si="6"/>
        <v>50</v>
      </c>
      <c r="G20" s="8">
        <v>201912</v>
      </c>
      <c r="H20" s="8" t="s">
        <v>7001</v>
      </c>
      <c r="I20" s="8">
        <v>201912</v>
      </c>
      <c r="J20" s="8" t="s">
        <v>7001</v>
      </c>
      <c r="K20" s="56">
        <f t="shared" si="1"/>
        <v>43808</v>
      </c>
      <c r="L20" s="56">
        <f t="shared" si="2"/>
        <v>43814</v>
      </c>
      <c r="M20" s="59" t="str">
        <f t="shared" si="3"/>
        <v>09/12/19 @ 
15/12/19</v>
      </c>
    </row>
    <row r="21" spans="2:13" ht="24" x14ac:dyDescent="0.25">
      <c r="B21" s="55">
        <f t="shared" si="5"/>
        <v>19</v>
      </c>
      <c r="C21" s="56">
        <f t="shared" si="4"/>
        <v>43813</v>
      </c>
      <c r="D21" s="57">
        <f t="shared" si="0"/>
        <v>43813</v>
      </c>
      <c r="E21" s="58">
        <f t="shared" si="6"/>
        <v>3</v>
      </c>
      <c r="F21" s="58">
        <f t="shared" si="6"/>
        <v>50</v>
      </c>
      <c r="G21" s="8">
        <v>201912</v>
      </c>
      <c r="H21" s="8" t="s">
        <v>7001</v>
      </c>
      <c r="I21" s="8">
        <v>201912</v>
      </c>
      <c r="J21" s="8" t="s">
        <v>7001</v>
      </c>
      <c r="K21" s="56">
        <f t="shared" si="1"/>
        <v>43808</v>
      </c>
      <c r="L21" s="56">
        <f t="shared" si="2"/>
        <v>43814</v>
      </c>
      <c r="M21" s="59" t="str">
        <f t="shared" si="3"/>
        <v>09/12/19 @ 
15/12/19</v>
      </c>
    </row>
    <row r="22" spans="2:13" ht="24" x14ac:dyDescent="0.25">
      <c r="B22" s="55">
        <f t="shared" si="5"/>
        <v>20</v>
      </c>
      <c r="C22" s="56">
        <f t="shared" si="4"/>
        <v>43814</v>
      </c>
      <c r="D22" s="57">
        <f t="shared" si="0"/>
        <v>43814</v>
      </c>
      <c r="E22" s="58">
        <f t="shared" si="6"/>
        <v>3</v>
      </c>
      <c r="F22" s="58">
        <f t="shared" si="6"/>
        <v>50</v>
      </c>
      <c r="G22" s="8">
        <v>201912</v>
      </c>
      <c r="H22" s="8" t="s">
        <v>7001</v>
      </c>
      <c r="I22" s="8">
        <v>201912</v>
      </c>
      <c r="J22" s="8" t="s">
        <v>7001</v>
      </c>
      <c r="K22" s="56">
        <f t="shared" si="1"/>
        <v>43808</v>
      </c>
      <c r="L22" s="56">
        <f t="shared" si="2"/>
        <v>43814</v>
      </c>
      <c r="M22" s="59" t="str">
        <f t="shared" si="3"/>
        <v>09/12/19 @ 
15/12/19</v>
      </c>
    </row>
    <row r="23" spans="2:13" ht="24" x14ac:dyDescent="0.25">
      <c r="B23" s="55">
        <f t="shared" si="5"/>
        <v>21</v>
      </c>
      <c r="C23" s="56">
        <f t="shared" si="4"/>
        <v>43815</v>
      </c>
      <c r="D23" s="57">
        <f t="shared" si="0"/>
        <v>43815</v>
      </c>
      <c r="E23" s="58">
        <f t="shared" si="6"/>
        <v>4</v>
      </c>
      <c r="F23" s="58">
        <f t="shared" si="6"/>
        <v>51</v>
      </c>
      <c r="G23" s="8">
        <v>201912</v>
      </c>
      <c r="H23" s="8" t="s">
        <v>7001</v>
      </c>
      <c r="I23" s="8">
        <v>201912</v>
      </c>
      <c r="J23" s="8" t="s">
        <v>7001</v>
      </c>
      <c r="K23" s="56">
        <f t="shared" si="1"/>
        <v>43815</v>
      </c>
      <c r="L23" s="56">
        <f t="shared" si="2"/>
        <v>43821</v>
      </c>
      <c r="M23" s="59" t="str">
        <f t="shared" si="3"/>
        <v>16/12/19 @ 
22/12/19</v>
      </c>
    </row>
    <row r="24" spans="2:13" ht="24" x14ac:dyDescent="0.25">
      <c r="B24" s="55">
        <f t="shared" si="5"/>
        <v>22</v>
      </c>
      <c r="C24" s="56">
        <f t="shared" si="4"/>
        <v>43816</v>
      </c>
      <c r="D24" s="57">
        <f t="shared" si="0"/>
        <v>43816</v>
      </c>
      <c r="E24" s="58">
        <f t="shared" si="6"/>
        <v>4</v>
      </c>
      <c r="F24" s="58">
        <f t="shared" si="6"/>
        <v>51</v>
      </c>
      <c r="G24" s="8">
        <v>201912</v>
      </c>
      <c r="H24" s="8" t="s">
        <v>7001</v>
      </c>
      <c r="I24" s="8">
        <v>201912</v>
      </c>
      <c r="J24" s="8" t="s">
        <v>7001</v>
      </c>
      <c r="K24" s="56">
        <f t="shared" si="1"/>
        <v>43815</v>
      </c>
      <c r="L24" s="56">
        <f t="shared" si="2"/>
        <v>43821</v>
      </c>
      <c r="M24" s="59" t="str">
        <f t="shared" si="3"/>
        <v>16/12/19 @ 
22/12/19</v>
      </c>
    </row>
    <row r="25" spans="2:13" ht="24" x14ac:dyDescent="0.25">
      <c r="B25" s="55">
        <f t="shared" si="5"/>
        <v>23</v>
      </c>
      <c r="C25" s="56">
        <f t="shared" si="4"/>
        <v>43817</v>
      </c>
      <c r="D25" s="57">
        <f t="shared" si="0"/>
        <v>43817</v>
      </c>
      <c r="E25" s="58">
        <f t="shared" si="6"/>
        <v>4</v>
      </c>
      <c r="F25" s="58">
        <f t="shared" si="6"/>
        <v>51</v>
      </c>
      <c r="G25" s="8">
        <v>201912</v>
      </c>
      <c r="H25" s="8" t="s">
        <v>7001</v>
      </c>
      <c r="I25" s="8">
        <v>201912</v>
      </c>
      <c r="J25" s="8" t="s">
        <v>7001</v>
      </c>
      <c r="K25" s="56">
        <f t="shared" si="1"/>
        <v>43815</v>
      </c>
      <c r="L25" s="56">
        <f t="shared" si="2"/>
        <v>43821</v>
      </c>
      <c r="M25" s="59" t="str">
        <f t="shared" si="3"/>
        <v>16/12/19 @ 
22/12/19</v>
      </c>
    </row>
    <row r="26" spans="2:13" ht="24" x14ac:dyDescent="0.25">
      <c r="B26" s="55">
        <f t="shared" si="5"/>
        <v>24</v>
      </c>
      <c r="C26" s="56">
        <f t="shared" si="4"/>
        <v>43818</v>
      </c>
      <c r="D26" s="57">
        <f t="shared" si="0"/>
        <v>43818</v>
      </c>
      <c r="E26" s="58">
        <f t="shared" ref="E26:F41" si="7">+E19+1</f>
        <v>4</v>
      </c>
      <c r="F26" s="58">
        <f t="shared" si="7"/>
        <v>51</v>
      </c>
      <c r="G26" s="8">
        <v>201912</v>
      </c>
      <c r="H26" s="8" t="s">
        <v>7001</v>
      </c>
      <c r="I26" s="8">
        <v>201912</v>
      </c>
      <c r="J26" s="8" t="s">
        <v>7001</v>
      </c>
      <c r="K26" s="56">
        <f t="shared" si="1"/>
        <v>43815</v>
      </c>
      <c r="L26" s="56">
        <f t="shared" si="2"/>
        <v>43821</v>
      </c>
      <c r="M26" s="59" t="str">
        <f t="shared" si="3"/>
        <v>16/12/19 @ 
22/12/19</v>
      </c>
    </row>
    <row r="27" spans="2:13" ht="24" x14ac:dyDescent="0.25">
      <c r="B27" s="55">
        <f t="shared" si="5"/>
        <v>25</v>
      </c>
      <c r="C27" s="56">
        <f t="shared" si="4"/>
        <v>43819</v>
      </c>
      <c r="D27" s="57">
        <f t="shared" si="0"/>
        <v>43819</v>
      </c>
      <c r="E27" s="58">
        <f t="shared" si="7"/>
        <v>4</v>
      </c>
      <c r="F27" s="58">
        <f t="shared" si="7"/>
        <v>51</v>
      </c>
      <c r="G27" s="8">
        <v>201912</v>
      </c>
      <c r="H27" s="8" t="s">
        <v>7001</v>
      </c>
      <c r="I27" s="8">
        <v>201912</v>
      </c>
      <c r="J27" s="8" t="s">
        <v>7001</v>
      </c>
      <c r="K27" s="56">
        <f t="shared" si="1"/>
        <v>43815</v>
      </c>
      <c r="L27" s="56">
        <f t="shared" si="2"/>
        <v>43821</v>
      </c>
      <c r="M27" s="59" t="str">
        <f t="shared" si="3"/>
        <v>16/12/19 @ 
22/12/19</v>
      </c>
    </row>
    <row r="28" spans="2:13" ht="24" x14ac:dyDescent="0.25">
      <c r="B28" s="55">
        <f t="shared" si="5"/>
        <v>26</v>
      </c>
      <c r="C28" s="56">
        <f t="shared" si="4"/>
        <v>43820</v>
      </c>
      <c r="D28" s="57">
        <f t="shared" si="0"/>
        <v>43820</v>
      </c>
      <c r="E28" s="58">
        <f t="shared" si="7"/>
        <v>4</v>
      </c>
      <c r="F28" s="58">
        <f t="shared" si="7"/>
        <v>51</v>
      </c>
      <c r="G28" s="8">
        <v>201912</v>
      </c>
      <c r="H28" s="8" t="s">
        <v>7001</v>
      </c>
      <c r="I28" s="8">
        <v>202001</v>
      </c>
      <c r="J28" s="8" t="s">
        <v>7002</v>
      </c>
      <c r="K28" s="56">
        <f t="shared" si="1"/>
        <v>43815</v>
      </c>
      <c r="L28" s="56">
        <f t="shared" si="2"/>
        <v>43821</v>
      </c>
      <c r="M28" s="59" t="str">
        <f t="shared" si="3"/>
        <v>16/12/19 @ 
22/12/19</v>
      </c>
    </row>
    <row r="29" spans="2:13" ht="24" x14ac:dyDescent="0.25">
      <c r="B29" s="55">
        <f t="shared" si="5"/>
        <v>27</v>
      </c>
      <c r="C29" s="56">
        <f t="shared" si="4"/>
        <v>43821</v>
      </c>
      <c r="D29" s="57">
        <f t="shared" si="0"/>
        <v>43821</v>
      </c>
      <c r="E29" s="58">
        <f t="shared" si="7"/>
        <v>4</v>
      </c>
      <c r="F29" s="58">
        <f t="shared" si="7"/>
        <v>51</v>
      </c>
      <c r="G29" s="8">
        <v>201912</v>
      </c>
      <c r="H29" s="8" t="s">
        <v>7001</v>
      </c>
      <c r="I29" s="8">
        <v>202001</v>
      </c>
      <c r="J29" s="8" t="s">
        <v>7002</v>
      </c>
      <c r="K29" s="56">
        <f t="shared" si="1"/>
        <v>43815</v>
      </c>
      <c r="L29" s="56">
        <f t="shared" si="2"/>
        <v>43821</v>
      </c>
      <c r="M29" s="59" t="str">
        <f t="shared" si="3"/>
        <v>16/12/19 @ 
22/12/19</v>
      </c>
    </row>
    <row r="30" spans="2:13" ht="24" x14ac:dyDescent="0.25">
      <c r="B30" s="55">
        <f t="shared" si="5"/>
        <v>28</v>
      </c>
      <c r="C30" s="56">
        <f t="shared" si="4"/>
        <v>43822</v>
      </c>
      <c r="D30" s="57">
        <f t="shared" si="0"/>
        <v>43822</v>
      </c>
      <c r="E30" s="58">
        <f t="shared" si="7"/>
        <v>5</v>
      </c>
      <c r="F30" s="58">
        <f t="shared" si="7"/>
        <v>52</v>
      </c>
      <c r="G30" s="8">
        <v>201912</v>
      </c>
      <c r="H30" s="8" t="s">
        <v>7001</v>
      </c>
      <c r="I30" s="8">
        <v>202001</v>
      </c>
      <c r="J30" s="8" t="s">
        <v>7002</v>
      </c>
      <c r="K30" s="56">
        <f t="shared" si="1"/>
        <v>43822</v>
      </c>
      <c r="L30" s="56">
        <f t="shared" si="2"/>
        <v>43828</v>
      </c>
      <c r="M30" s="59" t="str">
        <f t="shared" si="3"/>
        <v>23/12/19 @ 
29/12/19</v>
      </c>
    </row>
    <row r="31" spans="2:13" ht="24" x14ac:dyDescent="0.25">
      <c r="B31" s="55">
        <f t="shared" si="5"/>
        <v>29</v>
      </c>
      <c r="C31" s="56">
        <f t="shared" si="4"/>
        <v>43823</v>
      </c>
      <c r="D31" s="57">
        <f t="shared" si="0"/>
        <v>43823</v>
      </c>
      <c r="E31" s="58">
        <f t="shared" si="7"/>
        <v>5</v>
      </c>
      <c r="F31" s="58">
        <f t="shared" si="7"/>
        <v>52</v>
      </c>
      <c r="G31" s="8">
        <v>201912</v>
      </c>
      <c r="H31" s="8" t="s">
        <v>7001</v>
      </c>
      <c r="I31" s="8">
        <v>202001</v>
      </c>
      <c r="J31" s="8" t="s">
        <v>7002</v>
      </c>
      <c r="K31" s="56">
        <f t="shared" si="1"/>
        <v>43822</v>
      </c>
      <c r="L31" s="56">
        <f t="shared" si="2"/>
        <v>43828</v>
      </c>
      <c r="M31" s="59" t="str">
        <f t="shared" si="3"/>
        <v>23/12/19 @ 
29/12/19</v>
      </c>
    </row>
    <row r="32" spans="2:13" ht="24" x14ac:dyDescent="0.25">
      <c r="B32" s="55">
        <f t="shared" si="5"/>
        <v>30</v>
      </c>
      <c r="C32" s="56">
        <f t="shared" si="4"/>
        <v>43824</v>
      </c>
      <c r="D32" s="57">
        <f t="shared" si="0"/>
        <v>43824</v>
      </c>
      <c r="E32" s="58">
        <f t="shared" si="7"/>
        <v>5</v>
      </c>
      <c r="F32" s="58">
        <f t="shared" si="7"/>
        <v>52</v>
      </c>
      <c r="G32" s="8">
        <v>201912</v>
      </c>
      <c r="H32" s="8" t="s">
        <v>7001</v>
      </c>
      <c r="I32" s="8">
        <v>202001</v>
      </c>
      <c r="J32" s="8" t="s">
        <v>7002</v>
      </c>
      <c r="K32" s="56">
        <f t="shared" si="1"/>
        <v>43822</v>
      </c>
      <c r="L32" s="56">
        <f t="shared" si="2"/>
        <v>43828</v>
      </c>
      <c r="M32" s="59" t="str">
        <f t="shared" si="3"/>
        <v>23/12/19 @ 
29/12/19</v>
      </c>
    </row>
    <row r="33" spans="2:13" ht="24" x14ac:dyDescent="0.25">
      <c r="B33" s="55">
        <f t="shared" si="5"/>
        <v>31</v>
      </c>
      <c r="C33" s="56">
        <f t="shared" si="4"/>
        <v>43825</v>
      </c>
      <c r="D33" s="57">
        <f t="shared" si="0"/>
        <v>43825</v>
      </c>
      <c r="E33" s="58">
        <f t="shared" si="7"/>
        <v>5</v>
      </c>
      <c r="F33" s="58">
        <f t="shared" si="7"/>
        <v>52</v>
      </c>
      <c r="G33" s="8">
        <v>201912</v>
      </c>
      <c r="H33" s="8" t="s">
        <v>7001</v>
      </c>
      <c r="I33" s="8">
        <v>202001</v>
      </c>
      <c r="J33" s="8" t="s">
        <v>7002</v>
      </c>
      <c r="K33" s="56">
        <f t="shared" si="1"/>
        <v>43822</v>
      </c>
      <c r="L33" s="56">
        <f t="shared" si="2"/>
        <v>43828</v>
      </c>
      <c r="M33" s="59" t="str">
        <f t="shared" si="3"/>
        <v>23/12/19 @ 
29/12/19</v>
      </c>
    </row>
    <row r="34" spans="2:13" ht="24" x14ac:dyDescent="0.25">
      <c r="B34" s="55">
        <f t="shared" si="5"/>
        <v>32</v>
      </c>
      <c r="C34" s="56">
        <f t="shared" si="4"/>
        <v>43826</v>
      </c>
      <c r="D34" s="57">
        <f t="shared" si="0"/>
        <v>43826</v>
      </c>
      <c r="E34" s="58">
        <f t="shared" si="7"/>
        <v>5</v>
      </c>
      <c r="F34" s="58">
        <f t="shared" si="7"/>
        <v>52</v>
      </c>
      <c r="G34" s="8">
        <v>201912</v>
      </c>
      <c r="H34" s="8" t="s">
        <v>7001</v>
      </c>
      <c r="I34" s="8">
        <v>202001</v>
      </c>
      <c r="J34" s="8" t="s">
        <v>7002</v>
      </c>
      <c r="K34" s="56">
        <f t="shared" si="1"/>
        <v>43822</v>
      </c>
      <c r="L34" s="56">
        <f t="shared" si="2"/>
        <v>43828</v>
      </c>
      <c r="M34" s="59" t="str">
        <f t="shared" si="3"/>
        <v>23/12/19 @ 
29/12/19</v>
      </c>
    </row>
    <row r="35" spans="2:13" ht="24" x14ac:dyDescent="0.25">
      <c r="B35" s="55">
        <f t="shared" si="5"/>
        <v>33</v>
      </c>
      <c r="C35" s="56">
        <f t="shared" si="4"/>
        <v>43827</v>
      </c>
      <c r="D35" s="57">
        <f t="shared" si="0"/>
        <v>43827</v>
      </c>
      <c r="E35" s="58">
        <f t="shared" si="7"/>
        <v>5</v>
      </c>
      <c r="F35" s="58">
        <f t="shared" si="7"/>
        <v>52</v>
      </c>
      <c r="G35" s="8">
        <v>201912</v>
      </c>
      <c r="H35" s="8" t="s">
        <v>7001</v>
      </c>
      <c r="I35" s="8">
        <v>202001</v>
      </c>
      <c r="J35" s="8" t="s">
        <v>7002</v>
      </c>
      <c r="K35" s="56">
        <f t="shared" si="1"/>
        <v>43822</v>
      </c>
      <c r="L35" s="56">
        <f t="shared" si="2"/>
        <v>43828</v>
      </c>
      <c r="M35" s="59" t="str">
        <f t="shared" si="3"/>
        <v>23/12/19 @ 
29/12/19</v>
      </c>
    </row>
    <row r="36" spans="2:13" ht="24" x14ac:dyDescent="0.25">
      <c r="B36" s="55">
        <f t="shared" si="5"/>
        <v>34</v>
      </c>
      <c r="C36" s="56">
        <f t="shared" si="4"/>
        <v>43828</v>
      </c>
      <c r="D36" s="57">
        <f t="shared" si="0"/>
        <v>43828</v>
      </c>
      <c r="E36" s="58">
        <f t="shared" si="7"/>
        <v>5</v>
      </c>
      <c r="F36" s="58">
        <f t="shared" si="7"/>
        <v>52</v>
      </c>
      <c r="G36" s="8">
        <v>201912</v>
      </c>
      <c r="H36" s="8" t="s">
        <v>7001</v>
      </c>
      <c r="I36" s="8">
        <v>202001</v>
      </c>
      <c r="J36" s="8" t="s">
        <v>7002</v>
      </c>
      <c r="K36" s="56">
        <f t="shared" si="1"/>
        <v>43822</v>
      </c>
      <c r="L36" s="56">
        <f t="shared" si="2"/>
        <v>43828</v>
      </c>
      <c r="M36" s="59" t="str">
        <f t="shared" si="3"/>
        <v>23/12/19 @ 
29/12/19</v>
      </c>
    </row>
    <row r="37" spans="2:13" ht="24" x14ac:dyDescent="0.25">
      <c r="B37" s="55">
        <f t="shared" si="5"/>
        <v>35</v>
      </c>
      <c r="C37" s="56">
        <f t="shared" si="4"/>
        <v>43829</v>
      </c>
      <c r="D37" s="57">
        <f t="shared" si="0"/>
        <v>43829</v>
      </c>
      <c r="E37" s="58">
        <f t="shared" si="7"/>
        <v>6</v>
      </c>
      <c r="F37" s="58">
        <v>1</v>
      </c>
      <c r="G37" s="8">
        <v>202001</v>
      </c>
      <c r="H37" s="8" t="s">
        <v>7002</v>
      </c>
      <c r="I37" s="8">
        <v>202001</v>
      </c>
      <c r="J37" s="8" t="s">
        <v>7002</v>
      </c>
      <c r="K37" s="56">
        <f t="shared" si="1"/>
        <v>43829</v>
      </c>
      <c r="L37" s="56">
        <f t="shared" si="2"/>
        <v>43835</v>
      </c>
      <c r="M37" s="59" t="str">
        <f t="shared" si="3"/>
        <v>30/12/19 @ 
05/01/20</v>
      </c>
    </row>
    <row r="38" spans="2:13" ht="24" x14ac:dyDescent="0.25">
      <c r="B38" s="55">
        <f t="shared" si="5"/>
        <v>36</v>
      </c>
      <c r="C38" s="56">
        <f t="shared" si="4"/>
        <v>43830</v>
      </c>
      <c r="D38" s="57">
        <f t="shared" si="0"/>
        <v>43830</v>
      </c>
      <c r="E38" s="58">
        <f t="shared" si="7"/>
        <v>6</v>
      </c>
      <c r="F38" s="58">
        <v>1</v>
      </c>
      <c r="G38" s="8">
        <v>202001</v>
      </c>
      <c r="H38" s="8" t="s">
        <v>7002</v>
      </c>
      <c r="I38" s="8">
        <v>202001</v>
      </c>
      <c r="J38" s="8" t="s">
        <v>7002</v>
      </c>
      <c r="K38" s="56">
        <f t="shared" si="1"/>
        <v>43829</v>
      </c>
      <c r="L38" s="56">
        <f t="shared" si="2"/>
        <v>43835</v>
      </c>
      <c r="M38" s="59" t="str">
        <f t="shared" si="3"/>
        <v>30/12/19 @ 
05/01/20</v>
      </c>
    </row>
    <row r="39" spans="2:13" ht="24" x14ac:dyDescent="0.25">
      <c r="B39" s="55">
        <f t="shared" si="5"/>
        <v>37</v>
      </c>
      <c r="C39" s="56">
        <f t="shared" si="4"/>
        <v>43831</v>
      </c>
      <c r="D39" s="57">
        <f t="shared" si="0"/>
        <v>43831</v>
      </c>
      <c r="E39" s="58">
        <f t="shared" si="7"/>
        <v>6</v>
      </c>
      <c r="F39" s="58">
        <v>1</v>
      </c>
      <c r="G39" s="8">
        <v>202001</v>
      </c>
      <c r="H39" s="8" t="s">
        <v>7002</v>
      </c>
      <c r="I39" s="8">
        <v>202001</v>
      </c>
      <c r="J39" s="8" t="s">
        <v>7002</v>
      </c>
      <c r="K39" s="56">
        <f t="shared" si="1"/>
        <v>43829</v>
      </c>
      <c r="L39" s="56">
        <f t="shared" si="2"/>
        <v>43835</v>
      </c>
      <c r="M39" s="59" t="str">
        <f t="shared" si="3"/>
        <v>30/12/19 @ 
05/01/20</v>
      </c>
    </row>
    <row r="40" spans="2:13" ht="24" x14ac:dyDescent="0.25">
      <c r="B40" s="55">
        <f t="shared" si="5"/>
        <v>38</v>
      </c>
      <c r="C40" s="56">
        <f t="shared" si="4"/>
        <v>43832</v>
      </c>
      <c r="D40" s="57">
        <f t="shared" si="0"/>
        <v>43832</v>
      </c>
      <c r="E40" s="58">
        <f t="shared" si="7"/>
        <v>6</v>
      </c>
      <c r="F40" s="58">
        <v>1</v>
      </c>
      <c r="G40" s="8">
        <v>202001</v>
      </c>
      <c r="H40" s="8" t="s">
        <v>7002</v>
      </c>
      <c r="I40" s="8">
        <v>202001</v>
      </c>
      <c r="J40" s="8" t="s">
        <v>7002</v>
      </c>
      <c r="K40" s="56">
        <f t="shared" si="1"/>
        <v>43829</v>
      </c>
      <c r="L40" s="56">
        <f t="shared" si="2"/>
        <v>43835</v>
      </c>
      <c r="M40" s="59" t="str">
        <f t="shared" si="3"/>
        <v>30/12/19 @ 
05/01/20</v>
      </c>
    </row>
    <row r="41" spans="2:13" ht="24" x14ac:dyDescent="0.25">
      <c r="B41" s="55">
        <f t="shared" si="5"/>
        <v>39</v>
      </c>
      <c r="C41" s="56">
        <f t="shared" si="4"/>
        <v>43833</v>
      </c>
      <c r="D41" s="57">
        <f t="shared" si="0"/>
        <v>43833</v>
      </c>
      <c r="E41" s="58">
        <f t="shared" si="7"/>
        <v>6</v>
      </c>
      <c r="F41" s="58">
        <v>1</v>
      </c>
      <c r="G41" s="8">
        <v>202001</v>
      </c>
      <c r="H41" s="8" t="s">
        <v>7002</v>
      </c>
      <c r="I41" s="8">
        <v>202001</v>
      </c>
      <c r="J41" s="8" t="s">
        <v>7002</v>
      </c>
      <c r="K41" s="56">
        <f t="shared" si="1"/>
        <v>43829</v>
      </c>
      <c r="L41" s="56">
        <f t="shared" si="2"/>
        <v>43835</v>
      </c>
      <c r="M41" s="59" t="str">
        <f t="shared" si="3"/>
        <v>30/12/19 @ 
05/01/20</v>
      </c>
    </row>
    <row r="42" spans="2:13" ht="24" x14ac:dyDescent="0.25">
      <c r="B42" s="55">
        <f t="shared" si="5"/>
        <v>40</v>
      </c>
      <c r="C42" s="56">
        <f t="shared" si="4"/>
        <v>43834</v>
      </c>
      <c r="D42" s="57">
        <f t="shared" si="0"/>
        <v>43834</v>
      </c>
      <c r="E42" s="58">
        <f t="shared" ref="E42:F57" si="8">+E35+1</f>
        <v>6</v>
      </c>
      <c r="F42" s="58">
        <v>1</v>
      </c>
      <c r="G42" s="8">
        <v>202001</v>
      </c>
      <c r="H42" s="8" t="s">
        <v>7002</v>
      </c>
      <c r="I42" s="8">
        <v>202001</v>
      </c>
      <c r="J42" s="8" t="s">
        <v>7002</v>
      </c>
      <c r="K42" s="56">
        <f t="shared" si="1"/>
        <v>43829</v>
      </c>
      <c r="L42" s="56">
        <f t="shared" si="2"/>
        <v>43835</v>
      </c>
      <c r="M42" s="59" t="str">
        <f t="shared" si="3"/>
        <v>30/12/19 @ 
05/01/20</v>
      </c>
    </row>
    <row r="43" spans="2:13" ht="24" x14ac:dyDescent="0.25">
      <c r="B43" s="55">
        <f t="shared" si="5"/>
        <v>41</v>
      </c>
      <c r="C43" s="56">
        <f t="shared" si="4"/>
        <v>43835</v>
      </c>
      <c r="D43" s="57">
        <f t="shared" si="0"/>
        <v>43835</v>
      </c>
      <c r="E43" s="58">
        <f t="shared" si="8"/>
        <v>6</v>
      </c>
      <c r="F43" s="58">
        <v>1</v>
      </c>
      <c r="G43" s="8">
        <v>202001</v>
      </c>
      <c r="H43" s="8" t="s">
        <v>7002</v>
      </c>
      <c r="I43" s="8">
        <v>202001</v>
      </c>
      <c r="J43" s="8" t="s">
        <v>7002</v>
      </c>
      <c r="K43" s="56">
        <f t="shared" si="1"/>
        <v>43829</v>
      </c>
      <c r="L43" s="56">
        <f t="shared" si="2"/>
        <v>43835</v>
      </c>
      <c r="M43" s="59" t="str">
        <f t="shared" si="3"/>
        <v>30/12/19 @ 
05/01/20</v>
      </c>
    </row>
    <row r="44" spans="2:13" ht="24" x14ac:dyDescent="0.25">
      <c r="B44" s="55">
        <f t="shared" si="5"/>
        <v>42</v>
      </c>
      <c r="C44" s="56">
        <f t="shared" si="4"/>
        <v>43836</v>
      </c>
      <c r="D44" s="57">
        <f t="shared" si="0"/>
        <v>43836</v>
      </c>
      <c r="E44" s="58">
        <f t="shared" si="8"/>
        <v>7</v>
      </c>
      <c r="F44" s="58">
        <f>+F37+1</f>
        <v>2</v>
      </c>
      <c r="G44" s="8">
        <v>202001</v>
      </c>
      <c r="H44" s="8" t="s">
        <v>7002</v>
      </c>
      <c r="I44" s="8">
        <v>202001</v>
      </c>
      <c r="J44" s="8" t="s">
        <v>7002</v>
      </c>
      <c r="K44" s="56">
        <f t="shared" si="1"/>
        <v>43836</v>
      </c>
      <c r="L44" s="56">
        <f t="shared" si="2"/>
        <v>43842</v>
      </c>
      <c r="M44" s="59" t="str">
        <f t="shared" si="3"/>
        <v>06/01/20 @ 
12/01/20</v>
      </c>
    </row>
    <row r="45" spans="2:13" ht="24" x14ac:dyDescent="0.25">
      <c r="B45" s="55">
        <f t="shared" si="5"/>
        <v>43</v>
      </c>
      <c r="C45" s="56">
        <f t="shared" si="4"/>
        <v>43837</v>
      </c>
      <c r="D45" s="57">
        <f t="shared" si="0"/>
        <v>43837</v>
      </c>
      <c r="E45" s="58">
        <f t="shared" si="8"/>
        <v>7</v>
      </c>
      <c r="F45" s="58">
        <f t="shared" si="8"/>
        <v>2</v>
      </c>
      <c r="G45" s="8">
        <v>202001</v>
      </c>
      <c r="H45" s="8" t="s">
        <v>7002</v>
      </c>
      <c r="I45" s="8">
        <v>202001</v>
      </c>
      <c r="J45" s="8" t="s">
        <v>7002</v>
      </c>
      <c r="K45" s="56">
        <f t="shared" si="1"/>
        <v>43836</v>
      </c>
      <c r="L45" s="56">
        <f t="shared" si="2"/>
        <v>43842</v>
      </c>
      <c r="M45" s="59" t="str">
        <f t="shared" si="3"/>
        <v>06/01/20 @ 
12/01/20</v>
      </c>
    </row>
    <row r="46" spans="2:13" ht="24" x14ac:dyDescent="0.25">
      <c r="B46" s="55">
        <f t="shared" si="5"/>
        <v>44</v>
      </c>
      <c r="C46" s="56">
        <f t="shared" si="4"/>
        <v>43838</v>
      </c>
      <c r="D46" s="57">
        <f t="shared" si="0"/>
        <v>43838</v>
      </c>
      <c r="E46" s="58">
        <f t="shared" si="8"/>
        <v>7</v>
      </c>
      <c r="F46" s="58">
        <f t="shared" si="8"/>
        <v>2</v>
      </c>
      <c r="G46" s="8">
        <v>202001</v>
      </c>
      <c r="H46" s="8" t="s">
        <v>7002</v>
      </c>
      <c r="I46" s="8">
        <v>202001</v>
      </c>
      <c r="J46" s="8" t="s">
        <v>7002</v>
      </c>
      <c r="K46" s="56">
        <f t="shared" si="1"/>
        <v>43836</v>
      </c>
      <c r="L46" s="56">
        <f t="shared" si="2"/>
        <v>43842</v>
      </c>
      <c r="M46" s="59" t="str">
        <f t="shared" si="3"/>
        <v>06/01/20 @ 
12/01/20</v>
      </c>
    </row>
    <row r="47" spans="2:13" ht="24" x14ac:dyDescent="0.25">
      <c r="B47" s="55">
        <f t="shared" si="5"/>
        <v>45</v>
      </c>
      <c r="C47" s="56">
        <f t="shared" si="4"/>
        <v>43839</v>
      </c>
      <c r="D47" s="57">
        <f t="shared" si="0"/>
        <v>43839</v>
      </c>
      <c r="E47" s="58">
        <f t="shared" si="8"/>
        <v>7</v>
      </c>
      <c r="F47" s="58">
        <f t="shared" si="8"/>
        <v>2</v>
      </c>
      <c r="G47" s="8">
        <v>202001</v>
      </c>
      <c r="H47" s="8" t="s">
        <v>7002</v>
      </c>
      <c r="I47" s="8">
        <v>202001</v>
      </c>
      <c r="J47" s="8" t="s">
        <v>7002</v>
      </c>
      <c r="K47" s="56">
        <f t="shared" si="1"/>
        <v>43836</v>
      </c>
      <c r="L47" s="56">
        <f t="shared" si="2"/>
        <v>43842</v>
      </c>
      <c r="M47" s="59" t="str">
        <f t="shared" si="3"/>
        <v>06/01/20 @ 
12/01/20</v>
      </c>
    </row>
    <row r="48" spans="2:13" ht="24" x14ac:dyDescent="0.25">
      <c r="B48" s="55">
        <f t="shared" si="5"/>
        <v>46</v>
      </c>
      <c r="C48" s="56">
        <f t="shared" si="4"/>
        <v>43840</v>
      </c>
      <c r="D48" s="57">
        <f t="shared" si="0"/>
        <v>43840</v>
      </c>
      <c r="E48" s="58">
        <f t="shared" si="8"/>
        <v>7</v>
      </c>
      <c r="F48" s="58">
        <f t="shared" si="8"/>
        <v>2</v>
      </c>
      <c r="G48" s="8">
        <v>202001</v>
      </c>
      <c r="H48" s="8" t="s">
        <v>7002</v>
      </c>
      <c r="I48" s="8">
        <v>202001</v>
      </c>
      <c r="J48" s="8" t="s">
        <v>7002</v>
      </c>
      <c r="K48" s="56">
        <f t="shared" si="1"/>
        <v>43836</v>
      </c>
      <c r="L48" s="56">
        <f t="shared" si="2"/>
        <v>43842</v>
      </c>
      <c r="M48" s="59" t="str">
        <f t="shared" si="3"/>
        <v>06/01/20 @ 
12/01/20</v>
      </c>
    </row>
    <row r="49" spans="2:13" ht="24" x14ac:dyDescent="0.25">
      <c r="B49" s="55">
        <f t="shared" si="5"/>
        <v>47</v>
      </c>
      <c r="C49" s="56">
        <f t="shared" si="4"/>
        <v>43841</v>
      </c>
      <c r="D49" s="57">
        <f t="shared" si="0"/>
        <v>43841</v>
      </c>
      <c r="E49" s="58">
        <f t="shared" si="8"/>
        <v>7</v>
      </c>
      <c r="F49" s="58">
        <f t="shared" si="8"/>
        <v>2</v>
      </c>
      <c r="G49" s="8">
        <v>202001</v>
      </c>
      <c r="H49" s="8" t="s">
        <v>7002</v>
      </c>
      <c r="I49" s="8">
        <v>202001</v>
      </c>
      <c r="J49" s="8" t="s">
        <v>7002</v>
      </c>
      <c r="K49" s="56">
        <f t="shared" si="1"/>
        <v>43836</v>
      </c>
      <c r="L49" s="56">
        <f t="shared" si="2"/>
        <v>43842</v>
      </c>
      <c r="M49" s="59" t="str">
        <f t="shared" si="3"/>
        <v>06/01/20 @ 
12/01/20</v>
      </c>
    </row>
    <row r="50" spans="2:13" ht="24" x14ac:dyDescent="0.25">
      <c r="B50" s="55">
        <f t="shared" si="5"/>
        <v>48</v>
      </c>
      <c r="C50" s="56">
        <f t="shared" si="4"/>
        <v>43842</v>
      </c>
      <c r="D50" s="57">
        <f t="shared" si="0"/>
        <v>43842</v>
      </c>
      <c r="E50" s="58">
        <f t="shared" si="8"/>
        <v>7</v>
      </c>
      <c r="F50" s="58">
        <f t="shared" si="8"/>
        <v>2</v>
      </c>
      <c r="G50" s="8">
        <v>202001</v>
      </c>
      <c r="H50" s="8" t="s">
        <v>7002</v>
      </c>
      <c r="I50" s="8">
        <v>202001</v>
      </c>
      <c r="J50" s="8" t="s">
        <v>7002</v>
      </c>
      <c r="K50" s="56">
        <f t="shared" si="1"/>
        <v>43836</v>
      </c>
      <c r="L50" s="56">
        <f t="shared" si="2"/>
        <v>43842</v>
      </c>
      <c r="M50" s="59" t="str">
        <f t="shared" si="3"/>
        <v>06/01/20 @ 
12/01/20</v>
      </c>
    </row>
    <row r="51" spans="2:13" ht="24" x14ac:dyDescent="0.25">
      <c r="B51" s="55">
        <f t="shared" si="5"/>
        <v>49</v>
      </c>
      <c r="C51" s="56">
        <f t="shared" si="4"/>
        <v>43843</v>
      </c>
      <c r="D51" s="57">
        <f t="shared" si="0"/>
        <v>43843</v>
      </c>
      <c r="E51" s="58">
        <f t="shared" si="8"/>
        <v>8</v>
      </c>
      <c r="F51" s="58">
        <f t="shared" si="8"/>
        <v>3</v>
      </c>
      <c r="G51" s="8">
        <v>202001</v>
      </c>
      <c r="H51" s="8" t="s">
        <v>7002</v>
      </c>
      <c r="I51" s="8">
        <v>202001</v>
      </c>
      <c r="J51" s="8" t="s">
        <v>7002</v>
      </c>
      <c r="K51" s="56">
        <f t="shared" si="1"/>
        <v>43843</v>
      </c>
      <c r="L51" s="56">
        <f t="shared" si="2"/>
        <v>43849</v>
      </c>
      <c r="M51" s="59" t="str">
        <f t="shared" si="3"/>
        <v>13/01/20 @ 
19/01/20</v>
      </c>
    </row>
    <row r="52" spans="2:13" ht="24" x14ac:dyDescent="0.25">
      <c r="B52" s="55">
        <f t="shared" si="5"/>
        <v>50</v>
      </c>
      <c r="C52" s="56">
        <f t="shared" si="4"/>
        <v>43844</v>
      </c>
      <c r="D52" s="57">
        <f t="shared" si="0"/>
        <v>43844</v>
      </c>
      <c r="E52" s="58">
        <f t="shared" si="8"/>
        <v>8</v>
      </c>
      <c r="F52" s="58">
        <f t="shared" si="8"/>
        <v>3</v>
      </c>
      <c r="G52" s="8">
        <v>202001</v>
      </c>
      <c r="H52" s="8" t="s">
        <v>7002</v>
      </c>
      <c r="I52" s="8">
        <v>202001</v>
      </c>
      <c r="J52" s="8" t="s">
        <v>7002</v>
      </c>
      <c r="K52" s="56">
        <f t="shared" si="1"/>
        <v>43843</v>
      </c>
      <c r="L52" s="56">
        <f t="shared" si="2"/>
        <v>43849</v>
      </c>
      <c r="M52" s="59" t="str">
        <f t="shared" si="3"/>
        <v>13/01/20 @ 
19/01/20</v>
      </c>
    </row>
    <row r="53" spans="2:13" ht="24" x14ac:dyDescent="0.25">
      <c r="B53" s="55">
        <f t="shared" si="5"/>
        <v>51</v>
      </c>
      <c r="C53" s="56">
        <f t="shared" si="4"/>
        <v>43845</v>
      </c>
      <c r="D53" s="57">
        <f t="shared" si="0"/>
        <v>43845</v>
      </c>
      <c r="E53" s="58">
        <f t="shared" si="8"/>
        <v>8</v>
      </c>
      <c r="F53" s="58">
        <f t="shared" si="8"/>
        <v>3</v>
      </c>
      <c r="G53" s="8">
        <v>202001</v>
      </c>
      <c r="H53" s="8" t="s">
        <v>7002</v>
      </c>
      <c r="I53" s="8">
        <v>202001</v>
      </c>
      <c r="J53" s="8" t="s">
        <v>7002</v>
      </c>
      <c r="K53" s="56">
        <f t="shared" si="1"/>
        <v>43843</v>
      </c>
      <c r="L53" s="56">
        <f t="shared" si="2"/>
        <v>43849</v>
      </c>
      <c r="M53" s="59" t="str">
        <f t="shared" si="3"/>
        <v>13/01/20 @ 
19/01/20</v>
      </c>
    </row>
    <row r="54" spans="2:13" ht="24" x14ac:dyDescent="0.25">
      <c r="B54" s="55">
        <f t="shared" si="5"/>
        <v>52</v>
      </c>
      <c r="C54" s="56">
        <f t="shared" si="4"/>
        <v>43846</v>
      </c>
      <c r="D54" s="57">
        <f t="shared" si="0"/>
        <v>43846</v>
      </c>
      <c r="E54" s="58">
        <f t="shared" si="8"/>
        <v>8</v>
      </c>
      <c r="F54" s="58">
        <f t="shared" si="8"/>
        <v>3</v>
      </c>
      <c r="G54" s="8">
        <v>202001</v>
      </c>
      <c r="H54" s="8" t="s">
        <v>7002</v>
      </c>
      <c r="I54" s="8">
        <v>202001</v>
      </c>
      <c r="J54" s="8" t="s">
        <v>7002</v>
      </c>
      <c r="K54" s="56">
        <f t="shared" si="1"/>
        <v>43843</v>
      </c>
      <c r="L54" s="56">
        <f t="shared" si="2"/>
        <v>43849</v>
      </c>
      <c r="M54" s="59" t="str">
        <f t="shared" si="3"/>
        <v>13/01/20 @ 
19/01/20</v>
      </c>
    </row>
    <row r="55" spans="2:13" ht="24" x14ac:dyDescent="0.25">
      <c r="B55" s="55">
        <f t="shared" si="5"/>
        <v>53</v>
      </c>
      <c r="C55" s="56">
        <f t="shared" si="4"/>
        <v>43847</v>
      </c>
      <c r="D55" s="57">
        <f t="shared" si="0"/>
        <v>43847</v>
      </c>
      <c r="E55" s="58">
        <f t="shared" si="8"/>
        <v>8</v>
      </c>
      <c r="F55" s="58">
        <f t="shared" si="8"/>
        <v>3</v>
      </c>
      <c r="G55" s="8">
        <v>202001</v>
      </c>
      <c r="H55" s="8" t="s">
        <v>7002</v>
      </c>
      <c r="I55" s="8">
        <v>202001</v>
      </c>
      <c r="J55" s="8" t="s">
        <v>7002</v>
      </c>
      <c r="K55" s="56">
        <f t="shared" si="1"/>
        <v>43843</v>
      </c>
      <c r="L55" s="56">
        <f t="shared" si="2"/>
        <v>43849</v>
      </c>
      <c r="M55" s="59" t="str">
        <f t="shared" si="3"/>
        <v>13/01/20 @ 
19/01/20</v>
      </c>
    </row>
    <row r="56" spans="2:13" ht="24" x14ac:dyDescent="0.25">
      <c r="B56" s="55">
        <f t="shared" si="5"/>
        <v>54</v>
      </c>
      <c r="C56" s="56">
        <f t="shared" si="4"/>
        <v>43848</v>
      </c>
      <c r="D56" s="57">
        <f t="shared" si="0"/>
        <v>43848</v>
      </c>
      <c r="E56" s="58">
        <f t="shared" si="8"/>
        <v>8</v>
      </c>
      <c r="F56" s="58">
        <f t="shared" si="8"/>
        <v>3</v>
      </c>
      <c r="G56" s="8">
        <v>202001</v>
      </c>
      <c r="H56" s="8" t="s">
        <v>7002</v>
      </c>
      <c r="I56" s="8">
        <v>202001</v>
      </c>
      <c r="J56" s="8" t="s">
        <v>7002</v>
      </c>
      <c r="K56" s="56">
        <f t="shared" si="1"/>
        <v>43843</v>
      </c>
      <c r="L56" s="56">
        <f t="shared" si="2"/>
        <v>43849</v>
      </c>
      <c r="M56" s="59" t="str">
        <f t="shared" si="3"/>
        <v>13/01/20 @ 
19/01/20</v>
      </c>
    </row>
    <row r="57" spans="2:13" ht="24" x14ac:dyDescent="0.25">
      <c r="B57" s="55">
        <f t="shared" si="5"/>
        <v>55</v>
      </c>
      <c r="C57" s="56">
        <f t="shared" si="4"/>
        <v>43849</v>
      </c>
      <c r="D57" s="57">
        <f t="shared" si="0"/>
        <v>43849</v>
      </c>
      <c r="E57" s="58">
        <f t="shared" si="8"/>
        <v>8</v>
      </c>
      <c r="F57" s="58">
        <f t="shared" si="8"/>
        <v>3</v>
      </c>
      <c r="G57" s="8">
        <v>202001</v>
      </c>
      <c r="H57" s="8" t="s">
        <v>7002</v>
      </c>
      <c r="I57" s="8">
        <v>202001</v>
      </c>
      <c r="J57" s="8" t="s">
        <v>7002</v>
      </c>
      <c r="K57" s="56">
        <f t="shared" si="1"/>
        <v>43843</v>
      </c>
      <c r="L57" s="56">
        <f t="shared" si="2"/>
        <v>43849</v>
      </c>
      <c r="M57" s="59" t="str">
        <f t="shared" si="3"/>
        <v>13/01/20 @ 
19/01/20</v>
      </c>
    </row>
    <row r="58" spans="2:13" ht="24" x14ac:dyDescent="0.25">
      <c r="B58" s="55">
        <f t="shared" si="5"/>
        <v>56</v>
      </c>
      <c r="C58" s="56">
        <f t="shared" si="4"/>
        <v>43850</v>
      </c>
      <c r="D58" s="57">
        <f t="shared" si="0"/>
        <v>43850</v>
      </c>
      <c r="E58" s="58">
        <f t="shared" ref="E58:F73" si="9">+E51+1</f>
        <v>9</v>
      </c>
      <c r="F58" s="58">
        <f t="shared" si="9"/>
        <v>4</v>
      </c>
      <c r="G58" s="8">
        <v>202001</v>
      </c>
      <c r="H58" s="8" t="s">
        <v>7002</v>
      </c>
      <c r="I58" s="8">
        <v>202001</v>
      </c>
      <c r="J58" s="8" t="s">
        <v>7002</v>
      </c>
      <c r="K58" s="56">
        <f t="shared" si="1"/>
        <v>43850</v>
      </c>
      <c r="L58" s="56">
        <f t="shared" si="2"/>
        <v>43856</v>
      </c>
      <c r="M58" s="59" t="str">
        <f t="shared" si="3"/>
        <v>20/01/20 @ 
26/01/20</v>
      </c>
    </row>
    <row r="59" spans="2:13" ht="24" x14ac:dyDescent="0.25">
      <c r="B59" s="55">
        <f t="shared" si="5"/>
        <v>57</v>
      </c>
      <c r="C59" s="56">
        <f t="shared" si="4"/>
        <v>43851</v>
      </c>
      <c r="D59" s="57">
        <f t="shared" si="0"/>
        <v>43851</v>
      </c>
      <c r="E59" s="58">
        <f t="shared" si="9"/>
        <v>9</v>
      </c>
      <c r="F59" s="58">
        <f t="shared" si="9"/>
        <v>4</v>
      </c>
      <c r="G59" s="8">
        <v>202001</v>
      </c>
      <c r="H59" s="8" t="s">
        <v>7002</v>
      </c>
      <c r="I59" s="8">
        <v>202002</v>
      </c>
      <c r="J59" s="8" t="s">
        <v>7003</v>
      </c>
      <c r="K59" s="56">
        <f t="shared" si="1"/>
        <v>43850</v>
      </c>
      <c r="L59" s="56">
        <f t="shared" si="2"/>
        <v>43856</v>
      </c>
      <c r="M59" s="59" t="str">
        <f t="shared" si="3"/>
        <v>20/01/20 @ 
26/01/20</v>
      </c>
    </row>
    <row r="60" spans="2:13" ht="24" x14ac:dyDescent="0.25">
      <c r="B60" s="55">
        <f t="shared" si="5"/>
        <v>58</v>
      </c>
      <c r="C60" s="56">
        <f t="shared" si="4"/>
        <v>43852</v>
      </c>
      <c r="D60" s="57">
        <f t="shared" si="0"/>
        <v>43852</v>
      </c>
      <c r="E60" s="58">
        <f t="shared" si="9"/>
        <v>9</v>
      </c>
      <c r="F60" s="58">
        <f t="shared" si="9"/>
        <v>4</v>
      </c>
      <c r="G60" s="8">
        <v>202001</v>
      </c>
      <c r="H60" s="8" t="s">
        <v>7002</v>
      </c>
      <c r="I60" s="8">
        <v>202002</v>
      </c>
      <c r="J60" s="8" t="s">
        <v>7003</v>
      </c>
      <c r="K60" s="56">
        <f t="shared" si="1"/>
        <v>43850</v>
      </c>
      <c r="L60" s="56">
        <f t="shared" si="2"/>
        <v>43856</v>
      </c>
      <c r="M60" s="59" t="str">
        <f t="shared" si="3"/>
        <v>20/01/20 @ 
26/01/20</v>
      </c>
    </row>
    <row r="61" spans="2:13" ht="24" x14ac:dyDescent="0.25">
      <c r="B61" s="55">
        <f t="shared" si="5"/>
        <v>59</v>
      </c>
      <c r="C61" s="56">
        <f t="shared" si="4"/>
        <v>43853</v>
      </c>
      <c r="D61" s="57">
        <f t="shared" si="0"/>
        <v>43853</v>
      </c>
      <c r="E61" s="58">
        <f t="shared" si="9"/>
        <v>9</v>
      </c>
      <c r="F61" s="58">
        <f t="shared" si="9"/>
        <v>4</v>
      </c>
      <c r="G61" s="8">
        <v>202001</v>
      </c>
      <c r="H61" s="8" t="s">
        <v>7002</v>
      </c>
      <c r="I61" s="8">
        <v>202002</v>
      </c>
      <c r="J61" s="8" t="s">
        <v>7003</v>
      </c>
      <c r="K61" s="56">
        <f t="shared" si="1"/>
        <v>43850</v>
      </c>
      <c r="L61" s="56">
        <f t="shared" si="2"/>
        <v>43856</v>
      </c>
      <c r="M61" s="59" t="str">
        <f t="shared" si="3"/>
        <v>20/01/20 @ 
26/01/20</v>
      </c>
    </row>
    <row r="62" spans="2:13" ht="24" x14ac:dyDescent="0.25">
      <c r="B62" s="55">
        <f t="shared" si="5"/>
        <v>60</v>
      </c>
      <c r="C62" s="56">
        <f t="shared" si="4"/>
        <v>43854</v>
      </c>
      <c r="D62" s="57">
        <f t="shared" si="0"/>
        <v>43854</v>
      </c>
      <c r="E62" s="58">
        <f t="shared" si="9"/>
        <v>9</v>
      </c>
      <c r="F62" s="58">
        <f t="shared" si="9"/>
        <v>4</v>
      </c>
      <c r="G62" s="8">
        <v>202001</v>
      </c>
      <c r="H62" s="8" t="s">
        <v>7002</v>
      </c>
      <c r="I62" s="8">
        <v>202002</v>
      </c>
      <c r="J62" s="8" t="s">
        <v>7003</v>
      </c>
      <c r="K62" s="56">
        <f t="shared" si="1"/>
        <v>43850</v>
      </c>
      <c r="L62" s="56">
        <f t="shared" si="2"/>
        <v>43856</v>
      </c>
      <c r="M62" s="59" t="str">
        <f t="shared" si="3"/>
        <v>20/01/20 @ 
26/01/20</v>
      </c>
    </row>
    <row r="63" spans="2:13" ht="24" x14ac:dyDescent="0.25">
      <c r="B63" s="55">
        <f t="shared" si="5"/>
        <v>61</v>
      </c>
      <c r="C63" s="56">
        <f t="shared" si="4"/>
        <v>43855</v>
      </c>
      <c r="D63" s="57">
        <f t="shared" si="0"/>
        <v>43855</v>
      </c>
      <c r="E63" s="58">
        <f t="shared" si="9"/>
        <v>9</v>
      </c>
      <c r="F63" s="58">
        <f t="shared" si="9"/>
        <v>4</v>
      </c>
      <c r="G63" s="8">
        <v>202001</v>
      </c>
      <c r="H63" s="8" t="s">
        <v>7002</v>
      </c>
      <c r="I63" s="8">
        <v>202002</v>
      </c>
      <c r="J63" s="8" t="s">
        <v>7003</v>
      </c>
      <c r="K63" s="56">
        <f t="shared" si="1"/>
        <v>43850</v>
      </c>
      <c r="L63" s="56">
        <f t="shared" si="2"/>
        <v>43856</v>
      </c>
      <c r="M63" s="59" t="str">
        <f t="shared" si="3"/>
        <v>20/01/20 @ 
26/01/20</v>
      </c>
    </row>
    <row r="64" spans="2:13" ht="24" x14ac:dyDescent="0.25">
      <c r="B64" s="55">
        <f t="shared" si="5"/>
        <v>62</v>
      </c>
      <c r="C64" s="56">
        <f t="shared" si="4"/>
        <v>43856</v>
      </c>
      <c r="D64" s="57">
        <f t="shared" si="0"/>
        <v>43856</v>
      </c>
      <c r="E64" s="58">
        <f t="shared" si="9"/>
        <v>9</v>
      </c>
      <c r="F64" s="58">
        <f t="shared" si="9"/>
        <v>4</v>
      </c>
      <c r="G64" s="8">
        <v>202001</v>
      </c>
      <c r="H64" s="8" t="s">
        <v>7002</v>
      </c>
      <c r="I64" s="8">
        <v>202002</v>
      </c>
      <c r="J64" s="8" t="s">
        <v>7003</v>
      </c>
      <c r="K64" s="56">
        <f t="shared" si="1"/>
        <v>43850</v>
      </c>
      <c r="L64" s="56">
        <f t="shared" si="2"/>
        <v>43856</v>
      </c>
      <c r="M64" s="59" t="str">
        <f t="shared" si="3"/>
        <v>20/01/20 @ 
26/01/20</v>
      </c>
    </row>
    <row r="65" spans="2:13" ht="24" x14ac:dyDescent="0.25">
      <c r="B65" s="55">
        <f t="shared" si="5"/>
        <v>63</v>
      </c>
      <c r="C65" s="56">
        <f t="shared" si="4"/>
        <v>43857</v>
      </c>
      <c r="D65" s="57">
        <f t="shared" si="0"/>
        <v>43857</v>
      </c>
      <c r="E65" s="58">
        <f t="shared" si="9"/>
        <v>10</v>
      </c>
      <c r="F65" s="58">
        <f t="shared" si="9"/>
        <v>5</v>
      </c>
      <c r="G65" s="8">
        <v>202001</v>
      </c>
      <c r="H65" s="8" t="s">
        <v>7003</v>
      </c>
      <c r="I65" s="8">
        <v>202002</v>
      </c>
      <c r="J65" s="8" t="s">
        <v>7003</v>
      </c>
      <c r="K65" s="56">
        <f t="shared" si="1"/>
        <v>43857</v>
      </c>
      <c r="L65" s="56">
        <f t="shared" si="2"/>
        <v>43863</v>
      </c>
      <c r="M65" s="59" t="str">
        <f t="shared" si="3"/>
        <v>27/01/20 @ 
02/02/20</v>
      </c>
    </row>
    <row r="66" spans="2:13" ht="24" x14ac:dyDescent="0.25">
      <c r="B66" s="55">
        <f t="shared" si="5"/>
        <v>64</v>
      </c>
      <c r="C66" s="56">
        <f t="shared" si="4"/>
        <v>43858</v>
      </c>
      <c r="D66" s="57">
        <f t="shared" si="0"/>
        <v>43858</v>
      </c>
      <c r="E66" s="58">
        <f t="shared" si="9"/>
        <v>10</v>
      </c>
      <c r="F66" s="58">
        <f t="shared" si="9"/>
        <v>5</v>
      </c>
      <c r="G66" s="8">
        <v>202001</v>
      </c>
      <c r="H66" s="8" t="s">
        <v>7003</v>
      </c>
      <c r="I66" s="8">
        <v>202002</v>
      </c>
      <c r="J66" s="8" t="s">
        <v>7003</v>
      </c>
      <c r="K66" s="56">
        <f t="shared" si="1"/>
        <v>43857</v>
      </c>
      <c r="L66" s="56">
        <f t="shared" si="2"/>
        <v>43863</v>
      </c>
      <c r="M66" s="59" t="str">
        <f t="shared" si="3"/>
        <v>27/01/20 @ 
02/02/20</v>
      </c>
    </row>
    <row r="67" spans="2:13" ht="24" x14ac:dyDescent="0.25">
      <c r="B67" s="55">
        <f t="shared" si="5"/>
        <v>65</v>
      </c>
      <c r="C67" s="56">
        <f t="shared" si="4"/>
        <v>43859</v>
      </c>
      <c r="D67" s="57">
        <f t="shared" ref="D67:D130" si="10">+C67</f>
        <v>43859</v>
      </c>
      <c r="E67" s="58">
        <f t="shared" si="9"/>
        <v>10</v>
      </c>
      <c r="F67" s="58">
        <f t="shared" si="9"/>
        <v>5</v>
      </c>
      <c r="G67" s="8">
        <v>202001</v>
      </c>
      <c r="H67" s="8" t="s">
        <v>7003</v>
      </c>
      <c r="I67" s="8">
        <v>202002</v>
      </c>
      <c r="J67" s="8" t="s">
        <v>7003</v>
      </c>
      <c r="K67" s="56">
        <f t="shared" ref="K67:K130" si="11">_xlfn.MINIFS($C$2:$C$890,$E$2:$E$890,E67)</f>
        <v>43857</v>
      </c>
      <c r="L67" s="56">
        <f t="shared" ref="L67:L130" si="12">_xlfn.MAXIFS($C$2:$C$890,$E$2:$E$890,E67)</f>
        <v>43863</v>
      </c>
      <c r="M67" s="59" t="str">
        <f t="shared" ref="M67:M130" si="13">CONCATENATE(TEXT(K67,"DD/MM/YY")," @ ",CHAR(10),TEXT(L67,"DD/MM/YY"))</f>
        <v>27/01/20 @ 
02/02/20</v>
      </c>
    </row>
    <row r="68" spans="2:13" ht="24" x14ac:dyDescent="0.25">
      <c r="B68" s="55">
        <f t="shared" si="5"/>
        <v>66</v>
      </c>
      <c r="C68" s="56">
        <f t="shared" si="5"/>
        <v>43860</v>
      </c>
      <c r="D68" s="57">
        <f t="shared" si="10"/>
        <v>43860</v>
      </c>
      <c r="E68" s="58">
        <f t="shared" si="9"/>
        <v>10</v>
      </c>
      <c r="F68" s="58">
        <f t="shared" si="9"/>
        <v>5</v>
      </c>
      <c r="G68" s="8">
        <v>202001</v>
      </c>
      <c r="H68" s="8" t="s">
        <v>7003</v>
      </c>
      <c r="I68" s="8">
        <v>202002</v>
      </c>
      <c r="J68" s="8" t="s">
        <v>7003</v>
      </c>
      <c r="K68" s="56">
        <f t="shared" si="11"/>
        <v>43857</v>
      </c>
      <c r="L68" s="56">
        <f t="shared" si="12"/>
        <v>43863</v>
      </c>
      <c r="M68" s="59" t="str">
        <f t="shared" si="13"/>
        <v>27/01/20 @ 
02/02/20</v>
      </c>
    </row>
    <row r="69" spans="2:13" ht="24" x14ac:dyDescent="0.25">
      <c r="B69" s="55">
        <f t="shared" ref="B69:C84" si="14">+B68+1</f>
        <v>67</v>
      </c>
      <c r="C69" s="56">
        <f t="shared" si="14"/>
        <v>43861</v>
      </c>
      <c r="D69" s="57">
        <f t="shared" si="10"/>
        <v>43861</v>
      </c>
      <c r="E69" s="58">
        <f t="shared" si="9"/>
        <v>10</v>
      </c>
      <c r="F69" s="58">
        <f t="shared" si="9"/>
        <v>5</v>
      </c>
      <c r="G69" s="8">
        <v>202001</v>
      </c>
      <c r="H69" s="8" t="s">
        <v>7003</v>
      </c>
      <c r="I69" s="8">
        <v>202002</v>
      </c>
      <c r="J69" s="8" t="s">
        <v>7003</v>
      </c>
      <c r="K69" s="56">
        <f t="shared" si="11"/>
        <v>43857</v>
      </c>
      <c r="L69" s="56">
        <f t="shared" si="12"/>
        <v>43863</v>
      </c>
      <c r="M69" s="59" t="str">
        <f t="shared" si="13"/>
        <v>27/01/20 @ 
02/02/20</v>
      </c>
    </row>
    <row r="70" spans="2:13" ht="24" x14ac:dyDescent="0.25">
      <c r="B70" s="55">
        <f t="shared" si="14"/>
        <v>68</v>
      </c>
      <c r="C70" s="56">
        <f t="shared" si="14"/>
        <v>43862</v>
      </c>
      <c r="D70" s="57">
        <f t="shared" si="10"/>
        <v>43862</v>
      </c>
      <c r="E70" s="58">
        <f t="shared" si="9"/>
        <v>10</v>
      </c>
      <c r="F70" s="58">
        <f t="shared" si="9"/>
        <v>5</v>
      </c>
      <c r="G70" s="8">
        <v>202001</v>
      </c>
      <c r="H70" s="8" t="s">
        <v>7003</v>
      </c>
      <c r="I70" s="8">
        <v>202002</v>
      </c>
      <c r="J70" s="8" t="s">
        <v>7003</v>
      </c>
      <c r="K70" s="56">
        <f t="shared" si="11"/>
        <v>43857</v>
      </c>
      <c r="L70" s="56">
        <f t="shared" si="12"/>
        <v>43863</v>
      </c>
      <c r="M70" s="59" t="str">
        <f t="shared" si="13"/>
        <v>27/01/20 @ 
02/02/20</v>
      </c>
    </row>
    <row r="71" spans="2:13" ht="24" x14ac:dyDescent="0.25">
      <c r="B71" s="55">
        <f t="shared" si="14"/>
        <v>69</v>
      </c>
      <c r="C71" s="56">
        <f t="shared" si="14"/>
        <v>43863</v>
      </c>
      <c r="D71" s="57">
        <f t="shared" si="10"/>
        <v>43863</v>
      </c>
      <c r="E71" s="58">
        <f t="shared" si="9"/>
        <v>10</v>
      </c>
      <c r="F71" s="58">
        <f t="shared" si="9"/>
        <v>5</v>
      </c>
      <c r="G71" s="8">
        <v>202001</v>
      </c>
      <c r="H71" s="8" t="s">
        <v>7003</v>
      </c>
      <c r="I71" s="8">
        <v>202002</v>
      </c>
      <c r="J71" s="8" t="s">
        <v>7003</v>
      </c>
      <c r="K71" s="56">
        <f t="shared" si="11"/>
        <v>43857</v>
      </c>
      <c r="L71" s="56">
        <f t="shared" si="12"/>
        <v>43863</v>
      </c>
      <c r="M71" s="59" t="str">
        <f t="shared" si="13"/>
        <v>27/01/20 @ 
02/02/20</v>
      </c>
    </row>
    <row r="72" spans="2:13" ht="24" x14ac:dyDescent="0.25">
      <c r="B72" s="55">
        <f t="shared" si="14"/>
        <v>70</v>
      </c>
      <c r="C72" s="56">
        <f t="shared" si="14"/>
        <v>43864</v>
      </c>
      <c r="D72" s="57">
        <f t="shared" si="10"/>
        <v>43864</v>
      </c>
      <c r="E72" s="58">
        <f t="shared" si="9"/>
        <v>11</v>
      </c>
      <c r="F72" s="58">
        <f t="shared" si="9"/>
        <v>6</v>
      </c>
      <c r="G72" s="8">
        <v>202002</v>
      </c>
      <c r="H72" s="8" t="s">
        <v>7003</v>
      </c>
      <c r="I72" s="8">
        <v>202002</v>
      </c>
      <c r="J72" s="8" t="s">
        <v>7003</v>
      </c>
      <c r="K72" s="56">
        <f t="shared" si="11"/>
        <v>43864</v>
      </c>
      <c r="L72" s="56">
        <f t="shared" si="12"/>
        <v>43870</v>
      </c>
      <c r="M72" s="59" t="str">
        <f t="shared" si="13"/>
        <v>03/02/20 @ 
09/02/20</v>
      </c>
    </row>
    <row r="73" spans="2:13" ht="24" x14ac:dyDescent="0.25">
      <c r="B73" s="55">
        <f t="shared" si="14"/>
        <v>71</v>
      </c>
      <c r="C73" s="56">
        <f t="shared" si="14"/>
        <v>43865</v>
      </c>
      <c r="D73" s="57">
        <f t="shared" si="10"/>
        <v>43865</v>
      </c>
      <c r="E73" s="58">
        <f t="shared" si="9"/>
        <v>11</v>
      </c>
      <c r="F73" s="58">
        <f t="shared" si="9"/>
        <v>6</v>
      </c>
      <c r="G73" s="8">
        <v>202002</v>
      </c>
      <c r="H73" s="8" t="s">
        <v>7003</v>
      </c>
      <c r="I73" s="8">
        <v>202002</v>
      </c>
      <c r="J73" s="8" t="s">
        <v>7003</v>
      </c>
      <c r="K73" s="56">
        <f t="shared" si="11"/>
        <v>43864</v>
      </c>
      <c r="L73" s="56">
        <f t="shared" si="12"/>
        <v>43870</v>
      </c>
      <c r="M73" s="59" t="str">
        <f t="shared" si="13"/>
        <v>03/02/20 @ 
09/02/20</v>
      </c>
    </row>
    <row r="74" spans="2:13" ht="24" x14ac:dyDescent="0.25">
      <c r="B74" s="55">
        <f t="shared" si="14"/>
        <v>72</v>
      </c>
      <c r="C74" s="56">
        <f t="shared" si="14"/>
        <v>43866</v>
      </c>
      <c r="D74" s="57">
        <f t="shared" si="10"/>
        <v>43866</v>
      </c>
      <c r="E74" s="58">
        <f t="shared" ref="E74:F89" si="15">+E67+1</f>
        <v>11</v>
      </c>
      <c r="F74" s="58">
        <f t="shared" si="15"/>
        <v>6</v>
      </c>
      <c r="G74" s="8">
        <v>202002</v>
      </c>
      <c r="H74" s="8" t="s">
        <v>7003</v>
      </c>
      <c r="I74" s="8">
        <v>202002</v>
      </c>
      <c r="J74" s="8" t="s">
        <v>7003</v>
      </c>
      <c r="K74" s="56">
        <f t="shared" si="11"/>
        <v>43864</v>
      </c>
      <c r="L74" s="56">
        <f t="shared" si="12"/>
        <v>43870</v>
      </c>
      <c r="M74" s="59" t="str">
        <f t="shared" si="13"/>
        <v>03/02/20 @ 
09/02/20</v>
      </c>
    </row>
    <row r="75" spans="2:13" ht="24" x14ac:dyDescent="0.25">
      <c r="B75" s="55">
        <f t="shared" si="14"/>
        <v>73</v>
      </c>
      <c r="C75" s="56">
        <f t="shared" si="14"/>
        <v>43867</v>
      </c>
      <c r="D75" s="57">
        <f t="shared" si="10"/>
        <v>43867</v>
      </c>
      <c r="E75" s="58">
        <f t="shared" si="15"/>
        <v>11</v>
      </c>
      <c r="F75" s="58">
        <f t="shared" si="15"/>
        <v>6</v>
      </c>
      <c r="G75" s="8">
        <v>202002</v>
      </c>
      <c r="H75" s="8" t="s">
        <v>7003</v>
      </c>
      <c r="I75" s="8">
        <v>202002</v>
      </c>
      <c r="J75" s="8" t="s">
        <v>7003</v>
      </c>
      <c r="K75" s="56">
        <f t="shared" si="11"/>
        <v>43864</v>
      </c>
      <c r="L75" s="56">
        <f t="shared" si="12"/>
        <v>43870</v>
      </c>
      <c r="M75" s="59" t="str">
        <f t="shared" si="13"/>
        <v>03/02/20 @ 
09/02/20</v>
      </c>
    </row>
    <row r="76" spans="2:13" ht="24" x14ac:dyDescent="0.25">
      <c r="B76" s="55">
        <f t="shared" si="14"/>
        <v>74</v>
      </c>
      <c r="C76" s="56">
        <f t="shared" si="14"/>
        <v>43868</v>
      </c>
      <c r="D76" s="57">
        <f t="shared" si="10"/>
        <v>43868</v>
      </c>
      <c r="E76" s="58">
        <f t="shared" si="15"/>
        <v>11</v>
      </c>
      <c r="F76" s="58">
        <f t="shared" si="15"/>
        <v>6</v>
      </c>
      <c r="G76" s="8">
        <v>202002</v>
      </c>
      <c r="H76" s="8" t="s">
        <v>7003</v>
      </c>
      <c r="I76" s="8">
        <v>202002</v>
      </c>
      <c r="J76" s="8" t="s">
        <v>7003</v>
      </c>
      <c r="K76" s="56">
        <f t="shared" si="11"/>
        <v>43864</v>
      </c>
      <c r="L76" s="56">
        <f t="shared" si="12"/>
        <v>43870</v>
      </c>
      <c r="M76" s="59" t="str">
        <f t="shared" si="13"/>
        <v>03/02/20 @ 
09/02/20</v>
      </c>
    </row>
    <row r="77" spans="2:13" ht="24" x14ac:dyDescent="0.25">
      <c r="B77" s="55">
        <f t="shared" si="14"/>
        <v>75</v>
      </c>
      <c r="C77" s="56">
        <f t="shared" si="14"/>
        <v>43869</v>
      </c>
      <c r="D77" s="57">
        <f t="shared" si="10"/>
        <v>43869</v>
      </c>
      <c r="E77" s="58">
        <f t="shared" si="15"/>
        <v>11</v>
      </c>
      <c r="F77" s="58">
        <f t="shared" si="15"/>
        <v>6</v>
      </c>
      <c r="G77" s="8">
        <v>202002</v>
      </c>
      <c r="H77" s="8" t="s">
        <v>7003</v>
      </c>
      <c r="I77" s="8">
        <v>202002</v>
      </c>
      <c r="J77" s="8" t="s">
        <v>7003</v>
      </c>
      <c r="K77" s="56">
        <f t="shared" si="11"/>
        <v>43864</v>
      </c>
      <c r="L77" s="56">
        <f t="shared" si="12"/>
        <v>43870</v>
      </c>
      <c r="M77" s="59" t="str">
        <f t="shared" si="13"/>
        <v>03/02/20 @ 
09/02/20</v>
      </c>
    </row>
    <row r="78" spans="2:13" ht="24" x14ac:dyDescent="0.25">
      <c r="B78" s="55">
        <f t="shared" si="14"/>
        <v>76</v>
      </c>
      <c r="C78" s="56">
        <f t="shared" si="14"/>
        <v>43870</v>
      </c>
      <c r="D78" s="57">
        <f t="shared" si="10"/>
        <v>43870</v>
      </c>
      <c r="E78" s="58">
        <f t="shared" si="15"/>
        <v>11</v>
      </c>
      <c r="F78" s="58">
        <f t="shared" si="15"/>
        <v>6</v>
      </c>
      <c r="G78" s="8">
        <v>202002</v>
      </c>
      <c r="H78" s="8" t="s">
        <v>7003</v>
      </c>
      <c r="I78" s="8">
        <v>202002</v>
      </c>
      <c r="J78" s="8" t="s">
        <v>7003</v>
      </c>
      <c r="K78" s="56">
        <f t="shared" si="11"/>
        <v>43864</v>
      </c>
      <c r="L78" s="56">
        <f t="shared" si="12"/>
        <v>43870</v>
      </c>
      <c r="M78" s="59" t="str">
        <f t="shared" si="13"/>
        <v>03/02/20 @ 
09/02/20</v>
      </c>
    </row>
    <row r="79" spans="2:13" ht="24" x14ac:dyDescent="0.25">
      <c r="B79" s="55">
        <f t="shared" si="14"/>
        <v>77</v>
      </c>
      <c r="C79" s="56">
        <f t="shared" si="14"/>
        <v>43871</v>
      </c>
      <c r="D79" s="57">
        <f t="shared" si="10"/>
        <v>43871</v>
      </c>
      <c r="E79" s="58">
        <f t="shared" si="15"/>
        <v>12</v>
      </c>
      <c r="F79" s="58">
        <f t="shared" si="15"/>
        <v>7</v>
      </c>
      <c r="G79" s="8">
        <v>202002</v>
      </c>
      <c r="H79" s="8" t="s">
        <v>7003</v>
      </c>
      <c r="I79" s="8">
        <v>202002</v>
      </c>
      <c r="J79" s="8" t="s">
        <v>7003</v>
      </c>
      <c r="K79" s="56">
        <f t="shared" si="11"/>
        <v>43871</v>
      </c>
      <c r="L79" s="56">
        <f t="shared" si="12"/>
        <v>43877</v>
      </c>
      <c r="M79" s="59" t="str">
        <f t="shared" si="13"/>
        <v>10/02/20 @ 
16/02/20</v>
      </c>
    </row>
    <row r="80" spans="2:13" ht="24" x14ac:dyDescent="0.25">
      <c r="B80" s="55">
        <f t="shared" si="14"/>
        <v>78</v>
      </c>
      <c r="C80" s="56">
        <f t="shared" si="14"/>
        <v>43872</v>
      </c>
      <c r="D80" s="57">
        <f t="shared" si="10"/>
        <v>43872</v>
      </c>
      <c r="E80" s="58">
        <f t="shared" si="15"/>
        <v>12</v>
      </c>
      <c r="F80" s="58">
        <f t="shared" si="15"/>
        <v>7</v>
      </c>
      <c r="G80" s="8">
        <v>202002</v>
      </c>
      <c r="H80" s="8" t="s">
        <v>7003</v>
      </c>
      <c r="I80" s="8">
        <v>202002</v>
      </c>
      <c r="J80" s="8" t="s">
        <v>7003</v>
      </c>
      <c r="K80" s="56">
        <f t="shared" si="11"/>
        <v>43871</v>
      </c>
      <c r="L80" s="56">
        <f t="shared" si="12"/>
        <v>43877</v>
      </c>
      <c r="M80" s="59" t="str">
        <f t="shared" si="13"/>
        <v>10/02/20 @ 
16/02/20</v>
      </c>
    </row>
    <row r="81" spans="2:13" ht="24" x14ac:dyDescent="0.25">
      <c r="B81" s="55">
        <f t="shared" si="14"/>
        <v>79</v>
      </c>
      <c r="C81" s="56">
        <f t="shared" si="14"/>
        <v>43873</v>
      </c>
      <c r="D81" s="57">
        <f t="shared" si="10"/>
        <v>43873</v>
      </c>
      <c r="E81" s="58">
        <f t="shared" si="15"/>
        <v>12</v>
      </c>
      <c r="F81" s="58">
        <f t="shared" si="15"/>
        <v>7</v>
      </c>
      <c r="G81" s="8">
        <v>202002</v>
      </c>
      <c r="H81" s="8" t="s">
        <v>7003</v>
      </c>
      <c r="I81" s="8">
        <v>202002</v>
      </c>
      <c r="J81" s="8" t="s">
        <v>7003</v>
      </c>
      <c r="K81" s="56">
        <f t="shared" si="11"/>
        <v>43871</v>
      </c>
      <c r="L81" s="56">
        <f t="shared" si="12"/>
        <v>43877</v>
      </c>
      <c r="M81" s="59" t="str">
        <f t="shared" si="13"/>
        <v>10/02/20 @ 
16/02/20</v>
      </c>
    </row>
    <row r="82" spans="2:13" ht="24" x14ac:dyDescent="0.25">
      <c r="B82" s="55">
        <f t="shared" si="14"/>
        <v>80</v>
      </c>
      <c r="C82" s="56">
        <f t="shared" si="14"/>
        <v>43874</v>
      </c>
      <c r="D82" s="57">
        <f t="shared" si="10"/>
        <v>43874</v>
      </c>
      <c r="E82" s="58">
        <f t="shared" si="15"/>
        <v>12</v>
      </c>
      <c r="F82" s="58">
        <f t="shared" si="15"/>
        <v>7</v>
      </c>
      <c r="G82" s="8">
        <v>202002</v>
      </c>
      <c r="H82" s="8" t="s">
        <v>7003</v>
      </c>
      <c r="I82" s="8">
        <v>202002</v>
      </c>
      <c r="J82" s="8" t="s">
        <v>7003</v>
      </c>
      <c r="K82" s="56">
        <f t="shared" si="11"/>
        <v>43871</v>
      </c>
      <c r="L82" s="56">
        <f t="shared" si="12"/>
        <v>43877</v>
      </c>
      <c r="M82" s="59" t="str">
        <f t="shared" si="13"/>
        <v>10/02/20 @ 
16/02/20</v>
      </c>
    </row>
    <row r="83" spans="2:13" ht="24" x14ac:dyDescent="0.25">
      <c r="B83" s="55">
        <f t="shared" si="14"/>
        <v>81</v>
      </c>
      <c r="C83" s="56">
        <f t="shared" si="14"/>
        <v>43875</v>
      </c>
      <c r="D83" s="57">
        <f t="shared" si="10"/>
        <v>43875</v>
      </c>
      <c r="E83" s="58">
        <f t="shared" si="15"/>
        <v>12</v>
      </c>
      <c r="F83" s="58">
        <f t="shared" si="15"/>
        <v>7</v>
      </c>
      <c r="G83" s="8">
        <v>202002</v>
      </c>
      <c r="H83" s="8" t="s">
        <v>7003</v>
      </c>
      <c r="I83" s="8">
        <v>202002</v>
      </c>
      <c r="J83" s="8" t="s">
        <v>7003</v>
      </c>
      <c r="K83" s="56">
        <f t="shared" si="11"/>
        <v>43871</v>
      </c>
      <c r="L83" s="56">
        <f t="shared" si="12"/>
        <v>43877</v>
      </c>
      <c r="M83" s="59" t="str">
        <f t="shared" si="13"/>
        <v>10/02/20 @ 
16/02/20</v>
      </c>
    </row>
    <row r="84" spans="2:13" ht="24" x14ac:dyDescent="0.25">
      <c r="B84" s="55">
        <f t="shared" si="14"/>
        <v>82</v>
      </c>
      <c r="C84" s="56">
        <f t="shared" si="14"/>
        <v>43876</v>
      </c>
      <c r="D84" s="57">
        <f t="shared" si="10"/>
        <v>43876</v>
      </c>
      <c r="E84" s="58">
        <f t="shared" si="15"/>
        <v>12</v>
      </c>
      <c r="F84" s="58">
        <f t="shared" si="15"/>
        <v>7</v>
      </c>
      <c r="G84" s="8">
        <v>202002</v>
      </c>
      <c r="H84" s="8" t="s">
        <v>7003</v>
      </c>
      <c r="I84" s="8">
        <v>202002</v>
      </c>
      <c r="J84" s="8" t="s">
        <v>7003</v>
      </c>
      <c r="K84" s="56">
        <f t="shared" si="11"/>
        <v>43871</v>
      </c>
      <c r="L84" s="56">
        <f t="shared" si="12"/>
        <v>43877</v>
      </c>
      <c r="M84" s="59" t="str">
        <f t="shared" si="13"/>
        <v>10/02/20 @ 
16/02/20</v>
      </c>
    </row>
    <row r="85" spans="2:13" ht="24" x14ac:dyDescent="0.25">
      <c r="B85" s="55">
        <f t="shared" ref="B85:C100" si="16">+B84+1</f>
        <v>83</v>
      </c>
      <c r="C85" s="56">
        <f t="shared" si="16"/>
        <v>43877</v>
      </c>
      <c r="D85" s="57">
        <f t="shared" si="10"/>
        <v>43877</v>
      </c>
      <c r="E85" s="58">
        <f t="shared" si="15"/>
        <v>12</v>
      </c>
      <c r="F85" s="58">
        <f t="shared" si="15"/>
        <v>7</v>
      </c>
      <c r="G85" s="8">
        <v>202002</v>
      </c>
      <c r="H85" s="8" t="s">
        <v>7003</v>
      </c>
      <c r="I85" s="8">
        <v>202002</v>
      </c>
      <c r="J85" s="8" t="s">
        <v>7003</v>
      </c>
      <c r="K85" s="56">
        <f t="shared" si="11"/>
        <v>43871</v>
      </c>
      <c r="L85" s="56">
        <f t="shared" si="12"/>
        <v>43877</v>
      </c>
      <c r="M85" s="59" t="str">
        <f t="shared" si="13"/>
        <v>10/02/20 @ 
16/02/20</v>
      </c>
    </row>
    <row r="86" spans="2:13" ht="24" x14ac:dyDescent="0.25">
      <c r="B86" s="55">
        <f t="shared" si="16"/>
        <v>84</v>
      </c>
      <c r="C86" s="56">
        <f t="shared" si="16"/>
        <v>43878</v>
      </c>
      <c r="D86" s="57">
        <f t="shared" si="10"/>
        <v>43878</v>
      </c>
      <c r="E86" s="58">
        <f t="shared" si="15"/>
        <v>13</v>
      </c>
      <c r="F86" s="58">
        <f t="shared" si="15"/>
        <v>8</v>
      </c>
      <c r="G86" s="8">
        <v>202002</v>
      </c>
      <c r="H86" s="8" t="s">
        <v>7003</v>
      </c>
      <c r="I86" s="8">
        <v>202002</v>
      </c>
      <c r="J86" s="8" t="s">
        <v>7003</v>
      </c>
      <c r="K86" s="56">
        <f t="shared" si="11"/>
        <v>43878</v>
      </c>
      <c r="L86" s="56">
        <f t="shared" si="12"/>
        <v>43884</v>
      </c>
      <c r="M86" s="59" t="str">
        <f t="shared" si="13"/>
        <v>17/02/20 @ 
23/02/20</v>
      </c>
    </row>
    <row r="87" spans="2:13" ht="24" x14ac:dyDescent="0.25">
      <c r="B87" s="55">
        <f t="shared" si="16"/>
        <v>85</v>
      </c>
      <c r="C87" s="56">
        <f t="shared" si="16"/>
        <v>43879</v>
      </c>
      <c r="D87" s="57">
        <f t="shared" si="10"/>
        <v>43879</v>
      </c>
      <c r="E87" s="58">
        <f t="shared" si="15"/>
        <v>13</v>
      </c>
      <c r="F87" s="58">
        <f t="shared" si="15"/>
        <v>8</v>
      </c>
      <c r="G87" s="8">
        <v>202002</v>
      </c>
      <c r="H87" s="8" t="s">
        <v>7003</v>
      </c>
      <c r="I87" s="8">
        <v>202002</v>
      </c>
      <c r="J87" s="8" t="s">
        <v>7003</v>
      </c>
      <c r="K87" s="56">
        <f t="shared" si="11"/>
        <v>43878</v>
      </c>
      <c r="L87" s="56">
        <f t="shared" si="12"/>
        <v>43884</v>
      </c>
      <c r="M87" s="59" t="str">
        <f t="shared" si="13"/>
        <v>17/02/20 @ 
23/02/20</v>
      </c>
    </row>
    <row r="88" spans="2:13" ht="24" x14ac:dyDescent="0.25">
      <c r="B88" s="55">
        <f t="shared" si="16"/>
        <v>86</v>
      </c>
      <c r="C88" s="56">
        <f t="shared" si="16"/>
        <v>43880</v>
      </c>
      <c r="D88" s="57">
        <f t="shared" si="10"/>
        <v>43880</v>
      </c>
      <c r="E88" s="58">
        <f t="shared" si="15"/>
        <v>13</v>
      </c>
      <c r="F88" s="58">
        <f t="shared" si="15"/>
        <v>8</v>
      </c>
      <c r="G88" s="8">
        <v>202002</v>
      </c>
      <c r="H88" s="8" t="s">
        <v>7003</v>
      </c>
      <c r="I88" s="8">
        <v>202002</v>
      </c>
      <c r="J88" s="8" t="s">
        <v>7003</v>
      </c>
      <c r="K88" s="56">
        <f t="shared" si="11"/>
        <v>43878</v>
      </c>
      <c r="L88" s="56">
        <f t="shared" si="12"/>
        <v>43884</v>
      </c>
      <c r="M88" s="59" t="str">
        <f t="shared" si="13"/>
        <v>17/02/20 @ 
23/02/20</v>
      </c>
    </row>
    <row r="89" spans="2:13" ht="24" x14ac:dyDescent="0.25">
      <c r="B89" s="55">
        <f t="shared" si="16"/>
        <v>87</v>
      </c>
      <c r="C89" s="56">
        <f t="shared" si="16"/>
        <v>43881</v>
      </c>
      <c r="D89" s="57">
        <f t="shared" si="10"/>
        <v>43881</v>
      </c>
      <c r="E89" s="58">
        <f t="shared" si="15"/>
        <v>13</v>
      </c>
      <c r="F89" s="58">
        <f t="shared" si="15"/>
        <v>8</v>
      </c>
      <c r="G89" s="8">
        <v>202002</v>
      </c>
      <c r="H89" s="8" t="s">
        <v>7003</v>
      </c>
      <c r="I89" s="8">
        <v>202002</v>
      </c>
      <c r="J89" s="8" t="s">
        <v>7003</v>
      </c>
      <c r="K89" s="56">
        <f t="shared" si="11"/>
        <v>43878</v>
      </c>
      <c r="L89" s="56">
        <f t="shared" si="12"/>
        <v>43884</v>
      </c>
      <c r="M89" s="59" t="str">
        <f t="shared" si="13"/>
        <v>17/02/20 @ 
23/02/20</v>
      </c>
    </row>
    <row r="90" spans="2:13" ht="24" x14ac:dyDescent="0.25">
      <c r="B90" s="55">
        <f t="shared" si="16"/>
        <v>88</v>
      </c>
      <c r="C90" s="56">
        <f t="shared" si="16"/>
        <v>43882</v>
      </c>
      <c r="D90" s="57">
        <f t="shared" si="10"/>
        <v>43882</v>
      </c>
      <c r="E90" s="58">
        <f t="shared" ref="E90:F105" si="17">+E83+1</f>
        <v>13</v>
      </c>
      <c r="F90" s="58">
        <f t="shared" si="17"/>
        <v>8</v>
      </c>
      <c r="G90" s="8">
        <v>202002</v>
      </c>
      <c r="H90" s="8" t="s">
        <v>7003</v>
      </c>
      <c r="I90" s="8">
        <v>202003</v>
      </c>
      <c r="J90" s="8" t="s">
        <v>7004</v>
      </c>
      <c r="K90" s="56">
        <f t="shared" si="11"/>
        <v>43878</v>
      </c>
      <c r="L90" s="56">
        <f t="shared" si="12"/>
        <v>43884</v>
      </c>
      <c r="M90" s="59" t="str">
        <f t="shared" si="13"/>
        <v>17/02/20 @ 
23/02/20</v>
      </c>
    </row>
    <row r="91" spans="2:13" ht="24" x14ac:dyDescent="0.25">
      <c r="B91" s="55">
        <f t="shared" si="16"/>
        <v>89</v>
      </c>
      <c r="C91" s="56">
        <f t="shared" si="16"/>
        <v>43883</v>
      </c>
      <c r="D91" s="57">
        <f t="shared" si="10"/>
        <v>43883</v>
      </c>
      <c r="E91" s="58">
        <f t="shared" si="17"/>
        <v>13</v>
      </c>
      <c r="F91" s="58">
        <f t="shared" si="17"/>
        <v>8</v>
      </c>
      <c r="G91" s="8">
        <v>202002</v>
      </c>
      <c r="H91" s="8" t="s">
        <v>7003</v>
      </c>
      <c r="I91" s="8">
        <v>202003</v>
      </c>
      <c r="J91" s="8" t="s">
        <v>7004</v>
      </c>
      <c r="K91" s="56">
        <f t="shared" si="11"/>
        <v>43878</v>
      </c>
      <c r="L91" s="56">
        <f t="shared" si="12"/>
        <v>43884</v>
      </c>
      <c r="M91" s="59" t="str">
        <f t="shared" si="13"/>
        <v>17/02/20 @ 
23/02/20</v>
      </c>
    </row>
    <row r="92" spans="2:13" ht="24" x14ac:dyDescent="0.25">
      <c r="B92" s="55">
        <f t="shared" si="16"/>
        <v>90</v>
      </c>
      <c r="C92" s="56">
        <f t="shared" si="16"/>
        <v>43884</v>
      </c>
      <c r="D92" s="57">
        <f t="shared" si="10"/>
        <v>43884</v>
      </c>
      <c r="E92" s="58">
        <f t="shared" si="17"/>
        <v>13</v>
      </c>
      <c r="F92" s="58">
        <f t="shared" si="17"/>
        <v>8</v>
      </c>
      <c r="G92" s="8">
        <v>202002</v>
      </c>
      <c r="H92" s="8" t="s">
        <v>7003</v>
      </c>
      <c r="I92" s="8">
        <v>202003</v>
      </c>
      <c r="J92" s="8" t="s">
        <v>7004</v>
      </c>
      <c r="K92" s="56">
        <f t="shared" si="11"/>
        <v>43878</v>
      </c>
      <c r="L92" s="56">
        <f t="shared" si="12"/>
        <v>43884</v>
      </c>
      <c r="M92" s="59" t="str">
        <f t="shared" si="13"/>
        <v>17/02/20 @ 
23/02/20</v>
      </c>
    </row>
    <row r="93" spans="2:13" ht="24" x14ac:dyDescent="0.25">
      <c r="B93" s="55">
        <f t="shared" si="16"/>
        <v>91</v>
      </c>
      <c r="C93" s="56">
        <f t="shared" si="16"/>
        <v>43885</v>
      </c>
      <c r="D93" s="57">
        <f t="shared" si="10"/>
        <v>43885</v>
      </c>
      <c r="E93" s="58">
        <f t="shared" si="17"/>
        <v>14</v>
      </c>
      <c r="F93" s="58">
        <f t="shared" si="17"/>
        <v>9</v>
      </c>
      <c r="G93" s="8">
        <v>202002</v>
      </c>
      <c r="H93" s="8" t="s">
        <v>7004</v>
      </c>
      <c r="I93" s="8">
        <v>202003</v>
      </c>
      <c r="J93" s="8" t="s">
        <v>7004</v>
      </c>
      <c r="K93" s="56">
        <f t="shared" si="11"/>
        <v>43885</v>
      </c>
      <c r="L93" s="56">
        <f t="shared" si="12"/>
        <v>43891</v>
      </c>
      <c r="M93" s="59" t="str">
        <f t="shared" si="13"/>
        <v>24/02/20 @ 
01/03/20</v>
      </c>
    </row>
    <row r="94" spans="2:13" ht="24" x14ac:dyDescent="0.25">
      <c r="B94" s="55">
        <f t="shared" si="16"/>
        <v>92</v>
      </c>
      <c r="C94" s="56">
        <f t="shared" si="16"/>
        <v>43886</v>
      </c>
      <c r="D94" s="57">
        <f t="shared" si="10"/>
        <v>43886</v>
      </c>
      <c r="E94" s="58">
        <f t="shared" si="17"/>
        <v>14</v>
      </c>
      <c r="F94" s="58">
        <f t="shared" si="17"/>
        <v>9</v>
      </c>
      <c r="G94" s="8">
        <v>202002</v>
      </c>
      <c r="H94" s="8" t="s">
        <v>7004</v>
      </c>
      <c r="I94" s="8">
        <v>202003</v>
      </c>
      <c r="J94" s="8" t="s">
        <v>7004</v>
      </c>
      <c r="K94" s="56">
        <f t="shared" si="11"/>
        <v>43885</v>
      </c>
      <c r="L94" s="56">
        <f t="shared" si="12"/>
        <v>43891</v>
      </c>
      <c r="M94" s="59" t="str">
        <f t="shared" si="13"/>
        <v>24/02/20 @ 
01/03/20</v>
      </c>
    </row>
    <row r="95" spans="2:13" ht="24" x14ac:dyDescent="0.25">
      <c r="B95" s="55">
        <f t="shared" si="16"/>
        <v>93</v>
      </c>
      <c r="C95" s="56">
        <f t="shared" si="16"/>
        <v>43887</v>
      </c>
      <c r="D95" s="57">
        <f t="shared" si="10"/>
        <v>43887</v>
      </c>
      <c r="E95" s="58">
        <f t="shared" si="17"/>
        <v>14</v>
      </c>
      <c r="F95" s="58">
        <f t="shared" si="17"/>
        <v>9</v>
      </c>
      <c r="G95" s="8">
        <v>202002</v>
      </c>
      <c r="H95" s="8" t="s">
        <v>7004</v>
      </c>
      <c r="I95" s="8">
        <v>202003</v>
      </c>
      <c r="J95" s="8" t="s">
        <v>7004</v>
      </c>
      <c r="K95" s="56">
        <f t="shared" si="11"/>
        <v>43885</v>
      </c>
      <c r="L95" s="56">
        <f t="shared" si="12"/>
        <v>43891</v>
      </c>
      <c r="M95" s="59" t="str">
        <f t="shared" si="13"/>
        <v>24/02/20 @ 
01/03/20</v>
      </c>
    </row>
    <row r="96" spans="2:13" ht="24" x14ac:dyDescent="0.25">
      <c r="B96" s="55">
        <f t="shared" si="16"/>
        <v>94</v>
      </c>
      <c r="C96" s="56">
        <f t="shared" si="16"/>
        <v>43888</v>
      </c>
      <c r="D96" s="57">
        <f t="shared" si="10"/>
        <v>43888</v>
      </c>
      <c r="E96" s="58">
        <f t="shared" si="17"/>
        <v>14</v>
      </c>
      <c r="F96" s="58">
        <f t="shared" si="17"/>
        <v>9</v>
      </c>
      <c r="G96" s="8">
        <v>202002</v>
      </c>
      <c r="H96" s="8" t="s">
        <v>7004</v>
      </c>
      <c r="I96" s="8">
        <v>202003</v>
      </c>
      <c r="J96" s="8" t="s">
        <v>7004</v>
      </c>
      <c r="K96" s="56">
        <f t="shared" si="11"/>
        <v>43885</v>
      </c>
      <c r="L96" s="56">
        <f t="shared" si="12"/>
        <v>43891</v>
      </c>
      <c r="M96" s="59" t="str">
        <f t="shared" si="13"/>
        <v>24/02/20 @ 
01/03/20</v>
      </c>
    </row>
    <row r="97" spans="2:13" ht="24" x14ac:dyDescent="0.25">
      <c r="B97" s="55">
        <f t="shared" si="16"/>
        <v>95</v>
      </c>
      <c r="C97" s="56">
        <f t="shared" si="16"/>
        <v>43889</v>
      </c>
      <c r="D97" s="57">
        <f t="shared" si="10"/>
        <v>43889</v>
      </c>
      <c r="E97" s="58">
        <f t="shared" si="17"/>
        <v>14</v>
      </c>
      <c r="F97" s="58">
        <f t="shared" si="17"/>
        <v>9</v>
      </c>
      <c r="G97" s="8">
        <v>202002</v>
      </c>
      <c r="H97" s="8" t="s">
        <v>7004</v>
      </c>
      <c r="I97" s="8">
        <v>202003</v>
      </c>
      <c r="J97" s="8" t="s">
        <v>7004</v>
      </c>
      <c r="K97" s="56">
        <f t="shared" si="11"/>
        <v>43885</v>
      </c>
      <c r="L97" s="56">
        <f t="shared" si="12"/>
        <v>43891</v>
      </c>
      <c r="M97" s="59" t="str">
        <f t="shared" si="13"/>
        <v>24/02/20 @ 
01/03/20</v>
      </c>
    </row>
    <row r="98" spans="2:13" ht="24" x14ac:dyDescent="0.25">
      <c r="B98" s="55">
        <f t="shared" si="16"/>
        <v>96</v>
      </c>
      <c r="C98" s="56">
        <f t="shared" si="16"/>
        <v>43890</v>
      </c>
      <c r="D98" s="57">
        <f t="shared" si="10"/>
        <v>43890</v>
      </c>
      <c r="E98" s="58">
        <f t="shared" si="17"/>
        <v>14</v>
      </c>
      <c r="F98" s="58">
        <f t="shared" si="17"/>
        <v>9</v>
      </c>
      <c r="G98" s="8">
        <v>202002</v>
      </c>
      <c r="H98" s="8" t="s">
        <v>7004</v>
      </c>
      <c r="I98" s="8">
        <v>202003</v>
      </c>
      <c r="J98" s="8" t="s">
        <v>7004</v>
      </c>
      <c r="K98" s="56">
        <f t="shared" si="11"/>
        <v>43885</v>
      </c>
      <c r="L98" s="56">
        <f t="shared" si="12"/>
        <v>43891</v>
      </c>
      <c r="M98" s="59" t="str">
        <f t="shared" si="13"/>
        <v>24/02/20 @ 
01/03/20</v>
      </c>
    </row>
    <row r="99" spans="2:13" ht="24" x14ac:dyDescent="0.25">
      <c r="B99" s="55">
        <f t="shared" si="16"/>
        <v>97</v>
      </c>
      <c r="C99" s="56">
        <f t="shared" si="16"/>
        <v>43891</v>
      </c>
      <c r="D99" s="57">
        <f t="shared" si="10"/>
        <v>43891</v>
      </c>
      <c r="E99" s="58">
        <f t="shared" si="17"/>
        <v>14</v>
      </c>
      <c r="F99" s="58">
        <f t="shared" si="17"/>
        <v>9</v>
      </c>
      <c r="G99" s="8">
        <v>202002</v>
      </c>
      <c r="H99" s="8" t="s">
        <v>7004</v>
      </c>
      <c r="I99" s="8">
        <v>202003</v>
      </c>
      <c r="J99" s="8" t="s">
        <v>7004</v>
      </c>
      <c r="K99" s="56">
        <f t="shared" si="11"/>
        <v>43885</v>
      </c>
      <c r="L99" s="56">
        <f t="shared" si="12"/>
        <v>43891</v>
      </c>
      <c r="M99" s="59" t="str">
        <f t="shared" si="13"/>
        <v>24/02/20 @ 
01/03/20</v>
      </c>
    </row>
    <row r="100" spans="2:13" ht="24" x14ac:dyDescent="0.25">
      <c r="B100" s="55">
        <f t="shared" si="16"/>
        <v>98</v>
      </c>
      <c r="C100" s="56">
        <f t="shared" si="16"/>
        <v>43892</v>
      </c>
      <c r="D100" s="57">
        <f t="shared" si="10"/>
        <v>43892</v>
      </c>
      <c r="E100" s="58">
        <f t="shared" si="17"/>
        <v>15</v>
      </c>
      <c r="F100" s="58">
        <f t="shared" si="17"/>
        <v>10</v>
      </c>
      <c r="G100" s="8">
        <v>202003</v>
      </c>
      <c r="H100" s="8" t="s">
        <v>7004</v>
      </c>
      <c r="I100" s="8">
        <v>202003</v>
      </c>
      <c r="J100" s="8" t="s">
        <v>7004</v>
      </c>
      <c r="K100" s="56">
        <f t="shared" si="11"/>
        <v>43892</v>
      </c>
      <c r="L100" s="56">
        <f t="shared" si="12"/>
        <v>43898</v>
      </c>
      <c r="M100" s="59" t="str">
        <f t="shared" si="13"/>
        <v>02/03/20 @ 
08/03/20</v>
      </c>
    </row>
    <row r="101" spans="2:13" ht="24" x14ac:dyDescent="0.25">
      <c r="B101" s="55">
        <f t="shared" ref="B101:C116" si="18">+B100+1</f>
        <v>99</v>
      </c>
      <c r="C101" s="56">
        <f t="shared" si="18"/>
        <v>43893</v>
      </c>
      <c r="D101" s="57">
        <f t="shared" si="10"/>
        <v>43893</v>
      </c>
      <c r="E101" s="58">
        <f t="shared" si="17"/>
        <v>15</v>
      </c>
      <c r="F101" s="58">
        <f t="shared" si="17"/>
        <v>10</v>
      </c>
      <c r="G101" s="8">
        <v>202003</v>
      </c>
      <c r="H101" s="8" t="s">
        <v>7004</v>
      </c>
      <c r="I101" s="8">
        <v>202003</v>
      </c>
      <c r="J101" s="8" t="s">
        <v>7004</v>
      </c>
      <c r="K101" s="56">
        <f t="shared" si="11"/>
        <v>43892</v>
      </c>
      <c r="L101" s="56">
        <f t="shared" si="12"/>
        <v>43898</v>
      </c>
      <c r="M101" s="59" t="str">
        <f t="shared" si="13"/>
        <v>02/03/20 @ 
08/03/20</v>
      </c>
    </row>
    <row r="102" spans="2:13" ht="24" x14ac:dyDescent="0.25">
      <c r="B102" s="55">
        <f t="shared" si="18"/>
        <v>100</v>
      </c>
      <c r="C102" s="56">
        <f t="shared" si="18"/>
        <v>43894</v>
      </c>
      <c r="D102" s="57">
        <f t="shared" si="10"/>
        <v>43894</v>
      </c>
      <c r="E102" s="58">
        <f t="shared" si="17"/>
        <v>15</v>
      </c>
      <c r="F102" s="58">
        <f t="shared" si="17"/>
        <v>10</v>
      </c>
      <c r="G102" s="8">
        <v>202003</v>
      </c>
      <c r="H102" s="8" t="s">
        <v>7004</v>
      </c>
      <c r="I102" s="8">
        <v>202003</v>
      </c>
      <c r="J102" s="8" t="s">
        <v>7004</v>
      </c>
      <c r="K102" s="56">
        <f t="shared" si="11"/>
        <v>43892</v>
      </c>
      <c r="L102" s="56">
        <f t="shared" si="12"/>
        <v>43898</v>
      </c>
      <c r="M102" s="59" t="str">
        <f t="shared" si="13"/>
        <v>02/03/20 @ 
08/03/20</v>
      </c>
    </row>
    <row r="103" spans="2:13" ht="24" x14ac:dyDescent="0.25">
      <c r="B103" s="55">
        <f t="shared" si="18"/>
        <v>101</v>
      </c>
      <c r="C103" s="56">
        <f t="shared" si="18"/>
        <v>43895</v>
      </c>
      <c r="D103" s="57">
        <f t="shared" si="10"/>
        <v>43895</v>
      </c>
      <c r="E103" s="58">
        <f t="shared" si="17"/>
        <v>15</v>
      </c>
      <c r="F103" s="58">
        <f t="shared" si="17"/>
        <v>10</v>
      </c>
      <c r="G103" s="8">
        <v>202003</v>
      </c>
      <c r="H103" s="8" t="s">
        <v>7004</v>
      </c>
      <c r="I103" s="8">
        <v>202003</v>
      </c>
      <c r="J103" s="8" t="s">
        <v>7004</v>
      </c>
      <c r="K103" s="56">
        <f t="shared" si="11"/>
        <v>43892</v>
      </c>
      <c r="L103" s="56">
        <f t="shared" si="12"/>
        <v>43898</v>
      </c>
      <c r="M103" s="59" t="str">
        <f t="shared" si="13"/>
        <v>02/03/20 @ 
08/03/20</v>
      </c>
    </row>
    <row r="104" spans="2:13" ht="24" x14ac:dyDescent="0.25">
      <c r="B104" s="55">
        <f t="shared" si="18"/>
        <v>102</v>
      </c>
      <c r="C104" s="56">
        <f t="shared" si="18"/>
        <v>43896</v>
      </c>
      <c r="D104" s="57">
        <f t="shared" si="10"/>
        <v>43896</v>
      </c>
      <c r="E104" s="58">
        <f t="shared" si="17"/>
        <v>15</v>
      </c>
      <c r="F104" s="58">
        <f t="shared" si="17"/>
        <v>10</v>
      </c>
      <c r="G104" s="8">
        <v>202003</v>
      </c>
      <c r="H104" s="8" t="s">
        <v>7004</v>
      </c>
      <c r="I104" s="8">
        <v>202003</v>
      </c>
      <c r="J104" s="8" t="s">
        <v>7004</v>
      </c>
      <c r="K104" s="56">
        <f t="shared" si="11"/>
        <v>43892</v>
      </c>
      <c r="L104" s="56">
        <f t="shared" si="12"/>
        <v>43898</v>
      </c>
      <c r="M104" s="59" t="str">
        <f t="shared" si="13"/>
        <v>02/03/20 @ 
08/03/20</v>
      </c>
    </row>
    <row r="105" spans="2:13" ht="24" x14ac:dyDescent="0.25">
      <c r="B105" s="55">
        <f t="shared" si="18"/>
        <v>103</v>
      </c>
      <c r="C105" s="56">
        <f t="shared" si="18"/>
        <v>43897</v>
      </c>
      <c r="D105" s="57">
        <f t="shared" si="10"/>
        <v>43897</v>
      </c>
      <c r="E105" s="58">
        <f t="shared" si="17"/>
        <v>15</v>
      </c>
      <c r="F105" s="58">
        <f t="shared" si="17"/>
        <v>10</v>
      </c>
      <c r="G105" s="8">
        <v>202003</v>
      </c>
      <c r="H105" s="8" t="s">
        <v>7004</v>
      </c>
      <c r="I105" s="8">
        <v>202003</v>
      </c>
      <c r="J105" s="8" t="s">
        <v>7004</v>
      </c>
      <c r="K105" s="56">
        <f t="shared" si="11"/>
        <v>43892</v>
      </c>
      <c r="L105" s="56">
        <f t="shared" si="12"/>
        <v>43898</v>
      </c>
      <c r="M105" s="59" t="str">
        <f t="shared" si="13"/>
        <v>02/03/20 @ 
08/03/20</v>
      </c>
    </row>
    <row r="106" spans="2:13" ht="24" x14ac:dyDescent="0.25">
      <c r="B106" s="55">
        <f t="shared" si="18"/>
        <v>104</v>
      </c>
      <c r="C106" s="56">
        <f t="shared" si="18"/>
        <v>43898</v>
      </c>
      <c r="D106" s="57">
        <f t="shared" si="10"/>
        <v>43898</v>
      </c>
      <c r="E106" s="58">
        <f t="shared" ref="E106:F121" si="19">+E99+1</f>
        <v>15</v>
      </c>
      <c r="F106" s="58">
        <f t="shared" si="19"/>
        <v>10</v>
      </c>
      <c r="G106" s="8">
        <v>202003</v>
      </c>
      <c r="H106" s="8" t="s">
        <v>7004</v>
      </c>
      <c r="I106" s="8">
        <v>202003</v>
      </c>
      <c r="J106" s="8" t="s">
        <v>7004</v>
      </c>
      <c r="K106" s="56">
        <f t="shared" si="11"/>
        <v>43892</v>
      </c>
      <c r="L106" s="56">
        <f t="shared" si="12"/>
        <v>43898</v>
      </c>
      <c r="M106" s="59" t="str">
        <f t="shared" si="13"/>
        <v>02/03/20 @ 
08/03/20</v>
      </c>
    </row>
    <row r="107" spans="2:13" ht="24" x14ac:dyDescent="0.25">
      <c r="B107" s="55">
        <f t="shared" si="18"/>
        <v>105</v>
      </c>
      <c r="C107" s="56">
        <f t="shared" si="18"/>
        <v>43899</v>
      </c>
      <c r="D107" s="57">
        <f t="shared" si="10"/>
        <v>43899</v>
      </c>
      <c r="E107" s="58">
        <f t="shared" si="19"/>
        <v>16</v>
      </c>
      <c r="F107" s="58">
        <f t="shared" si="19"/>
        <v>11</v>
      </c>
      <c r="G107" s="8">
        <v>202003</v>
      </c>
      <c r="H107" s="8" t="s">
        <v>7004</v>
      </c>
      <c r="I107" s="8">
        <v>202003</v>
      </c>
      <c r="J107" s="8" t="s">
        <v>7004</v>
      </c>
      <c r="K107" s="56">
        <f t="shared" si="11"/>
        <v>43899</v>
      </c>
      <c r="L107" s="56">
        <f t="shared" si="12"/>
        <v>43905</v>
      </c>
      <c r="M107" s="59" t="str">
        <f t="shared" si="13"/>
        <v>09/03/20 @ 
15/03/20</v>
      </c>
    </row>
    <row r="108" spans="2:13" ht="24" x14ac:dyDescent="0.25">
      <c r="B108" s="55">
        <f t="shared" si="18"/>
        <v>106</v>
      </c>
      <c r="C108" s="56">
        <f t="shared" si="18"/>
        <v>43900</v>
      </c>
      <c r="D108" s="57">
        <f t="shared" si="10"/>
        <v>43900</v>
      </c>
      <c r="E108" s="58">
        <f t="shared" si="19"/>
        <v>16</v>
      </c>
      <c r="F108" s="58">
        <f t="shared" si="19"/>
        <v>11</v>
      </c>
      <c r="G108" s="8">
        <v>202003</v>
      </c>
      <c r="H108" s="8" t="s">
        <v>7004</v>
      </c>
      <c r="I108" s="8">
        <v>202003</v>
      </c>
      <c r="J108" s="8" t="s">
        <v>7004</v>
      </c>
      <c r="K108" s="56">
        <f t="shared" si="11"/>
        <v>43899</v>
      </c>
      <c r="L108" s="56">
        <f t="shared" si="12"/>
        <v>43905</v>
      </c>
      <c r="M108" s="59" t="str">
        <f t="shared" si="13"/>
        <v>09/03/20 @ 
15/03/20</v>
      </c>
    </row>
    <row r="109" spans="2:13" ht="24" x14ac:dyDescent="0.25">
      <c r="B109" s="55">
        <f t="shared" si="18"/>
        <v>107</v>
      </c>
      <c r="C109" s="56">
        <f t="shared" si="18"/>
        <v>43901</v>
      </c>
      <c r="D109" s="57">
        <f t="shared" si="10"/>
        <v>43901</v>
      </c>
      <c r="E109" s="58">
        <f t="shared" si="19"/>
        <v>16</v>
      </c>
      <c r="F109" s="58">
        <f t="shared" si="19"/>
        <v>11</v>
      </c>
      <c r="G109" s="8">
        <v>202003</v>
      </c>
      <c r="H109" s="8" t="s">
        <v>7004</v>
      </c>
      <c r="I109" s="8">
        <v>202003</v>
      </c>
      <c r="J109" s="8" t="s">
        <v>7004</v>
      </c>
      <c r="K109" s="56">
        <f t="shared" si="11"/>
        <v>43899</v>
      </c>
      <c r="L109" s="56">
        <f t="shared" si="12"/>
        <v>43905</v>
      </c>
      <c r="M109" s="59" t="str">
        <f t="shared" si="13"/>
        <v>09/03/20 @ 
15/03/20</v>
      </c>
    </row>
    <row r="110" spans="2:13" ht="24" x14ac:dyDescent="0.25">
      <c r="B110" s="55">
        <f t="shared" si="18"/>
        <v>108</v>
      </c>
      <c r="C110" s="56">
        <f t="shared" si="18"/>
        <v>43902</v>
      </c>
      <c r="D110" s="57">
        <f t="shared" si="10"/>
        <v>43902</v>
      </c>
      <c r="E110" s="58">
        <f t="shared" si="19"/>
        <v>16</v>
      </c>
      <c r="F110" s="58">
        <f t="shared" si="19"/>
        <v>11</v>
      </c>
      <c r="G110" s="8">
        <v>202003</v>
      </c>
      <c r="H110" s="8" t="s">
        <v>7004</v>
      </c>
      <c r="I110" s="8">
        <v>202003</v>
      </c>
      <c r="J110" s="8" t="s">
        <v>7004</v>
      </c>
      <c r="K110" s="56">
        <f t="shared" si="11"/>
        <v>43899</v>
      </c>
      <c r="L110" s="56">
        <f t="shared" si="12"/>
        <v>43905</v>
      </c>
      <c r="M110" s="59" t="str">
        <f t="shared" si="13"/>
        <v>09/03/20 @ 
15/03/20</v>
      </c>
    </row>
    <row r="111" spans="2:13" ht="24" x14ac:dyDescent="0.25">
      <c r="B111" s="55">
        <f t="shared" si="18"/>
        <v>109</v>
      </c>
      <c r="C111" s="56">
        <f t="shared" si="18"/>
        <v>43903</v>
      </c>
      <c r="D111" s="57">
        <f t="shared" si="10"/>
        <v>43903</v>
      </c>
      <c r="E111" s="58">
        <f t="shared" si="19"/>
        <v>16</v>
      </c>
      <c r="F111" s="58">
        <f t="shared" si="19"/>
        <v>11</v>
      </c>
      <c r="G111" s="8">
        <v>202003</v>
      </c>
      <c r="H111" s="8" t="s">
        <v>7004</v>
      </c>
      <c r="I111" s="8">
        <v>202003</v>
      </c>
      <c r="J111" s="8" t="s">
        <v>7004</v>
      </c>
      <c r="K111" s="56">
        <f t="shared" si="11"/>
        <v>43899</v>
      </c>
      <c r="L111" s="56">
        <f t="shared" si="12"/>
        <v>43905</v>
      </c>
      <c r="M111" s="59" t="str">
        <f t="shared" si="13"/>
        <v>09/03/20 @ 
15/03/20</v>
      </c>
    </row>
    <row r="112" spans="2:13" ht="24" x14ac:dyDescent="0.25">
      <c r="B112" s="55">
        <f t="shared" si="18"/>
        <v>110</v>
      </c>
      <c r="C112" s="56">
        <f t="shared" si="18"/>
        <v>43904</v>
      </c>
      <c r="D112" s="57">
        <f t="shared" si="10"/>
        <v>43904</v>
      </c>
      <c r="E112" s="58">
        <f t="shared" si="19"/>
        <v>16</v>
      </c>
      <c r="F112" s="58">
        <f t="shared" si="19"/>
        <v>11</v>
      </c>
      <c r="G112" s="8">
        <v>202003</v>
      </c>
      <c r="H112" s="8" t="s">
        <v>7004</v>
      </c>
      <c r="I112" s="8">
        <v>202003</v>
      </c>
      <c r="J112" s="8" t="s">
        <v>7004</v>
      </c>
      <c r="K112" s="56">
        <f t="shared" si="11"/>
        <v>43899</v>
      </c>
      <c r="L112" s="56">
        <f t="shared" si="12"/>
        <v>43905</v>
      </c>
      <c r="M112" s="59" t="str">
        <f t="shared" si="13"/>
        <v>09/03/20 @ 
15/03/20</v>
      </c>
    </row>
    <row r="113" spans="2:13" ht="24" x14ac:dyDescent="0.25">
      <c r="B113" s="55">
        <f t="shared" si="18"/>
        <v>111</v>
      </c>
      <c r="C113" s="56">
        <f t="shared" si="18"/>
        <v>43905</v>
      </c>
      <c r="D113" s="57">
        <f t="shared" si="10"/>
        <v>43905</v>
      </c>
      <c r="E113" s="58">
        <f t="shared" si="19"/>
        <v>16</v>
      </c>
      <c r="F113" s="58">
        <f t="shared" si="19"/>
        <v>11</v>
      </c>
      <c r="G113" s="8">
        <v>202003</v>
      </c>
      <c r="H113" s="8" t="s">
        <v>7004</v>
      </c>
      <c r="I113" s="8">
        <v>202003</v>
      </c>
      <c r="J113" s="8" t="s">
        <v>7004</v>
      </c>
      <c r="K113" s="56">
        <f t="shared" si="11"/>
        <v>43899</v>
      </c>
      <c r="L113" s="56">
        <f t="shared" si="12"/>
        <v>43905</v>
      </c>
      <c r="M113" s="59" t="str">
        <f t="shared" si="13"/>
        <v>09/03/20 @ 
15/03/20</v>
      </c>
    </row>
    <row r="114" spans="2:13" ht="24" x14ac:dyDescent="0.25">
      <c r="B114" s="55">
        <f t="shared" si="18"/>
        <v>112</v>
      </c>
      <c r="C114" s="56">
        <f t="shared" si="18"/>
        <v>43906</v>
      </c>
      <c r="D114" s="57">
        <f t="shared" si="10"/>
        <v>43906</v>
      </c>
      <c r="E114" s="58">
        <f t="shared" si="19"/>
        <v>17</v>
      </c>
      <c r="F114" s="58">
        <f t="shared" si="19"/>
        <v>12</v>
      </c>
      <c r="G114" s="8">
        <v>202003</v>
      </c>
      <c r="H114" s="8" t="s">
        <v>7004</v>
      </c>
      <c r="I114" s="8">
        <v>202003</v>
      </c>
      <c r="J114" s="8" t="s">
        <v>7004</v>
      </c>
      <c r="K114" s="56">
        <f t="shared" si="11"/>
        <v>43906</v>
      </c>
      <c r="L114" s="56">
        <f t="shared" si="12"/>
        <v>43912</v>
      </c>
      <c r="M114" s="59" t="str">
        <f t="shared" si="13"/>
        <v>16/03/20 @ 
22/03/20</v>
      </c>
    </row>
    <row r="115" spans="2:13" ht="24" x14ac:dyDescent="0.25">
      <c r="B115" s="55">
        <f t="shared" si="18"/>
        <v>113</v>
      </c>
      <c r="C115" s="56">
        <f t="shared" si="18"/>
        <v>43907</v>
      </c>
      <c r="D115" s="57">
        <f t="shared" si="10"/>
        <v>43907</v>
      </c>
      <c r="E115" s="58">
        <f t="shared" si="19"/>
        <v>17</v>
      </c>
      <c r="F115" s="58">
        <f t="shared" si="19"/>
        <v>12</v>
      </c>
      <c r="G115" s="8">
        <v>202003</v>
      </c>
      <c r="H115" s="8" t="s">
        <v>7004</v>
      </c>
      <c r="I115" s="8">
        <v>202003</v>
      </c>
      <c r="J115" s="8" t="s">
        <v>7004</v>
      </c>
      <c r="K115" s="56">
        <f t="shared" si="11"/>
        <v>43906</v>
      </c>
      <c r="L115" s="56">
        <f t="shared" si="12"/>
        <v>43912</v>
      </c>
      <c r="M115" s="59" t="str">
        <f t="shared" si="13"/>
        <v>16/03/20 @ 
22/03/20</v>
      </c>
    </row>
    <row r="116" spans="2:13" ht="24" x14ac:dyDescent="0.25">
      <c r="B116" s="55">
        <f t="shared" si="18"/>
        <v>114</v>
      </c>
      <c r="C116" s="56">
        <f t="shared" si="18"/>
        <v>43908</v>
      </c>
      <c r="D116" s="57">
        <f t="shared" si="10"/>
        <v>43908</v>
      </c>
      <c r="E116" s="58">
        <f t="shared" si="19"/>
        <v>17</v>
      </c>
      <c r="F116" s="58">
        <f t="shared" si="19"/>
        <v>12</v>
      </c>
      <c r="G116" s="8">
        <v>202003</v>
      </c>
      <c r="H116" s="8" t="s">
        <v>7004</v>
      </c>
      <c r="I116" s="8">
        <v>202003</v>
      </c>
      <c r="J116" s="8" t="s">
        <v>7004</v>
      </c>
      <c r="K116" s="56">
        <f t="shared" si="11"/>
        <v>43906</v>
      </c>
      <c r="L116" s="56">
        <f t="shared" si="12"/>
        <v>43912</v>
      </c>
      <c r="M116" s="59" t="str">
        <f t="shared" si="13"/>
        <v>16/03/20 @ 
22/03/20</v>
      </c>
    </row>
    <row r="117" spans="2:13" ht="24" x14ac:dyDescent="0.25">
      <c r="B117" s="55">
        <f t="shared" ref="B117:C132" si="20">+B116+1</f>
        <v>115</v>
      </c>
      <c r="C117" s="56">
        <f t="shared" si="20"/>
        <v>43909</v>
      </c>
      <c r="D117" s="57">
        <f t="shared" si="10"/>
        <v>43909</v>
      </c>
      <c r="E117" s="58">
        <f t="shared" si="19"/>
        <v>17</v>
      </c>
      <c r="F117" s="58">
        <f t="shared" si="19"/>
        <v>12</v>
      </c>
      <c r="G117" s="8">
        <v>202003</v>
      </c>
      <c r="H117" s="8" t="s">
        <v>7004</v>
      </c>
      <c r="I117" s="8">
        <v>202003</v>
      </c>
      <c r="J117" s="8" t="s">
        <v>7004</v>
      </c>
      <c r="K117" s="56">
        <f t="shared" si="11"/>
        <v>43906</v>
      </c>
      <c r="L117" s="56">
        <f t="shared" si="12"/>
        <v>43912</v>
      </c>
      <c r="M117" s="59" t="str">
        <f t="shared" si="13"/>
        <v>16/03/20 @ 
22/03/20</v>
      </c>
    </row>
    <row r="118" spans="2:13" ht="24" x14ac:dyDescent="0.25">
      <c r="B118" s="55">
        <f t="shared" si="20"/>
        <v>116</v>
      </c>
      <c r="C118" s="56">
        <f t="shared" si="20"/>
        <v>43910</v>
      </c>
      <c r="D118" s="57">
        <f t="shared" si="10"/>
        <v>43910</v>
      </c>
      <c r="E118" s="58">
        <f t="shared" si="19"/>
        <v>17</v>
      </c>
      <c r="F118" s="58">
        <f t="shared" si="19"/>
        <v>12</v>
      </c>
      <c r="G118" s="8">
        <v>202003</v>
      </c>
      <c r="H118" s="8" t="s">
        <v>7004</v>
      </c>
      <c r="I118" s="8">
        <v>202003</v>
      </c>
      <c r="J118" s="8" t="s">
        <v>7004</v>
      </c>
      <c r="K118" s="56">
        <f t="shared" si="11"/>
        <v>43906</v>
      </c>
      <c r="L118" s="56">
        <f t="shared" si="12"/>
        <v>43912</v>
      </c>
      <c r="M118" s="59" t="str">
        <f t="shared" si="13"/>
        <v>16/03/20 @ 
22/03/20</v>
      </c>
    </row>
    <row r="119" spans="2:13" ht="24" x14ac:dyDescent="0.25">
      <c r="B119" s="55">
        <f t="shared" si="20"/>
        <v>117</v>
      </c>
      <c r="C119" s="56">
        <f t="shared" si="20"/>
        <v>43911</v>
      </c>
      <c r="D119" s="57">
        <f t="shared" si="10"/>
        <v>43911</v>
      </c>
      <c r="E119" s="58">
        <f t="shared" si="19"/>
        <v>17</v>
      </c>
      <c r="F119" s="58">
        <f t="shared" si="19"/>
        <v>12</v>
      </c>
      <c r="G119" s="8">
        <v>202003</v>
      </c>
      <c r="H119" s="8" t="s">
        <v>7004</v>
      </c>
      <c r="I119" s="8">
        <v>202004</v>
      </c>
      <c r="J119" s="8" t="s">
        <v>7005</v>
      </c>
      <c r="K119" s="56">
        <f t="shared" si="11"/>
        <v>43906</v>
      </c>
      <c r="L119" s="56">
        <f t="shared" si="12"/>
        <v>43912</v>
      </c>
      <c r="M119" s="59" t="str">
        <f t="shared" si="13"/>
        <v>16/03/20 @ 
22/03/20</v>
      </c>
    </row>
    <row r="120" spans="2:13" ht="24" x14ac:dyDescent="0.25">
      <c r="B120" s="55">
        <f t="shared" si="20"/>
        <v>118</v>
      </c>
      <c r="C120" s="56">
        <f t="shared" si="20"/>
        <v>43912</v>
      </c>
      <c r="D120" s="57">
        <f t="shared" si="10"/>
        <v>43912</v>
      </c>
      <c r="E120" s="58">
        <f t="shared" si="19"/>
        <v>17</v>
      </c>
      <c r="F120" s="58">
        <f t="shared" si="19"/>
        <v>12</v>
      </c>
      <c r="G120" s="8">
        <v>202003</v>
      </c>
      <c r="H120" s="8" t="s">
        <v>7004</v>
      </c>
      <c r="I120" s="8">
        <v>202004</v>
      </c>
      <c r="J120" s="8" t="s">
        <v>7005</v>
      </c>
      <c r="K120" s="56">
        <f t="shared" si="11"/>
        <v>43906</v>
      </c>
      <c r="L120" s="56">
        <f t="shared" si="12"/>
        <v>43912</v>
      </c>
      <c r="M120" s="59" t="str">
        <f t="shared" si="13"/>
        <v>16/03/20 @ 
22/03/20</v>
      </c>
    </row>
    <row r="121" spans="2:13" ht="24" x14ac:dyDescent="0.25">
      <c r="B121" s="55">
        <f t="shared" si="20"/>
        <v>119</v>
      </c>
      <c r="C121" s="56">
        <f t="shared" si="20"/>
        <v>43913</v>
      </c>
      <c r="D121" s="57">
        <f t="shared" si="10"/>
        <v>43913</v>
      </c>
      <c r="E121" s="58">
        <f t="shared" si="19"/>
        <v>18</v>
      </c>
      <c r="F121" s="58">
        <f t="shared" si="19"/>
        <v>13</v>
      </c>
      <c r="G121" s="8">
        <v>202003</v>
      </c>
      <c r="H121" s="8" t="s">
        <v>7004</v>
      </c>
      <c r="I121" s="8">
        <v>202004</v>
      </c>
      <c r="J121" s="8" t="s">
        <v>7005</v>
      </c>
      <c r="K121" s="56">
        <f t="shared" si="11"/>
        <v>43913</v>
      </c>
      <c r="L121" s="56">
        <f t="shared" si="12"/>
        <v>43919</v>
      </c>
      <c r="M121" s="59" t="str">
        <f t="shared" si="13"/>
        <v>23/03/20 @ 
29/03/20</v>
      </c>
    </row>
    <row r="122" spans="2:13" ht="24" x14ac:dyDescent="0.25">
      <c r="B122" s="55">
        <f t="shared" si="20"/>
        <v>120</v>
      </c>
      <c r="C122" s="56">
        <f t="shared" si="20"/>
        <v>43914</v>
      </c>
      <c r="D122" s="57">
        <f t="shared" si="10"/>
        <v>43914</v>
      </c>
      <c r="E122" s="58">
        <f t="shared" ref="E122:F137" si="21">+E115+1</f>
        <v>18</v>
      </c>
      <c r="F122" s="58">
        <f t="shared" si="21"/>
        <v>13</v>
      </c>
      <c r="G122" s="8">
        <v>202003</v>
      </c>
      <c r="H122" s="8" t="s">
        <v>7004</v>
      </c>
      <c r="I122" s="8">
        <v>202004</v>
      </c>
      <c r="J122" s="8" t="s">
        <v>7005</v>
      </c>
      <c r="K122" s="56">
        <f t="shared" si="11"/>
        <v>43913</v>
      </c>
      <c r="L122" s="56">
        <f t="shared" si="12"/>
        <v>43919</v>
      </c>
      <c r="M122" s="59" t="str">
        <f t="shared" si="13"/>
        <v>23/03/20 @ 
29/03/20</v>
      </c>
    </row>
    <row r="123" spans="2:13" ht="24" x14ac:dyDescent="0.25">
      <c r="B123" s="55">
        <f t="shared" si="20"/>
        <v>121</v>
      </c>
      <c r="C123" s="56">
        <f t="shared" si="20"/>
        <v>43915</v>
      </c>
      <c r="D123" s="57">
        <f t="shared" si="10"/>
        <v>43915</v>
      </c>
      <c r="E123" s="58">
        <f t="shared" si="21"/>
        <v>18</v>
      </c>
      <c r="F123" s="58">
        <f t="shared" si="21"/>
        <v>13</v>
      </c>
      <c r="G123" s="8">
        <v>202003</v>
      </c>
      <c r="H123" s="8" t="s">
        <v>7004</v>
      </c>
      <c r="I123" s="8">
        <v>202004</v>
      </c>
      <c r="J123" s="8" t="s">
        <v>7005</v>
      </c>
      <c r="K123" s="56">
        <f t="shared" si="11"/>
        <v>43913</v>
      </c>
      <c r="L123" s="56">
        <f t="shared" si="12"/>
        <v>43919</v>
      </c>
      <c r="M123" s="59" t="str">
        <f t="shared" si="13"/>
        <v>23/03/20 @ 
29/03/20</v>
      </c>
    </row>
    <row r="124" spans="2:13" ht="24" x14ac:dyDescent="0.25">
      <c r="B124" s="55">
        <f t="shared" si="20"/>
        <v>122</v>
      </c>
      <c r="C124" s="56">
        <f t="shared" si="20"/>
        <v>43916</v>
      </c>
      <c r="D124" s="57">
        <f t="shared" si="10"/>
        <v>43916</v>
      </c>
      <c r="E124" s="58">
        <f t="shared" si="21"/>
        <v>18</v>
      </c>
      <c r="F124" s="58">
        <f t="shared" si="21"/>
        <v>13</v>
      </c>
      <c r="G124" s="8">
        <v>202003</v>
      </c>
      <c r="H124" s="8" t="s">
        <v>7004</v>
      </c>
      <c r="I124" s="8">
        <v>202004</v>
      </c>
      <c r="J124" s="8" t="s">
        <v>7005</v>
      </c>
      <c r="K124" s="56">
        <f t="shared" si="11"/>
        <v>43913</v>
      </c>
      <c r="L124" s="56">
        <f t="shared" si="12"/>
        <v>43919</v>
      </c>
      <c r="M124" s="59" t="str">
        <f t="shared" si="13"/>
        <v>23/03/20 @ 
29/03/20</v>
      </c>
    </row>
    <row r="125" spans="2:13" ht="24" x14ac:dyDescent="0.25">
      <c r="B125" s="55">
        <f t="shared" si="20"/>
        <v>123</v>
      </c>
      <c r="C125" s="56">
        <f t="shared" si="20"/>
        <v>43917</v>
      </c>
      <c r="D125" s="57">
        <f t="shared" si="10"/>
        <v>43917</v>
      </c>
      <c r="E125" s="58">
        <f t="shared" si="21"/>
        <v>18</v>
      </c>
      <c r="F125" s="58">
        <f t="shared" si="21"/>
        <v>13</v>
      </c>
      <c r="G125" s="8">
        <v>202003</v>
      </c>
      <c r="H125" s="8" t="s">
        <v>7004</v>
      </c>
      <c r="I125" s="8">
        <v>202004</v>
      </c>
      <c r="J125" s="8" t="s">
        <v>7005</v>
      </c>
      <c r="K125" s="56">
        <f t="shared" si="11"/>
        <v>43913</v>
      </c>
      <c r="L125" s="56">
        <f t="shared" si="12"/>
        <v>43919</v>
      </c>
      <c r="M125" s="59" t="str">
        <f t="shared" si="13"/>
        <v>23/03/20 @ 
29/03/20</v>
      </c>
    </row>
    <row r="126" spans="2:13" ht="24" x14ac:dyDescent="0.25">
      <c r="B126" s="55">
        <f t="shared" si="20"/>
        <v>124</v>
      </c>
      <c r="C126" s="56">
        <f t="shared" si="20"/>
        <v>43918</v>
      </c>
      <c r="D126" s="57">
        <f t="shared" si="10"/>
        <v>43918</v>
      </c>
      <c r="E126" s="58">
        <f t="shared" si="21"/>
        <v>18</v>
      </c>
      <c r="F126" s="58">
        <f t="shared" si="21"/>
        <v>13</v>
      </c>
      <c r="G126" s="8">
        <v>202003</v>
      </c>
      <c r="H126" s="8" t="s">
        <v>7004</v>
      </c>
      <c r="I126" s="8">
        <v>202004</v>
      </c>
      <c r="J126" s="8" t="s">
        <v>7005</v>
      </c>
      <c r="K126" s="56">
        <f t="shared" si="11"/>
        <v>43913</v>
      </c>
      <c r="L126" s="56">
        <f t="shared" si="12"/>
        <v>43919</v>
      </c>
      <c r="M126" s="59" t="str">
        <f t="shared" si="13"/>
        <v>23/03/20 @ 
29/03/20</v>
      </c>
    </row>
    <row r="127" spans="2:13" ht="24" x14ac:dyDescent="0.25">
      <c r="B127" s="55">
        <f t="shared" si="20"/>
        <v>125</v>
      </c>
      <c r="C127" s="56">
        <f t="shared" si="20"/>
        <v>43919</v>
      </c>
      <c r="D127" s="57">
        <f t="shared" si="10"/>
        <v>43919</v>
      </c>
      <c r="E127" s="58">
        <f t="shared" si="21"/>
        <v>18</v>
      </c>
      <c r="F127" s="58">
        <f t="shared" si="21"/>
        <v>13</v>
      </c>
      <c r="G127" s="8">
        <v>202003</v>
      </c>
      <c r="H127" s="8" t="s">
        <v>7004</v>
      </c>
      <c r="I127" s="8">
        <v>202004</v>
      </c>
      <c r="J127" s="8" t="s">
        <v>7005</v>
      </c>
      <c r="K127" s="56">
        <f t="shared" si="11"/>
        <v>43913</v>
      </c>
      <c r="L127" s="56">
        <f t="shared" si="12"/>
        <v>43919</v>
      </c>
      <c r="M127" s="59" t="str">
        <f t="shared" si="13"/>
        <v>23/03/20 @ 
29/03/20</v>
      </c>
    </row>
    <row r="128" spans="2:13" ht="24" x14ac:dyDescent="0.25">
      <c r="B128" s="55">
        <f t="shared" si="20"/>
        <v>126</v>
      </c>
      <c r="C128" s="56">
        <f t="shared" si="20"/>
        <v>43920</v>
      </c>
      <c r="D128" s="57">
        <f t="shared" si="10"/>
        <v>43920</v>
      </c>
      <c r="E128" s="58">
        <f t="shared" si="21"/>
        <v>19</v>
      </c>
      <c r="F128" s="58">
        <f t="shared" si="21"/>
        <v>14</v>
      </c>
      <c r="G128" s="8">
        <v>202004</v>
      </c>
      <c r="H128" s="8" t="s">
        <v>7005</v>
      </c>
      <c r="I128" s="8">
        <v>202004</v>
      </c>
      <c r="J128" s="8" t="s">
        <v>7005</v>
      </c>
      <c r="K128" s="56">
        <f t="shared" si="11"/>
        <v>43920</v>
      </c>
      <c r="L128" s="56">
        <f t="shared" si="12"/>
        <v>43926</v>
      </c>
      <c r="M128" s="59" t="str">
        <f t="shared" si="13"/>
        <v>30/03/20 @ 
05/04/20</v>
      </c>
    </row>
    <row r="129" spans="2:13" ht="24" x14ac:dyDescent="0.25">
      <c r="B129" s="55">
        <f t="shared" si="20"/>
        <v>127</v>
      </c>
      <c r="C129" s="56">
        <f t="shared" si="20"/>
        <v>43921</v>
      </c>
      <c r="D129" s="57">
        <f t="shared" si="10"/>
        <v>43921</v>
      </c>
      <c r="E129" s="58">
        <f t="shared" si="21"/>
        <v>19</v>
      </c>
      <c r="F129" s="58">
        <f t="shared" si="21"/>
        <v>14</v>
      </c>
      <c r="G129" s="8">
        <v>202004</v>
      </c>
      <c r="H129" s="8" t="s">
        <v>7005</v>
      </c>
      <c r="I129" s="8">
        <v>202004</v>
      </c>
      <c r="J129" s="8" t="s">
        <v>7005</v>
      </c>
      <c r="K129" s="56">
        <f t="shared" si="11"/>
        <v>43920</v>
      </c>
      <c r="L129" s="56">
        <f t="shared" si="12"/>
        <v>43926</v>
      </c>
      <c r="M129" s="59" t="str">
        <f t="shared" si="13"/>
        <v>30/03/20 @ 
05/04/20</v>
      </c>
    </row>
    <row r="130" spans="2:13" ht="24" x14ac:dyDescent="0.25">
      <c r="B130" s="55">
        <f t="shared" si="20"/>
        <v>128</v>
      </c>
      <c r="C130" s="56">
        <f t="shared" si="20"/>
        <v>43922</v>
      </c>
      <c r="D130" s="57">
        <f t="shared" si="10"/>
        <v>43922</v>
      </c>
      <c r="E130" s="58">
        <f t="shared" si="21"/>
        <v>19</v>
      </c>
      <c r="F130" s="58">
        <f t="shared" si="21"/>
        <v>14</v>
      </c>
      <c r="G130" s="8">
        <v>202004</v>
      </c>
      <c r="H130" s="8" t="s">
        <v>7005</v>
      </c>
      <c r="I130" s="8">
        <v>202004</v>
      </c>
      <c r="J130" s="8" t="s">
        <v>7005</v>
      </c>
      <c r="K130" s="56">
        <f t="shared" si="11"/>
        <v>43920</v>
      </c>
      <c r="L130" s="56">
        <f t="shared" si="12"/>
        <v>43926</v>
      </c>
      <c r="M130" s="59" t="str">
        <f t="shared" si="13"/>
        <v>30/03/20 @ 
05/04/20</v>
      </c>
    </row>
    <row r="131" spans="2:13" ht="24" x14ac:dyDescent="0.25">
      <c r="B131" s="55">
        <f t="shared" si="20"/>
        <v>129</v>
      </c>
      <c r="C131" s="56">
        <f t="shared" si="20"/>
        <v>43923</v>
      </c>
      <c r="D131" s="57">
        <f t="shared" ref="D131:D194" si="22">+C131</f>
        <v>43923</v>
      </c>
      <c r="E131" s="58">
        <f t="shared" si="21"/>
        <v>19</v>
      </c>
      <c r="F131" s="58">
        <f t="shared" si="21"/>
        <v>14</v>
      </c>
      <c r="G131" s="8">
        <v>202004</v>
      </c>
      <c r="H131" s="8" t="s">
        <v>7005</v>
      </c>
      <c r="I131" s="8">
        <v>202004</v>
      </c>
      <c r="J131" s="8" t="s">
        <v>7005</v>
      </c>
      <c r="K131" s="56">
        <f t="shared" ref="K131:K194" si="23">_xlfn.MINIFS($C$2:$C$890,$E$2:$E$890,E131)</f>
        <v>43920</v>
      </c>
      <c r="L131" s="56">
        <f t="shared" ref="L131:L194" si="24">_xlfn.MAXIFS($C$2:$C$890,$E$2:$E$890,E131)</f>
        <v>43926</v>
      </c>
      <c r="M131" s="59" t="str">
        <f t="shared" ref="M131:M194" si="25">CONCATENATE(TEXT(K131,"DD/MM/YY")," @ ",CHAR(10),TEXT(L131,"DD/MM/YY"))</f>
        <v>30/03/20 @ 
05/04/20</v>
      </c>
    </row>
    <row r="132" spans="2:13" ht="24" x14ac:dyDescent="0.25">
      <c r="B132" s="55">
        <f t="shared" si="20"/>
        <v>130</v>
      </c>
      <c r="C132" s="56">
        <f t="shared" si="20"/>
        <v>43924</v>
      </c>
      <c r="D132" s="57">
        <f t="shared" si="22"/>
        <v>43924</v>
      </c>
      <c r="E132" s="58">
        <f t="shared" si="21"/>
        <v>19</v>
      </c>
      <c r="F132" s="58">
        <f t="shared" si="21"/>
        <v>14</v>
      </c>
      <c r="G132" s="8">
        <v>202004</v>
      </c>
      <c r="H132" s="8" t="s">
        <v>7005</v>
      </c>
      <c r="I132" s="8">
        <v>202004</v>
      </c>
      <c r="J132" s="8" t="s">
        <v>7005</v>
      </c>
      <c r="K132" s="56">
        <f t="shared" si="23"/>
        <v>43920</v>
      </c>
      <c r="L132" s="56">
        <f t="shared" si="24"/>
        <v>43926</v>
      </c>
      <c r="M132" s="59" t="str">
        <f t="shared" si="25"/>
        <v>30/03/20 @ 
05/04/20</v>
      </c>
    </row>
    <row r="133" spans="2:13" ht="24" x14ac:dyDescent="0.25">
      <c r="B133" s="55">
        <f t="shared" ref="B133:C148" si="26">+B132+1</f>
        <v>131</v>
      </c>
      <c r="C133" s="56">
        <f t="shared" si="26"/>
        <v>43925</v>
      </c>
      <c r="D133" s="57">
        <f t="shared" si="22"/>
        <v>43925</v>
      </c>
      <c r="E133" s="58">
        <f t="shared" si="21"/>
        <v>19</v>
      </c>
      <c r="F133" s="58">
        <f t="shared" si="21"/>
        <v>14</v>
      </c>
      <c r="G133" s="8">
        <v>202004</v>
      </c>
      <c r="H133" s="8" t="s">
        <v>7005</v>
      </c>
      <c r="I133" s="8">
        <v>202004</v>
      </c>
      <c r="J133" s="8" t="s">
        <v>7005</v>
      </c>
      <c r="K133" s="56">
        <f t="shared" si="23"/>
        <v>43920</v>
      </c>
      <c r="L133" s="56">
        <f t="shared" si="24"/>
        <v>43926</v>
      </c>
      <c r="M133" s="59" t="str">
        <f t="shared" si="25"/>
        <v>30/03/20 @ 
05/04/20</v>
      </c>
    </row>
    <row r="134" spans="2:13" ht="24" x14ac:dyDescent="0.25">
      <c r="B134" s="55">
        <f t="shared" si="26"/>
        <v>132</v>
      </c>
      <c r="C134" s="56">
        <f t="shared" si="26"/>
        <v>43926</v>
      </c>
      <c r="D134" s="57">
        <f t="shared" si="22"/>
        <v>43926</v>
      </c>
      <c r="E134" s="58">
        <f t="shared" si="21"/>
        <v>19</v>
      </c>
      <c r="F134" s="58">
        <f t="shared" si="21"/>
        <v>14</v>
      </c>
      <c r="G134" s="8">
        <v>202004</v>
      </c>
      <c r="H134" s="8" t="s">
        <v>7005</v>
      </c>
      <c r="I134" s="8">
        <v>202004</v>
      </c>
      <c r="J134" s="8" t="s">
        <v>7005</v>
      </c>
      <c r="K134" s="56">
        <f t="shared" si="23"/>
        <v>43920</v>
      </c>
      <c r="L134" s="56">
        <f t="shared" si="24"/>
        <v>43926</v>
      </c>
      <c r="M134" s="59" t="str">
        <f t="shared" si="25"/>
        <v>30/03/20 @ 
05/04/20</v>
      </c>
    </row>
    <row r="135" spans="2:13" ht="24" x14ac:dyDescent="0.25">
      <c r="B135" s="55">
        <f t="shared" si="26"/>
        <v>133</v>
      </c>
      <c r="C135" s="56">
        <f t="shared" si="26"/>
        <v>43927</v>
      </c>
      <c r="D135" s="57">
        <f t="shared" si="22"/>
        <v>43927</v>
      </c>
      <c r="E135" s="58">
        <f t="shared" si="21"/>
        <v>20</v>
      </c>
      <c r="F135" s="58">
        <f t="shared" si="21"/>
        <v>15</v>
      </c>
      <c r="G135" s="8">
        <v>202004</v>
      </c>
      <c r="H135" s="8" t="s">
        <v>7005</v>
      </c>
      <c r="I135" s="8">
        <v>202004</v>
      </c>
      <c r="J135" s="8" t="s">
        <v>7005</v>
      </c>
      <c r="K135" s="56">
        <f t="shared" si="23"/>
        <v>43927</v>
      </c>
      <c r="L135" s="56">
        <f t="shared" si="24"/>
        <v>43933</v>
      </c>
      <c r="M135" s="59" t="str">
        <f t="shared" si="25"/>
        <v>06/04/20 @ 
12/04/20</v>
      </c>
    </row>
    <row r="136" spans="2:13" ht="24" x14ac:dyDescent="0.25">
      <c r="B136" s="55">
        <f t="shared" si="26"/>
        <v>134</v>
      </c>
      <c r="C136" s="56">
        <f t="shared" si="26"/>
        <v>43928</v>
      </c>
      <c r="D136" s="57">
        <f t="shared" si="22"/>
        <v>43928</v>
      </c>
      <c r="E136" s="58">
        <f t="shared" si="21"/>
        <v>20</v>
      </c>
      <c r="F136" s="58">
        <f t="shared" si="21"/>
        <v>15</v>
      </c>
      <c r="G136" s="8">
        <v>202004</v>
      </c>
      <c r="H136" s="8" t="s">
        <v>7005</v>
      </c>
      <c r="I136" s="8">
        <v>202004</v>
      </c>
      <c r="J136" s="8" t="s">
        <v>7005</v>
      </c>
      <c r="K136" s="56">
        <f t="shared" si="23"/>
        <v>43927</v>
      </c>
      <c r="L136" s="56">
        <f t="shared" si="24"/>
        <v>43933</v>
      </c>
      <c r="M136" s="59" t="str">
        <f t="shared" si="25"/>
        <v>06/04/20 @ 
12/04/20</v>
      </c>
    </row>
    <row r="137" spans="2:13" ht="24" x14ac:dyDescent="0.25">
      <c r="B137" s="55">
        <f t="shared" si="26"/>
        <v>135</v>
      </c>
      <c r="C137" s="56">
        <f t="shared" si="26"/>
        <v>43929</v>
      </c>
      <c r="D137" s="57">
        <f t="shared" si="22"/>
        <v>43929</v>
      </c>
      <c r="E137" s="58">
        <f t="shared" si="21"/>
        <v>20</v>
      </c>
      <c r="F137" s="58">
        <f t="shared" si="21"/>
        <v>15</v>
      </c>
      <c r="G137" s="8">
        <v>202004</v>
      </c>
      <c r="H137" s="8" t="s">
        <v>7005</v>
      </c>
      <c r="I137" s="8">
        <v>202004</v>
      </c>
      <c r="J137" s="8" t="s">
        <v>7005</v>
      </c>
      <c r="K137" s="56">
        <f t="shared" si="23"/>
        <v>43927</v>
      </c>
      <c r="L137" s="56">
        <f t="shared" si="24"/>
        <v>43933</v>
      </c>
      <c r="M137" s="59" t="str">
        <f t="shared" si="25"/>
        <v>06/04/20 @ 
12/04/20</v>
      </c>
    </row>
    <row r="138" spans="2:13" ht="24" x14ac:dyDescent="0.25">
      <c r="B138" s="55">
        <f t="shared" si="26"/>
        <v>136</v>
      </c>
      <c r="C138" s="56">
        <f t="shared" si="26"/>
        <v>43930</v>
      </c>
      <c r="D138" s="57">
        <f t="shared" si="22"/>
        <v>43930</v>
      </c>
      <c r="E138" s="58">
        <f t="shared" ref="E138:F153" si="27">+E131+1</f>
        <v>20</v>
      </c>
      <c r="F138" s="58">
        <f t="shared" si="27"/>
        <v>15</v>
      </c>
      <c r="G138" s="8">
        <v>202004</v>
      </c>
      <c r="H138" s="8" t="s">
        <v>7005</v>
      </c>
      <c r="I138" s="8">
        <v>202004</v>
      </c>
      <c r="J138" s="8" t="s">
        <v>7005</v>
      </c>
      <c r="K138" s="56">
        <f t="shared" si="23"/>
        <v>43927</v>
      </c>
      <c r="L138" s="56">
        <f t="shared" si="24"/>
        <v>43933</v>
      </c>
      <c r="M138" s="59" t="str">
        <f t="shared" si="25"/>
        <v>06/04/20 @ 
12/04/20</v>
      </c>
    </row>
    <row r="139" spans="2:13" ht="24" x14ac:dyDescent="0.25">
      <c r="B139" s="55">
        <f t="shared" si="26"/>
        <v>137</v>
      </c>
      <c r="C139" s="56">
        <f t="shared" si="26"/>
        <v>43931</v>
      </c>
      <c r="D139" s="57">
        <f t="shared" si="22"/>
        <v>43931</v>
      </c>
      <c r="E139" s="58">
        <f t="shared" si="27"/>
        <v>20</v>
      </c>
      <c r="F139" s="58">
        <f t="shared" si="27"/>
        <v>15</v>
      </c>
      <c r="G139" s="8">
        <v>202004</v>
      </c>
      <c r="H139" s="8" t="s">
        <v>7005</v>
      </c>
      <c r="I139" s="8">
        <v>202004</v>
      </c>
      <c r="J139" s="8" t="s">
        <v>7005</v>
      </c>
      <c r="K139" s="56">
        <f t="shared" si="23"/>
        <v>43927</v>
      </c>
      <c r="L139" s="56">
        <f t="shared" si="24"/>
        <v>43933</v>
      </c>
      <c r="M139" s="59" t="str">
        <f t="shared" si="25"/>
        <v>06/04/20 @ 
12/04/20</v>
      </c>
    </row>
    <row r="140" spans="2:13" ht="24" x14ac:dyDescent="0.25">
      <c r="B140" s="55">
        <f t="shared" si="26"/>
        <v>138</v>
      </c>
      <c r="C140" s="56">
        <f t="shared" si="26"/>
        <v>43932</v>
      </c>
      <c r="D140" s="57">
        <f t="shared" si="22"/>
        <v>43932</v>
      </c>
      <c r="E140" s="58">
        <f t="shared" si="27"/>
        <v>20</v>
      </c>
      <c r="F140" s="58">
        <f t="shared" si="27"/>
        <v>15</v>
      </c>
      <c r="G140" s="8">
        <v>202004</v>
      </c>
      <c r="H140" s="8" t="s">
        <v>7005</v>
      </c>
      <c r="I140" s="8">
        <v>202004</v>
      </c>
      <c r="J140" s="8" t="s">
        <v>7005</v>
      </c>
      <c r="K140" s="56">
        <f t="shared" si="23"/>
        <v>43927</v>
      </c>
      <c r="L140" s="56">
        <f t="shared" si="24"/>
        <v>43933</v>
      </c>
      <c r="M140" s="59" t="str">
        <f t="shared" si="25"/>
        <v>06/04/20 @ 
12/04/20</v>
      </c>
    </row>
    <row r="141" spans="2:13" ht="24" x14ac:dyDescent="0.25">
      <c r="B141" s="55">
        <f t="shared" si="26"/>
        <v>139</v>
      </c>
      <c r="C141" s="56">
        <f t="shared" si="26"/>
        <v>43933</v>
      </c>
      <c r="D141" s="57">
        <f t="shared" si="22"/>
        <v>43933</v>
      </c>
      <c r="E141" s="58">
        <f t="shared" si="27"/>
        <v>20</v>
      </c>
      <c r="F141" s="58">
        <f t="shared" si="27"/>
        <v>15</v>
      </c>
      <c r="G141" s="8">
        <v>202004</v>
      </c>
      <c r="H141" s="8" t="s">
        <v>7005</v>
      </c>
      <c r="I141" s="8">
        <v>202004</v>
      </c>
      <c r="J141" s="8" t="s">
        <v>7005</v>
      </c>
      <c r="K141" s="56">
        <f t="shared" si="23"/>
        <v>43927</v>
      </c>
      <c r="L141" s="56">
        <f t="shared" si="24"/>
        <v>43933</v>
      </c>
      <c r="M141" s="59" t="str">
        <f t="shared" si="25"/>
        <v>06/04/20 @ 
12/04/20</v>
      </c>
    </row>
    <row r="142" spans="2:13" ht="24" x14ac:dyDescent="0.25">
      <c r="B142" s="55">
        <f t="shared" si="26"/>
        <v>140</v>
      </c>
      <c r="C142" s="56">
        <f t="shared" si="26"/>
        <v>43934</v>
      </c>
      <c r="D142" s="57">
        <f t="shared" si="22"/>
        <v>43934</v>
      </c>
      <c r="E142" s="58">
        <f t="shared" si="27"/>
        <v>21</v>
      </c>
      <c r="F142" s="58">
        <f t="shared" si="27"/>
        <v>16</v>
      </c>
      <c r="G142" s="8">
        <v>202004</v>
      </c>
      <c r="H142" s="8" t="s">
        <v>7005</v>
      </c>
      <c r="I142" s="8">
        <v>202004</v>
      </c>
      <c r="J142" s="8" t="s">
        <v>7005</v>
      </c>
      <c r="K142" s="56">
        <f t="shared" si="23"/>
        <v>43934</v>
      </c>
      <c r="L142" s="56">
        <f t="shared" si="24"/>
        <v>43940</v>
      </c>
      <c r="M142" s="59" t="str">
        <f t="shared" si="25"/>
        <v>13/04/20 @ 
19/04/20</v>
      </c>
    </row>
    <row r="143" spans="2:13" ht="24" x14ac:dyDescent="0.25">
      <c r="B143" s="55">
        <f t="shared" si="26"/>
        <v>141</v>
      </c>
      <c r="C143" s="56">
        <f t="shared" si="26"/>
        <v>43935</v>
      </c>
      <c r="D143" s="57">
        <f t="shared" si="22"/>
        <v>43935</v>
      </c>
      <c r="E143" s="58">
        <f t="shared" si="27"/>
        <v>21</v>
      </c>
      <c r="F143" s="58">
        <f t="shared" si="27"/>
        <v>16</v>
      </c>
      <c r="G143" s="8">
        <v>202004</v>
      </c>
      <c r="H143" s="8" t="s">
        <v>7005</v>
      </c>
      <c r="I143" s="8">
        <v>202004</v>
      </c>
      <c r="J143" s="8" t="s">
        <v>7005</v>
      </c>
      <c r="K143" s="56">
        <f t="shared" si="23"/>
        <v>43934</v>
      </c>
      <c r="L143" s="56">
        <f t="shared" si="24"/>
        <v>43940</v>
      </c>
      <c r="M143" s="59" t="str">
        <f t="shared" si="25"/>
        <v>13/04/20 @ 
19/04/20</v>
      </c>
    </row>
    <row r="144" spans="2:13" ht="24" x14ac:dyDescent="0.25">
      <c r="B144" s="55">
        <f t="shared" si="26"/>
        <v>142</v>
      </c>
      <c r="C144" s="56">
        <f t="shared" si="26"/>
        <v>43936</v>
      </c>
      <c r="D144" s="57">
        <f t="shared" si="22"/>
        <v>43936</v>
      </c>
      <c r="E144" s="58">
        <f t="shared" si="27"/>
        <v>21</v>
      </c>
      <c r="F144" s="58">
        <f t="shared" si="27"/>
        <v>16</v>
      </c>
      <c r="G144" s="8">
        <v>202004</v>
      </c>
      <c r="H144" s="8" t="s">
        <v>7005</v>
      </c>
      <c r="I144" s="8">
        <v>202004</v>
      </c>
      <c r="J144" s="8" t="s">
        <v>7005</v>
      </c>
      <c r="K144" s="56">
        <f t="shared" si="23"/>
        <v>43934</v>
      </c>
      <c r="L144" s="56">
        <f t="shared" si="24"/>
        <v>43940</v>
      </c>
      <c r="M144" s="59" t="str">
        <f t="shared" si="25"/>
        <v>13/04/20 @ 
19/04/20</v>
      </c>
    </row>
    <row r="145" spans="2:13" ht="24" x14ac:dyDescent="0.25">
      <c r="B145" s="55">
        <f t="shared" si="26"/>
        <v>143</v>
      </c>
      <c r="C145" s="56">
        <f t="shared" si="26"/>
        <v>43937</v>
      </c>
      <c r="D145" s="57">
        <f t="shared" si="22"/>
        <v>43937</v>
      </c>
      <c r="E145" s="58">
        <f t="shared" si="27"/>
        <v>21</v>
      </c>
      <c r="F145" s="58">
        <f t="shared" si="27"/>
        <v>16</v>
      </c>
      <c r="G145" s="8">
        <v>202004</v>
      </c>
      <c r="H145" s="8" t="s">
        <v>7005</v>
      </c>
      <c r="I145" s="8">
        <v>202004</v>
      </c>
      <c r="J145" s="8" t="s">
        <v>7005</v>
      </c>
      <c r="K145" s="56">
        <f t="shared" si="23"/>
        <v>43934</v>
      </c>
      <c r="L145" s="56">
        <f t="shared" si="24"/>
        <v>43940</v>
      </c>
      <c r="M145" s="59" t="str">
        <f t="shared" si="25"/>
        <v>13/04/20 @ 
19/04/20</v>
      </c>
    </row>
    <row r="146" spans="2:13" ht="24" x14ac:dyDescent="0.25">
      <c r="B146" s="55">
        <f t="shared" si="26"/>
        <v>144</v>
      </c>
      <c r="C146" s="56">
        <f t="shared" si="26"/>
        <v>43938</v>
      </c>
      <c r="D146" s="57">
        <f t="shared" si="22"/>
        <v>43938</v>
      </c>
      <c r="E146" s="58">
        <f t="shared" si="27"/>
        <v>21</v>
      </c>
      <c r="F146" s="58">
        <f t="shared" si="27"/>
        <v>16</v>
      </c>
      <c r="G146" s="8">
        <v>202004</v>
      </c>
      <c r="H146" s="8" t="s">
        <v>7005</v>
      </c>
      <c r="I146" s="8">
        <v>202004</v>
      </c>
      <c r="J146" s="8" t="s">
        <v>7005</v>
      </c>
      <c r="K146" s="56">
        <f t="shared" si="23"/>
        <v>43934</v>
      </c>
      <c r="L146" s="56">
        <f t="shared" si="24"/>
        <v>43940</v>
      </c>
      <c r="M146" s="59" t="str">
        <f t="shared" si="25"/>
        <v>13/04/20 @ 
19/04/20</v>
      </c>
    </row>
    <row r="147" spans="2:13" ht="24" x14ac:dyDescent="0.25">
      <c r="B147" s="55">
        <f t="shared" si="26"/>
        <v>145</v>
      </c>
      <c r="C147" s="56">
        <f t="shared" si="26"/>
        <v>43939</v>
      </c>
      <c r="D147" s="57">
        <f t="shared" si="22"/>
        <v>43939</v>
      </c>
      <c r="E147" s="58">
        <f t="shared" si="27"/>
        <v>21</v>
      </c>
      <c r="F147" s="58">
        <f t="shared" si="27"/>
        <v>16</v>
      </c>
      <c r="G147" s="8">
        <v>202004</v>
      </c>
      <c r="H147" s="8" t="s">
        <v>7005</v>
      </c>
      <c r="I147" s="8">
        <v>202004</v>
      </c>
      <c r="J147" s="8" t="s">
        <v>7005</v>
      </c>
      <c r="K147" s="56">
        <f t="shared" si="23"/>
        <v>43934</v>
      </c>
      <c r="L147" s="56">
        <f t="shared" si="24"/>
        <v>43940</v>
      </c>
      <c r="M147" s="59" t="str">
        <f t="shared" si="25"/>
        <v>13/04/20 @ 
19/04/20</v>
      </c>
    </row>
    <row r="148" spans="2:13" ht="24" x14ac:dyDescent="0.25">
      <c r="B148" s="55">
        <f t="shared" si="26"/>
        <v>146</v>
      </c>
      <c r="C148" s="56">
        <f t="shared" si="26"/>
        <v>43940</v>
      </c>
      <c r="D148" s="57">
        <f t="shared" si="22"/>
        <v>43940</v>
      </c>
      <c r="E148" s="58">
        <f t="shared" si="27"/>
        <v>21</v>
      </c>
      <c r="F148" s="58">
        <f t="shared" si="27"/>
        <v>16</v>
      </c>
      <c r="G148" s="8">
        <v>202004</v>
      </c>
      <c r="H148" s="8" t="s">
        <v>7005</v>
      </c>
      <c r="I148" s="8">
        <v>202004</v>
      </c>
      <c r="J148" s="8" t="s">
        <v>7005</v>
      </c>
      <c r="K148" s="56">
        <f t="shared" si="23"/>
        <v>43934</v>
      </c>
      <c r="L148" s="56">
        <f t="shared" si="24"/>
        <v>43940</v>
      </c>
      <c r="M148" s="59" t="str">
        <f t="shared" si="25"/>
        <v>13/04/20 @ 
19/04/20</v>
      </c>
    </row>
    <row r="149" spans="2:13" ht="24" x14ac:dyDescent="0.25">
      <c r="B149" s="55">
        <f t="shared" ref="B149:C164" si="28">+B148+1</f>
        <v>147</v>
      </c>
      <c r="C149" s="56">
        <f t="shared" si="28"/>
        <v>43941</v>
      </c>
      <c r="D149" s="57">
        <f t="shared" si="22"/>
        <v>43941</v>
      </c>
      <c r="E149" s="58">
        <f t="shared" si="27"/>
        <v>22</v>
      </c>
      <c r="F149" s="58">
        <f t="shared" si="27"/>
        <v>17</v>
      </c>
      <c r="G149" s="8">
        <v>202004</v>
      </c>
      <c r="H149" s="8" t="s">
        <v>7005</v>
      </c>
      <c r="I149" s="8">
        <v>202004</v>
      </c>
      <c r="J149" s="8" t="s">
        <v>7005</v>
      </c>
      <c r="K149" s="56">
        <f t="shared" si="23"/>
        <v>43941</v>
      </c>
      <c r="L149" s="56">
        <f t="shared" si="24"/>
        <v>43947</v>
      </c>
      <c r="M149" s="59" t="str">
        <f t="shared" si="25"/>
        <v>20/04/20 @ 
26/04/20</v>
      </c>
    </row>
    <row r="150" spans="2:13" ht="24" x14ac:dyDescent="0.25">
      <c r="B150" s="55">
        <f t="shared" si="28"/>
        <v>148</v>
      </c>
      <c r="C150" s="56">
        <f t="shared" si="28"/>
        <v>43942</v>
      </c>
      <c r="D150" s="57">
        <f t="shared" si="22"/>
        <v>43942</v>
      </c>
      <c r="E150" s="58">
        <f t="shared" si="27"/>
        <v>22</v>
      </c>
      <c r="F150" s="58">
        <f t="shared" si="27"/>
        <v>17</v>
      </c>
      <c r="G150" s="8">
        <v>202004</v>
      </c>
      <c r="H150" s="8" t="s">
        <v>7005</v>
      </c>
      <c r="I150" s="8">
        <v>202005</v>
      </c>
      <c r="J150" s="8" t="s">
        <v>7006</v>
      </c>
      <c r="K150" s="56">
        <f t="shared" si="23"/>
        <v>43941</v>
      </c>
      <c r="L150" s="56">
        <f t="shared" si="24"/>
        <v>43947</v>
      </c>
      <c r="M150" s="59" t="str">
        <f t="shared" si="25"/>
        <v>20/04/20 @ 
26/04/20</v>
      </c>
    </row>
    <row r="151" spans="2:13" ht="24" x14ac:dyDescent="0.25">
      <c r="B151" s="55">
        <f t="shared" si="28"/>
        <v>149</v>
      </c>
      <c r="C151" s="56">
        <f t="shared" si="28"/>
        <v>43943</v>
      </c>
      <c r="D151" s="57">
        <f t="shared" si="22"/>
        <v>43943</v>
      </c>
      <c r="E151" s="58">
        <f t="shared" si="27"/>
        <v>22</v>
      </c>
      <c r="F151" s="58">
        <f t="shared" si="27"/>
        <v>17</v>
      </c>
      <c r="G151" s="8">
        <v>202004</v>
      </c>
      <c r="H151" s="8" t="s">
        <v>7005</v>
      </c>
      <c r="I151" s="8">
        <v>202005</v>
      </c>
      <c r="J151" s="8" t="s">
        <v>7006</v>
      </c>
      <c r="K151" s="56">
        <f t="shared" si="23"/>
        <v>43941</v>
      </c>
      <c r="L151" s="56">
        <f t="shared" si="24"/>
        <v>43947</v>
      </c>
      <c r="M151" s="59" t="str">
        <f t="shared" si="25"/>
        <v>20/04/20 @ 
26/04/20</v>
      </c>
    </row>
    <row r="152" spans="2:13" ht="24" x14ac:dyDescent="0.25">
      <c r="B152" s="55">
        <f t="shared" si="28"/>
        <v>150</v>
      </c>
      <c r="C152" s="56">
        <f t="shared" si="28"/>
        <v>43944</v>
      </c>
      <c r="D152" s="57">
        <f t="shared" si="22"/>
        <v>43944</v>
      </c>
      <c r="E152" s="58">
        <f t="shared" si="27"/>
        <v>22</v>
      </c>
      <c r="F152" s="58">
        <f t="shared" si="27"/>
        <v>17</v>
      </c>
      <c r="G152" s="8">
        <v>202004</v>
      </c>
      <c r="H152" s="8" t="s">
        <v>7005</v>
      </c>
      <c r="I152" s="8">
        <v>202005</v>
      </c>
      <c r="J152" s="8" t="s">
        <v>7006</v>
      </c>
      <c r="K152" s="56">
        <f t="shared" si="23"/>
        <v>43941</v>
      </c>
      <c r="L152" s="56">
        <f t="shared" si="24"/>
        <v>43947</v>
      </c>
      <c r="M152" s="59" t="str">
        <f t="shared" si="25"/>
        <v>20/04/20 @ 
26/04/20</v>
      </c>
    </row>
    <row r="153" spans="2:13" ht="24" x14ac:dyDescent="0.25">
      <c r="B153" s="55">
        <f t="shared" si="28"/>
        <v>151</v>
      </c>
      <c r="C153" s="56">
        <f t="shared" si="28"/>
        <v>43945</v>
      </c>
      <c r="D153" s="57">
        <f t="shared" si="22"/>
        <v>43945</v>
      </c>
      <c r="E153" s="58">
        <f t="shared" si="27"/>
        <v>22</v>
      </c>
      <c r="F153" s="58">
        <f t="shared" si="27"/>
        <v>17</v>
      </c>
      <c r="G153" s="8">
        <v>202004</v>
      </c>
      <c r="H153" s="8" t="s">
        <v>7005</v>
      </c>
      <c r="I153" s="8">
        <v>202005</v>
      </c>
      <c r="J153" s="8" t="s">
        <v>7006</v>
      </c>
      <c r="K153" s="56">
        <f t="shared" si="23"/>
        <v>43941</v>
      </c>
      <c r="L153" s="56">
        <f t="shared" si="24"/>
        <v>43947</v>
      </c>
      <c r="M153" s="59" t="str">
        <f t="shared" si="25"/>
        <v>20/04/20 @ 
26/04/20</v>
      </c>
    </row>
    <row r="154" spans="2:13" ht="24" x14ac:dyDescent="0.25">
      <c r="B154" s="55">
        <f t="shared" si="28"/>
        <v>152</v>
      </c>
      <c r="C154" s="56">
        <f t="shared" si="28"/>
        <v>43946</v>
      </c>
      <c r="D154" s="57">
        <f t="shared" si="22"/>
        <v>43946</v>
      </c>
      <c r="E154" s="58">
        <f t="shared" ref="E154:F169" si="29">+E147+1</f>
        <v>22</v>
      </c>
      <c r="F154" s="58">
        <f t="shared" si="29"/>
        <v>17</v>
      </c>
      <c r="G154" s="8">
        <v>202004</v>
      </c>
      <c r="H154" s="8" t="s">
        <v>7005</v>
      </c>
      <c r="I154" s="8">
        <v>202005</v>
      </c>
      <c r="J154" s="8" t="s">
        <v>7006</v>
      </c>
      <c r="K154" s="56">
        <f t="shared" si="23"/>
        <v>43941</v>
      </c>
      <c r="L154" s="56">
        <f t="shared" si="24"/>
        <v>43947</v>
      </c>
      <c r="M154" s="59" t="str">
        <f t="shared" si="25"/>
        <v>20/04/20 @ 
26/04/20</v>
      </c>
    </row>
    <row r="155" spans="2:13" ht="24" x14ac:dyDescent="0.25">
      <c r="B155" s="55">
        <f t="shared" si="28"/>
        <v>153</v>
      </c>
      <c r="C155" s="56">
        <f t="shared" si="28"/>
        <v>43947</v>
      </c>
      <c r="D155" s="57">
        <f t="shared" si="22"/>
        <v>43947</v>
      </c>
      <c r="E155" s="58">
        <f t="shared" si="29"/>
        <v>22</v>
      </c>
      <c r="F155" s="58">
        <f t="shared" si="29"/>
        <v>17</v>
      </c>
      <c r="G155" s="8">
        <v>202004</v>
      </c>
      <c r="H155" s="8" t="s">
        <v>7005</v>
      </c>
      <c r="I155" s="8">
        <v>202005</v>
      </c>
      <c r="J155" s="8" t="s">
        <v>7006</v>
      </c>
      <c r="K155" s="56">
        <f t="shared" si="23"/>
        <v>43941</v>
      </c>
      <c r="L155" s="56">
        <f t="shared" si="24"/>
        <v>43947</v>
      </c>
      <c r="M155" s="59" t="str">
        <f t="shared" si="25"/>
        <v>20/04/20 @ 
26/04/20</v>
      </c>
    </row>
    <row r="156" spans="2:13" ht="24" x14ac:dyDescent="0.25">
      <c r="B156" s="55">
        <f t="shared" si="28"/>
        <v>154</v>
      </c>
      <c r="C156" s="56">
        <f t="shared" si="28"/>
        <v>43948</v>
      </c>
      <c r="D156" s="57">
        <f t="shared" si="22"/>
        <v>43948</v>
      </c>
      <c r="E156" s="58">
        <f t="shared" si="29"/>
        <v>23</v>
      </c>
      <c r="F156" s="58">
        <f t="shared" si="29"/>
        <v>18</v>
      </c>
      <c r="G156" s="8">
        <v>202005</v>
      </c>
      <c r="H156" s="8" t="s">
        <v>7006</v>
      </c>
      <c r="I156" s="8">
        <v>202005</v>
      </c>
      <c r="J156" s="8" t="s">
        <v>7006</v>
      </c>
      <c r="K156" s="56">
        <f t="shared" si="23"/>
        <v>43948</v>
      </c>
      <c r="L156" s="56">
        <f t="shared" si="24"/>
        <v>43954</v>
      </c>
      <c r="M156" s="59" t="str">
        <f t="shared" si="25"/>
        <v>27/04/20 @ 
03/05/20</v>
      </c>
    </row>
    <row r="157" spans="2:13" ht="24" x14ac:dyDescent="0.25">
      <c r="B157" s="55">
        <f t="shared" si="28"/>
        <v>155</v>
      </c>
      <c r="C157" s="56">
        <f t="shared" si="28"/>
        <v>43949</v>
      </c>
      <c r="D157" s="57">
        <f t="shared" si="22"/>
        <v>43949</v>
      </c>
      <c r="E157" s="58">
        <f t="shared" si="29"/>
        <v>23</v>
      </c>
      <c r="F157" s="58">
        <f t="shared" si="29"/>
        <v>18</v>
      </c>
      <c r="G157" s="8">
        <v>202005</v>
      </c>
      <c r="H157" s="8" t="s">
        <v>7006</v>
      </c>
      <c r="I157" s="8">
        <v>202005</v>
      </c>
      <c r="J157" s="8" t="s">
        <v>7006</v>
      </c>
      <c r="K157" s="56">
        <f t="shared" si="23"/>
        <v>43948</v>
      </c>
      <c r="L157" s="56">
        <f t="shared" si="24"/>
        <v>43954</v>
      </c>
      <c r="M157" s="59" t="str">
        <f t="shared" si="25"/>
        <v>27/04/20 @ 
03/05/20</v>
      </c>
    </row>
    <row r="158" spans="2:13" ht="24" x14ac:dyDescent="0.25">
      <c r="B158" s="55">
        <f t="shared" si="28"/>
        <v>156</v>
      </c>
      <c r="C158" s="56">
        <f t="shared" si="28"/>
        <v>43950</v>
      </c>
      <c r="D158" s="57">
        <f t="shared" si="22"/>
        <v>43950</v>
      </c>
      <c r="E158" s="58">
        <f t="shared" si="29"/>
        <v>23</v>
      </c>
      <c r="F158" s="58">
        <f t="shared" si="29"/>
        <v>18</v>
      </c>
      <c r="G158" s="8">
        <v>202005</v>
      </c>
      <c r="H158" s="8" t="s">
        <v>7006</v>
      </c>
      <c r="I158" s="8">
        <v>202005</v>
      </c>
      <c r="J158" s="8" t="s">
        <v>7006</v>
      </c>
      <c r="K158" s="56">
        <f t="shared" si="23"/>
        <v>43948</v>
      </c>
      <c r="L158" s="56">
        <f t="shared" si="24"/>
        <v>43954</v>
      </c>
      <c r="M158" s="59" t="str">
        <f t="shared" si="25"/>
        <v>27/04/20 @ 
03/05/20</v>
      </c>
    </row>
    <row r="159" spans="2:13" ht="24" x14ac:dyDescent="0.25">
      <c r="B159" s="55">
        <f t="shared" si="28"/>
        <v>157</v>
      </c>
      <c r="C159" s="56">
        <f t="shared" si="28"/>
        <v>43951</v>
      </c>
      <c r="D159" s="57">
        <f t="shared" si="22"/>
        <v>43951</v>
      </c>
      <c r="E159" s="58">
        <f t="shared" si="29"/>
        <v>23</v>
      </c>
      <c r="F159" s="58">
        <f t="shared" si="29"/>
        <v>18</v>
      </c>
      <c r="G159" s="8">
        <v>202005</v>
      </c>
      <c r="H159" s="8" t="s">
        <v>7006</v>
      </c>
      <c r="I159" s="8">
        <v>202005</v>
      </c>
      <c r="J159" s="8" t="s">
        <v>7006</v>
      </c>
      <c r="K159" s="56">
        <f t="shared" si="23"/>
        <v>43948</v>
      </c>
      <c r="L159" s="56">
        <f t="shared" si="24"/>
        <v>43954</v>
      </c>
      <c r="M159" s="59" t="str">
        <f t="shared" si="25"/>
        <v>27/04/20 @ 
03/05/20</v>
      </c>
    </row>
    <row r="160" spans="2:13" ht="24" x14ac:dyDescent="0.25">
      <c r="B160" s="55">
        <f t="shared" si="28"/>
        <v>158</v>
      </c>
      <c r="C160" s="56">
        <f t="shared" si="28"/>
        <v>43952</v>
      </c>
      <c r="D160" s="57">
        <f t="shared" si="22"/>
        <v>43952</v>
      </c>
      <c r="E160" s="58">
        <f t="shared" si="29"/>
        <v>23</v>
      </c>
      <c r="F160" s="58">
        <f t="shared" si="29"/>
        <v>18</v>
      </c>
      <c r="G160" s="8">
        <v>202005</v>
      </c>
      <c r="H160" s="8" t="s">
        <v>7006</v>
      </c>
      <c r="I160" s="8">
        <v>202005</v>
      </c>
      <c r="J160" s="8" t="s">
        <v>7006</v>
      </c>
      <c r="K160" s="56">
        <f t="shared" si="23"/>
        <v>43948</v>
      </c>
      <c r="L160" s="56">
        <f t="shared" si="24"/>
        <v>43954</v>
      </c>
      <c r="M160" s="59" t="str">
        <f t="shared" si="25"/>
        <v>27/04/20 @ 
03/05/20</v>
      </c>
    </row>
    <row r="161" spans="2:13" ht="24" x14ac:dyDescent="0.25">
      <c r="B161" s="55">
        <f t="shared" si="28"/>
        <v>159</v>
      </c>
      <c r="C161" s="56">
        <f t="shared" si="28"/>
        <v>43953</v>
      </c>
      <c r="D161" s="57">
        <f t="shared" si="22"/>
        <v>43953</v>
      </c>
      <c r="E161" s="58">
        <f t="shared" si="29"/>
        <v>23</v>
      </c>
      <c r="F161" s="58">
        <f t="shared" si="29"/>
        <v>18</v>
      </c>
      <c r="G161" s="8">
        <v>202005</v>
      </c>
      <c r="H161" s="8" t="s">
        <v>7006</v>
      </c>
      <c r="I161" s="8">
        <v>202005</v>
      </c>
      <c r="J161" s="8" t="s">
        <v>7006</v>
      </c>
      <c r="K161" s="56">
        <f t="shared" si="23"/>
        <v>43948</v>
      </c>
      <c r="L161" s="56">
        <f t="shared" si="24"/>
        <v>43954</v>
      </c>
      <c r="M161" s="59" t="str">
        <f t="shared" si="25"/>
        <v>27/04/20 @ 
03/05/20</v>
      </c>
    </row>
    <row r="162" spans="2:13" ht="24" x14ac:dyDescent="0.25">
      <c r="B162" s="55">
        <f t="shared" si="28"/>
        <v>160</v>
      </c>
      <c r="C162" s="56">
        <f t="shared" si="28"/>
        <v>43954</v>
      </c>
      <c r="D162" s="57">
        <f t="shared" si="22"/>
        <v>43954</v>
      </c>
      <c r="E162" s="58">
        <f t="shared" si="29"/>
        <v>23</v>
      </c>
      <c r="F162" s="58">
        <f t="shared" si="29"/>
        <v>18</v>
      </c>
      <c r="G162" s="8">
        <v>202005</v>
      </c>
      <c r="H162" s="8" t="s">
        <v>7006</v>
      </c>
      <c r="I162" s="8">
        <v>202005</v>
      </c>
      <c r="J162" s="8" t="s">
        <v>7006</v>
      </c>
      <c r="K162" s="56">
        <f t="shared" si="23"/>
        <v>43948</v>
      </c>
      <c r="L162" s="56">
        <f t="shared" si="24"/>
        <v>43954</v>
      </c>
      <c r="M162" s="59" t="str">
        <f t="shared" si="25"/>
        <v>27/04/20 @ 
03/05/20</v>
      </c>
    </row>
    <row r="163" spans="2:13" ht="24" x14ac:dyDescent="0.25">
      <c r="B163" s="55">
        <f t="shared" si="28"/>
        <v>161</v>
      </c>
      <c r="C163" s="56">
        <f t="shared" si="28"/>
        <v>43955</v>
      </c>
      <c r="D163" s="57">
        <f t="shared" si="22"/>
        <v>43955</v>
      </c>
      <c r="E163" s="58">
        <f t="shared" si="29"/>
        <v>24</v>
      </c>
      <c r="F163" s="58">
        <f t="shared" si="29"/>
        <v>19</v>
      </c>
      <c r="G163" s="8">
        <v>202005</v>
      </c>
      <c r="H163" s="8" t="s">
        <v>7006</v>
      </c>
      <c r="I163" s="8">
        <v>202005</v>
      </c>
      <c r="J163" s="8" t="s">
        <v>7006</v>
      </c>
      <c r="K163" s="56">
        <f t="shared" si="23"/>
        <v>43955</v>
      </c>
      <c r="L163" s="56">
        <f t="shared" si="24"/>
        <v>43961</v>
      </c>
      <c r="M163" s="59" t="str">
        <f t="shared" si="25"/>
        <v>04/05/20 @ 
10/05/20</v>
      </c>
    </row>
    <row r="164" spans="2:13" ht="24" x14ac:dyDescent="0.25">
      <c r="B164" s="55">
        <f t="shared" si="28"/>
        <v>162</v>
      </c>
      <c r="C164" s="56">
        <f t="shared" si="28"/>
        <v>43956</v>
      </c>
      <c r="D164" s="57">
        <f t="shared" si="22"/>
        <v>43956</v>
      </c>
      <c r="E164" s="58">
        <f t="shared" si="29"/>
        <v>24</v>
      </c>
      <c r="F164" s="58">
        <f t="shared" si="29"/>
        <v>19</v>
      </c>
      <c r="G164" s="8">
        <v>202005</v>
      </c>
      <c r="H164" s="8" t="s">
        <v>7006</v>
      </c>
      <c r="I164" s="8">
        <v>202005</v>
      </c>
      <c r="J164" s="8" t="s">
        <v>7006</v>
      </c>
      <c r="K164" s="56">
        <f t="shared" si="23"/>
        <v>43955</v>
      </c>
      <c r="L164" s="56">
        <f t="shared" si="24"/>
        <v>43961</v>
      </c>
      <c r="M164" s="59" t="str">
        <f t="shared" si="25"/>
        <v>04/05/20 @ 
10/05/20</v>
      </c>
    </row>
    <row r="165" spans="2:13" ht="24" x14ac:dyDescent="0.25">
      <c r="B165" s="55">
        <f t="shared" ref="B165:C180" si="30">+B164+1</f>
        <v>163</v>
      </c>
      <c r="C165" s="56">
        <f t="shared" si="30"/>
        <v>43957</v>
      </c>
      <c r="D165" s="57">
        <f t="shared" si="22"/>
        <v>43957</v>
      </c>
      <c r="E165" s="58">
        <f t="shared" si="29"/>
        <v>24</v>
      </c>
      <c r="F165" s="58">
        <f t="shared" si="29"/>
        <v>19</v>
      </c>
      <c r="G165" s="8">
        <v>202005</v>
      </c>
      <c r="H165" s="8" t="s">
        <v>7006</v>
      </c>
      <c r="I165" s="8">
        <v>202005</v>
      </c>
      <c r="J165" s="8" t="s">
        <v>7006</v>
      </c>
      <c r="K165" s="56">
        <f t="shared" si="23"/>
        <v>43955</v>
      </c>
      <c r="L165" s="56">
        <f t="shared" si="24"/>
        <v>43961</v>
      </c>
      <c r="M165" s="59" t="str">
        <f t="shared" si="25"/>
        <v>04/05/20 @ 
10/05/20</v>
      </c>
    </row>
    <row r="166" spans="2:13" ht="24" x14ac:dyDescent="0.25">
      <c r="B166" s="55">
        <f t="shared" si="30"/>
        <v>164</v>
      </c>
      <c r="C166" s="56">
        <f t="shared" si="30"/>
        <v>43958</v>
      </c>
      <c r="D166" s="57">
        <f t="shared" si="22"/>
        <v>43958</v>
      </c>
      <c r="E166" s="58">
        <f t="shared" si="29"/>
        <v>24</v>
      </c>
      <c r="F166" s="58">
        <f t="shared" si="29"/>
        <v>19</v>
      </c>
      <c r="G166" s="8">
        <v>202005</v>
      </c>
      <c r="H166" s="8" t="s">
        <v>7006</v>
      </c>
      <c r="I166" s="8">
        <v>202005</v>
      </c>
      <c r="J166" s="8" t="s">
        <v>7006</v>
      </c>
      <c r="K166" s="56">
        <f t="shared" si="23"/>
        <v>43955</v>
      </c>
      <c r="L166" s="56">
        <f t="shared" si="24"/>
        <v>43961</v>
      </c>
      <c r="M166" s="59" t="str">
        <f t="shared" si="25"/>
        <v>04/05/20 @ 
10/05/20</v>
      </c>
    </row>
    <row r="167" spans="2:13" ht="24" x14ac:dyDescent="0.25">
      <c r="B167" s="55">
        <f t="shared" si="30"/>
        <v>165</v>
      </c>
      <c r="C167" s="56">
        <f t="shared" si="30"/>
        <v>43959</v>
      </c>
      <c r="D167" s="57">
        <f t="shared" si="22"/>
        <v>43959</v>
      </c>
      <c r="E167" s="58">
        <f t="shared" si="29"/>
        <v>24</v>
      </c>
      <c r="F167" s="58">
        <f t="shared" si="29"/>
        <v>19</v>
      </c>
      <c r="G167" s="8">
        <v>202005</v>
      </c>
      <c r="H167" s="8" t="s">
        <v>7006</v>
      </c>
      <c r="I167" s="8">
        <v>202005</v>
      </c>
      <c r="J167" s="8" t="s">
        <v>7006</v>
      </c>
      <c r="K167" s="56">
        <f t="shared" si="23"/>
        <v>43955</v>
      </c>
      <c r="L167" s="56">
        <f t="shared" si="24"/>
        <v>43961</v>
      </c>
      <c r="M167" s="59" t="str">
        <f t="shared" si="25"/>
        <v>04/05/20 @ 
10/05/20</v>
      </c>
    </row>
    <row r="168" spans="2:13" ht="24" x14ac:dyDescent="0.25">
      <c r="B168" s="55">
        <f t="shared" si="30"/>
        <v>166</v>
      </c>
      <c r="C168" s="56">
        <f t="shared" si="30"/>
        <v>43960</v>
      </c>
      <c r="D168" s="57">
        <f t="shared" si="22"/>
        <v>43960</v>
      </c>
      <c r="E168" s="58">
        <f t="shared" si="29"/>
        <v>24</v>
      </c>
      <c r="F168" s="58">
        <f t="shared" si="29"/>
        <v>19</v>
      </c>
      <c r="G168" s="8">
        <v>202005</v>
      </c>
      <c r="H168" s="8" t="s">
        <v>7006</v>
      </c>
      <c r="I168" s="8">
        <v>202005</v>
      </c>
      <c r="J168" s="8" t="s">
        <v>7006</v>
      </c>
      <c r="K168" s="56">
        <f t="shared" si="23"/>
        <v>43955</v>
      </c>
      <c r="L168" s="56">
        <f t="shared" si="24"/>
        <v>43961</v>
      </c>
      <c r="M168" s="59" t="str">
        <f t="shared" si="25"/>
        <v>04/05/20 @ 
10/05/20</v>
      </c>
    </row>
    <row r="169" spans="2:13" ht="24" x14ac:dyDescent="0.25">
      <c r="B169" s="55">
        <f t="shared" si="30"/>
        <v>167</v>
      </c>
      <c r="C169" s="56">
        <f t="shared" si="30"/>
        <v>43961</v>
      </c>
      <c r="D169" s="57">
        <f t="shared" si="22"/>
        <v>43961</v>
      </c>
      <c r="E169" s="58">
        <f t="shared" si="29"/>
        <v>24</v>
      </c>
      <c r="F169" s="58">
        <f t="shared" si="29"/>
        <v>19</v>
      </c>
      <c r="G169" s="8">
        <v>202005</v>
      </c>
      <c r="H169" s="8" t="s">
        <v>7006</v>
      </c>
      <c r="I169" s="8">
        <v>202005</v>
      </c>
      <c r="J169" s="8" t="s">
        <v>7006</v>
      </c>
      <c r="K169" s="56">
        <f t="shared" si="23"/>
        <v>43955</v>
      </c>
      <c r="L169" s="56">
        <f t="shared" si="24"/>
        <v>43961</v>
      </c>
      <c r="M169" s="59" t="str">
        <f t="shared" si="25"/>
        <v>04/05/20 @ 
10/05/20</v>
      </c>
    </row>
    <row r="170" spans="2:13" ht="24" x14ac:dyDescent="0.25">
      <c r="B170" s="55">
        <f t="shared" si="30"/>
        <v>168</v>
      </c>
      <c r="C170" s="56">
        <f t="shared" si="30"/>
        <v>43962</v>
      </c>
      <c r="D170" s="57">
        <f t="shared" si="22"/>
        <v>43962</v>
      </c>
      <c r="E170" s="58">
        <f t="shared" ref="E170:F185" si="31">+E163+1</f>
        <v>25</v>
      </c>
      <c r="F170" s="58">
        <f t="shared" si="31"/>
        <v>20</v>
      </c>
      <c r="G170" s="8">
        <v>202005</v>
      </c>
      <c r="H170" s="8" t="s">
        <v>7006</v>
      </c>
      <c r="I170" s="8">
        <v>202005</v>
      </c>
      <c r="J170" s="8" t="s">
        <v>7006</v>
      </c>
      <c r="K170" s="56">
        <f t="shared" si="23"/>
        <v>43962</v>
      </c>
      <c r="L170" s="56">
        <f t="shared" si="24"/>
        <v>43968</v>
      </c>
      <c r="M170" s="59" t="str">
        <f t="shared" si="25"/>
        <v>11/05/20 @ 
17/05/20</v>
      </c>
    </row>
    <row r="171" spans="2:13" ht="24" x14ac:dyDescent="0.25">
      <c r="B171" s="55">
        <f t="shared" si="30"/>
        <v>169</v>
      </c>
      <c r="C171" s="56">
        <f t="shared" si="30"/>
        <v>43963</v>
      </c>
      <c r="D171" s="57">
        <f t="shared" si="22"/>
        <v>43963</v>
      </c>
      <c r="E171" s="58">
        <f t="shared" si="31"/>
        <v>25</v>
      </c>
      <c r="F171" s="58">
        <f t="shared" si="31"/>
        <v>20</v>
      </c>
      <c r="G171" s="8">
        <v>202005</v>
      </c>
      <c r="H171" s="8" t="s">
        <v>7006</v>
      </c>
      <c r="I171" s="8">
        <v>202005</v>
      </c>
      <c r="J171" s="8" t="s">
        <v>7006</v>
      </c>
      <c r="K171" s="56">
        <f t="shared" si="23"/>
        <v>43962</v>
      </c>
      <c r="L171" s="56">
        <f t="shared" si="24"/>
        <v>43968</v>
      </c>
      <c r="M171" s="59" t="str">
        <f t="shared" si="25"/>
        <v>11/05/20 @ 
17/05/20</v>
      </c>
    </row>
    <row r="172" spans="2:13" ht="24" x14ac:dyDescent="0.25">
      <c r="B172" s="55">
        <f t="shared" si="30"/>
        <v>170</v>
      </c>
      <c r="C172" s="56">
        <f t="shared" si="30"/>
        <v>43964</v>
      </c>
      <c r="D172" s="57">
        <f t="shared" si="22"/>
        <v>43964</v>
      </c>
      <c r="E172" s="58">
        <f t="shared" si="31"/>
        <v>25</v>
      </c>
      <c r="F172" s="58">
        <f t="shared" si="31"/>
        <v>20</v>
      </c>
      <c r="G172" s="8">
        <v>202005</v>
      </c>
      <c r="H172" s="8" t="s">
        <v>7006</v>
      </c>
      <c r="I172" s="8">
        <v>202005</v>
      </c>
      <c r="J172" s="8" t="s">
        <v>7006</v>
      </c>
      <c r="K172" s="56">
        <f t="shared" si="23"/>
        <v>43962</v>
      </c>
      <c r="L172" s="56">
        <f t="shared" si="24"/>
        <v>43968</v>
      </c>
      <c r="M172" s="59" t="str">
        <f t="shared" si="25"/>
        <v>11/05/20 @ 
17/05/20</v>
      </c>
    </row>
    <row r="173" spans="2:13" ht="24" x14ac:dyDescent="0.25">
      <c r="B173" s="55">
        <f t="shared" si="30"/>
        <v>171</v>
      </c>
      <c r="C173" s="56">
        <f t="shared" si="30"/>
        <v>43965</v>
      </c>
      <c r="D173" s="57">
        <f t="shared" si="22"/>
        <v>43965</v>
      </c>
      <c r="E173" s="58">
        <f t="shared" si="31"/>
        <v>25</v>
      </c>
      <c r="F173" s="58">
        <f t="shared" si="31"/>
        <v>20</v>
      </c>
      <c r="G173" s="8">
        <v>202005</v>
      </c>
      <c r="H173" s="8" t="s">
        <v>7006</v>
      </c>
      <c r="I173" s="8">
        <v>202005</v>
      </c>
      <c r="J173" s="8" t="s">
        <v>7006</v>
      </c>
      <c r="K173" s="56">
        <f t="shared" si="23"/>
        <v>43962</v>
      </c>
      <c r="L173" s="56">
        <f t="shared" si="24"/>
        <v>43968</v>
      </c>
      <c r="M173" s="59" t="str">
        <f t="shared" si="25"/>
        <v>11/05/20 @ 
17/05/20</v>
      </c>
    </row>
    <row r="174" spans="2:13" ht="24" x14ac:dyDescent="0.25">
      <c r="B174" s="55">
        <f t="shared" si="30"/>
        <v>172</v>
      </c>
      <c r="C174" s="56">
        <f t="shared" si="30"/>
        <v>43966</v>
      </c>
      <c r="D174" s="57">
        <f t="shared" si="22"/>
        <v>43966</v>
      </c>
      <c r="E174" s="58">
        <f t="shared" si="31"/>
        <v>25</v>
      </c>
      <c r="F174" s="58">
        <f t="shared" si="31"/>
        <v>20</v>
      </c>
      <c r="G174" s="8">
        <v>202005</v>
      </c>
      <c r="H174" s="8" t="s">
        <v>7006</v>
      </c>
      <c r="I174" s="8">
        <v>202005</v>
      </c>
      <c r="J174" s="8" t="s">
        <v>7006</v>
      </c>
      <c r="K174" s="56">
        <f t="shared" si="23"/>
        <v>43962</v>
      </c>
      <c r="L174" s="56">
        <f t="shared" si="24"/>
        <v>43968</v>
      </c>
      <c r="M174" s="59" t="str">
        <f t="shared" si="25"/>
        <v>11/05/20 @ 
17/05/20</v>
      </c>
    </row>
    <row r="175" spans="2:13" ht="24" x14ac:dyDescent="0.25">
      <c r="B175" s="55">
        <f t="shared" si="30"/>
        <v>173</v>
      </c>
      <c r="C175" s="56">
        <f t="shared" si="30"/>
        <v>43967</v>
      </c>
      <c r="D175" s="57">
        <f t="shared" si="22"/>
        <v>43967</v>
      </c>
      <c r="E175" s="58">
        <f t="shared" si="31"/>
        <v>25</v>
      </c>
      <c r="F175" s="58">
        <f t="shared" si="31"/>
        <v>20</v>
      </c>
      <c r="G175" s="8">
        <v>202005</v>
      </c>
      <c r="H175" s="8" t="s">
        <v>7006</v>
      </c>
      <c r="I175" s="8">
        <v>202005</v>
      </c>
      <c r="J175" s="8" t="s">
        <v>7006</v>
      </c>
      <c r="K175" s="56">
        <f t="shared" si="23"/>
        <v>43962</v>
      </c>
      <c r="L175" s="56">
        <f t="shared" si="24"/>
        <v>43968</v>
      </c>
      <c r="M175" s="59" t="str">
        <f t="shared" si="25"/>
        <v>11/05/20 @ 
17/05/20</v>
      </c>
    </row>
    <row r="176" spans="2:13" ht="24" x14ac:dyDescent="0.25">
      <c r="B176" s="55">
        <f t="shared" si="30"/>
        <v>174</v>
      </c>
      <c r="C176" s="56">
        <f t="shared" si="30"/>
        <v>43968</v>
      </c>
      <c r="D176" s="57">
        <f t="shared" si="22"/>
        <v>43968</v>
      </c>
      <c r="E176" s="58">
        <f t="shared" si="31"/>
        <v>25</v>
      </c>
      <c r="F176" s="58">
        <f t="shared" si="31"/>
        <v>20</v>
      </c>
      <c r="G176" s="8">
        <v>202005</v>
      </c>
      <c r="H176" s="8" t="s">
        <v>7006</v>
      </c>
      <c r="I176" s="8">
        <v>202005</v>
      </c>
      <c r="J176" s="8" t="s">
        <v>7006</v>
      </c>
      <c r="K176" s="56">
        <f t="shared" si="23"/>
        <v>43962</v>
      </c>
      <c r="L176" s="56">
        <f t="shared" si="24"/>
        <v>43968</v>
      </c>
      <c r="M176" s="59" t="str">
        <f t="shared" si="25"/>
        <v>11/05/20 @ 
17/05/20</v>
      </c>
    </row>
    <row r="177" spans="2:13" ht="24" x14ac:dyDescent="0.25">
      <c r="B177" s="55">
        <f t="shared" si="30"/>
        <v>175</v>
      </c>
      <c r="C177" s="56">
        <f t="shared" si="30"/>
        <v>43969</v>
      </c>
      <c r="D177" s="57">
        <f t="shared" si="22"/>
        <v>43969</v>
      </c>
      <c r="E177" s="58">
        <f t="shared" si="31"/>
        <v>26</v>
      </c>
      <c r="F177" s="58">
        <f t="shared" si="31"/>
        <v>21</v>
      </c>
      <c r="G177" s="8">
        <v>202005</v>
      </c>
      <c r="H177" s="8" t="s">
        <v>7006</v>
      </c>
      <c r="I177" s="8">
        <v>202005</v>
      </c>
      <c r="J177" s="8" t="s">
        <v>7006</v>
      </c>
      <c r="K177" s="56">
        <f t="shared" si="23"/>
        <v>43969</v>
      </c>
      <c r="L177" s="56">
        <f t="shared" si="24"/>
        <v>43975</v>
      </c>
      <c r="M177" s="59" t="str">
        <f t="shared" si="25"/>
        <v>18/05/20 @ 
24/05/20</v>
      </c>
    </row>
    <row r="178" spans="2:13" ht="24" x14ac:dyDescent="0.25">
      <c r="B178" s="55">
        <f t="shared" si="30"/>
        <v>176</v>
      </c>
      <c r="C178" s="56">
        <f t="shared" si="30"/>
        <v>43970</v>
      </c>
      <c r="D178" s="57">
        <f t="shared" si="22"/>
        <v>43970</v>
      </c>
      <c r="E178" s="58">
        <f t="shared" si="31"/>
        <v>26</v>
      </c>
      <c r="F178" s="58">
        <f t="shared" si="31"/>
        <v>21</v>
      </c>
      <c r="G178" s="8">
        <v>202005</v>
      </c>
      <c r="H178" s="8" t="s">
        <v>7006</v>
      </c>
      <c r="I178" s="8">
        <v>202005</v>
      </c>
      <c r="J178" s="8" t="s">
        <v>7006</v>
      </c>
      <c r="K178" s="56">
        <f t="shared" si="23"/>
        <v>43969</v>
      </c>
      <c r="L178" s="56">
        <f t="shared" si="24"/>
        <v>43975</v>
      </c>
      <c r="M178" s="59" t="str">
        <f t="shared" si="25"/>
        <v>18/05/20 @ 
24/05/20</v>
      </c>
    </row>
    <row r="179" spans="2:13" ht="24" x14ac:dyDescent="0.25">
      <c r="B179" s="55">
        <f t="shared" si="30"/>
        <v>177</v>
      </c>
      <c r="C179" s="56">
        <f t="shared" si="30"/>
        <v>43971</v>
      </c>
      <c r="D179" s="57">
        <f t="shared" si="22"/>
        <v>43971</v>
      </c>
      <c r="E179" s="58">
        <f t="shared" si="31"/>
        <v>26</v>
      </c>
      <c r="F179" s="58">
        <f t="shared" si="31"/>
        <v>21</v>
      </c>
      <c r="G179" s="8">
        <v>202005</v>
      </c>
      <c r="H179" s="8" t="s">
        <v>7006</v>
      </c>
      <c r="I179" s="8">
        <v>202005</v>
      </c>
      <c r="J179" s="8" t="s">
        <v>7006</v>
      </c>
      <c r="K179" s="56">
        <f t="shared" si="23"/>
        <v>43969</v>
      </c>
      <c r="L179" s="56">
        <f t="shared" si="24"/>
        <v>43975</v>
      </c>
      <c r="M179" s="59" t="str">
        <f t="shared" si="25"/>
        <v>18/05/20 @ 
24/05/20</v>
      </c>
    </row>
    <row r="180" spans="2:13" ht="24" x14ac:dyDescent="0.25">
      <c r="B180" s="55">
        <f t="shared" si="30"/>
        <v>178</v>
      </c>
      <c r="C180" s="56">
        <f t="shared" si="30"/>
        <v>43972</v>
      </c>
      <c r="D180" s="57">
        <f t="shared" si="22"/>
        <v>43972</v>
      </c>
      <c r="E180" s="58">
        <f t="shared" si="31"/>
        <v>26</v>
      </c>
      <c r="F180" s="58">
        <f t="shared" si="31"/>
        <v>21</v>
      </c>
      <c r="G180" s="8">
        <v>202005</v>
      </c>
      <c r="H180" s="8" t="s">
        <v>7006</v>
      </c>
      <c r="I180" s="8">
        <v>202006</v>
      </c>
      <c r="J180" s="8" t="s">
        <v>7007</v>
      </c>
      <c r="K180" s="56">
        <f t="shared" si="23"/>
        <v>43969</v>
      </c>
      <c r="L180" s="56">
        <f t="shared" si="24"/>
        <v>43975</v>
      </c>
      <c r="M180" s="59" t="str">
        <f t="shared" si="25"/>
        <v>18/05/20 @ 
24/05/20</v>
      </c>
    </row>
    <row r="181" spans="2:13" ht="24" x14ac:dyDescent="0.25">
      <c r="B181" s="55">
        <f t="shared" ref="B181:C196" si="32">+B180+1</f>
        <v>179</v>
      </c>
      <c r="C181" s="56">
        <f t="shared" si="32"/>
        <v>43973</v>
      </c>
      <c r="D181" s="57">
        <f t="shared" si="22"/>
        <v>43973</v>
      </c>
      <c r="E181" s="58">
        <f t="shared" si="31"/>
        <v>26</v>
      </c>
      <c r="F181" s="58">
        <f t="shared" si="31"/>
        <v>21</v>
      </c>
      <c r="G181" s="8">
        <v>202005</v>
      </c>
      <c r="H181" s="8" t="s">
        <v>7006</v>
      </c>
      <c r="I181" s="8">
        <v>202006</v>
      </c>
      <c r="J181" s="8" t="s">
        <v>7007</v>
      </c>
      <c r="K181" s="56">
        <f t="shared" si="23"/>
        <v>43969</v>
      </c>
      <c r="L181" s="56">
        <f t="shared" si="24"/>
        <v>43975</v>
      </c>
      <c r="M181" s="59" t="str">
        <f t="shared" si="25"/>
        <v>18/05/20 @ 
24/05/20</v>
      </c>
    </row>
    <row r="182" spans="2:13" ht="24" x14ac:dyDescent="0.25">
      <c r="B182" s="55">
        <f t="shared" si="32"/>
        <v>180</v>
      </c>
      <c r="C182" s="56">
        <f t="shared" si="32"/>
        <v>43974</v>
      </c>
      <c r="D182" s="57">
        <f t="shared" si="22"/>
        <v>43974</v>
      </c>
      <c r="E182" s="58">
        <f t="shared" si="31"/>
        <v>26</v>
      </c>
      <c r="F182" s="58">
        <f t="shared" si="31"/>
        <v>21</v>
      </c>
      <c r="G182" s="8">
        <v>202005</v>
      </c>
      <c r="H182" s="8" t="s">
        <v>7006</v>
      </c>
      <c r="I182" s="8">
        <v>202006</v>
      </c>
      <c r="J182" s="8" t="s">
        <v>7007</v>
      </c>
      <c r="K182" s="56">
        <f t="shared" si="23"/>
        <v>43969</v>
      </c>
      <c r="L182" s="56">
        <f t="shared" si="24"/>
        <v>43975</v>
      </c>
      <c r="M182" s="59" t="str">
        <f t="shared" si="25"/>
        <v>18/05/20 @ 
24/05/20</v>
      </c>
    </row>
    <row r="183" spans="2:13" ht="24" x14ac:dyDescent="0.25">
      <c r="B183" s="55">
        <f t="shared" si="32"/>
        <v>181</v>
      </c>
      <c r="C183" s="56">
        <f t="shared" si="32"/>
        <v>43975</v>
      </c>
      <c r="D183" s="57">
        <f t="shared" si="22"/>
        <v>43975</v>
      </c>
      <c r="E183" s="58">
        <f t="shared" si="31"/>
        <v>26</v>
      </c>
      <c r="F183" s="58">
        <f t="shared" si="31"/>
        <v>21</v>
      </c>
      <c r="G183" s="8">
        <v>202005</v>
      </c>
      <c r="H183" s="8" t="s">
        <v>7006</v>
      </c>
      <c r="I183" s="8">
        <v>202006</v>
      </c>
      <c r="J183" s="8" t="s">
        <v>7007</v>
      </c>
      <c r="K183" s="56">
        <f t="shared" si="23"/>
        <v>43969</v>
      </c>
      <c r="L183" s="56">
        <f t="shared" si="24"/>
        <v>43975</v>
      </c>
      <c r="M183" s="59" t="str">
        <f t="shared" si="25"/>
        <v>18/05/20 @ 
24/05/20</v>
      </c>
    </row>
    <row r="184" spans="2:13" ht="24" x14ac:dyDescent="0.25">
      <c r="B184" s="55">
        <f t="shared" si="32"/>
        <v>182</v>
      </c>
      <c r="C184" s="56">
        <f t="shared" si="32"/>
        <v>43976</v>
      </c>
      <c r="D184" s="57">
        <f t="shared" si="22"/>
        <v>43976</v>
      </c>
      <c r="E184" s="58">
        <f t="shared" si="31"/>
        <v>27</v>
      </c>
      <c r="F184" s="58">
        <f t="shared" si="31"/>
        <v>22</v>
      </c>
      <c r="G184" s="8">
        <v>202005</v>
      </c>
      <c r="H184" s="8" t="s">
        <v>7007</v>
      </c>
      <c r="I184" s="8">
        <v>202006</v>
      </c>
      <c r="J184" s="8" t="s">
        <v>7007</v>
      </c>
      <c r="K184" s="56">
        <f t="shared" si="23"/>
        <v>43976</v>
      </c>
      <c r="L184" s="56">
        <f t="shared" si="24"/>
        <v>43982</v>
      </c>
      <c r="M184" s="59" t="str">
        <f t="shared" si="25"/>
        <v>25/05/20 @ 
31/05/20</v>
      </c>
    </row>
    <row r="185" spans="2:13" ht="24" x14ac:dyDescent="0.25">
      <c r="B185" s="55">
        <f t="shared" si="32"/>
        <v>183</v>
      </c>
      <c r="C185" s="56">
        <f t="shared" si="32"/>
        <v>43977</v>
      </c>
      <c r="D185" s="57">
        <f t="shared" si="22"/>
        <v>43977</v>
      </c>
      <c r="E185" s="58">
        <f t="shared" si="31"/>
        <v>27</v>
      </c>
      <c r="F185" s="58">
        <f t="shared" si="31"/>
        <v>22</v>
      </c>
      <c r="G185" s="8">
        <v>202005</v>
      </c>
      <c r="H185" s="8" t="s">
        <v>7007</v>
      </c>
      <c r="I185" s="8">
        <v>202006</v>
      </c>
      <c r="J185" s="8" t="s">
        <v>7007</v>
      </c>
      <c r="K185" s="56">
        <f t="shared" si="23"/>
        <v>43976</v>
      </c>
      <c r="L185" s="56">
        <f t="shared" si="24"/>
        <v>43982</v>
      </c>
      <c r="M185" s="59" t="str">
        <f t="shared" si="25"/>
        <v>25/05/20 @ 
31/05/20</v>
      </c>
    </row>
    <row r="186" spans="2:13" ht="24" x14ac:dyDescent="0.25">
      <c r="B186" s="55">
        <f t="shared" si="32"/>
        <v>184</v>
      </c>
      <c r="C186" s="56">
        <f t="shared" si="32"/>
        <v>43978</v>
      </c>
      <c r="D186" s="57">
        <f t="shared" si="22"/>
        <v>43978</v>
      </c>
      <c r="E186" s="58">
        <f t="shared" ref="E186:F201" si="33">+E179+1</f>
        <v>27</v>
      </c>
      <c r="F186" s="58">
        <f t="shared" si="33"/>
        <v>22</v>
      </c>
      <c r="G186" s="8">
        <v>202005</v>
      </c>
      <c r="H186" s="8" t="s">
        <v>7007</v>
      </c>
      <c r="I186" s="8">
        <v>202006</v>
      </c>
      <c r="J186" s="8" t="s">
        <v>7007</v>
      </c>
      <c r="K186" s="56">
        <f t="shared" si="23"/>
        <v>43976</v>
      </c>
      <c r="L186" s="56">
        <f t="shared" si="24"/>
        <v>43982</v>
      </c>
      <c r="M186" s="59" t="str">
        <f t="shared" si="25"/>
        <v>25/05/20 @ 
31/05/20</v>
      </c>
    </row>
    <row r="187" spans="2:13" ht="24" x14ac:dyDescent="0.25">
      <c r="B187" s="55">
        <f t="shared" si="32"/>
        <v>185</v>
      </c>
      <c r="C187" s="56">
        <f t="shared" si="32"/>
        <v>43979</v>
      </c>
      <c r="D187" s="57">
        <f t="shared" si="22"/>
        <v>43979</v>
      </c>
      <c r="E187" s="58">
        <f t="shared" si="33"/>
        <v>27</v>
      </c>
      <c r="F187" s="58">
        <f t="shared" si="33"/>
        <v>22</v>
      </c>
      <c r="G187" s="8">
        <v>202005</v>
      </c>
      <c r="H187" s="8" t="s">
        <v>7007</v>
      </c>
      <c r="I187" s="8">
        <v>202006</v>
      </c>
      <c r="J187" s="8" t="s">
        <v>7007</v>
      </c>
      <c r="K187" s="56">
        <f t="shared" si="23"/>
        <v>43976</v>
      </c>
      <c r="L187" s="56">
        <f t="shared" si="24"/>
        <v>43982</v>
      </c>
      <c r="M187" s="59" t="str">
        <f t="shared" si="25"/>
        <v>25/05/20 @ 
31/05/20</v>
      </c>
    </row>
    <row r="188" spans="2:13" ht="24" x14ac:dyDescent="0.25">
      <c r="B188" s="55">
        <f t="shared" si="32"/>
        <v>186</v>
      </c>
      <c r="C188" s="56">
        <f t="shared" si="32"/>
        <v>43980</v>
      </c>
      <c r="D188" s="57">
        <f t="shared" si="22"/>
        <v>43980</v>
      </c>
      <c r="E188" s="58">
        <f t="shared" si="33"/>
        <v>27</v>
      </c>
      <c r="F188" s="58">
        <f t="shared" si="33"/>
        <v>22</v>
      </c>
      <c r="G188" s="8">
        <v>202005</v>
      </c>
      <c r="H188" s="8" t="s">
        <v>7007</v>
      </c>
      <c r="I188" s="8">
        <v>202006</v>
      </c>
      <c r="J188" s="8" t="s">
        <v>7007</v>
      </c>
      <c r="K188" s="56">
        <f t="shared" si="23"/>
        <v>43976</v>
      </c>
      <c r="L188" s="56">
        <f t="shared" si="24"/>
        <v>43982</v>
      </c>
      <c r="M188" s="59" t="str">
        <f t="shared" si="25"/>
        <v>25/05/20 @ 
31/05/20</v>
      </c>
    </row>
    <row r="189" spans="2:13" ht="24" x14ac:dyDescent="0.25">
      <c r="B189" s="55">
        <f t="shared" si="32"/>
        <v>187</v>
      </c>
      <c r="C189" s="56">
        <f t="shared" si="32"/>
        <v>43981</v>
      </c>
      <c r="D189" s="57">
        <f t="shared" si="22"/>
        <v>43981</v>
      </c>
      <c r="E189" s="58">
        <f t="shared" si="33"/>
        <v>27</v>
      </c>
      <c r="F189" s="58">
        <f t="shared" si="33"/>
        <v>22</v>
      </c>
      <c r="G189" s="8">
        <v>202005</v>
      </c>
      <c r="H189" s="8" t="s">
        <v>7007</v>
      </c>
      <c r="I189" s="8">
        <v>202006</v>
      </c>
      <c r="J189" s="8" t="s">
        <v>7007</v>
      </c>
      <c r="K189" s="56">
        <f t="shared" si="23"/>
        <v>43976</v>
      </c>
      <c r="L189" s="56">
        <f t="shared" si="24"/>
        <v>43982</v>
      </c>
      <c r="M189" s="59" t="str">
        <f t="shared" si="25"/>
        <v>25/05/20 @ 
31/05/20</v>
      </c>
    </row>
    <row r="190" spans="2:13" ht="24" x14ac:dyDescent="0.25">
      <c r="B190" s="55">
        <f t="shared" si="32"/>
        <v>188</v>
      </c>
      <c r="C190" s="56">
        <f t="shared" si="32"/>
        <v>43982</v>
      </c>
      <c r="D190" s="57">
        <f t="shared" si="22"/>
        <v>43982</v>
      </c>
      <c r="E190" s="58">
        <f t="shared" si="33"/>
        <v>27</v>
      </c>
      <c r="F190" s="58">
        <f t="shared" si="33"/>
        <v>22</v>
      </c>
      <c r="G190" s="8">
        <v>202005</v>
      </c>
      <c r="H190" s="8" t="s">
        <v>7007</v>
      </c>
      <c r="I190" s="8">
        <v>202006</v>
      </c>
      <c r="J190" s="8" t="s">
        <v>7007</v>
      </c>
      <c r="K190" s="56">
        <f t="shared" si="23"/>
        <v>43976</v>
      </c>
      <c r="L190" s="56">
        <f t="shared" si="24"/>
        <v>43982</v>
      </c>
      <c r="M190" s="59" t="str">
        <f t="shared" si="25"/>
        <v>25/05/20 @ 
31/05/20</v>
      </c>
    </row>
    <row r="191" spans="2:13" ht="24" x14ac:dyDescent="0.25">
      <c r="B191" s="55">
        <f t="shared" si="32"/>
        <v>189</v>
      </c>
      <c r="C191" s="56">
        <f t="shared" si="32"/>
        <v>43983</v>
      </c>
      <c r="D191" s="57">
        <f t="shared" si="22"/>
        <v>43983</v>
      </c>
      <c r="E191" s="58">
        <f t="shared" si="33"/>
        <v>28</v>
      </c>
      <c r="F191" s="58">
        <f t="shared" si="33"/>
        <v>23</v>
      </c>
      <c r="G191" s="8">
        <v>202006</v>
      </c>
      <c r="H191" s="8" t="s">
        <v>7007</v>
      </c>
      <c r="I191" s="8">
        <v>202006</v>
      </c>
      <c r="J191" s="8" t="s">
        <v>7007</v>
      </c>
      <c r="K191" s="56">
        <f t="shared" si="23"/>
        <v>43983</v>
      </c>
      <c r="L191" s="56">
        <f t="shared" si="24"/>
        <v>43989</v>
      </c>
      <c r="M191" s="59" t="str">
        <f t="shared" si="25"/>
        <v>01/06/20 @ 
07/06/20</v>
      </c>
    </row>
    <row r="192" spans="2:13" ht="24" x14ac:dyDescent="0.25">
      <c r="B192" s="55">
        <f t="shared" si="32"/>
        <v>190</v>
      </c>
      <c r="C192" s="56">
        <f t="shared" si="32"/>
        <v>43984</v>
      </c>
      <c r="D192" s="57">
        <f t="shared" si="22"/>
        <v>43984</v>
      </c>
      <c r="E192" s="58">
        <f t="shared" si="33"/>
        <v>28</v>
      </c>
      <c r="F192" s="58">
        <f t="shared" si="33"/>
        <v>23</v>
      </c>
      <c r="G192" s="8">
        <v>202006</v>
      </c>
      <c r="H192" s="8" t="s">
        <v>7007</v>
      </c>
      <c r="I192" s="8">
        <v>202006</v>
      </c>
      <c r="J192" s="8" t="s">
        <v>7007</v>
      </c>
      <c r="K192" s="56">
        <f t="shared" si="23"/>
        <v>43983</v>
      </c>
      <c r="L192" s="56">
        <f t="shared" si="24"/>
        <v>43989</v>
      </c>
      <c r="M192" s="59" t="str">
        <f t="shared" si="25"/>
        <v>01/06/20 @ 
07/06/20</v>
      </c>
    </row>
    <row r="193" spans="2:13" ht="24" x14ac:dyDescent="0.25">
      <c r="B193" s="55">
        <f t="shared" si="32"/>
        <v>191</v>
      </c>
      <c r="C193" s="56">
        <f t="shared" si="32"/>
        <v>43985</v>
      </c>
      <c r="D193" s="57">
        <f t="shared" si="22"/>
        <v>43985</v>
      </c>
      <c r="E193" s="58">
        <f t="shared" si="33"/>
        <v>28</v>
      </c>
      <c r="F193" s="58">
        <f t="shared" si="33"/>
        <v>23</v>
      </c>
      <c r="G193" s="8">
        <v>202006</v>
      </c>
      <c r="H193" s="8" t="s">
        <v>7007</v>
      </c>
      <c r="I193" s="8">
        <v>202006</v>
      </c>
      <c r="J193" s="8" t="s">
        <v>7007</v>
      </c>
      <c r="K193" s="56">
        <f t="shared" si="23"/>
        <v>43983</v>
      </c>
      <c r="L193" s="56">
        <f t="shared" si="24"/>
        <v>43989</v>
      </c>
      <c r="M193" s="59" t="str">
        <f t="shared" si="25"/>
        <v>01/06/20 @ 
07/06/20</v>
      </c>
    </row>
    <row r="194" spans="2:13" ht="24" x14ac:dyDescent="0.25">
      <c r="B194" s="55">
        <f t="shared" si="32"/>
        <v>192</v>
      </c>
      <c r="C194" s="56">
        <f t="shared" si="32"/>
        <v>43986</v>
      </c>
      <c r="D194" s="57">
        <f t="shared" si="22"/>
        <v>43986</v>
      </c>
      <c r="E194" s="58">
        <f t="shared" si="33"/>
        <v>28</v>
      </c>
      <c r="F194" s="58">
        <f t="shared" si="33"/>
        <v>23</v>
      </c>
      <c r="G194" s="8">
        <v>202006</v>
      </c>
      <c r="H194" s="8" t="s">
        <v>7007</v>
      </c>
      <c r="I194" s="8">
        <v>202006</v>
      </c>
      <c r="J194" s="8" t="s">
        <v>7007</v>
      </c>
      <c r="K194" s="56">
        <f t="shared" si="23"/>
        <v>43983</v>
      </c>
      <c r="L194" s="56">
        <f t="shared" si="24"/>
        <v>43989</v>
      </c>
      <c r="M194" s="59" t="str">
        <f t="shared" si="25"/>
        <v>01/06/20 @ 
07/06/20</v>
      </c>
    </row>
    <row r="195" spans="2:13" ht="24" x14ac:dyDescent="0.25">
      <c r="B195" s="55">
        <f t="shared" si="32"/>
        <v>193</v>
      </c>
      <c r="C195" s="56">
        <f t="shared" si="32"/>
        <v>43987</v>
      </c>
      <c r="D195" s="57">
        <f t="shared" ref="D195:D258" si="34">+C195</f>
        <v>43987</v>
      </c>
      <c r="E195" s="58">
        <f t="shared" si="33"/>
        <v>28</v>
      </c>
      <c r="F195" s="58">
        <f t="shared" si="33"/>
        <v>23</v>
      </c>
      <c r="G195" s="8">
        <v>202006</v>
      </c>
      <c r="H195" s="8" t="s">
        <v>7007</v>
      </c>
      <c r="I195" s="8">
        <v>202006</v>
      </c>
      <c r="J195" s="8" t="s">
        <v>7007</v>
      </c>
      <c r="K195" s="56">
        <f t="shared" ref="K195:K258" si="35">_xlfn.MINIFS($C$2:$C$890,$E$2:$E$890,E195)</f>
        <v>43983</v>
      </c>
      <c r="L195" s="56">
        <f t="shared" ref="L195:L258" si="36">_xlfn.MAXIFS($C$2:$C$890,$E$2:$E$890,E195)</f>
        <v>43989</v>
      </c>
      <c r="M195" s="59" t="str">
        <f t="shared" ref="M195:M258" si="37">CONCATENATE(TEXT(K195,"DD/MM/YY")," @ ",CHAR(10),TEXT(L195,"DD/MM/YY"))</f>
        <v>01/06/20 @ 
07/06/20</v>
      </c>
    </row>
    <row r="196" spans="2:13" ht="24" x14ac:dyDescent="0.25">
      <c r="B196" s="55">
        <f t="shared" si="32"/>
        <v>194</v>
      </c>
      <c r="C196" s="56">
        <f t="shared" si="32"/>
        <v>43988</v>
      </c>
      <c r="D196" s="57">
        <f t="shared" si="34"/>
        <v>43988</v>
      </c>
      <c r="E196" s="58">
        <f t="shared" si="33"/>
        <v>28</v>
      </c>
      <c r="F196" s="58">
        <f t="shared" si="33"/>
        <v>23</v>
      </c>
      <c r="G196" s="8">
        <v>202006</v>
      </c>
      <c r="H196" s="8" t="s">
        <v>7007</v>
      </c>
      <c r="I196" s="8">
        <v>202006</v>
      </c>
      <c r="J196" s="8" t="s">
        <v>7007</v>
      </c>
      <c r="K196" s="56">
        <f t="shared" si="35"/>
        <v>43983</v>
      </c>
      <c r="L196" s="56">
        <f t="shared" si="36"/>
        <v>43989</v>
      </c>
      <c r="M196" s="59" t="str">
        <f t="shared" si="37"/>
        <v>01/06/20 @ 
07/06/20</v>
      </c>
    </row>
    <row r="197" spans="2:13" ht="24" x14ac:dyDescent="0.25">
      <c r="B197" s="55">
        <f t="shared" ref="B197:C212" si="38">+B196+1</f>
        <v>195</v>
      </c>
      <c r="C197" s="56">
        <f t="shared" si="38"/>
        <v>43989</v>
      </c>
      <c r="D197" s="57">
        <f t="shared" si="34"/>
        <v>43989</v>
      </c>
      <c r="E197" s="58">
        <f t="shared" si="33"/>
        <v>28</v>
      </c>
      <c r="F197" s="58">
        <f t="shared" si="33"/>
        <v>23</v>
      </c>
      <c r="G197" s="8">
        <v>202006</v>
      </c>
      <c r="H197" s="8" t="s">
        <v>7007</v>
      </c>
      <c r="I197" s="8">
        <v>202006</v>
      </c>
      <c r="J197" s="8" t="s">
        <v>7007</v>
      </c>
      <c r="K197" s="56">
        <f t="shared" si="35"/>
        <v>43983</v>
      </c>
      <c r="L197" s="56">
        <f t="shared" si="36"/>
        <v>43989</v>
      </c>
      <c r="M197" s="59" t="str">
        <f t="shared" si="37"/>
        <v>01/06/20 @ 
07/06/20</v>
      </c>
    </row>
    <row r="198" spans="2:13" ht="24" x14ac:dyDescent="0.25">
      <c r="B198" s="55">
        <f t="shared" si="38"/>
        <v>196</v>
      </c>
      <c r="C198" s="56">
        <f t="shared" si="38"/>
        <v>43990</v>
      </c>
      <c r="D198" s="57">
        <f t="shared" si="34"/>
        <v>43990</v>
      </c>
      <c r="E198" s="58">
        <f t="shared" si="33"/>
        <v>29</v>
      </c>
      <c r="F198" s="58">
        <f t="shared" si="33"/>
        <v>24</v>
      </c>
      <c r="G198" s="8">
        <v>202006</v>
      </c>
      <c r="H198" s="8" t="s">
        <v>7007</v>
      </c>
      <c r="I198" s="8">
        <v>202006</v>
      </c>
      <c r="J198" s="8" t="s">
        <v>7007</v>
      </c>
      <c r="K198" s="56">
        <f t="shared" si="35"/>
        <v>43990</v>
      </c>
      <c r="L198" s="56">
        <f t="shared" si="36"/>
        <v>43996</v>
      </c>
      <c r="M198" s="59" t="str">
        <f t="shared" si="37"/>
        <v>08/06/20 @ 
14/06/20</v>
      </c>
    </row>
    <row r="199" spans="2:13" ht="24" x14ac:dyDescent="0.25">
      <c r="B199" s="55">
        <f t="shared" si="38"/>
        <v>197</v>
      </c>
      <c r="C199" s="56">
        <f t="shared" si="38"/>
        <v>43991</v>
      </c>
      <c r="D199" s="57">
        <f t="shared" si="34"/>
        <v>43991</v>
      </c>
      <c r="E199" s="58">
        <f t="shared" si="33"/>
        <v>29</v>
      </c>
      <c r="F199" s="58">
        <f t="shared" si="33"/>
        <v>24</v>
      </c>
      <c r="G199" s="8">
        <v>202006</v>
      </c>
      <c r="H199" s="8" t="s">
        <v>7007</v>
      </c>
      <c r="I199" s="8">
        <v>202006</v>
      </c>
      <c r="J199" s="8" t="s">
        <v>7007</v>
      </c>
      <c r="K199" s="56">
        <f t="shared" si="35"/>
        <v>43990</v>
      </c>
      <c r="L199" s="56">
        <f t="shared" si="36"/>
        <v>43996</v>
      </c>
      <c r="M199" s="59" t="str">
        <f t="shared" si="37"/>
        <v>08/06/20 @ 
14/06/20</v>
      </c>
    </row>
    <row r="200" spans="2:13" ht="24" x14ac:dyDescent="0.25">
      <c r="B200" s="55">
        <f t="shared" si="38"/>
        <v>198</v>
      </c>
      <c r="C200" s="56">
        <f t="shared" si="38"/>
        <v>43992</v>
      </c>
      <c r="D200" s="57">
        <f t="shared" si="34"/>
        <v>43992</v>
      </c>
      <c r="E200" s="58">
        <f t="shared" si="33"/>
        <v>29</v>
      </c>
      <c r="F200" s="58">
        <f t="shared" si="33"/>
        <v>24</v>
      </c>
      <c r="G200" s="8">
        <v>202006</v>
      </c>
      <c r="H200" s="8" t="s">
        <v>7007</v>
      </c>
      <c r="I200" s="8">
        <v>202006</v>
      </c>
      <c r="J200" s="8" t="s">
        <v>7007</v>
      </c>
      <c r="K200" s="56">
        <f t="shared" si="35"/>
        <v>43990</v>
      </c>
      <c r="L200" s="56">
        <f t="shared" si="36"/>
        <v>43996</v>
      </c>
      <c r="M200" s="59" t="str">
        <f t="shared" si="37"/>
        <v>08/06/20 @ 
14/06/20</v>
      </c>
    </row>
    <row r="201" spans="2:13" ht="24" x14ac:dyDescent="0.25">
      <c r="B201" s="55">
        <f t="shared" si="38"/>
        <v>199</v>
      </c>
      <c r="C201" s="56">
        <f t="shared" si="38"/>
        <v>43993</v>
      </c>
      <c r="D201" s="57">
        <f t="shared" si="34"/>
        <v>43993</v>
      </c>
      <c r="E201" s="58">
        <f t="shared" si="33"/>
        <v>29</v>
      </c>
      <c r="F201" s="58">
        <f t="shared" si="33"/>
        <v>24</v>
      </c>
      <c r="G201" s="8">
        <v>202006</v>
      </c>
      <c r="H201" s="8" t="s">
        <v>7007</v>
      </c>
      <c r="I201" s="8">
        <v>202006</v>
      </c>
      <c r="J201" s="8" t="s">
        <v>7007</v>
      </c>
      <c r="K201" s="56">
        <f t="shared" si="35"/>
        <v>43990</v>
      </c>
      <c r="L201" s="56">
        <f t="shared" si="36"/>
        <v>43996</v>
      </c>
      <c r="M201" s="59" t="str">
        <f t="shared" si="37"/>
        <v>08/06/20 @ 
14/06/20</v>
      </c>
    </row>
    <row r="202" spans="2:13" ht="24" x14ac:dyDescent="0.25">
      <c r="B202" s="55">
        <f t="shared" si="38"/>
        <v>200</v>
      </c>
      <c r="C202" s="56">
        <f t="shared" si="38"/>
        <v>43994</v>
      </c>
      <c r="D202" s="57">
        <f t="shared" si="34"/>
        <v>43994</v>
      </c>
      <c r="E202" s="58">
        <f t="shared" ref="E202:F217" si="39">+E195+1</f>
        <v>29</v>
      </c>
      <c r="F202" s="58">
        <f t="shared" si="39"/>
        <v>24</v>
      </c>
      <c r="G202" s="8">
        <v>202006</v>
      </c>
      <c r="H202" s="8" t="s">
        <v>7007</v>
      </c>
      <c r="I202" s="8">
        <v>202006</v>
      </c>
      <c r="J202" s="8" t="s">
        <v>7007</v>
      </c>
      <c r="K202" s="56">
        <f t="shared" si="35"/>
        <v>43990</v>
      </c>
      <c r="L202" s="56">
        <f t="shared" si="36"/>
        <v>43996</v>
      </c>
      <c r="M202" s="59" t="str">
        <f t="shared" si="37"/>
        <v>08/06/20 @ 
14/06/20</v>
      </c>
    </row>
    <row r="203" spans="2:13" ht="24" x14ac:dyDescent="0.25">
      <c r="B203" s="55">
        <f t="shared" si="38"/>
        <v>201</v>
      </c>
      <c r="C203" s="56">
        <f t="shared" si="38"/>
        <v>43995</v>
      </c>
      <c r="D203" s="57">
        <f t="shared" si="34"/>
        <v>43995</v>
      </c>
      <c r="E203" s="58">
        <f t="shared" si="39"/>
        <v>29</v>
      </c>
      <c r="F203" s="58">
        <f t="shared" si="39"/>
        <v>24</v>
      </c>
      <c r="G203" s="8">
        <v>202006</v>
      </c>
      <c r="H203" s="8" t="s">
        <v>7007</v>
      </c>
      <c r="I203" s="8">
        <v>202006</v>
      </c>
      <c r="J203" s="8" t="s">
        <v>7007</v>
      </c>
      <c r="K203" s="56">
        <f t="shared" si="35"/>
        <v>43990</v>
      </c>
      <c r="L203" s="56">
        <f t="shared" si="36"/>
        <v>43996</v>
      </c>
      <c r="M203" s="59" t="str">
        <f t="shared" si="37"/>
        <v>08/06/20 @ 
14/06/20</v>
      </c>
    </row>
    <row r="204" spans="2:13" ht="24" x14ac:dyDescent="0.25">
      <c r="B204" s="55">
        <f t="shared" si="38"/>
        <v>202</v>
      </c>
      <c r="C204" s="56">
        <f t="shared" si="38"/>
        <v>43996</v>
      </c>
      <c r="D204" s="57">
        <f t="shared" si="34"/>
        <v>43996</v>
      </c>
      <c r="E204" s="58">
        <f t="shared" si="39"/>
        <v>29</v>
      </c>
      <c r="F204" s="58">
        <f t="shared" si="39"/>
        <v>24</v>
      </c>
      <c r="G204" s="8">
        <v>202006</v>
      </c>
      <c r="H204" s="8" t="s">
        <v>7007</v>
      </c>
      <c r="I204" s="8">
        <v>202006</v>
      </c>
      <c r="J204" s="8" t="s">
        <v>7007</v>
      </c>
      <c r="K204" s="56">
        <f t="shared" si="35"/>
        <v>43990</v>
      </c>
      <c r="L204" s="56">
        <f t="shared" si="36"/>
        <v>43996</v>
      </c>
      <c r="M204" s="59" t="str">
        <f t="shared" si="37"/>
        <v>08/06/20 @ 
14/06/20</v>
      </c>
    </row>
    <row r="205" spans="2:13" ht="24" x14ac:dyDescent="0.25">
      <c r="B205" s="55">
        <f t="shared" si="38"/>
        <v>203</v>
      </c>
      <c r="C205" s="56">
        <f t="shared" si="38"/>
        <v>43997</v>
      </c>
      <c r="D205" s="57">
        <f t="shared" si="34"/>
        <v>43997</v>
      </c>
      <c r="E205" s="58">
        <f t="shared" si="39"/>
        <v>30</v>
      </c>
      <c r="F205" s="58">
        <f t="shared" si="39"/>
        <v>25</v>
      </c>
      <c r="G205" s="8">
        <v>202006</v>
      </c>
      <c r="H205" s="8" t="s">
        <v>7007</v>
      </c>
      <c r="I205" s="8">
        <v>202006</v>
      </c>
      <c r="J205" s="8" t="s">
        <v>7007</v>
      </c>
      <c r="K205" s="56">
        <f t="shared" si="35"/>
        <v>43997</v>
      </c>
      <c r="L205" s="56">
        <f t="shared" si="36"/>
        <v>44003</v>
      </c>
      <c r="M205" s="59" t="str">
        <f t="shared" si="37"/>
        <v>15/06/20 @ 
21/06/20</v>
      </c>
    </row>
    <row r="206" spans="2:13" ht="24" x14ac:dyDescent="0.25">
      <c r="B206" s="55">
        <f t="shared" si="38"/>
        <v>204</v>
      </c>
      <c r="C206" s="56">
        <f t="shared" si="38"/>
        <v>43998</v>
      </c>
      <c r="D206" s="57">
        <f t="shared" si="34"/>
        <v>43998</v>
      </c>
      <c r="E206" s="58">
        <f t="shared" si="39"/>
        <v>30</v>
      </c>
      <c r="F206" s="58">
        <f t="shared" si="39"/>
        <v>25</v>
      </c>
      <c r="G206" s="8">
        <v>202006</v>
      </c>
      <c r="H206" s="8" t="s">
        <v>7007</v>
      </c>
      <c r="I206" s="8">
        <v>202006</v>
      </c>
      <c r="J206" s="8" t="s">
        <v>7007</v>
      </c>
      <c r="K206" s="56">
        <f t="shared" si="35"/>
        <v>43997</v>
      </c>
      <c r="L206" s="56">
        <f t="shared" si="36"/>
        <v>44003</v>
      </c>
      <c r="M206" s="59" t="str">
        <f t="shared" si="37"/>
        <v>15/06/20 @ 
21/06/20</v>
      </c>
    </row>
    <row r="207" spans="2:13" ht="24" x14ac:dyDescent="0.25">
      <c r="B207" s="55">
        <f t="shared" si="38"/>
        <v>205</v>
      </c>
      <c r="C207" s="56">
        <f t="shared" si="38"/>
        <v>43999</v>
      </c>
      <c r="D207" s="57">
        <f t="shared" si="34"/>
        <v>43999</v>
      </c>
      <c r="E207" s="58">
        <f t="shared" si="39"/>
        <v>30</v>
      </c>
      <c r="F207" s="58">
        <f t="shared" si="39"/>
        <v>25</v>
      </c>
      <c r="G207" s="8">
        <v>202006</v>
      </c>
      <c r="H207" s="8" t="s">
        <v>7007</v>
      </c>
      <c r="I207" s="8">
        <v>202006</v>
      </c>
      <c r="J207" s="8" t="s">
        <v>7007</v>
      </c>
      <c r="K207" s="56">
        <f t="shared" si="35"/>
        <v>43997</v>
      </c>
      <c r="L207" s="56">
        <f t="shared" si="36"/>
        <v>44003</v>
      </c>
      <c r="M207" s="59" t="str">
        <f t="shared" si="37"/>
        <v>15/06/20 @ 
21/06/20</v>
      </c>
    </row>
    <row r="208" spans="2:13" ht="24" x14ac:dyDescent="0.25">
      <c r="B208" s="55">
        <f t="shared" si="38"/>
        <v>206</v>
      </c>
      <c r="C208" s="56">
        <f t="shared" si="38"/>
        <v>44000</v>
      </c>
      <c r="D208" s="57">
        <f t="shared" si="34"/>
        <v>44000</v>
      </c>
      <c r="E208" s="58">
        <f t="shared" si="39"/>
        <v>30</v>
      </c>
      <c r="F208" s="58">
        <f t="shared" si="39"/>
        <v>25</v>
      </c>
      <c r="G208" s="8">
        <v>202006</v>
      </c>
      <c r="H208" s="8" t="s">
        <v>7007</v>
      </c>
      <c r="I208" s="8">
        <v>202006</v>
      </c>
      <c r="J208" s="8" t="s">
        <v>7007</v>
      </c>
      <c r="K208" s="56">
        <f t="shared" si="35"/>
        <v>43997</v>
      </c>
      <c r="L208" s="56">
        <f t="shared" si="36"/>
        <v>44003</v>
      </c>
      <c r="M208" s="59" t="str">
        <f t="shared" si="37"/>
        <v>15/06/20 @ 
21/06/20</v>
      </c>
    </row>
    <row r="209" spans="2:13" ht="24" x14ac:dyDescent="0.25">
      <c r="B209" s="55">
        <f t="shared" si="38"/>
        <v>207</v>
      </c>
      <c r="C209" s="56">
        <f t="shared" si="38"/>
        <v>44001</v>
      </c>
      <c r="D209" s="57">
        <f t="shared" si="34"/>
        <v>44001</v>
      </c>
      <c r="E209" s="58">
        <f t="shared" si="39"/>
        <v>30</v>
      </c>
      <c r="F209" s="58">
        <f t="shared" si="39"/>
        <v>25</v>
      </c>
      <c r="G209" s="8">
        <v>202006</v>
      </c>
      <c r="H209" s="8" t="s">
        <v>7007</v>
      </c>
      <c r="I209" s="8">
        <v>202006</v>
      </c>
      <c r="J209" s="8" t="s">
        <v>7007</v>
      </c>
      <c r="K209" s="56">
        <f t="shared" si="35"/>
        <v>43997</v>
      </c>
      <c r="L209" s="56">
        <f t="shared" si="36"/>
        <v>44003</v>
      </c>
      <c r="M209" s="59" t="str">
        <f t="shared" si="37"/>
        <v>15/06/20 @ 
21/06/20</v>
      </c>
    </row>
    <row r="210" spans="2:13" ht="24" x14ac:dyDescent="0.25">
      <c r="B210" s="55">
        <f t="shared" si="38"/>
        <v>208</v>
      </c>
      <c r="C210" s="56">
        <f t="shared" si="38"/>
        <v>44002</v>
      </c>
      <c r="D210" s="57">
        <f t="shared" si="34"/>
        <v>44002</v>
      </c>
      <c r="E210" s="58">
        <f t="shared" si="39"/>
        <v>30</v>
      </c>
      <c r="F210" s="58">
        <f t="shared" si="39"/>
        <v>25</v>
      </c>
      <c r="G210" s="8">
        <v>202006</v>
      </c>
      <c r="H210" s="8" t="s">
        <v>7007</v>
      </c>
      <c r="I210" s="8">
        <v>202006</v>
      </c>
      <c r="J210" s="8" t="s">
        <v>7007</v>
      </c>
      <c r="K210" s="56">
        <f t="shared" si="35"/>
        <v>43997</v>
      </c>
      <c r="L210" s="56">
        <f t="shared" si="36"/>
        <v>44003</v>
      </c>
      <c r="M210" s="59" t="str">
        <f t="shared" si="37"/>
        <v>15/06/20 @ 
21/06/20</v>
      </c>
    </row>
    <row r="211" spans="2:13" ht="24" x14ac:dyDescent="0.25">
      <c r="B211" s="55">
        <f t="shared" si="38"/>
        <v>209</v>
      </c>
      <c r="C211" s="56">
        <f t="shared" si="38"/>
        <v>44003</v>
      </c>
      <c r="D211" s="57">
        <f t="shared" si="34"/>
        <v>44003</v>
      </c>
      <c r="E211" s="58">
        <f t="shared" si="39"/>
        <v>30</v>
      </c>
      <c r="F211" s="58">
        <f t="shared" si="39"/>
        <v>25</v>
      </c>
      <c r="G211" s="8">
        <v>202006</v>
      </c>
      <c r="H211" s="8" t="s">
        <v>7007</v>
      </c>
      <c r="I211" s="8">
        <v>202007</v>
      </c>
      <c r="J211" s="8" t="s">
        <v>7008</v>
      </c>
      <c r="K211" s="56">
        <f t="shared" si="35"/>
        <v>43997</v>
      </c>
      <c r="L211" s="56">
        <f t="shared" si="36"/>
        <v>44003</v>
      </c>
      <c r="M211" s="59" t="str">
        <f t="shared" si="37"/>
        <v>15/06/20 @ 
21/06/20</v>
      </c>
    </row>
    <row r="212" spans="2:13" ht="24" x14ac:dyDescent="0.25">
      <c r="B212" s="55">
        <f t="shared" si="38"/>
        <v>210</v>
      </c>
      <c r="C212" s="56">
        <f t="shared" si="38"/>
        <v>44004</v>
      </c>
      <c r="D212" s="57">
        <f t="shared" si="34"/>
        <v>44004</v>
      </c>
      <c r="E212" s="58">
        <f t="shared" si="39"/>
        <v>31</v>
      </c>
      <c r="F212" s="58">
        <f t="shared" si="39"/>
        <v>26</v>
      </c>
      <c r="G212" s="8">
        <v>202006</v>
      </c>
      <c r="H212" s="8" t="s">
        <v>7007</v>
      </c>
      <c r="I212" s="8">
        <v>202007</v>
      </c>
      <c r="J212" s="8" t="s">
        <v>7008</v>
      </c>
      <c r="K212" s="56">
        <f t="shared" si="35"/>
        <v>44004</v>
      </c>
      <c r="L212" s="56">
        <f t="shared" si="36"/>
        <v>44010</v>
      </c>
      <c r="M212" s="59" t="str">
        <f t="shared" si="37"/>
        <v>22/06/20 @ 
28/06/20</v>
      </c>
    </row>
    <row r="213" spans="2:13" ht="24" x14ac:dyDescent="0.25">
      <c r="B213" s="55">
        <f t="shared" ref="B213:C228" si="40">+B212+1</f>
        <v>211</v>
      </c>
      <c r="C213" s="56">
        <f t="shared" si="40"/>
        <v>44005</v>
      </c>
      <c r="D213" s="57">
        <f t="shared" si="34"/>
        <v>44005</v>
      </c>
      <c r="E213" s="58">
        <f t="shared" si="39"/>
        <v>31</v>
      </c>
      <c r="F213" s="58">
        <f t="shared" si="39"/>
        <v>26</v>
      </c>
      <c r="G213" s="8">
        <v>202006</v>
      </c>
      <c r="H213" s="8" t="s">
        <v>7007</v>
      </c>
      <c r="I213" s="8">
        <v>202007</v>
      </c>
      <c r="J213" s="8" t="s">
        <v>7008</v>
      </c>
      <c r="K213" s="56">
        <f t="shared" si="35"/>
        <v>44004</v>
      </c>
      <c r="L213" s="56">
        <f t="shared" si="36"/>
        <v>44010</v>
      </c>
      <c r="M213" s="59" t="str">
        <f t="shared" si="37"/>
        <v>22/06/20 @ 
28/06/20</v>
      </c>
    </row>
    <row r="214" spans="2:13" ht="24" x14ac:dyDescent="0.25">
      <c r="B214" s="55">
        <f t="shared" si="40"/>
        <v>212</v>
      </c>
      <c r="C214" s="56">
        <f t="shared" si="40"/>
        <v>44006</v>
      </c>
      <c r="D214" s="57">
        <f t="shared" si="34"/>
        <v>44006</v>
      </c>
      <c r="E214" s="58">
        <f t="shared" si="39"/>
        <v>31</v>
      </c>
      <c r="F214" s="58">
        <f t="shared" si="39"/>
        <v>26</v>
      </c>
      <c r="G214" s="8">
        <v>202006</v>
      </c>
      <c r="H214" s="8" t="s">
        <v>7007</v>
      </c>
      <c r="I214" s="8">
        <v>202007</v>
      </c>
      <c r="J214" s="8" t="s">
        <v>7008</v>
      </c>
      <c r="K214" s="56">
        <f t="shared" si="35"/>
        <v>44004</v>
      </c>
      <c r="L214" s="56">
        <f t="shared" si="36"/>
        <v>44010</v>
      </c>
      <c r="M214" s="59" t="str">
        <f t="shared" si="37"/>
        <v>22/06/20 @ 
28/06/20</v>
      </c>
    </row>
    <row r="215" spans="2:13" ht="24" x14ac:dyDescent="0.25">
      <c r="B215" s="55">
        <f t="shared" si="40"/>
        <v>213</v>
      </c>
      <c r="C215" s="56">
        <f t="shared" si="40"/>
        <v>44007</v>
      </c>
      <c r="D215" s="57">
        <f t="shared" si="34"/>
        <v>44007</v>
      </c>
      <c r="E215" s="58">
        <f t="shared" si="39"/>
        <v>31</v>
      </c>
      <c r="F215" s="58">
        <f t="shared" si="39"/>
        <v>26</v>
      </c>
      <c r="G215" s="8">
        <v>202006</v>
      </c>
      <c r="H215" s="8" t="s">
        <v>7007</v>
      </c>
      <c r="I215" s="8">
        <v>202007</v>
      </c>
      <c r="J215" s="8" t="s">
        <v>7008</v>
      </c>
      <c r="K215" s="56">
        <f t="shared" si="35"/>
        <v>44004</v>
      </c>
      <c r="L215" s="56">
        <f t="shared" si="36"/>
        <v>44010</v>
      </c>
      <c r="M215" s="59" t="str">
        <f t="shared" si="37"/>
        <v>22/06/20 @ 
28/06/20</v>
      </c>
    </row>
    <row r="216" spans="2:13" ht="24" x14ac:dyDescent="0.25">
      <c r="B216" s="55">
        <f t="shared" si="40"/>
        <v>214</v>
      </c>
      <c r="C216" s="56">
        <f t="shared" si="40"/>
        <v>44008</v>
      </c>
      <c r="D216" s="57">
        <f t="shared" si="34"/>
        <v>44008</v>
      </c>
      <c r="E216" s="58">
        <f t="shared" si="39"/>
        <v>31</v>
      </c>
      <c r="F216" s="58">
        <f t="shared" si="39"/>
        <v>26</v>
      </c>
      <c r="G216" s="8">
        <v>202006</v>
      </c>
      <c r="H216" s="8" t="s">
        <v>7007</v>
      </c>
      <c r="I216" s="8">
        <v>202007</v>
      </c>
      <c r="J216" s="8" t="s">
        <v>7008</v>
      </c>
      <c r="K216" s="56">
        <f t="shared" si="35"/>
        <v>44004</v>
      </c>
      <c r="L216" s="56">
        <f t="shared" si="36"/>
        <v>44010</v>
      </c>
      <c r="M216" s="59" t="str">
        <f t="shared" si="37"/>
        <v>22/06/20 @ 
28/06/20</v>
      </c>
    </row>
    <row r="217" spans="2:13" ht="24" x14ac:dyDescent="0.25">
      <c r="B217" s="55">
        <f t="shared" si="40"/>
        <v>215</v>
      </c>
      <c r="C217" s="56">
        <f t="shared" si="40"/>
        <v>44009</v>
      </c>
      <c r="D217" s="57">
        <f t="shared" si="34"/>
        <v>44009</v>
      </c>
      <c r="E217" s="58">
        <f t="shared" si="39"/>
        <v>31</v>
      </c>
      <c r="F217" s="58">
        <f t="shared" si="39"/>
        <v>26</v>
      </c>
      <c r="G217" s="8">
        <v>202006</v>
      </c>
      <c r="H217" s="8" t="s">
        <v>7007</v>
      </c>
      <c r="I217" s="8">
        <v>202007</v>
      </c>
      <c r="J217" s="8" t="s">
        <v>7008</v>
      </c>
      <c r="K217" s="56">
        <f t="shared" si="35"/>
        <v>44004</v>
      </c>
      <c r="L217" s="56">
        <f t="shared" si="36"/>
        <v>44010</v>
      </c>
      <c r="M217" s="59" t="str">
        <f t="shared" si="37"/>
        <v>22/06/20 @ 
28/06/20</v>
      </c>
    </row>
    <row r="218" spans="2:13" ht="24" x14ac:dyDescent="0.25">
      <c r="B218" s="55">
        <f t="shared" si="40"/>
        <v>216</v>
      </c>
      <c r="C218" s="56">
        <f t="shared" si="40"/>
        <v>44010</v>
      </c>
      <c r="D218" s="57">
        <f t="shared" si="34"/>
        <v>44010</v>
      </c>
      <c r="E218" s="58">
        <f t="shared" ref="E218:F233" si="41">+E211+1</f>
        <v>31</v>
      </c>
      <c r="F218" s="58">
        <f t="shared" si="41"/>
        <v>26</v>
      </c>
      <c r="G218" s="8">
        <v>202006</v>
      </c>
      <c r="H218" s="8" t="s">
        <v>7007</v>
      </c>
      <c r="I218" s="8">
        <v>202007</v>
      </c>
      <c r="J218" s="8" t="s">
        <v>7008</v>
      </c>
      <c r="K218" s="56">
        <f t="shared" si="35"/>
        <v>44004</v>
      </c>
      <c r="L218" s="56">
        <f t="shared" si="36"/>
        <v>44010</v>
      </c>
      <c r="M218" s="59" t="str">
        <f t="shared" si="37"/>
        <v>22/06/20 @ 
28/06/20</v>
      </c>
    </row>
    <row r="219" spans="2:13" ht="24" x14ac:dyDescent="0.25">
      <c r="B219" s="55">
        <f t="shared" si="40"/>
        <v>217</v>
      </c>
      <c r="C219" s="56">
        <f t="shared" si="40"/>
        <v>44011</v>
      </c>
      <c r="D219" s="57">
        <f t="shared" si="34"/>
        <v>44011</v>
      </c>
      <c r="E219" s="58">
        <f t="shared" si="41"/>
        <v>32</v>
      </c>
      <c r="F219" s="58">
        <f t="shared" si="41"/>
        <v>27</v>
      </c>
      <c r="G219" s="8">
        <v>202007</v>
      </c>
      <c r="H219" s="8" t="s">
        <v>7008</v>
      </c>
      <c r="I219" s="8">
        <v>202007</v>
      </c>
      <c r="J219" s="8" t="s">
        <v>7008</v>
      </c>
      <c r="K219" s="56">
        <f t="shared" si="35"/>
        <v>44011</v>
      </c>
      <c r="L219" s="56">
        <f t="shared" si="36"/>
        <v>44017</v>
      </c>
      <c r="M219" s="59" t="str">
        <f t="shared" si="37"/>
        <v>29/06/20 @ 
05/07/20</v>
      </c>
    </row>
    <row r="220" spans="2:13" ht="24" x14ac:dyDescent="0.25">
      <c r="B220" s="55">
        <f t="shared" si="40"/>
        <v>218</v>
      </c>
      <c r="C220" s="56">
        <f t="shared" si="40"/>
        <v>44012</v>
      </c>
      <c r="D220" s="57">
        <f t="shared" si="34"/>
        <v>44012</v>
      </c>
      <c r="E220" s="58">
        <f t="shared" si="41"/>
        <v>32</v>
      </c>
      <c r="F220" s="58">
        <f t="shared" si="41"/>
        <v>27</v>
      </c>
      <c r="G220" s="8">
        <v>202007</v>
      </c>
      <c r="H220" s="8" t="s">
        <v>7008</v>
      </c>
      <c r="I220" s="8">
        <v>202007</v>
      </c>
      <c r="J220" s="8" t="s">
        <v>7008</v>
      </c>
      <c r="K220" s="56">
        <f t="shared" si="35"/>
        <v>44011</v>
      </c>
      <c r="L220" s="56">
        <f t="shared" si="36"/>
        <v>44017</v>
      </c>
      <c r="M220" s="59" t="str">
        <f t="shared" si="37"/>
        <v>29/06/20 @ 
05/07/20</v>
      </c>
    </row>
    <row r="221" spans="2:13" ht="24" x14ac:dyDescent="0.25">
      <c r="B221" s="55">
        <f t="shared" si="40"/>
        <v>219</v>
      </c>
      <c r="C221" s="56">
        <f t="shared" si="40"/>
        <v>44013</v>
      </c>
      <c r="D221" s="57">
        <f t="shared" si="34"/>
        <v>44013</v>
      </c>
      <c r="E221" s="58">
        <f t="shared" si="41"/>
        <v>32</v>
      </c>
      <c r="F221" s="58">
        <f t="shared" si="41"/>
        <v>27</v>
      </c>
      <c r="G221" s="8">
        <v>202007</v>
      </c>
      <c r="H221" s="8" t="s">
        <v>7008</v>
      </c>
      <c r="I221" s="8">
        <v>202007</v>
      </c>
      <c r="J221" s="8" t="s">
        <v>7008</v>
      </c>
      <c r="K221" s="56">
        <f t="shared" si="35"/>
        <v>44011</v>
      </c>
      <c r="L221" s="56">
        <f t="shared" si="36"/>
        <v>44017</v>
      </c>
      <c r="M221" s="59" t="str">
        <f t="shared" si="37"/>
        <v>29/06/20 @ 
05/07/20</v>
      </c>
    </row>
    <row r="222" spans="2:13" ht="24" x14ac:dyDescent="0.25">
      <c r="B222" s="55">
        <f t="shared" si="40"/>
        <v>220</v>
      </c>
      <c r="C222" s="56">
        <f t="shared" si="40"/>
        <v>44014</v>
      </c>
      <c r="D222" s="57">
        <f t="shared" si="34"/>
        <v>44014</v>
      </c>
      <c r="E222" s="58">
        <f t="shared" si="41"/>
        <v>32</v>
      </c>
      <c r="F222" s="58">
        <f t="shared" si="41"/>
        <v>27</v>
      </c>
      <c r="G222" s="8">
        <v>202007</v>
      </c>
      <c r="H222" s="8" t="s">
        <v>7008</v>
      </c>
      <c r="I222" s="8">
        <v>202007</v>
      </c>
      <c r="J222" s="8" t="s">
        <v>7008</v>
      </c>
      <c r="K222" s="56">
        <f t="shared" si="35"/>
        <v>44011</v>
      </c>
      <c r="L222" s="56">
        <f t="shared" si="36"/>
        <v>44017</v>
      </c>
      <c r="M222" s="59" t="str">
        <f t="shared" si="37"/>
        <v>29/06/20 @ 
05/07/20</v>
      </c>
    </row>
    <row r="223" spans="2:13" ht="24" x14ac:dyDescent="0.25">
      <c r="B223" s="55">
        <f t="shared" si="40"/>
        <v>221</v>
      </c>
      <c r="C223" s="56">
        <f t="shared" si="40"/>
        <v>44015</v>
      </c>
      <c r="D223" s="57">
        <f t="shared" si="34"/>
        <v>44015</v>
      </c>
      <c r="E223" s="58">
        <f t="shared" si="41"/>
        <v>32</v>
      </c>
      <c r="F223" s="58">
        <f t="shared" si="41"/>
        <v>27</v>
      </c>
      <c r="G223" s="8">
        <v>202007</v>
      </c>
      <c r="H223" s="8" t="s">
        <v>7008</v>
      </c>
      <c r="I223" s="8">
        <v>202007</v>
      </c>
      <c r="J223" s="8" t="s">
        <v>7008</v>
      </c>
      <c r="K223" s="56">
        <f t="shared" si="35"/>
        <v>44011</v>
      </c>
      <c r="L223" s="56">
        <f t="shared" si="36"/>
        <v>44017</v>
      </c>
      <c r="M223" s="59" t="str">
        <f t="shared" si="37"/>
        <v>29/06/20 @ 
05/07/20</v>
      </c>
    </row>
    <row r="224" spans="2:13" ht="24" x14ac:dyDescent="0.25">
      <c r="B224" s="55">
        <f t="shared" si="40"/>
        <v>222</v>
      </c>
      <c r="C224" s="56">
        <f t="shared" si="40"/>
        <v>44016</v>
      </c>
      <c r="D224" s="57">
        <f t="shared" si="34"/>
        <v>44016</v>
      </c>
      <c r="E224" s="58">
        <f t="shared" si="41"/>
        <v>32</v>
      </c>
      <c r="F224" s="58">
        <f t="shared" si="41"/>
        <v>27</v>
      </c>
      <c r="G224" s="8">
        <v>202007</v>
      </c>
      <c r="H224" s="8" t="s">
        <v>7008</v>
      </c>
      <c r="I224" s="8">
        <v>202007</v>
      </c>
      <c r="J224" s="8" t="s">
        <v>7008</v>
      </c>
      <c r="K224" s="56">
        <f t="shared" si="35"/>
        <v>44011</v>
      </c>
      <c r="L224" s="56">
        <f t="shared" si="36"/>
        <v>44017</v>
      </c>
      <c r="M224" s="59" t="str">
        <f t="shared" si="37"/>
        <v>29/06/20 @ 
05/07/20</v>
      </c>
    </row>
    <row r="225" spans="2:13" ht="24" x14ac:dyDescent="0.25">
      <c r="B225" s="55">
        <f t="shared" si="40"/>
        <v>223</v>
      </c>
      <c r="C225" s="56">
        <f t="shared" si="40"/>
        <v>44017</v>
      </c>
      <c r="D225" s="57">
        <f t="shared" si="34"/>
        <v>44017</v>
      </c>
      <c r="E225" s="58">
        <f t="shared" si="41"/>
        <v>32</v>
      </c>
      <c r="F225" s="58">
        <f t="shared" si="41"/>
        <v>27</v>
      </c>
      <c r="G225" s="8">
        <v>202007</v>
      </c>
      <c r="H225" s="8" t="s">
        <v>7008</v>
      </c>
      <c r="I225" s="8">
        <v>202007</v>
      </c>
      <c r="J225" s="8" t="s">
        <v>7008</v>
      </c>
      <c r="K225" s="56">
        <f t="shared" si="35"/>
        <v>44011</v>
      </c>
      <c r="L225" s="56">
        <f t="shared" si="36"/>
        <v>44017</v>
      </c>
      <c r="M225" s="59" t="str">
        <f t="shared" si="37"/>
        <v>29/06/20 @ 
05/07/20</v>
      </c>
    </row>
    <row r="226" spans="2:13" ht="24" x14ac:dyDescent="0.25">
      <c r="B226" s="55">
        <f t="shared" si="40"/>
        <v>224</v>
      </c>
      <c r="C226" s="56">
        <f t="shared" si="40"/>
        <v>44018</v>
      </c>
      <c r="D226" s="57">
        <f t="shared" si="34"/>
        <v>44018</v>
      </c>
      <c r="E226" s="58">
        <f t="shared" si="41"/>
        <v>33</v>
      </c>
      <c r="F226" s="58">
        <f t="shared" si="41"/>
        <v>28</v>
      </c>
      <c r="G226" s="8">
        <v>202007</v>
      </c>
      <c r="H226" s="8" t="s">
        <v>7008</v>
      </c>
      <c r="I226" s="8">
        <v>202007</v>
      </c>
      <c r="J226" s="8" t="s">
        <v>7008</v>
      </c>
      <c r="K226" s="56">
        <f t="shared" si="35"/>
        <v>44018</v>
      </c>
      <c r="L226" s="56">
        <f t="shared" si="36"/>
        <v>44024</v>
      </c>
      <c r="M226" s="59" t="str">
        <f t="shared" si="37"/>
        <v>06/07/20 @ 
12/07/20</v>
      </c>
    </row>
    <row r="227" spans="2:13" ht="24" x14ac:dyDescent="0.25">
      <c r="B227" s="55">
        <f t="shared" si="40"/>
        <v>225</v>
      </c>
      <c r="C227" s="56">
        <f t="shared" si="40"/>
        <v>44019</v>
      </c>
      <c r="D227" s="57">
        <f t="shared" si="34"/>
        <v>44019</v>
      </c>
      <c r="E227" s="58">
        <f t="shared" si="41"/>
        <v>33</v>
      </c>
      <c r="F227" s="58">
        <f t="shared" si="41"/>
        <v>28</v>
      </c>
      <c r="G227" s="8">
        <v>202007</v>
      </c>
      <c r="H227" s="8" t="s">
        <v>7008</v>
      </c>
      <c r="I227" s="8">
        <v>202007</v>
      </c>
      <c r="J227" s="8" t="s">
        <v>7008</v>
      </c>
      <c r="K227" s="56">
        <f t="shared" si="35"/>
        <v>44018</v>
      </c>
      <c r="L227" s="56">
        <f t="shared" si="36"/>
        <v>44024</v>
      </c>
      <c r="M227" s="59" t="str">
        <f t="shared" si="37"/>
        <v>06/07/20 @ 
12/07/20</v>
      </c>
    </row>
    <row r="228" spans="2:13" ht="24" x14ac:dyDescent="0.25">
      <c r="B228" s="55">
        <f t="shared" si="40"/>
        <v>226</v>
      </c>
      <c r="C228" s="56">
        <f t="shared" si="40"/>
        <v>44020</v>
      </c>
      <c r="D228" s="57">
        <f t="shared" si="34"/>
        <v>44020</v>
      </c>
      <c r="E228" s="58">
        <f t="shared" si="41"/>
        <v>33</v>
      </c>
      <c r="F228" s="58">
        <f t="shared" si="41"/>
        <v>28</v>
      </c>
      <c r="G228" s="8">
        <v>202007</v>
      </c>
      <c r="H228" s="8" t="s">
        <v>7008</v>
      </c>
      <c r="I228" s="8">
        <v>202007</v>
      </c>
      <c r="J228" s="8" t="s">
        <v>7008</v>
      </c>
      <c r="K228" s="56">
        <f t="shared" si="35"/>
        <v>44018</v>
      </c>
      <c r="L228" s="56">
        <f t="shared" si="36"/>
        <v>44024</v>
      </c>
      <c r="M228" s="59" t="str">
        <f t="shared" si="37"/>
        <v>06/07/20 @ 
12/07/20</v>
      </c>
    </row>
    <row r="229" spans="2:13" ht="24" x14ac:dyDescent="0.25">
      <c r="B229" s="55">
        <f t="shared" ref="B229:C244" si="42">+B228+1</f>
        <v>227</v>
      </c>
      <c r="C229" s="56">
        <f t="shared" si="42"/>
        <v>44021</v>
      </c>
      <c r="D229" s="57">
        <f t="shared" si="34"/>
        <v>44021</v>
      </c>
      <c r="E229" s="58">
        <f t="shared" si="41"/>
        <v>33</v>
      </c>
      <c r="F229" s="58">
        <f t="shared" si="41"/>
        <v>28</v>
      </c>
      <c r="G229" s="8">
        <v>202007</v>
      </c>
      <c r="H229" s="8" t="s">
        <v>7008</v>
      </c>
      <c r="I229" s="8">
        <v>202007</v>
      </c>
      <c r="J229" s="8" t="s">
        <v>7008</v>
      </c>
      <c r="K229" s="56">
        <f t="shared" si="35"/>
        <v>44018</v>
      </c>
      <c r="L229" s="56">
        <f t="shared" si="36"/>
        <v>44024</v>
      </c>
      <c r="M229" s="59" t="str">
        <f t="shared" si="37"/>
        <v>06/07/20 @ 
12/07/20</v>
      </c>
    </row>
    <row r="230" spans="2:13" ht="24" x14ac:dyDescent="0.25">
      <c r="B230" s="55">
        <f t="shared" si="42"/>
        <v>228</v>
      </c>
      <c r="C230" s="56">
        <f t="shared" si="42"/>
        <v>44022</v>
      </c>
      <c r="D230" s="57">
        <f t="shared" si="34"/>
        <v>44022</v>
      </c>
      <c r="E230" s="58">
        <f t="shared" si="41"/>
        <v>33</v>
      </c>
      <c r="F230" s="58">
        <f t="shared" si="41"/>
        <v>28</v>
      </c>
      <c r="G230" s="8">
        <v>202007</v>
      </c>
      <c r="H230" s="8" t="s">
        <v>7008</v>
      </c>
      <c r="I230" s="8">
        <v>202007</v>
      </c>
      <c r="J230" s="8" t="s">
        <v>7008</v>
      </c>
      <c r="K230" s="56">
        <f t="shared" si="35"/>
        <v>44018</v>
      </c>
      <c r="L230" s="56">
        <f t="shared" si="36"/>
        <v>44024</v>
      </c>
      <c r="M230" s="59" t="str">
        <f t="shared" si="37"/>
        <v>06/07/20 @ 
12/07/20</v>
      </c>
    </row>
    <row r="231" spans="2:13" ht="24" x14ac:dyDescent="0.25">
      <c r="B231" s="55">
        <f t="shared" si="42"/>
        <v>229</v>
      </c>
      <c r="C231" s="56">
        <f t="shared" si="42"/>
        <v>44023</v>
      </c>
      <c r="D231" s="57">
        <f t="shared" si="34"/>
        <v>44023</v>
      </c>
      <c r="E231" s="58">
        <f t="shared" si="41"/>
        <v>33</v>
      </c>
      <c r="F231" s="58">
        <f t="shared" si="41"/>
        <v>28</v>
      </c>
      <c r="G231" s="8">
        <v>202007</v>
      </c>
      <c r="H231" s="8" t="s">
        <v>7008</v>
      </c>
      <c r="I231" s="8">
        <v>202007</v>
      </c>
      <c r="J231" s="8" t="s">
        <v>7008</v>
      </c>
      <c r="K231" s="56">
        <f t="shared" si="35"/>
        <v>44018</v>
      </c>
      <c r="L231" s="56">
        <f t="shared" si="36"/>
        <v>44024</v>
      </c>
      <c r="M231" s="59" t="str">
        <f t="shared" si="37"/>
        <v>06/07/20 @ 
12/07/20</v>
      </c>
    </row>
    <row r="232" spans="2:13" ht="24" x14ac:dyDescent="0.25">
      <c r="B232" s="55">
        <f t="shared" si="42"/>
        <v>230</v>
      </c>
      <c r="C232" s="56">
        <f t="shared" si="42"/>
        <v>44024</v>
      </c>
      <c r="D232" s="57">
        <f t="shared" si="34"/>
        <v>44024</v>
      </c>
      <c r="E232" s="58">
        <f t="shared" si="41"/>
        <v>33</v>
      </c>
      <c r="F232" s="58">
        <f t="shared" si="41"/>
        <v>28</v>
      </c>
      <c r="G232" s="8">
        <v>202007</v>
      </c>
      <c r="H232" s="8" t="s">
        <v>7008</v>
      </c>
      <c r="I232" s="8">
        <v>202007</v>
      </c>
      <c r="J232" s="8" t="s">
        <v>7008</v>
      </c>
      <c r="K232" s="56">
        <f t="shared" si="35"/>
        <v>44018</v>
      </c>
      <c r="L232" s="56">
        <f t="shared" si="36"/>
        <v>44024</v>
      </c>
      <c r="M232" s="59" t="str">
        <f t="shared" si="37"/>
        <v>06/07/20 @ 
12/07/20</v>
      </c>
    </row>
    <row r="233" spans="2:13" ht="24" x14ac:dyDescent="0.25">
      <c r="B233" s="55">
        <f t="shared" si="42"/>
        <v>231</v>
      </c>
      <c r="C233" s="56">
        <f t="shared" si="42"/>
        <v>44025</v>
      </c>
      <c r="D233" s="57">
        <f t="shared" si="34"/>
        <v>44025</v>
      </c>
      <c r="E233" s="58">
        <f t="shared" si="41"/>
        <v>34</v>
      </c>
      <c r="F233" s="58">
        <f t="shared" si="41"/>
        <v>29</v>
      </c>
      <c r="G233" s="8">
        <v>202007</v>
      </c>
      <c r="H233" s="8" t="s">
        <v>7008</v>
      </c>
      <c r="I233" s="8">
        <v>202007</v>
      </c>
      <c r="J233" s="8" t="s">
        <v>7008</v>
      </c>
      <c r="K233" s="56">
        <f t="shared" si="35"/>
        <v>44025</v>
      </c>
      <c r="L233" s="56">
        <f t="shared" si="36"/>
        <v>44031</v>
      </c>
      <c r="M233" s="59" t="str">
        <f t="shared" si="37"/>
        <v>13/07/20 @ 
19/07/20</v>
      </c>
    </row>
    <row r="234" spans="2:13" ht="24" x14ac:dyDescent="0.25">
      <c r="B234" s="55">
        <f t="shared" si="42"/>
        <v>232</v>
      </c>
      <c r="C234" s="56">
        <f t="shared" si="42"/>
        <v>44026</v>
      </c>
      <c r="D234" s="57">
        <f t="shared" si="34"/>
        <v>44026</v>
      </c>
      <c r="E234" s="58">
        <f t="shared" ref="E234:F249" si="43">+E227+1</f>
        <v>34</v>
      </c>
      <c r="F234" s="58">
        <f t="shared" si="43"/>
        <v>29</v>
      </c>
      <c r="G234" s="8">
        <v>202007</v>
      </c>
      <c r="H234" s="8" t="s">
        <v>7008</v>
      </c>
      <c r="I234" s="8">
        <v>202007</v>
      </c>
      <c r="J234" s="8" t="s">
        <v>7008</v>
      </c>
      <c r="K234" s="56">
        <f t="shared" si="35"/>
        <v>44025</v>
      </c>
      <c r="L234" s="56">
        <f t="shared" si="36"/>
        <v>44031</v>
      </c>
      <c r="M234" s="59" t="str">
        <f t="shared" si="37"/>
        <v>13/07/20 @ 
19/07/20</v>
      </c>
    </row>
    <row r="235" spans="2:13" ht="24" x14ac:dyDescent="0.25">
      <c r="B235" s="55">
        <f t="shared" si="42"/>
        <v>233</v>
      </c>
      <c r="C235" s="56">
        <f t="shared" si="42"/>
        <v>44027</v>
      </c>
      <c r="D235" s="57">
        <f t="shared" si="34"/>
        <v>44027</v>
      </c>
      <c r="E235" s="58">
        <f t="shared" si="43"/>
        <v>34</v>
      </c>
      <c r="F235" s="58">
        <f t="shared" si="43"/>
        <v>29</v>
      </c>
      <c r="G235" s="8">
        <v>202007</v>
      </c>
      <c r="H235" s="8" t="s">
        <v>7008</v>
      </c>
      <c r="I235" s="8">
        <v>202007</v>
      </c>
      <c r="J235" s="8" t="s">
        <v>7008</v>
      </c>
      <c r="K235" s="56">
        <f t="shared" si="35"/>
        <v>44025</v>
      </c>
      <c r="L235" s="56">
        <f t="shared" si="36"/>
        <v>44031</v>
      </c>
      <c r="M235" s="59" t="str">
        <f t="shared" si="37"/>
        <v>13/07/20 @ 
19/07/20</v>
      </c>
    </row>
    <row r="236" spans="2:13" ht="24" x14ac:dyDescent="0.25">
      <c r="B236" s="55">
        <f t="shared" si="42"/>
        <v>234</v>
      </c>
      <c r="C236" s="56">
        <f t="shared" si="42"/>
        <v>44028</v>
      </c>
      <c r="D236" s="57">
        <f t="shared" si="34"/>
        <v>44028</v>
      </c>
      <c r="E236" s="58">
        <f t="shared" si="43"/>
        <v>34</v>
      </c>
      <c r="F236" s="58">
        <f t="shared" si="43"/>
        <v>29</v>
      </c>
      <c r="G236" s="8">
        <v>202007</v>
      </c>
      <c r="H236" s="8" t="s">
        <v>7008</v>
      </c>
      <c r="I236" s="8">
        <v>202007</v>
      </c>
      <c r="J236" s="8" t="s">
        <v>7008</v>
      </c>
      <c r="K236" s="56">
        <f t="shared" si="35"/>
        <v>44025</v>
      </c>
      <c r="L236" s="56">
        <f t="shared" si="36"/>
        <v>44031</v>
      </c>
      <c r="M236" s="59" t="str">
        <f t="shared" si="37"/>
        <v>13/07/20 @ 
19/07/20</v>
      </c>
    </row>
    <row r="237" spans="2:13" ht="24" x14ac:dyDescent="0.25">
      <c r="B237" s="55">
        <f t="shared" si="42"/>
        <v>235</v>
      </c>
      <c r="C237" s="56">
        <f t="shared" si="42"/>
        <v>44029</v>
      </c>
      <c r="D237" s="57">
        <f t="shared" si="34"/>
        <v>44029</v>
      </c>
      <c r="E237" s="58">
        <f t="shared" si="43"/>
        <v>34</v>
      </c>
      <c r="F237" s="58">
        <f t="shared" si="43"/>
        <v>29</v>
      </c>
      <c r="G237" s="8">
        <v>202007</v>
      </c>
      <c r="H237" s="8" t="s">
        <v>7008</v>
      </c>
      <c r="I237" s="8">
        <v>202007</v>
      </c>
      <c r="J237" s="8" t="s">
        <v>7008</v>
      </c>
      <c r="K237" s="56">
        <f t="shared" si="35"/>
        <v>44025</v>
      </c>
      <c r="L237" s="56">
        <f t="shared" si="36"/>
        <v>44031</v>
      </c>
      <c r="M237" s="59" t="str">
        <f t="shared" si="37"/>
        <v>13/07/20 @ 
19/07/20</v>
      </c>
    </row>
    <row r="238" spans="2:13" ht="24" x14ac:dyDescent="0.25">
      <c r="B238" s="55">
        <f t="shared" si="42"/>
        <v>236</v>
      </c>
      <c r="C238" s="56">
        <f t="shared" si="42"/>
        <v>44030</v>
      </c>
      <c r="D238" s="57">
        <f t="shared" si="34"/>
        <v>44030</v>
      </c>
      <c r="E238" s="58">
        <f t="shared" si="43"/>
        <v>34</v>
      </c>
      <c r="F238" s="58">
        <f t="shared" si="43"/>
        <v>29</v>
      </c>
      <c r="G238" s="8">
        <v>202007</v>
      </c>
      <c r="H238" s="8" t="s">
        <v>7008</v>
      </c>
      <c r="I238" s="8">
        <v>202007</v>
      </c>
      <c r="J238" s="8" t="s">
        <v>7008</v>
      </c>
      <c r="K238" s="56">
        <f t="shared" si="35"/>
        <v>44025</v>
      </c>
      <c r="L238" s="56">
        <f t="shared" si="36"/>
        <v>44031</v>
      </c>
      <c r="M238" s="59" t="str">
        <f t="shared" si="37"/>
        <v>13/07/20 @ 
19/07/20</v>
      </c>
    </row>
    <row r="239" spans="2:13" ht="24" x14ac:dyDescent="0.25">
      <c r="B239" s="55">
        <f t="shared" si="42"/>
        <v>237</v>
      </c>
      <c r="C239" s="56">
        <f t="shared" si="42"/>
        <v>44031</v>
      </c>
      <c r="D239" s="57">
        <f t="shared" si="34"/>
        <v>44031</v>
      </c>
      <c r="E239" s="58">
        <f t="shared" si="43"/>
        <v>34</v>
      </c>
      <c r="F239" s="58">
        <f t="shared" si="43"/>
        <v>29</v>
      </c>
      <c r="G239" s="8">
        <v>202007</v>
      </c>
      <c r="H239" s="8" t="s">
        <v>7008</v>
      </c>
      <c r="I239" s="8">
        <v>202007</v>
      </c>
      <c r="J239" s="8" t="s">
        <v>7008</v>
      </c>
      <c r="K239" s="56">
        <f t="shared" si="35"/>
        <v>44025</v>
      </c>
      <c r="L239" s="56">
        <f t="shared" si="36"/>
        <v>44031</v>
      </c>
      <c r="M239" s="59" t="str">
        <f t="shared" si="37"/>
        <v>13/07/20 @ 
19/07/20</v>
      </c>
    </row>
    <row r="240" spans="2:13" ht="24" x14ac:dyDescent="0.25">
      <c r="B240" s="55">
        <f t="shared" si="42"/>
        <v>238</v>
      </c>
      <c r="C240" s="56">
        <f t="shared" si="42"/>
        <v>44032</v>
      </c>
      <c r="D240" s="57">
        <f t="shared" si="34"/>
        <v>44032</v>
      </c>
      <c r="E240" s="58">
        <f t="shared" si="43"/>
        <v>35</v>
      </c>
      <c r="F240" s="58">
        <f t="shared" si="43"/>
        <v>30</v>
      </c>
      <c r="G240" s="8">
        <v>202007</v>
      </c>
      <c r="H240" s="8" t="s">
        <v>7008</v>
      </c>
      <c r="I240" s="8">
        <v>202007</v>
      </c>
      <c r="J240" s="8" t="s">
        <v>7008</v>
      </c>
      <c r="K240" s="56">
        <f t="shared" si="35"/>
        <v>44032</v>
      </c>
      <c r="L240" s="56">
        <f t="shared" si="36"/>
        <v>44038</v>
      </c>
      <c r="M240" s="59" t="str">
        <f t="shared" si="37"/>
        <v>20/07/20 @ 
26/07/20</v>
      </c>
    </row>
    <row r="241" spans="2:23" ht="24" x14ac:dyDescent="0.25">
      <c r="B241" s="55">
        <f t="shared" si="42"/>
        <v>239</v>
      </c>
      <c r="C241" s="56">
        <f t="shared" si="42"/>
        <v>44033</v>
      </c>
      <c r="D241" s="57">
        <f t="shared" si="34"/>
        <v>44033</v>
      </c>
      <c r="E241" s="58">
        <f t="shared" si="43"/>
        <v>35</v>
      </c>
      <c r="F241" s="58">
        <f t="shared" si="43"/>
        <v>30</v>
      </c>
      <c r="G241" s="8">
        <v>202007</v>
      </c>
      <c r="H241" s="8" t="s">
        <v>7008</v>
      </c>
      <c r="I241" s="8">
        <v>202008</v>
      </c>
      <c r="J241" s="8" t="s">
        <v>7009</v>
      </c>
      <c r="K241" s="56">
        <f t="shared" si="35"/>
        <v>44032</v>
      </c>
      <c r="L241" s="56">
        <f t="shared" si="36"/>
        <v>44038</v>
      </c>
      <c r="M241" s="59" t="str">
        <f t="shared" si="37"/>
        <v>20/07/20 @ 
26/07/20</v>
      </c>
    </row>
    <row r="242" spans="2:23" ht="24" x14ac:dyDescent="0.25">
      <c r="B242" s="55">
        <f t="shared" si="42"/>
        <v>240</v>
      </c>
      <c r="C242" s="56">
        <f t="shared" si="42"/>
        <v>44034</v>
      </c>
      <c r="D242" s="57">
        <f t="shared" si="34"/>
        <v>44034</v>
      </c>
      <c r="E242" s="58">
        <f t="shared" si="43"/>
        <v>35</v>
      </c>
      <c r="F242" s="58">
        <f t="shared" si="43"/>
        <v>30</v>
      </c>
      <c r="G242" s="8">
        <v>202007</v>
      </c>
      <c r="H242" s="8" t="s">
        <v>7008</v>
      </c>
      <c r="I242" s="8">
        <v>202008</v>
      </c>
      <c r="J242" s="8" t="s">
        <v>7009</v>
      </c>
      <c r="K242" s="56">
        <f t="shared" si="35"/>
        <v>44032</v>
      </c>
      <c r="L242" s="56">
        <f t="shared" si="36"/>
        <v>44038</v>
      </c>
      <c r="M242" s="59" t="str">
        <f t="shared" si="37"/>
        <v>20/07/20 @ 
26/07/20</v>
      </c>
    </row>
    <row r="243" spans="2:23" ht="24" x14ac:dyDescent="0.25">
      <c r="B243" s="55">
        <f t="shared" si="42"/>
        <v>241</v>
      </c>
      <c r="C243" s="56">
        <f t="shared" si="42"/>
        <v>44035</v>
      </c>
      <c r="D243" s="57">
        <f t="shared" si="34"/>
        <v>44035</v>
      </c>
      <c r="E243" s="58">
        <f t="shared" si="43"/>
        <v>35</v>
      </c>
      <c r="F243" s="58">
        <f t="shared" si="43"/>
        <v>30</v>
      </c>
      <c r="G243" s="8">
        <v>202007</v>
      </c>
      <c r="H243" s="8" t="s">
        <v>7008</v>
      </c>
      <c r="I243" s="8">
        <v>202008</v>
      </c>
      <c r="J243" s="8" t="s">
        <v>7009</v>
      </c>
      <c r="K243" s="56">
        <f t="shared" si="35"/>
        <v>44032</v>
      </c>
      <c r="L243" s="56">
        <f t="shared" si="36"/>
        <v>44038</v>
      </c>
      <c r="M243" s="59" t="str">
        <f t="shared" si="37"/>
        <v>20/07/20 @ 
26/07/20</v>
      </c>
    </row>
    <row r="244" spans="2:23" ht="24" x14ac:dyDescent="0.25">
      <c r="B244" s="55">
        <f t="shared" si="42"/>
        <v>242</v>
      </c>
      <c r="C244" s="56">
        <f t="shared" si="42"/>
        <v>44036</v>
      </c>
      <c r="D244" s="57">
        <f t="shared" si="34"/>
        <v>44036</v>
      </c>
      <c r="E244" s="58">
        <f t="shared" si="43"/>
        <v>35</v>
      </c>
      <c r="F244" s="58">
        <f t="shared" si="43"/>
        <v>30</v>
      </c>
      <c r="G244" s="8">
        <v>202007</v>
      </c>
      <c r="H244" s="8" t="s">
        <v>7008</v>
      </c>
      <c r="I244" s="8">
        <v>202008</v>
      </c>
      <c r="J244" s="8" t="s">
        <v>7009</v>
      </c>
      <c r="K244" s="56">
        <f t="shared" si="35"/>
        <v>44032</v>
      </c>
      <c r="L244" s="56">
        <f t="shared" si="36"/>
        <v>44038</v>
      </c>
      <c r="M244" s="59" t="str">
        <f t="shared" si="37"/>
        <v>20/07/20 @ 
26/07/20</v>
      </c>
      <c r="S244" s="60">
        <v>0.6</v>
      </c>
      <c r="V244" s="61"/>
      <c r="W244" s="61"/>
    </row>
    <row r="245" spans="2:23" ht="24" x14ac:dyDescent="0.25">
      <c r="B245" s="55">
        <f t="shared" ref="B245:C260" si="44">+B244+1</f>
        <v>243</v>
      </c>
      <c r="C245" s="56">
        <f t="shared" si="44"/>
        <v>44037</v>
      </c>
      <c r="D245" s="57">
        <f t="shared" si="34"/>
        <v>44037</v>
      </c>
      <c r="E245" s="58">
        <f t="shared" si="43"/>
        <v>35</v>
      </c>
      <c r="F245" s="58">
        <f t="shared" si="43"/>
        <v>30</v>
      </c>
      <c r="G245" s="8">
        <v>202007</v>
      </c>
      <c r="H245" s="8" t="s">
        <v>7008</v>
      </c>
      <c r="I245" s="8">
        <v>202008</v>
      </c>
      <c r="J245" s="8" t="s">
        <v>7009</v>
      </c>
      <c r="K245" s="56">
        <f t="shared" si="35"/>
        <v>44032</v>
      </c>
      <c r="L245" s="56">
        <f t="shared" si="36"/>
        <v>44038</v>
      </c>
      <c r="M245" s="59" t="str">
        <f t="shared" si="37"/>
        <v>20/07/20 @ 
26/07/20</v>
      </c>
    </row>
    <row r="246" spans="2:23" ht="24" x14ac:dyDescent="0.25">
      <c r="B246" s="55">
        <f t="shared" si="44"/>
        <v>244</v>
      </c>
      <c r="C246" s="56">
        <f t="shared" si="44"/>
        <v>44038</v>
      </c>
      <c r="D246" s="57">
        <f t="shared" si="34"/>
        <v>44038</v>
      </c>
      <c r="E246" s="58">
        <f t="shared" si="43"/>
        <v>35</v>
      </c>
      <c r="F246" s="58">
        <f t="shared" si="43"/>
        <v>30</v>
      </c>
      <c r="G246" s="8">
        <v>202007</v>
      </c>
      <c r="H246" s="8" t="s">
        <v>7008</v>
      </c>
      <c r="I246" s="8">
        <v>202008</v>
      </c>
      <c r="J246" s="8" t="s">
        <v>7009</v>
      </c>
      <c r="K246" s="56">
        <f t="shared" si="35"/>
        <v>44032</v>
      </c>
      <c r="L246" s="56">
        <f t="shared" si="36"/>
        <v>44038</v>
      </c>
      <c r="M246" s="59" t="str">
        <f t="shared" si="37"/>
        <v>20/07/20 @ 
26/07/20</v>
      </c>
    </row>
    <row r="247" spans="2:23" ht="24" x14ac:dyDescent="0.25">
      <c r="B247" s="55">
        <f t="shared" si="44"/>
        <v>245</v>
      </c>
      <c r="C247" s="56">
        <f t="shared" si="44"/>
        <v>44039</v>
      </c>
      <c r="D247" s="57">
        <f t="shared" si="34"/>
        <v>44039</v>
      </c>
      <c r="E247" s="58">
        <f t="shared" si="43"/>
        <v>36</v>
      </c>
      <c r="F247" s="58">
        <f t="shared" si="43"/>
        <v>31</v>
      </c>
      <c r="G247" s="8">
        <v>202008</v>
      </c>
      <c r="H247" s="8" t="s">
        <v>7009</v>
      </c>
      <c r="I247" s="8">
        <v>202008</v>
      </c>
      <c r="J247" s="8" t="s">
        <v>7009</v>
      </c>
      <c r="K247" s="56">
        <f t="shared" si="35"/>
        <v>44039</v>
      </c>
      <c r="L247" s="56">
        <f t="shared" si="36"/>
        <v>44045</v>
      </c>
      <c r="M247" s="59" t="str">
        <f t="shared" si="37"/>
        <v>27/07/20 @ 
02/08/20</v>
      </c>
    </row>
    <row r="248" spans="2:23" ht="24" x14ac:dyDescent="0.25">
      <c r="B248" s="55">
        <f t="shared" si="44"/>
        <v>246</v>
      </c>
      <c r="C248" s="56">
        <f t="shared" si="44"/>
        <v>44040</v>
      </c>
      <c r="D248" s="57">
        <f t="shared" si="34"/>
        <v>44040</v>
      </c>
      <c r="E248" s="58">
        <f t="shared" si="43"/>
        <v>36</v>
      </c>
      <c r="F248" s="58">
        <f t="shared" si="43"/>
        <v>31</v>
      </c>
      <c r="G248" s="8">
        <v>202008</v>
      </c>
      <c r="H248" s="8" t="s">
        <v>7009</v>
      </c>
      <c r="I248" s="8">
        <v>202008</v>
      </c>
      <c r="J248" s="8" t="s">
        <v>7009</v>
      </c>
      <c r="K248" s="56">
        <f t="shared" si="35"/>
        <v>44039</v>
      </c>
      <c r="L248" s="56">
        <f t="shared" si="36"/>
        <v>44045</v>
      </c>
      <c r="M248" s="59" t="str">
        <f t="shared" si="37"/>
        <v>27/07/20 @ 
02/08/20</v>
      </c>
    </row>
    <row r="249" spans="2:23" ht="24" x14ac:dyDescent="0.25">
      <c r="B249" s="55">
        <f t="shared" si="44"/>
        <v>247</v>
      </c>
      <c r="C249" s="56">
        <f t="shared" si="44"/>
        <v>44041</v>
      </c>
      <c r="D249" s="57">
        <f t="shared" si="34"/>
        <v>44041</v>
      </c>
      <c r="E249" s="58">
        <f t="shared" si="43"/>
        <v>36</v>
      </c>
      <c r="F249" s="58">
        <f t="shared" si="43"/>
        <v>31</v>
      </c>
      <c r="G249" s="8">
        <v>202008</v>
      </c>
      <c r="H249" s="8" t="s">
        <v>7009</v>
      </c>
      <c r="I249" s="8">
        <v>202008</v>
      </c>
      <c r="J249" s="8" t="s">
        <v>7009</v>
      </c>
      <c r="K249" s="56">
        <f t="shared" si="35"/>
        <v>44039</v>
      </c>
      <c r="L249" s="56">
        <f t="shared" si="36"/>
        <v>44045</v>
      </c>
      <c r="M249" s="59" t="str">
        <f t="shared" si="37"/>
        <v>27/07/20 @ 
02/08/20</v>
      </c>
    </row>
    <row r="250" spans="2:23" ht="24" x14ac:dyDescent="0.25">
      <c r="B250" s="55">
        <f t="shared" si="44"/>
        <v>248</v>
      </c>
      <c r="C250" s="56">
        <f t="shared" si="44"/>
        <v>44042</v>
      </c>
      <c r="D250" s="57">
        <f t="shared" si="34"/>
        <v>44042</v>
      </c>
      <c r="E250" s="58">
        <f t="shared" ref="E250:F265" si="45">+E243+1</f>
        <v>36</v>
      </c>
      <c r="F250" s="58">
        <f t="shared" si="45"/>
        <v>31</v>
      </c>
      <c r="G250" s="8">
        <v>202008</v>
      </c>
      <c r="H250" s="8" t="s">
        <v>7009</v>
      </c>
      <c r="I250" s="8">
        <v>202008</v>
      </c>
      <c r="J250" s="8" t="s">
        <v>7009</v>
      </c>
      <c r="K250" s="56">
        <f t="shared" si="35"/>
        <v>44039</v>
      </c>
      <c r="L250" s="56">
        <f t="shared" si="36"/>
        <v>44045</v>
      </c>
      <c r="M250" s="59" t="str">
        <f t="shared" si="37"/>
        <v>27/07/20 @ 
02/08/20</v>
      </c>
    </row>
    <row r="251" spans="2:23" ht="24" x14ac:dyDescent="0.25">
      <c r="B251" s="55">
        <f t="shared" si="44"/>
        <v>249</v>
      </c>
      <c r="C251" s="56">
        <f t="shared" si="44"/>
        <v>44043</v>
      </c>
      <c r="D251" s="57">
        <f t="shared" si="34"/>
        <v>44043</v>
      </c>
      <c r="E251" s="58">
        <f t="shared" si="45"/>
        <v>36</v>
      </c>
      <c r="F251" s="58">
        <f t="shared" si="45"/>
        <v>31</v>
      </c>
      <c r="G251" s="8">
        <v>202008</v>
      </c>
      <c r="H251" s="8" t="s">
        <v>7009</v>
      </c>
      <c r="I251" s="8">
        <v>202008</v>
      </c>
      <c r="J251" s="8" t="s">
        <v>7009</v>
      </c>
      <c r="K251" s="56">
        <f t="shared" si="35"/>
        <v>44039</v>
      </c>
      <c r="L251" s="56">
        <f t="shared" si="36"/>
        <v>44045</v>
      </c>
      <c r="M251" s="59" t="str">
        <f t="shared" si="37"/>
        <v>27/07/20 @ 
02/08/20</v>
      </c>
    </row>
    <row r="252" spans="2:23" ht="24" x14ac:dyDescent="0.25">
      <c r="B252" s="55">
        <f t="shared" si="44"/>
        <v>250</v>
      </c>
      <c r="C252" s="56">
        <f t="shared" si="44"/>
        <v>44044</v>
      </c>
      <c r="D252" s="57">
        <f t="shared" si="34"/>
        <v>44044</v>
      </c>
      <c r="E252" s="58">
        <f t="shared" si="45"/>
        <v>36</v>
      </c>
      <c r="F252" s="58">
        <f t="shared" si="45"/>
        <v>31</v>
      </c>
      <c r="G252" s="8">
        <v>202008</v>
      </c>
      <c r="H252" s="8" t="s">
        <v>7009</v>
      </c>
      <c r="I252" s="8">
        <v>202008</v>
      </c>
      <c r="J252" s="8" t="s">
        <v>7009</v>
      </c>
      <c r="K252" s="56">
        <f t="shared" si="35"/>
        <v>44039</v>
      </c>
      <c r="L252" s="56">
        <f t="shared" si="36"/>
        <v>44045</v>
      </c>
      <c r="M252" s="59" t="str">
        <f t="shared" si="37"/>
        <v>27/07/20 @ 
02/08/20</v>
      </c>
    </row>
    <row r="253" spans="2:23" ht="24" x14ac:dyDescent="0.25">
      <c r="B253" s="55">
        <f t="shared" si="44"/>
        <v>251</v>
      </c>
      <c r="C253" s="56">
        <f t="shared" si="44"/>
        <v>44045</v>
      </c>
      <c r="D253" s="57">
        <f t="shared" si="34"/>
        <v>44045</v>
      </c>
      <c r="E253" s="58">
        <f t="shared" si="45"/>
        <v>36</v>
      </c>
      <c r="F253" s="58">
        <f t="shared" si="45"/>
        <v>31</v>
      </c>
      <c r="G253" s="8">
        <v>202008</v>
      </c>
      <c r="H253" s="8" t="s">
        <v>7009</v>
      </c>
      <c r="I253" s="8">
        <v>202008</v>
      </c>
      <c r="J253" s="8" t="s">
        <v>7009</v>
      </c>
      <c r="K253" s="56">
        <f t="shared" si="35"/>
        <v>44039</v>
      </c>
      <c r="L253" s="56">
        <f t="shared" si="36"/>
        <v>44045</v>
      </c>
      <c r="M253" s="59" t="str">
        <f t="shared" si="37"/>
        <v>27/07/20 @ 
02/08/20</v>
      </c>
    </row>
    <row r="254" spans="2:23" ht="24" x14ac:dyDescent="0.25">
      <c r="B254" s="55">
        <f t="shared" si="44"/>
        <v>252</v>
      </c>
      <c r="C254" s="56">
        <f t="shared" si="44"/>
        <v>44046</v>
      </c>
      <c r="D254" s="57">
        <f t="shared" si="34"/>
        <v>44046</v>
      </c>
      <c r="E254" s="58">
        <f t="shared" si="45"/>
        <v>37</v>
      </c>
      <c r="F254" s="58">
        <f t="shared" si="45"/>
        <v>32</v>
      </c>
      <c r="G254" s="8">
        <v>202008</v>
      </c>
      <c r="H254" s="8" t="s">
        <v>7009</v>
      </c>
      <c r="I254" s="8">
        <v>202008</v>
      </c>
      <c r="J254" s="8" t="s">
        <v>7009</v>
      </c>
      <c r="K254" s="56">
        <f t="shared" si="35"/>
        <v>44046</v>
      </c>
      <c r="L254" s="56">
        <f t="shared" si="36"/>
        <v>44052</v>
      </c>
      <c r="M254" s="59" t="str">
        <f t="shared" si="37"/>
        <v>03/08/20 @ 
09/08/20</v>
      </c>
    </row>
    <row r="255" spans="2:23" ht="24" x14ac:dyDescent="0.25">
      <c r="B255" s="55">
        <f t="shared" si="44"/>
        <v>253</v>
      </c>
      <c r="C255" s="56">
        <f t="shared" si="44"/>
        <v>44047</v>
      </c>
      <c r="D255" s="57">
        <f t="shared" si="34"/>
        <v>44047</v>
      </c>
      <c r="E255" s="58">
        <f t="shared" si="45"/>
        <v>37</v>
      </c>
      <c r="F255" s="58">
        <f t="shared" si="45"/>
        <v>32</v>
      </c>
      <c r="G255" s="8">
        <v>202008</v>
      </c>
      <c r="H255" s="8" t="s">
        <v>7009</v>
      </c>
      <c r="I255" s="8">
        <v>202008</v>
      </c>
      <c r="J255" s="8" t="s">
        <v>7009</v>
      </c>
      <c r="K255" s="56">
        <f t="shared" si="35"/>
        <v>44046</v>
      </c>
      <c r="L255" s="56">
        <f t="shared" si="36"/>
        <v>44052</v>
      </c>
      <c r="M255" s="59" t="str">
        <f t="shared" si="37"/>
        <v>03/08/20 @ 
09/08/20</v>
      </c>
    </row>
    <row r="256" spans="2:23" ht="24" x14ac:dyDescent="0.25">
      <c r="B256" s="55">
        <f t="shared" si="44"/>
        <v>254</v>
      </c>
      <c r="C256" s="56">
        <f t="shared" si="44"/>
        <v>44048</v>
      </c>
      <c r="D256" s="57">
        <f t="shared" si="34"/>
        <v>44048</v>
      </c>
      <c r="E256" s="58">
        <f t="shared" si="45"/>
        <v>37</v>
      </c>
      <c r="F256" s="58">
        <f t="shared" si="45"/>
        <v>32</v>
      </c>
      <c r="G256" s="8">
        <v>202008</v>
      </c>
      <c r="H256" s="8" t="s">
        <v>7009</v>
      </c>
      <c r="I256" s="8">
        <v>202008</v>
      </c>
      <c r="J256" s="8" t="s">
        <v>7009</v>
      </c>
      <c r="K256" s="56">
        <f t="shared" si="35"/>
        <v>44046</v>
      </c>
      <c r="L256" s="56">
        <f t="shared" si="36"/>
        <v>44052</v>
      </c>
      <c r="M256" s="59" t="str">
        <f t="shared" si="37"/>
        <v>03/08/20 @ 
09/08/20</v>
      </c>
    </row>
    <row r="257" spans="2:13" ht="24" x14ac:dyDescent="0.25">
      <c r="B257" s="55">
        <f t="shared" si="44"/>
        <v>255</v>
      </c>
      <c r="C257" s="56">
        <f t="shared" si="44"/>
        <v>44049</v>
      </c>
      <c r="D257" s="57">
        <f t="shared" si="34"/>
        <v>44049</v>
      </c>
      <c r="E257" s="58">
        <f t="shared" si="45"/>
        <v>37</v>
      </c>
      <c r="F257" s="58">
        <f t="shared" si="45"/>
        <v>32</v>
      </c>
      <c r="G257" s="8">
        <v>202008</v>
      </c>
      <c r="H257" s="8" t="s">
        <v>7009</v>
      </c>
      <c r="I257" s="8">
        <v>202008</v>
      </c>
      <c r="J257" s="8" t="s">
        <v>7009</v>
      </c>
      <c r="K257" s="56">
        <f t="shared" si="35"/>
        <v>44046</v>
      </c>
      <c r="L257" s="56">
        <f t="shared" si="36"/>
        <v>44052</v>
      </c>
      <c r="M257" s="59" t="str">
        <f t="shared" si="37"/>
        <v>03/08/20 @ 
09/08/20</v>
      </c>
    </row>
    <row r="258" spans="2:13" ht="24" x14ac:dyDescent="0.25">
      <c r="B258" s="55">
        <f t="shared" si="44"/>
        <v>256</v>
      </c>
      <c r="C258" s="56">
        <f t="shared" si="44"/>
        <v>44050</v>
      </c>
      <c r="D258" s="57">
        <f t="shared" si="34"/>
        <v>44050</v>
      </c>
      <c r="E258" s="58">
        <f t="shared" si="45"/>
        <v>37</v>
      </c>
      <c r="F258" s="58">
        <f t="shared" si="45"/>
        <v>32</v>
      </c>
      <c r="G258" s="8">
        <v>202008</v>
      </c>
      <c r="H258" s="8" t="s">
        <v>7009</v>
      </c>
      <c r="I258" s="8">
        <v>202008</v>
      </c>
      <c r="J258" s="8" t="s">
        <v>7009</v>
      </c>
      <c r="K258" s="56">
        <f t="shared" si="35"/>
        <v>44046</v>
      </c>
      <c r="L258" s="56">
        <f t="shared" si="36"/>
        <v>44052</v>
      </c>
      <c r="M258" s="59" t="str">
        <f t="shared" si="37"/>
        <v>03/08/20 @ 
09/08/20</v>
      </c>
    </row>
    <row r="259" spans="2:13" ht="24" x14ac:dyDescent="0.25">
      <c r="B259" s="55">
        <f t="shared" si="44"/>
        <v>257</v>
      </c>
      <c r="C259" s="56">
        <f t="shared" si="44"/>
        <v>44051</v>
      </c>
      <c r="D259" s="57">
        <f t="shared" ref="D259:D322" si="46">+C259</f>
        <v>44051</v>
      </c>
      <c r="E259" s="58">
        <f t="shared" si="45"/>
        <v>37</v>
      </c>
      <c r="F259" s="58">
        <f t="shared" si="45"/>
        <v>32</v>
      </c>
      <c r="G259" s="8">
        <v>202008</v>
      </c>
      <c r="H259" s="8" t="s">
        <v>7009</v>
      </c>
      <c r="I259" s="8">
        <v>202008</v>
      </c>
      <c r="J259" s="8" t="s">
        <v>7009</v>
      </c>
      <c r="K259" s="56">
        <f t="shared" ref="K259:K322" si="47">_xlfn.MINIFS($C$2:$C$890,$E$2:$E$890,E259)</f>
        <v>44046</v>
      </c>
      <c r="L259" s="56">
        <f t="shared" ref="L259:L322" si="48">_xlfn.MAXIFS($C$2:$C$890,$E$2:$E$890,E259)</f>
        <v>44052</v>
      </c>
      <c r="M259" s="59" t="str">
        <f t="shared" ref="M259:M322" si="49">CONCATENATE(TEXT(K259,"DD/MM/YY")," @ ",CHAR(10),TEXT(L259,"DD/MM/YY"))</f>
        <v>03/08/20 @ 
09/08/20</v>
      </c>
    </row>
    <row r="260" spans="2:13" ht="24" x14ac:dyDescent="0.25">
      <c r="B260" s="55">
        <f t="shared" si="44"/>
        <v>258</v>
      </c>
      <c r="C260" s="56">
        <f t="shared" si="44"/>
        <v>44052</v>
      </c>
      <c r="D260" s="57">
        <f t="shared" si="46"/>
        <v>44052</v>
      </c>
      <c r="E260" s="58">
        <f t="shared" si="45"/>
        <v>37</v>
      </c>
      <c r="F260" s="58">
        <f t="shared" si="45"/>
        <v>32</v>
      </c>
      <c r="G260" s="8">
        <v>202008</v>
      </c>
      <c r="H260" s="8" t="s">
        <v>7009</v>
      </c>
      <c r="I260" s="8">
        <v>202008</v>
      </c>
      <c r="J260" s="8" t="s">
        <v>7009</v>
      </c>
      <c r="K260" s="56">
        <f t="shared" si="47"/>
        <v>44046</v>
      </c>
      <c r="L260" s="56">
        <f t="shared" si="48"/>
        <v>44052</v>
      </c>
      <c r="M260" s="59" t="str">
        <f t="shared" si="49"/>
        <v>03/08/20 @ 
09/08/20</v>
      </c>
    </row>
    <row r="261" spans="2:13" ht="24" x14ac:dyDescent="0.25">
      <c r="B261" s="55">
        <f t="shared" ref="B261:C276" si="50">+B260+1</f>
        <v>259</v>
      </c>
      <c r="C261" s="56">
        <f t="shared" si="50"/>
        <v>44053</v>
      </c>
      <c r="D261" s="57">
        <f t="shared" si="46"/>
        <v>44053</v>
      </c>
      <c r="E261" s="58">
        <f t="shared" si="45"/>
        <v>38</v>
      </c>
      <c r="F261" s="58">
        <f t="shared" si="45"/>
        <v>33</v>
      </c>
      <c r="G261" s="8">
        <v>202008</v>
      </c>
      <c r="H261" s="8" t="s">
        <v>7009</v>
      </c>
      <c r="I261" s="8">
        <v>202008</v>
      </c>
      <c r="J261" s="8" t="s">
        <v>7009</v>
      </c>
      <c r="K261" s="56">
        <f t="shared" si="47"/>
        <v>44053</v>
      </c>
      <c r="L261" s="56">
        <f t="shared" si="48"/>
        <v>44059</v>
      </c>
      <c r="M261" s="59" t="str">
        <f t="shared" si="49"/>
        <v>10/08/20 @ 
16/08/20</v>
      </c>
    </row>
    <row r="262" spans="2:13" ht="24" x14ac:dyDescent="0.25">
      <c r="B262" s="55">
        <f t="shared" si="50"/>
        <v>260</v>
      </c>
      <c r="C262" s="56">
        <f t="shared" si="50"/>
        <v>44054</v>
      </c>
      <c r="D262" s="57">
        <f t="shared" si="46"/>
        <v>44054</v>
      </c>
      <c r="E262" s="58">
        <f t="shared" si="45"/>
        <v>38</v>
      </c>
      <c r="F262" s="58">
        <f t="shared" si="45"/>
        <v>33</v>
      </c>
      <c r="G262" s="8">
        <v>202008</v>
      </c>
      <c r="H262" s="8" t="s">
        <v>7009</v>
      </c>
      <c r="I262" s="8">
        <v>202008</v>
      </c>
      <c r="J262" s="8" t="s">
        <v>7009</v>
      </c>
      <c r="K262" s="56">
        <f t="shared" si="47"/>
        <v>44053</v>
      </c>
      <c r="L262" s="56">
        <f t="shared" si="48"/>
        <v>44059</v>
      </c>
      <c r="M262" s="59" t="str">
        <f t="shared" si="49"/>
        <v>10/08/20 @ 
16/08/20</v>
      </c>
    </row>
    <row r="263" spans="2:13" ht="24" x14ac:dyDescent="0.25">
      <c r="B263" s="55">
        <f t="shared" si="50"/>
        <v>261</v>
      </c>
      <c r="C263" s="56">
        <f t="shared" si="50"/>
        <v>44055</v>
      </c>
      <c r="D263" s="57">
        <f t="shared" si="46"/>
        <v>44055</v>
      </c>
      <c r="E263" s="58">
        <f t="shared" si="45"/>
        <v>38</v>
      </c>
      <c r="F263" s="58">
        <f t="shared" si="45"/>
        <v>33</v>
      </c>
      <c r="G263" s="8">
        <v>202008</v>
      </c>
      <c r="H263" s="8" t="s">
        <v>7009</v>
      </c>
      <c r="I263" s="8">
        <v>202008</v>
      </c>
      <c r="J263" s="8" t="s">
        <v>7009</v>
      </c>
      <c r="K263" s="56">
        <f t="shared" si="47"/>
        <v>44053</v>
      </c>
      <c r="L263" s="56">
        <f t="shared" si="48"/>
        <v>44059</v>
      </c>
      <c r="M263" s="59" t="str">
        <f t="shared" si="49"/>
        <v>10/08/20 @ 
16/08/20</v>
      </c>
    </row>
    <row r="264" spans="2:13" ht="24" x14ac:dyDescent="0.25">
      <c r="B264" s="55">
        <f t="shared" si="50"/>
        <v>262</v>
      </c>
      <c r="C264" s="56">
        <f t="shared" si="50"/>
        <v>44056</v>
      </c>
      <c r="D264" s="57">
        <f t="shared" si="46"/>
        <v>44056</v>
      </c>
      <c r="E264" s="58">
        <f t="shared" si="45"/>
        <v>38</v>
      </c>
      <c r="F264" s="58">
        <f t="shared" si="45"/>
        <v>33</v>
      </c>
      <c r="G264" s="8">
        <v>202008</v>
      </c>
      <c r="H264" s="8" t="s">
        <v>7009</v>
      </c>
      <c r="I264" s="8">
        <v>202008</v>
      </c>
      <c r="J264" s="8" t="s">
        <v>7009</v>
      </c>
      <c r="K264" s="56">
        <f t="shared" si="47"/>
        <v>44053</v>
      </c>
      <c r="L264" s="56">
        <f t="shared" si="48"/>
        <v>44059</v>
      </c>
      <c r="M264" s="59" t="str">
        <f t="shared" si="49"/>
        <v>10/08/20 @ 
16/08/20</v>
      </c>
    </row>
    <row r="265" spans="2:13" ht="24" x14ac:dyDescent="0.25">
      <c r="B265" s="55">
        <f t="shared" si="50"/>
        <v>263</v>
      </c>
      <c r="C265" s="56">
        <f t="shared" si="50"/>
        <v>44057</v>
      </c>
      <c r="D265" s="57">
        <f t="shared" si="46"/>
        <v>44057</v>
      </c>
      <c r="E265" s="58">
        <f t="shared" si="45"/>
        <v>38</v>
      </c>
      <c r="F265" s="58">
        <f t="shared" si="45"/>
        <v>33</v>
      </c>
      <c r="G265" s="8">
        <v>202008</v>
      </c>
      <c r="H265" s="8" t="s">
        <v>7009</v>
      </c>
      <c r="I265" s="8">
        <v>202008</v>
      </c>
      <c r="J265" s="8" t="s">
        <v>7009</v>
      </c>
      <c r="K265" s="56">
        <f t="shared" si="47"/>
        <v>44053</v>
      </c>
      <c r="L265" s="56">
        <f t="shared" si="48"/>
        <v>44059</v>
      </c>
      <c r="M265" s="59" t="str">
        <f t="shared" si="49"/>
        <v>10/08/20 @ 
16/08/20</v>
      </c>
    </row>
    <row r="266" spans="2:13" ht="24" x14ac:dyDescent="0.25">
      <c r="B266" s="55">
        <f t="shared" si="50"/>
        <v>264</v>
      </c>
      <c r="C266" s="56">
        <f t="shared" si="50"/>
        <v>44058</v>
      </c>
      <c r="D266" s="57">
        <f t="shared" si="46"/>
        <v>44058</v>
      </c>
      <c r="E266" s="58">
        <f t="shared" ref="E266:F281" si="51">+E259+1</f>
        <v>38</v>
      </c>
      <c r="F266" s="58">
        <f t="shared" si="51"/>
        <v>33</v>
      </c>
      <c r="G266" s="8">
        <v>202008</v>
      </c>
      <c r="H266" s="8" t="s">
        <v>7009</v>
      </c>
      <c r="I266" s="8">
        <v>202008</v>
      </c>
      <c r="J266" s="8" t="s">
        <v>7009</v>
      </c>
      <c r="K266" s="56">
        <f t="shared" si="47"/>
        <v>44053</v>
      </c>
      <c r="L266" s="56">
        <f t="shared" si="48"/>
        <v>44059</v>
      </c>
      <c r="M266" s="59" t="str">
        <f t="shared" si="49"/>
        <v>10/08/20 @ 
16/08/20</v>
      </c>
    </row>
    <row r="267" spans="2:13" ht="24" x14ac:dyDescent="0.25">
      <c r="B267" s="55">
        <f t="shared" si="50"/>
        <v>265</v>
      </c>
      <c r="C267" s="56">
        <f t="shared" si="50"/>
        <v>44059</v>
      </c>
      <c r="D267" s="57">
        <f t="shared" si="46"/>
        <v>44059</v>
      </c>
      <c r="E267" s="58">
        <f t="shared" si="51"/>
        <v>38</v>
      </c>
      <c r="F267" s="58">
        <f t="shared" si="51"/>
        <v>33</v>
      </c>
      <c r="G267" s="8">
        <v>202008</v>
      </c>
      <c r="H267" s="8" t="s">
        <v>7009</v>
      </c>
      <c r="I267" s="8">
        <v>202008</v>
      </c>
      <c r="J267" s="8" t="s">
        <v>7009</v>
      </c>
      <c r="K267" s="56">
        <f t="shared" si="47"/>
        <v>44053</v>
      </c>
      <c r="L267" s="56">
        <f t="shared" si="48"/>
        <v>44059</v>
      </c>
      <c r="M267" s="59" t="str">
        <f t="shared" si="49"/>
        <v>10/08/20 @ 
16/08/20</v>
      </c>
    </row>
    <row r="268" spans="2:13" ht="24" x14ac:dyDescent="0.25">
      <c r="B268" s="55">
        <f t="shared" si="50"/>
        <v>266</v>
      </c>
      <c r="C268" s="56">
        <f t="shared" si="50"/>
        <v>44060</v>
      </c>
      <c r="D268" s="57">
        <f t="shared" si="46"/>
        <v>44060</v>
      </c>
      <c r="E268" s="58">
        <f t="shared" si="51"/>
        <v>39</v>
      </c>
      <c r="F268" s="58">
        <f t="shared" si="51"/>
        <v>34</v>
      </c>
      <c r="G268" s="8">
        <v>202008</v>
      </c>
      <c r="H268" s="8" t="s">
        <v>7009</v>
      </c>
      <c r="I268" s="8">
        <v>202008</v>
      </c>
      <c r="J268" s="8" t="s">
        <v>7009</v>
      </c>
      <c r="K268" s="56">
        <f t="shared" si="47"/>
        <v>44060</v>
      </c>
      <c r="L268" s="56">
        <f t="shared" si="48"/>
        <v>44066</v>
      </c>
      <c r="M268" s="59" t="str">
        <f t="shared" si="49"/>
        <v>17/08/20 @ 
23/08/20</v>
      </c>
    </row>
    <row r="269" spans="2:13" ht="24" x14ac:dyDescent="0.25">
      <c r="B269" s="55">
        <f t="shared" si="50"/>
        <v>267</v>
      </c>
      <c r="C269" s="56">
        <f t="shared" si="50"/>
        <v>44061</v>
      </c>
      <c r="D269" s="57">
        <f t="shared" si="46"/>
        <v>44061</v>
      </c>
      <c r="E269" s="58">
        <f t="shared" si="51"/>
        <v>39</v>
      </c>
      <c r="F269" s="58">
        <f t="shared" si="51"/>
        <v>34</v>
      </c>
      <c r="G269" s="8">
        <v>202008</v>
      </c>
      <c r="H269" s="8" t="s">
        <v>7009</v>
      </c>
      <c r="I269" s="8">
        <v>202008</v>
      </c>
      <c r="J269" s="8" t="s">
        <v>7009</v>
      </c>
      <c r="K269" s="56">
        <f t="shared" si="47"/>
        <v>44060</v>
      </c>
      <c r="L269" s="56">
        <f t="shared" si="48"/>
        <v>44066</v>
      </c>
      <c r="M269" s="59" t="str">
        <f t="shared" si="49"/>
        <v>17/08/20 @ 
23/08/20</v>
      </c>
    </row>
    <row r="270" spans="2:13" ht="24" x14ac:dyDescent="0.25">
      <c r="B270" s="55">
        <f t="shared" si="50"/>
        <v>268</v>
      </c>
      <c r="C270" s="56">
        <f t="shared" si="50"/>
        <v>44062</v>
      </c>
      <c r="D270" s="57">
        <f t="shared" si="46"/>
        <v>44062</v>
      </c>
      <c r="E270" s="58">
        <f t="shared" si="51"/>
        <v>39</v>
      </c>
      <c r="F270" s="58">
        <f t="shared" si="51"/>
        <v>34</v>
      </c>
      <c r="G270" s="8">
        <v>202008</v>
      </c>
      <c r="H270" s="8" t="s">
        <v>7009</v>
      </c>
      <c r="I270" s="8">
        <v>202008</v>
      </c>
      <c r="J270" s="8" t="s">
        <v>7009</v>
      </c>
      <c r="K270" s="56">
        <f t="shared" si="47"/>
        <v>44060</v>
      </c>
      <c r="L270" s="56">
        <f t="shared" si="48"/>
        <v>44066</v>
      </c>
      <c r="M270" s="59" t="str">
        <f t="shared" si="49"/>
        <v>17/08/20 @ 
23/08/20</v>
      </c>
    </row>
    <row r="271" spans="2:13" ht="24" x14ac:dyDescent="0.25">
      <c r="B271" s="55">
        <f t="shared" si="50"/>
        <v>269</v>
      </c>
      <c r="C271" s="56">
        <f t="shared" si="50"/>
        <v>44063</v>
      </c>
      <c r="D271" s="57">
        <f t="shared" si="46"/>
        <v>44063</v>
      </c>
      <c r="E271" s="58">
        <f t="shared" si="51"/>
        <v>39</v>
      </c>
      <c r="F271" s="58">
        <f t="shared" si="51"/>
        <v>34</v>
      </c>
      <c r="G271" s="8">
        <v>202008</v>
      </c>
      <c r="H271" s="8" t="s">
        <v>7009</v>
      </c>
      <c r="I271" s="8">
        <v>202008</v>
      </c>
      <c r="J271" s="8" t="s">
        <v>7009</v>
      </c>
      <c r="K271" s="56">
        <f t="shared" si="47"/>
        <v>44060</v>
      </c>
      <c r="L271" s="56">
        <f t="shared" si="48"/>
        <v>44066</v>
      </c>
      <c r="M271" s="59" t="str">
        <f t="shared" si="49"/>
        <v>17/08/20 @ 
23/08/20</v>
      </c>
    </row>
    <row r="272" spans="2:13" ht="24" x14ac:dyDescent="0.25">
      <c r="B272" s="55">
        <f t="shared" si="50"/>
        <v>270</v>
      </c>
      <c r="C272" s="56">
        <f t="shared" si="50"/>
        <v>44064</v>
      </c>
      <c r="D272" s="57">
        <f t="shared" si="46"/>
        <v>44064</v>
      </c>
      <c r="E272" s="58">
        <f t="shared" si="51"/>
        <v>39</v>
      </c>
      <c r="F272" s="58">
        <f t="shared" si="51"/>
        <v>34</v>
      </c>
      <c r="G272" s="8">
        <v>202008</v>
      </c>
      <c r="H272" s="8" t="s">
        <v>7009</v>
      </c>
      <c r="I272" s="8">
        <v>202009</v>
      </c>
      <c r="J272" s="8" t="s">
        <v>7010</v>
      </c>
      <c r="K272" s="56">
        <f t="shared" si="47"/>
        <v>44060</v>
      </c>
      <c r="L272" s="56">
        <f t="shared" si="48"/>
        <v>44066</v>
      </c>
      <c r="M272" s="59" t="str">
        <f t="shared" si="49"/>
        <v>17/08/20 @ 
23/08/20</v>
      </c>
    </row>
    <row r="273" spans="2:13" ht="24" x14ac:dyDescent="0.25">
      <c r="B273" s="55">
        <f t="shared" si="50"/>
        <v>271</v>
      </c>
      <c r="C273" s="56">
        <f t="shared" si="50"/>
        <v>44065</v>
      </c>
      <c r="D273" s="57">
        <f t="shared" si="46"/>
        <v>44065</v>
      </c>
      <c r="E273" s="58">
        <f t="shared" si="51"/>
        <v>39</v>
      </c>
      <c r="F273" s="58">
        <f t="shared" si="51"/>
        <v>34</v>
      </c>
      <c r="G273" s="8">
        <v>202008</v>
      </c>
      <c r="H273" s="8" t="s">
        <v>7009</v>
      </c>
      <c r="I273" s="8">
        <v>202009</v>
      </c>
      <c r="J273" s="8" t="s">
        <v>7010</v>
      </c>
      <c r="K273" s="56">
        <f t="shared" si="47"/>
        <v>44060</v>
      </c>
      <c r="L273" s="56">
        <f t="shared" si="48"/>
        <v>44066</v>
      </c>
      <c r="M273" s="59" t="str">
        <f t="shared" si="49"/>
        <v>17/08/20 @ 
23/08/20</v>
      </c>
    </row>
    <row r="274" spans="2:13" ht="24" x14ac:dyDescent="0.25">
      <c r="B274" s="55">
        <f t="shared" si="50"/>
        <v>272</v>
      </c>
      <c r="C274" s="56">
        <f t="shared" si="50"/>
        <v>44066</v>
      </c>
      <c r="D274" s="57">
        <f t="shared" si="46"/>
        <v>44066</v>
      </c>
      <c r="E274" s="58">
        <f t="shared" si="51"/>
        <v>39</v>
      </c>
      <c r="F274" s="58">
        <f t="shared" si="51"/>
        <v>34</v>
      </c>
      <c r="G274" s="8">
        <v>202008</v>
      </c>
      <c r="H274" s="8" t="s">
        <v>7009</v>
      </c>
      <c r="I274" s="8">
        <v>202009</v>
      </c>
      <c r="J274" s="8" t="s">
        <v>7010</v>
      </c>
      <c r="K274" s="56">
        <f t="shared" si="47"/>
        <v>44060</v>
      </c>
      <c r="L274" s="56">
        <f t="shared" si="48"/>
        <v>44066</v>
      </c>
      <c r="M274" s="59" t="str">
        <f t="shared" si="49"/>
        <v>17/08/20 @ 
23/08/20</v>
      </c>
    </row>
    <row r="275" spans="2:13" ht="24" x14ac:dyDescent="0.25">
      <c r="B275" s="55">
        <f t="shared" si="50"/>
        <v>273</v>
      </c>
      <c r="C275" s="56">
        <f t="shared" si="50"/>
        <v>44067</v>
      </c>
      <c r="D275" s="57">
        <f t="shared" si="46"/>
        <v>44067</v>
      </c>
      <c r="E275" s="58">
        <f t="shared" si="51"/>
        <v>40</v>
      </c>
      <c r="F275" s="58">
        <f t="shared" si="51"/>
        <v>35</v>
      </c>
      <c r="G275" s="8">
        <v>202008</v>
      </c>
      <c r="H275" s="8" t="s">
        <v>7009</v>
      </c>
      <c r="I275" s="8">
        <v>202009</v>
      </c>
      <c r="J275" s="8" t="s">
        <v>7010</v>
      </c>
      <c r="K275" s="56">
        <f t="shared" si="47"/>
        <v>44067</v>
      </c>
      <c r="L275" s="56">
        <f t="shared" si="48"/>
        <v>44073</v>
      </c>
      <c r="M275" s="59" t="str">
        <f t="shared" si="49"/>
        <v>24/08/20 @ 
30/08/20</v>
      </c>
    </row>
    <row r="276" spans="2:13" ht="24" x14ac:dyDescent="0.25">
      <c r="B276" s="55">
        <f t="shared" si="50"/>
        <v>274</v>
      </c>
      <c r="C276" s="56">
        <f t="shared" si="50"/>
        <v>44068</v>
      </c>
      <c r="D276" s="57">
        <f t="shared" si="46"/>
        <v>44068</v>
      </c>
      <c r="E276" s="58">
        <f t="shared" si="51"/>
        <v>40</v>
      </c>
      <c r="F276" s="58">
        <f t="shared" si="51"/>
        <v>35</v>
      </c>
      <c r="G276" s="8">
        <v>202008</v>
      </c>
      <c r="H276" s="8" t="s">
        <v>7009</v>
      </c>
      <c r="I276" s="8">
        <v>202009</v>
      </c>
      <c r="J276" s="8" t="s">
        <v>7010</v>
      </c>
      <c r="K276" s="56">
        <f t="shared" si="47"/>
        <v>44067</v>
      </c>
      <c r="L276" s="56">
        <f t="shared" si="48"/>
        <v>44073</v>
      </c>
      <c r="M276" s="59" t="str">
        <f t="shared" si="49"/>
        <v>24/08/20 @ 
30/08/20</v>
      </c>
    </row>
    <row r="277" spans="2:13" ht="24" x14ac:dyDescent="0.25">
      <c r="B277" s="55">
        <f t="shared" ref="B277:C292" si="52">+B276+1</f>
        <v>275</v>
      </c>
      <c r="C277" s="56">
        <f t="shared" si="52"/>
        <v>44069</v>
      </c>
      <c r="D277" s="57">
        <f t="shared" si="46"/>
        <v>44069</v>
      </c>
      <c r="E277" s="58">
        <f t="shared" si="51"/>
        <v>40</v>
      </c>
      <c r="F277" s="58">
        <f t="shared" si="51"/>
        <v>35</v>
      </c>
      <c r="G277" s="8">
        <v>202008</v>
      </c>
      <c r="H277" s="8" t="s">
        <v>7009</v>
      </c>
      <c r="I277" s="8">
        <v>202009</v>
      </c>
      <c r="J277" s="8" t="s">
        <v>7010</v>
      </c>
      <c r="K277" s="56">
        <f t="shared" si="47"/>
        <v>44067</v>
      </c>
      <c r="L277" s="56">
        <f t="shared" si="48"/>
        <v>44073</v>
      </c>
      <c r="M277" s="59" t="str">
        <f t="shared" si="49"/>
        <v>24/08/20 @ 
30/08/20</v>
      </c>
    </row>
    <row r="278" spans="2:13" ht="24" x14ac:dyDescent="0.25">
      <c r="B278" s="55">
        <f t="shared" si="52"/>
        <v>276</v>
      </c>
      <c r="C278" s="56">
        <f t="shared" si="52"/>
        <v>44070</v>
      </c>
      <c r="D278" s="57">
        <f t="shared" si="46"/>
        <v>44070</v>
      </c>
      <c r="E278" s="58">
        <f t="shared" si="51"/>
        <v>40</v>
      </c>
      <c r="F278" s="58">
        <f t="shared" si="51"/>
        <v>35</v>
      </c>
      <c r="G278" s="8">
        <v>202008</v>
      </c>
      <c r="H278" s="8" t="s">
        <v>7009</v>
      </c>
      <c r="I278" s="8">
        <v>202009</v>
      </c>
      <c r="J278" s="8" t="s">
        <v>7010</v>
      </c>
      <c r="K278" s="56">
        <f t="shared" si="47"/>
        <v>44067</v>
      </c>
      <c r="L278" s="56">
        <f t="shared" si="48"/>
        <v>44073</v>
      </c>
      <c r="M278" s="59" t="str">
        <f t="shared" si="49"/>
        <v>24/08/20 @ 
30/08/20</v>
      </c>
    </row>
    <row r="279" spans="2:13" ht="24" x14ac:dyDescent="0.25">
      <c r="B279" s="55">
        <f t="shared" si="52"/>
        <v>277</v>
      </c>
      <c r="C279" s="56">
        <f t="shared" si="52"/>
        <v>44071</v>
      </c>
      <c r="D279" s="57">
        <f t="shared" si="46"/>
        <v>44071</v>
      </c>
      <c r="E279" s="58">
        <f t="shared" si="51"/>
        <v>40</v>
      </c>
      <c r="F279" s="58">
        <f t="shared" si="51"/>
        <v>35</v>
      </c>
      <c r="G279" s="8">
        <v>202008</v>
      </c>
      <c r="H279" s="8" t="s">
        <v>7009</v>
      </c>
      <c r="I279" s="8">
        <v>202009</v>
      </c>
      <c r="J279" s="8" t="s">
        <v>7010</v>
      </c>
      <c r="K279" s="56">
        <f t="shared" si="47"/>
        <v>44067</v>
      </c>
      <c r="L279" s="56">
        <f t="shared" si="48"/>
        <v>44073</v>
      </c>
      <c r="M279" s="59" t="str">
        <f t="shared" si="49"/>
        <v>24/08/20 @ 
30/08/20</v>
      </c>
    </row>
    <row r="280" spans="2:13" ht="24" x14ac:dyDescent="0.25">
      <c r="B280" s="55">
        <f t="shared" si="52"/>
        <v>278</v>
      </c>
      <c r="C280" s="56">
        <f t="shared" si="52"/>
        <v>44072</v>
      </c>
      <c r="D280" s="57">
        <f t="shared" si="46"/>
        <v>44072</v>
      </c>
      <c r="E280" s="58">
        <f t="shared" si="51"/>
        <v>40</v>
      </c>
      <c r="F280" s="58">
        <f t="shared" si="51"/>
        <v>35</v>
      </c>
      <c r="G280" s="8">
        <v>202008</v>
      </c>
      <c r="H280" s="8" t="s">
        <v>7009</v>
      </c>
      <c r="I280" s="8">
        <v>202009</v>
      </c>
      <c r="J280" s="8" t="s">
        <v>7010</v>
      </c>
      <c r="K280" s="56">
        <f t="shared" si="47"/>
        <v>44067</v>
      </c>
      <c r="L280" s="56">
        <f t="shared" si="48"/>
        <v>44073</v>
      </c>
      <c r="M280" s="59" t="str">
        <f t="shared" si="49"/>
        <v>24/08/20 @ 
30/08/20</v>
      </c>
    </row>
    <row r="281" spans="2:13" ht="24" x14ac:dyDescent="0.25">
      <c r="B281" s="55">
        <f t="shared" si="52"/>
        <v>279</v>
      </c>
      <c r="C281" s="56">
        <f t="shared" si="52"/>
        <v>44073</v>
      </c>
      <c r="D281" s="57">
        <f t="shared" si="46"/>
        <v>44073</v>
      </c>
      <c r="E281" s="58">
        <f t="shared" si="51"/>
        <v>40</v>
      </c>
      <c r="F281" s="58">
        <f t="shared" si="51"/>
        <v>35</v>
      </c>
      <c r="G281" s="8">
        <v>202008</v>
      </c>
      <c r="H281" s="8" t="s">
        <v>7009</v>
      </c>
      <c r="I281" s="8">
        <v>202009</v>
      </c>
      <c r="J281" s="8" t="s">
        <v>7010</v>
      </c>
      <c r="K281" s="56">
        <f t="shared" si="47"/>
        <v>44067</v>
      </c>
      <c r="L281" s="56">
        <f t="shared" si="48"/>
        <v>44073</v>
      </c>
      <c r="M281" s="59" t="str">
        <f t="shared" si="49"/>
        <v>24/08/20 @ 
30/08/20</v>
      </c>
    </row>
    <row r="282" spans="2:13" ht="24" x14ac:dyDescent="0.25">
      <c r="B282" s="55">
        <f t="shared" si="52"/>
        <v>280</v>
      </c>
      <c r="C282" s="56">
        <f t="shared" si="52"/>
        <v>44074</v>
      </c>
      <c r="D282" s="57">
        <f t="shared" si="46"/>
        <v>44074</v>
      </c>
      <c r="E282" s="58">
        <f t="shared" ref="E282:F297" si="53">+E275+1</f>
        <v>41</v>
      </c>
      <c r="F282" s="58">
        <f t="shared" si="53"/>
        <v>36</v>
      </c>
      <c r="G282" s="8">
        <v>202009</v>
      </c>
      <c r="H282" s="8" t="s">
        <v>7010</v>
      </c>
      <c r="I282" s="8">
        <v>202009</v>
      </c>
      <c r="J282" s="8" t="s">
        <v>7010</v>
      </c>
      <c r="K282" s="56">
        <f t="shared" si="47"/>
        <v>44074</v>
      </c>
      <c r="L282" s="56">
        <f t="shared" si="48"/>
        <v>44080</v>
      </c>
      <c r="M282" s="59" t="str">
        <f t="shared" si="49"/>
        <v>31/08/20 @ 
06/09/20</v>
      </c>
    </row>
    <row r="283" spans="2:13" ht="24" x14ac:dyDescent="0.25">
      <c r="B283" s="55">
        <f t="shared" si="52"/>
        <v>281</v>
      </c>
      <c r="C283" s="56">
        <f t="shared" si="52"/>
        <v>44075</v>
      </c>
      <c r="D283" s="57">
        <f t="shared" si="46"/>
        <v>44075</v>
      </c>
      <c r="E283" s="58">
        <f t="shared" si="53"/>
        <v>41</v>
      </c>
      <c r="F283" s="58">
        <f t="shared" si="53"/>
        <v>36</v>
      </c>
      <c r="G283" s="8">
        <v>202009</v>
      </c>
      <c r="H283" s="8" t="s">
        <v>7010</v>
      </c>
      <c r="I283" s="8">
        <v>202009</v>
      </c>
      <c r="J283" s="8" t="s">
        <v>7010</v>
      </c>
      <c r="K283" s="56">
        <f t="shared" si="47"/>
        <v>44074</v>
      </c>
      <c r="L283" s="56">
        <f t="shared" si="48"/>
        <v>44080</v>
      </c>
      <c r="M283" s="59" t="str">
        <f t="shared" si="49"/>
        <v>31/08/20 @ 
06/09/20</v>
      </c>
    </row>
    <row r="284" spans="2:13" ht="24" x14ac:dyDescent="0.25">
      <c r="B284" s="55">
        <f t="shared" si="52"/>
        <v>282</v>
      </c>
      <c r="C284" s="56">
        <f t="shared" si="52"/>
        <v>44076</v>
      </c>
      <c r="D284" s="57">
        <f t="shared" si="46"/>
        <v>44076</v>
      </c>
      <c r="E284" s="58">
        <f t="shared" si="53"/>
        <v>41</v>
      </c>
      <c r="F284" s="58">
        <f t="shared" si="53"/>
        <v>36</v>
      </c>
      <c r="G284" s="8">
        <v>202009</v>
      </c>
      <c r="H284" s="8" t="s">
        <v>7010</v>
      </c>
      <c r="I284" s="8">
        <v>202009</v>
      </c>
      <c r="J284" s="8" t="s">
        <v>7010</v>
      </c>
      <c r="K284" s="56">
        <f t="shared" si="47"/>
        <v>44074</v>
      </c>
      <c r="L284" s="56">
        <f t="shared" si="48"/>
        <v>44080</v>
      </c>
      <c r="M284" s="59" t="str">
        <f t="shared" si="49"/>
        <v>31/08/20 @ 
06/09/20</v>
      </c>
    </row>
    <row r="285" spans="2:13" ht="24" x14ac:dyDescent="0.25">
      <c r="B285" s="55">
        <f t="shared" si="52"/>
        <v>283</v>
      </c>
      <c r="C285" s="56">
        <f t="shared" si="52"/>
        <v>44077</v>
      </c>
      <c r="D285" s="57">
        <f t="shared" si="46"/>
        <v>44077</v>
      </c>
      <c r="E285" s="58">
        <f t="shared" si="53"/>
        <v>41</v>
      </c>
      <c r="F285" s="58">
        <f t="shared" si="53"/>
        <v>36</v>
      </c>
      <c r="G285" s="8">
        <v>202009</v>
      </c>
      <c r="H285" s="8" t="s">
        <v>7010</v>
      </c>
      <c r="I285" s="8">
        <v>202009</v>
      </c>
      <c r="J285" s="8" t="s">
        <v>7010</v>
      </c>
      <c r="K285" s="56">
        <f t="shared" si="47"/>
        <v>44074</v>
      </c>
      <c r="L285" s="56">
        <f t="shared" si="48"/>
        <v>44080</v>
      </c>
      <c r="M285" s="59" t="str">
        <f t="shared" si="49"/>
        <v>31/08/20 @ 
06/09/20</v>
      </c>
    </row>
    <row r="286" spans="2:13" ht="24" x14ac:dyDescent="0.25">
      <c r="B286" s="55">
        <f t="shared" si="52"/>
        <v>284</v>
      </c>
      <c r="C286" s="56">
        <f t="shared" si="52"/>
        <v>44078</v>
      </c>
      <c r="D286" s="57">
        <f t="shared" si="46"/>
        <v>44078</v>
      </c>
      <c r="E286" s="58">
        <f t="shared" si="53"/>
        <v>41</v>
      </c>
      <c r="F286" s="58">
        <f t="shared" si="53"/>
        <v>36</v>
      </c>
      <c r="G286" s="8">
        <v>202009</v>
      </c>
      <c r="H286" s="8" t="s">
        <v>7010</v>
      </c>
      <c r="I286" s="8">
        <v>202009</v>
      </c>
      <c r="J286" s="8" t="s">
        <v>7010</v>
      </c>
      <c r="K286" s="56">
        <f t="shared" si="47"/>
        <v>44074</v>
      </c>
      <c r="L286" s="56">
        <f t="shared" si="48"/>
        <v>44080</v>
      </c>
      <c r="M286" s="59" t="str">
        <f t="shared" si="49"/>
        <v>31/08/20 @ 
06/09/20</v>
      </c>
    </row>
    <row r="287" spans="2:13" ht="24" x14ac:dyDescent="0.25">
      <c r="B287" s="55">
        <f t="shared" si="52"/>
        <v>285</v>
      </c>
      <c r="C287" s="56">
        <f t="shared" si="52"/>
        <v>44079</v>
      </c>
      <c r="D287" s="57">
        <f t="shared" si="46"/>
        <v>44079</v>
      </c>
      <c r="E287" s="58">
        <f t="shared" si="53"/>
        <v>41</v>
      </c>
      <c r="F287" s="58">
        <f t="shared" si="53"/>
        <v>36</v>
      </c>
      <c r="G287" s="8">
        <v>202009</v>
      </c>
      <c r="H287" s="8" t="s">
        <v>7010</v>
      </c>
      <c r="I287" s="8">
        <v>202009</v>
      </c>
      <c r="J287" s="8" t="s">
        <v>7010</v>
      </c>
      <c r="K287" s="56">
        <f t="shared" si="47"/>
        <v>44074</v>
      </c>
      <c r="L287" s="56">
        <f t="shared" si="48"/>
        <v>44080</v>
      </c>
      <c r="M287" s="59" t="str">
        <f t="shared" si="49"/>
        <v>31/08/20 @ 
06/09/20</v>
      </c>
    </row>
    <row r="288" spans="2:13" ht="24" x14ac:dyDescent="0.25">
      <c r="B288" s="55">
        <f t="shared" si="52"/>
        <v>286</v>
      </c>
      <c r="C288" s="56">
        <f t="shared" si="52"/>
        <v>44080</v>
      </c>
      <c r="D288" s="57">
        <f t="shared" si="46"/>
        <v>44080</v>
      </c>
      <c r="E288" s="58">
        <f t="shared" si="53"/>
        <v>41</v>
      </c>
      <c r="F288" s="58">
        <f t="shared" si="53"/>
        <v>36</v>
      </c>
      <c r="G288" s="8">
        <v>202009</v>
      </c>
      <c r="H288" s="8" t="s">
        <v>7010</v>
      </c>
      <c r="I288" s="8">
        <v>202009</v>
      </c>
      <c r="J288" s="8" t="s">
        <v>7010</v>
      </c>
      <c r="K288" s="56">
        <f t="shared" si="47"/>
        <v>44074</v>
      </c>
      <c r="L288" s="56">
        <f t="shared" si="48"/>
        <v>44080</v>
      </c>
      <c r="M288" s="59" t="str">
        <f t="shared" si="49"/>
        <v>31/08/20 @ 
06/09/20</v>
      </c>
    </row>
    <row r="289" spans="2:13" ht="24" x14ac:dyDescent="0.25">
      <c r="B289" s="55">
        <f t="shared" si="52"/>
        <v>287</v>
      </c>
      <c r="C289" s="56">
        <f t="shared" si="52"/>
        <v>44081</v>
      </c>
      <c r="D289" s="57">
        <f t="shared" si="46"/>
        <v>44081</v>
      </c>
      <c r="E289" s="58">
        <f t="shared" si="53"/>
        <v>42</v>
      </c>
      <c r="F289" s="58">
        <f t="shared" si="53"/>
        <v>37</v>
      </c>
      <c r="G289" s="8">
        <v>202009</v>
      </c>
      <c r="H289" s="8" t="s">
        <v>7010</v>
      </c>
      <c r="I289" s="8">
        <v>202009</v>
      </c>
      <c r="J289" s="8" t="s">
        <v>7010</v>
      </c>
      <c r="K289" s="56">
        <f t="shared" si="47"/>
        <v>44081</v>
      </c>
      <c r="L289" s="56">
        <f t="shared" si="48"/>
        <v>44087</v>
      </c>
      <c r="M289" s="59" t="str">
        <f t="shared" si="49"/>
        <v>07/09/20 @ 
13/09/20</v>
      </c>
    </row>
    <row r="290" spans="2:13" ht="24" x14ac:dyDescent="0.25">
      <c r="B290" s="55">
        <f t="shared" si="52"/>
        <v>288</v>
      </c>
      <c r="C290" s="56">
        <f t="shared" si="52"/>
        <v>44082</v>
      </c>
      <c r="D290" s="57">
        <f t="shared" si="46"/>
        <v>44082</v>
      </c>
      <c r="E290" s="58">
        <f t="shared" si="53"/>
        <v>42</v>
      </c>
      <c r="F290" s="58">
        <f t="shared" si="53"/>
        <v>37</v>
      </c>
      <c r="G290" s="8">
        <v>202009</v>
      </c>
      <c r="H290" s="8" t="s">
        <v>7010</v>
      </c>
      <c r="I290" s="8">
        <v>202009</v>
      </c>
      <c r="J290" s="8" t="s">
        <v>7010</v>
      </c>
      <c r="K290" s="56">
        <f t="shared" si="47"/>
        <v>44081</v>
      </c>
      <c r="L290" s="56">
        <f t="shared" si="48"/>
        <v>44087</v>
      </c>
      <c r="M290" s="59" t="str">
        <f t="shared" si="49"/>
        <v>07/09/20 @ 
13/09/20</v>
      </c>
    </row>
    <row r="291" spans="2:13" ht="24" x14ac:dyDescent="0.25">
      <c r="B291" s="55">
        <f t="shared" si="52"/>
        <v>289</v>
      </c>
      <c r="C291" s="56">
        <f t="shared" si="52"/>
        <v>44083</v>
      </c>
      <c r="D291" s="57">
        <f t="shared" si="46"/>
        <v>44083</v>
      </c>
      <c r="E291" s="58">
        <f t="shared" si="53"/>
        <v>42</v>
      </c>
      <c r="F291" s="58">
        <f t="shared" si="53"/>
        <v>37</v>
      </c>
      <c r="G291" s="8">
        <v>202009</v>
      </c>
      <c r="H291" s="8" t="s">
        <v>7010</v>
      </c>
      <c r="I291" s="8">
        <v>202009</v>
      </c>
      <c r="J291" s="8" t="s">
        <v>7010</v>
      </c>
      <c r="K291" s="56">
        <f t="shared" si="47"/>
        <v>44081</v>
      </c>
      <c r="L291" s="56">
        <f t="shared" si="48"/>
        <v>44087</v>
      </c>
      <c r="M291" s="59" t="str">
        <f t="shared" si="49"/>
        <v>07/09/20 @ 
13/09/20</v>
      </c>
    </row>
    <row r="292" spans="2:13" ht="24" x14ac:dyDescent="0.25">
      <c r="B292" s="55">
        <f t="shared" si="52"/>
        <v>290</v>
      </c>
      <c r="C292" s="56">
        <f t="shared" si="52"/>
        <v>44084</v>
      </c>
      <c r="D292" s="57">
        <f t="shared" si="46"/>
        <v>44084</v>
      </c>
      <c r="E292" s="58">
        <f t="shared" si="53"/>
        <v>42</v>
      </c>
      <c r="F292" s="58">
        <f t="shared" si="53"/>
        <v>37</v>
      </c>
      <c r="G292" s="8">
        <v>202009</v>
      </c>
      <c r="H292" s="8" t="s">
        <v>7010</v>
      </c>
      <c r="I292" s="8">
        <v>202009</v>
      </c>
      <c r="J292" s="8" t="s">
        <v>7010</v>
      </c>
      <c r="K292" s="56">
        <f t="shared" si="47"/>
        <v>44081</v>
      </c>
      <c r="L292" s="56">
        <f t="shared" si="48"/>
        <v>44087</v>
      </c>
      <c r="M292" s="59" t="str">
        <f t="shared" si="49"/>
        <v>07/09/20 @ 
13/09/20</v>
      </c>
    </row>
    <row r="293" spans="2:13" ht="24" x14ac:dyDescent="0.25">
      <c r="B293" s="55">
        <f t="shared" ref="B293:C308" si="54">+B292+1</f>
        <v>291</v>
      </c>
      <c r="C293" s="56">
        <f t="shared" si="54"/>
        <v>44085</v>
      </c>
      <c r="D293" s="57">
        <f t="shared" si="46"/>
        <v>44085</v>
      </c>
      <c r="E293" s="58">
        <f t="shared" si="53"/>
        <v>42</v>
      </c>
      <c r="F293" s="58">
        <f t="shared" si="53"/>
        <v>37</v>
      </c>
      <c r="G293" s="8">
        <v>202009</v>
      </c>
      <c r="H293" s="8" t="s">
        <v>7010</v>
      </c>
      <c r="I293" s="8">
        <v>202009</v>
      </c>
      <c r="J293" s="8" t="s">
        <v>7010</v>
      </c>
      <c r="K293" s="56">
        <f t="shared" si="47"/>
        <v>44081</v>
      </c>
      <c r="L293" s="56">
        <f t="shared" si="48"/>
        <v>44087</v>
      </c>
      <c r="M293" s="59" t="str">
        <f t="shared" si="49"/>
        <v>07/09/20 @ 
13/09/20</v>
      </c>
    </row>
    <row r="294" spans="2:13" ht="24" x14ac:dyDescent="0.25">
      <c r="B294" s="55">
        <f t="shared" si="54"/>
        <v>292</v>
      </c>
      <c r="C294" s="56">
        <f t="shared" si="54"/>
        <v>44086</v>
      </c>
      <c r="D294" s="57">
        <f t="shared" si="46"/>
        <v>44086</v>
      </c>
      <c r="E294" s="58">
        <f t="shared" si="53"/>
        <v>42</v>
      </c>
      <c r="F294" s="58">
        <f t="shared" si="53"/>
        <v>37</v>
      </c>
      <c r="G294" s="8">
        <v>202009</v>
      </c>
      <c r="H294" s="8" t="s">
        <v>7010</v>
      </c>
      <c r="I294" s="8">
        <v>202009</v>
      </c>
      <c r="J294" s="8" t="s">
        <v>7010</v>
      </c>
      <c r="K294" s="56">
        <f t="shared" si="47"/>
        <v>44081</v>
      </c>
      <c r="L294" s="56">
        <f t="shared" si="48"/>
        <v>44087</v>
      </c>
      <c r="M294" s="59" t="str">
        <f t="shared" si="49"/>
        <v>07/09/20 @ 
13/09/20</v>
      </c>
    </row>
    <row r="295" spans="2:13" ht="24" x14ac:dyDescent="0.25">
      <c r="B295" s="55">
        <f t="shared" si="54"/>
        <v>293</v>
      </c>
      <c r="C295" s="56">
        <f t="shared" si="54"/>
        <v>44087</v>
      </c>
      <c r="D295" s="57">
        <f t="shared" si="46"/>
        <v>44087</v>
      </c>
      <c r="E295" s="58">
        <f t="shared" si="53"/>
        <v>42</v>
      </c>
      <c r="F295" s="58">
        <f t="shared" si="53"/>
        <v>37</v>
      </c>
      <c r="G295" s="8">
        <v>202009</v>
      </c>
      <c r="H295" s="8" t="s">
        <v>7010</v>
      </c>
      <c r="I295" s="8">
        <v>202009</v>
      </c>
      <c r="J295" s="8" t="s">
        <v>7010</v>
      </c>
      <c r="K295" s="56">
        <f t="shared" si="47"/>
        <v>44081</v>
      </c>
      <c r="L295" s="56">
        <f t="shared" si="48"/>
        <v>44087</v>
      </c>
      <c r="M295" s="59" t="str">
        <f t="shared" si="49"/>
        <v>07/09/20 @ 
13/09/20</v>
      </c>
    </row>
    <row r="296" spans="2:13" ht="24" x14ac:dyDescent="0.25">
      <c r="B296" s="55">
        <f t="shared" si="54"/>
        <v>294</v>
      </c>
      <c r="C296" s="56">
        <f t="shared" si="54"/>
        <v>44088</v>
      </c>
      <c r="D296" s="57">
        <f t="shared" si="46"/>
        <v>44088</v>
      </c>
      <c r="E296" s="58">
        <f t="shared" si="53"/>
        <v>43</v>
      </c>
      <c r="F296" s="58">
        <f t="shared" si="53"/>
        <v>38</v>
      </c>
      <c r="G296" s="8">
        <v>202009</v>
      </c>
      <c r="H296" s="8" t="s">
        <v>7010</v>
      </c>
      <c r="I296" s="8">
        <v>202009</v>
      </c>
      <c r="J296" s="8" t="s">
        <v>7010</v>
      </c>
      <c r="K296" s="56">
        <f t="shared" si="47"/>
        <v>44088</v>
      </c>
      <c r="L296" s="56">
        <f t="shared" si="48"/>
        <v>44094</v>
      </c>
      <c r="M296" s="59" t="str">
        <f t="shared" si="49"/>
        <v>14/09/20 @ 
20/09/20</v>
      </c>
    </row>
    <row r="297" spans="2:13" ht="24" x14ac:dyDescent="0.25">
      <c r="B297" s="55">
        <f t="shared" si="54"/>
        <v>295</v>
      </c>
      <c r="C297" s="56">
        <f t="shared" si="54"/>
        <v>44089</v>
      </c>
      <c r="D297" s="57">
        <f t="shared" si="46"/>
        <v>44089</v>
      </c>
      <c r="E297" s="58">
        <f t="shared" si="53"/>
        <v>43</v>
      </c>
      <c r="F297" s="58">
        <f t="shared" si="53"/>
        <v>38</v>
      </c>
      <c r="G297" s="8">
        <v>202009</v>
      </c>
      <c r="H297" s="8" t="s">
        <v>7010</v>
      </c>
      <c r="I297" s="8">
        <v>202009</v>
      </c>
      <c r="J297" s="8" t="s">
        <v>7010</v>
      </c>
      <c r="K297" s="56">
        <f t="shared" si="47"/>
        <v>44088</v>
      </c>
      <c r="L297" s="56">
        <f t="shared" si="48"/>
        <v>44094</v>
      </c>
      <c r="M297" s="59" t="str">
        <f t="shared" si="49"/>
        <v>14/09/20 @ 
20/09/20</v>
      </c>
    </row>
    <row r="298" spans="2:13" ht="24" x14ac:dyDescent="0.25">
      <c r="B298" s="55">
        <f t="shared" si="54"/>
        <v>296</v>
      </c>
      <c r="C298" s="56">
        <f t="shared" si="54"/>
        <v>44090</v>
      </c>
      <c r="D298" s="57">
        <f t="shared" si="46"/>
        <v>44090</v>
      </c>
      <c r="E298" s="58">
        <f t="shared" ref="E298:F313" si="55">+E291+1</f>
        <v>43</v>
      </c>
      <c r="F298" s="58">
        <f t="shared" si="55"/>
        <v>38</v>
      </c>
      <c r="G298" s="8">
        <v>202009</v>
      </c>
      <c r="H298" s="8" t="s">
        <v>7010</v>
      </c>
      <c r="I298" s="8">
        <v>202009</v>
      </c>
      <c r="J298" s="8" t="s">
        <v>7010</v>
      </c>
      <c r="K298" s="56">
        <f t="shared" si="47"/>
        <v>44088</v>
      </c>
      <c r="L298" s="56">
        <f t="shared" si="48"/>
        <v>44094</v>
      </c>
      <c r="M298" s="59" t="str">
        <f t="shared" si="49"/>
        <v>14/09/20 @ 
20/09/20</v>
      </c>
    </row>
    <row r="299" spans="2:13" ht="24" x14ac:dyDescent="0.25">
      <c r="B299" s="55">
        <f t="shared" si="54"/>
        <v>297</v>
      </c>
      <c r="C299" s="56">
        <f t="shared" si="54"/>
        <v>44091</v>
      </c>
      <c r="D299" s="57">
        <f t="shared" si="46"/>
        <v>44091</v>
      </c>
      <c r="E299" s="58">
        <f t="shared" si="55"/>
        <v>43</v>
      </c>
      <c r="F299" s="58">
        <f t="shared" si="55"/>
        <v>38</v>
      </c>
      <c r="G299" s="8">
        <v>202009</v>
      </c>
      <c r="H299" s="8" t="s">
        <v>7010</v>
      </c>
      <c r="I299" s="8">
        <v>202009</v>
      </c>
      <c r="J299" s="8" t="s">
        <v>7010</v>
      </c>
      <c r="K299" s="56">
        <f t="shared" si="47"/>
        <v>44088</v>
      </c>
      <c r="L299" s="56">
        <f t="shared" si="48"/>
        <v>44094</v>
      </c>
      <c r="M299" s="59" t="str">
        <f t="shared" si="49"/>
        <v>14/09/20 @ 
20/09/20</v>
      </c>
    </row>
    <row r="300" spans="2:13" ht="24" x14ac:dyDescent="0.25">
      <c r="B300" s="55">
        <f t="shared" si="54"/>
        <v>298</v>
      </c>
      <c r="C300" s="56">
        <f t="shared" si="54"/>
        <v>44092</v>
      </c>
      <c r="D300" s="57">
        <f t="shared" si="46"/>
        <v>44092</v>
      </c>
      <c r="E300" s="58">
        <f t="shared" si="55"/>
        <v>43</v>
      </c>
      <c r="F300" s="58">
        <f t="shared" si="55"/>
        <v>38</v>
      </c>
      <c r="G300" s="8">
        <v>202009</v>
      </c>
      <c r="H300" s="8" t="s">
        <v>7010</v>
      </c>
      <c r="I300" s="8">
        <v>202009</v>
      </c>
      <c r="J300" s="8" t="s">
        <v>7010</v>
      </c>
      <c r="K300" s="56">
        <f t="shared" si="47"/>
        <v>44088</v>
      </c>
      <c r="L300" s="56">
        <f t="shared" si="48"/>
        <v>44094</v>
      </c>
      <c r="M300" s="59" t="str">
        <f t="shared" si="49"/>
        <v>14/09/20 @ 
20/09/20</v>
      </c>
    </row>
    <row r="301" spans="2:13" ht="24" x14ac:dyDescent="0.25">
      <c r="B301" s="55">
        <f t="shared" si="54"/>
        <v>299</v>
      </c>
      <c r="C301" s="56">
        <f t="shared" si="54"/>
        <v>44093</v>
      </c>
      <c r="D301" s="57">
        <f t="shared" si="46"/>
        <v>44093</v>
      </c>
      <c r="E301" s="58">
        <f t="shared" si="55"/>
        <v>43</v>
      </c>
      <c r="F301" s="58">
        <f t="shared" si="55"/>
        <v>38</v>
      </c>
      <c r="G301" s="8">
        <v>202009</v>
      </c>
      <c r="H301" s="8" t="s">
        <v>7010</v>
      </c>
      <c r="I301" s="8">
        <v>202009</v>
      </c>
      <c r="J301" s="8" t="s">
        <v>7010</v>
      </c>
      <c r="K301" s="56">
        <f t="shared" si="47"/>
        <v>44088</v>
      </c>
      <c r="L301" s="56">
        <f t="shared" si="48"/>
        <v>44094</v>
      </c>
      <c r="M301" s="59" t="str">
        <f t="shared" si="49"/>
        <v>14/09/20 @ 
20/09/20</v>
      </c>
    </row>
    <row r="302" spans="2:13" ht="24" x14ac:dyDescent="0.25">
      <c r="B302" s="55">
        <f t="shared" si="54"/>
        <v>300</v>
      </c>
      <c r="C302" s="56">
        <f t="shared" si="54"/>
        <v>44094</v>
      </c>
      <c r="D302" s="57">
        <f t="shared" si="46"/>
        <v>44094</v>
      </c>
      <c r="E302" s="58">
        <f t="shared" si="55"/>
        <v>43</v>
      </c>
      <c r="F302" s="58">
        <f t="shared" si="55"/>
        <v>38</v>
      </c>
      <c r="G302" s="8">
        <v>202009</v>
      </c>
      <c r="H302" s="8" t="s">
        <v>7010</v>
      </c>
      <c r="I302" s="8">
        <v>202009</v>
      </c>
      <c r="J302" s="8" t="s">
        <v>7010</v>
      </c>
      <c r="K302" s="56">
        <f t="shared" si="47"/>
        <v>44088</v>
      </c>
      <c r="L302" s="56">
        <f t="shared" si="48"/>
        <v>44094</v>
      </c>
      <c r="M302" s="59" t="str">
        <f t="shared" si="49"/>
        <v>14/09/20 @ 
20/09/20</v>
      </c>
    </row>
    <row r="303" spans="2:13" ht="24" x14ac:dyDescent="0.25">
      <c r="B303" s="55">
        <f t="shared" si="54"/>
        <v>301</v>
      </c>
      <c r="C303" s="56">
        <f t="shared" si="54"/>
        <v>44095</v>
      </c>
      <c r="D303" s="57">
        <f t="shared" si="46"/>
        <v>44095</v>
      </c>
      <c r="E303" s="58">
        <f t="shared" si="55"/>
        <v>44</v>
      </c>
      <c r="F303" s="58">
        <f t="shared" si="55"/>
        <v>39</v>
      </c>
      <c r="G303" s="8">
        <v>202009</v>
      </c>
      <c r="H303" s="8" t="s">
        <v>7010</v>
      </c>
      <c r="I303" s="8">
        <v>202010</v>
      </c>
      <c r="J303" s="8" t="s">
        <v>7011</v>
      </c>
      <c r="K303" s="56">
        <f t="shared" si="47"/>
        <v>44095</v>
      </c>
      <c r="L303" s="56">
        <f t="shared" si="48"/>
        <v>44101</v>
      </c>
      <c r="M303" s="59" t="str">
        <f t="shared" si="49"/>
        <v>21/09/20 @ 
27/09/20</v>
      </c>
    </row>
    <row r="304" spans="2:13" ht="24" x14ac:dyDescent="0.25">
      <c r="B304" s="55">
        <f t="shared" si="54"/>
        <v>302</v>
      </c>
      <c r="C304" s="56">
        <f t="shared" si="54"/>
        <v>44096</v>
      </c>
      <c r="D304" s="57">
        <f t="shared" si="46"/>
        <v>44096</v>
      </c>
      <c r="E304" s="58">
        <f t="shared" si="55"/>
        <v>44</v>
      </c>
      <c r="F304" s="58">
        <f t="shared" si="55"/>
        <v>39</v>
      </c>
      <c r="G304" s="8">
        <v>202009</v>
      </c>
      <c r="H304" s="8" t="s">
        <v>7010</v>
      </c>
      <c r="I304" s="8">
        <v>202010</v>
      </c>
      <c r="J304" s="8" t="s">
        <v>7011</v>
      </c>
      <c r="K304" s="56">
        <f t="shared" si="47"/>
        <v>44095</v>
      </c>
      <c r="L304" s="56">
        <f t="shared" si="48"/>
        <v>44101</v>
      </c>
      <c r="M304" s="59" t="str">
        <f t="shared" si="49"/>
        <v>21/09/20 @ 
27/09/20</v>
      </c>
    </row>
    <row r="305" spans="2:13" ht="24" x14ac:dyDescent="0.25">
      <c r="B305" s="55">
        <f t="shared" si="54"/>
        <v>303</v>
      </c>
      <c r="C305" s="56">
        <f t="shared" si="54"/>
        <v>44097</v>
      </c>
      <c r="D305" s="57">
        <f t="shared" si="46"/>
        <v>44097</v>
      </c>
      <c r="E305" s="58">
        <f t="shared" si="55"/>
        <v>44</v>
      </c>
      <c r="F305" s="58">
        <f t="shared" si="55"/>
        <v>39</v>
      </c>
      <c r="G305" s="8">
        <v>202009</v>
      </c>
      <c r="H305" s="8" t="s">
        <v>7010</v>
      </c>
      <c r="I305" s="8">
        <v>202010</v>
      </c>
      <c r="J305" s="8" t="s">
        <v>7011</v>
      </c>
      <c r="K305" s="56">
        <f t="shared" si="47"/>
        <v>44095</v>
      </c>
      <c r="L305" s="56">
        <f t="shared" si="48"/>
        <v>44101</v>
      </c>
      <c r="M305" s="59" t="str">
        <f t="shared" si="49"/>
        <v>21/09/20 @ 
27/09/20</v>
      </c>
    </row>
    <row r="306" spans="2:13" ht="24" x14ac:dyDescent="0.25">
      <c r="B306" s="55">
        <f t="shared" si="54"/>
        <v>304</v>
      </c>
      <c r="C306" s="56">
        <f t="shared" si="54"/>
        <v>44098</v>
      </c>
      <c r="D306" s="57">
        <f t="shared" si="46"/>
        <v>44098</v>
      </c>
      <c r="E306" s="58">
        <f t="shared" si="55"/>
        <v>44</v>
      </c>
      <c r="F306" s="58">
        <f t="shared" si="55"/>
        <v>39</v>
      </c>
      <c r="G306" s="8">
        <v>202009</v>
      </c>
      <c r="H306" s="8" t="s">
        <v>7010</v>
      </c>
      <c r="I306" s="8">
        <v>202010</v>
      </c>
      <c r="J306" s="8" t="s">
        <v>7011</v>
      </c>
      <c r="K306" s="56">
        <f t="shared" si="47"/>
        <v>44095</v>
      </c>
      <c r="L306" s="56">
        <f t="shared" si="48"/>
        <v>44101</v>
      </c>
      <c r="M306" s="59" t="str">
        <f t="shared" si="49"/>
        <v>21/09/20 @ 
27/09/20</v>
      </c>
    </row>
    <row r="307" spans="2:13" ht="24" x14ac:dyDescent="0.25">
      <c r="B307" s="55">
        <f t="shared" si="54"/>
        <v>305</v>
      </c>
      <c r="C307" s="56">
        <f t="shared" si="54"/>
        <v>44099</v>
      </c>
      <c r="D307" s="57">
        <f t="shared" si="46"/>
        <v>44099</v>
      </c>
      <c r="E307" s="58">
        <f t="shared" si="55"/>
        <v>44</v>
      </c>
      <c r="F307" s="58">
        <f t="shared" si="55"/>
        <v>39</v>
      </c>
      <c r="G307" s="8">
        <v>202009</v>
      </c>
      <c r="H307" s="8" t="s">
        <v>7010</v>
      </c>
      <c r="I307" s="8">
        <v>202010</v>
      </c>
      <c r="J307" s="8" t="s">
        <v>7011</v>
      </c>
      <c r="K307" s="56">
        <f t="shared" si="47"/>
        <v>44095</v>
      </c>
      <c r="L307" s="56">
        <f t="shared" si="48"/>
        <v>44101</v>
      </c>
      <c r="M307" s="59" t="str">
        <f t="shared" si="49"/>
        <v>21/09/20 @ 
27/09/20</v>
      </c>
    </row>
    <row r="308" spans="2:13" ht="24" x14ac:dyDescent="0.25">
      <c r="B308" s="55">
        <f t="shared" si="54"/>
        <v>306</v>
      </c>
      <c r="C308" s="56">
        <f t="shared" si="54"/>
        <v>44100</v>
      </c>
      <c r="D308" s="57">
        <f t="shared" si="46"/>
        <v>44100</v>
      </c>
      <c r="E308" s="58">
        <f t="shared" si="55"/>
        <v>44</v>
      </c>
      <c r="F308" s="58">
        <f t="shared" si="55"/>
        <v>39</v>
      </c>
      <c r="G308" s="8">
        <v>202009</v>
      </c>
      <c r="H308" s="8" t="s">
        <v>7010</v>
      </c>
      <c r="I308" s="8">
        <v>202010</v>
      </c>
      <c r="J308" s="8" t="s">
        <v>7011</v>
      </c>
      <c r="K308" s="56">
        <f t="shared" si="47"/>
        <v>44095</v>
      </c>
      <c r="L308" s="56">
        <f t="shared" si="48"/>
        <v>44101</v>
      </c>
      <c r="M308" s="59" t="str">
        <f t="shared" si="49"/>
        <v>21/09/20 @ 
27/09/20</v>
      </c>
    </row>
    <row r="309" spans="2:13" ht="24" x14ac:dyDescent="0.25">
      <c r="B309" s="55">
        <f t="shared" ref="B309:C324" si="56">+B308+1</f>
        <v>307</v>
      </c>
      <c r="C309" s="56">
        <f t="shared" si="56"/>
        <v>44101</v>
      </c>
      <c r="D309" s="57">
        <f t="shared" si="46"/>
        <v>44101</v>
      </c>
      <c r="E309" s="58">
        <f t="shared" si="55"/>
        <v>44</v>
      </c>
      <c r="F309" s="58">
        <f t="shared" si="55"/>
        <v>39</v>
      </c>
      <c r="G309" s="8">
        <v>202009</v>
      </c>
      <c r="H309" s="8" t="s">
        <v>7010</v>
      </c>
      <c r="I309" s="8">
        <v>202010</v>
      </c>
      <c r="J309" s="8" t="s">
        <v>7011</v>
      </c>
      <c r="K309" s="56">
        <f t="shared" si="47"/>
        <v>44095</v>
      </c>
      <c r="L309" s="56">
        <f t="shared" si="48"/>
        <v>44101</v>
      </c>
      <c r="M309" s="59" t="str">
        <f t="shared" si="49"/>
        <v>21/09/20 @ 
27/09/20</v>
      </c>
    </row>
    <row r="310" spans="2:13" ht="24" x14ac:dyDescent="0.25">
      <c r="B310" s="55">
        <f t="shared" si="56"/>
        <v>308</v>
      </c>
      <c r="C310" s="56">
        <f t="shared" si="56"/>
        <v>44102</v>
      </c>
      <c r="D310" s="57">
        <f t="shared" si="46"/>
        <v>44102</v>
      </c>
      <c r="E310" s="58">
        <f t="shared" si="55"/>
        <v>45</v>
      </c>
      <c r="F310" s="58">
        <f t="shared" si="55"/>
        <v>40</v>
      </c>
      <c r="G310" s="8">
        <v>202010</v>
      </c>
      <c r="H310" s="8" t="s">
        <v>7011</v>
      </c>
      <c r="I310" s="8">
        <v>202010</v>
      </c>
      <c r="J310" s="8" t="s">
        <v>7011</v>
      </c>
      <c r="K310" s="56">
        <f t="shared" si="47"/>
        <v>44102</v>
      </c>
      <c r="L310" s="56">
        <f t="shared" si="48"/>
        <v>44108</v>
      </c>
      <c r="M310" s="59" t="str">
        <f t="shared" si="49"/>
        <v>28/09/20 @ 
04/10/20</v>
      </c>
    </row>
    <row r="311" spans="2:13" ht="24" x14ac:dyDescent="0.25">
      <c r="B311" s="55">
        <f t="shared" si="56"/>
        <v>309</v>
      </c>
      <c r="C311" s="56">
        <f t="shared" si="56"/>
        <v>44103</v>
      </c>
      <c r="D311" s="57">
        <f t="shared" si="46"/>
        <v>44103</v>
      </c>
      <c r="E311" s="58">
        <f t="shared" si="55"/>
        <v>45</v>
      </c>
      <c r="F311" s="58">
        <f t="shared" si="55"/>
        <v>40</v>
      </c>
      <c r="G311" s="8">
        <v>202010</v>
      </c>
      <c r="H311" s="8" t="s">
        <v>7011</v>
      </c>
      <c r="I311" s="8">
        <v>202010</v>
      </c>
      <c r="J311" s="8" t="s">
        <v>7011</v>
      </c>
      <c r="K311" s="56">
        <f t="shared" si="47"/>
        <v>44102</v>
      </c>
      <c r="L311" s="56">
        <f t="shared" si="48"/>
        <v>44108</v>
      </c>
      <c r="M311" s="59" t="str">
        <f t="shared" si="49"/>
        <v>28/09/20 @ 
04/10/20</v>
      </c>
    </row>
    <row r="312" spans="2:13" ht="24" x14ac:dyDescent="0.25">
      <c r="B312" s="55">
        <f t="shared" si="56"/>
        <v>310</v>
      </c>
      <c r="C312" s="56">
        <f t="shared" si="56"/>
        <v>44104</v>
      </c>
      <c r="D312" s="57">
        <f t="shared" si="46"/>
        <v>44104</v>
      </c>
      <c r="E312" s="58">
        <f t="shared" si="55"/>
        <v>45</v>
      </c>
      <c r="F312" s="58">
        <f t="shared" si="55"/>
        <v>40</v>
      </c>
      <c r="G312" s="8">
        <v>202010</v>
      </c>
      <c r="H312" s="8" t="s">
        <v>7011</v>
      </c>
      <c r="I312" s="8">
        <v>202010</v>
      </c>
      <c r="J312" s="8" t="s">
        <v>7011</v>
      </c>
      <c r="K312" s="56">
        <f t="shared" si="47"/>
        <v>44102</v>
      </c>
      <c r="L312" s="56">
        <f t="shared" si="48"/>
        <v>44108</v>
      </c>
      <c r="M312" s="59" t="str">
        <f t="shared" si="49"/>
        <v>28/09/20 @ 
04/10/20</v>
      </c>
    </row>
    <row r="313" spans="2:13" ht="24" x14ac:dyDescent="0.25">
      <c r="B313" s="55">
        <f t="shared" si="56"/>
        <v>311</v>
      </c>
      <c r="C313" s="56">
        <f t="shared" si="56"/>
        <v>44105</v>
      </c>
      <c r="D313" s="57">
        <f t="shared" si="46"/>
        <v>44105</v>
      </c>
      <c r="E313" s="58">
        <f t="shared" si="55"/>
        <v>45</v>
      </c>
      <c r="F313" s="58">
        <f t="shared" si="55"/>
        <v>40</v>
      </c>
      <c r="G313" s="8">
        <v>202010</v>
      </c>
      <c r="H313" s="8" t="s">
        <v>7011</v>
      </c>
      <c r="I313" s="8">
        <v>202010</v>
      </c>
      <c r="J313" s="8" t="s">
        <v>7011</v>
      </c>
      <c r="K313" s="56">
        <f t="shared" si="47"/>
        <v>44102</v>
      </c>
      <c r="L313" s="56">
        <f t="shared" si="48"/>
        <v>44108</v>
      </c>
      <c r="M313" s="59" t="str">
        <f t="shared" si="49"/>
        <v>28/09/20 @ 
04/10/20</v>
      </c>
    </row>
    <row r="314" spans="2:13" ht="24" x14ac:dyDescent="0.25">
      <c r="B314" s="55">
        <f t="shared" si="56"/>
        <v>312</v>
      </c>
      <c r="C314" s="56">
        <f t="shared" si="56"/>
        <v>44106</v>
      </c>
      <c r="D314" s="57">
        <f t="shared" si="46"/>
        <v>44106</v>
      </c>
      <c r="E314" s="58">
        <f t="shared" ref="E314:F329" si="57">+E307+1</f>
        <v>45</v>
      </c>
      <c r="F314" s="58">
        <f t="shared" si="57"/>
        <v>40</v>
      </c>
      <c r="G314" s="8">
        <v>202010</v>
      </c>
      <c r="H314" s="8" t="s">
        <v>7011</v>
      </c>
      <c r="I314" s="8">
        <v>202010</v>
      </c>
      <c r="J314" s="8" t="s">
        <v>7011</v>
      </c>
      <c r="K314" s="56">
        <f t="shared" si="47"/>
        <v>44102</v>
      </c>
      <c r="L314" s="56">
        <f t="shared" si="48"/>
        <v>44108</v>
      </c>
      <c r="M314" s="59" t="str">
        <f t="shared" si="49"/>
        <v>28/09/20 @ 
04/10/20</v>
      </c>
    </row>
    <row r="315" spans="2:13" ht="24" x14ac:dyDescent="0.25">
      <c r="B315" s="55">
        <f t="shared" si="56"/>
        <v>313</v>
      </c>
      <c r="C315" s="56">
        <f t="shared" si="56"/>
        <v>44107</v>
      </c>
      <c r="D315" s="57">
        <f t="shared" si="46"/>
        <v>44107</v>
      </c>
      <c r="E315" s="58">
        <f t="shared" si="57"/>
        <v>45</v>
      </c>
      <c r="F315" s="58">
        <f t="shared" si="57"/>
        <v>40</v>
      </c>
      <c r="G315" s="8">
        <v>202010</v>
      </c>
      <c r="H315" s="8" t="s">
        <v>7011</v>
      </c>
      <c r="I315" s="8">
        <v>202010</v>
      </c>
      <c r="J315" s="8" t="s">
        <v>7011</v>
      </c>
      <c r="K315" s="56">
        <f t="shared" si="47"/>
        <v>44102</v>
      </c>
      <c r="L315" s="56">
        <f t="shared" si="48"/>
        <v>44108</v>
      </c>
      <c r="M315" s="59" t="str">
        <f t="shared" si="49"/>
        <v>28/09/20 @ 
04/10/20</v>
      </c>
    </row>
    <row r="316" spans="2:13" ht="24" x14ac:dyDescent="0.25">
      <c r="B316" s="55">
        <f t="shared" si="56"/>
        <v>314</v>
      </c>
      <c r="C316" s="56">
        <f t="shared" si="56"/>
        <v>44108</v>
      </c>
      <c r="D316" s="57">
        <f t="shared" si="46"/>
        <v>44108</v>
      </c>
      <c r="E316" s="58">
        <f t="shared" si="57"/>
        <v>45</v>
      </c>
      <c r="F316" s="58">
        <f t="shared" si="57"/>
        <v>40</v>
      </c>
      <c r="G316" s="8">
        <v>202010</v>
      </c>
      <c r="H316" s="8" t="s">
        <v>7011</v>
      </c>
      <c r="I316" s="8">
        <v>202010</v>
      </c>
      <c r="J316" s="8" t="s">
        <v>7011</v>
      </c>
      <c r="K316" s="56">
        <f t="shared" si="47"/>
        <v>44102</v>
      </c>
      <c r="L316" s="56">
        <f t="shared" si="48"/>
        <v>44108</v>
      </c>
      <c r="M316" s="59" t="str">
        <f t="shared" si="49"/>
        <v>28/09/20 @ 
04/10/20</v>
      </c>
    </row>
    <row r="317" spans="2:13" ht="24" x14ac:dyDescent="0.25">
      <c r="B317" s="55">
        <f t="shared" si="56"/>
        <v>315</v>
      </c>
      <c r="C317" s="56">
        <f t="shared" si="56"/>
        <v>44109</v>
      </c>
      <c r="D317" s="57">
        <f t="shared" si="46"/>
        <v>44109</v>
      </c>
      <c r="E317" s="58">
        <f t="shared" si="57"/>
        <v>46</v>
      </c>
      <c r="F317" s="58">
        <f t="shared" si="57"/>
        <v>41</v>
      </c>
      <c r="G317" s="8">
        <v>202010</v>
      </c>
      <c r="H317" s="8" t="s">
        <v>7011</v>
      </c>
      <c r="I317" s="8">
        <v>202010</v>
      </c>
      <c r="J317" s="8" t="s">
        <v>7011</v>
      </c>
      <c r="K317" s="56">
        <f t="shared" si="47"/>
        <v>44109</v>
      </c>
      <c r="L317" s="56">
        <f t="shared" si="48"/>
        <v>44115</v>
      </c>
      <c r="M317" s="59" t="str">
        <f t="shared" si="49"/>
        <v>05/10/20 @ 
11/10/20</v>
      </c>
    </row>
    <row r="318" spans="2:13" ht="24" x14ac:dyDescent="0.25">
      <c r="B318" s="55">
        <f t="shared" si="56"/>
        <v>316</v>
      </c>
      <c r="C318" s="56">
        <f t="shared" si="56"/>
        <v>44110</v>
      </c>
      <c r="D318" s="57">
        <f t="shared" si="46"/>
        <v>44110</v>
      </c>
      <c r="E318" s="58">
        <f t="shared" si="57"/>
        <v>46</v>
      </c>
      <c r="F318" s="58">
        <f t="shared" si="57"/>
        <v>41</v>
      </c>
      <c r="G318" s="8">
        <v>202010</v>
      </c>
      <c r="H318" s="8" t="s">
        <v>7011</v>
      </c>
      <c r="I318" s="8">
        <v>202010</v>
      </c>
      <c r="J318" s="8" t="s">
        <v>7011</v>
      </c>
      <c r="K318" s="56">
        <f t="shared" si="47"/>
        <v>44109</v>
      </c>
      <c r="L318" s="56">
        <f t="shared" si="48"/>
        <v>44115</v>
      </c>
      <c r="M318" s="59" t="str">
        <f t="shared" si="49"/>
        <v>05/10/20 @ 
11/10/20</v>
      </c>
    </row>
    <row r="319" spans="2:13" ht="24" x14ac:dyDescent="0.25">
      <c r="B319" s="55">
        <f t="shared" si="56"/>
        <v>317</v>
      </c>
      <c r="C319" s="56">
        <f t="shared" si="56"/>
        <v>44111</v>
      </c>
      <c r="D319" s="57">
        <f t="shared" si="46"/>
        <v>44111</v>
      </c>
      <c r="E319" s="58">
        <f t="shared" si="57"/>
        <v>46</v>
      </c>
      <c r="F319" s="58">
        <f t="shared" si="57"/>
        <v>41</v>
      </c>
      <c r="G319" s="8">
        <v>202010</v>
      </c>
      <c r="H319" s="8" t="s">
        <v>7011</v>
      </c>
      <c r="I319" s="8">
        <v>202010</v>
      </c>
      <c r="J319" s="8" t="s">
        <v>7011</v>
      </c>
      <c r="K319" s="56">
        <f t="shared" si="47"/>
        <v>44109</v>
      </c>
      <c r="L319" s="56">
        <f t="shared" si="48"/>
        <v>44115</v>
      </c>
      <c r="M319" s="59" t="str">
        <f t="shared" si="49"/>
        <v>05/10/20 @ 
11/10/20</v>
      </c>
    </row>
    <row r="320" spans="2:13" ht="24" x14ac:dyDescent="0.25">
      <c r="B320" s="55">
        <f t="shared" si="56"/>
        <v>318</v>
      </c>
      <c r="C320" s="56">
        <f t="shared" si="56"/>
        <v>44112</v>
      </c>
      <c r="D320" s="57">
        <f t="shared" si="46"/>
        <v>44112</v>
      </c>
      <c r="E320" s="58">
        <f t="shared" si="57"/>
        <v>46</v>
      </c>
      <c r="F320" s="58">
        <f t="shared" si="57"/>
        <v>41</v>
      </c>
      <c r="G320" s="8">
        <v>202010</v>
      </c>
      <c r="H320" s="8" t="s">
        <v>7011</v>
      </c>
      <c r="I320" s="8">
        <v>202010</v>
      </c>
      <c r="J320" s="8" t="s">
        <v>7011</v>
      </c>
      <c r="K320" s="56">
        <f t="shared" si="47"/>
        <v>44109</v>
      </c>
      <c r="L320" s="56">
        <f t="shared" si="48"/>
        <v>44115</v>
      </c>
      <c r="M320" s="59" t="str">
        <f t="shared" si="49"/>
        <v>05/10/20 @ 
11/10/20</v>
      </c>
    </row>
    <row r="321" spans="2:13" ht="24" x14ac:dyDescent="0.25">
      <c r="B321" s="55">
        <f t="shared" si="56"/>
        <v>319</v>
      </c>
      <c r="C321" s="56">
        <f t="shared" si="56"/>
        <v>44113</v>
      </c>
      <c r="D321" s="57">
        <f t="shared" si="46"/>
        <v>44113</v>
      </c>
      <c r="E321" s="58">
        <f t="shared" si="57"/>
        <v>46</v>
      </c>
      <c r="F321" s="58">
        <f t="shared" si="57"/>
        <v>41</v>
      </c>
      <c r="G321" s="8">
        <v>202010</v>
      </c>
      <c r="H321" s="8" t="s">
        <v>7011</v>
      </c>
      <c r="I321" s="8">
        <v>202010</v>
      </c>
      <c r="J321" s="8" t="s">
        <v>7011</v>
      </c>
      <c r="K321" s="56">
        <f t="shared" si="47"/>
        <v>44109</v>
      </c>
      <c r="L321" s="56">
        <f t="shared" si="48"/>
        <v>44115</v>
      </c>
      <c r="M321" s="59" t="str">
        <f t="shared" si="49"/>
        <v>05/10/20 @ 
11/10/20</v>
      </c>
    </row>
    <row r="322" spans="2:13" ht="24" x14ac:dyDescent="0.25">
      <c r="B322" s="55">
        <f t="shared" si="56"/>
        <v>320</v>
      </c>
      <c r="C322" s="56">
        <f t="shared" si="56"/>
        <v>44114</v>
      </c>
      <c r="D322" s="57">
        <f t="shared" si="46"/>
        <v>44114</v>
      </c>
      <c r="E322" s="58">
        <f t="shared" si="57"/>
        <v>46</v>
      </c>
      <c r="F322" s="58">
        <f t="shared" si="57"/>
        <v>41</v>
      </c>
      <c r="G322" s="8">
        <v>202010</v>
      </c>
      <c r="H322" s="8" t="s">
        <v>7011</v>
      </c>
      <c r="I322" s="8">
        <v>202010</v>
      </c>
      <c r="J322" s="8" t="s">
        <v>7011</v>
      </c>
      <c r="K322" s="56">
        <f t="shared" si="47"/>
        <v>44109</v>
      </c>
      <c r="L322" s="56">
        <f t="shared" si="48"/>
        <v>44115</v>
      </c>
      <c r="M322" s="59" t="str">
        <f t="shared" si="49"/>
        <v>05/10/20 @ 
11/10/20</v>
      </c>
    </row>
    <row r="323" spans="2:13" ht="24" x14ac:dyDescent="0.25">
      <c r="B323" s="55">
        <f t="shared" si="56"/>
        <v>321</v>
      </c>
      <c r="C323" s="56">
        <f t="shared" si="56"/>
        <v>44115</v>
      </c>
      <c r="D323" s="57">
        <f t="shared" ref="D323:D386" si="58">+C323</f>
        <v>44115</v>
      </c>
      <c r="E323" s="58">
        <f t="shared" si="57"/>
        <v>46</v>
      </c>
      <c r="F323" s="58">
        <f t="shared" si="57"/>
        <v>41</v>
      </c>
      <c r="G323" s="8">
        <v>202010</v>
      </c>
      <c r="H323" s="8" t="s">
        <v>7011</v>
      </c>
      <c r="I323" s="8">
        <v>202010</v>
      </c>
      <c r="J323" s="8" t="s">
        <v>7011</v>
      </c>
      <c r="K323" s="56">
        <f t="shared" ref="K323:K386" si="59">_xlfn.MINIFS($C$2:$C$890,$E$2:$E$890,E323)</f>
        <v>44109</v>
      </c>
      <c r="L323" s="56">
        <f t="shared" ref="L323:L386" si="60">_xlfn.MAXIFS($C$2:$C$890,$E$2:$E$890,E323)</f>
        <v>44115</v>
      </c>
      <c r="M323" s="59" t="str">
        <f t="shared" ref="M323:M386" si="61">CONCATENATE(TEXT(K323,"DD/MM/YY")," @ ",CHAR(10),TEXT(L323,"DD/MM/YY"))</f>
        <v>05/10/20 @ 
11/10/20</v>
      </c>
    </row>
    <row r="324" spans="2:13" ht="24" x14ac:dyDescent="0.25">
      <c r="B324" s="55">
        <f t="shared" si="56"/>
        <v>322</v>
      </c>
      <c r="C324" s="56">
        <f t="shared" si="56"/>
        <v>44116</v>
      </c>
      <c r="D324" s="57">
        <f t="shared" si="58"/>
        <v>44116</v>
      </c>
      <c r="E324" s="58">
        <f t="shared" si="57"/>
        <v>47</v>
      </c>
      <c r="F324" s="58">
        <f t="shared" si="57"/>
        <v>42</v>
      </c>
      <c r="G324" s="8">
        <v>202010</v>
      </c>
      <c r="H324" s="8" t="s">
        <v>7011</v>
      </c>
      <c r="I324" s="8">
        <v>202010</v>
      </c>
      <c r="J324" s="8" t="s">
        <v>7011</v>
      </c>
      <c r="K324" s="56">
        <f t="shared" si="59"/>
        <v>44116</v>
      </c>
      <c r="L324" s="56">
        <f t="shared" si="60"/>
        <v>44122</v>
      </c>
      <c r="M324" s="59" t="str">
        <f t="shared" si="61"/>
        <v>12/10/20 @ 
18/10/20</v>
      </c>
    </row>
    <row r="325" spans="2:13" ht="24" x14ac:dyDescent="0.25">
      <c r="B325" s="55">
        <f t="shared" ref="B325:C340" si="62">+B324+1</f>
        <v>323</v>
      </c>
      <c r="C325" s="56">
        <f t="shared" si="62"/>
        <v>44117</v>
      </c>
      <c r="D325" s="57">
        <f t="shared" si="58"/>
        <v>44117</v>
      </c>
      <c r="E325" s="58">
        <f t="shared" si="57"/>
        <v>47</v>
      </c>
      <c r="F325" s="58">
        <f t="shared" si="57"/>
        <v>42</v>
      </c>
      <c r="G325" s="8">
        <v>202010</v>
      </c>
      <c r="H325" s="8" t="s">
        <v>7011</v>
      </c>
      <c r="I325" s="8">
        <v>202010</v>
      </c>
      <c r="J325" s="8" t="s">
        <v>7011</v>
      </c>
      <c r="K325" s="56">
        <f t="shared" si="59"/>
        <v>44116</v>
      </c>
      <c r="L325" s="56">
        <f t="shared" si="60"/>
        <v>44122</v>
      </c>
      <c r="M325" s="59" t="str">
        <f t="shared" si="61"/>
        <v>12/10/20 @ 
18/10/20</v>
      </c>
    </row>
    <row r="326" spans="2:13" ht="24" x14ac:dyDescent="0.25">
      <c r="B326" s="55">
        <f t="shared" si="62"/>
        <v>324</v>
      </c>
      <c r="C326" s="56">
        <f t="shared" si="62"/>
        <v>44118</v>
      </c>
      <c r="D326" s="57">
        <f t="shared" si="58"/>
        <v>44118</v>
      </c>
      <c r="E326" s="58">
        <f t="shared" si="57"/>
        <v>47</v>
      </c>
      <c r="F326" s="58">
        <f t="shared" si="57"/>
        <v>42</v>
      </c>
      <c r="G326" s="8">
        <v>202010</v>
      </c>
      <c r="H326" s="8" t="s">
        <v>7011</v>
      </c>
      <c r="I326" s="8">
        <v>202010</v>
      </c>
      <c r="J326" s="8" t="s">
        <v>7011</v>
      </c>
      <c r="K326" s="56">
        <f t="shared" si="59"/>
        <v>44116</v>
      </c>
      <c r="L326" s="56">
        <f t="shared" si="60"/>
        <v>44122</v>
      </c>
      <c r="M326" s="59" t="str">
        <f t="shared" si="61"/>
        <v>12/10/20 @ 
18/10/20</v>
      </c>
    </row>
    <row r="327" spans="2:13" ht="24" x14ac:dyDescent="0.25">
      <c r="B327" s="55">
        <f t="shared" si="62"/>
        <v>325</v>
      </c>
      <c r="C327" s="56">
        <f t="shared" si="62"/>
        <v>44119</v>
      </c>
      <c r="D327" s="57">
        <f t="shared" si="58"/>
        <v>44119</v>
      </c>
      <c r="E327" s="58">
        <f t="shared" si="57"/>
        <v>47</v>
      </c>
      <c r="F327" s="58">
        <f t="shared" si="57"/>
        <v>42</v>
      </c>
      <c r="G327" s="8">
        <v>202010</v>
      </c>
      <c r="H327" s="8" t="s">
        <v>7011</v>
      </c>
      <c r="I327" s="8">
        <v>202010</v>
      </c>
      <c r="J327" s="8" t="s">
        <v>7011</v>
      </c>
      <c r="K327" s="56">
        <f t="shared" si="59"/>
        <v>44116</v>
      </c>
      <c r="L327" s="56">
        <f t="shared" si="60"/>
        <v>44122</v>
      </c>
      <c r="M327" s="59" t="str">
        <f t="shared" si="61"/>
        <v>12/10/20 @ 
18/10/20</v>
      </c>
    </row>
    <row r="328" spans="2:13" ht="24" x14ac:dyDescent="0.25">
      <c r="B328" s="55">
        <f t="shared" si="62"/>
        <v>326</v>
      </c>
      <c r="C328" s="56">
        <f t="shared" si="62"/>
        <v>44120</v>
      </c>
      <c r="D328" s="57">
        <f t="shared" si="58"/>
        <v>44120</v>
      </c>
      <c r="E328" s="58">
        <f t="shared" si="57"/>
        <v>47</v>
      </c>
      <c r="F328" s="58">
        <f t="shared" si="57"/>
        <v>42</v>
      </c>
      <c r="G328" s="8">
        <v>202010</v>
      </c>
      <c r="H328" s="8" t="s">
        <v>7011</v>
      </c>
      <c r="I328" s="8">
        <v>202010</v>
      </c>
      <c r="J328" s="8" t="s">
        <v>7011</v>
      </c>
      <c r="K328" s="56">
        <f t="shared" si="59"/>
        <v>44116</v>
      </c>
      <c r="L328" s="56">
        <f t="shared" si="60"/>
        <v>44122</v>
      </c>
      <c r="M328" s="59" t="str">
        <f t="shared" si="61"/>
        <v>12/10/20 @ 
18/10/20</v>
      </c>
    </row>
    <row r="329" spans="2:13" ht="24" x14ac:dyDescent="0.25">
      <c r="B329" s="55">
        <f t="shared" si="62"/>
        <v>327</v>
      </c>
      <c r="C329" s="56">
        <f t="shared" si="62"/>
        <v>44121</v>
      </c>
      <c r="D329" s="57">
        <f t="shared" si="58"/>
        <v>44121</v>
      </c>
      <c r="E329" s="58">
        <f t="shared" si="57"/>
        <v>47</v>
      </c>
      <c r="F329" s="58">
        <f t="shared" si="57"/>
        <v>42</v>
      </c>
      <c r="G329" s="8">
        <v>202010</v>
      </c>
      <c r="H329" s="8" t="s">
        <v>7011</v>
      </c>
      <c r="I329" s="8">
        <v>202010</v>
      </c>
      <c r="J329" s="8" t="s">
        <v>7011</v>
      </c>
      <c r="K329" s="56">
        <f t="shared" si="59"/>
        <v>44116</v>
      </c>
      <c r="L329" s="56">
        <f t="shared" si="60"/>
        <v>44122</v>
      </c>
      <c r="M329" s="59" t="str">
        <f t="shared" si="61"/>
        <v>12/10/20 @ 
18/10/20</v>
      </c>
    </row>
    <row r="330" spans="2:13" ht="24" x14ac:dyDescent="0.25">
      <c r="B330" s="55">
        <f t="shared" si="62"/>
        <v>328</v>
      </c>
      <c r="C330" s="56">
        <f t="shared" si="62"/>
        <v>44122</v>
      </c>
      <c r="D330" s="57">
        <f t="shared" si="58"/>
        <v>44122</v>
      </c>
      <c r="E330" s="58">
        <f t="shared" ref="E330:F345" si="63">+E323+1</f>
        <v>47</v>
      </c>
      <c r="F330" s="58">
        <f t="shared" si="63"/>
        <v>42</v>
      </c>
      <c r="G330" s="8">
        <v>202010</v>
      </c>
      <c r="H330" s="8" t="s">
        <v>7011</v>
      </c>
      <c r="I330" s="8">
        <v>202010</v>
      </c>
      <c r="J330" s="8" t="s">
        <v>7011</v>
      </c>
      <c r="K330" s="56">
        <f t="shared" si="59"/>
        <v>44116</v>
      </c>
      <c r="L330" s="56">
        <f t="shared" si="60"/>
        <v>44122</v>
      </c>
      <c r="M330" s="59" t="str">
        <f t="shared" si="61"/>
        <v>12/10/20 @ 
18/10/20</v>
      </c>
    </row>
    <row r="331" spans="2:13" ht="24" x14ac:dyDescent="0.25">
      <c r="B331" s="55">
        <f t="shared" si="62"/>
        <v>329</v>
      </c>
      <c r="C331" s="56">
        <f t="shared" si="62"/>
        <v>44123</v>
      </c>
      <c r="D331" s="57">
        <f t="shared" si="58"/>
        <v>44123</v>
      </c>
      <c r="E331" s="58">
        <f t="shared" si="63"/>
        <v>48</v>
      </c>
      <c r="F331" s="58">
        <f t="shared" si="63"/>
        <v>43</v>
      </c>
      <c r="G331" s="8">
        <v>202010</v>
      </c>
      <c r="H331" s="8" t="s">
        <v>7011</v>
      </c>
      <c r="I331" s="8">
        <v>202010</v>
      </c>
      <c r="J331" s="8" t="s">
        <v>7011</v>
      </c>
      <c r="K331" s="56">
        <f t="shared" si="59"/>
        <v>44123</v>
      </c>
      <c r="L331" s="56">
        <f t="shared" si="60"/>
        <v>44129</v>
      </c>
      <c r="M331" s="59" t="str">
        <f t="shared" si="61"/>
        <v>19/10/20 @ 
25/10/20</v>
      </c>
    </row>
    <row r="332" spans="2:13" ht="24" x14ac:dyDescent="0.25">
      <c r="B332" s="55">
        <f t="shared" si="62"/>
        <v>330</v>
      </c>
      <c r="C332" s="56">
        <f t="shared" si="62"/>
        <v>44124</v>
      </c>
      <c r="D332" s="57">
        <f t="shared" si="58"/>
        <v>44124</v>
      </c>
      <c r="E332" s="58">
        <f t="shared" si="63"/>
        <v>48</v>
      </c>
      <c r="F332" s="58">
        <f t="shared" si="63"/>
        <v>43</v>
      </c>
      <c r="G332" s="8">
        <v>202010</v>
      </c>
      <c r="H332" s="8" t="s">
        <v>7011</v>
      </c>
      <c r="I332" s="8">
        <v>202010</v>
      </c>
      <c r="J332" s="8" t="s">
        <v>7011</v>
      </c>
      <c r="K332" s="56">
        <f t="shared" si="59"/>
        <v>44123</v>
      </c>
      <c r="L332" s="56">
        <f t="shared" si="60"/>
        <v>44129</v>
      </c>
      <c r="M332" s="59" t="str">
        <f t="shared" si="61"/>
        <v>19/10/20 @ 
25/10/20</v>
      </c>
    </row>
    <row r="333" spans="2:13" ht="24" x14ac:dyDescent="0.25">
      <c r="B333" s="55">
        <f t="shared" si="62"/>
        <v>331</v>
      </c>
      <c r="C333" s="56">
        <f t="shared" si="62"/>
        <v>44125</v>
      </c>
      <c r="D333" s="57">
        <f t="shared" si="58"/>
        <v>44125</v>
      </c>
      <c r="E333" s="58">
        <f t="shared" si="63"/>
        <v>48</v>
      </c>
      <c r="F333" s="58">
        <f t="shared" si="63"/>
        <v>43</v>
      </c>
      <c r="G333" s="8">
        <v>202010</v>
      </c>
      <c r="H333" s="8" t="s">
        <v>7011</v>
      </c>
      <c r="I333" s="8">
        <v>202011</v>
      </c>
      <c r="J333" s="8" t="s">
        <v>7012</v>
      </c>
      <c r="K333" s="56">
        <f t="shared" si="59"/>
        <v>44123</v>
      </c>
      <c r="L333" s="56">
        <f t="shared" si="60"/>
        <v>44129</v>
      </c>
      <c r="M333" s="59" t="str">
        <f t="shared" si="61"/>
        <v>19/10/20 @ 
25/10/20</v>
      </c>
    </row>
    <row r="334" spans="2:13" ht="24" x14ac:dyDescent="0.25">
      <c r="B334" s="55">
        <f t="shared" si="62"/>
        <v>332</v>
      </c>
      <c r="C334" s="56">
        <f t="shared" si="62"/>
        <v>44126</v>
      </c>
      <c r="D334" s="57">
        <f t="shared" si="58"/>
        <v>44126</v>
      </c>
      <c r="E334" s="58">
        <f t="shared" si="63"/>
        <v>48</v>
      </c>
      <c r="F334" s="58">
        <f t="shared" si="63"/>
        <v>43</v>
      </c>
      <c r="G334" s="8">
        <v>202010</v>
      </c>
      <c r="H334" s="8" t="s">
        <v>7011</v>
      </c>
      <c r="I334" s="8">
        <v>202011</v>
      </c>
      <c r="J334" s="8" t="s">
        <v>7012</v>
      </c>
      <c r="K334" s="56">
        <f t="shared" si="59"/>
        <v>44123</v>
      </c>
      <c r="L334" s="56">
        <f t="shared" si="60"/>
        <v>44129</v>
      </c>
      <c r="M334" s="59" t="str">
        <f t="shared" si="61"/>
        <v>19/10/20 @ 
25/10/20</v>
      </c>
    </row>
    <row r="335" spans="2:13" ht="24" x14ac:dyDescent="0.25">
      <c r="B335" s="55">
        <f t="shared" si="62"/>
        <v>333</v>
      </c>
      <c r="C335" s="56">
        <f t="shared" si="62"/>
        <v>44127</v>
      </c>
      <c r="D335" s="57">
        <f t="shared" si="58"/>
        <v>44127</v>
      </c>
      <c r="E335" s="58">
        <f t="shared" si="63"/>
        <v>48</v>
      </c>
      <c r="F335" s="58">
        <f t="shared" si="63"/>
        <v>43</v>
      </c>
      <c r="G335" s="8">
        <v>202010</v>
      </c>
      <c r="H335" s="8" t="s">
        <v>7011</v>
      </c>
      <c r="I335" s="8">
        <v>202011</v>
      </c>
      <c r="J335" s="8" t="s">
        <v>7012</v>
      </c>
      <c r="K335" s="56">
        <f t="shared" si="59"/>
        <v>44123</v>
      </c>
      <c r="L335" s="56">
        <f t="shared" si="60"/>
        <v>44129</v>
      </c>
      <c r="M335" s="59" t="str">
        <f t="shared" si="61"/>
        <v>19/10/20 @ 
25/10/20</v>
      </c>
    </row>
    <row r="336" spans="2:13" ht="24" x14ac:dyDescent="0.25">
      <c r="B336" s="55">
        <f t="shared" si="62"/>
        <v>334</v>
      </c>
      <c r="C336" s="56">
        <f t="shared" si="62"/>
        <v>44128</v>
      </c>
      <c r="D336" s="57">
        <f t="shared" si="58"/>
        <v>44128</v>
      </c>
      <c r="E336" s="58">
        <f t="shared" si="63"/>
        <v>48</v>
      </c>
      <c r="F336" s="58">
        <f t="shared" si="63"/>
        <v>43</v>
      </c>
      <c r="G336" s="8">
        <v>202010</v>
      </c>
      <c r="H336" s="8" t="s">
        <v>7011</v>
      </c>
      <c r="I336" s="8">
        <v>202011</v>
      </c>
      <c r="J336" s="8" t="s">
        <v>7012</v>
      </c>
      <c r="K336" s="56">
        <f t="shared" si="59"/>
        <v>44123</v>
      </c>
      <c r="L336" s="56">
        <f t="shared" si="60"/>
        <v>44129</v>
      </c>
      <c r="M336" s="59" t="str">
        <f t="shared" si="61"/>
        <v>19/10/20 @ 
25/10/20</v>
      </c>
    </row>
    <row r="337" spans="2:13" ht="24" x14ac:dyDescent="0.25">
      <c r="B337" s="55">
        <f t="shared" si="62"/>
        <v>335</v>
      </c>
      <c r="C337" s="56">
        <f t="shared" si="62"/>
        <v>44129</v>
      </c>
      <c r="D337" s="57">
        <f t="shared" si="58"/>
        <v>44129</v>
      </c>
      <c r="E337" s="58">
        <f t="shared" si="63"/>
        <v>48</v>
      </c>
      <c r="F337" s="58">
        <f t="shared" si="63"/>
        <v>43</v>
      </c>
      <c r="G337" s="8">
        <v>202010</v>
      </c>
      <c r="H337" s="8" t="s">
        <v>7011</v>
      </c>
      <c r="I337" s="8">
        <v>202011</v>
      </c>
      <c r="J337" s="8" t="s">
        <v>7012</v>
      </c>
      <c r="K337" s="56">
        <f t="shared" si="59"/>
        <v>44123</v>
      </c>
      <c r="L337" s="56">
        <f t="shared" si="60"/>
        <v>44129</v>
      </c>
      <c r="M337" s="59" t="str">
        <f t="shared" si="61"/>
        <v>19/10/20 @ 
25/10/20</v>
      </c>
    </row>
    <row r="338" spans="2:13" ht="24" x14ac:dyDescent="0.25">
      <c r="B338" s="55">
        <f t="shared" si="62"/>
        <v>336</v>
      </c>
      <c r="C338" s="56">
        <f t="shared" si="62"/>
        <v>44130</v>
      </c>
      <c r="D338" s="57">
        <f t="shared" si="58"/>
        <v>44130</v>
      </c>
      <c r="E338" s="58">
        <f t="shared" si="63"/>
        <v>49</v>
      </c>
      <c r="F338" s="58">
        <f t="shared" si="63"/>
        <v>44</v>
      </c>
      <c r="G338" s="8">
        <v>202010</v>
      </c>
      <c r="H338" s="8" t="s">
        <v>7011</v>
      </c>
      <c r="I338" s="8">
        <v>202011</v>
      </c>
      <c r="J338" s="8" t="s">
        <v>7012</v>
      </c>
      <c r="K338" s="56">
        <f t="shared" si="59"/>
        <v>44130</v>
      </c>
      <c r="L338" s="56">
        <f t="shared" si="60"/>
        <v>44136</v>
      </c>
      <c r="M338" s="59" t="str">
        <f t="shared" si="61"/>
        <v>26/10/20 @ 
01/11/20</v>
      </c>
    </row>
    <row r="339" spans="2:13" ht="24" x14ac:dyDescent="0.25">
      <c r="B339" s="55">
        <f t="shared" si="62"/>
        <v>337</v>
      </c>
      <c r="C339" s="56">
        <f t="shared" si="62"/>
        <v>44131</v>
      </c>
      <c r="D339" s="57">
        <f t="shared" si="58"/>
        <v>44131</v>
      </c>
      <c r="E339" s="58">
        <f t="shared" si="63"/>
        <v>49</v>
      </c>
      <c r="F339" s="58">
        <f t="shared" si="63"/>
        <v>44</v>
      </c>
      <c r="G339" s="8">
        <v>202010</v>
      </c>
      <c r="H339" s="8" t="s">
        <v>7011</v>
      </c>
      <c r="I339" s="8">
        <v>202011</v>
      </c>
      <c r="J339" s="8" t="s">
        <v>7012</v>
      </c>
      <c r="K339" s="56">
        <f t="shared" si="59"/>
        <v>44130</v>
      </c>
      <c r="L339" s="56">
        <f t="shared" si="60"/>
        <v>44136</v>
      </c>
      <c r="M339" s="59" t="str">
        <f t="shared" si="61"/>
        <v>26/10/20 @ 
01/11/20</v>
      </c>
    </row>
    <row r="340" spans="2:13" ht="24" x14ac:dyDescent="0.25">
      <c r="B340" s="55">
        <f t="shared" si="62"/>
        <v>338</v>
      </c>
      <c r="C340" s="56">
        <f t="shared" si="62"/>
        <v>44132</v>
      </c>
      <c r="D340" s="57">
        <f t="shared" si="58"/>
        <v>44132</v>
      </c>
      <c r="E340" s="58">
        <f t="shared" si="63"/>
        <v>49</v>
      </c>
      <c r="F340" s="58">
        <f t="shared" si="63"/>
        <v>44</v>
      </c>
      <c r="G340" s="8">
        <v>202010</v>
      </c>
      <c r="H340" s="8" t="s">
        <v>7011</v>
      </c>
      <c r="I340" s="8">
        <v>202011</v>
      </c>
      <c r="J340" s="8" t="s">
        <v>7012</v>
      </c>
      <c r="K340" s="56">
        <f t="shared" si="59"/>
        <v>44130</v>
      </c>
      <c r="L340" s="56">
        <f t="shared" si="60"/>
        <v>44136</v>
      </c>
      <c r="M340" s="59" t="str">
        <f t="shared" si="61"/>
        <v>26/10/20 @ 
01/11/20</v>
      </c>
    </row>
    <row r="341" spans="2:13" ht="24" x14ac:dyDescent="0.25">
      <c r="B341" s="55">
        <f t="shared" ref="B341:C356" si="64">+B340+1</f>
        <v>339</v>
      </c>
      <c r="C341" s="56">
        <f t="shared" si="64"/>
        <v>44133</v>
      </c>
      <c r="D341" s="57">
        <f t="shared" si="58"/>
        <v>44133</v>
      </c>
      <c r="E341" s="58">
        <f t="shared" si="63"/>
        <v>49</v>
      </c>
      <c r="F341" s="58">
        <f t="shared" si="63"/>
        <v>44</v>
      </c>
      <c r="G341" s="8">
        <v>202010</v>
      </c>
      <c r="H341" s="8" t="s">
        <v>7011</v>
      </c>
      <c r="I341" s="8">
        <v>202011</v>
      </c>
      <c r="J341" s="8" t="s">
        <v>7012</v>
      </c>
      <c r="K341" s="56">
        <f t="shared" si="59"/>
        <v>44130</v>
      </c>
      <c r="L341" s="56">
        <f t="shared" si="60"/>
        <v>44136</v>
      </c>
      <c r="M341" s="59" t="str">
        <f t="shared" si="61"/>
        <v>26/10/20 @ 
01/11/20</v>
      </c>
    </row>
    <row r="342" spans="2:13" ht="24" x14ac:dyDescent="0.25">
      <c r="B342" s="55">
        <f t="shared" si="64"/>
        <v>340</v>
      </c>
      <c r="C342" s="56">
        <f t="shared" si="64"/>
        <v>44134</v>
      </c>
      <c r="D342" s="57">
        <f t="shared" si="58"/>
        <v>44134</v>
      </c>
      <c r="E342" s="58">
        <f t="shared" si="63"/>
        <v>49</v>
      </c>
      <c r="F342" s="58">
        <f t="shared" si="63"/>
        <v>44</v>
      </c>
      <c r="G342" s="8">
        <v>202010</v>
      </c>
      <c r="H342" s="8" t="s">
        <v>7011</v>
      </c>
      <c r="I342" s="8">
        <v>202011</v>
      </c>
      <c r="J342" s="8" t="s">
        <v>7012</v>
      </c>
      <c r="K342" s="56">
        <f t="shared" si="59"/>
        <v>44130</v>
      </c>
      <c r="L342" s="56">
        <f t="shared" si="60"/>
        <v>44136</v>
      </c>
      <c r="M342" s="59" t="str">
        <f t="shared" si="61"/>
        <v>26/10/20 @ 
01/11/20</v>
      </c>
    </row>
    <row r="343" spans="2:13" ht="24" x14ac:dyDescent="0.25">
      <c r="B343" s="55">
        <f t="shared" si="64"/>
        <v>341</v>
      </c>
      <c r="C343" s="56">
        <f t="shared" si="64"/>
        <v>44135</v>
      </c>
      <c r="D343" s="57">
        <f t="shared" si="58"/>
        <v>44135</v>
      </c>
      <c r="E343" s="58">
        <f t="shared" si="63"/>
        <v>49</v>
      </c>
      <c r="F343" s="58">
        <f t="shared" si="63"/>
        <v>44</v>
      </c>
      <c r="G343" s="8">
        <v>202010</v>
      </c>
      <c r="H343" s="8" t="s">
        <v>7011</v>
      </c>
      <c r="I343" s="8">
        <v>202011</v>
      </c>
      <c r="J343" s="8" t="s">
        <v>7012</v>
      </c>
      <c r="K343" s="56">
        <f t="shared" si="59"/>
        <v>44130</v>
      </c>
      <c r="L343" s="56">
        <f t="shared" si="60"/>
        <v>44136</v>
      </c>
      <c r="M343" s="59" t="str">
        <f t="shared" si="61"/>
        <v>26/10/20 @ 
01/11/20</v>
      </c>
    </row>
    <row r="344" spans="2:13" ht="24" x14ac:dyDescent="0.25">
      <c r="B344" s="55">
        <f t="shared" si="64"/>
        <v>342</v>
      </c>
      <c r="C344" s="56">
        <f t="shared" si="64"/>
        <v>44136</v>
      </c>
      <c r="D344" s="57">
        <f t="shared" si="58"/>
        <v>44136</v>
      </c>
      <c r="E344" s="58">
        <f t="shared" si="63"/>
        <v>49</v>
      </c>
      <c r="F344" s="58">
        <f t="shared" si="63"/>
        <v>44</v>
      </c>
      <c r="G344" s="8">
        <v>202010</v>
      </c>
      <c r="H344" s="8" t="s">
        <v>7011</v>
      </c>
      <c r="I344" s="8">
        <v>202011</v>
      </c>
      <c r="J344" s="8" t="s">
        <v>7012</v>
      </c>
      <c r="K344" s="56">
        <f t="shared" si="59"/>
        <v>44130</v>
      </c>
      <c r="L344" s="56">
        <f t="shared" si="60"/>
        <v>44136</v>
      </c>
      <c r="M344" s="59" t="str">
        <f t="shared" si="61"/>
        <v>26/10/20 @ 
01/11/20</v>
      </c>
    </row>
    <row r="345" spans="2:13" ht="24" x14ac:dyDescent="0.25">
      <c r="B345" s="55">
        <f t="shared" si="64"/>
        <v>343</v>
      </c>
      <c r="C345" s="56">
        <f t="shared" si="64"/>
        <v>44137</v>
      </c>
      <c r="D345" s="57">
        <f t="shared" si="58"/>
        <v>44137</v>
      </c>
      <c r="E345" s="58">
        <f t="shared" si="63"/>
        <v>50</v>
      </c>
      <c r="F345" s="58">
        <f t="shared" si="63"/>
        <v>45</v>
      </c>
      <c r="G345" s="8">
        <v>202011</v>
      </c>
      <c r="H345" s="8" t="s">
        <v>7012</v>
      </c>
      <c r="I345" s="8">
        <v>202011</v>
      </c>
      <c r="J345" s="8" t="s">
        <v>7012</v>
      </c>
      <c r="K345" s="56">
        <f t="shared" si="59"/>
        <v>44137</v>
      </c>
      <c r="L345" s="56">
        <f t="shared" si="60"/>
        <v>44143</v>
      </c>
      <c r="M345" s="59" t="str">
        <f t="shared" si="61"/>
        <v>02/11/20 @ 
08/11/20</v>
      </c>
    </row>
    <row r="346" spans="2:13" ht="24" x14ac:dyDescent="0.25">
      <c r="B346" s="55">
        <f t="shared" si="64"/>
        <v>344</v>
      </c>
      <c r="C346" s="56">
        <f t="shared" si="64"/>
        <v>44138</v>
      </c>
      <c r="D346" s="57">
        <f t="shared" si="58"/>
        <v>44138</v>
      </c>
      <c r="E346" s="58">
        <f t="shared" ref="E346:F361" si="65">+E339+1</f>
        <v>50</v>
      </c>
      <c r="F346" s="58">
        <f t="shared" si="65"/>
        <v>45</v>
      </c>
      <c r="G346" s="8">
        <v>202011</v>
      </c>
      <c r="H346" s="8" t="s">
        <v>7012</v>
      </c>
      <c r="I346" s="8">
        <v>202011</v>
      </c>
      <c r="J346" s="8" t="s">
        <v>7012</v>
      </c>
      <c r="K346" s="56">
        <f t="shared" si="59"/>
        <v>44137</v>
      </c>
      <c r="L346" s="56">
        <f t="shared" si="60"/>
        <v>44143</v>
      </c>
      <c r="M346" s="59" t="str">
        <f t="shared" si="61"/>
        <v>02/11/20 @ 
08/11/20</v>
      </c>
    </row>
    <row r="347" spans="2:13" ht="24" x14ac:dyDescent="0.25">
      <c r="B347" s="55">
        <f t="shared" si="64"/>
        <v>345</v>
      </c>
      <c r="C347" s="56">
        <f t="shared" si="64"/>
        <v>44139</v>
      </c>
      <c r="D347" s="57">
        <f t="shared" si="58"/>
        <v>44139</v>
      </c>
      <c r="E347" s="58">
        <f t="shared" si="65"/>
        <v>50</v>
      </c>
      <c r="F347" s="58">
        <f t="shared" si="65"/>
        <v>45</v>
      </c>
      <c r="G347" s="8">
        <v>202011</v>
      </c>
      <c r="H347" s="8" t="s">
        <v>7012</v>
      </c>
      <c r="I347" s="8">
        <v>202011</v>
      </c>
      <c r="J347" s="8" t="s">
        <v>7012</v>
      </c>
      <c r="K347" s="56">
        <f t="shared" si="59"/>
        <v>44137</v>
      </c>
      <c r="L347" s="56">
        <f t="shared" si="60"/>
        <v>44143</v>
      </c>
      <c r="M347" s="59" t="str">
        <f t="shared" si="61"/>
        <v>02/11/20 @ 
08/11/20</v>
      </c>
    </row>
    <row r="348" spans="2:13" ht="24" x14ac:dyDescent="0.25">
      <c r="B348" s="55">
        <f t="shared" si="64"/>
        <v>346</v>
      </c>
      <c r="C348" s="56">
        <f t="shared" si="64"/>
        <v>44140</v>
      </c>
      <c r="D348" s="57">
        <f t="shared" si="58"/>
        <v>44140</v>
      </c>
      <c r="E348" s="58">
        <f t="shared" si="65"/>
        <v>50</v>
      </c>
      <c r="F348" s="58">
        <f t="shared" si="65"/>
        <v>45</v>
      </c>
      <c r="G348" s="8">
        <v>202011</v>
      </c>
      <c r="H348" s="8" t="s">
        <v>7012</v>
      </c>
      <c r="I348" s="8">
        <v>202011</v>
      </c>
      <c r="J348" s="8" t="s">
        <v>7012</v>
      </c>
      <c r="K348" s="56">
        <f t="shared" si="59"/>
        <v>44137</v>
      </c>
      <c r="L348" s="56">
        <f t="shared" si="60"/>
        <v>44143</v>
      </c>
      <c r="M348" s="59" t="str">
        <f t="shared" si="61"/>
        <v>02/11/20 @ 
08/11/20</v>
      </c>
    </row>
    <row r="349" spans="2:13" ht="24" x14ac:dyDescent="0.25">
      <c r="B349" s="55">
        <f t="shared" si="64"/>
        <v>347</v>
      </c>
      <c r="C349" s="56">
        <f t="shared" si="64"/>
        <v>44141</v>
      </c>
      <c r="D349" s="57">
        <f t="shared" si="58"/>
        <v>44141</v>
      </c>
      <c r="E349" s="58">
        <f t="shared" si="65"/>
        <v>50</v>
      </c>
      <c r="F349" s="58">
        <f t="shared" si="65"/>
        <v>45</v>
      </c>
      <c r="G349" s="8">
        <v>202011</v>
      </c>
      <c r="H349" s="8" t="s">
        <v>7012</v>
      </c>
      <c r="I349" s="8">
        <v>202011</v>
      </c>
      <c r="J349" s="8" t="s">
        <v>7012</v>
      </c>
      <c r="K349" s="56">
        <f t="shared" si="59"/>
        <v>44137</v>
      </c>
      <c r="L349" s="56">
        <f t="shared" si="60"/>
        <v>44143</v>
      </c>
      <c r="M349" s="59" t="str">
        <f t="shared" si="61"/>
        <v>02/11/20 @ 
08/11/20</v>
      </c>
    </row>
    <row r="350" spans="2:13" ht="24" x14ac:dyDescent="0.25">
      <c r="B350" s="55">
        <f t="shared" si="64"/>
        <v>348</v>
      </c>
      <c r="C350" s="56">
        <f t="shared" si="64"/>
        <v>44142</v>
      </c>
      <c r="D350" s="57">
        <f t="shared" si="58"/>
        <v>44142</v>
      </c>
      <c r="E350" s="58">
        <f t="shared" si="65"/>
        <v>50</v>
      </c>
      <c r="F350" s="58">
        <f t="shared" si="65"/>
        <v>45</v>
      </c>
      <c r="G350" s="8">
        <v>202011</v>
      </c>
      <c r="H350" s="8" t="s">
        <v>7012</v>
      </c>
      <c r="I350" s="8">
        <v>202011</v>
      </c>
      <c r="J350" s="8" t="s">
        <v>7012</v>
      </c>
      <c r="K350" s="56">
        <f t="shared" si="59"/>
        <v>44137</v>
      </c>
      <c r="L350" s="56">
        <f t="shared" si="60"/>
        <v>44143</v>
      </c>
      <c r="M350" s="59" t="str">
        <f t="shared" si="61"/>
        <v>02/11/20 @ 
08/11/20</v>
      </c>
    </row>
    <row r="351" spans="2:13" ht="24" x14ac:dyDescent="0.25">
      <c r="B351" s="55">
        <f t="shared" si="64"/>
        <v>349</v>
      </c>
      <c r="C351" s="56">
        <f t="shared" si="64"/>
        <v>44143</v>
      </c>
      <c r="D351" s="57">
        <f t="shared" si="58"/>
        <v>44143</v>
      </c>
      <c r="E351" s="58">
        <f t="shared" si="65"/>
        <v>50</v>
      </c>
      <c r="F351" s="58">
        <f t="shared" si="65"/>
        <v>45</v>
      </c>
      <c r="G351" s="8">
        <v>202011</v>
      </c>
      <c r="H351" s="8" t="s">
        <v>7012</v>
      </c>
      <c r="I351" s="8">
        <v>202011</v>
      </c>
      <c r="J351" s="8" t="s">
        <v>7012</v>
      </c>
      <c r="K351" s="56">
        <f t="shared" si="59"/>
        <v>44137</v>
      </c>
      <c r="L351" s="56">
        <f t="shared" si="60"/>
        <v>44143</v>
      </c>
      <c r="M351" s="59" t="str">
        <f t="shared" si="61"/>
        <v>02/11/20 @ 
08/11/20</v>
      </c>
    </row>
    <row r="352" spans="2:13" ht="24" x14ac:dyDescent="0.25">
      <c r="B352" s="55">
        <f t="shared" si="64"/>
        <v>350</v>
      </c>
      <c r="C352" s="56">
        <f t="shared" si="64"/>
        <v>44144</v>
      </c>
      <c r="D352" s="57">
        <f t="shared" si="58"/>
        <v>44144</v>
      </c>
      <c r="E352" s="58">
        <f t="shared" si="65"/>
        <v>51</v>
      </c>
      <c r="F352" s="58">
        <f t="shared" si="65"/>
        <v>46</v>
      </c>
      <c r="G352" s="8">
        <v>202011</v>
      </c>
      <c r="H352" s="8" t="s">
        <v>7012</v>
      </c>
      <c r="I352" s="8">
        <v>202011</v>
      </c>
      <c r="J352" s="8" t="s">
        <v>7012</v>
      </c>
      <c r="K352" s="56">
        <f t="shared" si="59"/>
        <v>44144</v>
      </c>
      <c r="L352" s="56">
        <f t="shared" si="60"/>
        <v>44150</v>
      </c>
      <c r="M352" s="59" t="str">
        <f t="shared" si="61"/>
        <v>09/11/20 @ 
15/11/20</v>
      </c>
    </row>
    <row r="353" spans="2:13" ht="24" x14ac:dyDescent="0.25">
      <c r="B353" s="55">
        <f t="shared" si="64"/>
        <v>351</v>
      </c>
      <c r="C353" s="56">
        <f t="shared" si="64"/>
        <v>44145</v>
      </c>
      <c r="D353" s="57">
        <f t="shared" si="58"/>
        <v>44145</v>
      </c>
      <c r="E353" s="58">
        <f t="shared" si="65"/>
        <v>51</v>
      </c>
      <c r="F353" s="58">
        <f t="shared" si="65"/>
        <v>46</v>
      </c>
      <c r="G353" s="8">
        <v>202011</v>
      </c>
      <c r="H353" s="8" t="s">
        <v>7012</v>
      </c>
      <c r="I353" s="8">
        <v>202011</v>
      </c>
      <c r="J353" s="8" t="s">
        <v>7012</v>
      </c>
      <c r="K353" s="56">
        <f t="shared" si="59"/>
        <v>44144</v>
      </c>
      <c r="L353" s="56">
        <f t="shared" si="60"/>
        <v>44150</v>
      </c>
      <c r="M353" s="59" t="str">
        <f t="shared" si="61"/>
        <v>09/11/20 @ 
15/11/20</v>
      </c>
    </row>
    <row r="354" spans="2:13" ht="24" x14ac:dyDescent="0.25">
      <c r="B354" s="55">
        <f t="shared" si="64"/>
        <v>352</v>
      </c>
      <c r="C354" s="56">
        <f t="shared" si="64"/>
        <v>44146</v>
      </c>
      <c r="D354" s="57">
        <f t="shared" si="58"/>
        <v>44146</v>
      </c>
      <c r="E354" s="58">
        <f t="shared" si="65"/>
        <v>51</v>
      </c>
      <c r="F354" s="58">
        <f t="shared" si="65"/>
        <v>46</v>
      </c>
      <c r="G354" s="8">
        <v>202011</v>
      </c>
      <c r="H354" s="8" t="s">
        <v>7012</v>
      </c>
      <c r="I354" s="8">
        <v>202011</v>
      </c>
      <c r="J354" s="8" t="s">
        <v>7012</v>
      </c>
      <c r="K354" s="56">
        <f t="shared" si="59"/>
        <v>44144</v>
      </c>
      <c r="L354" s="56">
        <f t="shared" si="60"/>
        <v>44150</v>
      </c>
      <c r="M354" s="59" t="str">
        <f t="shared" si="61"/>
        <v>09/11/20 @ 
15/11/20</v>
      </c>
    </row>
    <row r="355" spans="2:13" ht="24" x14ac:dyDescent="0.25">
      <c r="B355" s="55">
        <f t="shared" si="64"/>
        <v>353</v>
      </c>
      <c r="C355" s="56">
        <f t="shared" si="64"/>
        <v>44147</v>
      </c>
      <c r="D355" s="57">
        <f t="shared" si="58"/>
        <v>44147</v>
      </c>
      <c r="E355" s="58">
        <f t="shared" si="65"/>
        <v>51</v>
      </c>
      <c r="F355" s="58">
        <f t="shared" si="65"/>
        <v>46</v>
      </c>
      <c r="G355" s="8">
        <v>202011</v>
      </c>
      <c r="H355" s="8" t="s">
        <v>7012</v>
      </c>
      <c r="I355" s="8">
        <v>202011</v>
      </c>
      <c r="J355" s="8" t="s">
        <v>7012</v>
      </c>
      <c r="K355" s="56">
        <f t="shared" si="59"/>
        <v>44144</v>
      </c>
      <c r="L355" s="56">
        <f t="shared" si="60"/>
        <v>44150</v>
      </c>
      <c r="M355" s="59" t="str">
        <f t="shared" si="61"/>
        <v>09/11/20 @ 
15/11/20</v>
      </c>
    </row>
    <row r="356" spans="2:13" ht="24" x14ac:dyDescent="0.25">
      <c r="B356" s="55">
        <f t="shared" si="64"/>
        <v>354</v>
      </c>
      <c r="C356" s="56">
        <f t="shared" si="64"/>
        <v>44148</v>
      </c>
      <c r="D356" s="57">
        <f t="shared" si="58"/>
        <v>44148</v>
      </c>
      <c r="E356" s="58">
        <f t="shared" si="65"/>
        <v>51</v>
      </c>
      <c r="F356" s="58">
        <f t="shared" si="65"/>
        <v>46</v>
      </c>
      <c r="G356" s="8">
        <v>202011</v>
      </c>
      <c r="H356" s="8" t="s">
        <v>7012</v>
      </c>
      <c r="I356" s="8">
        <v>202011</v>
      </c>
      <c r="J356" s="8" t="s">
        <v>7012</v>
      </c>
      <c r="K356" s="56">
        <f t="shared" si="59"/>
        <v>44144</v>
      </c>
      <c r="L356" s="56">
        <f t="shared" si="60"/>
        <v>44150</v>
      </c>
      <c r="M356" s="59" t="str">
        <f t="shared" si="61"/>
        <v>09/11/20 @ 
15/11/20</v>
      </c>
    </row>
    <row r="357" spans="2:13" ht="24" x14ac:dyDescent="0.25">
      <c r="B357" s="55">
        <f t="shared" ref="B357:C372" si="66">+B356+1</f>
        <v>355</v>
      </c>
      <c r="C357" s="56">
        <f t="shared" si="66"/>
        <v>44149</v>
      </c>
      <c r="D357" s="57">
        <f t="shared" si="58"/>
        <v>44149</v>
      </c>
      <c r="E357" s="58">
        <f t="shared" si="65"/>
        <v>51</v>
      </c>
      <c r="F357" s="58">
        <f t="shared" si="65"/>
        <v>46</v>
      </c>
      <c r="G357" s="8">
        <v>202011</v>
      </c>
      <c r="H357" s="8" t="s">
        <v>7012</v>
      </c>
      <c r="I357" s="8">
        <v>202011</v>
      </c>
      <c r="J357" s="8" t="s">
        <v>7012</v>
      </c>
      <c r="K357" s="56">
        <f t="shared" si="59"/>
        <v>44144</v>
      </c>
      <c r="L357" s="56">
        <f t="shared" si="60"/>
        <v>44150</v>
      </c>
      <c r="M357" s="59" t="str">
        <f t="shared" si="61"/>
        <v>09/11/20 @ 
15/11/20</v>
      </c>
    </row>
    <row r="358" spans="2:13" ht="24" x14ac:dyDescent="0.25">
      <c r="B358" s="55">
        <f t="shared" si="66"/>
        <v>356</v>
      </c>
      <c r="C358" s="56">
        <f t="shared" si="66"/>
        <v>44150</v>
      </c>
      <c r="D358" s="57">
        <f t="shared" si="58"/>
        <v>44150</v>
      </c>
      <c r="E358" s="58">
        <f t="shared" si="65"/>
        <v>51</v>
      </c>
      <c r="F358" s="58">
        <f t="shared" si="65"/>
        <v>46</v>
      </c>
      <c r="G358" s="8">
        <v>202011</v>
      </c>
      <c r="H358" s="8" t="s">
        <v>7012</v>
      </c>
      <c r="I358" s="8">
        <v>202011</v>
      </c>
      <c r="J358" s="8" t="s">
        <v>7012</v>
      </c>
      <c r="K358" s="56">
        <f t="shared" si="59"/>
        <v>44144</v>
      </c>
      <c r="L358" s="56">
        <f t="shared" si="60"/>
        <v>44150</v>
      </c>
      <c r="M358" s="59" t="str">
        <f t="shared" si="61"/>
        <v>09/11/20 @ 
15/11/20</v>
      </c>
    </row>
    <row r="359" spans="2:13" ht="24" x14ac:dyDescent="0.25">
      <c r="B359" s="55">
        <f t="shared" si="66"/>
        <v>357</v>
      </c>
      <c r="C359" s="56">
        <f t="shared" si="66"/>
        <v>44151</v>
      </c>
      <c r="D359" s="57">
        <f t="shared" si="58"/>
        <v>44151</v>
      </c>
      <c r="E359" s="58">
        <f t="shared" si="65"/>
        <v>52</v>
      </c>
      <c r="F359" s="58">
        <f t="shared" si="65"/>
        <v>47</v>
      </c>
      <c r="G359" s="8">
        <v>202011</v>
      </c>
      <c r="H359" s="8" t="s">
        <v>7012</v>
      </c>
      <c r="I359" s="8">
        <v>202011</v>
      </c>
      <c r="J359" s="8" t="s">
        <v>7012</v>
      </c>
      <c r="K359" s="56">
        <f t="shared" si="59"/>
        <v>44151</v>
      </c>
      <c r="L359" s="56">
        <f t="shared" si="60"/>
        <v>44157</v>
      </c>
      <c r="M359" s="59" t="str">
        <f t="shared" si="61"/>
        <v>16/11/20 @ 
22/11/20</v>
      </c>
    </row>
    <row r="360" spans="2:13" ht="24" x14ac:dyDescent="0.25">
      <c r="B360" s="55">
        <f t="shared" si="66"/>
        <v>358</v>
      </c>
      <c r="C360" s="56">
        <f t="shared" si="66"/>
        <v>44152</v>
      </c>
      <c r="D360" s="57">
        <f t="shared" si="58"/>
        <v>44152</v>
      </c>
      <c r="E360" s="58">
        <f t="shared" si="65"/>
        <v>52</v>
      </c>
      <c r="F360" s="58">
        <f t="shared" si="65"/>
        <v>47</v>
      </c>
      <c r="G360" s="8">
        <v>202011</v>
      </c>
      <c r="H360" s="8" t="s">
        <v>7012</v>
      </c>
      <c r="I360" s="8">
        <v>202011</v>
      </c>
      <c r="J360" s="8" t="s">
        <v>7012</v>
      </c>
      <c r="K360" s="56">
        <f t="shared" si="59"/>
        <v>44151</v>
      </c>
      <c r="L360" s="56">
        <f t="shared" si="60"/>
        <v>44157</v>
      </c>
      <c r="M360" s="59" t="str">
        <f t="shared" si="61"/>
        <v>16/11/20 @ 
22/11/20</v>
      </c>
    </row>
    <row r="361" spans="2:13" ht="24" x14ac:dyDescent="0.25">
      <c r="B361" s="55">
        <f t="shared" si="66"/>
        <v>359</v>
      </c>
      <c r="C361" s="56">
        <f t="shared" si="66"/>
        <v>44153</v>
      </c>
      <c r="D361" s="57">
        <f t="shared" si="58"/>
        <v>44153</v>
      </c>
      <c r="E361" s="58">
        <f t="shared" si="65"/>
        <v>52</v>
      </c>
      <c r="F361" s="58">
        <f t="shared" si="65"/>
        <v>47</v>
      </c>
      <c r="G361" s="8">
        <v>202011</v>
      </c>
      <c r="H361" s="8" t="s">
        <v>7012</v>
      </c>
      <c r="I361" s="8">
        <v>202011</v>
      </c>
      <c r="J361" s="8" t="s">
        <v>7012</v>
      </c>
      <c r="K361" s="56">
        <f t="shared" si="59"/>
        <v>44151</v>
      </c>
      <c r="L361" s="56">
        <f t="shared" si="60"/>
        <v>44157</v>
      </c>
      <c r="M361" s="59" t="str">
        <f t="shared" si="61"/>
        <v>16/11/20 @ 
22/11/20</v>
      </c>
    </row>
    <row r="362" spans="2:13" ht="24" x14ac:dyDescent="0.25">
      <c r="B362" s="55">
        <f t="shared" si="66"/>
        <v>360</v>
      </c>
      <c r="C362" s="56">
        <f t="shared" si="66"/>
        <v>44154</v>
      </c>
      <c r="D362" s="57">
        <f t="shared" si="58"/>
        <v>44154</v>
      </c>
      <c r="E362" s="58">
        <f t="shared" ref="E362:F377" si="67">+E355+1</f>
        <v>52</v>
      </c>
      <c r="F362" s="58">
        <f t="shared" si="67"/>
        <v>47</v>
      </c>
      <c r="G362" s="8">
        <v>202011</v>
      </c>
      <c r="H362" s="8" t="s">
        <v>7012</v>
      </c>
      <c r="I362" s="8">
        <v>202011</v>
      </c>
      <c r="J362" s="8" t="s">
        <v>7012</v>
      </c>
      <c r="K362" s="56">
        <f t="shared" si="59"/>
        <v>44151</v>
      </c>
      <c r="L362" s="56">
        <f t="shared" si="60"/>
        <v>44157</v>
      </c>
      <c r="M362" s="59" t="str">
        <f t="shared" si="61"/>
        <v>16/11/20 @ 
22/11/20</v>
      </c>
    </row>
    <row r="363" spans="2:13" ht="24" x14ac:dyDescent="0.25">
      <c r="B363" s="55">
        <f t="shared" si="66"/>
        <v>361</v>
      </c>
      <c r="C363" s="56">
        <f t="shared" si="66"/>
        <v>44155</v>
      </c>
      <c r="D363" s="57">
        <f t="shared" si="58"/>
        <v>44155</v>
      </c>
      <c r="E363" s="58">
        <f t="shared" si="67"/>
        <v>52</v>
      </c>
      <c r="F363" s="58">
        <f t="shared" si="67"/>
        <v>47</v>
      </c>
      <c r="G363" s="8">
        <v>202011</v>
      </c>
      <c r="H363" s="8" t="s">
        <v>7012</v>
      </c>
      <c r="I363" s="8">
        <v>202011</v>
      </c>
      <c r="J363" s="8" t="s">
        <v>7012</v>
      </c>
      <c r="K363" s="56">
        <f t="shared" si="59"/>
        <v>44151</v>
      </c>
      <c r="L363" s="56">
        <f t="shared" si="60"/>
        <v>44157</v>
      </c>
      <c r="M363" s="59" t="str">
        <f t="shared" si="61"/>
        <v>16/11/20 @ 
22/11/20</v>
      </c>
    </row>
    <row r="364" spans="2:13" ht="24" x14ac:dyDescent="0.25">
      <c r="B364" s="55">
        <f t="shared" si="66"/>
        <v>362</v>
      </c>
      <c r="C364" s="56">
        <f t="shared" si="66"/>
        <v>44156</v>
      </c>
      <c r="D364" s="57">
        <f t="shared" si="58"/>
        <v>44156</v>
      </c>
      <c r="E364" s="58">
        <f t="shared" si="67"/>
        <v>52</v>
      </c>
      <c r="F364" s="58">
        <f t="shared" si="67"/>
        <v>47</v>
      </c>
      <c r="G364" s="8">
        <v>202011</v>
      </c>
      <c r="H364" s="8" t="s">
        <v>7012</v>
      </c>
      <c r="I364" s="8">
        <v>202012</v>
      </c>
      <c r="J364" s="8" t="s">
        <v>7013</v>
      </c>
      <c r="K364" s="56">
        <f t="shared" si="59"/>
        <v>44151</v>
      </c>
      <c r="L364" s="56">
        <f t="shared" si="60"/>
        <v>44157</v>
      </c>
      <c r="M364" s="59" t="str">
        <f t="shared" si="61"/>
        <v>16/11/20 @ 
22/11/20</v>
      </c>
    </row>
    <row r="365" spans="2:13" ht="24" x14ac:dyDescent="0.25">
      <c r="B365" s="55">
        <f t="shared" si="66"/>
        <v>363</v>
      </c>
      <c r="C365" s="56">
        <f t="shared" si="66"/>
        <v>44157</v>
      </c>
      <c r="D365" s="57">
        <f t="shared" si="58"/>
        <v>44157</v>
      </c>
      <c r="E365" s="58">
        <f t="shared" si="67"/>
        <v>52</v>
      </c>
      <c r="F365" s="58">
        <f t="shared" si="67"/>
        <v>47</v>
      </c>
      <c r="G365" s="8">
        <v>202011</v>
      </c>
      <c r="H365" s="8" t="s">
        <v>7012</v>
      </c>
      <c r="I365" s="8">
        <v>202012</v>
      </c>
      <c r="J365" s="8" t="s">
        <v>7013</v>
      </c>
      <c r="K365" s="56">
        <f t="shared" si="59"/>
        <v>44151</v>
      </c>
      <c r="L365" s="56">
        <f t="shared" si="60"/>
        <v>44157</v>
      </c>
      <c r="M365" s="59" t="str">
        <f t="shared" si="61"/>
        <v>16/11/20 @ 
22/11/20</v>
      </c>
    </row>
    <row r="366" spans="2:13" ht="24" x14ac:dyDescent="0.25">
      <c r="B366" s="55">
        <f t="shared" si="66"/>
        <v>364</v>
      </c>
      <c r="C366" s="56">
        <f t="shared" si="66"/>
        <v>44158</v>
      </c>
      <c r="D366" s="57">
        <f t="shared" si="58"/>
        <v>44158</v>
      </c>
      <c r="E366" s="58">
        <f t="shared" si="67"/>
        <v>53</v>
      </c>
      <c r="F366" s="58">
        <f t="shared" si="67"/>
        <v>48</v>
      </c>
      <c r="G366" s="8">
        <v>202011</v>
      </c>
      <c r="H366" s="8" t="s">
        <v>7012</v>
      </c>
      <c r="I366" s="8">
        <v>202012</v>
      </c>
      <c r="J366" s="8" t="s">
        <v>7013</v>
      </c>
      <c r="K366" s="56">
        <f t="shared" si="59"/>
        <v>44158</v>
      </c>
      <c r="L366" s="56">
        <f t="shared" si="60"/>
        <v>44164</v>
      </c>
      <c r="M366" s="59" t="str">
        <f t="shared" si="61"/>
        <v>23/11/20 @ 
29/11/20</v>
      </c>
    </row>
    <row r="367" spans="2:13" ht="24" x14ac:dyDescent="0.25">
      <c r="B367" s="55">
        <f t="shared" si="66"/>
        <v>365</v>
      </c>
      <c r="C367" s="56">
        <f t="shared" si="66"/>
        <v>44159</v>
      </c>
      <c r="D367" s="57">
        <f t="shared" si="58"/>
        <v>44159</v>
      </c>
      <c r="E367" s="58">
        <f t="shared" si="67"/>
        <v>53</v>
      </c>
      <c r="F367" s="58">
        <f t="shared" si="67"/>
        <v>48</v>
      </c>
      <c r="G367" s="8">
        <v>202011</v>
      </c>
      <c r="H367" s="8" t="s">
        <v>7012</v>
      </c>
      <c r="I367" s="8">
        <v>202012</v>
      </c>
      <c r="J367" s="8" t="s">
        <v>7013</v>
      </c>
      <c r="K367" s="56">
        <f t="shared" si="59"/>
        <v>44158</v>
      </c>
      <c r="L367" s="56">
        <f t="shared" si="60"/>
        <v>44164</v>
      </c>
      <c r="M367" s="59" t="str">
        <f t="shared" si="61"/>
        <v>23/11/20 @ 
29/11/20</v>
      </c>
    </row>
    <row r="368" spans="2:13" ht="24" x14ac:dyDescent="0.25">
      <c r="B368" s="55">
        <f t="shared" si="66"/>
        <v>366</v>
      </c>
      <c r="C368" s="56">
        <f t="shared" si="66"/>
        <v>44160</v>
      </c>
      <c r="D368" s="57">
        <f t="shared" si="58"/>
        <v>44160</v>
      </c>
      <c r="E368" s="58">
        <f t="shared" si="67"/>
        <v>53</v>
      </c>
      <c r="F368" s="58">
        <f t="shared" si="67"/>
        <v>48</v>
      </c>
      <c r="G368" s="8">
        <v>202011</v>
      </c>
      <c r="H368" s="8" t="s">
        <v>7012</v>
      </c>
      <c r="I368" s="8">
        <v>202012</v>
      </c>
      <c r="J368" s="8" t="s">
        <v>7013</v>
      </c>
      <c r="K368" s="56">
        <f t="shared" si="59"/>
        <v>44158</v>
      </c>
      <c r="L368" s="56">
        <f t="shared" si="60"/>
        <v>44164</v>
      </c>
      <c r="M368" s="59" t="str">
        <f t="shared" si="61"/>
        <v>23/11/20 @ 
29/11/20</v>
      </c>
    </row>
    <row r="369" spans="2:13" ht="24" x14ac:dyDescent="0.25">
      <c r="B369" s="55">
        <f t="shared" si="66"/>
        <v>367</v>
      </c>
      <c r="C369" s="56">
        <f t="shared" si="66"/>
        <v>44161</v>
      </c>
      <c r="D369" s="57">
        <f t="shared" si="58"/>
        <v>44161</v>
      </c>
      <c r="E369" s="58">
        <f t="shared" si="67"/>
        <v>53</v>
      </c>
      <c r="F369" s="58">
        <f t="shared" si="67"/>
        <v>48</v>
      </c>
      <c r="G369" s="8">
        <v>202011</v>
      </c>
      <c r="H369" s="8" t="s">
        <v>7012</v>
      </c>
      <c r="I369" s="8">
        <v>202012</v>
      </c>
      <c r="J369" s="8" t="s">
        <v>7013</v>
      </c>
      <c r="K369" s="56">
        <f t="shared" si="59"/>
        <v>44158</v>
      </c>
      <c r="L369" s="56">
        <f t="shared" si="60"/>
        <v>44164</v>
      </c>
      <c r="M369" s="59" t="str">
        <f t="shared" si="61"/>
        <v>23/11/20 @ 
29/11/20</v>
      </c>
    </row>
    <row r="370" spans="2:13" ht="24" x14ac:dyDescent="0.25">
      <c r="B370" s="55">
        <f t="shared" si="66"/>
        <v>368</v>
      </c>
      <c r="C370" s="56">
        <f t="shared" si="66"/>
        <v>44162</v>
      </c>
      <c r="D370" s="57">
        <f t="shared" si="58"/>
        <v>44162</v>
      </c>
      <c r="E370" s="58">
        <f t="shared" si="67"/>
        <v>53</v>
      </c>
      <c r="F370" s="58">
        <f t="shared" si="67"/>
        <v>48</v>
      </c>
      <c r="G370" s="8">
        <v>202011</v>
      </c>
      <c r="H370" s="8" t="s">
        <v>7012</v>
      </c>
      <c r="I370" s="8">
        <v>202012</v>
      </c>
      <c r="J370" s="8" t="s">
        <v>7013</v>
      </c>
      <c r="K370" s="56">
        <f t="shared" si="59"/>
        <v>44158</v>
      </c>
      <c r="L370" s="56">
        <f t="shared" si="60"/>
        <v>44164</v>
      </c>
      <c r="M370" s="59" t="str">
        <f t="shared" si="61"/>
        <v>23/11/20 @ 
29/11/20</v>
      </c>
    </row>
    <row r="371" spans="2:13" ht="24" x14ac:dyDescent="0.25">
      <c r="B371" s="55">
        <f t="shared" si="66"/>
        <v>369</v>
      </c>
      <c r="C371" s="56">
        <f t="shared" si="66"/>
        <v>44163</v>
      </c>
      <c r="D371" s="57">
        <f t="shared" si="58"/>
        <v>44163</v>
      </c>
      <c r="E371" s="58">
        <f t="shared" si="67"/>
        <v>53</v>
      </c>
      <c r="F371" s="58">
        <f t="shared" si="67"/>
        <v>48</v>
      </c>
      <c r="G371" s="8">
        <v>202011</v>
      </c>
      <c r="H371" s="8" t="s">
        <v>7012</v>
      </c>
      <c r="I371" s="8">
        <v>202012</v>
      </c>
      <c r="J371" s="8" t="s">
        <v>7013</v>
      </c>
      <c r="K371" s="56">
        <f t="shared" si="59"/>
        <v>44158</v>
      </c>
      <c r="L371" s="56">
        <f t="shared" si="60"/>
        <v>44164</v>
      </c>
      <c r="M371" s="59" t="str">
        <f t="shared" si="61"/>
        <v>23/11/20 @ 
29/11/20</v>
      </c>
    </row>
    <row r="372" spans="2:13" ht="24" x14ac:dyDescent="0.25">
      <c r="B372" s="55">
        <f t="shared" si="66"/>
        <v>370</v>
      </c>
      <c r="C372" s="56">
        <f t="shared" si="66"/>
        <v>44164</v>
      </c>
      <c r="D372" s="57">
        <f t="shared" si="58"/>
        <v>44164</v>
      </c>
      <c r="E372" s="58">
        <f t="shared" si="67"/>
        <v>53</v>
      </c>
      <c r="F372" s="58">
        <f t="shared" si="67"/>
        <v>48</v>
      </c>
      <c r="G372" s="8">
        <v>202011</v>
      </c>
      <c r="H372" s="8" t="s">
        <v>7012</v>
      </c>
      <c r="I372" s="8">
        <v>202012</v>
      </c>
      <c r="J372" s="8" t="s">
        <v>7013</v>
      </c>
      <c r="K372" s="56">
        <f t="shared" si="59"/>
        <v>44158</v>
      </c>
      <c r="L372" s="56">
        <f t="shared" si="60"/>
        <v>44164</v>
      </c>
      <c r="M372" s="59" t="str">
        <f t="shared" si="61"/>
        <v>23/11/20 @ 
29/11/20</v>
      </c>
    </row>
    <row r="373" spans="2:13" ht="24" x14ac:dyDescent="0.25">
      <c r="B373" s="55">
        <f t="shared" ref="B373:C388" si="68">+B372+1</f>
        <v>371</v>
      </c>
      <c r="C373" s="56">
        <f t="shared" si="68"/>
        <v>44165</v>
      </c>
      <c r="D373" s="57">
        <f t="shared" si="58"/>
        <v>44165</v>
      </c>
      <c r="E373" s="58">
        <f t="shared" si="67"/>
        <v>54</v>
      </c>
      <c r="F373" s="58">
        <f t="shared" si="67"/>
        <v>49</v>
      </c>
      <c r="G373" s="8">
        <v>202012</v>
      </c>
      <c r="H373" s="8" t="s">
        <v>7013</v>
      </c>
      <c r="I373" s="8">
        <v>202012</v>
      </c>
      <c r="J373" s="8" t="s">
        <v>7013</v>
      </c>
      <c r="K373" s="56">
        <f t="shared" si="59"/>
        <v>44165</v>
      </c>
      <c r="L373" s="56">
        <f t="shared" si="60"/>
        <v>44171</v>
      </c>
      <c r="M373" s="59" t="str">
        <f t="shared" si="61"/>
        <v>30/11/20 @ 
06/12/20</v>
      </c>
    </row>
    <row r="374" spans="2:13" ht="24" x14ac:dyDescent="0.25">
      <c r="B374" s="55">
        <f t="shared" si="68"/>
        <v>372</v>
      </c>
      <c r="C374" s="56">
        <f t="shared" si="68"/>
        <v>44166</v>
      </c>
      <c r="D374" s="57">
        <f t="shared" si="58"/>
        <v>44166</v>
      </c>
      <c r="E374" s="58">
        <f t="shared" si="67"/>
        <v>54</v>
      </c>
      <c r="F374" s="58">
        <f t="shared" si="67"/>
        <v>49</v>
      </c>
      <c r="G374" s="8">
        <v>202012</v>
      </c>
      <c r="H374" s="8" t="s">
        <v>7013</v>
      </c>
      <c r="I374" s="8">
        <v>202012</v>
      </c>
      <c r="J374" s="8" t="s">
        <v>7013</v>
      </c>
      <c r="K374" s="56">
        <f t="shared" si="59"/>
        <v>44165</v>
      </c>
      <c r="L374" s="56">
        <f t="shared" si="60"/>
        <v>44171</v>
      </c>
      <c r="M374" s="59" t="str">
        <f t="shared" si="61"/>
        <v>30/11/20 @ 
06/12/20</v>
      </c>
    </row>
    <row r="375" spans="2:13" ht="24" x14ac:dyDescent="0.25">
      <c r="B375" s="55">
        <f t="shared" si="68"/>
        <v>373</v>
      </c>
      <c r="C375" s="56">
        <f t="shared" si="68"/>
        <v>44167</v>
      </c>
      <c r="D375" s="57">
        <f t="shared" si="58"/>
        <v>44167</v>
      </c>
      <c r="E375" s="58">
        <f t="shared" si="67"/>
        <v>54</v>
      </c>
      <c r="F375" s="58">
        <f t="shared" si="67"/>
        <v>49</v>
      </c>
      <c r="G375" s="8">
        <v>202012</v>
      </c>
      <c r="H375" s="8" t="s">
        <v>7013</v>
      </c>
      <c r="I375" s="8">
        <v>202012</v>
      </c>
      <c r="J375" s="8" t="s">
        <v>7013</v>
      </c>
      <c r="K375" s="56">
        <f t="shared" si="59"/>
        <v>44165</v>
      </c>
      <c r="L375" s="56">
        <f t="shared" si="60"/>
        <v>44171</v>
      </c>
      <c r="M375" s="59" t="str">
        <f t="shared" si="61"/>
        <v>30/11/20 @ 
06/12/20</v>
      </c>
    </row>
    <row r="376" spans="2:13" ht="24" x14ac:dyDescent="0.25">
      <c r="B376" s="55">
        <f t="shared" si="68"/>
        <v>374</v>
      </c>
      <c r="C376" s="56">
        <f t="shared" si="68"/>
        <v>44168</v>
      </c>
      <c r="D376" s="57">
        <f t="shared" si="58"/>
        <v>44168</v>
      </c>
      <c r="E376" s="58">
        <f t="shared" si="67"/>
        <v>54</v>
      </c>
      <c r="F376" s="58">
        <f t="shared" si="67"/>
        <v>49</v>
      </c>
      <c r="G376" s="8">
        <v>202012</v>
      </c>
      <c r="H376" s="8" t="s">
        <v>7013</v>
      </c>
      <c r="I376" s="8">
        <v>202012</v>
      </c>
      <c r="J376" s="8" t="s">
        <v>7013</v>
      </c>
      <c r="K376" s="56">
        <f t="shared" si="59"/>
        <v>44165</v>
      </c>
      <c r="L376" s="56">
        <f t="shared" si="60"/>
        <v>44171</v>
      </c>
      <c r="M376" s="59" t="str">
        <f t="shared" si="61"/>
        <v>30/11/20 @ 
06/12/20</v>
      </c>
    </row>
    <row r="377" spans="2:13" ht="24" x14ac:dyDescent="0.25">
      <c r="B377" s="55">
        <f t="shared" si="68"/>
        <v>375</v>
      </c>
      <c r="C377" s="56">
        <f t="shared" si="68"/>
        <v>44169</v>
      </c>
      <c r="D377" s="57">
        <f t="shared" si="58"/>
        <v>44169</v>
      </c>
      <c r="E377" s="58">
        <f t="shared" si="67"/>
        <v>54</v>
      </c>
      <c r="F377" s="58">
        <f t="shared" si="67"/>
        <v>49</v>
      </c>
      <c r="G377" s="8">
        <v>202012</v>
      </c>
      <c r="H377" s="8" t="s">
        <v>7013</v>
      </c>
      <c r="I377" s="8">
        <v>202012</v>
      </c>
      <c r="J377" s="8" t="s">
        <v>7013</v>
      </c>
      <c r="K377" s="56">
        <f t="shared" si="59"/>
        <v>44165</v>
      </c>
      <c r="L377" s="56">
        <f t="shared" si="60"/>
        <v>44171</v>
      </c>
      <c r="M377" s="59" t="str">
        <f t="shared" si="61"/>
        <v>30/11/20 @ 
06/12/20</v>
      </c>
    </row>
    <row r="378" spans="2:13" ht="24" x14ac:dyDescent="0.25">
      <c r="B378" s="55">
        <f t="shared" si="68"/>
        <v>376</v>
      </c>
      <c r="C378" s="56">
        <f t="shared" si="68"/>
        <v>44170</v>
      </c>
      <c r="D378" s="57">
        <f t="shared" si="58"/>
        <v>44170</v>
      </c>
      <c r="E378" s="58">
        <f t="shared" ref="E378:F393" si="69">+E371+1</f>
        <v>54</v>
      </c>
      <c r="F378" s="58">
        <f t="shared" si="69"/>
        <v>49</v>
      </c>
      <c r="G378" s="8">
        <v>202012</v>
      </c>
      <c r="H378" s="8" t="s">
        <v>7013</v>
      </c>
      <c r="I378" s="8">
        <v>202012</v>
      </c>
      <c r="J378" s="8" t="s">
        <v>7013</v>
      </c>
      <c r="K378" s="56">
        <f t="shared" si="59"/>
        <v>44165</v>
      </c>
      <c r="L378" s="56">
        <f t="shared" si="60"/>
        <v>44171</v>
      </c>
      <c r="M378" s="59" t="str">
        <f t="shared" si="61"/>
        <v>30/11/20 @ 
06/12/20</v>
      </c>
    </row>
    <row r="379" spans="2:13" ht="24" x14ac:dyDescent="0.25">
      <c r="B379" s="55">
        <f t="shared" si="68"/>
        <v>377</v>
      </c>
      <c r="C379" s="56">
        <f t="shared" si="68"/>
        <v>44171</v>
      </c>
      <c r="D379" s="57">
        <f t="shared" si="58"/>
        <v>44171</v>
      </c>
      <c r="E379" s="58">
        <f t="shared" si="69"/>
        <v>54</v>
      </c>
      <c r="F379" s="58">
        <f t="shared" si="69"/>
        <v>49</v>
      </c>
      <c r="G379" s="8">
        <v>202012</v>
      </c>
      <c r="H379" s="8" t="s">
        <v>7013</v>
      </c>
      <c r="I379" s="8">
        <v>202012</v>
      </c>
      <c r="J379" s="8" t="s">
        <v>7013</v>
      </c>
      <c r="K379" s="56">
        <f t="shared" si="59"/>
        <v>44165</v>
      </c>
      <c r="L379" s="56">
        <f t="shared" si="60"/>
        <v>44171</v>
      </c>
      <c r="M379" s="59" t="str">
        <f t="shared" si="61"/>
        <v>30/11/20 @ 
06/12/20</v>
      </c>
    </row>
    <row r="380" spans="2:13" ht="24" x14ac:dyDescent="0.25">
      <c r="B380" s="55">
        <f t="shared" si="68"/>
        <v>378</v>
      </c>
      <c r="C380" s="56">
        <f t="shared" si="68"/>
        <v>44172</v>
      </c>
      <c r="D380" s="57">
        <f t="shared" si="58"/>
        <v>44172</v>
      </c>
      <c r="E380" s="58">
        <f t="shared" si="69"/>
        <v>55</v>
      </c>
      <c r="F380" s="58">
        <f t="shared" si="69"/>
        <v>50</v>
      </c>
      <c r="G380" s="8">
        <v>202012</v>
      </c>
      <c r="H380" s="8" t="s">
        <v>7013</v>
      </c>
      <c r="I380" s="8">
        <v>202012</v>
      </c>
      <c r="J380" s="8" t="s">
        <v>7013</v>
      </c>
      <c r="K380" s="56">
        <f t="shared" si="59"/>
        <v>44172</v>
      </c>
      <c r="L380" s="56">
        <f t="shared" si="60"/>
        <v>44178</v>
      </c>
      <c r="M380" s="59" t="str">
        <f t="shared" si="61"/>
        <v>07/12/20 @ 
13/12/20</v>
      </c>
    </row>
    <row r="381" spans="2:13" ht="24" x14ac:dyDescent="0.25">
      <c r="B381" s="55">
        <f t="shared" si="68"/>
        <v>379</v>
      </c>
      <c r="C381" s="56">
        <f t="shared" si="68"/>
        <v>44173</v>
      </c>
      <c r="D381" s="57">
        <f t="shared" si="58"/>
        <v>44173</v>
      </c>
      <c r="E381" s="58">
        <f t="shared" si="69"/>
        <v>55</v>
      </c>
      <c r="F381" s="58">
        <f t="shared" si="69"/>
        <v>50</v>
      </c>
      <c r="G381" s="8">
        <v>202012</v>
      </c>
      <c r="H381" s="8" t="s">
        <v>7013</v>
      </c>
      <c r="I381" s="8">
        <v>202012</v>
      </c>
      <c r="J381" s="8" t="s">
        <v>7013</v>
      </c>
      <c r="K381" s="56">
        <f t="shared" si="59"/>
        <v>44172</v>
      </c>
      <c r="L381" s="56">
        <f t="shared" si="60"/>
        <v>44178</v>
      </c>
      <c r="M381" s="59" t="str">
        <f t="shared" si="61"/>
        <v>07/12/20 @ 
13/12/20</v>
      </c>
    </row>
    <row r="382" spans="2:13" ht="24" x14ac:dyDescent="0.25">
      <c r="B382" s="55">
        <f t="shared" si="68"/>
        <v>380</v>
      </c>
      <c r="C382" s="56">
        <f t="shared" si="68"/>
        <v>44174</v>
      </c>
      <c r="D382" s="57">
        <f t="shared" si="58"/>
        <v>44174</v>
      </c>
      <c r="E382" s="58">
        <f t="shared" si="69"/>
        <v>55</v>
      </c>
      <c r="F382" s="58">
        <f t="shared" si="69"/>
        <v>50</v>
      </c>
      <c r="G382" s="8">
        <v>202012</v>
      </c>
      <c r="H382" s="8" t="s">
        <v>7013</v>
      </c>
      <c r="I382" s="8">
        <v>202012</v>
      </c>
      <c r="J382" s="8" t="s">
        <v>7013</v>
      </c>
      <c r="K382" s="56">
        <f t="shared" si="59"/>
        <v>44172</v>
      </c>
      <c r="L382" s="56">
        <f t="shared" si="60"/>
        <v>44178</v>
      </c>
      <c r="M382" s="59" t="str">
        <f t="shared" si="61"/>
        <v>07/12/20 @ 
13/12/20</v>
      </c>
    </row>
    <row r="383" spans="2:13" ht="24" x14ac:dyDescent="0.25">
      <c r="B383" s="55">
        <f t="shared" si="68"/>
        <v>381</v>
      </c>
      <c r="C383" s="56">
        <f t="shared" si="68"/>
        <v>44175</v>
      </c>
      <c r="D383" s="57">
        <f t="shared" si="58"/>
        <v>44175</v>
      </c>
      <c r="E383" s="58">
        <f t="shared" si="69"/>
        <v>55</v>
      </c>
      <c r="F383" s="58">
        <f t="shared" si="69"/>
        <v>50</v>
      </c>
      <c r="G383" s="8">
        <v>202012</v>
      </c>
      <c r="H383" s="8" t="s">
        <v>7013</v>
      </c>
      <c r="I383" s="8">
        <v>202012</v>
      </c>
      <c r="J383" s="8" t="s">
        <v>7013</v>
      </c>
      <c r="K383" s="56">
        <f t="shared" si="59"/>
        <v>44172</v>
      </c>
      <c r="L383" s="56">
        <f t="shared" si="60"/>
        <v>44178</v>
      </c>
      <c r="M383" s="59" t="str">
        <f t="shared" si="61"/>
        <v>07/12/20 @ 
13/12/20</v>
      </c>
    </row>
    <row r="384" spans="2:13" ht="24" x14ac:dyDescent="0.25">
      <c r="B384" s="55">
        <f t="shared" si="68"/>
        <v>382</v>
      </c>
      <c r="C384" s="56">
        <f t="shared" si="68"/>
        <v>44176</v>
      </c>
      <c r="D384" s="57">
        <f t="shared" si="58"/>
        <v>44176</v>
      </c>
      <c r="E384" s="58">
        <f t="shared" si="69"/>
        <v>55</v>
      </c>
      <c r="F384" s="58">
        <f t="shared" si="69"/>
        <v>50</v>
      </c>
      <c r="G384" s="8">
        <v>202012</v>
      </c>
      <c r="H384" s="8" t="s">
        <v>7013</v>
      </c>
      <c r="I384" s="8">
        <v>202012</v>
      </c>
      <c r="J384" s="8" t="s">
        <v>7013</v>
      </c>
      <c r="K384" s="56">
        <f t="shared" si="59"/>
        <v>44172</v>
      </c>
      <c r="L384" s="56">
        <f t="shared" si="60"/>
        <v>44178</v>
      </c>
      <c r="M384" s="59" t="str">
        <f t="shared" si="61"/>
        <v>07/12/20 @ 
13/12/20</v>
      </c>
    </row>
    <row r="385" spans="2:13" ht="24" x14ac:dyDescent="0.25">
      <c r="B385" s="55">
        <f t="shared" si="68"/>
        <v>383</v>
      </c>
      <c r="C385" s="56">
        <f t="shared" si="68"/>
        <v>44177</v>
      </c>
      <c r="D385" s="57">
        <f t="shared" si="58"/>
        <v>44177</v>
      </c>
      <c r="E385" s="58">
        <f t="shared" si="69"/>
        <v>55</v>
      </c>
      <c r="F385" s="58">
        <f t="shared" si="69"/>
        <v>50</v>
      </c>
      <c r="G385" s="8">
        <v>202012</v>
      </c>
      <c r="H385" s="8" t="s">
        <v>7013</v>
      </c>
      <c r="I385" s="8">
        <v>202012</v>
      </c>
      <c r="J385" s="8" t="s">
        <v>7013</v>
      </c>
      <c r="K385" s="56">
        <f t="shared" si="59"/>
        <v>44172</v>
      </c>
      <c r="L385" s="56">
        <f t="shared" si="60"/>
        <v>44178</v>
      </c>
      <c r="M385" s="59" t="str">
        <f t="shared" si="61"/>
        <v>07/12/20 @ 
13/12/20</v>
      </c>
    </row>
    <row r="386" spans="2:13" ht="24" x14ac:dyDescent="0.25">
      <c r="B386" s="55">
        <f t="shared" si="68"/>
        <v>384</v>
      </c>
      <c r="C386" s="56">
        <f t="shared" si="68"/>
        <v>44178</v>
      </c>
      <c r="D386" s="57">
        <f t="shared" si="58"/>
        <v>44178</v>
      </c>
      <c r="E386" s="58">
        <f t="shared" si="69"/>
        <v>55</v>
      </c>
      <c r="F386" s="58">
        <f t="shared" si="69"/>
        <v>50</v>
      </c>
      <c r="G386" s="8">
        <v>202012</v>
      </c>
      <c r="H386" s="8" t="s">
        <v>7013</v>
      </c>
      <c r="I386" s="8">
        <v>202012</v>
      </c>
      <c r="J386" s="8" t="s">
        <v>7013</v>
      </c>
      <c r="K386" s="56">
        <f t="shared" si="59"/>
        <v>44172</v>
      </c>
      <c r="L386" s="56">
        <f t="shared" si="60"/>
        <v>44178</v>
      </c>
      <c r="M386" s="59" t="str">
        <f t="shared" si="61"/>
        <v>07/12/20 @ 
13/12/20</v>
      </c>
    </row>
    <row r="387" spans="2:13" ht="24" x14ac:dyDescent="0.25">
      <c r="B387" s="55">
        <f t="shared" si="68"/>
        <v>385</v>
      </c>
      <c r="C387" s="56">
        <f t="shared" si="68"/>
        <v>44179</v>
      </c>
      <c r="D387" s="57">
        <f t="shared" ref="D387:D450" si="70">+C387</f>
        <v>44179</v>
      </c>
      <c r="E387" s="58">
        <f t="shared" si="69"/>
        <v>56</v>
      </c>
      <c r="F387" s="58">
        <f t="shared" si="69"/>
        <v>51</v>
      </c>
      <c r="G387" s="8">
        <v>202012</v>
      </c>
      <c r="H387" s="8" t="s">
        <v>7013</v>
      </c>
      <c r="I387" s="8">
        <v>202012</v>
      </c>
      <c r="J387" s="8" t="s">
        <v>7013</v>
      </c>
      <c r="K387" s="56">
        <f t="shared" ref="K387:K450" si="71">_xlfn.MINIFS($C$2:$C$890,$E$2:$E$890,E387)</f>
        <v>44179</v>
      </c>
      <c r="L387" s="56">
        <f t="shared" ref="L387:L450" si="72">_xlfn.MAXIFS($C$2:$C$890,$E$2:$E$890,E387)</f>
        <v>44185</v>
      </c>
      <c r="M387" s="59" t="str">
        <f t="shared" ref="M387:M450" si="73">CONCATENATE(TEXT(K387,"DD/MM/YY")," @ ",CHAR(10),TEXT(L387,"DD/MM/YY"))</f>
        <v>14/12/20 @ 
20/12/20</v>
      </c>
    </row>
    <row r="388" spans="2:13" ht="24" x14ac:dyDescent="0.25">
      <c r="B388" s="55">
        <f t="shared" si="68"/>
        <v>386</v>
      </c>
      <c r="C388" s="56">
        <f t="shared" si="68"/>
        <v>44180</v>
      </c>
      <c r="D388" s="57">
        <f t="shared" si="70"/>
        <v>44180</v>
      </c>
      <c r="E388" s="58">
        <f t="shared" si="69"/>
        <v>56</v>
      </c>
      <c r="F388" s="58">
        <f t="shared" si="69"/>
        <v>51</v>
      </c>
      <c r="G388" s="8">
        <v>202012</v>
      </c>
      <c r="H388" s="8" t="s">
        <v>7013</v>
      </c>
      <c r="I388" s="8">
        <v>202012</v>
      </c>
      <c r="J388" s="8" t="s">
        <v>7013</v>
      </c>
      <c r="K388" s="56">
        <f t="shared" si="71"/>
        <v>44179</v>
      </c>
      <c r="L388" s="56">
        <f t="shared" si="72"/>
        <v>44185</v>
      </c>
      <c r="M388" s="59" t="str">
        <f t="shared" si="73"/>
        <v>14/12/20 @ 
20/12/20</v>
      </c>
    </row>
    <row r="389" spans="2:13" ht="24" x14ac:dyDescent="0.25">
      <c r="B389" s="55">
        <f t="shared" ref="B389:C404" si="74">+B388+1</f>
        <v>387</v>
      </c>
      <c r="C389" s="56">
        <f t="shared" si="74"/>
        <v>44181</v>
      </c>
      <c r="D389" s="57">
        <f t="shared" si="70"/>
        <v>44181</v>
      </c>
      <c r="E389" s="58">
        <f t="shared" si="69"/>
        <v>56</v>
      </c>
      <c r="F389" s="58">
        <f t="shared" si="69"/>
        <v>51</v>
      </c>
      <c r="G389" s="8">
        <v>202012</v>
      </c>
      <c r="H389" s="8" t="s">
        <v>7013</v>
      </c>
      <c r="I389" s="8">
        <v>202012</v>
      </c>
      <c r="J389" s="8" t="s">
        <v>7013</v>
      </c>
      <c r="K389" s="56">
        <f t="shared" si="71"/>
        <v>44179</v>
      </c>
      <c r="L389" s="56">
        <f t="shared" si="72"/>
        <v>44185</v>
      </c>
      <c r="M389" s="59" t="str">
        <f t="shared" si="73"/>
        <v>14/12/20 @ 
20/12/20</v>
      </c>
    </row>
    <row r="390" spans="2:13" ht="24" x14ac:dyDescent="0.25">
      <c r="B390" s="55">
        <f t="shared" si="74"/>
        <v>388</v>
      </c>
      <c r="C390" s="56">
        <f t="shared" si="74"/>
        <v>44182</v>
      </c>
      <c r="D390" s="57">
        <f t="shared" si="70"/>
        <v>44182</v>
      </c>
      <c r="E390" s="58">
        <f t="shared" si="69"/>
        <v>56</v>
      </c>
      <c r="F390" s="58">
        <f t="shared" si="69"/>
        <v>51</v>
      </c>
      <c r="G390" s="8">
        <v>202012</v>
      </c>
      <c r="H390" s="8" t="s">
        <v>7013</v>
      </c>
      <c r="I390" s="8">
        <v>202012</v>
      </c>
      <c r="J390" s="8" t="s">
        <v>7013</v>
      </c>
      <c r="K390" s="56">
        <f t="shared" si="71"/>
        <v>44179</v>
      </c>
      <c r="L390" s="56">
        <f t="shared" si="72"/>
        <v>44185</v>
      </c>
      <c r="M390" s="59" t="str">
        <f t="shared" si="73"/>
        <v>14/12/20 @ 
20/12/20</v>
      </c>
    </row>
    <row r="391" spans="2:13" ht="24" x14ac:dyDescent="0.25">
      <c r="B391" s="55">
        <f t="shared" si="74"/>
        <v>389</v>
      </c>
      <c r="C391" s="56">
        <f t="shared" si="74"/>
        <v>44183</v>
      </c>
      <c r="D391" s="57">
        <f t="shared" si="70"/>
        <v>44183</v>
      </c>
      <c r="E391" s="58">
        <f t="shared" si="69"/>
        <v>56</v>
      </c>
      <c r="F391" s="58">
        <f t="shared" si="69"/>
        <v>51</v>
      </c>
      <c r="G391" s="8">
        <v>202012</v>
      </c>
      <c r="H391" s="8" t="s">
        <v>7013</v>
      </c>
      <c r="I391" s="8">
        <v>202012</v>
      </c>
      <c r="J391" s="8" t="s">
        <v>7013</v>
      </c>
      <c r="K391" s="56">
        <f t="shared" si="71"/>
        <v>44179</v>
      </c>
      <c r="L391" s="56">
        <f t="shared" si="72"/>
        <v>44185</v>
      </c>
      <c r="M391" s="59" t="str">
        <f t="shared" si="73"/>
        <v>14/12/20 @ 
20/12/20</v>
      </c>
    </row>
    <row r="392" spans="2:13" ht="24" x14ac:dyDescent="0.25">
      <c r="B392" s="55">
        <f t="shared" si="74"/>
        <v>390</v>
      </c>
      <c r="C392" s="56">
        <f t="shared" si="74"/>
        <v>44184</v>
      </c>
      <c r="D392" s="57">
        <f t="shared" si="70"/>
        <v>44184</v>
      </c>
      <c r="E392" s="58">
        <f t="shared" si="69"/>
        <v>56</v>
      </c>
      <c r="F392" s="58">
        <f t="shared" si="69"/>
        <v>51</v>
      </c>
      <c r="G392" s="8">
        <v>202012</v>
      </c>
      <c r="H392" s="8" t="s">
        <v>7013</v>
      </c>
      <c r="I392" s="8">
        <v>202012</v>
      </c>
      <c r="J392" s="8" t="s">
        <v>7013</v>
      </c>
      <c r="K392" s="56">
        <f t="shared" si="71"/>
        <v>44179</v>
      </c>
      <c r="L392" s="56">
        <f t="shared" si="72"/>
        <v>44185</v>
      </c>
      <c r="M392" s="59" t="str">
        <f t="shared" si="73"/>
        <v>14/12/20 @ 
20/12/20</v>
      </c>
    </row>
    <row r="393" spans="2:13" ht="24" x14ac:dyDescent="0.25">
      <c r="B393" s="55">
        <f t="shared" si="74"/>
        <v>391</v>
      </c>
      <c r="C393" s="56">
        <f t="shared" si="74"/>
        <v>44185</v>
      </c>
      <c r="D393" s="57">
        <f t="shared" si="70"/>
        <v>44185</v>
      </c>
      <c r="E393" s="58">
        <f t="shared" si="69"/>
        <v>56</v>
      </c>
      <c r="F393" s="58">
        <f t="shared" si="69"/>
        <v>51</v>
      </c>
      <c r="G393" s="8">
        <v>202012</v>
      </c>
      <c r="H393" s="8" t="s">
        <v>7013</v>
      </c>
      <c r="I393" s="8">
        <v>202012</v>
      </c>
      <c r="J393" s="8" t="s">
        <v>7013</v>
      </c>
      <c r="K393" s="56">
        <f t="shared" si="71"/>
        <v>44179</v>
      </c>
      <c r="L393" s="56">
        <f t="shared" si="72"/>
        <v>44185</v>
      </c>
      <c r="M393" s="59" t="str">
        <f t="shared" si="73"/>
        <v>14/12/20 @ 
20/12/20</v>
      </c>
    </row>
    <row r="394" spans="2:13" ht="24" x14ac:dyDescent="0.25">
      <c r="B394" s="55">
        <f t="shared" si="74"/>
        <v>392</v>
      </c>
      <c r="C394" s="56">
        <f t="shared" si="74"/>
        <v>44186</v>
      </c>
      <c r="D394" s="57">
        <f t="shared" si="70"/>
        <v>44186</v>
      </c>
      <c r="E394" s="58">
        <f t="shared" ref="E394:F409" si="75">+E387+1</f>
        <v>57</v>
      </c>
      <c r="F394" s="58">
        <f t="shared" si="75"/>
        <v>52</v>
      </c>
      <c r="G394" s="8">
        <v>202012</v>
      </c>
      <c r="H394" s="8" t="s">
        <v>7013</v>
      </c>
      <c r="I394" s="8">
        <v>202101</v>
      </c>
      <c r="J394" s="8" t="s">
        <v>7014</v>
      </c>
      <c r="K394" s="56">
        <f t="shared" si="71"/>
        <v>44186</v>
      </c>
      <c r="L394" s="56">
        <f t="shared" si="72"/>
        <v>44192</v>
      </c>
      <c r="M394" s="59" t="str">
        <f t="shared" si="73"/>
        <v>21/12/20 @ 
27/12/20</v>
      </c>
    </row>
    <row r="395" spans="2:13" ht="24" x14ac:dyDescent="0.25">
      <c r="B395" s="55">
        <f t="shared" si="74"/>
        <v>393</v>
      </c>
      <c r="C395" s="56">
        <f t="shared" si="74"/>
        <v>44187</v>
      </c>
      <c r="D395" s="57">
        <f t="shared" si="70"/>
        <v>44187</v>
      </c>
      <c r="E395" s="58">
        <f t="shared" si="75"/>
        <v>57</v>
      </c>
      <c r="F395" s="58">
        <f t="shared" si="75"/>
        <v>52</v>
      </c>
      <c r="G395" s="8">
        <v>202012</v>
      </c>
      <c r="H395" s="8" t="s">
        <v>7013</v>
      </c>
      <c r="I395" s="8">
        <v>202101</v>
      </c>
      <c r="J395" s="8" t="s">
        <v>7014</v>
      </c>
      <c r="K395" s="56">
        <f t="shared" si="71"/>
        <v>44186</v>
      </c>
      <c r="L395" s="56">
        <f t="shared" si="72"/>
        <v>44192</v>
      </c>
      <c r="M395" s="59" t="str">
        <f t="shared" si="73"/>
        <v>21/12/20 @ 
27/12/20</v>
      </c>
    </row>
    <row r="396" spans="2:13" ht="24" x14ac:dyDescent="0.25">
      <c r="B396" s="55">
        <f t="shared" si="74"/>
        <v>394</v>
      </c>
      <c r="C396" s="56">
        <f t="shared" si="74"/>
        <v>44188</v>
      </c>
      <c r="D396" s="57">
        <f t="shared" si="70"/>
        <v>44188</v>
      </c>
      <c r="E396" s="58">
        <f t="shared" si="75"/>
        <v>57</v>
      </c>
      <c r="F396" s="58">
        <f t="shared" si="75"/>
        <v>52</v>
      </c>
      <c r="G396" s="8">
        <v>202012</v>
      </c>
      <c r="H396" s="8" t="s">
        <v>7013</v>
      </c>
      <c r="I396" s="8">
        <v>202101</v>
      </c>
      <c r="J396" s="8" t="s">
        <v>7014</v>
      </c>
      <c r="K396" s="56">
        <f t="shared" si="71"/>
        <v>44186</v>
      </c>
      <c r="L396" s="56">
        <f t="shared" si="72"/>
        <v>44192</v>
      </c>
      <c r="M396" s="59" t="str">
        <f t="shared" si="73"/>
        <v>21/12/20 @ 
27/12/20</v>
      </c>
    </row>
    <row r="397" spans="2:13" ht="24" x14ac:dyDescent="0.25">
      <c r="B397" s="55">
        <f t="shared" si="74"/>
        <v>395</v>
      </c>
      <c r="C397" s="56">
        <f t="shared" si="74"/>
        <v>44189</v>
      </c>
      <c r="D397" s="57">
        <f t="shared" si="70"/>
        <v>44189</v>
      </c>
      <c r="E397" s="58">
        <f t="shared" si="75"/>
        <v>57</v>
      </c>
      <c r="F397" s="58">
        <f t="shared" si="75"/>
        <v>52</v>
      </c>
      <c r="G397" s="8">
        <v>202012</v>
      </c>
      <c r="H397" s="8" t="s">
        <v>7013</v>
      </c>
      <c r="I397" s="8">
        <v>202101</v>
      </c>
      <c r="J397" s="8" t="s">
        <v>7014</v>
      </c>
      <c r="K397" s="56">
        <f t="shared" si="71"/>
        <v>44186</v>
      </c>
      <c r="L397" s="56">
        <f t="shared" si="72"/>
        <v>44192</v>
      </c>
      <c r="M397" s="59" t="str">
        <f t="shared" si="73"/>
        <v>21/12/20 @ 
27/12/20</v>
      </c>
    </row>
    <row r="398" spans="2:13" ht="24" x14ac:dyDescent="0.25">
      <c r="B398" s="55">
        <f t="shared" si="74"/>
        <v>396</v>
      </c>
      <c r="C398" s="56">
        <f t="shared" si="74"/>
        <v>44190</v>
      </c>
      <c r="D398" s="57">
        <f t="shared" si="70"/>
        <v>44190</v>
      </c>
      <c r="E398" s="58">
        <f t="shared" si="75"/>
        <v>57</v>
      </c>
      <c r="F398" s="58">
        <f t="shared" si="75"/>
        <v>52</v>
      </c>
      <c r="G398" s="8">
        <v>202012</v>
      </c>
      <c r="H398" s="8" t="s">
        <v>7013</v>
      </c>
      <c r="I398" s="8">
        <v>202101</v>
      </c>
      <c r="J398" s="8" t="s">
        <v>7014</v>
      </c>
      <c r="K398" s="56">
        <f t="shared" si="71"/>
        <v>44186</v>
      </c>
      <c r="L398" s="56">
        <f t="shared" si="72"/>
        <v>44192</v>
      </c>
      <c r="M398" s="59" t="str">
        <f t="shared" si="73"/>
        <v>21/12/20 @ 
27/12/20</v>
      </c>
    </row>
    <row r="399" spans="2:13" ht="24" x14ac:dyDescent="0.25">
      <c r="B399" s="55">
        <f t="shared" si="74"/>
        <v>397</v>
      </c>
      <c r="C399" s="56">
        <f t="shared" si="74"/>
        <v>44191</v>
      </c>
      <c r="D399" s="57">
        <f t="shared" si="70"/>
        <v>44191</v>
      </c>
      <c r="E399" s="58">
        <f t="shared" si="75"/>
        <v>57</v>
      </c>
      <c r="F399" s="58">
        <f t="shared" si="75"/>
        <v>52</v>
      </c>
      <c r="G399" s="8">
        <v>202012</v>
      </c>
      <c r="H399" s="8" t="s">
        <v>7013</v>
      </c>
      <c r="I399" s="8">
        <v>202101</v>
      </c>
      <c r="J399" s="8" t="s">
        <v>7014</v>
      </c>
      <c r="K399" s="56">
        <f t="shared" si="71"/>
        <v>44186</v>
      </c>
      <c r="L399" s="56">
        <f t="shared" si="72"/>
        <v>44192</v>
      </c>
      <c r="M399" s="59" t="str">
        <f t="shared" si="73"/>
        <v>21/12/20 @ 
27/12/20</v>
      </c>
    </row>
    <row r="400" spans="2:13" ht="24" x14ac:dyDescent="0.25">
      <c r="B400" s="55">
        <f t="shared" si="74"/>
        <v>398</v>
      </c>
      <c r="C400" s="56">
        <f t="shared" si="74"/>
        <v>44192</v>
      </c>
      <c r="D400" s="57">
        <f t="shared" si="70"/>
        <v>44192</v>
      </c>
      <c r="E400" s="58">
        <f t="shared" si="75"/>
        <v>57</v>
      </c>
      <c r="F400" s="58">
        <f t="shared" si="75"/>
        <v>52</v>
      </c>
      <c r="G400" s="8">
        <v>202012</v>
      </c>
      <c r="H400" s="8" t="s">
        <v>7013</v>
      </c>
      <c r="I400" s="8">
        <v>202101</v>
      </c>
      <c r="J400" s="8" t="s">
        <v>7014</v>
      </c>
      <c r="K400" s="56">
        <f t="shared" si="71"/>
        <v>44186</v>
      </c>
      <c r="L400" s="56">
        <f t="shared" si="72"/>
        <v>44192</v>
      </c>
      <c r="M400" s="59" t="str">
        <f t="shared" si="73"/>
        <v>21/12/20 @ 
27/12/20</v>
      </c>
    </row>
    <row r="401" spans="2:13" ht="24" x14ac:dyDescent="0.25">
      <c r="B401" s="55">
        <f t="shared" si="74"/>
        <v>399</v>
      </c>
      <c r="C401" s="56">
        <f t="shared" si="74"/>
        <v>44193</v>
      </c>
      <c r="D401" s="57">
        <f t="shared" si="70"/>
        <v>44193</v>
      </c>
      <c r="E401" s="58">
        <f t="shared" si="75"/>
        <v>58</v>
      </c>
      <c r="F401" s="58">
        <v>1</v>
      </c>
      <c r="G401" s="8">
        <v>202012</v>
      </c>
      <c r="H401" s="8" t="s">
        <v>7014</v>
      </c>
      <c r="I401" s="8">
        <v>202101</v>
      </c>
      <c r="J401" s="8" t="s">
        <v>7014</v>
      </c>
      <c r="K401" s="56">
        <f t="shared" si="71"/>
        <v>44193</v>
      </c>
      <c r="L401" s="56">
        <f t="shared" si="72"/>
        <v>44199</v>
      </c>
      <c r="M401" s="59" t="str">
        <f t="shared" si="73"/>
        <v>28/12/20 @ 
03/01/21</v>
      </c>
    </row>
    <row r="402" spans="2:13" ht="24" x14ac:dyDescent="0.25">
      <c r="B402" s="55">
        <f t="shared" si="74"/>
        <v>400</v>
      </c>
      <c r="C402" s="56">
        <f t="shared" si="74"/>
        <v>44194</v>
      </c>
      <c r="D402" s="57">
        <f t="shared" si="70"/>
        <v>44194</v>
      </c>
      <c r="E402" s="58">
        <f t="shared" si="75"/>
        <v>58</v>
      </c>
      <c r="F402" s="58">
        <v>1</v>
      </c>
      <c r="G402" s="8">
        <v>202012</v>
      </c>
      <c r="H402" s="8" t="s">
        <v>7014</v>
      </c>
      <c r="I402" s="8">
        <v>202101</v>
      </c>
      <c r="J402" s="8" t="s">
        <v>7014</v>
      </c>
      <c r="K402" s="56">
        <f t="shared" si="71"/>
        <v>44193</v>
      </c>
      <c r="L402" s="56">
        <f t="shared" si="72"/>
        <v>44199</v>
      </c>
      <c r="M402" s="59" t="str">
        <f t="shared" si="73"/>
        <v>28/12/20 @ 
03/01/21</v>
      </c>
    </row>
    <row r="403" spans="2:13" ht="24" x14ac:dyDescent="0.25">
      <c r="B403" s="55">
        <f t="shared" si="74"/>
        <v>401</v>
      </c>
      <c r="C403" s="56">
        <f t="shared" si="74"/>
        <v>44195</v>
      </c>
      <c r="D403" s="57">
        <f t="shared" si="70"/>
        <v>44195</v>
      </c>
      <c r="E403" s="58">
        <f t="shared" si="75"/>
        <v>58</v>
      </c>
      <c r="F403" s="58">
        <v>1</v>
      </c>
      <c r="G403" s="8">
        <v>202012</v>
      </c>
      <c r="H403" s="8" t="s">
        <v>7014</v>
      </c>
      <c r="I403" s="8">
        <v>202101</v>
      </c>
      <c r="J403" s="8" t="s">
        <v>7014</v>
      </c>
      <c r="K403" s="56">
        <f t="shared" si="71"/>
        <v>44193</v>
      </c>
      <c r="L403" s="56">
        <f t="shared" si="72"/>
        <v>44199</v>
      </c>
      <c r="M403" s="59" t="str">
        <f t="shared" si="73"/>
        <v>28/12/20 @ 
03/01/21</v>
      </c>
    </row>
    <row r="404" spans="2:13" ht="24" x14ac:dyDescent="0.25">
      <c r="B404" s="55">
        <f t="shared" si="74"/>
        <v>402</v>
      </c>
      <c r="C404" s="56">
        <f t="shared" si="74"/>
        <v>44196</v>
      </c>
      <c r="D404" s="57">
        <f t="shared" si="70"/>
        <v>44196</v>
      </c>
      <c r="E404" s="58">
        <f t="shared" si="75"/>
        <v>58</v>
      </c>
      <c r="F404" s="58">
        <v>1</v>
      </c>
      <c r="G404" s="8">
        <v>202012</v>
      </c>
      <c r="H404" s="8" t="s">
        <v>7014</v>
      </c>
      <c r="I404" s="8">
        <v>202101</v>
      </c>
      <c r="J404" s="8" t="s">
        <v>7014</v>
      </c>
      <c r="K404" s="56">
        <f t="shared" si="71"/>
        <v>44193</v>
      </c>
      <c r="L404" s="56">
        <f t="shared" si="72"/>
        <v>44199</v>
      </c>
      <c r="M404" s="59" t="str">
        <f t="shared" si="73"/>
        <v>28/12/20 @ 
03/01/21</v>
      </c>
    </row>
    <row r="405" spans="2:13" ht="24" x14ac:dyDescent="0.25">
      <c r="B405" s="55">
        <f t="shared" ref="B405:C420" si="76">+B404+1</f>
        <v>403</v>
      </c>
      <c r="C405" s="56">
        <f t="shared" si="76"/>
        <v>44197</v>
      </c>
      <c r="D405" s="57">
        <f t="shared" si="70"/>
        <v>44197</v>
      </c>
      <c r="E405" s="58">
        <f t="shared" si="75"/>
        <v>58</v>
      </c>
      <c r="F405" s="58">
        <v>1</v>
      </c>
      <c r="G405" s="8">
        <v>202012</v>
      </c>
      <c r="H405" s="8" t="s">
        <v>7014</v>
      </c>
      <c r="I405" s="8">
        <v>202101</v>
      </c>
      <c r="J405" s="8" t="s">
        <v>7014</v>
      </c>
      <c r="K405" s="56">
        <f t="shared" si="71"/>
        <v>44193</v>
      </c>
      <c r="L405" s="56">
        <f t="shared" si="72"/>
        <v>44199</v>
      </c>
      <c r="M405" s="59" t="str">
        <f t="shared" si="73"/>
        <v>28/12/20 @ 
03/01/21</v>
      </c>
    </row>
    <row r="406" spans="2:13" ht="24" x14ac:dyDescent="0.25">
      <c r="B406" s="55">
        <f t="shared" si="76"/>
        <v>404</v>
      </c>
      <c r="C406" s="56">
        <f t="shared" si="76"/>
        <v>44198</v>
      </c>
      <c r="D406" s="57">
        <f t="shared" si="70"/>
        <v>44198</v>
      </c>
      <c r="E406" s="58">
        <f t="shared" si="75"/>
        <v>58</v>
      </c>
      <c r="F406" s="58">
        <v>1</v>
      </c>
      <c r="G406" s="8">
        <v>202012</v>
      </c>
      <c r="H406" s="8" t="s">
        <v>7014</v>
      </c>
      <c r="I406" s="8">
        <v>202101</v>
      </c>
      <c r="J406" s="8" t="s">
        <v>7014</v>
      </c>
      <c r="K406" s="56">
        <f t="shared" si="71"/>
        <v>44193</v>
      </c>
      <c r="L406" s="56">
        <f t="shared" si="72"/>
        <v>44199</v>
      </c>
      <c r="M406" s="59" t="str">
        <f t="shared" si="73"/>
        <v>28/12/20 @ 
03/01/21</v>
      </c>
    </row>
    <row r="407" spans="2:13" ht="24" x14ac:dyDescent="0.25">
      <c r="B407" s="55">
        <f t="shared" si="76"/>
        <v>405</v>
      </c>
      <c r="C407" s="56">
        <f t="shared" si="76"/>
        <v>44199</v>
      </c>
      <c r="D407" s="57">
        <f t="shared" si="70"/>
        <v>44199</v>
      </c>
      <c r="E407" s="58">
        <f t="shared" si="75"/>
        <v>58</v>
      </c>
      <c r="F407" s="58">
        <v>1</v>
      </c>
      <c r="G407" s="8">
        <v>202012</v>
      </c>
      <c r="H407" s="8" t="s">
        <v>7014</v>
      </c>
      <c r="I407" s="8">
        <v>202101</v>
      </c>
      <c r="J407" s="8" t="s">
        <v>7014</v>
      </c>
      <c r="K407" s="56">
        <f t="shared" si="71"/>
        <v>44193</v>
      </c>
      <c r="L407" s="56">
        <f t="shared" si="72"/>
        <v>44199</v>
      </c>
      <c r="M407" s="59" t="str">
        <f t="shared" si="73"/>
        <v>28/12/20 @ 
03/01/21</v>
      </c>
    </row>
    <row r="408" spans="2:13" ht="24" x14ac:dyDescent="0.25">
      <c r="B408" s="55">
        <f t="shared" si="76"/>
        <v>406</v>
      </c>
      <c r="C408" s="56">
        <f t="shared" si="76"/>
        <v>44200</v>
      </c>
      <c r="D408" s="57">
        <f t="shared" si="70"/>
        <v>44200</v>
      </c>
      <c r="E408" s="58">
        <f t="shared" si="75"/>
        <v>59</v>
      </c>
      <c r="F408" s="58">
        <f>+F401+1</f>
        <v>2</v>
      </c>
      <c r="G408" s="8">
        <v>202101</v>
      </c>
      <c r="H408" s="8" t="s">
        <v>7014</v>
      </c>
      <c r="I408" s="8">
        <v>202101</v>
      </c>
      <c r="J408" s="8" t="s">
        <v>7014</v>
      </c>
      <c r="K408" s="56">
        <f t="shared" si="71"/>
        <v>44200</v>
      </c>
      <c r="L408" s="56">
        <f t="shared" si="72"/>
        <v>44206</v>
      </c>
      <c r="M408" s="59" t="str">
        <f t="shared" si="73"/>
        <v>04/01/21 @ 
10/01/21</v>
      </c>
    </row>
    <row r="409" spans="2:13" ht="24" x14ac:dyDescent="0.25">
      <c r="B409" s="55">
        <f t="shared" si="76"/>
        <v>407</v>
      </c>
      <c r="C409" s="56">
        <f t="shared" si="76"/>
        <v>44201</v>
      </c>
      <c r="D409" s="57">
        <f t="shared" si="70"/>
        <v>44201</v>
      </c>
      <c r="E409" s="58">
        <f t="shared" si="75"/>
        <v>59</v>
      </c>
      <c r="F409" s="58">
        <f t="shared" si="75"/>
        <v>2</v>
      </c>
      <c r="G409" s="8">
        <v>202101</v>
      </c>
      <c r="H409" s="8" t="s">
        <v>7014</v>
      </c>
      <c r="I409" s="8">
        <v>202101</v>
      </c>
      <c r="J409" s="8" t="s">
        <v>7014</v>
      </c>
      <c r="K409" s="56">
        <f t="shared" si="71"/>
        <v>44200</v>
      </c>
      <c r="L409" s="56">
        <f t="shared" si="72"/>
        <v>44206</v>
      </c>
      <c r="M409" s="59" t="str">
        <f t="shared" si="73"/>
        <v>04/01/21 @ 
10/01/21</v>
      </c>
    </row>
    <row r="410" spans="2:13" ht="24" x14ac:dyDescent="0.25">
      <c r="B410" s="55">
        <f t="shared" si="76"/>
        <v>408</v>
      </c>
      <c r="C410" s="56">
        <f t="shared" si="76"/>
        <v>44202</v>
      </c>
      <c r="D410" s="57">
        <f t="shared" si="70"/>
        <v>44202</v>
      </c>
      <c r="E410" s="58">
        <f t="shared" ref="E410:F425" si="77">+E403+1</f>
        <v>59</v>
      </c>
      <c r="F410" s="58">
        <f t="shared" si="77"/>
        <v>2</v>
      </c>
      <c r="G410" s="8">
        <v>202101</v>
      </c>
      <c r="H410" s="8" t="s">
        <v>7014</v>
      </c>
      <c r="I410" s="8">
        <v>202101</v>
      </c>
      <c r="J410" s="8" t="s">
        <v>7014</v>
      </c>
      <c r="K410" s="56">
        <f t="shared" si="71"/>
        <v>44200</v>
      </c>
      <c r="L410" s="56">
        <f t="shared" si="72"/>
        <v>44206</v>
      </c>
      <c r="M410" s="59" t="str">
        <f t="shared" si="73"/>
        <v>04/01/21 @ 
10/01/21</v>
      </c>
    </row>
    <row r="411" spans="2:13" ht="24" x14ac:dyDescent="0.25">
      <c r="B411" s="55">
        <f t="shared" si="76"/>
        <v>409</v>
      </c>
      <c r="C411" s="56">
        <f t="shared" si="76"/>
        <v>44203</v>
      </c>
      <c r="D411" s="57">
        <f t="shared" si="70"/>
        <v>44203</v>
      </c>
      <c r="E411" s="58">
        <f t="shared" si="77"/>
        <v>59</v>
      </c>
      <c r="F411" s="58">
        <f t="shared" si="77"/>
        <v>2</v>
      </c>
      <c r="G411" s="8">
        <v>202101</v>
      </c>
      <c r="H411" s="8" t="s">
        <v>7014</v>
      </c>
      <c r="I411" s="8">
        <v>202101</v>
      </c>
      <c r="J411" s="8" t="s">
        <v>7014</v>
      </c>
      <c r="K411" s="56">
        <f t="shared" si="71"/>
        <v>44200</v>
      </c>
      <c r="L411" s="56">
        <f t="shared" si="72"/>
        <v>44206</v>
      </c>
      <c r="M411" s="59" t="str">
        <f t="shared" si="73"/>
        <v>04/01/21 @ 
10/01/21</v>
      </c>
    </row>
    <row r="412" spans="2:13" ht="24" x14ac:dyDescent="0.25">
      <c r="B412" s="55">
        <f t="shared" si="76"/>
        <v>410</v>
      </c>
      <c r="C412" s="56">
        <f t="shared" si="76"/>
        <v>44204</v>
      </c>
      <c r="D412" s="57">
        <f t="shared" si="70"/>
        <v>44204</v>
      </c>
      <c r="E412" s="58">
        <f t="shared" si="77"/>
        <v>59</v>
      </c>
      <c r="F412" s="58">
        <f t="shared" si="77"/>
        <v>2</v>
      </c>
      <c r="G412" s="8">
        <v>202101</v>
      </c>
      <c r="H412" s="8" t="s">
        <v>7014</v>
      </c>
      <c r="I412" s="8">
        <v>202101</v>
      </c>
      <c r="J412" s="8" t="s">
        <v>7014</v>
      </c>
      <c r="K412" s="56">
        <f t="shared" si="71"/>
        <v>44200</v>
      </c>
      <c r="L412" s="56">
        <f t="shared" si="72"/>
        <v>44206</v>
      </c>
      <c r="M412" s="59" t="str">
        <f t="shared" si="73"/>
        <v>04/01/21 @ 
10/01/21</v>
      </c>
    </row>
    <row r="413" spans="2:13" ht="24" x14ac:dyDescent="0.25">
      <c r="B413" s="55">
        <f t="shared" si="76"/>
        <v>411</v>
      </c>
      <c r="C413" s="56">
        <f t="shared" si="76"/>
        <v>44205</v>
      </c>
      <c r="D413" s="57">
        <f t="shared" si="70"/>
        <v>44205</v>
      </c>
      <c r="E413" s="58">
        <f t="shared" si="77"/>
        <v>59</v>
      </c>
      <c r="F413" s="58">
        <f t="shared" si="77"/>
        <v>2</v>
      </c>
      <c r="G413" s="8">
        <v>202101</v>
      </c>
      <c r="H413" s="8" t="s">
        <v>7014</v>
      </c>
      <c r="I413" s="8">
        <v>202101</v>
      </c>
      <c r="J413" s="8" t="s">
        <v>7014</v>
      </c>
      <c r="K413" s="56">
        <f t="shared" si="71"/>
        <v>44200</v>
      </c>
      <c r="L413" s="56">
        <f t="shared" si="72"/>
        <v>44206</v>
      </c>
      <c r="M413" s="59" t="str">
        <f t="shared" si="73"/>
        <v>04/01/21 @ 
10/01/21</v>
      </c>
    </row>
    <row r="414" spans="2:13" ht="24" x14ac:dyDescent="0.25">
      <c r="B414" s="55">
        <f t="shared" si="76"/>
        <v>412</v>
      </c>
      <c r="C414" s="56">
        <f t="shared" si="76"/>
        <v>44206</v>
      </c>
      <c r="D414" s="57">
        <f t="shared" si="70"/>
        <v>44206</v>
      </c>
      <c r="E414" s="58">
        <f t="shared" si="77"/>
        <v>59</v>
      </c>
      <c r="F414" s="58">
        <f t="shared" si="77"/>
        <v>2</v>
      </c>
      <c r="G414" s="8">
        <v>202101</v>
      </c>
      <c r="H414" s="8" t="s">
        <v>7014</v>
      </c>
      <c r="I414" s="8">
        <v>202101</v>
      </c>
      <c r="J414" s="8" t="s">
        <v>7014</v>
      </c>
      <c r="K414" s="56">
        <f t="shared" si="71"/>
        <v>44200</v>
      </c>
      <c r="L414" s="56">
        <f t="shared" si="72"/>
        <v>44206</v>
      </c>
      <c r="M414" s="59" t="str">
        <f t="shared" si="73"/>
        <v>04/01/21 @ 
10/01/21</v>
      </c>
    </row>
    <row r="415" spans="2:13" ht="24" x14ac:dyDescent="0.25">
      <c r="B415" s="55">
        <f t="shared" si="76"/>
        <v>413</v>
      </c>
      <c r="C415" s="56">
        <f t="shared" si="76"/>
        <v>44207</v>
      </c>
      <c r="D415" s="57">
        <f t="shared" si="70"/>
        <v>44207</v>
      </c>
      <c r="E415" s="58">
        <f t="shared" si="77"/>
        <v>60</v>
      </c>
      <c r="F415" s="58">
        <f t="shared" si="77"/>
        <v>3</v>
      </c>
      <c r="G415" s="8">
        <v>202101</v>
      </c>
      <c r="H415" s="8" t="s">
        <v>7014</v>
      </c>
      <c r="I415" s="8">
        <v>202101</v>
      </c>
      <c r="J415" s="8" t="s">
        <v>7014</v>
      </c>
      <c r="K415" s="56">
        <f t="shared" si="71"/>
        <v>44207</v>
      </c>
      <c r="L415" s="56">
        <f t="shared" si="72"/>
        <v>44213</v>
      </c>
      <c r="M415" s="59" t="str">
        <f t="shared" si="73"/>
        <v>11/01/21 @ 
17/01/21</v>
      </c>
    </row>
    <row r="416" spans="2:13" ht="24" x14ac:dyDescent="0.25">
      <c r="B416" s="55">
        <f t="shared" si="76"/>
        <v>414</v>
      </c>
      <c r="C416" s="56">
        <f t="shared" si="76"/>
        <v>44208</v>
      </c>
      <c r="D416" s="57">
        <f t="shared" si="70"/>
        <v>44208</v>
      </c>
      <c r="E416" s="58">
        <f t="shared" si="77"/>
        <v>60</v>
      </c>
      <c r="F416" s="58">
        <f t="shared" si="77"/>
        <v>3</v>
      </c>
      <c r="G416" s="8">
        <v>202101</v>
      </c>
      <c r="H416" s="8" t="s">
        <v>7014</v>
      </c>
      <c r="I416" s="8">
        <v>202101</v>
      </c>
      <c r="J416" s="8" t="s">
        <v>7014</v>
      </c>
      <c r="K416" s="56">
        <f t="shared" si="71"/>
        <v>44207</v>
      </c>
      <c r="L416" s="56">
        <f t="shared" si="72"/>
        <v>44213</v>
      </c>
      <c r="M416" s="59" t="str">
        <f t="shared" si="73"/>
        <v>11/01/21 @ 
17/01/21</v>
      </c>
    </row>
    <row r="417" spans="2:13" ht="24" x14ac:dyDescent="0.25">
      <c r="B417" s="55">
        <f t="shared" si="76"/>
        <v>415</v>
      </c>
      <c r="C417" s="56">
        <f t="shared" si="76"/>
        <v>44209</v>
      </c>
      <c r="D417" s="57">
        <f t="shared" si="70"/>
        <v>44209</v>
      </c>
      <c r="E417" s="58">
        <f t="shared" si="77"/>
        <v>60</v>
      </c>
      <c r="F417" s="58">
        <f t="shared" si="77"/>
        <v>3</v>
      </c>
      <c r="G417" s="8">
        <v>202101</v>
      </c>
      <c r="H417" s="8" t="s">
        <v>7014</v>
      </c>
      <c r="I417" s="8">
        <v>202101</v>
      </c>
      <c r="J417" s="8" t="s">
        <v>7014</v>
      </c>
      <c r="K417" s="56">
        <f t="shared" si="71"/>
        <v>44207</v>
      </c>
      <c r="L417" s="56">
        <f t="shared" si="72"/>
        <v>44213</v>
      </c>
      <c r="M417" s="59" t="str">
        <f t="shared" si="73"/>
        <v>11/01/21 @ 
17/01/21</v>
      </c>
    </row>
    <row r="418" spans="2:13" ht="24" x14ac:dyDescent="0.25">
      <c r="B418" s="55">
        <f t="shared" si="76"/>
        <v>416</v>
      </c>
      <c r="C418" s="56">
        <f t="shared" si="76"/>
        <v>44210</v>
      </c>
      <c r="D418" s="57">
        <f t="shared" si="70"/>
        <v>44210</v>
      </c>
      <c r="E418" s="58">
        <f t="shared" si="77"/>
        <v>60</v>
      </c>
      <c r="F418" s="58">
        <f t="shared" si="77"/>
        <v>3</v>
      </c>
      <c r="G418" s="8">
        <v>202101</v>
      </c>
      <c r="H418" s="8" t="s">
        <v>7014</v>
      </c>
      <c r="I418" s="8">
        <v>202101</v>
      </c>
      <c r="J418" s="8" t="s">
        <v>7014</v>
      </c>
      <c r="K418" s="56">
        <f t="shared" si="71"/>
        <v>44207</v>
      </c>
      <c r="L418" s="56">
        <f t="shared" si="72"/>
        <v>44213</v>
      </c>
      <c r="M418" s="59" t="str">
        <f t="shared" si="73"/>
        <v>11/01/21 @ 
17/01/21</v>
      </c>
    </row>
    <row r="419" spans="2:13" ht="24" x14ac:dyDescent="0.25">
      <c r="B419" s="55">
        <f t="shared" si="76"/>
        <v>417</v>
      </c>
      <c r="C419" s="56">
        <f t="shared" si="76"/>
        <v>44211</v>
      </c>
      <c r="D419" s="57">
        <f t="shared" si="70"/>
        <v>44211</v>
      </c>
      <c r="E419" s="58">
        <f t="shared" si="77"/>
        <v>60</v>
      </c>
      <c r="F419" s="58">
        <f t="shared" si="77"/>
        <v>3</v>
      </c>
      <c r="G419" s="8">
        <v>202101</v>
      </c>
      <c r="H419" s="8" t="s">
        <v>7014</v>
      </c>
      <c r="I419" s="8">
        <v>202101</v>
      </c>
      <c r="J419" s="8" t="s">
        <v>7014</v>
      </c>
      <c r="K419" s="56">
        <f t="shared" si="71"/>
        <v>44207</v>
      </c>
      <c r="L419" s="56">
        <f t="shared" si="72"/>
        <v>44213</v>
      </c>
      <c r="M419" s="59" t="str">
        <f t="shared" si="73"/>
        <v>11/01/21 @ 
17/01/21</v>
      </c>
    </row>
    <row r="420" spans="2:13" ht="24" x14ac:dyDescent="0.25">
      <c r="B420" s="55">
        <f t="shared" si="76"/>
        <v>418</v>
      </c>
      <c r="C420" s="56">
        <f t="shared" si="76"/>
        <v>44212</v>
      </c>
      <c r="D420" s="57">
        <f t="shared" si="70"/>
        <v>44212</v>
      </c>
      <c r="E420" s="58">
        <f t="shared" si="77"/>
        <v>60</v>
      </c>
      <c r="F420" s="58">
        <f t="shared" si="77"/>
        <v>3</v>
      </c>
      <c r="G420" s="8">
        <v>202101</v>
      </c>
      <c r="H420" s="8" t="s">
        <v>7014</v>
      </c>
      <c r="I420" s="8">
        <v>202101</v>
      </c>
      <c r="J420" s="8" t="s">
        <v>7014</v>
      </c>
      <c r="K420" s="56">
        <f t="shared" si="71"/>
        <v>44207</v>
      </c>
      <c r="L420" s="56">
        <f t="shared" si="72"/>
        <v>44213</v>
      </c>
      <c r="M420" s="59" t="str">
        <f t="shared" si="73"/>
        <v>11/01/21 @ 
17/01/21</v>
      </c>
    </row>
    <row r="421" spans="2:13" ht="24" x14ac:dyDescent="0.25">
      <c r="B421" s="55">
        <f t="shared" ref="B421:C436" si="78">+B420+1</f>
        <v>419</v>
      </c>
      <c r="C421" s="56">
        <f t="shared" si="78"/>
        <v>44213</v>
      </c>
      <c r="D421" s="57">
        <f t="shared" si="70"/>
        <v>44213</v>
      </c>
      <c r="E421" s="58">
        <f t="shared" si="77"/>
        <v>60</v>
      </c>
      <c r="F421" s="58">
        <f t="shared" si="77"/>
        <v>3</v>
      </c>
      <c r="G421" s="8">
        <v>202101</v>
      </c>
      <c r="H421" s="8" t="s">
        <v>7014</v>
      </c>
      <c r="I421" s="8">
        <v>202101</v>
      </c>
      <c r="J421" s="8" t="s">
        <v>7014</v>
      </c>
      <c r="K421" s="56">
        <f t="shared" si="71"/>
        <v>44207</v>
      </c>
      <c r="L421" s="56">
        <f t="shared" si="72"/>
        <v>44213</v>
      </c>
      <c r="M421" s="59" t="str">
        <f t="shared" si="73"/>
        <v>11/01/21 @ 
17/01/21</v>
      </c>
    </row>
    <row r="422" spans="2:13" ht="24" x14ac:dyDescent="0.25">
      <c r="B422" s="55">
        <f t="shared" si="78"/>
        <v>420</v>
      </c>
      <c r="C422" s="56">
        <f t="shared" si="78"/>
        <v>44214</v>
      </c>
      <c r="D422" s="57">
        <f t="shared" si="70"/>
        <v>44214</v>
      </c>
      <c r="E422" s="58">
        <f t="shared" si="77"/>
        <v>61</v>
      </c>
      <c r="F422" s="58">
        <f t="shared" si="77"/>
        <v>4</v>
      </c>
      <c r="G422" s="8">
        <v>202101</v>
      </c>
      <c r="H422" s="8" t="s">
        <v>7014</v>
      </c>
      <c r="I422" s="8">
        <v>202101</v>
      </c>
      <c r="J422" s="8" t="s">
        <v>7014</v>
      </c>
      <c r="K422" s="56">
        <f t="shared" si="71"/>
        <v>44214</v>
      </c>
      <c r="L422" s="56">
        <f t="shared" si="72"/>
        <v>44220</v>
      </c>
      <c r="M422" s="59" t="str">
        <f t="shared" si="73"/>
        <v>18/01/21 @ 
24/01/21</v>
      </c>
    </row>
    <row r="423" spans="2:13" ht="24" x14ac:dyDescent="0.25">
      <c r="B423" s="55">
        <f t="shared" si="78"/>
        <v>421</v>
      </c>
      <c r="C423" s="56">
        <f t="shared" si="78"/>
        <v>44215</v>
      </c>
      <c r="D423" s="57">
        <f t="shared" si="70"/>
        <v>44215</v>
      </c>
      <c r="E423" s="58">
        <f t="shared" si="77"/>
        <v>61</v>
      </c>
      <c r="F423" s="58">
        <f t="shared" si="77"/>
        <v>4</v>
      </c>
      <c r="G423" s="8">
        <v>202101</v>
      </c>
      <c r="H423" s="8" t="s">
        <v>7014</v>
      </c>
      <c r="I423" s="8">
        <v>202101</v>
      </c>
      <c r="J423" s="8" t="s">
        <v>7014</v>
      </c>
      <c r="K423" s="56">
        <f t="shared" si="71"/>
        <v>44214</v>
      </c>
      <c r="L423" s="56">
        <f t="shared" si="72"/>
        <v>44220</v>
      </c>
      <c r="M423" s="59" t="str">
        <f t="shared" si="73"/>
        <v>18/01/21 @ 
24/01/21</v>
      </c>
    </row>
    <row r="424" spans="2:13" ht="24" x14ac:dyDescent="0.25">
      <c r="B424" s="55">
        <f t="shared" si="78"/>
        <v>422</v>
      </c>
      <c r="C424" s="56">
        <f t="shared" si="78"/>
        <v>44216</v>
      </c>
      <c r="D424" s="57">
        <f t="shared" si="70"/>
        <v>44216</v>
      </c>
      <c r="E424" s="58">
        <f t="shared" si="77"/>
        <v>61</v>
      </c>
      <c r="F424" s="58">
        <f t="shared" si="77"/>
        <v>4</v>
      </c>
      <c r="G424" s="8">
        <v>202101</v>
      </c>
      <c r="H424" s="8" t="s">
        <v>7014</v>
      </c>
      <c r="I424" s="8">
        <v>202101</v>
      </c>
      <c r="J424" s="8" t="s">
        <v>7014</v>
      </c>
      <c r="K424" s="56">
        <f t="shared" si="71"/>
        <v>44214</v>
      </c>
      <c r="L424" s="56">
        <f t="shared" si="72"/>
        <v>44220</v>
      </c>
      <c r="M424" s="59" t="str">
        <f t="shared" si="73"/>
        <v>18/01/21 @ 
24/01/21</v>
      </c>
    </row>
    <row r="425" spans="2:13" ht="24" x14ac:dyDescent="0.25">
      <c r="B425" s="55">
        <f t="shared" si="78"/>
        <v>423</v>
      </c>
      <c r="C425" s="56">
        <f t="shared" si="78"/>
        <v>44217</v>
      </c>
      <c r="D425" s="57">
        <f t="shared" si="70"/>
        <v>44217</v>
      </c>
      <c r="E425" s="58">
        <f t="shared" si="77"/>
        <v>61</v>
      </c>
      <c r="F425" s="58">
        <f t="shared" si="77"/>
        <v>4</v>
      </c>
      <c r="G425" s="8">
        <v>202101</v>
      </c>
      <c r="H425" s="8" t="s">
        <v>7014</v>
      </c>
      <c r="I425" s="8">
        <v>202102</v>
      </c>
      <c r="J425" s="8" t="s">
        <v>7015</v>
      </c>
      <c r="K425" s="56">
        <f t="shared" si="71"/>
        <v>44214</v>
      </c>
      <c r="L425" s="56">
        <f t="shared" si="72"/>
        <v>44220</v>
      </c>
      <c r="M425" s="59" t="str">
        <f t="shared" si="73"/>
        <v>18/01/21 @ 
24/01/21</v>
      </c>
    </row>
    <row r="426" spans="2:13" ht="24" x14ac:dyDescent="0.25">
      <c r="B426" s="55">
        <f t="shared" si="78"/>
        <v>424</v>
      </c>
      <c r="C426" s="56">
        <f t="shared" si="78"/>
        <v>44218</v>
      </c>
      <c r="D426" s="57">
        <f t="shared" si="70"/>
        <v>44218</v>
      </c>
      <c r="E426" s="58">
        <f t="shared" ref="E426:F441" si="79">+E419+1</f>
        <v>61</v>
      </c>
      <c r="F426" s="58">
        <f t="shared" si="79"/>
        <v>4</v>
      </c>
      <c r="G426" s="8">
        <v>202101</v>
      </c>
      <c r="H426" s="8" t="s">
        <v>7014</v>
      </c>
      <c r="I426" s="8">
        <v>202102</v>
      </c>
      <c r="J426" s="8" t="s">
        <v>7015</v>
      </c>
      <c r="K426" s="56">
        <f t="shared" si="71"/>
        <v>44214</v>
      </c>
      <c r="L426" s="56">
        <f t="shared" si="72"/>
        <v>44220</v>
      </c>
      <c r="M426" s="59" t="str">
        <f t="shared" si="73"/>
        <v>18/01/21 @ 
24/01/21</v>
      </c>
    </row>
    <row r="427" spans="2:13" ht="24" x14ac:dyDescent="0.25">
      <c r="B427" s="55">
        <f t="shared" si="78"/>
        <v>425</v>
      </c>
      <c r="C427" s="56">
        <f t="shared" si="78"/>
        <v>44219</v>
      </c>
      <c r="D427" s="57">
        <f t="shared" si="70"/>
        <v>44219</v>
      </c>
      <c r="E427" s="58">
        <f t="shared" si="79"/>
        <v>61</v>
      </c>
      <c r="F427" s="58">
        <f t="shared" si="79"/>
        <v>4</v>
      </c>
      <c r="G427" s="8">
        <v>202101</v>
      </c>
      <c r="H427" s="8" t="s">
        <v>7014</v>
      </c>
      <c r="I427" s="8">
        <v>202102</v>
      </c>
      <c r="J427" s="8" t="s">
        <v>7015</v>
      </c>
      <c r="K427" s="56">
        <f t="shared" si="71"/>
        <v>44214</v>
      </c>
      <c r="L427" s="56">
        <f t="shared" si="72"/>
        <v>44220</v>
      </c>
      <c r="M427" s="59" t="str">
        <f t="shared" si="73"/>
        <v>18/01/21 @ 
24/01/21</v>
      </c>
    </row>
    <row r="428" spans="2:13" ht="24" x14ac:dyDescent="0.25">
      <c r="B428" s="55">
        <f t="shared" si="78"/>
        <v>426</v>
      </c>
      <c r="C428" s="56">
        <f t="shared" si="78"/>
        <v>44220</v>
      </c>
      <c r="D428" s="57">
        <f t="shared" si="70"/>
        <v>44220</v>
      </c>
      <c r="E428" s="58">
        <f t="shared" si="79"/>
        <v>61</v>
      </c>
      <c r="F428" s="58">
        <f t="shared" si="79"/>
        <v>4</v>
      </c>
      <c r="G428" s="8">
        <v>202101</v>
      </c>
      <c r="H428" s="8" t="s">
        <v>7014</v>
      </c>
      <c r="I428" s="8">
        <v>202102</v>
      </c>
      <c r="J428" s="8" t="s">
        <v>7015</v>
      </c>
      <c r="K428" s="56">
        <f t="shared" si="71"/>
        <v>44214</v>
      </c>
      <c r="L428" s="56">
        <f t="shared" si="72"/>
        <v>44220</v>
      </c>
      <c r="M428" s="59" t="str">
        <f t="shared" si="73"/>
        <v>18/01/21 @ 
24/01/21</v>
      </c>
    </row>
    <row r="429" spans="2:13" ht="24" x14ac:dyDescent="0.25">
      <c r="B429" s="55">
        <f t="shared" si="78"/>
        <v>427</v>
      </c>
      <c r="C429" s="56">
        <f t="shared" si="78"/>
        <v>44221</v>
      </c>
      <c r="D429" s="57">
        <f t="shared" si="70"/>
        <v>44221</v>
      </c>
      <c r="E429" s="58">
        <f t="shared" si="79"/>
        <v>62</v>
      </c>
      <c r="F429" s="58">
        <f t="shared" si="79"/>
        <v>5</v>
      </c>
      <c r="G429" s="8">
        <v>202101</v>
      </c>
      <c r="H429" s="8" t="s">
        <v>7014</v>
      </c>
      <c r="I429" s="8">
        <v>202102</v>
      </c>
      <c r="J429" s="8" t="s">
        <v>7015</v>
      </c>
      <c r="K429" s="56">
        <f t="shared" si="71"/>
        <v>44221</v>
      </c>
      <c r="L429" s="56">
        <f t="shared" si="72"/>
        <v>44227</v>
      </c>
      <c r="M429" s="59" t="str">
        <f t="shared" si="73"/>
        <v>25/01/21 @ 
31/01/21</v>
      </c>
    </row>
    <row r="430" spans="2:13" ht="24" x14ac:dyDescent="0.25">
      <c r="B430" s="55">
        <f t="shared" si="78"/>
        <v>428</v>
      </c>
      <c r="C430" s="56">
        <f t="shared" si="78"/>
        <v>44222</v>
      </c>
      <c r="D430" s="57">
        <f t="shared" si="70"/>
        <v>44222</v>
      </c>
      <c r="E430" s="58">
        <f t="shared" si="79"/>
        <v>62</v>
      </c>
      <c r="F430" s="58">
        <f t="shared" si="79"/>
        <v>5</v>
      </c>
      <c r="G430" s="8">
        <v>202101</v>
      </c>
      <c r="H430" s="8" t="s">
        <v>7014</v>
      </c>
      <c r="I430" s="8">
        <v>202102</v>
      </c>
      <c r="J430" s="8" t="s">
        <v>7015</v>
      </c>
      <c r="K430" s="56">
        <f t="shared" si="71"/>
        <v>44221</v>
      </c>
      <c r="L430" s="56">
        <f t="shared" si="72"/>
        <v>44227</v>
      </c>
      <c r="M430" s="59" t="str">
        <f t="shared" si="73"/>
        <v>25/01/21 @ 
31/01/21</v>
      </c>
    </row>
    <row r="431" spans="2:13" ht="24" x14ac:dyDescent="0.25">
      <c r="B431" s="55">
        <f t="shared" si="78"/>
        <v>429</v>
      </c>
      <c r="C431" s="56">
        <f t="shared" si="78"/>
        <v>44223</v>
      </c>
      <c r="D431" s="57">
        <f t="shared" si="70"/>
        <v>44223</v>
      </c>
      <c r="E431" s="58">
        <f t="shared" si="79"/>
        <v>62</v>
      </c>
      <c r="F431" s="58">
        <f t="shared" si="79"/>
        <v>5</v>
      </c>
      <c r="G431" s="8">
        <v>202101</v>
      </c>
      <c r="H431" s="8" t="s">
        <v>7014</v>
      </c>
      <c r="I431" s="8">
        <v>202102</v>
      </c>
      <c r="J431" s="8" t="s">
        <v>7015</v>
      </c>
      <c r="K431" s="56">
        <f t="shared" si="71"/>
        <v>44221</v>
      </c>
      <c r="L431" s="56">
        <f t="shared" si="72"/>
        <v>44227</v>
      </c>
      <c r="M431" s="59" t="str">
        <f t="shared" si="73"/>
        <v>25/01/21 @ 
31/01/21</v>
      </c>
    </row>
    <row r="432" spans="2:13" ht="24" x14ac:dyDescent="0.25">
      <c r="B432" s="55">
        <f t="shared" si="78"/>
        <v>430</v>
      </c>
      <c r="C432" s="56">
        <f t="shared" si="78"/>
        <v>44224</v>
      </c>
      <c r="D432" s="57">
        <f t="shared" si="70"/>
        <v>44224</v>
      </c>
      <c r="E432" s="58">
        <f t="shared" si="79"/>
        <v>62</v>
      </c>
      <c r="F432" s="58">
        <f t="shared" si="79"/>
        <v>5</v>
      </c>
      <c r="G432" s="8">
        <v>202101</v>
      </c>
      <c r="H432" s="8" t="s">
        <v>7014</v>
      </c>
      <c r="I432" s="8">
        <v>202102</v>
      </c>
      <c r="J432" s="8" t="s">
        <v>7015</v>
      </c>
      <c r="K432" s="56">
        <f t="shared" si="71"/>
        <v>44221</v>
      </c>
      <c r="L432" s="56">
        <f t="shared" si="72"/>
        <v>44227</v>
      </c>
      <c r="M432" s="59" t="str">
        <f t="shared" si="73"/>
        <v>25/01/21 @ 
31/01/21</v>
      </c>
    </row>
    <row r="433" spans="2:13" ht="24" x14ac:dyDescent="0.25">
      <c r="B433" s="55">
        <f t="shared" si="78"/>
        <v>431</v>
      </c>
      <c r="C433" s="56">
        <f t="shared" si="78"/>
        <v>44225</v>
      </c>
      <c r="D433" s="57">
        <f t="shared" si="70"/>
        <v>44225</v>
      </c>
      <c r="E433" s="58">
        <f t="shared" si="79"/>
        <v>62</v>
      </c>
      <c r="F433" s="58">
        <f t="shared" si="79"/>
        <v>5</v>
      </c>
      <c r="G433" s="8">
        <v>202101</v>
      </c>
      <c r="H433" s="8" t="s">
        <v>7014</v>
      </c>
      <c r="I433" s="8">
        <v>202102</v>
      </c>
      <c r="J433" s="8" t="s">
        <v>7015</v>
      </c>
      <c r="K433" s="56">
        <f t="shared" si="71"/>
        <v>44221</v>
      </c>
      <c r="L433" s="56">
        <f t="shared" si="72"/>
        <v>44227</v>
      </c>
      <c r="M433" s="59" t="str">
        <f t="shared" si="73"/>
        <v>25/01/21 @ 
31/01/21</v>
      </c>
    </row>
    <row r="434" spans="2:13" ht="24" x14ac:dyDescent="0.25">
      <c r="B434" s="55">
        <f t="shared" si="78"/>
        <v>432</v>
      </c>
      <c r="C434" s="56">
        <f t="shared" si="78"/>
        <v>44226</v>
      </c>
      <c r="D434" s="57">
        <f t="shared" si="70"/>
        <v>44226</v>
      </c>
      <c r="E434" s="58">
        <f t="shared" si="79"/>
        <v>62</v>
      </c>
      <c r="F434" s="58">
        <f t="shared" si="79"/>
        <v>5</v>
      </c>
      <c r="G434" s="8">
        <v>202101</v>
      </c>
      <c r="H434" s="8" t="s">
        <v>7014</v>
      </c>
      <c r="I434" s="8">
        <v>202102</v>
      </c>
      <c r="J434" s="8" t="s">
        <v>7015</v>
      </c>
      <c r="K434" s="56">
        <f t="shared" si="71"/>
        <v>44221</v>
      </c>
      <c r="L434" s="56">
        <f t="shared" si="72"/>
        <v>44227</v>
      </c>
      <c r="M434" s="59" t="str">
        <f t="shared" si="73"/>
        <v>25/01/21 @ 
31/01/21</v>
      </c>
    </row>
    <row r="435" spans="2:13" ht="24" x14ac:dyDescent="0.25">
      <c r="B435" s="55">
        <f t="shared" si="78"/>
        <v>433</v>
      </c>
      <c r="C435" s="56">
        <f t="shared" si="78"/>
        <v>44227</v>
      </c>
      <c r="D435" s="57">
        <f t="shared" si="70"/>
        <v>44227</v>
      </c>
      <c r="E435" s="58">
        <f t="shared" si="79"/>
        <v>62</v>
      </c>
      <c r="F435" s="58">
        <f t="shared" si="79"/>
        <v>5</v>
      </c>
      <c r="G435" s="8">
        <v>202101</v>
      </c>
      <c r="H435" s="8" t="s">
        <v>7014</v>
      </c>
      <c r="I435" s="8">
        <v>202102</v>
      </c>
      <c r="J435" s="8" t="s">
        <v>7015</v>
      </c>
      <c r="K435" s="56">
        <f t="shared" si="71"/>
        <v>44221</v>
      </c>
      <c r="L435" s="56">
        <f t="shared" si="72"/>
        <v>44227</v>
      </c>
      <c r="M435" s="59" t="str">
        <f t="shared" si="73"/>
        <v>25/01/21 @ 
31/01/21</v>
      </c>
    </row>
    <row r="436" spans="2:13" ht="24" x14ac:dyDescent="0.25">
      <c r="B436" s="55">
        <f t="shared" si="78"/>
        <v>434</v>
      </c>
      <c r="C436" s="56">
        <f t="shared" si="78"/>
        <v>44228</v>
      </c>
      <c r="D436" s="57">
        <f t="shared" si="70"/>
        <v>44228</v>
      </c>
      <c r="E436" s="58">
        <f t="shared" si="79"/>
        <v>63</v>
      </c>
      <c r="F436" s="58">
        <f t="shared" si="79"/>
        <v>6</v>
      </c>
      <c r="G436" s="8">
        <v>202102</v>
      </c>
      <c r="H436" s="8" t="s">
        <v>7015</v>
      </c>
      <c r="I436" s="8">
        <v>202102</v>
      </c>
      <c r="J436" s="8" t="s">
        <v>7015</v>
      </c>
      <c r="K436" s="56">
        <f t="shared" si="71"/>
        <v>44228</v>
      </c>
      <c r="L436" s="56">
        <f t="shared" si="72"/>
        <v>44234</v>
      </c>
      <c r="M436" s="59" t="str">
        <f t="shared" si="73"/>
        <v>01/02/21 @ 
07/02/21</v>
      </c>
    </row>
    <row r="437" spans="2:13" ht="24" x14ac:dyDescent="0.25">
      <c r="B437" s="55">
        <f t="shared" ref="B437:C452" si="80">+B436+1</f>
        <v>435</v>
      </c>
      <c r="C437" s="56">
        <f t="shared" si="80"/>
        <v>44229</v>
      </c>
      <c r="D437" s="57">
        <f t="shared" si="70"/>
        <v>44229</v>
      </c>
      <c r="E437" s="58">
        <f t="shared" si="79"/>
        <v>63</v>
      </c>
      <c r="F437" s="58">
        <f t="shared" si="79"/>
        <v>6</v>
      </c>
      <c r="G437" s="8">
        <v>202102</v>
      </c>
      <c r="H437" s="8" t="s">
        <v>7015</v>
      </c>
      <c r="I437" s="8">
        <v>202102</v>
      </c>
      <c r="J437" s="8" t="s">
        <v>7015</v>
      </c>
      <c r="K437" s="56">
        <f t="shared" si="71"/>
        <v>44228</v>
      </c>
      <c r="L437" s="56">
        <f t="shared" si="72"/>
        <v>44234</v>
      </c>
      <c r="M437" s="59" t="str">
        <f t="shared" si="73"/>
        <v>01/02/21 @ 
07/02/21</v>
      </c>
    </row>
    <row r="438" spans="2:13" ht="24" x14ac:dyDescent="0.25">
      <c r="B438" s="55">
        <f t="shared" si="80"/>
        <v>436</v>
      </c>
      <c r="C438" s="56">
        <f t="shared" si="80"/>
        <v>44230</v>
      </c>
      <c r="D438" s="57">
        <f t="shared" si="70"/>
        <v>44230</v>
      </c>
      <c r="E438" s="58">
        <f t="shared" si="79"/>
        <v>63</v>
      </c>
      <c r="F438" s="58">
        <f t="shared" si="79"/>
        <v>6</v>
      </c>
      <c r="G438" s="8">
        <v>202102</v>
      </c>
      <c r="H438" s="8" t="s">
        <v>7015</v>
      </c>
      <c r="I438" s="8">
        <v>202102</v>
      </c>
      <c r="J438" s="8" t="s">
        <v>7015</v>
      </c>
      <c r="K438" s="56">
        <f t="shared" si="71"/>
        <v>44228</v>
      </c>
      <c r="L438" s="56">
        <f t="shared" si="72"/>
        <v>44234</v>
      </c>
      <c r="M438" s="59" t="str">
        <f t="shared" si="73"/>
        <v>01/02/21 @ 
07/02/21</v>
      </c>
    </row>
    <row r="439" spans="2:13" ht="24" x14ac:dyDescent="0.25">
      <c r="B439" s="55">
        <f t="shared" si="80"/>
        <v>437</v>
      </c>
      <c r="C439" s="56">
        <f t="shared" si="80"/>
        <v>44231</v>
      </c>
      <c r="D439" s="57">
        <f t="shared" si="70"/>
        <v>44231</v>
      </c>
      <c r="E439" s="58">
        <f t="shared" si="79"/>
        <v>63</v>
      </c>
      <c r="F439" s="58">
        <f t="shared" si="79"/>
        <v>6</v>
      </c>
      <c r="G439" s="8">
        <v>202102</v>
      </c>
      <c r="H439" s="8" t="s">
        <v>7015</v>
      </c>
      <c r="I439" s="8">
        <v>202102</v>
      </c>
      <c r="J439" s="8" t="s">
        <v>7015</v>
      </c>
      <c r="K439" s="56">
        <f t="shared" si="71"/>
        <v>44228</v>
      </c>
      <c r="L439" s="56">
        <f t="shared" si="72"/>
        <v>44234</v>
      </c>
      <c r="M439" s="59" t="str">
        <f t="shared" si="73"/>
        <v>01/02/21 @ 
07/02/21</v>
      </c>
    </row>
    <row r="440" spans="2:13" ht="24" x14ac:dyDescent="0.25">
      <c r="B440" s="55">
        <f t="shared" si="80"/>
        <v>438</v>
      </c>
      <c r="C440" s="56">
        <f t="shared" si="80"/>
        <v>44232</v>
      </c>
      <c r="D440" s="57">
        <f t="shared" si="70"/>
        <v>44232</v>
      </c>
      <c r="E440" s="58">
        <f t="shared" si="79"/>
        <v>63</v>
      </c>
      <c r="F440" s="58">
        <f t="shared" si="79"/>
        <v>6</v>
      </c>
      <c r="G440" s="8">
        <v>202102</v>
      </c>
      <c r="H440" s="8" t="s">
        <v>7015</v>
      </c>
      <c r="I440" s="8">
        <v>202102</v>
      </c>
      <c r="J440" s="8" t="s">
        <v>7015</v>
      </c>
      <c r="K440" s="56">
        <f t="shared" si="71"/>
        <v>44228</v>
      </c>
      <c r="L440" s="56">
        <f t="shared" si="72"/>
        <v>44234</v>
      </c>
      <c r="M440" s="59" t="str">
        <f t="shared" si="73"/>
        <v>01/02/21 @ 
07/02/21</v>
      </c>
    </row>
    <row r="441" spans="2:13" ht="24" x14ac:dyDescent="0.25">
      <c r="B441" s="55">
        <f t="shared" si="80"/>
        <v>439</v>
      </c>
      <c r="C441" s="56">
        <f t="shared" si="80"/>
        <v>44233</v>
      </c>
      <c r="D441" s="57">
        <f t="shared" si="70"/>
        <v>44233</v>
      </c>
      <c r="E441" s="58">
        <f t="shared" si="79"/>
        <v>63</v>
      </c>
      <c r="F441" s="58">
        <f t="shared" si="79"/>
        <v>6</v>
      </c>
      <c r="G441" s="8">
        <v>202102</v>
      </c>
      <c r="H441" s="8" t="s">
        <v>7015</v>
      </c>
      <c r="I441" s="8">
        <v>202102</v>
      </c>
      <c r="J441" s="8" t="s">
        <v>7015</v>
      </c>
      <c r="K441" s="56">
        <f t="shared" si="71"/>
        <v>44228</v>
      </c>
      <c r="L441" s="56">
        <f t="shared" si="72"/>
        <v>44234</v>
      </c>
      <c r="M441" s="59" t="str">
        <f t="shared" si="73"/>
        <v>01/02/21 @ 
07/02/21</v>
      </c>
    </row>
    <row r="442" spans="2:13" ht="24" x14ac:dyDescent="0.25">
      <c r="B442" s="55">
        <f t="shared" si="80"/>
        <v>440</v>
      </c>
      <c r="C442" s="56">
        <f t="shared" si="80"/>
        <v>44234</v>
      </c>
      <c r="D442" s="57">
        <f t="shared" si="70"/>
        <v>44234</v>
      </c>
      <c r="E442" s="58">
        <f t="shared" ref="E442:F457" si="81">+E435+1</f>
        <v>63</v>
      </c>
      <c r="F442" s="58">
        <f t="shared" si="81"/>
        <v>6</v>
      </c>
      <c r="G442" s="8">
        <v>202102</v>
      </c>
      <c r="H442" s="8" t="s">
        <v>7015</v>
      </c>
      <c r="I442" s="8">
        <v>202102</v>
      </c>
      <c r="J442" s="8" t="s">
        <v>7015</v>
      </c>
      <c r="K442" s="56">
        <f t="shared" si="71"/>
        <v>44228</v>
      </c>
      <c r="L442" s="56">
        <f t="shared" si="72"/>
        <v>44234</v>
      </c>
      <c r="M442" s="59" t="str">
        <f t="shared" si="73"/>
        <v>01/02/21 @ 
07/02/21</v>
      </c>
    </row>
    <row r="443" spans="2:13" ht="24" x14ac:dyDescent="0.25">
      <c r="B443" s="55">
        <f t="shared" si="80"/>
        <v>441</v>
      </c>
      <c r="C443" s="56">
        <f t="shared" si="80"/>
        <v>44235</v>
      </c>
      <c r="D443" s="57">
        <f t="shared" si="70"/>
        <v>44235</v>
      </c>
      <c r="E443" s="58">
        <f t="shared" si="81"/>
        <v>64</v>
      </c>
      <c r="F443" s="58">
        <f t="shared" si="81"/>
        <v>7</v>
      </c>
      <c r="G443" s="8">
        <v>202102</v>
      </c>
      <c r="H443" s="8" t="s">
        <v>7015</v>
      </c>
      <c r="I443" s="8">
        <v>202102</v>
      </c>
      <c r="J443" s="8" t="s">
        <v>7015</v>
      </c>
      <c r="K443" s="56">
        <f t="shared" si="71"/>
        <v>44235</v>
      </c>
      <c r="L443" s="56">
        <f t="shared" si="72"/>
        <v>44241</v>
      </c>
      <c r="M443" s="59" t="str">
        <f t="shared" si="73"/>
        <v>08/02/21 @ 
14/02/21</v>
      </c>
    </row>
    <row r="444" spans="2:13" ht="24" x14ac:dyDescent="0.25">
      <c r="B444" s="55">
        <f t="shared" si="80"/>
        <v>442</v>
      </c>
      <c r="C444" s="56">
        <f t="shared" si="80"/>
        <v>44236</v>
      </c>
      <c r="D444" s="57">
        <f t="shared" si="70"/>
        <v>44236</v>
      </c>
      <c r="E444" s="58">
        <f t="shared" si="81"/>
        <v>64</v>
      </c>
      <c r="F444" s="58">
        <f t="shared" si="81"/>
        <v>7</v>
      </c>
      <c r="G444" s="8">
        <v>202102</v>
      </c>
      <c r="H444" s="8" t="s">
        <v>7015</v>
      </c>
      <c r="I444" s="8">
        <v>202102</v>
      </c>
      <c r="J444" s="8" t="s">
        <v>7015</v>
      </c>
      <c r="K444" s="56">
        <f t="shared" si="71"/>
        <v>44235</v>
      </c>
      <c r="L444" s="56">
        <f t="shared" si="72"/>
        <v>44241</v>
      </c>
      <c r="M444" s="59" t="str">
        <f t="shared" si="73"/>
        <v>08/02/21 @ 
14/02/21</v>
      </c>
    </row>
    <row r="445" spans="2:13" ht="24" x14ac:dyDescent="0.25">
      <c r="B445" s="55">
        <f t="shared" si="80"/>
        <v>443</v>
      </c>
      <c r="C445" s="56">
        <f t="shared" si="80"/>
        <v>44237</v>
      </c>
      <c r="D445" s="57">
        <f t="shared" si="70"/>
        <v>44237</v>
      </c>
      <c r="E445" s="58">
        <f t="shared" si="81"/>
        <v>64</v>
      </c>
      <c r="F445" s="58">
        <f t="shared" si="81"/>
        <v>7</v>
      </c>
      <c r="G445" s="8">
        <v>202102</v>
      </c>
      <c r="H445" s="8" t="s">
        <v>7015</v>
      </c>
      <c r="I445" s="8">
        <v>202102</v>
      </c>
      <c r="J445" s="8" t="s">
        <v>7015</v>
      </c>
      <c r="K445" s="56">
        <f t="shared" si="71"/>
        <v>44235</v>
      </c>
      <c r="L445" s="56">
        <f t="shared" si="72"/>
        <v>44241</v>
      </c>
      <c r="M445" s="59" t="str">
        <f t="shared" si="73"/>
        <v>08/02/21 @ 
14/02/21</v>
      </c>
    </row>
    <row r="446" spans="2:13" ht="24" x14ac:dyDescent="0.25">
      <c r="B446" s="55">
        <f t="shared" si="80"/>
        <v>444</v>
      </c>
      <c r="C446" s="56">
        <f t="shared" si="80"/>
        <v>44238</v>
      </c>
      <c r="D446" s="57">
        <f t="shared" si="70"/>
        <v>44238</v>
      </c>
      <c r="E446" s="58">
        <f t="shared" si="81"/>
        <v>64</v>
      </c>
      <c r="F446" s="58">
        <f t="shared" si="81"/>
        <v>7</v>
      </c>
      <c r="G446" s="8">
        <v>202102</v>
      </c>
      <c r="H446" s="8" t="s">
        <v>7015</v>
      </c>
      <c r="I446" s="8">
        <v>202102</v>
      </c>
      <c r="J446" s="8" t="s">
        <v>7015</v>
      </c>
      <c r="K446" s="56">
        <f t="shared" si="71"/>
        <v>44235</v>
      </c>
      <c r="L446" s="56">
        <f t="shared" si="72"/>
        <v>44241</v>
      </c>
      <c r="M446" s="59" t="str">
        <f t="shared" si="73"/>
        <v>08/02/21 @ 
14/02/21</v>
      </c>
    </row>
    <row r="447" spans="2:13" ht="24" x14ac:dyDescent="0.25">
      <c r="B447" s="55">
        <f t="shared" si="80"/>
        <v>445</v>
      </c>
      <c r="C447" s="56">
        <f t="shared" si="80"/>
        <v>44239</v>
      </c>
      <c r="D447" s="57">
        <f t="shared" si="70"/>
        <v>44239</v>
      </c>
      <c r="E447" s="58">
        <f t="shared" si="81"/>
        <v>64</v>
      </c>
      <c r="F447" s="58">
        <f t="shared" si="81"/>
        <v>7</v>
      </c>
      <c r="G447" s="8">
        <v>202102</v>
      </c>
      <c r="H447" s="8" t="s">
        <v>7015</v>
      </c>
      <c r="I447" s="8">
        <v>202102</v>
      </c>
      <c r="J447" s="8" t="s">
        <v>7015</v>
      </c>
      <c r="K447" s="56">
        <f t="shared" si="71"/>
        <v>44235</v>
      </c>
      <c r="L447" s="56">
        <f t="shared" si="72"/>
        <v>44241</v>
      </c>
      <c r="M447" s="59" t="str">
        <f t="shared" si="73"/>
        <v>08/02/21 @ 
14/02/21</v>
      </c>
    </row>
    <row r="448" spans="2:13" ht="24" x14ac:dyDescent="0.25">
      <c r="B448" s="55">
        <f t="shared" si="80"/>
        <v>446</v>
      </c>
      <c r="C448" s="56">
        <f t="shared" si="80"/>
        <v>44240</v>
      </c>
      <c r="D448" s="57">
        <f t="shared" si="70"/>
        <v>44240</v>
      </c>
      <c r="E448" s="58">
        <f t="shared" si="81"/>
        <v>64</v>
      </c>
      <c r="F448" s="58">
        <f t="shared" si="81"/>
        <v>7</v>
      </c>
      <c r="G448" s="8">
        <v>202102</v>
      </c>
      <c r="H448" s="8" t="s">
        <v>7015</v>
      </c>
      <c r="I448" s="8">
        <v>202102</v>
      </c>
      <c r="J448" s="8" t="s">
        <v>7015</v>
      </c>
      <c r="K448" s="56">
        <f t="shared" si="71"/>
        <v>44235</v>
      </c>
      <c r="L448" s="56">
        <f t="shared" si="72"/>
        <v>44241</v>
      </c>
      <c r="M448" s="59" t="str">
        <f t="shared" si="73"/>
        <v>08/02/21 @ 
14/02/21</v>
      </c>
    </row>
    <row r="449" spans="2:13" ht="24" x14ac:dyDescent="0.25">
      <c r="B449" s="55">
        <f t="shared" si="80"/>
        <v>447</v>
      </c>
      <c r="C449" s="56">
        <f t="shared" si="80"/>
        <v>44241</v>
      </c>
      <c r="D449" s="57">
        <f t="shared" si="70"/>
        <v>44241</v>
      </c>
      <c r="E449" s="58">
        <f t="shared" si="81"/>
        <v>64</v>
      </c>
      <c r="F449" s="58">
        <f t="shared" si="81"/>
        <v>7</v>
      </c>
      <c r="G449" s="8">
        <v>202102</v>
      </c>
      <c r="H449" s="8" t="s">
        <v>7015</v>
      </c>
      <c r="I449" s="8">
        <v>202102</v>
      </c>
      <c r="J449" s="8" t="s">
        <v>7015</v>
      </c>
      <c r="K449" s="56">
        <f t="shared" si="71"/>
        <v>44235</v>
      </c>
      <c r="L449" s="56">
        <f t="shared" si="72"/>
        <v>44241</v>
      </c>
      <c r="M449" s="59" t="str">
        <f t="shared" si="73"/>
        <v>08/02/21 @ 
14/02/21</v>
      </c>
    </row>
    <row r="450" spans="2:13" ht="24" x14ac:dyDescent="0.25">
      <c r="B450" s="55">
        <f t="shared" si="80"/>
        <v>448</v>
      </c>
      <c r="C450" s="56">
        <f t="shared" si="80"/>
        <v>44242</v>
      </c>
      <c r="D450" s="57">
        <f t="shared" si="70"/>
        <v>44242</v>
      </c>
      <c r="E450" s="58">
        <f t="shared" si="81"/>
        <v>65</v>
      </c>
      <c r="F450" s="58">
        <f t="shared" si="81"/>
        <v>8</v>
      </c>
      <c r="G450" s="8">
        <v>202102</v>
      </c>
      <c r="H450" s="8" t="s">
        <v>7015</v>
      </c>
      <c r="I450" s="8">
        <v>202102</v>
      </c>
      <c r="J450" s="8" t="s">
        <v>7015</v>
      </c>
      <c r="K450" s="56">
        <f t="shared" si="71"/>
        <v>44242</v>
      </c>
      <c r="L450" s="56">
        <f t="shared" si="72"/>
        <v>44248</v>
      </c>
      <c r="M450" s="59" t="str">
        <f t="shared" si="73"/>
        <v>15/02/21 @ 
21/02/21</v>
      </c>
    </row>
    <row r="451" spans="2:13" ht="24" x14ac:dyDescent="0.25">
      <c r="B451" s="55">
        <f t="shared" si="80"/>
        <v>449</v>
      </c>
      <c r="C451" s="56">
        <f t="shared" si="80"/>
        <v>44243</v>
      </c>
      <c r="D451" s="57">
        <f t="shared" ref="D451:D514" si="82">+C451</f>
        <v>44243</v>
      </c>
      <c r="E451" s="58">
        <f t="shared" si="81"/>
        <v>65</v>
      </c>
      <c r="F451" s="58">
        <f t="shared" si="81"/>
        <v>8</v>
      </c>
      <c r="G451" s="8">
        <v>202102</v>
      </c>
      <c r="H451" s="8" t="s">
        <v>7015</v>
      </c>
      <c r="I451" s="8">
        <v>202102</v>
      </c>
      <c r="J451" s="8" t="s">
        <v>7015</v>
      </c>
      <c r="K451" s="56">
        <f t="shared" ref="K451:K514" si="83">_xlfn.MINIFS($C$2:$C$890,$E$2:$E$890,E451)</f>
        <v>44242</v>
      </c>
      <c r="L451" s="56">
        <f t="shared" ref="L451:L514" si="84">_xlfn.MAXIFS($C$2:$C$890,$E$2:$E$890,E451)</f>
        <v>44248</v>
      </c>
      <c r="M451" s="59" t="str">
        <f t="shared" ref="M451:M514" si="85">CONCATENATE(TEXT(K451,"DD/MM/YY")," @ ",CHAR(10),TEXT(L451,"DD/MM/YY"))</f>
        <v>15/02/21 @ 
21/02/21</v>
      </c>
    </row>
    <row r="452" spans="2:13" ht="24" x14ac:dyDescent="0.25">
      <c r="B452" s="55">
        <f t="shared" si="80"/>
        <v>450</v>
      </c>
      <c r="C452" s="56">
        <f t="shared" si="80"/>
        <v>44244</v>
      </c>
      <c r="D452" s="57">
        <f t="shared" si="82"/>
        <v>44244</v>
      </c>
      <c r="E452" s="58">
        <f t="shared" si="81"/>
        <v>65</v>
      </c>
      <c r="F452" s="58">
        <f t="shared" si="81"/>
        <v>8</v>
      </c>
      <c r="G452" s="8">
        <v>202102</v>
      </c>
      <c r="H452" s="8" t="s">
        <v>7015</v>
      </c>
      <c r="I452" s="8">
        <v>202102</v>
      </c>
      <c r="J452" s="8" t="s">
        <v>7015</v>
      </c>
      <c r="K452" s="56">
        <f t="shared" si="83"/>
        <v>44242</v>
      </c>
      <c r="L452" s="56">
        <f t="shared" si="84"/>
        <v>44248</v>
      </c>
      <c r="M452" s="59" t="str">
        <f t="shared" si="85"/>
        <v>15/02/21 @ 
21/02/21</v>
      </c>
    </row>
    <row r="453" spans="2:13" ht="24" x14ac:dyDescent="0.25">
      <c r="B453" s="55">
        <f t="shared" ref="B453:C468" si="86">+B452+1</f>
        <v>451</v>
      </c>
      <c r="C453" s="56">
        <f t="shared" si="86"/>
        <v>44245</v>
      </c>
      <c r="D453" s="57">
        <f t="shared" si="82"/>
        <v>44245</v>
      </c>
      <c r="E453" s="58">
        <f t="shared" si="81"/>
        <v>65</v>
      </c>
      <c r="F453" s="58">
        <f t="shared" si="81"/>
        <v>8</v>
      </c>
      <c r="G453" s="8">
        <v>202102</v>
      </c>
      <c r="H453" s="8" t="s">
        <v>7015</v>
      </c>
      <c r="I453" s="8">
        <v>202102</v>
      </c>
      <c r="J453" s="8" t="s">
        <v>7015</v>
      </c>
      <c r="K453" s="56">
        <f t="shared" si="83"/>
        <v>44242</v>
      </c>
      <c r="L453" s="56">
        <f t="shared" si="84"/>
        <v>44248</v>
      </c>
      <c r="M453" s="59" t="str">
        <f t="shared" si="85"/>
        <v>15/02/21 @ 
21/02/21</v>
      </c>
    </row>
    <row r="454" spans="2:13" ht="24" x14ac:dyDescent="0.25">
      <c r="B454" s="55">
        <f t="shared" si="86"/>
        <v>452</v>
      </c>
      <c r="C454" s="56">
        <f t="shared" si="86"/>
        <v>44246</v>
      </c>
      <c r="D454" s="57">
        <f t="shared" si="82"/>
        <v>44246</v>
      </c>
      <c r="E454" s="58">
        <f t="shared" si="81"/>
        <v>65</v>
      </c>
      <c r="F454" s="58">
        <f t="shared" si="81"/>
        <v>8</v>
      </c>
      <c r="G454" s="8">
        <v>202102</v>
      </c>
      <c r="H454" s="8" t="s">
        <v>7015</v>
      </c>
      <c r="I454" s="8">
        <v>202102</v>
      </c>
      <c r="J454" s="8" t="s">
        <v>7015</v>
      </c>
      <c r="K454" s="56">
        <f t="shared" si="83"/>
        <v>44242</v>
      </c>
      <c r="L454" s="56">
        <f t="shared" si="84"/>
        <v>44248</v>
      </c>
      <c r="M454" s="59" t="str">
        <f t="shared" si="85"/>
        <v>15/02/21 @ 
21/02/21</v>
      </c>
    </row>
    <row r="455" spans="2:13" ht="24" x14ac:dyDescent="0.25">
      <c r="B455" s="55">
        <f t="shared" si="86"/>
        <v>453</v>
      </c>
      <c r="C455" s="56">
        <f t="shared" si="86"/>
        <v>44247</v>
      </c>
      <c r="D455" s="57">
        <f t="shared" si="82"/>
        <v>44247</v>
      </c>
      <c r="E455" s="58">
        <f t="shared" si="81"/>
        <v>65</v>
      </c>
      <c r="F455" s="58">
        <f t="shared" si="81"/>
        <v>8</v>
      </c>
      <c r="G455" s="8">
        <v>202102</v>
      </c>
      <c r="H455" s="8" t="s">
        <v>7015</v>
      </c>
      <c r="I455" s="8">
        <v>202102</v>
      </c>
      <c r="J455" s="8" t="s">
        <v>7015</v>
      </c>
      <c r="K455" s="56">
        <f t="shared" si="83"/>
        <v>44242</v>
      </c>
      <c r="L455" s="56">
        <f t="shared" si="84"/>
        <v>44248</v>
      </c>
      <c r="M455" s="59" t="str">
        <f t="shared" si="85"/>
        <v>15/02/21 @ 
21/02/21</v>
      </c>
    </row>
    <row r="456" spans="2:13" ht="24" x14ac:dyDescent="0.25">
      <c r="B456" s="55">
        <f t="shared" si="86"/>
        <v>454</v>
      </c>
      <c r="C456" s="56">
        <f t="shared" si="86"/>
        <v>44248</v>
      </c>
      <c r="D456" s="57">
        <f t="shared" si="82"/>
        <v>44248</v>
      </c>
      <c r="E456" s="58">
        <f t="shared" si="81"/>
        <v>65</v>
      </c>
      <c r="F456" s="58">
        <f t="shared" si="81"/>
        <v>8</v>
      </c>
      <c r="G456" s="8">
        <v>202102</v>
      </c>
      <c r="H456" s="8" t="s">
        <v>7015</v>
      </c>
      <c r="I456" s="8">
        <v>202103</v>
      </c>
      <c r="J456" s="8" t="s">
        <v>7016</v>
      </c>
      <c r="K456" s="56">
        <f t="shared" si="83"/>
        <v>44242</v>
      </c>
      <c r="L456" s="56">
        <f t="shared" si="84"/>
        <v>44248</v>
      </c>
      <c r="M456" s="59" t="str">
        <f t="shared" si="85"/>
        <v>15/02/21 @ 
21/02/21</v>
      </c>
    </row>
    <row r="457" spans="2:13" ht="24" x14ac:dyDescent="0.25">
      <c r="B457" s="55">
        <f t="shared" si="86"/>
        <v>455</v>
      </c>
      <c r="C457" s="56">
        <f t="shared" si="86"/>
        <v>44249</v>
      </c>
      <c r="D457" s="57">
        <f t="shared" si="82"/>
        <v>44249</v>
      </c>
      <c r="E457" s="58">
        <f t="shared" si="81"/>
        <v>66</v>
      </c>
      <c r="F457" s="58">
        <f t="shared" si="81"/>
        <v>9</v>
      </c>
      <c r="G457" s="8">
        <v>202102</v>
      </c>
      <c r="H457" s="8" t="s">
        <v>7015</v>
      </c>
      <c r="I457" s="8">
        <v>202103</v>
      </c>
      <c r="J457" s="8" t="s">
        <v>7016</v>
      </c>
      <c r="K457" s="56">
        <f t="shared" si="83"/>
        <v>44249</v>
      </c>
      <c r="L457" s="56">
        <f t="shared" si="84"/>
        <v>44255</v>
      </c>
      <c r="M457" s="59" t="str">
        <f t="shared" si="85"/>
        <v>22/02/21 @ 
28/02/21</v>
      </c>
    </row>
    <row r="458" spans="2:13" ht="24" x14ac:dyDescent="0.25">
      <c r="B458" s="55">
        <f t="shared" si="86"/>
        <v>456</v>
      </c>
      <c r="C458" s="56">
        <f t="shared" si="86"/>
        <v>44250</v>
      </c>
      <c r="D458" s="57">
        <f t="shared" si="82"/>
        <v>44250</v>
      </c>
      <c r="E458" s="58">
        <f t="shared" ref="E458:F473" si="87">+E451+1</f>
        <v>66</v>
      </c>
      <c r="F458" s="58">
        <f t="shared" si="87"/>
        <v>9</v>
      </c>
      <c r="G458" s="8">
        <v>202102</v>
      </c>
      <c r="H458" s="8" t="s">
        <v>7015</v>
      </c>
      <c r="I458" s="8">
        <v>202103</v>
      </c>
      <c r="J458" s="8" t="s">
        <v>7016</v>
      </c>
      <c r="K458" s="56">
        <f t="shared" si="83"/>
        <v>44249</v>
      </c>
      <c r="L458" s="56">
        <f t="shared" si="84"/>
        <v>44255</v>
      </c>
      <c r="M458" s="59" t="str">
        <f t="shared" si="85"/>
        <v>22/02/21 @ 
28/02/21</v>
      </c>
    </row>
    <row r="459" spans="2:13" ht="24" x14ac:dyDescent="0.25">
      <c r="B459" s="55">
        <f t="shared" si="86"/>
        <v>457</v>
      </c>
      <c r="C459" s="56">
        <f t="shared" si="86"/>
        <v>44251</v>
      </c>
      <c r="D459" s="57">
        <f t="shared" si="82"/>
        <v>44251</v>
      </c>
      <c r="E459" s="58">
        <f t="shared" si="87"/>
        <v>66</v>
      </c>
      <c r="F459" s="58">
        <f t="shared" si="87"/>
        <v>9</v>
      </c>
      <c r="G459" s="8">
        <v>202102</v>
      </c>
      <c r="H459" s="8" t="s">
        <v>7015</v>
      </c>
      <c r="I459" s="8">
        <v>202103</v>
      </c>
      <c r="J459" s="8" t="s">
        <v>7016</v>
      </c>
      <c r="K459" s="56">
        <f t="shared" si="83"/>
        <v>44249</v>
      </c>
      <c r="L459" s="56">
        <f t="shared" si="84"/>
        <v>44255</v>
      </c>
      <c r="M459" s="59" t="str">
        <f t="shared" si="85"/>
        <v>22/02/21 @ 
28/02/21</v>
      </c>
    </row>
    <row r="460" spans="2:13" ht="24" x14ac:dyDescent="0.25">
      <c r="B460" s="55">
        <f t="shared" si="86"/>
        <v>458</v>
      </c>
      <c r="C460" s="56">
        <f t="shared" si="86"/>
        <v>44252</v>
      </c>
      <c r="D460" s="57">
        <f t="shared" si="82"/>
        <v>44252</v>
      </c>
      <c r="E460" s="58">
        <f t="shared" si="87"/>
        <v>66</v>
      </c>
      <c r="F460" s="58">
        <f t="shared" si="87"/>
        <v>9</v>
      </c>
      <c r="G460" s="8">
        <v>202102</v>
      </c>
      <c r="H460" s="8" t="s">
        <v>7015</v>
      </c>
      <c r="I460" s="8">
        <v>202103</v>
      </c>
      <c r="J460" s="8" t="s">
        <v>7016</v>
      </c>
      <c r="K460" s="56">
        <f t="shared" si="83"/>
        <v>44249</v>
      </c>
      <c r="L460" s="56">
        <f t="shared" si="84"/>
        <v>44255</v>
      </c>
      <c r="M460" s="59" t="str">
        <f t="shared" si="85"/>
        <v>22/02/21 @ 
28/02/21</v>
      </c>
    </row>
    <row r="461" spans="2:13" ht="24" x14ac:dyDescent="0.25">
      <c r="B461" s="55">
        <f t="shared" si="86"/>
        <v>459</v>
      </c>
      <c r="C461" s="56">
        <f t="shared" si="86"/>
        <v>44253</v>
      </c>
      <c r="D461" s="57">
        <f t="shared" si="82"/>
        <v>44253</v>
      </c>
      <c r="E461" s="58">
        <f t="shared" si="87"/>
        <v>66</v>
      </c>
      <c r="F461" s="58">
        <f t="shared" si="87"/>
        <v>9</v>
      </c>
      <c r="G461" s="8">
        <v>202102</v>
      </c>
      <c r="H461" s="8" t="s">
        <v>7015</v>
      </c>
      <c r="I461" s="8">
        <v>202103</v>
      </c>
      <c r="J461" s="8" t="s">
        <v>7016</v>
      </c>
      <c r="K461" s="56">
        <f t="shared" si="83"/>
        <v>44249</v>
      </c>
      <c r="L461" s="56">
        <f t="shared" si="84"/>
        <v>44255</v>
      </c>
      <c r="M461" s="59" t="str">
        <f t="shared" si="85"/>
        <v>22/02/21 @ 
28/02/21</v>
      </c>
    </row>
    <row r="462" spans="2:13" ht="24" x14ac:dyDescent="0.25">
      <c r="B462" s="55">
        <f t="shared" si="86"/>
        <v>460</v>
      </c>
      <c r="C462" s="56">
        <f t="shared" si="86"/>
        <v>44254</v>
      </c>
      <c r="D462" s="57">
        <f t="shared" si="82"/>
        <v>44254</v>
      </c>
      <c r="E462" s="58">
        <f t="shared" si="87"/>
        <v>66</v>
      </c>
      <c r="F462" s="58">
        <f t="shared" si="87"/>
        <v>9</v>
      </c>
      <c r="G462" s="8">
        <v>202102</v>
      </c>
      <c r="H462" s="8" t="s">
        <v>7015</v>
      </c>
      <c r="I462" s="8">
        <v>202103</v>
      </c>
      <c r="J462" s="8" t="s">
        <v>7016</v>
      </c>
      <c r="K462" s="56">
        <f t="shared" si="83"/>
        <v>44249</v>
      </c>
      <c r="L462" s="56">
        <f t="shared" si="84"/>
        <v>44255</v>
      </c>
      <c r="M462" s="59" t="str">
        <f t="shared" si="85"/>
        <v>22/02/21 @ 
28/02/21</v>
      </c>
    </row>
    <row r="463" spans="2:13" ht="24" x14ac:dyDescent="0.25">
      <c r="B463" s="55">
        <f t="shared" si="86"/>
        <v>461</v>
      </c>
      <c r="C463" s="56">
        <f t="shared" si="86"/>
        <v>44255</v>
      </c>
      <c r="D463" s="57">
        <f t="shared" si="82"/>
        <v>44255</v>
      </c>
      <c r="E463" s="58">
        <f t="shared" si="87"/>
        <v>66</v>
      </c>
      <c r="F463" s="58">
        <f t="shared" si="87"/>
        <v>9</v>
      </c>
      <c r="G463" s="8">
        <v>202102</v>
      </c>
      <c r="H463" s="8" t="s">
        <v>7015</v>
      </c>
      <c r="I463" s="8">
        <v>202103</v>
      </c>
      <c r="J463" s="8" t="s">
        <v>7016</v>
      </c>
      <c r="K463" s="56">
        <f t="shared" si="83"/>
        <v>44249</v>
      </c>
      <c r="L463" s="56">
        <f t="shared" si="84"/>
        <v>44255</v>
      </c>
      <c r="M463" s="59" t="str">
        <f t="shared" si="85"/>
        <v>22/02/21 @ 
28/02/21</v>
      </c>
    </row>
    <row r="464" spans="2:13" ht="24" x14ac:dyDescent="0.25">
      <c r="B464" s="55">
        <f t="shared" si="86"/>
        <v>462</v>
      </c>
      <c r="C464" s="56">
        <f t="shared" si="86"/>
        <v>44256</v>
      </c>
      <c r="D464" s="57">
        <f t="shared" si="82"/>
        <v>44256</v>
      </c>
      <c r="E464" s="58">
        <f t="shared" si="87"/>
        <v>67</v>
      </c>
      <c r="F464" s="58">
        <f t="shared" si="87"/>
        <v>10</v>
      </c>
      <c r="G464" s="8">
        <v>202103</v>
      </c>
      <c r="H464" s="8" t="s">
        <v>7016</v>
      </c>
      <c r="I464" s="8">
        <v>202103</v>
      </c>
      <c r="J464" s="8" t="s">
        <v>7016</v>
      </c>
      <c r="K464" s="56">
        <f t="shared" si="83"/>
        <v>44256</v>
      </c>
      <c r="L464" s="56">
        <f t="shared" si="84"/>
        <v>44262</v>
      </c>
      <c r="M464" s="59" t="str">
        <f t="shared" si="85"/>
        <v>01/03/21 @ 
07/03/21</v>
      </c>
    </row>
    <row r="465" spans="2:13" ht="24" x14ac:dyDescent="0.25">
      <c r="B465" s="55">
        <f t="shared" si="86"/>
        <v>463</v>
      </c>
      <c r="C465" s="56">
        <f t="shared" si="86"/>
        <v>44257</v>
      </c>
      <c r="D465" s="57">
        <f t="shared" si="82"/>
        <v>44257</v>
      </c>
      <c r="E465" s="58">
        <f t="shared" si="87"/>
        <v>67</v>
      </c>
      <c r="F465" s="58">
        <f t="shared" si="87"/>
        <v>10</v>
      </c>
      <c r="G465" s="8">
        <v>202103</v>
      </c>
      <c r="H465" s="8" t="s">
        <v>7016</v>
      </c>
      <c r="I465" s="8">
        <v>202103</v>
      </c>
      <c r="J465" s="8" t="s">
        <v>7016</v>
      </c>
      <c r="K465" s="56">
        <f t="shared" si="83"/>
        <v>44256</v>
      </c>
      <c r="L465" s="56">
        <f t="shared" si="84"/>
        <v>44262</v>
      </c>
      <c r="M465" s="59" t="str">
        <f t="shared" si="85"/>
        <v>01/03/21 @ 
07/03/21</v>
      </c>
    </row>
    <row r="466" spans="2:13" ht="24" x14ac:dyDescent="0.25">
      <c r="B466" s="55">
        <f t="shared" si="86"/>
        <v>464</v>
      </c>
      <c r="C466" s="56">
        <f t="shared" si="86"/>
        <v>44258</v>
      </c>
      <c r="D466" s="57">
        <f t="shared" si="82"/>
        <v>44258</v>
      </c>
      <c r="E466" s="58">
        <f t="shared" si="87"/>
        <v>67</v>
      </c>
      <c r="F466" s="58">
        <f t="shared" si="87"/>
        <v>10</v>
      </c>
      <c r="G466" s="8">
        <v>202103</v>
      </c>
      <c r="H466" s="8" t="s">
        <v>7016</v>
      </c>
      <c r="I466" s="8">
        <v>202103</v>
      </c>
      <c r="J466" s="8" t="s">
        <v>7016</v>
      </c>
      <c r="K466" s="56">
        <f t="shared" si="83"/>
        <v>44256</v>
      </c>
      <c r="L466" s="56">
        <f t="shared" si="84"/>
        <v>44262</v>
      </c>
      <c r="M466" s="59" t="str">
        <f t="shared" si="85"/>
        <v>01/03/21 @ 
07/03/21</v>
      </c>
    </row>
    <row r="467" spans="2:13" ht="24" x14ac:dyDescent="0.25">
      <c r="B467" s="55">
        <f t="shared" si="86"/>
        <v>465</v>
      </c>
      <c r="C467" s="56">
        <f t="shared" si="86"/>
        <v>44259</v>
      </c>
      <c r="D467" s="57">
        <f t="shared" si="82"/>
        <v>44259</v>
      </c>
      <c r="E467" s="58">
        <f t="shared" si="87"/>
        <v>67</v>
      </c>
      <c r="F467" s="58">
        <f t="shared" si="87"/>
        <v>10</v>
      </c>
      <c r="G467" s="8">
        <v>202103</v>
      </c>
      <c r="H467" s="8" t="s">
        <v>7016</v>
      </c>
      <c r="I467" s="8">
        <v>202103</v>
      </c>
      <c r="J467" s="8" t="s">
        <v>7016</v>
      </c>
      <c r="K467" s="56">
        <f t="shared" si="83"/>
        <v>44256</v>
      </c>
      <c r="L467" s="56">
        <f t="shared" si="84"/>
        <v>44262</v>
      </c>
      <c r="M467" s="59" t="str">
        <f t="shared" si="85"/>
        <v>01/03/21 @ 
07/03/21</v>
      </c>
    </row>
    <row r="468" spans="2:13" ht="24" x14ac:dyDescent="0.25">
      <c r="B468" s="55">
        <f t="shared" si="86"/>
        <v>466</v>
      </c>
      <c r="C468" s="56">
        <f t="shared" si="86"/>
        <v>44260</v>
      </c>
      <c r="D468" s="57">
        <f t="shared" si="82"/>
        <v>44260</v>
      </c>
      <c r="E468" s="58">
        <f t="shared" si="87"/>
        <v>67</v>
      </c>
      <c r="F468" s="58">
        <f t="shared" si="87"/>
        <v>10</v>
      </c>
      <c r="G468" s="8">
        <v>202103</v>
      </c>
      <c r="H468" s="8" t="s">
        <v>7016</v>
      </c>
      <c r="I468" s="8">
        <v>202103</v>
      </c>
      <c r="J468" s="8" t="s">
        <v>7016</v>
      </c>
      <c r="K468" s="56">
        <f t="shared" si="83"/>
        <v>44256</v>
      </c>
      <c r="L468" s="56">
        <f t="shared" si="84"/>
        <v>44262</v>
      </c>
      <c r="M468" s="59" t="str">
        <f t="shared" si="85"/>
        <v>01/03/21 @ 
07/03/21</v>
      </c>
    </row>
    <row r="469" spans="2:13" ht="24" x14ac:dyDescent="0.25">
      <c r="B469" s="55">
        <f t="shared" ref="B469:C484" si="88">+B468+1</f>
        <v>467</v>
      </c>
      <c r="C469" s="56">
        <f t="shared" si="88"/>
        <v>44261</v>
      </c>
      <c r="D469" s="57">
        <f t="shared" si="82"/>
        <v>44261</v>
      </c>
      <c r="E469" s="58">
        <f t="shared" si="87"/>
        <v>67</v>
      </c>
      <c r="F469" s="58">
        <f t="shared" si="87"/>
        <v>10</v>
      </c>
      <c r="G469" s="8">
        <v>202103</v>
      </c>
      <c r="H469" s="8" t="s">
        <v>7016</v>
      </c>
      <c r="I469" s="8">
        <v>202103</v>
      </c>
      <c r="J469" s="8" t="s">
        <v>7016</v>
      </c>
      <c r="K469" s="56">
        <f t="shared" si="83"/>
        <v>44256</v>
      </c>
      <c r="L469" s="56">
        <f t="shared" si="84"/>
        <v>44262</v>
      </c>
      <c r="M469" s="59" t="str">
        <f t="shared" si="85"/>
        <v>01/03/21 @ 
07/03/21</v>
      </c>
    </row>
    <row r="470" spans="2:13" ht="24" x14ac:dyDescent="0.25">
      <c r="B470" s="55">
        <f t="shared" si="88"/>
        <v>468</v>
      </c>
      <c r="C470" s="56">
        <f t="shared" si="88"/>
        <v>44262</v>
      </c>
      <c r="D470" s="57">
        <f t="shared" si="82"/>
        <v>44262</v>
      </c>
      <c r="E470" s="58">
        <f t="shared" si="87"/>
        <v>67</v>
      </c>
      <c r="F470" s="58">
        <f t="shared" si="87"/>
        <v>10</v>
      </c>
      <c r="G470" s="8">
        <v>202103</v>
      </c>
      <c r="H470" s="8" t="s">
        <v>7016</v>
      </c>
      <c r="I470" s="8">
        <v>202103</v>
      </c>
      <c r="J470" s="8" t="s">
        <v>7016</v>
      </c>
      <c r="K470" s="56">
        <f t="shared" si="83"/>
        <v>44256</v>
      </c>
      <c r="L470" s="56">
        <f t="shared" si="84"/>
        <v>44262</v>
      </c>
      <c r="M470" s="59" t="str">
        <f t="shared" si="85"/>
        <v>01/03/21 @ 
07/03/21</v>
      </c>
    </row>
    <row r="471" spans="2:13" ht="24" x14ac:dyDescent="0.25">
      <c r="B471" s="55">
        <f t="shared" si="88"/>
        <v>469</v>
      </c>
      <c r="C471" s="56">
        <f t="shared" si="88"/>
        <v>44263</v>
      </c>
      <c r="D471" s="57">
        <f t="shared" si="82"/>
        <v>44263</v>
      </c>
      <c r="E471" s="58">
        <f t="shared" si="87"/>
        <v>68</v>
      </c>
      <c r="F471" s="58">
        <f t="shared" si="87"/>
        <v>11</v>
      </c>
      <c r="G471" s="8">
        <v>202103</v>
      </c>
      <c r="H471" s="8" t="s">
        <v>7016</v>
      </c>
      <c r="I471" s="8">
        <v>202103</v>
      </c>
      <c r="J471" s="8" t="s">
        <v>7016</v>
      </c>
      <c r="K471" s="56">
        <f t="shared" si="83"/>
        <v>44263</v>
      </c>
      <c r="L471" s="56">
        <f t="shared" si="84"/>
        <v>44269</v>
      </c>
      <c r="M471" s="59" t="str">
        <f t="shared" si="85"/>
        <v>08/03/21 @ 
14/03/21</v>
      </c>
    </row>
    <row r="472" spans="2:13" ht="24" x14ac:dyDescent="0.25">
      <c r="B472" s="55">
        <f t="shared" si="88"/>
        <v>470</v>
      </c>
      <c r="C472" s="56">
        <f t="shared" si="88"/>
        <v>44264</v>
      </c>
      <c r="D472" s="57">
        <f t="shared" si="82"/>
        <v>44264</v>
      </c>
      <c r="E472" s="58">
        <f t="shared" si="87"/>
        <v>68</v>
      </c>
      <c r="F472" s="58">
        <f t="shared" si="87"/>
        <v>11</v>
      </c>
      <c r="G472" s="8">
        <v>202103</v>
      </c>
      <c r="H472" s="8" t="s">
        <v>7016</v>
      </c>
      <c r="I472" s="8">
        <v>202103</v>
      </c>
      <c r="J472" s="8" t="s">
        <v>7016</v>
      </c>
      <c r="K472" s="56">
        <f t="shared" si="83"/>
        <v>44263</v>
      </c>
      <c r="L472" s="56">
        <f t="shared" si="84"/>
        <v>44269</v>
      </c>
      <c r="M472" s="59" t="str">
        <f t="shared" si="85"/>
        <v>08/03/21 @ 
14/03/21</v>
      </c>
    </row>
    <row r="473" spans="2:13" ht="24" x14ac:dyDescent="0.25">
      <c r="B473" s="55">
        <f t="shared" si="88"/>
        <v>471</v>
      </c>
      <c r="C473" s="56">
        <f t="shared" si="88"/>
        <v>44265</v>
      </c>
      <c r="D473" s="57">
        <f t="shared" si="82"/>
        <v>44265</v>
      </c>
      <c r="E473" s="58">
        <f t="shared" si="87"/>
        <v>68</v>
      </c>
      <c r="F473" s="58">
        <f t="shared" si="87"/>
        <v>11</v>
      </c>
      <c r="G473" s="8">
        <v>202103</v>
      </c>
      <c r="H473" s="8" t="s">
        <v>7016</v>
      </c>
      <c r="I473" s="8">
        <v>202103</v>
      </c>
      <c r="J473" s="8" t="s">
        <v>7016</v>
      </c>
      <c r="K473" s="56">
        <f t="shared" si="83"/>
        <v>44263</v>
      </c>
      <c r="L473" s="56">
        <f t="shared" si="84"/>
        <v>44269</v>
      </c>
      <c r="M473" s="59" t="str">
        <f t="shared" si="85"/>
        <v>08/03/21 @ 
14/03/21</v>
      </c>
    </row>
    <row r="474" spans="2:13" ht="24" x14ac:dyDescent="0.25">
      <c r="B474" s="55">
        <f t="shared" si="88"/>
        <v>472</v>
      </c>
      <c r="C474" s="56">
        <f t="shared" si="88"/>
        <v>44266</v>
      </c>
      <c r="D474" s="57">
        <f t="shared" si="82"/>
        <v>44266</v>
      </c>
      <c r="E474" s="58">
        <f t="shared" ref="E474:F489" si="89">+E467+1</f>
        <v>68</v>
      </c>
      <c r="F474" s="58">
        <f t="shared" si="89"/>
        <v>11</v>
      </c>
      <c r="G474" s="8">
        <v>202103</v>
      </c>
      <c r="H474" s="8" t="s">
        <v>7016</v>
      </c>
      <c r="I474" s="8">
        <v>202103</v>
      </c>
      <c r="J474" s="8" t="s">
        <v>7016</v>
      </c>
      <c r="K474" s="56">
        <f t="shared" si="83"/>
        <v>44263</v>
      </c>
      <c r="L474" s="56">
        <f t="shared" si="84"/>
        <v>44269</v>
      </c>
      <c r="M474" s="59" t="str">
        <f t="shared" si="85"/>
        <v>08/03/21 @ 
14/03/21</v>
      </c>
    </row>
    <row r="475" spans="2:13" ht="24" x14ac:dyDescent="0.25">
      <c r="B475" s="55">
        <f t="shared" si="88"/>
        <v>473</v>
      </c>
      <c r="C475" s="56">
        <f t="shared" si="88"/>
        <v>44267</v>
      </c>
      <c r="D475" s="57">
        <f t="shared" si="82"/>
        <v>44267</v>
      </c>
      <c r="E475" s="58">
        <f t="shared" si="89"/>
        <v>68</v>
      </c>
      <c r="F475" s="58">
        <f t="shared" si="89"/>
        <v>11</v>
      </c>
      <c r="G475" s="8">
        <v>202103</v>
      </c>
      <c r="H475" s="8" t="s">
        <v>7016</v>
      </c>
      <c r="I475" s="8">
        <v>202103</v>
      </c>
      <c r="J475" s="8" t="s">
        <v>7016</v>
      </c>
      <c r="K475" s="56">
        <f t="shared" si="83"/>
        <v>44263</v>
      </c>
      <c r="L475" s="56">
        <f t="shared" si="84"/>
        <v>44269</v>
      </c>
      <c r="M475" s="59" t="str">
        <f t="shared" si="85"/>
        <v>08/03/21 @ 
14/03/21</v>
      </c>
    </row>
    <row r="476" spans="2:13" ht="24" x14ac:dyDescent="0.25">
      <c r="B476" s="55">
        <f t="shared" si="88"/>
        <v>474</v>
      </c>
      <c r="C476" s="56">
        <f t="shared" si="88"/>
        <v>44268</v>
      </c>
      <c r="D476" s="57">
        <f t="shared" si="82"/>
        <v>44268</v>
      </c>
      <c r="E476" s="58">
        <f t="shared" si="89"/>
        <v>68</v>
      </c>
      <c r="F476" s="58">
        <f t="shared" si="89"/>
        <v>11</v>
      </c>
      <c r="G476" s="8">
        <v>202103</v>
      </c>
      <c r="H476" s="8" t="s">
        <v>7016</v>
      </c>
      <c r="I476" s="8">
        <v>202103</v>
      </c>
      <c r="J476" s="8" t="s">
        <v>7016</v>
      </c>
      <c r="K476" s="56">
        <f t="shared" si="83"/>
        <v>44263</v>
      </c>
      <c r="L476" s="56">
        <f t="shared" si="84"/>
        <v>44269</v>
      </c>
      <c r="M476" s="59" t="str">
        <f t="shared" si="85"/>
        <v>08/03/21 @ 
14/03/21</v>
      </c>
    </row>
    <row r="477" spans="2:13" ht="24" x14ac:dyDescent="0.25">
      <c r="B477" s="55">
        <f t="shared" si="88"/>
        <v>475</v>
      </c>
      <c r="C477" s="56">
        <f t="shared" si="88"/>
        <v>44269</v>
      </c>
      <c r="D477" s="57">
        <f t="shared" si="82"/>
        <v>44269</v>
      </c>
      <c r="E477" s="58">
        <f t="shared" si="89"/>
        <v>68</v>
      </c>
      <c r="F477" s="58">
        <f t="shared" si="89"/>
        <v>11</v>
      </c>
      <c r="G477" s="8">
        <v>202103</v>
      </c>
      <c r="H477" s="8" t="s">
        <v>7016</v>
      </c>
      <c r="I477" s="8">
        <v>202103</v>
      </c>
      <c r="J477" s="8" t="s">
        <v>7016</v>
      </c>
      <c r="K477" s="56">
        <f t="shared" si="83"/>
        <v>44263</v>
      </c>
      <c r="L477" s="56">
        <f t="shared" si="84"/>
        <v>44269</v>
      </c>
      <c r="M477" s="59" t="str">
        <f t="shared" si="85"/>
        <v>08/03/21 @ 
14/03/21</v>
      </c>
    </row>
    <row r="478" spans="2:13" ht="24" x14ac:dyDescent="0.25">
      <c r="B478" s="55">
        <f t="shared" si="88"/>
        <v>476</v>
      </c>
      <c r="C478" s="56">
        <f t="shared" si="88"/>
        <v>44270</v>
      </c>
      <c r="D478" s="57">
        <f t="shared" si="82"/>
        <v>44270</v>
      </c>
      <c r="E478" s="58">
        <f t="shared" si="89"/>
        <v>69</v>
      </c>
      <c r="F478" s="58">
        <f t="shared" si="89"/>
        <v>12</v>
      </c>
      <c r="G478" s="8">
        <v>202103</v>
      </c>
      <c r="H478" s="8" t="s">
        <v>7016</v>
      </c>
      <c r="I478" s="8">
        <v>202103</v>
      </c>
      <c r="J478" s="8" t="s">
        <v>7016</v>
      </c>
      <c r="K478" s="56">
        <f t="shared" si="83"/>
        <v>44270</v>
      </c>
      <c r="L478" s="56">
        <f t="shared" si="84"/>
        <v>44276</v>
      </c>
      <c r="M478" s="59" t="str">
        <f t="shared" si="85"/>
        <v>15/03/21 @ 
21/03/21</v>
      </c>
    </row>
    <row r="479" spans="2:13" ht="24" x14ac:dyDescent="0.25">
      <c r="B479" s="55">
        <f t="shared" si="88"/>
        <v>477</v>
      </c>
      <c r="C479" s="56">
        <f t="shared" si="88"/>
        <v>44271</v>
      </c>
      <c r="D479" s="57">
        <f t="shared" si="82"/>
        <v>44271</v>
      </c>
      <c r="E479" s="58">
        <f t="shared" si="89"/>
        <v>69</v>
      </c>
      <c r="F479" s="58">
        <f t="shared" si="89"/>
        <v>12</v>
      </c>
      <c r="G479" s="8">
        <v>202103</v>
      </c>
      <c r="H479" s="8" t="s">
        <v>7016</v>
      </c>
      <c r="I479" s="8">
        <v>202103</v>
      </c>
      <c r="J479" s="8" t="s">
        <v>7016</v>
      </c>
      <c r="K479" s="56">
        <f t="shared" si="83"/>
        <v>44270</v>
      </c>
      <c r="L479" s="56">
        <f t="shared" si="84"/>
        <v>44276</v>
      </c>
      <c r="M479" s="59" t="str">
        <f t="shared" si="85"/>
        <v>15/03/21 @ 
21/03/21</v>
      </c>
    </row>
    <row r="480" spans="2:13" ht="24" x14ac:dyDescent="0.25">
      <c r="B480" s="55">
        <f t="shared" si="88"/>
        <v>478</v>
      </c>
      <c r="C480" s="56">
        <f t="shared" si="88"/>
        <v>44272</v>
      </c>
      <c r="D480" s="57">
        <f t="shared" si="82"/>
        <v>44272</v>
      </c>
      <c r="E480" s="58">
        <f t="shared" si="89"/>
        <v>69</v>
      </c>
      <c r="F480" s="58">
        <f t="shared" si="89"/>
        <v>12</v>
      </c>
      <c r="G480" s="8">
        <v>202103</v>
      </c>
      <c r="H480" s="8" t="s">
        <v>7016</v>
      </c>
      <c r="I480" s="8">
        <v>202103</v>
      </c>
      <c r="J480" s="8" t="s">
        <v>7016</v>
      </c>
      <c r="K480" s="56">
        <f t="shared" si="83"/>
        <v>44270</v>
      </c>
      <c r="L480" s="56">
        <f t="shared" si="84"/>
        <v>44276</v>
      </c>
      <c r="M480" s="59" t="str">
        <f t="shared" si="85"/>
        <v>15/03/21 @ 
21/03/21</v>
      </c>
    </row>
    <row r="481" spans="2:13" ht="24" x14ac:dyDescent="0.25">
      <c r="B481" s="55">
        <f t="shared" si="88"/>
        <v>479</v>
      </c>
      <c r="C481" s="56">
        <f t="shared" si="88"/>
        <v>44273</v>
      </c>
      <c r="D481" s="57">
        <f t="shared" si="82"/>
        <v>44273</v>
      </c>
      <c r="E481" s="58">
        <f t="shared" si="89"/>
        <v>69</v>
      </c>
      <c r="F481" s="58">
        <f t="shared" si="89"/>
        <v>12</v>
      </c>
      <c r="G481" s="8">
        <v>202103</v>
      </c>
      <c r="H481" s="8" t="s">
        <v>7016</v>
      </c>
      <c r="I481" s="8">
        <v>202103</v>
      </c>
      <c r="J481" s="8" t="s">
        <v>7016</v>
      </c>
      <c r="K481" s="56">
        <f t="shared" si="83"/>
        <v>44270</v>
      </c>
      <c r="L481" s="56">
        <f t="shared" si="84"/>
        <v>44276</v>
      </c>
      <c r="M481" s="59" t="str">
        <f t="shared" si="85"/>
        <v>15/03/21 @ 
21/03/21</v>
      </c>
    </row>
    <row r="482" spans="2:13" ht="24" x14ac:dyDescent="0.25">
      <c r="B482" s="55">
        <f t="shared" si="88"/>
        <v>480</v>
      </c>
      <c r="C482" s="56">
        <f t="shared" si="88"/>
        <v>44274</v>
      </c>
      <c r="D482" s="57">
        <f t="shared" si="82"/>
        <v>44274</v>
      </c>
      <c r="E482" s="58">
        <f t="shared" si="89"/>
        <v>69</v>
      </c>
      <c r="F482" s="58">
        <f t="shared" si="89"/>
        <v>12</v>
      </c>
      <c r="G482" s="8">
        <v>202103</v>
      </c>
      <c r="H482" s="8" t="s">
        <v>7016</v>
      </c>
      <c r="I482" s="8">
        <v>202103</v>
      </c>
      <c r="J482" s="8" t="s">
        <v>7016</v>
      </c>
      <c r="K482" s="56">
        <f t="shared" si="83"/>
        <v>44270</v>
      </c>
      <c r="L482" s="56">
        <f t="shared" si="84"/>
        <v>44276</v>
      </c>
      <c r="M482" s="59" t="str">
        <f t="shared" si="85"/>
        <v>15/03/21 @ 
21/03/21</v>
      </c>
    </row>
    <row r="483" spans="2:13" ht="24" x14ac:dyDescent="0.25">
      <c r="B483" s="55">
        <f t="shared" si="88"/>
        <v>481</v>
      </c>
      <c r="C483" s="56">
        <f t="shared" si="88"/>
        <v>44275</v>
      </c>
      <c r="D483" s="57">
        <f t="shared" si="82"/>
        <v>44275</v>
      </c>
      <c r="E483" s="58">
        <f t="shared" si="89"/>
        <v>69</v>
      </c>
      <c r="F483" s="58">
        <f t="shared" si="89"/>
        <v>12</v>
      </c>
      <c r="G483" s="8">
        <v>202103</v>
      </c>
      <c r="H483" s="8" t="s">
        <v>7016</v>
      </c>
      <c r="I483" s="8">
        <v>202103</v>
      </c>
      <c r="J483" s="8" t="s">
        <v>7016</v>
      </c>
      <c r="K483" s="56">
        <f t="shared" si="83"/>
        <v>44270</v>
      </c>
      <c r="L483" s="56">
        <f t="shared" si="84"/>
        <v>44276</v>
      </c>
      <c r="M483" s="59" t="str">
        <f t="shared" si="85"/>
        <v>15/03/21 @ 
21/03/21</v>
      </c>
    </row>
    <row r="484" spans="2:13" ht="24" x14ac:dyDescent="0.25">
      <c r="B484" s="55">
        <f t="shared" si="88"/>
        <v>482</v>
      </c>
      <c r="C484" s="56">
        <f t="shared" si="88"/>
        <v>44276</v>
      </c>
      <c r="D484" s="57">
        <f t="shared" si="82"/>
        <v>44276</v>
      </c>
      <c r="E484" s="58">
        <f t="shared" si="89"/>
        <v>69</v>
      </c>
      <c r="F484" s="58">
        <f t="shared" si="89"/>
        <v>12</v>
      </c>
      <c r="G484" s="8">
        <v>202103</v>
      </c>
      <c r="H484" s="8" t="s">
        <v>7016</v>
      </c>
      <c r="I484" s="8">
        <v>202104</v>
      </c>
      <c r="J484" s="8" t="s">
        <v>7017</v>
      </c>
      <c r="K484" s="56">
        <f t="shared" si="83"/>
        <v>44270</v>
      </c>
      <c r="L484" s="56">
        <f t="shared" si="84"/>
        <v>44276</v>
      </c>
      <c r="M484" s="59" t="str">
        <f t="shared" si="85"/>
        <v>15/03/21 @ 
21/03/21</v>
      </c>
    </row>
    <row r="485" spans="2:13" ht="24" x14ac:dyDescent="0.25">
      <c r="B485" s="55">
        <f t="shared" ref="B485:C500" si="90">+B484+1</f>
        <v>483</v>
      </c>
      <c r="C485" s="56">
        <f t="shared" si="90"/>
        <v>44277</v>
      </c>
      <c r="D485" s="57">
        <f t="shared" si="82"/>
        <v>44277</v>
      </c>
      <c r="E485" s="58">
        <f t="shared" si="89"/>
        <v>70</v>
      </c>
      <c r="F485" s="58">
        <f t="shared" si="89"/>
        <v>13</v>
      </c>
      <c r="G485" s="8">
        <v>202103</v>
      </c>
      <c r="H485" s="8" t="s">
        <v>7016</v>
      </c>
      <c r="I485" s="8">
        <v>202104</v>
      </c>
      <c r="J485" s="8" t="s">
        <v>7017</v>
      </c>
      <c r="K485" s="56">
        <f t="shared" si="83"/>
        <v>44277</v>
      </c>
      <c r="L485" s="56">
        <f t="shared" si="84"/>
        <v>44283</v>
      </c>
      <c r="M485" s="59" t="str">
        <f t="shared" si="85"/>
        <v>22/03/21 @ 
28/03/21</v>
      </c>
    </row>
    <row r="486" spans="2:13" ht="24" x14ac:dyDescent="0.25">
      <c r="B486" s="55">
        <f t="shared" si="90"/>
        <v>484</v>
      </c>
      <c r="C486" s="56">
        <f t="shared" si="90"/>
        <v>44278</v>
      </c>
      <c r="D486" s="57">
        <f t="shared" si="82"/>
        <v>44278</v>
      </c>
      <c r="E486" s="58">
        <f t="shared" si="89"/>
        <v>70</v>
      </c>
      <c r="F486" s="58">
        <f t="shared" si="89"/>
        <v>13</v>
      </c>
      <c r="G486" s="8">
        <v>202103</v>
      </c>
      <c r="H486" s="8" t="s">
        <v>7016</v>
      </c>
      <c r="I486" s="8">
        <v>202104</v>
      </c>
      <c r="J486" s="8" t="s">
        <v>7017</v>
      </c>
      <c r="K486" s="56">
        <f t="shared" si="83"/>
        <v>44277</v>
      </c>
      <c r="L486" s="56">
        <f t="shared" si="84"/>
        <v>44283</v>
      </c>
      <c r="M486" s="59" t="str">
        <f t="shared" si="85"/>
        <v>22/03/21 @ 
28/03/21</v>
      </c>
    </row>
    <row r="487" spans="2:13" ht="24" x14ac:dyDescent="0.25">
      <c r="B487" s="55">
        <f t="shared" si="90"/>
        <v>485</v>
      </c>
      <c r="C487" s="56">
        <f t="shared" si="90"/>
        <v>44279</v>
      </c>
      <c r="D487" s="57">
        <f t="shared" si="82"/>
        <v>44279</v>
      </c>
      <c r="E487" s="58">
        <f t="shared" si="89"/>
        <v>70</v>
      </c>
      <c r="F487" s="58">
        <f t="shared" si="89"/>
        <v>13</v>
      </c>
      <c r="G487" s="8">
        <v>202103</v>
      </c>
      <c r="H487" s="8" t="s">
        <v>7016</v>
      </c>
      <c r="I487" s="8">
        <v>202104</v>
      </c>
      <c r="J487" s="8" t="s">
        <v>7017</v>
      </c>
      <c r="K487" s="56">
        <f t="shared" si="83"/>
        <v>44277</v>
      </c>
      <c r="L487" s="56">
        <f t="shared" si="84"/>
        <v>44283</v>
      </c>
      <c r="M487" s="59" t="str">
        <f t="shared" si="85"/>
        <v>22/03/21 @ 
28/03/21</v>
      </c>
    </row>
    <row r="488" spans="2:13" ht="24" x14ac:dyDescent="0.25">
      <c r="B488" s="55">
        <f t="shared" si="90"/>
        <v>486</v>
      </c>
      <c r="C488" s="56">
        <f t="shared" si="90"/>
        <v>44280</v>
      </c>
      <c r="D488" s="57">
        <f t="shared" si="82"/>
        <v>44280</v>
      </c>
      <c r="E488" s="58">
        <f t="shared" si="89"/>
        <v>70</v>
      </c>
      <c r="F488" s="58">
        <f t="shared" si="89"/>
        <v>13</v>
      </c>
      <c r="G488" s="8">
        <v>202103</v>
      </c>
      <c r="H488" s="8" t="s">
        <v>7016</v>
      </c>
      <c r="I488" s="8">
        <v>202104</v>
      </c>
      <c r="J488" s="8" t="s">
        <v>7017</v>
      </c>
      <c r="K488" s="56">
        <f t="shared" si="83"/>
        <v>44277</v>
      </c>
      <c r="L488" s="56">
        <f t="shared" si="84"/>
        <v>44283</v>
      </c>
      <c r="M488" s="59" t="str">
        <f t="shared" si="85"/>
        <v>22/03/21 @ 
28/03/21</v>
      </c>
    </row>
    <row r="489" spans="2:13" ht="24" x14ac:dyDescent="0.25">
      <c r="B489" s="55">
        <f t="shared" si="90"/>
        <v>487</v>
      </c>
      <c r="C489" s="56">
        <f t="shared" si="90"/>
        <v>44281</v>
      </c>
      <c r="D489" s="57">
        <f t="shared" si="82"/>
        <v>44281</v>
      </c>
      <c r="E489" s="58">
        <f t="shared" si="89"/>
        <v>70</v>
      </c>
      <c r="F489" s="58">
        <f t="shared" si="89"/>
        <v>13</v>
      </c>
      <c r="G489" s="8">
        <v>202103</v>
      </c>
      <c r="H489" s="8" t="s">
        <v>7016</v>
      </c>
      <c r="I489" s="8">
        <v>202104</v>
      </c>
      <c r="J489" s="8" t="s">
        <v>7017</v>
      </c>
      <c r="K489" s="56">
        <f t="shared" si="83"/>
        <v>44277</v>
      </c>
      <c r="L489" s="56">
        <f t="shared" si="84"/>
        <v>44283</v>
      </c>
      <c r="M489" s="59" t="str">
        <f t="shared" si="85"/>
        <v>22/03/21 @ 
28/03/21</v>
      </c>
    </row>
    <row r="490" spans="2:13" ht="24" x14ac:dyDescent="0.25">
      <c r="B490" s="55">
        <f t="shared" si="90"/>
        <v>488</v>
      </c>
      <c r="C490" s="56">
        <f t="shared" si="90"/>
        <v>44282</v>
      </c>
      <c r="D490" s="57">
        <f t="shared" si="82"/>
        <v>44282</v>
      </c>
      <c r="E490" s="58">
        <f t="shared" ref="E490:F505" si="91">+E483+1</f>
        <v>70</v>
      </c>
      <c r="F490" s="58">
        <f t="shared" si="91"/>
        <v>13</v>
      </c>
      <c r="G490" s="8">
        <v>202103</v>
      </c>
      <c r="H490" s="8" t="s">
        <v>7016</v>
      </c>
      <c r="I490" s="8">
        <v>202104</v>
      </c>
      <c r="J490" s="8" t="s">
        <v>7017</v>
      </c>
      <c r="K490" s="56">
        <f t="shared" si="83"/>
        <v>44277</v>
      </c>
      <c r="L490" s="56">
        <f t="shared" si="84"/>
        <v>44283</v>
      </c>
      <c r="M490" s="59" t="str">
        <f t="shared" si="85"/>
        <v>22/03/21 @ 
28/03/21</v>
      </c>
    </row>
    <row r="491" spans="2:13" ht="24" x14ac:dyDescent="0.25">
      <c r="B491" s="55">
        <f t="shared" si="90"/>
        <v>489</v>
      </c>
      <c r="C491" s="56">
        <f t="shared" si="90"/>
        <v>44283</v>
      </c>
      <c r="D491" s="57">
        <f t="shared" si="82"/>
        <v>44283</v>
      </c>
      <c r="E491" s="58">
        <f t="shared" si="91"/>
        <v>70</v>
      </c>
      <c r="F491" s="58">
        <f t="shared" si="91"/>
        <v>13</v>
      </c>
      <c r="G491" s="8">
        <v>202103</v>
      </c>
      <c r="H491" s="8" t="s">
        <v>7016</v>
      </c>
      <c r="I491" s="8">
        <v>202104</v>
      </c>
      <c r="J491" s="8" t="s">
        <v>7017</v>
      </c>
      <c r="K491" s="56">
        <f t="shared" si="83"/>
        <v>44277</v>
      </c>
      <c r="L491" s="56">
        <f t="shared" si="84"/>
        <v>44283</v>
      </c>
      <c r="M491" s="59" t="str">
        <f t="shared" si="85"/>
        <v>22/03/21 @ 
28/03/21</v>
      </c>
    </row>
    <row r="492" spans="2:13" ht="24" x14ac:dyDescent="0.25">
      <c r="B492" s="55">
        <f t="shared" si="90"/>
        <v>490</v>
      </c>
      <c r="C492" s="56">
        <f t="shared" si="90"/>
        <v>44284</v>
      </c>
      <c r="D492" s="57">
        <f t="shared" si="82"/>
        <v>44284</v>
      </c>
      <c r="E492" s="58">
        <f t="shared" si="91"/>
        <v>71</v>
      </c>
      <c r="F492" s="58">
        <f t="shared" si="91"/>
        <v>14</v>
      </c>
      <c r="G492" s="8">
        <v>202104</v>
      </c>
      <c r="H492" s="8" t="s">
        <v>7017</v>
      </c>
      <c r="I492" s="8">
        <v>202104</v>
      </c>
      <c r="J492" s="8" t="s">
        <v>7017</v>
      </c>
      <c r="K492" s="56">
        <f t="shared" si="83"/>
        <v>44284</v>
      </c>
      <c r="L492" s="56">
        <f t="shared" si="84"/>
        <v>44290</v>
      </c>
      <c r="M492" s="59" t="str">
        <f t="shared" si="85"/>
        <v>29/03/21 @ 
04/04/21</v>
      </c>
    </row>
    <row r="493" spans="2:13" ht="24" x14ac:dyDescent="0.25">
      <c r="B493" s="55">
        <f t="shared" si="90"/>
        <v>491</v>
      </c>
      <c r="C493" s="56">
        <f t="shared" si="90"/>
        <v>44285</v>
      </c>
      <c r="D493" s="57">
        <f t="shared" si="82"/>
        <v>44285</v>
      </c>
      <c r="E493" s="58">
        <f t="shared" si="91"/>
        <v>71</v>
      </c>
      <c r="F493" s="58">
        <f t="shared" si="91"/>
        <v>14</v>
      </c>
      <c r="G493" s="8">
        <v>202104</v>
      </c>
      <c r="H493" s="8" t="s">
        <v>7017</v>
      </c>
      <c r="I493" s="8">
        <v>202104</v>
      </c>
      <c r="J493" s="8" t="s">
        <v>7017</v>
      </c>
      <c r="K493" s="56">
        <f t="shared" si="83"/>
        <v>44284</v>
      </c>
      <c r="L493" s="56">
        <f t="shared" si="84"/>
        <v>44290</v>
      </c>
      <c r="M493" s="59" t="str">
        <f t="shared" si="85"/>
        <v>29/03/21 @ 
04/04/21</v>
      </c>
    </row>
    <row r="494" spans="2:13" ht="24" x14ac:dyDescent="0.25">
      <c r="B494" s="55">
        <f t="shared" si="90"/>
        <v>492</v>
      </c>
      <c r="C494" s="56">
        <f t="shared" si="90"/>
        <v>44286</v>
      </c>
      <c r="D494" s="57">
        <f t="shared" si="82"/>
        <v>44286</v>
      </c>
      <c r="E494" s="58">
        <f t="shared" si="91"/>
        <v>71</v>
      </c>
      <c r="F494" s="58">
        <f t="shared" si="91"/>
        <v>14</v>
      </c>
      <c r="G494" s="8">
        <v>202104</v>
      </c>
      <c r="H494" s="8" t="s">
        <v>7017</v>
      </c>
      <c r="I494" s="8">
        <v>202104</v>
      </c>
      <c r="J494" s="8" t="s">
        <v>7017</v>
      </c>
      <c r="K494" s="56">
        <f t="shared" si="83"/>
        <v>44284</v>
      </c>
      <c r="L494" s="56">
        <f t="shared" si="84"/>
        <v>44290</v>
      </c>
      <c r="M494" s="59" t="str">
        <f t="shared" si="85"/>
        <v>29/03/21 @ 
04/04/21</v>
      </c>
    </row>
    <row r="495" spans="2:13" ht="24" x14ac:dyDescent="0.25">
      <c r="B495" s="55">
        <f t="shared" si="90"/>
        <v>493</v>
      </c>
      <c r="C495" s="56">
        <f t="shared" si="90"/>
        <v>44287</v>
      </c>
      <c r="D495" s="57">
        <f t="shared" si="82"/>
        <v>44287</v>
      </c>
      <c r="E495" s="58">
        <f t="shared" si="91"/>
        <v>71</v>
      </c>
      <c r="F495" s="58">
        <f t="shared" si="91"/>
        <v>14</v>
      </c>
      <c r="G495" s="8">
        <v>202104</v>
      </c>
      <c r="H495" s="8" t="s">
        <v>7017</v>
      </c>
      <c r="I495" s="8">
        <v>202104</v>
      </c>
      <c r="J495" s="8" t="s">
        <v>7017</v>
      </c>
      <c r="K495" s="56">
        <f t="shared" si="83"/>
        <v>44284</v>
      </c>
      <c r="L495" s="56">
        <f t="shared" si="84"/>
        <v>44290</v>
      </c>
      <c r="M495" s="59" t="str">
        <f t="shared" si="85"/>
        <v>29/03/21 @ 
04/04/21</v>
      </c>
    </row>
    <row r="496" spans="2:13" ht="24" x14ac:dyDescent="0.25">
      <c r="B496" s="55">
        <f t="shared" si="90"/>
        <v>494</v>
      </c>
      <c r="C496" s="56">
        <f t="shared" si="90"/>
        <v>44288</v>
      </c>
      <c r="D496" s="57">
        <f t="shared" si="82"/>
        <v>44288</v>
      </c>
      <c r="E496" s="58">
        <f t="shared" si="91"/>
        <v>71</v>
      </c>
      <c r="F496" s="58">
        <f t="shared" si="91"/>
        <v>14</v>
      </c>
      <c r="G496" s="8">
        <v>202104</v>
      </c>
      <c r="H496" s="8" t="s">
        <v>7017</v>
      </c>
      <c r="I496" s="8">
        <v>202104</v>
      </c>
      <c r="J496" s="8" t="s">
        <v>7017</v>
      </c>
      <c r="K496" s="56">
        <f t="shared" si="83"/>
        <v>44284</v>
      </c>
      <c r="L496" s="56">
        <f t="shared" si="84"/>
        <v>44290</v>
      </c>
      <c r="M496" s="59" t="str">
        <f t="shared" si="85"/>
        <v>29/03/21 @ 
04/04/21</v>
      </c>
    </row>
    <row r="497" spans="2:13" ht="24" x14ac:dyDescent="0.25">
      <c r="B497" s="55">
        <f t="shared" si="90"/>
        <v>495</v>
      </c>
      <c r="C497" s="56">
        <f t="shared" si="90"/>
        <v>44289</v>
      </c>
      <c r="D497" s="57">
        <f t="shared" si="82"/>
        <v>44289</v>
      </c>
      <c r="E497" s="58">
        <f t="shared" si="91"/>
        <v>71</v>
      </c>
      <c r="F497" s="58">
        <f t="shared" si="91"/>
        <v>14</v>
      </c>
      <c r="G497" s="8">
        <v>202104</v>
      </c>
      <c r="H497" s="8" t="s">
        <v>7017</v>
      </c>
      <c r="I497" s="8">
        <v>202104</v>
      </c>
      <c r="J497" s="8" t="s">
        <v>7017</v>
      </c>
      <c r="K497" s="56">
        <f t="shared" si="83"/>
        <v>44284</v>
      </c>
      <c r="L497" s="56">
        <f t="shared" si="84"/>
        <v>44290</v>
      </c>
      <c r="M497" s="59" t="str">
        <f t="shared" si="85"/>
        <v>29/03/21 @ 
04/04/21</v>
      </c>
    </row>
    <row r="498" spans="2:13" ht="24" x14ac:dyDescent="0.25">
      <c r="B498" s="55">
        <f t="shared" si="90"/>
        <v>496</v>
      </c>
      <c r="C498" s="56">
        <f t="shared" si="90"/>
        <v>44290</v>
      </c>
      <c r="D498" s="57">
        <f t="shared" si="82"/>
        <v>44290</v>
      </c>
      <c r="E498" s="58">
        <f t="shared" si="91"/>
        <v>71</v>
      </c>
      <c r="F498" s="58">
        <f t="shared" si="91"/>
        <v>14</v>
      </c>
      <c r="G498" s="8">
        <v>202104</v>
      </c>
      <c r="H498" s="8" t="s">
        <v>7017</v>
      </c>
      <c r="I498" s="8">
        <v>202104</v>
      </c>
      <c r="J498" s="8" t="s">
        <v>7017</v>
      </c>
      <c r="K498" s="56">
        <f t="shared" si="83"/>
        <v>44284</v>
      </c>
      <c r="L498" s="56">
        <f t="shared" si="84"/>
        <v>44290</v>
      </c>
      <c r="M498" s="59" t="str">
        <f t="shared" si="85"/>
        <v>29/03/21 @ 
04/04/21</v>
      </c>
    </row>
    <row r="499" spans="2:13" ht="24" x14ac:dyDescent="0.25">
      <c r="B499" s="55">
        <f t="shared" si="90"/>
        <v>497</v>
      </c>
      <c r="C499" s="56">
        <f t="shared" si="90"/>
        <v>44291</v>
      </c>
      <c r="D499" s="57">
        <f t="shared" si="82"/>
        <v>44291</v>
      </c>
      <c r="E499" s="58">
        <f t="shared" si="91"/>
        <v>72</v>
      </c>
      <c r="F499" s="58">
        <f t="shared" si="91"/>
        <v>15</v>
      </c>
      <c r="G499" s="8">
        <v>202104</v>
      </c>
      <c r="H499" s="8" t="s">
        <v>7017</v>
      </c>
      <c r="I499" s="8">
        <v>202104</v>
      </c>
      <c r="J499" s="8" t="s">
        <v>7017</v>
      </c>
      <c r="K499" s="56">
        <f t="shared" si="83"/>
        <v>44291</v>
      </c>
      <c r="L499" s="56">
        <f t="shared" si="84"/>
        <v>44297</v>
      </c>
      <c r="M499" s="59" t="str">
        <f t="shared" si="85"/>
        <v>05/04/21 @ 
11/04/21</v>
      </c>
    </row>
    <row r="500" spans="2:13" ht="24" x14ac:dyDescent="0.25">
      <c r="B500" s="55">
        <f t="shared" si="90"/>
        <v>498</v>
      </c>
      <c r="C500" s="56">
        <f t="shared" si="90"/>
        <v>44292</v>
      </c>
      <c r="D500" s="57">
        <f t="shared" si="82"/>
        <v>44292</v>
      </c>
      <c r="E500" s="58">
        <f t="shared" si="91"/>
        <v>72</v>
      </c>
      <c r="F500" s="58">
        <f t="shared" si="91"/>
        <v>15</v>
      </c>
      <c r="G500" s="8">
        <v>202104</v>
      </c>
      <c r="H500" s="8" t="s">
        <v>7017</v>
      </c>
      <c r="I500" s="8">
        <v>202104</v>
      </c>
      <c r="J500" s="8" t="s">
        <v>7017</v>
      </c>
      <c r="K500" s="56">
        <f t="shared" si="83"/>
        <v>44291</v>
      </c>
      <c r="L500" s="56">
        <f t="shared" si="84"/>
        <v>44297</v>
      </c>
      <c r="M500" s="59" t="str">
        <f t="shared" si="85"/>
        <v>05/04/21 @ 
11/04/21</v>
      </c>
    </row>
    <row r="501" spans="2:13" ht="24" x14ac:dyDescent="0.25">
      <c r="B501" s="55">
        <f t="shared" ref="B501:C516" si="92">+B500+1</f>
        <v>499</v>
      </c>
      <c r="C501" s="56">
        <f t="shared" si="92"/>
        <v>44293</v>
      </c>
      <c r="D501" s="57">
        <f t="shared" si="82"/>
        <v>44293</v>
      </c>
      <c r="E501" s="58">
        <f t="shared" si="91"/>
        <v>72</v>
      </c>
      <c r="F501" s="58">
        <f t="shared" si="91"/>
        <v>15</v>
      </c>
      <c r="G501" s="8">
        <v>202104</v>
      </c>
      <c r="H501" s="8" t="s">
        <v>7017</v>
      </c>
      <c r="I501" s="8">
        <v>202104</v>
      </c>
      <c r="J501" s="8" t="s">
        <v>7017</v>
      </c>
      <c r="K501" s="56">
        <f t="shared" si="83"/>
        <v>44291</v>
      </c>
      <c r="L501" s="56">
        <f t="shared" si="84"/>
        <v>44297</v>
      </c>
      <c r="M501" s="59" t="str">
        <f t="shared" si="85"/>
        <v>05/04/21 @ 
11/04/21</v>
      </c>
    </row>
    <row r="502" spans="2:13" ht="24" x14ac:dyDescent="0.25">
      <c r="B502" s="55">
        <f t="shared" si="92"/>
        <v>500</v>
      </c>
      <c r="C502" s="56">
        <f t="shared" si="92"/>
        <v>44294</v>
      </c>
      <c r="D502" s="57">
        <f t="shared" si="82"/>
        <v>44294</v>
      </c>
      <c r="E502" s="58">
        <f t="shared" si="91"/>
        <v>72</v>
      </c>
      <c r="F502" s="58">
        <f t="shared" si="91"/>
        <v>15</v>
      </c>
      <c r="G502" s="8">
        <v>202104</v>
      </c>
      <c r="H502" s="8" t="s">
        <v>7017</v>
      </c>
      <c r="I502" s="8">
        <v>202104</v>
      </c>
      <c r="J502" s="8" t="s">
        <v>7017</v>
      </c>
      <c r="K502" s="56">
        <f t="shared" si="83"/>
        <v>44291</v>
      </c>
      <c r="L502" s="56">
        <f t="shared" si="84"/>
        <v>44297</v>
      </c>
      <c r="M502" s="59" t="str">
        <f t="shared" si="85"/>
        <v>05/04/21 @ 
11/04/21</v>
      </c>
    </row>
    <row r="503" spans="2:13" ht="24" x14ac:dyDescent="0.25">
      <c r="B503" s="55">
        <f t="shared" si="92"/>
        <v>501</v>
      </c>
      <c r="C503" s="56">
        <f t="shared" si="92"/>
        <v>44295</v>
      </c>
      <c r="D503" s="57">
        <f t="shared" si="82"/>
        <v>44295</v>
      </c>
      <c r="E503" s="58">
        <f t="shared" si="91"/>
        <v>72</v>
      </c>
      <c r="F503" s="58">
        <f t="shared" si="91"/>
        <v>15</v>
      </c>
      <c r="G503" s="8">
        <v>202104</v>
      </c>
      <c r="H503" s="8" t="s">
        <v>7017</v>
      </c>
      <c r="I503" s="8">
        <v>202104</v>
      </c>
      <c r="J503" s="8" t="s">
        <v>7017</v>
      </c>
      <c r="K503" s="56">
        <f t="shared" si="83"/>
        <v>44291</v>
      </c>
      <c r="L503" s="56">
        <f t="shared" si="84"/>
        <v>44297</v>
      </c>
      <c r="M503" s="59" t="str">
        <f t="shared" si="85"/>
        <v>05/04/21 @ 
11/04/21</v>
      </c>
    </row>
    <row r="504" spans="2:13" ht="24" x14ac:dyDescent="0.25">
      <c r="B504" s="55">
        <f t="shared" si="92"/>
        <v>502</v>
      </c>
      <c r="C504" s="56">
        <f t="shared" si="92"/>
        <v>44296</v>
      </c>
      <c r="D504" s="57">
        <f t="shared" si="82"/>
        <v>44296</v>
      </c>
      <c r="E504" s="58">
        <f t="shared" si="91"/>
        <v>72</v>
      </c>
      <c r="F504" s="58">
        <f t="shared" si="91"/>
        <v>15</v>
      </c>
      <c r="G504" s="8">
        <v>202104</v>
      </c>
      <c r="H504" s="8" t="s">
        <v>7017</v>
      </c>
      <c r="I504" s="8">
        <v>202104</v>
      </c>
      <c r="J504" s="8" t="s">
        <v>7017</v>
      </c>
      <c r="K504" s="56">
        <f t="shared" si="83"/>
        <v>44291</v>
      </c>
      <c r="L504" s="56">
        <f t="shared" si="84"/>
        <v>44297</v>
      </c>
      <c r="M504" s="59" t="str">
        <f t="shared" si="85"/>
        <v>05/04/21 @ 
11/04/21</v>
      </c>
    </row>
    <row r="505" spans="2:13" ht="24" x14ac:dyDescent="0.25">
      <c r="B505" s="55">
        <f t="shared" si="92"/>
        <v>503</v>
      </c>
      <c r="C505" s="56">
        <f t="shared" si="92"/>
        <v>44297</v>
      </c>
      <c r="D505" s="57">
        <f t="shared" si="82"/>
        <v>44297</v>
      </c>
      <c r="E505" s="58">
        <f t="shared" si="91"/>
        <v>72</v>
      </c>
      <c r="F505" s="58">
        <f t="shared" si="91"/>
        <v>15</v>
      </c>
      <c r="G505" s="8">
        <v>202104</v>
      </c>
      <c r="H505" s="8" t="s">
        <v>7017</v>
      </c>
      <c r="I505" s="8">
        <v>202104</v>
      </c>
      <c r="J505" s="8" t="s">
        <v>7017</v>
      </c>
      <c r="K505" s="56">
        <f t="shared" si="83"/>
        <v>44291</v>
      </c>
      <c r="L505" s="56">
        <f t="shared" si="84"/>
        <v>44297</v>
      </c>
      <c r="M505" s="59" t="str">
        <f t="shared" si="85"/>
        <v>05/04/21 @ 
11/04/21</v>
      </c>
    </row>
    <row r="506" spans="2:13" ht="24" x14ac:dyDescent="0.25">
      <c r="B506" s="55">
        <f t="shared" si="92"/>
        <v>504</v>
      </c>
      <c r="C506" s="56">
        <f t="shared" si="92"/>
        <v>44298</v>
      </c>
      <c r="D506" s="57">
        <f t="shared" si="82"/>
        <v>44298</v>
      </c>
      <c r="E506" s="58">
        <f t="shared" ref="E506:F521" si="93">+E499+1</f>
        <v>73</v>
      </c>
      <c r="F506" s="58">
        <f t="shared" si="93"/>
        <v>16</v>
      </c>
      <c r="G506" s="8">
        <v>202104</v>
      </c>
      <c r="H506" s="8" t="s">
        <v>7017</v>
      </c>
      <c r="I506" s="8">
        <v>202104</v>
      </c>
      <c r="J506" s="8" t="s">
        <v>7017</v>
      </c>
      <c r="K506" s="56">
        <f t="shared" si="83"/>
        <v>44298</v>
      </c>
      <c r="L506" s="56">
        <f t="shared" si="84"/>
        <v>44304</v>
      </c>
      <c r="M506" s="59" t="str">
        <f t="shared" si="85"/>
        <v>12/04/21 @ 
18/04/21</v>
      </c>
    </row>
    <row r="507" spans="2:13" ht="24" x14ac:dyDescent="0.25">
      <c r="B507" s="55">
        <f t="shared" si="92"/>
        <v>505</v>
      </c>
      <c r="C507" s="56">
        <f t="shared" si="92"/>
        <v>44299</v>
      </c>
      <c r="D507" s="57">
        <f t="shared" si="82"/>
        <v>44299</v>
      </c>
      <c r="E507" s="58">
        <f t="shared" si="93"/>
        <v>73</v>
      </c>
      <c r="F507" s="58">
        <f t="shared" si="93"/>
        <v>16</v>
      </c>
      <c r="G507" s="8">
        <v>202104</v>
      </c>
      <c r="H507" s="8" t="s">
        <v>7017</v>
      </c>
      <c r="I507" s="8">
        <v>202104</v>
      </c>
      <c r="J507" s="8" t="s">
        <v>7017</v>
      </c>
      <c r="K507" s="56">
        <f t="shared" si="83"/>
        <v>44298</v>
      </c>
      <c r="L507" s="56">
        <f t="shared" si="84"/>
        <v>44304</v>
      </c>
      <c r="M507" s="59" t="str">
        <f t="shared" si="85"/>
        <v>12/04/21 @ 
18/04/21</v>
      </c>
    </row>
    <row r="508" spans="2:13" ht="24" x14ac:dyDescent="0.25">
      <c r="B508" s="55">
        <f t="shared" si="92"/>
        <v>506</v>
      </c>
      <c r="C508" s="56">
        <f t="shared" si="92"/>
        <v>44300</v>
      </c>
      <c r="D508" s="57">
        <f t="shared" si="82"/>
        <v>44300</v>
      </c>
      <c r="E508" s="58">
        <f t="shared" si="93"/>
        <v>73</v>
      </c>
      <c r="F508" s="58">
        <f t="shared" si="93"/>
        <v>16</v>
      </c>
      <c r="G508" s="8">
        <v>202104</v>
      </c>
      <c r="H508" s="8" t="s">
        <v>7017</v>
      </c>
      <c r="I508" s="8">
        <v>202104</v>
      </c>
      <c r="J508" s="8" t="s">
        <v>7017</v>
      </c>
      <c r="K508" s="56">
        <f t="shared" si="83"/>
        <v>44298</v>
      </c>
      <c r="L508" s="56">
        <f t="shared" si="84"/>
        <v>44304</v>
      </c>
      <c r="M508" s="59" t="str">
        <f t="shared" si="85"/>
        <v>12/04/21 @ 
18/04/21</v>
      </c>
    </row>
    <row r="509" spans="2:13" ht="24" x14ac:dyDescent="0.25">
      <c r="B509" s="55">
        <f t="shared" si="92"/>
        <v>507</v>
      </c>
      <c r="C509" s="56">
        <f t="shared" si="92"/>
        <v>44301</v>
      </c>
      <c r="D509" s="57">
        <f t="shared" si="82"/>
        <v>44301</v>
      </c>
      <c r="E509" s="58">
        <f t="shared" si="93"/>
        <v>73</v>
      </c>
      <c r="F509" s="58">
        <f t="shared" si="93"/>
        <v>16</v>
      </c>
      <c r="G509" s="8">
        <v>202104</v>
      </c>
      <c r="H509" s="8" t="s">
        <v>7017</v>
      </c>
      <c r="I509" s="8">
        <v>202104</v>
      </c>
      <c r="J509" s="8" t="s">
        <v>7017</v>
      </c>
      <c r="K509" s="56">
        <f t="shared" si="83"/>
        <v>44298</v>
      </c>
      <c r="L509" s="56">
        <f t="shared" si="84"/>
        <v>44304</v>
      </c>
      <c r="M509" s="59" t="str">
        <f t="shared" si="85"/>
        <v>12/04/21 @ 
18/04/21</v>
      </c>
    </row>
    <row r="510" spans="2:13" ht="24" x14ac:dyDescent="0.25">
      <c r="B510" s="55">
        <f t="shared" si="92"/>
        <v>508</v>
      </c>
      <c r="C510" s="56">
        <f t="shared" si="92"/>
        <v>44302</v>
      </c>
      <c r="D510" s="57">
        <f t="shared" si="82"/>
        <v>44302</v>
      </c>
      <c r="E510" s="58">
        <f t="shared" si="93"/>
        <v>73</v>
      </c>
      <c r="F510" s="58">
        <f t="shared" si="93"/>
        <v>16</v>
      </c>
      <c r="G510" s="8">
        <v>202104</v>
      </c>
      <c r="H510" s="8" t="s">
        <v>7017</v>
      </c>
      <c r="I510" s="8">
        <v>202104</v>
      </c>
      <c r="J510" s="8" t="s">
        <v>7017</v>
      </c>
      <c r="K510" s="56">
        <f t="shared" si="83"/>
        <v>44298</v>
      </c>
      <c r="L510" s="56">
        <f t="shared" si="84"/>
        <v>44304</v>
      </c>
      <c r="M510" s="59" t="str">
        <f t="shared" si="85"/>
        <v>12/04/21 @ 
18/04/21</v>
      </c>
    </row>
    <row r="511" spans="2:13" ht="24" x14ac:dyDescent="0.25">
      <c r="B511" s="55">
        <f t="shared" si="92"/>
        <v>509</v>
      </c>
      <c r="C511" s="56">
        <f t="shared" si="92"/>
        <v>44303</v>
      </c>
      <c r="D511" s="57">
        <f t="shared" si="82"/>
        <v>44303</v>
      </c>
      <c r="E511" s="58">
        <f t="shared" si="93"/>
        <v>73</v>
      </c>
      <c r="F511" s="58">
        <f t="shared" si="93"/>
        <v>16</v>
      </c>
      <c r="G511" s="8">
        <v>202104</v>
      </c>
      <c r="H511" s="8" t="s">
        <v>7017</v>
      </c>
      <c r="I511" s="8">
        <v>202104</v>
      </c>
      <c r="J511" s="8" t="s">
        <v>7017</v>
      </c>
      <c r="K511" s="56">
        <f t="shared" si="83"/>
        <v>44298</v>
      </c>
      <c r="L511" s="56">
        <f t="shared" si="84"/>
        <v>44304</v>
      </c>
      <c r="M511" s="59" t="str">
        <f t="shared" si="85"/>
        <v>12/04/21 @ 
18/04/21</v>
      </c>
    </row>
    <row r="512" spans="2:13" ht="24" x14ac:dyDescent="0.25">
      <c r="B512" s="55">
        <f t="shared" si="92"/>
        <v>510</v>
      </c>
      <c r="C512" s="56">
        <f t="shared" si="92"/>
        <v>44304</v>
      </c>
      <c r="D512" s="57">
        <f t="shared" si="82"/>
        <v>44304</v>
      </c>
      <c r="E512" s="58">
        <f t="shared" si="93"/>
        <v>73</v>
      </c>
      <c r="F512" s="58">
        <f t="shared" si="93"/>
        <v>16</v>
      </c>
      <c r="G512" s="8">
        <v>202104</v>
      </c>
      <c r="H512" s="8" t="s">
        <v>7017</v>
      </c>
      <c r="I512" s="8">
        <v>202104</v>
      </c>
      <c r="J512" s="8" t="s">
        <v>7017</v>
      </c>
      <c r="K512" s="56">
        <f t="shared" si="83"/>
        <v>44298</v>
      </c>
      <c r="L512" s="56">
        <f t="shared" si="84"/>
        <v>44304</v>
      </c>
      <c r="M512" s="59" t="str">
        <f t="shared" si="85"/>
        <v>12/04/21 @ 
18/04/21</v>
      </c>
    </row>
    <row r="513" spans="2:13" ht="24" x14ac:dyDescent="0.25">
      <c r="B513" s="55">
        <f t="shared" si="92"/>
        <v>511</v>
      </c>
      <c r="C513" s="56">
        <f t="shared" si="92"/>
        <v>44305</v>
      </c>
      <c r="D513" s="57">
        <f t="shared" si="82"/>
        <v>44305</v>
      </c>
      <c r="E513" s="58">
        <f t="shared" si="93"/>
        <v>74</v>
      </c>
      <c r="F513" s="58">
        <f t="shared" si="93"/>
        <v>17</v>
      </c>
      <c r="G513" s="8">
        <v>202104</v>
      </c>
      <c r="H513" s="8" t="s">
        <v>7017</v>
      </c>
      <c r="I513" s="8">
        <v>202104</v>
      </c>
      <c r="J513" s="8" t="s">
        <v>7017</v>
      </c>
      <c r="K513" s="56">
        <f t="shared" si="83"/>
        <v>44305</v>
      </c>
      <c r="L513" s="56">
        <f t="shared" si="84"/>
        <v>44311</v>
      </c>
      <c r="M513" s="59" t="str">
        <f t="shared" si="85"/>
        <v>19/04/21 @ 
25/04/21</v>
      </c>
    </row>
    <row r="514" spans="2:13" ht="24" x14ac:dyDescent="0.25">
      <c r="B514" s="55">
        <f t="shared" si="92"/>
        <v>512</v>
      </c>
      <c r="C514" s="56">
        <f t="shared" si="92"/>
        <v>44306</v>
      </c>
      <c r="D514" s="57">
        <f t="shared" si="82"/>
        <v>44306</v>
      </c>
      <c r="E514" s="58">
        <f t="shared" si="93"/>
        <v>74</v>
      </c>
      <c r="F514" s="58">
        <f t="shared" si="93"/>
        <v>17</v>
      </c>
      <c r="G514" s="8">
        <v>202104</v>
      </c>
      <c r="H514" s="8" t="s">
        <v>7017</v>
      </c>
      <c r="I514" s="8">
        <v>202104</v>
      </c>
      <c r="J514" s="8" t="s">
        <v>7017</v>
      </c>
      <c r="K514" s="56">
        <f t="shared" si="83"/>
        <v>44305</v>
      </c>
      <c r="L514" s="56">
        <f t="shared" si="84"/>
        <v>44311</v>
      </c>
      <c r="M514" s="59" t="str">
        <f t="shared" si="85"/>
        <v>19/04/21 @ 
25/04/21</v>
      </c>
    </row>
    <row r="515" spans="2:13" ht="24" x14ac:dyDescent="0.25">
      <c r="B515" s="55">
        <f t="shared" si="92"/>
        <v>513</v>
      </c>
      <c r="C515" s="56">
        <f t="shared" si="92"/>
        <v>44307</v>
      </c>
      <c r="D515" s="57">
        <f t="shared" ref="D515:D578" si="94">+C515</f>
        <v>44307</v>
      </c>
      <c r="E515" s="58">
        <f t="shared" si="93"/>
        <v>74</v>
      </c>
      <c r="F515" s="58">
        <f t="shared" si="93"/>
        <v>17</v>
      </c>
      <c r="G515" s="8">
        <v>202104</v>
      </c>
      <c r="H515" s="8" t="s">
        <v>7017</v>
      </c>
      <c r="I515" s="8">
        <v>202105</v>
      </c>
      <c r="J515" s="8" t="s">
        <v>7018</v>
      </c>
      <c r="K515" s="56">
        <f t="shared" ref="K515:K578" si="95">_xlfn.MINIFS($C$2:$C$890,$E$2:$E$890,E515)</f>
        <v>44305</v>
      </c>
      <c r="L515" s="56">
        <f t="shared" ref="L515:L578" si="96">_xlfn.MAXIFS($C$2:$C$890,$E$2:$E$890,E515)</f>
        <v>44311</v>
      </c>
      <c r="M515" s="59" t="str">
        <f t="shared" ref="M515:M578" si="97">CONCATENATE(TEXT(K515,"DD/MM/YY")," @ ",CHAR(10),TEXT(L515,"DD/MM/YY"))</f>
        <v>19/04/21 @ 
25/04/21</v>
      </c>
    </row>
    <row r="516" spans="2:13" ht="24" x14ac:dyDescent="0.25">
      <c r="B516" s="55">
        <f t="shared" si="92"/>
        <v>514</v>
      </c>
      <c r="C516" s="56">
        <f t="shared" si="92"/>
        <v>44308</v>
      </c>
      <c r="D516" s="57">
        <f t="shared" si="94"/>
        <v>44308</v>
      </c>
      <c r="E516" s="58">
        <f t="shared" si="93"/>
        <v>74</v>
      </c>
      <c r="F516" s="58">
        <f t="shared" si="93"/>
        <v>17</v>
      </c>
      <c r="G516" s="8">
        <v>202104</v>
      </c>
      <c r="H516" s="8" t="s">
        <v>7017</v>
      </c>
      <c r="I516" s="8">
        <v>202105</v>
      </c>
      <c r="J516" s="8" t="s">
        <v>7018</v>
      </c>
      <c r="K516" s="56">
        <f t="shared" si="95"/>
        <v>44305</v>
      </c>
      <c r="L516" s="56">
        <f t="shared" si="96"/>
        <v>44311</v>
      </c>
      <c r="M516" s="59" t="str">
        <f t="shared" si="97"/>
        <v>19/04/21 @ 
25/04/21</v>
      </c>
    </row>
    <row r="517" spans="2:13" ht="24" x14ac:dyDescent="0.25">
      <c r="B517" s="55">
        <f t="shared" ref="B517:C532" si="98">+B516+1</f>
        <v>515</v>
      </c>
      <c r="C517" s="56">
        <f t="shared" si="98"/>
        <v>44309</v>
      </c>
      <c r="D517" s="57">
        <f t="shared" si="94"/>
        <v>44309</v>
      </c>
      <c r="E517" s="58">
        <f t="shared" si="93"/>
        <v>74</v>
      </c>
      <c r="F517" s="58">
        <f t="shared" si="93"/>
        <v>17</v>
      </c>
      <c r="G517" s="8">
        <v>202104</v>
      </c>
      <c r="H517" s="8" t="s">
        <v>7017</v>
      </c>
      <c r="I517" s="8">
        <v>202105</v>
      </c>
      <c r="J517" s="8" t="s">
        <v>7018</v>
      </c>
      <c r="K517" s="56">
        <f t="shared" si="95"/>
        <v>44305</v>
      </c>
      <c r="L517" s="56">
        <f t="shared" si="96"/>
        <v>44311</v>
      </c>
      <c r="M517" s="59" t="str">
        <f t="shared" si="97"/>
        <v>19/04/21 @ 
25/04/21</v>
      </c>
    </row>
    <row r="518" spans="2:13" ht="24" x14ac:dyDescent="0.25">
      <c r="B518" s="55">
        <f t="shared" si="98"/>
        <v>516</v>
      </c>
      <c r="C518" s="56">
        <f t="shared" si="98"/>
        <v>44310</v>
      </c>
      <c r="D518" s="57">
        <f t="shared" si="94"/>
        <v>44310</v>
      </c>
      <c r="E518" s="58">
        <f t="shared" si="93"/>
        <v>74</v>
      </c>
      <c r="F518" s="58">
        <f t="shared" si="93"/>
        <v>17</v>
      </c>
      <c r="G518" s="8">
        <v>202104</v>
      </c>
      <c r="H518" s="8" t="s">
        <v>7017</v>
      </c>
      <c r="I518" s="8">
        <v>202105</v>
      </c>
      <c r="J518" s="8" t="s">
        <v>7018</v>
      </c>
      <c r="K518" s="56">
        <f t="shared" si="95"/>
        <v>44305</v>
      </c>
      <c r="L518" s="56">
        <f t="shared" si="96"/>
        <v>44311</v>
      </c>
      <c r="M518" s="59" t="str">
        <f t="shared" si="97"/>
        <v>19/04/21 @ 
25/04/21</v>
      </c>
    </row>
    <row r="519" spans="2:13" ht="24" x14ac:dyDescent="0.25">
      <c r="B519" s="55">
        <f t="shared" si="98"/>
        <v>517</v>
      </c>
      <c r="C519" s="56">
        <f t="shared" si="98"/>
        <v>44311</v>
      </c>
      <c r="D519" s="57">
        <f t="shared" si="94"/>
        <v>44311</v>
      </c>
      <c r="E519" s="58">
        <f t="shared" si="93"/>
        <v>74</v>
      </c>
      <c r="F519" s="58">
        <f t="shared" si="93"/>
        <v>17</v>
      </c>
      <c r="G519" s="8">
        <v>202104</v>
      </c>
      <c r="H519" s="8" t="s">
        <v>7017</v>
      </c>
      <c r="I519" s="8">
        <v>202105</v>
      </c>
      <c r="J519" s="8" t="s">
        <v>7018</v>
      </c>
      <c r="K519" s="56">
        <f t="shared" si="95"/>
        <v>44305</v>
      </c>
      <c r="L519" s="56">
        <f t="shared" si="96"/>
        <v>44311</v>
      </c>
      <c r="M519" s="59" t="str">
        <f t="shared" si="97"/>
        <v>19/04/21 @ 
25/04/21</v>
      </c>
    </row>
    <row r="520" spans="2:13" ht="24" x14ac:dyDescent="0.25">
      <c r="B520" s="55">
        <f t="shared" si="98"/>
        <v>518</v>
      </c>
      <c r="C520" s="56">
        <f t="shared" si="98"/>
        <v>44312</v>
      </c>
      <c r="D520" s="57">
        <f t="shared" si="94"/>
        <v>44312</v>
      </c>
      <c r="E520" s="58">
        <f t="shared" si="93"/>
        <v>75</v>
      </c>
      <c r="F520" s="58">
        <f t="shared" si="93"/>
        <v>18</v>
      </c>
      <c r="G520" s="8">
        <v>202104</v>
      </c>
      <c r="H520" s="8" t="s">
        <v>7018</v>
      </c>
      <c r="I520" s="8">
        <v>202105</v>
      </c>
      <c r="J520" s="8" t="s">
        <v>7018</v>
      </c>
      <c r="K520" s="56">
        <f t="shared" si="95"/>
        <v>44312</v>
      </c>
      <c r="L520" s="56">
        <f t="shared" si="96"/>
        <v>44318</v>
      </c>
      <c r="M520" s="59" t="str">
        <f t="shared" si="97"/>
        <v>26/04/21 @ 
02/05/21</v>
      </c>
    </row>
    <row r="521" spans="2:13" ht="24" x14ac:dyDescent="0.25">
      <c r="B521" s="55">
        <f t="shared" si="98"/>
        <v>519</v>
      </c>
      <c r="C521" s="56">
        <f t="shared" si="98"/>
        <v>44313</v>
      </c>
      <c r="D521" s="57">
        <f t="shared" si="94"/>
        <v>44313</v>
      </c>
      <c r="E521" s="58">
        <f t="shared" si="93"/>
        <v>75</v>
      </c>
      <c r="F521" s="58">
        <f t="shared" si="93"/>
        <v>18</v>
      </c>
      <c r="G521" s="8">
        <v>202104</v>
      </c>
      <c r="H521" s="8" t="s">
        <v>7018</v>
      </c>
      <c r="I521" s="8">
        <v>202105</v>
      </c>
      <c r="J521" s="8" t="s">
        <v>7018</v>
      </c>
      <c r="K521" s="56">
        <f t="shared" si="95"/>
        <v>44312</v>
      </c>
      <c r="L521" s="56">
        <f t="shared" si="96"/>
        <v>44318</v>
      </c>
      <c r="M521" s="59" t="str">
        <f t="shared" si="97"/>
        <v>26/04/21 @ 
02/05/21</v>
      </c>
    </row>
    <row r="522" spans="2:13" ht="24" x14ac:dyDescent="0.25">
      <c r="B522" s="55">
        <f t="shared" si="98"/>
        <v>520</v>
      </c>
      <c r="C522" s="56">
        <f t="shared" si="98"/>
        <v>44314</v>
      </c>
      <c r="D522" s="57">
        <f t="shared" si="94"/>
        <v>44314</v>
      </c>
      <c r="E522" s="58">
        <f t="shared" ref="E522:F537" si="99">+E515+1</f>
        <v>75</v>
      </c>
      <c r="F522" s="58">
        <f t="shared" si="99"/>
        <v>18</v>
      </c>
      <c r="G522" s="8">
        <v>202104</v>
      </c>
      <c r="H522" s="8" t="s">
        <v>7018</v>
      </c>
      <c r="I522" s="8">
        <v>202105</v>
      </c>
      <c r="J522" s="8" t="s">
        <v>7018</v>
      </c>
      <c r="K522" s="56">
        <f t="shared" si="95"/>
        <v>44312</v>
      </c>
      <c r="L522" s="56">
        <f t="shared" si="96"/>
        <v>44318</v>
      </c>
      <c r="M522" s="59" t="str">
        <f t="shared" si="97"/>
        <v>26/04/21 @ 
02/05/21</v>
      </c>
    </row>
    <row r="523" spans="2:13" ht="24" x14ac:dyDescent="0.25">
      <c r="B523" s="55">
        <f t="shared" si="98"/>
        <v>521</v>
      </c>
      <c r="C523" s="56">
        <f t="shared" si="98"/>
        <v>44315</v>
      </c>
      <c r="D523" s="57">
        <f t="shared" si="94"/>
        <v>44315</v>
      </c>
      <c r="E523" s="58">
        <f t="shared" si="99"/>
        <v>75</v>
      </c>
      <c r="F523" s="58">
        <f t="shared" si="99"/>
        <v>18</v>
      </c>
      <c r="G523" s="8">
        <v>202104</v>
      </c>
      <c r="H523" s="8" t="s">
        <v>7018</v>
      </c>
      <c r="I523" s="8">
        <v>202105</v>
      </c>
      <c r="J523" s="8" t="s">
        <v>7018</v>
      </c>
      <c r="K523" s="56">
        <f t="shared" si="95"/>
        <v>44312</v>
      </c>
      <c r="L523" s="56">
        <f t="shared" si="96"/>
        <v>44318</v>
      </c>
      <c r="M523" s="59" t="str">
        <f t="shared" si="97"/>
        <v>26/04/21 @ 
02/05/21</v>
      </c>
    </row>
    <row r="524" spans="2:13" ht="24" x14ac:dyDescent="0.25">
      <c r="B524" s="55">
        <f t="shared" si="98"/>
        <v>522</v>
      </c>
      <c r="C524" s="56">
        <f t="shared" si="98"/>
        <v>44316</v>
      </c>
      <c r="D524" s="57">
        <f t="shared" si="94"/>
        <v>44316</v>
      </c>
      <c r="E524" s="58">
        <f t="shared" si="99"/>
        <v>75</v>
      </c>
      <c r="F524" s="58">
        <f t="shared" si="99"/>
        <v>18</v>
      </c>
      <c r="G524" s="8">
        <v>202104</v>
      </c>
      <c r="H524" s="8" t="s">
        <v>7018</v>
      </c>
      <c r="I524" s="8">
        <v>202105</v>
      </c>
      <c r="J524" s="8" t="s">
        <v>7018</v>
      </c>
      <c r="K524" s="56">
        <f t="shared" si="95"/>
        <v>44312</v>
      </c>
      <c r="L524" s="56">
        <f t="shared" si="96"/>
        <v>44318</v>
      </c>
      <c r="M524" s="59" t="str">
        <f t="shared" si="97"/>
        <v>26/04/21 @ 
02/05/21</v>
      </c>
    </row>
    <row r="525" spans="2:13" ht="24" x14ac:dyDescent="0.25">
      <c r="B525" s="55">
        <f t="shared" si="98"/>
        <v>523</v>
      </c>
      <c r="C525" s="56">
        <f t="shared" si="98"/>
        <v>44317</v>
      </c>
      <c r="D525" s="57">
        <f t="shared" si="94"/>
        <v>44317</v>
      </c>
      <c r="E525" s="58">
        <f t="shared" si="99"/>
        <v>75</v>
      </c>
      <c r="F525" s="58">
        <f t="shared" si="99"/>
        <v>18</v>
      </c>
      <c r="G525" s="8">
        <v>202104</v>
      </c>
      <c r="H525" s="8" t="s">
        <v>7018</v>
      </c>
      <c r="I525" s="8">
        <v>202105</v>
      </c>
      <c r="J525" s="8" t="s">
        <v>7018</v>
      </c>
      <c r="K525" s="56">
        <f t="shared" si="95"/>
        <v>44312</v>
      </c>
      <c r="L525" s="56">
        <f t="shared" si="96"/>
        <v>44318</v>
      </c>
      <c r="M525" s="59" t="str">
        <f t="shared" si="97"/>
        <v>26/04/21 @ 
02/05/21</v>
      </c>
    </row>
    <row r="526" spans="2:13" ht="24" x14ac:dyDescent="0.25">
      <c r="B526" s="55">
        <f t="shared" si="98"/>
        <v>524</v>
      </c>
      <c r="C526" s="56">
        <f t="shared" si="98"/>
        <v>44318</v>
      </c>
      <c r="D526" s="57">
        <f t="shared" si="94"/>
        <v>44318</v>
      </c>
      <c r="E526" s="58">
        <f t="shared" si="99"/>
        <v>75</v>
      </c>
      <c r="F526" s="58">
        <f t="shared" si="99"/>
        <v>18</v>
      </c>
      <c r="G526" s="8">
        <v>202104</v>
      </c>
      <c r="H526" s="8" t="s">
        <v>7018</v>
      </c>
      <c r="I526" s="8">
        <v>202105</v>
      </c>
      <c r="J526" s="8" t="s">
        <v>7018</v>
      </c>
      <c r="K526" s="56">
        <f t="shared" si="95"/>
        <v>44312</v>
      </c>
      <c r="L526" s="56">
        <f t="shared" si="96"/>
        <v>44318</v>
      </c>
      <c r="M526" s="59" t="str">
        <f t="shared" si="97"/>
        <v>26/04/21 @ 
02/05/21</v>
      </c>
    </row>
    <row r="527" spans="2:13" ht="24" x14ac:dyDescent="0.25">
      <c r="B527" s="55">
        <f t="shared" si="98"/>
        <v>525</v>
      </c>
      <c r="C527" s="56">
        <f t="shared" si="98"/>
        <v>44319</v>
      </c>
      <c r="D527" s="57">
        <f t="shared" si="94"/>
        <v>44319</v>
      </c>
      <c r="E527" s="58">
        <f t="shared" si="99"/>
        <v>76</v>
      </c>
      <c r="F527" s="58">
        <f t="shared" si="99"/>
        <v>19</v>
      </c>
      <c r="G527" s="8">
        <v>202105</v>
      </c>
      <c r="H527" s="8" t="s">
        <v>7018</v>
      </c>
      <c r="I527" s="8">
        <v>202105</v>
      </c>
      <c r="J527" s="8" t="s">
        <v>7018</v>
      </c>
      <c r="K527" s="56">
        <f t="shared" si="95"/>
        <v>44319</v>
      </c>
      <c r="L527" s="56">
        <f t="shared" si="96"/>
        <v>44325</v>
      </c>
      <c r="M527" s="59" t="str">
        <f t="shared" si="97"/>
        <v>03/05/21 @ 
09/05/21</v>
      </c>
    </row>
    <row r="528" spans="2:13" ht="24" x14ac:dyDescent="0.25">
      <c r="B528" s="55">
        <f t="shared" si="98"/>
        <v>526</v>
      </c>
      <c r="C528" s="56">
        <f t="shared" si="98"/>
        <v>44320</v>
      </c>
      <c r="D528" s="57">
        <f t="shared" si="94"/>
        <v>44320</v>
      </c>
      <c r="E528" s="58">
        <f t="shared" si="99"/>
        <v>76</v>
      </c>
      <c r="F528" s="58">
        <f t="shared" si="99"/>
        <v>19</v>
      </c>
      <c r="G528" s="8">
        <v>202105</v>
      </c>
      <c r="H528" s="8" t="s">
        <v>7018</v>
      </c>
      <c r="I528" s="8">
        <v>202105</v>
      </c>
      <c r="J528" s="8" t="s">
        <v>7018</v>
      </c>
      <c r="K528" s="56">
        <f t="shared" si="95"/>
        <v>44319</v>
      </c>
      <c r="L528" s="56">
        <f t="shared" si="96"/>
        <v>44325</v>
      </c>
      <c r="M528" s="59" t="str">
        <f t="shared" si="97"/>
        <v>03/05/21 @ 
09/05/21</v>
      </c>
    </row>
    <row r="529" spans="2:13" ht="24" x14ac:dyDescent="0.25">
      <c r="B529" s="55">
        <f t="shared" si="98"/>
        <v>527</v>
      </c>
      <c r="C529" s="56">
        <f t="shared" si="98"/>
        <v>44321</v>
      </c>
      <c r="D529" s="57">
        <f t="shared" si="94"/>
        <v>44321</v>
      </c>
      <c r="E529" s="58">
        <f t="shared" si="99"/>
        <v>76</v>
      </c>
      <c r="F529" s="58">
        <f t="shared" si="99"/>
        <v>19</v>
      </c>
      <c r="G529" s="8">
        <v>202105</v>
      </c>
      <c r="H529" s="8" t="s">
        <v>7018</v>
      </c>
      <c r="I529" s="8">
        <v>202105</v>
      </c>
      <c r="J529" s="8" t="s">
        <v>7018</v>
      </c>
      <c r="K529" s="56">
        <f t="shared" si="95"/>
        <v>44319</v>
      </c>
      <c r="L529" s="56">
        <f t="shared" si="96"/>
        <v>44325</v>
      </c>
      <c r="M529" s="59" t="str">
        <f t="shared" si="97"/>
        <v>03/05/21 @ 
09/05/21</v>
      </c>
    </row>
    <row r="530" spans="2:13" ht="24" x14ac:dyDescent="0.25">
      <c r="B530" s="55">
        <f t="shared" si="98"/>
        <v>528</v>
      </c>
      <c r="C530" s="56">
        <f t="shared" si="98"/>
        <v>44322</v>
      </c>
      <c r="D530" s="57">
        <f t="shared" si="94"/>
        <v>44322</v>
      </c>
      <c r="E530" s="58">
        <f t="shared" si="99"/>
        <v>76</v>
      </c>
      <c r="F530" s="58">
        <f t="shared" si="99"/>
        <v>19</v>
      </c>
      <c r="G530" s="8">
        <v>202105</v>
      </c>
      <c r="H530" s="8" t="s">
        <v>7018</v>
      </c>
      <c r="I530" s="8">
        <v>202105</v>
      </c>
      <c r="J530" s="8" t="s">
        <v>7018</v>
      </c>
      <c r="K530" s="56">
        <f t="shared" si="95"/>
        <v>44319</v>
      </c>
      <c r="L530" s="56">
        <f t="shared" si="96"/>
        <v>44325</v>
      </c>
      <c r="M530" s="59" t="str">
        <f t="shared" si="97"/>
        <v>03/05/21 @ 
09/05/21</v>
      </c>
    </row>
    <row r="531" spans="2:13" ht="24" x14ac:dyDescent="0.25">
      <c r="B531" s="55">
        <f t="shared" si="98"/>
        <v>529</v>
      </c>
      <c r="C531" s="56">
        <f t="shared" si="98"/>
        <v>44323</v>
      </c>
      <c r="D531" s="57">
        <f t="shared" si="94"/>
        <v>44323</v>
      </c>
      <c r="E531" s="58">
        <f t="shared" si="99"/>
        <v>76</v>
      </c>
      <c r="F531" s="58">
        <f t="shared" si="99"/>
        <v>19</v>
      </c>
      <c r="G531" s="8">
        <v>202105</v>
      </c>
      <c r="H531" s="8" t="s">
        <v>7018</v>
      </c>
      <c r="I531" s="8">
        <v>202105</v>
      </c>
      <c r="J531" s="8" t="s">
        <v>7018</v>
      </c>
      <c r="K531" s="56">
        <f t="shared" si="95"/>
        <v>44319</v>
      </c>
      <c r="L531" s="56">
        <f t="shared" si="96"/>
        <v>44325</v>
      </c>
      <c r="M531" s="59" t="str">
        <f t="shared" si="97"/>
        <v>03/05/21 @ 
09/05/21</v>
      </c>
    </row>
    <row r="532" spans="2:13" ht="24" x14ac:dyDescent="0.25">
      <c r="B532" s="55">
        <f t="shared" si="98"/>
        <v>530</v>
      </c>
      <c r="C532" s="56">
        <f t="shared" si="98"/>
        <v>44324</v>
      </c>
      <c r="D532" s="57">
        <f t="shared" si="94"/>
        <v>44324</v>
      </c>
      <c r="E532" s="58">
        <f t="shared" si="99"/>
        <v>76</v>
      </c>
      <c r="F532" s="58">
        <f t="shared" si="99"/>
        <v>19</v>
      </c>
      <c r="G532" s="8">
        <v>202105</v>
      </c>
      <c r="H532" s="8" t="s">
        <v>7018</v>
      </c>
      <c r="I532" s="8">
        <v>202105</v>
      </c>
      <c r="J532" s="8" t="s">
        <v>7018</v>
      </c>
      <c r="K532" s="56">
        <f t="shared" si="95"/>
        <v>44319</v>
      </c>
      <c r="L532" s="56">
        <f t="shared" si="96"/>
        <v>44325</v>
      </c>
      <c r="M532" s="59" t="str">
        <f t="shared" si="97"/>
        <v>03/05/21 @ 
09/05/21</v>
      </c>
    </row>
    <row r="533" spans="2:13" ht="24" x14ac:dyDescent="0.25">
      <c r="B533" s="55">
        <f t="shared" ref="B533:C548" si="100">+B532+1</f>
        <v>531</v>
      </c>
      <c r="C533" s="56">
        <f t="shared" si="100"/>
        <v>44325</v>
      </c>
      <c r="D533" s="57">
        <f t="shared" si="94"/>
        <v>44325</v>
      </c>
      <c r="E533" s="58">
        <f t="shared" si="99"/>
        <v>76</v>
      </c>
      <c r="F533" s="58">
        <f t="shared" si="99"/>
        <v>19</v>
      </c>
      <c r="G533" s="8">
        <v>202105</v>
      </c>
      <c r="H533" s="8" t="s">
        <v>7018</v>
      </c>
      <c r="I533" s="8">
        <v>202105</v>
      </c>
      <c r="J533" s="8" t="s">
        <v>7018</v>
      </c>
      <c r="K533" s="56">
        <f t="shared" si="95"/>
        <v>44319</v>
      </c>
      <c r="L533" s="56">
        <f t="shared" si="96"/>
        <v>44325</v>
      </c>
      <c r="M533" s="59" t="str">
        <f t="shared" si="97"/>
        <v>03/05/21 @ 
09/05/21</v>
      </c>
    </row>
    <row r="534" spans="2:13" ht="24" x14ac:dyDescent="0.25">
      <c r="B534" s="55">
        <f t="shared" si="100"/>
        <v>532</v>
      </c>
      <c r="C534" s="56">
        <f t="shared" si="100"/>
        <v>44326</v>
      </c>
      <c r="D534" s="57">
        <f t="shared" si="94"/>
        <v>44326</v>
      </c>
      <c r="E534" s="58">
        <f t="shared" si="99"/>
        <v>77</v>
      </c>
      <c r="F534" s="58">
        <f t="shared" si="99"/>
        <v>20</v>
      </c>
      <c r="G534" s="8">
        <v>202105</v>
      </c>
      <c r="H534" s="8" t="s">
        <v>7018</v>
      </c>
      <c r="I534" s="8">
        <v>202105</v>
      </c>
      <c r="J534" s="8" t="s">
        <v>7018</v>
      </c>
      <c r="K534" s="56">
        <f t="shared" si="95"/>
        <v>44326</v>
      </c>
      <c r="L534" s="56">
        <f t="shared" si="96"/>
        <v>44332</v>
      </c>
      <c r="M534" s="59" t="str">
        <f t="shared" si="97"/>
        <v>10/05/21 @ 
16/05/21</v>
      </c>
    </row>
    <row r="535" spans="2:13" ht="24" x14ac:dyDescent="0.25">
      <c r="B535" s="55">
        <f t="shared" si="100"/>
        <v>533</v>
      </c>
      <c r="C535" s="56">
        <f t="shared" si="100"/>
        <v>44327</v>
      </c>
      <c r="D535" s="57">
        <f t="shared" si="94"/>
        <v>44327</v>
      </c>
      <c r="E535" s="58">
        <f t="shared" si="99"/>
        <v>77</v>
      </c>
      <c r="F535" s="58">
        <f t="shared" si="99"/>
        <v>20</v>
      </c>
      <c r="G535" s="8">
        <v>202105</v>
      </c>
      <c r="H535" s="8" t="s">
        <v>7018</v>
      </c>
      <c r="I535" s="8">
        <v>202105</v>
      </c>
      <c r="J535" s="8" t="s">
        <v>7018</v>
      </c>
      <c r="K535" s="56">
        <f t="shared" si="95"/>
        <v>44326</v>
      </c>
      <c r="L535" s="56">
        <f t="shared" si="96"/>
        <v>44332</v>
      </c>
      <c r="M535" s="59" t="str">
        <f t="shared" si="97"/>
        <v>10/05/21 @ 
16/05/21</v>
      </c>
    </row>
    <row r="536" spans="2:13" ht="24" x14ac:dyDescent="0.25">
      <c r="B536" s="55">
        <f t="shared" si="100"/>
        <v>534</v>
      </c>
      <c r="C536" s="56">
        <f t="shared" si="100"/>
        <v>44328</v>
      </c>
      <c r="D536" s="57">
        <f t="shared" si="94"/>
        <v>44328</v>
      </c>
      <c r="E536" s="58">
        <f t="shared" si="99"/>
        <v>77</v>
      </c>
      <c r="F536" s="58">
        <f t="shared" si="99"/>
        <v>20</v>
      </c>
      <c r="G536" s="8">
        <v>202105</v>
      </c>
      <c r="H536" s="8" t="s">
        <v>7018</v>
      </c>
      <c r="I536" s="8">
        <v>202105</v>
      </c>
      <c r="J536" s="8" t="s">
        <v>7018</v>
      </c>
      <c r="K536" s="56">
        <f t="shared" si="95"/>
        <v>44326</v>
      </c>
      <c r="L536" s="56">
        <f t="shared" si="96"/>
        <v>44332</v>
      </c>
      <c r="M536" s="59" t="str">
        <f t="shared" si="97"/>
        <v>10/05/21 @ 
16/05/21</v>
      </c>
    </row>
    <row r="537" spans="2:13" ht="24" x14ac:dyDescent="0.25">
      <c r="B537" s="55">
        <f t="shared" si="100"/>
        <v>535</v>
      </c>
      <c r="C537" s="56">
        <f t="shared" si="100"/>
        <v>44329</v>
      </c>
      <c r="D537" s="57">
        <f t="shared" si="94"/>
        <v>44329</v>
      </c>
      <c r="E537" s="58">
        <f t="shared" si="99"/>
        <v>77</v>
      </c>
      <c r="F537" s="58">
        <f t="shared" si="99"/>
        <v>20</v>
      </c>
      <c r="G537" s="8">
        <v>202105</v>
      </c>
      <c r="H537" s="8" t="s">
        <v>7018</v>
      </c>
      <c r="I537" s="8">
        <v>202105</v>
      </c>
      <c r="J537" s="8" t="s">
        <v>7018</v>
      </c>
      <c r="K537" s="56">
        <f t="shared" si="95"/>
        <v>44326</v>
      </c>
      <c r="L537" s="56">
        <f t="shared" si="96"/>
        <v>44332</v>
      </c>
      <c r="M537" s="59" t="str">
        <f t="shared" si="97"/>
        <v>10/05/21 @ 
16/05/21</v>
      </c>
    </row>
    <row r="538" spans="2:13" ht="24" x14ac:dyDescent="0.25">
      <c r="B538" s="55">
        <f t="shared" si="100"/>
        <v>536</v>
      </c>
      <c r="C538" s="56">
        <f t="shared" si="100"/>
        <v>44330</v>
      </c>
      <c r="D538" s="57">
        <f t="shared" si="94"/>
        <v>44330</v>
      </c>
      <c r="E538" s="58">
        <f t="shared" ref="E538:F553" si="101">+E531+1</f>
        <v>77</v>
      </c>
      <c r="F538" s="58">
        <f t="shared" si="101"/>
        <v>20</v>
      </c>
      <c r="G538" s="8">
        <v>202105</v>
      </c>
      <c r="H538" s="8" t="s">
        <v>7018</v>
      </c>
      <c r="I538" s="8">
        <v>202105</v>
      </c>
      <c r="J538" s="8" t="s">
        <v>7018</v>
      </c>
      <c r="K538" s="56">
        <f t="shared" si="95"/>
        <v>44326</v>
      </c>
      <c r="L538" s="56">
        <f t="shared" si="96"/>
        <v>44332</v>
      </c>
      <c r="M538" s="59" t="str">
        <f t="shared" si="97"/>
        <v>10/05/21 @ 
16/05/21</v>
      </c>
    </row>
    <row r="539" spans="2:13" ht="24" x14ac:dyDescent="0.25">
      <c r="B539" s="55">
        <f t="shared" si="100"/>
        <v>537</v>
      </c>
      <c r="C539" s="56">
        <f t="shared" si="100"/>
        <v>44331</v>
      </c>
      <c r="D539" s="57">
        <f t="shared" si="94"/>
        <v>44331</v>
      </c>
      <c r="E539" s="58">
        <f t="shared" si="101"/>
        <v>77</v>
      </c>
      <c r="F539" s="58">
        <f t="shared" si="101"/>
        <v>20</v>
      </c>
      <c r="G539" s="8">
        <v>202105</v>
      </c>
      <c r="H539" s="8" t="s">
        <v>7018</v>
      </c>
      <c r="I539" s="8">
        <v>202105</v>
      </c>
      <c r="J539" s="8" t="s">
        <v>7018</v>
      </c>
      <c r="K539" s="56">
        <f t="shared" si="95"/>
        <v>44326</v>
      </c>
      <c r="L539" s="56">
        <f t="shared" si="96"/>
        <v>44332</v>
      </c>
      <c r="M539" s="59" t="str">
        <f t="shared" si="97"/>
        <v>10/05/21 @ 
16/05/21</v>
      </c>
    </row>
    <row r="540" spans="2:13" ht="24" x14ac:dyDescent="0.25">
      <c r="B540" s="55">
        <f t="shared" si="100"/>
        <v>538</v>
      </c>
      <c r="C540" s="56">
        <f t="shared" si="100"/>
        <v>44332</v>
      </c>
      <c r="D540" s="57">
        <f t="shared" si="94"/>
        <v>44332</v>
      </c>
      <c r="E540" s="58">
        <f t="shared" si="101"/>
        <v>77</v>
      </c>
      <c r="F540" s="58">
        <f t="shared" si="101"/>
        <v>20</v>
      </c>
      <c r="G540" s="8">
        <v>202105</v>
      </c>
      <c r="H540" s="8" t="s">
        <v>7018</v>
      </c>
      <c r="I540" s="8">
        <v>202105</v>
      </c>
      <c r="J540" s="8" t="s">
        <v>7018</v>
      </c>
      <c r="K540" s="56">
        <f t="shared" si="95"/>
        <v>44326</v>
      </c>
      <c r="L540" s="56">
        <f t="shared" si="96"/>
        <v>44332</v>
      </c>
      <c r="M540" s="59" t="str">
        <f t="shared" si="97"/>
        <v>10/05/21 @ 
16/05/21</v>
      </c>
    </row>
    <row r="541" spans="2:13" ht="24" x14ac:dyDescent="0.25">
      <c r="B541" s="55">
        <f t="shared" si="100"/>
        <v>539</v>
      </c>
      <c r="C541" s="56">
        <f t="shared" si="100"/>
        <v>44333</v>
      </c>
      <c r="D541" s="57">
        <f t="shared" si="94"/>
        <v>44333</v>
      </c>
      <c r="E541" s="58">
        <f t="shared" si="101"/>
        <v>78</v>
      </c>
      <c r="F541" s="58">
        <f t="shared" si="101"/>
        <v>21</v>
      </c>
      <c r="G541" s="8">
        <v>202105</v>
      </c>
      <c r="H541" s="8" t="s">
        <v>7018</v>
      </c>
      <c r="I541" s="8">
        <v>202105</v>
      </c>
      <c r="J541" s="8" t="s">
        <v>7018</v>
      </c>
      <c r="K541" s="56">
        <f t="shared" si="95"/>
        <v>44333</v>
      </c>
      <c r="L541" s="56">
        <f t="shared" si="96"/>
        <v>44339</v>
      </c>
      <c r="M541" s="59" t="str">
        <f t="shared" si="97"/>
        <v>17/05/21 @ 
23/05/21</v>
      </c>
    </row>
    <row r="542" spans="2:13" ht="24" x14ac:dyDescent="0.25">
      <c r="B542" s="55">
        <f t="shared" si="100"/>
        <v>540</v>
      </c>
      <c r="C542" s="56">
        <f t="shared" si="100"/>
        <v>44334</v>
      </c>
      <c r="D542" s="57">
        <f t="shared" si="94"/>
        <v>44334</v>
      </c>
      <c r="E542" s="58">
        <f t="shared" si="101"/>
        <v>78</v>
      </c>
      <c r="F542" s="58">
        <f t="shared" si="101"/>
        <v>21</v>
      </c>
      <c r="G542" s="8">
        <v>202105</v>
      </c>
      <c r="H542" s="8" t="s">
        <v>7018</v>
      </c>
      <c r="I542" s="8">
        <v>202105</v>
      </c>
      <c r="J542" s="8" t="s">
        <v>7018</v>
      </c>
      <c r="K542" s="56">
        <f t="shared" si="95"/>
        <v>44333</v>
      </c>
      <c r="L542" s="56">
        <f t="shared" si="96"/>
        <v>44339</v>
      </c>
      <c r="M542" s="59" t="str">
        <f t="shared" si="97"/>
        <v>17/05/21 @ 
23/05/21</v>
      </c>
    </row>
    <row r="543" spans="2:13" ht="24" x14ac:dyDescent="0.25">
      <c r="B543" s="55">
        <f t="shared" si="100"/>
        <v>541</v>
      </c>
      <c r="C543" s="56">
        <f t="shared" si="100"/>
        <v>44335</v>
      </c>
      <c r="D543" s="57">
        <f t="shared" si="94"/>
        <v>44335</v>
      </c>
      <c r="E543" s="58">
        <f t="shared" si="101"/>
        <v>78</v>
      </c>
      <c r="F543" s="58">
        <f t="shared" si="101"/>
        <v>21</v>
      </c>
      <c r="G543" s="8">
        <v>202105</v>
      </c>
      <c r="H543" s="8" t="s">
        <v>7018</v>
      </c>
      <c r="I543" s="8">
        <v>202105</v>
      </c>
      <c r="J543" s="8" t="s">
        <v>7018</v>
      </c>
      <c r="K543" s="56">
        <f t="shared" si="95"/>
        <v>44333</v>
      </c>
      <c r="L543" s="56">
        <f t="shared" si="96"/>
        <v>44339</v>
      </c>
      <c r="M543" s="59" t="str">
        <f t="shared" si="97"/>
        <v>17/05/21 @ 
23/05/21</v>
      </c>
    </row>
    <row r="544" spans="2:13" ht="24" x14ac:dyDescent="0.25">
      <c r="B544" s="55">
        <f t="shared" si="100"/>
        <v>542</v>
      </c>
      <c r="C544" s="56">
        <f t="shared" si="100"/>
        <v>44336</v>
      </c>
      <c r="D544" s="57">
        <f t="shared" si="94"/>
        <v>44336</v>
      </c>
      <c r="E544" s="58">
        <f t="shared" si="101"/>
        <v>78</v>
      </c>
      <c r="F544" s="58">
        <f t="shared" si="101"/>
        <v>21</v>
      </c>
      <c r="G544" s="8">
        <v>202105</v>
      </c>
      <c r="H544" s="8" t="s">
        <v>7018</v>
      </c>
      <c r="I544" s="8">
        <v>202105</v>
      </c>
      <c r="J544" s="8" t="s">
        <v>7018</v>
      </c>
      <c r="K544" s="56">
        <f t="shared" si="95"/>
        <v>44333</v>
      </c>
      <c r="L544" s="56">
        <f t="shared" si="96"/>
        <v>44339</v>
      </c>
      <c r="M544" s="59" t="str">
        <f t="shared" si="97"/>
        <v>17/05/21 @ 
23/05/21</v>
      </c>
    </row>
    <row r="545" spans="2:13" ht="24" x14ac:dyDescent="0.25">
      <c r="B545" s="55">
        <f t="shared" si="100"/>
        <v>543</v>
      </c>
      <c r="C545" s="56">
        <f t="shared" si="100"/>
        <v>44337</v>
      </c>
      <c r="D545" s="57">
        <f t="shared" si="94"/>
        <v>44337</v>
      </c>
      <c r="E545" s="58">
        <f t="shared" si="101"/>
        <v>78</v>
      </c>
      <c r="F545" s="58">
        <f t="shared" si="101"/>
        <v>21</v>
      </c>
      <c r="G545" s="8">
        <v>202105</v>
      </c>
      <c r="H545" s="8" t="s">
        <v>7018</v>
      </c>
      <c r="I545" s="8">
        <v>202106</v>
      </c>
      <c r="J545" s="8" t="s">
        <v>7019</v>
      </c>
      <c r="K545" s="56">
        <f t="shared" si="95"/>
        <v>44333</v>
      </c>
      <c r="L545" s="56">
        <f t="shared" si="96"/>
        <v>44339</v>
      </c>
      <c r="M545" s="59" t="str">
        <f t="shared" si="97"/>
        <v>17/05/21 @ 
23/05/21</v>
      </c>
    </row>
    <row r="546" spans="2:13" ht="24" x14ac:dyDescent="0.25">
      <c r="B546" s="55">
        <f t="shared" si="100"/>
        <v>544</v>
      </c>
      <c r="C546" s="56">
        <f t="shared" si="100"/>
        <v>44338</v>
      </c>
      <c r="D546" s="57">
        <f t="shared" si="94"/>
        <v>44338</v>
      </c>
      <c r="E546" s="58">
        <f t="shared" si="101"/>
        <v>78</v>
      </c>
      <c r="F546" s="58">
        <f t="shared" si="101"/>
        <v>21</v>
      </c>
      <c r="G546" s="8">
        <v>202105</v>
      </c>
      <c r="H546" s="8" t="s">
        <v>7018</v>
      </c>
      <c r="I546" s="8">
        <v>202106</v>
      </c>
      <c r="J546" s="8" t="s">
        <v>7019</v>
      </c>
      <c r="K546" s="56">
        <f t="shared" si="95"/>
        <v>44333</v>
      </c>
      <c r="L546" s="56">
        <f t="shared" si="96"/>
        <v>44339</v>
      </c>
      <c r="M546" s="59" t="str">
        <f t="shared" si="97"/>
        <v>17/05/21 @ 
23/05/21</v>
      </c>
    </row>
    <row r="547" spans="2:13" ht="24" x14ac:dyDescent="0.25">
      <c r="B547" s="55">
        <f t="shared" si="100"/>
        <v>545</v>
      </c>
      <c r="C547" s="56">
        <f t="shared" si="100"/>
        <v>44339</v>
      </c>
      <c r="D547" s="57">
        <f t="shared" si="94"/>
        <v>44339</v>
      </c>
      <c r="E547" s="58">
        <f t="shared" si="101"/>
        <v>78</v>
      </c>
      <c r="F547" s="58">
        <f t="shared" si="101"/>
        <v>21</v>
      </c>
      <c r="G547" s="8">
        <v>202105</v>
      </c>
      <c r="H547" s="8" t="s">
        <v>7018</v>
      </c>
      <c r="I547" s="8">
        <v>202106</v>
      </c>
      <c r="J547" s="8" t="s">
        <v>7019</v>
      </c>
      <c r="K547" s="56">
        <f t="shared" si="95"/>
        <v>44333</v>
      </c>
      <c r="L547" s="56">
        <f t="shared" si="96"/>
        <v>44339</v>
      </c>
      <c r="M547" s="59" t="str">
        <f t="shared" si="97"/>
        <v>17/05/21 @ 
23/05/21</v>
      </c>
    </row>
    <row r="548" spans="2:13" ht="24" x14ac:dyDescent="0.25">
      <c r="B548" s="55">
        <f t="shared" si="100"/>
        <v>546</v>
      </c>
      <c r="C548" s="56">
        <f t="shared" si="100"/>
        <v>44340</v>
      </c>
      <c r="D548" s="57">
        <f t="shared" si="94"/>
        <v>44340</v>
      </c>
      <c r="E548" s="58">
        <f t="shared" si="101"/>
        <v>79</v>
      </c>
      <c r="F548" s="58">
        <f t="shared" si="101"/>
        <v>22</v>
      </c>
      <c r="G548" s="8">
        <v>202105</v>
      </c>
      <c r="H548" s="8" t="s">
        <v>7018</v>
      </c>
      <c r="I548" s="8">
        <v>202106</v>
      </c>
      <c r="J548" s="8" t="s">
        <v>7019</v>
      </c>
      <c r="K548" s="56">
        <f t="shared" si="95"/>
        <v>44340</v>
      </c>
      <c r="L548" s="56">
        <f t="shared" si="96"/>
        <v>44346</v>
      </c>
      <c r="M548" s="59" t="str">
        <f t="shared" si="97"/>
        <v>24/05/21 @ 
30/05/21</v>
      </c>
    </row>
    <row r="549" spans="2:13" ht="24" x14ac:dyDescent="0.25">
      <c r="B549" s="55">
        <f t="shared" ref="B549:C564" si="102">+B548+1</f>
        <v>547</v>
      </c>
      <c r="C549" s="56">
        <f t="shared" si="102"/>
        <v>44341</v>
      </c>
      <c r="D549" s="57">
        <f t="shared" si="94"/>
        <v>44341</v>
      </c>
      <c r="E549" s="58">
        <f t="shared" si="101"/>
        <v>79</v>
      </c>
      <c r="F549" s="58">
        <f t="shared" si="101"/>
        <v>22</v>
      </c>
      <c r="G549" s="8">
        <v>202105</v>
      </c>
      <c r="H549" s="8" t="s">
        <v>7018</v>
      </c>
      <c r="I549" s="8">
        <v>202106</v>
      </c>
      <c r="J549" s="8" t="s">
        <v>7019</v>
      </c>
      <c r="K549" s="56">
        <f t="shared" si="95"/>
        <v>44340</v>
      </c>
      <c r="L549" s="56">
        <f t="shared" si="96"/>
        <v>44346</v>
      </c>
      <c r="M549" s="59" t="str">
        <f t="shared" si="97"/>
        <v>24/05/21 @ 
30/05/21</v>
      </c>
    </row>
    <row r="550" spans="2:13" ht="24" x14ac:dyDescent="0.25">
      <c r="B550" s="55">
        <f t="shared" si="102"/>
        <v>548</v>
      </c>
      <c r="C550" s="56">
        <f t="shared" si="102"/>
        <v>44342</v>
      </c>
      <c r="D550" s="57">
        <f t="shared" si="94"/>
        <v>44342</v>
      </c>
      <c r="E550" s="58">
        <f t="shared" si="101"/>
        <v>79</v>
      </c>
      <c r="F550" s="58">
        <f t="shared" si="101"/>
        <v>22</v>
      </c>
      <c r="G550" s="8">
        <v>202105</v>
      </c>
      <c r="H550" s="8" t="s">
        <v>7018</v>
      </c>
      <c r="I550" s="8">
        <v>202106</v>
      </c>
      <c r="J550" s="8" t="s">
        <v>7019</v>
      </c>
      <c r="K550" s="56">
        <f t="shared" si="95"/>
        <v>44340</v>
      </c>
      <c r="L550" s="56">
        <f t="shared" si="96"/>
        <v>44346</v>
      </c>
      <c r="M550" s="59" t="str">
        <f t="shared" si="97"/>
        <v>24/05/21 @ 
30/05/21</v>
      </c>
    </row>
    <row r="551" spans="2:13" ht="24" x14ac:dyDescent="0.25">
      <c r="B551" s="55">
        <f t="shared" si="102"/>
        <v>549</v>
      </c>
      <c r="C551" s="56">
        <f t="shared" si="102"/>
        <v>44343</v>
      </c>
      <c r="D551" s="57">
        <f t="shared" si="94"/>
        <v>44343</v>
      </c>
      <c r="E551" s="58">
        <f t="shared" si="101"/>
        <v>79</v>
      </c>
      <c r="F551" s="58">
        <f t="shared" si="101"/>
        <v>22</v>
      </c>
      <c r="G551" s="8">
        <v>202105</v>
      </c>
      <c r="H551" s="8" t="s">
        <v>7018</v>
      </c>
      <c r="I551" s="8">
        <v>202106</v>
      </c>
      <c r="J551" s="8" t="s">
        <v>7019</v>
      </c>
      <c r="K551" s="56">
        <f t="shared" si="95"/>
        <v>44340</v>
      </c>
      <c r="L551" s="56">
        <f t="shared" si="96"/>
        <v>44346</v>
      </c>
      <c r="M551" s="59" t="str">
        <f t="shared" si="97"/>
        <v>24/05/21 @ 
30/05/21</v>
      </c>
    </row>
    <row r="552" spans="2:13" ht="24" x14ac:dyDescent="0.25">
      <c r="B552" s="55">
        <f t="shared" si="102"/>
        <v>550</v>
      </c>
      <c r="C552" s="56">
        <f t="shared" si="102"/>
        <v>44344</v>
      </c>
      <c r="D552" s="57">
        <f t="shared" si="94"/>
        <v>44344</v>
      </c>
      <c r="E552" s="58">
        <f t="shared" si="101"/>
        <v>79</v>
      </c>
      <c r="F552" s="58">
        <f t="shared" si="101"/>
        <v>22</v>
      </c>
      <c r="G552" s="8">
        <v>202105</v>
      </c>
      <c r="H552" s="8" t="s">
        <v>7018</v>
      </c>
      <c r="I552" s="8">
        <v>202106</v>
      </c>
      <c r="J552" s="8" t="s">
        <v>7019</v>
      </c>
      <c r="K552" s="56">
        <f t="shared" si="95"/>
        <v>44340</v>
      </c>
      <c r="L552" s="56">
        <f t="shared" si="96"/>
        <v>44346</v>
      </c>
      <c r="M552" s="59" t="str">
        <f t="shared" si="97"/>
        <v>24/05/21 @ 
30/05/21</v>
      </c>
    </row>
    <row r="553" spans="2:13" ht="24" x14ac:dyDescent="0.25">
      <c r="B553" s="55">
        <f t="shared" si="102"/>
        <v>551</v>
      </c>
      <c r="C553" s="56">
        <f t="shared" si="102"/>
        <v>44345</v>
      </c>
      <c r="D553" s="57">
        <f t="shared" si="94"/>
        <v>44345</v>
      </c>
      <c r="E553" s="58">
        <f t="shared" si="101"/>
        <v>79</v>
      </c>
      <c r="F553" s="58">
        <f t="shared" si="101"/>
        <v>22</v>
      </c>
      <c r="G553" s="8">
        <v>202105</v>
      </c>
      <c r="H553" s="8" t="s">
        <v>7018</v>
      </c>
      <c r="I553" s="8">
        <v>202106</v>
      </c>
      <c r="J553" s="8" t="s">
        <v>7019</v>
      </c>
      <c r="K553" s="56">
        <f t="shared" si="95"/>
        <v>44340</v>
      </c>
      <c r="L553" s="56">
        <f t="shared" si="96"/>
        <v>44346</v>
      </c>
      <c r="M553" s="59" t="str">
        <f t="shared" si="97"/>
        <v>24/05/21 @ 
30/05/21</v>
      </c>
    </row>
    <row r="554" spans="2:13" ht="24" x14ac:dyDescent="0.25">
      <c r="B554" s="55">
        <f t="shared" si="102"/>
        <v>552</v>
      </c>
      <c r="C554" s="56">
        <f t="shared" si="102"/>
        <v>44346</v>
      </c>
      <c r="D554" s="57">
        <f t="shared" si="94"/>
        <v>44346</v>
      </c>
      <c r="E554" s="58">
        <f t="shared" ref="E554:F569" si="103">+E547+1</f>
        <v>79</v>
      </c>
      <c r="F554" s="58">
        <f t="shared" si="103"/>
        <v>22</v>
      </c>
      <c r="G554" s="8">
        <v>202105</v>
      </c>
      <c r="H554" s="8" t="s">
        <v>7018</v>
      </c>
      <c r="I554" s="8">
        <v>202106</v>
      </c>
      <c r="J554" s="8" t="s">
        <v>7019</v>
      </c>
      <c r="K554" s="56">
        <f t="shared" si="95"/>
        <v>44340</v>
      </c>
      <c r="L554" s="56">
        <f t="shared" si="96"/>
        <v>44346</v>
      </c>
      <c r="M554" s="59" t="str">
        <f t="shared" si="97"/>
        <v>24/05/21 @ 
30/05/21</v>
      </c>
    </row>
    <row r="555" spans="2:13" ht="24" x14ac:dyDescent="0.25">
      <c r="B555" s="55">
        <f t="shared" si="102"/>
        <v>553</v>
      </c>
      <c r="C555" s="56">
        <f t="shared" si="102"/>
        <v>44347</v>
      </c>
      <c r="D555" s="57">
        <f t="shared" si="94"/>
        <v>44347</v>
      </c>
      <c r="E555" s="58">
        <f t="shared" si="103"/>
        <v>80</v>
      </c>
      <c r="F555" s="58">
        <f t="shared" si="103"/>
        <v>23</v>
      </c>
      <c r="G555" s="8">
        <v>202106</v>
      </c>
      <c r="H555" s="8" t="s">
        <v>7019</v>
      </c>
      <c r="I555" s="8">
        <v>202106</v>
      </c>
      <c r="J555" s="8" t="s">
        <v>7019</v>
      </c>
      <c r="K555" s="56">
        <f t="shared" si="95"/>
        <v>44347</v>
      </c>
      <c r="L555" s="56">
        <f t="shared" si="96"/>
        <v>44353</v>
      </c>
      <c r="M555" s="59" t="str">
        <f t="shared" si="97"/>
        <v>31/05/21 @ 
06/06/21</v>
      </c>
    </row>
    <row r="556" spans="2:13" ht="24" x14ac:dyDescent="0.25">
      <c r="B556" s="55">
        <f t="shared" si="102"/>
        <v>554</v>
      </c>
      <c r="C556" s="56">
        <f t="shared" si="102"/>
        <v>44348</v>
      </c>
      <c r="D556" s="57">
        <f t="shared" si="94"/>
        <v>44348</v>
      </c>
      <c r="E556" s="58">
        <f t="shared" si="103"/>
        <v>80</v>
      </c>
      <c r="F556" s="58">
        <f t="shared" si="103"/>
        <v>23</v>
      </c>
      <c r="G556" s="8">
        <v>202106</v>
      </c>
      <c r="H556" s="8" t="s">
        <v>7019</v>
      </c>
      <c r="I556" s="8">
        <v>202106</v>
      </c>
      <c r="J556" s="8" t="s">
        <v>7019</v>
      </c>
      <c r="K556" s="56">
        <f t="shared" si="95"/>
        <v>44347</v>
      </c>
      <c r="L556" s="56">
        <f t="shared" si="96"/>
        <v>44353</v>
      </c>
      <c r="M556" s="59" t="str">
        <f t="shared" si="97"/>
        <v>31/05/21 @ 
06/06/21</v>
      </c>
    </row>
    <row r="557" spans="2:13" ht="24" x14ac:dyDescent="0.25">
      <c r="B557" s="55">
        <f t="shared" si="102"/>
        <v>555</v>
      </c>
      <c r="C557" s="56">
        <f t="shared" si="102"/>
        <v>44349</v>
      </c>
      <c r="D557" s="57">
        <f t="shared" si="94"/>
        <v>44349</v>
      </c>
      <c r="E557" s="58">
        <f t="shared" si="103"/>
        <v>80</v>
      </c>
      <c r="F557" s="58">
        <f t="shared" si="103"/>
        <v>23</v>
      </c>
      <c r="G557" s="8">
        <v>202106</v>
      </c>
      <c r="H557" s="8" t="s">
        <v>7019</v>
      </c>
      <c r="I557" s="8">
        <v>202106</v>
      </c>
      <c r="J557" s="8" t="s">
        <v>7019</v>
      </c>
      <c r="K557" s="56">
        <f t="shared" si="95"/>
        <v>44347</v>
      </c>
      <c r="L557" s="56">
        <f t="shared" si="96"/>
        <v>44353</v>
      </c>
      <c r="M557" s="59" t="str">
        <f t="shared" si="97"/>
        <v>31/05/21 @ 
06/06/21</v>
      </c>
    </row>
    <row r="558" spans="2:13" ht="24" x14ac:dyDescent="0.25">
      <c r="B558" s="55">
        <f t="shared" si="102"/>
        <v>556</v>
      </c>
      <c r="C558" s="56">
        <f t="shared" si="102"/>
        <v>44350</v>
      </c>
      <c r="D558" s="57">
        <f t="shared" si="94"/>
        <v>44350</v>
      </c>
      <c r="E558" s="58">
        <f t="shared" si="103"/>
        <v>80</v>
      </c>
      <c r="F558" s="58">
        <f t="shared" si="103"/>
        <v>23</v>
      </c>
      <c r="G558" s="8">
        <v>202106</v>
      </c>
      <c r="H558" s="8" t="s">
        <v>7019</v>
      </c>
      <c r="I558" s="8">
        <v>202106</v>
      </c>
      <c r="J558" s="8" t="s">
        <v>7019</v>
      </c>
      <c r="K558" s="56">
        <f t="shared" si="95"/>
        <v>44347</v>
      </c>
      <c r="L558" s="56">
        <f t="shared" si="96"/>
        <v>44353</v>
      </c>
      <c r="M558" s="59" t="str">
        <f t="shared" si="97"/>
        <v>31/05/21 @ 
06/06/21</v>
      </c>
    </row>
    <row r="559" spans="2:13" ht="24" x14ac:dyDescent="0.25">
      <c r="B559" s="55">
        <f t="shared" si="102"/>
        <v>557</v>
      </c>
      <c r="C559" s="56">
        <f t="shared" si="102"/>
        <v>44351</v>
      </c>
      <c r="D559" s="57">
        <f t="shared" si="94"/>
        <v>44351</v>
      </c>
      <c r="E559" s="58">
        <f t="shared" si="103"/>
        <v>80</v>
      </c>
      <c r="F559" s="58">
        <f t="shared" si="103"/>
        <v>23</v>
      </c>
      <c r="G559" s="8">
        <v>202106</v>
      </c>
      <c r="H559" s="8" t="s">
        <v>7019</v>
      </c>
      <c r="I559" s="8">
        <v>202106</v>
      </c>
      <c r="J559" s="8" t="s">
        <v>7019</v>
      </c>
      <c r="K559" s="56">
        <f t="shared" si="95"/>
        <v>44347</v>
      </c>
      <c r="L559" s="56">
        <f t="shared" si="96"/>
        <v>44353</v>
      </c>
      <c r="M559" s="59" t="str">
        <f t="shared" si="97"/>
        <v>31/05/21 @ 
06/06/21</v>
      </c>
    </row>
    <row r="560" spans="2:13" ht="24" x14ac:dyDescent="0.25">
      <c r="B560" s="55">
        <f t="shared" si="102"/>
        <v>558</v>
      </c>
      <c r="C560" s="56">
        <f t="shared" si="102"/>
        <v>44352</v>
      </c>
      <c r="D560" s="57">
        <f t="shared" si="94"/>
        <v>44352</v>
      </c>
      <c r="E560" s="58">
        <f t="shared" si="103"/>
        <v>80</v>
      </c>
      <c r="F560" s="58">
        <f t="shared" si="103"/>
        <v>23</v>
      </c>
      <c r="G560" s="8">
        <v>202106</v>
      </c>
      <c r="H560" s="8" t="s">
        <v>7019</v>
      </c>
      <c r="I560" s="8">
        <v>202106</v>
      </c>
      <c r="J560" s="8" t="s">
        <v>7019</v>
      </c>
      <c r="K560" s="56">
        <f t="shared" si="95"/>
        <v>44347</v>
      </c>
      <c r="L560" s="56">
        <f t="shared" si="96"/>
        <v>44353</v>
      </c>
      <c r="M560" s="59" t="str">
        <f t="shared" si="97"/>
        <v>31/05/21 @ 
06/06/21</v>
      </c>
    </row>
    <row r="561" spans="2:22" ht="24" x14ac:dyDescent="0.25">
      <c r="B561" s="55">
        <f t="shared" si="102"/>
        <v>559</v>
      </c>
      <c r="C561" s="56">
        <f t="shared" si="102"/>
        <v>44353</v>
      </c>
      <c r="D561" s="57">
        <f t="shared" si="94"/>
        <v>44353</v>
      </c>
      <c r="E561" s="58">
        <f t="shared" si="103"/>
        <v>80</v>
      </c>
      <c r="F561" s="58">
        <f t="shared" si="103"/>
        <v>23</v>
      </c>
      <c r="G561" s="8">
        <v>202106</v>
      </c>
      <c r="H561" s="8" t="s">
        <v>7019</v>
      </c>
      <c r="I561" s="8">
        <v>202106</v>
      </c>
      <c r="J561" s="8" t="s">
        <v>7019</v>
      </c>
      <c r="K561" s="56">
        <f t="shared" si="95"/>
        <v>44347</v>
      </c>
      <c r="L561" s="56">
        <f t="shared" si="96"/>
        <v>44353</v>
      </c>
      <c r="M561" s="59" t="str">
        <f t="shared" si="97"/>
        <v>31/05/21 @ 
06/06/21</v>
      </c>
    </row>
    <row r="562" spans="2:22" ht="24" x14ac:dyDescent="0.25">
      <c r="B562" s="55">
        <f t="shared" si="102"/>
        <v>560</v>
      </c>
      <c r="C562" s="56">
        <f t="shared" si="102"/>
        <v>44354</v>
      </c>
      <c r="D562" s="57">
        <f t="shared" si="94"/>
        <v>44354</v>
      </c>
      <c r="E562" s="58">
        <f t="shared" si="103"/>
        <v>81</v>
      </c>
      <c r="F562" s="58">
        <f t="shared" si="103"/>
        <v>24</v>
      </c>
      <c r="G562" s="8">
        <v>202106</v>
      </c>
      <c r="H562" s="8" t="s">
        <v>7019</v>
      </c>
      <c r="I562" s="8">
        <v>202106</v>
      </c>
      <c r="J562" s="8" t="s">
        <v>7019</v>
      </c>
      <c r="K562" s="56">
        <f t="shared" si="95"/>
        <v>44354</v>
      </c>
      <c r="L562" s="56">
        <f t="shared" si="96"/>
        <v>44360</v>
      </c>
      <c r="M562" s="59" t="str">
        <f t="shared" si="97"/>
        <v>07/06/21 @ 
13/06/21</v>
      </c>
    </row>
    <row r="563" spans="2:22" ht="24" x14ac:dyDescent="0.25">
      <c r="B563" s="55">
        <f t="shared" si="102"/>
        <v>561</v>
      </c>
      <c r="C563" s="56">
        <f t="shared" si="102"/>
        <v>44355</v>
      </c>
      <c r="D563" s="57">
        <f t="shared" si="94"/>
        <v>44355</v>
      </c>
      <c r="E563" s="58">
        <f t="shared" si="103"/>
        <v>81</v>
      </c>
      <c r="F563" s="58">
        <f t="shared" si="103"/>
        <v>24</v>
      </c>
      <c r="G563" s="8">
        <v>202106</v>
      </c>
      <c r="H563" s="8" t="s">
        <v>7019</v>
      </c>
      <c r="I563" s="8">
        <v>202106</v>
      </c>
      <c r="J563" s="8" t="s">
        <v>7019</v>
      </c>
      <c r="K563" s="56">
        <f t="shared" si="95"/>
        <v>44354</v>
      </c>
      <c r="L563" s="56">
        <f t="shared" si="96"/>
        <v>44360</v>
      </c>
      <c r="M563" s="59" t="str">
        <f t="shared" si="97"/>
        <v>07/06/21 @ 
13/06/21</v>
      </c>
    </row>
    <row r="564" spans="2:22" ht="24" x14ac:dyDescent="0.25">
      <c r="B564" s="55">
        <f t="shared" si="102"/>
        <v>562</v>
      </c>
      <c r="C564" s="56">
        <f t="shared" si="102"/>
        <v>44356</v>
      </c>
      <c r="D564" s="57">
        <f t="shared" si="94"/>
        <v>44356</v>
      </c>
      <c r="E564" s="58">
        <f t="shared" si="103"/>
        <v>81</v>
      </c>
      <c r="F564" s="58">
        <f t="shared" si="103"/>
        <v>24</v>
      </c>
      <c r="G564" s="8">
        <v>202106</v>
      </c>
      <c r="H564" s="8" t="s">
        <v>7019</v>
      </c>
      <c r="I564" s="8">
        <v>202106</v>
      </c>
      <c r="J564" s="8" t="s">
        <v>7019</v>
      </c>
      <c r="K564" s="56">
        <f t="shared" si="95"/>
        <v>44354</v>
      </c>
      <c r="L564" s="56">
        <f t="shared" si="96"/>
        <v>44360</v>
      </c>
      <c r="M564" s="59" t="str">
        <f t="shared" si="97"/>
        <v>07/06/21 @ 
13/06/21</v>
      </c>
    </row>
    <row r="565" spans="2:22" ht="24" x14ac:dyDescent="0.25">
      <c r="B565" s="55">
        <f t="shared" ref="B565:C580" si="104">+B564+1</f>
        <v>563</v>
      </c>
      <c r="C565" s="56">
        <f t="shared" si="104"/>
        <v>44357</v>
      </c>
      <c r="D565" s="57">
        <f t="shared" si="94"/>
        <v>44357</v>
      </c>
      <c r="E565" s="58">
        <f t="shared" si="103"/>
        <v>81</v>
      </c>
      <c r="F565" s="58">
        <f t="shared" si="103"/>
        <v>24</v>
      </c>
      <c r="G565" s="8">
        <v>202106</v>
      </c>
      <c r="H565" s="8" t="s">
        <v>7019</v>
      </c>
      <c r="I565" s="8">
        <v>202106</v>
      </c>
      <c r="J565" s="8" t="s">
        <v>7019</v>
      </c>
      <c r="K565" s="56">
        <f t="shared" si="95"/>
        <v>44354</v>
      </c>
      <c r="L565" s="56">
        <f t="shared" si="96"/>
        <v>44360</v>
      </c>
      <c r="M565" s="59" t="str">
        <f t="shared" si="97"/>
        <v>07/06/21 @ 
13/06/21</v>
      </c>
    </row>
    <row r="566" spans="2:22" ht="24" x14ac:dyDescent="0.25">
      <c r="B566" s="55">
        <f t="shared" si="104"/>
        <v>564</v>
      </c>
      <c r="C566" s="56">
        <f t="shared" si="104"/>
        <v>44358</v>
      </c>
      <c r="D566" s="57">
        <f t="shared" si="94"/>
        <v>44358</v>
      </c>
      <c r="E566" s="58">
        <f t="shared" si="103"/>
        <v>81</v>
      </c>
      <c r="F566" s="58">
        <f t="shared" si="103"/>
        <v>24</v>
      </c>
      <c r="G566" s="8">
        <v>202106</v>
      </c>
      <c r="H566" s="8" t="s">
        <v>7019</v>
      </c>
      <c r="I566" s="8">
        <v>202106</v>
      </c>
      <c r="J566" s="8" t="s">
        <v>7019</v>
      </c>
      <c r="K566" s="56">
        <f t="shared" si="95"/>
        <v>44354</v>
      </c>
      <c r="L566" s="56">
        <f t="shared" si="96"/>
        <v>44360</v>
      </c>
      <c r="M566" s="59" t="str">
        <f t="shared" si="97"/>
        <v>07/06/21 @ 
13/06/21</v>
      </c>
    </row>
    <row r="567" spans="2:22" ht="24" x14ac:dyDescent="0.25">
      <c r="B567" s="55">
        <f t="shared" si="104"/>
        <v>565</v>
      </c>
      <c r="C567" s="56">
        <f t="shared" si="104"/>
        <v>44359</v>
      </c>
      <c r="D567" s="57">
        <f t="shared" si="94"/>
        <v>44359</v>
      </c>
      <c r="E567" s="58">
        <f t="shared" si="103"/>
        <v>81</v>
      </c>
      <c r="F567" s="58">
        <f t="shared" si="103"/>
        <v>24</v>
      </c>
      <c r="G567" s="8">
        <v>202106</v>
      </c>
      <c r="H567" s="8" t="s">
        <v>7019</v>
      </c>
      <c r="I567" s="8">
        <v>202106</v>
      </c>
      <c r="J567" s="8" t="s">
        <v>7019</v>
      </c>
      <c r="K567" s="56">
        <f t="shared" si="95"/>
        <v>44354</v>
      </c>
      <c r="L567" s="56">
        <f t="shared" si="96"/>
        <v>44360</v>
      </c>
      <c r="M567" s="59" t="str">
        <f t="shared" si="97"/>
        <v>07/06/21 @ 
13/06/21</v>
      </c>
    </row>
    <row r="568" spans="2:22" ht="24" x14ac:dyDescent="0.25">
      <c r="B568" s="55">
        <f t="shared" si="104"/>
        <v>566</v>
      </c>
      <c r="C568" s="56">
        <f t="shared" si="104"/>
        <v>44360</v>
      </c>
      <c r="D568" s="57">
        <f t="shared" si="94"/>
        <v>44360</v>
      </c>
      <c r="E568" s="58">
        <f t="shared" si="103"/>
        <v>81</v>
      </c>
      <c r="F568" s="58">
        <f t="shared" si="103"/>
        <v>24</v>
      </c>
      <c r="G568" s="8">
        <v>202106</v>
      </c>
      <c r="H568" s="8" t="s">
        <v>7019</v>
      </c>
      <c r="I568" s="8">
        <v>202106</v>
      </c>
      <c r="J568" s="8" t="s">
        <v>7019</v>
      </c>
      <c r="K568" s="56">
        <f t="shared" si="95"/>
        <v>44354</v>
      </c>
      <c r="L568" s="56">
        <f t="shared" si="96"/>
        <v>44360</v>
      </c>
      <c r="M568" s="59" t="str">
        <f t="shared" si="97"/>
        <v>07/06/21 @ 
13/06/21</v>
      </c>
    </row>
    <row r="569" spans="2:22" ht="24" x14ac:dyDescent="0.25">
      <c r="B569" s="55">
        <f t="shared" si="104"/>
        <v>567</v>
      </c>
      <c r="C569" s="56">
        <f t="shared" si="104"/>
        <v>44361</v>
      </c>
      <c r="D569" s="57">
        <f t="shared" si="94"/>
        <v>44361</v>
      </c>
      <c r="E569" s="58">
        <f t="shared" si="103"/>
        <v>82</v>
      </c>
      <c r="F569" s="58">
        <f t="shared" si="103"/>
        <v>25</v>
      </c>
      <c r="G569" s="8">
        <v>202106</v>
      </c>
      <c r="H569" s="8" t="s">
        <v>7019</v>
      </c>
      <c r="I569" s="8">
        <v>202106</v>
      </c>
      <c r="J569" s="8" t="s">
        <v>7019</v>
      </c>
      <c r="K569" s="56">
        <f t="shared" si="95"/>
        <v>44361</v>
      </c>
      <c r="L569" s="56">
        <f t="shared" si="96"/>
        <v>44367</v>
      </c>
      <c r="M569" s="59" t="str">
        <f t="shared" si="97"/>
        <v>14/06/21 @ 
20/06/21</v>
      </c>
    </row>
    <row r="570" spans="2:22" ht="24" x14ac:dyDescent="0.25">
      <c r="B570" s="55">
        <f t="shared" si="104"/>
        <v>568</v>
      </c>
      <c r="C570" s="56">
        <f t="shared" si="104"/>
        <v>44362</v>
      </c>
      <c r="D570" s="57">
        <f t="shared" si="94"/>
        <v>44362</v>
      </c>
      <c r="E570" s="58">
        <f t="shared" ref="E570:F585" si="105">+E563+1</f>
        <v>82</v>
      </c>
      <c r="F570" s="58">
        <f t="shared" si="105"/>
        <v>25</v>
      </c>
      <c r="G570" s="8">
        <v>202106</v>
      </c>
      <c r="H570" s="8" t="s">
        <v>7019</v>
      </c>
      <c r="I570" s="8">
        <v>202106</v>
      </c>
      <c r="J570" s="8" t="s">
        <v>7019</v>
      </c>
      <c r="K570" s="56">
        <f t="shared" si="95"/>
        <v>44361</v>
      </c>
      <c r="L570" s="56">
        <f t="shared" si="96"/>
        <v>44367</v>
      </c>
      <c r="M570" s="59" t="str">
        <f t="shared" si="97"/>
        <v>14/06/21 @ 
20/06/21</v>
      </c>
    </row>
    <row r="571" spans="2:22" ht="24" x14ac:dyDescent="0.25">
      <c r="B571" s="55">
        <f t="shared" si="104"/>
        <v>569</v>
      </c>
      <c r="C571" s="56">
        <f t="shared" si="104"/>
        <v>44363</v>
      </c>
      <c r="D571" s="57">
        <f t="shared" si="94"/>
        <v>44363</v>
      </c>
      <c r="E571" s="58">
        <f t="shared" si="105"/>
        <v>82</v>
      </c>
      <c r="F571" s="58">
        <f t="shared" si="105"/>
        <v>25</v>
      </c>
      <c r="G571" s="8">
        <v>202106</v>
      </c>
      <c r="H571" s="8" t="s">
        <v>7019</v>
      </c>
      <c r="I571" s="8">
        <v>202106</v>
      </c>
      <c r="J571" s="8" t="s">
        <v>7019</v>
      </c>
      <c r="K571" s="56">
        <f t="shared" si="95"/>
        <v>44361</v>
      </c>
      <c r="L571" s="56">
        <f t="shared" si="96"/>
        <v>44367</v>
      </c>
      <c r="M571" s="59" t="str">
        <f t="shared" si="97"/>
        <v>14/06/21 @ 
20/06/21</v>
      </c>
    </row>
    <row r="572" spans="2:22" ht="24" x14ac:dyDescent="0.25">
      <c r="B572" s="55">
        <f t="shared" si="104"/>
        <v>570</v>
      </c>
      <c r="C572" s="56">
        <f t="shared" si="104"/>
        <v>44364</v>
      </c>
      <c r="D572" s="57">
        <f t="shared" si="94"/>
        <v>44364</v>
      </c>
      <c r="E572" s="58">
        <f t="shared" si="105"/>
        <v>82</v>
      </c>
      <c r="F572" s="58">
        <f t="shared" si="105"/>
        <v>25</v>
      </c>
      <c r="G572" s="8">
        <v>202106</v>
      </c>
      <c r="H572" s="8" t="s">
        <v>7019</v>
      </c>
      <c r="I572" s="8">
        <v>202106</v>
      </c>
      <c r="J572" s="8" t="s">
        <v>7019</v>
      </c>
      <c r="K572" s="56">
        <f t="shared" si="95"/>
        <v>44361</v>
      </c>
      <c r="L572" s="56">
        <f t="shared" si="96"/>
        <v>44367</v>
      </c>
      <c r="M572" s="59" t="str">
        <f t="shared" si="97"/>
        <v>14/06/21 @ 
20/06/21</v>
      </c>
    </row>
    <row r="573" spans="2:22" ht="24" x14ac:dyDescent="0.25">
      <c r="B573" s="55">
        <f t="shared" si="104"/>
        <v>571</v>
      </c>
      <c r="C573" s="56">
        <f t="shared" si="104"/>
        <v>44365</v>
      </c>
      <c r="D573" s="57">
        <f t="shared" si="94"/>
        <v>44365</v>
      </c>
      <c r="E573" s="58">
        <f t="shared" si="105"/>
        <v>82</v>
      </c>
      <c r="F573" s="58">
        <f t="shared" si="105"/>
        <v>25</v>
      </c>
      <c r="G573" s="8">
        <v>202106</v>
      </c>
      <c r="H573" s="8" t="s">
        <v>7019</v>
      </c>
      <c r="I573" s="8">
        <v>202106</v>
      </c>
      <c r="J573" s="8" t="s">
        <v>7019</v>
      </c>
      <c r="K573" s="56">
        <f t="shared" si="95"/>
        <v>44361</v>
      </c>
      <c r="L573" s="56">
        <f t="shared" si="96"/>
        <v>44367</v>
      </c>
      <c r="M573" s="59" t="str">
        <f t="shared" si="97"/>
        <v>14/06/21 @ 
20/06/21</v>
      </c>
      <c r="S573" s="60">
        <v>0.35</v>
      </c>
      <c r="V573" s="61"/>
    </row>
    <row r="574" spans="2:22" ht="24" x14ac:dyDescent="0.25">
      <c r="B574" s="55">
        <f t="shared" si="104"/>
        <v>572</v>
      </c>
      <c r="C574" s="56">
        <f t="shared" si="104"/>
        <v>44366</v>
      </c>
      <c r="D574" s="57">
        <f t="shared" si="94"/>
        <v>44366</v>
      </c>
      <c r="E574" s="58">
        <f t="shared" si="105"/>
        <v>82</v>
      </c>
      <c r="F574" s="58">
        <f t="shared" si="105"/>
        <v>25</v>
      </c>
      <c r="G574" s="8">
        <v>202106</v>
      </c>
      <c r="H574" s="8" t="s">
        <v>7019</v>
      </c>
      <c r="I574" s="8">
        <v>202106</v>
      </c>
      <c r="J574" s="8" t="s">
        <v>7019</v>
      </c>
      <c r="K574" s="56">
        <f t="shared" si="95"/>
        <v>44361</v>
      </c>
      <c r="L574" s="56">
        <f t="shared" si="96"/>
        <v>44367</v>
      </c>
      <c r="M574" s="59" t="str">
        <f t="shared" si="97"/>
        <v>14/06/21 @ 
20/06/21</v>
      </c>
    </row>
    <row r="575" spans="2:22" ht="24" x14ac:dyDescent="0.25">
      <c r="B575" s="55">
        <f t="shared" si="104"/>
        <v>573</v>
      </c>
      <c r="C575" s="56">
        <f t="shared" si="104"/>
        <v>44367</v>
      </c>
      <c r="D575" s="57">
        <f t="shared" si="94"/>
        <v>44367</v>
      </c>
      <c r="E575" s="58">
        <f t="shared" si="105"/>
        <v>82</v>
      </c>
      <c r="F575" s="58">
        <f t="shared" si="105"/>
        <v>25</v>
      </c>
      <c r="G575" s="8">
        <v>202106</v>
      </c>
      <c r="H575" s="8" t="s">
        <v>7019</v>
      </c>
      <c r="I575" s="8">
        <v>202106</v>
      </c>
      <c r="J575" s="8" t="s">
        <v>7019</v>
      </c>
      <c r="K575" s="56">
        <f t="shared" si="95"/>
        <v>44361</v>
      </c>
      <c r="L575" s="56">
        <f t="shared" si="96"/>
        <v>44367</v>
      </c>
      <c r="M575" s="59" t="str">
        <f t="shared" si="97"/>
        <v>14/06/21 @ 
20/06/21</v>
      </c>
    </row>
    <row r="576" spans="2:22" ht="24" x14ac:dyDescent="0.25">
      <c r="B576" s="55">
        <f t="shared" si="104"/>
        <v>574</v>
      </c>
      <c r="C576" s="56">
        <f t="shared" si="104"/>
        <v>44368</v>
      </c>
      <c r="D576" s="57">
        <f t="shared" si="94"/>
        <v>44368</v>
      </c>
      <c r="E576" s="58">
        <f t="shared" si="105"/>
        <v>83</v>
      </c>
      <c r="F576" s="58">
        <f t="shared" si="105"/>
        <v>26</v>
      </c>
      <c r="G576" s="8">
        <v>202106</v>
      </c>
      <c r="H576" s="8" t="s">
        <v>7019</v>
      </c>
      <c r="I576" s="8">
        <v>202107</v>
      </c>
      <c r="J576" s="8" t="s">
        <v>7020</v>
      </c>
      <c r="K576" s="56">
        <f t="shared" si="95"/>
        <v>44368</v>
      </c>
      <c r="L576" s="56">
        <f t="shared" si="96"/>
        <v>44374</v>
      </c>
      <c r="M576" s="59" t="str">
        <f t="shared" si="97"/>
        <v>21/06/21 @ 
27/06/21</v>
      </c>
    </row>
    <row r="577" spans="2:13" ht="24" x14ac:dyDescent="0.25">
      <c r="B577" s="55">
        <f t="shared" si="104"/>
        <v>575</v>
      </c>
      <c r="C577" s="56">
        <f t="shared" si="104"/>
        <v>44369</v>
      </c>
      <c r="D577" s="57">
        <f t="shared" si="94"/>
        <v>44369</v>
      </c>
      <c r="E577" s="58">
        <f t="shared" si="105"/>
        <v>83</v>
      </c>
      <c r="F577" s="58">
        <f t="shared" si="105"/>
        <v>26</v>
      </c>
      <c r="G577" s="8">
        <v>202106</v>
      </c>
      <c r="H577" s="8" t="s">
        <v>7019</v>
      </c>
      <c r="I577" s="8">
        <v>202107</v>
      </c>
      <c r="J577" s="8" t="s">
        <v>7020</v>
      </c>
      <c r="K577" s="56">
        <f t="shared" si="95"/>
        <v>44368</v>
      </c>
      <c r="L577" s="56">
        <f t="shared" si="96"/>
        <v>44374</v>
      </c>
      <c r="M577" s="59" t="str">
        <f t="shared" si="97"/>
        <v>21/06/21 @ 
27/06/21</v>
      </c>
    </row>
    <row r="578" spans="2:13" ht="24" x14ac:dyDescent="0.25">
      <c r="B578" s="55">
        <f t="shared" si="104"/>
        <v>576</v>
      </c>
      <c r="C578" s="56">
        <f t="shared" si="104"/>
        <v>44370</v>
      </c>
      <c r="D578" s="57">
        <f t="shared" si="94"/>
        <v>44370</v>
      </c>
      <c r="E578" s="58">
        <f t="shared" si="105"/>
        <v>83</v>
      </c>
      <c r="F578" s="58">
        <f t="shared" si="105"/>
        <v>26</v>
      </c>
      <c r="G578" s="8">
        <v>202106</v>
      </c>
      <c r="H578" s="8" t="s">
        <v>7019</v>
      </c>
      <c r="I578" s="8">
        <v>202107</v>
      </c>
      <c r="J578" s="8" t="s">
        <v>7020</v>
      </c>
      <c r="K578" s="56">
        <f t="shared" si="95"/>
        <v>44368</v>
      </c>
      <c r="L578" s="56">
        <f t="shared" si="96"/>
        <v>44374</v>
      </c>
      <c r="M578" s="59" t="str">
        <f t="shared" si="97"/>
        <v>21/06/21 @ 
27/06/21</v>
      </c>
    </row>
    <row r="579" spans="2:13" ht="24" x14ac:dyDescent="0.25">
      <c r="B579" s="55">
        <f t="shared" si="104"/>
        <v>577</v>
      </c>
      <c r="C579" s="56">
        <f t="shared" si="104"/>
        <v>44371</v>
      </c>
      <c r="D579" s="57">
        <f t="shared" ref="D579:D642" si="106">+C579</f>
        <v>44371</v>
      </c>
      <c r="E579" s="58">
        <f t="shared" si="105"/>
        <v>83</v>
      </c>
      <c r="F579" s="58">
        <f t="shared" si="105"/>
        <v>26</v>
      </c>
      <c r="G579" s="8">
        <v>202106</v>
      </c>
      <c r="H579" s="8" t="s">
        <v>7019</v>
      </c>
      <c r="I579" s="8">
        <v>202107</v>
      </c>
      <c r="J579" s="8" t="s">
        <v>7020</v>
      </c>
      <c r="K579" s="56">
        <f t="shared" ref="K579:K642" si="107">_xlfn.MINIFS($C$2:$C$890,$E$2:$E$890,E579)</f>
        <v>44368</v>
      </c>
      <c r="L579" s="56">
        <f t="shared" ref="L579:L642" si="108">_xlfn.MAXIFS($C$2:$C$890,$E$2:$E$890,E579)</f>
        <v>44374</v>
      </c>
      <c r="M579" s="59" t="str">
        <f t="shared" ref="M579:M642" si="109">CONCATENATE(TEXT(K579,"DD/MM/YY")," @ ",CHAR(10),TEXT(L579,"DD/MM/YY"))</f>
        <v>21/06/21 @ 
27/06/21</v>
      </c>
    </row>
    <row r="580" spans="2:13" ht="24" x14ac:dyDescent="0.25">
      <c r="B580" s="55">
        <f t="shared" si="104"/>
        <v>578</v>
      </c>
      <c r="C580" s="56">
        <f t="shared" si="104"/>
        <v>44372</v>
      </c>
      <c r="D580" s="57">
        <f t="shared" si="106"/>
        <v>44372</v>
      </c>
      <c r="E580" s="58">
        <f t="shared" si="105"/>
        <v>83</v>
      </c>
      <c r="F580" s="58">
        <f t="shared" si="105"/>
        <v>26</v>
      </c>
      <c r="G580" s="8">
        <v>202106</v>
      </c>
      <c r="H580" s="8" t="s">
        <v>7019</v>
      </c>
      <c r="I580" s="8">
        <v>202107</v>
      </c>
      <c r="J580" s="8" t="s">
        <v>7020</v>
      </c>
      <c r="K580" s="56">
        <f t="shared" si="107"/>
        <v>44368</v>
      </c>
      <c r="L580" s="56">
        <f t="shared" si="108"/>
        <v>44374</v>
      </c>
      <c r="M580" s="59" t="str">
        <f t="shared" si="109"/>
        <v>21/06/21 @ 
27/06/21</v>
      </c>
    </row>
    <row r="581" spans="2:13" ht="24" x14ac:dyDescent="0.25">
      <c r="B581" s="55">
        <f t="shared" ref="B581:C596" si="110">+B580+1</f>
        <v>579</v>
      </c>
      <c r="C581" s="56">
        <f t="shared" si="110"/>
        <v>44373</v>
      </c>
      <c r="D581" s="57">
        <f t="shared" si="106"/>
        <v>44373</v>
      </c>
      <c r="E581" s="58">
        <f t="shared" si="105"/>
        <v>83</v>
      </c>
      <c r="F581" s="58">
        <f t="shared" si="105"/>
        <v>26</v>
      </c>
      <c r="G581" s="8">
        <v>202106</v>
      </c>
      <c r="H581" s="8" t="s">
        <v>7019</v>
      </c>
      <c r="I581" s="8">
        <v>202107</v>
      </c>
      <c r="J581" s="8" t="s">
        <v>7020</v>
      </c>
      <c r="K581" s="56">
        <f t="shared" si="107"/>
        <v>44368</v>
      </c>
      <c r="L581" s="56">
        <f t="shared" si="108"/>
        <v>44374</v>
      </c>
      <c r="M581" s="59" t="str">
        <f t="shared" si="109"/>
        <v>21/06/21 @ 
27/06/21</v>
      </c>
    </row>
    <row r="582" spans="2:13" ht="24" x14ac:dyDescent="0.25">
      <c r="B582" s="55">
        <f t="shared" si="110"/>
        <v>580</v>
      </c>
      <c r="C582" s="56">
        <f t="shared" si="110"/>
        <v>44374</v>
      </c>
      <c r="D582" s="57">
        <f t="shared" si="106"/>
        <v>44374</v>
      </c>
      <c r="E582" s="58">
        <f t="shared" si="105"/>
        <v>83</v>
      </c>
      <c r="F582" s="58">
        <f t="shared" si="105"/>
        <v>26</v>
      </c>
      <c r="G582" s="8">
        <v>202106</v>
      </c>
      <c r="H582" s="8" t="s">
        <v>7019</v>
      </c>
      <c r="I582" s="8">
        <v>202107</v>
      </c>
      <c r="J582" s="8" t="s">
        <v>7020</v>
      </c>
      <c r="K582" s="56">
        <f t="shared" si="107"/>
        <v>44368</v>
      </c>
      <c r="L582" s="56">
        <f t="shared" si="108"/>
        <v>44374</v>
      </c>
      <c r="M582" s="59" t="str">
        <f t="shared" si="109"/>
        <v>21/06/21 @ 
27/06/21</v>
      </c>
    </row>
    <row r="583" spans="2:13" ht="24" x14ac:dyDescent="0.25">
      <c r="B583" s="55">
        <f t="shared" si="110"/>
        <v>581</v>
      </c>
      <c r="C583" s="56">
        <f t="shared" si="110"/>
        <v>44375</v>
      </c>
      <c r="D583" s="57">
        <f t="shared" si="106"/>
        <v>44375</v>
      </c>
      <c r="E583" s="58">
        <f t="shared" si="105"/>
        <v>84</v>
      </c>
      <c r="F583" s="58">
        <f t="shared" si="105"/>
        <v>27</v>
      </c>
      <c r="G583" s="8">
        <v>202107</v>
      </c>
      <c r="H583" s="8" t="s">
        <v>7020</v>
      </c>
      <c r="I583" s="8">
        <v>202107</v>
      </c>
      <c r="J583" s="8" t="s">
        <v>7020</v>
      </c>
      <c r="K583" s="56">
        <f t="shared" si="107"/>
        <v>44375</v>
      </c>
      <c r="L583" s="56">
        <f t="shared" si="108"/>
        <v>44381</v>
      </c>
      <c r="M583" s="59" t="str">
        <f t="shared" si="109"/>
        <v>28/06/21 @ 
04/07/21</v>
      </c>
    </row>
    <row r="584" spans="2:13" ht="24" x14ac:dyDescent="0.25">
      <c r="B584" s="55">
        <f t="shared" si="110"/>
        <v>582</v>
      </c>
      <c r="C584" s="56">
        <f t="shared" si="110"/>
        <v>44376</v>
      </c>
      <c r="D584" s="57">
        <f t="shared" si="106"/>
        <v>44376</v>
      </c>
      <c r="E584" s="58">
        <f t="shared" si="105"/>
        <v>84</v>
      </c>
      <c r="F584" s="58">
        <f t="shared" si="105"/>
        <v>27</v>
      </c>
      <c r="G584" s="8">
        <v>202107</v>
      </c>
      <c r="H584" s="8" t="s">
        <v>7020</v>
      </c>
      <c r="I584" s="8">
        <v>202107</v>
      </c>
      <c r="J584" s="8" t="s">
        <v>7020</v>
      </c>
      <c r="K584" s="56">
        <f t="shared" si="107"/>
        <v>44375</v>
      </c>
      <c r="L584" s="56">
        <f t="shared" si="108"/>
        <v>44381</v>
      </c>
      <c r="M584" s="59" t="str">
        <f t="shared" si="109"/>
        <v>28/06/21 @ 
04/07/21</v>
      </c>
    </row>
    <row r="585" spans="2:13" ht="24" x14ac:dyDescent="0.25">
      <c r="B585" s="55">
        <f t="shared" si="110"/>
        <v>583</v>
      </c>
      <c r="C585" s="56">
        <f t="shared" si="110"/>
        <v>44377</v>
      </c>
      <c r="D585" s="57">
        <f t="shared" si="106"/>
        <v>44377</v>
      </c>
      <c r="E585" s="58">
        <f t="shared" si="105"/>
        <v>84</v>
      </c>
      <c r="F585" s="58">
        <f t="shared" si="105"/>
        <v>27</v>
      </c>
      <c r="G585" s="8">
        <v>202107</v>
      </c>
      <c r="H585" s="8" t="s">
        <v>7020</v>
      </c>
      <c r="I585" s="8">
        <v>202107</v>
      </c>
      <c r="J585" s="8" t="s">
        <v>7020</v>
      </c>
      <c r="K585" s="56">
        <f t="shared" si="107"/>
        <v>44375</v>
      </c>
      <c r="L585" s="56">
        <f t="shared" si="108"/>
        <v>44381</v>
      </c>
      <c r="M585" s="59" t="str">
        <f t="shared" si="109"/>
        <v>28/06/21 @ 
04/07/21</v>
      </c>
    </row>
    <row r="586" spans="2:13" ht="24" x14ac:dyDescent="0.25">
      <c r="B586" s="55">
        <f t="shared" si="110"/>
        <v>584</v>
      </c>
      <c r="C586" s="56">
        <f t="shared" si="110"/>
        <v>44378</v>
      </c>
      <c r="D586" s="57">
        <f t="shared" si="106"/>
        <v>44378</v>
      </c>
      <c r="E586" s="58">
        <f t="shared" ref="E586:F601" si="111">+E579+1</f>
        <v>84</v>
      </c>
      <c r="F586" s="58">
        <f t="shared" si="111"/>
        <v>27</v>
      </c>
      <c r="G586" s="8">
        <v>202107</v>
      </c>
      <c r="H586" s="8" t="s">
        <v>7020</v>
      </c>
      <c r="I586" s="8">
        <v>202107</v>
      </c>
      <c r="J586" s="8" t="s">
        <v>7020</v>
      </c>
      <c r="K586" s="56">
        <f t="shared" si="107"/>
        <v>44375</v>
      </c>
      <c r="L586" s="56">
        <f t="shared" si="108"/>
        <v>44381</v>
      </c>
      <c r="M586" s="59" t="str">
        <f t="shared" si="109"/>
        <v>28/06/21 @ 
04/07/21</v>
      </c>
    </row>
    <row r="587" spans="2:13" ht="24" x14ac:dyDescent="0.25">
      <c r="B587" s="55">
        <f t="shared" si="110"/>
        <v>585</v>
      </c>
      <c r="C587" s="56">
        <f t="shared" si="110"/>
        <v>44379</v>
      </c>
      <c r="D587" s="57">
        <f t="shared" si="106"/>
        <v>44379</v>
      </c>
      <c r="E587" s="58">
        <f t="shared" si="111"/>
        <v>84</v>
      </c>
      <c r="F587" s="58">
        <f t="shared" si="111"/>
        <v>27</v>
      </c>
      <c r="G587" s="8">
        <v>202107</v>
      </c>
      <c r="H587" s="8" t="s">
        <v>7020</v>
      </c>
      <c r="I587" s="8">
        <v>202107</v>
      </c>
      <c r="J587" s="8" t="s">
        <v>7020</v>
      </c>
      <c r="K587" s="56">
        <f t="shared" si="107"/>
        <v>44375</v>
      </c>
      <c r="L587" s="56">
        <f t="shared" si="108"/>
        <v>44381</v>
      </c>
      <c r="M587" s="59" t="str">
        <f t="shared" si="109"/>
        <v>28/06/21 @ 
04/07/21</v>
      </c>
    </row>
    <row r="588" spans="2:13" ht="24" x14ac:dyDescent="0.25">
      <c r="B588" s="55">
        <f t="shared" si="110"/>
        <v>586</v>
      </c>
      <c r="C588" s="56">
        <f t="shared" si="110"/>
        <v>44380</v>
      </c>
      <c r="D588" s="57">
        <f t="shared" si="106"/>
        <v>44380</v>
      </c>
      <c r="E588" s="58">
        <f t="shared" si="111"/>
        <v>84</v>
      </c>
      <c r="F588" s="58">
        <f t="shared" si="111"/>
        <v>27</v>
      </c>
      <c r="G588" s="8">
        <v>202107</v>
      </c>
      <c r="H588" s="8" t="s">
        <v>7020</v>
      </c>
      <c r="I588" s="8">
        <v>202107</v>
      </c>
      <c r="J588" s="8" t="s">
        <v>7020</v>
      </c>
      <c r="K588" s="56">
        <f t="shared" si="107"/>
        <v>44375</v>
      </c>
      <c r="L588" s="56">
        <f t="shared" si="108"/>
        <v>44381</v>
      </c>
      <c r="M588" s="59" t="str">
        <f t="shared" si="109"/>
        <v>28/06/21 @ 
04/07/21</v>
      </c>
    </row>
    <row r="589" spans="2:13" ht="24" x14ac:dyDescent="0.25">
      <c r="B589" s="55">
        <f t="shared" si="110"/>
        <v>587</v>
      </c>
      <c r="C589" s="56">
        <f t="shared" si="110"/>
        <v>44381</v>
      </c>
      <c r="D589" s="57">
        <f t="shared" si="106"/>
        <v>44381</v>
      </c>
      <c r="E589" s="58">
        <f t="shared" si="111"/>
        <v>84</v>
      </c>
      <c r="F589" s="58">
        <f t="shared" si="111"/>
        <v>27</v>
      </c>
      <c r="G589" s="8">
        <v>202107</v>
      </c>
      <c r="H589" s="8" t="s">
        <v>7020</v>
      </c>
      <c r="I589" s="8">
        <v>202107</v>
      </c>
      <c r="J589" s="8" t="s">
        <v>7020</v>
      </c>
      <c r="K589" s="56">
        <f t="shared" si="107"/>
        <v>44375</v>
      </c>
      <c r="L589" s="56">
        <f t="shared" si="108"/>
        <v>44381</v>
      </c>
      <c r="M589" s="59" t="str">
        <f t="shared" si="109"/>
        <v>28/06/21 @ 
04/07/21</v>
      </c>
    </row>
    <row r="590" spans="2:13" ht="24" x14ac:dyDescent="0.25">
      <c r="B590" s="55">
        <f t="shared" si="110"/>
        <v>588</v>
      </c>
      <c r="C590" s="56">
        <f t="shared" si="110"/>
        <v>44382</v>
      </c>
      <c r="D590" s="57">
        <f t="shared" si="106"/>
        <v>44382</v>
      </c>
      <c r="E590" s="58">
        <f t="shared" si="111"/>
        <v>85</v>
      </c>
      <c r="F590" s="58">
        <f t="shared" si="111"/>
        <v>28</v>
      </c>
      <c r="G590" s="8">
        <v>202107</v>
      </c>
      <c r="H590" s="8" t="s">
        <v>7020</v>
      </c>
      <c r="I590" s="8">
        <v>202107</v>
      </c>
      <c r="J590" s="8" t="s">
        <v>7020</v>
      </c>
      <c r="K590" s="56">
        <f t="shared" si="107"/>
        <v>44382</v>
      </c>
      <c r="L590" s="56">
        <f t="shared" si="108"/>
        <v>44388</v>
      </c>
      <c r="M590" s="59" t="str">
        <f t="shared" si="109"/>
        <v>05/07/21 @ 
11/07/21</v>
      </c>
    </row>
    <row r="591" spans="2:13" ht="24" x14ac:dyDescent="0.25">
      <c r="B591" s="55">
        <f t="shared" si="110"/>
        <v>589</v>
      </c>
      <c r="C591" s="56">
        <f t="shared" si="110"/>
        <v>44383</v>
      </c>
      <c r="D591" s="57">
        <f t="shared" si="106"/>
        <v>44383</v>
      </c>
      <c r="E591" s="58">
        <f t="shared" si="111"/>
        <v>85</v>
      </c>
      <c r="F591" s="58">
        <f t="shared" si="111"/>
        <v>28</v>
      </c>
      <c r="G591" s="8">
        <v>202107</v>
      </c>
      <c r="H591" s="8" t="s">
        <v>7020</v>
      </c>
      <c r="I591" s="8">
        <v>202107</v>
      </c>
      <c r="J591" s="8" t="s">
        <v>7020</v>
      </c>
      <c r="K591" s="56">
        <f t="shared" si="107"/>
        <v>44382</v>
      </c>
      <c r="L591" s="56">
        <f t="shared" si="108"/>
        <v>44388</v>
      </c>
      <c r="M591" s="59" t="str">
        <f t="shared" si="109"/>
        <v>05/07/21 @ 
11/07/21</v>
      </c>
    </row>
    <row r="592" spans="2:13" ht="24" x14ac:dyDescent="0.25">
      <c r="B592" s="55">
        <f t="shared" si="110"/>
        <v>590</v>
      </c>
      <c r="C592" s="56">
        <f t="shared" si="110"/>
        <v>44384</v>
      </c>
      <c r="D592" s="57">
        <f t="shared" si="106"/>
        <v>44384</v>
      </c>
      <c r="E592" s="58">
        <f t="shared" si="111"/>
        <v>85</v>
      </c>
      <c r="F592" s="58">
        <f t="shared" si="111"/>
        <v>28</v>
      </c>
      <c r="G592" s="8">
        <v>202107</v>
      </c>
      <c r="H592" s="8" t="s">
        <v>7020</v>
      </c>
      <c r="I592" s="8">
        <v>202107</v>
      </c>
      <c r="J592" s="8" t="s">
        <v>7020</v>
      </c>
      <c r="K592" s="56">
        <f t="shared" si="107"/>
        <v>44382</v>
      </c>
      <c r="L592" s="56">
        <f t="shared" si="108"/>
        <v>44388</v>
      </c>
      <c r="M592" s="59" t="str">
        <f t="shared" si="109"/>
        <v>05/07/21 @ 
11/07/21</v>
      </c>
    </row>
    <row r="593" spans="2:13" ht="24" x14ac:dyDescent="0.25">
      <c r="B593" s="55">
        <f t="shared" si="110"/>
        <v>591</v>
      </c>
      <c r="C593" s="56">
        <f t="shared" si="110"/>
        <v>44385</v>
      </c>
      <c r="D593" s="57">
        <f t="shared" si="106"/>
        <v>44385</v>
      </c>
      <c r="E593" s="58">
        <f t="shared" si="111"/>
        <v>85</v>
      </c>
      <c r="F593" s="58">
        <f t="shared" si="111"/>
        <v>28</v>
      </c>
      <c r="G593" s="8">
        <v>202107</v>
      </c>
      <c r="H593" s="8" t="s">
        <v>7020</v>
      </c>
      <c r="I593" s="8">
        <v>202107</v>
      </c>
      <c r="J593" s="8" t="s">
        <v>7020</v>
      </c>
      <c r="K593" s="56">
        <f t="shared" si="107"/>
        <v>44382</v>
      </c>
      <c r="L593" s="56">
        <f t="shared" si="108"/>
        <v>44388</v>
      </c>
      <c r="M593" s="59" t="str">
        <f t="shared" si="109"/>
        <v>05/07/21 @ 
11/07/21</v>
      </c>
    </row>
    <row r="594" spans="2:13" ht="24" x14ac:dyDescent="0.25">
      <c r="B594" s="55">
        <f t="shared" si="110"/>
        <v>592</v>
      </c>
      <c r="C594" s="56">
        <f t="shared" si="110"/>
        <v>44386</v>
      </c>
      <c r="D594" s="57">
        <f t="shared" si="106"/>
        <v>44386</v>
      </c>
      <c r="E594" s="58">
        <f t="shared" si="111"/>
        <v>85</v>
      </c>
      <c r="F594" s="58">
        <f t="shared" si="111"/>
        <v>28</v>
      </c>
      <c r="G594" s="8">
        <v>202107</v>
      </c>
      <c r="H594" s="8" t="s">
        <v>7020</v>
      </c>
      <c r="I594" s="8">
        <v>202107</v>
      </c>
      <c r="J594" s="8" t="s">
        <v>7020</v>
      </c>
      <c r="K594" s="56">
        <f t="shared" si="107"/>
        <v>44382</v>
      </c>
      <c r="L594" s="56">
        <f t="shared" si="108"/>
        <v>44388</v>
      </c>
      <c r="M594" s="59" t="str">
        <f t="shared" si="109"/>
        <v>05/07/21 @ 
11/07/21</v>
      </c>
    </row>
    <row r="595" spans="2:13" ht="24" x14ac:dyDescent="0.25">
      <c r="B595" s="55">
        <f t="shared" si="110"/>
        <v>593</v>
      </c>
      <c r="C595" s="56">
        <f t="shared" si="110"/>
        <v>44387</v>
      </c>
      <c r="D595" s="57">
        <f t="shared" si="106"/>
        <v>44387</v>
      </c>
      <c r="E595" s="58">
        <f t="shared" si="111"/>
        <v>85</v>
      </c>
      <c r="F595" s="58">
        <f t="shared" si="111"/>
        <v>28</v>
      </c>
      <c r="G595" s="8">
        <v>202107</v>
      </c>
      <c r="H595" s="8" t="s">
        <v>7020</v>
      </c>
      <c r="I595" s="8">
        <v>202107</v>
      </c>
      <c r="J595" s="8" t="s">
        <v>7020</v>
      </c>
      <c r="K595" s="56">
        <f t="shared" si="107"/>
        <v>44382</v>
      </c>
      <c r="L595" s="56">
        <f t="shared" si="108"/>
        <v>44388</v>
      </c>
      <c r="M595" s="59" t="str">
        <f t="shared" si="109"/>
        <v>05/07/21 @ 
11/07/21</v>
      </c>
    </row>
    <row r="596" spans="2:13" ht="24" x14ac:dyDescent="0.25">
      <c r="B596" s="55">
        <f t="shared" si="110"/>
        <v>594</v>
      </c>
      <c r="C596" s="56">
        <f t="shared" si="110"/>
        <v>44388</v>
      </c>
      <c r="D596" s="57">
        <f t="shared" si="106"/>
        <v>44388</v>
      </c>
      <c r="E596" s="58">
        <f t="shared" si="111"/>
        <v>85</v>
      </c>
      <c r="F596" s="58">
        <f t="shared" si="111"/>
        <v>28</v>
      </c>
      <c r="G596" s="8">
        <v>202107</v>
      </c>
      <c r="H596" s="8" t="s">
        <v>7020</v>
      </c>
      <c r="I596" s="8">
        <v>202107</v>
      </c>
      <c r="J596" s="8" t="s">
        <v>7020</v>
      </c>
      <c r="K596" s="56">
        <f t="shared" si="107"/>
        <v>44382</v>
      </c>
      <c r="L596" s="56">
        <f t="shared" si="108"/>
        <v>44388</v>
      </c>
      <c r="M596" s="59" t="str">
        <f t="shared" si="109"/>
        <v>05/07/21 @ 
11/07/21</v>
      </c>
    </row>
    <row r="597" spans="2:13" ht="24" x14ac:dyDescent="0.25">
      <c r="B597" s="55">
        <f t="shared" ref="B597:C612" si="112">+B596+1</f>
        <v>595</v>
      </c>
      <c r="C597" s="56">
        <f t="shared" si="112"/>
        <v>44389</v>
      </c>
      <c r="D597" s="57">
        <f t="shared" si="106"/>
        <v>44389</v>
      </c>
      <c r="E597" s="58">
        <f t="shared" si="111"/>
        <v>86</v>
      </c>
      <c r="F597" s="58">
        <f t="shared" si="111"/>
        <v>29</v>
      </c>
      <c r="G597" s="8">
        <v>202107</v>
      </c>
      <c r="H597" s="8" t="s">
        <v>7020</v>
      </c>
      <c r="I597" s="8">
        <v>202107</v>
      </c>
      <c r="J597" s="8" t="s">
        <v>7020</v>
      </c>
      <c r="K597" s="56">
        <f t="shared" si="107"/>
        <v>44389</v>
      </c>
      <c r="L597" s="56">
        <f t="shared" si="108"/>
        <v>44395</v>
      </c>
      <c r="M597" s="59" t="str">
        <f t="shared" si="109"/>
        <v>12/07/21 @ 
18/07/21</v>
      </c>
    </row>
    <row r="598" spans="2:13" ht="24" x14ac:dyDescent="0.25">
      <c r="B598" s="55">
        <f t="shared" si="112"/>
        <v>596</v>
      </c>
      <c r="C598" s="56">
        <f t="shared" si="112"/>
        <v>44390</v>
      </c>
      <c r="D598" s="57">
        <f t="shared" si="106"/>
        <v>44390</v>
      </c>
      <c r="E598" s="58">
        <f t="shared" si="111"/>
        <v>86</v>
      </c>
      <c r="F598" s="58">
        <f t="shared" si="111"/>
        <v>29</v>
      </c>
      <c r="G598" s="8">
        <v>202107</v>
      </c>
      <c r="H598" s="8" t="s">
        <v>7020</v>
      </c>
      <c r="I598" s="8">
        <v>202107</v>
      </c>
      <c r="J598" s="8" t="s">
        <v>7020</v>
      </c>
      <c r="K598" s="56">
        <f t="shared" si="107"/>
        <v>44389</v>
      </c>
      <c r="L598" s="56">
        <f t="shared" si="108"/>
        <v>44395</v>
      </c>
      <c r="M598" s="59" t="str">
        <f t="shared" si="109"/>
        <v>12/07/21 @ 
18/07/21</v>
      </c>
    </row>
    <row r="599" spans="2:13" ht="24" x14ac:dyDescent="0.25">
      <c r="B599" s="55">
        <f t="shared" si="112"/>
        <v>597</v>
      </c>
      <c r="C599" s="56">
        <f t="shared" si="112"/>
        <v>44391</v>
      </c>
      <c r="D599" s="57">
        <f t="shared" si="106"/>
        <v>44391</v>
      </c>
      <c r="E599" s="58">
        <f t="shared" si="111"/>
        <v>86</v>
      </c>
      <c r="F599" s="58">
        <f t="shared" si="111"/>
        <v>29</v>
      </c>
      <c r="G599" s="8">
        <v>202107</v>
      </c>
      <c r="H599" s="8" t="s">
        <v>7020</v>
      </c>
      <c r="I599" s="8">
        <v>202107</v>
      </c>
      <c r="J599" s="8" t="s">
        <v>7020</v>
      </c>
      <c r="K599" s="56">
        <f t="shared" si="107"/>
        <v>44389</v>
      </c>
      <c r="L599" s="56">
        <f t="shared" si="108"/>
        <v>44395</v>
      </c>
      <c r="M599" s="59" t="str">
        <f t="shared" si="109"/>
        <v>12/07/21 @ 
18/07/21</v>
      </c>
    </row>
    <row r="600" spans="2:13" ht="24" x14ac:dyDescent="0.25">
      <c r="B600" s="55">
        <f t="shared" si="112"/>
        <v>598</v>
      </c>
      <c r="C600" s="56">
        <f t="shared" si="112"/>
        <v>44392</v>
      </c>
      <c r="D600" s="57">
        <f t="shared" si="106"/>
        <v>44392</v>
      </c>
      <c r="E600" s="58">
        <f t="shared" si="111"/>
        <v>86</v>
      </c>
      <c r="F600" s="58">
        <f t="shared" si="111"/>
        <v>29</v>
      </c>
      <c r="G600" s="8">
        <v>202107</v>
      </c>
      <c r="H600" s="8" t="s">
        <v>7020</v>
      </c>
      <c r="I600" s="8">
        <v>202107</v>
      </c>
      <c r="J600" s="8" t="s">
        <v>7020</v>
      </c>
      <c r="K600" s="56">
        <f t="shared" si="107"/>
        <v>44389</v>
      </c>
      <c r="L600" s="56">
        <f t="shared" si="108"/>
        <v>44395</v>
      </c>
      <c r="M600" s="59" t="str">
        <f t="shared" si="109"/>
        <v>12/07/21 @ 
18/07/21</v>
      </c>
    </row>
    <row r="601" spans="2:13" ht="24" x14ac:dyDescent="0.25">
      <c r="B601" s="55">
        <f t="shared" si="112"/>
        <v>599</v>
      </c>
      <c r="C601" s="56">
        <f t="shared" si="112"/>
        <v>44393</v>
      </c>
      <c r="D601" s="57">
        <f t="shared" si="106"/>
        <v>44393</v>
      </c>
      <c r="E601" s="58">
        <f t="shared" si="111"/>
        <v>86</v>
      </c>
      <c r="F601" s="58">
        <f t="shared" si="111"/>
        <v>29</v>
      </c>
      <c r="G601" s="8">
        <v>202107</v>
      </c>
      <c r="H601" s="8" t="s">
        <v>7020</v>
      </c>
      <c r="I601" s="8">
        <v>202107</v>
      </c>
      <c r="J601" s="8" t="s">
        <v>7020</v>
      </c>
      <c r="K601" s="56">
        <f t="shared" si="107"/>
        <v>44389</v>
      </c>
      <c r="L601" s="56">
        <f t="shared" si="108"/>
        <v>44395</v>
      </c>
      <c r="M601" s="59" t="str">
        <f t="shared" si="109"/>
        <v>12/07/21 @ 
18/07/21</v>
      </c>
    </row>
    <row r="602" spans="2:13" ht="24" x14ac:dyDescent="0.25">
      <c r="B602" s="55">
        <f t="shared" si="112"/>
        <v>600</v>
      </c>
      <c r="C602" s="56">
        <f t="shared" si="112"/>
        <v>44394</v>
      </c>
      <c r="D602" s="57">
        <f t="shared" si="106"/>
        <v>44394</v>
      </c>
      <c r="E602" s="58">
        <f t="shared" ref="E602:F617" si="113">+E595+1</f>
        <v>86</v>
      </c>
      <c r="F602" s="58">
        <f t="shared" si="113"/>
        <v>29</v>
      </c>
      <c r="G602" s="8">
        <v>202107</v>
      </c>
      <c r="H602" s="8" t="s">
        <v>7020</v>
      </c>
      <c r="I602" s="8">
        <v>202107</v>
      </c>
      <c r="J602" s="8" t="s">
        <v>7020</v>
      </c>
      <c r="K602" s="56">
        <f t="shared" si="107"/>
        <v>44389</v>
      </c>
      <c r="L602" s="56">
        <f t="shared" si="108"/>
        <v>44395</v>
      </c>
      <c r="M602" s="59" t="str">
        <f t="shared" si="109"/>
        <v>12/07/21 @ 
18/07/21</v>
      </c>
    </row>
    <row r="603" spans="2:13" ht="24" x14ac:dyDescent="0.25">
      <c r="B603" s="55">
        <f t="shared" si="112"/>
        <v>601</v>
      </c>
      <c r="C603" s="56">
        <f t="shared" si="112"/>
        <v>44395</v>
      </c>
      <c r="D603" s="57">
        <f t="shared" si="106"/>
        <v>44395</v>
      </c>
      <c r="E603" s="58">
        <f t="shared" si="113"/>
        <v>86</v>
      </c>
      <c r="F603" s="58">
        <f t="shared" si="113"/>
        <v>29</v>
      </c>
      <c r="G603" s="8">
        <v>202107</v>
      </c>
      <c r="H603" s="8" t="s">
        <v>7020</v>
      </c>
      <c r="I603" s="8">
        <v>202107</v>
      </c>
      <c r="J603" s="8" t="s">
        <v>7020</v>
      </c>
      <c r="K603" s="56">
        <f t="shared" si="107"/>
        <v>44389</v>
      </c>
      <c r="L603" s="56">
        <f t="shared" si="108"/>
        <v>44395</v>
      </c>
      <c r="M603" s="59" t="str">
        <f t="shared" si="109"/>
        <v>12/07/21 @ 
18/07/21</v>
      </c>
    </row>
    <row r="604" spans="2:13" ht="24" x14ac:dyDescent="0.25">
      <c r="B604" s="55">
        <f t="shared" si="112"/>
        <v>602</v>
      </c>
      <c r="C604" s="56">
        <f t="shared" si="112"/>
        <v>44396</v>
      </c>
      <c r="D604" s="57">
        <f t="shared" si="106"/>
        <v>44396</v>
      </c>
      <c r="E604" s="58">
        <f t="shared" si="113"/>
        <v>87</v>
      </c>
      <c r="F604" s="58">
        <f t="shared" si="113"/>
        <v>30</v>
      </c>
      <c r="G604" s="8">
        <v>202107</v>
      </c>
      <c r="H604" s="8" t="s">
        <v>7020</v>
      </c>
      <c r="I604" s="8">
        <v>202107</v>
      </c>
      <c r="J604" s="8" t="s">
        <v>7020</v>
      </c>
      <c r="K604" s="56">
        <f t="shared" si="107"/>
        <v>44396</v>
      </c>
      <c r="L604" s="56">
        <f t="shared" si="108"/>
        <v>44402</v>
      </c>
      <c r="M604" s="59" t="str">
        <f t="shared" si="109"/>
        <v>19/07/21 @ 
25/07/21</v>
      </c>
    </row>
    <row r="605" spans="2:13" ht="24" x14ac:dyDescent="0.25">
      <c r="B605" s="55">
        <f t="shared" si="112"/>
        <v>603</v>
      </c>
      <c r="C605" s="56">
        <f t="shared" si="112"/>
        <v>44397</v>
      </c>
      <c r="D605" s="57">
        <f t="shared" si="106"/>
        <v>44397</v>
      </c>
      <c r="E605" s="58">
        <f t="shared" si="113"/>
        <v>87</v>
      </c>
      <c r="F605" s="58">
        <f t="shared" si="113"/>
        <v>30</v>
      </c>
      <c r="G605" s="8">
        <v>202107</v>
      </c>
      <c r="H605" s="8" t="s">
        <v>7020</v>
      </c>
      <c r="I605" s="8">
        <v>202107</v>
      </c>
      <c r="J605" s="8" t="s">
        <v>7020</v>
      </c>
      <c r="K605" s="56">
        <f t="shared" si="107"/>
        <v>44396</v>
      </c>
      <c r="L605" s="56">
        <f t="shared" si="108"/>
        <v>44402</v>
      </c>
      <c r="M605" s="59" t="str">
        <f t="shared" si="109"/>
        <v>19/07/21 @ 
25/07/21</v>
      </c>
    </row>
    <row r="606" spans="2:13" ht="24" x14ac:dyDescent="0.25">
      <c r="B606" s="55">
        <f t="shared" si="112"/>
        <v>604</v>
      </c>
      <c r="C606" s="56">
        <f t="shared" si="112"/>
        <v>44398</v>
      </c>
      <c r="D606" s="57">
        <f t="shared" si="106"/>
        <v>44398</v>
      </c>
      <c r="E606" s="58">
        <f t="shared" si="113"/>
        <v>87</v>
      </c>
      <c r="F606" s="58">
        <f t="shared" si="113"/>
        <v>30</v>
      </c>
      <c r="G606" s="8">
        <v>202107</v>
      </c>
      <c r="H606" s="8" t="s">
        <v>7020</v>
      </c>
      <c r="I606" s="8">
        <v>202108</v>
      </c>
      <c r="J606" s="8" t="s">
        <v>7021</v>
      </c>
      <c r="K606" s="56">
        <f t="shared" si="107"/>
        <v>44396</v>
      </c>
      <c r="L606" s="56">
        <f t="shared" si="108"/>
        <v>44402</v>
      </c>
      <c r="M606" s="59" t="str">
        <f t="shared" si="109"/>
        <v>19/07/21 @ 
25/07/21</v>
      </c>
    </row>
    <row r="607" spans="2:13" ht="24" x14ac:dyDescent="0.25">
      <c r="B607" s="55">
        <f t="shared" si="112"/>
        <v>605</v>
      </c>
      <c r="C607" s="56">
        <f t="shared" si="112"/>
        <v>44399</v>
      </c>
      <c r="D607" s="57">
        <f t="shared" si="106"/>
        <v>44399</v>
      </c>
      <c r="E607" s="58">
        <f t="shared" si="113"/>
        <v>87</v>
      </c>
      <c r="F607" s="58">
        <f t="shared" si="113"/>
        <v>30</v>
      </c>
      <c r="G607" s="8">
        <v>202107</v>
      </c>
      <c r="H607" s="8" t="s">
        <v>7020</v>
      </c>
      <c r="I607" s="8">
        <v>202108</v>
      </c>
      <c r="J607" s="8" t="s">
        <v>7021</v>
      </c>
      <c r="K607" s="56">
        <f t="shared" si="107"/>
        <v>44396</v>
      </c>
      <c r="L607" s="56">
        <f t="shared" si="108"/>
        <v>44402</v>
      </c>
      <c r="M607" s="59" t="str">
        <f t="shared" si="109"/>
        <v>19/07/21 @ 
25/07/21</v>
      </c>
    </row>
    <row r="608" spans="2:13" ht="24" x14ac:dyDescent="0.25">
      <c r="B608" s="55">
        <f t="shared" si="112"/>
        <v>606</v>
      </c>
      <c r="C608" s="56">
        <f t="shared" si="112"/>
        <v>44400</v>
      </c>
      <c r="D608" s="57">
        <f t="shared" si="106"/>
        <v>44400</v>
      </c>
      <c r="E608" s="58">
        <f t="shared" si="113"/>
        <v>87</v>
      </c>
      <c r="F608" s="58">
        <f t="shared" si="113"/>
        <v>30</v>
      </c>
      <c r="G608" s="8">
        <v>202107</v>
      </c>
      <c r="H608" s="8" t="s">
        <v>7020</v>
      </c>
      <c r="I608" s="8">
        <v>202108</v>
      </c>
      <c r="J608" s="8" t="s">
        <v>7021</v>
      </c>
      <c r="K608" s="56">
        <f t="shared" si="107"/>
        <v>44396</v>
      </c>
      <c r="L608" s="56">
        <f t="shared" si="108"/>
        <v>44402</v>
      </c>
      <c r="M608" s="59" t="str">
        <f t="shared" si="109"/>
        <v>19/07/21 @ 
25/07/21</v>
      </c>
    </row>
    <row r="609" spans="2:13" ht="24" x14ac:dyDescent="0.25">
      <c r="B609" s="55">
        <f t="shared" si="112"/>
        <v>607</v>
      </c>
      <c r="C609" s="56">
        <f t="shared" si="112"/>
        <v>44401</v>
      </c>
      <c r="D609" s="57">
        <f t="shared" si="106"/>
        <v>44401</v>
      </c>
      <c r="E609" s="58">
        <f t="shared" si="113"/>
        <v>87</v>
      </c>
      <c r="F609" s="58">
        <f t="shared" si="113"/>
        <v>30</v>
      </c>
      <c r="G609" s="8">
        <v>202107</v>
      </c>
      <c r="H609" s="8" t="s">
        <v>7020</v>
      </c>
      <c r="I609" s="8">
        <v>202108</v>
      </c>
      <c r="J609" s="8" t="s">
        <v>7021</v>
      </c>
      <c r="K609" s="56">
        <f t="shared" si="107"/>
        <v>44396</v>
      </c>
      <c r="L609" s="56">
        <f t="shared" si="108"/>
        <v>44402</v>
      </c>
      <c r="M609" s="59" t="str">
        <f t="shared" si="109"/>
        <v>19/07/21 @ 
25/07/21</v>
      </c>
    </row>
    <row r="610" spans="2:13" ht="24" x14ac:dyDescent="0.25">
      <c r="B610" s="55">
        <f t="shared" si="112"/>
        <v>608</v>
      </c>
      <c r="C610" s="56">
        <f t="shared" si="112"/>
        <v>44402</v>
      </c>
      <c r="D610" s="57">
        <f t="shared" si="106"/>
        <v>44402</v>
      </c>
      <c r="E610" s="58">
        <f t="shared" si="113"/>
        <v>87</v>
      </c>
      <c r="F610" s="58">
        <f t="shared" si="113"/>
        <v>30</v>
      </c>
      <c r="G610" s="8">
        <v>202107</v>
      </c>
      <c r="H610" s="8" t="s">
        <v>7020</v>
      </c>
      <c r="I610" s="8">
        <v>202108</v>
      </c>
      <c r="J610" s="8" t="s">
        <v>7021</v>
      </c>
      <c r="K610" s="56">
        <f t="shared" si="107"/>
        <v>44396</v>
      </c>
      <c r="L610" s="56">
        <f t="shared" si="108"/>
        <v>44402</v>
      </c>
      <c r="M610" s="59" t="str">
        <f t="shared" si="109"/>
        <v>19/07/21 @ 
25/07/21</v>
      </c>
    </row>
    <row r="611" spans="2:13" ht="24" x14ac:dyDescent="0.25">
      <c r="B611" s="55">
        <f t="shared" si="112"/>
        <v>609</v>
      </c>
      <c r="C611" s="56">
        <f t="shared" si="112"/>
        <v>44403</v>
      </c>
      <c r="D611" s="57">
        <f t="shared" si="106"/>
        <v>44403</v>
      </c>
      <c r="E611" s="58">
        <f t="shared" si="113"/>
        <v>88</v>
      </c>
      <c r="F611" s="58">
        <f t="shared" si="113"/>
        <v>31</v>
      </c>
      <c r="G611" s="8">
        <v>202107</v>
      </c>
      <c r="H611" s="8" t="s">
        <v>7021</v>
      </c>
      <c r="I611" s="8">
        <v>202108</v>
      </c>
      <c r="J611" s="8" t="s">
        <v>7021</v>
      </c>
      <c r="K611" s="56">
        <f t="shared" si="107"/>
        <v>44403</v>
      </c>
      <c r="L611" s="56">
        <f t="shared" si="108"/>
        <v>44409</v>
      </c>
      <c r="M611" s="59" t="str">
        <f t="shared" si="109"/>
        <v>26/07/21 @ 
01/08/21</v>
      </c>
    </row>
    <row r="612" spans="2:13" ht="24" x14ac:dyDescent="0.25">
      <c r="B612" s="55">
        <f t="shared" si="112"/>
        <v>610</v>
      </c>
      <c r="C612" s="56">
        <f t="shared" si="112"/>
        <v>44404</v>
      </c>
      <c r="D612" s="57">
        <f t="shared" si="106"/>
        <v>44404</v>
      </c>
      <c r="E612" s="58">
        <f t="shared" si="113"/>
        <v>88</v>
      </c>
      <c r="F612" s="58">
        <f t="shared" si="113"/>
        <v>31</v>
      </c>
      <c r="G612" s="8">
        <v>202107</v>
      </c>
      <c r="H612" s="8" t="s">
        <v>7021</v>
      </c>
      <c r="I612" s="8">
        <v>202108</v>
      </c>
      <c r="J612" s="8" t="s">
        <v>7021</v>
      </c>
      <c r="K612" s="56">
        <f t="shared" si="107"/>
        <v>44403</v>
      </c>
      <c r="L612" s="56">
        <f t="shared" si="108"/>
        <v>44409</v>
      </c>
      <c r="M612" s="59" t="str">
        <f t="shared" si="109"/>
        <v>26/07/21 @ 
01/08/21</v>
      </c>
    </row>
    <row r="613" spans="2:13" ht="24" x14ac:dyDescent="0.25">
      <c r="B613" s="55">
        <f t="shared" ref="B613:C628" si="114">+B612+1</f>
        <v>611</v>
      </c>
      <c r="C613" s="56">
        <f t="shared" si="114"/>
        <v>44405</v>
      </c>
      <c r="D613" s="57">
        <f t="shared" si="106"/>
        <v>44405</v>
      </c>
      <c r="E613" s="58">
        <f t="shared" si="113"/>
        <v>88</v>
      </c>
      <c r="F613" s="58">
        <f t="shared" si="113"/>
        <v>31</v>
      </c>
      <c r="G613" s="8">
        <v>202107</v>
      </c>
      <c r="H613" s="8" t="s">
        <v>7021</v>
      </c>
      <c r="I613" s="8">
        <v>202108</v>
      </c>
      <c r="J613" s="8" t="s">
        <v>7021</v>
      </c>
      <c r="K613" s="56">
        <f t="shared" si="107"/>
        <v>44403</v>
      </c>
      <c r="L613" s="56">
        <f t="shared" si="108"/>
        <v>44409</v>
      </c>
      <c r="M613" s="59" t="str">
        <f t="shared" si="109"/>
        <v>26/07/21 @ 
01/08/21</v>
      </c>
    </row>
    <row r="614" spans="2:13" ht="24" x14ac:dyDescent="0.25">
      <c r="B614" s="55">
        <f t="shared" si="114"/>
        <v>612</v>
      </c>
      <c r="C614" s="56">
        <f t="shared" si="114"/>
        <v>44406</v>
      </c>
      <c r="D614" s="57">
        <f t="shared" si="106"/>
        <v>44406</v>
      </c>
      <c r="E614" s="58">
        <f t="shared" si="113"/>
        <v>88</v>
      </c>
      <c r="F614" s="58">
        <f t="shared" si="113"/>
        <v>31</v>
      </c>
      <c r="G614" s="8">
        <v>202107</v>
      </c>
      <c r="H614" s="8" t="s">
        <v>7021</v>
      </c>
      <c r="I614" s="8">
        <v>202108</v>
      </c>
      <c r="J614" s="8" t="s">
        <v>7021</v>
      </c>
      <c r="K614" s="56">
        <f t="shared" si="107"/>
        <v>44403</v>
      </c>
      <c r="L614" s="56">
        <f t="shared" si="108"/>
        <v>44409</v>
      </c>
      <c r="M614" s="59" t="str">
        <f t="shared" si="109"/>
        <v>26/07/21 @ 
01/08/21</v>
      </c>
    </row>
    <row r="615" spans="2:13" ht="24" x14ac:dyDescent="0.25">
      <c r="B615" s="55">
        <f t="shared" si="114"/>
        <v>613</v>
      </c>
      <c r="C615" s="56">
        <f t="shared" si="114"/>
        <v>44407</v>
      </c>
      <c r="D615" s="57">
        <f t="shared" si="106"/>
        <v>44407</v>
      </c>
      <c r="E615" s="58">
        <f t="shared" si="113"/>
        <v>88</v>
      </c>
      <c r="F615" s="58">
        <f t="shared" si="113"/>
        <v>31</v>
      </c>
      <c r="G615" s="8">
        <v>202107</v>
      </c>
      <c r="H615" s="8" t="s">
        <v>7021</v>
      </c>
      <c r="I615" s="8">
        <v>202108</v>
      </c>
      <c r="J615" s="8" t="s">
        <v>7021</v>
      </c>
      <c r="K615" s="56">
        <f t="shared" si="107"/>
        <v>44403</v>
      </c>
      <c r="L615" s="56">
        <f t="shared" si="108"/>
        <v>44409</v>
      </c>
      <c r="M615" s="59" t="str">
        <f t="shared" si="109"/>
        <v>26/07/21 @ 
01/08/21</v>
      </c>
    </row>
    <row r="616" spans="2:13" ht="24" x14ac:dyDescent="0.25">
      <c r="B616" s="55">
        <f t="shared" si="114"/>
        <v>614</v>
      </c>
      <c r="C616" s="56">
        <f t="shared" si="114"/>
        <v>44408</v>
      </c>
      <c r="D616" s="57">
        <f t="shared" si="106"/>
        <v>44408</v>
      </c>
      <c r="E616" s="58">
        <f t="shared" si="113"/>
        <v>88</v>
      </c>
      <c r="F616" s="58">
        <f t="shared" si="113"/>
        <v>31</v>
      </c>
      <c r="G616" s="8">
        <v>202107</v>
      </c>
      <c r="H616" s="8" t="s">
        <v>7021</v>
      </c>
      <c r="I616" s="8">
        <v>202108</v>
      </c>
      <c r="J616" s="8" t="s">
        <v>7021</v>
      </c>
      <c r="K616" s="56">
        <f t="shared" si="107"/>
        <v>44403</v>
      </c>
      <c r="L616" s="56">
        <f t="shared" si="108"/>
        <v>44409</v>
      </c>
      <c r="M616" s="59" t="str">
        <f t="shared" si="109"/>
        <v>26/07/21 @ 
01/08/21</v>
      </c>
    </row>
    <row r="617" spans="2:13" ht="24" x14ac:dyDescent="0.25">
      <c r="B617" s="55">
        <f t="shared" si="114"/>
        <v>615</v>
      </c>
      <c r="C617" s="56">
        <f t="shared" si="114"/>
        <v>44409</v>
      </c>
      <c r="D617" s="57">
        <f t="shared" si="106"/>
        <v>44409</v>
      </c>
      <c r="E617" s="58">
        <f t="shared" si="113"/>
        <v>88</v>
      </c>
      <c r="F617" s="58">
        <f t="shared" si="113"/>
        <v>31</v>
      </c>
      <c r="G617" s="8">
        <v>202107</v>
      </c>
      <c r="H617" s="8" t="s">
        <v>7021</v>
      </c>
      <c r="I617" s="8">
        <v>202108</v>
      </c>
      <c r="J617" s="8" t="s">
        <v>7021</v>
      </c>
      <c r="K617" s="56">
        <f t="shared" si="107"/>
        <v>44403</v>
      </c>
      <c r="L617" s="56">
        <f t="shared" si="108"/>
        <v>44409</v>
      </c>
      <c r="M617" s="59" t="str">
        <f t="shared" si="109"/>
        <v>26/07/21 @ 
01/08/21</v>
      </c>
    </row>
    <row r="618" spans="2:13" ht="24" x14ac:dyDescent="0.25">
      <c r="B618" s="55">
        <f t="shared" si="114"/>
        <v>616</v>
      </c>
      <c r="C618" s="56">
        <f t="shared" si="114"/>
        <v>44410</v>
      </c>
      <c r="D618" s="57">
        <f t="shared" si="106"/>
        <v>44410</v>
      </c>
      <c r="E618" s="58">
        <f t="shared" ref="E618:F633" si="115">+E611+1</f>
        <v>89</v>
      </c>
      <c r="F618" s="58">
        <f t="shared" si="115"/>
        <v>32</v>
      </c>
      <c r="G618" s="8">
        <v>202107</v>
      </c>
      <c r="H618" s="8" t="s">
        <v>7021</v>
      </c>
      <c r="I618" s="8">
        <v>202108</v>
      </c>
      <c r="J618" s="8" t="s">
        <v>7021</v>
      </c>
      <c r="K618" s="56">
        <f t="shared" si="107"/>
        <v>44410</v>
      </c>
      <c r="L618" s="56">
        <f t="shared" si="108"/>
        <v>44416</v>
      </c>
      <c r="M618" s="59" t="str">
        <f t="shared" si="109"/>
        <v>02/08/21 @ 
08/08/21</v>
      </c>
    </row>
    <row r="619" spans="2:13" ht="24" x14ac:dyDescent="0.25">
      <c r="B619" s="55">
        <f t="shared" si="114"/>
        <v>617</v>
      </c>
      <c r="C619" s="56">
        <f t="shared" si="114"/>
        <v>44411</v>
      </c>
      <c r="D619" s="57">
        <f t="shared" si="106"/>
        <v>44411</v>
      </c>
      <c r="E619" s="58">
        <f t="shared" si="115"/>
        <v>89</v>
      </c>
      <c r="F619" s="58">
        <f t="shared" si="115"/>
        <v>32</v>
      </c>
      <c r="G619" s="8">
        <v>202108</v>
      </c>
      <c r="H619" s="8" t="s">
        <v>7021</v>
      </c>
      <c r="I619" s="8">
        <v>202108</v>
      </c>
      <c r="J619" s="8" t="s">
        <v>7021</v>
      </c>
      <c r="K619" s="56">
        <f t="shared" si="107"/>
        <v>44410</v>
      </c>
      <c r="L619" s="56">
        <f t="shared" si="108"/>
        <v>44416</v>
      </c>
      <c r="M619" s="59" t="str">
        <f t="shared" si="109"/>
        <v>02/08/21 @ 
08/08/21</v>
      </c>
    </row>
    <row r="620" spans="2:13" ht="24" x14ac:dyDescent="0.25">
      <c r="B620" s="55">
        <f t="shared" si="114"/>
        <v>618</v>
      </c>
      <c r="C620" s="56">
        <f t="shared" si="114"/>
        <v>44412</v>
      </c>
      <c r="D620" s="57">
        <f t="shared" si="106"/>
        <v>44412</v>
      </c>
      <c r="E620" s="58">
        <f t="shared" si="115"/>
        <v>89</v>
      </c>
      <c r="F620" s="58">
        <f t="shared" si="115"/>
        <v>32</v>
      </c>
      <c r="G620" s="8">
        <v>202108</v>
      </c>
      <c r="H620" s="8" t="s">
        <v>7021</v>
      </c>
      <c r="I620" s="8">
        <v>202108</v>
      </c>
      <c r="J620" s="8" t="s">
        <v>7021</v>
      </c>
      <c r="K620" s="56">
        <f t="shared" si="107"/>
        <v>44410</v>
      </c>
      <c r="L620" s="56">
        <f t="shared" si="108"/>
        <v>44416</v>
      </c>
      <c r="M620" s="59" t="str">
        <f t="shared" si="109"/>
        <v>02/08/21 @ 
08/08/21</v>
      </c>
    </row>
    <row r="621" spans="2:13" ht="24" x14ac:dyDescent="0.25">
      <c r="B621" s="55">
        <f t="shared" si="114"/>
        <v>619</v>
      </c>
      <c r="C621" s="56">
        <f t="shared" si="114"/>
        <v>44413</v>
      </c>
      <c r="D621" s="57">
        <f t="shared" si="106"/>
        <v>44413</v>
      </c>
      <c r="E621" s="58">
        <f t="shared" si="115"/>
        <v>89</v>
      </c>
      <c r="F621" s="58">
        <f t="shared" si="115"/>
        <v>32</v>
      </c>
      <c r="G621" s="8">
        <v>202108</v>
      </c>
      <c r="H621" s="8" t="s">
        <v>7021</v>
      </c>
      <c r="I621" s="8">
        <v>202108</v>
      </c>
      <c r="J621" s="8" t="s">
        <v>7021</v>
      </c>
      <c r="K621" s="56">
        <f t="shared" si="107"/>
        <v>44410</v>
      </c>
      <c r="L621" s="56">
        <f t="shared" si="108"/>
        <v>44416</v>
      </c>
      <c r="M621" s="59" t="str">
        <f t="shared" si="109"/>
        <v>02/08/21 @ 
08/08/21</v>
      </c>
    </row>
    <row r="622" spans="2:13" ht="24" x14ac:dyDescent="0.25">
      <c r="B622" s="55">
        <f t="shared" si="114"/>
        <v>620</v>
      </c>
      <c r="C622" s="56">
        <f t="shared" si="114"/>
        <v>44414</v>
      </c>
      <c r="D622" s="57">
        <f t="shared" si="106"/>
        <v>44414</v>
      </c>
      <c r="E622" s="58">
        <f t="shared" si="115"/>
        <v>89</v>
      </c>
      <c r="F622" s="58">
        <f t="shared" si="115"/>
        <v>32</v>
      </c>
      <c r="G622" s="8">
        <v>202108</v>
      </c>
      <c r="H622" s="8" t="s">
        <v>7021</v>
      </c>
      <c r="I622" s="8">
        <v>202108</v>
      </c>
      <c r="J622" s="8" t="s">
        <v>7021</v>
      </c>
      <c r="K622" s="56">
        <f t="shared" si="107"/>
        <v>44410</v>
      </c>
      <c r="L622" s="56">
        <f t="shared" si="108"/>
        <v>44416</v>
      </c>
      <c r="M622" s="59" t="str">
        <f t="shared" si="109"/>
        <v>02/08/21 @ 
08/08/21</v>
      </c>
    </row>
    <row r="623" spans="2:13" ht="24" x14ac:dyDescent="0.25">
      <c r="B623" s="55">
        <f t="shared" si="114"/>
        <v>621</v>
      </c>
      <c r="C623" s="56">
        <f t="shared" si="114"/>
        <v>44415</v>
      </c>
      <c r="D623" s="57">
        <f t="shared" si="106"/>
        <v>44415</v>
      </c>
      <c r="E623" s="58">
        <f t="shared" si="115"/>
        <v>89</v>
      </c>
      <c r="F623" s="58">
        <f t="shared" si="115"/>
        <v>32</v>
      </c>
      <c r="G623" s="8">
        <v>202108</v>
      </c>
      <c r="H623" s="8" t="s">
        <v>7021</v>
      </c>
      <c r="I623" s="8">
        <v>202108</v>
      </c>
      <c r="J623" s="8" t="s">
        <v>7021</v>
      </c>
      <c r="K623" s="56">
        <f t="shared" si="107"/>
        <v>44410</v>
      </c>
      <c r="L623" s="56">
        <f t="shared" si="108"/>
        <v>44416</v>
      </c>
      <c r="M623" s="59" t="str">
        <f t="shared" si="109"/>
        <v>02/08/21 @ 
08/08/21</v>
      </c>
    </row>
    <row r="624" spans="2:13" ht="24" x14ac:dyDescent="0.25">
      <c r="B624" s="55">
        <f t="shared" si="114"/>
        <v>622</v>
      </c>
      <c r="C624" s="56">
        <f t="shared" si="114"/>
        <v>44416</v>
      </c>
      <c r="D624" s="57">
        <f t="shared" si="106"/>
        <v>44416</v>
      </c>
      <c r="E624" s="58">
        <f t="shared" si="115"/>
        <v>89</v>
      </c>
      <c r="F624" s="58">
        <f t="shared" si="115"/>
        <v>32</v>
      </c>
      <c r="G624" s="8">
        <v>202108</v>
      </c>
      <c r="H624" s="8" t="s">
        <v>7021</v>
      </c>
      <c r="I624" s="8">
        <v>202108</v>
      </c>
      <c r="J624" s="8" t="s">
        <v>7021</v>
      </c>
      <c r="K624" s="56">
        <f t="shared" si="107"/>
        <v>44410</v>
      </c>
      <c r="L624" s="56">
        <f t="shared" si="108"/>
        <v>44416</v>
      </c>
      <c r="M624" s="59" t="str">
        <f t="shared" si="109"/>
        <v>02/08/21 @ 
08/08/21</v>
      </c>
    </row>
    <row r="625" spans="2:13" ht="24" x14ac:dyDescent="0.25">
      <c r="B625" s="55">
        <f t="shared" si="114"/>
        <v>623</v>
      </c>
      <c r="C625" s="56">
        <f t="shared" si="114"/>
        <v>44417</v>
      </c>
      <c r="D625" s="57">
        <f t="shared" si="106"/>
        <v>44417</v>
      </c>
      <c r="E625" s="58">
        <f t="shared" si="115"/>
        <v>90</v>
      </c>
      <c r="F625" s="58">
        <f t="shared" si="115"/>
        <v>33</v>
      </c>
      <c r="G625" s="8">
        <v>202108</v>
      </c>
      <c r="H625" s="8" t="s">
        <v>7021</v>
      </c>
      <c r="I625" s="8">
        <v>202108</v>
      </c>
      <c r="J625" s="8" t="s">
        <v>7021</v>
      </c>
      <c r="K625" s="56">
        <f t="shared" si="107"/>
        <v>44417</v>
      </c>
      <c r="L625" s="56">
        <f t="shared" si="108"/>
        <v>44423</v>
      </c>
      <c r="M625" s="59" t="str">
        <f t="shared" si="109"/>
        <v>09/08/21 @ 
15/08/21</v>
      </c>
    </row>
    <row r="626" spans="2:13" ht="24" x14ac:dyDescent="0.25">
      <c r="B626" s="55">
        <f t="shared" si="114"/>
        <v>624</v>
      </c>
      <c r="C626" s="56">
        <f t="shared" si="114"/>
        <v>44418</v>
      </c>
      <c r="D626" s="57">
        <f t="shared" si="106"/>
        <v>44418</v>
      </c>
      <c r="E626" s="58">
        <f t="shared" si="115"/>
        <v>90</v>
      </c>
      <c r="F626" s="58">
        <f t="shared" si="115"/>
        <v>33</v>
      </c>
      <c r="G626" s="8">
        <v>202108</v>
      </c>
      <c r="H626" s="8" t="s">
        <v>7021</v>
      </c>
      <c r="I626" s="8">
        <v>202108</v>
      </c>
      <c r="J626" s="8" t="s">
        <v>7021</v>
      </c>
      <c r="K626" s="56">
        <f t="shared" si="107"/>
        <v>44417</v>
      </c>
      <c r="L626" s="56">
        <f t="shared" si="108"/>
        <v>44423</v>
      </c>
      <c r="M626" s="59" t="str">
        <f t="shared" si="109"/>
        <v>09/08/21 @ 
15/08/21</v>
      </c>
    </row>
    <row r="627" spans="2:13" ht="24" x14ac:dyDescent="0.25">
      <c r="B627" s="55">
        <f t="shared" si="114"/>
        <v>625</v>
      </c>
      <c r="C627" s="56">
        <f t="shared" si="114"/>
        <v>44419</v>
      </c>
      <c r="D627" s="57">
        <f t="shared" si="106"/>
        <v>44419</v>
      </c>
      <c r="E627" s="58">
        <f t="shared" si="115"/>
        <v>90</v>
      </c>
      <c r="F627" s="58">
        <f t="shared" si="115"/>
        <v>33</v>
      </c>
      <c r="G627" s="8">
        <v>202108</v>
      </c>
      <c r="H627" s="8" t="s">
        <v>7021</v>
      </c>
      <c r="I627" s="8">
        <v>202108</v>
      </c>
      <c r="J627" s="8" t="s">
        <v>7021</v>
      </c>
      <c r="K627" s="56">
        <f t="shared" si="107"/>
        <v>44417</v>
      </c>
      <c r="L627" s="56">
        <f t="shared" si="108"/>
        <v>44423</v>
      </c>
      <c r="M627" s="59" t="str">
        <f t="shared" si="109"/>
        <v>09/08/21 @ 
15/08/21</v>
      </c>
    </row>
    <row r="628" spans="2:13" ht="24" x14ac:dyDescent="0.25">
      <c r="B628" s="55">
        <f t="shared" si="114"/>
        <v>626</v>
      </c>
      <c r="C628" s="56">
        <f t="shared" si="114"/>
        <v>44420</v>
      </c>
      <c r="D628" s="57">
        <f t="shared" si="106"/>
        <v>44420</v>
      </c>
      <c r="E628" s="58">
        <f t="shared" si="115"/>
        <v>90</v>
      </c>
      <c r="F628" s="58">
        <f t="shared" si="115"/>
        <v>33</v>
      </c>
      <c r="G628" s="8">
        <v>202108</v>
      </c>
      <c r="H628" s="8" t="s">
        <v>7021</v>
      </c>
      <c r="I628" s="8">
        <v>202108</v>
      </c>
      <c r="J628" s="8" t="s">
        <v>7021</v>
      </c>
      <c r="K628" s="56">
        <f t="shared" si="107"/>
        <v>44417</v>
      </c>
      <c r="L628" s="56">
        <f t="shared" si="108"/>
        <v>44423</v>
      </c>
      <c r="M628" s="59" t="str">
        <f t="shared" si="109"/>
        <v>09/08/21 @ 
15/08/21</v>
      </c>
    </row>
    <row r="629" spans="2:13" ht="24" x14ac:dyDescent="0.25">
      <c r="B629" s="55">
        <f t="shared" ref="B629:C644" si="116">+B628+1</f>
        <v>627</v>
      </c>
      <c r="C629" s="56">
        <f t="shared" si="116"/>
        <v>44421</v>
      </c>
      <c r="D629" s="57">
        <f t="shared" si="106"/>
        <v>44421</v>
      </c>
      <c r="E629" s="58">
        <f t="shared" si="115"/>
        <v>90</v>
      </c>
      <c r="F629" s="58">
        <f t="shared" si="115"/>
        <v>33</v>
      </c>
      <c r="G629" s="8">
        <v>202108</v>
      </c>
      <c r="H629" s="8" t="s">
        <v>7021</v>
      </c>
      <c r="I629" s="8">
        <v>202108</v>
      </c>
      <c r="J629" s="8" t="s">
        <v>7021</v>
      </c>
      <c r="K629" s="56">
        <f t="shared" si="107"/>
        <v>44417</v>
      </c>
      <c r="L629" s="56">
        <f t="shared" si="108"/>
        <v>44423</v>
      </c>
      <c r="M629" s="59" t="str">
        <f t="shared" si="109"/>
        <v>09/08/21 @ 
15/08/21</v>
      </c>
    </row>
    <row r="630" spans="2:13" ht="24" x14ac:dyDescent="0.25">
      <c r="B630" s="55">
        <f t="shared" si="116"/>
        <v>628</v>
      </c>
      <c r="C630" s="56">
        <f t="shared" si="116"/>
        <v>44422</v>
      </c>
      <c r="D630" s="57">
        <f t="shared" si="106"/>
        <v>44422</v>
      </c>
      <c r="E630" s="58">
        <f t="shared" si="115"/>
        <v>90</v>
      </c>
      <c r="F630" s="58">
        <f t="shared" si="115"/>
        <v>33</v>
      </c>
      <c r="G630" s="8">
        <v>202108</v>
      </c>
      <c r="H630" s="8" t="s">
        <v>7021</v>
      </c>
      <c r="I630" s="8">
        <v>202108</v>
      </c>
      <c r="J630" s="8" t="s">
        <v>7021</v>
      </c>
      <c r="K630" s="56">
        <f t="shared" si="107"/>
        <v>44417</v>
      </c>
      <c r="L630" s="56">
        <f t="shared" si="108"/>
        <v>44423</v>
      </c>
      <c r="M630" s="59" t="str">
        <f t="shared" si="109"/>
        <v>09/08/21 @ 
15/08/21</v>
      </c>
    </row>
    <row r="631" spans="2:13" ht="24" x14ac:dyDescent="0.25">
      <c r="B631" s="55">
        <f t="shared" si="116"/>
        <v>629</v>
      </c>
      <c r="C631" s="56">
        <f t="shared" si="116"/>
        <v>44423</v>
      </c>
      <c r="D631" s="57">
        <f t="shared" si="106"/>
        <v>44423</v>
      </c>
      <c r="E631" s="58">
        <f t="shared" si="115"/>
        <v>90</v>
      </c>
      <c r="F631" s="58">
        <f t="shared" si="115"/>
        <v>33</v>
      </c>
      <c r="G631" s="8">
        <v>202108</v>
      </c>
      <c r="H631" s="8" t="s">
        <v>7021</v>
      </c>
      <c r="I631" s="8">
        <v>202108</v>
      </c>
      <c r="J631" s="8" t="s">
        <v>7021</v>
      </c>
      <c r="K631" s="56">
        <f t="shared" si="107"/>
        <v>44417</v>
      </c>
      <c r="L631" s="56">
        <f t="shared" si="108"/>
        <v>44423</v>
      </c>
      <c r="M631" s="59" t="str">
        <f t="shared" si="109"/>
        <v>09/08/21 @ 
15/08/21</v>
      </c>
    </row>
    <row r="632" spans="2:13" ht="24" x14ac:dyDescent="0.25">
      <c r="B632" s="55">
        <f t="shared" si="116"/>
        <v>630</v>
      </c>
      <c r="C632" s="56">
        <f t="shared" si="116"/>
        <v>44424</v>
      </c>
      <c r="D632" s="57">
        <f t="shared" si="106"/>
        <v>44424</v>
      </c>
      <c r="E632" s="58">
        <f t="shared" si="115"/>
        <v>91</v>
      </c>
      <c r="F632" s="58">
        <f t="shared" si="115"/>
        <v>34</v>
      </c>
      <c r="G632" s="8">
        <v>202108</v>
      </c>
      <c r="H632" s="8" t="s">
        <v>7021</v>
      </c>
      <c r="I632" s="8">
        <v>202108</v>
      </c>
      <c r="J632" s="8" t="s">
        <v>7021</v>
      </c>
      <c r="K632" s="56">
        <f t="shared" si="107"/>
        <v>44424</v>
      </c>
      <c r="L632" s="56">
        <f t="shared" si="108"/>
        <v>44430</v>
      </c>
      <c r="M632" s="59" t="str">
        <f t="shared" si="109"/>
        <v>16/08/21 @ 
22/08/21</v>
      </c>
    </row>
    <row r="633" spans="2:13" ht="24" x14ac:dyDescent="0.25">
      <c r="B633" s="55">
        <f t="shared" si="116"/>
        <v>631</v>
      </c>
      <c r="C633" s="56">
        <f t="shared" si="116"/>
        <v>44425</v>
      </c>
      <c r="D633" s="57">
        <f t="shared" si="106"/>
        <v>44425</v>
      </c>
      <c r="E633" s="58">
        <f t="shared" si="115"/>
        <v>91</v>
      </c>
      <c r="F633" s="58">
        <f t="shared" si="115"/>
        <v>34</v>
      </c>
      <c r="G633" s="8">
        <v>202108</v>
      </c>
      <c r="H633" s="8" t="s">
        <v>7021</v>
      </c>
      <c r="I633" s="8">
        <v>202108</v>
      </c>
      <c r="J633" s="8" t="s">
        <v>7021</v>
      </c>
      <c r="K633" s="56">
        <f t="shared" si="107"/>
        <v>44424</v>
      </c>
      <c r="L633" s="56">
        <f t="shared" si="108"/>
        <v>44430</v>
      </c>
      <c r="M633" s="59" t="str">
        <f t="shared" si="109"/>
        <v>16/08/21 @ 
22/08/21</v>
      </c>
    </row>
    <row r="634" spans="2:13" ht="24" x14ac:dyDescent="0.25">
      <c r="B634" s="55">
        <f t="shared" si="116"/>
        <v>632</v>
      </c>
      <c r="C634" s="56">
        <f t="shared" si="116"/>
        <v>44426</v>
      </c>
      <c r="D634" s="57">
        <f t="shared" si="106"/>
        <v>44426</v>
      </c>
      <c r="E634" s="58">
        <f t="shared" ref="E634:F649" si="117">+E627+1</f>
        <v>91</v>
      </c>
      <c r="F634" s="58">
        <f t="shared" si="117"/>
        <v>34</v>
      </c>
      <c r="G634" s="8">
        <v>202108</v>
      </c>
      <c r="H634" s="8" t="s">
        <v>7021</v>
      </c>
      <c r="I634" s="8">
        <v>202108</v>
      </c>
      <c r="J634" s="8" t="s">
        <v>7021</v>
      </c>
      <c r="K634" s="56">
        <f t="shared" si="107"/>
        <v>44424</v>
      </c>
      <c r="L634" s="56">
        <f t="shared" si="108"/>
        <v>44430</v>
      </c>
      <c r="M634" s="59" t="str">
        <f t="shared" si="109"/>
        <v>16/08/21 @ 
22/08/21</v>
      </c>
    </row>
    <row r="635" spans="2:13" ht="24" x14ac:dyDescent="0.25">
      <c r="B635" s="55">
        <f t="shared" si="116"/>
        <v>633</v>
      </c>
      <c r="C635" s="56">
        <f t="shared" si="116"/>
        <v>44427</v>
      </c>
      <c r="D635" s="57">
        <f t="shared" si="106"/>
        <v>44427</v>
      </c>
      <c r="E635" s="58">
        <f t="shared" si="117"/>
        <v>91</v>
      </c>
      <c r="F635" s="58">
        <f t="shared" si="117"/>
        <v>34</v>
      </c>
      <c r="G635" s="8">
        <v>202108</v>
      </c>
      <c r="H635" s="8" t="s">
        <v>7021</v>
      </c>
      <c r="I635" s="8">
        <v>202108</v>
      </c>
      <c r="J635" s="8" t="s">
        <v>7021</v>
      </c>
      <c r="K635" s="56">
        <f t="shared" si="107"/>
        <v>44424</v>
      </c>
      <c r="L635" s="56">
        <f t="shared" si="108"/>
        <v>44430</v>
      </c>
      <c r="M635" s="59" t="str">
        <f t="shared" si="109"/>
        <v>16/08/21 @ 
22/08/21</v>
      </c>
    </row>
    <row r="636" spans="2:13" ht="24" x14ac:dyDescent="0.25">
      <c r="B636" s="55">
        <f t="shared" si="116"/>
        <v>634</v>
      </c>
      <c r="C636" s="56">
        <f t="shared" si="116"/>
        <v>44428</v>
      </c>
      <c r="D636" s="57">
        <f t="shared" si="106"/>
        <v>44428</v>
      </c>
      <c r="E636" s="58">
        <f t="shared" si="117"/>
        <v>91</v>
      </c>
      <c r="F636" s="58">
        <f t="shared" si="117"/>
        <v>34</v>
      </c>
      <c r="G636" s="8">
        <v>202108</v>
      </c>
      <c r="H636" s="8" t="s">
        <v>7021</v>
      </c>
      <c r="I636" s="8">
        <v>202108</v>
      </c>
      <c r="J636" s="8" t="s">
        <v>7021</v>
      </c>
      <c r="K636" s="56">
        <f t="shared" si="107"/>
        <v>44424</v>
      </c>
      <c r="L636" s="56">
        <f t="shared" si="108"/>
        <v>44430</v>
      </c>
      <c r="M636" s="59" t="str">
        <f t="shared" si="109"/>
        <v>16/08/21 @ 
22/08/21</v>
      </c>
    </row>
    <row r="637" spans="2:13" ht="24" x14ac:dyDescent="0.25">
      <c r="B637" s="55">
        <f t="shared" si="116"/>
        <v>635</v>
      </c>
      <c r="C637" s="56">
        <f t="shared" si="116"/>
        <v>44429</v>
      </c>
      <c r="D637" s="57">
        <f t="shared" si="106"/>
        <v>44429</v>
      </c>
      <c r="E637" s="58">
        <f t="shared" si="117"/>
        <v>91</v>
      </c>
      <c r="F637" s="58">
        <f t="shared" si="117"/>
        <v>34</v>
      </c>
      <c r="G637" s="8">
        <v>202108</v>
      </c>
      <c r="H637" s="8" t="s">
        <v>7021</v>
      </c>
      <c r="I637" s="8">
        <v>202109</v>
      </c>
      <c r="J637" s="8" t="s">
        <v>7022</v>
      </c>
      <c r="K637" s="56">
        <f t="shared" si="107"/>
        <v>44424</v>
      </c>
      <c r="L637" s="56">
        <f t="shared" si="108"/>
        <v>44430</v>
      </c>
      <c r="M637" s="59" t="str">
        <f t="shared" si="109"/>
        <v>16/08/21 @ 
22/08/21</v>
      </c>
    </row>
    <row r="638" spans="2:13" ht="24" x14ac:dyDescent="0.25">
      <c r="B638" s="55">
        <f t="shared" si="116"/>
        <v>636</v>
      </c>
      <c r="C638" s="56">
        <f t="shared" si="116"/>
        <v>44430</v>
      </c>
      <c r="D638" s="57">
        <f t="shared" si="106"/>
        <v>44430</v>
      </c>
      <c r="E638" s="58">
        <f t="shared" si="117"/>
        <v>91</v>
      </c>
      <c r="F638" s="58">
        <f t="shared" si="117"/>
        <v>34</v>
      </c>
      <c r="G638" s="8">
        <v>202108</v>
      </c>
      <c r="H638" s="8" t="s">
        <v>7021</v>
      </c>
      <c r="I638" s="8">
        <v>202109</v>
      </c>
      <c r="J638" s="8" t="s">
        <v>7022</v>
      </c>
      <c r="K638" s="56">
        <f t="shared" si="107"/>
        <v>44424</v>
      </c>
      <c r="L638" s="56">
        <f t="shared" si="108"/>
        <v>44430</v>
      </c>
      <c r="M638" s="59" t="str">
        <f t="shared" si="109"/>
        <v>16/08/21 @ 
22/08/21</v>
      </c>
    </row>
    <row r="639" spans="2:13" ht="24" x14ac:dyDescent="0.25">
      <c r="B639" s="55">
        <f t="shared" si="116"/>
        <v>637</v>
      </c>
      <c r="C639" s="56">
        <f t="shared" si="116"/>
        <v>44431</v>
      </c>
      <c r="D639" s="57">
        <f t="shared" si="106"/>
        <v>44431</v>
      </c>
      <c r="E639" s="58">
        <f t="shared" si="117"/>
        <v>92</v>
      </c>
      <c r="F639" s="58">
        <f t="shared" si="117"/>
        <v>35</v>
      </c>
      <c r="G639" s="8">
        <v>202108</v>
      </c>
      <c r="H639" s="8" t="s">
        <v>7021</v>
      </c>
      <c r="I639" s="8">
        <v>202109</v>
      </c>
      <c r="J639" s="8" t="s">
        <v>7022</v>
      </c>
      <c r="K639" s="56">
        <f t="shared" si="107"/>
        <v>44431</v>
      </c>
      <c r="L639" s="56">
        <f t="shared" si="108"/>
        <v>44437</v>
      </c>
      <c r="M639" s="59" t="str">
        <f t="shared" si="109"/>
        <v>23/08/21 @ 
29/08/21</v>
      </c>
    </row>
    <row r="640" spans="2:13" ht="24" x14ac:dyDescent="0.25">
      <c r="B640" s="55">
        <f t="shared" si="116"/>
        <v>638</v>
      </c>
      <c r="C640" s="56">
        <f t="shared" si="116"/>
        <v>44432</v>
      </c>
      <c r="D640" s="57">
        <f t="shared" si="106"/>
        <v>44432</v>
      </c>
      <c r="E640" s="58">
        <f t="shared" si="117"/>
        <v>92</v>
      </c>
      <c r="F640" s="58">
        <f t="shared" si="117"/>
        <v>35</v>
      </c>
      <c r="G640" s="8">
        <v>202108</v>
      </c>
      <c r="H640" s="8" t="s">
        <v>7021</v>
      </c>
      <c r="I640" s="8">
        <v>202109</v>
      </c>
      <c r="J640" s="8" t="s">
        <v>7022</v>
      </c>
      <c r="K640" s="56">
        <f t="shared" si="107"/>
        <v>44431</v>
      </c>
      <c r="L640" s="56">
        <f t="shared" si="108"/>
        <v>44437</v>
      </c>
      <c r="M640" s="59" t="str">
        <f t="shared" si="109"/>
        <v>23/08/21 @ 
29/08/21</v>
      </c>
    </row>
    <row r="641" spans="2:13" ht="24" x14ac:dyDescent="0.25">
      <c r="B641" s="55">
        <f t="shared" si="116"/>
        <v>639</v>
      </c>
      <c r="C641" s="56">
        <f t="shared" si="116"/>
        <v>44433</v>
      </c>
      <c r="D641" s="57">
        <f t="shared" si="106"/>
        <v>44433</v>
      </c>
      <c r="E641" s="58">
        <f t="shared" si="117"/>
        <v>92</v>
      </c>
      <c r="F641" s="58">
        <f t="shared" si="117"/>
        <v>35</v>
      </c>
      <c r="G641" s="8">
        <v>202108</v>
      </c>
      <c r="H641" s="8" t="s">
        <v>7021</v>
      </c>
      <c r="I641" s="8">
        <v>202109</v>
      </c>
      <c r="J641" s="8" t="s">
        <v>7022</v>
      </c>
      <c r="K641" s="56">
        <f t="shared" si="107"/>
        <v>44431</v>
      </c>
      <c r="L641" s="56">
        <f t="shared" si="108"/>
        <v>44437</v>
      </c>
      <c r="M641" s="59" t="str">
        <f t="shared" si="109"/>
        <v>23/08/21 @ 
29/08/21</v>
      </c>
    </row>
    <row r="642" spans="2:13" ht="24" x14ac:dyDescent="0.25">
      <c r="B642" s="55">
        <f t="shared" si="116"/>
        <v>640</v>
      </c>
      <c r="C642" s="56">
        <f t="shared" si="116"/>
        <v>44434</v>
      </c>
      <c r="D642" s="57">
        <f t="shared" si="106"/>
        <v>44434</v>
      </c>
      <c r="E642" s="58">
        <f t="shared" si="117"/>
        <v>92</v>
      </c>
      <c r="F642" s="58">
        <f t="shared" si="117"/>
        <v>35</v>
      </c>
      <c r="G642" s="8">
        <v>202108</v>
      </c>
      <c r="H642" s="8" t="s">
        <v>7021</v>
      </c>
      <c r="I642" s="8">
        <v>202109</v>
      </c>
      <c r="J642" s="8" t="s">
        <v>7022</v>
      </c>
      <c r="K642" s="56">
        <f t="shared" si="107"/>
        <v>44431</v>
      </c>
      <c r="L642" s="56">
        <f t="shared" si="108"/>
        <v>44437</v>
      </c>
      <c r="M642" s="59" t="str">
        <f t="shared" si="109"/>
        <v>23/08/21 @ 
29/08/21</v>
      </c>
    </row>
    <row r="643" spans="2:13" ht="24" x14ac:dyDescent="0.25">
      <c r="B643" s="55">
        <f t="shared" si="116"/>
        <v>641</v>
      </c>
      <c r="C643" s="56">
        <f t="shared" si="116"/>
        <v>44435</v>
      </c>
      <c r="D643" s="57">
        <f t="shared" ref="D643:D706" si="118">+C643</f>
        <v>44435</v>
      </c>
      <c r="E643" s="58">
        <f t="shared" si="117"/>
        <v>92</v>
      </c>
      <c r="F643" s="58">
        <f t="shared" si="117"/>
        <v>35</v>
      </c>
      <c r="G643" s="8">
        <v>202108</v>
      </c>
      <c r="H643" s="8" t="s">
        <v>7021</v>
      </c>
      <c r="I643" s="8">
        <v>202109</v>
      </c>
      <c r="J643" s="8" t="s">
        <v>7022</v>
      </c>
      <c r="K643" s="56">
        <f t="shared" ref="K643:K706" si="119">_xlfn.MINIFS($C$2:$C$890,$E$2:$E$890,E643)</f>
        <v>44431</v>
      </c>
      <c r="L643" s="56">
        <f t="shared" ref="L643:L706" si="120">_xlfn.MAXIFS($C$2:$C$890,$E$2:$E$890,E643)</f>
        <v>44437</v>
      </c>
      <c r="M643" s="59" t="str">
        <f t="shared" ref="M643:M706" si="121">CONCATENATE(TEXT(K643,"DD/MM/YY")," @ ",CHAR(10),TEXT(L643,"DD/MM/YY"))</f>
        <v>23/08/21 @ 
29/08/21</v>
      </c>
    </row>
    <row r="644" spans="2:13" ht="24" x14ac:dyDescent="0.25">
      <c r="B644" s="55">
        <f t="shared" si="116"/>
        <v>642</v>
      </c>
      <c r="C644" s="56">
        <f t="shared" si="116"/>
        <v>44436</v>
      </c>
      <c r="D644" s="57">
        <f t="shared" si="118"/>
        <v>44436</v>
      </c>
      <c r="E644" s="58">
        <f t="shared" si="117"/>
        <v>92</v>
      </c>
      <c r="F644" s="58">
        <f t="shared" si="117"/>
        <v>35</v>
      </c>
      <c r="G644" s="8">
        <v>202108</v>
      </c>
      <c r="H644" s="8" t="s">
        <v>7021</v>
      </c>
      <c r="I644" s="8">
        <v>202109</v>
      </c>
      <c r="J644" s="8" t="s">
        <v>7022</v>
      </c>
      <c r="K644" s="56">
        <f t="shared" si="119"/>
        <v>44431</v>
      </c>
      <c r="L644" s="56">
        <f t="shared" si="120"/>
        <v>44437</v>
      </c>
      <c r="M644" s="59" t="str">
        <f t="shared" si="121"/>
        <v>23/08/21 @ 
29/08/21</v>
      </c>
    </row>
    <row r="645" spans="2:13" ht="24" x14ac:dyDescent="0.25">
      <c r="B645" s="55">
        <f t="shared" ref="B645:C660" si="122">+B644+1</f>
        <v>643</v>
      </c>
      <c r="C645" s="56">
        <f t="shared" si="122"/>
        <v>44437</v>
      </c>
      <c r="D645" s="57">
        <f t="shared" si="118"/>
        <v>44437</v>
      </c>
      <c r="E645" s="58">
        <f t="shared" si="117"/>
        <v>92</v>
      </c>
      <c r="F645" s="58">
        <f t="shared" si="117"/>
        <v>35</v>
      </c>
      <c r="G645" s="8">
        <v>202108</v>
      </c>
      <c r="H645" s="8" t="s">
        <v>7021</v>
      </c>
      <c r="I645" s="8">
        <v>202109</v>
      </c>
      <c r="J645" s="8" t="s">
        <v>7022</v>
      </c>
      <c r="K645" s="56">
        <f t="shared" si="119"/>
        <v>44431</v>
      </c>
      <c r="L645" s="56">
        <f t="shared" si="120"/>
        <v>44437</v>
      </c>
      <c r="M645" s="59" t="str">
        <f t="shared" si="121"/>
        <v>23/08/21 @ 
29/08/21</v>
      </c>
    </row>
    <row r="646" spans="2:13" ht="24" x14ac:dyDescent="0.25">
      <c r="B646" s="55">
        <f t="shared" si="122"/>
        <v>644</v>
      </c>
      <c r="C646" s="56">
        <f t="shared" si="122"/>
        <v>44438</v>
      </c>
      <c r="D646" s="57">
        <f t="shared" si="118"/>
        <v>44438</v>
      </c>
      <c r="E646" s="58">
        <f t="shared" si="117"/>
        <v>93</v>
      </c>
      <c r="F646" s="58">
        <f t="shared" si="117"/>
        <v>36</v>
      </c>
      <c r="G646" s="8">
        <v>202109</v>
      </c>
      <c r="H646" s="8" t="s">
        <v>7022</v>
      </c>
      <c r="I646" s="8">
        <v>202109</v>
      </c>
      <c r="J646" s="8" t="s">
        <v>7022</v>
      </c>
      <c r="K646" s="56">
        <f t="shared" si="119"/>
        <v>44438</v>
      </c>
      <c r="L646" s="56">
        <f t="shared" si="120"/>
        <v>44444</v>
      </c>
      <c r="M646" s="59" t="str">
        <f t="shared" si="121"/>
        <v>30/08/21 @ 
05/09/21</v>
      </c>
    </row>
    <row r="647" spans="2:13" ht="24" x14ac:dyDescent="0.25">
      <c r="B647" s="55">
        <f t="shared" si="122"/>
        <v>645</v>
      </c>
      <c r="C647" s="56">
        <f t="shared" si="122"/>
        <v>44439</v>
      </c>
      <c r="D647" s="57">
        <f t="shared" si="118"/>
        <v>44439</v>
      </c>
      <c r="E647" s="58">
        <f t="shared" si="117"/>
        <v>93</v>
      </c>
      <c r="F647" s="58">
        <f t="shared" si="117"/>
        <v>36</v>
      </c>
      <c r="G647" s="8">
        <v>202109</v>
      </c>
      <c r="H647" s="8" t="s">
        <v>7022</v>
      </c>
      <c r="I647" s="8">
        <v>202109</v>
      </c>
      <c r="J647" s="8" t="s">
        <v>7022</v>
      </c>
      <c r="K647" s="56">
        <f t="shared" si="119"/>
        <v>44438</v>
      </c>
      <c r="L647" s="56">
        <f t="shared" si="120"/>
        <v>44444</v>
      </c>
      <c r="M647" s="59" t="str">
        <f t="shared" si="121"/>
        <v>30/08/21 @ 
05/09/21</v>
      </c>
    </row>
    <row r="648" spans="2:13" ht="24" x14ac:dyDescent="0.25">
      <c r="B648" s="55">
        <f t="shared" si="122"/>
        <v>646</v>
      </c>
      <c r="C648" s="56">
        <f t="shared" si="122"/>
        <v>44440</v>
      </c>
      <c r="D648" s="57">
        <f t="shared" si="118"/>
        <v>44440</v>
      </c>
      <c r="E648" s="58">
        <f t="shared" si="117"/>
        <v>93</v>
      </c>
      <c r="F648" s="58">
        <f t="shared" si="117"/>
        <v>36</v>
      </c>
      <c r="G648" s="8">
        <v>202109</v>
      </c>
      <c r="H648" s="8" t="s">
        <v>7022</v>
      </c>
      <c r="I648" s="8">
        <v>202109</v>
      </c>
      <c r="J648" s="8" t="s">
        <v>7022</v>
      </c>
      <c r="K648" s="56">
        <f t="shared" si="119"/>
        <v>44438</v>
      </c>
      <c r="L648" s="56">
        <f t="shared" si="120"/>
        <v>44444</v>
      </c>
      <c r="M648" s="59" t="str">
        <f t="shared" si="121"/>
        <v>30/08/21 @ 
05/09/21</v>
      </c>
    </row>
    <row r="649" spans="2:13" ht="24" x14ac:dyDescent="0.25">
      <c r="B649" s="55">
        <f t="shared" si="122"/>
        <v>647</v>
      </c>
      <c r="C649" s="56">
        <f t="shared" si="122"/>
        <v>44441</v>
      </c>
      <c r="D649" s="57">
        <f t="shared" si="118"/>
        <v>44441</v>
      </c>
      <c r="E649" s="58">
        <f t="shared" si="117"/>
        <v>93</v>
      </c>
      <c r="F649" s="58">
        <f t="shared" si="117"/>
        <v>36</v>
      </c>
      <c r="G649" s="8">
        <v>202109</v>
      </c>
      <c r="H649" s="8" t="s">
        <v>7022</v>
      </c>
      <c r="I649" s="8">
        <v>202109</v>
      </c>
      <c r="J649" s="8" t="s">
        <v>7022</v>
      </c>
      <c r="K649" s="56">
        <f t="shared" si="119"/>
        <v>44438</v>
      </c>
      <c r="L649" s="56">
        <f t="shared" si="120"/>
        <v>44444</v>
      </c>
      <c r="M649" s="59" t="str">
        <f t="shared" si="121"/>
        <v>30/08/21 @ 
05/09/21</v>
      </c>
    </row>
    <row r="650" spans="2:13" ht="24" x14ac:dyDescent="0.25">
      <c r="B650" s="55">
        <f t="shared" si="122"/>
        <v>648</v>
      </c>
      <c r="C650" s="56">
        <f t="shared" si="122"/>
        <v>44442</v>
      </c>
      <c r="D650" s="57">
        <f t="shared" si="118"/>
        <v>44442</v>
      </c>
      <c r="E650" s="58">
        <f t="shared" ref="E650:F665" si="123">+E643+1</f>
        <v>93</v>
      </c>
      <c r="F650" s="58">
        <f t="shared" si="123"/>
        <v>36</v>
      </c>
      <c r="G650" s="8">
        <v>202109</v>
      </c>
      <c r="H650" s="8" t="s">
        <v>7022</v>
      </c>
      <c r="I650" s="8">
        <v>202109</v>
      </c>
      <c r="J650" s="8" t="s">
        <v>7022</v>
      </c>
      <c r="K650" s="56">
        <f t="shared" si="119"/>
        <v>44438</v>
      </c>
      <c r="L650" s="56">
        <f t="shared" si="120"/>
        <v>44444</v>
      </c>
      <c r="M650" s="59" t="str">
        <f t="shared" si="121"/>
        <v>30/08/21 @ 
05/09/21</v>
      </c>
    </row>
    <row r="651" spans="2:13" ht="24" x14ac:dyDescent="0.25">
      <c r="B651" s="55">
        <f t="shared" si="122"/>
        <v>649</v>
      </c>
      <c r="C651" s="56">
        <f t="shared" si="122"/>
        <v>44443</v>
      </c>
      <c r="D651" s="57">
        <f t="shared" si="118"/>
        <v>44443</v>
      </c>
      <c r="E651" s="58">
        <f t="shared" si="123"/>
        <v>93</v>
      </c>
      <c r="F651" s="58">
        <f t="shared" si="123"/>
        <v>36</v>
      </c>
      <c r="G651" s="8">
        <v>202109</v>
      </c>
      <c r="H651" s="8" t="s">
        <v>7022</v>
      </c>
      <c r="I651" s="8">
        <v>202109</v>
      </c>
      <c r="J651" s="8" t="s">
        <v>7022</v>
      </c>
      <c r="K651" s="56">
        <f t="shared" si="119"/>
        <v>44438</v>
      </c>
      <c r="L651" s="56">
        <f t="shared" si="120"/>
        <v>44444</v>
      </c>
      <c r="M651" s="59" t="str">
        <f t="shared" si="121"/>
        <v>30/08/21 @ 
05/09/21</v>
      </c>
    </row>
    <row r="652" spans="2:13" ht="24" x14ac:dyDescent="0.25">
      <c r="B652" s="55">
        <f t="shared" si="122"/>
        <v>650</v>
      </c>
      <c r="C652" s="56">
        <f t="shared" si="122"/>
        <v>44444</v>
      </c>
      <c r="D652" s="57">
        <f t="shared" si="118"/>
        <v>44444</v>
      </c>
      <c r="E652" s="58">
        <f t="shared" si="123"/>
        <v>93</v>
      </c>
      <c r="F652" s="58">
        <f t="shared" si="123"/>
        <v>36</v>
      </c>
      <c r="G652" s="8">
        <v>202109</v>
      </c>
      <c r="H652" s="8" t="s">
        <v>7022</v>
      </c>
      <c r="I652" s="8">
        <v>202109</v>
      </c>
      <c r="J652" s="8" t="s">
        <v>7022</v>
      </c>
      <c r="K652" s="56">
        <f t="shared" si="119"/>
        <v>44438</v>
      </c>
      <c r="L652" s="56">
        <f t="shared" si="120"/>
        <v>44444</v>
      </c>
      <c r="M652" s="59" t="str">
        <f t="shared" si="121"/>
        <v>30/08/21 @ 
05/09/21</v>
      </c>
    </row>
    <row r="653" spans="2:13" ht="24" x14ac:dyDescent="0.25">
      <c r="B653" s="55">
        <f t="shared" si="122"/>
        <v>651</v>
      </c>
      <c r="C653" s="56">
        <f t="shared" si="122"/>
        <v>44445</v>
      </c>
      <c r="D653" s="57">
        <f t="shared" si="118"/>
        <v>44445</v>
      </c>
      <c r="E653" s="58">
        <f t="shared" si="123"/>
        <v>94</v>
      </c>
      <c r="F653" s="58">
        <f t="shared" si="123"/>
        <v>37</v>
      </c>
      <c r="G653" s="8">
        <v>202109</v>
      </c>
      <c r="H653" s="8" t="s">
        <v>7022</v>
      </c>
      <c r="I653" s="8">
        <v>202109</v>
      </c>
      <c r="J653" s="8" t="s">
        <v>7022</v>
      </c>
      <c r="K653" s="56">
        <f t="shared" si="119"/>
        <v>44445</v>
      </c>
      <c r="L653" s="56">
        <f t="shared" si="120"/>
        <v>44451</v>
      </c>
      <c r="M653" s="59" t="str">
        <f t="shared" si="121"/>
        <v>06/09/21 @ 
12/09/21</v>
      </c>
    </row>
    <row r="654" spans="2:13" ht="24" x14ac:dyDescent="0.25">
      <c r="B654" s="55">
        <f t="shared" si="122"/>
        <v>652</v>
      </c>
      <c r="C654" s="56">
        <f t="shared" si="122"/>
        <v>44446</v>
      </c>
      <c r="D654" s="57">
        <f t="shared" si="118"/>
        <v>44446</v>
      </c>
      <c r="E654" s="58">
        <f t="shared" si="123"/>
        <v>94</v>
      </c>
      <c r="F654" s="58">
        <f t="shared" si="123"/>
        <v>37</v>
      </c>
      <c r="G654" s="8">
        <v>202109</v>
      </c>
      <c r="H654" s="8" t="s">
        <v>7022</v>
      </c>
      <c r="I654" s="8">
        <v>202109</v>
      </c>
      <c r="J654" s="8" t="s">
        <v>7022</v>
      </c>
      <c r="K654" s="56">
        <f t="shared" si="119"/>
        <v>44445</v>
      </c>
      <c r="L654" s="56">
        <f t="shared" si="120"/>
        <v>44451</v>
      </c>
      <c r="M654" s="59" t="str">
        <f t="shared" si="121"/>
        <v>06/09/21 @ 
12/09/21</v>
      </c>
    </row>
    <row r="655" spans="2:13" ht="24" x14ac:dyDescent="0.25">
      <c r="B655" s="55">
        <f t="shared" si="122"/>
        <v>653</v>
      </c>
      <c r="C655" s="56">
        <f t="shared" si="122"/>
        <v>44447</v>
      </c>
      <c r="D655" s="57">
        <f t="shared" si="118"/>
        <v>44447</v>
      </c>
      <c r="E655" s="58">
        <f t="shared" si="123"/>
        <v>94</v>
      </c>
      <c r="F655" s="58">
        <f t="shared" si="123"/>
        <v>37</v>
      </c>
      <c r="G655" s="8">
        <v>202109</v>
      </c>
      <c r="H655" s="8" t="s">
        <v>7022</v>
      </c>
      <c r="I655" s="8">
        <v>202109</v>
      </c>
      <c r="J655" s="8" t="s">
        <v>7022</v>
      </c>
      <c r="K655" s="56">
        <f t="shared" si="119"/>
        <v>44445</v>
      </c>
      <c r="L655" s="56">
        <f t="shared" si="120"/>
        <v>44451</v>
      </c>
      <c r="M655" s="59" t="str">
        <f t="shared" si="121"/>
        <v>06/09/21 @ 
12/09/21</v>
      </c>
    </row>
    <row r="656" spans="2:13" ht="24" x14ac:dyDescent="0.25">
      <c r="B656" s="55">
        <f t="shared" si="122"/>
        <v>654</v>
      </c>
      <c r="C656" s="56">
        <f t="shared" si="122"/>
        <v>44448</v>
      </c>
      <c r="D656" s="57">
        <f t="shared" si="118"/>
        <v>44448</v>
      </c>
      <c r="E656" s="58">
        <f t="shared" si="123"/>
        <v>94</v>
      </c>
      <c r="F656" s="58">
        <f t="shared" si="123"/>
        <v>37</v>
      </c>
      <c r="G656" s="8">
        <v>202109</v>
      </c>
      <c r="H656" s="8" t="s">
        <v>7022</v>
      </c>
      <c r="I656" s="8">
        <v>202109</v>
      </c>
      <c r="J656" s="8" t="s">
        <v>7022</v>
      </c>
      <c r="K656" s="56">
        <f t="shared" si="119"/>
        <v>44445</v>
      </c>
      <c r="L656" s="56">
        <f t="shared" si="120"/>
        <v>44451</v>
      </c>
      <c r="M656" s="59" t="str">
        <f t="shared" si="121"/>
        <v>06/09/21 @ 
12/09/21</v>
      </c>
    </row>
    <row r="657" spans="2:13" ht="24" x14ac:dyDescent="0.25">
      <c r="B657" s="55">
        <f t="shared" si="122"/>
        <v>655</v>
      </c>
      <c r="C657" s="56">
        <f t="shared" si="122"/>
        <v>44449</v>
      </c>
      <c r="D657" s="57">
        <f t="shared" si="118"/>
        <v>44449</v>
      </c>
      <c r="E657" s="58">
        <f t="shared" si="123"/>
        <v>94</v>
      </c>
      <c r="F657" s="58">
        <f t="shared" si="123"/>
        <v>37</v>
      </c>
      <c r="G657" s="8">
        <v>202109</v>
      </c>
      <c r="H657" s="8" t="s">
        <v>7022</v>
      </c>
      <c r="I657" s="8">
        <v>202109</v>
      </c>
      <c r="J657" s="8" t="s">
        <v>7022</v>
      </c>
      <c r="K657" s="56">
        <f t="shared" si="119"/>
        <v>44445</v>
      </c>
      <c r="L657" s="56">
        <f t="shared" si="120"/>
        <v>44451</v>
      </c>
      <c r="M657" s="59" t="str">
        <f t="shared" si="121"/>
        <v>06/09/21 @ 
12/09/21</v>
      </c>
    </row>
    <row r="658" spans="2:13" ht="24" x14ac:dyDescent="0.25">
      <c r="B658" s="55">
        <f t="shared" si="122"/>
        <v>656</v>
      </c>
      <c r="C658" s="56">
        <f t="shared" si="122"/>
        <v>44450</v>
      </c>
      <c r="D658" s="57">
        <f t="shared" si="118"/>
        <v>44450</v>
      </c>
      <c r="E658" s="58">
        <f t="shared" si="123"/>
        <v>94</v>
      </c>
      <c r="F658" s="58">
        <f t="shared" si="123"/>
        <v>37</v>
      </c>
      <c r="G658" s="8">
        <v>202109</v>
      </c>
      <c r="H658" s="8" t="s">
        <v>7022</v>
      </c>
      <c r="I658" s="8">
        <v>202109</v>
      </c>
      <c r="J658" s="8" t="s">
        <v>7022</v>
      </c>
      <c r="K658" s="56">
        <f t="shared" si="119"/>
        <v>44445</v>
      </c>
      <c r="L658" s="56">
        <f t="shared" si="120"/>
        <v>44451</v>
      </c>
      <c r="M658" s="59" t="str">
        <f t="shared" si="121"/>
        <v>06/09/21 @ 
12/09/21</v>
      </c>
    </row>
    <row r="659" spans="2:13" ht="24" x14ac:dyDescent="0.25">
      <c r="B659" s="55">
        <f t="shared" si="122"/>
        <v>657</v>
      </c>
      <c r="C659" s="56">
        <f t="shared" si="122"/>
        <v>44451</v>
      </c>
      <c r="D659" s="57">
        <f t="shared" si="118"/>
        <v>44451</v>
      </c>
      <c r="E659" s="58">
        <f t="shared" si="123"/>
        <v>94</v>
      </c>
      <c r="F659" s="58">
        <f t="shared" si="123"/>
        <v>37</v>
      </c>
      <c r="G659" s="8">
        <v>202109</v>
      </c>
      <c r="H659" s="8" t="s">
        <v>7022</v>
      </c>
      <c r="I659" s="8">
        <v>202109</v>
      </c>
      <c r="J659" s="8" t="s">
        <v>7022</v>
      </c>
      <c r="K659" s="56">
        <f t="shared" si="119"/>
        <v>44445</v>
      </c>
      <c r="L659" s="56">
        <f t="shared" si="120"/>
        <v>44451</v>
      </c>
      <c r="M659" s="59" t="str">
        <f t="shared" si="121"/>
        <v>06/09/21 @ 
12/09/21</v>
      </c>
    </row>
    <row r="660" spans="2:13" ht="24" x14ac:dyDescent="0.25">
      <c r="B660" s="55">
        <f t="shared" si="122"/>
        <v>658</v>
      </c>
      <c r="C660" s="56">
        <f t="shared" si="122"/>
        <v>44452</v>
      </c>
      <c r="D660" s="57">
        <f t="shared" si="118"/>
        <v>44452</v>
      </c>
      <c r="E660" s="58">
        <f t="shared" si="123"/>
        <v>95</v>
      </c>
      <c r="F660" s="58">
        <f t="shared" si="123"/>
        <v>38</v>
      </c>
      <c r="G660" s="8">
        <v>202109</v>
      </c>
      <c r="H660" s="8" t="s">
        <v>7022</v>
      </c>
      <c r="I660" s="8">
        <v>202109</v>
      </c>
      <c r="J660" s="8" t="s">
        <v>7022</v>
      </c>
      <c r="K660" s="56">
        <f t="shared" si="119"/>
        <v>44452</v>
      </c>
      <c r="L660" s="56">
        <f t="shared" si="120"/>
        <v>44458</v>
      </c>
      <c r="M660" s="59" t="str">
        <f t="shared" si="121"/>
        <v>13/09/21 @ 
19/09/21</v>
      </c>
    </row>
    <row r="661" spans="2:13" ht="24" x14ac:dyDescent="0.25">
      <c r="B661" s="55">
        <f t="shared" ref="B661:C676" si="124">+B660+1</f>
        <v>659</v>
      </c>
      <c r="C661" s="56">
        <f t="shared" si="124"/>
        <v>44453</v>
      </c>
      <c r="D661" s="57">
        <f t="shared" si="118"/>
        <v>44453</v>
      </c>
      <c r="E661" s="58">
        <f t="shared" si="123"/>
        <v>95</v>
      </c>
      <c r="F661" s="58">
        <f t="shared" si="123"/>
        <v>38</v>
      </c>
      <c r="G661" s="8">
        <v>202109</v>
      </c>
      <c r="H661" s="8" t="s">
        <v>7022</v>
      </c>
      <c r="I661" s="8">
        <v>202109</v>
      </c>
      <c r="J661" s="8" t="s">
        <v>7022</v>
      </c>
      <c r="K661" s="56">
        <f t="shared" si="119"/>
        <v>44452</v>
      </c>
      <c r="L661" s="56">
        <f t="shared" si="120"/>
        <v>44458</v>
      </c>
      <c r="M661" s="59" t="str">
        <f t="shared" si="121"/>
        <v>13/09/21 @ 
19/09/21</v>
      </c>
    </row>
    <row r="662" spans="2:13" ht="24" x14ac:dyDescent="0.25">
      <c r="B662" s="55">
        <f t="shared" si="124"/>
        <v>660</v>
      </c>
      <c r="C662" s="56">
        <f t="shared" si="124"/>
        <v>44454</v>
      </c>
      <c r="D662" s="57">
        <f t="shared" si="118"/>
        <v>44454</v>
      </c>
      <c r="E662" s="58">
        <f t="shared" si="123"/>
        <v>95</v>
      </c>
      <c r="F662" s="58">
        <f t="shared" si="123"/>
        <v>38</v>
      </c>
      <c r="G662" s="8">
        <v>202109</v>
      </c>
      <c r="H662" s="8" t="s">
        <v>7022</v>
      </c>
      <c r="I662" s="8">
        <v>202109</v>
      </c>
      <c r="J662" s="8" t="s">
        <v>7022</v>
      </c>
      <c r="K662" s="56">
        <f t="shared" si="119"/>
        <v>44452</v>
      </c>
      <c r="L662" s="56">
        <f t="shared" si="120"/>
        <v>44458</v>
      </c>
      <c r="M662" s="59" t="str">
        <f t="shared" si="121"/>
        <v>13/09/21 @ 
19/09/21</v>
      </c>
    </row>
    <row r="663" spans="2:13" ht="24" x14ac:dyDescent="0.25">
      <c r="B663" s="55">
        <f t="shared" si="124"/>
        <v>661</v>
      </c>
      <c r="C663" s="56">
        <f t="shared" si="124"/>
        <v>44455</v>
      </c>
      <c r="D663" s="57">
        <f t="shared" si="118"/>
        <v>44455</v>
      </c>
      <c r="E663" s="58">
        <f t="shared" si="123"/>
        <v>95</v>
      </c>
      <c r="F663" s="58">
        <f t="shared" si="123"/>
        <v>38</v>
      </c>
      <c r="G663" s="8">
        <v>202109</v>
      </c>
      <c r="H663" s="8" t="s">
        <v>7022</v>
      </c>
      <c r="I663" s="8">
        <v>202109</v>
      </c>
      <c r="J663" s="8" t="s">
        <v>7022</v>
      </c>
      <c r="K663" s="56">
        <f t="shared" si="119"/>
        <v>44452</v>
      </c>
      <c r="L663" s="56">
        <f t="shared" si="120"/>
        <v>44458</v>
      </c>
      <c r="M663" s="59" t="str">
        <f t="shared" si="121"/>
        <v>13/09/21 @ 
19/09/21</v>
      </c>
    </row>
    <row r="664" spans="2:13" ht="24" x14ac:dyDescent="0.25">
      <c r="B664" s="55">
        <f t="shared" si="124"/>
        <v>662</v>
      </c>
      <c r="C664" s="56">
        <f t="shared" si="124"/>
        <v>44456</v>
      </c>
      <c r="D664" s="57">
        <f t="shared" si="118"/>
        <v>44456</v>
      </c>
      <c r="E664" s="58">
        <f t="shared" si="123"/>
        <v>95</v>
      </c>
      <c r="F664" s="58">
        <f t="shared" si="123"/>
        <v>38</v>
      </c>
      <c r="G664" s="8">
        <v>202109</v>
      </c>
      <c r="H664" s="8" t="s">
        <v>7022</v>
      </c>
      <c r="I664" s="8">
        <v>202109</v>
      </c>
      <c r="J664" s="8" t="s">
        <v>7022</v>
      </c>
      <c r="K664" s="56">
        <f t="shared" si="119"/>
        <v>44452</v>
      </c>
      <c r="L664" s="56">
        <f t="shared" si="120"/>
        <v>44458</v>
      </c>
      <c r="M664" s="59" t="str">
        <f t="shared" si="121"/>
        <v>13/09/21 @ 
19/09/21</v>
      </c>
    </row>
    <row r="665" spans="2:13" ht="24" x14ac:dyDescent="0.25">
      <c r="B665" s="55">
        <f t="shared" si="124"/>
        <v>663</v>
      </c>
      <c r="C665" s="56">
        <f t="shared" si="124"/>
        <v>44457</v>
      </c>
      <c r="D665" s="57">
        <f t="shared" si="118"/>
        <v>44457</v>
      </c>
      <c r="E665" s="58">
        <f t="shared" si="123"/>
        <v>95</v>
      </c>
      <c r="F665" s="58">
        <f t="shared" si="123"/>
        <v>38</v>
      </c>
      <c r="G665" s="8">
        <v>202109</v>
      </c>
      <c r="H665" s="8" t="s">
        <v>7022</v>
      </c>
      <c r="I665" s="8">
        <v>202109</v>
      </c>
      <c r="J665" s="8" t="s">
        <v>7022</v>
      </c>
      <c r="K665" s="56">
        <f t="shared" si="119"/>
        <v>44452</v>
      </c>
      <c r="L665" s="56">
        <f t="shared" si="120"/>
        <v>44458</v>
      </c>
      <c r="M665" s="59" t="str">
        <f t="shared" si="121"/>
        <v>13/09/21 @ 
19/09/21</v>
      </c>
    </row>
    <row r="666" spans="2:13" ht="24" x14ac:dyDescent="0.25">
      <c r="B666" s="55">
        <f t="shared" si="124"/>
        <v>664</v>
      </c>
      <c r="C666" s="56">
        <f t="shared" si="124"/>
        <v>44458</v>
      </c>
      <c r="D666" s="57">
        <f t="shared" si="118"/>
        <v>44458</v>
      </c>
      <c r="E666" s="58">
        <f t="shared" ref="E666:F681" si="125">+E659+1</f>
        <v>95</v>
      </c>
      <c r="F666" s="58">
        <f t="shared" si="125"/>
        <v>38</v>
      </c>
      <c r="G666" s="8">
        <v>202109</v>
      </c>
      <c r="H666" s="8" t="s">
        <v>7022</v>
      </c>
      <c r="I666" s="8">
        <v>202109</v>
      </c>
      <c r="J666" s="8" t="s">
        <v>7022</v>
      </c>
      <c r="K666" s="56">
        <f t="shared" si="119"/>
        <v>44452</v>
      </c>
      <c r="L666" s="56">
        <f t="shared" si="120"/>
        <v>44458</v>
      </c>
      <c r="M666" s="59" t="str">
        <f t="shared" si="121"/>
        <v>13/09/21 @ 
19/09/21</v>
      </c>
    </row>
    <row r="667" spans="2:13" ht="24" x14ac:dyDescent="0.25">
      <c r="B667" s="55">
        <f t="shared" si="124"/>
        <v>665</v>
      </c>
      <c r="C667" s="56">
        <f t="shared" si="124"/>
        <v>44459</v>
      </c>
      <c r="D667" s="57">
        <f t="shared" si="118"/>
        <v>44459</v>
      </c>
      <c r="E667" s="58">
        <f t="shared" si="125"/>
        <v>96</v>
      </c>
      <c r="F667" s="58">
        <f t="shared" si="125"/>
        <v>39</v>
      </c>
      <c r="G667" s="8">
        <v>202109</v>
      </c>
      <c r="H667" s="8" t="s">
        <v>7022</v>
      </c>
      <c r="I667" s="8">
        <v>202109</v>
      </c>
      <c r="J667" s="8" t="s">
        <v>7022</v>
      </c>
      <c r="K667" s="56">
        <f t="shared" si="119"/>
        <v>44459</v>
      </c>
      <c r="L667" s="56">
        <f t="shared" si="120"/>
        <v>44465</v>
      </c>
      <c r="M667" s="59" t="str">
        <f t="shared" si="121"/>
        <v>20/09/21 @ 
26/09/21</v>
      </c>
    </row>
    <row r="668" spans="2:13" ht="24" x14ac:dyDescent="0.25">
      <c r="B668" s="55">
        <f t="shared" si="124"/>
        <v>666</v>
      </c>
      <c r="C668" s="56">
        <f t="shared" si="124"/>
        <v>44460</v>
      </c>
      <c r="D668" s="57">
        <f t="shared" si="118"/>
        <v>44460</v>
      </c>
      <c r="E668" s="58">
        <f t="shared" si="125"/>
        <v>96</v>
      </c>
      <c r="F668" s="58">
        <f t="shared" si="125"/>
        <v>39</v>
      </c>
      <c r="G668" s="8">
        <v>202109</v>
      </c>
      <c r="H668" s="8" t="s">
        <v>7022</v>
      </c>
      <c r="I668" s="8">
        <v>202110</v>
      </c>
      <c r="J668" s="8" t="s">
        <v>7023</v>
      </c>
      <c r="K668" s="56">
        <f t="shared" si="119"/>
        <v>44459</v>
      </c>
      <c r="L668" s="56">
        <f t="shared" si="120"/>
        <v>44465</v>
      </c>
      <c r="M668" s="59" t="str">
        <f t="shared" si="121"/>
        <v>20/09/21 @ 
26/09/21</v>
      </c>
    </row>
    <row r="669" spans="2:13" ht="24" x14ac:dyDescent="0.25">
      <c r="B669" s="55">
        <f t="shared" si="124"/>
        <v>667</v>
      </c>
      <c r="C669" s="56">
        <f t="shared" si="124"/>
        <v>44461</v>
      </c>
      <c r="D669" s="57">
        <f t="shared" si="118"/>
        <v>44461</v>
      </c>
      <c r="E669" s="58">
        <f t="shared" si="125"/>
        <v>96</v>
      </c>
      <c r="F669" s="58">
        <f t="shared" si="125"/>
        <v>39</v>
      </c>
      <c r="G669" s="8">
        <v>202109</v>
      </c>
      <c r="H669" s="8" t="s">
        <v>7022</v>
      </c>
      <c r="I669" s="8">
        <v>202110</v>
      </c>
      <c r="J669" s="8" t="s">
        <v>7023</v>
      </c>
      <c r="K669" s="56">
        <f t="shared" si="119"/>
        <v>44459</v>
      </c>
      <c r="L669" s="56">
        <f t="shared" si="120"/>
        <v>44465</v>
      </c>
      <c r="M669" s="59" t="str">
        <f t="shared" si="121"/>
        <v>20/09/21 @ 
26/09/21</v>
      </c>
    </row>
    <row r="670" spans="2:13" ht="24" x14ac:dyDescent="0.25">
      <c r="B670" s="55">
        <f t="shared" si="124"/>
        <v>668</v>
      </c>
      <c r="C670" s="56">
        <f t="shared" si="124"/>
        <v>44462</v>
      </c>
      <c r="D670" s="57">
        <f t="shared" si="118"/>
        <v>44462</v>
      </c>
      <c r="E670" s="58">
        <f t="shared" si="125"/>
        <v>96</v>
      </c>
      <c r="F670" s="58">
        <f t="shared" si="125"/>
        <v>39</v>
      </c>
      <c r="G670" s="8">
        <v>202109</v>
      </c>
      <c r="H670" s="8" t="s">
        <v>7022</v>
      </c>
      <c r="I670" s="8">
        <v>202110</v>
      </c>
      <c r="J670" s="8" t="s">
        <v>7023</v>
      </c>
      <c r="K670" s="56">
        <f t="shared" si="119"/>
        <v>44459</v>
      </c>
      <c r="L670" s="56">
        <f t="shared" si="120"/>
        <v>44465</v>
      </c>
      <c r="M670" s="59" t="str">
        <f t="shared" si="121"/>
        <v>20/09/21 @ 
26/09/21</v>
      </c>
    </row>
    <row r="671" spans="2:13" ht="24" x14ac:dyDescent="0.25">
      <c r="B671" s="55">
        <f t="shared" si="124"/>
        <v>669</v>
      </c>
      <c r="C671" s="56">
        <f t="shared" si="124"/>
        <v>44463</v>
      </c>
      <c r="D671" s="57">
        <f t="shared" si="118"/>
        <v>44463</v>
      </c>
      <c r="E671" s="58">
        <f t="shared" si="125"/>
        <v>96</v>
      </c>
      <c r="F671" s="58">
        <f t="shared" si="125"/>
        <v>39</v>
      </c>
      <c r="G671" s="8">
        <v>202109</v>
      </c>
      <c r="H671" s="8" t="s">
        <v>7022</v>
      </c>
      <c r="I671" s="8">
        <v>202110</v>
      </c>
      <c r="J671" s="8" t="s">
        <v>7023</v>
      </c>
      <c r="K671" s="56">
        <f t="shared" si="119"/>
        <v>44459</v>
      </c>
      <c r="L671" s="56">
        <f t="shared" si="120"/>
        <v>44465</v>
      </c>
      <c r="M671" s="59" t="str">
        <f t="shared" si="121"/>
        <v>20/09/21 @ 
26/09/21</v>
      </c>
    </row>
    <row r="672" spans="2:13" ht="24" x14ac:dyDescent="0.25">
      <c r="B672" s="55">
        <f t="shared" si="124"/>
        <v>670</v>
      </c>
      <c r="C672" s="56">
        <f t="shared" si="124"/>
        <v>44464</v>
      </c>
      <c r="D672" s="57">
        <f t="shared" si="118"/>
        <v>44464</v>
      </c>
      <c r="E672" s="58">
        <f t="shared" si="125"/>
        <v>96</v>
      </c>
      <c r="F672" s="58">
        <f t="shared" si="125"/>
        <v>39</v>
      </c>
      <c r="G672" s="8">
        <v>202109</v>
      </c>
      <c r="H672" s="8" t="s">
        <v>7022</v>
      </c>
      <c r="I672" s="8">
        <v>202110</v>
      </c>
      <c r="J672" s="8" t="s">
        <v>7023</v>
      </c>
      <c r="K672" s="56">
        <f t="shared" si="119"/>
        <v>44459</v>
      </c>
      <c r="L672" s="56">
        <f t="shared" si="120"/>
        <v>44465</v>
      </c>
      <c r="M672" s="59" t="str">
        <f t="shared" si="121"/>
        <v>20/09/21 @ 
26/09/21</v>
      </c>
    </row>
    <row r="673" spans="2:13" ht="24" x14ac:dyDescent="0.25">
      <c r="B673" s="55">
        <f t="shared" si="124"/>
        <v>671</v>
      </c>
      <c r="C673" s="56">
        <f t="shared" si="124"/>
        <v>44465</v>
      </c>
      <c r="D673" s="57">
        <f t="shared" si="118"/>
        <v>44465</v>
      </c>
      <c r="E673" s="58">
        <f t="shared" si="125"/>
        <v>96</v>
      </c>
      <c r="F673" s="58">
        <f t="shared" si="125"/>
        <v>39</v>
      </c>
      <c r="G673" s="8">
        <v>202109</v>
      </c>
      <c r="H673" s="8" t="s">
        <v>7022</v>
      </c>
      <c r="I673" s="8">
        <v>202110</v>
      </c>
      <c r="J673" s="8" t="s">
        <v>7023</v>
      </c>
      <c r="K673" s="56">
        <f t="shared" si="119"/>
        <v>44459</v>
      </c>
      <c r="L673" s="56">
        <f t="shared" si="120"/>
        <v>44465</v>
      </c>
      <c r="M673" s="59" t="str">
        <f t="shared" si="121"/>
        <v>20/09/21 @ 
26/09/21</v>
      </c>
    </row>
    <row r="674" spans="2:13" ht="24" x14ac:dyDescent="0.25">
      <c r="B674" s="55">
        <f t="shared" si="124"/>
        <v>672</v>
      </c>
      <c r="C674" s="56">
        <f t="shared" si="124"/>
        <v>44466</v>
      </c>
      <c r="D674" s="57">
        <f t="shared" si="118"/>
        <v>44466</v>
      </c>
      <c r="E674" s="58">
        <f t="shared" si="125"/>
        <v>97</v>
      </c>
      <c r="F674" s="58">
        <f t="shared" si="125"/>
        <v>40</v>
      </c>
      <c r="G674" s="8">
        <v>202110</v>
      </c>
      <c r="H674" s="8" t="s">
        <v>7023</v>
      </c>
      <c r="I674" s="8">
        <v>202110</v>
      </c>
      <c r="J674" s="8" t="s">
        <v>7023</v>
      </c>
      <c r="K674" s="56">
        <f t="shared" si="119"/>
        <v>44466</v>
      </c>
      <c r="L674" s="56">
        <f t="shared" si="120"/>
        <v>44472</v>
      </c>
      <c r="M674" s="59" t="str">
        <f t="shared" si="121"/>
        <v>27/09/21 @ 
03/10/21</v>
      </c>
    </row>
    <row r="675" spans="2:13" ht="24" x14ac:dyDescent="0.25">
      <c r="B675" s="55">
        <f t="shared" si="124"/>
        <v>673</v>
      </c>
      <c r="C675" s="56">
        <f t="shared" si="124"/>
        <v>44467</v>
      </c>
      <c r="D675" s="57">
        <f t="shared" si="118"/>
        <v>44467</v>
      </c>
      <c r="E675" s="58">
        <f t="shared" si="125"/>
        <v>97</v>
      </c>
      <c r="F675" s="58">
        <f t="shared" si="125"/>
        <v>40</v>
      </c>
      <c r="G675" s="8">
        <v>202110</v>
      </c>
      <c r="H675" s="8" t="s">
        <v>7023</v>
      </c>
      <c r="I675" s="8">
        <v>202110</v>
      </c>
      <c r="J675" s="8" t="s">
        <v>7023</v>
      </c>
      <c r="K675" s="56">
        <f t="shared" si="119"/>
        <v>44466</v>
      </c>
      <c r="L675" s="56">
        <f t="shared" si="120"/>
        <v>44472</v>
      </c>
      <c r="M675" s="59" t="str">
        <f t="shared" si="121"/>
        <v>27/09/21 @ 
03/10/21</v>
      </c>
    </row>
    <row r="676" spans="2:13" ht="24" x14ac:dyDescent="0.25">
      <c r="B676" s="55">
        <f t="shared" si="124"/>
        <v>674</v>
      </c>
      <c r="C676" s="56">
        <f t="shared" si="124"/>
        <v>44468</v>
      </c>
      <c r="D676" s="57">
        <f t="shared" si="118"/>
        <v>44468</v>
      </c>
      <c r="E676" s="58">
        <f t="shared" si="125"/>
        <v>97</v>
      </c>
      <c r="F676" s="58">
        <f t="shared" si="125"/>
        <v>40</v>
      </c>
      <c r="G676" s="8">
        <v>202110</v>
      </c>
      <c r="H676" s="8" t="s">
        <v>7023</v>
      </c>
      <c r="I676" s="8">
        <v>202110</v>
      </c>
      <c r="J676" s="8" t="s">
        <v>7023</v>
      </c>
      <c r="K676" s="56">
        <f t="shared" si="119"/>
        <v>44466</v>
      </c>
      <c r="L676" s="56">
        <f t="shared" si="120"/>
        <v>44472</v>
      </c>
      <c r="M676" s="59" t="str">
        <f t="shared" si="121"/>
        <v>27/09/21 @ 
03/10/21</v>
      </c>
    </row>
    <row r="677" spans="2:13" ht="24" x14ac:dyDescent="0.25">
      <c r="B677" s="55">
        <f t="shared" ref="B677:C692" si="126">+B676+1</f>
        <v>675</v>
      </c>
      <c r="C677" s="56">
        <f t="shared" si="126"/>
        <v>44469</v>
      </c>
      <c r="D677" s="57">
        <f t="shared" si="118"/>
        <v>44469</v>
      </c>
      <c r="E677" s="58">
        <f t="shared" si="125"/>
        <v>97</v>
      </c>
      <c r="F677" s="58">
        <f t="shared" si="125"/>
        <v>40</v>
      </c>
      <c r="G677" s="8">
        <v>202110</v>
      </c>
      <c r="H677" s="8" t="s">
        <v>7023</v>
      </c>
      <c r="I677" s="8">
        <v>202110</v>
      </c>
      <c r="J677" s="8" t="s">
        <v>7023</v>
      </c>
      <c r="K677" s="56">
        <f t="shared" si="119"/>
        <v>44466</v>
      </c>
      <c r="L677" s="56">
        <f t="shared" si="120"/>
        <v>44472</v>
      </c>
      <c r="M677" s="59" t="str">
        <f t="shared" si="121"/>
        <v>27/09/21 @ 
03/10/21</v>
      </c>
    </row>
    <row r="678" spans="2:13" ht="24" x14ac:dyDescent="0.25">
      <c r="B678" s="55">
        <f t="shared" si="126"/>
        <v>676</v>
      </c>
      <c r="C678" s="56">
        <f t="shared" si="126"/>
        <v>44470</v>
      </c>
      <c r="D678" s="57">
        <f t="shared" si="118"/>
        <v>44470</v>
      </c>
      <c r="E678" s="58">
        <f t="shared" si="125"/>
        <v>97</v>
      </c>
      <c r="F678" s="58">
        <f t="shared" si="125"/>
        <v>40</v>
      </c>
      <c r="G678" s="8">
        <v>202110</v>
      </c>
      <c r="H678" s="8" t="s">
        <v>7023</v>
      </c>
      <c r="I678" s="8">
        <v>202110</v>
      </c>
      <c r="J678" s="8" t="s">
        <v>7023</v>
      </c>
      <c r="K678" s="56">
        <f t="shared" si="119"/>
        <v>44466</v>
      </c>
      <c r="L678" s="56">
        <f t="shared" si="120"/>
        <v>44472</v>
      </c>
      <c r="M678" s="59" t="str">
        <f t="shared" si="121"/>
        <v>27/09/21 @ 
03/10/21</v>
      </c>
    </row>
    <row r="679" spans="2:13" ht="24" x14ac:dyDescent="0.25">
      <c r="B679" s="55">
        <f t="shared" si="126"/>
        <v>677</v>
      </c>
      <c r="C679" s="56">
        <f t="shared" si="126"/>
        <v>44471</v>
      </c>
      <c r="D679" s="57">
        <f t="shared" si="118"/>
        <v>44471</v>
      </c>
      <c r="E679" s="58">
        <f t="shared" si="125"/>
        <v>97</v>
      </c>
      <c r="F679" s="58">
        <f t="shared" si="125"/>
        <v>40</v>
      </c>
      <c r="G679" s="8">
        <v>202110</v>
      </c>
      <c r="H679" s="8" t="s">
        <v>7023</v>
      </c>
      <c r="I679" s="8">
        <v>202110</v>
      </c>
      <c r="J679" s="8" t="s">
        <v>7023</v>
      </c>
      <c r="K679" s="56">
        <f t="shared" si="119"/>
        <v>44466</v>
      </c>
      <c r="L679" s="56">
        <f t="shared" si="120"/>
        <v>44472</v>
      </c>
      <c r="M679" s="59" t="str">
        <f t="shared" si="121"/>
        <v>27/09/21 @ 
03/10/21</v>
      </c>
    </row>
    <row r="680" spans="2:13" ht="24" x14ac:dyDescent="0.25">
      <c r="B680" s="55">
        <f t="shared" si="126"/>
        <v>678</v>
      </c>
      <c r="C680" s="56">
        <f t="shared" si="126"/>
        <v>44472</v>
      </c>
      <c r="D680" s="57">
        <f t="shared" si="118"/>
        <v>44472</v>
      </c>
      <c r="E680" s="58">
        <f t="shared" si="125"/>
        <v>97</v>
      </c>
      <c r="F680" s="58">
        <f t="shared" si="125"/>
        <v>40</v>
      </c>
      <c r="G680" s="8">
        <v>202110</v>
      </c>
      <c r="H680" s="8" t="s">
        <v>7023</v>
      </c>
      <c r="I680" s="8">
        <v>202110</v>
      </c>
      <c r="J680" s="8" t="s">
        <v>7023</v>
      </c>
      <c r="K680" s="56">
        <f t="shared" si="119"/>
        <v>44466</v>
      </c>
      <c r="L680" s="56">
        <f t="shared" si="120"/>
        <v>44472</v>
      </c>
      <c r="M680" s="59" t="str">
        <f t="shared" si="121"/>
        <v>27/09/21 @ 
03/10/21</v>
      </c>
    </row>
    <row r="681" spans="2:13" ht="24" x14ac:dyDescent="0.25">
      <c r="B681" s="55">
        <f t="shared" si="126"/>
        <v>679</v>
      </c>
      <c r="C681" s="56">
        <f t="shared" si="126"/>
        <v>44473</v>
      </c>
      <c r="D681" s="57">
        <f t="shared" si="118"/>
        <v>44473</v>
      </c>
      <c r="E681" s="58">
        <f t="shared" si="125"/>
        <v>98</v>
      </c>
      <c r="F681" s="58">
        <f t="shared" si="125"/>
        <v>41</v>
      </c>
      <c r="G681" s="8">
        <v>202110</v>
      </c>
      <c r="H681" s="8" t="s">
        <v>7023</v>
      </c>
      <c r="I681" s="8">
        <v>202110</v>
      </c>
      <c r="J681" s="8" t="s">
        <v>7023</v>
      </c>
      <c r="K681" s="56">
        <f t="shared" si="119"/>
        <v>44473</v>
      </c>
      <c r="L681" s="56">
        <f t="shared" si="120"/>
        <v>44479</v>
      </c>
      <c r="M681" s="59" t="str">
        <f t="shared" si="121"/>
        <v>04/10/21 @ 
10/10/21</v>
      </c>
    </row>
    <row r="682" spans="2:13" ht="24" x14ac:dyDescent="0.25">
      <c r="B682" s="55">
        <f t="shared" si="126"/>
        <v>680</v>
      </c>
      <c r="C682" s="56">
        <f t="shared" si="126"/>
        <v>44474</v>
      </c>
      <c r="D682" s="57">
        <f t="shared" si="118"/>
        <v>44474</v>
      </c>
      <c r="E682" s="58">
        <f t="shared" ref="E682:F697" si="127">+E675+1</f>
        <v>98</v>
      </c>
      <c r="F682" s="58">
        <f t="shared" si="127"/>
        <v>41</v>
      </c>
      <c r="G682" s="8">
        <v>202110</v>
      </c>
      <c r="H682" s="8" t="s">
        <v>7023</v>
      </c>
      <c r="I682" s="8">
        <v>202110</v>
      </c>
      <c r="J682" s="8" t="s">
        <v>7023</v>
      </c>
      <c r="K682" s="56">
        <f t="shared" si="119"/>
        <v>44473</v>
      </c>
      <c r="L682" s="56">
        <f t="shared" si="120"/>
        <v>44479</v>
      </c>
      <c r="M682" s="59" t="str">
        <f t="shared" si="121"/>
        <v>04/10/21 @ 
10/10/21</v>
      </c>
    </row>
    <row r="683" spans="2:13" ht="24" x14ac:dyDescent="0.25">
      <c r="B683" s="55">
        <f t="shared" si="126"/>
        <v>681</v>
      </c>
      <c r="C683" s="56">
        <f t="shared" si="126"/>
        <v>44475</v>
      </c>
      <c r="D683" s="57">
        <f t="shared" si="118"/>
        <v>44475</v>
      </c>
      <c r="E683" s="58">
        <f t="shared" si="127"/>
        <v>98</v>
      </c>
      <c r="F683" s="58">
        <f t="shared" si="127"/>
        <v>41</v>
      </c>
      <c r="G683" s="8">
        <v>202110</v>
      </c>
      <c r="H683" s="8" t="s">
        <v>7023</v>
      </c>
      <c r="I683" s="8">
        <v>202110</v>
      </c>
      <c r="J683" s="8" t="s">
        <v>7023</v>
      </c>
      <c r="K683" s="56">
        <f t="shared" si="119"/>
        <v>44473</v>
      </c>
      <c r="L683" s="56">
        <f t="shared" si="120"/>
        <v>44479</v>
      </c>
      <c r="M683" s="59" t="str">
        <f t="shared" si="121"/>
        <v>04/10/21 @ 
10/10/21</v>
      </c>
    </row>
    <row r="684" spans="2:13" ht="24" x14ac:dyDescent="0.25">
      <c r="B684" s="55">
        <f t="shared" si="126"/>
        <v>682</v>
      </c>
      <c r="C684" s="56">
        <f t="shared" si="126"/>
        <v>44476</v>
      </c>
      <c r="D684" s="57">
        <f t="shared" si="118"/>
        <v>44476</v>
      </c>
      <c r="E684" s="58">
        <f t="shared" si="127"/>
        <v>98</v>
      </c>
      <c r="F684" s="58">
        <f t="shared" si="127"/>
        <v>41</v>
      </c>
      <c r="G684" s="8">
        <v>202110</v>
      </c>
      <c r="H684" s="8" t="s">
        <v>7023</v>
      </c>
      <c r="I684" s="8">
        <v>202110</v>
      </c>
      <c r="J684" s="8" t="s">
        <v>7023</v>
      </c>
      <c r="K684" s="56">
        <f t="shared" si="119"/>
        <v>44473</v>
      </c>
      <c r="L684" s="56">
        <f t="shared" si="120"/>
        <v>44479</v>
      </c>
      <c r="M684" s="59" t="str">
        <f t="shared" si="121"/>
        <v>04/10/21 @ 
10/10/21</v>
      </c>
    </row>
    <row r="685" spans="2:13" ht="24" x14ac:dyDescent="0.25">
      <c r="B685" s="55">
        <f t="shared" si="126"/>
        <v>683</v>
      </c>
      <c r="C685" s="56">
        <f t="shared" si="126"/>
        <v>44477</v>
      </c>
      <c r="D685" s="57">
        <f t="shared" si="118"/>
        <v>44477</v>
      </c>
      <c r="E685" s="58">
        <f t="shared" si="127"/>
        <v>98</v>
      </c>
      <c r="F685" s="58">
        <f t="shared" si="127"/>
        <v>41</v>
      </c>
      <c r="G685" s="8">
        <v>202110</v>
      </c>
      <c r="H685" s="8" t="s">
        <v>7023</v>
      </c>
      <c r="I685" s="8">
        <v>202110</v>
      </c>
      <c r="J685" s="8" t="s">
        <v>7023</v>
      </c>
      <c r="K685" s="56">
        <f t="shared" si="119"/>
        <v>44473</v>
      </c>
      <c r="L685" s="56">
        <f t="shared" si="120"/>
        <v>44479</v>
      </c>
      <c r="M685" s="59" t="str">
        <f t="shared" si="121"/>
        <v>04/10/21 @ 
10/10/21</v>
      </c>
    </row>
    <row r="686" spans="2:13" ht="24" x14ac:dyDescent="0.25">
      <c r="B686" s="55">
        <f t="shared" si="126"/>
        <v>684</v>
      </c>
      <c r="C686" s="56">
        <f t="shared" si="126"/>
        <v>44478</v>
      </c>
      <c r="D686" s="57">
        <f t="shared" si="118"/>
        <v>44478</v>
      </c>
      <c r="E686" s="58">
        <f t="shared" si="127"/>
        <v>98</v>
      </c>
      <c r="F686" s="58">
        <f t="shared" si="127"/>
        <v>41</v>
      </c>
      <c r="G686" s="8">
        <v>202110</v>
      </c>
      <c r="H686" s="8" t="s">
        <v>7023</v>
      </c>
      <c r="I686" s="8">
        <v>202110</v>
      </c>
      <c r="J686" s="8" t="s">
        <v>7023</v>
      </c>
      <c r="K686" s="56">
        <f t="shared" si="119"/>
        <v>44473</v>
      </c>
      <c r="L686" s="56">
        <f t="shared" si="120"/>
        <v>44479</v>
      </c>
      <c r="M686" s="59" t="str">
        <f t="shared" si="121"/>
        <v>04/10/21 @ 
10/10/21</v>
      </c>
    </row>
    <row r="687" spans="2:13" ht="24" x14ac:dyDescent="0.25">
      <c r="B687" s="55">
        <f t="shared" si="126"/>
        <v>685</v>
      </c>
      <c r="C687" s="56">
        <f t="shared" si="126"/>
        <v>44479</v>
      </c>
      <c r="D687" s="57">
        <f t="shared" si="118"/>
        <v>44479</v>
      </c>
      <c r="E687" s="58">
        <f t="shared" si="127"/>
        <v>98</v>
      </c>
      <c r="F687" s="58">
        <f t="shared" si="127"/>
        <v>41</v>
      </c>
      <c r="G687" s="8">
        <v>202110</v>
      </c>
      <c r="H687" s="8" t="s">
        <v>7023</v>
      </c>
      <c r="I687" s="8">
        <v>202110</v>
      </c>
      <c r="J687" s="8" t="s">
        <v>7023</v>
      </c>
      <c r="K687" s="56">
        <f t="shared" si="119"/>
        <v>44473</v>
      </c>
      <c r="L687" s="56">
        <f t="shared" si="120"/>
        <v>44479</v>
      </c>
      <c r="M687" s="59" t="str">
        <f t="shared" si="121"/>
        <v>04/10/21 @ 
10/10/21</v>
      </c>
    </row>
    <row r="688" spans="2:13" ht="24" x14ac:dyDescent="0.25">
      <c r="B688" s="55">
        <f t="shared" si="126"/>
        <v>686</v>
      </c>
      <c r="C688" s="56">
        <f t="shared" si="126"/>
        <v>44480</v>
      </c>
      <c r="D688" s="57">
        <f t="shared" si="118"/>
        <v>44480</v>
      </c>
      <c r="E688" s="58">
        <f t="shared" si="127"/>
        <v>99</v>
      </c>
      <c r="F688" s="58">
        <f t="shared" si="127"/>
        <v>42</v>
      </c>
      <c r="G688" s="8">
        <v>202110</v>
      </c>
      <c r="H688" s="8" t="s">
        <v>7023</v>
      </c>
      <c r="I688" s="8">
        <v>202110</v>
      </c>
      <c r="J688" s="8" t="s">
        <v>7023</v>
      </c>
      <c r="K688" s="56">
        <f t="shared" si="119"/>
        <v>44480</v>
      </c>
      <c r="L688" s="56">
        <f t="shared" si="120"/>
        <v>44486</v>
      </c>
      <c r="M688" s="59" t="str">
        <f t="shared" si="121"/>
        <v>11/10/21 @ 
17/10/21</v>
      </c>
    </row>
    <row r="689" spans="2:13" ht="24" x14ac:dyDescent="0.25">
      <c r="B689" s="55">
        <f t="shared" si="126"/>
        <v>687</v>
      </c>
      <c r="C689" s="56">
        <f t="shared" si="126"/>
        <v>44481</v>
      </c>
      <c r="D689" s="57">
        <f t="shared" si="118"/>
        <v>44481</v>
      </c>
      <c r="E689" s="58">
        <f t="shared" si="127"/>
        <v>99</v>
      </c>
      <c r="F689" s="58">
        <f t="shared" si="127"/>
        <v>42</v>
      </c>
      <c r="G689" s="8">
        <v>202110</v>
      </c>
      <c r="H689" s="8" t="s">
        <v>7023</v>
      </c>
      <c r="I689" s="8">
        <v>202110</v>
      </c>
      <c r="J689" s="8" t="s">
        <v>7023</v>
      </c>
      <c r="K689" s="56">
        <f t="shared" si="119"/>
        <v>44480</v>
      </c>
      <c r="L689" s="56">
        <f t="shared" si="120"/>
        <v>44486</v>
      </c>
      <c r="M689" s="59" t="str">
        <f t="shared" si="121"/>
        <v>11/10/21 @ 
17/10/21</v>
      </c>
    </row>
    <row r="690" spans="2:13" ht="24" x14ac:dyDescent="0.25">
      <c r="B690" s="55">
        <f t="shared" si="126"/>
        <v>688</v>
      </c>
      <c r="C690" s="56">
        <f t="shared" si="126"/>
        <v>44482</v>
      </c>
      <c r="D690" s="57">
        <f t="shared" si="118"/>
        <v>44482</v>
      </c>
      <c r="E690" s="58">
        <f t="shared" si="127"/>
        <v>99</v>
      </c>
      <c r="F690" s="58">
        <f t="shared" si="127"/>
        <v>42</v>
      </c>
      <c r="G690" s="8">
        <v>202110</v>
      </c>
      <c r="H690" s="8" t="s">
        <v>7023</v>
      </c>
      <c r="I690" s="8">
        <v>202110</v>
      </c>
      <c r="J690" s="8" t="s">
        <v>7023</v>
      </c>
      <c r="K690" s="56">
        <f t="shared" si="119"/>
        <v>44480</v>
      </c>
      <c r="L690" s="56">
        <f t="shared" si="120"/>
        <v>44486</v>
      </c>
      <c r="M690" s="59" t="str">
        <f t="shared" si="121"/>
        <v>11/10/21 @ 
17/10/21</v>
      </c>
    </row>
    <row r="691" spans="2:13" ht="24" x14ac:dyDescent="0.25">
      <c r="B691" s="55">
        <f t="shared" si="126"/>
        <v>689</v>
      </c>
      <c r="C691" s="56">
        <f t="shared" si="126"/>
        <v>44483</v>
      </c>
      <c r="D691" s="57">
        <f t="shared" si="118"/>
        <v>44483</v>
      </c>
      <c r="E691" s="58">
        <f t="shared" si="127"/>
        <v>99</v>
      </c>
      <c r="F691" s="58">
        <f t="shared" si="127"/>
        <v>42</v>
      </c>
      <c r="G691" s="8">
        <v>202110</v>
      </c>
      <c r="H691" s="8" t="s">
        <v>7023</v>
      </c>
      <c r="I691" s="8">
        <v>202110</v>
      </c>
      <c r="J691" s="8" t="s">
        <v>7023</v>
      </c>
      <c r="K691" s="56">
        <f t="shared" si="119"/>
        <v>44480</v>
      </c>
      <c r="L691" s="56">
        <f t="shared" si="120"/>
        <v>44486</v>
      </c>
      <c r="M691" s="59" t="str">
        <f t="shared" si="121"/>
        <v>11/10/21 @ 
17/10/21</v>
      </c>
    </row>
    <row r="692" spans="2:13" ht="24" x14ac:dyDescent="0.25">
      <c r="B692" s="55">
        <f t="shared" si="126"/>
        <v>690</v>
      </c>
      <c r="C692" s="56">
        <f t="shared" si="126"/>
        <v>44484</v>
      </c>
      <c r="D692" s="57">
        <f t="shared" si="118"/>
        <v>44484</v>
      </c>
      <c r="E692" s="58">
        <f t="shared" si="127"/>
        <v>99</v>
      </c>
      <c r="F692" s="58">
        <f t="shared" si="127"/>
        <v>42</v>
      </c>
      <c r="G692" s="8">
        <v>202110</v>
      </c>
      <c r="H692" s="8" t="s">
        <v>7023</v>
      </c>
      <c r="I692" s="8">
        <v>202110</v>
      </c>
      <c r="J692" s="8" t="s">
        <v>7023</v>
      </c>
      <c r="K692" s="56">
        <f t="shared" si="119"/>
        <v>44480</v>
      </c>
      <c r="L692" s="56">
        <f t="shared" si="120"/>
        <v>44486</v>
      </c>
      <c r="M692" s="59" t="str">
        <f t="shared" si="121"/>
        <v>11/10/21 @ 
17/10/21</v>
      </c>
    </row>
    <row r="693" spans="2:13" ht="24" x14ac:dyDescent="0.25">
      <c r="B693" s="55">
        <f t="shared" ref="B693:C708" si="128">+B692+1</f>
        <v>691</v>
      </c>
      <c r="C693" s="56">
        <f t="shared" si="128"/>
        <v>44485</v>
      </c>
      <c r="D693" s="57">
        <f t="shared" si="118"/>
        <v>44485</v>
      </c>
      <c r="E693" s="58">
        <f t="shared" si="127"/>
        <v>99</v>
      </c>
      <c r="F693" s="58">
        <f t="shared" si="127"/>
        <v>42</v>
      </c>
      <c r="G693" s="8">
        <v>202110</v>
      </c>
      <c r="H693" s="8" t="s">
        <v>7023</v>
      </c>
      <c r="I693" s="8">
        <v>202110</v>
      </c>
      <c r="J693" s="8" t="s">
        <v>7023</v>
      </c>
      <c r="K693" s="56">
        <f t="shared" si="119"/>
        <v>44480</v>
      </c>
      <c r="L693" s="56">
        <f t="shared" si="120"/>
        <v>44486</v>
      </c>
      <c r="M693" s="59" t="str">
        <f t="shared" si="121"/>
        <v>11/10/21 @ 
17/10/21</v>
      </c>
    </row>
    <row r="694" spans="2:13" ht="24" x14ac:dyDescent="0.25">
      <c r="B694" s="55">
        <f t="shared" si="128"/>
        <v>692</v>
      </c>
      <c r="C694" s="56">
        <f t="shared" si="128"/>
        <v>44486</v>
      </c>
      <c r="D694" s="57">
        <f t="shared" si="118"/>
        <v>44486</v>
      </c>
      <c r="E694" s="58">
        <f t="shared" si="127"/>
        <v>99</v>
      </c>
      <c r="F694" s="58">
        <f t="shared" si="127"/>
        <v>42</v>
      </c>
      <c r="G694" s="8">
        <v>202110</v>
      </c>
      <c r="H694" s="8" t="s">
        <v>7023</v>
      </c>
      <c r="I694" s="8">
        <v>202110</v>
      </c>
      <c r="J694" s="8" t="s">
        <v>7023</v>
      </c>
      <c r="K694" s="56">
        <f t="shared" si="119"/>
        <v>44480</v>
      </c>
      <c r="L694" s="56">
        <f t="shared" si="120"/>
        <v>44486</v>
      </c>
      <c r="M694" s="59" t="str">
        <f t="shared" si="121"/>
        <v>11/10/21 @ 
17/10/21</v>
      </c>
    </row>
    <row r="695" spans="2:13" ht="24" x14ac:dyDescent="0.25">
      <c r="B695" s="55">
        <f t="shared" si="128"/>
        <v>693</v>
      </c>
      <c r="C695" s="56">
        <f t="shared" si="128"/>
        <v>44487</v>
      </c>
      <c r="D695" s="57">
        <f t="shared" si="118"/>
        <v>44487</v>
      </c>
      <c r="E695" s="58">
        <f t="shared" si="127"/>
        <v>100</v>
      </c>
      <c r="F695" s="58">
        <f t="shared" si="127"/>
        <v>43</v>
      </c>
      <c r="G695" s="8">
        <v>202110</v>
      </c>
      <c r="H695" s="8" t="s">
        <v>7023</v>
      </c>
      <c r="I695" s="8">
        <v>202110</v>
      </c>
      <c r="J695" s="8" t="s">
        <v>7023</v>
      </c>
      <c r="K695" s="56">
        <f t="shared" si="119"/>
        <v>44487</v>
      </c>
      <c r="L695" s="56">
        <f t="shared" si="120"/>
        <v>44493</v>
      </c>
      <c r="M695" s="59" t="str">
        <f t="shared" si="121"/>
        <v>18/10/21 @ 
24/10/21</v>
      </c>
    </row>
    <row r="696" spans="2:13" ht="24" x14ac:dyDescent="0.25">
      <c r="B696" s="55">
        <f t="shared" si="128"/>
        <v>694</v>
      </c>
      <c r="C696" s="56">
        <f t="shared" si="128"/>
        <v>44488</v>
      </c>
      <c r="D696" s="57">
        <f t="shared" si="118"/>
        <v>44488</v>
      </c>
      <c r="E696" s="58">
        <f t="shared" si="127"/>
        <v>100</v>
      </c>
      <c r="F696" s="58">
        <f t="shared" si="127"/>
        <v>43</v>
      </c>
      <c r="G696" s="8">
        <v>202110</v>
      </c>
      <c r="H696" s="8" t="s">
        <v>7023</v>
      </c>
      <c r="I696" s="8">
        <v>202110</v>
      </c>
      <c r="J696" s="8" t="s">
        <v>7023</v>
      </c>
      <c r="K696" s="56">
        <f t="shared" si="119"/>
        <v>44487</v>
      </c>
      <c r="L696" s="56">
        <f t="shared" si="120"/>
        <v>44493</v>
      </c>
      <c r="M696" s="59" t="str">
        <f t="shared" si="121"/>
        <v>18/10/21 @ 
24/10/21</v>
      </c>
    </row>
    <row r="697" spans="2:13" ht="24" x14ac:dyDescent="0.25">
      <c r="B697" s="55">
        <f t="shared" si="128"/>
        <v>695</v>
      </c>
      <c r="C697" s="56">
        <f t="shared" si="128"/>
        <v>44489</v>
      </c>
      <c r="D697" s="57">
        <f t="shared" si="118"/>
        <v>44489</v>
      </c>
      <c r="E697" s="58">
        <f t="shared" si="127"/>
        <v>100</v>
      </c>
      <c r="F697" s="58">
        <f t="shared" si="127"/>
        <v>43</v>
      </c>
      <c r="G697" s="8">
        <v>202110</v>
      </c>
      <c r="H697" s="8" t="s">
        <v>7023</v>
      </c>
      <c r="I697" s="8">
        <v>202110</v>
      </c>
      <c r="J697" s="8" t="s">
        <v>7023</v>
      </c>
      <c r="K697" s="56">
        <f t="shared" si="119"/>
        <v>44487</v>
      </c>
      <c r="L697" s="56">
        <f t="shared" si="120"/>
        <v>44493</v>
      </c>
      <c r="M697" s="59" t="str">
        <f t="shared" si="121"/>
        <v>18/10/21 @ 
24/10/21</v>
      </c>
    </row>
    <row r="698" spans="2:13" ht="24" x14ac:dyDescent="0.25">
      <c r="B698" s="55">
        <f t="shared" si="128"/>
        <v>696</v>
      </c>
      <c r="C698" s="56">
        <f t="shared" si="128"/>
        <v>44490</v>
      </c>
      <c r="D698" s="57">
        <f t="shared" si="118"/>
        <v>44490</v>
      </c>
      <c r="E698" s="58">
        <f t="shared" ref="E698:F713" si="129">+E691+1</f>
        <v>100</v>
      </c>
      <c r="F698" s="58">
        <f t="shared" si="129"/>
        <v>43</v>
      </c>
      <c r="G698" s="8">
        <v>202110</v>
      </c>
      <c r="H698" s="8" t="s">
        <v>7023</v>
      </c>
      <c r="I698" s="8">
        <v>202111</v>
      </c>
      <c r="J698" s="8" t="s">
        <v>7024</v>
      </c>
      <c r="K698" s="56">
        <f t="shared" si="119"/>
        <v>44487</v>
      </c>
      <c r="L698" s="56">
        <f t="shared" si="120"/>
        <v>44493</v>
      </c>
      <c r="M698" s="59" t="str">
        <f t="shared" si="121"/>
        <v>18/10/21 @ 
24/10/21</v>
      </c>
    </row>
    <row r="699" spans="2:13" ht="24" x14ac:dyDescent="0.25">
      <c r="B699" s="55">
        <f t="shared" si="128"/>
        <v>697</v>
      </c>
      <c r="C699" s="56">
        <f t="shared" si="128"/>
        <v>44491</v>
      </c>
      <c r="D699" s="57">
        <f t="shared" si="118"/>
        <v>44491</v>
      </c>
      <c r="E699" s="58">
        <f t="shared" si="129"/>
        <v>100</v>
      </c>
      <c r="F699" s="58">
        <f t="shared" si="129"/>
        <v>43</v>
      </c>
      <c r="G699" s="8">
        <v>202110</v>
      </c>
      <c r="H699" s="8" t="s">
        <v>7023</v>
      </c>
      <c r="I699" s="8">
        <v>202111</v>
      </c>
      <c r="J699" s="8" t="s">
        <v>7024</v>
      </c>
      <c r="K699" s="56">
        <f t="shared" si="119"/>
        <v>44487</v>
      </c>
      <c r="L699" s="56">
        <f t="shared" si="120"/>
        <v>44493</v>
      </c>
      <c r="M699" s="59" t="str">
        <f t="shared" si="121"/>
        <v>18/10/21 @ 
24/10/21</v>
      </c>
    </row>
    <row r="700" spans="2:13" ht="24" x14ac:dyDescent="0.25">
      <c r="B700" s="55">
        <f t="shared" si="128"/>
        <v>698</v>
      </c>
      <c r="C700" s="56">
        <f t="shared" si="128"/>
        <v>44492</v>
      </c>
      <c r="D700" s="57">
        <f t="shared" si="118"/>
        <v>44492</v>
      </c>
      <c r="E700" s="58">
        <f t="shared" si="129"/>
        <v>100</v>
      </c>
      <c r="F700" s="58">
        <f t="shared" si="129"/>
        <v>43</v>
      </c>
      <c r="G700" s="8">
        <v>202110</v>
      </c>
      <c r="H700" s="8" t="s">
        <v>7023</v>
      </c>
      <c r="I700" s="8">
        <v>202111</v>
      </c>
      <c r="J700" s="8" t="s">
        <v>7024</v>
      </c>
      <c r="K700" s="56">
        <f t="shared" si="119"/>
        <v>44487</v>
      </c>
      <c r="L700" s="56">
        <f t="shared" si="120"/>
        <v>44493</v>
      </c>
      <c r="M700" s="59" t="str">
        <f t="shared" si="121"/>
        <v>18/10/21 @ 
24/10/21</v>
      </c>
    </row>
    <row r="701" spans="2:13" ht="24" x14ac:dyDescent="0.25">
      <c r="B701" s="55">
        <f t="shared" si="128"/>
        <v>699</v>
      </c>
      <c r="C701" s="56">
        <f t="shared" si="128"/>
        <v>44493</v>
      </c>
      <c r="D701" s="57">
        <f t="shared" si="118"/>
        <v>44493</v>
      </c>
      <c r="E701" s="58">
        <f t="shared" si="129"/>
        <v>100</v>
      </c>
      <c r="F701" s="58">
        <f t="shared" si="129"/>
        <v>43</v>
      </c>
      <c r="G701" s="8">
        <v>202110</v>
      </c>
      <c r="H701" s="8" t="s">
        <v>7023</v>
      </c>
      <c r="I701" s="8">
        <v>202111</v>
      </c>
      <c r="J701" s="8" t="s">
        <v>7024</v>
      </c>
      <c r="K701" s="56">
        <f t="shared" si="119"/>
        <v>44487</v>
      </c>
      <c r="L701" s="56">
        <f t="shared" si="120"/>
        <v>44493</v>
      </c>
      <c r="M701" s="59" t="str">
        <f t="shared" si="121"/>
        <v>18/10/21 @ 
24/10/21</v>
      </c>
    </row>
    <row r="702" spans="2:13" ht="24" x14ac:dyDescent="0.25">
      <c r="B702" s="55">
        <f t="shared" si="128"/>
        <v>700</v>
      </c>
      <c r="C702" s="56">
        <f t="shared" si="128"/>
        <v>44494</v>
      </c>
      <c r="D702" s="57">
        <f t="shared" si="118"/>
        <v>44494</v>
      </c>
      <c r="E702" s="58">
        <f t="shared" si="129"/>
        <v>101</v>
      </c>
      <c r="F702" s="58">
        <f t="shared" si="129"/>
        <v>44</v>
      </c>
      <c r="G702" s="8">
        <v>202110</v>
      </c>
      <c r="H702" s="8" t="s">
        <v>7024</v>
      </c>
      <c r="I702" s="8">
        <v>202111</v>
      </c>
      <c r="J702" s="8" t="s">
        <v>7024</v>
      </c>
      <c r="K702" s="56">
        <f t="shared" si="119"/>
        <v>44494</v>
      </c>
      <c r="L702" s="56">
        <f t="shared" si="120"/>
        <v>44500</v>
      </c>
      <c r="M702" s="59" t="str">
        <f t="shared" si="121"/>
        <v>25/10/21 @ 
31/10/21</v>
      </c>
    </row>
    <row r="703" spans="2:13" ht="24" x14ac:dyDescent="0.25">
      <c r="B703" s="55">
        <f t="shared" si="128"/>
        <v>701</v>
      </c>
      <c r="C703" s="56">
        <f t="shared" si="128"/>
        <v>44495</v>
      </c>
      <c r="D703" s="57">
        <f t="shared" si="118"/>
        <v>44495</v>
      </c>
      <c r="E703" s="58">
        <f t="shared" si="129"/>
        <v>101</v>
      </c>
      <c r="F703" s="58">
        <f t="shared" si="129"/>
        <v>44</v>
      </c>
      <c r="G703" s="8">
        <v>202110</v>
      </c>
      <c r="H703" s="8" t="s">
        <v>7024</v>
      </c>
      <c r="I703" s="8">
        <v>202111</v>
      </c>
      <c r="J703" s="8" t="s">
        <v>7024</v>
      </c>
      <c r="K703" s="56">
        <f t="shared" si="119"/>
        <v>44494</v>
      </c>
      <c r="L703" s="56">
        <f t="shared" si="120"/>
        <v>44500</v>
      </c>
      <c r="M703" s="59" t="str">
        <f t="shared" si="121"/>
        <v>25/10/21 @ 
31/10/21</v>
      </c>
    </row>
    <row r="704" spans="2:13" ht="24" x14ac:dyDescent="0.25">
      <c r="B704" s="55">
        <f t="shared" si="128"/>
        <v>702</v>
      </c>
      <c r="C704" s="56">
        <f t="shared" si="128"/>
        <v>44496</v>
      </c>
      <c r="D704" s="57">
        <f t="shared" si="118"/>
        <v>44496</v>
      </c>
      <c r="E704" s="58">
        <f t="shared" si="129"/>
        <v>101</v>
      </c>
      <c r="F704" s="58">
        <f t="shared" si="129"/>
        <v>44</v>
      </c>
      <c r="G704" s="8">
        <v>202110</v>
      </c>
      <c r="H704" s="8" t="s">
        <v>7024</v>
      </c>
      <c r="I704" s="8">
        <v>202111</v>
      </c>
      <c r="J704" s="8" t="s">
        <v>7024</v>
      </c>
      <c r="K704" s="56">
        <f t="shared" si="119"/>
        <v>44494</v>
      </c>
      <c r="L704" s="56">
        <f t="shared" si="120"/>
        <v>44500</v>
      </c>
      <c r="M704" s="59" t="str">
        <f t="shared" si="121"/>
        <v>25/10/21 @ 
31/10/21</v>
      </c>
    </row>
    <row r="705" spans="2:13" ht="24" x14ac:dyDescent="0.25">
      <c r="B705" s="55">
        <f t="shared" si="128"/>
        <v>703</v>
      </c>
      <c r="C705" s="56">
        <f t="shared" si="128"/>
        <v>44497</v>
      </c>
      <c r="D705" s="57">
        <f t="shared" si="118"/>
        <v>44497</v>
      </c>
      <c r="E705" s="58">
        <f t="shared" si="129"/>
        <v>101</v>
      </c>
      <c r="F705" s="58">
        <f t="shared" si="129"/>
        <v>44</v>
      </c>
      <c r="G705" s="8">
        <v>202110</v>
      </c>
      <c r="H705" s="8" t="s">
        <v>7024</v>
      </c>
      <c r="I705" s="8">
        <v>202111</v>
      </c>
      <c r="J705" s="8" t="s">
        <v>7024</v>
      </c>
      <c r="K705" s="56">
        <f t="shared" si="119"/>
        <v>44494</v>
      </c>
      <c r="L705" s="56">
        <f t="shared" si="120"/>
        <v>44500</v>
      </c>
      <c r="M705" s="59" t="str">
        <f t="shared" si="121"/>
        <v>25/10/21 @ 
31/10/21</v>
      </c>
    </row>
    <row r="706" spans="2:13" ht="24" x14ac:dyDescent="0.25">
      <c r="B706" s="55">
        <f t="shared" si="128"/>
        <v>704</v>
      </c>
      <c r="C706" s="56">
        <f t="shared" si="128"/>
        <v>44498</v>
      </c>
      <c r="D706" s="57">
        <f t="shared" si="118"/>
        <v>44498</v>
      </c>
      <c r="E706" s="58">
        <f t="shared" si="129"/>
        <v>101</v>
      </c>
      <c r="F706" s="58">
        <f t="shared" si="129"/>
        <v>44</v>
      </c>
      <c r="G706" s="8">
        <v>202110</v>
      </c>
      <c r="H706" s="8" t="s">
        <v>7024</v>
      </c>
      <c r="I706" s="8">
        <v>202111</v>
      </c>
      <c r="J706" s="8" t="s">
        <v>7024</v>
      </c>
      <c r="K706" s="56">
        <f t="shared" si="119"/>
        <v>44494</v>
      </c>
      <c r="L706" s="56">
        <f t="shared" si="120"/>
        <v>44500</v>
      </c>
      <c r="M706" s="59" t="str">
        <f t="shared" si="121"/>
        <v>25/10/21 @ 
31/10/21</v>
      </c>
    </row>
    <row r="707" spans="2:13" ht="24" x14ac:dyDescent="0.25">
      <c r="B707" s="55">
        <f t="shared" si="128"/>
        <v>705</v>
      </c>
      <c r="C707" s="56">
        <f t="shared" si="128"/>
        <v>44499</v>
      </c>
      <c r="D707" s="57">
        <f t="shared" ref="D707:D770" si="130">+C707</f>
        <v>44499</v>
      </c>
      <c r="E707" s="58">
        <f t="shared" si="129"/>
        <v>101</v>
      </c>
      <c r="F707" s="58">
        <f t="shared" si="129"/>
        <v>44</v>
      </c>
      <c r="G707" s="8">
        <v>202110</v>
      </c>
      <c r="H707" s="8" t="s">
        <v>7024</v>
      </c>
      <c r="I707" s="8">
        <v>202111</v>
      </c>
      <c r="J707" s="8" t="s">
        <v>7024</v>
      </c>
      <c r="K707" s="56">
        <f t="shared" ref="K707:K770" si="131">_xlfn.MINIFS($C$2:$C$890,$E$2:$E$890,E707)</f>
        <v>44494</v>
      </c>
      <c r="L707" s="56">
        <f t="shared" ref="L707:L770" si="132">_xlfn.MAXIFS($C$2:$C$890,$E$2:$E$890,E707)</f>
        <v>44500</v>
      </c>
      <c r="M707" s="59" t="str">
        <f t="shared" ref="M707:M770" si="133">CONCATENATE(TEXT(K707,"DD/MM/YY")," @ ",CHAR(10),TEXT(L707,"DD/MM/YY"))</f>
        <v>25/10/21 @ 
31/10/21</v>
      </c>
    </row>
    <row r="708" spans="2:13" ht="24" x14ac:dyDescent="0.25">
      <c r="B708" s="55">
        <f t="shared" si="128"/>
        <v>706</v>
      </c>
      <c r="C708" s="56">
        <f t="shared" si="128"/>
        <v>44500</v>
      </c>
      <c r="D708" s="57">
        <f t="shared" si="130"/>
        <v>44500</v>
      </c>
      <c r="E708" s="58">
        <f t="shared" si="129"/>
        <v>101</v>
      </c>
      <c r="F708" s="58">
        <f t="shared" si="129"/>
        <v>44</v>
      </c>
      <c r="G708" s="8">
        <v>202110</v>
      </c>
      <c r="H708" s="8" t="s">
        <v>7024</v>
      </c>
      <c r="I708" s="8">
        <v>202111</v>
      </c>
      <c r="J708" s="8" t="s">
        <v>7024</v>
      </c>
      <c r="K708" s="56">
        <f t="shared" si="131"/>
        <v>44494</v>
      </c>
      <c r="L708" s="56">
        <f t="shared" si="132"/>
        <v>44500</v>
      </c>
      <c r="M708" s="59" t="str">
        <f t="shared" si="133"/>
        <v>25/10/21 @ 
31/10/21</v>
      </c>
    </row>
    <row r="709" spans="2:13" ht="24" x14ac:dyDescent="0.25">
      <c r="B709" s="55">
        <f t="shared" ref="B709:C724" si="134">+B708+1</f>
        <v>707</v>
      </c>
      <c r="C709" s="56">
        <f t="shared" si="134"/>
        <v>44501</v>
      </c>
      <c r="D709" s="57">
        <f t="shared" si="130"/>
        <v>44501</v>
      </c>
      <c r="E709" s="58">
        <f t="shared" si="129"/>
        <v>102</v>
      </c>
      <c r="F709" s="58">
        <f t="shared" si="129"/>
        <v>45</v>
      </c>
      <c r="G709" s="8">
        <v>202111</v>
      </c>
      <c r="H709" s="8" t="s">
        <v>7024</v>
      </c>
      <c r="I709" s="8">
        <v>202111</v>
      </c>
      <c r="J709" s="8" t="s">
        <v>7024</v>
      </c>
      <c r="K709" s="56">
        <f t="shared" si="131"/>
        <v>44501</v>
      </c>
      <c r="L709" s="56">
        <f t="shared" si="132"/>
        <v>44507</v>
      </c>
      <c r="M709" s="59" t="str">
        <f t="shared" si="133"/>
        <v>01/11/21 @ 
07/11/21</v>
      </c>
    </row>
    <row r="710" spans="2:13" ht="24" x14ac:dyDescent="0.25">
      <c r="B710" s="55">
        <f t="shared" si="134"/>
        <v>708</v>
      </c>
      <c r="C710" s="56">
        <f t="shared" si="134"/>
        <v>44502</v>
      </c>
      <c r="D710" s="57">
        <f t="shared" si="130"/>
        <v>44502</v>
      </c>
      <c r="E710" s="58">
        <f t="shared" si="129"/>
        <v>102</v>
      </c>
      <c r="F710" s="58">
        <f t="shared" si="129"/>
        <v>45</v>
      </c>
      <c r="G710" s="8">
        <v>202111</v>
      </c>
      <c r="H710" s="8" t="s">
        <v>7024</v>
      </c>
      <c r="I710" s="8">
        <v>202111</v>
      </c>
      <c r="J710" s="8" t="s">
        <v>7024</v>
      </c>
      <c r="K710" s="56">
        <f t="shared" si="131"/>
        <v>44501</v>
      </c>
      <c r="L710" s="56">
        <f t="shared" si="132"/>
        <v>44507</v>
      </c>
      <c r="M710" s="59" t="str">
        <f t="shared" si="133"/>
        <v>01/11/21 @ 
07/11/21</v>
      </c>
    </row>
    <row r="711" spans="2:13" ht="24" x14ac:dyDescent="0.25">
      <c r="B711" s="55">
        <f t="shared" si="134"/>
        <v>709</v>
      </c>
      <c r="C711" s="56">
        <f t="shared" si="134"/>
        <v>44503</v>
      </c>
      <c r="D711" s="57">
        <f t="shared" si="130"/>
        <v>44503</v>
      </c>
      <c r="E711" s="58">
        <f t="shared" si="129"/>
        <v>102</v>
      </c>
      <c r="F711" s="58">
        <f t="shared" si="129"/>
        <v>45</v>
      </c>
      <c r="G711" s="8">
        <v>202111</v>
      </c>
      <c r="H711" s="8" t="s">
        <v>7024</v>
      </c>
      <c r="I711" s="8">
        <v>202111</v>
      </c>
      <c r="J711" s="8" t="s">
        <v>7024</v>
      </c>
      <c r="K711" s="56">
        <f t="shared" si="131"/>
        <v>44501</v>
      </c>
      <c r="L711" s="56">
        <f t="shared" si="132"/>
        <v>44507</v>
      </c>
      <c r="M711" s="59" t="str">
        <f t="shared" si="133"/>
        <v>01/11/21 @ 
07/11/21</v>
      </c>
    </row>
    <row r="712" spans="2:13" ht="24" x14ac:dyDescent="0.25">
      <c r="B712" s="55">
        <f t="shared" si="134"/>
        <v>710</v>
      </c>
      <c r="C712" s="56">
        <f t="shared" si="134"/>
        <v>44504</v>
      </c>
      <c r="D712" s="57">
        <f t="shared" si="130"/>
        <v>44504</v>
      </c>
      <c r="E712" s="58">
        <f t="shared" si="129"/>
        <v>102</v>
      </c>
      <c r="F712" s="58">
        <f t="shared" si="129"/>
        <v>45</v>
      </c>
      <c r="G712" s="8">
        <v>202111</v>
      </c>
      <c r="H712" s="8" t="s">
        <v>7024</v>
      </c>
      <c r="I712" s="8">
        <v>202111</v>
      </c>
      <c r="J712" s="8" t="s">
        <v>7024</v>
      </c>
      <c r="K712" s="56">
        <f t="shared" si="131"/>
        <v>44501</v>
      </c>
      <c r="L712" s="56">
        <f t="shared" si="132"/>
        <v>44507</v>
      </c>
      <c r="M712" s="59" t="str">
        <f t="shared" si="133"/>
        <v>01/11/21 @ 
07/11/21</v>
      </c>
    </row>
    <row r="713" spans="2:13" ht="24" x14ac:dyDescent="0.25">
      <c r="B713" s="55">
        <f t="shared" si="134"/>
        <v>711</v>
      </c>
      <c r="C713" s="56">
        <f t="shared" si="134"/>
        <v>44505</v>
      </c>
      <c r="D713" s="57">
        <f t="shared" si="130"/>
        <v>44505</v>
      </c>
      <c r="E713" s="58">
        <f t="shared" si="129"/>
        <v>102</v>
      </c>
      <c r="F713" s="58">
        <f t="shared" si="129"/>
        <v>45</v>
      </c>
      <c r="G713" s="8">
        <v>202111</v>
      </c>
      <c r="H713" s="8" t="s">
        <v>7024</v>
      </c>
      <c r="I713" s="8">
        <v>202111</v>
      </c>
      <c r="J713" s="8" t="s">
        <v>7024</v>
      </c>
      <c r="K713" s="56">
        <f t="shared" si="131"/>
        <v>44501</v>
      </c>
      <c r="L713" s="56">
        <f t="shared" si="132"/>
        <v>44507</v>
      </c>
      <c r="M713" s="59" t="str">
        <f t="shared" si="133"/>
        <v>01/11/21 @ 
07/11/21</v>
      </c>
    </row>
    <row r="714" spans="2:13" ht="24" x14ac:dyDescent="0.25">
      <c r="B714" s="55">
        <f t="shared" si="134"/>
        <v>712</v>
      </c>
      <c r="C714" s="56">
        <f t="shared" si="134"/>
        <v>44506</v>
      </c>
      <c r="D714" s="57">
        <f t="shared" si="130"/>
        <v>44506</v>
      </c>
      <c r="E714" s="58">
        <f t="shared" ref="E714:F729" si="135">+E707+1</f>
        <v>102</v>
      </c>
      <c r="F714" s="58">
        <f t="shared" si="135"/>
        <v>45</v>
      </c>
      <c r="G714" s="8">
        <v>202111</v>
      </c>
      <c r="H714" s="8" t="s">
        <v>7024</v>
      </c>
      <c r="I714" s="8">
        <v>202111</v>
      </c>
      <c r="J714" s="8" t="s">
        <v>7024</v>
      </c>
      <c r="K714" s="56">
        <f t="shared" si="131"/>
        <v>44501</v>
      </c>
      <c r="L714" s="56">
        <f t="shared" si="132"/>
        <v>44507</v>
      </c>
      <c r="M714" s="59" t="str">
        <f t="shared" si="133"/>
        <v>01/11/21 @ 
07/11/21</v>
      </c>
    </row>
    <row r="715" spans="2:13" ht="24" x14ac:dyDescent="0.25">
      <c r="B715" s="55">
        <f t="shared" si="134"/>
        <v>713</v>
      </c>
      <c r="C715" s="56">
        <f t="shared" si="134"/>
        <v>44507</v>
      </c>
      <c r="D715" s="57">
        <f t="shared" si="130"/>
        <v>44507</v>
      </c>
      <c r="E715" s="58">
        <f t="shared" si="135"/>
        <v>102</v>
      </c>
      <c r="F715" s="58">
        <f t="shared" si="135"/>
        <v>45</v>
      </c>
      <c r="G715" s="8">
        <v>202111</v>
      </c>
      <c r="H715" s="8" t="s">
        <v>7024</v>
      </c>
      <c r="I715" s="8">
        <v>202111</v>
      </c>
      <c r="J715" s="8" t="s">
        <v>7024</v>
      </c>
      <c r="K715" s="56">
        <f t="shared" si="131"/>
        <v>44501</v>
      </c>
      <c r="L715" s="56">
        <f t="shared" si="132"/>
        <v>44507</v>
      </c>
      <c r="M715" s="59" t="str">
        <f t="shared" si="133"/>
        <v>01/11/21 @ 
07/11/21</v>
      </c>
    </row>
    <row r="716" spans="2:13" ht="24" x14ac:dyDescent="0.25">
      <c r="B716" s="55">
        <f t="shared" si="134"/>
        <v>714</v>
      </c>
      <c r="C716" s="56">
        <f t="shared" si="134"/>
        <v>44508</v>
      </c>
      <c r="D716" s="57">
        <f t="shared" si="130"/>
        <v>44508</v>
      </c>
      <c r="E716" s="58">
        <f t="shared" si="135"/>
        <v>103</v>
      </c>
      <c r="F716" s="58">
        <f t="shared" si="135"/>
        <v>46</v>
      </c>
      <c r="G716" s="8">
        <v>202111</v>
      </c>
      <c r="H716" s="8" t="s">
        <v>7024</v>
      </c>
      <c r="I716" s="8">
        <v>202111</v>
      </c>
      <c r="J716" s="8" t="s">
        <v>7024</v>
      </c>
      <c r="K716" s="56">
        <f t="shared" si="131"/>
        <v>44508</v>
      </c>
      <c r="L716" s="56">
        <f t="shared" si="132"/>
        <v>44514</v>
      </c>
      <c r="M716" s="59" t="str">
        <f t="shared" si="133"/>
        <v>08/11/21 @ 
14/11/21</v>
      </c>
    </row>
    <row r="717" spans="2:13" ht="24" x14ac:dyDescent="0.25">
      <c r="B717" s="55">
        <f t="shared" si="134"/>
        <v>715</v>
      </c>
      <c r="C717" s="56">
        <f t="shared" si="134"/>
        <v>44509</v>
      </c>
      <c r="D717" s="57">
        <f t="shared" si="130"/>
        <v>44509</v>
      </c>
      <c r="E717" s="58">
        <f t="shared" si="135"/>
        <v>103</v>
      </c>
      <c r="F717" s="58">
        <f t="shared" si="135"/>
        <v>46</v>
      </c>
      <c r="G717" s="8">
        <v>202111</v>
      </c>
      <c r="H717" s="8" t="s">
        <v>7024</v>
      </c>
      <c r="I717" s="8">
        <v>202111</v>
      </c>
      <c r="J717" s="8" t="s">
        <v>7024</v>
      </c>
      <c r="K717" s="56">
        <f t="shared" si="131"/>
        <v>44508</v>
      </c>
      <c r="L717" s="56">
        <f t="shared" si="132"/>
        <v>44514</v>
      </c>
      <c r="M717" s="59" t="str">
        <f t="shared" si="133"/>
        <v>08/11/21 @ 
14/11/21</v>
      </c>
    </row>
    <row r="718" spans="2:13" ht="24" x14ac:dyDescent="0.25">
      <c r="B718" s="55">
        <f t="shared" si="134"/>
        <v>716</v>
      </c>
      <c r="C718" s="56">
        <f t="shared" si="134"/>
        <v>44510</v>
      </c>
      <c r="D718" s="57">
        <f t="shared" si="130"/>
        <v>44510</v>
      </c>
      <c r="E718" s="58">
        <f t="shared" si="135"/>
        <v>103</v>
      </c>
      <c r="F718" s="58">
        <f t="shared" si="135"/>
        <v>46</v>
      </c>
      <c r="G718" s="8">
        <v>202111</v>
      </c>
      <c r="H718" s="8" t="s">
        <v>7024</v>
      </c>
      <c r="I718" s="8">
        <v>202111</v>
      </c>
      <c r="J718" s="8" t="s">
        <v>7024</v>
      </c>
      <c r="K718" s="56">
        <f t="shared" si="131"/>
        <v>44508</v>
      </c>
      <c r="L718" s="56">
        <f t="shared" si="132"/>
        <v>44514</v>
      </c>
      <c r="M718" s="59" t="str">
        <f t="shared" si="133"/>
        <v>08/11/21 @ 
14/11/21</v>
      </c>
    </row>
    <row r="719" spans="2:13" ht="24" x14ac:dyDescent="0.25">
      <c r="B719" s="55">
        <f t="shared" si="134"/>
        <v>717</v>
      </c>
      <c r="C719" s="56">
        <f t="shared" si="134"/>
        <v>44511</v>
      </c>
      <c r="D719" s="57">
        <f t="shared" si="130"/>
        <v>44511</v>
      </c>
      <c r="E719" s="58">
        <f t="shared" si="135"/>
        <v>103</v>
      </c>
      <c r="F719" s="58">
        <f t="shared" si="135"/>
        <v>46</v>
      </c>
      <c r="G719" s="8">
        <v>202111</v>
      </c>
      <c r="H719" s="8" t="s">
        <v>7024</v>
      </c>
      <c r="I719" s="8">
        <v>202111</v>
      </c>
      <c r="J719" s="8" t="s">
        <v>7024</v>
      </c>
      <c r="K719" s="56">
        <f t="shared" si="131"/>
        <v>44508</v>
      </c>
      <c r="L719" s="56">
        <f t="shared" si="132"/>
        <v>44514</v>
      </c>
      <c r="M719" s="59" t="str">
        <f t="shared" si="133"/>
        <v>08/11/21 @ 
14/11/21</v>
      </c>
    </row>
    <row r="720" spans="2:13" ht="24" x14ac:dyDescent="0.25">
      <c r="B720" s="55">
        <f t="shared" si="134"/>
        <v>718</v>
      </c>
      <c r="C720" s="56">
        <f t="shared" si="134"/>
        <v>44512</v>
      </c>
      <c r="D720" s="57">
        <f t="shared" si="130"/>
        <v>44512</v>
      </c>
      <c r="E720" s="58">
        <f t="shared" si="135"/>
        <v>103</v>
      </c>
      <c r="F720" s="58">
        <f t="shared" si="135"/>
        <v>46</v>
      </c>
      <c r="G720" s="8">
        <v>202111</v>
      </c>
      <c r="H720" s="8" t="s">
        <v>7024</v>
      </c>
      <c r="I720" s="8">
        <v>202111</v>
      </c>
      <c r="J720" s="8" t="s">
        <v>7024</v>
      </c>
      <c r="K720" s="56">
        <f t="shared" si="131"/>
        <v>44508</v>
      </c>
      <c r="L720" s="56">
        <f t="shared" si="132"/>
        <v>44514</v>
      </c>
      <c r="M720" s="59" t="str">
        <f t="shared" si="133"/>
        <v>08/11/21 @ 
14/11/21</v>
      </c>
    </row>
    <row r="721" spans="2:13" ht="24" x14ac:dyDescent="0.25">
      <c r="B721" s="55">
        <f t="shared" si="134"/>
        <v>719</v>
      </c>
      <c r="C721" s="56">
        <f t="shared" si="134"/>
        <v>44513</v>
      </c>
      <c r="D721" s="57">
        <f t="shared" si="130"/>
        <v>44513</v>
      </c>
      <c r="E721" s="58">
        <f t="shared" si="135"/>
        <v>103</v>
      </c>
      <c r="F721" s="58">
        <f t="shared" si="135"/>
        <v>46</v>
      </c>
      <c r="G721" s="8">
        <v>202111</v>
      </c>
      <c r="H721" s="8" t="s">
        <v>7024</v>
      </c>
      <c r="I721" s="8">
        <v>202111</v>
      </c>
      <c r="J721" s="8" t="s">
        <v>7024</v>
      </c>
      <c r="K721" s="56">
        <f t="shared" si="131"/>
        <v>44508</v>
      </c>
      <c r="L721" s="56">
        <f t="shared" si="132"/>
        <v>44514</v>
      </c>
      <c r="M721" s="59" t="str">
        <f t="shared" si="133"/>
        <v>08/11/21 @ 
14/11/21</v>
      </c>
    </row>
    <row r="722" spans="2:13" ht="24" x14ac:dyDescent="0.25">
      <c r="B722" s="55">
        <f t="shared" si="134"/>
        <v>720</v>
      </c>
      <c r="C722" s="56">
        <f t="shared" si="134"/>
        <v>44514</v>
      </c>
      <c r="D722" s="57">
        <f t="shared" si="130"/>
        <v>44514</v>
      </c>
      <c r="E722" s="58">
        <f t="shared" si="135"/>
        <v>103</v>
      </c>
      <c r="F722" s="58">
        <f t="shared" si="135"/>
        <v>46</v>
      </c>
      <c r="G722" s="8">
        <v>202111</v>
      </c>
      <c r="H722" s="8" t="s">
        <v>7024</v>
      </c>
      <c r="I722" s="8">
        <v>202111</v>
      </c>
      <c r="J722" s="8" t="s">
        <v>7024</v>
      </c>
      <c r="K722" s="56">
        <f t="shared" si="131"/>
        <v>44508</v>
      </c>
      <c r="L722" s="56">
        <f t="shared" si="132"/>
        <v>44514</v>
      </c>
      <c r="M722" s="59" t="str">
        <f t="shared" si="133"/>
        <v>08/11/21 @ 
14/11/21</v>
      </c>
    </row>
    <row r="723" spans="2:13" ht="24" x14ac:dyDescent="0.25">
      <c r="B723" s="55">
        <f t="shared" si="134"/>
        <v>721</v>
      </c>
      <c r="C723" s="56">
        <f t="shared" si="134"/>
        <v>44515</v>
      </c>
      <c r="D723" s="57">
        <f t="shared" si="130"/>
        <v>44515</v>
      </c>
      <c r="E723" s="58">
        <f t="shared" si="135"/>
        <v>104</v>
      </c>
      <c r="F723" s="58">
        <f t="shared" si="135"/>
        <v>47</v>
      </c>
      <c r="G723" s="8">
        <v>202111</v>
      </c>
      <c r="H723" s="8" t="s">
        <v>7024</v>
      </c>
      <c r="I723" s="8">
        <v>202111</v>
      </c>
      <c r="J723" s="8" t="s">
        <v>7024</v>
      </c>
      <c r="K723" s="56">
        <f t="shared" si="131"/>
        <v>44515</v>
      </c>
      <c r="L723" s="56">
        <f t="shared" si="132"/>
        <v>44521</v>
      </c>
      <c r="M723" s="59" t="str">
        <f t="shared" si="133"/>
        <v>15/11/21 @ 
21/11/21</v>
      </c>
    </row>
    <row r="724" spans="2:13" ht="24" x14ac:dyDescent="0.25">
      <c r="B724" s="55">
        <f t="shared" si="134"/>
        <v>722</v>
      </c>
      <c r="C724" s="56">
        <f t="shared" si="134"/>
        <v>44516</v>
      </c>
      <c r="D724" s="57">
        <f t="shared" si="130"/>
        <v>44516</v>
      </c>
      <c r="E724" s="58">
        <f t="shared" si="135"/>
        <v>104</v>
      </c>
      <c r="F724" s="58">
        <f t="shared" si="135"/>
        <v>47</v>
      </c>
      <c r="G724" s="8">
        <v>202111</v>
      </c>
      <c r="H724" s="8" t="s">
        <v>7024</v>
      </c>
      <c r="I724" s="8">
        <v>202111</v>
      </c>
      <c r="J724" s="8" t="s">
        <v>7024</v>
      </c>
      <c r="K724" s="56">
        <f t="shared" si="131"/>
        <v>44515</v>
      </c>
      <c r="L724" s="56">
        <f t="shared" si="132"/>
        <v>44521</v>
      </c>
      <c r="M724" s="59" t="str">
        <f t="shared" si="133"/>
        <v>15/11/21 @ 
21/11/21</v>
      </c>
    </row>
    <row r="725" spans="2:13" ht="24" x14ac:dyDescent="0.25">
      <c r="B725" s="55">
        <f t="shared" ref="B725:C740" si="136">+B724+1</f>
        <v>723</v>
      </c>
      <c r="C725" s="56">
        <f t="shared" si="136"/>
        <v>44517</v>
      </c>
      <c r="D725" s="57">
        <f t="shared" si="130"/>
        <v>44517</v>
      </c>
      <c r="E725" s="58">
        <f t="shared" si="135"/>
        <v>104</v>
      </c>
      <c r="F725" s="58">
        <f t="shared" si="135"/>
        <v>47</v>
      </c>
      <c r="G725" s="8">
        <v>202111</v>
      </c>
      <c r="H725" s="8" t="s">
        <v>7024</v>
      </c>
      <c r="I725" s="8">
        <v>202111</v>
      </c>
      <c r="J725" s="8" t="s">
        <v>7024</v>
      </c>
      <c r="K725" s="56">
        <f t="shared" si="131"/>
        <v>44515</v>
      </c>
      <c r="L725" s="56">
        <f t="shared" si="132"/>
        <v>44521</v>
      </c>
      <c r="M725" s="59" t="str">
        <f t="shared" si="133"/>
        <v>15/11/21 @ 
21/11/21</v>
      </c>
    </row>
    <row r="726" spans="2:13" ht="24" x14ac:dyDescent="0.25">
      <c r="B726" s="55">
        <f t="shared" si="136"/>
        <v>724</v>
      </c>
      <c r="C726" s="56">
        <f t="shared" si="136"/>
        <v>44518</v>
      </c>
      <c r="D726" s="57">
        <f t="shared" si="130"/>
        <v>44518</v>
      </c>
      <c r="E726" s="58">
        <f t="shared" si="135"/>
        <v>104</v>
      </c>
      <c r="F726" s="58">
        <f t="shared" si="135"/>
        <v>47</v>
      </c>
      <c r="G726" s="8">
        <v>202111</v>
      </c>
      <c r="H726" s="8" t="s">
        <v>7024</v>
      </c>
      <c r="I726" s="8">
        <v>202111</v>
      </c>
      <c r="J726" s="8" t="s">
        <v>7024</v>
      </c>
      <c r="K726" s="56">
        <f t="shared" si="131"/>
        <v>44515</v>
      </c>
      <c r="L726" s="56">
        <f t="shared" si="132"/>
        <v>44521</v>
      </c>
      <c r="M726" s="59" t="str">
        <f t="shared" si="133"/>
        <v>15/11/21 @ 
21/11/21</v>
      </c>
    </row>
    <row r="727" spans="2:13" ht="24" x14ac:dyDescent="0.25">
      <c r="B727" s="55">
        <f t="shared" si="136"/>
        <v>725</v>
      </c>
      <c r="C727" s="56">
        <f t="shared" si="136"/>
        <v>44519</v>
      </c>
      <c r="D727" s="57">
        <f t="shared" si="130"/>
        <v>44519</v>
      </c>
      <c r="E727" s="58">
        <f t="shared" si="135"/>
        <v>104</v>
      </c>
      <c r="F727" s="58">
        <f t="shared" si="135"/>
        <v>47</v>
      </c>
      <c r="G727" s="8">
        <v>202111</v>
      </c>
      <c r="H727" s="8" t="s">
        <v>7024</v>
      </c>
      <c r="I727" s="8">
        <v>202111</v>
      </c>
      <c r="J727" s="8" t="s">
        <v>7024</v>
      </c>
      <c r="K727" s="56">
        <f t="shared" si="131"/>
        <v>44515</v>
      </c>
      <c r="L727" s="56">
        <f t="shared" si="132"/>
        <v>44521</v>
      </c>
      <c r="M727" s="59" t="str">
        <f t="shared" si="133"/>
        <v>15/11/21 @ 
21/11/21</v>
      </c>
    </row>
    <row r="728" spans="2:13" ht="24" x14ac:dyDescent="0.25">
      <c r="B728" s="55">
        <f t="shared" si="136"/>
        <v>726</v>
      </c>
      <c r="C728" s="56">
        <f t="shared" si="136"/>
        <v>44520</v>
      </c>
      <c r="D728" s="57">
        <f t="shared" si="130"/>
        <v>44520</v>
      </c>
      <c r="E728" s="58">
        <f t="shared" si="135"/>
        <v>104</v>
      </c>
      <c r="F728" s="58">
        <f t="shared" si="135"/>
        <v>47</v>
      </c>
      <c r="G728" s="8">
        <v>202111</v>
      </c>
      <c r="H728" s="8" t="s">
        <v>7024</v>
      </c>
      <c r="I728" s="8">
        <v>202111</v>
      </c>
      <c r="J728" s="8" t="s">
        <v>7024</v>
      </c>
      <c r="K728" s="56">
        <f t="shared" si="131"/>
        <v>44515</v>
      </c>
      <c r="L728" s="56">
        <f t="shared" si="132"/>
        <v>44521</v>
      </c>
      <c r="M728" s="59" t="str">
        <f t="shared" si="133"/>
        <v>15/11/21 @ 
21/11/21</v>
      </c>
    </row>
    <row r="729" spans="2:13" ht="24" x14ac:dyDescent="0.25">
      <c r="B729" s="55">
        <f t="shared" si="136"/>
        <v>727</v>
      </c>
      <c r="C729" s="56">
        <f t="shared" si="136"/>
        <v>44521</v>
      </c>
      <c r="D729" s="57">
        <f t="shared" si="130"/>
        <v>44521</v>
      </c>
      <c r="E729" s="58">
        <f t="shared" si="135"/>
        <v>104</v>
      </c>
      <c r="F729" s="58">
        <f t="shared" si="135"/>
        <v>47</v>
      </c>
      <c r="G729" s="8">
        <v>202111</v>
      </c>
      <c r="H729" s="8" t="s">
        <v>7024</v>
      </c>
      <c r="I729" s="8">
        <v>202112</v>
      </c>
      <c r="J729" s="8" t="s">
        <v>7025</v>
      </c>
      <c r="K729" s="56">
        <f t="shared" si="131"/>
        <v>44515</v>
      </c>
      <c r="L729" s="56">
        <f t="shared" si="132"/>
        <v>44521</v>
      </c>
      <c r="M729" s="59" t="str">
        <f t="shared" si="133"/>
        <v>15/11/21 @ 
21/11/21</v>
      </c>
    </row>
    <row r="730" spans="2:13" ht="24" x14ac:dyDescent="0.25">
      <c r="B730" s="55">
        <f t="shared" si="136"/>
        <v>728</v>
      </c>
      <c r="C730" s="56">
        <f t="shared" si="136"/>
        <v>44522</v>
      </c>
      <c r="D730" s="57">
        <f t="shared" si="130"/>
        <v>44522</v>
      </c>
      <c r="E730" s="58">
        <f t="shared" ref="E730:F745" si="137">+E723+1</f>
        <v>105</v>
      </c>
      <c r="F730" s="58">
        <f t="shared" si="137"/>
        <v>48</v>
      </c>
      <c r="G730" s="8">
        <v>202111</v>
      </c>
      <c r="H730" s="8" t="s">
        <v>7024</v>
      </c>
      <c r="I730" s="8">
        <v>202112</v>
      </c>
      <c r="J730" s="8" t="s">
        <v>7025</v>
      </c>
      <c r="K730" s="56">
        <f t="shared" si="131"/>
        <v>44522</v>
      </c>
      <c r="L730" s="56">
        <f t="shared" si="132"/>
        <v>44528</v>
      </c>
      <c r="M730" s="59" t="str">
        <f t="shared" si="133"/>
        <v>22/11/21 @ 
28/11/21</v>
      </c>
    </row>
    <row r="731" spans="2:13" ht="24" x14ac:dyDescent="0.25">
      <c r="B731" s="55">
        <f t="shared" si="136"/>
        <v>729</v>
      </c>
      <c r="C731" s="56">
        <f t="shared" si="136"/>
        <v>44523</v>
      </c>
      <c r="D731" s="57">
        <f t="shared" si="130"/>
        <v>44523</v>
      </c>
      <c r="E731" s="58">
        <f t="shared" si="137"/>
        <v>105</v>
      </c>
      <c r="F731" s="58">
        <f t="shared" si="137"/>
        <v>48</v>
      </c>
      <c r="G731" s="8">
        <v>202111</v>
      </c>
      <c r="H731" s="8" t="s">
        <v>7024</v>
      </c>
      <c r="I731" s="8">
        <v>202112</v>
      </c>
      <c r="J731" s="8" t="s">
        <v>7025</v>
      </c>
      <c r="K731" s="56">
        <f t="shared" si="131"/>
        <v>44522</v>
      </c>
      <c r="L731" s="56">
        <f t="shared" si="132"/>
        <v>44528</v>
      </c>
      <c r="M731" s="59" t="str">
        <f t="shared" si="133"/>
        <v>22/11/21 @ 
28/11/21</v>
      </c>
    </row>
    <row r="732" spans="2:13" ht="24" x14ac:dyDescent="0.25">
      <c r="B732" s="55">
        <f t="shared" si="136"/>
        <v>730</v>
      </c>
      <c r="C732" s="56">
        <f t="shared" si="136"/>
        <v>44524</v>
      </c>
      <c r="D732" s="57">
        <f t="shared" si="130"/>
        <v>44524</v>
      </c>
      <c r="E732" s="58">
        <f t="shared" si="137"/>
        <v>105</v>
      </c>
      <c r="F732" s="58">
        <f t="shared" si="137"/>
        <v>48</v>
      </c>
      <c r="G732" s="8">
        <v>202111</v>
      </c>
      <c r="H732" s="8" t="s">
        <v>7024</v>
      </c>
      <c r="I732" s="8">
        <v>202112</v>
      </c>
      <c r="J732" s="8" t="s">
        <v>7025</v>
      </c>
      <c r="K732" s="56">
        <f t="shared" si="131"/>
        <v>44522</v>
      </c>
      <c r="L732" s="56">
        <f t="shared" si="132"/>
        <v>44528</v>
      </c>
      <c r="M732" s="59" t="str">
        <f t="shared" si="133"/>
        <v>22/11/21 @ 
28/11/21</v>
      </c>
    </row>
    <row r="733" spans="2:13" ht="24" x14ac:dyDescent="0.25">
      <c r="B733" s="55">
        <f t="shared" si="136"/>
        <v>731</v>
      </c>
      <c r="C733" s="56">
        <f t="shared" si="136"/>
        <v>44525</v>
      </c>
      <c r="D733" s="57">
        <f t="shared" si="130"/>
        <v>44525</v>
      </c>
      <c r="E733" s="58">
        <f t="shared" si="137"/>
        <v>105</v>
      </c>
      <c r="F733" s="58">
        <f t="shared" si="137"/>
        <v>48</v>
      </c>
      <c r="G733" s="8">
        <v>202111</v>
      </c>
      <c r="H733" s="8" t="s">
        <v>7024</v>
      </c>
      <c r="I733" s="8">
        <v>202112</v>
      </c>
      <c r="J733" s="8" t="s">
        <v>7025</v>
      </c>
      <c r="K733" s="56">
        <f t="shared" si="131"/>
        <v>44522</v>
      </c>
      <c r="L733" s="56">
        <f t="shared" si="132"/>
        <v>44528</v>
      </c>
      <c r="M733" s="59" t="str">
        <f t="shared" si="133"/>
        <v>22/11/21 @ 
28/11/21</v>
      </c>
    </row>
    <row r="734" spans="2:13" ht="24" x14ac:dyDescent="0.25">
      <c r="B734" s="55">
        <f t="shared" si="136"/>
        <v>732</v>
      </c>
      <c r="C734" s="56">
        <f t="shared" si="136"/>
        <v>44526</v>
      </c>
      <c r="D734" s="57">
        <f t="shared" si="130"/>
        <v>44526</v>
      </c>
      <c r="E734" s="58">
        <f t="shared" si="137"/>
        <v>105</v>
      </c>
      <c r="F734" s="58">
        <f t="shared" si="137"/>
        <v>48</v>
      </c>
      <c r="G734" s="8">
        <v>202111</v>
      </c>
      <c r="H734" s="8" t="s">
        <v>7024</v>
      </c>
      <c r="I734" s="8">
        <v>202112</v>
      </c>
      <c r="J734" s="8" t="s">
        <v>7025</v>
      </c>
      <c r="K734" s="56">
        <f t="shared" si="131"/>
        <v>44522</v>
      </c>
      <c r="L734" s="56">
        <f t="shared" si="132"/>
        <v>44528</v>
      </c>
      <c r="M734" s="59" t="str">
        <f t="shared" si="133"/>
        <v>22/11/21 @ 
28/11/21</v>
      </c>
    </row>
    <row r="735" spans="2:13" ht="24" x14ac:dyDescent="0.25">
      <c r="B735" s="55">
        <f t="shared" si="136"/>
        <v>733</v>
      </c>
      <c r="C735" s="56">
        <f t="shared" si="136"/>
        <v>44527</v>
      </c>
      <c r="D735" s="57">
        <f t="shared" si="130"/>
        <v>44527</v>
      </c>
      <c r="E735" s="58">
        <f t="shared" si="137"/>
        <v>105</v>
      </c>
      <c r="F735" s="58">
        <f t="shared" si="137"/>
        <v>48</v>
      </c>
      <c r="G735" s="8">
        <v>202111</v>
      </c>
      <c r="H735" s="8" t="s">
        <v>7024</v>
      </c>
      <c r="I735" s="8">
        <v>202112</v>
      </c>
      <c r="J735" s="8" t="s">
        <v>7025</v>
      </c>
      <c r="K735" s="56">
        <f t="shared" si="131"/>
        <v>44522</v>
      </c>
      <c r="L735" s="56">
        <f t="shared" si="132"/>
        <v>44528</v>
      </c>
      <c r="M735" s="59" t="str">
        <f t="shared" si="133"/>
        <v>22/11/21 @ 
28/11/21</v>
      </c>
    </row>
    <row r="736" spans="2:13" ht="24" x14ac:dyDescent="0.25">
      <c r="B736" s="55">
        <f t="shared" si="136"/>
        <v>734</v>
      </c>
      <c r="C736" s="56">
        <f t="shared" si="136"/>
        <v>44528</v>
      </c>
      <c r="D736" s="57">
        <f t="shared" si="130"/>
        <v>44528</v>
      </c>
      <c r="E736" s="58">
        <f t="shared" si="137"/>
        <v>105</v>
      </c>
      <c r="F736" s="58">
        <f t="shared" si="137"/>
        <v>48</v>
      </c>
      <c r="G736" s="8">
        <v>202111</v>
      </c>
      <c r="H736" s="8" t="s">
        <v>7024</v>
      </c>
      <c r="I736" s="8">
        <v>202112</v>
      </c>
      <c r="J736" s="8" t="s">
        <v>7025</v>
      </c>
      <c r="K736" s="56">
        <f t="shared" si="131"/>
        <v>44522</v>
      </c>
      <c r="L736" s="56">
        <f t="shared" si="132"/>
        <v>44528</v>
      </c>
      <c r="M736" s="59" t="str">
        <f t="shared" si="133"/>
        <v>22/11/21 @ 
28/11/21</v>
      </c>
    </row>
    <row r="737" spans="2:13" ht="24" x14ac:dyDescent="0.25">
      <c r="B737" s="55">
        <f t="shared" si="136"/>
        <v>735</v>
      </c>
      <c r="C737" s="56">
        <f t="shared" si="136"/>
        <v>44529</v>
      </c>
      <c r="D737" s="57">
        <f t="shared" si="130"/>
        <v>44529</v>
      </c>
      <c r="E737" s="58">
        <f t="shared" si="137"/>
        <v>106</v>
      </c>
      <c r="F737" s="58">
        <f t="shared" si="137"/>
        <v>49</v>
      </c>
      <c r="G737" s="8">
        <v>202112</v>
      </c>
      <c r="H737" s="8" t="s">
        <v>7025</v>
      </c>
      <c r="I737" s="8">
        <v>202112</v>
      </c>
      <c r="J737" s="8" t="s">
        <v>7025</v>
      </c>
      <c r="K737" s="56">
        <f t="shared" si="131"/>
        <v>44529</v>
      </c>
      <c r="L737" s="56">
        <f t="shared" si="132"/>
        <v>44535</v>
      </c>
      <c r="M737" s="59" t="str">
        <f t="shared" si="133"/>
        <v>29/11/21 @ 
05/12/21</v>
      </c>
    </row>
    <row r="738" spans="2:13" ht="24" x14ac:dyDescent="0.25">
      <c r="B738" s="55">
        <f t="shared" si="136"/>
        <v>736</v>
      </c>
      <c r="C738" s="56">
        <f t="shared" si="136"/>
        <v>44530</v>
      </c>
      <c r="D738" s="57">
        <f t="shared" si="130"/>
        <v>44530</v>
      </c>
      <c r="E738" s="58">
        <f t="shared" si="137"/>
        <v>106</v>
      </c>
      <c r="F738" s="58">
        <f t="shared" si="137"/>
        <v>49</v>
      </c>
      <c r="G738" s="8">
        <v>202112</v>
      </c>
      <c r="H738" s="8" t="s">
        <v>7025</v>
      </c>
      <c r="I738" s="8">
        <v>202112</v>
      </c>
      <c r="J738" s="8" t="s">
        <v>7025</v>
      </c>
      <c r="K738" s="56">
        <f t="shared" si="131"/>
        <v>44529</v>
      </c>
      <c r="L738" s="56">
        <f t="shared" si="132"/>
        <v>44535</v>
      </c>
      <c r="M738" s="59" t="str">
        <f t="shared" si="133"/>
        <v>29/11/21 @ 
05/12/21</v>
      </c>
    </row>
    <row r="739" spans="2:13" ht="24" x14ac:dyDescent="0.25">
      <c r="B739" s="55">
        <f t="shared" si="136"/>
        <v>737</v>
      </c>
      <c r="C739" s="56">
        <f t="shared" si="136"/>
        <v>44531</v>
      </c>
      <c r="D739" s="57">
        <f t="shared" si="130"/>
        <v>44531</v>
      </c>
      <c r="E739" s="58">
        <f t="shared" si="137"/>
        <v>106</v>
      </c>
      <c r="F739" s="58">
        <f t="shared" si="137"/>
        <v>49</v>
      </c>
      <c r="G739" s="8">
        <v>202112</v>
      </c>
      <c r="H739" s="8" t="s">
        <v>7025</v>
      </c>
      <c r="I739" s="8">
        <v>202112</v>
      </c>
      <c r="J739" s="8" t="s">
        <v>7025</v>
      </c>
      <c r="K739" s="56">
        <f t="shared" si="131"/>
        <v>44529</v>
      </c>
      <c r="L739" s="56">
        <f t="shared" si="132"/>
        <v>44535</v>
      </c>
      <c r="M739" s="59" t="str">
        <f t="shared" si="133"/>
        <v>29/11/21 @ 
05/12/21</v>
      </c>
    </row>
    <row r="740" spans="2:13" ht="24" x14ac:dyDescent="0.25">
      <c r="B740" s="55">
        <f t="shared" si="136"/>
        <v>738</v>
      </c>
      <c r="C740" s="56">
        <f t="shared" si="136"/>
        <v>44532</v>
      </c>
      <c r="D740" s="57">
        <f t="shared" si="130"/>
        <v>44532</v>
      </c>
      <c r="E740" s="58">
        <f t="shared" si="137"/>
        <v>106</v>
      </c>
      <c r="F740" s="58">
        <f t="shared" si="137"/>
        <v>49</v>
      </c>
      <c r="G740" s="8">
        <v>202112</v>
      </c>
      <c r="H740" s="8" t="s">
        <v>7025</v>
      </c>
      <c r="I740" s="8">
        <v>202112</v>
      </c>
      <c r="J740" s="8" t="s">
        <v>7025</v>
      </c>
      <c r="K740" s="56">
        <f t="shared" si="131"/>
        <v>44529</v>
      </c>
      <c r="L740" s="56">
        <f t="shared" si="132"/>
        <v>44535</v>
      </c>
      <c r="M740" s="59" t="str">
        <f t="shared" si="133"/>
        <v>29/11/21 @ 
05/12/21</v>
      </c>
    </row>
    <row r="741" spans="2:13" ht="24" x14ac:dyDescent="0.25">
      <c r="B741" s="55">
        <f t="shared" ref="B741:C756" si="138">+B740+1</f>
        <v>739</v>
      </c>
      <c r="C741" s="56">
        <f t="shared" si="138"/>
        <v>44533</v>
      </c>
      <c r="D741" s="57">
        <f t="shared" si="130"/>
        <v>44533</v>
      </c>
      <c r="E741" s="58">
        <f t="shared" si="137"/>
        <v>106</v>
      </c>
      <c r="F741" s="58">
        <f t="shared" si="137"/>
        <v>49</v>
      </c>
      <c r="G741" s="8">
        <v>202112</v>
      </c>
      <c r="H741" s="8" t="s">
        <v>7025</v>
      </c>
      <c r="I741" s="8">
        <v>202112</v>
      </c>
      <c r="J741" s="8" t="s">
        <v>7025</v>
      </c>
      <c r="K741" s="56">
        <f t="shared" si="131"/>
        <v>44529</v>
      </c>
      <c r="L741" s="56">
        <f t="shared" si="132"/>
        <v>44535</v>
      </c>
      <c r="M741" s="59" t="str">
        <f t="shared" si="133"/>
        <v>29/11/21 @ 
05/12/21</v>
      </c>
    </row>
    <row r="742" spans="2:13" ht="24" x14ac:dyDescent="0.25">
      <c r="B742" s="55">
        <f t="shared" si="138"/>
        <v>740</v>
      </c>
      <c r="C742" s="56">
        <f t="shared" si="138"/>
        <v>44534</v>
      </c>
      <c r="D742" s="57">
        <f t="shared" si="130"/>
        <v>44534</v>
      </c>
      <c r="E742" s="58">
        <f t="shared" si="137"/>
        <v>106</v>
      </c>
      <c r="F742" s="58">
        <f t="shared" si="137"/>
        <v>49</v>
      </c>
      <c r="G742" s="8">
        <v>202112</v>
      </c>
      <c r="H742" s="8" t="s">
        <v>7025</v>
      </c>
      <c r="I742" s="8">
        <v>202112</v>
      </c>
      <c r="J742" s="8" t="s">
        <v>7025</v>
      </c>
      <c r="K742" s="56">
        <f t="shared" si="131"/>
        <v>44529</v>
      </c>
      <c r="L742" s="56">
        <f t="shared" si="132"/>
        <v>44535</v>
      </c>
      <c r="M742" s="59" t="str">
        <f t="shared" si="133"/>
        <v>29/11/21 @ 
05/12/21</v>
      </c>
    </row>
    <row r="743" spans="2:13" ht="24" x14ac:dyDescent="0.25">
      <c r="B743" s="55">
        <f t="shared" si="138"/>
        <v>741</v>
      </c>
      <c r="C743" s="56">
        <f t="shared" si="138"/>
        <v>44535</v>
      </c>
      <c r="D743" s="57">
        <f t="shared" si="130"/>
        <v>44535</v>
      </c>
      <c r="E743" s="58">
        <f t="shared" si="137"/>
        <v>106</v>
      </c>
      <c r="F743" s="58">
        <f t="shared" si="137"/>
        <v>49</v>
      </c>
      <c r="G743" s="8">
        <v>202112</v>
      </c>
      <c r="H743" s="8" t="s">
        <v>7025</v>
      </c>
      <c r="I743" s="8">
        <v>202112</v>
      </c>
      <c r="J743" s="8" t="s">
        <v>7025</v>
      </c>
      <c r="K743" s="56">
        <f t="shared" si="131"/>
        <v>44529</v>
      </c>
      <c r="L743" s="56">
        <f t="shared" si="132"/>
        <v>44535</v>
      </c>
      <c r="M743" s="59" t="str">
        <f t="shared" si="133"/>
        <v>29/11/21 @ 
05/12/21</v>
      </c>
    </row>
    <row r="744" spans="2:13" ht="24" x14ac:dyDescent="0.25">
      <c r="B744" s="55">
        <f t="shared" si="138"/>
        <v>742</v>
      </c>
      <c r="C744" s="56">
        <f t="shared" si="138"/>
        <v>44536</v>
      </c>
      <c r="D744" s="57">
        <f t="shared" si="130"/>
        <v>44536</v>
      </c>
      <c r="E744" s="58">
        <f t="shared" si="137"/>
        <v>107</v>
      </c>
      <c r="F744" s="58">
        <f t="shared" si="137"/>
        <v>50</v>
      </c>
      <c r="G744" s="8">
        <v>202112</v>
      </c>
      <c r="H744" s="8" t="s">
        <v>7025</v>
      </c>
      <c r="I744" s="8">
        <v>202112</v>
      </c>
      <c r="J744" s="8" t="s">
        <v>7025</v>
      </c>
      <c r="K744" s="56">
        <f t="shared" si="131"/>
        <v>44536</v>
      </c>
      <c r="L744" s="56">
        <f t="shared" si="132"/>
        <v>44542</v>
      </c>
      <c r="M744" s="59" t="str">
        <f t="shared" si="133"/>
        <v>06/12/21 @ 
12/12/21</v>
      </c>
    </row>
    <row r="745" spans="2:13" ht="24" x14ac:dyDescent="0.25">
      <c r="B745" s="55">
        <f t="shared" si="138"/>
        <v>743</v>
      </c>
      <c r="C745" s="56">
        <f t="shared" si="138"/>
        <v>44537</v>
      </c>
      <c r="D745" s="57">
        <f t="shared" si="130"/>
        <v>44537</v>
      </c>
      <c r="E745" s="58">
        <f t="shared" si="137"/>
        <v>107</v>
      </c>
      <c r="F745" s="58">
        <f t="shared" si="137"/>
        <v>50</v>
      </c>
      <c r="G745" s="8">
        <v>202112</v>
      </c>
      <c r="H745" s="8" t="s">
        <v>7025</v>
      </c>
      <c r="I745" s="8">
        <v>202112</v>
      </c>
      <c r="J745" s="8" t="s">
        <v>7025</v>
      </c>
      <c r="K745" s="56">
        <f t="shared" si="131"/>
        <v>44536</v>
      </c>
      <c r="L745" s="56">
        <f t="shared" si="132"/>
        <v>44542</v>
      </c>
      <c r="M745" s="59" t="str">
        <f t="shared" si="133"/>
        <v>06/12/21 @ 
12/12/21</v>
      </c>
    </row>
    <row r="746" spans="2:13" ht="24" x14ac:dyDescent="0.25">
      <c r="B746" s="55">
        <f t="shared" si="138"/>
        <v>744</v>
      </c>
      <c r="C746" s="56">
        <f t="shared" si="138"/>
        <v>44538</v>
      </c>
      <c r="D746" s="57">
        <f t="shared" si="130"/>
        <v>44538</v>
      </c>
      <c r="E746" s="58">
        <f t="shared" ref="E746:F761" si="139">+E739+1</f>
        <v>107</v>
      </c>
      <c r="F746" s="58">
        <f t="shared" si="139"/>
        <v>50</v>
      </c>
      <c r="G746" s="8">
        <v>202112</v>
      </c>
      <c r="H746" s="8" t="s">
        <v>7025</v>
      </c>
      <c r="I746" s="8">
        <v>202112</v>
      </c>
      <c r="J746" s="8" t="s">
        <v>7025</v>
      </c>
      <c r="K746" s="56">
        <f t="shared" si="131"/>
        <v>44536</v>
      </c>
      <c r="L746" s="56">
        <f t="shared" si="132"/>
        <v>44542</v>
      </c>
      <c r="M746" s="59" t="str">
        <f t="shared" si="133"/>
        <v>06/12/21 @ 
12/12/21</v>
      </c>
    </row>
    <row r="747" spans="2:13" ht="24" x14ac:dyDescent="0.25">
      <c r="B747" s="55">
        <f t="shared" si="138"/>
        <v>745</v>
      </c>
      <c r="C747" s="56">
        <f t="shared" si="138"/>
        <v>44539</v>
      </c>
      <c r="D747" s="57">
        <f t="shared" si="130"/>
        <v>44539</v>
      </c>
      <c r="E747" s="58">
        <f t="shared" si="139"/>
        <v>107</v>
      </c>
      <c r="F747" s="58">
        <f t="shared" si="139"/>
        <v>50</v>
      </c>
      <c r="G747" s="8">
        <v>202112</v>
      </c>
      <c r="H747" s="8" t="s">
        <v>7025</v>
      </c>
      <c r="I747" s="8">
        <v>202112</v>
      </c>
      <c r="J747" s="8" t="s">
        <v>7025</v>
      </c>
      <c r="K747" s="56">
        <f t="shared" si="131"/>
        <v>44536</v>
      </c>
      <c r="L747" s="56">
        <f t="shared" si="132"/>
        <v>44542</v>
      </c>
      <c r="M747" s="59" t="str">
        <f t="shared" si="133"/>
        <v>06/12/21 @ 
12/12/21</v>
      </c>
    </row>
    <row r="748" spans="2:13" ht="24" x14ac:dyDescent="0.25">
      <c r="B748" s="55">
        <f t="shared" si="138"/>
        <v>746</v>
      </c>
      <c r="C748" s="56">
        <f t="shared" si="138"/>
        <v>44540</v>
      </c>
      <c r="D748" s="57">
        <f t="shared" si="130"/>
        <v>44540</v>
      </c>
      <c r="E748" s="58">
        <f t="shared" si="139"/>
        <v>107</v>
      </c>
      <c r="F748" s="58">
        <f t="shared" si="139"/>
        <v>50</v>
      </c>
      <c r="G748" s="8">
        <v>202112</v>
      </c>
      <c r="H748" s="8" t="s">
        <v>7025</v>
      </c>
      <c r="I748" s="8">
        <v>202112</v>
      </c>
      <c r="J748" s="8" t="s">
        <v>7025</v>
      </c>
      <c r="K748" s="56">
        <f t="shared" si="131"/>
        <v>44536</v>
      </c>
      <c r="L748" s="56">
        <f t="shared" si="132"/>
        <v>44542</v>
      </c>
      <c r="M748" s="59" t="str">
        <f t="shared" si="133"/>
        <v>06/12/21 @ 
12/12/21</v>
      </c>
    </row>
    <row r="749" spans="2:13" ht="24" x14ac:dyDescent="0.25">
      <c r="B749" s="55">
        <f t="shared" si="138"/>
        <v>747</v>
      </c>
      <c r="C749" s="56">
        <f t="shared" si="138"/>
        <v>44541</v>
      </c>
      <c r="D749" s="57">
        <f t="shared" si="130"/>
        <v>44541</v>
      </c>
      <c r="E749" s="58">
        <f t="shared" si="139"/>
        <v>107</v>
      </c>
      <c r="F749" s="58">
        <f t="shared" si="139"/>
        <v>50</v>
      </c>
      <c r="G749" s="8">
        <v>202112</v>
      </c>
      <c r="H749" s="8" t="s">
        <v>7025</v>
      </c>
      <c r="I749" s="8">
        <v>202112</v>
      </c>
      <c r="J749" s="8" t="s">
        <v>7025</v>
      </c>
      <c r="K749" s="56">
        <f t="shared" si="131"/>
        <v>44536</v>
      </c>
      <c r="L749" s="56">
        <f t="shared" si="132"/>
        <v>44542</v>
      </c>
      <c r="M749" s="59" t="str">
        <f t="shared" si="133"/>
        <v>06/12/21 @ 
12/12/21</v>
      </c>
    </row>
    <row r="750" spans="2:13" ht="24" x14ac:dyDescent="0.25">
      <c r="B750" s="55">
        <f t="shared" si="138"/>
        <v>748</v>
      </c>
      <c r="C750" s="56">
        <f t="shared" si="138"/>
        <v>44542</v>
      </c>
      <c r="D750" s="57">
        <f t="shared" si="130"/>
        <v>44542</v>
      </c>
      <c r="E750" s="58">
        <f t="shared" si="139"/>
        <v>107</v>
      </c>
      <c r="F750" s="58">
        <f t="shared" si="139"/>
        <v>50</v>
      </c>
      <c r="G750" s="8">
        <v>202112</v>
      </c>
      <c r="H750" s="8" t="s">
        <v>7025</v>
      </c>
      <c r="I750" s="8">
        <v>202112</v>
      </c>
      <c r="J750" s="8" t="s">
        <v>7025</v>
      </c>
      <c r="K750" s="56">
        <f t="shared" si="131"/>
        <v>44536</v>
      </c>
      <c r="L750" s="56">
        <f t="shared" si="132"/>
        <v>44542</v>
      </c>
      <c r="M750" s="59" t="str">
        <f t="shared" si="133"/>
        <v>06/12/21 @ 
12/12/21</v>
      </c>
    </row>
    <row r="751" spans="2:13" ht="24" x14ac:dyDescent="0.25">
      <c r="B751" s="55">
        <f t="shared" si="138"/>
        <v>749</v>
      </c>
      <c r="C751" s="56">
        <f t="shared" si="138"/>
        <v>44543</v>
      </c>
      <c r="D751" s="57">
        <f t="shared" si="130"/>
        <v>44543</v>
      </c>
      <c r="E751" s="58">
        <f t="shared" si="139"/>
        <v>108</v>
      </c>
      <c r="F751" s="58">
        <f t="shared" si="139"/>
        <v>51</v>
      </c>
      <c r="G751" s="8">
        <v>202112</v>
      </c>
      <c r="H751" s="8" t="s">
        <v>7025</v>
      </c>
      <c r="I751" s="8">
        <v>202112</v>
      </c>
      <c r="J751" s="8" t="s">
        <v>7025</v>
      </c>
      <c r="K751" s="56">
        <f t="shared" si="131"/>
        <v>44543</v>
      </c>
      <c r="L751" s="56">
        <f t="shared" si="132"/>
        <v>44549</v>
      </c>
      <c r="M751" s="59" t="str">
        <f t="shared" si="133"/>
        <v>13/12/21 @ 
19/12/21</v>
      </c>
    </row>
    <row r="752" spans="2:13" ht="24" x14ac:dyDescent="0.25">
      <c r="B752" s="55">
        <f t="shared" si="138"/>
        <v>750</v>
      </c>
      <c r="C752" s="56">
        <f t="shared" si="138"/>
        <v>44544</v>
      </c>
      <c r="D752" s="57">
        <f t="shared" si="130"/>
        <v>44544</v>
      </c>
      <c r="E752" s="58">
        <f t="shared" si="139"/>
        <v>108</v>
      </c>
      <c r="F752" s="58">
        <f t="shared" si="139"/>
        <v>51</v>
      </c>
      <c r="G752" s="8">
        <v>202112</v>
      </c>
      <c r="H752" s="8" t="s">
        <v>7025</v>
      </c>
      <c r="I752" s="8">
        <v>202112</v>
      </c>
      <c r="J752" s="8" t="s">
        <v>7025</v>
      </c>
      <c r="K752" s="56">
        <f t="shared" si="131"/>
        <v>44543</v>
      </c>
      <c r="L752" s="56">
        <f t="shared" si="132"/>
        <v>44549</v>
      </c>
      <c r="M752" s="59" t="str">
        <f t="shared" si="133"/>
        <v>13/12/21 @ 
19/12/21</v>
      </c>
    </row>
    <row r="753" spans="2:13" ht="24" x14ac:dyDescent="0.25">
      <c r="B753" s="55">
        <f t="shared" si="138"/>
        <v>751</v>
      </c>
      <c r="C753" s="56">
        <f t="shared" si="138"/>
        <v>44545</v>
      </c>
      <c r="D753" s="57">
        <f t="shared" si="130"/>
        <v>44545</v>
      </c>
      <c r="E753" s="58">
        <f t="shared" si="139"/>
        <v>108</v>
      </c>
      <c r="F753" s="58">
        <f t="shared" si="139"/>
        <v>51</v>
      </c>
      <c r="G753" s="8">
        <v>202112</v>
      </c>
      <c r="H753" s="8" t="s">
        <v>7025</v>
      </c>
      <c r="I753" s="8">
        <v>202112</v>
      </c>
      <c r="J753" s="8" t="s">
        <v>7025</v>
      </c>
      <c r="K753" s="56">
        <f t="shared" si="131"/>
        <v>44543</v>
      </c>
      <c r="L753" s="56">
        <f t="shared" si="132"/>
        <v>44549</v>
      </c>
      <c r="M753" s="59" t="str">
        <f t="shared" si="133"/>
        <v>13/12/21 @ 
19/12/21</v>
      </c>
    </row>
    <row r="754" spans="2:13" ht="24" x14ac:dyDescent="0.25">
      <c r="B754" s="55">
        <f t="shared" si="138"/>
        <v>752</v>
      </c>
      <c r="C754" s="56">
        <f t="shared" si="138"/>
        <v>44546</v>
      </c>
      <c r="D754" s="57">
        <f t="shared" si="130"/>
        <v>44546</v>
      </c>
      <c r="E754" s="58">
        <f t="shared" si="139"/>
        <v>108</v>
      </c>
      <c r="F754" s="58">
        <f t="shared" si="139"/>
        <v>51</v>
      </c>
      <c r="G754" s="8">
        <v>202112</v>
      </c>
      <c r="H754" s="8" t="s">
        <v>7025</v>
      </c>
      <c r="I754" s="8">
        <v>202112</v>
      </c>
      <c r="J754" s="8" t="s">
        <v>7025</v>
      </c>
      <c r="K754" s="56">
        <f t="shared" si="131"/>
        <v>44543</v>
      </c>
      <c r="L754" s="56">
        <f t="shared" si="132"/>
        <v>44549</v>
      </c>
      <c r="M754" s="59" t="str">
        <f t="shared" si="133"/>
        <v>13/12/21 @ 
19/12/21</v>
      </c>
    </row>
    <row r="755" spans="2:13" ht="24" x14ac:dyDescent="0.25">
      <c r="B755" s="55">
        <f t="shared" si="138"/>
        <v>753</v>
      </c>
      <c r="C755" s="56">
        <f t="shared" si="138"/>
        <v>44547</v>
      </c>
      <c r="D755" s="57">
        <f t="shared" si="130"/>
        <v>44547</v>
      </c>
      <c r="E755" s="58">
        <f t="shared" si="139"/>
        <v>108</v>
      </c>
      <c r="F755" s="58">
        <f t="shared" si="139"/>
        <v>51</v>
      </c>
      <c r="G755" s="8">
        <v>202112</v>
      </c>
      <c r="H755" s="8" t="s">
        <v>7025</v>
      </c>
      <c r="I755" s="8">
        <v>202112</v>
      </c>
      <c r="J755" s="8" t="s">
        <v>7025</v>
      </c>
      <c r="K755" s="56">
        <f t="shared" si="131"/>
        <v>44543</v>
      </c>
      <c r="L755" s="56">
        <f t="shared" si="132"/>
        <v>44549</v>
      </c>
      <c r="M755" s="59" t="str">
        <f t="shared" si="133"/>
        <v>13/12/21 @ 
19/12/21</v>
      </c>
    </row>
    <row r="756" spans="2:13" ht="24" x14ac:dyDescent="0.25">
      <c r="B756" s="55">
        <f t="shared" si="138"/>
        <v>754</v>
      </c>
      <c r="C756" s="56">
        <f t="shared" si="138"/>
        <v>44548</v>
      </c>
      <c r="D756" s="57">
        <f t="shared" si="130"/>
        <v>44548</v>
      </c>
      <c r="E756" s="58">
        <f t="shared" si="139"/>
        <v>108</v>
      </c>
      <c r="F756" s="58">
        <f t="shared" si="139"/>
        <v>51</v>
      </c>
      <c r="G756" s="8">
        <v>202112</v>
      </c>
      <c r="H756" s="8" t="s">
        <v>7025</v>
      </c>
      <c r="I756" s="8">
        <v>202112</v>
      </c>
      <c r="J756" s="8" t="s">
        <v>7025</v>
      </c>
      <c r="K756" s="56">
        <f t="shared" si="131"/>
        <v>44543</v>
      </c>
      <c r="L756" s="56">
        <f t="shared" si="132"/>
        <v>44549</v>
      </c>
      <c r="M756" s="59" t="str">
        <f t="shared" si="133"/>
        <v>13/12/21 @ 
19/12/21</v>
      </c>
    </row>
    <row r="757" spans="2:13" ht="24" x14ac:dyDescent="0.25">
      <c r="B757" s="55">
        <f t="shared" ref="B757:C772" si="140">+B756+1</f>
        <v>755</v>
      </c>
      <c r="C757" s="56">
        <f t="shared" si="140"/>
        <v>44549</v>
      </c>
      <c r="D757" s="57">
        <f t="shared" si="130"/>
        <v>44549</v>
      </c>
      <c r="E757" s="58">
        <f t="shared" si="139"/>
        <v>108</v>
      </c>
      <c r="F757" s="58">
        <f t="shared" si="139"/>
        <v>51</v>
      </c>
      <c r="G757" s="8">
        <v>202112</v>
      </c>
      <c r="H757" s="8" t="s">
        <v>7025</v>
      </c>
      <c r="I757" s="8">
        <v>202112</v>
      </c>
      <c r="J757" s="8" t="s">
        <v>7025</v>
      </c>
      <c r="K757" s="56">
        <f t="shared" si="131"/>
        <v>44543</v>
      </c>
      <c r="L757" s="56">
        <f t="shared" si="132"/>
        <v>44549</v>
      </c>
      <c r="M757" s="59" t="str">
        <f t="shared" si="133"/>
        <v>13/12/21 @ 
19/12/21</v>
      </c>
    </row>
    <row r="758" spans="2:13" ht="24" x14ac:dyDescent="0.25">
      <c r="B758" s="55">
        <f t="shared" si="140"/>
        <v>756</v>
      </c>
      <c r="C758" s="56">
        <f t="shared" si="140"/>
        <v>44550</v>
      </c>
      <c r="D758" s="57">
        <f t="shared" si="130"/>
        <v>44550</v>
      </c>
      <c r="E758" s="58">
        <f t="shared" si="139"/>
        <v>109</v>
      </c>
      <c r="F758" s="58">
        <f t="shared" si="139"/>
        <v>52</v>
      </c>
      <c r="G758" s="8">
        <v>202112</v>
      </c>
      <c r="H758" s="8" t="s">
        <v>7025</v>
      </c>
      <c r="I758" s="8">
        <v>202112</v>
      </c>
      <c r="J758" s="8" t="s">
        <v>7025</v>
      </c>
      <c r="K758" s="56">
        <f t="shared" si="131"/>
        <v>44550</v>
      </c>
      <c r="L758" s="56">
        <f t="shared" si="132"/>
        <v>44556</v>
      </c>
      <c r="M758" s="59" t="str">
        <f t="shared" si="133"/>
        <v>20/12/21 @ 
26/12/21</v>
      </c>
    </row>
    <row r="759" spans="2:13" ht="24" x14ac:dyDescent="0.25">
      <c r="B759" s="55">
        <f t="shared" si="140"/>
        <v>757</v>
      </c>
      <c r="C759" s="56">
        <f t="shared" si="140"/>
        <v>44551</v>
      </c>
      <c r="D759" s="57">
        <f t="shared" si="130"/>
        <v>44551</v>
      </c>
      <c r="E759" s="58">
        <f t="shared" si="139"/>
        <v>109</v>
      </c>
      <c r="F759" s="58">
        <f t="shared" si="139"/>
        <v>52</v>
      </c>
      <c r="G759" s="8">
        <v>202112</v>
      </c>
      <c r="H759" s="8" t="s">
        <v>7025</v>
      </c>
      <c r="K759" s="56">
        <f t="shared" si="131"/>
        <v>44550</v>
      </c>
      <c r="L759" s="56">
        <f t="shared" si="132"/>
        <v>44556</v>
      </c>
      <c r="M759" s="59" t="str">
        <f t="shared" si="133"/>
        <v>20/12/21 @ 
26/12/21</v>
      </c>
    </row>
    <row r="760" spans="2:13" ht="24" x14ac:dyDescent="0.25">
      <c r="B760" s="55">
        <f t="shared" si="140"/>
        <v>758</v>
      </c>
      <c r="C760" s="56">
        <f t="shared" si="140"/>
        <v>44552</v>
      </c>
      <c r="D760" s="57">
        <f t="shared" si="130"/>
        <v>44552</v>
      </c>
      <c r="E760" s="58">
        <f t="shared" si="139"/>
        <v>109</v>
      </c>
      <c r="F760" s="58">
        <f t="shared" si="139"/>
        <v>52</v>
      </c>
      <c r="G760" s="8">
        <v>202112</v>
      </c>
      <c r="H760" s="8" t="s">
        <v>7025</v>
      </c>
      <c r="K760" s="56">
        <f t="shared" si="131"/>
        <v>44550</v>
      </c>
      <c r="L760" s="56">
        <f t="shared" si="132"/>
        <v>44556</v>
      </c>
      <c r="M760" s="59" t="str">
        <f t="shared" si="133"/>
        <v>20/12/21 @ 
26/12/21</v>
      </c>
    </row>
    <row r="761" spans="2:13" ht="24" x14ac:dyDescent="0.25">
      <c r="B761" s="55">
        <f t="shared" si="140"/>
        <v>759</v>
      </c>
      <c r="C761" s="56">
        <f t="shared" si="140"/>
        <v>44553</v>
      </c>
      <c r="D761" s="57">
        <f t="shared" si="130"/>
        <v>44553</v>
      </c>
      <c r="E761" s="58">
        <f t="shared" si="139"/>
        <v>109</v>
      </c>
      <c r="F761" s="58">
        <f t="shared" si="139"/>
        <v>52</v>
      </c>
      <c r="G761" s="8">
        <v>202112</v>
      </c>
      <c r="H761" s="8" t="s">
        <v>7025</v>
      </c>
      <c r="K761" s="56">
        <f t="shared" si="131"/>
        <v>44550</v>
      </c>
      <c r="L761" s="56">
        <f t="shared" si="132"/>
        <v>44556</v>
      </c>
      <c r="M761" s="59" t="str">
        <f t="shared" si="133"/>
        <v>20/12/21 @ 
26/12/21</v>
      </c>
    </row>
    <row r="762" spans="2:13" ht="24" x14ac:dyDescent="0.25">
      <c r="B762" s="55">
        <f t="shared" si="140"/>
        <v>760</v>
      </c>
      <c r="C762" s="56">
        <f t="shared" si="140"/>
        <v>44554</v>
      </c>
      <c r="D762" s="57">
        <f t="shared" si="130"/>
        <v>44554</v>
      </c>
      <c r="E762" s="58">
        <f t="shared" ref="E762:F777" si="141">+E755+1</f>
        <v>109</v>
      </c>
      <c r="F762" s="58">
        <f t="shared" si="141"/>
        <v>52</v>
      </c>
      <c r="G762" s="8">
        <v>202112</v>
      </c>
      <c r="H762" s="8" t="s">
        <v>7025</v>
      </c>
      <c r="K762" s="56">
        <f t="shared" si="131"/>
        <v>44550</v>
      </c>
      <c r="L762" s="56">
        <f t="shared" si="132"/>
        <v>44556</v>
      </c>
      <c r="M762" s="59" t="str">
        <f t="shared" si="133"/>
        <v>20/12/21 @ 
26/12/21</v>
      </c>
    </row>
    <row r="763" spans="2:13" ht="24" x14ac:dyDescent="0.25">
      <c r="B763" s="55">
        <f t="shared" si="140"/>
        <v>761</v>
      </c>
      <c r="C763" s="56">
        <f t="shared" si="140"/>
        <v>44555</v>
      </c>
      <c r="D763" s="57">
        <f t="shared" si="130"/>
        <v>44555</v>
      </c>
      <c r="E763" s="58">
        <f t="shared" si="141"/>
        <v>109</v>
      </c>
      <c r="F763" s="58">
        <f t="shared" si="141"/>
        <v>52</v>
      </c>
      <c r="G763" s="8">
        <v>202112</v>
      </c>
      <c r="H763" s="8" t="s">
        <v>7025</v>
      </c>
      <c r="K763" s="56">
        <f t="shared" si="131"/>
        <v>44550</v>
      </c>
      <c r="L763" s="56">
        <f t="shared" si="132"/>
        <v>44556</v>
      </c>
      <c r="M763" s="59" t="str">
        <f t="shared" si="133"/>
        <v>20/12/21 @ 
26/12/21</v>
      </c>
    </row>
    <row r="764" spans="2:13" ht="24" x14ac:dyDescent="0.25">
      <c r="B764" s="55">
        <f t="shared" si="140"/>
        <v>762</v>
      </c>
      <c r="C764" s="56">
        <f t="shared" si="140"/>
        <v>44556</v>
      </c>
      <c r="D764" s="57">
        <f t="shared" si="130"/>
        <v>44556</v>
      </c>
      <c r="E764" s="58">
        <f t="shared" si="141"/>
        <v>109</v>
      </c>
      <c r="F764" s="58">
        <f t="shared" si="141"/>
        <v>52</v>
      </c>
      <c r="G764" s="8">
        <v>202112</v>
      </c>
      <c r="H764" s="8" t="s">
        <v>7025</v>
      </c>
      <c r="K764" s="56">
        <f t="shared" si="131"/>
        <v>44550</v>
      </c>
      <c r="L764" s="56">
        <f t="shared" si="132"/>
        <v>44556</v>
      </c>
      <c r="M764" s="59" t="str">
        <f t="shared" si="133"/>
        <v>20/12/21 @ 
26/12/21</v>
      </c>
    </row>
    <row r="765" spans="2:13" ht="24" x14ac:dyDescent="0.25">
      <c r="B765" s="55">
        <f t="shared" si="140"/>
        <v>763</v>
      </c>
      <c r="C765" s="56">
        <f t="shared" si="140"/>
        <v>44557</v>
      </c>
      <c r="D765" s="57">
        <f t="shared" si="130"/>
        <v>44557</v>
      </c>
      <c r="E765" s="58">
        <f t="shared" si="141"/>
        <v>110</v>
      </c>
      <c r="G765" s="8">
        <v>202112</v>
      </c>
      <c r="K765" s="56">
        <f t="shared" si="131"/>
        <v>44557</v>
      </c>
      <c r="L765" s="56">
        <f t="shared" si="132"/>
        <v>44563</v>
      </c>
      <c r="M765" s="59" t="str">
        <f t="shared" si="133"/>
        <v>27/12/21 @ 
02/01/22</v>
      </c>
    </row>
    <row r="766" spans="2:13" ht="24" x14ac:dyDescent="0.25">
      <c r="B766" s="55">
        <f t="shared" si="140"/>
        <v>764</v>
      </c>
      <c r="C766" s="56">
        <f t="shared" si="140"/>
        <v>44558</v>
      </c>
      <c r="D766" s="57">
        <f t="shared" si="130"/>
        <v>44558</v>
      </c>
      <c r="E766" s="58">
        <f t="shared" si="141"/>
        <v>110</v>
      </c>
      <c r="G766" s="8">
        <v>202112</v>
      </c>
      <c r="K766" s="56">
        <f t="shared" si="131"/>
        <v>44557</v>
      </c>
      <c r="L766" s="56">
        <f t="shared" si="132"/>
        <v>44563</v>
      </c>
      <c r="M766" s="59" t="str">
        <f t="shared" si="133"/>
        <v>27/12/21 @ 
02/01/22</v>
      </c>
    </row>
    <row r="767" spans="2:13" ht="24" x14ac:dyDescent="0.25">
      <c r="B767" s="55">
        <f t="shared" si="140"/>
        <v>765</v>
      </c>
      <c r="C767" s="56">
        <f t="shared" si="140"/>
        <v>44559</v>
      </c>
      <c r="D767" s="57">
        <f t="shared" si="130"/>
        <v>44559</v>
      </c>
      <c r="E767" s="58">
        <f t="shared" si="141"/>
        <v>110</v>
      </c>
      <c r="G767" s="8">
        <v>202112</v>
      </c>
      <c r="K767" s="56">
        <f t="shared" si="131"/>
        <v>44557</v>
      </c>
      <c r="L767" s="56">
        <f t="shared" si="132"/>
        <v>44563</v>
      </c>
      <c r="M767" s="59" t="str">
        <f t="shared" si="133"/>
        <v>27/12/21 @ 
02/01/22</v>
      </c>
    </row>
    <row r="768" spans="2:13" ht="24" x14ac:dyDescent="0.25">
      <c r="B768" s="55">
        <f t="shared" si="140"/>
        <v>766</v>
      </c>
      <c r="C768" s="56">
        <f t="shared" si="140"/>
        <v>44560</v>
      </c>
      <c r="D768" s="57">
        <f t="shared" si="130"/>
        <v>44560</v>
      </c>
      <c r="E768" s="58">
        <f t="shared" si="141"/>
        <v>110</v>
      </c>
      <c r="G768" s="8">
        <v>202112</v>
      </c>
      <c r="K768" s="56">
        <f t="shared" si="131"/>
        <v>44557</v>
      </c>
      <c r="L768" s="56">
        <f t="shared" si="132"/>
        <v>44563</v>
      </c>
      <c r="M768" s="59" t="str">
        <f t="shared" si="133"/>
        <v>27/12/21 @ 
02/01/22</v>
      </c>
    </row>
    <row r="769" spans="2:13" ht="24" x14ac:dyDescent="0.25">
      <c r="B769" s="55">
        <f t="shared" si="140"/>
        <v>767</v>
      </c>
      <c r="C769" s="56">
        <f t="shared" si="140"/>
        <v>44561</v>
      </c>
      <c r="D769" s="57">
        <f t="shared" si="130"/>
        <v>44561</v>
      </c>
      <c r="E769" s="58">
        <f t="shared" si="141"/>
        <v>110</v>
      </c>
      <c r="G769" s="8">
        <v>202112</v>
      </c>
      <c r="K769" s="56">
        <f t="shared" si="131"/>
        <v>44557</v>
      </c>
      <c r="L769" s="56">
        <f t="shared" si="132"/>
        <v>44563</v>
      </c>
      <c r="M769" s="59" t="str">
        <f t="shared" si="133"/>
        <v>27/12/21 @ 
02/01/22</v>
      </c>
    </row>
    <row r="770" spans="2:13" ht="24" x14ac:dyDescent="0.25">
      <c r="B770" s="55">
        <f t="shared" si="140"/>
        <v>768</v>
      </c>
      <c r="C770" s="56">
        <f t="shared" si="140"/>
        <v>44562</v>
      </c>
      <c r="D770" s="57">
        <f t="shared" si="130"/>
        <v>44562</v>
      </c>
      <c r="E770" s="58">
        <f t="shared" si="141"/>
        <v>110</v>
      </c>
      <c r="G770" s="8">
        <v>202112</v>
      </c>
      <c r="K770" s="56">
        <f t="shared" si="131"/>
        <v>44557</v>
      </c>
      <c r="L770" s="56">
        <f t="shared" si="132"/>
        <v>44563</v>
      </c>
      <c r="M770" s="59" t="str">
        <f t="shared" si="133"/>
        <v>27/12/21 @ 
02/01/22</v>
      </c>
    </row>
    <row r="771" spans="2:13" ht="24" x14ac:dyDescent="0.25">
      <c r="B771" s="55">
        <f t="shared" si="140"/>
        <v>769</v>
      </c>
      <c r="C771" s="56">
        <f t="shared" si="140"/>
        <v>44563</v>
      </c>
      <c r="D771" s="57">
        <f t="shared" ref="D771:D834" si="142">+C771</f>
        <v>44563</v>
      </c>
      <c r="E771" s="58">
        <f t="shared" si="141"/>
        <v>110</v>
      </c>
      <c r="G771" s="8">
        <v>202112</v>
      </c>
      <c r="K771" s="56">
        <f t="shared" ref="K771:K834" si="143">_xlfn.MINIFS($C$2:$C$890,$E$2:$E$890,E771)</f>
        <v>44557</v>
      </c>
      <c r="L771" s="56">
        <f t="shared" ref="L771:L834" si="144">_xlfn.MAXIFS($C$2:$C$890,$E$2:$E$890,E771)</f>
        <v>44563</v>
      </c>
      <c r="M771" s="59" t="str">
        <f t="shared" ref="M771:M834" si="145">CONCATENATE(TEXT(K771,"DD/MM/YY")," @ ",CHAR(10),TEXT(L771,"DD/MM/YY"))</f>
        <v>27/12/21 @ 
02/01/22</v>
      </c>
    </row>
    <row r="772" spans="2:13" ht="24" x14ac:dyDescent="0.25">
      <c r="B772" s="55">
        <f t="shared" si="140"/>
        <v>770</v>
      </c>
      <c r="C772" s="56">
        <f t="shared" si="140"/>
        <v>44564</v>
      </c>
      <c r="D772" s="57">
        <f t="shared" si="142"/>
        <v>44564</v>
      </c>
      <c r="E772" s="58">
        <f t="shared" si="141"/>
        <v>111</v>
      </c>
      <c r="G772" s="8">
        <v>202201</v>
      </c>
      <c r="K772" s="56">
        <f t="shared" si="143"/>
        <v>44564</v>
      </c>
      <c r="L772" s="56">
        <f t="shared" si="144"/>
        <v>44570</v>
      </c>
      <c r="M772" s="59" t="str">
        <f t="shared" si="145"/>
        <v>03/01/22 @ 
09/01/22</v>
      </c>
    </row>
    <row r="773" spans="2:13" ht="24" x14ac:dyDescent="0.25">
      <c r="B773" s="55">
        <f t="shared" ref="B773:C788" si="146">+B772+1</f>
        <v>771</v>
      </c>
      <c r="C773" s="56">
        <f t="shared" si="146"/>
        <v>44565</v>
      </c>
      <c r="D773" s="57">
        <f t="shared" si="142"/>
        <v>44565</v>
      </c>
      <c r="E773" s="58">
        <f t="shared" si="141"/>
        <v>111</v>
      </c>
      <c r="G773" s="8">
        <v>202201</v>
      </c>
      <c r="K773" s="56">
        <f t="shared" si="143"/>
        <v>44564</v>
      </c>
      <c r="L773" s="56">
        <f t="shared" si="144"/>
        <v>44570</v>
      </c>
      <c r="M773" s="59" t="str">
        <f t="shared" si="145"/>
        <v>03/01/22 @ 
09/01/22</v>
      </c>
    </row>
    <row r="774" spans="2:13" ht="24" x14ac:dyDescent="0.25">
      <c r="B774" s="55">
        <f t="shared" si="146"/>
        <v>772</v>
      </c>
      <c r="C774" s="56">
        <f t="shared" si="146"/>
        <v>44566</v>
      </c>
      <c r="D774" s="57">
        <f t="shared" si="142"/>
        <v>44566</v>
      </c>
      <c r="E774" s="58">
        <f t="shared" si="141"/>
        <v>111</v>
      </c>
      <c r="G774" s="8">
        <v>202201</v>
      </c>
      <c r="K774" s="56">
        <f t="shared" si="143"/>
        <v>44564</v>
      </c>
      <c r="L774" s="56">
        <f t="shared" si="144"/>
        <v>44570</v>
      </c>
      <c r="M774" s="59" t="str">
        <f t="shared" si="145"/>
        <v>03/01/22 @ 
09/01/22</v>
      </c>
    </row>
    <row r="775" spans="2:13" ht="24" x14ac:dyDescent="0.25">
      <c r="B775" s="55">
        <f t="shared" si="146"/>
        <v>773</v>
      </c>
      <c r="C775" s="56">
        <f t="shared" si="146"/>
        <v>44567</v>
      </c>
      <c r="D775" s="57">
        <f t="shared" si="142"/>
        <v>44567</v>
      </c>
      <c r="E775" s="58">
        <f t="shared" si="141"/>
        <v>111</v>
      </c>
      <c r="G775" s="8">
        <v>202201</v>
      </c>
      <c r="K775" s="56">
        <f t="shared" si="143"/>
        <v>44564</v>
      </c>
      <c r="L775" s="56">
        <f t="shared" si="144"/>
        <v>44570</v>
      </c>
      <c r="M775" s="59" t="str">
        <f t="shared" si="145"/>
        <v>03/01/22 @ 
09/01/22</v>
      </c>
    </row>
    <row r="776" spans="2:13" ht="24" x14ac:dyDescent="0.25">
      <c r="B776" s="55">
        <f t="shared" si="146"/>
        <v>774</v>
      </c>
      <c r="C776" s="56">
        <f t="shared" si="146"/>
        <v>44568</v>
      </c>
      <c r="D776" s="57">
        <f t="shared" si="142"/>
        <v>44568</v>
      </c>
      <c r="E776" s="58">
        <f t="shared" si="141"/>
        <v>111</v>
      </c>
      <c r="G776" s="8">
        <v>202201</v>
      </c>
      <c r="K776" s="56">
        <f t="shared" si="143"/>
        <v>44564</v>
      </c>
      <c r="L776" s="56">
        <f t="shared" si="144"/>
        <v>44570</v>
      </c>
      <c r="M776" s="59" t="str">
        <f t="shared" si="145"/>
        <v>03/01/22 @ 
09/01/22</v>
      </c>
    </row>
    <row r="777" spans="2:13" ht="24" x14ac:dyDescent="0.25">
      <c r="B777" s="55">
        <f t="shared" si="146"/>
        <v>775</v>
      </c>
      <c r="C777" s="56">
        <f t="shared" si="146"/>
        <v>44569</v>
      </c>
      <c r="D777" s="57">
        <f t="shared" si="142"/>
        <v>44569</v>
      </c>
      <c r="E777" s="58">
        <f t="shared" si="141"/>
        <v>111</v>
      </c>
      <c r="G777" s="8">
        <v>202201</v>
      </c>
      <c r="K777" s="56">
        <f t="shared" si="143"/>
        <v>44564</v>
      </c>
      <c r="L777" s="56">
        <f t="shared" si="144"/>
        <v>44570</v>
      </c>
      <c r="M777" s="59" t="str">
        <f t="shared" si="145"/>
        <v>03/01/22 @ 
09/01/22</v>
      </c>
    </row>
    <row r="778" spans="2:13" ht="24" x14ac:dyDescent="0.25">
      <c r="B778" s="55">
        <f t="shared" si="146"/>
        <v>776</v>
      </c>
      <c r="C778" s="56">
        <f t="shared" si="146"/>
        <v>44570</v>
      </c>
      <c r="D778" s="57">
        <f t="shared" si="142"/>
        <v>44570</v>
      </c>
      <c r="E778" s="58">
        <f t="shared" ref="E778:E841" si="147">+E771+1</f>
        <v>111</v>
      </c>
      <c r="G778" s="8">
        <v>202201</v>
      </c>
      <c r="K778" s="56">
        <f t="shared" si="143"/>
        <v>44564</v>
      </c>
      <c r="L778" s="56">
        <f t="shared" si="144"/>
        <v>44570</v>
      </c>
      <c r="M778" s="59" t="str">
        <f t="shared" si="145"/>
        <v>03/01/22 @ 
09/01/22</v>
      </c>
    </row>
    <row r="779" spans="2:13" ht="24" x14ac:dyDescent="0.25">
      <c r="B779" s="55">
        <f t="shared" si="146"/>
        <v>777</v>
      </c>
      <c r="C779" s="56">
        <f t="shared" si="146"/>
        <v>44571</v>
      </c>
      <c r="D779" s="57">
        <f t="shared" si="142"/>
        <v>44571</v>
      </c>
      <c r="E779" s="58">
        <f t="shared" si="147"/>
        <v>112</v>
      </c>
      <c r="G779" s="8">
        <v>202201</v>
      </c>
      <c r="K779" s="56">
        <f t="shared" si="143"/>
        <v>44571</v>
      </c>
      <c r="L779" s="56">
        <f t="shared" si="144"/>
        <v>44577</v>
      </c>
      <c r="M779" s="59" t="str">
        <f t="shared" si="145"/>
        <v>10/01/22 @ 
16/01/22</v>
      </c>
    </row>
    <row r="780" spans="2:13" ht="24" x14ac:dyDescent="0.25">
      <c r="B780" s="55">
        <f t="shared" si="146"/>
        <v>778</v>
      </c>
      <c r="C780" s="56">
        <f t="shared" si="146"/>
        <v>44572</v>
      </c>
      <c r="D780" s="57">
        <f t="shared" si="142"/>
        <v>44572</v>
      </c>
      <c r="E780" s="58">
        <f t="shared" si="147"/>
        <v>112</v>
      </c>
      <c r="G780" s="8">
        <v>202201</v>
      </c>
      <c r="K780" s="56">
        <f t="shared" si="143"/>
        <v>44571</v>
      </c>
      <c r="L780" s="56">
        <f t="shared" si="144"/>
        <v>44577</v>
      </c>
      <c r="M780" s="59" t="str">
        <f t="shared" si="145"/>
        <v>10/01/22 @ 
16/01/22</v>
      </c>
    </row>
    <row r="781" spans="2:13" ht="24" x14ac:dyDescent="0.25">
      <c r="B781" s="55">
        <f t="shared" si="146"/>
        <v>779</v>
      </c>
      <c r="C781" s="56">
        <f t="shared" si="146"/>
        <v>44573</v>
      </c>
      <c r="D781" s="57">
        <f t="shared" si="142"/>
        <v>44573</v>
      </c>
      <c r="E781" s="58">
        <f t="shared" si="147"/>
        <v>112</v>
      </c>
      <c r="G781" s="8">
        <v>202201</v>
      </c>
      <c r="K781" s="56">
        <f t="shared" si="143"/>
        <v>44571</v>
      </c>
      <c r="L781" s="56">
        <f t="shared" si="144"/>
        <v>44577</v>
      </c>
      <c r="M781" s="59" t="str">
        <f t="shared" si="145"/>
        <v>10/01/22 @ 
16/01/22</v>
      </c>
    </row>
    <row r="782" spans="2:13" ht="24" x14ac:dyDescent="0.25">
      <c r="B782" s="55">
        <f t="shared" si="146"/>
        <v>780</v>
      </c>
      <c r="C782" s="56">
        <f t="shared" si="146"/>
        <v>44574</v>
      </c>
      <c r="D782" s="57">
        <f t="shared" si="142"/>
        <v>44574</v>
      </c>
      <c r="E782" s="58">
        <f t="shared" si="147"/>
        <v>112</v>
      </c>
      <c r="G782" s="8">
        <v>202201</v>
      </c>
      <c r="K782" s="56">
        <f t="shared" si="143"/>
        <v>44571</v>
      </c>
      <c r="L782" s="56">
        <f t="shared" si="144"/>
        <v>44577</v>
      </c>
      <c r="M782" s="59" t="str">
        <f t="shared" si="145"/>
        <v>10/01/22 @ 
16/01/22</v>
      </c>
    </row>
    <row r="783" spans="2:13" ht="24" x14ac:dyDescent="0.25">
      <c r="B783" s="55">
        <f t="shared" si="146"/>
        <v>781</v>
      </c>
      <c r="C783" s="56">
        <f t="shared" si="146"/>
        <v>44575</v>
      </c>
      <c r="D783" s="57">
        <f t="shared" si="142"/>
        <v>44575</v>
      </c>
      <c r="E783" s="58">
        <f t="shared" si="147"/>
        <v>112</v>
      </c>
      <c r="G783" s="8">
        <v>202201</v>
      </c>
      <c r="K783" s="56">
        <f t="shared" si="143"/>
        <v>44571</v>
      </c>
      <c r="L783" s="56">
        <f t="shared" si="144"/>
        <v>44577</v>
      </c>
      <c r="M783" s="59" t="str">
        <f t="shared" si="145"/>
        <v>10/01/22 @ 
16/01/22</v>
      </c>
    </row>
    <row r="784" spans="2:13" ht="24" x14ac:dyDescent="0.25">
      <c r="B784" s="55">
        <f t="shared" si="146"/>
        <v>782</v>
      </c>
      <c r="C784" s="56">
        <f t="shared" si="146"/>
        <v>44576</v>
      </c>
      <c r="D784" s="57">
        <f t="shared" si="142"/>
        <v>44576</v>
      </c>
      <c r="E784" s="58">
        <f t="shared" si="147"/>
        <v>112</v>
      </c>
      <c r="G784" s="8">
        <v>202201</v>
      </c>
      <c r="K784" s="56">
        <f t="shared" si="143"/>
        <v>44571</v>
      </c>
      <c r="L784" s="56">
        <f t="shared" si="144"/>
        <v>44577</v>
      </c>
      <c r="M784" s="59" t="str">
        <f t="shared" si="145"/>
        <v>10/01/22 @ 
16/01/22</v>
      </c>
    </row>
    <row r="785" spans="2:13" ht="24" x14ac:dyDescent="0.25">
      <c r="B785" s="55">
        <f t="shared" si="146"/>
        <v>783</v>
      </c>
      <c r="C785" s="56">
        <f t="shared" si="146"/>
        <v>44577</v>
      </c>
      <c r="D785" s="57">
        <f t="shared" si="142"/>
        <v>44577</v>
      </c>
      <c r="E785" s="58">
        <f t="shared" si="147"/>
        <v>112</v>
      </c>
      <c r="G785" s="8">
        <v>202201</v>
      </c>
      <c r="K785" s="56">
        <f t="shared" si="143"/>
        <v>44571</v>
      </c>
      <c r="L785" s="56">
        <f t="shared" si="144"/>
        <v>44577</v>
      </c>
      <c r="M785" s="59" t="str">
        <f t="shared" si="145"/>
        <v>10/01/22 @ 
16/01/22</v>
      </c>
    </row>
    <row r="786" spans="2:13" ht="24" x14ac:dyDescent="0.25">
      <c r="B786" s="55">
        <f t="shared" si="146"/>
        <v>784</v>
      </c>
      <c r="C786" s="56">
        <f t="shared" si="146"/>
        <v>44578</v>
      </c>
      <c r="D786" s="57">
        <f t="shared" si="142"/>
        <v>44578</v>
      </c>
      <c r="E786" s="58">
        <f t="shared" si="147"/>
        <v>113</v>
      </c>
      <c r="G786" s="8">
        <v>202201</v>
      </c>
      <c r="K786" s="56">
        <f t="shared" si="143"/>
        <v>44578</v>
      </c>
      <c r="L786" s="56">
        <f t="shared" si="144"/>
        <v>44584</v>
      </c>
      <c r="M786" s="59" t="str">
        <f t="shared" si="145"/>
        <v>17/01/22 @ 
23/01/22</v>
      </c>
    </row>
    <row r="787" spans="2:13" ht="24" x14ac:dyDescent="0.25">
      <c r="B787" s="55">
        <f t="shared" si="146"/>
        <v>785</v>
      </c>
      <c r="C787" s="56">
        <f t="shared" si="146"/>
        <v>44579</v>
      </c>
      <c r="D787" s="57">
        <f t="shared" si="142"/>
        <v>44579</v>
      </c>
      <c r="E787" s="58">
        <f t="shared" si="147"/>
        <v>113</v>
      </c>
      <c r="G787" s="8">
        <v>202201</v>
      </c>
      <c r="K787" s="56">
        <f t="shared" si="143"/>
        <v>44578</v>
      </c>
      <c r="L787" s="56">
        <f t="shared" si="144"/>
        <v>44584</v>
      </c>
      <c r="M787" s="59" t="str">
        <f t="shared" si="145"/>
        <v>17/01/22 @ 
23/01/22</v>
      </c>
    </row>
    <row r="788" spans="2:13" ht="24" x14ac:dyDescent="0.25">
      <c r="B788" s="55">
        <f t="shared" si="146"/>
        <v>786</v>
      </c>
      <c r="C788" s="56">
        <f t="shared" si="146"/>
        <v>44580</v>
      </c>
      <c r="D788" s="57">
        <f t="shared" si="142"/>
        <v>44580</v>
      </c>
      <c r="E788" s="58">
        <f t="shared" si="147"/>
        <v>113</v>
      </c>
      <c r="G788" s="8">
        <v>202201</v>
      </c>
      <c r="K788" s="56">
        <f t="shared" si="143"/>
        <v>44578</v>
      </c>
      <c r="L788" s="56">
        <f t="shared" si="144"/>
        <v>44584</v>
      </c>
      <c r="M788" s="59" t="str">
        <f t="shared" si="145"/>
        <v>17/01/22 @ 
23/01/22</v>
      </c>
    </row>
    <row r="789" spans="2:13" ht="24" x14ac:dyDescent="0.25">
      <c r="B789" s="55">
        <f t="shared" ref="B789:C804" si="148">+B788+1</f>
        <v>787</v>
      </c>
      <c r="C789" s="56">
        <f t="shared" si="148"/>
        <v>44581</v>
      </c>
      <c r="D789" s="57">
        <f t="shared" si="142"/>
        <v>44581</v>
      </c>
      <c r="E789" s="58">
        <f t="shared" si="147"/>
        <v>113</v>
      </c>
      <c r="G789" s="8">
        <v>202201</v>
      </c>
      <c r="K789" s="56">
        <f t="shared" si="143"/>
        <v>44578</v>
      </c>
      <c r="L789" s="56">
        <f t="shared" si="144"/>
        <v>44584</v>
      </c>
      <c r="M789" s="59" t="str">
        <f t="shared" si="145"/>
        <v>17/01/22 @ 
23/01/22</v>
      </c>
    </row>
    <row r="790" spans="2:13" ht="24" x14ac:dyDescent="0.25">
      <c r="B790" s="55">
        <f t="shared" si="148"/>
        <v>788</v>
      </c>
      <c r="C790" s="56">
        <f t="shared" si="148"/>
        <v>44582</v>
      </c>
      <c r="D790" s="57">
        <f t="shared" si="142"/>
        <v>44582</v>
      </c>
      <c r="E790" s="58">
        <f t="shared" si="147"/>
        <v>113</v>
      </c>
      <c r="G790" s="8">
        <v>202201</v>
      </c>
      <c r="K790" s="56">
        <f t="shared" si="143"/>
        <v>44578</v>
      </c>
      <c r="L790" s="56">
        <f t="shared" si="144"/>
        <v>44584</v>
      </c>
      <c r="M790" s="59" t="str">
        <f t="shared" si="145"/>
        <v>17/01/22 @ 
23/01/22</v>
      </c>
    </row>
    <row r="791" spans="2:13" ht="24" x14ac:dyDescent="0.25">
      <c r="B791" s="55">
        <f t="shared" si="148"/>
        <v>789</v>
      </c>
      <c r="C791" s="56">
        <f t="shared" si="148"/>
        <v>44583</v>
      </c>
      <c r="D791" s="57">
        <f t="shared" si="142"/>
        <v>44583</v>
      </c>
      <c r="E791" s="58">
        <f t="shared" si="147"/>
        <v>113</v>
      </c>
      <c r="G791" s="8">
        <v>202201</v>
      </c>
      <c r="K791" s="56">
        <f t="shared" si="143"/>
        <v>44578</v>
      </c>
      <c r="L791" s="56">
        <f t="shared" si="144"/>
        <v>44584</v>
      </c>
      <c r="M791" s="59" t="str">
        <f t="shared" si="145"/>
        <v>17/01/22 @ 
23/01/22</v>
      </c>
    </row>
    <row r="792" spans="2:13" ht="24" x14ac:dyDescent="0.25">
      <c r="B792" s="55">
        <f t="shared" si="148"/>
        <v>790</v>
      </c>
      <c r="C792" s="56">
        <f t="shared" si="148"/>
        <v>44584</v>
      </c>
      <c r="D792" s="57">
        <f t="shared" si="142"/>
        <v>44584</v>
      </c>
      <c r="E792" s="58">
        <f t="shared" si="147"/>
        <v>113</v>
      </c>
      <c r="G792" s="8">
        <v>202201</v>
      </c>
      <c r="K792" s="56">
        <f t="shared" si="143"/>
        <v>44578</v>
      </c>
      <c r="L792" s="56">
        <f t="shared" si="144"/>
        <v>44584</v>
      </c>
      <c r="M792" s="59" t="str">
        <f t="shared" si="145"/>
        <v>17/01/22 @ 
23/01/22</v>
      </c>
    </row>
    <row r="793" spans="2:13" ht="24" x14ac:dyDescent="0.25">
      <c r="B793" s="55">
        <f t="shared" si="148"/>
        <v>791</v>
      </c>
      <c r="C793" s="56">
        <f t="shared" si="148"/>
        <v>44585</v>
      </c>
      <c r="D793" s="57">
        <f t="shared" si="142"/>
        <v>44585</v>
      </c>
      <c r="E793" s="58">
        <f t="shared" si="147"/>
        <v>114</v>
      </c>
      <c r="G793" s="8">
        <v>202201</v>
      </c>
      <c r="K793" s="56">
        <f t="shared" si="143"/>
        <v>44585</v>
      </c>
      <c r="L793" s="56">
        <f t="shared" si="144"/>
        <v>44591</v>
      </c>
      <c r="M793" s="59" t="str">
        <f t="shared" si="145"/>
        <v>24/01/22 @ 
30/01/22</v>
      </c>
    </row>
    <row r="794" spans="2:13" ht="24" x14ac:dyDescent="0.25">
      <c r="B794" s="55">
        <f t="shared" si="148"/>
        <v>792</v>
      </c>
      <c r="C794" s="56">
        <f t="shared" si="148"/>
        <v>44586</v>
      </c>
      <c r="D794" s="57">
        <f t="shared" si="142"/>
        <v>44586</v>
      </c>
      <c r="E794" s="58">
        <f t="shared" si="147"/>
        <v>114</v>
      </c>
      <c r="G794" s="8">
        <v>202201</v>
      </c>
      <c r="K794" s="56">
        <f t="shared" si="143"/>
        <v>44585</v>
      </c>
      <c r="L794" s="56">
        <f t="shared" si="144"/>
        <v>44591</v>
      </c>
      <c r="M794" s="59" t="str">
        <f t="shared" si="145"/>
        <v>24/01/22 @ 
30/01/22</v>
      </c>
    </row>
    <row r="795" spans="2:13" ht="24" x14ac:dyDescent="0.25">
      <c r="B795" s="55">
        <f t="shared" si="148"/>
        <v>793</v>
      </c>
      <c r="C795" s="56">
        <f t="shared" si="148"/>
        <v>44587</v>
      </c>
      <c r="D795" s="57">
        <f t="shared" si="142"/>
        <v>44587</v>
      </c>
      <c r="E795" s="58">
        <f t="shared" si="147"/>
        <v>114</v>
      </c>
      <c r="G795" s="8">
        <v>202201</v>
      </c>
      <c r="K795" s="56">
        <f t="shared" si="143"/>
        <v>44585</v>
      </c>
      <c r="L795" s="56">
        <f t="shared" si="144"/>
        <v>44591</v>
      </c>
      <c r="M795" s="59" t="str">
        <f t="shared" si="145"/>
        <v>24/01/22 @ 
30/01/22</v>
      </c>
    </row>
    <row r="796" spans="2:13" ht="24" x14ac:dyDescent="0.25">
      <c r="B796" s="55">
        <f t="shared" si="148"/>
        <v>794</v>
      </c>
      <c r="C796" s="56">
        <f t="shared" si="148"/>
        <v>44588</v>
      </c>
      <c r="D796" s="57">
        <f t="shared" si="142"/>
        <v>44588</v>
      </c>
      <c r="E796" s="58">
        <f t="shared" si="147"/>
        <v>114</v>
      </c>
      <c r="G796" s="8">
        <v>202201</v>
      </c>
      <c r="K796" s="56">
        <f t="shared" si="143"/>
        <v>44585</v>
      </c>
      <c r="L796" s="56">
        <f t="shared" si="144"/>
        <v>44591</v>
      </c>
      <c r="M796" s="59" t="str">
        <f t="shared" si="145"/>
        <v>24/01/22 @ 
30/01/22</v>
      </c>
    </row>
    <row r="797" spans="2:13" ht="24" x14ac:dyDescent="0.25">
      <c r="B797" s="55">
        <f t="shared" si="148"/>
        <v>795</v>
      </c>
      <c r="C797" s="56">
        <f t="shared" si="148"/>
        <v>44589</v>
      </c>
      <c r="D797" s="57">
        <f t="shared" si="142"/>
        <v>44589</v>
      </c>
      <c r="E797" s="58">
        <f t="shared" si="147"/>
        <v>114</v>
      </c>
      <c r="G797" s="8">
        <v>202201</v>
      </c>
      <c r="K797" s="56">
        <f t="shared" si="143"/>
        <v>44585</v>
      </c>
      <c r="L797" s="56">
        <f t="shared" si="144"/>
        <v>44591</v>
      </c>
      <c r="M797" s="59" t="str">
        <f t="shared" si="145"/>
        <v>24/01/22 @ 
30/01/22</v>
      </c>
    </row>
    <row r="798" spans="2:13" ht="24" x14ac:dyDescent="0.25">
      <c r="B798" s="55">
        <f t="shared" si="148"/>
        <v>796</v>
      </c>
      <c r="C798" s="56">
        <f t="shared" si="148"/>
        <v>44590</v>
      </c>
      <c r="D798" s="57">
        <f t="shared" si="142"/>
        <v>44590</v>
      </c>
      <c r="E798" s="58">
        <f t="shared" si="147"/>
        <v>114</v>
      </c>
      <c r="G798" s="8">
        <v>202201</v>
      </c>
      <c r="K798" s="56">
        <f t="shared" si="143"/>
        <v>44585</v>
      </c>
      <c r="L798" s="56">
        <f t="shared" si="144"/>
        <v>44591</v>
      </c>
      <c r="M798" s="59" t="str">
        <f t="shared" si="145"/>
        <v>24/01/22 @ 
30/01/22</v>
      </c>
    </row>
    <row r="799" spans="2:13" ht="24" x14ac:dyDescent="0.25">
      <c r="B799" s="55">
        <f t="shared" si="148"/>
        <v>797</v>
      </c>
      <c r="C799" s="56">
        <f t="shared" si="148"/>
        <v>44591</v>
      </c>
      <c r="D799" s="57">
        <f t="shared" si="142"/>
        <v>44591</v>
      </c>
      <c r="E799" s="58">
        <f t="shared" si="147"/>
        <v>114</v>
      </c>
      <c r="G799" s="8">
        <v>202201</v>
      </c>
      <c r="K799" s="56">
        <f t="shared" si="143"/>
        <v>44585</v>
      </c>
      <c r="L799" s="56">
        <f t="shared" si="144"/>
        <v>44591</v>
      </c>
      <c r="M799" s="59" t="str">
        <f t="shared" si="145"/>
        <v>24/01/22 @ 
30/01/22</v>
      </c>
    </row>
    <row r="800" spans="2:13" ht="24" x14ac:dyDescent="0.25">
      <c r="B800" s="55">
        <f t="shared" si="148"/>
        <v>798</v>
      </c>
      <c r="C800" s="56">
        <f t="shared" si="148"/>
        <v>44592</v>
      </c>
      <c r="D800" s="57">
        <f t="shared" si="142"/>
        <v>44592</v>
      </c>
      <c r="E800" s="58">
        <f t="shared" si="147"/>
        <v>115</v>
      </c>
      <c r="G800" s="8">
        <v>202202</v>
      </c>
      <c r="K800" s="56">
        <f t="shared" si="143"/>
        <v>44592</v>
      </c>
      <c r="L800" s="56">
        <f t="shared" si="144"/>
        <v>44598</v>
      </c>
      <c r="M800" s="59" t="str">
        <f t="shared" si="145"/>
        <v>31/01/22 @ 
06/02/22</v>
      </c>
    </row>
    <row r="801" spans="2:13" ht="24" x14ac:dyDescent="0.25">
      <c r="B801" s="55">
        <f t="shared" si="148"/>
        <v>799</v>
      </c>
      <c r="C801" s="56">
        <f t="shared" si="148"/>
        <v>44593</v>
      </c>
      <c r="D801" s="57">
        <f t="shared" si="142"/>
        <v>44593</v>
      </c>
      <c r="E801" s="58">
        <f t="shared" si="147"/>
        <v>115</v>
      </c>
      <c r="G801" s="8">
        <v>202202</v>
      </c>
      <c r="K801" s="56">
        <f t="shared" si="143"/>
        <v>44592</v>
      </c>
      <c r="L801" s="56">
        <f t="shared" si="144"/>
        <v>44598</v>
      </c>
      <c r="M801" s="59" t="str">
        <f t="shared" si="145"/>
        <v>31/01/22 @ 
06/02/22</v>
      </c>
    </row>
    <row r="802" spans="2:13" ht="24" x14ac:dyDescent="0.25">
      <c r="B802" s="55">
        <f t="shared" si="148"/>
        <v>800</v>
      </c>
      <c r="C802" s="56">
        <f t="shared" si="148"/>
        <v>44594</v>
      </c>
      <c r="D802" s="57">
        <f t="shared" si="142"/>
        <v>44594</v>
      </c>
      <c r="E802" s="58">
        <f t="shared" si="147"/>
        <v>115</v>
      </c>
      <c r="G802" s="8">
        <v>202202</v>
      </c>
      <c r="K802" s="56">
        <f t="shared" si="143"/>
        <v>44592</v>
      </c>
      <c r="L802" s="56">
        <f t="shared" si="144"/>
        <v>44598</v>
      </c>
      <c r="M802" s="59" t="str">
        <f t="shared" si="145"/>
        <v>31/01/22 @ 
06/02/22</v>
      </c>
    </row>
    <row r="803" spans="2:13" ht="24" x14ac:dyDescent="0.25">
      <c r="B803" s="55">
        <f t="shared" si="148"/>
        <v>801</v>
      </c>
      <c r="C803" s="56">
        <f t="shared" si="148"/>
        <v>44595</v>
      </c>
      <c r="D803" s="57">
        <f t="shared" si="142"/>
        <v>44595</v>
      </c>
      <c r="E803" s="58">
        <f t="shared" si="147"/>
        <v>115</v>
      </c>
      <c r="G803" s="8">
        <v>202202</v>
      </c>
      <c r="K803" s="56">
        <f t="shared" si="143"/>
        <v>44592</v>
      </c>
      <c r="L803" s="56">
        <f t="shared" si="144"/>
        <v>44598</v>
      </c>
      <c r="M803" s="59" t="str">
        <f t="shared" si="145"/>
        <v>31/01/22 @ 
06/02/22</v>
      </c>
    </row>
    <row r="804" spans="2:13" ht="24" x14ac:dyDescent="0.25">
      <c r="B804" s="55">
        <f t="shared" si="148"/>
        <v>802</v>
      </c>
      <c r="C804" s="56">
        <f t="shared" si="148"/>
        <v>44596</v>
      </c>
      <c r="D804" s="57">
        <f t="shared" si="142"/>
        <v>44596</v>
      </c>
      <c r="E804" s="58">
        <f t="shared" si="147"/>
        <v>115</v>
      </c>
      <c r="G804" s="8">
        <v>202202</v>
      </c>
      <c r="K804" s="56">
        <f t="shared" si="143"/>
        <v>44592</v>
      </c>
      <c r="L804" s="56">
        <f t="shared" si="144"/>
        <v>44598</v>
      </c>
      <c r="M804" s="59" t="str">
        <f t="shared" si="145"/>
        <v>31/01/22 @ 
06/02/22</v>
      </c>
    </row>
    <row r="805" spans="2:13" ht="24" x14ac:dyDescent="0.25">
      <c r="B805" s="55">
        <f t="shared" ref="B805:C820" si="149">+B804+1</f>
        <v>803</v>
      </c>
      <c r="C805" s="56">
        <f t="shared" si="149"/>
        <v>44597</v>
      </c>
      <c r="D805" s="57">
        <f t="shared" si="142"/>
        <v>44597</v>
      </c>
      <c r="E805" s="58">
        <f t="shared" si="147"/>
        <v>115</v>
      </c>
      <c r="G805" s="8">
        <v>202202</v>
      </c>
      <c r="K805" s="56">
        <f t="shared" si="143"/>
        <v>44592</v>
      </c>
      <c r="L805" s="56">
        <f t="shared" si="144"/>
        <v>44598</v>
      </c>
      <c r="M805" s="59" t="str">
        <f t="shared" si="145"/>
        <v>31/01/22 @ 
06/02/22</v>
      </c>
    </row>
    <row r="806" spans="2:13" ht="24" x14ac:dyDescent="0.25">
      <c r="B806" s="55">
        <f t="shared" si="149"/>
        <v>804</v>
      </c>
      <c r="C806" s="56">
        <f t="shared" si="149"/>
        <v>44598</v>
      </c>
      <c r="D806" s="57">
        <f t="shared" si="142"/>
        <v>44598</v>
      </c>
      <c r="E806" s="58">
        <f t="shared" si="147"/>
        <v>115</v>
      </c>
      <c r="G806" s="8">
        <v>202202</v>
      </c>
      <c r="K806" s="56">
        <f t="shared" si="143"/>
        <v>44592</v>
      </c>
      <c r="L806" s="56">
        <f t="shared" si="144"/>
        <v>44598</v>
      </c>
      <c r="M806" s="59" t="str">
        <f t="shared" si="145"/>
        <v>31/01/22 @ 
06/02/22</v>
      </c>
    </row>
    <row r="807" spans="2:13" ht="24" x14ac:dyDescent="0.25">
      <c r="B807" s="55">
        <f t="shared" si="149"/>
        <v>805</v>
      </c>
      <c r="C807" s="56">
        <f t="shared" si="149"/>
        <v>44599</v>
      </c>
      <c r="D807" s="57">
        <f t="shared" si="142"/>
        <v>44599</v>
      </c>
      <c r="E807" s="58">
        <f t="shared" si="147"/>
        <v>116</v>
      </c>
      <c r="G807" s="8">
        <v>202202</v>
      </c>
      <c r="K807" s="56">
        <f t="shared" si="143"/>
        <v>44599</v>
      </c>
      <c r="L807" s="56">
        <f t="shared" si="144"/>
        <v>44605</v>
      </c>
      <c r="M807" s="59" t="str">
        <f t="shared" si="145"/>
        <v>07/02/22 @ 
13/02/22</v>
      </c>
    </row>
    <row r="808" spans="2:13" ht="24" x14ac:dyDescent="0.25">
      <c r="B808" s="55">
        <f t="shared" si="149"/>
        <v>806</v>
      </c>
      <c r="C808" s="56">
        <f t="shared" si="149"/>
        <v>44600</v>
      </c>
      <c r="D808" s="57">
        <f t="shared" si="142"/>
        <v>44600</v>
      </c>
      <c r="E808" s="58">
        <f t="shared" si="147"/>
        <v>116</v>
      </c>
      <c r="G808" s="8">
        <v>202202</v>
      </c>
      <c r="K808" s="56">
        <f t="shared" si="143"/>
        <v>44599</v>
      </c>
      <c r="L808" s="56">
        <f t="shared" si="144"/>
        <v>44605</v>
      </c>
      <c r="M808" s="59" t="str">
        <f t="shared" si="145"/>
        <v>07/02/22 @ 
13/02/22</v>
      </c>
    </row>
    <row r="809" spans="2:13" ht="24" x14ac:dyDescent="0.25">
      <c r="B809" s="55">
        <f t="shared" si="149"/>
        <v>807</v>
      </c>
      <c r="C809" s="56">
        <f t="shared" si="149"/>
        <v>44601</v>
      </c>
      <c r="D809" s="57">
        <f t="shared" si="142"/>
        <v>44601</v>
      </c>
      <c r="E809" s="58">
        <f t="shared" si="147"/>
        <v>116</v>
      </c>
      <c r="G809" s="8">
        <v>202202</v>
      </c>
      <c r="K809" s="56">
        <f t="shared" si="143"/>
        <v>44599</v>
      </c>
      <c r="L809" s="56">
        <f t="shared" si="144"/>
        <v>44605</v>
      </c>
      <c r="M809" s="59" t="str">
        <f t="shared" si="145"/>
        <v>07/02/22 @ 
13/02/22</v>
      </c>
    </row>
    <row r="810" spans="2:13" ht="24" x14ac:dyDescent="0.25">
      <c r="B810" s="55">
        <f t="shared" si="149"/>
        <v>808</v>
      </c>
      <c r="C810" s="56">
        <f t="shared" si="149"/>
        <v>44602</v>
      </c>
      <c r="D810" s="57">
        <f t="shared" si="142"/>
        <v>44602</v>
      </c>
      <c r="E810" s="58">
        <f t="shared" si="147"/>
        <v>116</v>
      </c>
      <c r="G810" s="8">
        <v>202202</v>
      </c>
      <c r="K810" s="56">
        <f t="shared" si="143"/>
        <v>44599</v>
      </c>
      <c r="L810" s="56">
        <f t="shared" si="144"/>
        <v>44605</v>
      </c>
      <c r="M810" s="59" t="str">
        <f t="shared" si="145"/>
        <v>07/02/22 @ 
13/02/22</v>
      </c>
    </row>
    <row r="811" spans="2:13" ht="24" x14ac:dyDescent="0.25">
      <c r="B811" s="55">
        <f t="shared" si="149"/>
        <v>809</v>
      </c>
      <c r="C811" s="56">
        <f t="shared" si="149"/>
        <v>44603</v>
      </c>
      <c r="D811" s="57">
        <f t="shared" si="142"/>
        <v>44603</v>
      </c>
      <c r="E811" s="58">
        <f t="shared" si="147"/>
        <v>116</v>
      </c>
      <c r="G811" s="8">
        <v>202202</v>
      </c>
      <c r="K811" s="56">
        <f t="shared" si="143"/>
        <v>44599</v>
      </c>
      <c r="L811" s="56">
        <f t="shared" si="144"/>
        <v>44605</v>
      </c>
      <c r="M811" s="59" t="str">
        <f t="shared" si="145"/>
        <v>07/02/22 @ 
13/02/22</v>
      </c>
    </row>
    <row r="812" spans="2:13" ht="24" x14ac:dyDescent="0.25">
      <c r="B812" s="55">
        <f t="shared" si="149"/>
        <v>810</v>
      </c>
      <c r="C812" s="56">
        <f t="shared" si="149"/>
        <v>44604</v>
      </c>
      <c r="D812" s="57">
        <f t="shared" si="142"/>
        <v>44604</v>
      </c>
      <c r="E812" s="58">
        <f t="shared" si="147"/>
        <v>116</v>
      </c>
      <c r="G812" s="8">
        <v>202202</v>
      </c>
      <c r="K812" s="56">
        <f t="shared" si="143"/>
        <v>44599</v>
      </c>
      <c r="L812" s="56">
        <f t="shared" si="144"/>
        <v>44605</v>
      </c>
      <c r="M812" s="59" t="str">
        <f t="shared" si="145"/>
        <v>07/02/22 @ 
13/02/22</v>
      </c>
    </row>
    <row r="813" spans="2:13" ht="24" x14ac:dyDescent="0.25">
      <c r="B813" s="55">
        <f t="shared" si="149"/>
        <v>811</v>
      </c>
      <c r="C813" s="56">
        <f t="shared" si="149"/>
        <v>44605</v>
      </c>
      <c r="D813" s="57">
        <f t="shared" si="142"/>
        <v>44605</v>
      </c>
      <c r="E813" s="58">
        <f t="shared" si="147"/>
        <v>116</v>
      </c>
      <c r="G813" s="8">
        <v>202202</v>
      </c>
      <c r="K813" s="56">
        <f t="shared" si="143"/>
        <v>44599</v>
      </c>
      <c r="L813" s="56">
        <f t="shared" si="144"/>
        <v>44605</v>
      </c>
      <c r="M813" s="59" t="str">
        <f t="shared" si="145"/>
        <v>07/02/22 @ 
13/02/22</v>
      </c>
    </row>
    <row r="814" spans="2:13" ht="24" x14ac:dyDescent="0.25">
      <c r="B814" s="55">
        <f t="shared" si="149"/>
        <v>812</v>
      </c>
      <c r="C814" s="56">
        <f t="shared" si="149"/>
        <v>44606</v>
      </c>
      <c r="D814" s="57">
        <f t="shared" si="142"/>
        <v>44606</v>
      </c>
      <c r="E814" s="58">
        <f t="shared" si="147"/>
        <v>117</v>
      </c>
      <c r="G814" s="8">
        <v>202202</v>
      </c>
      <c r="K814" s="56">
        <f t="shared" si="143"/>
        <v>44606</v>
      </c>
      <c r="L814" s="56">
        <f t="shared" si="144"/>
        <v>44612</v>
      </c>
      <c r="M814" s="59" t="str">
        <f t="shared" si="145"/>
        <v>14/02/22 @ 
20/02/22</v>
      </c>
    </row>
    <row r="815" spans="2:13" ht="24" x14ac:dyDescent="0.25">
      <c r="B815" s="55">
        <f t="shared" si="149"/>
        <v>813</v>
      </c>
      <c r="C815" s="56">
        <f t="shared" si="149"/>
        <v>44607</v>
      </c>
      <c r="D815" s="57">
        <f t="shared" si="142"/>
        <v>44607</v>
      </c>
      <c r="E815" s="58">
        <f t="shared" si="147"/>
        <v>117</v>
      </c>
      <c r="G815" s="8">
        <v>202202</v>
      </c>
      <c r="K815" s="56">
        <f t="shared" si="143"/>
        <v>44606</v>
      </c>
      <c r="L815" s="56">
        <f t="shared" si="144"/>
        <v>44612</v>
      </c>
      <c r="M815" s="59" t="str">
        <f t="shared" si="145"/>
        <v>14/02/22 @ 
20/02/22</v>
      </c>
    </row>
    <row r="816" spans="2:13" ht="24" x14ac:dyDescent="0.25">
      <c r="B816" s="55">
        <f t="shared" si="149"/>
        <v>814</v>
      </c>
      <c r="C816" s="56">
        <f t="shared" si="149"/>
        <v>44608</v>
      </c>
      <c r="D816" s="57">
        <f t="shared" si="142"/>
        <v>44608</v>
      </c>
      <c r="E816" s="58">
        <f t="shared" si="147"/>
        <v>117</v>
      </c>
      <c r="G816" s="8">
        <v>202202</v>
      </c>
      <c r="K816" s="56">
        <f t="shared" si="143"/>
        <v>44606</v>
      </c>
      <c r="L816" s="56">
        <f t="shared" si="144"/>
        <v>44612</v>
      </c>
      <c r="M816" s="59" t="str">
        <f t="shared" si="145"/>
        <v>14/02/22 @ 
20/02/22</v>
      </c>
    </row>
    <row r="817" spans="2:13" ht="24" x14ac:dyDescent="0.25">
      <c r="B817" s="55">
        <f t="shared" si="149"/>
        <v>815</v>
      </c>
      <c r="C817" s="56">
        <f t="shared" si="149"/>
        <v>44609</v>
      </c>
      <c r="D817" s="57">
        <f t="shared" si="142"/>
        <v>44609</v>
      </c>
      <c r="E817" s="58">
        <f t="shared" si="147"/>
        <v>117</v>
      </c>
      <c r="G817" s="8">
        <v>202202</v>
      </c>
      <c r="K817" s="56">
        <f t="shared" si="143"/>
        <v>44606</v>
      </c>
      <c r="L817" s="56">
        <f t="shared" si="144"/>
        <v>44612</v>
      </c>
      <c r="M817" s="59" t="str">
        <f t="shared" si="145"/>
        <v>14/02/22 @ 
20/02/22</v>
      </c>
    </row>
    <row r="818" spans="2:13" ht="24" x14ac:dyDescent="0.25">
      <c r="B818" s="55">
        <f t="shared" si="149"/>
        <v>816</v>
      </c>
      <c r="C818" s="56">
        <f t="shared" si="149"/>
        <v>44610</v>
      </c>
      <c r="D818" s="57">
        <f t="shared" si="142"/>
        <v>44610</v>
      </c>
      <c r="E818" s="58">
        <f t="shared" si="147"/>
        <v>117</v>
      </c>
      <c r="G818" s="8">
        <v>202202</v>
      </c>
      <c r="K818" s="56">
        <f t="shared" si="143"/>
        <v>44606</v>
      </c>
      <c r="L818" s="56">
        <f t="shared" si="144"/>
        <v>44612</v>
      </c>
      <c r="M818" s="59" t="str">
        <f t="shared" si="145"/>
        <v>14/02/22 @ 
20/02/22</v>
      </c>
    </row>
    <row r="819" spans="2:13" ht="24" x14ac:dyDescent="0.25">
      <c r="B819" s="55">
        <f t="shared" si="149"/>
        <v>817</v>
      </c>
      <c r="C819" s="56">
        <f t="shared" si="149"/>
        <v>44611</v>
      </c>
      <c r="D819" s="57">
        <f t="shared" si="142"/>
        <v>44611</v>
      </c>
      <c r="E819" s="58">
        <f t="shared" si="147"/>
        <v>117</v>
      </c>
      <c r="G819" s="8">
        <v>202202</v>
      </c>
      <c r="K819" s="56">
        <f t="shared" si="143"/>
        <v>44606</v>
      </c>
      <c r="L819" s="56">
        <f t="shared" si="144"/>
        <v>44612</v>
      </c>
      <c r="M819" s="59" t="str">
        <f t="shared" si="145"/>
        <v>14/02/22 @ 
20/02/22</v>
      </c>
    </row>
    <row r="820" spans="2:13" ht="24" x14ac:dyDescent="0.25">
      <c r="B820" s="55">
        <f t="shared" si="149"/>
        <v>818</v>
      </c>
      <c r="C820" s="56">
        <f t="shared" si="149"/>
        <v>44612</v>
      </c>
      <c r="D820" s="57">
        <f t="shared" si="142"/>
        <v>44612</v>
      </c>
      <c r="E820" s="58">
        <f t="shared" si="147"/>
        <v>117</v>
      </c>
      <c r="G820" s="8">
        <v>202202</v>
      </c>
      <c r="K820" s="56">
        <f t="shared" si="143"/>
        <v>44606</v>
      </c>
      <c r="L820" s="56">
        <f t="shared" si="144"/>
        <v>44612</v>
      </c>
      <c r="M820" s="59" t="str">
        <f t="shared" si="145"/>
        <v>14/02/22 @ 
20/02/22</v>
      </c>
    </row>
    <row r="821" spans="2:13" ht="24" x14ac:dyDescent="0.25">
      <c r="B821" s="55">
        <f t="shared" ref="B821:C836" si="150">+B820+1</f>
        <v>819</v>
      </c>
      <c r="C821" s="56">
        <f t="shared" si="150"/>
        <v>44613</v>
      </c>
      <c r="D821" s="57">
        <f t="shared" si="142"/>
        <v>44613</v>
      </c>
      <c r="E821" s="58">
        <f t="shared" si="147"/>
        <v>118</v>
      </c>
      <c r="G821" s="8">
        <v>202202</v>
      </c>
      <c r="K821" s="56">
        <f t="shared" si="143"/>
        <v>44613</v>
      </c>
      <c r="L821" s="56">
        <f t="shared" si="144"/>
        <v>44619</v>
      </c>
      <c r="M821" s="59" t="str">
        <f t="shared" si="145"/>
        <v>21/02/22 @ 
27/02/22</v>
      </c>
    </row>
    <row r="822" spans="2:13" ht="24" x14ac:dyDescent="0.25">
      <c r="B822" s="55">
        <f t="shared" si="150"/>
        <v>820</v>
      </c>
      <c r="C822" s="56">
        <f t="shared" si="150"/>
        <v>44614</v>
      </c>
      <c r="D822" s="57">
        <f t="shared" si="142"/>
        <v>44614</v>
      </c>
      <c r="E822" s="58">
        <f t="shared" si="147"/>
        <v>118</v>
      </c>
      <c r="G822" s="8">
        <v>202202</v>
      </c>
      <c r="K822" s="56">
        <f t="shared" si="143"/>
        <v>44613</v>
      </c>
      <c r="L822" s="56">
        <f t="shared" si="144"/>
        <v>44619</v>
      </c>
      <c r="M822" s="59" t="str">
        <f t="shared" si="145"/>
        <v>21/02/22 @ 
27/02/22</v>
      </c>
    </row>
    <row r="823" spans="2:13" ht="24" x14ac:dyDescent="0.25">
      <c r="B823" s="55">
        <f t="shared" si="150"/>
        <v>821</v>
      </c>
      <c r="C823" s="56">
        <f t="shared" si="150"/>
        <v>44615</v>
      </c>
      <c r="D823" s="57">
        <f t="shared" si="142"/>
        <v>44615</v>
      </c>
      <c r="E823" s="58">
        <f t="shared" si="147"/>
        <v>118</v>
      </c>
      <c r="G823" s="8">
        <v>202202</v>
      </c>
      <c r="K823" s="56">
        <f t="shared" si="143"/>
        <v>44613</v>
      </c>
      <c r="L823" s="56">
        <f t="shared" si="144"/>
        <v>44619</v>
      </c>
      <c r="M823" s="59" t="str">
        <f t="shared" si="145"/>
        <v>21/02/22 @ 
27/02/22</v>
      </c>
    </row>
    <row r="824" spans="2:13" ht="24" x14ac:dyDescent="0.25">
      <c r="B824" s="55">
        <f t="shared" si="150"/>
        <v>822</v>
      </c>
      <c r="C824" s="56">
        <f t="shared" si="150"/>
        <v>44616</v>
      </c>
      <c r="D824" s="57">
        <f t="shared" si="142"/>
        <v>44616</v>
      </c>
      <c r="E824" s="58">
        <f t="shared" si="147"/>
        <v>118</v>
      </c>
      <c r="G824" s="8">
        <v>202202</v>
      </c>
      <c r="K824" s="56">
        <f t="shared" si="143"/>
        <v>44613</v>
      </c>
      <c r="L824" s="56">
        <f t="shared" si="144"/>
        <v>44619</v>
      </c>
      <c r="M824" s="59" t="str">
        <f t="shared" si="145"/>
        <v>21/02/22 @ 
27/02/22</v>
      </c>
    </row>
    <row r="825" spans="2:13" ht="24" x14ac:dyDescent="0.25">
      <c r="B825" s="55">
        <f t="shared" si="150"/>
        <v>823</v>
      </c>
      <c r="C825" s="56">
        <f t="shared" si="150"/>
        <v>44617</v>
      </c>
      <c r="D825" s="57">
        <f t="shared" si="142"/>
        <v>44617</v>
      </c>
      <c r="E825" s="58">
        <f t="shared" si="147"/>
        <v>118</v>
      </c>
      <c r="G825" s="8">
        <v>202202</v>
      </c>
      <c r="K825" s="56">
        <f t="shared" si="143"/>
        <v>44613</v>
      </c>
      <c r="L825" s="56">
        <f t="shared" si="144"/>
        <v>44619</v>
      </c>
      <c r="M825" s="59" t="str">
        <f t="shared" si="145"/>
        <v>21/02/22 @ 
27/02/22</v>
      </c>
    </row>
    <row r="826" spans="2:13" ht="24" x14ac:dyDescent="0.25">
      <c r="B826" s="55">
        <f t="shared" si="150"/>
        <v>824</v>
      </c>
      <c r="C826" s="56">
        <f t="shared" si="150"/>
        <v>44618</v>
      </c>
      <c r="D826" s="57">
        <f t="shared" si="142"/>
        <v>44618</v>
      </c>
      <c r="E826" s="58">
        <f t="shared" si="147"/>
        <v>118</v>
      </c>
      <c r="G826" s="8">
        <v>202202</v>
      </c>
      <c r="K826" s="56">
        <f t="shared" si="143"/>
        <v>44613</v>
      </c>
      <c r="L826" s="56">
        <f t="shared" si="144"/>
        <v>44619</v>
      </c>
      <c r="M826" s="59" t="str">
        <f t="shared" si="145"/>
        <v>21/02/22 @ 
27/02/22</v>
      </c>
    </row>
    <row r="827" spans="2:13" ht="24" x14ac:dyDescent="0.25">
      <c r="B827" s="55">
        <f t="shared" si="150"/>
        <v>825</v>
      </c>
      <c r="C827" s="56">
        <f t="shared" si="150"/>
        <v>44619</v>
      </c>
      <c r="D827" s="57">
        <f t="shared" si="142"/>
        <v>44619</v>
      </c>
      <c r="E827" s="58">
        <f t="shared" si="147"/>
        <v>118</v>
      </c>
      <c r="G827" s="8">
        <v>202202</v>
      </c>
      <c r="K827" s="56">
        <f t="shared" si="143"/>
        <v>44613</v>
      </c>
      <c r="L827" s="56">
        <f t="shared" si="144"/>
        <v>44619</v>
      </c>
      <c r="M827" s="59" t="str">
        <f t="shared" si="145"/>
        <v>21/02/22 @ 
27/02/22</v>
      </c>
    </row>
    <row r="828" spans="2:13" ht="24" x14ac:dyDescent="0.25">
      <c r="B828" s="55">
        <f t="shared" si="150"/>
        <v>826</v>
      </c>
      <c r="C828" s="56">
        <f t="shared" si="150"/>
        <v>44620</v>
      </c>
      <c r="D828" s="57">
        <f t="shared" si="142"/>
        <v>44620</v>
      </c>
      <c r="E828" s="58">
        <f t="shared" si="147"/>
        <v>119</v>
      </c>
      <c r="G828" s="8">
        <v>202203</v>
      </c>
      <c r="K828" s="56">
        <f t="shared" si="143"/>
        <v>44620</v>
      </c>
      <c r="L828" s="56">
        <f t="shared" si="144"/>
        <v>44626</v>
      </c>
      <c r="M828" s="59" t="str">
        <f t="shared" si="145"/>
        <v>28/02/22 @ 
06/03/22</v>
      </c>
    </row>
    <row r="829" spans="2:13" ht="24" x14ac:dyDescent="0.25">
      <c r="B829" s="55">
        <f t="shared" si="150"/>
        <v>827</v>
      </c>
      <c r="C829" s="56">
        <f t="shared" si="150"/>
        <v>44621</v>
      </c>
      <c r="D829" s="57">
        <f t="shared" si="142"/>
        <v>44621</v>
      </c>
      <c r="E829" s="58">
        <f t="shared" si="147"/>
        <v>119</v>
      </c>
      <c r="G829" s="8">
        <v>202203</v>
      </c>
      <c r="K829" s="56">
        <f t="shared" si="143"/>
        <v>44620</v>
      </c>
      <c r="L829" s="56">
        <f t="shared" si="144"/>
        <v>44626</v>
      </c>
      <c r="M829" s="59" t="str">
        <f t="shared" si="145"/>
        <v>28/02/22 @ 
06/03/22</v>
      </c>
    </row>
    <row r="830" spans="2:13" ht="24" x14ac:dyDescent="0.25">
      <c r="B830" s="55">
        <f t="shared" si="150"/>
        <v>828</v>
      </c>
      <c r="C830" s="56">
        <f t="shared" si="150"/>
        <v>44622</v>
      </c>
      <c r="D830" s="57">
        <f t="shared" si="142"/>
        <v>44622</v>
      </c>
      <c r="E830" s="58">
        <f t="shared" si="147"/>
        <v>119</v>
      </c>
      <c r="G830" s="8">
        <v>202203</v>
      </c>
      <c r="K830" s="56">
        <f t="shared" si="143"/>
        <v>44620</v>
      </c>
      <c r="L830" s="56">
        <f t="shared" si="144"/>
        <v>44626</v>
      </c>
      <c r="M830" s="59" t="str">
        <f t="shared" si="145"/>
        <v>28/02/22 @ 
06/03/22</v>
      </c>
    </row>
    <row r="831" spans="2:13" ht="24" x14ac:dyDescent="0.25">
      <c r="B831" s="55">
        <f t="shared" si="150"/>
        <v>829</v>
      </c>
      <c r="C831" s="56">
        <f t="shared" si="150"/>
        <v>44623</v>
      </c>
      <c r="D831" s="57">
        <f t="shared" si="142"/>
        <v>44623</v>
      </c>
      <c r="E831" s="58">
        <f t="shared" si="147"/>
        <v>119</v>
      </c>
      <c r="G831" s="8">
        <v>202203</v>
      </c>
      <c r="K831" s="56">
        <f t="shared" si="143"/>
        <v>44620</v>
      </c>
      <c r="L831" s="56">
        <f t="shared" si="144"/>
        <v>44626</v>
      </c>
      <c r="M831" s="59" t="str">
        <f t="shared" si="145"/>
        <v>28/02/22 @ 
06/03/22</v>
      </c>
    </row>
    <row r="832" spans="2:13" ht="24" x14ac:dyDescent="0.25">
      <c r="B832" s="55">
        <f t="shared" si="150"/>
        <v>830</v>
      </c>
      <c r="C832" s="56">
        <f t="shared" si="150"/>
        <v>44624</v>
      </c>
      <c r="D832" s="57">
        <f t="shared" si="142"/>
        <v>44624</v>
      </c>
      <c r="E832" s="58">
        <f t="shared" si="147"/>
        <v>119</v>
      </c>
      <c r="G832" s="8">
        <v>202203</v>
      </c>
      <c r="K832" s="56">
        <f t="shared" si="143"/>
        <v>44620</v>
      </c>
      <c r="L832" s="56">
        <f t="shared" si="144"/>
        <v>44626</v>
      </c>
      <c r="M832" s="59" t="str">
        <f t="shared" si="145"/>
        <v>28/02/22 @ 
06/03/22</v>
      </c>
    </row>
    <row r="833" spans="2:13" ht="24" x14ac:dyDescent="0.25">
      <c r="B833" s="55">
        <f t="shared" si="150"/>
        <v>831</v>
      </c>
      <c r="C833" s="56">
        <f t="shared" si="150"/>
        <v>44625</v>
      </c>
      <c r="D833" s="57">
        <f t="shared" si="142"/>
        <v>44625</v>
      </c>
      <c r="E833" s="58">
        <f t="shared" si="147"/>
        <v>119</v>
      </c>
      <c r="G833" s="8">
        <v>202203</v>
      </c>
      <c r="K833" s="56">
        <f t="shared" si="143"/>
        <v>44620</v>
      </c>
      <c r="L833" s="56">
        <f t="shared" si="144"/>
        <v>44626</v>
      </c>
      <c r="M833" s="59" t="str">
        <f t="shared" si="145"/>
        <v>28/02/22 @ 
06/03/22</v>
      </c>
    </row>
    <row r="834" spans="2:13" ht="24" x14ac:dyDescent="0.25">
      <c r="B834" s="55">
        <f t="shared" si="150"/>
        <v>832</v>
      </c>
      <c r="C834" s="56">
        <f t="shared" si="150"/>
        <v>44626</v>
      </c>
      <c r="D834" s="57">
        <f t="shared" si="142"/>
        <v>44626</v>
      </c>
      <c r="E834" s="58">
        <f t="shared" si="147"/>
        <v>119</v>
      </c>
      <c r="G834" s="8">
        <v>202203</v>
      </c>
      <c r="K834" s="56">
        <f t="shared" si="143"/>
        <v>44620</v>
      </c>
      <c r="L834" s="56">
        <f t="shared" si="144"/>
        <v>44626</v>
      </c>
      <c r="M834" s="59" t="str">
        <f t="shared" si="145"/>
        <v>28/02/22 @ 
06/03/22</v>
      </c>
    </row>
    <row r="835" spans="2:13" ht="24" x14ac:dyDescent="0.25">
      <c r="B835" s="55">
        <f t="shared" si="150"/>
        <v>833</v>
      </c>
      <c r="C835" s="56">
        <f t="shared" si="150"/>
        <v>44627</v>
      </c>
      <c r="D835" s="57">
        <f t="shared" ref="D835:D890" si="151">+C835</f>
        <v>44627</v>
      </c>
      <c r="E835" s="58">
        <f t="shared" si="147"/>
        <v>120</v>
      </c>
      <c r="G835" s="8">
        <v>202203</v>
      </c>
      <c r="K835" s="56">
        <f t="shared" ref="K835:K890" si="152">_xlfn.MINIFS($C$2:$C$890,$E$2:$E$890,E835)</f>
        <v>44627</v>
      </c>
      <c r="L835" s="56">
        <f t="shared" ref="L835:L890" si="153">_xlfn.MAXIFS($C$2:$C$890,$E$2:$E$890,E835)</f>
        <v>44633</v>
      </c>
      <c r="M835" s="59" t="str">
        <f t="shared" ref="M835:M890" si="154">CONCATENATE(TEXT(K835,"DD/MM/YY")," @ ",CHAR(10),TEXT(L835,"DD/MM/YY"))</f>
        <v>07/03/22 @ 
13/03/22</v>
      </c>
    </row>
    <row r="836" spans="2:13" ht="24" x14ac:dyDescent="0.25">
      <c r="B836" s="55">
        <f t="shared" si="150"/>
        <v>834</v>
      </c>
      <c r="C836" s="56">
        <f t="shared" si="150"/>
        <v>44628</v>
      </c>
      <c r="D836" s="57">
        <f t="shared" si="151"/>
        <v>44628</v>
      </c>
      <c r="E836" s="58">
        <f t="shared" si="147"/>
        <v>120</v>
      </c>
      <c r="G836" s="8">
        <v>202203</v>
      </c>
      <c r="K836" s="56">
        <f t="shared" si="152"/>
        <v>44627</v>
      </c>
      <c r="L836" s="56">
        <f t="shared" si="153"/>
        <v>44633</v>
      </c>
      <c r="M836" s="59" t="str">
        <f t="shared" si="154"/>
        <v>07/03/22 @ 
13/03/22</v>
      </c>
    </row>
    <row r="837" spans="2:13" ht="24" x14ac:dyDescent="0.25">
      <c r="B837" s="55">
        <f t="shared" ref="B837:C852" si="155">+B836+1</f>
        <v>835</v>
      </c>
      <c r="C837" s="56">
        <f t="shared" si="155"/>
        <v>44629</v>
      </c>
      <c r="D837" s="57">
        <f t="shared" si="151"/>
        <v>44629</v>
      </c>
      <c r="E837" s="58">
        <f t="shared" si="147"/>
        <v>120</v>
      </c>
      <c r="G837" s="8">
        <v>202203</v>
      </c>
      <c r="K837" s="56">
        <f t="shared" si="152"/>
        <v>44627</v>
      </c>
      <c r="L837" s="56">
        <f t="shared" si="153"/>
        <v>44633</v>
      </c>
      <c r="M837" s="59" t="str">
        <f t="shared" si="154"/>
        <v>07/03/22 @ 
13/03/22</v>
      </c>
    </row>
    <row r="838" spans="2:13" ht="24" x14ac:dyDescent="0.25">
      <c r="B838" s="55">
        <f t="shared" si="155"/>
        <v>836</v>
      </c>
      <c r="C838" s="56">
        <f t="shared" si="155"/>
        <v>44630</v>
      </c>
      <c r="D838" s="57">
        <f t="shared" si="151"/>
        <v>44630</v>
      </c>
      <c r="E838" s="58">
        <f t="shared" si="147"/>
        <v>120</v>
      </c>
      <c r="G838" s="8">
        <v>202203</v>
      </c>
      <c r="K838" s="56">
        <f t="shared" si="152"/>
        <v>44627</v>
      </c>
      <c r="L838" s="56">
        <f t="shared" si="153"/>
        <v>44633</v>
      </c>
      <c r="M838" s="59" t="str">
        <f t="shared" si="154"/>
        <v>07/03/22 @ 
13/03/22</v>
      </c>
    </row>
    <row r="839" spans="2:13" ht="24" x14ac:dyDescent="0.25">
      <c r="B839" s="55">
        <f t="shared" si="155"/>
        <v>837</v>
      </c>
      <c r="C839" s="56">
        <f t="shared" si="155"/>
        <v>44631</v>
      </c>
      <c r="D839" s="57">
        <f t="shared" si="151"/>
        <v>44631</v>
      </c>
      <c r="E839" s="58">
        <f t="shared" si="147"/>
        <v>120</v>
      </c>
      <c r="G839" s="8">
        <v>202203</v>
      </c>
      <c r="K839" s="56">
        <f t="shared" si="152"/>
        <v>44627</v>
      </c>
      <c r="L839" s="56">
        <f t="shared" si="153"/>
        <v>44633</v>
      </c>
      <c r="M839" s="59" t="str">
        <f t="shared" si="154"/>
        <v>07/03/22 @ 
13/03/22</v>
      </c>
    </row>
    <row r="840" spans="2:13" ht="24" x14ac:dyDescent="0.25">
      <c r="B840" s="55">
        <f t="shared" si="155"/>
        <v>838</v>
      </c>
      <c r="C840" s="56">
        <f t="shared" si="155"/>
        <v>44632</v>
      </c>
      <c r="D840" s="57">
        <f t="shared" si="151"/>
        <v>44632</v>
      </c>
      <c r="E840" s="58">
        <f t="shared" si="147"/>
        <v>120</v>
      </c>
      <c r="G840" s="8">
        <v>202203</v>
      </c>
      <c r="K840" s="56">
        <f t="shared" si="152"/>
        <v>44627</v>
      </c>
      <c r="L840" s="56">
        <f t="shared" si="153"/>
        <v>44633</v>
      </c>
      <c r="M840" s="59" t="str">
        <f t="shared" si="154"/>
        <v>07/03/22 @ 
13/03/22</v>
      </c>
    </row>
    <row r="841" spans="2:13" ht="24" x14ac:dyDescent="0.25">
      <c r="B841" s="55">
        <f t="shared" si="155"/>
        <v>839</v>
      </c>
      <c r="C841" s="56">
        <f t="shared" si="155"/>
        <v>44633</v>
      </c>
      <c r="D841" s="57">
        <f t="shared" si="151"/>
        <v>44633</v>
      </c>
      <c r="E841" s="58">
        <f t="shared" si="147"/>
        <v>120</v>
      </c>
      <c r="G841" s="8">
        <v>202203</v>
      </c>
      <c r="K841" s="56">
        <f t="shared" si="152"/>
        <v>44627</v>
      </c>
      <c r="L841" s="56">
        <f t="shared" si="153"/>
        <v>44633</v>
      </c>
      <c r="M841" s="59" t="str">
        <f t="shared" si="154"/>
        <v>07/03/22 @ 
13/03/22</v>
      </c>
    </row>
    <row r="842" spans="2:13" ht="24" x14ac:dyDescent="0.25">
      <c r="B842" s="55">
        <f t="shared" si="155"/>
        <v>840</v>
      </c>
      <c r="C842" s="56">
        <f t="shared" si="155"/>
        <v>44634</v>
      </c>
      <c r="D842" s="57">
        <f t="shared" si="151"/>
        <v>44634</v>
      </c>
      <c r="E842" s="58">
        <f t="shared" ref="E842:E890" si="156">+E835+1</f>
        <v>121</v>
      </c>
      <c r="G842" s="8">
        <v>202203</v>
      </c>
      <c r="K842" s="56">
        <f t="shared" si="152"/>
        <v>44634</v>
      </c>
      <c r="L842" s="56">
        <f t="shared" si="153"/>
        <v>44640</v>
      </c>
      <c r="M842" s="59" t="str">
        <f t="shared" si="154"/>
        <v>14/03/22 @ 
20/03/22</v>
      </c>
    </row>
    <row r="843" spans="2:13" ht="24" x14ac:dyDescent="0.25">
      <c r="B843" s="55">
        <f t="shared" si="155"/>
        <v>841</v>
      </c>
      <c r="C843" s="56">
        <f t="shared" si="155"/>
        <v>44635</v>
      </c>
      <c r="D843" s="57">
        <f t="shared" si="151"/>
        <v>44635</v>
      </c>
      <c r="E843" s="58">
        <f t="shared" si="156"/>
        <v>121</v>
      </c>
      <c r="G843" s="8">
        <v>202203</v>
      </c>
      <c r="K843" s="56">
        <f t="shared" si="152"/>
        <v>44634</v>
      </c>
      <c r="L843" s="56">
        <f t="shared" si="153"/>
        <v>44640</v>
      </c>
      <c r="M843" s="59" t="str">
        <f t="shared" si="154"/>
        <v>14/03/22 @ 
20/03/22</v>
      </c>
    </row>
    <row r="844" spans="2:13" ht="24" x14ac:dyDescent="0.25">
      <c r="B844" s="55">
        <f t="shared" si="155"/>
        <v>842</v>
      </c>
      <c r="C844" s="56">
        <f t="shared" si="155"/>
        <v>44636</v>
      </c>
      <c r="D844" s="57">
        <f t="shared" si="151"/>
        <v>44636</v>
      </c>
      <c r="E844" s="58">
        <f t="shared" si="156"/>
        <v>121</v>
      </c>
      <c r="G844" s="8">
        <v>202203</v>
      </c>
      <c r="K844" s="56">
        <f t="shared" si="152"/>
        <v>44634</v>
      </c>
      <c r="L844" s="56">
        <f t="shared" si="153"/>
        <v>44640</v>
      </c>
      <c r="M844" s="59" t="str">
        <f t="shared" si="154"/>
        <v>14/03/22 @ 
20/03/22</v>
      </c>
    </row>
    <row r="845" spans="2:13" ht="24" x14ac:dyDescent="0.25">
      <c r="B845" s="55">
        <f t="shared" si="155"/>
        <v>843</v>
      </c>
      <c r="C845" s="56">
        <f t="shared" si="155"/>
        <v>44637</v>
      </c>
      <c r="D845" s="57">
        <f t="shared" si="151"/>
        <v>44637</v>
      </c>
      <c r="E845" s="58">
        <f t="shared" si="156"/>
        <v>121</v>
      </c>
      <c r="G845" s="8">
        <v>202203</v>
      </c>
      <c r="K845" s="56">
        <f t="shared" si="152"/>
        <v>44634</v>
      </c>
      <c r="L845" s="56">
        <f t="shared" si="153"/>
        <v>44640</v>
      </c>
      <c r="M845" s="59" t="str">
        <f t="shared" si="154"/>
        <v>14/03/22 @ 
20/03/22</v>
      </c>
    </row>
    <row r="846" spans="2:13" ht="24" x14ac:dyDescent="0.25">
      <c r="B846" s="55">
        <f t="shared" si="155"/>
        <v>844</v>
      </c>
      <c r="C846" s="56">
        <f t="shared" si="155"/>
        <v>44638</v>
      </c>
      <c r="D846" s="57">
        <f t="shared" si="151"/>
        <v>44638</v>
      </c>
      <c r="E846" s="58">
        <f t="shared" si="156"/>
        <v>121</v>
      </c>
      <c r="G846" s="8">
        <v>202203</v>
      </c>
      <c r="K846" s="56">
        <f t="shared" si="152"/>
        <v>44634</v>
      </c>
      <c r="L846" s="56">
        <f t="shared" si="153"/>
        <v>44640</v>
      </c>
      <c r="M846" s="59" t="str">
        <f t="shared" si="154"/>
        <v>14/03/22 @ 
20/03/22</v>
      </c>
    </row>
    <row r="847" spans="2:13" ht="24" x14ac:dyDescent="0.25">
      <c r="B847" s="55">
        <f t="shared" si="155"/>
        <v>845</v>
      </c>
      <c r="C847" s="56">
        <f t="shared" si="155"/>
        <v>44639</v>
      </c>
      <c r="D847" s="57">
        <f t="shared" si="151"/>
        <v>44639</v>
      </c>
      <c r="E847" s="58">
        <f t="shared" si="156"/>
        <v>121</v>
      </c>
      <c r="G847" s="8">
        <v>202203</v>
      </c>
      <c r="K847" s="56">
        <f t="shared" si="152"/>
        <v>44634</v>
      </c>
      <c r="L847" s="56">
        <f t="shared" si="153"/>
        <v>44640</v>
      </c>
      <c r="M847" s="59" t="str">
        <f t="shared" si="154"/>
        <v>14/03/22 @ 
20/03/22</v>
      </c>
    </row>
    <row r="848" spans="2:13" ht="24" x14ac:dyDescent="0.25">
      <c r="B848" s="55">
        <f t="shared" si="155"/>
        <v>846</v>
      </c>
      <c r="C848" s="56">
        <f t="shared" si="155"/>
        <v>44640</v>
      </c>
      <c r="D848" s="57">
        <f t="shared" si="151"/>
        <v>44640</v>
      </c>
      <c r="E848" s="58">
        <f t="shared" si="156"/>
        <v>121</v>
      </c>
      <c r="G848" s="8">
        <v>202203</v>
      </c>
      <c r="K848" s="56">
        <f t="shared" si="152"/>
        <v>44634</v>
      </c>
      <c r="L848" s="56">
        <f t="shared" si="153"/>
        <v>44640</v>
      </c>
      <c r="M848" s="59" t="str">
        <f t="shared" si="154"/>
        <v>14/03/22 @ 
20/03/22</v>
      </c>
    </row>
    <row r="849" spans="2:13" ht="24" x14ac:dyDescent="0.25">
      <c r="B849" s="55">
        <f t="shared" si="155"/>
        <v>847</v>
      </c>
      <c r="C849" s="56">
        <f t="shared" si="155"/>
        <v>44641</v>
      </c>
      <c r="D849" s="57">
        <f t="shared" si="151"/>
        <v>44641</v>
      </c>
      <c r="E849" s="58">
        <f t="shared" si="156"/>
        <v>122</v>
      </c>
      <c r="G849" s="8">
        <v>202203</v>
      </c>
      <c r="K849" s="56">
        <f t="shared" si="152"/>
        <v>44641</v>
      </c>
      <c r="L849" s="56">
        <f t="shared" si="153"/>
        <v>44647</v>
      </c>
      <c r="M849" s="59" t="str">
        <f t="shared" si="154"/>
        <v>21/03/22 @ 
27/03/22</v>
      </c>
    </row>
    <row r="850" spans="2:13" ht="24" x14ac:dyDescent="0.25">
      <c r="B850" s="55">
        <f t="shared" si="155"/>
        <v>848</v>
      </c>
      <c r="C850" s="56">
        <f t="shared" si="155"/>
        <v>44642</v>
      </c>
      <c r="D850" s="57">
        <f t="shared" si="151"/>
        <v>44642</v>
      </c>
      <c r="E850" s="58">
        <f t="shared" si="156"/>
        <v>122</v>
      </c>
      <c r="G850" s="8">
        <v>202203</v>
      </c>
      <c r="K850" s="56">
        <f t="shared" si="152"/>
        <v>44641</v>
      </c>
      <c r="L850" s="56">
        <f t="shared" si="153"/>
        <v>44647</v>
      </c>
      <c r="M850" s="59" t="str">
        <f t="shared" si="154"/>
        <v>21/03/22 @ 
27/03/22</v>
      </c>
    </row>
    <row r="851" spans="2:13" ht="24" x14ac:dyDescent="0.25">
      <c r="B851" s="55">
        <f t="shared" si="155"/>
        <v>849</v>
      </c>
      <c r="C851" s="56">
        <f t="shared" si="155"/>
        <v>44643</v>
      </c>
      <c r="D851" s="57">
        <f t="shared" si="151"/>
        <v>44643</v>
      </c>
      <c r="E851" s="58">
        <f t="shared" si="156"/>
        <v>122</v>
      </c>
      <c r="G851" s="8">
        <v>202203</v>
      </c>
      <c r="K851" s="56">
        <f t="shared" si="152"/>
        <v>44641</v>
      </c>
      <c r="L851" s="56">
        <f t="shared" si="153"/>
        <v>44647</v>
      </c>
      <c r="M851" s="59" t="str">
        <f t="shared" si="154"/>
        <v>21/03/22 @ 
27/03/22</v>
      </c>
    </row>
    <row r="852" spans="2:13" ht="24" x14ac:dyDescent="0.25">
      <c r="B852" s="55">
        <f t="shared" si="155"/>
        <v>850</v>
      </c>
      <c r="C852" s="56">
        <f t="shared" si="155"/>
        <v>44644</v>
      </c>
      <c r="D852" s="57">
        <f t="shared" si="151"/>
        <v>44644</v>
      </c>
      <c r="E852" s="58">
        <f t="shared" si="156"/>
        <v>122</v>
      </c>
      <c r="G852" s="8">
        <v>202203</v>
      </c>
      <c r="K852" s="56">
        <f t="shared" si="152"/>
        <v>44641</v>
      </c>
      <c r="L852" s="56">
        <f t="shared" si="153"/>
        <v>44647</v>
      </c>
      <c r="M852" s="59" t="str">
        <f t="shared" si="154"/>
        <v>21/03/22 @ 
27/03/22</v>
      </c>
    </row>
    <row r="853" spans="2:13" ht="24" x14ac:dyDescent="0.25">
      <c r="B853" s="55">
        <f t="shared" ref="B853:C868" si="157">+B852+1</f>
        <v>851</v>
      </c>
      <c r="C853" s="56">
        <f t="shared" si="157"/>
        <v>44645</v>
      </c>
      <c r="D853" s="57">
        <f t="shared" si="151"/>
        <v>44645</v>
      </c>
      <c r="E853" s="58">
        <f t="shared" si="156"/>
        <v>122</v>
      </c>
      <c r="G853" s="8">
        <v>202203</v>
      </c>
      <c r="K853" s="56">
        <f t="shared" si="152"/>
        <v>44641</v>
      </c>
      <c r="L853" s="56">
        <f t="shared" si="153"/>
        <v>44647</v>
      </c>
      <c r="M853" s="59" t="str">
        <f t="shared" si="154"/>
        <v>21/03/22 @ 
27/03/22</v>
      </c>
    </row>
    <row r="854" spans="2:13" ht="24" x14ac:dyDescent="0.25">
      <c r="B854" s="55">
        <f t="shared" si="157"/>
        <v>852</v>
      </c>
      <c r="C854" s="56">
        <f t="shared" si="157"/>
        <v>44646</v>
      </c>
      <c r="D854" s="57">
        <f t="shared" si="151"/>
        <v>44646</v>
      </c>
      <c r="E854" s="58">
        <f t="shared" si="156"/>
        <v>122</v>
      </c>
      <c r="G854" s="8">
        <v>202203</v>
      </c>
      <c r="K854" s="56">
        <f t="shared" si="152"/>
        <v>44641</v>
      </c>
      <c r="L854" s="56">
        <f t="shared" si="153"/>
        <v>44647</v>
      </c>
      <c r="M854" s="59" t="str">
        <f t="shared" si="154"/>
        <v>21/03/22 @ 
27/03/22</v>
      </c>
    </row>
    <row r="855" spans="2:13" ht="24" x14ac:dyDescent="0.25">
      <c r="B855" s="55">
        <f t="shared" si="157"/>
        <v>853</v>
      </c>
      <c r="C855" s="56">
        <f t="shared" si="157"/>
        <v>44647</v>
      </c>
      <c r="D855" s="57">
        <f t="shared" si="151"/>
        <v>44647</v>
      </c>
      <c r="E855" s="58">
        <f t="shared" si="156"/>
        <v>122</v>
      </c>
      <c r="G855" s="8">
        <v>202203</v>
      </c>
      <c r="K855" s="56">
        <f t="shared" si="152"/>
        <v>44641</v>
      </c>
      <c r="L855" s="56">
        <f t="shared" si="153"/>
        <v>44647</v>
      </c>
      <c r="M855" s="59" t="str">
        <f t="shared" si="154"/>
        <v>21/03/22 @ 
27/03/22</v>
      </c>
    </row>
    <row r="856" spans="2:13" ht="24" x14ac:dyDescent="0.25">
      <c r="B856" s="55">
        <f t="shared" si="157"/>
        <v>854</v>
      </c>
      <c r="C856" s="56">
        <f t="shared" si="157"/>
        <v>44648</v>
      </c>
      <c r="D856" s="57">
        <f t="shared" si="151"/>
        <v>44648</v>
      </c>
      <c r="E856" s="58">
        <f t="shared" si="156"/>
        <v>123</v>
      </c>
      <c r="G856" s="8">
        <v>202204</v>
      </c>
      <c r="K856" s="56">
        <f t="shared" si="152"/>
        <v>44648</v>
      </c>
      <c r="L856" s="56">
        <f t="shared" si="153"/>
        <v>44654</v>
      </c>
      <c r="M856" s="59" t="str">
        <f t="shared" si="154"/>
        <v>28/03/22 @ 
03/04/22</v>
      </c>
    </row>
    <row r="857" spans="2:13" ht="24" x14ac:dyDescent="0.25">
      <c r="B857" s="55">
        <f t="shared" si="157"/>
        <v>855</v>
      </c>
      <c r="C857" s="56">
        <f t="shared" si="157"/>
        <v>44649</v>
      </c>
      <c r="D857" s="57">
        <f t="shared" si="151"/>
        <v>44649</v>
      </c>
      <c r="E857" s="58">
        <f t="shared" si="156"/>
        <v>123</v>
      </c>
      <c r="G857" s="8">
        <v>202204</v>
      </c>
      <c r="K857" s="56">
        <f t="shared" si="152"/>
        <v>44648</v>
      </c>
      <c r="L857" s="56">
        <f t="shared" si="153"/>
        <v>44654</v>
      </c>
      <c r="M857" s="59" t="str">
        <f t="shared" si="154"/>
        <v>28/03/22 @ 
03/04/22</v>
      </c>
    </row>
    <row r="858" spans="2:13" ht="24" x14ac:dyDescent="0.25">
      <c r="B858" s="55">
        <f t="shared" si="157"/>
        <v>856</v>
      </c>
      <c r="C858" s="56">
        <f t="shared" si="157"/>
        <v>44650</v>
      </c>
      <c r="D858" s="57">
        <f t="shared" si="151"/>
        <v>44650</v>
      </c>
      <c r="E858" s="58">
        <f t="shared" si="156"/>
        <v>123</v>
      </c>
      <c r="G858" s="8">
        <v>202204</v>
      </c>
      <c r="K858" s="56">
        <f t="shared" si="152"/>
        <v>44648</v>
      </c>
      <c r="L858" s="56">
        <f t="shared" si="153"/>
        <v>44654</v>
      </c>
      <c r="M858" s="59" t="str">
        <f t="shared" si="154"/>
        <v>28/03/22 @ 
03/04/22</v>
      </c>
    </row>
    <row r="859" spans="2:13" ht="24" x14ac:dyDescent="0.25">
      <c r="B859" s="55">
        <f t="shared" si="157"/>
        <v>857</v>
      </c>
      <c r="C859" s="56">
        <f t="shared" si="157"/>
        <v>44651</v>
      </c>
      <c r="D859" s="57">
        <f t="shared" si="151"/>
        <v>44651</v>
      </c>
      <c r="E859" s="58">
        <f t="shared" si="156"/>
        <v>123</v>
      </c>
      <c r="G859" s="8">
        <v>202204</v>
      </c>
      <c r="K859" s="56">
        <f t="shared" si="152"/>
        <v>44648</v>
      </c>
      <c r="L859" s="56">
        <f t="shared" si="153"/>
        <v>44654</v>
      </c>
      <c r="M859" s="59" t="str">
        <f t="shared" si="154"/>
        <v>28/03/22 @ 
03/04/22</v>
      </c>
    </row>
    <row r="860" spans="2:13" ht="24" x14ac:dyDescent="0.25">
      <c r="B860" s="55">
        <f t="shared" si="157"/>
        <v>858</v>
      </c>
      <c r="C860" s="56">
        <f t="shared" si="157"/>
        <v>44652</v>
      </c>
      <c r="D860" s="57">
        <f t="shared" si="151"/>
        <v>44652</v>
      </c>
      <c r="E860" s="58">
        <f t="shared" si="156"/>
        <v>123</v>
      </c>
      <c r="G860" s="8">
        <v>202204</v>
      </c>
      <c r="K860" s="56">
        <f t="shared" si="152"/>
        <v>44648</v>
      </c>
      <c r="L860" s="56">
        <f t="shared" si="153"/>
        <v>44654</v>
      </c>
      <c r="M860" s="59" t="str">
        <f t="shared" si="154"/>
        <v>28/03/22 @ 
03/04/22</v>
      </c>
    </row>
    <row r="861" spans="2:13" ht="24" x14ac:dyDescent="0.25">
      <c r="B861" s="55">
        <f t="shared" si="157"/>
        <v>859</v>
      </c>
      <c r="C861" s="56">
        <f t="shared" si="157"/>
        <v>44653</v>
      </c>
      <c r="D861" s="57">
        <f t="shared" si="151"/>
        <v>44653</v>
      </c>
      <c r="E861" s="58">
        <f t="shared" si="156"/>
        <v>123</v>
      </c>
      <c r="G861" s="8">
        <v>202204</v>
      </c>
      <c r="K861" s="56">
        <f t="shared" si="152"/>
        <v>44648</v>
      </c>
      <c r="L861" s="56">
        <f t="shared" si="153"/>
        <v>44654</v>
      </c>
      <c r="M861" s="59" t="str">
        <f t="shared" si="154"/>
        <v>28/03/22 @ 
03/04/22</v>
      </c>
    </row>
    <row r="862" spans="2:13" ht="24" x14ac:dyDescent="0.25">
      <c r="B862" s="55">
        <f t="shared" si="157"/>
        <v>860</v>
      </c>
      <c r="C862" s="56">
        <f t="shared" si="157"/>
        <v>44654</v>
      </c>
      <c r="D862" s="57">
        <f t="shared" si="151"/>
        <v>44654</v>
      </c>
      <c r="E862" s="58">
        <f t="shared" si="156"/>
        <v>123</v>
      </c>
      <c r="G862" s="8">
        <v>202204</v>
      </c>
      <c r="K862" s="56">
        <f t="shared" si="152"/>
        <v>44648</v>
      </c>
      <c r="L862" s="56">
        <f t="shared" si="153"/>
        <v>44654</v>
      </c>
      <c r="M862" s="59" t="str">
        <f t="shared" si="154"/>
        <v>28/03/22 @ 
03/04/22</v>
      </c>
    </row>
    <row r="863" spans="2:13" ht="24" x14ac:dyDescent="0.25">
      <c r="B863" s="55">
        <f t="shared" si="157"/>
        <v>861</v>
      </c>
      <c r="C863" s="56">
        <f t="shared" si="157"/>
        <v>44655</v>
      </c>
      <c r="D863" s="57">
        <f t="shared" si="151"/>
        <v>44655</v>
      </c>
      <c r="E863" s="58">
        <f t="shared" si="156"/>
        <v>124</v>
      </c>
      <c r="G863" s="8">
        <v>202204</v>
      </c>
      <c r="K863" s="56">
        <f t="shared" si="152"/>
        <v>44655</v>
      </c>
      <c r="L863" s="56">
        <f t="shared" si="153"/>
        <v>44661</v>
      </c>
      <c r="M863" s="59" t="str">
        <f t="shared" si="154"/>
        <v>04/04/22 @ 
10/04/22</v>
      </c>
    </row>
    <row r="864" spans="2:13" ht="24" x14ac:dyDescent="0.25">
      <c r="B864" s="55">
        <f t="shared" si="157"/>
        <v>862</v>
      </c>
      <c r="C864" s="56">
        <f t="shared" si="157"/>
        <v>44656</v>
      </c>
      <c r="D864" s="57">
        <f t="shared" si="151"/>
        <v>44656</v>
      </c>
      <c r="E864" s="58">
        <f t="shared" si="156"/>
        <v>124</v>
      </c>
      <c r="G864" s="8">
        <v>202204</v>
      </c>
      <c r="K864" s="56">
        <f t="shared" si="152"/>
        <v>44655</v>
      </c>
      <c r="L864" s="56">
        <f t="shared" si="153"/>
        <v>44661</v>
      </c>
      <c r="M864" s="59" t="str">
        <f t="shared" si="154"/>
        <v>04/04/22 @ 
10/04/22</v>
      </c>
    </row>
    <row r="865" spans="2:13" ht="24" x14ac:dyDescent="0.25">
      <c r="B865" s="55">
        <f t="shared" si="157"/>
        <v>863</v>
      </c>
      <c r="C865" s="56">
        <f t="shared" si="157"/>
        <v>44657</v>
      </c>
      <c r="D865" s="57">
        <f t="shared" si="151"/>
        <v>44657</v>
      </c>
      <c r="E865" s="58">
        <f t="shared" si="156"/>
        <v>124</v>
      </c>
      <c r="G865" s="8">
        <v>202204</v>
      </c>
      <c r="K865" s="56">
        <f t="shared" si="152"/>
        <v>44655</v>
      </c>
      <c r="L865" s="56">
        <f t="shared" si="153"/>
        <v>44661</v>
      </c>
      <c r="M865" s="59" t="str">
        <f t="shared" si="154"/>
        <v>04/04/22 @ 
10/04/22</v>
      </c>
    </row>
    <row r="866" spans="2:13" ht="24" x14ac:dyDescent="0.25">
      <c r="B866" s="55">
        <f t="shared" si="157"/>
        <v>864</v>
      </c>
      <c r="C866" s="56">
        <f t="shared" si="157"/>
        <v>44658</v>
      </c>
      <c r="D866" s="57">
        <f t="shared" si="151"/>
        <v>44658</v>
      </c>
      <c r="E866" s="58">
        <f t="shared" si="156"/>
        <v>124</v>
      </c>
      <c r="G866" s="8">
        <v>202204</v>
      </c>
      <c r="K866" s="56">
        <f t="shared" si="152"/>
        <v>44655</v>
      </c>
      <c r="L866" s="56">
        <f t="shared" si="153"/>
        <v>44661</v>
      </c>
      <c r="M866" s="59" t="str">
        <f t="shared" si="154"/>
        <v>04/04/22 @ 
10/04/22</v>
      </c>
    </row>
    <row r="867" spans="2:13" ht="24" x14ac:dyDescent="0.25">
      <c r="B867" s="55">
        <f t="shared" si="157"/>
        <v>865</v>
      </c>
      <c r="C867" s="56">
        <f t="shared" si="157"/>
        <v>44659</v>
      </c>
      <c r="D867" s="57">
        <f t="shared" si="151"/>
        <v>44659</v>
      </c>
      <c r="E867" s="58">
        <f t="shared" si="156"/>
        <v>124</v>
      </c>
      <c r="G867" s="8">
        <v>202204</v>
      </c>
      <c r="K867" s="56">
        <f t="shared" si="152"/>
        <v>44655</v>
      </c>
      <c r="L867" s="56">
        <f t="shared" si="153"/>
        <v>44661</v>
      </c>
      <c r="M867" s="59" t="str">
        <f t="shared" si="154"/>
        <v>04/04/22 @ 
10/04/22</v>
      </c>
    </row>
    <row r="868" spans="2:13" ht="24" x14ac:dyDescent="0.25">
      <c r="B868" s="55">
        <f t="shared" si="157"/>
        <v>866</v>
      </c>
      <c r="C868" s="56">
        <f t="shared" si="157"/>
        <v>44660</v>
      </c>
      <c r="D868" s="57">
        <f t="shared" si="151"/>
        <v>44660</v>
      </c>
      <c r="E868" s="58">
        <f t="shared" si="156"/>
        <v>124</v>
      </c>
      <c r="G868" s="8">
        <v>202204</v>
      </c>
      <c r="K868" s="56">
        <f t="shared" si="152"/>
        <v>44655</v>
      </c>
      <c r="L868" s="56">
        <f t="shared" si="153"/>
        <v>44661</v>
      </c>
      <c r="M868" s="59" t="str">
        <f t="shared" si="154"/>
        <v>04/04/22 @ 
10/04/22</v>
      </c>
    </row>
    <row r="869" spans="2:13" ht="24" x14ac:dyDescent="0.25">
      <c r="B869" s="55">
        <f t="shared" ref="B869:C884" si="158">+B868+1</f>
        <v>867</v>
      </c>
      <c r="C869" s="56">
        <f t="shared" si="158"/>
        <v>44661</v>
      </c>
      <c r="D869" s="57">
        <f t="shared" si="151"/>
        <v>44661</v>
      </c>
      <c r="E869" s="58">
        <f t="shared" si="156"/>
        <v>124</v>
      </c>
      <c r="G869" s="8">
        <v>202204</v>
      </c>
      <c r="K869" s="56">
        <f t="shared" si="152"/>
        <v>44655</v>
      </c>
      <c r="L869" s="56">
        <f t="shared" si="153"/>
        <v>44661</v>
      </c>
      <c r="M869" s="59" t="str">
        <f t="shared" si="154"/>
        <v>04/04/22 @ 
10/04/22</v>
      </c>
    </row>
    <row r="870" spans="2:13" ht="24" x14ac:dyDescent="0.25">
      <c r="B870" s="55">
        <f t="shared" si="158"/>
        <v>868</v>
      </c>
      <c r="C870" s="56">
        <f t="shared" si="158"/>
        <v>44662</v>
      </c>
      <c r="D870" s="57">
        <f t="shared" si="151"/>
        <v>44662</v>
      </c>
      <c r="E870" s="58">
        <f t="shared" si="156"/>
        <v>125</v>
      </c>
      <c r="G870" s="8">
        <v>202204</v>
      </c>
      <c r="K870" s="56">
        <f t="shared" si="152"/>
        <v>44662</v>
      </c>
      <c r="L870" s="56">
        <f t="shared" si="153"/>
        <v>44668</v>
      </c>
      <c r="M870" s="59" t="str">
        <f t="shared" si="154"/>
        <v>11/04/22 @ 
17/04/22</v>
      </c>
    </row>
    <row r="871" spans="2:13" ht="24" x14ac:dyDescent="0.25">
      <c r="B871" s="55">
        <f t="shared" si="158"/>
        <v>869</v>
      </c>
      <c r="C871" s="56">
        <f t="shared" si="158"/>
        <v>44663</v>
      </c>
      <c r="D871" s="57">
        <f t="shared" si="151"/>
        <v>44663</v>
      </c>
      <c r="E871" s="58">
        <f t="shared" si="156"/>
        <v>125</v>
      </c>
      <c r="G871" s="8">
        <v>202204</v>
      </c>
      <c r="K871" s="56">
        <f t="shared" si="152"/>
        <v>44662</v>
      </c>
      <c r="L871" s="56">
        <f t="shared" si="153"/>
        <v>44668</v>
      </c>
      <c r="M871" s="59" t="str">
        <f t="shared" si="154"/>
        <v>11/04/22 @ 
17/04/22</v>
      </c>
    </row>
    <row r="872" spans="2:13" ht="24" x14ac:dyDescent="0.25">
      <c r="B872" s="55">
        <f t="shared" si="158"/>
        <v>870</v>
      </c>
      <c r="C872" s="56">
        <f t="shared" si="158"/>
        <v>44664</v>
      </c>
      <c r="D872" s="57">
        <f t="shared" si="151"/>
        <v>44664</v>
      </c>
      <c r="E872" s="58">
        <f t="shared" si="156"/>
        <v>125</v>
      </c>
      <c r="G872" s="8">
        <v>202204</v>
      </c>
      <c r="K872" s="56">
        <f t="shared" si="152"/>
        <v>44662</v>
      </c>
      <c r="L872" s="56">
        <f t="shared" si="153"/>
        <v>44668</v>
      </c>
      <c r="M872" s="59" t="str">
        <f t="shared" si="154"/>
        <v>11/04/22 @ 
17/04/22</v>
      </c>
    </row>
    <row r="873" spans="2:13" ht="24" x14ac:dyDescent="0.25">
      <c r="B873" s="55">
        <f t="shared" si="158"/>
        <v>871</v>
      </c>
      <c r="C873" s="56">
        <f t="shared" si="158"/>
        <v>44665</v>
      </c>
      <c r="D873" s="57">
        <f t="shared" si="151"/>
        <v>44665</v>
      </c>
      <c r="E873" s="58">
        <f t="shared" si="156"/>
        <v>125</v>
      </c>
      <c r="G873" s="8">
        <v>202204</v>
      </c>
      <c r="K873" s="56">
        <f t="shared" si="152"/>
        <v>44662</v>
      </c>
      <c r="L873" s="56">
        <f t="shared" si="153"/>
        <v>44668</v>
      </c>
      <c r="M873" s="59" t="str">
        <f t="shared" si="154"/>
        <v>11/04/22 @ 
17/04/22</v>
      </c>
    </row>
    <row r="874" spans="2:13" ht="24" x14ac:dyDescent="0.25">
      <c r="B874" s="55">
        <f t="shared" si="158"/>
        <v>872</v>
      </c>
      <c r="C874" s="56">
        <f t="shared" si="158"/>
        <v>44666</v>
      </c>
      <c r="D874" s="57">
        <f t="shared" si="151"/>
        <v>44666</v>
      </c>
      <c r="E874" s="58">
        <f t="shared" si="156"/>
        <v>125</v>
      </c>
      <c r="G874" s="8">
        <v>202204</v>
      </c>
      <c r="K874" s="56">
        <f t="shared" si="152"/>
        <v>44662</v>
      </c>
      <c r="L874" s="56">
        <f t="shared" si="153"/>
        <v>44668</v>
      </c>
      <c r="M874" s="59" t="str">
        <f t="shared" si="154"/>
        <v>11/04/22 @ 
17/04/22</v>
      </c>
    </row>
    <row r="875" spans="2:13" ht="24" x14ac:dyDescent="0.25">
      <c r="B875" s="55">
        <f t="shared" si="158"/>
        <v>873</v>
      </c>
      <c r="C875" s="56">
        <f t="shared" si="158"/>
        <v>44667</v>
      </c>
      <c r="D875" s="57">
        <f t="shared" si="151"/>
        <v>44667</v>
      </c>
      <c r="E875" s="58">
        <f t="shared" si="156"/>
        <v>125</v>
      </c>
      <c r="G875" s="8">
        <v>202204</v>
      </c>
      <c r="K875" s="56">
        <f t="shared" si="152"/>
        <v>44662</v>
      </c>
      <c r="L875" s="56">
        <f t="shared" si="153"/>
        <v>44668</v>
      </c>
      <c r="M875" s="59" t="str">
        <f t="shared" si="154"/>
        <v>11/04/22 @ 
17/04/22</v>
      </c>
    </row>
    <row r="876" spans="2:13" ht="24" x14ac:dyDescent="0.25">
      <c r="B876" s="55">
        <f t="shared" si="158"/>
        <v>874</v>
      </c>
      <c r="C876" s="56">
        <f t="shared" si="158"/>
        <v>44668</v>
      </c>
      <c r="D876" s="57">
        <f t="shared" si="151"/>
        <v>44668</v>
      </c>
      <c r="E876" s="58">
        <f t="shared" si="156"/>
        <v>125</v>
      </c>
      <c r="G876" s="8">
        <v>202204</v>
      </c>
      <c r="K876" s="56">
        <f t="shared" si="152"/>
        <v>44662</v>
      </c>
      <c r="L876" s="56">
        <f t="shared" si="153"/>
        <v>44668</v>
      </c>
      <c r="M876" s="59" t="str">
        <f t="shared" si="154"/>
        <v>11/04/22 @ 
17/04/22</v>
      </c>
    </row>
    <row r="877" spans="2:13" ht="24" x14ac:dyDescent="0.25">
      <c r="B877" s="55">
        <f t="shared" si="158"/>
        <v>875</v>
      </c>
      <c r="C877" s="56">
        <f t="shared" si="158"/>
        <v>44669</v>
      </c>
      <c r="D877" s="57">
        <f t="shared" si="151"/>
        <v>44669</v>
      </c>
      <c r="E877" s="58">
        <f t="shared" si="156"/>
        <v>126</v>
      </c>
      <c r="G877" s="8">
        <v>202204</v>
      </c>
      <c r="K877" s="56">
        <f t="shared" si="152"/>
        <v>44669</v>
      </c>
      <c r="L877" s="56">
        <f t="shared" si="153"/>
        <v>44675</v>
      </c>
      <c r="M877" s="59" t="str">
        <f t="shared" si="154"/>
        <v>18/04/22 @ 
24/04/22</v>
      </c>
    </row>
    <row r="878" spans="2:13" ht="24" x14ac:dyDescent="0.25">
      <c r="B878" s="55">
        <f t="shared" si="158"/>
        <v>876</v>
      </c>
      <c r="C878" s="56">
        <f t="shared" si="158"/>
        <v>44670</v>
      </c>
      <c r="D878" s="57">
        <f t="shared" si="151"/>
        <v>44670</v>
      </c>
      <c r="E878" s="58">
        <f t="shared" si="156"/>
        <v>126</v>
      </c>
      <c r="G878" s="8">
        <v>202204</v>
      </c>
      <c r="K878" s="56">
        <f t="shared" si="152"/>
        <v>44669</v>
      </c>
      <c r="L878" s="56">
        <f t="shared" si="153"/>
        <v>44675</v>
      </c>
      <c r="M878" s="59" t="str">
        <f t="shared" si="154"/>
        <v>18/04/22 @ 
24/04/22</v>
      </c>
    </row>
    <row r="879" spans="2:13" ht="24" x14ac:dyDescent="0.25">
      <c r="B879" s="55">
        <f t="shared" si="158"/>
        <v>877</v>
      </c>
      <c r="C879" s="56">
        <f t="shared" si="158"/>
        <v>44671</v>
      </c>
      <c r="D879" s="57">
        <f t="shared" si="151"/>
        <v>44671</v>
      </c>
      <c r="E879" s="58">
        <f t="shared" si="156"/>
        <v>126</v>
      </c>
      <c r="G879" s="8">
        <v>202204</v>
      </c>
      <c r="K879" s="56">
        <f t="shared" si="152"/>
        <v>44669</v>
      </c>
      <c r="L879" s="56">
        <f t="shared" si="153"/>
        <v>44675</v>
      </c>
      <c r="M879" s="59" t="str">
        <f t="shared" si="154"/>
        <v>18/04/22 @ 
24/04/22</v>
      </c>
    </row>
    <row r="880" spans="2:13" ht="24" x14ac:dyDescent="0.25">
      <c r="B880" s="55">
        <f t="shared" si="158"/>
        <v>878</v>
      </c>
      <c r="C880" s="56">
        <f t="shared" si="158"/>
        <v>44672</v>
      </c>
      <c r="D880" s="57">
        <f t="shared" si="151"/>
        <v>44672</v>
      </c>
      <c r="E880" s="58">
        <f t="shared" si="156"/>
        <v>126</v>
      </c>
      <c r="G880" s="8">
        <v>202204</v>
      </c>
      <c r="K880" s="56">
        <f t="shared" si="152"/>
        <v>44669</v>
      </c>
      <c r="L880" s="56">
        <f t="shared" si="153"/>
        <v>44675</v>
      </c>
      <c r="M880" s="59" t="str">
        <f t="shared" si="154"/>
        <v>18/04/22 @ 
24/04/22</v>
      </c>
    </row>
    <row r="881" spans="2:13" ht="24" x14ac:dyDescent="0.25">
      <c r="B881" s="55">
        <f t="shared" si="158"/>
        <v>879</v>
      </c>
      <c r="C881" s="56">
        <f t="shared" si="158"/>
        <v>44673</v>
      </c>
      <c r="D881" s="57">
        <f t="shared" si="151"/>
        <v>44673</v>
      </c>
      <c r="E881" s="58">
        <f t="shared" si="156"/>
        <v>126</v>
      </c>
      <c r="G881" s="8">
        <v>202204</v>
      </c>
      <c r="K881" s="56">
        <f t="shared" si="152"/>
        <v>44669</v>
      </c>
      <c r="L881" s="56">
        <f t="shared" si="153"/>
        <v>44675</v>
      </c>
      <c r="M881" s="59" t="str">
        <f t="shared" si="154"/>
        <v>18/04/22 @ 
24/04/22</v>
      </c>
    </row>
    <row r="882" spans="2:13" ht="24" x14ac:dyDescent="0.25">
      <c r="B882" s="55">
        <f t="shared" si="158"/>
        <v>880</v>
      </c>
      <c r="C882" s="56">
        <f t="shared" si="158"/>
        <v>44674</v>
      </c>
      <c r="D882" s="57">
        <f t="shared" si="151"/>
        <v>44674</v>
      </c>
      <c r="E882" s="58">
        <f t="shared" si="156"/>
        <v>126</v>
      </c>
      <c r="G882" s="8">
        <v>202204</v>
      </c>
      <c r="K882" s="56">
        <f t="shared" si="152"/>
        <v>44669</v>
      </c>
      <c r="L882" s="56">
        <f t="shared" si="153"/>
        <v>44675</v>
      </c>
      <c r="M882" s="59" t="str">
        <f t="shared" si="154"/>
        <v>18/04/22 @ 
24/04/22</v>
      </c>
    </row>
    <row r="883" spans="2:13" ht="24" x14ac:dyDescent="0.25">
      <c r="B883" s="55">
        <f t="shared" si="158"/>
        <v>881</v>
      </c>
      <c r="C883" s="56">
        <f t="shared" si="158"/>
        <v>44675</v>
      </c>
      <c r="D883" s="57">
        <f t="shared" si="151"/>
        <v>44675</v>
      </c>
      <c r="E883" s="58">
        <f t="shared" si="156"/>
        <v>126</v>
      </c>
      <c r="G883" s="8">
        <v>202204</v>
      </c>
      <c r="K883" s="56">
        <f t="shared" si="152"/>
        <v>44669</v>
      </c>
      <c r="L883" s="56">
        <f t="shared" si="153"/>
        <v>44675</v>
      </c>
      <c r="M883" s="59" t="str">
        <f t="shared" si="154"/>
        <v>18/04/22 @ 
24/04/22</v>
      </c>
    </row>
    <row r="884" spans="2:13" ht="24" x14ac:dyDescent="0.25">
      <c r="B884" s="55">
        <f t="shared" si="158"/>
        <v>882</v>
      </c>
      <c r="C884" s="56">
        <f t="shared" si="158"/>
        <v>44676</v>
      </c>
      <c r="D884" s="57">
        <f t="shared" si="151"/>
        <v>44676</v>
      </c>
      <c r="E884" s="58">
        <f t="shared" si="156"/>
        <v>127</v>
      </c>
      <c r="G884" s="8">
        <v>202204</v>
      </c>
      <c r="K884" s="56">
        <f t="shared" si="152"/>
        <v>44676</v>
      </c>
      <c r="L884" s="56">
        <f t="shared" si="153"/>
        <v>44682</v>
      </c>
      <c r="M884" s="59" t="str">
        <f t="shared" si="154"/>
        <v>25/04/22 @ 
01/05/22</v>
      </c>
    </row>
    <row r="885" spans="2:13" ht="24" x14ac:dyDescent="0.25">
      <c r="B885" s="55">
        <f t="shared" ref="B885:C890" si="159">+B884+1</f>
        <v>883</v>
      </c>
      <c r="C885" s="56">
        <f t="shared" si="159"/>
        <v>44677</v>
      </c>
      <c r="D885" s="57">
        <f t="shared" si="151"/>
        <v>44677</v>
      </c>
      <c r="E885" s="58">
        <f t="shared" si="156"/>
        <v>127</v>
      </c>
      <c r="G885" s="8">
        <v>202204</v>
      </c>
      <c r="K885" s="56">
        <f t="shared" si="152"/>
        <v>44676</v>
      </c>
      <c r="L885" s="56">
        <f t="shared" si="153"/>
        <v>44682</v>
      </c>
      <c r="M885" s="59" t="str">
        <f t="shared" si="154"/>
        <v>25/04/22 @ 
01/05/22</v>
      </c>
    </row>
    <row r="886" spans="2:13" ht="24" x14ac:dyDescent="0.25">
      <c r="B886" s="55">
        <f t="shared" si="159"/>
        <v>884</v>
      </c>
      <c r="C886" s="56">
        <f t="shared" si="159"/>
        <v>44678</v>
      </c>
      <c r="D886" s="57">
        <f t="shared" si="151"/>
        <v>44678</v>
      </c>
      <c r="E886" s="58">
        <f t="shared" si="156"/>
        <v>127</v>
      </c>
      <c r="G886" s="8">
        <v>202204</v>
      </c>
      <c r="K886" s="56">
        <f t="shared" si="152"/>
        <v>44676</v>
      </c>
      <c r="L886" s="56">
        <f t="shared" si="153"/>
        <v>44682</v>
      </c>
      <c r="M886" s="59" t="str">
        <f t="shared" si="154"/>
        <v>25/04/22 @ 
01/05/22</v>
      </c>
    </row>
    <row r="887" spans="2:13" ht="24" x14ac:dyDescent="0.25">
      <c r="B887" s="55">
        <f t="shared" si="159"/>
        <v>885</v>
      </c>
      <c r="C887" s="56">
        <f t="shared" si="159"/>
        <v>44679</v>
      </c>
      <c r="D887" s="57">
        <f t="shared" si="151"/>
        <v>44679</v>
      </c>
      <c r="E887" s="58">
        <f t="shared" si="156"/>
        <v>127</v>
      </c>
      <c r="G887" s="8">
        <v>202204</v>
      </c>
      <c r="K887" s="56">
        <f t="shared" si="152"/>
        <v>44676</v>
      </c>
      <c r="L887" s="56">
        <f t="shared" si="153"/>
        <v>44682</v>
      </c>
      <c r="M887" s="59" t="str">
        <f t="shared" si="154"/>
        <v>25/04/22 @ 
01/05/22</v>
      </c>
    </row>
    <row r="888" spans="2:13" ht="24" x14ac:dyDescent="0.25">
      <c r="B888" s="55">
        <f t="shared" si="159"/>
        <v>886</v>
      </c>
      <c r="C888" s="56">
        <f t="shared" si="159"/>
        <v>44680</v>
      </c>
      <c r="D888" s="57">
        <f t="shared" si="151"/>
        <v>44680</v>
      </c>
      <c r="E888" s="58">
        <f t="shared" si="156"/>
        <v>127</v>
      </c>
      <c r="G888" s="8">
        <v>202204</v>
      </c>
      <c r="K888" s="56">
        <f t="shared" si="152"/>
        <v>44676</v>
      </c>
      <c r="L888" s="56">
        <f t="shared" si="153"/>
        <v>44682</v>
      </c>
      <c r="M888" s="59" t="str">
        <f t="shared" si="154"/>
        <v>25/04/22 @ 
01/05/22</v>
      </c>
    </row>
    <row r="889" spans="2:13" ht="24" x14ac:dyDescent="0.25">
      <c r="B889" s="55">
        <f t="shared" si="159"/>
        <v>887</v>
      </c>
      <c r="C889" s="56">
        <f t="shared" si="159"/>
        <v>44681</v>
      </c>
      <c r="D889" s="57">
        <f t="shared" si="151"/>
        <v>44681</v>
      </c>
      <c r="E889" s="58">
        <f t="shared" si="156"/>
        <v>127</v>
      </c>
      <c r="G889" s="8">
        <v>202204</v>
      </c>
      <c r="K889" s="56">
        <f t="shared" si="152"/>
        <v>44676</v>
      </c>
      <c r="L889" s="56">
        <f t="shared" si="153"/>
        <v>44682</v>
      </c>
      <c r="M889" s="59" t="str">
        <f t="shared" si="154"/>
        <v>25/04/22 @ 
01/05/22</v>
      </c>
    </row>
    <row r="890" spans="2:13" ht="24" x14ac:dyDescent="0.25">
      <c r="B890" s="55">
        <f t="shared" si="159"/>
        <v>888</v>
      </c>
      <c r="C890" s="56">
        <f t="shared" si="159"/>
        <v>44682</v>
      </c>
      <c r="D890" s="57">
        <f t="shared" si="151"/>
        <v>44682</v>
      </c>
      <c r="E890" s="58">
        <f t="shared" si="156"/>
        <v>127</v>
      </c>
      <c r="G890" s="8">
        <v>202204</v>
      </c>
      <c r="K890" s="56">
        <f t="shared" si="152"/>
        <v>44676</v>
      </c>
      <c r="L890" s="56">
        <f t="shared" si="153"/>
        <v>44682</v>
      </c>
      <c r="M890" s="59" t="str">
        <f t="shared" si="154"/>
        <v>25/04/22 @ 
01/05/22</v>
      </c>
    </row>
    <row r="891" spans="2:13" x14ac:dyDescent="0.25">
      <c r="D891" s="57"/>
    </row>
    <row r="892" spans="2:13" x14ac:dyDescent="0.25">
      <c r="D892" s="57"/>
    </row>
    <row r="893" spans="2:13" x14ac:dyDescent="0.25">
      <c r="D893" s="57"/>
    </row>
    <row r="894" spans="2:13" x14ac:dyDescent="0.25">
      <c r="D894" s="57"/>
    </row>
    <row r="895" spans="2:13" x14ac:dyDescent="0.25">
      <c r="D895" s="57"/>
    </row>
    <row r="896" spans="2:13" x14ac:dyDescent="0.25">
      <c r="D896" s="57"/>
    </row>
    <row r="897" spans="4:4" x14ac:dyDescent="0.25">
      <c r="D897" s="57"/>
    </row>
    <row r="898" spans="4:4" x14ac:dyDescent="0.25">
      <c r="D898" s="57"/>
    </row>
    <row r="899" spans="4:4" x14ac:dyDescent="0.25">
      <c r="D899" s="57"/>
    </row>
    <row r="900" spans="4:4" x14ac:dyDescent="0.25">
      <c r="D900" s="57"/>
    </row>
    <row r="901" spans="4:4" x14ac:dyDescent="0.25">
      <c r="D901" s="57"/>
    </row>
    <row r="902" spans="4:4" x14ac:dyDescent="0.25">
      <c r="D902" s="57"/>
    </row>
  </sheetData>
  <autoFilter ref="B1:M903" xr:uid="{00000000-0009-0000-0000-000002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C45E879D777742A28B4B4313ED2110" ma:contentTypeVersion="4" ma:contentTypeDescription="Create a new document." ma:contentTypeScope="" ma:versionID="446d0aeb5f3932902199aebfe7476e43">
  <xsd:schema xmlns:xsd="http://www.w3.org/2001/XMLSchema" xmlns:xs="http://www.w3.org/2001/XMLSchema" xmlns:p="http://schemas.microsoft.com/office/2006/metadata/properties" xmlns:ns2="b35f92d5-ab25-45cd-91f5-56a2e9ba47ee" targetNamespace="http://schemas.microsoft.com/office/2006/metadata/properties" ma:root="true" ma:fieldsID="33d89609d45725c13b11597e0a42f90a" ns2:_="">
    <xsd:import namespace="b35f92d5-ab25-45cd-91f5-56a2e9ba47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f92d5-ab25-45cd-91f5-56a2e9ba4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CFB62B-65AD-434A-A65D-009106685584}">
  <ds:schemaRefs>
    <ds:schemaRef ds:uri="http://schemas.microsoft.com/sharepoint/v3/contenttype/forms"/>
  </ds:schemaRefs>
</ds:datastoreItem>
</file>

<file path=customXml/itemProps2.xml><?xml version="1.0" encoding="utf-8"?>
<ds:datastoreItem xmlns:ds="http://schemas.openxmlformats.org/officeDocument/2006/customXml" ds:itemID="{D19A7ED5-A617-416C-A045-D4AF82835F38}">
  <ds:schemaRefs>
    <ds:schemaRef ds:uri="http://purl.org/dc/terms/"/>
    <ds:schemaRef ds:uri="http://schemas.microsoft.com/office/2006/metadata/properties"/>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 ds:uri="b35f92d5-ab25-45cd-91f5-56a2e9ba47ee"/>
    <ds:schemaRef ds:uri="http://www.w3.org/XML/1998/namespace"/>
  </ds:schemaRefs>
</ds:datastoreItem>
</file>

<file path=customXml/itemProps3.xml><?xml version="1.0" encoding="utf-8"?>
<ds:datastoreItem xmlns:ds="http://schemas.openxmlformats.org/officeDocument/2006/customXml" ds:itemID="{A93DC6E2-B3DC-4C09-9FC4-0B8AB84A8A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f92d5-ab25-45cd-91f5-56a2e9ba47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2</vt:i4>
      </vt:variant>
    </vt:vector>
  </HeadingPairs>
  <TitlesOfParts>
    <vt:vector size="13" baseType="lpstr">
      <vt:lpstr>PQ</vt:lpstr>
      <vt:lpstr>ITEM PQ</vt:lpstr>
      <vt:lpstr>CMS</vt:lpstr>
      <vt:lpstr>FAM 12-06</vt:lpstr>
      <vt:lpstr>DASHBOARD</vt:lpstr>
      <vt:lpstr>DADOS</vt:lpstr>
      <vt:lpstr>RESUMO</vt:lpstr>
      <vt:lpstr>MAPA DE CALDEIRARIA</vt:lpstr>
      <vt:lpstr>Planilha2</vt:lpstr>
      <vt:lpstr>MAPA DE THALES</vt:lpstr>
      <vt:lpstr>CALENDARIO</vt:lpstr>
      <vt:lpstr>PQ!Area_de_impressao</vt:lpstr>
      <vt:lpstr>PQ!Titulos_de_impressao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Gino Fernando Rojas Levano</dc:creator>
  <cp:lastModifiedBy>Junior Silva - Milplan Engª.</cp:lastModifiedBy>
  <cp:lastPrinted>2021-07-19T18:05:10Z</cp:lastPrinted>
  <dcterms:created xsi:type="dcterms:W3CDTF">2015-06-05T18:19:34Z</dcterms:created>
  <dcterms:modified xsi:type="dcterms:W3CDTF">2025-12-23T19:34:53Z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0x01010016C45E879D777742A28B4B4313ED2110</vt:lpwstr>
  </property>
</Properties>
</file>